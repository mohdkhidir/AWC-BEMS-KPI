
<file path=[Content_Types].xml><?xml version="1.0" encoding="utf-8"?>
<Types xmlns="http://schemas.openxmlformats.org/package/2006/content-types">
  <Default Extension="bin" ContentType="application/vnd.openxmlformats-officedocument.oleObjec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rinterSettings/printerSettings1.bin" ContentType="application/vnd.openxmlformats-officedocument.spreadsheetml.printerSettings"/>
  <Override PartName="/xl/drawings/drawing2.xml" ContentType="application/vnd.openxmlformats-officedocument.drawing+xml"/>
  <Override PartName="/xl/printerSettings/printerSettings2.bin" ContentType="application/vnd.openxmlformats-officedocument.spreadsheetml.printerSettings"/>
  <Override PartName="/xl/drawings/drawing3.xml" ContentType="application/vnd.openxmlformats-officedocument.drawing+xml"/>
  <Override PartName="/xl/printerSettings/printerSettings3.bin" ContentType="application/vnd.openxmlformats-officedocument.spreadsheetml.printerSettings"/>
  <Override PartName="/xl/drawings/drawing4.xml" ContentType="application/vnd.openxmlformats-officedocument.drawing+xml"/>
  <Override PartName="/xl/printerSettings/printerSettings4.bin" ContentType="application/vnd.openxmlformats-officedocument.spreadsheetml.printerSettings"/>
  <Override PartName="/xl/drawings/drawing5.xml" ContentType="application/vnd.openxmlformats-officedocument.drawing+xml"/>
  <Override PartName="/xl/printerSettings/printerSettings5.bin" ContentType="application/vnd.openxmlformats-officedocument.spreadsheetml.printerSettings"/>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mc:AlternateContent xmlns:mc="http://schemas.openxmlformats.org/markup-compatibility/2006">
    <mc:Choice Requires="x15">
      <x15ac:absPath xmlns:x15ac="http://schemas.microsoft.com/office/spreadsheetml/2010/11/ac" url="D:\Desktop\Document\mapping\LETTER\2026\"/>
    </mc:Choice>
  </mc:AlternateContent>
  <xr:revisionPtr revIDLastSave="0" documentId="13_ncr:1_{DD6D2469-1517-49B1-B0E7-A4EFFD953421}" xr6:coauthVersionLast="47" xr6:coauthVersionMax="47" xr10:uidLastSave="{00000000-0000-0000-0000-000000000000}"/>
  <bookViews>
    <workbookView xWindow="-110" yWindow="-110" windowWidth="19420" windowHeight="10300" tabRatio="705" firstSheet="1" activeTab="2" xr2:uid="{00000000-000D-0000-FFFF-FFFF00000000}"/>
  </bookViews>
  <sheets>
    <sheet name="KDI" sheetId="1" r:id="rId1"/>
    <sheet name="Public Holiday" sheetId="7" r:id="rId2"/>
    <sheet name="BEMSdar" sheetId="19" r:id="rId3"/>
    <sheet name="B1&amp;B2 UNSCHEDULED" sheetId="58" r:id="rId4"/>
    <sheet name="B3-SCHEDULED" sheetId="61" r:id="rId5"/>
    <sheet name="B4-UPTIME " sheetId="54" r:id="rId6"/>
    <sheet name="B5-T&amp;C" sheetId="53" r:id="rId7"/>
    <sheet name="Sheet1" sheetId="9" state="hidden" r:id="rId8"/>
    <sheet name="Sheet2" sheetId="10"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05_04_2009" localSheetId="4">#REF!</definedName>
    <definedName name="_05_04_2009" localSheetId="5">#REF!</definedName>
    <definedName name="_05_04_2009" localSheetId="6">#REF!</definedName>
    <definedName name="_05_04_2009" localSheetId="1">#REF!</definedName>
    <definedName name="_05_04_2009">#REF!</definedName>
    <definedName name="_xlnm._FilterDatabase" localSheetId="3" hidden="1">'B1&amp;B2 UNSCHEDULED'!$A$22:$W$148</definedName>
    <definedName name="_xlnm._FilterDatabase" localSheetId="4" hidden="1">'B3-SCHEDULED'!$A$19:$M$131</definedName>
    <definedName name="_xlnm._FilterDatabase" localSheetId="5" hidden="1">'B4-UPTIME '!$18:$114</definedName>
    <definedName name="_xlnm._FilterDatabase" localSheetId="7" hidden="1">Sheet1!$A$3:$G$84</definedName>
    <definedName name="a" localSheetId="4">'[1]Term Outstanding Payment'!#REF!</definedName>
    <definedName name="a" localSheetId="5">'[1]Term Outstanding Payment'!#REF!</definedName>
    <definedName name="a" localSheetId="6">'[1]Term Outstanding Payment'!#REF!</definedName>
    <definedName name="a" localSheetId="1">'[1]Term Outstanding Payment'!#REF!</definedName>
    <definedName name="a">'[1]Term Outstanding Payment'!#REF!</definedName>
    <definedName name="AA" localSheetId="4">#REF!</definedName>
    <definedName name="AA" localSheetId="5">#REF!</definedName>
    <definedName name="AA" localSheetId="6">#REF!</definedName>
    <definedName name="AA" localSheetId="1">#REF!</definedName>
    <definedName name="AA">#REF!</definedName>
    <definedName name="aaa" localSheetId="4">#REF!</definedName>
    <definedName name="aaa" localSheetId="5">#REF!</definedName>
    <definedName name="aaa" localSheetId="6">#REF!</definedName>
    <definedName name="aaa" localSheetId="1">#REF!</definedName>
    <definedName name="aaa">#REF!</definedName>
    <definedName name="aaaaa" localSheetId="4">#REF!</definedName>
    <definedName name="aaaaa" localSheetId="5">#REF!</definedName>
    <definedName name="aaaaa" localSheetId="6">#REF!</definedName>
    <definedName name="aaaaa" localSheetId="1">#REF!</definedName>
    <definedName name="aaaaa">#REF!</definedName>
    <definedName name="aaaaaaaaaa" localSheetId="4">#REF!</definedName>
    <definedName name="aaaaaaaaaa" localSheetId="6">#REF!</definedName>
    <definedName name="aaaaaaaaaa" localSheetId="1">#REF!</definedName>
    <definedName name="aaaaaaaaaa">#REF!</definedName>
    <definedName name="AAAAAAAAAAAAA" localSheetId="4">#REF!</definedName>
    <definedName name="AAAAAAAAAAAAA" localSheetId="6">#REF!</definedName>
    <definedName name="AAAAAAAAAAAAA" localSheetId="1">#REF!</definedName>
    <definedName name="AAAAAAAAAAAAA">#REF!</definedName>
    <definedName name="AAAAAAAAAAAAAAAAAA" localSheetId="4">#REF!</definedName>
    <definedName name="AAAAAAAAAAAAAAAAAA" localSheetId="6">#REF!</definedName>
    <definedName name="AAAAAAAAAAAAAAAAAA" localSheetId="1">#REF!</definedName>
    <definedName name="AAAAAAAAAAAAAAAAAA">#REF!</definedName>
    <definedName name="AAAAAAAAAAAAAAAAAAAAA" localSheetId="4">#REF!</definedName>
    <definedName name="AAAAAAAAAAAAAAAAAAAAA" localSheetId="6">#REF!</definedName>
    <definedName name="AAAAAAAAAAAAAAAAAAAAA" localSheetId="1">#REF!</definedName>
    <definedName name="AAAAAAAAAAAAAAAAAAAAA">#REF!</definedName>
    <definedName name="AAAAAAAAAAAAAAAAAAAAAAAAAAA" localSheetId="4">#REF!</definedName>
    <definedName name="AAAAAAAAAAAAAAAAAAAAAAAAAAA" localSheetId="6">#REF!</definedName>
    <definedName name="AAAAAAAAAAAAAAAAAAAAAAAAAAA" localSheetId="1">#REF!</definedName>
    <definedName name="AAAAAAAAAAAAAAAAAAAAAAAAAAA">#REF!</definedName>
    <definedName name="AAAAAAAAAAAAAAAAAAAAAAAAAAAA" localSheetId="4">#REF!</definedName>
    <definedName name="AAAAAAAAAAAAAAAAAAAAAAAAAAAA" localSheetId="6">#REF!</definedName>
    <definedName name="AAAAAAAAAAAAAAAAAAAAAAAAAAAA" localSheetId="1">#REF!</definedName>
    <definedName name="AAAAAAAAAAAAAAAAAAAAAAAAAAAA">#REF!</definedName>
    <definedName name="AAAAAAAAAAAAAAAAAAAAAAAAAAAAAA" localSheetId="4">#REF!</definedName>
    <definedName name="AAAAAAAAAAAAAAAAAAAAAAAAAAAAAA" localSheetId="6">#REF!</definedName>
    <definedName name="AAAAAAAAAAAAAAAAAAAAAAAAAAAAAA" localSheetId="1">#REF!</definedName>
    <definedName name="AAAAAAAAAAAAAAAAAAAAAAAAAAAAAA">#REF!</definedName>
    <definedName name="AAAAAAAAAAAAAAAAAAAAAAAAAAAAAAA" localSheetId="4">#REF!</definedName>
    <definedName name="AAAAAAAAAAAAAAAAAAAAAAAAAAAAAAA" localSheetId="6">#REF!</definedName>
    <definedName name="AAAAAAAAAAAAAAAAAAAAAAAAAAAAAAA" localSheetId="1">#REF!</definedName>
    <definedName name="AAAAAAAAAAAAAAAAAAAAAAAAAAAAAAA">#REF!</definedName>
    <definedName name="AAAAAAAAAAAAAAAAAAAAAAAAAAAAAAAAA" localSheetId="4">#REF!</definedName>
    <definedName name="AAAAAAAAAAAAAAAAAAAAAAAAAAAAAAAAA" localSheetId="6">#REF!</definedName>
    <definedName name="AAAAAAAAAAAAAAAAAAAAAAAAAAAAAAAAA" localSheetId="1">#REF!</definedName>
    <definedName name="AAAAAAAAAAAAAAAAAAAAAAAAAAAAAAAAA">#REF!</definedName>
    <definedName name="AAAAAAAAAAAAAAAAAAAAAAAAAAAAAAAAAA" localSheetId="4">#REF!</definedName>
    <definedName name="AAAAAAAAAAAAAAAAAAAAAAAAAAAAAAAAAA" localSheetId="6">#REF!</definedName>
    <definedName name="AAAAAAAAAAAAAAAAAAAAAAAAAAAAAAAAAA" localSheetId="1">#REF!</definedName>
    <definedName name="AAAAAAAAAAAAAAAAAAAAAAAAAAAAAAAAAA">#REF!</definedName>
    <definedName name="ab" localSheetId="4">'[2]Table A.1'!#REF!</definedName>
    <definedName name="ab" localSheetId="6">'[2]Table A.1'!#REF!</definedName>
    <definedName name="ab" localSheetId="1">'[2]Table A.1'!#REF!</definedName>
    <definedName name="ab">'[2]Table A.1'!#REF!</definedName>
    <definedName name="ac" localSheetId="4">'[2]Table A.1'!#REF!</definedName>
    <definedName name="ac" localSheetId="6">'[2]Table A.1'!#REF!</definedName>
    <definedName name="ac" localSheetId="1">'[2]Table A.1'!#REF!</definedName>
    <definedName name="ac">'[2]Table A.1'!#REF!</definedName>
    <definedName name="ACHGYJF" localSheetId="4">#REF!</definedName>
    <definedName name="ACHGYJF" localSheetId="5">#REF!</definedName>
    <definedName name="ACHGYJF" localSheetId="6">#REF!</definedName>
    <definedName name="ACHGYJF" localSheetId="1">#REF!</definedName>
    <definedName name="ACHGYJF">#REF!</definedName>
    <definedName name="ad" localSheetId="4">'[2]Table A.1'!#REF!</definedName>
    <definedName name="ad" localSheetId="5">'[2]Table A.1'!#REF!</definedName>
    <definedName name="ad" localSheetId="6">'[2]Table A.1'!#REF!</definedName>
    <definedName name="ad" localSheetId="1">'[2]Table A.1'!#REF!</definedName>
    <definedName name="ad">'[2]Table A.1'!#REF!</definedName>
    <definedName name="ae" localSheetId="4">'[2]Table A.1'!#REF!</definedName>
    <definedName name="ae" localSheetId="5">'[2]Table A.1'!#REF!</definedName>
    <definedName name="ae" localSheetId="6">'[2]Table A.1'!#REF!</definedName>
    <definedName name="ae" localSheetId="1">'[2]Table A.1'!#REF!</definedName>
    <definedName name="ae">'[2]Table A.1'!#REF!</definedName>
    <definedName name="af" localSheetId="4">'[2]Table A.1'!#REF!</definedName>
    <definedName name="af" localSheetId="6">'[2]Table A.1'!#REF!</definedName>
    <definedName name="af" localSheetId="1">'[2]Table A.1'!#REF!</definedName>
    <definedName name="af">'[2]Table A.1'!#REF!</definedName>
    <definedName name="AKHIR" localSheetId="3">'B1&amp;B2 UNSCHEDULED'!$M$8</definedName>
    <definedName name="AKHIR" localSheetId="4">#REF!</definedName>
    <definedName name="AKHIR" localSheetId="5">'[3]B1&amp; B2 UNSCHEDULED'!$L$8</definedName>
    <definedName name="AKHIR">#REF!</definedName>
    <definedName name="all" localSheetId="4">#REF!</definedName>
    <definedName name="all" localSheetId="5">#REF!</definedName>
    <definedName name="all" localSheetId="6">#REF!</definedName>
    <definedName name="all" localSheetId="1">#REF!</definedName>
    <definedName name="all">#REF!</definedName>
    <definedName name="AV" localSheetId="4">#REF!</definedName>
    <definedName name="AV" localSheetId="5">#REF!</definedName>
    <definedName name="AV" localSheetId="6">#REF!</definedName>
    <definedName name="AV" localSheetId="1">#REF!</definedName>
    <definedName name="AV">#REF!</definedName>
    <definedName name="AWAL" localSheetId="3">'B1&amp;B2 UNSCHEDULED'!$M$6</definedName>
    <definedName name="AWAL" localSheetId="4">#REF!</definedName>
    <definedName name="AWAL" localSheetId="5">#REF!</definedName>
    <definedName name="AWAL">#REF!</definedName>
    <definedName name="BBBBBBBBBBBB" localSheetId="4">#REF!</definedName>
    <definedName name="BBBBBBBBBBBB" localSheetId="6">#REF!</definedName>
    <definedName name="BBBBBBBBBBBB" localSheetId="1">#REF!</definedName>
    <definedName name="BBBBBBBBBBBB">#REF!</definedName>
    <definedName name="BBBBBBBBBBBBB" localSheetId="4">#REF!</definedName>
    <definedName name="BBBBBBBBBBBBB" localSheetId="6">#REF!</definedName>
    <definedName name="BBBBBBBBBBBBB" localSheetId="1">#REF!</definedName>
    <definedName name="BBBBBBBBBBBBB">#REF!</definedName>
    <definedName name="BBBBBBBBBBBBBB" localSheetId="4">#REF!</definedName>
    <definedName name="BBBBBBBBBBBBBB" localSheetId="6">#REF!</definedName>
    <definedName name="BBBBBBBBBBBBBB" localSheetId="1">#REF!</definedName>
    <definedName name="BBBBBBBBBBBBBB">#REF!</definedName>
    <definedName name="CAAAE" localSheetId="4">#REF!</definedName>
    <definedName name="CAAAE" localSheetId="6">#REF!</definedName>
    <definedName name="CAAAE" localSheetId="1">#REF!</definedName>
    <definedName name="CAAAE">#REF!</definedName>
    <definedName name="Ce" localSheetId="4">#REF!</definedName>
    <definedName name="Ce" localSheetId="6">#REF!</definedName>
    <definedName name="Ce" localSheetId="1">#REF!</definedName>
    <definedName name="Ce">#REF!</definedName>
    <definedName name="CFDSSSSS" localSheetId="4">#REF!</definedName>
    <definedName name="CFDSSSSS" localSheetId="6">#REF!</definedName>
    <definedName name="CFDSSSSS" localSheetId="1">#REF!</definedName>
    <definedName name="CFDSSSSS">#REF!</definedName>
    <definedName name="CFE" localSheetId="4">#REF!</definedName>
    <definedName name="CFE" localSheetId="6">#REF!</definedName>
    <definedName name="CFE" localSheetId="1">#REF!</definedName>
    <definedName name="CFE">#REF!</definedName>
    <definedName name="CFFFFFDS" localSheetId="4">'[4]Term Outstanding Payment'!#REF!</definedName>
    <definedName name="CFFFFFDS" localSheetId="6">'[4]Term Outstanding Payment'!#REF!</definedName>
    <definedName name="CFFFFFDS" localSheetId="1">'[4]Term Outstanding Payment'!#REF!</definedName>
    <definedName name="CFFFFFDS">'[4]Term Outstanding Payment'!#REF!</definedName>
    <definedName name="CRSFD" localSheetId="4">#REF!</definedName>
    <definedName name="CRSFD" localSheetId="5">#REF!</definedName>
    <definedName name="CRSFD" localSheetId="6">#REF!</definedName>
    <definedName name="CRSFD" localSheetId="1">#REF!</definedName>
    <definedName name="CRSFD">#REF!</definedName>
    <definedName name="CTRGSFD" localSheetId="4">#REF!</definedName>
    <definedName name="CTRGSFD" localSheetId="5">#REF!</definedName>
    <definedName name="CTRGSFD" localSheetId="6">#REF!</definedName>
    <definedName name="CTRGSFD" localSheetId="1">#REF!</definedName>
    <definedName name="CTRGSFD">#REF!</definedName>
    <definedName name="cuti">'Public Holiday'!$A$2:$A$43</definedName>
    <definedName name="DASDSAC" localSheetId="4">#REF!</definedName>
    <definedName name="DASDSAC" localSheetId="5">#REF!</definedName>
    <definedName name="DASDSAC" localSheetId="6">#REF!</definedName>
    <definedName name="DASDSAC" localSheetId="1">#REF!</definedName>
    <definedName name="DASDSAC">#REF!</definedName>
    <definedName name="date">'[5]Public Holiday'!$A$3:$A$44</definedName>
    <definedName name="dcfd" localSheetId="4">#REF!</definedName>
    <definedName name="dcfd" localSheetId="5">#REF!</definedName>
    <definedName name="dcfd" localSheetId="6">#REF!</definedName>
    <definedName name="dcfd" localSheetId="1">#REF!</definedName>
    <definedName name="dcfd">#REF!</definedName>
    <definedName name="DDDDDDDDDDD" localSheetId="4">#REF!</definedName>
    <definedName name="DDDDDDDDDDD" localSheetId="5">#REF!</definedName>
    <definedName name="DDDDDDDDDDD" localSheetId="6">#REF!</definedName>
    <definedName name="DDDDDDDDDDD" localSheetId="1">#REF!</definedName>
    <definedName name="DDDDDDDDDDD">#REF!</definedName>
    <definedName name="DDDDDDDDDDDDD" localSheetId="4">#REF!</definedName>
    <definedName name="DDDDDDDDDDDDD" localSheetId="5">#REF!</definedName>
    <definedName name="DDDDDDDDDDDDD" localSheetId="6">#REF!</definedName>
    <definedName name="DDDDDDDDDDDDD" localSheetId="1">#REF!</definedName>
    <definedName name="DDDDDDDDDDDDD">#REF!</definedName>
    <definedName name="DFBNG" localSheetId="4">#REF!</definedName>
    <definedName name="DFBNG" localSheetId="6">#REF!</definedName>
    <definedName name="DFBNG" localSheetId="1">#REF!</definedName>
    <definedName name="DFBNG">#REF!</definedName>
    <definedName name="dfd" localSheetId="4">#REF!</definedName>
    <definedName name="dfd" localSheetId="6">#REF!</definedName>
    <definedName name="dfd" localSheetId="1">#REF!</definedName>
    <definedName name="dfd">#REF!</definedName>
    <definedName name="dfhbcv" localSheetId="4">#REF!</definedName>
    <definedName name="dfhbcv" localSheetId="6">#REF!</definedName>
    <definedName name="dfhbcv" localSheetId="1">#REF!</definedName>
    <definedName name="dfhbcv">#REF!</definedName>
    <definedName name="DFHGB" localSheetId="4">#REF!</definedName>
    <definedName name="DFHGB" localSheetId="6">#REF!</definedName>
    <definedName name="DFHGB" localSheetId="1">#REF!</definedName>
    <definedName name="DFHGB">#REF!</definedName>
    <definedName name="dfssa" localSheetId="4">#REF!</definedName>
    <definedName name="dfssa" localSheetId="6">#REF!</definedName>
    <definedName name="dfssa" localSheetId="1">#REF!</definedName>
    <definedName name="dfssa">#REF!</definedName>
    <definedName name="dggggggggggggg" localSheetId="4">#REF!</definedName>
    <definedName name="dggggggggggggg" localSheetId="6">#REF!</definedName>
    <definedName name="dggggggggggggg" localSheetId="1">#REF!</definedName>
    <definedName name="dggggggggggggg">#REF!</definedName>
    <definedName name="dsgsf" localSheetId="4">#REF!</definedName>
    <definedName name="dsgsf" localSheetId="6">#REF!</definedName>
    <definedName name="dsgsf" localSheetId="1">#REF!</definedName>
    <definedName name="dsgsf">#REF!</definedName>
    <definedName name="DSSSSSSSSSSSSSSSSSF" localSheetId="4">#REF!</definedName>
    <definedName name="DSSSSSSSSSSSSSSSSSF" localSheetId="6">#REF!</definedName>
    <definedName name="DSSSSSSSSSSSSSSSSSF" localSheetId="1">#REF!</definedName>
    <definedName name="DSSSSSSSSSSSSSSSSSF">#REF!</definedName>
    <definedName name="EACFE" localSheetId="4">#REF!</definedName>
    <definedName name="EACFE" localSheetId="6">#REF!</definedName>
    <definedName name="EACFE" localSheetId="1">#REF!</definedName>
    <definedName name="EACFE">#REF!</definedName>
    <definedName name="eec" localSheetId="4">#REF!</definedName>
    <definedName name="eec" localSheetId="6">#REF!</definedName>
    <definedName name="eec" localSheetId="1">#REF!</definedName>
    <definedName name="eec">#REF!</definedName>
    <definedName name="EERC" localSheetId="4">#REF!</definedName>
    <definedName name="EERC" localSheetId="6">#REF!</definedName>
    <definedName name="EERC" localSheetId="1">#REF!</definedName>
    <definedName name="EERC">#REF!</definedName>
    <definedName name="EWA" localSheetId="4">#REF!</definedName>
    <definedName name="EWA" localSheetId="6">#REF!</definedName>
    <definedName name="EWA" localSheetId="1">#REF!</definedName>
    <definedName name="EWA">#REF!</definedName>
    <definedName name="EWEC" localSheetId="4">#REF!</definedName>
    <definedName name="EWEC" localSheetId="6">#REF!</definedName>
    <definedName name="EWEC" localSheetId="1">#REF!</definedName>
    <definedName name="EWEC">#REF!</definedName>
    <definedName name="ewtwet" localSheetId="4">[6]Hidden!#REF!</definedName>
    <definedName name="ewtwet" localSheetId="6">[6]Hidden!#REF!</definedName>
    <definedName name="ewtwet" localSheetId="1">[6]Hidden!#REF!</definedName>
    <definedName name="ewtwet">[6]Hidden!#REF!</definedName>
    <definedName name="excel" localSheetId="4">#REF!</definedName>
    <definedName name="excel" localSheetId="5">#REF!</definedName>
    <definedName name="excel" localSheetId="6">#REF!</definedName>
    <definedName name="excel" localSheetId="1">#REF!</definedName>
    <definedName name="excel">#REF!</definedName>
    <definedName name="Excel_BuiltIn__FilterDatabase_2" localSheetId="4">#REF!</definedName>
    <definedName name="Excel_BuiltIn__FilterDatabase_2" localSheetId="5">#REF!</definedName>
    <definedName name="Excel_BuiltIn__FilterDatabase_2" localSheetId="6">#REF!</definedName>
    <definedName name="Excel_BuiltIn__FilterDatabase_2" localSheetId="1">#REF!</definedName>
    <definedName name="Excel_BuiltIn__FilterDatabase_2">#REF!</definedName>
    <definedName name="Excel_BuiltIn__FilterDatabase_4" localSheetId="4">#REF!</definedName>
    <definedName name="Excel_BuiltIn__FilterDatabase_4" localSheetId="5">#REF!</definedName>
    <definedName name="Excel_BuiltIn__FilterDatabase_4" localSheetId="6">#REF!</definedName>
    <definedName name="Excel_BuiltIn__FilterDatabase_4" localSheetId="1">#REF!</definedName>
    <definedName name="Excel_BuiltIn__FilterDatabase_4">#REF!</definedName>
    <definedName name="Excel_BuiltIn__FilterDatabase_5" localSheetId="4">#REF!</definedName>
    <definedName name="Excel_BuiltIn__FilterDatabase_5" localSheetId="6">#REF!</definedName>
    <definedName name="Excel_BuiltIn__FilterDatabase_5" localSheetId="1">#REF!</definedName>
    <definedName name="Excel_BuiltIn__FilterDatabase_5">#REF!</definedName>
    <definedName name="Excel_BuiltIn__FilterDatabase_8" localSheetId="4">#REF!</definedName>
    <definedName name="Excel_BuiltIn__FilterDatabase_8" localSheetId="6">#REF!</definedName>
    <definedName name="Excel_BuiltIn__FilterDatabase_8" localSheetId="1">#REF!</definedName>
    <definedName name="Excel_BuiltIn__FilterDatabase_8">#REF!</definedName>
    <definedName name="Excel_BuiltIn_Print_Area_1" localSheetId="4">#REF!</definedName>
    <definedName name="Excel_BuiltIn_Print_Area_1" localSheetId="6">#REF!</definedName>
    <definedName name="Excel_BuiltIn_Print_Area_1" localSheetId="1">#REF!</definedName>
    <definedName name="Excel_BuiltIn_Print_Area_1">#REF!</definedName>
    <definedName name="Excel_BuiltIn_Print_Area_1_1" localSheetId="4">#REF!</definedName>
    <definedName name="Excel_BuiltIn_Print_Area_1_1" localSheetId="6">#REF!</definedName>
    <definedName name="Excel_BuiltIn_Print_Area_1_1" localSheetId="1">#REF!</definedName>
    <definedName name="Excel_BuiltIn_Print_Area_1_1">#REF!</definedName>
    <definedName name="Excel_BuiltIn_Print_Area_10_1" localSheetId="4">#REF!</definedName>
    <definedName name="Excel_BuiltIn_Print_Area_10_1" localSheetId="6">#REF!</definedName>
    <definedName name="Excel_BuiltIn_Print_Area_10_1" localSheetId="1">#REF!</definedName>
    <definedName name="Excel_BuiltIn_Print_Area_10_1">#REF!</definedName>
    <definedName name="Excel_BuiltIn_Print_Area_3_1" localSheetId="4">#REF!</definedName>
    <definedName name="Excel_BuiltIn_Print_Area_3_1" localSheetId="6">#REF!</definedName>
    <definedName name="Excel_BuiltIn_Print_Area_3_1" localSheetId="1">#REF!</definedName>
    <definedName name="Excel_BuiltIn_Print_Area_3_1">#REF!</definedName>
    <definedName name="Excel_BuiltIn_Print_Area_3_1_1" localSheetId="4">#REF!</definedName>
    <definedName name="Excel_BuiltIn_Print_Area_3_1_1" localSheetId="6">#REF!</definedName>
    <definedName name="Excel_BuiltIn_Print_Area_3_1_1" localSheetId="1">#REF!</definedName>
    <definedName name="Excel_BuiltIn_Print_Area_3_1_1">#REF!</definedName>
    <definedName name="Excel_BuiltIn_Print_Area_3_1_1_1" localSheetId="4">#REF!</definedName>
    <definedName name="Excel_BuiltIn_Print_Area_3_1_1_1" localSheetId="6">#REF!</definedName>
    <definedName name="Excel_BuiltIn_Print_Area_3_1_1_1" localSheetId="1">#REF!</definedName>
    <definedName name="Excel_BuiltIn_Print_Area_3_1_1_1">#REF!</definedName>
    <definedName name="Excel_BuiltIn_Print_Area_6" localSheetId="4">'[4]Term Outstanding Payment'!#REF!</definedName>
    <definedName name="Excel_BuiltIn_Print_Area_6" localSheetId="6">'[4]Term Outstanding Payment'!#REF!</definedName>
    <definedName name="Excel_BuiltIn_Print_Area_6" localSheetId="1">'[4]Term Outstanding Payment'!#REF!</definedName>
    <definedName name="Excel_BuiltIn_Print_Area_6">'[4]Term Outstanding Payment'!#REF!</definedName>
    <definedName name="Excel_BuiltIn_Print_Area_8_1" localSheetId="4">#REF!</definedName>
    <definedName name="Excel_BuiltIn_Print_Area_8_1" localSheetId="5">#REF!</definedName>
    <definedName name="Excel_BuiltIn_Print_Area_8_1" localSheetId="6">#REF!</definedName>
    <definedName name="Excel_BuiltIn_Print_Area_8_1" localSheetId="1">#REF!</definedName>
    <definedName name="Excel_BuiltIn_Print_Area_8_1">#REF!</definedName>
    <definedName name="Excel_BuiltIn_Print_Area_9_1" localSheetId="4">#REF!</definedName>
    <definedName name="Excel_BuiltIn_Print_Area_9_1" localSheetId="5">#REF!</definedName>
    <definedName name="Excel_BuiltIn_Print_Area_9_1" localSheetId="6">#REF!</definedName>
    <definedName name="Excel_BuiltIn_Print_Area_9_1" localSheetId="1">#REF!</definedName>
    <definedName name="Excel_BuiltIn_Print_Area_9_1">#REF!</definedName>
    <definedName name="Excel_BuiltIn_Print_Area_9_1_1" localSheetId="4">#REF!</definedName>
    <definedName name="Excel_BuiltIn_Print_Area_9_1_1" localSheetId="5">#REF!</definedName>
    <definedName name="Excel_BuiltIn_Print_Area_9_1_1" localSheetId="6">#REF!</definedName>
    <definedName name="Excel_BuiltIn_Print_Area_9_1_1" localSheetId="1">#REF!</definedName>
    <definedName name="Excel_BuiltIn_Print_Area_9_1_1">#REF!</definedName>
    <definedName name="Excel_BuiltIn_Print_JMN_25_9_13" localSheetId="4">#REF!</definedName>
    <definedName name="Excel_BuiltIn_Print_JMN_25_9_13" localSheetId="6">#REF!</definedName>
    <definedName name="Excel_BuiltIn_Print_JMN_25_9_13" localSheetId="1">#REF!</definedName>
    <definedName name="Excel_BuiltIn_Print_JMN_25_9_13">#REF!</definedName>
    <definedName name="Excel_BuiltIn_Print_Titles_1_1" localSheetId="4">#REF!</definedName>
    <definedName name="Excel_BuiltIn_Print_Titles_1_1" localSheetId="6">#REF!</definedName>
    <definedName name="Excel_BuiltIn_Print_Titles_1_1" localSheetId="1">#REF!</definedName>
    <definedName name="Excel_BuiltIn_Print_Titles_1_1">#REF!</definedName>
    <definedName name="Excel_BuiltIn_Print_Titles_8" localSheetId="4">#REF!</definedName>
    <definedName name="Excel_BuiltIn_Print_Titles_8" localSheetId="6">#REF!</definedName>
    <definedName name="Excel_BuiltIn_Print_Titles_8" localSheetId="1">#REF!</definedName>
    <definedName name="Excel_BuiltIn_Print_Titles_8">#REF!</definedName>
    <definedName name="Excel_BuiltIn_Print_Titles_9" localSheetId="4">#REF!</definedName>
    <definedName name="Excel_BuiltIn_Print_Titles_9" localSheetId="6">#REF!</definedName>
    <definedName name="Excel_BuiltIn_Print_Titles_9" localSheetId="1">#REF!</definedName>
    <definedName name="Excel_BuiltIn_Print_Titles_9">#REF!</definedName>
    <definedName name="fasdfasfasfsaf" localSheetId="4">#REF!</definedName>
    <definedName name="fasdfasfasfsaf" localSheetId="6">#REF!</definedName>
    <definedName name="fasdfasfasfsaf" localSheetId="1">#REF!</definedName>
    <definedName name="fasdfasfasfsaf">#REF!</definedName>
    <definedName name="FCXXF" localSheetId="4">#REF!</definedName>
    <definedName name="FCXXF" localSheetId="6">#REF!</definedName>
    <definedName name="FCXXF" localSheetId="1">#REF!</definedName>
    <definedName name="FCXXF">#REF!</definedName>
    <definedName name="fdgfdgdfgdg" localSheetId="4">#REF!</definedName>
    <definedName name="fdgfdgdfgdg" localSheetId="6">#REF!</definedName>
    <definedName name="fdgfdgdfgdg" localSheetId="1">#REF!</definedName>
    <definedName name="fdgfdgdfgdg">#REF!</definedName>
    <definedName name="FFFFFFFFFFFFFFFFF" localSheetId="4">#REF!</definedName>
    <definedName name="FFFFFFFFFFFFFFFFF" localSheetId="6">#REF!</definedName>
    <definedName name="FFFFFFFFFFFFFFFFF" localSheetId="1">#REF!</definedName>
    <definedName name="FFFFFFFFFFFFFFFFF">#REF!</definedName>
    <definedName name="ffgdsdfg" localSheetId="4">#REF!</definedName>
    <definedName name="ffgdsdfg" localSheetId="6">#REF!</definedName>
    <definedName name="ffgdsdfg" localSheetId="1">#REF!</definedName>
    <definedName name="ffgdsdfg">#REF!</definedName>
    <definedName name="GAAAAAAAFC" localSheetId="4">#REF!</definedName>
    <definedName name="GAAAAAAAFC" localSheetId="6">#REF!</definedName>
    <definedName name="GAAAAAAAFC" localSheetId="1">#REF!</definedName>
    <definedName name="GAAAAAAAFC">#REF!</definedName>
    <definedName name="GDRGT" localSheetId="4">#REF!</definedName>
    <definedName name="GDRGT" localSheetId="6">#REF!</definedName>
    <definedName name="GDRGT" localSheetId="1">#REF!</definedName>
    <definedName name="GDRGT">#REF!</definedName>
    <definedName name="GDSF" localSheetId="4">#REF!</definedName>
    <definedName name="GDSF" localSheetId="6">#REF!</definedName>
    <definedName name="GDSF" localSheetId="1">#REF!</definedName>
    <definedName name="GDSF">#REF!</definedName>
    <definedName name="GFHDNHZ" localSheetId="4">#REF!</definedName>
    <definedName name="GFHDNHZ" localSheetId="6">#REF!</definedName>
    <definedName name="GFHDNHZ" localSheetId="1">#REF!</definedName>
    <definedName name="GFHDNHZ">#REF!</definedName>
    <definedName name="GFNBC" localSheetId="4">#REF!</definedName>
    <definedName name="GFNBC" localSheetId="6">#REF!</definedName>
    <definedName name="GFNBC" localSheetId="1">#REF!</definedName>
    <definedName name="GFNBC">#REF!</definedName>
    <definedName name="gfre" localSheetId="4">#REF!</definedName>
    <definedName name="gfre" localSheetId="6">#REF!</definedName>
    <definedName name="gfre" localSheetId="1">#REF!</definedName>
    <definedName name="gfre">#REF!</definedName>
    <definedName name="ggggg" localSheetId="4">#REF!</definedName>
    <definedName name="ggggg" localSheetId="6">#REF!</definedName>
    <definedName name="ggggg" localSheetId="1">#REF!</definedName>
    <definedName name="ggggg">#REF!</definedName>
    <definedName name="gggggggggggggggggg" localSheetId="4">#REF!</definedName>
    <definedName name="gggggggggggggggggg" localSheetId="6">#REF!</definedName>
    <definedName name="gggggggggggggggggg" localSheetId="1">#REF!</definedName>
    <definedName name="gggggggggggggggggg">#REF!</definedName>
    <definedName name="GGGGGGGGGGGGGGGGGGGGG" localSheetId="4">#REF!</definedName>
    <definedName name="GGGGGGGGGGGGGGGGGGGGG" localSheetId="6">#REF!</definedName>
    <definedName name="GGGGGGGGGGGGGGGGGGGGG" localSheetId="1">#REF!</definedName>
    <definedName name="GGGGGGGGGGGGGGGGGGGGG">#REF!</definedName>
    <definedName name="GGGZDG" localSheetId="4">#REF!</definedName>
    <definedName name="GGGZDG" localSheetId="6">#REF!</definedName>
    <definedName name="GGGZDG" localSheetId="1">#REF!</definedName>
    <definedName name="GGGZDG">#REF!</definedName>
    <definedName name="GHNVGC" localSheetId="4">#REF!</definedName>
    <definedName name="GHNVGC" localSheetId="6">#REF!</definedName>
    <definedName name="GHNVGC" localSheetId="1">#REF!</definedName>
    <definedName name="GHNVGC">#REF!</definedName>
    <definedName name="GRFCEZSX" localSheetId="4">#REF!</definedName>
    <definedName name="GRFCEZSX" localSheetId="6">#REF!</definedName>
    <definedName name="GRFCEZSX" localSheetId="1">#REF!</definedName>
    <definedName name="GRFCEZSX">#REF!</definedName>
    <definedName name="gsdfgsdgsds" localSheetId="4">#REF!</definedName>
    <definedName name="gsdfgsdgsds" localSheetId="6">#REF!</definedName>
    <definedName name="gsdfgsdgsds" localSheetId="1">#REF!</definedName>
    <definedName name="gsdfgsdgsds">#REF!</definedName>
    <definedName name="GZDFA" localSheetId="4">#REF!</definedName>
    <definedName name="GZDFA" localSheetId="6">#REF!</definedName>
    <definedName name="GZDFA" localSheetId="1">#REF!</definedName>
    <definedName name="GZDFA">#REF!</definedName>
    <definedName name="hdfhdfhdfhf" localSheetId="4">[6]Hidden!#REF!</definedName>
    <definedName name="hdfhdfhdfhf" localSheetId="6">[6]Hidden!#REF!</definedName>
    <definedName name="hdfhdfhdfhf" localSheetId="1">[6]Hidden!#REF!</definedName>
    <definedName name="hdfhdfhdfhf">[6]Hidden!#REF!</definedName>
    <definedName name="HSA" localSheetId="4">#REF!</definedName>
    <definedName name="HSA" localSheetId="5">#REF!</definedName>
    <definedName name="HSA" localSheetId="6">#REF!</definedName>
    <definedName name="HSA" localSheetId="1">#REF!</definedName>
    <definedName name="HSA">#REF!</definedName>
    <definedName name="hujung" localSheetId="3">'B1&amp;B2 UNSCHEDULED'!$P$8</definedName>
    <definedName name="hujung" localSheetId="4">#REF!</definedName>
    <definedName name="hujung" localSheetId="5">#REF!</definedName>
    <definedName name="hujung">#REF!</definedName>
    <definedName name="I" localSheetId="4">#REF!</definedName>
    <definedName name="I" localSheetId="5">#REF!</definedName>
    <definedName name="I" localSheetId="6">#REF!</definedName>
    <definedName name="I" localSheetId="1">#REF!</definedName>
    <definedName name="I">#REF!</definedName>
    <definedName name="ILA" localSheetId="4">#REF!</definedName>
    <definedName name="ILA" localSheetId="6">#REF!</definedName>
    <definedName name="ILA" localSheetId="1">#REF!</definedName>
    <definedName name="ILA">#REF!</definedName>
    <definedName name="kkk" localSheetId="4">#REF!</definedName>
    <definedName name="kkk" localSheetId="6">#REF!</definedName>
    <definedName name="kkk" localSheetId="1">#REF!</definedName>
    <definedName name="kkk">#REF!</definedName>
    <definedName name="kkkkk" localSheetId="4">#REF!</definedName>
    <definedName name="kkkkk" localSheetId="6">#REF!</definedName>
    <definedName name="kkkkk" localSheetId="1">#REF!</definedName>
    <definedName name="kkkkk">#REF!</definedName>
    <definedName name="LA" localSheetId="4">#REF!</definedName>
    <definedName name="LA" localSheetId="6">#REF!</definedName>
    <definedName name="LA" localSheetId="1">#REF!</definedName>
    <definedName name="LA">#REF!</definedName>
    <definedName name="LALA" localSheetId="4">#REF!</definedName>
    <definedName name="LALA" localSheetId="6">#REF!</definedName>
    <definedName name="LALA" localSheetId="1">#REF!</definedName>
    <definedName name="LALA">#REF!</definedName>
    <definedName name="list" localSheetId="4">#REF!</definedName>
    <definedName name="list" localSheetId="6">#REF!</definedName>
    <definedName name="list" localSheetId="1">#REF!</definedName>
    <definedName name="list">#REF!</definedName>
    <definedName name="ll" localSheetId="4">#REF!</definedName>
    <definedName name="ll" localSheetId="6">#REF!</definedName>
    <definedName name="ll" localSheetId="1">#REF!</definedName>
    <definedName name="ll">#REF!</definedName>
    <definedName name="LLLLL" localSheetId="4">#REF!</definedName>
    <definedName name="LLLLL" localSheetId="6">#REF!</definedName>
    <definedName name="LLLLL" localSheetId="1">#REF!</definedName>
    <definedName name="LLLLL">#REF!</definedName>
    <definedName name="mappingMay" localSheetId="4">#REF!</definedName>
    <definedName name="mappingMay" localSheetId="6">#REF!</definedName>
    <definedName name="mappingMay" localSheetId="1">#REF!</definedName>
    <definedName name="mappingMay">#REF!</definedName>
    <definedName name="mmm" localSheetId="4">[6]Hidden!#REF!</definedName>
    <definedName name="mmm" localSheetId="6">[6]Hidden!#REF!</definedName>
    <definedName name="mmm" localSheetId="1">[6]Hidden!#REF!</definedName>
    <definedName name="mmm">[6]Hidden!#REF!</definedName>
    <definedName name="MMMMMMMMMMMMMM" localSheetId="4">#REF!</definedName>
    <definedName name="MMMMMMMMMMMMMM" localSheetId="5">#REF!</definedName>
    <definedName name="MMMMMMMMMMMMMM" localSheetId="6">#REF!</definedName>
    <definedName name="MMMMMMMMMMMMMM" localSheetId="1">#REF!</definedName>
    <definedName name="MMMMMMMMMMMMMM">#REF!</definedName>
    <definedName name="my_name" localSheetId="4">#REF!</definedName>
    <definedName name="my_name" localSheetId="5">#REF!</definedName>
    <definedName name="my_name" localSheetId="6">#REF!</definedName>
    <definedName name="my_name" localSheetId="1">#REF!</definedName>
    <definedName name="my_name">#REF!</definedName>
    <definedName name="my_name_Ila" localSheetId="4">#REF!</definedName>
    <definedName name="my_name_Ila" localSheetId="5">#REF!</definedName>
    <definedName name="my_name_Ila" localSheetId="6">#REF!</definedName>
    <definedName name="my_name_Ila" localSheetId="1">#REF!</definedName>
    <definedName name="my_name_Ila">#REF!</definedName>
    <definedName name="nnn" localSheetId="4">#REF!</definedName>
    <definedName name="nnn" localSheetId="6">#REF!</definedName>
    <definedName name="nnn" localSheetId="1">#REF!</definedName>
    <definedName name="nnn">#REF!</definedName>
    <definedName name="NNNN" localSheetId="4">#REF!</definedName>
    <definedName name="NNNN" localSheetId="6">#REF!</definedName>
    <definedName name="NNNN" localSheetId="1">#REF!</definedName>
    <definedName name="NNNN">#REF!</definedName>
    <definedName name="NNNNNNNNNNNNNNNN" localSheetId="4">#REF!</definedName>
    <definedName name="NNNNNNNNNNNNNNNN" localSheetId="6">#REF!</definedName>
    <definedName name="NNNNNNNNNNNNNNNN" localSheetId="1">#REF!</definedName>
    <definedName name="NNNNNNNNNNNNNNNN">#REF!</definedName>
    <definedName name="NNNNNNNNNNNNNNNNNNNNNNNNNNNNNNN" localSheetId="4">#REF!</definedName>
    <definedName name="NNNNNNNNNNNNNNNNNNNNNNNNNNNNNNN" localSheetId="6">#REF!</definedName>
    <definedName name="NNNNNNNNNNNNNNNNNNNNNNNNNNNNNNN" localSheetId="1">#REF!</definedName>
    <definedName name="NNNNNNNNNNNNNNNNNNNNNNNNNNNNNNN">#REF!</definedName>
    <definedName name="NNNNNNNNNNNNNNNNNNNNNNNNNNNNNNNNNN" localSheetId="4">#REF!</definedName>
    <definedName name="NNNNNNNNNNNNNNNNNNNNNNNNNNNNNNNNNN" localSheetId="6">#REF!</definedName>
    <definedName name="NNNNNNNNNNNNNNNNNNNNNNNNNNNNNNNNNN" localSheetId="1">#REF!</definedName>
    <definedName name="NNNNNNNNNNNNNNNNNNNNNNNNNNNNNNNNNN">#REF!</definedName>
    <definedName name="NO" localSheetId="4">#REF!</definedName>
    <definedName name="NO" localSheetId="6">#REF!</definedName>
    <definedName name="NO" localSheetId="1">#REF!</definedName>
    <definedName name="NO">#REF!</definedName>
    <definedName name="OLE_LINK2" localSheetId="7">Sheet1!$G$61</definedName>
    <definedName name="OOO" localSheetId="4">#REF!</definedName>
    <definedName name="OOO" localSheetId="6">#REF!</definedName>
    <definedName name="OOO" localSheetId="1">#REF!</definedName>
    <definedName name="OOO">#REF!</definedName>
    <definedName name="OOOOOOOOO" localSheetId="4">#REF!</definedName>
    <definedName name="OOOOOOOOO" localSheetId="6">#REF!</definedName>
    <definedName name="OOOOOOOOO" localSheetId="1">#REF!</definedName>
    <definedName name="OOOOOOOOO">#REF!</definedName>
    <definedName name="PP" localSheetId="4">#REF!</definedName>
    <definedName name="PP" localSheetId="6">#REF!</definedName>
    <definedName name="PP" localSheetId="1">#REF!</definedName>
    <definedName name="PP">#REF!</definedName>
    <definedName name="ppmmay13" localSheetId="4">[6]Hidden!#REF!</definedName>
    <definedName name="ppmmay13" localSheetId="6">[6]Hidden!#REF!</definedName>
    <definedName name="ppmmay13" localSheetId="1">[6]Hidden!#REF!</definedName>
    <definedName name="ppmmay13">[6]Hidden!#REF!</definedName>
    <definedName name="PPP" localSheetId="4">#REF!</definedName>
    <definedName name="PPP" localSheetId="5">#REF!</definedName>
    <definedName name="PPP" localSheetId="6">#REF!</definedName>
    <definedName name="PPP" localSheetId="1">#REF!</definedName>
    <definedName name="PPP">#REF!</definedName>
    <definedName name="PPPPPPP" localSheetId="4">#REF!</definedName>
    <definedName name="PPPPPPP" localSheetId="5">#REF!</definedName>
    <definedName name="PPPPPPP" localSheetId="6">#REF!</definedName>
    <definedName name="PPPPPPP" localSheetId="1">#REF!</definedName>
    <definedName name="PPPPPPP">#REF!</definedName>
    <definedName name="_xlnm.Print_Area" localSheetId="3">'B1&amp;B2 UNSCHEDULED'!$A$1:$V$122</definedName>
    <definedName name="_xlnm.Print_Area" localSheetId="4">'B3-SCHEDULED'!$A$1:$M$131</definedName>
    <definedName name="_xlnm.Print_Area" localSheetId="5">'B4-UPTIME '!$A$1:$AB$35</definedName>
    <definedName name="_xlnm.Print_Area" localSheetId="6">'B5-T&amp;C'!$A$1:$P$21</definedName>
    <definedName name="_xlnm.Print_Area" localSheetId="2">BEMSdar!$A$1:$O$34</definedName>
    <definedName name="_xlnm.Print_Area" localSheetId="0">KDI!$A$1:$I$11</definedName>
    <definedName name="_xlnm.Print_Titles" localSheetId="3">'B1&amp;B2 UNSCHEDULED'!$21:$22</definedName>
    <definedName name="_xlnm.Print_Titles" localSheetId="4">'B3-SCHEDULED'!$19:$20</definedName>
    <definedName name="_xlnm.Print_Titles" localSheetId="5">'B4-UPTIME '!$17:$18</definedName>
    <definedName name="_xlnm.Print_Titles" localSheetId="6">'B5-T&amp;C'!$18:$18</definedName>
    <definedName name="QQQ" localSheetId="4">#REF!</definedName>
    <definedName name="QQQ" localSheetId="5">#REF!</definedName>
    <definedName name="QQQ" localSheetId="6">#REF!</definedName>
    <definedName name="QQQ" localSheetId="1">#REF!</definedName>
    <definedName name="QQQ">#REF!</definedName>
    <definedName name="REEEEEEEW" localSheetId="4">#REF!</definedName>
    <definedName name="REEEEEEEW" localSheetId="6">#REF!</definedName>
    <definedName name="REEEEEEEW" localSheetId="1">#REF!</definedName>
    <definedName name="REEEEEEEW">#REF!</definedName>
    <definedName name="REST" localSheetId="4">#REF!</definedName>
    <definedName name="REST" localSheetId="6">#REF!</definedName>
    <definedName name="REST" localSheetId="1">#REF!</definedName>
    <definedName name="REST">#REF!</definedName>
    <definedName name="rewc" localSheetId="4">#REF!</definedName>
    <definedName name="rewc" localSheetId="6">#REF!</definedName>
    <definedName name="rewc" localSheetId="1">#REF!</definedName>
    <definedName name="rewc">#REF!</definedName>
    <definedName name="rewwrwer" localSheetId="4">[6]Hidden!#REF!</definedName>
    <definedName name="rewwrwer" localSheetId="6">[6]Hidden!#REF!</definedName>
    <definedName name="rewwrwer" localSheetId="1">[6]Hidden!#REF!</definedName>
    <definedName name="rewwrwer">[6]Hidden!#REF!</definedName>
    <definedName name="rfc" localSheetId="4">#REF!</definedName>
    <definedName name="rfc" localSheetId="5">#REF!</definedName>
    <definedName name="rfc" localSheetId="6">#REF!</definedName>
    <definedName name="rfc" localSheetId="1">#REF!</definedName>
    <definedName name="rfc">#REF!</definedName>
    <definedName name="rfdfsd" localSheetId="4">#REF!</definedName>
    <definedName name="rfdfsd" localSheetId="5">#REF!</definedName>
    <definedName name="rfdfsd" localSheetId="6">#REF!</definedName>
    <definedName name="rfdfsd" localSheetId="1">#REF!</definedName>
    <definedName name="rfdfsd">#REF!</definedName>
    <definedName name="RGCCCCCCSX" localSheetId="4">#REF!</definedName>
    <definedName name="RGCCCCCCSX" localSheetId="5">#REF!</definedName>
    <definedName name="RGCCCCCCSX" localSheetId="6">#REF!</definedName>
    <definedName name="RGCCCCCCSX" localSheetId="1">#REF!</definedName>
    <definedName name="RGCCCCCCSX">#REF!</definedName>
    <definedName name="rgfd" localSheetId="4">#REF!</definedName>
    <definedName name="rgfd" localSheetId="6">#REF!</definedName>
    <definedName name="rgfd" localSheetId="1">#REF!</definedName>
    <definedName name="rgfd">#REF!</definedName>
    <definedName name="rrhrdhdr" localSheetId="4">#REF!</definedName>
    <definedName name="rrhrdhdr" localSheetId="6">#REF!</definedName>
    <definedName name="rrhrdhdr" localSheetId="1">#REF!</definedName>
    <definedName name="rrhrdhdr">#REF!</definedName>
    <definedName name="RRRRRRRRRRRRRRRRRRR" localSheetId="4">#REF!</definedName>
    <definedName name="RRRRRRRRRRRRRRRRRRR" localSheetId="6">#REF!</definedName>
    <definedName name="RRRRRRRRRRRRRRRRRRR" localSheetId="1">#REF!</definedName>
    <definedName name="RRRRRRRRRRRRRRRRRRR">#REF!</definedName>
    <definedName name="rtr" localSheetId="4">#REF!</definedName>
    <definedName name="rtr" localSheetId="6">#REF!</definedName>
    <definedName name="rtr" localSheetId="1">#REF!</definedName>
    <definedName name="rtr">#REF!</definedName>
    <definedName name="rtwertert" localSheetId="4">#REF!</definedName>
    <definedName name="rtwertert" localSheetId="6">#REF!</definedName>
    <definedName name="rtwertert" localSheetId="1">#REF!</definedName>
    <definedName name="rtwertert">#REF!</definedName>
    <definedName name="sdssfsf" localSheetId="4">#REF!</definedName>
    <definedName name="sdssfsf" localSheetId="6">#REF!</definedName>
    <definedName name="sdssfsf" localSheetId="1">#REF!</definedName>
    <definedName name="sdssfsf">#REF!</definedName>
    <definedName name="SiterSheet4" localSheetId="4">[6]Hidden!#REF!</definedName>
    <definedName name="SiterSheet4" localSheetId="6">[6]Hidden!#REF!</definedName>
    <definedName name="SiterSheet4" localSheetId="1">[6]Hidden!#REF!</definedName>
    <definedName name="SiterSheet4">[6]Hidden!#REF!</definedName>
    <definedName name="SiteSheet" localSheetId="4">[6]Hidden!#REF!</definedName>
    <definedName name="SiteSheet" localSheetId="6">[6]Hidden!#REF!</definedName>
    <definedName name="SiteSheet" localSheetId="1">[6]Hidden!#REF!</definedName>
    <definedName name="SiteSheet">[6]Hidden!#REF!</definedName>
    <definedName name="ss" localSheetId="4">[7]Hidden!#REF!</definedName>
    <definedName name="ss" localSheetId="6">[7]Hidden!#REF!</definedName>
    <definedName name="ss" localSheetId="1">[7]Hidden!#REF!</definedName>
    <definedName name="ss">[7]Hidden!#REF!</definedName>
    <definedName name="SSSS" localSheetId="4">#REF!</definedName>
    <definedName name="SSSS" localSheetId="5">#REF!</definedName>
    <definedName name="SSSS" localSheetId="6">#REF!</definedName>
    <definedName name="SSSS" localSheetId="1">#REF!</definedName>
    <definedName name="SSSS">#REF!</definedName>
    <definedName name="SSSSSSSSSSS" localSheetId="4">#REF!</definedName>
    <definedName name="SSSSSSSSSSS" localSheetId="5">#REF!</definedName>
    <definedName name="SSSSSSSSSSS" localSheetId="6">#REF!</definedName>
    <definedName name="SSSSSSSSSSS" localSheetId="1">#REF!</definedName>
    <definedName name="SSSSSSSSSSS">#REF!</definedName>
    <definedName name="SSSSSSSSSSSS" localSheetId="4">'[4]Term Outstanding Payment'!#REF!</definedName>
    <definedName name="SSSSSSSSSSSS" localSheetId="5">'[4]Term Outstanding Payment'!#REF!</definedName>
    <definedName name="SSSSSSSSSSSS" localSheetId="6">'[4]Term Outstanding Payment'!#REF!</definedName>
    <definedName name="SSSSSSSSSSSS" localSheetId="1">'[4]Term Outstanding Payment'!#REF!</definedName>
    <definedName name="SSSSSSSSSSSS">'[4]Term Outstanding Payment'!#REF!</definedName>
    <definedName name="SSSSSSSSSSSSSS" localSheetId="4">#REF!</definedName>
    <definedName name="SSSSSSSSSSSSSS" localSheetId="5">#REF!</definedName>
    <definedName name="SSSSSSSSSSSSSS" localSheetId="6">#REF!</definedName>
    <definedName name="SSSSSSSSSSSSSS" localSheetId="1">#REF!</definedName>
    <definedName name="SSSSSSSSSSSSSS">#REF!</definedName>
    <definedName name="SSSSSSSSSSSSSSSSSSSSS" localSheetId="4">#REF!</definedName>
    <definedName name="SSSSSSSSSSSSSSSSSSSSS" localSheetId="5">#REF!</definedName>
    <definedName name="SSSSSSSSSSSSSSSSSSSSS" localSheetId="6">#REF!</definedName>
    <definedName name="SSSSSSSSSSSSSSSSSSSSS" localSheetId="1">#REF!</definedName>
    <definedName name="SSSSSSSSSSSSSSSSSSSSS">#REF!</definedName>
    <definedName name="SSSSSSSSSSSSSSSSSSSSSSSSSS" localSheetId="4">#REF!</definedName>
    <definedName name="SSSSSSSSSSSSSSSSSSSSSSSSSS" localSheetId="5">#REF!</definedName>
    <definedName name="SSSSSSSSSSSSSSSSSSSSSSSSSS" localSheetId="6">#REF!</definedName>
    <definedName name="SSSSSSSSSSSSSSSSSSSSSSSSSS" localSheetId="1">#REF!</definedName>
    <definedName name="SSSSSSSSSSSSSSSSSSSSSSSSSS">#REF!</definedName>
    <definedName name="SSSSSSSSSSSSSSSSSSSSSSSSSSSSSSS" localSheetId="4">#REF!</definedName>
    <definedName name="SSSSSSSSSSSSSSSSSSSSSSSSSSSSSSS" localSheetId="6">#REF!</definedName>
    <definedName name="SSSSSSSSSSSSSSSSSSSSSSSSSSSSSSS" localSheetId="1">#REF!</definedName>
    <definedName name="SSSSSSSSSSSSSSSSSSSSSSSSSSSSSSS">#REF!</definedName>
    <definedName name="SUM" localSheetId="4">#REF!</definedName>
    <definedName name="SUM" localSheetId="6">#REF!</definedName>
    <definedName name="SUM" localSheetId="1">#REF!</definedName>
    <definedName name="SUM">#REF!</definedName>
    <definedName name="tarikhcuti" localSheetId="3">'[8]Public Holiday'!$A$3:$A$50</definedName>
    <definedName name="tarikhcuti" localSheetId="4">'[9]Public Holiday'!$A$4:$A$45</definedName>
    <definedName name="tarikhcuti" localSheetId="5">'[10]Public Holiday'!$A$4:$A$45</definedName>
    <definedName name="tarikhcuti" localSheetId="6">'[11]Public Holiday'!$A$4:$A$43</definedName>
    <definedName name="tarikhcuti">'Public Holiday'!$A$4:$A$43</definedName>
    <definedName name="tertertyertert" localSheetId="4">#REF!</definedName>
    <definedName name="tertertyertert" localSheetId="5">#REF!</definedName>
    <definedName name="tertertyertert" localSheetId="6">#REF!</definedName>
    <definedName name="tertertyertert" localSheetId="1">#REF!</definedName>
    <definedName name="tertertyertert">#REF!</definedName>
    <definedName name="TickCell" localSheetId="4">#REF!</definedName>
    <definedName name="TickCell" localSheetId="5">#REF!</definedName>
    <definedName name="TickCell" localSheetId="6">#REF!</definedName>
    <definedName name="TickCell" localSheetId="1">#REF!</definedName>
    <definedName name="TickCell">#REF!</definedName>
    <definedName name="try" localSheetId="4">#REF!</definedName>
    <definedName name="try" localSheetId="5">#REF!</definedName>
    <definedName name="try" localSheetId="6">#REF!</definedName>
    <definedName name="try" localSheetId="1">#REF!</definedName>
    <definedName name="try">#REF!</definedName>
    <definedName name="tryrtyyu" localSheetId="4">[6]Hidden!#REF!</definedName>
    <definedName name="tryrtyyu" localSheetId="5">[6]Hidden!#REF!</definedName>
    <definedName name="tryrtyyu" localSheetId="6">[6]Hidden!#REF!</definedName>
    <definedName name="tryrtyyu" localSheetId="1">[6]Hidden!#REF!</definedName>
    <definedName name="tryrtyyu">[6]Hidden!#REF!</definedName>
    <definedName name="twewtweewt" localSheetId="4">#REF!</definedName>
    <definedName name="twewtweewt" localSheetId="5">#REF!</definedName>
    <definedName name="twewtweewt" localSheetId="6">#REF!</definedName>
    <definedName name="twewtweewt" localSheetId="1">#REF!</definedName>
    <definedName name="twewtweewt">#REF!</definedName>
    <definedName name="ukjj" localSheetId="4">#REF!</definedName>
    <definedName name="ukjj" localSheetId="5">#REF!</definedName>
    <definedName name="ukjj" localSheetId="6">#REF!</definedName>
    <definedName name="ukjj" localSheetId="1">#REF!</definedName>
    <definedName name="ukjj">#REF!</definedName>
    <definedName name="value">'[12]HWMS 1'!$D$2</definedName>
    <definedName name="VEEEEEEEEE" localSheetId="4">#REF!</definedName>
    <definedName name="VEEEEEEEEE" localSheetId="5">#REF!</definedName>
    <definedName name="VEEEEEEEEE" localSheetId="6">#REF!</definedName>
    <definedName name="VEEEEEEEEE" localSheetId="1">#REF!</definedName>
    <definedName name="VEEEEEEEEE">#REF!</definedName>
    <definedName name="vtecax" localSheetId="4">#REF!</definedName>
    <definedName name="vtecax" localSheetId="5">#REF!</definedName>
    <definedName name="vtecax" localSheetId="6">#REF!</definedName>
    <definedName name="vtecax" localSheetId="1">#REF!</definedName>
    <definedName name="vtecax">#REF!</definedName>
    <definedName name="WAE" localSheetId="4">#REF!</definedName>
    <definedName name="WAE" localSheetId="5">#REF!</definedName>
    <definedName name="WAE" localSheetId="6">#REF!</definedName>
    <definedName name="WAE" localSheetId="1">#REF!</definedName>
    <definedName name="WAE">#REF!</definedName>
    <definedName name="WEA" localSheetId="4">#REF!</definedName>
    <definedName name="WEA" localSheetId="6">#REF!</definedName>
    <definedName name="WEA" localSheetId="1">#REF!</definedName>
    <definedName name="WEA">#REF!</definedName>
    <definedName name="Yes" localSheetId="4">#REF!</definedName>
    <definedName name="Yes" localSheetId="6">#REF!</definedName>
    <definedName name="Yes" localSheetId="1">#REF!</definedName>
    <definedName name="Yes">#REF!</definedName>
    <definedName name="yttyrty" localSheetId="4">#REF!</definedName>
    <definedName name="yttyrty" localSheetId="6">#REF!</definedName>
    <definedName name="yttyrty" localSheetId="1">#REF!</definedName>
    <definedName name="yttyrty">#REF!</definedName>
    <definedName name="zhGFFFDX" localSheetId="4">#REF!</definedName>
    <definedName name="zhGFFFDX" localSheetId="6">#REF!</definedName>
    <definedName name="zhGFFFDX" localSheetId="1">#REF!</definedName>
    <definedName name="zhGFFFDX">#REF!</definedName>
    <definedName name="ZZ" localSheetId="4">[7]Hidden!#REF!</definedName>
    <definedName name="ZZ" localSheetId="6">[7]Hidden!#REF!</definedName>
    <definedName name="ZZ" localSheetId="1">[7]Hidden!#REF!</definedName>
    <definedName name="ZZ">[7]Hidden!#REF!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5" i="58" l="1"/>
  <c r="U117" i="58"/>
  <c r="S95" i="58"/>
  <c r="D98" i="58"/>
  <c r="D97" i="58"/>
  <c r="D130" i="61"/>
  <c r="K130" i="61" s="1"/>
  <c r="L130" i="61" s="1"/>
  <c r="L129" i="61"/>
  <c r="D129" i="61"/>
  <c r="K129" i="61" s="1"/>
  <c r="L128" i="61"/>
  <c r="D128" i="61"/>
  <c r="K128" i="61" s="1"/>
  <c r="L127" i="61"/>
  <c r="D127" i="61"/>
  <c r="K127" i="61" s="1"/>
  <c r="L126" i="61"/>
  <c r="D126" i="61"/>
  <c r="K126" i="61" s="1"/>
  <c r="L125" i="61"/>
  <c r="D125" i="61"/>
  <c r="K125" i="61" s="1"/>
  <c r="L124" i="61"/>
  <c r="D124" i="61"/>
  <c r="K124" i="61" s="1"/>
  <c r="L123" i="61"/>
  <c r="D123" i="61"/>
  <c r="K123" i="61" s="1"/>
  <c r="L122" i="61"/>
  <c r="D122" i="61"/>
  <c r="K122" i="61" s="1"/>
  <c r="L121" i="61"/>
  <c r="D121" i="61"/>
  <c r="K121" i="61" s="1"/>
  <c r="L120" i="61"/>
  <c r="D120" i="61"/>
  <c r="K120" i="61" s="1"/>
  <c r="L119" i="61"/>
  <c r="D119" i="61"/>
  <c r="K119" i="61" s="1"/>
  <c r="L118" i="61"/>
  <c r="D118" i="61"/>
  <c r="K118" i="61" s="1"/>
  <c r="L117" i="61"/>
  <c r="D117" i="61"/>
  <c r="K117" i="61" s="1"/>
  <c r="L116" i="61"/>
  <c r="D116" i="61"/>
  <c r="K116" i="61" s="1"/>
  <c r="L115" i="61"/>
  <c r="D115" i="61"/>
  <c r="K115" i="61" s="1"/>
  <c r="L114" i="61"/>
  <c r="D114" i="61"/>
  <c r="K114" i="61" s="1"/>
  <c r="L113" i="61"/>
  <c r="D113" i="61"/>
  <c r="K113" i="61" s="1"/>
  <c r="L112" i="61"/>
  <c r="D112" i="61"/>
  <c r="K112" i="61" s="1"/>
  <c r="L111" i="61"/>
  <c r="D111" i="61"/>
  <c r="K111" i="61" s="1"/>
  <c r="L110" i="61"/>
  <c r="D110" i="61"/>
  <c r="K110" i="61" s="1"/>
  <c r="L109" i="61"/>
  <c r="D109" i="61"/>
  <c r="K109" i="61" s="1"/>
  <c r="L108" i="61"/>
  <c r="D108" i="61"/>
  <c r="K108" i="61" s="1"/>
  <c r="L107" i="61"/>
  <c r="D107" i="61"/>
  <c r="K107" i="61" s="1"/>
  <c r="L106" i="61"/>
  <c r="D106" i="61"/>
  <c r="K106" i="61" s="1"/>
  <c r="L104" i="61"/>
  <c r="D104" i="61"/>
  <c r="K104" i="61" s="1"/>
  <c r="L103" i="61"/>
  <c r="D103" i="61"/>
  <c r="K103" i="61" s="1"/>
  <c r="L102" i="61"/>
  <c r="D102" i="61"/>
  <c r="K102" i="61" s="1"/>
  <c r="L101" i="61"/>
  <c r="D101" i="61"/>
  <c r="K101" i="61" s="1"/>
  <c r="L100" i="61"/>
  <c r="D100" i="61"/>
  <c r="K100" i="61" s="1"/>
  <c r="L99" i="61"/>
  <c r="D99" i="61"/>
  <c r="K99" i="61" s="1"/>
  <c r="L98" i="61"/>
  <c r="D98" i="61"/>
  <c r="K98" i="61" s="1"/>
  <c r="L96" i="61"/>
  <c r="D96" i="61"/>
  <c r="K96" i="61" s="1"/>
  <c r="L95" i="61"/>
  <c r="D95" i="61"/>
  <c r="K95" i="61" s="1"/>
  <c r="L93" i="61"/>
  <c r="D93" i="61"/>
  <c r="K93" i="61" s="1"/>
  <c r="L92" i="61"/>
  <c r="K92" i="61"/>
  <c r="L91" i="61"/>
  <c r="D91" i="61"/>
  <c r="K91" i="61" s="1"/>
  <c r="L90" i="61"/>
  <c r="D90" i="61"/>
  <c r="K90" i="61" s="1"/>
  <c r="L89" i="61"/>
  <c r="D89" i="61"/>
  <c r="K89" i="61" s="1"/>
  <c r="L88" i="61"/>
  <c r="D88" i="61"/>
  <c r="K88" i="61" s="1"/>
  <c r="L87" i="61"/>
  <c r="D87" i="61"/>
  <c r="K87" i="61" s="1"/>
  <c r="L86" i="61"/>
  <c r="D86" i="61"/>
  <c r="K86" i="61" s="1"/>
  <c r="L85" i="61"/>
  <c r="D85" i="61"/>
  <c r="K85" i="61" s="1"/>
  <c r="L84" i="61"/>
  <c r="D84" i="61"/>
  <c r="K84" i="61" s="1"/>
  <c r="L83" i="61"/>
  <c r="D83" i="61"/>
  <c r="K83" i="61" s="1"/>
  <c r="L82" i="61"/>
  <c r="D82" i="61"/>
  <c r="K82" i="61" s="1"/>
  <c r="L81" i="61"/>
  <c r="D81" i="61"/>
  <c r="K81" i="61" s="1"/>
  <c r="L80" i="61"/>
  <c r="D80" i="61"/>
  <c r="K80" i="61" s="1"/>
  <c r="L79" i="61"/>
  <c r="D79" i="61"/>
  <c r="K79" i="61" s="1"/>
  <c r="L78" i="61"/>
  <c r="D78" i="61"/>
  <c r="K78" i="61" s="1"/>
  <c r="L77" i="61"/>
  <c r="D77" i="61"/>
  <c r="K77" i="61" s="1"/>
  <c r="L76" i="61"/>
  <c r="D76" i="61"/>
  <c r="K76" i="61" s="1"/>
  <c r="L75" i="61"/>
  <c r="D75" i="61"/>
  <c r="K75" i="61" s="1"/>
  <c r="L74" i="61"/>
  <c r="D74" i="61"/>
  <c r="K74" i="61" s="1"/>
  <c r="L73" i="61"/>
  <c r="D73" i="61"/>
  <c r="K73" i="61" s="1"/>
  <c r="L72" i="61"/>
  <c r="D72" i="61"/>
  <c r="K72" i="61" s="1"/>
  <c r="L71" i="61"/>
  <c r="D71" i="61"/>
  <c r="K71" i="61" s="1"/>
  <c r="L70" i="61"/>
  <c r="D70" i="61"/>
  <c r="K70" i="61" s="1"/>
  <c r="L69" i="61"/>
  <c r="D69" i="61"/>
  <c r="K69" i="61" s="1"/>
  <c r="L68" i="61"/>
  <c r="D68" i="61"/>
  <c r="K68" i="61" s="1"/>
  <c r="L67" i="61"/>
  <c r="D67" i="61"/>
  <c r="K67" i="61" s="1"/>
  <c r="L66" i="61"/>
  <c r="D66" i="61"/>
  <c r="K66" i="61" s="1"/>
  <c r="L65" i="61"/>
  <c r="D65" i="61"/>
  <c r="K65" i="61" s="1"/>
  <c r="L64" i="61"/>
  <c r="D64" i="61"/>
  <c r="K64" i="61" s="1"/>
  <c r="L63" i="61"/>
  <c r="D63" i="61"/>
  <c r="K63" i="61" s="1"/>
  <c r="L62" i="61"/>
  <c r="D62" i="61"/>
  <c r="K62" i="61" s="1"/>
  <c r="L61" i="61"/>
  <c r="D61" i="61"/>
  <c r="K61" i="61" s="1"/>
  <c r="L60" i="61"/>
  <c r="D60" i="61"/>
  <c r="K60" i="61" s="1"/>
  <c r="L59" i="61"/>
  <c r="D59" i="61"/>
  <c r="K59" i="61" s="1"/>
  <c r="L58" i="61"/>
  <c r="D58" i="61"/>
  <c r="K58" i="61" s="1"/>
  <c r="L57" i="61"/>
  <c r="D57" i="61"/>
  <c r="K57" i="61" s="1"/>
  <c r="L56" i="61"/>
  <c r="D56" i="61"/>
  <c r="K56" i="61" s="1"/>
  <c r="L55" i="61"/>
  <c r="D55" i="61"/>
  <c r="K55" i="61" s="1"/>
  <c r="L54" i="61"/>
  <c r="D54" i="61"/>
  <c r="K54" i="61" s="1"/>
  <c r="L53" i="61"/>
  <c r="D53" i="61"/>
  <c r="K53" i="61" s="1"/>
  <c r="L52" i="61"/>
  <c r="D52" i="61"/>
  <c r="K52" i="61" s="1"/>
  <c r="L51" i="61"/>
  <c r="D51" i="61"/>
  <c r="K51" i="61" s="1"/>
  <c r="L50" i="61"/>
  <c r="D50" i="61"/>
  <c r="K50" i="61" s="1"/>
  <c r="L49" i="61"/>
  <c r="D49" i="61"/>
  <c r="K49" i="61" s="1"/>
  <c r="L48" i="61"/>
  <c r="D48" i="61"/>
  <c r="K48" i="61" s="1"/>
  <c r="L47" i="61"/>
  <c r="D47" i="61"/>
  <c r="K47" i="61" s="1"/>
  <c r="L46" i="61"/>
  <c r="D46" i="61"/>
  <c r="K46" i="61" s="1"/>
  <c r="L45" i="61"/>
  <c r="D45" i="61"/>
  <c r="K45" i="61" s="1"/>
  <c r="L44" i="61"/>
  <c r="D44" i="61"/>
  <c r="K44" i="61" s="1"/>
  <c r="L43" i="61"/>
  <c r="D43" i="61"/>
  <c r="K43" i="61" s="1"/>
  <c r="L42" i="61"/>
  <c r="D42" i="61"/>
  <c r="K42" i="61" s="1"/>
  <c r="L41" i="61"/>
  <c r="D41" i="61"/>
  <c r="K41" i="61" s="1"/>
  <c r="L40" i="61"/>
  <c r="D40" i="61"/>
  <c r="K40" i="61" s="1"/>
  <c r="L39" i="61"/>
  <c r="D39" i="61"/>
  <c r="K39" i="61" s="1"/>
  <c r="L38" i="61"/>
  <c r="D38" i="61"/>
  <c r="K38" i="61" s="1"/>
  <c r="L37" i="61"/>
  <c r="D37" i="61"/>
  <c r="K37" i="61" s="1"/>
  <c r="L36" i="61"/>
  <c r="D36" i="61"/>
  <c r="K36" i="61" s="1"/>
  <c r="L35" i="61"/>
  <c r="D35" i="61"/>
  <c r="K35" i="61" s="1"/>
  <c r="L34" i="61"/>
  <c r="D34" i="61"/>
  <c r="K34" i="61" s="1"/>
  <c r="L33" i="61"/>
  <c r="D33" i="61"/>
  <c r="K33" i="61" s="1"/>
  <c r="L32" i="61"/>
  <c r="D32" i="61"/>
  <c r="K32" i="61" s="1"/>
  <c r="L31" i="61"/>
  <c r="D31" i="61"/>
  <c r="K31" i="61" s="1"/>
  <c r="L30" i="61"/>
  <c r="D30" i="61"/>
  <c r="K30" i="61" s="1"/>
  <c r="L29" i="61"/>
  <c r="D29" i="61"/>
  <c r="K29" i="61" s="1"/>
  <c r="L28" i="61"/>
  <c r="D28" i="61"/>
  <c r="K28" i="61" s="1"/>
  <c r="L27" i="61"/>
  <c r="D27" i="61"/>
  <c r="K27" i="61" s="1"/>
  <c r="L26" i="61"/>
  <c r="D26" i="61"/>
  <c r="K26" i="61" s="1"/>
  <c r="L25" i="61"/>
  <c r="D25" i="61"/>
  <c r="K25" i="61" s="1"/>
  <c r="L24" i="61"/>
  <c r="D24" i="61"/>
  <c r="K24" i="61" s="1"/>
  <c r="L23" i="61"/>
  <c r="D23" i="61"/>
  <c r="K23" i="61" s="1"/>
  <c r="L22" i="61"/>
  <c r="D22" i="61"/>
  <c r="K22" i="61" s="1"/>
  <c r="M21" i="61"/>
  <c r="J11" i="61"/>
  <c r="J9" i="61"/>
  <c r="R72" i="58"/>
  <c r="S94" i="58"/>
  <c r="S81" i="58"/>
  <c r="S82" i="58"/>
  <c r="S83" i="58"/>
  <c r="S84" i="58"/>
  <c r="S85" i="58"/>
  <c r="S86" i="58"/>
  <c r="S87" i="58"/>
  <c r="S88" i="58"/>
  <c r="S89" i="58"/>
  <c r="S90" i="58"/>
  <c r="S91" i="58"/>
  <c r="S92" i="58"/>
  <c r="S93" i="58"/>
  <c r="S77" i="58"/>
  <c r="S78" i="58"/>
  <c r="S79" i="58"/>
  <c r="S80" i="58"/>
  <c r="S76" i="58"/>
  <c r="S50" i="58"/>
  <c r="S51" i="58"/>
  <c r="S52" i="58"/>
  <c r="S53" i="58"/>
  <c r="S54" i="58"/>
  <c r="S55" i="58"/>
  <c r="S56" i="58"/>
  <c r="S57" i="58"/>
  <c r="S58" i="58"/>
  <c r="S59" i="58"/>
  <c r="S60" i="58"/>
  <c r="S61" i="58"/>
  <c r="S62" i="58"/>
  <c r="S63" i="58"/>
  <c r="S64" i="58"/>
  <c r="S65" i="58"/>
  <c r="S66" i="58"/>
  <c r="S67" i="58"/>
  <c r="S68" i="58"/>
  <c r="S69" i="58"/>
  <c r="S70" i="58"/>
  <c r="S71" i="58"/>
  <c r="S72" i="58"/>
  <c r="S73" i="58"/>
  <c r="S74" i="58"/>
  <c r="S75" i="58"/>
  <c r="S49" i="58"/>
  <c r="S47" i="58"/>
  <c r="S48" i="58"/>
  <c r="S46" i="58"/>
  <c r="S44" i="58"/>
  <c r="S45" i="58"/>
  <c r="S42" i="58"/>
  <c r="S43" i="58"/>
  <c r="S27" i="58"/>
  <c r="S25" i="58"/>
  <c r="S26" i="58"/>
  <c r="S24" i="58"/>
  <c r="L131" i="61" l="1"/>
  <c r="L21" i="19" s="1"/>
  <c r="AC16" i="10"/>
  <c r="AB16" i="10"/>
  <c r="Z16" i="10"/>
  <c r="X16" i="10"/>
  <c r="U16" i="10"/>
  <c r="T16" i="10"/>
  <c r="R16" i="10"/>
  <c r="O16" i="10"/>
  <c r="M16" i="10"/>
  <c r="A16" i="10"/>
  <c r="AC15" i="10"/>
  <c r="AB15" i="10"/>
  <c r="Z15" i="10"/>
  <c r="X15" i="10"/>
  <c r="U15" i="10"/>
  <c r="T15" i="10"/>
  <c r="R15" i="10"/>
  <c r="O15" i="10"/>
  <c r="M15" i="10"/>
  <c r="A15" i="10"/>
  <c r="AC14" i="10"/>
  <c r="AB14" i="10"/>
  <c r="Z14" i="10"/>
  <c r="X14" i="10"/>
  <c r="U14" i="10"/>
  <c r="T14" i="10"/>
  <c r="R14" i="10"/>
  <c r="O14" i="10"/>
  <c r="M14" i="10"/>
  <c r="A14" i="10"/>
  <c r="AC13" i="10"/>
  <c r="AB13" i="10"/>
  <c r="Z13" i="10"/>
  <c r="X13" i="10"/>
  <c r="U13" i="10"/>
  <c r="T13" i="10"/>
  <c r="R13" i="10"/>
  <c r="O13" i="10"/>
  <c r="M13" i="10"/>
  <c r="A13" i="10"/>
  <c r="AC12" i="10"/>
  <c r="AB12" i="10"/>
  <c r="Z12" i="10"/>
  <c r="X12" i="10"/>
  <c r="U12" i="10"/>
  <c r="T12" i="10"/>
  <c r="R12" i="10"/>
  <c r="O12" i="10"/>
  <c r="M12" i="10"/>
  <c r="A12" i="10"/>
  <c r="AC11" i="10"/>
  <c r="AB11" i="10"/>
  <c r="Z11" i="10"/>
  <c r="X11" i="10"/>
  <c r="U11" i="10"/>
  <c r="T11" i="10"/>
  <c r="R11" i="10"/>
  <c r="O11" i="10"/>
  <c r="M11" i="10"/>
  <c r="A11" i="10"/>
  <c r="AC10" i="10"/>
  <c r="AB10" i="10"/>
  <c r="Z10" i="10"/>
  <c r="X10" i="10"/>
  <c r="U10" i="10"/>
  <c r="T10" i="10"/>
  <c r="R10" i="10"/>
  <c r="O10" i="10"/>
  <c r="M10" i="10"/>
  <c r="A10" i="10"/>
  <c r="AC9" i="10"/>
  <c r="AB9" i="10"/>
  <c r="Z9" i="10"/>
  <c r="X9" i="10"/>
  <c r="U9" i="10"/>
  <c r="T9" i="10"/>
  <c r="R9" i="10"/>
  <c r="O9" i="10"/>
  <c r="M9" i="10"/>
  <c r="A9" i="10"/>
  <c r="AC8" i="10"/>
  <c r="AB8" i="10"/>
  <c r="Z8" i="10"/>
  <c r="X8" i="10"/>
  <c r="U8" i="10"/>
  <c r="T8" i="10"/>
  <c r="R8" i="10"/>
  <c r="O8" i="10"/>
  <c r="M8" i="10"/>
  <c r="A8" i="10"/>
  <c r="AC7" i="10"/>
  <c r="AB7" i="10"/>
  <c r="Z7" i="10"/>
  <c r="X7" i="10"/>
  <c r="S7" i="10"/>
  <c r="T7" i="10" s="1"/>
  <c r="U7" i="10" s="1"/>
  <c r="R7" i="10"/>
  <c r="O7" i="10"/>
  <c r="M7" i="10"/>
  <c r="AC6" i="10"/>
  <c r="AB6" i="10"/>
  <c r="Z6" i="10"/>
  <c r="X6" i="10"/>
  <c r="S6" i="10"/>
  <c r="T6" i="10" s="1"/>
  <c r="U6" i="10" s="1"/>
  <c r="U17" i="10" s="1"/>
  <c r="R6" i="10"/>
  <c r="O6" i="10"/>
  <c r="M6" i="10"/>
  <c r="O21" i="53"/>
  <c r="K9" i="53"/>
  <c r="K7" i="53"/>
  <c r="WZX92" i="54"/>
  <c r="WZV92" i="54"/>
  <c r="WZT92" i="54"/>
  <c r="WZR92" i="54"/>
  <c r="WZP92" i="54"/>
  <c r="WZN92" i="54"/>
  <c r="WZL92" i="54"/>
  <c r="WZJ92" i="54"/>
  <c r="WZH92" i="54"/>
  <c r="WZF92" i="54"/>
  <c r="WZD92" i="54"/>
  <c r="WZB92" i="54"/>
  <c r="WYZ92" i="54"/>
  <c r="WYX92" i="54"/>
  <c r="WYV92" i="54"/>
  <c r="WYT92" i="54"/>
  <c r="WYR92" i="54"/>
  <c r="WYP92" i="54"/>
  <c r="WYN92" i="54"/>
  <c r="WYL92" i="54"/>
  <c r="WYJ92" i="54"/>
  <c r="WYH92" i="54"/>
  <c r="WYF92" i="54"/>
  <c r="WYD92" i="54"/>
  <c r="WYB92" i="54"/>
  <c r="WXZ92" i="54"/>
  <c r="WXX92" i="54"/>
  <c r="WXV92" i="54"/>
  <c r="WXT92" i="54"/>
  <c r="WXR92" i="54"/>
  <c r="WXP92" i="54"/>
  <c r="WXN92" i="54"/>
  <c r="WXL92" i="54"/>
  <c r="WXJ92" i="54"/>
  <c r="WXH92" i="54"/>
  <c r="WXF92" i="54"/>
  <c r="WXD92" i="54"/>
  <c r="WXB92" i="54"/>
  <c r="WWZ92" i="54"/>
  <c r="WWX92" i="54"/>
  <c r="WWV92" i="54"/>
  <c r="WWT92" i="54"/>
  <c r="WWR92" i="54"/>
  <c r="WWP92" i="54"/>
  <c r="WWN92" i="54"/>
  <c r="WWL92" i="54"/>
  <c r="WWJ92" i="54"/>
  <c r="WWH92" i="54"/>
  <c r="WWF92" i="54"/>
  <c r="WWD92" i="54"/>
  <c r="WWB92" i="54"/>
  <c r="WVZ92" i="54"/>
  <c r="WVX92" i="54"/>
  <c r="WVV92" i="54"/>
  <c r="WVT92" i="54"/>
  <c r="WVR92" i="54"/>
  <c r="WVP92" i="54"/>
  <c r="WVN92" i="54"/>
  <c r="WVL92" i="54"/>
  <c r="WVJ92" i="54"/>
  <c r="WVH92" i="54"/>
  <c r="WVF92" i="54"/>
  <c r="WVD92" i="54"/>
  <c r="WVB92" i="54"/>
  <c r="WUZ92" i="54"/>
  <c r="WUX92" i="54"/>
  <c r="WUV92" i="54"/>
  <c r="WUT92" i="54"/>
  <c r="WUR92" i="54"/>
  <c r="WUP92" i="54"/>
  <c r="WUN92" i="54"/>
  <c r="WUL92" i="54"/>
  <c r="WUJ92" i="54"/>
  <c r="WUH92" i="54"/>
  <c r="WUF92" i="54"/>
  <c r="WUD92" i="54"/>
  <c r="WUB92" i="54"/>
  <c r="WTZ92" i="54"/>
  <c r="WTX92" i="54"/>
  <c r="WTV92" i="54"/>
  <c r="WTT92" i="54"/>
  <c r="WTR92" i="54"/>
  <c r="WTP92" i="54"/>
  <c r="WTN92" i="54"/>
  <c r="WTL92" i="54"/>
  <c r="WTJ92" i="54"/>
  <c r="WTH92" i="54"/>
  <c r="WTF92" i="54"/>
  <c r="WTD92" i="54"/>
  <c r="WTB92" i="54"/>
  <c r="WSZ92" i="54"/>
  <c r="WSX92" i="54"/>
  <c r="WSV92" i="54"/>
  <c r="WST92" i="54"/>
  <c r="WSR92" i="54"/>
  <c r="WSP92" i="54"/>
  <c r="WSN92" i="54"/>
  <c r="WSL92" i="54"/>
  <c r="WSJ92" i="54"/>
  <c r="WSH92" i="54"/>
  <c r="WSF92" i="54"/>
  <c r="WSD92" i="54"/>
  <c r="WSB92" i="54"/>
  <c r="WRZ92" i="54"/>
  <c r="WRX92" i="54"/>
  <c r="WRV92" i="54"/>
  <c r="WRT92" i="54"/>
  <c r="WRR92" i="54"/>
  <c r="WRP92" i="54"/>
  <c r="WRN92" i="54"/>
  <c r="WRL92" i="54"/>
  <c r="WRJ92" i="54"/>
  <c r="WRH92" i="54"/>
  <c r="WRF92" i="54"/>
  <c r="WRD92" i="54"/>
  <c r="WRB92" i="54"/>
  <c r="WQZ92" i="54"/>
  <c r="WQX92" i="54"/>
  <c r="WQV92" i="54"/>
  <c r="WQT92" i="54"/>
  <c r="WQR92" i="54"/>
  <c r="WQP92" i="54"/>
  <c r="WQN92" i="54"/>
  <c r="WQL92" i="54"/>
  <c r="WQJ92" i="54"/>
  <c r="WQH92" i="54"/>
  <c r="WQF92" i="54"/>
  <c r="WQD92" i="54"/>
  <c r="WQB92" i="54"/>
  <c r="WPZ92" i="54"/>
  <c r="WPX92" i="54"/>
  <c r="WPV92" i="54"/>
  <c r="WPT92" i="54"/>
  <c r="WPR92" i="54"/>
  <c r="WPP92" i="54"/>
  <c r="WPN92" i="54"/>
  <c r="WPL92" i="54"/>
  <c r="WPJ92" i="54"/>
  <c r="WPH92" i="54"/>
  <c r="WPF92" i="54"/>
  <c r="WPD92" i="54"/>
  <c r="WPB92" i="54"/>
  <c r="WOZ92" i="54"/>
  <c r="WOX92" i="54"/>
  <c r="WOV92" i="54"/>
  <c r="WOT92" i="54"/>
  <c r="WOR92" i="54"/>
  <c r="WOP92" i="54"/>
  <c r="WON92" i="54"/>
  <c r="WOL92" i="54"/>
  <c r="WOJ92" i="54"/>
  <c r="WOH92" i="54"/>
  <c r="WOF92" i="54"/>
  <c r="WOD92" i="54"/>
  <c r="WOB92" i="54"/>
  <c r="WNZ92" i="54"/>
  <c r="WNX92" i="54"/>
  <c r="WNV92" i="54"/>
  <c r="WNT92" i="54"/>
  <c r="WNR92" i="54"/>
  <c r="WNP92" i="54"/>
  <c r="WNN92" i="54"/>
  <c r="WNL92" i="54"/>
  <c r="WNJ92" i="54"/>
  <c r="WNH92" i="54"/>
  <c r="WNF92" i="54"/>
  <c r="WND92" i="54"/>
  <c r="WNB92" i="54"/>
  <c r="WMZ92" i="54"/>
  <c r="WMX92" i="54"/>
  <c r="WMV92" i="54"/>
  <c r="WMT92" i="54"/>
  <c r="WMR92" i="54"/>
  <c r="WMP92" i="54"/>
  <c r="WMN92" i="54"/>
  <c r="WML92" i="54"/>
  <c r="WMJ92" i="54"/>
  <c r="WMH92" i="54"/>
  <c r="WMF92" i="54"/>
  <c r="WMD92" i="54"/>
  <c r="WMB92" i="54"/>
  <c r="WLZ92" i="54"/>
  <c r="WLX92" i="54"/>
  <c r="WLV92" i="54"/>
  <c r="WLT92" i="54"/>
  <c r="WLR92" i="54"/>
  <c r="WLP92" i="54"/>
  <c r="WLN92" i="54"/>
  <c r="WLL92" i="54"/>
  <c r="WLJ92" i="54"/>
  <c r="WLH92" i="54"/>
  <c r="WLF92" i="54"/>
  <c r="WLD92" i="54"/>
  <c r="WLB92" i="54"/>
  <c r="WKZ92" i="54"/>
  <c r="WKX92" i="54"/>
  <c r="WKV92" i="54"/>
  <c r="WKT92" i="54"/>
  <c r="WKR92" i="54"/>
  <c r="WKP92" i="54"/>
  <c r="WKN92" i="54"/>
  <c r="WKL92" i="54"/>
  <c r="WKJ92" i="54"/>
  <c r="WKH92" i="54"/>
  <c r="WKF92" i="54"/>
  <c r="WKD92" i="54"/>
  <c r="WKB92" i="54"/>
  <c r="WJZ92" i="54"/>
  <c r="WJX92" i="54"/>
  <c r="WJV92" i="54"/>
  <c r="WJT92" i="54"/>
  <c r="WJR92" i="54"/>
  <c r="WJP92" i="54"/>
  <c r="WJN92" i="54"/>
  <c r="WJL92" i="54"/>
  <c r="WJJ92" i="54"/>
  <c r="WJH92" i="54"/>
  <c r="WJF92" i="54"/>
  <c r="WJD92" i="54"/>
  <c r="WJB92" i="54"/>
  <c r="WIZ92" i="54"/>
  <c r="WIX92" i="54"/>
  <c r="WIV92" i="54"/>
  <c r="WIT92" i="54"/>
  <c r="WIR92" i="54"/>
  <c r="WIP92" i="54"/>
  <c r="WIN92" i="54"/>
  <c r="WIL92" i="54"/>
  <c r="WIJ92" i="54"/>
  <c r="WIH92" i="54"/>
  <c r="WIF92" i="54"/>
  <c r="WID92" i="54"/>
  <c r="WIB92" i="54"/>
  <c r="WHZ92" i="54"/>
  <c r="WHX92" i="54"/>
  <c r="WHV92" i="54"/>
  <c r="WHT92" i="54"/>
  <c r="WHR92" i="54"/>
  <c r="WHP92" i="54"/>
  <c r="WHN92" i="54"/>
  <c r="WHL92" i="54"/>
  <c r="WHJ92" i="54"/>
  <c r="WHH92" i="54"/>
  <c r="WHF92" i="54"/>
  <c r="WHD92" i="54"/>
  <c r="WHB92" i="54"/>
  <c r="WGZ92" i="54"/>
  <c r="WGX92" i="54"/>
  <c r="WGV92" i="54"/>
  <c r="WGT92" i="54"/>
  <c r="WGR92" i="54"/>
  <c r="WGP92" i="54"/>
  <c r="WGN92" i="54"/>
  <c r="WGL92" i="54"/>
  <c r="WGJ92" i="54"/>
  <c r="WGH92" i="54"/>
  <c r="WGF92" i="54"/>
  <c r="WGD92" i="54"/>
  <c r="WGB92" i="54"/>
  <c r="WFZ92" i="54"/>
  <c r="WFX92" i="54"/>
  <c r="WFV92" i="54"/>
  <c r="WFT92" i="54"/>
  <c r="WFR92" i="54"/>
  <c r="WFP92" i="54"/>
  <c r="WFN92" i="54"/>
  <c r="WFL92" i="54"/>
  <c r="WFJ92" i="54"/>
  <c r="WFH92" i="54"/>
  <c r="WFF92" i="54"/>
  <c r="WFD92" i="54"/>
  <c r="WFB92" i="54"/>
  <c r="WEZ92" i="54"/>
  <c r="WEX92" i="54"/>
  <c r="WEV92" i="54"/>
  <c r="WET92" i="54"/>
  <c r="WER92" i="54"/>
  <c r="WEP92" i="54"/>
  <c r="WEN92" i="54"/>
  <c r="WEL92" i="54"/>
  <c r="WEJ92" i="54"/>
  <c r="WEH92" i="54"/>
  <c r="WEF92" i="54"/>
  <c r="WED92" i="54"/>
  <c r="WEB92" i="54"/>
  <c r="WDZ92" i="54"/>
  <c r="WDX92" i="54"/>
  <c r="WDV92" i="54"/>
  <c r="WDT92" i="54"/>
  <c r="WDR92" i="54"/>
  <c r="WDP92" i="54"/>
  <c r="WDN92" i="54"/>
  <c r="WDL92" i="54"/>
  <c r="WDJ92" i="54"/>
  <c r="WDH92" i="54"/>
  <c r="WDF92" i="54"/>
  <c r="WDD92" i="54"/>
  <c r="WDB92" i="54"/>
  <c r="WCZ92" i="54"/>
  <c r="WCX92" i="54"/>
  <c r="WCV92" i="54"/>
  <c r="WCT92" i="54"/>
  <c r="WCR92" i="54"/>
  <c r="WCP92" i="54"/>
  <c r="WCN92" i="54"/>
  <c r="WCL92" i="54"/>
  <c r="WCJ92" i="54"/>
  <c r="WCH92" i="54"/>
  <c r="WCF92" i="54"/>
  <c r="WCD92" i="54"/>
  <c r="WCB92" i="54"/>
  <c r="WBZ92" i="54"/>
  <c r="WBX92" i="54"/>
  <c r="WBV92" i="54"/>
  <c r="WBT92" i="54"/>
  <c r="WBR92" i="54"/>
  <c r="WBP92" i="54"/>
  <c r="WBN92" i="54"/>
  <c r="WBL92" i="54"/>
  <c r="WBJ92" i="54"/>
  <c r="WBH92" i="54"/>
  <c r="WBF92" i="54"/>
  <c r="WBD92" i="54"/>
  <c r="WBB92" i="54"/>
  <c r="WAZ92" i="54"/>
  <c r="WAX92" i="54"/>
  <c r="WAV92" i="54"/>
  <c r="WAT92" i="54"/>
  <c r="WAR92" i="54"/>
  <c r="WAP92" i="54"/>
  <c r="WAN92" i="54"/>
  <c r="WAL92" i="54"/>
  <c r="WAJ92" i="54"/>
  <c r="WAH92" i="54"/>
  <c r="WAF92" i="54"/>
  <c r="WAD92" i="54"/>
  <c r="WAB92" i="54"/>
  <c r="VZZ92" i="54"/>
  <c r="VZX92" i="54"/>
  <c r="VZV92" i="54"/>
  <c r="VZT92" i="54"/>
  <c r="VZR92" i="54"/>
  <c r="VZP92" i="54"/>
  <c r="VZN92" i="54"/>
  <c r="VZL92" i="54"/>
  <c r="VZJ92" i="54"/>
  <c r="VZH92" i="54"/>
  <c r="VZF92" i="54"/>
  <c r="VZD92" i="54"/>
  <c r="VZB92" i="54"/>
  <c r="VYZ92" i="54"/>
  <c r="VYX92" i="54"/>
  <c r="VYV92" i="54"/>
  <c r="VYT92" i="54"/>
  <c r="VYR92" i="54"/>
  <c r="VYP92" i="54"/>
  <c r="VYN92" i="54"/>
  <c r="VYL92" i="54"/>
  <c r="VYJ92" i="54"/>
  <c r="VYH92" i="54"/>
  <c r="VYF92" i="54"/>
  <c r="VYD92" i="54"/>
  <c r="VYB92" i="54"/>
  <c r="VXZ92" i="54"/>
  <c r="VXX92" i="54"/>
  <c r="VXV92" i="54"/>
  <c r="VXT92" i="54"/>
  <c r="VXR92" i="54"/>
  <c r="VXP92" i="54"/>
  <c r="VXN92" i="54"/>
  <c r="VXL92" i="54"/>
  <c r="VXJ92" i="54"/>
  <c r="VXH92" i="54"/>
  <c r="VXF92" i="54"/>
  <c r="VXD92" i="54"/>
  <c r="VXB92" i="54"/>
  <c r="VWZ92" i="54"/>
  <c r="VWX92" i="54"/>
  <c r="VWV92" i="54"/>
  <c r="VWT92" i="54"/>
  <c r="VWR92" i="54"/>
  <c r="VWP92" i="54"/>
  <c r="VWN92" i="54"/>
  <c r="VWL92" i="54"/>
  <c r="VWJ92" i="54"/>
  <c r="VWH92" i="54"/>
  <c r="VWF92" i="54"/>
  <c r="VWD92" i="54"/>
  <c r="VWB92" i="54"/>
  <c r="VVZ92" i="54"/>
  <c r="VVX92" i="54"/>
  <c r="VVV92" i="54"/>
  <c r="VVT92" i="54"/>
  <c r="VVR92" i="54"/>
  <c r="VVP92" i="54"/>
  <c r="VVN92" i="54"/>
  <c r="VVL92" i="54"/>
  <c r="VVJ92" i="54"/>
  <c r="VVH92" i="54"/>
  <c r="VVF92" i="54"/>
  <c r="VVD92" i="54"/>
  <c r="VVB92" i="54"/>
  <c r="VUZ92" i="54"/>
  <c r="VUX92" i="54"/>
  <c r="VUV92" i="54"/>
  <c r="VUT92" i="54"/>
  <c r="VUR92" i="54"/>
  <c r="VUP92" i="54"/>
  <c r="VUN92" i="54"/>
  <c r="VUL92" i="54"/>
  <c r="VUJ92" i="54"/>
  <c r="VUH92" i="54"/>
  <c r="VUF92" i="54"/>
  <c r="VUD92" i="54"/>
  <c r="VUB92" i="54"/>
  <c r="VTZ92" i="54"/>
  <c r="VTX92" i="54"/>
  <c r="VTV92" i="54"/>
  <c r="VTT92" i="54"/>
  <c r="VTR92" i="54"/>
  <c r="VTP92" i="54"/>
  <c r="VTN92" i="54"/>
  <c r="VTL92" i="54"/>
  <c r="VTJ92" i="54"/>
  <c r="VTH92" i="54"/>
  <c r="VTF92" i="54"/>
  <c r="VTD92" i="54"/>
  <c r="VTB92" i="54"/>
  <c r="VSZ92" i="54"/>
  <c r="VSX92" i="54"/>
  <c r="VSV92" i="54"/>
  <c r="VST92" i="54"/>
  <c r="VSR92" i="54"/>
  <c r="VSP92" i="54"/>
  <c r="VSN92" i="54"/>
  <c r="VSL92" i="54"/>
  <c r="VSJ92" i="54"/>
  <c r="VSH92" i="54"/>
  <c r="VSF92" i="54"/>
  <c r="VSD92" i="54"/>
  <c r="VSB92" i="54"/>
  <c r="VRZ92" i="54"/>
  <c r="VRX92" i="54"/>
  <c r="VRV92" i="54"/>
  <c r="VRT92" i="54"/>
  <c r="VRR92" i="54"/>
  <c r="VRP92" i="54"/>
  <c r="VRN92" i="54"/>
  <c r="VRL92" i="54"/>
  <c r="VRJ92" i="54"/>
  <c r="VRH92" i="54"/>
  <c r="VRF92" i="54"/>
  <c r="VRD92" i="54"/>
  <c r="VRB92" i="54"/>
  <c r="VQZ92" i="54"/>
  <c r="VQX92" i="54"/>
  <c r="VQV92" i="54"/>
  <c r="VQT92" i="54"/>
  <c r="VQR92" i="54"/>
  <c r="VQP92" i="54"/>
  <c r="VQN92" i="54"/>
  <c r="VQL92" i="54"/>
  <c r="VQJ92" i="54"/>
  <c r="VQH92" i="54"/>
  <c r="VQF92" i="54"/>
  <c r="VQD92" i="54"/>
  <c r="VQB92" i="54"/>
  <c r="VPZ92" i="54"/>
  <c r="VPX92" i="54"/>
  <c r="VPV92" i="54"/>
  <c r="VPT92" i="54"/>
  <c r="VPR92" i="54"/>
  <c r="VPP92" i="54"/>
  <c r="VPN92" i="54"/>
  <c r="VPL92" i="54"/>
  <c r="VPJ92" i="54"/>
  <c r="VPH92" i="54"/>
  <c r="VPF92" i="54"/>
  <c r="VPD92" i="54"/>
  <c r="VPB92" i="54"/>
  <c r="VOZ92" i="54"/>
  <c r="VOX92" i="54"/>
  <c r="VOV92" i="54"/>
  <c r="VOT92" i="54"/>
  <c r="VOR92" i="54"/>
  <c r="VOP92" i="54"/>
  <c r="VON92" i="54"/>
  <c r="VOL92" i="54"/>
  <c r="VOJ92" i="54"/>
  <c r="VOH92" i="54"/>
  <c r="VOF92" i="54"/>
  <c r="VOD92" i="54"/>
  <c r="VOB92" i="54"/>
  <c r="VNZ92" i="54"/>
  <c r="VNX92" i="54"/>
  <c r="VNV92" i="54"/>
  <c r="VNT92" i="54"/>
  <c r="VNR92" i="54"/>
  <c r="VNP92" i="54"/>
  <c r="VNN92" i="54"/>
  <c r="VNL92" i="54"/>
  <c r="VNJ92" i="54"/>
  <c r="VNH92" i="54"/>
  <c r="VNF92" i="54"/>
  <c r="VND92" i="54"/>
  <c r="VNB92" i="54"/>
  <c r="VMZ92" i="54"/>
  <c r="VMX92" i="54"/>
  <c r="VMV92" i="54"/>
  <c r="VMT92" i="54"/>
  <c r="VMR92" i="54"/>
  <c r="VMP92" i="54"/>
  <c r="VMN92" i="54"/>
  <c r="VML92" i="54"/>
  <c r="VMJ92" i="54"/>
  <c r="VMH92" i="54"/>
  <c r="VMF92" i="54"/>
  <c r="VMD92" i="54"/>
  <c r="VMB92" i="54"/>
  <c r="VLZ92" i="54"/>
  <c r="VLX92" i="54"/>
  <c r="VLV92" i="54"/>
  <c r="VLT92" i="54"/>
  <c r="VLR92" i="54"/>
  <c r="VLP92" i="54"/>
  <c r="VLN92" i="54"/>
  <c r="VLL92" i="54"/>
  <c r="VLJ92" i="54"/>
  <c r="VLH92" i="54"/>
  <c r="VLF92" i="54"/>
  <c r="VLD92" i="54"/>
  <c r="VLB92" i="54"/>
  <c r="VKZ92" i="54"/>
  <c r="VKX92" i="54"/>
  <c r="VKV92" i="54"/>
  <c r="VKT92" i="54"/>
  <c r="VKR92" i="54"/>
  <c r="VKP92" i="54"/>
  <c r="VKN92" i="54"/>
  <c r="VKL92" i="54"/>
  <c r="VKJ92" i="54"/>
  <c r="VKH92" i="54"/>
  <c r="VKF92" i="54"/>
  <c r="VKD92" i="54"/>
  <c r="VKB92" i="54"/>
  <c r="VJZ92" i="54"/>
  <c r="VJX92" i="54"/>
  <c r="VJV92" i="54"/>
  <c r="VJT92" i="54"/>
  <c r="VJR92" i="54"/>
  <c r="VJP92" i="54"/>
  <c r="VJN92" i="54"/>
  <c r="VJL92" i="54"/>
  <c r="VJJ92" i="54"/>
  <c r="VJH92" i="54"/>
  <c r="VJF92" i="54"/>
  <c r="VJD92" i="54"/>
  <c r="VJB92" i="54"/>
  <c r="VIZ92" i="54"/>
  <c r="VIX92" i="54"/>
  <c r="VIV92" i="54"/>
  <c r="VIT92" i="54"/>
  <c r="VIR92" i="54"/>
  <c r="VIP92" i="54"/>
  <c r="VIN92" i="54"/>
  <c r="VIL92" i="54"/>
  <c r="VIJ92" i="54"/>
  <c r="VIH92" i="54"/>
  <c r="VIF92" i="54"/>
  <c r="VID92" i="54"/>
  <c r="VIB92" i="54"/>
  <c r="VHZ92" i="54"/>
  <c r="VHX92" i="54"/>
  <c r="VHV92" i="54"/>
  <c r="VHT92" i="54"/>
  <c r="VHR92" i="54"/>
  <c r="VHP92" i="54"/>
  <c r="VHN92" i="54"/>
  <c r="VHL92" i="54"/>
  <c r="VHJ92" i="54"/>
  <c r="VHH92" i="54"/>
  <c r="VHF92" i="54"/>
  <c r="VHD92" i="54"/>
  <c r="VHB92" i="54"/>
  <c r="VGZ92" i="54"/>
  <c r="VGX92" i="54"/>
  <c r="VGV92" i="54"/>
  <c r="VGT92" i="54"/>
  <c r="VGR92" i="54"/>
  <c r="VGP92" i="54"/>
  <c r="VGN92" i="54"/>
  <c r="VGL92" i="54"/>
  <c r="VGJ92" i="54"/>
  <c r="VGH92" i="54"/>
  <c r="VGF92" i="54"/>
  <c r="VGD92" i="54"/>
  <c r="VGB92" i="54"/>
  <c r="VFZ92" i="54"/>
  <c r="VFX92" i="54"/>
  <c r="VFV92" i="54"/>
  <c r="VFT92" i="54"/>
  <c r="VFR92" i="54"/>
  <c r="VFP92" i="54"/>
  <c r="VFN92" i="54"/>
  <c r="VFL92" i="54"/>
  <c r="VFJ92" i="54"/>
  <c r="VFH92" i="54"/>
  <c r="VFF92" i="54"/>
  <c r="VFD92" i="54"/>
  <c r="VFB92" i="54"/>
  <c r="VEZ92" i="54"/>
  <c r="VEX92" i="54"/>
  <c r="VEV92" i="54"/>
  <c r="VET92" i="54"/>
  <c r="VER92" i="54"/>
  <c r="VEP92" i="54"/>
  <c r="VEN92" i="54"/>
  <c r="VEL92" i="54"/>
  <c r="VEJ92" i="54"/>
  <c r="VEH92" i="54"/>
  <c r="VEF92" i="54"/>
  <c r="VED92" i="54"/>
  <c r="VEB92" i="54"/>
  <c r="VDZ92" i="54"/>
  <c r="VDX92" i="54"/>
  <c r="VDV92" i="54"/>
  <c r="VDT92" i="54"/>
  <c r="VDR92" i="54"/>
  <c r="VDP92" i="54"/>
  <c r="VDN92" i="54"/>
  <c r="VDL92" i="54"/>
  <c r="VDJ92" i="54"/>
  <c r="VDH92" i="54"/>
  <c r="VDF92" i="54"/>
  <c r="VDD92" i="54"/>
  <c r="VDB92" i="54"/>
  <c r="VCZ92" i="54"/>
  <c r="VCX92" i="54"/>
  <c r="VCV92" i="54"/>
  <c r="VCT92" i="54"/>
  <c r="VCR92" i="54"/>
  <c r="VCP92" i="54"/>
  <c r="VCN92" i="54"/>
  <c r="VCL92" i="54"/>
  <c r="VCJ92" i="54"/>
  <c r="VCH92" i="54"/>
  <c r="VCF92" i="54"/>
  <c r="VCD92" i="54"/>
  <c r="VCB92" i="54"/>
  <c r="VBZ92" i="54"/>
  <c r="VBX92" i="54"/>
  <c r="VBV92" i="54"/>
  <c r="VBT92" i="54"/>
  <c r="VBR92" i="54"/>
  <c r="VBP92" i="54"/>
  <c r="VBN92" i="54"/>
  <c r="VBL92" i="54"/>
  <c r="VBJ92" i="54"/>
  <c r="VBH92" i="54"/>
  <c r="VBF92" i="54"/>
  <c r="VBD92" i="54"/>
  <c r="VBB92" i="54"/>
  <c r="VAZ92" i="54"/>
  <c r="VAX92" i="54"/>
  <c r="VAV92" i="54"/>
  <c r="VAT92" i="54"/>
  <c r="VAR92" i="54"/>
  <c r="VAP92" i="54"/>
  <c r="VAN92" i="54"/>
  <c r="VAL92" i="54"/>
  <c r="VAJ92" i="54"/>
  <c r="VAH92" i="54"/>
  <c r="VAF92" i="54"/>
  <c r="VAD92" i="54"/>
  <c r="VAB92" i="54"/>
  <c r="UZZ92" i="54"/>
  <c r="UZX92" i="54"/>
  <c r="UZV92" i="54"/>
  <c r="UZT92" i="54"/>
  <c r="UZR92" i="54"/>
  <c r="UZP92" i="54"/>
  <c r="UZN92" i="54"/>
  <c r="UZL92" i="54"/>
  <c r="UZJ92" i="54"/>
  <c r="UZH92" i="54"/>
  <c r="UZF92" i="54"/>
  <c r="UZD92" i="54"/>
  <c r="UZB92" i="54"/>
  <c r="UYZ92" i="54"/>
  <c r="UYX92" i="54"/>
  <c r="UYV92" i="54"/>
  <c r="UYT92" i="54"/>
  <c r="UYR92" i="54"/>
  <c r="UYP92" i="54"/>
  <c r="UYN92" i="54"/>
  <c r="UYL92" i="54"/>
  <c r="UYJ92" i="54"/>
  <c r="UYH92" i="54"/>
  <c r="UYF92" i="54"/>
  <c r="UYD92" i="54"/>
  <c r="UYB92" i="54"/>
  <c r="UXZ92" i="54"/>
  <c r="UXX92" i="54"/>
  <c r="UXV92" i="54"/>
  <c r="UXT92" i="54"/>
  <c r="UXR92" i="54"/>
  <c r="UXP92" i="54"/>
  <c r="UXN92" i="54"/>
  <c r="UXL92" i="54"/>
  <c r="UXJ92" i="54"/>
  <c r="UXH92" i="54"/>
  <c r="UXF92" i="54"/>
  <c r="UXD92" i="54"/>
  <c r="UXB92" i="54"/>
  <c r="UWZ92" i="54"/>
  <c r="UWX92" i="54"/>
  <c r="UWV92" i="54"/>
  <c r="UWT92" i="54"/>
  <c r="UWR92" i="54"/>
  <c r="UWP92" i="54"/>
  <c r="UWN92" i="54"/>
  <c r="UWL92" i="54"/>
  <c r="UWJ92" i="54"/>
  <c r="UWH92" i="54"/>
  <c r="UWF92" i="54"/>
  <c r="UWD92" i="54"/>
  <c r="UWB92" i="54"/>
  <c r="UVZ92" i="54"/>
  <c r="UVX92" i="54"/>
  <c r="UVV92" i="54"/>
  <c r="UVT92" i="54"/>
  <c r="UVR92" i="54"/>
  <c r="UVP92" i="54"/>
  <c r="UVN92" i="54"/>
  <c r="UVL92" i="54"/>
  <c r="UVJ92" i="54"/>
  <c r="UVH92" i="54"/>
  <c r="UVF92" i="54"/>
  <c r="UVD92" i="54"/>
  <c r="UVB92" i="54"/>
  <c r="UUZ92" i="54"/>
  <c r="UUX92" i="54"/>
  <c r="UUV92" i="54"/>
  <c r="UUT92" i="54"/>
  <c r="UUR92" i="54"/>
  <c r="UUP92" i="54"/>
  <c r="UUN92" i="54"/>
  <c r="UUL92" i="54"/>
  <c r="UUJ92" i="54"/>
  <c r="UUH92" i="54"/>
  <c r="UUF92" i="54"/>
  <c r="UUD92" i="54"/>
  <c r="UUB92" i="54"/>
  <c r="UTZ92" i="54"/>
  <c r="UTX92" i="54"/>
  <c r="UTV92" i="54"/>
  <c r="UTT92" i="54"/>
  <c r="UTR92" i="54"/>
  <c r="UTP92" i="54"/>
  <c r="UTN92" i="54"/>
  <c r="UTL92" i="54"/>
  <c r="UTJ92" i="54"/>
  <c r="UTH92" i="54"/>
  <c r="UTF92" i="54"/>
  <c r="UTD92" i="54"/>
  <c r="UTB92" i="54"/>
  <c r="USZ92" i="54"/>
  <c r="USX92" i="54"/>
  <c r="USV92" i="54"/>
  <c r="UST92" i="54"/>
  <c r="USR92" i="54"/>
  <c r="USP92" i="54"/>
  <c r="USN92" i="54"/>
  <c r="USL92" i="54"/>
  <c r="USJ92" i="54"/>
  <c r="USH92" i="54"/>
  <c r="USF92" i="54"/>
  <c r="USD92" i="54"/>
  <c r="USB92" i="54"/>
  <c r="URZ92" i="54"/>
  <c r="URX92" i="54"/>
  <c r="URV92" i="54"/>
  <c r="URT92" i="54"/>
  <c r="URR92" i="54"/>
  <c r="URP92" i="54"/>
  <c r="URN92" i="54"/>
  <c r="URL92" i="54"/>
  <c r="URJ92" i="54"/>
  <c r="URH92" i="54"/>
  <c r="URF92" i="54"/>
  <c r="URD92" i="54"/>
  <c r="URB92" i="54"/>
  <c r="UQZ92" i="54"/>
  <c r="UQX92" i="54"/>
  <c r="UQV92" i="54"/>
  <c r="UQT92" i="54"/>
  <c r="UQR92" i="54"/>
  <c r="UQP92" i="54"/>
  <c r="UQN92" i="54"/>
  <c r="UQL92" i="54"/>
  <c r="UQJ92" i="54"/>
  <c r="UQH92" i="54"/>
  <c r="UQF92" i="54"/>
  <c r="UQD92" i="54"/>
  <c r="UQB92" i="54"/>
  <c r="UPZ92" i="54"/>
  <c r="UPX92" i="54"/>
  <c r="UPV92" i="54"/>
  <c r="UPT92" i="54"/>
  <c r="UPR92" i="54"/>
  <c r="UPP92" i="54"/>
  <c r="UPN92" i="54"/>
  <c r="UPL92" i="54"/>
  <c r="UPJ92" i="54"/>
  <c r="UPH92" i="54"/>
  <c r="UPF92" i="54"/>
  <c r="UPD92" i="54"/>
  <c r="UPB92" i="54"/>
  <c r="UOZ92" i="54"/>
  <c r="UOX92" i="54"/>
  <c r="UOV92" i="54"/>
  <c r="UOT92" i="54"/>
  <c r="UOR92" i="54"/>
  <c r="UOP92" i="54"/>
  <c r="UON92" i="54"/>
  <c r="UOL92" i="54"/>
  <c r="UOJ92" i="54"/>
  <c r="UOH92" i="54"/>
  <c r="UOF92" i="54"/>
  <c r="UOD92" i="54"/>
  <c r="UOB92" i="54"/>
  <c r="UNZ92" i="54"/>
  <c r="UNX92" i="54"/>
  <c r="UNV92" i="54"/>
  <c r="UNT92" i="54"/>
  <c r="UNR92" i="54"/>
  <c r="UNP92" i="54"/>
  <c r="UNN92" i="54"/>
  <c r="UNL92" i="54"/>
  <c r="UNJ92" i="54"/>
  <c r="UNH92" i="54"/>
  <c r="UNF92" i="54"/>
  <c r="UND92" i="54"/>
  <c r="UNB92" i="54"/>
  <c r="UMZ92" i="54"/>
  <c r="UMX92" i="54"/>
  <c r="UMV92" i="54"/>
  <c r="UMT92" i="54"/>
  <c r="UMR92" i="54"/>
  <c r="UMP92" i="54"/>
  <c r="UMN92" i="54"/>
  <c r="UML92" i="54"/>
  <c r="UMJ92" i="54"/>
  <c r="UMH92" i="54"/>
  <c r="UMF92" i="54"/>
  <c r="UMD92" i="54"/>
  <c r="UMB92" i="54"/>
  <c r="ULZ92" i="54"/>
  <c r="ULX92" i="54"/>
  <c r="ULV92" i="54"/>
  <c r="ULT92" i="54"/>
  <c r="ULR92" i="54"/>
  <c r="ULP92" i="54"/>
  <c r="ULN92" i="54"/>
  <c r="ULL92" i="54"/>
  <c r="ULJ92" i="54"/>
  <c r="ULH92" i="54"/>
  <c r="ULF92" i="54"/>
  <c r="ULD92" i="54"/>
  <c r="ULB92" i="54"/>
  <c r="UKZ92" i="54"/>
  <c r="UKX92" i="54"/>
  <c r="UKV92" i="54"/>
  <c r="UKT92" i="54"/>
  <c r="UKR92" i="54"/>
  <c r="UKP92" i="54"/>
  <c r="UKN92" i="54"/>
  <c r="UKL92" i="54"/>
  <c r="UKJ92" i="54"/>
  <c r="UKH92" i="54"/>
  <c r="UKF92" i="54"/>
  <c r="UKD92" i="54"/>
  <c r="UKB92" i="54"/>
  <c r="UJZ92" i="54"/>
  <c r="UJX92" i="54"/>
  <c r="UJV92" i="54"/>
  <c r="UJT92" i="54"/>
  <c r="UJR92" i="54"/>
  <c r="UJP92" i="54"/>
  <c r="UJN92" i="54"/>
  <c r="UJL92" i="54"/>
  <c r="UJJ92" i="54"/>
  <c r="UJH92" i="54"/>
  <c r="UJF92" i="54"/>
  <c r="UJD92" i="54"/>
  <c r="UJB92" i="54"/>
  <c r="UIZ92" i="54"/>
  <c r="UIX92" i="54"/>
  <c r="UIV92" i="54"/>
  <c r="UIT92" i="54"/>
  <c r="UIR92" i="54"/>
  <c r="UIP92" i="54"/>
  <c r="UIN92" i="54"/>
  <c r="UIL92" i="54"/>
  <c r="UIJ92" i="54"/>
  <c r="UIH92" i="54"/>
  <c r="UIF92" i="54"/>
  <c r="UID92" i="54"/>
  <c r="UIB92" i="54"/>
  <c r="UHZ92" i="54"/>
  <c r="UHX92" i="54"/>
  <c r="UHV92" i="54"/>
  <c r="UHT92" i="54"/>
  <c r="UHR92" i="54"/>
  <c r="UHP92" i="54"/>
  <c r="UHN92" i="54"/>
  <c r="UHL92" i="54"/>
  <c r="UHJ92" i="54"/>
  <c r="UHH92" i="54"/>
  <c r="UHF92" i="54"/>
  <c r="UHD92" i="54"/>
  <c r="UHB92" i="54"/>
  <c r="UGZ92" i="54"/>
  <c r="UGX92" i="54"/>
  <c r="UGV92" i="54"/>
  <c r="UGT92" i="54"/>
  <c r="UGR92" i="54"/>
  <c r="UGP92" i="54"/>
  <c r="UGN92" i="54"/>
  <c r="UGL92" i="54"/>
  <c r="UGJ92" i="54"/>
  <c r="UGH92" i="54"/>
  <c r="UGF92" i="54"/>
  <c r="UGD92" i="54"/>
  <c r="UGB92" i="54"/>
  <c r="UFZ92" i="54"/>
  <c r="UFX92" i="54"/>
  <c r="UFV92" i="54"/>
  <c r="UFT92" i="54"/>
  <c r="UFR92" i="54"/>
  <c r="UFP92" i="54"/>
  <c r="UFN92" i="54"/>
  <c r="UFL92" i="54"/>
  <c r="UFJ92" i="54"/>
  <c r="UFH92" i="54"/>
  <c r="UFF92" i="54"/>
  <c r="UFD92" i="54"/>
  <c r="UFB92" i="54"/>
  <c r="UEZ92" i="54"/>
  <c r="UEX92" i="54"/>
  <c r="UEV92" i="54"/>
  <c r="UET92" i="54"/>
  <c r="UER92" i="54"/>
  <c r="UEP92" i="54"/>
  <c r="UEN92" i="54"/>
  <c r="UEL92" i="54"/>
  <c r="UEJ92" i="54"/>
  <c r="UEH92" i="54"/>
  <c r="UEF92" i="54"/>
  <c r="UED92" i="54"/>
  <c r="UEB92" i="54"/>
  <c r="UDZ92" i="54"/>
  <c r="UDX92" i="54"/>
  <c r="UDV92" i="54"/>
  <c r="UDT92" i="54"/>
  <c r="UDR92" i="54"/>
  <c r="UDP92" i="54"/>
  <c r="UDN92" i="54"/>
  <c r="UDL92" i="54"/>
  <c r="UDJ92" i="54"/>
  <c r="UDH92" i="54"/>
  <c r="UDF92" i="54"/>
  <c r="UDD92" i="54"/>
  <c r="UDB92" i="54"/>
  <c r="UCZ92" i="54"/>
  <c r="UCX92" i="54"/>
  <c r="UCV92" i="54"/>
  <c r="UCT92" i="54"/>
  <c r="UCR92" i="54"/>
  <c r="UCP92" i="54"/>
  <c r="UCN92" i="54"/>
  <c r="UCL92" i="54"/>
  <c r="UCJ92" i="54"/>
  <c r="UCH92" i="54"/>
  <c r="UCF92" i="54"/>
  <c r="UCD92" i="54"/>
  <c r="UCB92" i="54"/>
  <c r="UBZ92" i="54"/>
  <c r="UBX92" i="54"/>
  <c r="UBV92" i="54"/>
  <c r="UBT92" i="54"/>
  <c r="UBR92" i="54"/>
  <c r="UBP92" i="54"/>
  <c r="UBN92" i="54"/>
  <c r="UBL92" i="54"/>
  <c r="UBJ92" i="54"/>
  <c r="UBH92" i="54"/>
  <c r="UBF92" i="54"/>
  <c r="UBD92" i="54"/>
  <c r="UBB92" i="54"/>
  <c r="UAZ92" i="54"/>
  <c r="UAX92" i="54"/>
  <c r="UAV92" i="54"/>
  <c r="UAT92" i="54"/>
  <c r="UAR92" i="54"/>
  <c r="UAP92" i="54"/>
  <c r="UAN92" i="54"/>
  <c r="UAL92" i="54"/>
  <c r="UAJ92" i="54"/>
  <c r="UAH92" i="54"/>
  <c r="UAF92" i="54"/>
  <c r="UAD92" i="54"/>
  <c r="UAB92" i="54"/>
  <c r="TZZ92" i="54"/>
  <c r="TZX92" i="54"/>
  <c r="TZV92" i="54"/>
  <c r="TZT92" i="54"/>
  <c r="TZR92" i="54"/>
  <c r="TZP92" i="54"/>
  <c r="TZN92" i="54"/>
  <c r="TZL92" i="54"/>
  <c r="TZJ92" i="54"/>
  <c r="TZH92" i="54"/>
  <c r="TZF92" i="54"/>
  <c r="TZD92" i="54"/>
  <c r="TZB92" i="54"/>
  <c r="TYZ92" i="54"/>
  <c r="TYX92" i="54"/>
  <c r="TYV92" i="54"/>
  <c r="TYT92" i="54"/>
  <c r="TYR92" i="54"/>
  <c r="TYP92" i="54"/>
  <c r="TYN92" i="54"/>
  <c r="TYL92" i="54"/>
  <c r="TYJ92" i="54"/>
  <c r="TYH92" i="54"/>
  <c r="TYF92" i="54"/>
  <c r="TYD92" i="54"/>
  <c r="TYB92" i="54"/>
  <c r="TXZ92" i="54"/>
  <c r="TXX92" i="54"/>
  <c r="TXV92" i="54"/>
  <c r="TXT92" i="54"/>
  <c r="TXR92" i="54"/>
  <c r="TXP92" i="54"/>
  <c r="TXN92" i="54"/>
  <c r="TXL92" i="54"/>
  <c r="TXJ92" i="54"/>
  <c r="TXH92" i="54"/>
  <c r="TXF92" i="54"/>
  <c r="TXD92" i="54"/>
  <c r="TXB92" i="54"/>
  <c r="TWZ92" i="54"/>
  <c r="TWX92" i="54"/>
  <c r="TWV92" i="54"/>
  <c r="TWT92" i="54"/>
  <c r="TWR92" i="54"/>
  <c r="TWP92" i="54"/>
  <c r="TWN92" i="54"/>
  <c r="TWL92" i="54"/>
  <c r="TWJ92" i="54"/>
  <c r="TWH92" i="54"/>
  <c r="TWF92" i="54"/>
  <c r="TWD92" i="54"/>
  <c r="TWB92" i="54"/>
  <c r="TVZ92" i="54"/>
  <c r="TVX92" i="54"/>
  <c r="TVV92" i="54"/>
  <c r="TVT92" i="54"/>
  <c r="TVR92" i="54"/>
  <c r="TVP92" i="54"/>
  <c r="TVN92" i="54"/>
  <c r="TVL92" i="54"/>
  <c r="TVJ92" i="54"/>
  <c r="TVH92" i="54"/>
  <c r="TVF92" i="54"/>
  <c r="TVD92" i="54"/>
  <c r="TVB92" i="54"/>
  <c r="TUZ92" i="54"/>
  <c r="TUX92" i="54"/>
  <c r="TUV92" i="54"/>
  <c r="TUT92" i="54"/>
  <c r="TUR92" i="54"/>
  <c r="TUP92" i="54"/>
  <c r="TUN92" i="54"/>
  <c r="TUL92" i="54"/>
  <c r="TUJ92" i="54"/>
  <c r="TUH92" i="54"/>
  <c r="TUF92" i="54"/>
  <c r="TUD92" i="54"/>
  <c r="TUB92" i="54"/>
  <c r="TTZ92" i="54"/>
  <c r="TTX92" i="54"/>
  <c r="TTV92" i="54"/>
  <c r="TTT92" i="54"/>
  <c r="TTR92" i="54"/>
  <c r="TTP92" i="54"/>
  <c r="TTN92" i="54"/>
  <c r="TTL92" i="54"/>
  <c r="TTJ92" i="54"/>
  <c r="TTH92" i="54"/>
  <c r="TTF92" i="54"/>
  <c r="TTD92" i="54"/>
  <c r="TTB92" i="54"/>
  <c r="TSZ92" i="54"/>
  <c r="TSX92" i="54"/>
  <c r="TSV92" i="54"/>
  <c r="TST92" i="54"/>
  <c r="TSR92" i="54"/>
  <c r="TSP92" i="54"/>
  <c r="TSN92" i="54"/>
  <c r="TSL92" i="54"/>
  <c r="TSJ92" i="54"/>
  <c r="TSH92" i="54"/>
  <c r="TSF92" i="54"/>
  <c r="TSD92" i="54"/>
  <c r="TSB92" i="54"/>
  <c r="TRZ92" i="54"/>
  <c r="TRX92" i="54"/>
  <c r="TRV92" i="54"/>
  <c r="TRT92" i="54"/>
  <c r="TRR92" i="54"/>
  <c r="TRP92" i="54"/>
  <c r="TRN92" i="54"/>
  <c r="TRL92" i="54"/>
  <c r="TRJ92" i="54"/>
  <c r="TRH92" i="54"/>
  <c r="TRF92" i="54"/>
  <c r="TRD92" i="54"/>
  <c r="TRB92" i="54"/>
  <c r="TQZ92" i="54"/>
  <c r="TQX92" i="54"/>
  <c r="TQV92" i="54"/>
  <c r="TQT92" i="54"/>
  <c r="TQR92" i="54"/>
  <c r="TQP92" i="54"/>
  <c r="TQN92" i="54"/>
  <c r="TQL92" i="54"/>
  <c r="TQJ92" i="54"/>
  <c r="TQH92" i="54"/>
  <c r="TQF92" i="54"/>
  <c r="TQD92" i="54"/>
  <c r="TQB92" i="54"/>
  <c r="TPZ92" i="54"/>
  <c r="TPX92" i="54"/>
  <c r="TPV92" i="54"/>
  <c r="TPT92" i="54"/>
  <c r="TPR92" i="54"/>
  <c r="TPP92" i="54"/>
  <c r="TPN92" i="54"/>
  <c r="TPL92" i="54"/>
  <c r="TPJ92" i="54"/>
  <c r="TPH92" i="54"/>
  <c r="TPF92" i="54"/>
  <c r="TPD92" i="54"/>
  <c r="TPB92" i="54"/>
  <c r="TOZ92" i="54"/>
  <c r="TOX92" i="54"/>
  <c r="TOV92" i="54"/>
  <c r="TOT92" i="54"/>
  <c r="TOR92" i="54"/>
  <c r="TOP92" i="54"/>
  <c r="TON92" i="54"/>
  <c r="TOL92" i="54"/>
  <c r="TOJ92" i="54"/>
  <c r="TOH92" i="54"/>
  <c r="TOF92" i="54"/>
  <c r="TOD92" i="54"/>
  <c r="TOB92" i="54"/>
  <c r="TNZ92" i="54"/>
  <c r="TNX92" i="54"/>
  <c r="TNV92" i="54"/>
  <c r="TNT92" i="54"/>
  <c r="TNR92" i="54"/>
  <c r="TNP92" i="54"/>
  <c r="TNN92" i="54"/>
  <c r="TNL92" i="54"/>
  <c r="TNJ92" i="54"/>
  <c r="TNH92" i="54"/>
  <c r="TNF92" i="54"/>
  <c r="TND92" i="54"/>
  <c r="TNB92" i="54"/>
  <c r="TMZ92" i="54"/>
  <c r="TMX92" i="54"/>
  <c r="TMV92" i="54"/>
  <c r="TMT92" i="54"/>
  <c r="TMR92" i="54"/>
  <c r="TMP92" i="54"/>
  <c r="TMN92" i="54"/>
  <c r="TML92" i="54"/>
  <c r="TMJ92" i="54"/>
  <c r="TMH92" i="54"/>
  <c r="TMF92" i="54"/>
  <c r="TMD92" i="54"/>
  <c r="TMB92" i="54"/>
  <c r="TLZ92" i="54"/>
  <c r="TLX92" i="54"/>
  <c r="TLV92" i="54"/>
  <c r="TLT92" i="54"/>
  <c r="TLR92" i="54"/>
  <c r="TLP92" i="54"/>
  <c r="TLN92" i="54"/>
  <c r="TLL92" i="54"/>
  <c r="TLJ92" i="54"/>
  <c r="TLH92" i="54"/>
  <c r="TLF92" i="54"/>
  <c r="TLD92" i="54"/>
  <c r="TLB92" i="54"/>
  <c r="TKZ92" i="54"/>
  <c r="TKX92" i="54"/>
  <c r="TKV92" i="54"/>
  <c r="TKT92" i="54"/>
  <c r="TKR92" i="54"/>
  <c r="TKP92" i="54"/>
  <c r="TKN92" i="54"/>
  <c r="TKL92" i="54"/>
  <c r="TKJ92" i="54"/>
  <c r="TKH92" i="54"/>
  <c r="TKF92" i="54"/>
  <c r="TKD92" i="54"/>
  <c r="TKB92" i="54"/>
  <c r="TJZ92" i="54"/>
  <c r="TJX92" i="54"/>
  <c r="TJV92" i="54"/>
  <c r="TJT92" i="54"/>
  <c r="TJR92" i="54"/>
  <c r="TJP92" i="54"/>
  <c r="TJN92" i="54"/>
  <c r="TJL92" i="54"/>
  <c r="TJJ92" i="54"/>
  <c r="TJH92" i="54"/>
  <c r="TJF92" i="54"/>
  <c r="TJD92" i="54"/>
  <c r="TJB92" i="54"/>
  <c r="TIZ92" i="54"/>
  <c r="TIX92" i="54"/>
  <c r="TIV92" i="54"/>
  <c r="TIT92" i="54"/>
  <c r="TIR92" i="54"/>
  <c r="TIP92" i="54"/>
  <c r="TIN92" i="54"/>
  <c r="TIL92" i="54"/>
  <c r="TIJ92" i="54"/>
  <c r="TIH92" i="54"/>
  <c r="TIF92" i="54"/>
  <c r="TID92" i="54"/>
  <c r="TIB92" i="54"/>
  <c r="THZ92" i="54"/>
  <c r="THX92" i="54"/>
  <c r="THV92" i="54"/>
  <c r="THT92" i="54"/>
  <c r="THR92" i="54"/>
  <c r="THP92" i="54"/>
  <c r="THN92" i="54"/>
  <c r="THL92" i="54"/>
  <c r="THJ92" i="54"/>
  <c r="THH92" i="54"/>
  <c r="THF92" i="54"/>
  <c r="THD92" i="54"/>
  <c r="THB92" i="54"/>
  <c r="TGZ92" i="54"/>
  <c r="TGX92" i="54"/>
  <c r="TGV92" i="54"/>
  <c r="TGT92" i="54"/>
  <c r="TGR92" i="54"/>
  <c r="TGP92" i="54"/>
  <c r="TGN92" i="54"/>
  <c r="TGL92" i="54"/>
  <c r="TGJ92" i="54"/>
  <c r="TGH92" i="54"/>
  <c r="TGF92" i="54"/>
  <c r="TGD92" i="54"/>
  <c r="TGB92" i="54"/>
  <c r="TFZ92" i="54"/>
  <c r="TFX92" i="54"/>
  <c r="TFV92" i="54"/>
  <c r="TFT92" i="54"/>
  <c r="TFR92" i="54"/>
  <c r="TFP92" i="54"/>
  <c r="TFN92" i="54"/>
  <c r="TFL92" i="54"/>
  <c r="TFJ92" i="54"/>
  <c r="TFH92" i="54"/>
  <c r="TFF92" i="54"/>
  <c r="TFD92" i="54"/>
  <c r="TFB92" i="54"/>
  <c r="TEZ92" i="54"/>
  <c r="TEX92" i="54"/>
  <c r="TEV92" i="54"/>
  <c r="TET92" i="54"/>
  <c r="TER92" i="54"/>
  <c r="TEP92" i="54"/>
  <c r="TEN92" i="54"/>
  <c r="TEL92" i="54"/>
  <c r="TEJ92" i="54"/>
  <c r="TEH92" i="54"/>
  <c r="TEF92" i="54"/>
  <c r="TED92" i="54"/>
  <c r="TEB92" i="54"/>
  <c r="TDZ92" i="54"/>
  <c r="TDX92" i="54"/>
  <c r="TDV92" i="54"/>
  <c r="TDT92" i="54"/>
  <c r="TDR92" i="54"/>
  <c r="TDP92" i="54"/>
  <c r="TDN92" i="54"/>
  <c r="TDL92" i="54"/>
  <c r="TDJ92" i="54"/>
  <c r="TDH92" i="54"/>
  <c r="TDF92" i="54"/>
  <c r="TDD92" i="54"/>
  <c r="TDB92" i="54"/>
  <c r="TCZ92" i="54"/>
  <c r="TCX92" i="54"/>
  <c r="TCV92" i="54"/>
  <c r="TCT92" i="54"/>
  <c r="TCR92" i="54"/>
  <c r="TCP92" i="54"/>
  <c r="TCN92" i="54"/>
  <c r="TCL92" i="54"/>
  <c r="TCJ92" i="54"/>
  <c r="TCH92" i="54"/>
  <c r="TCF92" i="54"/>
  <c r="TCD92" i="54"/>
  <c r="TCB92" i="54"/>
  <c r="TBZ92" i="54"/>
  <c r="TBX92" i="54"/>
  <c r="TBV92" i="54"/>
  <c r="TBT92" i="54"/>
  <c r="TBR92" i="54"/>
  <c r="TBP92" i="54"/>
  <c r="TBN92" i="54"/>
  <c r="TBL92" i="54"/>
  <c r="TBJ92" i="54"/>
  <c r="TBH92" i="54"/>
  <c r="TBF92" i="54"/>
  <c r="TBD92" i="54"/>
  <c r="TBB92" i="54"/>
  <c r="TAZ92" i="54"/>
  <c r="TAX92" i="54"/>
  <c r="TAV92" i="54"/>
  <c r="TAT92" i="54"/>
  <c r="TAR92" i="54"/>
  <c r="TAP92" i="54"/>
  <c r="TAN92" i="54"/>
  <c r="TAL92" i="54"/>
  <c r="TAJ92" i="54"/>
  <c r="TAH92" i="54"/>
  <c r="TAF92" i="54"/>
  <c r="TAD92" i="54"/>
  <c r="TAB92" i="54"/>
  <c r="SZZ92" i="54"/>
  <c r="SZX92" i="54"/>
  <c r="SZV92" i="54"/>
  <c r="SZT92" i="54"/>
  <c r="SZR92" i="54"/>
  <c r="SZP92" i="54"/>
  <c r="SZN92" i="54"/>
  <c r="SZL92" i="54"/>
  <c r="SZJ92" i="54"/>
  <c r="SZH92" i="54"/>
  <c r="SZF92" i="54"/>
  <c r="SZD92" i="54"/>
  <c r="SZB92" i="54"/>
  <c r="SYZ92" i="54"/>
  <c r="SYX92" i="54"/>
  <c r="SYV92" i="54"/>
  <c r="SYT92" i="54"/>
  <c r="SYR92" i="54"/>
  <c r="SYP92" i="54"/>
  <c r="SYN92" i="54"/>
  <c r="SYL92" i="54"/>
  <c r="SYJ92" i="54"/>
  <c r="SYH92" i="54"/>
  <c r="SYF92" i="54"/>
  <c r="SYD92" i="54"/>
  <c r="SYB92" i="54"/>
  <c r="SXZ92" i="54"/>
  <c r="SXX92" i="54"/>
  <c r="SXV92" i="54"/>
  <c r="SXT92" i="54"/>
  <c r="SXR92" i="54"/>
  <c r="SXP92" i="54"/>
  <c r="SXN92" i="54"/>
  <c r="SXL92" i="54"/>
  <c r="SXJ92" i="54"/>
  <c r="SXH92" i="54"/>
  <c r="SXF92" i="54"/>
  <c r="SXD92" i="54"/>
  <c r="SXB92" i="54"/>
  <c r="SWZ92" i="54"/>
  <c r="SWX92" i="54"/>
  <c r="SWV92" i="54"/>
  <c r="SWT92" i="54"/>
  <c r="SWR92" i="54"/>
  <c r="SWP92" i="54"/>
  <c r="SWN92" i="54"/>
  <c r="SWL92" i="54"/>
  <c r="SWJ92" i="54"/>
  <c r="SWH92" i="54"/>
  <c r="SWF92" i="54"/>
  <c r="SWD92" i="54"/>
  <c r="SWB92" i="54"/>
  <c r="SVZ92" i="54"/>
  <c r="SVX92" i="54"/>
  <c r="SVV92" i="54"/>
  <c r="SVT92" i="54"/>
  <c r="SVR92" i="54"/>
  <c r="SVP92" i="54"/>
  <c r="SVN92" i="54"/>
  <c r="SVL92" i="54"/>
  <c r="SVJ92" i="54"/>
  <c r="SVH92" i="54"/>
  <c r="SVF92" i="54"/>
  <c r="SVD92" i="54"/>
  <c r="SVB92" i="54"/>
  <c r="SUZ92" i="54"/>
  <c r="SUX92" i="54"/>
  <c r="SUV92" i="54"/>
  <c r="SUT92" i="54"/>
  <c r="SUR92" i="54"/>
  <c r="SUP92" i="54"/>
  <c r="SUN92" i="54"/>
  <c r="SUL92" i="54"/>
  <c r="SUJ92" i="54"/>
  <c r="SUH92" i="54"/>
  <c r="SUF92" i="54"/>
  <c r="SUD92" i="54"/>
  <c r="SUB92" i="54"/>
  <c r="STZ92" i="54"/>
  <c r="STX92" i="54"/>
  <c r="STV92" i="54"/>
  <c r="STT92" i="54"/>
  <c r="STR92" i="54"/>
  <c r="STP92" i="54"/>
  <c r="STN92" i="54"/>
  <c r="STL92" i="54"/>
  <c r="STJ92" i="54"/>
  <c r="STH92" i="54"/>
  <c r="STF92" i="54"/>
  <c r="STD92" i="54"/>
  <c r="STB92" i="54"/>
  <c r="SSZ92" i="54"/>
  <c r="SSX92" i="54"/>
  <c r="SSV92" i="54"/>
  <c r="SST92" i="54"/>
  <c r="SSR92" i="54"/>
  <c r="SSP92" i="54"/>
  <c r="SSN92" i="54"/>
  <c r="SSL92" i="54"/>
  <c r="SSJ92" i="54"/>
  <c r="SSH92" i="54"/>
  <c r="SSF92" i="54"/>
  <c r="SSD92" i="54"/>
  <c r="SSB92" i="54"/>
  <c r="SRZ92" i="54"/>
  <c r="SRX92" i="54"/>
  <c r="SRV92" i="54"/>
  <c r="SRT92" i="54"/>
  <c r="SRR92" i="54"/>
  <c r="SRP92" i="54"/>
  <c r="SRN92" i="54"/>
  <c r="SRL92" i="54"/>
  <c r="SRJ92" i="54"/>
  <c r="SRH92" i="54"/>
  <c r="SRF92" i="54"/>
  <c r="SRD92" i="54"/>
  <c r="SRB92" i="54"/>
  <c r="SQZ92" i="54"/>
  <c r="SQX92" i="54"/>
  <c r="SQV92" i="54"/>
  <c r="SQT92" i="54"/>
  <c r="SQR92" i="54"/>
  <c r="SQP92" i="54"/>
  <c r="SQN92" i="54"/>
  <c r="SQL92" i="54"/>
  <c r="SQJ92" i="54"/>
  <c r="SQH92" i="54"/>
  <c r="SQF92" i="54"/>
  <c r="SQD92" i="54"/>
  <c r="SQB92" i="54"/>
  <c r="SPZ92" i="54"/>
  <c r="SPX92" i="54"/>
  <c r="SPV92" i="54"/>
  <c r="SPT92" i="54"/>
  <c r="SPR92" i="54"/>
  <c r="SPP92" i="54"/>
  <c r="SPN92" i="54"/>
  <c r="SPL92" i="54"/>
  <c r="SPJ92" i="54"/>
  <c r="SPH92" i="54"/>
  <c r="SPF92" i="54"/>
  <c r="SPD92" i="54"/>
  <c r="SPB92" i="54"/>
  <c r="SOZ92" i="54"/>
  <c r="SOX92" i="54"/>
  <c r="SOV92" i="54"/>
  <c r="SOT92" i="54"/>
  <c r="SOR92" i="54"/>
  <c r="SOP92" i="54"/>
  <c r="SON92" i="54"/>
  <c r="SOL92" i="54"/>
  <c r="SOJ92" i="54"/>
  <c r="SOH92" i="54"/>
  <c r="SOF92" i="54"/>
  <c r="SOD92" i="54"/>
  <c r="SOB92" i="54"/>
  <c r="SNZ92" i="54"/>
  <c r="SNX92" i="54"/>
  <c r="SNV92" i="54"/>
  <c r="SNT92" i="54"/>
  <c r="SNR92" i="54"/>
  <c r="SNP92" i="54"/>
  <c r="SNN92" i="54"/>
  <c r="SNL92" i="54"/>
  <c r="SNJ92" i="54"/>
  <c r="SNH92" i="54"/>
  <c r="SNF92" i="54"/>
  <c r="SND92" i="54"/>
  <c r="SNB92" i="54"/>
  <c r="SMZ92" i="54"/>
  <c r="SMX92" i="54"/>
  <c r="SMV92" i="54"/>
  <c r="SMT92" i="54"/>
  <c r="SMR92" i="54"/>
  <c r="SMP92" i="54"/>
  <c r="SMN92" i="54"/>
  <c r="SML92" i="54"/>
  <c r="SMJ92" i="54"/>
  <c r="SMH92" i="54"/>
  <c r="SMF92" i="54"/>
  <c r="SMD92" i="54"/>
  <c r="SMB92" i="54"/>
  <c r="SLZ92" i="54"/>
  <c r="SLX92" i="54"/>
  <c r="SLV92" i="54"/>
  <c r="SLT92" i="54"/>
  <c r="SLR92" i="54"/>
  <c r="SLP92" i="54"/>
  <c r="SLN92" i="54"/>
  <c r="SLL92" i="54"/>
  <c r="SLJ92" i="54"/>
  <c r="SLH92" i="54"/>
  <c r="SLF92" i="54"/>
  <c r="SLD92" i="54"/>
  <c r="SLB92" i="54"/>
  <c r="SKZ92" i="54"/>
  <c r="SKX92" i="54"/>
  <c r="SKV92" i="54"/>
  <c r="SKT92" i="54"/>
  <c r="SKR92" i="54"/>
  <c r="SKP92" i="54"/>
  <c r="SKN92" i="54"/>
  <c r="SKL92" i="54"/>
  <c r="SKJ92" i="54"/>
  <c r="SKH92" i="54"/>
  <c r="SKF92" i="54"/>
  <c r="SKD92" i="54"/>
  <c r="SKB92" i="54"/>
  <c r="SJZ92" i="54"/>
  <c r="SJX92" i="54"/>
  <c r="SJV92" i="54"/>
  <c r="SJT92" i="54"/>
  <c r="SJR92" i="54"/>
  <c r="SJP92" i="54"/>
  <c r="SJN92" i="54"/>
  <c r="SJL92" i="54"/>
  <c r="SJJ92" i="54"/>
  <c r="SJH92" i="54"/>
  <c r="SJF92" i="54"/>
  <c r="SJD92" i="54"/>
  <c r="SJB92" i="54"/>
  <c r="SIZ92" i="54"/>
  <c r="SIX92" i="54"/>
  <c r="SIV92" i="54"/>
  <c r="SIT92" i="54"/>
  <c r="SIR92" i="54"/>
  <c r="SIP92" i="54"/>
  <c r="SIN92" i="54"/>
  <c r="SIL92" i="54"/>
  <c r="SIJ92" i="54"/>
  <c r="SIH92" i="54"/>
  <c r="SIF92" i="54"/>
  <c r="SID92" i="54"/>
  <c r="SIB92" i="54"/>
  <c r="SHZ92" i="54"/>
  <c r="SHX92" i="54"/>
  <c r="SHV92" i="54"/>
  <c r="SHT92" i="54"/>
  <c r="SHR92" i="54"/>
  <c r="SHP92" i="54"/>
  <c r="SHN92" i="54"/>
  <c r="SHL92" i="54"/>
  <c r="SHJ92" i="54"/>
  <c r="SHH92" i="54"/>
  <c r="SHF92" i="54"/>
  <c r="SHD92" i="54"/>
  <c r="SHB92" i="54"/>
  <c r="SGZ92" i="54"/>
  <c r="SGX92" i="54"/>
  <c r="SGV92" i="54"/>
  <c r="SGT92" i="54"/>
  <c r="SGR92" i="54"/>
  <c r="SGP92" i="54"/>
  <c r="SGN92" i="54"/>
  <c r="SGL92" i="54"/>
  <c r="SGJ92" i="54"/>
  <c r="SGH92" i="54"/>
  <c r="SGF92" i="54"/>
  <c r="SGD92" i="54"/>
  <c r="SGB92" i="54"/>
  <c r="SFZ92" i="54"/>
  <c r="SFX92" i="54"/>
  <c r="SFV92" i="54"/>
  <c r="SFT92" i="54"/>
  <c r="SFR92" i="54"/>
  <c r="SFP92" i="54"/>
  <c r="SFN92" i="54"/>
  <c r="SFL92" i="54"/>
  <c r="SFJ92" i="54"/>
  <c r="SFH92" i="54"/>
  <c r="SFF92" i="54"/>
  <c r="SFD92" i="54"/>
  <c r="SFB92" i="54"/>
  <c r="SEZ92" i="54"/>
  <c r="SEX92" i="54"/>
  <c r="SEV92" i="54"/>
  <c r="SET92" i="54"/>
  <c r="SER92" i="54"/>
  <c r="SEP92" i="54"/>
  <c r="SEN92" i="54"/>
  <c r="SEL92" i="54"/>
  <c r="SEJ92" i="54"/>
  <c r="SEH92" i="54"/>
  <c r="SEF92" i="54"/>
  <c r="SED92" i="54"/>
  <c r="SEB92" i="54"/>
  <c r="SDZ92" i="54"/>
  <c r="SDX92" i="54"/>
  <c r="SDV92" i="54"/>
  <c r="SDT92" i="54"/>
  <c r="SDR92" i="54"/>
  <c r="SDP92" i="54"/>
  <c r="SDN92" i="54"/>
  <c r="SDL92" i="54"/>
  <c r="SDJ92" i="54"/>
  <c r="SDH92" i="54"/>
  <c r="SDF92" i="54"/>
  <c r="SDD92" i="54"/>
  <c r="SDB92" i="54"/>
  <c r="SCZ92" i="54"/>
  <c r="SCX92" i="54"/>
  <c r="SCV92" i="54"/>
  <c r="SCT92" i="54"/>
  <c r="SCR92" i="54"/>
  <c r="SCP92" i="54"/>
  <c r="SCN92" i="54"/>
  <c r="SCL92" i="54"/>
  <c r="SCJ92" i="54"/>
  <c r="SCH92" i="54"/>
  <c r="SCF92" i="54"/>
  <c r="SCD92" i="54"/>
  <c r="SCB92" i="54"/>
  <c r="SBZ92" i="54"/>
  <c r="SBX92" i="54"/>
  <c r="SBV92" i="54"/>
  <c r="SBT92" i="54"/>
  <c r="SBR92" i="54"/>
  <c r="SBP92" i="54"/>
  <c r="SBN92" i="54"/>
  <c r="SBL92" i="54"/>
  <c r="SBJ92" i="54"/>
  <c r="SBH92" i="54"/>
  <c r="SBF92" i="54"/>
  <c r="SBD92" i="54"/>
  <c r="SBB92" i="54"/>
  <c r="SAZ92" i="54"/>
  <c r="SAX92" i="54"/>
  <c r="SAV92" i="54"/>
  <c r="SAT92" i="54"/>
  <c r="SAR92" i="54"/>
  <c r="SAP92" i="54"/>
  <c r="SAN92" i="54"/>
  <c r="SAL92" i="54"/>
  <c r="SAJ92" i="54"/>
  <c r="SAH92" i="54"/>
  <c r="SAF92" i="54"/>
  <c r="SAD92" i="54"/>
  <c r="SAB92" i="54"/>
  <c r="RZZ92" i="54"/>
  <c r="RZX92" i="54"/>
  <c r="RZV92" i="54"/>
  <c r="RZT92" i="54"/>
  <c r="RZR92" i="54"/>
  <c r="RZP92" i="54"/>
  <c r="RZN92" i="54"/>
  <c r="RZL92" i="54"/>
  <c r="RZJ92" i="54"/>
  <c r="RZH92" i="54"/>
  <c r="RZF92" i="54"/>
  <c r="RZD92" i="54"/>
  <c r="RZB92" i="54"/>
  <c r="RYZ92" i="54"/>
  <c r="RYX92" i="54"/>
  <c r="RYV92" i="54"/>
  <c r="RYT92" i="54"/>
  <c r="RYR92" i="54"/>
  <c r="RYP92" i="54"/>
  <c r="RYN92" i="54"/>
  <c r="RYL92" i="54"/>
  <c r="RYJ92" i="54"/>
  <c r="RYH92" i="54"/>
  <c r="RYF92" i="54"/>
  <c r="RYD92" i="54"/>
  <c r="RYB92" i="54"/>
  <c r="RXZ92" i="54"/>
  <c r="RXX92" i="54"/>
  <c r="RXV92" i="54"/>
  <c r="RXT92" i="54"/>
  <c r="RXR92" i="54"/>
  <c r="RXP92" i="54"/>
  <c r="RXN92" i="54"/>
  <c r="RXL92" i="54"/>
  <c r="RXJ92" i="54"/>
  <c r="RXH92" i="54"/>
  <c r="RXF92" i="54"/>
  <c r="RXD92" i="54"/>
  <c r="RXB92" i="54"/>
  <c r="RWZ92" i="54"/>
  <c r="RWX92" i="54"/>
  <c r="RWV92" i="54"/>
  <c r="RWT92" i="54"/>
  <c r="RWR92" i="54"/>
  <c r="RWP92" i="54"/>
  <c r="RWN92" i="54"/>
  <c r="RWL92" i="54"/>
  <c r="RWJ92" i="54"/>
  <c r="RWH92" i="54"/>
  <c r="RWF92" i="54"/>
  <c r="RWD92" i="54"/>
  <c r="RWB92" i="54"/>
  <c r="RVZ92" i="54"/>
  <c r="RVX92" i="54"/>
  <c r="RVV92" i="54"/>
  <c r="RVT92" i="54"/>
  <c r="RVR92" i="54"/>
  <c r="RVP92" i="54"/>
  <c r="RVN92" i="54"/>
  <c r="RVL92" i="54"/>
  <c r="RVJ92" i="54"/>
  <c r="RVH92" i="54"/>
  <c r="RVF92" i="54"/>
  <c r="RVD92" i="54"/>
  <c r="RVB92" i="54"/>
  <c r="RUZ92" i="54"/>
  <c r="RUX92" i="54"/>
  <c r="RUV92" i="54"/>
  <c r="RUT92" i="54"/>
  <c r="RUR92" i="54"/>
  <c r="RUP92" i="54"/>
  <c r="RUN92" i="54"/>
  <c r="RUL92" i="54"/>
  <c r="RUJ92" i="54"/>
  <c r="RUH92" i="54"/>
  <c r="RUF92" i="54"/>
  <c r="RUD92" i="54"/>
  <c r="RUB92" i="54"/>
  <c r="RTZ92" i="54"/>
  <c r="RTX92" i="54"/>
  <c r="RTV92" i="54"/>
  <c r="RTT92" i="54"/>
  <c r="RTR92" i="54"/>
  <c r="RTP92" i="54"/>
  <c r="RTN92" i="54"/>
  <c r="RTL92" i="54"/>
  <c r="RTJ92" i="54"/>
  <c r="RTH92" i="54"/>
  <c r="RTF92" i="54"/>
  <c r="RTD92" i="54"/>
  <c r="RTB92" i="54"/>
  <c r="RSZ92" i="54"/>
  <c r="RSX92" i="54"/>
  <c r="RSV92" i="54"/>
  <c r="RST92" i="54"/>
  <c r="RSR92" i="54"/>
  <c r="RSP92" i="54"/>
  <c r="RSN92" i="54"/>
  <c r="RSL92" i="54"/>
  <c r="RSJ92" i="54"/>
  <c r="RSH92" i="54"/>
  <c r="RSF92" i="54"/>
  <c r="RSD92" i="54"/>
  <c r="RSB92" i="54"/>
  <c r="RRZ92" i="54"/>
  <c r="RRX92" i="54"/>
  <c r="RRV92" i="54"/>
  <c r="RRT92" i="54"/>
  <c r="RRR92" i="54"/>
  <c r="RRP92" i="54"/>
  <c r="RRN92" i="54"/>
  <c r="RRL92" i="54"/>
  <c r="RRJ92" i="54"/>
  <c r="RRH92" i="54"/>
  <c r="RRF92" i="54"/>
  <c r="RRD92" i="54"/>
  <c r="RRB92" i="54"/>
  <c r="RQZ92" i="54"/>
  <c r="RQX92" i="54"/>
  <c r="RQV92" i="54"/>
  <c r="RQT92" i="54"/>
  <c r="RQR92" i="54"/>
  <c r="RQP92" i="54"/>
  <c r="RQN92" i="54"/>
  <c r="RQL92" i="54"/>
  <c r="RQJ92" i="54"/>
  <c r="RQH92" i="54"/>
  <c r="RQF92" i="54"/>
  <c r="RQD92" i="54"/>
  <c r="RQB92" i="54"/>
  <c r="RPZ92" i="54"/>
  <c r="RPX92" i="54"/>
  <c r="RPV92" i="54"/>
  <c r="RPT92" i="54"/>
  <c r="RPR92" i="54"/>
  <c r="RPP92" i="54"/>
  <c r="RPN92" i="54"/>
  <c r="RPL92" i="54"/>
  <c r="RPJ92" i="54"/>
  <c r="RPH92" i="54"/>
  <c r="RPF92" i="54"/>
  <c r="RPD92" i="54"/>
  <c r="RPB92" i="54"/>
  <c r="ROZ92" i="54"/>
  <c r="ROX92" i="54"/>
  <c r="ROV92" i="54"/>
  <c r="ROT92" i="54"/>
  <c r="ROR92" i="54"/>
  <c r="ROP92" i="54"/>
  <c r="RON92" i="54"/>
  <c r="ROL92" i="54"/>
  <c r="ROJ92" i="54"/>
  <c r="ROH92" i="54"/>
  <c r="ROF92" i="54"/>
  <c r="ROD92" i="54"/>
  <c r="ROB92" i="54"/>
  <c r="RNZ92" i="54"/>
  <c r="RNX92" i="54"/>
  <c r="RNV92" i="54"/>
  <c r="RNT92" i="54"/>
  <c r="RNR92" i="54"/>
  <c r="RNP92" i="54"/>
  <c r="RNN92" i="54"/>
  <c r="RNL92" i="54"/>
  <c r="RNJ92" i="54"/>
  <c r="RNH92" i="54"/>
  <c r="RNF92" i="54"/>
  <c r="RND92" i="54"/>
  <c r="RNB92" i="54"/>
  <c r="RMZ92" i="54"/>
  <c r="RMX92" i="54"/>
  <c r="RMV92" i="54"/>
  <c r="RMT92" i="54"/>
  <c r="RMR92" i="54"/>
  <c r="RMP92" i="54"/>
  <c r="RMN92" i="54"/>
  <c r="RML92" i="54"/>
  <c r="RMJ92" i="54"/>
  <c r="RMH92" i="54"/>
  <c r="RMF92" i="54"/>
  <c r="RMD92" i="54"/>
  <c r="RMB92" i="54"/>
  <c r="RLZ92" i="54"/>
  <c r="RLX92" i="54"/>
  <c r="RLV92" i="54"/>
  <c r="RLT92" i="54"/>
  <c r="RLR92" i="54"/>
  <c r="RLP92" i="54"/>
  <c r="RLN92" i="54"/>
  <c r="RLL92" i="54"/>
  <c r="RLJ92" i="54"/>
  <c r="RLH92" i="54"/>
  <c r="RLF92" i="54"/>
  <c r="RLD92" i="54"/>
  <c r="RLB92" i="54"/>
  <c r="RKZ92" i="54"/>
  <c r="RKX92" i="54"/>
  <c r="RKV92" i="54"/>
  <c r="RKT92" i="54"/>
  <c r="RKR92" i="54"/>
  <c r="RKP92" i="54"/>
  <c r="RKN92" i="54"/>
  <c r="RKL92" i="54"/>
  <c r="RKJ92" i="54"/>
  <c r="RKH92" i="54"/>
  <c r="RKF92" i="54"/>
  <c r="RKD92" i="54"/>
  <c r="RKB92" i="54"/>
  <c r="RJZ92" i="54"/>
  <c r="RJX92" i="54"/>
  <c r="RJV92" i="54"/>
  <c r="RJT92" i="54"/>
  <c r="RJR92" i="54"/>
  <c r="RJP92" i="54"/>
  <c r="RJN92" i="54"/>
  <c r="RJL92" i="54"/>
  <c r="RJJ92" i="54"/>
  <c r="RJH92" i="54"/>
  <c r="RJF92" i="54"/>
  <c r="RJD92" i="54"/>
  <c r="RJB92" i="54"/>
  <c r="RIZ92" i="54"/>
  <c r="RIX92" i="54"/>
  <c r="RIV92" i="54"/>
  <c r="RIT92" i="54"/>
  <c r="RIR92" i="54"/>
  <c r="RIP92" i="54"/>
  <c r="RIN92" i="54"/>
  <c r="RIL92" i="54"/>
  <c r="RIJ92" i="54"/>
  <c r="RIH92" i="54"/>
  <c r="RIF92" i="54"/>
  <c r="RID92" i="54"/>
  <c r="RIB92" i="54"/>
  <c r="RHZ92" i="54"/>
  <c r="RHX92" i="54"/>
  <c r="RHV92" i="54"/>
  <c r="RHT92" i="54"/>
  <c r="RHR92" i="54"/>
  <c r="RHP92" i="54"/>
  <c r="RHN92" i="54"/>
  <c r="RHL92" i="54"/>
  <c r="RHJ92" i="54"/>
  <c r="RHH92" i="54"/>
  <c r="RHF92" i="54"/>
  <c r="RHD92" i="54"/>
  <c r="RHB92" i="54"/>
  <c r="RGZ92" i="54"/>
  <c r="RGX92" i="54"/>
  <c r="RGV92" i="54"/>
  <c r="RGT92" i="54"/>
  <c r="RGR92" i="54"/>
  <c r="RGP92" i="54"/>
  <c r="RGN92" i="54"/>
  <c r="RGL92" i="54"/>
  <c r="RGJ92" i="54"/>
  <c r="RGH92" i="54"/>
  <c r="RGF92" i="54"/>
  <c r="RGD92" i="54"/>
  <c r="RGB92" i="54"/>
  <c r="RFZ92" i="54"/>
  <c r="RFX92" i="54"/>
  <c r="RFV92" i="54"/>
  <c r="RFT92" i="54"/>
  <c r="RFR92" i="54"/>
  <c r="RFP92" i="54"/>
  <c r="RFN92" i="54"/>
  <c r="RFL92" i="54"/>
  <c r="RFJ92" i="54"/>
  <c r="RFH92" i="54"/>
  <c r="RFF92" i="54"/>
  <c r="RFD92" i="54"/>
  <c r="RFB92" i="54"/>
  <c r="REZ92" i="54"/>
  <c r="REX92" i="54"/>
  <c r="REV92" i="54"/>
  <c r="RET92" i="54"/>
  <c r="RER92" i="54"/>
  <c r="REP92" i="54"/>
  <c r="REN92" i="54"/>
  <c r="REL92" i="54"/>
  <c r="REJ92" i="54"/>
  <c r="REH92" i="54"/>
  <c r="REF92" i="54"/>
  <c r="RED92" i="54"/>
  <c r="REB92" i="54"/>
  <c r="RDZ92" i="54"/>
  <c r="RDX92" i="54"/>
  <c r="RDV92" i="54"/>
  <c r="RDT92" i="54"/>
  <c r="RDR92" i="54"/>
  <c r="RDP92" i="54"/>
  <c r="RDN92" i="54"/>
  <c r="RDL92" i="54"/>
  <c r="RDJ92" i="54"/>
  <c r="RDH92" i="54"/>
  <c r="RDF92" i="54"/>
  <c r="RDD92" i="54"/>
  <c r="RDB92" i="54"/>
  <c r="RCZ92" i="54"/>
  <c r="RCX92" i="54"/>
  <c r="RCV92" i="54"/>
  <c r="RCT92" i="54"/>
  <c r="RCR92" i="54"/>
  <c r="RCP92" i="54"/>
  <c r="RCN92" i="54"/>
  <c r="RCL92" i="54"/>
  <c r="RCJ92" i="54"/>
  <c r="RCH92" i="54"/>
  <c r="RCF92" i="54"/>
  <c r="RCD92" i="54"/>
  <c r="RCB92" i="54"/>
  <c r="RBZ92" i="54"/>
  <c r="RBX92" i="54"/>
  <c r="RBV92" i="54"/>
  <c r="RBT92" i="54"/>
  <c r="RBR92" i="54"/>
  <c r="RBP92" i="54"/>
  <c r="RBN92" i="54"/>
  <c r="RBL92" i="54"/>
  <c r="RBJ92" i="54"/>
  <c r="RBH92" i="54"/>
  <c r="RBF92" i="54"/>
  <c r="RBD92" i="54"/>
  <c r="RBB92" i="54"/>
  <c r="RAZ92" i="54"/>
  <c r="RAX92" i="54"/>
  <c r="RAV92" i="54"/>
  <c r="RAT92" i="54"/>
  <c r="RAR92" i="54"/>
  <c r="RAP92" i="54"/>
  <c r="RAN92" i="54"/>
  <c r="RAL92" i="54"/>
  <c r="RAJ92" i="54"/>
  <c r="RAH92" i="54"/>
  <c r="RAF92" i="54"/>
  <c r="RAD92" i="54"/>
  <c r="RAB92" i="54"/>
  <c r="QZZ92" i="54"/>
  <c r="QZX92" i="54"/>
  <c r="QZV92" i="54"/>
  <c r="QZT92" i="54"/>
  <c r="QZR92" i="54"/>
  <c r="QZP92" i="54"/>
  <c r="QZN92" i="54"/>
  <c r="QZL92" i="54"/>
  <c r="QZJ92" i="54"/>
  <c r="QZH92" i="54"/>
  <c r="QZF92" i="54"/>
  <c r="QZD92" i="54"/>
  <c r="QZB92" i="54"/>
  <c r="QYZ92" i="54"/>
  <c r="QYX92" i="54"/>
  <c r="QYV92" i="54"/>
  <c r="QYT92" i="54"/>
  <c r="QYR92" i="54"/>
  <c r="QYP92" i="54"/>
  <c r="QYN92" i="54"/>
  <c r="QYL92" i="54"/>
  <c r="QYJ92" i="54"/>
  <c r="QYH92" i="54"/>
  <c r="QYF92" i="54"/>
  <c r="QYD92" i="54"/>
  <c r="QYB92" i="54"/>
  <c r="QXZ92" i="54"/>
  <c r="QXX92" i="54"/>
  <c r="QXV92" i="54"/>
  <c r="QXT92" i="54"/>
  <c r="QXR92" i="54"/>
  <c r="QXP92" i="54"/>
  <c r="QXN92" i="54"/>
  <c r="QXL92" i="54"/>
  <c r="QXJ92" i="54"/>
  <c r="QXH92" i="54"/>
  <c r="QXF92" i="54"/>
  <c r="QXD92" i="54"/>
  <c r="QXB92" i="54"/>
  <c r="QWZ92" i="54"/>
  <c r="QWX92" i="54"/>
  <c r="QWV92" i="54"/>
  <c r="QWT92" i="54"/>
  <c r="QWR92" i="54"/>
  <c r="QWP92" i="54"/>
  <c r="QWN92" i="54"/>
  <c r="QWL92" i="54"/>
  <c r="QWJ92" i="54"/>
  <c r="QWH92" i="54"/>
  <c r="QWF92" i="54"/>
  <c r="QWD92" i="54"/>
  <c r="QWB92" i="54"/>
  <c r="QVZ92" i="54"/>
  <c r="QVX92" i="54"/>
  <c r="QVV92" i="54"/>
  <c r="QVT92" i="54"/>
  <c r="QVR92" i="54"/>
  <c r="QVP92" i="54"/>
  <c r="QVN92" i="54"/>
  <c r="QVL92" i="54"/>
  <c r="QVJ92" i="54"/>
  <c r="QVH92" i="54"/>
  <c r="QVF92" i="54"/>
  <c r="QVD92" i="54"/>
  <c r="QVB92" i="54"/>
  <c r="QUZ92" i="54"/>
  <c r="QUX92" i="54"/>
  <c r="QUV92" i="54"/>
  <c r="QUT92" i="54"/>
  <c r="QUR92" i="54"/>
  <c r="QUP92" i="54"/>
  <c r="QUN92" i="54"/>
  <c r="QUL92" i="54"/>
  <c r="QUJ92" i="54"/>
  <c r="QUH92" i="54"/>
  <c r="QUF92" i="54"/>
  <c r="QUD92" i="54"/>
  <c r="QUB92" i="54"/>
  <c r="QTZ92" i="54"/>
  <c r="QTX92" i="54"/>
  <c r="QTV92" i="54"/>
  <c r="QTT92" i="54"/>
  <c r="QTR92" i="54"/>
  <c r="QTP92" i="54"/>
  <c r="QTN92" i="54"/>
  <c r="QTL92" i="54"/>
  <c r="QTJ92" i="54"/>
  <c r="QTH92" i="54"/>
  <c r="QTF92" i="54"/>
  <c r="QTD92" i="54"/>
  <c r="QTB92" i="54"/>
  <c r="QSZ92" i="54"/>
  <c r="QSX92" i="54"/>
  <c r="QSV92" i="54"/>
  <c r="QST92" i="54"/>
  <c r="QSR92" i="54"/>
  <c r="QSP92" i="54"/>
  <c r="QSN92" i="54"/>
  <c r="QSL92" i="54"/>
  <c r="QSJ92" i="54"/>
  <c r="QSH92" i="54"/>
  <c r="QSF92" i="54"/>
  <c r="QSD92" i="54"/>
  <c r="QSB92" i="54"/>
  <c r="QRZ92" i="54"/>
  <c r="QRX92" i="54"/>
  <c r="QRV92" i="54"/>
  <c r="QRT92" i="54"/>
  <c r="QRR92" i="54"/>
  <c r="QRP92" i="54"/>
  <c r="QRN92" i="54"/>
  <c r="QRL92" i="54"/>
  <c r="QRJ92" i="54"/>
  <c r="QRH92" i="54"/>
  <c r="QRF92" i="54"/>
  <c r="QRD92" i="54"/>
  <c r="QRB92" i="54"/>
  <c r="QQZ92" i="54"/>
  <c r="QQX92" i="54"/>
  <c r="QQV92" i="54"/>
  <c r="QQT92" i="54"/>
  <c r="QQR92" i="54"/>
  <c r="QQP92" i="54"/>
  <c r="QQN92" i="54"/>
  <c r="QQL92" i="54"/>
  <c r="QQJ92" i="54"/>
  <c r="QQH92" i="54"/>
  <c r="QQF92" i="54"/>
  <c r="QQD92" i="54"/>
  <c r="QQB92" i="54"/>
  <c r="QPZ92" i="54"/>
  <c r="QPX92" i="54"/>
  <c r="QPV92" i="54"/>
  <c r="QPT92" i="54"/>
  <c r="QPR92" i="54"/>
  <c r="QPP92" i="54"/>
  <c r="QPN92" i="54"/>
  <c r="QPL92" i="54"/>
  <c r="QPJ92" i="54"/>
  <c r="QPH92" i="54"/>
  <c r="QPF92" i="54"/>
  <c r="QPD92" i="54"/>
  <c r="QPB92" i="54"/>
  <c r="QOZ92" i="54"/>
  <c r="QOX92" i="54"/>
  <c r="QOV92" i="54"/>
  <c r="QOT92" i="54"/>
  <c r="QOR92" i="54"/>
  <c r="QOP92" i="54"/>
  <c r="QON92" i="54"/>
  <c r="QOL92" i="54"/>
  <c r="QOJ92" i="54"/>
  <c r="QOH92" i="54"/>
  <c r="QOF92" i="54"/>
  <c r="QOD92" i="54"/>
  <c r="QOB92" i="54"/>
  <c r="QNZ92" i="54"/>
  <c r="QNX92" i="54"/>
  <c r="QNV92" i="54"/>
  <c r="QNT92" i="54"/>
  <c r="QNR92" i="54"/>
  <c r="QNP92" i="54"/>
  <c r="QNN92" i="54"/>
  <c r="QNL92" i="54"/>
  <c r="QNJ92" i="54"/>
  <c r="QNH92" i="54"/>
  <c r="QNF92" i="54"/>
  <c r="QND92" i="54"/>
  <c r="QNB92" i="54"/>
  <c r="QMZ92" i="54"/>
  <c r="QMX92" i="54"/>
  <c r="QMV92" i="54"/>
  <c r="QMT92" i="54"/>
  <c r="QMR92" i="54"/>
  <c r="QMP92" i="54"/>
  <c r="QMN92" i="54"/>
  <c r="QML92" i="54"/>
  <c r="QMJ92" i="54"/>
  <c r="QMH92" i="54"/>
  <c r="QMF92" i="54"/>
  <c r="QMD92" i="54"/>
  <c r="QMB92" i="54"/>
  <c r="QLZ92" i="54"/>
  <c r="QLX92" i="54"/>
  <c r="QLV92" i="54"/>
  <c r="QLT92" i="54"/>
  <c r="QLR92" i="54"/>
  <c r="QLP92" i="54"/>
  <c r="QLN92" i="54"/>
  <c r="QLL92" i="54"/>
  <c r="QLJ92" i="54"/>
  <c r="QLH92" i="54"/>
  <c r="QLF92" i="54"/>
  <c r="QLD92" i="54"/>
  <c r="QLB92" i="54"/>
  <c r="QKZ92" i="54"/>
  <c r="QKX92" i="54"/>
  <c r="QKV92" i="54"/>
  <c r="QKT92" i="54"/>
  <c r="QKR92" i="54"/>
  <c r="QKP92" i="54"/>
  <c r="QKN92" i="54"/>
  <c r="QKL92" i="54"/>
  <c r="QKJ92" i="54"/>
  <c r="QKH92" i="54"/>
  <c r="QKF92" i="54"/>
  <c r="QKD92" i="54"/>
  <c r="QKB92" i="54"/>
  <c r="QJZ92" i="54"/>
  <c r="QJX92" i="54"/>
  <c r="QJV92" i="54"/>
  <c r="QJT92" i="54"/>
  <c r="QJR92" i="54"/>
  <c r="QJP92" i="54"/>
  <c r="QJN92" i="54"/>
  <c r="QJL92" i="54"/>
  <c r="QJJ92" i="54"/>
  <c r="QJH92" i="54"/>
  <c r="QJF92" i="54"/>
  <c r="QJD92" i="54"/>
  <c r="QJB92" i="54"/>
  <c r="QIZ92" i="54"/>
  <c r="QIX92" i="54"/>
  <c r="QIV92" i="54"/>
  <c r="QIT92" i="54"/>
  <c r="QIR92" i="54"/>
  <c r="QIP92" i="54"/>
  <c r="QIN92" i="54"/>
  <c r="QIL92" i="54"/>
  <c r="QIJ92" i="54"/>
  <c r="QIH92" i="54"/>
  <c r="QIF92" i="54"/>
  <c r="QID92" i="54"/>
  <c r="QIB92" i="54"/>
  <c r="QHZ92" i="54"/>
  <c r="QHX92" i="54"/>
  <c r="QHV92" i="54"/>
  <c r="QHT92" i="54"/>
  <c r="QHR92" i="54"/>
  <c r="QHP92" i="54"/>
  <c r="QHN92" i="54"/>
  <c r="QHL92" i="54"/>
  <c r="QHJ92" i="54"/>
  <c r="QHH92" i="54"/>
  <c r="QHF92" i="54"/>
  <c r="QHD92" i="54"/>
  <c r="QHB92" i="54"/>
  <c r="QGZ92" i="54"/>
  <c r="QGX92" i="54"/>
  <c r="QGV92" i="54"/>
  <c r="QGT92" i="54"/>
  <c r="QGR92" i="54"/>
  <c r="QGP92" i="54"/>
  <c r="QGN92" i="54"/>
  <c r="QGL92" i="54"/>
  <c r="QGJ92" i="54"/>
  <c r="QGH92" i="54"/>
  <c r="QGF92" i="54"/>
  <c r="QGD92" i="54"/>
  <c r="QGB92" i="54"/>
  <c r="QFZ92" i="54"/>
  <c r="QFX92" i="54"/>
  <c r="QFV92" i="54"/>
  <c r="QFT92" i="54"/>
  <c r="QFR92" i="54"/>
  <c r="QFP92" i="54"/>
  <c r="QFN92" i="54"/>
  <c r="QFL92" i="54"/>
  <c r="QFJ92" i="54"/>
  <c r="QFH92" i="54"/>
  <c r="QFF92" i="54"/>
  <c r="QFD92" i="54"/>
  <c r="QFB92" i="54"/>
  <c r="QEZ92" i="54"/>
  <c r="QEX92" i="54"/>
  <c r="QEV92" i="54"/>
  <c r="QET92" i="54"/>
  <c r="QER92" i="54"/>
  <c r="QEP92" i="54"/>
  <c r="QEN92" i="54"/>
  <c r="QEL92" i="54"/>
  <c r="QEJ92" i="54"/>
  <c r="QEH92" i="54"/>
  <c r="QEF92" i="54"/>
  <c r="QED92" i="54"/>
  <c r="QEB92" i="54"/>
  <c r="QDZ92" i="54"/>
  <c r="QDX92" i="54"/>
  <c r="QDV92" i="54"/>
  <c r="QDT92" i="54"/>
  <c r="QDR92" i="54"/>
  <c r="QDP92" i="54"/>
  <c r="QDN92" i="54"/>
  <c r="QDL92" i="54"/>
  <c r="QDJ92" i="54"/>
  <c r="QDH92" i="54"/>
  <c r="QDF92" i="54"/>
  <c r="QDD92" i="54"/>
  <c r="QDB92" i="54"/>
  <c r="QCZ92" i="54"/>
  <c r="QCX92" i="54"/>
  <c r="QCV92" i="54"/>
  <c r="QCT92" i="54"/>
  <c r="QCR92" i="54"/>
  <c r="QCP92" i="54"/>
  <c r="QCN92" i="54"/>
  <c r="QCL92" i="54"/>
  <c r="QCJ92" i="54"/>
  <c r="QCH92" i="54"/>
  <c r="QCF92" i="54"/>
  <c r="QCD92" i="54"/>
  <c r="QCB92" i="54"/>
  <c r="QBZ92" i="54"/>
  <c r="QBX92" i="54"/>
  <c r="QBV92" i="54"/>
  <c r="QBT92" i="54"/>
  <c r="QBR92" i="54"/>
  <c r="QBP92" i="54"/>
  <c r="QBN92" i="54"/>
  <c r="QBL92" i="54"/>
  <c r="QBJ92" i="54"/>
  <c r="QBH92" i="54"/>
  <c r="QBF92" i="54"/>
  <c r="QBD92" i="54"/>
  <c r="QBB92" i="54"/>
  <c r="QAZ92" i="54"/>
  <c r="QAX92" i="54"/>
  <c r="QAV92" i="54"/>
  <c r="QAT92" i="54"/>
  <c r="QAR92" i="54"/>
  <c r="QAP92" i="54"/>
  <c r="QAN92" i="54"/>
  <c r="QAL92" i="54"/>
  <c r="QAJ92" i="54"/>
  <c r="QAH92" i="54"/>
  <c r="QAF92" i="54"/>
  <c r="QAD92" i="54"/>
  <c r="QAB92" i="54"/>
  <c r="PZZ92" i="54"/>
  <c r="PZX92" i="54"/>
  <c r="PZV92" i="54"/>
  <c r="PZT92" i="54"/>
  <c r="PZR92" i="54"/>
  <c r="PZP92" i="54"/>
  <c r="PZN92" i="54"/>
  <c r="PZL92" i="54"/>
  <c r="PZJ92" i="54"/>
  <c r="PZH92" i="54"/>
  <c r="PZF92" i="54"/>
  <c r="PZD92" i="54"/>
  <c r="PZB92" i="54"/>
  <c r="PYZ92" i="54"/>
  <c r="PYX92" i="54"/>
  <c r="PYV92" i="54"/>
  <c r="PYT92" i="54"/>
  <c r="PYR92" i="54"/>
  <c r="PYP92" i="54"/>
  <c r="PYN92" i="54"/>
  <c r="PYL92" i="54"/>
  <c r="PYJ92" i="54"/>
  <c r="PYH92" i="54"/>
  <c r="PYF92" i="54"/>
  <c r="PYD92" i="54"/>
  <c r="PYB92" i="54"/>
  <c r="PXZ92" i="54"/>
  <c r="PXX92" i="54"/>
  <c r="PXV92" i="54"/>
  <c r="PXT92" i="54"/>
  <c r="PXR92" i="54"/>
  <c r="PXP92" i="54"/>
  <c r="PXN92" i="54"/>
  <c r="PXL92" i="54"/>
  <c r="PXJ92" i="54"/>
  <c r="PXH92" i="54"/>
  <c r="PXF92" i="54"/>
  <c r="PXD92" i="54"/>
  <c r="PXB92" i="54"/>
  <c r="PWZ92" i="54"/>
  <c r="PWX92" i="54"/>
  <c r="PWV92" i="54"/>
  <c r="PWT92" i="54"/>
  <c r="PWR92" i="54"/>
  <c r="PWP92" i="54"/>
  <c r="PWN92" i="54"/>
  <c r="PWL92" i="54"/>
  <c r="PWJ92" i="54"/>
  <c r="PWH92" i="54"/>
  <c r="PWF92" i="54"/>
  <c r="PWD92" i="54"/>
  <c r="PWB92" i="54"/>
  <c r="PVZ92" i="54"/>
  <c r="PVX92" i="54"/>
  <c r="PVV92" i="54"/>
  <c r="PVT92" i="54"/>
  <c r="PVR92" i="54"/>
  <c r="PVP92" i="54"/>
  <c r="PVN92" i="54"/>
  <c r="PVL92" i="54"/>
  <c r="PVJ92" i="54"/>
  <c r="PVH92" i="54"/>
  <c r="PVF92" i="54"/>
  <c r="PVD92" i="54"/>
  <c r="PVB92" i="54"/>
  <c r="PUZ92" i="54"/>
  <c r="PUX92" i="54"/>
  <c r="PUV92" i="54"/>
  <c r="PUT92" i="54"/>
  <c r="PUR92" i="54"/>
  <c r="PUP92" i="54"/>
  <c r="PUN92" i="54"/>
  <c r="PUL92" i="54"/>
  <c r="PUJ92" i="54"/>
  <c r="PUH92" i="54"/>
  <c r="PUF92" i="54"/>
  <c r="PUD92" i="54"/>
  <c r="PUB92" i="54"/>
  <c r="PTZ92" i="54"/>
  <c r="PTX92" i="54"/>
  <c r="PTV92" i="54"/>
  <c r="PTT92" i="54"/>
  <c r="PTR92" i="54"/>
  <c r="PTP92" i="54"/>
  <c r="PTN92" i="54"/>
  <c r="PTL92" i="54"/>
  <c r="PTJ92" i="54"/>
  <c r="PTH92" i="54"/>
  <c r="PTF92" i="54"/>
  <c r="PTD92" i="54"/>
  <c r="PTB92" i="54"/>
  <c r="PSZ92" i="54"/>
  <c r="PSX92" i="54"/>
  <c r="PSV92" i="54"/>
  <c r="PST92" i="54"/>
  <c r="PSR92" i="54"/>
  <c r="PSP92" i="54"/>
  <c r="PSN92" i="54"/>
  <c r="PSL92" i="54"/>
  <c r="PSJ92" i="54"/>
  <c r="PSH92" i="54"/>
  <c r="PSF92" i="54"/>
  <c r="PSD92" i="54"/>
  <c r="PSB92" i="54"/>
  <c r="PRZ92" i="54"/>
  <c r="PRX92" i="54"/>
  <c r="PRV92" i="54"/>
  <c r="PRT92" i="54"/>
  <c r="PRR92" i="54"/>
  <c r="PRP92" i="54"/>
  <c r="PRN92" i="54"/>
  <c r="PRL92" i="54"/>
  <c r="PRJ92" i="54"/>
  <c r="PRH92" i="54"/>
  <c r="PRF92" i="54"/>
  <c r="PRD92" i="54"/>
  <c r="PRB92" i="54"/>
  <c r="PQZ92" i="54"/>
  <c r="PQX92" i="54"/>
  <c r="PQV92" i="54"/>
  <c r="PQT92" i="54"/>
  <c r="PQR92" i="54"/>
  <c r="PQP92" i="54"/>
  <c r="PQN92" i="54"/>
  <c r="PQL92" i="54"/>
  <c r="PQJ92" i="54"/>
  <c r="PQH92" i="54"/>
  <c r="PQF92" i="54"/>
  <c r="PQD92" i="54"/>
  <c r="PQB92" i="54"/>
  <c r="PPZ92" i="54"/>
  <c r="PPX92" i="54"/>
  <c r="PPV92" i="54"/>
  <c r="PPT92" i="54"/>
  <c r="PPR92" i="54"/>
  <c r="PPP92" i="54"/>
  <c r="PPN92" i="54"/>
  <c r="PPL92" i="54"/>
  <c r="PPJ92" i="54"/>
  <c r="PPH92" i="54"/>
  <c r="PPF92" i="54"/>
  <c r="PPD92" i="54"/>
  <c r="PPB92" i="54"/>
  <c r="POZ92" i="54"/>
  <c r="POX92" i="54"/>
  <c r="POV92" i="54"/>
  <c r="POT92" i="54"/>
  <c r="POR92" i="54"/>
  <c r="POP92" i="54"/>
  <c r="PON92" i="54"/>
  <c r="POL92" i="54"/>
  <c r="POJ92" i="54"/>
  <c r="POH92" i="54"/>
  <c r="POF92" i="54"/>
  <c r="POD92" i="54"/>
  <c r="POB92" i="54"/>
  <c r="PNZ92" i="54"/>
  <c r="PNX92" i="54"/>
  <c r="PNV92" i="54"/>
  <c r="PNT92" i="54"/>
  <c r="PNR92" i="54"/>
  <c r="PNP92" i="54"/>
  <c r="PNN92" i="54"/>
  <c r="PNL92" i="54"/>
  <c r="PNJ92" i="54"/>
  <c r="PNH92" i="54"/>
  <c r="PNF92" i="54"/>
  <c r="PND92" i="54"/>
  <c r="PNB92" i="54"/>
  <c r="PMZ92" i="54"/>
  <c r="PMX92" i="54"/>
  <c r="PMV92" i="54"/>
  <c r="PMT92" i="54"/>
  <c r="PMR92" i="54"/>
  <c r="PMP92" i="54"/>
  <c r="PMN92" i="54"/>
  <c r="PML92" i="54"/>
  <c r="PMJ92" i="54"/>
  <c r="PMH92" i="54"/>
  <c r="PMF92" i="54"/>
  <c r="PMD92" i="54"/>
  <c r="PMB92" i="54"/>
  <c r="PLZ92" i="54"/>
  <c r="PLX92" i="54"/>
  <c r="PLV92" i="54"/>
  <c r="PLT92" i="54"/>
  <c r="PLR92" i="54"/>
  <c r="PLP92" i="54"/>
  <c r="PLN92" i="54"/>
  <c r="PLL92" i="54"/>
  <c r="PLJ92" i="54"/>
  <c r="PLH92" i="54"/>
  <c r="PLF92" i="54"/>
  <c r="PLD92" i="54"/>
  <c r="PLB92" i="54"/>
  <c r="PKZ92" i="54"/>
  <c r="PKX92" i="54"/>
  <c r="PKV92" i="54"/>
  <c r="PKT92" i="54"/>
  <c r="PKR92" i="54"/>
  <c r="PKP92" i="54"/>
  <c r="PKN92" i="54"/>
  <c r="PKL92" i="54"/>
  <c r="PKJ92" i="54"/>
  <c r="PKH92" i="54"/>
  <c r="PKF92" i="54"/>
  <c r="PKD92" i="54"/>
  <c r="PKB92" i="54"/>
  <c r="PJZ92" i="54"/>
  <c r="PJX92" i="54"/>
  <c r="PJV92" i="54"/>
  <c r="PJT92" i="54"/>
  <c r="PJR92" i="54"/>
  <c r="PJP92" i="54"/>
  <c r="PJN92" i="54"/>
  <c r="PJL92" i="54"/>
  <c r="PJJ92" i="54"/>
  <c r="PJH92" i="54"/>
  <c r="PJF92" i="54"/>
  <c r="PJD92" i="54"/>
  <c r="PJB92" i="54"/>
  <c r="PIZ92" i="54"/>
  <c r="PIX92" i="54"/>
  <c r="PIV92" i="54"/>
  <c r="PIT92" i="54"/>
  <c r="PIR92" i="54"/>
  <c r="PIP92" i="54"/>
  <c r="PIN92" i="54"/>
  <c r="PIL92" i="54"/>
  <c r="PIJ92" i="54"/>
  <c r="PIH92" i="54"/>
  <c r="PIF92" i="54"/>
  <c r="PID92" i="54"/>
  <c r="PIB92" i="54"/>
  <c r="PHZ92" i="54"/>
  <c r="PHX92" i="54"/>
  <c r="PHV92" i="54"/>
  <c r="PHT92" i="54"/>
  <c r="PHR92" i="54"/>
  <c r="PHP92" i="54"/>
  <c r="PHN92" i="54"/>
  <c r="PHL92" i="54"/>
  <c r="PHJ92" i="54"/>
  <c r="PHH92" i="54"/>
  <c r="PHF92" i="54"/>
  <c r="PHD92" i="54"/>
  <c r="PHB92" i="54"/>
  <c r="PGZ92" i="54"/>
  <c r="PGX92" i="54"/>
  <c r="PGV92" i="54"/>
  <c r="PGT92" i="54"/>
  <c r="PGR92" i="54"/>
  <c r="PGP92" i="54"/>
  <c r="PGN92" i="54"/>
  <c r="PGL92" i="54"/>
  <c r="PGJ92" i="54"/>
  <c r="PGH92" i="54"/>
  <c r="PGF92" i="54"/>
  <c r="PGD92" i="54"/>
  <c r="PGB92" i="54"/>
  <c r="PFZ92" i="54"/>
  <c r="PFX92" i="54"/>
  <c r="PFV92" i="54"/>
  <c r="PFT92" i="54"/>
  <c r="PFR92" i="54"/>
  <c r="PFP92" i="54"/>
  <c r="PFN92" i="54"/>
  <c r="PFL92" i="54"/>
  <c r="PFJ92" i="54"/>
  <c r="PFH92" i="54"/>
  <c r="PFF92" i="54"/>
  <c r="PFD92" i="54"/>
  <c r="PFB92" i="54"/>
  <c r="PEZ92" i="54"/>
  <c r="PEX92" i="54"/>
  <c r="PEV92" i="54"/>
  <c r="PET92" i="54"/>
  <c r="PER92" i="54"/>
  <c r="PEP92" i="54"/>
  <c r="PEN92" i="54"/>
  <c r="PEL92" i="54"/>
  <c r="PEJ92" i="54"/>
  <c r="PEH92" i="54"/>
  <c r="PEF92" i="54"/>
  <c r="PED92" i="54"/>
  <c r="PEB92" i="54"/>
  <c r="PDZ92" i="54"/>
  <c r="PDX92" i="54"/>
  <c r="PDV92" i="54"/>
  <c r="PDT92" i="54"/>
  <c r="PDR92" i="54"/>
  <c r="PDP92" i="54"/>
  <c r="PDN92" i="54"/>
  <c r="PDL92" i="54"/>
  <c r="PDJ92" i="54"/>
  <c r="PDH92" i="54"/>
  <c r="PDF92" i="54"/>
  <c r="PDD92" i="54"/>
  <c r="PDB92" i="54"/>
  <c r="PCZ92" i="54"/>
  <c r="PCX92" i="54"/>
  <c r="PCV92" i="54"/>
  <c r="PCT92" i="54"/>
  <c r="PCR92" i="54"/>
  <c r="PCP92" i="54"/>
  <c r="PCN92" i="54"/>
  <c r="PCL92" i="54"/>
  <c r="PCJ92" i="54"/>
  <c r="PCH92" i="54"/>
  <c r="PCF92" i="54"/>
  <c r="PCD92" i="54"/>
  <c r="PCB92" i="54"/>
  <c r="PBZ92" i="54"/>
  <c r="PBX92" i="54"/>
  <c r="PBV92" i="54"/>
  <c r="PBT92" i="54"/>
  <c r="PBR92" i="54"/>
  <c r="PBP92" i="54"/>
  <c r="PBN92" i="54"/>
  <c r="PBL92" i="54"/>
  <c r="PBJ92" i="54"/>
  <c r="PBH92" i="54"/>
  <c r="PBF92" i="54"/>
  <c r="PBD92" i="54"/>
  <c r="PBB92" i="54"/>
  <c r="PAZ92" i="54"/>
  <c r="PAX92" i="54"/>
  <c r="PAV92" i="54"/>
  <c r="PAT92" i="54"/>
  <c r="PAR92" i="54"/>
  <c r="PAP92" i="54"/>
  <c r="PAN92" i="54"/>
  <c r="PAL92" i="54"/>
  <c r="PAJ92" i="54"/>
  <c r="PAH92" i="54"/>
  <c r="PAF92" i="54"/>
  <c r="PAD92" i="54"/>
  <c r="PAB92" i="54"/>
  <c r="OZZ92" i="54"/>
  <c r="OZX92" i="54"/>
  <c r="OZV92" i="54"/>
  <c r="OZT92" i="54"/>
  <c r="OZR92" i="54"/>
  <c r="OZP92" i="54"/>
  <c r="OZN92" i="54"/>
  <c r="OZL92" i="54"/>
  <c r="OZJ92" i="54"/>
  <c r="OZH92" i="54"/>
  <c r="OZF92" i="54"/>
  <c r="OZD92" i="54"/>
  <c r="OZB92" i="54"/>
  <c r="OYZ92" i="54"/>
  <c r="OYX92" i="54"/>
  <c r="OYV92" i="54"/>
  <c r="OYT92" i="54"/>
  <c r="OYR92" i="54"/>
  <c r="OYP92" i="54"/>
  <c r="OYN92" i="54"/>
  <c r="OYL92" i="54"/>
  <c r="OYJ92" i="54"/>
  <c r="OYH92" i="54"/>
  <c r="OYF92" i="54"/>
  <c r="OYD92" i="54"/>
  <c r="OYB92" i="54"/>
  <c r="OXZ92" i="54"/>
  <c r="OXX92" i="54"/>
  <c r="OXV92" i="54"/>
  <c r="OXT92" i="54"/>
  <c r="OXR92" i="54"/>
  <c r="OXP92" i="54"/>
  <c r="OXN92" i="54"/>
  <c r="OXL92" i="54"/>
  <c r="OXJ92" i="54"/>
  <c r="OXH92" i="54"/>
  <c r="OXF92" i="54"/>
  <c r="OXD92" i="54"/>
  <c r="OXB92" i="54"/>
  <c r="OWZ92" i="54"/>
  <c r="OWX92" i="54"/>
  <c r="OWV92" i="54"/>
  <c r="OWT92" i="54"/>
  <c r="OWR92" i="54"/>
  <c r="OWP92" i="54"/>
  <c r="OWN92" i="54"/>
  <c r="OWL92" i="54"/>
  <c r="OWJ92" i="54"/>
  <c r="OWH92" i="54"/>
  <c r="OWF92" i="54"/>
  <c r="OWD92" i="54"/>
  <c r="OWB92" i="54"/>
  <c r="OVZ92" i="54"/>
  <c r="OVX92" i="54"/>
  <c r="OVV92" i="54"/>
  <c r="OVT92" i="54"/>
  <c r="OVR92" i="54"/>
  <c r="OVP92" i="54"/>
  <c r="OVN92" i="54"/>
  <c r="OVL92" i="54"/>
  <c r="OVJ92" i="54"/>
  <c r="OVH92" i="54"/>
  <c r="OVF92" i="54"/>
  <c r="OVD92" i="54"/>
  <c r="OVB92" i="54"/>
  <c r="OUZ92" i="54"/>
  <c r="OUX92" i="54"/>
  <c r="OUV92" i="54"/>
  <c r="OUT92" i="54"/>
  <c r="OUR92" i="54"/>
  <c r="OUP92" i="54"/>
  <c r="OUN92" i="54"/>
  <c r="OUL92" i="54"/>
  <c r="OUJ92" i="54"/>
  <c r="OUH92" i="54"/>
  <c r="OUF92" i="54"/>
  <c r="OUD92" i="54"/>
  <c r="OUB92" i="54"/>
  <c r="OTZ92" i="54"/>
  <c r="OTX92" i="54"/>
  <c r="OTV92" i="54"/>
  <c r="OTT92" i="54"/>
  <c r="OTR92" i="54"/>
  <c r="OTP92" i="54"/>
  <c r="OTN92" i="54"/>
  <c r="OTL92" i="54"/>
  <c r="OTJ92" i="54"/>
  <c r="OTH92" i="54"/>
  <c r="OTF92" i="54"/>
  <c r="OTD92" i="54"/>
  <c r="OTB92" i="54"/>
  <c r="OSZ92" i="54"/>
  <c r="OSX92" i="54"/>
  <c r="OSV92" i="54"/>
  <c r="OST92" i="54"/>
  <c r="OSR92" i="54"/>
  <c r="OSP92" i="54"/>
  <c r="OSN92" i="54"/>
  <c r="OSL92" i="54"/>
  <c r="OSJ92" i="54"/>
  <c r="OSH92" i="54"/>
  <c r="OSF92" i="54"/>
  <c r="OSD92" i="54"/>
  <c r="OSB92" i="54"/>
  <c r="ORZ92" i="54"/>
  <c r="ORX92" i="54"/>
  <c r="ORV92" i="54"/>
  <c r="ORT92" i="54"/>
  <c r="ORR92" i="54"/>
  <c r="ORP92" i="54"/>
  <c r="ORN92" i="54"/>
  <c r="ORL92" i="54"/>
  <c r="ORJ92" i="54"/>
  <c r="ORH92" i="54"/>
  <c r="ORF92" i="54"/>
  <c r="ORD92" i="54"/>
  <c r="ORB92" i="54"/>
  <c r="OQZ92" i="54"/>
  <c r="OQX92" i="54"/>
  <c r="OQV92" i="54"/>
  <c r="OQT92" i="54"/>
  <c r="OQR92" i="54"/>
  <c r="OQP92" i="54"/>
  <c r="OQN92" i="54"/>
  <c r="OQL92" i="54"/>
  <c r="OQJ92" i="54"/>
  <c r="OQH92" i="54"/>
  <c r="OQF92" i="54"/>
  <c r="OQD92" i="54"/>
  <c r="OQB92" i="54"/>
  <c r="OPZ92" i="54"/>
  <c r="OPX92" i="54"/>
  <c r="OPV92" i="54"/>
  <c r="OPT92" i="54"/>
  <c r="OPR92" i="54"/>
  <c r="OPP92" i="54"/>
  <c r="OPN92" i="54"/>
  <c r="OPL92" i="54"/>
  <c r="OPJ92" i="54"/>
  <c r="OPH92" i="54"/>
  <c r="OPF92" i="54"/>
  <c r="OPD92" i="54"/>
  <c r="OPB92" i="54"/>
  <c r="OOZ92" i="54"/>
  <c r="OOX92" i="54"/>
  <c r="OOV92" i="54"/>
  <c r="OOT92" i="54"/>
  <c r="OOR92" i="54"/>
  <c r="OOP92" i="54"/>
  <c r="OON92" i="54"/>
  <c r="OOL92" i="54"/>
  <c r="OOJ92" i="54"/>
  <c r="OOH92" i="54"/>
  <c r="OOF92" i="54"/>
  <c r="OOD92" i="54"/>
  <c r="OOB92" i="54"/>
  <c r="ONZ92" i="54"/>
  <c r="ONX92" i="54"/>
  <c r="ONV92" i="54"/>
  <c r="ONT92" i="54"/>
  <c r="ONR92" i="54"/>
  <c r="ONP92" i="54"/>
  <c r="ONN92" i="54"/>
  <c r="ONL92" i="54"/>
  <c r="ONJ92" i="54"/>
  <c r="ONH92" i="54"/>
  <c r="ONF92" i="54"/>
  <c r="OND92" i="54"/>
  <c r="ONB92" i="54"/>
  <c r="OMZ92" i="54"/>
  <c r="OMX92" i="54"/>
  <c r="OMV92" i="54"/>
  <c r="OMT92" i="54"/>
  <c r="OMR92" i="54"/>
  <c r="OMP92" i="54"/>
  <c r="OMN92" i="54"/>
  <c r="OML92" i="54"/>
  <c r="OMJ92" i="54"/>
  <c r="OMH92" i="54"/>
  <c r="OMF92" i="54"/>
  <c r="OMD92" i="54"/>
  <c r="OMB92" i="54"/>
  <c r="OLZ92" i="54"/>
  <c r="OLX92" i="54"/>
  <c r="OLV92" i="54"/>
  <c r="OLT92" i="54"/>
  <c r="OLR92" i="54"/>
  <c r="OLP92" i="54"/>
  <c r="OLN92" i="54"/>
  <c r="OLL92" i="54"/>
  <c r="OLJ92" i="54"/>
  <c r="OLH92" i="54"/>
  <c r="OLF92" i="54"/>
  <c r="OLD92" i="54"/>
  <c r="OLB92" i="54"/>
  <c r="OKZ92" i="54"/>
  <c r="OKX92" i="54"/>
  <c r="OKV92" i="54"/>
  <c r="OKT92" i="54"/>
  <c r="OKR92" i="54"/>
  <c r="OKP92" i="54"/>
  <c r="OKN92" i="54"/>
  <c r="OKL92" i="54"/>
  <c r="OKJ92" i="54"/>
  <c r="OKH92" i="54"/>
  <c r="OKF92" i="54"/>
  <c r="OKD92" i="54"/>
  <c r="OKB92" i="54"/>
  <c r="OJZ92" i="54"/>
  <c r="OJX92" i="54"/>
  <c r="OJV92" i="54"/>
  <c r="OJT92" i="54"/>
  <c r="OJR92" i="54"/>
  <c r="OJP92" i="54"/>
  <c r="OJN92" i="54"/>
  <c r="OJL92" i="54"/>
  <c r="OJJ92" i="54"/>
  <c r="OJH92" i="54"/>
  <c r="OJF92" i="54"/>
  <c r="OJD92" i="54"/>
  <c r="OJB92" i="54"/>
  <c r="OIZ92" i="54"/>
  <c r="OIX92" i="54"/>
  <c r="OIV92" i="54"/>
  <c r="OIT92" i="54"/>
  <c r="OIR92" i="54"/>
  <c r="OIP92" i="54"/>
  <c r="OIN92" i="54"/>
  <c r="OIL92" i="54"/>
  <c r="OIJ92" i="54"/>
  <c r="OIH92" i="54"/>
  <c r="OIF92" i="54"/>
  <c r="OID92" i="54"/>
  <c r="OIB92" i="54"/>
  <c r="OHZ92" i="54"/>
  <c r="OHX92" i="54"/>
  <c r="OHV92" i="54"/>
  <c r="OHT92" i="54"/>
  <c r="OHR92" i="54"/>
  <c r="OHP92" i="54"/>
  <c r="OHN92" i="54"/>
  <c r="OHL92" i="54"/>
  <c r="OHJ92" i="54"/>
  <c r="OHH92" i="54"/>
  <c r="OHF92" i="54"/>
  <c r="OHD92" i="54"/>
  <c r="OHB92" i="54"/>
  <c r="OGZ92" i="54"/>
  <c r="OGX92" i="54"/>
  <c r="OGV92" i="54"/>
  <c r="OGT92" i="54"/>
  <c r="OGR92" i="54"/>
  <c r="OGP92" i="54"/>
  <c r="OGN92" i="54"/>
  <c r="OGL92" i="54"/>
  <c r="OGJ92" i="54"/>
  <c r="OGH92" i="54"/>
  <c r="OGF92" i="54"/>
  <c r="OGD92" i="54"/>
  <c r="OGB92" i="54"/>
  <c r="OFZ92" i="54"/>
  <c r="OFX92" i="54"/>
  <c r="OFV92" i="54"/>
  <c r="OFT92" i="54"/>
  <c r="OFR92" i="54"/>
  <c r="OFP92" i="54"/>
  <c r="OFN92" i="54"/>
  <c r="OFL92" i="54"/>
  <c r="OFJ92" i="54"/>
  <c r="OFH92" i="54"/>
  <c r="OFF92" i="54"/>
  <c r="OFD92" i="54"/>
  <c r="OFB92" i="54"/>
  <c r="OEZ92" i="54"/>
  <c r="OEX92" i="54"/>
  <c r="OEV92" i="54"/>
  <c r="OET92" i="54"/>
  <c r="OER92" i="54"/>
  <c r="OEP92" i="54"/>
  <c r="OEN92" i="54"/>
  <c r="OEL92" i="54"/>
  <c r="OEJ92" i="54"/>
  <c r="OEH92" i="54"/>
  <c r="OEF92" i="54"/>
  <c r="OED92" i="54"/>
  <c r="OEB92" i="54"/>
  <c r="ODZ92" i="54"/>
  <c r="ODX92" i="54"/>
  <c r="ODV92" i="54"/>
  <c r="ODT92" i="54"/>
  <c r="ODR92" i="54"/>
  <c r="ODP92" i="54"/>
  <c r="ODN92" i="54"/>
  <c r="ODL92" i="54"/>
  <c r="ODJ92" i="54"/>
  <c r="ODH92" i="54"/>
  <c r="ODF92" i="54"/>
  <c r="ODD92" i="54"/>
  <c r="ODB92" i="54"/>
  <c r="OCZ92" i="54"/>
  <c r="OCX92" i="54"/>
  <c r="OCV92" i="54"/>
  <c r="OCT92" i="54"/>
  <c r="OCR92" i="54"/>
  <c r="OCP92" i="54"/>
  <c r="OCN92" i="54"/>
  <c r="OCL92" i="54"/>
  <c r="OCJ92" i="54"/>
  <c r="OCH92" i="54"/>
  <c r="OCF92" i="54"/>
  <c r="OCD92" i="54"/>
  <c r="OCB92" i="54"/>
  <c r="OBZ92" i="54"/>
  <c r="OBX92" i="54"/>
  <c r="OBV92" i="54"/>
  <c r="OBT92" i="54"/>
  <c r="OBR92" i="54"/>
  <c r="OBP92" i="54"/>
  <c r="OBN92" i="54"/>
  <c r="OBL92" i="54"/>
  <c r="OBJ92" i="54"/>
  <c r="OBH92" i="54"/>
  <c r="OBF92" i="54"/>
  <c r="OBD92" i="54"/>
  <c r="OBB92" i="54"/>
  <c r="OAZ92" i="54"/>
  <c r="OAX92" i="54"/>
  <c r="OAV92" i="54"/>
  <c r="OAT92" i="54"/>
  <c r="OAR92" i="54"/>
  <c r="OAP92" i="54"/>
  <c r="OAN92" i="54"/>
  <c r="OAL92" i="54"/>
  <c r="OAJ92" i="54"/>
  <c r="OAH92" i="54"/>
  <c r="OAF92" i="54"/>
  <c r="OAD92" i="54"/>
  <c r="OAB92" i="54"/>
  <c r="NZZ92" i="54"/>
  <c r="NZX92" i="54"/>
  <c r="NZV92" i="54"/>
  <c r="NZT92" i="54"/>
  <c r="NZR92" i="54"/>
  <c r="NZP92" i="54"/>
  <c r="NZN92" i="54"/>
  <c r="NZL92" i="54"/>
  <c r="NZJ92" i="54"/>
  <c r="NZH92" i="54"/>
  <c r="NZF92" i="54"/>
  <c r="NZD92" i="54"/>
  <c r="NZB92" i="54"/>
  <c r="NYZ92" i="54"/>
  <c r="NYX92" i="54"/>
  <c r="NYV92" i="54"/>
  <c r="NYT92" i="54"/>
  <c r="NYR92" i="54"/>
  <c r="NYP92" i="54"/>
  <c r="NYN92" i="54"/>
  <c r="NYL92" i="54"/>
  <c r="NYJ92" i="54"/>
  <c r="NYH92" i="54"/>
  <c r="NYF92" i="54"/>
  <c r="NYD92" i="54"/>
  <c r="NYB92" i="54"/>
  <c r="NXZ92" i="54"/>
  <c r="NXX92" i="54"/>
  <c r="NXV92" i="54"/>
  <c r="NXT92" i="54"/>
  <c r="NXR92" i="54"/>
  <c r="NXP92" i="54"/>
  <c r="NXN92" i="54"/>
  <c r="NXL92" i="54"/>
  <c r="NXJ92" i="54"/>
  <c r="NXH92" i="54"/>
  <c r="NXF92" i="54"/>
  <c r="NXD92" i="54"/>
  <c r="NXB92" i="54"/>
  <c r="NWZ92" i="54"/>
  <c r="NWX92" i="54"/>
  <c r="NWV92" i="54"/>
  <c r="NWT92" i="54"/>
  <c r="NWR92" i="54"/>
  <c r="NWP92" i="54"/>
  <c r="NWN92" i="54"/>
  <c r="NWL92" i="54"/>
  <c r="NWJ92" i="54"/>
  <c r="NWH92" i="54"/>
  <c r="NWF92" i="54"/>
  <c r="NWD92" i="54"/>
  <c r="NWB92" i="54"/>
  <c r="NVZ92" i="54"/>
  <c r="NVX92" i="54"/>
  <c r="NVV92" i="54"/>
  <c r="NVT92" i="54"/>
  <c r="NVR92" i="54"/>
  <c r="NVP92" i="54"/>
  <c r="NVN92" i="54"/>
  <c r="NVL92" i="54"/>
  <c r="NVJ92" i="54"/>
  <c r="NVH92" i="54"/>
  <c r="NVF92" i="54"/>
  <c r="NVD92" i="54"/>
  <c r="NVB92" i="54"/>
  <c r="NUZ92" i="54"/>
  <c r="NUX92" i="54"/>
  <c r="NUV92" i="54"/>
  <c r="NUT92" i="54"/>
  <c r="NUR92" i="54"/>
  <c r="NUP92" i="54"/>
  <c r="NUN92" i="54"/>
  <c r="NUL92" i="54"/>
  <c r="NUJ92" i="54"/>
  <c r="NUH92" i="54"/>
  <c r="NUF92" i="54"/>
  <c r="NUD92" i="54"/>
  <c r="NUB92" i="54"/>
  <c r="NTZ92" i="54"/>
  <c r="NTX92" i="54"/>
  <c r="NTV92" i="54"/>
  <c r="NTT92" i="54"/>
  <c r="NTR92" i="54"/>
  <c r="NTP92" i="54"/>
  <c r="NTN92" i="54"/>
  <c r="NTL92" i="54"/>
  <c r="NTJ92" i="54"/>
  <c r="NTH92" i="54"/>
  <c r="NTF92" i="54"/>
  <c r="NTD92" i="54"/>
  <c r="NTB92" i="54"/>
  <c r="NSZ92" i="54"/>
  <c r="NSX92" i="54"/>
  <c r="NSV92" i="54"/>
  <c r="NST92" i="54"/>
  <c r="NSR92" i="54"/>
  <c r="NSP92" i="54"/>
  <c r="NSN92" i="54"/>
  <c r="NSL92" i="54"/>
  <c r="NSJ92" i="54"/>
  <c r="NSH92" i="54"/>
  <c r="NSF92" i="54"/>
  <c r="NSD92" i="54"/>
  <c r="NSB92" i="54"/>
  <c r="NRZ92" i="54"/>
  <c r="NRX92" i="54"/>
  <c r="NRV92" i="54"/>
  <c r="NRT92" i="54"/>
  <c r="NRR92" i="54"/>
  <c r="NRP92" i="54"/>
  <c r="NRN92" i="54"/>
  <c r="NRL92" i="54"/>
  <c r="NRJ92" i="54"/>
  <c r="NRH92" i="54"/>
  <c r="NRF92" i="54"/>
  <c r="NRD92" i="54"/>
  <c r="NRB92" i="54"/>
  <c r="NQZ92" i="54"/>
  <c r="NQX92" i="54"/>
  <c r="NQV92" i="54"/>
  <c r="NQT92" i="54"/>
  <c r="NQR92" i="54"/>
  <c r="NQP92" i="54"/>
  <c r="NQN92" i="54"/>
  <c r="NQL92" i="54"/>
  <c r="NQJ92" i="54"/>
  <c r="NQH92" i="54"/>
  <c r="NQF92" i="54"/>
  <c r="NQD92" i="54"/>
  <c r="NQB92" i="54"/>
  <c r="NPZ92" i="54"/>
  <c r="NPX92" i="54"/>
  <c r="NPV92" i="54"/>
  <c r="NPT92" i="54"/>
  <c r="NPR92" i="54"/>
  <c r="NPP92" i="54"/>
  <c r="NPN92" i="54"/>
  <c r="NPL92" i="54"/>
  <c r="NPJ92" i="54"/>
  <c r="NPH92" i="54"/>
  <c r="NPF92" i="54"/>
  <c r="NPD92" i="54"/>
  <c r="NPB92" i="54"/>
  <c r="NOZ92" i="54"/>
  <c r="NOX92" i="54"/>
  <c r="NOV92" i="54"/>
  <c r="NOT92" i="54"/>
  <c r="NOR92" i="54"/>
  <c r="NOP92" i="54"/>
  <c r="NON92" i="54"/>
  <c r="NOL92" i="54"/>
  <c r="NOJ92" i="54"/>
  <c r="NOH92" i="54"/>
  <c r="NOF92" i="54"/>
  <c r="NOD92" i="54"/>
  <c r="NOB92" i="54"/>
  <c r="NNZ92" i="54"/>
  <c r="NNX92" i="54"/>
  <c r="NNV92" i="54"/>
  <c r="NNT92" i="54"/>
  <c r="NNR92" i="54"/>
  <c r="NNP92" i="54"/>
  <c r="NNN92" i="54"/>
  <c r="NNL92" i="54"/>
  <c r="NNJ92" i="54"/>
  <c r="NNH92" i="54"/>
  <c r="NNF92" i="54"/>
  <c r="NND92" i="54"/>
  <c r="NNB92" i="54"/>
  <c r="NMZ92" i="54"/>
  <c r="NMX92" i="54"/>
  <c r="NMV92" i="54"/>
  <c r="NMT92" i="54"/>
  <c r="NMR92" i="54"/>
  <c r="NMP92" i="54"/>
  <c r="NMN92" i="54"/>
  <c r="NML92" i="54"/>
  <c r="NMJ92" i="54"/>
  <c r="NMH92" i="54"/>
  <c r="NMF92" i="54"/>
  <c r="NMD92" i="54"/>
  <c r="NMB92" i="54"/>
  <c r="NLZ92" i="54"/>
  <c r="NLX92" i="54"/>
  <c r="NLV92" i="54"/>
  <c r="NLT92" i="54"/>
  <c r="NLR92" i="54"/>
  <c r="NLP92" i="54"/>
  <c r="NLN92" i="54"/>
  <c r="NLL92" i="54"/>
  <c r="NLJ92" i="54"/>
  <c r="NLH92" i="54"/>
  <c r="NLF92" i="54"/>
  <c r="NLD92" i="54"/>
  <c r="NLB92" i="54"/>
  <c r="NKZ92" i="54"/>
  <c r="NKX92" i="54"/>
  <c r="NKV92" i="54"/>
  <c r="NKT92" i="54"/>
  <c r="NKR92" i="54"/>
  <c r="NKP92" i="54"/>
  <c r="NKN92" i="54"/>
  <c r="NKL92" i="54"/>
  <c r="NKJ92" i="54"/>
  <c r="NKH92" i="54"/>
  <c r="NKF92" i="54"/>
  <c r="NKD92" i="54"/>
  <c r="NKB92" i="54"/>
  <c r="NJZ92" i="54"/>
  <c r="NJX92" i="54"/>
  <c r="NJV92" i="54"/>
  <c r="NJT92" i="54"/>
  <c r="NJR92" i="54"/>
  <c r="NJP92" i="54"/>
  <c r="NJN92" i="54"/>
  <c r="NJL92" i="54"/>
  <c r="NJJ92" i="54"/>
  <c r="NJH92" i="54"/>
  <c r="NJF92" i="54"/>
  <c r="NJD92" i="54"/>
  <c r="NJB92" i="54"/>
  <c r="NIZ92" i="54"/>
  <c r="NIX92" i="54"/>
  <c r="NIV92" i="54"/>
  <c r="NIT92" i="54"/>
  <c r="NIR92" i="54"/>
  <c r="NIP92" i="54"/>
  <c r="NIN92" i="54"/>
  <c r="NIL92" i="54"/>
  <c r="NIJ92" i="54"/>
  <c r="NIH92" i="54"/>
  <c r="NIF92" i="54"/>
  <c r="NID92" i="54"/>
  <c r="NIB92" i="54"/>
  <c r="NHZ92" i="54"/>
  <c r="NHX92" i="54"/>
  <c r="NHV92" i="54"/>
  <c r="NHT92" i="54"/>
  <c r="NHR92" i="54"/>
  <c r="NHP92" i="54"/>
  <c r="NHN92" i="54"/>
  <c r="NHL92" i="54"/>
  <c r="NHJ92" i="54"/>
  <c r="NHH92" i="54"/>
  <c r="NHF92" i="54"/>
  <c r="NHD92" i="54"/>
  <c r="NHB92" i="54"/>
  <c r="NGZ92" i="54"/>
  <c r="NGX92" i="54"/>
  <c r="NGV92" i="54"/>
  <c r="NGT92" i="54"/>
  <c r="NGR92" i="54"/>
  <c r="NGP92" i="54"/>
  <c r="NGN92" i="54"/>
  <c r="NGL92" i="54"/>
  <c r="NGJ92" i="54"/>
  <c r="NGH92" i="54"/>
  <c r="NGF92" i="54"/>
  <c r="NGD92" i="54"/>
  <c r="NGB92" i="54"/>
  <c r="NFZ92" i="54"/>
  <c r="NFX92" i="54"/>
  <c r="NFV92" i="54"/>
  <c r="NFT92" i="54"/>
  <c r="NFR92" i="54"/>
  <c r="NFP92" i="54"/>
  <c r="NFN92" i="54"/>
  <c r="NFL92" i="54"/>
  <c r="NFJ92" i="54"/>
  <c r="NFH92" i="54"/>
  <c r="NFF92" i="54"/>
  <c r="NFD92" i="54"/>
  <c r="NFB92" i="54"/>
  <c r="NEZ92" i="54"/>
  <c r="NEX92" i="54"/>
  <c r="NEV92" i="54"/>
  <c r="NET92" i="54"/>
  <c r="NER92" i="54"/>
  <c r="NEP92" i="54"/>
  <c r="NEN92" i="54"/>
  <c r="NEL92" i="54"/>
  <c r="NEJ92" i="54"/>
  <c r="NEH92" i="54"/>
  <c r="NEF92" i="54"/>
  <c r="NED92" i="54"/>
  <c r="NEB92" i="54"/>
  <c r="NDZ92" i="54"/>
  <c r="NDX92" i="54"/>
  <c r="NDV92" i="54"/>
  <c r="NDT92" i="54"/>
  <c r="NDR92" i="54"/>
  <c r="NDP92" i="54"/>
  <c r="NDN92" i="54"/>
  <c r="NDL92" i="54"/>
  <c r="NDJ92" i="54"/>
  <c r="NDH92" i="54"/>
  <c r="NDF92" i="54"/>
  <c r="NDD92" i="54"/>
  <c r="NDB92" i="54"/>
  <c r="NCZ92" i="54"/>
  <c r="NCX92" i="54"/>
  <c r="NCV92" i="54"/>
  <c r="NCT92" i="54"/>
  <c r="NCR92" i="54"/>
  <c r="NCP92" i="54"/>
  <c r="NCN92" i="54"/>
  <c r="NCL92" i="54"/>
  <c r="NCJ92" i="54"/>
  <c r="NCH92" i="54"/>
  <c r="NCF92" i="54"/>
  <c r="NCD92" i="54"/>
  <c r="NCB92" i="54"/>
  <c r="NBZ92" i="54"/>
  <c r="NBX92" i="54"/>
  <c r="NBV92" i="54"/>
  <c r="NBT92" i="54"/>
  <c r="NBR92" i="54"/>
  <c r="NBP92" i="54"/>
  <c r="NBN92" i="54"/>
  <c r="NBL92" i="54"/>
  <c r="NBJ92" i="54"/>
  <c r="NBH92" i="54"/>
  <c r="NBF92" i="54"/>
  <c r="NBD92" i="54"/>
  <c r="NBB92" i="54"/>
  <c r="NAZ92" i="54"/>
  <c r="NAX92" i="54"/>
  <c r="NAV92" i="54"/>
  <c r="NAT92" i="54"/>
  <c r="NAR92" i="54"/>
  <c r="NAP92" i="54"/>
  <c r="NAN92" i="54"/>
  <c r="NAL92" i="54"/>
  <c r="NAJ92" i="54"/>
  <c r="NAH92" i="54"/>
  <c r="NAF92" i="54"/>
  <c r="NAD92" i="54"/>
  <c r="NAB92" i="54"/>
  <c r="MZZ92" i="54"/>
  <c r="MZX92" i="54"/>
  <c r="MZV92" i="54"/>
  <c r="MZT92" i="54"/>
  <c r="MZR92" i="54"/>
  <c r="MZP92" i="54"/>
  <c r="MZN92" i="54"/>
  <c r="MZL92" i="54"/>
  <c r="MZJ92" i="54"/>
  <c r="MZH92" i="54"/>
  <c r="MZF92" i="54"/>
  <c r="MZD92" i="54"/>
  <c r="MZB92" i="54"/>
  <c r="MYZ92" i="54"/>
  <c r="MYX92" i="54"/>
  <c r="MYV92" i="54"/>
  <c r="MYT92" i="54"/>
  <c r="MYR92" i="54"/>
  <c r="MYP92" i="54"/>
  <c r="MYN92" i="54"/>
  <c r="MYL92" i="54"/>
  <c r="MYJ92" i="54"/>
  <c r="MYH92" i="54"/>
  <c r="MYF92" i="54"/>
  <c r="MYD92" i="54"/>
  <c r="MYB92" i="54"/>
  <c r="MXZ92" i="54"/>
  <c r="MXX92" i="54"/>
  <c r="MXV92" i="54"/>
  <c r="MXT92" i="54"/>
  <c r="MXR92" i="54"/>
  <c r="MXP92" i="54"/>
  <c r="MXN92" i="54"/>
  <c r="MXL92" i="54"/>
  <c r="MXJ92" i="54"/>
  <c r="MXH92" i="54"/>
  <c r="MXF92" i="54"/>
  <c r="MXD92" i="54"/>
  <c r="MXB92" i="54"/>
  <c r="MWZ92" i="54"/>
  <c r="MWX92" i="54"/>
  <c r="MWV92" i="54"/>
  <c r="MWT92" i="54"/>
  <c r="MWR92" i="54"/>
  <c r="MWP92" i="54"/>
  <c r="MWN92" i="54"/>
  <c r="MWL92" i="54"/>
  <c r="MWJ92" i="54"/>
  <c r="MWH92" i="54"/>
  <c r="MWF92" i="54"/>
  <c r="MWD92" i="54"/>
  <c r="MWB92" i="54"/>
  <c r="MVZ92" i="54"/>
  <c r="MVX92" i="54"/>
  <c r="MVV92" i="54"/>
  <c r="MVT92" i="54"/>
  <c r="MVR92" i="54"/>
  <c r="MVP92" i="54"/>
  <c r="MVN92" i="54"/>
  <c r="MVL92" i="54"/>
  <c r="MVJ92" i="54"/>
  <c r="MVH92" i="54"/>
  <c r="MVF92" i="54"/>
  <c r="MVD92" i="54"/>
  <c r="MVB92" i="54"/>
  <c r="MUZ92" i="54"/>
  <c r="MUX92" i="54"/>
  <c r="MUV92" i="54"/>
  <c r="MUT92" i="54"/>
  <c r="MUR92" i="54"/>
  <c r="MUP92" i="54"/>
  <c r="MUN92" i="54"/>
  <c r="MUL92" i="54"/>
  <c r="MUJ92" i="54"/>
  <c r="MUH92" i="54"/>
  <c r="MUF92" i="54"/>
  <c r="MUD92" i="54"/>
  <c r="MUB92" i="54"/>
  <c r="MTZ92" i="54"/>
  <c r="MTX92" i="54"/>
  <c r="MTV92" i="54"/>
  <c r="MTT92" i="54"/>
  <c r="MTR92" i="54"/>
  <c r="MTP92" i="54"/>
  <c r="MTN92" i="54"/>
  <c r="MTL92" i="54"/>
  <c r="MTJ92" i="54"/>
  <c r="MTH92" i="54"/>
  <c r="MTF92" i="54"/>
  <c r="MTD92" i="54"/>
  <c r="MTB92" i="54"/>
  <c r="MSZ92" i="54"/>
  <c r="MSX92" i="54"/>
  <c r="MSV92" i="54"/>
  <c r="MST92" i="54"/>
  <c r="MSR92" i="54"/>
  <c r="MSP92" i="54"/>
  <c r="MSN92" i="54"/>
  <c r="MSL92" i="54"/>
  <c r="MSJ92" i="54"/>
  <c r="MSH92" i="54"/>
  <c r="MSF92" i="54"/>
  <c r="MSD92" i="54"/>
  <c r="MSB92" i="54"/>
  <c r="MRZ92" i="54"/>
  <c r="MRX92" i="54"/>
  <c r="MRV92" i="54"/>
  <c r="MRT92" i="54"/>
  <c r="MRR92" i="54"/>
  <c r="MRP92" i="54"/>
  <c r="MRN92" i="54"/>
  <c r="MRL92" i="54"/>
  <c r="MRJ92" i="54"/>
  <c r="MRH92" i="54"/>
  <c r="MRF92" i="54"/>
  <c r="MRD92" i="54"/>
  <c r="MRB92" i="54"/>
  <c r="MQZ92" i="54"/>
  <c r="MQX92" i="54"/>
  <c r="MQV92" i="54"/>
  <c r="MQT92" i="54"/>
  <c r="MQR92" i="54"/>
  <c r="MQP92" i="54"/>
  <c r="MQN92" i="54"/>
  <c r="MQL92" i="54"/>
  <c r="MQJ92" i="54"/>
  <c r="MQH92" i="54"/>
  <c r="MQF92" i="54"/>
  <c r="MQD92" i="54"/>
  <c r="MQB92" i="54"/>
  <c r="MPZ92" i="54"/>
  <c r="MPX92" i="54"/>
  <c r="MPV92" i="54"/>
  <c r="MPT92" i="54"/>
  <c r="MPR92" i="54"/>
  <c r="MPP92" i="54"/>
  <c r="MPN92" i="54"/>
  <c r="MPL92" i="54"/>
  <c r="MPJ92" i="54"/>
  <c r="MPH92" i="54"/>
  <c r="MPF92" i="54"/>
  <c r="MPD92" i="54"/>
  <c r="MPB92" i="54"/>
  <c r="MOZ92" i="54"/>
  <c r="MOX92" i="54"/>
  <c r="MOV92" i="54"/>
  <c r="MOT92" i="54"/>
  <c r="MOR92" i="54"/>
  <c r="MOP92" i="54"/>
  <c r="MON92" i="54"/>
  <c r="MOL92" i="54"/>
  <c r="MOJ92" i="54"/>
  <c r="MOH92" i="54"/>
  <c r="MOF92" i="54"/>
  <c r="MOD92" i="54"/>
  <c r="MOB92" i="54"/>
  <c r="MNZ92" i="54"/>
  <c r="MNX92" i="54"/>
  <c r="MNV92" i="54"/>
  <c r="MNT92" i="54"/>
  <c r="MNR92" i="54"/>
  <c r="MNP92" i="54"/>
  <c r="MNN92" i="54"/>
  <c r="MNL92" i="54"/>
  <c r="MNJ92" i="54"/>
  <c r="MNH92" i="54"/>
  <c r="MNF92" i="54"/>
  <c r="MND92" i="54"/>
  <c r="MNB92" i="54"/>
  <c r="MMZ92" i="54"/>
  <c r="MMX92" i="54"/>
  <c r="MMV92" i="54"/>
  <c r="MMT92" i="54"/>
  <c r="MMR92" i="54"/>
  <c r="MMP92" i="54"/>
  <c r="MMN92" i="54"/>
  <c r="MML92" i="54"/>
  <c r="MMJ92" i="54"/>
  <c r="MMH92" i="54"/>
  <c r="MMF92" i="54"/>
  <c r="MMD92" i="54"/>
  <c r="MMB92" i="54"/>
  <c r="MLZ92" i="54"/>
  <c r="MLX92" i="54"/>
  <c r="MLV92" i="54"/>
  <c r="MLT92" i="54"/>
  <c r="MLR92" i="54"/>
  <c r="MLP92" i="54"/>
  <c r="MLN92" i="54"/>
  <c r="MLL92" i="54"/>
  <c r="MLJ92" i="54"/>
  <c r="MLH92" i="54"/>
  <c r="MLF92" i="54"/>
  <c r="MLD92" i="54"/>
  <c r="MLB92" i="54"/>
  <c r="MKZ92" i="54"/>
  <c r="MKX92" i="54"/>
  <c r="MKV92" i="54"/>
  <c r="MKT92" i="54"/>
  <c r="MKR92" i="54"/>
  <c r="MKP92" i="54"/>
  <c r="MKN92" i="54"/>
  <c r="MKL92" i="54"/>
  <c r="MKJ92" i="54"/>
  <c r="MKH92" i="54"/>
  <c r="MKF92" i="54"/>
  <c r="MKD92" i="54"/>
  <c r="MKB92" i="54"/>
  <c r="MJZ92" i="54"/>
  <c r="MJX92" i="54"/>
  <c r="MJV92" i="54"/>
  <c r="MJT92" i="54"/>
  <c r="MJR92" i="54"/>
  <c r="MJP92" i="54"/>
  <c r="MJN92" i="54"/>
  <c r="MJL92" i="54"/>
  <c r="MJJ92" i="54"/>
  <c r="MJH92" i="54"/>
  <c r="MJF92" i="54"/>
  <c r="MJD92" i="54"/>
  <c r="MJB92" i="54"/>
  <c r="MIZ92" i="54"/>
  <c r="MIX92" i="54"/>
  <c r="MIV92" i="54"/>
  <c r="MIT92" i="54"/>
  <c r="MIR92" i="54"/>
  <c r="MIP92" i="54"/>
  <c r="MIN92" i="54"/>
  <c r="MIL92" i="54"/>
  <c r="MIJ92" i="54"/>
  <c r="MIH92" i="54"/>
  <c r="MIF92" i="54"/>
  <c r="MID92" i="54"/>
  <c r="MIB92" i="54"/>
  <c r="MHZ92" i="54"/>
  <c r="MHX92" i="54"/>
  <c r="MHV92" i="54"/>
  <c r="MHT92" i="54"/>
  <c r="MHR92" i="54"/>
  <c r="MHP92" i="54"/>
  <c r="MHN92" i="54"/>
  <c r="MHL92" i="54"/>
  <c r="MHJ92" i="54"/>
  <c r="MHH92" i="54"/>
  <c r="MHF92" i="54"/>
  <c r="MHD92" i="54"/>
  <c r="MHB92" i="54"/>
  <c r="MGZ92" i="54"/>
  <c r="MGX92" i="54"/>
  <c r="MGV92" i="54"/>
  <c r="MGT92" i="54"/>
  <c r="MGR92" i="54"/>
  <c r="MGP92" i="54"/>
  <c r="MGN92" i="54"/>
  <c r="MGL92" i="54"/>
  <c r="MGJ92" i="54"/>
  <c r="MGH92" i="54"/>
  <c r="MGF92" i="54"/>
  <c r="MGD92" i="54"/>
  <c r="MGB92" i="54"/>
  <c r="MFZ92" i="54"/>
  <c r="MFX92" i="54"/>
  <c r="MFV92" i="54"/>
  <c r="MFT92" i="54"/>
  <c r="MFR92" i="54"/>
  <c r="MFP92" i="54"/>
  <c r="MFN92" i="54"/>
  <c r="MFL92" i="54"/>
  <c r="MFJ92" i="54"/>
  <c r="MFH92" i="54"/>
  <c r="MFF92" i="54"/>
  <c r="MFD92" i="54"/>
  <c r="MFB92" i="54"/>
  <c r="MEZ92" i="54"/>
  <c r="MEX92" i="54"/>
  <c r="MEV92" i="54"/>
  <c r="MET92" i="54"/>
  <c r="MER92" i="54"/>
  <c r="MEP92" i="54"/>
  <c r="MEN92" i="54"/>
  <c r="MEL92" i="54"/>
  <c r="MEJ92" i="54"/>
  <c r="MEH92" i="54"/>
  <c r="MEF92" i="54"/>
  <c r="MED92" i="54"/>
  <c r="MEB92" i="54"/>
  <c r="MDZ92" i="54"/>
  <c r="MDX92" i="54"/>
  <c r="MDV92" i="54"/>
  <c r="MDT92" i="54"/>
  <c r="MDR92" i="54"/>
  <c r="MDP92" i="54"/>
  <c r="MDN92" i="54"/>
  <c r="MDL92" i="54"/>
  <c r="MDJ92" i="54"/>
  <c r="MDH92" i="54"/>
  <c r="MDF92" i="54"/>
  <c r="MDD92" i="54"/>
  <c r="MDB92" i="54"/>
  <c r="MCZ92" i="54"/>
  <c r="MCX92" i="54"/>
  <c r="MCV92" i="54"/>
  <c r="MCT92" i="54"/>
  <c r="MCR92" i="54"/>
  <c r="MCP92" i="54"/>
  <c r="MCN92" i="54"/>
  <c r="MCL92" i="54"/>
  <c r="MCJ92" i="54"/>
  <c r="MCH92" i="54"/>
  <c r="MCF92" i="54"/>
  <c r="MCD92" i="54"/>
  <c r="MCB92" i="54"/>
  <c r="MBZ92" i="54"/>
  <c r="MBX92" i="54"/>
  <c r="MBV92" i="54"/>
  <c r="MBT92" i="54"/>
  <c r="MBR92" i="54"/>
  <c r="MBP92" i="54"/>
  <c r="MBN92" i="54"/>
  <c r="MBL92" i="54"/>
  <c r="MBJ92" i="54"/>
  <c r="MBH92" i="54"/>
  <c r="MBF92" i="54"/>
  <c r="MBD92" i="54"/>
  <c r="MBB92" i="54"/>
  <c r="MAZ92" i="54"/>
  <c r="MAX92" i="54"/>
  <c r="MAV92" i="54"/>
  <c r="MAT92" i="54"/>
  <c r="MAR92" i="54"/>
  <c r="MAP92" i="54"/>
  <c r="MAN92" i="54"/>
  <c r="MAL92" i="54"/>
  <c r="MAJ92" i="54"/>
  <c r="MAH92" i="54"/>
  <c r="MAF92" i="54"/>
  <c r="MAD92" i="54"/>
  <c r="MAB92" i="54"/>
  <c r="LZZ92" i="54"/>
  <c r="LZX92" i="54"/>
  <c r="LZV92" i="54"/>
  <c r="LZT92" i="54"/>
  <c r="LZR92" i="54"/>
  <c r="LZP92" i="54"/>
  <c r="LZN92" i="54"/>
  <c r="LZL92" i="54"/>
  <c r="LZJ92" i="54"/>
  <c r="LZH92" i="54"/>
  <c r="LZF92" i="54"/>
  <c r="LZD92" i="54"/>
  <c r="LZB92" i="54"/>
  <c r="LYZ92" i="54"/>
  <c r="LYX92" i="54"/>
  <c r="LYV92" i="54"/>
  <c r="LYT92" i="54"/>
  <c r="LYR92" i="54"/>
  <c r="LYP92" i="54"/>
  <c r="LYN92" i="54"/>
  <c r="LYL92" i="54"/>
  <c r="LYJ92" i="54"/>
  <c r="LYH92" i="54"/>
  <c r="LYF92" i="54"/>
  <c r="LYD92" i="54"/>
  <c r="LYB92" i="54"/>
  <c r="LXZ92" i="54"/>
  <c r="LXX92" i="54"/>
  <c r="LXV92" i="54"/>
  <c r="LXT92" i="54"/>
  <c r="LXR92" i="54"/>
  <c r="LXP92" i="54"/>
  <c r="LXN92" i="54"/>
  <c r="LXL92" i="54"/>
  <c r="LXJ92" i="54"/>
  <c r="LXH92" i="54"/>
  <c r="LXF92" i="54"/>
  <c r="LXD92" i="54"/>
  <c r="LXB92" i="54"/>
  <c r="LWZ92" i="54"/>
  <c r="LWX92" i="54"/>
  <c r="LWV92" i="54"/>
  <c r="LWT92" i="54"/>
  <c r="LWR92" i="54"/>
  <c r="LWP92" i="54"/>
  <c r="LWN92" i="54"/>
  <c r="LWL92" i="54"/>
  <c r="LWJ92" i="54"/>
  <c r="LWH92" i="54"/>
  <c r="LWF92" i="54"/>
  <c r="LWD92" i="54"/>
  <c r="LWB92" i="54"/>
  <c r="LVZ92" i="54"/>
  <c r="LVX92" i="54"/>
  <c r="LVV92" i="54"/>
  <c r="LVT92" i="54"/>
  <c r="LVR92" i="54"/>
  <c r="LVP92" i="54"/>
  <c r="LVN92" i="54"/>
  <c r="LVL92" i="54"/>
  <c r="LVJ92" i="54"/>
  <c r="LVH92" i="54"/>
  <c r="LVF92" i="54"/>
  <c r="LVD92" i="54"/>
  <c r="LVB92" i="54"/>
  <c r="LUZ92" i="54"/>
  <c r="LUX92" i="54"/>
  <c r="LUV92" i="54"/>
  <c r="LUT92" i="54"/>
  <c r="LUR92" i="54"/>
  <c r="LUP92" i="54"/>
  <c r="LUN92" i="54"/>
  <c r="LUL92" i="54"/>
  <c r="LUJ92" i="54"/>
  <c r="LUH92" i="54"/>
  <c r="LUF92" i="54"/>
  <c r="LUD92" i="54"/>
  <c r="LUB92" i="54"/>
  <c r="LTZ92" i="54"/>
  <c r="LTX92" i="54"/>
  <c r="LTV92" i="54"/>
  <c r="LTT92" i="54"/>
  <c r="LTR92" i="54"/>
  <c r="LTP92" i="54"/>
  <c r="LTN92" i="54"/>
  <c r="LTL92" i="54"/>
  <c r="LTJ92" i="54"/>
  <c r="LTH92" i="54"/>
  <c r="LTF92" i="54"/>
  <c r="LTD92" i="54"/>
  <c r="LTB92" i="54"/>
  <c r="LSZ92" i="54"/>
  <c r="LSX92" i="54"/>
  <c r="LSV92" i="54"/>
  <c r="LST92" i="54"/>
  <c r="LSR92" i="54"/>
  <c r="LSP92" i="54"/>
  <c r="LSN92" i="54"/>
  <c r="LSL92" i="54"/>
  <c r="LSJ92" i="54"/>
  <c r="LSH92" i="54"/>
  <c r="LSF92" i="54"/>
  <c r="LSD92" i="54"/>
  <c r="LSB92" i="54"/>
  <c r="LRZ92" i="54"/>
  <c r="LRX92" i="54"/>
  <c r="LRV92" i="54"/>
  <c r="LRT92" i="54"/>
  <c r="LRR92" i="54"/>
  <c r="LRP92" i="54"/>
  <c r="LRN92" i="54"/>
  <c r="LRL92" i="54"/>
  <c r="LRJ92" i="54"/>
  <c r="LRH92" i="54"/>
  <c r="LRF92" i="54"/>
  <c r="LRD92" i="54"/>
  <c r="LRB92" i="54"/>
  <c r="LQZ92" i="54"/>
  <c r="LQX92" i="54"/>
  <c r="LQV92" i="54"/>
  <c r="LQT92" i="54"/>
  <c r="LQR92" i="54"/>
  <c r="LQP92" i="54"/>
  <c r="LQN92" i="54"/>
  <c r="LQL92" i="54"/>
  <c r="LQJ92" i="54"/>
  <c r="LQH92" i="54"/>
  <c r="LQF92" i="54"/>
  <c r="LQD92" i="54"/>
  <c r="LQB92" i="54"/>
  <c r="LPZ92" i="54"/>
  <c r="LPX92" i="54"/>
  <c r="LPV92" i="54"/>
  <c r="LPT92" i="54"/>
  <c r="LPR92" i="54"/>
  <c r="LPP92" i="54"/>
  <c r="LPN92" i="54"/>
  <c r="LPL92" i="54"/>
  <c r="LPJ92" i="54"/>
  <c r="LPH92" i="54"/>
  <c r="LPF92" i="54"/>
  <c r="LPD92" i="54"/>
  <c r="LPB92" i="54"/>
  <c r="LOZ92" i="54"/>
  <c r="LOX92" i="54"/>
  <c r="LOV92" i="54"/>
  <c r="LOT92" i="54"/>
  <c r="LOR92" i="54"/>
  <c r="LOP92" i="54"/>
  <c r="LON92" i="54"/>
  <c r="LOL92" i="54"/>
  <c r="LOJ92" i="54"/>
  <c r="LOH92" i="54"/>
  <c r="LOF92" i="54"/>
  <c r="LOD92" i="54"/>
  <c r="LOB92" i="54"/>
  <c r="LNZ92" i="54"/>
  <c r="LNX92" i="54"/>
  <c r="LNV92" i="54"/>
  <c r="LNT92" i="54"/>
  <c r="LNR92" i="54"/>
  <c r="LNP92" i="54"/>
  <c r="LNN92" i="54"/>
  <c r="LNL92" i="54"/>
  <c r="LNJ92" i="54"/>
  <c r="LNH92" i="54"/>
  <c r="LNF92" i="54"/>
  <c r="LND92" i="54"/>
  <c r="LNB92" i="54"/>
  <c r="LMZ92" i="54"/>
  <c r="LMX92" i="54"/>
  <c r="LMV92" i="54"/>
  <c r="LMT92" i="54"/>
  <c r="LMR92" i="54"/>
  <c r="LMP92" i="54"/>
  <c r="LMN92" i="54"/>
  <c r="LML92" i="54"/>
  <c r="LMJ92" i="54"/>
  <c r="LMH92" i="54"/>
  <c r="LMF92" i="54"/>
  <c r="LMD92" i="54"/>
  <c r="LMB92" i="54"/>
  <c r="LLZ92" i="54"/>
  <c r="LLX92" i="54"/>
  <c r="LLV92" i="54"/>
  <c r="LLT92" i="54"/>
  <c r="LLR92" i="54"/>
  <c r="LLP92" i="54"/>
  <c r="LLN92" i="54"/>
  <c r="LLL92" i="54"/>
  <c r="LLJ92" i="54"/>
  <c r="LLH92" i="54"/>
  <c r="LLF92" i="54"/>
  <c r="LLD92" i="54"/>
  <c r="LLB92" i="54"/>
  <c r="LKZ92" i="54"/>
  <c r="LKX92" i="54"/>
  <c r="LKV92" i="54"/>
  <c r="LKT92" i="54"/>
  <c r="LKR92" i="54"/>
  <c r="LKP92" i="54"/>
  <c r="LKN92" i="54"/>
  <c r="LKL92" i="54"/>
  <c r="LKJ92" i="54"/>
  <c r="LKH92" i="54"/>
  <c r="LKF92" i="54"/>
  <c r="LKD92" i="54"/>
  <c r="LKB92" i="54"/>
  <c r="LJZ92" i="54"/>
  <c r="LJX92" i="54"/>
  <c r="LJV92" i="54"/>
  <c r="LJT92" i="54"/>
  <c r="LJR92" i="54"/>
  <c r="LJP92" i="54"/>
  <c r="LJN92" i="54"/>
  <c r="LJL92" i="54"/>
  <c r="LJJ92" i="54"/>
  <c r="LJH92" i="54"/>
  <c r="LJF92" i="54"/>
  <c r="LJD92" i="54"/>
  <c r="LJB92" i="54"/>
  <c r="LIZ92" i="54"/>
  <c r="LIX92" i="54"/>
  <c r="LIV92" i="54"/>
  <c r="LIT92" i="54"/>
  <c r="LIR92" i="54"/>
  <c r="LIP92" i="54"/>
  <c r="LIN92" i="54"/>
  <c r="LIL92" i="54"/>
  <c r="LIJ92" i="54"/>
  <c r="LIH92" i="54"/>
  <c r="LIF92" i="54"/>
  <c r="LID92" i="54"/>
  <c r="LIB92" i="54"/>
  <c r="LHZ92" i="54"/>
  <c r="LHX92" i="54"/>
  <c r="LHV92" i="54"/>
  <c r="LHT92" i="54"/>
  <c r="LHR92" i="54"/>
  <c r="LHP92" i="54"/>
  <c r="LHN92" i="54"/>
  <c r="LHL92" i="54"/>
  <c r="LHJ92" i="54"/>
  <c r="LHH92" i="54"/>
  <c r="LHF92" i="54"/>
  <c r="LHD92" i="54"/>
  <c r="LHB92" i="54"/>
  <c r="LGZ92" i="54"/>
  <c r="LGX92" i="54"/>
  <c r="LGV92" i="54"/>
  <c r="LGT92" i="54"/>
  <c r="LGR92" i="54"/>
  <c r="LGP92" i="54"/>
  <c r="LGN92" i="54"/>
  <c r="LGL92" i="54"/>
  <c r="LGJ92" i="54"/>
  <c r="LGH92" i="54"/>
  <c r="LGF92" i="54"/>
  <c r="LGD92" i="54"/>
  <c r="LGB92" i="54"/>
  <c r="LFZ92" i="54"/>
  <c r="LFX92" i="54"/>
  <c r="LFV92" i="54"/>
  <c r="LFT92" i="54"/>
  <c r="LFR92" i="54"/>
  <c r="LFP92" i="54"/>
  <c r="LFN92" i="54"/>
  <c r="LFL92" i="54"/>
  <c r="LFJ92" i="54"/>
  <c r="LFH92" i="54"/>
  <c r="LFF92" i="54"/>
  <c r="LFD92" i="54"/>
  <c r="LFB92" i="54"/>
  <c r="LEZ92" i="54"/>
  <c r="LEX92" i="54"/>
  <c r="LEV92" i="54"/>
  <c r="LET92" i="54"/>
  <c r="LER92" i="54"/>
  <c r="LEP92" i="54"/>
  <c r="LEN92" i="54"/>
  <c r="LEL92" i="54"/>
  <c r="LEJ92" i="54"/>
  <c r="LEH92" i="54"/>
  <c r="LEF92" i="54"/>
  <c r="LED92" i="54"/>
  <c r="LEB92" i="54"/>
  <c r="LDZ92" i="54"/>
  <c r="LDX92" i="54"/>
  <c r="LDV92" i="54"/>
  <c r="LDT92" i="54"/>
  <c r="LDR92" i="54"/>
  <c r="LDP92" i="54"/>
  <c r="LDN92" i="54"/>
  <c r="LDL92" i="54"/>
  <c r="LDJ92" i="54"/>
  <c r="LDH92" i="54"/>
  <c r="LDF92" i="54"/>
  <c r="LDD92" i="54"/>
  <c r="LDB92" i="54"/>
  <c r="LCZ92" i="54"/>
  <c r="LCX92" i="54"/>
  <c r="LCV92" i="54"/>
  <c r="LCT92" i="54"/>
  <c r="LCR92" i="54"/>
  <c r="LCP92" i="54"/>
  <c r="LCN92" i="54"/>
  <c r="LCL92" i="54"/>
  <c r="LCJ92" i="54"/>
  <c r="LCH92" i="54"/>
  <c r="LCF92" i="54"/>
  <c r="LCD92" i="54"/>
  <c r="LCB92" i="54"/>
  <c r="LBZ92" i="54"/>
  <c r="LBX92" i="54"/>
  <c r="LBV92" i="54"/>
  <c r="LBT92" i="54"/>
  <c r="LBR92" i="54"/>
  <c r="LBP92" i="54"/>
  <c r="LBN92" i="54"/>
  <c r="LBL92" i="54"/>
  <c r="LBJ92" i="54"/>
  <c r="LBH92" i="54"/>
  <c r="LBF92" i="54"/>
  <c r="LBD92" i="54"/>
  <c r="LBB92" i="54"/>
  <c r="LAZ92" i="54"/>
  <c r="LAX92" i="54"/>
  <c r="LAV92" i="54"/>
  <c r="LAT92" i="54"/>
  <c r="LAR92" i="54"/>
  <c r="LAP92" i="54"/>
  <c r="LAN92" i="54"/>
  <c r="LAL92" i="54"/>
  <c r="LAJ92" i="54"/>
  <c r="LAH92" i="54"/>
  <c r="LAF92" i="54"/>
  <c r="LAD92" i="54"/>
  <c r="LAB92" i="54"/>
  <c r="KZZ92" i="54"/>
  <c r="KZX92" i="54"/>
  <c r="KZV92" i="54"/>
  <c r="KZT92" i="54"/>
  <c r="KZR92" i="54"/>
  <c r="KZP92" i="54"/>
  <c r="KZN92" i="54"/>
  <c r="KZL92" i="54"/>
  <c r="KZJ92" i="54"/>
  <c r="KZH92" i="54"/>
  <c r="KZF92" i="54"/>
  <c r="KZD92" i="54"/>
  <c r="KZB92" i="54"/>
  <c r="KYZ92" i="54"/>
  <c r="KYX92" i="54"/>
  <c r="KYV92" i="54"/>
  <c r="KYT92" i="54"/>
  <c r="KYR92" i="54"/>
  <c r="KYP92" i="54"/>
  <c r="KYN92" i="54"/>
  <c r="KYL92" i="54"/>
  <c r="KYJ92" i="54"/>
  <c r="KYH92" i="54"/>
  <c r="KYF92" i="54"/>
  <c r="KYD92" i="54"/>
  <c r="KYB92" i="54"/>
  <c r="KXZ92" i="54"/>
  <c r="KXX92" i="54"/>
  <c r="KXV92" i="54"/>
  <c r="KXT92" i="54"/>
  <c r="KXR92" i="54"/>
  <c r="KXP92" i="54"/>
  <c r="KXN92" i="54"/>
  <c r="KXL92" i="54"/>
  <c r="KXJ92" i="54"/>
  <c r="KXH92" i="54"/>
  <c r="KXF92" i="54"/>
  <c r="KXD92" i="54"/>
  <c r="KXB92" i="54"/>
  <c r="KWZ92" i="54"/>
  <c r="KWX92" i="54"/>
  <c r="KWV92" i="54"/>
  <c r="KWT92" i="54"/>
  <c r="KWR92" i="54"/>
  <c r="KWP92" i="54"/>
  <c r="KWN92" i="54"/>
  <c r="KWL92" i="54"/>
  <c r="KWJ92" i="54"/>
  <c r="KWH92" i="54"/>
  <c r="KWF92" i="54"/>
  <c r="KWD92" i="54"/>
  <c r="KWB92" i="54"/>
  <c r="KVZ92" i="54"/>
  <c r="KVX92" i="54"/>
  <c r="KVV92" i="54"/>
  <c r="KVT92" i="54"/>
  <c r="KVR92" i="54"/>
  <c r="KVP92" i="54"/>
  <c r="KVN92" i="54"/>
  <c r="KVL92" i="54"/>
  <c r="KVJ92" i="54"/>
  <c r="KVH92" i="54"/>
  <c r="KVF92" i="54"/>
  <c r="KVD92" i="54"/>
  <c r="KVB92" i="54"/>
  <c r="KUZ92" i="54"/>
  <c r="KUX92" i="54"/>
  <c r="KUV92" i="54"/>
  <c r="KUT92" i="54"/>
  <c r="KUR92" i="54"/>
  <c r="KUP92" i="54"/>
  <c r="KUN92" i="54"/>
  <c r="KUL92" i="54"/>
  <c r="KUJ92" i="54"/>
  <c r="KUH92" i="54"/>
  <c r="KUF92" i="54"/>
  <c r="KUD92" i="54"/>
  <c r="KUB92" i="54"/>
  <c r="KTZ92" i="54"/>
  <c r="KTX92" i="54"/>
  <c r="KTV92" i="54"/>
  <c r="KTT92" i="54"/>
  <c r="KTR92" i="54"/>
  <c r="KTP92" i="54"/>
  <c r="KTN92" i="54"/>
  <c r="KTL92" i="54"/>
  <c r="KTJ92" i="54"/>
  <c r="KTH92" i="54"/>
  <c r="KTF92" i="54"/>
  <c r="KTD92" i="54"/>
  <c r="KTB92" i="54"/>
  <c r="KSZ92" i="54"/>
  <c r="KSX92" i="54"/>
  <c r="KSV92" i="54"/>
  <c r="KST92" i="54"/>
  <c r="KSR92" i="54"/>
  <c r="KSP92" i="54"/>
  <c r="KSN92" i="54"/>
  <c r="KSL92" i="54"/>
  <c r="KSJ92" i="54"/>
  <c r="KSH92" i="54"/>
  <c r="KSF92" i="54"/>
  <c r="KSD92" i="54"/>
  <c r="KSB92" i="54"/>
  <c r="KRZ92" i="54"/>
  <c r="KRX92" i="54"/>
  <c r="KRV92" i="54"/>
  <c r="KRT92" i="54"/>
  <c r="KRR92" i="54"/>
  <c r="KRP92" i="54"/>
  <c r="KRN92" i="54"/>
  <c r="KRL92" i="54"/>
  <c r="KRJ92" i="54"/>
  <c r="KRH92" i="54"/>
  <c r="KRF92" i="54"/>
  <c r="KRD92" i="54"/>
  <c r="KRB92" i="54"/>
  <c r="KQZ92" i="54"/>
  <c r="KQX92" i="54"/>
  <c r="KQV92" i="54"/>
  <c r="KQT92" i="54"/>
  <c r="KQR92" i="54"/>
  <c r="KQP92" i="54"/>
  <c r="KQN92" i="54"/>
  <c r="KQL92" i="54"/>
  <c r="KQJ92" i="54"/>
  <c r="KQH92" i="54"/>
  <c r="KQF92" i="54"/>
  <c r="KQD92" i="54"/>
  <c r="KQB92" i="54"/>
  <c r="KPZ92" i="54"/>
  <c r="KPX92" i="54"/>
  <c r="KPV92" i="54"/>
  <c r="KPT92" i="54"/>
  <c r="KPR92" i="54"/>
  <c r="KPP92" i="54"/>
  <c r="KPN92" i="54"/>
  <c r="KPL92" i="54"/>
  <c r="KPJ92" i="54"/>
  <c r="KPH92" i="54"/>
  <c r="KPF92" i="54"/>
  <c r="KPD92" i="54"/>
  <c r="KPB92" i="54"/>
  <c r="KOZ92" i="54"/>
  <c r="KOX92" i="54"/>
  <c r="KOV92" i="54"/>
  <c r="KOT92" i="54"/>
  <c r="KOR92" i="54"/>
  <c r="KOP92" i="54"/>
  <c r="KON92" i="54"/>
  <c r="KOL92" i="54"/>
  <c r="KOJ92" i="54"/>
  <c r="KOH92" i="54"/>
  <c r="KOF92" i="54"/>
  <c r="KOD92" i="54"/>
  <c r="KOB92" i="54"/>
  <c r="KNZ92" i="54"/>
  <c r="KNX92" i="54"/>
  <c r="KNV92" i="54"/>
  <c r="KNT92" i="54"/>
  <c r="KNR92" i="54"/>
  <c r="KNP92" i="54"/>
  <c r="KNN92" i="54"/>
  <c r="KNL92" i="54"/>
  <c r="KNJ92" i="54"/>
  <c r="KNH92" i="54"/>
  <c r="KNF92" i="54"/>
  <c r="KND92" i="54"/>
  <c r="KNB92" i="54"/>
  <c r="KMZ92" i="54"/>
  <c r="KMX92" i="54"/>
  <c r="KMV92" i="54"/>
  <c r="KMT92" i="54"/>
  <c r="KMR92" i="54"/>
  <c r="KMP92" i="54"/>
  <c r="KMN92" i="54"/>
  <c r="KML92" i="54"/>
  <c r="KMJ92" i="54"/>
  <c r="KMH92" i="54"/>
  <c r="KMF92" i="54"/>
  <c r="KMD92" i="54"/>
  <c r="KMB92" i="54"/>
  <c r="KLZ92" i="54"/>
  <c r="KLX92" i="54"/>
  <c r="KLV92" i="54"/>
  <c r="KLT92" i="54"/>
  <c r="KLR92" i="54"/>
  <c r="KLP92" i="54"/>
  <c r="KLN92" i="54"/>
  <c r="KLL92" i="54"/>
  <c r="KLJ92" i="54"/>
  <c r="KLH92" i="54"/>
  <c r="KLF92" i="54"/>
  <c r="KLD92" i="54"/>
  <c r="KLB92" i="54"/>
  <c r="KKZ92" i="54"/>
  <c r="KKX92" i="54"/>
  <c r="KKV92" i="54"/>
  <c r="KKT92" i="54"/>
  <c r="KKR92" i="54"/>
  <c r="KKP92" i="54"/>
  <c r="KKN92" i="54"/>
  <c r="KKL92" i="54"/>
  <c r="KKJ92" i="54"/>
  <c r="KKH92" i="54"/>
  <c r="KKF92" i="54"/>
  <c r="KKD92" i="54"/>
  <c r="KKB92" i="54"/>
  <c r="KJZ92" i="54"/>
  <c r="KJX92" i="54"/>
  <c r="KJV92" i="54"/>
  <c r="KJT92" i="54"/>
  <c r="KJR92" i="54"/>
  <c r="KJP92" i="54"/>
  <c r="KJN92" i="54"/>
  <c r="KJL92" i="54"/>
  <c r="KJJ92" i="54"/>
  <c r="KJH92" i="54"/>
  <c r="KJF92" i="54"/>
  <c r="KJD92" i="54"/>
  <c r="KJB92" i="54"/>
  <c r="KIZ92" i="54"/>
  <c r="KIX92" i="54"/>
  <c r="KIV92" i="54"/>
  <c r="KIT92" i="54"/>
  <c r="KIR92" i="54"/>
  <c r="KIP92" i="54"/>
  <c r="KIN92" i="54"/>
  <c r="KIL92" i="54"/>
  <c r="KIJ92" i="54"/>
  <c r="KIH92" i="54"/>
  <c r="KIF92" i="54"/>
  <c r="KID92" i="54"/>
  <c r="KIB92" i="54"/>
  <c r="KHZ92" i="54"/>
  <c r="KHX92" i="54"/>
  <c r="KHV92" i="54"/>
  <c r="KHT92" i="54"/>
  <c r="KHR92" i="54"/>
  <c r="KHP92" i="54"/>
  <c r="KHN92" i="54"/>
  <c r="KHL92" i="54"/>
  <c r="KHJ92" i="54"/>
  <c r="KHH92" i="54"/>
  <c r="KHF92" i="54"/>
  <c r="KHD92" i="54"/>
  <c r="KHB92" i="54"/>
  <c r="KGZ92" i="54"/>
  <c r="KGX92" i="54"/>
  <c r="KGV92" i="54"/>
  <c r="KGT92" i="54"/>
  <c r="KGR92" i="54"/>
  <c r="KGP92" i="54"/>
  <c r="KGN92" i="54"/>
  <c r="KGL92" i="54"/>
  <c r="KGJ92" i="54"/>
  <c r="KGH92" i="54"/>
  <c r="KGF92" i="54"/>
  <c r="KGD92" i="54"/>
  <c r="KGB92" i="54"/>
  <c r="KFZ92" i="54"/>
  <c r="KFX92" i="54"/>
  <c r="KFV92" i="54"/>
  <c r="KFT92" i="54"/>
  <c r="KFR92" i="54"/>
  <c r="KFP92" i="54"/>
  <c r="KFN92" i="54"/>
  <c r="KFL92" i="54"/>
  <c r="KFJ92" i="54"/>
  <c r="KFH92" i="54"/>
  <c r="KFF92" i="54"/>
  <c r="KFD92" i="54"/>
  <c r="KFB92" i="54"/>
  <c r="KEZ92" i="54"/>
  <c r="KEX92" i="54"/>
  <c r="KEV92" i="54"/>
  <c r="KET92" i="54"/>
  <c r="KER92" i="54"/>
  <c r="KEP92" i="54"/>
  <c r="KEN92" i="54"/>
  <c r="KEL92" i="54"/>
  <c r="KEJ92" i="54"/>
  <c r="KEH92" i="54"/>
  <c r="KEF92" i="54"/>
  <c r="KED92" i="54"/>
  <c r="KEB92" i="54"/>
  <c r="KDZ92" i="54"/>
  <c r="KDX92" i="54"/>
  <c r="KDV92" i="54"/>
  <c r="KDT92" i="54"/>
  <c r="KDR92" i="54"/>
  <c r="KDP92" i="54"/>
  <c r="KDN92" i="54"/>
  <c r="KDL92" i="54"/>
  <c r="KDJ92" i="54"/>
  <c r="KDH92" i="54"/>
  <c r="KDF92" i="54"/>
  <c r="KDD92" i="54"/>
  <c r="KDB92" i="54"/>
  <c r="KCZ92" i="54"/>
  <c r="KCX92" i="54"/>
  <c r="KCV92" i="54"/>
  <c r="KCT92" i="54"/>
  <c r="KCR92" i="54"/>
  <c r="KCP92" i="54"/>
  <c r="KCN92" i="54"/>
  <c r="KCL92" i="54"/>
  <c r="KCJ92" i="54"/>
  <c r="KCH92" i="54"/>
  <c r="KCF92" i="54"/>
  <c r="KCD92" i="54"/>
  <c r="KCB92" i="54"/>
  <c r="KBZ92" i="54"/>
  <c r="KBX92" i="54"/>
  <c r="KBV92" i="54"/>
  <c r="KBT92" i="54"/>
  <c r="KBR92" i="54"/>
  <c r="KBP92" i="54"/>
  <c r="KBN92" i="54"/>
  <c r="KBL92" i="54"/>
  <c r="KBJ92" i="54"/>
  <c r="KBH92" i="54"/>
  <c r="KBF92" i="54"/>
  <c r="KBD92" i="54"/>
  <c r="KBB92" i="54"/>
  <c r="KAZ92" i="54"/>
  <c r="KAX92" i="54"/>
  <c r="KAV92" i="54"/>
  <c r="KAT92" i="54"/>
  <c r="KAR92" i="54"/>
  <c r="KAP92" i="54"/>
  <c r="KAN92" i="54"/>
  <c r="KAL92" i="54"/>
  <c r="KAJ92" i="54"/>
  <c r="KAH92" i="54"/>
  <c r="KAF92" i="54"/>
  <c r="KAD92" i="54"/>
  <c r="KAB92" i="54"/>
  <c r="JZZ92" i="54"/>
  <c r="JZX92" i="54"/>
  <c r="JZV92" i="54"/>
  <c r="JZT92" i="54"/>
  <c r="JZR92" i="54"/>
  <c r="JZP92" i="54"/>
  <c r="JZN92" i="54"/>
  <c r="JZL92" i="54"/>
  <c r="JZJ92" i="54"/>
  <c r="JZH92" i="54"/>
  <c r="JZF92" i="54"/>
  <c r="JZD92" i="54"/>
  <c r="JZB92" i="54"/>
  <c r="JYZ92" i="54"/>
  <c r="JYX92" i="54"/>
  <c r="JYV92" i="54"/>
  <c r="JYT92" i="54"/>
  <c r="JYR92" i="54"/>
  <c r="JYP92" i="54"/>
  <c r="JYN92" i="54"/>
  <c r="JYL92" i="54"/>
  <c r="JYJ92" i="54"/>
  <c r="JYH92" i="54"/>
  <c r="JYF92" i="54"/>
  <c r="JYD92" i="54"/>
  <c r="JYB92" i="54"/>
  <c r="JXZ92" i="54"/>
  <c r="JXX92" i="54"/>
  <c r="JXV92" i="54"/>
  <c r="JXT92" i="54"/>
  <c r="JXR92" i="54"/>
  <c r="JXP92" i="54"/>
  <c r="JXN92" i="54"/>
  <c r="JXL92" i="54"/>
  <c r="JXJ92" i="54"/>
  <c r="JXH92" i="54"/>
  <c r="JXF92" i="54"/>
  <c r="JXD92" i="54"/>
  <c r="JXB92" i="54"/>
  <c r="JWZ92" i="54"/>
  <c r="JWX92" i="54"/>
  <c r="JWV92" i="54"/>
  <c r="JWT92" i="54"/>
  <c r="JWR92" i="54"/>
  <c r="JWP92" i="54"/>
  <c r="JWN92" i="54"/>
  <c r="JWL92" i="54"/>
  <c r="JWJ92" i="54"/>
  <c r="JWH92" i="54"/>
  <c r="JWF92" i="54"/>
  <c r="JWD92" i="54"/>
  <c r="JWB92" i="54"/>
  <c r="JVZ92" i="54"/>
  <c r="JVX92" i="54"/>
  <c r="JVV92" i="54"/>
  <c r="JVT92" i="54"/>
  <c r="JVR92" i="54"/>
  <c r="JVP92" i="54"/>
  <c r="JVN92" i="54"/>
  <c r="JVL92" i="54"/>
  <c r="JVJ92" i="54"/>
  <c r="JVH92" i="54"/>
  <c r="JVF92" i="54"/>
  <c r="JVD92" i="54"/>
  <c r="JVB92" i="54"/>
  <c r="JUZ92" i="54"/>
  <c r="JUX92" i="54"/>
  <c r="JUV92" i="54"/>
  <c r="JUT92" i="54"/>
  <c r="JUR92" i="54"/>
  <c r="JUP92" i="54"/>
  <c r="JUN92" i="54"/>
  <c r="JUL92" i="54"/>
  <c r="JUJ92" i="54"/>
  <c r="JUH92" i="54"/>
  <c r="JUF92" i="54"/>
  <c r="JUD92" i="54"/>
  <c r="JUB92" i="54"/>
  <c r="JTZ92" i="54"/>
  <c r="JTX92" i="54"/>
  <c r="JTV92" i="54"/>
  <c r="JTT92" i="54"/>
  <c r="JTR92" i="54"/>
  <c r="JTP92" i="54"/>
  <c r="JTN92" i="54"/>
  <c r="JTL92" i="54"/>
  <c r="JTJ92" i="54"/>
  <c r="JTH92" i="54"/>
  <c r="JTF92" i="54"/>
  <c r="JTD92" i="54"/>
  <c r="JTB92" i="54"/>
  <c r="JSZ92" i="54"/>
  <c r="JSX92" i="54"/>
  <c r="JSV92" i="54"/>
  <c r="JST92" i="54"/>
  <c r="JSR92" i="54"/>
  <c r="JSP92" i="54"/>
  <c r="JSN92" i="54"/>
  <c r="JSL92" i="54"/>
  <c r="JSJ92" i="54"/>
  <c r="JSH92" i="54"/>
  <c r="JSF92" i="54"/>
  <c r="JSD92" i="54"/>
  <c r="JSB92" i="54"/>
  <c r="JRZ92" i="54"/>
  <c r="JRX92" i="54"/>
  <c r="JRV92" i="54"/>
  <c r="JRT92" i="54"/>
  <c r="JRR92" i="54"/>
  <c r="JRP92" i="54"/>
  <c r="JRN92" i="54"/>
  <c r="JRL92" i="54"/>
  <c r="JRJ92" i="54"/>
  <c r="JRH92" i="54"/>
  <c r="JRF92" i="54"/>
  <c r="JRD92" i="54"/>
  <c r="JRB92" i="54"/>
  <c r="JQZ92" i="54"/>
  <c r="JQX92" i="54"/>
  <c r="JQV92" i="54"/>
  <c r="JQT92" i="54"/>
  <c r="JQR92" i="54"/>
  <c r="JQP92" i="54"/>
  <c r="JQN92" i="54"/>
  <c r="JQL92" i="54"/>
  <c r="JQJ92" i="54"/>
  <c r="JQH92" i="54"/>
  <c r="JQF92" i="54"/>
  <c r="JQD92" i="54"/>
  <c r="JQB92" i="54"/>
  <c r="JPZ92" i="54"/>
  <c r="JPX92" i="54"/>
  <c r="JPV92" i="54"/>
  <c r="JPT92" i="54"/>
  <c r="JPR92" i="54"/>
  <c r="JPP92" i="54"/>
  <c r="JPN92" i="54"/>
  <c r="JPL92" i="54"/>
  <c r="JPJ92" i="54"/>
  <c r="JPH92" i="54"/>
  <c r="JPF92" i="54"/>
  <c r="JPD92" i="54"/>
  <c r="JPB92" i="54"/>
  <c r="JOZ92" i="54"/>
  <c r="JOX92" i="54"/>
  <c r="JOV92" i="54"/>
  <c r="JOT92" i="54"/>
  <c r="JOR92" i="54"/>
  <c r="JOP92" i="54"/>
  <c r="JON92" i="54"/>
  <c r="JOL92" i="54"/>
  <c r="JOJ92" i="54"/>
  <c r="JOH92" i="54"/>
  <c r="JOF92" i="54"/>
  <c r="JOD92" i="54"/>
  <c r="JOB92" i="54"/>
  <c r="JNZ92" i="54"/>
  <c r="JNX92" i="54"/>
  <c r="JNV92" i="54"/>
  <c r="JNT92" i="54"/>
  <c r="JNR92" i="54"/>
  <c r="JNP92" i="54"/>
  <c r="JNN92" i="54"/>
  <c r="JNL92" i="54"/>
  <c r="JNJ92" i="54"/>
  <c r="JNH92" i="54"/>
  <c r="JNF92" i="54"/>
  <c r="JND92" i="54"/>
  <c r="JNB92" i="54"/>
  <c r="JMZ92" i="54"/>
  <c r="JMX92" i="54"/>
  <c r="JMV92" i="54"/>
  <c r="JMT92" i="54"/>
  <c r="JMR92" i="54"/>
  <c r="JMP92" i="54"/>
  <c r="JMN92" i="54"/>
  <c r="JML92" i="54"/>
  <c r="JMJ92" i="54"/>
  <c r="JMH92" i="54"/>
  <c r="JMF92" i="54"/>
  <c r="JMD92" i="54"/>
  <c r="JMB92" i="54"/>
  <c r="JLZ92" i="54"/>
  <c r="JLX92" i="54"/>
  <c r="JLV92" i="54"/>
  <c r="JLT92" i="54"/>
  <c r="JLR92" i="54"/>
  <c r="JLP92" i="54"/>
  <c r="JLN92" i="54"/>
  <c r="JLL92" i="54"/>
  <c r="JLJ92" i="54"/>
  <c r="JLH92" i="54"/>
  <c r="JLF92" i="54"/>
  <c r="JLD92" i="54"/>
  <c r="JLB92" i="54"/>
  <c r="JKZ92" i="54"/>
  <c r="JKX92" i="54"/>
  <c r="JKV92" i="54"/>
  <c r="JKT92" i="54"/>
  <c r="JKR92" i="54"/>
  <c r="JKP92" i="54"/>
  <c r="JKN92" i="54"/>
  <c r="JKL92" i="54"/>
  <c r="JKJ92" i="54"/>
  <c r="JKH92" i="54"/>
  <c r="JKF92" i="54"/>
  <c r="JKD92" i="54"/>
  <c r="JKB92" i="54"/>
  <c r="JJZ92" i="54"/>
  <c r="JJX92" i="54"/>
  <c r="JJV92" i="54"/>
  <c r="JJT92" i="54"/>
  <c r="JJR92" i="54"/>
  <c r="JJP92" i="54"/>
  <c r="JJN92" i="54"/>
  <c r="JJL92" i="54"/>
  <c r="JJJ92" i="54"/>
  <c r="JJH92" i="54"/>
  <c r="JJF92" i="54"/>
  <c r="JJD92" i="54"/>
  <c r="JJB92" i="54"/>
  <c r="JIZ92" i="54"/>
  <c r="JIX92" i="54"/>
  <c r="JIV92" i="54"/>
  <c r="JIT92" i="54"/>
  <c r="JIR92" i="54"/>
  <c r="JIP92" i="54"/>
  <c r="JIN92" i="54"/>
  <c r="JIL92" i="54"/>
  <c r="JIJ92" i="54"/>
  <c r="JIH92" i="54"/>
  <c r="JIF92" i="54"/>
  <c r="JID92" i="54"/>
  <c r="JIB92" i="54"/>
  <c r="JHZ92" i="54"/>
  <c r="JHX92" i="54"/>
  <c r="JHV92" i="54"/>
  <c r="JHT92" i="54"/>
  <c r="JHR92" i="54"/>
  <c r="JHP92" i="54"/>
  <c r="JHN92" i="54"/>
  <c r="JHL92" i="54"/>
  <c r="JHJ92" i="54"/>
  <c r="JHH92" i="54"/>
  <c r="JHF92" i="54"/>
  <c r="JHD92" i="54"/>
  <c r="JHB92" i="54"/>
  <c r="JGZ92" i="54"/>
  <c r="JGX92" i="54"/>
  <c r="JGV92" i="54"/>
  <c r="JGT92" i="54"/>
  <c r="JGR92" i="54"/>
  <c r="JGP92" i="54"/>
  <c r="JGN92" i="54"/>
  <c r="JGL92" i="54"/>
  <c r="JGJ92" i="54"/>
  <c r="JGH92" i="54"/>
  <c r="JGF92" i="54"/>
  <c r="JGD92" i="54"/>
  <c r="JGB92" i="54"/>
  <c r="JFZ92" i="54"/>
  <c r="JFX92" i="54"/>
  <c r="JFV92" i="54"/>
  <c r="JFT92" i="54"/>
  <c r="JFR92" i="54"/>
  <c r="JFP92" i="54"/>
  <c r="JFN92" i="54"/>
  <c r="JFL92" i="54"/>
  <c r="JFJ92" i="54"/>
  <c r="JFH92" i="54"/>
  <c r="JFF92" i="54"/>
  <c r="JFD92" i="54"/>
  <c r="JFB92" i="54"/>
  <c r="JEZ92" i="54"/>
  <c r="JEX92" i="54"/>
  <c r="JEV92" i="54"/>
  <c r="JET92" i="54"/>
  <c r="JER92" i="54"/>
  <c r="JEP92" i="54"/>
  <c r="JEN92" i="54"/>
  <c r="JEL92" i="54"/>
  <c r="JEJ92" i="54"/>
  <c r="JEH92" i="54"/>
  <c r="JEF92" i="54"/>
  <c r="JED92" i="54"/>
  <c r="JEB92" i="54"/>
  <c r="JDZ92" i="54"/>
  <c r="JDX92" i="54"/>
  <c r="JDV92" i="54"/>
  <c r="JDT92" i="54"/>
  <c r="JDR92" i="54"/>
  <c r="JDP92" i="54"/>
  <c r="JDN92" i="54"/>
  <c r="JDL92" i="54"/>
  <c r="JDJ92" i="54"/>
  <c r="JDH92" i="54"/>
  <c r="JDF92" i="54"/>
  <c r="JDD92" i="54"/>
  <c r="JDB92" i="54"/>
  <c r="JCZ92" i="54"/>
  <c r="JCX92" i="54"/>
  <c r="JCV92" i="54"/>
  <c r="JCT92" i="54"/>
  <c r="JCR92" i="54"/>
  <c r="JCP92" i="54"/>
  <c r="JCN92" i="54"/>
  <c r="JCL92" i="54"/>
  <c r="JCJ92" i="54"/>
  <c r="JCH92" i="54"/>
  <c r="JCF92" i="54"/>
  <c r="JCD92" i="54"/>
  <c r="JCB92" i="54"/>
  <c r="JBZ92" i="54"/>
  <c r="JBX92" i="54"/>
  <c r="JBV92" i="54"/>
  <c r="JBT92" i="54"/>
  <c r="JBR92" i="54"/>
  <c r="JBP92" i="54"/>
  <c r="JBN92" i="54"/>
  <c r="JBL92" i="54"/>
  <c r="JBJ92" i="54"/>
  <c r="JBH92" i="54"/>
  <c r="JBF92" i="54"/>
  <c r="JBD92" i="54"/>
  <c r="JBB92" i="54"/>
  <c r="JAZ92" i="54"/>
  <c r="JAX92" i="54"/>
  <c r="JAV92" i="54"/>
  <c r="JAT92" i="54"/>
  <c r="JAR92" i="54"/>
  <c r="JAP92" i="54"/>
  <c r="JAN92" i="54"/>
  <c r="JAL92" i="54"/>
  <c r="JAJ92" i="54"/>
  <c r="JAH92" i="54"/>
  <c r="JAF92" i="54"/>
  <c r="JAD92" i="54"/>
  <c r="JAB92" i="54"/>
  <c r="IZZ92" i="54"/>
  <c r="IZX92" i="54"/>
  <c r="IZV92" i="54"/>
  <c r="IZT92" i="54"/>
  <c r="IZR92" i="54"/>
  <c r="IZP92" i="54"/>
  <c r="IZN92" i="54"/>
  <c r="IZL92" i="54"/>
  <c r="IZJ92" i="54"/>
  <c r="IZH92" i="54"/>
  <c r="IZF92" i="54"/>
  <c r="IZD92" i="54"/>
  <c r="IZB92" i="54"/>
  <c r="IYZ92" i="54"/>
  <c r="IYX92" i="54"/>
  <c r="IYV92" i="54"/>
  <c r="IYT92" i="54"/>
  <c r="IYR92" i="54"/>
  <c r="IYP92" i="54"/>
  <c r="IYN92" i="54"/>
  <c r="IYL92" i="54"/>
  <c r="IYJ92" i="54"/>
  <c r="IYH92" i="54"/>
  <c r="IYF92" i="54"/>
  <c r="IYD92" i="54"/>
  <c r="IYB92" i="54"/>
  <c r="IXZ92" i="54"/>
  <c r="IXX92" i="54"/>
  <c r="IXV92" i="54"/>
  <c r="IXT92" i="54"/>
  <c r="IXR92" i="54"/>
  <c r="IXP92" i="54"/>
  <c r="IXN92" i="54"/>
  <c r="IXL92" i="54"/>
  <c r="IXJ92" i="54"/>
  <c r="IXH92" i="54"/>
  <c r="IXF92" i="54"/>
  <c r="IXD92" i="54"/>
  <c r="IXB92" i="54"/>
  <c r="IWZ92" i="54"/>
  <c r="IWX92" i="54"/>
  <c r="IWV92" i="54"/>
  <c r="IWT92" i="54"/>
  <c r="IWR92" i="54"/>
  <c r="IWP92" i="54"/>
  <c r="IWN92" i="54"/>
  <c r="IWL92" i="54"/>
  <c r="IWJ92" i="54"/>
  <c r="IWH92" i="54"/>
  <c r="IWF92" i="54"/>
  <c r="IWD92" i="54"/>
  <c r="IWB92" i="54"/>
  <c r="IVZ92" i="54"/>
  <c r="IVX92" i="54"/>
  <c r="IVV92" i="54"/>
  <c r="IVT92" i="54"/>
  <c r="IVR92" i="54"/>
  <c r="IVP92" i="54"/>
  <c r="IVN92" i="54"/>
  <c r="IVL92" i="54"/>
  <c r="IVJ92" i="54"/>
  <c r="IVH92" i="54"/>
  <c r="IVF92" i="54"/>
  <c r="IVD92" i="54"/>
  <c r="IVB92" i="54"/>
  <c r="IUZ92" i="54"/>
  <c r="IUX92" i="54"/>
  <c r="IUV92" i="54"/>
  <c r="IUT92" i="54"/>
  <c r="IUR92" i="54"/>
  <c r="IUP92" i="54"/>
  <c r="IUN92" i="54"/>
  <c r="IUL92" i="54"/>
  <c r="IUJ92" i="54"/>
  <c r="IUH92" i="54"/>
  <c r="IUF92" i="54"/>
  <c r="IUD92" i="54"/>
  <c r="IUB92" i="54"/>
  <c r="ITZ92" i="54"/>
  <c r="ITX92" i="54"/>
  <c r="ITV92" i="54"/>
  <c r="ITT92" i="54"/>
  <c r="ITR92" i="54"/>
  <c r="ITP92" i="54"/>
  <c r="ITN92" i="54"/>
  <c r="ITL92" i="54"/>
  <c r="ITJ92" i="54"/>
  <c r="ITH92" i="54"/>
  <c r="ITF92" i="54"/>
  <c r="ITD92" i="54"/>
  <c r="ITB92" i="54"/>
  <c r="ISZ92" i="54"/>
  <c r="ISX92" i="54"/>
  <c r="ISV92" i="54"/>
  <c r="IST92" i="54"/>
  <c r="ISR92" i="54"/>
  <c r="ISP92" i="54"/>
  <c r="ISN92" i="54"/>
  <c r="ISL92" i="54"/>
  <c r="ISJ92" i="54"/>
  <c r="ISH92" i="54"/>
  <c r="ISF92" i="54"/>
  <c r="ISD92" i="54"/>
  <c r="ISB92" i="54"/>
  <c r="IRZ92" i="54"/>
  <c r="IRX92" i="54"/>
  <c r="IRV92" i="54"/>
  <c r="IRT92" i="54"/>
  <c r="IRR92" i="54"/>
  <c r="IRP92" i="54"/>
  <c r="IRN92" i="54"/>
  <c r="IRL92" i="54"/>
  <c r="IRJ92" i="54"/>
  <c r="IRH92" i="54"/>
  <c r="IRF92" i="54"/>
  <c r="IRD92" i="54"/>
  <c r="IRB92" i="54"/>
  <c r="IQZ92" i="54"/>
  <c r="IQX92" i="54"/>
  <c r="IQV92" i="54"/>
  <c r="IQT92" i="54"/>
  <c r="IQR92" i="54"/>
  <c r="IQP92" i="54"/>
  <c r="IQN92" i="54"/>
  <c r="IQL92" i="54"/>
  <c r="IQJ92" i="54"/>
  <c r="IQH92" i="54"/>
  <c r="IQF92" i="54"/>
  <c r="IQD92" i="54"/>
  <c r="IQB92" i="54"/>
  <c r="IPZ92" i="54"/>
  <c r="IPX92" i="54"/>
  <c r="IPV92" i="54"/>
  <c r="IPT92" i="54"/>
  <c r="IPR92" i="54"/>
  <c r="IPP92" i="54"/>
  <c r="IPN92" i="54"/>
  <c r="IPL92" i="54"/>
  <c r="IPJ92" i="54"/>
  <c r="IPH92" i="54"/>
  <c r="IPF92" i="54"/>
  <c r="IPD92" i="54"/>
  <c r="IPB92" i="54"/>
  <c r="IOZ92" i="54"/>
  <c r="IOX92" i="54"/>
  <c r="IOV92" i="54"/>
  <c r="IOT92" i="54"/>
  <c r="IOR92" i="54"/>
  <c r="IOP92" i="54"/>
  <c r="ION92" i="54"/>
  <c r="IOL92" i="54"/>
  <c r="IOJ92" i="54"/>
  <c r="IOH92" i="54"/>
  <c r="IOF92" i="54"/>
  <c r="IOD92" i="54"/>
  <c r="IOB92" i="54"/>
  <c r="INZ92" i="54"/>
  <c r="INX92" i="54"/>
  <c r="INV92" i="54"/>
  <c r="INT92" i="54"/>
  <c r="INR92" i="54"/>
  <c r="INP92" i="54"/>
  <c r="INN92" i="54"/>
  <c r="INL92" i="54"/>
  <c r="INJ92" i="54"/>
  <c r="INH92" i="54"/>
  <c r="INF92" i="54"/>
  <c r="IND92" i="54"/>
  <c r="INB92" i="54"/>
  <c r="IMZ92" i="54"/>
  <c r="IMX92" i="54"/>
  <c r="IMV92" i="54"/>
  <c r="IMT92" i="54"/>
  <c r="IMR92" i="54"/>
  <c r="IMP92" i="54"/>
  <c r="IMN92" i="54"/>
  <c r="IML92" i="54"/>
  <c r="IMJ92" i="54"/>
  <c r="IMH92" i="54"/>
  <c r="IMF92" i="54"/>
  <c r="IMD92" i="54"/>
  <c r="IMB92" i="54"/>
  <c r="ILZ92" i="54"/>
  <c r="ILX92" i="54"/>
  <c r="ILV92" i="54"/>
  <c r="ILT92" i="54"/>
  <c r="ILR92" i="54"/>
  <c r="ILP92" i="54"/>
  <c r="ILN92" i="54"/>
  <c r="ILL92" i="54"/>
  <c r="ILJ92" i="54"/>
  <c r="ILH92" i="54"/>
  <c r="ILF92" i="54"/>
  <c r="ILD92" i="54"/>
  <c r="ILB92" i="54"/>
  <c r="IKZ92" i="54"/>
  <c r="IKX92" i="54"/>
  <c r="IKV92" i="54"/>
  <c r="IKT92" i="54"/>
  <c r="IKR92" i="54"/>
  <c r="IKP92" i="54"/>
  <c r="IKN92" i="54"/>
  <c r="IKL92" i="54"/>
  <c r="IKJ92" i="54"/>
  <c r="IKH92" i="54"/>
  <c r="IKF92" i="54"/>
  <c r="IKD92" i="54"/>
  <c r="IKB92" i="54"/>
  <c r="IJZ92" i="54"/>
  <c r="IJX92" i="54"/>
  <c r="IJV92" i="54"/>
  <c r="IJT92" i="54"/>
  <c r="IJR92" i="54"/>
  <c r="IJP92" i="54"/>
  <c r="IJN92" i="54"/>
  <c r="IJL92" i="54"/>
  <c r="IJJ92" i="54"/>
  <c r="IJH92" i="54"/>
  <c r="IJF92" i="54"/>
  <c r="IJD92" i="54"/>
  <c r="IJB92" i="54"/>
  <c r="IIZ92" i="54"/>
  <c r="IIX92" i="54"/>
  <c r="IIV92" i="54"/>
  <c r="IIT92" i="54"/>
  <c r="IIR92" i="54"/>
  <c r="IIP92" i="54"/>
  <c r="IIN92" i="54"/>
  <c r="IIL92" i="54"/>
  <c r="IIJ92" i="54"/>
  <c r="IIH92" i="54"/>
  <c r="IIF92" i="54"/>
  <c r="IID92" i="54"/>
  <c r="IIB92" i="54"/>
  <c r="IHZ92" i="54"/>
  <c r="IHX92" i="54"/>
  <c r="IHV92" i="54"/>
  <c r="IHT92" i="54"/>
  <c r="IHR92" i="54"/>
  <c r="IHP92" i="54"/>
  <c r="IHN92" i="54"/>
  <c r="IHL92" i="54"/>
  <c r="IHJ92" i="54"/>
  <c r="IHH92" i="54"/>
  <c r="IHF92" i="54"/>
  <c r="IHD92" i="54"/>
  <c r="IHB92" i="54"/>
  <c r="IGZ92" i="54"/>
  <c r="IGX92" i="54"/>
  <c r="IGV92" i="54"/>
  <c r="IGT92" i="54"/>
  <c r="IGR92" i="54"/>
  <c r="IGP92" i="54"/>
  <c r="IGN92" i="54"/>
  <c r="IGL92" i="54"/>
  <c r="IGJ92" i="54"/>
  <c r="IGH92" i="54"/>
  <c r="IGF92" i="54"/>
  <c r="IGD92" i="54"/>
  <c r="IGB92" i="54"/>
  <c r="IFZ92" i="54"/>
  <c r="IFX92" i="54"/>
  <c r="IFV92" i="54"/>
  <c r="IFT92" i="54"/>
  <c r="IFR92" i="54"/>
  <c r="IFP92" i="54"/>
  <c r="IFN92" i="54"/>
  <c r="IFL92" i="54"/>
  <c r="IFJ92" i="54"/>
  <c r="IFH92" i="54"/>
  <c r="IFF92" i="54"/>
  <c r="IFD92" i="54"/>
  <c r="IFB92" i="54"/>
  <c r="IEZ92" i="54"/>
  <c r="IEX92" i="54"/>
  <c r="IEV92" i="54"/>
  <c r="IET92" i="54"/>
  <c r="IER92" i="54"/>
  <c r="IEP92" i="54"/>
  <c r="IEN92" i="54"/>
  <c r="IEL92" i="54"/>
  <c r="IEJ92" i="54"/>
  <c r="IEH92" i="54"/>
  <c r="IEF92" i="54"/>
  <c r="IED92" i="54"/>
  <c r="IEB92" i="54"/>
  <c r="IDZ92" i="54"/>
  <c r="IDX92" i="54"/>
  <c r="IDV92" i="54"/>
  <c r="IDT92" i="54"/>
  <c r="IDR92" i="54"/>
  <c r="IDP92" i="54"/>
  <c r="IDN92" i="54"/>
  <c r="IDL92" i="54"/>
  <c r="IDJ92" i="54"/>
  <c r="IDH92" i="54"/>
  <c r="IDF92" i="54"/>
  <c r="IDD92" i="54"/>
  <c r="IDB92" i="54"/>
  <c r="ICZ92" i="54"/>
  <c r="ICX92" i="54"/>
  <c r="ICV92" i="54"/>
  <c r="ICT92" i="54"/>
  <c r="ICR92" i="54"/>
  <c r="ICP92" i="54"/>
  <c r="ICN92" i="54"/>
  <c r="ICL92" i="54"/>
  <c r="ICJ92" i="54"/>
  <c r="ICH92" i="54"/>
  <c r="ICF92" i="54"/>
  <c r="ICD92" i="54"/>
  <c r="ICB92" i="54"/>
  <c r="IBZ92" i="54"/>
  <c r="IBX92" i="54"/>
  <c r="IBV92" i="54"/>
  <c r="IBT92" i="54"/>
  <c r="IBR92" i="54"/>
  <c r="IBP92" i="54"/>
  <c r="IBN92" i="54"/>
  <c r="IBL92" i="54"/>
  <c r="IBJ92" i="54"/>
  <c r="IBH92" i="54"/>
  <c r="IBF92" i="54"/>
  <c r="IBD92" i="54"/>
  <c r="IBB92" i="54"/>
  <c r="IAZ92" i="54"/>
  <c r="IAX92" i="54"/>
  <c r="IAV92" i="54"/>
  <c r="IAT92" i="54"/>
  <c r="IAR92" i="54"/>
  <c r="IAP92" i="54"/>
  <c r="IAN92" i="54"/>
  <c r="IAL92" i="54"/>
  <c r="IAJ92" i="54"/>
  <c r="IAH92" i="54"/>
  <c r="IAF92" i="54"/>
  <c r="IAD92" i="54"/>
  <c r="IAB92" i="54"/>
  <c r="HZZ92" i="54"/>
  <c r="HZX92" i="54"/>
  <c r="HZV92" i="54"/>
  <c r="HZT92" i="54"/>
  <c r="HZR92" i="54"/>
  <c r="HZP92" i="54"/>
  <c r="HZN92" i="54"/>
  <c r="HZL92" i="54"/>
  <c r="HZJ92" i="54"/>
  <c r="HZH92" i="54"/>
  <c r="HZF92" i="54"/>
  <c r="HZD92" i="54"/>
  <c r="HZB92" i="54"/>
  <c r="HYZ92" i="54"/>
  <c r="HYX92" i="54"/>
  <c r="HYV92" i="54"/>
  <c r="HYT92" i="54"/>
  <c r="HYR92" i="54"/>
  <c r="HYP92" i="54"/>
  <c r="HYN92" i="54"/>
  <c r="HYL92" i="54"/>
  <c r="HYJ92" i="54"/>
  <c r="HYH92" i="54"/>
  <c r="HYF92" i="54"/>
  <c r="HYD92" i="54"/>
  <c r="HYB92" i="54"/>
  <c r="HXZ92" i="54"/>
  <c r="HXX92" i="54"/>
  <c r="HXV92" i="54"/>
  <c r="HXT92" i="54"/>
  <c r="HXR92" i="54"/>
  <c r="HXP92" i="54"/>
  <c r="HXN92" i="54"/>
  <c r="HXL92" i="54"/>
  <c r="HXJ92" i="54"/>
  <c r="HXH92" i="54"/>
  <c r="HXF92" i="54"/>
  <c r="HXD92" i="54"/>
  <c r="HXB92" i="54"/>
  <c r="HWZ92" i="54"/>
  <c r="HWX92" i="54"/>
  <c r="HWV92" i="54"/>
  <c r="HWT92" i="54"/>
  <c r="HWR92" i="54"/>
  <c r="HWP92" i="54"/>
  <c r="HWN92" i="54"/>
  <c r="HWL92" i="54"/>
  <c r="HWJ92" i="54"/>
  <c r="HWH92" i="54"/>
  <c r="HWF92" i="54"/>
  <c r="HWD92" i="54"/>
  <c r="HWB92" i="54"/>
  <c r="HVZ92" i="54"/>
  <c r="HVX92" i="54"/>
  <c r="HVV92" i="54"/>
  <c r="HVT92" i="54"/>
  <c r="HVR92" i="54"/>
  <c r="HVP92" i="54"/>
  <c r="HVN92" i="54"/>
  <c r="HVL92" i="54"/>
  <c r="HVJ92" i="54"/>
  <c r="HVH92" i="54"/>
  <c r="HVF92" i="54"/>
  <c r="HVD92" i="54"/>
  <c r="HVB92" i="54"/>
  <c r="HUZ92" i="54"/>
  <c r="HUX92" i="54"/>
  <c r="HUV92" i="54"/>
  <c r="HUT92" i="54"/>
  <c r="HUR92" i="54"/>
  <c r="HUP92" i="54"/>
  <c r="HUN92" i="54"/>
  <c r="HUL92" i="54"/>
  <c r="HUJ92" i="54"/>
  <c r="HUH92" i="54"/>
  <c r="HUF92" i="54"/>
  <c r="HUD92" i="54"/>
  <c r="HUB92" i="54"/>
  <c r="HTZ92" i="54"/>
  <c r="HTX92" i="54"/>
  <c r="HTV92" i="54"/>
  <c r="HTT92" i="54"/>
  <c r="HTR92" i="54"/>
  <c r="HTP92" i="54"/>
  <c r="HTN92" i="54"/>
  <c r="HTL92" i="54"/>
  <c r="HTJ92" i="54"/>
  <c r="HTH92" i="54"/>
  <c r="HTF92" i="54"/>
  <c r="HTD92" i="54"/>
  <c r="HTB92" i="54"/>
  <c r="HSZ92" i="54"/>
  <c r="HSX92" i="54"/>
  <c r="HSV92" i="54"/>
  <c r="HST92" i="54"/>
  <c r="HSR92" i="54"/>
  <c r="HSP92" i="54"/>
  <c r="HSN92" i="54"/>
  <c r="HSL92" i="54"/>
  <c r="HSJ92" i="54"/>
  <c r="HSH92" i="54"/>
  <c r="HSF92" i="54"/>
  <c r="HSD92" i="54"/>
  <c r="HSB92" i="54"/>
  <c r="HRZ92" i="54"/>
  <c r="HRX92" i="54"/>
  <c r="HRV92" i="54"/>
  <c r="HRT92" i="54"/>
  <c r="HRR92" i="54"/>
  <c r="HRP92" i="54"/>
  <c r="HRN92" i="54"/>
  <c r="HRL92" i="54"/>
  <c r="HRJ92" i="54"/>
  <c r="HRH92" i="54"/>
  <c r="HRF92" i="54"/>
  <c r="HRD92" i="54"/>
  <c r="HRB92" i="54"/>
  <c r="HQZ92" i="54"/>
  <c r="HQX92" i="54"/>
  <c r="HQV92" i="54"/>
  <c r="HQT92" i="54"/>
  <c r="HQR92" i="54"/>
  <c r="HQP92" i="54"/>
  <c r="HQN92" i="54"/>
  <c r="HQL92" i="54"/>
  <c r="HQJ92" i="54"/>
  <c r="HQH92" i="54"/>
  <c r="HQF92" i="54"/>
  <c r="HQD92" i="54"/>
  <c r="HQB92" i="54"/>
  <c r="HPZ92" i="54"/>
  <c r="HPX92" i="54"/>
  <c r="HPV92" i="54"/>
  <c r="HPT92" i="54"/>
  <c r="HPR92" i="54"/>
  <c r="HPP92" i="54"/>
  <c r="HPN92" i="54"/>
  <c r="HPL92" i="54"/>
  <c r="HPJ92" i="54"/>
  <c r="HPH92" i="54"/>
  <c r="HPF92" i="54"/>
  <c r="HPD92" i="54"/>
  <c r="HPB92" i="54"/>
  <c r="HOZ92" i="54"/>
  <c r="HOX92" i="54"/>
  <c r="HOV92" i="54"/>
  <c r="HOT92" i="54"/>
  <c r="HOR92" i="54"/>
  <c r="HOP92" i="54"/>
  <c r="HON92" i="54"/>
  <c r="HOL92" i="54"/>
  <c r="HOJ92" i="54"/>
  <c r="HOH92" i="54"/>
  <c r="HOF92" i="54"/>
  <c r="HOD92" i="54"/>
  <c r="HOB92" i="54"/>
  <c r="HNZ92" i="54"/>
  <c r="HNX92" i="54"/>
  <c r="HNV92" i="54"/>
  <c r="HNT92" i="54"/>
  <c r="HNR92" i="54"/>
  <c r="HNP92" i="54"/>
  <c r="HNN92" i="54"/>
  <c r="HNL92" i="54"/>
  <c r="HNJ92" i="54"/>
  <c r="HNH92" i="54"/>
  <c r="HNF92" i="54"/>
  <c r="HND92" i="54"/>
  <c r="HNB92" i="54"/>
  <c r="HMZ92" i="54"/>
  <c r="HMX92" i="54"/>
  <c r="HMV92" i="54"/>
  <c r="HMT92" i="54"/>
  <c r="HMR92" i="54"/>
  <c r="HMP92" i="54"/>
  <c r="HMN92" i="54"/>
  <c r="HML92" i="54"/>
  <c r="HMJ92" i="54"/>
  <c r="HMH92" i="54"/>
  <c r="HMF92" i="54"/>
  <c r="HMD92" i="54"/>
  <c r="HMB92" i="54"/>
  <c r="HLZ92" i="54"/>
  <c r="HLX92" i="54"/>
  <c r="HLV92" i="54"/>
  <c r="HLT92" i="54"/>
  <c r="HLR92" i="54"/>
  <c r="HLP92" i="54"/>
  <c r="HLN92" i="54"/>
  <c r="HLL92" i="54"/>
  <c r="HLJ92" i="54"/>
  <c r="HLH92" i="54"/>
  <c r="HLF92" i="54"/>
  <c r="HLD92" i="54"/>
  <c r="HLB92" i="54"/>
  <c r="HKZ92" i="54"/>
  <c r="HKX92" i="54"/>
  <c r="HKV92" i="54"/>
  <c r="HKT92" i="54"/>
  <c r="HKR92" i="54"/>
  <c r="HKP92" i="54"/>
  <c r="HKN92" i="54"/>
  <c r="HKL92" i="54"/>
  <c r="HKJ92" i="54"/>
  <c r="HKH92" i="54"/>
  <c r="HKF92" i="54"/>
  <c r="HKD92" i="54"/>
  <c r="HKB92" i="54"/>
  <c r="HJZ92" i="54"/>
  <c r="HJX92" i="54"/>
  <c r="HJV92" i="54"/>
  <c r="HJT92" i="54"/>
  <c r="HJR92" i="54"/>
  <c r="HJP92" i="54"/>
  <c r="HJN92" i="54"/>
  <c r="HJL92" i="54"/>
  <c r="HJJ92" i="54"/>
  <c r="HJH92" i="54"/>
  <c r="HJF92" i="54"/>
  <c r="HJD92" i="54"/>
  <c r="HJB92" i="54"/>
  <c r="HIZ92" i="54"/>
  <c r="HIX92" i="54"/>
  <c r="HIV92" i="54"/>
  <c r="HIT92" i="54"/>
  <c r="HIR92" i="54"/>
  <c r="HIP92" i="54"/>
  <c r="HIN92" i="54"/>
  <c r="HIL92" i="54"/>
  <c r="HIJ92" i="54"/>
  <c r="HIH92" i="54"/>
  <c r="HIF92" i="54"/>
  <c r="HID92" i="54"/>
  <c r="HIB92" i="54"/>
  <c r="HHZ92" i="54"/>
  <c r="HHX92" i="54"/>
  <c r="HHV92" i="54"/>
  <c r="HHT92" i="54"/>
  <c r="HHR92" i="54"/>
  <c r="HHP92" i="54"/>
  <c r="HHN92" i="54"/>
  <c r="HHL92" i="54"/>
  <c r="HHJ92" i="54"/>
  <c r="HHH92" i="54"/>
  <c r="HHF92" i="54"/>
  <c r="HHD92" i="54"/>
  <c r="HHB92" i="54"/>
  <c r="HGZ92" i="54"/>
  <c r="HGX92" i="54"/>
  <c r="HGV92" i="54"/>
  <c r="HGT92" i="54"/>
  <c r="HGR92" i="54"/>
  <c r="HGP92" i="54"/>
  <c r="HGN92" i="54"/>
  <c r="HGL92" i="54"/>
  <c r="HGJ92" i="54"/>
  <c r="HGH92" i="54"/>
  <c r="HGF92" i="54"/>
  <c r="HGD92" i="54"/>
  <c r="HGB92" i="54"/>
  <c r="HFZ92" i="54"/>
  <c r="HFX92" i="54"/>
  <c r="HFV92" i="54"/>
  <c r="HFT92" i="54"/>
  <c r="HFR92" i="54"/>
  <c r="HFP92" i="54"/>
  <c r="HFN92" i="54"/>
  <c r="HFL92" i="54"/>
  <c r="HFJ92" i="54"/>
  <c r="HFH92" i="54"/>
  <c r="HFF92" i="54"/>
  <c r="HFD92" i="54"/>
  <c r="HFB92" i="54"/>
  <c r="HEZ92" i="54"/>
  <c r="HEX92" i="54"/>
  <c r="HEV92" i="54"/>
  <c r="HET92" i="54"/>
  <c r="HER92" i="54"/>
  <c r="HEP92" i="54"/>
  <c r="HEN92" i="54"/>
  <c r="HEL92" i="54"/>
  <c r="HEJ92" i="54"/>
  <c r="HEH92" i="54"/>
  <c r="HEF92" i="54"/>
  <c r="HED92" i="54"/>
  <c r="HEB92" i="54"/>
  <c r="HDZ92" i="54"/>
  <c r="HDX92" i="54"/>
  <c r="HDV92" i="54"/>
  <c r="HDT92" i="54"/>
  <c r="HDR92" i="54"/>
  <c r="HDP92" i="54"/>
  <c r="HDN92" i="54"/>
  <c r="HDL92" i="54"/>
  <c r="HDJ92" i="54"/>
  <c r="HDH92" i="54"/>
  <c r="HDF92" i="54"/>
  <c r="HDD92" i="54"/>
  <c r="HDB92" i="54"/>
  <c r="HCZ92" i="54"/>
  <c r="HCX92" i="54"/>
  <c r="HCV92" i="54"/>
  <c r="HCT92" i="54"/>
  <c r="HCR92" i="54"/>
  <c r="HCP92" i="54"/>
  <c r="HCN92" i="54"/>
  <c r="HCL92" i="54"/>
  <c r="HCJ92" i="54"/>
  <c r="HCH92" i="54"/>
  <c r="HCF92" i="54"/>
  <c r="HCD92" i="54"/>
  <c r="HCB92" i="54"/>
  <c r="HBZ92" i="54"/>
  <c r="HBX92" i="54"/>
  <c r="HBV92" i="54"/>
  <c r="HBT92" i="54"/>
  <c r="HBR92" i="54"/>
  <c r="HBP92" i="54"/>
  <c r="HBN92" i="54"/>
  <c r="HBL92" i="54"/>
  <c r="HBJ92" i="54"/>
  <c r="HBH92" i="54"/>
  <c r="HBF92" i="54"/>
  <c r="HBD92" i="54"/>
  <c r="HBB92" i="54"/>
  <c r="HAZ92" i="54"/>
  <c r="HAX92" i="54"/>
  <c r="HAV92" i="54"/>
  <c r="HAT92" i="54"/>
  <c r="HAR92" i="54"/>
  <c r="HAP92" i="54"/>
  <c r="HAN92" i="54"/>
  <c r="HAL92" i="54"/>
  <c r="HAJ92" i="54"/>
  <c r="HAH92" i="54"/>
  <c r="HAF92" i="54"/>
  <c r="HAD92" i="54"/>
  <c r="HAB92" i="54"/>
  <c r="GZZ92" i="54"/>
  <c r="GZX92" i="54"/>
  <c r="GZV92" i="54"/>
  <c r="GZT92" i="54"/>
  <c r="GZR92" i="54"/>
  <c r="GZP92" i="54"/>
  <c r="GZN92" i="54"/>
  <c r="GZL92" i="54"/>
  <c r="GZJ92" i="54"/>
  <c r="GZH92" i="54"/>
  <c r="GZF92" i="54"/>
  <c r="GZD92" i="54"/>
  <c r="GZB92" i="54"/>
  <c r="GYZ92" i="54"/>
  <c r="GYX92" i="54"/>
  <c r="GYV92" i="54"/>
  <c r="GYT92" i="54"/>
  <c r="GYR92" i="54"/>
  <c r="GYP92" i="54"/>
  <c r="GYN92" i="54"/>
  <c r="GYL92" i="54"/>
  <c r="GYJ92" i="54"/>
  <c r="GYH92" i="54"/>
  <c r="GYF92" i="54"/>
  <c r="GYD92" i="54"/>
  <c r="GYB92" i="54"/>
  <c r="GXZ92" i="54"/>
  <c r="GXX92" i="54"/>
  <c r="GXV92" i="54"/>
  <c r="GXT92" i="54"/>
  <c r="GXR92" i="54"/>
  <c r="GXP92" i="54"/>
  <c r="GXN92" i="54"/>
  <c r="GXL92" i="54"/>
  <c r="GXJ92" i="54"/>
  <c r="GXH92" i="54"/>
  <c r="GXF92" i="54"/>
  <c r="GXD92" i="54"/>
  <c r="GXB92" i="54"/>
  <c r="GWZ92" i="54"/>
  <c r="GWX92" i="54"/>
  <c r="GWV92" i="54"/>
  <c r="GWT92" i="54"/>
  <c r="GWR92" i="54"/>
  <c r="GWP92" i="54"/>
  <c r="GWN92" i="54"/>
  <c r="GWL92" i="54"/>
  <c r="GWJ92" i="54"/>
  <c r="GWH92" i="54"/>
  <c r="GWF92" i="54"/>
  <c r="GWD92" i="54"/>
  <c r="GWB92" i="54"/>
  <c r="GVZ92" i="54"/>
  <c r="GVX92" i="54"/>
  <c r="GVV92" i="54"/>
  <c r="GVT92" i="54"/>
  <c r="GVR92" i="54"/>
  <c r="GVP92" i="54"/>
  <c r="GVN92" i="54"/>
  <c r="GVL92" i="54"/>
  <c r="GVJ92" i="54"/>
  <c r="GVH92" i="54"/>
  <c r="GVF92" i="54"/>
  <c r="GVD92" i="54"/>
  <c r="GVB92" i="54"/>
  <c r="GUZ92" i="54"/>
  <c r="GUX92" i="54"/>
  <c r="GUV92" i="54"/>
  <c r="GUT92" i="54"/>
  <c r="GUR92" i="54"/>
  <c r="GUP92" i="54"/>
  <c r="GUN92" i="54"/>
  <c r="GUL92" i="54"/>
  <c r="GUJ92" i="54"/>
  <c r="GUH92" i="54"/>
  <c r="GUF92" i="54"/>
  <c r="GUD92" i="54"/>
  <c r="GUB92" i="54"/>
  <c r="GTZ92" i="54"/>
  <c r="GTX92" i="54"/>
  <c r="GTV92" i="54"/>
  <c r="GTT92" i="54"/>
  <c r="GTR92" i="54"/>
  <c r="GTP92" i="54"/>
  <c r="GTN92" i="54"/>
  <c r="GTL92" i="54"/>
  <c r="GTJ92" i="54"/>
  <c r="GTH92" i="54"/>
  <c r="GTF92" i="54"/>
  <c r="GTD92" i="54"/>
  <c r="GTB92" i="54"/>
  <c r="GSZ92" i="54"/>
  <c r="GSX92" i="54"/>
  <c r="GSV92" i="54"/>
  <c r="GST92" i="54"/>
  <c r="GSR92" i="54"/>
  <c r="GSP92" i="54"/>
  <c r="GSN92" i="54"/>
  <c r="GSL92" i="54"/>
  <c r="GSJ92" i="54"/>
  <c r="GSH92" i="54"/>
  <c r="GSF92" i="54"/>
  <c r="GSD92" i="54"/>
  <c r="GSB92" i="54"/>
  <c r="GRZ92" i="54"/>
  <c r="GRX92" i="54"/>
  <c r="GRV92" i="54"/>
  <c r="GRT92" i="54"/>
  <c r="GRR92" i="54"/>
  <c r="GRP92" i="54"/>
  <c r="GRN92" i="54"/>
  <c r="GRL92" i="54"/>
  <c r="GRJ92" i="54"/>
  <c r="GRH92" i="54"/>
  <c r="GRF92" i="54"/>
  <c r="GRD92" i="54"/>
  <c r="GRB92" i="54"/>
  <c r="GQZ92" i="54"/>
  <c r="GQX92" i="54"/>
  <c r="GQV92" i="54"/>
  <c r="GQT92" i="54"/>
  <c r="GQR92" i="54"/>
  <c r="GQP92" i="54"/>
  <c r="GQN92" i="54"/>
  <c r="GQL92" i="54"/>
  <c r="GQJ92" i="54"/>
  <c r="GQH92" i="54"/>
  <c r="GQF92" i="54"/>
  <c r="GQD92" i="54"/>
  <c r="GQB92" i="54"/>
  <c r="GPZ92" i="54"/>
  <c r="GPX92" i="54"/>
  <c r="GPV92" i="54"/>
  <c r="GPT92" i="54"/>
  <c r="GPR92" i="54"/>
  <c r="GPP92" i="54"/>
  <c r="GPN92" i="54"/>
  <c r="GPL92" i="54"/>
  <c r="GPJ92" i="54"/>
  <c r="GPH92" i="54"/>
  <c r="GPF92" i="54"/>
  <c r="GPD92" i="54"/>
  <c r="GPB92" i="54"/>
  <c r="GOZ92" i="54"/>
  <c r="GOX92" i="54"/>
  <c r="GOV92" i="54"/>
  <c r="GOT92" i="54"/>
  <c r="GOR92" i="54"/>
  <c r="GOP92" i="54"/>
  <c r="GON92" i="54"/>
  <c r="GOL92" i="54"/>
  <c r="GOJ92" i="54"/>
  <c r="GOH92" i="54"/>
  <c r="GOF92" i="54"/>
  <c r="GOD92" i="54"/>
  <c r="GOB92" i="54"/>
  <c r="GNZ92" i="54"/>
  <c r="GNX92" i="54"/>
  <c r="GNV92" i="54"/>
  <c r="GNT92" i="54"/>
  <c r="GNR92" i="54"/>
  <c r="GNP92" i="54"/>
  <c r="GNN92" i="54"/>
  <c r="GNL92" i="54"/>
  <c r="GNJ92" i="54"/>
  <c r="GNH92" i="54"/>
  <c r="GNF92" i="54"/>
  <c r="GND92" i="54"/>
  <c r="GNB92" i="54"/>
  <c r="GMZ92" i="54"/>
  <c r="GMX92" i="54"/>
  <c r="GMV92" i="54"/>
  <c r="GMT92" i="54"/>
  <c r="GMR92" i="54"/>
  <c r="GMP92" i="54"/>
  <c r="GMN92" i="54"/>
  <c r="GML92" i="54"/>
  <c r="GMJ92" i="54"/>
  <c r="GMH92" i="54"/>
  <c r="GMF92" i="54"/>
  <c r="GMD92" i="54"/>
  <c r="GMB92" i="54"/>
  <c r="GLZ92" i="54"/>
  <c r="GLX92" i="54"/>
  <c r="GLV92" i="54"/>
  <c r="GLT92" i="54"/>
  <c r="GLR92" i="54"/>
  <c r="GLP92" i="54"/>
  <c r="GLN92" i="54"/>
  <c r="GLL92" i="54"/>
  <c r="GLJ92" i="54"/>
  <c r="GLH92" i="54"/>
  <c r="GLF92" i="54"/>
  <c r="GLD92" i="54"/>
  <c r="GLB92" i="54"/>
  <c r="GKZ92" i="54"/>
  <c r="GKX92" i="54"/>
  <c r="GKV92" i="54"/>
  <c r="GKT92" i="54"/>
  <c r="GKR92" i="54"/>
  <c r="GKP92" i="54"/>
  <c r="GKN92" i="54"/>
  <c r="GKL92" i="54"/>
  <c r="GKJ92" i="54"/>
  <c r="GKH92" i="54"/>
  <c r="GKF92" i="54"/>
  <c r="GKD92" i="54"/>
  <c r="GKB92" i="54"/>
  <c r="GJZ92" i="54"/>
  <c r="GJX92" i="54"/>
  <c r="GJV92" i="54"/>
  <c r="GJT92" i="54"/>
  <c r="GJR92" i="54"/>
  <c r="GJP92" i="54"/>
  <c r="GJN92" i="54"/>
  <c r="GJL92" i="54"/>
  <c r="GJJ92" i="54"/>
  <c r="GJH92" i="54"/>
  <c r="GJF92" i="54"/>
  <c r="GJD92" i="54"/>
  <c r="GJB92" i="54"/>
  <c r="GIZ92" i="54"/>
  <c r="GIX92" i="54"/>
  <c r="GIV92" i="54"/>
  <c r="GIT92" i="54"/>
  <c r="GIR92" i="54"/>
  <c r="GIP92" i="54"/>
  <c r="GIN92" i="54"/>
  <c r="GIL92" i="54"/>
  <c r="GIJ92" i="54"/>
  <c r="GIH92" i="54"/>
  <c r="GIF92" i="54"/>
  <c r="GID92" i="54"/>
  <c r="GIB92" i="54"/>
  <c r="GHZ92" i="54"/>
  <c r="GHX92" i="54"/>
  <c r="GHV92" i="54"/>
  <c r="GHT92" i="54"/>
  <c r="GHR92" i="54"/>
  <c r="GHP92" i="54"/>
  <c r="GHN92" i="54"/>
  <c r="GHL92" i="54"/>
  <c r="GHJ92" i="54"/>
  <c r="GHH92" i="54"/>
  <c r="GHF92" i="54"/>
  <c r="GHD92" i="54"/>
  <c r="GHB92" i="54"/>
  <c r="GGZ92" i="54"/>
  <c r="GGX92" i="54"/>
  <c r="GGV92" i="54"/>
  <c r="GGT92" i="54"/>
  <c r="GGR92" i="54"/>
  <c r="GGP92" i="54"/>
  <c r="GGN92" i="54"/>
  <c r="GGL92" i="54"/>
  <c r="GGJ92" i="54"/>
  <c r="GGH92" i="54"/>
  <c r="GGF92" i="54"/>
  <c r="GGD92" i="54"/>
  <c r="GGB92" i="54"/>
  <c r="GFZ92" i="54"/>
  <c r="GFX92" i="54"/>
  <c r="GFV92" i="54"/>
  <c r="GFT92" i="54"/>
  <c r="GFR92" i="54"/>
  <c r="GFP92" i="54"/>
  <c r="GFN92" i="54"/>
  <c r="GFL92" i="54"/>
  <c r="GFJ92" i="54"/>
  <c r="GFH92" i="54"/>
  <c r="GFF92" i="54"/>
  <c r="GFD92" i="54"/>
  <c r="GFB92" i="54"/>
  <c r="GEZ92" i="54"/>
  <c r="GEX92" i="54"/>
  <c r="GEV92" i="54"/>
  <c r="GET92" i="54"/>
  <c r="GER92" i="54"/>
  <c r="GEP92" i="54"/>
  <c r="GEN92" i="54"/>
  <c r="GEL92" i="54"/>
  <c r="GEJ92" i="54"/>
  <c r="GEH92" i="54"/>
  <c r="GEF92" i="54"/>
  <c r="GED92" i="54"/>
  <c r="GEB92" i="54"/>
  <c r="GDZ92" i="54"/>
  <c r="GDX92" i="54"/>
  <c r="GDV92" i="54"/>
  <c r="GDT92" i="54"/>
  <c r="GDR92" i="54"/>
  <c r="GDP92" i="54"/>
  <c r="GDN92" i="54"/>
  <c r="GDL92" i="54"/>
  <c r="GDJ92" i="54"/>
  <c r="GDH92" i="54"/>
  <c r="GDF92" i="54"/>
  <c r="GDD92" i="54"/>
  <c r="GDB92" i="54"/>
  <c r="GCZ92" i="54"/>
  <c r="GCX92" i="54"/>
  <c r="GCV92" i="54"/>
  <c r="GCT92" i="54"/>
  <c r="GCR92" i="54"/>
  <c r="GCP92" i="54"/>
  <c r="GCN92" i="54"/>
  <c r="GCL92" i="54"/>
  <c r="GCJ92" i="54"/>
  <c r="GCH92" i="54"/>
  <c r="GCF92" i="54"/>
  <c r="GCD92" i="54"/>
  <c r="GCB92" i="54"/>
  <c r="GBZ92" i="54"/>
  <c r="GBX92" i="54"/>
  <c r="GBV92" i="54"/>
  <c r="GBT92" i="54"/>
  <c r="GBR92" i="54"/>
  <c r="GBP92" i="54"/>
  <c r="GBN92" i="54"/>
  <c r="GBL92" i="54"/>
  <c r="GBJ92" i="54"/>
  <c r="GBH92" i="54"/>
  <c r="GBF92" i="54"/>
  <c r="GBD92" i="54"/>
  <c r="GBB92" i="54"/>
  <c r="GAZ92" i="54"/>
  <c r="GAX92" i="54"/>
  <c r="GAV92" i="54"/>
  <c r="GAT92" i="54"/>
  <c r="GAR92" i="54"/>
  <c r="GAP92" i="54"/>
  <c r="GAN92" i="54"/>
  <c r="GAL92" i="54"/>
  <c r="GAJ92" i="54"/>
  <c r="GAH92" i="54"/>
  <c r="GAF92" i="54"/>
  <c r="GAD92" i="54"/>
  <c r="GAB92" i="54"/>
  <c r="FZZ92" i="54"/>
  <c r="FZX92" i="54"/>
  <c r="FZV92" i="54"/>
  <c r="FZT92" i="54"/>
  <c r="FZR92" i="54"/>
  <c r="FZP92" i="54"/>
  <c r="FZN92" i="54"/>
  <c r="FZL92" i="54"/>
  <c r="FZJ92" i="54"/>
  <c r="FZH92" i="54"/>
  <c r="FZF92" i="54"/>
  <c r="FZD92" i="54"/>
  <c r="FZB92" i="54"/>
  <c r="FYZ92" i="54"/>
  <c r="FYX92" i="54"/>
  <c r="FYV92" i="54"/>
  <c r="FYT92" i="54"/>
  <c r="FYR92" i="54"/>
  <c r="FYP92" i="54"/>
  <c r="FYN92" i="54"/>
  <c r="FYL92" i="54"/>
  <c r="FYJ92" i="54"/>
  <c r="FYH92" i="54"/>
  <c r="FYF92" i="54"/>
  <c r="FYD92" i="54"/>
  <c r="FYB92" i="54"/>
  <c r="FXZ92" i="54"/>
  <c r="FXX92" i="54"/>
  <c r="FXV92" i="54"/>
  <c r="FXT92" i="54"/>
  <c r="FXR92" i="54"/>
  <c r="FXP92" i="54"/>
  <c r="FXN92" i="54"/>
  <c r="FXL92" i="54"/>
  <c r="FXJ92" i="54"/>
  <c r="FXH92" i="54"/>
  <c r="FXF92" i="54"/>
  <c r="FXD92" i="54"/>
  <c r="FXB92" i="54"/>
  <c r="FWZ92" i="54"/>
  <c r="FWX92" i="54"/>
  <c r="FWV92" i="54"/>
  <c r="FWT92" i="54"/>
  <c r="FWR92" i="54"/>
  <c r="FWP92" i="54"/>
  <c r="FWN92" i="54"/>
  <c r="FWL92" i="54"/>
  <c r="FWJ92" i="54"/>
  <c r="FWH92" i="54"/>
  <c r="FWF92" i="54"/>
  <c r="FWD92" i="54"/>
  <c r="FWB92" i="54"/>
  <c r="FVZ92" i="54"/>
  <c r="FVX92" i="54"/>
  <c r="FVV92" i="54"/>
  <c r="FVT92" i="54"/>
  <c r="FVR92" i="54"/>
  <c r="FVP92" i="54"/>
  <c r="FVN92" i="54"/>
  <c r="FVL92" i="54"/>
  <c r="FVJ92" i="54"/>
  <c r="FVH92" i="54"/>
  <c r="FVF92" i="54"/>
  <c r="FVD92" i="54"/>
  <c r="FVB92" i="54"/>
  <c r="FUZ92" i="54"/>
  <c r="FUX92" i="54"/>
  <c r="FUV92" i="54"/>
  <c r="FUT92" i="54"/>
  <c r="FUR92" i="54"/>
  <c r="FUP92" i="54"/>
  <c r="FUN92" i="54"/>
  <c r="FUL92" i="54"/>
  <c r="FUJ92" i="54"/>
  <c r="FUH92" i="54"/>
  <c r="FUF92" i="54"/>
  <c r="FUD92" i="54"/>
  <c r="FUB92" i="54"/>
  <c r="FTZ92" i="54"/>
  <c r="FTX92" i="54"/>
  <c r="FTV92" i="54"/>
  <c r="FTT92" i="54"/>
  <c r="FTR92" i="54"/>
  <c r="FTP92" i="54"/>
  <c r="FTN92" i="54"/>
  <c r="FTL92" i="54"/>
  <c r="FTJ92" i="54"/>
  <c r="FTH92" i="54"/>
  <c r="FTF92" i="54"/>
  <c r="FTD92" i="54"/>
  <c r="FTB92" i="54"/>
  <c r="FSZ92" i="54"/>
  <c r="FSX92" i="54"/>
  <c r="FSV92" i="54"/>
  <c r="FST92" i="54"/>
  <c r="FSR92" i="54"/>
  <c r="FSP92" i="54"/>
  <c r="FSN92" i="54"/>
  <c r="FSL92" i="54"/>
  <c r="FSJ92" i="54"/>
  <c r="FSH92" i="54"/>
  <c r="FSF92" i="54"/>
  <c r="FSD92" i="54"/>
  <c r="FSB92" i="54"/>
  <c r="FRZ92" i="54"/>
  <c r="FRX92" i="54"/>
  <c r="FRV92" i="54"/>
  <c r="FRT92" i="54"/>
  <c r="FRR92" i="54"/>
  <c r="FRP92" i="54"/>
  <c r="FRN92" i="54"/>
  <c r="FRL92" i="54"/>
  <c r="FRJ92" i="54"/>
  <c r="FRH92" i="54"/>
  <c r="FRF92" i="54"/>
  <c r="FRD92" i="54"/>
  <c r="FRB92" i="54"/>
  <c r="FQZ92" i="54"/>
  <c r="FQX92" i="54"/>
  <c r="FQV92" i="54"/>
  <c r="FQT92" i="54"/>
  <c r="FQR92" i="54"/>
  <c r="FQP92" i="54"/>
  <c r="FQN92" i="54"/>
  <c r="FQL92" i="54"/>
  <c r="FQJ92" i="54"/>
  <c r="FQH92" i="54"/>
  <c r="FQF92" i="54"/>
  <c r="FQD92" i="54"/>
  <c r="FQB92" i="54"/>
  <c r="FPZ92" i="54"/>
  <c r="FPX92" i="54"/>
  <c r="FPV92" i="54"/>
  <c r="FPT92" i="54"/>
  <c r="FPR92" i="54"/>
  <c r="FPP92" i="54"/>
  <c r="FPN92" i="54"/>
  <c r="FPL92" i="54"/>
  <c r="FPJ92" i="54"/>
  <c r="FPH92" i="54"/>
  <c r="FPF92" i="54"/>
  <c r="FPD92" i="54"/>
  <c r="FPB92" i="54"/>
  <c r="FOZ92" i="54"/>
  <c r="FOX92" i="54"/>
  <c r="FOV92" i="54"/>
  <c r="FOT92" i="54"/>
  <c r="FOR92" i="54"/>
  <c r="FOP92" i="54"/>
  <c r="FON92" i="54"/>
  <c r="FOL92" i="54"/>
  <c r="FOJ92" i="54"/>
  <c r="FOH92" i="54"/>
  <c r="FOF92" i="54"/>
  <c r="FOD92" i="54"/>
  <c r="FOB92" i="54"/>
  <c r="FNZ92" i="54"/>
  <c r="FNX92" i="54"/>
  <c r="FNV92" i="54"/>
  <c r="FNT92" i="54"/>
  <c r="FNR92" i="54"/>
  <c r="FNP92" i="54"/>
  <c r="FNN92" i="54"/>
  <c r="FNL92" i="54"/>
  <c r="FNJ92" i="54"/>
  <c r="FNH92" i="54"/>
  <c r="FNF92" i="54"/>
  <c r="FND92" i="54"/>
  <c r="FNB92" i="54"/>
  <c r="FMZ92" i="54"/>
  <c r="FMX92" i="54"/>
  <c r="FMV92" i="54"/>
  <c r="FMT92" i="54"/>
  <c r="FMR92" i="54"/>
  <c r="FMP92" i="54"/>
  <c r="FMN92" i="54"/>
  <c r="FML92" i="54"/>
  <c r="FMJ92" i="54"/>
  <c r="FMH92" i="54"/>
  <c r="FMF92" i="54"/>
  <c r="FMD92" i="54"/>
  <c r="FMB92" i="54"/>
  <c r="FLZ92" i="54"/>
  <c r="FLX92" i="54"/>
  <c r="FLV92" i="54"/>
  <c r="FLT92" i="54"/>
  <c r="FLR92" i="54"/>
  <c r="FLP92" i="54"/>
  <c r="FLN92" i="54"/>
  <c r="FLL92" i="54"/>
  <c r="FLJ92" i="54"/>
  <c r="FLH92" i="54"/>
  <c r="FLF92" i="54"/>
  <c r="FLD92" i="54"/>
  <c r="FLB92" i="54"/>
  <c r="FKZ92" i="54"/>
  <c r="FKX92" i="54"/>
  <c r="FKV92" i="54"/>
  <c r="FKT92" i="54"/>
  <c r="FKR92" i="54"/>
  <c r="FKP92" i="54"/>
  <c r="FKN92" i="54"/>
  <c r="FKL92" i="54"/>
  <c r="FKJ92" i="54"/>
  <c r="FKH92" i="54"/>
  <c r="FKF92" i="54"/>
  <c r="FKD92" i="54"/>
  <c r="FKB92" i="54"/>
  <c r="FJZ92" i="54"/>
  <c r="FJX92" i="54"/>
  <c r="FJV92" i="54"/>
  <c r="FJT92" i="54"/>
  <c r="FJR92" i="54"/>
  <c r="FJP92" i="54"/>
  <c r="FJN92" i="54"/>
  <c r="FJL92" i="54"/>
  <c r="FJJ92" i="54"/>
  <c r="FJH92" i="54"/>
  <c r="FJF92" i="54"/>
  <c r="FJD92" i="54"/>
  <c r="FJB92" i="54"/>
  <c r="FIZ92" i="54"/>
  <c r="FIX92" i="54"/>
  <c r="FIV92" i="54"/>
  <c r="FIT92" i="54"/>
  <c r="FIR92" i="54"/>
  <c r="FIP92" i="54"/>
  <c r="FIN92" i="54"/>
  <c r="FIL92" i="54"/>
  <c r="FIJ92" i="54"/>
  <c r="FIH92" i="54"/>
  <c r="FIF92" i="54"/>
  <c r="FID92" i="54"/>
  <c r="FIB92" i="54"/>
  <c r="FHZ92" i="54"/>
  <c r="FHX92" i="54"/>
  <c r="FHV92" i="54"/>
  <c r="FHT92" i="54"/>
  <c r="FHR92" i="54"/>
  <c r="FHP92" i="54"/>
  <c r="FHN92" i="54"/>
  <c r="FHL92" i="54"/>
  <c r="FHJ92" i="54"/>
  <c r="FHH92" i="54"/>
  <c r="FHF92" i="54"/>
  <c r="FHD92" i="54"/>
  <c r="FHB92" i="54"/>
  <c r="FGZ92" i="54"/>
  <c r="FGX92" i="54"/>
  <c r="FGV92" i="54"/>
  <c r="FGT92" i="54"/>
  <c r="FGR92" i="54"/>
  <c r="FGP92" i="54"/>
  <c r="FGN92" i="54"/>
  <c r="FGL92" i="54"/>
  <c r="FGJ92" i="54"/>
  <c r="FGH92" i="54"/>
  <c r="FGF92" i="54"/>
  <c r="FGD92" i="54"/>
  <c r="FGB92" i="54"/>
  <c r="FFZ92" i="54"/>
  <c r="FFX92" i="54"/>
  <c r="FFV92" i="54"/>
  <c r="FFT92" i="54"/>
  <c r="FFR92" i="54"/>
  <c r="FFP92" i="54"/>
  <c r="FFN92" i="54"/>
  <c r="FFL92" i="54"/>
  <c r="FFJ92" i="54"/>
  <c r="FFH92" i="54"/>
  <c r="FFF92" i="54"/>
  <c r="FFD92" i="54"/>
  <c r="FFB92" i="54"/>
  <c r="FEZ92" i="54"/>
  <c r="FEX92" i="54"/>
  <c r="FEV92" i="54"/>
  <c r="FET92" i="54"/>
  <c r="FER92" i="54"/>
  <c r="FEP92" i="54"/>
  <c r="FEN92" i="54"/>
  <c r="FEL92" i="54"/>
  <c r="FEJ92" i="54"/>
  <c r="FEH92" i="54"/>
  <c r="FEF92" i="54"/>
  <c r="FED92" i="54"/>
  <c r="FEB92" i="54"/>
  <c r="FDZ92" i="54"/>
  <c r="FDX92" i="54"/>
  <c r="FDV92" i="54"/>
  <c r="FDT92" i="54"/>
  <c r="FDR92" i="54"/>
  <c r="FDP92" i="54"/>
  <c r="FDN92" i="54"/>
  <c r="FDL92" i="54"/>
  <c r="FDJ92" i="54"/>
  <c r="FDH92" i="54"/>
  <c r="FDF92" i="54"/>
  <c r="FDD92" i="54"/>
  <c r="FDB92" i="54"/>
  <c r="FCZ92" i="54"/>
  <c r="FCX92" i="54"/>
  <c r="FCV92" i="54"/>
  <c r="FCT92" i="54"/>
  <c r="FCR92" i="54"/>
  <c r="FCP92" i="54"/>
  <c r="FCN92" i="54"/>
  <c r="FCL92" i="54"/>
  <c r="FCJ92" i="54"/>
  <c r="FCH92" i="54"/>
  <c r="FCF92" i="54"/>
  <c r="FCD92" i="54"/>
  <c r="FCB92" i="54"/>
  <c r="FBZ92" i="54"/>
  <c r="FBX92" i="54"/>
  <c r="FBV92" i="54"/>
  <c r="FBT92" i="54"/>
  <c r="FBR92" i="54"/>
  <c r="FBP92" i="54"/>
  <c r="FBN92" i="54"/>
  <c r="FBL92" i="54"/>
  <c r="FBJ92" i="54"/>
  <c r="FBH92" i="54"/>
  <c r="FBF92" i="54"/>
  <c r="FBD92" i="54"/>
  <c r="FBB92" i="54"/>
  <c r="FAZ92" i="54"/>
  <c r="FAX92" i="54"/>
  <c r="FAV92" i="54"/>
  <c r="FAT92" i="54"/>
  <c r="FAR92" i="54"/>
  <c r="FAP92" i="54"/>
  <c r="FAN92" i="54"/>
  <c r="FAL92" i="54"/>
  <c r="FAJ92" i="54"/>
  <c r="FAH92" i="54"/>
  <c r="FAF92" i="54"/>
  <c r="FAD92" i="54"/>
  <c r="FAB92" i="54"/>
  <c r="EZZ92" i="54"/>
  <c r="EZX92" i="54"/>
  <c r="EZV92" i="54"/>
  <c r="EZT92" i="54"/>
  <c r="EZR92" i="54"/>
  <c r="EZP92" i="54"/>
  <c r="EZN92" i="54"/>
  <c r="EZL92" i="54"/>
  <c r="EZJ92" i="54"/>
  <c r="EZH92" i="54"/>
  <c r="EZF92" i="54"/>
  <c r="EZD92" i="54"/>
  <c r="EZB92" i="54"/>
  <c r="EYZ92" i="54"/>
  <c r="EYX92" i="54"/>
  <c r="EYV92" i="54"/>
  <c r="EYT92" i="54"/>
  <c r="EYR92" i="54"/>
  <c r="EYP92" i="54"/>
  <c r="EYN92" i="54"/>
  <c r="EYL92" i="54"/>
  <c r="EYJ92" i="54"/>
  <c r="EYH92" i="54"/>
  <c r="EYF92" i="54"/>
  <c r="EYD92" i="54"/>
  <c r="EYB92" i="54"/>
  <c r="EXZ92" i="54"/>
  <c r="EXX92" i="54"/>
  <c r="EXV92" i="54"/>
  <c r="EXT92" i="54"/>
  <c r="EXR92" i="54"/>
  <c r="EXP92" i="54"/>
  <c r="EXN92" i="54"/>
  <c r="EXL92" i="54"/>
  <c r="EXJ92" i="54"/>
  <c r="EXH92" i="54"/>
  <c r="EXF92" i="54"/>
  <c r="EXD92" i="54"/>
  <c r="EXB92" i="54"/>
  <c r="EWZ92" i="54"/>
  <c r="EWX92" i="54"/>
  <c r="EWV92" i="54"/>
  <c r="EWT92" i="54"/>
  <c r="EWR92" i="54"/>
  <c r="EWP92" i="54"/>
  <c r="EWN92" i="54"/>
  <c r="EWL92" i="54"/>
  <c r="EWJ92" i="54"/>
  <c r="EWH92" i="54"/>
  <c r="EWF92" i="54"/>
  <c r="EWD92" i="54"/>
  <c r="EWB92" i="54"/>
  <c r="EVZ92" i="54"/>
  <c r="EVX92" i="54"/>
  <c r="EVV92" i="54"/>
  <c r="EVT92" i="54"/>
  <c r="EVR92" i="54"/>
  <c r="EVP92" i="54"/>
  <c r="EVN92" i="54"/>
  <c r="EVL92" i="54"/>
  <c r="EVJ92" i="54"/>
  <c r="EVH92" i="54"/>
  <c r="EVF92" i="54"/>
  <c r="EVD92" i="54"/>
  <c r="EVB92" i="54"/>
  <c r="EUZ92" i="54"/>
  <c r="EUX92" i="54"/>
  <c r="EUV92" i="54"/>
  <c r="EUT92" i="54"/>
  <c r="EUR92" i="54"/>
  <c r="EUP92" i="54"/>
  <c r="EUN92" i="54"/>
  <c r="EUL92" i="54"/>
  <c r="EUJ92" i="54"/>
  <c r="EUH92" i="54"/>
  <c r="EUF92" i="54"/>
  <c r="EUD92" i="54"/>
  <c r="EUB92" i="54"/>
  <c r="ETZ92" i="54"/>
  <c r="ETX92" i="54"/>
  <c r="ETV92" i="54"/>
  <c r="ETT92" i="54"/>
  <c r="ETR92" i="54"/>
  <c r="ETP92" i="54"/>
  <c r="ETN92" i="54"/>
  <c r="ETL92" i="54"/>
  <c r="ETJ92" i="54"/>
  <c r="ETH92" i="54"/>
  <c r="ETF92" i="54"/>
  <c r="ETD92" i="54"/>
  <c r="ETB92" i="54"/>
  <c r="ESZ92" i="54"/>
  <c r="ESX92" i="54"/>
  <c r="ESV92" i="54"/>
  <c r="EST92" i="54"/>
  <c r="ESR92" i="54"/>
  <c r="ESP92" i="54"/>
  <c r="ESN92" i="54"/>
  <c r="ESL92" i="54"/>
  <c r="ESJ92" i="54"/>
  <c r="ESH92" i="54"/>
  <c r="ESF92" i="54"/>
  <c r="ESD92" i="54"/>
  <c r="ESB92" i="54"/>
  <c r="ERZ92" i="54"/>
  <c r="ERX92" i="54"/>
  <c r="ERV92" i="54"/>
  <c r="ERT92" i="54"/>
  <c r="ERR92" i="54"/>
  <c r="ERP92" i="54"/>
  <c r="ERN92" i="54"/>
  <c r="ERL92" i="54"/>
  <c r="ERJ92" i="54"/>
  <c r="ERH92" i="54"/>
  <c r="ERF92" i="54"/>
  <c r="ERD92" i="54"/>
  <c r="ERB92" i="54"/>
  <c r="EQZ92" i="54"/>
  <c r="EQX92" i="54"/>
  <c r="EQV92" i="54"/>
  <c r="EQT92" i="54"/>
  <c r="EQR92" i="54"/>
  <c r="EQP92" i="54"/>
  <c r="EQN92" i="54"/>
  <c r="EQL92" i="54"/>
  <c r="EQJ92" i="54"/>
  <c r="EQH92" i="54"/>
  <c r="EQF92" i="54"/>
  <c r="EQD92" i="54"/>
  <c r="EQB92" i="54"/>
  <c r="EPZ92" i="54"/>
  <c r="EPX92" i="54"/>
  <c r="EPV92" i="54"/>
  <c r="EPT92" i="54"/>
  <c r="EPR92" i="54"/>
  <c r="EPP92" i="54"/>
  <c r="EPN92" i="54"/>
  <c r="EPL92" i="54"/>
  <c r="EPJ92" i="54"/>
  <c r="EPH92" i="54"/>
  <c r="EPF92" i="54"/>
  <c r="EPD92" i="54"/>
  <c r="EPB92" i="54"/>
  <c r="EOZ92" i="54"/>
  <c r="EOX92" i="54"/>
  <c r="EOV92" i="54"/>
  <c r="EOT92" i="54"/>
  <c r="EOR92" i="54"/>
  <c r="EOP92" i="54"/>
  <c r="EON92" i="54"/>
  <c r="EOL92" i="54"/>
  <c r="EOJ92" i="54"/>
  <c r="EOH92" i="54"/>
  <c r="EOF92" i="54"/>
  <c r="EOD92" i="54"/>
  <c r="EOB92" i="54"/>
  <c r="ENZ92" i="54"/>
  <c r="ENX92" i="54"/>
  <c r="ENV92" i="54"/>
  <c r="ENT92" i="54"/>
  <c r="ENR92" i="54"/>
  <c r="ENP92" i="54"/>
  <c r="ENN92" i="54"/>
  <c r="ENL92" i="54"/>
  <c r="ENJ92" i="54"/>
  <c r="ENH92" i="54"/>
  <c r="ENF92" i="54"/>
  <c r="END92" i="54"/>
  <c r="ENB92" i="54"/>
  <c r="EMZ92" i="54"/>
  <c r="EMX92" i="54"/>
  <c r="EMV92" i="54"/>
  <c r="EMT92" i="54"/>
  <c r="EMR92" i="54"/>
  <c r="EMP92" i="54"/>
  <c r="EMN92" i="54"/>
  <c r="EML92" i="54"/>
  <c r="EMJ92" i="54"/>
  <c r="EMH92" i="54"/>
  <c r="EMF92" i="54"/>
  <c r="EMD92" i="54"/>
  <c r="EMB92" i="54"/>
  <c r="ELZ92" i="54"/>
  <c r="ELX92" i="54"/>
  <c r="ELV92" i="54"/>
  <c r="ELT92" i="54"/>
  <c r="ELR92" i="54"/>
  <c r="ELP92" i="54"/>
  <c r="ELN92" i="54"/>
  <c r="ELL92" i="54"/>
  <c r="ELJ92" i="54"/>
  <c r="ELH92" i="54"/>
  <c r="ELF92" i="54"/>
  <c r="ELD92" i="54"/>
  <c r="ELB92" i="54"/>
  <c r="EKZ92" i="54"/>
  <c r="EKX92" i="54"/>
  <c r="EKV92" i="54"/>
  <c r="EKT92" i="54"/>
  <c r="EKR92" i="54"/>
  <c r="EKP92" i="54"/>
  <c r="EKN92" i="54"/>
  <c r="EKL92" i="54"/>
  <c r="EKJ92" i="54"/>
  <c r="EKH92" i="54"/>
  <c r="EKF92" i="54"/>
  <c r="EKD92" i="54"/>
  <c r="EKB92" i="54"/>
  <c r="EJZ92" i="54"/>
  <c r="EJX92" i="54"/>
  <c r="EJV92" i="54"/>
  <c r="EJT92" i="54"/>
  <c r="EJR92" i="54"/>
  <c r="EJP92" i="54"/>
  <c r="EJN92" i="54"/>
  <c r="EJL92" i="54"/>
  <c r="EJJ92" i="54"/>
  <c r="EJH92" i="54"/>
  <c r="EJF92" i="54"/>
  <c r="EJD92" i="54"/>
  <c r="EJB92" i="54"/>
  <c r="EIZ92" i="54"/>
  <c r="EIX92" i="54"/>
  <c r="EIV92" i="54"/>
  <c r="EIT92" i="54"/>
  <c r="EIR92" i="54"/>
  <c r="EIP92" i="54"/>
  <c r="EIN92" i="54"/>
  <c r="EIL92" i="54"/>
  <c r="EIJ92" i="54"/>
  <c r="EIH92" i="54"/>
  <c r="EIF92" i="54"/>
  <c r="EID92" i="54"/>
  <c r="EIB92" i="54"/>
  <c r="EHZ92" i="54"/>
  <c r="EHX92" i="54"/>
  <c r="EHV92" i="54"/>
  <c r="EHT92" i="54"/>
  <c r="EHR92" i="54"/>
  <c r="EHP92" i="54"/>
  <c r="EHN92" i="54"/>
  <c r="EHL92" i="54"/>
  <c r="EHJ92" i="54"/>
  <c r="EHH92" i="54"/>
  <c r="EHF92" i="54"/>
  <c r="EHD92" i="54"/>
  <c r="EHB92" i="54"/>
  <c r="EGZ92" i="54"/>
  <c r="EGX92" i="54"/>
  <c r="EGV92" i="54"/>
  <c r="EGT92" i="54"/>
  <c r="EGR92" i="54"/>
  <c r="EGP92" i="54"/>
  <c r="EGN92" i="54"/>
  <c r="EGL92" i="54"/>
  <c r="EGJ92" i="54"/>
  <c r="EGH92" i="54"/>
  <c r="EGF92" i="54"/>
  <c r="EGD92" i="54"/>
  <c r="EGB92" i="54"/>
  <c r="EFZ92" i="54"/>
  <c r="EFX92" i="54"/>
  <c r="EFV92" i="54"/>
  <c r="EFT92" i="54"/>
  <c r="EFR92" i="54"/>
  <c r="EFP92" i="54"/>
  <c r="EFN92" i="54"/>
  <c r="EFL92" i="54"/>
  <c r="EFJ92" i="54"/>
  <c r="EFH92" i="54"/>
  <c r="EFF92" i="54"/>
  <c r="EFD92" i="54"/>
  <c r="EFB92" i="54"/>
  <c r="EEZ92" i="54"/>
  <c r="EEX92" i="54"/>
  <c r="EEV92" i="54"/>
  <c r="EET92" i="54"/>
  <c r="EER92" i="54"/>
  <c r="EEP92" i="54"/>
  <c r="EEN92" i="54"/>
  <c r="EEL92" i="54"/>
  <c r="EEJ92" i="54"/>
  <c r="EEH92" i="54"/>
  <c r="EEF92" i="54"/>
  <c r="EED92" i="54"/>
  <c r="EEB92" i="54"/>
  <c r="EDZ92" i="54"/>
  <c r="EDX92" i="54"/>
  <c r="EDV92" i="54"/>
  <c r="EDT92" i="54"/>
  <c r="EDR92" i="54"/>
  <c r="EDP92" i="54"/>
  <c r="EDN92" i="54"/>
  <c r="EDL92" i="54"/>
  <c r="EDJ92" i="54"/>
  <c r="EDH92" i="54"/>
  <c r="EDF92" i="54"/>
  <c r="EDD92" i="54"/>
  <c r="EDB92" i="54"/>
  <c r="ECZ92" i="54"/>
  <c r="ECX92" i="54"/>
  <c r="ECV92" i="54"/>
  <c r="ECT92" i="54"/>
  <c r="ECR92" i="54"/>
  <c r="ECP92" i="54"/>
  <c r="ECN92" i="54"/>
  <c r="ECL92" i="54"/>
  <c r="ECJ92" i="54"/>
  <c r="ECH92" i="54"/>
  <c r="ECF92" i="54"/>
  <c r="ECD92" i="54"/>
  <c r="ECB92" i="54"/>
  <c r="EBZ92" i="54"/>
  <c r="EBX92" i="54"/>
  <c r="EBV92" i="54"/>
  <c r="EBT92" i="54"/>
  <c r="EBR92" i="54"/>
  <c r="EBP92" i="54"/>
  <c r="EBN92" i="54"/>
  <c r="EBL92" i="54"/>
  <c r="EBJ92" i="54"/>
  <c r="EBH92" i="54"/>
  <c r="EBF92" i="54"/>
  <c r="EBD92" i="54"/>
  <c r="EBB92" i="54"/>
  <c r="EAZ92" i="54"/>
  <c r="EAX92" i="54"/>
  <c r="EAV92" i="54"/>
  <c r="EAT92" i="54"/>
  <c r="EAR92" i="54"/>
  <c r="EAP92" i="54"/>
  <c r="EAN92" i="54"/>
  <c r="EAL92" i="54"/>
  <c r="EAJ92" i="54"/>
  <c r="EAH92" i="54"/>
  <c r="EAF92" i="54"/>
  <c r="EAD92" i="54"/>
  <c r="EAB92" i="54"/>
  <c r="DZZ92" i="54"/>
  <c r="DZX92" i="54"/>
  <c r="DZV92" i="54"/>
  <c r="DZT92" i="54"/>
  <c r="DZR92" i="54"/>
  <c r="DZP92" i="54"/>
  <c r="DZN92" i="54"/>
  <c r="DZL92" i="54"/>
  <c r="DZJ92" i="54"/>
  <c r="DZH92" i="54"/>
  <c r="DZF92" i="54"/>
  <c r="DZD92" i="54"/>
  <c r="DZB92" i="54"/>
  <c r="DYZ92" i="54"/>
  <c r="DYX92" i="54"/>
  <c r="DYV92" i="54"/>
  <c r="DYT92" i="54"/>
  <c r="DYR92" i="54"/>
  <c r="DYP92" i="54"/>
  <c r="DYN92" i="54"/>
  <c r="DYL92" i="54"/>
  <c r="DYJ92" i="54"/>
  <c r="DYH92" i="54"/>
  <c r="DYF92" i="54"/>
  <c r="DYD92" i="54"/>
  <c r="DYB92" i="54"/>
  <c r="DXZ92" i="54"/>
  <c r="DXX92" i="54"/>
  <c r="DXV92" i="54"/>
  <c r="DXT92" i="54"/>
  <c r="DXR92" i="54"/>
  <c r="DXP92" i="54"/>
  <c r="DXN92" i="54"/>
  <c r="DXL92" i="54"/>
  <c r="DXJ92" i="54"/>
  <c r="DXH92" i="54"/>
  <c r="DXF92" i="54"/>
  <c r="DXD92" i="54"/>
  <c r="DXB92" i="54"/>
  <c r="DWZ92" i="54"/>
  <c r="DWX92" i="54"/>
  <c r="DWV92" i="54"/>
  <c r="DWT92" i="54"/>
  <c r="DWR92" i="54"/>
  <c r="DWP92" i="54"/>
  <c r="DWN92" i="54"/>
  <c r="DWL92" i="54"/>
  <c r="DWJ92" i="54"/>
  <c r="DWH92" i="54"/>
  <c r="DWF92" i="54"/>
  <c r="DWD92" i="54"/>
  <c r="DWB92" i="54"/>
  <c r="DVZ92" i="54"/>
  <c r="DVX92" i="54"/>
  <c r="DVV92" i="54"/>
  <c r="DVT92" i="54"/>
  <c r="DVR92" i="54"/>
  <c r="DVP92" i="54"/>
  <c r="DVN92" i="54"/>
  <c r="DVL92" i="54"/>
  <c r="DVJ92" i="54"/>
  <c r="DVH92" i="54"/>
  <c r="DVF92" i="54"/>
  <c r="DVD92" i="54"/>
  <c r="DVB92" i="54"/>
  <c r="DUZ92" i="54"/>
  <c r="DUX92" i="54"/>
  <c r="DUV92" i="54"/>
  <c r="DUT92" i="54"/>
  <c r="DUR92" i="54"/>
  <c r="DUP92" i="54"/>
  <c r="DUN92" i="54"/>
  <c r="DUL92" i="54"/>
  <c r="DUJ92" i="54"/>
  <c r="DUH92" i="54"/>
  <c r="DUF92" i="54"/>
  <c r="DUD92" i="54"/>
  <c r="DUB92" i="54"/>
  <c r="DTZ92" i="54"/>
  <c r="DTX92" i="54"/>
  <c r="DTV92" i="54"/>
  <c r="DTT92" i="54"/>
  <c r="DTR92" i="54"/>
  <c r="DTP92" i="54"/>
  <c r="DTN92" i="54"/>
  <c r="DTL92" i="54"/>
  <c r="DTJ92" i="54"/>
  <c r="DTH92" i="54"/>
  <c r="DTF92" i="54"/>
  <c r="DTD92" i="54"/>
  <c r="DTB92" i="54"/>
  <c r="DSZ92" i="54"/>
  <c r="DSX92" i="54"/>
  <c r="DSV92" i="54"/>
  <c r="DST92" i="54"/>
  <c r="DSR92" i="54"/>
  <c r="DSP92" i="54"/>
  <c r="DSN92" i="54"/>
  <c r="DSL92" i="54"/>
  <c r="DSJ92" i="54"/>
  <c r="DSH92" i="54"/>
  <c r="DSF92" i="54"/>
  <c r="DSD92" i="54"/>
  <c r="DSB92" i="54"/>
  <c r="DRZ92" i="54"/>
  <c r="DRX92" i="54"/>
  <c r="DRV92" i="54"/>
  <c r="DRT92" i="54"/>
  <c r="DRR92" i="54"/>
  <c r="DRP92" i="54"/>
  <c r="DRN92" i="54"/>
  <c r="DRL92" i="54"/>
  <c r="DRJ92" i="54"/>
  <c r="DRH92" i="54"/>
  <c r="DRF92" i="54"/>
  <c r="DRD92" i="54"/>
  <c r="DRB92" i="54"/>
  <c r="DQZ92" i="54"/>
  <c r="DQX92" i="54"/>
  <c r="DQV92" i="54"/>
  <c r="DQT92" i="54"/>
  <c r="DQR92" i="54"/>
  <c r="DQP92" i="54"/>
  <c r="DQN92" i="54"/>
  <c r="DQL92" i="54"/>
  <c r="DQJ92" i="54"/>
  <c r="DQH92" i="54"/>
  <c r="DQF92" i="54"/>
  <c r="DQD92" i="54"/>
  <c r="DQB92" i="54"/>
  <c r="DPZ92" i="54"/>
  <c r="DPX92" i="54"/>
  <c r="DPV92" i="54"/>
  <c r="DPT92" i="54"/>
  <c r="DPR92" i="54"/>
  <c r="DPP92" i="54"/>
  <c r="DPN92" i="54"/>
  <c r="DPL92" i="54"/>
  <c r="DPJ92" i="54"/>
  <c r="DPH92" i="54"/>
  <c r="DPF92" i="54"/>
  <c r="DPD92" i="54"/>
  <c r="DPB92" i="54"/>
  <c r="DOZ92" i="54"/>
  <c r="DOX92" i="54"/>
  <c r="DOV92" i="54"/>
  <c r="DOT92" i="54"/>
  <c r="DOR92" i="54"/>
  <c r="DOP92" i="54"/>
  <c r="DON92" i="54"/>
  <c r="DOL92" i="54"/>
  <c r="DOJ92" i="54"/>
  <c r="DOH92" i="54"/>
  <c r="DOF92" i="54"/>
  <c r="DOD92" i="54"/>
  <c r="DOB92" i="54"/>
  <c r="DNZ92" i="54"/>
  <c r="DNX92" i="54"/>
  <c r="DNV92" i="54"/>
  <c r="DNT92" i="54"/>
  <c r="DNR92" i="54"/>
  <c r="DNP92" i="54"/>
  <c r="DNN92" i="54"/>
  <c r="DNL92" i="54"/>
  <c r="DNJ92" i="54"/>
  <c r="DNH92" i="54"/>
  <c r="DNF92" i="54"/>
  <c r="DND92" i="54"/>
  <c r="DNB92" i="54"/>
  <c r="DMZ92" i="54"/>
  <c r="DMX92" i="54"/>
  <c r="DMV92" i="54"/>
  <c r="DMT92" i="54"/>
  <c r="DMR92" i="54"/>
  <c r="DMP92" i="54"/>
  <c r="DMN92" i="54"/>
  <c r="DML92" i="54"/>
  <c r="DMJ92" i="54"/>
  <c r="DMH92" i="54"/>
  <c r="DMF92" i="54"/>
  <c r="DMD92" i="54"/>
  <c r="DMB92" i="54"/>
  <c r="DLZ92" i="54"/>
  <c r="DLX92" i="54"/>
  <c r="DLV92" i="54"/>
  <c r="DLT92" i="54"/>
  <c r="DLR92" i="54"/>
  <c r="DLP92" i="54"/>
  <c r="DLN92" i="54"/>
  <c r="DLL92" i="54"/>
  <c r="DLJ92" i="54"/>
  <c r="DLH92" i="54"/>
  <c r="DLF92" i="54"/>
  <c r="DLD92" i="54"/>
  <c r="DLB92" i="54"/>
  <c r="DKZ92" i="54"/>
  <c r="DKX92" i="54"/>
  <c r="DKV92" i="54"/>
  <c r="DKT92" i="54"/>
  <c r="DKR92" i="54"/>
  <c r="DKP92" i="54"/>
  <c r="DKN92" i="54"/>
  <c r="DKL92" i="54"/>
  <c r="DKJ92" i="54"/>
  <c r="DKH92" i="54"/>
  <c r="DKF92" i="54"/>
  <c r="DKD92" i="54"/>
  <c r="DKB92" i="54"/>
  <c r="DJZ92" i="54"/>
  <c r="DJX92" i="54"/>
  <c r="DJV92" i="54"/>
  <c r="DJT92" i="54"/>
  <c r="DJR92" i="54"/>
  <c r="DJP92" i="54"/>
  <c r="DJN92" i="54"/>
  <c r="DJL92" i="54"/>
  <c r="DJJ92" i="54"/>
  <c r="DJH92" i="54"/>
  <c r="DJF92" i="54"/>
  <c r="DJD92" i="54"/>
  <c r="DJB92" i="54"/>
  <c r="DIZ92" i="54"/>
  <c r="DIX92" i="54"/>
  <c r="DIV92" i="54"/>
  <c r="DIT92" i="54"/>
  <c r="DIR92" i="54"/>
  <c r="DIP92" i="54"/>
  <c r="DIN92" i="54"/>
  <c r="DIL92" i="54"/>
  <c r="DIJ92" i="54"/>
  <c r="DIH92" i="54"/>
  <c r="DIF92" i="54"/>
  <c r="DID92" i="54"/>
  <c r="DIB92" i="54"/>
  <c r="DHZ92" i="54"/>
  <c r="DHX92" i="54"/>
  <c r="DHV92" i="54"/>
  <c r="DHT92" i="54"/>
  <c r="DHR92" i="54"/>
  <c r="DHP92" i="54"/>
  <c r="DHN92" i="54"/>
  <c r="DHL92" i="54"/>
  <c r="DHJ92" i="54"/>
  <c r="DHH92" i="54"/>
  <c r="DHF92" i="54"/>
  <c r="DHD92" i="54"/>
  <c r="DHB92" i="54"/>
  <c r="DGZ92" i="54"/>
  <c r="DGX92" i="54"/>
  <c r="DGV92" i="54"/>
  <c r="DGT92" i="54"/>
  <c r="DGR92" i="54"/>
  <c r="DGP92" i="54"/>
  <c r="DGN92" i="54"/>
  <c r="DGL92" i="54"/>
  <c r="DGJ92" i="54"/>
  <c r="DGH92" i="54"/>
  <c r="DGF92" i="54"/>
  <c r="DGD92" i="54"/>
  <c r="DGB92" i="54"/>
  <c r="DFZ92" i="54"/>
  <c r="DFX92" i="54"/>
  <c r="DFV92" i="54"/>
  <c r="DFT92" i="54"/>
  <c r="DFR92" i="54"/>
  <c r="DFP92" i="54"/>
  <c r="DFN92" i="54"/>
  <c r="DFL92" i="54"/>
  <c r="DFJ92" i="54"/>
  <c r="DFH92" i="54"/>
  <c r="DFF92" i="54"/>
  <c r="DFD92" i="54"/>
  <c r="DFB92" i="54"/>
  <c r="DEZ92" i="54"/>
  <c r="DEX92" i="54"/>
  <c r="DEV92" i="54"/>
  <c r="DET92" i="54"/>
  <c r="DER92" i="54"/>
  <c r="DEP92" i="54"/>
  <c r="DEN92" i="54"/>
  <c r="DEL92" i="54"/>
  <c r="DEJ92" i="54"/>
  <c r="DEH92" i="54"/>
  <c r="DEF92" i="54"/>
  <c r="DED92" i="54"/>
  <c r="DEB92" i="54"/>
  <c r="DDZ92" i="54"/>
  <c r="DDX92" i="54"/>
  <c r="DDV92" i="54"/>
  <c r="DDT92" i="54"/>
  <c r="DDR92" i="54"/>
  <c r="DDP92" i="54"/>
  <c r="DDN92" i="54"/>
  <c r="DDL92" i="54"/>
  <c r="DDJ92" i="54"/>
  <c r="DDH92" i="54"/>
  <c r="DDF92" i="54"/>
  <c r="DDD92" i="54"/>
  <c r="DDB92" i="54"/>
  <c r="DCZ92" i="54"/>
  <c r="DCX92" i="54"/>
  <c r="DCV92" i="54"/>
  <c r="DCT92" i="54"/>
  <c r="DCR92" i="54"/>
  <c r="DCP92" i="54"/>
  <c r="DCN92" i="54"/>
  <c r="DCL92" i="54"/>
  <c r="DCJ92" i="54"/>
  <c r="DCH92" i="54"/>
  <c r="DCF92" i="54"/>
  <c r="DCD92" i="54"/>
  <c r="DCB92" i="54"/>
  <c r="DBZ92" i="54"/>
  <c r="DBX92" i="54"/>
  <c r="DBV92" i="54"/>
  <c r="DBT92" i="54"/>
  <c r="DBR92" i="54"/>
  <c r="DBP92" i="54"/>
  <c r="DBN92" i="54"/>
  <c r="DBL92" i="54"/>
  <c r="DBJ92" i="54"/>
  <c r="DBH92" i="54"/>
  <c r="DBF92" i="54"/>
  <c r="DBD92" i="54"/>
  <c r="DBB92" i="54"/>
  <c r="DAZ92" i="54"/>
  <c r="DAX92" i="54"/>
  <c r="DAV92" i="54"/>
  <c r="DAT92" i="54"/>
  <c r="DAR92" i="54"/>
  <c r="DAP92" i="54"/>
  <c r="DAN92" i="54"/>
  <c r="DAL92" i="54"/>
  <c r="DAJ92" i="54"/>
  <c r="DAH92" i="54"/>
  <c r="DAF92" i="54"/>
  <c r="DAD92" i="54"/>
  <c r="DAB92" i="54"/>
  <c r="CZZ92" i="54"/>
  <c r="CZX92" i="54"/>
  <c r="CZV92" i="54"/>
  <c r="CZT92" i="54"/>
  <c r="CZR92" i="54"/>
  <c r="CZP92" i="54"/>
  <c r="CZN92" i="54"/>
  <c r="CZL92" i="54"/>
  <c r="CZJ92" i="54"/>
  <c r="CZH92" i="54"/>
  <c r="CZF92" i="54"/>
  <c r="CZD92" i="54"/>
  <c r="CZB92" i="54"/>
  <c r="CYZ92" i="54"/>
  <c r="CYX92" i="54"/>
  <c r="CYV92" i="54"/>
  <c r="CYT92" i="54"/>
  <c r="CYR92" i="54"/>
  <c r="CYP92" i="54"/>
  <c r="CYN92" i="54"/>
  <c r="CYL92" i="54"/>
  <c r="CYJ92" i="54"/>
  <c r="CYH92" i="54"/>
  <c r="CYF92" i="54"/>
  <c r="CYD92" i="54"/>
  <c r="CYB92" i="54"/>
  <c r="CXZ92" i="54"/>
  <c r="CXX92" i="54"/>
  <c r="CXV92" i="54"/>
  <c r="CXT92" i="54"/>
  <c r="CXR92" i="54"/>
  <c r="CXP92" i="54"/>
  <c r="CXN92" i="54"/>
  <c r="CXL92" i="54"/>
  <c r="CXJ92" i="54"/>
  <c r="CXH92" i="54"/>
  <c r="CXF92" i="54"/>
  <c r="CXD92" i="54"/>
  <c r="CXB92" i="54"/>
  <c r="CWZ92" i="54"/>
  <c r="CWX92" i="54"/>
  <c r="CWV92" i="54"/>
  <c r="CWT92" i="54"/>
  <c r="CWR92" i="54"/>
  <c r="CWP92" i="54"/>
  <c r="CWN92" i="54"/>
  <c r="CWL92" i="54"/>
  <c r="CWJ92" i="54"/>
  <c r="CWH92" i="54"/>
  <c r="CWF92" i="54"/>
  <c r="CWD92" i="54"/>
  <c r="CWB92" i="54"/>
  <c r="CVZ92" i="54"/>
  <c r="CVX92" i="54"/>
  <c r="CVV92" i="54"/>
  <c r="CVT92" i="54"/>
  <c r="CVR92" i="54"/>
  <c r="CVP92" i="54"/>
  <c r="CVN92" i="54"/>
  <c r="CVL92" i="54"/>
  <c r="CVJ92" i="54"/>
  <c r="CVH92" i="54"/>
  <c r="CVF92" i="54"/>
  <c r="CVD92" i="54"/>
  <c r="CVB92" i="54"/>
  <c r="CUZ92" i="54"/>
  <c r="CUX92" i="54"/>
  <c r="CUV92" i="54"/>
  <c r="CUT92" i="54"/>
  <c r="CUR92" i="54"/>
  <c r="CUP92" i="54"/>
  <c r="CUN92" i="54"/>
  <c r="CUL92" i="54"/>
  <c r="CUJ92" i="54"/>
  <c r="CUH92" i="54"/>
  <c r="CUF92" i="54"/>
  <c r="CUD92" i="54"/>
  <c r="CUB92" i="54"/>
  <c r="CTZ92" i="54"/>
  <c r="CTX92" i="54"/>
  <c r="CTV92" i="54"/>
  <c r="CTT92" i="54"/>
  <c r="CTR92" i="54"/>
  <c r="CTP92" i="54"/>
  <c r="CTN92" i="54"/>
  <c r="CTL92" i="54"/>
  <c r="CTJ92" i="54"/>
  <c r="CTH92" i="54"/>
  <c r="CTF92" i="54"/>
  <c r="CTD92" i="54"/>
  <c r="CTB92" i="54"/>
  <c r="CSZ92" i="54"/>
  <c r="CSX92" i="54"/>
  <c r="CSV92" i="54"/>
  <c r="CST92" i="54"/>
  <c r="CSR92" i="54"/>
  <c r="CSP92" i="54"/>
  <c r="CSN92" i="54"/>
  <c r="CSL92" i="54"/>
  <c r="CSJ92" i="54"/>
  <c r="CSH92" i="54"/>
  <c r="CSF92" i="54"/>
  <c r="CSD92" i="54"/>
  <c r="CSB92" i="54"/>
  <c r="CRZ92" i="54"/>
  <c r="CRX92" i="54"/>
  <c r="CRV92" i="54"/>
  <c r="CRT92" i="54"/>
  <c r="CRR92" i="54"/>
  <c r="CRP92" i="54"/>
  <c r="CRN92" i="54"/>
  <c r="CRL92" i="54"/>
  <c r="CRJ92" i="54"/>
  <c r="CRH92" i="54"/>
  <c r="CRF92" i="54"/>
  <c r="CRD92" i="54"/>
  <c r="CRB92" i="54"/>
  <c r="CQZ92" i="54"/>
  <c r="CQX92" i="54"/>
  <c r="CQV92" i="54"/>
  <c r="CQT92" i="54"/>
  <c r="CQR92" i="54"/>
  <c r="CQP92" i="54"/>
  <c r="CQN92" i="54"/>
  <c r="CQL92" i="54"/>
  <c r="CQJ92" i="54"/>
  <c r="CQH92" i="54"/>
  <c r="CQF92" i="54"/>
  <c r="CQD92" i="54"/>
  <c r="CQB92" i="54"/>
  <c r="CPZ92" i="54"/>
  <c r="CPX92" i="54"/>
  <c r="CPV92" i="54"/>
  <c r="CPT92" i="54"/>
  <c r="CPR92" i="54"/>
  <c r="CPP92" i="54"/>
  <c r="CPN92" i="54"/>
  <c r="CPL92" i="54"/>
  <c r="CPJ92" i="54"/>
  <c r="CPH92" i="54"/>
  <c r="CPF92" i="54"/>
  <c r="CPD92" i="54"/>
  <c r="CPB92" i="54"/>
  <c r="COZ92" i="54"/>
  <c r="COX92" i="54"/>
  <c r="COV92" i="54"/>
  <c r="COT92" i="54"/>
  <c r="COR92" i="54"/>
  <c r="COP92" i="54"/>
  <c r="CON92" i="54"/>
  <c r="COL92" i="54"/>
  <c r="COJ92" i="54"/>
  <c r="COH92" i="54"/>
  <c r="COF92" i="54"/>
  <c r="COD92" i="54"/>
  <c r="COB92" i="54"/>
  <c r="CNZ92" i="54"/>
  <c r="CNX92" i="54"/>
  <c r="CNV92" i="54"/>
  <c r="CNT92" i="54"/>
  <c r="CNR92" i="54"/>
  <c r="CNP92" i="54"/>
  <c r="CNN92" i="54"/>
  <c r="CNL92" i="54"/>
  <c r="CNJ92" i="54"/>
  <c r="CNH92" i="54"/>
  <c r="CNF92" i="54"/>
  <c r="CND92" i="54"/>
  <c r="CNB92" i="54"/>
  <c r="CMZ92" i="54"/>
  <c r="CMX92" i="54"/>
  <c r="CMV92" i="54"/>
  <c r="CMT92" i="54"/>
  <c r="CMR92" i="54"/>
  <c r="CMP92" i="54"/>
  <c r="CMN92" i="54"/>
  <c r="CML92" i="54"/>
  <c r="CMJ92" i="54"/>
  <c r="CMH92" i="54"/>
  <c r="CMF92" i="54"/>
  <c r="CMD92" i="54"/>
  <c r="CMB92" i="54"/>
  <c r="CLZ92" i="54"/>
  <c r="CLX92" i="54"/>
  <c r="CLV92" i="54"/>
  <c r="CLT92" i="54"/>
  <c r="CLR92" i="54"/>
  <c r="CLP92" i="54"/>
  <c r="CLN92" i="54"/>
  <c r="CLL92" i="54"/>
  <c r="CLJ92" i="54"/>
  <c r="CLH92" i="54"/>
  <c r="CLF92" i="54"/>
  <c r="CLD92" i="54"/>
  <c r="CLB92" i="54"/>
  <c r="CKZ92" i="54"/>
  <c r="CKX92" i="54"/>
  <c r="CKV92" i="54"/>
  <c r="CKT92" i="54"/>
  <c r="CKR92" i="54"/>
  <c r="CKP92" i="54"/>
  <c r="CKN92" i="54"/>
  <c r="CKL92" i="54"/>
  <c r="CKJ92" i="54"/>
  <c r="CKH92" i="54"/>
  <c r="CKF92" i="54"/>
  <c r="CKD92" i="54"/>
  <c r="CKB92" i="54"/>
  <c r="CJZ92" i="54"/>
  <c r="CJX92" i="54"/>
  <c r="CJV92" i="54"/>
  <c r="CJT92" i="54"/>
  <c r="CJR92" i="54"/>
  <c r="CJP92" i="54"/>
  <c r="CJN92" i="54"/>
  <c r="CJL92" i="54"/>
  <c r="CJJ92" i="54"/>
  <c r="CJH92" i="54"/>
  <c r="CJF92" i="54"/>
  <c r="CJD92" i="54"/>
  <c r="CJB92" i="54"/>
  <c r="CIZ92" i="54"/>
  <c r="CIX92" i="54"/>
  <c r="CIV92" i="54"/>
  <c r="CIT92" i="54"/>
  <c r="CIR92" i="54"/>
  <c r="CIP92" i="54"/>
  <c r="CIN92" i="54"/>
  <c r="CIL92" i="54"/>
  <c r="CIJ92" i="54"/>
  <c r="CIH92" i="54"/>
  <c r="CIF92" i="54"/>
  <c r="CID92" i="54"/>
  <c r="CIB92" i="54"/>
  <c r="CHZ92" i="54"/>
  <c r="CHX92" i="54"/>
  <c r="CHV92" i="54"/>
  <c r="CHT92" i="54"/>
  <c r="CHR92" i="54"/>
  <c r="CHP92" i="54"/>
  <c r="CHN92" i="54"/>
  <c r="CHL92" i="54"/>
  <c r="CHJ92" i="54"/>
  <c r="CHH92" i="54"/>
  <c r="CHF92" i="54"/>
  <c r="CHD92" i="54"/>
  <c r="CHB92" i="54"/>
  <c r="CGZ92" i="54"/>
  <c r="CGX92" i="54"/>
  <c r="CGV92" i="54"/>
  <c r="CGT92" i="54"/>
  <c r="CGR92" i="54"/>
  <c r="CGP92" i="54"/>
  <c r="CGN92" i="54"/>
  <c r="CGL92" i="54"/>
  <c r="CGJ92" i="54"/>
  <c r="CGH92" i="54"/>
  <c r="CGF92" i="54"/>
  <c r="CGD92" i="54"/>
  <c r="CGB92" i="54"/>
  <c r="CFZ92" i="54"/>
  <c r="CFX92" i="54"/>
  <c r="CFV92" i="54"/>
  <c r="CFT92" i="54"/>
  <c r="CFR92" i="54"/>
  <c r="CFP92" i="54"/>
  <c r="CFN92" i="54"/>
  <c r="CFL92" i="54"/>
  <c r="CFJ92" i="54"/>
  <c r="CFH92" i="54"/>
  <c r="CFF92" i="54"/>
  <c r="CFD92" i="54"/>
  <c r="CFB92" i="54"/>
  <c r="CEZ92" i="54"/>
  <c r="CEX92" i="54"/>
  <c r="CEV92" i="54"/>
  <c r="CET92" i="54"/>
  <c r="CER92" i="54"/>
  <c r="CEP92" i="54"/>
  <c r="CEN92" i="54"/>
  <c r="CEL92" i="54"/>
  <c r="CEJ92" i="54"/>
  <c r="CEH92" i="54"/>
  <c r="CEF92" i="54"/>
  <c r="CED92" i="54"/>
  <c r="CEB92" i="54"/>
  <c r="CDZ92" i="54"/>
  <c r="CDX92" i="54"/>
  <c r="CDV92" i="54"/>
  <c r="CDT92" i="54"/>
  <c r="CDR92" i="54"/>
  <c r="CDP92" i="54"/>
  <c r="CDN92" i="54"/>
  <c r="CDL92" i="54"/>
  <c r="CDJ92" i="54"/>
  <c r="CDH92" i="54"/>
  <c r="CDF92" i="54"/>
  <c r="CDD92" i="54"/>
  <c r="CDB92" i="54"/>
  <c r="CCZ92" i="54"/>
  <c r="CCX92" i="54"/>
  <c r="CCV92" i="54"/>
  <c r="CCT92" i="54"/>
  <c r="CCR92" i="54"/>
  <c r="CCP92" i="54"/>
  <c r="CCN92" i="54"/>
  <c r="CCL92" i="54"/>
  <c r="CCJ92" i="54"/>
  <c r="CCH92" i="54"/>
  <c r="CCF92" i="54"/>
  <c r="CCD92" i="54"/>
  <c r="CCB92" i="54"/>
  <c r="CBZ92" i="54"/>
  <c r="CBX92" i="54"/>
  <c r="CBV92" i="54"/>
  <c r="CBT92" i="54"/>
  <c r="CBR92" i="54"/>
  <c r="CBP92" i="54"/>
  <c r="CBN92" i="54"/>
  <c r="CBL92" i="54"/>
  <c r="CBJ92" i="54"/>
  <c r="CBH92" i="54"/>
  <c r="CBF92" i="54"/>
  <c r="CBD92" i="54"/>
  <c r="CBB92" i="54"/>
  <c r="CAZ92" i="54"/>
  <c r="CAX92" i="54"/>
  <c r="CAV92" i="54"/>
  <c r="CAT92" i="54"/>
  <c r="CAR92" i="54"/>
  <c r="CAP92" i="54"/>
  <c r="CAN92" i="54"/>
  <c r="CAL92" i="54"/>
  <c r="CAJ92" i="54"/>
  <c r="CAH92" i="54"/>
  <c r="CAF92" i="54"/>
  <c r="CAD92" i="54"/>
  <c r="CAB92" i="54"/>
  <c r="BZZ92" i="54"/>
  <c r="BZX92" i="54"/>
  <c r="BZV92" i="54"/>
  <c r="BZT92" i="54"/>
  <c r="BZR92" i="54"/>
  <c r="BZP92" i="54"/>
  <c r="BZN92" i="54"/>
  <c r="BZL92" i="54"/>
  <c r="BZJ92" i="54"/>
  <c r="BZH92" i="54"/>
  <c r="BZF92" i="54"/>
  <c r="BZD92" i="54"/>
  <c r="BZB92" i="54"/>
  <c r="BYZ92" i="54"/>
  <c r="BYX92" i="54"/>
  <c r="BYV92" i="54"/>
  <c r="BYT92" i="54"/>
  <c r="BYR92" i="54"/>
  <c r="BYP92" i="54"/>
  <c r="BYN92" i="54"/>
  <c r="BYL92" i="54"/>
  <c r="BYJ92" i="54"/>
  <c r="BYH92" i="54"/>
  <c r="BYF92" i="54"/>
  <c r="BYD92" i="54"/>
  <c r="BYB92" i="54"/>
  <c r="BXZ92" i="54"/>
  <c r="BXX92" i="54"/>
  <c r="BXV92" i="54"/>
  <c r="BXT92" i="54"/>
  <c r="BXR92" i="54"/>
  <c r="BXP92" i="54"/>
  <c r="BXN92" i="54"/>
  <c r="BXL92" i="54"/>
  <c r="BXJ92" i="54"/>
  <c r="BXH92" i="54"/>
  <c r="BXF92" i="54"/>
  <c r="BXD92" i="54"/>
  <c r="BXB92" i="54"/>
  <c r="BWZ92" i="54"/>
  <c r="BWX92" i="54"/>
  <c r="BWV92" i="54"/>
  <c r="BWT92" i="54"/>
  <c r="BWR92" i="54"/>
  <c r="BWP92" i="54"/>
  <c r="BWN92" i="54"/>
  <c r="BWL92" i="54"/>
  <c r="BWJ92" i="54"/>
  <c r="BWH92" i="54"/>
  <c r="BWF92" i="54"/>
  <c r="BWD92" i="54"/>
  <c r="BWB92" i="54"/>
  <c r="BVZ92" i="54"/>
  <c r="BVX92" i="54"/>
  <c r="BVV92" i="54"/>
  <c r="BVT92" i="54"/>
  <c r="BVR92" i="54"/>
  <c r="BVP92" i="54"/>
  <c r="BVN92" i="54"/>
  <c r="BVL92" i="54"/>
  <c r="BVJ92" i="54"/>
  <c r="BVH92" i="54"/>
  <c r="BVF92" i="54"/>
  <c r="BVD92" i="54"/>
  <c r="BVB92" i="54"/>
  <c r="BUZ92" i="54"/>
  <c r="BUX92" i="54"/>
  <c r="BUV92" i="54"/>
  <c r="BUT92" i="54"/>
  <c r="BUR92" i="54"/>
  <c r="BUP92" i="54"/>
  <c r="BUN92" i="54"/>
  <c r="BUL92" i="54"/>
  <c r="BUJ92" i="54"/>
  <c r="BUH92" i="54"/>
  <c r="BUF92" i="54"/>
  <c r="BUD92" i="54"/>
  <c r="BUB92" i="54"/>
  <c r="BTZ92" i="54"/>
  <c r="BTX92" i="54"/>
  <c r="BTV92" i="54"/>
  <c r="BTT92" i="54"/>
  <c r="BTR92" i="54"/>
  <c r="BTP92" i="54"/>
  <c r="BTN92" i="54"/>
  <c r="BTL92" i="54"/>
  <c r="BTJ92" i="54"/>
  <c r="BTH92" i="54"/>
  <c r="BTF92" i="54"/>
  <c r="BTD92" i="54"/>
  <c r="BTB92" i="54"/>
  <c r="BSZ92" i="54"/>
  <c r="BSX92" i="54"/>
  <c r="BSV92" i="54"/>
  <c r="BST92" i="54"/>
  <c r="BSR92" i="54"/>
  <c r="BSP92" i="54"/>
  <c r="BSN92" i="54"/>
  <c r="BSL92" i="54"/>
  <c r="BSJ92" i="54"/>
  <c r="BSH92" i="54"/>
  <c r="BSF92" i="54"/>
  <c r="BSD92" i="54"/>
  <c r="BSB92" i="54"/>
  <c r="BRZ92" i="54"/>
  <c r="BRX92" i="54"/>
  <c r="BRV92" i="54"/>
  <c r="BRT92" i="54"/>
  <c r="BRR92" i="54"/>
  <c r="BRP92" i="54"/>
  <c r="BRN92" i="54"/>
  <c r="BRL92" i="54"/>
  <c r="BRJ92" i="54"/>
  <c r="BRH92" i="54"/>
  <c r="BRF92" i="54"/>
  <c r="BRD92" i="54"/>
  <c r="BRB92" i="54"/>
  <c r="BQZ92" i="54"/>
  <c r="BQX92" i="54"/>
  <c r="BQV92" i="54"/>
  <c r="BQT92" i="54"/>
  <c r="BQR92" i="54"/>
  <c r="BQP92" i="54"/>
  <c r="BQN92" i="54"/>
  <c r="BQL92" i="54"/>
  <c r="BQJ92" i="54"/>
  <c r="BQH92" i="54"/>
  <c r="BQF92" i="54"/>
  <c r="BQD92" i="54"/>
  <c r="BQB92" i="54"/>
  <c r="BPZ92" i="54"/>
  <c r="BPX92" i="54"/>
  <c r="BPV92" i="54"/>
  <c r="BPT92" i="54"/>
  <c r="BPR92" i="54"/>
  <c r="BPP92" i="54"/>
  <c r="BPN92" i="54"/>
  <c r="BPL92" i="54"/>
  <c r="BPJ92" i="54"/>
  <c r="BPH92" i="54"/>
  <c r="BPF92" i="54"/>
  <c r="BPD92" i="54"/>
  <c r="BPB92" i="54"/>
  <c r="BOZ92" i="54"/>
  <c r="BOX92" i="54"/>
  <c r="BOV92" i="54"/>
  <c r="BOT92" i="54"/>
  <c r="BOR92" i="54"/>
  <c r="BOP92" i="54"/>
  <c r="BON92" i="54"/>
  <c r="BOL92" i="54"/>
  <c r="BOJ92" i="54"/>
  <c r="BOH92" i="54"/>
  <c r="BOF92" i="54"/>
  <c r="BOD92" i="54"/>
  <c r="BOB92" i="54"/>
  <c r="BNZ92" i="54"/>
  <c r="BNX92" i="54"/>
  <c r="BNV92" i="54"/>
  <c r="BNT92" i="54"/>
  <c r="BNR92" i="54"/>
  <c r="BNP92" i="54"/>
  <c r="BNN92" i="54"/>
  <c r="BNL92" i="54"/>
  <c r="BNJ92" i="54"/>
  <c r="BNH92" i="54"/>
  <c r="BNF92" i="54"/>
  <c r="BND92" i="54"/>
  <c r="BNB92" i="54"/>
  <c r="BMZ92" i="54"/>
  <c r="BMX92" i="54"/>
  <c r="BMV92" i="54"/>
  <c r="BMT92" i="54"/>
  <c r="BMR92" i="54"/>
  <c r="BMP92" i="54"/>
  <c r="BMN92" i="54"/>
  <c r="BML92" i="54"/>
  <c r="BMJ92" i="54"/>
  <c r="BMH92" i="54"/>
  <c r="BMF92" i="54"/>
  <c r="BMD92" i="54"/>
  <c r="BMB92" i="54"/>
  <c r="BLZ92" i="54"/>
  <c r="BLX92" i="54"/>
  <c r="BLV92" i="54"/>
  <c r="BLT92" i="54"/>
  <c r="BLR92" i="54"/>
  <c r="BLP92" i="54"/>
  <c r="BLN92" i="54"/>
  <c r="BLL92" i="54"/>
  <c r="BLJ92" i="54"/>
  <c r="BLH92" i="54"/>
  <c r="BLF92" i="54"/>
  <c r="BLD92" i="54"/>
  <c r="BLB92" i="54"/>
  <c r="BKZ92" i="54"/>
  <c r="BKX92" i="54"/>
  <c r="BKV92" i="54"/>
  <c r="BKT92" i="54"/>
  <c r="BKR92" i="54"/>
  <c r="BKP92" i="54"/>
  <c r="BKN92" i="54"/>
  <c r="BKL92" i="54"/>
  <c r="BKJ92" i="54"/>
  <c r="BKH92" i="54"/>
  <c r="BKF92" i="54"/>
  <c r="BKD92" i="54"/>
  <c r="BKB92" i="54"/>
  <c r="BJZ92" i="54"/>
  <c r="BJX92" i="54"/>
  <c r="BJV92" i="54"/>
  <c r="BJT92" i="54"/>
  <c r="BJR92" i="54"/>
  <c r="BJP92" i="54"/>
  <c r="BJN92" i="54"/>
  <c r="BJL92" i="54"/>
  <c r="BJJ92" i="54"/>
  <c r="BJH92" i="54"/>
  <c r="BJF92" i="54"/>
  <c r="BJD92" i="54"/>
  <c r="BJB92" i="54"/>
  <c r="BIZ92" i="54"/>
  <c r="BIX92" i="54"/>
  <c r="BIV92" i="54"/>
  <c r="BIT92" i="54"/>
  <c r="BIR92" i="54"/>
  <c r="BIP92" i="54"/>
  <c r="BIN92" i="54"/>
  <c r="BIL92" i="54"/>
  <c r="BIJ92" i="54"/>
  <c r="BIH92" i="54"/>
  <c r="BIF92" i="54"/>
  <c r="BID92" i="54"/>
  <c r="BIB92" i="54"/>
  <c r="BHZ92" i="54"/>
  <c r="BHX92" i="54"/>
  <c r="BHV92" i="54"/>
  <c r="BHT92" i="54"/>
  <c r="BHR92" i="54"/>
  <c r="BHP92" i="54"/>
  <c r="BHN92" i="54"/>
  <c r="BHL92" i="54"/>
  <c r="BHJ92" i="54"/>
  <c r="BHH92" i="54"/>
  <c r="BHF92" i="54"/>
  <c r="BHD92" i="54"/>
  <c r="BHB92" i="54"/>
  <c r="BGZ92" i="54"/>
  <c r="BGX92" i="54"/>
  <c r="BGV92" i="54"/>
  <c r="BGT92" i="54"/>
  <c r="BGR92" i="54"/>
  <c r="BGP92" i="54"/>
  <c r="BGN92" i="54"/>
  <c r="BGL92" i="54"/>
  <c r="BGJ92" i="54"/>
  <c r="BGH92" i="54"/>
  <c r="BGF92" i="54"/>
  <c r="BGD92" i="54"/>
  <c r="BGB92" i="54"/>
  <c r="BFZ92" i="54"/>
  <c r="BFX92" i="54"/>
  <c r="BFV92" i="54"/>
  <c r="BFT92" i="54"/>
  <c r="BFR92" i="54"/>
  <c r="BFP92" i="54"/>
  <c r="BFN92" i="54"/>
  <c r="BFL92" i="54"/>
  <c r="BFJ92" i="54"/>
  <c r="BFH92" i="54"/>
  <c r="BFF92" i="54"/>
  <c r="BFD92" i="54"/>
  <c r="BFB92" i="54"/>
  <c r="BEZ92" i="54"/>
  <c r="BEX92" i="54"/>
  <c r="BEV92" i="54"/>
  <c r="BET92" i="54"/>
  <c r="BER92" i="54"/>
  <c r="BEP92" i="54"/>
  <c r="BEN92" i="54"/>
  <c r="BEL92" i="54"/>
  <c r="BEJ92" i="54"/>
  <c r="BEH92" i="54"/>
  <c r="BEF92" i="54"/>
  <c r="BED92" i="54"/>
  <c r="BEB92" i="54"/>
  <c r="BDZ92" i="54"/>
  <c r="BDX92" i="54"/>
  <c r="BDV92" i="54"/>
  <c r="BDT92" i="54"/>
  <c r="BDR92" i="54"/>
  <c r="BDP92" i="54"/>
  <c r="BDN92" i="54"/>
  <c r="BDL92" i="54"/>
  <c r="BDJ92" i="54"/>
  <c r="BDH92" i="54"/>
  <c r="BDF92" i="54"/>
  <c r="BDD92" i="54"/>
  <c r="BDB92" i="54"/>
  <c r="BCZ92" i="54"/>
  <c r="BCX92" i="54"/>
  <c r="BCV92" i="54"/>
  <c r="BCT92" i="54"/>
  <c r="BCR92" i="54"/>
  <c r="BCP92" i="54"/>
  <c r="BCN92" i="54"/>
  <c r="BCL92" i="54"/>
  <c r="BCJ92" i="54"/>
  <c r="BCH92" i="54"/>
  <c r="BCF92" i="54"/>
  <c r="BCD92" i="54"/>
  <c r="BCB92" i="54"/>
  <c r="BBZ92" i="54"/>
  <c r="BBX92" i="54"/>
  <c r="BBV92" i="54"/>
  <c r="BBT92" i="54"/>
  <c r="BBR92" i="54"/>
  <c r="BBP92" i="54"/>
  <c r="BBN92" i="54"/>
  <c r="BBL92" i="54"/>
  <c r="BBJ92" i="54"/>
  <c r="BBH92" i="54"/>
  <c r="BBF92" i="54"/>
  <c r="BBD92" i="54"/>
  <c r="BBB92" i="54"/>
  <c r="BAZ92" i="54"/>
  <c r="BAX92" i="54"/>
  <c r="BAV92" i="54"/>
  <c r="BAT92" i="54"/>
  <c r="BAR92" i="54"/>
  <c r="BAP92" i="54"/>
  <c r="BAN92" i="54"/>
  <c r="BAL92" i="54"/>
  <c r="BAJ92" i="54"/>
  <c r="BAH92" i="54"/>
  <c r="BAF92" i="54"/>
  <c r="BAD92" i="54"/>
  <c r="BAB92" i="54"/>
  <c r="AZZ92" i="54"/>
  <c r="AZX92" i="54"/>
  <c r="AZV92" i="54"/>
  <c r="AZT92" i="54"/>
  <c r="AZR92" i="54"/>
  <c r="AZP92" i="54"/>
  <c r="AZN92" i="54"/>
  <c r="AZL92" i="54"/>
  <c r="AZJ92" i="54"/>
  <c r="AZH92" i="54"/>
  <c r="AZF92" i="54"/>
  <c r="AZD92" i="54"/>
  <c r="AZB92" i="54"/>
  <c r="AYZ92" i="54"/>
  <c r="AYX92" i="54"/>
  <c r="AYV92" i="54"/>
  <c r="AYT92" i="54"/>
  <c r="AYR92" i="54"/>
  <c r="AYP92" i="54"/>
  <c r="AYN92" i="54"/>
  <c r="AYL92" i="54"/>
  <c r="AYJ92" i="54"/>
  <c r="AYH92" i="54"/>
  <c r="AYF92" i="54"/>
  <c r="AYD92" i="54"/>
  <c r="AYB92" i="54"/>
  <c r="AXZ92" i="54"/>
  <c r="AXX92" i="54"/>
  <c r="AXV92" i="54"/>
  <c r="AXT92" i="54"/>
  <c r="AXR92" i="54"/>
  <c r="AXP92" i="54"/>
  <c r="AXN92" i="54"/>
  <c r="AXL92" i="54"/>
  <c r="AXJ92" i="54"/>
  <c r="AXH92" i="54"/>
  <c r="AXF92" i="54"/>
  <c r="AXD92" i="54"/>
  <c r="AXB92" i="54"/>
  <c r="AWZ92" i="54"/>
  <c r="AWX92" i="54"/>
  <c r="AWV92" i="54"/>
  <c r="AWT92" i="54"/>
  <c r="AWR92" i="54"/>
  <c r="AWP92" i="54"/>
  <c r="AWN92" i="54"/>
  <c r="AWL92" i="54"/>
  <c r="AWJ92" i="54"/>
  <c r="AWH92" i="54"/>
  <c r="AWF92" i="54"/>
  <c r="AWD92" i="54"/>
  <c r="AWB92" i="54"/>
  <c r="AVZ92" i="54"/>
  <c r="AVX92" i="54"/>
  <c r="AVV92" i="54"/>
  <c r="AVT92" i="54"/>
  <c r="AVR92" i="54"/>
  <c r="AVP92" i="54"/>
  <c r="AVN92" i="54"/>
  <c r="AVL92" i="54"/>
  <c r="AVJ92" i="54"/>
  <c r="AVH92" i="54"/>
  <c r="AVF92" i="54"/>
  <c r="AVD92" i="54"/>
  <c r="AVB92" i="54"/>
  <c r="AUZ92" i="54"/>
  <c r="AUX92" i="54"/>
  <c r="AUV92" i="54"/>
  <c r="AUT92" i="54"/>
  <c r="AUR92" i="54"/>
  <c r="AUP92" i="54"/>
  <c r="AUN92" i="54"/>
  <c r="AUL92" i="54"/>
  <c r="AUJ92" i="54"/>
  <c r="AUH92" i="54"/>
  <c r="AUF92" i="54"/>
  <c r="AUD92" i="54"/>
  <c r="AUB92" i="54"/>
  <c r="ATZ92" i="54"/>
  <c r="ATX92" i="54"/>
  <c r="ATV92" i="54"/>
  <c r="ATT92" i="54"/>
  <c r="ATR92" i="54"/>
  <c r="ATP92" i="54"/>
  <c r="ATN92" i="54"/>
  <c r="ATL92" i="54"/>
  <c r="ATJ92" i="54"/>
  <c r="ATH92" i="54"/>
  <c r="ATF92" i="54"/>
  <c r="ATD92" i="54"/>
  <c r="ATB92" i="54"/>
  <c r="ASZ92" i="54"/>
  <c r="ASX92" i="54"/>
  <c r="ASV92" i="54"/>
  <c r="AST92" i="54"/>
  <c r="ASR92" i="54"/>
  <c r="ASP92" i="54"/>
  <c r="ASN92" i="54"/>
  <c r="ASL92" i="54"/>
  <c r="ASJ92" i="54"/>
  <c r="ASH92" i="54"/>
  <c r="ASF92" i="54"/>
  <c r="ASD92" i="54"/>
  <c r="ASB92" i="54"/>
  <c r="ARZ92" i="54"/>
  <c r="ARX92" i="54"/>
  <c r="ARV92" i="54"/>
  <c r="ART92" i="54"/>
  <c r="ARR92" i="54"/>
  <c r="ARP92" i="54"/>
  <c r="ARN92" i="54"/>
  <c r="ARL92" i="54"/>
  <c r="ARJ92" i="54"/>
  <c r="ARH92" i="54"/>
  <c r="ARF92" i="54"/>
  <c r="ARD92" i="54"/>
  <c r="ARB92" i="54"/>
  <c r="AQZ92" i="54"/>
  <c r="AQX92" i="54"/>
  <c r="AQV92" i="54"/>
  <c r="AQT92" i="54"/>
  <c r="AQR92" i="54"/>
  <c r="AQP92" i="54"/>
  <c r="AQN92" i="54"/>
  <c r="AQL92" i="54"/>
  <c r="AQJ92" i="54"/>
  <c r="AQH92" i="54"/>
  <c r="AQF92" i="54"/>
  <c r="AQD92" i="54"/>
  <c r="AQB92" i="54"/>
  <c r="APZ92" i="54"/>
  <c r="APX92" i="54"/>
  <c r="APV92" i="54"/>
  <c r="APT92" i="54"/>
  <c r="APR92" i="54"/>
  <c r="APP92" i="54"/>
  <c r="APN92" i="54"/>
  <c r="APL92" i="54"/>
  <c r="APJ92" i="54"/>
  <c r="APH92" i="54"/>
  <c r="APF92" i="54"/>
  <c r="APD92" i="54"/>
  <c r="APB92" i="54"/>
  <c r="AOZ92" i="54"/>
  <c r="AOX92" i="54"/>
  <c r="AOV92" i="54"/>
  <c r="AOT92" i="54"/>
  <c r="AOR92" i="54"/>
  <c r="AOP92" i="54"/>
  <c r="AON92" i="54"/>
  <c r="AOL92" i="54"/>
  <c r="AOJ92" i="54"/>
  <c r="AOH92" i="54"/>
  <c r="AOF92" i="54"/>
  <c r="AOD92" i="54"/>
  <c r="AOB92" i="54"/>
  <c r="ANZ92" i="54"/>
  <c r="ANX92" i="54"/>
  <c r="ANV92" i="54"/>
  <c r="ANT92" i="54"/>
  <c r="ANR92" i="54"/>
  <c r="ANP92" i="54"/>
  <c r="ANN92" i="54"/>
  <c r="ANL92" i="54"/>
  <c r="ANJ92" i="54"/>
  <c r="ANH92" i="54"/>
  <c r="ANF92" i="54"/>
  <c r="AND92" i="54"/>
  <c r="ANB92" i="54"/>
  <c r="AMZ92" i="54"/>
  <c r="AMX92" i="54"/>
  <c r="AMV92" i="54"/>
  <c r="AMT92" i="54"/>
  <c r="AMR92" i="54"/>
  <c r="AMP92" i="54"/>
  <c r="AMN92" i="54"/>
  <c r="AML92" i="54"/>
  <c r="AMJ92" i="54"/>
  <c r="AMH92" i="54"/>
  <c r="AMF92" i="54"/>
  <c r="AMD92" i="54"/>
  <c r="AMB92" i="54"/>
  <c r="ALZ92" i="54"/>
  <c r="ALX92" i="54"/>
  <c r="ALV92" i="54"/>
  <c r="ALT92" i="54"/>
  <c r="ALR92" i="54"/>
  <c r="ALP92" i="54"/>
  <c r="ALN92" i="54"/>
  <c r="ALL92" i="54"/>
  <c r="ALJ92" i="54"/>
  <c r="ALH92" i="54"/>
  <c r="ALF92" i="54"/>
  <c r="ALD92" i="54"/>
  <c r="ALB92" i="54"/>
  <c r="AKZ92" i="54"/>
  <c r="AKX92" i="54"/>
  <c r="AKV92" i="54"/>
  <c r="AKT92" i="54"/>
  <c r="AKR92" i="54"/>
  <c r="AKP92" i="54"/>
  <c r="AKN92" i="54"/>
  <c r="AKL92" i="54"/>
  <c r="AKJ92" i="54"/>
  <c r="AKH92" i="54"/>
  <c r="AKF92" i="54"/>
  <c r="AKD92" i="54"/>
  <c r="AKB92" i="54"/>
  <c r="AJZ92" i="54"/>
  <c r="AJX92" i="54"/>
  <c r="AJV92" i="54"/>
  <c r="AJT92" i="54"/>
  <c r="AJR92" i="54"/>
  <c r="AJP92" i="54"/>
  <c r="AJN92" i="54"/>
  <c r="AJL92" i="54"/>
  <c r="AJJ92" i="54"/>
  <c r="AJH92" i="54"/>
  <c r="AJF92" i="54"/>
  <c r="AJD92" i="54"/>
  <c r="AJB92" i="54"/>
  <c r="AIZ92" i="54"/>
  <c r="AIX92" i="54"/>
  <c r="AIV92" i="54"/>
  <c r="AIT92" i="54"/>
  <c r="AIR92" i="54"/>
  <c r="AIP92" i="54"/>
  <c r="AIN92" i="54"/>
  <c r="AIL92" i="54"/>
  <c r="AIJ92" i="54"/>
  <c r="AIH92" i="54"/>
  <c r="AIF92" i="54"/>
  <c r="AID92" i="54"/>
  <c r="AIB92" i="54"/>
  <c r="AHZ92" i="54"/>
  <c r="AHX92" i="54"/>
  <c r="AHV92" i="54"/>
  <c r="AHT92" i="54"/>
  <c r="AHR92" i="54"/>
  <c r="AHP92" i="54"/>
  <c r="AHN92" i="54"/>
  <c r="AHL92" i="54"/>
  <c r="AHJ92" i="54"/>
  <c r="AHH92" i="54"/>
  <c r="AHF92" i="54"/>
  <c r="AHD92" i="54"/>
  <c r="AHB92" i="54"/>
  <c r="AGZ92" i="54"/>
  <c r="AGX92" i="54"/>
  <c r="AGV92" i="54"/>
  <c r="AGT92" i="54"/>
  <c r="AGR92" i="54"/>
  <c r="AGP92" i="54"/>
  <c r="AGN92" i="54"/>
  <c r="AGL92" i="54"/>
  <c r="AGJ92" i="54"/>
  <c r="AGH92" i="54"/>
  <c r="AGF92" i="54"/>
  <c r="AGD92" i="54"/>
  <c r="AGB92" i="54"/>
  <c r="AFZ92" i="54"/>
  <c r="AFX92" i="54"/>
  <c r="AFV92" i="54"/>
  <c r="AFT92" i="54"/>
  <c r="AFR92" i="54"/>
  <c r="AFP92" i="54"/>
  <c r="AFN92" i="54"/>
  <c r="AFL92" i="54"/>
  <c r="AFJ92" i="54"/>
  <c r="AFH92" i="54"/>
  <c r="AFF92" i="54"/>
  <c r="AFD92" i="54"/>
  <c r="AFB92" i="54"/>
  <c r="AEZ92" i="54"/>
  <c r="AEX92" i="54"/>
  <c r="AEV92" i="54"/>
  <c r="AET92" i="54"/>
  <c r="AER92" i="54"/>
  <c r="AEP92" i="54"/>
  <c r="AEN92" i="54"/>
  <c r="AEL92" i="54"/>
  <c r="AEJ92" i="54"/>
  <c r="AEH92" i="54"/>
  <c r="AEF92" i="54"/>
  <c r="AED92" i="54"/>
  <c r="AEB92" i="54"/>
  <c r="ADZ92" i="54"/>
  <c r="ADX92" i="54"/>
  <c r="ADV92" i="54"/>
  <c r="ADT92" i="54"/>
  <c r="ADR92" i="54"/>
  <c r="ADP92" i="54"/>
  <c r="ADN92" i="54"/>
  <c r="ADL92" i="54"/>
  <c r="ADJ92" i="54"/>
  <c r="ADH92" i="54"/>
  <c r="ADF92" i="54"/>
  <c r="ADD92" i="54"/>
  <c r="ADB92" i="54"/>
  <c r="ACZ92" i="54"/>
  <c r="ACX92" i="54"/>
  <c r="ACV92" i="54"/>
  <c r="ACT92" i="54"/>
  <c r="ACR92" i="54"/>
  <c r="ACP92" i="54"/>
  <c r="ACN92" i="54"/>
  <c r="ACL92" i="54"/>
  <c r="ACJ92" i="54"/>
  <c r="ACH92" i="54"/>
  <c r="ACF92" i="54"/>
  <c r="ACD92" i="54"/>
  <c r="ACB92" i="54"/>
  <c r="ABZ92" i="54"/>
  <c r="ABX92" i="54"/>
  <c r="ABV92" i="54"/>
  <c r="ABT92" i="54"/>
  <c r="ABR92" i="54"/>
  <c r="ABP92" i="54"/>
  <c r="ABN92" i="54"/>
  <c r="ABL92" i="54"/>
  <c r="ABJ92" i="54"/>
  <c r="ABH92" i="54"/>
  <c r="ABF92" i="54"/>
  <c r="ABD92" i="54"/>
  <c r="ABB92" i="54"/>
  <c r="AAZ92" i="54"/>
  <c r="AAX92" i="54"/>
  <c r="AAV92" i="54"/>
  <c r="AAT92" i="54"/>
  <c r="AAR92" i="54"/>
  <c r="AAP92" i="54"/>
  <c r="AAN92" i="54"/>
  <c r="AAL92" i="54"/>
  <c r="AAJ92" i="54"/>
  <c r="AAH92" i="54"/>
  <c r="AAF92" i="54"/>
  <c r="AAD92" i="54"/>
  <c r="AAB92" i="54"/>
  <c r="ZZ92" i="54"/>
  <c r="ZX92" i="54"/>
  <c r="ZV92" i="54"/>
  <c r="ZT92" i="54"/>
  <c r="ZR92" i="54"/>
  <c r="ZP92" i="54"/>
  <c r="ZN92" i="54"/>
  <c r="ZL92" i="54"/>
  <c r="ZJ92" i="54"/>
  <c r="ZH92" i="54"/>
  <c r="ZF92" i="54"/>
  <c r="ZD92" i="54"/>
  <c r="ZB92" i="54"/>
  <c r="YZ92" i="54"/>
  <c r="YX92" i="54"/>
  <c r="YV92" i="54"/>
  <c r="YT92" i="54"/>
  <c r="YR92" i="54"/>
  <c r="YP92" i="54"/>
  <c r="YN92" i="54"/>
  <c r="YL92" i="54"/>
  <c r="YJ92" i="54"/>
  <c r="YH92" i="54"/>
  <c r="YF92" i="54"/>
  <c r="YD92" i="54"/>
  <c r="YB92" i="54"/>
  <c r="XZ92" i="54"/>
  <c r="XX92" i="54"/>
  <c r="XV92" i="54"/>
  <c r="XT92" i="54"/>
  <c r="XR92" i="54"/>
  <c r="XP92" i="54"/>
  <c r="XN92" i="54"/>
  <c r="XL92" i="54"/>
  <c r="XJ92" i="54"/>
  <c r="XH92" i="54"/>
  <c r="XF92" i="54"/>
  <c r="XD92" i="54"/>
  <c r="XB92" i="54"/>
  <c r="WZ92" i="54"/>
  <c r="WX92" i="54"/>
  <c r="WV92" i="54"/>
  <c r="WT92" i="54"/>
  <c r="WR92" i="54"/>
  <c r="WP92" i="54"/>
  <c r="WN92" i="54"/>
  <c r="WL92" i="54"/>
  <c r="WJ92" i="54"/>
  <c r="WH92" i="54"/>
  <c r="WF92" i="54"/>
  <c r="WD92" i="54"/>
  <c r="WB92" i="54"/>
  <c r="VZ92" i="54"/>
  <c r="VX92" i="54"/>
  <c r="VV92" i="54"/>
  <c r="VT92" i="54"/>
  <c r="VR92" i="54"/>
  <c r="VP92" i="54"/>
  <c r="VN92" i="54"/>
  <c r="VL92" i="54"/>
  <c r="VJ92" i="54"/>
  <c r="VH92" i="54"/>
  <c r="VF92" i="54"/>
  <c r="VD92" i="54"/>
  <c r="VB92" i="54"/>
  <c r="UZ92" i="54"/>
  <c r="UX92" i="54"/>
  <c r="UV92" i="54"/>
  <c r="UT92" i="54"/>
  <c r="UR92" i="54"/>
  <c r="UP92" i="54"/>
  <c r="UN92" i="54"/>
  <c r="UL92" i="54"/>
  <c r="UJ92" i="54"/>
  <c r="UH92" i="54"/>
  <c r="UF92" i="54"/>
  <c r="UD92" i="54"/>
  <c r="UB92" i="54"/>
  <c r="TZ92" i="54"/>
  <c r="TX92" i="54"/>
  <c r="TV92" i="54"/>
  <c r="TT92" i="54"/>
  <c r="TR92" i="54"/>
  <c r="TP92" i="54"/>
  <c r="TN92" i="54"/>
  <c r="TL92" i="54"/>
  <c r="TJ92" i="54"/>
  <c r="TH92" i="54"/>
  <c r="TF92" i="54"/>
  <c r="TD92" i="54"/>
  <c r="TB92" i="54"/>
  <c r="SZ92" i="54"/>
  <c r="SX92" i="54"/>
  <c r="SV92" i="54"/>
  <c r="ST92" i="54"/>
  <c r="SR92" i="54"/>
  <c r="SP92" i="54"/>
  <c r="SN92" i="54"/>
  <c r="SL92" i="54"/>
  <c r="SJ92" i="54"/>
  <c r="SH92" i="54"/>
  <c r="SF92" i="54"/>
  <c r="SD92" i="54"/>
  <c r="SB92" i="54"/>
  <c r="RZ92" i="54"/>
  <c r="RX92" i="54"/>
  <c r="RV92" i="54"/>
  <c r="RT92" i="54"/>
  <c r="RR92" i="54"/>
  <c r="RP92" i="54"/>
  <c r="RN92" i="54"/>
  <c r="RL92" i="54"/>
  <c r="RJ92" i="54"/>
  <c r="RH92" i="54"/>
  <c r="RF92" i="54"/>
  <c r="RD92" i="54"/>
  <c r="RB92" i="54"/>
  <c r="QZ92" i="54"/>
  <c r="QX92" i="54"/>
  <c r="QV92" i="54"/>
  <c r="QT92" i="54"/>
  <c r="QR92" i="54"/>
  <c r="QP92" i="54"/>
  <c r="QN92" i="54"/>
  <c r="QL92" i="54"/>
  <c r="QJ92" i="54"/>
  <c r="QH92" i="54"/>
  <c r="QF92" i="54"/>
  <c r="QD92" i="54"/>
  <c r="QB92" i="54"/>
  <c r="PZ92" i="54"/>
  <c r="PX92" i="54"/>
  <c r="PV92" i="54"/>
  <c r="PT92" i="54"/>
  <c r="PR92" i="54"/>
  <c r="PP92" i="54"/>
  <c r="PN92" i="54"/>
  <c r="PL92" i="54"/>
  <c r="PJ92" i="54"/>
  <c r="PH92" i="54"/>
  <c r="PF92" i="54"/>
  <c r="PD92" i="54"/>
  <c r="PB92" i="54"/>
  <c r="OZ92" i="54"/>
  <c r="OX92" i="54"/>
  <c r="OV92" i="54"/>
  <c r="OT92" i="54"/>
  <c r="OR92" i="54"/>
  <c r="OP92" i="54"/>
  <c r="ON92" i="54"/>
  <c r="OL92" i="54"/>
  <c r="OJ92" i="54"/>
  <c r="OH92" i="54"/>
  <c r="OF92" i="54"/>
  <c r="OD92" i="54"/>
  <c r="OB92" i="54"/>
  <c r="NZ92" i="54"/>
  <c r="NX92" i="54"/>
  <c r="NV92" i="54"/>
  <c r="NT92" i="54"/>
  <c r="NR92" i="54"/>
  <c r="NP92" i="54"/>
  <c r="NN92" i="54"/>
  <c r="NL92" i="54"/>
  <c r="NJ92" i="54"/>
  <c r="NH92" i="54"/>
  <c r="NF92" i="54"/>
  <c r="ND92" i="54"/>
  <c r="NB92" i="54"/>
  <c r="MZ92" i="54"/>
  <c r="MX92" i="54"/>
  <c r="MV92" i="54"/>
  <c r="MT92" i="54"/>
  <c r="MR92" i="54"/>
  <c r="MP92" i="54"/>
  <c r="MN92" i="54"/>
  <c r="ML92" i="54"/>
  <c r="MJ92" i="54"/>
  <c r="MH92" i="54"/>
  <c r="MF92" i="54"/>
  <c r="MD92" i="54"/>
  <c r="MB92" i="54"/>
  <c r="LZ92" i="54"/>
  <c r="LX92" i="54"/>
  <c r="LV92" i="54"/>
  <c r="LT92" i="54"/>
  <c r="LR92" i="54"/>
  <c r="LP92" i="54"/>
  <c r="LN92" i="54"/>
  <c r="LL92" i="54"/>
  <c r="LJ92" i="54"/>
  <c r="LH92" i="54"/>
  <c r="LF92" i="54"/>
  <c r="LD92" i="54"/>
  <c r="LB92" i="54"/>
  <c r="KZ92" i="54"/>
  <c r="KX92" i="54"/>
  <c r="KV92" i="54"/>
  <c r="KT92" i="54"/>
  <c r="KR92" i="54"/>
  <c r="KP92" i="54"/>
  <c r="KN92" i="54"/>
  <c r="KL92" i="54"/>
  <c r="KJ92" i="54"/>
  <c r="KH92" i="54"/>
  <c r="KF92" i="54"/>
  <c r="KD92" i="54"/>
  <c r="KB92" i="54"/>
  <c r="JZ92" i="54"/>
  <c r="JX92" i="54"/>
  <c r="JV92" i="54"/>
  <c r="JT92" i="54"/>
  <c r="JR92" i="54"/>
  <c r="JP92" i="54"/>
  <c r="JN92" i="54"/>
  <c r="JL92" i="54"/>
  <c r="JJ92" i="54"/>
  <c r="JH92" i="54"/>
  <c r="JF92" i="54"/>
  <c r="JD92" i="54"/>
  <c r="JB92" i="54"/>
  <c r="IZ92" i="54"/>
  <c r="IX92" i="54"/>
  <c r="IV92" i="54"/>
  <c r="IT92" i="54"/>
  <c r="IR92" i="54"/>
  <c r="IP92" i="54"/>
  <c r="IN92" i="54"/>
  <c r="IL92" i="54"/>
  <c r="IJ92" i="54"/>
  <c r="IH92" i="54"/>
  <c r="IF92" i="54"/>
  <c r="ID92" i="54"/>
  <c r="IB92" i="54"/>
  <c r="HZ92" i="54"/>
  <c r="HX92" i="54"/>
  <c r="HV92" i="54"/>
  <c r="HT92" i="54"/>
  <c r="HR92" i="54"/>
  <c r="HP92" i="54"/>
  <c r="HN92" i="54"/>
  <c r="HL92" i="54"/>
  <c r="HJ92" i="54"/>
  <c r="HH92" i="54"/>
  <c r="HF92" i="54"/>
  <c r="HD92" i="54"/>
  <c r="HB92" i="54"/>
  <c r="GZ92" i="54"/>
  <c r="GX92" i="54"/>
  <c r="GV92" i="54"/>
  <c r="GT92" i="54"/>
  <c r="GR92" i="54"/>
  <c r="GP92" i="54"/>
  <c r="GN92" i="54"/>
  <c r="GL92" i="54"/>
  <c r="GJ92" i="54"/>
  <c r="GH92" i="54"/>
  <c r="GF92" i="54"/>
  <c r="GD92" i="54"/>
  <c r="GB92" i="54"/>
  <c r="FZ92" i="54"/>
  <c r="FX92" i="54"/>
  <c r="FV92" i="54"/>
  <c r="FT92" i="54"/>
  <c r="FR92" i="54"/>
  <c r="FP92" i="54"/>
  <c r="FN92" i="54"/>
  <c r="FL92" i="54"/>
  <c r="FJ92" i="54"/>
  <c r="FH92" i="54"/>
  <c r="FF92" i="54"/>
  <c r="FD92" i="54"/>
  <c r="FB92" i="54"/>
  <c r="EZ92" i="54"/>
  <c r="EX92" i="54"/>
  <c r="EV92" i="54"/>
  <c r="ET92" i="54"/>
  <c r="ER92" i="54"/>
  <c r="EP92" i="54"/>
  <c r="EN92" i="54"/>
  <c r="EL92" i="54"/>
  <c r="EJ92" i="54"/>
  <c r="EH92" i="54"/>
  <c r="EF92" i="54"/>
  <c r="ED92" i="54"/>
  <c r="EB92" i="54"/>
  <c r="DZ92" i="54"/>
  <c r="DX92" i="54"/>
  <c r="DV92" i="54"/>
  <c r="DT92" i="54"/>
  <c r="DR92" i="54"/>
  <c r="DP92" i="54"/>
  <c r="DN92" i="54"/>
  <c r="DL92" i="54"/>
  <c r="DJ92" i="54"/>
  <c r="DH92" i="54"/>
  <c r="DF92" i="54"/>
  <c r="DD92" i="54"/>
  <c r="DB92" i="54"/>
  <c r="CZ92" i="54"/>
  <c r="CX92" i="54"/>
  <c r="CV92" i="54"/>
  <c r="CT92" i="54"/>
  <c r="CR92" i="54"/>
  <c r="CP92" i="54"/>
  <c r="CN92" i="54"/>
  <c r="CL92" i="54"/>
  <c r="CJ92" i="54"/>
  <c r="CH92" i="54"/>
  <c r="CF92" i="54"/>
  <c r="CD92" i="54"/>
  <c r="CB92" i="54"/>
  <c r="BZ92" i="54"/>
  <c r="BX92" i="54"/>
  <c r="BV92" i="54"/>
  <c r="BT92" i="54"/>
  <c r="BR92" i="54"/>
  <c r="BP92" i="54"/>
  <c r="BN92" i="54"/>
  <c r="BL92" i="54"/>
  <c r="BJ92" i="54"/>
  <c r="BH92" i="54"/>
  <c r="BF92" i="54"/>
  <c r="BD92" i="54"/>
  <c r="BB92" i="54"/>
  <c r="AZ92" i="54"/>
  <c r="AX92" i="54"/>
  <c r="AV92" i="54"/>
  <c r="AT92" i="54"/>
  <c r="AR92" i="54"/>
  <c r="AP92" i="54"/>
  <c r="AN92" i="54"/>
  <c r="AL92" i="54"/>
  <c r="AJ92" i="54"/>
  <c r="AH92" i="54"/>
  <c r="AA35" i="54"/>
  <c r="AA34" i="54"/>
  <c r="Z34" i="54"/>
  <c r="Y34" i="54"/>
  <c r="T34" i="54"/>
  <c r="AA33" i="54"/>
  <c r="Z33" i="54"/>
  <c r="Y33" i="54"/>
  <c r="T33" i="54"/>
  <c r="AA32" i="54"/>
  <c r="Z32" i="54"/>
  <c r="Y32" i="54"/>
  <c r="T32" i="54"/>
  <c r="AA31" i="54"/>
  <c r="Z31" i="54"/>
  <c r="Y31" i="54"/>
  <c r="T31" i="54"/>
  <c r="AA30" i="54"/>
  <c r="Z30" i="54"/>
  <c r="Y30" i="54"/>
  <c r="T30" i="54"/>
  <c r="AA29" i="54"/>
  <c r="Z29" i="54"/>
  <c r="Y29" i="54"/>
  <c r="T29" i="54"/>
  <c r="AA28" i="54"/>
  <c r="Z28" i="54"/>
  <c r="Y28" i="54"/>
  <c r="T28" i="54"/>
  <c r="AA27" i="54"/>
  <c r="Z27" i="54"/>
  <c r="Y27" i="54"/>
  <c r="T27" i="54"/>
  <c r="AA26" i="54"/>
  <c r="Z26" i="54"/>
  <c r="Y26" i="54"/>
  <c r="T26" i="54"/>
  <c r="AA25" i="54"/>
  <c r="Z25" i="54"/>
  <c r="Y25" i="54"/>
  <c r="T25" i="54"/>
  <c r="AA24" i="54"/>
  <c r="Z24" i="54"/>
  <c r="Y24" i="54"/>
  <c r="T24" i="54"/>
  <c r="AA23" i="54"/>
  <c r="Z23" i="54"/>
  <c r="Y23" i="54"/>
  <c r="T23" i="54"/>
  <c r="AA22" i="54"/>
  <c r="Z22" i="54"/>
  <c r="Y22" i="54"/>
  <c r="T22" i="54"/>
  <c r="AA21" i="54"/>
  <c r="Z21" i="54"/>
  <c r="Y21" i="54"/>
  <c r="T21" i="54"/>
  <c r="AA20" i="54"/>
  <c r="Z20" i="54"/>
  <c r="Y20" i="54"/>
  <c r="T20" i="54"/>
  <c r="AA19" i="54"/>
  <c r="Z19" i="54"/>
  <c r="Y19" i="54"/>
  <c r="T19" i="54"/>
  <c r="U9" i="54"/>
  <c r="U7" i="54"/>
  <c r="R121" i="58"/>
  <c r="O121" i="58"/>
  <c r="M121" i="58"/>
  <c r="U120" i="58"/>
  <c r="R120" i="58"/>
  <c r="O120" i="58"/>
  <c r="M120" i="58"/>
  <c r="U119" i="58"/>
  <c r="R119" i="58"/>
  <c r="O119" i="58"/>
  <c r="M119" i="58"/>
  <c r="U118" i="58"/>
  <c r="R118" i="58"/>
  <c r="O118" i="58"/>
  <c r="M118" i="58"/>
  <c r="R117" i="58"/>
  <c r="O117" i="58"/>
  <c r="M117" i="58"/>
  <c r="U116" i="58"/>
  <c r="R116" i="58"/>
  <c r="O116" i="58"/>
  <c r="M116" i="58"/>
  <c r="U115" i="58"/>
  <c r="S115" i="58"/>
  <c r="R115" i="58"/>
  <c r="O115" i="58"/>
  <c r="D115" i="58"/>
  <c r="M115" i="58" s="1"/>
  <c r="C115" i="58"/>
  <c r="S114" i="58"/>
  <c r="R114" i="58"/>
  <c r="O114" i="58"/>
  <c r="D114" i="58"/>
  <c r="M114" i="58" s="1"/>
  <c r="C114" i="58"/>
  <c r="S113" i="58"/>
  <c r="R113" i="58"/>
  <c r="O113" i="58"/>
  <c r="D113" i="58"/>
  <c r="M113" i="58" s="1"/>
  <c r="U113" i="58" s="1"/>
  <c r="C113" i="58"/>
  <c r="S112" i="58"/>
  <c r="R112" i="58"/>
  <c r="O112" i="58"/>
  <c r="D112" i="58"/>
  <c r="M112" i="58" s="1"/>
  <c r="C112" i="58"/>
  <c r="U111" i="58"/>
  <c r="S111" i="58"/>
  <c r="R111" i="58"/>
  <c r="O111" i="58"/>
  <c r="D111" i="58"/>
  <c r="M111" i="58" s="1"/>
  <c r="C111" i="58"/>
  <c r="S110" i="58"/>
  <c r="R110" i="58"/>
  <c r="O110" i="58"/>
  <c r="D110" i="58"/>
  <c r="M110" i="58" s="1"/>
  <c r="C110" i="58"/>
  <c r="S109" i="58"/>
  <c r="R109" i="58"/>
  <c r="O109" i="58"/>
  <c r="D109" i="58"/>
  <c r="M109" i="58" s="1"/>
  <c r="C109" i="58"/>
  <c r="U107" i="58"/>
  <c r="S107" i="58"/>
  <c r="R107" i="58"/>
  <c r="U106" i="58"/>
  <c r="S106" i="58"/>
  <c r="R106" i="58"/>
  <c r="O106" i="58"/>
  <c r="D106" i="58"/>
  <c r="M106" i="58" s="1"/>
  <c r="C106" i="58"/>
  <c r="S105" i="58"/>
  <c r="R105" i="58"/>
  <c r="O105" i="58"/>
  <c r="D105" i="58"/>
  <c r="M105" i="58" s="1"/>
  <c r="C105" i="58"/>
  <c r="S104" i="58"/>
  <c r="R104" i="58"/>
  <c r="O104" i="58"/>
  <c r="D104" i="58"/>
  <c r="M104" i="58" s="1"/>
  <c r="C104" i="58"/>
  <c r="S103" i="58"/>
  <c r="R103" i="58"/>
  <c r="O103" i="58"/>
  <c r="D103" i="58"/>
  <c r="M103" i="58" s="1"/>
  <c r="C103" i="58"/>
  <c r="S102" i="58"/>
  <c r="R102" i="58"/>
  <c r="O102" i="58"/>
  <c r="D102" i="58"/>
  <c r="M102" i="58" s="1"/>
  <c r="C102" i="58"/>
  <c r="S101" i="58"/>
  <c r="R101" i="58"/>
  <c r="O101" i="58"/>
  <c r="D101" i="58"/>
  <c r="M101" i="58" s="1"/>
  <c r="C101" i="58"/>
  <c r="U99" i="58"/>
  <c r="S99" i="58"/>
  <c r="R99" i="58"/>
  <c r="O99" i="58"/>
  <c r="D99" i="58"/>
  <c r="M99" i="58" s="1"/>
  <c r="C99" i="58"/>
  <c r="U98" i="58"/>
  <c r="S98" i="58"/>
  <c r="R98" i="58"/>
  <c r="O98" i="58"/>
  <c r="M98" i="58"/>
  <c r="C98" i="58"/>
  <c r="S97" i="58"/>
  <c r="R97" i="58"/>
  <c r="O97" i="58"/>
  <c r="M97" i="58"/>
  <c r="C97" i="58"/>
  <c r="U95" i="58"/>
  <c r="R95" i="58"/>
  <c r="O95" i="58"/>
  <c r="D95" i="58"/>
  <c r="M95" i="58" s="1"/>
  <c r="C95" i="58"/>
  <c r="U94" i="58"/>
  <c r="R94" i="58"/>
  <c r="O94" i="58"/>
  <c r="D94" i="58"/>
  <c r="M94" i="58" s="1"/>
  <c r="C94" i="58"/>
  <c r="U93" i="58"/>
  <c r="R93" i="58"/>
  <c r="O93" i="58"/>
  <c r="D93" i="58"/>
  <c r="M93" i="58" s="1"/>
  <c r="C93" i="58"/>
  <c r="U92" i="58"/>
  <c r="R92" i="58"/>
  <c r="O92" i="58"/>
  <c r="D92" i="58"/>
  <c r="M92" i="58" s="1"/>
  <c r="C92" i="58"/>
  <c r="U91" i="58"/>
  <c r="R91" i="58"/>
  <c r="O91" i="58"/>
  <c r="D91" i="58"/>
  <c r="M91" i="58" s="1"/>
  <c r="C91" i="58"/>
  <c r="U90" i="58"/>
  <c r="R90" i="58"/>
  <c r="O90" i="58"/>
  <c r="D90" i="58"/>
  <c r="M90" i="58" s="1"/>
  <c r="C90" i="58"/>
  <c r="U89" i="58"/>
  <c r="R89" i="58"/>
  <c r="O89" i="58"/>
  <c r="M89" i="58"/>
  <c r="U88" i="58"/>
  <c r="R88" i="58"/>
  <c r="O88" i="58"/>
  <c r="D88" i="58"/>
  <c r="M88" i="58" s="1"/>
  <c r="C88" i="58"/>
  <c r="U87" i="58"/>
  <c r="R87" i="58"/>
  <c r="O87" i="58"/>
  <c r="M87" i="58"/>
  <c r="U86" i="58"/>
  <c r="R86" i="58"/>
  <c r="O86" i="58"/>
  <c r="D86" i="58"/>
  <c r="M86" i="58" s="1"/>
  <c r="C86" i="58"/>
  <c r="U85" i="58"/>
  <c r="R85" i="58"/>
  <c r="O85" i="58"/>
  <c r="D85" i="58"/>
  <c r="M85" i="58" s="1"/>
  <c r="C85" i="58"/>
  <c r="U84" i="58"/>
  <c r="R84" i="58"/>
  <c r="O84" i="58"/>
  <c r="D84" i="58"/>
  <c r="M84" i="58" s="1"/>
  <c r="C84" i="58"/>
  <c r="U83" i="58"/>
  <c r="R83" i="58"/>
  <c r="O83" i="58"/>
  <c r="D83" i="58"/>
  <c r="M83" i="58" s="1"/>
  <c r="C83" i="58"/>
  <c r="U82" i="58"/>
  <c r="R82" i="58"/>
  <c r="O82" i="58"/>
  <c r="D82" i="58"/>
  <c r="M82" i="58" s="1"/>
  <c r="C82" i="58"/>
  <c r="U81" i="58"/>
  <c r="R81" i="58"/>
  <c r="O81" i="58"/>
  <c r="D81" i="58"/>
  <c r="M81" i="58" s="1"/>
  <c r="C81" i="58"/>
  <c r="U80" i="58"/>
  <c r="R80" i="58"/>
  <c r="O80" i="58"/>
  <c r="D80" i="58"/>
  <c r="M80" i="58" s="1"/>
  <c r="C80" i="58"/>
  <c r="U79" i="58"/>
  <c r="R79" i="58"/>
  <c r="O79" i="58"/>
  <c r="D79" i="58"/>
  <c r="M79" i="58" s="1"/>
  <c r="C79" i="58"/>
  <c r="U78" i="58"/>
  <c r="R78" i="58"/>
  <c r="O78" i="58"/>
  <c r="D78" i="58"/>
  <c r="M78" i="58" s="1"/>
  <c r="C78" i="58"/>
  <c r="U77" i="58"/>
  <c r="R77" i="58"/>
  <c r="O77" i="58"/>
  <c r="D77" i="58"/>
  <c r="M77" i="58" s="1"/>
  <c r="C77" i="58"/>
  <c r="U76" i="58"/>
  <c r="R76" i="58"/>
  <c r="O76" i="58"/>
  <c r="D76" i="58"/>
  <c r="M76" i="58" s="1"/>
  <c r="C76" i="58"/>
  <c r="U75" i="58"/>
  <c r="R75" i="58"/>
  <c r="O75" i="58"/>
  <c r="D75" i="58"/>
  <c r="M75" i="58" s="1"/>
  <c r="C75" i="58"/>
  <c r="U74" i="58"/>
  <c r="R74" i="58"/>
  <c r="O74" i="58"/>
  <c r="D74" i="58"/>
  <c r="M74" i="58" s="1"/>
  <c r="C74" i="58"/>
  <c r="U73" i="58"/>
  <c r="R73" i="58"/>
  <c r="O73" i="58"/>
  <c r="D73" i="58"/>
  <c r="M73" i="58" s="1"/>
  <c r="C73" i="58"/>
  <c r="U72" i="58"/>
  <c r="O72" i="58"/>
  <c r="D72" i="58"/>
  <c r="M72" i="58" s="1"/>
  <c r="C72" i="58"/>
  <c r="U71" i="58"/>
  <c r="R71" i="58"/>
  <c r="O71" i="58"/>
  <c r="M71" i="58"/>
  <c r="U70" i="58"/>
  <c r="R70" i="58"/>
  <c r="O70" i="58"/>
  <c r="D70" i="58"/>
  <c r="M70" i="58" s="1"/>
  <c r="C70" i="58"/>
  <c r="U69" i="58"/>
  <c r="R69" i="58"/>
  <c r="O69" i="58"/>
  <c r="D69" i="58"/>
  <c r="M69" i="58" s="1"/>
  <c r="C69" i="58"/>
  <c r="U68" i="58"/>
  <c r="R68" i="58"/>
  <c r="O68" i="58"/>
  <c r="D68" i="58"/>
  <c r="M68" i="58" s="1"/>
  <c r="C68" i="58"/>
  <c r="U67" i="58"/>
  <c r="R67" i="58"/>
  <c r="O67" i="58"/>
  <c r="D67" i="58"/>
  <c r="M67" i="58" s="1"/>
  <c r="C67" i="58"/>
  <c r="U66" i="58"/>
  <c r="R66" i="58"/>
  <c r="O66" i="58"/>
  <c r="D66" i="58"/>
  <c r="M66" i="58" s="1"/>
  <c r="C66" i="58"/>
  <c r="U65" i="58"/>
  <c r="R65" i="58"/>
  <c r="O65" i="58"/>
  <c r="D65" i="58"/>
  <c r="M65" i="58" s="1"/>
  <c r="C65" i="58"/>
  <c r="U64" i="58"/>
  <c r="R64" i="58"/>
  <c r="O64" i="58"/>
  <c r="D64" i="58"/>
  <c r="M64" i="58" s="1"/>
  <c r="C64" i="58"/>
  <c r="U63" i="58"/>
  <c r="R63" i="58"/>
  <c r="O63" i="58"/>
  <c r="D63" i="58"/>
  <c r="M63" i="58" s="1"/>
  <c r="C63" i="58"/>
  <c r="U62" i="58"/>
  <c r="R62" i="58"/>
  <c r="O62" i="58"/>
  <c r="D62" i="58"/>
  <c r="M62" i="58" s="1"/>
  <c r="C62" i="58"/>
  <c r="U61" i="58"/>
  <c r="R61" i="58"/>
  <c r="O61" i="58"/>
  <c r="D61" i="58"/>
  <c r="M61" i="58" s="1"/>
  <c r="C61" i="58"/>
  <c r="U60" i="58"/>
  <c r="R60" i="58"/>
  <c r="O60" i="58"/>
  <c r="D60" i="58"/>
  <c r="M60" i="58" s="1"/>
  <c r="U59" i="58"/>
  <c r="R59" i="58"/>
  <c r="O59" i="58"/>
  <c r="D59" i="58"/>
  <c r="M59" i="58" s="1"/>
  <c r="C59" i="58"/>
  <c r="U58" i="58"/>
  <c r="R58" i="58"/>
  <c r="O58" i="58"/>
  <c r="D58" i="58"/>
  <c r="M58" i="58" s="1"/>
  <c r="C58" i="58"/>
  <c r="U57" i="58"/>
  <c r="R57" i="58"/>
  <c r="O57" i="58"/>
  <c r="D57" i="58"/>
  <c r="M57" i="58" s="1"/>
  <c r="C57" i="58"/>
  <c r="U56" i="58"/>
  <c r="R56" i="58"/>
  <c r="O56" i="58"/>
  <c r="D56" i="58"/>
  <c r="M56" i="58" s="1"/>
  <c r="C56" i="58"/>
  <c r="U55" i="58"/>
  <c r="R55" i="58"/>
  <c r="O55" i="58"/>
  <c r="D55" i="58"/>
  <c r="M55" i="58" s="1"/>
  <c r="C55" i="58"/>
  <c r="U54" i="58"/>
  <c r="R54" i="58"/>
  <c r="O54" i="58"/>
  <c r="D54" i="58"/>
  <c r="M54" i="58" s="1"/>
  <c r="C54" i="58"/>
  <c r="U53" i="58"/>
  <c r="R53" i="58"/>
  <c r="O53" i="58"/>
  <c r="D53" i="58"/>
  <c r="M53" i="58" s="1"/>
  <c r="C53" i="58"/>
  <c r="U52" i="58"/>
  <c r="R52" i="58"/>
  <c r="O52" i="58"/>
  <c r="D52" i="58"/>
  <c r="M52" i="58" s="1"/>
  <c r="C52" i="58"/>
  <c r="U51" i="58"/>
  <c r="R51" i="58"/>
  <c r="O51" i="58"/>
  <c r="D51" i="58"/>
  <c r="M51" i="58" s="1"/>
  <c r="C51" i="58"/>
  <c r="U50" i="58"/>
  <c r="R50" i="58"/>
  <c r="O50" i="58"/>
  <c r="D50" i="58"/>
  <c r="M50" i="58" s="1"/>
  <c r="C50" i="58"/>
  <c r="U49" i="58"/>
  <c r="R49" i="58"/>
  <c r="O49" i="58"/>
  <c r="D49" i="58"/>
  <c r="M49" i="58" s="1"/>
  <c r="C49" i="58"/>
  <c r="U48" i="58"/>
  <c r="R48" i="58"/>
  <c r="O48" i="58"/>
  <c r="D48" i="58"/>
  <c r="M48" i="58" s="1"/>
  <c r="C48" i="58"/>
  <c r="U47" i="58"/>
  <c r="R47" i="58"/>
  <c r="O47" i="58"/>
  <c r="M47" i="58"/>
  <c r="U46" i="58"/>
  <c r="R46" i="58"/>
  <c r="O46" i="58"/>
  <c r="D46" i="58"/>
  <c r="M46" i="58" s="1"/>
  <c r="C46" i="58"/>
  <c r="U45" i="58"/>
  <c r="R45" i="58"/>
  <c r="O45" i="58"/>
  <c r="D45" i="58"/>
  <c r="M45" i="58" s="1"/>
  <c r="C45" i="58"/>
  <c r="U44" i="58"/>
  <c r="R44" i="58"/>
  <c r="O44" i="58"/>
  <c r="D44" i="58"/>
  <c r="M44" i="58" s="1"/>
  <c r="C44" i="58"/>
  <c r="U43" i="58"/>
  <c r="R43" i="58"/>
  <c r="O43" i="58"/>
  <c r="D43" i="58"/>
  <c r="M43" i="58" s="1"/>
  <c r="C43" i="58"/>
  <c r="U42" i="58"/>
  <c r="R42" i="58"/>
  <c r="O42" i="58"/>
  <c r="D42" i="58"/>
  <c r="M42" i="58" s="1"/>
  <c r="C42" i="58"/>
  <c r="U41" i="58"/>
  <c r="S41" i="58"/>
  <c r="R41" i="58"/>
  <c r="O41" i="58"/>
  <c r="D41" i="58"/>
  <c r="M41" i="58" s="1"/>
  <c r="C41" i="58"/>
  <c r="U40" i="58"/>
  <c r="S40" i="58"/>
  <c r="R40" i="58"/>
  <c r="O40" i="58"/>
  <c r="D40" i="58"/>
  <c r="M40" i="58" s="1"/>
  <c r="C40" i="58"/>
  <c r="U39" i="58"/>
  <c r="S39" i="58"/>
  <c r="R39" i="58"/>
  <c r="O39" i="58"/>
  <c r="D39" i="58"/>
  <c r="M39" i="58" s="1"/>
  <c r="C39" i="58"/>
  <c r="U38" i="58"/>
  <c r="S38" i="58"/>
  <c r="R38" i="58"/>
  <c r="O38" i="58"/>
  <c r="D38" i="58"/>
  <c r="M38" i="58" s="1"/>
  <c r="C38" i="58"/>
  <c r="U37" i="58"/>
  <c r="S37" i="58"/>
  <c r="R37" i="58"/>
  <c r="O37" i="58"/>
  <c r="D37" i="58"/>
  <c r="M37" i="58" s="1"/>
  <c r="C37" i="58"/>
  <c r="U36" i="58"/>
  <c r="S36" i="58"/>
  <c r="R36" i="58"/>
  <c r="O36" i="58"/>
  <c r="D36" i="58"/>
  <c r="M36" i="58" s="1"/>
  <c r="C36" i="58"/>
  <c r="S35" i="58"/>
  <c r="R35" i="58"/>
  <c r="D35" i="58"/>
  <c r="M35" i="58" s="1"/>
  <c r="O35" i="58" s="1"/>
  <c r="O122" i="58" s="1"/>
  <c r="L19" i="19" s="1"/>
  <c r="C35" i="58"/>
  <c r="U34" i="58"/>
  <c r="S34" i="58"/>
  <c r="R34" i="58"/>
  <c r="O34" i="58"/>
  <c r="D34" i="58"/>
  <c r="M34" i="58" s="1"/>
  <c r="C34" i="58"/>
  <c r="U33" i="58"/>
  <c r="S33" i="58"/>
  <c r="R33" i="58"/>
  <c r="O33" i="58"/>
  <c r="D33" i="58"/>
  <c r="M33" i="58" s="1"/>
  <c r="C33" i="58"/>
  <c r="U32" i="58"/>
  <c r="S32" i="58"/>
  <c r="R32" i="58"/>
  <c r="O32" i="58"/>
  <c r="D32" i="58"/>
  <c r="M32" i="58" s="1"/>
  <c r="C32" i="58"/>
  <c r="U31" i="58"/>
  <c r="S31" i="58"/>
  <c r="R31" i="58"/>
  <c r="O31" i="58"/>
  <c r="D31" i="58"/>
  <c r="M31" i="58" s="1"/>
  <c r="C31" i="58"/>
  <c r="U30" i="58"/>
  <c r="S30" i="58"/>
  <c r="R30" i="58"/>
  <c r="O30" i="58"/>
  <c r="D30" i="58"/>
  <c r="M30" i="58" s="1"/>
  <c r="C30" i="58"/>
  <c r="U29" i="58"/>
  <c r="S29" i="58"/>
  <c r="R29" i="58"/>
  <c r="O29" i="58"/>
  <c r="D29" i="58"/>
  <c r="M29" i="58" s="1"/>
  <c r="C29" i="58"/>
  <c r="U28" i="58"/>
  <c r="S28" i="58"/>
  <c r="R28" i="58"/>
  <c r="O28" i="58"/>
  <c r="D28" i="58"/>
  <c r="M28" i="58" s="1"/>
  <c r="C28" i="58"/>
  <c r="U27" i="58"/>
  <c r="R27" i="58"/>
  <c r="O27" i="58"/>
  <c r="D27" i="58"/>
  <c r="M27" i="58" s="1"/>
  <c r="C27" i="58"/>
  <c r="U26" i="58"/>
  <c r="R26" i="58"/>
  <c r="O26" i="58"/>
  <c r="D26" i="58"/>
  <c r="M26" i="58" s="1"/>
  <c r="C26" i="58"/>
  <c r="U25" i="58"/>
  <c r="R25" i="58"/>
  <c r="O25" i="58"/>
  <c r="D25" i="58"/>
  <c r="M25" i="58" s="1"/>
  <c r="C25" i="58"/>
  <c r="U24" i="58"/>
  <c r="R24" i="58"/>
  <c r="O24" i="58"/>
  <c r="D24" i="58"/>
  <c r="M24" i="58" s="1"/>
  <c r="C24" i="58"/>
  <c r="M12" i="58"/>
  <c r="M10" i="58"/>
  <c r="O23" i="19"/>
  <c r="N23" i="19"/>
  <c r="L23" i="19"/>
  <c r="O22" i="19"/>
  <c r="N22" i="19"/>
  <c r="L22" i="19"/>
  <c r="N21" i="19"/>
  <c r="O21" i="19" s="1"/>
  <c r="O19" i="19"/>
  <c r="E13" i="19"/>
  <c r="E11" i="19"/>
  <c r="U122" i="58" l="1"/>
  <c r="L20" i="19" s="1"/>
  <c r="L24" i="19" s="1"/>
  <c r="N20" i="19" l="1"/>
  <c r="O20" i="19" s="1"/>
  <c r="N24" i="19" l="1"/>
  <c r="O24" i="19" s="1"/>
</calcChain>
</file>

<file path=xl/sharedStrings.xml><?xml version="1.0" encoding="utf-8"?>
<sst xmlns="http://schemas.openxmlformats.org/spreadsheetml/2006/main" count="10854" uniqueCount="1462">
  <si>
    <t>Indicator No.</t>
  </si>
  <si>
    <t>Indicator</t>
  </si>
  <si>
    <t>Frequency of Deduction</t>
  </si>
  <si>
    <t>Biomedical Equipment Purchase  Cost (RM)</t>
  </si>
  <si>
    <t>Deduction Range Value (RM)</t>
  </si>
  <si>
    <t>Maximum Demerit Point per Work Order</t>
  </si>
  <si>
    <t>From</t>
  </si>
  <si>
    <t>To</t>
  </si>
  <si>
    <t>B.1</t>
  </si>
  <si>
    <t>The Company shall respond to the request within the specified time frame</t>
  </si>
  <si>
    <t>Per event</t>
  </si>
  <si>
    <t xml:space="preserve">0.00
5,000.00
10,000.00
15,000.00
20,000.00
25,000.00
30,000.00
35,000.00
40,000.00
&gt; 45,000.00 </t>
  </si>
  <si>
    <t xml:space="preserve">4,999.99
9,999.99
14,999.99
19,999.99
24,999.99
29,999.99
34,999.99
39,999.99
44,999.99
</t>
  </si>
  <si>
    <t>10.00
20.00
30.00
40.00
50.00
60.00
70.00
80.00
90.00
100.00</t>
  </si>
  <si>
    <t>B.2</t>
  </si>
  <si>
    <t>The Company shall carry out repairs to restore faulty medical equipment to a specified condition when it fails to function as per manufacturer’s specification within seven (7) working days.</t>
  </si>
  <si>
    <t>Per day</t>
  </si>
  <si>
    <t>Number of working days for the month</t>
  </si>
  <si>
    <t>B.3</t>
  </si>
  <si>
    <t>The Company shall carry out scheduled maintenance as per schedule in accordance to the procedure as specified in Agreement. Scheduled maintenance shall include complete safety and performance tests.</t>
  </si>
  <si>
    <t>0.00
5,000.00
10,000.00
15,000.00
20,000.00
25,000.00
30,000.00
35,000.00
40,000.00
45,000.00</t>
  </si>
  <si>
    <t>4,999.99
9,999.99
14,999.99
19,999.99
24,999.99
29,999.99
34,999.99
39,999.99
44,999.99
49,999.99</t>
  </si>
  <si>
    <t>For every RM 5,000 increment of equipment cost,  an increase of RM10 will be applied subsequently</t>
  </si>
  <si>
    <t>B.4</t>
  </si>
  <si>
    <t>The Company shall ensure biomedical equipment meets the uptime target as set in the Agreement.</t>
  </si>
  <si>
    <r>
      <rPr>
        <sz val="11"/>
        <color rgb="FF000000"/>
        <rFont val="Tahoma"/>
        <family val="2"/>
      </rPr>
      <t>1</t>
    </r>
    <r>
      <rPr>
        <vertAlign val="superscript"/>
        <sz val="11"/>
        <color indexed="8"/>
        <rFont val="Tahoma"/>
        <family val="2"/>
      </rPr>
      <t>st</t>
    </r>
    <r>
      <rPr>
        <sz val="11"/>
        <color indexed="8"/>
        <rFont val="Tahoma"/>
        <family val="2"/>
      </rPr>
      <t xml:space="preserve"> level of Uptime Target (TRKPI)</t>
    </r>
  </si>
  <si>
    <r>
      <rPr>
        <sz val="11"/>
        <color theme="1"/>
        <rFont val="Tahoma"/>
        <family val="2"/>
      </rPr>
      <t>2</t>
    </r>
    <r>
      <rPr>
        <vertAlign val="superscript"/>
        <sz val="11"/>
        <color indexed="8"/>
        <rFont val="Tahoma"/>
        <family val="2"/>
      </rPr>
      <t>nd</t>
    </r>
    <r>
      <rPr>
        <sz val="11"/>
        <color indexed="8"/>
        <rFont val="Tahoma"/>
        <family val="2"/>
      </rPr>
      <t xml:space="preserve"> level of Uptime Target (80%)</t>
    </r>
  </si>
  <si>
    <t>20.00
40.00
60.00
80.00
100.00
120.00
140.00
160.00
180.00
200.00</t>
  </si>
  <si>
    <t>For every RM 5,000 increment of equipment cost,  an increase of RM10 will be applied subsequently  for 1st Uptime Target and  an increase of RM20 for 2nd Uptime Target will be applied subsequently</t>
  </si>
  <si>
    <t>B.5</t>
  </si>
  <si>
    <t>The Company shall attend and witness T&amp;C and manage biomedical equipment within the warranty period.</t>
  </si>
  <si>
    <t>­</t>
  </si>
  <si>
    <t>Tarikh</t>
  </si>
  <si>
    <t>Hari</t>
  </si>
  <si>
    <t>Cuti</t>
  </si>
  <si>
    <t>Negeri Berkenaan</t>
  </si>
  <si>
    <t>Rabu</t>
  </si>
  <si>
    <t>Tahun Baru</t>
  </si>
  <si>
    <t>Putrajaya</t>
  </si>
  <si>
    <t>Tahun Baru Cina</t>
  </si>
  <si>
    <t>Khamis</t>
  </si>
  <si>
    <t>Tahun Baru Cina Hari Kedua</t>
  </si>
  <si>
    <t>Sabtu</t>
  </si>
  <si>
    <t>Hari Wilayah Persekutuan</t>
  </si>
  <si>
    <t>Selasa</t>
  </si>
  <si>
    <t>Hari Thaipusam</t>
  </si>
  <si>
    <t>Hari Nuzul Al-Quran</t>
  </si>
  <si>
    <t>Hari Raya Aidilfitri</t>
  </si>
  <si>
    <t>Hari Raya Aidilfitri Hari Kedua</t>
  </si>
  <si>
    <t>Hari Pekerja</t>
  </si>
  <si>
    <t>Isnin</t>
  </si>
  <si>
    <t>Hari Wesak</t>
  </si>
  <si>
    <t>Hari Keputeraan YDP Agong</t>
  </si>
  <si>
    <t>Hari Raya Haji</t>
  </si>
  <si>
    <t>Ahad</t>
  </si>
  <si>
    <t>Hari Raya Haji Kedua</t>
  </si>
  <si>
    <t>Jumaat</t>
  </si>
  <si>
    <t>Awal Muharram</t>
  </si>
  <si>
    <t>Hari Kebangsaan</t>
  </si>
  <si>
    <t>Cuti Hari Kebangsaan</t>
  </si>
  <si>
    <t>Maulidur Rasul</t>
  </si>
  <si>
    <t>Hari Malaysia</t>
  </si>
  <si>
    <t>Hari Deepavali</t>
  </si>
  <si>
    <t>Hari Krismas</t>
  </si>
  <si>
    <t>* Subject to change (Tertakluk kepada perubahan), TBC - To be confirmed</t>
  </si>
  <si>
    <t>MINISTRY OF HEALTH</t>
  </si>
  <si>
    <r>
      <rPr>
        <b/>
        <sz val="14"/>
        <rFont val="Arial"/>
        <family val="2"/>
      </rPr>
      <t>Deduction Mapping Report</t>
    </r>
    <r>
      <rPr>
        <sz val="8"/>
        <color theme="1"/>
        <rFont val="Calibri"/>
        <family val="2"/>
        <scheme val="minor"/>
      </rPr>
      <t xml:space="preserve">
</t>
    </r>
    <r>
      <rPr>
        <sz val="12"/>
        <color theme="1"/>
        <rFont val="Calibri"/>
        <family val="2"/>
        <scheme val="minor"/>
      </rPr>
      <t>Biomedical Engineering Maintenance Services (BEMS)</t>
    </r>
  </si>
  <si>
    <t>HOSPITAL NAME :</t>
  </si>
  <si>
    <t>Institut Kanser Negara</t>
  </si>
  <si>
    <t xml:space="preserve">STATE: </t>
  </si>
  <si>
    <t>W.P. Putrajaya</t>
  </si>
  <si>
    <t>MONTH/YEAR :</t>
  </si>
  <si>
    <t xml:space="preserve">COMPANY: </t>
  </si>
  <si>
    <t>Ambang Wira Sdn Bhd</t>
  </si>
  <si>
    <t/>
  </si>
  <si>
    <t>MONTHLY SERVICE FEE (RM) :</t>
  </si>
  <si>
    <t>BEMS MONTHLY FEE (RM) @ 97.5%   :</t>
  </si>
  <si>
    <t>FMS MONTHLY FEE (RM) @ 2.5%   :</t>
  </si>
  <si>
    <t>No</t>
  </si>
  <si>
    <t>Key Deduction Indicators</t>
  </si>
  <si>
    <t>Frequency</t>
  </si>
  <si>
    <t xml:space="preserve">Deduction Value (RM) </t>
  </si>
  <si>
    <t>Deduction %</t>
  </si>
  <si>
    <t>Performance Level (%)</t>
  </si>
  <si>
    <t>All service requests shall be responded by the Company’s trained technical personal within the timeframe as stipulated in the Agreement.</t>
  </si>
  <si>
    <t>All unscheduled maintenance works including relevant maintenance calibration, safety tests and functional checks shall be completed within seven (7) working days.</t>
  </si>
  <si>
    <t>Scheduled maintenance shall be carried out as per schedule and according to the procedure as specified in the Agreement. Scheduled maintenance shall include complete safety and performance tests.</t>
  </si>
  <si>
    <t xml:space="preserve">All biomedical equipment shall be functioning and maintained to ensure uptime target as specified in the TRKPI are met. </t>
  </si>
  <si>
    <t>T&amp;C and Warranty Management of newly introduced biomedical shall be managed and performed according to the Agreement and related acts, standards and regulations.</t>
  </si>
  <si>
    <t>Total</t>
  </si>
  <si>
    <t>Prepared by:</t>
  </si>
  <si>
    <t>Verified by:</t>
  </si>
  <si>
    <t>Siti Norsaliana Binti Abu Khalid</t>
  </si>
  <si>
    <t>Mohd Shahrulnizam bin Tarmizi</t>
  </si>
  <si>
    <t>Head of BEMS</t>
  </si>
  <si>
    <t>Facility Manager</t>
  </si>
  <si>
    <t>Ambang Wira Sdn Bhd- Institut Kanser Negara</t>
  </si>
  <si>
    <t xml:space="preserve">Date: </t>
  </si>
  <si>
    <r>
      <rPr>
        <b/>
        <sz val="28"/>
        <rFont val="Arial"/>
        <family val="2"/>
      </rPr>
      <t xml:space="preserve">Deduction Mapping Report
</t>
    </r>
    <r>
      <rPr>
        <sz val="28"/>
        <rFont val="Calibri"/>
        <family val="2"/>
        <scheme val="minor"/>
      </rPr>
      <t>Biomedical Engineering Maintenance Services (BEMS)</t>
    </r>
  </si>
  <si>
    <t>INDICATOR B.1  RESPONSE TIME &amp; B.2 REPAIR TIME</t>
  </si>
  <si>
    <t>HOSPITAL NAME:</t>
  </si>
  <si>
    <t>INSTITUT KANSER NEGARA</t>
  </si>
  <si>
    <t>FIRST DATE OF THE MONTH :</t>
  </si>
  <si>
    <t>(For Calculation)</t>
  </si>
  <si>
    <t>STATE:</t>
  </si>
  <si>
    <t>WILAYAH PERSEKUTUAN  PUTRAJAYA</t>
  </si>
  <si>
    <t>LAST DATE OF THE MONTH :</t>
  </si>
  <si>
    <t>COMPANY:</t>
  </si>
  <si>
    <t>AMBANG WIRA SDN BHD</t>
  </si>
  <si>
    <t>BEMS MONTHLY FEE (RM)
@ 97.5%   :</t>
  </si>
  <si>
    <t>MONTH/YEAR:</t>
  </si>
  <si>
    <t>FMS MONTHLY FEE (RM)
@ 2.5%   :</t>
  </si>
  <si>
    <t>Notes:</t>
  </si>
  <si>
    <t>1) Deduction Ringgit Equivalent is based on Appendix 11  of the Agreement, Section B3 Key Deduction Indicators for BEMS</t>
  </si>
  <si>
    <t>2) Deduction Value for Indicator B.1 is Deduction Ringgit Equivalent (per event)</t>
  </si>
  <si>
    <t>3) Total Repair Time includes weekend &amp; public holiday</t>
  </si>
  <si>
    <t>4) Demerit Point for Indicator B.2 is calculated based on completion date against request date, less by 7 working days</t>
  </si>
  <si>
    <t>5) Deduction Value for Indicator B.2 is Demerit Point multiply by Deduction Ringgit Equivalent</t>
  </si>
  <si>
    <t>Asset No</t>
  </si>
  <si>
    <t>Asset Description</t>
  </si>
  <si>
    <t>Asset Purchase Price (RM)</t>
  </si>
  <si>
    <t>Work Order No.</t>
  </si>
  <si>
    <t>User Location</t>
  </si>
  <si>
    <t>Work Order/ Complaint Details</t>
  </si>
  <si>
    <t>Response Category
(Emergency/ Normal)</t>
  </si>
  <si>
    <t>Total Response Time
(minutes)</t>
  </si>
  <si>
    <t>Work Request  Date</t>
  </si>
  <si>
    <t>Response Time (Minutes)</t>
  </si>
  <si>
    <t>Work Completion Date</t>
  </si>
  <si>
    <t>Deduction Ringgit Equivalent
(RM)</t>
  </si>
  <si>
    <t>Indicator B.1</t>
  </si>
  <si>
    <t>Indicator B.2</t>
  </si>
  <si>
    <t>Validate Status
(Y/N)</t>
  </si>
  <si>
    <t>Deduction Value (RM)</t>
  </si>
  <si>
    <t>Remarks/ Exemption</t>
  </si>
  <si>
    <t>Total Repair Time (day)</t>
  </si>
  <si>
    <t>Last date of 7 working days
(dd/mm/yy)</t>
  </si>
  <si>
    <t>Demerit Point</t>
  </si>
  <si>
    <t>Current Month (Work Order Completed)</t>
  </si>
  <si>
    <t>IKN400404</t>
  </si>
  <si>
    <t>IKNWIBE26000053</t>
  </si>
  <si>
    <t>06WD146</t>
  </si>
  <si>
    <t xml:space="preserve">BP ALARM , CALL FOR 
SERVICE </t>
  </si>
  <si>
    <t>Normal</t>
  </si>
  <si>
    <t>0 days, 0 hrs, 13 mins</t>
  </si>
  <si>
    <t>02-Jan-2026 08:17:00</t>
  </si>
  <si>
    <t>02-Jan-2026 08:30:00</t>
  </si>
  <si>
    <t>08-Jan-2026 11:10:00</t>
  </si>
  <si>
    <t>N</t>
  </si>
  <si>
    <t>P - qe:12,DO PERFORMANCE TEST PASSED , UNIT READY TO USE</t>
  </si>
  <si>
    <t>IKN400741</t>
  </si>
  <si>
    <t>IKNWIBE26000058</t>
  </si>
  <si>
    <t>04LA126</t>
  </si>
  <si>
    <t xml:space="preserve">THERMOMETER OUT 
OF BATTERY </t>
  </si>
  <si>
    <t>0 days, 0 hrs, 7 mins</t>
  </si>
  <si>
    <t>02-Jan-2026 10:33:00</t>
  </si>
  <si>
    <t>02-Jan-2026 10:40:00</t>
  </si>
  <si>
    <t>02-Jan-2026 16:00:00</t>
  </si>
  <si>
    <t xml:space="preserve">M-REPLACE NEW BATTERY ,TESTING OKAY AND FUNCTIONING </t>
  </si>
  <si>
    <t>IKN400403</t>
  </si>
  <si>
    <t>IKNWIBE26000069</t>
  </si>
  <si>
    <t>NA</t>
  </si>
  <si>
    <t>0 days, 0 hrs, 0 mins</t>
  </si>
  <si>
    <t>02-Jan-2026 11:30:00</t>
  </si>
  <si>
    <t>02-Jan-2026 12:00:00</t>
  </si>
  <si>
    <t>P-REQUEST FOR LARGE CUFF. TESTING OKAY AND FUNCTIONING</t>
  </si>
  <si>
    <t>IKN400262</t>
  </si>
  <si>
    <t>IKNWIBE26000094</t>
  </si>
  <si>
    <t>08WG113</t>
  </si>
  <si>
    <t xml:space="preserve">MACHINE SPO2 NOT 
FUNCTIONING / OUT OF BATTERY </t>
  </si>
  <si>
    <t>0 days, 0 hrs, 45 mins</t>
  </si>
  <si>
    <t>04-Jan-2026 11:15:00</t>
  </si>
  <si>
    <t>04-Jan-2026 12:00:00</t>
  </si>
  <si>
    <t>04-Jan-2026 13:00:00</t>
  </si>
  <si>
    <t xml:space="preserve">M-REPLACE NEW BATTERY .TESTED OKAY AND CAN FUNCTIONING </t>
  </si>
  <si>
    <t>IKN400774</t>
  </si>
  <si>
    <t>IKNWIBE26000163</t>
  </si>
  <si>
    <t>03ID156</t>
  </si>
  <si>
    <t>IMAGE UNABLE TO BE 
SEND TO PACS, SENDING INFO TO RADIMETRIC FAILED</t>
  </si>
  <si>
    <t>05-Jan-2026 11:33:00</t>
  </si>
  <si>
    <t>05-Jan-2026 12:00:00</t>
  </si>
  <si>
    <t>L- VENDOR COME AND SETTLE REDIMETRIC ISSUE, TESTED OKAY</t>
  </si>
  <si>
    <t>IKN400681</t>
  </si>
  <si>
    <t>IKNWIBE26000172</t>
  </si>
  <si>
    <t>04TC127</t>
  </si>
  <si>
    <t xml:space="preserve">CHARGER CABLE 
FAULTY </t>
  </si>
  <si>
    <t>0 days, 0 hrs, 49 mins</t>
  </si>
  <si>
    <t>05-Jan-2026 15:36:00</t>
  </si>
  <si>
    <t>05-Jan-2026 16:25:00</t>
  </si>
  <si>
    <t>12-Jan-2026 16:30:00</t>
  </si>
  <si>
    <t xml:space="preserve">AN- REPLACE NEW CABLE, UNIT TEST FUNCTIONING IN GOOD CONDITION </t>
  </si>
  <si>
    <t>IKN400758</t>
  </si>
  <si>
    <t>IKNWIBE26000232</t>
  </si>
  <si>
    <t>04LA132</t>
  </si>
  <si>
    <t>ALARM LIGHT BLINKING, 
NOT PROPER SHUTDOWN</t>
  </si>
  <si>
    <t>0 days, 1 hrs, 1 mins</t>
  </si>
  <si>
    <t>06-Jan-2026 08:59:00</t>
  </si>
  <si>
    <t>06-Jan-2026 10:00:00</t>
  </si>
  <si>
    <t>06-Jan-2026 10:30:00</t>
  </si>
  <si>
    <t xml:space="preserve">AN- RESTART SOFTWARE UNIT (TAUFIQ BEMS) </t>
  </si>
  <si>
    <t>IKN400756</t>
  </si>
  <si>
    <t>IKNWIBE26000233</t>
  </si>
  <si>
    <t>SAMPLE TUBING 
MOVING UP WHEN SAMPLE SYRINGE MOVING UPWARD, SAMPLE CAP DEFECT</t>
  </si>
  <si>
    <t>0 days, 0 hrs, 33 mins</t>
  </si>
  <si>
    <t>06-Jan-2026 09:27:00</t>
  </si>
  <si>
    <t>06-Jan-2026 16:00:00</t>
  </si>
  <si>
    <t xml:space="preserve">AN- REPLACE ANOTHER CAP (TAUFIK BEMS) </t>
  </si>
  <si>
    <t>IKN401519</t>
  </si>
  <si>
    <t>IKNWIBE26000331</t>
  </si>
  <si>
    <t>03DU103</t>
  </si>
  <si>
    <t xml:space="preserve">PERFORM YEARLY 
CALIBRATION </t>
  </si>
  <si>
    <t>07-Jan-2026 10:00:00</t>
  </si>
  <si>
    <t>07-Jan-2026 11:40:00</t>
  </si>
  <si>
    <t>L, QE:16-CALIBRATION DONE BY SIRIM , REFER TO CALIBRATION SERTIFICATION AS ATTACHED</t>
  </si>
  <si>
    <t>IKN400877</t>
  </si>
  <si>
    <t>IKNWIBE26000332</t>
  </si>
  <si>
    <t>04PC109</t>
  </si>
  <si>
    <t xml:space="preserve">REQ- PERFORMANCE 
CHECK </t>
  </si>
  <si>
    <t>0 days, 0 hrs, 30 mins</t>
  </si>
  <si>
    <t>07-Jan-2026 11:00:00</t>
  </si>
  <si>
    <t>07-Jan-2026 11:30:00</t>
  </si>
  <si>
    <t>07-Jan-2026 12:00:00</t>
  </si>
  <si>
    <t xml:space="preserve">AN- PERFORMANCE CHECKING DONE AS PER HEPPM CHECKLIST ATTACHED </t>
  </si>
  <si>
    <t>IKN402009</t>
  </si>
  <si>
    <t>IKNWIBE26000333</t>
  </si>
  <si>
    <t xml:space="preserve">AN- PERFORMANCE CHECKING DONE AS PER HEPPM CHECKLIST ATTACHED (ST BEMS TAUFIK) </t>
  </si>
  <si>
    <t>IKN400950</t>
  </si>
  <si>
    <t>IKNWIBE26000407</t>
  </si>
  <si>
    <t>03MC107</t>
  </si>
  <si>
    <t>BATTERY DEPLATED</t>
  </si>
  <si>
    <t>0 days, 3 hrs, 30 mins</t>
  </si>
  <si>
    <t>08-Jan-2026 14:00:00</t>
  </si>
  <si>
    <t>08-Jan-2026 17:30:00</t>
  </si>
  <si>
    <t>08-Jan-2026 19:00:00</t>
  </si>
  <si>
    <t xml:space="preserve">M-REPLACE NEW BATTERY ,TESTED OKAY AND FUNCTIONING </t>
  </si>
  <si>
    <t>IKN400289</t>
  </si>
  <si>
    <t>IKNWIBE26000411</t>
  </si>
  <si>
    <t>08WH121</t>
  </si>
  <si>
    <t>CHARGER ADPTER 
BROKEN</t>
  </si>
  <si>
    <t>0 days, 0 hrs, 23 mins</t>
  </si>
  <si>
    <t>08-Jan-2026 16:02:00</t>
  </si>
  <si>
    <t>08-Jan-2026 16:25:00</t>
  </si>
  <si>
    <t>15-Jan-2026 16:00:00</t>
  </si>
  <si>
    <t>M-REPLACE NEW CHARGER ADPATER.TESTED MACHINE PASSED. (8/1/2026-16:25 UNTILL 15/1/2026-16:00)</t>
  </si>
  <si>
    <t>IKN401010</t>
  </si>
  <si>
    <t>IKNWIBE26000477</t>
  </si>
  <si>
    <t>WIPER NOT FUNCTIONING-
MDC ARAS 3</t>
  </si>
  <si>
    <t>0 days, 0 hrs, 10 mins</t>
  </si>
  <si>
    <t>09-Jan-2026 10:00:00</t>
  </si>
  <si>
    <t>PARTS CANNOT BE REPAIR. UNDER BER (OBSOLATE PARTS).</t>
  </si>
  <si>
    <t>IKN400967</t>
  </si>
  <si>
    <t>IKNWIBE26000586</t>
  </si>
  <si>
    <t>01RT165</t>
  </si>
  <si>
    <t>VACUUM TARGET 
VALUE BELOW 5.5</t>
  </si>
  <si>
    <t>0 days, 0 hrs, 20 mins</t>
  </si>
  <si>
    <t>12-Jan-2026 08:10:00</t>
  </si>
  <si>
    <t>12-Jan-2026 08:30:00</t>
  </si>
  <si>
    <t>13-Jan-2026 09:15:00</t>
  </si>
  <si>
    <t>P - RESET VACUUM CIRCUIT BREAKER 3 TIMES. THE VALUE INCREASE UNTIL 6.2. TESTED OKAY</t>
  </si>
  <si>
    <t>IKN400850</t>
  </si>
  <si>
    <t>IKNWIBE26000587</t>
  </si>
  <si>
    <t>01RT243</t>
  </si>
  <si>
    <t>HDR CANNOT 
CONNECT TO CAMERA</t>
  </si>
  <si>
    <t>12-Jan-2026 08:20:00</t>
  </si>
  <si>
    <t>12-Jan-2026 08:40:00</t>
  </si>
  <si>
    <t>12-Jan-2026 09:00:00</t>
  </si>
  <si>
    <t>P QE:12 - RESET CABLE TO CAMERA, CHECK I.P ADDRESS. UNIT TEST AND FUNCTIONING. ADVICE BY VENDOR THRU CALL</t>
  </si>
  <si>
    <t>IKN400493</t>
  </si>
  <si>
    <t>IKNWIBE26000597</t>
  </si>
  <si>
    <t>05WB133</t>
  </si>
  <si>
    <t xml:space="preserve">N/A
</t>
  </si>
  <si>
    <t>0 days, 0 hrs, 12 mins</t>
  </si>
  <si>
    <t>12-Jan-2026 10:28:00</t>
  </si>
  <si>
    <t>12-Jan-2026 10:40:00</t>
  </si>
  <si>
    <t>12-Jan-2026 11:20:00</t>
  </si>
  <si>
    <t xml:space="preserve">L, QE:16-REPLACE NEW ECG 3 LEAD 
</t>
  </si>
  <si>
    <t>IKN400494</t>
  </si>
  <si>
    <t>IKNWIBE26000756</t>
  </si>
  <si>
    <t>05WB143</t>
  </si>
  <si>
    <t>CUFF CONNECTOR 
BROKEN</t>
  </si>
  <si>
    <t>14-Jan-2026 07:50:00</t>
  </si>
  <si>
    <t>14-Jan-2026 09:00:00</t>
  </si>
  <si>
    <t xml:space="preserve">L, QE:16-REPLACE NEW CUFF CONNECTOR , UNIT TEST AND FUCTIONING IN GOOD CONDITION </t>
  </si>
  <si>
    <t>IKNWIBE26000757</t>
  </si>
  <si>
    <t xml:space="preserve">VACUUM PRESSURE 
WERE BELOW THE RANGE TARGETED </t>
  </si>
  <si>
    <t>0 days, 0 hrs, 18 mins</t>
  </si>
  <si>
    <t>14-Jan-2026 08:47:00</t>
  </si>
  <si>
    <t>14-Jan-2026 09:05:00</t>
  </si>
  <si>
    <t>19-Jan-2026 08:20:00</t>
  </si>
  <si>
    <t>P - PLANNED WITH VENDOR / SUPPLIER FOR PARTS REPLACEMENT</t>
  </si>
  <si>
    <t>IKN400308</t>
  </si>
  <si>
    <t>IKNWIBE26000760</t>
  </si>
  <si>
    <t>08WH133</t>
  </si>
  <si>
    <t xml:space="preserve">MACHINE NOT 
DETECT PATIENT LEAD </t>
  </si>
  <si>
    <t>14-Jan-2026 09:07:00</t>
  </si>
  <si>
    <t>14-Jan-2026 09:30:00</t>
  </si>
  <si>
    <t>14-Jan-2026 11:30:00</t>
  </si>
  <si>
    <t xml:space="preserve">L, QE:16-SETTING AND RECALIBRATE UNIT WITH TESTER, TEST PASSED UNIT OBSERVED </t>
  </si>
  <si>
    <t>IKN400965</t>
  </si>
  <si>
    <t>IKNWIBE26000763</t>
  </si>
  <si>
    <t>01RT177</t>
  </si>
  <si>
    <t xml:space="preserve">DOSE VALUE LESS 
THAN EXPECTED CAUSED ERROr BY INCREASE THE DOSE VALVE </t>
  </si>
  <si>
    <t>0 days, 0 hrs, 6 mins</t>
  </si>
  <si>
    <t>14-Jan-2026 10:24:00</t>
  </si>
  <si>
    <t>14-Jan-2026 10:30:00</t>
  </si>
  <si>
    <t>15-Jan-2026 08:30:00</t>
  </si>
  <si>
    <t xml:space="preserve">M-AFTER TUNING AND MAKE CALIBRATION BY THE MVCT OKAY AND NORMAL.CAN BE AS USUAL </t>
  </si>
  <si>
    <t>IKN401034</t>
  </si>
  <si>
    <t>IKNWIBE26000765</t>
  </si>
  <si>
    <t>05OT123</t>
  </si>
  <si>
    <t>14-Jan-2026 11:00:00</t>
  </si>
  <si>
    <t xml:space="preserve">L, QE:16-REPLACE NEW CUFF, UNIT TESTE AND FUCTIONING IN GOOD CONDITION 
</t>
  </si>
  <si>
    <t>IKNWIBE26000766</t>
  </si>
  <si>
    <t xml:space="preserve">CUFF BP LEAKING </t>
  </si>
  <si>
    <t>0 days, 0 hrs, 8 mins</t>
  </si>
  <si>
    <t>14-Jan-2026 11:22:00</t>
  </si>
  <si>
    <t>14-Jan-2026 13:50:00</t>
  </si>
  <si>
    <t>L- REPAIR TUBING DO PERFORMANCE TEST PASSED UNIT READY TO  USE</t>
  </si>
  <si>
    <t>IKN402231</t>
  </si>
  <si>
    <t>IKNWIBE26000788</t>
  </si>
  <si>
    <t>01AE111</t>
  </si>
  <si>
    <t>14-Jan-2026 15:00:00</t>
  </si>
  <si>
    <t>14-Jan-2026 17:00:00</t>
  </si>
  <si>
    <t>L, QE:16-INSTALL THE BASE OF THE PATIENT MONITOR IN THE AMBULANCE, THE PATIENT MONITOR AS TRANSPORT (USE IN THE EMERGENCY AND IN AMBULANCE)</t>
  </si>
  <si>
    <t>IKN400528</t>
  </si>
  <si>
    <t>IKNWIBE26000859</t>
  </si>
  <si>
    <t xml:space="preserve">UNIT FUNCTIONING IN 
GOOD CONDITION </t>
  </si>
  <si>
    <t>15-Jan-2026 10:30:00</t>
  </si>
  <si>
    <t>15-Jan-2026 11:00:00</t>
  </si>
  <si>
    <t>15-Jan-2026 11:15:00</t>
  </si>
  <si>
    <t>M-REQUEST PERFORMANCE CHECK
PERFORMANCE CHECKING DONE AS PER HEPPM CHECKLIST ATTACHED</t>
  </si>
  <si>
    <t>IKNWIBE26000985</t>
  </si>
  <si>
    <t xml:space="preserve">VACUUM PRESSURE 
WERE INTERMITTENT OUT OF RANGE </t>
  </si>
  <si>
    <t>0 days, 0 hrs, 25 mins</t>
  </si>
  <si>
    <t>16-Jan-2026 08:35:00</t>
  </si>
  <si>
    <t>16-Jan-2026 09:00:00</t>
  </si>
  <si>
    <t>P - REPLACE NEW VACUUM PUMP BY VENDOR AND DO THE PERFORMANCE TEST. ALL TESTED AND PASSED. UNIT RETURNED TO FUNCTIONALITY</t>
  </si>
  <si>
    <t>IKNWIBE26000990</t>
  </si>
  <si>
    <t xml:space="preserve">HDR RADIATION 
MONITOR DETECTED A HIGH RADIATION VALUE </t>
  </si>
  <si>
    <t>16-Jan-2026 09:52:00</t>
  </si>
  <si>
    <t>16-Jan-2026 10:00:00</t>
  </si>
  <si>
    <t>16-Jan-2026 14:30:00</t>
  </si>
  <si>
    <t xml:space="preserve">P - QE15: ADJUST BIL SENSOR. REDO TESTING PROCEDURE USING DAILY QA AND EXTERNAL READING WERE WITHIN THE CONTROL EXPOSURE </t>
  </si>
  <si>
    <t>IKN400213</t>
  </si>
  <si>
    <t>IKNWIBE26001006</t>
  </si>
  <si>
    <t>09WJ136</t>
  </si>
  <si>
    <t xml:space="preserve">UNIT INTERMITTENLY 
SHOW READING </t>
  </si>
  <si>
    <t>0 days, 11 hrs, 27 mins</t>
  </si>
  <si>
    <t>16-Jan-2026 22:27:00</t>
  </si>
  <si>
    <t>16-Jan-2026 11:00:00</t>
  </si>
  <si>
    <t>20-Jan-2026 12:30:00</t>
  </si>
  <si>
    <t xml:space="preserve">TIGHTEN TUBING , CHECK CONNECTION TUBING AND CUFF. DO PERFORMANCE TEST PASSED. UNIT READY FOR USE </t>
  </si>
  <si>
    <t>IKN400458</t>
  </si>
  <si>
    <t>IKNWIBE26001013</t>
  </si>
  <si>
    <t>06WC107</t>
  </si>
  <si>
    <t>MACHINE READING 
BP HIGH AND LEAKAGE</t>
  </si>
  <si>
    <t>0 days, 0 hrs, 53 mins</t>
  </si>
  <si>
    <t>17-Jan-2026 13:37:00</t>
  </si>
  <si>
    <t>17-Jan-2026 14:30:00</t>
  </si>
  <si>
    <t>20-Jan-2026 12:15:00</t>
  </si>
  <si>
    <t>P - QE12: DO LEAKAGE TESTING , CHANGE CUFF. TESTED PASSED</t>
  </si>
  <si>
    <t>IKN400491</t>
  </si>
  <si>
    <t>IKNWIBE26001031</t>
  </si>
  <si>
    <t>05WB113</t>
  </si>
  <si>
    <t xml:space="preserve">NEED FURTHER CHECK </t>
  </si>
  <si>
    <t>18-Jan-2026 14:40:00</t>
  </si>
  <si>
    <t>18-Jan-2026 15:00:00</t>
  </si>
  <si>
    <t>20-Jan-2026 10:00:00</t>
  </si>
  <si>
    <t>P - QE:12 , REPLACE NEW BATTERY AND PULSE OXIMETER</t>
  </si>
  <si>
    <t>IKN402210</t>
  </si>
  <si>
    <t>IKNWIBE26001032</t>
  </si>
  <si>
    <t>03ID111</t>
  </si>
  <si>
    <t xml:space="preserve">ISSUE, TABLE PRODUCE 
UNUSUAL SOUND </t>
  </si>
  <si>
    <t>18-Jan-2026 14:50:00</t>
  </si>
  <si>
    <t>18-Jan-2026 19:00:00</t>
  </si>
  <si>
    <t xml:space="preserve">L- VENDOR REPLACED ASET VERTICAL LIFT DRIVE FIX , TESTED , FUCTIONING OKAY </t>
  </si>
  <si>
    <t>IKNWIBE26001087</t>
  </si>
  <si>
    <t xml:space="preserve">QA NOT PASSED DUE 
TO SIDELINE </t>
  </si>
  <si>
    <t>19-Jan-2026 08:37:00</t>
  </si>
  <si>
    <t>19-Jan-2026 09:00:00</t>
  </si>
  <si>
    <t>19-Jan-2026 10:45:00</t>
  </si>
  <si>
    <t>P - THIS ISSUE WERE HANDLED BY HOSPITAL PHYSICIST</t>
  </si>
  <si>
    <t>IKN400031</t>
  </si>
  <si>
    <t>IKNWIBE26001094</t>
  </si>
  <si>
    <t>05IC106</t>
  </si>
  <si>
    <t xml:space="preserve">BANANA CLIP BROKEN </t>
  </si>
  <si>
    <t>0 days, 0 hrs, 15 mins</t>
  </si>
  <si>
    <t>19-Jan-2026 09:30:00</t>
  </si>
  <si>
    <t>19-Jan-2026 09:45:00</t>
  </si>
  <si>
    <t>19-Jan-2026 10:00:00</t>
  </si>
  <si>
    <t xml:space="preserve">P - QE11A:BANANA CLIP IS UNDER MEDICAL STORE , ADVICE USER TO CLAIM FROM MEDICAL STOREW </t>
  </si>
  <si>
    <t>IKN400460</t>
  </si>
  <si>
    <t>IKNWIBE26001102</t>
  </si>
  <si>
    <t>06WC113</t>
  </si>
  <si>
    <t>0 days, 0 hrs, 28 mins</t>
  </si>
  <si>
    <t>19-Jan-2026 12:02:00</t>
  </si>
  <si>
    <t>19-Jan-2026 12:30:00</t>
  </si>
  <si>
    <t>19-Jan-2026 13:15:00</t>
  </si>
  <si>
    <t xml:space="preserve">L, QE:16- UNIT REPLACED CUFF, PERFORMANCE TEST PASSED, UNIT READY FOR  USED </t>
  </si>
  <si>
    <t>IKN400486</t>
  </si>
  <si>
    <t>IKNWIBE26001108</t>
  </si>
  <si>
    <t xml:space="preserve">POWER SUPPLY 
CORD NOT FUCTIONING </t>
  </si>
  <si>
    <t>0 days, 0 hrs, 19 mins</t>
  </si>
  <si>
    <t>19-Jan-2026 13:26:00</t>
  </si>
  <si>
    <t>19-Jan-2026 13:45:00</t>
  </si>
  <si>
    <t>19-Jan-2026 14:45:00</t>
  </si>
  <si>
    <t>L, QE:16-REPLACE NEW POWER SUPPLY CARD, UNIT TEST AND FUNCTIONING IN GOOD CONDITION</t>
  </si>
  <si>
    <t xml:space="preserve">NA </t>
  </si>
  <si>
    <t>IKNWIBE26001113</t>
  </si>
  <si>
    <t>05OT120</t>
  </si>
  <si>
    <t>19-Jan-2026 15:50:00</t>
  </si>
  <si>
    <t>19-Jan-2026 16:00:00</t>
  </si>
  <si>
    <t>19-Jan-2026 17:00:00</t>
  </si>
  <si>
    <t>P - QE:11 , UNIT IS CLINICAL SET AND NOT UNDER BEMS. ADVICE USER THAT THIS UNIT IS NOT UNDER BEMS.</t>
  </si>
  <si>
    <t>Linear Accelerators</t>
  </si>
  <si>
    <t>IKNWIBE26001181</t>
  </si>
  <si>
    <t>01RT183</t>
  </si>
  <si>
    <t>MLC ERROR - LINAC 5 
(KKM/IKN/H/25/152)</t>
  </si>
  <si>
    <t>20-Jan-2026 07:53:00</t>
  </si>
  <si>
    <t xml:space="preserve">MLC LEAF B PRIMARY AND SECONDARY FAULTY. REPLACED PARTS AND TESTED OK UNIT RETURNED TO PULL FUNCTIONING. </t>
  </si>
  <si>
    <t>IKNWIBE26001284</t>
  </si>
  <si>
    <t xml:space="preserve">ECG LEAD 
INTERMITTENTLY DETECT </t>
  </si>
  <si>
    <t>0 days, 1 hrs, 2 mins</t>
  </si>
  <si>
    <t>21-Jan-2026 06:58:00</t>
  </si>
  <si>
    <t>21-Jan-2026 08:00:00</t>
  </si>
  <si>
    <t>21-Jan-2026 08:15:00</t>
  </si>
  <si>
    <t>L, QE:16-REPLACED ECG  LEAD TESTED FUCTIONING OKAY</t>
  </si>
  <si>
    <t>IKN402111</t>
  </si>
  <si>
    <t>IKNWIBE26001293</t>
  </si>
  <si>
    <t xml:space="preserve">UNIT GIVE ALARM 
WHEN USE ALTERNATING MODE , NEED FURTHER CHECK. </t>
  </si>
  <si>
    <t>21-Jan-2026 08:45:00</t>
  </si>
  <si>
    <t>21-Jan-2026 09:00:00</t>
  </si>
  <si>
    <t>21-Jan-2026 10:00:00</t>
  </si>
  <si>
    <t>P - QE12B: CHECK AND ADJUST ALL CONNECTOR OF ALL CELL ON THE RIPPLE MATTRESS</t>
  </si>
  <si>
    <t>IKN400293</t>
  </si>
  <si>
    <t>IKNWIBE26001303</t>
  </si>
  <si>
    <t xml:space="preserve">BATTERY FAULTY </t>
  </si>
  <si>
    <t>21-Jan-2026 14:45:00</t>
  </si>
  <si>
    <t>21-Jan-2026 15:30:00</t>
  </si>
  <si>
    <t>28-Jan-2026 16:00:00</t>
  </si>
  <si>
    <t>P-QE:12, REPLACE BATTERY , TEST OK. UNIT FUNCTIONING WELL</t>
  </si>
  <si>
    <t>IKN400575</t>
  </si>
  <si>
    <t>IKNWIBE26001304</t>
  </si>
  <si>
    <t>03NM185</t>
  </si>
  <si>
    <t xml:space="preserve">CUFF ADULT LARGE 
TEAR </t>
  </si>
  <si>
    <t>21-Jan-2026 15:00:00</t>
  </si>
  <si>
    <t>21-Jan-2026 15:10:00</t>
  </si>
  <si>
    <t xml:space="preserve">L- REPLACED CUFF ADULT LARGE . TESTED  OKEY </t>
  </si>
  <si>
    <t>IKN401237</t>
  </si>
  <si>
    <t>IKNWIBE26001328</t>
  </si>
  <si>
    <t>03NM108</t>
  </si>
  <si>
    <t>REPORTED ECG 
INCORRECT</t>
  </si>
  <si>
    <t>0 days, 0 hrs, 35 mins</t>
  </si>
  <si>
    <t>21-Jan-2026 16:15:00</t>
  </si>
  <si>
    <t>21-Jan-2026 16:50:00</t>
  </si>
  <si>
    <t>27-Jan-2026 15:00:00</t>
  </si>
  <si>
    <t xml:space="preserve">P-QE:12,SUSPECTED ECG BULB NOT PROPERLY CLEAND SINCE TESTE WITH TESTER, UNIT FUNCTIONING OKAY. REPLACED ECG BULB </t>
  </si>
  <si>
    <t>IKNWIBE26001400</t>
  </si>
  <si>
    <t>WATER TEMPERATURE 
LOW-LINAC 2</t>
  </si>
  <si>
    <t>0 days, 0 hrs, 14 mins</t>
  </si>
  <si>
    <t>22-Jan-2026 07:46:00</t>
  </si>
  <si>
    <t>CHILLER SETTING INTERUPTED DUE DISMANTLED LINAC 1 PUT BACKUP CHILLER IN ALTERNATING MODE AND UNIT BACK TO FULL FUNCTIONALITY.</t>
  </si>
  <si>
    <t>IKN400956</t>
  </si>
  <si>
    <t>IKNWIBE26001402</t>
  </si>
  <si>
    <t>01RT172</t>
  </si>
  <si>
    <t>ERROR GFRL -LINAC 3</t>
  </si>
  <si>
    <t>0 days, 0 hrs, 03 mins</t>
  </si>
  <si>
    <t>22-Jan-2026 08:12:00</t>
  </si>
  <si>
    <t>ALL ENERGIES INTERLOCK GRFL TRIGGERED ERROR. REPLACED BY VENDOR GUN POWER SUPPLY AND UNIT RETURNED TO FUNCTIONALITY .</t>
  </si>
  <si>
    <t>IKN400069</t>
  </si>
  <si>
    <t>IKNWIBE26001419</t>
  </si>
  <si>
    <t>05IC111</t>
  </si>
  <si>
    <t xml:space="preserve">NEED FURTHER CHECK 
, AC PLUG POINT WEAR AND FEAR </t>
  </si>
  <si>
    <t>0 days, 0 hrs, 43 mins</t>
  </si>
  <si>
    <t>22-Jan-2026 12:17:00</t>
  </si>
  <si>
    <t>22-Jan-2026 13:00:00</t>
  </si>
  <si>
    <t>22-Jan-2026 14:00:00</t>
  </si>
  <si>
    <t xml:space="preserve">P - QE12A: REPLACE NEW AC PLUG POINT , UNIT TEST AND FUNCTIONING IN GOOD CONDITION </t>
  </si>
  <si>
    <t>IKN400347</t>
  </si>
  <si>
    <t>IKNWIBE26001421</t>
  </si>
  <si>
    <t>07WF121</t>
  </si>
  <si>
    <t xml:space="preserve">BP CUFF CANNOT 
INFLATE ,UNDER MONITORING </t>
  </si>
  <si>
    <t>22-Jan-2026 12:55:00</t>
  </si>
  <si>
    <t>22-Jan-2026 13:20:00</t>
  </si>
  <si>
    <t>26-Jan-2026 15:00:00</t>
  </si>
  <si>
    <t>M-RE SEAT THE CONNECTOR HOSE, TESTED OKAY AND SUFF CAN INFLATE WELL</t>
  </si>
  <si>
    <t>IKN400210</t>
  </si>
  <si>
    <t>IKNWIBE26001422</t>
  </si>
  <si>
    <t>09WJ130</t>
  </si>
  <si>
    <t xml:space="preserve">ECG LEAD NOT 
FULLY DETECTED </t>
  </si>
  <si>
    <t>0 days, 0 hrs, 24 mins</t>
  </si>
  <si>
    <t>22-Jan-2026 13:06:00</t>
  </si>
  <si>
    <t>22-Jan-2026 13:30:00</t>
  </si>
  <si>
    <t>23-Jan-2026 12:30:00</t>
  </si>
  <si>
    <t xml:space="preserve">L, QE:12-CHECK ECG LEAD CONTINUITY , ALL DETECTED, TEST MACHINE PASSED </t>
  </si>
  <si>
    <t>IKNWIBE26001511</t>
  </si>
  <si>
    <t>06WD142</t>
  </si>
  <si>
    <t xml:space="preserve">BP CUFF LEAKING </t>
  </si>
  <si>
    <t>0 days, 1 hrs, 37 mins</t>
  </si>
  <si>
    <t>23-Jan-2026 16:13:00</t>
  </si>
  <si>
    <t>23-Jan-2026 17:50:00</t>
  </si>
  <si>
    <t>26-Jan-2026 08:30:00</t>
  </si>
  <si>
    <t>P - QE12: REPLACE NEW BOCUFF, DO TEST PASSED. UNIT READY FOR USE</t>
  </si>
  <si>
    <t>IKNWIBE26001512</t>
  </si>
  <si>
    <t>MESIN TOMOTERAPI 
MAGNETRON ARCHING BILIK 4- RADIOTERAPI ARAS 1</t>
  </si>
  <si>
    <t>23-Jan-2026 16:18:00</t>
  </si>
  <si>
    <t>UNIT SHOWS MFL AND AOM ERROR DUE TO ARCHING MAGNETRON REPLACED MAGNETRON TUNED MFL AND AOM THEN CALIBRATED DCS. TESTED OK AND UNIT RETURNED TO FUNCTIONING.</t>
  </si>
  <si>
    <t>IKN400762</t>
  </si>
  <si>
    <t>IKNWIBE26001530</t>
  </si>
  <si>
    <t>04LA133</t>
  </si>
  <si>
    <t xml:space="preserve">MODULE 1 REAGENT 
SUPPLY CENTER TEMPERATURE ABOVE MAX RANGE </t>
  </si>
  <si>
    <t>0 days, 0 hrs, 11 mins</t>
  </si>
  <si>
    <t>24-Jan-2026 12:49:00</t>
  </si>
  <si>
    <t>24-Jan-2026 13:00:00</t>
  </si>
  <si>
    <t>24-Jan-2026 15:00:00</t>
  </si>
  <si>
    <t xml:space="preserve">P - QE12A: RESTART THE UNIT  , CHECK TEMPERATURE STATUS OK </t>
  </si>
  <si>
    <t>IKNWIBE26001533</t>
  </si>
  <si>
    <t xml:space="preserve">REPORTED NOT 
READING </t>
  </si>
  <si>
    <t>0 days, 1 hrs, 58 mins</t>
  </si>
  <si>
    <t>25-Jan-2026 08:02:00</t>
  </si>
  <si>
    <t>25-Jan-2026 10:00:00</t>
  </si>
  <si>
    <t>26-Jan-2026 10:00:00</t>
  </si>
  <si>
    <t xml:space="preserve">L, QE:16- TEST UNIT FUNCTIONING OKEY, FIXED SWITCH UNDER MONITORING 
</t>
  </si>
  <si>
    <t>IKN400377</t>
  </si>
  <si>
    <t>IKNWIBE26001535</t>
  </si>
  <si>
    <t>07WE113</t>
  </si>
  <si>
    <t>MATTRESSD TUBING 
DETECHED</t>
  </si>
  <si>
    <t>25-Jan-2026 12:20:00</t>
  </si>
  <si>
    <t>25-Jan-2026 12:30:00</t>
  </si>
  <si>
    <t>L, QE:16-DETACHED BACK THE TUBING TESTED UNIT FUCTIONING OKEY</t>
  </si>
  <si>
    <t>IKNWIBE26001602</t>
  </si>
  <si>
    <t>WATER PRESSURE LOW READING (6) AND 6MB PHOTON OUTPUT -RADIOTERAPI ARAS 1</t>
  </si>
  <si>
    <t>26-Jan-2026 08:05:00</t>
  </si>
  <si>
    <t>WATER GAUGE SHOWED THE PRESSURE BELOW FROM THE RANGE FILL UO THE WATER AND MONITOR THE PRESSURE. WATER PRESSURE BACK INTO RANGE AND TESTED OK.</t>
  </si>
  <si>
    <t>IKNWIBE26001603</t>
  </si>
  <si>
    <t>26-Jan-2026 08:12:00</t>
  </si>
  <si>
    <t>26-Jan-2026 08:20:00</t>
  </si>
  <si>
    <t>27-Jan-2026 09:20:00</t>
  </si>
  <si>
    <t>M-RESTART THE UNIT,SELF CHECK ,TEST FUNCTIOING OK</t>
  </si>
  <si>
    <t>IKN402004</t>
  </si>
  <si>
    <t>IKNWIBE26001607</t>
  </si>
  <si>
    <t>CATALYST MONITOR VGA LOW SIGNAL- NOVALIS LINAC 3- RADIOTERAPI ARAS 1</t>
  </si>
  <si>
    <t>0 days, 1 hrs, 27 mins</t>
  </si>
  <si>
    <t>26-Jan-2026 08:23:00</t>
  </si>
  <si>
    <t>CATALYST DISPLAY BLANK. TIGHTED ALL CABLE AND CONNECTORS THROUGH THE SYNGO TESTED OK AND UNIT LEFT IN FUNCTIONING.</t>
  </si>
  <si>
    <t>IKNWIBE26001625</t>
  </si>
  <si>
    <t>MESIN TOMOTERAPI 
LASER RIGHT MISSING - RADIOTERAPI ARAS 1</t>
  </si>
  <si>
    <t>0 days, 0 hrs, 16 mins</t>
  </si>
  <si>
    <t>26-Jan-2026 14:44:00</t>
  </si>
  <si>
    <t xml:space="preserve">RIGHT LASER NOT APPEAR DURING TREATMENT THIS MAY OCCUR DUE TO PLAN ISSUES WHEN THE RED LASER NOT APPEAR. TESTED OK AND UNIT RETURNED IN FUNCTIONING. </t>
  </si>
  <si>
    <t>IKN401439</t>
  </si>
  <si>
    <t>IKNWIBE26001673</t>
  </si>
  <si>
    <t>03WA117</t>
  </si>
  <si>
    <t>REPORTED HEIGHT 
AND WEIGHT INCORRECT</t>
  </si>
  <si>
    <t>26-Jan-2026 16:15:00</t>
  </si>
  <si>
    <t>26-Jan-2026 16:30:00</t>
  </si>
  <si>
    <t>29-Jan-2026 09:00:00</t>
  </si>
  <si>
    <t>P QE:10, TESTED HEIGHT FUNCTIONING OKAY. TESTED WEIGHT, FOR WEIGHT EXCEEDING 50KG, THE READING WILL BE BELOW 200G WHICH IS BELOW THE ACTUAL VALUE. THIS UNDER ACCEPTABLE TOLARANCE.</t>
  </si>
  <si>
    <t>IKN400757</t>
  </si>
  <si>
    <t>IKNWIBE26001771</t>
  </si>
  <si>
    <t>04LA131</t>
  </si>
  <si>
    <t>ALARM REPLACE 
GLASS SPREDER</t>
  </si>
  <si>
    <t>0 days, 0 hrs, 22 mins</t>
  </si>
  <si>
    <t>27-Jan-2026 09:08:00</t>
  </si>
  <si>
    <t>27-Jan-2026 09:30:00</t>
  </si>
  <si>
    <t>28-Jan-2026 09:30:00</t>
  </si>
  <si>
    <t>P - QE12A: REPLACE GLASS SPREDER. TEST FUNCTIONING OK</t>
  </si>
  <si>
    <t>IKN400602</t>
  </si>
  <si>
    <t>IKNWIBE26001775</t>
  </si>
  <si>
    <t>04DO111</t>
  </si>
  <si>
    <t xml:space="preserve">BP CUFF BOCOR </t>
  </si>
  <si>
    <t>27-Jan-2026 09:35:00</t>
  </si>
  <si>
    <t>27-Jan-2026 10:00:00</t>
  </si>
  <si>
    <t>27-Jan-2026 10:30:00</t>
  </si>
  <si>
    <t>M-REPLACE NEW BP CUFF.TEST FUNCTIONING OK</t>
  </si>
  <si>
    <t>IKN400171</t>
  </si>
  <si>
    <t>IKNWIBE26001781</t>
  </si>
  <si>
    <t>05IC131</t>
  </si>
  <si>
    <t xml:space="preserve">OXYGEN SENSOR 
FAILE. NEED TO REPLACE OXYGEN SENSOR </t>
  </si>
  <si>
    <t>27-Jan-2026 11:07:00</t>
  </si>
  <si>
    <t>27-Jan-2026 11:15:00</t>
  </si>
  <si>
    <t>27-Jan-2026 12:00:00</t>
  </si>
  <si>
    <t xml:space="preserve">P-REPLACE NEW OXYGEN SENSOR, DEVICE CHECK PASSED, AIRTIGHT CHECK </t>
  </si>
  <si>
    <t>IKNWIBE26001785</t>
  </si>
  <si>
    <t xml:space="preserve">POPUP XC ERROR 
DURING CTA LIVE CASE </t>
  </si>
  <si>
    <t>27-Jan-2026 11:00:00</t>
  </si>
  <si>
    <t>27-Jan-2026 13:00:00</t>
  </si>
  <si>
    <t xml:space="preserve">M-FULLY SHUTDOWN UNIT AND CONTINUE CASE.UNIT TESTED FUNCTIONING OKAY </t>
  </si>
  <si>
    <t>IKN402188</t>
  </si>
  <si>
    <t>IKNWIBE26001788</t>
  </si>
  <si>
    <t>03NM150</t>
  </si>
  <si>
    <t>REPORTED BY USER 
ERROR -CRUBICLE FAILED TO REACH FULL TEMPERATURE-</t>
  </si>
  <si>
    <t>27-Jan-2026 09:00:00</t>
  </si>
  <si>
    <t>27-Jan-2026 09:10:00</t>
  </si>
  <si>
    <t>27-Jan-2026 15:30:00</t>
  </si>
  <si>
    <t xml:space="preserve">M-VENDOR CHECKED AND CHANGED- CONTACT AND HOLDER ASSEMBLY KIT-.TESTED FEW TIMES.UNIT FUNCTIONING OKAY </t>
  </si>
  <si>
    <t>IKN402180</t>
  </si>
  <si>
    <t>IKNWIBE26001793</t>
  </si>
  <si>
    <t>03NM158</t>
  </si>
  <si>
    <t>SCANNING WITH BODY 
CONTOUR OPTION IS DISABLED</t>
  </si>
  <si>
    <t>27-Jan-2026 16:50:00</t>
  </si>
  <si>
    <t>27-Jan-2026 17:00:00</t>
  </si>
  <si>
    <t>28-Jan-2026 10:00:00</t>
  </si>
  <si>
    <t xml:space="preserve">M-VENDOR VERIFY THE ERROR LOGS AND PERFORM THE POWER CYCLE.RUN DUMMY SCAN USING PHANTOM,PASSED NO PSD ERROR </t>
  </si>
  <si>
    <t>IKNWIBE26001796</t>
  </si>
  <si>
    <t xml:space="preserve">SYNGO VIA UPGRADE </t>
  </si>
  <si>
    <t>27-Jan-2026 15:40:00</t>
  </si>
  <si>
    <t>27-Jan-2026 20:00:00</t>
  </si>
  <si>
    <t>M-UPDATE COMPLETED BY VENDOR FOR SYNGO.VIA.TESTED FUNCTIONING OKAY</t>
  </si>
  <si>
    <t>IKNWIBE26001893</t>
  </si>
  <si>
    <t xml:space="preserve">UNIT BLINKING AND NO 
READING APPEAR. CAUSES BATTERYLOW </t>
  </si>
  <si>
    <t>28-Jan-2026 09:37:00</t>
  </si>
  <si>
    <t>21-Jan-2026 11:00:00</t>
  </si>
  <si>
    <t>P - QE:12 , REPLACE BATTERY , TEST OK. UNIT FUNCTIONING WELL , CLEAN UNIT.</t>
  </si>
  <si>
    <t>IKNWIBE26001900</t>
  </si>
  <si>
    <t>MACHINE NOT 
SCANNING</t>
  </si>
  <si>
    <t>28-Jan-2026 12:30:00</t>
  </si>
  <si>
    <t>28-Jan-2026 12:45:00</t>
  </si>
  <si>
    <t>28-Jan-2026 13:20:00</t>
  </si>
  <si>
    <t>P-RESTART SYSTEM &amp; SYSTEM ABLE TO CONTINUE SCANNING. UNIT FUNCTIONING OKAY</t>
  </si>
  <si>
    <t>IKN400631</t>
  </si>
  <si>
    <t>IKNWIBE26001909</t>
  </si>
  <si>
    <t>04DO120</t>
  </si>
  <si>
    <t xml:space="preserve">CHARGER FAULTY
</t>
  </si>
  <si>
    <t>28-Jan-2026 15:47:00</t>
  </si>
  <si>
    <t>28-Jan-2026 16:15:00</t>
  </si>
  <si>
    <t xml:space="preserve">L, QE:12-REPLACE CHARGER
</t>
  </si>
  <si>
    <t>IKN400620</t>
  </si>
  <si>
    <t>IKNWIBE26001910</t>
  </si>
  <si>
    <t>04DO119</t>
  </si>
  <si>
    <t>CHARGER FAULTY</t>
  </si>
  <si>
    <t>28-Jan-2026 15:57:00</t>
  </si>
  <si>
    <t>28-Jan-2026 16:20:00</t>
  </si>
  <si>
    <t>28-Jan-2026 16:45:00</t>
  </si>
  <si>
    <t>L, QE:16-REPLACE CHARGER</t>
  </si>
  <si>
    <t>IKN400610</t>
  </si>
  <si>
    <t>IKNWIBE26001912</t>
  </si>
  <si>
    <t>04DO118</t>
  </si>
  <si>
    <t>28-Jan-2026 16:04:00</t>
  </si>
  <si>
    <t>28-Jan-2026 16:35:00</t>
  </si>
  <si>
    <t xml:space="preserve">L, QE:16-REPLACE CHARGER
</t>
  </si>
  <si>
    <t>IKN400303</t>
  </si>
  <si>
    <t>IKNWIBE26001924</t>
  </si>
  <si>
    <t>UNIT BROKEN , NOT 
FULLY INFLATE</t>
  </si>
  <si>
    <t>0 days, 1 hrs, 17 mins</t>
  </si>
  <si>
    <t>28-Jan-2026 19:58:00</t>
  </si>
  <si>
    <t>28-Jan-2026 21:15:00</t>
  </si>
  <si>
    <t>28-Jan-2026 23:15:00</t>
  </si>
  <si>
    <t>P - QE:12 , CHECK AND TIGHTEN TUBING , CHECK PHYSICAL CONDITION. OK TEST UNIT UNTIL FULLY INFLATE , PASSED UNIT READY FOR USE</t>
  </si>
  <si>
    <t>IKNWIBE26001998</t>
  </si>
  <si>
    <t xml:space="preserve">GRINDING SOUND 
WHEN MOTOR MOVING DUE TO RUSTY </t>
  </si>
  <si>
    <t>29-Jan-2026 16:49:00</t>
  </si>
  <si>
    <t>29-Jan-2026 17:00:00</t>
  </si>
  <si>
    <t>30-Jan-2026 21:00:00</t>
  </si>
  <si>
    <t xml:space="preserve">L, QE:16- LUBRICATE THE MOTOR </t>
  </si>
  <si>
    <t>IKN400945</t>
  </si>
  <si>
    <t>IKNWIBE26002054</t>
  </si>
  <si>
    <t>03MC127</t>
  </si>
  <si>
    <t>WIRE CAMERA BESI 
BENGKOK BILIK 7 - MDC ARAS 3</t>
  </si>
  <si>
    <t>0 days, 0 hrs, 09 mins</t>
  </si>
  <si>
    <t>30-Jan-2026 09:26:00</t>
  </si>
  <si>
    <t>REPLACE NEW CABLE, TESTED OKAY AND DATA CAN TRANSFER TO PC.</t>
  </si>
  <si>
    <t>Current Month (Work Order Open)</t>
  </si>
  <si>
    <t>IKN400440</t>
  </si>
  <si>
    <t>IKNWIBE26001002</t>
  </si>
  <si>
    <t>06WC143</t>
  </si>
  <si>
    <t>MACHINE BP TIDAK 
BERFUNGSI -6A</t>
  </si>
  <si>
    <t>0 days, 1 hrs, 10 mins</t>
  </si>
  <si>
    <t>16-Jan-2026 20:20:00</t>
  </si>
  <si>
    <t>IKN400645</t>
  </si>
  <si>
    <t>IKNWIBE26001911</t>
  </si>
  <si>
    <t>04DO121</t>
  </si>
  <si>
    <t>INFUSION PUMP 
CHARGER NOT FUNCTION - DAYCARE ARAS 4</t>
  </si>
  <si>
    <t>IKN401714</t>
  </si>
  <si>
    <t>IKNWIBE26001913</t>
  </si>
  <si>
    <t>28-Jan-2026 16:08:00</t>
  </si>
  <si>
    <t>Previous Month (Work Order Closed)</t>
  </si>
  <si>
    <t>IKNWIBE25021001</t>
  </si>
  <si>
    <t>MESIN ECG WIRE CABLE ROSAK -ICU ARAS 5</t>
  </si>
  <si>
    <t>NORMAL</t>
  </si>
  <si>
    <t>0 days, 1 hrs, 12 mins</t>
  </si>
  <si>
    <t>15-Nov-2025 08:18:00</t>
  </si>
  <si>
    <t>09-Jan-2026 16:00:00</t>
  </si>
  <si>
    <t>Y</t>
  </si>
  <si>
    <t>IKN400312</t>
  </si>
  <si>
    <t>IKNWIBE25021278</t>
  </si>
  <si>
    <t>08WH143</t>
  </si>
  <si>
    <t>SPO2 MACHINE TIDAK BERFUNGSI- WAD 8B</t>
  </si>
  <si>
    <t>0 days, 0 hrs, 32 mins</t>
  </si>
  <si>
    <t>19-Nov-2025 17:58:00</t>
  </si>
  <si>
    <t>05-Jan-2026 11:17:00</t>
  </si>
  <si>
    <t>RECONNECT AND RESEAT ALL CABLE BOARD</t>
  </si>
  <si>
    <t>IKN400535</t>
  </si>
  <si>
    <t>IKNWIBE25021750</t>
  </si>
  <si>
    <t>03WA116</t>
  </si>
  <si>
    <t>MACHINE CANNOT TURN ON</t>
  </si>
  <si>
    <t>26-Nov-2025 12:45:00</t>
  </si>
  <si>
    <t>15-Dec-2025 14:00:00</t>
  </si>
  <si>
    <t>REPLACED BATTERY AND PNEUMATIC MANIFOLD. TESTED UNIT FUNCTIONING OKAY.</t>
  </si>
  <si>
    <t>IKN400098</t>
  </si>
  <si>
    <t>IKNWIBE25021896</t>
  </si>
  <si>
    <t>05IC112</t>
  </si>
  <si>
    <t>SYRINGE PUMP BERBUNYI ALARM - ICU ARAS 5</t>
  </si>
  <si>
    <t>28-Nov-2025 10:21:00</t>
  </si>
  <si>
    <t>BATTERY DEPLETED, REPLACED NEW BATTERY AND TESTED OK.</t>
  </si>
  <si>
    <t>IKN401043</t>
  </si>
  <si>
    <t>IKNWIBE25023511</t>
  </si>
  <si>
    <t>05OT159</t>
  </si>
  <si>
    <t>CABLE SPO2 AND PROBE CANNOT FUNCTION - GOT ARAS 5</t>
  </si>
  <si>
    <t>23-Dec-2025 12:50:00</t>
  </si>
  <si>
    <t>23-Dec-2025 13:00:00</t>
  </si>
  <si>
    <t>02-Jan-2026 11:15:00</t>
  </si>
  <si>
    <t>REPLACE NEW SPO2 PROBE</t>
  </si>
  <si>
    <t>IKN400567</t>
  </si>
  <si>
    <t>03NM164</t>
  </si>
  <si>
    <t>29-Dec-2025 10:00:00</t>
  </si>
  <si>
    <t>IKN401070</t>
  </si>
  <si>
    <t>IKNWIBE25023842</t>
  </si>
  <si>
    <t>03MC108</t>
  </si>
  <si>
    <t>CM-LIGHT SOURCE XENON LAMP REPLACEMENT</t>
  </si>
  <si>
    <t>29-Dec-2025 15:00:00</t>
  </si>
  <si>
    <t>29-Dec-2025 15:10:00</t>
  </si>
  <si>
    <t>06-Jan-2026 15:00:00</t>
  </si>
  <si>
    <t>P - REPLACE NEW LIGHT BULB (ILHAN: 29/12/2025 - 15:30 SEHINGGA 6/1/2026 -15:00)</t>
  </si>
  <si>
    <t>IKN400229</t>
  </si>
  <si>
    <t>Infusion Pumps, General-Purpose</t>
  </si>
  <si>
    <t>IKNWIBE25023843</t>
  </si>
  <si>
    <t>09WJ126</t>
  </si>
  <si>
    <t>CM-BATTERY REPLACEMENT</t>
  </si>
  <si>
    <t>29-Dec-2025 10:10:00</t>
  </si>
  <si>
    <t>03-Feb-2026 16:30:00</t>
  </si>
  <si>
    <t>P - QE12: , REPLACE NEW SET OF BATTERY</t>
  </si>
  <si>
    <t>Previous Month (Work Order Open)</t>
  </si>
  <si>
    <t>IKN400446</t>
  </si>
  <si>
    <t>IKNWIBE25020556</t>
  </si>
  <si>
    <t>DOOR INFUSSION PUMP CANNOT CLOSE - WAD 6A</t>
  </si>
  <si>
    <t>0 days, 0 hrs, 38 mins</t>
  </si>
  <si>
    <t>09-Nov-2025 20:02:00</t>
  </si>
  <si>
    <t>Sent to Bbraun DN:19/11/25 PO12152725 4/12/25</t>
  </si>
  <si>
    <t>IKN400366</t>
  </si>
  <si>
    <t>IKNWIBE25020728</t>
  </si>
  <si>
    <t>INFUSION PUMP  CANNOT OPEN - WAD 7A</t>
  </si>
  <si>
    <t>11-Nov-2025 20:30:00</t>
  </si>
  <si>
    <t>IKN402165</t>
  </si>
  <si>
    <t>IKNWIBE25021031</t>
  </si>
  <si>
    <t>05WB107</t>
  </si>
  <si>
    <t>INFUSION PUMP-LCD NOT FUNCTION -5A</t>
  </si>
  <si>
    <t>0 days, 0 hrs, 3 mins</t>
  </si>
  <si>
    <t>16-Nov-2025 22:42:00</t>
  </si>
  <si>
    <t>IKN400565</t>
  </si>
  <si>
    <t>IKNWIBE25021350</t>
  </si>
  <si>
    <t>03NM155</t>
  </si>
  <si>
    <t>PRINTER PROBLEM- KLINIK NUKLEAR</t>
  </si>
  <si>
    <t>20-Nov-2025 10:00:00</t>
  </si>
  <si>
    <t>IKN400439</t>
  </si>
  <si>
    <t>IKNWIBE25021419</t>
  </si>
  <si>
    <t>BP SET BATTERY AND CONNECTION CUFF FAILED- WAD 6A</t>
  </si>
  <si>
    <t>21-Nov-2025 08:05:00</t>
  </si>
  <si>
    <t>IKN401076</t>
  </si>
  <si>
    <t>IKNWIBE25021758</t>
  </si>
  <si>
    <t>BUTTON NOT FUCTIONING</t>
  </si>
  <si>
    <t>26-Nov-2025 16:00:00</t>
  </si>
  <si>
    <t>IKN402147</t>
  </si>
  <si>
    <t>IKNWIBE25013055</t>
  </si>
  <si>
    <t>01RT131</t>
  </si>
  <si>
    <t>MACHINE OVER VOLTAGE - RT (01RT213)</t>
  </si>
  <si>
    <t>0 days, 1 hrs, 07 mins</t>
  </si>
  <si>
    <t>14-Jul-2025 12:53:00</t>
  </si>
  <si>
    <t>IKN401071</t>
  </si>
  <si>
    <t>Video Image Processors, Endoscopic</t>
  </si>
  <si>
    <t>IKNWIBE25023084</t>
  </si>
  <si>
    <t>SCOPE NOT FUCTIONING</t>
  </si>
  <si>
    <t>16-Dec-2025 16:00:00</t>
  </si>
  <si>
    <t>16-Dec-2025 16:10:00</t>
  </si>
  <si>
    <t>IKN402081</t>
  </si>
  <si>
    <t>IKNWIBE25023258</t>
  </si>
  <si>
    <t>INFUSION PUMP NOT FUNCTION -DAYCARE</t>
  </si>
  <si>
    <t>18-Dec-2025 17:30:00</t>
  </si>
  <si>
    <t>IKN401353</t>
  </si>
  <si>
    <t>Radiographic/Fluoroscopic Units, Mobile</t>
  </si>
  <si>
    <t>IKNWIBE25023619</t>
  </si>
  <si>
    <t>MACHINE ERROR INVERTED AND NOT FUNCTION- GOT</t>
  </si>
  <si>
    <t>1 days, 0 hrs, 10 mins</t>
  </si>
  <si>
    <t>24-Dec-2025 15:57:00</t>
  </si>
  <si>
    <t>24-Dec-2025 15:57:01</t>
  </si>
  <si>
    <t>IKN400422</t>
  </si>
  <si>
    <t>IKNWIBE25023728</t>
  </si>
  <si>
    <t>06WD153</t>
  </si>
  <si>
    <t>INFUSION PUMP SCREEN TAK KELUAR TULISAN - WAD 6B</t>
  </si>
  <si>
    <t>0 days, 0 hrs, 54 mins</t>
  </si>
  <si>
    <t>27-Dec-2025 13:56:00</t>
  </si>
  <si>
    <t>27-Dec-2025 14:50:00</t>
  </si>
  <si>
    <t>IKN400482</t>
  </si>
  <si>
    <t>IKNWIBE25023897</t>
  </si>
  <si>
    <t>INFUSION PUMP BERBUNYI -5A</t>
  </si>
  <si>
    <t>30-Dec-2025 10:10:00</t>
  </si>
  <si>
    <t>30-Dec-2025 10:20:00</t>
  </si>
  <si>
    <t>IKN400782</t>
  </si>
  <si>
    <t>Laser Imagers</t>
  </si>
  <si>
    <t>IKNWIBE25023967</t>
  </si>
  <si>
    <t>03ID178</t>
  </si>
  <si>
    <t>PRINTER JAM</t>
  </si>
  <si>
    <t>31-Dec-2025 09:00:00</t>
  </si>
  <si>
    <t>31-Dec-2025 09:15:00</t>
  </si>
  <si>
    <t>-</t>
  </si>
  <si>
    <t>TOTAL DEDUCTION FOR IND. B.2:</t>
  </si>
  <si>
    <t xml:space="preserve">                                                                                                                                                                                                                                                                                                                                                                                                                                                                                                                                                                                                                                                                                                                                                                                                                                                                                                                                                                                                                                                                                                                                                                                                                                                                                                                                                                                                                                                                                                                                                                                                                                                                                                                                                                                                                                                                                                                                                                                                                                                                                                                                                                                                                                                                                                         </t>
  </si>
  <si>
    <r>
      <rPr>
        <b/>
        <sz val="16"/>
        <rFont val="Arial"/>
        <family val="2"/>
      </rPr>
      <t xml:space="preserve">Deduction Mapping Report
</t>
    </r>
    <r>
      <rPr>
        <sz val="16"/>
        <rFont val="Arial"/>
        <family val="2"/>
      </rPr>
      <t>Biomedical Engineering Maintenance Services (BEMS)</t>
    </r>
  </si>
  <si>
    <t>INDICATOR B.3 SCHEDULED MAINTENANCE</t>
  </si>
  <si>
    <t>STATE :</t>
  </si>
  <si>
    <t>COMPANY :</t>
  </si>
  <si>
    <t>2) Deduction Value for Indicator B.3 is Deduction Ringgit Equivalent (per event)</t>
  </si>
  <si>
    <t>3) Rescheduled Date is the final rescheduled date if there are multiple rescheduling</t>
  </si>
  <si>
    <t>4) Display only asset affected by deduction</t>
  </si>
  <si>
    <t>Scheduled Start Date</t>
  </si>
  <si>
    <t>Maintenance Date</t>
  </si>
  <si>
    <t>Rescheduled Date</t>
  </si>
  <si>
    <t>Indicator B.3</t>
  </si>
  <si>
    <t>Current Month (Closed)</t>
  </si>
  <si>
    <t>IKN400803</t>
  </si>
  <si>
    <t>Ventilators, Transport</t>
  </si>
  <si>
    <t>IKNWOBE26000241</t>
  </si>
  <si>
    <t>01RT233</t>
  </si>
  <si>
    <t>13-Jan-2026 00:00:00</t>
  </si>
  <si>
    <t>13-Jan-2026 10:00:00</t>
  </si>
  <si>
    <t>L, QE:16-MAINTAINANCE DONE AS PER HEPPM CHECKLIST ATTACHED</t>
  </si>
  <si>
    <t>IKN400804</t>
  </si>
  <si>
    <t>Intubation Scopes, Flexible Fiberoptic</t>
  </si>
  <si>
    <t>IKNWOBE26000242</t>
  </si>
  <si>
    <t>05OT169</t>
  </si>
  <si>
    <t>13-Jan-2026 12:20:00</t>
  </si>
  <si>
    <t xml:space="preserve">L, QE:16-MAINTAINANCE DONE AS PER HEPPM CHECKLIST ATTACHED
</t>
  </si>
  <si>
    <t>IKN400805</t>
  </si>
  <si>
    <t>IKNWOBE26000243</t>
  </si>
  <si>
    <t>13-Jan-2026 14:10:00</t>
  </si>
  <si>
    <t>IKN401013</t>
  </si>
  <si>
    <t>Television Systems, Endoscope</t>
  </si>
  <si>
    <t>IKNWOBE26000244</t>
  </si>
  <si>
    <t>05OT167</t>
  </si>
  <si>
    <t>13-Jan-2026 14:00:00</t>
  </si>
  <si>
    <t xml:space="preserve">L, QE:16-MAINTAINANCE DONE AS PER ROUTINE INSPECTION CHECKLIST ATTACHED
</t>
  </si>
  <si>
    <t>IKN401014</t>
  </si>
  <si>
    <t>Light Sources, Fiberoptic</t>
  </si>
  <si>
    <t>IKNWOBE26000245</t>
  </si>
  <si>
    <t>13-Jan-2026 14:30:00</t>
  </si>
  <si>
    <t>IKN400541</t>
  </si>
  <si>
    <t>Defibrillators, External, Manual</t>
  </si>
  <si>
    <t>IKNWOBE26000246</t>
  </si>
  <si>
    <t>03WA121</t>
  </si>
  <si>
    <t>13-Jan-2026 14:15:00</t>
  </si>
  <si>
    <t xml:space="preserve">L, QE:16-PPM COMPLETE AS PER CHECKLIST UNIT TESTED OKEY </t>
  </si>
  <si>
    <t>IKN400841</t>
  </si>
  <si>
    <t>Anesthesia Units</t>
  </si>
  <si>
    <t>IKNWOBE26000247</t>
  </si>
  <si>
    <t>01RT278</t>
  </si>
  <si>
    <t>13-Jan-2026 08:00:00</t>
  </si>
  <si>
    <t>IKN400959</t>
  </si>
  <si>
    <t>IKNWOBE26000248</t>
  </si>
  <si>
    <t>01RT212</t>
  </si>
  <si>
    <t>IKN400587</t>
  </si>
  <si>
    <t>Defibrillator/Pacemakers, External</t>
  </si>
  <si>
    <t>IKNWOBE26000251</t>
  </si>
  <si>
    <t>15-Jan-2026 00:00:00</t>
  </si>
  <si>
    <t>15-Jan-2026 12:00:00</t>
  </si>
  <si>
    <t>L, QE:16-PPM COMPLETE AS PER CHECKLIST, UNIT FUCTIONING OKEY</t>
  </si>
  <si>
    <t>IKN400777</t>
  </si>
  <si>
    <t>IKNWOBE26000252</t>
  </si>
  <si>
    <t>03ID167</t>
  </si>
  <si>
    <t>15-Jan-2026 17:30:00</t>
  </si>
  <si>
    <t>IKN401011</t>
  </si>
  <si>
    <t>Nasopharyngoscopes</t>
  </si>
  <si>
    <t>IKNWOBE26000253</t>
  </si>
  <si>
    <t>15-Jan-2026 09:00:00</t>
  </si>
  <si>
    <t>IKN400004</t>
  </si>
  <si>
    <t>Electrocardiographs, Multichannel, Interpretative</t>
  </si>
  <si>
    <t>IKNWOBE26000256</t>
  </si>
  <si>
    <t>01AE110</t>
  </si>
  <si>
    <t>16-Jan-2026 00:00:00</t>
  </si>
  <si>
    <t>MAINTENANCE DONE ACCORDING TO HEPPM CHECKLIST ATTACHED.</t>
  </si>
  <si>
    <t>IKNWOBE26000257</t>
  </si>
  <si>
    <t>IKN400828</t>
  </si>
  <si>
    <t>IKNWOBE26000258</t>
  </si>
  <si>
    <t>01RT275</t>
  </si>
  <si>
    <t>16-Jan-2026 14:00:00</t>
  </si>
  <si>
    <t xml:space="preserve">L, QE:16-MAINTAINANCE DONE AS PER HEPPM CHECKLIST ATTACHED
</t>
  </si>
  <si>
    <t>IKN400835</t>
  </si>
  <si>
    <t>Electrosurgical Units, Monopolar/Bipolar</t>
  </si>
  <si>
    <t>IKNWOBE26000259</t>
  </si>
  <si>
    <t>IKN402050</t>
  </si>
  <si>
    <t>Electrocardiographs, Multichannel, Non-Interpretative</t>
  </si>
  <si>
    <t>IKNWOBE26000260</t>
  </si>
  <si>
    <t>01AE106</t>
  </si>
  <si>
    <t>16-Jan-2026 15:00:00</t>
  </si>
  <si>
    <t xml:space="preserve">L, QE:16-MAINTAINANCE DONE AS PER CHECKLIST ATTACHED
</t>
  </si>
  <si>
    <t>IKN401005</t>
  </si>
  <si>
    <t>Oxygen Monitors</t>
  </si>
  <si>
    <t>IKNWOBE26000868</t>
  </si>
  <si>
    <t>05OT165</t>
  </si>
  <si>
    <t>19-Jan-2026 00:00:00</t>
  </si>
  <si>
    <t>P, QE16: MAINTENANCE DONE AS PER HEPPM CHECKLIST ATTACHED</t>
  </si>
  <si>
    <t>IKN400001</t>
  </si>
  <si>
    <t>IKNWOBE26000870</t>
  </si>
  <si>
    <t>01AE112</t>
  </si>
  <si>
    <t>20-Jan-2026 00:00:00</t>
  </si>
  <si>
    <t>IKN400562</t>
  </si>
  <si>
    <t>IKNWOBE26000871</t>
  </si>
  <si>
    <t>20-Jan-2026 14:00:00</t>
  </si>
  <si>
    <t>L, QE:16-PPM COMPLETE AS PER CHECKLIST, UNIT TESTED OKEY</t>
  </si>
  <si>
    <t>IKN400723</t>
  </si>
  <si>
    <t>Microscopes, Light, Laboratory, Fluorescence</t>
  </si>
  <si>
    <t>IKNWOBE26000872</t>
  </si>
  <si>
    <t>04LA114</t>
  </si>
  <si>
    <t>20-Jan-2026 15:00:00</t>
  </si>
  <si>
    <t>IKN402183</t>
  </si>
  <si>
    <t>Physiologic Monitoring Systems, Acute Care</t>
  </si>
  <si>
    <t>IKNWOBE26000874</t>
  </si>
  <si>
    <t>20-Feb-2026 15:00:00</t>
  </si>
  <si>
    <t>L, QE:16-PPM COMPLETE AS PER CHECKLIST. UNIT FUCTIONING OKEY</t>
  </si>
  <si>
    <t>IKN402184</t>
  </si>
  <si>
    <t>IKNWOBE26000875</t>
  </si>
  <si>
    <t>03NM161</t>
  </si>
  <si>
    <t>20-Jan-2026 16:00:00</t>
  </si>
  <si>
    <t>L, QE:16-PPM COMPLETE 
AS PER CHECKLIST. UNIT FUCTIONING OKEY</t>
  </si>
  <si>
    <t>IKN400023</t>
  </si>
  <si>
    <t>Warming Units, Blood/Solution</t>
  </si>
  <si>
    <t>IKNWOBE26000877</t>
  </si>
  <si>
    <t>21-Jan-2026 00:00:00</t>
  </si>
  <si>
    <t>L, QE:16-MAINTAINANCE
 DONE AS PERCHECKLIST ATTACHED</t>
  </si>
  <si>
    <t>IKN400024</t>
  </si>
  <si>
    <t>IKNWOBE26000878</t>
  </si>
  <si>
    <t>21-Jan-2026 16:00:00</t>
  </si>
  <si>
    <t>N-QE:16 MAINTENANCE DONE
 AS PER CHECKLIST ATTACHED</t>
  </si>
  <si>
    <t>IKN400537</t>
  </si>
  <si>
    <t>IKNWOBE26000879</t>
  </si>
  <si>
    <t>21-Jan-2026 15:40:00</t>
  </si>
  <si>
    <t>L, QE:16- PPM COMPLETE 
AS PER  CHECKLIST ATTACHED</t>
  </si>
  <si>
    <t>IKN400612</t>
  </si>
  <si>
    <t>IKNWOBE26000880</t>
  </si>
  <si>
    <t xml:space="preserve">M,QE:16-PPM DONE AS 
PERCHEKLIST </t>
  </si>
  <si>
    <t>IKN401009</t>
  </si>
  <si>
    <t>Colonoscopes, Video</t>
  </si>
  <si>
    <t>IKNWOBE26000881</t>
  </si>
  <si>
    <t xml:space="preserve">M,QE:16-PPM 
COMPLETED AS HEPPM CHECKLIST </t>
  </si>
  <si>
    <t>Light Sources, Fiberoptic, Flexible Endoscopic</t>
  </si>
  <si>
    <t>IKNWOBE26000882</t>
  </si>
  <si>
    <t>IKN401075</t>
  </si>
  <si>
    <t>IKNWOBE26000884</t>
  </si>
  <si>
    <t xml:space="preserve">M,QE:16-PPM NOT 
COMPLETED AND ASSEST UNDER BER </t>
  </si>
  <si>
    <t>IKN402130</t>
  </si>
  <si>
    <t>Analyzers, laboratory, blood gas/ pH/ electrolyte</t>
  </si>
  <si>
    <t>IKNWOBE26000885</t>
  </si>
  <si>
    <t>04LA138</t>
  </si>
  <si>
    <t>L, QE:16-MAINTAINANCE
 DONE AS PER HEPPM CHECKLIST ATTACHED</t>
  </si>
  <si>
    <t>IKN400002</t>
  </si>
  <si>
    <t>IKNWOBE26000888</t>
  </si>
  <si>
    <t>01AE119</t>
  </si>
  <si>
    <t>22-Jan-2026 00:00:00</t>
  </si>
  <si>
    <t>22-Jan-2026 12:00:00</t>
  </si>
  <si>
    <t>L, QE:16-MAINTAINANCE 
PERFORMED AS PER CHECKLIST ATTACHED. UNIT WORKING IN GOOD CONDITION</t>
  </si>
  <si>
    <t>IKN400078</t>
  </si>
  <si>
    <t>Cardiac Output Units</t>
  </si>
  <si>
    <t>IKNWOBE26000889</t>
  </si>
  <si>
    <t>22-Jan-2026 09:00:00</t>
  </si>
  <si>
    <t xml:space="preserve">P-QE:16- 
MAINTANANCE  DONE AS PER HPPM CHECKLIST ATTACHED </t>
  </si>
  <si>
    <t>IKNWOBE26000890</t>
  </si>
  <si>
    <t xml:space="preserve">M,QE:16-PPM DONE AS 
PERCHECKLIST </t>
  </si>
  <si>
    <t>IKN400611</t>
  </si>
  <si>
    <t>IKNWOBE26000891</t>
  </si>
  <si>
    <t>22-Jan-2026 14:30:00</t>
  </si>
  <si>
    <t xml:space="preserve">PPM DONE AS 
PERCHECKLIST </t>
  </si>
  <si>
    <t>IKN402179</t>
  </si>
  <si>
    <t>Scanning systems, computed tomography/positron emission tomo</t>
  </si>
  <si>
    <t>IKNWOBE26000892</t>
  </si>
  <si>
    <t>IKNWOBE26000893</t>
  </si>
  <si>
    <t>10ST1009</t>
  </si>
  <si>
    <t>13-Jan-2026 09:00:00</t>
  </si>
  <si>
    <t>IKN400973</t>
  </si>
  <si>
    <t>Scanning Systems, Computed Tomography</t>
  </si>
  <si>
    <t>IKNWOBE26000895</t>
  </si>
  <si>
    <t>01RT118</t>
  </si>
  <si>
    <t>23-Jan-2026 00:00:00</t>
  </si>
  <si>
    <t>23-Jan-2026 08:30:00</t>
  </si>
  <si>
    <t xml:space="preserve">M,QE:16-MAINTENANCE 
DONE AS PER CHECKLIST ATTACHED AND UNIT FUNCTION WITH FULL FUNCTIONALITY </t>
  </si>
  <si>
    <t>IKN400978</t>
  </si>
  <si>
    <t>IKNWOBE26000896</t>
  </si>
  <si>
    <t>01RT116</t>
  </si>
  <si>
    <t>23-Jan-2026 13:00:00</t>
  </si>
  <si>
    <t>M,QE:16-MAINTENANCE 
DONE AS PER CHECKLIST ATTACHED AND UNIT FUNCTION WITH FULL FUNCTIONALITY</t>
  </si>
  <si>
    <t>IKN401238</t>
  </si>
  <si>
    <t>Radiation Survey Meters, Geiger-Muller</t>
  </si>
  <si>
    <t>IKNWOBE26000897</t>
  </si>
  <si>
    <t>03ID169</t>
  </si>
  <si>
    <t>23-Jan-2026 09:00:00</t>
  </si>
  <si>
    <t>L, QE:16-CALIBRATION 
COMPLETE BY VENDOR, UNIT TESTED OKEY</t>
  </si>
  <si>
    <t>IKN401246</t>
  </si>
  <si>
    <t>Computers, Radiotherapy Planning System</t>
  </si>
  <si>
    <t>IKNWOBE26000898</t>
  </si>
  <si>
    <t>01RT156</t>
  </si>
  <si>
    <t>IKNWOBE26001210</t>
  </si>
  <si>
    <t>20-Jan-2026 20:00:00</t>
  </si>
  <si>
    <t>P, QE:16 - MAINTANANCE 
DONE AS PER HEPPM CHECKLIST ATTACHED</t>
  </si>
  <si>
    <t>IKN400266</t>
  </si>
  <si>
    <t>IKNWOBE26001307</t>
  </si>
  <si>
    <t>08WG133</t>
  </si>
  <si>
    <t>27-Jan-2026 00:00:00</t>
  </si>
  <si>
    <t>27-Jan-2026 12:15:00</t>
  </si>
  <si>
    <t>M,QE:16-PPM DONE AS 
PERCHECKLIST</t>
  </si>
  <si>
    <t>IKN400153</t>
  </si>
  <si>
    <t>Television Monitors</t>
  </si>
  <si>
    <t>IKNWOBE26001315</t>
  </si>
  <si>
    <t>05IC110</t>
  </si>
  <si>
    <t>28-Jan-2026 00:00:00</t>
  </si>
  <si>
    <t>ROUTINE INSPECTION DONE AS PER CHECKLIST ATTACHED.</t>
  </si>
  <si>
    <t>IKN400154</t>
  </si>
  <si>
    <t>IKNWOBE26001316</t>
  </si>
  <si>
    <t>05IC117</t>
  </si>
  <si>
    <t>IKN400155</t>
  </si>
  <si>
    <t>IKNWOBE26001317</t>
  </si>
  <si>
    <t>05IC128</t>
  </si>
  <si>
    <t>IKN400156</t>
  </si>
  <si>
    <t>IKNWOBE26001318</t>
  </si>
  <si>
    <t>05IC130</t>
  </si>
  <si>
    <t>IKN400157</t>
  </si>
  <si>
    <t>Aspirators</t>
  </si>
  <si>
    <t>IKNWOBE26001319</t>
  </si>
  <si>
    <t>IKN400158</t>
  </si>
  <si>
    <t>IKNWOBE26001320</t>
  </si>
  <si>
    <t>IKN401087</t>
  </si>
  <si>
    <t>IKNWOBE26001323</t>
  </si>
  <si>
    <t>01AE108</t>
  </si>
  <si>
    <t xml:space="preserve">MAINTENANCE NOT DONE DUE TO UNIT UNDER BEYOND ECONOMIC REPAIR. PLEASE REFER REPORT ATTACHED. </t>
  </si>
  <si>
    <t>IKN400208</t>
  </si>
  <si>
    <t>IKNWOBE26001324</t>
  </si>
  <si>
    <t>29-Jan-2026 00:00:00</t>
  </si>
  <si>
    <t>29-Jan-2026 15:00:00</t>
  </si>
  <si>
    <t>IKN400613</t>
  </si>
  <si>
    <t>IKNWOBE26001326</t>
  </si>
  <si>
    <t>29-Jan-2026 10:30:00</t>
  </si>
  <si>
    <t xml:space="preserve">P - PPM DONE AS 
PERCHECKLIST </t>
  </si>
  <si>
    <t>IKN400614</t>
  </si>
  <si>
    <t>IKNWOBE26001327</t>
  </si>
  <si>
    <t>PPM DONE AS 
PERCHECKLIST</t>
  </si>
  <si>
    <t>IKN400615</t>
  </si>
  <si>
    <t>IKNWOBE26001330</t>
  </si>
  <si>
    <t>30-Jan-2026 00:00:00</t>
  </si>
  <si>
    <t>30-Jan-2026 15:00:00</t>
  </si>
  <si>
    <t>IKN402149</t>
  </si>
  <si>
    <t>Electrosurgical Units, Monopolar</t>
  </si>
  <si>
    <t>IKNWOBE26001334</t>
  </si>
  <si>
    <t>05OT161</t>
  </si>
  <si>
    <t>IKN402150</t>
  </si>
  <si>
    <t>Infusion Pumps, Syringe</t>
  </si>
  <si>
    <t>IKNWOBE26001335</t>
  </si>
  <si>
    <t>05IC115</t>
  </si>
  <si>
    <t>IKN402151</t>
  </si>
  <si>
    <t>Analyzers, Laboratory, Blood Gas/pH</t>
  </si>
  <si>
    <t>IKNWOBE26001336</t>
  </si>
  <si>
    <t>05IC122</t>
  </si>
  <si>
    <t>IKN400691</t>
  </si>
  <si>
    <t>IKNWOBE25023988</t>
  </si>
  <si>
    <t>04PY130</t>
  </si>
  <si>
    <t>09-Jan-2026 00:00:00</t>
  </si>
  <si>
    <t>Current Month (Open)</t>
  </si>
  <si>
    <t>IKNWOBE26000883</t>
  </si>
  <si>
    <t>IKN400689</t>
  </si>
  <si>
    <t>Cryosurgical Units, General-Purpose</t>
  </si>
  <si>
    <t>IKNWOBE26001331</t>
  </si>
  <si>
    <t>03ID164</t>
  </si>
  <si>
    <t>Previous Month (Closed)</t>
  </si>
  <si>
    <t>IKN401222</t>
  </si>
  <si>
    <t>Pipetters</t>
  </si>
  <si>
    <t>IKNWOBE25022048</t>
  </si>
  <si>
    <t>03NM139</t>
  </si>
  <si>
    <t>14-Jan-2026 08:00:00</t>
  </si>
  <si>
    <t>Sent for calibration DN: 15/12/2025  DUE: 08/12/2025 (OUT FOR CALIBRATE)  PO: 10128625 (8/10/2025)L- QE:16 CALIBRATION BY  VENDOR. UNIT FUNCTIONING OKAY</t>
  </si>
  <si>
    <t>IKN401224</t>
  </si>
  <si>
    <t>IKNWOBE25022049</t>
  </si>
  <si>
    <t xml:space="preserve">12-Dec-2025 </t>
  </si>
  <si>
    <t>Sent for calibration DN: 15/12/2025  DUE: 08/12/2025 (OUT FOR CALIBRATE)  PO: 10128625 (8/10/2025)L, QE:16-CALIBRATION COMPLETE BY VENDOR . UNIT FUNCTIONING OKAY</t>
  </si>
  <si>
    <t>IKN401226</t>
  </si>
  <si>
    <t>IKNWOBE25022050</t>
  </si>
  <si>
    <t>14-Jan-2026 10:00:00</t>
  </si>
  <si>
    <t>Sent for calibration DN: 15/12/2025  DUE: 08/12/2025 (OUT FOR CALIBRATE)  PO: 10128625 (8/10/2025)L, QE:16-CALIBRATION COMPLETE BY VENDOR, UNIT FUNCTIONING OKAY</t>
  </si>
  <si>
    <t>IKN401124</t>
  </si>
  <si>
    <t>IKNWOBE25022051</t>
  </si>
  <si>
    <t>03NM154</t>
  </si>
  <si>
    <t>Sent for calibration DN: 15/12/2025  DUE: 08/12/2026  PO: 10128625 (8/10/2025)L, QE:16-CALIBRATION COMPLETE BY VENDOR, UNIT FUNCTIONING OKAY</t>
  </si>
  <si>
    <t>IKN401125</t>
  </si>
  <si>
    <t>IKNWOBE25022052</t>
  </si>
  <si>
    <t>14-Jan-2026 12:00:00</t>
  </si>
  <si>
    <t>Sent for calibration DN: 15/12/2025  DUE: 08/12/2026  PO: 10128625 (8/10/2025)L, QE:16-CALIBRATION COMPLETE BY VENDOR, UNIT TESTED FUNCTIONING OKAY</t>
  </si>
  <si>
    <t>IKN400990</t>
  </si>
  <si>
    <t>Radiation Monitors</t>
  </si>
  <si>
    <t>IKNWOBE25021542</t>
  </si>
  <si>
    <t>03NM143</t>
  </si>
  <si>
    <t xml:space="preserve">05-Dec-2025 </t>
  </si>
  <si>
    <t>14-Jan-2026 16:00:00</t>
  </si>
  <si>
    <t>Sent for calibration DN: 5/12/2025  DUE:31/12/25   PO: 10128425 (8/10/2025)
L, QE:16- PPM NOT DONE , REFER ATTACHMENT</t>
  </si>
  <si>
    <t>IKN401698</t>
  </si>
  <si>
    <t>Dynamometers</t>
  </si>
  <si>
    <t>IKNWOBE25023171</t>
  </si>
  <si>
    <t>03DU102</t>
  </si>
  <si>
    <t xml:space="preserve">24-Dec-2025 </t>
  </si>
  <si>
    <t>12-Jan-2026 12:00:00</t>
  </si>
  <si>
    <t>Sent for calibration DN: 3/12/2025  DUE:    PO: 11148525 (27/11/2025)PPM SERVICE AND CALIBRATION DONE BY UCAL TECH. REFER TO CALIBRATION CERTIFICATE AS ATTACHED.</t>
  </si>
  <si>
    <t>Previous Month (Open)</t>
  </si>
  <si>
    <t>IKN400996</t>
  </si>
  <si>
    <t>IKNWOBE25020791</t>
  </si>
  <si>
    <t>03NM132</t>
  </si>
  <si>
    <t>Unit sent for calibration 
DN:21/11/25   DUE:6/12/25</t>
  </si>
  <si>
    <t>IKN401195</t>
  </si>
  <si>
    <t>Radiation Survey Meters, Ionization Chamber</t>
  </si>
  <si>
    <t>IKNWOBE25018986</t>
  </si>
  <si>
    <t>01RT213</t>
  </si>
  <si>
    <t>Unit sent for calibration
 DN:10/12/2025</t>
  </si>
  <si>
    <t>Testers</t>
  </si>
  <si>
    <t>IKNWOBE25018200</t>
  </si>
  <si>
    <t>Rescheduled under 
breakdown (IKNWIBE25013055). Sent for calibration DN:31/12/2025 (Nagase)</t>
  </si>
  <si>
    <t>IKN401277</t>
  </si>
  <si>
    <t>IKNWOBE25002671</t>
  </si>
  <si>
    <t>Sent for calibration 
DN:31/12/2025 (Nagase)</t>
  </si>
  <si>
    <t>IKN401692</t>
  </si>
  <si>
    <t>IKNWOBE25009298</t>
  </si>
  <si>
    <t>Sent for calibration. 
DN:27/11/2025</t>
  </si>
  <si>
    <t>IKN401365</t>
  </si>
  <si>
    <t>IKNWOBE25011527</t>
  </si>
  <si>
    <t>Sent for calibration 
DN:2/12/2025</t>
  </si>
  <si>
    <t>IKN401274</t>
  </si>
  <si>
    <t>IKNWOBE25015424</t>
  </si>
  <si>
    <t>IKN401279</t>
  </si>
  <si>
    <t>IKNWOBE25015425</t>
  </si>
  <si>
    <t>IKN401282</t>
  </si>
  <si>
    <t>IKNWOBE25015426</t>
  </si>
  <si>
    <t>IKN401278</t>
  </si>
  <si>
    <t>IKNWOBE24018322</t>
  </si>
  <si>
    <t>IKN401366</t>
  </si>
  <si>
    <t>IKNWOBE25016423</t>
  </si>
  <si>
    <t>IKN401708</t>
  </si>
  <si>
    <t>IKNWOBE25016424</t>
  </si>
  <si>
    <t>IKN401213</t>
  </si>
  <si>
    <t>IKNWOBE25016421</t>
  </si>
  <si>
    <t>Sent for calibration DN:31/12/2025 (Nagase)</t>
  </si>
  <si>
    <t>IKN401364</t>
  </si>
  <si>
    <t>IKNWOBE25016422</t>
  </si>
  <si>
    <t>IKN401199</t>
  </si>
  <si>
    <t>Densitometers</t>
  </si>
  <si>
    <t>IKNWOBE25017724</t>
  </si>
  <si>
    <t>03NM170</t>
  </si>
  <si>
    <t>Rescheduled Unit sent for calibration  DN:6/10/25. Unit breakdown during calibration</t>
  </si>
  <si>
    <t>IKN400844</t>
  </si>
  <si>
    <t>IKNWOBE25021536</t>
  </si>
  <si>
    <t>03NM166</t>
  </si>
  <si>
    <t xml:space="preserve">04-Dec-2025 </t>
  </si>
  <si>
    <t>Sent for calibration DN: 5/12/2025  DUE:19/12/25   PO: 10128425 (8/10/2025)</t>
  </si>
  <si>
    <t>IKN401542</t>
  </si>
  <si>
    <t>Dosimeters, Radiation</t>
  </si>
  <si>
    <t>IKNWOBE25021537</t>
  </si>
  <si>
    <t>03NM180</t>
  </si>
  <si>
    <t xml:space="preserve">Sent for calibration DN: 5/12/2025  DUE:31/12/25   PO: 10128325 (8/10/2025)
</t>
  </si>
  <si>
    <t>IKN401200</t>
  </si>
  <si>
    <t>IKNWOBE25021543</t>
  </si>
  <si>
    <t>Sent for calibration DN: 5/12/2025  DUE:12/12/25   PO: 10126725 (7/10/2025)</t>
  </si>
  <si>
    <t>IKN401536</t>
  </si>
  <si>
    <t>IKNWOBE25021544</t>
  </si>
  <si>
    <t>Sent for calibration DN: 5/12/2025  DUE:31/12/25   PO: 10128325 (8/10/2025)</t>
  </si>
  <si>
    <t>IKN401537</t>
  </si>
  <si>
    <t>IKNWOBE25021545</t>
  </si>
  <si>
    <t>IKN401538</t>
  </si>
  <si>
    <t>IKNWOBE25021546</t>
  </si>
  <si>
    <t>IKN401540</t>
  </si>
  <si>
    <t>IKNWOBE25021548</t>
  </si>
  <si>
    <t>IKN401541</t>
  </si>
  <si>
    <t>IKNWOBE25021549</t>
  </si>
  <si>
    <t>IKN401543</t>
  </si>
  <si>
    <t>IKNWOBE25021550</t>
  </si>
  <si>
    <t>05-Dec-2025 00:00:00</t>
  </si>
  <si>
    <t>IKNWOBE25022587</t>
  </si>
  <si>
    <t xml:space="preserve">17-Dec-2025 </t>
  </si>
  <si>
    <t>TOTAL DEDUCTION FOR IND. B.3:</t>
  </si>
  <si>
    <r>
      <rPr>
        <b/>
        <sz val="16"/>
        <rFont val="Arial"/>
        <family val="2"/>
      </rPr>
      <t>Deduction Mapping Report</t>
    </r>
    <r>
      <rPr>
        <sz val="16"/>
        <color theme="1"/>
        <rFont val="Arial"/>
        <family val="2"/>
      </rPr>
      <t xml:space="preserve">
Biomedical Engineering Maintenance Services (BEMS)</t>
    </r>
  </si>
  <si>
    <t>INDICATOR B.4 UPTIME GUARANTEE</t>
  </si>
  <si>
    <t>MONTH/YEAR  :</t>
  </si>
  <si>
    <t>BEMS MONTHLY FEE (RM)@ 97.5%  :</t>
  </si>
  <si>
    <t>FMS MONTHLY FEE (RM) @ 2.5%  :</t>
  </si>
  <si>
    <t>2) Deduction Value for 1st cut off is Deduction Ringgit Equivalent (per event)</t>
  </si>
  <si>
    <t>3) Deduction Value for 2nd cut off is Deduction Ringgit Equivalent (per event) multiply by 2</t>
  </si>
  <si>
    <t>No.</t>
  </si>
  <si>
    <t>Type Code</t>
  </si>
  <si>
    <t>Type Description</t>
  </si>
  <si>
    <t>Asset Purchase cost (RM)</t>
  </si>
  <si>
    <t>Asset Age</t>
  </si>
  <si>
    <t>TRKPI %</t>
  </si>
  <si>
    <t>Uptime %</t>
  </si>
  <si>
    <t>Deduction Ringgit Equivalent (RM)</t>
  </si>
  <si>
    <t>Previous Deduction
(Month)</t>
  </si>
  <si>
    <t>Deduction for the month
(Y/N)</t>
  </si>
  <si>
    <t>Total Deduction  (RM)</t>
  </si>
  <si>
    <t>Remarks</t>
  </si>
  <si>
    <t>Jan</t>
  </si>
  <si>
    <t>Feb</t>
  </si>
  <si>
    <t>Mar</t>
  </si>
  <si>
    <t>Apr</t>
  </si>
  <si>
    <t>May</t>
  </si>
  <si>
    <t>Jun</t>
  </si>
  <si>
    <t>Jul</t>
  </si>
  <si>
    <t>Aug</t>
  </si>
  <si>
    <t>Sep</t>
  </si>
  <si>
    <t>Oct</t>
  </si>
  <si>
    <t>Nov</t>
  </si>
  <si>
    <t>Dec</t>
  </si>
  <si>
    <t>1st</t>
  </si>
  <si>
    <t>2nd</t>
  </si>
  <si>
    <t>16-173</t>
  </si>
  <si>
    <t>Sphygmomanometers, Electronic, Automatic</t>
  </si>
  <si>
    <t>13-215</t>
  </si>
  <si>
    <t>12-649</t>
  </si>
  <si>
    <t>Physiologic Monitoring Systems, Stress Exercise</t>
  </si>
  <si>
    <t>12-306</t>
  </si>
  <si>
    <t>Lavage Units, Surgical</t>
  </si>
  <si>
    <t>15-605</t>
  </si>
  <si>
    <t>Testers (Ion Chamber Set)</t>
  </si>
  <si>
    <t>18-034</t>
  </si>
  <si>
    <t>11-758</t>
  </si>
  <si>
    <t>17-679</t>
  </si>
  <si>
    <t>TOTAL DEDUCTION FOR IND. B.4:</t>
  </si>
  <si>
    <r>
      <rPr>
        <b/>
        <sz val="14"/>
        <rFont val="Arial"/>
        <family val="2"/>
      </rPr>
      <t xml:space="preserve">Deduction Mapping Report
</t>
    </r>
    <r>
      <rPr>
        <sz val="14"/>
        <rFont val="Arial"/>
        <family val="2"/>
      </rPr>
      <t>Biomedical Engineering Maintenance Services (BEMS)</t>
    </r>
  </si>
  <si>
    <t>INDICATOR B.5 TESTING &amp; COMMISSIONING AND WARRANTY MANAGEMENT</t>
  </si>
  <si>
    <t>BEMS MONTHLY FEE (RM) @ 97.5%  :</t>
  </si>
  <si>
    <t>2) Deduction Value is Deduction Ringgit Equivalent (per event)</t>
  </si>
  <si>
    <t>3) Display only asset affected by deduction</t>
  </si>
  <si>
    <t>4) *May not be applicable for unregistered asset</t>
  </si>
  <si>
    <t>5) **Only applicable for under warranty management deduction</t>
  </si>
  <si>
    <t>Work Order/ NCR</t>
  </si>
  <si>
    <t>Work Order/ NCR Date</t>
  </si>
  <si>
    <t>Work Order/ NCR Reference No.</t>
  </si>
  <si>
    <t>Work Order/ NCR Description</t>
  </si>
  <si>
    <t>T&amp;C Date</t>
  </si>
  <si>
    <t>Completion Date</t>
  </si>
  <si>
    <t>Asset Number*</t>
  </si>
  <si>
    <t>Warranty Expiry Date**</t>
  </si>
  <si>
    <t>Validate Status (Y/N)</t>
  </si>
  <si>
    <t>Work Order Close</t>
  </si>
  <si>
    <t>TOTAL DEDUCTION FOR IND. B.5:</t>
  </si>
  <si>
    <t>Equipments</t>
  </si>
  <si>
    <t>Group</t>
  </si>
  <si>
    <t>Operating Hours</t>
  </si>
  <si>
    <t>Operating Hours/WK (Days)</t>
  </si>
  <si>
    <t xml:space="preserve">Uptime Equipment      </t>
  </si>
  <si>
    <t xml:space="preserve">Uptime Equipment   </t>
  </si>
  <si>
    <t>&lt; 5YRS</t>
  </si>
  <si>
    <t>5-10 YRS</t>
  </si>
  <si>
    <t>&gt;10 YRS</t>
  </si>
  <si>
    <t>Therapeutics</t>
  </si>
  <si>
    <t>Alternating Pressure Mattress</t>
  </si>
  <si>
    <t>P</t>
  </si>
  <si>
    <t>Aneasthesia Units and Vaporizers</t>
  </si>
  <si>
    <t>C</t>
  </si>
  <si>
    <t>Aneasthesia Ventilators</t>
  </si>
  <si>
    <t>Defibrillators</t>
  </si>
  <si>
    <t>Dental Equipment</t>
  </si>
  <si>
    <t>Diathermy Units</t>
  </si>
  <si>
    <t>Electrosurgical Units</t>
  </si>
  <si>
    <t>Heamodialysis Units</t>
  </si>
  <si>
    <t>Humidifiers</t>
  </si>
  <si>
    <t>Hypo/hyperthermia Units</t>
  </si>
  <si>
    <t>Incubators</t>
  </si>
  <si>
    <t>Infusion controllers/pumps</t>
  </si>
  <si>
    <t>Lasers</t>
  </si>
  <si>
    <t>Lithotripters</t>
  </si>
  <si>
    <t>Pacemakers</t>
  </si>
  <si>
    <t>Peritoneal Dialysis Unit</t>
  </si>
  <si>
    <t>Phototheraphy Units</t>
  </si>
  <si>
    <t>Radiant Warmers</t>
  </si>
  <si>
    <t>Radiographic Dye Injection</t>
  </si>
  <si>
    <t>Radiotheraphy Equipments</t>
  </si>
  <si>
    <t>Resuscitators</t>
  </si>
  <si>
    <t>Stimulators</t>
  </si>
  <si>
    <t>Surgical Drills and Saws</t>
  </si>
  <si>
    <t>Surgical Tables</t>
  </si>
  <si>
    <t>Traction Units</t>
  </si>
  <si>
    <t>Ultrasonic Nebulizers</t>
  </si>
  <si>
    <t>Ultrasonic Therapy</t>
  </si>
  <si>
    <t>Ventilators</t>
  </si>
  <si>
    <t>Ambulatory ECG Recorder and Scanners</t>
  </si>
  <si>
    <t>Apnea Monitors</t>
  </si>
  <si>
    <t>Blood Pressure Units (Non-invasive Inversive Electronic Units)</t>
  </si>
  <si>
    <t>Capnographs</t>
  </si>
  <si>
    <t>Diagnostic Radiologic Imaging Units</t>
  </si>
  <si>
    <t>Electrocardiographs</t>
  </si>
  <si>
    <t>Electroencephalographs</t>
  </si>
  <si>
    <t>Electromyographs</t>
  </si>
  <si>
    <t>Electronic Thermometers</t>
  </si>
  <si>
    <t>Endoscopes / Bronschopes (Fiber Optic)</t>
  </si>
  <si>
    <t>Evoked Potential Units</t>
  </si>
  <si>
    <t>Fetal Monitors</t>
  </si>
  <si>
    <t>Nuclear Medicine Equipments</t>
  </si>
  <si>
    <t>Oximeters</t>
  </si>
  <si>
    <t>Oxygen Monitors and Analysers</t>
  </si>
  <si>
    <t>Phonocardiographs</t>
  </si>
  <si>
    <t>Physiologic Monitoring Systems and Monitors</t>
  </si>
  <si>
    <t>Pulmonary Function Analysers</t>
  </si>
  <si>
    <t>Surgical Lights</t>
  </si>
  <si>
    <t>Surgical Microscopes</t>
  </si>
  <si>
    <r>
      <rPr>
        <sz val="8"/>
        <color theme="1"/>
        <rFont val="Arial"/>
        <family val="2"/>
      </rPr>
      <t>Transcutaneous O</t>
    </r>
    <r>
      <rPr>
        <vertAlign val="superscript"/>
        <sz val="8"/>
        <color theme="1"/>
        <rFont val="Arial"/>
        <family val="2"/>
      </rPr>
      <t>2</t>
    </r>
    <r>
      <rPr>
        <sz val="8"/>
        <color theme="1"/>
        <rFont val="Arial"/>
        <family val="2"/>
      </rPr>
      <t xml:space="preserve"> and CO</t>
    </r>
    <r>
      <rPr>
        <vertAlign val="superscript"/>
        <sz val="8"/>
        <color theme="1"/>
        <rFont val="Arial"/>
        <family val="2"/>
      </rPr>
      <t>2</t>
    </r>
    <r>
      <rPr>
        <sz val="8"/>
        <color theme="1"/>
        <rFont val="Arial"/>
        <family val="2"/>
      </rPr>
      <t xml:space="preserve"> monitors</t>
    </r>
  </si>
  <si>
    <t>Treadmills</t>
  </si>
  <si>
    <t>Ultrasound Imaging Units / Systems</t>
  </si>
  <si>
    <t>Vector Cardiographs</t>
  </si>
  <si>
    <t>Analysers</t>
  </si>
  <si>
    <t>·       Amino Acid</t>
  </si>
  <si>
    <t>·       Bilirubinometers</t>
  </si>
  <si>
    <t>·       Blood Gas</t>
  </si>
  <si>
    <t>·       Calcium</t>
  </si>
  <si>
    <t>·       Clinical Chemistry</t>
  </si>
  <si>
    <t>·       Coagulation</t>
  </si>
  <si>
    <t>·       Counter, Gamma</t>
  </si>
  <si>
    <t>·       Electrolyte</t>
  </si>
  <si>
    <t>·       Immunoassay</t>
  </si>
  <si>
    <t>·       Glucose</t>
  </si>
  <si>
    <t>·       Hematology</t>
  </si>
  <si>
    <t>·       Platelet Aggregation</t>
  </si>
  <si>
    <t>Atomic Absorption Units</t>
  </si>
  <si>
    <t>Automatic Blood Grouping Systems</t>
  </si>
  <si>
    <t>Automatic Microbiological Systems</t>
  </si>
  <si>
    <t>Blood Bank centrifuges</t>
  </si>
  <si>
    <t>Centrifuges</t>
  </si>
  <si>
    <t>Chromatographs Gas/Liquid</t>
  </si>
  <si>
    <t>Cytometers</t>
  </si>
  <si>
    <t>Electrophoresis Equipment</t>
  </si>
  <si>
    <t>Flame Photometers</t>
  </si>
  <si>
    <t>Microscopes</t>
  </si>
  <si>
    <t>pH Meters</t>
  </si>
  <si>
    <t>Spectrophotometers</t>
  </si>
  <si>
    <t xml:space="preserve">No
</t>
  </si>
  <si>
    <t>Contract</t>
  </si>
  <si>
    <t>wo</t>
  </si>
  <si>
    <t>Hours</t>
  </si>
  <si>
    <t>Total Hours</t>
  </si>
  <si>
    <t>Total Hours / Year</t>
  </si>
  <si>
    <t>Balance Uptime</t>
  </si>
  <si>
    <t>Uptime Percentage</t>
  </si>
  <si>
    <t>Uptime TRKPI</t>
  </si>
  <si>
    <t>Uptime Deduction Yes / No</t>
  </si>
  <si>
    <t>IKN400966</t>
  </si>
  <si>
    <t>LINEAR ACCELERATOR</t>
  </si>
  <si>
    <t>RT159</t>
  </si>
  <si>
    <t>Lazer Double</t>
  </si>
  <si>
    <t>Response On_Time</t>
  </si>
  <si>
    <t>Strands</t>
  </si>
  <si>
    <t>IKN400292</t>
  </si>
  <si>
    <t>WAD 8A</t>
  </si>
  <si>
    <t>Infucient Pump-Mesin Problem</t>
  </si>
  <si>
    <t>Yes</t>
  </si>
  <si>
    <t>RT</t>
  </si>
  <si>
    <t>sendingg image from vsim to mosaiq</t>
  </si>
  <si>
    <t>IKN400151</t>
  </si>
  <si>
    <t>Mattress Systems, Alternating-Pressure</t>
  </si>
  <si>
    <t>WAD 7A</t>
  </si>
  <si>
    <t>Motor ripple mattress rosak</t>
  </si>
  <si>
    <t>Table verticle movement problem</t>
  </si>
  <si>
    <t>NB 355296</t>
  </si>
  <si>
    <t>WAD 7B</t>
  </si>
  <si>
    <t>Ripple Mattress tidak boleh pump</t>
  </si>
  <si>
    <t>IKN400350</t>
  </si>
  <si>
    <t xml:space="preserve">BP Set warna putih rosak. </t>
  </si>
  <si>
    <t>IKN400775</t>
  </si>
  <si>
    <t>Scanning Systems, Ultrasonic, General-Purpose</t>
  </si>
  <si>
    <t>ID</t>
  </si>
  <si>
    <t>Ultrasound tidak keluar gambar</t>
  </si>
  <si>
    <t>Cameras, Gamma</t>
  </si>
  <si>
    <t>NM</t>
  </si>
  <si>
    <t>MEGP detector one collision</t>
  </si>
  <si>
    <t>IKN400786</t>
  </si>
  <si>
    <t>Radiographic/Fluoroscopic Systems, Angiographic/Intervention</t>
  </si>
  <si>
    <t>Request for user training at Radiology Department (Angio) on 23/10/2019.</t>
  </si>
  <si>
    <t>CUFF KOYAK</t>
  </si>
  <si>
    <t>CUFF NEED TO REPLACED</t>
  </si>
  <si>
    <t>USER REQUEST</t>
  </si>
  <si>
    <t>BECTEC ALARM NERBUNYI</t>
  </si>
  <si>
    <t>Magnetic Resonance Imaging (MRI)</t>
  </si>
  <si>
    <t>CHARGER FAULTY  REPLECEMENT. CLOSED ON 3 FEB 2026</t>
  </si>
  <si>
    <t>REPLACE NEW CABLE ON 9/1/26</t>
  </si>
  <si>
    <t>PO11149425 28/11/25  PO12153425 9/12/25. CLOSED 9/2/26</t>
  </si>
  <si>
    <t>PO done on jan 26</t>
  </si>
  <si>
    <t>IKN400798</t>
  </si>
  <si>
    <t>Radiographic Systems, Digital</t>
  </si>
  <si>
    <t>IKNWOBE26000899</t>
  </si>
  <si>
    <t>03ID181</t>
  </si>
  <si>
    <t xml:space="preserve">M,QE:16-PPM COMPLETED BY VENDOR.UNIT FUNCTIONING OKAY </t>
  </si>
  <si>
    <t>IKN400799</t>
  </si>
  <si>
    <t>IKNWOBE26000900</t>
  </si>
  <si>
    <t>03ID186</t>
  </si>
  <si>
    <t xml:space="preserve">M,QE:16-PPM COMPLETED BY VENDOR .UNIT FUNCTIONING OKAY </t>
  </si>
  <si>
    <t>IKN400766</t>
  </si>
  <si>
    <t>IKN400766-Radiographic Units, Mobile</t>
  </si>
  <si>
    <t>IKNWOBE26000886</t>
  </si>
  <si>
    <t>03ID106</t>
  </si>
  <si>
    <t>IKN400787</t>
  </si>
  <si>
    <t>IKN400787-Radiographic Units, Mobile</t>
  </si>
  <si>
    <t>IKNWOBE26000887</t>
  </si>
  <si>
    <t>M,QE:16-PPM COMPLETED BY VENDOR.UNIT FUNCTIONING OKAY.</t>
  </si>
  <si>
    <t>IKN400022</t>
  </si>
  <si>
    <t>IKNWOBE26000894</t>
  </si>
  <si>
    <t>23-Jan-2026 10:00:00</t>
  </si>
  <si>
    <t>M,QE:16-MAINTENANCE DONE AS PERCHECKLIST ATTACHED</t>
  </si>
  <si>
    <t>IKN400810</t>
  </si>
  <si>
    <t>IKNWOBE26001308</t>
  </si>
  <si>
    <t>27-Jan-2026 08:15:00</t>
  </si>
  <si>
    <t>P-QE:16, MAINTENANCE DONE A PER CHECKLIST ATTACHED</t>
  </si>
  <si>
    <t>IKN400812</t>
  </si>
  <si>
    <t>IKNWOBE26001309</t>
  </si>
  <si>
    <t>01RT237</t>
  </si>
  <si>
    <t>P - QE:16 , MAINTENANCE DONE AS PER HEPPM CHECKLIST ATTACHED</t>
  </si>
  <si>
    <t>IKN400826</t>
  </si>
  <si>
    <t>Warming Units, Patient, Forced-Air</t>
  </si>
  <si>
    <t>IKNWOBE26001310</t>
  </si>
  <si>
    <t>01RT239</t>
  </si>
  <si>
    <t xml:space="preserve">P - QE:16 , MAINTENANCE DONE AS PER HEPPM CHECKLIST ATTACHED </t>
  </si>
  <si>
    <t>IKN400827</t>
  </si>
  <si>
    <t>IKNWOBE26001311</t>
  </si>
  <si>
    <t>IKN400836</t>
  </si>
  <si>
    <t>Warming Units, Blanket</t>
  </si>
  <si>
    <t>IKNWOBE26001312</t>
  </si>
  <si>
    <t xml:space="preserve">P - QE:16 , MAINTENANCE DONE AS PER HEPPM CHECKLLIST ATTACHED </t>
  </si>
  <si>
    <t>IKN400853</t>
  </si>
  <si>
    <t>IKNWOBE26001313</t>
  </si>
  <si>
    <t>27-Jan-2026 12:30:00</t>
  </si>
  <si>
    <t>IKN400316</t>
  </si>
  <si>
    <t>IKNWOBE26001321</t>
  </si>
  <si>
    <t>07WF107</t>
  </si>
  <si>
    <t>28-Jan-2026 10:45:00</t>
  </si>
  <si>
    <t xml:space="preserve">L, QE:16-PPM COMPLETED AS HEPPM CHECKLIST
</t>
  </si>
  <si>
    <t>IKN400920</t>
  </si>
  <si>
    <t>IKNWOBE26001322</t>
  </si>
  <si>
    <t>03MC124</t>
  </si>
  <si>
    <t xml:space="preserve">L, QE:16-PPM COMPLETED AS PER HEPPM CHECKLIST
</t>
  </si>
  <si>
    <t>IKN400356</t>
  </si>
  <si>
    <t>IKNWOBE26001329</t>
  </si>
  <si>
    <t>07WE107</t>
  </si>
  <si>
    <t>30-Jan-2026 08:30:00</t>
  </si>
  <si>
    <t>L, QE:16-PPM COMPLETED AS HEPPM CHECKLIST</t>
  </si>
  <si>
    <t>IKNWOBE26001325</t>
  </si>
  <si>
    <t>29/1/2026  15:30:00 PM</t>
  </si>
  <si>
    <r>
      <t>PO011001026 _</t>
    </r>
    <r>
      <rPr>
        <sz val="42"/>
        <color rgb="FFFF0000"/>
        <rFont val="Arial"/>
        <family val="2"/>
      </rPr>
      <t>6/1/26 Waiting Part</t>
    </r>
  </si>
  <si>
    <t>Part replace on 7 Jan 26 for monitoring</t>
  </si>
  <si>
    <r>
      <t xml:space="preserve">Sent to Bbraun DN:19/11/25 PO12153225  5/12/25. </t>
    </r>
    <r>
      <rPr>
        <sz val="42"/>
        <color rgb="FFFF0000"/>
        <rFont val="Arial"/>
        <family val="2"/>
      </rPr>
      <t>Loan given on 18/11/25</t>
    </r>
  </si>
  <si>
    <t>WAITING PARTS PO71329(25/1/26) LOAN GIVEN
ETA : 2 TO 4 WEEKS.</t>
  </si>
  <si>
    <t>Proposed for BER. TA submit 18/11/2025. CLOSED 6/2/2026</t>
  </si>
  <si>
    <r>
      <t xml:space="preserve">PO1147325_25/11/25. </t>
    </r>
    <r>
      <rPr>
        <sz val="42"/>
        <color rgb="FFFF0000"/>
        <rFont val="Arial"/>
        <family val="2"/>
      </rPr>
      <t>loan unit given 27/1/25.</t>
    </r>
  </si>
  <si>
    <t>Sent to Olympus DN:17/12/25. Quotation received 31/12/2025. PO 5/1/26</t>
  </si>
  <si>
    <t>Olympus folowup</t>
  </si>
  <si>
    <t>PO_08102225 (12/8/25) TA SUBMIT 30/9/25. User agreed no replacement needed during VCM. Waiting unit return from Manufacturer. Propose for BER</t>
  </si>
  <si>
    <t>folow up</t>
  </si>
  <si>
    <t>email lambat dtg</t>
  </si>
  <si>
    <t>PO done on jan 26 TA 20HB/1</t>
  </si>
  <si>
    <t>Po xde pastu x setle2</t>
  </si>
  <si>
    <t>part exstock battery part only</t>
  </si>
  <si>
    <t>PO12158325_291225. Vendor troubleshoot on 31/12/25. LOAN GIVEN  DN 14/1</t>
  </si>
  <si>
    <t>L, QE:16-PPM 
COMPLETED BY VENDOR , UNIT FUCTIONING OKEY. Vendor available on the date agreed by user</t>
  </si>
  <si>
    <t xml:space="preserve">Rescheduled Unit under repair sent to Olympus for troubleshoot </t>
  </si>
  <si>
    <t>Rescheduled VENDOR NOT AVAILABLE Proposed for BER</t>
  </si>
  <si>
    <t xml:space="preserve">Unit In used </t>
  </si>
  <si>
    <t>TOTAL DEDUCTION FOR IND. B.1: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</si>
</sst>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 #,##0_-;_-* &quot;-&quot;_-;_-@_-"/>
    <numFmt numFmtId="43" formatCode="_-* #,##0.00_-;\-* #,##0.00_-;_-* &quot;-&quot;??_-;_-@_-"/>
    <numFmt numFmtId="164" formatCode="[$-409]d\-mmm\-yy;@"/>
    <numFmt numFmtId="165" formatCode="[$-14809]d/m/yyyy;@"/>
    <numFmt numFmtId="166" formatCode="[$-14409]d/m/yyyy;@"/>
    <numFmt numFmtId="167" formatCode="0.00_ "/>
    <numFmt numFmtId="168" formatCode="mmm\-yyyy"/>
    <numFmt numFmtId="169" formatCode="0.000"/>
    <numFmt numFmtId="170" formatCode="#,##0.00_);[Red]\(#,##0.00\)"/>
    <numFmt numFmtId="171" formatCode="[$-C09]dd\-mmm\-yy;@"/>
    <numFmt numFmtId="172" formatCode="&quot;RM&quot;#,##0.00"/>
    <numFmt numFmtId="173" formatCode="dd\-mm\-yyyy\ hh:mm:ss"/>
    <numFmt numFmtId="174" formatCode="dd\-mmm\-yyyy\ hh:mm:ss"/>
    <numFmt numFmtId="175" formatCode="d\ &quot;days&quot;\,\ h\ &quot;hrs&quot;\,\ mm\ &quot;mins&quot;"/>
    <numFmt numFmtId="176" formatCode="[$-409]d\-mmm\-yyyy;@"/>
    <numFmt numFmtId="177" formatCode="m/d;@"/>
    <numFmt numFmtId="178" formatCode="h:mm;@"/>
  </numFmts>
  <fonts count="117">
    <font>
      <sz val="11"/>
      <color theme="1"/>
      <name val="Calibri"/>
      <charset val="134"/>
      <scheme val="minor"/>
    </font>
    <font>
      <sz val="11"/>
      <color theme="1"/>
      <name val="Calibri"/>
      <family val="2"/>
      <scheme val="minor"/>
    </font>
    <font>
      <b/>
      <sz val="9"/>
      <color theme="1"/>
      <name val="Arial"/>
      <family val="2"/>
    </font>
    <font>
      <b/>
      <sz val="10"/>
      <color theme="1"/>
      <name val="Arial"/>
      <family val="2"/>
    </font>
    <font>
      <sz val="10"/>
      <name val="Arial"/>
      <family val="2"/>
    </font>
    <font>
      <sz val="10"/>
      <color theme="1"/>
      <name val="Calibri"/>
      <family val="2"/>
      <scheme val="minor"/>
    </font>
    <font>
      <sz val="9"/>
      <color theme="1"/>
      <name val="Arial"/>
      <family val="2"/>
    </font>
    <font>
      <sz val="10"/>
      <color theme="1"/>
      <name val="Arial"/>
      <family val="2"/>
    </font>
    <font>
      <b/>
      <sz val="10"/>
      <name val="Arial"/>
      <family val="2"/>
    </font>
    <font>
      <sz val="8"/>
      <color theme="1"/>
      <name val="Arial"/>
      <family val="2"/>
    </font>
    <font>
      <sz val="11"/>
      <color theme="1"/>
      <name val="Arial"/>
      <family val="2"/>
    </font>
    <font>
      <sz val="12"/>
      <color theme="1"/>
      <name val="Arial"/>
      <family val="2"/>
    </font>
    <font>
      <sz val="12"/>
      <name val="Arial"/>
      <family val="2"/>
    </font>
    <font>
      <sz val="14"/>
      <color theme="1"/>
      <name val="Arial"/>
      <family val="2"/>
    </font>
    <font>
      <b/>
      <sz val="14"/>
      <name val="Arial"/>
      <family val="2"/>
    </font>
    <font>
      <b/>
      <sz val="12"/>
      <name val="Arial"/>
      <family val="2"/>
    </font>
    <font>
      <b/>
      <sz val="12"/>
      <color theme="1"/>
      <name val="Arial"/>
      <family val="2"/>
    </font>
    <font>
      <b/>
      <sz val="14"/>
      <color theme="1"/>
      <name val="Arial"/>
      <family val="2"/>
    </font>
    <font>
      <i/>
      <sz val="12"/>
      <name val="Arial"/>
      <family val="2"/>
    </font>
    <font>
      <b/>
      <i/>
      <sz val="12"/>
      <color rgb="FF0070C0"/>
      <name val="Arial"/>
      <family val="2"/>
    </font>
    <font>
      <sz val="12"/>
      <color theme="0"/>
      <name val="Arial"/>
      <family val="2"/>
    </font>
    <font>
      <sz val="14"/>
      <name val="Arial"/>
      <family val="2"/>
    </font>
    <font>
      <sz val="16"/>
      <name val="Calibri"/>
      <family val="2"/>
    </font>
    <font>
      <sz val="16"/>
      <color theme="1"/>
      <name val="Calibri"/>
      <family val="2"/>
    </font>
    <font>
      <b/>
      <sz val="16"/>
      <name val="Arial"/>
      <family val="2"/>
    </font>
    <font>
      <b/>
      <sz val="16"/>
      <color theme="1"/>
      <name val="Arial"/>
      <family val="2"/>
    </font>
    <font>
      <i/>
      <sz val="14"/>
      <name val="Arial"/>
      <family val="2"/>
    </font>
    <font>
      <sz val="16"/>
      <color rgb="FF000000"/>
      <name val="Calibri"/>
      <family val="2"/>
    </font>
    <font>
      <b/>
      <i/>
      <sz val="14"/>
      <color rgb="FF0070C0"/>
      <name val="Arial"/>
      <family val="2"/>
    </font>
    <font>
      <sz val="14"/>
      <color theme="0"/>
      <name val="Arial"/>
      <family val="2"/>
    </font>
    <font>
      <sz val="16"/>
      <name val="Arial"/>
      <family val="2"/>
    </font>
    <font>
      <sz val="33"/>
      <name val="Arial"/>
      <family val="2"/>
    </font>
    <font>
      <sz val="16"/>
      <name val="Tahoma"/>
      <family val="2"/>
    </font>
    <font>
      <sz val="16"/>
      <name val="Calibri"/>
      <family val="2"/>
      <scheme val="minor"/>
    </font>
    <font>
      <b/>
      <sz val="20"/>
      <name val="Arial"/>
      <family val="2"/>
    </font>
    <font>
      <sz val="20"/>
      <name val="Arial"/>
      <family val="2"/>
    </font>
    <font>
      <sz val="24"/>
      <name val="Arial"/>
      <family val="2"/>
    </font>
    <font>
      <sz val="24"/>
      <color theme="1"/>
      <name val="Arial"/>
      <family val="2"/>
    </font>
    <font>
      <sz val="11"/>
      <name val="Calibri"/>
      <family val="2"/>
      <scheme val="minor"/>
    </font>
    <font>
      <sz val="20"/>
      <name val="Calibri"/>
      <family val="2"/>
      <scheme val="minor"/>
    </font>
    <font>
      <b/>
      <sz val="20"/>
      <name val="Calibri"/>
      <family val="2"/>
      <scheme val="minor"/>
    </font>
    <font>
      <sz val="18"/>
      <name val="Calibri"/>
      <family val="2"/>
      <scheme val="minor"/>
    </font>
    <font>
      <sz val="28"/>
      <name val="Calibri"/>
      <family val="2"/>
      <scheme val="minor"/>
    </font>
    <font>
      <sz val="28"/>
      <color theme="1"/>
      <name val="Calibri"/>
      <family val="2"/>
      <scheme val="minor"/>
    </font>
    <font>
      <i/>
      <sz val="20"/>
      <name val="Tahoma"/>
      <family val="2"/>
    </font>
    <font>
      <b/>
      <sz val="20"/>
      <name val="Tahoma"/>
      <family val="2"/>
    </font>
    <font>
      <b/>
      <sz val="16"/>
      <name val="Calibri"/>
      <family val="2"/>
      <scheme val="minor"/>
    </font>
    <font>
      <b/>
      <sz val="18"/>
      <name val="Calibri"/>
      <family val="2"/>
      <scheme val="minor"/>
    </font>
    <font>
      <b/>
      <i/>
      <sz val="20"/>
      <name val="Tahoma"/>
      <family val="2"/>
    </font>
    <font>
      <sz val="20"/>
      <name val="Tahoma"/>
      <family val="2"/>
    </font>
    <font>
      <sz val="24"/>
      <name val="Calibri"/>
      <family val="2"/>
      <scheme val="minor"/>
    </font>
    <font>
      <sz val="24"/>
      <color theme="1"/>
      <name val="Calibri"/>
      <family val="2"/>
      <scheme val="minor"/>
    </font>
    <font>
      <b/>
      <sz val="24"/>
      <name val="Calibri"/>
      <family val="2"/>
      <scheme val="minor"/>
    </font>
    <font>
      <sz val="24"/>
      <color rgb="FFFF0000"/>
      <name val="Calibri"/>
      <family val="2"/>
      <scheme val="minor"/>
    </font>
    <font>
      <b/>
      <sz val="28"/>
      <name val="Arial"/>
      <family val="2"/>
    </font>
    <font>
      <b/>
      <sz val="36"/>
      <color theme="1"/>
      <name val="Arial"/>
      <family val="2"/>
    </font>
    <font>
      <b/>
      <sz val="28"/>
      <color theme="1"/>
      <name val="Arial"/>
      <family val="2"/>
    </font>
    <font>
      <b/>
      <sz val="36"/>
      <color rgb="FF00B050"/>
      <name val="Arial"/>
      <family val="2"/>
    </font>
    <font>
      <b/>
      <sz val="36"/>
      <color rgb="FF0070C0"/>
      <name val="Arial"/>
      <family val="2"/>
    </font>
    <font>
      <b/>
      <sz val="36"/>
      <name val="Arial"/>
      <family val="2"/>
    </font>
    <font>
      <b/>
      <sz val="36"/>
      <color rgb="FFFF0000"/>
      <name val="Arial"/>
      <family val="2"/>
    </font>
    <font>
      <sz val="28"/>
      <name val="Arial"/>
      <family val="2"/>
    </font>
    <font>
      <b/>
      <sz val="28"/>
      <name val="Calibri"/>
      <family val="2"/>
      <scheme val="minor"/>
    </font>
    <font>
      <sz val="42"/>
      <name val="Arial"/>
      <family val="2"/>
    </font>
    <font>
      <b/>
      <sz val="42"/>
      <name val="Arial"/>
      <family val="2"/>
    </font>
    <font>
      <sz val="42"/>
      <color theme="1"/>
      <name val="Arial"/>
      <family val="2"/>
    </font>
    <font>
      <b/>
      <sz val="28"/>
      <name val="Tahoma"/>
      <family val="2"/>
    </font>
    <font>
      <b/>
      <sz val="42"/>
      <color theme="1"/>
      <name val="Arial"/>
      <family val="2"/>
    </font>
    <font>
      <i/>
      <sz val="28"/>
      <name val="Calibri"/>
      <family val="2"/>
      <scheme val="minor"/>
    </font>
    <font>
      <b/>
      <sz val="42"/>
      <color rgb="FF00B050"/>
      <name val="Arial"/>
      <family val="2"/>
    </font>
    <font>
      <b/>
      <sz val="42"/>
      <color rgb="FFFF0000"/>
      <name val="Arial"/>
      <family val="2"/>
    </font>
    <font>
      <sz val="42"/>
      <color rgb="FFFF0000"/>
      <name val="Arial"/>
      <family val="2"/>
    </font>
    <font>
      <sz val="42"/>
      <name val="Calibri"/>
      <family val="2"/>
      <scheme val="minor"/>
    </font>
    <font>
      <sz val="9"/>
      <color theme="1"/>
      <name val="Calibri"/>
      <family val="2"/>
      <scheme val="minor"/>
    </font>
    <font>
      <sz val="9"/>
      <name val="Arial"/>
      <family val="2"/>
    </font>
    <font>
      <sz val="8"/>
      <name val="Arial"/>
      <family val="2"/>
    </font>
    <font>
      <b/>
      <sz val="9"/>
      <name val="Arial"/>
      <family val="2"/>
    </font>
    <font>
      <sz val="9"/>
      <color rgb="FF000000"/>
      <name val="Arial"/>
      <family val="2"/>
    </font>
    <font>
      <i/>
      <sz val="9"/>
      <color theme="1"/>
      <name val="Arial"/>
      <family val="2"/>
    </font>
    <font>
      <b/>
      <sz val="9"/>
      <color theme="1"/>
      <name val="Calibri"/>
      <family val="2"/>
      <scheme val="minor"/>
    </font>
    <font>
      <sz val="11"/>
      <name val="Tahoma"/>
      <family val="2"/>
    </font>
    <font>
      <sz val="11"/>
      <color theme="1"/>
      <name val="Tahoma"/>
      <family val="2"/>
    </font>
    <font>
      <b/>
      <sz val="11"/>
      <name val="Tahoma"/>
      <family val="2"/>
    </font>
    <font>
      <sz val="11"/>
      <color rgb="FF000000"/>
      <name val="Tahoma"/>
      <family val="2"/>
    </font>
    <font>
      <sz val="11"/>
      <color indexed="8"/>
      <name val="Calibri"/>
      <family val="2"/>
    </font>
    <font>
      <sz val="11"/>
      <color indexed="9"/>
      <name val="Calibri"/>
      <family val="2"/>
    </font>
    <font>
      <sz val="11"/>
      <color theme="0"/>
      <name val="Calibri"/>
      <family val="2"/>
      <scheme val="minor"/>
    </font>
    <font>
      <sz val="11"/>
      <color indexed="14"/>
      <name val="Calibri"/>
      <family val="2"/>
    </font>
    <font>
      <b/>
      <sz val="11"/>
      <color indexed="13"/>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3"/>
      <name val="Calibri"/>
      <family val="2"/>
    </font>
    <font>
      <sz val="11"/>
      <color indexed="60"/>
      <name val="Calibri"/>
      <family val="2"/>
    </font>
    <font>
      <sz val="11"/>
      <color rgb="FF9C6500"/>
      <name val="Calibri"/>
      <family val="2"/>
      <scheme val="minor"/>
    </font>
    <font>
      <sz val="10"/>
      <color indexed="8"/>
      <name val="Arial"/>
      <family val="2"/>
    </font>
    <font>
      <sz val="10"/>
      <name val="Arial Narrow"/>
      <family val="2"/>
    </font>
    <font>
      <sz val="11"/>
      <name val="Calibri"/>
      <family val="2"/>
    </font>
    <font>
      <sz val="10"/>
      <color theme="1"/>
      <name val="Calibri"/>
      <family val="2"/>
    </font>
    <font>
      <b/>
      <sz val="11"/>
      <color indexed="63"/>
      <name val="Calibri"/>
      <family val="2"/>
    </font>
    <font>
      <b/>
      <sz val="18"/>
      <color indexed="62"/>
      <name val="Cambria"/>
      <family val="1"/>
    </font>
    <font>
      <b/>
      <sz val="11"/>
      <color indexed="8"/>
      <name val="Calibri"/>
      <family val="2"/>
    </font>
    <font>
      <sz val="11"/>
      <color indexed="10"/>
      <name val="Calibri"/>
      <family val="2"/>
    </font>
    <font>
      <vertAlign val="superscript"/>
      <sz val="8"/>
      <color theme="1"/>
      <name val="Arial"/>
      <family val="2"/>
    </font>
    <font>
      <vertAlign val="superscript"/>
      <sz val="11"/>
      <color indexed="8"/>
      <name val="Tahoma"/>
      <family val="2"/>
    </font>
    <font>
      <sz val="11"/>
      <color indexed="8"/>
      <name val="Tahoma"/>
      <family val="2"/>
    </font>
    <font>
      <sz val="8"/>
      <color theme="1"/>
      <name val="Calibri"/>
      <family val="2"/>
      <scheme val="minor"/>
    </font>
    <font>
      <sz val="12"/>
      <color theme="1"/>
      <name val="Calibri"/>
      <family val="2"/>
      <scheme val="minor"/>
    </font>
    <font>
      <sz val="16"/>
      <color theme="1"/>
      <name val="Arial"/>
      <family val="2"/>
    </font>
    <font>
      <sz val="11"/>
      <color theme="1"/>
      <name val="Calibri"/>
      <family val="2"/>
      <scheme val="minor"/>
    </font>
    <font>
      <sz val="8"/>
      <name val="Calibri"/>
      <family val="2"/>
      <scheme val="minor"/>
    </font>
    <font>
      <sz val="42"/>
      <name val="Arial"/>
      <family val="2"/>
    </font>
    <font>
      <sz val="42"/>
      <color theme="1"/>
      <name val="Arial"/>
      <family val="2"/>
    </font>
  </fonts>
  <fills count="44">
    <fill>
      <patternFill patternType="none"/>
    </fill>
    <fill>
      <patternFill patternType="gray125"/>
    </fill>
    <fill>
      <patternFill patternType="solid">
        <fgColor theme="4" tint="0.39991454817346722"/>
        <bgColor indexed="64"/>
      </patternFill>
    </fill>
    <fill>
      <patternFill patternType="solid">
        <fgColor theme="0"/>
        <bgColor indexed="64"/>
      </patternFill>
    </fill>
    <fill>
      <patternFill patternType="solid">
        <fgColor rgb="FF00FFFF"/>
        <bgColor indexed="64"/>
      </patternFill>
    </fill>
    <fill>
      <patternFill patternType="solid">
        <fgColor rgb="FFFF9999"/>
        <bgColor indexed="64"/>
      </patternFill>
    </fill>
    <fill>
      <patternFill patternType="solid">
        <fgColor rgb="FFFFCC99"/>
        <bgColor indexed="64"/>
      </patternFill>
    </fill>
    <fill>
      <patternFill patternType="solid">
        <fgColor theme="7" tint="0.59999389629810485"/>
        <bgColor indexed="64"/>
      </patternFill>
    </fill>
    <fill>
      <patternFill patternType="solid">
        <fgColor rgb="FFFFFF00"/>
        <bgColor indexed="64"/>
      </patternFill>
    </fill>
    <fill>
      <patternFill patternType="solid">
        <fgColor rgb="FFD9D9D9"/>
        <bgColor indexed="64"/>
      </patternFill>
    </fill>
    <fill>
      <patternFill patternType="solid">
        <fgColor theme="5" tint="0.59999389629810485"/>
        <bgColor indexed="64"/>
      </patternFill>
    </fill>
    <fill>
      <patternFill patternType="solid">
        <fgColor theme="0"/>
        <bgColor theme="0"/>
      </patternFill>
    </fill>
    <fill>
      <patternFill patternType="solid">
        <fgColor theme="4" tint="0.59999389629810485"/>
        <bgColor indexed="64"/>
      </patternFill>
    </fill>
    <fill>
      <patternFill patternType="solid">
        <fgColor rgb="FF89E0FF"/>
        <bgColor indexed="64"/>
      </patternFill>
    </fill>
    <fill>
      <patternFill patternType="solid">
        <fgColor rgb="FF76E3FF"/>
        <bgColor indexed="64"/>
      </patternFill>
    </fill>
    <fill>
      <patternFill patternType="solid">
        <fgColor rgb="FF33CCFF"/>
        <bgColor indexed="64"/>
      </patternFill>
    </fill>
    <fill>
      <patternFill patternType="solid">
        <fgColor rgb="FFFFE699"/>
        <bgColor indexed="64"/>
      </patternFill>
    </fill>
    <fill>
      <patternFill patternType="solid">
        <fgColor rgb="FF33CCFF"/>
        <bgColor theme="4"/>
      </patternFill>
    </fill>
    <fill>
      <patternFill patternType="solid">
        <fgColor theme="0"/>
        <bgColor theme="4" tint="0.79992065187536243"/>
      </patternFill>
    </fill>
    <fill>
      <patternFill patternType="solid">
        <fgColor rgb="FFCCCC00"/>
        <bgColor indexed="64"/>
      </patternFill>
    </fill>
    <fill>
      <patternFill patternType="solid">
        <fgColor rgb="FFFFEB9C"/>
        <bgColor indexed="64"/>
      </patternFill>
    </fill>
    <fill>
      <patternFill patternType="solid">
        <fgColor indexed="44"/>
        <bgColor indexed="64"/>
      </patternFill>
    </fill>
    <fill>
      <patternFill patternType="solid">
        <fgColor indexed="29"/>
        <bgColor indexed="64"/>
      </patternFill>
    </fill>
    <fill>
      <patternFill patternType="solid">
        <fgColor indexed="26"/>
        <bgColor indexed="64"/>
      </patternFill>
    </fill>
    <fill>
      <patternFill patternType="solid">
        <fgColor indexed="22"/>
        <bgColor indexed="64"/>
      </patternFill>
    </fill>
    <fill>
      <patternFill patternType="solid">
        <fgColor indexed="27"/>
        <bgColor indexed="64"/>
      </patternFill>
    </fill>
    <fill>
      <patternFill patternType="solid">
        <fgColor indexed="43"/>
        <bgColor indexed="64"/>
      </patternFill>
    </fill>
    <fill>
      <patternFill patternType="solid">
        <fgColor indexed="45"/>
        <bgColor indexed="64"/>
      </patternFill>
    </fill>
    <fill>
      <patternFill patternType="solid">
        <fgColor indexed="53"/>
        <bgColor indexed="64"/>
      </patternFill>
    </fill>
    <fill>
      <patternFill patternType="solid">
        <fgColor theme="5" tint="0.39991454817346722"/>
        <bgColor indexed="64"/>
      </patternFill>
    </fill>
    <fill>
      <patternFill patternType="solid">
        <fgColor indexed="51"/>
        <bgColor indexed="64"/>
      </patternFill>
    </fill>
    <fill>
      <patternFill patternType="solid">
        <fgColor theme="6" tint="0.39991454817346722"/>
        <bgColor indexed="64"/>
      </patternFill>
    </fill>
    <fill>
      <patternFill patternType="solid">
        <fgColor theme="7" tint="0.39991454817346722"/>
        <bgColor indexed="64"/>
      </patternFill>
    </fill>
    <fill>
      <patternFill patternType="solid">
        <fgColor theme="8" tint="0.39991454817346722"/>
        <bgColor indexed="64"/>
      </patternFill>
    </fill>
    <fill>
      <patternFill patternType="solid">
        <fgColor theme="9" tint="0.39991454817346722"/>
        <bgColor indexed="64"/>
      </patternFill>
    </fill>
    <fill>
      <patternFill patternType="solid">
        <fgColor indexed="56"/>
        <bgColor indexed="64"/>
      </patternFill>
    </fill>
    <fill>
      <patternFill patternType="solid">
        <fgColor indexed="54"/>
        <bgColor indexed="64"/>
      </patternFill>
    </fill>
    <fill>
      <patternFill patternType="solid">
        <fgColor indexed="49"/>
        <bgColor indexed="64"/>
      </patternFill>
    </fill>
    <fill>
      <patternFill patternType="solid">
        <fgColor indexed="13"/>
        <bgColor indexed="64"/>
      </patternFill>
    </fill>
    <fill>
      <patternFill patternType="solid">
        <fgColor indexed="46"/>
        <bgColor indexed="64"/>
      </patternFill>
    </fill>
    <fill>
      <patternFill patternType="solid">
        <fgColor indexed="9"/>
        <bgColor indexed="64"/>
      </patternFill>
    </fill>
    <fill>
      <patternFill patternType="solid">
        <fgColor indexed="55"/>
        <bgColor indexed="64"/>
      </patternFill>
    </fill>
    <fill>
      <patternFill patternType="solid">
        <fgColor rgb="FFFF0000"/>
        <bgColor indexed="64"/>
      </patternFill>
    </fill>
    <fill>
      <patternFill patternType="solid">
        <fgColor rgb="FFFF0000"/>
        <bgColor theme="0"/>
      </patternFill>
    </fill>
  </fills>
  <borders count="5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right style="medium">
        <color auto="1"/>
      </right>
      <top style="medium">
        <color auto="1"/>
      </top>
      <bottom style="medium">
        <color auto="1"/>
      </bottom>
      <diagonal/>
    </border>
    <border>
      <left/>
      <right/>
      <top style="thin">
        <color auto="1"/>
      </top>
      <bottom/>
      <diagonal/>
    </border>
    <border>
      <left style="thin">
        <color auto="1"/>
      </left>
      <right/>
      <top style="thin">
        <color auto="1"/>
      </top>
      <bottom/>
      <diagonal/>
    </border>
    <border>
      <left/>
      <right style="thin">
        <color auto="1"/>
      </right>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style="thin">
        <color theme="4" tint="0.39991454817346722"/>
      </top>
      <bottom/>
      <diagonal/>
    </border>
    <border>
      <left style="thin">
        <color auto="1"/>
      </left>
      <right/>
      <top/>
      <bottom style="thin">
        <color auto="1"/>
      </bottom>
      <diagonal/>
    </border>
    <border>
      <left/>
      <right/>
      <top/>
      <bottom style="thin">
        <color auto="1"/>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auto="1"/>
      </right>
      <top/>
      <bottom style="thin">
        <color auto="1"/>
      </bottom>
      <diagonal/>
    </border>
    <border>
      <left style="thin">
        <color rgb="FF000000"/>
      </left>
      <right style="thin">
        <color auto="1"/>
      </right>
      <top style="thin">
        <color auto="1"/>
      </top>
      <bottom style="thin">
        <color auto="1"/>
      </bottom>
      <diagonal/>
    </border>
    <border>
      <left style="thin">
        <color rgb="FF000000"/>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medium">
        <color auto="1"/>
      </left>
      <right style="thin">
        <color auto="1"/>
      </right>
      <top style="thin">
        <color auto="1"/>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style="medium">
        <color auto="1"/>
      </bottom>
      <diagonal/>
    </border>
    <border>
      <left style="thin">
        <color rgb="FF000000"/>
      </left>
      <right style="thin">
        <color rgb="FF000000"/>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s>
  <cellStyleXfs count="110">
    <xf numFmtId="0" fontId="0" fillId="0" borderId="0"/>
    <xf numFmtId="43" fontId="113" fillId="0" borderId="0" applyFont="0" applyFill="0" applyBorder="0" applyAlignment="0" applyProtection="0"/>
    <xf numFmtId="9" fontId="113" fillId="0" borderId="0" applyFont="0" applyFill="0" applyBorder="0" applyAlignment="0" applyProtection="0"/>
    <xf numFmtId="0" fontId="84" fillId="21" borderId="0" applyNumberFormat="0" applyBorder="0" applyAlignment="0" applyProtection="0"/>
    <xf numFmtId="0" fontId="84" fillId="22" borderId="0" applyNumberFormat="0" applyBorder="0" applyAlignment="0" applyProtection="0"/>
    <xf numFmtId="0" fontId="84" fillId="23" borderId="0" applyNumberFormat="0" applyBorder="0" applyAlignment="0" applyProtection="0"/>
    <xf numFmtId="0" fontId="84" fillId="24" borderId="0" applyNumberFormat="0" applyBorder="0" applyAlignment="0" applyProtection="0"/>
    <xf numFmtId="0" fontId="84" fillId="25" borderId="0" applyNumberFormat="0" applyBorder="0" applyAlignment="0" applyProtection="0"/>
    <xf numFmtId="0" fontId="84" fillId="23" borderId="0" applyNumberFormat="0" applyBorder="0" applyAlignment="0" applyProtection="0"/>
    <xf numFmtId="0" fontId="84" fillId="25" borderId="0" applyNumberFormat="0" applyBorder="0" applyAlignment="0" applyProtection="0"/>
    <xf numFmtId="0" fontId="84" fillId="22" borderId="0" applyNumberFormat="0" applyBorder="0" applyAlignment="0" applyProtection="0"/>
    <xf numFmtId="0" fontId="84" fillId="26" borderId="0" applyNumberFormat="0" applyBorder="0" applyAlignment="0" applyProtection="0"/>
    <xf numFmtId="0" fontId="84" fillId="27" borderId="0" applyNumberFormat="0" applyBorder="0" applyAlignment="0" applyProtection="0"/>
    <xf numFmtId="0" fontId="84" fillId="25" borderId="0" applyNumberFormat="0" applyBorder="0" applyAlignment="0" applyProtection="0"/>
    <xf numFmtId="0" fontId="84" fillId="23" borderId="0" applyNumberFormat="0" applyBorder="0" applyAlignment="0" applyProtection="0"/>
    <xf numFmtId="0" fontId="85" fillId="25" borderId="0" applyNumberFormat="0" applyBorder="0" applyAlignment="0" applyProtection="0"/>
    <xf numFmtId="0" fontId="86" fillId="2" borderId="0" applyNumberFormat="0" applyBorder="0" applyAlignment="0" applyProtection="0"/>
    <xf numFmtId="0" fontId="85" fillId="28" borderId="0" applyNumberFormat="0" applyBorder="0" applyAlignment="0" applyProtection="0"/>
    <xf numFmtId="0" fontId="86" fillId="29" borderId="0" applyNumberFormat="0" applyBorder="0" applyAlignment="0" applyProtection="0"/>
    <xf numFmtId="0" fontId="85" fillId="30" borderId="0" applyNumberFormat="0" applyBorder="0" applyAlignment="0" applyProtection="0"/>
    <xf numFmtId="0" fontId="86" fillId="31" borderId="0" applyNumberFormat="0" applyBorder="0" applyAlignment="0" applyProtection="0"/>
    <xf numFmtId="0" fontId="85" fillId="27" borderId="0" applyNumberFormat="0" applyBorder="0" applyAlignment="0" applyProtection="0"/>
    <xf numFmtId="0" fontId="86" fillId="32" borderId="0" applyNumberFormat="0" applyBorder="0" applyAlignment="0" applyProtection="0"/>
    <xf numFmtId="0" fontId="85" fillId="25" borderId="0" applyNumberFormat="0" applyBorder="0" applyAlignment="0" applyProtection="0"/>
    <xf numFmtId="0" fontId="86" fillId="33" borderId="0" applyNumberFormat="0" applyBorder="0" applyAlignment="0" applyProtection="0"/>
    <xf numFmtId="0" fontId="85" fillId="22" borderId="0" applyNumberFormat="0" applyBorder="0" applyAlignment="0" applyProtection="0"/>
    <xf numFmtId="0" fontId="86" fillId="34" borderId="0" applyNumberFormat="0" applyBorder="0" applyAlignment="0" applyProtection="0"/>
    <xf numFmtId="0" fontId="85" fillId="35" borderId="0" applyNumberFormat="0" applyBorder="0" applyAlignment="0" applyProtection="0"/>
    <xf numFmtId="0" fontId="85" fillId="28" borderId="0" applyNumberFormat="0" applyBorder="0" applyAlignment="0" applyProtection="0"/>
    <xf numFmtId="0" fontId="85" fillId="30" borderId="0" applyNumberFormat="0" applyBorder="0" applyAlignment="0" applyProtection="0"/>
    <xf numFmtId="0" fontId="85" fillId="36" borderId="0" applyNumberFormat="0" applyBorder="0" applyAlignment="0" applyProtection="0"/>
    <xf numFmtId="0" fontId="85" fillId="37" borderId="0" applyNumberFormat="0" applyBorder="0" applyAlignment="0" applyProtection="0"/>
    <xf numFmtId="0" fontId="85" fillId="38" borderId="0" applyNumberFormat="0" applyBorder="0" applyAlignment="0" applyProtection="0"/>
    <xf numFmtId="0" fontId="87" fillId="39" borderId="0" applyNumberFormat="0" applyBorder="0" applyAlignment="0" applyProtection="0"/>
    <xf numFmtId="0" fontId="88" fillId="40" borderId="45" applyNumberFormat="0" applyAlignment="0" applyProtection="0"/>
    <xf numFmtId="0" fontId="89" fillId="41" borderId="46" applyNumberFormat="0" applyAlignment="0" applyProtection="0"/>
    <xf numFmtId="41" fontId="113" fillId="0" borderId="0" applyFont="0" applyFill="0" applyBorder="0" applyAlignment="0" applyProtection="0"/>
    <xf numFmtId="43" fontId="11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90" fillId="0" borderId="0" applyNumberFormat="0" applyFill="0" applyBorder="0" applyAlignment="0" applyProtection="0"/>
    <xf numFmtId="0" fontId="91" fillId="25" borderId="0" applyNumberFormat="0" applyBorder="0" applyAlignment="0" applyProtection="0"/>
    <xf numFmtId="0" fontId="92" fillId="0" borderId="47" applyNumberFormat="0" applyFill="0" applyAlignment="0" applyProtection="0"/>
    <xf numFmtId="0" fontId="93" fillId="0" borderId="48" applyNumberFormat="0" applyFill="0" applyAlignment="0" applyProtection="0"/>
    <xf numFmtId="0" fontId="94" fillId="0" borderId="49" applyNumberFormat="0" applyFill="0" applyAlignment="0" applyProtection="0"/>
    <xf numFmtId="0" fontId="94" fillId="0" borderId="0" applyNumberFormat="0" applyFill="0" applyBorder="0" applyAlignment="0" applyProtection="0"/>
    <xf numFmtId="0" fontId="95" fillId="26" borderId="45" applyNumberFormat="0" applyAlignment="0" applyProtection="0"/>
    <xf numFmtId="0" fontId="96" fillId="0" borderId="50" applyNumberFormat="0" applyFill="0" applyAlignment="0" applyProtection="0"/>
    <xf numFmtId="0" fontId="97" fillId="26" borderId="0" applyNumberFormat="0" applyBorder="0" applyAlignment="0" applyProtection="0"/>
    <xf numFmtId="0" fontId="98" fillId="20" borderId="0" applyNumberFormat="0" applyBorder="0" applyAlignment="0" applyProtection="0"/>
    <xf numFmtId="0" fontId="4" fillId="0" borderId="0"/>
    <xf numFmtId="0" fontId="4" fillId="0" borderId="0"/>
    <xf numFmtId="0" fontId="84" fillId="0" borderId="0" applyFill="0" applyProtection="0"/>
    <xf numFmtId="0" fontId="84" fillId="0" borderId="0" applyFill="0" applyProtection="0"/>
    <xf numFmtId="0" fontId="4" fillId="0" borderId="0"/>
    <xf numFmtId="0" fontId="113" fillId="0" borderId="0"/>
    <xf numFmtId="0" fontId="4" fillId="0" borderId="0"/>
    <xf numFmtId="0" fontId="4" fillId="0" borderId="0"/>
    <xf numFmtId="0" fontId="84" fillId="0" borderId="0" applyFill="0" applyProtection="0"/>
    <xf numFmtId="0" fontId="84" fillId="0" borderId="0" applyFill="0" applyProtection="0"/>
    <xf numFmtId="0" fontId="4" fillId="0" borderId="0"/>
    <xf numFmtId="0" fontId="99" fillId="0" borderId="0"/>
    <xf numFmtId="0" fontId="99" fillId="0" borderId="0"/>
    <xf numFmtId="0" fontId="99" fillId="0" borderId="0"/>
    <xf numFmtId="0" fontId="100" fillId="0" borderId="0">
      <alignment vertical="top" wrapText="1"/>
    </xf>
    <xf numFmtId="0" fontId="113" fillId="0" borderId="0"/>
    <xf numFmtId="0" fontId="10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2" fillId="0" borderId="0"/>
    <xf numFmtId="0" fontId="84" fillId="0" borderId="0" applyFill="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0" fillId="0" borderId="0">
      <alignment vertical="top" wrapText="1"/>
    </xf>
    <xf numFmtId="0" fontId="84" fillId="0" borderId="0" applyFill="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4" fillId="0" borderId="0" applyFill="0" applyProtection="0"/>
    <xf numFmtId="0" fontId="4" fillId="0" borderId="0"/>
    <xf numFmtId="0" fontId="4" fillId="0" borderId="0"/>
    <xf numFmtId="0" fontId="4" fillId="0" borderId="0"/>
    <xf numFmtId="0" fontId="4" fillId="0" borderId="0"/>
    <xf numFmtId="0" fontId="99" fillId="23" borderId="51" applyNumberFormat="0" applyFont="0" applyAlignment="0" applyProtection="0"/>
    <xf numFmtId="0" fontId="103" fillId="40" borderId="52" applyNumberFormat="0" applyAlignment="0" applyProtection="0"/>
    <xf numFmtId="0" fontId="104" fillId="0" borderId="0" applyNumberFormat="0" applyFill="0" applyBorder="0" applyAlignment="0" applyProtection="0"/>
    <xf numFmtId="0" fontId="105" fillId="0" borderId="53" applyNumberFormat="0" applyFill="0" applyAlignment="0" applyProtection="0"/>
    <xf numFmtId="0" fontId="106" fillId="0" borderId="0" applyNumberFormat="0" applyFill="0" applyBorder="0" applyAlignment="0" applyProtection="0"/>
    <xf numFmtId="0" fontId="1" fillId="0" borderId="0"/>
    <xf numFmtId="43" fontId="1" fillId="0" borderId="0" applyFont="0" applyFill="0" applyBorder="0" applyAlignment="0" applyProtection="0"/>
  </cellStyleXfs>
  <cellXfs count="814">
    <xf numFmtId="0" fontId="0" fillId="0" borderId="0" xfId="0"/>
    <xf numFmtId="0" fontId="2" fillId="2" borderId="0" xfId="61" applyFont="1" applyFill="1" applyAlignment="1">
      <alignment horizontal="center" vertical="center" wrapText="1"/>
    </xf>
    <xf numFmtId="0" fontId="3" fillId="0" borderId="0" xfId="61" applyFont="1" applyAlignment="1">
      <alignment horizontal="left" vertical="center" wrapText="1"/>
    </xf>
    <xf numFmtId="0" fontId="4" fillId="0" borderId="0" xfId="61" applyAlignment="1">
      <alignment vertical="center" wrapText="1"/>
    </xf>
    <xf numFmtId="0" fontId="5" fillId="0" borderId="0" xfId="0" applyFont="1"/>
    <xf numFmtId="0" fontId="5" fillId="0" borderId="0" xfId="0" applyFont="1" applyAlignment="1">
      <alignment horizontal="center" vertical="center"/>
    </xf>
    <xf numFmtId="10" fontId="5" fillId="0" borderId="0" xfId="0" applyNumberFormat="1" applyFont="1" applyAlignment="1">
      <alignment horizontal="center" vertical="center"/>
    </xf>
    <xf numFmtId="9" fontId="5" fillId="0" borderId="0" xfId="0" applyNumberFormat="1" applyFont="1" applyAlignment="1">
      <alignment horizontal="center" vertical="center"/>
    </xf>
    <xf numFmtId="0" fontId="6" fillId="2" borderId="1" xfId="61" applyFont="1" applyFill="1" applyBorder="1" applyAlignment="1">
      <alignment horizontal="center" vertical="center" wrapText="1"/>
    </xf>
    <xf numFmtId="49" fontId="6" fillId="2" borderId="1" xfId="61" applyNumberFormat="1" applyFont="1" applyFill="1" applyBorder="1" applyAlignment="1">
      <alignment horizontal="center" vertical="center" wrapText="1"/>
    </xf>
    <xf numFmtId="0" fontId="7" fillId="0" borderId="1" xfId="61" applyFont="1" applyBorder="1" applyAlignment="1">
      <alignment horizontal="center" vertical="center" wrapText="1"/>
    </xf>
    <xf numFmtId="0" fontId="4" fillId="3" borderId="1" xfId="0" applyFont="1" applyFill="1" applyBorder="1" applyAlignment="1">
      <alignment horizontal="left" vertical="center"/>
    </xf>
    <xf numFmtId="0" fontId="7" fillId="0" borderId="4" xfId="0" applyFont="1" applyBorder="1" applyAlignment="1">
      <alignment horizontal="left" vertical="center" wrapText="1"/>
    </xf>
    <xf numFmtId="43" fontId="4" fillId="0" borderId="1" xfId="1" applyFont="1" applyFill="1" applyBorder="1" applyAlignment="1">
      <alignment horizontal="left" vertical="center" wrapText="1"/>
    </xf>
    <xf numFmtId="0" fontId="4" fillId="0" borderId="1" xfId="6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7" fillId="0" borderId="1" xfId="0" applyFont="1" applyBorder="1" applyAlignment="1">
      <alignment horizontal="left" vertical="center" wrapText="1"/>
    </xf>
    <xf numFmtId="43" fontId="7" fillId="0" borderId="1" xfId="1" applyFont="1" applyBorder="1" applyAlignment="1">
      <alignment horizontal="left" vertical="center" wrapText="1"/>
    </xf>
    <xf numFmtId="49" fontId="4" fillId="4" borderId="1" xfId="0" applyNumberFormat="1" applyFont="1" applyFill="1" applyBorder="1" applyAlignment="1">
      <alignment horizontal="center" vertical="center"/>
    </xf>
    <xf numFmtId="0" fontId="7" fillId="0" borderId="5" xfId="0" applyFont="1" applyBorder="1" applyAlignment="1">
      <alignment vertical="center" wrapText="1"/>
    </xf>
    <xf numFmtId="0" fontId="4" fillId="3" borderId="1" xfId="0" applyFont="1" applyFill="1" applyBorder="1" applyAlignment="1">
      <alignment horizontal="left" vertical="center" wrapText="1"/>
    </xf>
    <xf numFmtId="1" fontId="4" fillId="5" borderId="1" xfId="0" applyNumberFormat="1" applyFont="1" applyFill="1" applyBorder="1" applyAlignment="1">
      <alignment horizontal="center" vertical="center" wrapText="1"/>
    </xf>
    <xf numFmtId="0" fontId="4" fillId="0" borderId="5" xfId="0" applyFont="1" applyBorder="1" applyAlignment="1">
      <alignment horizontal="center" vertical="center" wrapText="1"/>
    </xf>
    <xf numFmtId="0" fontId="7" fillId="0" borderId="1"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 xfId="0" applyFont="1" applyBorder="1" applyAlignment="1">
      <alignment vertical="center" wrapText="1"/>
    </xf>
    <xf numFmtId="14" fontId="7" fillId="0" borderId="1" xfId="0" applyNumberFormat="1" applyFont="1" applyBorder="1" applyAlignment="1">
      <alignment vertical="center" wrapText="1"/>
    </xf>
    <xf numFmtId="20" fontId="7" fillId="6" borderId="1" xfId="0" applyNumberFormat="1" applyFont="1" applyFill="1" applyBorder="1" applyAlignment="1">
      <alignment horizontal="center" vertical="center" wrapText="1"/>
    </xf>
    <xf numFmtId="165" fontId="7" fillId="0" borderId="1" xfId="0" applyNumberFormat="1" applyFont="1" applyBorder="1" applyAlignment="1">
      <alignment horizontal="center" vertical="center" wrapText="1"/>
    </xf>
    <xf numFmtId="20" fontId="4" fillId="6" borderId="1" xfId="0" applyNumberFormat="1" applyFont="1" applyFill="1" applyBorder="1" applyAlignment="1">
      <alignment horizontal="center" vertical="center" wrapText="1"/>
    </xf>
    <xf numFmtId="165" fontId="4" fillId="0" borderId="1" xfId="0" applyNumberFormat="1" applyFont="1" applyBorder="1" applyAlignment="1">
      <alignment horizontal="center" vertical="center" wrapText="1"/>
    </xf>
    <xf numFmtId="20" fontId="7" fillId="7" borderId="1" xfId="0" applyNumberFormat="1" applyFont="1" applyFill="1" applyBorder="1" applyAlignment="1">
      <alignment horizontal="center" vertical="center" wrapText="1"/>
    </xf>
    <xf numFmtId="1" fontId="6" fillId="2" borderId="1" xfId="61" applyNumberFormat="1" applyFont="1" applyFill="1" applyBorder="1" applyAlignment="1">
      <alignment horizontal="center" vertical="center" wrapText="1"/>
    </xf>
    <xf numFmtId="0" fontId="6" fillId="2" borderId="1" xfId="61" applyFont="1" applyFill="1" applyBorder="1" applyAlignment="1">
      <alignment vertical="center" wrapText="1"/>
    </xf>
    <xf numFmtId="43" fontId="4" fillId="0" borderId="1" xfId="1" applyFont="1" applyFill="1" applyBorder="1" applyAlignment="1">
      <alignment horizontal="center" vertical="center" wrapText="1"/>
    </xf>
    <xf numFmtId="43" fontId="8" fillId="0" borderId="1" xfId="61" applyNumberFormat="1" applyFont="1" applyBorder="1" applyAlignment="1">
      <alignment horizontal="left" vertical="center" wrapText="1"/>
    </xf>
    <xf numFmtId="43" fontId="8" fillId="0" borderId="1" xfId="61" applyNumberFormat="1" applyFont="1" applyBorder="1" applyAlignment="1">
      <alignment vertical="center" wrapText="1"/>
    </xf>
    <xf numFmtId="166" fontId="6" fillId="2" borderId="1" xfId="61" applyNumberFormat="1" applyFont="1" applyFill="1" applyBorder="1" applyAlignment="1">
      <alignment horizontal="center" vertical="center" wrapText="1"/>
    </xf>
    <xf numFmtId="1" fontId="4" fillId="0" borderId="1" xfId="0" applyNumberFormat="1" applyFont="1" applyBorder="1" applyAlignment="1">
      <alignment horizontal="center" vertical="center" wrapText="1" shrinkToFit="1"/>
    </xf>
    <xf numFmtId="166" fontId="4" fillId="0" borderId="1" xfId="0" applyNumberFormat="1" applyFont="1" applyBorder="1" applyAlignment="1">
      <alignment horizontal="left" vertical="center" wrapText="1" shrinkToFit="1"/>
    </xf>
    <xf numFmtId="166" fontId="4" fillId="0" borderId="1" xfId="0" applyNumberFormat="1" applyFont="1" applyBorder="1" applyAlignment="1">
      <alignment horizontal="center" vertical="center" wrapText="1" shrinkToFit="1"/>
    </xf>
    <xf numFmtId="0" fontId="2" fillId="8" borderId="0" xfId="61" applyFont="1" applyFill="1" applyAlignment="1">
      <alignment horizontal="center" vertical="center" wrapText="1"/>
    </xf>
    <xf numFmtId="0" fontId="6" fillId="2" borderId="5" xfId="61" applyFont="1" applyFill="1" applyBorder="1" applyAlignment="1">
      <alignment horizontal="left" vertical="center" wrapText="1"/>
    </xf>
    <xf numFmtId="0" fontId="6" fillId="8" borderId="1" xfId="61" applyFont="1" applyFill="1" applyBorder="1" applyAlignment="1">
      <alignment horizontal="center" vertical="center" wrapText="1"/>
    </xf>
    <xf numFmtId="43" fontId="4" fillId="0" borderId="1" xfId="61" applyNumberFormat="1" applyBorder="1" applyAlignment="1">
      <alignment horizontal="center" vertical="center" wrapText="1"/>
    </xf>
    <xf numFmtId="0" fontId="7" fillId="0" borderId="5" xfId="61" applyFont="1" applyBorder="1" applyAlignment="1">
      <alignment horizontal="left" vertical="center" wrapText="1"/>
    </xf>
    <xf numFmtId="0" fontId="7" fillId="0" borderId="1" xfId="61" applyFont="1" applyBorder="1" applyAlignment="1">
      <alignment horizontal="left" vertical="center" wrapText="1"/>
    </xf>
    <xf numFmtId="0" fontId="4" fillId="0" borderId="5" xfId="61" applyBorder="1" applyAlignment="1">
      <alignment horizontal="left" vertical="center" wrapText="1"/>
    </xf>
    <xf numFmtId="0" fontId="4" fillId="0" borderId="1" xfId="61" applyBorder="1" applyAlignment="1">
      <alignment horizontal="left" vertical="center" wrapText="1"/>
    </xf>
    <xf numFmtId="43" fontId="5" fillId="0" borderId="0" xfId="0" applyNumberFormat="1" applyFont="1"/>
    <xf numFmtId="0" fontId="3" fillId="0" borderId="0" xfId="61" applyFont="1" applyAlignment="1">
      <alignment horizontal="center" vertical="center" wrapText="1"/>
    </xf>
    <xf numFmtId="0" fontId="4" fillId="0" borderId="0" xfId="61" applyAlignment="1">
      <alignment horizontal="center" vertical="center" wrapText="1"/>
    </xf>
    <xf numFmtId="10" fontId="2" fillId="8" borderId="0" xfId="61" applyNumberFormat="1" applyFont="1" applyFill="1" applyAlignment="1">
      <alignment horizontal="center" vertical="center" wrapText="1"/>
    </xf>
    <xf numFmtId="9" fontId="2" fillId="8" borderId="0" xfId="61" applyNumberFormat="1" applyFont="1" applyFill="1" applyAlignment="1">
      <alignment horizontal="center" vertical="center" wrapText="1"/>
    </xf>
    <xf numFmtId="10" fontId="3" fillId="0" borderId="0" xfId="61" applyNumberFormat="1" applyFont="1" applyAlignment="1">
      <alignment horizontal="center" vertical="center" wrapText="1"/>
    </xf>
    <xf numFmtId="9" fontId="3" fillId="8" borderId="0" xfId="61" applyNumberFormat="1" applyFont="1" applyFill="1" applyAlignment="1">
      <alignment horizontal="center" vertical="center" wrapText="1"/>
    </xf>
    <xf numFmtId="0" fontId="0" fillId="0" borderId="0" xfId="0" applyAlignment="1">
      <alignment horizontal="left"/>
    </xf>
    <xf numFmtId="0" fontId="9" fillId="0" borderId="9" xfId="0" applyFont="1" applyBorder="1" applyAlignment="1">
      <alignment horizontal="left" vertical="center"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9" fontId="9" fillId="0" borderId="12" xfId="0" applyNumberFormat="1" applyFont="1" applyBorder="1" applyAlignment="1">
      <alignment horizontal="center" vertical="center" wrapText="1"/>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1" fillId="0" borderId="0" xfId="61" applyFont="1" applyAlignment="1">
      <alignment horizontal="center" vertical="center" wrapText="1"/>
    </xf>
    <xf numFmtId="0" fontId="13" fillId="0" borderId="0" xfId="61"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vertical="center" wrapText="1"/>
    </xf>
    <xf numFmtId="167" fontId="14" fillId="3" borderId="0" xfId="61" applyNumberFormat="1" applyFont="1" applyFill="1" applyAlignment="1">
      <alignment horizontal="center" vertical="center" wrapText="1"/>
    </xf>
    <xf numFmtId="0" fontId="12" fillId="3" borderId="0" xfId="61" applyFont="1" applyFill="1" applyAlignment="1">
      <alignment wrapText="1"/>
    </xf>
    <xf numFmtId="167" fontId="15" fillId="3" borderId="0" xfId="61" applyNumberFormat="1" applyFont="1" applyFill="1" applyAlignment="1">
      <alignment horizontal="center" vertical="center" wrapText="1"/>
    </xf>
    <xf numFmtId="0" fontId="11" fillId="3" borderId="0" xfId="0" applyFont="1" applyFill="1" applyAlignment="1">
      <alignment vertical="center"/>
    </xf>
    <xf numFmtId="0" fontId="11" fillId="3" borderId="0" xfId="0" applyFont="1" applyFill="1" applyAlignment="1">
      <alignment horizontal="right" vertical="center"/>
    </xf>
    <xf numFmtId="0" fontId="16" fillId="3" borderId="0" xfId="0" applyFont="1" applyFill="1" applyAlignment="1">
      <alignment horizontal="center" vertical="center"/>
    </xf>
    <xf numFmtId="0" fontId="16" fillId="3" borderId="0" xfId="0" applyFont="1" applyFill="1" applyAlignment="1">
      <alignment horizontal="left" vertical="center"/>
    </xf>
    <xf numFmtId="0" fontId="12" fillId="3" borderId="0" xfId="0" applyFont="1" applyFill="1" applyAlignment="1">
      <alignment vertical="center"/>
    </xf>
    <xf numFmtId="0" fontId="15" fillId="3" borderId="15" xfId="0" applyFont="1" applyFill="1" applyBorder="1" applyAlignment="1">
      <alignment horizontal="center" vertical="center" wrapText="1"/>
    </xf>
    <xf numFmtId="4" fontId="15" fillId="3" borderId="0" xfId="1" applyNumberFormat="1" applyFont="1" applyFill="1" applyAlignment="1">
      <alignment horizontal="left" vertical="center"/>
    </xf>
    <xf numFmtId="0" fontId="11" fillId="3" borderId="0" xfId="0" applyFont="1" applyFill="1" applyAlignment="1">
      <alignment horizontal="center" vertical="center"/>
    </xf>
    <xf numFmtId="0" fontId="11" fillId="2" borderId="1" xfId="61" applyFont="1" applyFill="1" applyBorder="1" applyAlignment="1">
      <alignment horizontal="center" vertical="center"/>
    </xf>
    <xf numFmtId="0" fontId="11" fillId="2" borderId="1" xfId="61" applyFont="1" applyFill="1" applyBorder="1" applyAlignment="1">
      <alignment horizontal="center" vertical="center" wrapText="1"/>
    </xf>
    <xf numFmtId="164" fontId="11" fillId="2" borderId="1" xfId="61" applyNumberFormat="1" applyFont="1" applyFill="1" applyBorder="1" applyAlignment="1">
      <alignment horizontal="center" vertical="center" wrapText="1"/>
    </xf>
    <xf numFmtId="49" fontId="11" fillId="2" borderId="1" xfId="61" applyNumberFormat="1" applyFont="1" applyFill="1" applyBorder="1" applyAlignment="1">
      <alignment horizontal="center" vertical="center" wrapText="1"/>
    </xf>
    <xf numFmtId="0" fontId="13" fillId="0" borderId="1" xfId="61" applyFont="1" applyBorder="1" applyAlignment="1">
      <alignment horizontal="left" vertical="center" wrapText="1"/>
    </xf>
    <xf numFmtId="167" fontId="15" fillId="3" borderId="0" xfId="61" applyNumberFormat="1" applyFont="1" applyFill="1" applyAlignment="1">
      <alignment horizontal="left" vertical="center" wrapText="1"/>
    </xf>
    <xf numFmtId="0" fontId="11" fillId="3" borderId="0" xfId="0" applyFont="1" applyFill="1" applyAlignment="1">
      <alignment vertical="center" wrapText="1"/>
    </xf>
    <xf numFmtId="0" fontId="11" fillId="3" borderId="0" xfId="0" applyFont="1" applyFill="1" applyAlignment="1">
      <alignment horizontal="left" vertical="center"/>
    </xf>
    <xf numFmtId="0" fontId="11" fillId="3" borderId="0" xfId="0" applyFont="1" applyFill="1" applyAlignment="1">
      <alignment horizontal="center" vertical="center" wrapText="1"/>
    </xf>
    <xf numFmtId="0" fontId="18" fillId="3" borderId="0" xfId="0" applyFont="1" applyFill="1" applyAlignment="1">
      <alignment horizontal="left" vertical="center"/>
    </xf>
    <xf numFmtId="15" fontId="11" fillId="2" borderId="1" xfId="61" applyNumberFormat="1" applyFont="1" applyFill="1" applyBorder="1" applyAlignment="1">
      <alignment horizontal="center" vertical="center" wrapText="1"/>
    </xf>
    <xf numFmtId="4" fontId="19" fillId="3" borderId="0" xfId="0" applyNumberFormat="1" applyFont="1" applyFill="1" applyAlignment="1">
      <alignment horizontal="left" vertical="center"/>
    </xf>
    <xf numFmtId="4" fontId="20" fillId="3" borderId="0" xfId="1" applyNumberFormat="1" applyFont="1" applyFill="1" applyAlignment="1">
      <alignment vertical="center"/>
    </xf>
    <xf numFmtId="0" fontId="20" fillId="3" borderId="0" xfId="0" applyFont="1" applyFill="1" applyAlignment="1">
      <alignment vertical="center"/>
    </xf>
    <xf numFmtId="1" fontId="11" fillId="2" borderId="1" xfId="61" applyNumberFormat="1" applyFont="1" applyFill="1" applyBorder="1" applyAlignment="1">
      <alignment horizontal="center" vertical="center" wrapText="1"/>
    </xf>
    <xf numFmtId="0" fontId="13" fillId="0" borderId="1" xfId="61" applyFont="1" applyBorder="1" applyAlignment="1">
      <alignment horizontal="center" vertical="center" wrapText="1"/>
    </xf>
    <xf numFmtId="167" fontId="14" fillId="0" borderId="0" xfId="61" applyNumberFormat="1" applyFont="1" applyAlignment="1">
      <alignment vertical="center" wrapText="1"/>
    </xf>
    <xf numFmtId="167" fontId="14" fillId="0" borderId="0" xfId="61" applyNumberFormat="1" applyFont="1" applyAlignment="1">
      <alignment vertical="top" wrapText="1"/>
    </xf>
    <xf numFmtId="0" fontId="13" fillId="0" borderId="0" xfId="0" applyFont="1" applyAlignment="1">
      <alignment vertical="center"/>
    </xf>
    <xf numFmtId="0" fontId="21" fillId="0" borderId="0" xfId="0" applyFont="1" applyAlignment="1">
      <alignment vertical="center"/>
    </xf>
    <xf numFmtId="0" fontId="13" fillId="0" borderId="0" xfId="0" applyFont="1"/>
    <xf numFmtId="0" fontId="13" fillId="0" borderId="0" xfId="0" applyFont="1" applyAlignment="1">
      <alignment horizontal="center" wrapText="1"/>
    </xf>
    <xf numFmtId="0" fontId="22" fillId="0" borderId="0" xfId="0" applyFont="1" applyAlignment="1">
      <alignment vertical="center"/>
    </xf>
    <xf numFmtId="0" fontId="23" fillId="0" borderId="0" xfId="0" applyFont="1" applyAlignment="1">
      <alignment vertical="center"/>
    </xf>
    <xf numFmtId="0" fontId="23" fillId="3" borderId="0" xfId="0" applyFont="1" applyFill="1" applyAlignment="1">
      <alignment vertical="center"/>
    </xf>
    <xf numFmtId="0" fontId="0" fillId="0" borderId="0" xfId="0" applyAlignment="1">
      <alignment horizontal="center"/>
    </xf>
    <xf numFmtId="169" fontId="0" fillId="0" borderId="0" xfId="0" applyNumberFormat="1" applyAlignment="1">
      <alignment horizontal="center"/>
    </xf>
    <xf numFmtId="43" fontId="0" fillId="0" borderId="0" xfId="1" applyFont="1" applyAlignment="1">
      <alignment horizontal="center"/>
    </xf>
    <xf numFmtId="167" fontId="24" fillId="3" borderId="0" xfId="61" applyNumberFormat="1" applyFont="1" applyFill="1" applyAlignment="1">
      <alignment horizontal="center" vertical="center" wrapText="1"/>
    </xf>
    <xf numFmtId="0" fontId="10" fillId="3" borderId="0" xfId="0" applyFont="1" applyFill="1" applyAlignment="1">
      <alignment vertical="center"/>
    </xf>
    <xf numFmtId="0" fontId="4" fillId="3" borderId="0" xfId="61" applyFill="1" applyAlignment="1">
      <alignment wrapText="1"/>
    </xf>
    <xf numFmtId="0" fontId="13" fillId="3" borderId="0" xfId="0" applyFont="1" applyFill="1" applyAlignment="1">
      <alignment vertical="center"/>
    </xf>
    <xf numFmtId="0" fontId="13" fillId="3" borderId="0" xfId="0" applyFont="1" applyFill="1" applyAlignment="1">
      <alignment horizontal="right" vertical="center"/>
    </xf>
    <xf numFmtId="0" fontId="13" fillId="3" borderId="0" xfId="0" applyFont="1" applyFill="1" applyAlignment="1">
      <alignment horizontal="left" vertical="center"/>
    </xf>
    <xf numFmtId="0" fontId="17" fillId="3" borderId="0" xfId="0" applyFont="1" applyFill="1" applyAlignment="1">
      <alignment horizontal="left" vertical="center"/>
    </xf>
    <xf numFmtId="0" fontId="21" fillId="3" borderId="0" xfId="0" applyFont="1" applyFill="1" applyAlignment="1">
      <alignment vertical="center"/>
    </xf>
    <xf numFmtId="0" fontId="14" fillId="3" borderId="0" xfId="0" applyFont="1" applyFill="1" applyAlignment="1">
      <alignment horizontal="left" vertical="center" wrapText="1"/>
    </xf>
    <xf numFmtId="0" fontId="13" fillId="3" borderId="0" xfId="0" applyFont="1" applyFill="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3" fillId="0" borderId="1" xfId="0" applyFont="1" applyBorder="1" applyAlignment="1">
      <alignment horizontal="left" vertical="center"/>
    </xf>
    <xf numFmtId="0" fontId="22" fillId="0" borderId="1" xfId="67" applyFont="1" applyBorder="1" applyAlignment="1">
      <alignment horizontal="left" vertical="center" wrapText="1"/>
    </xf>
    <xf numFmtId="0" fontId="22" fillId="0" borderId="1" xfId="67" applyFont="1" applyBorder="1" applyAlignment="1">
      <alignment vertical="center" wrapText="1"/>
    </xf>
    <xf numFmtId="0" fontId="17" fillId="3" borderId="0" xfId="0" applyFont="1" applyFill="1" applyAlignment="1">
      <alignment horizontal="center" vertical="center"/>
    </xf>
    <xf numFmtId="4" fontId="14" fillId="3" borderId="0" xfId="1" applyNumberFormat="1" applyFont="1" applyFill="1" applyAlignment="1">
      <alignment horizontal="center" vertical="center"/>
    </xf>
    <xf numFmtId="0" fontId="26" fillId="3" borderId="0" xfId="0" applyFont="1" applyFill="1" applyAlignment="1">
      <alignment horizontal="left" vertical="center"/>
    </xf>
    <xf numFmtId="0" fontId="21" fillId="3" borderId="0" xfId="0" applyFont="1" applyFill="1" applyAlignment="1">
      <alignment horizontal="center" vertical="center"/>
    </xf>
    <xf numFmtId="0" fontId="13" fillId="3" borderId="0" xfId="0" applyFont="1" applyFill="1" applyAlignment="1">
      <alignment horizontal="center" vertical="center"/>
    </xf>
    <xf numFmtId="0" fontId="13" fillId="3" borderId="0" xfId="0" applyFont="1" applyFill="1" applyAlignment="1">
      <alignment horizontal="center"/>
    </xf>
    <xf numFmtId="4" fontId="17" fillId="12" borderId="1" xfId="0" applyNumberFormat="1" applyFont="1" applyFill="1" applyBorder="1" applyAlignment="1">
      <alignment horizontal="center" vertical="center" wrapText="1"/>
    </xf>
    <xf numFmtId="170" fontId="23" fillId="0" borderId="1" xfId="1" applyNumberFormat="1" applyFont="1" applyBorder="1" applyAlignment="1">
      <alignment horizontal="center" vertical="center"/>
    </xf>
    <xf numFmtId="0" fontId="23" fillId="0" borderId="6" xfId="0" applyFont="1" applyBorder="1" applyAlignment="1">
      <alignment horizontal="center" vertical="center"/>
    </xf>
    <xf numFmtId="9" fontId="27" fillId="3" borderId="1" xfId="56" applyNumberFormat="1" applyFont="1" applyFill="1" applyBorder="1" applyAlignment="1">
      <alignment horizontal="center" vertical="center" wrapText="1"/>
    </xf>
    <xf numFmtId="43" fontId="23" fillId="0" borderId="1" xfId="0" applyNumberFormat="1" applyFont="1" applyBorder="1" applyAlignment="1">
      <alignment vertical="center"/>
    </xf>
    <xf numFmtId="170" fontId="22" fillId="0" borderId="1" xfId="67" applyNumberFormat="1" applyFont="1" applyBorder="1" applyAlignment="1">
      <alignment horizontal="center" vertical="center"/>
    </xf>
    <xf numFmtId="9" fontId="27" fillId="0" borderId="1" xfId="56" applyNumberFormat="1" applyFont="1" applyBorder="1" applyAlignment="1">
      <alignment horizontal="center" vertical="center" wrapText="1"/>
    </xf>
    <xf numFmtId="169" fontId="14" fillId="3" borderId="0" xfId="61" applyNumberFormat="1" applyFont="1" applyFill="1" applyAlignment="1">
      <alignment horizontal="center" vertical="center" wrapText="1"/>
    </xf>
    <xf numFmtId="169" fontId="13" fillId="3" borderId="0" xfId="0" applyNumberFormat="1" applyFont="1" applyFill="1" applyAlignment="1">
      <alignment horizontal="center" vertical="center"/>
    </xf>
    <xf numFmtId="169" fontId="26" fillId="3" borderId="0" xfId="0" applyNumberFormat="1" applyFont="1" applyFill="1" applyAlignment="1">
      <alignment horizontal="center" vertical="center"/>
    </xf>
    <xf numFmtId="169" fontId="28" fillId="3" borderId="0" xfId="0" applyNumberFormat="1" applyFont="1" applyFill="1" applyAlignment="1">
      <alignment horizontal="center" vertical="center"/>
    </xf>
    <xf numFmtId="4" fontId="29" fillId="3" borderId="0" xfId="1" applyNumberFormat="1" applyFont="1" applyFill="1" applyAlignment="1">
      <alignment horizontal="center" vertical="center"/>
    </xf>
    <xf numFmtId="169" fontId="13" fillId="3" borderId="0" xfId="0" applyNumberFormat="1" applyFont="1" applyFill="1" applyAlignment="1">
      <alignment horizontal="center"/>
    </xf>
    <xf numFmtId="169" fontId="17" fillId="12" borderId="1" xfId="0" applyNumberFormat="1" applyFont="1" applyFill="1" applyBorder="1" applyAlignment="1">
      <alignment horizontal="center" vertical="center" wrapText="1"/>
    </xf>
    <xf numFmtId="4" fontId="13" fillId="3" borderId="0" xfId="0" applyNumberFormat="1" applyFont="1" applyFill="1" applyAlignment="1">
      <alignment horizontal="right" vertical="center"/>
    </xf>
    <xf numFmtId="0" fontId="29" fillId="3" borderId="0" xfId="0" applyFont="1" applyFill="1" applyAlignment="1">
      <alignment horizontal="center" vertical="center"/>
    </xf>
    <xf numFmtId="0" fontId="13" fillId="3" borderId="0" xfId="0" applyFont="1" applyFill="1" applyAlignment="1">
      <alignment horizontal="center" vertical="center" wrapText="1"/>
    </xf>
    <xf numFmtId="0" fontId="22" fillId="0" borderId="1" xfId="0" applyFont="1" applyBorder="1" applyAlignment="1">
      <alignment vertical="center"/>
    </xf>
    <xf numFmtId="0" fontId="10" fillId="3" borderId="0" xfId="0" applyFont="1" applyFill="1" applyAlignment="1">
      <alignment horizontal="center" vertical="center"/>
    </xf>
    <xf numFmtId="0" fontId="17" fillId="12" borderId="1" xfId="0" applyFont="1" applyFill="1" applyBorder="1" applyAlignment="1">
      <alignment horizontal="center" vertical="center" wrapText="1"/>
    </xf>
    <xf numFmtId="4" fontId="22" fillId="7" borderId="1" xfId="1" applyNumberFormat="1" applyFont="1" applyFill="1" applyBorder="1" applyAlignment="1">
      <alignment horizontal="center" vertical="center"/>
    </xf>
    <xf numFmtId="3" fontId="22" fillId="0" borderId="1" xfId="1" applyNumberFormat="1" applyFont="1" applyBorder="1" applyAlignment="1">
      <alignment horizontal="center" vertical="center"/>
    </xf>
    <xf numFmtId="0" fontId="22" fillId="0" borderId="1" xfId="1" applyNumberFormat="1" applyFont="1" applyBorder="1" applyAlignment="1">
      <alignment horizontal="center" vertical="center"/>
    </xf>
    <xf numFmtId="43" fontId="22" fillId="0" borderId="1" xfId="1" applyFont="1" applyBorder="1" applyAlignment="1">
      <alignment horizontal="center" vertical="center"/>
    </xf>
    <xf numFmtId="0" fontId="22" fillId="0" borderId="1" xfId="1" applyNumberFormat="1" applyFont="1" applyFill="1" applyBorder="1" applyAlignment="1">
      <alignment horizontal="center" vertical="center"/>
    </xf>
    <xf numFmtId="3" fontId="22" fillId="0" borderId="1" xfId="1" applyNumberFormat="1" applyFont="1" applyFill="1" applyBorder="1" applyAlignment="1">
      <alignment horizontal="center" vertical="center"/>
    </xf>
    <xf numFmtId="43" fontId="22" fillId="0" borderId="1" xfId="1" applyFont="1" applyFill="1" applyBorder="1" applyAlignment="1">
      <alignment horizontal="center" vertical="center"/>
    </xf>
    <xf numFmtId="43" fontId="13" fillId="3" borderId="0" xfId="1" applyFont="1" applyFill="1" applyAlignment="1">
      <alignment horizontal="center"/>
    </xf>
    <xf numFmtId="43" fontId="17" fillId="12" borderId="1" xfId="1" applyFont="1" applyFill="1" applyBorder="1" applyAlignment="1">
      <alignment horizontal="center" vertical="center" wrapText="1"/>
    </xf>
    <xf numFmtId="43" fontId="22" fillId="7" borderId="1" xfId="1" applyFont="1" applyFill="1" applyBorder="1" applyAlignment="1">
      <alignment horizontal="center" vertical="center"/>
    </xf>
    <xf numFmtId="0" fontId="22" fillId="0" borderId="1" xfId="0" applyFont="1" applyBorder="1" applyAlignment="1">
      <alignment vertical="center" wrapText="1"/>
    </xf>
    <xf numFmtId="0" fontId="22" fillId="3" borderId="1" xfId="0" applyFont="1" applyFill="1" applyBorder="1" applyAlignment="1">
      <alignment vertical="center" wrapText="1"/>
    </xf>
    <xf numFmtId="43" fontId="25" fillId="7" borderId="7" xfId="1" applyFont="1" applyFill="1" applyBorder="1" applyAlignment="1">
      <alignment horizontal="center" vertical="center"/>
    </xf>
    <xf numFmtId="0" fontId="30" fillId="0" borderId="1" xfId="0" applyFont="1" applyBorder="1" applyAlignment="1">
      <alignment vertical="center" wrapText="1"/>
    </xf>
    <xf numFmtId="0" fontId="31" fillId="11" borderId="4" xfId="0" applyFont="1" applyFill="1" applyBorder="1" applyAlignment="1">
      <alignment horizontal="center" vertical="center"/>
    </xf>
    <xf numFmtId="0" fontId="31" fillId="0" borderId="1" xfId="0" applyFont="1" applyBorder="1" applyAlignment="1">
      <alignment horizontal="left" vertical="center" wrapText="1"/>
    </xf>
    <xf numFmtId="0" fontId="31" fillId="11" borderId="0" xfId="0" applyFont="1" applyFill="1" applyAlignment="1">
      <alignment horizontal="center" vertical="center"/>
    </xf>
    <xf numFmtId="0" fontId="31" fillId="0" borderId="0" xfId="0" applyFont="1" applyAlignment="1">
      <alignment horizontal="left" vertical="center" wrapText="1"/>
    </xf>
    <xf numFmtId="0" fontId="34" fillId="0" borderId="0" xfId="61" applyFont="1" applyAlignment="1">
      <alignment horizontal="center" vertical="center" wrapText="1"/>
    </xf>
    <xf numFmtId="0" fontId="35" fillId="0" borderId="0" xfId="61" applyFont="1" applyAlignment="1">
      <alignment horizontal="left" vertical="center" wrapText="1"/>
    </xf>
    <xf numFmtId="0" fontId="36" fillId="0" borderId="0" xfId="61" applyFont="1" applyAlignment="1">
      <alignment horizontal="left" vertical="center" wrapText="1"/>
    </xf>
    <xf numFmtId="0" fontId="37" fillId="0" borderId="0" xfId="61" applyFont="1" applyAlignment="1">
      <alignment horizontal="left" vertical="center" wrapText="1"/>
    </xf>
    <xf numFmtId="0" fontId="36" fillId="0" borderId="1" xfId="61" applyFont="1" applyBorder="1" applyAlignment="1">
      <alignment horizontal="left" vertical="center" wrapText="1"/>
    </xf>
    <xf numFmtId="0" fontId="35" fillId="8" borderId="0" xfId="61" applyFont="1" applyFill="1" applyAlignment="1">
      <alignment horizontal="left" vertical="center" wrapText="1"/>
    </xf>
    <xf numFmtId="167" fontId="24" fillId="3" borderId="0" xfId="61" applyNumberFormat="1" applyFont="1" applyFill="1" applyAlignment="1">
      <alignment vertical="center" wrapText="1"/>
    </xf>
    <xf numFmtId="0" fontId="30" fillId="3" borderId="0" xfId="61" applyFont="1" applyFill="1" applyAlignment="1">
      <alignment vertical="center" wrapText="1"/>
    </xf>
    <xf numFmtId="167" fontId="34" fillId="3" borderId="0" xfId="61" applyNumberFormat="1" applyFont="1" applyFill="1" applyAlignment="1">
      <alignment horizontal="left" vertical="center" wrapText="1"/>
    </xf>
    <xf numFmtId="167" fontId="34" fillId="0" borderId="0" xfId="61" applyNumberFormat="1" applyFont="1" applyAlignment="1">
      <alignment horizontal="center" vertical="center" wrapText="1"/>
    </xf>
    <xf numFmtId="0" fontId="40" fillId="12" borderId="1" xfId="61" applyFont="1" applyFill="1" applyBorder="1" applyAlignment="1">
      <alignment horizontal="center" vertical="center" wrapText="1"/>
    </xf>
    <xf numFmtId="172" fontId="42" fillId="0" borderId="1" xfId="61" applyNumberFormat="1" applyFont="1" applyBorder="1" applyAlignment="1">
      <alignment horizontal="center" vertical="center" wrapText="1"/>
    </xf>
    <xf numFmtId="172" fontId="42" fillId="3" borderId="1" xfId="61" applyNumberFormat="1" applyFont="1" applyFill="1" applyBorder="1" applyAlignment="1">
      <alignment horizontal="center" vertical="center" wrapText="1"/>
    </xf>
    <xf numFmtId="172" fontId="43" fillId="0" borderId="1" xfId="61" applyNumberFormat="1" applyFont="1" applyBorder="1" applyAlignment="1">
      <alignment horizontal="center" vertical="center" wrapText="1"/>
    </xf>
    <xf numFmtId="167" fontId="34" fillId="3" borderId="0" xfId="61" applyNumberFormat="1" applyFont="1" applyFill="1" applyAlignment="1">
      <alignment horizontal="center" vertical="center" wrapText="1"/>
    </xf>
    <xf numFmtId="15" fontId="34" fillId="3" borderId="0" xfId="61" applyNumberFormat="1" applyFont="1" applyFill="1" applyAlignment="1">
      <alignment horizontal="center" vertical="center" wrapText="1"/>
    </xf>
    <xf numFmtId="171" fontId="34" fillId="3" borderId="0" xfId="61" applyNumberFormat="1" applyFont="1" applyFill="1" applyAlignment="1">
      <alignment horizontal="center" vertical="center" wrapText="1"/>
    </xf>
    <xf numFmtId="0" fontId="34" fillId="3" borderId="0" xfId="61" applyFont="1" applyFill="1" applyAlignment="1">
      <alignment horizontal="center" vertical="center" wrapText="1"/>
    </xf>
    <xf numFmtId="0" fontId="40" fillId="13" borderId="15" xfId="61" applyFont="1" applyFill="1" applyBorder="1" applyAlignment="1">
      <alignment horizontal="center" vertical="center" wrapText="1"/>
    </xf>
    <xf numFmtId="15" fontId="40" fillId="13" borderId="15" xfId="61" applyNumberFormat="1" applyFont="1" applyFill="1" applyBorder="1" applyAlignment="1">
      <alignment horizontal="center" vertical="center" wrapText="1"/>
    </xf>
    <xf numFmtId="167" fontId="46" fillId="3" borderId="0" xfId="61" applyNumberFormat="1" applyFont="1" applyFill="1" applyAlignment="1">
      <alignment horizontal="center" vertical="center" wrapText="1"/>
    </xf>
    <xf numFmtId="171" fontId="39" fillId="13" borderId="15" xfId="61" applyNumberFormat="1" applyFont="1" applyFill="1" applyBorder="1" applyAlignment="1">
      <alignment horizontal="center" vertical="center" wrapText="1"/>
    </xf>
    <xf numFmtId="0" fontId="39" fillId="13" borderId="15" xfId="61" applyFont="1" applyFill="1" applyBorder="1" applyAlignment="1">
      <alignment horizontal="center" vertical="center" wrapText="1"/>
    </xf>
    <xf numFmtId="0" fontId="42" fillId="0" borderId="1" xfId="61" applyFont="1" applyBorder="1" applyAlignment="1">
      <alignment horizontal="center" vertical="center" wrapText="1"/>
    </xf>
    <xf numFmtId="0" fontId="43" fillId="0" borderId="1" xfId="61" applyFont="1" applyBorder="1" applyAlignment="1">
      <alignment horizontal="center" vertical="center" wrapText="1"/>
    </xf>
    <xf numFmtId="167" fontId="24" fillId="3" borderId="0" xfId="61" applyNumberFormat="1" applyFont="1" applyFill="1" applyAlignment="1">
      <alignment horizontal="left" vertical="center" wrapText="1"/>
    </xf>
    <xf numFmtId="0" fontId="40" fillId="0" borderId="0" xfId="61" applyFont="1" applyAlignment="1">
      <alignment horizontal="center" vertical="center" wrapText="1"/>
    </xf>
    <xf numFmtId="0" fontId="39" fillId="0" borderId="0" xfId="61" applyFont="1" applyAlignment="1">
      <alignment horizontal="left" vertical="center" wrapText="1"/>
    </xf>
    <xf numFmtId="0" fontId="50" fillId="0" borderId="0" xfId="61" applyFont="1" applyAlignment="1">
      <alignment horizontal="left" vertical="center" wrapText="1"/>
    </xf>
    <xf numFmtId="0" fontId="51" fillId="0" borderId="0" xfId="61" applyFont="1" applyAlignment="1">
      <alignment horizontal="left" vertical="center" wrapText="1"/>
    </xf>
    <xf numFmtId="15" fontId="52" fillId="13" borderId="6" xfId="61" applyNumberFormat="1" applyFont="1" applyFill="1" applyBorder="1" applyAlignment="1">
      <alignment horizontal="center" vertical="center" wrapText="1"/>
    </xf>
    <xf numFmtId="172" fontId="42" fillId="0" borderId="2" xfId="61" applyNumberFormat="1" applyFont="1" applyBorder="1" applyAlignment="1">
      <alignment horizontal="center" vertical="center" wrapText="1"/>
    </xf>
    <xf numFmtId="172" fontId="50" fillId="0" borderId="0" xfId="61" applyNumberFormat="1" applyFont="1" applyAlignment="1">
      <alignment horizontal="center" vertical="center" wrapText="1"/>
    </xf>
    <xf numFmtId="171" fontId="52" fillId="13" borderId="6" xfId="61" applyNumberFormat="1" applyFont="1" applyFill="1" applyBorder="1" applyAlignment="1">
      <alignment horizontal="center" vertical="center" wrapText="1"/>
    </xf>
    <xf numFmtId="171" fontId="42" fillId="0" borderId="1" xfId="61" applyNumberFormat="1" applyFont="1" applyBorder="1" applyAlignment="1">
      <alignment horizontal="center" vertical="center" wrapText="1"/>
    </xf>
    <xf numFmtId="0" fontId="52" fillId="13" borderId="0" xfId="61" applyFont="1" applyFill="1" applyAlignment="1">
      <alignment horizontal="center" vertical="center" wrapText="1"/>
    </xf>
    <xf numFmtId="15" fontId="52" fillId="13" borderId="0" xfId="61" applyNumberFormat="1" applyFont="1" applyFill="1" applyAlignment="1">
      <alignment horizontal="center" vertical="center" wrapText="1"/>
    </xf>
    <xf numFmtId="171" fontId="52" fillId="13" borderId="0" xfId="61" applyNumberFormat="1" applyFont="1" applyFill="1" applyAlignment="1">
      <alignment horizontal="center" vertical="center" wrapText="1"/>
    </xf>
    <xf numFmtId="0" fontId="42" fillId="3" borderId="1" xfId="61" applyFont="1" applyFill="1" applyBorder="1" applyAlignment="1">
      <alignment horizontal="center" vertical="center" wrapText="1"/>
    </xf>
    <xf numFmtId="0" fontId="42" fillId="0" borderId="7" xfId="61" applyFont="1" applyBorder="1" applyAlignment="1">
      <alignment horizontal="center" vertical="center" wrapText="1"/>
    </xf>
    <xf numFmtId="0" fontId="42" fillId="0" borderId="15" xfId="61" applyFont="1" applyBorder="1" applyAlignment="1">
      <alignment horizontal="center" vertical="center" wrapText="1"/>
    </xf>
    <xf numFmtId="0" fontId="52" fillId="13" borderId="17" xfId="61" applyFont="1" applyFill="1" applyBorder="1" applyAlignment="1">
      <alignment horizontal="left" vertical="center" wrapText="1"/>
    </xf>
    <xf numFmtId="0" fontId="53" fillId="0" borderId="0" xfId="61" applyFont="1" applyAlignment="1">
      <alignment horizontal="left" vertical="center" wrapText="1"/>
    </xf>
    <xf numFmtId="171" fontId="34" fillId="13" borderId="0" xfId="61" applyNumberFormat="1" applyFont="1" applyFill="1" applyAlignment="1">
      <alignment horizontal="center" vertical="center" wrapText="1"/>
    </xf>
    <xf numFmtId="0" fontId="42" fillId="3" borderId="0" xfId="0" applyFont="1" applyFill="1" applyAlignment="1">
      <alignment vertical="center"/>
    </xf>
    <xf numFmtId="0" fontId="42" fillId="0" borderId="0" xfId="0" applyFont="1" applyAlignment="1">
      <alignment horizontal="left" vertical="center"/>
    </xf>
    <xf numFmtId="0" fontId="54" fillId="2" borderId="0" xfId="61" applyFont="1" applyFill="1" applyAlignment="1">
      <alignment horizontal="center" vertical="center" wrapText="1"/>
    </xf>
    <xf numFmtId="0" fontId="55" fillId="2" borderId="0" xfId="61" applyFont="1" applyFill="1" applyAlignment="1">
      <alignment horizontal="center" vertical="center" wrapText="1"/>
    </xf>
    <xf numFmtId="0" fontId="56" fillId="0" borderId="0" xfId="61" applyFont="1" applyAlignment="1">
      <alignment horizontal="center" vertical="center" wrapText="1"/>
    </xf>
    <xf numFmtId="0" fontId="57" fillId="0" borderId="0" xfId="61" applyFont="1" applyAlignment="1">
      <alignment horizontal="center" vertical="center" wrapText="1"/>
    </xf>
    <xf numFmtId="0" fontId="58" fillId="0" borderId="0" xfId="61" applyFont="1" applyAlignment="1">
      <alignment horizontal="center" vertical="center" wrapText="1"/>
    </xf>
    <xf numFmtId="0" fontId="59" fillId="0" borderId="0" xfId="61" applyFont="1" applyAlignment="1">
      <alignment horizontal="center" vertical="center" wrapText="1"/>
    </xf>
    <xf numFmtId="0" fontId="55" fillId="0" borderId="0" xfId="61" applyFont="1" applyAlignment="1">
      <alignment horizontal="center" vertical="center" wrapText="1"/>
    </xf>
    <xf numFmtId="0" fontId="60" fillId="0" borderId="0" xfId="61" applyFont="1" applyAlignment="1">
      <alignment horizontal="center" vertical="center" wrapText="1"/>
    </xf>
    <xf numFmtId="0" fontId="42" fillId="0" borderId="0" xfId="0" applyFont="1" applyAlignment="1">
      <alignment horizontal="center" vertical="center"/>
    </xf>
    <xf numFmtId="0" fontId="42" fillId="0" borderId="0" xfId="0" applyFont="1" applyAlignment="1">
      <alignment horizontal="center" vertical="center" wrapText="1"/>
    </xf>
    <xf numFmtId="0" fontId="42" fillId="0" borderId="0" xfId="0" applyFont="1" applyAlignment="1">
      <alignment horizontal="left" vertical="center" wrapText="1"/>
    </xf>
    <xf numFmtId="0" fontId="42" fillId="0" borderId="0" xfId="0" applyFont="1" applyAlignment="1">
      <alignment horizontal="right" vertical="center" wrapText="1"/>
    </xf>
    <xf numFmtId="175" fontId="61" fillId="0" borderId="0" xfId="0" applyNumberFormat="1" applyFont="1" applyAlignment="1">
      <alignment horizontal="center" vertical="center" wrapText="1"/>
    </xf>
    <xf numFmtId="22" fontId="61" fillId="0" borderId="0" xfId="0" applyNumberFormat="1" applyFont="1" applyAlignment="1">
      <alignment horizontal="center" vertical="center" wrapText="1"/>
    </xf>
    <xf numFmtId="174" fontId="61" fillId="0" borderId="0" xfId="0" applyNumberFormat="1" applyFont="1" applyAlignment="1">
      <alignment horizontal="center" vertical="center" wrapText="1"/>
    </xf>
    <xf numFmtId="174" fontId="42" fillId="0" borderId="0" xfId="0" applyNumberFormat="1" applyFont="1" applyAlignment="1">
      <alignment horizontal="center" vertical="center" wrapText="1"/>
    </xf>
    <xf numFmtId="0" fontId="42" fillId="0" borderId="0" xfId="0" applyFont="1" applyAlignment="1">
      <alignment horizontal="right" vertical="center"/>
    </xf>
    <xf numFmtId="164" fontId="42" fillId="0" borderId="0" xfId="0" applyNumberFormat="1" applyFont="1" applyAlignment="1">
      <alignment horizontal="center" vertical="center"/>
    </xf>
    <xf numFmtId="1" fontId="42" fillId="0" borderId="0" xfId="0" applyNumberFormat="1" applyFont="1" applyAlignment="1">
      <alignment horizontal="center" vertical="center"/>
    </xf>
    <xf numFmtId="0" fontId="61" fillId="0" borderId="0" xfId="0" applyFont="1" applyAlignment="1">
      <alignment vertical="center" wrapText="1"/>
    </xf>
    <xf numFmtId="0" fontId="42" fillId="0" borderId="0" xfId="0" applyFont="1" applyAlignment="1">
      <alignment vertical="center"/>
    </xf>
    <xf numFmtId="0" fontId="42" fillId="3" borderId="0" xfId="0" applyFont="1" applyFill="1" applyAlignment="1">
      <alignment horizontal="center" vertical="center"/>
    </xf>
    <xf numFmtId="167" fontId="54" fillId="3" borderId="0" xfId="61" applyNumberFormat="1" applyFont="1" applyFill="1" applyAlignment="1">
      <alignment horizontal="center" vertical="center" wrapText="1"/>
    </xf>
    <xf numFmtId="0" fontId="61" fillId="3" borderId="0" xfId="61" applyFont="1" applyFill="1" applyAlignment="1">
      <alignment horizontal="center" vertical="center" wrapText="1"/>
    </xf>
    <xf numFmtId="167" fontId="54" fillId="3" borderId="0" xfId="61" applyNumberFormat="1" applyFont="1" applyFill="1" applyAlignment="1">
      <alignment horizontal="left" vertical="center" wrapText="1"/>
    </xf>
    <xf numFmtId="167" fontId="54" fillId="3" borderId="0" xfId="61" applyNumberFormat="1" applyFont="1" applyFill="1" applyAlignment="1">
      <alignment horizontal="right" vertical="center" wrapText="1"/>
    </xf>
    <xf numFmtId="0" fontId="42" fillId="3" borderId="0" xfId="0" applyFont="1" applyFill="1" applyAlignment="1">
      <alignment horizontal="right" vertical="center" wrapText="1"/>
    </xf>
    <xf numFmtId="0" fontId="42" fillId="3" borderId="0" xfId="0" applyFont="1" applyFill="1" applyAlignment="1">
      <alignment horizontal="center" vertical="center" wrapText="1"/>
    </xf>
    <xf numFmtId="0" fontId="42" fillId="3" borderId="0" xfId="0" applyFont="1" applyFill="1" applyAlignment="1">
      <alignment horizontal="left" vertical="center" wrapText="1"/>
    </xf>
    <xf numFmtId="0" fontId="42" fillId="3" borderId="0" xfId="0" applyFont="1" applyFill="1" applyAlignment="1">
      <alignment horizontal="left" vertical="center"/>
    </xf>
    <xf numFmtId="0" fontId="63" fillId="2" borderId="1" xfId="61" applyFont="1" applyFill="1" applyBorder="1" applyAlignment="1">
      <alignment horizontal="center" vertical="center" wrapText="1"/>
    </xf>
    <xf numFmtId="0" fontId="64" fillId="15" borderId="5" xfId="61" applyFont="1" applyFill="1" applyBorder="1" applyAlignment="1">
      <alignment horizontal="left" vertical="center"/>
    </xf>
    <xf numFmtId="0" fontId="64" fillId="15" borderId="6" xfId="61" applyFont="1" applyFill="1" applyBorder="1" applyAlignment="1">
      <alignment horizontal="center" vertical="center"/>
    </xf>
    <xf numFmtId="0" fontId="64" fillId="15" borderId="6" xfId="61" applyFont="1" applyFill="1" applyBorder="1" applyAlignment="1">
      <alignment horizontal="left" vertical="center"/>
    </xf>
    <xf numFmtId="0" fontId="64" fillId="15" borderId="6" xfId="61" applyFont="1" applyFill="1" applyBorder="1" applyAlignment="1">
      <alignment horizontal="right" vertical="center"/>
    </xf>
    <xf numFmtId="0" fontId="63" fillId="0" borderId="1" xfId="61" applyFont="1" applyBorder="1" applyAlignment="1">
      <alignment horizontal="center" vertical="center" wrapText="1"/>
    </xf>
    <xf numFmtId="0" fontId="63" fillId="11" borderId="1" xfId="0" applyFont="1" applyFill="1" applyBorder="1" applyAlignment="1">
      <alignment horizontal="center" vertical="center"/>
    </xf>
    <xf numFmtId="0" fontId="63" fillId="0" borderId="1" xfId="0" applyFont="1" applyBorder="1" applyAlignment="1">
      <alignment horizontal="left" vertical="center" wrapText="1"/>
    </xf>
    <xf numFmtId="172" fontId="63" fillId="0" borderId="1" xfId="1" applyNumberFormat="1" applyFont="1" applyFill="1" applyBorder="1" applyAlignment="1">
      <alignment horizontal="right" vertical="center" wrapText="1"/>
    </xf>
    <xf numFmtId="0" fontId="65" fillId="3" borderId="1" xfId="0" applyFont="1" applyFill="1" applyBorder="1" applyAlignment="1">
      <alignment horizontal="center" vertical="center"/>
    </xf>
    <xf numFmtId="0" fontId="65" fillId="0" borderId="1" xfId="0" applyFont="1" applyBorder="1" applyAlignment="1">
      <alignment horizontal="left" vertical="center" wrapText="1"/>
    </xf>
    <xf numFmtId="172" fontId="65" fillId="0" borderId="1" xfId="1" applyNumberFormat="1" applyFont="1" applyFill="1" applyBorder="1" applyAlignment="1">
      <alignment horizontal="right" vertical="center" wrapText="1"/>
    </xf>
    <xf numFmtId="0" fontId="65" fillId="11" borderId="1" xfId="0" applyFont="1" applyFill="1" applyBorder="1" applyAlignment="1">
      <alignment horizontal="center" vertical="center"/>
    </xf>
    <xf numFmtId="0" fontId="42" fillId="3" borderId="20" xfId="0" applyFont="1" applyFill="1" applyBorder="1" applyAlignment="1">
      <alignment horizontal="center" vertical="center" wrapText="1"/>
    </xf>
    <xf numFmtId="164" fontId="66" fillId="3" borderId="0" xfId="0" applyNumberFormat="1" applyFont="1" applyFill="1" applyAlignment="1">
      <alignment horizontal="center" vertical="center" wrapText="1"/>
    </xf>
    <xf numFmtId="0" fontId="54" fillId="3" borderId="0" xfId="61" applyFont="1" applyFill="1" applyAlignment="1">
      <alignment horizontal="center" vertical="center" wrapText="1"/>
    </xf>
    <xf numFmtId="0" fontId="54" fillId="3" borderId="0" xfId="61" applyFont="1" applyFill="1" applyAlignment="1">
      <alignment horizontal="left" vertical="center" wrapText="1"/>
    </xf>
    <xf numFmtId="0" fontId="66" fillId="3" borderId="0" xfId="0" applyFont="1" applyFill="1" applyAlignment="1">
      <alignment horizontal="center" vertical="center"/>
    </xf>
    <xf numFmtId="164" fontId="63" fillId="2" borderId="1" xfId="61" applyNumberFormat="1" applyFont="1" applyFill="1" applyBorder="1" applyAlignment="1">
      <alignment horizontal="center" vertical="center" wrapText="1"/>
    </xf>
    <xf numFmtId="0" fontId="64" fillId="15" borderId="6" xfId="61" applyFont="1" applyFill="1" applyBorder="1" applyAlignment="1">
      <alignment horizontal="center" vertical="center" wrapText="1"/>
    </xf>
    <xf numFmtId="0" fontId="63" fillId="11" borderId="1" xfId="0" applyFont="1" applyFill="1" applyBorder="1" applyAlignment="1">
      <alignment horizontal="left" vertical="center" wrapText="1"/>
    </xf>
    <xf numFmtId="0" fontId="63" fillId="0" borderId="5" xfId="0" applyFont="1" applyBorder="1" applyAlignment="1">
      <alignment horizontal="center" vertical="center"/>
    </xf>
    <xf numFmtId="0" fontId="63" fillId="11" borderId="1" xfId="0" applyFont="1" applyFill="1" applyBorder="1" applyAlignment="1">
      <alignment horizontal="left" vertical="center"/>
    </xf>
    <xf numFmtId="0" fontId="65" fillId="0" borderId="1" xfId="0" applyFont="1" applyBorder="1" applyAlignment="1">
      <alignment horizontal="center" vertical="center"/>
    </xf>
    <xf numFmtId="0" fontId="65" fillId="0" borderId="5" xfId="0" applyFont="1" applyBorder="1" applyAlignment="1">
      <alignment horizontal="center" vertical="center"/>
    </xf>
    <xf numFmtId="0" fontId="65" fillId="11" borderId="1" xfId="0" applyFont="1" applyFill="1" applyBorder="1" applyAlignment="1">
      <alignment horizontal="left" vertical="center"/>
    </xf>
    <xf numFmtId="0" fontId="65" fillId="11" borderId="1" xfId="0" applyFont="1" applyFill="1" applyBorder="1" applyAlignment="1">
      <alignment horizontal="left" vertical="center" wrapText="1"/>
    </xf>
    <xf numFmtId="175" fontId="54" fillId="3" borderId="0" xfId="61" applyNumberFormat="1" applyFont="1" applyFill="1" applyAlignment="1">
      <alignment horizontal="center" vertical="center" wrapText="1"/>
    </xf>
    <xf numFmtId="22" fontId="54" fillId="3" borderId="0" xfId="61" applyNumberFormat="1" applyFont="1" applyFill="1" applyAlignment="1">
      <alignment horizontal="center" vertical="center" wrapText="1"/>
    </xf>
    <xf numFmtId="174" fontId="54" fillId="3" borderId="0" xfId="61" applyNumberFormat="1" applyFont="1" applyFill="1" applyAlignment="1">
      <alignment horizontal="center" vertical="center" wrapText="1"/>
    </xf>
    <xf numFmtId="175" fontId="61" fillId="3" borderId="0" xfId="0" applyNumberFormat="1" applyFont="1" applyFill="1" applyAlignment="1">
      <alignment horizontal="center" vertical="center" wrapText="1"/>
    </xf>
    <xf numFmtId="22" fontId="61" fillId="3" borderId="0" xfId="0" applyNumberFormat="1" applyFont="1" applyFill="1" applyAlignment="1">
      <alignment horizontal="center" vertical="center" wrapText="1"/>
    </xf>
    <xf numFmtId="174" fontId="61" fillId="3" borderId="0" xfId="0" applyNumberFormat="1" applyFont="1" applyFill="1" applyAlignment="1">
      <alignment horizontal="center" vertical="center" wrapText="1"/>
    </xf>
    <xf numFmtId="174" fontId="42" fillId="3" borderId="0" xfId="0" applyNumberFormat="1" applyFont="1" applyFill="1" applyAlignment="1">
      <alignment horizontal="center" vertical="center" wrapText="1"/>
    </xf>
    <xf numFmtId="175" fontId="54" fillId="3" borderId="0" xfId="0" applyNumberFormat="1" applyFont="1" applyFill="1" applyAlignment="1">
      <alignment horizontal="center" vertical="center" wrapText="1"/>
    </xf>
    <xf numFmtId="22" fontId="54" fillId="3" borderId="0" xfId="0" applyNumberFormat="1" applyFont="1" applyFill="1" applyAlignment="1">
      <alignment horizontal="center" vertical="center" wrapText="1"/>
    </xf>
    <xf numFmtId="174" fontId="54" fillId="3" borderId="0" xfId="0" applyNumberFormat="1" applyFont="1" applyFill="1" applyAlignment="1">
      <alignment horizontal="center" vertical="center" wrapText="1"/>
    </xf>
    <xf numFmtId="175" fontId="64" fillId="15" borderId="6" xfId="61" applyNumberFormat="1" applyFont="1" applyFill="1" applyBorder="1" applyAlignment="1">
      <alignment horizontal="center" vertical="center" wrapText="1"/>
    </xf>
    <xf numFmtId="22" fontId="64" fillId="15" borderId="6" xfId="61" applyNumberFormat="1" applyFont="1" applyFill="1" applyBorder="1" applyAlignment="1">
      <alignment horizontal="center" vertical="center" wrapText="1"/>
    </xf>
    <xf numFmtId="174" fontId="64" fillId="15" borderId="6" xfId="61" applyNumberFormat="1" applyFont="1" applyFill="1" applyBorder="1" applyAlignment="1">
      <alignment horizontal="center" vertical="center" wrapText="1"/>
    </xf>
    <xf numFmtId="0" fontId="63" fillId="16" borderId="1" xfId="0" applyFont="1" applyFill="1" applyBorder="1" applyAlignment="1">
      <alignment horizontal="center" vertical="center" wrapText="1"/>
    </xf>
    <xf numFmtId="22" fontId="63" fillId="11" borderId="1" xfId="0" applyNumberFormat="1" applyFont="1" applyFill="1" applyBorder="1" applyAlignment="1">
      <alignment horizontal="center" vertical="center" wrapText="1"/>
    </xf>
    <xf numFmtId="22" fontId="63" fillId="11" borderId="7" xfId="0" applyNumberFormat="1" applyFont="1" applyFill="1" applyBorder="1" applyAlignment="1">
      <alignment horizontal="center" vertical="center" wrapText="1"/>
    </xf>
    <xf numFmtId="22" fontId="63" fillId="11" borderId="6" xfId="0" applyNumberFormat="1" applyFont="1" applyFill="1" applyBorder="1" applyAlignment="1">
      <alignment horizontal="center" vertical="center" wrapText="1"/>
    </xf>
    <xf numFmtId="0" fontId="65" fillId="16" borderId="1" xfId="0" applyFont="1" applyFill="1" applyBorder="1" applyAlignment="1">
      <alignment horizontal="center" vertical="center" wrapText="1"/>
    </xf>
    <xf numFmtId="22" fontId="65" fillId="3" borderId="1" xfId="0" applyNumberFormat="1" applyFont="1" applyFill="1" applyBorder="1" applyAlignment="1">
      <alignment horizontal="center" vertical="center" wrapText="1"/>
    </xf>
    <xf numFmtId="174" fontId="65" fillId="3" borderId="1" xfId="0" applyNumberFormat="1" applyFont="1" applyFill="1" applyBorder="1" applyAlignment="1">
      <alignment horizontal="center" vertical="center" wrapText="1"/>
    </xf>
    <xf numFmtId="22" fontId="65" fillId="11" borderId="1" xfId="0" applyNumberFormat="1" applyFont="1" applyFill="1" applyBorder="1" applyAlignment="1">
      <alignment horizontal="center" vertical="center" wrapText="1"/>
    </xf>
    <xf numFmtId="22" fontId="65" fillId="11" borderId="7" xfId="0" applyNumberFormat="1" applyFont="1" applyFill="1" applyBorder="1" applyAlignment="1">
      <alignment horizontal="center" vertical="center" wrapText="1"/>
    </xf>
    <xf numFmtId="22" fontId="65" fillId="11" borderId="6" xfId="0" applyNumberFormat="1" applyFont="1" applyFill="1" applyBorder="1" applyAlignment="1">
      <alignment horizontal="center" vertical="center" wrapText="1"/>
    </xf>
    <xf numFmtId="173" fontId="65" fillId="11" borderId="1" xfId="0" applyNumberFormat="1" applyFont="1" applyFill="1" applyBorder="1" applyAlignment="1">
      <alignment horizontal="center" vertical="center" wrapText="1"/>
    </xf>
    <xf numFmtId="173" fontId="65" fillId="3" borderId="1" xfId="0" applyNumberFormat="1" applyFont="1" applyFill="1" applyBorder="1" applyAlignment="1">
      <alignment horizontal="center" vertical="center" wrapText="1"/>
    </xf>
    <xf numFmtId="167" fontId="54" fillId="0" borderId="0" xfId="61" applyNumberFormat="1" applyFont="1" applyAlignment="1">
      <alignment horizontal="right" vertical="center" wrapText="1"/>
    </xf>
    <xf numFmtId="167" fontId="54" fillId="0" borderId="0" xfId="61" applyNumberFormat="1" applyFont="1" applyAlignment="1">
      <alignment horizontal="center" vertical="center" wrapText="1"/>
    </xf>
    <xf numFmtId="176" fontId="62" fillId="0" borderId="6" xfId="0" applyNumberFormat="1" applyFont="1" applyBorder="1" applyAlignment="1">
      <alignment horizontal="center" vertical="center"/>
    </xf>
    <xf numFmtId="176" fontId="62" fillId="0" borderId="0" xfId="0" applyNumberFormat="1" applyFont="1" applyAlignment="1">
      <alignment horizontal="right" vertical="center"/>
    </xf>
    <xf numFmtId="176" fontId="62" fillId="0" borderId="0" xfId="0" applyNumberFormat="1" applyFont="1" applyAlignment="1">
      <alignment horizontal="center" vertical="center"/>
    </xf>
    <xf numFmtId="177" fontId="62" fillId="0" borderId="6" xfId="0" applyNumberFormat="1" applyFont="1" applyBorder="1" applyAlignment="1">
      <alignment horizontal="center" vertical="center"/>
    </xf>
    <xf numFmtId="4" fontId="62" fillId="0" borderId="0" xfId="0" applyNumberFormat="1" applyFont="1" applyAlignment="1">
      <alignment horizontal="right" vertical="center"/>
    </xf>
    <xf numFmtId="4" fontId="62" fillId="0" borderId="0" xfId="0" applyNumberFormat="1" applyFont="1" applyAlignment="1">
      <alignment horizontal="center" vertical="center"/>
    </xf>
    <xf numFmtId="4" fontId="62" fillId="0" borderId="6" xfId="0" applyNumberFormat="1" applyFont="1" applyBorder="1" applyAlignment="1">
      <alignment horizontal="center" vertical="center"/>
    </xf>
    <xf numFmtId="1" fontId="63" fillId="2" borderId="1" xfId="61" applyNumberFormat="1" applyFont="1" applyFill="1" applyBorder="1" applyAlignment="1">
      <alignment horizontal="center" vertical="center" wrapText="1"/>
    </xf>
    <xf numFmtId="0" fontId="63" fillId="2" borderId="5" xfId="61" applyFont="1" applyFill="1" applyBorder="1" applyAlignment="1">
      <alignment horizontal="center" vertical="center" wrapText="1"/>
    </xf>
    <xf numFmtId="43" fontId="63" fillId="7" borderId="1" xfId="1" applyFont="1" applyFill="1" applyBorder="1" applyAlignment="1">
      <alignment horizontal="right" vertical="center" wrapText="1"/>
    </xf>
    <xf numFmtId="0" fontId="63" fillId="3" borderId="1" xfId="61" applyFont="1" applyFill="1" applyBorder="1" applyAlignment="1">
      <alignment horizontal="center" vertical="center" wrapText="1"/>
    </xf>
    <xf numFmtId="43" fontId="64" fillId="7" borderId="1" xfId="61" applyNumberFormat="1" applyFont="1" applyFill="1" applyBorder="1" applyAlignment="1">
      <alignment horizontal="center" vertical="center" wrapText="1"/>
    </xf>
    <xf numFmtId="43" fontId="65" fillId="7" borderId="1" xfId="1" applyFont="1" applyFill="1" applyBorder="1" applyAlignment="1">
      <alignment horizontal="right" vertical="center" wrapText="1"/>
    </xf>
    <xf numFmtId="0" fontId="65" fillId="3" borderId="1" xfId="61" applyFont="1" applyFill="1" applyBorder="1" applyAlignment="1">
      <alignment horizontal="center" vertical="center" wrapText="1"/>
    </xf>
    <xf numFmtId="43" fontId="67" fillId="7" borderId="1" xfId="61" applyNumberFormat="1" applyFont="1" applyFill="1" applyBorder="1" applyAlignment="1">
      <alignment horizontal="center" vertical="center" wrapText="1"/>
    </xf>
    <xf numFmtId="0" fontId="65" fillId="0" borderId="1" xfId="61" applyFont="1" applyBorder="1" applyAlignment="1">
      <alignment horizontal="center" vertical="center" wrapText="1"/>
    </xf>
    <xf numFmtId="164" fontId="54" fillId="0" borderId="0" xfId="61" applyNumberFormat="1" applyFont="1" applyAlignment="1">
      <alignment horizontal="center" vertical="center" wrapText="1"/>
    </xf>
    <xf numFmtId="1" fontId="54" fillId="0" borderId="0" xfId="61" applyNumberFormat="1" applyFont="1" applyAlignment="1">
      <alignment horizontal="center" vertical="center" wrapText="1"/>
    </xf>
    <xf numFmtId="4" fontId="68" fillId="0" borderId="0" xfId="0" applyNumberFormat="1" applyFont="1" applyAlignment="1">
      <alignment horizontal="center" vertical="center"/>
    </xf>
    <xf numFmtId="4" fontId="62" fillId="0" borderId="7" xfId="0" applyNumberFormat="1" applyFont="1" applyBorder="1" applyAlignment="1">
      <alignment horizontal="center" vertical="center"/>
    </xf>
    <xf numFmtId="164" fontId="64" fillId="15" borderId="6" xfId="61" applyNumberFormat="1" applyFont="1" applyFill="1" applyBorder="1" applyAlignment="1">
      <alignment horizontal="center" vertical="center"/>
    </xf>
    <xf numFmtId="1" fontId="63" fillId="7" borderId="1" xfId="0" applyNumberFormat="1" applyFont="1" applyFill="1" applyBorder="1" applyAlignment="1">
      <alignment horizontal="center" vertical="center" wrapText="1" shrinkToFit="1"/>
    </xf>
    <xf numFmtId="164" fontId="63" fillId="7" borderId="1" xfId="0" applyNumberFormat="1" applyFont="1" applyFill="1" applyBorder="1" applyAlignment="1">
      <alignment horizontal="center" vertical="center" wrapText="1" shrinkToFit="1"/>
    </xf>
    <xf numFmtId="1" fontId="65" fillId="7" borderId="1" xfId="0" applyNumberFormat="1" applyFont="1" applyFill="1" applyBorder="1" applyAlignment="1">
      <alignment horizontal="center" vertical="center" wrapText="1" shrinkToFit="1"/>
    </xf>
    <xf numFmtId="164" fontId="65" fillId="7" borderId="1" xfId="0" applyNumberFormat="1" applyFont="1" applyFill="1" applyBorder="1" applyAlignment="1">
      <alignment horizontal="center" vertical="center" wrapText="1" shrinkToFit="1"/>
    </xf>
    <xf numFmtId="167" fontId="54" fillId="0" borderId="0" xfId="61" applyNumberFormat="1" applyFont="1" applyAlignment="1">
      <alignment vertical="center" wrapText="1"/>
    </xf>
    <xf numFmtId="0" fontId="64" fillId="2" borderId="0" xfId="61" applyFont="1" applyFill="1" applyAlignment="1">
      <alignment horizontal="center" vertical="center" wrapText="1"/>
    </xf>
    <xf numFmtId="0" fontId="63" fillId="2" borderId="1" xfId="61" applyFont="1" applyFill="1" applyBorder="1" applyAlignment="1">
      <alignment vertical="center" wrapText="1"/>
    </xf>
    <xf numFmtId="0" fontId="64" fillId="15" borderId="7" xfId="61" applyFont="1" applyFill="1" applyBorder="1" applyAlignment="1">
      <alignment vertical="center"/>
    </xf>
    <xf numFmtId="0" fontId="64" fillId="0" borderId="0" xfId="61" applyFont="1" applyAlignment="1">
      <alignment horizontal="center" vertical="center" wrapText="1"/>
    </xf>
    <xf numFmtId="0" fontId="63" fillId="0" borderId="1" xfId="0" applyFont="1" applyBorder="1" applyAlignment="1">
      <alignment horizontal="center" vertical="center"/>
    </xf>
    <xf numFmtId="0" fontId="63" fillId="0" borderId="1" xfId="0" applyFont="1" applyBorder="1" applyAlignment="1">
      <alignment vertical="center" wrapText="1"/>
    </xf>
    <xf numFmtId="0" fontId="65" fillId="0" borderId="1" xfId="0" applyFont="1" applyBorder="1" applyAlignment="1">
      <alignment vertical="center" wrapText="1"/>
    </xf>
    <xf numFmtId="0" fontId="67" fillId="0" borderId="0" xfId="61" applyFont="1" applyAlignment="1">
      <alignment horizontal="center" vertical="center" wrapText="1"/>
    </xf>
    <xf numFmtId="0" fontId="65" fillId="3" borderId="1" xfId="0" applyFont="1" applyFill="1" applyBorder="1" applyAlignment="1">
      <alignment horizontal="left" vertical="center" wrapText="1"/>
    </xf>
    <xf numFmtId="172" fontId="65" fillId="3" borderId="1" xfId="1" applyNumberFormat="1" applyFont="1" applyFill="1" applyBorder="1" applyAlignment="1">
      <alignment horizontal="right" vertical="center" wrapText="1"/>
    </xf>
    <xf numFmtId="0" fontId="63" fillId="3" borderId="1" xfId="0" applyFont="1" applyFill="1" applyBorder="1" applyAlignment="1">
      <alignment horizontal="center" vertical="center"/>
    </xf>
    <xf numFmtId="0" fontId="63" fillId="3" borderId="1" xfId="0" applyFont="1" applyFill="1" applyBorder="1" applyAlignment="1">
      <alignment horizontal="left" vertical="center" wrapText="1"/>
    </xf>
    <xf numFmtId="172" fontId="63" fillId="3" borderId="1" xfId="1" applyNumberFormat="1" applyFont="1" applyFill="1" applyBorder="1" applyAlignment="1">
      <alignment horizontal="right" vertical="center" wrapText="1"/>
    </xf>
    <xf numFmtId="0" fontId="64" fillId="15" borderId="16" xfId="61" applyFont="1" applyFill="1" applyBorder="1" applyAlignment="1">
      <alignment horizontal="left" vertical="center"/>
    </xf>
    <xf numFmtId="0" fontId="64" fillId="17" borderId="21" xfId="0" applyFont="1" applyFill="1" applyBorder="1" applyAlignment="1">
      <alignment horizontal="center" vertical="center"/>
    </xf>
    <xf numFmtId="0" fontId="64" fillId="15" borderId="22" xfId="61" applyFont="1" applyFill="1" applyBorder="1" applyAlignment="1">
      <alignment horizontal="left" vertical="center"/>
    </xf>
    <xf numFmtId="0" fontId="64" fillId="15" borderId="23" xfId="61" applyFont="1" applyFill="1" applyBorder="1" applyAlignment="1">
      <alignment horizontal="center" vertical="center"/>
    </xf>
    <xf numFmtId="0" fontId="63" fillId="18" borderId="1" xfId="0" applyFont="1" applyFill="1" applyBorder="1" applyAlignment="1">
      <alignment horizontal="center" vertical="center"/>
    </xf>
    <xf numFmtId="0" fontId="63" fillId="0" borderId="24" xfId="0" applyFont="1" applyBorder="1" applyAlignment="1">
      <alignment horizontal="center" vertical="center"/>
    </xf>
    <xf numFmtId="0" fontId="63" fillId="0" borderId="2" xfId="0" applyFont="1" applyBorder="1" applyAlignment="1">
      <alignment horizontal="left" vertical="center" wrapText="1"/>
    </xf>
    <xf numFmtId="172" fontId="63" fillId="0" borderId="2" xfId="1" applyNumberFormat="1" applyFont="1" applyFill="1" applyBorder="1" applyAlignment="1">
      <alignment horizontal="right" vertical="center" wrapText="1"/>
    </xf>
    <xf numFmtId="0" fontId="64" fillId="0" borderId="0" xfId="0" applyFont="1" applyAlignment="1">
      <alignment horizontal="center" vertical="center" wrapText="1"/>
    </xf>
    <xf numFmtId="0" fontId="64" fillId="0" borderId="0" xfId="0" applyFont="1" applyAlignment="1">
      <alignment horizontal="right" vertical="center" wrapText="1"/>
    </xf>
    <xf numFmtId="0" fontId="63" fillId="0" borderId="0" xfId="0" applyFont="1" applyAlignment="1">
      <alignment horizontal="center" vertical="center"/>
    </xf>
    <xf numFmtId="0" fontId="65" fillId="3" borderId="5" xfId="0" applyFont="1" applyFill="1" applyBorder="1" applyAlignment="1">
      <alignment horizontal="center" vertical="center"/>
    </xf>
    <xf numFmtId="0" fontId="65" fillId="3" borderId="1" xfId="0" applyFont="1" applyFill="1" applyBorder="1" applyAlignment="1">
      <alignment horizontal="left" vertical="center"/>
    </xf>
    <xf numFmtId="0" fontId="63" fillId="3" borderId="5" xfId="0" applyFont="1" applyFill="1" applyBorder="1" applyAlignment="1">
      <alignment horizontal="center" vertical="center"/>
    </xf>
    <xf numFmtId="0" fontId="63" fillId="15" borderId="0" xfId="0" applyFont="1" applyFill="1" applyAlignment="1">
      <alignment horizontal="center" vertical="center" wrapText="1"/>
    </xf>
    <xf numFmtId="0" fontId="64" fillId="15" borderId="23" xfId="61" applyFont="1" applyFill="1" applyBorder="1" applyAlignment="1">
      <alignment horizontal="left" vertical="center"/>
    </xf>
    <xf numFmtId="0" fontId="63" fillId="18" borderId="1" xfId="0" applyFont="1" applyFill="1" applyBorder="1" applyAlignment="1">
      <alignment horizontal="left" vertical="center" wrapText="1"/>
    </xf>
    <xf numFmtId="0" fontId="63" fillId="0" borderId="24" xfId="0" applyFont="1" applyBorder="1" applyAlignment="1">
      <alignment horizontal="left" vertical="center" wrapText="1"/>
    </xf>
    <xf numFmtId="22" fontId="63" fillId="3" borderId="1" xfId="0" applyNumberFormat="1" applyFont="1" applyFill="1" applyBorder="1" applyAlignment="1">
      <alignment horizontal="center" vertical="center" wrapText="1"/>
    </xf>
    <xf numFmtId="173" fontId="63" fillId="3" borderId="1" xfId="0" applyNumberFormat="1" applyFont="1" applyFill="1" applyBorder="1" applyAlignment="1">
      <alignment horizontal="center" vertical="center" wrapText="1"/>
    </xf>
    <xf numFmtId="174" fontId="63" fillId="0" borderId="1" xfId="0" applyNumberFormat="1" applyFont="1" applyBorder="1" applyAlignment="1">
      <alignment horizontal="center" vertical="center" wrapText="1"/>
    </xf>
    <xf numFmtId="174" fontId="63" fillId="3" borderId="1" xfId="0" applyNumberFormat="1" applyFont="1" applyFill="1" applyBorder="1" applyAlignment="1">
      <alignment horizontal="center" vertical="center" wrapText="1"/>
    </xf>
    <xf numFmtId="174" fontId="63" fillId="18" borderId="1" xfId="0" applyNumberFormat="1" applyFont="1" applyFill="1" applyBorder="1" applyAlignment="1">
      <alignment horizontal="center" vertical="center" wrapText="1"/>
    </xf>
    <xf numFmtId="22" fontId="64" fillId="15" borderId="23" xfId="61" applyNumberFormat="1" applyFont="1" applyFill="1" applyBorder="1" applyAlignment="1">
      <alignment horizontal="left" vertical="center"/>
    </xf>
    <xf numFmtId="174" fontId="64" fillId="15" borderId="23" xfId="61" applyNumberFormat="1" applyFont="1" applyFill="1" applyBorder="1" applyAlignment="1">
      <alignment horizontal="left" vertical="center"/>
    </xf>
    <xf numFmtId="22" fontId="63" fillId="18" borderId="1" xfId="0" applyNumberFormat="1" applyFont="1" applyFill="1" applyBorder="1" applyAlignment="1">
      <alignment horizontal="center" vertical="center" wrapText="1"/>
    </xf>
    <xf numFmtId="20" fontId="63" fillId="16" borderId="1" xfId="0" applyNumberFormat="1" applyFont="1" applyFill="1" applyBorder="1" applyAlignment="1">
      <alignment horizontal="center" vertical="center" wrapText="1"/>
    </xf>
    <xf numFmtId="22" fontId="63" fillId="0" borderId="1" xfId="0" applyNumberFormat="1" applyFont="1" applyBorder="1" applyAlignment="1">
      <alignment horizontal="center" vertical="center" wrapText="1"/>
    </xf>
    <xf numFmtId="178" fontId="63" fillId="16" borderId="1" xfId="0" applyNumberFormat="1" applyFont="1" applyFill="1" applyBorder="1" applyAlignment="1">
      <alignment horizontal="center" vertical="center" wrapText="1"/>
    </xf>
    <xf numFmtId="174" fontId="63" fillId="0" borderId="1" xfId="0" applyNumberFormat="1" applyFont="1" applyBorder="1" applyAlignment="1">
      <alignment horizontal="left" vertical="center" wrapText="1"/>
    </xf>
    <xf numFmtId="178" fontId="63" fillId="16" borderId="16" xfId="0" applyNumberFormat="1" applyFont="1" applyFill="1" applyBorder="1" applyAlignment="1">
      <alignment horizontal="center" vertical="center" wrapText="1"/>
    </xf>
    <xf numFmtId="22" fontId="63" fillId="0" borderId="2" xfId="0" applyNumberFormat="1" applyFont="1" applyBorder="1" applyAlignment="1">
      <alignment horizontal="center" vertical="center" wrapText="1"/>
    </xf>
    <xf numFmtId="174" fontId="63" fillId="0" borderId="2" xfId="0" applyNumberFormat="1" applyFont="1" applyBorder="1" applyAlignment="1">
      <alignment horizontal="left" vertical="center" wrapText="1"/>
    </xf>
    <xf numFmtId="174" fontId="63" fillId="0" borderId="25" xfId="0" applyNumberFormat="1" applyFont="1" applyBorder="1" applyAlignment="1">
      <alignment horizontal="center" vertical="center" wrapText="1"/>
    </xf>
    <xf numFmtId="178" fontId="63" fillId="0" borderId="0" xfId="0" applyNumberFormat="1" applyFont="1" applyAlignment="1">
      <alignment horizontal="center" vertical="center" wrapText="1"/>
    </xf>
    <xf numFmtId="22" fontId="64" fillId="0" borderId="0" xfId="0" applyNumberFormat="1" applyFont="1" applyAlignment="1">
      <alignment vertical="center" wrapText="1"/>
    </xf>
    <xf numFmtId="174" fontId="63" fillId="11" borderId="0" xfId="0" applyNumberFormat="1" applyFont="1" applyFill="1" applyAlignment="1">
      <alignment horizontal="center" vertical="center" wrapText="1"/>
    </xf>
    <xf numFmtId="43" fontId="64" fillId="0" borderId="26" xfId="61" applyNumberFormat="1" applyFont="1" applyBorder="1" applyAlignment="1">
      <alignment horizontal="center" vertical="center" wrapText="1"/>
    </xf>
    <xf numFmtId="1" fontId="63" fillId="0" borderId="1" xfId="0" applyNumberFormat="1" applyFont="1" applyBorder="1" applyAlignment="1">
      <alignment horizontal="center" vertical="center" wrapText="1" shrinkToFit="1"/>
    </xf>
    <xf numFmtId="1" fontId="63" fillId="3" borderId="3" xfId="0" applyNumberFormat="1" applyFont="1" applyFill="1" applyBorder="1" applyAlignment="1">
      <alignment horizontal="center" vertical="center" wrapText="1" shrinkToFit="1"/>
    </xf>
    <xf numFmtId="164" fontId="63" fillId="16" borderId="1" xfId="0" applyNumberFormat="1" applyFont="1" applyFill="1" applyBorder="1" applyAlignment="1">
      <alignment horizontal="center" vertical="center" wrapText="1" shrinkToFit="1"/>
    </xf>
    <xf numFmtId="0" fontId="69" fillId="0" borderId="0" xfId="61" applyFont="1" applyAlignment="1">
      <alignment horizontal="center" vertical="center" wrapText="1"/>
    </xf>
    <xf numFmtId="0" fontId="70" fillId="0" borderId="0" xfId="61" applyFont="1" applyAlignment="1">
      <alignment horizontal="center" vertical="center" wrapText="1"/>
    </xf>
    <xf numFmtId="0" fontId="63" fillId="0" borderId="27" xfId="0" applyFont="1" applyBorder="1" applyAlignment="1">
      <alignment vertical="center" wrapText="1"/>
    </xf>
    <xf numFmtId="174" fontId="64" fillId="15" borderId="7" xfId="61" applyNumberFormat="1" applyFont="1" applyFill="1" applyBorder="1" applyAlignment="1">
      <alignment horizontal="center" vertical="center" wrapText="1"/>
    </xf>
    <xf numFmtId="171" fontId="64" fillId="15" borderId="7" xfId="61" applyNumberFormat="1" applyFont="1" applyFill="1" applyBorder="1" applyAlignment="1">
      <alignment horizontal="center" vertical="center" wrapText="1"/>
    </xf>
    <xf numFmtId="164" fontId="63" fillId="0" borderId="1" xfId="0" applyNumberFormat="1" applyFont="1" applyBorder="1" applyAlignment="1">
      <alignment vertical="center" wrapText="1" shrinkToFit="1"/>
    </xf>
    <xf numFmtId="0" fontId="63" fillId="3" borderId="27" xfId="0" applyFont="1" applyFill="1" applyBorder="1" applyAlignment="1">
      <alignment vertical="center" wrapText="1"/>
    </xf>
    <xf numFmtId="0" fontId="63" fillId="0" borderId="18" xfId="0" applyFont="1" applyBorder="1" applyAlignment="1">
      <alignment vertical="center" wrapText="1"/>
    </xf>
    <xf numFmtId="0" fontId="63" fillId="0" borderId="28" xfId="0" applyFont="1" applyBorder="1" applyAlignment="1">
      <alignment vertical="center" wrapText="1"/>
    </xf>
    <xf numFmtId="0" fontId="63" fillId="0" borderId="1" xfId="0" applyFont="1" applyBorder="1" applyAlignment="1">
      <alignment vertical="center"/>
    </xf>
    <xf numFmtId="174" fontId="71" fillId="18" borderId="0" xfId="0" applyNumberFormat="1" applyFont="1" applyFill="1" applyAlignment="1">
      <alignment horizontal="center" vertical="center" wrapText="1"/>
    </xf>
    <xf numFmtId="174" fontId="63" fillId="3" borderId="0" xfId="0" applyNumberFormat="1" applyFont="1" applyFill="1" applyAlignment="1">
      <alignment horizontal="center" vertical="center" wrapText="1"/>
    </xf>
    <xf numFmtId="174" fontId="63" fillId="0" borderId="0" xfId="0" applyNumberFormat="1" applyFont="1" applyAlignment="1">
      <alignment horizontal="center" vertical="center" wrapText="1"/>
    </xf>
    <xf numFmtId="174" fontId="63" fillId="18" borderId="0" xfId="0" applyNumberFormat="1" applyFont="1" applyFill="1" applyAlignment="1">
      <alignment horizontal="center" vertical="center" wrapText="1"/>
    </xf>
    <xf numFmtId="174" fontId="64" fillId="3" borderId="0" xfId="61" applyNumberFormat="1" applyFont="1" applyFill="1" applyAlignment="1">
      <alignment horizontal="center" vertical="center" wrapText="1"/>
    </xf>
    <xf numFmtId="0" fontId="67" fillId="3" borderId="0" xfId="61" applyFont="1" applyFill="1" applyAlignment="1">
      <alignment horizontal="center" vertical="center" wrapText="1"/>
    </xf>
    <xf numFmtId="0" fontId="72" fillId="0" borderId="0" xfId="0" applyFont="1" applyAlignment="1">
      <alignment vertical="center"/>
    </xf>
    <xf numFmtId="174" fontId="64" fillId="0" borderId="0" xfId="0" applyNumberFormat="1" applyFont="1" applyAlignment="1">
      <alignment horizontal="right" vertical="center" wrapText="1"/>
    </xf>
    <xf numFmtId="0" fontId="0" fillId="3" borderId="0" xfId="0" applyFill="1" applyAlignment="1">
      <alignment vertical="center"/>
    </xf>
    <xf numFmtId="0" fontId="6" fillId="3" borderId="0" xfId="0" applyFont="1" applyFill="1" applyAlignment="1">
      <alignment vertical="center"/>
    </xf>
    <xf numFmtId="0" fontId="73" fillId="3" borderId="0" xfId="0" applyFont="1" applyFill="1" applyAlignment="1">
      <alignment vertical="center"/>
    </xf>
    <xf numFmtId="0" fontId="74" fillId="3" borderId="0" xfId="61" applyFont="1" applyFill="1"/>
    <xf numFmtId="0" fontId="4" fillId="3" borderId="0" xfId="61" applyFill="1"/>
    <xf numFmtId="0" fontId="6" fillId="3" borderId="0" xfId="0" applyFont="1" applyFill="1" applyAlignment="1">
      <alignment horizontal="right" vertical="center"/>
    </xf>
    <xf numFmtId="0" fontId="6" fillId="3" borderId="0" xfId="0" applyFont="1" applyFill="1" applyAlignment="1">
      <alignment horizontal="right" vertical="center" wrapText="1"/>
    </xf>
    <xf numFmtId="17" fontId="2" fillId="3" borderId="0" xfId="0" applyNumberFormat="1" applyFont="1" applyFill="1" applyAlignment="1">
      <alignment horizontal="center" vertical="center"/>
    </xf>
    <xf numFmtId="0" fontId="73" fillId="3" borderId="0" xfId="0" applyFont="1" applyFill="1" applyAlignment="1">
      <alignment horizontal="right" vertical="center"/>
    </xf>
    <xf numFmtId="167" fontId="75" fillId="3" borderId="0" xfId="61" applyNumberFormat="1" applyFont="1" applyFill="1" applyAlignment="1">
      <alignment horizontal="left" vertical="center" wrapText="1"/>
    </xf>
    <xf numFmtId="3" fontId="76" fillId="3" borderId="1" xfId="61" applyNumberFormat="1" applyFont="1" applyFill="1" applyBorder="1" applyAlignment="1">
      <alignment horizontal="center" vertical="center" wrapText="1"/>
    </xf>
    <xf numFmtId="3" fontId="76" fillId="3" borderId="1" xfId="61" applyNumberFormat="1" applyFont="1" applyFill="1" applyBorder="1" applyAlignment="1">
      <alignment horizontal="center" vertical="center"/>
    </xf>
    <xf numFmtId="0" fontId="74" fillId="3" borderId="23" xfId="61" applyFont="1" applyFill="1" applyBorder="1"/>
    <xf numFmtId="0" fontId="76" fillId="3" borderId="0" xfId="61" applyFont="1" applyFill="1"/>
    <xf numFmtId="167" fontId="14" fillId="3" borderId="0" xfId="61" applyNumberFormat="1" applyFont="1" applyFill="1" applyAlignment="1">
      <alignment horizontal="right" vertical="center" wrapText="1"/>
    </xf>
    <xf numFmtId="0" fontId="2" fillId="3" borderId="20" xfId="0" applyFont="1" applyFill="1" applyBorder="1" applyAlignment="1">
      <alignment vertical="center"/>
    </xf>
    <xf numFmtId="0" fontId="6" fillId="3" borderId="0" xfId="0" applyFont="1" applyFill="1" applyAlignment="1">
      <alignment horizontal="left" vertical="center"/>
    </xf>
    <xf numFmtId="0" fontId="74" fillId="3" borderId="0" xfId="0" applyFont="1" applyFill="1" applyAlignment="1">
      <alignment horizontal="right" vertical="center"/>
    </xf>
    <xf numFmtId="17" fontId="2" fillId="3" borderId="20" xfId="0" applyNumberFormat="1" applyFont="1" applyFill="1" applyBorder="1" applyAlignment="1">
      <alignment vertical="center"/>
    </xf>
    <xf numFmtId="17" fontId="76" fillId="3" borderId="15" xfId="0" applyNumberFormat="1" applyFont="1" applyFill="1" applyBorder="1" applyAlignment="1">
      <alignment horizontal="right" vertical="center"/>
    </xf>
    <xf numFmtId="17" fontId="2" fillId="3" borderId="0" xfId="0" applyNumberFormat="1" applyFont="1" applyFill="1" applyAlignment="1">
      <alignment vertical="center"/>
    </xf>
    <xf numFmtId="0" fontId="73" fillId="3" borderId="0" xfId="0" applyFont="1" applyFill="1" applyAlignment="1">
      <alignment horizontal="left" vertical="center"/>
    </xf>
    <xf numFmtId="4" fontId="75" fillId="3" borderId="0" xfId="61" applyNumberFormat="1" applyFont="1" applyFill="1" applyAlignment="1">
      <alignment horizontal="center" vertical="center" wrapText="1"/>
    </xf>
    <xf numFmtId="4" fontId="75" fillId="3" borderId="0" xfId="61" applyNumberFormat="1" applyFont="1" applyFill="1" applyAlignment="1">
      <alignment horizontal="right" vertical="center" wrapText="1"/>
    </xf>
    <xf numFmtId="0" fontId="4" fillId="3" borderId="0" xfId="61" applyFill="1" applyAlignment="1">
      <alignment vertical="center" wrapText="1"/>
    </xf>
    <xf numFmtId="0" fontId="2" fillId="3" borderId="0" xfId="0" applyFont="1" applyFill="1" applyAlignment="1">
      <alignment vertical="center"/>
    </xf>
    <xf numFmtId="4" fontId="2" fillId="3" borderId="0" xfId="0" applyNumberFormat="1" applyFont="1" applyFill="1" applyAlignment="1">
      <alignment horizontal="center" vertical="center"/>
    </xf>
    <xf numFmtId="167" fontId="75" fillId="3" borderId="0" xfId="61" applyNumberFormat="1" applyFont="1" applyFill="1" applyAlignment="1">
      <alignment horizontal="center" vertical="center" wrapText="1"/>
    </xf>
    <xf numFmtId="167" fontId="14" fillId="3" borderId="0" xfId="61" applyNumberFormat="1" applyFont="1" applyFill="1" applyAlignment="1">
      <alignment vertical="center" wrapText="1"/>
    </xf>
    <xf numFmtId="167" fontId="14" fillId="3" borderId="0" xfId="61" applyNumberFormat="1" applyFont="1" applyFill="1" applyAlignment="1">
      <alignment vertical="top" wrapText="1"/>
    </xf>
    <xf numFmtId="17" fontId="78" fillId="3" borderId="0" xfId="0" applyNumberFormat="1" applyFont="1" applyFill="1" applyAlignment="1">
      <alignment horizontal="right" vertical="center"/>
    </xf>
    <xf numFmtId="4" fontId="2" fillId="3" borderId="0" xfId="0" applyNumberFormat="1" applyFont="1" applyFill="1" applyAlignment="1">
      <alignment horizontal="left" vertical="center"/>
    </xf>
    <xf numFmtId="4" fontId="78" fillId="3" borderId="0" xfId="0" applyNumberFormat="1" applyFont="1" applyFill="1" applyAlignment="1">
      <alignment horizontal="right" vertical="center"/>
    </xf>
    <xf numFmtId="164" fontId="2" fillId="3" borderId="0" xfId="0" applyNumberFormat="1" applyFont="1" applyFill="1" applyAlignment="1">
      <alignment vertical="center"/>
    </xf>
    <xf numFmtId="4" fontId="2" fillId="3" borderId="0" xfId="0" applyNumberFormat="1" applyFont="1" applyFill="1" applyAlignment="1">
      <alignment horizontal="right" vertical="center"/>
    </xf>
    <xf numFmtId="4" fontId="79" fillId="3" borderId="0" xfId="0" applyNumberFormat="1" applyFont="1" applyFill="1" applyAlignment="1">
      <alignment horizontal="right" vertical="center"/>
    </xf>
    <xf numFmtId="2" fontId="76" fillId="3" borderId="1" xfId="61" applyNumberFormat="1" applyFont="1" applyFill="1" applyBorder="1" applyAlignment="1">
      <alignment horizontal="center" vertical="center"/>
    </xf>
    <xf numFmtId="2" fontId="4" fillId="3" borderId="0" xfId="61" applyNumberFormat="1" applyFill="1"/>
    <xf numFmtId="0" fontId="6" fillId="3" borderId="0" xfId="0" applyFont="1" applyFill="1" applyAlignment="1">
      <alignment vertical="center" wrapText="1"/>
    </xf>
    <xf numFmtId="0" fontId="73" fillId="3" borderId="0" xfId="0" applyFont="1" applyFill="1" applyAlignment="1">
      <alignment vertical="center" wrapText="1"/>
    </xf>
    <xf numFmtId="0" fontId="4" fillId="0" borderId="0" xfId="61" applyAlignment="1">
      <alignment horizontal="center"/>
    </xf>
    <xf numFmtId="0" fontId="4" fillId="0" borderId="0" xfId="61"/>
    <xf numFmtId="164" fontId="4" fillId="0" borderId="1" xfId="61" applyNumberFormat="1" applyBorder="1" applyAlignment="1">
      <alignment horizontal="center" wrapText="1"/>
    </xf>
    <xf numFmtId="0" fontId="4" fillId="0" borderId="1" xfId="61" applyBorder="1" applyAlignment="1">
      <alignment horizontal="left" wrapText="1"/>
    </xf>
    <xf numFmtId="0" fontId="4" fillId="0" borderId="0" xfId="61" applyAlignment="1">
      <alignment horizontal="left"/>
    </xf>
    <xf numFmtId="0" fontId="80" fillId="0" borderId="0" xfId="0" applyFont="1" applyAlignment="1">
      <alignment horizontal="center" vertical="center"/>
    </xf>
    <xf numFmtId="0" fontId="81" fillId="0" borderId="0" xfId="0" applyFont="1"/>
    <xf numFmtId="0" fontId="81" fillId="0" borderId="37" xfId="0" applyFont="1" applyBorder="1" applyAlignment="1">
      <alignment horizontal="center" vertical="center"/>
    </xf>
    <xf numFmtId="0" fontId="81" fillId="0" borderId="40" xfId="0" applyFont="1" applyBorder="1" applyAlignment="1">
      <alignment horizontal="center" vertical="center"/>
    </xf>
    <xf numFmtId="0" fontId="82" fillId="19" borderId="2" xfId="0" applyFont="1" applyFill="1" applyBorder="1" applyAlignment="1">
      <alignment horizontal="center" vertical="center" wrapText="1"/>
    </xf>
    <xf numFmtId="0" fontId="81" fillId="0" borderId="42" xfId="0" applyFont="1" applyBorder="1" applyAlignment="1">
      <alignment horizontal="center" vertical="center" wrapText="1"/>
    </xf>
    <xf numFmtId="0" fontId="81" fillId="0" borderId="19" xfId="0" applyFont="1" applyBorder="1" applyAlignment="1">
      <alignment horizontal="center" vertical="center" wrapText="1"/>
    </xf>
    <xf numFmtId="0" fontId="81" fillId="0" borderId="20" xfId="0" applyFont="1" applyBorder="1" applyAlignment="1">
      <alignment horizontal="center" vertical="center" wrapText="1"/>
    </xf>
    <xf numFmtId="0" fontId="81" fillId="0" borderId="41" xfId="0" applyFont="1" applyBorder="1" applyAlignment="1">
      <alignment horizontal="center" vertical="center" wrapText="1"/>
    </xf>
    <xf numFmtId="0" fontId="81" fillId="0" borderId="16" xfId="0" applyFont="1" applyBorder="1" applyAlignment="1">
      <alignment horizontal="center" vertical="center" wrapText="1"/>
    </xf>
    <xf numFmtId="0" fontId="81" fillId="0" borderId="15" xfId="0" applyFont="1" applyBorder="1" applyAlignment="1">
      <alignment horizontal="center" vertical="center" wrapText="1"/>
    </xf>
    <xf numFmtId="0" fontId="83" fillId="0" borderId="43" xfId="0" applyFont="1" applyBorder="1" applyAlignment="1">
      <alignment horizontal="center" vertical="center" wrapText="1" readingOrder="1"/>
    </xf>
    <xf numFmtId="0" fontId="81" fillId="0" borderId="17" xfId="0" applyFont="1" applyBorder="1" applyAlignment="1">
      <alignment horizontal="center" vertical="center" wrapText="1"/>
    </xf>
    <xf numFmtId="0" fontId="81" fillId="0" borderId="18" xfId="0" applyFont="1" applyBorder="1" applyAlignment="1">
      <alignment horizontal="center" vertical="center" wrapText="1"/>
    </xf>
    <xf numFmtId="0" fontId="81" fillId="0" borderId="44" xfId="0" applyFont="1" applyBorder="1" applyAlignment="1">
      <alignment horizontal="center" vertical="center" wrapText="1" readingOrder="1"/>
    </xf>
    <xf numFmtId="0" fontId="81" fillId="0" borderId="0" xfId="0" applyFont="1" applyAlignment="1">
      <alignment vertical="center"/>
    </xf>
    <xf numFmtId="9" fontId="81" fillId="0" borderId="0" xfId="2" applyFont="1" applyAlignment="1">
      <alignment vertical="center"/>
    </xf>
    <xf numFmtId="0" fontId="6" fillId="3" borderId="0" xfId="0" quotePrefix="1" applyFont="1" applyFill="1" applyAlignment="1">
      <alignment horizontal="right" vertical="center"/>
    </xf>
    <xf numFmtId="0" fontId="63" fillId="0" borderId="1" xfId="0" quotePrefix="1" applyFont="1" applyBorder="1" applyAlignment="1">
      <alignment horizontal="center" vertical="center"/>
    </xf>
    <xf numFmtId="0" fontId="12" fillId="11" borderId="1" xfId="0" quotePrefix="1" applyFont="1" applyFill="1" applyBorder="1" applyAlignment="1">
      <alignment horizontal="center" vertical="center"/>
    </xf>
    <xf numFmtId="0" fontId="12" fillId="11" borderId="1" xfId="0" quotePrefix="1" applyFont="1" applyFill="1" applyBorder="1" applyAlignment="1">
      <alignment horizontal="right" vertical="center"/>
    </xf>
    <xf numFmtId="43" fontId="17" fillId="0" borderId="1" xfId="0" quotePrefix="1" applyNumberFormat="1" applyFont="1" applyBorder="1" applyAlignment="1">
      <alignment horizontal="right" vertical="center"/>
    </xf>
    <xf numFmtId="174" fontId="63" fillId="11" borderId="1" xfId="0" applyNumberFormat="1" applyFont="1" applyFill="1" applyBorder="1" applyAlignment="1">
      <alignment horizontal="center" vertical="center" wrapText="1"/>
    </xf>
    <xf numFmtId="0" fontId="115" fillId="16" borderId="1" xfId="0" applyFont="1" applyFill="1" applyBorder="1" applyAlignment="1">
      <alignment horizontal="center" vertical="center" wrapText="1"/>
    </xf>
    <xf numFmtId="0" fontId="115" fillId="11" borderId="1" xfId="0" applyFont="1" applyFill="1" applyBorder="1" applyAlignment="1">
      <alignment horizontal="left" vertical="center"/>
    </xf>
    <xf numFmtId="0" fontId="115" fillId="11" borderId="1" xfId="0" applyFont="1" applyFill="1" applyBorder="1" applyAlignment="1">
      <alignment horizontal="left" vertical="center" wrapText="1"/>
    </xf>
    <xf numFmtId="0" fontId="115" fillId="0" borderId="1" xfId="0" applyFont="1" applyBorder="1" applyAlignment="1">
      <alignment horizontal="left" vertical="center" wrapText="1"/>
    </xf>
    <xf numFmtId="0" fontId="116" fillId="11" borderId="1" xfId="0" applyFont="1" applyFill="1" applyBorder="1" applyAlignment="1">
      <alignment horizontal="left" vertical="center"/>
    </xf>
    <xf numFmtId="0" fontId="116" fillId="11" borderId="1" xfId="0" applyFont="1" applyFill="1" applyBorder="1" applyAlignment="1">
      <alignment horizontal="center" vertical="center"/>
    </xf>
    <xf numFmtId="0" fontId="115" fillId="11" borderId="1" xfId="0" applyFont="1" applyFill="1" applyBorder="1" applyAlignment="1">
      <alignment horizontal="center" vertical="center"/>
    </xf>
    <xf numFmtId="0" fontId="115" fillId="0" borderId="1" xfId="0" applyFont="1" applyBorder="1" applyAlignment="1">
      <alignment vertical="center" wrapText="1"/>
    </xf>
    <xf numFmtId="0" fontId="115" fillId="0" borderId="27" xfId="0" applyFont="1" applyBorder="1" applyAlignment="1">
      <alignment vertical="center" wrapText="1"/>
    </xf>
    <xf numFmtId="0" fontId="115" fillId="3" borderId="1" xfId="61" applyFont="1" applyFill="1" applyBorder="1" applyAlignment="1">
      <alignment horizontal="center" vertical="center" wrapText="1"/>
    </xf>
    <xf numFmtId="0" fontId="33" fillId="0" borderId="0" xfId="108" applyFont="1" applyAlignment="1">
      <alignment vertical="center" wrapText="1"/>
    </xf>
    <xf numFmtId="0" fontId="39" fillId="3" borderId="0" xfId="108" applyFont="1" applyFill="1" applyAlignment="1">
      <alignment horizontal="right" vertical="center" wrapText="1"/>
    </xf>
    <xf numFmtId="0" fontId="46" fillId="3" borderId="6" xfId="108" applyFont="1" applyFill="1" applyBorder="1" applyAlignment="1">
      <alignment horizontal="center" vertical="center" wrapText="1"/>
    </xf>
    <xf numFmtId="0" fontId="46" fillId="3" borderId="7" xfId="108" applyFont="1" applyFill="1" applyBorder="1" applyAlignment="1">
      <alignment horizontal="left" vertical="center" wrapText="1"/>
    </xf>
    <xf numFmtId="0" fontId="41" fillId="3" borderId="0" xfId="108" applyFont="1" applyFill="1" applyAlignment="1">
      <alignment horizontal="right" vertical="center" wrapText="1"/>
    </xf>
    <xf numFmtId="0" fontId="39" fillId="3" borderId="0" xfId="108" applyFont="1" applyFill="1" applyAlignment="1">
      <alignment horizontal="left" vertical="center" wrapText="1"/>
    </xf>
    <xf numFmtId="0" fontId="40" fillId="3" borderId="0" xfId="108" applyFont="1" applyFill="1" applyAlignment="1">
      <alignment horizontal="left" vertical="center" wrapText="1"/>
    </xf>
    <xf numFmtId="0" fontId="40" fillId="0" borderId="0" xfId="108" applyFont="1" applyAlignment="1">
      <alignment horizontal="center" vertical="center" wrapText="1"/>
    </xf>
    <xf numFmtId="0" fontId="40" fillId="3" borderId="0" xfId="108" applyFont="1" applyFill="1" applyAlignment="1">
      <alignment horizontal="center" vertical="center" wrapText="1"/>
    </xf>
    <xf numFmtId="15" fontId="40" fillId="3" borderId="0" xfId="108" applyNumberFormat="1" applyFont="1" applyFill="1" applyAlignment="1">
      <alignment horizontal="center" vertical="center" wrapText="1"/>
    </xf>
    <xf numFmtId="171" fontId="39" fillId="3" borderId="0" xfId="108" applyNumberFormat="1" applyFont="1" applyFill="1" applyAlignment="1">
      <alignment horizontal="center" vertical="center" wrapText="1"/>
    </xf>
    <xf numFmtId="171" fontId="40" fillId="3" borderId="0" xfId="108" applyNumberFormat="1" applyFont="1" applyFill="1" applyAlignment="1">
      <alignment horizontal="center" vertical="center" wrapText="1"/>
    </xf>
    <xf numFmtId="0" fontId="47" fillId="3" borderId="0" xfId="108" applyFont="1" applyFill="1" applyAlignment="1">
      <alignment horizontal="left" vertical="center" wrapText="1"/>
    </xf>
    <xf numFmtId="0" fontId="46" fillId="3" borderId="0" xfId="108" applyFont="1" applyFill="1" applyAlignment="1">
      <alignment horizontal="center" vertical="center" wrapText="1"/>
    </xf>
    <xf numFmtId="0" fontId="46" fillId="3" borderId="0" xfId="108" applyFont="1" applyFill="1" applyAlignment="1">
      <alignment horizontal="left" vertical="center" wrapText="1"/>
    </xf>
    <xf numFmtId="43" fontId="46" fillId="3" borderId="6" xfId="109" applyFont="1" applyFill="1" applyBorder="1" applyAlignment="1">
      <alignment horizontal="center" vertical="center" wrapText="1"/>
    </xf>
    <xf numFmtId="43" fontId="46" fillId="3" borderId="7" xfId="109" applyFont="1" applyFill="1" applyBorder="1" applyAlignment="1">
      <alignment horizontal="left" vertical="center" wrapText="1"/>
    </xf>
    <xf numFmtId="0" fontId="32" fillId="3" borderId="0" xfId="108" applyFont="1" applyFill="1" applyAlignment="1">
      <alignment vertical="center" wrapText="1"/>
    </xf>
    <xf numFmtId="0" fontId="35" fillId="3" borderId="0" xfId="108" applyFont="1" applyFill="1" applyAlignment="1">
      <alignment horizontal="left" vertical="center" wrapText="1"/>
    </xf>
    <xf numFmtId="171" fontId="44" fillId="3" borderId="0" xfId="108" applyNumberFormat="1" applyFont="1" applyFill="1" applyAlignment="1">
      <alignment horizontal="center" vertical="center" wrapText="1"/>
    </xf>
    <xf numFmtId="171" fontId="48" fillId="3" borderId="0" xfId="108" applyNumberFormat="1" applyFont="1" applyFill="1" applyAlignment="1">
      <alignment horizontal="center" vertical="center" wrapText="1"/>
    </xf>
    <xf numFmtId="171" fontId="49" fillId="3" borderId="0" xfId="108" applyNumberFormat="1" applyFont="1" applyFill="1" applyAlignment="1">
      <alignment horizontal="center" vertical="center" wrapText="1"/>
    </xf>
    <xf numFmtId="0" fontId="33" fillId="3" borderId="0" xfId="108" applyFont="1" applyFill="1" applyAlignment="1">
      <alignment horizontal="center" vertical="center" wrapText="1"/>
    </xf>
    <xf numFmtId="0" fontId="32" fillId="3" borderId="0" xfId="108" applyFont="1" applyFill="1" applyAlignment="1">
      <alignment horizontal="center" vertical="center" wrapText="1"/>
    </xf>
    <xf numFmtId="0" fontId="32" fillId="3" borderId="0" xfId="108" applyFont="1" applyFill="1" applyAlignment="1">
      <alignment horizontal="left" vertical="center" wrapText="1"/>
    </xf>
    <xf numFmtId="0" fontId="32" fillId="0" borderId="0" xfId="108" applyFont="1" applyAlignment="1">
      <alignment vertical="center" wrapText="1"/>
    </xf>
    <xf numFmtId="0" fontId="33" fillId="3" borderId="0" xfId="108" applyFont="1" applyFill="1" applyAlignment="1">
      <alignment vertical="center"/>
    </xf>
    <xf numFmtId="0" fontId="39" fillId="3" borderId="0" xfId="108" applyFont="1" applyFill="1" applyAlignment="1">
      <alignment horizontal="center" vertical="center" wrapText="1"/>
    </xf>
    <xf numFmtId="15" fontId="39" fillId="3" borderId="0" xfId="108" applyNumberFormat="1" applyFont="1" applyFill="1" applyAlignment="1">
      <alignment horizontal="center" vertical="center" wrapText="1"/>
    </xf>
    <xf numFmtId="0" fontId="33" fillId="3" borderId="0" xfId="108" applyFont="1" applyFill="1" applyAlignment="1">
      <alignment horizontal="center" vertical="center"/>
    </xf>
    <xf numFmtId="0" fontId="33" fillId="3" borderId="0" xfId="108" applyFont="1" applyFill="1" applyAlignment="1">
      <alignment horizontal="left" vertical="center" wrapText="1"/>
    </xf>
    <xf numFmtId="0" fontId="33" fillId="0" borderId="0" xfId="108" applyFont="1" applyAlignment="1">
      <alignment vertical="center"/>
    </xf>
    <xf numFmtId="0" fontId="33" fillId="3" borderId="0" xfId="108" applyFont="1" applyFill="1" applyAlignment="1">
      <alignment vertical="center" wrapText="1"/>
    </xf>
    <xf numFmtId="0" fontId="39" fillId="0" borderId="0" xfId="108" applyFont="1" applyAlignment="1">
      <alignment horizontal="center" vertical="center" wrapText="1"/>
    </xf>
    <xf numFmtId="164" fontId="45" fillId="3" borderId="0" xfId="108" applyNumberFormat="1" applyFont="1" applyFill="1" applyAlignment="1">
      <alignment horizontal="center" vertical="center" wrapText="1"/>
    </xf>
    <xf numFmtId="15" fontId="45" fillId="3" borderId="0" xfId="108" applyNumberFormat="1" applyFont="1" applyFill="1" applyAlignment="1">
      <alignment horizontal="center" vertical="center" wrapText="1"/>
    </xf>
    <xf numFmtId="171" fontId="45" fillId="3" borderId="0" xfId="108" applyNumberFormat="1" applyFont="1" applyFill="1" applyAlignment="1">
      <alignment horizontal="center" vertical="center" wrapText="1"/>
    </xf>
    <xf numFmtId="171" fontId="39" fillId="13" borderId="0" xfId="108" applyNumberFormat="1" applyFont="1" applyFill="1" applyAlignment="1">
      <alignment horizontal="center" vertical="center" wrapText="1"/>
    </xf>
    <xf numFmtId="0" fontId="39" fillId="13" borderId="2" xfId="108" applyFont="1" applyFill="1" applyBorder="1" applyAlignment="1">
      <alignment horizontal="center" vertical="center"/>
    </xf>
    <xf numFmtId="0" fontId="42" fillId="0" borderId="1" xfId="108" applyFont="1" applyBorder="1" applyAlignment="1">
      <alignment horizontal="center" vertical="center" wrapText="1"/>
    </xf>
    <xf numFmtId="0" fontId="42" fillId="0" borderId="1" xfId="108" applyFont="1" applyBorder="1" applyAlignment="1">
      <alignment horizontal="left" vertical="center" wrapText="1"/>
    </xf>
    <xf numFmtId="15" fontId="42" fillId="0" borderId="1" xfId="108" applyNumberFormat="1" applyFont="1" applyBorder="1" applyAlignment="1">
      <alignment horizontal="center" vertical="center" wrapText="1"/>
    </xf>
    <xf numFmtId="171" fontId="42" fillId="0" borderId="1" xfId="108" applyNumberFormat="1" applyFont="1" applyBorder="1" applyAlignment="1">
      <alignment horizontal="center" vertical="center" wrapText="1"/>
    </xf>
    <xf numFmtId="43" fontId="42" fillId="3" borderId="1" xfId="109" applyFont="1" applyFill="1" applyBorder="1" applyAlignment="1">
      <alignment horizontal="center" vertical="center" wrapText="1"/>
    </xf>
    <xf numFmtId="43" fontId="42" fillId="7" borderId="1" xfId="108" applyNumberFormat="1" applyFont="1" applyFill="1" applyBorder="1" applyAlignment="1">
      <alignment horizontal="center" vertical="center" wrapText="1"/>
    </xf>
    <xf numFmtId="0" fontId="1" fillId="0" borderId="0" xfId="108"/>
    <xf numFmtId="0" fontId="42" fillId="0" borderId="1" xfId="108" applyFont="1" applyBorder="1" applyAlignment="1">
      <alignment vertical="center" wrapText="1"/>
    </xf>
    <xf numFmtId="0" fontId="42" fillId="3" borderId="1" xfId="108" applyFont="1" applyFill="1" applyBorder="1" applyAlignment="1">
      <alignment horizontal="left" vertical="center" wrapText="1"/>
    </xf>
    <xf numFmtId="0" fontId="42" fillId="3" borderId="1" xfId="108" applyFont="1" applyFill="1" applyBorder="1" applyAlignment="1">
      <alignment horizontal="center" vertical="center" wrapText="1"/>
    </xf>
    <xf numFmtId="173" fontId="42" fillId="3" borderId="1" xfId="108" applyNumberFormat="1" applyFont="1" applyFill="1" applyBorder="1" applyAlignment="1">
      <alignment horizontal="center" vertical="center" wrapText="1"/>
    </xf>
    <xf numFmtId="0" fontId="42" fillId="0" borderId="1" xfId="108" applyFont="1" applyBorder="1" applyAlignment="1">
      <alignment horizontal="left" vertical="top" wrapText="1"/>
    </xf>
    <xf numFmtId="174" fontId="42" fillId="0" borderId="1" xfId="108" applyNumberFormat="1" applyFont="1" applyBorder="1" applyAlignment="1">
      <alignment horizontal="center" vertical="center"/>
    </xf>
    <xf numFmtId="0" fontId="43" fillId="0" borderId="1" xfId="108" applyFont="1" applyBorder="1" applyAlignment="1">
      <alignment horizontal="left" vertical="center" wrapText="1"/>
    </xf>
    <xf numFmtId="0" fontId="43" fillId="0" borderId="1" xfId="108" applyFont="1" applyBorder="1" applyAlignment="1">
      <alignment horizontal="center" vertical="center" wrapText="1"/>
    </xf>
    <xf numFmtId="171" fontId="43" fillId="0" borderId="1" xfId="108" applyNumberFormat="1" applyFont="1" applyBorder="1" applyAlignment="1">
      <alignment horizontal="center" vertical="center" wrapText="1"/>
    </xf>
    <xf numFmtId="43" fontId="43" fillId="3" borderId="1" xfId="109" applyFont="1" applyFill="1" applyBorder="1" applyAlignment="1">
      <alignment horizontal="center" vertical="center" wrapText="1"/>
    </xf>
    <xf numFmtId="43" fontId="43" fillId="7" borderId="1" xfId="108" applyNumberFormat="1" applyFont="1" applyFill="1" applyBorder="1" applyAlignment="1">
      <alignment horizontal="center" vertical="center" wrapText="1"/>
    </xf>
    <xf numFmtId="174" fontId="42" fillId="0" borderId="1" xfId="108" applyNumberFormat="1" applyFont="1" applyBorder="1" applyAlignment="1">
      <alignment horizontal="center" vertical="center" wrapText="1"/>
    </xf>
    <xf numFmtId="0" fontId="38" fillId="0" borderId="0" xfId="108" applyFont="1"/>
    <xf numFmtId="171" fontId="42" fillId="0" borderId="1" xfId="108" quotePrefix="1" applyNumberFormat="1" applyFont="1" applyBorder="1" applyAlignment="1">
      <alignment horizontal="center" vertical="center" wrapText="1"/>
    </xf>
    <xf numFmtId="0" fontId="50" fillId="13" borderId="0" xfId="108" applyFont="1" applyFill="1" applyAlignment="1">
      <alignment horizontal="center" vertical="center" wrapText="1"/>
    </xf>
    <xf numFmtId="15" fontId="50" fillId="13" borderId="0" xfId="108" applyNumberFormat="1" applyFont="1" applyFill="1" applyAlignment="1">
      <alignment horizontal="center" vertical="center" wrapText="1"/>
    </xf>
    <xf numFmtId="171" fontId="50" fillId="13" borderId="0" xfId="108" applyNumberFormat="1" applyFont="1" applyFill="1" applyAlignment="1">
      <alignment horizontal="center" vertical="center" wrapText="1"/>
    </xf>
    <xf numFmtId="171" fontId="50" fillId="14" borderId="0" xfId="108" applyNumberFormat="1" applyFont="1" applyFill="1" applyAlignment="1">
      <alignment horizontal="center" vertical="center" wrapText="1"/>
    </xf>
    <xf numFmtId="0" fontId="42" fillId="3" borderId="1" xfId="108" applyFont="1" applyFill="1" applyBorder="1" applyAlignment="1">
      <alignment vertical="center" wrapText="1"/>
    </xf>
    <xf numFmtId="0" fontId="42" fillId="3" borderId="1" xfId="108" applyFont="1" applyFill="1" applyBorder="1" applyAlignment="1">
      <alignment horizontal="center" vertical="center"/>
    </xf>
    <xf numFmtId="171" fontId="42" fillId="3" borderId="1" xfId="108" applyNumberFormat="1" applyFont="1" applyFill="1" applyBorder="1" applyAlignment="1">
      <alignment horizontal="center" vertical="center" wrapText="1"/>
    </xf>
    <xf numFmtId="0" fontId="42" fillId="0" borderId="1" xfId="108" applyFont="1" applyBorder="1" applyAlignment="1">
      <alignment horizontal="center" vertical="center"/>
    </xf>
    <xf numFmtId="171" fontId="42" fillId="0" borderId="2" xfId="108" applyNumberFormat="1" applyFont="1" applyBorder="1" applyAlignment="1">
      <alignment horizontal="center" vertical="center" wrapText="1"/>
    </xf>
    <xf numFmtId="0" fontId="43" fillId="0" borderId="0" xfId="108" applyFont="1" applyAlignment="1">
      <alignment horizontal="left" vertical="center" wrapText="1"/>
    </xf>
    <xf numFmtId="0" fontId="50" fillId="0" borderId="0" xfId="108" applyFont="1" applyAlignment="1">
      <alignment horizontal="center" vertical="center" wrapText="1"/>
    </xf>
    <xf numFmtId="0" fontId="50" fillId="0" borderId="0" xfId="108" applyFont="1" applyAlignment="1">
      <alignment horizontal="left" vertical="center" wrapText="1"/>
    </xf>
    <xf numFmtId="43" fontId="50" fillId="7" borderId="3" xfId="108" applyNumberFormat="1" applyFont="1" applyFill="1" applyBorder="1" applyAlignment="1">
      <alignment horizontal="center" vertical="center" wrapText="1"/>
    </xf>
    <xf numFmtId="0" fontId="35" fillId="0" borderId="0" xfId="108" applyFont="1" applyAlignment="1">
      <alignment horizontal="left" vertical="center" wrapText="1"/>
    </xf>
    <xf numFmtId="0" fontId="39" fillId="0" borderId="0" xfId="108" applyFont="1" applyAlignment="1">
      <alignment horizontal="left" vertical="center" wrapText="1"/>
    </xf>
    <xf numFmtId="15" fontId="39" fillId="0" borderId="0" xfId="108" applyNumberFormat="1" applyFont="1" applyAlignment="1">
      <alignment horizontal="center" vertical="center" wrapText="1"/>
    </xf>
    <xf numFmtId="171" fontId="39" fillId="0" borderId="0" xfId="108" applyNumberFormat="1" applyFont="1" applyAlignment="1">
      <alignment horizontal="center" vertical="center" wrapText="1"/>
    </xf>
    <xf numFmtId="0" fontId="33" fillId="0" borderId="0" xfId="108" applyFont="1" applyAlignment="1">
      <alignment horizontal="center" vertical="center" wrapText="1"/>
    </xf>
    <xf numFmtId="0" fontId="33" fillId="0" borderId="0" xfId="108" applyFont="1" applyAlignment="1">
      <alignment horizontal="left" vertical="center" wrapText="1"/>
    </xf>
    <xf numFmtId="0" fontId="30" fillId="0" borderId="0" xfId="108" applyFont="1" applyAlignment="1">
      <alignment vertical="center" wrapText="1"/>
    </xf>
    <xf numFmtId="164" fontId="33" fillId="0" borderId="0" xfId="108" applyNumberFormat="1" applyFont="1" applyAlignment="1">
      <alignment horizontal="center" vertical="center" wrapText="1"/>
    </xf>
    <xf numFmtId="171" fontId="35" fillId="0" borderId="0" xfId="108" applyNumberFormat="1" applyFont="1" applyAlignment="1">
      <alignment horizontal="center" vertical="center" wrapText="1"/>
    </xf>
    <xf numFmtId="171" fontId="35" fillId="3" borderId="0" xfId="108" applyNumberFormat="1" applyFont="1" applyFill="1" applyAlignment="1">
      <alignment horizontal="center" vertical="center" wrapText="1"/>
    </xf>
    <xf numFmtId="171" fontId="34" fillId="0" borderId="0" xfId="108" applyNumberFormat="1" applyFont="1" applyAlignment="1">
      <alignment horizontal="center" vertical="center" wrapText="1"/>
    </xf>
    <xf numFmtId="172" fontId="71" fillId="0" borderId="18" xfId="0" applyNumberFormat="1" applyFont="1" applyBorder="1" applyAlignment="1">
      <alignment vertical="center" wrapText="1"/>
    </xf>
    <xf numFmtId="174" fontId="71" fillId="0" borderId="1" xfId="0" applyNumberFormat="1" applyFont="1" applyBorder="1" applyAlignment="1">
      <alignment horizontal="center" vertical="center" wrapText="1"/>
    </xf>
    <xf numFmtId="0" fontId="71" fillId="16" borderId="1" xfId="0" applyFont="1" applyFill="1" applyBorder="1" applyAlignment="1">
      <alignment horizontal="center" vertical="center" wrapText="1"/>
    </xf>
    <xf numFmtId="0" fontId="71" fillId="3" borderId="1" xfId="61" applyFont="1" applyFill="1" applyBorder="1" applyAlignment="1">
      <alignment horizontal="center" vertical="center" wrapText="1"/>
    </xf>
    <xf numFmtId="22" fontId="71" fillId="11" borderId="1" xfId="0" applyNumberFormat="1" applyFont="1" applyFill="1" applyBorder="1" applyAlignment="1">
      <alignment horizontal="center" vertical="center" wrapText="1"/>
    </xf>
    <xf numFmtId="22" fontId="71" fillId="11" borderId="7" xfId="0" applyNumberFormat="1" applyFont="1" applyFill="1" applyBorder="1" applyAlignment="1">
      <alignment horizontal="center" vertical="center" wrapText="1"/>
    </xf>
    <xf numFmtId="0" fontId="71" fillId="11" borderId="1" xfId="0" applyFont="1" applyFill="1" applyBorder="1" applyAlignment="1">
      <alignment horizontal="left" vertical="center" wrapText="1"/>
    </xf>
    <xf numFmtId="0" fontId="63" fillId="42" borderId="1" xfId="0" applyFont="1" applyFill="1" applyBorder="1" applyAlignment="1">
      <alignment horizontal="center" vertical="center"/>
    </xf>
    <xf numFmtId="22" fontId="63" fillId="43" borderId="1" xfId="0" applyNumberFormat="1" applyFont="1" applyFill="1" applyBorder="1" applyAlignment="1">
      <alignment horizontal="center" vertical="center" wrapText="1"/>
    </xf>
    <xf numFmtId="22" fontId="63" fillId="43" borderId="7" xfId="0" applyNumberFormat="1" applyFont="1" applyFill="1" applyBorder="1" applyAlignment="1">
      <alignment horizontal="center" vertical="center" wrapText="1"/>
    </xf>
    <xf numFmtId="22" fontId="63" fillId="43" borderId="6" xfId="0" applyNumberFormat="1" applyFont="1" applyFill="1" applyBorder="1" applyAlignment="1">
      <alignment horizontal="center" vertical="center" wrapText="1"/>
    </xf>
    <xf numFmtId="0" fontId="63" fillId="42" borderId="1" xfId="61" applyFont="1" applyFill="1" applyBorder="1" applyAlignment="1">
      <alignment horizontal="center" vertical="center" wrapText="1"/>
    </xf>
    <xf numFmtId="0" fontId="63" fillId="42" borderId="1" xfId="0" applyFont="1" applyFill="1" applyBorder="1" applyAlignment="1">
      <alignment horizontal="left" vertical="center" wrapText="1"/>
    </xf>
    <xf numFmtId="172" fontId="63" fillId="42" borderId="1" xfId="1" applyNumberFormat="1" applyFont="1" applyFill="1" applyBorder="1" applyAlignment="1">
      <alignment horizontal="right" vertical="center" wrapText="1"/>
    </xf>
    <xf numFmtId="178" fontId="63" fillId="42" borderId="1" xfId="0" applyNumberFormat="1" applyFont="1" applyFill="1" applyBorder="1" applyAlignment="1">
      <alignment horizontal="center" vertical="center" wrapText="1"/>
    </xf>
    <xf numFmtId="22" fontId="63" fillId="42" borderId="1" xfId="0" applyNumberFormat="1" applyFont="1" applyFill="1" applyBorder="1" applyAlignment="1">
      <alignment horizontal="center" vertical="center" wrapText="1"/>
    </xf>
    <xf numFmtId="174" fontId="63" fillId="42" borderId="1" xfId="0" applyNumberFormat="1" applyFont="1" applyFill="1" applyBorder="1" applyAlignment="1">
      <alignment horizontal="left" vertical="center" wrapText="1"/>
    </xf>
    <xf numFmtId="174" fontId="63" fillId="42" borderId="1" xfId="0" applyNumberFormat="1" applyFont="1" applyFill="1" applyBorder="1" applyAlignment="1">
      <alignment horizontal="center" vertical="center" wrapText="1"/>
    </xf>
    <xf numFmtId="43" fontId="63" fillId="42" borderId="1" xfId="1" applyFont="1" applyFill="1" applyBorder="1" applyAlignment="1">
      <alignment horizontal="right" vertical="center" wrapText="1"/>
    </xf>
    <xf numFmtId="43" fontId="64" fillId="42" borderId="26" xfId="61" applyNumberFormat="1" applyFont="1" applyFill="1" applyBorder="1" applyAlignment="1">
      <alignment horizontal="center" vertical="center" wrapText="1"/>
    </xf>
    <xf numFmtId="1" fontId="63" fillId="42" borderId="1" xfId="0" applyNumberFormat="1" applyFont="1" applyFill="1" applyBorder="1" applyAlignment="1">
      <alignment horizontal="center" vertical="center" wrapText="1" shrinkToFit="1"/>
    </xf>
    <xf numFmtId="164" fontId="63" fillId="42" borderId="1" xfId="0" applyNumberFormat="1" applyFont="1" applyFill="1" applyBorder="1" applyAlignment="1">
      <alignment horizontal="center" vertical="center" wrapText="1" shrinkToFit="1"/>
    </xf>
    <xf numFmtId="1" fontId="63" fillId="42" borderId="3" xfId="0" applyNumberFormat="1" applyFont="1" applyFill="1" applyBorder="1" applyAlignment="1">
      <alignment horizontal="center" vertical="center" wrapText="1" shrinkToFit="1"/>
    </xf>
    <xf numFmtId="0" fontId="63" fillId="42" borderId="18" xfId="0" applyFont="1" applyFill="1" applyBorder="1" applyAlignment="1">
      <alignment vertical="center" wrapText="1"/>
    </xf>
    <xf numFmtId="0" fontId="63" fillId="42" borderId="5" xfId="0" applyFont="1" applyFill="1" applyBorder="1" applyAlignment="1">
      <alignment horizontal="center" vertical="center"/>
    </xf>
    <xf numFmtId="20" fontId="63" fillId="42" borderId="1" xfId="0" applyNumberFormat="1" applyFont="1" applyFill="1" applyBorder="1" applyAlignment="1">
      <alignment horizontal="center" vertical="center" wrapText="1"/>
    </xf>
    <xf numFmtId="174" fontId="63" fillId="42" borderId="1" xfId="0" quotePrefix="1" applyNumberFormat="1" applyFont="1" applyFill="1" applyBorder="1" applyAlignment="1">
      <alignment horizontal="center" vertical="center" wrapText="1"/>
    </xf>
    <xf numFmtId="0" fontId="63" fillId="3" borderId="18" xfId="0" applyFont="1" applyFill="1" applyBorder="1" applyAlignment="1">
      <alignment vertical="center" wrapText="1"/>
    </xf>
    <xf numFmtId="15" fontId="42" fillId="42" borderId="1" xfId="108" applyNumberFormat="1" applyFont="1" applyFill="1" applyBorder="1" applyAlignment="1">
      <alignment horizontal="center" vertical="center" wrapText="1"/>
    </xf>
    <xf numFmtId="171" fontId="42" fillId="42" borderId="1" xfId="108" applyNumberFormat="1" applyFont="1" applyFill="1" applyBorder="1" applyAlignment="1">
      <alignment horizontal="center" vertical="center" wrapText="1"/>
    </xf>
    <xf numFmtId="0" fontId="63" fillId="2" borderId="1" xfId="61" applyFont="1" applyFill="1" applyBorder="1" applyAlignment="1">
      <alignment horizontal="center" vertical="center" wrapText="1"/>
    </xf>
    <xf numFmtId="49" fontId="63" fillId="2" borderId="1" xfId="61" applyNumberFormat="1" applyFont="1" applyFill="1" applyBorder="1" applyAlignment="1">
      <alignment horizontal="center" vertical="center" wrapText="1"/>
    </xf>
    <xf numFmtId="0" fontId="63" fillId="2" borderId="2" xfId="61" applyFont="1" applyFill="1" applyBorder="1" applyAlignment="1">
      <alignment horizontal="left" vertical="center" wrapText="1"/>
    </xf>
    <xf numFmtId="0" fontId="63" fillId="2" borderId="3" xfId="61" applyFont="1" applyFill="1" applyBorder="1" applyAlignment="1">
      <alignment horizontal="left" vertical="center" wrapText="1"/>
    </xf>
    <xf numFmtId="0" fontId="63" fillId="2" borderId="2" xfId="61" applyFont="1" applyFill="1" applyBorder="1" applyAlignment="1">
      <alignment horizontal="right" vertical="center" wrapText="1"/>
    </xf>
    <xf numFmtId="0" fontId="63" fillId="2" borderId="3" xfId="61" applyFont="1" applyFill="1" applyBorder="1" applyAlignment="1">
      <alignment horizontal="right" vertical="center" wrapText="1"/>
    </xf>
    <xf numFmtId="0" fontId="63" fillId="2" borderId="5" xfId="61" applyFont="1" applyFill="1" applyBorder="1" applyAlignment="1">
      <alignment horizontal="center" vertical="center" wrapText="1"/>
    </xf>
    <xf numFmtId="0" fontId="63" fillId="2" borderId="6" xfId="61" applyFont="1" applyFill="1" applyBorder="1" applyAlignment="1">
      <alignment horizontal="center" vertical="center" wrapText="1"/>
    </xf>
    <xf numFmtId="0" fontId="63" fillId="2" borderId="7" xfId="61" applyFont="1" applyFill="1" applyBorder="1" applyAlignment="1">
      <alignment horizontal="center" vertical="center" wrapText="1"/>
    </xf>
    <xf numFmtId="164" fontId="63" fillId="2" borderId="6" xfId="61" applyNumberFormat="1" applyFont="1" applyFill="1" applyBorder="1" applyAlignment="1">
      <alignment horizontal="center" vertical="center" wrapText="1"/>
    </xf>
    <xf numFmtId="0" fontId="63" fillId="2" borderId="7" xfId="61" applyFont="1" applyFill="1" applyBorder="1" applyAlignment="1">
      <alignment horizontal="left" vertical="center" wrapText="1"/>
    </xf>
    <xf numFmtId="22" fontId="63" fillId="15" borderId="6" xfId="0" applyNumberFormat="1" applyFont="1" applyFill="1" applyBorder="1" applyAlignment="1">
      <alignment horizontal="center" vertical="center" wrapText="1"/>
    </xf>
    <xf numFmtId="0" fontId="64" fillId="15" borderId="6" xfId="61" applyFont="1" applyFill="1" applyBorder="1" applyAlignment="1">
      <alignment horizontal="center" vertical="center"/>
    </xf>
    <xf numFmtId="0" fontId="64" fillId="0" borderId="0" xfId="0" applyFont="1" applyAlignment="1">
      <alignment horizontal="right" vertical="center" wrapText="1"/>
    </xf>
    <xf numFmtId="0" fontId="64" fillId="0" borderId="3" xfId="0" applyFont="1" applyBorder="1" applyAlignment="1">
      <alignment horizontal="right" vertical="center" wrapText="1"/>
    </xf>
    <xf numFmtId="0" fontId="64" fillId="0" borderId="1" xfId="0" applyFont="1" applyBorder="1" applyAlignment="1">
      <alignment horizontal="right" vertical="center" wrapText="1"/>
    </xf>
    <xf numFmtId="0" fontId="64" fillId="0" borderId="1" xfId="0" applyFont="1" applyBorder="1" applyAlignment="1">
      <alignment horizontal="center" vertical="center" wrapText="1"/>
    </xf>
    <xf numFmtId="164" fontId="64" fillId="0" borderId="1" xfId="0" applyNumberFormat="1" applyFont="1" applyBorder="1" applyAlignment="1">
      <alignment horizontal="center" vertical="center" wrapText="1"/>
    </xf>
    <xf numFmtId="0" fontId="63" fillId="2" borderId="1" xfId="61" applyFont="1" applyFill="1" applyBorder="1" applyAlignment="1">
      <alignment horizontal="left" vertical="center" wrapText="1"/>
    </xf>
    <xf numFmtId="164" fontId="63" fillId="2" borderId="1" xfId="61" applyNumberFormat="1" applyFont="1" applyFill="1" applyBorder="1" applyAlignment="1">
      <alignment horizontal="center" vertical="center" wrapText="1"/>
    </xf>
    <xf numFmtId="175" fontId="63" fillId="2" borderId="1" xfId="61" applyNumberFormat="1" applyFont="1" applyFill="1" applyBorder="1" applyAlignment="1">
      <alignment horizontal="center" vertical="center" wrapText="1"/>
    </xf>
    <xf numFmtId="22" fontId="63" fillId="2" borderId="6" xfId="61" applyNumberFormat="1" applyFont="1" applyFill="1" applyBorder="1" applyAlignment="1">
      <alignment horizontal="center" vertical="center" wrapText="1"/>
    </xf>
    <xf numFmtId="174" fontId="63" fillId="2" borderId="1" xfId="61" applyNumberFormat="1" applyFont="1" applyFill="1" applyBorder="1" applyAlignment="1">
      <alignment horizontal="center" vertical="center" wrapText="1"/>
    </xf>
    <xf numFmtId="174" fontId="63" fillId="2" borderId="7" xfId="61" applyNumberFormat="1" applyFont="1" applyFill="1" applyBorder="1" applyAlignment="1">
      <alignment horizontal="center" vertical="center" wrapText="1"/>
    </xf>
    <xf numFmtId="1" fontId="63" fillId="2" borderId="1" xfId="61" applyNumberFormat="1" applyFont="1" applyFill="1" applyBorder="1" applyAlignment="1">
      <alignment horizontal="center" vertical="center" wrapText="1"/>
    </xf>
    <xf numFmtId="0" fontId="42" fillId="3" borderId="0" xfId="0" applyFont="1" applyFill="1" applyAlignment="1">
      <alignment horizontal="right" vertical="center" wrapText="1"/>
    </xf>
    <xf numFmtId="0" fontId="42" fillId="3" borderId="17" xfId="0" applyFont="1" applyFill="1" applyBorder="1" applyAlignment="1">
      <alignment horizontal="right" vertical="center" wrapText="1"/>
    </xf>
    <xf numFmtId="0" fontId="62" fillId="3" borderId="5" xfId="0" applyFont="1" applyFill="1" applyBorder="1" applyAlignment="1">
      <alignment vertical="center"/>
    </xf>
    <xf numFmtId="0" fontId="62" fillId="3" borderId="6" xfId="0" applyFont="1" applyFill="1" applyBorder="1" applyAlignment="1">
      <alignment vertical="center"/>
    </xf>
    <xf numFmtId="0" fontId="62" fillId="3" borderId="7" xfId="0" applyFont="1" applyFill="1" applyBorder="1" applyAlignment="1">
      <alignment vertical="center" wrapText="1"/>
    </xf>
    <xf numFmtId="164" fontId="42" fillId="3" borderId="0" xfId="0" applyNumberFormat="1" applyFont="1" applyFill="1" applyAlignment="1">
      <alignment horizontal="right" wrapText="1"/>
    </xf>
    <xf numFmtId="164" fontId="42" fillId="3" borderId="17" xfId="0" applyNumberFormat="1" applyFont="1" applyFill="1" applyBorder="1" applyAlignment="1">
      <alignment horizontal="right" wrapText="1"/>
    </xf>
    <xf numFmtId="4" fontId="62" fillId="0" borderId="5" xfId="0" applyNumberFormat="1" applyFont="1" applyBorder="1" applyAlignment="1">
      <alignment horizontal="left" vertical="center"/>
    </xf>
    <xf numFmtId="4" fontId="62" fillId="0" borderId="6" xfId="0" applyNumberFormat="1" applyFont="1" applyBorder="1" applyAlignment="1">
      <alignment horizontal="left" vertical="center"/>
    </xf>
    <xf numFmtId="168" fontId="62" fillId="3" borderId="5" xfId="0" applyNumberFormat="1" applyFont="1" applyFill="1" applyBorder="1" applyAlignment="1">
      <alignment horizontal="left" vertical="center"/>
    </xf>
    <xf numFmtId="168" fontId="62" fillId="3" borderId="6" xfId="0" applyNumberFormat="1" applyFont="1" applyFill="1" applyBorder="1" applyAlignment="1">
      <alignment horizontal="left" vertical="center"/>
    </xf>
    <xf numFmtId="168" fontId="62" fillId="3" borderId="7" xfId="0" applyNumberFormat="1" applyFont="1" applyFill="1" applyBorder="1" applyAlignment="1">
      <alignment horizontal="left" vertical="center" wrapText="1"/>
    </xf>
    <xf numFmtId="165" fontId="42" fillId="3" borderId="0" xfId="0" applyNumberFormat="1" applyFont="1" applyFill="1" applyAlignment="1">
      <alignment horizontal="right" vertical="center"/>
    </xf>
    <xf numFmtId="164" fontId="42" fillId="3" borderId="17" xfId="0" applyNumberFormat="1" applyFont="1" applyFill="1" applyBorder="1" applyAlignment="1">
      <alignment horizontal="right" vertical="center"/>
    </xf>
    <xf numFmtId="14" fontId="62" fillId="0" borderId="5" xfId="0" applyNumberFormat="1" applyFont="1" applyBorder="1" applyAlignment="1">
      <alignment horizontal="left" vertical="center"/>
    </xf>
    <xf numFmtId="0" fontId="62" fillId="0" borderId="6" xfId="0" applyFont="1" applyBorder="1" applyAlignment="1">
      <alignment horizontal="left" vertical="center"/>
    </xf>
    <xf numFmtId="17" fontId="68" fillId="0" borderId="6" xfId="0" applyNumberFormat="1" applyFont="1" applyBorder="1" applyAlignment="1">
      <alignment horizontal="center" vertical="center"/>
    </xf>
    <xf numFmtId="164" fontId="68" fillId="0" borderId="7" xfId="0" applyNumberFormat="1" applyFont="1" applyBorder="1" applyAlignment="1">
      <alignment horizontal="center" vertical="center"/>
    </xf>
    <xf numFmtId="0" fontId="42" fillId="3" borderId="0" xfId="0" applyFont="1" applyFill="1" applyAlignment="1">
      <alignment horizontal="center" vertical="center"/>
    </xf>
    <xf numFmtId="0" fontId="42" fillId="3" borderId="0" xfId="0" applyFont="1" applyFill="1" applyAlignment="1">
      <alignment horizontal="left" vertical="center"/>
    </xf>
    <xf numFmtId="167" fontId="54" fillId="3" borderId="0" xfId="61" applyNumberFormat="1" applyFont="1" applyFill="1" applyAlignment="1">
      <alignment horizontal="center" vertical="center" wrapText="1"/>
    </xf>
    <xf numFmtId="0" fontId="82" fillId="19" borderId="41" xfId="0" applyFont="1" applyFill="1" applyBorder="1" applyAlignment="1">
      <alignment horizontal="center" vertical="center" wrapText="1"/>
    </xf>
    <xf numFmtId="0" fontId="82" fillId="19" borderId="2" xfId="0" applyFont="1" applyFill="1" applyBorder="1" applyAlignment="1">
      <alignment horizontal="center" vertical="center" wrapText="1"/>
    </xf>
    <xf numFmtId="0" fontId="81" fillId="0" borderId="41" xfId="0" applyFont="1" applyBorder="1" applyAlignment="1">
      <alignment horizontal="center" vertical="center" wrapText="1"/>
    </xf>
    <xf numFmtId="0" fontId="81" fillId="0" borderId="2" xfId="0" applyFont="1" applyBorder="1" applyAlignment="1">
      <alignment horizontal="center" vertical="center" wrapText="1"/>
    </xf>
    <xf numFmtId="0" fontId="81" fillId="0" borderId="1" xfId="0" applyFont="1" applyBorder="1" applyAlignment="1">
      <alignment horizontal="center" vertical="center" wrapText="1"/>
    </xf>
    <xf numFmtId="0" fontId="81" fillId="0" borderId="3" xfId="0" applyFont="1" applyBorder="1" applyAlignment="1">
      <alignment horizontal="center" vertical="center" wrapText="1"/>
    </xf>
    <xf numFmtId="0" fontId="82" fillId="19" borderId="30" xfId="0" applyFont="1" applyFill="1" applyBorder="1" applyAlignment="1">
      <alignment horizontal="center" vertical="center" wrapText="1"/>
    </xf>
    <xf numFmtId="0" fontId="82" fillId="19" borderId="31" xfId="0" applyFont="1" applyFill="1" applyBorder="1" applyAlignment="1">
      <alignment horizontal="center" vertical="center" wrapText="1"/>
    </xf>
    <xf numFmtId="0" fontId="82" fillId="19" borderId="32" xfId="0" applyFont="1" applyFill="1" applyBorder="1" applyAlignment="1">
      <alignment horizontal="center" vertical="center" wrapText="1"/>
    </xf>
    <xf numFmtId="0" fontId="82" fillId="19" borderId="34" xfId="0" applyFont="1" applyFill="1" applyBorder="1" applyAlignment="1">
      <alignment horizontal="center" vertical="center" wrapText="1"/>
    </xf>
    <xf numFmtId="0" fontId="82" fillId="19" borderId="35" xfId="0" applyFont="1" applyFill="1" applyBorder="1" applyAlignment="1">
      <alignment horizontal="center" vertical="center" wrapText="1"/>
    </xf>
    <xf numFmtId="0" fontId="82" fillId="19" borderId="36" xfId="0" applyFont="1" applyFill="1" applyBorder="1" applyAlignment="1">
      <alignment horizontal="center" vertical="center" wrapText="1"/>
    </xf>
    <xf numFmtId="0" fontId="82" fillId="19" borderId="20" xfId="0" applyFont="1" applyFill="1" applyBorder="1" applyAlignment="1">
      <alignment horizontal="center" vertical="center" wrapText="1"/>
    </xf>
    <xf numFmtId="0" fontId="82" fillId="19" borderId="17" xfId="0" applyFont="1" applyFill="1" applyBorder="1" applyAlignment="1">
      <alignment horizontal="center" vertical="center" wrapText="1"/>
    </xf>
    <xf numFmtId="0" fontId="81" fillId="0" borderId="30" xfId="0" applyFont="1" applyBorder="1" applyAlignment="1">
      <alignment horizontal="left" vertical="center" wrapText="1"/>
    </xf>
    <xf numFmtId="0" fontId="81" fillId="0" borderId="31" xfId="0" applyFont="1" applyBorder="1" applyAlignment="1">
      <alignment horizontal="left" vertical="center" wrapText="1"/>
    </xf>
    <xf numFmtId="0" fontId="81" fillId="0" borderId="32" xfId="0" applyFont="1" applyBorder="1" applyAlignment="1">
      <alignment horizontal="left" vertical="center" wrapText="1"/>
    </xf>
    <xf numFmtId="0" fontId="81" fillId="0" borderId="20" xfId="0" applyFont="1" applyBorder="1" applyAlignment="1">
      <alignment horizontal="left" vertical="center" wrapText="1"/>
    </xf>
    <xf numFmtId="0" fontId="81" fillId="0" borderId="0" xfId="0" applyFont="1" applyAlignment="1">
      <alignment horizontal="left" vertical="center" wrapText="1"/>
    </xf>
    <xf numFmtId="0" fontId="81" fillId="0" borderId="17" xfId="0" applyFont="1" applyBorder="1" applyAlignment="1">
      <alignment horizontal="left" vertical="center" wrapText="1"/>
    </xf>
    <xf numFmtId="0" fontId="81" fillId="0" borderId="16" xfId="0" applyFont="1" applyBorder="1" applyAlignment="1">
      <alignment horizontal="left" vertical="center" wrapText="1"/>
    </xf>
    <xf numFmtId="0" fontId="81" fillId="0" borderId="15" xfId="0" applyFont="1" applyBorder="1" applyAlignment="1">
      <alignment horizontal="left" vertical="center" wrapText="1"/>
    </xf>
    <xf numFmtId="0" fontId="81" fillId="0" borderId="18" xfId="0" applyFont="1" applyBorder="1" applyAlignment="1">
      <alignment horizontal="left" vertical="center" wrapText="1"/>
    </xf>
    <xf numFmtId="0" fontId="81" fillId="0" borderId="22" xfId="0" applyFont="1" applyBorder="1" applyAlignment="1">
      <alignment horizontal="left" vertical="center" wrapText="1"/>
    </xf>
    <xf numFmtId="0" fontId="81" fillId="0" borderId="23" xfId="0" applyFont="1" applyBorder="1" applyAlignment="1">
      <alignment horizontal="left" vertical="center" wrapText="1"/>
    </xf>
    <xf numFmtId="0" fontId="81" fillId="0" borderId="26" xfId="0" applyFont="1" applyBorder="1" applyAlignment="1">
      <alignment horizontal="left" vertical="center" wrapText="1"/>
    </xf>
    <xf numFmtId="0" fontId="81" fillId="0" borderId="5" xfId="0" applyFont="1" applyBorder="1" applyAlignment="1">
      <alignment horizontal="center" vertical="center" wrapText="1"/>
    </xf>
    <xf numFmtId="0" fontId="81" fillId="0" borderId="6" xfId="0" applyFont="1" applyBorder="1" applyAlignment="1">
      <alignment horizontal="center" vertical="center" wrapText="1"/>
    </xf>
    <xf numFmtId="0" fontId="81" fillId="0" borderId="7" xfId="0" applyFont="1" applyBorder="1" applyAlignment="1">
      <alignment horizontal="center" vertical="center" wrapText="1"/>
    </xf>
    <xf numFmtId="0" fontId="81" fillId="0" borderId="16" xfId="0" applyFont="1" applyBorder="1" applyAlignment="1">
      <alignment horizontal="center" vertical="center" wrapText="1"/>
    </xf>
    <xf numFmtId="0" fontId="81" fillId="0" borderId="18" xfId="0" applyFont="1" applyBorder="1" applyAlignment="1">
      <alignment horizontal="center" vertical="center" wrapText="1"/>
    </xf>
    <xf numFmtId="0" fontId="81" fillId="0" borderId="38" xfId="0" applyFont="1" applyBorder="1" applyAlignment="1">
      <alignment horizontal="center" vertical="center" wrapText="1"/>
    </xf>
    <xf numFmtId="0" fontId="81" fillId="0" borderId="39" xfId="0" applyFont="1" applyBorder="1" applyAlignment="1">
      <alignment horizontal="center" vertical="center" wrapText="1"/>
    </xf>
    <xf numFmtId="0" fontId="81" fillId="0" borderId="20" xfId="0" applyFont="1" applyBorder="1" applyAlignment="1">
      <alignment horizontal="center" vertical="center" wrapText="1"/>
    </xf>
    <xf numFmtId="0" fontId="81" fillId="0" borderId="17" xfId="0" applyFont="1" applyBorder="1" applyAlignment="1">
      <alignment horizontal="center" vertical="center" wrapText="1"/>
    </xf>
    <xf numFmtId="0" fontId="82" fillId="19" borderId="29" xfId="0" applyFont="1" applyFill="1" applyBorder="1" applyAlignment="1">
      <alignment horizontal="center" vertical="center" wrapText="1"/>
    </xf>
    <xf numFmtId="0" fontId="82" fillId="19" borderId="33" xfId="0" applyFont="1" applyFill="1" applyBorder="1" applyAlignment="1">
      <alignment horizontal="center" vertical="center" wrapText="1"/>
    </xf>
    <xf numFmtId="0" fontId="81" fillId="0" borderId="29" xfId="0" applyFont="1" applyBorder="1" applyAlignment="1">
      <alignment horizontal="center" vertical="center"/>
    </xf>
    <xf numFmtId="0" fontId="81" fillId="0" borderId="33" xfId="0" applyFont="1" applyBorder="1" applyAlignment="1">
      <alignment horizontal="center" vertical="center"/>
    </xf>
    <xf numFmtId="0" fontId="81" fillId="0" borderId="2" xfId="0" applyFont="1" applyBorder="1" applyAlignment="1">
      <alignment horizontal="center" vertical="center"/>
    </xf>
    <xf numFmtId="0" fontId="81" fillId="0" borderId="19" xfId="0" applyFont="1" applyBorder="1" applyAlignment="1">
      <alignment horizontal="center" vertical="center"/>
    </xf>
    <xf numFmtId="0" fontId="81" fillId="0" borderId="3" xfId="0" applyFont="1" applyBorder="1" applyAlignment="1">
      <alignment horizontal="center" vertical="center"/>
    </xf>
    <xf numFmtId="0" fontId="81" fillId="0" borderId="1" xfId="0" applyFont="1" applyBorder="1" applyAlignment="1">
      <alignment horizontal="center" vertical="center"/>
    </xf>
    <xf numFmtId="0" fontId="81" fillId="0" borderId="38" xfId="0" applyFont="1" applyBorder="1" applyAlignment="1">
      <alignment horizontal="left" vertical="center" wrapText="1"/>
    </xf>
    <xf numFmtId="0" fontId="81" fillId="0" borderId="11" xfId="0" applyFont="1" applyBorder="1" applyAlignment="1">
      <alignment horizontal="left" vertical="center" wrapText="1"/>
    </xf>
    <xf numFmtId="0" fontId="81" fillId="0" borderId="39" xfId="0" applyFont="1" applyBorder="1" applyAlignment="1">
      <alignment horizontal="left" vertical="center" wrapText="1"/>
    </xf>
    <xf numFmtId="167" fontId="76" fillId="3" borderId="1" xfId="61" applyNumberFormat="1" applyFont="1" applyFill="1" applyBorder="1" applyAlignment="1">
      <alignment horizontal="center" vertical="center" wrapText="1"/>
    </xf>
    <xf numFmtId="4" fontId="76" fillId="3" borderId="1" xfId="61" applyNumberFormat="1" applyFont="1" applyFill="1" applyBorder="1" applyAlignment="1">
      <alignment horizontal="center" vertical="center"/>
    </xf>
    <xf numFmtId="0" fontId="74" fillId="3" borderId="1" xfId="61" applyFont="1" applyFill="1" applyBorder="1" applyAlignment="1">
      <alignment horizontal="center" vertical="center"/>
    </xf>
    <xf numFmtId="0" fontId="74" fillId="3" borderId="1" xfId="61" applyFont="1" applyFill="1" applyBorder="1" applyAlignment="1">
      <alignment vertical="center" wrapText="1"/>
    </xf>
    <xf numFmtId="0" fontId="76" fillId="3" borderId="1" xfId="61" applyFont="1" applyFill="1" applyBorder="1" applyAlignment="1">
      <alignment horizontal="center" vertical="center" wrapText="1"/>
    </xf>
    <xf numFmtId="0" fontId="77" fillId="3" borderId="1" xfId="61" applyFont="1" applyFill="1" applyBorder="1" applyAlignment="1">
      <alignment horizontal="left" vertical="center" wrapText="1"/>
    </xf>
    <xf numFmtId="0" fontId="77" fillId="3" borderId="1" xfId="61" applyFont="1" applyFill="1" applyBorder="1" applyAlignment="1">
      <alignment horizontal="center" vertical="center" wrapText="1"/>
    </xf>
    <xf numFmtId="4" fontId="76" fillId="3" borderId="1" xfId="61" applyNumberFormat="1" applyFont="1" applyFill="1" applyBorder="1" applyAlignment="1">
      <alignment horizontal="center" vertical="center" wrapText="1"/>
    </xf>
    <xf numFmtId="4" fontId="76" fillId="3" borderId="5" xfId="61" applyNumberFormat="1" applyFont="1" applyFill="1" applyBorder="1" applyAlignment="1">
      <alignment horizontal="center" vertical="center" wrapText="1"/>
    </xf>
    <xf numFmtId="4" fontId="76" fillId="3" borderId="7" xfId="61" applyNumberFormat="1" applyFont="1" applyFill="1" applyBorder="1" applyAlignment="1">
      <alignment horizontal="center" vertical="center" wrapText="1"/>
    </xf>
    <xf numFmtId="0" fontId="6" fillId="3" borderId="0" xfId="0" applyFont="1" applyFill="1" applyAlignment="1">
      <alignment horizontal="right" vertical="center" wrapText="1"/>
    </xf>
    <xf numFmtId="0" fontId="6" fillId="3" borderId="0" xfId="0" applyFont="1" applyFill="1" applyAlignment="1">
      <alignment horizontal="right" vertical="center"/>
    </xf>
    <xf numFmtId="0" fontId="6" fillId="3" borderId="17" xfId="0" applyFont="1" applyFill="1" applyBorder="1" applyAlignment="1">
      <alignment horizontal="right" vertical="center"/>
    </xf>
    <xf numFmtId="4" fontId="2" fillId="3" borderId="5" xfId="1" applyNumberFormat="1" applyFont="1" applyFill="1" applyBorder="1" applyAlignment="1">
      <alignment horizontal="right" vertical="center"/>
    </xf>
    <xf numFmtId="4" fontId="2" fillId="3" borderId="7" xfId="1" applyNumberFormat="1" applyFont="1" applyFill="1" applyBorder="1" applyAlignment="1">
      <alignment horizontal="right" vertical="center"/>
    </xf>
    <xf numFmtId="0" fontId="74" fillId="3" borderId="1" xfId="61" applyFont="1" applyFill="1" applyBorder="1" applyAlignment="1">
      <alignment horizontal="left" vertical="center" wrapText="1"/>
    </xf>
    <xf numFmtId="168" fontId="2" fillId="3" borderId="5" xfId="0" applyNumberFormat="1" applyFont="1" applyFill="1" applyBorder="1" applyAlignment="1">
      <alignment horizontal="right" vertical="center"/>
    </xf>
    <xf numFmtId="168" fontId="2" fillId="3" borderId="7" xfId="0" applyNumberFormat="1" applyFont="1" applyFill="1" applyBorder="1" applyAlignment="1">
      <alignment horizontal="right" vertical="center"/>
    </xf>
    <xf numFmtId="0" fontId="2" fillId="3" borderId="5" xfId="0" applyFont="1" applyFill="1" applyBorder="1" applyAlignment="1">
      <alignment horizontal="right" vertical="center"/>
    </xf>
    <xf numFmtId="0" fontId="2" fillId="3" borderId="6" xfId="0" applyFont="1" applyFill="1" applyBorder="1" applyAlignment="1">
      <alignment horizontal="right" vertical="center"/>
    </xf>
    <xf numFmtId="0" fontId="2" fillId="3" borderId="7" xfId="0" applyFont="1" applyFill="1" applyBorder="1" applyAlignment="1">
      <alignment horizontal="right" vertical="center"/>
    </xf>
    <xf numFmtId="4" fontId="76" fillId="3" borderId="5" xfId="1" applyNumberFormat="1" applyFont="1" applyFill="1" applyBorder="1" applyAlignment="1">
      <alignment horizontal="right" vertical="center"/>
    </xf>
    <xf numFmtId="4" fontId="76" fillId="3" borderId="7" xfId="1" applyNumberFormat="1" applyFont="1" applyFill="1" applyBorder="1" applyAlignment="1">
      <alignment horizontal="right" vertical="center"/>
    </xf>
    <xf numFmtId="0" fontId="6" fillId="3" borderId="17" xfId="0" applyFont="1" applyFill="1" applyBorder="1" applyAlignment="1">
      <alignment horizontal="right" vertical="center" wrapText="1"/>
    </xf>
    <xf numFmtId="167" fontId="14" fillId="3" borderId="0" xfId="61" applyNumberFormat="1" applyFont="1" applyFill="1" applyAlignment="1">
      <alignment horizontal="center" wrapText="1"/>
    </xf>
    <xf numFmtId="167" fontId="14" fillId="3" borderId="0" xfId="61" applyNumberFormat="1" applyFont="1" applyFill="1" applyAlignment="1">
      <alignment horizontal="center" vertical="top" wrapText="1"/>
    </xf>
    <xf numFmtId="167" fontId="14" fillId="3" borderId="0" xfId="61" applyNumberFormat="1" applyFont="1" applyFill="1" applyAlignment="1">
      <alignment horizontal="center" vertical="center" wrapText="1"/>
    </xf>
    <xf numFmtId="0" fontId="2" fillId="3" borderId="1" xfId="0" applyFont="1" applyFill="1" applyBorder="1" applyAlignment="1">
      <alignment horizontal="right" vertical="center"/>
    </xf>
    <xf numFmtId="0" fontId="40" fillId="13" borderId="16" xfId="61" applyFont="1" applyFill="1" applyBorder="1" applyAlignment="1">
      <alignment horizontal="left" vertical="center" wrapText="1"/>
    </xf>
    <xf numFmtId="0" fontId="40" fillId="13" borderId="15" xfId="61" applyFont="1" applyFill="1" applyBorder="1" applyAlignment="1">
      <alignment horizontal="left" vertical="center" wrapText="1"/>
    </xf>
    <xf numFmtId="0" fontId="52" fillId="13" borderId="6" xfId="61" applyFont="1" applyFill="1" applyBorder="1" applyAlignment="1">
      <alignment horizontal="left" vertical="center" wrapText="1"/>
    </xf>
    <xf numFmtId="0" fontId="52" fillId="13" borderId="20" xfId="61" applyFont="1" applyFill="1" applyBorder="1" applyAlignment="1">
      <alignment horizontal="left" vertical="center" wrapText="1"/>
    </xf>
    <xf numFmtId="0" fontId="52" fillId="13" borderId="0" xfId="61" applyFont="1" applyFill="1" applyAlignment="1">
      <alignment horizontal="left" vertical="center" wrapText="1"/>
    </xf>
    <xf numFmtId="0" fontId="52" fillId="0" borderId="0" xfId="108" applyFont="1" applyAlignment="1">
      <alignment horizontal="right" vertical="center" wrapText="1"/>
    </xf>
    <xf numFmtId="0" fontId="52" fillId="0" borderId="17" xfId="108" applyFont="1" applyBorder="1" applyAlignment="1">
      <alignment horizontal="right" vertical="center" wrapText="1"/>
    </xf>
    <xf numFmtId="0" fontId="40" fillId="12" borderId="1" xfId="61" applyFont="1" applyFill="1" applyBorder="1" applyAlignment="1">
      <alignment horizontal="center" vertical="center" wrapText="1"/>
    </xf>
    <xf numFmtId="49" fontId="40" fillId="12" borderId="1" xfId="61" applyNumberFormat="1" applyFont="1" applyFill="1" applyBorder="1" applyAlignment="1">
      <alignment horizontal="left" vertical="center" wrapText="1"/>
    </xf>
    <xf numFmtId="0" fontId="40" fillId="12" borderId="1" xfId="61" applyFont="1" applyFill="1" applyBorder="1" applyAlignment="1">
      <alignment horizontal="left" vertical="center" wrapText="1"/>
    </xf>
    <xf numFmtId="0" fontId="40" fillId="12" borderId="2" xfId="61" applyFont="1" applyFill="1" applyBorder="1" applyAlignment="1">
      <alignment horizontal="center" vertical="center" wrapText="1"/>
    </xf>
    <xf numFmtId="0" fontId="40" fillId="12" borderId="3" xfId="61" applyFont="1" applyFill="1" applyBorder="1" applyAlignment="1">
      <alignment horizontal="center" vertical="center" wrapText="1"/>
    </xf>
    <xf numFmtId="49" fontId="40" fillId="12" borderId="1" xfId="61" applyNumberFormat="1" applyFont="1" applyFill="1" applyBorder="1" applyAlignment="1">
      <alignment horizontal="center" vertical="center" wrapText="1"/>
    </xf>
    <xf numFmtId="15" fontId="40" fillId="12" borderId="1" xfId="61" applyNumberFormat="1" applyFont="1" applyFill="1" applyBorder="1" applyAlignment="1">
      <alignment horizontal="center" vertical="center" wrapText="1"/>
    </xf>
    <xf numFmtId="171" fontId="40" fillId="12" borderId="1" xfId="61" applyNumberFormat="1" applyFont="1" applyFill="1" applyBorder="1" applyAlignment="1">
      <alignment horizontal="center" vertical="center" wrapText="1"/>
    </xf>
    <xf numFmtId="171" fontId="40" fillId="12" borderId="7" xfId="61" applyNumberFormat="1" applyFont="1" applyFill="1" applyBorder="1" applyAlignment="1">
      <alignment horizontal="center" vertical="center" wrapText="1"/>
    </xf>
    <xf numFmtId="1" fontId="40" fillId="12" borderId="1" xfId="61" applyNumberFormat="1" applyFont="1" applyFill="1" applyBorder="1" applyAlignment="1">
      <alignment horizontal="center" vertical="center" wrapText="1"/>
    </xf>
    <xf numFmtId="0" fontId="40" fillId="3" borderId="5" xfId="108" applyFont="1" applyFill="1" applyBorder="1" applyAlignment="1">
      <alignment horizontal="left" vertical="center" wrapText="1"/>
    </xf>
    <xf numFmtId="0" fontId="40" fillId="3" borderId="6" xfId="108" applyFont="1" applyFill="1" applyBorder="1" applyAlignment="1">
      <alignment horizontal="left" vertical="center" wrapText="1"/>
    </xf>
    <xf numFmtId="0" fontId="40" fillId="3" borderId="7" xfId="108" applyFont="1" applyFill="1" applyBorder="1" applyAlignment="1">
      <alignment horizontal="left" vertical="center" wrapText="1"/>
    </xf>
    <xf numFmtId="171" fontId="39" fillId="3" borderId="0" xfId="108" applyNumberFormat="1" applyFont="1" applyFill="1" applyAlignment="1">
      <alignment horizontal="right" vertical="center" wrapText="1"/>
    </xf>
    <xf numFmtId="171" fontId="39" fillId="3" borderId="17" xfId="108" applyNumberFormat="1" applyFont="1" applyFill="1" applyBorder="1" applyAlignment="1">
      <alignment horizontal="right" vertical="center" wrapText="1"/>
    </xf>
    <xf numFmtId="4" fontId="47" fillId="3" borderId="5" xfId="108" applyNumberFormat="1" applyFont="1" applyFill="1" applyBorder="1" applyAlignment="1">
      <alignment horizontal="left" vertical="center" wrapText="1"/>
    </xf>
    <xf numFmtId="4" fontId="47" fillId="3" borderId="6" xfId="108" applyNumberFormat="1" applyFont="1" applyFill="1" applyBorder="1" applyAlignment="1">
      <alignment horizontal="left" vertical="center" wrapText="1"/>
    </xf>
    <xf numFmtId="0" fontId="39" fillId="3" borderId="0" xfId="108" applyFont="1" applyFill="1" applyAlignment="1">
      <alignment horizontal="right" vertical="center" wrapText="1"/>
    </xf>
    <xf numFmtId="0" fontId="39" fillId="3" borderId="17" xfId="108" applyFont="1" applyFill="1" applyBorder="1" applyAlignment="1">
      <alignment horizontal="right" vertical="center" wrapText="1"/>
    </xf>
    <xf numFmtId="168" fontId="47" fillId="3" borderId="5" xfId="108" applyNumberFormat="1" applyFont="1" applyFill="1" applyBorder="1" applyAlignment="1">
      <alignment horizontal="left" vertical="center" wrapText="1"/>
    </xf>
    <xf numFmtId="168" fontId="47" fillId="3" borderId="6" xfId="108" applyNumberFormat="1" applyFont="1" applyFill="1" applyBorder="1" applyAlignment="1">
      <alignment horizontal="left" vertical="center" wrapText="1"/>
    </xf>
    <xf numFmtId="167" fontId="24" fillId="3" borderId="0" xfId="61" applyNumberFormat="1" applyFont="1" applyFill="1" applyAlignment="1">
      <alignment horizontal="center" vertical="center" wrapText="1"/>
    </xf>
    <xf numFmtId="167" fontId="24" fillId="3" borderId="0" xfId="61" applyNumberFormat="1" applyFont="1" applyFill="1" applyAlignment="1">
      <alignment vertical="center" wrapText="1"/>
    </xf>
    <xf numFmtId="167" fontId="24" fillId="3" borderId="0" xfId="61" applyNumberFormat="1" applyFont="1" applyFill="1" applyAlignment="1">
      <alignment horizontal="center" wrapText="1"/>
    </xf>
    <xf numFmtId="167" fontId="24" fillId="3" borderId="0" xfId="61" applyNumberFormat="1" applyFont="1" applyFill="1" applyAlignment="1">
      <alignment wrapText="1"/>
    </xf>
    <xf numFmtId="43" fontId="17" fillId="12" borderId="1" xfId="1" applyFont="1" applyFill="1" applyBorder="1" applyAlignment="1">
      <alignment horizontal="center" vertical="center" wrapText="1"/>
    </xf>
    <xf numFmtId="0" fontId="17" fillId="12" borderId="1" xfId="61" applyFont="1" applyFill="1" applyBorder="1" applyAlignment="1">
      <alignment horizontal="center" vertical="center" wrapText="1"/>
    </xf>
    <xf numFmtId="4" fontId="17" fillId="12" borderId="1" xfId="0" applyNumberFormat="1" applyFont="1" applyFill="1" applyBorder="1" applyAlignment="1">
      <alignment horizontal="center" vertical="center"/>
    </xf>
    <xf numFmtId="0" fontId="17" fillId="12" borderId="1" xfId="0" applyFont="1" applyFill="1" applyBorder="1" applyAlignment="1">
      <alignment horizontal="center" vertical="center" wrapText="1"/>
    </xf>
    <xf numFmtId="4" fontId="17" fillId="12" borderId="1" xfId="0" applyNumberFormat="1" applyFont="1" applyFill="1" applyBorder="1" applyAlignment="1">
      <alignment horizontal="center" vertical="center" wrapText="1"/>
    </xf>
    <xf numFmtId="0" fontId="25" fillId="0" borderId="5" xfId="0" applyFont="1" applyBorder="1" applyAlignment="1">
      <alignment horizontal="right" vertical="center"/>
    </xf>
    <xf numFmtId="0" fontId="25" fillId="0" borderId="6" xfId="0" applyFont="1" applyBorder="1" applyAlignment="1">
      <alignment horizontal="right" vertical="center"/>
    </xf>
    <xf numFmtId="0" fontId="25" fillId="0" borderId="6" xfId="0" applyFont="1" applyBorder="1" applyAlignment="1">
      <alignment horizontal="center" vertical="center"/>
    </xf>
    <xf numFmtId="0" fontId="25" fillId="0" borderId="7" xfId="0" applyFont="1" applyBorder="1" applyAlignment="1">
      <alignment horizontal="right" vertical="center"/>
    </xf>
    <xf numFmtId="49" fontId="17" fillId="12" borderId="2" xfId="0" applyNumberFormat="1" applyFont="1" applyFill="1" applyBorder="1" applyAlignment="1">
      <alignment horizontal="center" vertical="center" wrapText="1"/>
    </xf>
    <xf numFmtId="49" fontId="17" fillId="12" borderId="19" xfId="0" applyNumberFormat="1" applyFont="1" applyFill="1" applyBorder="1" applyAlignment="1">
      <alignment horizontal="center" vertical="center" wrapText="1"/>
    </xf>
    <xf numFmtId="43" fontId="17" fillId="12" borderId="2" xfId="1" applyFont="1" applyFill="1" applyBorder="1" applyAlignment="1">
      <alignment horizontal="center" vertical="center" wrapText="1"/>
    </xf>
    <xf numFmtId="43" fontId="17" fillId="12" borderId="19" xfId="1" applyFont="1" applyFill="1" applyBorder="1" applyAlignment="1">
      <alignment horizontal="center" vertical="center" wrapText="1"/>
    </xf>
    <xf numFmtId="4" fontId="17" fillId="12" borderId="2" xfId="0" applyNumberFormat="1" applyFont="1" applyFill="1" applyBorder="1" applyAlignment="1">
      <alignment horizontal="center" vertical="center" wrapText="1"/>
    </xf>
    <xf numFmtId="4" fontId="17" fillId="12" borderId="19" xfId="0" applyNumberFormat="1" applyFont="1" applyFill="1" applyBorder="1" applyAlignment="1">
      <alignment horizontal="center" vertical="center" wrapText="1"/>
    </xf>
    <xf numFmtId="0" fontId="13" fillId="3" borderId="0" xfId="0" applyFont="1" applyFill="1" applyAlignment="1">
      <alignment horizontal="left" vertical="center"/>
    </xf>
    <xf numFmtId="0" fontId="13" fillId="3" borderId="0" xfId="0" applyFont="1" applyFill="1" applyAlignment="1">
      <alignment horizontal="center" vertical="center"/>
    </xf>
    <xf numFmtId="0" fontId="17" fillId="3" borderId="5" xfId="0" applyFont="1" applyFill="1" applyBorder="1" applyAlignment="1">
      <alignment horizontal="left" vertical="center"/>
    </xf>
    <xf numFmtId="0" fontId="17" fillId="3" borderId="6" xfId="0" applyFont="1" applyFill="1" applyBorder="1" applyAlignment="1">
      <alignment horizontal="left" vertical="center"/>
    </xf>
    <xf numFmtId="0" fontId="17" fillId="3" borderId="6" xfId="0" applyFont="1" applyFill="1" applyBorder="1" applyAlignment="1">
      <alignment horizontal="center" vertical="center"/>
    </xf>
    <xf numFmtId="0" fontId="17" fillId="3" borderId="7" xfId="0" applyFont="1" applyFill="1" applyBorder="1" applyAlignment="1">
      <alignment horizontal="left" vertical="center"/>
    </xf>
    <xf numFmtId="0" fontId="13" fillId="3" borderId="0" xfId="0" applyFont="1" applyFill="1" applyAlignment="1">
      <alignment horizontal="right" vertical="center" wrapText="1"/>
    </xf>
    <xf numFmtId="4" fontId="13" fillId="3" borderId="0" xfId="0" applyNumberFormat="1" applyFont="1" applyFill="1" applyAlignment="1">
      <alignment horizontal="right" vertical="center"/>
    </xf>
    <xf numFmtId="4" fontId="17" fillId="3" borderId="5" xfId="0" applyNumberFormat="1" applyFont="1" applyFill="1" applyBorder="1" applyAlignment="1">
      <alignment horizontal="right" vertical="center"/>
    </xf>
    <xf numFmtId="4" fontId="17" fillId="3" borderId="6" xfId="0" applyNumberFormat="1" applyFont="1" applyFill="1" applyBorder="1" applyAlignment="1">
      <alignment horizontal="right" vertical="center"/>
    </xf>
    <xf numFmtId="4" fontId="17" fillId="3" borderId="7" xfId="0" applyNumberFormat="1" applyFont="1" applyFill="1" applyBorder="1" applyAlignment="1">
      <alignment horizontal="right" vertical="center"/>
    </xf>
    <xf numFmtId="4" fontId="17" fillId="3" borderId="1" xfId="0" applyNumberFormat="1" applyFont="1" applyFill="1" applyBorder="1" applyAlignment="1">
      <alignment horizontal="right" vertical="center"/>
    </xf>
    <xf numFmtId="0" fontId="13" fillId="3" borderId="0" xfId="0" applyFont="1" applyFill="1" applyAlignment="1">
      <alignment horizontal="right" vertical="center"/>
    </xf>
    <xf numFmtId="17" fontId="13" fillId="3" borderId="0" xfId="0" quotePrefix="1" applyNumberFormat="1" applyFont="1" applyFill="1" applyAlignment="1">
      <alignment horizontal="right" vertical="center"/>
    </xf>
    <xf numFmtId="17" fontId="13" fillId="3" borderId="0" xfId="0" applyNumberFormat="1" applyFont="1" applyFill="1" applyAlignment="1">
      <alignment horizontal="right" vertical="center"/>
    </xf>
    <xf numFmtId="168" fontId="17" fillId="3" borderId="1" xfId="0" applyNumberFormat="1" applyFont="1" applyFill="1" applyBorder="1" applyAlignment="1">
      <alignment horizontal="right" vertical="center"/>
    </xf>
    <xf numFmtId="0" fontId="16" fillId="10" borderId="16" xfId="61" applyFont="1" applyFill="1" applyBorder="1" applyAlignment="1">
      <alignment horizontal="left" vertical="center"/>
    </xf>
    <xf numFmtId="0" fontId="16" fillId="10" borderId="15" xfId="61" applyFont="1" applyFill="1" applyBorder="1" applyAlignment="1">
      <alignment horizontal="left" vertical="center"/>
    </xf>
    <xf numFmtId="0" fontId="16" fillId="10" borderId="18" xfId="61" applyFont="1" applyFill="1" applyBorder="1" applyAlignment="1">
      <alignment horizontal="left" vertical="center"/>
    </xf>
    <xf numFmtId="0" fontId="17" fillId="0" borderId="5" xfId="0" applyFont="1" applyBorder="1" applyAlignment="1">
      <alignment horizontal="right" vertical="center"/>
    </xf>
    <xf numFmtId="0" fontId="17" fillId="0" borderId="6" xfId="0" applyFont="1" applyBorder="1" applyAlignment="1">
      <alignment horizontal="right" vertical="center"/>
    </xf>
    <xf numFmtId="0" fontId="17" fillId="0" borderId="7" xfId="0" applyFont="1" applyBorder="1" applyAlignment="1">
      <alignment horizontal="right" vertical="center"/>
    </xf>
    <xf numFmtId="0" fontId="16" fillId="3" borderId="1" xfId="0" applyFont="1" applyFill="1" applyBorder="1" applyAlignment="1">
      <alignment horizontal="left" vertical="center"/>
    </xf>
    <xf numFmtId="43" fontId="11" fillId="3" borderId="0" xfId="1" applyFont="1" applyFill="1" applyBorder="1" applyAlignment="1">
      <alignment horizontal="right" vertical="center" wrapText="1"/>
    </xf>
    <xf numFmtId="43" fontId="11" fillId="3" borderId="17" xfId="1" applyFont="1" applyFill="1" applyBorder="1" applyAlignment="1">
      <alignment horizontal="right" vertical="center" wrapText="1"/>
    </xf>
    <xf numFmtId="43" fontId="16" fillId="3" borderId="5" xfId="1" applyFont="1" applyFill="1" applyBorder="1" applyAlignment="1">
      <alignment horizontal="left" vertical="center"/>
    </xf>
    <xf numFmtId="43" fontId="16" fillId="3" borderId="6" xfId="1" applyFont="1" applyFill="1" applyBorder="1" applyAlignment="1">
      <alignment horizontal="left" vertical="center"/>
    </xf>
    <xf numFmtId="43" fontId="16" fillId="3" borderId="7" xfId="1" applyFont="1" applyFill="1" applyBorder="1" applyAlignment="1">
      <alignment horizontal="left" vertical="center"/>
    </xf>
    <xf numFmtId="43" fontId="16" fillId="3" borderId="5" xfId="1" applyFont="1" applyFill="1" applyBorder="1" applyAlignment="1">
      <alignment horizontal="center" vertical="center"/>
    </xf>
    <xf numFmtId="43" fontId="16" fillId="3" borderId="6" xfId="1" applyFont="1" applyFill="1" applyBorder="1" applyAlignment="1">
      <alignment horizontal="center" vertical="center"/>
    </xf>
    <xf numFmtId="43" fontId="16" fillId="3" borderId="7" xfId="1" applyFont="1" applyFill="1" applyBorder="1" applyAlignment="1">
      <alignment horizontal="center" vertical="center"/>
    </xf>
    <xf numFmtId="0" fontId="11" fillId="3" borderId="0" xfId="0" applyFont="1" applyFill="1" applyAlignment="1">
      <alignment horizontal="right" vertical="center"/>
    </xf>
    <xf numFmtId="0" fontId="11" fillId="3" borderId="17" xfId="0" applyFont="1" applyFill="1" applyBorder="1" applyAlignment="1">
      <alignment horizontal="right" vertical="center"/>
    </xf>
    <xf numFmtId="168" fontId="16" fillId="3" borderId="5" xfId="0" applyNumberFormat="1" applyFont="1" applyFill="1" applyBorder="1" applyAlignment="1">
      <alignment horizontal="right" vertical="center"/>
    </xf>
    <xf numFmtId="168" fontId="16" fillId="3" borderId="6" xfId="0" applyNumberFormat="1" applyFont="1" applyFill="1" applyBorder="1" applyAlignment="1">
      <alignment horizontal="right" vertical="center"/>
    </xf>
    <xf numFmtId="168" fontId="16" fillId="3" borderId="7" xfId="0" applyNumberFormat="1" applyFont="1" applyFill="1" applyBorder="1" applyAlignment="1">
      <alignment horizontal="right" vertical="center"/>
    </xf>
    <xf numFmtId="0" fontId="9" fillId="9" borderId="10" xfId="0" applyFont="1" applyFill="1" applyBorder="1" applyAlignment="1">
      <alignment vertical="center" wrapText="1"/>
    </xf>
    <xf numFmtId="0" fontId="9" fillId="9" borderId="11" xfId="0" applyFont="1" applyFill="1" applyBorder="1" applyAlignment="1">
      <alignment vertical="center" wrapText="1"/>
    </xf>
    <xf numFmtId="0" fontId="9" fillId="9" borderId="14" xfId="0" applyFont="1" applyFill="1" applyBorder="1" applyAlignment="1">
      <alignmen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2" fillId="2" borderId="2" xfId="61" applyFont="1" applyFill="1" applyBorder="1" applyAlignment="1">
      <alignment horizontal="left" vertical="center" wrapText="1"/>
    </xf>
    <xf numFmtId="0" fontId="2" fillId="2" borderId="3" xfId="61" applyFont="1" applyFill="1" applyBorder="1" applyAlignment="1">
      <alignment horizontal="left" vertical="center" wrapText="1"/>
    </xf>
    <xf numFmtId="0" fontId="6" fillId="2" borderId="5" xfId="61" applyFont="1" applyFill="1" applyBorder="1" applyAlignment="1">
      <alignment horizontal="center" vertical="center" wrapText="1"/>
    </xf>
    <xf numFmtId="0" fontId="6" fillId="2" borderId="6" xfId="61" applyFont="1" applyFill="1" applyBorder="1" applyAlignment="1">
      <alignment vertical="center" wrapText="1"/>
    </xf>
    <xf numFmtId="0" fontId="6" fillId="2" borderId="7" xfId="61" applyFont="1" applyFill="1" applyBorder="1" applyAlignment="1">
      <alignment horizontal="center" vertical="center" wrapText="1"/>
    </xf>
    <xf numFmtId="0" fontId="6" fillId="2" borderId="6" xfId="61" applyFont="1" applyFill="1" applyBorder="1" applyAlignment="1">
      <alignment horizontal="center" vertical="center" wrapText="1"/>
    </xf>
    <xf numFmtId="0" fontId="6" fillId="2" borderId="6" xfId="61" applyFont="1" applyFill="1" applyBorder="1" applyAlignment="1">
      <alignment horizontal="left" vertical="center" wrapText="1"/>
    </xf>
    <xf numFmtId="0" fontId="6" fillId="2" borderId="1" xfId="61" applyFont="1" applyFill="1" applyBorder="1" applyAlignment="1">
      <alignment horizontal="center" vertical="center" wrapText="1"/>
    </xf>
    <xf numFmtId="49" fontId="6" fillId="2" borderId="1" xfId="61" applyNumberFormat="1" applyFont="1" applyFill="1" applyBorder="1" applyAlignment="1">
      <alignment horizontal="center" vertical="center" wrapText="1"/>
    </xf>
    <xf numFmtId="0" fontId="6" fillId="2" borderId="2" xfId="61" applyFont="1" applyFill="1" applyBorder="1" applyAlignment="1">
      <alignment horizontal="center" vertical="center" wrapText="1"/>
    </xf>
    <xf numFmtId="0" fontId="6" fillId="2" borderId="3" xfId="61" applyFont="1" applyFill="1" applyBorder="1" applyAlignment="1">
      <alignment horizontal="center" vertical="center" wrapText="1"/>
    </xf>
    <xf numFmtId="164" fontId="6" fillId="2" borderId="1" xfId="61" applyNumberFormat="1" applyFont="1" applyFill="1" applyBorder="1" applyAlignment="1">
      <alignment horizontal="center" vertical="center" wrapText="1"/>
    </xf>
    <xf numFmtId="20" fontId="6" fillId="2" borderId="1" xfId="61" applyNumberFormat="1" applyFont="1" applyFill="1" applyBorder="1" applyAlignment="1">
      <alignment horizontal="center" vertical="center" wrapText="1"/>
    </xf>
    <xf numFmtId="165" fontId="6" fillId="2" borderId="1" xfId="61" applyNumberFormat="1" applyFont="1" applyFill="1" applyBorder="1" applyAlignment="1">
      <alignment horizontal="center" vertical="center" wrapText="1"/>
    </xf>
    <xf numFmtId="1" fontId="6" fillId="2" borderId="1" xfId="61" applyNumberFormat="1" applyFont="1" applyFill="1" applyBorder="1" applyAlignment="1">
      <alignment horizontal="center" vertical="center" wrapText="1"/>
    </xf>
  </cellXfs>
  <cellStyles count="110">
    <cellStyle name="20% - Accent1 2" xfId="3" xr:uid="{00000000-0005-0000-0000-000031000000}"/>
    <cellStyle name="20% - Accent2 2" xfId="4" xr:uid="{00000000-0005-0000-0000-000032000000}"/>
    <cellStyle name="20% - Accent3 2" xfId="5" xr:uid="{00000000-0005-0000-0000-000033000000}"/>
    <cellStyle name="20% - Accent4 2" xfId="6" xr:uid="{00000000-0005-0000-0000-000034000000}"/>
    <cellStyle name="20% - Accent5 2" xfId="7" xr:uid="{00000000-0005-0000-0000-000035000000}"/>
    <cellStyle name="20% - Accent6 2" xfId="8" xr:uid="{00000000-0005-0000-0000-000036000000}"/>
    <cellStyle name="40% - Accent1 2" xfId="9" xr:uid="{00000000-0005-0000-0000-000037000000}"/>
    <cellStyle name="40% - Accent2 2" xfId="10" xr:uid="{00000000-0005-0000-0000-000038000000}"/>
    <cellStyle name="40% - Accent3 2" xfId="11" xr:uid="{00000000-0005-0000-0000-000039000000}"/>
    <cellStyle name="40% - Accent4 2" xfId="12" xr:uid="{00000000-0005-0000-0000-00003A000000}"/>
    <cellStyle name="40% - Accent5 2" xfId="13" xr:uid="{00000000-0005-0000-0000-00003B000000}"/>
    <cellStyle name="40% - Accent6 2" xfId="14" xr:uid="{00000000-0005-0000-0000-00003C000000}"/>
    <cellStyle name="60% - Accent1 2" xfId="15" xr:uid="{00000000-0005-0000-0000-00003D000000}"/>
    <cellStyle name="60% - Accent1 3" xfId="16" xr:uid="{00000000-0005-0000-0000-00003E000000}"/>
    <cellStyle name="60% - Accent2 2" xfId="17" xr:uid="{00000000-0005-0000-0000-00003F000000}"/>
    <cellStyle name="60% - Accent2 3" xfId="18" xr:uid="{00000000-0005-0000-0000-000040000000}"/>
    <cellStyle name="60% - Accent3 2" xfId="19" xr:uid="{00000000-0005-0000-0000-000041000000}"/>
    <cellStyle name="60% - Accent3 3" xfId="20" xr:uid="{00000000-0005-0000-0000-000042000000}"/>
    <cellStyle name="60% - Accent4 2" xfId="21" xr:uid="{00000000-0005-0000-0000-000043000000}"/>
    <cellStyle name="60% - Accent4 3" xfId="22" xr:uid="{00000000-0005-0000-0000-000044000000}"/>
    <cellStyle name="60% - Accent5 2" xfId="23" xr:uid="{00000000-0005-0000-0000-000045000000}"/>
    <cellStyle name="60% - Accent5 3" xfId="24" xr:uid="{00000000-0005-0000-0000-000046000000}"/>
    <cellStyle name="60% - Accent6 2" xfId="25" xr:uid="{00000000-0005-0000-0000-000047000000}"/>
    <cellStyle name="60% - Accent6 3" xfId="26" xr:uid="{00000000-0005-0000-0000-000048000000}"/>
    <cellStyle name="Accent1 2" xfId="27" xr:uid="{00000000-0005-0000-0000-000049000000}"/>
    <cellStyle name="Accent2 2" xfId="28" xr:uid="{00000000-0005-0000-0000-00004A000000}"/>
    <cellStyle name="Accent3 2" xfId="29" xr:uid="{00000000-0005-0000-0000-00004B000000}"/>
    <cellStyle name="Accent4 2" xfId="30" xr:uid="{00000000-0005-0000-0000-00004C000000}"/>
    <cellStyle name="Accent5 2" xfId="31" xr:uid="{00000000-0005-0000-0000-00004D000000}"/>
    <cellStyle name="Accent6 2" xfId="32" xr:uid="{00000000-0005-0000-0000-00004E000000}"/>
    <cellStyle name="Bad 2" xfId="33" xr:uid="{00000000-0005-0000-0000-00004F000000}"/>
    <cellStyle name="Calculation 2" xfId="34" xr:uid="{00000000-0005-0000-0000-000050000000}"/>
    <cellStyle name="Check Cell 2" xfId="35" xr:uid="{00000000-0005-0000-0000-000051000000}"/>
    <cellStyle name="Comma" xfId="1" builtinId="3"/>
    <cellStyle name="Comma [0] 2" xfId="36" xr:uid="{00000000-0005-0000-0000-000052000000}"/>
    <cellStyle name="Comma 2" xfId="37" xr:uid="{00000000-0005-0000-0000-000053000000}"/>
    <cellStyle name="Comma 3" xfId="109" xr:uid="{21E7F2E3-EA8B-4E75-8973-E49E67DD55D2}"/>
    <cellStyle name="Comma 36" xfId="38" xr:uid="{00000000-0005-0000-0000-000054000000}"/>
    <cellStyle name="Comma 42" xfId="39" xr:uid="{00000000-0005-0000-0000-000055000000}"/>
    <cellStyle name="Comma 43" xfId="40" xr:uid="{00000000-0005-0000-0000-000056000000}"/>
    <cellStyle name="Explanatory Text 2" xfId="41" xr:uid="{00000000-0005-0000-0000-000057000000}"/>
    <cellStyle name="Good 2" xfId="42" xr:uid="{00000000-0005-0000-0000-000058000000}"/>
    <cellStyle name="Heading 1 2" xfId="43" xr:uid="{00000000-0005-0000-0000-000059000000}"/>
    <cellStyle name="Heading 2 2" xfId="44" xr:uid="{00000000-0005-0000-0000-00005A000000}"/>
    <cellStyle name="Heading 3 2" xfId="45" xr:uid="{00000000-0005-0000-0000-00005B000000}"/>
    <cellStyle name="Heading 4 2" xfId="46" xr:uid="{00000000-0005-0000-0000-00005C000000}"/>
    <cellStyle name="Input 2" xfId="47" xr:uid="{00000000-0005-0000-0000-00005D000000}"/>
    <cellStyle name="Linked Cell 2" xfId="48" xr:uid="{00000000-0005-0000-0000-00005E000000}"/>
    <cellStyle name="Neutral 2" xfId="49" xr:uid="{00000000-0005-0000-0000-00005F000000}"/>
    <cellStyle name="Neutral 3" xfId="50" xr:uid="{00000000-0005-0000-0000-000060000000}"/>
    <cellStyle name="Normal" xfId="0" builtinId="0"/>
    <cellStyle name="Normal 10" xfId="51" xr:uid="{00000000-0005-0000-0000-000061000000}"/>
    <cellStyle name="Normal 11" xfId="52" xr:uid="{00000000-0005-0000-0000-000062000000}"/>
    <cellStyle name="Normal 12" xfId="53" xr:uid="{00000000-0005-0000-0000-000063000000}"/>
    <cellStyle name="Normal 13" xfId="54" xr:uid="{00000000-0005-0000-0000-000064000000}"/>
    <cellStyle name="Normal 14" xfId="108" xr:uid="{7084F2BF-6E55-4B8D-B62F-5279A3336C7E}"/>
    <cellStyle name="Normal 16" xfId="55" xr:uid="{00000000-0005-0000-0000-000065000000}"/>
    <cellStyle name="Normal 17 2 3" xfId="56" xr:uid="{00000000-0005-0000-0000-000066000000}"/>
    <cellStyle name="Normal 18" xfId="57" xr:uid="{00000000-0005-0000-0000-000067000000}"/>
    <cellStyle name="Normal 19" xfId="58" xr:uid="{00000000-0005-0000-0000-000068000000}"/>
    <cellStyle name="Normal 2" xfId="59" xr:uid="{00000000-0005-0000-0000-000069000000}"/>
    <cellStyle name="Normal 2 2" xfId="60" xr:uid="{00000000-0005-0000-0000-00006A000000}"/>
    <cellStyle name="Normal 2 2 2" xfId="61" xr:uid="{00000000-0005-0000-0000-00006B000000}"/>
    <cellStyle name="Normal 2 2 3" xfId="62" xr:uid="{00000000-0005-0000-0000-00006C000000}"/>
    <cellStyle name="Normal 2 3" xfId="63" xr:uid="{00000000-0005-0000-0000-00006D000000}"/>
    <cellStyle name="Normal 2 4" xfId="64" xr:uid="{00000000-0005-0000-0000-00006E000000}"/>
    <cellStyle name="Normal 2 5" xfId="65" xr:uid="{00000000-0005-0000-0000-00006F000000}"/>
    <cellStyle name="Normal 2 6" xfId="66" xr:uid="{00000000-0005-0000-0000-000070000000}"/>
    <cellStyle name="Normal 2 7" xfId="67" xr:uid="{00000000-0005-0000-0000-000071000000}"/>
    <cellStyle name="Normal 20" xfId="68" xr:uid="{00000000-0005-0000-0000-000072000000}"/>
    <cellStyle name="Normal 21" xfId="69" xr:uid="{00000000-0005-0000-0000-000073000000}"/>
    <cellStyle name="Normal 22" xfId="70" xr:uid="{00000000-0005-0000-0000-000074000000}"/>
    <cellStyle name="Normal 23" xfId="71" xr:uid="{00000000-0005-0000-0000-000075000000}"/>
    <cellStyle name="Normal 24" xfId="72" xr:uid="{00000000-0005-0000-0000-000076000000}"/>
    <cellStyle name="Normal 25" xfId="73" xr:uid="{00000000-0005-0000-0000-000077000000}"/>
    <cellStyle name="Normal 26" xfId="74" xr:uid="{00000000-0005-0000-0000-000078000000}"/>
    <cellStyle name="Normal 27" xfId="75" xr:uid="{00000000-0005-0000-0000-000079000000}"/>
    <cellStyle name="Normal 28" xfId="76" xr:uid="{00000000-0005-0000-0000-00007A000000}"/>
    <cellStyle name="Normal 29" xfId="77" xr:uid="{00000000-0005-0000-0000-00007B000000}"/>
    <cellStyle name="Normal 3" xfId="78" xr:uid="{00000000-0005-0000-0000-00007C000000}"/>
    <cellStyle name="Normal 3 2" xfId="79" xr:uid="{00000000-0005-0000-0000-00007D000000}"/>
    <cellStyle name="Normal 30" xfId="80" xr:uid="{00000000-0005-0000-0000-00007E000000}"/>
    <cellStyle name="Normal 31" xfId="81" xr:uid="{00000000-0005-0000-0000-00007F000000}"/>
    <cellStyle name="Normal 32" xfId="82" xr:uid="{00000000-0005-0000-0000-000080000000}"/>
    <cellStyle name="Normal 33" xfId="83" xr:uid="{00000000-0005-0000-0000-000081000000}"/>
    <cellStyle name="Normal 35" xfId="84" xr:uid="{00000000-0005-0000-0000-000082000000}"/>
    <cellStyle name="Normal 36" xfId="85" xr:uid="{00000000-0005-0000-0000-000083000000}"/>
    <cellStyle name="Normal 37" xfId="86" xr:uid="{00000000-0005-0000-0000-000084000000}"/>
    <cellStyle name="Normal 38" xfId="87" xr:uid="{00000000-0005-0000-0000-000085000000}"/>
    <cellStyle name="Normal 39" xfId="88" xr:uid="{00000000-0005-0000-0000-000086000000}"/>
    <cellStyle name="Normal 4" xfId="89" xr:uid="{00000000-0005-0000-0000-000087000000}"/>
    <cellStyle name="Normal 4 2" xfId="90" xr:uid="{00000000-0005-0000-0000-000088000000}"/>
    <cellStyle name="Normal 40" xfId="91" xr:uid="{00000000-0005-0000-0000-000089000000}"/>
    <cellStyle name="Normal 41" xfId="92" xr:uid="{00000000-0005-0000-0000-00008A000000}"/>
    <cellStyle name="Normal 42" xfId="93" xr:uid="{00000000-0005-0000-0000-00008B000000}"/>
    <cellStyle name="Normal 43" xfId="94" xr:uid="{00000000-0005-0000-0000-00008C000000}"/>
    <cellStyle name="Normal 44" xfId="95" xr:uid="{00000000-0005-0000-0000-00008D000000}"/>
    <cellStyle name="Normal 45" xfId="96" xr:uid="{00000000-0005-0000-0000-00008E000000}"/>
    <cellStyle name="Normal 5" xfId="97" xr:uid="{00000000-0005-0000-0000-00008F000000}"/>
    <cellStyle name="Normal 5 2" xfId="98" xr:uid="{00000000-0005-0000-0000-000090000000}"/>
    <cellStyle name="Normal 6" xfId="99" xr:uid="{00000000-0005-0000-0000-000091000000}"/>
    <cellStyle name="Normal 7" xfId="100" xr:uid="{00000000-0005-0000-0000-000092000000}"/>
    <cellStyle name="Normal 8" xfId="101" xr:uid="{00000000-0005-0000-0000-000093000000}"/>
    <cellStyle name="Normal 9" xfId="102" xr:uid="{00000000-0005-0000-0000-000094000000}"/>
    <cellStyle name="Note 2" xfId="103" xr:uid="{00000000-0005-0000-0000-000095000000}"/>
    <cellStyle name="Output 2" xfId="104" xr:uid="{00000000-0005-0000-0000-000096000000}"/>
    <cellStyle name="Percent" xfId="2" builtinId="5"/>
    <cellStyle name="Title 2" xfId="105" xr:uid="{00000000-0005-0000-0000-000097000000}"/>
    <cellStyle name="Total 2" xfId="106" xr:uid="{00000000-0005-0000-0000-000098000000}"/>
    <cellStyle name="Warning Text 2" xfId="107" xr:uid="{00000000-0005-0000-0000-000099000000}"/>
  </cellStyles>
  <dxfs count="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FF99"/>
      <color rgb="FF89E0FF"/>
      <color rgb="FF33CCFF"/>
      <color rgb="FFFF7C80"/>
      <color rgb="FF00CCFF"/>
      <color rgb="FF00FFFF"/>
      <color rgb="FFFF99CC"/>
      <color rgb="FFFF00FF"/>
      <color rgb="FFFFCC99"/>
      <color rgb="FFFFE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calcChain" Target="calcChain.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sharedStrings" Target="sharedStrings.xml"/><Relationship Id="rId30" Type="http://www.wps.cn/officeDocument/2021/sharedlinks" Target="NUL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31750</xdr:colOff>
          <xdr:row>0</xdr:row>
          <xdr:rowOff>0</xdr:rowOff>
        </xdr:from>
        <xdr:to>
          <xdr:col>1</xdr:col>
          <xdr:colOff>876300</xdr:colOff>
          <xdr:row>0</xdr:row>
          <xdr:rowOff>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6</xdr:col>
      <xdr:colOff>296575</xdr:colOff>
      <xdr:row>0</xdr:row>
      <xdr:rowOff>0</xdr:rowOff>
    </xdr:from>
    <xdr:to>
      <xdr:col>7</xdr:col>
      <xdr:colOff>107156</xdr:colOff>
      <xdr:row>0</xdr:row>
      <xdr:rowOff>626207</xdr:rowOff>
    </xdr:to>
    <xdr:pic>
      <xdr:nvPicPr>
        <xdr:cNvPr id="2" name="Picture 7" descr="logo">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656580" y="0"/>
          <a:ext cx="925195" cy="6261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2079344</xdr:colOff>
      <xdr:row>0</xdr:row>
      <xdr:rowOff>0</xdr:rowOff>
    </xdr:from>
    <xdr:to>
      <xdr:col>9</xdr:col>
      <xdr:colOff>4051019</xdr:colOff>
      <xdr:row>1</xdr:row>
      <xdr:rowOff>95250</xdr:rowOff>
    </xdr:to>
    <xdr:pic>
      <xdr:nvPicPr>
        <xdr:cNvPr id="2" name="Picture 7" descr="logo">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9036344" y="0"/>
          <a:ext cx="1971675" cy="127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4</xdr:col>
          <xdr:colOff>0</xdr:colOff>
          <xdr:row>1</xdr:row>
          <xdr:rowOff>0</xdr:rowOff>
        </xdr:from>
        <xdr:to>
          <xdr:col>4</xdr:col>
          <xdr:colOff>0</xdr:colOff>
          <xdr:row>1</xdr:row>
          <xdr:rowOff>0</xdr:rowOff>
        </xdr:to>
        <xdr:sp macro="" textlink="">
          <xdr:nvSpPr>
            <xdr:cNvPr id="56321" name="Object 1" hidden="1">
              <a:extLst>
                <a:ext uri="{63B3BB69-23CF-44E3-9099-C40C66FF867C}">
                  <a14:compatExt spid="_x0000_s56321"/>
                </a:ext>
                <a:ext uri="{FF2B5EF4-FFF2-40B4-BE49-F238E27FC236}">
                  <a16:creationId xmlns:a16="http://schemas.microsoft.com/office/drawing/2014/main" id="{00000000-0008-0000-0300-000001DC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6</xdr:col>
      <xdr:colOff>924198</xdr:colOff>
      <xdr:row>0</xdr:row>
      <xdr:rowOff>307975</xdr:rowOff>
    </xdr:from>
    <xdr:to>
      <xdr:col>6</xdr:col>
      <xdr:colOff>2422523</xdr:colOff>
      <xdr:row>1</xdr:row>
      <xdr:rowOff>860426</xdr:rowOff>
    </xdr:to>
    <xdr:pic>
      <xdr:nvPicPr>
        <xdr:cNvPr id="2" name="Picture 7" descr="logo">
          <a:extLst>
            <a:ext uri="{FF2B5EF4-FFF2-40B4-BE49-F238E27FC236}">
              <a16:creationId xmlns:a16="http://schemas.microsoft.com/office/drawing/2014/main" id="{4A754920-C71D-4EF5-BD76-0C9F44726F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5960998" y="307975"/>
          <a:ext cx="1498325" cy="8953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13</xdr:col>
      <xdr:colOff>496426</xdr:colOff>
      <xdr:row>0</xdr:row>
      <xdr:rowOff>101122</xdr:rowOff>
    </xdr:from>
    <xdr:to>
      <xdr:col>16</xdr:col>
      <xdr:colOff>70712</xdr:colOff>
      <xdr:row>0</xdr:row>
      <xdr:rowOff>903943</xdr:rowOff>
    </xdr:to>
    <xdr:pic>
      <xdr:nvPicPr>
        <xdr:cNvPr id="2" name="Picture 7" descr="logo">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254509" y="101122"/>
          <a:ext cx="1743870" cy="8028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7</xdr:col>
      <xdr:colOff>107342</xdr:colOff>
      <xdr:row>0</xdr:row>
      <xdr:rowOff>403678</xdr:rowOff>
    </xdr:from>
    <xdr:to>
      <xdr:col>7</xdr:col>
      <xdr:colOff>1878543</xdr:colOff>
      <xdr:row>0</xdr:row>
      <xdr:rowOff>1179285</xdr:rowOff>
    </xdr:to>
    <xdr:pic>
      <xdr:nvPicPr>
        <xdr:cNvPr id="2" name="Picture 7" descr="logo">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841990" y="403225"/>
          <a:ext cx="1771015" cy="7759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file:///C:\tablet\Download\C:\tablet\Download\PC1\Users\Salasiah\Desktop\EO%202\SEPTEMBER\BPA\EO\Deduction\NONIE%20BAGI\SK%20Pendrive\nana\PERFORMANCE%20REPORT\BPA\2011\repot%20team%202010\DATABASE%20MASTER\dak%20man\OUTSTANDING%20PAYMENT\TOTAL%20OUTSTANDING%20PAYMENT%20(Ogos08).xls?5D3F9A08" TargetMode="External"/><Relationship Id="rId1" Type="http://schemas.openxmlformats.org/officeDocument/2006/relationships/externalLinkPath" Target="file:///\\5D3F9A08\TOTAL%20OUTSTANDING%20PAYMENT%20(Ogos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ablet\Download\C:\tablet\Download\Quinnie\DRAFT%20FOLDER\Cost%20estimate\NIF%20RMSB%2026.12.2002\VO%20-%20RMSB%20FEMS%2026.12.2002%20CFRat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ablet\Download\C:\tablet\Download\C:\Users\Head%20Of%20BEMS\Desktop\Document\mapping\LETTER\2024\MAPPING%20BEMS_IKN%20MAY%20202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ablet\Download\C:\tablet\Download\02DAD46E\TOTAL%20OUTSTANDING%20PAYMENT%20(Ogos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tablet\Download\C:\tablet\Download\PC2\Users\Public\Documents\MAPPING%20BEMS_IKN%20(Dec%202020)-1st%20draft%200601202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ablet\Download\C:\tablet\Download\hq\medivest\Users\acer\Documents\data%20laptop%20apsb%20latest\lain-lain%202012\Yearly%20Planner%202013%20SB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tablet\Download\C:\tablet\Download\hq\medivest\Users\AP%20KLG\Documents\data%20laptop%20apsb%20latest@120413\folder%20for%20staff%20contract%20(ira)\warranty\yearly%20planner%202013%20as%20at%2019_2_1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tablet\Download\C:\tablet\Download\C:\Users\user\AppData\Local\Microsoft\Windows\INetCache\Content.Outlook\P1J7AALU\MAPPING%20BEMS_IKN%20DEC%20202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tablet\Download\C:\tablet\Download\C:\Users\user\AppData\Local\Microsoft\Windows\INetCache\Content.Outlook\S9UTTOG3\MAPPING%20MAY%202024%20B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tablet\Download\C:\tablet\Download\C:\Users\Head%20Of%20BEMS\Desktop\Document\mapping\LETTER\2024\MAPPING%20BEMS_IKN%20FEB%202024.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tablet\Download\C:\tablet\Download\C:\Users\User\Desktop\MAPPING%20PREVCM\MAPPING%20BEMS%20MAY%202025.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tablet\Download\C:\tablet\Download\PC1\Users\CC%20copy's\Simulation%20on%20Taiping\DAR_HWMS%20sampl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tablet\Download\C:\tablet\Download\C:\Users\User\Desktop\DAILY%20LOG%20IKN\ASSET%20MASTERLIST%20NCI\Asset%20Masterlist%20NCI%20update%202911202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tablet\Download\C:\tablet\Download\C:\Users\User\Downloads\MAPPING_BEMS_AUG_2025%20(2).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tablet\Download\C:\tablet\Download\C:\Users\admin\Downloads\MAPPING_BEMS_SEP_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MS - RMSB Grand Summary"/>
      <sheetName val="FEMS - RMSB Summary"/>
      <sheetName val="Table A.1"/>
      <sheetName val="Table A.2"/>
      <sheetName val="Table A.3 (Summary)"/>
      <sheetName val="Term Outstanding Payment"/>
    </sheetNames>
    <sheetDataSet>
      <sheetData sheetId="0"/>
      <sheetData sheetId="1"/>
      <sheetData sheetId="2"/>
      <sheetData sheetId="3"/>
      <sheetData sheetId="4"/>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DI"/>
      <sheetName val="Public Holiday"/>
      <sheetName val="BEMSdar"/>
      <sheetName val="B1&amp; B2 UNSCHEDULED"/>
      <sheetName val="B3-SCHEDULED"/>
      <sheetName val="B4-UPTIME "/>
      <sheetName val="B4-UPTIME updated"/>
      <sheetName val="B5-T&amp;C"/>
      <sheetName val="Sheet1 "/>
      <sheetName val="Sheet1"/>
      <sheetName val="Sheet2"/>
      <sheetName val="BEM1/25Sdar"/>
    </sheetNames>
    <sheetDataSet>
      <sheetData sheetId="0"/>
      <sheetData sheetId="1"/>
      <sheetData sheetId="2"/>
      <sheetData sheetId="3">
        <row r="8">
          <cell r="L8">
            <v>45443</v>
          </cell>
        </row>
      </sheetData>
      <sheetData sheetId="4"/>
      <sheetData sheetId="5"/>
      <sheetData sheetId="6"/>
      <sheetData sheetId="7"/>
      <sheetData sheetId="8"/>
      <sheetData sheetId="9"/>
      <sheetData sheetId="10"/>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 val="Table A.1"/>
    </sheetNames>
    <sheetDataSet>
      <sheetData sheetId="0"/>
      <sheetData sheetId="1"/>
      <sheetData sheetId="2"/>
      <sheetData sheetId="3"/>
      <sheetData sheetId="4"/>
      <sheetData sheetId="5"/>
      <sheetData sheetId="6"/>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blic Holiday"/>
      <sheetName val="KDI"/>
      <sheetName val="BEMSdar"/>
      <sheetName val="B1-RESPONSE &amp; B2-REPAIR"/>
      <sheetName val="B3-SCHEDULED"/>
      <sheetName val="B4-UPTIME"/>
      <sheetName val="B5-T&amp;C"/>
      <sheetName val="Sheet1"/>
      <sheetName val="Sheet3"/>
      <sheetName val="Sheet2"/>
      <sheetName val="Term Outstanding Payment"/>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Dept"/>
      <sheetName val="Hidden"/>
      <sheetName val="Site"/>
      <sheetName val="Public Holiday"/>
    </sheetNames>
    <sheetDataSet>
      <sheetData sheetId="0"/>
      <sheetData sheetId="1"/>
      <sheetData sheetId="2"/>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s"/>
      <sheetName val="TemplateDept"/>
      <sheetName val="Hidden"/>
      <sheetName val="Intro"/>
      <sheetName val="SBN 2013"/>
      <sheetName val="export"/>
      <sheetName val="table 1"/>
      <sheetName val="Site"/>
      <sheetName val="HOLIDAY"/>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3-SCHEDULED (2)"/>
      <sheetName val="KDI"/>
      <sheetName val="Public Holiday"/>
      <sheetName val="BEMSdar"/>
      <sheetName val="B1&amp; B2 UNSCHEDULED"/>
      <sheetName val="B3-SCHEDULED "/>
      <sheetName val="B4-UPTIME "/>
      <sheetName val="B5-T&amp;C"/>
      <sheetName val="Sheet1"/>
      <sheetName val="Sheet2"/>
      <sheetName val="B3-SCHEDULED"/>
      <sheetName val="B4-UPTIME"/>
      <sheetName val="B5-T&amp;C (UPDATE)"/>
    </sheetNames>
    <sheetDataSet>
      <sheetData sheetId="0"/>
      <sheetData sheetId="1" refreshError="1"/>
      <sheetData sheetId="2">
        <row r="3">
          <cell r="A3">
            <v>44927</v>
          </cell>
        </row>
        <row r="4">
          <cell r="A4">
            <v>45292</v>
          </cell>
        </row>
        <row r="5">
          <cell r="A5">
            <v>44928</v>
          </cell>
        </row>
        <row r="6">
          <cell r="A6">
            <v>45316</v>
          </cell>
        </row>
        <row r="7">
          <cell r="A7">
            <v>44948</v>
          </cell>
        </row>
        <row r="8">
          <cell r="A8">
            <v>45323</v>
          </cell>
        </row>
        <row r="9">
          <cell r="A9">
            <v>44584</v>
          </cell>
        </row>
        <row r="10">
          <cell r="A10">
            <v>45332</v>
          </cell>
        </row>
        <row r="11">
          <cell r="A11">
            <v>44585</v>
          </cell>
        </row>
        <row r="12">
          <cell r="A12">
            <v>45333</v>
          </cell>
        </row>
        <row r="13">
          <cell r="A13">
            <v>44958</v>
          </cell>
        </row>
        <row r="14">
          <cell r="A14">
            <v>45334</v>
          </cell>
        </row>
        <row r="15">
          <cell r="A15">
            <v>44962</v>
          </cell>
        </row>
        <row r="16">
          <cell r="A16">
            <v>45379</v>
          </cell>
        </row>
        <row r="17">
          <cell r="A17">
            <v>44963</v>
          </cell>
        </row>
        <row r="18">
          <cell r="A18">
            <v>45392</v>
          </cell>
        </row>
        <row r="19">
          <cell r="A19">
            <v>45024</v>
          </cell>
        </row>
        <row r="20">
          <cell r="A20">
            <v>45393</v>
          </cell>
        </row>
        <row r="21">
          <cell r="A21">
            <v>45037</v>
          </cell>
        </row>
        <row r="22">
          <cell r="A22">
            <v>45413</v>
          </cell>
        </row>
        <row r="23">
          <cell r="A23">
            <v>45038</v>
          </cell>
        </row>
        <row r="24">
          <cell r="A24">
            <v>45434</v>
          </cell>
        </row>
        <row r="25">
          <cell r="A25">
            <v>45039</v>
          </cell>
        </row>
        <row r="26">
          <cell r="A26">
            <v>45446</v>
          </cell>
        </row>
        <row r="27">
          <cell r="A27">
            <v>45040</v>
          </cell>
        </row>
        <row r="28">
          <cell r="A28">
            <v>45460</v>
          </cell>
        </row>
        <row r="29">
          <cell r="A29">
            <v>45047</v>
          </cell>
        </row>
        <row r="30">
          <cell r="A30">
            <v>45480</v>
          </cell>
        </row>
        <row r="31">
          <cell r="A31">
            <v>45050</v>
          </cell>
        </row>
        <row r="32">
          <cell r="A32">
            <v>45481</v>
          </cell>
        </row>
        <row r="33">
          <cell r="A33">
            <v>45082</v>
          </cell>
        </row>
        <row r="34">
          <cell r="A34">
            <v>45535</v>
          </cell>
        </row>
        <row r="35">
          <cell r="A35">
            <v>45106</v>
          </cell>
        </row>
        <row r="36">
          <cell r="A36">
            <v>45551</v>
          </cell>
        </row>
        <row r="37">
          <cell r="A37">
            <v>45126</v>
          </cell>
        </row>
        <row r="38">
          <cell r="A38">
            <v>45551</v>
          </cell>
        </row>
        <row r="39">
          <cell r="A39">
            <v>45169</v>
          </cell>
        </row>
        <row r="40">
          <cell r="A40">
            <v>45552</v>
          </cell>
        </row>
        <row r="41">
          <cell r="A41">
            <v>45185</v>
          </cell>
        </row>
        <row r="42">
          <cell r="A42">
            <v>45596</v>
          </cell>
        </row>
        <row r="43">
          <cell r="A43">
            <v>45197</v>
          </cell>
        </row>
        <row r="44">
          <cell r="A44">
            <v>45651</v>
          </cell>
        </row>
        <row r="45">
          <cell r="A45">
            <v>45242</v>
          </cell>
        </row>
        <row r="47">
          <cell r="A47">
            <v>45243</v>
          </cell>
        </row>
        <row r="49">
          <cell r="A49">
            <v>45285</v>
          </cell>
        </row>
      </sheetData>
      <sheetData sheetId="3" refreshError="1"/>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DI"/>
      <sheetName val="Public Holiday"/>
      <sheetName val="BEMSdar"/>
      <sheetName val="B1&amp; B2 UNSCHEDULED hantar"/>
      <sheetName val="B3-SCHEDULED (2)"/>
      <sheetName val="B3-SCHEDULED"/>
      <sheetName val="B5-T&amp;C"/>
      <sheetName val="B4-UPTIME"/>
      <sheetName val="Sheet1"/>
      <sheetName val="Sheet2"/>
    </sheetNames>
    <sheetDataSet>
      <sheetData sheetId="0" refreshError="1"/>
      <sheetData sheetId="1">
        <row r="4">
          <cell r="A4">
            <v>45292</v>
          </cell>
        </row>
        <row r="6">
          <cell r="A6">
            <v>45316</v>
          </cell>
        </row>
        <row r="8">
          <cell r="A8">
            <v>45323</v>
          </cell>
        </row>
        <row r="10">
          <cell r="A10">
            <v>45332</v>
          </cell>
        </row>
        <row r="12">
          <cell r="A12">
            <v>45333</v>
          </cell>
        </row>
        <row r="14">
          <cell r="A14">
            <v>45334</v>
          </cell>
        </row>
        <row r="16">
          <cell r="A16">
            <v>45379</v>
          </cell>
        </row>
        <row r="18">
          <cell r="A18">
            <v>45392</v>
          </cell>
        </row>
        <row r="20">
          <cell r="A20">
            <v>45393</v>
          </cell>
        </row>
        <row r="22">
          <cell r="A22">
            <v>45413</v>
          </cell>
        </row>
        <row r="24">
          <cell r="A24">
            <v>45434</v>
          </cell>
        </row>
        <row r="26">
          <cell r="A26">
            <v>45446</v>
          </cell>
        </row>
        <row r="28">
          <cell r="A28">
            <v>45460</v>
          </cell>
        </row>
        <row r="30">
          <cell r="A30">
            <v>45480</v>
          </cell>
        </row>
        <row r="32">
          <cell r="A32">
            <v>45481</v>
          </cell>
        </row>
        <row r="34">
          <cell r="A34">
            <v>45535</v>
          </cell>
        </row>
        <row r="36">
          <cell r="A36">
            <v>45551</v>
          </cell>
        </row>
        <row r="38">
          <cell r="A38">
            <v>45551</v>
          </cell>
        </row>
        <row r="40">
          <cell r="A40">
            <v>45552</v>
          </cell>
        </row>
        <row r="42">
          <cell r="A42">
            <v>45596</v>
          </cell>
        </row>
        <row r="44">
          <cell r="A44">
            <v>45651</v>
          </cell>
        </row>
      </sheetData>
      <sheetData sheetId="2"/>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DI"/>
      <sheetName val="Public Holiday"/>
      <sheetName val="BEMSdar"/>
      <sheetName val="B1&amp; B2 UNSCHEDULED"/>
      <sheetName val="B3-SCHEDULED"/>
      <sheetName val="B4-UPTIME"/>
      <sheetName val="B4-UPTIME updated"/>
      <sheetName val="B5-T&amp;C"/>
      <sheetName val="Sheet1"/>
      <sheetName val="Sheet2"/>
    </sheetNames>
    <sheetDataSet>
      <sheetData sheetId="0"/>
      <sheetData sheetId="1">
        <row r="4">
          <cell r="A4">
            <v>45292</v>
          </cell>
        </row>
        <row r="6">
          <cell r="A6">
            <v>45316</v>
          </cell>
        </row>
        <row r="8">
          <cell r="A8">
            <v>45323</v>
          </cell>
        </row>
        <row r="10">
          <cell r="A10">
            <v>45332</v>
          </cell>
        </row>
        <row r="12">
          <cell r="A12">
            <v>45333</v>
          </cell>
        </row>
        <row r="14">
          <cell r="A14">
            <v>45334</v>
          </cell>
        </row>
        <row r="16">
          <cell r="A16">
            <v>45379</v>
          </cell>
        </row>
        <row r="18">
          <cell r="A18">
            <v>45392</v>
          </cell>
        </row>
        <row r="20">
          <cell r="A20">
            <v>45393</v>
          </cell>
        </row>
        <row r="22">
          <cell r="A22">
            <v>45413</v>
          </cell>
        </row>
        <row r="24">
          <cell r="A24">
            <v>45434</v>
          </cell>
        </row>
        <row r="26">
          <cell r="A26">
            <v>45446</v>
          </cell>
        </row>
        <row r="28">
          <cell r="A28">
            <v>45460</v>
          </cell>
        </row>
        <row r="30">
          <cell r="A30">
            <v>45480</v>
          </cell>
        </row>
        <row r="32">
          <cell r="A32">
            <v>45481</v>
          </cell>
        </row>
        <row r="34">
          <cell r="A34">
            <v>45535</v>
          </cell>
        </row>
        <row r="36">
          <cell r="A36">
            <v>45551</v>
          </cell>
        </row>
        <row r="38">
          <cell r="A38">
            <v>45551</v>
          </cell>
        </row>
        <row r="40">
          <cell r="A40">
            <v>45552</v>
          </cell>
        </row>
        <row r="42">
          <cell r="A42">
            <v>45596</v>
          </cell>
        </row>
        <row r="44">
          <cell r="A44">
            <v>45651</v>
          </cell>
        </row>
      </sheetData>
      <sheetData sheetId="2"/>
      <sheetData sheetId="3"/>
      <sheetData sheetId="4"/>
      <sheetData sheetId="5"/>
      <sheetData sheetId="6"/>
      <sheetData sheetId="7"/>
      <sheetData sheetId="8"/>
      <sheetData sheetId="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DI"/>
      <sheetName val="Public Holiday"/>
      <sheetName val="BEMSdar"/>
      <sheetName val="B1&amp; B2 UNSCHEDULED"/>
      <sheetName val="B3-SCHEDULED  (MAY)"/>
      <sheetName val="B4-UPTIME"/>
      <sheetName val="B5-T&amp;C"/>
      <sheetName val="Sheet1"/>
      <sheetName val="Sheet2"/>
    </sheetNames>
    <sheetDataSet>
      <sheetData sheetId="0" refreshError="1"/>
      <sheetData sheetId="1">
        <row r="4">
          <cell r="A4">
            <v>45658</v>
          </cell>
        </row>
        <row r="6">
          <cell r="A6">
            <v>45686</v>
          </cell>
        </row>
        <row r="8">
          <cell r="A8">
            <v>45687</v>
          </cell>
        </row>
        <row r="10">
          <cell r="A10">
            <v>45689</v>
          </cell>
        </row>
        <row r="12">
          <cell r="A12">
            <v>45699</v>
          </cell>
        </row>
        <row r="14">
          <cell r="A14">
            <v>45734</v>
          </cell>
        </row>
        <row r="16">
          <cell r="A16">
            <v>45748</v>
          </cell>
        </row>
        <row r="18">
          <cell r="A18">
            <v>45749</v>
          </cell>
        </row>
        <row r="20">
          <cell r="A20">
            <v>45778</v>
          </cell>
        </row>
        <row r="22">
          <cell r="A22">
            <v>45789</v>
          </cell>
        </row>
        <row r="24">
          <cell r="A24">
            <v>45810</v>
          </cell>
        </row>
        <row r="26">
          <cell r="A26">
            <v>45815</v>
          </cell>
        </row>
        <row r="28">
          <cell r="A28">
            <v>45816</v>
          </cell>
        </row>
        <row r="30">
          <cell r="A30">
            <v>45835</v>
          </cell>
        </row>
        <row r="32">
          <cell r="A32">
            <v>45900</v>
          </cell>
        </row>
        <row r="34">
          <cell r="A34">
            <v>45901</v>
          </cell>
        </row>
        <row r="36">
          <cell r="A36">
            <v>45905</v>
          </cell>
        </row>
        <row r="38">
          <cell r="A38">
            <v>45916</v>
          </cell>
        </row>
        <row r="40">
          <cell r="A40">
            <v>45950</v>
          </cell>
        </row>
        <row r="42">
          <cell r="A42">
            <v>46016</v>
          </cell>
        </row>
      </sheetData>
      <sheetData sheetId="2"/>
      <sheetData sheetId="3" refreshError="1"/>
      <sheetData sheetId="4" refreshError="1"/>
      <sheetData sheetId="5" refreshError="1"/>
      <sheetData sheetId="6"/>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WMS 1"/>
      <sheetName val="HWMS 2"/>
    </sheetNames>
    <sheetDataSet>
      <sheetData sheetId="0"/>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Details_UEM"/>
      <sheetName val="NW"/>
      <sheetName val="AUDIT"/>
    </sheetNames>
    <sheetDataSet>
      <sheetData sheetId="0" refreshError="1">
        <row r="3">
          <cell r="A3" t="str">
            <v>IKN400557</v>
          </cell>
          <cell r="B3">
            <v>557</v>
          </cell>
          <cell r="C3" t="str">
            <v>Institut Kanser Negara</v>
          </cell>
          <cell r="D3" t="str">
            <v>KKM/IKN/H/17/9</v>
          </cell>
          <cell r="E3" t="str">
            <v>10-208</v>
          </cell>
          <cell r="F3" t="str">
            <v>Aspirators</v>
          </cell>
          <cell r="G3" t="str">
            <v>MC</v>
          </cell>
          <cell r="H3" t="str">
            <v>MULTI-DISCIPLINE CLINIC</v>
          </cell>
          <cell r="I3" t="str">
            <v>03MC107</v>
          </cell>
          <cell r="J3" t="str">
            <v>TREATMENT 1</v>
          </cell>
          <cell r="K3" t="str">
            <v>BMED</v>
          </cell>
          <cell r="L3" t="str">
            <v>Critical</v>
          </cell>
          <cell r="M3" t="str">
            <v>Italy</v>
          </cell>
          <cell r="N3" t="str">
            <v>Hospivac</v>
          </cell>
          <cell r="O3" t="str">
            <v>Hospivac 350</v>
          </cell>
          <cell r="P3" t="str">
            <v>140701786</v>
          </cell>
          <cell r="Q3" t="str">
            <v>Not Applicable</v>
          </cell>
          <cell r="R3" t="str">
            <v>Ca-Mi Snc</v>
          </cell>
          <cell r="S3" t="str">
            <v>ONE DENTAL SUPPLY AND MARKETING SDN BHD</v>
          </cell>
          <cell r="T3" t="str">
            <v>Functioning</v>
          </cell>
          <cell r="U3" t="str">
            <v>Asset</v>
          </cell>
          <cell r="V3">
            <v>4280</v>
          </cell>
          <cell r="W3" t="str">
            <v>KEW</v>
          </cell>
          <cell r="X3" t="str">
            <v>27/09/2017</v>
          </cell>
          <cell r="Y3" t="str">
            <v>KEW</v>
          </cell>
          <cell r="Z3" t="str">
            <v>13/11/2017</v>
          </cell>
          <cell r="AA3" t="str">
            <v>13/11/2018</v>
          </cell>
          <cell r="AB3" t="str">
            <v>No</v>
          </cell>
          <cell r="AC3" t="str">
            <v>13/11/2017</v>
          </cell>
          <cell r="AD3" t="str">
            <v>Good</v>
          </cell>
          <cell r="AE3" t="str">
            <v>V3 - Added Installed Facilities (New)</v>
          </cell>
          <cell r="AF3">
            <v>43404</v>
          </cell>
          <cell r="AG3">
            <v>2.17</v>
          </cell>
          <cell r="AH3" t="str">
            <v>PPM</v>
          </cell>
          <cell r="AI3" t="str">
            <v>Strands</v>
          </cell>
          <cell r="AJ3" t="str">
            <v>Strands PW</v>
          </cell>
          <cell r="AK3" t="str">
            <v>SNF received. 1st batch of V3 asset (December 2020)</v>
          </cell>
        </row>
        <row r="4">
          <cell r="A4" t="str">
            <v>IKN400558</v>
          </cell>
          <cell r="B4">
            <v>558</v>
          </cell>
          <cell r="C4" t="str">
            <v>Institut Kanser Negara</v>
          </cell>
          <cell r="D4" t="str">
            <v>KKM/IKN/H/17/12</v>
          </cell>
          <cell r="E4" t="str">
            <v>15-161</v>
          </cell>
          <cell r="F4" t="str">
            <v>Mixers, Clinical Laboratory</v>
          </cell>
          <cell r="G4" t="str">
            <v>MC</v>
          </cell>
          <cell r="H4" t="str">
            <v>MULTI-DISCIPLINE CLINIC</v>
          </cell>
          <cell r="I4" t="str">
            <v>03MC107</v>
          </cell>
          <cell r="J4" t="str">
            <v>TREATMENT 1</v>
          </cell>
          <cell r="K4" t="str">
            <v>BMED</v>
          </cell>
          <cell r="L4" t="str">
            <v>Normal</v>
          </cell>
          <cell r="M4" t="str">
            <v>USA</v>
          </cell>
          <cell r="N4" t="str">
            <v>Dentamerica</v>
          </cell>
          <cell r="O4" t="str">
            <v>Blendex</v>
          </cell>
          <cell r="P4" t="str">
            <v>G00097</v>
          </cell>
          <cell r="Q4" t="str">
            <v>Not Applicable</v>
          </cell>
          <cell r="R4" t="str">
            <v>Dentamerica</v>
          </cell>
          <cell r="S4" t="str">
            <v>One Dental Supply &amp; Marketing Sdn. Bhd.</v>
          </cell>
          <cell r="T4" t="str">
            <v>Functioning</v>
          </cell>
          <cell r="U4" t="str">
            <v>Asset</v>
          </cell>
          <cell r="V4">
            <v>3120</v>
          </cell>
          <cell r="W4" t="str">
            <v>KEW</v>
          </cell>
          <cell r="X4" t="str">
            <v>27/09/2017</v>
          </cell>
          <cell r="Y4" t="str">
            <v>KEW</v>
          </cell>
          <cell r="Z4" t="str">
            <v>28/11/2017</v>
          </cell>
          <cell r="AA4" t="str">
            <v>28/11/2018</v>
          </cell>
          <cell r="AB4" t="str">
            <v>No</v>
          </cell>
          <cell r="AC4" t="str">
            <v>28/11/2017</v>
          </cell>
          <cell r="AD4" t="str">
            <v>Good</v>
          </cell>
          <cell r="AE4" t="str">
            <v>V3 - Added Installed Facilities (New)</v>
          </cell>
          <cell r="AF4">
            <v>43404</v>
          </cell>
          <cell r="AG4">
            <v>2.17</v>
          </cell>
          <cell r="AH4" t="str">
            <v>PPM</v>
          </cell>
          <cell r="AI4" t="str">
            <v>Strands</v>
          </cell>
          <cell r="AJ4" t="str">
            <v>Strands PW</v>
          </cell>
          <cell r="AK4" t="str">
            <v>SNF received. 1st batch of V3 asset (December 2020)</v>
          </cell>
        </row>
        <row r="5">
          <cell r="A5" t="str">
            <v>IKN400559</v>
          </cell>
          <cell r="B5">
            <v>559</v>
          </cell>
          <cell r="C5" t="str">
            <v>Institut Kanser Negara</v>
          </cell>
          <cell r="D5" t="str">
            <v>KKM/IKN/H/17/7</v>
          </cell>
          <cell r="E5" t="str">
            <v>18-231</v>
          </cell>
          <cell r="F5" t="str">
            <v>Electrosurgical Units, Monopolar/Bipolar</v>
          </cell>
          <cell r="G5" t="str">
            <v>MC</v>
          </cell>
          <cell r="H5" t="str">
            <v>MULTI-DISCIPLINE CLINIC</v>
          </cell>
          <cell r="I5" t="str">
            <v>03MC107</v>
          </cell>
          <cell r="J5" t="str">
            <v>TREATMENT 1</v>
          </cell>
          <cell r="K5" t="str">
            <v>BMED</v>
          </cell>
          <cell r="L5" t="str">
            <v>Critical</v>
          </cell>
          <cell r="M5" t="str">
            <v>UK</v>
          </cell>
          <cell r="N5" t="str">
            <v>Eschmann</v>
          </cell>
          <cell r="O5" t="str">
            <v>Eschmann E30</v>
          </cell>
          <cell r="P5" t="str">
            <v>12103003</v>
          </cell>
          <cell r="Q5" t="str">
            <v>Not Applicable</v>
          </cell>
          <cell r="R5" t="str">
            <v>Eschmann Bros &amp; Walsh Ltd</v>
          </cell>
          <cell r="S5" t="str">
            <v>Uni Dex (Malaysia) Sdn. Bhd.</v>
          </cell>
          <cell r="T5" t="str">
            <v>Functioning</v>
          </cell>
          <cell r="U5" t="str">
            <v>Asset</v>
          </cell>
          <cell r="V5">
            <v>32478</v>
          </cell>
          <cell r="W5" t="str">
            <v>KEW</v>
          </cell>
          <cell r="X5" t="str">
            <v>28/09/2017</v>
          </cell>
          <cell r="Y5" t="str">
            <v>KEW</v>
          </cell>
          <cell r="Z5" t="str">
            <v>15/11/2017</v>
          </cell>
          <cell r="AA5" t="str">
            <v>15/11/2018</v>
          </cell>
          <cell r="AB5" t="str">
            <v>No</v>
          </cell>
          <cell r="AC5" t="str">
            <v>15/11/2017</v>
          </cell>
          <cell r="AD5" t="str">
            <v>Good</v>
          </cell>
          <cell r="AE5" t="str">
            <v>V3 - Added Installed Facilities (New)</v>
          </cell>
          <cell r="AF5">
            <v>43404</v>
          </cell>
          <cell r="AG5">
            <v>2.17</v>
          </cell>
          <cell r="AH5" t="str">
            <v>PPM</v>
          </cell>
          <cell r="AI5" t="str">
            <v>Strands</v>
          </cell>
          <cell r="AJ5" t="str">
            <v>Strands PW</v>
          </cell>
          <cell r="AK5" t="str">
            <v>SNF received. 1st batch of V3 asset (December 2020)</v>
          </cell>
        </row>
        <row r="6">
          <cell r="A6" t="str">
            <v>IKN400858</v>
          </cell>
          <cell r="B6">
            <v>858</v>
          </cell>
          <cell r="C6" t="str">
            <v>Institut Kanser Negara</v>
          </cell>
          <cell r="E6" t="str">
            <v>17-508</v>
          </cell>
          <cell r="F6" t="str">
            <v>Printers, Video</v>
          </cell>
          <cell r="G6" t="str">
            <v>RT</v>
          </cell>
          <cell r="H6" t="str">
            <v>RADIATION TREATMENT UNIT</v>
          </cell>
          <cell r="I6" t="str">
            <v>01RT127</v>
          </cell>
          <cell r="J6" t="str">
            <v>BRACHY OT 2</v>
          </cell>
          <cell r="K6" t="str">
            <v>BMED</v>
          </cell>
          <cell r="L6" t="str">
            <v>Normal</v>
          </cell>
          <cell r="M6" t="str">
            <v>Japan</v>
          </cell>
          <cell r="N6" t="str">
            <v>Sony</v>
          </cell>
          <cell r="O6" t="str">
            <v>Sony UP-25MD</v>
          </cell>
          <cell r="P6" t="str">
            <v>705115</v>
          </cell>
          <cell r="Q6" t="str">
            <v>Not Applicable</v>
          </cell>
          <cell r="R6" t="str">
            <v>Sony Corp</v>
          </cell>
          <cell r="S6" t="str">
            <v>V Medical Services</v>
          </cell>
          <cell r="T6" t="str">
            <v>Functioning</v>
          </cell>
          <cell r="U6" t="str">
            <v>Asset</v>
          </cell>
          <cell r="V6">
            <v>5000</v>
          </cell>
          <cell r="W6" t="str">
            <v>Estimate</v>
          </cell>
          <cell r="X6" t="str">
            <v>01/09/2010</v>
          </cell>
          <cell r="Y6" t="str">
            <v>KEW</v>
          </cell>
          <cell r="Z6" t="str">
            <v>16/08/2013</v>
          </cell>
          <cell r="AA6" t="str">
            <v>15/08/2015</v>
          </cell>
          <cell r="AB6" t="str">
            <v>No</v>
          </cell>
          <cell r="AC6" t="str">
            <v>31/08/2013</v>
          </cell>
          <cell r="AD6" t="str">
            <v>Good</v>
          </cell>
          <cell r="AE6" t="str">
            <v>V1 - Existing / No Claim</v>
          </cell>
          <cell r="AF6">
            <v>42720</v>
          </cell>
          <cell r="AG6">
            <v>9.17</v>
          </cell>
          <cell r="AH6" t="str">
            <v>RI</v>
          </cell>
          <cell r="AI6" t="str">
            <v>package</v>
          </cell>
          <cell r="AJ6" t="str">
            <v>Strands PW</v>
          </cell>
          <cell r="AK6" t="str">
            <v>located BOT</v>
          </cell>
        </row>
        <row r="7">
          <cell r="A7" t="str">
            <v>IKN400859</v>
          </cell>
          <cell r="B7">
            <v>859</v>
          </cell>
          <cell r="C7" t="str">
            <v>Institut Kanser Negara</v>
          </cell>
          <cell r="D7" t="e">
            <v>#N/A</v>
          </cell>
          <cell r="E7" t="str">
            <v>12-093</v>
          </cell>
          <cell r="F7" t="str">
            <v>Immobilizers</v>
          </cell>
          <cell r="G7" t="str">
            <v>PY</v>
          </cell>
          <cell r="H7" t="str">
            <v>PHYSIOTHERAPY</v>
          </cell>
          <cell r="I7" t="str">
            <v>04PY115</v>
          </cell>
          <cell r="J7" t="str">
            <v>GYMNASIUM</v>
          </cell>
          <cell r="K7" t="str">
            <v>BMED</v>
          </cell>
          <cell r="L7" t="str">
            <v>Normal</v>
          </cell>
          <cell r="M7" t="str">
            <v>TAIWAN</v>
          </cell>
          <cell r="N7" t="str">
            <v>PUMA</v>
          </cell>
          <cell r="O7" t="str">
            <v>DLD-20-10V</v>
          </cell>
          <cell r="P7" t="str">
            <v>VA070021</v>
          </cell>
          <cell r="Q7" t="str">
            <v>Not Applicable</v>
          </cell>
          <cell r="R7" t="str">
            <v>MY POWER TOOLS</v>
          </cell>
          <cell r="S7" t="str">
            <v>MY POWER TOOLS</v>
          </cell>
          <cell r="T7" t="str">
            <v>Functioning</v>
          </cell>
          <cell r="U7" t="str">
            <v>Asset</v>
          </cell>
          <cell r="V7">
            <v>1</v>
          </cell>
          <cell r="W7" t="str">
            <v>KEW</v>
          </cell>
          <cell r="X7" t="str">
            <v>01/09/2010</v>
          </cell>
          <cell r="Y7" t="str">
            <v>KEW</v>
          </cell>
          <cell r="Z7" t="str">
            <v>16/08/2013</v>
          </cell>
          <cell r="AA7" t="str">
            <v>15/08/2015</v>
          </cell>
          <cell r="AB7" t="str">
            <v>No</v>
          </cell>
          <cell r="AC7" t="str">
            <v>16/08/2013</v>
          </cell>
          <cell r="AD7" t="str">
            <v>Good</v>
          </cell>
          <cell r="AE7" t="str">
            <v>V10 - Asset in initial fee submission(new/replacement hosp)</v>
          </cell>
          <cell r="AF7">
            <v>43699</v>
          </cell>
          <cell r="AG7">
            <v>9.17</v>
          </cell>
          <cell r="AH7" t="str">
            <v>PPM</v>
          </cell>
          <cell r="AI7" t="str">
            <v>package</v>
          </cell>
          <cell r="AJ7" t="str">
            <v>Strands PW F</v>
          </cell>
        </row>
        <row r="8">
          <cell r="A8" t="str">
            <v>IKN400860</v>
          </cell>
          <cell r="B8">
            <v>860</v>
          </cell>
          <cell r="C8" t="str">
            <v>Institut Kanser Negara</v>
          </cell>
          <cell r="E8" t="str">
            <v>12-282</v>
          </cell>
          <cell r="F8" t="str">
            <v>Lights, Surgical</v>
          </cell>
          <cell r="G8" t="str">
            <v>MC</v>
          </cell>
          <cell r="H8" t="str">
            <v>MULTI-DISCIPLINE CLINIC</v>
          </cell>
          <cell r="I8" t="str">
            <v>03MC107</v>
          </cell>
          <cell r="J8" t="str">
            <v>TREATMENT 1</v>
          </cell>
          <cell r="K8" t="str">
            <v>BMED</v>
          </cell>
          <cell r="L8" t="str">
            <v>Normal</v>
          </cell>
          <cell r="M8" t="str">
            <v>USA</v>
          </cell>
          <cell r="N8" t="str">
            <v>Welch Allyn</v>
          </cell>
          <cell r="O8" t="str">
            <v>Welch Allyn GS900</v>
          </cell>
          <cell r="P8" t="str">
            <v>10032911105639</v>
          </cell>
          <cell r="Q8" t="str">
            <v>Not Applicable</v>
          </cell>
          <cell r="R8" t="str">
            <v>Welch Allyn Inc</v>
          </cell>
          <cell r="S8" t="str">
            <v>Welch Allyn Malaysia Sdn Bhd</v>
          </cell>
          <cell r="T8" t="str">
            <v>Functioning</v>
          </cell>
          <cell r="U8" t="str">
            <v>Asset</v>
          </cell>
          <cell r="V8">
            <v>10585</v>
          </cell>
          <cell r="W8" t="str">
            <v>KEW</v>
          </cell>
          <cell r="X8" t="str">
            <v>01/09/2010</v>
          </cell>
          <cell r="Y8" t="str">
            <v>KEW</v>
          </cell>
          <cell r="Z8" t="str">
            <v>16/08/2013</v>
          </cell>
          <cell r="AA8" t="str">
            <v>15/08/2015</v>
          </cell>
          <cell r="AB8" t="str">
            <v>No</v>
          </cell>
          <cell r="AC8" t="str">
            <v>31/08/2013</v>
          </cell>
          <cell r="AD8" t="str">
            <v>Good</v>
          </cell>
          <cell r="AE8" t="str">
            <v>V1 - Existing / No Claim</v>
          </cell>
          <cell r="AF8">
            <v>42235</v>
          </cell>
          <cell r="AG8">
            <v>9.17</v>
          </cell>
          <cell r="AH8" t="str">
            <v>PPM</v>
          </cell>
          <cell r="AI8" t="str">
            <v>Not in contract</v>
          </cell>
          <cell r="AJ8" t="str">
            <v>Strands PW</v>
          </cell>
        </row>
        <row r="9">
          <cell r="A9" t="str">
            <v>IKN400918</v>
          </cell>
          <cell r="B9">
            <v>917</v>
          </cell>
          <cell r="C9" t="str">
            <v>Institut Kanser Negara</v>
          </cell>
          <cell r="D9" t="str">
            <v>KKM/IKN/H/13/565</v>
          </cell>
          <cell r="E9" t="str">
            <v>16-241</v>
          </cell>
          <cell r="F9" t="str">
            <v>Scanning Systems, Ultrasonic, Abdominal</v>
          </cell>
          <cell r="G9" t="str">
            <v>MC</v>
          </cell>
          <cell r="H9" t="str">
            <v>MULTI-DISCIPLINE CLINIC</v>
          </cell>
          <cell r="I9" t="str">
            <v>03MC107</v>
          </cell>
          <cell r="J9" t="str">
            <v>TREATMENT 1</v>
          </cell>
          <cell r="K9" t="str">
            <v>BMED</v>
          </cell>
          <cell r="L9" t="str">
            <v>Normal</v>
          </cell>
          <cell r="M9" t="str">
            <v>UK</v>
          </cell>
          <cell r="N9" t="str">
            <v>Portascan</v>
          </cell>
          <cell r="O9" t="str">
            <v>Portascan+</v>
          </cell>
          <cell r="P9" t="str">
            <v>01025</v>
          </cell>
          <cell r="Q9" t="str">
            <v>Not Applicable</v>
          </cell>
          <cell r="R9" t="str">
            <v>Mediwatch Ltd</v>
          </cell>
          <cell r="S9" t="str">
            <v>MKS Medic Sdn Bhd</v>
          </cell>
          <cell r="T9" t="str">
            <v>Functioning</v>
          </cell>
          <cell r="U9" t="str">
            <v>Asset</v>
          </cell>
          <cell r="V9">
            <v>107510</v>
          </cell>
          <cell r="W9" t="str">
            <v>KEW</v>
          </cell>
          <cell r="X9" t="str">
            <v>01/09/2010</v>
          </cell>
          <cell r="Y9" t="str">
            <v>KEW</v>
          </cell>
          <cell r="Z9" t="str">
            <v>16/08/2013</v>
          </cell>
          <cell r="AA9" t="str">
            <v>15/08/2015</v>
          </cell>
          <cell r="AB9" t="str">
            <v>No</v>
          </cell>
          <cell r="AC9" t="str">
            <v>31/08/2013</v>
          </cell>
          <cell r="AD9" t="str">
            <v>Good</v>
          </cell>
          <cell r="AE9" t="str">
            <v>V1 - Existing / No Claim</v>
          </cell>
          <cell r="AF9">
            <v>42235</v>
          </cell>
          <cell r="AG9">
            <v>9.17</v>
          </cell>
          <cell r="AH9" t="str">
            <v>PPM</v>
          </cell>
          <cell r="AI9" t="str">
            <v>Strands</v>
          </cell>
          <cell r="AJ9" t="str">
            <v>Strands PW</v>
          </cell>
        </row>
        <row r="10">
          <cell r="A10" t="str">
            <v>IKN400919</v>
          </cell>
          <cell r="B10">
            <v>918</v>
          </cell>
          <cell r="C10" t="str">
            <v>Institut Kanser Negara</v>
          </cell>
          <cell r="E10" t="str">
            <v>16-173</v>
          </cell>
          <cell r="F10" t="str">
            <v>Sphygmomanometers, Electronic, Automatic</v>
          </cell>
          <cell r="G10" t="str">
            <v>MC</v>
          </cell>
          <cell r="H10" t="str">
            <v>MULTI-DISCIPLINE CLINIC</v>
          </cell>
          <cell r="I10" t="str">
            <v>03MC108</v>
          </cell>
          <cell r="J10" t="str">
            <v>TREATMENT/PROCEDURE</v>
          </cell>
          <cell r="K10" t="str">
            <v>BMED</v>
          </cell>
          <cell r="L10" t="str">
            <v>Normal</v>
          </cell>
          <cell r="M10" t="str">
            <v>USA</v>
          </cell>
          <cell r="N10" t="str">
            <v>Connex</v>
          </cell>
          <cell r="O10" t="str">
            <v>Connex ProBP 3400</v>
          </cell>
          <cell r="P10" t="str">
            <v>100001600613</v>
          </cell>
          <cell r="Q10" t="str">
            <v>Not Applicable</v>
          </cell>
          <cell r="R10" t="str">
            <v>Welch Allyn Inc</v>
          </cell>
          <cell r="S10" t="str">
            <v>Welch Allyn Malaysia Sdn Bhd</v>
          </cell>
          <cell r="T10" t="str">
            <v>Functioning</v>
          </cell>
          <cell r="U10" t="str">
            <v>Asset</v>
          </cell>
          <cell r="V10">
            <v>4510</v>
          </cell>
          <cell r="W10" t="str">
            <v>KEW</v>
          </cell>
          <cell r="X10" t="str">
            <v>01/09/2010</v>
          </cell>
          <cell r="Y10" t="str">
            <v>KEW</v>
          </cell>
          <cell r="Z10" t="str">
            <v>16/08/2013</v>
          </cell>
          <cell r="AA10" t="str">
            <v>15/08/2015</v>
          </cell>
          <cell r="AB10" t="str">
            <v>No</v>
          </cell>
          <cell r="AC10" t="str">
            <v>31/08/2013</v>
          </cell>
          <cell r="AD10" t="str">
            <v>Good</v>
          </cell>
          <cell r="AE10" t="str">
            <v>V1 - Existing / No Claim</v>
          </cell>
          <cell r="AF10">
            <v>42235</v>
          </cell>
          <cell r="AG10">
            <v>9.17</v>
          </cell>
          <cell r="AH10" t="str">
            <v>PPM</v>
          </cell>
          <cell r="AI10" t="str">
            <v>strands</v>
          </cell>
          <cell r="AJ10" t="str">
            <v>Strands PW</v>
          </cell>
        </row>
        <row r="11">
          <cell r="A11" t="str">
            <v>IKN400920</v>
          </cell>
          <cell r="B11">
            <v>919</v>
          </cell>
          <cell r="C11" t="str">
            <v>Institut Kanser Negara</v>
          </cell>
          <cell r="E11" t="str">
            <v>11-134</v>
          </cell>
          <cell r="F11" t="str">
            <v>Defibrillators, External, Manual</v>
          </cell>
          <cell r="G11" t="str">
            <v>MC</v>
          </cell>
          <cell r="H11" t="str">
            <v>MULTI-DISCIPLINE CLINIC</v>
          </cell>
          <cell r="I11" t="str">
            <v>03MC124</v>
          </cell>
          <cell r="J11" t="str">
            <v>RESUS EQ. BAY</v>
          </cell>
          <cell r="K11" t="str">
            <v>BMED</v>
          </cell>
          <cell r="L11" t="str">
            <v>Critical</v>
          </cell>
          <cell r="M11" t="str">
            <v>USA</v>
          </cell>
          <cell r="N11" t="str">
            <v>Responder</v>
          </cell>
          <cell r="O11" t="str">
            <v>Responder 2000</v>
          </cell>
          <cell r="P11" t="str">
            <v>3206725</v>
          </cell>
          <cell r="Q11" t="str">
            <v>Not Applicable</v>
          </cell>
          <cell r="R11" t="str">
            <v>GE Medical Systems</v>
          </cell>
          <cell r="S11" t="str">
            <v>Antah Sir Radin Sdn. Bhd.</v>
          </cell>
          <cell r="T11" t="str">
            <v>Functioning</v>
          </cell>
          <cell r="U11" t="str">
            <v>Asset</v>
          </cell>
          <cell r="V11">
            <v>45000</v>
          </cell>
          <cell r="W11" t="str">
            <v>Estimate</v>
          </cell>
          <cell r="X11" t="str">
            <v>01/09/2010</v>
          </cell>
          <cell r="Y11" t="str">
            <v>KEW</v>
          </cell>
          <cell r="Z11" t="str">
            <v>16/08/2013</v>
          </cell>
          <cell r="AA11" t="str">
            <v>15/08/2015</v>
          </cell>
          <cell r="AB11" t="str">
            <v>No</v>
          </cell>
          <cell r="AC11" t="str">
            <v>31/08/2013</v>
          </cell>
          <cell r="AD11" t="str">
            <v>Good</v>
          </cell>
          <cell r="AE11" t="str">
            <v>V1 - Existing / No Claim</v>
          </cell>
          <cell r="AF11">
            <v>42605</v>
          </cell>
          <cell r="AG11">
            <v>9.17</v>
          </cell>
          <cell r="AH11" t="str">
            <v>PPM</v>
          </cell>
          <cell r="AI11" t="str">
            <v>Strands</v>
          </cell>
          <cell r="AJ11" t="str">
            <v>Strands PW</v>
          </cell>
          <cell r="AK11" t="str">
            <v>Crash Trolley (FEMS)</v>
          </cell>
        </row>
        <row r="12">
          <cell r="A12" t="str">
            <v>IKN400925</v>
          </cell>
          <cell r="B12">
            <v>924</v>
          </cell>
          <cell r="C12" t="str">
            <v>Institut Kanser Negara</v>
          </cell>
          <cell r="D12" t="str">
            <v>KKM/IKN/H/13/557</v>
          </cell>
          <cell r="E12" t="str">
            <v>16-231</v>
          </cell>
          <cell r="F12" t="str">
            <v>Electrocardiographs, Multichannel, Interpretative</v>
          </cell>
          <cell r="G12" t="str">
            <v>MC</v>
          </cell>
          <cell r="H12" t="str">
            <v>MULTI-DISCIPLINE CLINIC</v>
          </cell>
          <cell r="I12" t="str">
            <v>03MC107</v>
          </cell>
          <cell r="J12" t="str">
            <v>TREATMENT 1</v>
          </cell>
          <cell r="K12" t="str">
            <v>BMED</v>
          </cell>
          <cell r="L12" t="str">
            <v>Normal</v>
          </cell>
          <cell r="M12" t="str">
            <v>China</v>
          </cell>
          <cell r="N12" t="str">
            <v>Mac</v>
          </cell>
          <cell r="O12" t="str">
            <v>MAC 800</v>
          </cell>
          <cell r="P12" t="str">
            <v>SJ412450340 WA</v>
          </cell>
          <cell r="Q12" t="str">
            <v>Not Applicable</v>
          </cell>
          <cell r="R12" t="str">
            <v>GE Healthcare Systems</v>
          </cell>
          <cell r="S12" t="str">
            <v>GE Healthcare Technologies</v>
          </cell>
          <cell r="T12" t="str">
            <v>Functioning</v>
          </cell>
          <cell r="U12" t="str">
            <v>Asset</v>
          </cell>
          <cell r="V12">
            <v>25260</v>
          </cell>
          <cell r="W12" t="str">
            <v>KEW</v>
          </cell>
          <cell r="X12" t="str">
            <v>01/09/2010</v>
          </cell>
          <cell r="Y12" t="str">
            <v>KEW</v>
          </cell>
          <cell r="Z12" t="str">
            <v>16/08/2013</v>
          </cell>
          <cell r="AA12" t="str">
            <v>15/08/2015</v>
          </cell>
          <cell r="AB12" t="str">
            <v>No</v>
          </cell>
          <cell r="AC12" t="str">
            <v>31/08/2013</v>
          </cell>
          <cell r="AD12" t="str">
            <v>Good</v>
          </cell>
          <cell r="AE12" t="str">
            <v>V1 - Existing / No Claim</v>
          </cell>
          <cell r="AF12">
            <v>42235</v>
          </cell>
          <cell r="AG12">
            <v>9.17</v>
          </cell>
          <cell r="AH12" t="str">
            <v>PPM</v>
          </cell>
          <cell r="AI12" t="str">
            <v>Strands</v>
          </cell>
          <cell r="AJ12" t="str">
            <v>Strands PW</v>
          </cell>
        </row>
        <row r="13">
          <cell r="A13" t="str">
            <v>IKN400926</v>
          </cell>
          <cell r="B13">
            <v>925</v>
          </cell>
          <cell r="C13" t="str">
            <v>Institut Kanser Negara</v>
          </cell>
          <cell r="D13" t="str">
            <v>KKM/IKN/H/13/532</v>
          </cell>
          <cell r="E13" t="str">
            <v>12-282</v>
          </cell>
          <cell r="F13" t="str">
            <v>Lights, Surgical</v>
          </cell>
          <cell r="G13" t="str">
            <v>MC</v>
          </cell>
          <cell r="H13" t="str">
            <v>MULTI-DISCIPLINE CLINIC</v>
          </cell>
          <cell r="I13" t="str">
            <v>03MC118</v>
          </cell>
          <cell r="J13" t="str">
            <v>C/E 5</v>
          </cell>
          <cell r="K13" t="str">
            <v>BMED</v>
          </cell>
          <cell r="L13" t="str">
            <v>Critical</v>
          </cell>
          <cell r="M13" t="str">
            <v>USA</v>
          </cell>
          <cell r="N13" t="str">
            <v>Welch Allyn</v>
          </cell>
          <cell r="O13" t="str">
            <v>Welch Allyn GS600</v>
          </cell>
          <cell r="P13" t="str">
            <v>GS-600-06</v>
          </cell>
          <cell r="Q13" t="str">
            <v>Not Applicable</v>
          </cell>
          <cell r="R13" t="str">
            <v>Welch Allyn Inc</v>
          </cell>
          <cell r="S13" t="str">
            <v>Welch Allyn Malaysia Sdn Bhd</v>
          </cell>
          <cell r="T13" t="str">
            <v>Functioning</v>
          </cell>
          <cell r="U13" t="str">
            <v>Asset</v>
          </cell>
          <cell r="V13">
            <v>5050</v>
          </cell>
          <cell r="W13" t="str">
            <v>KEW</v>
          </cell>
          <cell r="X13" t="str">
            <v>01/09/2010</v>
          </cell>
          <cell r="Y13" t="str">
            <v>KEW</v>
          </cell>
          <cell r="Z13" t="str">
            <v>16/08/2013</v>
          </cell>
          <cell r="AA13" t="str">
            <v>15/08/2015</v>
          </cell>
          <cell r="AB13" t="str">
            <v>No</v>
          </cell>
          <cell r="AC13" t="str">
            <v>31/08/2013</v>
          </cell>
          <cell r="AD13" t="str">
            <v>Good</v>
          </cell>
          <cell r="AE13" t="str">
            <v>V1 - Existing / No Claim</v>
          </cell>
          <cell r="AF13">
            <v>42800</v>
          </cell>
          <cell r="AG13">
            <v>9.17</v>
          </cell>
          <cell r="AH13" t="str">
            <v>PPM</v>
          </cell>
          <cell r="AI13" t="str">
            <v>Strands</v>
          </cell>
          <cell r="AJ13" t="str">
            <v>Strands PW</v>
          </cell>
        </row>
        <row r="14">
          <cell r="A14" t="str">
            <v>IKN400927</v>
          </cell>
          <cell r="B14">
            <v>926</v>
          </cell>
          <cell r="C14" t="str">
            <v>Institut Kanser Negara</v>
          </cell>
          <cell r="D14" t="str">
            <v>KKM/IKN/H/13/534</v>
          </cell>
          <cell r="E14" t="str">
            <v>12-282</v>
          </cell>
          <cell r="F14" t="str">
            <v>Lights, Surgical</v>
          </cell>
          <cell r="G14" t="str">
            <v>MC</v>
          </cell>
          <cell r="H14" t="str">
            <v>MULTI-DISCIPLINE CLINIC</v>
          </cell>
          <cell r="I14" t="str">
            <v>04MC142</v>
          </cell>
          <cell r="K14" t="str">
            <v>BMED</v>
          </cell>
          <cell r="L14" t="str">
            <v>Critical</v>
          </cell>
          <cell r="M14" t="str">
            <v>USA</v>
          </cell>
          <cell r="N14" t="str">
            <v>Welch Allyn</v>
          </cell>
          <cell r="O14" t="str">
            <v>Welch Allyn GS600</v>
          </cell>
          <cell r="P14" t="str">
            <v>GS-600-07</v>
          </cell>
          <cell r="Q14" t="str">
            <v>Not Applicable</v>
          </cell>
          <cell r="R14" t="str">
            <v>Welch Allyn Inc</v>
          </cell>
          <cell r="S14" t="str">
            <v>Welch Allyn Malaysia Sdn Bhd</v>
          </cell>
          <cell r="T14" t="str">
            <v>Functioning</v>
          </cell>
          <cell r="U14" t="str">
            <v>Asset</v>
          </cell>
          <cell r="V14">
            <v>5050</v>
          </cell>
          <cell r="W14" t="str">
            <v>KEW</v>
          </cell>
          <cell r="X14" t="str">
            <v>01/09/2010</v>
          </cell>
          <cell r="Y14" t="str">
            <v>KEW</v>
          </cell>
          <cell r="Z14" t="str">
            <v>16/08/2013</v>
          </cell>
          <cell r="AA14" t="str">
            <v>15/08/2015</v>
          </cell>
          <cell r="AB14" t="str">
            <v>No</v>
          </cell>
          <cell r="AC14" t="str">
            <v>31/08/2013</v>
          </cell>
          <cell r="AD14" t="str">
            <v>Good</v>
          </cell>
          <cell r="AE14" t="str">
            <v>V1 - Existing / No Claim</v>
          </cell>
          <cell r="AF14">
            <v>42800</v>
          </cell>
          <cell r="AG14">
            <v>9.17</v>
          </cell>
          <cell r="AH14" t="str">
            <v>PPM</v>
          </cell>
          <cell r="AI14" t="str">
            <v>Strands</v>
          </cell>
          <cell r="AJ14" t="str">
            <v>Strands PW</v>
          </cell>
          <cell r="AK14" t="str">
            <v>[29/7/2024, Indira]: Change Location.</v>
          </cell>
        </row>
        <row r="15">
          <cell r="A15" t="str">
            <v>IKN400928</v>
          </cell>
          <cell r="B15">
            <v>927</v>
          </cell>
          <cell r="C15" t="str">
            <v>Institut Kanser Negara</v>
          </cell>
          <cell r="D15" t="str">
            <v>KKM/IKN/H/13/536</v>
          </cell>
          <cell r="E15" t="str">
            <v>12-282</v>
          </cell>
          <cell r="F15" t="str">
            <v>Lights, Surgical</v>
          </cell>
          <cell r="G15" t="str">
            <v>MC</v>
          </cell>
          <cell r="H15" t="str">
            <v>MULTI-DISCIPLINE CLINIC</v>
          </cell>
          <cell r="I15" t="str">
            <v>03MC121</v>
          </cell>
          <cell r="J15" t="str">
            <v>C/E 3</v>
          </cell>
          <cell r="K15" t="str">
            <v>BMED</v>
          </cell>
          <cell r="L15" t="str">
            <v>Critical</v>
          </cell>
          <cell r="M15" t="str">
            <v>USA</v>
          </cell>
          <cell r="N15" t="str">
            <v>Welch Allyn</v>
          </cell>
          <cell r="O15" t="str">
            <v>Welch Allyn GS600</v>
          </cell>
          <cell r="P15" t="str">
            <v>GS-600-08</v>
          </cell>
          <cell r="Q15" t="str">
            <v>Not Applicable</v>
          </cell>
          <cell r="R15" t="str">
            <v>Welch Allyn Inc</v>
          </cell>
          <cell r="S15" t="str">
            <v>Welch Allyn Malaysia Sdn Bhd</v>
          </cell>
          <cell r="T15" t="str">
            <v>Functioning</v>
          </cell>
          <cell r="U15" t="str">
            <v>Asset</v>
          </cell>
          <cell r="V15">
            <v>5050</v>
          </cell>
          <cell r="W15" t="str">
            <v>KEW</v>
          </cell>
          <cell r="X15" t="str">
            <v>01/09/2010</v>
          </cell>
          <cell r="Y15" t="str">
            <v>KEW</v>
          </cell>
          <cell r="Z15" t="str">
            <v>16/08/2013</v>
          </cell>
          <cell r="AA15" t="str">
            <v>15/08/2015</v>
          </cell>
          <cell r="AB15" t="str">
            <v>No</v>
          </cell>
          <cell r="AC15" t="str">
            <v>31/08/2013</v>
          </cell>
          <cell r="AD15" t="str">
            <v>Good</v>
          </cell>
          <cell r="AE15" t="str">
            <v>V1 - Existing / No Claim</v>
          </cell>
          <cell r="AF15">
            <v>42800</v>
          </cell>
          <cell r="AG15">
            <v>9.17</v>
          </cell>
          <cell r="AH15" t="str">
            <v>PPM</v>
          </cell>
          <cell r="AI15" t="str">
            <v>Strands</v>
          </cell>
          <cell r="AJ15" t="str">
            <v>Strands PW</v>
          </cell>
        </row>
        <row r="16">
          <cell r="A16" t="str">
            <v>IKN400929</v>
          </cell>
          <cell r="B16">
            <v>928</v>
          </cell>
          <cell r="C16" t="str">
            <v>Institut Kanser Negara</v>
          </cell>
          <cell r="D16" t="str">
            <v>KKM/IKN/H/13/537</v>
          </cell>
          <cell r="E16" t="str">
            <v>12-282</v>
          </cell>
          <cell r="F16" t="str">
            <v>Lights, Surgical</v>
          </cell>
          <cell r="G16" t="str">
            <v>MC</v>
          </cell>
          <cell r="H16" t="str">
            <v>MULTI-DISCIPLINE CLINIC</v>
          </cell>
          <cell r="I16" t="str">
            <v>03MC127</v>
          </cell>
          <cell r="J16" t="str">
            <v>C/E 1 (ENT)</v>
          </cell>
          <cell r="K16" t="str">
            <v>BMED</v>
          </cell>
          <cell r="L16" t="str">
            <v>Critical</v>
          </cell>
          <cell r="M16" t="str">
            <v>USA</v>
          </cell>
          <cell r="N16" t="str">
            <v>Welch Allyn</v>
          </cell>
          <cell r="O16" t="str">
            <v>Welch Allyn GS600</v>
          </cell>
          <cell r="P16" t="str">
            <v>GS-600-09</v>
          </cell>
          <cell r="Q16" t="str">
            <v>Not Applicable</v>
          </cell>
          <cell r="R16" t="str">
            <v>Welch Allyn Inc</v>
          </cell>
          <cell r="S16" t="str">
            <v>Welch Allyn Malaysia Sdn Bhd</v>
          </cell>
          <cell r="T16" t="str">
            <v>Functioning</v>
          </cell>
          <cell r="U16" t="str">
            <v>Asset</v>
          </cell>
          <cell r="V16">
            <v>5050</v>
          </cell>
          <cell r="W16" t="str">
            <v>KEW</v>
          </cell>
          <cell r="X16" t="str">
            <v>01/09/2010</v>
          </cell>
          <cell r="Y16" t="str">
            <v>KEW</v>
          </cell>
          <cell r="Z16" t="str">
            <v>16/08/2013</v>
          </cell>
          <cell r="AA16" t="str">
            <v>15/08/2015</v>
          </cell>
          <cell r="AB16" t="str">
            <v>No</v>
          </cell>
          <cell r="AC16" t="str">
            <v>31/08/2013</v>
          </cell>
          <cell r="AD16" t="str">
            <v>Good</v>
          </cell>
          <cell r="AE16" t="str">
            <v>V1 - Existing / No Claim</v>
          </cell>
          <cell r="AF16">
            <v>42800</v>
          </cell>
          <cell r="AG16">
            <v>9.17</v>
          </cell>
          <cell r="AH16" t="str">
            <v>PPM</v>
          </cell>
          <cell r="AI16" t="str">
            <v>Strands</v>
          </cell>
          <cell r="AJ16" t="str">
            <v>Strands PW</v>
          </cell>
        </row>
        <row r="17">
          <cell r="A17" t="str">
            <v>IKN400930</v>
          </cell>
          <cell r="B17">
            <v>929</v>
          </cell>
          <cell r="C17" t="str">
            <v>Institut Kanser Negara</v>
          </cell>
          <cell r="D17" t="str">
            <v>KKM/IKN/H/13/538</v>
          </cell>
          <cell r="E17" t="str">
            <v>12-282</v>
          </cell>
          <cell r="F17" t="str">
            <v>Lights, Surgical</v>
          </cell>
          <cell r="G17" t="str">
            <v>MC</v>
          </cell>
          <cell r="H17" t="str">
            <v>MULTI-DISCIPLINE CLINIC</v>
          </cell>
          <cell r="I17" t="str">
            <v>03MC128</v>
          </cell>
          <cell r="J17" t="str">
            <v>C/E 2</v>
          </cell>
          <cell r="K17" t="str">
            <v>BMED</v>
          </cell>
          <cell r="L17" t="str">
            <v>Critical</v>
          </cell>
          <cell r="M17" t="str">
            <v>USA</v>
          </cell>
          <cell r="N17" t="str">
            <v>Welch Allyn</v>
          </cell>
          <cell r="O17" t="str">
            <v>Welch Allyn GS600</v>
          </cell>
          <cell r="P17" t="str">
            <v>GS-600-10</v>
          </cell>
          <cell r="Q17" t="str">
            <v>Not Applicable</v>
          </cell>
          <cell r="R17" t="str">
            <v>Welch Allyn Inc</v>
          </cell>
          <cell r="S17" t="str">
            <v>Welch Allyn Malaysia Sdn Bhd</v>
          </cell>
          <cell r="T17" t="str">
            <v>Functioning</v>
          </cell>
          <cell r="U17" t="str">
            <v>Asset</v>
          </cell>
          <cell r="V17">
            <v>5050</v>
          </cell>
          <cell r="W17" t="str">
            <v>KEW</v>
          </cell>
          <cell r="X17" t="str">
            <v>01/09/2010</v>
          </cell>
          <cell r="Y17" t="str">
            <v>KEW</v>
          </cell>
          <cell r="Z17" t="str">
            <v>16/08/2013</v>
          </cell>
          <cell r="AA17" t="str">
            <v>15/08/2015</v>
          </cell>
          <cell r="AB17" t="str">
            <v>No</v>
          </cell>
          <cell r="AC17" t="str">
            <v>31/08/2013</v>
          </cell>
          <cell r="AD17" t="str">
            <v>Good</v>
          </cell>
          <cell r="AE17" t="str">
            <v>V1 - Existing / No Claim</v>
          </cell>
          <cell r="AF17">
            <v>42800</v>
          </cell>
          <cell r="AG17">
            <v>9.17</v>
          </cell>
          <cell r="AH17" t="str">
            <v>PPM</v>
          </cell>
          <cell r="AI17" t="str">
            <v>Strands</v>
          </cell>
          <cell r="AJ17" t="str">
            <v>Strands PW</v>
          </cell>
        </row>
        <row r="18">
          <cell r="A18" t="str">
            <v>IKN400931</v>
          </cell>
          <cell r="B18">
            <v>930</v>
          </cell>
          <cell r="C18" t="str">
            <v>Institut Kanser Negara</v>
          </cell>
          <cell r="D18" t="str">
            <v>KKM/IKN/H/13/574</v>
          </cell>
          <cell r="E18" t="str">
            <v>15-045</v>
          </cell>
          <cell r="F18" t="str">
            <v>Nebulizers, Nonheated</v>
          </cell>
          <cell r="G18" t="str">
            <v>MC</v>
          </cell>
          <cell r="H18" t="str">
            <v>MULTI-DISCIPLINE CLINIC</v>
          </cell>
          <cell r="I18" t="str">
            <v>03MC107</v>
          </cell>
          <cell r="J18" t="str">
            <v>TREATMENT 1</v>
          </cell>
          <cell r="K18" t="str">
            <v>BMED</v>
          </cell>
          <cell r="L18" t="str">
            <v>Normal</v>
          </cell>
          <cell r="M18" t="str">
            <v>Germany</v>
          </cell>
          <cell r="N18" t="str">
            <v>Pari Boy</v>
          </cell>
          <cell r="O18" t="str">
            <v>Pari Boy SX 085</v>
          </cell>
          <cell r="P18" t="str">
            <v>2W12F13800</v>
          </cell>
          <cell r="Q18" t="str">
            <v>Not Applicable</v>
          </cell>
          <cell r="R18" t="str">
            <v>Pari GmbH</v>
          </cell>
          <cell r="S18" t="str">
            <v>Welch Allyn Malaysia Sdn Bhd</v>
          </cell>
          <cell r="T18" t="str">
            <v>Functioning</v>
          </cell>
          <cell r="U18" t="str">
            <v>Asset</v>
          </cell>
          <cell r="V18">
            <v>1140</v>
          </cell>
          <cell r="W18" t="str">
            <v>KEW</v>
          </cell>
          <cell r="X18" t="str">
            <v>01/09/2010</v>
          </cell>
          <cell r="Y18" t="str">
            <v>KEW</v>
          </cell>
          <cell r="Z18" t="str">
            <v>16/08/2013</v>
          </cell>
          <cell r="AA18" t="str">
            <v>15/08/2015</v>
          </cell>
          <cell r="AB18" t="str">
            <v>No</v>
          </cell>
          <cell r="AC18" t="str">
            <v>31/08/2013</v>
          </cell>
          <cell r="AD18" t="str">
            <v>Good</v>
          </cell>
          <cell r="AE18" t="str">
            <v>V1 - Existing / No Claim</v>
          </cell>
          <cell r="AF18">
            <v>42235</v>
          </cell>
          <cell r="AG18">
            <v>9.17</v>
          </cell>
          <cell r="AH18" t="str">
            <v>PPM</v>
          </cell>
          <cell r="AI18" t="str">
            <v>Strands</v>
          </cell>
          <cell r="AJ18" t="str">
            <v>Strands PW</v>
          </cell>
        </row>
        <row r="19">
          <cell r="A19" t="str">
            <v>IKN400932</v>
          </cell>
          <cell r="B19">
            <v>931</v>
          </cell>
          <cell r="C19" t="str">
            <v>Institut Kanser Negara</v>
          </cell>
          <cell r="D19" t="str">
            <v>KKM/IKN/H/13/575</v>
          </cell>
          <cell r="E19" t="str">
            <v>15-045</v>
          </cell>
          <cell r="F19" t="str">
            <v>Nebulizers, Nonheated</v>
          </cell>
          <cell r="G19" t="str">
            <v>MC</v>
          </cell>
          <cell r="H19" t="str">
            <v>MULTI-DISCIPLINE CLINIC</v>
          </cell>
          <cell r="I19" t="str">
            <v>03MC107</v>
          </cell>
          <cell r="J19" t="str">
            <v>TREATMENT 1</v>
          </cell>
          <cell r="K19" t="str">
            <v>BMED</v>
          </cell>
          <cell r="L19" t="str">
            <v>Normal</v>
          </cell>
          <cell r="M19" t="str">
            <v>Germany</v>
          </cell>
          <cell r="N19" t="str">
            <v>Pari Boy</v>
          </cell>
          <cell r="O19" t="str">
            <v>Pari Boy SX 085</v>
          </cell>
          <cell r="P19" t="str">
            <v>2W12F13721</v>
          </cell>
          <cell r="Q19" t="str">
            <v>Not Applicable</v>
          </cell>
          <cell r="R19" t="str">
            <v>Pari GmbH</v>
          </cell>
          <cell r="S19" t="str">
            <v>Welch Allyn Malaysia Sdn Bhd</v>
          </cell>
          <cell r="T19" t="str">
            <v>Functioning</v>
          </cell>
          <cell r="U19" t="str">
            <v>Asset</v>
          </cell>
          <cell r="V19">
            <v>1140</v>
          </cell>
          <cell r="W19" t="str">
            <v>KEW</v>
          </cell>
          <cell r="X19" t="str">
            <v>01/09/2010</v>
          </cell>
          <cell r="Y19" t="str">
            <v>KEW</v>
          </cell>
          <cell r="Z19" t="str">
            <v>16/08/2013</v>
          </cell>
          <cell r="AA19" t="str">
            <v>15/08/2015</v>
          </cell>
          <cell r="AB19" t="str">
            <v>No</v>
          </cell>
          <cell r="AC19" t="str">
            <v>31/08/2013</v>
          </cell>
          <cell r="AD19" t="str">
            <v>Good</v>
          </cell>
          <cell r="AE19" t="str">
            <v>V1 - Existing / No Claim</v>
          </cell>
          <cell r="AF19">
            <v>42235</v>
          </cell>
          <cell r="AG19">
            <v>9.17</v>
          </cell>
          <cell r="AH19" t="str">
            <v>PPM</v>
          </cell>
          <cell r="AI19" t="str">
            <v>Strands</v>
          </cell>
          <cell r="AJ19" t="str">
            <v>Strands PW</v>
          </cell>
        </row>
        <row r="20">
          <cell r="A20" t="str">
            <v>IKN400934</v>
          </cell>
          <cell r="B20">
            <v>933</v>
          </cell>
          <cell r="C20" t="str">
            <v>Institut Kanser Negara</v>
          </cell>
          <cell r="D20" t="str">
            <v>KKM/IKN/I/13/5684</v>
          </cell>
          <cell r="E20" t="str">
            <v>16-173</v>
          </cell>
          <cell r="F20" t="str">
            <v>Sphygmomanometers, Electronic, Automatic</v>
          </cell>
          <cell r="G20" t="str">
            <v>MC</v>
          </cell>
          <cell r="H20" t="str">
            <v>MULTI-DISCIPLINE CLINIC</v>
          </cell>
          <cell r="I20" t="str">
            <v>03MC107</v>
          </cell>
          <cell r="J20" t="str">
            <v>TREATMENT 1</v>
          </cell>
          <cell r="K20" t="str">
            <v>BMED</v>
          </cell>
          <cell r="L20" t="str">
            <v>Critical</v>
          </cell>
          <cell r="M20" t="str">
            <v>USA</v>
          </cell>
          <cell r="N20" t="str">
            <v>Connex</v>
          </cell>
          <cell r="O20" t="str">
            <v>Connex ProBP 3400</v>
          </cell>
          <cell r="P20" t="str">
            <v>100000860413</v>
          </cell>
          <cell r="Q20" t="str">
            <v>Not Applicable</v>
          </cell>
          <cell r="R20" t="str">
            <v>Welch Allyn Inc</v>
          </cell>
          <cell r="S20" t="str">
            <v>Welch Allyn Malaysia Sdn Bhd</v>
          </cell>
          <cell r="T20" t="str">
            <v>Functioning</v>
          </cell>
          <cell r="U20" t="str">
            <v>Asset</v>
          </cell>
          <cell r="V20">
            <v>336</v>
          </cell>
          <cell r="W20" t="str">
            <v>KEW</v>
          </cell>
          <cell r="X20" t="str">
            <v>01/09/2010</v>
          </cell>
          <cell r="Y20" t="str">
            <v>KEW</v>
          </cell>
          <cell r="Z20" t="str">
            <v>16/08/2013</v>
          </cell>
          <cell r="AA20" t="str">
            <v>15/08/2015</v>
          </cell>
          <cell r="AB20" t="str">
            <v>No</v>
          </cell>
          <cell r="AC20" t="str">
            <v>31/08/2013</v>
          </cell>
          <cell r="AD20" t="str">
            <v>Good</v>
          </cell>
          <cell r="AE20" t="str">
            <v>V1 - Existing / No Claim</v>
          </cell>
          <cell r="AF20">
            <v>42799</v>
          </cell>
          <cell r="AG20">
            <v>9.17</v>
          </cell>
          <cell r="AH20" t="str">
            <v>PPM</v>
          </cell>
          <cell r="AI20" t="str">
            <v>Strands</v>
          </cell>
          <cell r="AJ20" t="str">
            <v>Strands PW</v>
          </cell>
        </row>
        <row r="21">
          <cell r="A21" t="str">
            <v>IKN400935</v>
          </cell>
          <cell r="B21">
            <v>934</v>
          </cell>
          <cell r="C21" t="str">
            <v>Institut Kanser Negara</v>
          </cell>
          <cell r="D21" t="str">
            <v>KKM/IKN/I/13/5683</v>
          </cell>
          <cell r="E21" t="str">
            <v>16-173</v>
          </cell>
          <cell r="F21" t="str">
            <v>Sphygmomanometers, Electronic, Automatic</v>
          </cell>
          <cell r="G21" t="str">
            <v>MC</v>
          </cell>
          <cell r="H21" t="str">
            <v>MULTI-DISCIPLINE CLINIC</v>
          </cell>
          <cell r="I21" t="str">
            <v>03MC119</v>
          </cell>
          <cell r="J21" t="str">
            <v>C/E 4</v>
          </cell>
          <cell r="K21" t="str">
            <v>BMED</v>
          </cell>
          <cell r="L21" t="str">
            <v>Critical</v>
          </cell>
          <cell r="M21" t="str">
            <v>USA</v>
          </cell>
          <cell r="N21" t="str">
            <v>Connex</v>
          </cell>
          <cell r="O21" t="str">
            <v>Connex ProBP 3400</v>
          </cell>
          <cell r="P21" t="str">
            <v>100000660313</v>
          </cell>
          <cell r="Q21" t="str">
            <v>Not Applicable</v>
          </cell>
          <cell r="R21" t="str">
            <v>Welch Allyn Inc</v>
          </cell>
          <cell r="S21" t="str">
            <v>Welch Allyn Malaysia Sdn Bhd</v>
          </cell>
          <cell r="T21" t="str">
            <v>Functioning</v>
          </cell>
          <cell r="U21" t="str">
            <v>Asset</v>
          </cell>
          <cell r="V21">
            <v>336</v>
          </cell>
          <cell r="W21" t="str">
            <v>KEW</v>
          </cell>
          <cell r="X21" t="str">
            <v>01/09/2010</v>
          </cell>
          <cell r="Y21" t="str">
            <v>KEW</v>
          </cell>
          <cell r="Z21" t="str">
            <v>16/08/2013</v>
          </cell>
          <cell r="AA21" t="str">
            <v>15/08/2015</v>
          </cell>
          <cell r="AB21" t="str">
            <v>No</v>
          </cell>
          <cell r="AC21" t="str">
            <v>31/08/2013</v>
          </cell>
          <cell r="AD21" t="str">
            <v>Good</v>
          </cell>
          <cell r="AE21" t="str">
            <v>V1 - Existing / No Claim</v>
          </cell>
          <cell r="AF21">
            <v>42800</v>
          </cell>
          <cell r="AG21">
            <v>9.17</v>
          </cell>
          <cell r="AH21" t="str">
            <v>PPM</v>
          </cell>
          <cell r="AI21" t="str">
            <v>Strands</v>
          </cell>
          <cell r="AJ21" t="str">
            <v>Strands PW</v>
          </cell>
        </row>
        <row r="22">
          <cell r="A22" t="str">
            <v>IKN400936</v>
          </cell>
          <cell r="B22">
            <v>935</v>
          </cell>
          <cell r="C22" t="str">
            <v>Institut Kanser Negara</v>
          </cell>
          <cell r="D22" t="str">
            <v>KKM/IKN/I/13/5681</v>
          </cell>
          <cell r="E22" t="str">
            <v>16-173</v>
          </cell>
          <cell r="F22" t="str">
            <v>Sphygmomanometers, Electronic, Automatic</v>
          </cell>
          <cell r="G22" t="str">
            <v>MC</v>
          </cell>
          <cell r="H22" t="str">
            <v>MULTI-DISCIPLINE CLINIC</v>
          </cell>
          <cell r="I22" t="str">
            <v>03MC121</v>
          </cell>
          <cell r="J22" t="str">
            <v>C/E 3</v>
          </cell>
          <cell r="K22" t="str">
            <v>BMED</v>
          </cell>
          <cell r="L22" t="str">
            <v>Critical</v>
          </cell>
          <cell r="M22" t="str">
            <v>USA</v>
          </cell>
          <cell r="N22" t="str">
            <v>Connex</v>
          </cell>
          <cell r="O22" t="str">
            <v>Connex ProBP 3400</v>
          </cell>
          <cell r="P22" t="str">
            <v>100003020413</v>
          </cell>
          <cell r="Q22" t="str">
            <v>Not Applicable</v>
          </cell>
          <cell r="R22" t="str">
            <v>Welch Allyn Inc</v>
          </cell>
          <cell r="S22" t="str">
            <v>Welch Allyn Malaysia Sdn Bhd</v>
          </cell>
          <cell r="T22" t="str">
            <v>Functioning</v>
          </cell>
          <cell r="U22" t="str">
            <v>Asset</v>
          </cell>
          <cell r="V22">
            <v>336</v>
          </cell>
          <cell r="W22" t="str">
            <v>KEW</v>
          </cell>
          <cell r="X22" t="str">
            <v>01/09/2010</v>
          </cell>
          <cell r="Y22" t="str">
            <v>KEW</v>
          </cell>
          <cell r="Z22" t="str">
            <v>16/08/2013</v>
          </cell>
          <cell r="AA22" t="str">
            <v>15/08/2015</v>
          </cell>
          <cell r="AB22" t="str">
            <v>No</v>
          </cell>
          <cell r="AC22" t="str">
            <v>31/08/2013</v>
          </cell>
          <cell r="AD22" t="str">
            <v>Good</v>
          </cell>
          <cell r="AE22" t="str">
            <v>V1 - Existing / No Claim</v>
          </cell>
          <cell r="AF22">
            <v>42800</v>
          </cell>
          <cell r="AG22">
            <v>9.17</v>
          </cell>
          <cell r="AH22" t="str">
            <v>PPM</v>
          </cell>
          <cell r="AI22" t="str">
            <v>Strands</v>
          </cell>
          <cell r="AJ22" t="str">
            <v>Strands PW</v>
          </cell>
        </row>
        <row r="23">
          <cell r="A23" t="str">
            <v>IKN400937</v>
          </cell>
          <cell r="B23">
            <v>936</v>
          </cell>
          <cell r="C23" t="str">
            <v>Institut Kanser Negara</v>
          </cell>
          <cell r="D23" t="str">
            <v>KKM/IKN/I/13/5682</v>
          </cell>
          <cell r="E23" t="str">
            <v>16-173</v>
          </cell>
          <cell r="F23" t="str">
            <v>Sphygmomanometers, Electronic, Automatic</v>
          </cell>
          <cell r="G23" t="str">
            <v>MC</v>
          </cell>
          <cell r="H23" t="str">
            <v>MULTI-DISCIPLINE CLINIC</v>
          </cell>
          <cell r="I23" t="str">
            <v>03MC127</v>
          </cell>
          <cell r="J23" t="str">
            <v>C/E 1 (ENT)</v>
          </cell>
          <cell r="K23" t="str">
            <v>BMED</v>
          </cell>
          <cell r="L23" t="str">
            <v>Critical</v>
          </cell>
          <cell r="M23" t="str">
            <v>USA</v>
          </cell>
          <cell r="N23" t="str">
            <v>Connex</v>
          </cell>
          <cell r="O23" t="str">
            <v>Connex ProBP 3400</v>
          </cell>
          <cell r="P23" t="str">
            <v>100001980413</v>
          </cell>
          <cell r="Q23" t="str">
            <v>Not Applicable</v>
          </cell>
          <cell r="R23" t="str">
            <v>Welch Allyn Inc</v>
          </cell>
          <cell r="S23" t="str">
            <v>Welch Allyn Malaysia Sdn Bhd</v>
          </cell>
          <cell r="T23" t="str">
            <v>Functioning</v>
          </cell>
          <cell r="U23" t="str">
            <v>Asset</v>
          </cell>
          <cell r="V23">
            <v>336</v>
          </cell>
          <cell r="W23" t="str">
            <v>KEW</v>
          </cell>
          <cell r="X23" t="str">
            <v>01/09/2010</v>
          </cell>
          <cell r="Y23" t="str">
            <v>KEW</v>
          </cell>
          <cell r="Z23" t="str">
            <v>16/08/2013</v>
          </cell>
          <cell r="AA23" t="str">
            <v>15/08/2015</v>
          </cell>
          <cell r="AB23" t="str">
            <v>No</v>
          </cell>
          <cell r="AC23" t="str">
            <v>31/08/2013</v>
          </cell>
          <cell r="AD23" t="str">
            <v>Good</v>
          </cell>
          <cell r="AE23" t="str">
            <v>V1 - Existing / No Claim</v>
          </cell>
          <cell r="AF23">
            <v>42800</v>
          </cell>
          <cell r="AG23">
            <v>9.17</v>
          </cell>
          <cell r="AH23" t="str">
            <v>PPM</v>
          </cell>
          <cell r="AI23" t="str">
            <v>Strands</v>
          </cell>
          <cell r="AJ23" t="str">
            <v>Strands PW</v>
          </cell>
        </row>
        <row r="24">
          <cell r="A24" t="str">
            <v>IKN400938</v>
          </cell>
          <cell r="B24">
            <v>937</v>
          </cell>
          <cell r="C24" t="str">
            <v>Institut Kanser Negara</v>
          </cell>
          <cell r="D24" t="str">
            <v>KKM/IKN/I/13/5680</v>
          </cell>
          <cell r="E24" t="str">
            <v>16-173</v>
          </cell>
          <cell r="F24" t="str">
            <v>Sphygmomanometers, Electronic, Automatic</v>
          </cell>
          <cell r="G24" t="str">
            <v>MC</v>
          </cell>
          <cell r="H24" t="str">
            <v>MULTI-DISCIPLINE CLINIC</v>
          </cell>
          <cell r="I24" t="str">
            <v>03MC128</v>
          </cell>
          <cell r="J24" t="str">
            <v>C/E 2</v>
          </cell>
          <cell r="K24" t="str">
            <v>BMED</v>
          </cell>
          <cell r="L24" t="str">
            <v>Critical</v>
          </cell>
          <cell r="M24" t="str">
            <v>USA</v>
          </cell>
          <cell r="N24" t="str">
            <v>Connex</v>
          </cell>
          <cell r="O24" t="str">
            <v>Connex ProBP 3400</v>
          </cell>
          <cell r="P24" t="str">
            <v>100000880313</v>
          </cell>
          <cell r="Q24" t="str">
            <v>Not Applicable</v>
          </cell>
          <cell r="R24" t="str">
            <v>Welch Allyn Inc</v>
          </cell>
          <cell r="S24" t="str">
            <v>Welch Allyn Malaysia Sdn Bhd</v>
          </cell>
          <cell r="T24" t="str">
            <v>Functioning</v>
          </cell>
          <cell r="U24" t="str">
            <v>Asset</v>
          </cell>
          <cell r="V24">
            <v>336</v>
          </cell>
          <cell r="W24" t="str">
            <v>KEW</v>
          </cell>
          <cell r="X24" t="str">
            <v>01/09/2010</v>
          </cell>
          <cell r="Y24" t="str">
            <v>KEW</v>
          </cell>
          <cell r="Z24" t="str">
            <v>16/08/2013</v>
          </cell>
          <cell r="AA24" t="str">
            <v>15/08/2015</v>
          </cell>
          <cell r="AB24" t="str">
            <v>No</v>
          </cell>
          <cell r="AC24" t="str">
            <v>31/08/2013</v>
          </cell>
          <cell r="AD24" t="str">
            <v>Good</v>
          </cell>
          <cell r="AE24" t="str">
            <v>V1 - Existing / No Claim</v>
          </cell>
          <cell r="AF24">
            <v>42800</v>
          </cell>
          <cell r="AG24">
            <v>9.17</v>
          </cell>
          <cell r="AH24" t="str">
            <v>PPM</v>
          </cell>
          <cell r="AI24" t="str">
            <v>Strands</v>
          </cell>
          <cell r="AJ24" t="str">
            <v>Strands PW</v>
          </cell>
        </row>
        <row r="25">
          <cell r="A25" t="str">
            <v>IKN400940</v>
          </cell>
          <cell r="B25">
            <v>939</v>
          </cell>
          <cell r="C25" t="str">
            <v>Institut Kanser Negara</v>
          </cell>
          <cell r="E25" t="str">
            <v>16-156</v>
          </cell>
          <cell r="F25" t="str">
            <v>Sphygmomanometers, Aneroid</v>
          </cell>
          <cell r="G25" t="str">
            <v>MC</v>
          </cell>
          <cell r="H25" t="str">
            <v>MULTI-DISCIPLINE CLINIC</v>
          </cell>
          <cell r="I25" t="str">
            <v>03MC127</v>
          </cell>
          <cell r="J25" t="str">
            <v>C/E 1 (ENT)</v>
          </cell>
          <cell r="K25" t="str">
            <v>BMED</v>
          </cell>
          <cell r="L25" t="str">
            <v>Normal</v>
          </cell>
          <cell r="M25" t="str">
            <v>Germany</v>
          </cell>
          <cell r="N25" t="str">
            <v>Erka</v>
          </cell>
          <cell r="O25" t="str">
            <v>D-83646</v>
          </cell>
          <cell r="P25" t="str">
            <v>13400144</v>
          </cell>
          <cell r="Q25" t="str">
            <v>Not Applicable</v>
          </cell>
          <cell r="R25" t="str">
            <v>Erka GmbH &amp; Co</v>
          </cell>
          <cell r="S25" t="str">
            <v>Acucare Systems (M) Sdn bhd</v>
          </cell>
          <cell r="T25" t="str">
            <v>Functioning</v>
          </cell>
          <cell r="U25" t="str">
            <v>Asset</v>
          </cell>
          <cell r="V25">
            <v>505</v>
          </cell>
          <cell r="W25" t="str">
            <v>KEW</v>
          </cell>
          <cell r="X25" t="str">
            <v>01/09/2010</v>
          </cell>
          <cell r="Y25" t="str">
            <v>KEW</v>
          </cell>
          <cell r="Z25" t="str">
            <v>16/08/2013</v>
          </cell>
          <cell r="AA25" t="str">
            <v>15/08/2015</v>
          </cell>
          <cell r="AB25" t="str">
            <v>No</v>
          </cell>
          <cell r="AC25" t="str">
            <v>31/08/2013</v>
          </cell>
          <cell r="AD25" t="str">
            <v>Good</v>
          </cell>
          <cell r="AE25" t="str">
            <v>V1 - Existing / No Claim</v>
          </cell>
          <cell r="AF25">
            <v>42832</v>
          </cell>
          <cell r="AG25">
            <v>9.17</v>
          </cell>
          <cell r="AH25" t="str">
            <v>PPM</v>
          </cell>
          <cell r="AI25" t="str">
            <v>Not in contract</v>
          </cell>
          <cell r="AJ25" t="str">
            <v>Strands PW</v>
          </cell>
        </row>
        <row r="26">
          <cell r="A26" t="str">
            <v>IKN400941</v>
          </cell>
          <cell r="B26">
            <v>940</v>
          </cell>
          <cell r="C26" t="str">
            <v>Institut Kanser Negara</v>
          </cell>
          <cell r="D26" t="str">
            <v>KKM/IKN/H/13/2486</v>
          </cell>
          <cell r="E26" t="str">
            <v>11-585</v>
          </cell>
          <cell r="F26" t="str">
            <v>Ear/Nose/Throat Treatment Units</v>
          </cell>
          <cell r="G26" t="str">
            <v>MC</v>
          </cell>
          <cell r="H26" t="str">
            <v>MULTI-DISCIPLINE CLINIC</v>
          </cell>
          <cell r="I26" t="str">
            <v>03MC127</v>
          </cell>
          <cell r="J26" t="str">
            <v>C/E 1 (ENT)</v>
          </cell>
          <cell r="K26" t="str">
            <v>BMED</v>
          </cell>
          <cell r="L26" t="str">
            <v>Normal</v>
          </cell>
          <cell r="M26" t="str">
            <v>Germany</v>
          </cell>
          <cell r="N26" t="str">
            <v>Atmos</v>
          </cell>
          <cell r="O26" t="str">
            <v>Atmos C31</v>
          </cell>
          <cell r="P26" t="str">
            <v>030044554-101360-2012-12</v>
          </cell>
          <cell r="Q26" t="str">
            <v>Not Applicable</v>
          </cell>
          <cell r="R26" t="str">
            <v>Atmos Medizintechnik GmbH &amp; Co KG</v>
          </cell>
          <cell r="S26" t="str">
            <v>Atmos Medizintechnik (M) Sdn Bhd</v>
          </cell>
          <cell r="T26" t="str">
            <v>Functioning</v>
          </cell>
          <cell r="U26" t="str">
            <v>Asset</v>
          </cell>
          <cell r="W26" t="str">
            <v>Estimate</v>
          </cell>
          <cell r="X26" t="str">
            <v>01/09/2010</v>
          </cell>
          <cell r="Y26" t="str">
            <v>KEW</v>
          </cell>
          <cell r="Z26" t="str">
            <v>16/08/2013</v>
          </cell>
          <cell r="AA26" t="str">
            <v>15/08/2015</v>
          </cell>
          <cell r="AB26" t="str">
            <v>No</v>
          </cell>
          <cell r="AC26" t="str">
            <v>31/08/2013</v>
          </cell>
          <cell r="AD26" t="str">
            <v>Good</v>
          </cell>
          <cell r="AE26" t="str">
            <v>V1 - Existing / No Claim</v>
          </cell>
          <cell r="AF26">
            <v>42800</v>
          </cell>
          <cell r="AG26">
            <v>9.17</v>
          </cell>
          <cell r="AH26" t="str">
            <v>PPM</v>
          </cell>
          <cell r="AI26" t="str">
            <v>Strands</v>
          </cell>
          <cell r="AJ26" t="str">
            <v>Strands Package</v>
          </cell>
          <cell r="AK26" t="str">
            <v>Pecah Kewpa. Complement with IKN402031. Package Code ZE0001. [28/12/2023, HIDAYAH]: CURRENT LOC NM.</v>
          </cell>
        </row>
        <row r="27">
          <cell r="A27" t="str">
            <v>IKN400942</v>
          </cell>
          <cell r="B27">
            <v>941</v>
          </cell>
          <cell r="C27" t="str">
            <v>Institut Kanser Negara</v>
          </cell>
          <cell r="D27" t="str">
            <v>KKM/IKN/H/13/320</v>
          </cell>
          <cell r="E27" t="str">
            <v>10-960</v>
          </cell>
          <cell r="F27" t="str">
            <v>Colposcopes</v>
          </cell>
          <cell r="G27" t="str">
            <v>MC</v>
          </cell>
          <cell r="H27" t="str">
            <v>MULTI-DISCIPLINE CLINIC</v>
          </cell>
          <cell r="I27" t="str">
            <v>03MC127</v>
          </cell>
          <cell r="J27" t="str">
            <v>C/E 1 (ENT)</v>
          </cell>
          <cell r="K27" t="str">
            <v>BMED</v>
          </cell>
          <cell r="L27" t="str">
            <v>Normal</v>
          </cell>
          <cell r="M27" t="str">
            <v>Japan</v>
          </cell>
          <cell r="N27" t="str">
            <v>Olympus</v>
          </cell>
          <cell r="O27" t="str">
            <v>Olympus OCS-500</v>
          </cell>
          <cell r="P27" t="str">
            <v>110342</v>
          </cell>
          <cell r="Q27" t="str">
            <v>Not Applicable</v>
          </cell>
          <cell r="R27" t="str">
            <v>Olympus Optical Co Ltd</v>
          </cell>
          <cell r="S27" t="str">
            <v>Endodynamics</v>
          </cell>
          <cell r="T27" t="str">
            <v>Functioning</v>
          </cell>
          <cell r="U27" t="str">
            <v>Asset</v>
          </cell>
          <cell r="V27">
            <v>155820</v>
          </cell>
          <cell r="W27" t="str">
            <v>KEW</v>
          </cell>
          <cell r="X27" t="str">
            <v>01/09/2010</v>
          </cell>
          <cell r="Y27" t="str">
            <v>KEW</v>
          </cell>
          <cell r="Z27" t="str">
            <v>16/08/2013</v>
          </cell>
          <cell r="AA27" t="str">
            <v>15/08/2015</v>
          </cell>
          <cell r="AB27" t="str">
            <v>No</v>
          </cell>
          <cell r="AC27" t="str">
            <v>31/08/2013</v>
          </cell>
          <cell r="AD27" t="str">
            <v>Good</v>
          </cell>
          <cell r="AE27" t="str">
            <v>V1 - Existing / No Claim</v>
          </cell>
          <cell r="AF27">
            <v>42235</v>
          </cell>
          <cell r="AG27">
            <v>9.17</v>
          </cell>
          <cell r="AH27" t="str">
            <v>PPM</v>
          </cell>
          <cell r="AI27" t="str">
            <v>Strands</v>
          </cell>
          <cell r="AJ27" t="str">
            <v>Strands Package</v>
          </cell>
          <cell r="AK27" t="str">
            <v>Package Code EN0028</v>
          </cell>
        </row>
        <row r="28">
          <cell r="A28" t="str">
            <v>IKN400943</v>
          </cell>
          <cell r="B28">
            <v>942</v>
          </cell>
          <cell r="C28" t="str">
            <v>Institut Kanser Negara</v>
          </cell>
          <cell r="E28" t="str">
            <v>12-343</v>
          </cell>
          <cell r="F28" t="str">
            <v>Light Sources, Fiberoptic, Flexible Endoscopic</v>
          </cell>
          <cell r="G28" t="str">
            <v>MC</v>
          </cell>
          <cell r="H28" t="str">
            <v>MULTI-DISCIPLINE CLINIC</v>
          </cell>
          <cell r="I28" t="str">
            <v>03MC127</v>
          </cell>
          <cell r="J28" t="str">
            <v>C/E 1 (ENT)</v>
          </cell>
          <cell r="K28" t="str">
            <v>BMED</v>
          </cell>
          <cell r="L28" t="str">
            <v>Normal</v>
          </cell>
          <cell r="M28" t="str">
            <v>Japan</v>
          </cell>
          <cell r="N28" t="str">
            <v>Olympus</v>
          </cell>
          <cell r="O28" t="str">
            <v>Olympus CLH-250</v>
          </cell>
          <cell r="P28" t="str">
            <v>7232991</v>
          </cell>
          <cell r="Q28" t="str">
            <v>Not Applicable</v>
          </cell>
          <cell r="R28" t="str">
            <v>Olympus Optical Co Ltd</v>
          </cell>
          <cell r="S28" t="str">
            <v>Endodynamics</v>
          </cell>
          <cell r="T28" t="str">
            <v>Functioning</v>
          </cell>
          <cell r="U28" t="str">
            <v>Asset</v>
          </cell>
          <cell r="V28">
            <v>38575</v>
          </cell>
          <cell r="W28" t="str">
            <v>KEW</v>
          </cell>
          <cell r="X28" t="str">
            <v>01/09/2010</v>
          </cell>
          <cell r="Y28" t="str">
            <v>KEW</v>
          </cell>
          <cell r="Z28" t="str">
            <v>16/08/2013</v>
          </cell>
          <cell r="AA28" t="str">
            <v>15/08/2015</v>
          </cell>
          <cell r="AB28" t="str">
            <v>No</v>
          </cell>
          <cell r="AC28" t="str">
            <v>31/08/2013</v>
          </cell>
          <cell r="AD28" t="str">
            <v>Good</v>
          </cell>
          <cell r="AE28" t="str">
            <v>V1 - Existing / No Claim</v>
          </cell>
          <cell r="AF28">
            <v>42800</v>
          </cell>
          <cell r="AG28">
            <v>9.17</v>
          </cell>
          <cell r="AH28" t="str">
            <v>PPM</v>
          </cell>
          <cell r="AI28" t="str">
            <v>Strands</v>
          </cell>
          <cell r="AJ28" t="str">
            <v>Strands Package</v>
          </cell>
          <cell r="AK28" t="str">
            <v>Package Code EN0028</v>
          </cell>
        </row>
        <row r="29">
          <cell r="A29" t="str">
            <v>IKN400944</v>
          </cell>
          <cell r="B29">
            <v>943</v>
          </cell>
          <cell r="C29" t="str">
            <v>Institut Kanser Negara</v>
          </cell>
          <cell r="E29" t="str">
            <v>15-967</v>
          </cell>
          <cell r="F29" t="str">
            <v>Television Systems, Endoscope</v>
          </cell>
          <cell r="G29" t="str">
            <v>MC</v>
          </cell>
          <cell r="H29" t="str">
            <v>MULTI-DISCIPLINE CLINIC</v>
          </cell>
          <cell r="I29" t="str">
            <v>03MC127</v>
          </cell>
          <cell r="J29" t="str">
            <v>C/E 1 (ENT)</v>
          </cell>
          <cell r="K29" t="str">
            <v>BMED</v>
          </cell>
          <cell r="L29" t="str">
            <v>Normal</v>
          </cell>
          <cell r="M29" t="str">
            <v>JAPAN</v>
          </cell>
          <cell r="N29" t="str">
            <v>Olympus</v>
          </cell>
          <cell r="O29" t="str">
            <v>Olympus OEV261H</v>
          </cell>
          <cell r="P29" t="str">
            <v>7245440</v>
          </cell>
          <cell r="Q29" t="str">
            <v>Not Applicable</v>
          </cell>
          <cell r="R29" t="str">
            <v>Olympus Medical Systems Corp</v>
          </cell>
          <cell r="S29" t="str">
            <v>Endodynamics</v>
          </cell>
          <cell r="T29" t="str">
            <v>Functioning</v>
          </cell>
          <cell r="U29" t="str">
            <v>Asset</v>
          </cell>
          <cell r="V29">
            <v>20000</v>
          </cell>
          <cell r="W29" t="str">
            <v>Estimate</v>
          </cell>
          <cell r="X29" t="str">
            <v>01/09/2010</v>
          </cell>
          <cell r="Y29" t="str">
            <v>KEW</v>
          </cell>
          <cell r="Z29" t="str">
            <v>16/08/2013</v>
          </cell>
          <cell r="AA29" t="str">
            <v>15/08/2015</v>
          </cell>
          <cell r="AB29" t="str">
            <v>No</v>
          </cell>
          <cell r="AC29" t="str">
            <v>31/08/2013</v>
          </cell>
          <cell r="AD29" t="str">
            <v>Good</v>
          </cell>
          <cell r="AE29" t="str">
            <v>V1 - Existing / No Claim</v>
          </cell>
          <cell r="AF29">
            <v>42605</v>
          </cell>
          <cell r="AG29">
            <v>9.17</v>
          </cell>
          <cell r="AH29" t="str">
            <v>RI</v>
          </cell>
          <cell r="AI29" t="str">
            <v>package</v>
          </cell>
          <cell r="AJ29" t="str">
            <v>Strands Package</v>
          </cell>
          <cell r="AK29" t="str">
            <v>IKNB03MC127</v>
          </cell>
        </row>
        <row r="30">
          <cell r="A30" t="str">
            <v>IKN400945</v>
          </cell>
          <cell r="B30">
            <v>944</v>
          </cell>
          <cell r="C30" t="str">
            <v>Institut Kanser Negara</v>
          </cell>
          <cell r="E30" t="str">
            <v>13-274</v>
          </cell>
          <cell r="F30" t="str">
            <v>Recorders, Tape, Video</v>
          </cell>
          <cell r="G30" t="str">
            <v>MC</v>
          </cell>
          <cell r="H30" t="str">
            <v>MULTI-DISCIPLINE CLINIC</v>
          </cell>
          <cell r="I30" t="str">
            <v>03MC127</v>
          </cell>
          <cell r="J30" t="str">
            <v>C/E 1 (ENT)</v>
          </cell>
          <cell r="K30" t="str">
            <v>BMED</v>
          </cell>
          <cell r="L30" t="str">
            <v>Normal</v>
          </cell>
          <cell r="M30" t="str">
            <v>China</v>
          </cell>
          <cell r="N30" t="str">
            <v>Sony</v>
          </cell>
          <cell r="O30" t="str">
            <v>Sony DVD-1000MD</v>
          </cell>
          <cell r="P30" t="str">
            <v>35240</v>
          </cell>
          <cell r="Q30" t="str">
            <v>Not Applicable</v>
          </cell>
          <cell r="R30" t="str">
            <v>Sony Corp</v>
          </cell>
          <cell r="S30" t="str">
            <v>Endodynamics</v>
          </cell>
          <cell r="T30" t="str">
            <v>Functioning</v>
          </cell>
          <cell r="U30" t="str">
            <v>Asset</v>
          </cell>
          <cell r="V30">
            <v>4000</v>
          </cell>
          <cell r="W30" t="str">
            <v>Estimate</v>
          </cell>
          <cell r="X30" t="str">
            <v>01/09/2010</v>
          </cell>
          <cell r="Y30" t="str">
            <v>KEW</v>
          </cell>
          <cell r="Z30" t="str">
            <v>16/08/2013</v>
          </cell>
          <cell r="AA30" t="str">
            <v>15/08/2015</v>
          </cell>
          <cell r="AB30" t="str">
            <v>No</v>
          </cell>
          <cell r="AC30" t="str">
            <v>31/08/2013</v>
          </cell>
          <cell r="AD30" t="str">
            <v>Good</v>
          </cell>
          <cell r="AE30" t="str">
            <v>V1 - Existing / No Claim</v>
          </cell>
          <cell r="AF30">
            <v>42643</v>
          </cell>
          <cell r="AG30">
            <v>9.17</v>
          </cell>
          <cell r="AH30" t="str">
            <v>RI</v>
          </cell>
          <cell r="AI30" t="str">
            <v>package</v>
          </cell>
          <cell r="AJ30" t="str">
            <v>Strands Package</v>
          </cell>
          <cell r="AK30" t="str">
            <v>IKNB03MC127</v>
          </cell>
        </row>
        <row r="31">
          <cell r="A31" t="str">
            <v>IKN400946</v>
          </cell>
          <cell r="B31">
            <v>945</v>
          </cell>
          <cell r="C31" t="str">
            <v>Institut Kanser Negara</v>
          </cell>
          <cell r="E31" t="str">
            <v>18-034</v>
          </cell>
          <cell r="F31" t="str">
            <v>Video Image Processors, Endoscopic</v>
          </cell>
          <cell r="G31" t="str">
            <v>MC</v>
          </cell>
          <cell r="H31" t="str">
            <v>MULTI-DISCIPLINE CLINIC</v>
          </cell>
          <cell r="I31" t="str">
            <v>03MC127</v>
          </cell>
          <cell r="J31" t="str">
            <v>C/E 1 (ENT)</v>
          </cell>
          <cell r="K31" t="str">
            <v>BMED</v>
          </cell>
          <cell r="L31" t="str">
            <v>Normal</v>
          </cell>
          <cell r="M31" t="str">
            <v>JAPAN</v>
          </cell>
          <cell r="N31" t="str">
            <v>Evis Exera III</v>
          </cell>
          <cell r="O31" t="str">
            <v>Evis Exera III CV-190</v>
          </cell>
          <cell r="P31" t="str">
            <v>713165</v>
          </cell>
          <cell r="Q31" t="str">
            <v>Not Applicable</v>
          </cell>
          <cell r="R31" t="str">
            <v>Olympus Medical Systems Corp</v>
          </cell>
          <cell r="S31" t="str">
            <v>Endodynamics</v>
          </cell>
          <cell r="T31" t="str">
            <v>Functioning</v>
          </cell>
          <cell r="U31" t="str">
            <v>Asset</v>
          </cell>
          <cell r="V31">
            <v>80000</v>
          </cell>
          <cell r="W31" t="str">
            <v>Estimate</v>
          </cell>
          <cell r="X31" t="str">
            <v>01/09/2010</v>
          </cell>
          <cell r="Y31" t="str">
            <v>KEW</v>
          </cell>
          <cell r="Z31" t="str">
            <v>16/08/2013</v>
          </cell>
          <cell r="AA31" t="str">
            <v>15/08/2015</v>
          </cell>
          <cell r="AB31" t="str">
            <v>No</v>
          </cell>
          <cell r="AC31" t="str">
            <v>31/08/2013</v>
          </cell>
          <cell r="AD31" t="str">
            <v>Good</v>
          </cell>
          <cell r="AE31" t="str">
            <v>V1 - Existing / No Claim</v>
          </cell>
          <cell r="AF31">
            <v>42605</v>
          </cell>
          <cell r="AG31">
            <v>9.17</v>
          </cell>
          <cell r="AH31" t="str">
            <v>PPM</v>
          </cell>
          <cell r="AI31" t="str">
            <v>package</v>
          </cell>
          <cell r="AJ31" t="str">
            <v>Strands PW</v>
          </cell>
        </row>
        <row r="32">
          <cell r="A32" t="str">
            <v>IKN400947</v>
          </cell>
          <cell r="B32">
            <v>946</v>
          </cell>
          <cell r="C32" t="str">
            <v>Institut Kanser Negara</v>
          </cell>
          <cell r="E32" t="str">
            <v>13-274</v>
          </cell>
          <cell r="F32" t="str">
            <v>Recorders, Tape, Video</v>
          </cell>
          <cell r="G32" t="str">
            <v>MC</v>
          </cell>
          <cell r="H32" t="str">
            <v>MULTI-DISCIPLINE CLINIC</v>
          </cell>
          <cell r="I32" t="str">
            <v>03MC127</v>
          </cell>
          <cell r="J32" t="str">
            <v>C/E 1 (ENT)</v>
          </cell>
          <cell r="K32" t="str">
            <v>BMED</v>
          </cell>
          <cell r="L32" t="str">
            <v>Normal</v>
          </cell>
          <cell r="M32" t="str">
            <v>USA</v>
          </cell>
          <cell r="N32" t="str">
            <v>Medicapture</v>
          </cell>
          <cell r="O32" t="str">
            <v>Medicapture</v>
          </cell>
          <cell r="P32" t="str">
            <v>803731</v>
          </cell>
          <cell r="Q32" t="str">
            <v>Not Applicable</v>
          </cell>
          <cell r="R32" t="str">
            <v>Medicapture Inc</v>
          </cell>
          <cell r="S32" t="str">
            <v>Endodynamics</v>
          </cell>
          <cell r="T32" t="str">
            <v>Functioning</v>
          </cell>
          <cell r="U32" t="str">
            <v>Asset</v>
          </cell>
          <cell r="V32">
            <v>8000</v>
          </cell>
          <cell r="W32" t="str">
            <v>Estimate</v>
          </cell>
          <cell r="X32" t="str">
            <v>01/09/2010</v>
          </cell>
          <cell r="Y32" t="str">
            <v>KEW</v>
          </cell>
          <cell r="Z32" t="str">
            <v>16/08/2013</v>
          </cell>
          <cell r="AA32" t="str">
            <v>15/08/2015</v>
          </cell>
          <cell r="AB32" t="str">
            <v>No</v>
          </cell>
          <cell r="AC32" t="str">
            <v>31/08/2013</v>
          </cell>
          <cell r="AD32" t="str">
            <v>Good</v>
          </cell>
          <cell r="AE32" t="str">
            <v>V1 - Existing / No Claim</v>
          </cell>
          <cell r="AF32">
            <v>42605</v>
          </cell>
          <cell r="AG32">
            <v>9.17</v>
          </cell>
          <cell r="AH32" t="str">
            <v>RI</v>
          </cell>
          <cell r="AI32" t="str">
            <v>package</v>
          </cell>
          <cell r="AJ32" t="str">
            <v>Strands Package</v>
          </cell>
          <cell r="AK32" t="str">
            <v>IKNB03MC127</v>
          </cell>
        </row>
        <row r="33">
          <cell r="A33" t="str">
            <v>IKN400948</v>
          </cell>
          <cell r="B33">
            <v>947</v>
          </cell>
          <cell r="C33" t="str">
            <v>Institut Kanser Negara</v>
          </cell>
          <cell r="E33" t="str">
            <v>17-002</v>
          </cell>
          <cell r="F33" t="str">
            <v>Cameras, Video, Endoscope</v>
          </cell>
          <cell r="G33" t="str">
            <v>MC</v>
          </cell>
          <cell r="H33" t="str">
            <v>MULTI-DISCIPLINE CLINIC</v>
          </cell>
          <cell r="I33" t="str">
            <v>03MC127</v>
          </cell>
          <cell r="J33" t="str">
            <v>C/E 1 (ENT)</v>
          </cell>
          <cell r="K33" t="str">
            <v>BMED</v>
          </cell>
          <cell r="L33" t="str">
            <v>Normal</v>
          </cell>
          <cell r="M33" t="str">
            <v>JAPAN</v>
          </cell>
          <cell r="N33" t="str">
            <v>Olympus</v>
          </cell>
          <cell r="O33" t="str">
            <v>Olympus OTV-S7</v>
          </cell>
          <cell r="P33" t="str">
            <v>7291748</v>
          </cell>
          <cell r="Q33" t="str">
            <v>Not Applicable</v>
          </cell>
          <cell r="R33" t="str">
            <v>Olympus Optical Co Ltd</v>
          </cell>
          <cell r="S33" t="str">
            <v>Endodynamics</v>
          </cell>
          <cell r="T33" t="str">
            <v>Functioning</v>
          </cell>
          <cell r="U33" t="str">
            <v>Asset</v>
          </cell>
          <cell r="V33">
            <v>5000</v>
          </cell>
          <cell r="W33" t="str">
            <v>Estimate</v>
          </cell>
          <cell r="X33" t="str">
            <v>01/09/2010</v>
          </cell>
          <cell r="Y33" t="str">
            <v>KEW</v>
          </cell>
          <cell r="Z33" t="str">
            <v>16/08/2013</v>
          </cell>
          <cell r="AA33" t="str">
            <v>15/08/2015</v>
          </cell>
          <cell r="AB33" t="str">
            <v>No</v>
          </cell>
          <cell r="AC33" t="str">
            <v>31/08/2013</v>
          </cell>
          <cell r="AD33" t="str">
            <v>Good</v>
          </cell>
          <cell r="AE33" t="str">
            <v>V1 - Existing / No Claim</v>
          </cell>
          <cell r="AF33">
            <v>42605</v>
          </cell>
          <cell r="AG33">
            <v>9.17</v>
          </cell>
          <cell r="AH33" t="str">
            <v>PPM</v>
          </cell>
          <cell r="AI33" t="str">
            <v>package</v>
          </cell>
          <cell r="AJ33" t="str">
            <v>Strands PW</v>
          </cell>
        </row>
        <row r="34">
          <cell r="A34" t="str">
            <v>IKN400949</v>
          </cell>
          <cell r="B34">
            <v>948</v>
          </cell>
          <cell r="C34" t="str">
            <v>Institut Kanser Negara</v>
          </cell>
          <cell r="E34" t="str">
            <v>12-343</v>
          </cell>
          <cell r="F34" t="str">
            <v>Light Sources, Fiberoptic, Flexible Endoscopic</v>
          </cell>
          <cell r="G34" t="str">
            <v>MC</v>
          </cell>
          <cell r="H34" t="str">
            <v>MULTI-DISCIPLINE CLINIC</v>
          </cell>
          <cell r="I34" t="str">
            <v>03MC127</v>
          </cell>
          <cell r="J34" t="str">
            <v>C/E 1 (ENT)</v>
          </cell>
          <cell r="K34" t="str">
            <v>BMED</v>
          </cell>
          <cell r="L34" t="str">
            <v>Normal</v>
          </cell>
          <cell r="M34" t="str">
            <v>JAPAN</v>
          </cell>
          <cell r="N34" t="str">
            <v>Olympus</v>
          </cell>
          <cell r="O34" t="str">
            <v>Olympus CLV-S45</v>
          </cell>
          <cell r="P34" t="str">
            <v>7311822</v>
          </cell>
          <cell r="Q34" t="str">
            <v>Not Applicable</v>
          </cell>
          <cell r="R34" t="str">
            <v>Olympus Optical Co Ltd</v>
          </cell>
          <cell r="S34" t="str">
            <v>Endodynamics</v>
          </cell>
          <cell r="T34" t="str">
            <v>Functioning</v>
          </cell>
          <cell r="U34" t="str">
            <v>Asset</v>
          </cell>
          <cell r="V34">
            <v>15000</v>
          </cell>
          <cell r="W34" t="str">
            <v>Estimate</v>
          </cell>
          <cell r="X34" t="str">
            <v>01/09/2010</v>
          </cell>
          <cell r="Y34" t="str">
            <v>KEW</v>
          </cell>
          <cell r="Z34" t="str">
            <v>16/08/2013</v>
          </cell>
          <cell r="AA34" t="str">
            <v>15/08/2015</v>
          </cell>
          <cell r="AB34" t="str">
            <v>No</v>
          </cell>
          <cell r="AC34" t="str">
            <v>31/08/2013</v>
          </cell>
          <cell r="AD34" t="str">
            <v>Good</v>
          </cell>
          <cell r="AE34" t="str">
            <v>V1 - Existing / No Claim</v>
          </cell>
          <cell r="AF34">
            <v>42800</v>
          </cell>
          <cell r="AG34">
            <v>9.17</v>
          </cell>
          <cell r="AH34" t="str">
            <v>PPM</v>
          </cell>
          <cell r="AI34" t="str">
            <v>package</v>
          </cell>
          <cell r="AJ34" t="str">
            <v>Strands PW</v>
          </cell>
        </row>
        <row r="35">
          <cell r="A35" t="str">
            <v>IKN400950</v>
          </cell>
          <cell r="B35">
            <v>949</v>
          </cell>
          <cell r="C35" t="str">
            <v>Institut Kanser Negara</v>
          </cell>
          <cell r="D35" t="str">
            <v>KKM/IKN/H/13/3542</v>
          </cell>
          <cell r="E35" t="str">
            <v>25-209</v>
          </cell>
          <cell r="F35" t="str">
            <v>Monitors, Physiologic, Vital Signs</v>
          </cell>
          <cell r="G35" t="str">
            <v>MC</v>
          </cell>
          <cell r="H35" t="str">
            <v>MULTI-DISCIPLINE CLINIC</v>
          </cell>
          <cell r="I35" t="str">
            <v>03MC107</v>
          </cell>
          <cell r="J35" t="str">
            <v>TREATMENT 1</v>
          </cell>
          <cell r="K35" t="str">
            <v>BMED</v>
          </cell>
          <cell r="L35" t="str">
            <v>Critical</v>
          </cell>
          <cell r="M35" t="str">
            <v>Mexico</v>
          </cell>
          <cell r="N35" t="str">
            <v>Carespace</v>
          </cell>
          <cell r="O35" t="str">
            <v>Carescape V100</v>
          </cell>
          <cell r="P35" t="str">
            <v>SH612450579SA</v>
          </cell>
          <cell r="Q35" t="str">
            <v>Not Applicable</v>
          </cell>
          <cell r="R35" t="str">
            <v>GE Healthcare Systems</v>
          </cell>
          <cell r="S35" t="str">
            <v>GE Healthcare Technologies</v>
          </cell>
          <cell r="T35" t="str">
            <v>Functioning</v>
          </cell>
          <cell r="U35" t="str">
            <v>Asset</v>
          </cell>
          <cell r="V35">
            <v>18765</v>
          </cell>
          <cell r="W35" t="str">
            <v>KEW</v>
          </cell>
          <cell r="X35" t="str">
            <v>01/09/2010</v>
          </cell>
          <cell r="Y35" t="str">
            <v>KEW</v>
          </cell>
          <cell r="Z35" t="str">
            <v>16/08/2013</v>
          </cell>
          <cell r="AA35" t="str">
            <v>15/08/2015</v>
          </cell>
          <cell r="AB35" t="str">
            <v>No</v>
          </cell>
          <cell r="AC35" t="str">
            <v>31/08/2013</v>
          </cell>
          <cell r="AD35" t="str">
            <v>Good</v>
          </cell>
          <cell r="AE35" t="str">
            <v>V1 - Existing / No Claim</v>
          </cell>
          <cell r="AF35">
            <v>42799</v>
          </cell>
          <cell r="AG35">
            <v>9.17</v>
          </cell>
          <cell r="AH35" t="str">
            <v>PPM</v>
          </cell>
          <cell r="AI35" t="str">
            <v>Strands</v>
          </cell>
          <cell r="AJ35" t="str">
            <v>Strands PW</v>
          </cell>
        </row>
        <row r="36">
          <cell r="A36" t="str">
            <v>IKN400960</v>
          </cell>
          <cell r="B36">
            <v>959</v>
          </cell>
          <cell r="C36" t="str">
            <v>Institut Kanser Negara</v>
          </cell>
          <cell r="D36" t="str">
            <v>KKM/IKN/H/13/4943</v>
          </cell>
          <cell r="E36" t="str">
            <v>12-647</v>
          </cell>
          <cell r="F36" t="str">
            <v>Physiologic Monitoring Systems, Acute Care</v>
          </cell>
          <cell r="G36" t="str">
            <v>MC</v>
          </cell>
          <cell r="H36" t="str">
            <v>MULTI-DISCIPLINE CLINIC</v>
          </cell>
          <cell r="I36" t="str">
            <v>03MC108</v>
          </cell>
          <cell r="J36" t="str">
            <v>TREATMENT/PROCEDURE</v>
          </cell>
          <cell r="K36" t="str">
            <v>BMED</v>
          </cell>
          <cell r="L36" t="str">
            <v>Critical</v>
          </cell>
          <cell r="M36" t="str">
            <v>Finland</v>
          </cell>
          <cell r="N36" t="str">
            <v>CareScape</v>
          </cell>
          <cell r="O36" t="str">
            <v>CareScape B650</v>
          </cell>
          <cell r="P36" t="str">
            <v>SEW12357360HA</v>
          </cell>
          <cell r="Q36" t="str">
            <v>Not Applicable</v>
          </cell>
          <cell r="R36" t="str">
            <v>GE Medical Systems</v>
          </cell>
          <cell r="S36" t="str">
            <v>GE Healthcare Technologies</v>
          </cell>
          <cell r="T36" t="str">
            <v>Functioning</v>
          </cell>
          <cell r="U36" t="str">
            <v>Asset</v>
          </cell>
          <cell r="V36">
            <v>87400</v>
          </cell>
          <cell r="W36" t="str">
            <v>KEW</v>
          </cell>
          <cell r="X36" t="str">
            <v>01/09/2010</v>
          </cell>
          <cell r="Y36" t="str">
            <v>KEW</v>
          </cell>
          <cell r="Z36" t="str">
            <v>16/08/2013</v>
          </cell>
          <cell r="AA36" t="str">
            <v>15/08/2015</v>
          </cell>
          <cell r="AB36" t="str">
            <v>No</v>
          </cell>
          <cell r="AC36" t="str">
            <v>31/08/2013</v>
          </cell>
          <cell r="AD36" t="str">
            <v>Good</v>
          </cell>
          <cell r="AE36" t="str">
            <v>V1 - Existing / No Claim</v>
          </cell>
          <cell r="AF36">
            <v>42799</v>
          </cell>
          <cell r="AG36">
            <v>9.17</v>
          </cell>
          <cell r="AH36" t="str">
            <v>PPM</v>
          </cell>
          <cell r="AI36" t="str">
            <v>Strands</v>
          </cell>
          <cell r="AJ36" t="str">
            <v>Strands PW</v>
          </cell>
        </row>
        <row r="37">
          <cell r="A37" t="str">
            <v>IKN401000</v>
          </cell>
          <cell r="B37">
            <v>998</v>
          </cell>
          <cell r="C37" t="str">
            <v>Institut Kanser Negara</v>
          </cell>
          <cell r="D37" t="str">
            <v>KKM/IKN/H/13/5432</v>
          </cell>
          <cell r="E37" t="str">
            <v>17-679</v>
          </cell>
          <cell r="F37" t="str">
            <v>Laser Imagers</v>
          </cell>
          <cell r="G37" t="str">
            <v>NM</v>
          </cell>
          <cell r="H37" t="str">
            <v>NUCLEAR MED (DIAGNOSTIC)</v>
          </cell>
          <cell r="I37" t="str">
            <v>03NM166</v>
          </cell>
          <cell r="J37" t="str">
            <v>REPORTING</v>
          </cell>
          <cell r="K37" t="str">
            <v>BMED</v>
          </cell>
          <cell r="L37" t="str">
            <v>Normal</v>
          </cell>
          <cell r="M37" t="str">
            <v>USA</v>
          </cell>
          <cell r="N37" t="str">
            <v>DryPix</v>
          </cell>
          <cell r="O37" t="str">
            <v>DryPix Plus</v>
          </cell>
          <cell r="P37" t="str">
            <v>26510102</v>
          </cell>
          <cell r="Q37" t="str">
            <v>Not Applicable</v>
          </cell>
          <cell r="R37" t="str">
            <v>FujiFilm Corp</v>
          </cell>
          <cell r="S37" t="str">
            <v>Advance Altimas Sdn Bhd</v>
          </cell>
          <cell r="T37" t="str">
            <v>Functioning</v>
          </cell>
          <cell r="U37" t="str">
            <v>Asset</v>
          </cell>
          <cell r="V37">
            <v>80000</v>
          </cell>
          <cell r="W37" t="str">
            <v>Estimate</v>
          </cell>
          <cell r="X37" t="str">
            <v>01/09/2010</v>
          </cell>
          <cell r="Y37" t="str">
            <v>KEW</v>
          </cell>
          <cell r="Z37" t="str">
            <v>16/08/2013</v>
          </cell>
          <cell r="AA37" t="str">
            <v>15/08/2015</v>
          </cell>
          <cell r="AB37" t="str">
            <v>No</v>
          </cell>
          <cell r="AC37" t="str">
            <v>31/08/2013</v>
          </cell>
          <cell r="AD37" t="str">
            <v>Good</v>
          </cell>
          <cell r="AE37" t="str">
            <v>V1 - Existing / No Claim</v>
          </cell>
          <cell r="AF37">
            <v>42605</v>
          </cell>
          <cell r="AG37">
            <v>9.17</v>
          </cell>
          <cell r="AH37" t="str">
            <v>PPM</v>
          </cell>
          <cell r="AI37" t="str">
            <v>Strands</v>
          </cell>
          <cell r="AJ37" t="str">
            <v>Strands Package. Proposed for V4 P2.23</v>
          </cell>
          <cell r="AK37" t="str">
            <v>Package Code XK0001B</v>
          </cell>
        </row>
        <row r="38">
          <cell r="A38" t="str">
            <v>IKN401002</v>
          </cell>
          <cell r="B38">
            <v>1000</v>
          </cell>
          <cell r="C38" t="str">
            <v>Institut Kanser Negara</v>
          </cell>
          <cell r="D38" t="str">
            <v>KKM/IKN/H/13/731</v>
          </cell>
          <cell r="E38" t="str">
            <v>10-208</v>
          </cell>
          <cell r="F38" t="str">
            <v>Aspirators</v>
          </cell>
          <cell r="G38" t="str">
            <v>MC</v>
          </cell>
          <cell r="H38" t="str">
            <v>MULTI-DISCIPLINE CLINIC</v>
          </cell>
          <cell r="I38" t="str">
            <v>03MC108</v>
          </cell>
          <cell r="J38" t="str">
            <v>TREATMENT/PROCEDURE</v>
          </cell>
          <cell r="K38" t="str">
            <v>BMED</v>
          </cell>
          <cell r="L38" t="str">
            <v>Critical</v>
          </cell>
          <cell r="M38" t="str">
            <v>Switzerland</v>
          </cell>
          <cell r="N38" t="str">
            <v>Senator</v>
          </cell>
          <cell r="O38" t="str">
            <v>Senator</v>
          </cell>
          <cell r="P38" t="str">
            <v>1220749</v>
          </cell>
          <cell r="Q38" t="str">
            <v>Not Applicable</v>
          </cell>
          <cell r="R38" t="str">
            <v>Ardo Medical AG</v>
          </cell>
          <cell r="S38" t="str">
            <v>Histopoint</v>
          </cell>
          <cell r="T38" t="str">
            <v>Functioning</v>
          </cell>
          <cell r="U38" t="str">
            <v>Asset</v>
          </cell>
          <cell r="V38">
            <v>7580</v>
          </cell>
          <cell r="W38" t="str">
            <v>KEW</v>
          </cell>
          <cell r="X38" t="str">
            <v>01/09/2010</v>
          </cell>
          <cell r="Y38" t="str">
            <v>KEW</v>
          </cell>
          <cell r="Z38" t="str">
            <v>16/08/2013</v>
          </cell>
          <cell r="AA38" t="str">
            <v>15/08/2015</v>
          </cell>
          <cell r="AB38" t="str">
            <v>No</v>
          </cell>
          <cell r="AC38" t="str">
            <v>31/08/2013</v>
          </cell>
          <cell r="AD38" t="str">
            <v>Good</v>
          </cell>
          <cell r="AE38" t="str">
            <v>V1 - Existing / No Claim</v>
          </cell>
          <cell r="AF38">
            <v>42800</v>
          </cell>
          <cell r="AG38">
            <v>9.17</v>
          </cell>
          <cell r="AH38" t="str">
            <v>PPM</v>
          </cell>
          <cell r="AI38" t="str">
            <v>Strands</v>
          </cell>
          <cell r="AJ38" t="str">
            <v>Strands PW</v>
          </cell>
        </row>
        <row r="39">
          <cell r="A39" t="str">
            <v>IKN401007</v>
          </cell>
          <cell r="B39">
            <v>1005</v>
          </cell>
          <cell r="C39" t="str">
            <v>Institut Kanser Negara</v>
          </cell>
          <cell r="D39" t="str">
            <v>KKM/IKN/H/13/3887</v>
          </cell>
          <cell r="E39" t="str">
            <v>15-999</v>
          </cell>
          <cell r="F39" t="str">
            <v>Washers, Flexible Endoscope</v>
          </cell>
          <cell r="G39" t="str">
            <v>MC</v>
          </cell>
          <cell r="H39" t="str">
            <v>MULTI-DISCIPLINE CLINIC</v>
          </cell>
          <cell r="I39" t="str">
            <v>03MC111</v>
          </cell>
          <cell r="J39" t="str">
            <v>SCOPE WASH</v>
          </cell>
          <cell r="K39" t="str">
            <v>BMED</v>
          </cell>
          <cell r="L39" t="str">
            <v>Normal</v>
          </cell>
          <cell r="M39" t="str">
            <v>Japan</v>
          </cell>
          <cell r="N39" t="str">
            <v>Olympus</v>
          </cell>
          <cell r="O39" t="str">
            <v>Olympus OER-AW</v>
          </cell>
          <cell r="P39" t="str">
            <v>2220744</v>
          </cell>
          <cell r="Q39" t="str">
            <v>Not Applicable</v>
          </cell>
          <cell r="R39" t="str">
            <v>Olympus Medical Systems Corp</v>
          </cell>
          <cell r="S39" t="str">
            <v>Endodynamics</v>
          </cell>
          <cell r="T39" t="str">
            <v>Functioning</v>
          </cell>
          <cell r="U39" t="str">
            <v>Asset</v>
          </cell>
          <cell r="V39">
            <v>126300</v>
          </cell>
          <cell r="W39" t="str">
            <v>KEW</v>
          </cell>
          <cell r="X39" t="str">
            <v>01/09/2010</v>
          </cell>
          <cell r="Y39" t="str">
            <v>KEW</v>
          </cell>
          <cell r="Z39" t="str">
            <v>16/08/2013</v>
          </cell>
          <cell r="AA39" t="str">
            <v>15/08/2015</v>
          </cell>
          <cell r="AB39" t="str">
            <v>No</v>
          </cell>
          <cell r="AC39" t="str">
            <v>31/08/2013</v>
          </cell>
          <cell r="AD39" t="str">
            <v>Good</v>
          </cell>
          <cell r="AE39" t="str">
            <v>V1 - Existing / No Claim</v>
          </cell>
          <cell r="AF39">
            <v>43063</v>
          </cell>
          <cell r="AG39">
            <v>9.17</v>
          </cell>
          <cell r="AH39" t="str">
            <v>PPM</v>
          </cell>
          <cell r="AI39" t="str">
            <v>Strands</v>
          </cell>
          <cell r="AJ39" t="str">
            <v>Strands PW</v>
          </cell>
        </row>
        <row r="40">
          <cell r="A40" t="str">
            <v>IKN401008</v>
          </cell>
          <cell r="B40">
            <v>1006</v>
          </cell>
          <cell r="C40" t="str">
            <v>Institut Kanser Negara</v>
          </cell>
          <cell r="D40" t="str">
            <v>KKM/IKN/H/13/3937</v>
          </cell>
          <cell r="E40" t="str">
            <v>15-605</v>
          </cell>
          <cell r="F40" t="str">
            <v>Testers</v>
          </cell>
          <cell r="G40" t="str">
            <v>MC</v>
          </cell>
          <cell r="H40" t="str">
            <v>MULTI-DISCIPLINE CLINIC</v>
          </cell>
          <cell r="I40" t="str">
            <v>03MC111</v>
          </cell>
          <cell r="J40" t="str">
            <v>SCOPE WASH</v>
          </cell>
          <cell r="K40" t="str">
            <v>BMED</v>
          </cell>
          <cell r="L40" t="str">
            <v>Normal</v>
          </cell>
          <cell r="M40" t="str">
            <v>Japan</v>
          </cell>
          <cell r="N40" t="str">
            <v>Olympus Jap</v>
          </cell>
          <cell r="O40" t="str">
            <v>Mu-1/ Mb-155</v>
          </cell>
          <cell r="P40" t="str">
            <v>7249963</v>
          </cell>
          <cell r="Q40" t="str">
            <v>Not Applicable</v>
          </cell>
          <cell r="R40" t="str">
            <v>Olympus Jap</v>
          </cell>
          <cell r="S40" t="str">
            <v>Endodynamics</v>
          </cell>
          <cell r="T40" t="str">
            <v>Functioning</v>
          </cell>
          <cell r="U40" t="str">
            <v>Asset</v>
          </cell>
          <cell r="V40">
            <v>2700</v>
          </cell>
          <cell r="W40" t="str">
            <v>KEW</v>
          </cell>
          <cell r="X40" t="str">
            <v>01/09/2010</v>
          </cell>
          <cell r="Y40" t="str">
            <v>KEW</v>
          </cell>
          <cell r="Z40" t="str">
            <v>16/08/2013</v>
          </cell>
          <cell r="AA40" t="str">
            <v>15/08/2015</v>
          </cell>
          <cell r="AB40" t="str">
            <v>No</v>
          </cell>
          <cell r="AC40" t="str">
            <v>31/08/2013</v>
          </cell>
          <cell r="AD40" t="str">
            <v>Good</v>
          </cell>
          <cell r="AE40" t="str">
            <v>V1 - Existing / No Claim</v>
          </cell>
          <cell r="AF40">
            <v>42542</v>
          </cell>
          <cell r="AG40">
            <v>9.17</v>
          </cell>
          <cell r="AH40" t="str">
            <v>PPM</v>
          </cell>
          <cell r="AI40" t="str">
            <v>Strands</v>
          </cell>
          <cell r="AJ40" t="str">
            <v>Strands PW</v>
          </cell>
        </row>
        <row r="41">
          <cell r="A41" t="str">
            <v>IKN401009</v>
          </cell>
          <cell r="B41">
            <v>1007</v>
          </cell>
          <cell r="C41" t="str">
            <v>Institut Kanser Negara</v>
          </cell>
          <cell r="D41" t="str">
            <v>KKM/IKN/H/13/173</v>
          </cell>
          <cell r="E41" t="str">
            <v>17-665</v>
          </cell>
          <cell r="F41" t="str">
            <v>Colonoscopes, Video</v>
          </cell>
          <cell r="G41" t="str">
            <v>MC</v>
          </cell>
          <cell r="H41" t="str">
            <v>MULTI-DISCIPLINE CLINIC</v>
          </cell>
          <cell r="I41" t="str">
            <v>03MC108</v>
          </cell>
          <cell r="J41" t="str">
            <v>TREATMENT/PROCEDURE</v>
          </cell>
          <cell r="K41" t="str">
            <v>BMED</v>
          </cell>
          <cell r="L41" t="str">
            <v>Normal</v>
          </cell>
          <cell r="M41" t="str">
            <v>Japan</v>
          </cell>
          <cell r="N41" t="str">
            <v>Olympus</v>
          </cell>
          <cell r="O41" t="str">
            <v>Olympus PCF-H190L</v>
          </cell>
          <cell r="P41" t="str">
            <v>2200270</v>
          </cell>
          <cell r="Q41" t="str">
            <v>Not Applicable</v>
          </cell>
          <cell r="R41" t="str">
            <v>Olympus Medical Systems Corp</v>
          </cell>
          <cell r="S41" t="str">
            <v>Endodynamics</v>
          </cell>
          <cell r="T41" t="str">
            <v>Functioning</v>
          </cell>
          <cell r="U41" t="str">
            <v>Asset</v>
          </cell>
          <cell r="V41">
            <v>143382</v>
          </cell>
          <cell r="W41" t="str">
            <v>KEW</v>
          </cell>
          <cell r="X41" t="str">
            <v>01/09/2010</v>
          </cell>
          <cell r="Y41" t="str">
            <v>KEW</v>
          </cell>
          <cell r="Z41" t="str">
            <v>16/08/2013</v>
          </cell>
          <cell r="AA41" t="str">
            <v>15/08/2015</v>
          </cell>
          <cell r="AB41" t="str">
            <v>No</v>
          </cell>
          <cell r="AC41" t="str">
            <v>31/08/2013</v>
          </cell>
          <cell r="AD41" t="str">
            <v>Good</v>
          </cell>
          <cell r="AE41" t="str">
            <v>V1 - Existing / No Claim</v>
          </cell>
          <cell r="AF41">
            <v>42514</v>
          </cell>
          <cell r="AG41">
            <v>9.17</v>
          </cell>
          <cell r="AH41" t="str">
            <v>PPM</v>
          </cell>
          <cell r="AI41" t="str">
            <v>Strands</v>
          </cell>
          <cell r="AJ41" t="str">
            <v>Strands PW</v>
          </cell>
        </row>
        <row r="42">
          <cell r="A42" t="str">
            <v>IKN401010</v>
          </cell>
          <cell r="B42">
            <v>1008</v>
          </cell>
          <cell r="C42" t="str">
            <v>Institut Kanser Negara</v>
          </cell>
          <cell r="D42" t="str">
            <v>KKM/IKN/H/13/175</v>
          </cell>
          <cell r="E42" t="str">
            <v>17-663</v>
          </cell>
          <cell r="F42" t="str">
            <v>Gastroscopes, Flexible, Video</v>
          </cell>
          <cell r="G42" t="str">
            <v>MC</v>
          </cell>
          <cell r="H42" t="str">
            <v>MULTI-DISCIPLINE CLINIC</v>
          </cell>
          <cell r="I42" t="str">
            <v>03MC108</v>
          </cell>
          <cell r="J42" t="str">
            <v>TREATMENT/PROCEDURE</v>
          </cell>
          <cell r="K42" t="str">
            <v>BMED</v>
          </cell>
          <cell r="L42" t="str">
            <v>Normal</v>
          </cell>
          <cell r="M42" t="str">
            <v>Japan</v>
          </cell>
          <cell r="N42" t="str">
            <v>Olympus</v>
          </cell>
          <cell r="O42" t="str">
            <v>Olympus GIF-XTQ160</v>
          </cell>
          <cell r="P42" t="str">
            <v>2200808</v>
          </cell>
          <cell r="Q42" t="str">
            <v>Not Applicable</v>
          </cell>
          <cell r="R42" t="str">
            <v>Olympus Optical Co Ltd</v>
          </cell>
          <cell r="S42" t="str">
            <v>Endodynamics</v>
          </cell>
          <cell r="T42" t="str">
            <v>Functioning</v>
          </cell>
          <cell r="U42" t="str">
            <v>Asset</v>
          </cell>
          <cell r="V42">
            <v>118230</v>
          </cell>
          <cell r="W42" t="str">
            <v>KEW</v>
          </cell>
          <cell r="X42" t="str">
            <v>01/09/2010</v>
          </cell>
          <cell r="Y42" t="str">
            <v>KEW</v>
          </cell>
          <cell r="Z42" t="str">
            <v>16/08/2013</v>
          </cell>
          <cell r="AA42" t="str">
            <v>15/08/2015</v>
          </cell>
          <cell r="AB42" t="str">
            <v>No</v>
          </cell>
          <cell r="AC42" t="str">
            <v>31/08/2013</v>
          </cell>
          <cell r="AD42" t="str">
            <v>Good</v>
          </cell>
          <cell r="AE42" t="str">
            <v>V1 - Existing / No Claim</v>
          </cell>
          <cell r="AF42">
            <v>42514</v>
          </cell>
          <cell r="AG42">
            <v>9.17</v>
          </cell>
          <cell r="AH42" t="str">
            <v>PPM</v>
          </cell>
          <cell r="AI42" t="str">
            <v>Strands</v>
          </cell>
          <cell r="AJ42" t="str">
            <v>Strands PW</v>
          </cell>
        </row>
        <row r="43">
          <cell r="A43" t="str">
            <v>IKN401012</v>
          </cell>
          <cell r="B43">
            <v>1010</v>
          </cell>
          <cell r="C43" t="str">
            <v>Institut Kanser Negara</v>
          </cell>
          <cell r="E43" t="str">
            <v>12-343</v>
          </cell>
          <cell r="F43" t="str">
            <v>Light Sources, Fiberoptic, Flexible Endoscopic</v>
          </cell>
          <cell r="G43" t="str">
            <v>MC</v>
          </cell>
          <cell r="H43" t="str">
            <v>MULTI-DISCIPLINE CLINIC</v>
          </cell>
          <cell r="I43" t="str">
            <v>03MC108</v>
          </cell>
          <cell r="J43" t="str">
            <v>TREATMENT/PROCEDURE</v>
          </cell>
          <cell r="K43" t="str">
            <v>BMED</v>
          </cell>
          <cell r="L43" t="str">
            <v>Normal</v>
          </cell>
          <cell r="M43" t="str">
            <v>JAPAN</v>
          </cell>
          <cell r="N43" t="str">
            <v>Olympus</v>
          </cell>
          <cell r="O43" t="str">
            <v>Olympus CLV-S45</v>
          </cell>
          <cell r="P43" t="str">
            <v>7211418</v>
          </cell>
          <cell r="Q43" t="str">
            <v>Not Applicable</v>
          </cell>
          <cell r="R43" t="str">
            <v>Karl Storz GmbH</v>
          </cell>
          <cell r="S43" t="str">
            <v>Endodynamics</v>
          </cell>
          <cell r="T43" t="str">
            <v>Functioning</v>
          </cell>
          <cell r="U43" t="str">
            <v>Asset</v>
          </cell>
          <cell r="V43">
            <v>35000</v>
          </cell>
          <cell r="W43" t="str">
            <v>Estimate</v>
          </cell>
          <cell r="X43" t="str">
            <v>01/09/2010</v>
          </cell>
          <cell r="Y43" t="str">
            <v>KEW</v>
          </cell>
          <cell r="Z43" t="str">
            <v>16/08/2013</v>
          </cell>
          <cell r="AA43" t="str">
            <v>15/08/2015</v>
          </cell>
          <cell r="AB43" t="str">
            <v>No</v>
          </cell>
          <cell r="AC43" t="str">
            <v>31/08/2013</v>
          </cell>
          <cell r="AD43" t="str">
            <v>Good</v>
          </cell>
          <cell r="AE43" t="str">
            <v>V1 - Existing / No Claim</v>
          </cell>
          <cell r="AF43">
            <v>43543</v>
          </cell>
          <cell r="AG43">
            <v>9.17</v>
          </cell>
          <cell r="AH43" t="str">
            <v>PPM</v>
          </cell>
          <cell r="AI43" t="str">
            <v>package</v>
          </cell>
          <cell r="AJ43" t="str">
            <v>Strands PW</v>
          </cell>
        </row>
        <row r="44">
          <cell r="A44" t="str">
            <v>IKN401070</v>
          </cell>
          <cell r="B44">
            <v>1068</v>
          </cell>
          <cell r="C44" t="str">
            <v>Institut Kanser Negara</v>
          </cell>
          <cell r="D44" t="str">
            <v>KKM/IKN/H/13/3935-03</v>
          </cell>
          <cell r="E44" t="str">
            <v>12-343</v>
          </cell>
          <cell r="F44" t="str">
            <v>Light Sources, Fiberoptic, Flexible Endoscopic</v>
          </cell>
          <cell r="G44" t="str">
            <v>MC</v>
          </cell>
          <cell r="H44" t="str">
            <v>MULTI-DISCIPLINE CLINIC</v>
          </cell>
          <cell r="I44" t="str">
            <v>03MC108</v>
          </cell>
          <cell r="J44" t="str">
            <v>TREATMENT/PROCEDURE</v>
          </cell>
          <cell r="K44" t="str">
            <v>BMED</v>
          </cell>
          <cell r="L44" t="str">
            <v>Normal</v>
          </cell>
          <cell r="M44" t="str">
            <v>Japan</v>
          </cell>
          <cell r="N44" t="str">
            <v>Evis Exera III</v>
          </cell>
          <cell r="O44" t="str">
            <v>Evis Exera III CLV-190</v>
          </cell>
          <cell r="P44" t="str">
            <v>7222936</v>
          </cell>
          <cell r="Q44" t="str">
            <v>Not Applicable</v>
          </cell>
          <cell r="R44" t="str">
            <v>Olympus Medical Systems Corp</v>
          </cell>
          <cell r="S44" t="str">
            <v>Endodynamics</v>
          </cell>
          <cell r="T44" t="str">
            <v>Functioning</v>
          </cell>
          <cell r="U44" t="str">
            <v>Asset</v>
          </cell>
          <cell r="V44">
            <v>52460</v>
          </cell>
          <cell r="W44" t="str">
            <v>Estimate</v>
          </cell>
          <cell r="X44" t="str">
            <v>01/09/2010</v>
          </cell>
          <cell r="Y44" t="str">
            <v>KEW</v>
          </cell>
          <cell r="Z44" t="str">
            <v>16/08/2013</v>
          </cell>
          <cell r="AA44" t="str">
            <v>15/08/2015</v>
          </cell>
          <cell r="AB44" t="str">
            <v>No</v>
          </cell>
          <cell r="AC44" t="str">
            <v>31/08/2013</v>
          </cell>
          <cell r="AD44" t="str">
            <v>Good</v>
          </cell>
          <cell r="AE44" t="str">
            <v>V1 - Existing / No Claim</v>
          </cell>
          <cell r="AF44">
            <v>42605</v>
          </cell>
          <cell r="AG44">
            <v>9.17</v>
          </cell>
          <cell r="AH44" t="str">
            <v>PPM</v>
          </cell>
          <cell r="AI44" t="str">
            <v>Strands</v>
          </cell>
          <cell r="AJ44" t="str">
            <v>Strands Package</v>
          </cell>
          <cell r="AK44" t="str">
            <v>Package Code EP0110</v>
          </cell>
        </row>
        <row r="45">
          <cell r="A45" t="str">
            <v>IKN401071</v>
          </cell>
          <cell r="B45">
            <v>1069</v>
          </cell>
          <cell r="C45" t="str">
            <v>Institut Kanser Negara</v>
          </cell>
          <cell r="D45" t="str">
            <v>KKM/IKN/H/13/3935</v>
          </cell>
          <cell r="E45" t="str">
            <v>18-034</v>
          </cell>
          <cell r="F45" t="str">
            <v>Video Image Processors, Endoscopic</v>
          </cell>
          <cell r="G45" t="str">
            <v>MC</v>
          </cell>
          <cell r="H45" t="str">
            <v>MULTI-DISCIPLINE CLINIC</v>
          </cell>
          <cell r="I45" t="str">
            <v>03MC108</v>
          </cell>
          <cell r="J45" t="str">
            <v>TREATMENT/PROCEDURE</v>
          </cell>
          <cell r="K45" t="str">
            <v>BMED</v>
          </cell>
          <cell r="L45" t="str">
            <v>Normal</v>
          </cell>
          <cell r="M45" t="str">
            <v>JAPAN</v>
          </cell>
          <cell r="N45" t="str">
            <v>Evis Exera III</v>
          </cell>
          <cell r="O45" t="str">
            <v>Evis Exera III CV-190</v>
          </cell>
          <cell r="P45" t="str">
            <v>7211777</v>
          </cell>
          <cell r="Q45" t="str">
            <v>Not Applicable</v>
          </cell>
          <cell r="R45" t="str">
            <v>Olympus Medical Systems Corp</v>
          </cell>
          <cell r="S45" t="str">
            <v>Endodynamics</v>
          </cell>
          <cell r="T45" t="str">
            <v>Functioning</v>
          </cell>
          <cell r="U45" t="str">
            <v>Asset</v>
          </cell>
          <cell r="V45">
            <v>80000</v>
          </cell>
          <cell r="W45" t="str">
            <v>Estimate</v>
          </cell>
          <cell r="X45" t="str">
            <v>01/09/2010</v>
          </cell>
          <cell r="Y45" t="str">
            <v>KEW</v>
          </cell>
          <cell r="Z45" t="str">
            <v>16/08/2013</v>
          </cell>
          <cell r="AA45" t="str">
            <v>15/08/2015</v>
          </cell>
          <cell r="AB45" t="str">
            <v>No</v>
          </cell>
          <cell r="AC45" t="str">
            <v>31/08/2013</v>
          </cell>
          <cell r="AD45" t="str">
            <v>Good</v>
          </cell>
          <cell r="AE45" t="str">
            <v>V1 - Existing / No Claim</v>
          </cell>
          <cell r="AF45">
            <v>42605</v>
          </cell>
          <cell r="AG45">
            <v>9.17</v>
          </cell>
          <cell r="AH45" t="str">
            <v>PPM</v>
          </cell>
          <cell r="AI45" t="str">
            <v>Strands</v>
          </cell>
          <cell r="AJ45" t="str">
            <v>Strands Package</v>
          </cell>
          <cell r="AK45" t="str">
            <v>Package Code EP0110</v>
          </cell>
        </row>
        <row r="46">
          <cell r="A46" t="str">
            <v>IKN401072</v>
          </cell>
          <cell r="B46">
            <v>1070</v>
          </cell>
          <cell r="C46" t="str">
            <v>Institut Kanser Negara</v>
          </cell>
          <cell r="D46" t="str">
            <v>KKM/IKN/H/13/3935-02</v>
          </cell>
          <cell r="E46" t="str">
            <v>15-967</v>
          </cell>
          <cell r="F46" t="str">
            <v>Television Systems, Endoscope</v>
          </cell>
          <cell r="G46" t="str">
            <v>MC</v>
          </cell>
          <cell r="H46" t="str">
            <v>MULTI-DISCIPLINE CLINIC</v>
          </cell>
          <cell r="I46" t="str">
            <v>03MC108</v>
          </cell>
          <cell r="J46" t="str">
            <v>TREATMENT/PROCEDURE</v>
          </cell>
          <cell r="K46" t="str">
            <v>BMED</v>
          </cell>
          <cell r="L46" t="str">
            <v>Normal</v>
          </cell>
          <cell r="M46" t="str">
            <v>JAPAN</v>
          </cell>
          <cell r="N46" t="str">
            <v>Olympus</v>
          </cell>
          <cell r="O46" t="str">
            <v>Olympus OEV261H</v>
          </cell>
          <cell r="P46" t="str">
            <v>7246184</v>
          </cell>
          <cell r="Q46" t="str">
            <v>Not Applicable</v>
          </cell>
          <cell r="R46" t="str">
            <v>Olympus Medical Systems Corp</v>
          </cell>
          <cell r="S46" t="str">
            <v>Endodynamics</v>
          </cell>
          <cell r="T46" t="str">
            <v>Functioning</v>
          </cell>
          <cell r="U46" t="str">
            <v>Asset</v>
          </cell>
          <cell r="V46">
            <v>30000</v>
          </cell>
          <cell r="W46" t="str">
            <v>Estimate</v>
          </cell>
          <cell r="X46" t="str">
            <v>01/09/2010</v>
          </cell>
          <cell r="Y46" t="str">
            <v>KEW</v>
          </cell>
          <cell r="Z46" t="str">
            <v>16/08/2013</v>
          </cell>
          <cell r="AA46" t="str">
            <v>15/08/2015</v>
          </cell>
          <cell r="AB46" t="str">
            <v>No</v>
          </cell>
          <cell r="AC46" t="str">
            <v>31/08/2013</v>
          </cell>
          <cell r="AD46" t="str">
            <v>Good</v>
          </cell>
          <cell r="AE46" t="str">
            <v>V1 - Existing / No Claim</v>
          </cell>
          <cell r="AF46">
            <v>42605</v>
          </cell>
          <cell r="AG46">
            <v>9.17</v>
          </cell>
          <cell r="AH46" t="str">
            <v>RI</v>
          </cell>
          <cell r="AI46" t="str">
            <v>Strands</v>
          </cell>
          <cell r="AJ46" t="str">
            <v>Strands Package</v>
          </cell>
          <cell r="AK46" t="str">
            <v>Package Code EP0110</v>
          </cell>
        </row>
        <row r="47">
          <cell r="A47" t="str">
            <v>IKN401073</v>
          </cell>
          <cell r="B47">
            <v>1071</v>
          </cell>
          <cell r="C47" t="str">
            <v>Institut Kanser Negara</v>
          </cell>
          <cell r="D47" t="str">
            <v>KKM/IKN/H/13/3935-04</v>
          </cell>
          <cell r="E47" t="str">
            <v>13-274</v>
          </cell>
          <cell r="F47" t="str">
            <v>Recorders, Tape, Video</v>
          </cell>
          <cell r="G47" t="str">
            <v>MC</v>
          </cell>
          <cell r="H47" t="str">
            <v>MULTI-DISCIPLINE CLINIC</v>
          </cell>
          <cell r="I47" t="str">
            <v>03MC108</v>
          </cell>
          <cell r="J47" t="str">
            <v>TREATMENT/PROCEDURE</v>
          </cell>
          <cell r="K47" t="str">
            <v>BMED</v>
          </cell>
          <cell r="L47" t="str">
            <v>Normal</v>
          </cell>
          <cell r="M47" t="str">
            <v>China</v>
          </cell>
          <cell r="N47" t="str">
            <v>Sony</v>
          </cell>
          <cell r="O47" t="str">
            <v>Sony DVD-1000MD</v>
          </cell>
          <cell r="P47" t="str">
            <v>35243</v>
          </cell>
          <cell r="Q47" t="str">
            <v>Not Applicable</v>
          </cell>
          <cell r="R47" t="str">
            <v>Sony Corp</v>
          </cell>
          <cell r="S47" t="str">
            <v>Endodynamics</v>
          </cell>
          <cell r="T47" t="str">
            <v>Functioning</v>
          </cell>
          <cell r="U47" t="str">
            <v>Asset</v>
          </cell>
          <cell r="V47">
            <v>4000</v>
          </cell>
          <cell r="W47" t="str">
            <v>Estimate</v>
          </cell>
          <cell r="X47" t="str">
            <v>01/09/2010</v>
          </cell>
          <cell r="Y47" t="str">
            <v>KEW</v>
          </cell>
          <cell r="Z47" t="str">
            <v>16/08/2013</v>
          </cell>
          <cell r="AA47" t="str">
            <v>15/08/2015</v>
          </cell>
          <cell r="AB47" t="str">
            <v>No</v>
          </cell>
          <cell r="AC47" t="str">
            <v>31/08/2013</v>
          </cell>
          <cell r="AD47" t="str">
            <v>Good</v>
          </cell>
          <cell r="AE47" t="str">
            <v>V1 - Existing / No Claim</v>
          </cell>
          <cell r="AF47">
            <v>42605</v>
          </cell>
          <cell r="AG47">
            <v>9.17</v>
          </cell>
          <cell r="AH47" t="str">
            <v>RI</v>
          </cell>
          <cell r="AI47" t="str">
            <v>Strands</v>
          </cell>
          <cell r="AJ47" t="str">
            <v>Strands Package</v>
          </cell>
          <cell r="AK47" t="str">
            <v>Package Code EP0110</v>
          </cell>
        </row>
        <row r="48">
          <cell r="A48" t="str">
            <v>IKN401074</v>
          </cell>
          <cell r="B48">
            <v>1072</v>
          </cell>
          <cell r="C48" t="str">
            <v>Institut Kanser Negara</v>
          </cell>
          <cell r="D48" t="str">
            <v>KKM/IKN/H/13/3935-08</v>
          </cell>
          <cell r="E48" t="str">
            <v>17-508</v>
          </cell>
          <cell r="F48" t="str">
            <v>Printers, Video</v>
          </cell>
          <cell r="G48" t="str">
            <v>MC</v>
          </cell>
          <cell r="H48" t="str">
            <v>MULTI-DISCIPLINE CLINIC</v>
          </cell>
          <cell r="I48" t="str">
            <v>03MC108</v>
          </cell>
          <cell r="J48" t="str">
            <v>TREATMENT/PROCEDURE</v>
          </cell>
          <cell r="K48" t="str">
            <v>BMED</v>
          </cell>
          <cell r="L48" t="str">
            <v>Normal</v>
          </cell>
          <cell r="M48" t="str">
            <v>Japan</v>
          </cell>
          <cell r="N48" t="str">
            <v>Sony</v>
          </cell>
          <cell r="O48" t="str">
            <v>Sony UP-25MD</v>
          </cell>
          <cell r="P48" t="str">
            <v>713164</v>
          </cell>
          <cell r="Q48" t="str">
            <v>Not Applicable</v>
          </cell>
          <cell r="R48" t="str">
            <v>Sony Corp</v>
          </cell>
          <cell r="S48" t="str">
            <v>V Medical Services</v>
          </cell>
          <cell r="T48" t="str">
            <v>Functioning</v>
          </cell>
          <cell r="U48" t="str">
            <v>Asset</v>
          </cell>
          <cell r="V48">
            <v>4000</v>
          </cell>
          <cell r="W48" t="str">
            <v>Estimate</v>
          </cell>
          <cell r="X48" t="str">
            <v>01/09/2010</v>
          </cell>
          <cell r="Y48" t="str">
            <v>KEW</v>
          </cell>
          <cell r="Z48" t="str">
            <v>16/08/2013</v>
          </cell>
          <cell r="AA48" t="str">
            <v>15/08/2015</v>
          </cell>
          <cell r="AB48" t="str">
            <v>No</v>
          </cell>
          <cell r="AC48" t="str">
            <v>31/08/2013</v>
          </cell>
          <cell r="AD48" t="str">
            <v>Good</v>
          </cell>
          <cell r="AE48" t="str">
            <v>V1 - Existing / No Claim</v>
          </cell>
          <cell r="AF48">
            <v>42605</v>
          </cell>
          <cell r="AG48">
            <v>9.17</v>
          </cell>
          <cell r="AH48" t="str">
            <v>RI</v>
          </cell>
          <cell r="AI48" t="str">
            <v>Strands</v>
          </cell>
          <cell r="AJ48" t="str">
            <v>Strands Package</v>
          </cell>
          <cell r="AK48" t="str">
            <v>Package Code EP0110</v>
          </cell>
        </row>
        <row r="49">
          <cell r="A49" t="str">
            <v>IKN401075</v>
          </cell>
          <cell r="B49">
            <v>1073</v>
          </cell>
          <cell r="C49" t="str">
            <v>Institut Kanser Negara</v>
          </cell>
          <cell r="D49" t="str">
            <v>KKM/IKN/H/13/3935-05</v>
          </cell>
          <cell r="E49" t="str">
            <v>18-231</v>
          </cell>
          <cell r="F49" t="str">
            <v>Electrosurgical Units, Monopolar/Bipolar</v>
          </cell>
          <cell r="G49" t="str">
            <v>MC</v>
          </cell>
          <cell r="H49" t="str">
            <v>MULTI-DISCIPLINE CLINIC</v>
          </cell>
          <cell r="I49" t="str">
            <v>03MC108</v>
          </cell>
          <cell r="J49" t="str">
            <v>TREATMENT/PROCEDURE</v>
          </cell>
          <cell r="K49" t="str">
            <v>BMED</v>
          </cell>
          <cell r="L49" t="str">
            <v>Critical</v>
          </cell>
          <cell r="M49" t="str">
            <v>Japan</v>
          </cell>
          <cell r="N49" t="str">
            <v>Olympus</v>
          </cell>
          <cell r="O49" t="str">
            <v>Olympus PSD-30</v>
          </cell>
          <cell r="P49" t="str">
            <v>7274818</v>
          </cell>
          <cell r="Q49" t="str">
            <v>Not Applicable</v>
          </cell>
          <cell r="R49" t="str">
            <v>Olympus Medical Systems Corp</v>
          </cell>
          <cell r="S49" t="str">
            <v>Endodynamics</v>
          </cell>
          <cell r="T49" t="str">
            <v>Functioning</v>
          </cell>
          <cell r="U49" t="str">
            <v>Asset</v>
          </cell>
          <cell r="V49">
            <v>20000</v>
          </cell>
          <cell r="W49" t="str">
            <v>Estimate</v>
          </cell>
          <cell r="X49" t="str">
            <v>01/09/2010</v>
          </cell>
          <cell r="Y49" t="str">
            <v>KEW</v>
          </cell>
          <cell r="Z49" t="str">
            <v>16/08/2013</v>
          </cell>
          <cell r="AA49" t="str">
            <v>15/08/2015</v>
          </cell>
          <cell r="AB49" t="str">
            <v>No</v>
          </cell>
          <cell r="AC49" t="str">
            <v>31/08/2013</v>
          </cell>
          <cell r="AD49" t="str">
            <v>Good</v>
          </cell>
          <cell r="AE49" t="str">
            <v>V1 - Existing / No Claim</v>
          </cell>
          <cell r="AF49">
            <v>43430</v>
          </cell>
          <cell r="AG49">
            <v>9.17</v>
          </cell>
          <cell r="AH49" t="str">
            <v>PPM</v>
          </cell>
          <cell r="AI49" t="str">
            <v>Strands</v>
          </cell>
          <cell r="AJ49" t="str">
            <v>Strands Package</v>
          </cell>
          <cell r="AK49" t="str">
            <v>Package Code EP0110</v>
          </cell>
        </row>
        <row r="50">
          <cell r="A50" t="str">
            <v>IKN401076</v>
          </cell>
          <cell r="B50">
            <v>1074</v>
          </cell>
          <cell r="C50" t="str">
            <v>Institut Kanser Negara</v>
          </cell>
          <cell r="D50" t="str">
            <v>KKM/IKN/H/13/3935-06</v>
          </cell>
          <cell r="E50" t="str">
            <v>12-306</v>
          </cell>
          <cell r="F50" t="str">
            <v>Lavage Units, Surgical</v>
          </cell>
          <cell r="G50" t="str">
            <v>MC</v>
          </cell>
          <cell r="H50" t="str">
            <v>MULTI-DISCIPLINE CLINIC</v>
          </cell>
          <cell r="I50" t="str">
            <v>03MC108</v>
          </cell>
          <cell r="J50" t="str">
            <v>TREATMENT/PROCEDURE</v>
          </cell>
          <cell r="K50" t="str">
            <v>BMED</v>
          </cell>
          <cell r="L50" t="str">
            <v>Critical</v>
          </cell>
          <cell r="M50" t="str">
            <v>JAPAN</v>
          </cell>
          <cell r="N50" t="str">
            <v>Olympus</v>
          </cell>
          <cell r="O50" t="str">
            <v>Olympus OFP-2</v>
          </cell>
          <cell r="P50" t="str">
            <v>21214324</v>
          </cell>
          <cell r="Q50" t="str">
            <v>Not Applicable</v>
          </cell>
          <cell r="R50" t="str">
            <v>Olympus Optical Co Ltd</v>
          </cell>
          <cell r="S50" t="str">
            <v>Endodynamics</v>
          </cell>
          <cell r="T50" t="str">
            <v>Functioning</v>
          </cell>
          <cell r="U50" t="str">
            <v>Asset</v>
          </cell>
          <cell r="V50">
            <v>5000</v>
          </cell>
          <cell r="W50" t="str">
            <v>Estimate</v>
          </cell>
          <cell r="X50" t="str">
            <v>01/09/2010</v>
          </cell>
          <cell r="Y50" t="str">
            <v>KEW</v>
          </cell>
          <cell r="Z50" t="str">
            <v>16/08/2013</v>
          </cell>
          <cell r="AA50" t="str">
            <v>15/08/2015</v>
          </cell>
          <cell r="AB50" t="str">
            <v>No</v>
          </cell>
          <cell r="AC50" t="str">
            <v>31/08/2013</v>
          </cell>
          <cell r="AD50" t="str">
            <v>Good</v>
          </cell>
          <cell r="AE50" t="str">
            <v>V1 - Existing / No Claim</v>
          </cell>
          <cell r="AF50">
            <v>42605</v>
          </cell>
          <cell r="AG50">
            <v>9.17</v>
          </cell>
          <cell r="AH50" t="str">
            <v>PPM</v>
          </cell>
          <cell r="AI50" t="str">
            <v>Strands</v>
          </cell>
          <cell r="AJ50" t="str">
            <v>Strands Package</v>
          </cell>
          <cell r="AK50" t="str">
            <v>Package Code EP0110</v>
          </cell>
        </row>
        <row r="51">
          <cell r="A51" t="str">
            <v>IKN401077</v>
          </cell>
          <cell r="B51">
            <v>1075</v>
          </cell>
          <cell r="C51" t="str">
            <v>Institut Kanser Negara</v>
          </cell>
          <cell r="D51" t="str">
            <v>KKM/IKN/H/13/3935-07</v>
          </cell>
          <cell r="E51" t="str">
            <v>10-208</v>
          </cell>
          <cell r="F51" t="str">
            <v>Aspirators</v>
          </cell>
          <cell r="G51" t="str">
            <v>MC</v>
          </cell>
          <cell r="H51" t="str">
            <v>MULTI-DISCIPLINE CLINIC</v>
          </cell>
          <cell r="I51" t="str">
            <v>03MC108</v>
          </cell>
          <cell r="J51" t="str">
            <v>TREATMENT/PROCEDURE</v>
          </cell>
          <cell r="K51" t="str">
            <v>BMED</v>
          </cell>
          <cell r="L51" t="str">
            <v>Critical</v>
          </cell>
          <cell r="M51" t="str">
            <v>Japan</v>
          </cell>
          <cell r="N51" t="str">
            <v>Olympus</v>
          </cell>
          <cell r="O51" t="str">
            <v>Olympus SSU-2</v>
          </cell>
          <cell r="P51" t="str">
            <v>21214442</v>
          </cell>
          <cell r="Q51" t="str">
            <v>Not Applicable</v>
          </cell>
          <cell r="R51" t="str">
            <v>Olympus Optical Co Ltd</v>
          </cell>
          <cell r="S51" t="str">
            <v>Endodynamics</v>
          </cell>
          <cell r="T51" t="str">
            <v>Functioning</v>
          </cell>
          <cell r="U51" t="str">
            <v>Asset</v>
          </cell>
          <cell r="V51">
            <v>4000</v>
          </cell>
          <cell r="W51" t="str">
            <v>Estimate</v>
          </cell>
          <cell r="X51" t="str">
            <v>01/09/2010</v>
          </cell>
          <cell r="Y51" t="str">
            <v>KEW</v>
          </cell>
          <cell r="Z51" t="str">
            <v>16/08/2013</v>
          </cell>
          <cell r="AA51" t="str">
            <v>15/08/2015</v>
          </cell>
          <cell r="AB51" t="str">
            <v>No</v>
          </cell>
          <cell r="AC51" t="str">
            <v>31/08/2013</v>
          </cell>
          <cell r="AD51" t="str">
            <v>Good</v>
          </cell>
          <cell r="AE51" t="str">
            <v>V1 - Existing / No Claim</v>
          </cell>
          <cell r="AF51">
            <v>42605</v>
          </cell>
          <cell r="AG51">
            <v>9.17</v>
          </cell>
          <cell r="AH51" t="str">
            <v>PPM</v>
          </cell>
          <cell r="AI51" t="str">
            <v>Strands</v>
          </cell>
          <cell r="AJ51" t="str">
            <v>Strands Package</v>
          </cell>
          <cell r="AK51" t="str">
            <v>Package Code EP0110</v>
          </cell>
        </row>
        <row r="52">
          <cell r="A52" t="str">
            <v>IKN401090</v>
          </cell>
          <cell r="B52">
            <v>1088</v>
          </cell>
          <cell r="C52" t="str">
            <v>Institut Kanser Negara</v>
          </cell>
          <cell r="E52" t="str">
            <v>12-282</v>
          </cell>
          <cell r="F52" t="str">
            <v>Lights, Surgical</v>
          </cell>
          <cell r="G52" t="str">
            <v>MC</v>
          </cell>
          <cell r="H52" t="str">
            <v>MULTI-DISCIPLINE CLINIC</v>
          </cell>
          <cell r="I52" t="str">
            <v>03MC108</v>
          </cell>
          <cell r="J52" t="str">
            <v>TREATMENT/PROCEDURE</v>
          </cell>
          <cell r="K52" t="str">
            <v>BMED</v>
          </cell>
          <cell r="L52" t="str">
            <v>Normal</v>
          </cell>
          <cell r="M52" t="str">
            <v>USA</v>
          </cell>
          <cell r="N52" t="str">
            <v>Welch Allyn</v>
          </cell>
          <cell r="O52" t="str">
            <v>Welch Allyn GS900</v>
          </cell>
          <cell r="P52" t="str">
            <v>10033711107108</v>
          </cell>
          <cell r="Q52" t="str">
            <v>Not Applicable</v>
          </cell>
          <cell r="R52" t="str">
            <v>Welch Allyn Inc</v>
          </cell>
          <cell r="S52" t="str">
            <v>Welch Allyn Malaysia Sdn Bhd</v>
          </cell>
          <cell r="T52" t="str">
            <v>Functioning</v>
          </cell>
          <cell r="U52" t="str">
            <v>Asset</v>
          </cell>
          <cell r="V52">
            <v>10585</v>
          </cell>
          <cell r="W52" t="str">
            <v>KEW</v>
          </cell>
          <cell r="X52" t="str">
            <v>01/09/2010</v>
          </cell>
          <cell r="Y52" t="str">
            <v>KEW</v>
          </cell>
          <cell r="Z52" t="str">
            <v>16/08/2013</v>
          </cell>
          <cell r="AA52" t="str">
            <v>15/08/2015</v>
          </cell>
          <cell r="AB52" t="str">
            <v>No</v>
          </cell>
          <cell r="AC52" t="str">
            <v>31/08/2013</v>
          </cell>
          <cell r="AD52" t="str">
            <v>Good</v>
          </cell>
          <cell r="AE52" t="str">
            <v>V1 - Existing / No Claim</v>
          </cell>
          <cell r="AF52">
            <v>42235</v>
          </cell>
          <cell r="AG52">
            <v>9.17</v>
          </cell>
          <cell r="AH52" t="str">
            <v>PPM</v>
          </cell>
          <cell r="AI52" t="str">
            <v>Not in contract- FEMS -ambulan</v>
          </cell>
          <cell r="AJ52" t="str">
            <v>Strands PW</v>
          </cell>
        </row>
        <row r="53">
          <cell r="A53" t="str">
            <v>IKN401311</v>
          </cell>
          <cell r="B53">
            <v>1307</v>
          </cell>
          <cell r="C53" t="str">
            <v>Institut Kanser Negara</v>
          </cell>
          <cell r="D53" t="str">
            <v>KKM/IKN/H/16/11</v>
          </cell>
          <cell r="E53" t="str">
            <v>18-231</v>
          </cell>
          <cell r="F53" t="str">
            <v>Electrosurgical Units, Monopolar/Bipolar</v>
          </cell>
          <cell r="G53" t="str">
            <v>MC</v>
          </cell>
          <cell r="H53" t="str">
            <v>MULTI-DISCIPLINE CLINIC</v>
          </cell>
          <cell r="I53" t="str">
            <v>03MC107</v>
          </cell>
          <cell r="J53" t="str">
            <v>TREATMENT 1</v>
          </cell>
          <cell r="K53" t="str">
            <v>BMED</v>
          </cell>
          <cell r="L53" t="str">
            <v>Critical</v>
          </cell>
          <cell r="M53" t="str">
            <v>USA</v>
          </cell>
          <cell r="N53" t="str">
            <v>Covidien</v>
          </cell>
          <cell r="O53" t="str">
            <v>Force FX-8CS</v>
          </cell>
          <cell r="P53" t="str">
            <v>F5L75006AX</v>
          </cell>
          <cell r="Q53" t="str">
            <v>Not Applicable</v>
          </cell>
          <cell r="R53" t="str">
            <v>Covidien Co</v>
          </cell>
          <cell r="S53" t="str">
            <v>Medtronic</v>
          </cell>
          <cell r="T53" t="str">
            <v>Functioning</v>
          </cell>
          <cell r="U53" t="str">
            <v>Asset</v>
          </cell>
          <cell r="V53">
            <v>36000</v>
          </cell>
          <cell r="W53" t="str">
            <v>KEW</v>
          </cell>
          <cell r="X53" t="str">
            <v>12/08/2016</v>
          </cell>
          <cell r="Y53" t="str">
            <v>KEW</v>
          </cell>
          <cell r="Z53" t="str">
            <v>07/10/2016</v>
          </cell>
          <cell r="AA53" t="str">
            <v>08/10/2018</v>
          </cell>
          <cell r="AB53" t="str">
            <v>No</v>
          </cell>
          <cell r="AC53" t="str">
            <v>07/10/2016</v>
          </cell>
          <cell r="AD53" t="str">
            <v>Good</v>
          </cell>
          <cell r="AE53" t="str">
            <v>V3 - Added Installed Facilities (New)</v>
          </cell>
          <cell r="AF53">
            <v>42799</v>
          </cell>
          <cell r="AG53">
            <v>3.25</v>
          </cell>
          <cell r="AH53" t="str">
            <v>PPM</v>
          </cell>
          <cell r="AI53" t="str">
            <v>Strands</v>
          </cell>
          <cell r="AJ53" t="str">
            <v>Strands PW</v>
          </cell>
          <cell r="AK53" t="str">
            <v>SNF received on 25.2.2020</v>
          </cell>
        </row>
        <row r="54">
          <cell r="A54" t="str">
            <v>IKN401338</v>
          </cell>
          <cell r="B54">
            <v>1332</v>
          </cell>
          <cell r="C54" t="str">
            <v>Institut Kanser Negara</v>
          </cell>
          <cell r="D54" t="str">
            <v>KKM/IKN/H/16/37</v>
          </cell>
          <cell r="E54" t="str">
            <v>18-231</v>
          </cell>
          <cell r="F54" t="str">
            <v>Electrosurgical Units, Monopolar/Bipolar</v>
          </cell>
          <cell r="G54" t="str">
            <v>MC</v>
          </cell>
          <cell r="H54" t="str">
            <v>MULTI-DISCIPLINE CLINIC</v>
          </cell>
          <cell r="I54" t="str">
            <v>03MC107</v>
          </cell>
          <cell r="J54" t="str">
            <v>TREATMENT 1</v>
          </cell>
          <cell r="K54" t="str">
            <v>BMED</v>
          </cell>
          <cell r="L54" t="str">
            <v>Critical</v>
          </cell>
          <cell r="M54" t="str">
            <v>France</v>
          </cell>
          <cell r="N54" t="str">
            <v>Servotome</v>
          </cell>
          <cell r="O54" t="str">
            <v>Servotome</v>
          </cell>
          <cell r="P54" t="str">
            <v>871532005</v>
          </cell>
          <cell r="Q54" t="str">
            <v>Not Applicable</v>
          </cell>
          <cell r="R54" t="str">
            <v>Satelec</v>
          </cell>
          <cell r="S54" t="str">
            <v>RAF SYNERGY SDN BHD</v>
          </cell>
          <cell r="T54" t="str">
            <v>Functioning</v>
          </cell>
          <cell r="U54" t="str">
            <v>Asset</v>
          </cell>
          <cell r="V54">
            <v>16000</v>
          </cell>
          <cell r="W54" t="str">
            <v>KEW</v>
          </cell>
          <cell r="X54" t="str">
            <v>27/10/2016</v>
          </cell>
          <cell r="Y54" t="str">
            <v>KEW</v>
          </cell>
          <cell r="Z54" t="str">
            <v>06/12/2016</v>
          </cell>
          <cell r="AA54" t="str">
            <v>06/12/2018</v>
          </cell>
          <cell r="AB54" t="str">
            <v>No</v>
          </cell>
          <cell r="AC54" t="str">
            <v>06/12/2016</v>
          </cell>
          <cell r="AD54" t="str">
            <v>Good</v>
          </cell>
          <cell r="AE54" t="str">
            <v>V3 - Added Installed Facilities (New)</v>
          </cell>
          <cell r="AF54">
            <v>42951</v>
          </cell>
          <cell r="AG54">
            <v>3.08</v>
          </cell>
          <cell r="AH54" t="str">
            <v>PPM</v>
          </cell>
          <cell r="AI54" t="str">
            <v>Strands</v>
          </cell>
          <cell r="AJ54" t="str">
            <v>Strands PW</v>
          </cell>
          <cell r="AK54" t="str">
            <v>SNF received on 25.2.2020</v>
          </cell>
        </row>
        <row r="55">
          <cell r="A55" t="str">
            <v>IKN401444</v>
          </cell>
          <cell r="B55">
            <v>1419</v>
          </cell>
          <cell r="C55" t="str">
            <v>Institut Kanser Negara</v>
          </cell>
          <cell r="D55" t="str">
            <v>KKM/IKN/H/13/2432</v>
          </cell>
          <cell r="E55" t="str">
            <v>13-461</v>
          </cell>
          <cell r="F55" t="str">
            <v>Scales, Patient, Floor</v>
          </cell>
          <cell r="G55" t="str">
            <v>DO</v>
          </cell>
          <cell r="H55" t="str">
            <v>DAY ONCOLOGY UNIT</v>
          </cell>
          <cell r="I55" t="str">
            <v>04DO105</v>
          </cell>
          <cell r="J55" t="str">
            <v>C/E</v>
          </cell>
          <cell r="K55" t="str">
            <v>BMED</v>
          </cell>
          <cell r="L55" t="str">
            <v>Normal</v>
          </cell>
          <cell r="M55" t="str">
            <v>USA</v>
          </cell>
          <cell r="N55" t="str">
            <v>Detecto</v>
          </cell>
          <cell r="O55" t="str">
            <v>758 C</v>
          </cell>
          <cell r="P55" t="str">
            <v>E34812-0038</v>
          </cell>
          <cell r="Q55" t="str">
            <v>Not Applicable</v>
          </cell>
          <cell r="R55" t="str">
            <v>DETECTO</v>
          </cell>
          <cell r="S55" t="str">
            <v>ACUCARE SYSTEM SDN BHD</v>
          </cell>
          <cell r="T55" t="str">
            <v>Functioning</v>
          </cell>
          <cell r="U55" t="str">
            <v>Asset</v>
          </cell>
          <cell r="V55">
            <v>9380</v>
          </cell>
          <cell r="W55" t="str">
            <v>KEW</v>
          </cell>
          <cell r="X55" t="str">
            <v>01/09/2010</v>
          </cell>
          <cell r="Y55" t="str">
            <v>Estimate</v>
          </cell>
          <cell r="Z55" t="str">
            <v>16/08/2013</v>
          </cell>
          <cell r="AA55" t="str">
            <v>15/08/2015</v>
          </cell>
          <cell r="AB55" t="str">
            <v>No</v>
          </cell>
          <cell r="AC55" t="str">
            <v>31/08/2013</v>
          </cell>
          <cell r="AD55" t="str">
            <v>Good</v>
          </cell>
          <cell r="AE55" t="str">
            <v>V1 - Existing / No Claim</v>
          </cell>
          <cell r="AF55">
            <v>43430</v>
          </cell>
          <cell r="AG55">
            <v>9.17</v>
          </cell>
          <cell r="AH55" t="str">
            <v>PPM</v>
          </cell>
          <cell r="AI55" t="str">
            <v>Strands</v>
          </cell>
          <cell r="AJ55" t="str">
            <v>Strands PW. Proposed for V4 P2.23</v>
          </cell>
        </row>
        <row r="56">
          <cell r="A56" t="str">
            <v>IKN401525</v>
          </cell>
          <cell r="B56">
            <v>1465</v>
          </cell>
          <cell r="C56" t="str">
            <v>Institut Kanser Negara</v>
          </cell>
          <cell r="D56" t="str">
            <v>KKM/IKN/H/16/35 &amp; KKM/IKN/H21/82 (Accessory)</v>
          </cell>
          <cell r="E56" t="str">
            <v>10-792</v>
          </cell>
          <cell r="F56" t="str">
            <v>Chairs, Examination/Treatment, Dentistry</v>
          </cell>
          <cell r="G56" t="str">
            <v>MC</v>
          </cell>
          <cell r="H56" t="str">
            <v>MULTI-DISCIPLINE CLINIC</v>
          </cell>
          <cell r="I56" t="str">
            <v>03MC107</v>
          </cell>
          <cell r="J56" t="str">
            <v>TREATMENT 1</v>
          </cell>
          <cell r="K56" t="str">
            <v>BMED</v>
          </cell>
          <cell r="L56" t="str">
            <v>Normal</v>
          </cell>
          <cell r="M56" t="str">
            <v>Germany</v>
          </cell>
          <cell r="N56" t="str">
            <v>KAVO</v>
          </cell>
          <cell r="O56" t="str">
            <v>RAF 1058 LIFE</v>
          </cell>
          <cell r="P56" t="str">
            <v>2016-08-1000650</v>
          </cell>
          <cell r="Q56" t="str">
            <v>Not Applicable</v>
          </cell>
          <cell r="R56" t="str">
            <v>KALTENBACH &amp; VOIGT GMBH</v>
          </cell>
          <cell r="S56" t="str">
            <v>RAF SYNERGY SDN BHD</v>
          </cell>
          <cell r="T56" t="str">
            <v>Functioning</v>
          </cell>
          <cell r="U56" t="str">
            <v>Asset</v>
          </cell>
          <cell r="V56">
            <v>72000</v>
          </cell>
          <cell r="W56" t="str">
            <v>KEW</v>
          </cell>
          <cell r="X56" t="str">
            <v>27/10/2016</v>
          </cell>
          <cell r="Y56" t="str">
            <v>KEW</v>
          </cell>
          <cell r="Z56" t="str">
            <v>06/12/2016</v>
          </cell>
          <cell r="AA56" t="str">
            <v>06/12/2018</v>
          </cell>
          <cell r="AB56" t="str">
            <v>No</v>
          </cell>
          <cell r="AC56" t="str">
            <v>06/12/2016</v>
          </cell>
          <cell r="AD56" t="str">
            <v>Good</v>
          </cell>
          <cell r="AE56" t="str">
            <v>V3 - Added Installed Facilities (New)</v>
          </cell>
          <cell r="AF56">
            <v>43019</v>
          </cell>
          <cell r="AG56">
            <v>3.08</v>
          </cell>
          <cell r="AH56" t="str">
            <v>PPM</v>
          </cell>
          <cell r="AI56" t="str">
            <v>Strands</v>
          </cell>
          <cell r="AJ56" t="str">
            <v>Strands PW</v>
          </cell>
          <cell r="AK56" t="str">
            <v>SNF received on 25.2.2020. [17/5/2024, SHARIFAH]: Add KEWPA Accessory SN: KAV-1.007.5540</v>
          </cell>
        </row>
        <row r="57">
          <cell r="A57" t="str">
            <v>IKN401532</v>
          </cell>
          <cell r="B57">
            <v>1472</v>
          </cell>
          <cell r="C57" t="str">
            <v>Institut Kanser Negara</v>
          </cell>
          <cell r="E57" t="str">
            <v>17-848</v>
          </cell>
          <cell r="F57" t="str">
            <v>Biopsy Guns</v>
          </cell>
          <cell r="G57" t="str">
            <v>MC</v>
          </cell>
          <cell r="H57" t="str">
            <v>MULTI-DISCIPLINE CLINIC</v>
          </cell>
          <cell r="I57" t="str">
            <v>03MC108</v>
          </cell>
          <cell r="J57" t="str">
            <v>TREATMENT/PROCEDURE</v>
          </cell>
          <cell r="K57" t="str">
            <v>BMED</v>
          </cell>
          <cell r="L57" t="str">
            <v>Critical</v>
          </cell>
          <cell r="M57" t="str">
            <v>USA</v>
          </cell>
          <cell r="N57" t="str">
            <v>Magnum</v>
          </cell>
          <cell r="O57" t="str">
            <v>Magnum MG1522</v>
          </cell>
          <cell r="P57" t="str">
            <v>51DY0001</v>
          </cell>
          <cell r="Q57" t="str">
            <v>Not Applicable</v>
          </cell>
          <cell r="R57" t="str">
            <v>Bard Peripheral Vascular Inc</v>
          </cell>
          <cell r="S57" t="str">
            <v>SAPPHIRE MEDTECH INDUSTRIES</v>
          </cell>
          <cell r="T57" t="str">
            <v>Functioning</v>
          </cell>
          <cell r="U57" t="str">
            <v>Asset</v>
          </cell>
          <cell r="V57">
            <v>7750</v>
          </cell>
          <cell r="W57" t="str">
            <v>KEW</v>
          </cell>
          <cell r="X57" t="str">
            <v>25/09/2014</v>
          </cell>
          <cell r="Y57" t="str">
            <v>KEW</v>
          </cell>
          <cell r="Z57" t="str">
            <v>09/10/2014</v>
          </cell>
          <cell r="AA57" t="str">
            <v>09/10/2015</v>
          </cell>
          <cell r="AB57" t="str">
            <v>No</v>
          </cell>
          <cell r="AC57" t="str">
            <v>09/10/2014</v>
          </cell>
          <cell r="AD57" t="str">
            <v>Good</v>
          </cell>
          <cell r="AE57" t="str">
            <v>V3 - Added Installed Facilities (New)</v>
          </cell>
          <cell r="AF57">
            <v>42899</v>
          </cell>
          <cell r="AG57">
            <v>5.17</v>
          </cell>
          <cell r="AH57" t="str">
            <v>PPM</v>
          </cell>
          <cell r="AI57" t="str">
            <v>Not in contract</v>
          </cell>
          <cell r="AJ57" t="str">
            <v>Strands PW</v>
          </cell>
          <cell r="AK57" t="str">
            <v>Unit not found. So will be under V4 later</v>
          </cell>
        </row>
        <row r="58">
          <cell r="A58" t="str">
            <v>IKN401617</v>
          </cell>
          <cell r="B58">
            <v>1551</v>
          </cell>
          <cell r="C58" t="str">
            <v>Institut Kanser Negara</v>
          </cell>
          <cell r="D58" t="str">
            <v>KKM/IKN/H/16/36</v>
          </cell>
          <cell r="E58" t="str">
            <v>10-208</v>
          </cell>
          <cell r="F58" t="str">
            <v>Aspirators</v>
          </cell>
          <cell r="G58" t="str">
            <v>MC</v>
          </cell>
          <cell r="H58" t="str">
            <v>MULTI-DISCIPLINE CLINIC</v>
          </cell>
          <cell r="I58" t="str">
            <v>03MC107</v>
          </cell>
          <cell r="J58" t="str">
            <v>TREATMENT 1</v>
          </cell>
          <cell r="K58" t="str">
            <v>BMED</v>
          </cell>
          <cell r="L58" t="str">
            <v>Critical</v>
          </cell>
          <cell r="M58" t="str">
            <v>Korea</v>
          </cell>
          <cell r="N58" t="str">
            <v>Omega</v>
          </cell>
          <cell r="O58" t="str">
            <v>S101C</v>
          </cell>
          <cell r="P58" t="str">
            <v>SIC 16380034</v>
          </cell>
          <cell r="Q58" t="str">
            <v>Not Applicable</v>
          </cell>
          <cell r="R58" t="str">
            <v>OMEGA</v>
          </cell>
          <cell r="S58" t="str">
            <v>RAF SYNERGY SDN BHD</v>
          </cell>
          <cell r="T58" t="str">
            <v>Functioning</v>
          </cell>
          <cell r="U58" t="str">
            <v>Asset</v>
          </cell>
          <cell r="V58">
            <v>4900</v>
          </cell>
          <cell r="W58" t="str">
            <v>KEW</v>
          </cell>
          <cell r="X58" t="str">
            <v>27/10/2016</v>
          </cell>
          <cell r="Y58" t="str">
            <v>KEW</v>
          </cell>
          <cell r="Z58" t="str">
            <v>06/12/2016</v>
          </cell>
          <cell r="AA58" t="str">
            <v>06/12/2018</v>
          </cell>
          <cell r="AB58" t="str">
            <v>No</v>
          </cell>
          <cell r="AC58" t="str">
            <v>06/12/2016</v>
          </cell>
          <cell r="AD58" t="str">
            <v>Good</v>
          </cell>
          <cell r="AE58" t="str">
            <v>V3 - Added Installed Facilities (New)</v>
          </cell>
          <cell r="AF58">
            <v>42951</v>
          </cell>
          <cell r="AG58">
            <v>3.08</v>
          </cell>
          <cell r="AH58" t="str">
            <v>PPM</v>
          </cell>
          <cell r="AI58" t="str">
            <v>Strands</v>
          </cell>
          <cell r="AJ58" t="str">
            <v>Strands PW</v>
          </cell>
          <cell r="AK58" t="str">
            <v>SNF received. 1st batch of V3 asset (December 2020)</v>
          </cell>
        </row>
        <row r="59">
          <cell r="A59" t="str">
            <v>IKN401618</v>
          </cell>
          <cell r="B59">
            <v>1552</v>
          </cell>
          <cell r="C59" t="str">
            <v>Institut Kanser Negara</v>
          </cell>
          <cell r="D59" t="str">
            <v>KKM/IKN/H/16/39</v>
          </cell>
          <cell r="E59" t="str">
            <v>10-972</v>
          </cell>
          <cell r="F59" t="str">
            <v>Compressors, Medical-Air</v>
          </cell>
          <cell r="G59" t="str">
            <v>MC</v>
          </cell>
          <cell r="H59" t="str">
            <v>MULTI-DISCIPLINE CLINIC</v>
          </cell>
          <cell r="I59" t="str">
            <v>03MC107</v>
          </cell>
          <cell r="J59" t="str">
            <v>TREATMENT 1</v>
          </cell>
          <cell r="K59" t="str">
            <v>BMED</v>
          </cell>
          <cell r="L59" t="str">
            <v>Normal</v>
          </cell>
          <cell r="M59" t="str">
            <v>Germany</v>
          </cell>
          <cell r="N59" t="str">
            <v>Tornado</v>
          </cell>
          <cell r="O59" t="str">
            <v>Tornado 1</v>
          </cell>
          <cell r="P59" t="str">
            <v>H 103304706</v>
          </cell>
          <cell r="Q59" t="str">
            <v>Not Applicable</v>
          </cell>
          <cell r="R59" t="str">
            <v>Durr Dental Ag</v>
          </cell>
          <cell r="S59" t="str">
            <v>RAF SYNERGY SDN BHD</v>
          </cell>
          <cell r="T59" t="str">
            <v>Functioning</v>
          </cell>
          <cell r="U59" t="str">
            <v>Asset</v>
          </cell>
          <cell r="V59">
            <v>7000</v>
          </cell>
          <cell r="W59" t="str">
            <v>KEW</v>
          </cell>
          <cell r="X59" t="str">
            <v>27/10/2016</v>
          </cell>
          <cell r="Y59" t="str">
            <v>KEW</v>
          </cell>
          <cell r="Z59" t="str">
            <v>06/12/2016</v>
          </cell>
          <cell r="AA59" t="str">
            <v>06/12/2018</v>
          </cell>
          <cell r="AB59" t="str">
            <v>No</v>
          </cell>
          <cell r="AC59" t="str">
            <v>06/12/2016</v>
          </cell>
          <cell r="AD59" t="str">
            <v>Good</v>
          </cell>
          <cell r="AE59" t="str">
            <v>V3 - Added Installed Facilities (New)</v>
          </cell>
          <cell r="AF59">
            <v>42951</v>
          </cell>
          <cell r="AG59">
            <v>3.08</v>
          </cell>
          <cell r="AH59" t="str">
            <v>PPM</v>
          </cell>
          <cell r="AI59" t="str">
            <v>Strands</v>
          </cell>
          <cell r="AJ59" t="str">
            <v>Strands PW</v>
          </cell>
          <cell r="AK59" t="str">
            <v>SNF received. 1st batch of V3 asset (December 2020)</v>
          </cell>
        </row>
        <row r="60">
          <cell r="A60" t="str">
            <v>IKN401619</v>
          </cell>
          <cell r="B60">
            <v>1553</v>
          </cell>
          <cell r="C60" t="str">
            <v>Institut Kanser Negara</v>
          </cell>
          <cell r="D60" t="str">
            <v>KKM/IKN/H/16/38</v>
          </cell>
          <cell r="E60" t="str">
            <v>88-026</v>
          </cell>
          <cell r="F60" t="str">
            <v>Cameras, Video, Dental, Intraoral/Extraoral</v>
          </cell>
          <cell r="G60" t="str">
            <v>MC</v>
          </cell>
          <cell r="H60" t="str">
            <v>MULTI-DISCIPLINE CLINIC</v>
          </cell>
          <cell r="I60" t="str">
            <v>03MC107</v>
          </cell>
          <cell r="J60" t="str">
            <v>TREATMENT 1</v>
          </cell>
          <cell r="K60" t="str">
            <v>BMED</v>
          </cell>
          <cell r="L60" t="str">
            <v>Critical</v>
          </cell>
          <cell r="M60" t="str">
            <v>France</v>
          </cell>
          <cell r="N60" t="str">
            <v>Satelec</v>
          </cell>
          <cell r="O60" t="str">
            <v>Durr Vista Cam-1x</v>
          </cell>
          <cell r="P60" t="str">
            <v>H006083</v>
          </cell>
          <cell r="Q60" t="str">
            <v>Not Applicable</v>
          </cell>
          <cell r="R60" t="str">
            <v>DURR DENTAL AG</v>
          </cell>
          <cell r="S60" t="str">
            <v>RAF SYNERGY SDN BHD</v>
          </cell>
          <cell r="T60" t="str">
            <v>Functioning</v>
          </cell>
          <cell r="U60" t="str">
            <v>Asset</v>
          </cell>
          <cell r="V60">
            <v>20000</v>
          </cell>
          <cell r="W60" t="str">
            <v>KEW</v>
          </cell>
          <cell r="X60" t="str">
            <v>27/10/2016</v>
          </cell>
          <cell r="Y60" t="str">
            <v>KEW</v>
          </cell>
          <cell r="Z60" t="str">
            <v>06/12/2016</v>
          </cell>
          <cell r="AA60" t="str">
            <v>06/12/2018</v>
          </cell>
          <cell r="AB60" t="str">
            <v>No</v>
          </cell>
          <cell r="AC60" t="str">
            <v>06/12/2016</v>
          </cell>
          <cell r="AD60" t="str">
            <v>Good</v>
          </cell>
          <cell r="AE60" t="str">
            <v>V3 - Added Installed Facilities (New)</v>
          </cell>
          <cell r="AF60">
            <v>42951</v>
          </cell>
          <cell r="AG60">
            <v>3.08</v>
          </cell>
          <cell r="AH60" t="str">
            <v>PPM</v>
          </cell>
          <cell r="AI60" t="str">
            <v>Strands</v>
          </cell>
          <cell r="AJ60" t="str">
            <v>Strands PW</v>
          </cell>
          <cell r="AK60" t="str">
            <v>SNF received. 1st batch of V3 asset (December 2020)</v>
          </cell>
        </row>
        <row r="61">
          <cell r="A61" t="str">
            <v>IKN402001</v>
          </cell>
          <cell r="B61">
            <v>1656</v>
          </cell>
          <cell r="C61" t="str">
            <v>Institut Kanser Negara</v>
          </cell>
          <cell r="D61" t="str">
            <v>KKM/IKN/H/19/5</v>
          </cell>
          <cell r="E61" t="str">
            <v>16-666</v>
          </cell>
          <cell r="F61" t="str">
            <v>Dental Hand Instruments, Surgical</v>
          </cell>
          <cell r="G61" t="str">
            <v>MC</v>
          </cell>
          <cell r="H61" t="str">
            <v>MULTI-DISCIPLINE CLINIC</v>
          </cell>
          <cell r="I61" t="str">
            <v>03MC107</v>
          </cell>
          <cell r="J61" t="str">
            <v>TREATMENT 1</v>
          </cell>
          <cell r="K61" t="str">
            <v>BMED</v>
          </cell>
          <cell r="L61" t="str">
            <v>Normal</v>
          </cell>
          <cell r="M61" t="str">
            <v>Switzerland</v>
          </cell>
          <cell r="N61" t="str">
            <v>DEPUY SYNTHES</v>
          </cell>
          <cell r="O61" t="str">
            <v>01.001.560</v>
          </cell>
          <cell r="P61" t="str">
            <v>(21)3699</v>
          </cell>
          <cell r="Q61" t="str">
            <v>Not Applicable</v>
          </cell>
          <cell r="R61" t="str">
            <v>DEPUY SYNTHES</v>
          </cell>
          <cell r="S61" t="str">
            <v>JOHNSON &amp; JOHNSON SDN BHD</v>
          </cell>
          <cell r="T61" t="str">
            <v>Functioning</v>
          </cell>
          <cell r="U61" t="str">
            <v>Asset</v>
          </cell>
          <cell r="V61">
            <v>89980</v>
          </cell>
          <cell r="W61" t="str">
            <v>KEW</v>
          </cell>
          <cell r="X61">
            <v>43677</v>
          </cell>
          <cell r="Y61" t="str">
            <v>KEW</v>
          </cell>
          <cell r="Z61">
            <v>43725</v>
          </cell>
          <cell r="AA61">
            <v>44091</v>
          </cell>
          <cell r="AB61" t="str">
            <v>No</v>
          </cell>
          <cell r="AC61">
            <v>43725</v>
          </cell>
          <cell r="AD61" t="str">
            <v>Good</v>
          </cell>
          <cell r="AE61" t="str">
            <v>V3 - Added Installed Facilities (New)</v>
          </cell>
          <cell r="AG61">
            <v>9.17</v>
          </cell>
          <cell r="AH61" t="str">
            <v>PPM</v>
          </cell>
          <cell r="AI61" t="str">
            <v>strands</v>
          </cell>
          <cell r="AJ61" t="str">
            <v>Strands PW</v>
          </cell>
        </row>
        <row r="62">
          <cell r="A62" t="str">
            <v>IKN402002</v>
          </cell>
          <cell r="B62">
            <v>1657</v>
          </cell>
          <cell r="C62" t="str">
            <v>Institut Kanser Negara</v>
          </cell>
          <cell r="D62" t="str">
            <v>KKM/IKN/H/19/19</v>
          </cell>
          <cell r="E62" t="str">
            <v>15-976</v>
          </cell>
          <cell r="F62" t="str">
            <v>Scanning Systems, Ultrasonic, General-Purpose</v>
          </cell>
          <cell r="G62" t="str">
            <v>MC</v>
          </cell>
          <cell r="H62" t="str">
            <v>MULTI-DISCIPLINE CLINIC</v>
          </cell>
          <cell r="I62" t="str">
            <v>03MC128</v>
          </cell>
          <cell r="J62" t="str">
            <v>C/E 2</v>
          </cell>
          <cell r="K62" t="str">
            <v>BMED</v>
          </cell>
          <cell r="L62" t="str">
            <v>Normal</v>
          </cell>
          <cell r="M62" t="str">
            <v>CHINA</v>
          </cell>
          <cell r="N62" t="str">
            <v>MINDRAY</v>
          </cell>
          <cell r="O62" t="str">
            <v>DC-70X</v>
          </cell>
          <cell r="P62" t="str">
            <v>CJ1-99001151</v>
          </cell>
          <cell r="Q62" t="str">
            <v>Not Applicable</v>
          </cell>
          <cell r="R62" t="str">
            <v>MINDRAY</v>
          </cell>
          <cell r="S62" t="str">
            <v>INFINITY MEDICAL SDN BHD</v>
          </cell>
          <cell r="T62" t="str">
            <v>Functioning</v>
          </cell>
          <cell r="U62" t="str">
            <v>Asset</v>
          </cell>
          <cell r="V62">
            <v>142800</v>
          </cell>
          <cell r="W62" t="str">
            <v>KEW</v>
          </cell>
          <cell r="X62">
            <v>43788</v>
          </cell>
          <cell r="Y62" t="str">
            <v>KEW</v>
          </cell>
          <cell r="Z62">
            <v>43791</v>
          </cell>
          <cell r="AA62">
            <v>44887</v>
          </cell>
          <cell r="AB62" t="str">
            <v>No</v>
          </cell>
          <cell r="AC62">
            <v>43791</v>
          </cell>
          <cell r="AD62" t="str">
            <v>Good</v>
          </cell>
          <cell r="AE62" t="str">
            <v>V3 - Added Installed Facilities (New)</v>
          </cell>
          <cell r="AG62">
            <v>9.17</v>
          </cell>
          <cell r="AH62" t="str">
            <v>PPM</v>
          </cell>
          <cell r="AI62" t="str">
            <v>strands</v>
          </cell>
          <cell r="AJ62" t="str">
            <v>Strands DW</v>
          </cell>
        </row>
        <row r="63">
          <cell r="A63" t="str">
            <v>IKN402021</v>
          </cell>
          <cell r="B63">
            <v>1676</v>
          </cell>
          <cell r="C63" t="str">
            <v>Institut Kanser Negara</v>
          </cell>
          <cell r="D63" t="str">
            <v>KKM/IKN/H/20/9</v>
          </cell>
          <cell r="E63" t="str">
            <v>10-429</v>
          </cell>
          <cell r="F63" t="str">
            <v>Blood-Flow Detectors, Ultrasonic</v>
          </cell>
          <cell r="G63" t="str">
            <v>MC</v>
          </cell>
          <cell r="H63" t="str">
            <v>MULTI-DISCIPLINE CLINIC</v>
          </cell>
          <cell r="I63" t="str">
            <v>03MC107</v>
          </cell>
          <cell r="J63" t="str">
            <v>TREATMENT 1</v>
          </cell>
          <cell r="K63" t="str">
            <v>BMED</v>
          </cell>
          <cell r="L63" t="str">
            <v>Normal</v>
          </cell>
          <cell r="M63" t="str">
            <v>United Kingdom</v>
          </cell>
          <cell r="N63" t="str">
            <v>Huntleigh</v>
          </cell>
          <cell r="O63" t="str">
            <v>DMX-R</v>
          </cell>
          <cell r="P63" t="str">
            <v>(21)772A200785119</v>
          </cell>
          <cell r="Q63" t="str">
            <v>Not Applicable</v>
          </cell>
          <cell r="R63" t="str">
            <v>Huntleigh</v>
          </cell>
          <cell r="S63" t="str">
            <v>J &amp; J MURNI SDN BHD</v>
          </cell>
          <cell r="T63" t="str">
            <v>Functioning</v>
          </cell>
          <cell r="U63" t="str">
            <v>Asset</v>
          </cell>
          <cell r="V63">
            <v>15000</v>
          </cell>
          <cell r="W63" t="str">
            <v>KEW</v>
          </cell>
          <cell r="X63">
            <v>43907</v>
          </cell>
          <cell r="Y63" t="str">
            <v>KEW</v>
          </cell>
          <cell r="Z63">
            <v>43949</v>
          </cell>
          <cell r="AA63">
            <v>44314</v>
          </cell>
          <cell r="AB63" t="str">
            <v>No</v>
          </cell>
          <cell r="AC63">
            <v>43949</v>
          </cell>
          <cell r="AD63" t="str">
            <v>Good</v>
          </cell>
          <cell r="AE63" t="str">
            <v>V3 - Added Installed Facilities (New)</v>
          </cell>
          <cell r="AG63">
            <v>9.17</v>
          </cell>
          <cell r="AH63" t="str">
            <v>PPM</v>
          </cell>
          <cell r="AI63" t="str">
            <v>Strands</v>
          </cell>
          <cell r="AJ63" t="str">
            <v>Strands PW</v>
          </cell>
          <cell r="AK63" t="str">
            <v>SNF received on 19.5.2020</v>
          </cell>
        </row>
        <row r="64">
          <cell r="A64" t="str">
            <v>IKN402022</v>
          </cell>
          <cell r="B64">
            <v>1677</v>
          </cell>
          <cell r="C64" t="str">
            <v>Institut Kanser Negara</v>
          </cell>
          <cell r="D64" t="str">
            <v>KKM/IKN/H/20/8</v>
          </cell>
          <cell r="E64" t="str">
            <v>14-074</v>
          </cell>
          <cell r="F64" t="str">
            <v>Tourniquets, Pneumatic</v>
          </cell>
          <cell r="G64" t="str">
            <v>MC</v>
          </cell>
          <cell r="H64" t="str">
            <v>MULTI-DISCIPLINE CLINIC</v>
          </cell>
          <cell r="I64" t="str">
            <v>OT</v>
          </cell>
          <cell r="J64" t="str">
            <v>OPERATION THEATRE</v>
          </cell>
          <cell r="K64" t="str">
            <v>BMED</v>
          </cell>
          <cell r="L64" t="str">
            <v>Normal</v>
          </cell>
          <cell r="M64" t="str">
            <v>USA</v>
          </cell>
          <cell r="N64" t="str">
            <v>Zimmer</v>
          </cell>
          <cell r="O64" t="str">
            <v>ATS 4000</v>
          </cell>
          <cell r="P64" t="str">
            <v>40190814-007</v>
          </cell>
          <cell r="Q64" t="str">
            <v>Not Applicable</v>
          </cell>
          <cell r="R64" t="str">
            <v>Zimmer</v>
          </cell>
          <cell r="S64" t="str">
            <v>Metro Jendela Sdn Bhd</v>
          </cell>
          <cell r="T64" t="str">
            <v>Functioning</v>
          </cell>
          <cell r="U64" t="str">
            <v>Asset</v>
          </cell>
          <cell r="V64">
            <v>43000</v>
          </cell>
          <cell r="W64" t="str">
            <v>KEW</v>
          </cell>
          <cell r="X64">
            <v>43907</v>
          </cell>
          <cell r="Y64" t="str">
            <v>KEW</v>
          </cell>
          <cell r="Z64">
            <v>43950</v>
          </cell>
          <cell r="AA64">
            <v>44680</v>
          </cell>
          <cell r="AB64" t="str">
            <v>No</v>
          </cell>
          <cell r="AC64">
            <v>43950</v>
          </cell>
          <cell r="AD64" t="str">
            <v>Good</v>
          </cell>
          <cell r="AE64" t="str">
            <v>V3 - Added Installed Facilities (New)</v>
          </cell>
          <cell r="AG64">
            <v>9.17</v>
          </cell>
          <cell r="AH64" t="str">
            <v>PPM</v>
          </cell>
          <cell r="AI64" t="str">
            <v>Strands</v>
          </cell>
          <cell r="AJ64" t="str">
            <v>Strands PW</v>
          </cell>
          <cell r="AK64" t="str">
            <v>SNF received on 19.5.2020. [28/12/2023, INDIRA]: CURRENT LOC: OT.</v>
          </cell>
        </row>
        <row r="65">
          <cell r="A65" t="str">
            <v>IKN402031</v>
          </cell>
          <cell r="B65">
            <v>1686</v>
          </cell>
          <cell r="C65" t="str">
            <v>Institut Kanser Negara</v>
          </cell>
          <cell r="D65" t="str">
            <v>KKM/IKN/H/13/24</v>
          </cell>
          <cell r="E65" t="str">
            <v>12-539</v>
          </cell>
          <cell r="F65" t="str">
            <v>Microscopes, Light, Operating</v>
          </cell>
          <cell r="G65" t="str">
            <v>MC</v>
          </cell>
          <cell r="H65" t="str">
            <v>MULTI-DISCIPLINE CLINIC</v>
          </cell>
          <cell r="I65" t="str">
            <v>03MC127</v>
          </cell>
          <cell r="J65" t="str">
            <v>C/E 1 (ENT)</v>
          </cell>
          <cell r="K65" t="str">
            <v>BMED</v>
          </cell>
          <cell r="L65" t="str">
            <v>Normal</v>
          </cell>
          <cell r="M65" t="str">
            <v>Germany</v>
          </cell>
          <cell r="N65" t="str">
            <v>CARL ZEISS</v>
          </cell>
          <cell r="O65" t="str">
            <v>OPMI PICO</v>
          </cell>
          <cell r="P65">
            <v>6898101023</v>
          </cell>
          <cell r="Q65" t="str">
            <v>Not Applicable</v>
          </cell>
          <cell r="R65" t="str">
            <v>CARL ZEISS</v>
          </cell>
          <cell r="S65" t="str">
            <v>Atmos Medizintechnik (M) Sdn Bhd</v>
          </cell>
          <cell r="T65" t="str">
            <v>Functioning</v>
          </cell>
          <cell r="U65" t="str">
            <v>Asset</v>
          </cell>
          <cell r="V65">
            <v>70601</v>
          </cell>
          <cell r="W65" t="str">
            <v>KEW</v>
          </cell>
          <cell r="X65">
            <v>41516</v>
          </cell>
          <cell r="Y65" t="str">
            <v>KEW</v>
          </cell>
          <cell r="Z65">
            <v>41516</v>
          </cell>
          <cell r="AA65">
            <v>41881</v>
          </cell>
          <cell r="AB65" t="str">
            <v>NO</v>
          </cell>
          <cell r="AC65">
            <v>41516</v>
          </cell>
          <cell r="AD65" t="str">
            <v>Good</v>
          </cell>
          <cell r="AE65" t="str">
            <v>V1 - Existing / No Claim</v>
          </cell>
          <cell r="AG65">
            <v>9.17</v>
          </cell>
          <cell r="AH65" t="str">
            <v>PPM</v>
          </cell>
          <cell r="AI65" t="str">
            <v>Strands</v>
          </cell>
          <cell r="AJ65" t="str">
            <v>Strands Package</v>
          </cell>
          <cell r="AK65" t="str">
            <v>Pecah Kewpa. Complement with IKN400941 but different Model/Brand. Package Code ZE0001. [28/12/2023, HIDAYAH]: CURRENT LOC NM.</v>
          </cell>
        </row>
        <row r="66">
          <cell r="A66" t="str">
            <v>IKN402037</v>
          </cell>
          <cell r="B66">
            <v>1692</v>
          </cell>
          <cell r="C66" t="str">
            <v>Institut Kanser Negara</v>
          </cell>
          <cell r="D66" t="str">
            <v>KKM/IKN/H/20/34</v>
          </cell>
          <cell r="E66" t="str">
            <v>88-027</v>
          </cell>
          <cell r="F66" t="str">
            <v>Dental Handpiece Maintenance Unit</v>
          </cell>
          <cell r="G66" t="str">
            <v>MC</v>
          </cell>
          <cell r="H66" t="str">
            <v>MULTI-DISCIPLINE CLINIC</v>
          </cell>
          <cell r="I66" t="str">
            <v>03MC107</v>
          </cell>
          <cell r="J66" t="str">
            <v>TREATMENT 1</v>
          </cell>
          <cell r="K66" t="str">
            <v>BMED</v>
          </cell>
          <cell r="L66" t="str">
            <v>Normal</v>
          </cell>
          <cell r="M66" t="str">
            <v>CHINA</v>
          </cell>
          <cell r="N66" t="str">
            <v>META SYSTEMS</v>
          </cell>
          <cell r="O66" t="str">
            <v>EQ-V FULL GP</v>
          </cell>
          <cell r="P66" t="str">
            <v>EQV0262001406</v>
          </cell>
          <cell r="Q66" t="str">
            <v>Not Applicable</v>
          </cell>
          <cell r="R66" t="str">
            <v>META SYSTEMS CO. LTD</v>
          </cell>
          <cell r="S66" t="str">
            <v>One Dental Supply &amp; Marketing Sdn Bhd</v>
          </cell>
          <cell r="T66" t="str">
            <v>Functioning</v>
          </cell>
          <cell r="U66" t="str">
            <v>Asset</v>
          </cell>
          <cell r="V66">
            <v>4500</v>
          </cell>
          <cell r="W66" t="str">
            <v>KEW</v>
          </cell>
          <cell r="X66">
            <v>43907</v>
          </cell>
          <cell r="Y66" t="str">
            <v>KEW</v>
          </cell>
          <cell r="Z66">
            <v>44050</v>
          </cell>
          <cell r="AA66">
            <v>44415</v>
          </cell>
          <cell r="AB66" t="str">
            <v>No</v>
          </cell>
          <cell r="AC66">
            <v>44050</v>
          </cell>
          <cell r="AD66" t="str">
            <v>Good</v>
          </cell>
          <cell r="AE66" t="str">
            <v>V3 - Added Installed Facilities (New)</v>
          </cell>
          <cell r="AG66">
            <v>9.17</v>
          </cell>
          <cell r="AH66" t="str">
            <v>PPM</v>
          </cell>
          <cell r="AI66" t="str">
            <v>Strands</v>
          </cell>
          <cell r="AJ66" t="str">
            <v>Strands PW</v>
          </cell>
          <cell r="AK66" t="str">
            <v>SNF received on 18/12/2020</v>
          </cell>
        </row>
        <row r="67">
          <cell r="A67" t="str">
            <v>IKN402038</v>
          </cell>
          <cell r="B67">
            <v>1693</v>
          </cell>
          <cell r="C67" t="str">
            <v>Institut Kanser Negara</v>
          </cell>
          <cell r="D67" t="str">
            <v>KKM/IKN/H/20/35</v>
          </cell>
          <cell r="E67" t="str">
            <v>88-013</v>
          </cell>
          <cell r="F67" t="str">
            <v>Micromotor, Dental</v>
          </cell>
          <cell r="G67" t="str">
            <v>MC</v>
          </cell>
          <cell r="H67" t="str">
            <v>MULTI-DISCIPLINE CLINIC</v>
          </cell>
          <cell r="I67" t="str">
            <v>03MC107</v>
          </cell>
          <cell r="J67" t="str">
            <v>TREATMENT 1</v>
          </cell>
          <cell r="K67" t="str">
            <v>BMED</v>
          </cell>
          <cell r="L67" t="str">
            <v>Normal</v>
          </cell>
          <cell r="M67" t="str">
            <v>CHINA</v>
          </cell>
          <cell r="N67" t="str">
            <v>Woodpeeker Medical</v>
          </cell>
          <cell r="O67" t="str">
            <v>Endo Rader Plus</v>
          </cell>
          <cell r="P67" t="str">
            <v>E2@10222WS</v>
          </cell>
          <cell r="Q67" t="str">
            <v>Not Applicable</v>
          </cell>
          <cell r="R67" t="str">
            <v>Woodpeeker Medical Instrument</v>
          </cell>
          <cell r="S67" t="str">
            <v>One Dental Supply &amp; Marketing Sdn Bhd</v>
          </cell>
          <cell r="T67" t="str">
            <v>Functioning</v>
          </cell>
          <cell r="U67" t="str">
            <v>Asset</v>
          </cell>
          <cell r="V67">
            <v>7500</v>
          </cell>
          <cell r="W67" t="str">
            <v>KEW</v>
          </cell>
          <cell r="X67">
            <v>43907</v>
          </cell>
          <cell r="Y67" t="str">
            <v>KEW</v>
          </cell>
          <cell r="Z67">
            <v>44050</v>
          </cell>
          <cell r="AA67">
            <v>44415</v>
          </cell>
          <cell r="AB67" t="str">
            <v>No</v>
          </cell>
          <cell r="AC67">
            <v>44050</v>
          </cell>
          <cell r="AD67" t="str">
            <v>Good</v>
          </cell>
          <cell r="AE67" t="str">
            <v>V3 - Added Installed Facilities (New)</v>
          </cell>
          <cell r="AG67">
            <v>9.17</v>
          </cell>
          <cell r="AH67" t="str">
            <v>PPM</v>
          </cell>
          <cell r="AI67" t="str">
            <v>Strands</v>
          </cell>
          <cell r="AJ67" t="str">
            <v>Strands PW</v>
          </cell>
          <cell r="AK67" t="str">
            <v>SNF received on 18/12/2020</v>
          </cell>
        </row>
        <row r="68">
          <cell r="A68" t="str">
            <v>IKN402039</v>
          </cell>
          <cell r="B68">
            <v>1694</v>
          </cell>
          <cell r="C68" t="str">
            <v>Institut Kanser Negara</v>
          </cell>
          <cell r="D68" t="str">
            <v>KKM/IKN/H/20/63</v>
          </cell>
          <cell r="E68" t="str">
            <v>10-208</v>
          </cell>
          <cell r="F68" t="str">
            <v>Aspirators</v>
          </cell>
          <cell r="G68" t="str">
            <v>MC</v>
          </cell>
          <cell r="H68" t="str">
            <v>MULTI-DISCIPLINE CLINIC</v>
          </cell>
          <cell r="I68" t="str">
            <v>03MC107</v>
          </cell>
          <cell r="J68" t="str">
            <v>TREATMENT 1</v>
          </cell>
          <cell r="K68" t="str">
            <v>BMED</v>
          </cell>
          <cell r="L68" t="str">
            <v>Normal</v>
          </cell>
          <cell r="M68" t="str">
            <v>CHINA</v>
          </cell>
          <cell r="N68" t="str">
            <v>DYNAMIC</v>
          </cell>
          <cell r="O68" t="str">
            <v>DS 1000</v>
          </cell>
          <cell r="P68">
            <v>19643</v>
          </cell>
          <cell r="Q68" t="str">
            <v>Not Applicable</v>
          </cell>
          <cell r="R68" t="str">
            <v>Jiangsu Dynamic Medical Technology Co.,Ltd</v>
          </cell>
          <cell r="S68" t="str">
            <v>One Dental Supply &amp; Marketing Sdn Bhd</v>
          </cell>
          <cell r="T68" t="str">
            <v>Functioning</v>
          </cell>
          <cell r="U68" t="str">
            <v>Asset</v>
          </cell>
          <cell r="V68">
            <v>6000</v>
          </cell>
          <cell r="W68" t="str">
            <v>KEW</v>
          </cell>
          <cell r="X68">
            <v>44130</v>
          </cell>
          <cell r="Y68" t="str">
            <v>KEW</v>
          </cell>
          <cell r="Z68">
            <v>44154</v>
          </cell>
          <cell r="AA68">
            <v>44884</v>
          </cell>
          <cell r="AB68" t="str">
            <v>No</v>
          </cell>
          <cell r="AC68">
            <v>44154</v>
          </cell>
          <cell r="AD68" t="str">
            <v>Good</v>
          </cell>
          <cell r="AE68" t="str">
            <v>V3 - Added Installed Facilities (New)</v>
          </cell>
          <cell r="AF68" t="str">
            <v>NA</v>
          </cell>
          <cell r="AG68">
            <v>5.17</v>
          </cell>
          <cell r="AH68" t="str">
            <v>PPM</v>
          </cell>
          <cell r="AI68" t="str">
            <v>Not in contract</v>
          </cell>
          <cell r="AJ68" t="str">
            <v>Strands PW</v>
          </cell>
        </row>
        <row r="69">
          <cell r="A69" t="str">
            <v>IKN402040</v>
          </cell>
          <cell r="B69">
            <v>1695</v>
          </cell>
          <cell r="C69" t="str">
            <v>Institut Kanser Negara</v>
          </cell>
          <cell r="D69" t="str">
            <v>KKM/IKN/H/20/67</v>
          </cell>
          <cell r="E69" t="str">
            <v>17-663</v>
          </cell>
          <cell r="F69" t="str">
            <v>Gastroscopes, Flexible, Video</v>
          </cell>
          <cell r="G69" t="str">
            <v>MC</v>
          </cell>
          <cell r="H69" t="str">
            <v>MULTI-DISCIPLINE CLINIC</v>
          </cell>
          <cell r="I69" t="str">
            <v>03MC108</v>
          </cell>
          <cell r="J69" t="str">
            <v>TREATMENT/PROCEDURE</v>
          </cell>
          <cell r="K69" t="str">
            <v>BMED</v>
          </cell>
          <cell r="L69" t="str">
            <v>Normal</v>
          </cell>
          <cell r="M69" t="str">
            <v>Japan</v>
          </cell>
          <cell r="N69" t="str">
            <v>Olympus</v>
          </cell>
          <cell r="O69" t="str">
            <v>Olympus GIF-H170</v>
          </cell>
          <cell r="P69">
            <v>2032729</v>
          </cell>
          <cell r="Q69" t="str">
            <v>Not Applicable</v>
          </cell>
          <cell r="R69" t="str">
            <v>Olympus Optical Co Ltd</v>
          </cell>
          <cell r="S69" t="str">
            <v>J &amp; J MURNI SDN BHD</v>
          </cell>
          <cell r="T69" t="str">
            <v>Functioning</v>
          </cell>
          <cell r="U69" t="str">
            <v>Asset</v>
          </cell>
          <cell r="V69">
            <v>125900</v>
          </cell>
          <cell r="W69" t="str">
            <v>KEW</v>
          </cell>
          <cell r="X69">
            <v>44154</v>
          </cell>
          <cell r="Y69" t="str">
            <v>KEW</v>
          </cell>
          <cell r="Z69">
            <v>44160</v>
          </cell>
          <cell r="AA69">
            <v>44524</v>
          </cell>
          <cell r="AB69" t="str">
            <v>No</v>
          </cell>
          <cell r="AC69">
            <v>44160</v>
          </cell>
          <cell r="AD69" t="str">
            <v>Good</v>
          </cell>
          <cell r="AE69" t="str">
            <v>V3 - Added Installed Facilities (New)</v>
          </cell>
          <cell r="AG69">
            <v>9.17</v>
          </cell>
          <cell r="AH69" t="str">
            <v>PPM</v>
          </cell>
          <cell r="AI69" t="str">
            <v>Not in contract</v>
          </cell>
          <cell r="AJ69" t="str">
            <v>Proposed for V3 P2.23</v>
          </cell>
          <cell r="AK69" t="str">
            <v>SNF received on 11/10/2023.</v>
          </cell>
        </row>
        <row r="70">
          <cell r="A70" t="str">
            <v>IKN402041</v>
          </cell>
          <cell r="B70">
            <v>1696</v>
          </cell>
          <cell r="C70" t="str">
            <v>Institut Kanser Negara</v>
          </cell>
          <cell r="D70" t="str">
            <v>KKM/IKN/H/20/68</v>
          </cell>
          <cell r="E70" t="str">
            <v>17-663</v>
          </cell>
          <cell r="F70" t="str">
            <v>Gastroscopes, Flexible, Video</v>
          </cell>
          <cell r="G70" t="str">
            <v>MC</v>
          </cell>
          <cell r="H70" t="str">
            <v>MULTI-DISCIPLINE CLINIC</v>
          </cell>
          <cell r="I70" t="str">
            <v>03MC108</v>
          </cell>
          <cell r="J70" t="str">
            <v>TREATMENT/PROCEDURE</v>
          </cell>
          <cell r="K70" t="str">
            <v>BMED</v>
          </cell>
          <cell r="L70" t="str">
            <v>Normal</v>
          </cell>
          <cell r="M70" t="str">
            <v>Japan</v>
          </cell>
          <cell r="N70" t="str">
            <v>Olympus</v>
          </cell>
          <cell r="O70" t="str">
            <v>Olympus GIF-H170</v>
          </cell>
          <cell r="P70">
            <v>2032940</v>
          </cell>
          <cell r="Q70" t="str">
            <v>Not Applicable</v>
          </cell>
          <cell r="R70" t="str">
            <v>Olympus Optical Co Ltd</v>
          </cell>
          <cell r="S70" t="str">
            <v>J &amp; J MURNI SDN BHD</v>
          </cell>
          <cell r="T70" t="str">
            <v>Functioning</v>
          </cell>
          <cell r="U70" t="str">
            <v>Asset</v>
          </cell>
          <cell r="V70">
            <v>125900</v>
          </cell>
          <cell r="W70" t="str">
            <v>KEW</v>
          </cell>
          <cell r="X70">
            <v>44154</v>
          </cell>
          <cell r="Y70" t="str">
            <v>KEW</v>
          </cell>
          <cell r="Z70">
            <v>44160</v>
          </cell>
          <cell r="AA70">
            <v>44524</v>
          </cell>
          <cell r="AB70" t="str">
            <v>No</v>
          </cell>
          <cell r="AC70">
            <v>44160</v>
          </cell>
          <cell r="AD70" t="str">
            <v>Good</v>
          </cell>
          <cell r="AE70" t="str">
            <v>V3 - Added Installed Facilities (New)</v>
          </cell>
          <cell r="AG70">
            <v>9.17</v>
          </cell>
          <cell r="AH70" t="str">
            <v>PPM</v>
          </cell>
          <cell r="AI70" t="str">
            <v>Not in contract</v>
          </cell>
          <cell r="AJ70" t="str">
            <v>Proposed for V3 P2.23</v>
          </cell>
          <cell r="AK70" t="str">
            <v>SNF received on 11/10/2023.</v>
          </cell>
        </row>
        <row r="71">
          <cell r="A71" t="str">
            <v>IKN402042</v>
          </cell>
          <cell r="B71">
            <v>1697</v>
          </cell>
          <cell r="C71" t="str">
            <v>Institut Kanser Negara</v>
          </cell>
          <cell r="D71" t="str">
            <v>KKM/IKN/H/20/69</v>
          </cell>
          <cell r="E71" t="str">
            <v>17-665</v>
          </cell>
          <cell r="F71" t="str">
            <v>Gastroscopes,Video</v>
          </cell>
          <cell r="G71" t="str">
            <v>MC</v>
          </cell>
          <cell r="H71" t="str">
            <v>MULTI-DISCIPLINE CLINIC</v>
          </cell>
          <cell r="I71" t="str">
            <v>03MC108</v>
          </cell>
          <cell r="J71" t="str">
            <v>TREATMENT/PROCEDURE</v>
          </cell>
          <cell r="K71" t="str">
            <v>BMED</v>
          </cell>
          <cell r="L71" t="str">
            <v>Normal</v>
          </cell>
          <cell r="M71" t="str">
            <v>Japan</v>
          </cell>
          <cell r="N71" t="str">
            <v>Olympus</v>
          </cell>
          <cell r="O71" t="str">
            <v>Olympus CF-H170L</v>
          </cell>
          <cell r="P71">
            <v>2026002</v>
          </cell>
          <cell r="Q71" t="str">
            <v>Not Applicable</v>
          </cell>
          <cell r="R71" t="str">
            <v>Olympus Optical Co Ltd</v>
          </cell>
          <cell r="S71" t="str">
            <v>J &amp; J MURNI SDN BHD</v>
          </cell>
          <cell r="T71" t="str">
            <v>Functioning</v>
          </cell>
          <cell r="U71" t="str">
            <v>Asset</v>
          </cell>
          <cell r="V71">
            <v>77350</v>
          </cell>
          <cell r="W71" t="str">
            <v>KEW</v>
          </cell>
          <cell r="X71">
            <v>44154</v>
          </cell>
          <cell r="Y71" t="str">
            <v>KEW</v>
          </cell>
          <cell r="Z71">
            <v>44160</v>
          </cell>
          <cell r="AA71">
            <v>44524</v>
          </cell>
          <cell r="AB71" t="str">
            <v>No</v>
          </cell>
          <cell r="AC71">
            <v>44160</v>
          </cell>
          <cell r="AD71" t="str">
            <v>Good</v>
          </cell>
          <cell r="AE71" t="str">
            <v>V3 - Added Installed Facilities (New)</v>
          </cell>
          <cell r="AF71" t="str">
            <v>NA</v>
          </cell>
          <cell r="AG71">
            <v>5.17</v>
          </cell>
          <cell r="AH71" t="str">
            <v>PPM</v>
          </cell>
          <cell r="AI71" t="str">
            <v>Not in contract</v>
          </cell>
          <cell r="AJ71" t="str">
            <v>Strands PW</v>
          </cell>
        </row>
        <row r="72">
          <cell r="A72" t="str">
            <v>IKN402049</v>
          </cell>
          <cell r="B72">
            <v>1704</v>
          </cell>
          <cell r="C72" t="str">
            <v>Institut Kanser Negara</v>
          </cell>
          <cell r="E72" t="str">
            <v>10-960</v>
          </cell>
          <cell r="F72" t="str">
            <v>Colposcopes</v>
          </cell>
          <cell r="G72" t="str">
            <v>MC</v>
          </cell>
          <cell r="H72" t="str">
            <v>MULTI-DISCIPLINE CLINIC</v>
          </cell>
          <cell r="I72" t="str">
            <v>03MC108</v>
          </cell>
          <cell r="J72" t="str">
            <v>TREATMENT/PROCEDURE</v>
          </cell>
          <cell r="K72" t="str">
            <v>BMED</v>
          </cell>
          <cell r="L72" t="str">
            <v>Normal</v>
          </cell>
          <cell r="M72" t="str">
            <v>Japan</v>
          </cell>
          <cell r="N72" t="str">
            <v>ATMOS</v>
          </cell>
          <cell r="O72" t="str">
            <v>ATMOS iView 31 Colposcope</v>
          </cell>
          <cell r="P72">
            <v>1036002</v>
          </cell>
          <cell r="Q72" t="str">
            <v>Not Applicable</v>
          </cell>
          <cell r="R72" t="str">
            <v>Atmos Medizintechnik GmbH &amp; Co KG</v>
          </cell>
          <cell r="S72" t="str">
            <v>UMMI Surgical Sdn Bhd</v>
          </cell>
          <cell r="T72" t="str">
            <v>Functioning</v>
          </cell>
          <cell r="U72" t="str">
            <v>Asset</v>
          </cell>
          <cell r="V72">
            <v>107490</v>
          </cell>
          <cell r="W72" t="str">
            <v>KEW</v>
          </cell>
          <cell r="X72">
            <v>44111</v>
          </cell>
          <cell r="Y72" t="str">
            <v>KEW</v>
          </cell>
          <cell r="Z72">
            <v>44188</v>
          </cell>
          <cell r="AA72">
            <v>44553</v>
          </cell>
          <cell r="AB72" t="str">
            <v>No</v>
          </cell>
          <cell r="AC72">
            <v>44188</v>
          </cell>
          <cell r="AD72" t="str">
            <v>Good</v>
          </cell>
          <cell r="AE72" t="str">
            <v>V3 - Added Installed Facilities (New)</v>
          </cell>
          <cell r="AF72" t="str">
            <v>NA</v>
          </cell>
          <cell r="AG72">
            <v>5.17</v>
          </cell>
          <cell r="AH72" t="str">
            <v>PPM</v>
          </cell>
          <cell r="AI72" t="str">
            <v>Not in contract</v>
          </cell>
          <cell r="AJ72" t="str">
            <v>Strands PW</v>
          </cell>
        </row>
        <row r="73">
          <cell r="A73" t="str">
            <v>IKN402053</v>
          </cell>
          <cell r="B73">
            <v>1708</v>
          </cell>
          <cell r="C73" t="str">
            <v>Institut Kanser Negara</v>
          </cell>
          <cell r="D73" t="str">
            <v>KKM/IKN/H/19/2</v>
          </cell>
          <cell r="E73" t="str">
            <v>18-426</v>
          </cell>
          <cell r="F73" t="str">
            <v>Radiographic Units, dental intraoral</v>
          </cell>
          <cell r="G73" t="str">
            <v>MC</v>
          </cell>
          <cell r="H73" t="str">
            <v>MULTI-DISCIPLINE CLINIC</v>
          </cell>
          <cell r="I73" t="str">
            <v>03ID109</v>
          </cell>
          <cell r="J73" t="str">
            <v>INDUCTION</v>
          </cell>
          <cell r="K73" t="str">
            <v>BMED</v>
          </cell>
          <cell r="L73" t="str">
            <v>Normal</v>
          </cell>
          <cell r="M73" t="str">
            <v>Finland</v>
          </cell>
          <cell r="N73" t="str">
            <v>Planmeca</v>
          </cell>
          <cell r="O73" t="str">
            <v>Pro X</v>
          </cell>
          <cell r="P73" t="str">
            <v>IPX031651</v>
          </cell>
          <cell r="Q73" t="str">
            <v>Not Applicable</v>
          </cell>
          <cell r="R73" t="str">
            <v>Planmeca</v>
          </cell>
          <cell r="S73" t="str">
            <v>Medik Link Sales &amp; Services Sdn Bhd</v>
          </cell>
          <cell r="T73" t="str">
            <v>Functioning</v>
          </cell>
          <cell r="U73" t="str">
            <v>Asset</v>
          </cell>
          <cell r="V73">
            <v>50000</v>
          </cell>
          <cell r="W73" t="str">
            <v>KEW</v>
          </cell>
          <cell r="X73">
            <v>43637</v>
          </cell>
          <cell r="Y73" t="str">
            <v>KEW</v>
          </cell>
          <cell r="Z73">
            <v>43650</v>
          </cell>
          <cell r="AA73">
            <v>44016</v>
          </cell>
          <cell r="AB73" t="str">
            <v>No</v>
          </cell>
          <cell r="AC73">
            <v>43650</v>
          </cell>
          <cell r="AD73" t="str">
            <v>Good</v>
          </cell>
          <cell r="AE73" t="str">
            <v>V3 - Added Installed Facilities (New)</v>
          </cell>
          <cell r="AF73">
            <v>43650</v>
          </cell>
          <cell r="AG73">
            <v>9.17</v>
          </cell>
          <cell r="AH73" t="str">
            <v>PPM</v>
          </cell>
          <cell r="AI73" t="str">
            <v>Strands</v>
          </cell>
          <cell r="AJ73" t="str">
            <v>Proposed for V3 P2.23</v>
          </cell>
          <cell r="AK73" t="str">
            <v>Unit under MDC, located at ID.</v>
          </cell>
        </row>
        <row r="74">
          <cell r="A74" t="str">
            <v>IKN402054</v>
          </cell>
          <cell r="B74">
            <v>1709</v>
          </cell>
          <cell r="C74" t="str">
            <v>Institut Kanser Negara</v>
          </cell>
          <cell r="D74" t="str">
            <v>KKM/IKN/H/13/3438</v>
          </cell>
          <cell r="E74" t="str">
            <v>13-396</v>
          </cell>
          <cell r="F74" t="str">
            <v>Rhinoscopes</v>
          </cell>
          <cell r="G74" t="str">
            <v>MC</v>
          </cell>
          <cell r="H74" t="str">
            <v>MULTI-DISCIPLINE CLINIC</v>
          </cell>
          <cell r="I74" t="str">
            <v>03MC111</v>
          </cell>
          <cell r="J74" t="str">
            <v>SCOPE WASH</v>
          </cell>
          <cell r="K74" t="str">
            <v>BMED</v>
          </cell>
          <cell r="L74" t="str">
            <v>Normal</v>
          </cell>
          <cell r="M74" t="str">
            <v>Japan</v>
          </cell>
          <cell r="N74" t="str">
            <v>Olympus</v>
          </cell>
          <cell r="O74" t="str">
            <v>Olympus ENF-T3</v>
          </cell>
          <cell r="P74">
            <v>2325042</v>
          </cell>
          <cell r="Q74" t="str">
            <v>Not Applicable</v>
          </cell>
          <cell r="R74" t="str">
            <v>Olympus Optical Co Ltd</v>
          </cell>
          <cell r="S74" t="str">
            <v>Endodynamics</v>
          </cell>
          <cell r="T74" t="str">
            <v>Functioning</v>
          </cell>
          <cell r="U74" t="str">
            <v>Asset</v>
          </cell>
          <cell r="V74">
            <v>59362</v>
          </cell>
          <cell r="W74" t="str">
            <v>KEW</v>
          </cell>
          <cell r="X74">
            <v>41516</v>
          </cell>
          <cell r="Y74" t="str">
            <v>KEW</v>
          </cell>
          <cell r="Z74">
            <v>41516</v>
          </cell>
          <cell r="AA74">
            <v>42246</v>
          </cell>
          <cell r="AB74" t="str">
            <v>No</v>
          </cell>
          <cell r="AC74">
            <v>41516</v>
          </cell>
          <cell r="AD74" t="str">
            <v>Good</v>
          </cell>
          <cell r="AE74" t="str">
            <v>V1 - Existing / No Claim</v>
          </cell>
          <cell r="AG74">
            <v>9.17</v>
          </cell>
          <cell r="AH74" t="str">
            <v>PPM</v>
          </cell>
          <cell r="AI74" t="str">
            <v>Strands</v>
          </cell>
          <cell r="AJ74" t="str">
            <v>Strands PW</v>
          </cell>
          <cell r="AK74" t="str">
            <v>Only have KKM no in contract. Register with new IKN no</v>
          </cell>
        </row>
        <row r="75">
          <cell r="A75" t="str">
            <v>IKN402073</v>
          </cell>
          <cell r="B75">
            <v>1728</v>
          </cell>
          <cell r="C75" t="str">
            <v>Institut Kanser Negara</v>
          </cell>
          <cell r="D75" t="str">
            <v>KKM/IKN/H/21/63</v>
          </cell>
          <cell r="E75" t="str">
            <v>10-082</v>
          </cell>
          <cell r="F75" t="str">
            <v>Amalgamators</v>
          </cell>
          <cell r="G75" t="str">
            <v>MC</v>
          </cell>
          <cell r="H75" t="str">
            <v>MULTI-DISCIPLINE CLINIC</v>
          </cell>
          <cell r="I75" t="str">
            <v>03MC107</v>
          </cell>
          <cell r="J75" t="str">
            <v>TREATMENT 1</v>
          </cell>
          <cell r="K75" t="str">
            <v>BMED</v>
          </cell>
          <cell r="L75" t="str">
            <v>Normal</v>
          </cell>
          <cell r="M75" t="str">
            <v>TAIWAN</v>
          </cell>
          <cell r="N75" t="str">
            <v>MONITEX</v>
          </cell>
          <cell r="O75" t="str">
            <v>AM-1</v>
          </cell>
          <cell r="P75" t="str">
            <v>20K1319</v>
          </cell>
          <cell r="Q75" t="str">
            <v>Not Applicable</v>
          </cell>
          <cell r="R75" t="str">
            <v>MONITEX INDUSTRIAL CO LTD</v>
          </cell>
          <cell r="S75" t="str">
            <v>N.K LUCK SDN BHD</v>
          </cell>
          <cell r="T75" t="str">
            <v>Functioning</v>
          </cell>
          <cell r="U75" t="str">
            <v>Asset</v>
          </cell>
          <cell r="V75">
            <v>2000</v>
          </cell>
          <cell r="W75" t="str">
            <v>KEW</v>
          </cell>
          <cell r="X75">
            <v>44454</v>
          </cell>
          <cell r="Y75" t="str">
            <v>KEW</v>
          </cell>
          <cell r="Z75">
            <v>44469</v>
          </cell>
          <cell r="AA75">
            <v>44834</v>
          </cell>
          <cell r="AB75" t="str">
            <v>No</v>
          </cell>
          <cell r="AC75">
            <v>44517</v>
          </cell>
          <cell r="AD75" t="str">
            <v>Good</v>
          </cell>
          <cell r="AE75" t="str">
            <v>V3 - Added Installed Facilities (New)</v>
          </cell>
          <cell r="AF75">
            <v>44517</v>
          </cell>
          <cell r="AG75">
            <v>9.17</v>
          </cell>
          <cell r="AH75" t="str">
            <v>PPM</v>
          </cell>
          <cell r="AJ75" t="str">
            <v>Strands DW</v>
          </cell>
        </row>
        <row r="76">
          <cell r="A76" t="str">
            <v>IKN402075</v>
          </cell>
          <cell r="B76">
            <v>1730</v>
          </cell>
          <cell r="C76" t="str">
            <v>Institut Kanser Negara</v>
          </cell>
          <cell r="D76" t="str">
            <v>KKM/IKN/H/20/80</v>
          </cell>
          <cell r="E76" t="str">
            <v>13-108</v>
          </cell>
          <cell r="F76" t="str">
            <v>Pressure Measuring Units, Esophageal</v>
          </cell>
          <cell r="G76" t="str">
            <v>MC</v>
          </cell>
          <cell r="H76" t="str">
            <v>MULTI-DISCIPLINE CLINIC</v>
          </cell>
          <cell r="I76" t="str">
            <v>03MC108</v>
          </cell>
          <cell r="J76" t="str">
            <v>TREATMENT/PROCEDURE</v>
          </cell>
          <cell r="K76" t="str">
            <v>BMED</v>
          </cell>
          <cell r="L76" t="str">
            <v>Normal</v>
          </cell>
          <cell r="N76" t="str">
            <v>Insight Ultima HRiM</v>
          </cell>
          <cell r="O76" t="str">
            <v>Insight Ultima HRiM</v>
          </cell>
          <cell r="P76" t="str">
            <v>084-005180/K14C009B</v>
          </cell>
          <cell r="Q76" t="str">
            <v>Not Applicable</v>
          </cell>
          <cell r="R76" t="str">
            <v>Sandhill Scientific</v>
          </cell>
          <cell r="T76" t="str">
            <v>Functioning</v>
          </cell>
          <cell r="V76">
            <v>279000</v>
          </cell>
          <cell r="W76" t="str">
            <v>KEW</v>
          </cell>
          <cell r="X76">
            <v>41988</v>
          </cell>
          <cell r="Y76" t="str">
            <v>KEW</v>
          </cell>
          <cell r="Z76" t="str">
            <v>N/A</v>
          </cell>
          <cell r="AA76" t="str">
            <v>N/A</v>
          </cell>
          <cell r="AB76" t="str">
            <v>NO</v>
          </cell>
          <cell r="AC76">
            <v>44151</v>
          </cell>
          <cell r="AD76" t="str">
            <v>Good</v>
          </cell>
          <cell r="AE76" t="str">
            <v>V3 - Added Installed Facilities (New)</v>
          </cell>
          <cell r="AF76">
            <v>44151</v>
          </cell>
          <cell r="AG76">
            <v>9.17</v>
          </cell>
          <cell r="AH76" t="str">
            <v>PPM</v>
          </cell>
          <cell r="AJ76" t="str">
            <v>Strands PW SET F</v>
          </cell>
          <cell r="AK76" t="str">
            <v>HRiM Catherer (scopes)=US-38-2504 (SN), (REF)=K123245-E-1047-D. Unit received from Hospital Sg.Buloh</v>
          </cell>
        </row>
        <row r="77">
          <cell r="A77" t="str">
            <v>IKN402076</v>
          </cell>
          <cell r="B77">
            <v>1731</v>
          </cell>
          <cell r="C77" t="str">
            <v>Institut Kanser Negara</v>
          </cell>
          <cell r="D77" t="str">
            <v>KKM/IKN/H/20/80</v>
          </cell>
          <cell r="E77" t="str">
            <v>15-164</v>
          </cell>
          <cell r="F77" t="str">
            <v>pH Meters</v>
          </cell>
          <cell r="G77" t="str">
            <v>MC</v>
          </cell>
          <cell r="H77" t="str">
            <v>MULTI-DISCIPLINE CLINIC</v>
          </cell>
          <cell r="I77" t="str">
            <v>03MC108</v>
          </cell>
          <cell r="J77" t="str">
            <v>TREATMENT/PROCEDURE</v>
          </cell>
          <cell r="K77" t="str">
            <v>BMED</v>
          </cell>
          <cell r="L77" t="str">
            <v>Normal</v>
          </cell>
          <cell r="N77" t="str">
            <v>ZepHr</v>
          </cell>
          <cell r="O77" t="str">
            <v>Sleuth ZepHr</v>
          </cell>
          <cell r="P77" t="str">
            <v>J149005C</v>
          </cell>
          <cell r="Q77" t="str">
            <v>Not Applicable</v>
          </cell>
          <cell r="R77" t="str">
            <v>Sandhill Scientific</v>
          </cell>
          <cell r="T77" t="str">
            <v>Functioning</v>
          </cell>
          <cell r="V77">
            <v>35000</v>
          </cell>
          <cell r="W77" t="str">
            <v>KEW</v>
          </cell>
          <cell r="X77">
            <v>41988</v>
          </cell>
          <cell r="Y77" t="str">
            <v>KEW</v>
          </cell>
          <cell r="Z77" t="str">
            <v>N/A</v>
          </cell>
          <cell r="AA77" t="str">
            <v>N/A</v>
          </cell>
          <cell r="AB77" t="str">
            <v>No</v>
          </cell>
          <cell r="AC77">
            <v>44151</v>
          </cell>
          <cell r="AD77" t="str">
            <v>Good</v>
          </cell>
          <cell r="AE77" t="str">
            <v>V3 - Added Installed Facilities (New)</v>
          </cell>
          <cell r="AF77">
            <v>44151</v>
          </cell>
          <cell r="AG77">
            <v>9.17</v>
          </cell>
          <cell r="AH77" t="str">
            <v>PPM</v>
          </cell>
          <cell r="AJ77" t="str">
            <v>Strands PW SET F</v>
          </cell>
          <cell r="AK77" t="str">
            <v>Share KEWPA IKN402075.</v>
          </cell>
        </row>
        <row r="78">
          <cell r="A78" t="str">
            <v>IKN402090</v>
          </cell>
          <cell r="B78">
            <v>1745</v>
          </cell>
          <cell r="C78" t="str">
            <v>Institut Kanser Negara</v>
          </cell>
          <cell r="D78" t="str">
            <v>KKM/IKN/H/20/78</v>
          </cell>
          <cell r="E78" t="str">
            <v>15-164</v>
          </cell>
          <cell r="F78" t="str">
            <v>pH Meters</v>
          </cell>
          <cell r="G78" t="str">
            <v>MC</v>
          </cell>
          <cell r="H78" t="str">
            <v>MULTI-DISCIPLINE CLINIC</v>
          </cell>
          <cell r="I78" t="str">
            <v>03MC108</v>
          </cell>
          <cell r="J78" t="str">
            <v>TREATMENT/PROCEDURE</v>
          </cell>
          <cell r="K78" t="str">
            <v>BMED</v>
          </cell>
          <cell r="L78" t="str">
            <v>Normal</v>
          </cell>
          <cell r="N78" t="str">
            <v>ZepHr</v>
          </cell>
          <cell r="O78" t="str">
            <v>ZepHR PH Monitoring System</v>
          </cell>
          <cell r="P78" t="str">
            <v>J0099028C</v>
          </cell>
          <cell r="Q78" t="str">
            <v>Not Applicable</v>
          </cell>
          <cell r="R78" t="str">
            <v>Sandhill Scientific</v>
          </cell>
          <cell r="T78" t="str">
            <v>Functioning</v>
          </cell>
          <cell r="V78">
            <v>35000</v>
          </cell>
          <cell r="W78" t="str">
            <v>KEW</v>
          </cell>
          <cell r="X78">
            <v>40396</v>
          </cell>
          <cell r="Y78" t="str">
            <v>KEW</v>
          </cell>
          <cell r="Z78" t="str">
            <v>N/A</v>
          </cell>
          <cell r="AA78" t="str">
            <v>N/A</v>
          </cell>
          <cell r="AB78" t="str">
            <v>No</v>
          </cell>
          <cell r="AC78">
            <v>44151</v>
          </cell>
          <cell r="AD78" t="str">
            <v>Good</v>
          </cell>
          <cell r="AE78" t="str">
            <v>V3 - Added Installed Facilities (New)</v>
          </cell>
          <cell r="AF78">
            <v>44151</v>
          </cell>
          <cell r="AG78">
            <v>9.17</v>
          </cell>
          <cell r="AH78" t="str">
            <v>PPM</v>
          </cell>
          <cell r="AJ78" t="str">
            <v>Strands PW</v>
          </cell>
          <cell r="AK78" t="str">
            <v>PACKAGE IKN402075, IKN402076,IKN402090</v>
          </cell>
        </row>
        <row r="79">
          <cell r="A79" t="str">
            <v>IKN402091</v>
          </cell>
          <cell r="B79">
            <v>1746</v>
          </cell>
          <cell r="C79" t="str">
            <v>Institut Kanser Negara</v>
          </cell>
          <cell r="D79" t="str">
            <v>KKM/IKN/H/20/79</v>
          </cell>
          <cell r="E79" t="str">
            <v>17-663-037</v>
          </cell>
          <cell r="F79" t="str">
            <v>Gastroscopes, Flexible, Video</v>
          </cell>
          <cell r="G79" t="str">
            <v>MC</v>
          </cell>
          <cell r="H79" t="str">
            <v>MULTI-DISCIPLINE CLINIC</v>
          </cell>
          <cell r="I79" t="str">
            <v>03MC108</v>
          </cell>
          <cell r="J79" t="str">
            <v>TREATMENT/PROCEDURE</v>
          </cell>
          <cell r="K79" t="str">
            <v>BMED</v>
          </cell>
          <cell r="L79" t="str">
            <v>Normal</v>
          </cell>
          <cell r="M79" t="str">
            <v>Japan</v>
          </cell>
          <cell r="N79" t="str">
            <v>Olympus</v>
          </cell>
          <cell r="O79" t="str">
            <v>Olympus GIF-XP150N</v>
          </cell>
          <cell r="P79" t="str">
            <v>2612536</v>
          </cell>
          <cell r="Q79" t="str">
            <v>Not Applicable</v>
          </cell>
          <cell r="R79" t="str">
            <v>Olympus Optical Co Ltd</v>
          </cell>
          <cell r="S79" t="str">
            <v>Olympus Optical Co Ltd</v>
          </cell>
          <cell r="T79" t="str">
            <v>Functioning</v>
          </cell>
          <cell r="U79" t="str">
            <v>Asset</v>
          </cell>
          <cell r="V79">
            <v>66000</v>
          </cell>
          <cell r="W79" t="str">
            <v>KEW</v>
          </cell>
          <cell r="X79">
            <v>42699</v>
          </cell>
          <cell r="Y79" t="str">
            <v>KEW</v>
          </cell>
          <cell r="Z79">
            <v>42709</v>
          </cell>
          <cell r="AA79">
            <v>43074</v>
          </cell>
          <cell r="AB79" t="str">
            <v>No</v>
          </cell>
          <cell r="AC79">
            <v>44470</v>
          </cell>
          <cell r="AD79" t="str">
            <v>Good</v>
          </cell>
          <cell r="AE79" t="str">
            <v>V3 - Added Installed Facilities (New)</v>
          </cell>
          <cell r="AF79">
            <v>44470</v>
          </cell>
          <cell r="AG79">
            <v>9.17</v>
          </cell>
          <cell r="AH79" t="str">
            <v>PPM</v>
          </cell>
          <cell r="AJ79" t="str">
            <v>Strands PW</v>
          </cell>
        </row>
        <row r="80">
          <cell r="A80" t="str">
            <v>IKN402094</v>
          </cell>
          <cell r="B80">
            <v>1749</v>
          </cell>
          <cell r="C80" t="str">
            <v>Institut Kanser Negara</v>
          </cell>
          <cell r="D80" t="str">
            <v>KKM/IKN/H/21/73</v>
          </cell>
          <cell r="E80" t="str">
            <v>16-353</v>
          </cell>
          <cell r="F80" t="str">
            <v>VERTEX ECOLIGHT BOX UV</v>
          </cell>
          <cell r="G80" t="str">
            <v>MC</v>
          </cell>
          <cell r="H80" t="str">
            <v>MULTI-DISCIPLINE CLINIC</v>
          </cell>
          <cell r="I80" t="str">
            <v>03MC108</v>
          </cell>
          <cell r="J80" t="str">
            <v>TREATMENT 1</v>
          </cell>
          <cell r="K80" t="str">
            <v>BMED</v>
          </cell>
          <cell r="L80" t="str">
            <v>Normal</v>
          </cell>
          <cell r="M80" t="str">
            <v>NETHERLANDS</v>
          </cell>
          <cell r="N80" t="str">
            <v>VERTEX</v>
          </cell>
          <cell r="O80" t="str">
            <v>ECO LIGHT BOX</v>
          </cell>
          <cell r="P80" t="str">
            <v>201901-1827</v>
          </cell>
          <cell r="Q80" t="str">
            <v>Not Applicable</v>
          </cell>
          <cell r="R80" t="str">
            <v>NETHERLANDS</v>
          </cell>
          <cell r="S80" t="str">
            <v>QS DENTAL SUPPLY SDN BHD</v>
          </cell>
          <cell r="T80" t="str">
            <v>Functioning</v>
          </cell>
          <cell r="U80" t="str">
            <v>Asset</v>
          </cell>
          <cell r="V80">
            <v>2300</v>
          </cell>
          <cell r="W80" t="str">
            <v>KEW</v>
          </cell>
          <cell r="X80">
            <v>44476</v>
          </cell>
          <cell r="Y80" t="str">
            <v>KEW</v>
          </cell>
          <cell r="Z80">
            <v>44517</v>
          </cell>
          <cell r="AA80">
            <v>44882</v>
          </cell>
          <cell r="AB80" t="str">
            <v>NO</v>
          </cell>
          <cell r="AC80">
            <v>44517</v>
          </cell>
          <cell r="AD80" t="str">
            <v>Good</v>
          </cell>
          <cell r="AE80" t="str">
            <v>V3 - Added Installed Facilities (New)</v>
          </cell>
          <cell r="AF80">
            <v>44517</v>
          </cell>
          <cell r="AG80">
            <v>9.17</v>
          </cell>
          <cell r="AH80" t="str">
            <v>PPM</v>
          </cell>
          <cell r="AI80" t="str">
            <v>Not in Contract</v>
          </cell>
          <cell r="AJ80" t="str">
            <v>Proposed for V3 P2.23</v>
          </cell>
          <cell r="AK80" t="str">
            <v>KKM follow P2.23 list.</v>
          </cell>
        </row>
        <row r="81">
          <cell r="A81" t="str">
            <v>IKN402118</v>
          </cell>
          <cell r="B81">
            <v>1773</v>
          </cell>
          <cell r="C81" t="str">
            <v>Institut Kanser Negara</v>
          </cell>
          <cell r="D81" t="str">
            <v>Shahira/Accuvein</v>
          </cell>
          <cell r="E81" t="str">
            <v>NA</v>
          </cell>
          <cell r="F81" t="str">
            <v>ACCUVEIN VEIN VIEWER</v>
          </cell>
          <cell r="G81" t="str">
            <v>DO</v>
          </cell>
          <cell r="H81" t="str">
            <v>DAY ONCOLOGY UNIT</v>
          </cell>
          <cell r="I81" t="str">
            <v>04DO124</v>
          </cell>
          <cell r="J81" t="str">
            <v>TREATMENT ROOM</v>
          </cell>
          <cell r="K81" t="str">
            <v>BMED</v>
          </cell>
          <cell r="L81" t="str">
            <v>Normal</v>
          </cell>
          <cell r="M81" t="str">
            <v>USA</v>
          </cell>
          <cell r="N81" t="str">
            <v>ACCUVEIN</v>
          </cell>
          <cell r="O81" t="str">
            <v>AV500</v>
          </cell>
          <cell r="P81" t="str">
            <v>C212 HF57021090110</v>
          </cell>
          <cell r="Q81" t="str">
            <v>Not Applicable</v>
          </cell>
          <cell r="R81" t="str">
            <v>ACCUVEIN INC</v>
          </cell>
          <cell r="S81" t="str">
            <v>UTAS MAJU SDN BHD</v>
          </cell>
          <cell r="T81" t="str">
            <v>Functioning</v>
          </cell>
          <cell r="U81" t="str">
            <v>Asset</v>
          </cell>
          <cell r="V81">
            <v>200000</v>
          </cell>
          <cell r="W81" t="str">
            <v>KEW</v>
          </cell>
          <cell r="X81" t="str">
            <v>NA</v>
          </cell>
          <cell r="Y81" t="str">
            <v>NA</v>
          </cell>
          <cell r="Z81">
            <v>44692</v>
          </cell>
          <cell r="AA81">
            <v>45423</v>
          </cell>
          <cell r="AB81" t="str">
            <v>YES</v>
          </cell>
          <cell r="AC81">
            <v>44692</v>
          </cell>
          <cell r="AD81" t="str">
            <v>Good</v>
          </cell>
          <cell r="AE81" t="str">
            <v>V3 - Added Installed Facilities (New)</v>
          </cell>
          <cell r="AF81">
            <v>44692</v>
          </cell>
          <cell r="AG81" t="str">
            <v>NA</v>
          </cell>
          <cell r="AH81" t="str">
            <v>PPM</v>
          </cell>
          <cell r="AI81" t="str">
            <v>Not in Contract</v>
          </cell>
          <cell r="AJ81" t="str">
            <v>Proposed for V3 P2.24</v>
          </cell>
          <cell r="AK81" t="str">
            <v>(PIC: SHAHIRA: ASSET SUMBANGAN)</v>
          </cell>
        </row>
        <row r="82">
          <cell r="A82" t="str">
            <v>IKN402139</v>
          </cell>
          <cell r="B82">
            <v>1794</v>
          </cell>
          <cell r="C82" t="str">
            <v>Institut Kanser Negara</v>
          </cell>
          <cell r="D82" t="str">
            <v>KKM/IKN/H/22/70</v>
          </cell>
          <cell r="E82" t="str">
            <v>15-073</v>
          </cell>
          <cell r="F82" t="str">
            <v>Bronchoscopes, Flexible</v>
          </cell>
          <cell r="G82" t="str">
            <v>IC</v>
          </cell>
          <cell r="H82" t="str">
            <v>INTENSIVE CARE UNIT</v>
          </cell>
          <cell r="I82" t="str">
            <v>IC</v>
          </cell>
          <cell r="J82" t="str">
            <v>INTENSIVE CARE UNIT</v>
          </cell>
          <cell r="K82" t="str">
            <v>BMED</v>
          </cell>
          <cell r="L82" t="str">
            <v>Normal</v>
          </cell>
          <cell r="M82" t="str">
            <v>CHINA</v>
          </cell>
          <cell r="N82" t="str">
            <v>INSIGHTERS</v>
          </cell>
          <cell r="O82" t="str">
            <v>I5-PF1</v>
          </cell>
          <cell r="P82" t="str">
            <v>C201226004</v>
          </cell>
          <cell r="Q82" t="str">
            <v>Not Applicable</v>
          </cell>
          <cell r="R82" t="str">
            <v>SHENZEN INSIGHTERS MEDICAL TECHNOLOGY</v>
          </cell>
          <cell r="S82" t="str">
            <v>Perniagaan Bekalan Abadi Sdn.Bhd.</v>
          </cell>
          <cell r="T82" t="str">
            <v>Functioning</v>
          </cell>
          <cell r="U82" t="str">
            <v>ASSET</v>
          </cell>
          <cell r="V82">
            <v>58000</v>
          </cell>
          <cell r="W82" t="str">
            <v>KEW</v>
          </cell>
          <cell r="X82">
            <v>44855</v>
          </cell>
          <cell r="Y82" t="str">
            <v>KEW</v>
          </cell>
          <cell r="Z82">
            <v>44855</v>
          </cell>
          <cell r="AA82">
            <v>45585</v>
          </cell>
          <cell r="AB82" t="str">
            <v>YES</v>
          </cell>
          <cell r="AC82">
            <v>44855</v>
          </cell>
          <cell r="AD82" t="str">
            <v>GOOD</v>
          </cell>
          <cell r="AE82" t="str">
            <v>V3 - Added Installed Facilities (New)</v>
          </cell>
          <cell r="AF82">
            <v>45008</v>
          </cell>
          <cell r="AG82" t="str">
            <v>NA</v>
          </cell>
          <cell r="AH82" t="str">
            <v>PPM</v>
          </cell>
          <cell r="AI82" t="str">
            <v>Not in contract</v>
          </cell>
          <cell r="AJ82" t="str">
            <v>Strands V3 P1.23</v>
          </cell>
          <cell r="AK82" t="str">
            <v>(PIC: IMRAN) [23/8/2023, Sharifah]: V3 P1.23, add KKM No.</v>
          </cell>
        </row>
        <row r="83">
          <cell r="A83" t="str">
            <v>IKN402150</v>
          </cell>
          <cell r="B83">
            <v>1805</v>
          </cell>
          <cell r="C83" t="str">
            <v>Institut Kanser Negara</v>
          </cell>
          <cell r="D83" t="str">
            <v>KKM/IKN/H/23/30</v>
          </cell>
          <cell r="E83" t="str">
            <v>13-217</v>
          </cell>
          <cell r="F83" t="str">
            <v>Syringe Pump/Total Anesthesia Intravenous Pump</v>
          </cell>
          <cell r="G83" t="str">
            <v>IC</v>
          </cell>
          <cell r="H83" t="str">
            <v>INTENSIVE CARE UNIT</v>
          </cell>
          <cell r="I83" t="str">
            <v>05IC115</v>
          </cell>
          <cell r="J83" t="str">
            <v>ICU RM 4</v>
          </cell>
          <cell r="K83" t="str">
            <v>BMED</v>
          </cell>
          <cell r="L83" t="str">
            <v>Normal</v>
          </cell>
          <cell r="N83" t="str">
            <v>BENEFUSION NSP</v>
          </cell>
          <cell r="O83" t="str">
            <v>TCI&amp;TIVA</v>
          </cell>
          <cell r="P83" t="str">
            <v>SG1-39016070</v>
          </cell>
          <cell r="R83" t="str">
            <v>SHENZEN MINDRAY SCIENTIFIC CO. LTD</v>
          </cell>
          <cell r="S83" t="str">
            <v>SCHMIDT BIOMEDTECH SDN BHD</v>
          </cell>
          <cell r="T83" t="str">
            <v>Functioning</v>
          </cell>
          <cell r="U83" t="str">
            <v>Asset</v>
          </cell>
          <cell r="V83">
            <v>12000</v>
          </cell>
          <cell r="W83" t="str">
            <v>KEW</v>
          </cell>
          <cell r="X83">
            <v>45236</v>
          </cell>
          <cell r="Y83" t="str">
            <v>KEW</v>
          </cell>
          <cell r="Z83">
            <v>45236</v>
          </cell>
          <cell r="AA83">
            <v>45966</v>
          </cell>
          <cell r="AB83" t="str">
            <v>YES</v>
          </cell>
          <cell r="AC83">
            <v>45236</v>
          </cell>
          <cell r="AD83" t="str">
            <v>GOOD</v>
          </cell>
          <cell r="AE83" t="str">
            <v>V3 - Added Installed Facilities (New)</v>
          </cell>
          <cell r="AF83">
            <v>45251</v>
          </cell>
          <cell r="AG83" t="str">
            <v>NA</v>
          </cell>
          <cell r="AH83" t="str">
            <v>PPM</v>
          </cell>
          <cell r="AI83" t="str">
            <v>Strands</v>
          </cell>
          <cell r="AJ83" t="str">
            <v>Proposed for V3 P2.23</v>
          </cell>
          <cell r="AK83" t="str">
            <v>SNF received on November 2023.</v>
          </cell>
        </row>
        <row r="84">
          <cell r="A84" t="str">
            <v>IKN402151</v>
          </cell>
          <cell r="B84">
            <v>1806</v>
          </cell>
          <cell r="C84" t="str">
            <v>Institut Kanser Negara</v>
          </cell>
          <cell r="D84" t="str">
            <v>KKM/IKN/H/22/109</v>
          </cell>
          <cell r="E84" t="str">
            <v>15-709</v>
          </cell>
          <cell r="F84" t="str">
            <v>Analyzers, Laboratory, Blood Gas/pH</v>
          </cell>
          <cell r="G84" t="str">
            <v>IC</v>
          </cell>
          <cell r="H84" t="str">
            <v>INTENSIVE CARE UNIT</v>
          </cell>
          <cell r="I84" t="str">
            <v>05IC122</v>
          </cell>
          <cell r="J84" t="str">
            <v>STAT LAB</v>
          </cell>
          <cell r="K84" t="str">
            <v>BMED</v>
          </cell>
          <cell r="L84" t="str">
            <v>Normal</v>
          </cell>
          <cell r="M84" t="str">
            <v>Denmark</v>
          </cell>
          <cell r="N84" t="str">
            <v>Radiometer</v>
          </cell>
          <cell r="O84" t="str">
            <v>ABL 90</v>
          </cell>
          <cell r="P84" t="str">
            <v>092R029440010</v>
          </cell>
          <cell r="Q84" t="str">
            <v>Not Applicable</v>
          </cell>
          <cell r="R84" t="str">
            <v>Radiometer Medical ApS</v>
          </cell>
          <cell r="S84" t="str">
            <v>Anugerah Saintifik Sdn Bhd</v>
          </cell>
          <cell r="T84" t="str">
            <v>Functioning</v>
          </cell>
          <cell r="U84" t="str">
            <v>Asset</v>
          </cell>
          <cell r="V84">
            <v>49000</v>
          </cell>
          <cell r="W84" t="str">
            <v>KEW</v>
          </cell>
          <cell r="X84">
            <v>44980</v>
          </cell>
          <cell r="Y84" t="str">
            <v>KEW</v>
          </cell>
          <cell r="Z84">
            <v>44874</v>
          </cell>
          <cell r="AA84">
            <v>45239</v>
          </cell>
          <cell r="AB84" t="str">
            <v>No</v>
          </cell>
          <cell r="AC84">
            <v>44980</v>
          </cell>
          <cell r="AD84" t="str">
            <v>Good</v>
          </cell>
          <cell r="AE84" t="str">
            <v>V6</v>
          </cell>
          <cell r="AF84">
            <v>45008</v>
          </cell>
          <cell r="AG84" t="str">
            <v>NA</v>
          </cell>
          <cell r="AH84" t="str">
            <v>PPM</v>
          </cell>
          <cell r="AI84" t="str">
            <v>NA</v>
          </cell>
          <cell r="AJ84" t="str">
            <v>Strands V3 P1.23</v>
          </cell>
          <cell r="AK84" t="str">
            <v>[8/12/2023, Imran]: New IKN No., V3 P1.23.</v>
          </cell>
        </row>
        <row r="85">
          <cell r="A85" t="str">
            <v>IKN402185</v>
          </cell>
          <cell r="B85">
            <v>1831</v>
          </cell>
          <cell r="C85" t="str">
            <v>Institut Kanser Negara</v>
          </cell>
          <cell r="D85" t="str">
            <v>KKM/IKN/H/24/18</v>
          </cell>
          <cell r="E85" t="str">
            <v>16-231</v>
          </cell>
          <cell r="F85" t="str">
            <v>ECG</v>
          </cell>
          <cell r="G85" t="str">
            <v>DO</v>
          </cell>
          <cell r="H85" t="str">
            <v>DAYCARE ONCOLOGY CLINIC</v>
          </cell>
          <cell r="I85" t="str">
            <v>04DO125</v>
          </cell>
          <cell r="J85" t="str">
            <v>PROCEDURE ROOM</v>
          </cell>
          <cell r="K85" t="str">
            <v>BMED</v>
          </cell>
          <cell r="L85" t="str">
            <v>Normal</v>
          </cell>
          <cell r="M85" t="str">
            <v>USA, Assamble in China</v>
          </cell>
          <cell r="N85" t="str">
            <v>GE MAC 5</v>
          </cell>
          <cell r="O85" t="str">
            <v>MAC 5 A4</v>
          </cell>
          <cell r="P85" t="str">
            <v>SUE2420034WA</v>
          </cell>
          <cell r="R85" t="str">
            <v>GE Medical Systems Information Technologies, Inc</v>
          </cell>
          <cell r="S85" t="str">
            <v>Insan Damai Sdn Bhd</v>
          </cell>
          <cell r="T85" t="str">
            <v>Functioning</v>
          </cell>
          <cell r="U85" t="str">
            <v>Asset</v>
          </cell>
          <cell r="V85" t="str">
            <v>RM</v>
          </cell>
          <cell r="W85" t="str">
            <v>KEW</v>
          </cell>
          <cell r="X85">
            <v>45467</v>
          </cell>
          <cell r="Y85" t="str">
            <v>KEW</v>
          </cell>
          <cell r="Z85">
            <v>45474</v>
          </cell>
          <cell r="AA85">
            <v>45839</v>
          </cell>
          <cell r="AB85" t="str">
            <v>Yes</v>
          </cell>
          <cell r="AC85">
            <v>45474</v>
          </cell>
          <cell r="AD85" t="str">
            <v>Good</v>
          </cell>
          <cell r="AE85" t="str">
            <v>V3 - Added Installed Facilities (New)</v>
          </cell>
          <cell r="AF85">
            <v>45492</v>
          </cell>
          <cell r="AG85" t="str">
            <v>NA</v>
          </cell>
          <cell r="AH85" t="str">
            <v>PPM</v>
          </cell>
          <cell r="AI85" t="str">
            <v>Not in Contract</v>
          </cell>
          <cell r="AJ85" t="str">
            <v>Proposed for V3 P2.24</v>
          </cell>
          <cell r="AK85" t="str">
            <v>Accessories: 10 Lead AHA Patient Cable MAC 5 A4, Patient Interface Cable MAC 5 A4, Power Adapter 24Vdc 2.5A, Rechargeable battery MAC 5 A4, Local Made Cart Trolley MAC 5 A4</v>
          </cell>
        </row>
        <row r="86">
          <cell r="A86" t="str">
            <v>IKN402186</v>
          </cell>
          <cell r="B86">
            <v>1832</v>
          </cell>
          <cell r="C86" t="str">
            <v>Institut Kanser Negara</v>
          </cell>
          <cell r="D86" t="str">
            <v>KKM/IKN/H/24/26</v>
          </cell>
          <cell r="F86" t="str">
            <v>Defibrillator</v>
          </cell>
          <cell r="G86" t="str">
            <v>DO</v>
          </cell>
          <cell r="AC86">
            <v>45484</v>
          </cell>
          <cell r="AF86">
            <v>45512</v>
          </cell>
          <cell r="AI86" t="str">
            <v>Not in Contract</v>
          </cell>
          <cell r="AJ86" t="str">
            <v>Proposed for V3 P2.24</v>
          </cell>
          <cell r="AK86" t="str">
            <v>SNF 8/8/2024</v>
          </cell>
        </row>
        <row r="87">
          <cell r="A87" t="str">
            <v>IKN402187</v>
          </cell>
          <cell r="B87">
            <v>1833</v>
          </cell>
          <cell r="C87" t="str">
            <v>Institut Kanser Negara</v>
          </cell>
          <cell r="D87" t="str">
            <v>KKM/IKN/H/24/34</v>
          </cell>
          <cell r="F87" t="str">
            <v>Ultrasound</v>
          </cell>
          <cell r="G87" t="str">
            <v>ID</v>
          </cell>
          <cell r="H87" t="str">
            <v>IMAGING DEPARTMENT</v>
          </cell>
          <cell r="J87" t="str">
            <v>RADIOGRAPHER</v>
          </cell>
          <cell r="AB87" t="str">
            <v>No</v>
          </cell>
          <cell r="AD87" t="str">
            <v>Good</v>
          </cell>
          <cell r="AE87" t="str">
            <v>V3 - Added Installed Facilities (New)</v>
          </cell>
          <cell r="AF87">
            <v>45508</v>
          </cell>
          <cell r="AG87" t="str">
            <v>NA</v>
          </cell>
          <cell r="AH87" t="str">
            <v>PPM</v>
          </cell>
          <cell r="AI87" t="str">
            <v>NA</v>
          </cell>
          <cell r="AJ87" t="str">
            <v>TnC Anis Ultrasound 25/6/2024</v>
          </cell>
          <cell r="AK87" t="str">
            <v>SNF 2/8/2024</v>
          </cell>
        </row>
        <row r="88">
          <cell r="A88" t="str">
            <v>IKN400003</v>
          </cell>
          <cell r="B88">
            <v>3</v>
          </cell>
          <cell r="C88" t="str">
            <v>Institut Kanser Negara</v>
          </cell>
          <cell r="D88" t="str">
            <v>KKM/IKN/H/13/4932</v>
          </cell>
          <cell r="E88" t="str">
            <v>18-595</v>
          </cell>
          <cell r="F88" t="str">
            <v>Ophthalmoscopes/Otoscopes</v>
          </cell>
          <cell r="G88" t="str">
            <v>AE</v>
          </cell>
          <cell r="H88" t="str">
            <v>EMERGENCY UNIT</v>
          </cell>
          <cell r="I88" t="str">
            <v>01AE106</v>
          </cell>
          <cell r="J88" t="str">
            <v>C/E ROOM</v>
          </cell>
          <cell r="K88" t="str">
            <v>BMED</v>
          </cell>
          <cell r="L88" t="str">
            <v>Normal</v>
          </cell>
          <cell r="M88" t="str">
            <v>USA</v>
          </cell>
          <cell r="N88" t="str">
            <v>Welch Allyn</v>
          </cell>
          <cell r="O88" t="str">
            <v>Welch Allyn 71904</v>
          </cell>
          <cell r="P88" t="str">
            <v>GD0019-9</v>
          </cell>
          <cell r="Q88" t="str">
            <v>Not Applicable</v>
          </cell>
          <cell r="R88" t="str">
            <v>Welch Allyn Inc</v>
          </cell>
          <cell r="S88" t="str">
            <v>Welch Allyn Malaysia Sdn Bhd</v>
          </cell>
          <cell r="T88" t="str">
            <v>Functioning</v>
          </cell>
          <cell r="U88" t="str">
            <v>Asset</v>
          </cell>
          <cell r="V88">
            <v>4690</v>
          </cell>
          <cell r="W88" t="str">
            <v>KEW</v>
          </cell>
          <cell r="X88" t="str">
            <v>01/09/2010</v>
          </cell>
          <cell r="Y88" t="str">
            <v>KEW</v>
          </cell>
          <cell r="Z88" t="str">
            <v>16/08/2013</v>
          </cell>
          <cell r="AA88" t="str">
            <v>15/08/2015</v>
          </cell>
          <cell r="AB88" t="str">
            <v>No</v>
          </cell>
          <cell r="AC88" t="str">
            <v>31/08/2013</v>
          </cell>
          <cell r="AD88" t="str">
            <v>Good</v>
          </cell>
          <cell r="AE88" t="str">
            <v>V1 - Existing / No Claim</v>
          </cell>
          <cell r="AF88">
            <v>42800</v>
          </cell>
          <cell r="AG88">
            <v>9.17</v>
          </cell>
          <cell r="AH88" t="str">
            <v>RI</v>
          </cell>
          <cell r="AI88" t="str">
            <v>Strands</v>
          </cell>
          <cell r="AJ88" t="str">
            <v>Not under maintenance</v>
          </cell>
        </row>
        <row r="89">
          <cell r="A89" t="str">
            <v>IKN400026</v>
          </cell>
          <cell r="B89">
            <v>26</v>
          </cell>
          <cell r="C89" t="str">
            <v>Institut Kanser Negara</v>
          </cell>
          <cell r="D89" t="e">
            <v>#N/A</v>
          </cell>
          <cell r="E89" t="str">
            <v>18-595</v>
          </cell>
          <cell r="F89" t="str">
            <v>Ophthalmoscopes/Otoscopes</v>
          </cell>
          <cell r="G89" t="str">
            <v>IC</v>
          </cell>
          <cell r="H89" t="str">
            <v>INTENSIVE CARE UNIT</v>
          </cell>
          <cell r="I89" t="str">
            <v>05IC106</v>
          </cell>
          <cell r="J89" t="str">
            <v>EQ. ROOM</v>
          </cell>
          <cell r="K89" t="str">
            <v>BMED</v>
          </cell>
          <cell r="L89" t="str">
            <v>Normal</v>
          </cell>
          <cell r="M89" t="str">
            <v>USA</v>
          </cell>
          <cell r="N89" t="str">
            <v>Welch Allyn</v>
          </cell>
          <cell r="O89" t="str">
            <v>Welch Allyn 97150-BIM</v>
          </cell>
          <cell r="P89" t="str">
            <v>GD0019-30</v>
          </cell>
          <cell r="Q89" t="str">
            <v>Not Applicable</v>
          </cell>
          <cell r="R89" t="str">
            <v>Welch Allyn Inc</v>
          </cell>
          <cell r="S89" t="str">
            <v>Welch Allyn Malaysia Sdn Bhd</v>
          </cell>
          <cell r="T89" t="str">
            <v>Functioning</v>
          </cell>
          <cell r="U89" t="str">
            <v>Asset</v>
          </cell>
          <cell r="V89">
            <v>4690</v>
          </cell>
          <cell r="W89" t="str">
            <v>KEW</v>
          </cell>
          <cell r="X89" t="str">
            <v>01/09/2010</v>
          </cell>
          <cell r="Y89" t="str">
            <v>KEW</v>
          </cell>
          <cell r="Z89" t="str">
            <v>16/08/2013</v>
          </cell>
          <cell r="AA89" t="str">
            <v>15/08/2015</v>
          </cell>
          <cell r="AB89" t="str">
            <v>No</v>
          </cell>
          <cell r="AC89" t="str">
            <v>31/08/2013</v>
          </cell>
          <cell r="AD89" t="str">
            <v>Good</v>
          </cell>
          <cell r="AE89" t="str">
            <v>V1 - Existing / No Claim</v>
          </cell>
          <cell r="AF89">
            <v>42235</v>
          </cell>
          <cell r="AG89">
            <v>9.17</v>
          </cell>
          <cell r="AH89" t="str">
            <v>RI</v>
          </cell>
          <cell r="AI89" t="str">
            <v>Not in contract</v>
          </cell>
          <cell r="AJ89" t="str">
            <v>Not under maintenance</v>
          </cell>
          <cell r="AK89" t="str">
            <v>Will be under V4. Taken out of contract as agreed by IKN</v>
          </cell>
        </row>
        <row r="90">
          <cell r="A90" t="str">
            <v>IKN400027</v>
          </cell>
          <cell r="B90">
            <v>27</v>
          </cell>
          <cell r="C90" t="str">
            <v>Institut Kanser Negara</v>
          </cell>
          <cell r="D90" t="e">
            <v>#N/A</v>
          </cell>
          <cell r="E90" t="str">
            <v>18-595</v>
          </cell>
          <cell r="F90" t="str">
            <v>Ophthalmoscopes/Otoscopes</v>
          </cell>
          <cell r="G90" t="str">
            <v>IC</v>
          </cell>
          <cell r="H90" t="str">
            <v>INTENSIVE CARE UNIT</v>
          </cell>
          <cell r="I90" t="str">
            <v>05IC106</v>
          </cell>
          <cell r="J90" t="str">
            <v>EQ. ROOM</v>
          </cell>
          <cell r="K90" t="str">
            <v>BMED</v>
          </cell>
          <cell r="L90" t="str">
            <v>Normal</v>
          </cell>
          <cell r="M90" t="str">
            <v>USA</v>
          </cell>
          <cell r="N90" t="str">
            <v>Welch Allyn</v>
          </cell>
          <cell r="O90" t="str">
            <v>Welch Allyn 97150-BIM</v>
          </cell>
          <cell r="P90" t="str">
            <v>GD0019-21</v>
          </cell>
          <cell r="Q90" t="str">
            <v>Not Applicable</v>
          </cell>
          <cell r="R90" t="str">
            <v>Welch Allyn Inc</v>
          </cell>
          <cell r="S90" t="str">
            <v>Welch Allyn Malaysia Sdn Bhd</v>
          </cell>
          <cell r="T90" t="str">
            <v>Functioning</v>
          </cell>
          <cell r="U90" t="str">
            <v>Asset</v>
          </cell>
          <cell r="V90">
            <v>4690</v>
          </cell>
          <cell r="W90" t="str">
            <v>KEW</v>
          </cell>
          <cell r="X90" t="str">
            <v>01/09/2010</v>
          </cell>
          <cell r="Y90" t="str">
            <v>KEW</v>
          </cell>
          <cell r="Z90" t="str">
            <v>16/08/2013</v>
          </cell>
          <cell r="AA90" t="str">
            <v>15/08/2015</v>
          </cell>
          <cell r="AB90" t="str">
            <v>No</v>
          </cell>
          <cell r="AC90" t="str">
            <v>31/08/2013</v>
          </cell>
          <cell r="AD90" t="str">
            <v>Good</v>
          </cell>
          <cell r="AE90" t="str">
            <v>V1 - Existing / No Claim</v>
          </cell>
          <cell r="AF90">
            <v>42235</v>
          </cell>
          <cell r="AG90">
            <v>9.17</v>
          </cell>
          <cell r="AH90" t="str">
            <v>RI</v>
          </cell>
          <cell r="AI90" t="str">
            <v>Not in contract</v>
          </cell>
          <cell r="AJ90" t="str">
            <v>Not under maintenance</v>
          </cell>
          <cell r="AK90" t="str">
            <v>Will be under V4. Taken out of contract as agreed by IKN</v>
          </cell>
        </row>
        <row r="91">
          <cell r="A91" t="str">
            <v>IKN400028</v>
          </cell>
          <cell r="B91">
            <v>28</v>
          </cell>
          <cell r="C91" t="str">
            <v>Institut Kanser Negara</v>
          </cell>
          <cell r="D91" t="e">
            <v>#N/A</v>
          </cell>
          <cell r="E91" t="str">
            <v>18-595</v>
          </cell>
          <cell r="F91" t="str">
            <v>Ophthalmoscopes/Otoscopes</v>
          </cell>
          <cell r="G91" t="str">
            <v>IC</v>
          </cell>
          <cell r="H91" t="str">
            <v>INTENSIVE CARE UNIT</v>
          </cell>
          <cell r="I91" t="str">
            <v>05IC106</v>
          </cell>
          <cell r="J91" t="str">
            <v>EQ. ROOM</v>
          </cell>
          <cell r="K91" t="str">
            <v>BMED</v>
          </cell>
          <cell r="L91" t="str">
            <v>Normal</v>
          </cell>
          <cell r="M91" t="str">
            <v>USA</v>
          </cell>
          <cell r="N91" t="str">
            <v>Welch Allyn</v>
          </cell>
          <cell r="O91" t="str">
            <v>Welch Allyn 97150-BIM</v>
          </cell>
          <cell r="P91" t="str">
            <v>GD0019-44</v>
          </cell>
          <cell r="Q91" t="str">
            <v>Not Applicable</v>
          </cell>
          <cell r="R91" t="str">
            <v>Welch Allyn Inc</v>
          </cell>
          <cell r="S91" t="str">
            <v>Welch Allyn Malaysia Sdn Bhd</v>
          </cell>
          <cell r="T91" t="str">
            <v>Functioning</v>
          </cell>
          <cell r="U91" t="str">
            <v>Asset</v>
          </cell>
          <cell r="V91">
            <v>4690</v>
          </cell>
          <cell r="W91" t="str">
            <v>KEW</v>
          </cell>
          <cell r="X91" t="str">
            <v>01/09/2010</v>
          </cell>
          <cell r="Y91" t="str">
            <v>KEW</v>
          </cell>
          <cell r="Z91" t="str">
            <v>16/08/2013</v>
          </cell>
          <cell r="AA91" t="str">
            <v>15/08/2015</v>
          </cell>
          <cell r="AB91" t="str">
            <v>No</v>
          </cell>
          <cell r="AC91" t="str">
            <v>31/08/2013</v>
          </cell>
          <cell r="AD91" t="str">
            <v>Good</v>
          </cell>
          <cell r="AE91" t="str">
            <v>V1 - Existing / No Claim</v>
          </cell>
          <cell r="AF91">
            <v>42235</v>
          </cell>
          <cell r="AG91">
            <v>9.17</v>
          </cell>
          <cell r="AH91" t="str">
            <v>RI</v>
          </cell>
          <cell r="AI91" t="str">
            <v>Not in contract</v>
          </cell>
          <cell r="AJ91" t="str">
            <v>Not under maintenance</v>
          </cell>
          <cell r="AK91" t="str">
            <v>Will be under V4. Taken out of contract as agreed by IKN</v>
          </cell>
        </row>
        <row r="92">
          <cell r="A92" t="str">
            <v>IKN400081</v>
          </cell>
          <cell r="B92">
            <v>81</v>
          </cell>
          <cell r="C92" t="str">
            <v>Institut Kanser Negara</v>
          </cell>
          <cell r="D92" t="str">
            <v>KKM/IKN/H/13/1624</v>
          </cell>
          <cell r="E92" t="str">
            <v>18-595</v>
          </cell>
          <cell r="F92" t="str">
            <v>Ophthalmoscopes/Otoscopes</v>
          </cell>
          <cell r="G92" t="str">
            <v>IC</v>
          </cell>
          <cell r="H92" t="str">
            <v>INTENSIVE CARE UNIT</v>
          </cell>
          <cell r="I92" t="str">
            <v>05IC106</v>
          </cell>
          <cell r="J92" t="str">
            <v>EQ. ROOM</v>
          </cell>
          <cell r="K92" t="str">
            <v>BMED</v>
          </cell>
          <cell r="L92" t="str">
            <v>Normal</v>
          </cell>
          <cell r="M92" t="str">
            <v>USA</v>
          </cell>
          <cell r="N92" t="str">
            <v>Welch Allyn</v>
          </cell>
          <cell r="O92" t="str">
            <v>Welch Allyn 97150-BIM</v>
          </cell>
          <cell r="P92" t="str">
            <v>GD0019-23</v>
          </cell>
          <cell r="Q92" t="str">
            <v>Not Applicable</v>
          </cell>
          <cell r="R92" t="str">
            <v>Welch Allyn Inc</v>
          </cell>
          <cell r="S92" t="str">
            <v>Welch Allyn Malaysia Sdn Bhd</v>
          </cell>
          <cell r="T92" t="str">
            <v>Functioning</v>
          </cell>
          <cell r="U92" t="str">
            <v>Asset</v>
          </cell>
          <cell r="V92">
            <v>4690</v>
          </cell>
          <cell r="W92" t="str">
            <v>KEW</v>
          </cell>
          <cell r="X92" t="str">
            <v>01/09/2010</v>
          </cell>
          <cell r="Y92" t="str">
            <v>KEW</v>
          </cell>
          <cell r="Z92" t="str">
            <v>16/08/2013</v>
          </cell>
          <cell r="AA92" t="str">
            <v>15/08/2015</v>
          </cell>
          <cell r="AB92" t="str">
            <v>No</v>
          </cell>
          <cell r="AC92" t="str">
            <v>31/08/2013</v>
          </cell>
          <cell r="AD92" t="str">
            <v>Good</v>
          </cell>
          <cell r="AE92" t="str">
            <v>V1 - Existing / No Claim</v>
          </cell>
          <cell r="AF92">
            <v>42235</v>
          </cell>
          <cell r="AG92">
            <v>9.17</v>
          </cell>
          <cell r="AH92" t="str">
            <v>RI</v>
          </cell>
          <cell r="AI92" t="str">
            <v>Strands</v>
          </cell>
          <cell r="AJ92" t="str">
            <v>Not under maintenance</v>
          </cell>
        </row>
        <row r="93">
          <cell r="A93" t="str">
            <v>IKN400166</v>
          </cell>
          <cell r="B93">
            <v>166</v>
          </cell>
          <cell r="C93" t="str">
            <v>Institut Kanser Negara</v>
          </cell>
          <cell r="D93" t="e">
            <v>#N/A</v>
          </cell>
          <cell r="E93" t="str">
            <v>18-595</v>
          </cell>
          <cell r="F93" t="str">
            <v>Ophthalmoscopes/Otoscopes</v>
          </cell>
          <cell r="G93" t="str">
            <v>IC</v>
          </cell>
          <cell r="H93" t="str">
            <v>INTENSIVE CARE UNIT</v>
          </cell>
          <cell r="I93" t="str">
            <v>05IC106</v>
          </cell>
          <cell r="J93" t="str">
            <v>EQ. ROOM</v>
          </cell>
          <cell r="K93" t="str">
            <v>BMED</v>
          </cell>
          <cell r="L93" t="str">
            <v>Normal</v>
          </cell>
          <cell r="M93" t="str">
            <v>USA</v>
          </cell>
          <cell r="N93" t="str">
            <v>Welch Allyn</v>
          </cell>
          <cell r="O93" t="str">
            <v>Welch Allyn 97150-BIM</v>
          </cell>
          <cell r="P93" t="str">
            <v>GD0019-31</v>
          </cell>
          <cell r="Q93" t="str">
            <v>Not Applicable</v>
          </cell>
          <cell r="R93" t="str">
            <v>Welch Allyn Inc</v>
          </cell>
          <cell r="S93" t="str">
            <v>Welch Allyn Malaysia Sdn Bhd</v>
          </cell>
          <cell r="T93" t="str">
            <v>Functioning</v>
          </cell>
          <cell r="U93" t="str">
            <v>Asset</v>
          </cell>
          <cell r="V93">
            <v>4690</v>
          </cell>
          <cell r="W93" t="str">
            <v>KEW</v>
          </cell>
          <cell r="X93" t="str">
            <v>01/09/2010</v>
          </cell>
          <cell r="Y93" t="str">
            <v>KEW</v>
          </cell>
          <cell r="Z93" t="str">
            <v>16/08/2013</v>
          </cell>
          <cell r="AA93" t="str">
            <v>15/08/2015</v>
          </cell>
          <cell r="AB93" t="str">
            <v>No</v>
          </cell>
          <cell r="AC93" t="str">
            <v>31/08/2013</v>
          </cell>
          <cell r="AD93" t="str">
            <v>Good</v>
          </cell>
          <cell r="AE93" t="str">
            <v>V1 - Existing / No Claim</v>
          </cell>
          <cell r="AF93">
            <v>42235</v>
          </cell>
          <cell r="AG93">
            <v>9.17</v>
          </cell>
          <cell r="AH93" t="str">
            <v>RI</v>
          </cell>
          <cell r="AI93" t="str">
            <v>Not in contract</v>
          </cell>
          <cell r="AJ93" t="str">
            <v>Not under maintenance</v>
          </cell>
          <cell r="AK93" t="str">
            <v>Will be under V4. Taken out of contract as agreed by IKN</v>
          </cell>
        </row>
        <row r="94">
          <cell r="A94" t="str">
            <v>IKN400207</v>
          </cell>
          <cell r="B94">
            <v>207</v>
          </cell>
          <cell r="C94" t="str">
            <v>Institut Kanser Negara</v>
          </cell>
          <cell r="D94" t="e">
            <v>#N/A</v>
          </cell>
          <cell r="E94" t="str">
            <v>16-158</v>
          </cell>
          <cell r="F94" t="str">
            <v>Sphygmomanometers, Mercury</v>
          </cell>
          <cell r="G94" t="str">
            <v>WJ</v>
          </cell>
          <cell r="H94" t="str">
            <v>MULTIDISCIPLINE WARD 1</v>
          </cell>
          <cell r="I94" t="str">
            <v>09WJ130</v>
          </cell>
          <cell r="J94" t="str">
            <v>TREATMENT/ PROCEDURE</v>
          </cell>
          <cell r="K94" t="str">
            <v>BMED</v>
          </cell>
          <cell r="L94" t="str">
            <v>Normal</v>
          </cell>
          <cell r="M94" t="str">
            <v>Germany</v>
          </cell>
          <cell r="N94" t="str">
            <v>Erka</v>
          </cell>
          <cell r="O94" t="str">
            <v>Erkameter 3000</v>
          </cell>
          <cell r="P94" t="str">
            <v>13500746</v>
          </cell>
          <cell r="Q94" t="str">
            <v>Not Applicable</v>
          </cell>
          <cell r="R94" t="str">
            <v>Erka GmbH &amp; Co</v>
          </cell>
          <cell r="S94" t="str">
            <v>Acucare Systems (M) Sdn bhd</v>
          </cell>
          <cell r="T94" t="str">
            <v>Functioning</v>
          </cell>
          <cell r="U94" t="str">
            <v>Asset</v>
          </cell>
          <cell r="V94">
            <v>505</v>
          </cell>
          <cell r="W94" t="str">
            <v>KEW</v>
          </cell>
          <cell r="X94" t="str">
            <v>01/09/2010</v>
          </cell>
          <cell r="Y94" t="str">
            <v>KEW</v>
          </cell>
          <cell r="Z94" t="str">
            <v>16/08/2013</v>
          </cell>
          <cell r="AA94" t="str">
            <v>15/08/2015</v>
          </cell>
          <cell r="AB94" t="str">
            <v>No</v>
          </cell>
          <cell r="AC94" t="str">
            <v>31/08/2013</v>
          </cell>
          <cell r="AD94" t="str">
            <v>Good</v>
          </cell>
          <cell r="AE94" t="str">
            <v>V4 - Decommissioned Installed Facility</v>
          </cell>
          <cell r="AF94">
            <v>42235</v>
          </cell>
          <cell r="AG94">
            <v>9.17</v>
          </cell>
          <cell r="AH94" t="str">
            <v>PPM</v>
          </cell>
          <cell r="AI94" t="str">
            <v>Not in contract</v>
          </cell>
          <cell r="AJ94" t="str">
            <v>Not under maintenance</v>
          </cell>
          <cell r="AK94" t="e">
            <v>#N/A</v>
          </cell>
        </row>
        <row r="95">
          <cell r="A95" t="str">
            <v>IKN400219</v>
          </cell>
          <cell r="B95">
            <v>219</v>
          </cell>
          <cell r="C95" t="str">
            <v>Institut Kanser Negara</v>
          </cell>
          <cell r="D95" t="e">
            <v>#N/A</v>
          </cell>
          <cell r="E95" t="str">
            <v>16-158</v>
          </cell>
          <cell r="F95" t="str">
            <v>Sphygmomanometers, Mercury</v>
          </cell>
          <cell r="G95" t="str">
            <v>WJ</v>
          </cell>
          <cell r="H95" t="str">
            <v>MULTIDISCIPLINE WARD 1</v>
          </cell>
          <cell r="I95" t="str">
            <v>09WJ222</v>
          </cell>
          <cell r="J95" t="str">
            <v>TREATMENT</v>
          </cell>
          <cell r="K95" t="str">
            <v>BMED</v>
          </cell>
          <cell r="L95" t="str">
            <v>Normal</v>
          </cell>
          <cell r="M95" t="str">
            <v>Germany</v>
          </cell>
          <cell r="N95" t="str">
            <v>Erka</v>
          </cell>
          <cell r="O95" t="str">
            <v>Erkameter 3000</v>
          </cell>
          <cell r="P95" t="str">
            <v>13500749</v>
          </cell>
          <cell r="Q95" t="str">
            <v>Not Applicable</v>
          </cell>
          <cell r="R95" t="str">
            <v>Erka GmbH &amp; Co</v>
          </cell>
          <cell r="S95" t="str">
            <v>Acucare Systems (M) Sdn bhd</v>
          </cell>
          <cell r="T95" t="str">
            <v>Functioning</v>
          </cell>
          <cell r="U95" t="str">
            <v>Asset</v>
          </cell>
          <cell r="V95">
            <v>505</v>
          </cell>
          <cell r="W95" t="str">
            <v>KEW</v>
          </cell>
          <cell r="X95" t="str">
            <v>01/09/2010</v>
          </cell>
          <cell r="Y95" t="str">
            <v>KEW</v>
          </cell>
          <cell r="Z95" t="str">
            <v>16/08/2013</v>
          </cell>
          <cell r="AA95" t="str">
            <v>15/08/2015</v>
          </cell>
          <cell r="AB95" t="str">
            <v>No</v>
          </cell>
          <cell r="AC95" t="str">
            <v>31/08/2013</v>
          </cell>
          <cell r="AD95" t="str">
            <v>Good</v>
          </cell>
          <cell r="AE95" t="str">
            <v>V4 - Decommissioned Installed Facility</v>
          </cell>
          <cell r="AF95">
            <v>42235</v>
          </cell>
          <cell r="AG95">
            <v>9.17</v>
          </cell>
          <cell r="AH95" t="str">
            <v>PPM</v>
          </cell>
          <cell r="AI95" t="str">
            <v>Not in contract</v>
          </cell>
          <cell r="AJ95" t="str">
            <v>Not under maintenance</v>
          </cell>
          <cell r="AK95" t="e">
            <v>#N/A</v>
          </cell>
        </row>
        <row r="96">
          <cell r="A96" t="str">
            <v>IKN400220</v>
          </cell>
          <cell r="B96">
            <v>220</v>
          </cell>
          <cell r="C96" t="str">
            <v>Institut Kanser Negara</v>
          </cell>
          <cell r="D96" t="e">
            <v>#N/A</v>
          </cell>
          <cell r="E96" t="str">
            <v>18-595</v>
          </cell>
          <cell r="F96" t="str">
            <v>Ophthalmoscopes/Otoscopes</v>
          </cell>
          <cell r="G96" t="str">
            <v>WJ</v>
          </cell>
          <cell r="H96" t="str">
            <v>MULTIDISCIPLINE WARD 1</v>
          </cell>
          <cell r="I96" t="str">
            <v>09WJ222</v>
          </cell>
          <cell r="J96" t="str">
            <v>TREATMENT</v>
          </cell>
          <cell r="K96" t="str">
            <v>BMED</v>
          </cell>
          <cell r="L96" t="str">
            <v>Normal</v>
          </cell>
          <cell r="M96" t="str">
            <v>USA</v>
          </cell>
          <cell r="N96" t="str">
            <v>Welch Allyn</v>
          </cell>
          <cell r="O96" t="str">
            <v>Welch Allyn 71904</v>
          </cell>
          <cell r="P96" t="str">
            <v>GD0019-19</v>
          </cell>
          <cell r="Q96" t="str">
            <v>Not Applicable</v>
          </cell>
          <cell r="R96" t="str">
            <v>Welch Allyn Inc</v>
          </cell>
          <cell r="S96" t="str">
            <v>Welch Allyn Malaysia Sdn Bhd</v>
          </cell>
          <cell r="T96" t="str">
            <v>Functioning</v>
          </cell>
          <cell r="U96" t="str">
            <v>Asset</v>
          </cell>
          <cell r="V96">
            <v>4690</v>
          </cell>
          <cell r="W96" t="str">
            <v>KEW</v>
          </cell>
          <cell r="X96" t="str">
            <v>01/09/2010</v>
          </cell>
          <cell r="Y96" t="str">
            <v>KEW</v>
          </cell>
          <cell r="Z96" t="str">
            <v>16/08/2013</v>
          </cell>
          <cell r="AA96" t="str">
            <v>15/08/2015</v>
          </cell>
          <cell r="AB96" t="str">
            <v>No</v>
          </cell>
          <cell r="AC96" t="str">
            <v>31/08/2013</v>
          </cell>
          <cell r="AD96" t="str">
            <v>Good</v>
          </cell>
          <cell r="AE96" t="str">
            <v>V1 - Existing / No Claim</v>
          </cell>
          <cell r="AF96">
            <v>42944</v>
          </cell>
          <cell r="AG96">
            <v>9.17</v>
          </cell>
          <cell r="AH96" t="str">
            <v>RI</v>
          </cell>
          <cell r="AI96" t="str">
            <v>Not in contract</v>
          </cell>
          <cell r="AJ96" t="str">
            <v>Not under maintenance</v>
          </cell>
          <cell r="AK96" t="str">
            <v>Will be under V4. Taken out of contract as agreed by IKN</v>
          </cell>
        </row>
        <row r="97">
          <cell r="A97" t="str">
            <v>IKN400272</v>
          </cell>
          <cell r="B97">
            <v>272</v>
          </cell>
          <cell r="C97" t="str">
            <v>Institut Kanser Negara</v>
          </cell>
          <cell r="D97" t="str">
            <v>KKM/IKN/H/13/2561</v>
          </cell>
          <cell r="E97" t="str">
            <v>18-595</v>
          </cell>
          <cell r="F97" t="str">
            <v>Ophthalmoscopes/Otoscopes</v>
          </cell>
          <cell r="G97" t="str">
            <v>WG</v>
          </cell>
          <cell r="H97" t="str">
            <v>RT/ONCO WARD 1 (M)</v>
          </cell>
          <cell r="I97" t="str">
            <v>08WG107</v>
          </cell>
          <cell r="J97" t="str">
            <v>TREATMENT / PROCEDURE</v>
          </cell>
          <cell r="K97" t="str">
            <v>BMED</v>
          </cell>
          <cell r="L97" t="str">
            <v>Normal</v>
          </cell>
          <cell r="M97" t="str">
            <v>USA</v>
          </cell>
          <cell r="N97" t="str">
            <v>Welch Allyn</v>
          </cell>
          <cell r="O97" t="str">
            <v>Welch Allyn 71904</v>
          </cell>
          <cell r="P97" t="str">
            <v>GD0019-17</v>
          </cell>
          <cell r="Q97" t="str">
            <v>Not Applicable</v>
          </cell>
          <cell r="R97" t="str">
            <v>Welch Allyn Inc</v>
          </cell>
          <cell r="S97" t="str">
            <v>Welch Allyn Malaysia Sdn Bhd</v>
          </cell>
          <cell r="T97" t="str">
            <v>Functioning</v>
          </cell>
          <cell r="U97" t="str">
            <v>Asset</v>
          </cell>
          <cell r="V97">
            <v>4690</v>
          </cell>
          <cell r="W97" t="str">
            <v>KEW</v>
          </cell>
          <cell r="X97" t="str">
            <v>01/09/2010</v>
          </cell>
          <cell r="Y97" t="str">
            <v>KEW</v>
          </cell>
          <cell r="Z97" t="str">
            <v>16/08/2013</v>
          </cell>
          <cell r="AA97" t="str">
            <v>15/08/2015</v>
          </cell>
          <cell r="AB97" t="str">
            <v>No</v>
          </cell>
          <cell r="AC97" t="str">
            <v>31/08/2013</v>
          </cell>
          <cell r="AD97" t="str">
            <v>Good</v>
          </cell>
          <cell r="AE97" t="str">
            <v>V1 - Existing / No Claim</v>
          </cell>
          <cell r="AF97">
            <v>42235</v>
          </cell>
          <cell r="AG97">
            <v>9.17</v>
          </cell>
          <cell r="AH97" t="str">
            <v>RI</v>
          </cell>
          <cell r="AI97" t="str">
            <v>Strands</v>
          </cell>
          <cell r="AJ97" t="str">
            <v>Not under maintenance</v>
          </cell>
        </row>
        <row r="98">
          <cell r="A98" t="str">
            <v>IKN400273</v>
          </cell>
          <cell r="B98">
            <v>273</v>
          </cell>
          <cell r="C98" t="str">
            <v>Institut Kanser Negara</v>
          </cell>
          <cell r="D98" t="e">
            <v>#N/A</v>
          </cell>
          <cell r="E98" t="str">
            <v>16-158</v>
          </cell>
          <cell r="F98" t="str">
            <v>Sphygmomanometers, Mercury</v>
          </cell>
          <cell r="G98" t="str">
            <v>WJ</v>
          </cell>
          <cell r="H98" t="str">
            <v>MULTIDISCIPLINE WARD 1</v>
          </cell>
          <cell r="I98" t="str">
            <v>09WJ126</v>
          </cell>
          <cell r="J98" t="str">
            <v>EQUIPT. ROOM</v>
          </cell>
          <cell r="K98" t="str">
            <v>BMED</v>
          </cell>
          <cell r="L98" t="str">
            <v>Normal</v>
          </cell>
          <cell r="M98" t="str">
            <v>Germany</v>
          </cell>
          <cell r="N98" t="str">
            <v>Erka</v>
          </cell>
          <cell r="O98" t="str">
            <v>Erkameter 3000</v>
          </cell>
          <cell r="P98" t="str">
            <v>12508913</v>
          </cell>
          <cell r="Q98" t="str">
            <v>Not Applicable</v>
          </cell>
          <cell r="R98" t="str">
            <v>Erka GmbH &amp; Co</v>
          </cell>
          <cell r="S98" t="str">
            <v>Acucare Systems (M) Sdn bhd</v>
          </cell>
          <cell r="T98" t="str">
            <v>Functioning</v>
          </cell>
          <cell r="U98" t="str">
            <v>Asset</v>
          </cell>
          <cell r="V98">
            <v>505</v>
          </cell>
          <cell r="W98" t="str">
            <v>KEW</v>
          </cell>
          <cell r="X98" t="str">
            <v>01/09/2010</v>
          </cell>
          <cell r="Y98" t="str">
            <v>KEW</v>
          </cell>
          <cell r="Z98" t="str">
            <v>16/08/2013</v>
          </cell>
          <cell r="AA98" t="str">
            <v>15/08/2015</v>
          </cell>
          <cell r="AB98" t="str">
            <v>No</v>
          </cell>
          <cell r="AC98" t="str">
            <v>31/08/2013</v>
          </cell>
          <cell r="AD98" t="str">
            <v>Good</v>
          </cell>
          <cell r="AE98" t="str">
            <v>V4 - Decommissioned Installed Facility</v>
          </cell>
          <cell r="AF98">
            <v>42235</v>
          </cell>
          <cell r="AG98">
            <v>9.17</v>
          </cell>
          <cell r="AH98" t="str">
            <v>PPM</v>
          </cell>
          <cell r="AI98" t="str">
            <v>Not in contract</v>
          </cell>
          <cell r="AJ98" t="str">
            <v>Not under maintenance</v>
          </cell>
          <cell r="AK98" t="e">
            <v>#N/A</v>
          </cell>
        </row>
        <row r="99">
          <cell r="A99" t="str">
            <v>IKN400274</v>
          </cell>
          <cell r="B99">
            <v>274</v>
          </cell>
          <cell r="C99" t="str">
            <v>Institut Kanser Negara</v>
          </cell>
          <cell r="D99" t="e">
            <v>#N/A</v>
          </cell>
          <cell r="E99" t="str">
            <v>16-158</v>
          </cell>
          <cell r="F99" t="str">
            <v>Sphygmomanometers, Mercury</v>
          </cell>
          <cell r="G99" t="str">
            <v>WJ</v>
          </cell>
          <cell r="H99" t="str">
            <v>MULTIDISCIPLINE WARD 1</v>
          </cell>
          <cell r="I99" t="str">
            <v>09WJ126</v>
          </cell>
          <cell r="J99" t="str">
            <v>EQUIPT. ROOM</v>
          </cell>
          <cell r="K99" t="str">
            <v>BMED</v>
          </cell>
          <cell r="L99" t="str">
            <v>Normal</v>
          </cell>
          <cell r="M99" t="str">
            <v>Germany</v>
          </cell>
          <cell r="N99" t="str">
            <v>Erka</v>
          </cell>
          <cell r="O99" t="str">
            <v>Erkameter 3000</v>
          </cell>
          <cell r="P99" t="str">
            <v>12508925</v>
          </cell>
          <cell r="Q99" t="str">
            <v>Not Applicable</v>
          </cell>
          <cell r="R99" t="str">
            <v>Erka GmbH &amp; Co</v>
          </cell>
          <cell r="S99" t="str">
            <v>Acucare Systems (M) Sdn bhd</v>
          </cell>
          <cell r="T99" t="str">
            <v>Functioning</v>
          </cell>
          <cell r="U99" t="str">
            <v>Asset</v>
          </cell>
          <cell r="V99">
            <v>505</v>
          </cell>
          <cell r="W99" t="str">
            <v>KEW</v>
          </cell>
          <cell r="X99" t="str">
            <v>01/09/2010</v>
          </cell>
          <cell r="Y99" t="str">
            <v>KEW</v>
          </cell>
          <cell r="Z99" t="str">
            <v>16/08/2013</v>
          </cell>
          <cell r="AA99" t="str">
            <v>15/08/2015</v>
          </cell>
          <cell r="AB99" t="str">
            <v>No</v>
          </cell>
          <cell r="AC99" t="str">
            <v>31/08/2013</v>
          </cell>
          <cell r="AD99" t="str">
            <v>Good</v>
          </cell>
          <cell r="AE99" t="str">
            <v>V4 - Decommissioned Installed Facility</v>
          </cell>
          <cell r="AF99">
            <v>42235</v>
          </cell>
          <cell r="AG99">
            <v>9.17</v>
          </cell>
          <cell r="AH99" t="str">
            <v>PPM</v>
          </cell>
          <cell r="AI99" t="str">
            <v>Not in contract</v>
          </cell>
          <cell r="AJ99" t="str">
            <v>Not under maintenance</v>
          </cell>
          <cell r="AK99" t="e">
            <v>#N/A</v>
          </cell>
        </row>
        <row r="100">
          <cell r="A100" t="str">
            <v>IKN400275</v>
          </cell>
          <cell r="B100">
            <v>275</v>
          </cell>
          <cell r="C100" t="str">
            <v>Institut Kanser Negara</v>
          </cell>
          <cell r="D100" t="str">
            <v>KKM/IKN/H/13/3167</v>
          </cell>
          <cell r="E100" t="str">
            <v>18-595</v>
          </cell>
          <cell r="F100" t="str">
            <v>Ophthalmoscopes/Otoscopes</v>
          </cell>
          <cell r="G100" t="str">
            <v>WH</v>
          </cell>
          <cell r="H100" t="str">
            <v>RT/ONCO WARD 2 (M)</v>
          </cell>
          <cell r="I100" t="str">
            <v>08WH107</v>
          </cell>
          <cell r="J100" t="str">
            <v>TREATMENT / PROCEDURE</v>
          </cell>
          <cell r="K100" t="str">
            <v>BMED</v>
          </cell>
          <cell r="L100" t="str">
            <v>Normal</v>
          </cell>
          <cell r="M100" t="str">
            <v>USA</v>
          </cell>
          <cell r="N100" t="str">
            <v>Welch Allyn</v>
          </cell>
          <cell r="O100" t="str">
            <v>Welch Allyn 71904</v>
          </cell>
          <cell r="P100" t="str">
            <v>GD0019-18</v>
          </cell>
          <cell r="Q100" t="str">
            <v>Not Applicable</v>
          </cell>
          <cell r="R100" t="str">
            <v>Welch Allyn Inc</v>
          </cell>
          <cell r="S100" t="str">
            <v>Welch Allyn Malaysia Sdn Bhd</v>
          </cell>
          <cell r="T100" t="str">
            <v>Functioning</v>
          </cell>
          <cell r="U100" t="str">
            <v>Asset</v>
          </cell>
          <cell r="V100">
            <v>4690</v>
          </cell>
          <cell r="W100" t="str">
            <v>KEW</v>
          </cell>
          <cell r="X100" t="str">
            <v>01/09/2010</v>
          </cell>
          <cell r="Y100" t="str">
            <v>KEW</v>
          </cell>
          <cell r="Z100" t="str">
            <v>16/08/2013</v>
          </cell>
          <cell r="AA100" t="str">
            <v>15/08/2015</v>
          </cell>
          <cell r="AB100" t="str">
            <v>No</v>
          </cell>
          <cell r="AC100" t="str">
            <v>31/08/2013</v>
          </cell>
          <cell r="AD100" t="str">
            <v>Good</v>
          </cell>
          <cell r="AE100" t="str">
            <v>V1 - Existing / No Claim</v>
          </cell>
          <cell r="AF100">
            <v>43033</v>
          </cell>
          <cell r="AG100">
            <v>9.17</v>
          </cell>
          <cell r="AH100" t="str">
            <v>RI</v>
          </cell>
          <cell r="AI100" t="str">
            <v>Strands</v>
          </cell>
          <cell r="AJ100" t="str">
            <v>Not under maintenance</v>
          </cell>
        </row>
        <row r="101">
          <cell r="A101" t="str">
            <v>IKN400314</v>
          </cell>
          <cell r="B101">
            <v>314</v>
          </cell>
          <cell r="C101" t="str">
            <v>Institut Kanser Negara</v>
          </cell>
          <cell r="D101" t="str">
            <v>KKM/IKN/H/13/2460</v>
          </cell>
          <cell r="E101" t="str">
            <v>18-595</v>
          </cell>
          <cell r="F101" t="str">
            <v>Ophthalmoscopes/Otoscopes</v>
          </cell>
          <cell r="G101" t="str">
            <v>WF</v>
          </cell>
          <cell r="H101" t="str">
            <v>RT/ONCO WARD 2 (F)</v>
          </cell>
          <cell r="I101" t="str">
            <v>07WF107</v>
          </cell>
          <cell r="J101" t="str">
            <v>TREATMENT / PROCEDDURE</v>
          </cell>
          <cell r="K101" t="str">
            <v>BMED</v>
          </cell>
          <cell r="L101" t="str">
            <v>Normal</v>
          </cell>
          <cell r="M101" t="str">
            <v>USA</v>
          </cell>
          <cell r="N101" t="str">
            <v>Welch Allyn</v>
          </cell>
          <cell r="O101" t="str">
            <v>Welch Allyn 71904</v>
          </cell>
          <cell r="P101" t="str">
            <v>GD0019-16</v>
          </cell>
          <cell r="Q101" t="str">
            <v>Not Applicable</v>
          </cell>
          <cell r="R101" t="str">
            <v>Welch Allyn Inc</v>
          </cell>
          <cell r="S101" t="str">
            <v>Welch Allyn Malaysia Sdn Bhd</v>
          </cell>
          <cell r="T101" t="str">
            <v>Functioning</v>
          </cell>
          <cell r="U101" t="str">
            <v>Asset</v>
          </cell>
          <cell r="V101">
            <v>4690</v>
          </cell>
          <cell r="W101" t="str">
            <v>KEW</v>
          </cell>
          <cell r="X101" t="str">
            <v>01/09/2010</v>
          </cell>
          <cell r="Y101" t="str">
            <v>KEW</v>
          </cell>
          <cell r="Z101" t="str">
            <v>16/08/2013</v>
          </cell>
          <cell r="AA101" t="str">
            <v>15/08/2015</v>
          </cell>
          <cell r="AB101" t="str">
            <v>No</v>
          </cell>
          <cell r="AC101" t="str">
            <v>31/08/2013</v>
          </cell>
          <cell r="AD101" t="str">
            <v>Good</v>
          </cell>
          <cell r="AE101" t="str">
            <v>V1 - Existing / No Claim</v>
          </cell>
          <cell r="AF101">
            <v>42235</v>
          </cell>
          <cell r="AG101">
            <v>9.17</v>
          </cell>
          <cell r="AH101" t="str">
            <v>RI</v>
          </cell>
          <cell r="AI101" t="str">
            <v>Strands</v>
          </cell>
          <cell r="AJ101" t="str">
            <v>Not under maintenance</v>
          </cell>
        </row>
        <row r="102">
          <cell r="A102" t="str">
            <v>IKN400317</v>
          </cell>
          <cell r="B102">
            <v>317</v>
          </cell>
          <cell r="C102" t="str">
            <v>Institut Kanser Negara</v>
          </cell>
          <cell r="D102" t="str">
            <v>KKM/IKN/H/13/3177</v>
          </cell>
          <cell r="E102" t="str">
            <v>18-595</v>
          </cell>
          <cell r="F102" t="str">
            <v>Ophthalmoscopes/Otoscopes</v>
          </cell>
          <cell r="G102" t="str">
            <v>WF</v>
          </cell>
          <cell r="H102" t="str">
            <v>RT/ONCO WARD 2 (F)</v>
          </cell>
          <cell r="I102" t="str">
            <v>07WF107</v>
          </cell>
          <cell r="J102" t="str">
            <v>TREATMENT / PROCEDDURE</v>
          </cell>
          <cell r="K102" t="str">
            <v>BMED</v>
          </cell>
          <cell r="L102" t="str">
            <v>Normal</v>
          </cell>
          <cell r="M102" t="str">
            <v>USA</v>
          </cell>
          <cell r="N102" t="str">
            <v>Welch Allyn</v>
          </cell>
          <cell r="O102" t="str">
            <v>Welch Allyn 97150-BIM</v>
          </cell>
          <cell r="P102" t="str">
            <v>GD0019-40</v>
          </cell>
          <cell r="Q102" t="str">
            <v>Not Applicable</v>
          </cell>
          <cell r="R102" t="str">
            <v>Welch Allyn Inc</v>
          </cell>
          <cell r="S102" t="str">
            <v>Welch Allyn Malaysia Sdn Bhd</v>
          </cell>
          <cell r="T102" t="str">
            <v>Functioning</v>
          </cell>
          <cell r="U102" t="str">
            <v>Asset</v>
          </cell>
          <cell r="V102">
            <v>4690</v>
          </cell>
          <cell r="W102" t="str">
            <v>KEW</v>
          </cell>
          <cell r="X102" t="str">
            <v>01/09/2010</v>
          </cell>
          <cell r="Y102" t="str">
            <v>KEW</v>
          </cell>
          <cell r="Z102" t="str">
            <v>16/08/2013</v>
          </cell>
          <cell r="AA102" t="str">
            <v>15/08/2015</v>
          </cell>
          <cell r="AB102" t="str">
            <v>No</v>
          </cell>
          <cell r="AC102" t="str">
            <v>31/08/2013</v>
          </cell>
          <cell r="AD102" t="str">
            <v>Good</v>
          </cell>
          <cell r="AE102" t="str">
            <v>V1 - Existing / No Claim</v>
          </cell>
          <cell r="AF102">
            <v>42235</v>
          </cell>
          <cell r="AG102">
            <v>9.17</v>
          </cell>
          <cell r="AH102" t="str">
            <v>RI</v>
          </cell>
          <cell r="AI102" t="str">
            <v>Strands</v>
          </cell>
          <cell r="AJ102" t="str">
            <v>Not under maintenance</v>
          </cell>
        </row>
        <row r="103">
          <cell r="A103" t="str">
            <v>IKN400318</v>
          </cell>
          <cell r="B103">
            <v>318</v>
          </cell>
          <cell r="C103" t="str">
            <v>Institut Kanser Negara</v>
          </cell>
          <cell r="D103" t="e">
            <v>#N/A</v>
          </cell>
          <cell r="E103" t="str">
            <v>16-158</v>
          </cell>
          <cell r="F103" t="str">
            <v>Sphygmomanometers, Mercury</v>
          </cell>
          <cell r="G103" t="str">
            <v>WF</v>
          </cell>
          <cell r="H103" t="str">
            <v>RT/ONCO WARD 2 (F)</v>
          </cell>
          <cell r="I103" t="str">
            <v>07WF107</v>
          </cell>
          <cell r="J103" t="str">
            <v>TREATMENT / PROCEDDURE</v>
          </cell>
          <cell r="K103" t="str">
            <v>BMED</v>
          </cell>
          <cell r="L103" t="str">
            <v>Normal</v>
          </cell>
          <cell r="M103" t="str">
            <v>Germany</v>
          </cell>
          <cell r="N103" t="str">
            <v>Erka</v>
          </cell>
          <cell r="O103" t="str">
            <v>Erkameter 3000</v>
          </cell>
          <cell r="P103" t="str">
            <v>13500747</v>
          </cell>
          <cell r="Q103" t="str">
            <v>Not Applicable</v>
          </cell>
          <cell r="R103" t="str">
            <v>Erka GmbH &amp; Co</v>
          </cell>
          <cell r="S103" t="str">
            <v>Acucare Systems (M) Sdn bhd</v>
          </cell>
          <cell r="T103" t="str">
            <v>Functioning</v>
          </cell>
          <cell r="U103" t="str">
            <v>Asset</v>
          </cell>
          <cell r="V103">
            <v>505</v>
          </cell>
          <cell r="W103" t="str">
            <v>KEW</v>
          </cell>
          <cell r="X103" t="str">
            <v>01/09/2010</v>
          </cell>
          <cell r="Y103" t="str">
            <v>KEW</v>
          </cell>
          <cell r="Z103" t="str">
            <v>16/08/2013</v>
          </cell>
          <cell r="AA103" t="str">
            <v>15/08/2015</v>
          </cell>
          <cell r="AB103" t="str">
            <v>No</v>
          </cell>
          <cell r="AC103" t="str">
            <v>31/08/2013</v>
          </cell>
          <cell r="AD103" t="str">
            <v>Good</v>
          </cell>
          <cell r="AE103" t="str">
            <v>V4 - Decommissioned Installed Facility</v>
          </cell>
          <cell r="AF103">
            <v>42235</v>
          </cell>
          <cell r="AG103">
            <v>9.17</v>
          </cell>
          <cell r="AH103" t="str">
            <v>PPM</v>
          </cell>
          <cell r="AI103" t="str">
            <v>Not in contract</v>
          </cell>
          <cell r="AJ103" t="str">
            <v>Not under maintenance</v>
          </cell>
          <cell r="AK103" t="e">
            <v>#N/A</v>
          </cell>
        </row>
        <row r="104">
          <cell r="A104" t="str">
            <v>IKN400351</v>
          </cell>
          <cell r="B104">
            <v>351</v>
          </cell>
          <cell r="C104" t="str">
            <v>Institut Kanser Negara</v>
          </cell>
          <cell r="D104" t="e">
            <v>#N/A</v>
          </cell>
          <cell r="E104" t="str">
            <v>18-595</v>
          </cell>
          <cell r="F104" t="str">
            <v>Ophthalmoscopes/Otoscopes</v>
          </cell>
          <cell r="G104" t="str">
            <v>WF</v>
          </cell>
          <cell r="H104" t="str">
            <v>RT/ONCO WARD 2 (F)</v>
          </cell>
          <cell r="I104" t="str">
            <v>07WF143</v>
          </cell>
          <cell r="J104" t="str">
            <v>NURSE STATION</v>
          </cell>
          <cell r="K104" t="str">
            <v>BMED</v>
          </cell>
          <cell r="L104" t="str">
            <v>Normal</v>
          </cell>
          <cell r="M104" t="str">
            <v>USA</v>
          </cell>
          <cell r="N104" t="str">
            <v>Welch Allyn</v>
          </cell>
          <cell r="O104" t="str">
            <v>Welch Allyn 97150-BIM</v>
          </cell>
          <cell r="P104" t="str">
            <v>GD0019-41</v>
          </cell>
          <cell r="Q104" t="str">
            <v>Not Applicable</v>
          </cell>
          <cell r="R104" t="str">
            <v>Welch Allyn Inc</v>
          </cell>
          <cell r="S104" t="str">
            <v>Welch Allyn Malaysia Sdn Bhd</v>
          </cell>
          <cell r="T104" t="str">
            <v>Functioning</v>
          </cell>
          <cell r="U104" t="str">
            <v>Asset</v>
          </cell>
          <cell r="V104">
            <v>4690</v>
          </cell>
          <cell r="W104" t="str">
            <v>KEW</v>
          </cell>
          <cell r="X104" t="str">
            <v>01/09/2010</v>
          </cell>
          <cell r="Y104" t="str">
            <v>KEW</v>
          </cell>
          <cell r="Z104" t="str">
            <v>16/08/2013</v>
          </cell>
          <cell r="AA104" t="str">
            <v>15/08/2015</v>
          </cell>
          <cell r="AB104" t="str">
            <v>No</v>
          </cell>
          <cell r="AC104" t="str">
            <v>31/08/2013</v>
          </cell>
          <cell r="AD104" t="str">
            <v>Good</v>
          </cell>
          <cell r="AE104" t="str">
            <v>V1 - Existing / No Claim</v>
          </cell>
          <cell r="AF104">
            <v>42235</v>
          </cell>
          <cell r="AG104">
            <v>9.17</v>
          </cell>
          <cell r="AH104" t="str">
            <v>RI</v>
          </cell>
          <cell r="AI104" t="str">
            <v>Not in contract</v>
          </cell>
          <cell r="AJ104" t="str">
            <v>Not under maintenance</v>
          </cell>
          <cell r="AK104" t="str">
            <v>Will be under V4. Taken out of contract as agreed by IKN</v>
          </cell>
        </row>
        <row r="105">
          <cell r="A105" t="str">
            <v>IKN400354</v>
          </cell>
          <cell r="B105">
            <v>354</v>
          </cell>
          <cell r="C105" t="str">
            <v>Institut Kanser Negara</v>
          </cell>
          <cell r="D105" t="str">
            <v>KKM/IKN/H/13/2240</v>
          </cell>
          <cell r="E105" t="str">
            <v>18-595</v>
          </cell>
          <cell r="F105" t="str">
            <v>Ophthalmoscopes/Otoscopes</v>
          </cell>
          <cell r="G105" t="str">
            <v>WE</v>
          </cell>
          <cell r="H105" t="str">
            <v>RT/ONCO WARD 1 (F)</v>
          </cell>
          <cell r="I105" t="str">
            <v>07WE107</v>
          </cell>
          <cell r="J105" t="str">
            <v>TREATMENT / PROCESURE</v>
          </cell>
          <cell r="K105" t="str">
            <v>BMED</v>
          </cell>
          <cell r="L105" t="str">
            <v>Normal</v>
          </cell>
          <cell r="M105" t="str">
            <v>USA</v>
          </cell>
          <cell r="N105" t="str">
            <v>Welch Allyn</v>
          </cell>
          <cell r="O105" t="str">
            <v>Welch Allyn 71904</v>
          </cell>
          <cell r="P105" t="str">
            <v>GD0019-5</v>
          </cell>
          <cell r="Q105" t="str">
            <v>Not Applicable</v>
          </cell>
          <cell r="R105" t="str">
            <v>Welch Allyn Inc</v>
          </cell>
          <cell r="S105" t="str">
            <v>Welch Allyn Malaysia Sdn Bhd</v>
          </cell>
          <cell r="T105" t="str">
            <v>Functioning</v>
          </cell>
          <cell r="U105" t="str">
            <v>Asset</v>
          </cell>
          <cell r="V105">
            <v>4690</v>
          </cell>
          <cell r="W105" t="str">
            <v>KEW</v>
          </cell>
          <cell r="X105" t="str">
            <v>01/09/2010</v>
          </cell>
          <cell r="Y105" t="str">
            <v>KEW</v>
          </cell>
          <cell r="Z105" t="str">
            <v>16/08/2013</v>
          </cell>
          <cell r="AA105" t="str">
            <v>15/08/2015</v>
          </cell>
          <cell r="AB105" t="str">
            <v>No</v>
          </cell>
          <cell r="AC105" t="str">
            <v>31/08/2013</v>
          </cell>
          <cell r="AD105" t="str">
            <v>Good</v>
          </cell>
          <cell r="AE105" t="str">
            <v>V1 - Existing / No Claim</v>
          </cell>
          <cell r="AF105">
            <v>42235</v>
          </cell>
          <cell r="AG105">
            <v>9.17</v>
          </cell>
          <cell r="AH105" t="str">
            <v>RI</v>
          </cell>
          <cell r="AI105" t="str">
            <v>Strands</v>
          </cell>
          <cell r="AJ105" t="str">
            <v>Not under maintenance</v>
          </cell>
        </row>
        <row r="106">
          <cell r="A106" t="str">
            <v>IKN400388</v>
          </cell>
          <cell r="B106">
            <v>388</v>
          </cell>
          <cell r="C106" t="str">
            <v>Institut Kanser Negara</v>
          </cell>
          <cell r="D106" t="e">
            <v>#N/A</v>
          </cell>
          <cell r="E106" t="str">
            <v>16-158</v>
          </cell>
          <cell r="F106" t="str">
            <v>Sphygmomanometers, Mercury</v>
          </cell>
          <cell r="G106" t="str">
            <v>WE</v>
          </cell>
          <cell r="H106" t="str">
            <v>RT/ONCO WARD 1 (F)</v>
          </cell>
          <cell r="I106" t="str">
            <v>07WE143</v>
          </cell>
          <cell r="J106" t="str">
            <v>NURSE STATION</v>
          </cell>
          <cell r="K106" t="str">
            <v>BMED</v>
          </cell>
          <cell r="L106" t="str">
            <v>Normal</v>
          </cell>
          <cell r="M106" t="str">
            <v>Germany</v>
          </cell>
          <cell r="N106" t="str">
            <v>Erka</v>
          </cell>
          <cell r="O106" t="str">
            <v>Erkameter 3000</v>
          </cell>
          <cell r="P106" t="str">
            <v>13500763</v>
          </cell>
          <cell r="Q106" t="str">
            <v>Not Applicable</v>
          </cell>
          <cell r="R106" t="str">
            <v>Erka GmbH &amp; Co</v>
          </cell>
          <cell r="S106" t="str">
            <v>Acucare Systems (M) Sdn bhd</v>
          </cell>
          <cell r="T106" t="str">
            <v>Functioning</v>
          </cell>
          <cell r="U106" t="str">
            <v>Asset</v>
          </cell>
          <cell r="V106">
            <v>505</v>
          </cell>
          <cell r="W106" t="str">
            <v>KEW</v>
          </cell>
          <cell r="X106" t="str">
            <v>01/09/2010</v>
          </cell>
          <cell r="Y106" t="str">
            <v>KEW</v>
          </cell>
          <cell r="Z106" t="str">
            <v>16/08/2013</v>
          </cell>
          <cell r="AA106" t="str">
            <v>15/08/2015</v>
          </cell>
          <cell r="AB106" t="str">
            <v>No</v>
          </cell>
          <cell r="AC106" t="str">
            <v>31/08/2013</v>
          </cell>
          <cell r="AD106" t="str">
            <v>Good</v>
          </cell>
          <cell r="AE106" t="str">
            <v>V4 - Decommissioned Installed Facility</v>
          </cell>
          <cell r="AF106">
            <v>42235</v>
          </cell>
          <cell r="AG106">
            <v>9.17</v>
          </cell>
          <cell r="AH106" t="str">
            <v>PPM</v>
          </cell>
          <cell r="AI106" t="str">
            <v>Not in contract</v>
          </cell>
          <cell r="AJ106" t="str">
            <v>Not under maintenance</v>
          </cell>
          <cell r="AK106" t="e">
            <v>#N/A</v>
          </cell>
        </row>
        <row r="107">
          <cell r="A107" t="str">
            <v>IKN400391</v>
          </cell>
          <cell r="B107">
            <v>391</v>
          </cell>
          <cell r="C107" t="str">
            <v>Institut Kanser Negara</v>
          </cell>
          <cell r="D107" t="str">
            <v>KKM/IKN/H/13/2326</v>
          </cell>
          <cell r="E107" t="str">
            <v>18-595</v>
          </cell>
          <cell r="F107" t="str">
            <v>Ophthalmoscopes/Otoscopes</v>
          </cell>
          <cell r="G107" t="str">
            <v>WE</v>
          </cell>
          <cell r="H107" t="str">
            <v>RT/ONCO WARD 1 (F)</v>
          </cell>
          <cell r="I107" t="str">
            <v>07WE143</v>
          </cell>
          <cell r="J107" t="str">
            <v>NURSE STATION</v>
          </cell>
          <cell r="K107" t="str">
            <v>BMED</v>
          </cell>
          <cell r="L107" t="str">
            <v>Normal</v>
          </cell>
          <cell r="M107" t="str">
            <v>USA</v>
          </cell>
          <cell r="N107" t="str">
            <v>Welch Allyn</v>
          </cell>
          <cell r="O107" t="str">
            <v>Welch Allyn 97150-BIM</v>
          </cell>
          <cell r="P107" t="str">
            <v>GD0019-38</v>
          </cell>
          <cell r="Q107" t="str">
            <v>Not Applicable</v>
          </cell>
          <cell r="R107" t="str">
            <v>Welch Allyn Inc</v>
          </cell>
          <cell r="S107" t="str">
            <v>Welch Allyn Malaysia Sdn Bhd</v>
          </cell>
          <cell r="T107" t="str">
            <v>Functioning</v>
          </cell>
          <cell r="U107" t="str">
            <v>Asset</v>
          </cell>
          <cell r="V107">
            <v>4690</v>
          </cell>
          <cell r="W107" t="str">
            <v>KEW</v>
          </cell>
          <cell r="X107" t="str">
            <v>01/09/2010</v>
          </cell>
          <cell r="Y107" t="str">
            <v>KEW</v>
          </cell>
          <cell r="Z107" t="str">
            <v>16/08/2013</v>
          </cell>
          <cell r="AA107" t="str">
            <v>15/08/2015</v>
          </cell>
          <cell r="AB107" t="str">
            <v>No</v>
          </cell>
          <cell r="AC107" t="str">
            <v>31/08/2013</v>
          </cell>
          <cell r="AD107" t="str">
            <v>Good</v>
          </cell>
          <cell r="AE107" t="str">
            <v>V1 - Existing / No Claim</v>
          </cell>
          <cell r="AF107">
            <v>42235</v>
          </cell>
          <cell r="AG107">
            <v>9.17</v>
          </cell>
          <cell r="AH107" t="str">
            <v>RI</v>
          </cell>
          <cell r="AI107" t="str">
            <v>Strands</v>
          </cell>
          <cell r="AJ107" t="str">
            <v>Not under maintenance</v>
          </cell>
        </row>
        <row r="108">
          <cell r="A108" t="str">
            <v>IKN400396</v>
          </cell>
          <cell r="B108">
            <v>396</v>
          </cell>
          <cell r="C108" t="str">
            <v>Institut Kanser Negara</v>
          </cell>
          <cell r="D108" t="str">
            <v>KKM/IKN/H/13/1467</v>
          </cell>
          <cell r="E108" t="str">
            <v>18-595</v>
          </cell>
          <cell r="F108" t="str">
            <v>Ophthalmoscopes/Otoscopes</v>
          </cell>
          <cell r="G108" t="str">
            <v>WD</v>
          </cell>
          <cell r="H108" t="str">
            <v>RT/ONCO PAED/ADOLESCENT WARD</v>
          </cell>
          <cell r="I108" t="str">
            <v>06WD124</v>
          </cell>
          <cell r="J108" t="str">
            <v>TREATMENT / PROCEDURE</v>
          </cell>
          <cell r="K108" t="str">
            <v>BMED</v>
          </cell>
          <cell r="L108" t="str">
            <v>Normal</v>
          </cell>
          <cell r="M108" t="str">
            <v>USA</v>
          </cell>
          <cell r="N108" t="str">
            <v>Welch Allyn</v>
          </cell>
          <cell r="O108" t="str">
            <v>Welch Allyn 71904</v>
          </cell>
          <cell r="P108" t="str">
            <v>GD0019-4</v>
          </cell>
          <cell r="Q108" t="str">
            <v>Not Applicable</v>
          </cell>
          <cell r="R108" t="str">
            <v>Welch Allyn Inc</v>
          </cell>
          <cell r="S108" t="str">
            <v>Welch Allyn Malaysia Sdn Bhd</v>
          </cell>
          <cell r="T108" t="str">
            <v>Functioning</v>
          </cell>
          <cell r="U108" t="str">
            <v>Asset</v>
          </cell>
          <cell r="V108">
            <v>4690</v>
          </cell>
          <cell r="W108" t="str">
            <v>KEW</v>
          </cell>
          <cell r="X108" t="str">
            <v>01/09/2010</v>
          </cell>
          <cell r="Y108" t="str">
            <v>KEW</v>
          </cell>
          <cell r="Z108" t="str">
            <v>16/08/2013</v>
          </cell>
          <cell r="AA108" t="str">
            <v>15/08/2015</v>
          </cell>
          <cell r="AB108" t="str">
            <v>No</v>
          </cell>
          <cell r="AC108" t="str">
            <v>31/08/2013</v>
          </cell>
          <cell r="AD108" t="str">
            <v>Good</v>
          </cell>
          <cell r="AE108" t="str">
            <v>V1 - Existing / No Claim</v>
          </cell>
          <cell r="AF108">
            <v>42235</v>
          </cell>
          <cell r="AG108">
            <v>9.17</v>
          </cell>
          <cell r="AH108" t="str">
            <v>RI</v>
          </cell>
          <cell r="AI108" t="str">
            <v>Strands</v>
          </cell>
          <cell r="AJ108" t="str">
            <v>Not under maintenance</v>
          </cell>
        </row>
        <row r="109">
          <cell r="A109" t="str">
            <v>IKN400544</v>
          </cell>
          <cell r="B109">
            <v>544</v>
          </cell>
          <cell r="C109" t="str">
            <v>Institut Kanser Negara</v>
          </cell>
          <cell r="D109" t="e">
            <v>#N/A</v>
          </cell>
          <cell r="E109" t="str">
            <v>16-158</v>
          </cell>
          <cell r="F109" t="str">
            <v>Sphygmomanometers, Mercury</v>
          </cell>
          <cell r="G109" t="str">
            <v>NM</v>
          </cell>
          <cell r="H109" t="str">
            <v>NUCLEAR MED (DIAGNOSTIC)</v>
          </cell>
          <cell r="I109" t="str">
            <v>03NM109</v>
          </cell>
          <cell r="J109" t="str">
            <v>TREATMENT 2 (RAS) (-VE)</v>
          </cell>
          <cell r="K109" t="str">
            <v>BMED</v>
          </cell>
          <cell r="L109" t="str">
            <v>Normal</v>
          </cell>
          <cell r="M109" t="str">
            <v>Germany</v>
          </cell>
          <cell r="N109" t="str">
            <v>Erka</v>
          </cell>
          <cell r="O109" t="str">
            <v>Erkameter 3000</v>
          </cell>
          <cell r="P109" t="str">
            <v>13500751</v>
          </cell>
          <cell r="Q109" t="str">
            <v>Not Applicable</v>
          </cell>
          <cell r="R109" t="str">
            <v>Erka GmbH &amp; Co</v>
          </cell>
          <cell r="S109" t="str">
            <v>Acucare Systems (M) Sdn bhd</v>
          </cell>
          <cell r="T109" t="str">
            <v>Functioning</v>
          </cell>
          <cell r="U109" t="str">
            <v>Asset</v>
          </cell>
          <cell r="V109">
            <v>505</v>
          </cell>
          <cell r="W109" t="str">
            <v>KEW</v>
          </cell>
          <cell r="X109" t="str">
            <v>01/09/2010</v>
          </cell>
          <cell r="Y109" t="str">
            <v>KEW</v>
          </cell>
          <cell r="Z109" t="str">
            <v>16/08/2013</v>
          </cell>
          <cell r="AA109" t="str">
            <v>15/08/2015</v>
          </cell>
          <cell r="AB109" t="str">
            <v>No</v>
          </cell>
          <cell r="AC109" t="str">
            <v>31/08/2013</v>
          </cell>
          <cell r="AD109" t="str">
            <v>Good</v>
          </cell>
          <cell r="AE109" t="str">
            <v>V4 - Decommissioned Installed Facility</v>
          </cell>
          <cell r="AF109">
            <v>42235</v>
          </cell>
          <cell r="AG109">
            <v>9.17</v>
          </cell>
          <cell r="AH109" t="str">
            <v>PPM</v>
          </cell>
          <cell r="AI109" t="str">
            <v>Not in contract</v>
          </cell>
          <cell r="AJ109" t="str">
            <v>Not under maintenance</v>
          </cell>
          <cell r="AK109" t="e">
            <v>#N/A</v>
          </cell>
        </row>
        <row r="110">
          <cell r="A110" t="str">
            <v>IKN400551</v>
          </cell>
          <cell r="B110">
            <v>551</v>
          </cell>
          <cell r="C110" t="str">
            <v>Institut Kanser Negara</v>
          </cell>
          <cell r="D110" t="str">
            <v>KKM/IKN/H/13/3026</v>
          </cell>
          <cell r="E110" t="str">
            <v>12-815</v>
          </cell>
          <cell r="F110" t="str">
            <v>Ophthalmoscopes</v>
          </cell>
          <cell r="G110" t="str">
            <v>NM</v>
          </cell>
          <cell r="H110" t="str">
            <v>NUCLEAR MED (DIAGNOSTIC)</v>
          </cell>
          <cell r="I110" t="str">
            <v>03NM109</v>
          </cell>
          <cell r="J110" t="str">
            <v>TREATMENT 2 (RAS) (-VE)</v>
          </cell>
          <cell r="K110" t="str">
            <v>BMED</v>
          </cell>
          <cell r="L110" t="str">
            <v>Normal</v>
          </cell>
          <cell r="M110" t="str">
            <v>USA</v>
          </cell>
          <cell r="N110" t="str">
            <v>Welch Allyn</v>
          </cell>
          <cell r="O110" t="str">
            <v>Welch Allyn 767</v>
          </cell>
          <cell r="P110" t="str">
            <v>767-06</v>
          </cell>
          <cell r="Q110" t="str">
            <v>Not Applicable</v>
          </cell>
          <cell r="R110" t="str">
            <v>Welch Allyn Inc</v>
          </cell>
          <cell r="S110" t="str">
            <v>Welch Allyn Malaysia Sdn Bhd</v>
          </cell>
          <cell r="T110" t="str">
            <v>Functioning</v>
          </cell>
          <cell r="U110" t="str">
            <v>Asset</v>
          </cell>
          <cell r="V110">
            <v>5773</v>
          </cell>
          <cell r="W110" t="str">
            <v>KEW</v>
          </cell>
          <cell r="X110" t="str">
            <v>01/09/2010</v>
          </cell>
          <cell r="Y110" t="str">
            <v>KEW</v>
          </cell>
          <cell r="Z110" t="str">
            <v>16/08/2013</v>
          </cell>
          <cell r="AA110" t="str">
            <v>15/08/2015</v>
          </cell>
          <cell r="AB110" t="str">
            <v>No</v>
          </cell>
          <cell r="AC110" t="str">
            <v>31/08/2013</v>
          </cell>
          <cell r="AD110" t="str">
            <v>Good</v>
          </cell>
          <cell r="AE110" t="str">
            <v>V4 - Decommissioned Installed Facility</v>
          </cell>
          <cell r="AF110">
            <v>42235</v>
          </cell>
          <cell r="AG110">
            <v>9.17</v>
          </cell>
          <cell r="AH110" t="str">
            <v>RI</v>
          </cell>
          <cell r="AI110" t="str">
            <v>Strands</v>
          </cell>
          <cell r="AJ110" t="str">
            <v>Strands PW. Proposed for V4 P2.23</v>
          </cell>
        </row>
        <row r="111">
          <cell r="A111" t="str">
            <v>IKN400569</v>
          </cell>
          <cell r="B111">
            <v>569</v>
          </cell>
          <cell r="C111" t="str">
            <v>Institut Kanser Negara</v>
          </cell>
          <cell r="D111" t="str">
            <v>KKM/IKN/H/13/3027</v>
          </cell>
          <cell r="E111" t="str">
            <v>12-815</v>
          </cell>
          <cell r="F111" t="str">
            <v>Ophthalmoscopes</v>
          </cell>
          <cell r="G111" t="str">
            <v>NM</v>
          </cell>
          <cell r="H111" t="str">
            <v>NUCLEAR MED (DIAGNOSTIC)</v>
          </cell>
          <cell r="I111" t="str">
            <v>03NM182</v>
          </cell>
          <cell r="J111" t="str">
            <v>C/E 5 (VE)</v>
          </cell>
          <cell r="K111" t="str">
            <v>BMED</v>
          </cell>
          <cell r="L111" t="str">
            <v>Normal</v>
          </cell>
          <cell r="M111" t="str">
            <v>USA</v>
          </cell>
          <cell r="N111" t="str">
            <v>Welch Allyn</v>
          </cell>
          <cell r="O111" t="str">
            <v>Welch Allyn 767</v>
          </cell>
          <cell r="P111" t="str">
            <v>767-07</v>
          </cell>
          <cell r="Q111" t="str">
            <v>Not Applicable</v>
          </cell>
          <cell r="R111" t="str">
            <v>Welch Allyn Inc</v>
          </cell>
          <cell r="S111" t="str">
            <v>Welch Allyn Malaysia Sdn Bhd</v>
          </cell>
          <cell r="T111" t="str">
            <v>Functioning</v>
          </cell>
          <cell r="U111" t="str">
            <v>Asset</v>
          </cell>
          <cell r="V111">
            <v>5773</v>
          </cell>
          <cell r="W111" t="str">
            <v>KEW</v>
          </cell>
          <cell r="X111" t="str">
            <v>01/09/2010</v>
          </cell>
          <cell r="Y111" t="str">
            <v>KEW</v>
          </cell>
          <cell r="Z111" t="str">
            <v>16/08/2013</v>
          </cell>
          <cell r="AA111" t="str">
            <v>15/08/2015</v>
          </cell>
          <cell r="AB111" t="str">
            <v>No</v>
          </cell>
          <cell r="AC111" t="str">
            <v>31/08/2013</v>
          </cell>
          <cell r="AD111" t="str">
            <v>Good</v>
          </cell>
          <cell r="AE111" t="str">
            <v>V4 - Decommissioned Installed Facility</v>
          </cell>
          <cell r="AF111">
            <v>42235</v>
          </cell>
          <cell r="AG111">
            <v>9.17</v>
          </cell>
          <cell r="AH111" t="str">
            <v>RI</v>
          </cell>
          <cell r="AI111" t="str">
            <v>Strands</v>
          </cell>
          <cell r="AJ111" t="str">
            <v>Strands PW. Proposed for V4 P2.23</v>
          </cell>
        </row>
        <row r="112">
          <cell r="A112" t="str">
            <v>IKN400572</v>
          </cell>
          <cell r="B112">
            <v>572</v>
          </cell>
          <cell r="C112" t="str">
            <v>Institut Kanser Negara</v>
          </cell>
          <cell r="D112" t="str">
            <v>KKM/IKN/H/13/3028</v>
          </cell>
          <cell r="E112" t="str">
            <v>12-815</v>
          </cell>
          <cell r="F112" t="str">
            <v>Ophthalmoscopes</v>
          </cell>
          <cell r="G112" t="str">
            <v>NM</v>
          </cell>
          <cell r="H112" t="str">
            <v>NUCLEAR MED (DIAGNOSTIC)</v>
          </cell>
          <cell r="I112" t="str">
            <v>03NM183</v>
          </cell>
          <cell r="J112" t="str">
            <v>C/E 4 (VE)</v>
          </cell>
          <cell r="K112" t="str">
            <v>BMED</v>
          </cell>
          <cell r="L112" t="str">
            <v>Normal</v>
          </cell>
          <cell r="M112" t="str">
            <v>USA</v>
          </cell>
          <cell r="N112" t="str">
            <v>Welch Allyn</v>
          </cell>
          <cell r="O112" t="str">
            <v>Welch Allyn 767</v>
          </cell>
          <cell r="P112" t="str">
            <v>767-08</v>
          </cell>
          <cell r="Q112" t="str">
            <v>Not Applicable</v>
          </cell>
          <cell r="R112" t="str">
            <v>Welch Allyn Inc</v>
          </cell>
          <cell r="S112" t="str">
            <v>Welch Allyn Malaysia Sdn Bhd</v>
          </cell>
          <cell r="T112" t="str">
            <v>Functioning</v>
          </cell>
          <cell r="U112" t="str">
            <v>Asset</v>
          </cell>
          <cell r="V112">
            <v>5773</v>
          </cell>
          <cell r="W112" t="str">
            <v>KEW</v>
          </cell>
          <cell r="X112" t="str">
            <v>01/09/2010</v>
          </cell>
          <cell r="Y112" t="str">
            <v>KEW</v>
          </cell>
          <cell r="Z112" t="str">
            <v>16/08/2013</v>
          </cell>
          <cell r="AA112" t="str">
            <v>15/08/2015</v>
          </cell>
          <cell r="AB112" t="str">
            <v>No</v>
          </cell>
          <cell r="AC112" t="str">
            <v>31/08/2013</v>
          </cell>
          <cell r="AD112" t="str">
            <v>Good</v>
          </cell>
          <cell r="AE112" t="str">
            <v>V4 - Decommissioned Installed Facility</v>
          </cell>
          <cell r="AF112">
            <v>42235</v>
          </cell>
          <cell r="AG112">
            <v>9.17</v>
          </cell>
          <cell r="AH112" t="str">
            <v>RI</v>
          </cell>
          <cell r="AI112" t="str">
            <v>Strands</v>
          </cell>
          <cell r="AJ112" t="str">
            <v>Strands PW. Proposed for V4 P2.23</v>
          </cell>
        </row>
        <row r="113">
          <cell r="A113" t="str">
            <v>IKN400574</v>
          </cell>
          <cell r="B113">
            <v>574</v>
          </cell>
          <cell r="C113" t="str">
            <v>Institut Kanser Negara</v>
          </cell>
          <cell r="D113" t="str">
            <v>KKM/IKN/H/13/3029</v>
          </cell>
          <cell r="E113" t="str">
            <v>12-815</v>
          </cell>
          <cell r="F113" t="str">
            <v>Ophthalmoscopes</v>
          </cell>
          <cell r="G113" t="str">
            <v>NM</v>
          </cell>
          <cell r="H113" t="str">
            <v>NUCLEAR MED (DIAGNOSTIC)</v>
          </cell>
          <cell r="I113" t="str">
            <v>03NM184</v>
          </cell>
          <cell r="J113" t="str">
            <v>C/E 3 (VE)</v>
          </cell>
          <cell r="K113" t="str">
            <v>BMED</v>
          </cell>
          <cell r="L113" t="str">
            <v>Normal</v>
          </cell>
          <cell r="M113" t="str">
            <v>USA</v>
          </cell>
          <cell r="N113" t="str">
            <v>Welch Allyn</v>
          </cell>
          <cell r="O113" t="str">
            <v>Welch Allyn 767</v>
          </cell>
          <cell r="P113" t="str">
            <v>767-09</v>
          </cell>
          <cell r="Q113" t="str">
            <v>Not Applicable</v>
          </cell>
          <cell r="R113" t="str">
            <v>Welch Allyn Inc</v>
          </cell>
          <cell r="S113" t="str">
            <v>Welch Allyn Malaysia Sdn Bhd</v>
          </cell>
          <cell r="T113" t="str">
            <v>Functioning</v>
          </cell>
          <cell r="U113" t="str">
            <v>Asset</v>
          </cell>
          <cell r="V113">
            <v>5773</v>
          </cell>
          <cell r="W113" t="str">
            <v>KEW</v>
          </cell>
          <cell r="X113" t="str">
            <v>01/09/2010</v>
          </cell>
          <cell r="Y113" t="str">
            <v>KEW</v>
          </cell>
          <cell r="Z113" t="str">
            <v>16/08/2013</v>
          </cell>
          <cell r="AA113" t="str">
            <v>15/08/2015</v>
          </cell>
          <cell r="AB113" t="str">
            <v>No</v>
          </cell>
          <cell r="AC113" t="str">
            <v>31/08/2013</v>
          </cell>
          <cell r="AD113" t="str">
            <v>Good</v>
          </cell>
          <cell r="AE113" t="str">
            <v>V4 - Decommissioned Installed Facility</v>
          </cell>
          <cell r="AF113">
            <v>42235</v>
          </cell>
          <cell r="AG113">
            <v>9.17</v>
          </cell>
          <cell r="AH113" t="str">
            <v>RI</v>
          </cell>
          <cell r="AI113" t="str">
            <v>Strands</v>
          </cell>
          <cell r="AJ113" t="str">
            <v>Strands PW. Proposed for V4 P2.23</v>
          </cell>
        </row>
        <row r="114">
          <cell r="A114" t="str">
            <v>IKN400576</v>
          </cell>
          <cell r="B114">
            <v>576</v>
          </cell>
          <cell r="C114" t="str">
            <v>Institut Kanser Negara</v>
          </cell>
          <cell r="D114" t="str">
            <v>KKM/IKN/H/13/3030</v>
          </cell>
          <cell r="E114" t="str">
            <v>12-815</v>
          </cell>
          <cell r="F114" t="str">
            <v>Ophthalmoscopes</v>
          </cell>
          <cell r="G114" t="str">
            <v>NM</v>
          </cell>
          <cell r="H114" t="str">
            <v>NUCLEAR MED (DIAGNOSTIC)</v>
          </cell>
          <cell r="I114" t="str">
            <v>03NM185</v>
          </cell>
          <cell r="J114" t="str">
            <v>C/E 2 (VE)</v>
          </cell>
          <cell r="K114" t="str">
            <v>BMED</v>
          </cell>
          <cell r="L114" t="str">
            <v>Normal</v>
          </cell>
          <cell r="M114" t="str">
            <v>USA</v>
          </cell>
          <cell r="N114" t="str">
            <v>Welch Allyn</v>
          </cell>
          <cell r="O114" t="str">
            <v>Welch Allyn 767</v>
          </cell>
          <cell r="P114" t="str">
            <v>767-10</v>
          </cell>
          <cell r="Q114" t="str">
            <v>Not Applicable</v>
          </cell>
          <cell r="R114" t="str">
            <v>Welch Allyn Inc</v>
          </cell>
          <cell r="S114" t="str">
            <v>Welch Allyn Malaysia Sdn Bhd</v>
          </cell>
          <cell r="T114" t="str">
            <v>Functioning</v>
          </cell>
          <cell r="U114" t="str">
            <v>Asset</v>
          </cell>
          <cell r="V114">
            <v>5773</v>
          </cell>
          <cell r="W114" t="str">
            <v>KEW</v>
          </cell>
          <cell r="X114" t="str">
            <v>01/09/2010</v>
          </cell>
          <cell r="Y114" t="str">
            <v>KEW</v>
          </cell>
          <cell r="Z114" t="str">
            <v>16/08/2013</v>
          </cell>
          <cell r="AA114" t="str">
            <v>15/08/2015</v>
          </cell>
          <cell r="AB114" t="str">
            <v>No</v>
          </cell>
          <cell r="AC114" t="str">
            <v>31/08/2013</v>
          </cell>
          <cell r="AD114" t="str">
            <v>Good</v>
          </cell>
          <cell r="AE114" t="str">
            <v>V4 - Decommissioned Installed Facility</v>
          </cell>
          <cell r="AF114">
            <v>42235</v>
          </cell>
          <cell r="AG114">
            <v>9.17</v>
          </cell>
          <cell r="AH114" t="str">
            <v>RI</v>
          </cell>
          <cell r="AI114" t="str">
            <v>Strands</v>
          </cell>
          <cell r="AJ114" t="str">
            <v>Strands PW. Proposed for V4 P2.23</v>
          </cell>
        </row>
        <row r="115">
          <cell r="A115" t="str">
            <v>IKN400578</v>
          </cell>
          <cell r="B115">
            <v>578</v>
          </cell>
          <cell r="C115" t="str">
            <v>Institut Kanser Negara</v>
          </cell>
          <cell r="D115" t="str">
            <v>KKM/IKN/H/13/3031</v>
          </cell>
          <cell r="E115" t="str">
            <v>12-815</v>
          </cell>
          <cell r="F115" t="str">
            <v>Ophthalmoscopes</v>
          </cell>
          <cell r="G115" t="str">
            <v>NM</v>
          </cell>
          <cell r="H115" t="str">
            <v>NUCLEAR MED (DIAGNOSTIC)</v>
          </cell>
          <cell r="I115" t="str">
            <v>03NM186</v>
          </cell>
          <cell r="J115" t="str">
            <v>C/E 1 (VE)</v>
          </cell>
          <cell r="K115" t="str">
            <v>BMED</v>
          </cell>
          <cell r="L115" t="str">
            <v>Normal</v>
          </cell>
          <cell r="M115" t="str">
            <v>USA</v>
          </cell>
          <cell r="N115" t="str">
            <v>Welch Allyn</v>
          </cell>
          <cell r="O115" t="str">
            <v>Welch Allyn 767</v>
          </cell>
          <cell r="P115" t="str">
            <v>767-11</v>
          </cell>
          <cell r="Q115" t="str">
            <v>Not Applicable</v>
          </cell>
          <cell r="R115" t="str">
            <v>Welch Allyn Inc</v>
          </cell>
          <cell r="S115" t="str">
            <v>Welch Allyn Malaysia Sdn Bhd</v>
          </cell>
          <cell r="T115" t="str">
            <v>Functioning</v>
          </cell>
          <cell r="U115" t="str">
            <v>Asset</v>
          </cell>
          <cell r="V115">
            <v>5773</v>
          </cell>
          <cell r="W115" t="str">
            <v>KEW</v>
          </cell>
          <cell r="X115" t="str">
            <v>01/09/2010</v>
          </cell>
          <cell r="Y115" t="str">
            <v>KEW</v>
          </cell>
          <cell r="Z115" t="str">
            <v>16/08/2013</v>
          </cell>
          <cell r="AA115" t="str">
            <v>15/08/2015</v>
          </cell>
          <cell r="AB115" t="str">
            <v>No</v>
          </cell>
          <cell r="AC115" t="str">
            <v>31/08/2013</v>
          </cell>
          <cell r="AD115" t="str">
            <v>Good</v>
          </cell>
          <cell r="AE115" t="str">
            <v>V4 - Decommissioned Installed Facility</v>
          </cell>
          <cell r="AF115">
            <v>42235</v>
          </cell>
          <cell r="AG115">
            <v>9.17</v>
          </cell>
          <cell r="AH115" t="str">
            <v>RI</v>
          </cell>
          <cell r="AI115" t="str">
            <v>Strands</v>
          </cell>
          <cell r="AJ115" t="str">
            <v>Strands PW. Proposed for V4 P2.23</v>
          </cell>
        </row>
        <row r="116">
          <cell r="A116" t="str">
            <v>IKN400584</v>
          </cell>
          <cell r="B116">
            <v>584</v>
          </cell>
          <cell r="C116" t="str">
            <v>Institut Kanser Negara</v>
          </cell>
          <cell r="D116" t="str">
            <v>KKM/IKN/H/13/3024</v>
          </cell>
          <cell r="E116" t="str">
            <v>12-815</v>
          </cell>
          <cell r="F116" t="str">
            <v>Ophthalmoscopes</v>
          </cell>
          <cell r="G116" t="str">
            <v>NM</v>
          </cell>
          <cell r="H116" t="str">
            <v>NUCLEAR MED (DIAGNOSTIC)</v>
          </cell>
          <cell r="I116" t="str">
            <v>03NM108</v>
          </cell>
          <cell r="J116" t="str">
            <v>TREATMENT 1 (RAI)(VE)</v>
          </cell>
          <cell r="K116" t="str">
            <v>BMED</v>
          </cell>
          <cell r="L116" t="str">
            <v>Normal</v>
          </cell>
          <cell r="M116" t="str">
            <v>USA</v>
          </cell>
          <cell r="N116" t="str">
            <v>Welch Allyn</v>
          </cell>
          <cell r="O116" t="str">
            <v>Welch Allyn 767</v>
          </cell>
          <cell r="P116" t="str">
            <v>767-05</v>
          </cell>
          <cell r="Q116" t="str">
            <v>Not Applicable</v>
          </cell>
          <cell r="R116" t="str">
            <v>Welch Allyn Inc</v>
          </cell>
          <cell r="S116" t="str">
            <v>Welch Allyn Malaysia Sdn Bhd</v>
          </cell>
          <cell r="T116" t="str">
            <v>Functioning</v>
          </cell>
          <cell r="U116" t="str">
            <v>Asset</v>
          </cell>
          <cell r="V116">
            <v>5773</v>
          </cell>
          <cell r="W116" t="str">
            <v>KEW</v>
          </cell>
          <cell r="X116" t="str">
            <v>01/09/2010</v>
          </cell>
          <cell r="Y116" t="str">
            <v>KEW</v>
          </cell>
          <cell r="Z116" t="str">
            <v>16/08/2013</v>
          </cell>
          <cell r="AA116" t="str">
            <v>15/08/2015</v>
          </cell>
          <cell r="AB116" t="str">
            <v>No</v>
          </cell>
          <cell r="AC116" t="str">
            <v>31/08/2013</v>
          </cell>
          <cell r="AD116" t="str">
            <v>Good</v>
          </cell>
          <cell r="AE116" t="str">
            <v>V4 - Decommissioned Installed Facility</v>
          </cell>
          <cell r="AF116">
            <v>42235</v>
          </cell>
          <cell r="AG116">
            <v>9.17</v>
          </cell>
          <cell r="AH116" t="str">
            <v>RI</v>
          </cell>
          <cell r="AI116" t="str">
            <v>Strands</v>
          </cell>
          <cell r="AJ116" t="str">
            <v>Strands PW. Proposed for V4 P2.23</v>
          </cell>
        </row>
        <row r="117">
          <cell r="A117" t="str">
            <v>IKN400662</v>
          </cell>
          <cell r="B117">
            <v>662</v>
          </cell>
          <cell r="C117" t="str">
            <v>Institut Kanser Negara</v>
          </cell>
          <cell r="D117" t="e">
            <v>#N/A</v>
          </cell>
          <cell r="E117" t="str">
            <v>16-158</v>
          </cell>
          <cell r="F117" t="str">
            <v>Sphygmomanometers, Mercury</v>
          </cell>
          <cell r="G117" t="str">
            <v>DO</v>
          </cell>
          <cell r="H117" t="str">
            <v>DAY ONCOLOGY UNIT</v>
          </cell>
          <cell r="I117" t="str">
            <v>04DO138</v>
          </cell>
          <cell r="J117" t="str">
            <v>CHEMOTHERAPY BAY (4 BEDS)</v>
          </cell>
          <cell r="K117" t="str">
            <v>BMED</v>
          </cell>
          <cell r="L117" t="str">
            <v>Normal</v>
          </cell>
          <cell r="M117" t="str">
            <v>Germany</v>
          </cell>
          <cell r="N117" t="str">
            <v>Erka</v>
          </cell>
          <cell r="O117" t="str">
            <v>Erkameter 3000</v>
          </cell>
          <cell r="P117" t="str">
            <v>13500748</v>
          </cell>
          <cell r="Q117" t="str">
            <v>Not Applicable</v>
          </cell>
          <cell r="R117" t="str">
            <v>Erka GmbH &amp; Co</v>
          </cell>
          <cell r="S117" t="str">
            <v>Acucare Systems (M) Sdn bhd</v>
          </cell>
          <cell r="T117" t="str">
            <v>Functioning</v>
          </cell>
          <cell r="U117" t="str">
            <v>Asset</v>
          </cell>
          <cell r="V117">
            <v>505</v>
          </cell>
          <cell r="W117" t="str">
            <v>KEW</v>
          </cell>
          <cell r="X117" t="str">
            <v>01/09/2010</v>
          </cell>
          <cell r="Y117" t="str">
            <v>KEW</v>
          </cell>
          <cell r="Z117" t="str">
            <v>16/08/2013</v>
          </cell>
          <cell r="AA117" t="str">
            <v>15/08/2015</v>
          </cell>
          <cell r="AB117" t="str">
            <v>No</v>
          </cell>
          <cell r="AC117" t="str">
            <v>31/08/2013</v>
          </cell>
          <cell r="AD117" t="str">
            <v>Good</v>
          </cell>
          <cell r="AE117" t="str">
            <v>V4 - Decommissioned Installed Facility</v>
          </cell>
          <cell r="AF117">
            <v>42235</v>
          </cell>
          <cell r="AG117">
            <v>9.17</v>
          </cell>
          <cell r="AH117" t="str">
            <v>PPM</v>
          </cell>
          <cell r="AI117" t="str">
            <v>Not in contract</v>
          </cell>
          <cell r="AJ117" t="str">
            <v>Not under maintenance</v>
          </cell>
          <cell r="AK117" t="e">
            <v>#N/A</v>
          </cell>
        </row>
        <row r="118">
          <cell r="A118" t="str">
            <v>IKN400668</v>
          </cell>
          <cell r="B118">
            <v>668</v>
          </cell>
          <cell r="C118" t="str">
            <v>Institut Kanser Negara</v>
          </cell>
          <cell r="D118" t="str">
            <v>KKM/IKN/H/13/1200</v>
          </cell>
          <cell r="E118" t="str">
            <v>18-595</v>
          </cell>
          <cell r="F118" t="str">
            <v>Ophthalmoscopes/Otoscopes</v>
          </cell>
          <cell r="G118" t="str">
            <v>TC</v>
          </cell>
          <cell r="H118" t="str">
            <v>TRADITIONAL COMPLEMENTARY MEDICINE</v>
          </cell>
          <cell r="I118" t="str">
            <v>04TC125</v>
          </cell>
          <cell r="J118" t="str">
            <v>ASSESSMENT</v>
          </cell>
          <cell r="K118" t="str">
            <v>BMED</v>
          </cell>
          <cell r="L118" t="str">
            <v>Normal</v>
          </cell>
          <cell r="M118" t="str">
            <v>USA</v>
          </cell>
          <cell r="N118" t="str">
            <v>Welch Allyn</v>
          </cell>
          <cell r="O118" t="str">
            <v>Welch Allyn 71904</v>
          </cell>
          <cell r="P118" t="str">
            <v>GD0019-3</v>
          </cell>
          <cell r="Q118" t="str">
            <v>Not Applicable</v>
          </cell>
          <cell r="R118" t="str">
            <v>Welch Allyn Inc</v>
          </cell>
          <cell r="S118" t="str">
            <v>Welch Allyn Malaysia Sdn Bhd</v>
          </cell>
          <cell r="T118" t="str">
            <v>Functioning</v>
          </cell>
          <cell r="U118" t="str">
            <v>Asset</v>
          </cell>
          <cell r="V118">
            <v>4690</v>
          </cell>
          <cell r="W118" t="str">
            <v>KEW</v>
          </cell>
          <cell r="X118" t="str">
            <v>01/09/2010</v>
          </cell>
          <cell r="Y118" t="str">
            <v>KEW</v>
          </cell>
          <cell r="Z118" t="str">
            <v>16/08/2013</v>
          </cell>
          <cell r="AA118" t="str">
            <v>15/08/2015</v>
          </cell>
          <cell r="AB118" t="str">
            <v>No</v>
          </cell>
          <cell r="AC118" t="str">
            <v>31/08/2013</v>
          </cell>
          <cell r="AD118" t="str">
            <v>Good</v>
          </cell>
          <cell r="AE118" t="str">
            <v>V1 - Existing / No Claim</v>
          </cell>
          <cell r="AF118">
            <v>42235</v>
          </cell>
          <cell r="AG118">
            <v>9.17</v>
          </cell>
          <cell r="AH118" t="str">
            <v>RI</v>
          </cell>
          <cell r="AI118" t="str">
            <v>Strands</v>
          </cell>
          <cell r="AJ118" t="str">
            <v>Not under maintenance</v>
          </cell>
          <cell r="AK118" t="str">
            <v>V4 ON 22 FEB 2021.</v>
          </cell>
        </row>
        <row r="119">
          <cell r="A119" t="str">
            <v>IKN400682</v>
          </cell>
          <cell r="B119">
            <v>682</v>
          </cell>
          <cell r="C119" t="str">
            <v>Institut Kanser Negara</v>
          </cell>
          <cell r="D119" t="str">
            <v>KKM/IKN/H/13/1243</v>
          </cell>
          <cell r="E119" t="str">
            <v>12-815</v>
          </cell>
          <cell r="F119" t="str">
            <v>Ophthalmoscopes</v>
          </cell>
          <cell r="G119" t="str">
            <v>TC</v>
          </cell>
          <cell r="H119" t="str">
            <v>TRADITIONAL COMPLEMENTARY MEDICINE</v>
          </cell>
          <cell r="I119" t="str">
            <v>04TC127</v>
          </cell>
          <cell r="J119" t="str">
            <v>C/E</v>
          </cell>
          <cell r="K119" t="str">
            <v>BMED</v>
          </cell>
          <cell r="L119" t="str">
            <v>Normal</v>
          </cell>
          <cell r="M119" t="str">
            <v>USA</v>
          </cell>
          <cell r="N119" t="str">
            <v>Welch Allyn</v>
          </cell>
          <cell r="O119" t="str">
            <v>Welch Allyn 767</v>
          </cell>
          <cell r="P119" t="str">
            <v>716-1</v>
          </cell>
          <cell r="Q119" t="str">
            <v>Not Applicable</v>
          </cell>
          <cell r="R119" t="str">
            <v>Welch Allyn Inc</v>
          </cell>
          <cell r="S119" t="str">
            <v>Welch Allyn Malaysia Sdn Bhd</v>
          </cell>
          <cell r="T119" t="str">
            <v>Functioning</v>
          </cell>
          <cell r="U119" t="str">
            <v>Asset</v>
          </cell>
          <cell r="V119">
            <v>5773</v>
          </cell>
          <cell r="W119" t="str">
            <v>KEW</v>
          </cell>
          <cell r="X119" t="str">
            <v>01/09/2010</v>
          </cell>
          <cell r="Y119" t="str">
            <v>KEW</v>
          </cell>
          <cell r="Z119" t="str">
            <v>16/08/2013</v>
          </cell>
          <cell r="AA119" t="str">
            <v>15/08/2015</v>
          </cell>
          <cell r="AB119" t="str">
            <v>No</v>
          </cell>
          <cell r="AC119" t="str">
            <v>31/08/2013</v>
          </cell>
          <cell r="AD119" t="str">
            <v>Good</v>
          </cell>
          <cell r="AE119" t="str">
            <v>V4 - Decommissioned Installed Facility</v>
          </cell>
          <cell r="AF119">
            <v>42235</v>
          </cell>
          <cell r="AG119">
            <v>9.17</v>
          </cell>
          <cell r="AH119" t="str">
            <v>RI</v>
          </cell>
          <cell r="AI119" t="str">
            <v>Strands</v>
          </cell>
          <cell r="AJ119" t="str">
            <v>Strands PW. Proposed for V4 P2.23</v>
          </cell>
        </row>
        <row r="120">
          <cell r="A120" t="str">
            <v>IKN400811</v>
          </cell>
          <cell r="B120">
            <v>811</v>
          </cell>
          <cell r="C120" t="str">
            <v>Institut Kanser Negara</v>
          </cell>
          <cell r="E120" t="str">
            <v>16-158</v>
          </cell>
          <cell r="F120" t="str">
            <v>Sphygmomanometers, Mercury</v>
          </cell>
          <cell r="G120" t="str">
            <v>RT</v>
          </cell>
          <cell r="H120" t="str">
            <v>RADIATION TREATMENT UNIT</v>
          </cell>
          <cell r="I120" t="str">
            <v>01RT233</v>
          </cell>
          <cell r="J120" t="str">
            <v>EQ ROOM</v>
          </cell>
          <cell r="K120" t="str">
            <v>BMED</v>
          </cell>
          <cell r="L120" t="str">
            <v>Normal</v>
          </cell>
          <cell r="M120" t="str">
            <v>Germany</v>
          </cell>
          <cell r="N120" t="str">
            <v>Erka</v>
          </cell>
          <cell r="O120" t="str">
            <v>Erkameter 3000</v>
          </cell>
          <cell r="P120" t="str">
            <v>13500755</v>
          </cell>
          <cell r="Q120" t="str">
            <v>Not Applicable</v>
          </cell>
          <cell r="R120" t="str">
            <v>Erka GmbH &amp; Co</v>
          </cell>
          <cell r="S120" t="str">
            <v>Acucare Systems (M) Sdn bhd</v>
          </cell>
          <cell r="T120" t="str">
            <v>Functioning</v>
          </cell>
          <cell r="U120" t="str">
            <v>Asset</v>
          </cell>
          <cell r="V120">
            <v>505</v>
          </cell>
          <cell r="W120" t="str">
            <v>KEW</v>
          </cell>
          <cell r="X120" t="str">
            <v>01/09/2010</v>
          </cell>
          <cell r="Y120" t="str">
            <v>KEW</v>
          </cell>
          <cell r="Z120" t="str">
            <v>16/08/2013</v>
          </cell>
          <cell r="AA120" t="str">
            <v>15/08/2015</v>
          </cell>
          <cell r="AB120" t="str">
            <v>No</v>
          </cell>
          <cell r="AC120" t="str">
            <v>31/08/2013</v>
          </cell>
          <cell r="AD120" t="str">
            <v>Good</v>
          </cell>
          <cell r="AE120" t="str">
            <v>V4 - Decommissioned Installed Facility</v>
          </cell>
          <cell r="AF120">
            <v>42235</v>
          </cell>
          <cell r="AG120">
            <v>9.17</v>
          </cell>
          <cell r="AH120" t="str">
            <v>PPM</v>
          </cell>
          <cell r="AI120" t="str">
            <v>Not in contract</v>
          </cell>
          <cell r="AJ120" t="str">
            <v>Not under maintenance</v>
          </cell>
        </row>
        <row r="121">
          <cell r="A121" t="str">
            <v>IKN400837</v>
          </cell>
          <cell r="B121">
            <v>837</v>
          </cell>
          <cell r="C121" t="str">
            <v>Institut Kanser Negara</v>
          </cell>
          <cell r="D121" t="str">
            <v>KKM/IKN/H/13/2603</v>
          </cell>
          <cell r="E121" t="str">
            <v>18-595</v>
          </cell>
          <cell r="F121" t="str">
            <v>Ophthalmoscopes/Otoscopes</v>
          </cell>
          <cell r="G121" t="str">
            <v>RT</v>
          </cell>
          <cell r="H121" t="str">
            <v>RADIATION TREATMENT UNIT</v>
          </cell>
          <cell r="I121" t="str">
            <v>01RT237</v>
          </cell>
          <cell r="J121" t="str">
            <v>N/S</v>
          </cell>
          <cell r="K121" t="str">
            <v>BMED</v>
          </cell>
          <cell r="L121" t="str">
            <v>Normal</v>
          </cell>
          <cell r="M121" t="str">
            <v>USA</v>
          </cell>
          <cell r="N121" t="str">
            <v>Welch Allyn</v>
          </cell>
          <cell r="O121" t="str">
            <v>Welch Allyn 71904</v>
          </cell>
          <cell r="P121" t="str">
            <v>GD0019-8</v>
          </cell>
          <cell r="Q121" t="str">
            <v>Not Applicable</v>
          </cell>
          <cell r="R121" t="str">
            <v>Welch Allyn Inc</v>
          </cell>
          <cell r="S121" t="str">
            <v>Welch Allyn Malaysia Sdn Bhd</v>
          </cell>
          <cell r="T121" t="str">
            <v>Functioning</v>
          </cell>
          <cell r="U121" t="str">
            <v>Asset</v>
          </cell>
          <cell r="V121">
            <v>4690</v>
          </cell>
          <cell r="W121" t="str">
            <v>KEW</v>
          </cell>
          <cell r="X121" t="str">
            <v>01/09/2010</v>
          </cell>
          <cell r="Y121" t="str">
            <v>KEW</v>
          </cell>
          <cell r="Z121" t="str">
            <v>16/08/2013</v>
          </cell>
          <cell r="AA121" t="str">
            <v>15/08/2015</v>
          </cell>
          <cell r="AB121" t="str">
            <v>No</v>
          </cell>
          <cell r="AC121" t="str">
            <v>31/08/2013</v>
          </cell>
          <cell r="AD121" t="str">
            <v>Good</v>
          </cell>
          <cell r="AE121" t="str">
            <v>V1 - Existing / No Claim</v>
          </cell>
          <cell r="AF121">
            <v>42235</v>
          </cell>
          <cell r="AG121">
            <v>9.17</v>
          </cell>
          <cell r="AH121" t="str">
            <v>RI</v>
          </cell>
          <cell r="AI121" t="str">
            <v>Strands</v>
          </cell>
          <cell r="AJ121" t="str">
            <v>Not under maintenance</v>
          </cell>
        </row>
        <row r="122">
          <cell r="A122" t="str">
            <v>IKN400884</v>
          </cell>
          <cell r="B122">
            <v>883</v>
          </cell>
          <cell r="C122" t="str">
            <v>Institut Kanser Negara</v>
          </cell>
          <cell r="D122" t="str">
            <v>KKM/IKN/H/13/1618</v>
          </cell>
          <cell r="E122" t="str">
            <v>18-595</v>
          </cell>
          <cell r="F122" t="str">
            <v>Ophthalmoscopes/Otoscopes</v>
          </cell>
          <cell r="G122" t="str">
            <v>OC</v>
          </cell>
          <cell r="H122" t="str">
            <v>ONCOLOGY CLINIC</v>
          </cell>
          <cell r="I122" t="str">
            <v>03OC109</v>
          </cell>
          <cell r="J122" t="str">
            <v>C/E 1 (VIP)</v>
          </cell>
          <cell r="K122" t="str">
            <v>BMED</v>
          </cell>
          <cell r="L122" t="str">
            <v>Normal</v>
          </cell>
          <cell r="M122" t="str">
            <v>USA</v>
          </cell>
          <cell r="N122" t="str">
            <v>Welch Allyn</v>
          </cell>
          <cell r="O122" t="str">
            <v>Welch Allyn 71904</v>
          </cell>
          <cell r="P122" t="str">
            <v>GD0019-10</v>
          </cell>
          <cell r="Q122" t="str">
            <v>Not Applicable</v>
          </cell>
          <cell r="R122" t="str">
            <v>Welch Allyn Inc</v>
          </cell>
          <cell r="S122" t="str">
            <v>Welch Allyn Malaysia Sdn Bhd</v>
          </cell>
          <cell r="T122" t="str">
            <v>Functioning</v>
          </cell>
          <cell r="U122" t="str">
            <v>Asset</v>
          </cell>
          <cell r="V122">
            <v>4690</v>
          </cell>
          <cell r="W122" t="str">
            <v>KEW</v>
          </cell>
          <cell r="X122" t="str">
            <v>01/09/2010</v>
          </cell>
          <cell r="Y122" t="str">
            <v>KEW</v>
          </cell>
          <cell r="Z122" t="str">
            <v>16/08/2013</v>
          </cell>
          <cell r="AA122" t="str">
            <v>15/08/2015</v>
          </cell>
          <cell r="AB122" t="str">
            <v>No</v>
          </cell>
          <cell r="AC122" t="str">
            <v>31/08/2013</v>
          </cell>
          <cell r="AD122" t="str">
            <v>Good</v>
          </cell>
          <cell r="AE122" t="str">
            <v>V1 - Existing / No Claim</v>
          </cell>
          <cell r="AF122">
            <v>42235</v>
          </cell>
          <cell r="AG122">
            <v>9.17</v>
          </cell>
          <cell r="AH122" t="str">
            <v>RI</v>
          </cell>
          <cell r="AI122" t="str">
            <v>Strands</v>
          </cell>
          <cell r="AJ122" t="str">
            <v>Not under maintenance</v>
          </cell>
        </row>
        <row r="123">
          <cell r="A123" t="str">
            <v>IKN400885</v>
          </cell>
          <cell r="B123">
            <v>884</v>
          </cell>
          <cell r="C123" t="str">
            <v>Institut Kanser Negara</v>
          </cell>
          <cell r="D123" t="str">
            <v>KKM/IKN/H/13/1619</v>
          </cell>
          <cell r="E123" t="str">
            <v>18-595</v>
          </cell>
          <cell r="F123" t="str">
            <v>Ophthalmoscopes/Otoscopes</v>
          </cell>
          <cell r="G123" t="str">
            <v>OC</v>
          </cell>
          <cell r="H123" t="str">
            <v>ONCOLOGY CLINIC</v>
          </cell>
          <cell r="I123" t="str">
            <v>03OC117</v>
          </cell>
          <cell r="J123" t="str">
            <v>C/E 6</v>
          </cell>
          <cell r="K123" t="str">
            <v>BMED</v>
          </cell>
          <cell r="L123" t="str">
            <v>Normal</v>
          </cell>
          <cell r="M123" t="str">
            <v>USA</v>
          </cell>
          <cell r="N123" t="str">
            <v>Welch Allyn</v>
          </cell>
          <cell r="O123" t="str">
            <v>Welch Allyn 71904</v>
          </cell>
          <cell r="P123" t="str">
            <v>GD0019-11</v>
          </cell>
          <cell r="Q123" t="str">
            <v>Not Applicable</v>
          </cell>
          <cell r="R123" t="str">
            <v>Welch Allyn Inc</v>
          </cell>
          <cell r="S123" t="str">
            <v>Welch Allyn Malaysia Sdn Bhd</v>
          </cell>
          <cell r="T123" t="str">
            <v>Functioning</v>
          </cell>
          <cell r="U123" t="str">
            <v>Asset</v>
          </cell>
          <cell r="V123">
            <v>4690</v>
          </cell>
          <cell r="W123" t="str">
            <v>KEW</v>
          </cell>
          <cell r="X123" t="str">
            <v>01/09/2010</v>
          </cell>
          <cell r="Y123" t="str">
            <v>KEW</v>
          </cell>
          <cell r="Z123" t="str">
            <v>16/08/2013</v>
          </cell>
          <cell r="AA123" t="str">
            <v>15/08/2015</v>
          </cell>
          <cell r="AB123" t="str">
            <v>No</v>
          </cell>
          <cell r="AC123" t="str">
            <v>31/08/2013</v>
          </cell>
          <cell r="AD123" t="str">
            <v>Good</v>
          </cell>
          <cell r="AE123" t="str">
            <v>V1 - Existing / No Claim</v>
          </cell>
          <cell r="AF123">
            <v>42802</v>
          </cell>
          <cell r="AG123">
            <v>9.17</v>
          </cell>
          <cell r="AH123" t="str">
            <v>RI</v>
          </cell>
          <cell r="AI123" t="str">
            <v>Strands</v>
          </cell>
          <cell r="AJ123" t="str">
            <v>Not under maintenance</v>
          </cell>
        </row>
        <row r="124">
          <cell r="A124" t="str">
            <v>IKN400886</v>
          </cell>
          <cell r="B124">
            <v>885</v>
          </cell>
          <cell r="C124" t="str">
            <v>Institut Kanser Negara</v>
          </cell>
          <cell r="D124" t="str">
            <v>KKM/IKN/H/13/1620</v>
          </cell>
          <cell r="E124" t="str">
            <v>18-595</v>
          </cell>
          <cell r="F124" t="str">
            <v>Ophthalmoscopes/Otoscopes</v>
          </cell>
          <cell r="G124" t="str">
            <v>OC</v>
          </cell>
          <cell r="H124" t="str">
            <v>ONCOLOGY CLINIC</v>
          </cell>
          <cell r="I124" t="str">
            <v>03OC118</v>
          </cell>
          <cell r="J124" t="str">
            <v>C/E 5</v>
          </cell>
          <cell r="K124" t="str">
            <v>BMED</v>
          </cell>
          <cell r="L124" t="str">
            <v>Normal</v>
          </cell>
          <cell r="M124" t="str">
            <v>USA</v>
          </cell>
          <cell r="N124" t="str">
            <v>Welch Allyn</v>
          </cell>
          <cell r="O124" t="str">
            <v>Welch Allyn 71904</v>
          </cell>
          <cell r="P124" t="str">
            <v>GD0019-12</v>
          </cell>
          <cell r="Q124" t="str">
            <v>Not Applicable</v>
          </cell>
          <cell r="R124" t="str">
            <v>Welch Allyn Inc</v>
          </cell>
          <cell r="S124" t="str">
            <v>Welch Allyn Malaysia Sdn Bhd</v>
          </cell>
          <cell r="T124" t="str">
            <v>Functioning</v>
          </cell>
          <cell r="U124" t="str">
            <v>Asset</v>
          </cell>
          <cell r="V124">
            <v>4690</v>
          </cell>
          <cell r="W124" t="str">
            <v>KEW</v>
          </cell>
          <cell r="X124" t="str">
            <v>01/09/2010</v>
          </cell>
          <cell r="Y124" t="str">
            <v>KEW</v>
          </cell>
          <cell r="Z124" t="str">
            <v>16/08/2013</v>
          </cell>
          <cell r="AA124" t="str">
            <v>15/08/2015</v>
          </cell>
          <cell r="AB124" t="str">
            <v>No</v>
          </cell>
          <cell r="AC124" t="str">
            <v>31/08/2013</v>
          </cell>
          <cell r="AD124" t="str">
            <v>Good</v>
          </cell>
          <cell r="AE124" t="str">
            <v>V1 - Existing / No Claim</v>
          </cell>
          <cell r="AF124">
            <v>42802</v>
          </cell>
          <cell r="AG124">
            <v>9.17</v>
          </cell>
          <cell r="AH124" t="str">
            <v>RI</v>
          </cell>
          <cell r="AI124" t="str">
            <v>Strands</v>
          </cell>
          <cell r="AJ124" t="str">
            <v>Not under maintenance</v>
          </cell>
        </row>
        <row r="125">
          <cell r="A125" t="str">
            <v>IKN400887</v>
          </cell>
          <cell r="B125">
            <v>886</v>
          </cell>
          <cell r="C125" t="str">
            <v>Institut Kanser Negara</v>
          </cell>
          <cell r="D125" t="str">
            <v>KKM/IKN/H/13/1621</v>
          </cell>
          <cell r="E125" t="str">
            <v>18-595</v>
          </cell>
          <cell r="F125" t="str">
            <v>Ophthalmoscopes/Otoscopes</v>
          </cell>
          <cell r="G125" t="str">
            <v>OC</v>
          </cell>
          <cell r="H125" t="str">
            <v>ONCOLOGY CLINIC</v>
          </cell>
          <cell r="I125" t="str">
            <v>03OC119</v>
          </cell>
          <cell r="J125" t="str">
            <v>C/E 4</v>
          </cell>
          <cell r="K125" t="str">
            <v>BMED</v>
          </cell>
          <cell r="L125" t="str">
            <v>Normal</v>
          </cell>
          <cell r="M125" t="str">
            <v>USA</v>
          </cell>
          <cell r="N125" t="str">
            <v>Welch Allyn</v>
          </cell>
          <cell r="O125" t="str">
            <v>Welch Allyn 71904</v>
          </cell>
          <cell r="P125" t="str">
            <v>GD0019-13</v>
          </cell>
          <cell r="Q125" t="str">
            <v>Not Applicable</v>
          </cell>
          <cell r="R125" t="str">
            <v>Welch Allyn Inc</v>
          </cell>
          <cell r="S125" t="str">
            <v>Welch Allyn Malaysia Sdn Bhd</v>
          </cell>
          <cell r="T125" t="str">
            <v>Functioning</v>
          </cell>
          <cell r="U125" t="str">
            <v>Asset</v>
          </cell>
          <cell r="V125">
            <v>4690</v>
          </cell>
          <cell r="W125" t="str">
            <v>KEW</v>
          </cell>
          <cell r="X125" t="str">
            <v>01/09/2010</v>
          </cell>
          <cell r="Y125" t="str">
            <v>KEW</v>
          </cell>
          <cell r="Z125" t="str">
            <v>16/08/2013</v>
          </cell>
          <cell r="AA125" t="str">
            <v>15/08/2015</v>
          </cell>
          <cell r="AB125" t="str">
            <v>No</v>
          </cell>
          <cell r="AC125" t="str">
            <v>31/08/2013</v>
          </cell>
          <cell r="AD125" t="str">
            <v>Good</v>
          </cell>
          <cell r="AE125" t="str">
            <v>V1 - Existing / No Claim</v>
          </cell>
          <cell r="AF125">
            <v>42235</v>
          </cell>
          <cell r="AG125">
            <v>9.17</v>
          </cell>
          <cell r="AH125" t="str">
            <v>RI</v>
          </cell>
          <cell r="AI125" t="str">
            <v>Strands</v>
          </cell>
          <cell r="AJ125" t="str">
            <v>Not under maintenance</v>
          </cell>
        </row>
        <row r="126">
          <cell r="A126" t="str">
            <v>IKN400888</v>
          </cell>
          <cell r="B126">
            <v>887</v>
          </cell>
          <cell r="C126" t="str">
            <v>Institut Kanser Negara</v>
          </cell>
          <cell r="D126" t="str">
            <v>KKM/IKN/H/13/1622</v>
          </cell>
          <cell r="E126" t="str">
            <v>18-595</v>
          </cell>
          <cell r="F126" t="str">
            <v>Ophthalmoscopes/Otoscopes</v>
          </cell>
          <cell r="G126" t="str">
            <v>OC</v>
          </cell>
          <cell r="H126" t="str">
            <v>ONCOLOGY CLINIC</v>
          </cell>
          <cell r="I126" t="str">
            <v>03OC120</v>
          </cell>
          <cell r="J126" t="str">
            <v>C/E 3</v>
          </cell>
          <cell r="K126" t="str">
            <v>BMED</v>
          </cell>
          <cell r="L126" t="str">
            <v>Normal</v>
          </cell>
          <cell r="M126" t="str">
            <v>USA</v>
          </cell>
          <cell r="N126" t="str">
            <v>Welch Allyn</v>
          </cell>
          <cell r="O126" t="str">
            <v>Welch Allyn 71904</v>
          </cell>
          <cell r="P126" t="str">
            <v>GD0019-14</v>
          </cell>
          <cell r="Q126" t="str">
            <v>Not Applicable</v>
          </cell>
          <cell r="R126" t="str">
            <v>Welch Allyn Inc</v>
          </cell>
          <cell r="S126" t="str">
            <v>Welch Allyn Malaysia Sdn Bhd</v>
          </cell>
          <cell r="T126" t="str">
            <v>Functioning</v>
          </cell>
          <cell r="U126" t="str">
            <v>Asset</v>
          </cell>
          <cell r="V126">
            <v>4690</v>
          </cell>
          <cell r="W126" t="str">
            <v>KEW</v>
          </cell>
          <cell r="X126" t="str">
            <v>01/09/2010</v>
          </cell>
          <cell r="Y126" t="str">
            <v>KEW</v>
          </cell>
          <cell r="Z126" t="str">
            <v>16/08/2013</v>
          </cell>
          <cell r="AA126" t="str">
            <v>15/08/2015</v>
          </cell>
          <cell r="AB126" t="str">
            <v>No</v>
          </cell>
          <cell r="AC126" t="str">
            <v>31/08/2013</v>
          </cell>
          <cell r="AD126" t="str">
            <v>Good</v>
          </cell>
          <cell r="AE126" t="str">
            <v>V1 - Existing / No Claim</v>
          </cell>
          <cell r="AF126">
            <v>42802</v>
          </cell>
          <cell r="AG126">
            <v>9.17</v>
          </cell>
          <cell r="AH126" t="str">
            <v>RI</v>
          </cell>
          <cell r="AI126" t="str">
            <v>Strands</v>
          </cell>
          <cell r="AJ126" t="str">
            <v>Not under maintenance</v>
          </cell>
        </row>
        <row r="127">
          <cell r="A127" t="str">
            <v>IKN400889</v>
          </cell>
          <cell r="B127">
            <v>888</v>
          </cell>
          <cell r="C127" t="str">
            <v>Institut Kanser Negara</v>
          </cell>
          <cell r="D127" t="str">
            <v>KKM/IKN/H/13/1623</v>
          </cell>
          <cell r="E127" t="str">
            <v>18-595</v>
          </cell>
          <cell r="F127" t="str">
            <v>Ophthalmoscopes/Otoscopes</v>
          </cell>
          <cell r="G127" t="str">
            <v>OC</v>
          </cell>
          <cell r="H127" t="str">
            <v>ONCOLOGY CLINIC</v>
          </cell>
          <cell r="I127" t="str">
            <v>03OC121</v>
          </cell>
          <cell r="J127" t="str">
            <v>C/E2</v>
          </cell>
          <cell r="K127" t="str">
            <v>BMED</v>
          </cell>
          <cell r="L127" t="str">
            <v>Normal</v>
          </cell>
          <cell r="M127" t="str">
            <v>USA</v>
          </cell>
          <cell r="N127" t="str">
            <v>Welch Allyn</v>
          </cell>
          <cell r="O127" t="str">
            <v>Welch Allyn 71904</v>
          </cell>
          <cell r="P127" t="str">
            <v>GD0019-15</v>
          </cell>
          <cell r="Q127" t="str">
            <v>Not Applicable</v>
          </cell>
          <cell r="R127" t="str">
            <v>Welch Allyn Inc</v>
          </cell>
          <cell r="S127" t="str">
            <v>Welch Allyn Malaysia Sdn Bhd</v>
          </cell>
          <cell r="T127" t="str">
            <v>Functioning</v>
          </cell>
          <cell r="U127" t="str">
            <v>Asset</v>
          </cell>
          <cell r="V127">
            <v>4690</v>
          </cell>
          <cell r="W127" t="str">
            <v>KEW</v>
          </cell>
          <cell r="X127" t="str">
            <v>01/09/2010</v>
          </cell>
          <cell r="Y127" t="str">
            <v>KEW</v>
          </cell>
          <cell r="Z127" t="str">
            <v>16/08/2013</v>
          </cell>
          <cell r="AA127" t="str">
            <v>15/08/2015</v>
          </cell>
          <cell r="AB127" t="str">
            <v>No</v>
          </cell>
          <cell r="AC127" t="str">
            <v>31/08/2013</v>
          </cell>
          <cell r="AD127" t="str">
            <v>Good</v>
          </cell>
          <cell r="AE127" t="str">
            <v>V1 - Existing / No Claim</v>
          </cell>
          <cell r="AF127">
            <v>42802</v>
          </cell>
          <cell r="AG127">
            <v>9.17</v>
          </cell>
          <cell r="AH127" t="str">
            <v>RI</v>
          </cell>
          <cell r="AI127" t="str">
            <v>Strands</v>
          </cell>
          <cell r="AJ127" t="str">
            <v>Not under maintenance</v>
          </cell>
        </row>
        <row r="128">
          <cell r="A128" t="str">
            <v>IKN400911</v>
          </cell>
          <cell r="B128">
            <v>910</v>
          </cell>
          <cell r="C128" t="str">
            <v>Institut Kanser Negara</v>
          </cell>
          <cell r="D128" t="e">
            <v>#N/A</v>
          </cell>
          <cell r="E128" t="str">
            <v>16-158</v>
          </cell>
          <cell r="F128" t="str">
            <v>Sphygmomanometers, Mercury</v>
          </cell>
          <cell r="G128" t="str">
            <v>OC</v>
          </cell>
          <cell r="H128" t="str">
            <v>ONCOLOGY CLINIC</v>
          </cell>
          <cell r="I128" t="str">
            <v>03OC104</v>
          </cell>
          <cell r="J128" t="str">
            <v>C/E 7</v>
          </cell>
          <cell r="K128" t="str">
            <v>BMED</v>
          </cell>
          <cell r="L128" t="str">
            <v>Normal</v>
          </cell>
          <cell r="M128" t="str">
            <v>Germany</v>
          </cell>
          <cell r="N128" t="str">
            <v>Erka</v>
          </cell>
          <cell r="O128" t="str">
            <v>Erkameter 3000</v>
          </cell>
          <cell r="P128" t="str">
            <v>12508922</v>
          </cell>
          <cell r="Q128" t="str">
            <v>Not Applicable</v>
          </cell>
          <cell r="R128" t="str">
            <v>Erka GmbH &amp; Co</v>
          </cell>
          <cell r="S128" t="str">
            <v>Acucare Systems (M) Sdn bhd</v>
          </cell>
          <cell r="T128" t="str">
            <v>Functioning</v>
          </cell>
          <cell r="U128" t="str">
            <v>Asset</v>
          </cell>
          <cell r="V128">
            <v>505</v>
          </cell>
          <cell r="W128" t="str">
            <v>KEW</v>
          </cell>
          <cell r="X128" t="str">
            <v>01/09/2010</v>
          </cell>
          <cell r="Y128" t="str">
            <v>KEW</v>
          </cell>
          <cell r="Z128" t="str">
            <v>16/08/2013</v>
          </cell>
          <cell r="AA128" t="str">
            <v>15/08/2015</v>
          </cell>
          <cell r="AB128" t="str">
            <v>No</v>
          </cell>
          <cell r="AC128" t="str">
            <v>31/08/2013</v>
          </cell>
          <cell r="AD128" t="str">
            <v>Good</v>
          </cell>
          <cell r="AE128" t="str">
            <v>V4 - Decommissioned Installed Facility</v>
          </cell>
          <cell r="AF128">
            <v>42235</v>
          </cell>
          <cell r="AG128">
            <v>9.17</v>
          </cell>
          <cell r="AH128" t="str">
            <v>PPM</v>
          </cell>
          <cell r="AI128" t="str">
            <v>Not in contract</v>
          </cell>
          <cell r="AJ128" t="str">
            <v>Not under maintenance</v>
          </cell>
          <cell r="AK128" t="e">
            <v>#N/A</v>
          </cell>
        </row>
        <row r="129">
          <cell r="A129" t="str">
            <v>IKN400912</v>
          </cell>
          <cell r="B129">
            <v>911</v>
          </cell>
          <cell r="C129" t="str">
            <v>Institut Kanser Negara</v>
          </cell>
          <cell r="D129" t="e">
            <v>#N/A</v>
          </cell>
          <cell r="E129" t="str">
            <v>16-158</v>
          </cell>
          <cell r="F129" t="str">
            <v>Sphygmomanometers, Mercury</v>
          </cell>
          <cell r="G129" t="str">
            <v>OC</v>
          </cell>
          <cell r="H129" t="str">
            <v>ONCOLOGY CLINIC</v>
          </cell>
          <cell r="I129" t="str">
            <v>03OC105</v>
          </cell>
          <cell r="J129" t="str">
            <v>C/E 8</v>
          </cell>
          <cell r="K129" t="str">
            <v>BMED</v>
          </cell>
          <cell r="L129" t="str">
            <v>Normal</v>
          </cell>
          <cell r="M129" t="str">
            <v>Germany</v>
          </cell>
          <cell r="N129" t="str">
            <v>Erka</v>
          </cell>
          <cell r="O129" t="str">
            <v>Erkameter 3000</v>
          </cell>
          <cell r="P129" t="str">
            <v>12508923</v>
          </cell>
          <cell r="Q129" t="str">
            <v>Not Applicable</v>
          </cell>
          <cell r="R129" t="str">
            <v>Erka GmbH &amp; Co</v>
          </cell>
          <cell r="S129" t="str">
            <v>Acucare Systems (M) Sdn bhd</v>
          </cell>
          <cell r="T129" t="str">
            <v>Functioning</v>
          </cell>
          <cell r="U129" t="str">
            <v>Asset</v>
          </cell>
          <cell r="V129">
            <v>505</v>
          </cell>
          <cell r="W129" t="str">
            <v>KEW</v>
          </cell>
          <cell r="X129" t="str">
            <v>01/09/2010</v>
          </cell>
          <cell r="Y129" t="str">
            <v>KEW</v>
          </cell>
          <cell r="Z129" t="str">
            <v>16/08/2013</v>
          </cell>
          <cell r="AA129" t="str">
            <v>15/08/2015</v>
          </cell>
          <cell r="AB129" t="str">
            <v>No</v>
          </cell>
          <cell r="AC129" t="str">
            <v>31/08/2013</v>
          </cell>
          <cell r="AD129" t="str">
            <v>Good</v>
          </cell>
          <cell r="AE129" t="str">
            <v>V4 - Decommissioned Installed Facility</v>
          </cell>
          <cell r="AF129">
            <v>42235</v>
          </cell>
          <cell r="AG129">
            <v>9.17</v>
          </cell>
          <cell r="AH129" t="str">
            <v>PPM</v>
          </cell>
          <cell r="AI129" t="str">
            <v>Not in contract</v>
          </cell>
          <cell r="AJ129" t="str">
            <v>Not under maintenance</v>
          </cell>
          <cell r="AK129" t="e">
            <v>#N/A</v>
          </cell>
        </row>
        <row r="130">
          <cell r="A130" t="str">
            <v>IKN400913</v>
          </cell>
          <cell r="B130">
            <v>912</v>
          </cell>
          <cell r="C130" t="str">
            <v>Institut Kanser Negara</v>
          </cell>
          <cell r="D130" t="e">
            <v>#N/A</v>
          </cell>
          <cell r="E130" t="str">
            <v>16-158</v>
          </cell>
          <cell r="F130" t="str">
            <v>Sphygmomanometers, Mercury</v>
          </cell>
          <cell r="G130" t="str">
            <v>OC</v>
          </cell>
          <cell r="H130" t="str">
            <v>ONCOLOGY CLINIC</v>
          </cell>
          <cell r="I130" t="str">
            <v>03OC133</v>
          </cell>
          <cell r="J130" t="str">
            <v>ASSESSMENT</v>
          </cell>
          <cell r="K130" t="str">
            <v>BMED</v>
          </cell>
          <cell r="L130" t="str">
            <v>Normal</v>
          </cell>
          <cell r="M130" t="str">
            <v>Germany</v>
          </cell>
          <cell r="N130" t="str">
            <v>Erka</v>
          </cell>
          <cell r="O130" t="str">
            <v>Erkameter 3000</v>
          </cell>
          <cell r="P130" t="str">
            <v>13500752</v>
          </cell>
          <cell r="Q130" t="str">
            <v>Not Applicable</v>
          </cell>
          <cell r="R130" t="str">
            <v>Erka GmbH &amp; Co</v>
          </cell>
          <cell r="S130" t="str">
            <v>Acucare Systems (M) Sdn bhd</v>
          </cell>
          <cell r="T130" t="str">
            <v>Functioning</v>
          </cell>
          <cell r="U130" t="str">
            <v>Asset</v>
          </cell>
          <cell r="V130">
            <v>505</v>
          </cell>
          <cell r="W130" t="str">
            <v>KEW</v>
          </cell>
          <cell r="X130" t="str">
            <v>01/09/2010</v>
          </cell>
          <cell r="Y130" t="str">
            <v>KEW</v>
          </cell>
          <cell r="Z130" t="str">
            <v>16/08/2013</v>
          </cell>
          <cell r="AA130" t="str">
            <v>15/08/2015</v>
          </cell>
          <cell r="AB130" t="str">
            <v>No</v>
          </cell>
          <cell r="AC130" t="str">
            <v>31/08/2013</v>
          </cell>
          <cell r="AD130" t="str">
            <v>Good</v>
          </cell>
          <cell r="AE130" t="str">
            <v>V4 - Decommissioned Installed Facility</v>
          </cell>
          <cell r="AF130">
            <v>42235</v>
          </cell>
          <cell r="AG130">
            <v>9.17</v>
          </cell>
          <cell r="AH130" t="str">
            <v>PPM</v>
          </cell>
          <cell r="AI130" t="str">
            <v>Not in contract</v>
          </cell>
          <cell r="AJ130" t="str">
            <v>Not under maintenance</v>
          </cell>
          <cell r="AK130" t="e">
            <v>#N/A</v>
          </cell>
        </row>
        <row r="131">
          <cell r="A131" t="str">
            <v>IKN400970</v>
          </cell>
          <cell r="B131">
            <v>968</v>
          </cell>
          <cell r="C131" t="str">
            <v>Institut Kanser Negara</v>
          </cell>
          <cell r="D131" t="e">
            <v>#N/A</v>
          </cell>
          <cell r="E131" t="str">
            <v>16-158</v>
          </cell>
          <cell r="F131" t="str">
            <v>Sphygmomanometers, Mercury</v>
          </cell>
          <cell r="G131" t="str">
            <v>RT</v>
          </cell>
          <cell r="H131" t="str">
            <v>RADIATION TREATMENT UNIT</v>
          </cell>
          <cell r="I131" t="str">
            <v>01RT109</v>
          </cell>
          <cell r="J131" t="str">
            <v>C/L 1</v>
          </cell>
          <cell r="K131" t="str">
            <v>BMED</v>
          </cell>
          <cell r="L131" t="str">
            <v>Normal</v>
          </cell>
          <cell r="M131" t="str">
            <v>Germany</v>
          </cell>
          <cell r="N131" t="str">
            <v>Erka</v>
          </cell>
          <cell r="O131" t="str">
            <v>Erkameter 3000</v>
          </cell>
          <cell r="P131" t="str">
            <v>13500759</v>
          </cell>
          <cell r="Q131" t="str">
            <v>Not Applicable</v>
          </cell>
          <cell r="R131" t="str">
            <v>Erka GmbH &amp; Co</v>
          </cell>
          <cell r="S131" t="str">
            <v>Acucare Systems (M) Sdn bhd</v>
          </cell>
          <cell r="T131" t="str">
            <v>Functioning</v>
          </cell>
          <cell r="U131" t="str">
            <v>Asset</v>
          </cell>
          <cell r="V131">
            <v>505</v>
          </cell>
          <cell r="W131" t="str">
            <v>KEW</v>
          </cell>
          <cell r="X131" t="str">
            <v>01/09/2010</v>
          </cell>
          <cell r="Y131" t="str">
            <v>KEW</v>
          </cell>
          <cell r="Z131" t="str">
            <v>16/08/2013</v>
          </cell>
          <cell r="AA131" t="str">
            <v>15/08/2015</v>
          </cell>
          <cell r="AB131" t="str">
            <v>No</v>
          </cell>
          <cell r="AC131" t="str">
            <v>31/08/2013</v>
          </cell>
          <cell r="AD131" t="str">
            <v>Good</v>
          </cell>
          <cell r="AE131" t="str">
            <v>V4 - Decommissioned Installed Facility</v>
          </cell>
          <cell r="AF131">
            <v>42235</v>
          </cell>
          <cell r="AG131">
            <v>9.17</v>
          </cell>
          <cell r="AH131" t="str">
            <v>PPM</v>
          </cell>
          <cell r="AI131" t="str">
            <v>Not in contract</v>
          </cell>
          <cell r="AJ131" t="str">
            <v>Not under maintenance</v>
          </cell>
          <cell r="AK131" t="e">
            <v>#N/A</v>
          </cell>
        </row>
        <row r="132">
          <cell r="A132" t="str">
            <v>IKN400971</v>
          </cell>
          <cell r="B132">
            <v>969</v>
          </cell>
          <cell r="C132" t="str">
            <v>Institut Kanser Negara</v>
          </cell>
          <cell r="D132" t="e">
            <v>#N/A</v>
          </cell>
          <cell r="E132" t="str">
            <v>16-158</v>
          </cell>
          <cell r="F132" t="str">
            <v>Sphygmomanometers, Mercury</v>
          </cell>
          <cell r="G132" t="str">
            <v>RT</v>
          </cell>
          <cell r="H132" t="str">
            <v>RADIATION TREATMENT UNIT</v>
          </cell>
          <cell r="I132" t="str">
            <v>01RT110</v>
          </cell>
          <cell r="J132" t="str">
            <v>C/E 2</v>
          </cell>
          <cell r="K132" t="str">
            <v>BMED</v>
          </cell>
          <cell r="L132" t="str">
            <v>Normal</v>
          </cell>
          <cell r="M132" t="str">
            <v>Germany</v>
          </cell>
          <cell r="N132" t="str">
            <v>Erka</v>
          </cell>
          <cell r="O132" t="str">
            <v>Erkameter 3000</v>
          </cell>
          <cell r="P132" t="str">
            <v>12508915</v>
          </cell>
          <cell r="Q132" t="str">
            <v>Not Applicable</v>
          </cell>
          <cell r="R132" t="str">
            <v>Erka GmbH &amp; Co</v>
          </cell>
          <cell r="S132" t="str">
            <v>Acucare Systems (M) Sdn bhd</v>
          </cell>
          <cell r="T132" t="str">
            <v>Functioning</v>
          </cell>
          <cell r="U132" t="str">
            <v>Asset</v>
          </cell>
          <cell r="V132">
            <v>505</v>
          </cell>
          <cell r="W132" t="str">
            <v>KEW</v>
          </cell>
          <cell r="X132" t="str">
            <v>01/09/2010</v>
          </cell>
          <cell r="Y132" t="str">
            <v>KEW</v>
          </cell>
          <cell r="Z132" t="str">
            <v>16/08/2013</v>
          </cell>
          <cell r="AA132" t="str">
            <v>15/08/2015</v>
          </cell>
          <cell r="AB132" t="str">
            <v>No</v>
          </cell>
          <cell r="AC132" t="str">
            <v>31/08/2013</v>
          </cell>
          <cell r="AD132" t="str">
            <v>Good</v>
          </cell>
          <cell r="AE132" t="str">
            <v>V4 - Decommissioned Installed Facility</v>
          </cell>
          <cell r="AF132">
            <v>42235</v>
          </cell>
          <cell r="AG132">
            <v>9.17</v>
          </cell>
          <cell r="AH132" t="str">
            <v>PPM</v>
          </cell>
          <cell r="AI132" t="str">
            <v>Not in contract</v>
          </cell>
          <cell r="AJ132" t="str">
            <v>Not under maintenance</v>
          </cell>
          <cell r="AK132" t="e">
            <v>#N/A</v>
          </cell>
        </row>
        <row r="133">
          <cell r="A133" t="str">
            <v>IKN401062</v>
          </cell>
          <cell r="B133">
            <v>1060</v>
          </cell>
          <cell r="C133" t="str">
            <v>Institut Kanser Negara</v>
          </cell>
          <cell r="D133" t="e">
            <v>#N/A</v>
          </cell>
          <cell r="E133" t="str">
            <v>16-158</v>
          </cell>
          <cell r="F133" t="str">
            <v>Sphygmomanometers, Mercury</v>
          </cell>
          <cell r="G133" t="str">
            <v>OT</v>
          </cell>
          <cell r="H133" t="str">
            <v>OPERATING THEATRE</v>
          </cell>
          <cell r="I133" t="str">
            <v>05OT169</v>
          </cell>
          <cell r="J133" t="str">
            <v>EQ. ROOM</v>
          </cell>
          <cell r="K133" t="str">
            <v>BMED</v>
          </cell>
          <cell r="L133" t="str">
            <v>Normal</v>
          </cell>
          <cell r="M133" t="str">
            <v>Germany</v>
          </cell>
          <cell r="N133" t="str">
            <v>Erka</v>
          </cell>
          <cell r="O133" t="str">
            <v>Erkameter 3000</v>
          </cell>
          <cell r="P133" t="str">
            <v>13500820</v>
          </cell>
          <cell r="Q133" t="str">
            <v>Not Applicable</v>
          </cell>
          <cell r="R133" t="str">
            <v>Erka GmbH &amp; Co</v>
          </cell>
          <cell r="S133" t="str">
            <v>Acucare Systems (M) Sdn bhd</v>
          </cell>
          <cell r="T133" t="str">
            <v>Functioning</v>
          </cell>
          <cell r="U133" t="str">
            <v>Asset</v>
          </cell>
          <cell r="V133">
            <v>505</v>
          </cell>
          <cell r="W133" t="str">
            <v>KEW</v>
          </cell>
          <cell r="X133" t="str">
            <v>01/09/2010</v>
          </cell>
          <cell r="Y133" t="str">
            <v>KEW</v>
          </cell>
          <cell r="Z133" t="str">
            <v>16/08/2013</v>
          </cell>
          <cell r="AA133" t="str">
            <v>15/08/2015</v>
          </cell>
          <cell r="AB133" t="str">
            <v>No</v>
          </cell>
          <cell r="AC133" t="str">
            <v>31/08/2013</v>
          </cell>
          <cell r="AD133" t="str">
            <v>Good</v>
          </cell>
          <cell r="AE133" t="str">
            <v>V4 - Decommissioned Installed Facility</v>
          </cell>
          <cell r="AF133">
            <v>42235</v>
          </cell>
          <cell r="AG133">
            <v>9.17</v>
          </cell>
          <cell r="AH133" t="str">
            <v>PPM</v>
          </cell>
          <cell r="AI133" t="str">
            <v>Not in contract</v>
          </cell>
          <cell r="AJ133" t="str">
            <v>Not under maintenance</v>
          </cell>
          <cell r="AK133" t="e">
            <v>#N/A</v>
          </cell>
        </row>
        <row r="134">
          <cell r="A134" t="str">
            <v>IKN401063</v>
          </cell>
          <cell r="B134">
            <v>1061</v>
          </cell>
          <cell r="C134" t="str">
            <v>Institut Kanser Negara</v>
          </cell>
          <cell r="D134" t="e">
            <v>#N/A</v>
          </cell>
          <cell r="E134" t="str">
            <v>16-158</v>
          </cell>
          <cell r="F134" t="str">
            <v>Sphygmomanometers, Mercury</v>
          </cell>
          <cell r="G134" t="str">
            <v>OT</v>
          </cell>
          <cell r="H134" t="str">
            <v>OPERATING THEATRE</v>
          </cell>
          <cell r="I134" t="str">
            <v>05OT169</v>
          </cell>
          <cell r="J134" t="str">
            <v>EQ. ROOM</v>
          </cell>
          <cell r="K134" t="str">
            <v>BMED</v>
          </cell>
          <cell r="L134" t="str">
            <v>Critical</v>
          </cell>
          <cell r="M134" t="str">
            <v>Germany</v>
          </cell>
          <cell r="N134" t="str">
            <v>Erka</v>
          </cell>
          <cell r="O134" t="str">
            <v>Erkameter 3000</v>
          </cell>
          <cell r="P134" t="str">
            <v>13500750</v>
          </cell>
          <cell r="Q134" t="str">
            <v>Not Applicable</v>
          </cell>
          <cell r="R134" t="str">
            <v>Erka GmbH &amp; Co</v>
          </cell>
          <cell r="S134" t="str">
            <v>Acucare Systems (M) Sdn bhd</v>
          </cell>
          <cell r="T134" t="str">
            <v>Functioning</v>
          </cell>
          <cell r="U134" t="str">
            <v>Asset</v>
          </cell>
          <cell r="V134">
            <v>336</v>
          </cell>
          <cell r="W134" t="str">
            <v>KEW</v>
          </cell>
          <cell r="X134" t="str">
            <v>01/09/2010</v>
          </cell>
          <cell r="Y134" t="str">
            <v>KEW</v>
          </cell>
          <cell r="Z134" t="str">
            <v>16/08/2013</v>
          </cell>
          <cell r="AA134" t="str">
            <v>15/08/2015</v>
          </cell>
          <cell r="AB134" t="str">
            <v>No</v>
          </cell>
          <cell r="AC134" t="str">
            <v>31/08/2013</v>
          </cell>
          <cell r="AD134" t="str">
            <v>Good</v>
          </cell>
          <cell r="AE134" t="str">
            <v>V4 - Decommissioned Installed Facility</v>
          </cell>
          <cell r="AF134">
            <v>42803</v>
          </cell>
          <cell r="AG134">
            <v>9.17</v>
          </cell>
          <cell r="AH134" t="str">
            <v>PPM</v>
          </cell>
          <cell r="AI134" t="str">
            <v>Not in contract</v>
          </cell>
          <cell r="AJ134" t="str">
            <v>Not under maintenance</v>
          </cell>
          <cell r="AK134" t="e">
            <v>#N/A</v>
          </cell>
        </row>
        <row r="135">
          <cell r="A135" t="str">
            <v>IKN401064</v>
          </cell>
          <cell r="B135">
            <v>1062</v>
          </cell>
          <cell r="C135" t="str">
            <v>Institut Kanser Negara</v>
          </cell>
          <cell r="D135" t="str">
            <v>KKM/IKN/H/13/177</v>
          </cell>
          <cell r="E135" t="str">
            <v>18-595</v>
          </cell>
          <cell r="F135" t="str">
            <v>Ophthalmoscopes/Otoscopes</v>
          </cell>
          <cell r="G135" t="str">
            <v>OT</v>
          </cell>
          <cell r="H135" t="str">
            <v>OPERATING THEATRE</v>
          </cell>
          <cell r="I135" t="str">
            <v>05OT158</v>
          </cell>
          <cell r="J135" t="str">
            <v>NURSE STATION</v>
          </cell>
          <cell r="K135" t="str">
            <v>BMED</v>
          </cell>
          <cell r="L135" t="str">
            <v>Normal</v>
          </cell>
          <cell r="M135" t="str">
            <v>USA</v>
          </cell>
          <cell r="N135" t="str">
            <v>Welch Allyn</v>
          </cell>
          <cell r="O135" t="str">
            <v>Welch Allyn 97150-BIM</v>
          </cell>
          <cell r="P135" t="str">
            <v>GD0019-33</v>
          </cell>
          <cell r="Q135" t="str">
            <v>Not Applicable</v>
          </cell>
          <cell r="R135" t="str">
            <v>Welch Allyn Inc</v>
          </cell>
          <cell r="S135" t="str">
            <v>Welch Allyn Malaysia Sdn Bhd</v>
          </cell>
          <cell r="T135" t="str">
            <v>Functioning</v>
          </cell>
          <cell r="U135" t="str">
            <v>Asset</v>
          </cell>
          <cell r="V135">
            <v>4690</v>
          </cell>
          <cell r="W135" t="str">
            <v>KEW</v>
          </cell>
          <cell r="X135" t="str">
            <v>01/09/2010</v>
          </cell>
          <cell r="Y135" t="str">
            <v>KEW</v>
          </cell>
          <cell r="Z135" t="str">
            <v>16/08/2013</v>
          </cell>
          <cell r="AA135" t="str">
            <v>15/08/2015</v>
          </cell>
          <cell r="AB135" t="str">
            <v>No</v>
          </cell>
          <cell r="AC135" t="str">
            <v>31/08/2013</v>
          </cell>
          <cell r="AD135" t="str">
            <v>Good</v>
          </cell>
          <cell r="AE135" t="str">
            <v>V1 - Existing / No Claim</v>
          </cell>
          <cell r="AF135">
            <v>42803</v>
          </cell>
          <cell r="AG135">
            <v>9.17</v>
          </cell>
          <cell r="AH135" t="str">
            <v>RI</v>
          </cell>
          <cell r="AI135" t="str">
            <v>Strands</v>
          </cell>
          <cell r="AJ135" t="str">
            <v>Not under maintenance</v>
          </cell>
        </row>
        <row r="136">
          <cell r="A136" t="str">
            <v>IKN401065</v>
          </cell>
          <cell r="B136">
            <v>1063</v>
          </cell>
          <cell r="C136" t="str">
            <v>Institut Kanser Negara</v>
          </cell>
          <cell r="D136" t="str">
            <v>KKM/IKN/H/13/176</v>
          </cell>
          <cell r="E136" t="str">
            <v>18-595</v>
          </cell>
          <cell r="F136" t="str">
            <v>Ophthalmoscopes/Otoscopes</v>
          </cell>
          <cell r="G136" t="str">
            <v>OT</v>
          </cell>
          <cell r="H136" t="str">
            <v>OPERATING THEATRE</v>
          </cell>
          <cell r="I136" t="str">
            <v>05OT150</v>
          </cell>
          <cell r="J136" t="str">
            <v>RECEPTION STAFF BASE</v>
          </cell>
          <cell r="K136" t="str">
            <v>BMED</v>
          </cell>
          <cell r="L136" t="str">
            <v>Normal</v>
          </cell>
          <cell r="M136" t="str">
            <v>USA</v>
          </cell>
          <cell r="N136" t="str">
            <v>Welch Allyn</v>
          </cell>
          <cell r="O136" t="str">
            <v>Welch Allyn 97150-BIM</v>
          </cell>
          <cell r="P136" t="str">
            <v>GD0019-32</v>
          </cell>
          <cell r="Q136" t="str">
            <v>Not Applicable</v>
          </cell>
          <cell r="R136" t="str">
            <v>Welch Allyn Inc</v>
          </cell>
          <cell r="S136" t="str">
            <v>Welch Allyn Malaysia Sdn Bhd</v>
          </cell>
          <cell r="T136" t="str">
            <v>Functioning</v>
          </cell>
          <cell r="U136" t="str">
            <v>Asset</v>
          </cell>
          <cell r="V136">
            <v>4690</v>
          </cell>
          <cell r="W136" t="str">
            <v>KEW</v>
          </cell>
          <cell r="X136" t="str">
            <v>01/09/2010</v>
          </cell>
          <cell r="Y136" t="str">
            <v>KEW</v>
          </cell>
          <cell r="Z136" t="str">
            <v>16/08/2013</v>
          </cell>
          <cell r="AA136" t="str">
            <v>15/08/2015</v>
          </cell>
          <cell r="AB136" t="str">
            <v>No</v>
          </cell>
          <cell r="AC136" t="str">
            <v>31/08/2013</v>
          </cell>
          <cell r="AD136" t="str">
            <v>Good</v>
          </cell>
          <cell r="AE136" t="str">
            <v>V1 - Existing / No Claim</v>
          </cell>
          <cell r="AF136">
            <v>42803</v>
          </cell>
          <cell r="AG136">
            <v>9.17</v>
          </cell>
          <cell r="AH136" t="str">
            <v>RI</v>
          </cell>
          <cell r="AI136" t="str">
            <v>Strands</v>
          </cell>
          <cell r="AJ136" t="str">
            <v>Not under maintenance</v>
          </cell>
        </row>
        <row r="137">
          <cell r="A137" t="str">
            <v>IKN401066</v>
          </cell>
          <cell r="B137">
            <v>1064</v>
          </cell>
          <cell r="C137" t="str">
            <v>Institut Kanser Negara</v>
          </cell>
          <cell r="D137" t="e">
            <v>#N/A</v>
          </cell>
          <cell r="E137" t="str">
            <v>18-595</v>
          </cell>
          <cell r="F137" t="str">
            <v>Ophthalmoscopes/Otoscopes</v>
          </cell>
          <cell r="G137" t="str">
            <v>OT</v>
          </cell>
          <cell r="H137" t="str">
            <v>OPERATING THEATRE</v>
          </cell>
          <cell r="I137" t="str">
            <v>05OT169</v>
          </cell>
          <cell r="J137" t="str">
            <v>EQ. ROOM</v>
          </cell>
          <cell r="K137" t="str">
            <v>BMED</v>
          </cell>
          <cell r="L137" t="str">
            <v>Normal</v>
          </cell>
          <cell r="M137" t="str">
            <v>USA</v>
          </cell>
          <cell r="N137" t="str">
            <v>Welch Allyn</v>
          </cell>
          <cell r="O137" t="str">
            <v>Welch Allyn 97150-BIM</v>
          </cell>
          <cell r="P137" t="str">
            <v>N/A</v>
          </cell>
          <cell r="Q137" t="str">
            <v>Not Applicable</v>
          </cell>
          <cell r="R137" t="str">
            <v>Welch Allyn Inc</v>
          </cell>
          <cell r="S137" t="str">
            <v>Welch Allyn Malaysia Sdn Bhd</v>
          </cell>
          <cell r="T137" t="str">
            <v>Functioning</v>
          </cell>
          <cell r="U137" t="str">
            <v>Asset</v>
          </cell>
          <cell r="V137">
            <v>4690</v>
          </cell>
          <cell r="W137" t="str">
            <v>KEW</v>
          </cell>
          <cell r="X137" t="str">
            <v>01/09/2010</v>
          </cell>
          <cell r="Y137" t="str">
            <v>KEW</v>
          </cell>
          <cell r="Z137" t="str">
            <v>16/08/2013</v>
          </cell>
          <cell r="AA137" t="str">
            <v>15/08/2015</v>
          </cell>
          <cell r="AB137" t="str">
            <v>No</v>
          </cell>
          <cell r="AC137" t="str">
            <v>31/08/2013</v>
          </cell>
          <cell r="AD137" t="str">
            <v>Good</v>
          </cell>
          <cell r="AE137" t="str">
            <v>V1 - Existing / No Claim</v>
          </cell>
          <cell r="AF137">
            <v>42235</v>
          </cell>
          <cell r="AG137">
            <v>9.17</v>
          </cell>
          <cell r="AH137" t="str">
            <v>RI</v>
          </cell>
          <cell r="AI137" t="str">
            <v>Not in contract</v>
          </cell>
          <cell r="AJ137" t="str">
            <v>Not under maintenance</v>
          </cell>
          <cell r="AK137" t="str">
            <v>Will be under V4. Taken out of contract as agreed by IKN</v>
          </cell>
        </row>
        <row r="138">
          <cell r="A138" t="str">
            <v>IKN401067</v>
          </cell>
          <cell r="B138">
            <v>1065</v>
          </cell>
          <cell r="C138" t="str">
            <v>Institut Kanser Negara</v>
          </cell>
          <cell r="D138" t="e">
            <v>#N/A</v>
          </cell>
          <cell r="E138" t="str">
            <v>18-595</v>
          </cell>
          <cell r="F138" t="str">
            <v>Ophthalmoscopes/Otoscopes</v>
          </cell>
          <cell r="G138" t="str">
            <v>OT</v>
          </cell>
          <cell r="H138" t="str">
            <v>OPERATING THEATRE</v>
          </cell>
          <cell r="I138" t="str">
            <v>05OT169</v>
          </cell>
          <cell r="J138" t="str">
            <v>EQ. ROOM</v>
          </cell>
          <cell r="K138" t="str">
            <v>BMED</v>
          </cell>
          <cell r="L138" t="str">
            <v>Normal</v>
          </cell>
          <cell r="M138" t="str">
            <v>USA</v>
          </cell>
          <cell r="N138" t="str">
            <v>Welch Allyn</v>
          </cell>
          <cell r="O138" t="str">
            <v>Welch Allyn 97150-BIM</v>
          </cell>
          <cell r="P138" t="str">
            <v>N/A</v>
          </cell>
          <cell r="Q138" t="str">
            <v>Not Applicable</v>
          </cell>
          <cell r="R138" t="str">
            <v>Welch Allyn Inc</v>
          </cell>
          <cell r="S138" t="str">
            <v>Welch Allyn Malaysia Sdn Bhd</v>
          </cell>
          <cell r="T138" t="str">
            <v>Functioning</v>
          </cell>
          <cell r="U138" t="str">
            <v>Asset</v>
          </cell>
          <cell r="V138">
            <v>4690</v>
          </cell>
          <cell r="W138" t="str">
            <v>KEW</v>
          </cell>
          <cell r="X138" t="str">
            <v>01/09/2010</v>
          </cell>
          <cell r="Y138" t="str">
            <v>KEW</v>
          </cell>
          <cell r="Z138" t="str">
            <v>16/08/2013</v>
          </cell>
          <cell r="AA138" t="str">
            <v>15/08/2015</v>
          </cell>
          <cell r="AB138" t="str">
            <v>No</v>
          </cell>
          <cell r="AC138" t="str">
            <v>31/08/2013</v>
          </cell>
          <cell r="AD138" t="str">
            <v>Good</v>
          </cell>
          <cell r="AE138" t="str">
            <v>V1 - Existing / No Claim</v>
          </cell>
          <cell r="AF138">
            <v>42235</v>
          </cell>
          <cell r="AG138">
            <v>9.17</v>
          </cell>
          <cell r="AH138" t="str">
            <v>RI</v>
          </cell>
          <cell r="AI138" t="str">
            <v>Not in contract</v>
          </cell>
          <cell r="AJ138" t="str">
            <v>Not under maintenance</v>
          </cell>
          <cell r="AK138" t="str">
            <v>Will be under V4. Taken out of contract as agreed by IKN</v>
          </cell>
        </row>
        <row r="139">
          <cell r="A139" t="str">
            <v>IKN401114</v>
          </cell>
          <cell r="B139">
            <v>1112</v>
          </cell>
          <cell r="C139" t="str">
            <v>Institut Kanser Negara</v>
          </cell>
          <cell r="D139" t="e">
            <v>#N/A</v>
          </cell>
          <cell r="E139" t="str">
            <v>16-158</v>
          </cell>
          <cell r="F139" t="str">
            <v>Sphygmomanometers, Mercury</v>
          </cell>
          <cell r="G139" t="str">
            <v>AE</v>
          </cell>
          <cell r="H139" t="str">
            <v>EMERGENCY UNIT</v>
          </cell>
          <cell r="I139" t="str">
            <v>01AE118</v>
          </cell>
          <cell r="J139" t="str">
            <v>RESUSCITATION TREATMENT 1</v>
          </cell>
          <cell r="K139" t="str">
            <v>BMED</v>
          </cell>
          <cell r="L139" t="str">
            <v>Normal</v>
          </cell>
          <cell r="M139" t="str">
            <v>Germany</v>
          </cell>
          <cell r="N139" t="str">
            <v>Erka</v>
          </cell>
          <cell r="O139" t="str">
            <v>Erkameter 3000</v>
          </cell>
          <cell r="P139" t="str">
            <v>13500745</v>
          </cell>
          <cell r="Q139" t="str">
            <v>Not Applicable</v>
          </cell>
          <cell r="R139" t="str">
            <v>Erka GmbH &amp; Co</v>
          </cell>
          <cell r="S139" t="str">
            <v>Acucare Systems (M) Sdn bhd</v>
          </cell>
          <cell r="T139" t="str">
            <v>Functioning</v>
          </cell>
          <cell r="U139" t="str">
            <v>Asset</v>
          </cell>
          <cell r="V139">
            <v>505</v>
          </cell>
          <cell r="W139" t="str">
            <v>KEW</v>
          </cell>
          <cell r="X139" t="str">
            <v>01/09/2010</v>
          </cell>
          <cell r="Y139" t="str">
            <v>KEW</v>
          </cell>
          <cell r="Z139" t="str">
            <v>16/08/2013</v>
          </cell>
          <cell r="AA139" t="str">
            <v>15/08/2015</v>
          </cell>
          <cell r="AB139" t="str">
            <v>No</v>
          </cell>
          <cell r="AC139" t="str">
            <v>31/08/2013</v>
          </cell>
          <cell r="AD139" t="str">
            <v>Good</v>
          </cell>
          <cell r="AE139" t="str">
            <v>V4 - Decommissioned Installed Facility</v>
          </cell>
          <cell r="AF139">
            <v>42235</v>
          </cell>
          <cell r="AG139">
            <v>9.17</v>
          </cell>
          <cell r="AH139" t="str">
            <v>PPM</v>
          </cell>
          <cell r="AI139" t="str">
            <v>Not in contract</v>
          </cell>
          <cell r="AJ139" t="str">
            <v>Not under maintenance</v>
          </cell>
          <cell r="AK139" t="e">
            <v>#N/A</v>
          </cell>
        </row>
        <row r="140">
          <cell r="A140" t="str">
            <v>IKN401115</v>
          </cell>
          <cell r="B140">
            <v>1113</v>
          </cell>
          <cell r="C140" t="str">
            <v>Institut Kanser Negara</v>
          </cell>
          <cell r="D140" t="e">
            <v>#N/A</v>
          </cell>
          <cell r="E140" t="str">
            <v>16-158</v>
          </cell>
          <cell r="F140" t="str">
            <v>Sphygmomanometers, Mercury</v>
          </cell>
          <cell r="G140" t="str">
            <v>AE</v>
          </cell>
          <cell r="H140" t="str">
            <v>EMERGENCY UNIT</v>
          </cell>
          <cell r="I140" t="str">
            <v>01AE119</v>
          </cell>
          <cell r="J140" t="str">
            <v>RESUSCITATION/TREATMENT</v>
          </cell>
          <cell r="K140" t="str">
            <v>BMED</v>
          </cell>
          <cell r="L140" t="str">
            <v>Normal</v>
          </cell>
          <cell r="M140" t="str">
            <v>Germany</v>
          </cell>
          <cell r="N140" t="str">
            <v>Erka</v>
          </cell>
          <cell r="O140" t="str">
            <v>Erkameter 3000</v>
          </cell>
          <cell r="P140" t="str">
            <v>13500762</v>
          </cell>
          <cell r="Q140" t="str">
            <v>Not Applicable</v>
          </cell>
          <cell r="R140" t="str">
            <v>Erka GmbH &amp; Co</v>
          </cell>
          <cell r="S140" t="str">
            <v>Acucare Systems (M) Sdn bhd</v>
          </cell>
          <cell r="T140" t="str">
            <v>Functioning</v>
          </cell>
          <cell r="U140" t="str">
            <v>Asset</v>
          </cell>
          <cell r="V140">
            <v>505</v>
          </cell>
          <cell r="W140" t="str">
            <v>KEW</v>
          </cell>
          <cell r="X140" t="str">
            <v>01/09/2010</v>
          </cell>
          <cell r="Y140" t="str">
            <v>KEW</v>
          </cell>
          <cell r="Z140" t="str">
            <v>16/08/2013</v>
          </cell>
          <cell r="AA140" t="str">
            <v>15/08/2015</v>
          </cell>
          <cell r="AB140" t="str">
            <v>No</v>
          </cell>
          <cell r="AC140" t="str">
            <v>31/08/2013</v>
          </cell>
          <cell r="AD140" t="str">
            <v>Good</v>
          </cell>
          <cell r="AE140" t="str">
            <v>V4 - Decommissioned Installed Facility</v>
          </cell>
          <cell r="AF140">
            <v>42235</v>
          </cell>
          <cell r="AG140">
            <v>9.17</v>
          </cell>
          <cell r="AH140" t="str">
            <v>PPM</v>
          </cell>
          <cell r="AI140" t="str">
            <v>Not in contract</v>
          </cell>
          <cell r="AJ140" t="str">
            <v>Not under maintenance</v>
          </cell>
          <cell r="AK140" t="e">
            <v>#N/A</v>
          </cell>
        </row>
        <row r="141">
          <cell r="A141" t="str">
            <v>IKN401132</v>
          </cell>
          <cell r="B141">
            <v>1130</v>
          </cell>
          <cell r="C141" t="str">
            <v>Institut Kanser Negara</v>
          </cell>
          <cell r="D141" t="e">
            <v>#N/A</v>
          </cell>
          <cell r="E141" t="str">
            <v>18-595</v>
          </cell>
          <cell r="F141" t="str">
            <v>Ophthalmoscopes/Otoscopes</v>
          </cell>
          <cell r="G141" t="str">
            <v>AE</v>
          </cell>
          <cell r="H141" t="str">
            <v>EMERGENCY UNIT</v>
          </cell>
          <cell r="I141" t="str">
            <v>01AE106</v>
          </cell>
          <cell r="J141" t="str">
            <v>C/E ROOM</v>
          </cell>
          <cell r="K141" t="str">
            <v>BMED</v>
          </cell>
          <cell r="L141" t="str">
            <v>Normal</v>
          </cell>
          <cell r="M141" t="str">
            <v>USA</v>
          </cell>
          <cell r="N141" t="str">
            <v>Welch Allyn</v>
          </cell>
          <cell r="O141" t="str">
            <v>Welch Allyn 71904</v>
          </cell>
          <cell r="P141" t="str">
            <v>N/A</v>
          </cell>
          <cell r="Q141" t="str">
            <v>Not Applicable</v>
          </cell>
          <cell r="R141" t="str">
            <v>Welch Allyn Inc</v>
          </cell>
          <cell r="S141" t="str">
            <v>Welch Allyn Malaysia Sdn Bhd</v>
          </cell>
          <cell r="T141" t="str">
            <v>Functioning</v>
          </cell>
          <cell r="U141" t="str">
            <v>Asset</v>
          </cell>
          <cell r="V141">
            <v>4690</v>
          </cell>
          <cell r="W141" t="str">
            <v>KEW</v>
          </cell>
          <cell r="X141" t="str">
            <v>01/09/2010</v>
          </cell>
          <cell r="Y141" t="str">
            <v>KEW</v>
          </cell>
          <cell r="Z141" t="str">
            <v>16/08/2013</v>
          </cell>
          <cell r="AA141" t="str">
            <v>15/08/2015</v>
          </cell>
          <cell r="AB141" t="str">
            <v>No</v>
          </cell>
          <cell r="AC141" t="str">
            <v>31/08/2013</v>
          </cell>
          <cell r="AD141" t="str">
            <v>Good</v>
          </cell>
          <cell r="AE141" t="str">
            <v>V1 - Existing / No Claim</v>
          </cell>
          <cell r="AF141">
            <v>42235</v>
          </cell>
          <cell r="AG141">
            <v>9.17</v>
          </cell>
          <cell r="AH141" t="str">
            <v>RI</v>
          </cell>
          <cell r="AI141" t="str">
            <v>Not in contract</v>
          </cell>
          <cell r="AJ141" t="str">
            <v>Not under maintenance</v>
          </cell>
          <cell r="AK141" t="str">
            <v>Will be under V4. Taken out of contract as agreed by IKN</v>
          </cell>
        </row>
        <row r="142">
          <cell r="A142" t="str">
            <v>IKN401153</v>
          </cell>
          <cell r="B142">
            <v>1151</v>
          </cell>
          <cell r="C142" t="str">
            <v>Institut Kanser Negara</v>
          </cell>
          <cell r="D142" t="e">
            <v>#N/A</v>
          </cell>
          <cell r="E142" t="str">
            <v>18-595</v>
          </cell>
          <cell r="F142" t="str">
            <v>Ophthalmoscopes/Otoscopes</v>
          </cell>
          <cell r="G142" t="str">
            <v>OC</v>
          </cell>
          <cell r="H142" t="str">
            <v>ONCOLOGY CLINIC</v>
          </cell>
          <cell r="I142" t="str">
            <v>03OC104</v>
          </cell>
          <cell r="J142" t="str">
            <v>C/E 7</v>
          </cell>
          <cell r="K142" t="str">
            <v>BMED</v>
          </cell>
          <cell r="L142" t="str">
            <v>Normal</v>
          </cell>
          <cell r="M142" t="str">
            <v>USA</v>
          </cell>
          <cell r="N142" t="str">
            <v>Welch Allyn</v>
          </cell>
          <cell r="O142" t="str">
            <v>Welch Allyn 71904</v>
          </cell>
          <cell r="P142" t="str">
            <v>GD0019-39</v>
          </cell>
          <cell r="Q142" t="str">
            <v>Not Applicable</v>
          </cell>
          <cell r="R142" t="str">
            <v>Welch Allyn Inc</v>
          </cell>
          <cell r="S142" t="str">
            <v>Welch Allyn Malaysia Sdn Bhd</v>
          </cell>
          <cell r="T142" t="str">
            <v>Functioning</v>
          </cell>
          <cell r="U142" t="str">
            <v>Asset</v>
          </cell>
          <cell r="V142">
            <v>4690</v>
          </cell>
          <cell r="W142" t="str">
            <v>KEW</v>
          </cell>
          <cell r="X142" t="str">
            <v>01/09/2010</v>
          </cell>
          <cell r="Y142" t="str">
            <v>KEW</v>
          </cell>
          <cell r="Z142" t="str">
            <v>16/08/2013</v>
          </cell>
          <cell r="AA142" t="str">
            <v>15/08/2015</v>
          </cell>
          <cell r="AB142" t="str">
            <v>No</v>
          </cell>
          <cell r="AC142" t="str">
            <v>31/08/2013</v>
          </cell>
          <cell r="AD142" t="str">
            <v>Good</v>
          </cell>
          <cell r="AE142" t="str">
            <v>V1 - Existing / No Claim</v>
          </cell>
          <cell r="AF142">
            <v>42797</v>
          </cell>
          <cell r="AG142">
            <v>9.17</v>
          </cell>
          <cell r="AH142" t="str">
            <v>RI</v>
          </cell>
          <cell r="AI142" t="str">
            <v>Not in contract</v>
          </cell>
          <cell r="AJ142" t="str">
            <v>Not under maintenance</v>
          </cell>
          <cell r="AK142" t="str">
            <v>Will be under V4. Taken out of contract as agreed by IKN</v>
          </cell>
        </row>
        <row r="143">
          <cell r="A143" t="str">
            <v>IKN401154</v>
          </cell>
          <cell r="B143">
            <v>1152</v>
          </cell>
          <cell r="C143" t="str">
            <v>Institut Kanser Negara</v>
          </cell>
          <cell r="D143" t="str">
            <v>KKM/IKN/H/13/1625</v>
          </cell>
          <cell r="E143" t="str">
            <v>18-595</v>
          </cell>
          <cell r="F143" t="str">
            <v>Ophthalmoscopes/Otoscopes</v>
          </cell>
          <cell r="G143" t="str">
            <v>OC</v>
          </cell>
          <cell r="H143" t="str">
            <v>ONCOLOGY CLINIC</v>
          </cell>
          <cell r="I143" t="str">
            <v>03OC105</v>
          </cell>
          <cell r="J143" t="str">
            <v>C/E 8</v>
          </cell>
          <cell r="K143" t="str">
            <v>BMED</v>
          </cell>
          <cell r="L143" t="str">
            <v>Normal</v>
          </cell>
          <cell r="M143" t="str">
            <v>USA</v>
          </cell>
          <cell r="N143" t="str">
            <v>Welch Allyn</v>
          </cell>
          <cell r="O143" t="str">
            <v>Welch Allyn 71904</v>
          </cell>
          <cell r="P143" t="str">
            <v>GD0019-24</v>
          </cell>
          <cell r="Q143" t="str">
            <v>Not Applicable</v>
          </cell>
          <cell r="R143" t="str">
            <v>Welch Allyn Inc</v>
          </cell>
          <cell r="S143" t="str">
            <v>Welch Allyn Malaysia Sdn Bhd</v>
          </cell>
          <cell r="T143" t="str">
            <v>Functioning</v>
          </cell>
          <cell r="U143" t="str">
            <v>Asset</v>
          </cell>
          <cell r="V143">
            <v>4690</v>
          </cell>
          <cell r="W143" t="str">
            <v>KEW</v>
          </cell>
          <cell r="X143" t="str">
            <v>01/09/2010</v>
          </cell>
          <cell r="Y143" t="str">
            <v>KEW</v>
          </cell>
          <cell r="Z143" t="str">
            <v>16/08/2013</v>
          </cell>
          <cell r="AA143" t="str">
            <v>15/08/2015</v>
          </cell>
          <cell r="AB143" t="str">
            <v>No</v>
          </cell>
          <cell r="AC143" t="str">
            <v>31/08/2013</v>
          </cell>
          <cell r="AD143" t="str">
            <v>Good</v>
          </cell>
          <cell r="AE143" t="str">
            <v>V1 - Existing / No Claim</v>
          </cell>
          <cell r="AF143">
            <v>42802</v>
          </cell>
          <cell r="AG143">
            <v>9.17</v>
          </cell>
          <cell r="AH143" t="str">
            <v>RI</v>
          </cell>
          <cell r="AI143" t="str">
            <v>Strands</v>
          </cell>
          <cell r="AJ143" t="str">
            <v>Not under maintenance</v>
          </cell>
        </row>
        <row r="144">
          <cell r="A144" t="str">
            <v>IKN401155</v>
          </cell>
          <cell r="B144">
            <v>1153</v>
          </cell>
          <cell r="C144" t="str">
            <v>Institut Kanser Negara</v>
          </cell>
          <cell r="D144" t="e">
            <v>#N/A</v>
          </cell>
          <cell r="E144" t="str">
            <v>18-595</v>
          </cell>
          <cell r="F144" t="str">
            <v>Ophthalmoscopes/Otoscopes</v>
          </cell>
          <cell r="G144" t="str">
            <v>OC</v>
          </cell>
          <cell r="H144" t="str">
            <v>ONCOLOGY CLINIC</v>
          </cell>
          <cell r="I144" t="str">
            <v>03OC106</v>
          </cell>
          <cell r="J144" t="str">
            <v>C/E 9</v>
          </cell>
          <cell r="K144" t="str">
            <v>BMED</v>
          </cell>
          <cell r="L144" t="str">
            <v>Normal</v>
          </cell>
          <cell r="M144" t="str">
            <v>USA</v>
          </cell>
          <cell r="N144" t="str">
            <v>Welch Allyn</v>
          </cell>
          <cell r="O144" t="str">
            <v>Welch Allyn 71904</v>
          </cell>
          <cell r="P144" t="str">
            <v>GD0019-25</v>
          </cell>
          <cell r="Q144" t="str">
            <v>Not Applicable</v>
          </cell>
          <cell r="R144" t="str">
            <v>Welch Allyn Inc</v>
          </cell>
          <cell r="S144" t="str">
            <v>Welch Allyn Malaysia Sdn Bhd</v>
          </cell>
          <cell r="T144" t="str">
            <v>Functioning</v>
          </cell>
          <cell r="U144" t="str">
            <v>Asset</v>
          </cell>
          <cell r="V144">
            <v>4690</v>
          </cell>
          <cell r="W144" t="str">
            <v>KEW</v>
          </cell>
          <cell r="X144" t="str">
            <v>01/09/2010</v>
          </cell>
          <cell r="Y144" t="str">
            <v>KEW</v>
          </cell>
          <cell r="Z144" t="str">
            <v>16/08/2013</v>
          </cell>
          <cell r="AA144" t="str">
            <v>15/08/2015</v>
          </cell>
          <cell r="AB144" t="str">
            <v>No</v>
          </cell>
          <cell r="AC144" t="str">
            <v>31/08/2013</v>
          </cell>
          <cell r="AD144" t="str">
            <v>Good</v>
          </cell>
          <cell r="AE144" t="str">
            <v>V1 - Existing / No Claim</v>
          </cell>
          <cell r="AF144">
            <v>42802</v>
          </cell>
          <cell r="AG144">
            <v>9.17</v>
          </cell>
          <cell r="AH144" t="str">
            <v>RI</v>
          </cell>
          <cell r="AI144" t="str">
            <v>Not in contract</v>
          </cell>
          <cell r="AJ144" t="str">
            <v>Not under maintenance</v>
          </cell>
          <cell r="AK144" t="str">
            <v>Will be under V4. Taken out of contract as agreed by IKN</v>
          </cell>
        </row>
        <row r="145">
          <cell r="A145" t="str">
            <v>IKN401156</v>
          </cell>
          <cell r="B145">
            <v>1154</v>
          </cell>
          <cell r="C145" t="str">
            <v>Institut Kanser Negara</v>
          </cell>
          <cell r="D145" t="str">
            <v>KKM/IKN/H/13/1627</v>
          </cell>
          <cell r="E145" t="str">
            <v>18-595</v>
          </cell>
          <cell r="F145" t="str">
            <v>Ophthalmoscopes/Otoscopes</v>
          </cell>
          <cell r="G145" t="str">
            <v>OC</v>
          </cell>
          <cell r="H145" t="str">
            <v>ONCOLOGY CLINIC</v>
          </cell>
          <cell r="I145" t="str">
            <v>03OC107</v>
          </cell>
          <cell r="J145" t="str">
            <v>C/E 10</v>
          </cell>
          <cell r="K145" t="str">
            <v>BMED</v>
          </cell>
          <cell r="L145" t="str">
            <v>Normal</v>
          </cell>
          <cell r="M145" t="str">
            <v>USA</v>
          </cell>
          <cell r="N145" t="str">
            <v>Welch Allyn</v>
          </cell>
          <cell r="O145" t="str">
            <v>Welch Allyn 71904</v>
          </cell>
          <cell r="P145" t="str">
            <v>GD0019-26</v>
          </cell>
          <cell r="Q145" t="str">
            <v>Not Applicable</v>
          </cell>
          <cell r="R145" t="str">
            <v>Welch Allyn Inc</v>
          </cell>
          <cell r="S145" t="str">
            <v>Welch Allyn Malaysia Sdn Bhd</v>
          </cell>
          <cell r="T145" t="str">
            <v>Functioning</v>
          </cell>
          <cell r="U145" t="str">
            <v>Asset</v>
          </cell>
          <cell r="V145">
            <v>4690</v>
          </cell>
          <cell r="W145" t="str">
            <v>KEW</v>
          </cell>
          <cell r="X145" t="str">
            <v>01/09/2010</v>
          </cell>
          <cell r="Y145" t="str">
            <v>KEW</v>
          </cell>
          <cell r="Z145" t="str">
            <v>16/08/2013</v>
          </cell>
          <cell r="AA145" t="str">
            <v>15/08/2015</v>
          </cell>
          <cell r="AB145" t="str">
            <v>No</v>
          </cell>
          <cell r="AC145" t="str">
            <v>31/08/2013</v>
          </cell>
          <cell r="AD145" t="str">
            <v>Good</v>
          </cell>
          <cell r="AE145" t="str">
            <v>V1 - Existing / No Claim</v>
          </cell>
          <cell r="AF145">
            <v>42802</v>
          </cell>
          <cell r="AG145">
            <v>9.17</v>
          </cell>
          <cell r="AH145" t="str">
            <v>RI</v>
          </cell>
          <cell r="AI145" t="str">
            <v>Strands</v>
          </cell>
          <cell r="AJ145" t="str">
            <v>Not under maintenance</v>
          </cell>
        </row>
        <row r="146">
          <cell r="A146" t="str">
            <v>IKN401157</v>
          </cell>
          <cell r="B146">
            <v>1155</v>
          </cell>
          <cell r="C146" t="str">
            <v>Institut Kanser Negara</v>
          </cell>
          <cell r="D146" t="str">
            <v>KKM/IKN/H/13/1617</v>
          </cell>
          <cell r="E146" t="str">
            <v>18-595</v>
          </cell>
          <cell r="F146" t="str">
            <v>Ophthalmoscopes/Otoscopes</v>
          </cell>
          <cell r="G146" t="str">
            <v>OC</v>
          </cell>
          <cell r="H146" t="str">
            <v>ONCOLOGY CLINIC</v>
          </cell>
          <cell r="I146" t="str">
            <v>03OC108</v>
          </cell>
          <cell r="J146" t="str">
            <v>C/E 11</v>
          </cell>
          <cell r="K146" t="str">
            <v>BMED</v>
          </cell>
          <cell r="L146" t="str">
            <v>Normal</v>
          </cell>
          <cell r="M146" t="str">
            <v>USA</v>
          </cell>
          <cell r="N146" t="str">
            <v>Welch Allyn</v>
          </cell>
          <cell r="O146" t="str">
            <v>Welch Allyn 71904</v>
          </cell>
          <cell r="P146" t="str">
            <v>GD0019-27</v>
          </cell>
          <cell r="Q146" t="str">
            <v>Not Applicable</v>
          </cell>
          <cell r="R146" t="str">
            <v>Welch Allyn Inc</v>
          </cell>
          <cell r="S146" t="str">
            <v>Welch Allyn Malaysia Sdn Bhd</v>
          </cell>
          <cell r="T146" t="str">
            <v>Functioning</v>
          </cell>
          <cell r="U146" t="str">
            <v>Asset</v>
          </cell>
          <cell r="V146">
            <v>4690</v>
          </cell>
          <cell r="W146" t="str">
            <v>KEW</v>
          </cell>
          <cell r="X146" t="str">
            <v>01/09/2010</v>
          </cell>
          <cell r="Y146" t="str">
            <v>KEW</v>
          </cell>
          <cell r="Z146" t="str">
            <v>16/08/2013</v>
          </cell>
          <cell r="AA146" t="str">
            <v>15/08/2015</v>
          </cell>
          <cell r="AB146" t="str">
            <v>No</v>
          </cell>
          <cell r="AC146" t="str">
            <v>31/08/2013</v>
          </cell>
          <cell r="AD146" t="str">
            <v>Good</v>
          </cell>
          <cell r="AE146" t="str">
            <v>V1 - Existing / No Claim</v>
          </cell>
          <cell r="AF146">
            <v>42802</v>
          </cell>
          <cell r="AG146">
            <v>9.17</v>
          </cell>
          <cell r="AH146" t="str">
            <v>RI</v>
          </cell>
          <cell r="AI146" t="str">
            <v>Strands</v>
          </cell>
          <cell r="AJ146" t="str">
            <v>Not under maintenance</v>
          </cell>
        </row>
        <row r="147">
          <cell r="A147" t="str">
            <v>IKN401158</v>
          </cell>
          <cell r="B147">
            <v>1156</v>
          </cell>
          <cell r="C147" t="str">
            <v>Institut Kanser Negara</v>
          </cell>
          <cell r="D147" t="e">
            <v>#N/A</v>
          </cell>
          <cell r="E147" t="str">
            <v>18-595</v>
          </cell>
          <cell r="F147" t="str">
            <v>Ophthalmoscopes/Otoscopes</v>
          </cell>
          <cell r="G147" t="str">
            <v>OC</v>
          </cell>
          <cell r="H147" t="str">
            <v>ONCOLOGY CLINIC</v>
          </cell>
          <cell r="I147" t="str">
            <v>03OC109</v>
          </cell>
          <cell r="J147" t="str">
            <v>C/E 1 (VIP)</v>
          </cell>
          <cell r="K147" t="str">
            <v>BMED</v>
          </cell>
          <cell r="L147" t="str">
            <v>Normal</v>
          </cell>
          <cell r="M147" t="str">
            <v>USA</v>
          </cell>
          <cell r="N147" t="str">
            <v>Welch Allyn</v>
          </cell>
          <cell r="O147" t="str">
            <v>Welch Allyn 71904</v>
          </cell>
          <cell r="P147" t="str">
            <v>GD0019-11</v>
          </cell>
          <cell r="Q147" t="str">
            <v>Not Applicable</v>
          </cell>
          <cell r="R147" t="str">
            <v>Welch Allyn Inc</v>
          </cell>
          <cell r="S147" t="str">
            <v>Welch Allyn Malaysia Sdn Bhd</v>
          </cell>
          <cell r="T147" t="str">
            <v>Functioning</v>
          </cell>
          <cell r="U147" t="str">
            <v>Asset</v>
          </cell>
          <cell r="V147">
            <v>4690</v>
          </cell>
          <cell r="W147" t="str">
            <v>KEW</v>
          </cell>
          <cell r="X147" t="str">
            <v>01/09/2010</v>
          </cell>
          <cell r="Y147" t="str">
            <v>KEW</v>
          </cell>
          <cell r="Z147" t="str">
            <v>16/08/2013</v>
          </cell>
          <cell r="AA147" t="str">
            <v>15/08/2015</v>
          </cell>
          <cell r="AB147" t="str">
            <v>No</v>
          </cell>
          <cell r="AC147" t="str">
            <v>31/08/2013</v>
          </cell>
          <cell r="AD147" t="str">
            <v>Good</v>
          </cell>
          <cell r="AE147" t="str">
            <v>V1 - Existing / No Claim</v>
          </cell>
          <cell r="AF147">
            <v>42802</v>
          </cell>
          <cell r="AG147">
            <v>9.17</v>
          </cell>
          <cell r="AH147" t="str">
            <v>RI</v>
          </cell>
          <cell r="AI147" t="str">
            <v>Not in contract</v>
          </cell>
          <cell r="AJ147" t="str">
            <v>Not under maintenance</v>
          </cell>
          <cell r="AK147" t="str">
            <v>Will be under V4. Taken out of contract as agreed by IKN</v>
          </cell>
        </row>
        <row r="148">
          <cell r="A148" t="str">
            <v>IKN401201</v>
          </cell>
          <cell r="B148">
            <v>1199</v>
          </cell>
          <cell r="C148" t="str">
            <v>Institut Kanser Negara</v>
          </cell>
          <cell r="D148" t="e">
            <v>#N/A</v>
          </cell>
          <cell r="E148" t="str">
            <v>15-076</v>
          </cell>
          <cell r="F148" t="str">
            <v>Laryngoscopes, Rigid</v>
          </cell>
          <cell r="G148" t="str">
            <v>WJ</v>
          </cell>
          <cell r="H148" t="str">
            <v>MULTIDISCIPLINE WARD 1</v>
          </cell>
          <cell r="I148" t="str">
            <v>09WJ126</v>
          </cell>
          <cell r="J148" t="str">
            <v>EQUIPT. ROOM</v>
          </cell>
          <cell r="K148" t="str">
            <v>BMED</v>
          </cell>
          <cell r="L148" t="str">
            <v>Normal</v>
          </cell>
          <cell r="M148" t="str">
            <v>Not Available</v>
          </cell>
          <cell r="N148" t="str">
            <v>Not Available</v>
          </cell>
          <cell r="O148" t="str">
            <v>Not Available</v>
          </cell>
          <cell r="P148" t="str">
            <v>Not Available</v>
          </cell>
          <cell r="Q148" t="str">
            <v>Not Available</v>
          </cell>
          <cell r="R148" t="str">
            <v>Not Available</v>
          </cell>
          <cell r="S148" t="str">
            <v>ANTAH SRI RADIN SDN BHD</v>
          </cell>
          <cell r="T148" t="str">
            <v>Functioning</v>
          </cell>
          <cell r="U148" t="str">
            <v>Asset</v>
          </cell>
          <cell r="V148">
            <v>4000</v>
          </cell>
          <cell r="W148" t="str">
            <v>Estimate</v>
          </cell>
          <cell r="X148" t="str">
            <v>01/09/2010</v>
          </cell>
          <cell r="Y148" t="str">
            <v>Estimate</v>
          </cell>
          <cell r="Z148" t="str">
            <v>16/08/2013</v>
          </cell>
          <cell r="AA148" t="str">
            <v>15/08/2015</v>
          </cell>
          <cell r="AB148" t="str">
            <v>No</v>
          </cell>
          <cell r="AC148" t="str">
            <v>31/08/2013</v>
          </cell>
          <cell r="AD148" t="str">
            <v>Good</v>
          </cell>
          <cell r="AE148" t="str">
            <v>V4 - Decommissioned Installed Facility</v>
          </cell>
          <cell r="AF148">
            <v>42387</v>
          </cell>
          <cell r="AG148">
            <v>9.17</v>
          </cell>
          <cell r="AH148" t="str">
            <v>RI</v>
          </cell>
          <cell r="AI148" t="str">
            <v>Not in contract</v>
          </cell>
          <cell r="AJ148" t="str">
            <v>Not under maintenance</v>
          </cell>
          <cell r="AK148" t="str">
            <v>Will be under V4. Taken out of contract as agreed by IKN</v>
          </cell>
        </row>
        <row r="149">
          <cell r="A149" t="str">
            <v>IKN401202</v>
          </cell>
          <cell r="B149">
            <v>1200</v>
          </cell>
          <cell r="C149" t="str">
            <v>Institut Kanser Negara</v>
          </cell>
          <cell r="D149" t="e">
            <v>#N/A</v>
          </cell>
          <cell r="E149" t="str">
            <v>15-076</v>
          </cell>
          <cell r="F149" t="str">
            <v>Laryngoscopes, Rigid</v>
          </cell>
          <cell r="G149" t="str">
            <v>WJ</v>
          </cell>
          <cell r="H149" t="str">
            <v>MULTIDISCIPLINE WARD 1</v>
          </cell>
          <cell r="I149" t="str">
            <v>09WJ126</v>
          </cell>
          <cell r="J149" t="str">
            <v>EQUIPT. ROOM</v>
          </cell>
          <cell r="K149" t="str">
            <v>BMED</v>
          </cell>
          <cell r="L149" t="str">
            <v>Normal</v>
          </cell>
          <cell r="M149" t="str">
            <v>Not Available</v>
          </cell>
          <cell r="N149" t="str">
            <v>Not Available</v>
          </cell>
          <cell r="O149" t="str">
            <v>Not Available</v>
          </cell>
          <cell r="P149" t="str">
            <v>Not Available</v>
          </cell>
          <cell r="Q149" t="str">
            <v>Not Available</v>
          </cell>
          <cell r="R149" t="str">
            <v>Not Available</v>
          </cell>
          <cell r="S149" t="str">
            <v>ANTAH SRI RADIN SDN BHD</v>
          </cell>
          <cell r="T149" t="str">
            <v>Functioning</v>
          </cell>
          <cell r="U149" t="str">
            <v>Asset</v>
          </cell>
          <cell r="V149">
            <v>4000</v>
          </cell>
          <cell r="W149" t="str">
            <v>Estimate</v>
          </cell>
          <cell r="X149" t="str">
            <v>01/09/2010</v>
          </cell>
          <cell r="Y149" t="str">
            <v>Estimate</v>
          </cell>
          <cell r="Z149" t="str">
            <v>16/08/2013</v>
          </cell>
          <cell r="AA149" t="str">
            <v>15/08/2015</v>
          </cell>
          <cell r="AB149" t="str">
            <v>No</v>
          </cell>
          <cell r="AC149" t="str">
            <v>31/08/2013</v>
          </cell>
          <cell r="AD149" t="str">
            <v>Good</v>
          </cell>
          <cell r="AE149" t="str">
            <v>V4 - Decommissioned Installed Facility</v>
          </cell>
          <cell r="AF149">
            <v>42387</v>
          </cell>
          <cell r="AG149">
            <v>9.17</v>
          </cell>
          <cell r="AH149" t="str">
            <v>RI</v>
          </cell>
          <cell r="AI149" t="str">
            <v>Not in contract</v>
          </cell>
          <cell r="AJ149" t="str">
            <v>Not under maintenance</v>
          </cell>
          <cell r="AK149" t="str">
            <v>Will be under V4. Taken out of contract as agreed by IKN</v>
          </cell>
        </row>
        <row r="150">
          <cell r="A150" t="str">
            <v>IKN401203</v>
          </cell>
          <cell r="B150">
            <v>1201</v>
          </cell>
          <cell r="C150" t="str">
            <v>Institut Kanser Negara</v>
          </cell>
          <cell r="D150" t="e">
            <v>#N/A</v>
          </cell>
          <cell r="E150" t="str">
            <v>18-595</v>
          </cell>
          <cell r="F150" t="str">
            <v>Ophthalmoscopes/Otoscopes</v>
          </cell>
          <cell r="G150" t="str">
            <v>WJ</v>
          </cell>
          <cell r="H150" t="str">
            <v>MULTIDISCIPLINE WARD 1</v>
          </cell>
          <cell r="I150" t="str">
            <v>09WJ126</v>
          </cell>
          <cell r="J150" t="str">
            <v>EQUIPT. ROOM</v>
          </cell>
          <cell r="K150" t="str">
            <v>BMED</v>
          </cell>
          <cell r="L150" t="str">
            <v>Normal</v>
          </cell>
          <cell r="M150" t="str">
            <v>USA</v>
          </cell>
          <cell r="N150" t="str">
            <v>Welch Allyn</v>
          </cell>
          <cell r="O150" t="str">
            <v>Welch Allyn 97150-BIM</v>
          </cell>
          <cell r="P150" t="str">
            <v>N/A</v>
          </cell>
          <cell r="Q150" t="str">
            <v>Not Applicable</v>
          </cell>
          <cell r="R150" t="str">
            <v>Welch Allyn Inc</v>
          </cell>
          <cell r="S150" t="str">
            <v>Welch Allyn Malaysia Sdn Bhd</v>
          </cell>
          <cell r="T150" t="str">
            <v>Functioning</v>
          </cell>
          <cell r="U150" t="str">
            <v>Asset</v>
          </cell>
          <cell r="V150">
            <v>4690</v>
          </cell>
          <cell r="W150" t="str">
            <v>KEW</v>
          </cell>
          <cell r="X150" t="str">
            <v>01/09/2010</v>
          </cell>
          <cell r="Y150" t="str">
            <v>KEW</v>
          </cell>
          <cell r="Z150" t="str">
            <v>16/08/2013</v>
          </cell>
          <cell r="AA150" t="str">
            <v>15/08/2015</v>
          </cell>
          <cell r="AB150" t="str">
            <v>No</v>
          </cell>
          <cell r="AC150" t="str">
            <v>31/08/2013</v>
          </cell>
          <cell r="AD150" t="str">
            <v>Good</v>
          </cell>
          <cell r="AE150" t="str">
            <v>V1 - Existing / No Claim</v>
          </cell>
          <cell r="AF150">
            <v>42235</v>
          </cell>
          <cell r="AG150">
            <v>9.17</v>
          </cell>
          <cell r="AH150" t="str">
            <v>RI</v>
          </cell>
          <cell r="AI150" t="str">
            <v>not in contract</v>
          </cell>
          <cell r="AJ150" t="str">
            <v>Not under maintenance</v>
          </cell>
          <cell r="AK150" t="str">
            <v>Will be under V4. Taken out of contract as agreed by IKN</v>
          </cell>
        </row>
        <row r="151">
          <cell r="A151" t="str">
            <v>IKN401204</v>
          </cell>
          <cell r="B151">
            <v>1202</v>
          </cell>
          <cell r="C151" t="str">
            <v>Institut Kanser Negara</v>
          </cell>
          <cell r="D151" t="e">
            <v>#N/A</v>
          </cell>
          <cell r="E151" t="str">
            <v>15-076</v>
          </cell>
          <cell r="F151" t="str">
            <v>Laryngoscopes, Rigid</v>
          </cell>
          <cell r="G151" t="str">
            <v>WJ</v>
          </cell>
          <cell r="H151" t="str">
            <v>MULTIDISCIPLINE WARD 1</v>
          </cell>
          <cell r="I151" t="str">
            <v>09WJ126</v>
          </cell>
          <cell r="J151" t="str">
            <v>EQUIPT. ROOM</v>
          </cell>
          <cell r="K151" t="str">
            <v>BMED</v>
          </cell>
          <cell r="L151" t="str">
            <v>Normal</v>
          </cell>
          <cell r="M151" t="str">
            <v>Not Available</v>
          </cell>
          <cell r="N151" t="str">
            <v>Not Available</v>
          </cell>
          <cell r="O151" t="str">
            <v>Not Available</v>
          </cell>
          <cell r="P151" t="str">
            <v>Not Available</v>
          </cell>
          <cell r="Q151" t="str">
            <v>Not Available</v>
          </cell>
          <cell r="R151" t="str">
            <v>Not Available</v>
          </cell>
          <cell r="S151" t="str">
            <v>ANTAH SRI RADIN SDN BHD</v>
          </cell>
          <cell r="T151" t="str">
            <v>Functioning</v>
          </cell>
          <cell r="U151" t="str">
            <v>Asset</v>
          </cell>
          <cell r="V151">
            <v>4000</v>
          </cell>
          <cell r="W151" t="str">
            <v>Estimate</v>
          </cell>
          <cell r="X151" t="str">
            <v>01/09/2010</v>
          </cell>
          <cell r="Y151" t="str">
            <v>Estimate</v>
          </cell>
          <cell r="Z151" t="str">
            <v>16/08/2013</v>
          </cell>
          <cell r="AA151" t="str">
            <v>15/08/2015</v>
          </cell>
          <cell r="AB151" t="str">
            <v>No</v>
          </cell>
          <cell r="AC151" t="str">
            <v>31/08/2013</v>
          </cell>
          <cell r="AD151" t="str">
            <v>Good</v>
          </cell>
          <cell r="AE151" t="str">
            <v>V4 - Decommissioned Installed Facility</v>
          </cell>
          <cell r="AF151">
            <v>42387</v>
          </cell>
          <cell r="AG151">
            <v>9.17</v>
          </cell>
          <cell r="AH151" t="str">
            <v>RI</v>
          </cell>
          <cell r="AI151" t="str">
            <v>Not in contract</v>
          </cell>
          <cell r="AJ151" t="str">
            <v>Not under maintenance</v>
          </cell>
          <cell r="AK151" t="str">
            <v>Will be under V4. Taken out of contract as agreed by IKN</v>
          </cell>
        </row>
        <row r="152">
          <cell r="A152" t="str">
            <v>IKN401205</v>
          </cell>
          <cell r="B152">
            <v>1203</v>
          </cell>
          <cell r="C152" t="str">
            <v>Institut Kanser Negara</v>
          </cell>
          <cell r="D152" t="e">
            <v>#N/A</v>
          </cell>
          <cell r="E152" t="str">
            <v>15-076</v>
          </cell>
          <cell r="F152" t="str">
            <v>Laryngoscopes, Rigid</v>
          </cell>
          <cell r="G152" t="str">
            <v>WJ</v>
          </cell>
          <cell r="H152" t="str">
            <v>MULTIDISCIPLINE WARD 1</v>
          </cell>
          <cell r="I152" t="str">
            <v>09WJ126</v>
          </cell>
          <cell r="J152" t="str">
            <v>EQUIPT. ROOM</v>
          </cell>
          <cell r="K152" t="str">
            <v>BMED</v>
          </cell>
          <cell r="L152" t="str">
            <v>Normal</v>
          </cell>
          <cell r="M152" t="str">
            <v>Not Available</v>
          </cell>
          <cell r="N152" t="str">
            <v>Not Available</v>
          </cell>
          <cell r="O152" t="str">
            <v>Not Available</v>
          </cell>
          <cell r="P152" t="str">
            <v>Not Available</v>
          </cell>
          <cell r="Q152" t="str">
            <v>Not Available</v>
          </cell>
          <cell r="R152" t="str">
            <v>Not Available</v>
          </cell>
          <cell r="S152" t="str">
            <v>ANTAH SRI RADIN SDN BHD</v>
          </cell>
          <cell r="T152" t="str">
            <v>Functioning</v>
          </cell>
          <cell r="U152" t="str">
            <v>Asset</v>
          </cell>
          <cell r="V152">
            <v>4000</v>
          </cell>
          <cell r="W152" t="str">
            <v>Estimate</v>
          </cell>
          <cell r="X152" t="str">
            <v>01/09/2010</v>
          </cell>
          <cell r="Y152" t="str">
            <v>Estimate</v>
          </cell>
          <cell r="Z152" t="str">
            <v>16/08/2013</v>
          </cell>
          <cell r="AA152" t="str">
            <v>15/08/2015</v>
          </cell>
          <cell r="AB152" t="str">
            <v>No</v>
          </cell>
          <cell r="AC152" t="str">
            <v>31/08/2013</v>
          </cell>
          <cell r="AD152" t="str">
            <v>Good</v>
          </cell>
          <cell r="AE152" t="str">
            <v>V4 - Decommissioned Installed Facility</v>
          </cell>
          <cell r="AF152">
            <v>42387</v>
          </cell>
          <cell r="AG152">
            <v>9.17</v>
          </cell>
          <cell r="AH152" t="str">
            <v>RI</v>
          </cell>
          <cell r="AI152" t="str">
            <v>Not in contract</v>
          </cell>
          <cell r="AJ152" t="str">
            <v>Not under maintenance</v>
          </cell>
          <cell r="AK152" t="str">
            <v>Will be under V4. Taken out of contract as agreed by IKN</v>
          </cell>
        </row>
        <row r="153">
          <cell r="A153" t="str">
            <v>IKN401206</v>
          </cell>
          <cell r="B153">
            <v>1204</v>
          </cell>
          <cell r="C153" t="str">
            <v>Institut Kanser Negara</v>
          </cell>
          <cell r="D153" t="e">
            <v>#N/A</v>
          </cell>
          <cell r="E153" t="str">
            <v>18-595</v>
          </cell>
          <cell r="F153" t="str">
            <v>Ophthalmoscopes/Otoscopes</v>
          </cell>
          <cell r="G153" t="str">
            <v>WJ</v>
          </cell>
          <cell r="H153" t="str">
            <v>MULTIDISCIPLINE WARD 1</v>
          </cell>
          <cell r="I153" t="str">
            <v>09WJ126</v>
          </cell>
          <cell r="J153" t="str">
            <v>EQUIPT. ROOM</v>
          </cell>
          <cell r="K153" t="str">
            <v>BMED</v>
          </cell>
          <cell r="L153" t="str">
            <v>Normal</v>
          </cell>
          <cell r="M153" t="str">
            <v>USA</v>
          </cell>
          <cell r="N153" t="str">
            <v>Welch Allyn</v>
          </cell>
          <cell r="O153" t="str">
            <v>Welch Allyn 97150-BIM</v>
          </cell>
          <cell r="P153" t="str">
            <v>N/A</v>
          </cell>
          <cell r="Q153" t="str">
            <v>Not Applicable</v>
          </cell>
          <cell r="R153" t="str">
            <v>Welch Allyn Inc</v>
          </cell>
          <cell r="S153" t="str">
            <v>Welch Allyn Malaysia Sdn Bhd</v>
          </cell>
          <cell r="T153" t="str">
            <v>Functioning</v>
          </cell>
          <cell r="U153" t="str">
            <v>Asset</v>
          </cell>
          <cell r="V153">
            <v>4690</v>
          </cell>
          <cell r="W153" t="str">
            <v>KEW</v>
          </cell>
          <cell r="X153" t="str">
            <v>01/09/2010</v>
          </cell>
          <cell r="Y153" t="str">
            <v>KEW</v>
          </cell>
          <cell r="Z153" t="str">
            <v>16/08/2013</v>
          </cell>
          <cell r="AA153" t="str">
            <v>15/08/2015</v>
          </cell>
          <cell r="AB153" t="str">
            <v>No</v>
          </cell>
          <cell r="AC153" t="str">
            <v>31/08/2013</v>
          </cell>
          <cell r="AD153" t="str">
            <v>Good</v>
          </cell>
          <cell r="AE153" t="str">
            <v>V1 - Existing / No Claim</v>
          </cell>
          <cell r="AF153">
            <v>42235</v>
          </cell>
          <cell r="AG153">
            <v>9.17</v>
          </cell>
          <cell r="AH153" t="str">
            <v>RI</v>
          </cell>
          <cell r="AI153" t="str">
            <v>Not in contract</v>
          </cell>
          <cell r="AJ153" t="str">
            <v>Not under maintenance</v>
          </cell>
          <cell r="AK153" t="str">
            <v>Will be under V4. Taken out of contract as agreed by IKN</v>
          </cell>
        </row>
        <row r="154">
          <cell r="A154" t="str">
            <v>IKN401207</v>
          </cell>
          <cell r="B154">
            <v>1205</v>
          </cell>
          <cell r="C154" t="str">
            <v>Institut Kanser Negara</v>
          </cell>
          <cell r="D154" t="e">
            <v>#N/A</v>
          </cell>
          <cell r="E154" t="str">
            <v>18-595</v>
          </cell>
          <cell r="F154" t="str">
            <v>Ophthalmoscopes/Otoscopes</v>
          </cell>
          <cell r="G154" t="str">
            <v>WG</v>
          </cell>
          <cell r="H154" t="str">
            <v>RT/ONCO WARD 1 (M)</v>
          </cell>
          <cell r="I154" t="str">
            <v>08WG107</v>
          </cell>
          <cell r="J154" t="str">
            <v>TREATMENT / PROCEDURE</v>
          </cell>
          <cell r="K154" t="str">
            <v>BMED</v>
          </cell>
          <cell r="L154" t="str">
            <v>Normal</v>
          </cell>
          <cell r="M154" t="str">
            <v>USA</v>
          </cell>
          <cell r="N154" t="str">
            <v>Welch Allyn</v>
          </cell>
          <cell r="O154" t="str">
            <v>Welch Allyn 97150-BIM</v>
          </cell>
          <cell r="P154" t="str">
            <v>N/A</v>
          </cell>
          <cell r="Q154" t="str">
            <v>Not Applicable</v>
          </cell>
          <cell r="R154" t="str">
            <v>Welch Allyn Inc</v>
          </cell>
          <cell r="S154" t="str">
            <v>Welch Allyn Malaysia Sdn Bhd</v>
          </cell>
          <cell r="T154" t="str">
            <v>Functioning</v>
          </cell>
          <cell r="U154" t="str">
            <v>Asset</v>
          </cell>
          <cell r="V154">
            <v>4690</v>
          </cell>
          <cell r="W154" t="str">
            <v>KEW</v>
          </cell>
          <cell r="X154" t="str">
            <v>01/09/2010</v>
          </cell>
          <cell r="Y154" t="str">
            <v>KEW</v>
          </cell>
          <cell r="Z154" t="str">
            <v>16/08/2013</v>
          </cell>
          <cell r="AA154" t="str">
            <v>15/08/2015</v>
          </cell>
          <cell r="AB154" t="str">
            <v>No</v>
          </cell>
          <cell r="AC154" t="str">
            <v>31/08/2013</v>
          </cell>
          <cell r="AD154" t="str">
            <v>Good</v>
          </cell>
          <cell r="AE154" t="str">
            <v>V1 - Existing / No Claim</v>
          </cell>
          <cell r="AF154">
            <v>42235</v>
          </cell>
          <cell r="AG154">
            <v>9.17</v>
          </cell>
          <cell r="AH154" t="str">
            <v>RI</v>
          </cell>
          <cell r="AI154" t="str">
            <v>Not in contract</v>
          </cell>
          <cell r="AJ154" t="str">
            <v>Not under maintenance</v>
          </cell>
          <cell r="AK154" t="str">
            <v>Will be under V4. Taken out of contract as agreed by IKN</v>
          </cell>
        </row>
        <row r="155">
          <cell r="A155" t="str">
            <v>IKN401208</v>
          </cell>
          <cell r="B155">
            <v>1206</v>
          </cell>
          <cell r="C155" t="str">
            <v>Institut Kanser Negara</v>
          </cell>
          <cell r="D155" t="e">
            <v>#N/A</v>
          </cell>
          <cell r="E155" t="str">
            <v>18-595</v>
          </cell>
          <cell r="F155" t="str">
            <v>Ophthalmoscopes/Otoscopes</v>
          </cell>
          <cell r="G155" t="str">
            <v>WE</v>
          </cell>
          <cell r="H155" t="str">
            <v>RT/ONCO WARD 1 (F)</v>
          </cell>
          <cell r="I155" t="str">
            <v>07WE143</v>
          </cell>
          <cell r="J155" t="str">
            <v>NURSE STATION</v>
          </cell>
          <cell r="K155" t="str">
            <v>BMED</v>
          </cell>
          <cell r="L155" t="str">
            <v>Normal</v>
          </cell>
          <cell r="M155" t="str">
            <v>USA</v>
          </cell>
          <cell r="N155" t="str">
            <v>Welch Allyn</v>
          </cell>
          <cell r="O155" t="str">
            <v>Welch Allyn 97150-BIM</v>
          </cell>
          <cell r="P155" t="str">
            <v>0</v>
          </cell>
          <cell r="Q155" t="str">
            <v>Not Applicable</v>
          </cell>
          <cell r="R155" t="str">
            <v>Welch Allyn Inc</v>
          </cell>
          <cell r="S155" t="str">
            <v>Welch Allyn Malaysia Sdn Bhd</v>
          </cell>
          <cell r="T155" t="str">
            <v>Functioning</v>
          </cell>
          <cell r="U155" t="str">
            <v>Asset</v>
          </cell>
          <cell r="V155">
            <v>4690</v>
          </cell>
          <cell r="W155" t="str">
            <v>KEW</v>
          </cell>
          <cell r="X155" t="str">
            <v>01/09/2010</v>
          </cell>
          <cell r="Y155" t="str">
            <v>KEW</v>
          </cell>
          <cell r="Z155" t="str">
            <v>16/08/2013</v>
          </cell>
          <cell r="AA155" t="str">
            <v>15/08/2015</v>
          </cell>
          <cell r="AB155" t="str">
            <v>No</v>
          </cell>
          <cell r="AC155" t="str">
            <v>31/08/2013</v>
          </cell>
          <cell r="AD155" t="str">
            <v>Good</v>
          </cell>
          <cell r="AE155" t="str">
            <v>V1 - Existing / No Claim</v>
          </cell>
          <cell r="AF155">
            <v>42235</v>
          </cell>
          <cell r="AG155">
            <v>9.17</v>
          </cell>
          <cell r="AH155" t="str">
            <v>RI</v>
          </cell>
          <cell r="AI155" t="str">
            <v>Not in contract</v>
          </cell>
          <cell r="AJ155" t="str">
            <v>Not under maintenance</v>
          </cell>
          <cell r="AK155" t="str">
            <v>Will be under V4. Taken out of contract as agreed by IKN</v>
          </cell>
        </row>
        <row r="156">
          <cell r="A156" t="str">
            <v>IKN401209</v>
          </cell>
          <cell r="B156">
            <v>1207</v>
          </cell>
          <cell r="C156" t="str">
            <v>Institut Kanser Negara</v>
          </cell>
          <cell r="D156" t="e">
            <v>#N/A</v>
          </cell>
          <cell r="E156" t="str">
            <v>15-076</v>
          </cell>
          <cell r="F156" t="str">
            <v>Laryngoscopes, Rigid</v>
          </cell>
          <cell r="G156" t="str">
            <v>WF</v>
          </cell>
          <cell r="H156" t="str">
            <v>RT/ONCO WARD 2 (F)</v>
          </cell>
          <cell r="I156" t="str">
            <v>07WF143</v>
          </cell>
          <cell r="J156" t="str">
            <v>NURSE STATION</v>
          </cell>
          <cell r="K156" t="str">
            <v>BMED</v>
          </cell>
          <cell r="L156" t="str">
            <v>Normal</v>
          </cell>
          <cell r="M156" t="str">
            <v>Not Available</v>
          </cell>
          <cell r="N156" t="str">
            <v>Not Available</v>
          </cell>
          <cell r="O156" t="str">
            <v>Not Available</v>
          </cell>
          <cell r="P156" t="str">
            <v>Not Available</v>
          </cell>
          <cell r="Q156" t="str">
            <v>Not Available</v>
          </cell>
          <cell r="R156" t="str">
            <v>Not Available</v>
          </cell>
          <cell r="S156" t="str">
            <v>ANTAH SRI RADIN SDN BHD</v>
          </cell>
          <cell r="T156" t="str">
            <v>Functioning</v>
          </cell>
          <cell r="U156" t="str">
            <v>Asset</v>
          </cell>
          <cell r="V156">
            <v>4000</v>
          </cell>
          <cell r="W156" t="str">
            <v>Estimate</v>
          </cell>
          <cell r="X156" t="str">
            <v>01/09/2010</v>
          </cell>
          <cell r="Y156" t="str">
            <v>Estimate</v>
          </cell>
          <cell r="Z156" t="str">
            <v>16/08/2013</v>
          </cell>
          <cell r="AA156" t="str">
            <v>15/08/2015</v>
          </cell>
          <cell r="AB156" t="str">
            <v>No</v>
          </cell>
          <cell r="AC156" t="str">
            <v>31/08/2013</v>
          </cell>
          <cell r="AD156" t="str">
            <v>Good</v>
          </cell>
          <cell r="AE156" t="str">
            <v>V4 - Decommissioned Installed Facility</v>
          </cell>
          <cell r="AF156">
            <v>42661</v>
          </cell>
          <cell r="AG156">
            <v>9.17</v>
          </cell>
          <cell r="AH156" t="str">
            <v>RI</v>
          </cell>
          <cell r="AI156" t="str">
            <v>Not in contract</v>
          </cell>
          <cell r="AJ156" t="str">
            <v>Not under maintenance</v>
          </cell>
          <cell r="AK156" t="str">
            <v>Will be under V4. Taken out of contract as agreed by IKN</v>
          </cell>
        </row>
        <row r="157">
          <cell r="A157" t="str">
            <v>IKN401210</v>
          </cell>
          <cell r="B157">
            <v>1208</v>
          </cell>
          <cell r="C157" t="str">
            <v>Institut Kanser Negara</v>
          </cell>
          <cell r="D157" t="e">
            <v>#N/A</v>
          </cell>
          <cell r="E157" t="str">
            <v>15-076</v>
          </cell>
          <cell r="F157" t="str">
            <v>Laryngoscopes, Rigid</v>
          </cell>
          <cell r="G157" t="str">
            <v>WF</v>
          </cell>
          <cell r="H157" t="str">
            <v>RT/ONCO WARD 2 (F)</v>
          </cell>
          <cell r="I157" t="str">
            <v>07WF107</v>
          </cell>
          <cell r="J157" t="str">
            <v>TREATMENT / PROCEDDURE</v>
          </cell>
          <cell r="K157" t="str">
            <v>BMED</v>
          </cell>
          <cell r="L157" t="str">
            <v>Normal</v>
          </cell>
          <cell r="M157" t="str">
            <v>Not Available</v>
          </cell>
          <cell r="N157" t="str">
            <v>Not Available</v>
          </cell>
          <cell r="O157" t="str">
            <v>Not Available</v>
          </cell>
          <cell r="P157" t="str">
            <v>Not Available</v>
          </cell>
          <cell r="Q157" t="str">
            <v>Not Available</v>
          </cell>
          <cell r="R157" t="str">
            <v>Not Available</v>
          </cell>
          <cell r="S157" t="str">
            <v>ANTAH SRI RADIN SDN BHD</v>
          </cell>
          <cell r="T157" t="str">
            <v>Functioning</v>
          </cell>
          <cell r="U157" t="str">
            <v>Asset</v>
          </cell>
          <cell r="V157">
            <v>4000</v>
          </cell>
          <cell r="W157" t="str">
            <v>Estimate</v>
          </cell>
          <cell r="X157" t="str">
            <v>01/09/2010</v>
          </cell>
          <cell r="Y157" t="str">
            <v>Estimate</v>
          </cell>
          <cell r="Z157" t="str">
            <v>16/08/2013</v>
          </cell>
          <cell r="AA157" t="str">
            <v>15/08/2015</v>
          </cell>
          <cell r="AB157" t="str">
            <v>No</v>
          </cell>
          <cell r="AC157" t="str">
            <v>31/08/2013</v>
          </cell>
          <cell r="AD157" t="str">
            <v>Good</v>
          </cell>
          <cell r="AE157" t="str">
            <v>V4 - Decommissioned Installed Facility</v>
          </cell>
          <cell r="AF157">
            <v>42397</v>
          </cell>
          <cell r="AG157">
            <v>9.17</v>
          </cell>
          <cell r="AH157" t="str">
            <v>RI</v>
          </cell>
          <cell r="AI157" t="str">
            <v>Not in contract</v>
          </cell>
          <cell r="AJ157" t="str">
            <v>Not under maintenance</v>
          </cell>
          <cell r="AK157" t="str">
            <v>Will be under V4. Taken out of contract as agreed by IKN</v>
          </cell>
        </row>
        <row r="158">
          <cell r="A158" t="str">
            <v>IKN401211</v>
          </cell>
          <cell r="B158">
            <v>1209</v>
          </cell>
          <cell r="C158" t="str">
            <v>Institut Kanser Negara</v>
          </cell>
          <cell r="D158" t="e">
            <v>#N/A</v>
          </cell>
          <cell r="E158" t="str">
            <v>15-076</v>
          </cell>
          <cell r="F158" t="str">
            <v>Laryngoscopes, Rigid</v>
          </cell>
          <cell r="G158" t="str">
            <v>WG</v>
          </cell>
          <cell r="H158" t="str">
            <v>RT/ONCO WARD 1 (M)</v>
          </cell>
          <cell r="I158" t="str">
            <v>08WG113</v>
          </cell>
          <cell r="J158" t="str">
            <v>EQUIPMENT ROOM</v>
          </cell>
          <cell r="K158" t="str">
            <v>BMED</v>
          </cell>
          <cell r="L158" t="str">
            <v>Normal</v>
          </cell>
          <cell r="M158" t="str">
            <v>Not Available</v>
          </cell>
          <cell r="N158" t="str">
            <v>Not Available</v>
          </cell>
          <cell r="O158" t="str">
            <v>Not Available</v>
          </cell>
          <cell r="P158" t="str">
            <v>NOT AVAILABE</v>
          </cell>
          <cell r="Q158" t="str">
            <v>NOT AVAILABLE</v>
          </cell>
          <cell r="R158" t="str">
            <v>Not Available</v>
          </cell>
          <cell r="S158" t="str">
            <v>ANTAH SRI RADIN SDN BHD</v>
          </cell>
          <cell r="T158" t="str">
            <v>Functioning</v>
          </cell>
          <cell r="U158" t="str">
            <v>Asset</v>
          </cell>
          <cell r="V158">
            <v>4000</v>
          </cell>
          <cell r="W158" t="str">
            <v>Estimate</v>
          </cell>
          <cell r="X158" t="str">
            <v>01/09/2010</v>
          </cell>
          <cell r="Y158" t="str">
            <v>Estimate</v>
          </cell>
          <cell r="Z158" t="str">
            <v>16/08/2013</v>
          </cell>
          <cell r="AA158" t="str">
            <v>15/08/2015</v>
          </cell>
          <cell r="AB158" t="str">
            <v>No</v>
          </cell>
          <cell r="AC158" t="str">
            <v>31/08/2013</v>
          </cell>
          <cell r="AD158" t="str">
            <v>Good</v>
          </cell>
          <cell r="AE158" t="str">
            <v>V4 - Decommissioned Installed Facility</v>
          </cell>
          <cell r="AF158">
            <v>42387</v>
          </cell>
          <cell r="AG158">
            <v>9.17</v>
          </cell>
          <cell r="AH158" t="str">
            <v>RI</v>
          </cell>
          <cell r="AI158" t="str">
            <v>Not in contract</v>
          </cell>
          <cell r="AJ158" t="str">
            <v>Not under maintenance</v>
          </cell>
          <cell r="AK158" t="str">
            <v>Will be under V4. Taken out of contract as agreed by IKN</v>
          </cell>
        </row>
        <row r="159">
          <cell r="A159" t="str">
            <v>IKN401212</v>
          </cell>
          <cell r="B159">
            <v>1210</v>
          </cell>
          <cell r="C159" t="str">
            <v>Institut Kanser Negara</v>
          </cell>
          <cell r="D159" t="e">
            <v>#N/A</v>
          </cell>
          <cell r="E159" t="str">
            <v>15-076</v>
          </cell>
          <cell r="F159" t="str">
            <v>Laryngoscopes, Rigid</v>
          </cell>
          <cell r="G159" t="str">
            <v>WG</v>
          </cell>
          <cell r="H159" t="str">
            <v>RT/ONCO WARD 1 (M)</v>
          </cell>
          <cell r="I159" t="str">
            <v>08WG107</v>
          </cell>
          <cell r="J159" t="str">
            <v>TREATMENT / PROCEDURE</v>
          </cell>
          <cell r="K159" t="str">
            <v>BMED</v>
          </cell>
          <cell r="L159" t="str">
            <v>Normal</v>
          </cell>
          <cell r="M159" t="str">
            <v>Not Available</v>
          </cell>
          <cell r="N159" t="str">
            <v>Not Available</v>
          </cell>
          <cell r="O159" t="str">
            <v>Not Available</v>
          </cell>
          <cell r="P159" t="str">
            <v>Not Available</v>
          </cell>
          <cell r="Q159" t="str">
            <v>Not Available</v>
          </cell>
          <cell r="R159" t="str">
            <v>Not Available</v>
          </cell>
          <cell r="S159" t="str">
            <v>ANTAH SRI RADIN SDN BHD</v>
          </cell>
          <cell r="T159" t="str">
            <v>Functioning</v>
          </cell>
          <cell r="U159" t="str">
            <v>Asset</v>
          </cell>
          <cell r="V159">
            <v>4000</v>
          </cell>
          <cell r="W159" t="str">
            <v>Estimate</v>
          </cell>
          <cell r="X159" t="str">
            <v>01/09/2010</v>
          </cell>
          <cell r="Y159" t="str">
            <v>Estimate</v>
          </cell>
          <cell r="Z159" t="str">
            <v>16/08/2013</v>
          </cell>
          <cell r="AA159" t="str">
            <v>15/08/2015</v>
          </cell>
          <cell r="AB159" t="str">
            <v>No</v>
          </cell>
          <cell r="AC159" t="str">
            <v>31/08/2013</v>
          </cell>
          <cell r="AD159" t="str">
            <v>Good</v>
          </cell>
          <cell r="AE159" t="str">
            <v>V4 - Decommissioned Installed Facility</v>
          </cell>
          <cell r="AF159">
            <v>42397</v>
          </cell>
          <cell r="AG159">
            <v>9.17</v>
          </cell>
          <cell r="AH159" t="str">
            <v>RI</v>
          </cell>
          <cell r="AI159" t="str">
            <v>Not in contract</v>
          </cell>
          <cell r="AJ159" t="str">
            <v>Not under maintenance</v>
          </cell>
          <cell r="AK159" t="str">
            <v>Will be under V4. Taken out of contract as agreed by IKN</v>
          </cell>
        </row>
        <row r="160">
          <cell r="A160" t="str">
            <v>IKN401218</v>
          </cell>
          <cell r="B160">
            <v>1216</v>
          </cell>
          <cell r="C160" t="str">
            <v>Institut Kanser Negara</v>
          </cell>
          <cell r="D160" t="str">
            <v>KKM/IKN/H/13/3025</v>
          </cell>
          <cell r="E160" t="str">
            <v>18-595</v>
          </cell>
          <cell r="F160" t="str">
            <v>Ophthalmoscopes/Otoscopes</v>
          </cell>
          <cell r="G160" t="str">
            <v>NM</v>
          </cell>
          <cell r="H160" t="str">
            <v>NUCLEAR MED (DIAGNOSTIC)</v>
          </cell>
          <cell r="I160" t="str">
            <v>03NM152</v>
          </cell>
          <cell r="J160" t="str">
            <v>NURSE STATION</v>
          </cell>
          <cell r="K160" t="str">
            <v>BMED</v>
          </cell>
          <cell r="L160" t="str">
            <v>Normal</v>
          </cell>
          <cell r="M160" t="str">
            <v>USA</v>
          </cell>
          <cell r="N160" t="str">
            <v>Welch Allyn</v>
          </cell>
          <cell r="O160" t="str">
            <v>Welch Allyn 97150-BIM</v>
          </cell>
          <cell r="P160" t="str">
            <v>N/A</v>
          </cell>
          <cell r="Q160" t="str">
            <v>Not Applicable</v>
          </cell>
          <cell r="R160" t="str">
            <v>Welch Allyn Inc</v>
          </cell>
          <cell r="S160" t="str">
            <v>Welch Allyn Malaysia Sdn Bhd</v>
          </cell>
          <cell r="T160" t="str">
            <v>Functioning</v>
          </cell>
          <cell r="U160" t="str">
            <v>Asset</v>
          </cell>
          <cell r="V160">
            <v>4690</v>
          </cell>
          <cell r="W160" t="str">
            <v>KEW</v>
          </cell>
          <cell r="X160" t="str">
            <v>01/09/2010</v>
          </cell>
          <cell r="Y160" t="str">
            <v>KEW</v>
          </cell>
          <cell r="Z160" t="str">
            <v>16/08/2013</v>
          </cell>
          <cell r="AA160" t="str">
            <v>15/08/2015</v>
          </cell>
          <cell r="AB160" t="str">
            <v>No</v>
          </cell>
          <cell r="AC160" t="str">
            <v>31/08/2013</v>
          </cell>
          <cell r="AD160" t="str">
            <v>Good</v>
          </cell>
          <cell r="AE160" t="str">
            <v>V1 - Existing / No Claim</v>
          </cell>
          <cell r="AF160">
            <v>42235</v>
          </cell>
          <cell r="AG160">
            <v>9.17</v>
          </cell>
          <cell r="AH160" t="str">
            <v>RI</v>
          </cell>
          <cell r="AI160" t="str">
            <v>Strands</v>
          </cell>
          <cell r="AJ160" t="str">
            <v>Not under maintenance</v>
          </cell>
        </row>
        <row r="161">
          <cell r="A161" t="str">
            <v>IKN401243</v>
          </cell>
          <cell r="B161">
            <v>1241</v>
          </cell>
          <cell r="C161" t="str">
            <v>Institut Kanser Negara</v>
          </cell>
          <cell r="D161" t="e">
            <v>#N/A</v>
          </cell>
          <cell r="E161" t="str">
            <v>18-595</v>
          </cell>
          <cell r="F161" t="str">
            <v>Ophthalmoscopes/Otoscopes</v>
          </cell>
          <cell r="G161" t="str">
            <v>WG</v>
          </cell>
          <cell r="H161" t="str">
            <v>RT/ONCO WARD 1 (M)</v>
          </cell>
          <cell r="I161" t="str">
            <v>08WG107</v>
          </cell>
          <cell r="J161" t="str">
            <v>TREATMENT / PROCEDURE</v>
          </cell>
          <cell r="K161" t="str">
            <v>BMED</v>
          </cell>
          <cell r="L161" t="str">
            <v>Normal</v>
          </cell>
          <cell r="M161" t="str">
            <v>USA</v>
          </cell>
          <cell r="N161" t="str">
            <v>Welch Allyn</v>
          </cell>
          <cell r="O161" t="str">
            <v>Welch Allyn 97150-BIM</v>
          </cell>
          <cell r="P161" t="str">
            <v>N/A</v>
          </cell>
          <cell r="Q161" t="str">
            <v>Not Applicable</v>
          </cell>
          <cell r="R161" t="str">
            <v>Welch Allyn Inc</v>
          </cell>
          <cell r="S161" t="str">
            <v>Welch Allyn Malaysia Sdn Bhd</v>
          </cell>
          <cell r="T161" t="str">
            <v>Functioning</v>
          </cell>
          <cell r="U161" t="str">
            <v>Asset</v>
          </cell>
          <cell r="V161">
            <v>4690</v>
          </cell>
          <cell r="W161" t="str">
            <v>KEW</v>
          </cell>
          <cell r="X161" t="str">
            <v>01/09/2010</v>
          </cell>
          <cell r="Y161" t="str">
            <v>KEW</v>
          </cell>
          <cell r="Z161" t="str">
            <v>16/08/2013</v>
          </cell>
          <cell r="AA161" t="str">
            <v>15/08/2015</v>
          </cell>
          <cell r="AB161" t="str">
            <v>No</v>
          </cell>
          <cell r="AC161" t="str">
            <v>31/08/2013</v>
          </cell>
          <cell r="AD161" t="str">
            <v>Good</v>
          </cell>
          <cell r="AE161" t="str">
            <v>V1 - Existing / No Claim</v>
          </cell>
          <cell r="AF161">
            <v>42235</v>
          </cell>
          <cell r="AG161">
            <v>9.17</v>
          </cell>
          <cell r="AH161" t="str">
            <v>RI</v>
          </cell>
          <cell r="AI161" t="str">
            <v>Not in contract</v>
          </cell>
          <cell r="AJ161" t="str">
            <v>Not under maintenance</v>
          </cell>
          <cell r="AK161" t="str">
            <v>Will be under V4. Taken out of contract as agreed by IKN</v>
          </cell>
        </row>
        <row r="162">
          <cell r="A162" t="str">
            <v>IKN401245</v>
          </cell>
          <cell r="B162">
            <v>1243</v>
          </cell>
          <cell r="C162" t="str">
            <v>Institut Kanser Negara</v>
          </cell>
          <cell r="D162" t="e">
            <v>#N/A</v>
          </cell>
          <cell r="E162" t="str">
            <v>16-158</v>
          </cell>
          <cell r="F162" t="str">
            <v>Sphygmomanometers, Mercury</v>
          </cell>
          <cell r="G162" t="str">
            <v>NM</v>
          </cell>
          <cell r="H162" t="str">
            <v>NUCLEAR MED (DIAGNOSTIC)</v>
          </cell>
          <cell r="I162" t="str">
            <v>03NM109</v>
          </cell>
          <cell r="J162" t="str">
            <v>TREATMENT 2 (RAS) (-VE)</v>
          </cell>
          <cell r="K162" t="str">
            <v>BMED</v>
          </cell>
          <cell r="L162" t="str">
            <v>Normal</v>
          </cell>
          <cell r="M162" t="str">
            <v>Germany</v>
          </cell>
          <cell r="N162" t="str">
            <v>Erka</v>
          </cell>
          <cell r="O162" t="str">
            <v>Erkameter 3000</v>
          </cell>
          <cell r="P162" t="str">
            <v>12508899</v>
          </cell>
          <cell r="Q162" t="str">
            <v>Not Applicable</v>
          </cell>
          <cell r="R162" t="str">
            <v>Erka GmbH &amp; Co</v>
          </cell>
          <cell r="S162" t="str">
            <v>Acucare Systems (M) Sdn bhd</v>
          </cell>
          <cell r="T162" t="str">
            <v>Functioning</v>
          </cell>
          <cell r="U162" t="str">
            <v>Asset</v>
          </cell>
          <cell r="V162">
            <v>505</v>
          </cell>
          <cell r="W162" t="str">
            <v>KEW</v>
          </cell>
          <cell r="X162" t="str">
            <v>01/09/2010</v>
          </cell>
          <cell r="Y162" t="str">
            <v>KEW</v>
          </cell>
          <cell r="Z162" t="str">
            <v>16/08/2013</v>
          </cell>
          <cell r="AA162" t="str">
            <v>15/08/2015</v>
          </cell>
          <cell r="AB162" t="str">
            <v>No</v>
          </cell>
          <cell r="AC162" t="str">
            <v>31/08/2013</v>
          </cell>
          <cell r="AD162" t="str">
            <v>Good</v>
          </cell>
          <cell r="AE162" t="str">
            <v>V4 - Decommissioned Installed Facility</v>
          </cell>
          <cell r="AF162">
            <v>42235</v>
          </cell>
          <cell r="AG162">
            <v>9.17</v>
          </cell>
          <cell r="AH162" t="str">
            <v>PPM</v>
          </cell>
          <cell r="AI162" t="str">
            <v>Not in contract</v>
          </cell>
          <cell r="AJ162" t="str">
            <v>Not under maintenance</v>
          </cell>
          <cell r="AK162" t="e">
            <v>#N/A</v>
          </cell>
        </row>
        <row r="163">
          <cell r="A163" t="str">
            <v>IKN401267</v>
          </cell>
          <cell r="B163">
            <v>1263</v>
          </cell>
          <cell r="C163" t="str">
            <v>Institut Kanser Negara</v>
          </cell>
          <cell r="D163" t="e">
            <v>#N/A</v>
          </cell>
          <cell r="E163" t="str">
            <v>15-076</v>
          </cell>
          <cell r="F163" t="str">
            <v>Laryngoscopes, Rigid</v>
          </cell>
          <cell r="G163" t="str">
            <v>RT</v>
          </cell>
          <cell r="H163" t="str">
            <v>RADIATION TREATMENT UNIT</v>
          </cell>
          <cell r="I163" t="str">
            <v>01RT243</v>
          </cell>
          <cell r="J163" t="str">
            <v>NURSE STATION</v>
          </cell>
          <cell r="K163" t="str">
            <v>BMED</v>
          </cell>
          <cell r="L163" t="str">
            <v>Normal</v>
          </cell>
          <cell r="M163" t="str">
            <v>Not Available</v>
          </cell>
          <cell r="N163" t="str">
            <v>Not Available</v>
          </cell>
          <cell r="O163" t="str">
            <v>Not Available</v>
          </cell>
          <cell r="P163" t="str">
            <v>Not Available</v>
          </cell>
          <cell r="Q163" t="str">
            <v>Not Available</v>
          </cell>
          <cell r="R163" t="str">
            <v>Not Available</v>
          </cell>
          <cell r="S163" t="str">
            <v>Antah Sir Radin Sdn. Bhd.</v>
          </cell>
          <cell r="T163" t="str">
            <v>Functioning</v>
          </cell>
          <cell r="U163" t="str">
            <v>Asset</v>
          </cell>
          <cell r="V163">
            <v>4000</v>
          </cell>
          <cell r="W163" t="str">
            <v>KEW</v>
          </cell>
          <cell r="X163" t="str">
            <v>01/09/2010</v>
          </cell>
          <cell r="Y163" t="str">
            <v>KEW</v>
          </cell>
          <cell r="Z163" t="str">
            <v>16/08/2013</v>
          </cell>
          <cell r="AA163" t="str">
            <v>15/08/2015</v>
          </cell>
          <cell r="AB163" t="str">
            <v>No</v>
          </cell>
          <cell r="AC163" t="str">
            <v>16/08/2013</v>
          </cell>
          <cell r="AD163" t="str">
            <v>Good</v>
          </cell>
          <cell r="AE163" t="str">
            <v>V4 - Decommissioned Installed Facility</v>
          </cell>
          <cell r="AF163">
            <v>42681</v>
          </cell>
          <cell r="AG163">
            <v>9.17</v>
          </cell>
          <cell r="AH163" t="str">
            <v>RI</v>
          </cell>
          <cell r="AI163" t="str">
            <v>Not in contract</v>
          </cell>
          <cell r="AJ163" t="str">
            <v>Not under maintenance</v>
          </cell>
          <cell r="AK163" t="str">
            <v>Will be under V4. Taken out of contract as agreed by IKN</v>
          </cell>
        </row>
        <row r="164">
          <cell r="A164" t="str">
            <v>IKN401268</v>
          </cell>
          <cell r="B164">
            <v>1264</v>
          </cell>
          <cell r="C164" t="str">
            <v>Institut Kanser Negara</v>
          </cell>
          <cell r="D164" t="e">
            <v>#N/A</v>
          </cell>
          <cell r="E164" t="str">
            <v>15-076</v>
          </cell>
          <cell r="F164" t="str">
            <v>Laryngoscopes, Rigid</v>
          </cell>
          <cell r="G164" t="str">
            <v>RT</v>
          </cell>
          <cell r="H164" t="str">
            <v>RADIATION TREATMENT UNIT</v>
          </cell>
          <cell r="I164" t="str">
            <v>01RT243</v>
          </cell>
          <cell r="J164" t="str">
            <v>NURSE STATION</v>
          </cell>
          <cell r="K164" t="str">
            <v>BMED</v>
          </cell>
          <cell r="L164" t="str">
            <v>Normal</v>
          </cell>
          <cell r="M164" t="str">
            <v>Not Available</v>
          </cell>
          <cell r="N164" t="str">
            <v>Not Available</v>
          </cell>
          <cell r="O164" t="str">
            <v>Not Available</v>
          </cell>
          <cell r="P164" t="str">
            <v>Not Available</v>
          </cell>
          <cell r="Q164" t="str">
            <v>Not Available</v>
          </cell>
          <cell r="R164" t="str">
            <v>Not Available</v>
          </cell>
          <cell r="S164" t="str">
            <v>Antah Sir Radin Sdn. Bhd.</v>
          </cell>
          <cell r="T164" t="str">
            <v>Functioning</v>
          </cell>
          <cell r="U164" t="str">
            <v>Asset</v>
          </cell>
          <cell r="V164">
            <v>4000</v>
          </cell>
          <cell r="W164" t="str">
            <v>KEW</v>
          </cell>
          <cell r="X164" t="str">
            <v>01/09/2010</v>
          </cell>
          <cell r="Y164" t="str">
            <v>KEW</v>
          </cell>
          <cell r="Z164" t="str">
            <v>16/08/2013</v>
          </cell>
          <cell r="AA164" t="str">
            <v>15/08/2015</v>
          </cell>
          <cell r="AB164" t="str">
            <v>No</v>
          </cell>
          <cell r="AC164" t="str">
            <v>16/08/2013</v>
          </cell>
          <cell r="AD164" t="str">
            <v>Good</v>
          </cell>
          <cell r="AE164" t="str">
            <v>V4 - Decommissioned Installed Facility</v>
          </cell>
          <cell r="AF164">
            <v>42681</v>
          </cell>
          <cell r="AG164">
            <v>9.17</v>
          </cell>
          <cell r="AH164" t="str">
            <v>RI</v>
          </cell>
          <cell r="AI164" t="str">
            <v>Not in contract</v>
          </cell>
          <cell r="AJ164" t="str">
            <v>Not under maintenance</v>
          </cell>
          <cell r="AK164" t="str">
            <v>Will be under V4. Taken out of contract as agreed by IKN</v>
          </cell>
        </row>
        <row r="165">
          <cell r="A165" t="str">
            <v>IKN401269</v>
          </cell>
          <cell r="B165">
            <v>1265</v>
          </cell>
          <cell r="C165" t="str">
            <v>Institut Kanser Negara</v>
          </cell>
          <cell r="D165" t="e">
            <v>#N/A</v>
          </cell>
          <cell r="E165" t="str">
            <v>15-076</v>
          </cell>
          <cell r="F165" t="str">
            <v>Laryngoscopes, Rigid</v>
          </cell>
          <cell r="G165" t="str">
            <v>AE</v>
          </cell>
          <cell r="H165" t="str">
            <v>EMERGENCY UNIT</v>
          </cell>
          <cell r="I165" t="str">
            <v>01AE112</v>
          </cell>
          <cell r="J165" t="str">
            <v>EMERGENCY TROLLEY BAY</v>
          </cell>
          <cell r="K165" t="str">
            <v>BMED</v>
          </cell>
          <cell r="L165" t="str">
            <v>Normal</v>
          </cell>
          <cell r="M165" t="str">
            <v>Not Available</v>
          </cell>
          <cell r="N165" t="str">
            <v>Not Available</v>
          </cell>
          <cell r="O165" t="str">
            <v>Not Available</v>
          </cell>
          <cell r="P165" t="str">
            <v>Not Available</v>
          </cell>
          <cell r="Q165" t="str">
            <v>Not Available</v>
          </cell>
          <cell r="R165" t="str">
            <v>Not Available</v>
          </cell>
          <cell r="S165" t="str">
            <v>Antah Sir Radin Sdn. Bhd.</v>
          </cell>
          <cell r="T165" t="str">
            <v>Functioning</v>
          </cell>
          <cell r="U165" t="str">
            <v>Asset</v>
          </cell>
          <cell r="V165">
            <v>4000</v>
          </cell>
          <cell r="W165" t="str">
            <v>KEW</v>
          </cell>
          <cell r="X165" t="str">
            <v>01/09/2010</v>
          </cell>
          <cell r="Y165" t="str">
            <v>KEW</v>
          </cell>
          <cell r="Z165" t="str">
            <v>16/08/2013</v>
          </cell>
          <cell r="AA165" t="str">
            <v>15/08/2015</v>
          </cell>
          <cell r="AB165" t="str">
            <v>No</v>
          </cell>
          <cell r="AC165" t="str">
            <v>16/08/2013</v>
          </cell>
          <cell r="AD165" t="str">
            <v>Good</v>
          </cell>
          <cell r="AE165" t="str">
            <v>V4 - Decommissioned Installed Facility</v>
          </cell>
          <cell r="AF165">
            <v>43543</v>
          </cell>
          <cell r="AG165">
            <v>9.17</v>
          </cell>
          <cell r="AH165" t="str">
            <v>RI</v>
          </cell>
          <cell r="AI165" t="str">
            <v>Not in contract</v>
          </cell>
          <cell r="AJ165" t="str">
            <v>Not under maintenance</v>
          </cell>
          <cell r="AK165" t="str">
            <v>Will be under V4. Taken out of contract as agreed by IKN</v>
          </cell>
        </row>
        <row r="166">
          <cell r="A166" t="str">
            <v>IKN401270</v>
          </cell>
          <cell r="B166">
            <v>1266</v>
          </cell>
          <cell r="C166" t="str">
            <v>Institut Kanser Negara</v>
          </cell>
          <cell r="D166" t="e">
            <v>#N/A</v>
          </cell>
          <cell r="E166" t="str">
            <v>15-076</v>
          </cell>
          <cell r="F166" t="str">
            <v>Laryngoscopes, Rigid</v>
          </cell>
          <cell r="G166" t="str">
            <v>AE</v>
          </cell>
          <cell r="H166" t="str">
            <v>EMERGENCY UNIT</v>
          </cell>
          <cell r="I166" t="str">
            <v>01AE112</v>
          </cell>
          <cell r="J166" t="str">
            <v>EMERGENCY TROLLEY BAY</v>
          </cell>
          <cell r="K166" t="str">
            <v>BMED</v>
          </cell>
          <cell r="L166" t="str">
            <v>Normal</v>
          </cell>
          <cell r="M166" t="str">
            <v>Not Available</v>
          </cell>
          <cell r="N166" t="str">
            <v>Not Available</v>
          </cell>
          <cell r="O166" t="str">
            <v>Not Available</v>
          </cell>
          <cell r="P166" t="str">
            <v>Not Available</v>
          </cell>
          <cell r="Q166" t="str">
            <v>Not Available</v>
          </cell>
          <cell r="R166" t="str">
            <v>Not Available</v>
          </cell>
          <cell r="S166" t="str">
            <v>Not Available</v>
          </cell>
          <cell r="T166" t="str">
            <v>Functioning</v>
          </cell>
          <cell r="U166" t="str">
            <v>Asset</v>
          </cell>
          <cell r="V166">
            <v>4000</v>
          </cell>
          <cell r="W166" t="str">
            <v>KEW</v>
          </cell>
          <cell r="X166" t="str">
            <v>01/09/2010</v>
          </cell>
          <cell r="Y166" t="str">
            <v>KEW</v>
          </cell>
          <cell r="Z166" t="str">
            <v>16/08/2013</v>
          </cell>
          <cell r="AA166" t="str">
            <v>15/08/2015</v>
          </cell>
          <cell r="AB166" t="str">
            <v>No</v>
          </cell>
          <cell r="AC166" t="str">
            <v>16/08/2013</v>
          </cell>
          <cell r="AD166" t="str">
            <v>Good</v>
          </cell>
          <cell r="AE166" t="str">
            <v>V4 - Decommissioned Installed Facility</v>
          </cell>
          <cell r="AF166">
            <v>42681</v>
          </cell>
          <cell r="AG166">
            <v>9.17</v>
          </cell>
          <cell r="AH166" t="str">
            <v>RI</v>
          </cell>
          <cell r="AI166" t="str">
            <v>Not in contract</v>
          </cell>
          <cell r="AJ166" t="str">
            <v>Not under maintenance</v>
          </cell>
          <cell r="AK166" t="str">
            <v>Will be under V4. Taken out of contract as agreed by IKN</v>
          </cell>
        </row>
        <row r="167">
          <cell r="A167" t="str">
            <v>IKN401271</v>
          </cell>
          <cell r="B167">
            <v>1267</v>
          </cell>
          <cell r="C167" t="str">
            <v>Institut Kanser Negara</v>
          </cell>
          <cell r="D167" t="e">
            <v>#N/A</v>
          </cell>
          <cell r="E167" t="str">
            <v>15-076</v>
          </cell>
          <cell r="F167" t="str">
            <v>Laryngoscopes, Rigid</v>
          </cell>
          <cell r="G167" t="str">
            <v>AE</v>
          </cell>
          <cell r="H167" t="str">
            <v>EMERGENCY UNIT</v>
          </cell>
          <cell r="I167" t="str">
            <v>01AE119</v>
          </cell>
          <cell r="J167" t="str">
            <v>RESUSCITATION/TREATMENT</v>
          </cell>
          <cell r="K167" t="str">
            <v>BMED</v>
          </cell>
          <cell r="L167" t="str">
            <v>Normal</v>
          </cell>
          <cell r="M167" t="str">
            <v>Not Available</v>
          </cell>
          <cell r="N167" t="str">
            <v>Not Available</v>
          </cell>
          <cell r="O167" t="str">
            <v>Not Available</v>
          </cell>
          <cell r="P167" t="str">
            <v>Not Available</v>
          </cell>
          <cell r="Q167" t="str">
            <v>Not Available</v>
          </cell>
          <cell r="R167" t="str">
            <v>Not Available</v>
          </cell>
          <cell r="S167" t="str">
            <v>Antah Sir Radin Sdn. Bhd.</v>
          </cell>
          <cell r="T167" t="str">
            <v>Functioning</v>
          </cell>
          <cell r="U167" t="str">
            <v>Asset</v>
          </cell>
          <cell r="V167">
            <v>4000</v>
          </cell>
          <cell r="W167" t="str">
            <v>KEW</v>
          </cell>
          <cell r="X167" t="str">
            <v>01/09/2010</v>
          </cell>
          <cell r="Y167" t="str">
            <v>KEW</v>
          </cell>
          <cell r="Z167" t="str">
            <v>16/08/2013</v>
          </cell>
          <cell r="AA167" t="str">
            <v>15/08/2015</v>
          </cell>
          <cell r="AB167" t="str">
            <v>No</v>
          </cell>
          <cell r="AC167" t="str">
            <v>16/08/2013</v>
          </cell>
          <cell r="AD167" t="str">
            <v>Good</v>
          </cell>
          <cell r="AE167" t="str">
            <v>V4 - Decommissioned Installed Facility</v>
          </cell>
          <cell r="AF167">
            <v>42681</v>
          </cell>
          <cell r="AG167">
            <v>9.17</v>
          </cell>
          <cell r="AH167" t="str">
            <v>RI</v>
          </cell>
          <cell r="AI167" t="str">
            <v>Not in contract</v>
          </cell>
          <cell r="AJ167" t="str">
            <v>Not under maintenance</v>
          </cell>
          <cell r="AK167" t="str">
            <v>Will be under V4. Taken out of contract as agreed by IKN</v>
          </cell>
        </row>
        <row r="168">
          <cell r="A168" t="str">
            <v>IKN401272</v>
          </cell>
          <cell r="B168">
            <v>1268</v>
          </cell>
          <cell r="C168" t="str">
            <v>Institut Kanser Negara</v>
          </cell>
          <cell r="D168" t="e">
            <v>#N/A</v>
          </cell>
          <cell r="E168" t="str">
            <v>15-076</v>
          </cell>
          <cell r="F168" t="str">
            <v>Laryngoscopes, Rigid</v>
          </cell>
          <cell r="G168" t="str">
            <v>AE</v>
          </cell>
          <cell r="H168" t="str">
            <v>EMERGENCY UNIT</v>
          </cell>
          <cell r="I168" t="str">
            <v>01AE119</v>
          </cell>
          <cell r="J168" t="str">
            <v>RESUSCITATION/TREATMENT</v>
          </cell>
          <cell r="K168" t="str">
            <v>BMED</v>
          </cell>
          <cell r="L168" t="str">
            <v>Normal</v>
          </cell>
          <cell r="M168" t="str">
            <v>Not Available</v>
          </cell>
          <cell r="N168" t="str">
            <v>Not Available</v>
          </cell>
          <cell r="O168" t="str">
            <v>Not Available</v>
          </cell>
          <cell r="P168" t="str">
            <v>Not Available</v>
          </cell>
          <cell r="Q168" t="str">
            <v>Not Available</v>
          </cell>
          <cell r="R168" t="str">
            <v>Not Available</v>
          </cell>
          <cell r="S168" t="str">
            <v>Antah Sir Radin Sdn. Bhd.</v>
          </cell>
          <cell r="T168" t="str">
            <v>Functioning</v>
          </cell>
          <cell r="U168" t="str">
            <v>Asset</v>
          </cell>
          <cell r="V168">
            <v>4000</v>
          </cell>
          <cell r="W168" t="str">
            <v>KEW</v>
          </cell>
          <cell r="X168" t="str">
            <v>01/09/2010</v>
          </cell>
          <cell r="Y168" t="str">
            <v>KEW</v>
          </cell>
          <cell r="Z168" t="str">
            <v>16/08/2013</v>
          </cell>
          <cell r="AA168" t="str">
            <v>15/08/2015</v>
          </cell>
          <cell r="AB168" t="str">
            <v>No</v>
          </cell>
          <cell r="AC168" t="str">
            <v>16/08/2013</v>
          </cell>
          <cell r="AD168" t="str">
            <v>Good</v>
          </cell>
          <cell r="AE168" t="str">
            <v>V4 - Decommissioned Installed Facility</v>
          </cell>
          <cell r="AF168">
            <v>42681</v>
          </cell>
          <cell r="AG168">
            <v>9.17</v>
          </cell>
          <cell r="AH168" t="str">
            <v>RI</v>
          </cell>
          <cell r="AI168" t="str">
            <v>Not in contract</v>
          </cell>
          <cell r="AJ168" t="str">
            <v>Not under maintenance</v>
          </cell>
          <cell r="AK168" t="str">
            <v>Will be under V4. Taken out of contract as agreed by IKN</v>
          </cell>
        </row>
        <row r="169">
          <cell r="A169" t="str">
            <v>IKN401283</v>
          </cell>
          <cell r="B169">
            <v>1279</v>
          </cell>
          <cell r="C169" t="str">
            <v>Institut Kanser Negara</v>
          </cell>
          <cell r="D169" t="e">
            <v>#N/A</v>
          </cell>
          <cell r="E169" t="str">
            <v>15-076</v>
          </cell>
          <cell r="F169" t="str">
            <v>Laryngoscopes, Rigid</v>
          </cell>
          <cell r="G169" t="str">
            <v>RT</v>
          </cell>
          <cell r="H169" t="str">
            <v>RADIATION TREATMENT UNIT</v>
          </cell>
          <cell r="I169" t="str">
            <v>01RT116</v>
          </cell>
          <cell r="J169" t="str">
            <v>CT SIMULATOR 1</v>
          </cell>
          <cell r="K169" t="str">
            <v>BMED</v>
          </cell>
          <cell r="L169" t="str">
            <v>Normal</v>
          </cell>
          <cell r="M169" t="str">
            <v>Not Available</v>
          </cell>
          <cell r="N169" t="str">
            <v>Not Available</v>
          </cell>
          <cell r="O169" t="str">
            <v>Not Available</v>
          </cell>
          <cell r="P169" t="str">
            <v>Not Available</v>
          </cell>
          <cell r="Q169" t="str">
            <v>Not Available</v>
          </cell>
          <cell r="R169" t="str">
            <v>Not Available</v>
          </cell>
          <cell r="S169" t="str">
            <v>Not Available</v>
          </cell>
          <cell r="T169" t="str">
            <v>Functioning</v>
          </cell>
          <cell r="U169" t="str">
            <v>Asset</v>
          </cell>
          <cell r="V169">
            <v>4000</v>
          </cell>
          <cell r="W169" t="str">
            <v>KEW</v>
          </cell>
          <cell r="X169" t="str">
            <v>01/09/2010</v>
          </cell>
          <cell r="Y169" t="str">
            <v>KEW</v>
          </cell>
          <cell r="Z169" t="str">
            <v>16/08/2013</v>
          </cell>
          <cell r="AA169" t="str">
            <v>15/08/2015</v>
          </cell>
          <cell r="AB169" t="str">
            <v>No</v>
          </cell>
          <cell r="AC169" t="str">
            <v>16/08/2013</v>
          </cell>
          <cell r="AD169" t="str">
            <v>Good</v>
          </cell>
          <cell r="AE169" t="str">
            <v>V4 - Decommissioned Installed Facility</v>
          </cell>
          <cell r="AF169">
            <v>42681</v>
          </cell>
          <cell r="AG169">
            <v>9.17</v>
          </cell>
          <cell r="AH169" t="str">
            <v>RI</v>
          </cell>
          <cell r="AI169" t="str">
            <v>Not in contract</v>
          </cell>
          <cell r="AJ169" t="str">
            <v>Not under maintenance</v>
          </cell>
          <cell r="AK169" t="str">
            <v>Will be under V4. Taken out of contract as agreed by IKN</v>
          </cell>
        </row>
        <row r="170">
          <cell r="A170" t="str">
            <v>IKN401284</v>
          </cell>
          <cell r="B170">
            <v>1280</v>
          </cell>
          <cell r="C170" t="str">
            <v>Institut Kanser Negara</v>
          </cell>
          <cell r="D170" t="e">
            <v>#N/A</v>
          </cell>
          <cell r="E170" t="str">
            <v>15-076</v>
          </cell>
          <cell r="F170" t="str">
            <v>Laryngoscopes, Rigid</v>
          </cell>
          <cell r="G170" t="str">
            <v>RT</v>
          </cell>
          <cell r="H170" t="str">
            <v>RADIATION TREATMENT UNIT</v>
          </cell>
          <cell r="I170" t="str">
            <v>01RT116</v>
          </cell>
          <cell r="J170" t="str">
            <v>CT SIMULATOR 1</v>
          </cell>
          <cell r="K170" t="str">
            <v>BMED</v>
          </cell>
          <cell r="L170" t="str">
            <v>Normal</v>
          </cell>
          <cell r="M170" t="str">
            <v>Not Available</v>
          </cell>
          <cell r="N170" t="str">
            <v>Not Available</v>
          </cell>
          <cell r="O170" t="str">
            <v>Not Available</v>
          </cell>
          <cell r="P170" t="str">
            <v>Not Available</v>
          </cell>
          <cell r="Q170" t="str">
            <v>Not Available</v>
          </cell>
          <cell r="R170" t="str">
            <v>Not Available</v>
          </cell>
          <cell r="S170" t="str">
            <v>Not Available</v>
          </cell>
          <cell r="T170" t="str">
            <v>Functioning</v>
          </cell>
          <cell r="U170" t="str">
            <v>Asset</v>
          </cell>
          <cell r="V170">
            <v>4000</v>
          </cell>
          <cell r="W170" t="str">
            <v>KEW</v>
          </cell>
          <cell r="X170" t="str">
            <v>01/09/2010</v>
          </cell>
          <cell r="Y170" t="str">
            <v>KEW</v>
          </cell>
          <cell r="Z170" t="str">
            <v>16/08/2013</v>
          </cell>
          <cell r="AA170" t="str">
            <v>15/08/2015</v>
          </cell>
          <cell r="AB170" t="str">
            <v>No</v>
          </cell>
          <cell r="AC170" t="str">
            <v>16/08/2013</v>
          </cell>
          <cell r="AD170" t="str">
            <v>Good</v>
          </cell>
          <cell r="AE170" t="str">
            <v>V4 - Decommissioned Installed Facility</v>
          </cell>
          <cell r="AF170">
            <v>42681</v>
          </cell>
          <cell r="AG170">
            <v>9.17</v>
          </cell>
          <cell r="AH170" t="str">
            <v>RI</v>
          </cell>
          <cell r="AI170" t="str">
            <v>Not in contract</v>
          </cell>
          <cell r="AJ170" t="str">
            <v>Not under maintenance</v>
          </cell>
          <cell r="AK170" t="str">
            <v>Will be under V4. Taken out of contract as agreed by IKN</v>
          </cell>
        </row>
        <row r="171">
          <cell r="A171" t="str">
            <v>IKN401285</v>
          </cell>
          <cell r="B171">
            <v>1281</v>
          </cell>
          <cell r="C171" t="str">
            <v>Institut Kanser Negara</v>
          </cell>
          <cell r="D171" t="e">
            <v>#N/A</v>
          </cell>
          <cell r="E171" t="str">
            <v>15-076</v>
          </cell>
          <cell r="F171" t="str">
            <v>Laryngoscopes, Rigid</v>
          </cell>
          <cell r="G171" t="str">
            <v>RT</v>
          </cell>
          <cell r="H171" t="str">
            <v>RADIATION TREATMENT UNIT</v>
          </cell>
          <cell r="I171" t="str">
            <v>01RT237</v>
          </cell>
          <cell r="J171" t="str">
            <v>N/S</v>
          </cell>
          <cell r="K171" t="str">
            <v>BMED</v>
          </cell>
          <cell r="L171" t="str">
            <v>Normal</v>
          </cell>
          <cell r="M171" t="str">
            <v>Not Available</v>
          </cell>
          <cell r="N171" t="str">
            <v>Not Available</v>
          </cell>
          <cell r="O171" t="str">
            <v>Not Available</v>
          </cell>
          <cell r="P171" t="str">
            <v>Not Available</v>
          </cell>
          <cell r="Q171" t="str">
            <v>Not Available</v>
          </cell>
          <cell r="R171" t="str">
            <v>Not Available</v>
          </cell>
          <cell r="S171" t="str">
            <v>Antah Sir Radin Sdn. Bhd.</v>
          </cell>
          <cell r="T171" t="str">
            <v>Functioning</v>
          </cell>
          <cell r="U171" t="str">
            <v>Asset</v>
          </cell>
          <cell r="V171">
            <v>4000</v>
          </cell>
          <cell r="W171" t="str">
            <v>KEW</v>
          </cell>
          <cell r="X171" t="str">
            <v>01/09/2010</v>
          </cell>
          <cell r="Y171" t="str">
            <v>KEW</v>
          </cell>
          <cell r="Z171" t="str">
            <v>16/08/2013</v>
          </cell>
          <cell r="AA171" t="str">
            <v>15/08/2015</v>
          </cell>
          <cell r="AB171" t="str">
            <v>No</v>
          </cell>
          <cell r="AC171" t="str">
            <v>16/08/2013</v>
          </cell>
          <cell r="AD171" t="str">
            <v>Good</v>
          </cell>
          <cell r="AE171" t="str">
            <v>V4 - Decommissioned Installed Facility</v>
          </cell>
          <cell r="AF171">
            <v>42681</v>
          </cell>
          <cell r="AG171">
            <v>9.17</v>
          </cell>
          <cell r="AH171" t="str">
            <v>RI</v>
          </cell>
          <cell r="AI171" t="str">
            <v>Not in contract</v>
          </cell>
          <cell r="AJ171" t="str">
            <v>Not under maintenance</v>
          </cell>
          <cell r="AK171" t="str">
            <v>Will be under V4. Taken out of contract as agreed by IKN</v>
          </cell>
        </row>
        <row r="172">
          <cell r="A172" t="str">
            <v>IKN401286</v>
          </cell>
          <cell r="B172">
            <v>1282</v>
          </cell>
          <cell r="C172" t="str">
            <v>Institut Kanser Negara</v>
          </cell>
          <cell r="D172" t="e">
            <v>#N/A</v>
          </cell>
          <cell r="E172" t="str">
            <v>15-076</v>
          </cell>
          <cell r="F172" t="str">
            <v>Laryngoscopes, Rigid</v>
          </cell>
          <cell r="G172" t="str">
            <v>RT</v>
          </cell>
          <cell r="H172" t="str">
            <v>RADIATION TREATMENT UNIT</v>
          </cell>
          <cell r="I172" t="str">
            <v>01RT237</v>
          </cell>
          <cell r="J172" t="str">
            <v>N/S</v>
          </cell>
          <cell r="K172" t="str">
            <v>BMED</v>
          </cell>
          <cell r="L172" t="str">
            <v>Normal</v>
          </cell>
          <cell r="M172" t="str">
            <v>Not Available</v>
          </cell>
          <cell r="N172" t="str">
            <v>Not Available</v>
          </cell>
          <cell r="O172" t="str">
            <v>Not Available</v>
          </cell>
          <cell r="P172" t="str">
            <v>Not Available</v>
          </cell>
          <cell r="Q172" t="str">
            <v>Not Available</v>
          </cell>
          <cell r="R172" t="str">
            <v>Not Available</v>
          </cell>
          <cell r="S172" t="str">
            <v>Antah Sir Radin Sdn. Bhd.</v>
          </cell>
          <cell r="T172" t="str">
            <v>Functioning</v>
          </cell>
          <cell r="U172" t="str">
            <v>Asset</v>
          </cell>
          <cell r="V172">
            <v>4000</v>
          </cell>
          <cell r="W172" t="str">
            <v>KEW</v>
          </cell>
          <cell r="X172" t="str">
            <v>01/09/2010</v>
          </cell>
          <cell r="Y172" t="str">
            <v>KEW</v>
          </cell>
          <cell r="Z172" t="str">
            <v>16/08/2013</v>
          </cell>
          <cell r="AA172" t="str">
            <v>15/08/2015</v>
          </cell>
          <cell r="AB172" t="str">
            <v>No</v>
          </cell>
          <cell r="AC172" t="str">
            <v>16/08/2013</v>
          </cell>
          <cell r="AD172" t="str">
            <v>Good</v>
          </cell>
          <cell r="AE172" t="str">
            <v>V4 - Decommissioned Installed Facility</v>
          </cell>
          <cell r="AF172">
            <v>42681</v>
          </cell>
          <cell r="AG172">
            <v>9.17</v>
          </cell>
          <cell r="AH172" t="str">
            <v>RI</v>
          </cell>
          <cell r="AI172" t="str">
            <v>Not in contract</v>
          </cell>
          <cell r="AJ172" t="str">
            <v>Not under maintenance</v>
          </cell>
          <cell r="AK172" t="str">
            <v>Will be under V4. Taken out of contract as agreed by IKN</v>
          </cell>
        </row>
        <row r="173">
          <cell r="A173" t="str">
            <v>IKN401293</v>
          </cell>
          <cell r="B173">
            <v>1289</v>
          </cell>
          <cell r="C173" t="str">
            <v>Institut Kanser Negara</v>
          </cell>
          <cell r="D173" t="e">
            <v>#N/A</v>
          </cell>
          <cell r="E173" t="str">
            <v>16-158</v>
          </cell>
          <cell r="F173" t="str">
            <v>Sphygmomanometers, Mercury</v>
          </cell>
          <cell r="G173" t="str">
            <v>IC</v>
          </cell>
          <cell r="H173" t="str">
            <v>INTENSIVE CARE UNIT</v>
          </cell>
          <cell r="I173" t="str">
            <v>05IC121</v>
          </cell>
          <cell r="J173" t="str">
            <v>MEDICATION PREPARATION</v>
          </cell>
          <cell r="K173" t="str">
            <v>BMED</v>
          </cell>
          <cell r="L173" t="str">
            <v>Critical</v>
          </cell>
          <cell r="M173" t="str">
            <v>Germany</v>
          </cell>
          <cell r="N173" t="str">
            <v>Erka</v>
          </cell>
          <cell r="O173" t="str">
            <v>Erkameter 3000</v>
          </cell>
          <cell r="P173" t="str">
            <v>13500753</v>
          </cell>
          <cell r="Q173" t="str">
            <v>Not Available</v>
          </cell>
          <cell r="R173" t="str">
            <v>Erka GmbH &amp; Co</v>
          </cell>
          <cell r="S173" t="str">
            <v>Acucare Sdn. Bhd</v>
          </cell>
          <cell r="T173" t="str">
            <v>Functioning</v>
          </cell>
          <cell r="U173" t="str">
            <v>Asset</v>
          </cell>
          <cell r="V173">
            <v>505</v>
          </cell>
          <cell r="W173" t="str">
            <v>KEW</v>
          </cell>
          <cell r="X173" t="str">
            <v>01/09/2010</v>
          </cell>
          <cell r="Y173" t="str">
            <v>KEW</v>
          </cell>
          <cell r="Z173" t="str">
            <v>16/08/2013</v>
          </cell>
          <cell r="AA173" t="str">
            <v>15/08/2015</v>
          </cell>
          <cell r="AB173" t="str">
            <v>No</v>
          </cell>
          <cell r="AC173" t="str">
            <v>31/08/2013</v>
          </cell>
          <cell r="AD173" t="str">
            <v>Good</v>
          </cell>
          <cell r="AE173" t="str">
            <v>V4 - Decommissioned Installed Facility</v>
          </cell>
          <cell r="AF173">
            <v>42590</v>
          </cell>
          <cell r="AG173">
            <v>9.17</v>
          </cell>
          <cell r="AH173" t="str">
            <v>PPM</v>
          </cell>
          <cell r="AI173" t="str">
            <v>Not in contract</v>
          </cell>
          <cell r="AJ173" t="str">
            <v>Not under maintenance</v>
          </cell>
          <cell r="AK173" t="e">
            <v>#N/A</v>
          </cell>
        </row>
        <row r="174">
          <cell r="A174" t="str">
            <v>IKN401294</v>
          </cell>
          <cell r="B174">
            <v>1290</v>
          </cell>
          <cell r="C174" t="str">
            <v>Institut Kanser Negara</v>
          </cell>
          <cell r="D174" t="e">
            <v>#N/A</v>
          </cell>
          <cell r="E174" t="str">
            <v>18-595</v>
          </cell>
          <cell r="F174" t="str">
            <v>Ophthalmoscopes/Otoscopes</v>
          </cell>
          <cell r="G174" t="str">
            <v>WB</v>
          </cell>
          <cell r="H174" t="str">
            <v>SURGICAL ONCO MALE WARD</v>
          </cell>
          <cell r="I174" t="str">
            <v>05WB107</v>
          </cell>
          <cell r="J174" t="str">
            <v>TREATMENT / PROCEDURE</v>
          </cell>
          <cell r="K174" t="str">
            <v>BMED</v>
          </cell>
          <cell r="L174" t="str">
            <v>Normal</v>
          </cell>
          <cell r="M174" t="str">
            <v>USA</v>
          </cell>
          <cell r="N174" t="str">
            <v>Welch Allyn</v>
          </cell>
          <cell r="O174" t="str">
            <v>Welch Allyn 97150-BIM</v>
          </cell>
          <cell r="P174" t="str">
            <v>Not Available</v>
          </cell>
          <cell r="Q174" t="str">
            <v>Not Available</v>
          </cell>
          <cell r="R174" t="str">
            <v>Welch Allyn Inc</v>
          </cell>
          <cell r="S174" t="str">
            <v>Welch Allyn</v>
          </cell>
          <cell r="T174" t="str">
            <v>Functioning</v>
          </cell>
          <cell r="U174" t="str">
            <v>Asset</v>
          </cell>
          <cell r="V174">
            <v>4690</v>
          </cell>
          <cell r="W174" t="str">
            <v>KEW</v>
          </cell>
          <cell r="X174" t="str">
            <v>01/09/2010</v>
          </cell>
          <cell r="Y174" t="str">
            <v>KEW</v>
          </cell>
          <cell r="Z174" t="str">
            <v>16/08/2013</v>
          </cell>
          <cell r="AA174" t="str">
            <v>15/08/2015</v>
          </cell>
          <cell r="AB174" t="str">
            <v>No</v>
          </cell>
          <cell r="AC174" t="str">
            <v>31/08/2013</v>
          </cell>
          <cell r="AD174" t="str">
            <v>Good</v>
          </cell>
          <cell r="AE174" t="str">
            <v>V1 - Existing / No Claim</v>
          </cell>
          <cell r="AF174">
            <v>42590</v>
          </cell>
          <cell r="AG174">
            <v>9.17</v>
          </cell>
          <cell r="AH174" t="str">
            <v>RI</v>
          </cell>
          <cell r="AI174" t="str">
            <v>Not in contract</v>
          </cell>
          <cell r="AJ174" t="str">
            <v>Not under maintenance</v>
          </cell>
          <cell r="AK174" t="str">
            <v>Will be under V4. Taken out of contract as agreed by IKN</v>
          </cell>
        </row>
        <row r="175">
          <cell r="A175" t="str">
            <v>IKN401295</v>
          </cell>
          <cell r="B175">
            <v>1291</v>
          </cell>
          <cell r="C175" t="str">
            <v>Institut Kanser Negara</v>
          </cell>
          <cell r="D175" t="e">
            <v>#N/A</v>
          </cell>
          <cell r="E175" t="str">
            <v>15-076</v>
          </cell>
          <cell r="F175" t="str">
            <v>Laryngoscopes, Rigid</v>
          </cell>
          <cell r="G175" t="str">
            <v>WB</v>
          </cell>
          <cell r="H175" t="str">
            <v>SURGICAL ONCO MALE WARD</v>
          </cell>
          <cell r="I175" t="str">
            <v>05WB107</v>
          </cell>
          <cell r="J175" t="str">
            <v>TREATMENT / PROCEDURE</v>
          </cell>
          <cell r="K175" t="str">
            <v>BMED</v>
          </cell>
          <cell r="L175" t="str">
            <v>Normal</v>
          </cell>
          <cell r="M175" t="str">
            <v>Not Available</v>
          </cell>
          <cell r="N175" t="str">
            <v>Not Available</v>
          </cell>
          <cell r="O175" t="str">
            <v>Not Available</v>
          </cell>
          <cell r="P175" t="str">
            <v>Not Available</v>
          </cell>
          <cell r="Q175" t="str">
            <v>Not Available</v>
          </cell>
          <cell r="R175" t="str">
            <v>Not Available</v>
          </cell>
          <cell r="S175" t="str">
            <v>Antah Sri Radin</v>
          </cell>
          <cell r="T175" t="str">
            <v>Functioning</v>
          </cell>
          <cell r="U175" t="str">
            <v>Asset</v>
          </cell>
          <cell r="V175">
            <v>4000</v>
          </cell>
          <cell r="W175" t="str">
            <v>KEW</v>
          </cell>
          <cell r="X175" t="str">
            <v>01/09/2010</v>
          </cell>
          <cell r="Y175" t="str">
            <v>KEW</v>
          </cell>
          <cell r="Z175" t="str">
            <v>16/08/2013</v>
          </cell>
          <cell r="AA175" t="str">
            <v>15/08/2015</v>
          </cell>
          <cell r="AB175" t="str">
            <v>No</v>
          </cell>
          <cell r="AC175" t="str">
            <v>31/08/2013</v>
          </cell>
          <cell r="AD175" t="str">
            <v>Good</v>
          </cell>
          <cell r="AE175" t="str">
            <v>V4 - Decommissioned Installed Facility</v>
          </cell>
          <cell r="AF175">
            <v>42590</v>
          </cell>
          <cell r="AG175">
            <v>9.17</v>
          </cell>
          <cell r="AH175" t="str">
            <v>RI</v>
          </cell>
          <cell r="AI175" t="str">
            <v>Not in contract</v>
          </cell>
          <cell r="AJ175" t="str">
            <v>Not under maintenance</v>
          </cell>
          <cell r="AK175" t="str">
            <v>Will be under V4. Taken out of contract as agreed by IKN</v>
          </cell>
        </row>
        <row r="176">
          <cell r="A176" t="str">
            <v>IKN401296</v>
          </cell>
          <cell r="B176">
            <v>1292</v>
          </cell>
          <cell r="C176" t="str">
            <v>Institut Kanser Negara</v>
          </cell>
          <cell r="D176" t="e">
            <v>#N/A</v>
          </cell>
          <cell r="E176" t="str">
            <v>15-076</v>
          </cell>
          <cell r="F176" t="str">
            <v>Laryngoscopes, Rigid</v>
          </cell>
          <cell r="G176" t="str">
            <v>WB</v>
          </cell>
          <cell r="H176" t="str">
            <v>SURGICAL ONCO MALE WARD</v>
          </cell>
          <cell r="I176" t="str">
            <v>05WB107</v>
          </cell>
          <cell r="J176" t="str">
            <v>TREATMENT / PROCEDURE</v>
          </cell>
          <cell r="K176" t="str">
            <v>BMED</v>
          </cell>
          <cell r="L176" t="str">
            <v>Normal</v>
          </cell>
          <cell r="M176" t="str">
            <v>Not Available</v>
          </cell>
          <cell r="N176" t="str">
            <v>Not Available</v>
          </cell>
          <cell r="O176" t="str">
            <v>Not Available</v>
          </cell>
          <cell r="P176" t="str">
            <v>Not Available</v>
          </cell>
          <cell r="Q176" t="str">
            <v>Not Available</v>
          </cell>
          <cell r="R176" t="str">
            <v>Not Available</v>
          </cell>
          <cell r="S176" t="str">
            <v>Antah Sri Radin</v>
          </cell>
          <cell r="T176" t="str">
            <v>Functioning</v>
          </cell>
          <cell r="U176" t="str">
            <v>Asset</v>
          </cell>
          <cell r="V176">
            <v>505</v>
          </cell>
          <cell r="W176" t="str">
            <v>KEW</v>
          </cell>
          <cell r="X176" t="str">
            <v>01/09/2010</v>
          </cell>
          <cell r="Y176" t="str">
            <v>KEW</v>
          </cell>
          <cell r="Z176" t="str">
            <v>16/08/2013</v>
          </cell>
          <cell r="AA176" t="str">
            <v>15/08/2015</v>
          </cell>
          <cell r="AB176" t="str">
            <v>No</v>
          </cell>
          <cell r="AC176" t="str">
            <v>31/08/2013</v>
          </cell>
          <cell r="AD176" t="str">
            <v>Good</v>
          </cell>
          <cell r="AE176" t="str">
            <v>V4 - Decommissioned Installed Facility</v>
          </cell>
          <cell r="AF176">
            <v>42590</v>
          </cell>
          <cell r="AG176">
            <v>9.17</v>
          </cell>
          <cell r="AH176" t="str">
            <v>RI</v>
          </cell>
          <cell r="AI176" t="str">
            <v>Not in contract</v>
          </cell>
          <cell r="AJ176" t="str">
            <v>Not under maintenance</v>
          </cell>
          <cell r="AK176" t="str">
            <v>Will be under V4. Taken out of contract as agreed by IKN</v>
          </cell>
        </row>
        <row r="177">
          <cell r="A177" t="str">
            <v>IKN401297</v>
          </cell>
          <cell r="B177">
            <v>1293</v>
          </cell>
          <cell r="C177" t="str">
            <v>Institut Kanser Negara</v>
          </cell>
          <cell r="D177" t="e">
            <v>#N/A</v>
          </cell>
          <cell r="E177" t="str">
            <v>16-158</v>
          </cell>
          <cell r="F177" t="str">
            <v>Sphygmomanometers, Mercury</v>
          </cell>
          <cell r="G177" t="str">
            <v>WB</v>
          </cell>
          <cell r="H177" t="str">
            <v>SURGICAL ONCO MALE WARD</v>
          </cell>
          <cell r="I177" t="str">
            <v>05WB107</v>
          </cell>
          <cell r="J177" t="str">
            <v>TREATMENT / PROCEDURE</v>
          </cell>
          <cell r="K177" t="str">
            <v>BMED</v>
          </cell>
          <cell r="L177" t="str">
            <v>Critical</v>
          </cell>
          <cell r="M177" t="str">
            <v>Germany</v>
          </cell>
          <cell r="N177" t="str">
            <v>Erka</v>
          </cell>
          <cell r="O177" t="str">
            <v>Erkameter 3000</v>
          </cell>
          <cell r="P177" t="str">
            <v>13500744</v>
          </cell>
          <cell r="Q177" t="str">
            <v>Not Available</v>
          </cell>
          <cell r="R177" t="str">
            <v>Erka GmbH &amp; Co</v>
          </cell>
          <cell r="S177" t="str">
            <v>Acucare Sdn. Bhd</v>
          </cell>
          <cell r="T177" t="str">
            <v>Functioning</v>
          </cell>
          <cell r="U177" t="str">
            <v>Asset</v>
          </cell>
          <cell r="V177">
            <v>505</v>
          </cell>
          <cell r="W177" t="str">
            <v>KEW</v>
          </cell>
          <cell r="X177" t="str">
            <v>01/09/2010</v>
          </cell>
          <cell r="Y177" t="str">
            <v>KEW</v>
          </cell>
          <cell r="Z177" t="str">
            <v>16/08/2013</v>
          </cell>
          <cell r="AA177" t="str">
            <v>15/08/2015</v>
          </cell>
          <cell r="AB177" t="str">
            <v>No</v>
          </cell>
          <cell r="AC177" t="str">
            <v>31/08/2013</v>
          </cell>
          <cell r="AD177" t="str">
            <v>Good</v>
          </cell>
          <cell r="AE177" t="str">
            <v>V4 - Decommissioned Installed Facility</v>
          </cell>
          <cell r="AF177">
            <v>42590</v>
          </cell>
          <cell r="AG177">
            <v>9.17</v>
          </cell>
          <cell r="AH177" t="str">
            <v>PPM</v>
          </cell>
          <cell r="AI177" t="str">
            <v>Not in contract</v>
          </cell>
          <cell r="AJ177" t="str">
            <v>Not under maintenance</v>
          </cell>
          <cell r="AK177" t="e">
            <v>#N/A</v>
          </cell>
        </row>
        <row r="178">
          <cell r="A178" t="str">
            <v>IKN401298</v>
          </cell>
          <cell r="B178">
            <v>1294</v>
          </cell>
          <cell r="C178" t="str">
            <v>Institut Kanser Negara</v>
          </cell>
          <cell r="D178" t="e">
            <v>#N/A</v>
          </cell>
          <cell r="E178" t="str">
            <v>15-076</v>
          </cell>
          <cell r="F178" t="str">
            <v>Laryngoscopes, Rigid</v>
          </cell>
          <cell r="G178" t="str">
            <v>IC</v>
          </cell>
          <cell r="H178" t="str">
            <v>INTENSIVE CARE UNIT</v>
          </cell>
          <cell r="I178" t="str">
            <v>05IC121</v>
          </cell>
          <cell r="J178" t="str">
            <v>MEDICATION PREPARATION</v>
          </cell>
          <cell r="K178" t="str">
            <v>BMED</v>
          </cell>
          <cell r="L178" t="str">
            <v>Normal</v>
          </cell>
          <cell r="M178" t="str">
            <v>Not Available</v>
          </cell>
          <cell r="N178" t="str">
            <v>Not Available</v>
          </cell>
          <cell r="O178" t="str">
            <v>Not Available</v>
          </cell>
          <cell r="P178" t="str">
            <v>Not Available</v>
          </cell>
          <cell r="Q178" t="str">
            <v>Not Available</v>
          </cell>
          <cell r="R178" t="str">
            <v>Not Available</v>
          </cell>
          <cell r="S178" t="str">
            <v>Antah Sri Radin</v>
          </cell>
          <cell r="T178" t="str">
            <v>Functioning</v>
          </cell>
          <cell r="U178" t="str">
            <v>Asset</v>
          </cell>
          <cell r="V178">
            <v>4000</v>
          </cell>
          <cell r="W178" t="str">
            <v>KEW</v>
          </cell>
          <cell r="X178" t="str">
            <v>01/09/2010</v>
          </cell>
          <cell r="Y178" t="str">
            <v>KEW</v>
          </cell>
          <cell r="Z178" t="str">
            <v>16/08/2013</v>
          </cell>
          <cell r="AA178" t="str">
            <v>15/08/2015</v>
          </cell>
          <cell r="AB178" t="str">
            <v>No</v>
          </cell>
          <cell r="AC178" t="str">
            <v>31/08/2013</v>
          </cell>
          <cell r="AD178" t="str">
            <v>Good</v>
          </cell>
          <cell r="AE178" t="str">
            <v>V4 - Decommissioned Installed Facility</v>
          </cell>
          <cell r="AF178">
            <v>42590</v>
          </cell>
          <cell r="AG178">
            <v>9.17</v>
          </cell>
          <cell r="AH178" t="str">
            <v>RI</v>
          </cell>
          <cell r="AI178" t="str">
            <v>Not in contract</v>
          </cell>
          <cell r="AJ178" t="str">
            <v>Not under maintenance</v>
          </cell>
          <cell r="AK178" t="str">
            <v>Will be under V4. Taken out of contract as agreed by IKN</v>
          </cell>
        </row>
        <row r="179">
          <cell r="A179" t="str">
            <v>IKN401299</v>
          </cell>
          <cell r="B179">
            <v>1295</v>
          </cell>
          <cell r="C179" t="str">
            <v>Institut Kanser Negara</v>
          </cell>
          <cell r="D179" t="e">
            <v>#N/A</v>
          </cell>
          <cell r="E179" t="str">
            <v>15-076</v>
          </cell>
          <cell r="F179" t="str">
            <v>Laryngoscopes, Rigid</v>
          </cell>
          <cell r="G179" t="str">
            <v>IC</v>
          </cell>
          <cell r="H179" t="str">
            <v>INTENSIVE CARE UNIT</v>
          </cell>
          <cell r="I179" t="str">
            <v>05IC121</v>
          </cell>
          <cell r="J179" t="str">
            <v>MEDICATION PREPARATION</v>
          </cell>
          <cell r="K179" t="str">
            <v>BMED</v>
          </cell>
          <cell r="L179" t="str">
            <v>Normal</v>
          </cell>
          <cell r="M179" t="str">
            <v>Not Available</v>
          </cell>
          <cell r="N179" t="str">
            <v>Not Available</v>
          </cell>
          <cell r="O179" t="str">
            <v>Not Available</v>
          </cell>
          <cell r="P179" t="str">
            <v>Not Available</v>
          </cell>
          <cell r="Q179" t="str">
            <v>Not Available</v>
          </cell>
          <cell r="R179" t="str">
            <v>Not Available</v>
          </cell>
          <cell r="S179" t="str">
            <v>Antah Sri Radin</v>
          </cell>
          <cell r="T179" t="str">
            <v>Functioning</v>
          </cell>
          <cell r="U179" t="str">
            <v>Asset</v>
          </cell>
          <cell r="V179">
            <v>4000</v>
          </cell>
          <cell r="W179" t="str">
            <v>KEW</v>
          </cell>
          <cell r="X179" t="str">
            <v>01/09/2010</v>
          </cell>
          <cell r="Y179" t="str">
            <v>KEW</v>
          </cell>
          <cell r="Z179" t="str">
            <v>16/08/2013</v>
          </cell>
          <cell r="AA179" t="str">
            <v>15/08/2015</v>
          </cell>
          <cell r="AB179" t="str">
            <v>No</v>
          </cell>
          <cell r="AC179" t="str">
            <v>31/08/2013</v>
          </cell>
          <cell r="AD179" t="str">
            <v>Good</v>
          </cell>
          <cell r="AE179" t="str">
            <v>V4 - Decommissioned Installed Facility</v>
          </cell>
          <cell r="AF179">
            <v>42590</v>
          </cell>
          <cell r="AG179">
            <v>9.17</v>
          </cell>
          <cell r="AH179" t="str">
            <v>RI</v>
          </cell>
          <cell r="AI179" t="str">
            <v>Not in contract</v>
          </cell>
          <cell r="AJ179" t="str">
            <v>Not under maintenance</v>
          </cell>
          <cell r="AK179" t="str">
            <v>Will be under V4. Taken out of contract as agreed by IKN</v>
          </cell>
        </row>
        <row r="180">
          <cell r="A180" t="str">
            <v>IKN401300</v>
          </cell>
          <cell r="B180">
            <v>1296</v>
          </cell>
          <cell r="C180" t="str">
            <v>Institut Kanser Negara</v>
          </cell>
          <cell r="D180" t="e">
            <v>#N/A</v>
          </cell>
          <cell r="E180" t="str">
            <v>16-158</v>
          </cell>
          <cell r="F180" t="str">
            <v>Sphygmomanometers, Mercury</v>
          </cell>
          <cell r="G180" t="str">
            <v>WC</v>
          </cell>
          <cell r="H180" t="str">
            <v>SURGICAL ONCO FEMALE WARD</v>
          </cell>
          <cell r="I180" t="str">
            <v>06WC107</v>
          </cell>
          <cell r="J180" t="str">
            <v>TREATMENT / PROCEDURE</v>
          </cell>
          <cell r="K180" t="str">
            <v>BMED</v>
          </cell>
          <cell r="L180" t="str">
            <v>Critical</v>
          </cell>
          <cell r="M180" t="str">
            <v>Germany</v>
          </cell>
          <cell r="N180" t="str">
            <v>Erka</v>
          </cell>
          <cell r="O180" t="str">
            <v>Erkameter 3000</v>
          </cell>
          <cell r="P180" t="str">
            <v>13500819</v>
          </cell>
          <cell r="Q180" t="str">
            <v>Not Available</v>
          </cell>
          <cell r="R180" t="str">
            <v>Erka GmbH &amp; Co</v>
          </cell>
          <cell r="S180" t="str">
            <v>Acucare Sdn. Bhd</v>
          </cell>
          <cell r="T180" t="str">
            <v>Functioning</v>
          </cell>
          <cell r="U180" t="str">
            <v>Asset</v>
          </cell>
          <cell r="V180">
            <v>505</v>
          </cell>
          <cell r="W180" t="str">
            <v>KEW</v>
          </cell>
          <cell r="X180" t="str">
            <v>01/09/2010</v>
          </cell>
          <cell r="Y180" t="str">
            <v>KEW</v>
          </cell>
          <cell r="Z180" t="str">
            <v>15/08/2013</v>
          </cell>
          <cell r="AA180" t="str">
            <v>15/08/2015</v>
          </cell>
          <cell r="AB180" t="str">
            <v>No</v>
          </cell>
          <cell r="AC180" t="str">
            <v>31/08/2013</v>
          </cell>
          <cell r="AD180" t="str">
            <v>Good</v>
          </cell>
          <cell r="AE180" t="str">
            <v>V4 - Decommissioned Installed Facility</v>
          </cell>
          <cell r="AF180">
            <v>42590</v>
          </cell>
          <cell r="AG180">
            <v>9.17</v>
          </cell>
          <cell r="AH180" t="str">
            <v>PPM</v>
          </cell>
          <cell r="AI180" t="str">
            <v>Not in contract</v>
          </cell>
          <cell r="AJ180" t="str">
            <v>Not under maintenance</v>
          </cell>
          <cell r="AK180" t="e">
            <v>#N/A</v>
          </cell>
        </row>
        <row r="181">
          <cell r="A181" t="str">
            <v>IKN401301</v>
          </cell>
          <cell r="B181">
            <v>1297</v>
          </cell>
          <cell r="C181" t="str">
            <v>Institut Kanser Negara</v>
          </cell>
          <cell r="D181" t="e">
            <v>#N/A</v>
          </cell>
          <cell r="E181" t="str">
            <v>15-076</v>
          </cell>
          <cell r="F181" t="str">
            <v>Laryngoscopes, Rigid</v>
          </cell>
          <cell r="G181" t="str">
            <v>WC</v>
          </cell>
          <cell r="H181" t="str">
            <v>SURGICAL ONCO FEMALE WARD</v>
          </cell>
          <cell r="I181" t="str">
            <v>06WC107</v>
          </cell>
          <cell r="J181" t="str">
            <v>TREATMENT / PROCEDURE</v>
          </cell>
          <cell r="K181" t="str">
            <v>BMED</v>
          </cell>
          <cell r="L181" t="str">
            <v>Normal</v>
          </cell>
          <cell r="M181" t="str">
            <v>Not Available</v>
          </cell>
          <cell r="N181" t="str">
            <v>Not Available</v>
          </cell>
          <cell r="O181" t="str">
            <v>Not Available</v>
          </cell>
          <cell r="P181" t="str">
            <v>Not Available</v>
          </cell>
          <cell r="Q181" t="str">
            <v>Not Available</v>
          </cell>
          <cell r="R181" t="str">
            <v>Not Available</v>
          </cell>
          <cell r="S181" t="str">
            <v>Antah Sri Radin</v>
          </cell>
          <cell r="T181" t="str">
            <v>Functioning</v>
          </cell>
          <cell r="U181" t="str">
            <v>Asset</v>
          </cell>
          <cell r="V181">
            <v>4000</v>
          </cell>
          <cell r="W181" t="str">
            <v>KEW</v>
          </cell>
          <cell r="X181" t="str">
            <v>01/09/2010</v>
          </cell>
          <cell r="Y181" t="str">
            <v>KEW</v>
          </cell>
          <cell r="Z181" t="str">
            <v>16/08/2013</v>
          </cell>
          <cell r="AA181" t="str">
            <v>15/08/2015</v>
          </cell>
          <cell r="AB181" t="str">
            <v>No</v>
          </cell>
          <cell r="AC181" t="str">
            <v>31/08/2013</v>
          </cell>
          <cell r="AD181" t="str">
            <v>Good</v>
          </cell>
          <cell r="AE181" t="str">
            <v>V4 - Decommissioned Installed Facility</v>
          </cell>
          <cell r="AF181">
            <v>42590</v>
          </cell>
          <cell r="AG181">
            <v>9.17</v>
          </cell>
          <cell r="AH181" t="str">
            <v>RI</v>
          </cell>
          <cell r="AI181" t="str">
            <v>Not in contract</v>
          </cell>
          <cell r="AJ181" t="str">
            <v>Not under maintenance</v>
          </cell>
          <cell r="AK181" t="str">
            <v>Will be under V4. Taken out of contract as agreed by IKN</v>
          </cell>
        </row>
        <row r="182">
          <cell r="A182" t="str">
            <v>IKN401302</v>
          </cell>
          <cell r="B182">
            <v>1298</v>
          </cell>
          <cell r="C182" t="str">
            <v>Institut Kanser Negara</v>
          </cell>
          <cell r="D182" t="e">
            <v>#N/A</v>
          </cell>
          <cell r="E182" t="str">
            <v>15-076</v>
          </cell>
          <cell r="F182" t="str">
            <v>Laryngoscopes, Rigid</v>
          </cell>
          <cell r="G182" t="str">
            <v>WC</v>
          </cell>
          <cell r="H182" t="str">
            <v>SURGICAL ONCO FEMALE WARD</v>
          </cell>
          <cell r="I182" t="str">
            <v>06WC107</v>
          </cell>
          <cell r="J182" t="str">
            <v>TREATMENT / PROCEDURE</v>
          </cell>
          <cell r="K182" t="str">
            <v>BMED</v>
          </cell>
          <cell r="L182" t="str">
            <v>Normal</v>
          </cell>
          <cell r="M182" t="str">
            <v>Not Available</v>
          </cell>
          <cell r="N182" t="str">
            <v>Not Available</v>
          </cell>
          <cell r="O182" t="str">
            <v>Not Available</v>
          </cell>
          <cell r="P182" t="str">
            <v>Not Available</v>
          </cell>
          <cell r="Q182" t="str">
            <v>Not Available</v>
          </cell>
          <cell r="R182" t="str">
            <v>Not Available</v>
          </cell>
          <cell r="S182" t="str">
            <v>ANTAH SRI RADIN</v>
          </cell>
          <cell r="T182" t="str">
            <v>Functioning</v>
          </cell>
          <cell r="U182" t="str">
            <v>Asset</v>
          </cell>
          <cell r="V182">
            <v>4000</v>
          </cell>
          <cell r="W182" t="str">
            <v>KEW</v>
          </cell>
          <cell r="X182" t="str">
            <v>01/09/2010</v>
          </cell>
          <cell r="Y182" t="str">
            <v>KEW</v>
          </cell>
          <cell r="Z182" t="str">
            <v>15/08/2013</v>
          </cell>
          <cell r="AA182" t="str">
            <v>15/08/2015</v>
          </cell>
          <cell r="AB182" t="str">
            <v>No</v>
          </cell>
          <cell r="AC182" t="str">
            <v>31/08/2013</v>
          </cell>
          <cell r="AD182" t="str">
            <v>Good</v>
          </cell>
          <cell r="AE182" t="str">
            <v>V4 - Decommissioned Installed Facility</v>
          </cell>
          <cell r="AF182">
            <v>42585</v>
          </cell>
          <cell r="AG182">
            <v>9.17</v>
          </cell>
          <cell r="AH182" t="str">
            <v>RI</v>
          </cell>
          <cell r="AI182" t="str">
            <v>Not in contract</v>
          </cell>
          <cell r="AJ182" t="str">
            <v>Not under maintenance</v>
          </cell>
          <cell r="AK182" t="str">
            <v>Will be under V4. Taken out of contract as agreed by IKN</v>
          </cell>
        </row>
        <row r="183">
          <cell r="A183" t="str">
            <v>IKN401303</v>
          </cell>
          <cell r="B183">
            <v>1299</v>
          </cell>
          <cell r="C183" t="str">
            <v>Institut Kanser Negara</v>
          </cell>
          <cell r="D183" t="str">
            <v>KKM/IKN/H/13/1354</v>
          </cell>
          <cell r="E183" t="str">
            <v>18-595</v>
          </cell>
          <cell r="F183" t="str">
            <v>Ophthalmoscopes/Otoscopes</v>
          </cell>
          <cell r="G183" t="str">
            <v>WC</v>
          </cell>
          <cell r="H183" t="str">
            <v>SURGICAL ONCO FEMALE WARD</v>
          </cell>
          <cell r="I183" t="str">
            <v>06WC107</v>
          </cell>
          <cell r="J183" t="str">
            <v>TREATMENT / PROCEDURE</v>
          </cell>
          <cell r="K183" t="str">
            <v>BMED</v>
          </cell>
          <cell r="L183" t="str">
            <v>Normal</v>
          </cell>
          <cell r="M183" t="str">
            <v>USA</v>
          </cell>
          <cell r="N183" t="str">
            <v>Welch Allyn</v>
          </cell>
          <cell r="O183" t="str">
            <v>Welch Allyn 97150-BIM</v>
          </cell>
          <cell r="P183" t="str">
            <v>Not Available</v>
          </cell>
          <cell r="Q183" t="str">
            <v>Not Available</v>
          </cell>
          <cell r="R183" t="str">
            <v>Welch Allyn Inc</v>
          </cell>
          <cell r="S183" t="str">
            <v>Welch Allyn</v>
          </cell>
          <cell r="T183" t="str">
            <v>Functioning</v>
          </cell>
          <cell r="U183" t="str">
            <v>Asset</v>
          </cell>
          <cell r="V183">
            <v>4690</v>
          </cell>
          <cell r="W183" t="str">
            <v>KEW</v>
          </cell>
          <cell r="X183" t="str">
            <v>01/09/2010</v>
          </cell>
          <cell r="Y183" t="str">
            <v>KEW</v>
          </cell>
          <cell r="Z183" t="str">
            <v>16/08/2013</v>
          </cell>
          <cell r="AA183" t="str">
            <v>15/08/2015</v>
          </cell>
          <cell r="AB183" t="str">
            <v>No</v>
          </cell>
          <cell r="AC183" t="str">
            <v>31/08/2013</v>
          </cell>
          <cell r="AD183" t="str">
            <v>Good</v>
          </cell>
          <cell r="AE183" t="str">
            <v>V1 - Existing / No Claim</v>
          </cell>
          <cell r="AF183">
            <v>42590</v>
          </cell>
          <cell r="AG183">
            <v>9.17</v>
          </cell>
          <cell r="AH183" t="str">
            <v>RI</v>
          </cell>
          <cell r="AI183" t="str">
            <v>Strands</v>
          </cell>
          <cell r="AJ183" t="str">
            <v>Not under maintenance</v>
          </cell>
        </row>
        <row r="184">
          <cell r="A184" t="str">
            <v>IKN401304</v>
          </cell>
          <cell r="B184">
            <v>1300</v>
          </cell>
          <cell r="C184" t="str">
            <v>Institut Kanser Negara</v>
          </cell>
          <cell r="D184" t="str">
            <v>KKM/IKN/H/13/1355</v>
          </cell>
          <cell r="E184" t="str">
            <v>18-595</v>
          </cell>
          <cell r="F184" t="str">
            <v>Ophthalmoscopes/Otoscopes</v>
          </cell>
          <cell r="G184" t="str">
            <v>WC</v>
          </cell>
          <cell r="H184" t="str">
            <v>SURGICAL ONCO FEMALE WARD</v>
          </cell>
          <cell r="I184" t="str">
            <v>06WC107</v>
          </cell>
          <cell r="J184" t="str">
            <v>TREATMENT / PROCEDURE</v>
          </cell>
          <cell r="K184" t="str">
            <v>BMED</v>
          </cell>
          <cell r="L184" t="str">
            <v>Normal</v>
          </cell>
          <cell r="M184" t="str">
            <v>USA</v>
          </cell>
          <cell r="N184" t="str">
            <v>Welch Allyn</v>
          </cell>
          <cell r="O184" t="str">
            <v>Welch Allyn 97150-BIM</v>
          </cell>
          <cell r="P184" t="str">
            <v>Not Available</v>
          </cell>
          <cell r="Q184" t="str">
            <v>Not Available</v>
          </cell>
          <cell r="R184" t="str">
            <v>Welch Allyn Inc</v>
          </cell>
          <cell r="S184" t="str">
            <v>Welch Allyn</v>
          </cell>
          <cell r="T184" t="str">
            <v>Functioning</v>
          </cell>
          <cell r="U184" t="str">
            <v>Asset</v>
          </cell>
          <cell r="V184">
            <v>4690</v>
          </cell>
          <cell r="W184" t="str">
            <v>KEW</v>
          </cell>
          <cell r="X184" t="str">
            <v>01/09/2010</v>
          </cell>
          <cell r="Y184" t="str">
            <v>KEW</v>
          </cell>
          <cell r="Z184" t="str">
            <v>16/08/2013</v>
          </cell>
          <cell r="AA184" t="str">
            <v>15/08/2015</v>
          </cell>
          <cell r="AB184" t="str">
            <v>No</v>
          </cell>
          <cell r="AC184" t="str">
            <v>31/08/2013</v>
          </cell>
          <cell r="AD184" t="str">
            <v>Good</v>
          </cell>
          <cell r="AE184" t="str">
            <v>V1 - Existing / No Claim</v>
          </cell>
          <cell r="AF184">
            <v>42590</v>
          </cell>
          <cell r="AG184">
            <v>9.17</v>
          </cell>
          <cell r="AH184" t="str">
            <v>RI</v>
          </cell>
          <cell r="AI184" t="str">
            <v>Strands</v>
          </cell>
          <cell r="AJ184" t="str">
            <v>Not under maintenance</v>
          </cell>
        </row>
        <row r="185">
          <cell r="A185" t="str">
            <v>IKN401305</v>
          </cell>
          <cell r="B185">
            <v>1301</v>
          </cell>
          <cell r="C185" t="str">
            <v>Institut Kanser Negara</v>
          </cell>
          <cell r="D185" t="e">
            <v>#N/A</v>
          </cell>
          <cell r="E185" t="str">
            <v>16-158</v>
          </cell>
          <cell r="F185" t="str">
            <v>Sphygmomanometers, Mercury</v>
          </cell>
          <cell r="G185" t="str">
            <v>WD</v>
          </cell>
          <cell r="H185" t="str">
            <v>RT/ONCO PAED/ADOLESCENT WARD</v>
          </cell>
          <cell r="I185" t="str">
            <v>06WD154</v>
          </cell>
          <cell r="J185" t="str">
            <v>CLEAN UTILITY</v>
          </cell>
          <cell r="K185" t="str">
            <v>BMED</v>
          </cell>
          <cell r="L185" t="str">
            <v>Critical</v>
          </cell>
          <cell r="M185" t="str">
            <v>Germany</v>
          </cell>
          <cell r="N185" t="str">
            <v>Erka</v>
          </cell>
          <cell r="O185" t="str">
            <v>Erkameter 3000</v>
          </cell>
          <cell r="P185" t="str">
            <v>13500822</v>
          </cell>
          <cell r="Q185" t="str">
            <v>Not Available</v>
          </cell>
          <cell r="R185" t="str">
            <v>Erka GmbH &amp; Co</v>
          </cell>
          <cell r="S185" t="str">
            <v>Acucare Sdn. Bhd</v>
          </cell>
          <cell r="T185" t="str">
            <v>Functioning</v>
          </cell>
          <cell r="U185" t="str">
            <v>Asset</v>
          </cell>
          <cell r="V185">
            <v>505</v>
          </cell>
          <cell r="W185" t="str">
            <v>KEW</v>
          </cell>
          <cell r="X185" t="str">
            <v>01/09/2010</v>
          </cell>
          <cell r="Y185" t="str">
            <v>KEW</v>
          </cell>
          <cell r="Z185" t="str">
            <v>16/08/2013</v>
          </cell>
          <cell r="AA185" t="str">
            <v>15/08/2015</v>
          </cell>
          <cell r="AB185" t="str">
            <v>No</v>
          </cell>
          <cell r="AC185" t="str">
            <v>31/08/2013</v>
          </cell>
          <cell r="AD185" t="str">
            <v>Good</v>
          </cell>
          <cell r="AE185" t="str">
            <v>V4 - Decommissioned Installed Facility</v>
          </cell>
          <cell r="AF185">
            <v>42590</v>
          </cell>
          <cell r="AG185">
            <v>9.17</v>
          </cell>
          <cell r="AH185" t="str">
            <v>PPM</v>
          </cell>
          <cell r="AI185" t="str">
            <v>Not in contract</v>
          </cell>
          <cell r="AJ185" t="str">
            <v>Not under maintenance</v>
          </cell>
          <cell r="AK185" t="e">
            <v>#N/A</v>
          </cell>
        </row>
        <row r="186">
          <cell r="A186" t="str">
            <v>IKN401306</v>
          </cell>
          <cell r="B186">
            <v>1302</v>
          </cell>
          <cell r="C186" t="str">
            <v>Institut Kanser Negara</v>
          </cell>
          <cell r="D186" t="e">
            <v>#N/A</v>
          </cell>
          <cell r="E186" t="str">
            <v>15-076</v>
          </cell>
          <cell r="F186" t="str">
            <v>Laryngoscopes, Rigid</v>
          </cell>
          <cell r="G186" t="str">
            <v>WD</v>
          </cell>
          <cell r="H186" t="str">
            <v>RT/ONCO PAED/ADOLESCENT WARD</v>
          </cell>
          <cell r="I186" t="str">
            <v>06WD154</v>
          </cell>
          <cell r="J186" t="str">
            <v>CLEAN UTILITY</v>
          </cell>
          <cell r="K186" t="str">
            <v>BMED</v>
          </cell>
          <cell r="L186" t="str">
            <v>Normal</v>
          </cell>
          <cell r="M186" t="str">
            <v>Not Available</v>
          </cell>
          <cell r="N186" t="str">
            <v>Not Available</v>
          </cell>
          <cell r="O186" t="str">
            <v>Not Available</v>
          </cell>
          <cell r="P186" t="str">
            <v>Not Available</v>
          </cell>
          <cell r="Q186" t="str">
            <v>Not Available</v>
          </cell>
          <cell r="R186" t="str">
            <v>Not Available</v>
          </cell>
          <cell r="S186" t="str">
            <v>Antah Sri Radin</v>
          </cell>
          <cell r="T186" t="str">
            <v>Functioning</v>
          </cell>
          <cell r="U186" t="str">
            <v>Asset</v>
          </cell>
          <cell r="V186">
            <v>4000</v>
          </cell>
          <cell r="W186" t="str">
            <v>KEW</v>
          </cell>
          <cell r="X186" t="str">
            <v>01/09/2010</v>
          </cell>
          <cell r="Y186" t="str">
            <v>KEW</v>
          </cell>
          <cell r="Z186" t="str">
            <v>16/08/2013</v>
          </cell>
          <cell r="AA186" t="str">
            <v>15/08/2015</v>
          </cell>
          <cell r="AB186" t="str">
            <v>No</v>
          </cell>
          <cell r="AC186" t="str">
            <v>31/08/2013</v>
          </cell>
          <cell r="AD186" t="str">
            <v>Good</v>
          </cell>
          <cell r="AE186" t="str">
            <v>V4 - Decommissioned Installed Facility</v>
          </cell>
          <cell r="AF186">
            <v>42590</v>
          </cell>
          <cell r="AG186">
            <v>9.17</v>
          </cell>
          <cell r="AH186" t="str">
            <v>RI</v>
          </cell>
          <cell r="AI186" t="str">
            <v>Not in contract</v>
          </cell>
          <cell r="AJ186" t="str">
            <v>Not under maintenance</v>
          </cell>
          <cell r="AK186" t="str">
            <v>Will be under V4. Taken out of contract as agreed by IKN</v>
          </cell>
        </row>
        <row r="187">
          <cell r="A187" t="str">
            <v>IKN401307</v>
          </cell>
          <cell r="B187">
            <v>1303</v>
          </cell>
          <cell r="C187" t="str">
            <v>Institut Kanser Negara</v>
          </cell>
          <cell r="D187" t="e">
            <v>#N/A</v>
          </cell>
          <cell r="E187" t="str">
            <v>15-076</v>
          </cell>
          <cell r="F187" t="str">
            <v>Laryngoscopes, Rigid</v>
          </cell>
          <cell r="G187" t="str">
            <v>WD</v>
          </cell>
          <cell r="H187" t="str">
            <v>RT/ONCO PAED/ADOLESCENT WARD</v>
          </cell>
          <cell r="I187" t="str">
            <v>06WD154</v>
          </cell>
          <cell r="J187" t="str">
            <v>CLEAN UTILITY</v>
          </cell>
          <cell r="K187" t="str">
            <v>BMED</v>
          </cell>
          <cell r="L187" t="str">
            <v>Normal</v>
          </cell>
          <cell r="M187" t="str">
            <v>Not Available</v>
          </cell>
          <cell r="N187" t="str">
            <v>Not Available</v>
          </cell>
          <cell r="O187" t="str">
            <v>Not Available</v>
          </cell>
          <cell r="P187" t="str">
            <v>Not Available</v>
          </cell>
          <cell r="Q187" t="str">
            <v>Not Available</v>
          </cell>
          <cell r="R187" t="str">
            <v>Not Available</v>
          </cell>
          <cell r="S187" t="str">
            <v>Antah Sri Radin</v>
          </cell>
          <cell r="T187" t="str">
            <v>Functioning</v>
          </cell>
          <cell r="U187" t="str">
            <v>Asset</v>
          </cell>
          <cell r="V187">
            <v>4000</v>
          </cell>
          <cell r="W187" t="str">
            <v>KEW</v>
          </cell>
          <cell r="X187" t="str">
            <v>01/09/2010</v>
          </cell>
          <cell r="Y187" t="str">
            <v>KEW</v>
          </cell>
          <cell r="Z187" t="str">
            <v>16/08/2013</v>
          </cell>
          <cell r="AA187" t="str">
            <v>15/08/2015</v>
          </cell>
          <cell r="AB187" t="str">
            <v>No</v>
          </cell>
          <cell r="AC187" t="str">
            <v>31/08/2013</v>
          </cell>
          <cell r="AD187" t="str">
            <v>Good</v>
          </cell>
          <cell r="AE187" t="str">
            <v>V4 - Decommissioned Installed Facility</v>
          </cell>
          <cell r="AF187">
            <v>42590</v>
          </cell>
          <cell r="AG187">
            <v>9.17</v>
          </cell>
          <cell r="AH187" t="str">
            <v>RI</v>
          </cell>
          <cell r="AI187" t="str">
            <v>Not in contract</v>
          </cell>
          <cell r="AJ187" t="str">
            <v>Not under maintenance</v>
          </cell>
          <cell r="AK187" t="str">
            <v>Will be under V4. Taken out of contract as agreed by IKN</v>
          </cell>
        </row>
        <row r="188">
          <cell r="A188" t="str">
            <v>IKN401308</v>
          </cell>
          <cell r="B188">
            <v>1304</v>
          </cell>
          <cell r="C188" t="str">
            <v>Institut Kanser Negara</v>
          </cell>
          <cell r="D188" t="str">
            <v>KKM/IKN/H/13/1469</v>
          </cell>
          <cell r="E188" t="str">
            <v>18-595</v>
          </cell>
          <cell r="F188" t="str">
            <v>Ophthalmoscopes/Otoscopes</v>
          </cell>
          <cell r="G188" t="str">
            <v>WD</v>
          </cell>
          <cell r="H188" t="str">
            <v>RT/ONCO PAED/ADOLESCENT WARD</v>
          </cell>
          <cell r="I188" t="str">
            <v>06WD154</v>
          </cell>
          <cell r="J188" t="str">
            <v>CLEAN UTILITY</v>
          </cell>
          <cell r="K188" t="str">
            <v>BMED</v>
          </cell>
          <cell r="L188" t="str">
            <v>Normal</v>
          </cell>
          <cell r="M188" t="str">
            <v>USA</v>
          </cell>
          <cell r="N188" t="str">
            <v>Welch Allyn</v>
          </cell>
          <cell r="O188" t="str">
            <v>Welch Allyn 97150-BIM</v>
          </cell>
          <cell r="P188" t="str">
            <v>Not Available</v>
          </cell>
          <cell r="Q188" t="str">
            <v>Not Available</v>
          </cell>
          <cell r="R188" t="str">
            <v>Welch Allyn Inc</v>
          </cell>
          <cell r="S188" t="str">
            <v>Welch Allyn</v>
          </cell>
          <cell r="T188" t="str">
            <v>Functioning</v>
          </cell>
          <cell r="U188" t="str">
            <v>Asset</v>
          </cell>
          <cell r="V188">
            <v>4690</v>
          </cell>
          <cell r="W188" t="str">
            <v>KEW</v>
          </cell>
          <cell r="X188" t="str">
            <v>01/09/2010</v>
          </cell>
          <cell r="Y188" t="str">
            <v>KEW</v>
          </cell>
          <cell r="Z188" t="str">
            <v>16/08/2013</v>
          </cell>
          <cell r="AA188" t="str">
            <v>15/08/2015</v>
          </cell>
          <cell r="AB188" t="str">
            <v>No</v>
          </cell>
          <cell r="AC188" t="str">
            <v>31/08/2013</v>
          </cell>
          <cell r="AD188" t="str">
            <v>Good</v>
          </cell>
          <cell r="AE188" t="str">
            <v>V1 - Existing / No Claim</v>
          </cell>
          <cell r="AF188">
            <v>42590</v>
          </cell>
          <cell r="AG188">
            <v>9.17</v>
          </cell>
          <cell r="AH188" t="str">
            <v>RI</v>
          </cell>
          <cell r="AI188" t="str">
            <v>Strands</v>
          </cell>
          <cell r="AJ188" t="str">
            <v>Not under maintenance</v>
          </cell>
        </row>
        <row r="189">
          <cell r="A189" t="str">
            <v>IKN401309</v>
          </cell>
          <cell r="B189">
            <v>1305</v>
          </cell>
          <cell r="C189" t="str">
            <v>Institut Kanser Negara</v>
          </cell>
          <cell r="D189" t="e">
            <v>#N/A</v>
          </cell>
          <cell r="E189" t="str">
            <v>15-076</v>
          </cell>
          <cell r="F189" t="str">
            <v>Laryngoscopes, Rigid</v>
          </cell>
          <cell r="G189" t="str">
            <v>WE</v>
          </cell>
          <cell r="H189" t="str">
            <v>RT/ONCO WARD 1 (F)</v>
          </cell>
          <cell r="I189" t="str">
            <v>07WE107</v>
          </cell>
          <cell r="J189" t="str">
            <v>TREATMENT / PROCESURE</v>
          </cell>
          <cell r="K189" t="str">
            <v>BMED</v>
          </cell>
          <cell r="L189" t="str">
            <v>Normal</v>
          </cell>
          <cell r="M189" t="str">
            <v>Not Available</v>
          </cell>
          <cell r="N189" t="str">
            <v>Not Available</v>
          </cell>
          <cell r="O189" t="str">
            <v>Not Available</v>
          </cell>
          <cell r="P189" t="str">
            <v>Not Available</v>
          </cell>
          <cell r="Q189" t="str">
            <v>Not Available</v>
          </cell>
          <cell r="R189" t="str">
            <v>Not Available</v>
          </cell>
          <cell r="S189" t="str">
            <v>Antah Sri Radin</v>
          </cell>
          <cell r="T189" t="str">
            <v>Functioning</v>
          </cell>
          <cell r="U189" t="str">
            <v>Asset</v>
          </cell>
          <cell r="V189">
            <v>4000</v>
          </cell>
          <cell r="W189" t="str">
            <v>KEW</v>
          </cell>
          <cell r="X189" t="str">
            <v>01/09/2010</v>
          </cell>
          <cell r="Y189" t="str">
            <v>KEW</v>
          </cell>
          <cell r="Z189" t="str">
            <v>16/08/2013</v>
          </cell>
          <cell r="AA189" t="str">
            <v>15/08/2015</v>
          </cell>
          <cell r="AB189" t="str">
            <v>No</v>
          </cell>
          <cell r="AC189" t="str">
            <v>31/08/2013</v>
          </cell>
          <cell r="AD189" t="str">
            <v>Good</v>
          </cell>
          <cell r="AE189" t="str">
            <v>V4 - Decommissioned Installed Facility</v>
          </cell>
          <cell r="AF189">
            <v>42590</v>
          </cell>
          <cell r="AG189">
            <v>9.17</v>
          </cell>
          <cell r="AH189" t="str">
            <v>RI</v>
          </cell>
          <cell r="AI189" t="str">
            <v>Not in contract</v>
          </cell>
          <cell r="AJ189" t="str">
            <v>Not under maintenance</v>
          </cell>
          <cell r="AK189" t="str">
            <v>Will be under V4. Taken out of contract as agreed by IKN</v>
          </cell>
        </row>
        <row r="190">
          <cell r="A190" t="str">
            <v>IKN401310</v>
          </cell>
          <cell r="B190">
            <v>1306</v>
          </cell>
          <cell r="C190" t="str">
            <v>Institut Kanser Negara</v>
          </cell>
          <cell r="D190" t="e">
            <v>#N/A</v>
          </cell>
          <cell r="E190" t="str">
            <v>15-076</v>
          </cell>
          <cell r="F190" t="str">
            <v>Laryngoscopes, Rigid</v>
          </cell>
          <cell r="G190" t="str">
            <v>WE</v>
          </cell>
          <cell r="H190" t="str">
            <v>RT/ONCO WARD 1 (F)</v>
          </cell>
          <cell r="I190" t="str">
            <v>07WE107</v>
          </cell>
          <cell r="J190" t="str">
            <v>TREATMENT / PROCESURE</v>
          </cell>
          <cell r="K190" t="str">
            <v>BMED</v>
          </cell>
          <cell r="L190" t="str">
            <v>Normal</v>
          </cell>
          <cell r="M190" t="str">
            <v>Not Available</v>
          </cell>
          <cell r="N190" t="str">
            <v>Not Available</v>
          </cell>
          <cell r="O190" t="str">
            <v>Not Available</v>
          </cell>
          <cell r="P190" t="str">
            <v>Not Available</v>
          </cell>
          <cell r="Q190" t="str">
            <v>Not Available</v>
          </cell>
          <cell r="R190" t="str">
            <v>Not Available</v>
          </cell>
          <cell r="S190" t="str">
            <v>Antah Sri Radin</v>
          </cell>
          <cell r="T190" t="str">
            <v>Functioning</v>
          </cell>
          <cell r="U190" t="str">
            <v>Asset</v>
          </cell>
          <cell r="V190">
            <v>4000</v>
          </cell>
          <cell r="W190" t="str">
            <v>KEW</v>
          </cell>
          <cell r="X190" t="str">
            <v>01/09/2010</v>
          </cell>
          <cell r="Y190" t="str">
            <v>KEW</v>
          </cell>
          <cell r="Z190" t="str">
            <v>16/08/2013</v>
          </cell>
          <cell r="AA190" t="str">
            <v>15/08/2015</v>
          </cell>
          <cell r="AB190" t="str">
            <v>No</v>
          </cell>
          <cell r="AC190" t="str">
            <v>31/08/2013</v>
          </cell>
          <cell r="AD190" t="str">
            <v>Good</v>
          </cell>
          <cell r="AE190" t="str">
            <v>V4 - Decommissioned Installed Facility</v>
          </cell>
          <cell r="AF190">
            <v>42590</v>
          </cell>
          <cell r="AG190">
            <v>9.17</v>
          </cell>
          <cell r="AH190" t="str">
            <v>RI</v>
          </cell>
          <cell r="AI190" t="str">
            <v>Not in contract</v>
          </cell>
          <cell r="AJ190" t="str">
            <v>Not under maintenance</v>
          </cell>
          <cell r="AK190" t="str">
            <v>Will be under V4. Taken out of contract as agreed by IKN</v>
          </cell>
        </row>
        <row r="191">
          <cell r="A191" t="str">
            <v>IKN401319</v>
          </cell>
          <cell r="B191">
            <v>1313</v>
          </cell>
          <cell r="C191" t="str">
            <v>Institut Kanser Negara</v>
          </cell>
          <cell r="D191" t="e">
            <v>#N/A</v>
          </cell>
          <cell r="E191" t="str">
            <v>15-076</v>
          </cell>
          <cell r="F191" t="str">
            <v>Laryngoscopes, Rigid</v>
          </cell>
          <cell r="G191" t="str">
            <v>OC</v>
          </cell>
          <cell r="H191" t="str">
            <v>ONCOLOGY CLINIC</v>
          </cell>
          <cell r="I191" t="str">
            <v>03OC133</v>
          </cell>
          <cell r="J191" t="str">
            <v>ASSESSMENT</v>
          </cell>
          <cell r="K191" t="str">
            <v>BMED</v>
          </cell>
          <cell r="L191" t="str">
            <v>Normal</v>
          </cell>
          <cell r="M191" t="str">
            <v>Not Available</v>
          </cell>
          <cell r="N191" t="str">
            <v>Not Available</v>
          </cell>
          <cell r="O191" t="str">
            <v>Not Available</v>
          </cell>
          <cell r="P191" t="str">
            <v>Not Available</v>
          </cell>
          <cell r="Q191" t="str">
            <v>Not Available</v>
          </cell>
          <cell r="R191" t="str">
            <v>Not Available</v>
          </cell>
          <cell r="S191" t="str">
            <v>Antah Sir Radin Sdn. Bhd.</v>
          </cell>
          <cell r="T191" t="str">
            <v>Functioning</v>
          </cell>
          <cell r="U191" t="str">
            <v>Asset</v>
          </cell>
          <cell r="V191">
            <v>4000</v>
          </cell>
          <cell r="W191" t="str">
            <v>KEW</v>
          </cell>
          <cell r="X191" t="str">
            <v>01/09/2010</v>
          </cell>
          <cell r="Y191" t="str">
            <v>KEW</v>
          </cell>
          <cell r="Z191" t="str">
            <v>31/08/2013</v>
          </cell>
          <cell r="AA191" t="str">
            <v>15/08/2015</v>
          </cell>
          <cell r="AB191" t="str">
            <v>No</v>
          </cell>
          <cell r="AC191" t="str">
            <v>31/08/2013</v>
          </cell>
          <cell r="AD191" t="str">
            <v>Good</v>
          </cell>
          <cell r="AE191" t="str">
            <v>V4 - Decommissioned Installed Facility</v>
          </cell>
          <cell r="AF191">
            <v>42630</v>
          </cell>
          <cell r="AG191">
            <v>9.17</v>
          </cell>
          <cell r="AH191" t="str">
            <v>RI</v>
          </cell>
          <cell r="AI191" t="str">
            <v>Not in contract</v>
          </cell>
          <cell r="AJ191" t="str">
            <v>Not under maintenance</v>
          </cell>
          <cell r="AK191" t="str">
            <v>Will be under V4. Taken out of contract as agreed by IKN</v>
          </cell>
        </row>
        <row r="192">
          <cell r="A192" t="str">
            <v>IKN401320</v>
          </cell>
          <cell r="B192">
            <v>1314</v>
          </cell>
          <cell r="C192" t="str">
            <v>Institut Kanser Negara</v>
          </cell>
          <cell r="D192" t="e">
            <v>#N/A</v>
          </cell>
          <cell r="E192" t="str">
            <v>15-076</v>
          </cell>
          <cell r="F192" t="str">
            <v>Laryngoscopes, Rigid</v>
          </cell>
          <cell r="G192" t="str">
            <v>OC</v>
          </cell>
          <cell r="H192" t="str">
            <v>ONCOLOGY CLINIC</v>
          </cell>
          <cell r="I192" t="str">
            <v>03OC133</v>
          </cell>
          <cell r="J192" t="str">
            <v>ASSESSMENT</v>
          </cell>
          <cell r="K192" t="str">
            <v>BMED</v>
          </cell>
          <cell r="L192" t="str">
            <v>Normal</v>
          </cell>
          <cell r="M192" t="str">
            <v>Not Available</v>
          </cell>
          <cell r="N192" t="str">
            <v>Not Available</v>
          </cell>
          <cell r="O192" t="str">
            <v>Not Available</v>
          </cell>
          <cell r="P192" t="str">
            <v>Not Available</v>
          </cell>
          <cell r="Q192" t="str">
            <v>Not Available</v>
          </cell>
          <cell r="R192" t="str">
            <v>Not Available</v>
          </cell>
          <cell r="S192" t="str">
            <v>Antah Sir Radin Sdn. Bhd.</v>
          </cell>
          <cell r="T192" t="str">
            <v>Functioning</v>
          </cell>
          <cell r="U192" t="str">
            <v>Asset</v>
          </cell>
          <cell r="V192">
            <v>4000</v>
          </cell>
          <cell r="W192" t="str">
            <v>KEW</v>
          </cell>
          <cell r="X192" t="str">
            <v>01/09/2010</v>
          </cell>
          <cell r="Y192" t="str">
            <v>KEW</v>
          </cell>
          <cell r="Z192" t="str">
            <v>31/08/2013</v>
          </cell>
          <cell r="AA192" t="str">
            <v>15/08/2015</v>
          </cell>
          <cell r="AB192" t="str">
            <v>No</v>
          </cell>
          <cell r="AC192" t="str">
            <v>31/08/2013</v>
          </cell>
          <cell r="AD192" t="str">
            <v>Good</v>
          </cell>
          <cell r="AE192" t="str">
            <v>V4 - Decommissioned Installed Facility</v>
          </cell>
          <cell r="AF192">
            <v>42630</v>
          </cell>
          <cell r="AG192">
            <v>9.17</v>
          </cell>
          <cell r="AH192" t="str">
            <v>RI</v>
          </cell>
          <cell r="AI192" t="str">
            <v>Not in contract</v>
          </cell>
          <cell r="AJ192" t="str">
            <v>Not under maintenance</v>
          </cell>
          <cell r="AK192" t="str">
            <v>Will be under V4. Taken out of contract as agreed by IKN</v>
          </cell>
        </row>
        <row r="193">
          <cell r="A193" t="str">
            <v>IKN401323</v>
          </cell>
          <cell r="B193">
            <v>1317</v>
          </cell>
          <cell r="C193" t="str">
            <v>Institut Kanser Negara</v>
          </cell>
          <cell r="D193" t="str">
            <v>KKM/IKN/H/13/5071</v>
          </cell>
          <cell r="E193" t="str">
            <v>15-076</v>
          </cell>
          <cell r="F193" t="str">
            <v>Laryngoscopes, Rigid</v>
          </cell>
          <cell r="G193" t="str">
            <v>WH</v>
          </cell>
          <cell r="H193" t="str">
            <v>RT/ONCO WARD 2 (M)</v>
          </cell>
          <cell r="I193" t="str">
            <v>08WH135</v>
          </cell>
          <cell r="J193" t="str">
            <v>4 BED BAY 2</v>
          </cell>
          <cell r="K193" t="str">
            <v>BMED</v>
          </cell>
          <cell r="L193" t="str">
            <v>Normal</v>
          </cell>
          <cell r="M193" t="str">
            <v>Not Available</v>
          </cell>
          <cell r="N193" t="str">
            <v>Not Available</v>
          </cell>
          <cell r="O193" t="str">
            <v>Not Available</v>
          </cell>
          <cell r="P193" t="str">
            <v>Not Available</v>
          </cell>
          <cell r="Q193" t="str">
            <v>Not Available</v>
          </cell>
          <cell r="R193" t="str">
            <v>Not Available</v>
          </cell>
          <cell r="S193" t="str">
            <v>Antah Sir Radin Sdn. Bhd.</v>
          </cell>
          <cell r="T193" t="str">
            <v>Functioning</v>
          </cell>
          <cell r="U193" t="str">
            <v>Asset</v>
          </cell>
          <cell r="V193">
            <v>4000</v>
          </cell>
          <cell r="W193" t="str">
            <v>KEW</v>
          </cell>
          <cell r="X193" t="str">
            <v>01/09/2010</v>
          </cell>
          <cell r="Y193" t="str">
            <v>KEW</v>
          </cell>
          <cell r="Z193" t="str">
            <v>31/08/2013</v>
          </cell>
          <cell r="AA193" t="str">
            <v>15/08/2015</v>
          </cell>
          <cell r="AB193" t="str">
            <v>No</v>
          </cell>
          <cell r="AC193" t="str">
            <v>31/08/2013</v>
          </cell>
          <cell r="AD193" t="str">
            <v>Good</v>
          </cell>
          <cell r="AE193" t="str">
            <v>V4 - Decommissioned Installed Facility</v>
          </cell>
          <cell r="AF193">
            <v>42630</v>
          </cell>
          <cell r="AG193">
            <v>9.17</v>
          </cell>
          <cell r="AH193" t="str">
            <v>RI</v>
          </cell>
          <cell r="AI193" t="str">
            <v>Strands</v>
          </cell>
          <cell r="AJ193" t="str">
            <v>Not under maintenance</v>
          </cell>
        </row>
        <row r="194">
          <cell r="A194" t="str">
            <v>IKN401324</v>
          </cell>
          <cell r="B194">
            <v>1318</v>
          </cell>
          <cell r="C194" t="str">
            <v>Institut Kanser Negara</v>
          </cell>
          <cell r="D194" t="str">
            <v>KKM/IKN/H/13/5072</v>
          </cell>
          <cell r="E194" t="str">
            <v>15-076</v>
          </cell>
          <cell r="F194" t="str">
            <v>Laryngoscopes, Rigid</v>
          </cell>
          <cell r="G194" t="str">
            <v>WH</v>
          </cell>
          <cell r="H194" t="str">
            <v>RT/ONCO WARD 2 (M)</v>
          </cell>
          <cell r="I194" t="str">
            <v>08WH117</v>
          </cell>
          <cell r="J194" t="str">
            <v>SISTER</v>
          </cell>
          <cell r="K194" t="str">
            <v>BMED</v>
          </cell>
          <cell r="L194" t="str">
            <v>Normal</v>
          </cell>
          <cell r="M194" t="str">
            <v>Not Available</v>
          </cell>
          <cell r="N194" t="str">
            <v>Not Available</v>
          </cell>
          <cell r="O194" t="str">
            <v>Not Available</v>
          </cell>
          <cell r="P194" t="str">
            <v>Not Available</v>
          </cell>
          <cell r="Q194" t="str">
            <v>Not Available</v>
          </cell>
          <cell r="R194" t="str">
            <v>Not Available</v>
          </cell>
          <cell r="S194" t="str">
            <v>Antah Sir Radin Sdn. Bhd.</v>
          </cell>
          <cell r="T194" t="str">
            <v>Functioning</v>
          </cell>
          <cell r="U194" t="str">
            <v>Asset</v>
          </cell>
          <cell r="V194">
            <v>4000</v>
          </cell>
          <cell r="W194" t="str">
            <v>KEW</v>
          </cell>
          <cell r="X194" t="str">
            <v>01/09/2010</v>
          </cell>
          <cell r="Y194" t="str">
            <v>KEW</v>
          </cell>
          <cell r="Z194" t="str">
            <v>31/08/2013</v>
          </cell>
          <cell r="AA194" t="str">
            <v>15/08/2015</v>
          </cell>
          <cell r="AB194" t="str">
            <v>No</v>
          </cell>
          <cell r="AC194" t="str">
            <v>31/08/2013</v>
          </cell>
          <cell r="AD194" t="str">
            <v>Good</v>
          </cell>
          <cell r="AE194" t="str">
            <v>V4 - Decommissioned Installed Facility</v>
          </cell>
          <cell r="AF194">
            <v>42630</v>
          </cell>
          <cell r="AG194">
            <v>9.17</v>
          </cell>
          <cell r="AH194" t="str">
            <v>RI</v>
          </cell>
          <cell r="AI194" t="str">
            <v>Strands</v>
          </cell>
          <cell r="AJ194" t="str">
            <v>Not under maintenance</v>
          </cell>
        </row>
        <row r="195">
          <cell r="A195" t="str">
            <v>IKN401325</v>
          </cell>
          <cell r="B195">
            <v>1319</v>
          </cell>
          <cell r="C195" t="str">
            <v>Institut Kanser Negara</v>
          </cell>
          <cell r="D195" t="str">
            <v>KKM/IKN/H/13/5073</v>
          </cell>
          <cell r="E195" t="str">
            <v>18-595</v>
          </cell>
          <cell r="F195" t="str">
            <v>Ophthalmoscopes/Otoscopes</v>
          </cell>
          <cell r="G195" t="str">
            <v>WH</v>
          </cell>
          <cell r="H195" t="str">
            <v>RT/ONCO WARD 2 (M)</v>
          </cell>
          <cell r="I195" t="str">
            <v>08WH135</v>
          </cell>
          <cell r="J195" t="str">
            <v>4 BED BAY 2</v>
          </cell>
          <cell r="K195" t="str">
            <v>BMED</v>
          </cell>
          <cell r="L195" t="str">
            <v>Normal</v>
          </cell>
          <cell r="M195" t="str">
            <v>USA</v>
          </cell>
          <cell r="N195" t="str">
            <v>Welch Allyn</v>
          </cell>
          <cell r="O195" t="str">
            <v>Welch Allyn 97150-BIM</v>
          </cell>
          <cell r="P195" t="str">
            <v>GD0019-36</v>
          </cell>
          <cell r="Q195" t="str">
            <v>Not Available</v>
          </cell>
          <cell r="R195" t="str">
            <v>Welch Allyn Inc</v>
          </cell>
          <cell r="S195" t="str">
            <v>Welch Allyn</v>
          </cell>
          <cell r="T195" t="str">
            <v>Functioning</v>
          </cell>
          <cell r="U195" t="str">
            <v>Asset</v>
          </cell>
          <cell r="V195">
            <v>4690</v>
          </cell>
          <cell r="W195" t="str">
            <v>KEW</v>
          </cell>
          <cell r="X195" t="str">
            <v>01/09/2010</v>
          </cell>
          <cell r="Y195" t="str">
            <v>KEW</v>
          </cell>
          <cell r="Z195" t="str">
            <v>31/08/2013</v>
          </cell>
          <cell r="AA195" t="str">
            <v>15/08/2015</v>
          </cell>
          <cell r="AB195" t="str">
            <v>No</v>
          </cell>
          <cell r="AC195" t="str">
            <v>31/08/2013</v>
          </cell>
          <cell r="AD195" t="str">
            <v>Good</v>
          </cell>
          <cell r="AE195" t="str">
            <v>V1 - Existing / No Claim</v>
          </cell>
          <cell r="AF195">
            <v>42622</v>
          </cell>
          <cell r="AG195">
            <v>9.17</v>
          </cell>
          <cell r="AH195" t="str">
            <v>RI</v>
          </cell>
          <cell r="AI195" t="str">
            <v>Strands</v>
          </cell>
          <cell r="AJ195" t="str">
            <v>Not under maintenance</v>
          </cell>
        </row>
        <row r="196">
          <cell r="A196" t="str">
            <v>IKN401326</v>
          </cell>
          <cell r="B196">
            <v>1320</v>
          </cell>
          <cell r="C196" t="str">
            <v>Institut Kanser Negara</v>
          </cell>
          <cell r="D196" t="e">
            <v>#N/A</v>
          </cell>
          <cell r="E196" t="str">
            <v>18-595</v>
          </cell>
          <cell r="F196" t="str">
            <v>Ophthalmoscopes/Otoscopes</v>
          </cell>
          <cell r="G196" t="str">
            <v>WH</v>
          </cell>
          <cell r="H196" t="str">
            <v>RT/ONCO WARD 2 (M)</v>
          </cell>
          <cell r="I196" t="str">
            <v>08WH117</v>
          </cell>
          <cell r="J196" t="str">
            <v>SISTER</v>
          </cell>
          <cell r="K196" t="str">
            <v>BMED</v>
          </cell>
          <cell r="L196" t="str">
            <v>Normal</v>
          </cell>
          <cell r="M196" t="str">
            <v>USA</v>
          </cell>
          <cell r="N196" t="str">
            <v>Welch Allyn</v>
          </cell>
          <cell r="O196" t="str">
            <v>Welch Allyn 11710</v>
          </cell>
          <cell r="P196" t="str">
            <v>GD0019-37</v>
          </cell>
          <cell r="Q196" t="str">
            <v>Not Available</v>
          </cell>
          <cell r="R196" t="str">
            <v>Welch Allyn Inc</v>
          </cell>
          <cell r="S196" t="str">
            <v>Welch Allyn</v>
          </cell>
          <cell r="T196" t="str">
            <v>Functioning</v>
          </cell>
          <cell r="U196" t="str">
            <v>Asset</v>
          </cell>
          <cell r="V196">
            <v>4690</v>
          </cell>
          <cell r="W196" t="str">
            <v>KEW</v>
          </cell>
          <cell r="X196" t="str">
            <v>01/09/2010</v>
          </cell>
          <cell r="Y196" t="str">
            <v>KEW</v>
          </cell>
          <cell r="Z196" t="str">
            <v>31/08/2013</v>
          </cell>
          <cell r="AA196" t="str">
            <v>15/08/2015</v>
          </cell>
          <cell r="AB196" t="str">
            <v>No</v>
          </cell>
          <cell r="AC196" t="str">
            <v>31/08/2013</v>
          </cell>
          <cell r="AD196" t="str">
            <v>Good</v>
          </cell>
          <cell r="AE196" t="str">
            <v>V1 - Existing / No Claim</v>
          </cell>
          <cell r="AF196">
            <v>42622</v>
          </cell>
          <cell r="AG196">
            <v>9.17</v>
          </cell>
          <cell r="AH196" t="str">
            <v>RI</v>
          </cell>
          <cell r="AI196" t="str">
            <v>Not in contract</v>
          </cell>
          <cell r="AJ196" t="str">
            <v>Not under maintenance</v>
          </cell>
          <cell r="AK196" t="str">
            <v>Will be under V4. Taken out of contract as agreed by IKN</v>
          </cell>
        </row>
        <row r="197">
          <cell r="A197" t="str">
            <v>IKN401327</v>
          </cell>
          <cell r="B197">
            <v>1321</v>
          </cell>
          <cell r="C197" t="str">
            <v>Institut Kanser Negara</v>
          </cell>
          <cell r="D197" t="e">
            <v>#N/A</v>
          </cell>
          <cell r="E197" t="str">
            <v>16-158</v>
          </cell>
          <cell r="F197" t="str">
            <v>Sphygmomanometers, Mercury</v>
          </cell>
          <cell r="G197" t="str">
            <v>WH</v>
          </cell>
          <cell r="H197" t="str">
            <v>RT/ONCO WARD 2 (M)</v>
          </cell>
          <cell r="I197" t="str">
            <v>08WH135</v>
          </cell>
          <cell r="J197" t="str">
            <v>4 BED BAY 2</v>
          </cell>
          <cell r="K197" t="str">
            <v>BMED</v>
          </cell>
          <cell r="L197" t="str">
            <v>Critical</v>
          </cell>
          <cell r="M197" t="str">
            <v>Germany</v>
          </cell>
          <cell r="N197" t="str">
            <v>Erka</v>
          </cell>
          <cell r="O197" t="str">
            <v>Erka</v>
          </cell>
          <cell r="P197" t="str">
            <v>13500757</v>
          </cell>
          <cell r="Q197" t="str">
            <v>Not Available</v>
          </cell>
          <cell r="R197" t="str">
            <v>Erka GmbH &amp; Co</v>
          </cell>
          <cell r="S197" t="str">
            <v>Acucare Sdn. Bhd</v>
          </cell>
          <cell r="T197" t="str">
            <v>Functioning</v>
          </cell>
          <cell r="U197" t="str">
            <v>Asset</v>
          </cell>
          <cell r="V197">
            <v>505</v>
          </cell>
          <cell r="W197" t="str">
            <v>KEW</v>
          </cell>
          <cell r="X197" t="str">
            <v>01/09/2010</v>
          </cell>
          <cell r="Y197" t="str">
            <v>KEW</v>
          </cell>
          <cell r="Z197" t="str">
            <v>31/08/2013</v>
          </cell>
          <cell r="AA197" t="str">
            <v>15/08/2015</v>
          </cell>
          <cell r="AB197" t="str">
            <v>No</v>
          </cell>
          <cell r="AC197" t="str">
            <v>31/08/2013</v>
          </cell>
          <cell r="AD197" t="str">
            <v>Good</v>
          </cell>
          <cell r="AE197" t="str">
            <v>V4 - Decommissioned Installed Facility</v>
          </cell>
          <cell r="AF197">
            <v>42622</v>
          </cell>
          <cell r="AG197">
            <v>9.17</v>
          </cell>
          <cell r="AH197" t="str">
            <v>PPM</v>
          </cell>
          <cell r="AI197" t="str">
            <v>Not in contract</v>
          </cell>
          <cell r="AJ197" t="str">
            <v>Not under maintenance</v>
          </cell>
          <cell r="AK197" t="e">
            <v>#N/A</v>
          </cell>
        </row>
        <row r="198">
          <cell r="A198" t="str">
            <v>IKN401328</v>
          </cell>
          <cell r="B198">
            <v>1322</v>
          </cell>
          <cell r="C198" t="str">
            <v>Institut Kanser Negara</v>
          </cell>
          <cell r="D198" t="e">
            <v>#N/A</v>
          </cell>
          <cell r="E198" t="str">
            <v>16-158</v>
          </cell>
          <cell r="F198" t="str">
            <v>Sphygmomanometers, Mercury</v>
          </cell>
          <cell r="G198" t="str">
            <v>WG</v>
          </cell>
          <cell r="H198" t="str">
            <v>RT/ONCO WARD 1 (M)</v>
          </cell>
          <cell r="I198" t="str">
            <v>08WG135</v>
          </cell>
          <cell r="J198" t="str">
            <v>4 BED BAY 2</v>
          </cell>
          <cell r="K198" t="str">
            <v>BMED</v>
          </cell>
          <cell r="L198" t="str">
            <v>Critical</v>
          </cell>
          <cell r="M198" t="str">
            <v>Germany</v>
          </cell>
          <cell r="N198" t="str">
            <v>Erka</v>
          </cell>
          <cell r="O198" t="str">
            <v>Erka</v>
          </cell>
          <cell r="P198" t="str">
            <v>13500760</v>
          </cell>
          <cell r="Q198" t="str">
            <v>Not Available</v>
          </cell>
          <cell r="R198" t="str">
            <v>Erka GmbH &amp; Co</v>
          </cell>
          <cell r="S198" t="str">
            <v>Acucare Sdn. Bhd</v>
          </cell>
          <cell r="T198" t="str">
            <v>Functioning</v>
          </cell>
          <cell r="U198" t="str">
            <v>Asset</v>
          </cell>
          <cell r="V198">
            <v>505</v>
          </cell>
          <cell r="W198" t="str">
            <v>KEW</v>
          </cell>
          <cell r="X198" t="str">
            <v>01/09/2010</v>
          </cell>
          <cell r="Y198" t="str">
            <v>KEW</v>
          </cell>
          <cell r="Z198" t="str">
            <v>31/08/2013</v>
          </cell>
          <cell r="AA198" t="str">
            <v>15/08/2015</v>
          </cell>
          <cell r="AB198" t="str">
            <v>No</v>
          </cell>
          <cell r="AC198" t="str">
            <v>31/08/2013</v>
          </cell>
          <cell r="AD198" t="str">
            <v>Good</v>
          </cell>
          <cell r="AE198" t="str">
            <v>V4 - Decommissioned Installed Facility</v>
          </cell>
          <cell r="AF198">
            <v>42622</v>
          </cell>
          <cell r="AG198">
            <v>9.17</v>
          </cell>
          <cell r="AH198" t="str">
            <v>PPM</v>
          </cell>
          <cell r="AI198" t="str">
            <v>Not in contract</v>
          </cell>
          <cell r="AJ198" t="str">
            <v>Not under maintenance</v>
          </cell>
          <cell r="AK198" t="e">
            <v>#N/A</v>
          </cell>
        </row>
        <row r="199">
          <cell r="A199" t="str">
            <v>IKN401329</v>
          </cell>
          <cell r="B199">
            <v>1323</v>
          </cell>
          <cell r="C199" t="str">
            <v>Institut Kanser Negara</v>
          </cell>
          <cell r="D199" t="e">
            <v>#N/A</v>
          </cell>
          <cell r="E199" t="str">
            <v>16-158</v>
          </cell>
          <cell r="F199" t="str">
            <v>Sphygmomanometers, Mercury</v>
          </cell>
          <cell r="G199" t="str">
            <v>DO</v>
          </cell>
          <cell r="H199" t="str">
            <v>DAY ONCOLOGY UNIT</v>
          </cell>
          <cell r="I199" t="str">
            <v>04do105</v>
          </cell>
          <cell r="J199" t="str">
            <v>C/E</v>
          </cell>
          <cell r="K199" t="str">
            <v>BMED</v>
          </cell>
          <cell r="L199" t="str">
            <v>Critical</v>
          </cell>
          <cell r="M199" t="str">
            <v>Germany</v>
          </cell>
          <cell r="N199" t="str">
            <v>Erka</v>
          </cell>
          <cell r="O199" t="str">
            <v>Erkameter 3000</v>
          </cell>
          <cell r="P199" t="str">
            <v>12508908</v>
          </cell>
          <cell r="Q199" t="str">
            <v>Not Available</v>
          </cell>
          <cell r="R199" t="str">
            <v>Erka GmbH &amp; Co</v>
          </cell>
          <cell r="S199" t="str">
            <v>Acucare System (M) Sdn. Bhd</v>
          </cell>
          <cell r="T199" t="str">
            <v>Functioning</v>
          </cell>
          <cell r="U199" t="str">
            <v>Asset</v>
          </cell>
          <cell r="V199">
            <v>505</v>
          </cell>
          <cell r="W199" t="str">
            <v>KEW</v>
          </cell>
          <cell r="X199" t="str">
            <v>01/09/2010</v>
          </cell>
          <cell r="Y199" t="str">
            <v>KEW</v>
          </cell>
          <cell r="Z199" t="str">
            <v>16/08/2013</v>
          </cell>
          <cell r="AA199" t="str">
            <v>15/08/2015</v>
          </cell>
          <cell r="AB199" t="str">
            <v>No</v>
          </cell>
          <cell r="AC199" t="str">
            <v>31/08/2013</v>
          </cell>
          <cell r="AD199" t="str">
            <v>Good</v>
          </cell>
          <cell r="AE199" t="str">
            <v>V4 - Decommissioned Installed Facility</v>
          </cell>
          <cell r="AF199">
            <v>42704</v>
          </cell>
          <cell r="AG199">
            <v>9.17</v>
          </cell>
          <cell r="AH199" t="str">
            <v>PPM</v>
          </cell>
          <cell r="AI199" t="str">
            <v>Not in contract</v>
          </cell>
          <cell r="AJ199" t="str">
            <v>Not under maintenance</v>
          </cell>
          <cell r="AK199" t="e">
            <v>#N/A</v>
          </cell>
        </row>
        <row r="200">
          <cell r="A200" t="str">
            <v>IKN401330</v>
          </cell>
          <cell r="B200">
            <v>1324</v>
          </cell>
          <cell r="C200" t="str">
            <v>Institut Kanser Negara</v>
          </cell>
          <cell r="D200" t="e">
            <v>#N/A</v>
          </cell>
          <cell r="E200" t="str">
            <v>15-076</v>
          </cell>
          <cell r="F200" t="str">
            <v>Laryngoscopes, Rigid</v>
          </cell>
          <cell r="G200" t="str">
            <v>DO</v>
          </cell>
          <cell r="H200" t="str">
            <v>DAY ONCOLOGY UNIT</v>
          </cell>
          <cell r="I200" t="str">
            <v>04do133</v>
          </cell>
          <cell r="J200" t="str">
            <v>CLEAN UTILITY</v>
          </cell>
          <cell r="K200" t="str">
            <v>BMED</v>
          </cell>
          <cell r="L200" t="str">
            <v>Normal</v>
          </cell>
          <cell r="M200" t="str">
            <v>Not Available</v>
          </cell>
          <cell r="N200" t="str">
            <v>Not Available</v>
          </cell>
          <cell r="O200" t="str">
            <v>Not Available</v>
          </cell>
          <cell r="P200" t="str">
            <v>Not Available</v>
          </cell>
          <cell r="Q200" t="str">
            <v>Not Available</v>
          </cell>
          <cell r="R200" t="str">
            <v>Not Available</v>
          </cell>
          <cell r="S200" t="str">
            <v>Antah Sri Radin Sdn. Bhd</v>
          </cell>
          <cell r="T200" t="str">
            <v>Functioning</v>
          </cell>
          <cell r="U200" t="str">
            <v>Asset</v>
          </cell>
          <cell r="V200">
            <v>4000</v>
          </cell>
          <cell r="W200" t="str">
            <v>KEW</v>
          </cell>
          <cell r="X200" t="str">
            <v>01/09/2010</v>
          </cell>
          <cell r="Y200" t="str">
            <v>KEW</v>
          </cell>
          <cell r="Z200" t="str">
            <v>16/08/2013</v>
          </cell>
          <cell r="AA200" t="str">
            <v>15/08/2015</v>
          </cell>
          <cell r="AB200" t="str">
            <v>No</v>
          </cell>
          <cell r="AC200" t="str">
            <v>31/08/2013</v>
          </cell>
          <cell r="AD200" t="str">
            <v>Good</v>
          </cell>
          <cell r="AE200" t="str">
            <v>V4 - Decommissioned Installed Facility</v>
          </cell>
          <cell r="AF200">
            <v>42704</v>
          </cell>
          <cell r="AG200">
            <v>9.17</v>
          </cell>
          <cell r="AH200" t="str">
            <v>RI</v>
          </cell>
          <cell r="AI200" t="str">
            <v>Not in contract</v>
          </cell>
          <cell r="AJ200" t="str">
            <v>Not under maintenance</v>
          </cell>
          <cell r="AK200" t="str">
            <v>Will be under V4. Taken out of contract as agreed by IKN</v>
          </cell>
        </row>
        <row r="201">
          <cell r="A201" t="str">
            <v>IKN401331</v>
          </cell>
          <cell r="B201">
            <v>1325</v>
          </cell>
          <cell r="C201" t="str">
            <v>Institut Kanser Negara</v>
          </cell>
          <cell r="D201" t="e">
            <v>#N/A</v>
          </cell>
          <cell r="E201" t="str">
            <v>15-076</v>
          </cell>
          <cell r="F201" t="str">
            <v>Laryngoscopes, Rigid</v>
          </cell>
          <cell r="G201" t="str">
            <v>DO</v>
          </cell>
          <cell r="H201" t="str">
            <v>DAY ONCOLOGY UNIT</v>
          </cell>
          <cell r="I201" t="str">
            <v>04do133</v>
          </cell>
          <cell r="J201" t="str">
            <v>CLEAN UTILITY</v>
          </cell>
          <cell r="K201" t="str">
            <v>BMED</v>
          </cell>
          <cell r="L201" t="str">
            <v>Normal</v>
          </cell>
          <cell r="M201" t="str">
            <v>Not Available</v>
          </cell>
          <cell r="N201" t="str">
            <v>Not Available</v>
          </cell>
          <cell r="O201" t="str">
            <v>Not Available</v>
          </cell>
          <cell r="P201" t="str">
            <v>Not Available</v>
          </cell>
          <cell r="Q201" t="str">
            <v>Not Available</v>
          </cell>
          <cell r="R201" t="str">
            <v>Not Available</v>
          </cell>
          <cell r="S201" t="str">
            <v>Antah Sri Radin Sdn. Bhd</v>
          </cell>
          <cell r="T201" t="str">
            <v>Functioning</v>
          </cell>
          <cell r="U201" t="str">
            <v>Asset</v>
          </cell>
          <cell r="V201">
            <v>4000</v>
          </cell>
          <cell r="W201" t="str">
            <v>KEW</v>
          </cell>
          <cell r="X201" t="str">
            <v>01/09/2010</v>
          </cell>
          <cell r="Y201" t="str">
            <v>KEW</v>
          </cell>
          <cell r="Z201" t="str">
            <v>16/08/2013</v>
          </cell>
          <cell r="AA201" t="str">
            <v>15/08/2015</v>
          </cell>
          <cell r="AB201" t="str">
            <v>No</v>
          </cell>
          <cell r="AC201" t="str">
            <v>31/08/2013</v>
          </cell>
          <cell r="AD201" t="str">
            <v>Good</v>
          </cell>
          <cell r="AE201" t="str">
            <v>V4 - Decommissioned Installed Facility</v>
          </cell>
          <cell r="AF201">
            <v>42704</v>
          </cell>
          <cell r="AG201">
            <v>9.17</v>
          </cell>
          <cell r="AH201" t="str">
            <v>RI</v>
          </cell>
          <cell r="AI201" t="str">
            <v>Not in contract</v>
          </cell>
          <cell r="AJ201" t="str">
            <v>Not under maintenance</v>
          </cell>
          <cell r="AK201" t="str">
            <v>Will be under V4. Taken out of contract as agreed by IKN</v>
          </cell>
        </row>
        <row r="202">
          <cell r="A202" t="str">
            <v>IKN401332</v>
          </cell>
          <cell r="B202">
            <v>1326</v>
          </cell>
          <cell r="C202" t="str">
            <v>Institut Kanser Negara</v>
          </cell>
          <cell r="D202" t="str">
            <v>KKM/IKN/H/13/5123</v>
          </cell>
          <cell r="E202" t="str">
            <v>18-595</v>
          </cell>
          <cell r="F202" t="str">
            <v>Ophthalmoscopes/Otoscopes</v>
          </cell>
          <cell r="G202" t="str">
            <v>DO</v>
          </cell>
          <cell r="H202" t="str">
            <v>DAY ONCOLOGY UNIT</v>
          </cell>
          <cell r="I202" t="str">
            <v>04DO105</v>
          </cell>
          <cell r="J202" t="str">
            <v>C/E</v>
          </cell>
          <cell r="K202" t="str">
            <v>BMED</v>
          </cell>
          <cell r="L202" t="str">
            <v>Normal</v>
          </cell>
          <cell r="M202" t="str">
            <v>USA</v>
          </cell>
          <cell r="N202" t="str">
            <v>Welch Allyn</v>
          </cell>
          <cell r="O202" t="str">
            <v>Welch Allyn 71904</v>
          </cell>
          <cell r="P202" t="str">
            <v>GD0019-29</v>
          </cell>
          <cell r="Q202" t="str">
            <v>Not Available</v>
          </cell>
          <cell r="R202" t="str">
            <v>Welch Allyn Inc</v>
          </cell>
          <cell r="S202" t="str">
            <v>Welch Allyn</v>
          </cell>
          <cell r="T202" t="str">
            <v>Functioning</v>
          </cell>
          <cell r="U202" t="str">
            <v>Asset</v>
          </cell>
          <cell r="V202">
            <v>4690</v>
          </cell>
          <cell r="W202" t="str">
            <v>KEW</v>
          </cell>
          <cell r="X202" t="str">
            <v>01/09/2010</v>
          </cell>
          <cell r="Y202" t="str">
            <v>KEW</v>
          </cell>
          <cell r="Z202" t="str">
            <v>16/08/2013</v>
          </cell>
          <cell r="AA202" t="str">
            <v>15/08/2015</v>
          </cell>
          <cell r="AB202" t="str">
            <v>No</v>
          </cell>
          <cell r="AC202" t="str">
            <v>16/08/2013</v>
          </cell>
          <cell r="AD202" t="str">
            <v>Good</v>
          </cell>
          <cell r="AE202" t="str">
            <v>V1 - Existing / No Claim</v>
          </cell>
          <cell r="AF202">
            <v>42663</v>
          </cell>
          <cell r="AG202">
            <v>9.17</v>
          </cell>
          <cell r="AH202" t="str">
            <v>RI</v>
          </cell>
          <cell r="AI202" t="str">
            <v>Strands</v>
          </cell>
          <cell r="AJ202" t="str">
            <v>Not under maintenance</v>
          </cell>
        </row>
        <row r="203">
          <cell r="A203" t="str">
            <v>IKN401333</v>
          </cell>
          <cell r="B203">
            <v>1327</v>
          </cell>
          <cell r="C203" t="str">
            <v>Institut Kanser Negara</v>
          </cell>
          <cell r="D203" t="str">
            <v>KKM/IKN/H/13/5122</v>
          </cell>
          <cell r="E203" t="str">
            <v>18-595</v>
          </cell>
          <cell r="F203" t="str">
            <v>Ophthalmoscopes/Otoscopes</v>
          </cell>
          <cell r="G203" t="str">
            <v>DO</v>
          </cell>
          <cell r="H203" t="str">
            <v>DAY ONCOLOGY UNIT</v>
          </cell>
          <cell r="I203" t="str">
            <v>04DO131</v>
          </cell>
          <cell r="J203" t="str">
            <v>NURSE STATION</v>
          </cell>
          <cell r="K203" t="str">
            <v>BMED</v>
          </cell>
          <cell r="L203" t="str">
            <v>Normal</v>
          </cell>
          <cell r="M203" t="str">
            <v>USA</v>
          </cell>
          <cell r="N203" t="str">
            <v>Welch Allyn</v>
          </cell>
          <cell r="O203" t="str">
            <v>Welch Allyn 97150-BIM</v>
          </cell>
          <cell r="P203" t="str">
            <v>GD0019-7</v>
          </cell>
          <cell r="Q203" t="str">
            <v>Not Available</v>
          </cell>
          <cell r="R203" t="str">
            <v>Welch Allyn Inc</v>
          </cell>
          <cell r="S203" t="str">
            <v>Welch Allyn Malaysia Sdn. Bhd</v>
          </cell>
          <cell r="T203" t="str">
            <v>Functioning</v>
          </cell>
          <cell r="U203" t="str">
            <v>Asset</v>
          </cell>
          <cell r="V203">
            <v>4690</v>
          </cell>
          <cell r="W203" t="str">
            <v>KEW</v>
          </cell>
          <cell r="X203" t="str">
            <v>01/09/2010</v>
          </cell>
          <cell r="Y203" t="str">
            <v>KEW</v>
          </cell>
          <cell r="Z203" t="str">
            <v>16/08/2013</v>
          </cell>
          <cell r="AA203" t="str">
            <v>15/08/2015</v>
          </cell>
          <cell r="AB203" t="str">
            <v>No</v>
          </cell>
          <cell r="AC203" t="str">
            <v>31/08/2013</v>
          </cell>
          <cell r="AD203" t="str">
            <v>Good</v>
          </cell>
          <cell r="AE203" t="str">
            <v>V1 - Existing / No Claim</v>
          </cell>
          <cell r="AF203">
            <v>42704</v>
          </cell>
          <cell r="AG203">
            <v>9.17</v>
          </cell>
          <cell r="AH203" t="str">
            <v>RI</v>
          </cell>
          <cell r="AI203" t="str">
            <v>Strands</v>
          </cell>
          <cell r="AJ203" t="str">
            <v>Not under maintenance</v>
          </cell>
        </row>
        <row r="204">
          <cell r="A204" t="str">
            <v>IKN401334</v>
          </cell>
          <cell r="B204">
            <v>1328</v>
          </cell>
          <cell r="C204" t="str">
            <v>Institut Kanser Negara</v>
          </cell>
          <cell r="D204" t="e">
            <v>#N/A</v>
          </cell>
          <cell r="E204" t="str">
            <v>18-595</v>
          </cell>
          <cell r="F204" t="str">
            <v>Ophthalmoscopes/Otoscopes</v>
          </cell>
          <cell r="G204" t="str">
            <v>DO</v>
          </cell>
          <cell r="H204" t="str">
            <v>DAY ONCOLOGY UNIT</v>
          </cell>
          <cell r="I204" t="str">
            <v>04do133</v>
          </cell>
          <cell r="J204" t="str">
            <v>CLEAN UTILITY</v>
          </cell>
          <cell r="K204" t="str">
            <v>BMED</v>
          </cell>
          <cell r="L204" t="str">
            <v>Normal</v>
          </cell>
          <cell r="M204" t="str">
            <v>USA</v>
          </cell>
          <cell r="N204" t="str">
            <v>Welch Allyn</v>
          </cell>
          <cell r="O204" t="str">
            <v>Welch Allyn 97150-BIM</v>
          </cell>
          <cell r="P204" t="str">
            <v>Not Available</v>
          </cell>
          <cell r="Q204" t="str">
            <v>Not Available</v>
          </cell>
          <cell r="R204" t="str">
            <v>Welch Allyn Inc</v>
          </cell>
          <cell r="S204" t="str">
            <v>Welch Allyn Malaysia Sdn. Bhd</v>
          </cell>
          <cell r="T204" t="str">
            <v>Functioning</v>
          </cell>
          <cell r="U204" t="str">
            <v>Asset</v>
          </cell>
          <cell r="V204">
            <v>4690</v>
          </cell>
          <cell r="W204" t="str">
            <v>KEW</v>
          </cell>
          <cell r="X204" t="str">
            <v>01/09/2010</v>
          </cell>
          <cell r="Y204" t="str">
            <v>KEW</v>
          </cell>
          <cell r="Z204" t="str">
            <v>16/08/2013</v>
          </cell>
          <cell r="AA204" t="str">
            <v>15/08/2015</v>
          </cell>
          <cell r="AB204" t="str">
            <v>No</v>
          </cell>
          <cell r="AC204" t="str">
            <v>31/08/2013</v>
          </cell>
          <cell r="AD204" t="str">
            <v>Good</v>
          </cell>
          <cell r="AE204" t="str">
            <v>V1 - Existing / No Claim</v>
          </cell>
          <cell r="AF204">
            <v>42704</v>
          </cell>
          <cell r="AG204">
            <v>9.17</v>
          </cell>
          <cell r="AH204" t="str">
            <v>RI</v>
          </cell>
          <cell r="AI204" t="str">
            <v>Not in contract</v>
          </cell>
          <cell r="AJ204" t="str">
            <v>Not under maintenance</v>
          </cell>
          <cell r="AK204" t="str">
            <v>Will be under V4. Taken out of contract as agreed by IKN</v>
          </cell>
        </row>
        <row r="205">
          <cell r="A205" t="str">
            <v>IKN401372</v>
          </cell>
          <cell r="B205">
            <v>1366</v>
          </cell>
          <cell r="C205" t="str">
            <v>Institut Kanser Negara</v>
          </cell>
          <cell r="D205" t="str">
            <v>KKM/IKN/H/13/2665-01</v>
          </cell>
          <cell r="E205" t="str">
            <v>15-076</v>
          </cell>
          <cell r="F205" t="str">
            <v>Laryngoscopes, Rigid</v>
          </cell>
          <cell r="G205" t="str">
            <v>ID</v>
          </cell>
          <cell r="H205" t="str">
            <v>IMAGING DEPARTMENT</v>
          </cell>
          <cell r="I205" t="str">
            <v>03id107</v>
          </cell>
          <cell r="J205" t="str">
            <v>RESUS EQ.BAY</v>
          </cell>
          <cell r="K205" t="str">
            <v>BMED</v>
          </cell>
          <cell r="L205" t="str">
            <v>Normal</v>
          </cell>
          <cell r="M205" t="str">
            <v>Not Available</v>
          </cell>
          <cell r="N205" t="str">
            <v>Not Available</v>
          </cell>
          <cell r="O205" t="str">
            <v>Not Available</v>
          </cell>
          <cell r="P205" t="str">
            <v>Not Available</v>
          </cell>
          <cell r="Q205" t="str">
            <v>Not Available</v>
          </cell>
          <cell r="R205" t="str">
            <v>Not Available</v>
          </cell>
          <cell r="S205" t="str">
            <v>Antah Sri Radin Sdn. Bhd</v>
          </cell>
          <cell r="T205" t="str">
            <v>Functioning</v>
          </cell>
          <cell r="U205" t="str">
            <v>Asset</v>
          </cell>
          <cell r="V205">
            <v>4000</v>
          </cell>
          <cell r="W205" t="str">
            <v>KEW</v>
          </cell>
          <cell r="X205" t="str">
            <v>01/09/2010</v>
          </cell>
          <cell r="Y205" t="str">
            <v>KEW</v>
          </cell>
          <cell r="Z205" t="str">
            <v>16/08/2013</v>
          </cell>
          <cell r="AA205" t="str">
            <v>15/08/2015</v>
          </cell>
          <cell r="AB205" t="str">
            <v>No</v>
          </cell>
          <cell r="AC205" t="str">
            <v>31/08/2013</v>
          </cell>
          <cell r="AD205" t="str">
            <v>Good</v>
          </cell>
          <cell r="AE205" t="str">
            <v>V4 - Decommissioned Installed Facility</v>
          </cell>
          <cell r="AF205">
            <v>42696</v>
          </cell>
          <cell r="AG205">
            <v>9.17</v>
          </cell>
          <cell r="AH205" t="str">
            <v>RI</v>
          </cell>
          <cell r="AI205" t="str">
            <v>Not in contract</v>
          </cell>
          <cell r="AJ205" t="str">
            <v>Not under maintenance</v>
          </cell>
          <cell r="AK205" t="str">
            <v>Will be under V4. Taken out of contract as agreed by IKN. Under MRI</v>
          </cell>
        </row>
        <row r="206">
          <cell r="A206" t="str">
            <v>IKN401373</v>
          </cell>
          <cell r="B206">
            <v>1367</v>
          </cell>
          <cell r="C206" t="str">
            <v>Institut Kanser Negara</v>
          </cell>
          <cell r="D206" t="str">
            <v>KKM/IKN/H/13/3940-13</v>
          </cell>
          <cell r="E206" t="str">
            <v>15-076</v>
          </cell>
          <cell r="F206" t="str">
            <v>Laryngoscopes, Rigid</v>
          </cell>
          <cell r="G206" t="str">
            <v>ID</v>
          </cell>
          <cell r="H206" t="str">
            <v>IMAGING DEPARTMENT</v>
          </cell>
          <cell r="I206" t="str">
            <v>03ID107</v>
          </cell>
          <cell r="J206" t="str">
            <v>RESUS EQ.BAY</v>
          </cell>
          <cell r="K206" t="str">
            <v>BMED</v>
          </cell>
          <cell r="L206" t="str">
            <v>Normal</v>
          </cell>
          <cell r="M206" t="str">
            <v>Not Available</v>
          </cell>
          <cell r="N206" t="str">
            <v>Not Available</v>
          </cell>
          <cell r="O206" t="str">
            <v>Not Available</v>
          </cell>
          <cell r="P206" t="str">
            <v>Not Available</v>
          </cell>
          <cell r="Q206" t="str">
            <v>Not Available</v>
          </cell>
          <cell r="R206" t="str">
            <v>Not Available</v>
          </cell>
          <cell r="S206" t="str">
            <v>Antah Sri Radin Sdn. Bhd</v>
          </cell>
          <cell r="T206" t="str">
            <v>Functioning</v>
          </cell>
          <cell r="U206" t="str">
            <v>Asset</v>
          </cell>
          <cell r="V206">
            <v>4000</v>
          </cell>
          <cell r="W206" t="str">
            <v>KEW</v>
          </cell>
          <cell r="X206" t="str">
            <v>01/09/2010</v>
          </cell>
          <cell r="Y206" t="str">
            <v>KEW</v>
          </cell>
          <cell r="Z206" t="str">
            <v>16/08/2013</v>
          </cell>
          <cell r="AA206" t="str">
            <v>15/08/2015</v>
          </cell>
          <cell r="AB206" t="str">
            <v>No</v>
          </cell>
          <cell r="AC206" t="str">
            <v>31/08/2013</v>
          </cell>
          <cell r="AD206" t="str">
            <v>Good</v>
          </cell>
          <cell r="AE206" t="str">
            <v>V4 - Decommissioned Installed Facility</v>
          </cell>
          <cell r="AF206">
            <v>42697</v>
          </cell>
          <cell r="AG206">
            <v>9.17</v>
          </cell>
          <cell r="AH206" t="str">
            <v>RI</v>
          </cell>
          <cell r="AI206" t="str">
            <v>Not in contract</v>
          </cell>
          <cell r="AJ206" t="str">
            <v>Not under maintenance</v>
          </cell>
          <cell r="AK206" t="str">
            <v>Will be under V4. Taken out of contract as agreed by IKN. Dekat Nurse Bay</v>
          </cell>
        </row>
        <row r="207">
          <cell r="A207" t="str">
            <v>IKN401374</v>
          </cell>
          <cell r="B207">
            <v>1368</v>
          </cell>
          <cell r="C207" t="str">
            <v>Institut Kanser Negara</v>
          </cell>
          <cell r="D207" t="str">
            <v>NA</v>
          </cell>
          <cell r="E207" t="str">
            <v>15-076</v>
          </cell>
          <cell r="F207" t="str">
            <v>Laryngoscopes, Rigid</v>
          </cell>
          <cell r="G207" t="str">
            <v>WA</v>
          </cell>
          <cell r="H207" t="str">
            <v>NUCLEAR MED WARD (THERAPY)</v>
          </cell>
          <cell r="I207" t="str">
            <v>03WA121</v>
          </cell>
          <cell r="J207" t="str">
            <v>N/S 2</v>
          </cell>
          <cell r="K207" t="str">
            <v>BMED</v>
          </cell>
          <cell r="L207" t="str">
            <v>Normal</v>
          </cell>
          <cell r="M207" t="str">
            <v>Not Available</v>
          </cell>
          <cell r="N207" t="str">
            <v>Not Available</v>
          </cell>
          <cell r="O207" t="str">
            <v>Not Available</v>
          </cell>
          <cell r="P207" t="str">
            <v>Not Available</v>
          </cell>
          <cell r="Q207" t="str">
            <v>Not Available</v>
          </cell>
          <cell r="R207" t="str">
            <v>Not Available</v>
          </cell>
          <cell r="S207" t="str">
            <v>Antah Sri Radin Sdn. Bhd</v>
          </cell>
          <cell r="T207" t="str">
            <v>Functioning</v>
          </cell>
          <cell r="U207" t="str">
            <v>Asset</v>
          </cell>
          <cell r="V207">
            <v>4000</v>
          </cell>
          <cell r="W207" t="str">
            <v>KEW</v>
          </cell>
          <cell r="X207" t="str">
            <v>01/09/2010</v>
          </cell>
          <cell r="Y207" t="str">
            <v>KEW</v>
          </cell>
          <cell r="Z207" t="str">
            <v>16/08/2013</v>
          </cell>
          <cell r="AA207" t="str">
            <v>15/08/2015</v>
          </cell>
          <cell r="AB207" t="str">
            <v>No</v>
          </cell>
          <cell r="AC207" t="str">
            <v>31/08/2013</v>
          </cell>
          <cell r="AD207" t="str">
            <v>Good</v>
          </cell>
          <cell r="AE207" t="str">
            <v>V4 - Decommissioned Installed Facility</v>
          </cell>
          <cell r="AF207">
            <v>42697</v>
          </cell>
          <cell r="AG207">
            <v>9.17</v>
          </cell>
          <cell r="AH207" t="str">
            <v>RI</v>
          </cell>
          <cell r="AI207" t="str">
            <v>Not in contract</v>
          </cell>
          <cell r="AJ207" t="str">
            <v>Not under maintenance</v>
          </cell>
          <cell r="AK207" t="str">
            <v>Will be under V4. Taken out of contract as agreed by IKN</v>
          </cell>
        </row>
        <row r="208">
          <cell r="A208" t="str">
            <v>IKN401375</v>
          </cell>
          <cell r="B208">
            <v>1369</v>
          </cell>
          <cell r="C208" t="str">
            <v>Institut Kanser Negara</v>
          </cell>
          <cell r="D208" t="e">
            <v>#N/A</v>
          </cell>
          <cell r="E208" t="str">
            <v>15-076</v>
          </cell>
          <cell r="F208" t="str">
            <v>Laryngoscopes, Rigid</v>
          </cell>
          <cell r="G208" t="str">
            <v>NM</v>
          </cell>
          <cell r="H208" t="str">
            <v>NUCLEAR MED (DIAGNOSTIC)</v>
          </cell>
          <cell r="I208" t="str">
            <v>03nm155</v>
          </cell>
          <cell r="J208" t="str">
            <v>STRESS LAB</v>
          </cell>
          <cell r="K208" t="str">
            <v>BMED</v>
          </cell>
          <cell r="L208" t="str">
            <v>Normal</v>
          </cell>
          <cell r="M208" t="str">
            <v>Not Available</v>
          </cell>
          <cell r="N208" t="str">
            <v>Not Available</v>
          </cell>
          <cell r="O208" t="str">
            <v>Not Available</v>
          </cell>
          <cell r="P208" t="str">
            <v>Not Available</v>
          </cell>
          <cell r="Q208" t="str">
            <v>Not Available</v>
          </cell>
          <cell r="R208" t="str">
            <v>Not Available</v>
          </cell>
          <cell r="S208" t="str">
            <v>Antah Sri Radin Sdn. Bhd</v>
          </cell>
          <cell r="T208" t="str">
            <v>Functioning</v>
          </cell>
          <cell r="U208" t="str">
            <v>Asset</v>
          </cell>
          <cell r="V208">
            <v>4000</v>
          </cell>
          <cell r="W208" t="str">
            <v>KEW</v>
          </cell>
          <cell r="X208" t="str">
            <v>01/09/2010</v>
          </cell>
          <cell r="Y208" t="str">
            <v>KEW</v>
          </cell>
          <cell r="Z208" t="str">
            <v>16/08/2013</v>
          </cell>
          <cell r="AA208" t="str">
            <v>15/08/2015</v>
          </cell>
          <cell r="AB208" t="str">
            <v>No</v>
          </cell>
          <cell r="AC208" t="str">
            <v>31/08/2013</v>
          </cell>
          <cell r="AD208" t="str">
            <v>Good</v>
          </cell>
          <cell r="AE208" t="str">
            <v>V4 - Decommissioned Installed Facility</v>
          </cell>
          <cell r="AF208">
            <v>42696</v>
          </cell>
          <cell r="AG208">
            <v>9.17</v>
          </cell>
          <cell r="AH208" t="str">
            <v>RI</v>
          </cell>
          <cell r="AI208" t="str">
            <v>Not in contract</v>
          </cell>
          <cell r="AJ208" t="str">
            <v>Not under maintenance</v>
          </cell>
          <cell r="AK208" t="str">
            <v>Will be under V4. Taken out of contract as agreed by IKN</v>
          </cell>
        </row>
        <row r="209">
          <cell r="A209" t="str">
            <v>IKN401376</v>
          </cell>
          <cell r="B209">
            <v>1370</v>
          </cell>
          <cell r="C209" t="str">
            <v>Institut Kanser Negara</v>
          </cell>
          <cell r="D209" t="e">
            <v>#N/A</v>
          </cell>
          <cell r="E209" t="str">
            <v>15-076</v>
          </cell>
          <cell r="F209" t="str">
            <v>Laryngoscopes, Rigid</v>
          </cell>
          <cell r="G209" t="str">
            <v>NM</v>
          </cell>
          <cell r="H209" t="str">
            <v>NUCLEAR MED (DIAGNOSTIC)</v>
          </cell>
          <cell r="I209" t="str">
            <v>03nm155</v>
          </cell>
          <cell r="J209" t="str">
            <v>STRESS LAB</v>
          </cell>
          <cell r="K209" t="str">
            <v>BMED</v>
          </cell>
          <cell r="L209" t="str">
            <v>Normal</v>
          </cell>
          <cell r="M209" t="str">
            <v>Not Available</v>
          </cell>
          <cell r="N209" t="str">
            <v>Not Available</v>
          </cell>
          <cell r="O209" t="str">
            <v>Not Available</v>
          </cell>
          <cell r="P209" t="str">
            <v>Not Available</v>
          </cell>
          <cell r="Q209" t="str">
            <v>Not Available</v>
          </cell>
          <cell r="R209" t="str">
            <v>Not Available</v>
          </cell>
          <cell r="S209" t="str">
            <v>Antah Sri Radin Sdn. Bhd</v>
          </cell>
          <cell r="T209" t="str">
            <v>Functioning</v>
          </cell>
          <cell r="U209" t="str">
            <v>Asset</v>
          </cell>
          <cell r="V209">
            <v>4000</v>
          </cell>
          <cell r="W209" t="str">
            <v>KEW</v>
          </cell>
          <cell r="X209" t="str">
            <v>01/09/2010</v>
          </cell>
          <cell r="Y209" t="str">
            <v>KEW</v>
          </cell>
          <cell r="Z209" t="str">
            <v>16/08/2013</v>
          </cell>
          <cell r="AA209" t="str">
            <v>15/08/2015</v>
          </cell>
          <cell r="AB209" t="str">
            <v>No</v>
          </cell>
          <cell r="AC209" t="str">
            <v>31/08/2013</v>
          </cell>
          <cell r="AD209" t="str">
            <v>Good</v>
          </cell>
          <cell r="AE209" t="str">
            <v>V4 - Decommissioned Installed Facility</v>
          </cell>
          <cell r="AF209">
            <v>42696</v>
          </cell>
          <cell r="AG209">
            <v>9.17</v>
          </cell>
          <cell r="AH209" t="str">
            <v>RI</v>
          </cell>
          <cell r="AI209" t="str">
            <v>Not in contract</v>
          </cell>
          <cell r="AJ209" t="str">
            <v>Not under maintenance</v>
          </cell>
          <cell r="AK209" t="str">
            <v>Will be under V4. Taken out of contract as agreed by IKN</v>
          </cell>
        </row>
        <row r="210">
          <cell r="A210" t="str">
            <v>IKN401377</v>
          </cell>
          <cell r="B210">
            <v>1371</v>
          </cell>
          <cell r="C210" t="str">
            <v>Institut Kanser Negara</v>
          </cell>
          <cell r="D210" t="e">
            <v>#N/A</v>
          </cell>
          <cell r="E210" t="str">
            <v>15-076</v>
          </cell>
          <cell r="F210" t="str">
            <v>Laryngoscopes, Rigid</v>
          </cell>
          <cell r="G210" t="str">
            <v>WA</v>
          </cell>
          <cell r="H210" t="str">
            <v>NUCLEAR MED WARD (THERAPY)</v>
          </cell>
          <cell r="I210" t="str">
            <v>03WA121</v>
          </cell>
          <cell r="J210" t="str">
            <v>N/S 2</v>
          </cell>
          <cell r="K210" t="str">
            <v>BMED</v>
          </cell>
          <cell r="L210" t="str">
            <v>Normal</v>
          </cell>
          <cell r="M210" t="str">
            <v>Not Available</v>
          </cell>
          <cell r="N210" t="str">
            <v>Not Available</v>
          </cell>
          <cell r="O210" t="str">
            <v>Not Available</v>
          </cell>
          <cell r="P210" t="str">
            <v>Not Available</v>
          </cell>
          <cell r="Q210" t="str">
            <v>Not Available</v>
          </cell>
          <cell r="R210" t="str">
            <v>Not Available</v>
          </cell>
          <cell r="S210" t="str">
            <v>Antah Sri Radin Sdn. Bhd</v>
          </cell>
          <cell r="T210" t="str">
            <v>Functioning</v>
          </cell>
          <cell r="U210" t="str">
            <v>Asset</v>
          </cell>
          <cell r="V210">
            <v>4000</v>
          </cell>
          <cell r="W210" t="str">
            <v>KEW</v>
          </cell>
          <cell r="X210" t="str">
            <v>01/09/2010</v>
          </cell>
          <cell r="Y210" t="str">
            <v>KEW</v>
          </cell>
          <cell r="Z210" t="str">
            <v>16/08/2013</v>
          </cell>
          <cell r="AA210" t="str">
            <v>15/08/2015</v>
          </cell>
          <cell r="AB210" t="str">
            <v>No</v>
          </cell>
          <cell r="AC210" t="str">
            <v>31/08/2013</v>
          </cell>
          <cell r="AD210" t="str">
            <v>Good</v>
          </cell>
          <cell r="AE210" t="str">
            <v>V4 - Decommissioned Installed Facility</v>
          </cell>
          <cell r="AF210">
            <v>42697</v>
          </cell>
          <cell r="AG210">
            <v>9.17</v>
          </cell>
          <cell r="AH210" t="str">
            <v>RI</v>
          </cell>
          <cell r="AI210" t="str">
            <v>Not in contract</v>
          </cell>
          <cell r="AJ210" t="str">
            <v>Not under maintenance</v>
          </cell>
          <cell r="AK210" t="str">
            <v>Will be under V4. Taken out of contract as agreed by IKN</v>
          </cell>
        </row>
        <row r="211">
          <cell r="A211" t="str">
            <v>IKN401378</v>
          </cell>
          <cell r="B211">
            <v>1372</v>
          </cell>
          <cell r="C211" t="str">
            <v>Institut Kanser Negara</v>
          </cell>
          <cell r="D211" t="e">
            <v>#N/A</v>
          </cell>
          <cell r="E211" t="str">
            <v>15-076</v>
          </cell>
          <cell r="F211" t="str">
            <v>Laryngoscopes, Rigid</v>
          </cell>
          <cell r="G211" t="str">
            <v>WA</v>
          </cell>
          <cell r="H211" t="str">
            <v>NUCLEAR MED WARD (THERAPY)</v>
          </cell>
          <cell r="I211" t="str">
            <v>03WA117</v>
          </cell>
          <cell r="J211" t="str">
            <v>N/S 1</v>
          </cell>
          <cell r="K211" t="str">
            <v>BMED</v>
          </cell>
          <cell r="L211" t="str">
            <v>Normal</v>
          </cell>
          <cell r="M211" t="str">
            <v>Not Available</v>
          </cell>
          <cell r="N211" t="str">
            <v>Not Available</v>
          </cell>
          <cell r="O211" t="str">
            <v>Not Available</v>
          </cell>
          <cell r="P211" t="str">
            <v>Not Available</v>
          </cell>
          <cell r="Q211" t="str">
            <v>N</v>
          </cell>
          <cell r="R211" t="str">
            <v>Not Available</v>
          </cell>
          <cell r="S211" t="str">
            <v>Antah Sri Radin Sdn. Bhd</v>
          </cell>
          <cell r="T211" t="str">
            <v>Functioning</v>
          </cell>
          <cell r="U211" t="str">
            <v>Asset</v>
          </cell>
          <cell r="V211">
            <v>4000</v>
          </cell>
          <cell r="W211" t="str">
            <v>KEW</v>
          </cell>
          <cell r="X211" t="str">
            <v>01/09/2010</v>
          </cell>
          <cell r="Y211" t="str">
            <v>KEW</v>
          </cell>
          <cell r="Z211" t="str">
            <v>16/08/2013</v>
          </cell>
          <cell r="AA211" t="str">
            <v>15/08/2015</v>
          </cell>
          <cell r="AB211" t="str">
            <v>No</v>
          </cell>
          <cell r="AC211" t="str">
            <v>31/08/2013</v>
          </cell>
          <cell r="AD211" t="str">
            <v>Good</v>
          </cell>
          <cell r="AE211" t="str">
            <v>V4 - Decommissioned Installed Facility</v>
          </cell>
          <cell r="AF211">
            <v>42697</v>
          </cell>
          <cell r="AG211">
            <v>9.17</v>
          </cell>
          <cell r="AH211" t="str">
            <v>RI</v>
          </cell>
          <cell r="AI211" t="str">
            <v>Not in contract</v>
          </cell>
          <cell r="AJ211" t="str">
            <v>Not under maintenance</v>
          </cell>
          <cell r="AK211" t="str">
            <v>Will be under V4. Taken out of contract as agreed by IKN</v>
          </cell>
        </row>
        <row r="212">
          <cell r="A212" t="str">
            <v>IKN401379</v>
          </cell>
          <cell r="B212">
            <v>1373</v>
          </cell>
          <cell r="C212" t="str">
            <v>Institut Kanser Negara</v>
          </cell>
          <cell r="D212" t="e">
            <v>#N/A</v>
          </cell>
          <cell r="E212" t="str">
            <v>15-076</v>
          </cell>
          <cell r="F212" t="str">
            <v>Laryngoscopes, Rigid</v>
          </cell>
          <cell r="G212" t="str">
            <v>WA</v>
          </cell>
          <cell r="H212" t="str">
            <v>NUCLEAR MED WARD (THERAPY)</v>
          </cell>
          <cell r="I212" t="str">
            <v>03WA117</v>
          </cell>
          <cell r="J212" t="str">
            <v>N/S 1</v>
          </cell>
          <cell r="K212" t="str">
            <v>BMED</v>
          </cell>
          <cell r="L212" t="str">
            <v>Normal</v>
          </cell>
          <cell r="M212" t="str">
            <v>Not Available</v>
          </cell>
          <cell r="N212" t="str">
            <v>Not Available</v>
          </cell>
          <cell r="O212" t="str">
            <v>Not Available</v>
          </cell>
          <cell r="P212" t="str">
            <v>Not Available</v>
          </cell>
          <cell r="Q212" t="str">
            <v>Not Available</v>
          </cell>
          <cell r="R212" t="str">
            <v>Not Available</v>
          </cell>
          <cell r="S212" t="str">
            <v>Antah Sri Radin Sdn. Bhd</v>
          </cell>
          <cell r="T212" t="str">
            <v>Functioning</v>
          </cell>
          <cell r="U212" t="str">
            <v>Asset</v>
          </cell>
          <cell r="V212">
            <v>4000</v>
          </cell>
          <cell r="W212" t="str">
            <v>KEW</v>
          </cell>
          <cell r="X212" t="str">
            <v>01/09/2010</v>
          </cell>
          <cell r="Y212" t="str">
            <v>KEW</v>
          </cell>
          <cell r="Z212" t="str">
            <v>16/08/2013</v>
          </cell>
          <cell r="AA212" t="str">
            <v>15/08/2015</v>
          </cell>
          <cell r="AB212" t="str">
            <v>No</v>
          </cell>
          <cell r="AC212" t="str">
            <v>31/08/2013</v>
          </cell>
          <cell r="AD212" t="str">
            <v>Good</v>
          </cell>
          <cell r="AE212" t="str">
            <v>V4 - Decommissioned Installed Facility</v>
          </cell>
          <cell r="AF212">
            <v>42697</v>
          </cell>
          <cell r="AG212">
            <v>9.17</v>
          </cell>
          <cell r="AH212" t="str">
            <v>RI</v>
          </cell>
          <cell r="AI212" t="str">
            <v>Not in contract</v>
          </cell>
          <cell r="AJ212" t="str">
            <v>Not under maintenance</v>
          </cell>
          <cell r="AK212" t="str">
            <v>Will be under V4. Taken out of contract as agreed by IKN</v>
          </cell>
        </row>
        <row r="213">
          <cell r="A213" t="str">
            <v>IKN401406</v>
          </cell>
          <cell r="B213">
            <v>1390</v>
          </cell>
          <cell r="C213" t="str">
            <v>Institut Kanser Negara</v>
          </cell>
          <cell r="D213" t="e">
            <v>#N/A</v>
          </cell>
          <cell r="E213" t="str">
            <v>17-887</v>
          </cell>
          <cell r="F213" t="str">
            <v>Thermometers, Electronic, Infrared, Ear</v>
          </cell>
          <cell r="G213" t="str">
            <v>WJ</v>
          </cell>
          <cell r="H213" t="str">
            <v>MULTIDISCIPLINE WARD 1</v>
          </cell>
          <cell r="I213" t="str">
            <v>09WJ222</v>
          </cell>
          <cell r="J213" t="str">
            <v>TREATMENT</v>
          </cell>
          <cell r="K213" t="str">
            <v>BMED</v>
          </cell>
          <cell r="L213" t="str">
            <v>Normal</v>
          </cell>
          <cell r="M213" t="str">
            <v>Mexico</v>
          </cell>
          <cell r="N213" t="str">
            <v>Thermoscan</v>
          </cell>
          <cell r="O213" t="str">
            <v>Thermoscan Pro 4000</v>
          </cell>
          <cell r="P213" t="str">
            <v>33412K01028</v>
          </cell>
          <cell r="Q213" t="str">
            <v>Not Available</v>
          </cell>
          <cell r="R213" t="str">
            <v>Welch Allyn Inc</v>
          </cell>
          <cell r="S213" t="str">
            <v>Welch Allyn Malaysia Sdn. Bhd</v>
          </cell>
          <cell r="T213" t="str">
            <v>Functioning</v>
          </cell>
          <cell r="U213" t="str">
            <v>Asset</v>
          </cell>
          <cell r="V213">
            <v>540</v>
          </cell>
          <cell r="W213" t="str">
            <v>KEW</v>
          </cell>
          <cell r="X213" t="str">
            <v>01/09/2010</v>
          </cell>
          <cell r="Y213" t="str">
            <v>KEW</v>
          </cell>
          <cell r="Z213" t="str">
            <v>16/08/2013</v>
          </cell>
          <cell r="AA213" t="str">
            <v>15/08/2015</v>
          </cell>
          <cell r="AB213" t="str">
            <v>No</v>
          </cell>
          <cell r="AC213" t="str">
            <v>31/08/2013</v>
          </cell>
          <cell r="AD213" t="str">
            <v>Good</v>
          </cell>
          <cell r="AE213" t="str">
            <v>V1 - Existing / No Claim</v>
          </cell>
          <cell r="AF213">
            <v>42781</v>
          </cell>
          <cell r="AG213">
            <v>9.17</v>
          </cell>
          <cell r="AH213" t="str">
            <v>RI</v>
          </cell>
          <cell r="AI213" t="str">
            <v>Not in contract</v>
          </cell>
          <cell r="AJ213" t="str">
            <v>Not under maintenance</v>
          </cell>
          <cell r="AK213" t="str">
            <v>Repalced new unit (RTM). S/N:31419K41381. B.Braun Thermoscan5</v>
          </cell>
        </row>
        <row r="214">
          <cell r="A214" t="str">
            <v>IKN401408</v>
          </cell>
          <cell r="B214">
            <v>1391</v>
          </cell>
          <cell r="C214" t="str">
            <v>Institut Kanser Negara</v>
          </cell>
          <cell r="D214" t="e">
            <v>#N/A</v>
          </cell>
          <cell r="E214" t="str">
            <v>17-887</v>
          </cell>
          <cell r="F214" t="str">
            <v>Thermometers, Electronic, Infrared, Ear</v>
          </cell>
          <cell r="G214" t="str">
            <v>WJ</v>
          </cell>
          <cell r="H214" t="str">
            <v>MULTIDISCIPLINE WARD 1</v>
          </cell>
          <cell r="I214" t="str">
            <v>09WJ130</v>
          </cell>
          <cell r="J214" t="str">
            <v>TREATMENT/ PROCEDURE</v>
          </cell>
          <cell r="K214" t="str">
            <v>BMED</v>
          </cell>
          <cell r="L214" t="str">
            <v>Normal</v>
          </cell>
          <cell r="M214" t="str">
            <v>Mexico</v>
          </cell>
          <cell r="N214" t="str">
            <v>Thermoscan</v>
          </cell>
          <cell r="O214" t="str">
            <v>Thermoscan Pro 4000</v>
          </cell>
          <cell r="P214" t="str">
            <v>33412K00600</v>
          </cell>
          <cell r="Q214" t="str">
            <v>Not Available</v>
          </cell>
          <cell r="R214" t="str">
            <v>Welch Allyn Inc</v>
          </cell>
          <cell r="S214" t="str">
            <v>Welch Allyn Malaysia Sdn. Bhd</v>
          </cell>
          <cell r="T214" t="str">
            <v>Functioning</v>
          </cell>
          <cell r="U214" t="str">
            <v>Asset</v>
          </cell>
          <cell r="V214">
            <v>540</v>
          </cell>
          <cell r="W214" t="str">
            <v>KEW</v>
          </cell>
          <cell r="X214" t="str">
            <v>01/09/2010</v>
          </cell>
          <cell r="Y214" t="str">
            <v>KEW</v>
          </cell>
          <cell r="Z214" t="str">
            <v>16/08/2013</v>
          </cell>
          <cell r="AA214" t="str">
            <v>15/08/2015</v>
          </cell>
          <cell r="AB214" t="str">
            <v>No</v>
          </cell>
          <cell r="AC214" t="str">
            <v>31/08/2013</v>
          </cell>
          <cell r="AD214" t="str">
            <v>Good</v>
          </cell>
          <cell r="AE214" t="str">
            <v>V1 - Existing / No Claim</v>
          </cell>
          <cell r="AF214">
            <v>42781</v>
          </cell>
          <cell r="AG214">
            <v>9.17</v>
          </cell>
          <cell r="AH214" t="str">
            <v>RI</v>
          </cell>
          <cell r="AI214" t="str">
            <v>Not in contract</v>
          </cell>
          <cell r="AJ214" t="str">
            <v>Not under maintenance</v>
          </cell>
          <cell r="AK214" t="e">
            <v>#N/A</v>
          </cell>
        </row>
        <row r="215">
          <cell r="A215" t="str">
            <v>IKN401409</v>
          </cell>
          <cell r="B215">
            <v>1392</v>
          </cell>
          <cell r="C215" t="str">
            <v>Institut Kanser Negara</v>
          </cell>
          <cell r="D215" t="e">
            <v>#N/A</v>
          </cell>
          <cell r="E215" t="str">
            <v>17-887</v>
          </cell>
          <cell r="F215" t="str">
            <v>Thermometers, Electronic, Infrared, Ear</v>
          </cell>
          <cell r="G215" t="str">
            <v>WJ</v>
          </cell>
          <cell r="H215" t="str">
            <v>MULTIDISCIPLINE WARD 1</v>
          </cell>
          <cell r="I215" t="str">
            <v>09WJ209</v>
          </cell>
          <cell r="J215" t="str">
            <v>NURSE STATION</v>
          </cell>
          <cell r="K215" t="str">
            <v>BMED</v>
          </cell>
          <cell r="L215" t="str">
            <v>Normal</v>
          </cell>
          <cell r="M215" t="str">
            <v>Mexico</v>
          </cell>
          <cell r="N215" t="str">
            <v>Thermoscan</v>
          </cell>
          <cell r="O215" t="str">
            <v>Thermoscan Pro 4000</v>
          </cell>
          <cell r="P215" t="str">
            <v>33312K08739</v>
          </cell>
          <cell r="Q215" t="str">
            <v>Not Available</v>
          </cell>
          <cell r="R215" t="str">
            <v>Welch Allyn Inc</v>
          </cell>
          <cell r="S215" t="str">
            <v>Welch Allyn Malaysia Sdn. Bhd</v>
          </cell>
          <cell r="T215" t="str">
            <v>Functioning</v>
          </cell>
          <cell r="U215" t="str">
            <v>Asset</v>
          </cell>
          <cell r="V215">
            <v>540</v>
          </cell>
          <cell r="W215" t="str">
            <v>KEW</v>
          </cell>
          <cell r="X215" t="str">
            <v>01/09/2010</v>
          </cell>
          <cell r="Y215" t="str">
            <v>KEW</v>
          </cell>
          <cell r="Z215" t="str">
            <v>16/08/2013</v>
          </cell>
          <cell r="AA215" t="str">
            <v>15/08/2015</v>
          </cell>
          <cell r="AB215" t="str">
            <v>No</v>
          </cell>
          <cell r="AC215" t="str">
            <v>31/08/2013</v>
          </cell>
          <cell r="AD215" t="str">
            <v>Good</v>
          </cell>
          <cell r="AE215" t="str">
            <v>V1 - Existing / No Claim</v>
          </cell>
          <cell r="AF215">
            <v>42781</v>
          </cell>
          <cell r="AG215">
            <v>9.17</v>
          </cell>
          <cell r="AH215" t="str">
            <v>RI</v>
          </cell>
          <cell r="AI215" t="str">
            <v>Not in contract</v>
          </cell>
          <cell r="AJ215" t="str">
            <v>Not under maintenance</v>
          </cell>
          <cell r="AK215" t="e">
            <v>#N/A</v>
          </cell>
        </row>
        <row r="216">
          <cell r="A216" t="str">
            <v>IKN401410</v>
          </cell>
          <cell r="B216">
            <v>1393</v>
          </cell>
          <cell r="C216" t="str">
            <v>Institut Kanser Negara</v>
          </cell>
          <cell r="D216" t="e">
            <v>#N/A</v>
          </cell>
          <cell r="E216" t="str">
            <v>17-887</v>
          </cell>
          <cell r="F216" t="str">
            <v>Thermometers, Electronic, Infrared, Ear</v>
          </cell>
          <cell r="G216" t="str">
            <v>WJ</v>
          </cell>
          <cell r="H216" t="str">
            <v>MULTIDISCIPLINE WARD 1</v>
          </cell>
          <cell r="I216" t="str">
            <v>09WJ136</v>
          </cell>
          <cell r="J216" t="str">
            <v>NURSE STATION</v>
          </cell>
          <cell r="K216" t="str">
            <v>BMED</v>
          </cell>
          <cell r="L216" t="str">
            <v>Normal</v>
          </cell>
          <cell r="M216" t="str">
            <v>Mexico</v>
          </cell>
          <cell r="N216" t="str">
            <v>Thermoscan</v>
          </cell>
          <cell r="O216" t="str">
            <v>Thermoscan Pro 4000</v>
          </cell>
          <cell r="P216" t="str">
            <v>33412K00425</v>
          </cell>
          <cell r="Q216" t="str">
            <v>Not Available</v>
          </cell>
          <cell r="R216" t="str">
            <v>Welch Allyn Inc</v>
          </cell>
          <cell r="S216" t="str">
            <v>Welch Allyn Malaysia Sdn. Bhd</v>
          </cell>
          <cell r="T216" t="str">
            <v>Functioning</v>
          </cell>
          <cell r="U216" t="str">
            <v>Asset</v>
          </cell>
          <cell r="V216">
            <v>540</v>
          </cell>
          <cell r="W216" t="str">
            <v>KEW</v>
          </cell>
          <cell r="X216" t="str">
            <v>01/09/2010</v>
          </cell>
          <cell r="Y216" t="str">
            <v>KEW</v>
          </cell>
          <cell r="Z216" t="str">
            <v>16/08/2013</v>
          </cell>
          <cell r="AA216" t="str">
            <v>15/08/2015</v>
          </cell>
          <cell r="AB216" t="str">
            <v>No</v>
          </cell>
          <cell r="AC216" t="str">
            <v>31/08/2013</v>
          </cell>
          <cell r="AD216" t="str">
            <v>Good</v>
          </cell>
          <cell r="AE216" t="str">
            <v>V1 - Existing / No Claim</v>
          </cell>
          <cell r="AF216">
            <v>42781</v>
          </cell>
          <cell r="AG216">
            <v>9.17</v>
          </cell>
          <cell r="AH216" t="str">
            <v>RI</v>
          </cell>
          <cell r="AI216" t="str">
            <v>Not in contract</v>
          </cell>
          <cell r="AJ216" t="str">
            <v>Not under maintenance</v>
          </cell>
          <cell r="AK216" t="e">
            <v>#N/A</v>
          </cell>
        </row>
        <row r="217">
          <cell r="A217" t="str">
            <v>IKN401411</v>
          </cell>
          <cell r="B217">
            <v>1394</v>
          </cell>
          <cell r="C217" t="str">
            <v>Institut Kanser Negara</v>
          </cell>
          <cell r="D217" t="e">
            <v>#N/A</v>
          </cell>
          <cell r="E217" t="str">
            <v>17-887</v>
          </cell>
          <cell r="F217" t="str">
            <v>Thermometers, Electronic, Infrared, Ear</v>
          </cell>
          <cell r="G217" t="str">
            <v>WJ</v>
          </cell>
          <cell r="H217" t="str">
            <v>MULTIDISCIPLINE WARD 1</v>
          </cell>
          <cell r="I217" t="str">
            <v>09WJ136</v>
          </cell>
          <cell r="J217" t="str">
            <v>NURSE STATION</v>
          </cell>
          <cell r="K217" t="str">
            <v>BMED</v>
          </cell>
          <cell r="L217" t="str">
            <v>Normal</v>
          </cell>
          <cell r="M217" t="str">
            <v>Mexico</v>
          </cell>
          <cell r="N217" t="str">
            <v>Thermoscan</v>
          </cell>
          <cell r="O217" t="str">
            <v>Thermoscan Pro 4000</v>
          </cell>
          <cell r="P217" t="str">
            <v>33412K00675</v>
          </cell>
          <cell r="Q217" t="str">
            <v>Not Available</v>
          </cell>
          <cell r="R217" t="str">
            <v>Welch Allyn Inc</v>
          </cell>
          <cell r="S217" t="str">
            <v>Welch Allyn Malaysia Sdn. Bhd</v>
          </cell>
          <cell r="T217" t="str">
            <v>Functioning</v>
          </cell>
          <cell r="U217" t="str">
            <v>Asset</v>
          </cell>
          <cell r="V217">
            <v>540</v>
          </cell>
          <cell r="W217" t="str">
            <v>KEW</v>
          </cell>
          <cell r="X217" t="str">
            <v>01/09/2010</v>
          </cell>
          <cell r="Y217" t="str">
            <v>KEW</v>
          </cell>
          <cell r="Z217" t="str">
            <v>16/08/2013</v>
          </cell>
          <cell r="AA217" t="str">
            <v>15/08/2015</v>
          </cell>
          <cell r="AB217" t="str">
            <v>No</v>
          </cell>
          <cell r="AC217" t="str">
            <v>31/08/2013</v>
          </cell>
          <cell r="AD217" t="str">
            <v>Good</v>
          </cell>
          <cell r="AE217" t="str">
            <v>V1 - Existing / No Claim</v>
          </cell>
          <cell r="AF217">
            <v>42781</v>
          </cell>
          <cell r="AG217">
            <v>9.17</v>
          </cell>
          <cell r="AH217" t="str">
            <v>RI</v>
          </cell>
          <cell r="AI217" t="str">
            <v>Not in contract</v>
          </cell>
          <cell r="AJ217" t="str">
            <v>Not under maintenance</v>
          </cell>
          <cell r="AK217" t="e">
            <v>#N/A</v>
          </cell>
        </row>
        <row r="218">
          <cell r="A218" t="str">
            <v>IKN401414</v>
          </cell>
          <cell r="B218">
            <v>1396</v>
          </cell>
          <cell r="C218" t="str">
            <v>Institut Kanser Negara</v>
          </cell>
          <cell r="D218" t="e">
            <v>#N/A</v>
          </cell>
          <cell r="E218" t="str">
            <v>17-887</v>
          </cell>
          <cell r="F218" t="str">
            <v>Thermometers, Electronic, Infrared, Ear</v>
          </cell>
          <cell r="G218" t="str">
            <v>WH</v>
          </cell>
          <cell r="H218" t="str">
            <v>RT/ONCO WARD 2 (M)</v>
          </cell>
          <cell r="I218" t="str">
            <v>08WH143</v>
          </cell>
          <cell r="J218" t="str">
            <v>NURSE STATION</v>
          </cell>
          <cell r="K218" t="str">
            <v>BMED</v>
          </cell>
          <cell r="L218" t="str">
            <v>Normal</v>
          </cell>
          <cell r="M218" t="str">
            <v>Mexico</v>
          </cell>
          <cell r="N218" t="str">
            <v>Thermoscan</v>
          </cell>
          <cell r="O218" t="str">
            <v>Thermoscan Pro 4000</v>
          </cell>
          <cell r="P218" t="str">
            <v>33312K08851</v>
          </cell>
          <cell r="Q218" t="str">
            <v>Not Available</v>
          </cell>
          <cell r="R218" t="str">
            <v>Welch Allyn Inc</v>
          </cell>
          <cell r="S218" t="str">
            <v>Welch Allyn Malaysia Sdn. Bhd</v>
          </cell>
          <cell r="T218" t="str">
            <v>Functioning</v>
          </cell>
          <cell r="U218" t="str">
            <v>Asset</v>
          </cell>
          <cell r="V218">
            <v>540</v>
          </cell>
          <cell r="W218" t="str">
            <v>KEW</v>
          </cell>
          <cell r="X218" t="str">
            <v>01/09/2010</v>
          </cell>
          <cell r="Y218" t="str">
            <v>KEW</v>
          </cell>
          <cell r="Z218" t="str">
            <v>16/08/2013</v>
          </cell>
          <cell r="AA218" t="str">
            <v>15/08/2015</v>
          </cell>
          <cell r="AB218" t="str">
            <v>No</v>
          </cell>
          <cell r="AC218" t="str">
            <v>31/08/2013</v>
          </cell>
          <cell r="AD218" t="str">
            <v>Good</v>
          </cell>
          <cell r="AE218" t="str">
            <v>V1 - Existing / No Claim</v>
          </cell>
          <cell r="AF218">
            <v>42776</v>
          </cell>
          <cell r="AG218">
            <v>9.17</v>
          </cell>
          <cell r="AH218" t="str">
            <v>RI</v>
          </cell>
          <cell r="AI218" t="str">
            <v>Not in contract</v>
          </cell>
          <cell r="AJ218" t="str">
            <v>Not under maintenance</v>
          </cell>
          <cell r="AK218" t="e">
            <v>#N/A</v>
          </cell>
        </row>
        <row r="219">
          <cell r="A219" t="str">
            <v>IKN401417</v>
          </cell>
          <cell r="B219">
            <v>1398</v>
          </cell>
          <cell r="C219" t="str">
            <v>Institut Kanser Negara</v>
          </cell>
          <cell r="D219" t="e">
            <v>#N/A</v>
          </cell>
          <cell r="E219" t="str">
            <v>17-887</v>
          </cell>
          <cell r="F219" t="str">
            <v>Thermometers, Electronic, Infrared, Ear</v>
          </cell>
          <cell r="G219" t="str">
            <v>WH</v>
          </cell>
          <cell r="H219" t="str">
            <v>RT/ONCO WARD 2 (M)</v>
          </cell>
          <cell r="I219" t="str">
            <v>08WH143</v>
          </cell>
          <cell r="J219" t="str">
            <v>NURSE STATION</v>
          </cell>
          <cell r="K219" t="str">
            <v>BMED</v>
          </cell>
          <cell r="L219" t="str">
            <v>Normal</v>
          </cell>
          <cell r="M219" t="str">
            <v>Mexico</v>
          </cell>
          <cell r="N219" t="str">
            <v>Thermoscan</v>
          </cell>
          <cell r="O219" t="str">
            <v>Thermoscan Pro 4000</v>
          </cell>
          <cell r="P219" t="str">
            <v>33412K00407</v>
          </cell>
          <cell r="Q219" t="str">
            <v>Not Available</v>
          </cell>
          <cell r="R219" t="str">
            <v>Welch Allyn Inc</v>
          </cell>
          <cell r="S219" t="str">
            <v>Welch Allyn Malaysia Sdn. Bhd</v>
          </cell>
          <cell r="T219" t="str">
            <v>Functioning</v>
          </cell>
          <cell r="U219" t="str">
            <v>Asset</v>
          </cell>
          <cell r="V219">
            <v>540</v>
          </cell>
          <cell r="W219" t="str">
            <v>KEW</v>
          </cell>
          <cell r="X219" t="str">
            <v>01/09/2010</v>
          </cell>
          <cell r="Y219" t="str">
            <v>KEW</v>
          </cell>
          <cell r="Z219" t="str">
            <v>16/08/2013</v>
          </cell>
          <cell r="AA219" t="str">
            <v>15/08/2015</v>
          </cell>
          <cell r="AB219" t="str">
            <v>No</v>
          </cell>
          <cell r="AC219" t="str">
            <v>31/08/2013</v>
          </cell>
          <cell r="AD219" t="str">
            <v>Good</v>
          </cell>
          <cell r="AE219" t="str">
            <v>V1 - Existing / No Claim</v>
          </cell>
          <cell r="AF219">
            <v>42780</v>
          </cell>
          <cell r="AG219">
            <v>9.17</v>
          </cell>
          <cell r="AH219" t="str">
            <v>RI</v>
          </cell>
          <cell r="AI219" t="str">
            <v>Not in contract</v>
          </cell>
          <cell r="AJ219" t="str">
            <v>Not under maintenance</v>
          </cell>
          <cell r="AK219" t="e">
            <v>#N/A</v>
          </cell>
        </row>
        <row r="220">
          <cell r="A220" t="str">
            <v>IKN401418</v>
          </cell>
          <cell r="B220">
            <v>1399</v>
          </cell>
          <cell r="C220" t="str">
            <v>Institut Kanser Negara</v>
          </cell>
          <cell r="D220" t="str">
            <v>KKM/IKN/H/13/3988</v>
          </cell>
          <cell r="E220" t="str">
            <v>17-887</v>
          </cell>
          <cell r="F220" t="str">
            <v>Thermometers, Electronic, Infrared, Ear</v>
          </cell>
          <cell r="G220" t="str">
            <v>WG</v>
          </cell>
          <cell r="H220" t="str">
            <v>RT/ONCO WARD 1 (M)</v>
          </cell>
          <cell r="I220" t="str">
            <v>08WG143</v>
          </cell>
          <cell r="J220" t="str">
            <v>NURSE STATION</v>
          </cell>
          <cell r="K220" t="str">
            <v>BMED</v>
          </cell>
          <cell r="L220" t="str">
            <v>Normal</v>
          </cell>
          <cell r="M220" t="str">
            <v>Mexico</v>
          </cell>
          <cell r="N220" t="str">
            <v>Thermoscan</v>
          </cell>
          <cell r="O220" t="str">
            <v>Thermoscan Pro 4000</v>
          </cell>
          <cell r="P220" t="str">
            <v>33412K00412</v>
          </cell>
          <cell r="Q220" t="str">
            <v>Not Available</v>
          </cell>
          <cell r="R220" t="str">
            <v>Welch Allyn Inc</v>
          </cell>
          <cell r="S220" t="str">
            <v>Welch Allyn Malaysia Sdn. Bhd</v>
          </cell>
          <cell r="T220" t="str">
            <v>Functioning</v>
          </cell>
          <cell r="U220" t="str">
            <v>Asset</v>
          </cell>
          <cell r="V220">
            <v>540</v>
          </cell>
          <cell r="W220" t="str">
            <v>KEW</v>
          </cell>
          <cell r="X220" t="str">
            <v>01/09/2010</v>
          </cell>
          <cell r="Y220" t="str">
            <v>KEW</v>
          </cell>
          <cell r="Z220" t="str">
            <v>16/08/2013</v>
          </cell>
          <cell r="AA220" t="str">
            <v>15/08/2015</v>
          </cell>
          <cell r="AB220" t="str">
            <v>No</v>
          </cell>
          <cell r="AC220" t="str">
            <v>31/08/2013</v>
          </cell>
          <cell r="AD220" t="str">
            <v>Good</v>
          </cell>
          <cell r="AE220" t="str">
            <v>V1 - Existing / No Claim</v>
          </cell>
          <cell r="AF220">
            <v>42780</v>
          </cell>
          <cell r="AG220">
            <v>9.17</v>
          </cell>
          <cell r="AH220" t="str">
            <v>RI</v>
          </cell>
          <cell r="AI220" t="str">
            <v>Strands</v>
          </cell>
          <cell r="AJ220" t="str">
            <v>Not under maintenance</v>
          </cell>
        </row>
        <row r="221">
          <cell r="A221" t="str">
            <v>IKN401423</v>
          </cell>
          <cell r="B221">
            <v>1402</v>
          </cell>
          <cell r="C221" t="str">
            <v>Institut Kanser Negara</v>
          </cell>
          <cell r="D221" t="str">
            <v>KKM/IKN/I/13/5383</v>
          </cell>
          <cell r="E221" t="str">
            <v>17-887</v>
          </cell>
          <cell r="F221" t="str">
            <v>Thermometers, Electronic, Infrared, Ear</v>
          </cell>
          <cell r="G221" t="str">
            <v>WF</v>
          </cell>
          <cell r="H221" t="str">
            <v>RT/ONCO WARD 2 (F)</v>
          </cell>
          <cell r="I221" t="str">
            <v>07WF143</v>
          </cell>
          <cell r="J221" t="str">
            <v>NURSE STATION</v>
          </cell>
          <cell r="K221" t="str">
            <v>BMED</v>
          </cell>
          <cell r="L221" t="str">
            <v>Normal</v>
          </cell>
          <cell r="M221" t="str">
            <v>Mexico</v>
          </cell>
          <cell r="N221" t="str">
            <v>Thermoscan</v>
          </cell>
          <cell r="O221" t="str">
            <v>Thermoscan Pro 4000</v>
          </cell>
          <cell r="P221" t="str">
            <v>33412K01109</v>
          </cell>
          <cell r="Q221" t="str">
            <v>Not Available</v>
          </cell>
          <cell r="R221" t="str">
            <v>Welch Allyn Inc</v>
          </cell>
          <cell r="S221" t="str">
            <v>Welch Allyn Malaysia Sdn. Bhd</v>
          </cell>
          <cell r="T221" t="str">
            <v>Functioning</v>
          </cell>
          <cell r="U221" t="str">
            <v>Asset</v>
          </cell>
          <cell r="V221">
            <v>540</v>
          </cell>
          <cell r="W221" t="str">
            <v>KEW</v>
          </cell>
          <cell r="X221" t="str">
            <v>01/09/2010</v>
          </cell>
          <cell r="Y221" t="str">
            <v>KEW</v>
          </cell>
          <cell r="Z221" t="str">
            <v>16/08/2013</v>
          </cell>
          <cell r="AA221" t="str">
            <v>15/08/2015</v>
          </cell>
          <cell r="AB221" t="str">
            <v>No</v>
          </cell>
          <cell r="AC221" t="str">
            <v>31/08/2013</v>
          </cell>
          <cell r="AD221" t="str">
            <v>Good</v>
          </cell>
          <cell r="AE221" t="str">
            <v>V1 - Existing / No Claim</v>
          </cell>
          <cell r="AF221">
            <v>42780</v>
          </cell>
          <cell r="AG221">
            <v>9.17</v>
          </cell>
          <cell r="AH221" t="str">
            <v>RI</v>
          </cell>
          <cell r="AI221" t="str">
            <v>Strands</v>
          </cell>
          <cell r="AJ221" t="str">
            <v>Not under maintenance</v>
          </cell>
        </row>
        <row r="222">
          <cell r="A222" t="str">
            <v>IKN401424</v>
          </cell>
          <cell r="B222">
            <v>1403</v>
          </cell>
          <cell r="C222" t="str">
            <v>Institut Kanser Negara</v>
          </cell>
          <cell r="D222" t="str">
            <v>KKM/IKN/I/13/5384</v>
          </cell>
          <cell r="E222" t="str">
            <v>17-887</v>
          </cell>
          <cell r="F222" t="str">
            <v>Thermometers, Electronic, Infrared, Ear</v>
          </cell>
          <cell r="G222" t="str">
            <v>WF</v>
          </cell>
          <cell r="H222" t="str">
            <v>RT/ONCO WARD 2 (F)</v>
          </cell>
          <cell r="I222" t="str">
            <v>07WF143</v>
          </cell>
          <cell r="J222" t="str">
            <v>NURSE STATION</v>
          </cell>
          <cell r="K222" t="str">
            <v>BMED</v>
          </cell>
          <cell r="L222" t="str">
            <v>Normal</v>
          </cell>
          <cell r="M222" t="str">
            <v>Mexico</v>
          </cell>
          <cell r="N222" t="str">
            <v>Thermoscan</v>
          </cell>
          <cell r="O222" t="str">
            <v>Thermoscan Pro 4000</v>
          </cell>
          <cell r="P222" t="str">
            <v>33312K06491</v>
          </cell>
          <cell r="Q222" t="str">
            <v>Not Available</v>
          </cell>
          <cell r="R222" t="str">
            <v>Welch Allyn Inc</v>
          </cell>
          <cell r="S222" t="str">
            <v>Welch Allyn Malaysia Sdn. Bhd</v>
          </cell>
          <cell r="T222" t="str">
            <v>Functioning</v>
          </cell>
          <cell r="U222" t="str">
            <v>Asset</v>
          </cell>
          <cell r="V222">
            <v>540</v>
          </cell>
          <cell r="W222" t="str">
            <v>KEW</v>
          </cell>
          <cell r="X222" t="str">
            <v>01/09/2010</v>
          </cell>
          <cell r="Y222" t="str">
            <v>KEW</v>
          </cell>
          <cell r="Z222" t="str">
            <v>16/08/2013</v>
          </cell>
          <cell r="AA222" t="str">
            <v>15/08/2015</v>
          </cell>
          <cell r="AB222" t="str">
            <v>No</v>
          </cell>
          <cell r="AC222" t="str">
            <v>31/08/2013</v>
          </cell>
          <cell r="AD222" t="str">
            <v>Good</v>
          </cell>
          <cell r="AE222" t="str">
            <v>V1 - Existing / No Claim</v>
          </cell>
          <cell r="AF222">
            <v>42780</v>
          </cell>
          <cell r="AG222">
            <v>9.17</v>
          </cell>
          <cell r="AH222" t="str">
            <v>RI</v>
          </cell>
          <cell r="AI222" t="str">
            <v>Strands</v>
          </cell>
          <cell r="AJ222" t="str">
            <v>Not under maintenance</v>
          </cell>
        </row>
        <row r="223">
          <cell r="A223" t="str">
            <v>IKN401425</v>
          </cell>
          <cell r="B223">
            <v>1404</v>
          </cell>
          <cell r="C223" t="str">
            <v>Institut Kanser Negara</v>
          </cell>
          <cell r="D223" t="str">
            <v>KKM/IKN/H/13/3519</v>
          </cell>
          <cell r="E223" t="str">
            <v>17-887</v>
          </cell>
          <cell r="F223" t="str">
            <v>Thermometers, Electronic, Infrared, Ear</v>
          </cell>
          <cell r="G223" t="str">
            <v>WE</v>
          </cell>
          <cell r="H223" t="str">
            <v>RT/ONCO WARD 1 (F)</v>
          </cell>
          <cell r="I223" t="str">
            <v>07WE143</v>
          </cell>
          <cell r="J223" t="str">
            <v>NURSE STATION</v>
          </cell>
          <cell r="K223" t="str">
            <v>BMED</v>
          </cell>
          <cell r="L223" t="str">
            <v>Normal</v>
          </cell>
          <cell r="M223" t="str">
            <v>Mexico</v>
          </cell>
          <cell r="N223" t="str">
            <v>Thermoscan</v>
          </cell>
          <cell r="O223" t="str">
            <v>Thermoscan Pro 4000</v>
          </cell>
          <cell r="P223" t="str">
            <v>33412K05053</v>
          </cell>
          <cell r="Q223" t="str">
            <v>Not Available</v>
          </cell>
          <cell r="R223" t="str">
            <v>Welch Allyn Inc</v>
          </cell>
          <cell r="S223" t="str">
            <v>Welch Allyn Malaysia Sdn. Bhd</v>
          </cell>
          <cell r="T223" t="str">
            <v>Functioning</v>
          </cell>
          <cell r="U223" t="str">
            <v>Asset</v>
          </cell>
          <cell r="V223">
            <v>540</v>
          </cell>
          <cell r="W223" t="str">
            <v>KEW</v>
          </cell>
          <cell r="X223" t="str">
            <v>01/09/2010</v>
          </cell>
          <cell r="Y223" t="str">
            <v>KEW</v>
          </cell>
          <cell r="Z223" t="str">
            <v>16/08/2013</v>
          </cell>
          <cell r="AA223" t="str">
            <v>15/08/2015</v>
          </cell>
          <cell r="AB223" t="str">
            <v>No</v>
          </cell>
          <cell r="AC223" t="str">
            <v>31/08/2013</v>
          </cell>
          <cell r="AD223" t="str">
            <v>Good</v>
          </cell>
          <cell r="AE223" t="str">
            <v>V1 - Existing / No Claim</v>
          </cell>
          <cell r="AF223">
            <v>42780</v>
          </cell>
          <cell r="AG223">
            <v>9.17</v>
          </cell>
          <cell r="AH223" t="str">
            <v>RI</v>
          </cell>
          <cell r="AI223" t="str">
            <v>Strands</v>
          </cell>
          <cell r="AJ223" t="str">
            <v>Not under maintenance</v>
          </cell>
        </row>
        <row r="224">
          <cell r="A224" t="str">
            <v>IKN401426</v>
          </cell>
          <cell r="B224">
            <v>1405</v>
          </cell>
          <cell r="C224" t="str">
            <v>Institut Kanser Negara</v>
          </cell>
          <cell r="D224" t="str">
            <v>KKM/IKN/H/13/3520</v>
          </cell>
          <cell r="E224" t="str">
            <v>17-887</v>
          </cell>
          <cell r="F224" t="str">
            <v>Thermometers, Electronic, Infrared, Ear</v>
          </cell>
          <cell r="G224" t="str">
            <v>WE</v>
          </cell>
          <cell r="H224" t="str">
            <v>RT/ONCO WARD 1 (F)</v>
          </cell>
          <cell r="I224" t="str">
            <v>07WE143</v>
          </cell>
          <cell r="J224" t="str">
            <v>NURSE STATION</v>
          </cell>
          <cell r="K224" t="str">
            <v>BMED</v>
          </cell>
          <cell r="L224" t="str">
            <v>Normal</v>
          </cell>
          <cell r="M224" t="str">
            <v>Mexico</v>
          </cell>
          <cell r="N224" t="str">
            <v>Thermoscan</v>
          </cell>
          <cell r="O224" t="str">
            <v>Thermoscan Pro 4000</v>
          </cell>
          <cell r="P224" t="str">
            <v>33412K01051</v>
          </cell>
          <cell r="Q224" t="str">
            <v>Not Available</v>
          </cell>
          <cell r="R224" t="str">
            <v>Welch Allyn Inc</v>
          </cell>
          <cell r="S224" t="str">
            <v>Welch Allyn Malaysia Sdn. Bhd</v>
          </cell>
          <cell r="T224" t="str">
            <v>Functioning</v>
          </cell>
          <cell r="U224" t="str">
            <v>Asset</v>
          </cell>
          <cell r="V224">
            <v>540</v>
          </cell>
          <cell r="W224" t="str">
            <v>KEW</v>
          </cell>
          <cell r="X224" t="str">
            <v>01/09/2010</v>
          </cell>
          <cell r="Y224" t="str">
            <v>KEW</v>
          </cell>
          <cell r="Z224" t="str">
            <v>16/08/2013</v>
          </cell>
          <cell r="AA224" t="str">
            <v>15/08/2015</v>
          </cell>
          <cell r="AB224" t="str">
            <v>No</v>
          </cell>
          <cell r="AC224" t="str">
            <v>31/08/2013</v>
          </cell>
          <cell r="AD224" t="str">
            <v>Good</v>
          </cell>
          <cell r="AE224" t="str">
            <v>V1 - Existing / No Claim</v>
          </cell>
          <cell r="AF224">
            <v>42780</v>
          </cell>
          <cell r="AG224">
            <v>9.17</v>
          </cell>
          <cell r="AH224" t="str">
            <v>RI</v>
          </cell>
          <cell r="AI224" t="str">
            <v>Strands</v>
          </cell>
          <cell r="AJ224" t="str">
            <v>Not under maintenance</v>
          </cell>
        </row>
        <row r="225">
          <cell r="A225" t="str">
            <v>IKN401427</v>
          </cell>
          <cell r="B225">
            <v>1406</v>
          </cell>
          <cell r="C225" t="str">
            <v>Institut Kanser Negara</v>
          </cell>
          <cell r="D225" t="e">
            <v>#N/A</v>
          </cell>
          <cell r="E225" t="str">
            <v>17-887</v>
          </cell>
          <cell r="F225" t="str">
            <v>Thermometers, Electronic, Infrared, Ear</v>
          </cell>
          <cell r="G225" t="str">
            <v>WD</v>
          </cell>
          <cell r="H225" t="str">
            <v>RT/ONCO PAED/ADOLESCENT WARD</v>
          </cell>
          <cell r="I225" t="str">
            <v>06WD146</v>
          </cell>
          <cell r="J225" t="str">
            <v>NURSE STATION</v>
          </cell>
          <cell r="K225" t="str">
            <v>BMED</v>
          </cell>
          <cell r="L225" t="str">
            <v>Normal</v>
          </cell>
          <cell r="M225" t="str">
            <v>Mexico</v>
          </cell>
          <cell r="N225" t="str">
            <v>Thermoscan</v>
          </cell>
          <cell r="O225" t="str">
            <v>Thermoscan Pro 4000</v>
          </cell>
          <cell r="P225" t="str">
            <v>33412K00406</v>
          </cell>
          <cell r="Q225" t="str">
            <v>Not Available</v>
          </cell>
          <cell r="R225" t="str">
            <v>Welch Allyn Inc</v>
          </cell>
          <cell r="S225" t="str">
            <v>Welch Allyn Malaysia Sdn. Bhd</v>
          </cell>
          <cell r="T225" t="str">
            <v>Functioning</v>
          </cell>
          <cell r="U225" t="str">
            <v>Asset</v>
          </cell>
          <cell r="V225">
            <v>540</v>
          </cell>
          <cell r="W225" t="str">
            <v>KEW</v>
          </cell>
          <cell r="X225" t="str">
            <v>01/09/2010</v>
          </cell>
          <cell r="Y225" t="str">
            <v>KEW</v>
          </cell>
          <cell r="Z225" t="str">
            <v>16/08/2013</v>
          </cell>
          <cell r="AA225" t="str">
            <v>15/08/2015</v>
          </cell>
          <cell r="AB225" t="str">
            <v>No</v>
          </cell>
          <cell r="AC225" t="str">
            <v>31/08/2013</v>
          </cell>
          <cell r="AD225" t="str">
            <v>Good</v>
          </cell>
          <cell r="AE225" t="str">
            <v>V1 - Existing / No Claim</v>
          </cell>
          <cell r="AF225">
            <v>42780</v>
          </cell>
          <cell r="AG225">
            <v>9.17</v>
          </cell>
          <cell r="AH225" t="str">
            <v>RI</v>
          </cell>
          <cell r="AI225" t="str">
            <v>Not in contract</v>
          </cell>
          <cell r="AJ225" t="str">
            <v>Not under maintenance</v>
          </cell>
          <cell r="AK225" t="e">
            <v>#N/A</v>
          </cell>
        </row>
        <row r="226">
          <cell r="A226" t="str">
            <v>IKN401428</v>
          </cell>
          <cell r="B226">
            <v>1407</v>
          </cell>
          <cell r="C226" t="str">
            <v>Institut Kanser Negara</v>
          </cell>
          <cell r="D226" t="e">
            <v>#N/A</v>
          </cell>
          <cell r="E226" t="str">
            <v>17-887</v>
          </cell>
          <cell r="F226" t="str">
            <v>Thermometers, Electronic, Infrared, Ear</v>
          </cell>
          <cell r="G226" t="str">
            <v>WD</v>
          </cell>
          <cell r="H226" t="str">
            <v>RT/ONCO PAED/ADOLESCENT WARD</v>
          </cell>
          <cell r="I226" t="str">
            <v>06WD124</v>
          </cell>
          <cell r="J226" t="str">
            <v>TREATMENT / PROCEDURE</v>
          </cell>
          <cell r="K226" t="str">
            <v>BMED</v>
          </cell>
          <cell r="L226" t="str">
            <v>Normal</v>
          </cell>
          <cell r="M226" t="str">
            <v>Mexico</v>
          </cell>
          <cell r="N226" t="str">
            <v>Thermoscan</v>
          </cell>
          <cell r="O226" t="str">
            <v>Thermoscan Pro 4000</v>
          </cell>
          <cell r="P226" t="str">
            <v>33412K01815</v>
          </cell>
          <cell r="Q226" t="str">
            <v>Not Available</v>
          </cell>
          <cell r="R226" t="str">
            <v>Welch Allyn Inc</v>
          </cell>
          <cell r="S226" t="str">
            <v>Welch Allyn Malaysia Sdn. Bhd</v>
          </cell>
          <cell r="T226" t="str">
            <v>Functioning</v>
          </cell>
          <cell r="U226" t="str">
            <v>Asset</v>
          </cell>
          <cell r="V226">
            <v>540</v>
          </cell>
          <cell r="W226" t="str">
            <v>KEW</v>
          </cell>
          <cell r="X226" t="str">
            <v>01/09/2010</v>
          </cell>
          <cell r="Y226" t="str">
            <v>KEW</v>
          </cell>
          <cell r="Z226" t="str">
            <v>16/08/2013</v>
          </cell>
          <cell r="AA226" t="str">
            <v>15/08/2015</v>
          </cell>
          <cell r="AB226" t="str">
            <v>No</v>
          </cell>
          <cell r="AC226" t="str">
            <v>31/08/2013</v>
          </cell>
          <cell r="AD226" t="str">
            <v>Good</v>
          </cell>
          <cell r="AE226" t="str">
            <v>V1 - Existing / No Claim</v>
          </cell>
          <cell r="AF226">
            <v>42780</v>
          </cell>
          <cell r="AG226">
            <v>9.17</v>
          </cell>
          <cell r="AH226" t="str">
            <v>RI</v>
          </cell>
          <cell r="AI226" t="str">
            <v>Not in contract</v>
          </cell>
          <cell r="AJ226" t="str">
            <v>Not under maintenance</v>
          </cell>
          <cell r="AK226" t="e">
            <v>#N/A</v>
          </cell>
        </row>
        <row r="227">
          <cell r="A227" t="str">
            <v>IKN401429</v>
          </cell>
          <cell r="B227">
            <v>1408</v>
          </cell>
          <cell r="C227" t="str">
            <v>Institut Kanser Negara</v>
          </cell>
          <cell r="D227" t="e">
            <v>#N/A</v>
          </cell>
          <cell r="E227" t="str">
            <v>17-887</v>
          </cell>
          <cell r="F227" t="str">
            <v>Thermometers, Electronic, Infrared, Ear</v>
          </cell>
          <cell r="G227" t="str">
            <v>WD</v>
          </cell>
          <cell r="H227" t="str">
            <v>RT/ONCO PAED/ADOLESCENT WARD</v>
          </cell>
          <cell r="I227" t="str">
            <v>06WD146</v>
          </cell>
          <cell r="J227" t="str">
            <v>NURSE STATION</v>
          </cell>
          <cell r="K227" t="str">
            <v>BMED</v>
          </cell>
          <cell r="L227" t="str">
            <v>Normal</v>
          </cell>
          <cell r="M227" t="str">
            <v>Mexico</v>
          </cell>
          <cell r="N227" t="str">
            <v>Thermoscan</v>
          </cell>
          <cell r="O227" t="str">
            <v>Thermoscan Pro 4000</v>
          </cell>
          <cell r="P227" t="str">
            <v>33412K00260</v>
          </cell>
          <cell r="Q227" t="str">
            <v>Not Available</v>
          </cell>
          <cell r="R227" t="str">
            <v>Welch Allyn Inc</v>
          </cell>
          <cell r="S227" t="str">
            <v>Welch Allyn Malaysia Sdn. Bhd</v>
          </cell>
          <cell r="T227" t="str">
            <v>Functioning</v>
          </cell>
          <cell r="U227" t="str">
            <v>Asset</v>
          </cell>
          <cell r="V227">
            <v>540</v>
          </cell>
          <cell r="W227" t="str">
            <v>Replacement</v>
          </cell>
          <cell r="X227" t="str">
            <v>01/09/2010</v>
          </cell>
          <cell r="Y227" t="str">
            <v>KEW</v>
          </cell>
          <cell r="Z227" t="str">
            <v>16/08/2013</v>
          </cell>
          <cell r="AA227" t="str">
            <v>15/08/2015</v>
          </cell>
          <cell r="AB227" t="str">
            <v>No</v>
          </cell>
          <cell r="AC227" t="str">
            <v>31/08/2013</v>
          </cell>
          <cell r="AD227" t="str">
            <v>Good</v>
          </cell>
          <cell r="AE227" t="str">
            <v>V1 - Existing / No Claim</v>
          </cell>
          <cell r="AF227">
            <v>42780</v>
          </cell>
          <cell r="AG227">
            <v>9.17</v>
          </cell>
          <cell r="AH227" t="str">
            <v>RI</v>
          </cell>
          <cell r="AI227" t="str">
            <v>Not in contract</v>
          </cell>
          <cell r="AJ227" t="str">
            <v>Not under maintenance</v>
          </cell>
          <cell r="AK227" t="e">
            <v>#N/A</v>
          </cell>
        </row>
        <row r="228">
          <cell r="A228" t="str">
            <v>IKN401431</v>
          </cell>
          <cell r="B228">
            <v>1409</v>
          </cell>
          <cell r="C228" t="str">
            <v>Institut Kanser Negara</v>
          </cell>
          <cell r="D228" t="e">
            <v>#N/A</v>
          </cell>
          <cell r="E228" t="str">
            <v>17-887</v>
          </cell>
          <cell r="F228" t="str">
            <v>Thermometers, Electronic, Infrared, Ear</v>
          </cell>
          <cell r="G228" t="str">
            <v>WC</v>
          </cell>
          <cell r="H228" t="str">
            <v>SURGICAL ONCO FEMALE WARD</v>
          </cell>
          <cell r="I228" t="str">
            <v>06WC107</v>
          </cell>
          <cell r="J228" t="str">
            <v>TREATMENT / PROCEDURE</v>
          </cell>
          <cell r="K228" t="str">
            <v>BMED</v>
          </cell>
          <cell r="L228" t="str">
            <v>Normal</v>
          </cell>
          <cell r="M228" t="str">
            <v>Mexico</v>
          </cell>
          <cell r="N228" t="str">
            <v>Thermoscan</v>
          </cell>
          <cell r="O228" t="str">
            <v>Thermoscan Pro 4000</v>
          </cell>
          <cell r="P228" t="str">
            <v>29612K05674</v>
          </cell>
          <cell r="Q228" t="str">
            <v>Not Available</v>
          </cell>
          <cell r="R228" t="str">
            <v>Welch Allyn Inc</v>
          </cell>
          <cell r="S228" t="str">
            <v>Welch Allyn Malaysia Sdn. Bhd</v>
          </cell>
          <cell r="T228" t="str">
            <v>Functioning</v>
          </cell>
          <cell r="U228" t="str">
            <v>Asset</v>
          </cell>
          <cell r="V228">
            <v>540</v>
          </cell>
          <cell r="W228" t="str">
            <v>KEW</v>
          </cell>
          <cell r="X228" t="str">
            <v>01/09/2010</v>
          </cell>
          <cell r="Y228" t="str">
            <v>KEW</v>
          </cell>
          <cell r="Z228" t="str">
            <v>16/08/2013</v>
          </cell>
          <cell r="AA228" t="str">
            <v>15/08/2015</v>
          </cell>
          <cell r="AB228" t="str">
            <v>No</v>
          </cell>
          <cell r="AC228" t="str">
            <v>31/08/2013</v>
          </cell>
          <cell r="AD228" t="str">
            <v>Good</v>
          </cell>
          <cell r="AE228" t="str">
            <v>V1 - Existing / No Claim</v>
          </cell>
          <cell r="AF228">
            <v>42780</v>
          </cell>
          <cell r="AG228">
            <v>9.17</v>
          </cell>
          <cell r="AH228" t="str">
            <v>RI</v>
          </cell>
          <cell r="AI228" t="str">
            <v>Not in contract</v>
          </cell>
          <cell r="AJ228" t="str">
            <v>Not under maintenance</v>
          </cell>
          <cell r="AK228" t="e">
            <v>#N/A</v>
          </cell>
        </row>
        <row r="229">
          <cell r="A229" t="str">
            <v>IKN401440</v>
          </cell>
          <cell r="B229">
            <v>1416</v>
          </cell>
          <cell r="C229" t="str">
            <v>Institut Kanser Negara</v>
          </cell>
          <cell r="D229" t="str">
            <v>KKM/IKN/I/13/4630</v>
          </cell>
          <cell r="E229" t="str">
            <v>17-887</v>
          </cell>
          <cell r="F229" t="str">
            <v>Thermometers, Electronic, Infrared, Ear</v>
          </cell>
          <cell r="G229" t="str">
            <v>WA</v>
          </cell>
          <cell r="H229" t="str">
            <v>NUCLEAR MED WARD (THERAPY)</v>
          </cell>
          <cell r="I229" t="str">
            <v>03WA117</v>
          </cell>
          <cell r="J229" t="str">
            <v>N/S 1</v>
          </cell>
          <cell r="K229" t="str">
            <v>BMED</v>
          </cell>
          <cell r="L229" t="str">
            <v>Normal</v>
          </cell>
          <cell r="M229" t="str">
            <v>Mexico</v>
          </cell>
          <cell r="N229" t="str">
            <v>Thermoscan</v>
          </cell>
          <cell r="O229" t="str">
            <v>Thermoscan Pro 4000</v>
          </cell>
          <cell r="P229" t="str">
            <v>33412K04471</v>
          </cell>
          <cell r="Q229" t="str">
            <v>Not Available</v>
          </cell>
          <cell r="R229" t="str">
            <v>Welch Allyn Inc</v>
          </cell>
          <cell r="S229" t="str">
            <v>Welch Allyn Malaysia Sdn. Bhd</v>
          </cell>
          <cell r="T229" t="str">
            <v>Functioning</v>
          </cell>
          <cell r="U229" t="str">
            <v>Asset</v>
          </cell>
          <cell r="V229">
            <v>540</v>
          </cell>
          <cell r="W229" t="str">
            <v>KEW</v>
          </cell>
          <cell r="X229" t="str">
            <v>01/09/2010</v>
          </cell>
          <cell r="Y229" t="str">
            <v>KEW</v>
          </cell>
          <cell r="Z229" t="str">
            <v>16/08/2013</v>
          </cell>
          <cell r="AA229" t="str">
            <v>15/08/2015</v>
          </cell>
          <cell r="AB229" t="str">
            <v>No</v>
          </cell>
          <cell r="AC229" t="str">
            <v>31/08/2013</v>
          </cell>
          <cell r="AD229" t="str">
            <v>Good</v>
          </cell>
          <cell r="AE229" t="str">
            <v>V1 - Existing / No Claim</v>
          </cell>
          <cell r="AF229">
            <v>42780</v>
          </cell>
          <cell r="AG229">
            <v>9.17</v>
          </cell>
          <cell r="AH229" t="str">
            <v>RI</v>
          </cell>
          <cell r="AI229" t="str">
            <v>Strands</v>
          </cell>
          <cell r="AJ229" t="str">
            <v>Not under maintenance</v>
          </cell>
        </row>
        <row r="230">
          <cell r="A230" t="str">
            <v>IKN401441</v>
          </cell>
          <cell r="B230">
            <v>1417</v>
          </cell>
          <cell r="C230" t="str">
            <v>Institut Kanser Negara</v>
          </cell>
          <cell r="D230" t="str">
            <v>KKM/IKN/I/13/4629</v>
          </cell>
          <cell r="E230" t="str">
            <v>17-887</v>
          </cell>
          <cell r="F230" t="str">
            <v>Thermometers, Electronic, Infrared, Ear</v>
          </cell>
          <cell r="G230" t="str">
            <v>WA</v>
          </cell>
          <cell r="H230" t="str">
            <v>NUCLEAR MED WARD (THERAPY)</v>
          </cell>
          <cell r="I230" t="str">
            <v>03WA121</v>
          </cell>
          <cell r="J230" t="str">
            <v>N/S 2</v>
          </cell>
          <cell r="K230" t="str">
            <v>BMED</v>
          </cell>
          <cell r="L230" t="str">
            <v>Normal</v>
          </cell>
          <cell r="M230" t="str">
            <v>Mexico</v>
          </cell>
          <cell r="N230" t="str">
            <v>Thermoscan</v>
          </cell>
          <cell r="O230" t="str">
            <v>Thermoscan Pro 4000</v>
          </cell>
          <cell r="P230" t="str">
            <v>33412K04806</v>
          </cell>
          <cell r="Q230" t="str">
            <v>Not Available</v>
          </cell>
          <cell r="R230" t="str">
            <v>Welch Allyn Inc</v>
          </cell>
          <cell r="S230" t="str">
            <v>Welch Allyn Malaysia Sdn. Bhd</v>
          </cell>
          <cell r="T230" t="str">
            <v>Functioning</v>
          </cell>
          <cell r="U230" t="str">
            <v>Asset</v>
          </cell>
          <cell r="V230">
            <v>540</v>
          </cell>
          <cell r="W230" t="str">
            <v>KEW</v>
          </cell>
          <cell r="X230" t="str">
            <v>01/09/2010</v>
          </cell>
          <cell r="Y230" t="str">
            <v>KEW</v>
          </cell>
          <cell r="Z230" t="str">
            <v>16/08/2013</v>
          </cell>
          <cell r="AA230" t="str">
            <v>15/08/2015</v>
          </cell>
          <cell r="AB230" t="str">
            <v>No</v>
          </cell>
          <cell r="AC230" t="str">
            <v>31/08/2013</v>
          </cell>
          <cell r="AD230" t="str">
            <v>Good</v>
          </cell>
          <cell r="AE230" t="str">
            <v>V1 - Existing / No Claim</v>
          </cell>
          <cell r="AF230">
            <v>42780</v>
          </cell>
          <cell r="AG230">
            <v>9.17</v>
          </cell>
          <cell r="AH230" t="str">
            <v>RI</v>
          </cell>
          <cell r="AI230" t="str">
            <v>Strands</v>
          </cell>
          <cell r="AJ230" t="str">
            <v>Not under maintenance</v>
          </cell>
        </row>
        <row r="231">
          <cell r="A231" t="str">
            <v>IKN401448</v>
          </cell>
          <cell r="B231">
            <v>1421</v>
          </cell>
          <cell r="C231" t="str">
            <v>Institut Kanser Negara</v>
          </cell>
          <cell r="D231" t="str">
            <v>KKM/IKN/H/13/866</v>
          </cell>
          <cell r="E231" t="str">
            <v>17-887</v>
          </cell>
          <cell r="F231" t="str">
            <v>Thermometers, Electronic, Infrared, Ear</v>
          </cell>
          <cell r="G231" t="str">
            <v>TC</v>
          </cell>
          <cell r="H231" t="str">
            <v>TRADITIONAL COMPLEMENTARY MEDICINE</v>
          </cell>
          <cell r="I231" t="str">
            <v>04TC128</v>
          </cell>
          <cell r="J231" t="str">
            <v>TREATMENT 1 (REFLEXOLOGY</v>
          </cell>
          <cell r="K231" t="str">
            <v>BMED</v>
          </cell>
          <cell r="L231" t="str">
            <v>Normal</v>
          </cell>
          <cell r="M231" t="str">
            <v>Mexico</v>
          </cell>
          <cell r="N231" t="str">
            <v>Thermoscan</v>
          </cell>
          <cell r="O231" t="str">
            <v>Thermoscan Pro 4000</v>
          </cell>
          <cell r="P231" t="str">
            <v>33412K00594</v>
          </cell>
          <cell r="Q231" t="str">
            <v>Not Available</v>
          </cell>
          <cell r="R231" t="str">
            <v>Welch Allyn Inc</v>
          </cell>
          <cell r="S231" t="str">
            <v>Welch Allyn Malaysia Sdn. Bhd</v>
          </cell>
          <cell r="T231" t="str">
            <v>Functioning</v>
          </cell>
          <cell r="U231" t="str">
            <v>Asset</v>
          </cell>
          <cell r="V231">
            <v>540</v>
          </cell>
          <cell r="W231" t="str">
            <v>KEW</v>
          </cell>
          <cell r="X231" t="str">
            <v>01/09/2010</v>
          </cell>
          <cell r="Y231" t="str">
            <v>KEW</v>
          </cell>
          <cell r="Z231" t="str">
            <v>16/08/2013</v>
          </cell>
          <cell r="AA231" t="str">
            <v>15/08/2015</v>
          </cell>
          <cell r="AB231" t="str">
            <v>No</v>
          </cell>
          <cell r="AC231" t="str">
            <v>31/08/2013</v>
          </cell>
          <cell r="AD231" t="str">
            <v>Good</v>
          </cell>
          <cell r="AE231" t="str">
            <v>V1 - Existing / No Claim</v>
          </cell>
          <cell r="AF231">
            <v>42780</v>
          </cell>
          <cell r="AG231">
            <v>9.17</v>
          </cell>
          <cell r="AH231" t="str">
            <v>RI</v>
          </cell>
          <cell r="AI231" t="str">
            <v>Strands</v>
          </cell>
          <cell r="AJ231" t="str">
            <v>Not under maintenance</v>
          </cell>
        </row>
        <row r="232">
          <cell r="A232" t="str">
            <v>IKN401452</v>
          </cell>
          <cell r="B232">
            <v>1423</v>
          </cell>
          <cell r="C232" t="str">
            <v>Institut Kanser Negara</v>
          </cell>
          <cell r="D232" t="str">
            <v>KKM/IKN/H/13/3646</v>
          </cell>
          <cell r="E232" t="str">
            <v>17-887</v>
          </cell>
          <cell r="F232" t="str">
            <v>Thermometers, Electronic, Infrared, Ear</v>
          </cell>
          <cell r="G232" t="str">
            <v>DO</v>
          </cell>
          <cell r="H232" t="str">
            <v>DAY ONCOLOGY UNIT</v>
          </cell>
          <cell r="I232" t="str">
            <v>04DO131</v>
          </cell>
          <cell r="J232" t="str">
            <v>NURSE STATION</v>
          </cell>
          <cell r="K232" t="str">
            <v>BMED</v>
          </cell>
          <cell r="L232" t="str">
            <v>Normal</v>
          </cell>
          <cell r="M232" t="str">
            <v>Mexico</v>
          </cell>
          <cell r="N232" t="str">
            <v>Thermoscan</v>
          </cell>
          <cell r="O232" t="str">
            <v>Thermoscan Pro 4000</v>
          </cell>
          <cell r="P232" t="str">
            <v>33412K00576</v>
          </cell>
          <cell r="Q232" t="str">
            <v>Not Applicable</v>
          </cell>
          <cell r="R232" t="str">
            <v>Welch Allyn Inc</v>
          </cell>
          <cell r="S232" t="str">
            <v>Welch Allyn Malaysia Sdn. Bhd</v>
          </cell>
          <cell r="T232" t="str">
            <v>Functioning</v>
          </cell>
          <cell r="U232" t="str">
            <v>Asset</v>
          </cell>
          <cell r="V232">
            <v>540</v>
          </cell>
          <cell r="W232" t="str">
            <v>KEW</v>
          </cell>
          <cell r="X232" t="str">
            <v>01/09/2010</v>
          </cell>
          <cell r="Y232" t="str">
            <v>KEW</v>
          </cell>
          <cell r="Z232" t="str">
            <v>16/08/2013</v>
          </cell>
          <cell r="AA232" t="str">
            <v>15/08/2015</v>
          </cell>
          <cell r="AB232" t="str">
            <v>No</v>
          </cell>
          <cell r="AC232" t="str">
            <v>31/08/2013</v>
          </cell>
          <cell r="AD232" t="str">
            <v>Good</v>
          </cell>
          <cell r="AE232" t="str">
            <v>V1 - Existing / No Claim</v>
          </cell>
          <cell r="AF232">
            <v>42793</v>
          </cell>
          <cell r="AG232">
            <v>9.17</v>
          </cell>
          <cell r="AH232" t="str">
            <v>RI</v>
          </cell>
          <cell r="AI232" t="str">
            <v>Strands</v>
          </cell>
          <cell r="AJ232" t="str">
            <v>Not under maintenance</v>
          </cell>
        </row>
        <row r="233">
          <cell r="A233" t="str">
            <v>IKN401455</v>
          </cell>
          <cell r="B233">
            <v>1425</v>
          </cell>
          <cell r="C233" t="str">
            <v>Institut Kanser Negara</v>
          </cell>
          <cell r="D233" t="e">
            <v>#N/A</v>
          </cell>
          <cell r="E233" t="str">
            <v>17-887</v>
          </cell>
          <cell r="F233" t="str">
            <v>Thermometers, Electronic, Infrared, Ear</v>
          </cell>
          <cell r="G233" t="str">
            <v>WB</v>
          </cell>
          <cell r="H233" t="str">
            <v>SURGICAL ONCO MALE WARD</v>
          </cell>
          <cell r="I233" t="str">
            <v>05WB107</v>
          </cell>
          <cell r="J233" t="str">
            <v>TREATMENT / PROCEDURE</v>
          </cell>
          <cell r="K233" t="str">
            <v>BMED</v>
          </cell>
          <cell r="L233" t="str">
            <v>Normal</v>
          </cell>
          <cell r="M233" t="str">
            <v>Mexico</v>
          </cell>
          <cell r="N233" t="str">
            <v>Thermoscan</v>
          </cell>
          <cell r="O233" t="str">
            <v>Thermoscan Pro 4000</v>
          </cell>
          <cell r="P233" t="str">
            <v>33412K00780</v>
          </cell>
          <cell r="Q233" t="str">
            <v>Not Available</v>
          </cell>
          <cell r="R233" t="str">
            <v>Welch Allyn Inc</v>
          </cell>
          <cell r="S233" t="str">
            <v>Welch Allyn Malaysia Sdn. Bhd</v>
          </cell>
          <cell r="T233" t="str">
            <v>Functioning</v>
          </cell>
          <cell r="U233" t="str">
            <v>Asset</v>
          </cell>
          <cell r="V233">
            <v>540</v>
          </cell>
          <cell r="W233" t="str">
            <v>KEW</v>
          </cell>
          <cell r="X233" t="str">
            <v>01/09/2010</v>
          </cell>
          <cell r="Y233" t="str">
            <v>KEW</v>
          </cell>
          <cell r="Z233" t="str">
            <v>16/08/2013</v>
          </cell>
          <cell r="AA233" t="str">
            <v>15/08/2015</v>
          </cell>
          <cell r="AB233" t="str">
            <v>No</v>
          </cell>
          <cell r="AC233" t="str">
            <v>31/08/2013</v>
          </cell>
          <cell r="AD233" t="str">
            <v>Good</v>
          </cell>
          <cell r="AE233" t="str">
            <v>V1 - Existing / No Claim</v>
          </cell>
          <cell r="AF233">
            <v>42780</v>
          </cell>
          <cell r="AG233">
            <v>9.17</v>
          </cell>
          <cell r="AH233" t="str">
            <v>RI</v>
          </cell>
          <cell r="AI233" t="str">
            <v>Not in contract</v>
          </cell>
          <cell r="AJ233" t="str">
            <v>Not under maintenance</v>
          </cell>
          <cell r="AK233" t="e">
            <v>#N/A</v>
          </cell>
        </row>
        <row r="234">
          <cell r="A234" t="str">
            <v>IKN401456</v>
          </cell>
          <cell r="B234">
            <v>1426</v>
          </cell>
          <cell r="C234" t="str">
            <v>Institut Kanser Negara</v>
          </cell>
          <cell r="D234" t="e">
            <v>#N/A</v>
          </cell>
          <cell r="E234" t="str">
            <v>17-887</v>
          </cell>
          <cell r="F234" t="str">
            <v>Thermometers, Electronic, Infrared, Ear</v>
          </cell>
          <cell r="G234" t="str">
            <v>WB</v>
          </cell>
          <cell r="H234" t="str">
            <v>SURGICAL ONCO MALE WARD</v>
          </cell>
          <cell r="I234" t="str">
            <v>05WB143</v>
          </cell>
          <cell r="J234" t="str">
            <v>NURSES STATION</v>
          </cell>
          <cell r="K234" t="str">
            <v>BMED</v>
          </cell>
          <cell r="L234" t="str">
            <v>Normal</v>
          </cell>
          <cell r="M234" t="str">
            <v>Mexico</v>
          </cell>
          <cell r="N234" t="str">
            <v>Thermoscan</v>
          </cell>
          <cell r="O234" t="str">
            <v>Thermoscan Pro 4000</v>
          </cell>
          <cell r="P234" t="str">
            <v>33412K00806</v>
          </cell>
          <cell r="Q234" t="str">
            <v>Not Available</v>
          </cell>
          <cell r="R234" t="str">
            <v>Welch Allyn Inc</v>
          </cell>
          <cell r="S234" t="str">
            <v>Welch Allyn Malaysia Sdn. Bhd</v>
          </cell>
          <cell r="T234" t="str">
            <v>Functioning</v>
          </cell>
          <cell r="U234" t="str">
            <v>Asset</v>
          </cell>
          <cell r="V234">
            <v>540</v>
          </cell>
          <cell r="W234" t="str">
            <v>KEW</v>
          </cell>
          <cell r="X234" t="str">
            <v>01/09/2010</v>
          </cell>
          <cell r="Y234" t="str">
            <v>KEW</v>
          </cell>
          <cell r="Z234" t="str">
            <v>16/08/2013</v>
          </cell>
          <cell r="AA234" t="str">
            <v>15/08/2015</v>
          </cell>
          <cell r="AB234" t="str">
            <v>No</v>
          </cell>
          <cell r="AC234" t="str">
            <v>31/08/2013</v>
          </cell>
          <cell r="AD234" t="str">
            <v>Good</v>
          </cell>
          <cell r="AE234" t="str">
            <v>V1 - Existing / No Claim</v>
          </cell>
          <cell r="AF234">
            <v>42780</v>
          </cell>
          <cell r="AG234">
            <v>9.17</v>
          </cell>
          <cell r="AH234" t="str">
            <v>RI</v>
          </cell>
          <cell r="AI234" t="str">
            <v>Not in contract</v>
          </cell>
          <cell r="AJ234" t="str">
            <v>Not under maintenance</v>
          </cell>
          <cell r="AK234" t="e">
            <v>#N/A</v>
          </cell>
        </row>
        <row r="235">
          <cell r="A235" t="str">
            <v>IKN401457</v>
          </cell>
          <cell r="B235">
            <v>1427</v>
          </cell>
          <cell r="C235" t="str">
            <v>Institut Kanser Negara</v>
          </cell>
          <cell r="D235" t="e">
            <v>#N/A</v>
          </cell>
          <cell r="E235" t="str">
            <v>17-887</v>
          </cell>
          <cell r="F235" t="str">
            <v>Thermometers, Electronic, Infrared, Ear</v>
          </cell>
          <cell r="G235" t="str">
            <v>WB</v>
          </cell>
          <cell r="H235" t="str">
            <v>SURGICAL ONCO MALE WARD</v>
          </cell>
          <cell r="I235" t="str">
            <v>05WB143</v>
          </cell>
          <cell r="J235" t="str">
            <v>NURSES STATION</v>
          </cell>
          <cell r="K235" t="str">
            <v>BMED</v>
          </cell>
          <cell r="L235" t="str">
            <v>Normal</v>
          </cell>
          <cell r="M235" t="str">
            <v>Mexico</v>
          </cell>
          <cell r="N235" t="str">
            <v>Thermoscan</v>
          </cell>
          <cell r="O235" t="str">
            <v>Thermoscan Pro 4000</v>
          </cell>
          <cell r="P235" t="str">
            <v>33412K01587</v>
          </cell>
          <cell r="Q235" t="str">
            <v>Not Available</v>
          </cell>
          <cell r="R235" t="str">
            <v>Welch Allyn Inc</v>
          </cell>
          <cell r="S235" t="str">
            <v>Welch Allyn Malaysia Sdn. Bhd</v>
          </cell>
          <cell r="T235" t="str">
            <v>Functioning</v>
          </cell>
          <cell r="U235" t="str">
            <v>Asset</v>
          </cell>
          <cell r="V235">
            <v>540</v>
          </cell>
          <cell r="W235" t="str">
            <v>KEW</v>
          </cell>
          <cell r="X235" t="str">
            <v>01/09/2010</v>
          </cell>
          <cell r="Y235" t="str">
            <v>KEW</v>
          </cell>
          <cell r="Z235" t="str">
            <v>16/08/2013</v>
          </cell>
          <cell r="AA235" t="str">
            <v>15/08/2015</v>
          </cell>
          <cell r="AB235" t="str">
            <v>No</v>
          </cell>
          <cell r="AC235" t="str">
            <v>31/08/2013</v>
          </cell>
          <cell r="AD235" t="str">
            <v>Good</v>
          </cell>
          <cell r="AE235" t="str">
            <v>V1 - Existing / No Claim</v>
          </cell>
          <cell r="AF235">
            <v>42780</v>
          </cell>
          <cell r="AG235">
            <v>9.17</v>
          </cell>
          <cell r="AH235" t="str">
            <v>RI</v>
          </cell>
          <cell r="AI235" t="str">
            <v>Not in contract</v>
          </cell>
          <cell r="AJ235" t="str">
            <v>Not under maintenance</v>
          </cell>
          <cell r="AK235" t="e">
            <v>#N/A</v>
          </cell>
        </row>
        <row r="236">
          <cell r="A236" t="str">
            <v>IKN401459</v>
          </cell>
          <cell r="B236">
            <v>1428</v>
          </cell>
          <cell r="C236" t="str">
            <v>Institut Kanser Negara</v>
          </cell>
          <cell r="D236" t="e">
            <v>#N/A</v>
          </cell>
          <cell r="E236" t="str">
            <v>17-887</v>
          </cell>
          <cell r="F236" t="str">
            <v>Thermometers, Electronic, Infrared, Ear</v>
          </cell>
          <cell r="G236" t="str">
            <v>IC</v>
          </cell>
          <cell r="H236" t="str">
            <v>INTENSIVE CARE UNIT</v>
          </cell>
          <cell r="I236" t="str">
            <v>05IC140</v>
          </cell>
          <cell r="J236" t="str">
            <v>NURSE STATION 1</v>
          </cell>
          <cell r="K236" t="str">
            <v>BMED</v>
          </cell>
          <cell r="L236" t="str">
            <v>Normal</v>
          </cell>
          <cell r="M236" t="str">
            <v>Mexico</v>
          </cell>
          <cell r="N236" t="str">
            <v>Thermoscan</v>
          </cell>
          <cell r="O236" t="str">
            <v>Thermoscan Pro 4000</v>
          </cell>
          <cell r="P236" t="str">
            <v>33312K06563</v>
          </cell>
          <cell r="Q236" t="str">
            <v>Not Available</v>
          </cell>
          <cell r="R236" t="str">
            <v>Welch Allyn Inc</v>
          </cell>
          <cell r="S236" t="str">
            <v>Welch Allyn Malaysia Sdn. Bhd</v>
          </cell>
          <cell r="T236" t="str">
            <v>Functioning</v>
          </cell>
          <cell r="U236" t="str">
            <v>Asset</v>
          </cell>
          <cell r="V236">
            <v>540</v>
          </cell>
          <cell r="W236" t="str">
            <v>KEW</v>
          </cell>
          <cell r="X236" t="str">
            <v>01/09/2010</v>
          </cell>
          <cell r="Y236" t="str">
            <v>KEW</v>
          </cell>
          <cell r="Z236" t="str">
            <v>16/08/2013</v>
          </cell>
          <cell r="AA236" t="str">
            <v>15/08/2015</v>
          </cell>
          <cell r="AB236" t="str">
            <v>No</v>
          </cell>
          <cell r="AC236" t="str">
            <v>31/08/2013</v>
          </cell>
          <cell r="AD236" t="str">
            <v>Good</v>
          </cell>
          <cell r="AE236" t="str">
            <v>V1 - Existing / No Claim</v>
          </cell>
          <cell r="AF236">
            <v>42780</v>
          </cell>
          <cell r="AG236">
            <v>9.17</v>
          </cell>
          <cell r="AH236" t="str">
            <v>RI</v>
          </cell>
          <cell r="AI236" t="str">
            <v>Not in contract</v>
          </cell>
          <cell r="AJ236" t="str">
            <v>Not under maintenance</v>
          </cell>
          <cell r="AK236" t="e">
            <v>#N/A</v>
          </cell>
        </row>
        <row r="237">
          <cell r="A237" t="str">
            <v>IKN401460</v>
          </cell>
          <cell r="B237">
            <v>1429</v>
          </cell>
          <cell r="C237" t="str">
            <v>Institut Kanser Negara</v>
          </cell>
          <cell r="D237" t="e">
            <v>#N/A</v>
          </cell>
          <cell r="E237" t="str">
            <v>17-887</v>
          </cell>
          <cell r="F237" t="str">
            <v>Thermometers, Electronic, Infrared, Ear</v>
          </cell>
          <cell r="G237" t="str">
            <v>IC</v>
          </cell>
          <cell r="H237" t="str">
            <v>INTENSIVE CARE UNIT</v>
          </cell>
          <cell r="I237" t="str">
            <v>05IC140</v>
          </cell>
          <cell r="J237" t="str">
            <v>NURSE STATION 1</v>
          </cell>
          <cell r="K237" t="str">
            <v>BMED</v>
          </cell>
          <cell r="L237" t="str">
            <v>Normal</v>
          </cell>
          <cell r="M237" t="str">
            <v>Mexico</v>
          </cell>
          <cell r="N237" t="str">
            <v>Thermoscan</v>
          </cell>
          <cell r="O237" t="str">
            <v>Thermoscan Pro 4000</v>
          </cell>
          <cell r="P237" t="str">
            <v>33412K01008</v>
          </cell>
          <cell r="Q237" t="str">
            <v>Not Available</v>
          </cell>
          <cell r="R237" t="str">
            <v>Welch Allyn Inc</v>
          </cell>
          <cell r="S237" t="str">
            <v>Welch Allyn Malaysia Sdn. Bhd</v>
          </cell>
          <cell r="T237" t="str">
            <v>Functioning</v>
          </cell>
          <cell r="U237" t="str">
            <v>Asset</v>
          </cell>
          <cell r="V237">
            <v>540</v>
          </cell>
          <cell r="W237" t="str">
            <v>KEW</v>
          </cell>
          <cell r="X237" t="str">
            <v>01/09/2010</v>
          </cell>
          <cell r="Y237" t="str">
            <v>KEW</v>
          </cell>
          <cell r="Z237" t="str">
            <v>16/08/2013</v>
          </cell>
          <cell r="AA237" t="str">
            <v>15/08/2015</v>
          </cell>
          <cell r="AB237" t="str">
            <v>No</v>
          </cell>
          <cell r="AC237" t="str">
            <v>31/08/2013</v>
          </cell>
          <cell r="AD237" t="str">
            <v>Good</v>
          </cell>
          <cell r="AE237" t="str">
            <v>V1 - Existing / No Claim</v>
          </cell>
          <cell r="AF237">
            <v>42780</v>
          </cell>
          <cell r="AG237">
            <v>9.17</v>
          </cell>
          <cell r="AH237" t="str">
            <v>RI</v>
          </cell>
          <cell r="AI237" t="str">
            <v>Not in contract</v>
          </cell>
          <cell r="AJ237" t="str">
            <v>Not under maintenance</v>
          </cell>
          <cell r="AK237" t="e">
            <v>#N/A</v>
          </cell>
        </row>
        <row r="238">
          <cell r="A238" t="str">
            <v>IKN401463</v>
          </cell>
          <cell r="B238">
            <v>1431</v>
          </cell>
          <cell r="C238" t="str">
            <v>Institut Kanser Negara</v>
          </cell>
          <cell r="D238" t="e">
            <v>#N/A</v>
          </cell>
          <cell r="E238" t="str">
            <v>17-887</v>
          </cell>
          <cell r="F238" t="str">
            <v>Thermometers, Electronic, Infrared, Ear</v>
          </cell>
          <cell r="G238" t="str">
            <v>WJ</v>
          </cell>
          <cell r="H238" t="str">
            <v>MULTIDISCIPLINE WARD 1</v>
          </cell>
          <cell r="I238" t="str">
            <v>09WJ209</v>
          </cell>
          <cell r="J238" t="str">
            <v>NURSE STATION</v>
          </cell>
          <cell r="K238" t="str">
            <v>BMED</v>
          </cell>
          <cell r="L238" t="str">
            <v>Normal</v>
          </cell>
          <cell r="M238" t="str">
            <v>Mexico</v>
          </cell>
          <cell r="N238" t="str">
            <v>Thermoscan</v>
          </cell>
          <cell r="O238" t="str">
            <v>Thermoscan Pro 4000</v>
          </cell>
          <cell r="P238" t="str">
            <v>33412K01023</v>
          </cell>
          <cell r="Q238" t="str">
            <v>Not Available</v>
          </cell>
          <cell r="R238" t="str">
            <v>Welch Allyn Inc</v>
          </cell>
          <cell r="S238" t="str">
            <v>Welch Allyn Malaysia Sdn. Bhd</v>
          </cell>
          <cell r="T238" t="str">
            <v>Functioning</v>
          </cell>
          <cell r="U238" t="str">
            <v>Asset</v>
          </cell>
          <cell r="V238">
            <v>540</v>
          </cell>
          <cell r="W238" t="str">
            <v>KEW</v>
          </cell>
          <cell r="X238" t="str">
            <v>01/09/2010</v>
          </cell>
          <cell r="Y238" t="str">
            <v>KEW</v>
          </cell>
          <cell r="Z238" t="str">
            <v>16/08/2013</v>
          </cell>
          <cell r="AA238" t="str">
            <v>15/08/2015</v>
          </cell>
          <cell r="AB238" t="str">
            <v>No</v>
          </cell>
          <cell r="AC238" t="str">
            <v>31/08/2013</v>
          </cell>
          <cell r="AD238" t="str">
            <v>Good</v>
          </cell>
          <cell r="AE238" t="str">
            <v>V1 - Existing / No Claim</v>
          </cell>
          <cell r="AF238">
            <v>42780</v>
          </cell>
          <cell r="AG238">
            <v>9.17</v>
          </cell>
          <cell r="AH238" t="str">
            <v>RI</v>
          </cell>
          <cell r="AI238" t="str">
            <v>Not in contract</v>
          </cell>
          <cell r="AJ238" t="str">
            <v>Not under maintenance</v>
          </cell>
          <cell r="AK238" t="e">
            <v>#N/A</v>
          </cell>
        </row>
        <row r="239">
          <cell r="A239" t="str">
            <v>IKN401464</v>
          </cell>
          <cell r="B239">
            <v>1432</v>
          </cell>
          <cell r="C239" t="str">
            <v>Institut Kanser Negara</v>
          </cell>
          <cell r="D239" t="e">
            <v>#N/A</v>
          </cell>
          <cell r="E239" t="str">
            <v>17-887</v>
          </cell>
          <cell r="F239" t="str">
            <v>Thermometers, Electronic, Infrared, Ear</v>
          </cell>
          <cell r="G239" t="str">
            <v>WJ</v>
          </cell>
          <cell r="H239" t="str">
            <v>MULTIDISCIPLINE WARD 1</v>
          </cell>
          <cell r="I239" t="str">
            <v>09WJ205</v>
          </cell>
          <cell r="J239" t="str">
            <v>NURSE STATION</v>
          </cell>
          <cell r="K239" t="str">
            <v>BMED</v>
          </cell>
          <cell r="L239" t="str">
            <v>Normal</v>
          </cell>
          <cell r="M239" t="str">
            <v>Mexico</v>
          </cell>
          <cell r="N239" t="str">
            <v>Thermoscan</v>
          </cell>
          <cell r="O239" t="str">
            <v>Thermoscan Pro 4000</v>
          </cell>
          <cell r="P239" t="str">
            <v>33412K00505</v>
          </cell>
          <cell r="Q239" t="str">
            <v>Not Available</v>
          </cell>
          <cell r="R239" t="str">
            <v>Welch Allyn Inc</v>
          </cell>
          <cell r="S239" t="str">
            <v>Welch Allyn Malaysia Sdn. Bhd</v>
          </cell>
          <cell r="T239" t="str">
            <v>Functioning</v>
          </cell>
          <cell r="U239" t="str">
            <v>Asset</v>
          </cell>
          <cell r="V239">
            <v>540</v>
          </cell>
          <cell r="W239" t="str">
            <v>KEW</v>
          </cell>
          <cell r="X239" t="str">
            <v>01/09/2010</v>
          </cell>
          <cell r="Y239" t="str">
            <v>KEW</v>
          </cell>
          <cell r="Z239" t="str">
            <v>16/08/2013</v>
          </cell>
          <cell r="AA239" t="str">
            <v>15/08/2015</v>
          </cell>
          <cell r="AB239" t="str">
            <v>No</v>
          </cell>
          <cell r="AC239" t="str">
            <v>31/08/2013</v>
          </cell>
          <cell r="AD239" t="str">
            <v>Good</v>
          </cell>
          <cell r="AE239" t="str">
            <v>V1 - Existing / No Claim</v>
          </cell>
          <cell r="AF239">
            <v>42781</v>
          </cell>
          <cell r="AG239">
            <v>9.17</v>
          </cell>
          <cell r="AH239" t="str">
            <v>RI</v>
          </cell>
          <cell r="AI239" t="str">
            <v>Not in contract</v>
          </cell>
          <cell r="AJ239" t="str">
            <v>Not under maintenance</v>
          </cell>
          <cell r="AK239" t="e">
            <v>#N/A</v>
          </cell>
        </row>
        <row r="240">
          <cell r="A240" t="str">
            <v>IKN401465</v>
          </cell>
          <cell r="B240">
            <v>1433</v>
          </cell>
          <cell r="C240" t="str">
            <v>Institut Kanser Negara</v>
          </cell>
          <cell r="D240" t="e">
            <v>#N/A</v>
          </cell>
          <cell r="E240" t="str">
            <v>17-887</v>
          </cell>
          <cell r="F240" t="str">
            <v>Thermometers, Electronic, Infrared, Ear</v>
          </cell>
          <cell r="G240" t="str">
            <v>WJ</v>
          </cell>
          <cell r="H240" t="str">
            <v>MULTIDISCIPLINE WARD 1</v>
          </cell>
          <cell r="I240" t="str">
            <v>09WJ205</v>
          </cell>
          <cell r="J240" t="str">
            <v>NURSE STATION</v>
          </cell>
          <cell r="K240" t="str">
            <v>BMED</v>
          </cell>
          <cell r="L240" t="str">
            <v>Normal</v>
          </cell>
          <cell r="M240" t="str">
            <v>Mexico</v>
          </cell>
          <cell r="N240" t="str">
            <v>Thermoscan</v>
          </cell>
          <cell r="O240" t="str">
            <v>Thermoscan Pro 4000</v>
          </cell>
          <cell r="P240" t="str">
            <v>33412K05108</v>
          </cell>
          <cell r="Q240" t="str">
            <v>Not Available</v>
          </cell>
          <cell r="R240" t="str">
            <v>Welch Allyn Inc</v>
          </cell>
          <cell r="S240" t="str">
            <v>Welch Allyn Malaysia Sdn. Bhd</v>
          </cell>
          <cell r="T240" t="str">
            <v>Functioning</v>
          </cell>
          <cell r="U240" t="str">
            <v>Asset</v>
          </cell>
          <cell r="V240">
            <v>540</v>
          </cell>
          <cell r="W240" t="str">
            <v>KEW</v>
          </cell>
          <cell r="X240" t="str">
            <v>01/09/2010</v>
          </cell>
          <cell r="Y240" t="str">
            <v>KEW</v>
          </cell>
          <cell r="Z240" t="str">
            <v>16/08/2013</v>
          </cell>
          <cell r="AA240" t="str">
            <v>15/08/2015</v>
          </cell>
          <cell r="AB240" t="str">
            <v>No</v>
          </cell>
          <cell r="AC240" t="str">
            <v>31/08/2013</v>
          </cell>
          <cell r="AD240" t="str">
            <v>Good</v>
          </cell>
          <cell r="AE240" t="str">
            <v>V1 - Existing / No Claim</v>
          </cell>
          <cell r="AF240">
            <v>42780</v>
          </cell>
          <cell r="AG240">
            <v>9.17</v>
          </cell>
          <cell r="AH240" t="str">
            <v>RI</v>
          </cell>
          <cell r="AI240" t="str">
            <v>Not in contract</v>
          </cell>
          <cell r="AJ240" t="str">
            <v>Not under maintenance</v>
          </cell>
          <cell r="AK240" t="e">
            <v>#N/A</v>
          </cell>
        </row>
        <row r="241">
          <cell r="A241" t="str">
            <v>IKN401467</v>
          </cell>
          <cell r="B241">
            <v>1434</v>
          </cell>
          <cell r="C241" t="str">
            <v>Institut Kanser Negara</v>
          </cell>
          <cell r="D241" t="str">
            <v>KKM/IKN/I/13/3989</v>
          </cell>
          <cell r="E241" t="str">
            <v>17-887</v>
          </cell>
          <cell r="F241" t="str">
            <v>Thermometers, Electronic, Infrared, Ear</v>
          </cell>
          <cell r="G241" t="str">
            <v>WG</v>
          </cell>
          <cell r="H241" t="str">
            <v>RT/ONCO WARD 1 (M)</v>
          </cell>
          <cell r="I241" t="str">
            <v>08WG143</v>
          </cell>
          <cell r="J241" t="str">
            <v>NURSE STATION</v>
          </cell>
          <cell r="K241" t="str">
            <v>BMED</v>
          </cell>
          <cell r="L241" t="str">
            <v>Normal</v>
          </cell>
          <cell r="M241" t="str">
            <v>Mexico</v>
          </cell>
          <cell r="N241" t="str">
            <v>Thermoscan</v>
          </cell>
          <cell r="O241" t="str">
            <v>Thermoscan Pro 4000</v>
          </cell>
          <cell r="P241" t="str">
            <v>33412K00663</v>
          </cell>
          <cell r="Q241" t="str">
            <v>Not Applicable</v>
          </cell>
          <cell r="R241" t="str">
            <v>Welch Allyn Inc</v>
          </cell>
          <cell r="S241" t="str">
            <v>Welch Allyn Malaysia Sdn. Bhd</v>
          </cell>
          <cell r="T241" t="str">
            <v>Functioning</v>
          </cell>
          <cell r="U241" t="str">
            <v>Asset</v>
          </cell>
          <cell r="V241">
            <v>540</v>
          </cell>
          <cell r="W241" t="str">
            <v>KEW</v>
          </cell>
          <cell r="X241" t="str">
            <v>01/09/2010</v>
          </cell>
          <cell r="Y241" t="str">
            <v>KEW</v>
          </cell>
          <cell r="Z241" t="str">
            <v>16/08/2013</v>
          </cell>
          <cell r="AA241" t="str">
            <v>15/08/2015</v>
          </cell>
          <cell r="AB241" t="str">
            <v>No</v>
          </cell>
          <cell r="AC241" t="str">
            <v>31/08/2013</v>
          </cell>
          <cell r="AD241" t="str">
            <v>Good</v>
          </cell>
          <cell r="AE241" t="str">
            <v>V1 - Existing / No Claim</v>
          </cell>
          <cell r="AF241">
            <v>42789</v>
          </cell>
          <cell r="AG241">
            <v>9.17</v>
          </cell>
          <cell r="AH241" t="str">
            <v>RI</v>
          </cell>
          <cell r="AI241" t="str">
            <v>Strands</v>
          </cell>
          <cell r="AJ241" t="str">
            <v>Not under maintenance</v>
          </cell>
        </row>
        <row r="242">
          <cell r="A242" t="str">
            <v>IKN401468</v>
          </cell>
          <cell r="B242">
            <v>1435</v>
          </cell>
          <cell r="C242" t="str">
            <v>Institut Kanser Negara</v>
          </cell>
          <cell r="D242" t="e">
            <v>#N/A</v>
          </cell>
          <cell r="E242" t="str">
            <v>17-887</v>
          </cell>
          <cell r="F242" t="str">
            <v>Thermometers, Electronic, Infrared, Ear</v>
          </cell>
          <cell r="G242" t="str">
            <v>WC</v>
          </cell>
          <cell r="H242" t="str">
            <v>SURGICAL ONCO FEMALE WARD</v>
          </cell>
          <cell r="I242" t="str">
            <v>06WC143</v>
          </cell>
          <cell r="J242" t="str">
            <v>NURSE STATION</v>
          </cell>
          <cell r="K242" t="str">
            <v>BMED</v>
          </cell>
          <cell r="L242" t="str">
            <v>Normal</v>
          </cell>
          <cell r="M242" t="str">
            <v>Mexico</v>
          </cell>
          <cell r="N242" t="str">
            <v>Thermoscan</v>
          </cell>
          <cell r="O242" t="str">
            <v>Thermoscan Pro 4000</v>
          </cell>
          <cell r="P242" t="str">
            <v>22414K07527</v>
          </cell>
          <cell r="Q242" t="str">
            <v>Not Available</v>
          </cell>
          <cell r="R242" t="str">
            <v>Welch Allyn Inc</v>
          </cell>
          <cell r="S242" t="str">
            <v>Welch Allyn Malaysia Sdn. Bhd</v>
          </cell>
          <cell r="T242" t="str">
            <v>Functioning</v>
          </cell>
          <cell r="U242" t="str">
            <v>Asset</v>
          </cell>
          <cell r="V242">
            <v>540</v>
          </cell>
          <cell r="W242" t="str">
            <v>KEW</v>
          </cell>
          <cell r="X242" t="str">
            <v>01/09/2010</v>
          </cell>
          <cell r="Y242" t="str">
            <v>KEW</v>
          </cell>
          <cell r="Z242" t="str">
            <v>16/08/2013</v>
          </cell>
          <cell r="AA242" t="str">
            <v>15/08/2015</v>
          </cell>
          <cell r="AB242" t="str">
            <v>No</v>
          </cell>
          <cell r="AC242" t="str">
            <v>31/08/2013</v>
          </cell>
          <cell r="AD242" t="str">
            <v>Good</v>
          </cell>
          <cell r="AE242" t="str">
            <v>V1 - Existing / No Claim</v>
          </cell>
          <cell r="AF242">
            <v>42780</v>
          </cell>
          <cell r="AG242">
            <v>9.17</v>
          </cell>
          <cell r="AH242" t="str">
            <v>RI</v>
          </cell>
          <cell r="AI242" t="str">
            <v>Not in contract</v>
          </cell>
          <cell r="AJ242" t="str">
            <v>Not under maintenance</v>
          </cell>
          <cell r="AK242" t="e">
            <v>#N/A</v>
          </cell>
        </row>
        <row r="243">
          <cell r="A243" t="str">
            <v>IKN401469</v>
          </cell>
          <cell r="B243">
            <v>1436</v>
          </cell>
          <cell r="C243" t="str">
            <v>Institut Kanser Negara</v>
          </cell>
          <cell r="D243" t="e">
            <v>#N/A</v>
          </cell>
          <cell r="E243" t="str">
            <v>17-887</v>
          </cell>
          <cell r="F243" t="str">
            <v>Thermometers, Electronic, Infrared, Ear</v>
          </cell>
          <cell r="G243" t="str">
            <v>WC</v>
          </cell>
          <cell r="H243" t="str">
            <v>SURGICAL ONCO FEMALE WARD</v>
          </cell>
          <cell r="I243" t="str">
            <v>06WC143</v>
          </cell>
          <cell r="J243" t="str">
            <v>NURSE STATION</v>
          </cell>
          <cell r="K243" t="str">
            <v>BMED</v>
          </cell>
          <cell r="L243" t="str">
            <v>Normal</v>
          </cell>
          <cell r="M243" t="str">
            <v>Mexico</v>
          </cell>
          <cell r="N243" t="str">
            <v>Thermoscan</v>
          </cell>
          <cell r="O243" t="str">
            <v>Thermoscan Pro 4000</v>
          </cell>
          <cell r="P243" t="str">
            <v>33412K00299</v>
          </cell>
          <cell r="Q243" t="str">
            <v>Not Available</v>
          </cell>
          <cell r="R243" t="str">
            <v>Welch Allyn Inc</v>
          </cell>
          <cell r="S243" t="str">
            <v>Welch Allyn Malaysia Sdn. Bhd</v>
          </cell>
          <cell r="T243" t="str">
            <v>Functioning</v>
          </cell>
          <cell r="U243" t="str">
            <v>Asset</v>
          </cell>
          <cell r="V243">
            <v>540</v>
          </cell>
          <cell r="W243" t="str">
            <v>KEW</v>
          </cell>
          <cell r="X243" t="str">
            <v>01/09/2010</v>
          </cell>
          <cell r="Y243" t="str">
            <v>KEW</v>
          </cell>
          <cell r="Z243" t="str">
            <v>16/08/2013</v>
          </cell>
          <cell r="AA243" t="str">
            <v>15/08/2015</v>
          </cell>
          <cell r="AB243" t="str">
            <v>No</v>
          </cell>
          <cell r="AC243" t="str">
            <v>31/08/2013</v>
          </cell>
          <cell r="AD243" t="str">
            <v>Good</v>
          </cell>
          <cell r="AE243" t="str">
            <v>V1 - Existing / No Claim</v>
          </cell>
          <cell r="AF243">
            <v>42780</v>
          </cell>
          <cell r="AG243">
            <v>9.17</v>
          </cell>
          <cell r="AH243" t="str">
            <v>RI</v>
          </cell>
          <cell r="AI243" t="str">
            <v>Not in contract</v>
          </cell>
          <cell r="AJ243" t="str">
            <v>Not under maintenance</v>
          </cell>
          <cell r="AK243" t="e">
            <v>#N/A</v>
          </cell>
        </row>
        <row r="244">
          <cell r="A244" t="str">
            <v>IKN401473</v>
          </cell>
          <cell r="B244">
            <v>1439</v>
          </cell>
          <cell r="C244" t="str">
            <v>Institut Kanser Negara</v>
          </cell>
          <cell r="D244" t="e">
            <v>#N/A</v>
          </cell>
          <cell r="E244" t="str">
            <v>17-887</v>
          </cell>
          <cell r="F244" t="str">
            <v>Thermometers, Electronic, Infrared, Ear</v>
          </cell>
          <cell r="G244" t="str">
            <v>OT</v>
          </cell>
          <cell r="H244" t="str">
            <v>OPERATING THEATRE</v>
          </cell>
          <cell r="I244" t="str">
            <v>05OT158</v>
          </cell>
          <cell r="J244" t="str">
            <v>NURSE STATION</v>
          </cell>
          <cell r="K244" t="str">
            <v>BMED</v>
          </cell>
          <cell r="L244" t="str">
            <v>Normal</v>
          </cell>
          <cell r="M244" t="str">
            <v>Mexico</v>
          </cell>
          <cell r="N244" t="str">
            <v>Thermoscan</v>
          </cell>
          <cell r="O244" t="str">
            <v>Thermoscan Pro 4000</v>
          </cell>
          <cell r="P244" t="str">
            <v>33412K08730</v>
          </cell>
          <cell r="Q244" t="str">
            <v>Not Available</v>
          </cell>
          <cell r="R244" t="str">
            <v>Welch Allyn Inc</v>
          </cell>
          <cell r="S244" t="str">
            <v>Welch Allyn Malaysia Sdn. Bhd</v>
          </cell>
          <cell r="T244" t="str">
            <v>Functioning</v>
          </cell>
          <cell r="U244" t="str">
            <v>Asset</v>
          </cell>
          <cell r="V244">
            <v>540</v>
          </cell>
          <cell r="W244" t="str">
            <v>KEW</v>
          </cell>
          <cell r="X244" t="str">
            <v>01/09/2010</v>
          </cell>
          <cell r="Y244" t="str">
            <v>KEW</v>
          </cell>
          <cell r="Z244" t="str">
            <v>16/08/2013</v>
          </cell>
          <cell r="AA244" t="str">
            <v>15/08/2015</v>
          </cell>
          <cell r="AB244" t="str">
            <v>No</v>
          </cell>
          <cell r="AC244" t="str">
            <v>31/08/2013</v>
          </cell>
          <cell r="AD244" t="str">
            <v>Good</v>
          </cell>
          <cell r="AE244" t="str">
            <v>V1 - Existing / No Claim</v>
          </cell>
          <cell r="AF244">
            <v>42781</v>
          </cell>
          <cell r="AG244">
            <v>9.17</v>
          </cell>
          <cell r="AH244" t="str">
            <v>RI</v>
          </cell>
          <cell r="AI244" t="str">
            <v>Not in contract</v>
          </cell>
          <cell r="AJ244" t="str">
            <v>Not under maintenance</v>
          </cell>
          <cell r="AK244" t="e">
            <v>#N/A</v>
          </cell>
        </row>
        <row r="245">
          <cell r="A245" t="str">
            <v>IKN401474</v>
          </cell>
          <cell r="B245">
            <v>1440</v>
          </cell>
          <cell r="C245" t="str">
            <v>Institut Kanser Negara</v>
          </cell>
          <cell r="D245" t="str">
            <v>KKM/IKN/I/13/2196</v>
          </cell>
          <cell r="E245" t="str">
            <v>17-887</v>
          </cell>
          <cell r="F245" t="str">
            <v>Thermometers, Electronic, Infrared, Ear</v>
          </cell>
          <cell r="G245" t="str">
            <v>OT</v>
          </cell>
          <cell r="H245" t="str">
            <v>OPERATING THEATRE</v>
          </cell>
          <cell r="I245" t="str">
            <v>05OT158</v>
          </cell>
          <cell r="J245" t="str">
            <v>NURSE STATION</v>
          </cell>
          <cell r="K245" t="str">
            <v>BMED</v>
          </cell>
          <cell r="L245" t="str">
            <v>Normal</v>
          </cell>
          <cell r="M245" t="str">
            <v>Mexico</v>
          </cell>
          <cell r="N245" t="str">
            <v>Thermoscan</v>
          </cell>
          <cell r="O245" t="str">
            <v>Thermoscan Pro 4000</v>
          </cell>
          <cell r="P245" t="str">
            <v>33412K08738</v>
          </cell>
          <cell r="Q245" t="str">
            <v>Not Applicable</v>
          </cell>
          <cell r="R245" t="str">
            <v>Welch Allyn Inc</v>
          </cell>
          <cell r="S245" t="str">
            <v>Welch Allyn Malaysia Sdn. Bhd</v>
          </cell>
          <cell r="T245" t="str">
            <v>Functioning</v>
          </cell>
          <cell r="U245" t="str">
            <v>Asset</v>
          </cell>
          <cell r="V245">
            <v>540</v>
          </cell>
          <cell r="W245" t="str">
            <v>KEW</v>
          </cell>
          <cell r="X245" t="str">
            <v>01/09/2010</v>
          </cell>
          <cell r="Y245" t="str">
            <v>KEW</v>
          </cell>
          <cell r="Z245" t="str">
            <v>16/08/2013</v>
          </cell>
          <cell r="AA245" t="str">
            <v>15/08/2015</v>
          </cell>
          <cell r="AB245" t="str">
            <v>No</v>
          </cell>
          <cell r="AC245" t="str">
            <v>31/08/2013</v>
          </cell>
          <cell r="AD245" t="str">
            <v>Good</v>
          </cell>
          <cell r="AE245" t="str">
            <v>V1 - Existing / No Claim</v>
          </cell>
          <cell r="AF245">
            <v>42803</v>
          </cell>
          <cell r="AG245">
            <v>9.17</v>
          </cell>
          <cell r="AH245" t="str">
            <v>RI</v>
          </cell>
          <cell r="AI245" t="str">
            <v>Strands</v>
          </cell>
          <cell r="AJ245" t="str">
            <v>Not under maintenance</v>
          </cell>
        </row>
        <row r="246">
          <cell r="A246" t="str">
            <v>IKN401475</v>
          </cell>
          <cell r="B246">
            <v>1441</v>
          </cell>
          <cell r="C246" t="str">
            <v>Institut Kanser Negara</v>
          </cell>
          <cell r="D246" t="e">
            <v>#N/A</v>
          </cell>
          <cell r="E246" t="str">
            <v>17-887</v>
          </cell>
          <cell r="F246" t="str">
            <v>Thermometers, Electronic, Infrared, Ear</v>
          </cell>
          <cell r="G246" t="str">
            <v>RT</v>
          </cell>
          <cell r="H246" t="str">
            <v>RADIATION TREATMENT UNIT</v>
          </cell>
          <cell r="I246" t="str">
            <v>01RT243</v>
          </cell>
          <cell r="J246" t="str">
            <v>NURSE STATION</v>
          </cell>
          <cell r="K246" t="str">
            <v>BMED</v>
          </cell>
          <cell r="L246" t="str">
            <v>Normal</v>
          </cell>
          <cell r="M246" t="str">
            <v>Mexico</v>
          </cell>
          <cell r="N246" t="str">
            <v>Thermoscan</v>
          </cell>
          <cell r="O246" t="str">
            <v>Thermoscan Pro 4000</v>
          </cell>
          <cell r="P246" t="str">
            <v>33412K00447</v>
          </cell>
          <cell r="Q246" t="str">
            <v>Not Applicable</v>
          </cell>
          <cell r="R246" t="str">
            <v>Welch Allyn Inc</v>
          </cell>
          <cell r="S246" t="str">
            <v>Welch Allyn Malaysia Sdn Bhd</v>
          </cell>
          <cell r="T246" t="str">
            <v>Functioning</v>
          </cell>
          <cell r="U246" t="str">
            <v>Asset</v>
          </cell>
          <cell r="V246">
            <v>540</v>
          </cell>
          <cell r="W246" t="str">
            <v>KEW</v>
          </cell>
          <cell r="X246" t="str">
            <v>01/09/2010</v>
          </cell>
          <cell r="Y246" t="str">
            <v>KEW</v>
          </cell>
          <cell r="Z246" t="str">
            <v>16/08/2013</v>
          </cell>
          <cell r="AA246" t="str">
            <v>15/08/2015</v>
          </cell>
          <cell r="AB246" t="str">
            <v>No</v>
          </cell>
          <cell r="AC246" t="str">
            <v>31/08/2013</v>
          </cell>
          <cell r="AD246" t="str">
            <v>Good</v>
          </cell>
          <cell r="AE246" t="str">
            <v>V1 - Existing / No Claim</v>
          </cell>
          <cell r="AF246">
            <v>42816</v>
          </cell>
          <cell r="AG246">
            <v>9.17</v>
          </cell>
          <cell r="AH246" t="str">
            <v>RI</v>
          </cell>
          <cell r="AI246" t="str">
            <v>Not in contract</v>
          </cell>
          <cell r="AJ246" t="str">
            <v>Not under maintenance</v>
          </cell>
          <cell r="AK246" t="e">
            <v>#N/A</v>
          </cell>
        </row>
        <row r="247">
          <cell r="A247" t="str">
            <v>IKN401478</v>
          </cell>
          <cell r="B247">
            <v>1443</v>
          </cell>
          <cell r="C247" t="str">
            <v>Institut Kanser Negara</v>
          </cell>
          <cell r="D247" t="e">
            <v>#N/A</v>
          </cell>
          <cell r="E247" t="str">
            <v>17-887</v>
          </cell>
          <cell r="F247" t="str">
            <v>Thermometers, Electronic, Infrared, Ear</v>
          </cell>
          <cell r="G247" t="str">
            <v>RT</v>
          </cell>
          <cell r="H247" t="str">
            <v>RADIATION TREATMENT UNIT</v>
          </cell>
          <cell r="I247" t="str">
            <v>01RT264</v>
          </cell>
          <cell r="J247" t="str">
            <v>SISTER</v>
          </cell>
          <cell r="K247" t="str">
            <v>BMED</v>
          </cell>
          <cell r="L247" t="str">
            <v>Normal</v>
          </cell>
          <cell r="M247" t="str">
            <v>Mexico</v>
          </cell>
          <cell r="N247" t="str">
            <v>Thermoscan</v>
          </cell>
          <cell r="O247" t="str">
            <v>Thermoscan Pro 4000</v>
          </cell>
          <cell r="P247" t="str">
            <v>04413K07501</v>
          </cell>
          <cell r="Q247" t="str">
            <v>Not Applicable</v>
          </cell>
          <cell r="R247" t="str">
            <v>Welch Allyn Inc</v>
          </cell>
          <cell r="S247" t="str">
            <v>Welch Allyn Malaysia Sdn Bhd</v>
          </cell>
          <cell r="T247" t="str">
            <v>Functioning</v>
          </cell>
          <cell r="U247" t="str">
            <v>Asset</v>
          </cell>
          <cell r="V247">
            <v>540</v>
          </cell>
          <cell r="W247" t="str">
            <v>KEW</v>
          </cell>
          <cell r="X247" t="str">
            <v>01/09/2010</v>
          </cell>
          <cell r="Y247" t="str">
            <v>KEW</v>
          </cell>
          <cell r="Z247" t="str">
            <v>16/08/2013</v>
          </cell>
          <cell r="AA247" t="str">
            <v>15/08/2015</v>
          </cell>
          <cell r="AB247" t="str">
            <v>No</v>
          </cell>
          <cell r="AC247" t="str">
            <v>31/08/2013</v>
          </cell>
          <cell r="AD247" t="str">
            <v>Good</v>
          </cell>
          <cell r="AE247" t="str">
            <v>V1 - Existing / No Claim</v>
          </cell>
          <cell r="AF247">
            <v>42816</v>
          </cell>
          <cell r="AG247">
            <v>9.17</v>
          </cell>
          <cell r="AH247" t="str">
            <v>RI</v>
          </cell>
          <cell r="AI247" t="str">
            <v>Not in contract</v>
          </cell>
          <cell r="AJ247" t="str">
            <v>Not under maintenance</v>
          </cell>
        </row>
        <row r="248">
          <cell r="A248" t="str">
            <v>IKN401531</v>
          </cell>
          <cell r="B248">
            <v>1471</v>
          </cell>
          <cell r="C248" t="str">
            <v>Institut Kanser Negara</v>
          </cell>
          <cell r="D248" t="str">
            <v>KKM/IKN/I/13/3647</v>
          </cell>
          <cell r="E248" t="str">
            <v>17-887</v>
          </cell>
          <cell r="F248" t="str">
            <v>Thermometers, Electronic, Infrared, Ear</v>
          </cell>
          <cell r="G248" t="str">
            <v>DO</v>
          </cell>
          <cell r="H248" t="str">
            <v>DAY ONCOLOGY UNIT</v>
          </cell>
          <cell r="I248" t="str">
            <v>04DO131</v>
          </cell>
          <cell r="J248" t="str">
            <v>NURSE STATION</v>
          </cell>
          <cell r="K248" t="str">
            <v>BMED</v>
          </cell>
          <cell r="L248" t="str">
            <v>Normal</v>
          </cell>
          <cell r="M248" t="str">
            <v>Mexico</v>
          </cell>
          <cell r="N248" t="str">
            <v>Thermoscan</v>
          </cell>
          <cell r="O248" t="str">
            <v>Thermoscan Pro 4000</v>
          </cell>
          <cell r="P248" t="str">
            <v>33412K00638</v>
          </cell>
          <cell r="Q248" t="str">
            <v>Not Applicable</v>
          </cell>
          <cell r="R248" t="str">
            <v>Welch Allyn Inc</v>
          </cell>
          <cell r="S248" t="str">
            <v>Welch Allyn Malaysia Sdn. Bhd</v>
          </cell>
          <cell r="T248" t="str">
            <v>Functioning</v>
          </cell>
          <cell r="U248" t="str">
            <v>Asset</v>
          </cell>
          <cell r="V248">
            <v>540</v>
          </cell>
          <cell r="W248" t="str">
            <v>KEW</v>
          </cell>
          <cell r="X248" t="str">
            <v>01/09/2010</v>
          </cell>
          <cell r="Y248" t="str">
            <v>Estimate</v>
          </cell>
          <cell r="Z248" t="str">
            <v>16/08/2013</v>
          </cell>
          <cell r="AA248" t="str">
            <v>15/08/2015</v>
          </cell>
          <cell r="AB248" t="str">
            <v>No</v>
          </cell>
          <cell r="AC248" t="str">
            <v>31/08/2013</v>
          </cell>
          <cell r="AD248" t="str">
            <v>Good</v>
          </cell>
          <cell r="AE248" t="str">
            <v>V1 - Existing / No Claim</v>
          </cell>
          <cell r="AF248">
            <v>42839</v>
          </cell>
          <cell r="AG248">
            <v>9.17</v>
          </cell>
          <cell r="AH248" t="str">
            <v>RI</v>
          </cell>
          <cell r="AI248" t="str">
            <v>Strands</v>
          </cell>
          <cell r="AJ248" t="str">
            <v>Not under maintenance</v>
          </cell>
        </row>
        <row r="249">
          <cell r="A249" t="str">
            <v>IKN401548</v>
          </cell>
          <cell r="B249">
            <v>1487</v>
          </cell>
          <cell r="C249" t="str">
            <v>Institut Kanser Negara</v>
          </cell>
          <cell r="D249" t="str">
            <v>KKM/IKN/H/13/5216</v>
          </cell>
          <cell r="E249" t="str">
            <v>13-325</v>
          </cell>
          <cell r="F249" t="str">
            <v>Regulators, Suction</v>
          </cell>
          <cell r="G249" t="str">
            <v>IC</v>
          </cell>
          <cell r="H249" t="str">
            <v>INTENSIVE CARE UNIT</v>
          </cell>
          <cell r="I249" t="str">
            <v>05IC111</v>
          </cell>
          <cell r="J249" t="str">
            <v>ISOL 1(-VE)</v>
          </cell>
          <cell r="K249" t="str">
            <v>BMED</v>
          </cell>
          <cell r="L249" t="str">
            <v>Normal</v>
          </cell>
          <cell r="M249" t="str">
            <v>United States</v>
          </cell>
          <cell r="N249" t="str">
            <v>OHIO</v>
          </cell>
          <cell r="O249" t="str">
            <v>R244047311229905</v>
          </cell>
          <cell r="P249" t="str">
            <v>GPHS65141</v>
          </cell>
          <cell r="Q249" t="str">
            <v>Not Applicable</v>
          </cell>
          <cell r="R249" t="str">
            <v>OHIO</v>
          </cell>
          <cell r="S249" t="str">
            <v>Respimedic</v>
          </cell>
          <cell r="T249" t="str">
            <v>Functioning</v>
          </cell>
          <cell r="U249" t="str">
            <v>Asset</v>
          </cell>
          <cell r="V249">
            <v>920</v>
          </cell>
          <cell r="W249" t="str">
            <v>KEW</v>
          </cell>
          <cell r="X249" t="str">
            <v>01/09/2010</v>
          </cell>
          <cell r="Y249" t="str">
            <v>KEW</v>
          </cell>
          <cell r="Z249" t="str">
            <v>16/08/2013</v>
          </cell>
          <cell r="AA249" t="str">
            <v>15/08/2015</v>
          </cell>
          <cell r="AB249" t="str">
            <v>No</v>
          </cell>
          <cell r="AC249" t="str">
            <v>31/08/2013</v>
          </cell>
          <cell r="AD249" t="str">
            <v>Good</v>
          </cell>
          <cell r="AE249" t="str">
            <v>V4 - Decommissioned Installed Facility</v>
          </cell>
          <cell r="AF249">
            <v>42920</v>
          </cell>
          <cell r="AG249">
            <v>9.17</v>
          </cell>
          <cell r="AH249" t="str">
            <v>RI</v>
          </cell>
          <cell r="AI249" t="str">
            <v>Strands</v>
          </cell>
          <cell r="AJ249" t="str">
            <v>Not under maintenance</v>
          </cell>
        </row>
        <row r="250">
          <cell r="A250" t="str">
            <v>IKN401549</v>
          </cell>
          <cell r="B250">
            <v>1488</v>
          </cell>
          <cell r="C250" t="str">
            <v>Institut Kanser Negara</v>
          </cell>
          <cell r="D250" t="str">
            <v>KKM/IKN/H/13/5214</v>
          </cell>
          <cell r="E250" t="str">
            <v>13-325</v>
          </cell>
          <cell r="F250" t="str">
            <v>Regulators, Suction</v>
          </cell>
          <cell r="G250" t="str">
            <v>IC</v>
          </cell>
          <cell r="H250" t="str">
            <v>INTENSIVE CARE UNIT</v>
          </cell>
          <cell r="I250" t="str">
            <v>05IC116</v>
          </cell>
          <cell r="J250" t="str">
            <v>ISOL 2 (+VE)</v>
          </cell>
          <cell r="K250" t="str">
            <v>BMED</v>
          </cell>
          <cell r="L250" t="str">
            <v>Normal</v>
          </cell>
          <cell r="M250" t="str">
            <v>United States</v>
          </cell>
          <cell r="N250" t="str">
            <v>OHIO</v>
          </cell>
          <cell r="O250" t="str">
            <v>R244047311229905</v>
          </cell>
          <cell r="P250" t="str">
            <v>GPHS65149</v>
          </cell>
          <cell r="Q250" t="str">
            <v>Not Applicable</v>
          </cell>
          <cell r="R250" t="str">
            <v>OHIO</v>
          </cell>
          <cell r="S250" t="str">
            <v>Respimedic</v>
          </cell>
          <cell r="T250" t="str">
            <v>Functioning</v>
          </cell>
          <cell r="U250" t="str">
            <v>Asset</v>
          </cell>
          <cell r="V250">
            <v>920</v>
          </cell>
          <cell r="W250" t="str">
            <v>KEW</v>
          </cell>
          <cell r="X250" t="str">
            <v>01/09/2010</v>
          </cell>
          <cell r="Y250" t="str">
            <v>KEW</v>
          </cell>
          <cell r="Z250" t="str">
            <v>16/08/2013</v>
          </cell>
          <cell r="AA250" t="str">
            <v>15/08/2015</v>
          </cell>
          <cell r="AB250" t="str">
            <v>No</v>
          </cell>
          <cell r="AC250" t="str">
            <v>31/08/2013</v>
          </cell>
          <cell r="AD250" t="str">
            <v>Good</v>
          </cell>
          <cell r="AE250" t="str">
            <v>V4 - Decommissioned Installed Facility</v>
          </cell>
          <cell r="AF250">
            <v>42920</v>
          </cell>
          <cell r="AG250">
            <v>9.17</v>
          </cell>
          <cell r="AH250" t="str">
            <v>RI</v>
          </cell>
          <cell r="AI250" t="str">
            <v>Strands</v>
          </cell>
          <cell r="AJ250" t="str">
            <v>Not under maintenance</v>
          </cell>
        </row>
        <row r="251">
          <cell r="A251" t="str">
            <v>IKN401550</v>
          </cell>
          <cell r="B251">
            <v>1489</v>
          </cell>
          <cell r="C251" t="str">
            <v>Institut Kanser Negara</v>
          </cell>
          <cell r="D251" t="str">
            <v>KKM/IKN/H/13/5210</v>
          </cell>
          <cell r="E251" t="str">
            <v>13-325</v>
          </cell>
          <cell r="F251" t="str">
            <v>Regulators, Suction</v>
          </cell>
          <cell r="G251" t="str">
            <v>IC</v>
          </cell>
          <cell r="H251" t="str">
            <v>INTENSIVE CARE UNIT</v>
          </cell>
          <cell r="I251" t="str">
            <v>05IC129</v>
          </cell>
          <cell r="J251" t="str">
            <v>ISOL 4 (+VE)</v>
          </cell>
          <cell r="K251" t="str">
            <v>BMED</v>
          </cell>
          <cell r="L251" t="str">
            <v>Normal</v>
          </cell>
          <cell r="M251" t="str">
            <v>United States</v>
          </cell>
          <cell r="N251" t="str">
            <v>OHIO</v>
          </cell>
          <cell r="O251" t="str">
            <v>R244047311229905</v>
          </cell>
          <cell r="P251" t="str">
            <v>GPHS65130</v>
          </cell>
          <cell r="Q251" t="str">
            <v>Not Applicable</v>
          </cell>
          <cell r="R251" t="str">
            <v>OHIO</v>
          </cell>
          <cell r="S251" t="str">
            <v>Respimedic</v>
          </cell>
          <cell r="T251" t="str">
            <v>Functioning</v>
          </cell>
          <cell r="U251" t="str">
            <v>Asset</v>
          </cell>
          <cell r="V251">
            <v>920</v>
          </cell>
          <cell r="W251" t="str">
            <v>KEW</v>
          </cell>
          <cell r="X251" t="str">
            <v>01/09/2010</v>
          </cell>
          <cell r="Y251" t="str">
            <v>KEW</v>
          </cell>
          <cell r="Z251" t="str">
            <v>16/08/2013</v>
          </cell>
          <cell r="AA251" t="str">
            <v>15/08/2015</v>
          </cell>
          <cell r="AB251" t="str">
            <v>No</v>
          </cell>
          <cell r="AC251" t="str">
            <v>31/08/2013</v>
          </cell>
          <cell r="AD251" t="str">
            <v>Good</v>
          </cell>
          <cell r="AE251" t="str">
            <v>V4 - Decommissioned Installed Facility</v>
          </cell>
          <cell r="AF251">
            <v>42920</v>
          </cell>
          <cell r="AG251">
            <v>9.17</v>
          </cell>
          <cell r="AH251" t="str">
            <v>RI</v>
          </cell>
          <cell r="AI251" t="str">
            <v>Strands</v>
          </cell>
          <cell r="AJ251" t="str">
            <v>Not under maintenance</v>
          </cell>
        </row>
        <row r="252">
          <cell r="A252" t="str">
            <v>IKN401551</v>
          </cell>
          <cell r="B252">
            <v>1490</v>
          </cell>
          <cell r="C252" t="str">
            <v>Institut Kanser Negara</v>
          </cell>
          <cell r="D252" t="str">
            <v>KKM/IKN/H/13/5212</v>
          </cell>
          <cell r="E252" t="str">
            <v>13-325</v>
          </cell>
          <cell r="F252" t="str">
            <v>Regulators, Suction</v>
          </cell>
          <cell r="G252" t="str">
            <v>IC</v>
          </cell>
          <cell r="H252" t="str">
            <v>INTENSIVE CARE UNIT</v>
          </cell>
          <cell r="I252" t="str">
            <v>05IC115</v>
          </cell>
          <cell r="J252" t="str">
            <v>ICU RM 4</v>
          </cell>
          <cell r="K252" t="str">
            <v>BMED</v>
          </cell>
          <cell r="L252" t="str">
            <v>Normal</v>
          </cell>
          <cell r="M252" t="str">
            <v>United States</v>
          </cell>
          <cell r="N252" t="str">
            <v>OHIO</v>
          </cell>
          <cell r="O252" t="str">
            <v>R244047311229905</v>
          </cell>
          <cell r="P252" t="str">
            <v>GPHS65138</v>
          </cell>
          <cell r="Q252" t="str">
            <v>Not Applicable</v>
          </cell>
          <cell r="R252" t="str">
            <v>OHIO</v>
          </cell>
          <cell r="S252" t="str">
            <v>Respimedic</v>
          </cell>
          <cell r="T252" t="str">
            <v>Functioning</v>
          </cell>
          <cell r="U252" t="str">
            <v>Asset</v>
          </cell>
          <cell r="V252">
            <v>920</v>
          </cell>
          <cell r="W252" t="str">
            <v>KEW</v>
          </cell>
          <cell r="X252" t="str">
            <v>01/09/2010</v>
          </cell>
          <cell r="Y252" t="str">
            <v>KEW</v>
          </cell>
          <cell r="Z252" t="str">
            <v>16/08/2013</v>
          </cell>
          <cell r="AA252" t="str">
            <v>15/08/2015</v>
          </cell>
          <cell r="AB252" t="str">
            <v>No</v>
          </cell>
          <cell r="AC252" t="str">
            <v>31/08/2013</v>
          </cell>
          <cell r="AD252" t="str">
            <v>Good</v>
          </cell>
          <cell r="AE252" t="str">
            <v>V4 - Decommissioned Installed Facility</v>
          </cell>
          <cell r="AF252">
            <v>42920</v>
          </cell>
          <cell r="AG252">
            <v>9.17</v>
          </cell>
          <cell r="AH252" t="str">
            <v>RI</v>
          </cell>
          <cell r="AI252" t="str">
            <v>Strands</v>
          </cell>
          <cell r="AJ252" t="str">
            <v>Not under maintenance</v>
          </cell>
        </row>
        <row r="253">
          <cell r="A253" t="str">
            <v>IKN401552</v>
          </cell>
          <cell r="B253">
            <v>1491</v>
          </cell>
          <cell r="C253" t="str">
            <v>Institut Kanser Negara</v>
          </cell>
          <cell r="D253" t="str">
            <v>KKM/IKN/H/13/5213</v>
          </cell>
          <cell r="E253" t="str">
            <v>13-325</v>
          </cell>
          <cell r="F253" t="str">
            <v>Regulators, Suction</v>
          </cell>
          <cell r="G253" t="str">
            <v>IC</v>
          </cell>
          <cell r="H253" t="str">
            <v>INTENSIVE CARE UNIT</v>
          </cell>
          <cell r="I253" t="str">
            <v>05IC114</v>
          </cell>
          <cell r="J253" t="str">
            <v>ICU RM 3</v>
          </cell>
          <cell r="K253" t="str">
            <v>BMED</v>
          </cell>
          <cell r="L253" t="str">
            <v>Normal</v>
          </cell>
          <cell r="M253" t="str">
            <v>United States</v>
          </cell>
          <cell r="N253" t="str">
            <v>OHIO</v>
          </cell>
          <cell r="O253" t="str">
            <v>R244047311229905</v>
          </cell>
          <cell r="P253" t="str">
            <v>GPHS65139</v>
          </cell>
          <cell r="Q253" t="str">
            <v>Not Applicable</v>
          </cell>
          <cell r="R253" t="str">
            <v>OHIO</v>
          </cell>
          <cell r="S253" t="str">
            <v>Respimedic</v>
          </cell>
          <cell r="T253" t="str">
            <v>Functioning</v>
          </cell>
          <cell r="U253" t="str">
            <v>Asset</v>
          </cell>
          <cell r="V253">
            <v>920</v>
          </cell>
          <cell r="W253" t="str">
            <v>KEW</v>
          </cell>
          <cell r="X253" t="str">
            <v>01/09/2010</v>
          </cell>
          <cell r="Y253" t="str">
            <v>KEW</v>
          </cell>
          <cell r="Z253" t="str">
            <v>16/08/2013</v>
          </cell>
          <cell r="AA253" t="str">
            <v>15/08/2015</v>
          </cell>
          <cell r="AB253" t="str">
            <v>No</v>
          </cell>
          <cell r="AC253" t="str">
            <v>31/08/2013</v>
          </cell>
          <cell r="AD253" t="str">
            <v>Good</v>
          </cell>
          <cell r="AE253" t="str">
            <v>V4 - Decommissioned Installed Facility</v>
          </cell>
          <cell r="AF253">
            <v>42920</v>
          </cell>
          <cell r="AG253">
            <v>9.17</v>
          </cell>
          <cell r="AH253" t="str">
            <v>RI</v>
          </cell>
          <cell r="AI253" t="str">
            <v>Strands</v>
          </cell>
          <cell r="AJ253" t="str">
            <v>Not under maintenance</v>
          </cell>
        </row>
        <row r="254">
          <cell r="A254" t="str">
            <v>IKN401553</v>
          </cell>
          <cell r="B254">
            <v>1492</v>
          </cell>
          <cell r="C254" t="str">
            <v>Institut Kanser Negara</v>
          </cell>
          <cell r="D254" t="str">
            <v>KKM/IKN/H/13/5215</v>
          </cell>
          <cell r="E254" t="str">
            <v>13-325</v>
          </cell>
          <cell r="F254" t="str">
            <v>Regulators, Suction</v>
          </cell>
          <cell r="G254" t="str">
            <v>IC</v>
          </cell>
          <cell r="H254" t="str">
            <v>INTENSIVE CARE UNIT</v>
          </cell>
          <cell r="I254" t="str">
            <v>05IC112</v>
          </cell>
          <cell r="J254" t="str">
            <v>ICU RM 1</v>
          </cell>
          <cell r="K254" t="str">
            <v>BMED</v>
          </cell>
          <cell r="L254" t="str">
            <v>Normal</v>
          </cell>
          <cell r="M254" t="str">
            <v>United States</v>
          </cell>
          <cell r="N254" t="str">
            <v>OHIO</v>
          </cell>
          <cell r="O254" t="str">
            <v>R244047311229905</v>
          </cell>
          <cell r="P254" t="str">
            <v>GPHS65121</v>
          </cell>
          <cell r="Q254" t="str">
            <v>Not Applicable</v>
          </cell>
          <cell r="R254" t="str">
            <v>OHIO</v>
          </cell>
          <cell r="S254" t="str">
            <v>Respimedic</v>
          </cell>
          <cell r="T254" t="str">
            <v>Functioning</v>
          </cell>
          <cell r="U254" t="str">
            <v>Asset</v>
          </cell>
          <cell r="V254">
            <v>920</v>
          </cell>
          <cell r="W254" t="str">
            <v>KEW</v>
          </cell>
          <cell r="X254" t="str">
            <v>01/09/2010</v>
          </cell>
          <cell r="Y254" t="str">
            <v>KEW</v>
          </cell>
          <cell r="Z254" t="str">
            <v>16/08/2013</v>
          </cell>
          <cell r="AA254" t="str">
            <v>15/08/2015</v>
          </cell>
          <cell r="AB254" t="str">
            <v>No</v>
          </cell>
          <cell r="AC254" t="str">
            <v>31/08/2013</v>
          </cell>
          <cell r="AD254" t="str">
            <v>Good</v>
          </cell>
          <cell r="AE254" t="str">
            <v>V4 - Decommissioned Installed Facility</v>
          </cell>
          <cell r="AF254">
            <v>42920</v>
          </cell>
          <cell r="AG254">
            <v>9.17</v>
          </cell>
          <cell r="AH254" t="str">
            <v>RI</v>
          </cell>
          <cell r="AI254" t="str">
            <v>Strands</v>
          </cell>
          <cell r="AJ254" t="str">
            <v>Not under maintenance</v>
          </cell>
        </row>
        <row r="255">
          <cell r="A255" t="str">
            <v>IKN401554</v>
          </cell>
          <cell r="B255">
            <v>1493</v>
          </cell>
          <cell r="C255" t="str">
            <v>Institut Kanser Negara</v>
          </cell>
          <cell r="D255" t="str">
            <v>KKM/IKN/H/13/2883</v>
          </cell>
          <cell r="E255" t="str">
            <v>13-325</v>
          </cell>
          <cell r="F255" t="str">
            <v>Regulators, Suction</v>
          </cell>
          <cell r="G255" t="str">
            <v>WB</v>
          </cell>
          <cell r="H255" t="str">
            <v>SURGICAL ONCO MALE WARD</v>
          </cell>
          <cell r="I255" t="str">
            <v>05WB113</v>
          </cell>
          <cell r="J255" t="str">
            <v>EQUIP. ROOM</v>
          </cell>
          <cell r="K255" t="str">
            <v>BMED</v>
          </cell>
          <cell r="L255" t="str">
            <v>Normal</v>
          </cell>
          <cell r="M255" t="str">
            <v>United States</v>
          </cell>
          <cell r="N255" t="str">
            <v>OHIO</v>
          </cell>
          <cell r="O255" t="str">
            <v>R244047311229905</v>
          </cell>
          <cell r="P255" t="str">
            <v>GPHS65047</v>
          </cell>
          <cell r="Q255" t="str">
            <v>Not Applicable</v>
          </cell>
          <cell r="R255" t="str">
            <v>OHIO</v>
          </cell>
          <cell r="S255" t="str">
            <v>Respimedic</v>
          </cell>
          <cell r="T255" t="str">
            <v>Functioning</v>
          </cell>
          <cell r="U255" t="str">
            <v>Asset</v>
          </cell>
          <cell r="V255">
            <v>920</v>
          </cell>
          <cell r="W255" t="str">
            <v>KEW</v>
          </cell>
          <cell r="X255" t="str">
            <v>01/09/2010</v>
          </cell>
          <cell r="Y255" t="str">
            <v>KEW</v>
          </cell>
          <cell r="Z255" t="str">
            <v>16/08/2013</v>
          </cell>
          <cell r="AA255" t="str">
            <v>15/08/2015</v>
          </cell>
          <cell r="AB255" t="str">
            <v>No</v>
          </cell>
          <cell r="AC255" t="str">
            <v>31/08/2013</v>
          </cell>
          <cell r="AD255" t="str">
            <v>Good</v>
          </cell>
          <cell r="AE255" t="str">
            <v>V4 - Decommissioned Installed Facility</v>
          </cell>
          <cell r="AF255">
            <v>42920</v>
          </cell>
          <cell r="AG255">
            <v>9.17</v>
          </cell>
          <cell r="AH255" t="str">
            <v>RI</v>
          </cell>
          <cell r="AI255" t="str">
            <v>Strands</v>
          </cell>
          <cell r="AJ255" t="str">
            <v>Not under maintenance</v>
          </cell>
        </row>
        <row r="256">
          <cell r="A256" t="str">
            <v>IKN401555</v>
          </cell>
          <cell r="B256">
            <v>1494</v>
          </cell>
          <cell r="C256" t="str">
            <v>Institut Kanser Negara</v>
          </cell>
          <cell r="D256" t="str">
            <v>KKM/IKN/H/13/2898</v>
          </cell>
          <cell r="E256" t="str">
            <v>13-325</v>
          </cell>
          <cell r="F256" t="str">
            <v>Regulators, Suction</v>
          </cell>
          <cell r="G256" t="str">
            <v>WB</v>
          </cell>
          <cell r="H256" t="str">
            <v>SURGICAL ONCO MALE WARD</v>
          </cell>
          <cell r="I256" t="str">
            <v>05WB113</v>
          </cell>
          <cell r="J256" t="str">
            <v>EQUIP. ROOM</v>
          </cell>
          <cell r="K256" t="str">
            <v>BMED</v>
          </cell>
          <cell r="L256" t="str">
            <v>Normal</v>
          </cell>
          <cell r="M256" t="str">
            <v>United States</v>
          </cell>
          <cell r="N256" t="str">
            <v>OHIO</v>
          </cell>
          <cell r="O256" t="str">
            <v>R244047311229905</v>
          </cell>
          <cell r="P256" t="str">
            <v>GPHS65072</v>
          </cell>
          <cell r="Q256" t="str">
            <v>Not Applicable</v>
          </cell>
          <cell r="R256" t="str">
            <v>OHIO</v>
          </cell>
          <cell r="S256" t="str">
            <v>Respimedic</v>
          </cell>
          <cell r="T256" t="str">
            <v>Functioning</v>
          </cell>
          <cell r="U256" t="str">
            <v>Asset</v>
          </cell>
          <cell r="V256">
            <v>920</v>
          </cell>
          <cell r="W256" t="str">
            <v>KEW</v>
          </cell>
          <cell r="X256" t="str">
            <v>01/09/2010</v>
          </cell>
          <cell r="Y256" t="str">
            <v>KEW</v>
          </cell>
          <cell r="Z256" t="str">
            <v>16/08/2013</v>
          </cell>
          <cell r="AA256" t="str">
            <v>15/08/2015</v>
          </cell>
          <cell r="AB256" t="str">
            <v>No</v>
          </cell>
          <cell r="AC256" t="str">
            <v>31/08/2013</v>
          </cell>
          <cell r="AD256" t="str">
            <v>Good</v>
          </cell>
          <cell r="AE256" t="str">
            <v>V4 - Decommissioned Installed Facility</v>
          </cell>
          <cell r="AF256">
            <v>42922</v>
          </cell>
          <cell r="AG256">
            <v>9.17</v>
          </cell>
          <cell r="AH256" t="str">
            <v>RI</v>
          </cell>
          <cell r="AI256" t="str">
            <v>Strands</v>
          </cell>
          <cell r="AJ256" t="str">
            <v>Not under maintenance</v>
          </cell>
        </row>
        <row r="257">
          <cell r="A257" t="str">
            <v>IKN401556</v>
          </cell>
          <cell r="B257">
            <v>1495</v>
          </cell>
          <cell r="C257" t="str">
            <v>Institut Kanser Negara</v>
          </cell>
          <cell r="D257" t="str">
            <v>KKM/IKN/H/13/2882</v>
          </cell>
          <cell r="E257" t="str">
            <v>13-325</v>
          </cell>
          <cell r="F257" t="str">
            <v>Regulators, Suction</v>
          </cell>
          <cell r="G257" t="str">
            <v>WB</v>
          </cell>
          <cell r="H257" t="str">
            <v>SURGICAL ONCO MALE WARD</v>
          </cell>
          <cell r="I257" t="str">
            <v>05WB113</v>
          </cell>
          <cell r="J257" t="str">
            <v>EQUIP. ROOM</v>
          </cell>
          <cell r="K257" t="str">
            <v>BMED</v>
          </cell>
          <cell r="L257" t="str">
            <v>Normal</v>
          </cell>
          <cell r="M257" t="str">
            <v>United States</v>
          </cell>
          <cell r="N257" t="str">
            <v>OHIO</v>
          </cell>
          <cell r="O257" t="str">
            <v>R244047311229905</v>
          </cell>
          <cell r="P257" t="str">
            <v>GPHS65035</v>
          </cell>
          <cell r="Q257" t="str">
            <v>Not Applicable</v>
          </cell>
          <cell r="R257" t="str">
            <v>OHIO</v>
          </cell>
          <cell r="S257" t="str">
            <v>Respimedic</v>
          </cell>
          <cell r="T257" t="str">
            <v>Functioning</v>
          </cell>
          <cell r="U257" t="str">
            <v>Asset</v>
          </cell>
          <cell r="V257">
            <v>920</v>
          </cell>
          <cell r="W257" t="str">
            <v>KEW</v>
          </cell>
          <cell r="X257" t="str">
            <v>01/09/2010</v>
          </cell>
          <cell r="Y257" t="str">
            <v>KEW</v>
          </cell>
          <cell r="Z257" t="str">
            <v>16/08/2013</v>
          </cell>
          <cell r="AA257" t="str">
            <v>15/08/2015</v>
          </cell>
          <cell r="AB257" t="str">
            <v>No</v>
          </cell>
          <cell r="AC257" t="str">
            <v>31/08/2013</v>
          </cell>
          <cell r="AD257" t="str">
            <v>Good</v>
          </cell>
          <cell r="AE257" t="str">
            <v>V4 - Decommissioned Installed Facility</v>
          </cell>
          <cell r="AF257">
            <v>42920</v>
          </cell>
          <cell r="AG257">
            <v>9.17</v>
          </cell>
          <cell r="AH257" t="str">
            <v>RI</v>
          </cell>
          <cell r="AI257" t="str">
            <v>Strands</v>
          </cell>
          <cell r="AJ257" t="str">
            <v>Not under maintenance</v>
          </cell>
        </row>
        <row r="258">
          <cell r="A258" t="str">
            <v>IKN401557</v>
          </cell>
          <cell r="B258">
            <v>1496</v>
          </cell>
          <cell r="C258" t="str">
            <v>Institut Kanser Negara</v>
          </cell>
          <cell r="D258" t="str">
            <v>KKM/IKN/H/13/2880</v>
          </cell>
          <cell r="E258" t="str">
            <v>13-325</v>
          </cell>
          <cell r="F258" t="str">
            <v>Regulators, Suction</v>
          </cell>
          <cell r="G258" t="str">
            <v>WB</v>
          </cell>
          <cell r="H258" t="str">
            <v>SURGICAL ONCO MALE WARD</v>
          </cell>
          <cell r="I258" t="str">
            <v>05WB113</v>
          </cell>
          <cell r="J258" t="str">
            <v>EQUIP. ROOM</v>
          </cell>
          <cell r="K258" t="str">
            <v>BMED</v>
          </cell>
          <cell r="L258" t="str">
            <v>Normal</v>
          </cell>
          <cell r="M258" t="str">
            <v>United States</v>
          </cell>
          <cell r="N258" t="str">
            <v>OHIO</v>
          </cell>
          <cell r="O258" t="str">
            <v>R244047311229905</v>
          </cell>
          <cell r="P258" t="str">
            <v>GPHS65061</v>
          </cell>
          <cell r="Q258" t="str">
            <v>Not Applicable</v>
          </cell>
          <cell r="R258" t="str">
            <v>OHIO</v>
          </cell>
          <cell r="S258" t="str">
            <v>Respimedic</v>
          </cell>
          <cell r="T258" t="str">
            <v>Functioning</v>
          </cell>
          <cell r="U258" t="str">
            <v>Asset</v>
          </cell>
          <cell r="V258">
            <v>920</v>
          </cell>
          <cell r="W258" t="str">
            <v>KEW</v>
          </cell>
          <cell r="X258" t="str">
            <v>01/09/2010</v>
          </cell>
          <cell r="Y258" t="str">
            <v>KEW</v>
          </cell>
          <cell r="Z258" t="str">
            <v>16/08/2013</v>
          </cell>
          <cell r="AA258" t="str">
            <v>15/08/2015</v>
          </cell>
          <cell r="AB258" t="str">
            <v>No</v>
          </cell>
          <cell r="AC258" t="str">
            <v>31/08/2013</v>
          </cell>
          <cell r="AD258" t="str">
            <v>Good</v>
          </cell>
          <cell r="AE258" t="str">
            <v>V4 - Decommissioned Installed Facility</v>
          </cell>
          <cell r="AF258">
            <v>42922</v>
          </cell>
          <cell r="AG258">
            <v>9.17</v>
          </cell>
          <cell r="AH258" t="str">
            <v>RI</v>
          </cell>
          <cell r="AI258" t="str">
            <v>Strands</v>
          </cell>
          <cell r="AJ258" t="str">
            <v>Not under maintenance</v>
          </cell>
        </row>
        <row r="259">
          <cell r="A259" t="str">
            <v>IKN401558</v>
          </cell>
          <cell r="B259">
            <v>1497</v>
          </cell>
          <cell r="C259" t="str">
            <v>Institut Kanser Negara</v>
          </cell>
          <cell r="D259" t="str">
            <v>KKM/IKN/H/13/2885</v>
          </cell>
          <cell r="E259" t="str">
            <v>13-325</v>
          </cell>
          <cell r="F259" t="str">
            <v>Regulators, Suction</v>
          </cell>
          <cell r="G259" t="str">
            <v>WB</v>
          </cell>
          <cell r="H259" t="str">
            <v>SURGICAL ONCO MALE WARD</v>
          </cell>
          <cell r="I259" t="str">
            <v>05WB113</v>
          </cell>
          <cell r="J259" t="str">
            <v>EQUIP. ROOM</v>
          </cell>
          <cell r="K259" t="str">
            <v>BMED</v>
          </cell>
          <cell r="L259" t="str">
            <v>Normal</v>
          </cell>
          <cell r="M259" t="str">
            <v>United States</v>
          </cell>
          <cell r="N259" t="str">
            <v>OHIO</v>
          </cell>
          <cell r="O259" t="str">
            <v>R244047311229905</v>
          </cell>
          <cell r="P259" t="str">
            <v>GPHS65039</v>
          </cell>
          <cell r="Q259" t="str">
            <v>Not Applicable</v>
          </cell>
          <cell r="R259" t="str">
            <v>OHIO</v>
          </cell>
          <cell r="S259" t="str">
            <v>Respimedic</v>
          </cell>
          <cell r="T259" t="str">
            <v>Functioning</v>
          </cell>
          <cell r="U259" t="str">
            <v>Asset</v>
          </cell>
          <cell r="V259">
            <v>920</v>
          </cell>
          <cell r="W259" t="str">
            <v>KEW</v>
          </cell>
          <cell r="X259" t="str">
            <v>01/09/2010</v>
          </cell>
          <cell r="Y259" t="str">
            <v>KEW</v>
          </cell>
          <cell r="Z259" t="str">
            <v>16/08/2013</v>
          </cell>
          <cell r="AA259" t="str">
            <v>15/08/2015</v>
          </cell>
          <cell r="AB259" t="str">
            <v>No</v>
          </cell>
          <cell r="AC259" t="str">
            <v>31/08/2013</v>
          </cell>
          <cell r="AD259" t="str">
            <v>Good</v>
          </cell>
          <cell r="AE259" t="str">
            <v>V4 - Decommissioned Installed Facility</v>
          </cell>
          <cell r="AF259">
            <v>42920</v>
          </cell>
          <cell r="AG259">
            <v>9.17</v>
          </cell>
          <cell r="AH259" t="str">
            <v>RI</v>
          </cell>
          <cell r="AI259" t="str">
            <v>Strands</v>
          </cell>
          <cell r="AJ259" t="str">
            <v>Not under maintenance</v>
          </cell>
        </row>
        <row r="260">
          <cell r="A260" t="str">
            <v>IKN401559</v>
          </cell>
          <cell r="B260">
            <v>1498</v>
          </cell>
          <cell r="C260" t="str">
            <v>Institut Kanser Negara</v>
          </cell>
          <cell r="D260" t="str">
            <v>KKM/IKN/H/13/2881</v>
          </cell>
          <cell r="E260" t="str">
            <v>13-325</v>
          </cell>
          <cell r="F260" t="str">
            <v>Regulators, Suction</v>
          </cell>
          <cell r="G260" t="str">
            <v>WB</v>
          </cell>
          <cell r="H260" t="str">
            <v>SURGICAL ONCO MALE WARD</v>
          </cell>
          <cell r="I260" t="str">
            <v>05WB113</v>
          </cell>
          <cell r="J260" t="str">
            <v>EQUIP. ROOM</v>
          </cell>
          <cell r="K260" t="str">
            <v>BMED</v>
          </cell>
          <cell r="L260" t="str">
            <v>Normal</v>
          </cell>
          <cell r="M260" t="str">
            <v>United States</v>
          </cell>
          <cell r="N260" t="str">
            <v>OHIO</v>
          </cell>
          <cell r="O260" t="str">
            <v>R244047311229905</v>
          </cell>
          <cell r="P260" t="str">
            <v>GPHS65045</v>
          </cell>
          <cell r="Q260" t="str">
            <v>Not Applicable</v>
          </cell>
          <cell r="R260" t="str">
            <v>OHIO</v>
          </cell>
          <cell r="S260" t="str">
            <v>Respimedic</v>
          </cell>
          <cell r="T260" t="str">
            <v>Functioning</v>
          </cell>
          <cell r="U260" t="str">
            <v>Asset</v>
          </cell>
          <cell r="V260">
            <v>920</v>
          </cell>
          <cell r="W260" t="str">
            <v>KEW</v>
          </cell>
          <cell r="X260" t="str">
            <v>01/09/2010</v>
          </cell>
          <cell r="Y260" t="str">
            <v>KEW</v>
          </cell>
          <cell r="Z260" t="str">
            <v>16/08/2013</v>
          </cell>
          <cell r="AA260" t="str">
            <v>15/08/2015</v>
          </cell>
          <cell r="AB260" t="str">
            <v>No</v>
          </cell>
          <cell r="AC260" t="str">
            <v>31/08/2013</v>
          </cell>
          <cell r="AD260" t="str">
            <v>Good</v>
          </cell>
          <cell r="AE260" t="str">
            <v>V4 - Decommissioned Installed Facility</v>
          </cell>
          <cell r="AF260">
            <v>42922</v>
          </cell>
          <cell r="AG260">
            <v>9.17</v>
          </cell>
          <cell r="AH260" t="str">
            <v>RI</v>
          </cell>
          <cell r="AI260" t="str">
            <v>Strands</v>
          </cell>
          <cell r="AJ260" t="str">
            <v>Not under maintenance</v>
          </cell>
        </row>
        <row r="261">
          <cell r="A261" t="str">
            <v>IKN401560</v>
          </cell>
          <cell r="B261">
            <v>1499</v>
          </cell>
          <cell r="C261" t="str">
            <v>Institut Kanser Negara</v>
          </cell>
          <cell r="D261" t="str">
            <v>KKM/IKN/H/13/2884</v>
          </cell>
          <cell r="E261" t="str">
            <v>13-325</v>
          </cell>
          <cell r="F261" t="str">
            <v>Regulators, Suction</v>
          </cell>
          <cell r="G261" t="str">
            <v>WB</v>
          </cell>
          <cell r="H261" t="str">
            <v>SURGICAL ONCO MALE WARD</v>
          </cell>
          <cell r="I261" t="str">
            <v>05WB113</v>
          </cell>
          <cell r="J261" t="str">
            <v>EQUIP. ROOM</v>
          </cell>
          <cell r="K261" t="str">
            <v>BMED</v>
          </cell>
          <cell r="L261" t="str">
            <v>Normal</v>
          </cell>
          <cell r="M261" t="str">
            <v>United States</v>
          </cell>
          <cell r="N261" t="str">
            <v>OHIO</v>
          </cell>
          <cell r="O261" t="str">
            <v>R244047311229905</v>
          </cell>
          <cell r="P261" t="str">
            <v>GPHS65074</v>
          </cell>
          <cell r="Q261" t="str">
            <v>Not Applicable</v>
          </cell>
          <cell r="R261" t="str">
            <v>OHIO</v>
          </cell>
          <cell r="S261" t="str">
            <v>Respimedic</v>
          </cell>
          <cell r="T261" t="str">
            <v>Functioning</v>
          </cell>
          <cell r="U261" t="str">
            <v>Asset</v>
          </cell>
          <cell r="V261">
            <v>920</v>
          </cell>
          <cell r="W261" t="str">
            <v>KEW</v>
          </cell>
          <cell r="X261" t="str">
            <v>01/09/2010</v>
          </cell>
          <cell r="Y261" t="str">
            <v>KEW</v>
          </cell>
          <cell r="Z261" t="str">
            <v>16/08/2013</v>
          </cell>
          <cell r="AA261" t="str">
            <v>15/08/2015</v>
          </cell>
          <cell r="AB261" t="str">
            <v>No</v>
          </cell>
          <cell r="AC261" t="str">
            <v>31/08/2013</v>
          </cell>
          <cell r="AD261" t="str">
            <v>Good</v>
          </cell>
          <cell r="AE261" t="str">
            <v>V4 - Decommissioned Installed Facility</v>
          </cell>
          <cell r="AF261">
            <v>42922</v>
          </cell>
          <cell r="AG261">
            <v>9.17</v>
          </cell>
          <cell r="AH261" t="str">
            <v>RI</v>
          </cell>
          <cell r="AI261" t="str">
            <v>Strands</v>
          </cell>
          <cell r="AJ261" t="str">
            <v>Not under maintenance</v>
          </cell>
        </row>
        <row r="262">
          <cell r="A262" t="str">
            <v>IKN401561</v>
          </cell>
          <cell r="B262">
            <v>1500</v>
          </cell>
          <cell r="C262" t="str">
            <v>Institut Kanser Negara</v>
          </cell>
          <cell r="D262" t="str">
            <v>KKM/IKN/H/13/3445</v>
          </cell>
          <cell r="E262" t="str">
            <v>13-325</v>
          </cell>
          <cell r="F262" t="str">
            <v>Regulators, Suction</v>
          </cell>
          <cell r="G262" t="str">
            <v>WB</v>
          </cell>
          <cell r="H262" t="str">
            <v>SURGICAL ONCO MALE WARD</v>
          </cell>
          <cell r="I262" t="str">
            <v>05WB113</v>
          </cell>
          <cell r="J262" t="str">
            <v>EQUIP. ROOM</v>
          </cell>
          <cell r="K262" t="str">
            <v>BMED</v>
          </cell>
          <cell r="L262" t="str">
            <v>Normal</v>
          </cell>
          <cell r="M262" t="str">
            <v>United States</v>
          </cell>
          <cell r="N262" t="str">
            <v>OHIO</v>
          </cell>
          <cell r="O262" t="str">
            <v>R244047311229905</v>
          </cell>
          <cell r="P262" t="str">
            <v>GPHS65128</v>
          </cell>
          <cell r="Q262" t="str">
            <v>Not Applicable</v>
          </cell>
          <cell r="R262" t="str">
            <v>OHIO</v>
          </cell>
          <cell r="S262" t="str">
            <v>Respimedic</v>
          </cell>
          <cell r="T262" t="str">
            <v>Functioning</v>
          </cell>
          <cell r="U262" t="str">
            <v>Asset</v>
          </cell>
          <cell r="V262">
            <v>920</v>
          </cell>
          <cell r="W262" t="str">
            <v>KEW</v>
          </cell>
          <cell r="X262" t="str">
            <v>01/09/2010</v>
          </cell>
          <cell r="Y262" t="str">
            <v>KEW</v>
          </cell>
          <cell r="Z262" t="str">
            <v>16/08/2013</v>
          </cell>
          <cell r="AA262" t="str">
            <v>15/08/2015</v>
          </cell>
          <cell r="AB262" t="str">
            <v>No</v>
          </cell>
          <cell r="AC262" t="str">
            <v>31/08/2013</v>
          </cell>
          <cell r="AD262" t="str">
            <v>Good</v>
          </cell>
          <cell r="AE262" t="str">
            <v>V4 - Decommissioned Installed Facility</v>
          </cell>
          <cell r="AF262">
            <v>42920</v>
          </cell>
          <cell r="AG262">
            <v>9.17</v>
          </cell>
          <cell r="AH262" t="str">
            <v>RI</v>
          </cell>
          <cell r="AI262" t="str">
            <v>Strands</v>
          </cell>
          <cell r="AJ262" t="str">
            <v>Not under maintenance</v>
          </cell>
        </row>
        <row r="263">
          <cell r="A263" t="str">
            <v>IKN401562</v>
          </cell>
          <cell r="B263">
            <v>1501</v>
          </cell>
          <cell r="C263" t="str">
            <v>Institut Kanser Negara</v>
          </cell>
          <cell r="D263" t="str">
            <v>KKM/IKN/H/13/2887</v>
          </cell>
          <cell r="E263" t="str">
            <v>13-325</v>
          </cell>
          <cell r="F263" t="str">
            <v>Regulators, Suction</v>
          </cell>
          <cell r="G263" t="str">
            <v>WB</v>
          </cell>
          <cell r="H263" t="str">
            <v>SURGICAL ONCO MALE WARD</v>
          </cell>
          <cell r="I263" t="str">
            <v>05WB113</v>
          </cell>
          <cell r="J263" t="str">
            <v>EQUIP. ROOM</v>
          </cell>
          <cell r="K263" t="str">
            <v>BMED</v>
          </cell>
          <cell r="L263" t="str">
            <v>Normal</v>
          </cell>
          <cell r="M263" t="str">
            <v>United States</v>
          </cell>
          <cell r="N263" t="str">
            <v>OHIO</v>
          </cell>
          <cell r="O263" t="str">
            <v>R244047311229905</v>
          </cell>
          <cell r="P263" t="str">
            <v>GPHS65063</v>
          </cell>
          <cell r="Q263" t="str">
            <v>Not Applicable</v>
          </cell>
          <cell r="R263" t="str">
            <v>OHIO</v>
          </cell>
          <cell r="S263" t="str">
            <v>Respimedic</v>
          </cell>
          <cell r="T263" t="str">
            <v>Functioning</v>
          </cell>
          <cell r="U263" t="str">
            <v>Asset</v>
          </cell>
          <cell r="V263">
            <v>920</v>
          </cell>
          <cell r="W263" t="str">
            <v>KEW</v>
          </cell>
          <cell r="X263" t="str">
            <v>01/09/2010</v>
          </cell>
          <cell r="Y263" t="str">
            <v>KEW</v>
          </cell>
          <cell r="Z263" t="str">
            <v>16/08/2013</v>
          </cell>
          <cell r="AA263" t="str">
            <v>15/08/2015</v>
          </cell>
          <cell r="AB263" t="str">
            <v>No</v>
          </cell>
          <cell r="AC263" t="str">
            <v>31/08/2013</v>
          </cell>
          <cell r="AD263" t="str">
            <v>Good</v>
          </cell>
          <cell r="AE263" t="str">
            <v>V4 - Decommissioned Installed Facility</v>
          </cell>
          <cell r="AF263">
            <v>42920</v>
          </cell>
          <cell r="AG263">
            <v>9.17</v>
          </cell>
          <cell r="AH263" t="str">
            <v>RI</v>
          </cell>
          <cell r="AI263" t="str">
            <v>Strands</v>
          </cell>
          <cell r="AJ263" t="str">
            <v>Not under maintenance</v>
          </cell>
        </row>
        <row r="264">
          <cell r="A264" t="str">
            <v>IKN401563</v>
          </cell>
          <cell r="B264">
            <v>1502</v>
          </cell>
          <cell r="C264" t="str">
            <v>Institut Kanser Negara</v>
          </cell>
          <cell r="D264" t="str">
            <v>KKM/IKN/H/13/2888</v>
          </cell>
          <cell r="E264" t="str">
            <v>13-325</v>
          </cell>
          <cell r="F264" t="str">
            <v>Regulators, Suction</v>
          </cell>
          <cell r="G264" t="str">
            <v>WB</v>
          </cell>
          <cell r="H264" t="str">
            <v>SURGICAL ONCO MALE WARD</v>
          </cell>
          <cell r="I264" t="str">
            <v>05WB113</v>
          </cell>
          <cell r="J264" t="str">
            <v>EQUIP. ROOM</v>
          </cell>
          <cell r="K264" t="str">
            <v>BMED</v>
          </cell>
          <cell r="L264" t="str">
            <v>Normal</v>
          </cell>
          <cell r="M264" t="str">
            <v>United States</v>
          </cell>
          <cell r="N264" t="str">
            <v>OHIO</v>
          </cell>
          <cell r="O264" t="str">
            <v>R244047311229905</v>
          </cell>
          <cell r="P264" t="str">
            <v>GPHS65066</v>
          </cell>
          <cell r="Q264" t="str">
            <v>Not Applicable</v>
          </cell>
          <cell r="R264" t="str">
            <v>OHIO</v>
          </cell>
          <cell r="S264" t="str">
            <v>Respimedic</v>
          </cell>
          <cell r="T264" t="str">
            <v>Functioning</v>
          </cell>
          <cell r="U264" t="str">
            <v>Asset</v>
          </cell>
          <cell r="V264">
            <v>920</v>
          </cell>
          <cell r="W264" t="str">
            <v>KEW</v>
          </cell>
          <cell r="X264" t="str">
            <v>01/09/2010</v>
          </cell>
          <cell r="Y264" t="str">
            <v>KEW</v>
          </cell>
          <cell r="Z264" t="str">
            <v>16/08/2013</v>
          </cell>
          <cell r="AA264" t="str">
            <v>15/08/2015</v>
          </cell>
          <cell r="AB264" t="str">
            <v>No</v>
          </cell>
          <cell r="AC264" t="str">
            <v>31/08/2013</v>
          </cell>
          <cell r="AD264" t="str">
            <v>Good</v>
          </cell>
          <cell r="AE264" t="str">
            <v>V4 - Decommissioned Installed Facility</v>
          </cell>
          <cell r="AF264">
            <v>42920</v>
          </cell>
          <cell r="AG264">
            <v>9.17</v>
          </cell>
          <cell r="AH264" t="str">
            <v>RI</v>
          </cell>
          <cell r="AI264" t="str">
            <v>Strands</v>
          </cell>
          <cell r="AJ264" t="str">
            <v>Not under maintenance</v>
          </cell>
        </row>
        <row r="265">
          <cell r="A265" t="str">
            <v>IKN401564</v>
          </cell>
          <cell r="B265">
            <v>1503</v>
          </cell>
          <cell r="C265" t="str">
            <v>Institut Kanser Negara</v>
          </cell>
          <cell r="D265" t="str">
            <v>KKM/IKN/H/13/5209</v>
          </cell>
          <cell r="E265" t="str">
            <v>13-325</v>
          </cell>
          <cell r="F265" t="str">
            <v>Regulators, Suction</v>
          </cell>
          <cell r="G265" t="str">
            <v>IC</v>
          </cell>
          <cell r="H265" t="str">
            <v>INTENSIVE CARE UNIT</v>
          </cell>
          <cell r="I265" t="str">
            <v>05IC113</v>
          </cell>
          <cell r="J265" t="str">
            <v>ICU RM 2</v>
          </cell>
          <cell r="K265" t="str">
            <v>BMED</v>
          </cell>
          <cell r="L265" t="str">
            <v>Normal</v>
          </cell>
          <cell r="M265" t="str">
            <v>United States</v>
          </cell>
          <cell r="N265" t="str">
            <v>OHIO</v>
          </cell>
          <cell r="O265" t="str">
            <v>R244047311229905</v>
          </cell>
          <cell r="P265" t="str">
            <v>GPHS65007</v>
          </cell>
          <cell r="Q265" t="str">
            <v>Not Applicable</v>
          </cell>
          <cell r="R265" t="str">
            <v>OHIO</v>
          </cell>
          <cell r="S265" t="str">
            <v>Respimedic</v>
          </cell>
          <cell r="T265" t="str">
            <v>Functioning</v>
          </cell>
          <cell r="U265" t="str">
            <v>Asset</v>
          </cell>
          <cell r="V265">
            <v>920</v>
          </cell>
          <cell r="W265" t="str">
            <v>KEW</v>
          </cell>
          <cell r="X265" t="str">
            <v>01/09/2010</v>
          </cell>
          <cell r="Y265" t="str">
            <v>KEW</v>
          </cell>
          <cell r="Z265" t="str">
            <v>16/08/2013</v>
          </cell>
          <cell r="AA265" t="str">
            <v>15/08/2015</v>
          </cell>
          <cell r="AB265" t="str">
            <v>No</v>
          </cell>
          <cell r="AC265" t="str">
            <v>31/08/2013</v>
          </cell>
          <cell r="AD265" t="str">
            <v>Good</v>
          </cell>
          <cell r="AE265" t="str">
            <v>V4 - Decommissioned Installed Facility</v>
          </cell>
          <cell r="AF265">
            <v>42920</v>
          </cell>
          <cell r="AG265">
            <v>9.17</v>
          </cell>
          <cell r="AH265" t="str">
            <v>RI</v>
          </cell>
          <cell r="AI265" t="str">
            <v>Strands</v>
          </cell>
          <cell r="AJ265" t="str">
            <v>Not under maintenance</v>
          </cell>
        </row>
        <row r="266">
          <cell r="A266" t="str">
            <v>IKN401565</v>
          </cell>
          <cell r="B266">
            <v>1504</v>
          </cell>
          <cell r="C266" t="str">
            <v>Institut Kanser Negara</v>
          </cell>
          <cell r="D266" t="str">
            <v>KKM/IKN/H/13/5211</v>
          </cell>
          <cell r="E266" t="str">
            <v>13-325</v>
          </cell>
          <cell r="F266" t="str">
            <v>Regulators, Suction</v>
          </cell>
          <cell r="G266" t="str">
            <v>IC</v>
          </cell>
          <cell r="H266" t="str">
            <v>INTENSIVE CARE UNIT</v>
          </cell>
          <cell r="I266" t="str">
            <v>05IC131</v>
          </cell>
          <cell r="J266" t="str">
            <v>ISOL 3 (+VE)</v>
          </cell>
          <cell r="K266" t="str">
            <v>BMED</v>
          </cell>
          <cell r="L266" t="str">
            <v>Normal</v>
          </cell>
          <cell r="M266" t="str">
            <v>United States</v>
          </cell>
          <cell r="N266" t="str">
            <v>OHIO</v>
          </cell>
          <cell r="O266" t="str">
            <v>R244047311229905</v>
          </cell>
          <cell r="P266" t="str">
            <v>GPHS 65000</v>
          </cell>
          <cell r="Q266" t="str">
            <v>Not Applicable</v>
          </cell>
          <cell r="R266" t="str">
            <v>OHIO</v>
          </cell>
          <cell r="S266" t="str">
            <v>Respimedic</v>
          </cell>
          <cell r="T266" t="str">
            <v>Functioning</v>
          </cell>
          <cell r="U266" t="str">
            <v>Asset</v>
          </cell>
          <cell r="V266">
            <v>920</v>
          </cell>
          <cell r="W266" t="str">
            <v>KEW</v>
          </cell>
          <cell r="X266" t="str">
            <v>01/09/2010</v>
          </cell>
          <cell r="Y266" t="str">
            <v>KEW</v>
          </cell>
          <cell r="Z266" t="str">
            <v>16/08/2013</v>
          </cell>
          <cell r="AA266" t="str">
            <v>15/08/2015</v>
          </cell>
          <cell r="AB266" t="str">
            <v>No</v>
          </cell>
          <cell r="AC266" t="str">
            <v>31/08/2013</v>
          </cell>
          <cell r="AD266" t="str">
            <v>Good</v>
          </cell>
          <cell r="AE266" t="str">
            <v>V4 - Decommissioned Installed Facility</v>
          </cell>
          <cell r="AF266">
            <v>42920</v>
          </cell>
          <cell r="AG266">
            <v>9.17</v>
          </cell>
          <cell r="AH266" t="str">
            <v>RI</v>
          </cell>
          <cell r="AI266" t="str">
            <v>Strands</v>
          </cell>
          <cell r="AJ266" t="str">
            <v>Not under maintenance</v>
          </cell>
        </row>
        <row r="267">
          <cell r="A267" t="str">
            <v>IKN401566</v>
          </cell>
          <cell r="B267">
            <v>1505</v>
          </cell>
          <cell r="C267" t="str">
            <v>Institut Kanser Negara</v>
          </cell>
          <cell r="D267" t="str">
            <v>KKM/IKN/I/13/8953</v>
          </cell>
          <cell r="E267" t="str">
            <v>13-325</v>
          </cell>
          <cell r="F267" t="str">
            <v>Regulators, Suction</v>
          </cell>
          <cell r="G267" t="str">
            <v>WC</v>
          </cell>
          <cell r="H267" t="str">
            <v>SURGICAL ONCO FEMALE WARD</v>
          </cell>
          <cell r="I267" t="str">
            <v>06WC113</v>
          </cell>
          <cell r="J267" t="str">
            <v>EQUIPMENT ROOM</v>
          </cell>
          <cell r="K267" t="str">
            <v>BMED</v>
          </cell>
          <cell r="L267" t="str">
            <v>Normal</v>
          </cell>
          <cell r="M267" t="str">
            <v>United States</v>
          </cell>
          <cell r="N267" t="str">
            <v>OHIO</v>
          </cell>
          <cell r="O267" t="str">
            <v>R244047311229905</v>
          </cell>
          <cell r="P267" t="str">
            <v>GPHS65129</v>
          </cell>
          <cell r="Q267" t="str">
            <v>Not Applicable</v>
          </cell>
          <cell r="R267" t="str">
            <v>OHIO</v>
          </cell>
          <cell r="S267" t="str">
            <v>Respimedic</v>
          </cell>
          <cell r="T267" t="str">
            <v>Functioning</v>
          </cell>
          <cell r="U267" t="str">
            <v>Asset</v>
          </cell>
          <cell r="V267">
            <v>920</v>
          </cell>
          <cell r="W267" t="str">
            <v>KEW</v>
          </cell>
          <cell r="X267" t="str">
            <v>01/09/2010</v>
          </cell>
          <cell r="Y267" t="str">
            <v>KEW</v>
          </cell>
          <cell r="Z267" t="str">
            <v>16/08/2013</v>
          </cell>
          <cell r="AA267" t="str">
            <v>15/08/2015</v>
          </cell>
          <cell r="AB267" t="str">
            <v>No</v>
          </cell>
          <cell r="AC267" t="str">
            <v>31/08/2013</v>
          </cell>
          <cell r="AD267" t="str">
            <v>Good</v>
          </cell>
          <cell r="AE267" t="str">
            <v>V4 - Decommissioned Installed Facility</v>
          </cell>
          <cell r="AF267">
            <v>42926</v>
          </cell>
          <cell r="AG267">
            <v>9.17</v>
          </cell>
          <cell r="AH267" t="str">
            <v>RI</v>
          </cell>
          <cell r="AI267" t="str">
            <v>Strands</v>
          </cell>
          <cell r="AJ267" t="str">
            <v>Not under maintenance</v>
          </cell>
        </row>
        <row r="268">
          <cell r="A268" t="str">
            <v>IKN401567</v>
          </cell>
          <cell r="B268">
            <v>1506</v>
          </cell>
          <cell r="C268" t="str">
            <v>Institut Kanser Negara</v>
          </cell>
          <cell r="D268" t="str">
            <v>KKM/IKN/I/13/8952</v>
          </cell>
          <cell r="E268" t="str">
            <v>13-325</v>
          </cell>
          <cell r="F268" t="str">
            <v>Regulators, Suction</v>
          </cell>
          <cell r="G268" t="str">
            <v>WC</v>
          </cell>
          <cell r="H268" t="str">
            <v>SURGICAL ONCO FEMALE WARD</v>
          </cell>
          <cell r="I268" t="str">
            <v>06WC113</v>
          </cell>
          <cell r="J268" t="str">
            <v>EQUIPMENT ROOM</v>
          </cell>
          <cell r="K268" t="str">
            <v>BMED</v>
          </cell>
          <cell r="L268" t="str">
            <v>Normal</v>
          </cell>
          <cell r="M268" t="str">
            <v>United States</v>
          </cell>
          <cell r="N268" t="str">
            <v>OHIO</v>
          </cell>
          <cell r="O268" t="str">
            <v>R244047311229905</v>
          </cell>
          <cell r="P268" t="str">
            <v>GPHS65134</v>
          </cell>
          <cell r="Q268" t="str">
            <v>Not Applicable</v>
          </cell>
          <cell r="R268" t="str">
            <v>OHIO</v>
          </cell>
          <cell r="S268" t="str">
            <v>Respimedic</v>
          </cell>
          <cell r="T268" t="str">
            <v>Functioning</v>
          </cell>
          <cell r="U268" t="str">
            <v>Asset</v>
          </cell>
          <cell r="V268">
            <v>920</v>
          </cell>
          <cell r="W268" t="str">
            <v>KEW</v>
          </cell>
          <cell r="X268" t="str">
            <v>01/09/2010</v>
          </cell>
          <cell r="Y268" t="str">
            <v>KEW</v>
          </cell>
          <cell r="Z268" t="str">
            <v>16/08/2013</v>
          </cell>
          <cell r="AA268" t="str">
            <v>15/08/2015</v>
          </cell>
          <cell r="AB268" t="str">
            <v>No</v>
          </cell>
          <cell r="AC268" t="str">
            <v>31/08/2013</v>
          </cell>
          <cell r="AD268" t="str">
            <v>Good</v>
          </cell>
          <cell r="AE268" t="str">
            <v>V4 - Decommissioned Installed Facility</v>
          </cell>
          <cell r="AF268">
            <v>42926</v>
          </cell>
          <cell r="AG268">
            <v>9.17</v>
          </cell>
          <cell r="AH268" t="str">
            <v>RI</v>
          </cell>
          <cell r="AI268" t="str">
            <v>Strands</v>
          </cell>
          <cell r="AJ268" t="str">
            <v>Not under maintenance</v>
          </cell>
        </row>
        <row r="269">
          <cell r="A269" t="str">
            <v>IKN401568</v>
          </cell>
          <cell r="B269">
            <v>1507</v>
          </cell>
          <cell r="C269" t="str">
            <v>Institut Kanser Negara</v>
          </cell>
          <cell r="D269" t="e">
            <v>#N/A</v>
          </cell>
          <cell r="E269" t="str">
            <v>13-325</v>
          </cell>
          <cell r="F269" t="str">
            <v>Regulators, Suction</v>
          </cell>
          <cell r="G269" t="str">
            <v>DO</v>
          </cell>
          <cell r="H269" t="str">
            <v>DAY ONCOLOGY UNIT</v>
          </cell>
          <cell r="I269" t="str">
            <v>04DO121</v>
          </cell>
          <cell r="J269" t="str">
            <v>TREATMENT BAY 4</v>
          </cell>
          <cell r="K269" t="str">
            <v>BMED</v>
          </cell>
          <cell r="L269" t="str">
            <v>Normal</v>
          </cell>
          <cell r="M269" t="str">
            <v>United States</v>
          </cell>
          <cell r="N269" t="str">
            <v>OHIO</v>
          </cell>
          <cell r="O269" t="str">
            <v>R244047311229905</v>
          </cell>
          <cell r="P269" t="str">
            <v>GPHS65191</v>
          </cell>
          <cell r="Q269" t="str">
            <v>Not Applicable</v>
          </cell>
          <cell r="R269" t="str">
            <v>OHIO</v>
          </cell>
          <cell r="S269" t="str">
            <v>Respimedic</v>
          </cell>
          <cell r="T269" t="str">
            <v>Functioning</v>
          </cell>
          <cell r="U269" t="str">
            <v>Asset</v>
          </cell>
          <cell r="V269">
            <v>920</v>
          </cell>
          <cell r="W269" t="str">
            <v>KEW</v>
          </cell>
          <cell r="X269" t="str">
            <v>01/09/2010</v>
          </cell>
          <cell r="Y269" t="str">
            <v>KEW</v>
          </cell>
          <cell r="Z269" t="str">
            <v>16/08/2013</v>
          </cell>
          <cell r="AA269" t="str">
            <v>15/08/2015</v>
          </cell>
          <cell r="AB269" t="str">
            <v>No</v>
          </cell>
          <cell r="AC269" t="str">
            <v>31/08/2013</v>
          </cell>
          <cell r="AD269" t="str">
            <v>Good</v>
          </cell>
          <cell r="AE269" t="str">
            <v>V4 - Decommissioned Installed Facility</v>
          </cell>
          <cell r="AF269">
            <v>42935</v>
          </cell>
          <cell r="AG269">
            <v>9.17</v>
          </cell>
          <cell r="AH269" t="str">
            <v>RI</v>
          </cell>
          <cell r="AI269" t="str">
            <v>Not in contract</v>
          </cell>
          <cell r="AJ269" t="str">
            <v>Not under maintenance</v>
          </cell>
          <cell r="AK269" t="e">
            <v>#N/A</v>
          </cell>
        </row>
        <row r="270">
          <cell r="A270" t="str">
            <v>IKN401569</v>
          </cell>
          <cell r="B270">
            <v>1508</v>
          </cell>
          <cell r="C270" t="str">
            <v>Institut Kanser Negara</v>
          </cell>
          <cell r="D270" t="e">
            <v>#N/A</v>
          </cell>
          <cell r="E270" t="str">
            <v>13-325</v>
          </cell>
          <cell r="F270" t="str">
            <v>Regulators, Suction</v>
          </cell>
          <cell r="G270" t="str">
            <v>DO</v>
          </cell>
          <cell r="H270" t="str">
            <v>DAY ONCOLOGY UNIT</v>
          </cell>
          <cell r="I270" t="str">
            <v>04DO118</v>
          </cell>
          <cell r="J270" t="str">
            <v>TREATMENT BAY 1</v>
          </cell>
          <cell r="K270" t="str">
            <v>BMED</v>
          </cell>
          <cell r="L270" t="str">
            <v>Normal</v>
          </cell>
          <cell r="M270" t="str">
            <v>United States</v>
          </cell>
          <cell r="N270" t="str">
            <v>OHIO</v>
          </cell>
          <cell r="O270" t="str">
            <v>R244047311229905</v>
          </cell>
          <cell r="P270" t="str">
            <v>GPHS65193</v>
          </cell>
          <cell r="Q270" t="str">
            <v>Not Applicable</v>
          </cell>
          <cell r="R270" t="str">
            <v>OHIO</v>
          </cell>
          <cell r="S270" t="str">
            <v>Respimedic</v>
          </cell>
          <cell r="T270" t="str">
            <v>Functioning</v>
          </cell>
          <cell r="U270" t="str">
            <v>Asset</v>
          </cell>
          <cell r="V270">
            <v>920</v>
          </cell>
          <cell r="W270" t="str">
            <v>KEW</v>
          </cell>
          <cell r="X270" t="str">
            <v>01/09/2010</v>
          </cell>
          <cell r="Y270" t="str">
            <v>KEW</v>
          </cell>
          <cell r="Z270" t="str">
            <v>16/08/2013</v>
          </cell>
          <cell r="AA270" t="str">
            <v>15/08/2015</v>
          </cell>
          <cell r="AB270" t="str">
            <v>No</v>
          </cell>
          <cell r="AC270" t="str">
            <v>31/08/2013</v>
          </cell>
          <cell r="AD270" t="str">
            <v>Good</v>
          </cell>
          <cell r="AE270" t="str">
            <v>V4 - Decommissioned Installed Facility</v>
          </cell>
          <cell r="AF270">
            <v>42935</v>
          </cell>
          <cell r="AG270">
            <v>9.17</v>
          </cell>
          <cell r="AH270" t="str">
            <v>RI</v>
          </cell>
          <cell r="AI270" t="str">
            <v>Not in contract</v>
          </cell>
          <cell r="AJ270" t="str">
            <v>Not under maintenance</v>
          </cell>
          <cell r="AK270" t="e">
            <v>#N/A</v>
          </cell>
        </row>
        <row r="271">
          <cell r="A271" t="str">
            <v>IKN401570</v>
          </cell>
          <cell r="B271">
            <v>1509</v>
          </cell>
          <cell r="C271" t="str">
            <v>Institut Kanser Negara</v>
          </cell>
          <cell r="D271" t="e">
            <v>#N/A</v>
          </cell>
          <cell r="E271" t="str">
            <v>13-325</v>
          </cell>
          <cell r="F271" t="str">
            <v>Regulators, Suction</v>
          </cell>
          <cell r="G271" t="str">
            <v>DO</v>
          </cell>
          <cell r="H271" t="str">
            <v>DAY ONCOLOGY UNIT</v>
          </cell>
          <cell r="I271" t="str">
            <v>04DO121</v>
          </cell>
          <cell r="J271" t="str">
            <v>TREATMENT BAY 4</v>
          </cell>
          <cell r="K271" t="str">
            <v>BMED</v>
          </cell>
          <cell r="L271" t="str">
            <v>Normal</v>
          </cell>
          <cell r="M271" t="str">
            <v>United States</v>
          </cell>
          <cell r="N271" t="str">
            <v>OHIO</v>
          </cell>
          <cell r="O271" t="str">
            <v>R244047311229905</v>
          </cell>
          <cell r="P271" t="str">
            <v>GPHS65195</v>
          </cell>
          <cell r="Q271" t="str">
            <v>Not Applicable</v>
          </cell>
          <cell r="R271" t="str">
            <v>OHIO</v>
          </cell>
          <cell r="S271" t="str">
            <v>Respimedic</v>
          </cell>
          <cell r="T271" t="str">
            <v>Functioning</v>
          </cell>
          <cell r="U271" t="str">
            <v>Asset</v>
          </cell>
          <cell r="V271">
            <v>920</v>
          </cell>
          <cell r="W271" t="str">
            <v>KEW</v>
          </cell>
          <cell r="X271" t="str">
            <v>01/09/2010</v>
          </cell>
          <cell r="Y271" t="str">
            <v>KEW</v>
          </cell>
          <cell r="Z271" t="str">
            <v>16/08/2013</v>
          </cell>
          <cell r="AA271" t="str">
            <v>15/08/2015</v>
          </cell>
          <cell r="AB271" t="str">
            <v>No</v>
          </cell>
          <cell r="AC271" t="str">
            <v>31/08/2013</v>
          </cell>
          <cell r="AD271" t="str">
            <v>Good</v>
          </cell>
          <cell r="AE271" t="str">
            <v>V4 - Decommissioned Installed Facility</v>
          </cell>
          <cell r="AF271">
            <v>42935</v>
          </cell>
          <cell r="AG271">
            <v>9.17</v>
          </cell>
          <cell r="AH271" t="str">
            <v>RI</v>
          </cell>
          <cell r="AI271" t="str">
            <v>Not in contract</v>
          </cell>
          <cell r="AJ271" t="str">
            <v>Not under maintenance</v>
          </cell>
          <cell r="AK271" t="e">
            <v>#N/A</v>
          </cell>
        </row>
        <row r="272">
          <cell r="A272" t="str">
            <v>IKN401571</v>
          </cell>
          <cell r="B272">
            <v>1510</v>
          </cell>
          <cell r="C272" t="str">
            <v>Institut Kanser Negara</v>
          </cell>
          <cell r="D272" t="e">
            <v>#N/A</v>
          </cell>
          <cell r="E272" t="str">
            <v>13-325</v>
          </cell>
          <cell r="F272" t="str">
            <v>Regulators, Suction</v>
          </cell>
          <cell r="G272" t="str">
            <v>DO</v>
          </cell>
          <cell r="H272" t="str">
            <v>DAY ONCOLOGY UNIT</v>
          </cell>
          <cell r="I272" t="str">
            <v>04DO118</v>
          </cell>
          <cell r="J272" t="str">
            <v>TREATMENT BAY 1</v>
          </cell>
          <cell r="K272" t="str">
            <v>BMED</v>
          </cell>
          <cell r="L272" t="str">
            <v>Normal</v>
          </cell>
          <cell r="M272" t="str">
            <v>United States</v>
          </cell>
          <cell r="N272" t="str">
            <v>OHIO</v>
          </cell>
          <cell r="O272" t="str">
            <v>R244047311229905</v>
          </cell>
          <cell r="P272" t="str">
            <v>GPHS65172</v>
          </cell>
          <cell r="Q272" t="str">
            <v>Not Applicable</v>
          </cell>
          <cell r="R272" t="str">
            <v>OHIO</v>
          </cell>
          <cell r="S272" t="str">
            <v>Respimedic</v>
          </cell>
          <cell r="T272" t="str">
            <v>Functioning</v>
          </cell>
          <cell r="U272" t="str">
            <v>Asset</v>
          </cell>
          <cell r="V272">
            <v>920</v>
          </cell>
          <cell r="W272" t="str">
            <v>KEW</v>
          </cell>
          <cell r="X272" t="str">
            <v>01/09/2010</v>
          </cell>
          <cell r="Y272" t="str">
            <v>KEW</v>
          </cell>
          <cell r="Z272" t="str">
            <v>16/08/2013</v>
          </cell>
          <cell r="AA272" t="str">
            <v>15/08/2015</v>
          </cell>
          <cell r="AB272" t="str">
            <v>No</v>
          </cell>
          <cell r="AC272" t="str">
            <v>31/08/2013</v>
          </cell>
          <cell r="AD272" t="str">
            <v>Good</v>
          </cell>
          <cell r="AE272" t="str">
            <v>V4 - Decommissioned Installed Facility</v>
          </cell>
          <cell r="AF272">
            <v>42935</v>
          </cell>
          <cell r="AG272">
            <v>9.17</v>
          </cell>
          <cell r="AH272" t="str">
            <v>RI</v>
          </cell>
          <cell r="AI272" t="str">
            <v>Not in contract</v>
          </cell>
          <cell r="AJ272" t="str">
            <v>Not under maintenance</v>
          </cell>
          <cell r="AK272" t="e">
            <v>#N/A</v>
          </cell>
        </row>
        <row r="273">
          <cell r="A273" t="str">
            <v>IKN401572</v>
          </cell>
          <cell r="B273">
            <v>1511</v>
          </cell>
          <cell r="C273" t="str">
            <v>Institut Kanser Negara</v>
          </cell>
          <cell r="D273" t="e">
            <v>#N/A</v>
          </cell>
          <cell r="E273" t="str">
            <v>13-325</v>
          </cell>
          <cell r="F273" t="str">
            <v>Regulators, Suction</v>
          </cell>
          <cell r="G273" t="str">
            <v>DO</v>
          </cell>
          <cell r="H273" t="str">
            <v>DAY ONCOLOGY UNIT</v>
          </cell>
          <cell r="I273" t="str">
            <v>04DO120</v>
          </cell>
          <cell r="J273" t="str">
            <v>TREATMENT BAY 3</v>
          </cell>
          <cell r="K273" t="str">
            <v>BMED</v>
          </cell>
          <cell r="L273" t="str">
            <v>Normal</v>
          </cell>
          <cell r="M273" t="str">
            <v>United States</v>
          </cell>
          <cell r="N273" t="str">
            <v>OHIO</v>
          </cell>
          <cell r="O273" t="str">
            <v>R244047311229905</v>
          </cell>
          <cell r="P273" t="str">
            <v>GPHS65171</v>
          </cell>
          <cell r="Q273" t="str">
            <v>Not Applicable</v>
          </cell>
          <cell r="R273" t="str">
            <v>OHIO</v>
          </cell>
          <cell r="S273" t="str">
            <v>Respimedic</v>
          </cell>
          <cell r="T273" t="str">
            <v>Functioning</v>
          </cell>
          <cell r="U273" t="str">
            <v>Asset</v>
          </cell>
          <cell r="V273">
            <v>920</v>
          </cell>
          <cell r="W273" t="str">
            <v>KEW</v>
          </cell>
          <cell r="X273" t="str">
            <v>01/09/2010</v>
          </cell>
          <cell r="Y273" t="str">
            <v>KEW</v>
          </cell>
          <cell r="Z273" t="str">
            <v>16/08/2013</v>
          </cell>
          <cell r="AA273" t="str">
            <v>15/08/2015</v>
          </cell>
          <cell r="AB273" t="str">
            <v>No</v>
          </cell>
          <cell r="AC273" t="str">
            <v>31/08/2013</v>
          </cell>
          <cell r="AD273" t="str">
            <v>Good</v>
          </cell>
          <cell r="AE273" t="str">
            <v>V4 - Decommissioned Installed Facility</v>
          </cell>
          <cell r="AF273">
            <v>42935</v>
          </cell>
          <cell r="AG273">
            <v>9.17</v>
          </cell>
          <cell r="AH273" t="str">
            <v>RI</v>
          </cell>
          <cell r="AI273" t="str">
            <v>Not in contract</v>
          </cell>
          <cell r="AJ273" t="str">
            <v>Not under maintenance</v>
          </cell>
          <cell r="AK273" t="e">
            <v>#N/A</v>
          </cell>
        </row>
        <row r="274">
          <cell r="A274" t="str">
            <v>IKN401573</v>
          </cell>
          <cell r="B274">
            <v>1512</v>
          </cell>
          <cell r="C274" t="str">
            <v>Institut Kanser Negara</v>
          </cell>
          <cell r="D274" t="e">
            <v>#N/A</v>
          </cell>
          <cell r="E274" t="str">
            <v>13-325</v>
          </cell>
          <cell r="F274" t="str">
            <v>Regulators, Suction</v>
          </cell>
          <cell r="G274" t="str">
            <v>DO</v>
          </cell>
          <cell r="H274" t="str">
            <v>DAY ONCOLOGY UNIT</v>
          </cell>
          <cell r="I274" t="str">
            <v>04DO119</v>
          </cell>
          <cell r="J274" t="str">
            <v>TREATMENT BAY 2</v>
          </cell>
          <cell r="K274" t="str">
            <v>BMED</v>
          </cell>
          <cell r="L274" t="str">
            <v>Normal</v>
          </cell>
          <cell r="M274" t="str">
            <v>United States</v>
          </cell>
          <cell r="N274" t="str">
            <v>OHIO</v>
          </cell>
          <cell r="O274" t="str">
            <v>R244047311229905</v>
          </cell>
          <cell r="P274" t="str">
            <v>GPHS65081</v>
          </cell>
          <cell r="Q274" t="str">
            <v>Not Applicable</v>
          </cell>
          <cell r="R274" t="str">
            <v>OHIO</v>
          </cell>
          <cell r="S274" t="str">
            <v>Respimedic</v>
          </cell>
          <cell r="T274" t="str">
            <v>Functioning</v>
          </cell>
          <cell r="U274" t="str">
            <v>Asset</v>
          </cell>
          <cell r="V274">
            <v>920</v>
          </cell>
          <cell r="W274" t="str">
            <v>KEW</v>
          </cell>
          <cell r="X274" t="str">
            <v>01/09/2010</v>
          </cell>
          <cell r="Y274" t="str">
            <v>KEW</v>
          </cell>
          <cell r="Z274" t="str">
            <v>16/08/2013</v>
          </cell>
          <cell r="AA274" t="str">
            <v>15/08/2015</v>
          </cell>
          <cell r="AB274" t="str">
            <v>No</v>
          </cell>
          <cell r="AC274" t="str">
            <v>31/08/2013</v>
          </cell>
          <cell r="AD274" t="str">
            <v>Good</v>
          </cell>
          <cell r="AE274" t="str">
            <v>V4 - Decommissioned Installed Facility</v>
          </cell>
          <cell r="AF274">
            <v>42935</v>
          </cell>
          <cell r="AG274">
            <v>9.17</v>
          </cell>
          <cell r="AH274" t="str">
            <v>RI</v>
          </cell>
          <cell r="AI274" t="str">
            <v>Not in contract</v>
          </cell>
          <cell r="AJ274" t="str">
            <v>Not under maintenance</v>
          </cell>
          <cell r="AK274" t="e">
            <v>#N/A</v>
          </cell>
        </row>
        <row r="275">
          <cell r="A275" t="str">
            <v>IKN401574</v>
          </cell>
          <cell r="B275">
            <v>1513</v>
          </cell>
          <cell r="C275" t="str">
            <v>Institut Kanser Negara</v>
          </cell>
          <cell r="D275" t="e">
            <v>#N/A</v>
          </cell>
          <cell r="E275" t="str">
            <v>13-325</v>
          </cell>
          <cell r="F275" t="str">
            <v>Regulators, Suction</v>
          </cell>
          <cell r="G275" t="str">
            <v>DO</v>
          </cell>
          <cell r="H275" t="str">
            <v>DAY ONCOLOGY UNIT</v>
          </cell>
          <cell r="I275" t="str">
            <v>04DO120</v>
          </cell>
          <cell r="J275" t="str">
            <v>TREATMENT BAY 3</v>
          </cell>
          <cell r="K275" t="str">
            <v>BMED</v>
          </cell>
          <cell r="L275" t="str">
            <v>Normal</v>
          </cell>
          <cell r="M275" t="str">
            <v>United States</v>
          </cell>
          <cell r="N275" t="str">
            <v>OHIO</v>
          </cell>
          <cell r="O275" t="str">
            <v>R244047311229905</v>
          </cell>
          <cell r="P275" t="str">
            <v>GPHS65085</v>
          </cell>
          <cell r="Q275" t="str">
            <v>Not Applicable</v>
          </cell>
          <cell r="R275" t="str">
            <v>OHIO</v>
          </cell>
          <cell r="S275" t="str">
            <v>Respimedic</v>
          </cell>
          <cell r="T275" t="str">
            <v>Functioning</v>
          </cell>
          <cell r="U275" t="str">
            <v>Asset</v>
          </cell>
          <cell r="V275">
            <v>920</v>
          </cell>
          <cell r="W275" t="str">
            <v>KEW</v>
          </cell>
          <cell r="X275" t="str">
            <v>01/09/2010</v>
          </cell>
          <cell r="Y275" t="str">
            <v>KEW</v>
          </cell>
          <cell r="Z275" t="str">
            <v>16/08/2013</v>
          </cell>
          <cell r="AA275" t="str">
            <v>15/08/2015</v>
          </cell>
          <cell r="AB275" t="str">
            <v>No</v>
          </cell>
          <cell r="AC275" t="str">
            <v>31/08/2013</v>
          </cell>
          <cell r="AD275" t="str">
            <v>Good</v>
          </cell>
          <cell r="AE275" t="str">
            <v>V4 - Decommissioned Installed Facility</v>
          </cell>
          <cell r="AF275">
            <v>42935</v>
          </cell>
          <cell r="AG275">
            <v>9.17</v>
          </cell>
          <cell r="AH275" t="str">
            <v>RI</v>
          </cell>
          <cell r="AI275" t="str">
            <v>Not in contract</v>
          </cell>
          <cell r="AJ275" t="str">
            <v>Not under maintenance</v>
          </cell>
          <cell r="AK275" t="e">
            <v>#N/A</v>
          </cell>
        </row>
        <row r="276">
          <cell r="A276" t="str">
            <v>IKN401575</v>
          </cell>
          <cell r="B276">
            <v>1514</v>
          </cell>
          <cell r="C276" t="str">
            <v>Institut Kanser Negara</v>
          </cell>
          <cell r="D276" t="e">
            <v>#N/A</v>
          </cell>
          <cell r="E276" t="str">
            <v>13-325</v>
          </cell>
          <cell r="F276" t="str">
            <v>Regulators, Suction</v>
          </cell>
          <cell r="G276" t="str">
            <v>DO</v>
          </cell>
          <cell r="H276" t="str">
            <v>DAY ONCOLOGY UNIT</v>
          </cell>
          <cell r="I276" t="str">
            <v>04DO124</v>
          </cell>
          <cell r="J276" t="str">
            <v>TREATMENT ROOM</v>
          </cell>
          <cell r="K276" t="str">
            <v>BMED</v>
          </cell>
          <cell r="L276" t="str">
            <v>Normal</v>
          </cell>
          <cell r="M276" t="str">
            <v>United States</v>
          </cell>
          <cell r="N276" t="str">
            <v>OHIO</v>
          </cell>
          <cell r="O276" t="str">
            <v>R244047311229905</v>
          </cell>
          <cell r="P276" t="str">
            <v>GPHS65180</v>
          </cell>
          <cell r="Q276" t="str">
            <v>Not Applicable</v>
          </cell>
          <cell r="R276" t="str">
            <v>OHIO</v>
          </cell>
          <cell r="S276" t="str">
            <v>Respimedic</v>
          </cell>
          <cell r="T276" t="str">
            <v>Functioning</v>
          </cell>
          <cell r="U276" t="str">
            <v>Asset</v>
          </cell>
          <cell r="V276">
            <v>920</v>
          </cell>
          <cell r="W276" t="str">
            <v>KEW</v>
          </cell>
          <cell r="X276" t="str">
            <v>01/09/2010</v>
          </cell>
          <cell r="Y276" t="str">
            <v>KEW</v>
          </cell>
          <cell r="Z276" t="str">
            <v>16/08/2013</v>
          </cell>
          <cell r="AA276" t="str">
            <v>15/08/2015</v>
          </cell>
          <cell r="AB276" t="str">
            <v>No</v>
          </cell>
          <cell r="AC276" t="str">
            <v>31/08/2013</v>
          </cell>
          <cell r="AD276" t="str">
            <v>Good</v>
          </cell>
          <cell r="AE276" t="str">
            <v>V4 - Decommissioned Installed Facility</v>
          </cell>
          <cell r="AF276">
            <v>42935</v>
          </cell>
          <cell r="AG276">
            <v>9.17</v>
          </cell>
          <cell r="AH276" t="str">
            <v>RI</v>
          </cell>
          <cell r="AI276" t="str">
            <v>Not in contract</v>
          </cell>
          <cell r="AJ276" t="str">
            <v>Not under maintenance</v>
          </cell>
          <cell r="AK276" t="e">
            <v>#N/A</v>
          </cell>
        </row>
        <row r="277">
          <cell r="A277" t="str">
            <v>IKN401576</v>
          </cell>
          <cell r="B277">
            <v>1515</v>
          </cell>
          <cell r="C277" t="str">
            <v>Institut Kanser Negara</v>
          </cell>
          <cell r="D277" t="e">
            <v>#N/A</v>
          </cell>
          <cell r="E277" t="str">
            <v>13-325</v>
          </cell>
          <cell r="F277" t="str">
            <v>Regulators, Suction</v>
          </cell>
          <cell r="G277" t="str">
            <v>DO</v>
          </cell>
          <cell r="H277" t="str">
            <v>DAY ONCOLOGY UNIT</v>
          </cell>
          <cell r="I277" t="str">
            <v>04DO121</v>
          </cell>
          <cell r="J277" t="str">
            <v>TREATMENT BAY 4</v>
          </cell>
          <cell r="K277" t="str">
            <v>BMED</v>
          </cell>
          <cell r="L277" t="str">
            <v>Normal</v>
          </cell>
          <cell r="M277" t="str">
            <v>United States</v>
          </cell>
          <cell r="N277" t="str">
            <v>OHIO</v>
          </cell>
          <cell r="O277" t="str">
            <v>R244047311229905</v>
          </cell>
          <cell r="P277" t="str">
            <v>GPHS65041</v>
          </cell>
          <cell r="Q277" t="str">
            <v>Not Applicable</v>
          </cell>
          <cell r="R277" t="str">
            <v>OHIO</v>
          </cell>
          <cell r="S277" t="str">
            <v>Respimedic</v>
          </cell>
          <cell r="T277" t="str">
            <v>Functioning</v>
          </cell>
          <cell r="U277" t="str">
            <v>Asset</v>
          </cell>
          <cell r="V277">
            <v>920</v>
          </cell>
          <cell r="W277" t="str">
            <v>KEW</v>
          </cell>
          <cell r="X277" t="str">
            <v>01/09/2010</v>
          </cell>
          <cell r="Y277" t="str">
            <v>KEW</v>
          </cell>
          <cell r="Z277" t="str">
            <v>16/08/2013</v>
          </cell>
          <cell r="AA277" t="str">
            <v>15/08/2015</v>
          </cell>
          <cell r="AB277" t="str">
            <v>No</v>
          </cell>
          <cell r="AC277" t="str">
            <v>31/08/2013</v>
          </cell>
          <cell r="AD277" t="str">
            <v>Good</v>
          </cell>
          <cell r="AE277" t="str">
            <v>V4 - Decommissioned Installed Facility</v>
          </cell>
          <cell r="AF277">
            <v>42935</v>
          </cell>
          <cell r="AG277">
            <v>9.17</v>
          </cell>
          <cell r="AH277" t="str">
            <v>RI</v>
          </cell>
          <cell r="AI277" t="str">
            <v>Not in contract</v>
          </cell>
          <cell r="AJ277" t="str">
            <v>Not under maintenance</v>
          </cell>
          <cell r="AK277" t="e">
            <v>#N/A</v>
          </cell>
        </row>
        <row r="278">
          <cell r="A278" t="str">
            <v>IKN401577</v>
          </cell>
          <cell r="B278">
            <v>1516</v>
          </cell>
          <cell r="C278" t="str">
            <v>Institut Kanser Negara</v>
          </cell>
          <cell r="D278" t="e">
            <v>#N/A</v>
          </cell>
          <cell r="E278" t="str">
            <v>13-325</v>
          </cell>
          <cell r="F278" t="str">
            <v>Regulators, Suction</v>
          </cell>
          <cell r="G278" t="str">
            <v>DO</v>
          </cell>
          <cell r="H278" t="str">
            <v>DAY ONCOLOGY UNIT</v>
          </cell>
          <cell r="I278" t="str">
            <v>04DO119</v>
          </cell>
          <cell r="J278" t="str">
            <v>TREATMENT BAY 2</v>
          </cell>
          <cell r="K278" t="str">
            <v>BMED</v>
          </cell>
          <cell r="L278" t="str">
            <v>Normal</v>
          </cell>
          <cell r="M278" t="str">
            <v>United States</v>
          </cell>
          <cell r="N278" t="str">
            <v>OHIO</v>
          </cell>
          <cell r="O278" t="str">
            <v>R244047311229905</v>
          </cell>
          <cell r="P278" t="str">
            <v>GPHS65199</v>
          </cell>
          <cell r="Q278" t="str">
            <v>Not Applicable</v>
          </cell>
          <cell r="R278" t="str">
            <v>OHIO</v>
          </cell>
          <cell r="S278" t="str">
            <v>Respimedic</v>
          </cell>
          <cell r="T278" t="str">
            <v>Functioning</v>
          </cell>
          <cell r="U278" t="str">
            <v>Asset</v>
          </cell>
          <cell r="V278">
            <v>920</v>
          </cell>
          <cell r="W278" t="str">
            <v>KEW</v>
          </cell>
          <cell r="X278" t="str">
            <v>01/09/2010</v>
          </cell>
          <cell r="Y278" t="str">
            <v>KEW</v>
          </cell>
          <cell r="Z278" t="str">
            <v>16/08/2013</v>
          </cell>
          <cell r="AA278" t="str">
            <v>15/08/2015</v>
          </cell>
          <cell r="AB278" t="str">
            <v>No</v>
          </cell>
          <cell r="AC278" t="str">
            <v>31/08/2013</v>
          </cell>
          <cell r="AD278" t="str">
            <v>Good</v>
          </cell>
          <cell r="AE278" t="str">
            <v>V4 - Decommissioned Installed Facility</v>
          </cell>
          <cell r="AF278">
            <v>42937</v>
          </cell>
          <cell r="AG278">
            <v>9.17</v>
          </cell>
          <cell r="AH278" t="str">
            <v>RI</v>
          </cell>
          <cell r="AI278" t="str">
            <v>Not in contract</v>
          </cell>
          <cell r="AJ278" t="str">
            <v>Not under maintenance</v>
          </cell>
          <cell r="AK278" t="e">
            <v>#N/A</v>
          </cell>
        </row>
        <row r="279">
          <cell r="A279" t="str">
            <v>IKN401578</v>
          </cell>
          <cell r="B279">
            <v>1517</v>
          </cell>
          <cell r="C279" t="str">
            <v>Institut Kanser Negara</v>
          </cell>
          <cell r="D279" t="e">
            <v>#N/A</v>
          </cell>
          <cell r="E279" t="str">
            <v>13-325</v>
          </cell>
          <cell r="F279" t="str">
            <v>Regulators, Suction</v>
          </cell>
          <cell r="G279" t="str">
            <v>DO</v>
          </cell>
          <cell r="H279" t="str">
            <v>DAY ONCOLOGY UNIT</v>
          </cell>
          <cell r="I279" t="str">
            <v>04DO119</v>
          </cell>
          <cell r="J279" t="str">
            <v>TREATMENT BAY 2</v>
          </cell>
          <cell r="K279" t="str">
            <v>BMED</v>
          </cell>
          <cell r="L279" t="str">
            <v>Normal</v>
          </cell>
          <cell r="M279" t="str">
            <v>United States</v>
          </cell>
          <cell r="N279" t="str">
            <v>OHIO</v>
          </cell>
          <cell r="O279" t="str">
            <v>R244047311229905</v>
          </cell>
          <cell r="P279" t="str">
            <v>GPHS65194</v>
          </cell>
          <cell r="Q279" t="str">
            <v>Not Applicable</v>
          </cell>
          <cell r="R279" t="str">
            <v>OHIO</v>
          </cell>
          <cell r="S279" t="str">
            <v>Respimedic</v>
          </cell>
          <cell r="T279" t="str">
            <v>Functioning</v>
          </cell>
          <cell r="U279" t="str">
            <v>Asset</v>
          </cell>
          <cell r="V279">
            <v>920</v>
          </cell>
          <cell r="W279" t="str">
            <v>KEW</v>
          </cell>
          <cell r="X279" t="str">
            <v>01/09/2010</v>
          </cell>
          <cell r="Y279" t="str">
            <v>KEW</v>
          </cell>
          <cell r="Z279" t="str">
            <v>16/08/2013</v>
          </cell>
          <cell r="AA279" t="str">
            <v>15/08/2015</v>
          </cell>
          <cell r="AB279" t="str">
            <v>No</v>
          </cell>
          <cell r="AC279" t="str">
            <v>31/08/2013</v>
          </cell>
          <cell r="AD279" t="str">
            <v>Good</v>
          </cell>
          <cell r="AE279" t="str">
            <v>V4 - Decommissioned Installed Facility</v>
          </cell>
          <cell r="AF279">
            <v>42937</v>
          </cell>
          <cell r="AG279">
            <v>9.17</v>
          </cell>
          <cell r="AH279" t="str">
            <v>RI</v>
          </cell>
          <cell r="AI279" t="str">
            <v>Not in contract</v>
          </cell>
          <cell r="AJ279" t="str">
            <v>Not under maintenance</v>
          </cell>
          <cell r="AK279" t="e">
            <v>#N/A</v>
          </cell>
        </row>
        <row r="280">
          <cell r="A280" t="str">
            <v>IKN401579</v>
          </cell>
          <cell r="B280">
            <v>1518</v>
          </cell>
          <cell r="C280" t="str">
            <v>Institut Kanser Negara</v>
          </cell>
          <cell r="D280" t="e">
            <v>#N/A</v>
          </cell>
          <cell r="E280" t="str">
            <v>13-325</v>
          </cell>
          <cell r="F280" t="str">
            <v>Regulators, Suction</v>
          </cell>
          <cell r="G280" t="str">
            <v>DO</v>
          </cell>
          <cell r="H280" t="str">
            <v>DAY ONCOLOGY UNIT</v>
          </cell>
          <cell r="I280" t="str">
            <v>04DO125</v>
          </cell>
          <cell r="J280" t="str">
            <v>PROCEDURE ROOM</v>
          </cell>
          <cell r="K280" t="str">
            <v>BMED</v>
          </cell>
          <cell r="L280" t="str">
            <v>Normal</v>
          </cell>
          <cell r="M280" t="str">
            <v>United States</v>
          </cell>
          <cell r="N280" t="str">
            <v>OHIO</v>
          </cell>
          <cell r="O280" t="str">
            <v>R244047311229905</v>
          </cell>
          <cell r="P280" t="str">
            <v>GPHS65170</v>
          </cell>
          <cell r="Q280" t="str">
            <v>Not Applicable</v>
          </cell>
          <cell r="R280" t="str">
            <v>OHIO</v>
          </cell>
          <cell r="S280" t="str">
            <v>Respimedic</v>
          </cell>
          <cell r="T280" t="str">
            <v>Functioning</v>
          </cell>
          <cell r="U280" t="str">
            <v>Asset</v>
          </cell>
          <cell r="V280">
            <v>920</v>
          </cell>
          <cell r="W280" t="str">
            <v>KEW</v>
          </cell>
          <cell r="X280" t="str">
            <v>01/09/2010</v>
          </cell>
          <cell r="Y280" t="str">
            <v>KEW</v>
          </cell>
          <cell r="Z280" t="str">
            <v>16/08/2013</v>
          </cell>
          <cell r="AA280" t="str">
            <v>15/08/2015</v>
          </cell>
          <cell r="AB280" t="str">
            <v>No</v>
          </cell>
          <cell r="AC280" t="str">
            <v>31/08/2013</v>
          </cell>
          <cell r="AD280" t="str">
            <v>Good</v>
          </cell>
          <cell r="AE280" t="str">
            <v>V4 - Decommissioned Installed Facility</v>
          </cell>
          <cell r="AF280">
            <v>42937</v>
          </cell>
          <cell r="AG280">
            <v>9.17</v>
          </cell>
          <cell r="AH280" t="str">
            <v>RI</v>
          </cell>
          <cell r="AI280" t="str">
            <v>Not in contract</v>
          </cell>
          <cell r="AJ280" t="str">
            <v>Not under maintenance</v>
          </cell>
          <cell r="AK280" t="e">
            <v>#N/A</v>
          </cell>
        </row>
        <row r="281">
          <cell r="A281" t="str">
            <v>IKN401580</v>
          </cell>
          <cell r="B281">
            <v>1519</v>
          </cell>
          <cell r="C281" t="str">
            <v>Institut Kanser Negara</v>
          </cell>
          <cell r="D281" t="str">
            <v>KKM/IKN/I/13/8957</v>
          </cell>
          <cell r="E281" t="str">
            <v>13-325</v>
          </cell>
          <cell r="F281" t="str">
            <v>Regulators, Suction</v>
          </cell>
          <cell r="G281" t="str">
            <v>DO</v>
          </cell>
          <cell r="H281" t="str">
            <v>DAY ONCOLOGY UNIT</v>
          </cell>
          <cell r="I281" t="str">
            <v>04DO118</v>
          </cell>
          <cell r="J281" t="str">
            <v>TREATMENT BAY 1</v>
          </cell>
          <cell r="K281" t="str">
            <v>BMED</v>
          </cell>
          <cell r="L281" t="str">
            <v>Normal</v>
          </cell>
          <cell r="M281" t="str">
            <v>United States</v>
          </cell>
          <cell r="N281" t="str">
            <v>OHIO</v>
          </cell>
          <cell r="O281" t="str">
            <v>R244047311229905</v>
          </cell>
          <cell r="P281" t="str">
            <v>GPHS65126</v>
          </cell>
          <cell r="Q281" t="str">
            <v>Not Applicable</v>
          </cell>
          <cell r="R281" t="str">
            <v>OHIO</v>
          </cell>
          <cell r="S281" t="str">
            <v>Respimedic</v>
          </cell>
          <cell r="T281" t="str">
            <v>Functioning</v>
          </cell>
          <cell r="U281" t="str">
            <v>Asset</v>
          </cell>
          <cell r="V281">
            <v>920</v>
          </cell>
          <cell r="W281" t="str">
            <v>KEW</v>
          </cell>
          <cell r="X281" t="str">
            <v>01/09/2010</v>
          </cell>
          <cell r="Y281" t="str">
            <v>KEW</v>
          </cell>
          <cell r="Z281" t="str">
            <v>16/08/2013</v>
          </cell>
          <cell r="AA281" t="str">
            <v>15/08/2015</v>
          </cell>
          <cell r="AB281" t="str">
            <v>No</v>
          </cell>
          <cell r="AC281" t="str">
            <v>31/08/2013</v>
          </cell>
          <cell r="AD281" t="str">
            <v>Good</v>
          </cell>
          <cell r="AE281" t="str">
            <v>V4 - Decommissioned Installed Facility</v>
          </cell>
          <cell r="AF281">
            <v>42937</v>
          </cell>
          <cell r="AG281">
            <v>9.17</v>
          </cell>
          <cell r="AH281" t="str">
            <v>RI</v>
          </cell>
          <cell r="AI281" t="str">
            <v>Strands</v>
          </cell>
          <cell r="AJ281" t="str">
            <v>Not under maintenance</v>
          </cell>
        </row>
        <row r="282">
          <cell r="A282" t="str">
            <v>IKN401587</v>
          </cell>
          <cell r="B282">
            <v>1521</v>
          </cell>
          <cell r="C282" t="str">
            <v>Institut Kanser Negara</v>
          </cell>
          <cell r="D282" t="str">
            <v>KKM/IKN/I/13/8958</v>
          </cell>
          <cell r="E282" t="str">
            <v>13-325</v>
          </cell>
          <cell r="F282" t="str">
            <v>Regulators, Suction</v>
          </cell>
          <cell r="G282" t="str">
            <v>WC</v>
          </cell>
          <cell r="H282" t="str">
            <v>SURGICAL ONCO FEMALE WARD</v>
          </cell>
          <cell r="I282" t="str">
            <v>06WC123</v>
          </cell>
          <cell r="J282" t="str">
            <v>ISOLATION 2 (-VE)</v>
          </cell>
          <cell r="K282" t="str">
            <v>BMED</v>
          </cell>
          <cell r="L282" t="str">
            <v>Normal</v>
          </cell>
          <cell r="M282" t="str">
            <v>United States</v>
          </cell>
          <cell r="N282" t="str">
            <v>OHIO</v>
          </cell>
          <cell r="O282" t="str">
            <v>R244047311229905</v>
          </cell>
          <cell r="P282" t="str">
            <v>GPHS65102</v>
          </cell>
          <cell r="Q282" t="str">
            <v>Not Applicable</v>
          </cell>
          <cell r="R282" t="str">
            <v>OHIO</v>
          </cell>
          <cell r="S282" t="str">
            <v>Respimedic</v>
          </cell>
          <cell r="T282" t="str">
            <v>Functioning</v>
          </cell>
          <cell r="U282" t="str">
            <v>Asset</v>
          </cell>
          <cell r="V282">
            <v>920</v>
          </cell>
          <cell r="W282" t="str">
            <v>KEW</v>
          </cell>
          <cell r="X282" t="str">
            <v>01/09/2010</v>
          </cell>
          <cell r="Y282" t="str">
            <v>KEW</v>
          </cell>
          <cell r="Z282" t="str">
            <v>16/08/2013</v>
          </cell>
          <cell r="AA282" t="str">
            <v>15/08/2015</v>
          </cell>
          <cell r="AB282" t="str">
            <v>No</v>
          </cell>
          <cell r="AC282" t="str">
            <v>31/08/2013</v>
          </cell>
          <cell r="AD282" t="str">
            <v>Good</v>
          </cell>
          <cell r="AE282" t="str">
            <v>V4 - Decommissioned Installed Facility</v>
          </cell>
          <cell r="AF282">
            <v>42926</v>
          </cell>
          <cell r="AG282">
            <v>9.17</v>
          </cell>
          <cell r="AH282" t="str">
            <v>RI</v>
          </cell>
          <cell r="AI282" t="str">
            <v>Strands</v>
          </cell>
          <cell r="AJ282" t="str">
            <v>Not under maintenance</v>
          </cell>
        </row>
        <row r="283">
          <cell r="A283" t="str">
            <v>IKN401588</v>
          </cell>
          <cell r="B283">
            <v>1522</v>
          </cell>
          <cell r="C283" t="str">
            <v>Institut Kanser Negara</v>
          </cell>
          <cell r="D283" t="str">
            <v>KKM/IKN/I/13/8954</v>
          </cell>
          <cell r="E283" t="str">
            <v>13-325</v>
          </cell>
          <cell r="F283" t="str">
            <v>Regulators, Suction</v>
          </cell>
          <cell r="G283" t="str">
            <v>WC</v>
          </cell>
          <cell r="H283" t="str">
            <v>SURGICAL ONCO FEMALE WARD</v>
          </cell>
          <cell r="I283" t="str">
            <v>06WC113</v>
          </cell>
          <cell r="J283" t="str">
            <v>EQUIPMENT ROOM</v>
          </cell>
          <cell r="K283" t="str">
            <v>BMED</v>
          </cell>
          <cell r="L283" t="str">
            <v>Normal</v>
          </cell>
          <cell r="M283" t="str">
            <v>United States</v>
          </cell>
          <cell r="N283" t="str">
            <v>OHIO</v>
          </cell>
          <cell r="O283" t="str">
            <v>R244047311229905</v>
          </cell>
          <cell r="P283" t="str">
            <v>GPHS65131</v>
          </cell>
          <cell r="Q283" t="str">
            <v>Not Applicable</v>
          </cell>
          <cell r="R283" t="str">
            <v>OHIO</v>
          </cell>
          <cell r="S283" t="str">
            <v>Respimedic</v>
          </cell>
          <cell r="T283" t="str">
            <v>Functioning</v>
          </cell>
          <cell r="U283" t="str">
            <v>Asset</v>
          </cell>
          <cell r="V283">
            <v>920</v>
          </cell>
          <cell r="W283" t="str">
            <v>KEW</v>
          </cell>
          <cell r="X283" t="str">
            <v>01/09/2010</v>
          </cell>
          <cell r="Y283" t="str">
            <v>KEW</v>
          </cell>
          <cell r="Z283" t="str">
            <v>16/08/2013</v>
          </cell>
          <cell r="AA283" t="str">
            <v>15/08/2015</v>
          </cell>
          <cell r="AB283" t="str">
            <v>No</v>
          </cell>
          <cell r="AC283" t="str">
            <v>31/08/2013</v>
          </cell>
          <cell r="AD283" t="str">
            <v>Good</v>
          </cell>
          <cell r="AE283" t="str">
            <v>V4 - Decommissioned Installed Facility</v>
          </cell>
          <cell r="AF283">
            <v>42926</v>
          </cell>
          <cell r="AG283">
            <v>9.17</v>
          </cell>
          <cell r="AH283" t="str">
            <v>RI</v>
          </cell>
          <cell r="AI283" t="str">
            <v>Strands</v>
          </cell>
          <cell r="AJ283" t="str">
            <v>Not under maintenance</v>
          </cell>
        </row>
        <row r="284">
          <cell r="A284" t="str">
            <v>IKN401589</v>
          </cell>
          <cell r="B284">
            <v>1523</v>
          </cell>
          <cell r="C284" t="str">
            <v>Institut Kanser Negara</v>
          </cell>
          <cell r="D284" t="str">
            <v>KKM/IKN/I/13/8956</v>
          </cell>
          <cell r="E284" t="str">
            <v>13-325</v>
          </cell>
          <cell r="F284" t="str">
            <v>Regulators, Suction</v>
          </cell>
          <cell r="G284" t="str">
            <v>WC</v>
          </cell>
          <cell r="H284" t="str">
            <v>SURGICAL ONCO FEMALE WARD</v>
          </cell>
          <cell r="I284" t="str">
            <v>06WC113</v>
          </cell>
          <cell r="J284" t="str">
            <v>EQUIPMENT ROOM</v>
          </cell>
          <cell r="K284" t="str">
            <v>BMED</v>
          </cell>
          <cell r="L284" t="str">
            <v>Normal</v>
          </cell>
          <cell r="M284" t="str">
            <v>United States</v>
          </cell>
          <cell r="N284" t="str">
            <v>OHIO</v>
          </cell>
          <cell r="O284" t="str">
            <v>R244047311229905</v>
          </cell>
          <cell r="P284" t="str">
            <v>GPHS65127</v>
          </cell>
          <cell r="Q284" t="str">
            <v>Not Applicable</v>
          </cell>
          <cell r="R284" t="str">
            <v>OHIO</v>
          </cell>
          <cell r="S284" t="str">
            <v>Respimedic</v>
          </cell>
          <cell r="T284" t="str">
            <v>Functioning</v>
          </cell>
          <cell r="U284" t="str">
            <v>Asset</v>
          </cell>
          <cell r="V284">
            <v>920</v>
          </cell>
          <cell r="W284" t="str">
            <v>KEW</v>
          </cell>
          <cell r="X284" t="str">
            <v>01/09/2010</v>
          </cell>
          <cell r="Y284" t="str">
            <v>KEW</v>
          </cell>
          <cell r="Z284" t="str">
            <v>16/08/2013</v>
          </cell>
          <cell r="AA284" t="str">
            <v>15/08/2015</v>
          </cell>
          <cell r="AB284" t="str">
            <v>No</v>
          </cell>
          <cell r="AC284" t="str">
            <v>31/08/2013</v>
          </cell>
          <cell r="AD284" t="str">
            <v>Good</v>
          </cell>
          <cell r="AE284" t="str">
            <v>V4 - Decommissioned Installed Facility</v>
          </cell>
          <cell r="AF284">
            <v>42926</v>
          </cell>
          <cell r="AG284">
            <v>9.17</v>
          </cell>
          <cell r="AH284" t="str">
            <v>RI</v>
          </cell>
          <cell r="AI284" t="str">
            <v>Strands</v>
          </cell>
          <cell r="AJ284" t="str">
            <v>Not under maintenance</v>
          </cell>
        </row>
        <row r="285">
          <cell r="A285" t="str">
            <v>IKN401590</v>
          </cell>
          <cell r="B285">
            <v>1524</v>
          </cell>
          <cell r="C285" t="str">
            <v>Institut Kanser Negara</v>
          </cell>
          <cell r="D285" t="str">
            <v>KKM/IKN/I/13/8951</v>
          </cell>
          <cell r="E285" t="str">
            <v>13-325</v>
          </cell>
          <cell r="F285" t="str">
            <v>Regulators, Suction</v>
          </cell>
          <cell r="G285" t="str">
            <v>WC</v>
          </cell>
          <cell r="H285" t="str">
            <v>SURGICAL ONCO FEMALE WARD</v>
          </cell>
          <cell r="I285" t="str">
            <v>06WC113</v>
          </cell>
          <cell r="J285" t="str">
            <v>EQUIPMENT ROOM</v>
          </cell>
          <cell r="K285" t="str">
            <v>BMED</v>
          </cell>
          <cell r="L285" t="str">
            <v>Normal</v>
          </cell>
          <cell r="M285" t="str">
            <v>United States</v>
          </cell>
          <cell r="N285" t="str">
            <v>OHIO</v>
          </cell>
          <cell r="O285" t="str">
            <v>R244047311229905</v>
          </cell>
          <cell r="P285" t="str">
            <v>GPHS65132</v>
          </cell>
          <cell r="Q285" t="str">
            <v>Not Applicable</v>
          </cell>
          <cell r="R285" t="str">
            <v>OHIO</v>
          </cell>
          <cell r="S285" t="str">
            <v>Respimedic</v>
          </cell>
          <cell r="T285" t="str">
            <v>Functioning</v>
          </cell>
          <cell r="U285" t="str">
            <v>Asset</v>
          </cell>
          <cell r="V285">
            <v>920</v>
          </cell>
          <cell r="W285" t="str">
            <v>KEW</v>
          </cell>
          <cell r="X285" t="str">
            <v>01/09/2010</v>
          </cell>
          <cell r="Y285" t="str">
            <v>KEW</v>
          </cell>
          <cell r="Z285" t="str">
            <v>16/08/2013</v>
          </cell>
          <cell r="AA285" t="str">
            <v>15/08/2015</v>
          </cell>
          <cell r="AB285" t="str">
            <v>No</v>
          </cell>
          <cell r="AC285" t="str">
            <v>31/08/2013</v>
          </cell>
          <cell r="AD285" t="str">
            <v>Good</v>
          </cell>
          <cell r="AE285" t="str">
            <v>V4 - Decommissioned Installed Facility</v>
          </cell>
          <cell r="AF285">
            <v>42926</v>
          </cell>
          <cell r="AG285">
            <v>9.17</v>
          </cell>
          <cell r="AH285" t="str">
            <v>RI</v>
          </cell>
          <cell r="AI285" t="str">
            <v>Strands</v>
          </cell>
          <cell r="AJ285" t="str">
            <v>Not under maintenance</v>
          </cell>
        </row>
        <row r="286">
          <cell r="A286" t="str">
            <v>IKN401591</v>
          </cell>
          <cell r="B286">
            <v>1525</v>
          </cell>
          <cell r="C286" t="str">
            <v>Institut Kanser Negara</v>
          </cell>
          <cell r="D286" t="e">
            <v>#N/A</v>
          </cell>
          <cell r="E286" t="str">
            <v>13-325</v>
          </cell>
          <cell r="F286" t="str">
            <v>Regulators, Suction</v>
          </cell>
          <cell r="G286" t="str">
            <v>WC</v>
          </cell>
          <cell r="H286" t="str">
            <v>SURGICAL ONCO FEMALE WARD</v>
          </cell>
          <cell r="I286" t="str">
            <v>06WC120</v>
          </cell>
          <cell r="J286" t="str">
            <v>ISOLATION 1</v>
          </cell>
          <cell r="K286" t="str">
            <v>BMED</v>
          </cell>
          <cell r="L286" t="str">
            <v>Normal</v>
          </cell>
          <cell r="M286" t="str">
            <v>United States</v>
          </cell>
          <cell r="N286" t="str">
            <v>OHIO</v>
          </cell>
          <cell r="O286" t="str">
            <v>R244047311229905</v>
          </cell>
          <cell r="P286" t="str">
            <v>GPHS65152</v>
          </cell>
          <cell r="Q286" t="str">
            <v>Not Applicable</v>
          </cell>
          <cell r="R286" t="str">
            <v>OHIO</v>
          </cell>
          <cell r="S286" t="str">
            <v>Respimedic</v>
          </cell>
          <cell r="T286" t="str">
            <v>Functioning</v>
          </cell>
          <cell r="U286" t="str">
            <v>Asset</v>
          </cell>
          <cell r="V286">
            <v>920</v>
          </cell>
          <cell r="W286" t="str">
            <v>KEW</v>
          </cell>
          <cell r="X286" t="str">
            <v>01/09/2010</v>
          </cell>
          <cell r="Y286" t="str">
            <v>KEW</v>
          </cell>
          <cell r="Z286" t="str">
            <v>16/08/2013</v>
          </cell>
          <cell r="AA286" t="str">
            <v>15/08/2015</v>
          </cell>
          <cell r="AB286" t="str">
            <v>No</v>
          </cell>
          <cell r="AC286" t="str">
            <v>31/08/2013</v>
          </cell>
          <cell r="AD286" t="str">
            <v>Good</v>
          </cell>
          <cell r="AE286" t="str">
            <v>V4 - Decommissioned Installed Facility</v>
          </cell>
          <cell r="AF286">
            <v>42922</v>
          </cell>
          <cell r="AG286">
            <v>9.17</v>
          </cell>
          <cell r="AH286" t="str">
            <v>RI</v>
          </cell>
          <cell r="AI286" t="str">
            <v>Not in contract</v>
          </cell>
          <cell r="AJ286" t="str">
            <v>Not under maintenance</v>
          </cell>
          <cell r="AK286" t="e">
            <v>#N/A</v>
          </cell>
        </row>
        <row r="287">
          <cell r="A287" t="str">
            <v>IKN401592</v>
          </cell>
          <cell r="B287">
            <v>1526</v>
          </cell>
          <cell r="C287" t="str">
            <v>Institut Kanser Negara</v>
          </cell>
          <cell r="D287" t="e">
            <v>#N/A</v>
          </cell>
          <cell r="E287" t="str">
            <v>13-325</v>
          </cell>
          <cell r="F287" t="str">
            <v>Regulators, Suction</v>
          </cell>
          <cell r="G287" t="str">
            <v>WC</v>
          </cell>
          <cell r="H287" t="str">
            <v>SURGICAL ONCO FEMALE WARD</v>
          </cell>
          <cell r="I287" t="str">
            <v>06WC120</v>
          </cell>
          <cell r="J287" t="str">
            <v>ISOLATION 1</v>
          </cell>
          <cell r="K287" t="str">
            <v>BMED</v>
          </cell>
          <cell r="L287" t="str">
            <v>Normal</v>
          </cell>
          <cell r="M287" t="str">
            <v>United States</v>
          </cell>
          <cell r="N287" t="str">
            <v>OHIO</v>
          </cell>
          <cell r="O287" t="str">
            <v>R244047311229905</v>
          </cell>
          <cell r="P287" t="str">
            <v>GPHS65077</v>
          </cell>
          <cell r="Q287" t="str">
            <v>Not Applicable</v>
          </cell>
          <cell r="R287" t="str">
            <v>OHIO</v>
          </cell>
          <cell r="S287" t="str">
            <v>Respimedic</v>
          </cell>
          <cell r="T287" t="str">
            <v>Functioning</v>
          </cell>
          <cell r="U287" t="str">
            <v>Asset</v>
          </cell>
          <cell r="V287">
            <v>920</v>
          </cell>
          <cell r="W287" t="str">
            <v>KEW</v>
          </cell>
          <cell r="X287" t="str">
            <v>01/09/2010</v>
          </cell>
          <cell r="Y287" t="str">
            <v>KEW</v>
          </cell>
          <cell r="Z287" t="str">
            <v>16/08/2013</v>
          </cell>
          <cell r="AA287" t="str">
            <v>15/08/2015</v>
          </cell>
          <cell r="AB287" t="str">
            <v>No</v>
          </cell>
          <cell r="AC287" t="str">
            <v>31/08/2013</v>
          </cell>
          <cell r="AD287" t="str">
            <v>Good</v>
          </cell>
          <cell r="AE287" t="str">
            <v>V4 - Decommissioned Installed Facility</v>
          </cell>
          <cell r="AF287">
            <v>42926</v>
          </cell>
          <cell r="AG287">
            <v>9.17</v>
          </cell>
          <cell r="AH287" t="str">
            <v>RI</v>
          </cell>
          <cell r="AI287" t="str">
            <v>Not in contract</v>
          </cell>
          <cell r="AJ287" t="str">
            <v>Not under maintenance</v>
          </cell>
          <cell r="AK287" t="e">
            <v>#N/A</v>
          </cell>
        </row>
        <row r="288">
          <cell r="A288" t="str">
            <v>IKN401593</v>
          </cell>
          <cell r="B288">
            <v>1527</v>
          </cell>
          <cell r="C288" t="str">
            <v>Institut Kanser Negara</v>
          </cell>
          <cell r="D288" t="str">
            <v>KKM/IKN/H/13/1492</v>
          </cell>
          <cell r="E288" t="str">
            <v>13-325</v>
          </cell>
          <cell r="F288" t="str">
            <v>Regulators, Suction</v>
          </cell>
          <cell r="G288" t="str">
            <v>WD</v>
          </cell>
          <cell r="H288" t="str">
            <v>RT/ONCO PAED/ADOLESCENT WARD</v>
          </cell>
          <cell r="I288" t="str">
            <v>06WD153</v>
          </cell>
          <cell r="J288" t="str">
            <v>EQP.ROOM</v>
          </cell>
          <cell r="K288" t="str">
            <v>BMED</v>
          </cell>
          <cell r="L288" t="str">
            <v>Normal</v>
          </cell>
          <cell r="M288" t="str">
            <v>United States</v>
          </cell>
          <cell r="N288" t="str">
            <v>OHIO</v>
          </cell>
          <cell r="O288" t="str">
            <v>R244047311229905</v>
          </cell>
          <cell r="P288" t="str">
            <v>GPHS65004</v>
          </cell>
          <cell r="Q288" t="str">
            <v>Not Applicable</v>
          </cell>
          <cell r="R288" t="str">
            <v>OHIO</v>
          </cell>
          <cell r="S288" t="str">
            <v>Respimedic</v>
          </cell>
          <cell r="T288" t="str">
            <v>Functioning</v>
          </cell>
          <cell r="U288" t="str">
            <v>Asset</v>
          </cell>
          <cell r="V288">
            <v>920</v>
          </cell>
          <cell r="W288" t="str">
            <v>KEW</v>
          </cell>
          <cell r="X288" t="str">
            <v>01/09/2010</v>
          </cell>
          <cell r="Y288" t="str">
            <v>KEW</v>
          </cell>
          <cell r="Z288" t="str">
            <v>16/08/2013</v>
          </cell>
          <cell r="AA288" t="str">
            <v>15/08/2015</v>
          </cell>
          <cell r="AB288" t="str">
            <v>No</v>
          </cell>
          <cell r="AC288" t="str">
            <v>31/08/2013</v>
          </cell>
          <cell r="AD288" t="str">
            <v>Good</v>
          </cell>
          <cell r="AE288" t="str">
            <v>V4 - Decommissioned Installed Facility</v>
          </cell>
          <cell r="AF288">
            <v>42927</v>
          </cell>
          <cell r="AG288">
            <v>9.17</v>
          </cell>
          <cell r="AH288" t="str">
            <v>RI</v>
          </cell>
          <cell r="AI288" t="str">
            <v>Strands</v>
          </cell>
          <cell r="AJ288" t="str">
            <v>Not under maintenance</v>
          </cell>
        </row>
        <row r="289">
          <cell r="A289" t="str">
            <v>IKN401594</v>
          </cell>
          <cell r="B289">
            <v>1528</v>
          </cell>
          <cell r="C289" t="str">
            <v>Institut Kanser Negara</v>
          </cell>
          <cell r="D289" t="str">
            <v>KKM/IKN/H/13/1487</v>
          </cell>
          <cell r="E289" t="str">
            <v>13-325</v>
          </cell>
          <cell r="F289" t="str">
            <v>Regulators, Suction</v>
          </cell>
          <cell r="G289" t="str">
            <v>WD</v>
          </cell>
          <cell r="H289" t="str">
            <v>RT/ONCO PAED/ADOLESCENT WARD</v>
          </cell>
          <cell r="I289" t="str">
            <v>06WD111</v>
          </cell>
          <cell r="J289" t="str">
            <v>ISOLATION 1 (+VE)</v>
          </cell>
          <cell r="K289" t="str">
            <v>BMED</v>
          </cell>
          <cell r="L289" t="str">
            <v>Normal</v>
          </cell>
          <cell r="M289" t="str">
            <v>United States</v>
          </cell>
          <cell r="N289" t="str">
            <v>OHIO</v>
          </cell>
          <cell r="O289" t="str">
            <v>R244047311229905</v>
          </cell>
          <cell r="P289" t="str">
            <v>GPHS65058</v>
          </cell>
          <cell r="Q289" t="str">
            <v>Not Applicable</v>
          </cell>
          <cell r="R289" t="str">
            <v>OHIO</v>
          </cell>
          <cell r="S289" t="str">
            <v>Respimedic</v>
          </cell>
          <cell r="T289" t="str">
            <v>Functioning</v>
          </cell>
          <cell r="U289" t="str">
            <v>Asset</v>
          </cell>
          <cell r="V289">
            <v>920</v>
          </cell>
          <cell r="W289" t="str">
            <v>KEW</v>
          </cell>
          <cell r="X289" t="str">
            <v>01/09/2010</v>
          </cell>
          <cell r="Y289" t="str">
            <v>KEW</v>
          </cell>
          <cell r="Z289" t="str">
            <v>16/08/2013</v>
          </cell>
          <cell r="AA289" t="str">
            <v>15/08/2015</v>
          </cell>
          <cell r="AB289" t="str">
            <v>No</v>
          </cell>
          <cell r="AC289" t="str">
            <v>31/08/2013</v>
          </cell>
          <cell r="AD289" t="str">
            <v>Good</v>
          </cell>
          <cell r="AE289" t="str">
            <v>V4 - Decommissioned Installed Facility</v>
          </cell>
          <cell r="AF289">
            <v>42927</v>
          </cell>
          <cell r="AG289">
            <v>9.17</v>
          </cell>
          <cell r="AH289" t="str">
            <v>RI</v>
          </cell>
          <cell r="AI289" t="str">
            <v>Strands</v>
          </cell>
          <cell r="AJ289" t="str">
            <v>Not under maintenance</v>
          </cell>
        </row>
        <row r="290">
          <cell r="A290" t="str">
            <v>IKN401595</v>
          </cell>
          <cell r="B290">
            <v>1529</v>
          </cell>
          <cell r="C290" t="str">
            <v>Institut Kanser Negara</v>
          </cell>
          <cell r="D290" t="str">
            <v>KKM/IKN/H/13/1486</v>
          </cell>
          <cell r="E290" t="str">
            <v>13-325</v>
          </cell>
          <cell r="F290" t="str">
            <v>Regulators, Suction</v>
          </cell>
          <cell r="G290" t="str">
            <v>WD</v>
          </cell>
          <cell r="H290" t="str">
            <v>RT/ONCO PAED/ADOLESCENT WARD</v>
          </cell>
          <cell r="I290" t="str">
            <v>06WD153</v>
          </cell>
          <cell r="J290" t="str">
            <v>EQP.ROOM</v>
          </cell>
          <cell r="K290" t="str">
            <v>BMED</v>
          </cell>
          <cell r="L290" t="str">
            <v>Normal</v>
          </cell>
          <cell r="M290" t="str">
            <v>United States</v>
          </cell>
          <cell r="N290" t="str">
            <v>OHIO</v>
          </cell>
          <cell r="O290" t="str">
            <v>R244047311229905</v>
          </cell>
          <cell r="P290" t="str">
            <v>GPHS65006</v>
          </cell>
          <cell r="Q290" t="str">
            <v>Not Applicable</v>
          </cell>
          <cell r="R290" t="str">
            <v>OHIO</v>
          </cell>
          <cell r="S290" t="str">
            <v>Respimedic</v>
          </cell>
          <cell r="T290" t="str">
            <v>Functioning</v>
          </cell>
          <cell r="U290" t="str">
            <v>Asset</v>
          </cell>
          <cell r="V290">
            <v>920</v>
          </cell>
          <cell r="W290" t="str">
            <v>KEW</v>
          </cell>
          <cell r="X290" t="str">
            <v>01/09/2010</v>
          </cell>
          <cell r="Y290" t="str">
            <v>KEW</v>
          </cell>
          <cell r="Z290" t="str">
            <v>16/08/2013</v>
          </cell>
          <cell r="AA290" t="str">
            <v>15/08/2015</v>
          </cell>
          <cell r="AB290" t="str">
            <v>No</v>
          </cell>
          <cell r="AC290" t="str">
            <v>31/08/2013</v>
          </cell>
          <cell r="AD290" t="str">
            <v>Good</v>
          </cell>
          <cell r="AE290" t="str">
            <v>V4 - Decommissioned Installed Facility</v>
          </cell>
          <cell r="AF290">
            <v>42926</v>
          </cell>
          <cell r="AG290">
            <v>9.17</v>
          </cell>
          <cell r="AH290" t="str">
            <v>RI</v>
          </cell>
          <cell r="AI290" t="str">
            <v>Strands</v>
          </cell>
          <cell r="AJ290" t="str">
            <v>Not under maintenance</v>
          </cell>
        </row>
        <row r="291">
          <cell r="A291" t="str">
            <v>IKN401596</v>
          </cell>
          <cell r="B291">
            <v>1530</v>
          </cell>
          <cell r="C291" t="str">
            <v>Institut Kanser Negara</v>
          </cell>
          <cell r="D291" t="str">
            <v>KKM/IKN/H/13/1483</v>
          </cell>
          <cell r="E291" t="str">
            <v>13-325</v>
          </cell>
          <cell r="F291" t="str">
            <v>Regulators, Suction</v>
          </cell>
          <cell r="G291" t="str">
            <v>WD</v>
          </cell>
          <cell r="H291" t="str">
            <v>RT/ONCO PAED/ADOLESCENT WARD</v>
          </cell>
          <cell r="I291" t="str">
            <v>06WD153</v>
          </cell>
          <cell r="J291" t="str">
            <v>EQP.ROOM</v>
          </cell>
          <cell r="K291" t="str">
            <v>BMED</v>
          </cell>
          <cell r="L291" t="str">
            <v>Normal</v>
          </cell>
          <cell r="M291" t="str">
            <v>United States</v>
          </cell>
          <cell r="N291" t="str">
            <v>OHIO</v>
          </cell>
          <cell r="O291" t="str">
            <v>R244047311229905</v>
          </cell>
          <cell r="P291" t="str">
            <v>GPHS65003</v>
          </cell>
          <cell r="Q291" t="str">
            <v>Not Applicable</v>
          </cell>
          <cell r="R291" t="str">
            <v>OHIO</v>
          </cell>
          <cell r="S291" t="str">
            <v>Respimedic</v>
          </cell>
          <cell r="T291" t="str">
            <v>Functioning</v>
          </cell>
          <cell r="U291" t="str">
            <v>Asset</v>
          </cell>
          <cell r="V291">
            <v>920</v>
          </cell>
          <cell r="W291" t="str">
            <v>KEW</v>
          </cell>
          <cell r="X291" t="str">
            <v>01/09/2010</v>
          </cell>
          <cell r="Y291" t="str">
            <v>KEW</v>
          </cell>
          <cell r="Z291" t="str">
            <v>16/08/2013</v>
          </cell>
          <cell r="AA291" t="str">
            <v>15/08/2015</v>
          </cell>
          <cell r="AB291" t="str">
            <v>No</v>
          </cell>
          <cell r="AC291" t="str">
            <v>31/08/2013</v>
          </cell>
          <cell r="AD291" t="str">
            <v>Good</v>
          </cell>
          <cell r="AE291" t="str">
            <v>V4 - Decommissioned Installed Facility</v>
          </cell>
          <cell r="AF291">
            <v>42926</v>
          </cell>
          <cell r="AG291">
            <v>9.17</v>
          </cell>
          <cell r="AH291" t="str">
            <v>RI</v>
          </cell>
          <cell r="AI291" t="str">
            <v>Strands</v>
          </cell>
          <cell r="AJ291" t="str">
            <v>Not under maintenance</v>
          </cell>
        </row>
        <row r="292">
          <cell r="A292" t="str">
            <v>IKN401597</v>
          </cell>
          <cell r="B292">
            <v>1531</v>
          </cell>
          <cell r="C292" t="str">
            <v>Institut Kanser Negara</v>
          </cell>
          <cell r="D292" t="str">
            <v>KKM/IKN/H/13/1485</v>
          </cell>
          <cell r="E292" t="str">
            <v>13-325</v>
          </cell>
          <cell r="F292" t="str">
            <v>Regulators, Suction</v>
          </cell>
          <cell r="G292" t="str">
            <v>WD</v>
          </cell>
          <cell r="H292" t="str">
            <v>RT/ONCO PAED/ADOLESCENT WARD</v>
          </cell>
          <cell r="I292" t="str">
            <v>06WD120</v>
          </cell>
          <cell r="J292" t="str">
            <v>ISOLATION 4 (-VE)</v>
          </cell>
          <cell r="K292" t="str">
            <v>BMED</v>
          </cell>
          <cell r="L292" t="str">
            <v>Normal</v>
          </cell>
          <cell r="M292" t="str">
            <v>United States</v>
          </cell>
          <cell r="N292" t="str">
            <v>OHIO</v>
          </cell>
          <cell r="O292" t="str">
            <v>R244047311229905</v>
          </cell>
          <cell r="P292" t="str">
            <v>GPHS65008</v>
          </cell>
          <cell r="Q292" t="str">
            <v>Not Applicable</v>
          </cell>
          <cell r="R292" t="str">
            <v>OHIO</v>
          </cell>
          <cell r="S292" t="str">
            <v>Respimedic</v>
          </cell>
          <cell r="T292" t="str">
            <v>Functioning</v>
          </cell>
          <cell r="U292" t="str">
            <v>Asset</v>
          </cell>
          <cell r="V292">
            <v>920</v>
          </cell>
          <cell r="W292" t="str">
            <v>KEW</v>
          </cell>
          <cell r="X292" t="str">
            <v>01/09/2010</v>
          </cell>
          <cell r="Y292" t="str">
            <v>KEW</v>
          </cell>
          <cell r="Z292" t="str">
            <v>16/08/2013</v>
          </cell>
          <cell r="AA292" t="str">
            <v>15/08/2015</v>
          </cell>
          <cell r="AB292" t="str">
            <v>No</v>
          </cell>
          <cell r="AC292" t="str">
            <v>31/08/2013</v>
          </cell>
          <cell r="AD292" t="str">
            <v>Good</v>
          </cell>
          <cell r="AE292" t="str">
            <v>V4 - Decommissioned Installed Facility</v>
          </cell>
          <cell r="AF292">
            <v>42926</v>
          </cell>
          <cell r="AG292">
            <v>9.17</v>
          </cell>
          <cell r="AH292" t="str">
            <v>RI</v>
          </cell>
          <cell r="AI292" t="str">
            <v>Strands</v>
          </cell>
          <cell r="AJ292" t="str">
            <v>Not under maintenance</v>
          </cell>
        </row>
        <row r="293">
          <cell r="A293" t="str">
            <v>IKN401598</v>
          </cell>
          <cell r="B293">
            <v>1532</v>
          </cell>
          <cell r="C293" t="str">
            <v>Institut Kanser Negara</v>
          </cell>
          <cell r="D293" t="str">
            <v>KKM/IKN/H/13/1490</v>
          </cell>
          <cell r="E293" t="str">
            <v>13-325</v>
          </cell>
          <cell r="F293" t="str">
            <v>Regulators, Suction</v>
          </cell>
          <cell r="G293" t="str">
            <v>WD</v>
          </cell>
          <cell r="H293" t="str">
            <v>RT/ONCO PAED/ADOLESCENT WARD</v>
          </cell>
          <cell r="I293" t="str">
            <v>06WD114</v>
          </cell>
          <cell r="J293" t="str">
            <v>ISOLATION 2 (+VE)</v>
          </cell>
          <cell r="K293" t="str">
            <v>BMED</v>
          </cell>
          <cell r="L293" t="str">
            <v>Normal</v>
          </cell>
          <cell r="M293" t="str">
            <v>United States</v>
          </cell>
          <cell r="N293" t="str">
            <v>OHIO</v>
          </cell>
          <cell r="O293" t="str">
            <v>R244047311229905</v>
          </cell>
          <cell r="P293" t="str">
            <v>GPHS65056</v>
          </cell>
          <cell r="Q293" t="str">
            <v>Not Applicable</v>
          </cell>
          <cell r="R293" t="str">
            <v>OHIO</v>
          </cell>
          <cell r="S293" t="str">
            <v>Respimedic</v>
          </cell>
          <cell r="T293" t="str">
            <v>Functioning</v>
          </cell>
          <cell r="U293" t="str">
            <v>Asset</v>
          </cell>
          <cell r="V293">
            <v>920</v>
          </cell>
          <cell r="W293" t="str">
            <v>KEW</v>
          </cell>
          <cell r="X293" t="str">
            <v>01/09/2010</v>
          </cell>
          <cell r="Y293" t="str">
            <v>KEW</v>
          </cell>
          <cell r="Z293" t="str">
            <v>16/08/2013</v>
          </cell>
          <cell r="AA293" t="str">
            <v>15/08/2015</v>
          </cell>
          <cell r="AB293" t="str">
            <v>No</v>
          </cell>
          <cell r="AC293" t="str">
            <v>31/08/2013</v>
          </cell>
          <cell r="AD293" t="str">
            <v>Good</v>
          </cell>
          <cell r="AE293" t="str">
            <v>V4 - Decommissioned Installed Facility</v>
          </cell>
          <cell r="AF293">
            <v>42926</v>
          </cell>
          <cell r="AG293">
            <v>9.17</v>
          </cell>
          <cell r="AH293" t="str">
            <v>RI</v>
          </cell>
          <cell r="AI293" t="str">
            <v>Strands</v>
          </cell>
          <cell r="AJ293" t="str">
            <v>Not under maintenance</v>
          </cell>
        </row>
        <row r="294">
          <cell r="A294" t="str">
            <v>IKN401599</v>
          </cell>
          <cell r="B294">
            <v>1533</v>
          </cell>
          <cell r="C294" t="str">
            <v>Institut Kanser Negara</v>
          </cell>
          <cell r="D294" t="str">
            <v>KKM/IKN/H/13/1484</v>
          </cell>
          <cell r="E294" t="str">
            <v>13-325</v>
          </cell>
          <cell r="F294" t="str">
            <v>Regulators, Suction</v>
          </cell>
          <cell r="G294" t="str">
            <v>WD</v>
          </cell>
          <cell r="H294" t="str">
            <v>RT/ONCO PAED/ADOLESCENT WARD</v>
          </cell>
          <cell r="I294" t="str">
            <v>06WD119</v>
          </cell>
          <cell r="J294" t="str">
            <v>ISOLATION 3(-VE)</v>
          </cell>
          <cell r="K294" t="str">
            <v>BMED</v>
          </cell>
          <cell r="L294" t="str">
            <v>Normal</v>
          </cell>
          <cell r="M294" t="str">
            <v>United States</v>
          </cell>
          <cell r="N294" t="str">
            <v>OHIO</v>
          </cell>
          <cell r="O294" t="str">
            <v>R244047311229905</v>
          </cell>
          <cell r="P294" t="str">
            <v>GPHS65055</v>
          </cell>
          <cell r="Q294" t="str">
            <v>Not Applicable</v>
          </cell>
          <cell r="R294" t="str">
            <v>OHIO</v>
          </cell>
          <cell r="S294" t="str">
            <v>Respimedic</v>
          </cell>
          <cell r="T294" t="str">
            <v>Functioning</v>
          </cell>
          <cell r="U294" t="str">
            <v>Asset</v>
          </cell>
          <cell r="V294">
            <v>920</v>
          </cell>
          <cell r="W294" t="str">
            <v>KEW</v>
          </cell>
          <cell r="X294" t="str">
            <v>01/09/2010</v>
          </cell>
          <cell r="Y294" t="str">
            <v>KEW</v>
          </cell>
          <cell r="Z294" t="str">
            <v>16/08/2013</v>
          </cell>
          <cell r="AA294" t="str">
            <v>15/08/2015</v>
          </cell>
          <cell r="AB294" t="str">
            <v>No</v>
          </cell>
          <cell r="AC294" t="str">
            <v>31/08/2013</v>
          </cell>
          <cell r="AD294" t="str">
            <v>Good</v>
          </cell>
          <cell r="AE294" t="str">
            <v>V4 - Decommissioned Installed Facility</v>
          </cell>
          <cell r="AF294">
            <v>42926</v>
          </cell>
          <cell r="AG294">
            <v>9.17</v>
          </cell>
          <cell r="AH294" t="str">
            <v>RI</v>
          </cell>
          <cell r="AI294" t="str">
            <v>Strands</v>
          </cell>
          <cell r="AJ294" t="str">
            <v>Not under maintenance</v>
          </cell>
        </row>
        <row r="295">
          <cell r="A295" t="str">
            <v>IKN401600</v>
          </cell>
          <cell r="B295">
            <v>1534</v>
          </cell>
          <cell r="C295" t="str">
            <v>Institut Kanser Negara</v>
          </cell>
          <cell r="D295" t="str">
            <v>KKM/IKN/H/13/1489</v>
          </cell>
          <cell r="E295" t="str">
            <v>13-325</v>
          </cell>
          <cell r="F295" t="str">
            <v>Regulators, Suction</v>
          </cell>
          <cell r="G295" t="str">
            <v>WD</v>
          </cell>
          <cell r="H295" t="str">
            <v>RT/ONCO PAED/ADOLESCENT WARD</v>
          </cell>
          <cell r="I295" t="str">
            <v>06WD153</v>
          </cell>
          <cell r="J295" t="str">
            <v>EQP.ROOM</v>
          </cell>
          <cell r="K295" t="str">
            <v>BMED</v>
          </cell>
          <cell r="L295" t="str">
            <v>Normal</v>
          </cell>
          <cell r="M295" t="str">
            <v>United States</v>
          </cell>
          <cell r="N295" t="str">
            <v>OHIO</v>
          </cell>
          <cell r="O295" t="str">
            <v>R244047311229905</v>
          </cell>
          <cell r="P295" t="str">
            <v>GPHS65005</v>
          </cell>
          <cell r="Q295" t="str">
            <v>Not Applicable</v>
          </cell>
          <cell r="R295" t="str">
            <v>OHIO</v>
          </cell>
          <cell r="S295" t="str">
            <v>Respimedic</v>
          </cell>
          <cell r="T295" t="str">
            <v>Functioning</v>
          </cell>
          <cell r="U295" t="str">
            <v>Asset</v>
          </cell>
          <cell r="V295">
            <v>920</v>
          </cell>
          <cell r="W295" t="str">
            <v>KEW</v>
          </cell>
          <cell r="X295" t="str">
            <v>01/09/2010</v>
          </cell>
          <cell r="Y295" t="str">
            <v>KEW</v>
          </cell>
          <cell r="Z295" t="str">
            <v>16/08/2013</v>
          </cell>
          <cell r="AA295" t="str">
            <v>15/08/2015</v>
          </cell>
          <cell r="AB295" t="str">
            <v>No</v>
          </cell>
          <cell r="AC295" t="str">
            <v>31/08/2013</v>
          </cell>
          <cell r="AD295" t="str">
            <v>Good</v>
          </cell>
          <cell r="AE295" t="str">
            <v>V4 - Decommissioned Installed Facility</v>
          </cell>
          <cell r="AF295">
            <v>42926</v>
          </cell>
          <cell r="AG295">
            <v>9.17</v>
          </cell>
          <cell r="AH295" t="str">
            <v>RI</v>
          </cell>
          <cell r="AI295" t="str">
            <v>Strands</v>
          </cell>
          <cell r="AJ295" t="str">
            <v>Not under maintenance</v>
          </cell>
        </row>
        <row r="296">
          <cell r="A296" t="str">
            <v>IKN401601</v>
          </cell>
          <cell r="B296">
            <v>1535</v>
          </cell>
          <cell r="C296" t="str">
            <v>Institut Kanser Negara</v>
          </cell>
          <cell r="D296" t="str">
            <v>KKM/IKN/H/13/1488</v>
          </cell>
          <cell r="E296" t="str">
            <v>13-325</v>
          </cell>
          <cell r="F296" t="str">
            <v>Regulators, Suction</v>
          </cell>
          <cell r="G296" t="str">
            <v>WD</v>
          </cell>
          <cell r="H296" t="str">
            <v>RT/ONCO PAED/ADOLESCENT WARD</v>
          </cell>
          <cell r="I296" t="str">
            <v>06WD124</v>
          </cell>
          <cell r="J296" t="str">
            <v>TREATMENT / PROCEDURE</v>
          </cell>
          <cell r="K296" t="str">
            <v>BMED</v>
          </cell>
          <cell r="L296" t="str">
            <v>Normal</v>
          </cell>
          <cell r="M296" t="str">
            <v>United States</v>
          </cell>
          <cell r="N296" t="str">
            <v>OHIO</v>
          </cell>
          <cell r="O296" t="str">
            <v>R244047311229905</v>
          </cell>
          <cell r="P296" t="str">
            <v>GPHS65009</v>
          </cell>
          <cell r="Q296" t="str">
            <v>Not Applicable</v>
          </cell>
          <cell r="R296" t="str">
            <v>OHIO</v>
          </cell>
          <cell r="S296" t="str">
            <v>Respimedic</v>
          </cell>
          <cell r="T296" t="str">
            <v>Functioning</v>
          </cell>
          <cell r="U296" t="str">
            <v>Asset</v>
          </cell>
          <cell r="V296">
            <v>920</v>
          </cell>
          <cell r="W296" t="str">
            <v>KEW</v>
          </cell>
          <cell r="X296" t="str">
            <v>01/09/2010</v>
          </cell>
          <cell r="Y296" t="str">
            <v>Estimate</v>
          </cell>
          <cell r="Z296" t="str">
            <v>16/08/2013</v>
          </cell>
          <cell r="AA296" t="str">
            <v>15/08/2015</v>
          </cell>
          <cell r="AB296" t="str">
            <v>No</v>
          </cell>
          <cell r="AC296" t="str">
            <v>31/08/2013</v>
          </cell>
          <cell r="AD296" t="str">
            <v>Good</v>
          </cell>
          <cell r="AE296" t="str">
            <v>V4 - Decommissioned Installed Facility</v>
          </cell>
          <cell r="AF296">
            <v>42926</v>
          </cell>
          <cell r="AG296">
            <v>9.17</v>
          </cell>
          <cell r="AH296" t="str">
            <v>RI</v>
          </cell>
          <cell r="AI296" t="str">
            <v>Strands</v>
          </cell>
          <cell r="AJ296" t="str">
            <v>Not under maintenance</v>
          </cell>
        </row>
        <row r="297">
          <cell r="A297" t="str">
            <v>IKN401602</v>
          </cell>
          <cell r="B297">
            <v>1536</v>
          </cell>
          <cell r="C297" t="str">
            <v>Institut Kanser Negara</v>
          </cell>
          <cell r="D297" t="str">
            <v>KKM/IKN/H/13/1491</v>
          </cell>
          <cell r="E297" t="str">
            <v>13-325</v>
          </cell>
          <cell r="F297" t="str">
            <v>Regulators, Suction</v>
          </cell>
          <cell r="G297" t="str">
            <v>WD</v>
          </cell>
          <cell r="H297" t="str">
            <v>RT/ONCO PAED/ADOLESCENT WARD</v>
          </cell>
          <cell r="I297" t="str">
            <v>06WD153</v>
          </cell>
          <cell r="J297" t="str">
            <v>EQP.ROOM</v>
          </cell>
          <cell r="K297" t="str">
            <v>BMED</v>
          </cell>
          <cell r="L297" t="str">
            <v>Normal</v>
          </cell>
          <cell r="M297" t="str">
            <v>United States</v>
          </cell>
          <cell r="N297" t="str">
            <v>OHIO</v>
          </cell>
          <cell r="O297" t="str">
            <v>R244047311229905</v>
          </cell>
          <cell r="P297" t="str">
            <v>GPHS65001</v>
          </cell>
          <cell r="Q297" t="str">
            <v>Not Applicable</v>
          </cell>
          <cell r="R297" t="str">
            <v>OHIO</v>
          </cell>
          <cell r="S297" t="str">
            <v>Respimedic</v>
          </cell>
          <cell r="T297" t="str">
            <v>Functioning</v>
          </cell>
          <cell r="U297" t="str">
            <v>Asset</v>
          </cell>
          <cell r="V297">
            <v>920</v>
          </cell>
          <cell r="W297" t="str">
            <v>KEW</v>
          </cell>
          <cell r="X297" t="str">
            <v>01/09/2010</v>
          </cell>
          <cell r="Y297" t="str">
            <v>KEW</v>
          </cell>
          <cell r="Z297" t="str">
            <v>16/08/2013</v>
          </cell>
          <cell r="AA297" t="str">
            <v>15/08/2015</v>
          </cell>
          <cell r="AB297" t="str">
            <v>No</v>
          </cell>
          <cell r="AC297" t="str">
            <v>31/08/2013</v>
          </cell>
          <cell r="AD297" t="str">
            <v>Good</v>
          </cell>
          <cell r="AE297" t="str">
            <v>V4 - Decommissioned Installed Facility</v>
          </cell>
          <cell r="AF297">
            <v>42927</v>
          </cell>
          <cell r="AG297">
            <v>9.17</v>
          </cell>
          <cell r="AH297" t="str">
            <v>RI</v>
          </cell>
          <cell r="AI297" t="str">
            <v>Strands</v>
          </cell>
          <cell r="AJ297" t="str">
            <v>Not under maintenance</v>
          </cell>
        </row>
        <row r="298">
          <cell r="A298" t="str">
            <v>IKN401603</v>
          </cell>
          <cell r="B298">
            <v>1537</v>
          </cell>
          <cell r="C298" t="str">
            <v>Institut Kanser Negara</v>
          </cell>
          <cell r="D298" t="e">
            <v>#N/A</v>
          </cell>
          <cell r="E298" t="str">
            <v>13-325</v>
          </cell>
          <cell r="F298" t="str">
            <v>Regulators, Suction</v>
          </cell>
          <cell r="G298" t="str">
            <v>WE</v>
          </cell>
          <cell r="H298" t="str">
            <v>RT/ONCO WARD 1 (F)</v>
          </cell>
          <cell r="I298" t="str">
            <v>07WE113</v>
          </cell>
          <cell r="J298" t="str">
            <v>EQUIPMENT ROOM</v>
          </cell>
          <cell r="K298" t="str">
            <v>BMED</v>
          </cell>
          <cell r="L298" t="str">
            <v>Normal</v>
          </cell>
          <cell r="M298" t="str">
            <v>United States</v>
          </cell>
          <cell r="N298" t="str">
            <v>OHIO</v>
          </cell>
          <cell r="O298" t="str">
            <v>R244047311229905</v>
          </cell>
          <cell r="P298" t="str">
            <v>GPHS65173</v>
          </cell>
          <cell r="Q298" t="str">
            <v>Not Applicable</v>
          </cell>
          <cell r="R298" t="str">
            <v>OHIO</v>
          </cell>
          <cell r="S298" t="str">
            <v>Respimedic</v>
          </cell>
          <cell r="T298" t="str">
            <v>Functioning</v>
          </cell>
          <cell r="U298" t="str">
            <v>Asset</v>
          </cell>
          <cell r="V298">
            <v>920</v>
          </cell>
          <cell r="W298" t="str">
            <v>KEW</v>
          </cell>
          <cell r="X298" t="str">
            <v>01/09/2010</v>
          </cell>
          <cell r="Y298" t="str">
            <v>KEW</v>
          </cell>
          <cell r="Z298" t="str">
            <v>16/08/2013</v>
          </cell>
          <cell r="AA298" t="str">
            <v>15/08/2015</v>
          </cell>
          <cell r="AB298" t="str">
            <v>No</v>
          </cell>
          <cell r="AC298" t="str">
            <v>31/08/2013</v>
          </cell>
          <cell r="AD298" t="str">
            <v>Good</v>
          </cell>
          <cell r="AE298" t="str">
            <v>V4 - Decommissioned Installed Facility</v>
          </cell>
          <cell r="AF298">
            <v>42927</v>
          </cell>
          <cell r="AG298">
            <v>9.17</v>
          </cell>
          <cell r="AH298" t="str">
            <v>RI</v>
          </cell>
          <cell r="AI298" t="str">
            <v>Not in contract</v>
          </cell>
          <cell r="AJ298" t="str">
            <v>Not under maintenance</v>
          </cell>
          <cell r="AK298" t="e">
            <v>#N/A</v>
          </cell>
        </row>
        <row r="299">
          <cell r="A299" t="str">
            <v>IKN401604</v>
          </cell>
          <cell r="B299">
            <v>1538</v>
          </cell>
          <cell r="C299" t="str">
            <v>Institut Kanser Negara</v>
          </cell>
          <cell r="D299" t="e">
            <v>#N/A</v>
          </cell>
          <cell r="E299" t="str">
            <v>13-325</v>
          </cell>
          <cell r="F299" t="str">
            <v>Regulators, Suction</v>
          </cell>
          <cell r="G299" t="str">
            <v>WE</v>
          </cell>
          <cell r="H299" t="str">
            <v>RT/ONCO WARD 1 (F)</v>
          </cell>
          <cell r="I299" t="str">
            <v>07WE113</v>
          </cell>
          <cell r="J299" t="str">
            <v>EQUIPMENT ROOM</v>
          </cell>
          <cell r="K299" t="str">
            <v>BMED</v>
          </cell>
          <cell r="L299" t="str">
            <v>Normal</v>
          </cell>
          <cell r="M299" t="str">
            <v>United States</v>
          </cell>
          <cell r="N299" t="str">
            <v>OHIO</v>
          </cell>
          <cell r="O299" t="str">
            <v>R244047311229905</v>
          </cell>
          <cell r="P299" t="str">
            <v>GPHS65096</v>
          </cell>
          <cell r="Q299" t="str">
            <v>Not Applicable</v>
          </cell>
          <cell r="R299" t="str">
            <v>OHIO</v>
          </cell>
          <cell r="S299" t="str">
            <v>Respimedic</v>
          </cell>
          <cell r="T299" t="str">
            <v>Functioning</v>
          </cell>
          <cell r="U299" t="str">
            <v>Asset</v>
          </cell>
          <cell r="V299">
            <v>920</v>
          </cell>
          <cell r="W299" t="str">
            <v>KEW</v>
          </cell>
          <cell r="X299" t="str">
            <v>01/09/2010</v>
          </cell>
          <cell r="Y299" t="str">
            <v>KEW</v>
          </cell>
          <cell r="Z299" t="str">
            <v>16/08/2013</v>
          </cell>
          <cell r="AA299" t="str">
            <v>15/08/2015</v>
          </cell>
          <cell r="AB299" t="str">
            <v>No</v>
          </cell>
          <cell r="AC299" t="str">
            <v>31/08/2013</v>
          </cell>
          <cell r="AD299" t="str">
            <v>Good</v>
          </cell>
          <cell r="AE299" t="str">
            <v>V4 - Decommissioned Installed Facility</v>
          </cell>
          <cell r="AF299">
            <v>42927</v>
          </cell>
          <cell r="AG299">
            <v>9.17</v>
          </cell>
          <cell r="AH299" t="str">
            <v>RI</v>
          </cell>
          <cell r="AI299" t="str">
            <v>Not in contract</v>
          </cell>
          <cell r="AJ299" t="str">
            <v>Not under maintenance</v>
          </cell>
          <cell r="AK299" t="e">
            <v>#N/A</v>
          </cell>
        </row>
        <row r="300">
          <cell r="A300" t="str">
            <v>IKN401605</v>
          </cell>
          <cell r="B300">
            <v>1539</v>
          </cell>
          <cell r="C300" t="str">
            <v>Institut Kanser Negara</v>
          </cell>
          <cell r="D300" t="str">
            <v>KKM/IKN/H/13/2239</v>
          </cell>
          <cell r="E300" t="str">
            <v>13-325</v>
          </cell>
          <cell r="F300" t="str">
            <v>Regulators, Suction</v>
          </cell>
          <cell r="G300" t="str">
            <v>WE</v>
          </cell>
          <cell r="H300" t="str">
            <v>RT/ONCO WARD 1 (F)</v>
          </cell>
          <cell r="I300" t="str">
            <v>07WE107</v>
          </cell>
          <cell r="J300" t="str">
            <v>TREATMENT / PROCESURE</v>
          </cell>
          <cell r="K300" t="str">
            <v>BMED</v>
          </cell>
          <cell r="L300" t="str">
            <v>Normal</v>
          </cell>
          <cell r="M300" t="str">
            <v>United States</v>
          </cell>
          <cell r="N300" t="str">
            <v>OHIO</v>
          </cell>
          <cell r="O300" t="str">
            <v>R244047311229905</v>
          </cell>
          <cell r="P300" t="str">
            <v>GPHS65197</v>
          </cell>
          <cell r="Q300" t="str">
            <v>Not Applicable</v>
          </cell>
          <cell r="R300" t="str">
            <v>OHIO</v>
          </cell>
          <cell r="S300" t="str">
            <v>Respimedic</v>
          </cell>
          <cell r="T300" t="str">
            <v>Functioning</v>
          </cell>
          <cell r="U300" t="str">
            <v>Asset</v>
          </cell>
          <cell r="V300">
            <v>920</v>
          </cell>
          <cell r="W300" t="str">
            <v>KEW</v>
          </cell>
          <cell r="X300" t="str">
            <v>01/09/2010</v>
          </cell>
          <cell r="Y300" t="str">
            <v>KEW</v>
          </cell>
          <cell r="Z300" t="str">
            <v>16/08/2013</v>
          </cell>
          <cell r="AA300" t="str">
            <v>15/08/2015</v>
          </cell>
          <cell r="AB300" t="str">
            <v>No</v>
          </cell>
          <cell r="AC300" t="str">
            <v>31/08/2013</v>
          </cell>
          <cell r="AD300" t="str">
            <v>Good</v>
          </cell>
          <cell r="AE300" t="str">
            <v>V4 - Decommissioned Installed Facility</v>
          </cell>
          <cell r="AF300">
            <v>42927</v>
          </cell>
          <cell r="AG300">
            <v>9.17</v>
          </cell>
          <cell r="AH300" t="str">
            <v>RI</v>
          </cell>
          <cell r="AI300" t="str">
            <v>Strands</v>
          </cell>
          <cell r="AJ300" t="str">
            <v>Not under maintenance</v>
          </cell>
        </row>
        <row r="301">
          <cell r="A301" t="str">
            <v>IKN401606</v>
          </cell>
          <cell r="B301">
            <v>1540</v>
          </cell>
          <cell r="C301" t="str">
            <v>Institut Kanser Negara</v>
          </cell>
          <cell r="D301" t="str">
            <v>KKM/IKN/H/13/2104</v>
          </cell>
          <cell r="E301" t="str">
            <v>13-325</v>
          </cell>
          <cell r="F301" t="str">
            <v>Regulators, Suction</v>
          </cell>
          <cell r="G301" t="str">
            <v>WE</v>
          </cell>
          <cell r="H301" t="str">
            <v>RT/ONCO WARD 1 (F)</v>
          </cell>
          <cell r="I301" t="str">
            <v>07WE113</v>
          </cell>
          <cell r="J301" t="str">
            <v>EQUIPMENT ROOM</v>
          </cell>
          <cell r="K301" t="str">
            <v>BMED</v>
          </cell>
          <cell r="L301" t="str">
            <v>Normal</v>
          </cell>
          <cell r="M301" t="str">
            <v>United States</v>
          </cell>
          <cell r="N301" t="str">
            <v>OHIO</v>
          </cell>
          <cell r="O301" t="str">
            <v>R244047311229905</v>
          </cell>
          <cell r="P301" t="str">
            <v>GPHS65196</v>
          </cell>
          <cell r="Q301" t="str">
            <v>Not Applicable</v>
          </cell>
          <cell r="R301" t="str">
            <v>OHIO</v>
          </cell>
          <cell r="S301" t="str">
            <v>Respimedic</v>
          </cell>
          <cell r="T301" t="str">
            <v>Functioning</v>
          </cell>
          <cell r="U301" t="str">
            <v>Asset</v>
          </cell>
          <cell r="V301">
            <v>920</v>
          </cell>
          <cell r="W301" t="str">
            <v>KEW</v>
          </cell>
          <cell r="X301" t="str">
            <v>01/09/2010</v>
          </cell>
          <cell r="Y301" t="str">
            <v>KEW</v>
          </cell>
          <cell r="Z301" t="str">
            <v>16/08/2013</v>
          </cell>
          <cell r="AA301" t="str">
            <v>15/08/2015</v>
          </cell>
          <cell r="AB301" t="str">
            <v>No</v>
          </cell>
          <cell r="AC301" t="str">
            <v>31/08/2013</v>
          </cell>
          <cell r="AD301" t="str">
            <v>Good</v>
          </cell>
          <cell r="AE301" t="str">
            <v>V4 - Decommissioned Installed Facility</v>
          </cell>
          <cell r="AF301">
            <v>42927</v>
          </cell>
          <cell r="AG301">
            <v>9.17</v>
          </cell>
          <cell r="AH301" t="str">
            <v>RI</v>
          </cell>
          <cell r="AI301" t="str">
            <v>Strands</v>
          </cell>
          <cell r="AJ301" t="str">
            <v>Not under maintenance</v>
          </cell>
        </row>
        <row r="302">
          <cell r="A302" t="str">
            <v>IKN401607</v>
          </cell>
          <cell r="B302">
            <v>1541</v>
          </cell>
          <cell r="C302" t="str">
            <v>Institut Kanser Negara</v>
          </cell>
          <cell r="D302" t="str">
            <v>KKM/IKN/H/13/2100</v>
          </cell>
          <cell r="E302" t="str">
            <v>13-325</v>
          </cell>
          <cell r="F302" t="str">
            <v>Regulators, Suction</v>
          </cell>
          <cell r="G302" t="str">
            <v>WE</v>
          </cell>
          <cell r="H302" t="str">
            <v>RT/ONCO WARD 1 (F)</v>
          </cell>
          <cell r="I302" t="str">
            <v>07WE113</v>
          </cell>
          <cell r="J302" t="str">
            <v>EQUIPMENT ROOM</v>
          </cell>
          <cell r="K302" t="str">
            <v>BMED</v>
          </cell>
          <cell r="L302" t="str">
            <v>Normal</v>
          </cell>
          <cell r="M302" t="str">
            <v>United States</v>
          </cell>
          <cell r="N302" t="str">
            <v>OHIO</v>
          </cell>
          <cell r="O302" t="str">
            <v>R244047311229905</v>
          </cell>
          <cell r="P302" t="str">
            <v>GPHS65189</v>
          </cell>
          <cell r="Q302" t="str">
            <v>Not Applicable</v>
          </cell>
          <cell r="R302" t="str">
            <v>OHIO</v>
          </cell>
          <cell r="S302" t="str">
            <v>Respimedic</v>
          </cell>
          <cell r="T302" t="str">
            <v>Functioning</v>
          </cell>
          <cell r="U302" t="str">
            <v>Asset</v>
          </cell>
          <cell r="V302">
            <v>920</v>
          </cell>
          <cell r="W302" t="str">
            <v>KEW</v>
          </cell>
          <cell r="X302" t="str">
            <v>01/09/2010</v>
          </cell>
          <cell r="Y302" t="str">
            <v>KEW</v>
          </cell>
          <cell r="Z302" t="str">
            <v>16/08/2013</v>
          </cell>
          <cell r="AA302" t="str">
            <v>15/08/2015</v>
          </cell>
          <cell r="AB302" t="str">
            <v>No</v>
          </cell>
          <cell r="AC302" t="str">
            <v>31/08/2013</v>
          </cell>
          <cell r="AD302" t="str">
            <v>Good</v>
          </cell>
          <cell r="AE302" t="str">
            <v>V4 - Decommissioned Installed Facility</v>
          </cell>
          <cell r="AF302">
            <v>42927</v>
          </cell>
          <cell r="AG302">
            <v>9.17</v>
          </cell>
          <cell r="AH302" t="str">
            <v>RI</v>
          </cell>
          <cell r="AI302" t="str">
            <v>Strands</v>
          </cell>
          <cell r="AJ302" t="str">
            <v>Not under maintenance</v>
          </cell>
        </row>
        <row r="303">
          <cell r="A303" t="str">
            <v>IKN401608</v>
          </cell>
          <cell r="B303">
            <v>1542</v>
          </cell>
          <cell r="C303" t="str">
            <v>Institut Kanser Negara</v>
          </cell>
          <cell r="D303" t="str">
            <v>KKM/IKN/H/13/2102</v>
          </cell>
          <cell r="E303" t="str">
            <v>13-325</v>
          </cell>
          <cell r="F303" t="str">
            <v>Regulators, Suction</v>
          </cell>
          <cell r="G303" t="str">
            <v>WE</v>
          </cell>
          <cell r="H303" t="str">
            <v>RT/ONCO WARD 1 (F)</v>
          </cell>
          <cell r="I303" t="str">
            <v>07WE123</v>
          </cell>
          <cell r="J303" t="str">
            <v>ISOLATION 2 (-VE)</v>
          </cell>
          <cell r="K303" t="str">
            <v>BMED</v>
          </cell>
          <cell r="L303" t="str">
            <v>Normal</v>
          </cell>
          <cell r="M303" t="str">
            <v>United States</v>
          </cell>
          <cell r="N303" t="str">
            <v>OHIO</v>
          </cell>
          <cell r="O303" t="str">
            <v>R244047311229905</v>
          </cell>
          <cell r="P303" t="str">
            <v>GPHS65192</v>
          </cell>
          <cell r="Q303" t="str">
            <v>Not Applicable</v>
          </cell>
          <cell r="R303" t="str">
            <v>OHIO</v>
          </cell>
          <cell r="S303" t="str">
            <v>Respimedic</v>
          </cell>
          <cell r="T303" t="str">
            <v>Functioning</v>
          </cell>
          <cell r="U303" t="str">
            <v>Asset</v>
          </cell>
          <cell r="V303">
            <v>920</v>
          </cell>
          <cell r="W303" t="str">
            <v>KEW</v>
          </cell>
          <cell r="X303" t="str">
            <v>01/09/2010</v>
          </cell>
          <cell r="Y303" t="str">
            <v>KEW</v>
          </cell>
          <cell r="Z303" t="str">
            <v>16/08/2013</v>
          </cell>
          <cell r="AA303" t="str">
            <v>15/08/2015</v>
          </cell>
          <cell r="AB303" t="str">
            <v>No</v>
          </cell>
          <cell r="AC303" t="str">
            <v>31/08/2013</v>
          </cell>
          <cell r="AD303" t="str">
            <v>Good</v>
          </cell>
          <cell r="AE303" t="str">
            <v>V4 - Decommissioned Installed Facility</v>
          </cell>
          <cell r="AF303">
            <v>42927</v>
          </cell>
          <cell r="AG303">
            <v>9.17</v>
          </cell>
          <cell r="AH303" t="str">
            <v>RI</v>
          </cell>
          <cell r="AI303" t="str">
            <v>Strands</v>
          </cell>
          <cell r="AJ303" t="str">
            <v>Not under maintenance</v>
          </cell>
        </row>
        <row r="304">
          <cell r="A304" t="str">
            <v>IKN401609</v>
          </cell>
          <cell r="B304">
            <v>1543</v>
          </cell>
          <cell r="C304" t="str">
            <v>Institut Kanser Negara</v>
          </cell>
          <cell r="D304" t="str">
            <v>KKM/IKN/H/13/2101</v>
          </cell>
          <cell r="E304" t="str">
            <v>13-325</v>
          </cell>
          <cell r="F304" t="str">
            <v>Regulators, Suction</v>
          </cell>
          <cell r="G304" t="str">
            <v>WE</v>
          </cell>
          <cell r="H304" t="str">
            <v>RT/ONCO WARD 1 (F)</v>
          </cell>
          <cell r="I304" t="str">
            <v>07WE120</v>
          </cell>
          <cell r="J304" t="str">
            <v>ISOLATION 1 (+)</v>
          </cell>
          <cell r="K304" t="str">
            <v>BMED</v>
          </cell>
          <cell r="L304" t="str">
            <v>Normal</v>
          </cell>
          <cell r="M304" t="str">
            <v>United States</v>
          </cell>
          <cell r="N304" t="str">
            <v>OHIO</v>
          </cell>
          <cell r="O304" t="str">
            <v>R244047311229905</v>
          </cell>
          <cell r="P304" t="str">
            <v>GPHS65185</v>
          </cell>
          <cell r="Q304" t="str">
            <v>Not Applicable</v>
          </cell>
          <cell r="R304" t="str">
            <v>OHIO</v>
          </cell>
          <cell r="S304" t="str">
            <v>Respimedic</v>
          </cell>
          <cell r="T304" t="str">
            <v>Functioning</v>
          </cell>
          <cell r="U304" t="str">
            <v>Asset</v>
          </cell>
          <cell r="V304">
            <v>920</v>
          </cell>
          <cell r="W304" t="str">
            <v>KEW</v>
          </cell>
          <cell r="X304" t="str">
            <v>01/09/2010</v>
          </cell>
          <cell r="Y304" t="str">
            <v>KEW</v>
          </cell>
          <cell r="Z304" t="str">
            <v>16/08/2013</v>
          </cell>
          <cell r="AA304" t="str">
            <v>15/08/2015</v>
          </cell>
          <cell r="AB304" t="str">
            <v>No</v>
          </cell>
          <cell r="AC304" t="str">
            <v>31/08/2013</v>
          </cell>
          <cell r="AD304" t="str">
            <v>Good</v>
          </cell>
          <cell r="AE304" t="str">
            <v>V4 - Decommissioned Installed Facility</v>
          </cell>
          <cell r="AF304">
            <v>42927</v>
          </cell>
          <cell r="AG304">
            <v>9.17</v>
          </cell>
          <cell r="AH304" t="str">
            <v>RI</v>
          </cell>
          <cell r="AI304" t="str">
            <v>Strands</v>
          </cell>
          <cell r="AJ304" t="str">
            <v>Not under maintenance</v>
          </cell>
        </row>
        <row r="305">
          <cell r="A305" t="str">
            <v>IKN401610</v>
          </cell>
          <cell r="B305">
            <v>1544</v>
          </cell>
          <cell r="C305" t="str">
            <v>Institut Kanser Negara</v>
          </cell>
          <cell r="D305" t="str">
            <v>KKM/IKN/H/13/2097</v>
          </cell>
          <cell r="E305" t="str">
            <v>13-325</v>
          </cell>
          <cell r="F305" t="str">
            <v>Regulators, Suction</v>
          </cell>
          <cell r="G305" t="str">
            <v>WE</v>
          </cell>
          <cell r="H305" t="str">
            <v>RT/ONCO WARD 1 (F)</v>
          </cell>
          <cell r="I305" t="str">
            <v>07WE113</v>
          </cell>
          <cell r="J305" t="str">
            <v>EQUIPMENT ROOM</v>
          </cell>
          <cell r="K305" t="str">
            <v>BMED</v>
          </cell>
          <cell r="L305" t="str">
            <v>Normal</v>
          </cell>
          <cell r="M305" t="str">
            <v>United States</v>
          </cell>
          <cell r="N305" t="str">
            <v>OHIO</v>
          </cell>
          <cell r="O305" t="str">
            <v>R244047311229905</v>
          </cell>
          <cell r="P305" t="str">
            <v>GPHS65124</v>
          </cell>
          <cell r="Q305" t="str">
            <v>Not Applicable</v>
          </cell>
          <cell r="R305" t="str">
            <v>OHIO</v>
          </cell>
          <cell r="S305" t="str">
            <v>Respimedic</v>
          </cell>
          <cell r="T305" t="str">
            <v>Functioning</v>
          </cell>
          <cell r="U305" t="str">
            <v>Asset</v>
          </cell>
          <cell r="V305">
            <v>920</v>
          </cell>
          <cell r="W305" t="str">
            <v>KEW</v>
          </cell>
          <cell r="X305" t="str">
            <v>01/09/2010</v>
          </cell>
          <cell r="Y305" t="str">
            <v>Estimate</v>
          </cell>
          <cell r="Z305" t="str">
            <v>16/08/2013</v>
          </cell>
          <cell r="AA305" t="str">
            <v>15/08/2015</v>
          </cell>
          <cell r="AB305" t="str">
            <v>No</v>
          </cell>
          <cell r="AC305" t="str">
            <v>31/08/2013</v>
          </cell>
          <cell r="AD305" t="str">
            <v>Good</v>
          </cell>
          <cell r="AE305" t="str">
            <v>V4 - Decommissioned Installed Facility</v>
          </cell>
          <cell r="AF305">
            <v>42927</v>
          </cell>
          <cell r="AG305">
            <v>9.17</v>
          </cell>
          <cell r="AH305" t="str">
            <v>RI</v>
          </cell>
          <cell r="AI305" t="str">
            <v>Strands</v>
          </cell>
          <cell r="AJ305" t="str">
            <v>Not under maintenance</v>
          </cell>
        </row>
        <row r="306">
          <cell r="A306" t="str">
            <v>IKN401611</v>
          </cell>
          <cell r="B306">
            <v>1545</v>
          </cell>
          <cell r="C306" t="str">
            <v>Institut Kanser Negara</v>
          </cell>
          <cell r="D306" t="str">
            <v>KKM/IKN/H/13/2236</v>
          </cell>
          <cell r="E306" t="str">
            <v>13-325</v>
          </cell>
          <cell r="F306" t="str">
            <v>Regulators, Suction</v>
          </cell>
          <cell r="G306" t="str">
            <v>WE</v>
          </cell>
          <cell r="H306" t="str">
            <v>RT/ONCO WARD 1 (F)</v>
          </cell>
          <cell r="I306" t="str">
            <v>07WE113</v>
          </cell>
          <cell r="J306" t="str">
            <v>EQUIPMENT ROOM</v>
          </cell>
          <cell r="K306" t="str">
            <v>BMED</v>
          </cell>
          <cell r="L306" t="str">
            <v>Normal</v>
          </cell>
          <cell r="M306" t="str">
            <v>United States</v>
          </cell>
          <cell r="N306" t="str">
            <v>OHIO</v>
          </cell>
          <cell r="O306" t="str">
            <v>R244047311229905</v>
          </cell>
          <cell r="P306" t="str">
            <v>GPHS65089</v>
          </cell>
          <cell r="Q306" t="str">
            <v>Not Applicable</v>
          </cell>
          <cell r="R306" t="str">
            <v>OHIO</v>
          </cell>
          <cell r="S306" t="str">
            <v>Respimedic</v>
          </cell>
          <cell r="T306" t="str">
            <v>Functioning</v>
          </cell>
          <cell r="U306" t="str">
            <v>Asset</v>
          </cell>
          <cell r="V306">
            <v>920</v>
          </cell>
          <cell r="W306" t="str">
            <v>KEW</v>
          </cell>
          <cell r="X306" t="str">
            <v>01/09/2010</v>
          </cell>
          <cell r="Y306" t="str">
            <v>KEW</v>
          </cell>
          <cell r="Z306" t="str">
            <v>16/08/2013</v>
          </cell>
          <cell r="AA306" t="str">
            <v>15/08/2015</v>
          </cell>
          <cell r="AB306" t="str">
            <v>No</v>
          </cell>
          <cell r="AC306" t="str">
            <v>31/08/2013</v>
          </cell>
          <cell r="AD306" t="str">
            <v>Good</v>
          </cell>
          <cell r="AE306" t="str">
            <v>V4 - Decommissioned Installed Facility</v>
          </cell>
          <cell r="AF306">
            <v>42927</v>
          </cell>
          <cell r="AG306">
            <v>9.17</v>
          </cell>
          <cell r="AH306" t="str">
            <v>RI</v>
          </cell>
          <cell r="AI306" t="str">
            <v>Strands</v>
          </cell>
          <cell r="AJ306" t="str">
            <v>Not under maintenance</v>
          </cell>
        </row>
        <row r="307">
          <cell r="A307" t="str">
            <v>IKN401620</v>
          </cell>
          <cell r="B307">
            <v>1554</v>
          </cell>
          <cell r="C307" t="str">
            <v>Institut Kanser Negara</v>
          </cell>
          <cell r="D307" t="e">
            <v>#N/A</v>
          </cell>
          <cell r="E307" t="str">
            <v>13-325</v>
          </cell>
          <cell r="F307" t="str">
            <v>Regulators, Suction</v>
          </cell>
          <cell r="G307" t="str">
            <v>WJ</v>
          </cell>
          <cell r="H307" t="str">
            <v>MULTIDISCIPLINE WARD 1</v>
          </cell>
          <cell r="I307" t="str">
            <v>09WJ126</v>
          </cell>
          <cell r="J307" t="str">
            <v>EQUIPT. ROOM</v>
          </cell>
          <cell r="K307" t="str">
            <v>BMED</v>
          </cell>
          <cell r="L307" t="str">
            <v>Normal</v>
          </cell>
          <cell r="M307" t="str">
            <v>United States</v>
          </cell>
          <cell r="N307" t="str">
            <v>OHIO</v>
          </cell>
          <cell r="O307" t="str">
            <v>R244047311229905</v>
          </cell>
          <cell r="P307" t="str">
            <v>GPHS65079</v>
          </cell>
          <cell r="Q307" t="str">
            <v>Not Applicable</v>
          </cell>
          <cell r="R307" t="str">
            <v>OHIO</v>
          </cell>
          <cell r="S307" t="str">
            <v>Respimedic</v>
          </cell>
          <cell r="T307" t="str">
            <v>Functioning</v>
          </cell>
          <cell r="U307" t="str">
            <v>Asset</v>
          </cell>
          <cell r="V307">
            <v>920</v>
          </cell>
          <cell r="W307" t="str">
            <v>KEW</v>
          </cell>
          <cell r="X307" t="str">
            <v>01/09/2010</v>
          </cell>
          <cell r="Y307" t="str">
            <v>KEW</v>
          </cell>
          <cell r="Z307" t="str">
            <v>16/08/2013</v>
          </cell>
          <cell r="AA307" t="str">
            <v>15/08/2015</v>
          </cell>
          <cell r="AB307" t="str">
            <v>No</v>
          </cell>
          <cell r="AC307" t="str">
            <v>31/08/2013</v>
          </cell>
          <cell r="AD307" t="str">
            <v>Good</v>
          </cell>
          <cell r="AE307" t="str">
            <v>V4 - Decommissioned Installed Facility</v>
          </cell>
          <cell r="AF307">
            <v>42955</v>
          </cell>
          <cell r="AG307">
            <v>9.17</v>
          </cell>
          <cell r="AH307" t="str">
            <v>RI</v>
          </cell>
          <cell r="AI307" t="str">
            <v>Not in contract</v>
          </cell>
          <cell r="AJ307" t="str">
            <v>Not under maintenance</v>
          </cell>
          <cell r="AK307" t="e">
            <v>#N/A</v>
          </cell>
        </row>
        <row r="308">
          <cell r="A308" t="str">
            <v>IKN401621</v>
          </cell>
          <cell r="B308">
            <v>1555</v>
          </cell>
          <cell r="C308" t="str">
            <v>Institut Kanser Negara</v>
          </cell>
          <cell r="D308" t="e">
            <v>#N/A</v>
          </cell>
          <cell r="E308" t="str">
            <v>13-325</v>
          </cell>
          <cell r="F308" t="str">
            <v>Regulators, Suction</v>
          </cell>
          <cell r="G308" t="str">
            <v>WJ</v>
          </cell>
          <cell r="H308" t="str">
            <v>MULTIDISCIPLINE WARD 1</v>
          </cell>
          <cell r="I308" t="str">
            <v>09WJ126</v>
          </cell>
          <cell r="J308" t="str">
            <v>EQUIPT. ROOM</v>
          </cell>
          <cell r="K308" t="str">
            <v>BMED</v>
          </cell>
          <cell r="L308" t="str">
            <v>Normal</v>
          </cell>
          <cell r="M308" t="str">
            <v>United States</v>
          </cell>
          <cell r="N308" t="str">
            <v>OHIO</v>
          </cell>
          <cell r="O308" t="str">
            <v>R244047311229905</v>
          </cell>
          <cell r="P308" t="str">
            <v>GPHS65088</v>
          </cell>
          <cell r="Q308" t="str">
            <v>Not Applicable</v>
          </cell>
          <cell r="R308" t="str">
            <v>OHIO</v>
          </cell>
          <cell r="S308" t="str">
            <v>Respimedic</v>
          </cell>
          <cell r="T308" t="str">
            <v>Functioning</v>
          </cell>
          <cell r="U308" t="str">
            <v>Asset</v>
          </cell>
          <cell r="V308">
            <v>920</v>
          </cell>
          <cell r="W308" t="str">
            <v>KEW</v>
          </cell>
          <cell r="X308" t="str">
            <v>01/09/2010</v>
          </cell>
          <cell r="Y308" t="str">
            <v>KEW</v>
          </cell>
          <cell r="Z308" t="str">
            <v>16/08/2013</v>
          </cell>
          <cell r="AA308" t="str">
            <v>15/08/2015</v>
          </cell>
          <cell r="AB308" t="str">
            <v>No</v>
          </cell>
          <cell r="AC308" t="str">
            <v>31/08/2013</v>
          </cell>
          <cell r="AD308" t="str">
            <v>Good</v>
          </cell>
          <cell r="AE308" t="str">
            <v>V4 - Decommissioned Installed Facility</v>
          </cell>
          <cell r="AF308">
            <v>42955</v>
          </cell>
          <cell r="AG308">
            <v>9.17</v>
          </cell>
          <cell r="AH308" t="str">
            <v>RI</v>
          </cell>
          <cell r="AI308" t="str">
            <v>Not in contract</v>
          </cell>
          <cell r="AJ308" t="str">
            <v>Not under maintenance</v>
          </cell>
          <cell r="AK308" t="e">
            <v>#N/A</v>
          </cell>
        </row>
        <row r="309">
          <cell r="A309" t="str">
            <v>IKN401622</v>
          </cell>
          <cell r="B309">
            <v>1556</v>
          </cell>
          <cell r="C309" t="str">
            <v>Institut Kanser Negara</v>
          </cell>
          <cell r="D309" t="e">
            <v>#N/A</v>
          </cell>
          <cell r="E309" t="str">
            <v>13-325</v>
          </cell>
          <cell r="F309" t="str">
            <v>Regulators, Suction</v>
          </cell>
          <cell r="G309" t="str">
            <v>WJ</v>
          </cell>
          <cell r="H309" t="str">
            <v>MULTIDISCIPLINE WARD 1</v>
          </cell>
          <cell r="I309" t="str">
            <v>09WJ222</v>
          </cell>
          <cell r="J309" t="str">
            <v>TREATMENT</v>
          </cell>
          <cell r="K309" t="str">
            <v>BMED</v>
          </cell>
          <cell r="L309" t="str">
            <v>Normal</v>
          </cell>
          <cell r="M309" t="str">
            <v>United States</v>
          </cell>
          <cell r="N309" t="str">
            <v>OHIO</v>
          </cell>
          <cell r="O309" t="str">
            <v>R244047311229905</v>
          </cell>
          <cell r="P309" t="str">
            <v>GPHS65017</v>
          </cell>
          <cell r="Q309" t="str">
            <v>Not Applicable</v>
          </cell>
          <cell r="R309" t="str">
            <v>OHIO</v>
          </cell>
          <cell r="S309" t="str">
            <v>Respimedic</v>
          </cell>
          <cell r="T309" t="str">
            <v>Functioning</v>
          </cell>
          <cell r="U309" t="str">
            <v>Asset</v>
          </cell>
          <cell r="V309">
            <v>920</v>
          </cell>
          <cell r="W309" t="str">
            <v>KEW</v>
          </cell>
          <cell r="X309" t="str">
            <v>01/09/2010</v>
          </cell>
          <cell r="Y309" t="str">
            <v>KEW</v>
          </cell>
          <cell r="Z309" t="str">
            <v>16/08/2013</v>
          </cell>
          <cell r="AA309" t="str">
            <v>15/08/2015</v>
          </cell>
          <cell r="AB309" t="str">
            <v>No</v>
          </cell>
          <cell r="AC309" t="str">
            <v>31/08/2013</v>
          </cell>
          <cell r="AD309" t="str">
            <v>Good</v>
          </cell>
          <cell r="AE309" t="str">
            <v>V4 - Decommissioned Installed Facility</v>
          </cell>
          <cell r="AF309">
            <v>42955</v>
          </cell>
          <cell r="AG309">
            <v>9.17</v>
          </cell>
          <cell r="AH309" t="str">
            <v>RI</v>
          </cell>
          <cell r="AI309" t="str">
            <v>Not in contract</v>
          </cell>
          <cell r="AJ309" t="str">
            <v>Not under maintenance</v>
          </cell>
          <cell r="AK309" t="e">
            <v>#N/A</v>
          </cell>
        </row>
        <row r="310">
          <cell r="A310" t="str">
            <v>IKN401623</v>
          </cell>
          <cell r="B310">
            <v>1557</v>
          </cell>
          <cell r="C310" t="str">
            <v>Institut Kanser Negara</v>
          </cell>
          <cell r="D310" t="e">
            <v>#N/A</v>
          </cell>
          <cell r="E310" t="str">
            <v>13-325</v>
          </cell>
          <cell r="F310" t="str">
            <v>Regulators, Suction</v>
          </cell>
          <cell r="G310" t="str">
            <v>WJ</v>
          </cell>
          <cell r="H310" t="str">
            <v>MULTIDISCIPLINE WARD 1</v>
          </cell>
          <cell r="I310" t="str">
            <v>09WJ222</v>
          </cell>
          <cell r="J310" t="str">
            <v>TREATMENT</v>
          </cell>
          <cell r="K310" t="str">
            <v>BMED</v>
          </cell>
          <cell r="L310" t="str">
            <v>Normal</v>
          </cell>
          <cell r="M310" t="str">
            <v>United States</v>
          </cell>
          <cell r="N310" t="str">
            <v>OHIO</v>
          </cell>
          <cell r="O310" t="str">
            <v>R244047311229905</v>
          </cell>
          <cell r="P310" t="str">
            <v>GPHS65154</v>
          </cell>
          <cell r="Q310" t="str">
            <v>Not Applicable</v>
          </cell>
          <cell r="R310" t="str">
            <v>OHIO</v>
          </cell>
          <cell r="S310" t="str">
            <v>Respimedic</v>
          </cell>
          <cell r="T310" t="str">
            <v>Functioning</v>
          </cell>
          <cell r="U310" t="str">
            <v>Asset</v>
          </cell>
          <cell r="V310">
            <v>920</v>
          </cell>
          <cell r="W310" t="str">
            <v>KEW</v>
          </cell>
          <cell r="X310" t="str">
            <v>01/09/2010</v>
          </cell>
          <cell r="Y310" t="str">
            <v>KEW</v>
          </cell>
          <cell r="Z310" t="str">
            <v>16/08/2013</v>
          </cell>
          <cell r="AA310" t="str">
            <v>15/08/2015</v>
          </cell>
          <cell r="AB310" t="str">
            <v>No</v>
          </cell>
          <cell r="AC310" t="str">
            <v>31/08/2013</v>
          </cell>
          <cell r="AD310" t="str">
            <v>Good</v>
          </cell>
          <cell r="AE310" t="str">
            <v>V4 - Decommissioned Installed Facility</v>
          </cell>
          <cell r="AF310">
            <v>42955</v>
          </cell>
          <cell r="AG310">
            <v>9.17</v>
          </cell>
          <cell r="AH310" t="str">
            <v>RI</v>
          </cell>
          <cell r="AI310" t="str">
            <v>Not in contract</v>
          </cell>
          <cell r="AJ310" t="str">
            <v>Not under maintenance</v>
          </cell>
          <cell r="AK310" t="e">
            <v>#N/A</v>
          </cell>
        </row>
        <row r="311">
          <cell r="A311" t="str">
            <v>IKN401624</v>
          </cell>
          <cell r="B311">
            <v>1558</v>
          </cell>
          <cell r="C311" t="str">
            <v>Institut Kanser Negara</v>
          </cell>
          <cell r="D311" t="e">
            <v>#N/A</v>
          </cell>
          <cell r="E311" t="str">
            <v>13-325</v>
          </cell>
          <cell r="F311" t="str">
            <v>Regulators, Suction</v>
          </cell>
          <cell r="G311" t="str">
            <v>WJ</v>
          </cell>
          <cell r="H311" t="str">
            <v>MULTIDISCIPLINE WARD 1</v>
          </cell>
          <cell r="I311" t="str">
            <v>09WJ222</v>
          </cell>
          <cell r="J311" t="str">
            <v>TREATMENT</v>
          </cell>
          <cell r="K311" t="str">
            <v>BMED</v>
          </cell>
          <cell r="L311" t="str">
            <v>Normal</v>
          </cell>
          <cell r="M311" t="str">
            <v>United States</v>
          </cell>
          <cell r="N311" t="str">
            <v>OHIO</v>
          </cell>
          <cell r="O311" t="str">
            <v>R244047311229905</v>
          </cell>
          <cell r="P311" t="str">
            <v>GPHS65018</v>
          </cell>
          <cell r="Q311" t="str">
            <v>Not Applicable</v>
          </cell>
          <cell r="R311" t="str">
            <v>OHIO</v>
          </cell>
          <cell r="S311" t="str">
            <v>Respimedic</v>
          </cell>
          <cell r="T311" t="str">
            <v>Functioning</v>
          </cell>
          <cell r="U311" t="str">
            <v>Asset</v>
          </cell>
          <cell r="V311">
            <v>920</v>
          </cell>
          <cell r="W311" t="str">
            <v>KEW</v>
          </cell>
          <cell r="X311" t="str">
            <v>01/09/2010</v>
          </cell>
          <cell r="Y311" t="str">
            <v>KEW</v>
          </cell>
          <cell r="Z311" t="str">
            <v>16/08/2013</v>
          </cell>
          <cell r="AA311" t="str">
            <v>15/08/2015</v>
          </cell>
          <cell r="AB311" t="str">
            <v>No</v>
          </cell>
          <cell r="AC311" t="str">
            <v>31/08/2013</v>
          </cell>
          <cell r="AD311" t="str">
            <v>Good</v>
          </cell>
          <cell r="AE311" t="str">
            <v>V4 - Decommissioned Installed Facility</v>
          </cell>
          <cell r="AF311">
            <v>42955</v>
          </cell>
          <cell r="AG311">
            <v>9.17</v>
          </cell>
          <cell r="AH311" t="str">
            <v>RI</v>
          </cell>
          <cell r="AI311" t="str">
            <v>Not in contract</v>
          </cell>
          <cell r="AJ311" t="str">
            <v>Not under maintenance</v>
          </cell>
          <cell r="AK311" t="e">
            <v>#N/A</v>
          </cell>
        </row>
        <row r="312">
          <cell r="A312" t="str">
            <v>IKN401625</v>
          </cell>
          <cell r="B312">
            <v>1559</v>
          </cell>
          <cell r="C312" t="str">
            <v>Institut Kanser Negara</v>
          </cell>
          <cell r="D312" t="e">
            <v>#N/A</v>
          </cell>
          <cell r="E312" t="str">
            <v>13-325</v>
          </cell>
          <cell r="F312" t="str">
            <v>Regulators, Suction</v>
          </cell>
          <cell r="G312" t="str">
            <v>WJ</v>
          </cell>
          <cell r="H312" t="str">
            <v>MULTIDISCIPLINE WARD 1</v>
          </cell>
          <cell r="I312" t="str">
            <v>09WJ130</v>
          </cell>
          <cell r="J312" t="str">
            <v>TREATMENT/ PROCEDURE</v>
          </cell>
          <cell r="K312" t="str">
            <v>BMED</v>
          </cell>
          <cell r="L312" t="str">
            <v>Normal</v>
          </cell>
          <cell r="M312" t="str">
            <v>United States</v>
          </cell>
          <cell r="N312" t="str">
            <v>OHIO</v>
          </cell>
          <cell r="O312" t="str">
            <v>R244047311229905</v>
          </cell>
          <cell r="P312" t="str">
            <v>GPHS65164</v>
          </cell>
          <cell r="Q312" t="str">
            <v>Not Applicable</v>
          </cell>
          <cell r="R312" t="str">
            <v>OHIO</v>
          </cell>
          <cell r="S312" t="str">
            <v>Respimedic</v>
          </cell>
          <cell r="T312" t="str">
            <v>Functioning</v>
          </cell>
          <cell r="U312" t="str">
            <v>Asset</v>
          </cell>
          <cell r="V312">
            <v>920</v>
          </cell>
          <cell r="W312" t="str">
            <v>KEW</v>
          </cell>
          <cell r="X312" t="str">
            <v>01/09/2010</v>
          </cell>
          <cell r="Y312" t="str">
            <v>KEW</v>
          </cell>
          <cell r="Z312" t="str">
            <v>16/08/2013</v>
          </cell>
          <cell r="AA312" t="str">
            <v>15/08/2015</v>
          </cell>
          <cell r="AB312" t="str">
            <v>No</v>
          </cell>
          <cell r="AC312" t="str">
            <v>31/08/2013</v>
          </cell>
          <cell r="AD312" t="str">
            <v>Good</v>
          </cell>
          <cell r="AE312" t="str">
            <v>V4 - Decommissioned Installed Facility</v>
          </cell>
          <cell r="AF312">
            <v>42955</v>
          </cell>
          <cell r="AG312">
            <v>9.17</v>
          </cell>
          <cell r="AH312" t="str">
            <v>RI</v>
          </cell>
          <cell r="AI312" t="str">
            <v>Not in contract</v>
          </cell>
          <cell r="AJ312" t="str">
            <v>Not under maintenance</v>
          </cell>
          <cell r="AK312" t="e">
            <v>#N/A</v>
          </cell>
        </row>
        <row r="313">
          <cell r="A313" t="str">
            <v>IKN401626</v>
          </cell>
          <cell r="B313">
            <v>1560</v>
          </cell>
          <cell r="C313" t="str">
            <v>Institut Kanser Negara</v>
          </cell>
          <cell r="D313" t="e">
            <v>#N/A</v>
          </cell>
          <cell r="E313" t="str">
            <v>13-325</v>
          </cell>
          <cell r="F313" t="str">
            <v>Regulators, Suction</v>
          </cell>
          <cell r="G313" t="str">
            <v>WJ</v>
          </cell>
          <cell r="H313" t="str">
            <v>MULTIDISCIPLINE WARD 1</v>
          </cell>
          <cell r="I313" t="str">
            <v>09WJ222</v>
          </cell>
          <cell r="J313" t="str">
            <v>TREATMENT</v>
          </cell>
          <cell r="K313" t="str">
            <v>BMED</v>
          </cell>
          <cell r="L313" t="str">
            <v>Normal</v>
          </cell>
          <cell r="M313" t="str">
            <v>United States</v>
          </cell>
          <cell r="N313" t="str">
            <v>OHIO</v>
          </cell>
          <cell r="O313" t="str">
            <v>R244047311229905</v>
          </cell>
          <cell r="P313" t="str">
            <v>GPHS65151</v>
          </cell>
          <cell r="Q313" t="str">
            <v>Not Applicable</v>
          </cell>
          <cell r="R313" t="str">
            <v>OHIO</v>
          </cell>
          <cell r="S313" t="str">
            <v>Respimedic</v>
          </cell>
          <cell r="T313" t="str">
            <v>Functioning</v>
          </cell>
          <cell r="U313" t="str">
            <v>Asset</v>
          </cell>
          <cell r="V313">
            <v>920</v>
          </cell>
          <cell r="W313" t="str">
            <v>KEW</v>
          </cell>
          <cell r="X313" t="str">
            <v>01/09/2010</v>
          </cell>
          <cell r="Y313" t="str">
            <v>KEW</v>
          </cell>
          <cell r="Z313" t="str">
            <v>16/08/2013</v>
          </cell>
          <cell r="AA313" t="str">
            <v>15/08/2015</v>
          </cell>
          <cell r="AB313" t="str">
            <v>No</v>
          </cell>
          <cell r="AC313" t="str">
            <v>31/08/2013</v>
          </cell>
          <cell r="AD313" t="str">
            <v>Good</v>
          </cell>
          <cell r="AE313" t="str">
            <v>V4 - Decommissioned Installed Facility</v>
          </cell>
          <cell r="AF313">
            <v>42955</v>
          </cell>
          <cell r="AG313">
            <v>9.17</v>
          </cell>
          <cell r="AH313" t="str">
            <v>RI</v>
          </cell>
          <cell r="AI313" t="str">
            <v>Not in contract</v>
          </cell>
          <cell r="AJ313" t="str">
            <v>Not under maintenance</v>
          </cell>
          <cell r="AK313" t="e">
            <v>#N/A</v>
          </cell>
        </row>
        <row r="314">
          <cell r="A314" t="str">
            <v>IKN401627</v>
          </cell>
          <cell r="B314">
            <v>1561</v>
          </cell>
          <cell r="C314" t="str">
            <v>Institut Kanser Negara</v>
          </cell>
          <cell r="D314" t="e">
            <v>#N/A</v>
          </cell>
          <cell r="E314" t="str">
            <v>13-325</v>
          </cell>
          <cell r="F314" t="str">
            <v>Regulators, Suction</v>
          </cell>
          <cell r="G314" t="str">
            <v>WJ</v>
          </cell>
          <cell r="H314" t="str">
            <v>MULTIDISCIPLINE WARD 1</v>
          </cell>
          <cell r="I314" t="str">
            <v>09WJ126</v>
          </cell>
          <cell r="J314" t="str">
            <v>EQUIPT. ROOM</v>
          </cell>
          <cell r="K314" t="str">
            <v>BMED</v>
          </cell>
          <cell r="L314" t="str">
            <v>Normal</v>
          </cell>
          <cell r="M314" t="str">
            <v>United States</v>
          </cell>
          <cell r="N314" t="str">
            <v>OHIO</v>
          </cell>
          <cell r="O314" t="str">
            <v>R244047311229905</v>
          </cell>
          <cell r="P314" t="str">
            <v>GPHS65119</v>
          </cell>
          <cell r="Q314" t="str">
            <v>Not Applicable</v>
          </cell>
          <cell r="R314" t="str">
            <v>OHIO</v>
          </cell>
          <cell r="S314" t="str">
            <v>Respimedic</v>
          </cell>
          <cell r="T314" t="str">
            <v>Functioning</v>
          </cell>
          <cell r="U314" t="str">
            <v>Asset</v>
          </cell>
          <cell r="V314">
            <v>920</v>
          </cell>
          <cell r="W314" t="str">
            <v>KEW</v>
          </cell>
          <cell r="X314" t="str">
            <v>01/09/2010</v>
          </cell>
          <cell r="Y314" t="str">
            <v>KEW</v>
          </cell>
          <cell r="Z314" t="str">
            <v>16/08/2013</v>
          </cell>
          <cell r="AA314" t="str">
            <v>15/08/2015</v>
          </cell>
          <cell r="AB314" t="str">
            <v>No</v>
          </cell>
          <cell r="AC314" t="str">
            <v>31/08/2013</v>
          </cell>
          <cell r="AD314" t="str">
            <v>Good</v>
          </cell>
          <cell r="AE314" t="str">
            <v>V4 - Decommissioned Installed Facility</v>
          </cell>
          <cell r="AF314">
            <v>42955</v>
          </cell>
          <cell r="AG314">
            <v>9.17</v>
          </cell>
          <cell r="AH314" t="str">
            <v>RI</v>
          </cell>
          <cell r="AI314" t="str">
            <v>Not in contract</v>
          </cell>
          <cell r="AJ314" t="str">
            <v>Not under maintenance</v>
          </cell>
          <cell r="AK314" t="e">
            <v>#N/A</v>
          </cell>
        </row>
        <row r="315">
          <cell r="A315" t="str">
            <v>IKN401628</v>
          </cell>
          <cell r="B315">
            <v>1562</v>
          </cell>
          <cell r="C315" t="str">
            <v>Institut Kanser Negara</v>
          </cell>
          <cell r="D315" t="e">
            <v>#N/A</v>
          </cell>
          <cell r="E315" t="str">
            <v>13-325</v>
          </cell>
          <cell r="F315" t="str">
            <v>Regulators, Suction</v>
          </cell>
          <cell r="G315" t="str">
            <v>WJ</v>
          </cell>
          <cell r="H315" t="str">
            <v>MULTIDISCIPLINE WARD 1</v>
          </cell>
          <cell r="I315" t="str">
            <v>09WJ126</v>
          </cell>
          <cell r="J315" t="str">
            <v>EQUIPT. ROOM</v>
          </cell>
          <cell r="K315" t="str">
            <v>BMED</v>
          </cell>
          <cell r="L315" t="str">
            <v>Normal</v>
          </cell>
          <cell r="M315" t="str">
            <v>United States</v>
          </cell>
          <cell r="N315" t="str">
            <v>OHIO</v>
          </cell>
          <cell r="O315" t="str">
            <v>R244047311229905</v>
          </cell>
          <cell r="P315" t="str">
            <v>GPHS65080</v>
          </cell>
          <cell r="Q315" t="str">
            <v>Not Applicable</v>
          </cell>
          <cell r="R315" t="str">
            <v>OHIO</v>
          </cell>
          <cell r="S315" t="str">
            <v>Respimedic</v>
          </cell>
          <cell r="T315" t="str">
            <v>Functioning</v>
          </cell>
          <cell r="U315" t="str">
            <v>Asset</v>
          </cell>
          <cell r="V315">
            <v>920</v>
          </cell>
          <cell r="W315" t="str">
            <v>KEW</v>
          </cell>
          <cell r="X315" t="str">
            <v>01/09/2010</v>
          </cell>
          <cell r="Y315" t="str">
            <v>KEW</v>
          </cell>
          <cell r="Z315" t="str">
            <v>16/08/2013</v>
          </cell>
          <cell r="AA315" t="str">
            <v>15/08/2015</v>
          </cell>
          <cell r="AB315" t="str">
            <v>No</v>
          </cell>
          <cell r="AC315" t="str">
            <v>31/08/2013</v>
          </cell>
          <cell r="AD315" t="str">
            <v>Good</v>
          </cell>
          <cell r="AE315" t="str">
            <v>V4 - Decommissioned Installed Facility</v>
          </cell>
          <cell r="AF315">
            <v>42955</v>
          </cell>
          <cell r="AG315">
            <v>9.17</v>
          </cell>
          <cell r="AH315" t="str">
            <v>RI</v>
          </cell>
          <cell r="AI315" t="str">
            <v>Not in contract</v>
          </cell>
          <cell r="AJ315" t="str">
            <v>Not under maintenance</v>
          </cell>
          <cell r="AK315" t="e">
            <v>#N/A</v>
          </cell>
        </row>
        <row r="316">
          <cell r="A316" t="str">
            <v>IKN401629</v>
          </cell>
          <cell r="B316">
            <v>1563</v>
          </cell>
          <cell r="C316" t="str">
            <v>Institut Kanser Negara</v>
          </cell>
          <cell r="D316" t="e">
            <v>#N/A</v>
          </cell>
          <cell r="E316" t="str">
            <v>13-325</v>
          </cell>
          <cell r="F316" t="str">
            <v>Regulators, Suction</v>
          </cell>
          <cell r="G316" t="str">
            <v>WJ</v>
          </cell>
          <cell r="H316" t="str">
            <v>MULTIDISCIPLINE WARD 1</v>
          </cell>
          <cell r="I316" t="str">
            <v>09WJ126</v>
          </cell>
          <cell r="J316" t="str">
            <v>EQUIPT. ROOM</v>
          </cell>
          <cell r="K316" t="str">
            <v>BMED</v>
          </cell>
          <cell r="L316" t="str">
            <v>Normal</v>
          </cell>
          <cell r="M316" t="str">
            <v>United States</v>
          </cell>
          <cell r="N316" t="str">
            <v>OHIO</v>
          </cell>
          <cell r="O316" t="str">
            <v>R244047311229905</v>
          </cell>
          <cell r="P316" t="str">
            <v>GPHS65175</v>
          </cell>
          <cell r="Q316" t="str">
            <v>Not Applicable</v>
          </cell>
          <cell r="R316" t="str">
            <v>OHIO</v>
          </cell>
          <cell r="S316" t="str">
            <v>Respimedic</v>
          </cell>
          <cell r="T316" t="str">
            <v>Functioning</v>
          </cell>
          <cell r="U316" t="str">
            <v>Asset</v>
          </cell>
          <cell r="V316">
            <v>920</v>
          </cell>
          <cell r="W316" t="str">
            <v>KEW</v>
          </cell>
          <cell r="X316" t="str">
            <v>01/09/2010</v>
          </cell>
          <cell r="Y316" t="str">
            <v>KEW</v>
          </cell>
          <cell r="Z316" t="str">
            <v>16/08/2013</v>
          </cell>
          <cell r="AA316" t="str">
            <v>15/08/2015</v>
          </cell>
          <cell r="AB316" t="str">
            <v>No</v>
          </cell>
          <cell r="AC316" t="str">
            <v>31/08/2013</v>
          </cell>
          <cell r="AD316" t="str">
            <v>Good</v>
          </cell>
          <cell r="AE316" t="str">
            <v>V4 - Decommissioned Installed Facility</v>
          </cell>
          <cell r="AF316">
            <v>42955</v>
          </cell>
          <cell r="AG316">
            <v>9.17</v>
          </cell>
          <cell r="AH316" t="str">
            <v>RI</v>
          </cell>
          <cell r="AI316" t="str">
            <v>Not in contract</v>
          </cell>
          <cell r="AJ316" t="str">
            <v>Not under maintenance</v>
          </cell>
          <cell r="AK316" t="e">
            <v>#N/A</v>
          </cell>
        </row>
        <row r="317">
          <cell r="A317" t="str">
            <v>IKN401637</v>
          </cell>
          <cell r="B317">
            <v>1567</v>
          </cell>
          <cell r="C317" t="str">
            <v>Institut Kanser Negara</v>
          </cell>
          <cell r="D317" t="e">
            <v>#N/A</v>
          </cell>
          <cell r="E317" t="str">
            <v>13-325</v>
          </cell>
          <cell r="F317" t="str">
            <v>Regulators, Suction</v>
          </cell>
          <cell r="G317" t="str">
            <v>WE</v>
          </cell>
          <cell r="H317" t="str">
            <v>RT/ONCO WARD 1 (F)</v>
          </cell>
          <cell r="I317" t="str">
            <v>07WE107</v>
          </cell>
          <cell r="J317" t="str">
            <v>TREATMENT / PROCESURE</v>
          </cell>
          <cell r="K317" t="str">
            <v>BMED</v>
          </cell>
          <cell r="L317" t="str">
            <v>Normal</v>
          </cell>
          <cell r="M317" t="str">
            <v>United States</v>
          </cell>
          <cell r="N317" t="str">
            <v>OHIO</v>
          </cell>
          <cell r="O317" t="str">
            <v>R244047311229905</v>
          </cell>
          <cell r="P317" t="str">
            <v>GPHS65084</v>
          </cell>
          <cell r="Q317" t="str">
            <v>Not Applicable</v>
          </cell>
          <cell r="R317" t="str">
            <v>OHIO</v>
          </cell>
          <cell r="S317" t="str">
            <v>Respimedic</v>
          </cell>
          <cell r="T317" t="str">
            <v>Functioning</v>
          </cell>
          <cell r="U317" t="str">
            <v>Asset</v>
          </cell>
          <cell r="V317">
            <v>920</v>
          </cell>
          <cell r="W317" t="str">
            <v>KEW</v>
          </cell>
          <cell r="X317" t="str">
            <v>01/09/2010</v>
          </cell>
          <cell r="Y317" t="str">
            <v>KEW</v>
          </cell>
          <cell r="Z317" t="str">
            <v>16/08/2013</v>
          </cell>
          <cell r="AA317" t="str">
            <v>15/08/2015</v>
          </cell>
          <cell r="AB317" t="str">
            <v>No</v>
          </cell>
          <cell r="AC317" t="str">
            <v>31/08/2013</v>
          </cell>
          <cell r="AD317" t="str">
            <v>Good</v>
          </cell>
          <cell r="AE317" t="str">
            <v>V4 - Decommissioned Installed Facility</v>
          </cell>
          <cell r="AF317">
            <v>42927</v>
          </cell>
          <cell r="AG317">
            <v>9.17</v>
          </cell>
          <cell r="AH317" t="str">
            <v>RI</v>
          </cell>
          <cell r="AI317" t="str">
            <v>Not in contract</v>
          </cell>
          <cell r="AJ317" t="str">
            <v>Not under maintenance</v>
          </cell>
          <cell r="AK317" t="e">
            <v>#N/A</v>
          </cell>
        </row>
        <row r="318">
          <cell r="A318" t="str">
            <v>IKN401638</v>
          </cell>
          <cell r="B318">
            <v>1568</v>
          </cell>
          <cell r="C318" t="str">
            <v>Institut Kanser Negara</v>
          </cell>
          <cell r="D318" t="e">
            <v>#N/A</v>
          </cell>
          <cell r="E318" t="str">
            <v>13-325</v>
          </cell>
          <cell r="F318" t="str">
            <v>Regulators, Suction</v>
          </cell>
          <cell r="G318" t="str">
            <v>WF</v>
          </cell>
          <cell r="H318" t="str">
            <v>RT/ONCO WARD 2 (F)</v>
          </cell>
          <cell r="I318" t="str">
            <v>07WF121</v>
          </cell>
          <cell r="J318" t="str">
            <v>EQUIPMENT ROOM</v>
          </cell>
          <cell r="K318" t="str">
            <v>BMED</v>
          </cell>
          <cell r="L318" t="str">
            <v>Normal</v>
          </cell>
          <cell r="M318" t="str">
            <v>United States</v>
          </cell>
          <cell r="N318" t="str">
            <v>OHIO</v>
          </cell>
          <cell r="O318" t="str">
            <v>R244047311229905</v>
          </cell>
          <cell r="P318" t="str">
            <v>GPHS65086</v>
          </cell>
          <cell r="Q318" t="str">
            <v>Not Applicable</v>
          </cell>
          <cell r="R318" t="str">
            <v>OHIO</v>
          </cell>
          <cell r="S318" t="str">
            <v>Respimedic</v>
          </cell>
          <cell r="T318" t="str">
            <v>Functioning</v>
          </cell>
          <cell r="U318" t="str">
            <v>Asset</v>
          </cell>
          <cell r="V318">
            <v>920</v>
          </cell>
          <cell r="W318" t="str">
            <v>KEW</v>
          </cell>
          <cell r="X318" t="str">
            <v>01/09/2010</v>
          </cell>
          <cell r="Y318" t="str">
            <v>KEW</v>
          </cell>
          <cell r="Z318" t="str">
            <v>16/08/2013</v>
          </cell>
          <cell r="AA318" t="str">
            <v>15/08/2015</v>
          </cell>
          <cell r="AB318" t="str">
            <v>No</v>
          </cell>
          <cell r="AC318" t="str">
            <v>31/08/2013</v>
          </cell>
          <cell r="AD318" t="str">
            <v>Good</v>
          </cell>
          <cell r="AE318" t="str">
            <v>V4 - Decommissioned Installed Facility</v>
          </cell>
          <cell r="AF318">
            <v>42928</v>
          </cell>
          <cell r="AG318">
            <v>9.17</v>
          </cell>
          <cell r="AH318" t="str">
            <v>RI</v>
          </cell>
          <cell r="AI318" t="str">
            <v>Not in contract</v>
          </cell>
          <cell r="AJ318" t="str">
            <v>Not under maintenance</v>
          </cell>
          <cell r="AK318" t="e">
            <v>#N/A</v>
          </cell>
        </row>
        <row r="319">
          <cell r="A319" t="str">
            <v>IKN401639</v>
          </cell>
          <cell r="B319">
            <v>1569</v>
          </cell>
          <cell r="C319" t="str">
            <v>Institut Kanser Negara</v>
          </cell>
          <cell r="D319" t="e">
            <v>#N/A</v>
          </cell>
          <cell r="E319" t="str">
            <v>13-325</v>
          </cell>
          <cell r="F319" t="str">
            <v>Regulators, Suction</v>
          </cell>
          <cell r="G319" t="str">
            <v>WF</v>
          </cell>
          <cell r="H319" t="str">
            <v>RT/ONCO WARD 2 (F)</v>
          </cell>
          <cell r="I319" t="str">
            <v>07WF121</v>
          </cell>
          <cell r="J319" t="str">
            <v>EQUIPMENT ROOM</v>
          </cell>
          <cell r="K319" t="str">
            <v>BMED</v>
          </cell>
          <cell r="L319" t="str">
            <v>Normal</v>
          </cell>
          <cell r="M319" t="str">
            <v>United States</v>
          </cell>
          <cell r="N319" t="str">
            <v>OHIO</v>
          </cell>
          <cell r="O319" t="str">
            <v>R244047311229905</v>
          </cell>
          <cell r="P319" t="str">
            <v>GPHS65087</v>
          </cell>
          <cell r="Q319" t="str">
            <v>Not Applicable</v>
          </cell>
          <cell r="R319" t="str">
            <v>OHIO</v>
          </cell>
          <cell r="S319" t="str">
            <v>Respimedic</v>
          </cell>
          <cell r="T319" t="str">
            <v>Functioning</v>
          </cell>
          <cell r="U319" t="str">
            <v>Asset</v>
          </cell>
          <cell r="V319">
            <v>920</v>
          </cell>
          <cell r="W319" t="str">
            <v>KEW</v>
          </cell>
          <cell r="X319" t="str">
            <v>01/09/2010</v>
          </cell>
          <cell r="Y319" t="str">
            <v>KEW</v>
          </cell>
          <cell r="Z319" t="str">
            <v>16/08/2013</v>
          </cell>
          <cell r="AA319" t="str">
            <v>15/08/2015</v>
          </cell>
          <cell r="AB319" t="str">
            <v>No</v>
          </cell>
          <cell r="AC319" t="str">
            <v>31/08/2013</v>
          </cell>
          <cell r="AD319" t="str">
            <v>Good</v>
          </cell>
          <cell r="AE319" t="str">
            <v>V4 - Decommissioned Installed Facility</v>
          </cell>
          <cell r="AF319">
            <v>42928</v>
          </cell>
          <cell r="AG319">
            <v>9.17</v>
          </cell>
          <cell r="AH319" t="str">
            <v>RI</v>
          </cell>
          <cell r="AI319" t="str">
            <v>Not in contract</v>
          </cell>
          <cell r="AJ319" t="str">
            <v>Not under maintenance</v>
          </cell>
          <cell r="AK319" t="e">
            <v>#N/A</v>
          </cell>
        </row>
        <row r="320">
          <cell r="A320" t="str">
            <v>IKN401640</v>
          </cell>
          <cell r="B320">
            <v>1570</v>
          </cell>
          <cell r="C320" t="str">
            <v>Institut Kanser Negara</v>
          </cell>
          <cell r="D320" t="e">
            <v>#N/A</v>
          </cell>
          <cell r="E320" t="str">
            <v>13-325</v>
          </cell>
          <cell r="F320" t="str">
            <v>Regulators, Suction</v>
          </cell>
          <cell r="G320" t="str">
            <v>WF</v>
          </cell>
          <cell r="H320" t="str">
            <v>RT/ONCO WARD 2 (F)</v>
          </cell>
          <cell r="I320" t="str">
            <v>07WF121</v>
          </cell>
          <cell r="J320" t="str">
            <v>EQUIPMENT ROOM</v>
          </cell>
          <cell r="K320" t="str">
            <v>BMED</v>
          </cell>
          <cell r="L320" t="str">
            <v>Normal</v>
          </cell>
          <cell r="M320" t="str">
            <v>United States</v>
          </cell>
          <cell r="N320" t="str">
            <v>OHIO</v>
          </cell>
          <cell r="O320" t="str">
            <v>R244047311229905</v>
          </cell>
          <cell r="P320" t="str">
            <v>GPHS65093</v>
          </cell>
          <cell r="Q320" t="str">
            <v>Not Applicable</v>
          </cell>
          <cell r="R320" t="str">
            <v>OHIO</v>
          </cell>
          <cell r="S320" t="str">
            <v>Respimedic</v>
          </cell>
          <cell r="T320" t="str">
            <v>Functioning</v>
          </cell>
          <cell r="U320" t="str">
            <v>Asset</v>
          </cell>
          <cell r="V320">
            <v>920</v>
          </cell>
          <cell r="W320" t="str">
            <v>KEW</v>
          </cell>
          <cell r="X320" t="str">
            <v>01/09/2010</v>
          </cell>
          <cell r="Y320" t="str">
            <v>KEW</v>
          </cell>
          <cell r="Z320" t="str">
            <v>16/08/2013</v>
          </cell>
          <cell r="AA320" t="str">
            <v>15/08/2015</v>
          </cell>
          <cell r="AB320" t="str">
            <v>No</v>
          </cell>
          <cell r="AC320" t="str">
            <v>31/08/2013</v>
          </cell>
          <cell r="AD320" t="str">
            <v>Good</v>
          </cell>
          <cell r="AE320" t="str">
            <v>V4 - Decommissioned Installed Facility</v>
          </cell>
          <cell r="AF320">
            <v>42928</v>
          </cell>
          <cell r="AG320">
            <v>9.17</v>
          </cell>
          <cell r="AH320" t="str">
            <v>RI</v>
          </cell>
          <cell r="AI320" t="str">
            <v>Not in contract</v>
          </cell>
          <cell r="AJ320" t="str">
            <v>Not under maintenance</v>
          </cell>
          <cell r="AK320" t="e">
            <v>#N/A</v>
          </cell>
        </row>
        <row r="321">
          <cell r="A321" t="str">
            <v>IKN401641</v>
          </cell>
          <cell r="B321">
            <v>1571</v>
          </cell>
          <cell r="C321" t="str">
            <v>Institut Kanser Negara</v>
          </cell>
          <cell r="D321" t="e">
            <v>#N/A</v>
          </cell>
          <cell r="E321" t="str">
            <v>13-325</v>
          </cell>
          <cell r="F321" t="str">
            <v>Regulators, Suction</v>
          </cell>
          <cell r="G321" t="str">
            <v>WF</v>
          </cell>
          <cell r="H321" t="str">
            <v>RT/ONCO WARD 2 (F)</v>
          </cell>
          <cell r="I321" t="str">
            <v>07WF113</v>
          </cell>
          <cell r="J321" t="str">
            <v>ISOLATION 1 (+VE)</v>
          </cell>
          <cell r="K321" t="str">
            <v>BMED</v>
          </cell>
          <cell r="L321" t="str">
            <v>Normal</v>
          </cell>
          <cell r="M321" t="str">
            <v>United States</v>
          </cell>
          <cell r="N321" t="str">
            <v>OHIO</v>
          </cell>
          <cell r="O321" t="str">
            <v>R244047311229905</v>
          </cell>
          <cell r="P321" t="str">
            <v>GPHS65092</v>
          </cell>
          <cell r="Q321" t="str">
            <v>Not Applicable</v>
          </cell>
          <cell r="R321" t="str">
            <v>OHIO</v>
          </cell>
          <cell r="S321" t="str">
            <v>Respimedic</v>
          </cell>
          <cell r="T321" t="str">
            <v>Functioning</v>
          </cell>
          <cell r="U321" t="str">
            <v>Asset</v>
          </cell>
          <cell r="V321">
            <v>920</v>
          </cell>
          <cell r="W321" t="str">
            <v>KEW</v>
          </cell>
          <cell r="X321" t="str">
            <v>01/09/2010</v>
          </cell>
          <cell r="Y321" t="str">
            <v>KEW</v>
          </cell>
          <cell r="Z321" t="str">
            <v>16/08/2013</v>
          </cell>
          <cell r="AA321" t="str">
            <v>15/08/2015</v>
          </cell>
          <cell r="AB321" t="str">
            <v>No</v>
          </cell>
          <cell r="AC321" t="str">
            <v>31/08/2013</v>
          </cell>
          <cell r="AD321" t="str">
            <v>Good</v>
          </cell>
          <cell r="AE321" t="str">
            <v>V4 - Decommissioned Installed Facility</v>
          </cell>
          <cell r="AF321">
            <v>42928</v>
          </cell>
          <cell r="AG321">
            <v>9.17</v>
          </cell>
          <cell r="AH321" t="str">
            <v>RI</v>
          </cell>
          <cell r="AI321" t="str">
            <v>Not in contract</v>
          </cell>
          <cell r="AJ321" t="str">
            <v>Not under maintenance</v>
          </cell>
          <cell r="AK321" t="e">
            <v>#N/A</v>
          </cell>
        </row>
        <row r="322">
          <cell r="A322" t="str">
            <v>IKN401642</v>
          </cell>
          <cell r="B322">
            <v>1572</v>
          </cell>
          <cell r="C322" t="str">
            <v>Institut Kanser Negara</v>
          </cell>
          <cell r="D322" t="e">
            <v>#N/A</v>
          </cell>
          <cell r="E322" t="str">
            <v>13-325</v>
          </cell>
          <cell r="F322" t="str">
            <v>Regulators, Suction</v>
          </cell>
          <cell r="G322" t="str">
            <v>WF</v>
          </cell>
          <cell r="H322" t="str">
            <v>RT/ONCO WARD 2 (F)</v>
          </cell>
          <cell r="I322" t="str">
            <v>07WF107</v>
          </cell>
          <cell r="J322" t="str">
            <v>TREATMENT / PROCEDDURE</v>
          </cell>
          <cell r="K322" t="str">
            <v>BMED</v>
          </cell>
          <cell r="L322" t="str">
            <v>Normal</v>
          </cell>
          <cell r="M322" t="str">
            <v>United States</v>
          </cell>
          <cell r="N322" t="str">
            <v>OHIO</v>
          </cell>
          <cell r="O322" t="str">
            <v>R244047311229905</v>
          </cell>
          <cell r="P322" t="str">
            <v>GPHS65090</v>
          </cell>
          <cell r="Q322" t="str">
            <v>Not Applicable</v>
          </cell>
          <cell r="R322" t="str">
            <v>OHIO</v>
          </cell>
          <cell r="S322" t="str">
            <v>Respimedic</v>
          </cell>
          <cell r="T322" t="str">
            <v>Functioning</v>
          </cell>
          <cell r="U322" t="str">
            <v>Asset</v>
          </cell>
          <cell r="V322">
            <v>920</v>
          </cell>
          <cell r="W322" t="str">
            <v>KEW</v>
          </cell>
          <cell r="X322" t="str">
            <v>01/09/2010</v>
          </cell>
          <cell r="Y322" t="str">
            <v>KEW</v>
          </cell>
          <cell r="Z322" t="str">
            <v>16/08/2013</v>
          </cell>
          <cell r="AA322" t="str">
            <v>15/08/2015</v>
          </cell>
          <cell r="AB322" t="str">
            <v>No</v>
          </cell>
          <cell r="AC322" t="str">
            <v>31/08/2013</v>
          </cell>
          <cell r="AD322" t="str">
            <v>Good</v>
          </cell>
          <cell r="AE322" t="str">
            <v>V4 - Decommissioned Installed Facility</v>
          </cell>
          <cell r="AF322">
            <v>42928</v>
          </cell>
          <cell r="AG322">
            <v>9.17</v>
          </cell>
          <cell r="AH322" t="str">
            <v>RI</v>
          </cell>
          <cell r="AI322" t="str">
            <v>Not in contract</v>
          </cell>
          <cell r="AJ322" t="str">
            <v>Not under maintenance</v>
          </cell>
          <cell r="AK322" t="e">
            <v>#N/A</v>
          </cell>
        </row>
        <row r="323">
          <cell r="A323" t="str">
            <v>IKN401643</v>
          </cell>
          <cell r="B323">
            <v>1573</v>
          </cell>
          <cell r="C323" t="str">
            <v>Institut Kanser Negara</v>
          </cell>
          <cell r="D323" t="e">
            <v>#N/A</v>
          </cell>
          <cell r="E323" t="str">
            <v>13-325</v>
          </cell>
          <cell r="F323" t="str">
            <v>Regulators, Suction</v>
          </cell>
          <cell r="G323" t="str">
            <v>WF</v>
          </cell>
          <cell r="H323" t="str">
            <v>RT/ONCO WARD 2 (F)</v>
          </cell>
          <cell r="I323" t="str">
            <v>07WF121</v>
          </cell>
          <cell r="J323" t="str">
            <v>EQUIPMENT ROOM</v>
          </cell>
          <cell r="K323" t="str">
            <v>BMED</v>
          </cell>
          <cell r="L323" t="str">
            <v>Normal</v>
          </cell>
          <cell r="M323" t="str">
            <v>United States</v>
          </cell>
          <cell r="N323" t="str">
            <v>OHIO</v>
          </cell>
          <cell r="O323" t="str">
            <v>R244047311229905</v>
          </cell>
          <cell r="P323" t="str">
            <v>GPHS65187</v>
          </cell>
          <cell r="Q323" t="str">
            <v>Not Applicable</v>
          </cell>
          <cell r="R323" t="str">
            <v>OHIO</v>
          </cell>
          <cell r="S323" t="str">
            <v>Respimedic</v>
          </cell>
          <cell r="T323" t="str">
            <v>Functioning</v>
          </cell>
          <cell r="U323" t="str">
            <v>Asset</v>
          </cell>
          <cell r="V323">
            <v>920</v>
          </cell>
          <cell r="W323" t="str">
            <v>KEW</v>
          </cell>
          <cell r="X323" t="str">
            <v>01/09/2010</v>
          </cell>
          <cell r="Y323" t="str">
            <v>KEW</v>
          </cell>
          <cell r="Z323" t="str">
            <v>16/08/2013</v>
          </cell>
          <cell r="AA323" t="str">
            <v>15/08/2015</v>
          </cell>
          <cell r="AB323" t="str">
            <v>No</v>
          </cell>
          <cell r="AC323" t="str">
            <v>31/08/2013</v>
          </cell>
          <cell r="AD323" t="str">
            <v>Good</v>
          </cell>
          <cell r="AE323" t="str">
            <v>V4 - Decommissioned Installed Facility</v>
          </cell>
          <cell r="AF323">
            <v>42928</v>
          </cell>
          <cell r="AG323">
            <v>9.17</v>
          </cell>
          <cell r="AH323" t="str">
            <v>RI</v>
          </cell>
          <cell r="AI323" t="str">
            <v>Not in contract</v>
          </cell>
          <cell r="AJ323" t="str">
            <v>Not under maintenance</v>
          </cell>
          <cell r="AK323" t="e">
            <v>#N/A</v>
          </cell>
        </row>
        <row r="324">
          <cell r="A324" t="str">
            <v>IKN401644</v>
          </cell>
          <cell r="B324">
            <v>1574</v>
          </cell>
          <cell r="C324" t="str">
            <v>Institut Kanser Negara</v>
          </cell>
          <cell r="D324" t="e">
            <v>#N/A</v>
          </cell>
          <cell r="E324" t="str">
            <v>13-325</v>
          </cell>
          <cell r="F324" t="str">
            <v>Regulators, Suction</v>
          </cell>
          <cell r="G324" t="str">
            <v>WF</v>
          </cell>
          <cell r="H324" t="str">
            <v>RT/ONCO WARD 2 (F)</v>
          </cell>
          <cell r="I324" t="str">
            <v>07WF121</v>
          </cell>
          <cell r="J324" t="str">
            <v>EQUIPMENT ROOM</v>
          </cell>
          <cell r="K324" t="str">
            <v>BMED</v>
          </cell>
          <cell r="L324" t="str">
            <v>Normal</v>
          </cell>
          <cell r="M324" t="str">
            <v>United States</v>
          </cell>
          <cell r="N324" t="str">
            <v>OHIO</v>
          </cell>
          <cell r="O324" t="str">
            <v>R244047311229905</v>
          </cell>
          <cell r="P324" t="str">
            <v>GPHS65144</v>
          </cell>
          <cell r="Q324" t="str">
            <v>Not Applicable</v>
          </cell>
          <cell r="R324" t="str">
            <v>OHIO</v>
          </cell>
          <cell r="S324" t="str">
            <v>Respimedic</v>
          </cell>
          <cell r="T324" t="str">
            <v>Functioning</v>
          </cell>
          <cell r="U324" t="str">
            <v>Asset</v>
          </cell>
          <cell r="V324">
            <v>920</v>
          </cell>
          <cell r="W324" t="str">
            <v>KEW</v>
          </cell>
          <cell r="X324" t="str">
            <v>01/09/2010</v>
          </cell>
          <cell r="Y324" t="str">
            <v>KEW</v>
          </cell>
          <cell r="Z324" t="str">
            <v>16/08/2013</v>
          </cell>
          <cell r="AA324" t="str">
            <v>15/08/2015</v>
          </cell>
          <cell r="AB324" t="str">
            <v>No</v>
          </cell>
          <cell r="AC324" t="str">
            <v>31/08/2013</v>
          </cell>
          <cell r="AD324" t="str">
            <v>Good</v>
          </cell>
          <cell r="AE324" t="str">
            <v>V4 - Decommissioned Installed Facility</v>
          </cell>
          <cell r="AF324">
            <v>42927</v>
          </cell>
          <cell r="AG324">
            <v>9.17</v>
          </cell>
          <cell r="AH324" t="str">
            <v>RI</v>
          </cell>
          <cell r="AI324" t="str">
            <v>Not in contract</v>
          </cell>
          <cell r="AJ324" t="str">
            <v>Not under maintenance</v>
          </cell>
          <cell r="AK324" t="e">
            <v>#N/A</v>
          </cell>
        </row>
        <row r="325">
          <cell r="A325" t="str">
            <v>IKN401645</v>
          </cell>
          <cell r="B325">
            <v>1575</v>
          </cell>
          <cell r="C325" t="str">
            <v>Institut Kanser Negara</v>
          </cell>
          <cell r="D325" t="e">
            <v>#N/A</v>
          </cell>
          <cell r="E325" t="str">
            <v>13-325</v>
          </cell>
          <cell r="F325" t="str">
            <v>Regulators, Suction</v>
          </cell>
          <cell r="G325" t="str">
            <v>WF</v>
          </cell>
          <cell r="H325" t="str">
            <v>RT/ONCO WARD 2 (F)</v>
          </cell>
          <cell r="I325" t="str">
            <v>07WF121</v>
          </cell>
          <cell r="J325" t="str">
            <v>EQUIPMENT ROOM</v>
          </cell>
          <cell r="K325" t="str">
            <v>BMED</v>
          </cell>
          <cell r="L325" t="str">
            <v>Normal</v>
          </cell>
          <cell r="M325" t="str">
            <v>United States</v>
          </cell>
          <cell r="N325" t="str">
            <v>OHIO</v>
          </cell>
          <cell r="O325" t="str">
            <v>R244047311229905</v>
          </cell>
          <cell r="P325" t="str">
            <v>GPHS65148</v>
          </cell>
          <cell r="Q325" t="str">
            <v>Not Applicable</v>
          </cell>
          <cell r="R325" t="str">
            <v>OHIO</v>
          </cell>
          <cell r="S325" t="str">
            <v>Respimedic</v>
          </cell>
          <cell r="T325" t="str">
            <v>Functioning</v>
          </cell>
          <cell r="U325" t="str">
            <v>Asset</v>
          </cell>
          <cell r="V325">
            <v>920</v>
          </cell>
          <cell r="W325" t="str">
            <v>KEW</v>
          </cell>
          <cell r="X325" t="str">
            <v>01/09/2010</v>
          </cell>
          <cell r="Y325" t="str">
            <v>KEW</v>
          </cell>
          <cell r="Z325" t="str">
            <v>16/08/2013</v>
          </cell>
          <cell r="AA325" t="str">
            <v>15/08/2015</v>
          </cell>
          <cell r="AB325" t="str">
            <v>No</v>
          </cell>
          <cell r="AC325" t="str">
            <v>31/08/2013</v>
          </cell>
          <cell r="AD325" t="str">
            <v>Good</v>
          </cell>
          <cell r="AE325" t="str">
            <v>V4 - Decommissioned Installed Facility</v>
          </cell>
          <cell r="AF325">
            <v>42927</v>
          </cell>
          <cell r="AG325">
            <v>9.17</v>
          </cell>
          <cell r="AH325" t="str">
            <v>RI</v>
          </cell>
          <cell r="AI325" t="str">
            <v>Not in contract</v>
          </cell>
          <cell r="AJ325" t="str">
            <v>Not under maintenance</v>
          </cell>
          <cell r="AK325" t="e">
            <v>#N/A</v>
          </cell>
        </row>
        <row r="326">
          <cell r="A326" t="str">
            <v>IKN401646</v>
          </cell>
          <cell r="B326">
            <v>1576</v>
          </cell>
          <cell r="C326" t="str">
            <v>Institut Kanser Negara</v>
          </cell>
          <cell r="D326" t="e">
            <v>#N/A</v>
          </cell>
          <cell r="E326" t="str">
            <v>13-325</v>
          </cell>
          <cell r="F326" t="str">
            <v>Regulators, Suction</v>
          </cell>
          <cell r="G326" t="str">
            <v>WF</v>
          </cell>
          <cell r="H326" t="str">
            <v>RT/ONCO WARD 2 (F)</v>
          </cell>
          <cell r="I326" t="str">
            <v>07WF121</v>
          </cell>
          <cell r="J326" t="str">
            <v>EQUIPMENT ROOM</v>
          </cell>
          <cell r="K326" t="str">
            <v>BMED</v>
          </cell>
          <cell r="L326" t="str">
            <v>Normal</v>
          </cell>
          <cell r="M326" t="str">
            <v>United States</v>
          </cell>
          <cell r="N326" t="str">
            <v>OHIO</v>
          </cell>
          <cell r="O326" t="str">
            <v>R244047311229905</v>
          </cell>
          <cell r="P326" t="str">
            <v>GPHS65146</v>
          </cell>
          <cell r="Q326" t="str">
            <v>Not Applicable</v>
          </cell>
          <cell r="R326" t="str">
            <v>OHIO</v>
          </cell>
          <cell r="S326" t="str">
            <v>Respimedic</v>
          </cell>
          <cell r="T326" t="str">
            <v>Functioning</v>
          </cell>
          <cell r="U326" t="str">
            <v>Asset</v>
          </cell>
          <cell r="V326">
            <v>920</v>
          </cell>
          <cell r="W326" t="str">
            <v>KEW</v>
          </cell>
          <cell r="X326" t="str">
            <v>01/09/2010</v>
          </cell>
          <cell r="Y326" t="str">
            <v>KEW</v>
          </cell>
          <cell r="Z326" t="str">
            <v>16/08/2013</v>
          </cell>
          <cell r="AA326" t="str">
            <v>15/08/2015</v>
          </cell>
          <cell r="AB326" t="str">
            <v>No</v>
          </cell>
          <cell r="AC326" t="str">
            <v>31/08/2013</v>
          </cell>
          <cell r="AD326" t="str">
            <v>Good</v>
          </cell>
          <cell r="AE326" t="str">
            <v>V4 - Decommissioned Installed Facility</v>
          </cell>
          <cell r="AF326">
            <v>42927</v>
          </cell>
          <cell r="AG326">
            <v>9.17</v>
          </cell>
          <cell r="AH326" t="str">
            <v>RI</v>
          </cell>
          <cell r="AI326" t="str">
            <v>Not in contract</v>
          </cell>
          <cell r="AJ326" t="str">
            <v>Not under maintenance</v>
          </cell>
          <cell r="AK326" t="e">
            <v>#N/A</v>
          </cell>
        </row>
        <row r="327">
          <cell r="A327" t="str">
            <v>IKN401647</v>
          </cell>
          <cell r="B327">
            <v>1577</v>
          </cell>
          <cell r="C327" t="str">
            <v>Institut Kanser Negara</v>
          </cell>
          <cell r="D327" t="e">
            <v>#N/A</v>
          </cell>
          <cell r="E327" t="str">
            <v>13-325</v>
          </cell>
          <cell r="F327" t="str">
            <v>Regulators, Suction</v>
          </cell>
          <cell r="G327" t="str">
            <v>WF</v>
          </cell>
          <cell r="H327" t="str">
            <v>RT/ONCO WARD 2 (F)</v>
          </cell>
          <cell r="I327" t="str">
            <v>07WF121</v>
          </cell>
          <cell r="J327" t="str">
            <v>EQUIPMENT ROOM</v>
          </cell>
          <cell r="K327" t="str">
            <v>BMED</v>
          </cell>
          <cell r="L327" t="str">
            <v>Normal</v>
          </cell>
          <cell r="M327" t="str">
            <v>United States</v>
          </cell>
          <cell r="N327" t="str">
            <v>OHIO</v>
          </cell>
          <cell r="O327" t="str">
            <v>R244047311229905</v>
          </cell>
          <cell r="P327" t="str">
            <v>GPHS65123</v>
          </cell>
          <cell r="Q327" t="str">
            <v>Not Applicable</v>
          </cell>
          <cell r="R327" t="str">
            <v>OHIO</v>
          </cell>
          <cell r="S327" t="str">
            <v>Respimedic</v>
          </cell>
          <cell r="T327" t="str">
            <v>Functioning</v>
          </cell>
          <cell r="U327" t="str">
            <v>Asset</v>
          </cell>
          <cell r="V327">
            <v>920</v>
          </cell>
          <cell r="W327" t="str">
            <v>KEW</v>
          </cell>
          <cell r="X327" t="str">
            <v>01/09/2010</v>
          </cell>
          <cell r="Y327" t="str">
            <v>KEW</v>
          </cell>
          <cell r="Z327" t="str">
            <v>16/08/2013</v>
          </cell>
          <cell r="AA327" t="str">
            <v>15/08/2015</v>
          </cell>
          <cell r="AB327" t="str">
            <v>No</v>
          </cell>
          <cell r="AC327" t="str">
            <v>31/08/2013</v>
          </cell>
          <cell r="AD327" t="str">
            <v>Good</v>
          </cell>
          <cell r="AE327" t="str">
            <v>V4 - Decommissioned Installed Facility</v>
          </cell>
          <cell r="AF327">
            <v>42927</v>
          </cell>
          <cell r="AG327">
            <v>9.17</v>
          </cell>
          <cell r="AH327" t="str">
            <v>RI</v>
          </cell>
          <cell r="AI327" t="str">
            <v>Not in contract</v>
          </cell>
          <cell r="AJ327" t="str">
            <v>Not under maintenance</v>
          </cell>
          <cell r="AK327" t="e">
            <v>#N/A</v>
          </cell>
        </row>
        <row r="328">
          <cell r="A328" t="str">
            <v>IKN401648</v>
          </cell>
          <cell r="B328">
            <v>1578</v>
          </cell>
          <cell r="C328" t="str">
            <v>Institut Kanser Negara</v>
          </cell>
          <cell r="D328" t="str">
            <v>KKM/IKN/H/13/5006</v>
          </cell>
          <cell r="E328" t="str">
            <v>13-325</v>
          </cell>
          <cell r="F328" t="str">
            <v>Regulators, Suction</v>
          </cell>
          <cell r="G328" t="str">
            <v>OT</v>
          </cell>
          <cell r="H328" t="str">
            <v>OPERATING THEATRE</v>
          </cell>
          <cell r="I328" t="str">
            <v>05OT159</v>
          </cell>
          <cell r="J328" t="str">
            <v>POST-OP/RECOVERY (FUTURE)</v>
          </cell>
          <cell r="K328" t="str">
            <v>BMED</v>
          </cell>
          <cell r="L328" t="str">
            <v>Normal</v>
          </cell>
          <cell r="M328" t="str">
            <v>United States</v>
          </cell>
          <cell r="N328" t="str">
            <v>OHIO</v>
          </cell>
          <cell r="O328" t="str">
            <v>R244047311229905</v>
          </cell>
          <cell r="P328" t="str">
            <v>GFJT00084</v>
          </cell>
          <cell r="Q328" t="str">
            <v>Not Applicable</v>
          </cell>
          <cell r="R328" t="str">
            <v>OHIO</v>
          </cell>
          <cell r="S328" t="str">
            <v>Respimedic</v>
          </cell>
          <cell r="T328" t="str">
            <v>Functioning</v>
          </cell>
          <cell r="U328" t="str">
            <v>Asset</v>
          </cell>
          <cell r="V328">
            <v>920</v>
          </cell>
          <cell r="W328" t="str">
            <v>KEW</v>
          </cell>
          <cell r="X328" t="str">
            <v>01/09/2010</v>
          </cell>
          <cell r="Y328" t="str">
            <v>KEW</v>
          </cell>
          <cell r="Z328" t="str">
            <v>16/08/2013</v>
          </cell>
          <cell r="AA328" t="str">
            <v>15/08/2015</v>
          </cell>
          <cell r="AB328" t="str">
            <v>No</v>
          </cell>
          <cell r="AC328" t="str">
            <v>31/08/2013</v>
          </cell>
          <cell r="AD328" t="str">
            <v>Good</v>
          </cell>
          <cell r="AE328" t="str">
            <v>V4 - Decommissioned Installed Facility</v>
          </cell>
          <cell r="AF328">
            <v>42928</v>
          </cell>
          <cell r="AG328">
            <v>9.17</v>
          </cell>
          <cell r="AH328" t="str">
            <v>RI</v>
          </cell>
          <cell r="AI328" t="str">
            <v>Strands</v>
          </cell>
          <cell r="AJ328" t="str">
            <v>Not under maintenance</v>
          </cell>
        </row>
        <row r="329">
          <cell r="A329" t="str">
            <v>IKN401649</v>
          </cell>
          <cell r="B329">
            <v>1579</v>
          </cell>
          <cell r="C329" t="str">
            <v>Institut Kanser Negara</v>
          </cell>
          <cell r="D329" t="str">
            <v>KKM/IKN/H/13/5011</v>
          </cell>
          <cell r="E329" t="str">
            <v>13-325</v>
          </cell>
          <cell r="F329" t="str">
            <v>Regulators, Suction</v>
          </cell>
          <cell r="G329" t="str">
            <v>OT</v>
          </cell>
          <cell r="H329" t="str">
            <v>OPERATING THEATRE</v>
          </cell>
          <cell r="I329" t="str">
            <v>05OT159</v>
          </cell>
          <cell r="J329" t="str">
            <v>POST-OP/RECOVERY (FUTURE)</v>
          </cell>
          <cell r="K329" t="str">
            <v>BMED</v>
          </cell>
          <cell r="L329" t="str">
            <v>Normal</v>
          </cell>
          <cell r="M329" t="str">
            <v>United States</v>
          </cell>
          <cell r="N329" t="str">
            <v>OHIO</v>
          </cell>
          <cell r="O329" t="str">
            <v>R244047311229905</v>
          </cell>
          <cell r="P329" t="str">
            <v>GFJT00083</v>
          </cell>
          <cell r="Q329" t="str">
            <v>Not Applicable</v>
          </cell>
          <cell r="R329" t="str">
            <v>OHIO</v>
          </cell>
          <cell r="S329" t="str">
            <v>Respimedic</v>
          </cell>
          <cell r="T329" t="str">
            <v>Functioning</v>
          </cell>
          <cell r="U329" t="str">
            <v>Asset</v>
          </cell>
          <cell r="V329">
            <v>920</v>
          </cell>
          <cell r="W329" t="str">
            <v>KEW</v>
          </cell>
          <cell r="X329" t="str">
            <v>01/09/2010</v>
          </cell>
          <cell r="Y329" t="str">
            <v>KEW</v>
          </cell>
          <cell r="Z329" t="str">
            <v>16/08/2013</v>
          </cell>
          <cell r="AA329" t="str">
            <v>15/08/2015</v>
          </cell>
          <cell r="AB329" t="str">
            <v>No</v>
          </cell>
          <cell r="AC329" t="str">
            <v>31/08/2013</v>
          </cell>
          <cell r="AD329" t="str">
            <v>Good</v>
          </cell>
          <cell r="AE329" t="str">
            <v>V4 - Decommissioned Installed Facility</v>
          </cell>
          <cell r="AF329">
            <v>42928</v>
          </cell>
          <cell r="AG329">
            <v>9.17</v>
          </cell>
          <cell r="AH329" t="str">
            <v>RI</v>
          </cell>
          <cell r="AI329" t="str">
            <v>Strands</v>
          </cell>
          <cell r="AJ329" t="str">
            <v>Not under maintenance</v>
          </cell>
        </row>
        <row r="330">
          <cell r="A330" t="str">
            <v>IKN401650</v>
          </cell>
          <cell r="B330">
            <v>1580</v>
          </cell>
          <cell r="C330" t="str">
            <v>Institut Kanser Negara</v>
          </cell>
          <cell r="D330" t="str">
            <v>KKM/IKN/H/13/5010</v>
          </cell>
          <cell r="E330" t="str">
            <v>13-325</v>
          </cell>
          <cell r="F330" t="str">
            <v>Regulators, Suction</v>
          </cell>
          <cell r="G330" t="str">
            <v>OT</v>
          </cell>
          <cell r="H330" t="str">
            <v>OPERATING THEATRE</v>
          </cell>
          <cell r="I330" t="str">
            <v>05OT128</v>
          </cell>
          <cell r="J330" t="str">
            <v>PRE-OP / PATIENT HOLDING</v>
          </cell>
          <cell r="K330" t="str">
            <v>BMED</v>
          </cell>
          <cell r="L330" t="str">
            <v>Normal</v>
          </cell>
          <cell r="M330" t="str">
            <v>United States</v>
          </cell>
          <cell r="N330" t="str">
            <v>OHIO</v>
          </cell>
          <cell r="O330" t="str">
            <v>R244047311229905</v>
          </cell>
          <cell r="P330" t="str">
            <v>GFJT00097</v>
          </cell>
          <cell r="Q330" t="str">
            <v>Not Applicable</v>
          </cell>
          <cell r="R330" t="str">
            <v>OHIO</v>
          </cell>
          <cell r="S330" t="str">
            <v>Respimedic</v>
          </cell>
          <cell r="T330" t="str">
            <v>Functioning</v>
          </cell>
          <cell r="U330" t="str">
            <v>Asset</v>
          </cell>
          <cell r="V330">
            <v>920</v>
          </cell>
          <cell r="W330" t="str">
            <v>KEW</v>
          </cell>
          <cell r="X330" t="str">
            <v>01/09/2010</v>
          </cell>
          <cell r="Y330" t="str">
            <v>KEW</v>
          </cell>
          <cell r="Z330" t="str">
            <v>16/08/2013</v>
          </cell>
          <cell r="AA330" t="str">
            <v>15/08/2015</v>
          </cell>
          <cell r="AB330" t="str">
            <v>No</v>
          </cell>
          <cell r="AC330" t="str">
            <v>31/08/2013</v>
          </cell>
          <cell r="AD330" t="str">
            <v>Good</v>
          </cell>
          <cell r="AE330" t="str">
            <v>V4 - Decommissioned Installed Facility</v>
          </cell>
          <cell r="AF330">
            <v>42928</v>
          </cell>
          <cell r="AG330">
            <v>9.17</v>
          </cell>
          <cell r="AH330" t="str">
            <v>RI</v>
          </cell>
          <cell r="AI330" t="str">
            <v>Strands</v>
          </cell>
          <cell r="AJ330" t="str">
            <v>Not under maintenance</v>
          </cell>
        </row>
        <row r="331">
          <cell r="A331" t="str">
            <v>IKN401651</v>
          </cell>
          <cell r="B331">
            <v>1581</v>
          </cell>
          <cell r="C331" t="str">
            <v>Institut Kanser Negara</v>
          </cell>
          <cell r="D331" t="str">
            <v>KKM/IKN/H/13/5008</v>
          </cell>
          <cell r="E331" t="str">
            <v>13-325</v>
          </cell>
          <cell r="F331" t="str">
            <v>Regulators, Suction</v>
          </cell>
          <cell r="G331" t="str">
            <v>OT</v>
          </cell>
          <cell r="H331" t="str">
            <v>OPERATING THEATRE</v>
          </cell>
          <cell r="I331" t="str">
            <v>05OT128</v>
          </cell>
          <cell r="J331" t="str">
            <v>PRE-OP / PATIENT HOLDING</v>
          </cell>
          <cell r="K331" t="str">
            <v>BMED</v>
          </cell>
          <cell r="L331" t="str">
            <v>Normal</v>
          </cell>
          <cell r="M331" t="str">
            <v>United States</v>
          </cell>
          <cell r="N331" t="str">
            <v>OHIO</v>
          </cell>
          <cell r="O331" t="str">
            <v>R244047311229905</v>
          </cell>
          <cell r="P331" t="str">
            <v>GFJT00094</v>
          </cell>
          <cell r="Q331" t="str">
            <v>Not Applicable</v>
          </cell>
          <cell r="R331" t="str">
            <v>OHIO</v>
          </cell>
          <cell r="S331" t="str">
            <v>Respimedic</v>
          </cell>
          <cell r="T331" t="str">
            <v>Functioning</v>
          </cell>
          <cell r="U331" t="str">
            <v>Asset</v>
          </cell>
          <cell r="V331">
            <v>920</v>
          </cell>
          <cell r="W331" t="str">
            <v>KEW</v>
          </cell>
          <cell r="X331" t="str">
            <v>01/09/2010</v>
          </cell>
          <cell r="Y331" t="str">
            <v>KEW</v>
          </cell>
          <cell r="Z331" t="str">
            <v>16/08/2013</v>
          </cell>
          <cell r="AA331" t="str">
            <v>15/08/2015</v>
          </cell>
          <cell r="AB331" t="str">
            <v>No</v>
          </cell>
          <cell r="AC331" t="str">
            <v>31/08/2013</v>
          </cell>
          <cell r="AD331" t="str">
            <v>Good</v>
          </cell>
          <cell r="AE331" t="str">
            <v>V4 - Decommissioned Installed Facility</v>
          </cell>
          <cell r="AF331">
            <v>42928</v>
          </cell>
          <cell r="AG331">
            <v>9.17</v>
          </cell>
          <cell r="AH331" t="str">
            <v>RI</v>
          </cell>
          <cell r="AI331" t="str">
            <v>Strands</v>
          </cell>
          <cell r="AJ331" t="str">
            <v>Not under maintenance</v>
          </cell>
        </row>
        <row r="332">
          <cell r="A332" t="str">
            <v>IKN401652</v>
          </cell>
          <cell r="B332">
            <v>1582</v>
          </cell>
          <cell r="C332" t="str">
            <v>Institut Kanser Negara</v>
          </cell>
          <cell r="D332" t="str">
            <v>KKM/IKN/H/13/5012</v>
          </cell>
          <cell r="E332" t="str">
            <v>13-325</v>
          </cell>
          <cell r="F332" t="str">
            <v>Regulators, Suction</v>
          </cell>
          <cell r="G332" t="str">
            <v>OT</v>
          </cell>
          <cell r="H332" t="str">
            <v>OPERATING THEATRE</v>
          </cell>
          <cell r="I332" t="str">
            <v>05OT123</v>
          </cell>
          <cell r="J332" t="str">
            <v>0T 1</v>
          </cell>
          <cell r="K332" t="str">
            <v>BMED</v>
          </cell>
          <cell r="L332" t="str">
            <v>Normal</v>
          </cell>
          <cell r="M332" t="str">
            <v>United States</v>
          </cell>
          <cell r="N332" t="str">
            <v>OHIO</v>
          </cell>
          <cell r="O332" t="str">
            <v>R244047311229905</v>
          </cell>
          <cell r="P332" t="str">
            <v>GFJT00081</v>
          </cell>
          <cell r="Q332" t="str">
            <v>Not Applicable</v>
          </cell>
          <cell r="R332" t="str">
            <v>OHIO</v>
          </cell>
          <cell r="S332" t="str">
            <v>Respimedic</v>
          </cell>
          <cell r="T332" t="str">
            <v>Functioning</v>
          </cell>
          <cell r="U332" t="str">
            <v>Asset</v>
          </cell>
          <cell r="V332">
            <v>920</v>
          </cell>
          <cell r="W332" t="str">
            <v>KEW</v>
          </cell>
          <cell r="X332" t="str">
            <v>01/09/2010</v>
          </cell>
          <cell r="Y332" t="str">
            <v>KEW</v>
          </cell>
          <cell r="Z332" t="str">
            <v>16/08/2013</v>
          </cell>
          <cell r="AA332" t="str">
            <v>15/08/2015</v>
          </cell>
          <cell r="AB332" t="str">
            <v>No</v>
          </cell>
          <cell r="AC332" t="str">
            <v>31/08/2013</v>
          </cell>
          <cell r="AD332" t="str">
            <v>Good</v>
          </cell>
          <cell r="AE332" t="str">
            <v>V4 - Decommissioned Installed Facility</v>
          </cell>
          <cell r="AF332">
            <v>42928</v>
          </cell>
          <cell r="AG332">
            <v>9.17</v>
          </cell>
          <cell r="AH332" t="str">
            <v>RI</v>
          </cell>
          <cell r="AI332" t="str">
            <v>Strands</v>
          </cell>
          <cell r="AJ332" t="str">
            <v>Not under maintenance</v>
          </cell>
        </row>
        <row r="333">
          <cell r="A333" t="str">
            <v>IKN401653</v>
          </cell>
          <cell r="B333">
            <v>1583</v>
          </cell>
          <cell r="C333" t="str">
            <v>Institut Kanser Negara</v>
          </cell>
          <cell r="D333" t="str">
            <v>KKM/IKN/H/13/5009</v>
          </cell>
          <cell r="E333" t="str">
            <v>13-325</v>
          </cell>
          <cell r="F333" t="str">
            <v>Regulators, Suction</v>
          </cell>
          <cell r="G333" t="str">
            <v>OT</v>
          </cell>
          <cell r="H333" t="str">
            <v>OPERATING THEATRE</v>
          </cell>
          <cell r="I333" t="str">
            <v>05OT123</v>
          </cell>
          <cell r="J333" t="str">
            <v>0T 1</v>
          </cell>
          <cell r="K333" t="str">
            <v>BMED</v>
          </cell>
          <cell r="L333" t="str">
            <v>Normal</v>
          </cell>
          <cell r="M333" t="str">
            <v>United States</v>
          </cell>
          <cell r="N333" t="str">
            <v>OHIO</v>
          </cell>
          <cell r="O333" t="str">
            <v>R244047311229905</v>
          </cell>
          <cell r="P333" t="str">
            <v>GFJT00095</v>
          </cell>
          <cell r="Q333" t="str">
            <v>Not Applicable</v>
          </cell>
          <cell r="R333" t="str">
            <v>OHIO</v>
          </cell>
          <cell r="S333" t="str">
            <v>Respimedic</v>
          </cell>
          <cell r="T333" t="str">
            <v>Functioning</v>
          </cell>
          <cell r="U333" t="str">
            <v>Asset</v>
          </cell>
          <cell r="V333">
            <v>920</v>
          </cell>
          <cell r="W333" t="str">
            <v>KEW</v>
          </cell>
          <cell r="X333" t="str">
            <v>01/09/2010</v>
          </cell>
          <cell r="Y333" t="str">
            <v>KEW</v>
          </cell>
          <cell r="Z333" t="str">
            <v>16/08/2013</v>
          </cell>
          <cell r="AA333" t="str">
            <v>15/08/2015</v>
          </cell>
          <cell r="AB333" t="str">
            <v>No</v>
          </cell>
          <cell r="AC333" t="str">
            <v>31/08/2013</v>
          </cell>
          <cell r="AD333" t="str">
            <v>Good</v>
          </cell>
          <cell r="AE333" t="str">
            <v>V4 - Decommissioned Installed Facility</v>
          </cell>
          <cell r="AF333">
            <v>42928</v>
          </cell>
          <cell r="AG333">
            <v>9.17</v>
          </cell>
          <cell r="AH333" t="str">
            <v>RI</v>
          </cell>
          <cell r="AI333" t="str">
            <v>Strands</v>
          </cell>
          <cell r="AJ333" t="str">
            <v>Not under maintenance</v>
          </cell>
        </row>
        <row r="334">
          <cell r="A334" t="str">
            <v>IKN401654</v>
          </cell>
          <cell r="B334">
            <v>1584</v>
          </cell>
          <cell r="C334" t="str">
            <v>Institut Kanser Negara</v>
          </cell>
          <cell r="D334" t="str">
            <v>KKM/IKN/H/13/5013</v>
          </cell>
          <cell r="E334" t="str">
            <v>13-325</v>
          </cell>
          <cell r="F334" t="str">
            <v>Regulators, Suction</v>
          </cell>
          <cell r="G334" t="str">
            <v>OT</v>
          </cell>
          <cell r="H334" t="str">
            <v>OPERATING THEATRE</v>
          </cell>
          <cell r="I334" t="str">
            <v>05OT123</v>
          </cell>
          <cell r="J334" t="str">
            <v>0T 1</v>
          </cell>
          <cell r="K334" t="str">
            <v>BMED</v>
          </cell>
          <cell r="L334" t="str">
            <v>Normal</v>
          </cell>
          <cell r="M334" t="str">
            <v>United States</v>
          </cell>
          <cell r="N334" t="str">
            <v>OHIO</v>
          </cell>
          <cell r="O334" t="str">
            <v>R244047311229905</v>
          </cell>
          <cell r="P334" t="str">
            <v>GFJT00085</v>
          </cell>
          <cell r="Q334" t="str">
            <v>Not Applicable</v>
          </cell>
          <cell r="R334" t="str">
            <v>OHIO</v>
          </cell>
          <cell r="S334" t="str">
            <v>Respimedic</v>
          </cell>
          <cell r="T334" t="str">
            <v>Functioning</v>
          </cell>
          <cell r="U334" t="str">
            <v>Asset</v>
          </cell>
          <cell r="V334">
            <v>920</v>
          </cell>
          <cell r="W334" t="str">
            <v>KEW</v>
          </cell>
          <cell r="X334" t="str">
            <v>01/09/2010</v>
          </cell>
          <cell r="Y334" t="str">
            <v>KEW</v>
          </cell>
          <cell r="Z334" t="str">
            <v>16/08/2013</v>
          </cell>
          <cell r="AA334" t="str">
            <v>15/08/2015</v>
          </cell>
          <cell r="AB334" t="str">
            <v>No</v>
          </cell>
          <cell r="AC334" t="str">
            <v>31/08/2013</v>
          </cell>
          <cell r="AD334" t="str">
            <v>Good</v>
          </cell>
          <cell r="AE334" t="str">
            <v>V4 - Decommissioned Installed Facility</v>
          </cell>
          <cell r="AF334">
            <v>42929</v>
          </cell>
          <cell r="AG334">
            <v>9.17</v>
          </cell>
          <cell r="AH334" t="str">
            <v>RI</v>
          </cell>
          <cell r="AI334" t="str">
            <v>Strands</v>
          </cell>
          <cell r="AJ334" t="str">
            <v>Not under maintenance</v>
          </cell>
        </row>
        <row r="335">
          <cell r="A335" t="str">
            <v>IKN401655</v>
          </cell>
          <cell r="B335">
            <v>1585</v>
          </cell>
          <cell r="C335" t="str">
            <v>Institut Kanser Negara</v>
          </cell>
          <cell r="D335" t="str">
            <v>KKM/IKN/H/13/5007</v>
          </cell>
          <cell r="E335" t="str">
            <v>13-325</v>
          </cell>
          <cell r="F335" t="str">
            <v>Regulators, Suction</v>
          </cell>
          <cell r="G335" t="str">
            <v>OT</v>
          </cell>
          <cell r="H335" t="str">
            <v>OPERATING THEATRE</v>
          </cell>
          <cell r="I335" t="str">
            <v>05OT120</v>
          </cell>
          <cell r="J335" t="str">
            <v>OT 2</v>
          </cell>
          <cell r="K335" t="str">
            <v>BMED</v>
          </cell>
          <cell r="L335" t="str">
            <v>Normal</v>
          </cell>
          <cell r="M335" t="str">
            <v>United States</v>
          </cell>
          <cell r="N335" t="str">
            <v>OHIO</v>
          </cell>
          <cell r="O335" t="str">
            <v>R244047311229905</v>
          </cell>
          <cell r="P335" t="str">
            <v>GFJT00100</v>
          </cell>
          <cell r="Q335" t="str">
            <v>Not Applicable</v>
          </cell>
          <cell r="R335" t="str">
            <v>OHIO</v>
          </cell>
          <cell r="S335" t="str">
            <v>Respimedic</v>
          </cell>
          <cell r="T335" t="str">
            <v>Functioning</v>
          </cell>
          <cell r="U335" t="str">
            <v>Asset</v>
          </cell>
          <cell r="V335">
            <v>920</v>
          </cell>
          <cell r="W335" t="str">
            <v>KEW</v>
          </cell>
          <cell r="X335" t="str">
            <v>01/09/2010</v>
          </cell>
          <cell r="Y335" t="str">
            <v>KEW</v>
          </cell>
          <cell r="Z335" t="str">
            <v>16/08/2013</v>
          </cell>
          <cell r="AA335" t="str">
            <v>15/08/2015</v>
          </cell>
          <cell r="AB335" t="str">
            <v>No</v>
          </cell>
          <cell r="AC335" t="str">
            <v>31/08/2013</v>
          </cell>
          <cell r="AD335" t="str">
            <v>Good</v>
          </cell>
          <cell r="AE335" t="str">
            <v>V4 - Decommissioned Installed Facility</v>
          </cell>
          <cell r="AF335">
            <v>42929</v>
          </cell>
          <cell r="AG335">
            <v>9.17</v>
          </cell>
          <cell r="AH335" t="str">
            <v>RI</v>
          </cell>
          <cell r="AI335" t="str">
            <v>Strands</v>
          </cell>
          <cell r="AJ335" t="str">
            <v>Not under maintenance</v>
          </cell>
        </row>
        <row r="336">
          <cell r="A336" t="str">
            <v>IKN401657</v>
          </cell>
          <cell r="B336">
            <v>1587</v>
          </cell>
          <cell r="C336" t="str">
            <v>Institut Kanser Negara</v>
          </cell>
          <cell r="D336" t="e">
            <v>#N/A</v>
          </cell>
          <cell r="E336" t="str">
            <v>13-325</v>
          </cell>
          <cell r="F336" t="str">
            <v>Regulators, Suction</v>
          </cell>
          <cell r="G336" t="str">
            <v>WG</v>
          </cell>
          <cell r="H336" t="str">
            <v>RT/ONCO WARD 1 (M)</v>
          </cell>
          <cell r="I336" t="str">
            <v>08WG111</v>
          </cell>
          <cell r="J336" t="str">
            <v>2 BED ROOM</v>
          </cell>
          <cell r="K336" t="str">
            <v>BMED</v>
          </cell>
          <cell r="L336" t="str">
            <v>Normal</v>
          </cell>
          <cell r="M336" t="str">
            <v>United States</v>
          </cell>
          <cell r="N336" t="str">
            <v>OHIO</v>
          </cell>
          <cell r="O336" t="str">
            <v>R244047311229905</v>
          </cell>
          <cell r="P336" t="str">
            <v>GPHS65157</v>
          </cell>
          <cell r="Q336" t="str">
            <v>Not Applicable</v>
          </cell>
          <cell r="R336" t="str">
            <v>OHIO</v>
          </cell>
          <cell r="S336" t="str">
            <v>Respimedic</v>
          </cell>
          <cell r="T336" t="str">
            <v>Functioning</v>
          </cell>
          <cell r="U336" t="str">
            <v>Asset</v>
          </cell>
          <cell r="V336">
            <v>920</v>
          </cell>
          <cell r="W336" t="str">
            <v>KEW</v>
          </cell>
          <cell r="X336" t="str">
            <v>01/09/2010</v>
          </cell>
          <cell r="Y336" t="str">
            <v>KEW</v>
          </cell>
          <cell r="Z336" t="str">
            <v>16/08/2013</v>
          </cell>
          <cell r="AA336" t="str">
            <v>15/08/2015</v>
          </cell>
          <cell r="AB336" t="str">
            <v>No</v>
          </cell>
          <cell r="AC336" t="str">
            <v>31/08/2013</v>
          </cell>
          <cell r="AD336" t="str">
            <v>Good</v>
          </cell>
          <cell r="AE336" t="str">
            <v>V4 - Decommissioned Installed Facility</v>
          </cell>
          <cell r="AF336">
            <v>42957</v>
          </cell>
          <cell r="AG336">
            <v>9.17</v>
          </cell>
          <cell r="AH336" t="str">
            <v>RI</v>
          </cell>
          <cell r="AI336" t="str">
            <v>Not in contract</v>
          </cell>
          <cell r="AJ336" t="str">
            <v>Not under maintenance</v>
          </cell>
          <cell r="AK336" t="e">
            <v>#N/A</v>
          </cell>
        </row>
        <row r="337">
          <cell r="A337" t="str">
            <v>IKN401658</v>
          </cell>
          <cell r="B337">
            <v>1588</v>
          </cell>
          <cell r="C337" t="str">
            <v>Institut Kanser Negara</v>
          </cell>
          <cell r="D337" t="e">
            <v>#N/A</v>
          </cell>
          <cell r="E337" t="str">
            <v>13-325</v>
          </cell>
          <cell r="F337" t="str">
            <v>Regulators, Suction</v>
          </cell>
          <cell r="G337" t="str">
            <v>WG</v>
          </cell>
          <cell r="H337" t="str">
            <v>RT/ONCO WARD 1 (M)</v>
          </cell>
          <cell r="I337" t="str">
            <v>08WG111</v>
          </cell>
          <cell r="J337" t="str">
            <v>2 BED ROOM</v>
          </cell>
          <cell r="K337" t="str">
            <v>BMED</v>
          </cell>
          <cell r="L337" t="str">
            <v>Normal</v>
          </cell>
          <cell r="M337" t="str">
            <v>United States</v>
          </cell>
          <cell r="N337" t="str">
            <v>OHIO</v>
          </cell>
          <cell r="O337" t="str">
            <v>R244047311229905</v>
          </cell>
          <cell r="P337" t="str">
            <v>GPHS65122</v>
          </cell>
          <cell r="Q337" t="str">
            <v>Not Applicable</v>
          </cell>
          <cell r="R337" t="str">
            <v>OHIO</v>
          </cell>
          <cell r="S337" t="str">
            <v>Respimedic</v>
          </cell>
          <cell r="T337" t="str">
            <v>Functioning</v>
          </cell>
          <cell r="U337" t="str">
            <v>Asset</v>
          </cell>
          <cell r="V337">
            <v>920</v>
          </cell>
          <cell r="W337" t="str">
            <v>KEW</v>
          </cell>
          <cell r="X337" t="str">
            <v>01/09/2010</v>
          </cell>
          <cell r="Y337" t="str">
            <v>KEW</v>
          </cell>
          <cell r="Z337" t="str">
            <v>16/08/2013</v>
          </cell>
          <cell r="AA337" t="str">
            <v>15/08/2015</v>
          </cell>
          <cell r="AB337" t="str">
            <v>No</v>
          </cell>
          <cell r="AC337" t="str">
            <v>31/08/2013</v>
          </cell>
          <cell r="AD337" t="str">
            <v>Good</v>
          </cell>
          <cell r="AE337" t="str">
            <v>V4 - Decommissioned Installed Facility</v>
          </cell>
          <cell r="AF337">
            <v>42957</v>
          </cell>
          <cell r="AG337">
            <v>9.17</v>
          </cell>
          <cell r="AH337" t="str">
            <v>RI</v>
          </cell>
          <cell r="AI337" t="str">
            <v>Not in contract</v>
          </cell>
          <cell r="AJ337" t="str">
            <v>Not under maintenance</v>
          </cell>
          <cell r="AK337" t="e">
            <v>#N/A</v>
          </cell>
        </row>
        <row r="338">
          <cell r="A338" t="str">
            <v>IKN401659</v>
          </cell>
          <cell r="B338">
            <v>1589</v>
          </cell>
          <cell r="C338" t="str">
            <v>Institut Kanser Negara</v>
          </cell>
          <cell r="D338" t="e">
            <v>#N/A</v>
          </cell>
          <cell r="E338" t="str">
            <v>13-325</v>
          </cell>
          <cell r="F338" t="str">
            <v>Regulators, Suction</v>
          </cell>
          <cell r="G338" t="str">
            <v>WG</v>
          </cell>
          <cell r="H338" t="str">
            <v>RT/ONCO WARD 1 (M)</v>
          </cell>
          <cell r="I338" t="str">
            <v>08WG108</v>
          </cell>
          <cell r="J338" t="str">
            <v>4 BED ROOM 1</v>
          </cell>
          <cell r="K338" t="str">
            <v>BMED</v>
          </cell>
          <cell r="L338" t="str">
            <v>Normal</v>
          </cell>
          <cell r="M338" t="str">
            <v>United States</v>
          </cell>
          <cell r="N338" t="str">
            <v>OHIO</v>
          </cell>
          <cell r="O338" t="str">
            <v>R244047311229905</v>
          </cell>
          <cell r="P338" t="str">
            <v>GPHS65156</v>
          </cell>
          <cell r="Q338" t="str">
            <v>Not Applicable</v>
          </cell>
          <cell r="R338" t="str">
            <v>OHIO</v>
          </cell>
          <cell r="S338" t="str">
            <v>Respimedic</v>
          </cell>
          <cell r="T338" t="str">
            <v>Functioning</v>
          </cell>
          <cell r="U338" t="str">
            <v>Asset</v>
          </cell>
          <cell r="V338">
            <v>920</v>
          </cell>
          <cell r="W338" t="str">
            <v>KEW</v>
          </cell>
          <cell r="X338" t="str">
            <v>01/09/2010</v>
          </cell>
          <cell r="Y338" t="str">
            <v>KEW</v>
          </cell>
          <cell r="Z338" t="str">
            <v>16/08/2013</v>
          </cell>
          <cell r="AA338" t="str">
            <v>15/08/2015</v>
          </cell>
          <cell r="AB338" t="str">
            <v>No</v>
          </cell>
          <cell r="AC338" t="str">
            <v>31/08/2013</v>
          </cell>
          <cell r="AD338" t="str">
            <v>Good</v>
          </cell>
          <cell r="AE338" t="str">
            <v>V4 - Decommissioned Installed Facility</v>
          </cell>
          <cell r="AF338">
            <v>42957</v>
          </cell>
          <cell r="AG338">
            <v>9.17</v>
          </cell>
          <cell r="AH338" t="str">
            <v>RI</v>
          </cell>
          <cell r="AI338" t="str">
            <v>Not in contract</v>
          </cell>
          <cell r="AJ338" t="str">
            <v>Not under maintenance</v>
          </cell>
          <cell r="AK338" t="e">
            <v>#N/A</v>
          </cell>
        </row>
        <row r="339">
          <cell r="A339" t="str">
            <v>IKN401660</v>
          </cell>
          <cell r="B339">
            <v>1590</v>
          </cell>
          <cell r="C339" t="str">
            <v>Institut Kanser Negara</v>
          </cell>
          <cell r="D339" t="e">
            <v>#N/A</v>
          </cell>
          <cell r="E339" t="str">
            <v>13-325</v>
          </cell>
          <cell r="F339" t="str">
            <v>Regulators, Suction</v>
          </cell>
          <cell r="G339" t="str">
            <v>WG</v>
          </cell>
          <cell r="H339" t="str">
            <v>RT/ONCO WARD 1 (M)</v>
          </cell>
          <cell r="I339" t="str">
            <v>08WG108</v>
          </cell>
          <cell r="J339" t="str">
            <v>4 BED ROOM 1</v>
          </cell>
          <cell r="K339" t="str">
            <v>BMED</v>
          </cell>
          <cell r="L339" t="str">
            <v>Normal</v>
          </cell>
          <cell r="M339" t="str">
            <v>United States</v>
          </cell>
          <cell r="N339" t="str">
            <v>OHIO</v>
          </cell>
          <cell r="O339" t="str">
            <v>R244047311229905</v>
          </cell>
          <cell r="P339" t="str">
            <v>GPHS65165</v>
          </cell>
          <cell r="Q339" t="str">
            <v>Not Applicable</v>
          </cell>
          <cell r="R339" t="str">
            <v>OHIO</v>
          </cell>
          <cell r="S339" t="str">
            <v>Respimedic</v>
          </cell>
          <cell r="T339" t="str">
            <v>Functioning</v>
          </cell>
          <cell r="U339" t="str">
            <v>Asset</v>
          </cell>
          <cell r="V339">
            <v>920</v>
          </cell>
          <cell r="W339" t="str">
            <v>KEW</v>
          </cell>
          <cell r="X339" t="str">
            <v>01/09/2010</v>
          </cell>
          <cell r="Y339" t="str">
            <v>KEW</v>
          </cell>
          <cell r="Z339" t="str">
            <v>16/08/2013</v>
          </cell>
          <cell r="AA339" t="str">
            <v>15/08/2015</v>
          </cell>
          <cell r="AB339" t="str">
            <v>No</v>
          </cell>
          <cell r="AC339" t="str">
            <v>31/08/2013</v>
          </cell>
          <cell r="AD339" t="str">
            <v>Good</v>
          </cell>
          <cell r="AE339" t="str">
            <v>V4 - Decommissioned Installed Facility</v>
          </cell>
          <cell r="AF339">
            <v>42957</v>
          </cell>
          <cell r="AG339">
            <v>9.17</v>
          </cell>
          <cell r="AH339" t="str">
            <v>RI</v>
          </cell>
          <cell r="AI339" t="str">
            <v>Not in contract</v>
          </cell>
          <cell r="AJ339" t="str">
            <v>Not under maintenance</v>
          </cell>
          <cell r="AK339" t="e">
            <v>#N/A</v>
          </cell>
        </row>
        <row r="340">
          <cell r="A340" t="str">
            <v>IKN401661</v>
          </cell>
          <cell r="B340">
            <v>1591</v>
          </cell>
          <cell r="C340" t="str">
            <v>Institut Kanser Negara</v>
          </cell>
          <cell r="D340" t="e">
            <v>#N/A</v>
          </cell>
          <cell r="E340" t="str">
            <v>13-325</v>
          </cell>
          <cell r="F340" t="str">
            <v>Regulators, Suction</v>
          </cell>
          <cell r="G340" t="str">
            <v>WG</v>
          </cell>
          <cell r="H340" t="str">
            <v>RT/ONCO WARD 1 (M)</v>
          </cell>
          <cell r="I340" t="str">
            <v>08WG108</v>
          </cell>
          <cell r="J340" t="str">
            <v>4 BED ROOM 1</v>
          </cell>
          <cell r="K340" t="str">
            <v>BMED</v>
          </cell>
          <cell r="L340" t="str">
            <v>Normal</v>
          </cell>
          <cell r="M340" t="str">
            <v>United States</v>
          </cell>
          <cell r="N340" t="str">
            <v>OHIO</v>
          </cell>
          <cell r="O340" t="str">
            <v>R244047311229905</v>
          </cell>
          <cell r="P340" t="str">
            <v>GPHS65147</v>
          </cell>
          <cell r="Q340" t="str">
            <v>Not Applicable</v>
          </cell>
          <cell r="R340" t="str">
            <v>OHIO</v>
          </cell>
          <cell r="S340" t="str">
            <v>Respimedic</v>
          </cell>
          <cell r="T340" t="str">
            <v>Functioning</v>
          </cell>
          <cell r="U340" t="str">
            <v>Asset</v>
          </cell>
          <cell r="V340">
            <v>920</v>
          </cell>
          <cell r="W340" t="str">
            <v>KEW</v>
          </cell>
          <cell r="X340" t="str">
            <v>01/09/2010</v>
          </cell>
          <cell r="Y340" t="str">
            <v>KEW</v>
          </cell>
          <cell r="Z340" t="str">
            <v>16/08/2013</v>
          </cell>
          <cell r="AA340" t="str">
            <v>15/08/2015</v>
          </cell>
          <cell r="AB340" t="str">
            <v>No</v>
          </cell>
          <cell r="AC340" t="str">
            <v>31/08/2013</v>
          </cell>
          <cell r="AD340" t="str">
            <v>Good</v>
          </cell>
          <cell r="AE340" t="str">
            <v>V4 - Decommissioned Installed Facility</v>
          </cell>
          <cell r="AF340">
            <v>42957</v>
          </cell>
          <cell r="AG340">
            <v>9.17</v>
          </cell>
          <cell r="AH340" t="str">
            <v>RI</v>
          </cell>
          <cell r="AI340" t="str">
            <v>Not in contract</v>
          </cell>
          <cell r="AJ340" t="str">
            <v>Not under maintenance</v>
          </cell>
          <cell r="AK340" t="e">
            <v>#N/A</v>
          </cell>
        </row>
        <row r="341">
          <cell r="A341" t="str">
            <v>IKN401662</v>
          </cell>
          <cell r="B341">
            <v>1592</v>
          </cell>
          <cell r="C341" t="str">
            <v>Institut Kanser Negara</v>
          </cell>
          <cell r="D341" t="e">
            <v>#N/A</v>
          </cell>
          <cell r="E341" t="str">
            <v>13-325</v>
          </cell>
          <cell r="F341" t="str">
            <v>Regulators, Suction</v>
          </cell>
          <cell r="G341" t="str">
            <v>WG</v>
          </cell>
          <cell r="H341" t="str">
            <v>RT/ONCO WARD 1 (M)</v>
          </cell>
          <cell r="I341" t="str">
            <v>08WG116</v>
          </cell>
          <cell r="J341" t="str">
            <v>4 BEDROOM 2</v>
          </cell>
          <cell r="K341" t="str">
            <v>BMED</v>
          </cell>
          <cell r="L341" t="str">
            <v>Normal</v>
          </cell>
          <cell r="M341" t="str">
            <v>United States</v>
          </cell>
          <cell r="N341" t="str">
            <v>OHIO</v>
          </cell>
          <cell r="O341" t="str">
            <v>R244047311229905</v>
          </cell>
          <cell r="P341" t="str">
            <v>GPHS65161</v>
          </cell>
          <cell r="Q341" t="str">
            <v>Not Applicable</v>
          </cell>
          <cell r="R341" t="str">
            <v>OHIO</v>
          </cell>
          <cell r="S341" t="str">
            <v>Respimedic</v>
          </cell>
          <cell r="T341" t="str">
            <v>Functioning</v>
          </cell>
          <cell r="U341" t="str">
            <v>Asset</v>
          </cell>
          <cell r="V341">
            <v>920</v>
          </cell>
          <cell r="W341" t="str">
            <v>KEW</v>
          </cell>
          <cell r="X341" t="str">
            <v>01/09/2010</v>
          </cell>
          <cell r="Y341" t="str">
            <v>KEW</v>
          </cell>
          <cell r="Z341" t="str">
            <v>16/08/2013</v>
          </cell>
          <cell r="AA341" t="str">
            <v>15/08/2015</v>
          </cell>
          <cell r="AB341" t="str">
            <v>No</v>
          </cell>
          <cell r="AC341" t="str">
            <v>31/08/2013</v>
          </cell>
          <cell r="AD341" t="str">
            <v>Good</v>
          </cell>
          <cell r="AE341" t="str">
            <v>V4 - Decommissioned Installed Facility</v>
          </cell>
          <cell r="AF341">
            <v>42957</v>
          </cell>
          <cell r="AG341">
            <v>9.17</v>
          </cell>
          <cell r="AH341" t="str">
            <v>RI</v>
          </cell>
          <cell r="AI341" t="str">
            <v>Not in contract</v>
          </cell>
          <cell r="AJ341" t="str">
            <v>Not under maintenance</v>
          </cell>
          <cell r="AK341" t="e">
            <v>#N/A</v>
          </cell>
        </row>
        <row r="342">
          <cell r="A342" t="str">
            <v>IKN401663</v>
          </cell>
          <cell r="B342">
            <v>1593</v>
          </cell>
          <cell r="C342" t="str">
            <v>Institut Kanser Negara</v>
          </cell>
          <cell r="D342" t="e">
            <v>#N/A</v>
          </cell>
          <cell r="E342" t="str">
            <v>13-325</v>
          </cell>
          <cell r="F342" t="str">
            <v>Regulators, Suction</v>
          </cell>
          <cell r="G342" t="str">
            <v>WG</v>
          </cell>
          <cell r="H342" t="str">
            <v>RT/ONCO WARD 1 (M)</v>
          </cell>
          <cell r="I342" t="str">
            <v>08WG116</v>
          </cell>
          <cell r="J342" t="str">
            <v>4 BEDROOM 2</v>
          </cell>
          <cell r="K342" t="str">
            <v>BMED</v>
          </cell>
          <cell r="L342" t="str">
            <v>Normal</v>
          </cell>
          <cell r="M342" t="str">
            <v>United States</v>
          </cell>
          <cell r="N342" t="str">
            <v>OHIO</v>
          </cell>
          <cell r="O342" t="str">
            <v>R244047311229905</v>
          </cell>
          <cell r="P342" t="str">
            <v>GPHS65140</v>
          </cell>
          <cell r="Q342" t="str">
            <v>Not Applicable</v>
          </cell>
          <cell r="R342" t="str">
            <v>OHIO</v>
          </cell>
          <cell r="S342" t="str">
            <v>Respimedic</v>
          </cell>
          <cell r="T342" t="str">
            <v>Functioning</v>
          </cell>
          <cell r="U342" t="str">
            <v>Asset</v>
          </cell>
          <cell r="V342">
            <v>920</v>
          </cell>
          <cell r="W342" t="str">
            <v>KEW</v>
          </cell>
          <cell r="X342" t="str">
            <v>01/09/2010</v>
          </cell>
          <cell r="Y342" t="str">
            <v>KEW</v>
          </cell>
          <cell r="Z342" t="str">
            <v>16/08/2013</v>
          </cell>
          <cell r="AA342" t="str">
            <v>15/08/2015</v>
          </cell>
          <cell r="AB342" t="str">
            <v>No</v>
          </cell>
          <cell r="AC342" t="str">
            <v>31/08/2013</v>
          </cell>
          <cell r="AD342" t="str">
            <v>Good</v>
          </cell>
          <cell r="AE342" t="str">
            <v>V4 - Decommissioned Installed Facility</v>
          </cell>
          <cell r="AF342">
            <v>42957</v>
          </cell>
          <cell r="AG342">
            <v>9.17</v>
          </cell>
          <cell r="AH342" t="str">
            <v>RI</v>
          </cell>
          <cell r="AI342" t="str">
            <v>Not in contract</v>
          </cell>
          <cell r="AJ342" t="str">
            <v>Not under maintenance</v>
          </cell>
          <cell r="AK342" t="e">
            <v>#N/A</v>
          </cell>
        </row>
        <row r="343">
          <cell r="A343" t="str">
            <v>IKN401664</v>
          </cell>
          <cell r="B343">
            <v>1594</v>
          </cell>
          <cell r="C343" t="str">
            <v>Institut Kanser Negara</v>
          </cell>
          <cell r="D343" t="e">
            <v>#N/A</v>
          </cell>
          <cell r="E343" t="str">
            <v>13-325</v>
          </cell>
          <cell r="F343" t="str">
            <v>Regulators, Suction</v>
          </cell>
          <cell r="G343" t="str">
            <v>WG</v>
          </cell>
          <cell r="H343" t="str">
            <v>RT/ONCO WARD 1 (M)</v>
          </cell>
          <cell r="I343" t="str">
            <v>08WG128</v>
          </cell>
          <cell r="J343" t="str">
            <v>4 BED ROOM</v>
          </cell>
          <cell r="K343" t="str">
            <v>BMED</v>
          </cell>
          <cell r="L343" t="str">
            <v>Normal</v>
          </cell>
          <cell r="M343" t="str">
            <v>United States</v>
          </cell>
          <cell r="N343" t="str">
            <v>OHIO</v>
          </cell>
          <cell r="O343" t="str">
            <v>R244047311229905</v>
          </cell>
          <cell r="P343" t="str">
            <v>GPHS65099</v>
          </cell>
          <cell r="Q343" t="str">
            <v>Not Applicable</v>
          </cell>
          <cell r="R343" t="str">
            <v>OHIO</v>
          </cell>
          <cell r="S343" t="str">
            <v>Respimedic</v>
          </cell>
          <cell r="T343" t="str">
            <v>Functioning</v>
          </cell>
          <cell r="U343" t="str">
            <v>Asset</v>
          </cell>
          <cell r="V343">
            <v>920</v>
          </cell>
          <cell r="W343" t="str">
            <v>KEW</v>
          </cell>
          <cell r="X343" t="str">
            <v>01/09/2010</v>
          </cell>
          <cell r="Y343" t="str">
            <v>KEW</v>
          </cell>
          <cell r="Z343" t="str">
            <v>16/08/2013</v>
          </cell>
          <cell r="AA343" t="str">
            <v>15/08/2015</v>
          </cell>
          <cell r="AB343" t="str">
            <v>No</v>
          </cell>
          <cell r="AC343" t="str">
            <v>31/08/2013</v>
          </cell>
          <cell r="AD343" t="str">
            <v>Good</v>
          </cell>
          <cell r="AE343" t="str">
            <v>V4 - Decommissioned Installed Facility</v>
          </cell>
          <cell r="AF343">
            <v>42962</v>
          </cell>
          <cell r="AG343">
            <v>9.17</v>
          </cell>
          <cell r="AH343" t="str">
            <v>RI</v>
          </cell>
          <cell r="AI343" t="str">
            <v>Not in contract</v>
          </cell>
          <cell r="AJ343" t="str">
            <v>Not under maintenance</v>
          </cell>
          <cell r="AK343" t="e">
            <v>#N/A</v>
          </cell>
        </row>
        <row r="344">
          <cell r="A344" t="str">
            <v>IKN401665</v>
          </cell>
          <cell r="B344">
            <v>1595</v>
          </cell>
          <cell r="C344" t="str">
            <v>Institut Kanser Negara</v>
          </cell>
          <cell r="D344" t="e">
            <v>#N/A</v>
          </cell>
          <cell r="E344" t="str">
            <v>13-325</v>
          </cell>
          <cell r="F344" t="str">
            <v>Regulators, Suction</v>
          </cell>
          <cell r="G344" t="str">
            <v>WG</v>
          </cell>
          <cell r="H344" t="str">
            <v>RT/ONCO WARD 1 (M)</v>
          </cell>
          <cell r="I344" t="str">
            <v>08WG128</v>
          </cell>
          <cell r="J344" t="str">
            <v>4 BED ROOM</v>
          </cell>
          <cell r="K344" t="str">
            <v>BMED</v>
          </cell>
          <cell r="L344" t="str">
            <v>Normal</v>
          </cell>
          <cell r="M344" t="str">
            <v>United States</v>
          </cell>
          <cell r="N344" t="str">
            <v>OHIO</v>
          </cell>
          <cell r="O344" t="str">
            <v>R244047311229905</v>
          </cell>
          <cell r="P344" t="str">
            <v>GPHS65160</v>
          </cell>
          <cell r="Q344" t="str">
            <v>Not Applicable</v>
          </cell>
          <cell r="R344" t="str">
            <v>OHIO</v>
          </cell>
          <cell r="S344" t="str">
            <v>Respimedic</v>
          </cell>
          <cell r="T344" t="str">
            <v>Functioning</v>
          </cell>
          <cell r="U344" t="str">
            <v>Asset</v>
          </cell>
          <cell r="V344">
            <v>920</v>
          </cell>
          <cell r="W344" t="str">
            <v>KEW</v>
          </cell>
          <cell r="X344" t="str">
            <v>01/09/2010</v>
          </cell>
          <cell r="Y344" t="str">
            <v>KEW</v>
          </cell>
          <cell r="Z344" t="str">
            <v>16/08/2013</v>
          </cell>
          <cell r="AA344" t="str">
            <v>15/08/2015</v>
          </cell>
          <cell r="AB344" t="str">
            <v>No</v>
          </cell>
          <cell r="AC344" t="str">
            <v>31/08/2013</v>
          </cell>
          <cell r="AD344" t="str">
            <v>Good</v>
          </cell>
          <cell r="AE344" t="str">
            <v>V4 - Decommissioned Installed Facility</v>
          </cell>
          <cell r="AF344">
            <v>42962</v>
          </cell>
          <cell r="AG344">
            <v>9.17</v>
          </cell>
          <cell r="AH344" t="str">
            <v>RI</v>
          </cell>
          <cell r="AI344" t="str">
            <v>Not in contract</v>
          </cell>
          <cell r="AJ344" t="str">
            <v>Not under maintenance</v>
          </cell>
          <cell r="AK344" t="e">
            <v>#N/A</v>
          </cell>
        </row>
        <row r="345">
          <cell r="A345" t="str">
            <v>IKN401666</v>
          </cell>
          <cell r="B345">
            <v>1596</v>
          </cell>
          <cell r="C345" t="str">
            <v>Institut Kanser Negara</v>
          </cell>
          <cell r="D345" t="e">
            <v>#N/A</v>
          </cell>
          <cell r="E345" t="str">
            <v>13-325</v>
          </cell>
          <cell r="F345" t="str">
            <v>Regulators, Suction</v>
          </cell>
          <cell r="G345" t="str">
            <v>WG</v>
          </cell>
          <cell r="H345" t="str">
            <v>RT/ONCO WARD 1 (M)</v>
          </cell>
          <cell r="I345" t="str">
            <v>08WG131</v>
          </cell>
          <cell r="J345" t="str">
            <v>4 BED ROOM4</v>
          </cell>
          <cell r="K345" t="str">
            <v>BMED</v>
          </cell>
          <cell r="L345" t="str">
            <v>Normal</v>
          </cell>
          <cell r="M345" t="str">
            <v>United States</v>
          </cell>
          <cell r="N345" t="str">
            <v>OHIO</v>
          </cell>
          <cell r="O345" t="str">
            <v>R244047311229905</v>
          </cell>
          <cell r="P345" t="str">
            <v>GPHS65162</v>
          </cell>
          <cell r="Q345" t="str">
            <v>Not Applicable</v>
          </cell>
          <cell r="R345" t="str">
            <v>OHIO</v>
          </cell>
          <cell r="S345" t="str">
            <v>Respimedic</v>
          </cell>
          <cell r="T345" t="str">
            <v>Functioning</v>
          </cell>
          <cell r="U345" t="str">
            <v>Asset</v>
          </cell>
          <cell r="V345">
            <v>920</v>
          </cell>
          <cell r="W345" t="str">
            <v>KEW</v>
          </cell>
          <cell r="X345" t="str">
            <v>01/09/2010</v>
          </cell>
          <cell r="Y345" t="str">
            <v>KEW</v>
          </cell>
          <cell r="Z345" t="str">
            <v>16/08/2013</v>
          </cell>
          <cell r="AA345" t="str">
            <v>15/08/2015</v>
          </cell>
          <cell r="AB345" t="str">
            <v>No</v>
          </cell>
          <cell r="AC345" t="str">
            <v>31/08/2013</v>
          </cell>
          <cell r="AD345" t="str">
            <v>Good</v>
          </cell>
          <cell r="AE345" t="str">
            <v>V4 - Decommissioned Installed Facility</v>
          </cell>
          <cell r="AF345">
            <v>42962</v>
          </cell>
          <cell r="AG345">
            <v>9.17</v>
          </cell>
          <cell r="AH345" t="str">
            <v>RI</v>
          </cell>
          <cell r="AI345" t="str">
            <v>Not in contract</v>
          </cell>
          <cell r="AJ345" t="str">
            <v>Not under maintenance</v>
          </cell>
          <cell r="AK345" t="e">
            <v>#N/A</v>
          </cell>
        </row>
        <row r="346">
          <cell r="A346" t="str">
            <v>IKN401667</v>
          </cell>
          <cell r="B346">
            <v>1597</v>
          </cell>
          <cell r="C346" t="str">
            <v>Institut Kanser Negara</v>
          </cell>
          <cell r="D346" t="e">
            <v>#N/A</v>
          </cell>
          <cell r="E346" t="str">
            <v>13-325</v>
          </cell>
          <cell r="F346" t="str">
            <v>Regulators, Suction</v>
          </cell>
          <cell r="G346" t="str">
            <v>WG</v>
          </cell>
          <cell r="H346" t="str">
            <v>RT/ONCO WARD 1 (M)</v>
          </cell>
          <cell r="I346" t="str">
            <v>08WG136</v>
          </cell>
          <cell r="J346" t="str">
            <v>4 BED BAY 1</v>
          </cell>
          <cell r="K346" t="str">
            <v>BMED</v>
          </cell>
          <cell r="L346" t="str">
            <v>Normal</v>
          </cell>
          <cell r="M346" t="str">
            <v>United States</v>
          </cell>
          <cell r="N346" t="str">
            <v>OHIO</v>
          </cell>
          <cell r="O346" t="str">
            <v>R244047311229905</v>
          </cell>
          <cell r="P346" t="str">
            <v>GPHS65155</v>
          </cell>
          <cell r="Q346" t="str">
            <v>Not Applicable</v>
          </cell>
          <cell r="R346" t="str">
            <v>OHIO</v>
          </cell>
          <cell r="S346" t="str">
            <v>Respimedic</v>
          </cell>
          <cell r="T346" t="str">
            <v>Functioning</v>
          </cell>
          <cell r="U346" t="str">
            <v>Asset</v>
          </cell>
          <cell r="V346">
            <v>920</v>
          </cell>
          <cell r="W346" t="str">
            <v>KEW</v>
          </cell>
          <cell r="X346" t="str">
            <v>01/09/2010</v>
          </cell>
          <cell r="Y346" t="str">
            <v>KEW</v>
          </cell>
          <cell r="Z346" t="str">
            <v>16/08/2013</v>
          </cell>
          <cell r="AA346" t="str">
            <v>15/08/2015</v>
          </cell>
          <cell r="AB346" t="str">
            <v>No</v>
          </cell>
          <cell r="AC346" t="str">
            <v>31/08/2013</v>
          </cell>
          <cell r="AD346" t="str">
            <v>Good</v>
          </cell>
          <cell r="AE346" t="str">
            <v>V4 - Decommissioned Installed Facility</v>
          </cell>
          <cell r="AF346">
            <v>42962</v>
          </cell>
          <cell r="AG346">
            <v>9.17</v>
          </cell>
          <cell r="AH346" t="str">
            <v>RI</v>
          </cell>
          <cell r="AI346" t="str">
            <v>Not in contract</v>
          </cell>
          <cell r="AJ346" t="str">
            <v>Not under maintenance</v>
          </cell>
          <cell r="AK346" t="e">
            <v>#N/A</v>
          </cell>
        </row>
        <row r="347">
          <cell r="A347" t="str">
            <v>IKN401668</v>
          </cell>
          <cell r="B347">
            <v>1598</v>
          </cell>
          <cell r="C347" t="str">
            <v>Institut Kanser Negara</v>
          </cell>
          <cell r="D347" t="e">
            <v>#N/A</v>
          </cell>
          <cell r="E347" t="str">
            <v>13-325</v>
          </cell>
          <cell r="F347" t="str">
            <v>Regulators, Suction</v>
          </cell>
          <cell r="G347" t="str">
            <v>WG</v>
          </cell>
          <cell r="H347" t="str">
            <v>RT/ONCO WARD 1 (M)</v>
          </cell>
          <cell r="I347" t="str">
            <v>08WG136</v>
          </cell>
          <cell r="J347" t="str">
            <v>4 BED BAY 1</v>
          </cell>
          <cell r="K347" t="str">
            <v>BMED</v>
          </cell>
          <cell r="L347" t="str">
            <v>Normal</v>
          </cell>
          <cell r="M347" t="str">
            <v>United States</v>
          </cell>
          <cell r="N347" t="str">
            <v>OHIO</v>
          </cell>
          <cell r="O347" t="str">
            <v>R244047311229905</v>
          </cell>
          <cell r="P347" t="str">
            <v>GPHS65145</v>
          </cell>
          <cell r="Q347" t="str">
            <v>Not Applicable</v>
          </cell>
          <cell r="R347" t="str">
            <v>OHIO</v>
          </cell>
          <cell r="S347" t="str">
            <v>Respimedic</v>
          </cell>
          <cell r="T347" t="str">
            <v>Functioning</v>
          </cell>
          <cell r="U347" t="str">
            <v>Asset</v>
          </cell>
          <cell r="V347">
            <v>920</v>
          </cell>
          <cell r="W347" t="str">
            <v>KEW</v>
          </cell>
          <cell r="X347" t="str">
            <v>01/09/2010</v>
          </cell>
          <cell r="Y347" t="str">
            <v>KEW</v>
          </cell>
          <cell r="Z347" t="str">
            <v>16/08/2013</v>
          </cell>
          <cell r="AA347" t="str">
            <v>15/08/2015</v>
          </cell>
          <cell r="AB347" t="str">
            <v>No</v>
          </cell>
          <cell r="AC347" t="str">
            <v>31/08/2013</v>
          </cell>
          <cell r="AD347" t="str">
            <v>Good</v>
          </cell>
          <cell r="AE347" t="str">
            <v>V4 - Decommissioned Installed Facility</v>
          </cell>
          <cell r="AF347">
            <v>42962</v>
          </cell>
          <cell r="AG347">
            <v>9.17</v>
          </cell>
          <cell r="AH347" t="str">
            <v>RI</v>
          </cell>
          <cell r="AI347" t="str">
            <v>Not in contract</v>
          </cell>
          <cell r="AJ347" t="str">
            <v>Not under maintenance</v>
          </cell>
          <cell r="AK347" t="e">
            <v>#N/A</v>
          </cell>
        </row>
        <row r="348">
          <cell r="A348" t="str">
            <v>IKN401669</v>
          </cell>
          <cell r="B348">
            <v>1599</v>
          </cell>
          <cell r="C348" t="str">
            <v>Institut Kanser Negara</v>
          </cell>
          <cell r="D348" t="e">
            <v>#N/A</v>
          </cell>
          <cell r="E348" t="str">
            <v>13-325</v>
          </cell>
          <cell r="F348" t="str">
            <v>Regulators, Suction</v>
          </cell>
          <cell r="G348" t="str">
            <v>WG</v>
          </cell>
          <cell r="H348" t="str">
            <v>RT/ONCO WARD 1 (M)</v>
          </cell>
          <cell r="I348" t="str">
            <v>08WG135</v>
          </cell>
          <cell r="J348" t="str">
            <v>4 BED BAY 2</v>
          </cell>
          <cell r="K348" t="str">
            <v>BMED</v>
          </cell>
          <cell r="L348" t="str">
            <v>Normal</v>
          </cell>
          <cell r="M348" t="str">
            <v>United States</v>
          </cell>
          <cell r="N348" t="str">
            <v>OHIO</v>
          </cell>
          <cell r="O348" t="str">
            <v>R244047311229905</v>
          </cell>
          <cell r="P348" t="str">
            <v>GPHS65163</v>
          </cell>
          <cell r="Q348" t="str">
            <v>Not Applicable</v>
          </cell>
          <cell r="R348" t="str">
            <v>OHIO</v>
          </cell>
          <cell r="S348" t="str">
            <v>Respimedic</v>
          </cell>
          <cell r="T348" t="str">
            <v>Functioning</v>
          </cell>
          <cell r="U348" t="str">
            <v>Asset</v>
          </cell>
          <cell r="V348">
            <v>920</v>
          </cell>
          <cell r="W348" t="str">
            <v>KEW</v>
          </cell>
          <cell r="X348" t="str">
            <v>01/09/2010</v>
          </cell>
          <cell r="Y348" t="str">
            <v>KEW</v>
          </cell>
          <cell r="Z348" t="str">
            <v>16/08/2013</v>
          </cell>
          <cell r="AA348" t="str">
            <v>15/08/2015</v>
          </cell>
          <cell r="AB348" t="str">
            <v>No</v>
          </cell>
          <cell r="AC348" t="str">
            <v>31/08/2013</v>
          </cell>
          <cell r="AD348" t="str">
            <v>Good</v>
          </cell>
          <cell r="AE348" t="str">
            <v>V4 - Decommissioned Installed Facility</v>
          </cell>
          <cell r="AF348">
            <v>42962</v>
          </cell>
          <cell r="AG348">
            <v>9.17</v>
          </cell>
          <cell r="AH348" t="str">
            <v>RI</v>
          </cell>
          <cell r="AI348" t="str">
            <v>Not in contract</v>
          </cell>
          <cell r="AJ348" t="str">
            <v>Not under maintenance</v>
          </cell>
          <cell r="AK348" t="e">
            <v>#N/A</v>
          </cell>
        </row>
        <row r="349">
          <cell r="A349" t="str">
            <v>IKN401670</v>
          </cell>
          <cell r="B349">
            <v>1600</v>
          </cell>
          <cell r="C349" t="str">
            <v>Institut Kanser Negara</v>
          </cell>
          <cell r="D349" t="e">
            <v>#N/A</v>
          </cell>
          <cell r="E349" t="str">
            <v>13-325</v>
          </cell>
          <cell r="F349" t="str">
            <v>Regulators, Suction</v>
          </cell>
          <cell r="G349" t="str">
            <v>WH</v>
          </cell>
          <cell r="H349" t="str">
            <v>RT/ONCO WARD 2 (M)</v>
          </cell>
          <cell r="I349" t="str">
            <v>08WH111</v>
          </cell>
          <cell r="J349" t="str">
            <v>2 BED ROOM</v>
          </cell>
          <cell r="K349" t="str">
            <v>BMED</v>
          </cell>
          <cell r="L349" t="str">
            <v>Normal</v>
          </cell>
          <cell r="M349" t="str">
            <v>United States</v>
          </cell>
          <cell r="N349" t="str">
            <v>OHIO</v>
          </cell>
          <cell r="O349" t="str">
            <v>R244047311229905</v>
          </cell>
          <cell r="P349" t="str">
            <v>GPHS65167</v>
          </cell>
          <cell r="Q349" t="str">
            <v>Not Applicable</v>
          </cell>
          <cell r="R349" t="str">
            <v>OHIO</v>
          </cell>
          <cell r="S349" t="str">
            <v>Respimedic</v>
          </cell>
          <cell r="T349" t="str">
            <v>Functioning</v>
          </cell>
          <cell r="U349" t="str">
            <v>Asset</v>
          </cell>
          <cell r="V349">
            <v>920</v>
          </cell>
          <cell r="W349" t="str">
            <v>KEW</v>
          </cell>
          <cell r="X349" t="str">
            <v>01/09/2010</v>
          </cell>
          <cell r="Y349" t="str">
            <v>KEW</v>
          </cell>
          <cell r="Z349" t="str">
            <v>16/08/2013</v>
          </cell>
          <cell r="AA349" t="str">
            <v>15/08/2015</v>
          </cell>
          <cell r="AB349" t="str">
            <v>No</v>
          </cell>
          <cell r="AC349" t="str">
            <v>31/08/2013</v>
          </cell>
          <cell r="AD349" t="str">
            <v>Good</v>
          </cell>
          <cell r="AE349" t="str">
            <v>V4 - Decommissioned Installed Facility</v>
          </cell>
          <cell r="AF349">
            <v>42962</v>
          </cell>
          <cell r="AG349">
            <v>9.17</v>
          </cell>
          <cell r="AH349" t="str">
            <v>RI</v>
          </cell>
          <cell r="AI349" t="str">
            <v>Not in contract</v>
          </cell>
          <cell r="AJ349" t="str">
            <v>Not under maintenance</v>
          </cell>
          <cell r="AK349" t="e">
            <v>#N/A</v>
          </cell>
        </row>
        <row r="350">
          <cell r="A350" t="str">
            <v>IKN401671</v>
          </cell>
          <cell r="B350">
            <v>1601</v>
          </cell>
          <cell r="C350" t="str">
            <v>Institut Kanser Negara</v>
          </cell>
          <cell r="D350" t="e">
            <v>#N/A</v>
          </cell>
          <cell r="E350" t="str">
            <v>13-325</v>
          </cell>
          <cell r="F350" t="str">
            <v>Regulators, Suction</v>
          </cell>
          <cell r="G350" t="str">
            <v>WH</v>
          </cell>
          <cell r="H350" t="str">
            <v>RT/ONCO WARD 2 (M)</v>
          </cell>
          <cell r="I350" t="str">
            <v>08WH111</v>
          </cell>
          <cell r="J350" t="str">
            <v>2 BED ROOM</v>
          </cell>
          <cell r="K350" t="str">
            <v>BMED</v>
          </cell>
          <cell r="L350" t="str">
            <v>Normal</v>
          </cell>
          <cell r="M350" t="str">
            <v>United States</v>
          </cell>
          <cell r="N350" t="str">
            <v>OHIO</v>
          </cell>
          <cell r="O350" t="str">
            <v>R244047311229905</v>
          </cell>
          <cell r="P350" t="str">
            <v>GPHS65116</v>
          </cell>
          <cell r="Q350" t="str">
            <v>Not Applicable</v>
          </cell>
          <cell r="R350" t="str">
            <v>OHIO</v>
          </cell>
          <cell r="S350" t="str">
            <v>Respimedic</v>
          </cell>
          <cell r="T350" t="str">
            <v>Functioning</v>
          </cell>
          <cell r="U350" t="str">
            <v>Asset</v>
          </cell>
          <cell r="V350">
            <v>920</v>
          </cell>
          <cell r="W350" t="str">
            <v>KEW</v>
          </cell>
          <cell r="X350" t="str">
            <v>01/09/2010</v>
          </cell>
          <cell r="Y350" t="str">
            <v>KEW</v>
          </cell>
          <cell r="Z350" t="str">
            <v>16/08/2013</v>
          </cell>
          <cell r="AA350" t="str">
            <v>15/08/2015</v>
          </cell>
          <cell r="AB350" t="str">
            <v>No</v>
          </cell>
          <cell r="AC350" t="str">
            <v>31/08/2013</v>
          </cell>
          <cell r="AD350" t="str">
            <v>Good</v>
          </cell>
          <cell r="AE350" t="str">
            <v>V4 - Decommissioned Installed Facility</v>
          </cell>
          <cell r="AF350">
            <v>42962</v>
          </cell>
          <cell r="AG350">
            <v>9.17</v>
          </cell>
          <cell r="AH350" t="str">
            <v>RI</v>
          </cell>
          <cell r="AI350" t="str">
            <v>Not in contract</v>
          </cell>
          <cell r="AJ350" t="str">
            <v>Not under maintenance</v>
          </cell>
          <cell r="AK350" t="e">
            <v>#N/A</v>
          </cell>
        </row>
        <row r="351">
          <cell r="A351" t="str">
            <v>IKN401672</v>
          </cell>
          <cell r="B351">
            <v>1602</v>
          </cell>
          <cell r="C351" t="str">
            <v>Institut Kanser Negara</v>
          </cell>
          <cell r="D351" t="e">
            <v>#N/A</v>
          </cell>
          <cell r="E351" t="str">
            <v>13-325</v>
          </cell>
          <cell r="F351" t="str">
            <v>Regulators, Suction</v>
          </cell>
          <cell r="G351" t="str">
            <v>WH</v>
          </cell>
          <cell r="H351" t="str">
            <v>RT/ONCO WARD 2 (M)</v>
          </cell>
          <cell r="I351" t="str">
            <v>08WH108</v>
          </cell>
          <cell r="J351" t="str">
            <v>4 BED ROOM 1</v>
          </cell>
          <cell r="K351" t="str">
            <v>BMED</v>
          </cell>
          <cell r="L351" t="str">
            <v>Normal</v>
          </cell>
          <cell r="M351" t="str">
            <v>United States</v>
          </cell>
          <cell r="N351" t="str">
            <v>OHIO</v>
          </cell>
          <cell r="O351" t="str">
            <v>R244047311229905</v>
          </cell>
          <cell r="P351" t="str">
            <v>GPHS65114</v>
          </cell>
          <cell r="Q351" t="str">
            <v>Not Applicable</v>
          </cell>
          <cell r="R351" t="str">
            <v>OHIO</v>
          </cell>
          <cell r="S351" t="str">
            <v>Respimedic</v>
          </cell>
          <cell r="T351" t="str">
            <v>Functioning</v>
          </cell>
          <cell r="U351" t="str">
            <v>Asset</v>
          </cell>
          <cell r="V351">
            <v>920</v>
          </cell>
          <cell r="W351" t="str">
            <v>KEW</v>
          </cell>
          <cell r="X351" t="str">
            <v>01/09/2010</v>
          </cell>
          <cell r="Y351" t="str">
            <v>KEW</v>
          </cell>
          <cell r="Z351" t="str">
            <v>16/08/2013</v>
          </cell>
          <cell r="AA351" t="str">
            <v>15/08/2015</v>
          </cell>
          <cell r="AB351" t="str">
            <v>No</v>
          </cell>
          <cell r="AC351" t="str">
            <v>31/08/2013</v>
          </cell>
          <cell r="AD351" t="str">
            <v>Good</v>
          </cell>
          <cell r="AE351" t="str">
            <v>V4 - Decommissioned Installed Facility</v>
          </cell>
          <cell r="AF351">
            <v>42962</v>
          </cell>
          <cell r="AG351">
            <v>9.17</v>
          </cell>
          <cell r="AH351" t="str">
            <v>RI</v>
          </cell>
          <cell r="AI351" t="str">
            <v>Not in contract</v>
          </cell>
          <cell r="AJ351" t="str">
            <v>Not under maintenance</v>
          </cell>
          <cell r="AK351" t="e">
            <v>#N/A</v>
          </cell>
        </row>
        <row r="352">
          <cell r="A352" t="str">
            <v>IKN401673</v>
          </cell>
          <cell r="B352">
            <v>1603</v>
          </cell>
          <cell r="C352" t="str">
            <v>Institut Kanser Negara</v>
          </cell>
          <cell r="D352" t="e">
            <v>#N/A</v>
          </cell>
          <cell r="E352" t="str">
            <v>13-325</v>
          </cell>
          <cell r="F352" t="str">
            <v>Regulators, Suction</v>
          </cell>
          <cell r="G352" t="str">
            <v>WH</v>
          </cell>
          <cell r="H352" t="str">
            <v>RT/ONCO WARD 2 (M)</v>
          </cell>
          <cell r="I352" t="str">
            <v>08WH108</v>
          </cell>
          <cell r="J352" t="str">
            <v>4 BED ROOM 1</v>
          </cell>
          <cell r="K352" t="str">
            <v>BMED</v>
          </cell>
          <cell r="L352" t="str">
            <v>Normal</v>
          </cell>
          <cell r="M352" t="str">
            <v>United States</v>
          </cell>
          <cell r="N352" t="str">
            <v>OHIO</v>
          </cell>
          <cell r="O352" t="str">
            <v>R244047311229905</v>
          </cell>
          <cell r="P352" t="str">
            <v>GPHS65117</v>
          </cell>
          <cell r="Q352" t="str">
            <v>Not Applicable</v>
          </cell>
          <cell r="R352" t="str">
            <v>OHIO</v>
          </cell>
          <cell r="S352" t="str">
            <v>Respimedic</v>
          </cell>
          <cell r="T352" t="str">
            <v>Functioning</v>
          </cell>
          <cell r="U352" t="str">
            <v>Asset</v>
          </cell>
          <cell r="V352">
            <v>920</v>
          </cell>
          <cell r="W352" t="str">
            <v>KEW</v>
          </cell>
          <cell r="X352" t="str">
            <v>01/09/2010</v>
          </cell>
          <cell r="Y352" t="str">
            <v>KEW</v>
          </cell>
          <cell r="Z352" t="str">
            <v>16/08/2013</v>
          </cell>
          <cell r="AA352" t="str">
            <v>15/08/2015</v>
          </cell>
          <cell r="AB352" t="str">
            <v>No</v>
          </cell>
          <cell r="AC352" t="str">
            <v>31/08/2013</v>
          </cell>
          <cell r="AD352" t="str">
            <v>Good</v>
          </cell>
          <cell r="AE352" t="str">
            <v>V4 - Decommissioned Installed Facility</v>
          </cell>
          <cell r="AF352">
            <v>42962</v>
          </cell>
          <cell r="AG352">
            <v>9.17</v>
          </cell>
          <cell r="AH352" t="str">
            <v>RI</v>
          </cell>
          <cell r="AI352" t="str">
            <v>Not in contract</v>
          </cell>
          <cell r="AJ352" t="str">
            <v>Not under maintenance</v>
          </cell>
          <cell r="AK352" t="e">
            <v>#N/A</v>
          </cell>
        </row>
        <row r="353">
          <cell r="A353" t="str">
            <v>IKN401674</v>
          </cell>
          <cell r="B353">
            <v>1604</v>
          </cell>
          <cell r="C353" t="str">
            <v>Institut Kanser Negara</v>
          </cell>
          <cell r="D353" t="e">
            <v>#N/A</v>
          </cell>
          <cell r="E353" t="str">
            <v>13-325</v>
          </cell>
          <cell r="F353" t="str">
            <v>Regulators, Suction</v>
          </cell>
          <cell r="G353" t="str">
            <v>WH</v>
          </cell>
          <cell r="H353" t="str">
            <v>RT/ONCO WARD 2 (M)</v>
          </cell>
          <cell r="I353" t="str">
            <v>08WH108</v>
          </cell>
          <cell r="J353" t="str">
            <v>4 BED ROOM 1</v>
          </cell>
          <cell r="K353" t="str">
            <v>BMED</v>
          </cell>
          <cell r="L353" t="str">
            <v>Normal</v>
          </cell>
          <cell r="M353" t="str">
            <v>United States</v>
          </cell>
          <cell r="N353" t="str">
            <v>OHIO</v>
          </cell>
          <cell r="O353" t="str">
            <v>R244047311229905</v>
          </cell>
          <cell r="P353" t="str">
            <v>GPHS65166</v>
          </cell>
          <cell r="Q353" t="str">
            <v>Not Applicable</v>
          </cell>
          <cell r="R353" t="str">
            <v>OHIO</v>
          </cell>
          <cell r="S353" t="str">
            <v>Respimedic</v>
          </cell>
          <cell r="T353" t="str">
            <v>Functioning</v>
          </cell>
          <cell r="U353" t="str">
            <v>Asset</v>
          </cell>
          <cell r="V353">
            <v>920</v>
          </cell>
          <cell r="W353" t="str">
            <v>KEW</v>
          </cell>
          <cell r="X353" t="str">
            <v>01/09/2010</v>
          </cell>
          <cell r="Y353" t="str">
            <v>KEW</v>
          </cell>
          <cell r="Z353" t="str">
            <v>16/08/2013</v>
          </cell>
          <cell r="AA353" t="str">
            <v>15/08/2015</v>
          </cell>
          <cell r="AB353" t="str">
            <v>No</v>
          </cell>
          <cell r="AC353" t="str">
            <v>31/08/2013</v>
          </cell>
          <cell r="AD353" t="str">
            <v>Good</v>
          </cell>
          <cell r="AE353" t="str">
            <v>V4 - Decommissioned Installed Facility</v>
          </cell>
          <cell r="AF353">
            <v>42962</v>
          </cell>
          <cell r="AG353">
            <v>9.17</v>
          </cell>
          <cell r="AH353" t="str">
            <v>RI</v>
          </cell>
          <cell r="AI353" t="str">
            <v>Not in contract</v>
          </cell>
          <cell r="AJ353" t="str">
            <v>Not under maintenance</v>
          </cell>
          <cell r="AK353" t="e">
            <v>#N/A</v>
          </cell>
        </row>
        <row r="354">
          <cell r="A354" t="str">
            <v>IKN401675</v>
          </cell>
          <cell r="B354">
            <v>1605</v>
          </cell>
          <cell r="C354" t="str">
            <v>Institut Kanser Negara</v>
          </cell>
          <cell r="D354" t="e">
            <v>#N/A</v>
          </cell>
          <cell r="E354" t="str">
            <v>13-325</v>
          </cell>
          <cell r="F354" t="str">
            <v>Regulators, Suction</v>
          </cell>
          <cell r="G354" t="str">
            <v>WH</v>
          </cell>
          <cell r="H354" t="str">
            <v>RT/ONCO WARD 2 (M)</v>
          </cell>
          <cell r="I354" t="str">
            <v>08WH115</v>
          </cell>
          <cell r="J354" t="str">
            <v>AIRLOCK</v>
          </cell>
          <cell r="K354" t="str">
            <v>BMED</v>
          </cell>
          <cell r="L354" t="str">
            <v>Normal</v>
          </cell>
          <cell r="M354" t="str">
            <v>United States</v>
          </cell>
          <cell r="N354" t="str">
            <v>OHIO</v>
          </cell>
          <cell r="O354" t="str">
            <v>R244047311229905</v>
          </cell>
          <cell r="P354" t="str">
            <v>GPHS65078</v>
          </cell>
          <cell r="Q354" t="str">
            <v>Not Applicable</v>
          </cell>
          <cell r="R354" t="str">
            <v>OHIO</v>
          </cell>
          <cell r="S354" t="str">
            <v>Respimedic</v>
          </cell>
          <cell r="T354" t="str">
            <v>Functioning</v>
          </cell>
          <cell r="U354" t="str">
            <v>Asset</v>
          </cell>
          <cell r="V354">
            <v>920</v>
          </cell>
          <cell r="W354" t="str">
            <v>KEW</v>
          </cell>
          <cell r="X354" t="str">
            <v>01/09/2010</v>
          </cell>
          <cell r="Y354" t="str">
            <v>KEW</v>
          </cell>
          <cell r="Z354" t="str">
            <v>16/08/2013</v>
          </cell>
          <cell r="AA354" t="str">
            <v>15/08/2015</v>
          </cell>
          <cell r="AB354" t="str">
            <v>No</v>
          </cell>
          <cell r="AC354" t="str">
            <v>31/08/2013</v>
          </cell>
          <cell r="AD354" t="str">
            <v>Good</v>
          </cell>
          <cell r="AE354" t="str">
            <v>V4 - Decommissioned Installed Facility</v>
          </cell>
          <cell r="AF354">
            <v>42962</v>
          </cell>
          <cell r="AG354">
            <v>9.17</v>
          </cell>
          <cell r="AH354" t="str">
            <v>RI</v>
          </cell>
          <cell r="AI354" t="str">
            <v>Not in contract</v>
          </cell>
          <cell r="AJ354" t="str">
            <v>Not under maintenance</v>
          </cell>
          <cell r="AK354" t="e">
            <v>#N/A</v>
          </cell>
        </row>
        <row r="355">
          <cell r="A355" t="str">
            <v>IKN401676</v>
          </cell>
          <cell r="B355">
            <v>1606</v>
          </cell>
          <cell r="C355" t="str">
            <v>Institut Kanser Negara</v>
          </cell>
          <cell r="D355" t="e">
            <v>#N/A</v>
          </cell>
          <cell r="E355" t="str">
            <v>13-325</v>
          </cell>
          <cell r="F355" t="str">
            <v>Regulators, Suction</v>
          </cell>
          <cell r="G355" t="str">
            <v>WH</v>
          </cell>
          <cell r="H355" t="str">
            <v>RT/ONCO WARD 2 (M)</v>
          </cell>
          <cell r="I355" t="str">
            <v>08WH124</v>
          </cell>
          <cell r="J355" t="str">
            <v>AIRLOCK</v>
          </cell>
          <cell r="K355" t="str">
            <v>BMED</v>
          </cell>
          <cell r="L355" t="str">
            <v>Normal</v>
          </cell>
          <cell r="M355" t="str">
            <v>United States</v>
          </cell>
          <cell r="N355" t="str">
            <v>OHIO</v>
          </cell>
          <cell r="O355" t="str">
            <v>R244047311229905</v>
          </cell>
          <cell r="P355" t="str">
            <v>GPHS65118</v>
          </cell>
          <cell r="Q355" t="str">
            <v>Not Applicable</v>
          </cell>
          <cell r="R355" t="str">
            <v>OHIO</v>
          </cell>
          <cell r="S355" t="str">
            <v>Respimedic</v>
          </cell>
          <cell r="T355" t="str">
            <v>Functioning</v>
          </cell>
          <cell r="U355" t="str">
            <v>Asset</v>
          </cell>
          <cell r="V355">
            <v>920</v>
          </cell>
          <cell r="W355" t="str">
            <v>KEW</v>
          </cell>
          <cell r="X355" t="str">
            <v>01/09/2010</v>
          </cell>
          <cell r="Y355" t="str">
            <v>KEW</v>
          </cell>
          <cell r="Z355" t="str">
            <v>16/08/2013</v>
          </cell>
          <cell r="AA355" t="str">
            <v>15/08/2015</v>
          </cell>
          <cell r="AB355" t="str">
            <v>No</v>
          </cell>
          <cell r="AC355" t="str">
            <v>31/08/2013</v>
          </cell>
          <cell r="AD355" t="str">
            <v>Good</v>
          </cell>
          <cell r="AE355" t="str">
            <v>V4 - Decommissioned Installed Facility</v>
          </cell>
          <cell r="AF355">
            <v>42962</v>
          </cell>
          <cell r="AG355">
            <v>9.17</v>
          </cell>
          <cell r="AH355" t="str">
            <v>RI</v>
          </cell>
          <cell r="AI355" t="str">
            <v>Not in contract</v>
          </cell>
          <cell r="AJ355" t="str">
            <v>Not under maintenance</v>
          </cell>
          <cell r="AK355" t="e">
            <v>#N/A</v>
          </cell>
        </row>
        <row r="356">
          <cell r="A356" t="str">
            <v>IKN401677</v>
          </cell>
          <cell r="B356">
            <v>1607</v>
          </cell>
          <cell r="C356" t="str">
            <v>Institut Kanser Negara</v>
          </cell>
          <cell r="D356" t="e">
            <v>#N/A</v>
          </cell>
          <cell r="E356" t="str">
            <v>13-325</v>
          </cell>
          <cell r="F356" t="str">
            <v>Regulators, Suction</v>
          </cell>
          <cell r="G356" t="str">
            <v>WH</v>
          </cell>
          <cell r="H356" t="str">
            <v>RT/ONCO WARD 2 (M)</v>
          </cell>
          <cell r="I356" t="str">
            <v>08WH128</v>
          </cell>
          <cell r="J356" t="str">
            <v>4 BED ROOM 3</v>
          </cell>
          <cell r="K356" t="str">
            <v>BMED</v>
          </cell>
          <cell r="L356" t="str">
            <v>Normal</v>
          </cell>
          <cell r="M356" t="str">
            <v>United States</v>
          </cell>
          <cell r="N356" t="str">
            <v>OHIO</v>
          </cell>
          <cell r="O356" t="str">
            <v>R244047311229905</v>
          </cell>
          <cell r="P356" t="str">
            <v>GPHS65168</v>
          </cell>
          <cell r="Q356" t="str">
            <v>Not Applicable</v>
          </cell>
          <cell r="R356" t="str">
            <v>OHIO</v>
          </cell>
          <cell r="S356" t="str">
            <v>Respimedic</v>
          </cell>
          <cell r="T356" t="str">
            <v>Functioning</v>
          </cell>
          <cell r="U356" t="str">
            <v>Asset</v>
          </cell>
          <cell r="V356">
            <v>920</v>
          </cell>
          <cell r="W356" t="str">
            <v>KEW</v>
          </cell>
          <cell r="X356" t="str">
            <v>01/09/2010</v>
          </cell>
          <cell r="Y356" t="str">
            <v>KEW</v>
          </cell>
          <cell r="Z356" t="str">
            <v>16/08/2013</v>
          </cell>
          <cell r="AA356" t="str">
            <v>15/08/2015</v>
          </cell>
          <cell r="AB356" t="str">
            <v>No</v>
          </cell>
          <cell r="AC356" t="str">
            <v>31/08/2013</v>
          </cell>
          <cell r="AD356" t="str">
            <v>Good</v>
          </cell>
          <cell r="AE356" t="str">
            <v>V4 - Decommissioned Installed Facility</v>
          </cell>
          <cell r="AF356">
            <v>42962</v>
          </cell>
          <cell r="AG356">
            <v>9.17</v>
          </cell>
          <cell r="AH356" t="str">
            <v>RI</v>
          </cell>
          <cell r="AI356" t="str">
            <v>Not in contract</v>
          </cell>
          <cell r="AJ356" t="str">
            <v>Not under maintenance</v>
          </cell>
          <cell r="AK356" t="e">
            <v>#N/A</v>
          </cell>
        </row>
        <row r="357">
          <cell r="A357" t="str">
            <v>IKN401678</v>
          </cell>
          <cell r="B357">
            <v>1608</v>
          </cell>
          <cell r="C357" t="str">
            <v>Institut Kanser Negara</v>
          </cell>
          <cell r="D357" t="e">
            <v>#N/A</v>
          </cell>
          <cell r="E357" t="str">
            <v>13-325</v>
          </cell>
          <cell r="F357" t="str">
            <v>Regulators, Suction</v>
          </cell>
          <cell r="G357" t="str">
            <v>WH</v>
          </cell>
          <cell r="H357" t="str">
            <v>RT/ONCO WARD 2 (M)</v>
          </cell>
          <cell r="I357" t="str">
            <v>08WH131</v>
          </cell>
          <cell r="J357" t="str">
            <v>4 BED ROOM 4</v>
          </cell>
          <cell r="K357" t="str">
            <v>BMED</v>
          </cell>
          <cell r="L357" t="str">
            <v>Normal</v>
          </cell>
          <cell r="M357" t="str">
            <v>United States</v>
          </cell>
          <cell r="N357" t="str">
            <v>OHIO</v>
          </cell>
          <cell r="O357" t="str">
            <v>R244047311229905</v>
          </cell>
          <cell r="P357" t="str">
            <v>GPHS65169</v>
          </cell>
          <cell r="Q357" t="str">
            <v>Not Applicable</v>
          </cell>
          <cell r="R357" t="str">
            <v>OHIO</v>
          </cell>
          <cell r="S357" t="str">
            <v>Respimedic</v>
          </cell>
          <cell r="T357" t="str">
            <v>Functioning</v>
          </cell>
          <cell r="U357" t="str">
            <v>Asset</v>
          </cell>
          <cell r="V357">
            <v>920</v>
          </cell>
          <cell r="W357" t="str">
            <v>KEW</v>
          </cell>
          <cell r="X357" t="str">
            <v>01/09/2010</v>
          </cell>
          <cell r="Y357" t="str">
            <v>KEW</v>
          </cell>
          <cell r="Z357" t="str">
            <v>16/08/2013</v>
          </cell>
          <cell r="AA357" t="str">
            <v>15/08/2015</v>
          </cell>
          <cell r="AB357" t="str">
            <v>No</v>
          </cell>
          <cell r="AC357" t="str">
            <v>31/08/2013</v>
          </cell>
          <cell r="AD357" t="str">
            <v>Good</v>
          </cell>
          <cell r="AE357" t="str">
            <v>V4 - Decommissioned Installed Facility</v>
          </cell>
          <cell r="AF357">
            <v>42962</v>
          </cell>
          <cell r="AG357">
            <v>9.17</v>
          </cell>
          <cell r="AH357" t="str">
            <v>RI</v>
          </cell>
          <cell r="AI357" t="str">
            <v>Not in contract</v>
          </cell>
          <cell r="AJ357" t="str">
            <v>Not under maintenance</v>
          </cell>
          <cell r="AK357" t="e">
            <v>#N/A</v>
          </cell>
        </row>
        <row r="358">
          <cell r="A358" t="str">
            <v>IKN401679</v>
          </cell>
          <cell r="B358">
            <v>1609</v>
          </cell>
          <cell r="C358" t="str">
            <v>Institut Kanser Negara</v>
          </cell>
          <cell r="D358" t="e">
            <v>#N/A</v>
          </cell>
          <cell r="E358" t="str">
            <v>13-325</v>
          </cell>
          <cell r="F358" t="str">
            <v>Regulators, Suction</v>
          </cell>
          <cell r="G358" t="str">
            <v>WH</v>
          </cell>
          <cell r="H358" t="str">
            <v>RT/ONCO WARD 2 (M)</v>
          </cell>
          <cell r="I358" t="str">
            <v>08WH131</v>
          </cell>
          <cell r="J358" t="str">
            <v>4 BED ROOM 4</v>
          </cell>
          <cell r="K358" t="str">
            <v>BMED</v>
          </cell>
          <cell r="L358" t="str">
            <v>Normal</v>
          </cell>
          <cell r="M358" t="str">
            <v>United States</v>
          </cell>
          <cell r="N358" t="str">
            <v>OHIO</v>
          </cell>
          <cell r="O358" t="str">
            <v>R244047311229905</v>
          </cell>
          <cell r="P358" t="str">
            <v>GPHS65112</v>
          </cell>
          <cell r="Q358" t="str">
            <v>Not Applicable</v>
          </cell>
          <cell r="R358" t="str">
            <v>OHIO</v>
          </cell>
          <cell r="S358" t="str">
            <v>Respimedic</v>
          </cell>
          <cell r="T358" t="str">
            <v>Functioning</v>
          </cell>
          <cell r="U358" t="str">
            <v>Asset</v>
          </cell>
          <cell r="V358">
            <v>920</v>
          </cell>
          <cell r="W358" t="str">
            <v>KEW</v>
          </cell>
          <cell r="X358" t="str">
            <v>01/09/2010</v>
          </cell>
          <cell r="Y358" t="str">
            <v>KEW</v>
          </cell>
          <cell r="Z358" t="str">
            <v>16/08/2013</v>
          </cell>
          <cell r="AA358" t="str">
            <v>15/08/2015</v>
          </cell>
          <cell r="AB358" t="str">
            <v>No</v>
          </cell>
          <cell r="AC358" t="str">
            <v>31/08/2013</v>
          </cell>
          <cell r="AD358" t="str">
            <v>Good</v>
          </cell>
          <cell r="AE358" t="str">
            <v>V4 - Decommissioned Installed Facility</v>
          </cell>
          <cell r="AF358">
            <v>42962</v>
          </cell>
          <cell r="AG358">
            <v>9.17</v>
          </cell>
          <cell r="AH358" t="str">
            <v>RI</v>
          </cell>
          <cell r="AI358" t="str">
            <v>Not in contract</v>
          </cell>
          <cell r="AJ358" t="str">
            <v>Not under maintenance</v>
          </cell>
          <cell r="AK358" t="e">
            <v>#N/A</v>
          </cell>
        </row>
        <row r="359">
          <cell r="A359" t="str">
            <v>IKN401680</v>
          </cell>
          <cell r="B359">
            <v>1610</v>
          </cell>
          <cell r="C359" t="str">
            <v>Institut Kanser Negara</v>
          </cell>
          <cell r="D359" t="e">
            <v>#N/A</v>
          </cell>
          <cell r="E359" t="str">
            <v>13-325</v>
          </cell>
          <cell r="F359" t="str">
            <v>Regulators, Suction</v>
          </cell>
          <cell r="G359" t="str">
            <v>WH</v>
          </cell>
          <cell r="H359" t="str">
            <v>RT/ONCO WARD 2 (M)</v>
          </cell>
          <cell r="I359" t="str">
            <v>08WH107</v>
          </cell>
          <cell r="J359" t="str">
            <v>TREATMENT / PROCEDURE</v>
          </cell>
          <cell r="K359" t="str">
            <v>BMED</v>
          </cell>
          <cell r="L359" t="str">
            <v>Normal</v>
          </cell>
          <cell r="M359" t="str">
            <v>United States</v>
          </cell>
          <cell r="N359" t="str">
            <v>OHIO</v>
          </cell>
          <cell r="O359" t="str">
            <v>R244047311229905</v>
          </cell>
          <cell r="P359" t="str">
            <v>GPHS65115</v>
          </cell>
          <cell r="Q359" t="str">
            <v>Not Applicable</v>
          </cell>
          <cell r="R359" t="str">
            <v>OHIO</v>
          </cell>
          <cell r="S359" t="str">
            <v>Respimedic</v>
          </cell>
          <cell r="T359" t="str">
            <v>Functioning</v>
          </cell>
          <cell r="U359" t="str">
            <v>Asset</v>
          </cell>
          <cell r="V359">
            <v>920</v>
          </cell>
          <cell r="W359" t="str">
            <v>KEW</v>
          </cell>
          <cell r="X359" t="str">
            <v>01/09/2010</v>
          </cell>
          <cell r="Y359" t="str">
            <v>KEW</v>
          </cell>
          <cell r="Z359" t="str">
            <v>16/08/2013</v>
          </cell>
          <cell r="AA359" t="str">
            <v>15/08/2015</v>
          </cell>
          <cell r="AB359" t="str">
            <v>No</v>
          </cell>
          <cell r="AC359" t="str">
            <v>31/08/2013</v>
          </cell>
          <cell r="AD359" t="str">
            <v>Good</v>
          </cell>
          <cell r="AE359" t="str">
            <v>V4 - Decommissioned Installed Facility</v>
          </cell>
          <cell r="AF359">
            <v>42962</v>
          </cell>
          <cell r="AG359">
            <v>9.17</v>
          </cell>
          <cell r="AH359" t="str">
            <v>RI</v>
          </cell>
          <cell r="AI359" t="str">
            <v>Not in contract</v>
          </cell>
          <cell r="AJ359" t="str">
            <v>Not under maintenance</v>
          </cell>
          <cell r="AK359" t="e">
            <v>#N/A</v>
          </cell>
        </row>
        <row r="360">
          <cell r="A360" t="str">
            <v>IKN400238</v>
          </cell>
          <cell r="B360">
            <v>238</v>
          </cell>
          <cell r="C360" t="str">
            <v>Institut Kanser Negara</v>
          </cell>
          <cell r="D360" t="e">
            <v>#N/A</v>
          </cell>
          <cell r="E360" t="str">
            <v>10-447</v>
          </cell>
          <cell r="F360" t="str">
            <v>Warming Units, Blood/Solution</v>
          </cell>
          <cell r="G360" t="str">
            <v>WG</v>
          </cell>
          <cell r="H360" t="str">
            <v>RT/ONCO WARD 1 (M)</v>
          </cell>
          <cell r="I360" t="str">
            <v>08WG113</v>
          </cell>
          <cell r="J360" t="str">
            <v>EQUIPMENT ROOM</v>
          </cell>
          <cell r="K360" t="str">
            <v>BMED</v>
          </cell>
          <cell r="L360" t="str">
            <v>Normal</v>
          </cell>
          <cell r="M360" t="str">
            <v>Japan</v>
          </cell>
          <cell r="N360" t="str">
            <v>Animec</v>
          </cell>
          <cell r="O360" t="str">
            <v>Animec AM-301</v>
          </cell>
          <cell r="P360" t="str">
            <v>2012D0156</v>
          </cell>
          <cell r="Q360" t="str">
            <v>Not Applicable</v>
          </cell>
          <cell r="R360" t="str">
            <v>Elltec Co Ltd</v>
          </cell>
          <cell r="S360" t="str">
            <v>IDS Services (Malaysia) Sdn Bhd</v>
          </cell>
          <cell r="T360" t="str">
            <v>Disposed</v>
          </cell>
          <cell r="U360" t="str">
            <v>Asset</v>
          </cell>
          <cell r="V360">
            <v>4990</v>
          </cell>
          <cell r="W360" t="str">
            <v>KEW</v>
          </cell>
          <cell r="X360" t="str">
            <v>01/09/2010</v>
          </cell>
          <cell r="Y360" t="str">
            <v>KEW</v>
          </cell>
          <cell r="Z360" t="str">
            <v>16/08/2013</v>
          </cell>
          <cell r="AA360" t="str">
            <v>15/08/2015</v>
          </cell>
          <cell r="AB360" t="str">
            <v>No</v>
          </cell>
          <cell r="AC360" t="str">
            <v>31/08/2013</v>
          </cell>
          <cell r="AD360" t="str">
            <v>Good</v>
          </cell>
          <cell r="AE360" t="str">
            <v>V4 - Decommissioned Installed Facility</v>
          </cell>
          <cell r="AF360">
            <v>42741</v>
          </cell>
          <cell r="AG360">
            <v>9.17</v>
          </cell>
          <cell r="AH360" t="str">
            <v>PPM</v>
          </cell>
          <cell r="AI360" t="str">
            <v>Not in contract</v>
          </cell>
          <cell r="AJ360" t="str">
            <v>Not in contract</v>
          </cell>
          <cell r="AK360" t="e">
            <v>#N/A</v>
          </cell>
        </row>
        <row r="361">
          <cell r="A361" t="str">
            <v>IKN400239</v>
          </cell>
          <cell r="B361">
            <v>239</v>
          </cell>
          <cell r="C361" t="str">
            <v>Institut Kanser Negara</v>
          </cell>
          <cell r="D361" t="e">
            <v>#N/A</v>
          </cell>
          <cell r="E361" t="str">
            <v>10-447</v>
          </cell>
          <cell r="F361" t="str">
            <v>Warming Units, Blood/Solution</v>
          </cell>
          <cell r="G361" t="str">
            <v>WG</v>
          </cell>
          <cell r="H361" t="str">
            <v>RT/ONCO WARD 1 (M)</v>
          </cell>
          <cell r="I361" t="str">
            <v>08WG113</v>
          </cell>
          <cell r="J361" t="str">
            <v>EQUIPMENT ROOM</v>
          </cell>
          <cell r="K361" t="str">
            <v>BMED</v>
          </cell>
          <cell r="L361" t="str">
            <v>Normal</v>
          </cell>
          <cell r="M361" t="str">
            <v>Japan</v>
          </cell>
          <cell r="N361" t="str">
            <v>Animec</v>
          </cell>
          <cell r="O361" t="str">
            <v>Animec AM-301</v>
          </cell>
          <cell r="P361" t="str">
            <v>2013D0249</v>
          </cell>
          <cell r="Q361" t="str">
            <v>Not Applicable</v>
          </cell>
          <cell r="R361" t="str">
            <v>Elltec Co Ltd</v>
          </cell>
          <cell r="S361" t="str">
            <v>IDS Services (Malaysia) Sdn Bhd</v>
          </cell>
          <cell r="T361" t="str">
            <v>Disposed</v>
          </cell>
          <cell r="U361" t="str">
            <v>Asset</v>
          </cell>
          <cell r="V361">
            <v>4990</v>
          </cell>
          <cell r="W361" t="str">
            <v>KEW</v>
          </cell>
          <cell r="X361" t="str">
            <v>01/09/2010</v>
          </cell>
          <cell r="Y361" t="str">
            <v>KEW</v>
          </cell>
          <cell r="Z361" t="str">
            <v>16/08/2013</v>
          </cell>
          <cell r="AA361" t="str">
            <v>15/08/2015</v>
          </cell>
          <cell r="AB361" t="str">
            <v>No</v>
          </cell>
          <cell r="AC361" t="str">
            <v>31/08/2013</v>
          </cell>
          <cell r="AD361" t="str">
            <v>Good</v>
          </cell>
          <cell r="AE361" t="str">
            <v>V4 - Decommissioned Installed Facility</v>
          </cell>
          <cell r="AF361">
            <v>42733</v>
          </cell>
          <cell r="AG361">
            <v>9.17</v>
          </cell>
          <cell r="AH361" t="str">
            <v>PPM</v>
          </cell>
          <cell r="AI361" t="str">
            <v>Not in contract</v>
          </cell>
          <cell r="AJ361" t="str">
            <v>Not in contract</v>
          </cell>
          <cell r="AK361" t="e">
            <v>#N/A</v>
          </cell>
        </row>
        <row r="362">
          <cell r="A362" t="str">
            <v>IKN400240</v>
          </cell>
          <cell r="B362">
            <v>240</v>
          </cell>
          <cell r="C362" t="str">
            <v>Institut Kanser Negara</v>
          </cell>
          <cell r="D362" t="e">
            <v>#N/A</v>
          </cell>
          <cell r="E362" t="str">
            <v>10-447</v>
          </cell>
          <cell r="F362" t="str">
            <v>Warming Units, Blood/Solution</v>
          </cell>
          <cell r="G362" t="str">
            <v>WG</v>
          </cell>
          <cell r="H362" t="str">
            <v>RT/ONCO WARD 1 (M)</v>
          </cell>
          <cell r="I362" t="str">
            <v>08WG113</v>
          </cell>
          <cell r="J362" t="str">
            <v>EQUIPMENT ROOM</v>
          </cell>
          <cell r="K362" t="str">
            <v>BMED</v>
          </cell>
          <cell r="L362" t="str">
            <v>Normal</v>
          </cell>
          <cell r="M362" t="str">
            <v>Japan</v>
          </cell>
          <cell r="N362" t="str">
            <v>Animec</v>
          </cell>
          <cell r="O362" t="str">
            <v>Animec AM-301</v>
          </cell>
          <cell r="P362" t="str">
            <v>2013D0250</v>
          </cell>
          <cell r="Q362" t="str">
            <v>Not Applicable</v>
          </cell>
          <cell r="R362" t="str">
            <v>Elltec Co Ltd</v>
          </cell>
          <cell r="S362" t="str">
            <v>IDS Services (Malaysia) Sdn Bhd</v>
          </cell>
          <cell r="T362" t="str">
            <v>Disposed</v>
          </cell>
          <cell r="U362" t="str">
            <v>Asset</v>
          </cell>
          <cell r="V362">
            <v>4990</v>
          </cell>
          <cell r="W362" t="str">
            <v>KEW</v>
          </cell>
          <cell r="X362" t="str">
            <v>01/09/2010</v>
          </cell>
          <cell r="Y362" t="str">
            <v>KEW</v>
          </cell>
          <cell r="Z362" t="str">
            <v>16/08/2013</v>
          </cell>
          <cell r="AA362" t="str">
            <v>15/08/2015</v>
          </cell>
          <cell r="AB362" t="str">
            <v>No</v>
          </cell>
          <cell r="AC362" t="str">
            <v>31/08/2013</v>
          </cell>
          <cell r="AD362" t="str">
            <v>Good</v>
          </cell>
          <cell r="AE362" t="str">
            <v>V4 - Decommissioned Installed Facility</v>
          </cell>
          <cell r="AF362">
            <v>42733</v>
          </cell>
          <cell r="AG362">
            <v>9.17</v>
          </cell>
          <cell r="AH362" t="str">
            <v>PPM</v>
          </cell>
          <cell r="AI362" t="str">
            <v>Not in contract</v>
          </cell>
          <cell r="AJ362" t="str">
            <v>Not in contract</v>
          </cell>
          <cell r="AK362" t="e">
            <v>#N/A</v>
          </cell>
        </row>
        <row r="363">
          <cell r="A363" t="str">
            <v>IKN400279</v>
          </cell>
          <cell r="B363">
            <v>279</v>
          </cell>
          <cell r="C363" t="str">
            <v>Institut Kanser Negara</v>
          </cell>
          <cell r="D363" t="e">
            <v>#N/A</v>
          </cell>
          <cell r="E363" t="str">
            <v>10-447</v>
          </cell>
          <cell r="F363" t="str">
            <v>Warming Units, Blood/Solution</v>
          </cell>
          <cell r="G363" t="str">
            <v>WH</v>
          </cell>
          <cell r="H363" t="str">
            <v>RT/ONCO WARD 2 (M)</v>
          </cell>
          <cell r="I363" t="str">
            <v>08WH121</v>
          </cell>
          <cell r="J363" t="str">
            <v>EQUIPMENT ROOM</v>
          </cell>
          <cell r="K363" t="str">
            <v>BMED</v>
          </cell>
          <cell r="L363" t="str">
            <v>Normal</v>
          </cell>
          <cell r="M363" t="str">
            <v>Japan</v>
          </cell>
          <cell r="N363" t="str">
            <v>Animec</v>
          </cell>
          <cell r="O363" t="str">
            <v>Animec AM-301</v>
          </cell>
          <cell r="P363" t="str">
            <v>2013D0246</v>
          </cell>
          <cell r="Q363" t="str">
            <v>Not Applicable</v>
          </cell>
          <cell r="R363" t="str">
            <v>Elltec Co Ltd</v>
          </cell>
          <cell r="S363" t="str">
            <v>IDS Services (Malaysia) Sdn Bhd</v>
          </cell>
          <cell r="T363" t="str">
            <v>Not In Use</v>
          </cell>
          <cell r="U363" t="str">
            <v>Asset</v>
          </cell>
          <cell r="V363">
            <v>4990</v>
          </cell>
          <cell r="W363" t="str">
            <v>KEW</v>
          </cell>
          <cell r="X363" t="str">
            <v>01/09/2010</v>
          </cell>
          <cell r="Y363" t="str">
            <v>KEW</v>
          </cell>
          <cell r="Z363" t="str">
            <v>16/08/2013</v>
          </cell>
          <cell r="AA363" t="str">
            <v>15/08/2015</v>
          </cell>
          <cell r="AB363" t="str">
            <v>No</v>
          </cell>
          <cell r="AC363" t="str">
            <v>31/08/2013</v>
          </cell>
          <cell r="AD363" t="str">
            <v>Request for Exemption</v>
          </cell>
          <cell r="AE363" t="str">
            <v>V4 - Decommissioned Installed Facility</v>
          </cell>
          <cell r="AF363">
            <v>43050</v>
          </cell>
          <cell r="AG363">
            <v>9.17</v>
          </cell>
          <cell r="AH363" t="str">
            <v>PPM</v>
          </cell>
          <cell r="AI363" t="str">
            <v>Not in contract</v>
          </cell>
          <cell r="AJ363" t="str">
            <v>Not in contract</v>
          </cell>
          <cell r="AK363" t="e">
            <v>#N/A</v>
          </cell>
        </row>
        <row r="364">
          <cell r="A364" t="str">
            <v>IKN400280</v>
          </cell>
          <cell r="B364">
            <v>280</v>
          </cell>
          <cell r="C364" t="str">
            <v>Institut Kanser Negara</v>
          </cell>
          <cell r="D364" t="e">
            <v>#N/A</v>
          </cell>
          <cell r="E364" t="str">
            <v>10-447</v>
          </cell>
          <cell r="F364" t="str">
            <v>Warming Units, Blood/Solution</v>
          </cell>
          <cell r="G364" t="str">
            <v>WH</v>
          </cell>
          <cell r="H364" t="str">
            <v>RT/ONCO WARD 2 (M)</v>
          </cell>
          <cell r="I364" t="str">
            <v>08WH121</v>
          </cell>
          <cell r="J364" t="str">
            <v>EQUIPMENT ROOM</v>
          </cell>
          <cell r="K364" t="str">
            <v>BMED</v>
          </cell>
          <cell r="L364" t="str">
            <v>Normal</v>
          </cell>
          <cell r="M364" t="str">
            <v>Japan</v>
          </cell>
          <cell r="N364" t="str">
            <v>Animec</v>
          </cell>
          <cell r="O364" t="str">
            <v>Animec AM-301</v>
          </cell>
          <cell r="P364" t="str">
            <v>2013D0245</v>
          </cell>
          <cell r="Q364" t="str">
            <v>Not Applicable</v>
          </cell>
          <cell r="R364" t="str">
            <v>Elltec Co Ltd</v>
          </cell>
          <cell r="S364" t="str">
            <v>IDS Services (Malaysia) Sdn Bhd</v>
          </cell>
          <cell r="T364" t="str">
            <v>Not In Use</v>
          </cell>
          <cell r="U364" t="str">
            <v>Asset</v>
          </cell>
          <cell r="V364">
            <v>4990</v>
          </cell>
          <cell r="W364" t="str">
            <v>KEW</v>
          </cell>
          <cell r="X364" t="str">
            <v>01/09/2010</v>
          </cell>
          <cell r="Y364" t="str">
            <v>KEW</v>
          </cell>
          <cell r="Z364" t="str">
            <v>16/08/2013</v>
          </cell>
          <cell r="AA364" t="str">
            <v>15/08/2015</v>
          </cell>
          <cell r="AB364" t="str">
            <v>No</v>
          </cell>
          <cell r="AC364" t="str">
            <v>31/08/2013</v>
          </cell>
          <cell r="AD364" t="str">
            <v>Good</v>
          </cell>
          <cell r="AE364" t="str">
            <v>V4 - Decommissioned Installed Facility</v>
          </cell>
          <cell r="AF364">
            <v>43050</v>
          </cell>
          <cell r="AG364">
            <v>9.17</v>
          </cell>
          <cell r="AH364" t="str">
            <v>PPM</v>
          </cell>
          <cell r="AI364" t="str">
            <v>Not in contract</v>
          </cell>
          <cell r="AJ364" t="str">
            <v>Not in contract</v>
          </cell>
          <cell r="AK364" t="e">
            <v>#N/A</v>
          </cell>
        </row>
        <row r="365">
          <cell r="A365" t="str">
            <v>IKN400281</v>
          </cell>
          <cell r="B365">
            <v>281</v>
          </cell>
          <cell r="C365" t="str">
            <v>Institut Kanser Negara</v>
          </cell>
          <cell r="D365" t="e">
            <v>#N/A</v>
          </cell>
          <cell r="E365" t="str">
            <v>10-447</v>
          </cell>
          <cell r="F365" t="str">
            <v>Warming Units, Blood/Solution</v>
          </cell>
          <cell r="G365" t="str">
            <v>WH</v>
          </cell>
          <cell r="H365" t="str">
            <v>RT/ONCO WARD 2 (M)</v>
          </cell>
          <cell r="I365" t="str">
            <v>08WH121</v>
          </cell>
          <cell r="J365" t="str">
            <v>EQUIPMENT ROOM</v>
          </cell>
          <cell r="K365" t="str">
            <v>BMED</v>
          </cell>
          <cell r="L365" t="str">
            <v>Normal</v>
          </cell>
          <cell r="M365" t="str">
            <v>Japan</v>
          </cell>
          <cell r="N365" t="str">
            <v>Animec</v>
          </cell>
          <cell r="O365" t="str">
            <v>Animec AM-301</v>
          </cell>
          <cell r="P365" t="str">
            <v>2012D0054</v>
          </cell>
          <cell r="Q365" t="str">
            <v>Not Applicable</v>
          </cell>
          <cell r="R365" t="str">
            <v>Elltec Co Ltd</v>
          </cell>
          <cell r="S365" t="str">
            <v>IDS Services (Malaysia) Sdn Bhd</v>
          </cell>
          <cell r="T365" t="str">
            <v>Disposed</v>
          </cell>
          <cell r="U365" t="str">
            <v>Asset</v>
          </cell>
          <cell r="V365">
            <v>4990</v>
          </cell>
          <cell r="W365" t="str">
            <v>KEW</v>
          </cell>
          <cell r="X365" t="str">
            <v>01/09/2010</v>
          </cell>
          <cell r="Y365" t="str">
            <v>KEW</v>
          </cell>
          <cell r="Z365" t="str">
            <v>16/08/2013</v>
          </cell>
          <cell r="AA365" t="str">
            <v>15/08/2015</v>
          </cell>
          <cell r="AB365" t="str">
            <v>No</v>
          </cell>
          <cell r="AC365" t="str">
            <v>31/08/2013</v>
          </cell>
          <cell r="AD365" t="str">
            <v>Good</v>
          </cell>
          <cell r="AE365" t="str">
            <v>V4 - Decommissioned Installed Facility</v>
          </cell>
          <cell r="AF365">
            <v>42538</v>
          </cell>
          <cell r="AG365">
            <v>9.17</v>
          </cell>
          <cell r="AH365" t="str">
            <v>PPM</v>
          </cell>
          <cell r="AI365" t="str">
            <v>Not in contract</v>
          </cell>
          <cell r="AJ365" t="str">
            <v>Not in contract</v>
          </cell>
          <cell r="AK365" t="e">
            <v>#N/A</v>
          </cell>
        </row>
        <row r="366">
          <cell r="A366" t="str">
            <v>IKN400393</v>
          </cell>
          <cell r="B366">
            <v>393</v>
          </cell>
          <cell r="C366" t="str">
            <v>Institut Kanser Negara</v>
          </cell>
          <cell r="D366" t="e">
            <v>#N/A</v>
          </cell>
          <cell r="E366" t="str">
            <v>10-447</v>
          </cell>
          <cell r="F366" t="str">
            <v>Warming Units, Blood/Solution</v>
          </cell>
          <cell r="G366" t="str">
            <v>WD</v>
          </cell>
          <cell r="H366" t="str">
            <v>RT/ONCO PAED/ADOLESCENT WARD</v>
          </cell>
          <cell r="I366" t="str">
            <v>06WD153</v>
          </cell>
          <cell r="J366" t="str">
            <v>EQP.ROOM</v>
          </cell>
          <cell r="K366" t="str">
            <v>BMED</v>
          </cell>
          <cell r="L366" t="str">
            <v>Normal</v>
          </cell>
          <cell r="M366" t="str">
            <v>Japan</v>
          </cell>
          <cell r="N366" t="str">
            <v>Animec</v>
          </cell>
          <cell r="O366" t="str">
            <v>Animec AM-301</v>
          </cell>
          <cell r="P366" t="str">
            <v>2013D0265</v>
          </cell>
          <cell r="Q366" t="str">
            <v>Not Applicable</v>
          </cell>
          <cell r="R366" t="str">
            <v>Elltec Co Ltd</v>
          </cell>
          <cell r="S366" t="str">
            <v>IDS Services (Malaysia) Sdn Bhd</v>
          </cell>
          <cell r="T366" t="str">
            <v>Disposed</v>
          </cell>
          <cell r="U366" t="str">
            <v>Asset</v>
          </cell>
          <cell r="V366">
            <v>4990</v>
          </cell>
          <cell r="W366" t="str">
            <v>KEW</v>
          </cell>
          <cell r="X366" t="str">
            <v>01/09/2010</v>
          </cell>
          <cell r="Y366" t="str">
            <v>KEW</v>
          </cell>
          <cell r="Z366" t="str">
            <v>16/08/2013</v>
          </cell>
          <cell r="AA366" t="str">
            <v>15/08/2015</v>
          </cell>
          <cell r="AB366" t="str">
            <v>No</v>
          </cell>
          <cell r="AC366" t="str">
            <v>31/08/2013</v>
          </cell>
          <cell r="AD366" t="str">
            <v>Request for Exemption</v>
          </cell>
          <cell r="AE366" t="str">
            <v>V4 - Decommissioned Installed Facility</v>
          </cell>
          <cell r="AF366">
            <v>42538</v>
          </cell>
          <cell r="AG366">
            <v>9.17</v>
          </cell>
          <cell r="AH366" t="str">
            <v>PPM</v>
          </cell>
          <cell r="AI366" t="str">
            <v>Not in contract</v>
          </cell>
          <cell r="AJ366" t="str">
            <v>Not in contract</v>
          </cell>
          <cell r="AK366" t="e">
            <v>#N/A</v>
          </cell>
        </row>
        <row r="367">
          <cell r="A367" t="str">
            <v>IKN400394</v>
          </cell>
          <cell r="B367">
            <v>394</v>
          </cell>
          <cell r="C367" t="str">
            <v>Institut Kanser Negara</v>
          </cell>
          <cell r="D367" t="e">
            <v>#N/A</v>
          </cell>
          <cell r="E367" t="str">
            <v>10-447</v>
          </cell>
          <cell r="F367" t="str">
            <v>Warming Units, Blood/Solution</v>
          </cell>
          <cell r="G367" t="str">
            <v>WD</v>
          </cell>
          <cell r="H367" t="str">
            <v>RT/ONCO PAED/ADOLESCENT WARD</v>
          </cell>
          <cell r="I367" t="str">
            <v>06WD153</v>
          </cell>
          <cell r="J367" t="str">
            <v>EQP.ROOM</v>
          </cell>
          <cell r="K367" t="str">
            <v>BMED</v>
          </cell>
          <cell r="L367" t="str">
            <v>Normal</v>
          </cell>
          <cell r="M367" t="str">
            <v>Japan</v>
          </cell>
          <cell r="N367" t="str">
            <v>Animec</v>
          </cell>
          <cell r="O367" t="str">
            <v>Animec AM-301</v>
          </cell>
          <cell r="P367" t="str">
            <v>2013D0266</v>
          </cell>
          <cell r="Q367" t="str">
            <v>Not Applicable</v>
          </cell>
          <cell r="R367" t="str">
            <v>Elltec Co Ltd</v>
          </cell>
          <cell r="S367" t="str">
            <v>IDS Services (Malaysia) Sdn Bhd</v>
          </cell>
          <cell r="T367" t="str">
            <v>Disposed</v>
          </cell>
          <cell r="U367" t="str">
            <v>Asset</v>
          </cell>
          <cell r="V367">
            <v>4990</v>
          </cell>
          <cell r="W367" t="str">
            <v>KEW</v>
          </cell>
          <cell r="X367" t="str">
            <v>01/09/2010</v>
          </cell>
          <cell r="Y367" t="str">
            <v>KEW</v>
          </cell>
          <cell r="Z367" t="str">
            <v>16/08/2013</v>
          </cell>
          <cell r="AA367" t="str">
            <v>15/08/2015</v>
          </cell>
          <cell r="AB367" t="str">
            <v>No</v>
          </cell>
          <cell r="AC367" t="str">
            <v>31/08/2013</v>
          </cell>
          <cell r="AD367" t="str">
            <v>Good</v>
          </cell>
          <cell r="AE367" t="str">
            <v>V4 - Decommissioned Installed Facility</v>
          </cell>
          <cell r="AF367">
            <v>42538</v>
          </cell>
          <cell r="AG367">
            <v>9.17</v>
          </cell>
          <cell r="AH367" t="str">
            <v>PPM</v>
          </cell>
          <cell r="AI367" t="str">
            <v>Not in contract</v>
          </cell>
          <cell r="AJ367" t="str">
            <v>Not in contract</v>
          </cell>
          <cell r="AK367" t="e">
            <v>#N/A</v>
          </cell>
        </row>
        <row r="368">
          <cell r="A368" t="str">
            <v>IKN400395</v>
          </cell>
          <cell r="B368">
            <v>395</v>
          </cell>
          <cell r="C368" t="str">
            <v>Institut Kanser Negara</v>
          </cell>
          <cell r="D368" t="e">
            <v>#N/A</v>
          </cell>
          <cell r="E368" t="str">
            <v>10-447</v>
          </cell>
          <cell r="F368" t="str">
            <v>Warming Units, Blood/Solution</v>
          </cell>
          <cell r="G368" t="str">
            <v>WD</v>
          </cell>
          <cell r="H368" t="str">
            <v>RT/ONCO PAED/ADOLESCENT WARD</v>
          </cell>
          <cell r="I368" t="str">
            <v>06WD153</v>
          </cell>
          <cell r="J368" t="str">
            <v>EQP.ROOM</v>
          </cell>
          <cell r="K368" t="str">
            <v>BMED</v>
          </cell>
          <cell r="L368" t="str">
            <v>Normal</v>
          </cell>
          <cell r="M368" t="str">
            <v>Japan</v>
          </cell>
          <cell r="N368" t="str">
            <v>Animec</v>
          </cell>
          <cell r="O368" t="str">
            <v>Animec AM-301</v>
          </cell>
          <cell r="P368" t="str">
            <v>2013D0264</v>
          </cell>
          <cell r="Q368" t="str">
            <v>Not Applicable</v>
          </cell>
          <cell r="R368" t="str">
            <v>Elltec Co Ltd</v>
          </cell>
          <cell r="S368" t="str">
            <v>IDS Services (Malaysia) Sdn Bhd</v>
          </cell>
          <cell r="T368" t="str">
            <v>Disposed</v>
          </cell>
          <cell r="U368" t="str">
            <v>Asset</v>
          </cell>
          <cell r="V368">
            <v>4990</v>
          </cell>
          <cell r="W368" t="str">
            <v>KEW</v>
          </cell>
          <cell r="X368" t="str">
            <v>01/09/2010</v>
          </cell>
          <cell r="Y368" t="str">
            <v>KEW</v>
          </cell>
          <cell r="Z368" t="str">
            <v>16/08/2013</v>
          </cell>
          <cell r="AA368" t="str">
            <v>15/08/2015</v>
          </cell>
          <cell r="AB368" t="str">
            <v>No</v>
          </cell>
          <cell r="AC368" t="str">
            <v>31/08/2013</v>
          </cell>
          <cell r="AD368" t="str">
            <v>Request for Exemption</v>
          </cell>
          <cell r="AE368" t="str">
            <v>V4 - Decommissioned Installed Facility</v>
          </cell>
          <cell r="AF368">
            <v>42538</v>
          </cell>
          <cell r="AG368">
            <v>9.17</v>
          </cell>
          <cell r="AH368" t="str">
            <v>PPM</v>
          </cell>
          <cell r="AI368" t="str">
            <v>Not in contract</v>
          </cell>
          <cell r="AJ368" t="str">
            <v>Not in contract</v>
          </cell>
          <cell r="AK368" t="e">
            <v>#N/A</v>
          </cell>
        </row>
        <row r="369">
          <cell r="A369" t="str">
            <v>IKN400431</v>
          </cell>
          <cell r="B369">
            <v>431</v>
          </cell>
          <cell r="C369" t="str">
            <v>Institut Kanser Negara</v>
          </cell>
          <cell r="D369" t="e">
            <v>#N/A</v>
          </cell>
          <cell r="E369" t="str">
            <v>10-447</v>
          </cell>
          <cell r="F369" t="str">
            <v>Warming Units, Blood/Solution</v>
          </cell>
          <cell r="G369" t="str">
            <v>WC</v>
          </cell>
          <cell r="H369" t="str">
            <v>SURGICAL ONCO FEMALE WARD</v>
          </cell>
          <cell r="I369" t="str">
            <v>06WC113</v>
          </cell>
          <cell r="J369" t="str">
            <v>EQUIPMENT ROOM</v>
          </cell>
          <cell r="K369" t="str">
            <v>BMED</v>
          </cell>
          <cell r="L369" t="str">
            <v>Normal</v>
          </cell>
          <cell r="M369" t="str">
            <v>Japan</v>
          </cell>
          <cell r="N369" t="str">
            <v>Animec</v>
          </cell>
          <cell r="O369" t="str">
            <v>Animec AM-301</v>
          </cell>
          <cell r="P369" t="str">
            <v>2013D0263</v>
          </cell>
          <cell r="Q369" t="str">
            <v>Not Applicable</v>
          </cell>
          <cell r="R369" t="str">
            <v>Elltec Co Ltd</v>
          </cell>
          <cell r="S369" t="str">
            <v>IDS Services (Malaysia) Sdn Bhd</v>
          </cell>
          <cell r="T369" t="str">
            <v>Disposed</v>
          </cell>
          <cell r="U369" t="str">
            <v>Asset</v>
          </cell>
          <cell r="V369">
            <v>4990</v>
          </cell>
          <cell r="W369" t="str">
            <v>KEW</v>
          </cell>
          <cell r="X369" t="str">
            <v>01/09/2010</v>
          </cell>
          <cell r="Y369" t="str">
            <v>KEW</v>
          </cell>
          <cell r="Z369" t="str">
            <v>16/08/2013</v>
          </cell>
          <cell r="AA369" t="str">
            <v>15/08/2015</v>
          </cell>
          <cell r="AB369" t="str">
            <v>No</v>
          </cell>
          <cell r="AC369" t="str">
            <v>31/08/2013</v>
          </cell>
          <cell r="AD369" t="str">
            <v>Good</v>
          </cell>
          <cell r="AE369" t="str">
            <v>V4 - Decommissioned Installed Facility</v>
          </cell>
          <cell r="AF369">
            <v>42538</v>
          </cell>
          <cell r="AG369">
            <v>9.17</v>
          </cell>
          <cell r="AH369" t="str">
            <v>PPM</v>
          </cell>
          <cell r="AI369" t="str">
            <v>Not in contract</v>
          </cell>
          <cell r="AJ369" t="str">
            <v>Not in contract</v>
          </cell>
          <cell r="AK369" t="e">
            <v>#N/A</v>
          </cell>
        </row>
        <row r="370">
          <cell r="A370" t="str">
            <v>IKN400432</v>
          </cell>
          <cell r="B370">
            <v>432</v>
          </cell>
          <cell r="C370" t="str">
            <v>Institut Kanser Negara</v>
          </cell>
          <cell r="D370" t="e">
            <v>#N/A</v>
          </cell>
          <cell r="E370" t="str">
            <v>10-447</v>
          </cell>
          <cell r="F370" t="str">
            <v>Warming Units, Blood/Solution</v>
          </cell>
          <cell r="G370" t="str">
            <v>WC</v>
          </cell>
          <cell r="H370" t="str">
            <v>SURGICAL ONCO FEMALE WARD</v>
          </cell>
          <cell r="I370" t="str">
            <v>06WC113</v>
          </cell>
          <cell r="J370" t="str">
            <v>EQUIPMENT ROOM</v>
          </cell>
          <cell r="K370" t="str">
            <v>BMED</v>
          </cell>
          <cell r="L370" t="str">
            <v>Normal</v>
          </cell>
          <cell r="M370" t="str">
            <v>Japan</v>
          </cell>
          <cell r="N370" t="str">
            <v>Animec</v>
          </cell>
          <cell r="O370" t="str">
            <v>Animec AM-301</v>
          </cell>
          <cell r="P370" t="str">
            <v>2013D0262</v>
          </cell>
          <cell r="Q370" t="str">
            <v>Not Applicable</v>
          </cell>
          <cell r="R370" t="str">
            <v>Elltec Co Ltd</v>
          </cell>
          <cell r="S370" t="str">
            <v>IDS Services (Malaysia) Sdn Bhd</v>
          </cell>
          <cell r="T370" t="str">
            <v>Disposed</v>
          </cell>
          <cell r="U370" t="str">
            <v>Asset</v>
          </cell>
          <cell r="V370">
            <v>4990</v>
          </cell>
          <cell r="W370" t="str">
            <v>KEW</v>
          </cell>
          <cell r="X370" t="str">
            <v>01/09/2010</v>
          </cell>
          <cell r="Y370" t="str">
            <v>KEW</v>
          </cell>
          <cell r="Z370" t="str">
            <v>16/08/2013</v>
          </cell>
          <cell r="AA370" t="str">
            <v>15/08/2015</v>
          </cell>
          <cell r="AB370" t="str">
            <v>No</v>
          </cell>
          <cell r="AC370" t="str">
            <v>31/08/2013</v>
          </cell>
          <cell r="AD370" t="str">
            <v>Good</v>
          </cell>
          <cell r="AE370" t="str">
            <v>V4 - Decommissioned Installed Facility</v>
          </cell>
          <cell r="AF370">
            <v>42538</v>
          </cell>
          <cell r="AG370">
            <v>9.17</v>
          </cell>
          <cell r="AH370" t="str">
            <v>PPM</v>
          </cell>
          <cell r="AI370" t="str">
            <v>Not in contract</v>
          </cell>
          <cell r="AJ370" t="str">
            <v>Not in contract</v>
          </cell>
          <cell r="AK370" t="e">
            <v>#N/A</v>
          </cell>
        </row>
        <row r="371">
          <cell r="A371" t="str">
            <v>IKN400433</v>
          </cell>
          <cell r="B371">
            <v>433</v>
          </cell>
          <cell r="C371" t="str">
            <v>Institut Kanser Negara</v>
          </cell>
          <cell r="D371" t="str">
            <v>KKM/IKN/H/13/2005</v>
          </cell>
          <cell r="E371" t="str">
            <v>11-134</v>
          </cell>
          <cell r="F371" t="str">
            <v>Defibrillators, External, Manual</v>
          </cell>
          <cell r="G371" t="str">
            <v>WC</v>
          </cell>
          <cell r="H371" t="str">
            <v>SURGICAL ONCO FEMALE WARD</v>
          </cell>
          <cell r="I371" t="str">
            <v>06WC133</v>
          </cell>
          <cell r="J371" t="str">
            <v>RESUS EQ. BAY</v>
          </cell>
          <cell r="K371" t="str">
            <v>BMED</v>
          </cell>
          <cell r="L371" t="str">
            <v>Critical</v>
          </cell>
          <cell r="M371" t="str">
            <v>USA</v>
          </cell>
          <cell r="N371" t="str">
            <v>Responder</v>
          </cell>
          <cell r="O371" t="str">
            <v>Responder 2000</v>
          </cell>
          <cell r="P371" t="str">
            <v>3206740</v>
          </cell>
          <cell r="Q371" t="str">
            <v>Not Applicable</v>
          </cell>
          <cell r="R371" t="str">
            <v>GE Medical Systems</v>
          </cell>
          <cell r="S371" t="str">
            <v>Antah Sir Radin Sdn. Bhd.</v>
          </cell>
          <cell r="T371" t="str">
            <v>Functioning</v>
          </cell>
          <cell r="U371" t="str">
            <v>Asset</v>
          </cell>
          <cell r="V371">
            <v>45000</v>
          </cell>
          <cell r="W371" t="str">
            <v>KEW</v>
          </cell>
          <cell r="X371" t="str">
            <v>01/09/2010</v>
          </cell>
          <cell r="Y371" t="str">
            <v>KEW</v>
          </cell>
          <cell r="Z371" t="str">
            <v>16/08/2013</v>
          </cell>
          <cell r="AA371" t="str">
            <v>15/08/2015</v>
          </cell>
          <cell r="AB371" t="str">
            <v>No</v>
          </cell>
          <cell r="AC371" t="str">
            <v>31/08/2013</v>
          </cell>
          <cell r="AD371" t="str">
            <v>Good</v>
          </cell>
          <cell r="AE371" t="str">
            <v>V3 - Added Installed Facilities (New)</v>
          </cell>
          <cell r="AF371">
            <v>42601</v>
          </cell>
          <cell r="AG371">
            <v>9.17</v>
          </cell>
          <cell r="AH371" t="str">
            <v>PPM</v>
          </cell>
          <cell r="AI371" t="str">
            <v>Strands</v>
          </cell>
          <cell r="AJ371" t="str">
            <v>Strands PW. Proposed for V4 P2.23</v>
          </cell>
          <cell r="AK371" t="str">
            <v>SNF received. 1st batch of V3 asset (December 2020). [18/9/2023, SHARIFAH]: PEP ON 8/8/2023, BER/BEMS/IKN/23/019 - Aset mengalami kerosakan pada mainboard dan theraphy board.</v>
          </cell>
        </row>
        <row r="372">
          <cell r="A372" t="str">
            <v>IKN400436</v>
          </cell>
          <cell r="B372">
            <v>436</v>
          </cell>
          <cell r="C372" t="str">
            <v>Institut Kanser Negara</v>
          </cell>
          <cell r="D372" t="e">
            <v>#N/A</v>
          </cell>
          <cell r="E372" t="str">
            <v>12-660</v>
          </cell>
          <cell r="F372" t="str">
            <v>Radiation Monitors</v>
          </cell>
          <cell r="G372" t="str">
            <v>NM</v>
          </cell>
          <cell r="H372" t="str">
            <v>NUCLEAR MED (DIAGNOSTIC)</v>
          </cell>
          <cell r="I372" t="str">
            <v>03NM161</v>
          </cell>
          <cell r="J372" t="str">
            <v>GAMMA CAMERA 1 (-VE)</v>
          </cell>
          <cell r="K372" t="str">
            <v>BMED</v>
          </cell>
          <cell r="L372" t="str">
            <v>Normal</v>
          </cell>
          <cell r="M372" t="str">
            <v>USA</v>
          </cell>
          <cell r="N372" t="str">
            <v>Ludlum</v>
          </cell>
          <cell r="O372" t="str">
            <v>Ludlum 375P</v>
          </cell>
          <cell r="P372">
            <v>294335</v>
          </cell>
          <cell r="Q372" t="str">
            <v>Not Applicable</v>
          </cell>
          <cell r="R372" t="str">
            <v>Ludlum Measurements Inc</v>
          </cell>
          <cell r="S372" t="str">
            <v>Advance Altimas Sdn Bhd</v>
          </cell>
          <cell r="T372" t="str">
            <v>Functioning</v>
          </cell>
          <cell r="U372" t="str">
            <v>Asset</v>
          </cell>
          <cell r="V372">
            <v>25000</v>
          </cell>
          <cell r="W372" t="str">
            <v>Estimate</v>
          </cell>
          <cell r="X372" t="str">
            <v>01/09/2010</v>
          </cell>
          <cell r="Y372" t="str">
            <v>KEW</v>
          </cell>
          <cell r="Z372" t="str">
            <v>16/08/2013</v>
          </cell>
          <cell r="AA372" t="str">
            <v>15/08/2015</v>
          </cell>
          <cell r="AB372" t="str">
            <v>No</v>
          </cell>
          <cell r="AC372" t="str">
            <v>31/08/2013</v>
          </cell>
          <cell r="AD372" t="str">
            <v>Good</v>
          </cell>
          <cell r="AE372" t="str">
            <v>V1 - Existing / No Claim</v>
          </cell>
          <cell r="AF372">
            <v>42601</v>
          </cell>
          <cell r="AG372">
            <v>9.17</v>
          </cell>
          <cell r="AH372" t="str">
            <v>PPM</v>
          </cell>
          <cell r="AI372" t="str">
            <v>package</v>
          </cell>
          <cell r="AJ372" t="str">
            <v>Strands Package. Proposed for V4 P2.23</v>
          </cell>
          <cell r="AK372" t="str">
            <v>BER PACKAGE GAMMA Package Code XK0001A.</v>
          </cell>
        </row>
        <row r="373">
          <cell r="A373" t="str">
            <v>IKN400467</v>
          </cell>
          <cell r="B373">
            <v>467</v>
          </cell>
          <cell r="C373" t="str">
            <v>Institut Kanser Negara</v>
          </cell>
          <cell r="D373" t="e">
            <v>#N/A</v>
          </cell>
          <cell r="E373" t="str">
            <v>10-447</v>
          </cell>
          <cell r="F373" t="str">
            <v>Warming Units, Blood/Solution</v>
          </cell>
          <cell r="G373" t="str">
            <v>WB</v>
          </cell>
          <cell r="H373" t="str">
            <v>SURGICAL ONCO MALE WARD</v>
          </cell>
          <cell r="I373" t="str">
            <v>05WB113</v>
          </cell>
          <cell r="J373" t="str">
            <v>EQUIP. ROOM</v>
          </cell>
          <cell r="K373" t="str">
            <v>BMED</v>
          </cell>
          <cell r="L373" t="str">
            <v>Normal</v>
          </cell>
          <cell r="M373" t="str">
            <v>Japan</v>
          </cell>
          <cell r="N373" t="str">
            <v>Animec</v>
          </cell>
          <cell r="O373" t="str">
            <v>Animec AM-301</v>
          </cell>
          <cell r="P373" t="str">
            <v>2013D0259</v>
          </cell>
          <cell r="Q373" t="str">
            <v>Not Applicable</v>
          </cell>
          <cell r="R373" t="str">
            <v>Elltec Co Ltd</v>
          </cell>
          <cell r="S373" t="str">
            <v>IDS Services (Malaysia) Sdn Bhd</v>
          </cell>
          <cell r="T373" t="str">
            <v>Disposed</v>
          </cell>
          <cell r="U373" t="str">
            <v>Asset</v>
          </cell>
          <cell r="V373">
            <v>4990</v>
          </cell>
          <cell r="W373" t="str">
            <v>KEW</v>
          </cell>
          <cell r="X373" t="str">
            <v>01/09/2010</v>
          </cell>
          <cell r="Y373" t="str">
            <v>KEW</v>
          </cell>
          <cell r="Z373" t="str">
            <v>16/08/2013</v>
          </cell>
          <cell r="AA373" t="str">
            <v>15/08/2015</v>
          </cell>
          <cell r="AB373" t="str">
            <v>No</v>
          </cell>
          <cell r="AC373" t="str">
            <v>31/08/2013</v>
          </cell>
          <cell r="AD373" t="str">
            <v>Good</v>
          </cell>
          <cell r="AE373" t="str">
            <v>V4 - Decommissioned Installed Facility</v>
          </cell>
          <cell r="AF373">
            <v>42538</v>
          </cell>
          <cell r="AG373">
            <v>9.17</v>
          </cell>
          <cell r="AH373" t="str">
            <v>PPM</v>
          </cell>
          <cell r="AI373" t="str">
            <v>Not in contract</v>
          </cell>
          <cell r="AJ373" t="str">
            <v>Not in contract</v>
          </cell>
          <cell r="AK373" t="e">
            <v>#N/A</v>
          </cell>
        </row>
        <row r="374">
          <cell r="A374" t="str">
            <v>IKN400468</v>
          </cell>
          <cell r="B374">
            <v>468</v>
          </cell>
          <cell r="C374" t="str">
            <v>Institut Kanser Negara</v>
          </cell>
          <cell r="D374" t="e">
            <v>#N/A</v>
          </cell>
          <cell r="E374" t="str">
            <v>10-447</v>
          </cell>
          <cell r="F374" t="str">
            <v>Warming Units, Blood/Solution</v>
          </cell>
          <cell r="G374" t="str">
            <v>WB</v>
          </cell>
          <cell r="H374" t="str">
            <v>SURGICAL ONCO MALE WARD</v>
          </cell>
          <cell r="I374" t="str">
            <v>05WB113</v>
          </cell>
          <cell r="J374" t="str">
            <v>EQUIP. ROOM</v>
          </cell>
          <cell r="K374" t="str">
            <v>BMED</v>
          </cell>
          <cell r="L374" t="str">
            <v>Normal</v>
          </cell>
          <cell r="M374" t="str">
            <v>Japan</v>
          </cell>
          <cell r="N374" t="str">
            <v>Animec</v>
          </cell>
          <cell r="O374" t="str">
            <v>Animec AM-301</v>
          </cell>
          <cell r="P374" t="str">
            <v>2013D0258</v>
          </cell>
          <cell r="Q374" t="str">
            <v>Not Applicable</v>
          </cell>
          <cell r="R374" t="str">
            <v>Elltec Co Ltd</v>
          </cell>
          <cell r="S374" t="str">
            <v>IDS Services (Malaysia) Sdn Bhd</v>
          </cell>
          <cell r="T374" t="str">
            <v>Disposed</v>
          </cell>
          <cell r="U374" t="str">
            <v>Asset</v>
          </cell>
          <cell r="V374">
            <v>4990</v>
          </cell>
          <cell r="W374" t="str">
            <v>KEW</v>
          </cell>
          <cell r="X374" t="str">
            <v>01/09/2010</v>
          </cell>
          <cell r="Y374" t="str">
            <v>KEW</v>
          </cell>
          <cell r="Z374" t="str">
            <v>16/08/2013</v>
          </cell>
          <cell r="AA374" t="str">
            <v>15/08/2015</v>
          </cell>
          <cell r="AB374" t="str">
            <v>No</v>
          </cell>
          <cell r="AC374" t="str">
            <v>31/08/2013</v>
          </cell>
          <cell r="AD374" t="str">
            <v>Good</v>
          </cell>
          <cell r="AE374" t="str">
            <v>V4 - Decommissioned Installed Facility</v>
          </cell>
          <cell r="AF374">
            <v>42538</v>
          </cell>
          <cell r="AG374">
            <v>9.17</v>
          </cell>
          <cell r="AH374" t="str">
            <v>PPM</v>
          </cell>
          <cell r="AI374" t="str">
            <v>Not in contract</v>
          </cell>
          <cell r="AJ374" t="str">
            <v>Not in contract</v>
          </cell>
          <cell r="AK374" t="e">
            <v>#N/A</v>
          </cell>
        </row>
        <row r="375">
          <cell r="A375" t="str">
            <v>IKN400479</v>
          </cell>
          <cell r="B375">
            <v>479</v>
          </cell>
          <cell r="C375" t="str">
            <v>Institut Kanser Negara</v>
          </cell>
          <cell r="D375" t="str">
            <v>KKM/IKN/H/13/430</v>
          </cell>
          <cell r="E375" t="str">
            <v>13-215</v>
          </cell>
          <cell r="F375" t="str">
            <v>Infusion Pumps, General-Purpose</v>
          </cell>
          <cell r="G375" t="str">
            <v>WB</v>
          </cell>
          <cell r="H375" t="str">
            <v>SURGICAL ONCO MALE WARD</v>
          </cell>
          <cell r="I375" t="str">
            <v>05WB113</v>
          </cell>
          <cell r="J375" t="str">
            <v>EQUIP. ROOM</v>
          </cell>
          <cell r="K375" t="str">
            <v>BMED</v>
          </cell>
          <cell r="L375" t="str">
            <v>Critical</v>
          </cell>
          <cell r="M375" t="str">
            <v>Germany</v>
          </cell>
          <cell r="N375" t="str">
            <v>Infusomat</v>
          </cell>
          <cell r="O375" t="str">
            <v>Infusomat Space</v>
          </cell>
          <cell r="P375" t="str">
            <v>212025</v>
          </cell>
          <cell r="Q375" t="str">
            <v>Not Applicable</v>
          </cell>
          <cell r="R375" t="str">
            <v>B Braun Melsungen AG</v>
          </cell>
          <cell r="S375" t="str">
            <v>B Braun Medical Supplies Sdn. Bhd.</v>
          </cell>
          <cell r="T375" t="str">
            <v>Functioning</v>
          </cell>
          <cell r="U375" t="str">
            <v>Asset</v>
          </cell>
          <cell r="V375">
            <v>10825</v>
          </cell>
          <cell r="W375" t="str">
            <v>KEW</v>
          </cell>
          <cell r="X375" t="str">
            <v>01/09/2010</v>
          </cell>
          <cell r="Y375" t="str">
            <v>KEW</v>
          </cell>
          <cell r="Z375" t="str">
            <v>16/08/2013</v>
          </cell>
          <cell r="AA375" t="str">
            <v>15/08/2015</v>
          </cell>
          <cell r="AB375" t="str">
            <v>No</v>
          </cell>
          <cell r="AC375" t="str">
            <v>31/08/2013</v>
          </cell>
          <cell r="AD375" t="str">
            <v>Good</v>
          </cell>
          <cell r="AE375" t="str">
            <v>V4 - Decommissioned Installed Facility</v>
          </cell>
          <cell r="AF375">
            <v>42788</v>
          </cell>
          <cell r="AG375">
            <v>9.17</v>
          </cell>
          <cell r="AH375" t="str">
            <v>PPM</v>
          </cell>
          <cell r="AI375" t="str">
            <v>Not in contract</v>
          </cell>
          <cell r="AJ375" t="str">
            <v>Not in contract</v>
          </cell>
          <cell r="AK375" t="str">
            <v>BER. Total damage due to internal leaking. [22/9/2023, SHARIFAH]: PEP ON FEB 2021, BER/BEMS/AWSB/21/001 - Asset mengalami kerosakan pada komponen-komponen utama.</v>
          </cell>
        </row>
        <row r="376">
          <cell r="A376" t="str">
            <v>IKN400505</v>
          </cell>
          <cell r="B376">
            <v>505</v>
          </cell>
          <cell r="C376" t="str">
            <v>Institut Kanser Negara</v>
          </cell>
          <cell r="D376" t="e">
            <v>#N/A</v>
          </cell>
          <cell r="E376" t="str">
            <v>15-045</v>
          </cell>
          <cell r="F376" t="str">
            <v>Nebulizers, Nonheated</v>
          </cell>
          <cell r="G376" t="str">
            <v>PC</v>
          </cell>
          <cell r="H376" t="str">
            <v>PALLIATIVE CARE UNIT</v>
          </cell>
          <cell r="I376" t="str">
            <v>04PC109</v>
          </cell>
          <cell r="J376" t="str">
            <v>GEN. STORE</v>
          </cell>
          <cell r="K376" t="str">
            <v>BMED</v>
          </cell>
          <cell r="L376" t="str">
            <v>Normal</v>
          </cell>
          <cell r="M376" t="str">
            <v>Germany</v>
          </cell>
          <cell r="N376" t="str">
            <v>Pari Boy</v>
          </cell>
          <cell r="O376" t="str">
            <v>Pari Boy SX 085</v>
          </cell>
          <cell r="P376" t="str">
            <v>2W12J05972</v>
          </cell>
          <cell r="Q376" t="str">
            <v>Not Applicable</v>
          </cell>
          <cell r="R376" t="str">
            <v>Pari GmbH</v>
          </cell>
          <cell r="S376" t="str">
            <v>Welch Allyn Malaysia Sdn Bhd</v>
          </cell>
          <cell r="T376" t="str">
            <v>Not Functioning</v>
          </cell>
          <cell r="U376" t="str">
            <v>Asset</v>
          </cell>
          <cell r="V376">
            <v>1140</v>
          </cell>
          <cell r="W376" t="str">
            <v>KEW</v>
          </cell>
          <cell r="X376" t="str">
            <v>01/09/2010</v>
          </cell>
          <cell r="Y376" t="str">
            <v>KEW</v>
          </cell>
          <cell r="Z376" t="str">
            <v>16/08/2013</v>
          </cell>
          <cell r="AA376" t="str">
            <v>15/08/2015</v>
          </cell>
          <cell r="AB376" t="str">
            <v>No</v>
          </cell>
          <cell r="AC376" t="str">
            <v>31/08/2013</v>
          </cell>
          <cell r="AD376" t="str">
            <v>Good</v>
          </cell>
          <cell r="AE376" t="str">
            <v>V4 - Decommissioned Installed Facility</v>
          </cell>
          <cell r="AF376">
            <v>43434</v>
          </cell>
          <cell r="AG376">
            <v>9.17</v>
          </cell>
          <cell r="AH376" t="str">
            <v>PPM</v>
          </cell>
          <cell r="AI376" t="str">
            <v>Not in contract</v>
          </cell>
          <cell r="AJ376" t="str">
            <v>Not in contract</v>
          </cell>
          <cell r="AK376" t="e">
            <v>#N/A</v>
          </cell>
        </row>
        <row r="377">
          <cell r="A377" t="str">
            <v>IKN400507</v>
          </cell>
          <cell r="B377">
            <v>507</v>
          </cell>
          <cell r="C377" t="str">
            <v>Institut Kanser Negara</v>
          </cell>
          <cell r="D377" t="e">
            <v>#N/A</v>
          </cell>
          <cell r="E377" t="str">
            <v>15-045</v>
          </cell>
          <cell r="F377" t="str">
            <v>Nebulizers, Nonheated</v>
          </cell>
          <cell r="G377" t="str">
            <v>PC</v>
          </cell>
          <cell r="H377" t="str">
            <v>PALLIATIVE CARE UNIT</v>
          </cell>
          <cell r="I377" t="str">
            <v>04PC109</v>
          </cell>
          <cell r="J377" t="str">
            <v>GEN. STORE</v>
          </cell>
          <cell r="K377" t="str">
            <v>BMED</v>
          </cell>
          <cell r="L377" t="str">
            <v>Normal</v>
          </cell>
          <cell r="M377" t="str">
            <v>Germany</v>
          </cell>
          <cell r="N377" t="str">
            <v>Pari Boy</v>
          </cell>
          <cell r="O377" t="str">
            <v>Pari Boy SX 085</v>
          </cell>
          <cell r="P377" t="str">
            <v>2W12J05927</v>
          </cell>
          <cell r="Q377" t="str">
            <v>Not Applicable</v>
          </cell>
          <cell r="R377" t="str">
            <v>Pari GmbH</v>
          </cell>
          <cell r="S377" t="str">
            <v>Welch Allyn Malaysia Sdn Bhd</v>
          </cell>
          <cell r="T377" t="str">
            <v>Transferred</v>
          </cell>
          <cell r="U377" t="str">
            <v>Asset</v>
          </cell>
          <cell r="V377">
            <v>1140</v>
          </cell>
          <cell r="W377" t="str">
            <v>KEW</v>
          </cell>
          <cell r="X377" t="str">
            <v>01/09/2010</v>
          </cell>
          <cell r="Y377" t="str">
            <v>KEW</v>
          </cell>
          <cell r="Z377" t="str">
            <v>16/08/2013</v>
          </cell>
          <cell r="AA377" t="str">
            <v>15/08/2015</v>
          </cell>
          <cell r="AB377" t="str">
            <v>No</v>
          </cell>
          <cell r="AC377" t="str">
            <v>31/08/2013</v>
          </cell>
          <cell r="AD377" t="str">
            <v>Good</v>
          </cell>
          <cell r="AE377" t="str">
            <v>V4 - Decommissioned Installed Facility</v>
          </cell>
          <cell r="AF377">
            <v>43367</v>
          </cell>
          <cell r="AG377">
            <v>9.17</v>
          </cell>
          <cell r="AH377" t="str">
            <v>PPM</v>
          </cell>
          <cell r="AI377" t="str">
            <v>Not in contract</v>
          </cell>
          <cell r="AJ377" t="str">
            <v>Not in contract</v>
          </cell>
          <cell r="AK377" t="str">
            <v>Transfer to Alor Setar.</v>
          </cell>
        </row>
        <row r="378">
          <cell r="A378" t="str">
            <v>IKN400508</v>
          </cell>
          <cell r="B378">
            <v>508</v>
          </cell>
          <cell r="C378" t="str">
            <v>Institut Kanser Negara</v>
          </cell>
          <cell r="D378" t="e">
            <v>#N/A</v>
          </cell>
          <cell r="E378" t="str">
            <v>15-045</v>
          </cell>
          <cell r="F378" t="str">
            <v>Nebulizers, Nonheated</v>
          </cell>
          <cell r="G378" t="str">
            <v>PC</v>
          </cell>
          <cell r="H378" t="str">
            <v>PALLIATIVE CARE UNIT</v>
          </cell>
          <cell r="I378" t="str">
            <v>04PC109</v>
          </cell>
          <cell r="J378" t="str">
            <v>GEN. STORE</v>
          </cell>
          <cell r="K378" t="str">
            <v>BMED</v>
          </cell>
          <cell r="L378" t="str">
            <v>Normal</v>
          </cell>
          <cell r="M378" t="str">
            <v>Germany</v>
          </cell>
          <cell r="N378" t="str">
            <v>Pari Boy</v>
          </cell>
          <cell r="O378" t="str">
            <v>Pari Boy SX 085</v>
          </cell>
          <cell r="P378" t="str">
            <v>2W12J05951</v>
          </cell>
          <cell r="Q378" t="str">
            <v>Not Applicable</v>
          </cell>
          <cell r="R378" t="str">
            <v>Pari GmbH</v>
          </cell>
          <cell r="S378" t="str">
            <v>Welch Allyn Malaysia Sdn Bhd</v>
          </cell>
          <cell r="T378" t="str">
            <v>Transferred</v>
          </cell>
          <cell r="U378" t="str">
            <v>Asset</v>
          </cell>
          <cell r="V378">
            <v>1140</v>
          </cell>
          <cell r="W378" t="str">
            <v>KEW</v>
          </cell>
          <cell r="X378" t="str">
            <v>01/09/2010</v>
          </cell>
          <cell r="Y378" t="str">
            <v>KEW</v>
          </cell>
          <cell r="Z378" t="str">
            <v>16/08/2013</v>
          </cell>
          <cell r="AA378" t="str">
            <v>15/08/2015</v>
          </cell>
          <cell r="AB378" t="str">
            <v>No</v>
          </cell>
          <cell r="AC378" t="str">
            <v>31/08/2013</v>
          </cell>
          <cell r="AD378" t="str">
            <v>Good</v>
          </cell>
          <cell r="AE378" t="str">
            <v>V4 - Decommissioned Installed Facility</v>
          </cell>
          <cell r="AF378">
            <v>43367</v>
          </cell>
          <cell r="AG378">
            <v>9.17</v>
          </cell>
          <cell r="AH378" t="str">
            <v>PPM</v>
          </cell>
          <cell r="AI378" t="str">
            <v>Not in contract</v>
          </cell>
          <cell r="AJ378" t="str">
            <v>Not in contract</v>
          </cell>
          <cell r="AK378" t="str">
            <v>Transfer to Alor Setar.</v>
          </cell>
        </row>
        <row r="379">
          <cell r="A379" t="str">
            <v>IKN400510</v>
          </cell>
          <cell r="B379">
            <v>510</v>
          </cell>
          <cell r="C379" t="str">
            <v>Institut Kanser Negara</v>
          </cell>
          <cell r="D379" t="e">
            <v>#N/A</v>
          </cell>
          <cell r="E379" t="str">
            <v>18-092</v>
          </cell>
          <cell r="F379" t="str">
            <v>Drivers, syringe</v>
          </cell>
          <cell r="G379" t="str">
            <v>PC</v>
          </cell>
          <cell r="H379" t="str">
            <v>PALLIATIVE CARE UNIT</v>
          </cell>
          <cell r="I379" t="str">
            <v>04PC109</v>
          </cell>
          <cell r="J379" t="str">
            <v>GEN. STORE</v>
          </cell>
          <cell r="K379" t="str">
            <v>BMED</v>
          </cell>
          <cell r="L379" t="str">
            <v>Normal</v>
          </cell>
          <cell r="M379" t="str">
            <v>UK</v>
          </cell>
          <cell r="N379" t="str">
            <v>Graseby</v>
          </cell>
          <cell r="O379" t="str">
            <v>Graseby MS-26</v>
          </cell>
          <cell r="P379" t="str">
            <v>14014769</v>
          </cell>
          <cell r="Q379" t="str">
            <v>Not Applicable</v>
          </cell>
          <cell r="R379" t="str">
            <v>Graseby Medical Ltd</v>
          </cell>
          <cell r="S379" t="str">
            <v>Primed Medical Services Sdn Bhd</v>
          </cell>
          <cell r="T379" t="str">
            <v>Disposed</v>
          </cell>
          <cell r="U379" t="str">
            <v>Asset</v>
          </cell>
          <cell r="V379">
            <v>3848</v>
          </cell>
          <cell r="W379" t="str">
            <v>KEW</v>
          </cell>
          <cell r="X379" t="str">
            <v>01/09/2010</v>
          </cell>
          <cell r="Y379" t="str">
            <v>KEW</v>
          </cell>
          <cell r="Z379" t="str">
            <v>16/08/2013</v>
          </cell>
          <cell r="AA379" t="str">
            <v>15/08/2015</v>
          </cell>
          <cell r="AB379" t="str">
            <v>No</v>
          </cell>
          <cell r="AC379" t="str">
            <v>31/08/2013</v>
          </cell>
          <cell r="AD379" t="str">
            <v>Good</v>
          </cell>
          <cell r="AE379" t="str">
            <v>V4 - Decommissioned Installed Facility</v>
          </cell>
          <cell r="AF379">
            <v>43243</v>
          </cell>
          <cell r="AG379">
            <v>9.17</v>
          </cell>
          <cell r="AH379" t="str">
            <v>PPM</v>
          </cell>
          <cell r="AI379" t="str">
            <v>Not in contract</v>
          </cell>
          <cell r="AJ379" t="str">
            <v>Not in contract</v>
          </cell>
        </row>
        <row r="380">
          <cell r="A380" t="str">
            <v>IKN400511</v>
          </cell>
          <cell r="B380">
            <v>511</v>
          </cell>
          <cell r="C380" t="str">
            <v>Institut Kanser Negara</v>
          </cell>
          <cell r="D380" t="e">
            <v>#N/A</v>
          </cell>
          <cell r="E380" t="str">
            <v>18-092</v>
          </cell>
          <cell r="F380" t="str">
            <v>Drivers, syringe</v>
          </cell>
          <cell r="G380" t="str">
            <v>PC</v>
          </cell>
          <cell r="H380" t="str">
            <v>PALLIATIVE CARE UNIT</v>
          </cell>
          <cell r="I380" t="str">
            <v>04PC109</v>
          </cell>
          <cell r="J380" t="str">
            <v>GEN. STORE</v>
          </cell>
          <cell r="K380" t="str">
            <v>BMED</v>
          </cell>
          <cell r="L380" t="str">
            <v>Normal</v>
          </cell>
          <cell r="M380" t="str">
            <v>UK</v>
          </cell>
          <cell r="N380" t="str">
            <v>Graseby</v>
          </cell>
          <cell r="O380" t="str">
            <v>Graseby MS-26</v>
          </cell>
          <cell r="P380" t="str">
            <v>14014766</v>
          </cell>
          <cell r="Q380" t="str">
            <v>Not Applicable</v>
          </cell>
          <cell r="R380" t="str">
            <v>Graseby Medical Ltd</v>
          </cell>
          <cell r="S380" t="str">
            <v>Primed Medical Services Sdn Bhd</v>
          </cell>
          <cell r="T380" t="str">
            <v>Disposed</v>
          </cell>
          <cell r="U380" t="str">
            <v>Asset</v>
          </cell>
          <cell r="V380">
            <v>3848</v>
          </cell>
          <cell r="W380" t="str">
            <v>KEW</v>
          </cell>
          <cell r="X380" t="str">
            <v>01/09/2010</v>
          </cell>
          <cell r="Y380" t="str">
            <v>KEW</v>
          </cell>
          <cell r="Z380" t="str">
            <v>16/08/2013</v>
          </cell>
          <cell r="AA380" t="str">
            <v>15/08/2015</v>
          </cell>
          <cell r="AB380" t="str">
            <v>No</v>
          </cell>
          <cell r="AC380" t="str">
            <v>31/08/2013</v>
          </cell>
          <cell r="AD380" t="str">
            <v>Good</v>
          </cell>
          <cell r="AE380" t="str">
            <v>V4 - Decommissioned Installed Facility</v>
          </cell>
          <cell r="AF380">
            <v>43243</v>
          </cell>
          <cell r="AG380">
            <v>9.17</v>
          </cell>
          <cell r="AH380" t="str">
            <v>PPM</v>
          </cell>
          <cell r="AI380" t="str">
            <v>Not in contract</v>
          </cell>
          <cell r="AJ380" t="str">
            <v>Not in contract</v>
          </cell>
        </row>
        <row r="381">
          <cell r="A381" t="str">
            <v>IKN400512</v>
          </cell>
          <cell r="B381">
            <v>512</v>
          </cell>
          <cell r="C381" t="str">
            <v>Institut Kanser Negara</v>
          </cell>
          <cell r="D381" t="e">
            <v>#N/A</v>
          </cell>
          <cell r="E381" t="str">
            <v>18-092</v>
          </cell>
          <cell r="F381" t="str">
            <v>Drivers, syringe</v>
          </cell>
          <cell r="G381" t="str">
            <v>PC</v>
          </cell>
          <cell r="H381" t="str">
            <v>PALLIATIVE CARE UNIT</v>
          </cell>
          <cell r="I381" t="str">
            <v>04PC109</v>
          </cell>
          <cell r="J381" t="str">
            <v>GEN. STORE</v>
          </cell>
          <cell r="K381" t="str">
            <v>BMED</v>
          </cell>
          <cell r="L381" t="str">
            <v>Normal</v>
          </cell>
          <cell r="M381" t="str">
            <v>UK</v>
          </cell>
          <cell r="N381" t="str">
            <v>Graseby</v>
          </cell>
          <cell r="O381" t="str">
            <v>Graseby MS-26</v>
          </cell>
          <cell r="P381" t="str">
            <v>14014785</v>
          </cell>
          <cell r="Q381" t="str">
            <v>Not Applicable</v>
          </cell>
          <cell r="R381" t="str">
            <v>Graseby Medical Ltd</v>
          </cell>
          <cell r="S381" t="str">
            <v>Primed Medical Services Sdn Bhd</v>
          </cell>
          <cell r="T381" t="str">
            <v>Disposed</v>
          </cell>
          <cell r="U381" t="str">
            <v>Asset</v>
          </cell>
          <cell r="V381">
            <v>3848</v>
          </cell>
          <cell r="W381" t="str">
            <v>KEW</v>
          </cell>
          <cell r="X381" t="str">
            <v>01/09/2010</v>
          </cell>
          <cell r="Y381" t="str">
            <v>KEW</v>
          </cell>
          <cell r="Z381" t="str">
            <v>16/08/2013</v>
          </cell>
          <cell r="AA381" t="str">
            <v>15/08/2015</v>
          </cell>
          <cell r="AB381" t="str">
            <v>No</v>
          </cell>
          <cell r="AC381" t="str">
            <v>31/08/2013</v>
          </cell>
          <cell r="AD381" t="str">
            <v>Good</v>
          </cell>
          <cell r="AE381" t="str">
            <v>V4 - Decommissioned Installed Facility</v>
          </cell>
          <cell r="AF381">
            <v>43430</v>
          </cell>
          <cell r="AG381">
            <v>9.17</v>
          </cell>
          <cell r="AH381" t="str">
            <v>PPM</v>
          </cell>
          <cell r="AI381" t="str">
            <v>Not in contract</v>
          </cell>
          <cell r="AJ381" t="str">
            <v>Not in contract</v>
          </cell>
        </row>
        <row r="382">
          <cell r="A382" t="str">
            <v>IKN400513</v>
          </cell>
          <cell r="B382">
            <v>513</v>
          </cell>
          <cell r="C382" t="str">
            <v>Institut Kanser Negara</v>
          </cell>
          <cell r="D382" t="e">
            <v>#N/A</v>
          </cell>
          <cell r="E382" t="str">
            <v>18-092</v>
          </cell>
          <cell r="F382" t="str">
            <v>Drivers, syringe</v>
          </cell>
          <cell r="G382" t="str">
            <v>PC</v>
          </cell>
          <cell r="H382" t="str">
            <v>PALLIATIVE CARE UNIT</v>
          </cell>
          <cell r="I382" t="str">
            <v>04PC109</v>
          </cell>
          <cell r="J382" t="str">
            <v>GEN. STORE</v>
          </cell>
          <cell r="K382" t="str">
            <v>BMED</v>
          </cell>
          <cell r="L382" t="str">
            <v>Normal</v>
          </cell>
          <cell r="M382" t="str">
            <v>UK</v>
          </cell>
          <cell r="N382" t="str">
            <v>Graseby</v>
          </cell>
          <cell r="O382" t="str">
            <v>Graseby MS-26</v>
          </cell>
          <cell r="P382" t="str">
            <v>14014768</v>
          </cell>
          <cell r="Q382" t="str">
            <v>Not Applicable</v>
          </cell>
          <cell r="R382" t="str">
            <v>Graseby Medical Ltd</v>
          </cell>
          <cell r="S382" t="str">
            <v>Primed Medical Services Sdn Bhd</v>
          </cell>
          <cell r="T382" t="str">
            <v>Disposed</v>
          </cell>
          <cell r="U382" t="str">
            <v>Asset</v>
          </cell>
          <cell r="V382">
            <v>3848</v>
          </cell>
          <cell r="W382" t="str">
            <v>KEW</v>
          </cell>
          <cell r="X382" t="str">
            <v>01/09/2010</v>
          </cell>
          <cell r="Y382" t="str">
            <v>KEW</v>
          </cell>
          <cell r="Z382" t="str">
            <v>16/08/2013</v>
          </cell>
          <cell r="AA382" t="str">
            <v>15/08/2015</v>
          </cell>
          <cell r="AB382" t="str">
            <v>No</v>
          </cell>
          <cell r="AC382" t="str">
            <v>31/08/2013</v>
          </cell>
          <cell r="AD382" t="str">
            <v>Good</v>
          </cell>
          <cell r="AE382" t="str">
            <v>V4 - Decommissioned Installed Facility</v>
          </cell>
          <cell r="AF382">
            <v>43243</v>
          </cell>
          <cell r="AG382">
            <v>9.17</v>
          </cell>
          <cell r="AH382" t="str">
            <v>PPM</v>
          </cell>
          <cell r="AI382" t="str">
            <v>Not in contract</v>
          </cell>
          <cell r="AJ382" t="str">
            <v>Not in contract</v>
          </cell>
        </row>
        <row r="383">
          <cell r="A383" t="str">
            <v>IKN400515</v>
          </cell>
          <cell r="B383">
            <v>515</v>
          </cell>
          <cell r="C383" t="str">
            <v>Institut Kanser Negara</v>
          </cell>
          <cell r="D383" t="e">
            <v>#N/A</v>
          </cell>
          <cell r="E383" t="str">
            <v>18-092</v>
          </cell>
          <cell r="F383" t="str">
            <v>Drivers, syringe</v>
          </cell>
          <cell r="G383" t="str">
            <v>PC</v>
          </cell>
          <cell r="H383" t="str">
            <v>PALLIATIVE CARE UNIT</v>
          </cell>
          <cell r="I383" t="str">
            <v>04PC109</v>
          </cell>
          <cell r="J383" t="str">
            <v>GEN. STORE</v>
          </cell>
          <cell r="K383" t="str">
            <v>BMED</v>
          </cell>
          <cell r="L383" t="str">
            <v>Normal</v>
          </cell>
          <cell r="M383" t="str">
            <v>UK</v>
          </cell>
          <cell r="N383" t="str">
            <v>Graseby</v>
          </cell>
          <cell r="O383" t="str">
            <v>Graseby MS-26</v>
          </cell>
          <cell r="P383" t="str">
            <v>14014770</v>
          </cell>
          <cell r="Q383" t="str">
            <v>Not Applicable</v>
          </cell>
          <cell r="R383" t="str">
            <v>Graseby Medical Ltd</v>
          </cell>
          <cell r="S383" t="str">
            <v>Primed Medical Services Sdn Bhd</v>
          </cell>
          <cell r="T383" t="str">
            <v>Disposed</v>
          </cell>
          <cell r="U383" t="str">
            <v>Asset</v>
          </cell>
          <cell r="V383">
            <v>3848</v>
          </cell>
          <cell r="W383" t="str">
            <v>KEW</v>
          </cell>
          <cell r="X383" t="str">
            <v>01/09/2010</v>
          </cell>
          <cell r="Y383" t="str">
            <v>KEW</v>
          </cell>
          <cell r="Z383" t="str">
            <v>16/08/2013</v>
          </cell>
          <cell r="AA383" t="str">
            <v>15/08/2015</v>
          </cell>
          <cell r="AB383" t="str">
            <v>No</v>
          </cell>
          <cell r="AC383" t="str">
            <v>31/08/2013</v>
          </cell>
          <cell r="AD383" t="str">
            <v>Good</v>
          </cell>
          <cell r="AE383" t="str">
            <v>V4 - Decommissioned Installed Facility</v>
          </cell>
          <cell r="AF383">
            <v>43243</v>
          </cell>
          <cell r="AG383">
            <v>9.17</v>
          </cell>
          <cell r="AH383" t="str">
            <v>PPM</v>
          </cell>
          <cell r="AI383" t="str">
            <v>Not in contract</v>
          </cell>
          <cell r="AJ383" t="str">
            <v>Not in contract</v>
          </cell>
        </row>
        <row r="384">
          <cell r="A384" t="str">
            <v>IKN400524</v>
          </cell>
          <cell r="B384">
            <v>524</v>
          </cell>
          <cell r="C384" t="str">
            <v>Institut Kanser Negara</v>
          </cell>
          <cell r="D384" t="e">
            <v>#N/A</v>
          </cell>
          <cell r="E384" t="str">
            <v>16-924</v>
          </cell>
          <cell r="F384" t="str">
            <v>Infusion Pumps, Patient-Controlled Analgesic</v>
          </cell>
          <cell r="G384" t="str">
            <v>PC</v>
          </cell>
          <cell r="H384" t="str">
            <v>PALLIATIVE CARE UNIT</v>
          </cell>
          <cell r="I384" t="str">
            <v>04PC109</v>
          </cell>
          <cell r="J384" t="str">
            <v>GEN. STORE</v>
          </cell>
          <cell r="K384" t="str">
            <v>BMED</v>
          </cell>
          <cell r="L384" t="str">
            <v>Critical</v>
          </cell>
          <cell r="M384" t="str">
            <v>Germany</v>
          </cell>
          <cell r="N384" t="str">
            <v>Perfusor</v>
          </cell>
          <cell r="O384" t="str">
            <v>Perfusor Space PCA</v>
          </cell>
          <cell r="P384" t="str">
            <v>186597</v>
          </cell>
          <cell r="Q384" t="str">
            <v>Not Applicable</v>
          </cell>
          <cell r="R384" t="str">
            <v>B Braun Melsungen AG</v>
          </cell>
          <cell r="S384" t="str">
            <v>B Braun Medical Supplies Sdn. Bhd.</v>
          </cell>
          <cell r="T384" t="str">
            <v>Transferred</v>
          </cell>
          <cell r="U384" t="str">
            <v>Asset</v>
          </cell>
          <cell r="V384">
            <v>16840</v>
          </cell>
          <cell r="W384" t="str">
            <v>KEW</v>
          </cell>
          <cell r="X384" t="str">
            <v>01/09/2010</v>
          </cell>
          <cell r="Y384" t="str">
            <v>KEW</v>
          </cell>
          <cell r="Z384" t="str">
            <v>16/08/2013</v>
          </cell>
          <cell r="AA384" t="str">
            <v>15/08/2015</v>
          </cell>
          <cell r="AB384" t="str">
            <v>No</v>
          </cell>
          <cell r="AC384" t="str">
            <v>31/08/2013</v>
          </cell>
          <cell r="AD384" t="str">
            <v>Good</v>
          </cell>
          <cell r="AE384" t="str">
            <v>V4 - Decommissioned Installed Facility</v>
          </cell>
          <cell r="AF384">
            <v>43367</v>
          </cell>
          <cell r="AG384">
            <v>9.17</v>
          </cell>
          <cell r="AH384" t="str">
            <v>PPM</v>
          </cell>
          <cell r="AI384" t="str">
            <v>Not in contract</v>
          </cell>
          <cell r="AJ384" t="str">
            <v>Not in contract</v>
          </cell>
          <cell r="AK384" t="str">
            <v>Transfer to Alor Setar.</v>
          </cell>
        </row>
        <row r="385">
          <cell r="A385" t="str">
            <v>IKN400526</v>
          </cell>
          <cell r="B385">
            <v>526</v>
          </cell>
          <cell r="C385" t="str">
            <v>Institut Kanser Negara</v>
          </cell>
          <cell r="D385" t="e">
            <v>#N/A</v>
          </cell>
          <cell r="E385" t="str">
            <v>16-924</v>
          </cell>
          <cell r="F385" t="str">
            <v>Infusion Pumps, Patient-Controlled Analgesic</v>
          </cell>
          <cell r="G385" t="str">
            <v>PC</v>
          </cell>
          <cell r="H385" t="str">
            <v>PALLIATIVE CARE UNIT</v>
          </cell>
          <cell r="I385" t="str">
            <v>04PC109</v>
          </cell>
          <cell r="J385" t="str">
            <v>GEN. STORE</v>
          </cell>
          <cell r="K385" t="str">
            <v>BMED</v>
          </cell>
          <cell r="L385" t="str">
            <v>Critical</v>
          </cell>
          <cell r="M385" t="str">
            <v>Germany</v>
          </cell>
          <cell r="N385" t="str">
            <v>Perfusor</v>
          </cell>
          <cell r="O385" t="str">
            <v>Perfusor Space PCA</v>
          </cell>
          <cell r="P385" t="str">
            <v>187812</v>
          </cell>
          <cell r="Q385" t="str">
            <v>Not Applicable</v>
          </cell>
          <cell r="R385" t="str">
            <v>B Braun Melsungen AG</v>
          </cell>
          <cell r="S385" t="str">
            <v>B Braun Medical Supplies Sdn. Bhd.</v>
          </cell>
          <cell r="T385" t="str">
            <v>Transferred</v>
          </cell>
          <cell r="U385" t="str">
            <v>Asset</v>
          </cell>
          <cell r="V385">
            <v>16840</v>
          </cell>
          <cell r="W385" t="str">
            <v>KEW</v>
          </cell>
          <cell r="X385" t="str">
            <v>01/09/2010</v>
          </cell>
          <cell r="Y385" t="str">
            <v>KEW</v>
          </cell>
          <cell r="Z385" t="str">
            <v>16/08/2013</v>
          </cell>
          <cell r="AA385" t="str">
            <v>15/08/2015</v>
          </cell>
          <cell r="AB385" t="str">
            <v>No</v>
          </cell>
          <cell r="AC385" t="str">
            <v>31/08/2013</v>
          </cell>
          <cell r="AD385" t="str">
            <v>Good</v>
          </cell>
          <cell r="AE385" t="str">
            <v>V4 - Decommissioned Installed Facility</v>
          </cell>
          <cell r="AF385">
            <v>43367</v>
          </cell>
          <cell r="AG385">
            <v>9.17</v>
          </cell>
          <cell r="AH385" t="str">
            <v>PPM</v>
          </cell>
          <cell r="AI385" t="str">
            <v>Not in contract</v>
          </cell>
          <cell r="AJ385" t="str">
            <v>Not in contract</v>
          </cell>
          <cell r="AK385" t="str">
            <v>Transfer to Alor Setar.</v>
          </cell>
        </row>
        <row r="386">
          <cell r="A386" t="str">
            <v>IKN400531</v>
          </cell>
          <cell r="B386">
            <v>531</v>
          </cell>
          <cell r="C386" t="str">
            <v>Institut Kanser Negara</v>
          </cell>
          <cell r="D386" t="e">
            <v>#N/A</v>
          </cell>
          <cell r="E386" t="str">
            <v>13-775</v>
          </cell>
          <cell r="F386" t="str">
            <v>Stimulators, Electrical, Neuromuscular</v>
          </cell>
          <cell r="G386" t="str">
            <v>PC</v>
          </cell>
          <cell r="H386" t="str">
            <v>PALLIATIVE CARE UNIT</v>
          </cell>
          <cell r="I386" t="str">
            <v>04PC109</v>
          </cell>
          <cell r="J386" t="str">
            <v>GEN. STORE</v>
          </cell>
          <cell r="K386" t="str">
            <v>BMED</v>
          </cell>
          <cell r="L386" t="str">
            <v>Normal</v>
          </cell>
          <cell r="M386" t="str">
            <v>Denmark</v>
          </cell>
          <cell r="N386" t="str">
            <v>Danmeter</v>
          </cell>
          <cell r="O386" t="str">
            <v>Elpha II 3000</v>
          </cell>
          <cell r="P386" t="str">
            <v>2013080056</v>
          </cell>
          <cell r="Q386" t="str">
            <v>Not Applicable</v>
          </cell>
          <cell r="R386" t="str">
            <v>Danmeter AS</v>
          </cell>
          <cell r="S386" t="str">
            <v>Maycare (M) Sdn. Bhd.</v>
          </cell>
          <cell r="T386" t="str">
            <v>Transferred</v>
          </cell>
          <cell r="U386" t="str">
            <v>Asset</v>
          </cell>
          <cell r="V386">
            <v>420</v>
          </cell>
          <cell r="W386" t="str">
            <v>KEW</v>
          </cell>
          <cell r="X386" t="str">
            <v>01/09/2010</v>
          </cell>
          <cell r="Y386" t="str">
            <v>KEW</v>
          </cell>
          <cell r="Z386" t="str">
            <v>16/08/2013</v>
          </cell>
          <cell r="AA386" t="str">
            <v>15/08/2015</v>
          </cell>
          <cell r="AB386" t="str">
            <v>No</v>
          </cell>
          <cell r="AC386" t="str">
            <v>31/08/2013</v>
          </cell>
          <cell r="AD386" t="str">
            <v>Good</v>
          </cell>
          <cell r="AE386" t="str">
            <v>V1 - Existing / No Claim</v>
          </cell>
          <cell r="AF386">
            <v>42235</v>
          </cell>
          <cell r="AG386">
            <v>9.17</v>
          </cell>
          <cell r="AH386" t="str">
            <v>PPM</v>
          </cell>
          <cell r="AI386" t="str">
            <v>Not in contract</v>
          </cell>
          <cell r="AJ386" t="str">
            <v>Not in contract</v>
          </cell>
          <cell r="AK386" t="str">
            <v>ASSET TRANSFER TO HOSP. SULTANAH BAHIYAH, KEDAH.</v>
          </cell>
        </row>
        <row r="387">
          <cell r="A387" t="str">
            <v>IKN400532</v>
          </cell>
          <cell r="B387">
            <v>532</v>
          </cell>
          <cell r="C387" t="str">
            <v>Institut Kanser Negara</v>
          </cell>
          <cell r="D387" t="e">
            <v>#N/A</v>
          </cell>
          <cell r="E387" t="str">
            <v>13-775</v>
          </cell>
          <cell r="F387" t="str">
            <v>Stimulators, Electrical, Neuromuscular</v>
          </cell>
          <cell r="G387" t="str">
            <v>PC</v>
          </cell>
          <cell r="H387" t="str">
            <v>PALLIATIVE CARE UNIT</v>
          </cell>
          <cell r="I387" t="str">
            <v>04PC109</v>
          </cell>
          <cell r="J387" t="str">
            <v>GEN. STORE</v>
          </cell>
          <cell r="K387" t="str">
            <v>BMED</v>
          </cell>
          <cell r="L387" t="str">
            <v>Normal</v>
          </cell>
          <cell r="M387" t="str">
            <v>Denmark</v>
          </cell>
          <cell r="N387" t="str">
            <v>Danmeter</v>
          </cell>
          <cell r="O387" t="str">
            <v>Elpha II 3000</v>
          </cell>
          <cell r="P387" t="str">
            <v>2013080057</v>
          </cell>
          <cell r="Q387" t="str">
            <v>Not Applicable</v>
          </cell>
          <cell r="R387" t="str">
            <v>Danmeter AS</v>
          </cell>
          <cell r="S387" t="str">
            <v>Maycare (M) Sdn. Bhd.</v>
          </cell>
          <cell r="T387" t="str">
            <v>Transferred</v>
          </cell>
          <cell r="U387" t="str">
            <v>Asset</v>
          </cell>
          <cell r="V387">
            <v>420</v>
          </cell>
          <cell r="W387" t="str">
            <v>KEW</v>
          </cell>
          <cell r="X387" t="str">
            <v>01/09/2010</v>
          </cell>
          <cell r="Y387" t="str">
            <v>KEW</v>
          </cell>
          <cell r="Z387" t="str">
            <v>16/08/2013</v>
          </cell>
          <cell r="AA387" t="str">
            <v>15/08/2015</v>
          </cell>
          <cell r="AB387" t="str">
            <v>No</v>
          </cell>
          <cell r="AC387" t="str">
            <v>31/08/2013</v>
          </cell>
          <cell r="AD387" t="str">
            <v>Good</v>
          </cell>
          <cell r="AE387" t="str">
            <v>V4 - Decommissioned Installed Facility</v>
          </cell>
          <cell r="AF387">
            <v>43367</v>
          </cell>
          <cell r="AG387">
            <v>9.17</v>
          </cell>
          <cell r="AH387" t="str">
            <v>PPM</v>
          </cell>
          <cell r="AI387" t="str">
            <v>Not in contract</v>
          </cell>
          <cell r="AJ387" t="str">
            <v>Not in contract</v>
          </cell>
          <cell r="AK387" t="str">
            <v>Transfer to Alor Setar.</v>
          </cell>
        </row>
        <row r="388">
          <cell r="A388" t="str">
            <v>IKN400540</v>
          </cell>
          <cell r="B388">
            <v>540</v>
          </cell>
          <cell r="C388" t="str">
            <v>Institut Kanser Negara</v>
          </cell>
          <cell r="D388" t="str">
            <v>KKM/IKN/H/13/2476</v>
          </cell>
          <cell r="E388" t="str">
            <v>12-660</v>
          </cell>
          <cell r="F388" t="str">
            <v>Radiation Monitors</v>
          </cell>
          <cell r="G388" t="str">
            <v>WA</v>
          </cell>
          <cell r="H388" t="str">
            <v>NUCLEAR MED WARD (THERAPY)</v>
          </cell>
          <cell r="I388" t="str">
            <v>03WA117</v>
          </cell>
          <cell r="J388" t="str">
            <v>N/S 1</v>
          </cell>
          <cell r="K388" t="str">
            <v>BMED</v>
          </cell>
          <cell r="L388" t="str">
            <v>Normal</v>
          </cell>
          <cell r="M388" t="str">
            <v>Germany</v>
          </cell>
          <cell r="N388" t="str">
            <v>CoMo</v>
          </cell>
          <cell r="O388" t="str">
            <v>CoMo 170</v>
          </cell>
          <cell r="P388" t="str">
            <v>5068DL</v>
          </cell>
          <cell r="Q388" t="str">
            <v>Not Applicable</v>
          </cell>
          <cell r="R388" t="str">
            <v>MED Nuklear-Medizintechnik Dresden GmbH</v>
          </cell>
          <cell r="S388" t="str">
            <v/>
          </cell>
          <cell r="T388" t="str">
            <v>Functioning</v>
          </cell>
          <cell r="U388" t="str">
            <v>Asset</v>
          </cell>
          <cell r="V388">
            <v>23270</v>
          </cell>
          <cell r="W388" t="str">
            <v>KEW</v>
          </cell>
          <cell r="X388" t="str">
            <v>01/09/2010</v>
          </cell>
          <cell r="Y388" t="str">
            <v>KEW</v>
          </cell>
          <cell r="Z388" t="str">
            <v>16/08/2013</v>
          </cell>
          <cell r="AA388" t="str">
            <v>15/08/2015</v>
          </cell>
          <cell r="AB388" t="str">
            <v>No</v>
          </cell>
          <cell r="AC388" t="str">
            <v>31/08/2013</v>
          </cell>
          <cell r="AD388" t="str">
            <v>Good</v>
          </cell>
          <cell r="AE388" t="str">
            <v>V4 - Decommissioned Installed Facility</v>
          </cell>
          <cell r="AF388">
            <v>42235</v>
          </cell>
          <cell r="AG388">
            <v>9.17</v>
          </cell>
          <cell r="AH388" t="str">
            <v>PPM</v>
          </cell>
          <cell r="AI388" t="str">
            <v>Strands</v>
          </cell>
          <cell r="AJ388" t="str">
            <v>Strands PW. Proposed for V4 P2.23</v>
          </cell>
          <cell r="AK388" t="str">
            <v>[ZARINA]: PEP ON 1/3/2023, BER/BEMS/IKN/23/004 - Aset mengalami kerosakan pada litar utama dan kabel.</v>
          </cell>
        </row>
        <row r="389">
          <cell r="A389" t="str">
            <v>IKN400554</v>
          </cell>
          <cell r="B389">
            <v>554</v>
          </cell>
          <cell r="C389" t="str">
            <v>Institut Kanser Negara</v>
          </cell>
          <cell r="D389" t="str">
            <v>KKM/IKN/H/13/5430-01</v>
          </cell>
          <cell r="E389" t="str">
            <v>17-882</v>
          </cell>
          <cell r="F389" t="str">
            <v>Defibrillator/Pacemakers, External</v>
          </cell>
          <cell r="G389" t="str">
            <v>NM</v>
          </cell>
          <cell r="H389" t="str">
            <v>NUCLEAR MED (DIAGNOSTIC)</v>
          </cell>
          <cell r="I389" t="str">
            <v>03NM161</v>
          </cell>
          <cell r="J389" t="str">
            <v>GAMMA CAMERA 1 (-VE)</v>
          </cell>
          <cell r="K389" t="str">
            <v>BMED</v>
          </cell>
          <cell r="L389" t="str">
            <v>Critical</v>
          </cell>
          <cell r="M389" t="str">
            <v>Germany</v>
          </cell>
          <cell r="N389" t="str">
            <v>HeartStart</v>
          </cell>
          <cell r="O389" t="str">
            <v>HeartStart XL+</v>
          </cell>
          <cell r="P389" t="str">
            <v>US91202396</v>
          </cell>
          <cell r="Q389" t="str">
            <v>Not Applicable</v>
          </cell>
          <cell r="R389" t="str">
            <v>Philips Medical System</v>
          </cell>
          <cell r="S389" t="str">
            <v>Advance Altimas Sdn Bhd</v>
          </cell>
          <cell r="T389" t="str">
            <v>Functioning</v>
          </cell>
          <cell r="U389" t="str">
            <v>Asset</v>
          </cell>
          <cell r="V389">
            <v>37000</v>
          </cell>
          <cell r="W389" t="str">
            <v>Estimate</v>
          </cell>
          <cell r="X389" t="str">
            <v>01/09/2010</v>
          </cell>
          <cell r="Y389" t="str">
            <v>KEW</v>
          </cell>
          <cell r="Z389" t="str">
            <v>16/08/2013</v>
          </cell>
          <cell r="AA389" t="str">
            <v>15/08/2015</v>
          </cell>
          <cell r="AB389" t="str">
            <v>No</v>
          </cell>
          <cell r="AC389" t="str">
            <v>31/08/2013</v>
          </cell>
          <cell r="AD389" t="str">
            <v>Good</v>
          </cell>
          <cell r="AE389" t="str">
            <v>V1 - Existing / No Claim</v>
          </cell>
          <cell r="AF389">
            <v>42601</v>
          </cell>
          <cell r="AG389">
            <v>9.17</v>
          </cell>
          <cell r="AH389" t="str">
            <v>PPM</v>
          </cell>
          <cell r="AI389" t="str">
            <v>Strands</v>
          </cell>
          <cell r="AJ389" t="str">
            <v>Strands Package. Proposed for V4 P2.23</v>
          </cell>
          <cell r="AK389" t="str">
            <v>Package Code XK0001A. [7/11/2023]: KKM no lama: KKM/IKN/H/13/3106, Update cost ikut KEWPA</v>
          </cell>
        </row>
        <row r="390">
          <cell r="A390" t="str">
            <v>IKN400555</v>
          </cell>
          <cell r="B390">
            <v>555</v>
          </cell>
          <cell r="C390" t="str">
            <v>Institut Kanser Negara</v>
          </cell>
          <cell r="D390" t="str">
            <v>KKM/IKN/H/13/5435</v>
          </cell>
          <cell r="E390" t="str">
            <v>12-647</v>
          </cell>
          <cell r="F390" t="str">
            <v>Physiologic Monitoring Systems, Acute Care</v>
          </cell>
          <cell r="G390" t="str">
            <v>NM</v>
          </cell>
          <cell r="H390" t="str">
            <v>NUCLEAR MED (DIAGNOSTIC)</v>
          </cell>
          <cell r="I390" t="str">
            <v>03NM161</v>
          </cell>
          <cell r="J390" t="str">
            <v>GAMMA CAMERA 1 (-VE)</v>
          </cell>
          <cell r="K390" t="str">
            <v>BMED</v>
          </cell>
          <cell r="L390" t="str">
            <v>Critical</v>
          </cell>
          <cell r="M390" t="str">
            <v>USA</v>
          </cell>
          <cell r="N390" t="str">
            <v>Cardiac Trigger</v>
          </cell>
          <cell r="O390" t="str">
            <v>Cardiac Trigger Monitor 3000</v>
          </cell>
          <cell r="P390" t="str">
            <v>12060289</v>
          </cell>
          <cell r="Q390" t="str">
            <v>Not Applicable</v>
          </cell>
          <cell r="R390" t="str">
            <v>Ivy Biomedical Systems Inc</v>
          </cell>
          <cell r="S390" t="str">
            <v>Advance Altimas Sdn Bhd</v>
          </cell>
          <cell r="T390" t="str">
            <v>Functioning</v>
          </cell>
          <cell r="U390" t="str">
            <v>Asset</v>
          </cell>
          <cell r="V390">
            <v>20000</v>
          </cell>
          <cell r="W390" t="str">
            <v>Estimate</v>
          </cell>
          <cell r="X390" t="str">
            <v>01/09/2010</v>
          </cell>
          <cell r="Y390" t="str">
            <v>KEW</v>
          </cell>
          <cell r="Z390" t="str">
            <v>16/08/2013</v>
          </cell>
          <cell r="AA390" t="str">
            <v>15/08/2015</v>
          </cell>
          <cell r="AB390" t="str">
            <v>No</v>
          </cell>
          <cell r="AC390" t="str">
            <v>31/08/2013</v>
          </cell>
          <cell r="AD390" t="str">
            <v>Good</v>
          </cell>
          <cell r="AE390" t="str">
            <v>V4 - Decommissioned Installed Facility</v>
          </cell>
          <cell r="AF390">
            <v>42601</v>
          </cell>
          <cell r="AG390">
            <v>9.17</v>
          </cell>
          <cell r="AH390" t="str">
            <v>PPM</v>
          </cell>
          <cell r="AI390" t="str">
            <v>Strands</v>
          </cell>
          <cell r="AJ390" t="str">
            <v>Strands Package. Proposed for V4 P2.23</v>
          </cell>
          <cell r="AK390" t="str">
            <v>Package Code XK0001A [22/9/2023, SHARIFAH]: PEP ON NOV 2020, BER/BEMS/AWSB/20/006 - Asset masih boleh digunakan namun asset tidak ekonomik diperbaiki lagi sekiranya rosak. SNF V4 received on 8/11/2023. [26/1/2024]: PEP JAN 2024, BER/BEMS/AWSB/20/006 - Penggunaan hendaklah dihentikan.</v>
          </cell>
        </row>
        <row r="391">
          <cell r="A391" t="str">
            <v>IKN400566</v>
          </cell>
          <cell r="B391">
            <v>566</v>
          </cell>
          <cell r="C391" t="str">
            <v>Institut Kanser Negara</v>
          </cell>
          <cell r="D391" t="str">
            <v>KKM/IKN/H/13/5430</v>
          </cell>
          <cell r="E391" t="str">
            <v>15-944</v>
          </cell>
          <cell r="F391" t="str">
            <v>Cameras, Gamma</v>
          </cell>
          <cell r="G391" t="str">
            <v>NM</v>
          </cell>
          <cell r="H391" t="str">
            <v>NUCLEAR MED (DIAGNOSTIC)</v>
          </cell>
          <cell r="I391" t="str">
            <v>03NM161</v>
          </cell>
          <cell r="J391" t="str">
            <v>GAMMA CAMERA 1 (-VE)</v>
          </cell>
          <cell r="K391" t="str">
            <v>BMED</v>
          </cell>
          <cell r="L391" t="str">
            <v>Normal</v>
          </cell>
          <cell r="M391" t="str">
            <v>The Netherlands</v>
          </cell>
          <cell r="N391" t="str">
            <v>Brightview</v>
          </cell>
          <cell r="O391" t="str">
            <v>Brightview XCT</v>
          </cell>
          <cell r="P391" t="str">
            <v>60000315</v>
          </cell>
          <cell r="Q391" t="str">
            <v>Not Applicable</v>
          </cell>
          <cell r="R391" t="str">
            <v>Philips Medical Systems</v>
          </cell>
          <cell r="S391" t="str">
            <v>Advance Altimas Sdn Bhd</v>
          </cell>
          <cell r="T391" t="str">
            <v>Not Functioning</v>
          </cell>
          <cell r="U391" t="str">
            <v>Asset</v>
          </cell>
          <cell r="V391">
            <v>3071300</v>
          </cell>
          <cell r="W391" t="str">
            <v>KEW</v>
          </cell>
          <cell r="X391" t="str">
            <v>01/09/2010</v>
          </cell>
          <cell r="Y391" t="str">
            <v>KEW</v>
          </cell>
          <cell r="Z391" t="str">
            <v>16/08/2013</v>
          </cell>
          <cell r="AA391" t="str">
            <v>15/08/2015</v>
          </cell>
          <cell r="AB391" t="str">
            <v>No</v>
          </cell>
          <cell r="AC391" t="str">
            <v>31/08/2013</v>
          </cell>
          <cell r="AD391" t="str">
            <v>Good</v>
          </cell>
          <cell r="AE391" t="str">
            <v>V1 - Existing / No Claim</v>
          </cell>
          <cell r="AF391">
            <v>42235</v>
          </cell>
          <cell r="AG391">
            <v>9.17</v>
          </cell>
          <cell r="AH391" t="str">
            <v>PPM</v>
          </cell>
          <cell r="AI391" t="str">
            <v>Strands</v>
          </cell>
          <cell r="AJ391" t="str">
            <v>Strands Package. Proposed for V4 P2.23</v>
          </cell>
          <cell r="AK391" t="str">
            <v>Package Code XK0001A. [SHARIFAH, 16/10/2023]: PEP ON 21/7/2022. BER/BEMS/IKN/22/003 - Aset tidak ekonomik digunakan lagi. Penggunaannya mestilah dihentikan. KEWPA lama: KKM/IKN/H/13/3797. SNF V4 received on 8/11/2023.</v>
          </cell>
        </row>
        <row r="392">
          <cell r="A392" t="str">
            <v>IKN400597</v>
          </cell>
          <cell r="B392">
            <v>597</v>
          </cell>
          <cell r="C392" t="str">
            <v>Institut Kanser Negara</v>
          </cell>
          <cell r="D392" t="e">
            <v>#N/A</v>
          </cell>
          <cell r="E392" t="str">
            <v>10-447</v>
          </cell>
          <cell r="F392" t="str">
            <v>Warming Units, Blood/Solution</v>
          </cell>
          <cell r="G392" t="str">
            <v>DO</v>
          </cell>
          <cell r="H392" t="str">
            <v>DAY ONCOLOGY UNIT</v>
          </cell>
          <cell r="I392" t="str">
            <v>04DO111</v>
          </cell>
          <cell r="J392" t="str">
            <v>EQUIP. ROOM</v>
          </cell>
          <cell r="K392" t="str">
            <v>BMED</v>
          </cell>
          <cell r="L392" t="str">
            <v>Normal</v>
          </cell>
          <cell r="M392" t="str">
            <v>Japan</v>
          </cell>
          <cell r="N392" t="str">
            <v>Animec</v>
          </cell>
          <cell r="O392" t="str">
            <v>Animec AM-301</v>
          </cell>
          <cell r="P392" t="str">
            <v>2013D0244</v>
          </cell>
          <cell r="Q392" t="str">
            <v>Not Applicable</v>
          </cell>
          <cell r="R392" t="str">
            <v>Elltec Co Ltd</v>
          </cell>
          <cell r="S392" t="str">
            <v>IDS Services (Malaysia) Sdn Bhd</v>
          </cell>
          <cell r="T392" t="str">
            <v>Disposed</v>
          </cell>
          <cell r="U392" t="str">
            <v>Asset</v>
          </cell>
          <cell r="V392">
            <v>4990</v>
          </cell>
          <cell r="W392" t="str">
            <v>KEW</v>
          </cell>
          <cell r="X392" t="str">
            <v>01/09/2010</v>
          </cell>
          <cell r="Y392" t="str">
            <v>KEW</v>
          </cell>
          <cell r="Z392" t="str">
            <v>16/08/2013</v>
          </cell>
          <cell r="AA392" t="str">
            <v>15/08/2015</v>
          </cell>
          <cell r="AB392" t="str">
            <v>No</v>
          </cell>
          <cell r="AC392" t="str">
            <v>31/08/2013</v>
          </cell>
          <cell r="AD392" t="str">
            <v>Good</v>
          </cell>
          <cell r="AE392" t="str">
            <v>V4 - Decommissioned Installed Facility</v>
          </cell>
          <cell r="AF392">
            <v>42733</v>
          </cell>
          <cell r="AG392">
            <v>9.17</v>
          </cell>
          <cell r="AH392" t="str">
            <v>PPM</v>
          </cell>
          <cell r="AI392" t="str">
            <v>Not in contract</v>
          </cell>
          <cell r="AJ392" t="str">
            <v>Not in contract</v>
          </cell>
          <cell r="AK392" t="e">
            <v>#N/A</v>
          </cell>
        </row>
        <row r="393">
          <cell r="A393" t="str">
            <v>IKN400669</v>
          </cell>
          <cell r="B393">
            <v>669</v>
          </cell>
          <cell r="C393" t="str">
            <v>Institut Kanser Negara</v>
          </cell>
          <cell r="E393" t="str">
            <v>13-763</v>
          </cell>
          <cell r="F393" t="str">
            <v>Stimulators, Electrical, Peripheral Nerve, Acupuncture</v>
          </cell>
          <cell r="G393" t="str">
            <v>TC</v>
          </cell>
          <cell r="H393" t="str">
            <v>TRADITIONAL COMPLEMENTARY MEDICINE</v>
          </cell>
          <cell r="I393" t="str">
            <v>04TC127</v>
          </cell>
          <cell r="J393" t="str">
            <v>C/E</v>
          </cell>
          <cell r="K393" t="str">
            <v>BMED</v>
          </cell>
          <cell r="L393" t="str">
            <v>Normal</v>
          </cell>
          <cell r="M393" t="str">
            <v>China</v>
          </cell>
          <cell r="N393" t="str">
            <v>Shantou</v>
          </cell>
          <cell r="O393" t="str">
            <v>Shantou Itpg-6805-D</v>
          </cell>
          <cell r="P393" t="str">
            <v>AD1206104</v>
          </cell>
          <cell r="Q393" t="str">
            <v>Not Applicable</v>
          </cell>
          <cell r="R393" t="str">
            <v>Shantou Medical</v>
          </cell>
          <cell r="S393" t="str">
            <v>ITP Academy Malaysia</v>
          </cell>
          <cell r="T393" t="str">
            <v>Disposed</v>
          </cell>
          <cell r="U393" t="str">
            <v>Asset</v>
          </cell>
          <cell r="V393">
            <v>10725</v>
          </cell>
          <cell r="W393" t="str">
            <v>KEW</v>
          </cell>
          <cell r="X393" t="str">
            <v>01/09/2010</v>
          </cell>
          <cell r="Y393" t="str">
            <v>KEW</v>
          </cell>
          <cell r="Z393" t="str">
            <v>16/08/2013</v>
          </cell>
          <cell r="AA393" t="str">
            <v>15/08/2015</v>
          </cell>
          <cell r="AB393" t="str">
            <v>No</v>
          </cell>
          <cell r="AC393" t="str">
            <v>31/08/2013</v>
          </cell>
          <cell r="AD393" t="str">
            <v>Request for Exemption</v>
          </cell>
          <cell r="AE393" t="str">
            <v>V4 - Decommissioned Installed Facility</v>
          </cell>
          <cell r="AF393">
            <v>42857</v>
          </cell>
          <cell r="AG393">
            <v>9.17</v>
          </cell>
          <cell r="AH393" t="str">
            <v>PPM</v>
          </cell>
          <cell r="AI393" t="str">
            <v>Not in contract</v>
          </cell>
          <cell r="AJ393" t="str">
            <v>Not in contract</v>
          </cell>
          <cell r="AK393" t="e">
            <v>#N/A</v>
          </cell>
        </row>
        <row r="394">
          <cell r="A394" t="str">
            <v>IKN400672</v>
          </cell>
          <cell r="B394">
            <v>672</v>
          </cell>
          <cell r="C394" t="str">
            <v>Institut Kanser Negara</v>
          </cell>
          <cell r="E394" t="str">
            <v>13-763</v>
          </cell>
          <cell r="F394" t="str">
            <v>Stimulators, Electrical, Peripheral Nerve, Acupuncture</v>
          </cell>
          <cell r="G394" t="str">
            <v>TC</v>
          </cell>
          <cell r="H394" t="str">
            <v>TRADITIONAL COMPLEMENTARY MEDICINE</v>
          </cell>
          <cell r="I394" t="str">
            <v>04TC129</v>
          </cell>
          <cell r="J394" t="str">
            <v>TREATMENT 2 (ACCUPUNCTURE)</v>
          </cell>
          <cell r="K394" t="str">
            <v>BMED</v>
          </cell>
          <cell r="L394" t="str">
            <v>Normal</v>
          </cell>
          <cell r="M394" t="str">
            <v>China</v>
          </cell>
          <cell r="N394" t="str">
            <v>Shantou</v>
          </cell>
          <cell r="O394" t="str">
            <v>Shantou Itpg-6805-D</v>
          </cell>
          <cell r="P394" t="str">
            <v>AD1206109</v>
          </cell>
          <cell r="Q394" t="str">
            <v>Not Applicable</v>
          </cell>
          <cell r="R394" t="str">
            <v>Shantou Medical</v>
          </cell>
          <cell r="S394" t="str">
            <v>ITP Academy Malaysia</v>
          </cell>
          <cell r="T394" t="str">
            <v>Disposed</v>
          </cell>
          <cell r="U394" t="str">
            <v>Asset</v>
          </cell>
          <cell r="V394">
            <v>10725</v>
          </cell>
          <cell r="W394" t="str">
            <v>KEW</v>
          </cell>
          <cell r="X394" t="str">
            <v>01/09/2010</v>
          </cell>
          <cell r="Y394" t="str">
            <v>KEW</v>
          </cell>
          <cell r="Z394" t="str">
            <v>16/08/2013</v>
          </cell>
          <cell r="AA394" t="str">
            <v>15/08/2015</v>
          </cell>
          <cell r="AB394" t="str">
            <v>No</v>
          </cell>
          <cell r="AC394" t="str">
            <v>31/08/2013</v>
          </cell>
          <cell r="AD394" t="str">
            <v>Good</v>
          </cell>
          <cell r="AE394" t="str">
            <v>V4 - Decommissioned Installed Facility</v>
          </cell>
          <cell r="AF394">
            <v>42733</v>
          </cell>
          <cell r="AG394">
            <v>9.17</v>
          </cell>
          <cell r="AH394" t="str">
            <v>PPM</v>
          </cell>
          <cell r="AI394" t="str">
            <v>Not in contract</v>
          </cell>
          <cell r="AJ394" t="str">
            <v>Not in contract</v>
          </cell>
          <cell r="AK394" t="e">
            <v>#N/A</v>
          </cell>
        </row>
        <row r="395">
          <cell r="A395" t="str">
            <v>IKN400673</v>
          </cell>
          <cell r="B395">
            <v>673</v>
          </cell>
          <cell r="C395" t="str">
            <v>Institut Kanser Negara</v>
          </cell>
          <cell r="D395" t="str">
            <v>KKM/IKN/H/13/1202</v>
          </cell>
          <cell r="E395" t="str">
            <v>12-278</v>
          </cell>
          <cell r="F395" t="str">
            <v>Lights, Infrared</v>
          </cell>
          <cell r="G395" t="str">
            <v>TC</v>
          </cell>
          <cell r="H395" t="str">
            <v>TRADITIONAL COMPLEMENTARY MEDICINE</v>
          </cell>
          <cell r="I395" t="str">
            <v>04TC108</v>
          </cell>
          <cell r="J395" t="str">
            <v>TREATMENT 3 (MOXISBUSTION</v>
          </cell>
          <cell r="K395" t="str">
            <v>BMED</v>
          </cell>
          <cell r="L395" t="str">
            <v>Normal</v>
          </cell>
          <cell r="M395" t="str">
            <v>China</v>
          </cell>
          <cell r="N395" t="str">
            <v>Chongqing</v>
          </cell>
          <cell r="O395" t="str">
            <v>Chongqing Itp-Xf29-Tdp</v>
          </cell>
          <cell r="P395" t="str">
            <v>12110072</v>
          </cell>
          <cell r="Q395" t="str">
            <v>Not Applicable</v>
          </cell>
          <cell r="R395" t="str">
            <v>Chongqing Xinfeng Me</v>
          </cell>
          <cell r="S395" t="str">
            <v>ITP Academy Malaysia</v>
          </cell>
          <cell r="T395" t="str">
            <v>Functioning</v>
          </cell>
          <cell r="U395" t="str">
            <v>Asset</v>
          </cell>
          <cell r="V395">
            <v>1410</v>
          </cell>
          <cell r="W395" t="str">
            <v>KEW</v>
          </cell>
          <cell r="X395" t="str">
            <v>01/09/2010</v>
          </cell>
          <cell r="Y395" t="str">
            <v>KEW</v>
          </cell>
          <cell r="Z395" t="str">
            <v>16/08/2013</v>
          </cell>
          <cell r="AA395" t="str">
            <v>15/08/2015</v>
          </cell>
          <cell r="AB395" t="str">
            <v>No</v>
          </cell>
          <cell r="AC395" t="str">
            <v>31/08/2013</v>
          </cell>
          <cell r="AD395" t="str">
            <v>Good</v>
          </cell>
          <cell r="AE395" t="str">
            <v>V1 - Existing / No Claim</v>
          </cell>
          <cell r="AF395">
            <v>42794</v>
          </cell>
          <cell r="AG395">
            <v>9.17</v>
          </cell>
          <cell r="AH395" t="str">
            <v>PPM</v>
          </cell>
          <cell r="AI395" t="str">
            <v>Strands</v>
          </cell>
          <cell r="AJ395" t="str">
            <v>Strands PW</v>
          </cell>
          <cell r="AK395" t="str">
            <v>[INDIRA, 17/10/2023]: Update KKM No. [27/12/2023, SHARIFAH]: PEP ON 22/12/2023, BER/BEMS/IKN/23/024 - Aset mengalami kerosakan pada komponen heater, mineral plate telah berkarat dan penggunaanya hendaklah dihentikan.</v>
          </cell>
        </row>
        <row r="396">
          <cell r="A396" t="str">
            <v>IKN400675</v>
          </cell>
          <cell r="B396">
            <v>675</v>
          </cell>
          <cell r="C396" t="str">
            <v>Institut Kanser Negara</v>
          </cell>
          <cell r="D396" t="str">
            <v>KKM/IKN/H/13/1204 (OLD) KKM/IKN/R/13/621-NEW</v>
          </cell>
          <cell r="E396" t="str">
            <v>12-278</v>
          </cell>
          <cell r="F396" t="str">
            <v>Lights, Infrared</v>
          </cell>
          <cell r="G396" t="str">
            <v>TC</v>
          </cell>
          <cell r="H396" t="str">
            <v>TRADITIONAL COMPLEMENTARY MEDICINE</v>
          </cell>
          <cell r="I396" t="str">
            <v>04TC129</v>
          </cell>
          <cell r="J396" t="str">
            <v>TREATMENT 2 (ACCUPUNCTURE)</v>
          </cell>
          <cell r="K396" t="str">
            <v>BMED</v>
          </cell>
          <cell r="L396" t="str">
            <v>Normal</v>
          </cell>
          <cell r="M396" t="str">
            <v>China</v>
          </cell>
          <cell r="N396" t="str">
            <v>Chongqing</v>
          </cell>
          <cell r="O396" t="str">
            <v>Chongqing Itp-Xf29-Tdp</v>
          </cell>
          <cell r="P396" t="str">
            <v>12110068</v>
          </cell>
          <cell r="Q396" t="str">
            <v>Not Applicable</v>
          </cell>
          <cell r="R396" t="str">
            <v>Chongqing Xinfeng Me</v>
          </cell>
          <cell r="S396" t="str">
            <v>ITP Academy Malaysia</v>
          </cell>
          <cell r="T396" t="str">
            <v>Functioning</v>
          </cell>
          <cell r="U396" t="str">
            <v>Asset</v>
          </cell>
          <cell r="V396">
            <v>1410</v>
          </cell>
          <cell r="W396" t="str">
            <v>KEW</v>
          </cell>
          <cell r="X396" t="str">
            <v>01/09/2010</v>
          </cell>
          <cell r="Y396" t="str">
            <v>KEW</v>
          </cell>
          <cell r="Z396" t="str">
            <v>16/08/2013</v>
          </cell>
          <cell r="AA396" t="str">
            <v>15/08/2015</v>
          </cell>
          <cell r="AB396" t="str">
            <v>No</v>
          </cell>
          <cell r="AC396" t="str">
            <v>31/08/2013</v>
          </cell>
          <cell r="AD396" t="str">
            <v>Good</v>
          </cell>
          <cell r="AE396" t="str">
            <v>V1 - Existing / No Claim</v>
          </cell>
          <cell r="AF396">
            <v>42794</v>
          </cell>
          <cell r="AG396">
            <v>9.17</v>
          </cell>
          <cell r="AH396" t="str">
            <v>PPM</v>
          </cell>
          <cell r="AI396" t="str">
            <v>Strands</v>
          </cell>
          <cell r="AJ396" t="str">
            <v>Strands PW. Proposed for V4 P2.23</v>
          </cell>
          <cell r="AK396" t="str">
            <v>[ZARINA]: PEP ON 1/3/2023, BER/BEMS/IKN/23/006 (KKM/IKN/H/13/1204) - Aset mengalami kerosakan pada komponen power cord dan mineral heating plate. [INDIRA, 17/10/2023]: Update KKM No.</v>
          </cell>
        </row>
        <row r="397">
          <cell r="A397" t="str">
            <v>IKN400676</v>
          </cell>
          <cell r="B397">
            <v>676</v>
          </cell>
          <cell r="C397" t="str">
            <v>Institut Kanser Negara</v>
          </cell>
          <cell r="D397" t="str">
            <v>KKM/IKN/H/13/1205</v>
          </cell>
          <cell r="E397" t="str">
            <v>12-278</v>
          </cell>
          <cell r="F397" t="str">
            <v>Lights, Infrared</v>
          </cell>
          <cell r="G397" t="str">
            <v>TC</v>
          </cell>
          <cell r="H397" t="str">
            <v>TRADITIONAL COMPLEMENTARY MEDICINE</v>
          </cell>
          <cell r="I397" t="str">
            <v>04TC129</v>
          </cell>
          <cell r="J397" t="str">
            <v>TREATMENT 2 (ACCUPUNCTURE)</v>
          </cell>
          <cell r="K397" t="str">
            <v>BMED</v>
          </cell>
          <cell r="L397" t="str">
            <v>Normal</v>
          </cell>
          <cell r="M397" t="str">
            <v>China</v>
          </cell>
          <cell r="N397" t="str">
            <v>Chongqing</v>
          </cell>
          <cell r="O397" t="str">
            <v>Chongqing Itp-Xf29-Tdp</v>
          </cell>
          <cell r="P397" t="str">
            <v>12110075</v>
          </cell>
          <cell r="Q397" t="str">
            <v>Not Applicable</v>
          </cell>
          <cell r="R397" t="str">
            <v>Chongqing Xinfeng Me</v>
          </cell>
          <cell r="S397" t="str">
            <v>ITP Academy Malaysia</v>
          </cell>
          <cell r="T397" t="str">
            <v>Functioning</v>
          </cell>
          <cell r="U397" t="str">
            <v>Asset</v>
          </cell>
          <cell r="V397">
            <v>1410</v>
          </cell>
          <cell r="W397" t="str">
            <v>KEW</v>
          </cell>
          <cell r="X397" t="str">
            <v>01/09/2010</v>
          </cell>
          <cell r="Y397" t="str">
            <v>KEW</v>
          </cell>
          <cell r="Z397" t="str">
            <v>16/08/2013</v>
          </cell>
          <cell r="AA397" t="str">
            <v>15/08/2015</v>
          </cell>
          <cell r="AB397" t="str">
            <v>No</v>
          </cell>
          <cell r="AC397" t="str">
            <v>31/08/2013</v>
          </cell>
          <cell r="AD397" t="str">
            <v>Good</v>
          </cell>
          <cell r="AE397" t="str">
            <v>V1 - Existing / No Claim</v>
          </cell>
          <cell r="AF397">
            <v>42794</v>
          </cell>
          <cell r="AG397">
            <v>9.17</v>
          </cell>
          <cell r="AH397" t="str">
            <v>PPM</v>
          </cell>
          <cell r="AI397" t="str">
            <v>Strands</v>
          </cell>
          <cell r="AJ397" t="str">
            <v>Strands PW</v>
          </cell>
          <cell r="AK397" t="str">
            <v>[INDIRA, 17/10/2023]: Update KKM No. [27/12/2023, SHARIFAH]: PEP ON 22/12/2023, BER/BEMS/IKN/23/025 - Komponen aset telah longgar, chasis retak dan mineral plat berkarat dan penggunaanya hendaklah dihentikan.</v>
          </cell>
        </row>
        <row r="398">
          <cell r="A398" t="str">
            <v>IKN400683</v>
          </cell>
          <cell r="B398">
            <v>683</v>
          </cell>
          <cell r="C398" t="str">
            <v>Institut Kanser Negara</v>
          </cell>
          <cell r="E398" t="str">
            <v>13-763</v>
          </cell>
          <cell r="F398" t="str">
            <v>Stimulators, Electrical, Peripheral Nerve, Acupuncture</v>
          </cell>
          <cell r="G398" t="str">
            <v>TC</v>
          </cell>
          <cell r="H398" t="str">
            <v>TRADITIONAL COMPLEMENTARY MEDICINE</v>
          </cell>
          <cell r="I398" t="str">
            <v>04TC119</v>
          </cell>
          <cell r="J398" t="str">
            <v>GEN.STORE</v>
          </cell>
          <cell r="K398" t="str">
            <v>BMED</v>
          </cell>
          <cell r="L398" t="str">
            <v>Normal</v>
          </cell>
          <cell r="M398" t="str">
            <v>China</v>
          </cell>
          <cell r="N398" t="str">
            <v>Shantou</v>
          </cell>
          <cell r="O398" t="str">
            <v>Shantou Itpg-6805-D</v>
          </cell>
          <cell r="P398" t="str">
            <v>AD1206102</v>
          </cell>
          <cell r="Q398" t="str">
            <v>Not Applicable</v>
          </cell>
          <cell r="R398" t="str">
            <v>Shantou Medical</v>
          </cell>
          <cell r="S398" t="str">
            <v>ITP Academy Malaysia</v>
          </cell>
          <cell r="T398" t="str">
            <v>Disposed</v>
          </cell>
          <cell r="U398" t="str">
            <v>Asset</v>
          </cell>
          <cell r="V398">
            <v>10725</v>
          </cell>
          <cell r="W398" t="str">
            <v>KEW</v>
          </cell>
          <cell r="X398" t="str">
            <v>01/09/2010</v>
          </cell>
          <cell r="Y398" t="str">
            <v>KEW</v>
          </cell>
          <cell r="Z398" t="str">
            <v>16/08/2013</v>
          </cell>
          <cell r="AA398" t="str">
            <v>15/08/2015</v>
          </cell>
          <cell r="AB398" t="str">
            <v>No</v>
          </cell>
          <cell r="AC398" t="str">
            <v>31/08/2013</v>
          </cell>
          <cell r="AD398" t="str">
            <v>Good</v>
          </cell>
          <cell r="AE398" t="str">
            <v>V4 - Decommissioned Installed Facility</v>
          </cell>
          <cell r="AF398">
            <v>42733</v>
          </cell>
          <cell r="AG398">
            <v>9.17</v>
          </cell>
          <cell r="AH398" t="str">
            <v>PPM</v>
          </cell>
          <cell r="AI398" t="str">
            <v>Not in contract</v>
          </cell>
          <cell r="AJ398" t="str">
            <v>Not in contract</v>
          </cell>
          <cell r="AK398" t="e">
            <v>#N/A</v>
          </cell>
        </row>
        <row r="399">
          <cell r="A399" t="str">
            <v>IKN400699</v>
          </cell>
          <cell r="B399">
            <v>699</v>
          </cell>
          <cell r="C399" t="str">
            <v>Institut Kanser Negara</v>
          </cell>
          <cell r="D399" t="str">
            <v>KKM/IKN/H/13/1422</v>
          </cell>
          <cell r="E399" t="str">
            <v>16-953</v>
          </cell>
          <cell r="F399" t="str">
            <v>Analgesia Units, Inhalation</v>
          </cell>
          <cell r="G399" t="str">
            <v>PY</v>
          </cell>
          <cell r="H399" t="str">
            <v>PHYSIOTHERAPY</v>
          </cell>
          <cell r="I399" t="str">
            <v>04PY130</v>
          </cell>
          <cell r="J399" t="str">
            <v>RESPIRATORY</v>
          </cell>
          <cell r="K399" t="str">
            <v>BMED</v>
          </cell>
          <cell r="L399" t="str">
            <v>Normal</v>
          </cell>
          <cell r="M399" t="str">
            <v>Germany</v>
          </cell>
          <cell r="N399" t="str">
            <v>Foggy</v>
          </cell>
          <cell r="O399" t="str">
            <v>Foggy Jet, 192-0000</v>
          </cell>
          <cell r="P399" t="str">
            <v>350-0912-1696</v>
          </cell>
          <cell r="Q399" t="str">
            <v>Not Applicable</v>
          </cell>
          <cell r="R399" t="str">
            <v>Heyer Medical AG</v>
          </cell>
          <cell r="S399" t="str">
            <v>Maycare (M) Sdn. Bhd.</v>
          </cell>
          <cell r="T399" t="str">
            <v>Functioning</v>
          </cell>
          <cell r="U399" t="str">
            <v>Asset</v>
          </cell>
          <cell r="V399">
            <v>96230</v>
          </cell>
          <cell r="W399" t="str">
            <v>KEW</v>
          </cell>
          <cell r="X399" t="str">
            <v>01/09/2010</v>
          </cell>
          <cell r="Y399" t="str">
            <v>KEW</v>
          </cell>
          <cell r="Z399" t="str">
            <v>16/08/2013</v>
          </cell>
          <cell r="AA399" t="str">
            <v>15/08/2015</v>
          </cell>
          <cell r="AB399" t="str">
            <v>No</v>
          </cell>
          <cell r="AC399" t="str">
            <v>31/08/2013</v>
          </cell>
          <cell r="AD399" t="str">
            <v>Good</v>
          </cell>
          <cell r="AE399" t="str">
            <v>V1 - Existing / No Claim</v>
          </cell>
          <cell r="AF399">
            <v>42802</v>
          </cell>
          <cell r="AG399">
            <v>9.17</v>
          </cell>
          <cell r="AH399" t="str">
            <v>RI</v>
          </cell>
          <cell r="AI399" t="str">
            <v>Strands</v>
          </cell>
          <cell r="AJ399" t="str">
            <v>Strands PW</v>
          </cell>
          <cell r="AK399" t="str">
            <v>PEP 23/7/2024</v>
          </cell>
        </row>
        <row r="400">
          <cell r="A400" t="str">
            <v>IKN400728</v>
          </cell>
          <cell r="B400">
            <v>728</v>
          </cell>
          <cell r="C400" t="str">
            <v>Institut Kanser Negara</v>
          </cell>
          <cell r="D400" t="str">
            <v>KKM/IKN/H/13/1903</v>
          </cell>
          <cell r="E400" t="str">
            <v>17-440</v>
          </cell>
          <cell r="F400" t="str">
            <v>Microscopes, Light, Laboratory, Inverted Stage</v>
          </cell>
          <cell r="G400" t="str">
            <v>LA</v>
          </cell>
          <cell r="H400" t="str">
            <v>PATHOLOGY</v>
          </cell>
          <cell r="I400" t="str">
            <v>04LA125</v>
          </cell>
          <cell r="J400" t="str">
            <v>OFFICE/RECORDS</v>
          </cell>
          <cell r="K400" t="str">
            <v>BMED</v>
          </cell>
          <cell r="L400" t="str">
            <v>Normal</v>
          </cell>
          <cell r="M400" t="str">
            <v>Japan</v>
          </cell>
          <cell r="N400" t="str">
            <v>Olympus</v>
          </cell>
          <cell r="O400" t="str">
            <v>Olympus BX 43</v>
          </cell>
          <cell r="P400" t="str">
            <v>2J49403</v>
          </cell>
          <cell r="Q400" t="str">
            <v>Not Applicable</v>
          </cell>
          <cell r="R400" t="str">
            <v>Olympus Corp</v>
          </cell>
          <cell r="S400" t="str">
            <v>Matrix Optics (M) Sdn Bhd</v>
          </cell>
          <cell r="T400" t="str">
            <v>Functioning</v>
          </cell>
          <cell r="U400" t="str">
            <v>Asset</v>
          </cell>
          <cell r="V400">
            <v>19380</v>
          </cell>
          <cell r="W400" t="str">
            <v>KEW</v>
          </cell>
          <cell r="X400" t="str">
            <v>01/09/2010</v>
          </cell>
          <cell r="Y400" t="str">
            <v>KEW</v>
          </cell>
          <cell r="Z400" t="str">
            <v>16/08/2013</v>
          </cell>
          <cell r="AA400" t="str">
            <v>15/08/2015</v>
          </cell>
          <cell r="AB400" t="str">
            <v>No</v>
          </cell>
          <cell r="AC400" t="str">
            <v>31/08/2013</v>
          </cell>
          <cell r="AD400" t="str">
            <v>Good</v>
          </cell>
          <cell r="AE400" t="str">
            <v>V5 - Transfer to other Hospitals/Healthcare Facility</v>
          </cell>
          <cell r="AF400">
            <v>42235</v>
          </cell>
          <cell r="AG400">
            <v>9.17</v>
          </cell>
          <cell r="AH400" t="str">
            <v>PPM</v>
          </cell>
          <cell r="AI400" t="str">
            <v>Not in contract</v>
          </cell>
          <cell r="AJ400" t="str">
            <v>Not in contract</v>
          </cell>
          <cell r="AK400" t="str">
            <v>SNF received on 28.5.2021. Under Strands previously. Transferred to Hospital Serdang.</v>
          </cell>
        </row>
        <row r="401">
          <cell r="A401" t="str">
            <v>IKN400729</v>
          </cell>
          <cell r="B401">
            <v>729</v>
          </cell>
          <cell r="C401" t="str">
            <v>Institut Kanser Negara</v>
          </cell>
          <cell r="D401" t="e">
            <v>#N/A</v>
          </cell>
          <cell r="E401" t="str">
            <v>17-440</v>
          </cell>
          <cell r="F401" t="str">
            <v>Microscopes, Light, Laboratory, Inverted Stage</v>
          </cell>
          <cell r="G401" t="str">
            <v>LA</v>
          </cell>
          <cell r="H401" t="str">
            <v>PATHOLOGY</v>
          </cell>
          <cell r="I401" t="str">
            <v>04LA125</v>
          </cell>
          <cell r="J401" t="str">
            <v>OFFICE/RECORDS</v>
          </cell>
          <cell r="K401" t="str">
            <v>BMED</v>
          </cell>
          <cell r="L401" t="str">
            <v>Normal</v>
          </cell>
          <cell r="M401" t="str">
            <v>Japan</v>
          </cell>
          <cell r="N401" t="str">
            <v>Olympus</v>
          </cell>
          <cell r="O401" t="str">
            <v>Olympus BX 43</v>
          </cell>
          <cell r="P401" t="str">
            <v>2J48395</v>
          </cell>
          <cell r="Q401" t="str">
            <v>Not Applicable</v>
          </cell>
          <cell r="R401" t="str">
            <v>Olympus Corp</v>
          </cell>
          <cell r="S401" t="str">
            <v>Matrix Optics (M) Sdn Bhd</v>
          </cell>
          <cell r="T401" t="str">
            <v>Disposed</v>
          </cell>
          <cell r="U401" t="str">
            <v>Asset</v>
          </cell>
          <cell r="V401">
            <v>19380</v>
          </cell>
          <cell r="W401" t="str">
            <v>KEW</v>
          </cell>
          <cell r="X401" t="str">
            <v>01/09/2010</v>
          </cell>
          <cell r="Y401" t="str">
            <v>KEW</v>
          </cell>
          <cell r="Z401" t="str">
            <v>16/08/2013</v>
          </cell>
          <cell r="AA401" t="str">
            <v>15/08/2015</v>
          </cell>
          <cell r="AB401" t="str">
            <v>No</v>
          </cell>
          <cell r="AC401" t="str">
            <v>31/08/2013</v>
          </cell>
          <cell r="AD401" t="str">
            <v>Request for Exemption</v>
          </cell>
          <cell r="AE401" t="str">
            <v>V4 - Decommissioned Installed Facility</v>
          </cell>
          <cell r="AF401">
            <v>42538</v>
          </cell>
          <cell r="AG401">
            <v>9.17</v>
          </cell>
          <cell r="AH401" t="str">
            <v>PPM</v>
          </cell>
          <cell r="AI401" t="str">
            <v>Not in contract</v>
          </cell>
          <cell r="AJ401" t="str">
            <v>Not in contract</v>
          </cell>
          <cell r="AK401" t="e">
            <v>#N/A</v>
          </cell>
        </row>
        <row r="402">
          <cell r="A402" t="str">
            <v>IKN400730</v>
          </cell>
          <cell r="B402">
            <v>730</v>
          </cell>
          <cell r="C402" t="str">
            <v>Institut Kanser Negara</v>
          </cell>
          <cell r="D402" t="e">
            <v>#N/A</v>
          </cell>
          <cell r="E402" t="str">
            <v>17-440</v>
          </cell>
          <cell r="F402" t="str">
            <v>Microscopes, Light, Laboratory, Inverted Stage</v>
          </cell>
          <cell r="G402" t="str">
            <v>LA</v>
          </cell>
          <cell r="H402" t="str">
            <v>PATHOLOGY</v>
          </cell>
          <cell r="I402" t="str">
            <v>04LA125</v>
          </cell>
          <cell r="J402" t="str">
            <v>OFFICE/RECORDS</v>
          </cell>
          <cell r="K402" t="str">
            <v>BMED</v>
          </cell>
          <cell r="L402" t="str">
            <v>Normal</v>
          </cell>
          <cell r="M402" t="str">
            <v>Japan</v>
          </cell>
          <cell r="N402" t="str">
            <v>Olympus</v>
          </cell>
          <cell r="O402" t="str">
            <v>Olympus BX 43</v>
          </cell>
          <cell r="P402" t="str">
            <v>2J49081</v>
          </cell>
          <cell r="Q402" t="str">
            <v>Not Applicable</v>
          </cell>
          <cell r="R402" t="str">
            <v>Olympus Corp</v>
          </cell>
          <cell r="S402" t="str">
            <v>Matrix Optics (M) Sdn Bhd</v>
          </cell>
          <cell r="T402" t="str">
            <v>Not In Use</v>
          </cell>
          <cell r="U402" t="str">
            <v>Asset</v>
          </cell>
          <cell r="V402">
            <v>19380</v>
          </cell>
          <cell r="W402" t="str">
            <v>KEW</v>
          </cell>
          <cell r="X402" t="str">
            <v>01/09/2010</v>
          </cell>
          <cell r="Y402" t="str">
            <v>KEW</v>
          </cell>
          <cell r="Z402" t="str">
            <v>16/08/2013</v>
          </cell>
          <cell r="AA402" t="str">
            <v>15/08/2015</v>
          </cell>
          <cell r="AB402" t="str">
            <v>No</v>
          </cell>
          <cell r="AC402" t="str">
            <v>31/08/2013</v>
          </cell>
          <cell r="AD402" t="str">
            <v>Good</v>
          </cell>
          <cell r="AE402" t="str">
            <v>V4 - Decommissioned Installed Facility</v>
          </cell>
          <cell r="AF402">
            <v>42951</v>
          </cell>
          <cell r="AG402">
            <v>9.17</v>
          </cell>
          <cell r="AH402" t="str">
            <v>PPM</v>
          </cell>
          <cell r="AI402" t="str">
            <v>Not in contract</v>
          </cell>
          <cell r="AJ402" t="str">
            <v>Not in contract</v>
          </cell>
          <cell r="AK402" t="e">
            <v>#N/A</v>
          </cell>
        </row>
        <row r="403">
          <cell r="A403" t="str">
            <v>IKN400731</v>
          </cell>
          <cell r="B403">
            <v>731</v>
          </cell>
          <cell r="C403" t="str">
            <v>Institut Kanser Negara</v>
          </cell>
          <cell r="D403" t="str">
            <v>KKM/IKN/H/13/4688</v>
          </cell>
          <cell r="E403" t="str">
            <v>15-709</v>
          </cell>
          <cell r="F403" t="str">
            <v>Analyzers, Laboratory, Blood Gas/pH</v>
          </cell>
          <cell r="G403" t="str">
            <v>LA</v>
          </cell>
          <cell r="H403" t="str">
            <v>PATHOLOGY</v>
          </cell>
          <cell r="I403" t="str">
            <v>04LA126</v>
          </cell>
          <cell r="J403" t="str">
            <v>MICROBIOLOGY UNIT</v>
          </cell>
          <cell r="K403" t="str">
            <v>BMED</v>
          </cell>
          <cell r="L403" t="str">
            <v>Critical</v>
          </cell>
          <cell r="M403" t="str">
            <v>Denmark</v>
          </cell>
          <cell r="N403" t="str">
            <v>Radiometer</v>
          </cell>
          <cell r="O403" t="str">
            <v>Radiometer ABL 80</v>
          </cell>
          <cell r="P403" t="str">
            <v>306028</v>
          </cell>
          <cell r="Q403" t="str">
            <v>Not Applicable</v>
          </cell>
          <cell r="R403" t="str">
            <v>Radiometer Medical ApS</v>
          </cell>
          <cell r="S403" t="str">
            <v>Metrojendela</v>
          </cell>
          <cell r="T403" t="str">
            <v>Functioning</v>
          </cell>
          <cell r="U403" t="str">
            <v>Asset</v>
          </cell>
          <cell r="V403">
            <v>76980</v>
          </cell>
          <cell r="W403" t="str">
            <v>KEW</v>
          </cell>
          <cell r="X403" t="str">
            <v>01/09/2010</v>
          </cell>
          <cell r="Y403" t="str">
            <v>KEW</v>
          </cell>
          <cell r="Z403" t="str">
            <v>16/08/2013</v>
          </cell>
          <cell r="AA403" t="str">
            <v>15/08/2015</v>
          </cell>
          <cell r="AB403" t="str">
            <v>No</v>
          </cell>
          <cell r="AC403" t="str">
            <v>31/08/2013</v>
          </cell>
          <cell r="AD403" t="str">
            <v>Good</v>
          </cell>
          <cell r="AE403" t="str">
            <v>V1 - Existing / No Claim</v>
          </cell>
          <cell r="AF403">
            <v>42790</v>
          </cell>
          <cell r="AG403">
            <v>9.17</v>
          </cell>
          <cell r="AH403" t="str">
            <v>PPM</v>
          </cell>
          <cell r="AI403" t="str">
            <v>Strands</v>
          </cell>
          <cell r="AJ403" t="str">
            <v>Strands Package</v>
          </cell>
          <cell r="AK403" t="str">
            <v>Package Code LC0005. [29/2/2024, SHARIFAH]: PEP ON 18/1/2024; BER/BEMS/IKN/23/029- TIADA BEKALAN REAGENTS/CONSUMABLE/SUPPLY. PENGGUNAAN DIHENTIKAN.</v>
          </cell>
        </row>
        <row r="404">
          <cell r="A404" t="str">
            <v>IKN400738</v>
          </cell>
          <cell r="B404">
            <v>738</v>
          </cell>
          <cell r="C404" t="str">
            <v>Institut Kanser Negara</v>
          </cell>
          <cell r="D404" t="str">
            <v>KKM/IKN/H/13/1848</v>
          </cell>
          <cell r="E404" t="str">
            <v>16-861</v>
          </cell>
          <cell r="F404" t="str">
            <v>Baths, Water, Laboratory</v>
          </cell>
          <cell r="G404" t="str">
            <v>LA</v>
          </cell>
          <cell r="H404" t="str">
            <v>PATHOLOGY</v>
          </cell>
          <cell r="I404" t="str">
            <v>04LA126</v>
          </cell>
          <cell r="J404" t="str">
            <v>MICROBIOLOGY UNIT</v>
          </cell>
          <cell r="K404" t="str">
            <v>BMED</v>
          </cell>
          <cell r="L404" t="str">
            <v>Normal</v>
          </cell>
          <cell r="M404" t="str">
            <v>Germany</v>
          </cell>
          <cell r="N404" t="str">
            <v>Memmert</v>
          </cell>
          <cell r="O404" t="str">
            <v>Memmert WNB14</v>
          </cell>
          <cell r="P404" t="str">
            <v>L412.0342</v>
          </cell>
          <cell r="Q404" t="str">
            <v>Not Applicable</v>
          </cell>
          <cell r="R404" t="str">
            <v>Memmert GmbH</v>
          </cell>
          <cell r="S404" t="str">
            <v>Saujana Saintifik Sdn Bhd</v>
          </cell>
          <cell r="T404" t="str">
            <v>Functioning</v>
          </cell>
          <cell r="U404" t="str">
            <v>Asset</v>
          </cell>
          <cell r="V404">
            <v>4210</v>
          </cell>
          <cell r="W404" t="str">
            <v>KEW</v>
          </cell>
          <cell r="X404" t="str">
            <v>01/09/2010</v>
          </cell>
          <cell r="Y404" t="str">
            <v>KEW</v>
          </cell>
          <cell r="Z404" t="str">
            <v>16/08/2013</v>
          </cell>
          <cell r="AA404" t="str">
            <v>15/08/2015</v>
          </cell>
          <cell r="AB404" t="str">
            <v>No</v>
          </cell>
          <cell r="AC404" t="str">
            <v>31/08/2013</v>
          </cell>
          <cell r="AD404" t="str">
            <v>Good</v>
          </cell>
          <cell r="AE404" t="str">
            <v>V5 - Transfer to other Hospitals/Healthcare Facility</v>
          </cell>
          <cell r="AF404" t="str">
            <v>24/2/2017 - 1/12/2022</v>
          </cell>
          <cell r="AG404">
            <v>9.17</v>
          </cell>
          <cell r="AH404" t="str">
            <v>PPM</v>
          </cell>
          <cell r="AI404" t="str">
            <v>Strands</v>
          </cell>
          <cell r="AJ404" t="str">
            <v>Strands (V4 P1.23.)</v>
          </cell>
          <cell r="AK404" t="str">
            <v>SNF received on 26.4.2022. Transfer to Hospital Putrajaya [18/9/2023, Sharifah]: V4 P1.23.</v>
          </cell>
        </row>
        <row r="405">
          <cell r="A405" t="str">
            <v>IKN400740</v>
          </cell>
          <cell r="B405">
            <v>740</v>
          </cell>
          <cell r="C405" t="str">
            <v>Institut Kanser Negara</v>
          </cell>
          <cell r="D405" t="str">
            <v>KKM/IKN/H/13/1864</v>
          </cell>
          <cell r="E405" t="str">
            <v>18-630</v>
          </cell>
          <cell r="F405" t="str">
            <v>Analyzers, Laboratory, Microbiology, Blood Culture, Mycobacteria</v>
          </cell>
          <cell r="G405" t="str">
            <v>LA</v>
          </cell>
          <cell r="H405" t="str">
            <v>PATHOLOGY</v>
          </cell>
          <cell r="I405" t="str">
            <v>04LA126</v>
          </cell>
          <cell r="J405" t="str">
            <v>MICROBIOLOGY UNIT</v>
          </cell>
          <cell r="K405" t="str">
            <v>BMED</v>
          </cell>
          <cell r="L405" t="str">
            <v>Normal</v>
          </cell>
          <cell r="M405" t="str">
            <v>USA</v>
          </cell>
          <cell r="N405" t="str">
            <v>Becton</v>
          </cell>
          <cell r="O405" t="str">
            <v>Becton Phoenix 100</v>
          </cell>
          <cell r="P405" t="str">
            <v>PX1747</v>
          </cell>
          <cell r="Q405" t="str">
            <v>Not Applicable</v>
          </cell>
          <cell r="R405" t="str">
            <v>Becton Dickinson &amp; Co</v>
          </cell>
          <cell r="S405" t="str">
            <v>Biomarketing Services (M) Sdn Bhd</v>
          </cell>
          <cell r="T405" t="str">
            <v>Functioning</v>
          </cell>
          <cell r="U405" t="str">
            <v>Asset</v>
          </cell>
          <cell r="V405">
            <v>342820</v>
          </cell>
          <cell r="W405" t="str">
            <v>KEW</v>
          </cell>
          <cell r="X405" t="str">
            <v>01/09/2010</v>
          </cell>
          <cell r="Y405" t="str">
            <v>KEW</v>
          </cell>
          <cell r="Z405" t="str">
            <v>16/08/2013</v>
          </cell>
          <cell r="AA405" t="str">
            <v>15/08/2015</v>
          </cell>
          <cell r="AB405" t="str">
            <v>No</v>
          </cell>
          <cell r="AC405" t="str">
            <v>31/08/2013</v>
          </cell>
          <cell r="AD405" t="str">
            <v>Good</v>
          </cell>
          <cell r="AE405" t="str">
            <v>V1 - Existing / No Claim</v>
          </cell>
          <cell r="AF405">
            <v>42790</v>
          </cell>
          <cell r="AG405">
            <v>9.17</v>
          </cell>
          <cell r="AH405" t="str">
            <v>PPM</v>
          </cell>
          <cell r="AI405" t="str">
            <v>Strands</v>
          </cell>
          <cell r="AJ405" t="str">
            <v>Strands Package</v>
          </cell>
          <cell r="AK405" t="str">
            <v>Package Code LR0016</v>
          </cell>
        </row>
        <row r="406">
          <cell r="A406" t="str">
            <v>IKN400751</v>
          </cell>
          <cell r="B406">
            <v>751</v>
          </cell>
          <cell r="C406" t="str">
            <v>Institut Kanser Negara</v>
          </cell>
          <cell r="D406" t="str">
            <v>KKM/IKN/H/13/1849</v>
          </cell>
          <cell r="E406" t="str">
            <v>15-146</v>
          </cell>
          <cell r="F406" t="str">
            <v>Analyzers, Laboratory, Hematology, Hemoglobin</v>
          </cell>
          <cell r="G406" t="str">
            <v>LA</v>
          </cell>
          <cell r="H406" t="str">
            <v>PATHOLOGY</v>
          </cell>
          <cell r="I406" t="str">
            <v>04LA133</v>
          </cell>
          <cell r="J406" t="str">
            <v>CHEMICAL PATHOLOGY 1</v>
          </cell>
          <cell r="K406" t="str">
            <v>BMED</v>
          </cell>
          <cell r="L406" t="str">
            <v>Normal</v>
          </cell>
          <cell r="M406" t="str">
            <v>USA</v>
          </cell>
          <cell r="N406" t="str">
            <v>Bio-Rad</v>
          </cell>
          <cell r="O406" t="str">
            <v>Bio-Rad D10</v>
          </cell>
          <cell r="P406" t="str">
            <v>DC2C695904</v>
          </cell>
          <cell r="Q406" t="str">
            <v>Not Applicable</v>
          </cell>
          <cell r="R406" t="str">
            <v>Bio-Rad Laboratories</v>
          </cell>
          <cell r="S406" t="str">
            <v>KL Scientific</v>
          </cell>
          <cell r="T406" t="str">
            <v>Functioning</v>
          </cell>
          <cell r="U406" t="str">
            <v>Asset</v>
          </cell>
          <cell r="V406">
            <v>221210</v>
          </cell>
          <cell r="W406" t="str">
            <v>KEW</v>
          </cell>
          <cell r="X406" t="str">
            <v>01/09/2010</v>
          </cell>
          <cell r="Y406" t="str">
            <v>KEW</v>
          </cell>
          <cell r="Z406" t="str">
            <v>16/08/2013</v>
          </cell>
          <cell r="AA406" t="str">
            <v>15/08/2015</v>
          </cell>
          <cell r="AB406" t="str">
            <v>No</v>
          </cell>
          <cell r="AC406" t="str">
            <v>31/08/2013</v>
          </cell>
          <cell r="AD406" t="str">
            <v>Good</v>
          </cell>
          <cell r="AE406" t="str">
            <v>V1 - Existing / No Claim</v>
          </cell>
          <cell r="AF406">
            <v>42790</v>
          </cell>
          <cell r="AG406">
            <v>9.17</v>
          </cell>
          <cell r="AH406" t="str">
            <v>PPM</v>
          </cell>
          <cell r="AI406" t="str">
            <v>Strands</v>
          </cell>
          <cell r="AJ406" t="str">
            <v>Strands Package</v>
          </cell>
          <cell r="AK406" t="str">
            <v>MEMO PERMOHONAN PELUPUSAN SUDAH DI SUBMIT. [DIKELUARKAN DARI ASSET 21/10/2024]</v>
          </cell>
        </row>
        <row r="407">
          <cell r="A407" t="str">
            <v>IKN400752</v>
          </cell>
          <cell r="B407">
            <v>752</v>
          </cell>
          <cell r="C407" t="str">
            <v>Institut Kanser Negara</v>
          </cell>
          <cell r="D407" t="str">
            <v>KKM/IKN/H/13/1799</v>
          </cell>
          <cell r="E407" t="str">
            <v>12-842</v>
          </cell>
          <cell r="F407" t="str">
            <v>Osmometers</v>
          </cell>
          <cell r="G407" t="str">
            <v>LA</v>
          </cell>
          <cell r="H407" t="str">
            <v>PATHOLOGY</v>
          </cell>
          <cell r="I407" t="str">
            <v>04LA134</v>
          </cell>
          <cell r="J407" t="str">
            <v>CHEMICAL PATHOLOGY 2</v>
          </cell>
          <cell r="K407" t="str">
            <v>BMED</v>
          </cell>
          <cell r="L407" t="str">
            <v>Normal</v>
          </cell>
          <cell r="M407" t="str">
            <v>Germany</v>
          </cell>
          <cell r="N407" t="str">
            <v>Osmomat</v>
          </cell>
          <cell r="O407" t="str">
            <v>Osmomat 030</v>
          </cell>
          <cell r="P407" t="str">
            <v>102810</v>
          </cell>
          <cell r="Q407" t="str">
            <v>Not Applicable</v>
          </cell>
          <cell r="R407" t="str">
            <v>Gonotec GMBH</v>
          </cell>
          <cell r="S407" t="str">
            <v>Biomarketing Services (M) Sdn Bhd</v>
          </cell>
          <cell r="T407" t="str">
            <v>Functioning</v>
          </cell>
          <cell r="U407" t="str">
            <v>Asset</v>
          </cell>
          <cell r="V407">
            <v>34880</v>
          </cell>
          <cell r="W407" t="str">
            <v>KEW</v>
          </cell>
          <cell r="X407" t="str">
            <v>01/09/2010</v>
          </cell>
          <cell r="Y407" t="str">
            <v>KEW</v>
          </cell>
          <cell r="Z407" t="str">
            <v>16/08/2013</v>
          </cell>
          <cell r="AA407" t="str">
            <v>15/08/2015</v>
          </cell>
          <cell r="AB407" t="str">
            <v>No</v>
          </cell>
          <cell r="AC407" t="str">
            <v>31/08/2013</v>
          </cell>
          <cell r="AD407" t="str">
            <v>Good</v>
          </cell>
          <cell r="AE407" t="str">
            <v>V1 - Existing / No Claim</v>
          </cell>
          <cell r="AF407">
            <v>42790</v>
          </cell>
          <cell r="AG407">
            <v>9.17</v>
          </cell>
          <cell r="AH407" t="str">
            <v>PPM</v>
          </cell>
          <cell r="AI407" t="str">
            <v>Strands</v>
          </cell>
          <cell r="AJ407" t="str">
            <v>Strands PW. Proposed for V4 P2.23</v>
          </cell>
          <cell r="AK407" t="str">
            <v>[18/9/2023, SHARIFAH]: PEP ON 27/7/2023, BER/BEMS/IKN/23/017 - Asset mengalami kerosakan pada probe tip.</v>
          </cell>
        </row>
        <row r="408">
          <cell r="A408" t="str">
            <v>IKN400759</v>
          </cell>
          <cell r="B408">
            <v>759</v>
          </cell>
          <cell r="C408" t="str">
            <v>Institut Kanser Negara</v>
          </cell>
          <cell r="D408" t="str">
            <v>KKM/IKN/H/13/4686</v>
          </cell>
          <cell r="E408" t="str">
            <v>16-378</v>
          </cell>
          <cell r="F408" t="str">
            <v>Analyzers, Laboratory, Urine, Automated</v>
          </cell>
          <cell r="G408" t="str">
            <v>LA</v>
          </cell>
          <cell r="H408" t="str">
            <v>PATHOLOGY</v>
          </cell>
          <cell r="I408" t="str">
            <v>04LA133</v>
          </cell>
          <cell r="J408" t="str">
            <v>CHEMICAL PATHOLOGY 1</v>
          </cell>
          <cell r="K408" t="str">
            <v>BMED</v>
          </cell>
          <cell r="L408" t="str">
            <v>Normal</v>
          </cell>
          <cell r="M408" t="str">
            <v>USA</v>
          </cell>
          <cell r="N408" t="str">
            <v>Ichem</v>
          </cell>
          <cell r="O408" t="str">
            <v>Ichem Velocity</v>
          </cell>
          <cell r="P408" t="str">
            <v>V01474</v>
          </cell>
          <cell r="Q408" t="str">
            <v>Not Applicable</v>
          </cell>
          <cell r="R408" t="str">
            <v>Iris Medical Instruments Inc</v>
          </cell>
          <cell r="S408" t="str">
            <v>Diagnostic Systems (M) Sdn Bhd</v>
          </cell>
          <cell r="T408" t="str">
            <v>Functioning</v>
          </cell>
          <cell r="U408" t="str">
            <v>Asset</v>
          </cell>
          <cell r="V408">
            <v>36080</v>
          </cell>
          <cell r="W408" t="str">
            <v>KEW</v>
          </cell>
          <cell r="X408" t="str">
            <v>01/09/2010</v>
          </cell>
          <cell r="Y408" t="str">
            <v>KEW</v>
          </cell>
          <cell r="Z408" t="str">
            <v>16/08/2013</v>
          </cell>
          <cell r="AA408" t="str">
            <v>15/08/2015</v>
          </cell>
          <cell r="AB408" t="str">
            <v>No</v>
          </cell>
          <cell r="AC408" t="str">
            <v>31/08/2013</v>
          </cell>
          <cell r="AD408" t="str">
            <v>Good</v>
          </cell>
          <cell r="AE408" t="str">
            <v>V1 - Existing / No Claim</v>
          </cell>
          <cell r="AF408">
            <v>42235</v>
          </cell>
          <cell r="AG408">
            <v>9.17</v>
          </cell>
          <cell r="AH408" t="str">
            <v>PPM</v>
          </cell>
          <cell r="AI408" t="str">
            <v>Strands</v>
          </cell>
          <cell r="AJ408" t="str">
            <v>Strands Package</v>
          </cell>
          <cell r="AK408" t="str">
            <v>Package Code LC0054. [17/12/2023, SHARIFAH]: PEP ON 7/12/2023, BER/BEMS/IKN/23/021 - Asset mengalami kerosakan pada internal CPU Board. Penggunaannya hendaklah dihentikan. SNF V4 received on 6/3/2024.</v>
          </cell>
        </row>
        <row r="409">
          <cell r="A409" t="str">
            <v>IKN400765</v>
          </cell>
          <cell r="B409">
            <v>765</v>
          </cell>
          <cell r="C409" t="str">
            <v>Institut Kanser Negara</v>
          </cell>
          <cell r="D409" t="str">
            <v>KKM/IKN/H/13/1879</v>
          </cell>
          <cell r="E409" t="str">
            <v>14-410</v>
          </cell>
          <cell r="F409" t="str">
            <v>Ovens, Drying</v>
          </cell>
          <cell r="G409" t="str">
            <v>LA</v>
          </cell>
          <cell r="H409" t="str">
            <v>PATHOLOGY</v>
          </cell>
          <cell r="I409" t="str">
            <v>04LA117</v>
          </cell>
          <cell r="J409" t="str">
            <v>WASH ROOM</v>
          </cell>
          <cell r="K409" t="str">
            <v>BMED</v>
          </cell>
          <cell r="L409" t="str">
            <v>Normal</v>
          </cell>
          <cell r="M409" t="str">
            <v>Germany</v>
          </cell>
          <cell r="N409" t="str">
            <v>Heratherm</v>
          </cell>
          <cell r="O409" t="str">
            <v>Heratherm OGS 100</v>
          </cell>
          <cell r="P409" t="str">
            <v>41419441</v>
          </cell>
          <cell r="Q409" t="str">
            <v>Not Applicable</v>
          </cell>
          <cell r="R409" t="str">
            <v>Thermo Scientific Inc</v>
          </cell>
          <cell r="S409" t="str">
            <v>Bumi Sains Sdn. Bhd.</v>
          </cell>
          <cell r="T409" t="str">
            <v>Functioning</v>
          </cell>
          <cell r="U409" t="str">
            <v>Asset</v>
          </cell>
          <cell r="V409">
            <v>6620</v>
          </cell>
          <cell r="W409" t="str">
            <v>KEW</v>
          </cell>
          <cell r="X409" t="str">
            <v>01/09/2010</v>
          </cell>
          <cell r="Y409" t="str">
            <v>KEW</v>
          </cell>
          <cell r="Z409" t="str">
            <v>16/08/2013</v>
          </cell>
          <cell r="AA409" t="str">
            <v>15/08/2015</v>
          </cell>
          <cell r="AB409" t="str">
            <v>No</v>
          </cell>
          <cell r="AC409" t="str">
            <v>31/08/2013</v>
          </cell>
          <cell r="AD409" t="str">
            <v>Good</v>
          </cell>
          <cell r="AE409" t="str">
            <v>V4 - Decommissioned Installed Facility</v>
          </cell>
          <cell r="AF409">
            <v>42235</v>
          </cell>
          <cell r="AG409">
            <v>9.17</v>
          </cell>
          <cell r="AH409" t="str">
            <v>PPM</v>
          </cell>
          <cell r="AI409" t="str">
            <v>Strands</v>
          </cell>
          <cell r="AJ409" t="str">
            <v>Strands PW</v>
          </cell>
          <cell r="AK409" t="str">
            <v>[28/2/2024, FAEZAH: SNF V4; TRANSFER TO HOSPITAL KAJANG, RECEIVED 19/2/2024.</v>
          </cell>
        </row>
        <row r="410">
          <cell r="A410" t="str">
            <v>IKN400783</v>
          </cell>
          <cell r="B410">
            <v>783</v>
          </cell>
          <cell r="C410" t="str">
            <v>Institut Kanser Negara</v>
          </cell>
          <cell r="D410" t="str">
            <v>KKM/IKN/H/13/3940 - 06</v>
          </cell>
          <cell r="E410" t="str">
            <v>17-679</v>
          </cell>
          <cell r="F410" t="str">
            <v>Laser Imagers</v>
          </cell>
          <cell r="G410" t="str">
            <v>ID</v>
          </cell>
          <cell r="H410" t="str">
            <v>IMAGING DEPARTMENT</v>
          </cell>
          <cell r="I410" t="str">
            <v>03ID178</v>
          </cell>
          <cell r="J410" t="str">
            <v>PACS BAY</v>
          </cell>
          <cell r="K410" t="str">
            <v>BMED</v>
          </cell>
          <cell r="L410" t="str">
            <v>Normal</v>
          </cell>
          <cell r="M410" t="str">
            <v>USA</v>
          </cell>
          <cell r="N410" t="str">
            <v>DryView</v>
          </cell>
          <cell r="O410" t="str">
            <v>DryView 6850</v>
          </cell>
          <cell r="P410" t="str">
            <v>68504434</v>
          </cell>
          <cell r="Q410" t="str">
            <v>Not Applicable</v>
          </cell>
          <cell r="R410" t="str">
            <v>Carestream Health Inc</v>
          </cell>
          <cell r="S410" t="str">
            <v>Best Contact (M) Sdn Bhd</v>
          </cell>
          <cell r="T410" t="str">
            <v>Functioning</v>
          </cell>
          <cell r="U410" t="str">
            <v>Asset</v>
          </cell>
          <cell r="V410">
            <v>83100</v>
          </cell>
          <cell r="W410" t="str">
            <v>KEW</v>
          </cell>
          <cell r="X410" t="str">
            <v>01/09/2010</v>
          </cell>
          <cell r="Y410" t="str">
            <v>KEW</v>
          </cell>
          <cell r="Z410" t="str">
            <v>16/08/2013</v>
          </cell>
          <cell r="AA410" t="str">
            <v>15/08/2015</v>
          </cell>
          <cell r="AB410" t="str">
            <v>No</v>
          </cell>
          <cell r="AC410" t="str">
            <v>31/08/2013</v>
          </cell>
          <cell r="AD410" t="str">
            <v>Good</v>
          </cell>
          <cell r="AE410" t="str">
            <v>V4 - Decommissioned Installed Facility</v>
          </cell>
          <cell r="AF410" t="str">
            <v>19/8/2015 - 04/08/2024</v>
          </cell>
          <cell r="AG410">
            <v>9.17</v>
          </cell>
          <cell r="AH410" t="str">
            <v>PPM</v>
          </cell>
          <cell r="AI410" t="str">
            <v>package</v>
          </cell>
          <cell r="AJ410" t="str">
            <v>Strands Package</v>
          </cell>
          <cell r="AK410" t="str">
            <v>[21/9/2023, Anis]: Package MRI. Package Code XJ0007. SNF V4 received on 4/8/2024.</v>
          </cell>
        </row>
        <row r="411">
          <cell r="A411" t="str">
            <v>IKN400792</v>
          </cell>
          <cell r="B411">
            <v>792</v>
          </cell>
          <cell r="C411" t="str">
            <v>Institut Kanser Negara</v>
          </cell>
          <cell r="D411" t="str">
            <v>KKM/IKN/H/13/4294 (OLD) KKM/IKN/R/13/1352 -NEW</v>
          </cell>
          <cell r="E411" t="str">
            <v>13-215</v>
          </cell>
          <cell r="F411" t="str">
            <v>Infusion Pumps, General-Purpose</v>
          </cell>
          <cell r="G411" t="str">
            <v>ID</v>
          </cell>
          <cell r="H411" t="str">
            <v>IMAGING DEPARTMENT</v>
          </cell>
          <cell r="I411" t="str">
            <v>03ID111</v>
          </cell>
          <cell r="J411" t="str">
            <v>M.R.I (VE)</v>
          </cell>
          <cell r="K411" t="str">
            <v>BMED</v>
          </cell>
          <cell r="L411" t="str">
            <v>Critical</v>
          </cell>
          <cell r="M411" t="str">
            <v>USA</v>
          </cell>
          <cell r="N411" t="str">
            <v>Mridium</v>
          </cell>
          <cell r="O411" t="str">
            <v>MRidium 3851</v>
          </cell>
          <cell r="P411" t="str">
            <v>IR5110596/IR5011212</v>
          </cell>
          <cell r="Q411" t="str">
            <v>Not Applicable</v>
          </cell>
          <cell r="R411" t="str">
            <v>Iradimed Corp</v>
          </cell>
          <cell r="S411" t="str">
            <v>APPLIED MEDICAL SYSTEMS SDN BHD</v>
          </cell>
          <cell r="T411" t="str">
            <v>Functioning</v>
          </cell>
          <cell r="U411" t="str">
            <v>Asset</v>
          </cell>
          <cell r="V411">
            <v>1400</v>
          </cell>
          <cell r="W411" t="str">
            <v>Estimate</v>
          </cell>
          <cell r="X411" t="str">
            <v>01/09/2010</v>
          </cell>
          <cell r="Y411" t="str">
            <v>KEW</v>
          </cell>
          <cell r="Z411" t="str">
            <v>16/08/2013</v>
          </cell>
          <cell r="AA411" t="str">
            <v>15/08/2015</v>
          </cell>
          <cell r="AB411" t="str">
            <v>No</v>
          </cell>
          <cell r="AC411" t="str">
            <v>31/08/2013</v>
          </cell>
          <cell r="AD411" t="str">
            <v>Good</v>
          </cell>
          <cell r="AE411" t="str">
            <v>V1 - Existing / No Claim</v>
          </cell>
          <cell r="AF411">
            <v>42791</v>
          </cell>
          <cell r="AG411">
            <v>9.17</v>
          </cell>
          <cell r="AH411" t="str">
            <v>PPM</v>
          </cell>
          <cell r="AI411" t="str">
            <v>Strands</v>
          </cell>
          <cell r="AJ411" t="str">
            <v>Strands PW. Proposed for V4 P2.23</v>
          </cell>
          <cell r="AK411" t="str">
            <v>[18/9/2023, SHARIFAH]: PEP ON 8/8/2023, BER/BEMS/IKN/23/012 - Asset mengalami kerosakan pada board.</v>
          </cell>
        </row>
        <row r="412">
          <cell r="A412" t="str">
            <v>IKN400793</v>
          </cell>
          <cell r="B412">
            <v>793</v>
          </cell>
          <cell r="C412" t="str">
            <v>Institut Kanser Negara</v>
          </cell>
          <cell r="D412" t="str">
            <v>KKM/IKN/H/13/2744</v>
          </cell>
          <cell r="E412" t="str">
            <v>12-647</v>
          </cell>
          <cell r="F412" t="str">
            <v>Physiologic Monitoring Systems, Acute Care</v>
          </cell>
          <cell r="G412" t="str">
            <v>ID</v>
          </cell>
          <cell r="H412" t="str">
            <v>IMAGING DEPARTMENT</v>
          </cell>
          <cell r="I412" t="str">
            <v>03ID109</v>
          </cell>
          <cell r="J412" t="str">
            <v>INDUCTION</v>
          </cell>
          <cell r="K412" t="str">
            <v>BMED</v>
          </cell>
          <cell r="L412" t="str">
            <v>Normal</v>
          </cell>
          <cell r="M412" t="str">
            <v>USA</v>
          </cell>
          <cell r="N412" t="str">
            <v>GE</v>
          </cell>
          <cell r="O412" t="str">
            <v>Mri Monitor</v>
          </cell>
          <cell r="P412" t="str">
            <v>6849794</v>
          </cell>
          <cell r="Q412" t="str">
            <v>Not Applicable</v>
          </cell>
          <cell r="R412" t="str">
            <v>GE Healthcare Systems</v>
          </cell>
          <cell r="S412" t="str">
            <v>GE Healthcare Technologies</v>
          </cell>
          <cell r="T412" t="str">
            <v>Functioning</v>
          </cell>
          <cell r="U412" t="str">
            <v>Asset</v>
          </cell>
          <cell r="V412">
            <v>163590</v>
          </cell>
          <cell r="W412" t="str">
            <v>KEW</v>
          </cell>
          <cell r="X412" t="str">
            <v>01/09/2010</v>
          </cell>
          <cell r="Y412" t="str">
            <v>KEW</v>
          </cell>
          <cell r="Z412" t="str">
            <v>16/08/2013</v>
          </cell>
          <cell r="AA412" t="str">
            <v>15/08/2015</v>
          </cell>
          <cell r="AB412" t="str">
            <v>No</v>
          </cell>
          <cell r="AC412" t="str">
            <v>31/08/2013</v>
          </cell>
          <cell r="AD412" t="str">
            <v>Good</v>
          </cell>
          <cell r="AE412" t="str">
            <v>V4 - Decommissioned Installed Facility</v>
          </cell>
          <cell r="AF412">
            <v>42235</v>
          </cell>
          <cell r="AG412">
            <v>9.17</v>
          </cell>
          <cell r="AH412" t="str">
            <v>PPM</v>
          </cell>
          <cell r="AI412" t="str">
            <v>strands</v>
          </cell>
          <cell r="AJ412" t="str">
            <v>Strands PW. Proposed for V4 P2.23</v>
          </cell>
          <cell r="AK412" t="str">
            <v>[22/9/2023, SHARIFAH]: PEP ON NOV 2020, BER/BEMS/AWSB/20/005 - Aset masih boleh digunakan namun asset tidak ekonomik diperbaiki lagi sekiranya rosak.</v>
          </cell>
        </row>
        <row r="413">
          <cell r="A413" t="str">
            <v>IKN400794</v>
          </cell>
          <cell r="B413">
            <v>794</v>
          </cell>
          <cell r="C413" t="str">
            <v>Institut Kanser Negara</v>
          </cell>
          <cell r="D413" t="str">
            <v>KKM/IKN/H/13/3940</v>
          </cell>
          <cell r="E413" t="str">
            <v>18-108</v>
          </cell>
          <cell r="F413" t="str">
            <v>Scanning Systems, Magnetic Resonance Imaging, Full-Body</v>
          </cell>
          <cell r="G413" t="str">
            <v>ID</v>
          </cell>
          <cell r="H413" t="str">
            <v>IMAGING DEPARTMENT</v>
          </cell>
          <cell r="I413" t="str">
            <v>03ID111</v>
          </cell>
          <cell r="J413" t="str">
            <v>M.R.I (VE)</v>
          </cell>
          <cell r="K413" t="str">
            <v>BMED</v>
          </cell>
          <cell r="L413" t="str">
            <v>Normal</v>
          </cell>
          <cell r="M413" t="str">
            <v>Germany</v>
          </cell>
          <cell r="N413" t="str">
            <v>Magnetom</v>
          </cell>
          <cell r="O413" t="str">
            <v>Magnetom Verio</v>
          </cell>
          <cell r="P413" t="str">
            <v>62009</v>
          </cell>
          <cell r="Q413" t="str">
            <v>Not Applicable</v>
          </cell>
          <cell r="R413" t="str">
            <v>Siemens Medical Systems</v>
          </cell>
          <cell r="S413" t="str">
            <v>Metro Jendela Sdn Bhd</v>
          </cell>
          <cell r="T413" t="str">
            <v>Functioning</v>
          </cell>
          <cell r="U413" t="str">
            <v>Asset</v>
          </cell>
          <cell r="V413">
            <v>11586530</v>
          </cell>
          <cell r="W413" t="str">
            <v>KEW</v>
          </cell>
          <cell r="X413" t="str">
            <v>01/09/2010</v>
          </cell>
          <cell r="Y413" t="str">
            <v>KEW</v>
          </cell>
          <cell r="Z413" t="str">
            <v>16/08/2013</v>
          </cell>
          <cell r="AA413" t="str">
            <v>15/08/2015</v>
          </cell>
          <cell r="AB413" t="str">
            <v>No</v>
          </cell>
          <cell r="AC413" t="str">
            <v>31/08/2013</v>
          </cell>
          <cell r="AD413" t="str">
            <v>Good</v>
          </cell>
          <cell r="AE413" t="str">
            <v>V4 - Decommissioned Installed Facility</v>
          </cell>
          <cell r="AF413" t="str">
            <v>19/8/2015 - 04/08/2024</v>
          </cell>
          <cell r="AG413">
            <v>9.17</v>
          </cell>
          <cell r="AH413" t="str">
            <v>PPM</v>
          </cell>
          <cell r="AI413" t="str">
            <v>Strands</v>
          </cell>
          <cell r="AJ413" t="str">
            <v>Strands Package</v>
          </cell>
          <cell r="AK413" t="str">
            <v>Package Code XJ0007. SNF V4 received on 4/8/2024.</v>
          </cell>
        </row>
        <row r="414">
          <cell r="A414" t="str">
            <v>IKN400812</v>
          </cell>
          <cell r="B414">
            <v>812</v>
          </cell>
          <cell r="C414" t="str">
            <v>Institut Kanser Negara</v>
          </cell>
          <cell r="E414" t="str">
            <v>11-134</v>
          </cell>
          <cell r="F414" t="str">
            <v>Defibrillators, External, Manual</v>
          </cell>
          <cell r="G414" t="str">
            <v>RT</v>
          </cell>
          <cell r="H414" t="str">
            <v>RADIATION TREATMENT UNIT</v>
          </cell>
          <cell r="I414" t="str">
            <v>01RT237</v>
          </cell>
          <cell r="J414" t="str">
            <v>N/S</v>
          </cell>
          <cell r="K414" t="str">
            <v>BMED</v>
          </cell>
          <cell r="L414" t="str">
            <v>Critical</v>
          </cell>
          <cell r="M414" t="str">
            <v>USA</v>
          </cell>
          <cell r="N414" t="str">
            <v>Responder</v>
          </cell>
          <cell r="O414" t="str">
            <v>Responder 2000</v>
          </cell>
          <cell r="P414" t="str">
            <v>3206738</v>
          </cell>
          <cell r="Q414" t="str">
            <v>Not Applicable</v>
          </cell>
          <cell r="R414" t="str">
            <v>GE Medical Systems</v>
          </cell>
          <cell r="S414" t="str">
            <v>Antah Sir Radin Sdn. Bhd.</v>
          </cell>
          <cell r="T414" t="str">
            <v>Functioning</v>
          </cell>
          <cell r="U414" t="str">
            <v>Asset</v>
          </cell>
          <cell r="V414">
            <v>45000</v>
          </cell>
          <cell r="W414" t="str">
            <v>Estimate</v>
          </cell>
          <cell r="X414" t="str">
            <v>01/09/2010</v>
          </cell>
          <cell r="Y414" t="str">
            <v>KEW</v>
          </cell>
          <cell r="Z414" t="str">
            <v>16/08/2013</v>
          </cell>
          <cell r="AA414" t="str">
            <v>15/08/2015</v>
          </cell>
          <cell r="AB414" t="str">
            <v>No</v>
          </cell>
          <cell r="AC414" t="str">
            <v>31/08/2013</v>
          </cell>
          <cell r="AD414" t="str">
            <v>Good</v>
          </cell>
          <cell r="AE414" t="str">
            <v>V1 - Existing / No Claim</v>
          </cell>
          <cell r="AF414">
            <v>42605</v>
          </cell>
          <cell r="AG414">
            <v>9.17</v>
          </cell>
          <cell r="AH414" t="str">
            <v>PPM</v>
          </cell>
          <cell r="AI414" t="str">
            <v>Not in contract</v>
          </cell>
        </row>
        <row r="415">
          <cell r="A415" t="str">
            <v>IKN400852</v>
          </cell>
          <cell r="B415">
            <v>852</v>
          </cell>
          <cell r="C415" t="str">
            <v>Institut Kanser Negara</v>
          </cell>
          <cell r="D415" t="e">
            <v>#N/A</v>
          </cell>
          <cell r="E415" t="str">
            <v>18-231</v>
          </cell>
          <cell r="F415" t="str">
            <v>Electrosurgical Units, Monopolar/Bipolar</v>
          </cell>
          <cell r="G415" t="str">
            <v>RT</v>
          </cell>
          <cell r="H415" t="str">
            <v>RADIATION TREATMENT UNIT</v>
          </cell>
          <cell r="I415" t="str">
            <v>01RT278</v>
          </cell>
          <cell r="J415" t="str">
            <v>BRACHY OT 2</v>
          </cell>
          <cell r="K415" t="str">
            <v>BMED</v>
          </cell>
          <cell r="L415" t="str">
            <v>Critical</v>
          </cell>
          <cell r="M415" t="str">
            <v>Germany</v>
          </cell>
          <cell r="N415" t="str">
            <v>ERBE</v>
          </cell>
          <cell r="O415" t="str">
            <v>Erbe VIO 100 C</v>
          </cell>
          <cell r="P415" t="str">
            <v>11341789</v>
          </cell>
          <cell r="Q415" t="str">
            <v>Not Applicable</v>
          </cell>
          <cell r="R415" t="str">
            <v>ERBE Electromedizin GmbH</v>
          </cell>
          <cell r="S415" t="str">
            <v>AVRO Medical Sdn. Bhd.</v>
          </cell>
          <cell r="T415" t="str">
            <v>Not In Use</v>
          </cell>
          <cell r="U415" t="str">
            <v>Asset</v>
          </cell>
          <cell r="V415">
            <v>23580</v>
          </cell>
          <cell r="W415" t="str">
            <v>KEW</v>
          </cell>
          <cell r="X415" t="str">
            <v>01/09/2010</v>
          </cell>
          <cell r="Y415" t="str">
            <v>KEW</v>
          </cell>
          <cell r="Z415" t="str">
            <v>16/08/2013</v>
          </cell>
          <cell r="AA415" t="str">
            <v>15/08/2015</v>
          </cell>
          <cell r="AB415" t="str">
            <v>No</v>
          </cell>
          <cell r="AC415" t="str">
            <v>31/08/2013</v>
          </cell>
          <cell r="AD415" t="str">
            <v>Request for Exemption</v>
          </cell>
          <cell r="AE415" t="str">
            <v>V4 - Decommissioned Installed Facility</v>
          </cell>
          <cell r="AF415">
            <v>43059</v>
          </cell>
          <cell r="AG415">
            <v>9.17</v>
          </cell>
          <cell r="AH415" t="str">
            <v>PPM</v>
          </cell>
          <cell r="AI415" t="str">
            <v>Not in contract</v>
          </cell>
          <cell r="AJ415" t="str">
            <v>Not in contract</v>
          </cell>
          <cell r="AK415" t="e">
            <v>#N/A</v>
          </cell>
        </row>
        <row r="416">
          <cell r="A416" t="str">
            <v>IKN400854</v>
          </cell>
          <cell r="B416">
            <v>854</v>
          </cell>
          <cell r="C416" t="str">
            <v>Institut Kanser Negara</v>
          </cell>
          <cell r="D416" t="e">
            <v>#N/A</v>
          </cell>
          <cell r="E416" t="str">
            <v>12-539</v>
          </cell>
          <cell r="F416" t="str">
            <v>Microscopes, Light, Operating</v>
          </cell>
          <cell r="G416" t="str">
            <v>RT</v>
          </cell>
          <cell r="H416" t="str">
            <v>RADIATION TREATMENT UNIT</v>
          </cell>
          <cell r="I416" t="str">
            <v>01RT278</v>
          </cell>
          <cell r="J416" t="str">
            <v>BRACHY OT 2</v>
          </cell>
          <cell r="K416" t="str">
            <v>BMED</v>
          </cell>
          <cell r="L416" t="str">
            <v>Critical</v>
          </cell>
          <cell r="M416" t="str">
            <v>Singapore</v>
          </cell>
          <cell r="N416" t="str">
            <v>Leica</v>
          </cell>
          <cell r="O416" t="str">
            <v>Leica M822 F20</v>
          </cell>
          <cell r="P416" t="str">
            <v>Z10812002</v>
          </cell>
          <cell r="Q416" t="str">
            <v>Not Applicable</v>
          </cell>
          <cell r="R416" t="str">
            <v>Leica Microsystems AG</v>
          </cell>
          <cell r="S416" t="str">
            <v>Schmidt Biomedtech Sdn. Bhd.</v>
          </cell>
          <cell r="T416" t="str">
            <v>Disposed</v>
          </cell>
          <cell r="U416" t="str">
            <v>Asset</v>
          </cell>
          <cell r="V416">
            <v>481150</v>
          </cell>
          <cell r="W416" t="str">
            <v>KEW</v>
          </cell>
          <cell r="X416" t="str">
            <v>01/09/2010</v>
          </cell>
          <cell r="Y416" t="str">
            <v>KEW</v>
          </cell>
          <cell r="Z416" t="str">
            <v>16/08/2013</v>
          </cell>
          <cell r="AA416" t="str">
            <v>15/08/2015</v>
          </cell>
          <cell r="AB416" t="str">
            <v>No</v>
          </cell>
          <cell r="AC416" t="str">
            <v>31/08/2013</v>
          </cell>
          <cell r="AD416" t="str">
            <v>Good</v>
          </cell>
          <cell r="AE416" t="str">
            <v>V4 - Decommissioned Installed Facility</v>
          </cell>
          <cell r="AF416">
            <v>42622</v>
          </cell>
          <cell r="AG416">
            <v>9.17</v>
          </cell>
          <cell r="AH416" t="str">
            <v>PPM</v>
          </cell>
          <cell r="AI416" t="str">
            <v>Not in contract</v>
          </cell>
          <cell r="AJ416" t="str">
            <v>Not in contract</v>
          </cell>
          <cell r="AK416" t="e">
            <v>#N/A</v>
          </cell>
        </row>
        <row r="417">
          <cell r="A417" t="str">
            <v>IKN400855</v>
          </cell>
          <cell r="B417">
            <v>855</v>
          </cell>
          <cell r="C417" t="str">
            <v>Institut Kanser Negara</v>
          </cell>
          <cell r="D417" t="str">
            <v>KKM/IKN/H/13/4886</v>
          </cell>
          <cell r="E417" t="str">
            <v>15-177</v>
          </cell>
          <cell r="F417" t="str">
            <v>Sedimentation Rate Units</v>
          </cell>
          <cell r="G417" t="str">
            <v>LA</v>
          </cell>
          <cell r="H417" t="str">
            <v>PATHOLOGY</v>
          </cell>
          <cell r="I417" t="str">
            <v>04LA132</v>
          </cell>
          <cell r="J417" t="str">
            <v>HAEMATOLOGY LAB 2</v>
          </cell>
          <cell r="K417" t="str">
            <v>BMED</v>
          </cell>
          <cell r="L417" t="str">
            <v>Normal</v>
          </cell>
          <cell r="M417" t="str">
            <v>USA</v>
          </cell>
          <cell r="N417" t="str">
            <v>ESR-Auto Plus</v>
          </cell>
          <cell r="O417" t="str">
            <v>ESR-Auto Plus</v>
          </cell>
          <cell r="P417" t="str">
            <v>506-0456</v>
          </cell>
          <cell r="Q417" t="str">
            <v>Not Applicable</v>
          </cell>
          <cell r="R417" t="str">
            <v>Streck Labotatories Inc</v>
          </cell>
          <cell r="S417" t="str">
            <v>All Eights (M) Sdn Bhd</v>
          </cell>
          <cell r="T417" t="str">
            <v>Functioning</v>
          </cell>
          <cell r="U417" t="str">
            <v>Asset</v>
          </cell>
          <cell r="V417">
            <v>19250</v>
          </cell>
          <cell r="W417" t="str">
            <v>KEW</v>
          </cell>
          <cell r="X417" t="str">
            <v>01/09/2010</v>
          </cell>
          <cell r="Y417" t="str">
            <v>KEW</v>
          </cell>
          <cell r="Z417" t="str">
            <v>16/08/2013</v>
          </cell>
          <cell r="AA417" t="str">
            <v>15/08/2015</v>
          </cell>
          <cell r="AB417" t="str">
            <v>No</v>
          </cell>
          <cell r="AC417" t="str">
            <v>31/08/2013</v>
          </cell>
          <cell r="AD417" t="str">
            <v>Good</v>
          </cell>
          <cell r="AE417" t="str">
            <v>V1 - Existing / No Claim</v>
          </cell>
          <cell r="AF417">
            <v>43209</v>
          </cell>
          <cell r="AG417">
            <v>9.17</v>
          </cell>
          <cell r="AH417" t="str">
            <v>PPM</v>
          </cell>
          <cell r="AI417" t="str">
            <v>Strands</v>
          </cell>
          <cell r="AJ417" t="str">
            <v>Strands PW</v>
          </cell>
          <cell r="AK417" t="str">
            <v>PEP 13/7/2024</v>
          </cell>
        </row>
        <row r="418">
          <cell r="A418" t="str">
            <v>IKN400856</v>
          </cell>
          <cell r="B418">
            <v>856</v>
          </cell>
          <cell r="C418" t="str">
            <v>Institut Kanser Negara</v>
          </cell>
          <cell r="D418" t="str">
            <v>KKM/IKN/H/13/4887</v>
          </cell>
          <cell r="E418" t="str">
            <v>15-177</v>
          </cell>
          <cell r="F418" t="str">
            <v>Sedimentation Rate Units</v>
          </cell>
          <cell r="G418" t="str">
            <v>LA</v>
          </cell>
          <cell r="H418" t="str">
            <v>PATHOLOGY</v>
          </cell>
          <cell r="I418" t="str">
            <v>04LA132</v>
          </cell>
          <cell r="J418" t="str">
            <v>HAEMATOLOGY LAB 2</v>
          </cell>
          <cell r="K418" t="str">
            <v>BMED</v>
          </cell>
          <cell r="L418" t="str">
            <v>Normal</v>
          </cell>
          <cell r="M418" t="str">
            <v>USA</v>
          </cell>
          <cell r="N418" t="str">
            <v>ESR-Auto Plus</v>
          </cell>
          <cell r="O418" t="str">
            <v>ESR-Auto Plus</v>
          </cell>
          <cell r="P418" t="str">
            <v>506-1092</v>
          </cell>
          <cell r="Q418" t="str">
            <v>Not Applicable</v>
          </cell>
          <cell r="R418" t="str">
            <v>Streck Labotatories Inc</v>
          </cell>
          <cell r="S418" t="str">
            <v>All Eights (M) Sdn Bhd</v>
          </cell>
          <cell r="T418" t="str">
            <v>Functioning</v>
          </cell>
          <cell r="U418" t="str">
            <v>Asset</v>
          </cell>
          <cell r="V418">
            <v>19250</v>
          </cell>
          <cell r="W418" t="str">
            <v>KEW</v>
          </cell>
          <cell r="X418" t="str">
            <v>01/09/2010</v>
          </cell>
          <cell r="Y418" t="str">
            <v>KEW</v>
          </cell>
          <cell r="Z418" t="str">
            <v>16/08/2013</v>
          </cell>
          <cell r="AA418" t="str">
            <v>15/08/2015</v>
          </cell>
          <cell r="AB418" t="str">
            <v>No</v>
          </cell>
          <cell r="AC418" t="str">
            <v>31/08/2013</v>
          </cell>
          <cell r="AD418" t="str">
            <v>Good</v>
          </cell>
          <cell r="AE418" t="str">
            <v>V1 - Existing / No Claim</v>
          </cell>
          <cell r="AF418">
            <v>43209</v>
          </cell>
          <cell r="AG418">
            <v>9.17</v>
          </cell>
          <cell r="AH418" t="str">
            <v>PPM</v>
          </cell>
          <cell r="AI418" t="str">
            <v>Strands</v>
          </cell>
          <cell r="AJ418" t="str">
            <v>Strands PW. Proposed for V4 P2.23</v>
          </cell>
          <cell r="AK418" t="str">
            <v>[18/9/2023, SHARIFAH]: PEP (PEP salah nombor KKM) ON 8/8/2023, BER/BEMS/IKN/23/008 - Aset mengalami kerosakan pada scanner.</v>
          </cell>
        </row>
        <row r="419">
          <cell r="A419" t="str">
            <v>IKN400857</v>
          </cell>
          <cell r="B419">
            <v>857</v>
          </cell>
          <cell r="C419" t="str">
            <v>Institut Kanser Negara</v>
          </cell>
          <cell r="D419" t="e">
            <v>#N/A</v>
          </cell>
          <cell r="E419" t="str">
            <v>17-808</v>
          </cell>
          <cell r="F419" t="str">
            <v>Lasers, Diode, Ophthalmic</v>
          </cell>
          <cell r="G419" t="str">
            <v>RT</v>
          </cell>
          <cell r="H419" t="str">
            <v>RADIATION TREATMENT UNIT</v>
          </cell>
          <cell r="I419" t="str">
            <v>01RT278</v>
          </cell>
          <cell r="J419" t="str">
            <v>BRACHY OT 2</v>
          </cell>
          <cell r="K419" t="str">
            <v>BMED</v>
          </cell>
          <cell r="L419" t="str">
            <v>Normal</v>
          </cell>
          <cell r="M419" t="str">
            <v>USA</v>
          </cell>
          <cell r="N419" t="str">
            <v>Iridex</v>
          </cell>
          <cell r="O419" t="str">
            <v>Iridex IQ810</v>
          </cell>
          <cell r="P419" t="str">
            <v>60422</v>
          </cell>
          <cell r="Q419" t="str">
            <v>Not Applicable</v>
          </cell>
          <cell r="R419" t="str">
            <v>Iridex Corp</v>
          </cell>
          <cell r="S419" t="str">
            <v>Mandarin Opto-Medic</v>
          </cell>
          <cell r="T419" t="str">
            <v>Disposed</v>
          </cell>
          <cell r="U419" t="str">
            <v>Asset</v>
          </cell>
          <cell r="V419">
            <v>222530</v>
          </cell>
          <cell r="W419" t="str">
            <v>KEW</v>
          </cell>
          <cell r="X419" t="str">
            <v>01/09/2010</v>
          </cell>
          <cell r="Y419" t="str">
            <v>KEW</v>
          </cell>
          <cell r="Z419" t="str">
            <v>16/08/2013</v>
          </cell>
          <cell r="AA419" t="str">
            <v>15/08/2015</v>
          </cell>
          <cell r="AB419" t="str">
            <v>No</v>
          </cell>
          <cell r="AC419" t="str">
            <v>31/08/2013</v>
          </cell>
          <cell r="AD419" t="str">
            <v>Good</v>
          </cell>
          <cell r="AE419" t="str">
            <v>V4 - Decommissioned Installed Facility</v>
          </cell>
          <cell r="AF419">
            <v>42622</v>
          </cell>
          <cell r="AG419">
            <v>9.17</v>
          </cell>
          <cell r="AH419" t="str">
            <v>PPM</v>
          </cell>
          <cell r="AI419" t="str">
            <v>Not in contract</v>
          </cell>
          <cell r="AJ419" t="str">
            <v>Not in contract</v>
          </cell>
          <cell r="AK419" t="e">
            <v>#N/A</v>
          </cell>
        </row>
        <row r="420">
          <cell r="A420" t="str">
            <v>IKN400862</v>
          </cell>
          <cell r="B420">
            <v>861</v>
          </cell>
          <cell r="C420" t="str">
            <v>Institut Kanser Negara</v>
          </cell>
          <cell r="E420" t="str">
            <v>18-037</v>
          </cell>
          <cell r="F420" t="str">
            <v>Video Image Processors</v>
          </cell>
          <cell r="G420" t="str">
            <v>MC</v>
          </cell>
          <cell r="H420" t="str">
            <v>MULTI-DISCIPLINE CLINIC</v>
          </cell>
          <cell r="I420" t="str">
            <v>03MC108</v>
          </cell>
          <cell r="J420" t="str">
            <v>TREATMENT/PROCEDURE</v>
          </cell>
          <cell r="K420" t="str">
            <v>BMED</v>
          </cell>
          <cell r="L420" t="str">
            <v>Critical</v>
          </cell>
          <cell r="M420" t="str">
            <v>Taiwan</v>
          </cell>
          <cell r="N420" t="str">
            <v>Medicapture</v>
          </cell>
          <cell r="O420" t="str">
            <v>Medicapture USB 300</v>
          </cell>
          <cell r="P420" t="str">
            <v>3012241</v>
          </cell>
          <cell r="Q420" t="str">
            <v>Not Applicable</v>
          </cell>
          <cell r="R420" t="str">
            <v>Medicapture Inc</v>
          </cell>
          <cell r="S420" t="str">
            <v>Schmidt Biomedtech Sdn. Bhd.</v>
          </cell>
          <cell r="T420" t="str">
            <v>Disposed</v>
          </cell>
          <cell r="U420" t="str">
            <v>Asset</v>
          </cell>
          <cell r="V420">
            <v>20000</v>
          </cell>
          <cell r="W420" t="str">
            <v>Estimate</v>
          </cell>
          <cell r="X420" t="str">
            <v>01/09/2010</v>
          </cell>
          <cell r="Y420" t="str">
            <v>KEW</v>
          </cell>
          <cell r="Z420" t="str">
            <v>16/08/2013</v>
          </cell>
          <cell r="AA420" t="str">
            <v>15/08/2015</v>
          </cell>
          <cell r="AB420" t="str">
            <v>No</v>
          </cell>
          <cell r="AC420" t="str">
            <v>31/08/2013</v>
          </cell>
          <cell r="AD420" t="str">
            <v>Request for Exemption</v>
          </cell>
          <cell r="AE420" t="str">
            <v>V4 - Decommissioned Installed Facility</v>
          </cell>
          <cell r="AF420">
            <v>42740</v>
          </cell>
          <cell r="AG420">
            <v>9.17</v>
          </cell>
          <cell r="AH420" t="str">
            <v>PPM</v>
          </cell>
          <cell r="AI420" t="str">
            <v>Not in contract</v>
          </cell>
          <cell r="AJ420" t="str">
            <v>Not in contract</v>
          </cell>
        </row>
        <row r="421">
          <cell r="A421" t="str">
            <v>IKN400921</v>
          </cell>
          <cell r="B421">
            <v>920</v>
          </cell>
          <cell r="C421" t="str">
            <v>Institut Kanser Negara</v>
          </cell>
          <cell r="D421" t="str">
            <v>KKM/IKN/H/13/562</v>
          </cell>
          <cell r="E421" t="str">
            <v>12-815</v>
          </cell>
          <cell r="F421" t="str">
            <v>Ophthalmoscopes</v>
          </cell>
          <cell r="G421" t="str">
            <v>MC</v>
          </cell>
          <cell r="H421" t="str">
            <v>MULTI-DISCIPLINE CLINIC</v>
          </cell>
          <cell r="I421" t="str">
            <v>03MC118</v>
          </cell>
          <cell r="J421" t="str">
            <v>C/E 5</v>
          </cell>
          <cell r="K421" t="str">
            <v>BMED</v>
          </cell>
          <cell r="L421" t="str">
            <v>Normal</v>
          </cell>
          <cell r="M421" t="str">
            <v>USA</v>
          </cell>
          <cell r="N421" t="str">
            <v>Welch Allyn</v>
          </cell>
          <cell r="O421" t="str">
            <v>Welch Allyn 767</v>
          </cell>
          <cell r="P421" t="str">
            <v>767-01</v>
          </cell>
          <cell r="Q421" t="str">
            <v>Not Applicable</v>
          </cell>
          <cell r="R421" t="str">
            <v>Welch Allyn Inc</v>
          </cell>
          <cell r="S421" t="str">
            <v>Welch Allyn Malaysia Sdn Bhd</v>
          </cell>
          <cell r="T421" t="str">
            <v>Functioning</v>
          </cell>
          <cell r="U421" t="str">
            <v>Asset</v>
          </cell>
          <cell r="V421">
            <v>5773</v>
          </cell>
          <cell r="W421" t="str">
            <v>KEW</v>
          </cell>
          <cell r="X421" t="str">
            <v>01/09/2010</v>
          </cell>
          <cell r="Y421" t="str">
            <v>KEW</v>
          </cell>
          <cell r="Z421" t="str">
            <v>16/08/2013</v>
          </cell>
          <cell r="AA421" t="str">
            <v>15/08/2015</v>
          </cell>
          <cell r="AB421" t="str">
            <v>No</v>
          </cell>
          <cell r="AC421" t="str">
            <v>31/08/2013</v>
          </cell>
          <cell r="AD421" t="str">
            <v>Good</v>
          </cell>
          <cell r="AE421" t="str">
            <v>V4 - Decommissioned Installed Facility</v>
          </cell>
          <cell r="AF421">
            <v>42800</v>
          </cell>
          <cell r="AG421">
            <v>9.17</v>
          </cell>
          <cell r="AH421" t="str">
            <v>RI</v>
          </cell>
          <cell r="AJ421" t="str">
            <v>Strands PW. Proposed for V4 P2.23</v>
          </cell>
        </row>
        <row r="422">
          <cell r="A422" t="str">
            <v>IKN400922</v>
          </cell>
          <cell r="B422">
            <v>921</v>
          </cell>
          <cell r="C422" t="str">
            <v>Institut Kanser Negara</v>
          </cell>
          <cell r="D422" t="str">
            <v>KKM/IKN/H/13/564</v>
          </cell>
          <cell r="E422" t="str">
            <v>12-815</v>
          </cell>
          <cell r="F422" t="str">
            <v>Ophthalmoscopes</v>
          </cell>
          <cell r="G422" t="str">
            <v>MC</v>
          </cell>
          <cell r="H422" t="str">
            <v>MULTI-DISCIPLINE CLINIC</v>
          </cell>
          <cell r="I422" t="str">
            <v>03MC119</v>
          </cell>
          <cell r="J422" t="str">
            <v>C/E 4</v>
          </cell>
          <cell r="K422" t="str">
            <v>BMED</v>
          </cell>
          <cell r="L422" t="str">
            <v>Normal</v>
          </cell>
          <cell r="M422" t="str">
            <v>USA</v>
          </cell>
          <cell r="N422" t="str">
            <v>Welch Allyn</v>
          </cell>
          <cell r="O422" t="str">
            <v>Welch Allyn 767</v>
          </cell>
          <cell r="P422" t="str">
            <v>767-02</v>
          </cell>
          <cell r="Q422" t="str">
            <v>Not Applicable</v>
          </cell>
          <cell r="R422" t="str">
            <v>Welch Allyn Inc</v>
          </cell>
          <cell r="S422" t="str">
            <v>Welch Allyn Malaysia Sdn Bhd</v>
          </cell>
          <cell r="T422" t="str">
            <v>Functioning</v>
          </cell>
          <cell r="U422" t="str">
            <v>Asset</v>
          </cell>
          <cell r="V422">
            <v>5773</v>
          </cell>
          <cell r="W422" t="str">
            <v>KEW</v>
          </cell>
          <cell r="X422" t="str">
            <v>01/09/2010</v>
          </cell>
          <cell r="Y422" t="str">
            <v>KEW</v>
          </cell>
          <cell r="Z422" t="str">
            <v>16/08/2013</v>
          </cell>
          <cell r="AA422" t="str">
            <v>15/08/2015</v>
          </cell>
          <cell r="AB422" t="str">
            <v>No</v>
          </cell>
          <cell r="AC422" t="str">
            <v>31/08/2013</v>
          </cell>
          <cell r="AD422" t="str">
            <v>Good</v>
          </cell>
          <cell r="AE422" t="str">
            <v>V4 - Decommissioned Installed Facility</v>
          </cell>
          <cell r="AF422">
            <v>42800</v>
          </cell>
          <cell r="AG422">
            <v>9.17</v>
          </cell>
          <cell r="AH422" t="str">
            <v>RI</v>
          </cell>
          <cell r="AI422" t="str">
            <v>Strands</v>
          </cell>
          <cell r="AJ422" t="str">
            <v>Strands PW. Proposed for V4 P2.23</v>
          </cell>
        </row>
        <row r="423">
          <cell r="A423" t="str">
            <v>IKN400923</v>
          </cell>
          <cell r="B423">
            <v>922</v>
          </cell>
          <cell r="C423" t="str">
            <v>Institut Kanser Negara</v>
          </cell>
          <cell r="D423" t="str">
            <v>KKM/IKN/H/13/559</v>
          </cell>
          <cell r="E423" t="str">
            <v>12-815</v>
          </cell>
          <cell r="F423" t="str">
            <v>Ophthalmoscopes</v>
          </cell>
          <cell r="G423" t="str">
            <v>MC</v>
          </cell>
          <cell r="H423" t="str">
            <v>MULTI-DISCIPLINE CLINIC</v>
          </cell>
          <cell r="I423" t="str">
            <v>03MC121</v>
          </cell>
          <cell r="J423" t="str">
            <v>C/E 3</v>
          </cell>
          <cell r="K423" t="str">
            <v>BMED</v>
          </cell>
          <cell r="L423" t="str">
            <v>Normal</v>
          </cell>
          <cell r="M423" t="str">
            <v>USA</v>
          </cell>
          <cell r="N423" t="str">
            <v>Welch Allyn</v>
          </cell>
          <cell r="O423" t="str">
            <v>Welch Allyn 767</v>
          </cell>
          <cell r="P423" t="str">
            <v>767-03</v>
          </cell>
          <cell r="Q423" t="str">
            <v>Not Applicable</v>
          </cell>
          <cell r="R423" t="str">
            <v>Welch Allyn Inc</v>
          </cell>
          <cell r="S423" t="str">
            <v>Welch Allyn Malaysia Sdn Bhd</v>
          </cell>
          <cell r="T423" t="str">
            <v>Functioning</v>
          </cell>
          <cell r="U423" t="str">
            <v>Asset</v>
          </cell>
          <cell r="V423">
            <v>5773</v>
          </cell>
          <cell r="W423" t="str">
            <v>KEW</v>
          </cell>
          <cell r="X423" t="str">
            <v>01/09/2010</v>
          </cell>
          <cell r="Y423" t="str">
            <v>KEW</v>
          </cell>
          <cell r="Z423" t="str">
            <v>16/08/2013</v>
          </cell>
          <cell r="AA423" t="str">
            <v>15/08/2015</v>
          </cell>
          <cell r="AB423" t="str">
            <v>No</v>
          </cell>
          <cell r="AC423" t="str">
            <v>31/08/2013</v>
          </cell>
          <cell r="AD423" t="str">
            <v>Good</v>
          </cell>
          <cell r="AE423" t="str">
            <v>V4 - Decommissioned Installed Facility</v>
          </cell>
          <cell r="AF423">
            <v>42800</v>
          </cell>
          <cell r="AG423">
            <v>9.17</v>
          </cell>
          <cell r="AH423" t="str">
            <v>RI</v>
          </cell>
          <cell r="AI423" t="str">
            <v>Strands</v>
          </cell>
          <cell r="AJ423" t="str">
            <v>Strands PW. Proposed for V4 P2.23</v>
          </cell>
        </row>
        <row r="424">
          <cell r="A424" t="str">
            <v>IKN400924</v>
          </cell>
          <cell r="B424">
            <v>923</v>
          </cell>
          <cell r="C424" t="str">
            <v>Institut Kanser Negara</v>
          </cell>
          <cell r="D424" t="str">
            <v>KKM/IKN/H/13/561</v>
          </cell>
          <cell r="E424" t="str">
            <v>12-815</v>
          </cell>
          <cell r="F424" t="str">
            <v>Ophthalmoscopes</v>
          </cell>
          <cell r="G424" t="str">
            <v>MC</v>
          </cell>
          <cell r="H424" t="str">
            <v>MULTI-DISCIPLINE CLINIC</v>
          </cell>
          <cell r="I424" t="str">
            <v>03MC128</v>
          </cell>
          <cell r="J424" t="str">
            <v>C/E 2</v>
          </cell>
          <cell r="K424" t="str">
            <v>BMED</v>
          </cell>
          <cell r="L424" t="str">
            <v>Normal</v>
          </cell>
          <cell r="M424" t="str">
            <v>USA</v>
          </cell>
          <cell r="N424" t="str">
            <v>Welch Allyn</v>
          </cell>
          <cell r="O424" t="str">
            <v>Welch Allyn 767</v>
          </cell>
          <cell r="P424" t="str">
            <v>767-04</v>
          </cell>
          <cell r="Q424" t="str">
            <v>Not Applicable</v>
          </cell>
          <cell r="R424" t="str">
            <v>Welch Allyn Inc</v>
          </cell>
          <cell r="S424" t="str">
            <v>Welch Allyn Malaysia Sdn Bhd</v>
          </cell>
          <cell r="T424" t="str">
            <v>Functioning</v>
          </cell>
          <cell r="U424" t="str">
            <v>Asset</v>
          </cell>
          <cell r="V424">
            <v>5773</v>
          </cell>
          <cell r="W424" t="str">
            <v>KEW</v>
          </cell>
          <cell r="X424" t="str">
            <v>01/09/2010</v>
          </cell>
          <cell r="Y424" t="str">
            <v>KEW</v>
          </cell>
          <cell r="Z424" t="str">
            <v>16/08/2013</v>
          </cell>
          <cell r="AA424" t="str">
            <v>15/08/2015</v>
          </cell>
          <cell r="AB424" t="str">
            <v>No</v>
          </cell>
          <cell r="AC424" t="str">
            <v>31/08/2013</v>
          </cell>
          <cell r="AD424" t="str">
            <v>Good</v>
          </cell>
          <cell r="AE424" t="str">
            <v>V4 - Decommissioned Installed Facility</v>
          </cell>
          <cell r="AF424">
            <v>42800</v>
          </cell>
          <cell r="AG424">
            <v>9.17</v>
          </cell>
          <cell r="AH424" t="str">
            <v>RI</v>
          </cell>
          <cell r="AI424" t="str">
            <v>Strands</v>
          </cell>
          <cell r="AJ424" t="str">
            <v>Strands PW. Proposed for V4 P2.23</v>
          </cell>
        </row>
        <row r="425">
          <cell r="A425" t="str">
            <v>IKN400933</v>
          </cell>
          <cell r="B425">
            <v>932</v>
          </cell>
          <cell r="C425" t="str">
            <v>Institut Kanser Negara</v>
          </cell>
          <cell r="D425" t="str">
            <v>KKM/IKN/H/13/550</v>
          </cell>
          <cell r="E425" t="str">
            <v>12-818</v>
          </cell>
          <cell r="F425" t="str">
            <v>Ophthalmoscopes, Indirect</v>
          </cell>
          <cell r="G425" t="str">
            <v>MC</v>
          </cell>
          <cell r="H425" t="str">
            <v>MULTI-DISCIPLINE CLINIC</v>
          </cell>
          <cell r="I425" t="str">
            <v>03MC128</v>
          </cell>
          <cell r="J425" t="str">
            <v>C/E 2</v>
          </cell>
          <cell r="K425" t="str">
            <v>BMED</v>
          </cell>
          <cell r="L425" t="str">
            <v>Normal</v>
          </cell>
          <cell r="M425" t="str">
            <v>Germany</v>
          </cell>
          <cell r="N425" t="str">
            <v>Omega</v>
          </cell>
          <cell r="O425" t="str">
            <v>Omega 500 Unplugged</v>
          </cell>
          <cell r="P425" t="str">
            <v>1121000615</v>
          </cell>
          <cell r="Q425" t="str">
            <v>Not Applicable</v>
          </cell>
          <cell r="R425" t="str">
            <v>Heine Optotechnik GmbH &amp; Co KG</v>
          </cell>
          <cell r="S425" t="str">
            <v>Mandarin Opto-Medic</v>
          </cell>
          <cell r="T425" t="str">
            <v>Transferred</v>
          </cell>
          <cell r="U425" t="str">
            <v>Asset</v>
          </cell>
          <cell r="V425">
            <v>18890</v>
          </cell>
          <cell r="W425" t="str">
            <v>KEW</v>
          </cell>
          <cell r="X425" t="str">
            <v>01/09/2010</v>
          </cell>
          <cell r="Y425" t="str">
            <v>KEW</v>
          </cell>
          <cell r="Z425" t="str">
            <v>16/08/2013</v>
          </cell>
          <cell r="AA425" t="str">
            <v>15/08/2015</v>
          </cell>
          <cell r="AB425" t="str">
            <v>No</v>
          </cell>
          <cell r="AC425" t="str">
            <v>31/08/2013</v>
          </cell>
          <cell r="AD425" t="str">
            <v>Good</v>
          </cell>
          <cell r="AE425" t="str">
            <v>V1 - Existing / No Claim</v>
          </cell>
          <cell r="AF425">
            <v>43437</v>
          </cell>
          <cell r="AG425">
            <v>9.17</v>
          </cell>
          <cell r="AH425" t="str">
            <v>PPM</v>
          </cell>
          <cell r="AI425" t="str">
            <v>Strands</v>
          </cell>
          <cell r="AJ425" t="str">
            <v>Strands PW. Proposed V4 P1.24.</v>
          </cell>
          <cell r="AK425" t="str">
            <v>[1/3/2024, Sharifah]: Based on PPM 2017, Asset transfer to Hospital Lahad Datu, Sabah.</v>
          </cell>
        </row>
        <row r="426">
          <cell r="A426" t="str">
            <v>IKN400939</v>
          </cell>
          <cell r="B426">
            <v>938</v>
          </cell>
          <cell r="C426" t="str">
            <v>Institut Kanser Negara</v>
          </cell>
          <cell r="E426" t="str">
            <v>16-158</v>
          </cell>
          <cell r="F426" t="str">
            <v>Sphygmomanometers, Mercury</v>
          </cell>
          <cell r="G426" t="str">
            <v>MC</v>
          </cell>
          <cell r="H426" t="str">
            <v>MULTI-DISCIPLINE CLINIC</v>
          </cell>
          <cell r="I426" t="str">
            <v>03MC118</v>
          </cell>
          <cell r="J426" t="str">
            <v>C/E 5</v>
          </cell>
          <cell r="K426" t="str">
            <v>BMED</v>
          </cell>
          <cell r="L426" t="str">
            <v>Normal</v>
          </cell>
          <cell r="M426" t="str">
            <v>Germany</v>
          </cell>
          <cell r="N426" t="str">
            <v>Erka</v>
          </cell>
          <cell r="O426" t="str">
            <v>Erkameter 3000</v>
          </cell>
          <cell r="P426" t="str">
            <v>13500821</v>
          </cell>
          <cell r="Q426" t="str">
            <v>Not Applicable</v>
          </cell>
          <cell r="R426" t="str">
            <v>Erka GmbH &amp; Co</v>
          </cell>
          <cell r="S426" t="str">
            <v>Acucare Systems (M) Sdn bhd</v>
          </cell>
          <cell r="T426" t="str">
            <v>Functioning</v>
          </cell>
          <cell r="U426" t="str">
            <v>Asset</v>
          </cell>
          <cell r="V426">
            <v>505</v>
          </cell>
          <cell r="W426" t="str">
            <v>KEW</v>
          </cell>
          <cell r="X426" t="str">
            <v>01/09/2010</v>
          </cell>
          <cell r="Y426" t="str">
            <v>KEW</v>
          </cell>
          <cell r="Z426" t="str">
            <v>16/08/2013</v>
          </cell>
          <cell r="AA426" t="str">
            <v>15/08/2015</v>
          </cell>
          <cell r="AB426" t="str">
            <v>No</v>
          </cell>
          <cell r="AC426" t="str">
            <v>31/08/2013</v>
          </cell>
          <cell r="AD426" t="str">
            <v>Good</v>
          </cell>
          <cell r="AE426" t="str">
            <v>V4 - Decommissioned Installed Facility</v>
          </cell>
          <cell r="AF426">
            <v>42235</v>
          </cell>
          <cell r="AG426">
            <v>9.17</v>
          </cell>
          <cell r="AH426" t="str">
            <v>PPM</v>
          </cell>
          <cell r="AI426" t="str">
            <v>Not in contract</v>
          </cell>
          <cell r="AJ426" t="str">
            <v>Not under maintenance</v>
          </cell>
        </row>
        <row r="427">
          <cell r="A427" t="str">
            <v>IKN400953</v>
          </cell>
          <cell r="B427">
            <v>952</v>
          </cell>
          <cell r="C427" t="str">
            <v>Institut Kanser Negara</v>
          </cell>
          <cell r="D427" t="e">
            <v>#N/A</v>
          </cell>
          <cell r="E427" t="str">
            <v>16-173</v>
          </cell>
          <cell r="F427" t="str">
            <v>Sphygmomanometers, Electronic, Automatic</v>
          </cell>
          <cell r="G427" t="str">
            <v>RT</v>
          </cell>
          <cell r="H427" t="str">
            <v>RADIATION TREATMENT UNIT</v>
          </cell>
          <cell r="I427" t="str">
            <v>01RT110</v>
          </cell>
          <cell r="J427" t="str">
            <v>C/E 2</v>
          </cell>
          <cell r="K427" t="str">
            <v>BMED</v>
          </cell>
          <cell r="L427" t="str">
            <v>Normal</v>
          </cell>
          <cell r="M427" t="str">
            <v>USA</v>
          </cell>
          <cell r="N427" t="str">
            <v>Connex</v>
          </cell>
          <cell r="O427" t="str">
            <v>Connex ProBP 3400</v>
          </cell>
          <cell r="P427" t="str">
            <v>100000630413</v>
          </cell>
          <cell r="Q427" t="str">
            <v>Not Applicable</v>
          </cell>
          <cell r="R427" t="str">
            <v>Welch Allyn Inc</v>
          </cell>
          <cell r="S427" t="str">
            <v>Welch Allyn Malaysia Sdn Bhd</v>
          </cell>
          <cell r="T427" t="str">
            <v>Functioning</v>
          </cell>
          <cell r="U427" t="str">
            <v>Asset</v>
          </cell>
          <cell r="V427">
            <v>336</v>
          </cell>
          <cell r="W427" t="str">
            <v>KEW</v>
          </cell>
          <cell r="X427" t="str">
            <v>01/09/2010</v>
          </cell>
          <cell r="Y427" t="str">
            <v>KEW</v>
          </cell>
          <cell r="Z427" t="str">
            <v>16/08/2013</v>
          </cell>
          <cell r="AA427" t="str">
            <v>15/08/2015</v>
          </cell>
          <cell r="AB427" t="str">
            <v>No</v>
          </cell>
          <cell r="AC427" t="str">
            <v>31/08/2013</v>
          </cell>
          <cell r="AD427" t="str">
            <v>Good</v>
          </cell>
          <cell r="AE427" t="str">
            <v>V1 - Existing / No Claim</v>
          </cell>
          <cell r="AF427">
            <v>42235</v>
          </cell>
          <cell r="AG427">
            <v>9.17</v>
          </cell>
          <cell r="AH427" t="str">
            <v>PPM</v>
          </cell>
          <cell r="AI427" t="str">
            <v>Not in contract</v>
          </cell>
        </row>
        <row r="428">
          <cell r="A428" t="str">
            <v>IKN400972</v>
          </cell>
          <cell r="B428">
            <v>970</v>
          </cell>
          <cell r="C428" t="str">
            <v>Institut Kanser Negara</v>
          </cell>
          <cell r="D428" t="e">
            <v>#N/A</v>
          </cell>
          <cell r="E428" t="str">
            <v>17-148</v>
          </cell>
          <cell r="F428" t="str">
            <v>Oximeters, Pulse</v>
          </cell>
          <cell r="G428" t="str">
            <v>RT</v>
          </cell>
          <cell r="H428" t="str">
            <v>RADIATION TREATMENT UNIT</v>
          </cell>
          <cell r="I428" t="str">
            <v>01RT110</v>
          </cell>
          <cell r="J428" t="str">
            <v>C/E 2</v>
          </cell>
          <cell r="K428" t="str">
            <v>BMED</v>
          </cell>
          <cell r="L428" t="str">
            <v>Normal</v>
          </cell>
          <cell r="M428" t="str">
            <v>Finland</v>
          </cell>
          <cell r="N428" t="str">
            <v>Trusat</v>
          </cell>
          <cell r="O428" t="str">
            <v>Trusat</v>
          </cell>
          <cell r="P428" t="str">
            <v>FCC12430069SA</v>
          </cell>
          <cell r="Q428" t="str">
            <v>Not Applicable</v>
          </cell>
          <cell r="R428" t="str">
            <v>GE Healthcare Systems</v>
          </cell>
          <cell r="S428" t="str">
            <v>GE Healthcare Technologies</v>
          </cell>
          <cell r="T428" t="str">
            <v>Functioning</v>
          </cell>
          <cell r="U428" t="str">
            <v>Asset</v>
          </cell>
          <cell r="V428">
            <v>11120</v>
          </cell>
          <cell r="W428" t="str">
            <v>KEW</v>
          </cell>
          <cell r="X428" t="str">
            <v>01/09/2010</v>
          </cell>
          <cell r="Y428" t="str">
            <v>KEW</v>
          </cell>
          <cell r="Z428" t="str">
            <v>16/08/2013</v>
          </cell>
          <cell r="AA428" t="str">
            <v>15/08/2015</v>
          </cell>
          <cell r="AB428" t="str">
            <v>No</v>
          </cell>
          <cell r="AC428" t="str">
            <v>31/08/2013</v>
          </cell>
          <cell r="AD428" t="str">
            <v>Good</v>
          </cell>
          <cell r="AE428" t="str">
            <v>V1 - Existing / No Claim</v>
          </cell>
          <cell r="AF428">
            <v>42235</v>
          </cell>
          <cell r="AG428">
            <v>9.17</v>
          </cell>
          <cell r="AH428" t="str">
            <v>PPM</v>
          </cell>
          <cell r="AI428" t="str">
            <v>Not in contract</v>
          </cell>
        </row>
        <row r="429">
          <cell r="A429" t="str">
            <v>IKN400991</v>
          </cell>
          <cell r="B429">
            <v>989</v>
          </cell>
          <cell r="C429" t="str">
            <v>Institut Kanser Negara</v>
          </cell>
          <cell r="D429" t="str">
            <v>KKM/IKN/H/13/3001</v>
          </cell>
          <cell r="E429" t="str">
            <v>13-275</v>
          </cell>
          <cell r="F429" t="str">
            <v>Calibrators, Radioisotope</v>
          </cell>
          <cell r="G429" t="str">
            <v>NM</v>
          </cell>
          <cell r="H429" t="str">
            <v>NUCLEAR MED (DIAGNOSTIC)</v>
          </cell>
          <cell r="I429" t="str">
            <v>03NM166</v>
          </cell>
          <cell r="J429" t="str">
            <v>REPORTING</v>
          </cell>
          <cell r="K429" t="str">
            <v>BMED</v>
          </cell>
          <cell r="L429" t="str">
            <v>Normal</v>
          </cell>
          <cell r="M429" t="str">
            <v>USA</v>
          </cell>
          <cell r="N429" t="str">
            <v>Atomlab</v>
          </cell>
          <cell r="O429" t="str">
            <v>Atomlab 500 Plus</v>
          </cell>
          <cell r="P429" t="str">
            <v>11060309-E</v>
          </cell>
          <cell r="Q429" t="str">
            <v>Not Applicable</v>
          </cell>
          <cell r="R429" t="str">
            <v>Biodex Medical Systems Inc</v>
          </cell>
          <cell r="S429" t="str">
            <v>Not Available</v>
          </cell>
          <cell r="T429" t="str">
            <v>Functioning</v>
          </cell>
          <cell r="U429" t="str">
            <v>Asset</v>
          </cell>
          <cell r="V429">
            <v>60390</v>
          </cell>
          <cell r="W429" t="str">
            <v>Estimate</v>
          </cell>
          <cell r="X429" t="str">
            <v>01/09/2010</v>
          </cell>
          <cell r="Y429" t="str">
            <v>KEW</v>
          </cell>
          <cell r="Z429" t="str">
            <v>16/08/2013</v>
          </cell>
          <cell r="AA429" t="str">
            <v>15/08/2015</v>
          </cell>
          <cell r="AB429" t="str">
            <v>No</v>
          </cell>
          <cell r="AC429" t="str">
            <v>31/08/2013</v>
          </cell>
          <cell r="AD429" t="str">
            <v>Good</v>
          </cell>
          <cell r="AE429" t="str">
            <v>V1 - Existing / No Claim</v>
          </cell>
          <cell r="AF429" t="str">
            <v>2/10/2018 - 17/4/2024</v>
          </cell>
          <cell r="AG429">
            <v>9.17</v>
          </cell>
          <cell r="AH429" t="str">
            <v>PPM</v>
          </cell>
          <cell r="AI429" t="str">
            <v>package</v>
          </cell>
          <cell r="AJ429" t="str">
            <v>Not in contract</v>
          </cell>
          <cell r="AK429" t="str">
            <v>[SHARIFAH, 16/10/2023]: PEP ON 21/7/2023. BER/BEMS/IKN/22/001 - Aset mengalami kerosakan pada komponen utama iaitu reader dan asset ini tidak ekonomik diperbaiki lagi. SNF V4 received on 17/4/2024.</v>
          </cell>
        </row>
        <row r="430">
          <cell r="A430" t="str">
            <v>IKN400992</v>
          </cell>
          <cell r="B430">
            <v>990</v>
          </cell>
          <cell r="C430" t="str">
            <v>Institut Kanser Negara</v>
          </cell>
          <cell r="D430" t="str">
            <v>KKM/IKN/H/13/5151</v>
          </cell>
          <cell r="E430" t="str">
            <v>13-275</v>
          </cell>
          <cell r="F430" t="str">
            <v>Calibrators, Radioisotope</v>
          </cell>
          <cell r="G430" t="str">
            <v>WA</v>
          </cell>
          <cell r="H430" t="str">
            <v>NUCLEAR MED WARD (THERAPY)</v>
          </cell>
          <cell r="I430" t="str">
            <v>03WA125</v>
          </cell>
          <cell r="J430" t="str">
            <v>RADIOIODIN PREP (100% F.A.)</v>
          </cell>
          <cell r="K430" t="str">
            <v>BMED</v>
          </cell>
          <cell r="L430" t="str">
            <v>Normal</v>
          </cell>
          <cell r="M430" t="str">
            <v>USA</v>
          </cell>
          <cell r="N430" t="str">
            <v>Atomlab</v>
          </cell>
          <cell r="O430" t="str">
            <v>Atomlab 500</v>
          </cell>
          <cell r="P430" t="str">
            <v>13040805</v>
          </cell>
          <cell r="Q430" t="str">
            <v>Not Applicable</v>
          </cell>
          <cell r="R430" t="str">
            <v>Biodex Medical Systems Inc</v>
          </cell>
          <cell r="S430" t="str">
            <v>Not Available</v>
          </cell>
          <cell r="T430" t="str">
            <v>Functioning</v>
          </cell>
          <cell r="U430" t="str">
            <v>Asset</v>
          </cell>
          <cell r="V430">
            <v>60390</v>
          </cell>
          <cell r="W430" t="str">
            <v>KEW</v>
          </cell>
          <cell r="X430" t="str">
            <v>01/09/2010</v>
          </cell>
          <cell r="Y430" t="str">
            <v>KEW</v>
          </cell>
          <cell r="Z430" t="str">
            <v>16/08/2013</v>
          </cell>
          <cell r="AA430" t="str">
            <v>15/08/2015</v>
          </cell>
          <cell r="AB430" t="str">
            <v>No</v>
          </cell>
          <cell r="AC430" t="str">
            <v>31/08/2013</v>
          </cell>
          <cell r="AD430" t="str">
            <v>Good</v>
          </cell>
          <cell r="AE430" t="str">
            <v>V1 - Existing / No Claim</v>
          </cell>
          <cell r="AF430" t="str">
            <v>23/8/2016 - 1/12/2022</v>
          </cell>
          <cell r="AG430">
            <v>9.17</v>
          </cell>
          <cell r="AH430" t="str">
            <v>PPM</v>
          </cell>
          <cell r="AI430" t="str">
            <v>Strands</v>
          </cell>
          <cell r="AJ430" t="str">
            <v>Strands (V4 P1.23.)</v>
          </cell>
          <cell r="AK430" t="str">
            <v>[23/8/2023, Sharifah]: V4 P1.23</v>
          </cell>
        </row>
        <row r="431">
          <cell r="A431" t="str">
            <v>IKN400999</v>
          </cell>
          <cell r="B431">
            <v>997</v>
          </cell>
          <cell r="C431" t="str">
            <v>Institut Kanser Negara</v>
          </cell>
          <cell r="D431" t="str">
            <v>N/A</v>
          </cell>
          <cell r="E431" t="str">
            <v>17-679</v>
          </cell>
          <cell r="F431" t="str">
            <v>Laser Imagers</v>
          </cell>
          <cell r="G431" t="str">
            <v>NM</v>
          </cell>
          <cell r="H431" t="str">
            <v>NUCLEAR MED (DIAGNOSTIC)</v>
          </cell>
          <cell r="I431" t="str">
            <v>03NM166</v>
          </cell>
          <cell r="J431" t="str">
            <v>REPORTING</v>
          </cell>
          <cell r="K431" t="str">
            <v>BMED</v>
          </cell>
          <cell r="L431" t="str">
            <v>Normal</v>
          </cell>
          <cell r="M431" t="str">
            <v>USA</v>
          </cell>
          <cell r="N431" t="str">
            <v>DryPix</v>
          </cell>
          <cell r="O431" t="str">
            <v>DryPix Plus</v>
          </cell>
          <cell r="P431" t="str">
            <v>26510103</v>
          </cell>
          <cell r="Q431" t="str">
            <v>Not Applicable</v>
          </cell>
          <cell r="R431" t="str">
            <v>FujiFilm Corp</v>
          </cell>
          <cell r="S431" t="str">
            <v>Advance Altimas Sdn Bhd</v>
          </cell>
          <cell r="T431" t="str">
            <v>Functioning</v>
          </cell>
          <cell r="U431" t="str">
            <v>Asset</v>
          </cell>
          <cell r="V431">
            <v>80000</v>
          </cell>
          <cell r="W431" t="str">
            <v>Estimate</v>
          </cell>
          <cell r="X431" t="str">
            <v>01/09/2010</v>
          </cell>
          <cell r="Y431" t="str">
            <v>KEW</v>
          </cell>
          <cell r="Z431" t="str">
            <v>16/08/2013</v>
          </cell>
          <cell r="AA431" t="str">
            <v>15/08/2015</v>
          </cell>
          <cell r="AB431" t="str">
            <v>No</v>
          </cell>
          <cell r="AC431" t="str">
            <v>31/08/2013</v>
          </cell>
          <cell r="AD431" t="str">
            <v>Good</v>
          </cell>
          <cell r="AE431" t="str">
            <v>V1 - Existing / No Claim</v>
          </cell>
          <cell r="AF431">
            <v>42605</v>
          </cell>
          <cell r="AG431">
            <v>9.17</v>
          </cell>
          <cell r="AH431" t="str">
            <v>PPM</v>
          </cell>
          <cell r="AI431" t="str">
            <v>Strands</v>
          </cell>
          <cell r="AJ431" t="str">
            <v>Strands Package</v>
          </cell>
          <cell r="AK431" t="str">
            <v>Package Code XK0001A</v>
          </cell>
        </row>
        <row r="432">
          <cell r="A432" t="str">
            <v>IKN401006</v>
          </cell>
          <cell r="B432">
            <v>1004</v>
          </cell>
          <cell r="C432" t="str">
            <v>Institut Kanser Negara</v>
          </cell>
          <cell r="D432" t="str">
            <v>KKM/IKN/H/13/3888</v>
          </cell>
          <cell r="E432" t="str">
            <v>15-999</v>
          </cell>
          <cell r="F432" t="str">
            <v>Washers, Flexible Endoscope</v>
          </cell>
          <cell r="G432" t="str">
            <v>MC</v>
          </cell>
          <cell r="H432" t="str">
            <v>MULTI-DISCIPLINE CLINIC</v>
          </cell>
          <cell r="I432" t="str">
            <v>03MC111</v>
          </cell>
          <cell r="J432" t="str">
            <v>SCOPE WASH</v>
          </cell>
          <cell r="K432" t="str">
            <v>BMED</v>
          </cell>
          <cell r="L432" t="str">
            <v>Normal</v>
          </cell>
          <cell r="M432" t="str">
            <v>USA</v>
          </cell>
          <cell r="N432" t="str">
            <v>System</v>
          </cell>
          <cell r="O432" t="str">
            <v>System 1 Express</v>
          </cell>
          <cell r="P432" t="str">
            <v>20215</v>
          </cell>
          <cell r="Q432" t="str">
            <v>Not Applicable</v>
          </cell>
          <cell r="R432" t="str">
            <v>Steris Corp</v>
          </cell>
          <cell r="S432" t="str">
            <v>Maymedic Technology Sdn Bhd</v>
          </cell>
          <cell r="T432" t="str">
            <v>Functioning</v>
          </cell>
          <cell r="U432" t="str">
            <v>Asset</v>
          </cell>
          <cell r="V432">
            <v>168040</v>
          </cell>
          <cell r="W432" t="str">
            <v>KEW</v>
          </cell>
          <cell r="X432" t="str">
            <v>01/09/2010</v>
          </cell>
          <cell r="Y432" t="str">
            <v>KEW</v>
          </cell>
          <cell r="Z432" t="str">
            <v>16/08/2013</v>
          </cell>
          <cell r="AA432" t="str">
            <v>15/08/2015</v>
          </cell>
          <cell r="AB432" t="str">
            <v>No</v>
          </cell>
          <cell r="AC432" t="str">
            <v>31/08/2013</v>
          </cell>
          <cell r="AD432" t="str">
            <v>Good</v>
          </cell>
          <cell r="AE432" t="str">
            <v>V1 - Existing / No Claim</v>
          </cell>
          <cell r="AF432">
            <v>43063</v>
          </cell>
          <cell r="AG432">
            <v>9.17</v>
          </cell>
          <cell r="AH432" t="str">
            <v>PPM</v>
          </cell>
          <cell r="AI432" t="str">
            <v>Strands</v>
          </cell>
          <cell r="AJ432" t="str">
            <v>Strands PW</v>
          </cell>
          <cell r="AK432" t="str">
            <v>SJIJIL PEP  15/8/2024</v>
          </cell>
        </row>
        <row r="433">
          <cell r="A433" t="str">
            <v>IKN401015</v>
          </cell>
          <cell r="B433">
            <v>1013</v>
          </cell>
          <cell r="C433" t="str">
            <v>Institut Kanser Negara</v>
          </cell>
          <cell r="D433" t="str">
            <v>KKM/IKN/H/13/3934-01</v>
          </cell>
          <cell r="E433" t="str">
            <v>17-002</v>
          </cell>
          <cell r="F433" t="str">
            <v>Cameras, Video, Endoscope</v>
          </cell>
          <cell r="G433" t="str">
            <v>OT</v>
          </cell>
          <cell r="H433" t="str">
            <v>OPERATING THEATRE</v>
          </cell>
          <cell r="I433" t="str">
            <v>05OT167</v>
          </cell>
          <cell r="J433" t="str">
            <v>SCOPE WASH</v>
          </cell>
          <cell r="K433" t="str">
            <v>BMED</v>
          </cell>
          <cell r="L433" t="str">
            <v>Normal</v>
          </cell>
          <cell r="M433" t="str">
            <v>Germany</v>
          </cell>
          <cell r="N433" t="str">
            <v>Image 1</v>
          </cell>
          <cell r="O433" t="str">
            <v>Image 1 HUB 22201020</v>
          </cell>
          <cell r="P433" t="str">
            <v>WX698068-P</v>
          </cell>
          <cell r="Q433" t="str">
            <v>Not Applicable</v>
          </cell>
          <cell r="R433" t="str">
            <v>Karl Storz-Endoskope</v>
          </cell>
          <cell r="S433" t="str">
            <v>UMMI Surgical Sdn Bhd</v>
          </cell>
          <cell r="T433" t="str">
            <v>Functioning</v>
          </cell>
          <cell r="U433" t="str">
            <v>Asset</v>
          </cell>
          <cell r="V433">
            <v>60000</v>
          </cell>
          <cell r="W433" t="str">
            <v>Estimate</v>
          </cell>
          <cell r="X433" t="str">
            <v>01/09/2010</v>
          </cell>
          <cell r="Y433" t="str">
            <v>KEW</v>
          </cell>
          <cell r="Z433" t="str">
            <v>16/08/2013</v>
          </cell>
          <cell r="AA433" t="str">
            <v>15/08/2015</v>
          </cell>
          <cell r="AB433" t="str">
            <v>No</v>
          </cell>
          <cell r="AC433" t="str">
            <v>31/08/2013</v>
          </cell>
          <cell r="AD433" t="str">
            <v>Good</v>
          </cell>
          <cell r="AE433" t="str">
            <v>V1 - Existing / No Claim</v>
          </cell>
          <cell r="AF433">
            <v>42605</v>
          </cell>
          <cell r="AG433">
            <v>9.17</v>
          </cell>
          <cell r="AH433" t="str">
            <v>PPM</v>
          </cell>
          <cell r="AI433" t="str">
            <v>Strands</v>
          </cell>
          <cell r="AJ433" t="str">
            <v>Strands Package. Proposed for V4 P2.23</v>
          </cell>
          <cell r="AK433" t="str">
            <v>[Indira] Camera Head (Serial No: ZX807403-H), CAT No: 22220055 (Cable: SNNW808458-H). [18/9/2023, SHARIFAH]: PEP ON 8/8/2023, BER/BEMS/IKN/23/018 - Asset mengalami kerosakan pada camera head. Package Code EP0127</v>
          </cell>
        </row>
        <row r="434">
          <cell r="A434" t="str">
            <v>IKN401087</v>
          </cell>
          <cell r="B434">
            <v>1085</v>
          </cell>
          <cell r="C434" t="str">
            <v>Institut Kanser Negara</v>
          </cell>
          <cell r="D434" t="str">
            <v>KKM/IKN/H/13/4545</v>
          </cell>
          <cell r="E434" t="str">
            <v>12-647</v>
          </cell>
          <cell r="F434" t="str">
            <v>Physiologic Monitoring Systems, Acute Care</v>
          </cell>
          <cell r="G434" t="str">
            <v>AE</v>
          </cell>
          <cell r="H434" t="str">
            <v>EMERGENCY UNIT</v>
          </cell>
          <cell r="I434" t="str">
            <v>01AE108</v>
          </cell>
          <cell r="J434" t="str">
            <v>TRIAGE</v>
          </cell>
          <cell r="K434" t="str">
            <v>BMED</v>
          </cell>
          <cell r="L434" t="str">
            <v>Critical</v>
          </cell>
          <cell r="M434" t="str">
            <v>USA</v>
          </cell>
          <cell r="N434" t="str">
            <v>Propaq</v>
          </cell>
          <cell r="O434" t="str">
            <v>Propaq CS 242</v>
          </cell>
          <cell r="P434" t="str">
            <v>GA117269</v>
          </cell>
          <cell r="Q434" t="str">
            <v>Not Applicable</v>
          </cell>
          <cell r="R434" t="str">
            <v>Welch Allyn Inc</v>
          </cell>
          <cell r="S434" t="str">
            <v>Continental Top Products &amp; Engineering S</v>
          </cell>
          <cell r="T434" t="str">
            <v>Functioning</v>
          </cell>
          <cell r="U434" t="str">
            <v>Asset</v>
          </cell>
          <cell r="V434">
            <v>22000</v>
          </cell>
          <cell r="W434" t="str">
            <v>KEW</v>
          </cell>
          <cell r="X434" t="str">
            <v>23/12/2013</v>
          </cell>
          <cell r="Y434" t="str">
            <v>KEW</v>
          </cell>
          <cell r="Z434" t="str">
            <v>23/12/2013</v>
          </cell>
          <cell r="AA434" t="str">
            <v>22/12/2015</v>
          </cell>
          <cell r="AB434" t="str">
            <v>No</v>
          </cell>
          <cell r="AC434" t="str">
            <v>23/12/2013</v>
          </cell>
          <cell r="AD434" t="str">
            <v>Good</v>
          </cell>
          <cell r="AE434" t="str">
            <v>V3 - Added Installed Facilities (New)</v>
          </cell>
          <cell r="AF434">
            <v>42800</v>
          </cell>
          <cell r="AG434">
            <v>5.92</v>
          </cell>
          <cell r="AH434" t="str">
            <v>PPM</v>
          </cell>
          <cell r="AI434" t="str">
            <v>Strands</v>
          </cell>
          <cell r="AJ434" t="str">
            <v>Strands PW</v>
          </cell>
          <cell r="AK434" t="str">
            <v>SNF received. 1st batch of V3 asset (December 2020). [29/2/2024, SHARIFAH]: PEP ON 28/2/2024, BER/BEMS/IKN/23/010 - Aset mengalami kerosakan pada main board. Penggunaannya hendaklah dihentikan.</v>
          </cell>
        </row>
        <row r="435">
          <cell r="A435" t="str">
            <v>IKN401104</v>
          </cell>
          <cell r="B435">
            <v>1102</v>
          </cell>
          <cell r="C435" t="str">
            <v>Institut Kanser Negara</v>
          </cell>
          <cell r="D435" t="e">
            <v>#N/A</v>
          </cell>
          <cell r="E435" t="str">
            <v>12-282</v>
          </cell>
          <cell r="F435" t="str">
            <v>Lights, Surgical</v>
          </cell>
          <cell r="G435" t="str">
            <v>WE</v>
          </cell>
          <cell r="H435" t="str">
            <v>RT/ONCO WARD 1 (F)</v>
          </cell>
          <cell r="I435" t="str">
            <v>07WE107</v>
          </cell>
          <cell r="J435" t="str">
            <v>TREATMENT / PROCESURE</v>
          </cell>
          <cell r="K435" t="str">
            <v>BMED</v>
          </cell>
          <cell r="L435" t="str">
            <v>Normal</v>
          </cell>
          <cell r="M435" t="str">
            <v>USA</v>
          </cell>
          <cell r="N435" t="str">
            <v>Welch Allyn</v>
          </cell>
          <cell r="O435" t="str">
            <v>Welch Allyn GS900</v>
          </cell>
          <cell r="P435" t="str">
            <v>10032911105652</v>
          </cell>
          <cell r="Q435" t="str">
            <v>Not Applicable</v>
          </cell>
          <cell r="R435" t="str">
            <v>Welch Allyn Inc</v>
          </cell>
          <cell r="S435" t="str">
            <v>Welch Allyn Malaysia Sdn Bhd</v>
          </cell>
          <cell r="T435" t="str">
            <v>Functioning</v>
          </cell>
          <cell r="U435" t="str">
            <v>Asset</v>
          </cell>
          <cell r="V435">
            <v>10585</v>
          </cell>
          <cell r="W435" t="str">
            <v>KEW</v>
          </cell>
          <cell r="X435" t="str">
            <v>01/09/2010</v>
          </cell>
          <cell r="Y435" t="str">
            <v>KEW</v>
          </cell>
          <cell r="Z435" t="str">
            <v>16/08/2013</v>
          </cell>
          <cell r="AA435" t="str">
            <v>15/08/2015</v>
          </cell>
          <cell r="AB435" t="str">
            <v>No</v>
          </cell>
          <cell r="AC435" t="str">
            <v>31/08/2013</v>
          </cell>
          <cell r="AD435" t="str">
            <v>Good</v>
          </cell>
          <cell r="AE435" t="str">
            <v>V1 - Existing / No Claim</v>
          </cell>
          <cell r="AF435">
            <v>42235</v>
          </cell>
          <cell r="AG435">
            <v>9.17</v>
          </cell>
          <cell r="AH435" t="str">
            <v>PPM</v>
          </cell>
          <cell r="AI435" t="str">
            <v>Not in contract</v>
          </cell>
        </row>
        <row r="436">
          <cell r="A436" t="str">
            <v>IKN401116</v>
          </cell>
          <cell r="B436">
            <v>1114</v>
          </cell>
          <cell r="C436" t="str">
            <v>Institut Kanser Negara</v>
          </cell>
          <cell r="D436" t="str">
            <v>KKM/IKN/H/13/2128</v>
          </cell>
          <cell r="E436" t="str">
            <v>16-320</v>
          </cell>
          <cell r="F436" t="str">
            <v>Incinerators, Pathology</v>
          </cell>
          <cell r="G436" t="str">
            <v>LA</v>
          </cell>
          <cell r="H436" t="str">
            <v>PATHOLOGY</v>
          </cell>
          <cell r="I436" t="str">
            <v>04LA126</v>
          </cell>
          <cell r="J436" t="str">
            <v>MICROBIOLOGY UNIT</v>
          </cell>
          <cell r="K436" t="str">
            <v>BMED</v>
          </cell>
          <cell r="L436" t="str">
            <v>Normal</v>
          </cell>
          <cell r="M436" t="str">
            <v>USA</v>
          </cell>
          <cell r="N436" t="str">
            <v>Bacticinerator</v>
          </cell>
          <cell r="O436" t="str">
            <v>Bacticinerator IV</v>
          </cell>
          <cell r="P436" t="str">
            <v>03130006-5</v>
          </cell>
          <cell r="Q436" t="str">
            <v>Not Applicable</v>
          </cell>
          <cell r="R436" t="str">
            <v>Thermo Fisher Scientific Ltd</v>
          </cell>
          <cell r="S436" t="str">
            <v>Bumi Sains Sdn. Bhd.</v>
          </cell>
          <cell r="T436" t="str">
            <v>Functioning</v>
          </cell>
          <cell r="U436" t="str">
            <v>Asset</v>
          </cell>
          <cell r="V436">
            <v>3000</v>
          </cell>
          <cell r="W436" t="str">
            <v>KEW</v>
          </cell>
          <cell r="X436" t="str">
            <v>01/09/2010</v>
          </cell>
          <cell r="Y436" t="str">
            <v>KEW</v>
          </cell>
          <cell r="Z436" t="str">
            <v>16/08/2013</v>
          </cell>
          <cell r="AA436" t="str">
            <v>15/08/2015</v>
          </cell>
          <cell r="AB436" t="str">
            <v>No</v>
          </cell>
          <cell r="AC436" t="str">
            <v>31/08/2013</v>
          </cell>
          <cell r="AD436" t="str">
            <v>Good</v>
          </cell>
          <cell r="AE436" t="str">
            <v>V4 - Decommissioned Installed Facility</v>
          </cell>
          <cell r="AF436">
            <v>42790</v>
          </cell>
          <cell r="AG436">
            <v>9.17</v>
          </cell>
          <cell r="AH436" t="str">
            <v>PPM</v>
          </cell>
          <cell r="AI436" t="str">
            <v>Not in contract</v>
          </cell>
          <cell r="AJ436" t="str">
            <v>Not in contract</v>
          </cell>
          <cell r="AK436" t="str">
            <v>[22/9/2023, SHARIFAH]: PEP ON FEB 2021, BER/BEMS/AWSB/20/009 - Asset masih berfungsi namun asset tidak ekonomik diperbaiki lagi sekiranya rosak.</v>
          </cell>
        </row>
        <row r="437">
          <cell r="A437" t="str">
            <v>IKN401117</v>
          </cell>
          <cell r="B437">
            <v>1115</v>
          </cell>
          <cell r="C437" t="str">
            <v>Institut Kanser Negara</v>
          </cell>
          <cell r="D437" t="str">
            <v>KKM/IKN/H/13/2130</v>
          </cell>
          <cell r="E437" t="str">
            <v>16-320</v>
          </cell>
          <cell r="F437" t="str">
            <v>Incinerators, Pathology</v>
          </cell>
          <cell r="G437" t="str">
            <v>LA</v>
          </cell>
          <cell r="H437" t="str">
            <v>PATHOLOGY</v>
          </cell>
          <cell r="I437" t="str">
            <v>04LA126</v>
          </cell>
          <cell r="J437" t="str">
            <v>MICROBIOLOGY UNIT</v>
          </cell>
          <cell r="K437" t="str">
            <v>BMED</v>
          </cell>
          <cell r="L437" t="str">
            <v>Normal</v>
          </cell>
          <cell r="M437" t="str">
            <v>USA</v>
          </cell>
          <cell r="N437" t="str">
            <v>Bacticinerator</v>
          </cell>
          <cell r="O437" t="str">
            <v>Bacticinerator IV</v>
          </cell>
          <cell r="P437" t="str">
            <v>03130003-5</v>
          </cell>
          <cell r="Q437" t="str">
            <v>Not Applicable</v>
          </cell>
          <cell r="R437" t="str">
            <v>Thermo Fisher Scientific Ltd</v>
          </cell>
          <cell r="S437" t="str">
            <v>Bumi Sains Sdn. Bhd.</v>
          </cell>
          <cell r="T437" t="str">
            <v>Functioning</v>
          </cell>
          <cell r="U437" t="str">
            <v>Asset</v>
          </cell>
          <cell r="V437">
            <v>3000</v>
          </cell>
          <cell r="W437" t="str">
            <v>KEW</v>
          </cell>
          <cell r="X437" t="str">
            <v>01/09/2010</v>
          </cell>
          <cell r="Y437" t="str">
            <v>KEW</v>
          </cell>
          <cell r="Z437" t="str">
            <v>16/08/2013</v>
          </cell>
          <cell r="AA437" t="str">
            <v>15/08/2015</v>
          </cell>
          <cell r="AB437" t="str">
            <v>No</v>
          </cell>
          <cell r="AC437" t="str">
            <v>31/08/2013</v>
          </cell>
          <cell r="AD437" t="str">
            <v>Good</v>
          </cell>
          <cell r="AE437" t="str">
            <v>V4 - Decommissioned Installed Facility</v>
          </cell>
          <cell r="AF437">
            <v>42235</v>
          </cell>
          <cell r="AG437">
            <v>9.17</v>
          </cell>
          <cell r="AH437" t="str">
            <v>PPM</v>
          </cell>
          <cell r="AI437" t="str">
            <v>Not in contract</v>
          </cell>
          <cell r="AJ437" t="str">
            <v>Not in contract</v>
          </cell>
          <cell r="AK437" t="str">
            <v>[22/9/2023, SHARIFAH]: PEP ON FEB 2021, BER/BEMS/AWSB/20/010 - Asset masih berfungsi namun asset tidak ekonomik diperbaiki lagi sekiranya rosak.</v>
          </cell>
        </row>
        <row r="438">
          <cell r="A438" t="str">
            <v>IKN401118</v>
          </cell>
          <cell r="B438">
            <v>1116</v>
          </cell>
          <cell r="C438" t="str">
            <v>Institut Kanser Negara</v>
          </cell>
          <cell r="D438" t="str">
            <v>KKM/IKN/H/13/2131</v>
          </cell>
          <cell r="E438" t="str">
            <v>16-320</v>
          </cell>
          <cell r="F438" t="str">
            <v>Incinerators, Pathology</v>
          </cell>
          <cell r="G438" t="str">
            <v>LA</v>
          </cell>
          <cell r="H438" t="str">
            <v>PATHOLOGY</v>
          </cell>
          <cell r="I438" t="str">
            <v>04LA126</v>
          </cell>
          <cell r="J438" t="str">
            <v>MICROBIOLOGY UNIT</v>
          </cell>
          <cell r="K438" t="str">
            <v>BMED</v>
          </cell>
          <cell r="L438" t="str">
            <v>Normal</v>
          </cell>
          <cell r="M438" t="str">
            <v>USA</v>
          </cell>
          <cell r="N438" t="str">
            <v>Bacticinerator</v>
          </cell>
          <cell r="O438" t="str">
            <v>Bacticinerator IV</v>
          </cell>
          <cell r="P438" t="str">
            <v>03130004-5</v>
          </cell>
          <cell r="Q438" t="str">
            <v>Not Applicable</v>
          </cell>
          <cell r="R438" t="str">
            <v>Thermo Fisher Scientific Ltd</v>
          </cell>
          <cell r="S438" t="str">
            <v>Bumi Sains Sdn. Bhd.</v>
          </cell>
          <cell r="T438" t="str">
            <v>Not Functioning</v>
          </cell>
          <cell r="U438" t="str">
            <v>Asset</v>
          </cell>
          <cell r="V438">
            <v>3000</v>
          </cell>
          <cell r="W438" t="str">
            <v>KEW</v>
          </cell>
          <cell r="X438" t="str">
            <v>01/09/2010</v>
          </cell>
          <cell r="Y438" t="str">
            <v>KEW</v>
          </cell>
          <cell r="Z438" t="str">
            <v>16/08/2013</v>
          </cell>
          <cell r="AA438" t="str">
            <v>15/08/2015</v>
          </cell>
          <cell r="AB438" t="str">
            <v>No</v>
          </cell>
          <cell r="AC438" t="str">
            <v>31/08/2013</v>
          </cell>
          <cell r="AD438" t="str">
            <v>Good</v>
          </cell>
          <cell r="AE438" t="str">
            <v>V4 - Decommissioned Installed Facility</v>
          </cell>
          <cell r="AF438">
            <v>42235</v>
          </cell>
          <cell r="AG438">
            <v>9.17</v>
          </cell>
          <cell r="AH438" t="str">
            <v>PPM</v>
          </cell>
          <cell r="AI438" t="str">
            <v>Not in contract</v>
          </cell>
          <cell r="AJ438" t="str">
            <v>Not in contract</v>
          </cell>
          <cell r="AK438" t="str">
            <v>[22/9/2023, SHARIFAH]: PEP ON FEB 2021, BER/BEMS/AWSB/20/011 - Asset mengalami kerosakan pada Heater Element.</v>
          </cell>
        </row>
        <row r="439">
          <cell r="A439" t="str">
            <v>IKN401119</v>
          </cell>
          <cell r="B439">
            <v>1117</v>
          </cell>
          <cell r="C439" t="str">
            <v>Institut Kanser Negara</v>
          </cell>
          <cell r="D439" t="str">
            <v>KKM/IKN/H/13/2132</v>
          </cell>
          <cell r="E439" t="str">
            <v>16-320</v>
          </cell>
          <cell r="F439" t="str">
            <v>Incinerators, Pathology</v>
          </cell>
          <cell r="G439" t="str">
            <v>LA</v>
          </cell>
          <cell r="H439" t="str">
            <v>PATHOLOGY</v>
          </cell>
          <cell r="I439" t="str">
            <v>04LA127</v>
          </cell>
          <cell r="J439" t="str">
            <v>INNOCULATION/STAINING</v>
          </cell>
          <cell r="K439" t="str">
            <v>BMED</v>
          </cell>
          <cell r="L439" t="str">
            <v>Normal</v>
          </cell>
          <cell r="M439" t="str">
            <v>USA</v>
          </cell>
          <cell r="N439" t="str">
            <v>Bacticinerator</v>
          </cell>
          <cell r="O439" t="str">
            <v>Bacticinerator IV</v>
          </cell>
          <cell r="P439" t="str">
            <v>03130005-5</v>
          </cell>
          <cell r="Q439" t="str">
            <v>Not Applicable</v>
          </cell>
          <cell r="R439" t="str">
            <v>Thermo Fisher Scientific Ltd</v>
          </cell>
          <cell r="S439" t="str">
            <v>Bumi Sains Sdn. Bhd.</v>
          </cell>
          <cell r="T439" t="str">
            <v>Functioning</v>
          </cell>
          <cell r="U439" t="str">
            <v>Asset</v>
          </cell>
          <cell r="V439">
            <v>3000</v>
          </cell>
          <cell r="W439" t="str">
            <v>KEW</v>
          </cell>
          <cell r="X439" t="str">
            <v>01/09/2010</v>
          </cell>
          <cell r="Y439" t="str">
            <v>KEW</v>
          </cell>
          <cell r="Z439" t="str">
            <v>16/08/2013</v>
          </cell>
          <cell r="AA439" t="str">
            <v>15/08/2015</v>
          </cell>
          <cell r="AB439" t="str">
            <v>No</v>
          </cell>
          <cell r="AC439" t="str">
            <v>31/08/2013</v>
          </cell>
          <cell r="AD439" t="str">
            <v>Good</v>
          </cell>
          <cell r="AE439" t="str">
            <v>V4 - Decommissioned Installed Facility</v>
          </cell>
          <cell r="AF439">
            <v>42235</v>
          </cell>
          <cell r="AG439">
            <v>9.17</v>
          </cell>
          <cell r="AH439" t="str">
            <v>PPM</v>
          </cell>
          <cell r="AI439" t="str">
            <v>Not in contract</v>
          </cell>
          <cell r="AJ439" t="str">
            <v>Not in contract</v>
          </cell>
          <cell r="AK439" t="str">
            <v>[22/9/2023, SHARIFAH]: PEP ON FEB 2021, BER/BEMS/AWSB/20/012 - Asset masih berfungsi namun asset tidak ekonomik diperbaiki lagi sekiranya rosak.</v>
          </cell>
        </row>
        <row r="440">
          <cell r="A440" t="str">
            <v>IKN401120</v>
          </cell>
          <cell r="B440">
            <v>1118</v>
          </cell>
          <cell r="C440" t="str">
            <v>Institut Kanser Negara</v>
          </cell>
          <cell r="D440" t="str">
            <v>KKM/IKN/H/13/2129</v>
          </cell>
          <cell r="E440" t="str">
            <v>16-320</v>
          </cell>
          <cell r="F440" t="str">
            <v>Incinerators, Pathology</v>
          </cell>
          <cell r="G440" t="str">
            <v>LA</v>
          </cell>
          <cell r="H440" t="str">
            <v>PATHOLOGY</v>
          </cell>
          <cell r="I440" t="str">
            <v>04LA126</v>
          </cell>
          <cell r="J440" t="str">
            <v>MICROBIOLOGY UNIT</v>
          </cell>
          <cell r="K440" t="str">
            <v>BMED</v>
          </cell>
          <cell r="L440" t="str">
            <v>Normal</v>
          </cell>
          <cell r="M440" t="str">
            <v>USA</v>
          </cell>
          <cell r="N440" t="str">
            <v>Bacticinerator</v>
          </cell>
          <cell r="O440" t="str">
            <v>Bacticinerator IV</v>
          </cell>
          <cell r="P440" t="str">
            <v>03130001-5</v>
          </cell>
          <cell r="Q440" t="str">
            <v>Not Applicable</v>
          </cell>
          <cell r="R440" t="str">
            <v>Thermo Fisher Scientific Ltd</v>
          </cell>
          <cell r="S440" t="str">
            <v>Bumi Sains Sdn. Bhd.</v>
          </cell>
          <cell r="T440" t="str">
            <v>Functioning</v>
          </cell>
          <cell r="U440" t="str">
            <v>Asset</v>
          </cell>
          <cell r="V440">
            <v>3000</v>
          </cell>
          <cell r="W440" t="str">
            <v>KEW</v>
          </cell>
          <cell r="X440" t="str">
            <v>01/09/2010</v>
          </cell>
          <cell r="Y440" t="str">
            <v>KEW</v>
          </cell>
          <cell r="Z440" t="str">
            <v>16/08/2013</v>
          </cell>
          <cell r="AA440" t="str">
            <v>15/08/2015</v>
          </cell>
          <cell r="AB440" t="str">
            <v>No</v>
          </cell>
          <cell r="AC440" t="str">
            <v>31/08/2013</v>
          </cell>
          <cell r="AD440" t="str">
            <v>Good</v>
          </cell>
          <cell r="AE440" t="str">
            <v>V4 - Decommissioned Installed Facility</v>
          </cell>
          <cell r="AF440">
            <v>42790</v>
          </cell>
          <cell r="AG440">
            <v>9.17</v>
          </cell>
          <cell r="AH440" t="str">
            <v>PPM</v>
          </cell>
          <cell r="AI440" t="str">
            <v>Not in contract</v>
          </cell>
          <cell r="AJ440" t="str">
            <v>Not in contract</v>
          </cell>
          <cell r="AK440" t="str">
            <v>[22/9/2023, SHARIFAH]: PEP ON FEB 2021, BER/BEMS/AWSB/20/013 - Asset mengalami kerosakan pada Heater Element.</v>
          </cell>
        </row>
        <row r="441">
          <cell r="A441" t="str">
            <v>IKN401121</v>
          </cell>
          <cell r="B441">
            <v>1119</v>
          </cell>
          <cell r="C441" t="str">
            <v>Institut Kanser Negara</v>
          </cell>
          <cell r="D441" t="str">
            <v>KKM/IKN/H/13/2127</v>
          </cell>
          <cell r="E441" t="str">
            <v>16-320</v>
          </cell>
          <cell r="F441" t="str">
            <v>Incinerators, Pathology</v>
          </cell>
          <cell r="G441" t="str">
            <v>LA</v>
          </cell>
          <cell r="H441" t="str">
            <v>PATHOLOGY</v>
          </cell>
          <cell r="I441" t="str">
            <v>04LA126</v>
          </cell>
          <cell r="J441" t="str">
            <v>MICROBIOLOGY UNIT</v>
          </cell>
          <cell r="K441" t="str">
            <v>BMED</v>
          </cell>
          <cell r="L441" t="str">
            <v>Normal</v>
          </cell>
          <cell r="M441" t="str">
            <v>USA</v>
          </cell>
          <cell r="N441" t="str">
            <v>Bacticinerator</v>
          </cell>
          <cell r="O441" t="str">
            <v>Bacticinerator IV</v>
          </cell>
          <cell r="P441" t="str">
            <v>03130002-5</v>
          </cell>
          <cell r="Q441" t="str">
            <v>Not Applicable</v>
          </cell>
          <cell r="R441" t="str">
            <v>Thermo Fisher Scientific Ltd</v>
          </cell>
          <cell r="S441" t="str">
            <v>Bumi Sains Sdn. Bhd.</v>
          </cell>
          <cell r="T441" t="str">
            <v>Functioning</v>
          </cell>
          <cell r="U441" t="str">
            <v>Asset</v>
          </cell>
          <cell r="V441">
            <v>3000</v>
          </cell>
          <cell r="W441" t="str">
            <v>KEW</v>
          </cell>
          <cell r="X441" t="str">
            <v>01/09/2010</v>
          </cell>
          <cell r="Y441" t="str">
            <v>KEW</v>
          </cell>
          <cell r="Z441" t="str">
            <v>16/08/2013</v>
          </cell>
          <cell r="AA441" t="str">
            <v>15/08/2015</v>
          </cell>
          <cell r="AB441" t="str">
            <v>No</v>
          </cell>
          <cell r="AC441" t="str">
            <v>31/08/2013</v>
          </cell>
          <cell r="AD441" t="str">
            <v>Good</v>
          </cell>
          <cell r="AE441" t="str">
            <v>V4 - Decommissioned Installed Facility</v>
          </cell>
          <cell r="AF441">
            <v>42790</v>
          </cell>
          <cell r="AG441">
            <v>9.17</v>
          </cell>
          <cell r="AH441" t="str">
            <v>PPM</v>
          </cell>
          <cell r="AI441" t="str">
            <v>Not in contract</v>
          </cell>
          <cell r="AJ441" t="str">
            <v>Not in contract</v>
          </cell>
          <cell r="AK441" t="str">
            <v>[22/9/2023, SHARIFAH]: PEP ON FEB 2021, BER/BEMS/AWSB/20/014 - Asset mengalami kerosakan pada Heater Element.</v>
          </cell>
        </row>
        <row r="442">
          <cell r="A442" t="str">
            <v>IKN401163</v>
          </cell>
          <cell r="B442">
            <v>1161</v>
          </cell>
          <cell r="C442" t="str">
            <v>Institut Kanser Negara</v>
          </cell>
          <cell r="D442" t="str">
            <v>KKM/IKN/H/13/2314</v>
          </cell>
          <cell r="E442" t="str">
            <v>11-295</v>
          </cell>
          <cell r="F442" t="str">
            <v>Dosimeters, Radiation</v>
          </cell>
          <cell r="G442" t="str">
            <v>ID</v>
          </cell>
          <cell r="H442" t="str">
            <v>IMAGING DEPARTMENT</v>
          </cell>
          <cell r="I442" t="str">
            <v>03ID169</v>
          </cell>
          <cell r="J442" t="str">
            <v>RADIOGRAPHER</v>
          </cell>
          <cell r="K442" t="str">
            <v>BMED</v>
          </cell>
          <cell r="L442" t="str">
            <v>Normal</v>
          </cell>
          <cell r="M442" t="str">
            <v>Germany</v>
          </cell>
          <cell r="N442" t="str">
            <v>Thermo Fisher</v>
          </cell>
          <cell r="O442" t="str">
            <v>EPD MK2.5</v>
          </cell>
          <cell r="P442" t="str">
            <v>00289471</v>
          </cell>
          <cell r="Q442" t="str">
            <v>Not Applicable</v>
          </cell>
          <cell r="R442" t="str">
            <v>Thermo Fisher Scientific</v>
          </cell>
          <cell r="S442" t="str">
            <v>Delta Advantech (M) Sdn Bhd</v>
          </cell>
          <cell r="T442" t="str">
            <v>Disposed</v>
          </cell>
          <cell r="U442" t="str">
            <v>Asset</v>
          </cell>
          <cell r="V442">
            <v>4370</v>
          </cell>
          <cell r="W442" t="str">
            <v>KEW</v>
          </cell>
          <cell r="X442" t="str">
            <v>01/09/2010</v>
          </cell>
          <cell r="Y442" t="str">
            <v>KEW</v>
          </cell>
          <cell r="Z442" t="str">
            <v>16/08/2013</v>
          </cell>
          <cell r="AA442" t="str">
            <v>15/08/2015</v>
          </cell>
          <cell r="AB442" t="str">
            <v>No</v>
          </cell>
          <cell r="AC442" t="str">
            <v>31/08/2013</v>
          </cell>
          <cell r="AD442" t="str">
            <v>Good</v>
          </cell>
          <cell r="AE442" t="str">
            <v>V1 - Existing / No Claim</v>
          </cell>
          <cell r="AF442" t="str">
            <v>19/8/2015 - 17/4/2024</v>
          </cell>
          <cell r="AG442">
            <v>9.17</v>
          </cell>
          <cell r="AH442" t="str">
            <v>PPM</v>
          </cell>
          <cell r="AI442" t="str">
            <v>Strands</v>
          </cell>
          <cell r="AJ442" t="str">
            <v>Strands PW. Proposed V4 P1.24.</v>
          </cell>
          <cell r="AK442" t="str">
            <v>[2/4/2024]: BER2 received on 22/5/2023. No need PEP.</v>
          </cell>
        </row>
        <row r="443">
          <cell r="A443" t="str">
            <v>IKN401193</v>
          </cell>
          <cell r="B443">
            <v>1191</v>
          </cell>
          <cell r="C443" t="str">
            <v>Institut Kanser Negara</v>
          </cell>
          <cell r="D443" t="str">
            <v>KKM/IKN/H/13/4005</v>
          </cell>
          <cell r="E443" t="str">
            <v>11-295</v>
          </cell>
          <cell r="F443" t="str">
            <v>Dosimeters, Radiation</v>
          </cell>
          <cell r="G443" t="str">
            <v>NM</v>
          </cell>
          <cell r="H443" t="str">
            <v>NUCLEAR MED (DIAGNOSTIC)</v>
          </cell>
          <cell r="I443" t="str">
            <v>03NM170</v>
          </cell>
          <cell r="J443" t="str">
            <v>CHIEF PHYSICIST</v>
          </cell>
          <cell r="K443" t="str">
            <v>BMED</v>
          </cell>
          <cell r="L443" t="str">
            <v>Normal</v>
          </cell>
          <cell r="M443" t="str">
            <v>Germany</v>
          </cell>
          <cell r="N443" t="str">
            <v>Thermo Fisher</v>
          </cell>
          <cell r="O443" t="str">
            <v>EPD MK2.5</v>
          </cell>
          <cell r="P443" t="str">
            <v>00289472</v>
          </cell>
          <cell r="Q443" t="str">
            <v>Not Applicable</v>
          </cell>
          <cell r="R443" t="str">
            <v>Thermo Fisher Scientific</v>
          </cell>
          <cell r="S443" t="str">
            <v>Delta Advantech (M) Sdn Bhd</v>
          </cell>
          <cell r="T443" t="str">
            <v>Disposed</v>
          </cell>
          <cell r="U443" t="str">
            <v>Asset</v>
          </cell>
          <cell r="V443">
            <v>4370</v>
          </cell>
          <cell r="W443" t="str">
            <v>KEW</v>
          </cell>
          <cell r="X443" t="str">
            <v>01/09/2010</v>
          </cell>
          <cell r="Y443" t="str">
            <v>KEW</v>
          </cell>
          <cell r="Z443" t="str">
            <v>16/08/2013</v>
          </cell>
          <cell r="AA443" t="str">
            <v>15/08/2015</v>
          </cell>
          <cell r="AB443" t="str">
            <v>No</v>
          </cell>
          <cell r="AC443" t="str">
            <v>31/08/2013</v>
          </cell>
          <cell r="AD443" t="str">
            <v>Good</v>
          </cell>
          <cell r="AE443" t="str">
            <v>V1 - Existing / No Claim</v>
          </cell>
          <cell r="AF443" t="str">
            <v>19/8/2015 - 17/4/2024</v>
          </cell>
          <cell r="AG443">
            <v>9.17</v>
          </cell>
          <cell r="AH443" t="str">
            <v>PPM</v>
          </cell>
          <cell r="AI443" t="str">
            <v>Strands</v>
          </cell>
          <cell r="AJ443" t="str">
            <v>Strands PW. Proposed V4 P1.24.</v>
          </cell>
          <cell r="AK443" t="str">
            <v>[ZARINA]: PEP ON 1/3/2023, BER/BEMS/IKN/23/002 - Aset mengalami kerosakan besar iaitu unit tidak berfungsi.</v>
          </cell>
        </row>
        <row r="444">
          <cell r="A444" t="str">
            <v>IKN401216</v>
          </cell>
          <cell r="B444">
            <v>1214</v>
          </cell>
          <cell r="C444" t="str">
            <v>Institut Kanser Negara</v>
          </cell>
          <cell r="D444" t="e">
            <v>#N/A</v>
          </cell>
          <cell r="E444" t="str">
            <v>14-032</v>
          </cell>
          <cell r="F444" t="str">
            <v>Thermometers, Electronic</v>
          </cell>
          <cell r="G444" t="str">
            <v>RT</v>
          </cell>
          <cell r="H444" t="str">
            <v>RADIATION TREATMENT UNIT</v>
          </cell>
          <cell r="I444" t="str">
            <v>01RT213</v>
          </cell>
          <cell r="J444" t="str">
            <v>EQUIPMENT ROOM1</v>
          </cell>
          <cell r="K444" t="str">
            <v>BMED</v>
          </cell>
          <cell r="L444" t="str">
            <v>Normal</v>
          </cell>
          <cell r="M444" t="str">
            <v>Romania</v>
          </cell>
          <cell r="N444" t="str">
            <v>Hanna</v>
          </cell>
          <cell r="O444" t="str">
            <v>HI151-00 CheckTemp 4</v>
          </cell>
          <cell r="P444" t="str">
            <v>473340</v>
          </cell>
          <cell r="Q444" t="str">
            <v>Not Applicable</v>
          </cell>
          <cell r="R444" t="str">
            <v>Hanna Instruments</v>
          </cell>
          <cell r="S444" t="str">
            <v>Delta Advantech (M) Sdn Bhd</v>
          </cell>
          <cell r="T444" t="str">
            <v>Functioning</v>
          </cell>
          <cell r="U444" t="str">
            <v>Asset</v>
          </cell>
          <cell r="V444">
            <v>450</v>
          </cell>
          <cell r="W444" t="str">
            <v>KEW</v>
          </cell>
          <cell r="X444" t="str">
            <v>01/09/2010</v>
          </cell>
          <cell r="Y444" t="str">
            <v>KEW</v>
          </cell>
          <cell r="Z444" t="str">
            <v>16/08/2013</v>
          </cell>
          <cell r="AA444" t="str">
            <v>15/08/2015</v>
          </cell>
          <cell r="AB444" t="str">
            <v>No</v>
          </cell>
          <cell r="AC444" t="str">
            <v>31/08/2013</v>
          </cell>
          <cell r="AD444" t="str">
            <v>Good</v>
          </cell>
          <cell r="AE444" t="str">
            <v>V1 - Existing / No Claim</v>
          </cell>
          <cell r="AF444">
            <v>42235</v>
          </cell>
          <cell r="AG444">
            <v>9.17</v>
          </cell>
          <cell r="AH444" t="str">
            <v>RI</v>
          </cell>
          <cell r="AI444" t="str">
            <v>Not in contract</v>
          </cell>
          <cell r="AK444" t="str">
            <v>[22/8/2024, Sharifah]: User say do not have to calibrate.</v>
          </cell>
        </row>
        <row r="445">
          <cell r="A445" t="str">
            <v>IKN401219</v>
          </cell>
          <cell r="B445">
            <v>1217</v>
          </cell>
          <cell r="C445" t="str">
            <v>Institut Kanser Negara</v>
          </cell>
          <cell r="D445" t="str">
            <v>KKM/IKN/H/13/4006</v>
          </cell>
          <cell r="E445" t="str">
            <v>11-295</v>
          </cell>
          <cell r="F445" t="str">
            <v>Dosimeters, Radiation</v>
          </cell>
          <cell r="G445" t="str">
            <v>NM</v>
          </cell>
          <cell r="H445" t="str">
            <v>NUCLEAR MED (DIAGNOSTIC)</v>
          </cell>
          <cell r="I445" t="str">
            <v>03NM106</v>
          </cell>
          <cell r="J445" t="str">
            <v>OFFICE/RECORDS</v>
          </cell>
          <cell r="K445" t="str">
            <v>BMED</v>
          </cell>
          <cell r="L445" t="str">
            <v>Normal</v>
          </cell>
          <cell r="M445" t="str">
            <v>Germany</v>
          </cell>
          <cell r="N445" t="str">
            <v>Thermo Fisher</v>
          </cell>
          <cell r="O445" t="str">
            <v>EPD MK2.5</v>
          </cell>
          <cell r="P445" t="str">
            <v>00289460</v>
          </cell>
          <cell r="Q445" t="str">
            <v>Not Applicable</v>
          </cell>
          <cell r="R445" t="str">
            <v>Thermo Fisher Scientific</v>
          </cell>
          <cell r="S445" t="str">
            <v>Delta Advantech (M) Sdn Bhd</v>
          </cell>
          <cell r="T445" t="str">
            <v>Disposed</v>
          </cell>
          <cell r="U445" t="str">
            <v>Asset</v>
          </cell>
          <cell r="V445">
            <v>4370</v>
          </cell>
          <cell r="W445" t="str">
            <v>KEW</v>
          </cell>
          <cell r="X445" t="str">
            <v>01/09/2010</v>
          </cell>
          <cell r="Y445" t="str">
            <v>KEW</v>
          </cell>
          <cell r="Z445" t="str">
            <v>16/08/2013</v>
          </cell>
          <cell r="AA445" t="str">
            <v>15/08/2015</v>
          </cell>
          <cell r="AB445" t="str">
            <v>No</v>
          </cell>
          <cell r="AC445" t="str">
            <v>31/08/2013</v>
          </cell>
          <cell r="AD445" t="str">
            <v>Good</v>
          </cell>
          <cell r="AE445" t="str">
            <v>V1 - Existing / No Claim</v>
          </cell>
          <cell r="AF445" t="str">
            <v>19/8/2015 - 17/4/2024</v>
          </cell>
          <cell r="AG445">
            <v>9.17</v>
          </cell>
          <cell r="AH445" t="str">
            <v>PPM</v>
          </cell>
          <cell r="AI445" t="str">
            <v>Strands</v>
          </cell>
          <cell r="AJ445" t="str">
            <v>Strands PW. Proposed V4 P1.24.</v>
          </cell>
          <cell r="AK445" t="str">
            <v>[ZARINA]: PEP ON 1/3/2023, BER/BEMS/IKN/23/003 - Aset mengalami kerosakan pada paparan unit.</v>
          </cell>
        </row>
        <row r="446">
          <cell r="A446" t="str">
            <v>IKN401241</v>
          </cell>
          <cell r="B446">
            <v>1239</v>
          </cell>
          <cell r="C446" t="str">
            <v>Institut Kanser Negara</v>
          </cell>
          <cell r="E446" t="str">
            <v>16-158</v>
          </cell>
          <cell r="F446" t="str">
            <v>Sphygmomanometers, Mercury</v>
          </cell>
          <cell r="G446" t="str">
            <v>MC</v>
          </cell>
          <cell r="H446" t="str">
            <v>MULTI-DISCIPLINE CLINIC</v>
          </cell>
          <cell r="I446" t="str">
            <v>03MC107</v>
          </cell>
          <cell r="J446" t="str">
            <v>TREATMENT 1</v>
          </cell>
          <cell r="K446" t="str">
            <v>BMED</v>
          </cell>
          <cell r="L446" t="str">
            <v>Normal</v>
          </cell>
          <cell r="M446" t="str">
            <v>Germany</v>
          </cell>
          <cell r="N446" t="str">
            <v>Erka</v>
          </cell>
          <cell r="O446" t="str">
            <v>Erkameter 3000</v>
          </cell>
          <cell r="P446" t="str">
            <v>12508918</v>
          </cell>
          <cell r="Q446" t="str">
            <v>Not Applicable</v>
          </cell>
          <cell r="R446" t="str">
            <v>Erka GmbH &amp; Co</v>
          </cell>
          <cell r="S446" t="str">
            <v>Acucare Systems (M) Sdn bhd</v>
          </cell>
          <cell r="T446" t="str">
            <v>Functioning</v>
          </cell>
          <cell r="U446" t="str">
            <v>Asset</v>
          </cell>
          <cell r="V446">
            <v>505</v>
          </cell>
          <cell r="W446" t="str">
            <v>KEW</v>
          </cell>
          <cell r="X446" t="str">
            <v>01/09/2010</v>
          </cell>
          <cell r="Y446" t="str">
            <v>KEW</v>
          </cell>
          <cell r="Z446" t="str">
            <v>16/08/2013</v>
          </cell>
          <cell r="AA446" t="str">
            <v>15/08/2015</v>
          </cell>
          <cell r="AB446" t="str">
            <v>No</v>
          </cell>
          <cell r="AC446" t="str">
            <v>31/08/2013</v>
          </cell>
          <cell r="AD446" t="str">
            <v>Good</v>
          </cell>
          <cell r="AE446" t="str">
            <v>V4 - Decommissioned Installed Facility</v>
          </cell>
          <cell r="AF446">
            <v>42235</v>
          </cell>
          <cell r="AG446">
            <v>9.17</v>
          </cell>
          <cell r="AH446" t="str">
            <v>PPM</v>
          </cell>
          <cell r="AI446" t="str">
            <v>Not in contract</v>
          </cell>
          <cell r="AJ446" t="str">
            <v>Not under maintenance</v>
          </cell>
          <cell r="AK446" t="e">
            <v>#N/A</v>
          </cell>
        </row>
        <row r="447">
          <cell r="A447" t="str">
            <v>IKN401242</v>
          </cell>
          <cell r="B447">
            <v>1240</v>
          </cell>
          <cell r="C447" t="str">
            <v>Institut Kanser Negara</v>
          </cell>
          <cell r="E447" t="str">
            <v>18-595</v>
          </cell>
          <cell r="F447" t="str">
            <v>Ophthalmoscopes/Otoscopes</v>
          </cell>
          <cell r="G447" t="str">
            <v>MC</v>
          </cell>
          <cell r="H447" t="str">
            <v>MULTI-DISCIPLINE CLINIC</v>
          </cell>
          <cell r="I447" t="str">
            <v>03MC107</v>
          </cell>
          <cell r="J447" t="str">
            <v>TREATMENT 1</v>
          </cell>
          <cell r="K447" t="str">
            <v>BMED</v>
          </cell>
          <cell r="L447" t="str">
            <v>Normal</v>
          </cell>
          <cell r="M447" t="str">
            <v>USA</v>
          </cell>
          <cell r="N447" t="str">
            <v>Welch Allyn</v>
          </cell>
          <cell r="O447" t="str">
            <v>Welch Allyn 97150-BIM</v>
          </cell>
          <cell r="P447" t="str">
            <v>N/A</v>
          </cell>
          <cell r="Q447" t="str">
            <v>Not Applicable</v>
          </cell>
          <cell r="R447" t="str">
            <v>Welch Allyn Inc</v>
          </cell>
          <cell r="S447" t="str">
            <v>Welch Allyn Malaysia Sdn Bhd</v>
          </cell>
          <cell r="T447" t="str">
            <v>Functioning</v>
          </cell>
          <cell r="U447" t="str">
            <v>Asset</v>
          </cell>
          <cell r="V447">
            <v>4690</v>
          </cell>
          <cell r="W447" t="str">
            <v>KEW</v>
          </cell>
          <cell r="X447" t="str">
            <v>01/09/2010</v>
          </cell>
          <cell r="Y447" t="str">
            <v>KEW</v>
          </cell>
          <cell r="Z447" t="str">
            <v>16/08/2013</v>
          </cell>
          <cell r="AA447" t="str">
            <v>15/08/2015</v>
          </cell>
          <cell r="AB447" t="str">
            <v>No</v>
          </cell>
          <cell r="AC447" t="str">
            <v>31/08/2013</v>
          </cell>
          <cell r="AD447" t="str">
            <v>Good</v>
          </cell>
          <cell r="AE447" t="str">
            <v>V1 - Existing / No Claim</v>
          </cell>
          <cell r="AF447">
            <v>42235</v>
          </cell>
          <cell r="AG447">
            <v>9.17</v>
          </cell>
          <cell r="AH447" t="str">
            <v>RI</v>
          </cell>
          <cell r="AI447" t="str">
            <v>Not in contract</v>
          </cell>
          <cell r="AJ447" t="str">
            <v>Not under maintenance</v>
          </cell>
          <cell r="AK447" t="str">
            <v>Will be under V4. Taken out of contract as agreed by IKN</v>
          </cell>
        </row>
        <row r="448">
          <cell r="A448" t="str">
            <v>IKN401244</v>
          </cell>
          <cell r="B448">
            <v>1242</v>
          </cell>
          <cell r="C448" t="str">
            <v>Institut Kanser Negara</v>
          </cell>
          <cell r="D448" t="str">
            <v>KKM/IKN/H/13/3683</v>
          </cell>
          <cell r="E448" t="str">
            <v>17-148</v>
          </cell>
          <cell r="F448" t="str">
            <v>Oximeters, Pulse</v>
          </cell>
          <cell r="G448" t="str">
            <v>WH</v>
          </cell>
          <cell r="H448" t="str">
            <v>RT/ONCO WARD 2 (M)</v>
          </cell>
          <cell r="I448" t="str">
            <v>08WH121</v>
          </cell>
          <cell r="J448" t="str">
            <v>EQUIPMENT ROOM</v>
          </cell>
          <cell r="K448" t="str">
            <v>BMED</v>
          </cell>
          <cell r="L448" t="str">
            <v>Critical</v>
          </cell>
          <cell r="M448" t="str">
            <v>USA</v>
          </cell>
          <cell r="N448" t="str">
            <v>PalmSat</v>
          </cell>
          <cell r="O448" t="str">
            <v>PalmSat 2500</v>
          </cell>
          <cell r="P448" t="str">
            <v>501439263</v>
          </cell>
          <cell r="Q448" t="str">
            <v>Not Applicable</v>
          </cell>
          <cell r="R448" t="str">
            <v>Nonin Medical Inc</v>
          </cell>
          <cell r="S448" t="str">
            <v>Acucare Systems (M) Sdn bhd</v>
          </cell>
          <cell r="T448" t="str">
            <v>Functioning</v>
          </cell>
          <cell r="U448" t="str">
            <v>Asset</v>
          </cell>
          <cell r="V448">
            <v>5410</v>
          </cell>
          <cell r="W448" t="str">
            <v>KEW</v>
          </cell>
          <cell r="X448" t="str">
            <v>01/09/2010</v>
          </cell>
          <cell r="Y448" t="str">
            <v>KEW</v>
          </cell>
          <cell r="Z448" t="str">
            <v>16/08/2013</v>
          </cell>
          <cell r="AA448" t="str">
            <v>15/08/2015</v>
          </cell>
          <cell r="AB448" t="str">
            <v>No</v>
          </cell>
          <cell r="AC448" t="str">
            <v>31/08/2013</v>
          </cell>
          <cell r="AD448" t="str">
            <v>Good</v>
          </cell>
          <cell r="AE448" t="str">
            <v>V1 - Existing / No Claim</v>
          </cell>
          <cell r="AF448">
            <v>42788</v>
          </cell>
          <cell r="AG448">
            <v>9.17</v>
          </cell>
          <cell r="AH448" t="str">
            <v>PPM</v>
          </cell>
          <cell r="AI448" t="str">
            <v>Strands</v>
          </cell>
          <cell r="AJ448" t="str">
            <v>Strands PW. Proposed for V4 P2.23</v>
          </cell>
          <cell r="AK448" t="str">
            <v>[18/9/2023, SHARIFAH]: PEP ON 27/7/2023, BER/BEMS/AWSB/23/016 - Asset mengalami kerosakan pada mainboard.</v>
          </cell>
        </row>
        <row r="449">
          <cell r="A449" t="str">
            <v>IKN401262</v>
          </cell>
          <cell r="B449">
            <v>1260</v>
          </cell>
          <cell r="C449" t="str">
            <v>Institut Kanser Negara</v>
          </cell>
          <cell r="D449" t="e">
            <v>#N/A</v>
          </cell>
          <cell r="E449" t="str">
            <v>14-032</v>
          </cell>
          <cell r="F449" t="str">
            <v>Thermometers, Electronic</v>
          </cell>
          <cell r="G449" t="str">
            <v>RT</v>
          </cell>
          <cell r="H449" t="str">
            <v>RADIATION TREATMENT UNIT</v>
          </cell>
          <cell r="I449" t="str">
            <v>01RT213</v>
          </cell>
          <cell r="J449" t="str">
            <v>EQUIPMENT ROOM1</v>
          </cell>
          <cell r="K449" t="str">
            <v>BMED</v>
          </cell>
          <cell r="L449" t="str">
            <v>Normal</v>
          </cell>
          <cell r="M449" t="str">
            <v>Romania</v>
          </cell>
          <cell r="N449" t="str">
            <v>Hanna</v>
          </cell>
          <cell r="O449" t="str">
            <v>HI151-00 CheckTemp 4</v>
          </cell>
          <cell r="P449" t="str">
            <v>473341</v>
          </cell>
          <cell r="Q449" t="str">
            <v>NA</v>
          </cell>
          <cell r="R449" t="str">
            <v>Hanna Instruments</v>
          </cell>
          <cell r="S449" t="str">
            <v>Delta Advantech (M) Sdn Bhd</v>
          </cell>
          <cell r="T449" t="str">
            <v>Functioning</v>
          </cell>
          <cell r="U449" t="str">
            <v>Asset</v>
          </cell>
          <cell r="V449">
            <v>450</v>
          </cell>
          <cell r="W449" t="str">
            <v>KEW</v>
          </cell>
          <cell r="X449" t="str">
            <v>01/09/2010</v>
          </cell>
          <cell r="Y449" t="str">
            <v>KEW</v>
          </cell>
          <cell r="Z449" t="str">
            <v>16/08/2013</v>
          </cell>
          <cell r="AA449" t="str">
            <v>15/08/2015</v>
          </cell>
          <cell r="AB449" t="str">
            <v>No</v>
          </cell>
          <cell r="AC449" t="str">
            <v>31/08/2013</v>
          </cell>
          <cell r="AD449" t="str">
            <v>Good</v>
          </cell>
          <cell r="AE449" t="str">
            <v>V1 - Existing / No Claim</v>
          </cell>
          <cell r="AF449">
            <v>42398</v>
          </cell>
          <cell r="AG449">
            <v>9.17</v>
          </cell>
          <cell r="AH449" t="str">
            <v>RI</v>
          </cell>
          <cell r="AI449" t="str">
            <v>Not in contract</v>
          </cell>
          <cell r="AJ449" t="e">
            <v>#REF!</v>
          </cell>
          <cell r="AK449" t="str">
            <v>Unit found faulty 2021.</v>
          </cell>
        </row>
        <row r="450">
          <cell r="A450" t="str">
            <v>IKN401290</v>
          </cell>
          <cell r="B450">
            <v>1286</v>
          </cell>
          <cell r="C450" t="str">
            <v>Institut Kanser Negara</v>
          </cell>
          <cell r="D450" t="e">
            <v>#N/A</v>
          </cell>
          <cell r="E450" t="str">
            <v>10-849</v>
          </cell>
          <cell r="F450" t="str">
            <v>Circulatory Assist Units, Venous Return</v>
          </cell>
          <cell r="G450" t="str">
            <v>PC</v>
          </cell>
          <cell r="H450" t="str">
            <v>PALLIATIVE CARE UNIT</v>
          </cell>
          <cell r="I450" t="str">
            <v>04PC109</v>
          </cell>
          <cell r="J450" t="str">
            <v>GEN. STORE</v>
          </cell>
          <cell r="K450" t="str">
            <v>BMED</v>
          </cell>
          <cell r="L450" t="str">
            <v>Critical</v>
          </cell>
          <cell r="M450" t="str">
            <v>USA</v>
          </cell>
          <cell r="N450" t="str">
            <v>MediPress</v>
          </cell>
          <cell r="O450" t="str">
            <v>MediPress 6101</v>
          </cell>
          <cell r="P450" t="str">
            <v>P131203682</v>
          </cell>
          <cell r="Q450" t="str">
            <v>Not Applicable</v>
          </cell>
          <cell r="R450" t="str">
            <v>Meridian Medical</v>
          </cell>
          <cell r="S450" t="str">
            <v>MEDIKA SUPPLIES SDN BHD</v>
          </cell>
          <cell r="T450" t="str">
            <v>Transferred</v>
          </cell>
          <cell r="U450" t="str">
            <v>Asset</v>
          </cell>
          <cell r="V450">
            <v>3300</v>
          </cell>
          <cell r="W450" t="str">
            <v>KEW</v>
          </cell>
          <cell r="X450" t="str">
            <v>03/12/2013</v>
          </cell>
          <cell r="Y450" t="str">
            <v>Estimate</v>
          </cell>
          <cell r="Z450" t="str">
            <v>03/12/2013</v>
          </cell>
          <cell r="AA450" t="str">
            <v>02/12/2015</v>
          </cell>
          <cell r="AB450" t="str">
            <v>No</v>
          </cell>
          <cell r="AC450" t="str">
            <v>03/12/2013</v>
          </cell>
          <cell r="AD450" t="str">
            <v>Good</v>
          </cell>
          <cell r="AE450" t="str">
            <v>V4 - Decommissioned Installed Facility</v>
          </cell>
          <cell r="AF450">
            <v>43367</v>
          </cell>
          <cell r="AG450">
            <v>5.92</v>
          </cell>
          <cell r="AH450" t="str">
            <v>PPM</v>
          </cell>
          <cell r="AI450" t="str">
            <v>Not in contract</v>
          </cell>
          <cell r="AJ450" t="str">
            <v>Not in contract</v>
          </cell>
          <cell r="AK450" t="str">
            <v>Transfer to Alor Setar.</v>
          </cell>
        </row>
        <row r="451">
          <cell r="A451" t="str">
            <v>IKN401321</v>
          </cell>
          <cell r="B451" t="str">
            <v>Institut Kanser Negara</v>
          </cell>
          <cell r="C451" t="str">
            <v>KKM/IKN/H/13/5081</v>
          </cell>
          <cell r="E451" t="str">
            <v>15-076</v>
          </cell>
          <cell r="F451" t="str">
            <v>Laryngoscopes, Rigid</v>
          </cell>
          <cell r="G451" t="str">
            <v>MC</v>
          </cell>
          <cell r="H451" t="str">
            <v>MULTI-DISCIPLINE CLINIC</v>
          </cell>
          <cell r="I451" t="str">
            <v>03MC127</v>
          </cell>
          <cell r="J451" t="str">
            <v>C/E 1 (ENT)</v>
          </cell>
          <cell r="K451" t="str">
            <v>BMED</v>
          </cell>
          <cell r="L451" t="str">
            <v>Normal</v>
          </cell>
          <cell r="M451" t="str">
            <v>Not Available</v>
          </cell>
          <cell r="N451" t="str">
            <v>Not Available</v>
          </cell>
          <cell r="O451" t="str">
            <v>Not Available</v>
          </cell>
          <cell r="P451" t="str">
            <v>Not Available</v>
          </cell>
          <cell r="Q451" t="str">
            <v>Not Available</v>
          </cell>
          <cell r="R451" t="str">
            <v>Antah Sir Radin Sdn. Bhd.</v>
          </cell>
          <cell r="S451" t="str">
            <v>Functioning</v>
          </cell>
          <cell r="T451" t="str">
            <v>Functioning</v>
          </cell>
          <cell r="U451" t="str">
            <v>KEW</v>
          </cell>
          <cell r="V451">
            <v>4000</v>
          </cell>
          <cell r="W451" t="str">
            <v>KEW</v>
          </cell>
          <cell r="X451" t="str">
            <v>31/08/2013</v>
          </cell>
          <cell r="Y451" t="str">
            <v>15/08/2015</v>
          </cell>
          <cell r="Z451" t="str">
            <v>No</v>
          </cell>
          <cell r="AA451" t="str">
            <v>31/08/2013</v>
          </cell>
          <cell r="AB451" t="str">
            <v>Good</v>
          </cell>
          <cell r="AC451" t="str">
            <v>V4 - Decommissioned Installed Facility</v>
          </cell>
          <cell r="AD451">
            <v>42630</v>
          </cell>
          <cell r="AG451">
            <v>9.17</v>
          </cell>
        </row>
        <row r="452">
          <cell r="A452" t="str">
            <v>IKN401322</v>
          </cell>
          <cell r="B452">
            <v>1316</v>
          </cell>
          <cell r="C452" t="str">
            <v>Institut Kanser Negara</v>
          </cell>
          <cell r="D452" t="str">
            <v>KKM/IKN/H/13/5082</v>
          </cell>
          <cell r="E452" t="str">
            <v>15-076</v>
          </cell>
          <cell r="F452" t="str">
            <v>Laryngoscopes, Rigid</v>
          </cell>
          <cell r="G452" t="str">
            <v>MC</v>
          </cell>
          <cell r="H452" t="str">
            <v>MULTI-DISCIPLINE CLINIC</v>
          </cell>
          <cell r="I452" t="str">
            <v>03MC127</v>
          </cell>
          <cell r="J452" t="str">
            <v>C/E 1 (ENT)</v>
          </cell>
          <cell r="K452" t="str">
            <v>BMED</v>
          </cell>
          <cell r="L452" t="str">
            <v>Normal</v>
          </cell>
          <cell r="M452" t="str">
            <v>Not Available</v>
          </cell>
          <cell r="N452" t="str">
            <v>Not Available</v>
          </cell>
          <cell r="O452" t="str">
            <v>Not Available</v>
          </cell>
          <cell r="P452" t="str">
            <v>Not Available</v>
          </cell>
          <cell r="Q452" t="str">
            <v>Not Available</v>
          </cell>
          <cell r="R452" t="str">
            <v>Not Available</v>
          </cell>
          <cell r="S452" t="str">
            <v>Antah Sir Radin Sdn. Bhd.</v>
          </cell>
          <cell r="T452" t="str">
            <v>Functioning</v>
          </cell>
          <cell r="U452" t="str">
            <v>Asset</v>
          </cell>
          <cell r="V452">
            <v>4000</v>
          </cell>
          <cell r="W452" t="str">
            <v>KEW</v>
          </cell>
          <cell r="X452" t="str">
            <v>01/09/2010</v>
          </cell>
          <cell r="Y452" t="str">
            <v>KEW</v>
          </cell>
          <cell r="Z452" t="str">
            <v>31/08/2013</v>
          </cell>
          <cell r="AA452" t="str">
            <v>15/08/2015</v>
          </cell>
          <cell r="AB452" t="str">
            <v>No</v>
          </cell>
          <cell r="AC452" t="str">
            <v>31/08/2013</v>
          </cell>
          <cell r="AD452" t="str">
            <v>Good</v>
          </cell>
          <cell r="AE452" t="str">
            <v>V4 - Decommissioned Installed Facility</v>
          </cell>
          <cell r="AF452">
            <v>42630</v>
          </cell>
          <cell r="AG452">
            <v>9.17</v>
          </cell>
          <cell r="AH452" t="str">
            <v>RI</v>
          </cell>
          <cell r="AI452" t="str">
            <v>Strands</v>
          </cell>
          <cell r="AJ452" t="str">
            <v>Not under maintenance</v>
          </cell>
        </row>
        <row r="453">
          <cell r="A453" t="str">
            <v>IKN401345</v>
          </cell>
          <cell r="B453">
            <v>1339</v>
          </cell>
          <cell r="C453" t="str">
            <v>Institut Kanser Negara</v>
          </cell>
          <cell r="D453" t="str">
            <v>KKM/IKN/H/14/109</v>
          </cell>
          <cell r="E453" t="str">
            <v>11-295</v>
          </cell>
          <cell r="F453" t="str">
            <v>Dosimeters, Radiation</v>
          </cell>
          <cell r="G453" t="str">
            <v>NM</v>
          </cell>
          <cell r="H453" t="str">
            <v>NUCLEAR MED (DIAGNOSTIC)</v>
          </cell>
          <cell r="I453" t="str">
            <v>03NM180</v>
          </cell>
          <cell r="J453" t="str">
            <v>GEN.OFFICE</v>
          </cell>
          <cell r="K453" t="str">
            <v>BMED</v>
          </cell>
          <cell r="L453" t="str">
            <v>Normal</v>
          </cell>
          <cell r="M453" t="str">
            <v>Japan</v>
          </cell>
          <cell r="N453" t="str">
            <v>Aloka</v>
          </cell>
          <cell r="O453" t="str">
            <v>PDM-222C-SH</v>
          </cell>
          <cell r="P453" t="str">
            <v>203V1524</v>
          </cell>
          <cell r="Q453" t="str">
            <v>Not Applicable</v>
          </cell>
          <cell r="R453" t="str">
            <v>Hitachi Aloka Medical Co Ltd</v>
          </cell>
          <cell r="S453" t="str">
            <v>Elite</v>
          </cell>
          <cell r="T453" t="str">
            <v>Disposed</v>
          </cell>
          <cell r="U453" t="str">
            <v>Asset</v>
          </cell>
          <cell r="V453">
            <v>1883</v>
          </cell>
          <cell r="W453" t="str">
            <v>KEW</v>
          </cell>
          <cell r="X453" t="str">
            <v>06/11/2014</v>
          </cell>
          <cell r="Y453" t="str">
            <v>KEW</v>
          </cell>
          <cell r="Z453" t="str">
            <v>05/12/2014</v>
          </cell>
          <cell r="AA453" t="str">
            <v>04/12/2016</v>
          </cell>
          <cell r="AB453" t="str">
            <v>No</v>
          </cell>
          <cell r="AC453" t="str">
            <v>05/12/2014</v>
          </cell>
          <cell r="AD453" t="str">
            <v>Good</v>
          </cell>
          <cell r="AE453" t="str">
            <v>V3 - Added Installed Facilities (New)</v>
          </cell>
          <cell r="AF453" t="str">
            <v>31/10/2018 - 1/12/2022</v>
          </cell>
          <cell r="AG453">
            <v>5</v>
          </cell>
          <cell r="AH453" t="str">
            <v>PPM</v>
          </cell>
          <cell r="AI453" t="str">
            <v>Strands</v>
          </cell>
          <cell r="AJ453" t="str">
            <v>Strands (V4 P1.23.)</v>
          </cell>
          <cell r="AK453" t="str">
            <v>SNF received. 1st batch of V3 asset (December 2020). [23/8/2023, Sharifah]: V4 on P1.23</v>
          </cell>
        </row>
        <row r="454">
          <cell r="A454" t="str">
            <v>IKN401380</v>
          </cell>
          <cell r="B454">
            <v>1374</v>
          </cell>
          <cell r="C454" t="str">
            <v>Institut Kanser Negara</v>
          </cell>
          <cell r="D454" t="e">
            <v>#N/A</v>
          </cell>
          <cell r="E454" t="str">
            <v>17-148</v>
          </cell>
          <cell r="F454" t="str">
            <v>Oximeters, Pulse</v>
          </cell>
          <cell r="G454" t="str">
            <v>NM</v>
          </cell>
          <cell r="H454" t="str">
            <v>NUCLEAR MED (DIAGNOSTIC)</v>
          </cell>
          <cell r="I454" t="str">
            <v>03NM108</v>
          </cell>
          <cell r="J454" t="str">
            <v>TREATMENT 1 (RAI)(VE)</v>
          </cell>
          <cell r="K454" t="str">
            <v>BMED</v>
          </cell>
          <cell r="L454" t="str">
            <v>Critical</v>
          </cell>
          <cell r="M454" t="str">
            <v>UK</v>
          </cell>
          <cell r="N454" t="str">
            <v>Trusat</v>
          </cell>
          <cell r="O454" t="str">
            <v>Trusat</v>
          </cell>
          <cell r="P454" t="str">
            <v>FCC12430059SA</v>
          </cell>
          <cell r="Q454" t="str">
            <v>NA</v>
          </cell>
          <cell r="R454" t="str">
            <v>Datex-Ohmeda Inc</v>
          </cell>
          <cell r="S454" t="str">
            <v>GE HEALTHCARE SDN BHD</v>
          </cell>
          <cell r="T454" t="str">
            <v>Not Functioning</v>
          </cell>
          <cell r="U454" t="str">
            <v>Asset</v>
          </cell>
          <cell r="V454">
            <v>11120</v>
          </cell>
          <cell r="W454" t="str">
            <v>KEW</v>
          </cell>
          <cell r="X454" t="str">
            <v>01/09/2010</v>
          </cell>
          <cell r="Y454" t="str">
            <v>KEW</v>
          </cell>
          <cell r="Z454" t="str">
            <v>16/08/2013</v>
          </cell>
          <cell r="AA454" t="str">
            <v>15/08/2015</v>
          </cell>
          <cell r="AB454" t="str">
            <v>No</v>
          </cell>
          <cell r="AC454" t="str">
            <v>30/08/2013</v>
          </cell>
          <cell r="AD454" t="str">
            <v>Good</v>
          </cell>
          <cell r="AE454" t="str">
            <v>V4 - Decommissioned Installed Facility</v>
          </cell>
          <cell r="AF454">
            <v>43404</v>
          </cell>
          <cell r="AG454">
            <v>9.17</v>
          </cell>
          <cell r="AH454" t="str">
            <v>PPM</v>
          </cell>
          <cell r="AI454" t="str">
            <v>Not in contract</v>
          </cell>
          <cell r="AJ454" t="str">
            <v>Not in contract</v>
          </cell>
          <cell r="AK454" t="e">
            <v>#N/A</v>
          </cell>
        </row>
        <row r="455">
          <cell r="A455" t="str">
            <v>IKN401381</v>
          </cell>
          <cell r="B455">
            <v>1375</v>
          </cell>
          <cell r="C455" t="str">
            <v>Institut Kanser Negara</v>
          </cell>
          <cell r="D455" t="e">
            <v>#N/A</v>
          </cell>
          <cell r="E455" t="str">
            <v>13-275</v>
          </cell>
          <cell r="F455" t="str">
            <v>Calibrators, Radioisotope</v>
          </cell>
          <cell r="G455" t="str">
            <v>NM</v>
          </cell>
          <cell r="H455" t="str">
            <v>NUCLEAR MED (DIAGNOSTIC)</v>
          </cell>
          <cell r="I455" t="str">
            <v>03NM138</v>
          </cell>
          <cell r="J455" t="str">
            <v>RADIOIODINE PREP. (100% F.A)</v>
          </cell>
          <cell r="K455" t="str">
            <v>BMED</v>
          </cell>
          <cell r="L455" t="str">
            <v>Normal</v>
          </cell>
          <cell r="M455" t="str">
            <v>USA</v>
          </cell>
          <cell r="N455" t="str">
            <v>Atomlab</v>
          </cell>
          <cell r="O455" t="str">
            <v>Atomlab 500</v>
          </cell>
          <cell r="P455">
            <v>12080700</v>
          </cell>
          <cell r="Q455" t="str">
            <v>NA</v>
          </cell>
          <cell r="R455" t="str">
            <v>Biodex Medical Systems Inc</v>
          </cell>
          <cell r="S455" t="str">
            <v>PHILIPS</v>
          </cell>
          <cell r="T455" t="str">
            <v>Not Functioning</v>
          </cell>
          <cell r="U455" t="str">
            <v>Asset</v>
          </cell>
          <cell r="V455">
            <v>60390</v>
          </cell>
          <cell r="W455" t="str">
            <v>Replacement</v>
          </cell>
          <cell r="X455" t="str">
            <v>01/09/2010</v>
          </cell>
          <cell r="Y455" t="str">
            <v>KEW</v>
          </cell>
          <cell r="Z455" t="str">
            <v>16/08/2013</v>
          </cell>
          <cell r="AA455" t="str">
            <v>15/08/2015</v>
          </cell>
          <cell r="AB455" t="str">
            <v>No</v>
          </cell>
          <cell r="AC455" t="str">
            <v>30/08/2013</v>
          </cell>
          <cell r="AD455" t="str">
            <v>Good</v>
          </cell>
          <cell r="AE455" t="str">
            <v>V4 - Decommissioned Installed Facility</v>
          </cell>
          <cell r="AF455">
            <v>43404</v>
          </cell>
          <cell r="AG455">
            <v>9.17</v>
          </cell>
          <cell r="AH455" t="str">
            <v>PPM</v>
          </cell>
          <cell r="AI455" t="str">
            <v>Not in contract</v>
          </cell>
          <cell r="AJ455" t="str">
            <v>Not in contract</v>
          </cell>
          <cell r="AK455" t="e">
            <v>#N/A</v>
          </cell>
        </row>
        <row r="456">
          <cell r="A456" t="str">
            <v>IKN401382</v>
          </cell>
          <cell r="B456">
            <v>1376</v>
          </cell>
          <cell r="C456" t="str">
            <v>Institut Kanser Negara</v>
          </cell>
          <cell r="D456" t="str">
            <v>KKM/IKN/H/13/3989</v>
          </cell>
          <cell r="E456" t="str">
            <v>13-275</v>
          </cell>
          <cell r="F456" t="str">
            <v>Calibrators, Radioisotope</v>
          </cell>
          <cell r="G456" t="str">
            <v>NM</v>
          </cell>
          <cell r="H456" t="str">
            <v>NUCLEAR MED (DIAGNOSTIC)</v>
          </cell>
          <cell r="I456" t="str">
            <v>03NM139</v>
          </cell>
          <cell r="J456" t="str">
            <v>QC</v>
          </cell>
          <cell r="K456" t="str">
            <v>BMED</v>
          </cell>
          <cell r="L456" t="str">
            <v>Normal</v>
          </cell>
          <cell r="M456" t="str">
            <v>USA</v>
          </cell>
          <cell r="N456" t="str">
            <v>Atomlab</v>
          </cell>
          <cell r="O456" t="str">
            <v>Atomlab 500</v>
          </cell>
          <cell r="P456" t="str">
            <v>12080702</v>
          </cell>
          <cell r="Q456" t="str">
            <v>NA</v>
          </cell>
          <cell r="R456" t="str">
            <v>Biodex Medical Systems Inc</v>
          </cell>
          <cell r="S456" t="str">
            <v>PHILIPS</v>
          </cell>
          <cell r="T456" t="str">
            <v>Not Functioning</v>
          </cell>
          <cell r="U456" t="str">
            <v>Asset</v>
          </cell>
          <cell r="V456">
            <v>60390</v>
          </cell>
          <cell r="W456" t="str">
            <v>KEW</v>
          </cell>
          <cell r="X456" t="str">
            <v>01/09/2010</v>
          </cell>
          <cell r="Y456" t="str">
            <v>Estimate</v>
          </cell>
          <cell r="Z456" t="str">
            <v>16/08/2013</v>
          </cell>
          <cell r="AA456" t="str">
            <v>15/08/2015</v>
          </cell>
          <cell r="AB456" t="str">
            <v>No</v>
          </cell>
          <cell r="AC456" t="str">
            <v>30/08/2013</v>
          </cell>
          <cell r="AD456" t="str">
            <v>Good</v>
          </cell>
          <cell r="AE456" t="str">
            <v>V4 - Decommissioned Installed Facility</v>
          </cell>
          <cell r="AF456">
            <v>43404</v>
          </cell>
          <cell r="AG456">
            <v>9.17</v>
          </cell>
          <cell r="AH456" t="str">
            <v>PPM</v>
          </cell>
          <cell r="AI456" t="str">
            <v>Not in contract</v>
          </cell>
          <cell r="AJ456" t="str">
            <v>Not in contract</v>
          </cell>
          <cell r="AK456" t="str">
            <v>[SHARIFAH; 10/7/2023]: SNF (STOP SERVICE) RECEIVED ON 10/7/2023.</v>
          </cell>
        </row>
        <row r="457">
          <cell r="A457" t="str">
            <v>IKN401404</v>
          </cell>
          <cell r="B457">
            <v>1389</v>
          </cell>
          <cell r="C457" t="str">
            <v>Institut Kanser Negara</v>
          </cell>
          <cell r="D457" t="str">
            <v>KKM/IKN/H/13/1876</v>
          </cell>
          <cell r="E457" t="str">
            <v>13-461</v>
          </cell>
          <cell r="F457" t="str">
            <v>Scales, Patient, Floor</v>
          </cell>
          <cell r="G457" t="str">
            <v>WJ</v>
          </cell>
          <cell r="H457" t="str">
            <v>MULTIDISCIPLINE WARD 1</v>
          </cell>
          <cell r="I457" t="str">
            <v>09WJ205</v>
          </cell>
          <cell r="J457" t="str">
            <v>NURSE STATION</v>
          </cell>
          <cell r="K457" t="str">
            <v>BMED</v>
          </cell>
          <cell r="L457" t="str">
            <v>Normal</v>
          </cell>
          <cell r="M457" t="str">
            <v>USA</v>
          </cell>
          <cell r="N457" t="str">
            <v>Detecto</v>
          </cell>
          <cell r="O457" t="str">
            <v>758 C</v>
          </cell>
          <cell r="P457" t="str">
            <v>E-32112-0201</v>
          </cell>
          <cell r="Q457" t="str">
            <v>NA</v>
          </cell>
          <cell r="R457" t="str">
            <v>DETECTO</v>
          </cell>
          <cell r="S457" t="str">
            <v>ACUCARE SYSTEM SDN BHD</v>
          </cell>
          <cell r="T457" t="str">
            <v>Functioning</v>
          </cell>
          <cell r="U457" t="str">
            <v>Asset</v>
          </cell>
          <cell r="V457">
            <v>9380</v>
          </cell>
          <cell r="W457" t="str">
            <v>KEW</v>
          </cell>
          <cell r="X457" t="str">
            <v>01/09/2010</v>
          </cell>
          <cell r="Y457" t="str">
            <v>Estimate</v>
          </cell>
          <cell r="Z457" t="str">
            <v>16/08/2013</v>
          </cell>
          <cell r="AA457" t="str">
            <v>15/08/2015</v>
          </cell>
          <cell r="AB457" t="str">
            <v>No</v>
          </cell>
          <cell r="AC457" t="str">
            <v>31/08/2013</v>
          </cell>
          <cell r="AD457" t="str">
            <v>Good</v>
          </cell>
          <cell r="AE457" t="str">
            <v>V1 - Existing / No Claim</v>
          </cell>
          <cell r="AF457">
            <v>42781</v>
          </cell>
          <cell r="AG457">
            <v>9.17</v>
          </cell>
          <cell r="AH457" t="str">
            <v>PPM</v>
          </cell>
          <cell r="AI457" t="str">
            <v>Strands</v>
          </cell>
          <cell r="AJ457" t="str">
            <v>Strands PW. Proposed for V4 P2.23</v>
          </cell>
          <cell r="AK457" t="str">
            <v>[18/9/2023, SHARIFAH]: PEP ON 27/7/2023, BER/BEMS/IKN/23/015 - Asset mengalami kerosakan pada load sensor.</v>
          </cell>
        </row>
        <row r="458">
          <cell r="A458" t="str">
            <v>IKN401421</v>
          </cell>
          <cell r="B458">
            <v>1401</v>
          </cell>
          <cell r="C458" t="str">
            <v>Institut Kanser Negara</v>
          </cell>
          <cell r="D458" t="str">
            <v>KKM/IKN/H/13/3175</v>
          </cell>
          <cell r="E458" t="str">
            <v>13-461</v>
          </cell>
          <cell r="F458" t="str">
            <v>Scales, Patient, Floor</v>
          </cell>
          <cell r="G458" t="str">
            <v>WF</v>
          </cell>
          <cell r="H458" t="str">
            <v>RT/ONCO WARD 2 (F)</v>
          </cell>
          <cell r="I458" t="str">
            <v>07WF143</v>
          </cell>
          <cell r="J458" t="str">
            <v>NURSE STATION</v>
          </cell>
          <cell r="K458" t="str">
            <v>BMED</v>
          </cell>
          <cell r="L458" t="str">
            <v>Normal</v>
          </cell>
          <cell r="M458" t="str">
            <v>USA</v>
          </cell>
          <cell r="N458" t="str">
            <v>Detecto</v>
          </cell>
          <cell r="O458" t="str">
            <v>758 C</v>
          </cell>
          <cell r="P458" t="str">
            <v>E 34812-0040</v>
          </cell>
          <cell r="Q458" t="str">
            <v>Not Available</v>
          </cell>
          <cell r="R458" t="str">
            <v>DETECTO</v>
          </cell>
          <cell r="S458" t="str">
            <v>Acucare System (M) Sdn. Bhd</v>
          </cell>
          <cell r="T458" t="str">
            <v>Functioning</v>
          </cell>
          <cell r="U458" t="str">
            <v>Asset</v>
          </cell>
          <cell r="V458">
            <v>9380</v>
          </cell>
          <cell r="W458" t="str">
            <v>KEW</v>
          </cell>
          <cell r="X458" t="str">
            <v>01/09/2010</v>
          </cell>
          <cell r="Y458" t="str">
            <v>KEW</v>
          </cell>
          <cell r="Z458" t="str">
            <v>16/08/2013</v>
          </cell>
          <cell r="AA458" t="str">
            <v>15/08/2015</v>
          </cell>
          <cell r="AB458" t="str">
            <v>No</v>
          </cell>
          <cell r="AC458" t="str">
            <v>31/08/2013</v>
          </cell>
          <cell r="AD458" t="str">
            <v>Good</v>
          </cell>
          <cell r="AE458" t="str">
            <v>V1 - Existing / No Claim</v>
          </cell>
          <cell r="AF458">
            <v>42788</v>
          </cell>
          <cell r="AG458">
            <v>9.17</v>
          </cell>
          <cell r="AH458" t="str">
            <v>PPM</v>
          </cell>
          <cell r="AI458" t="str">
            <v>Strands</v>
          </cell>
          <cell r="AJ458" t="str">
            <v>Strands PW. Proposed for V4 P2.23</v>
          </cell>
          <cell r="AK458" t="str">
            <v>[5/7/2023] INDIRA: DETECTO TIADA DI WAD 7B. [SHARIFAH, 16/10/2023]: PEP ON 21/7/2023. BER/BEMS/IKN/22/002 - Aset telah mengalami kerosakan pada komponen mainboard dan display panel. Aset ini tidak ekonomik diperbaiki lagi.</v>
          </cell>
        </row>
        <row r="459">
          <cell r="A459" t="str">
            <v>IKN401435</v>
          </cell>
          <cell r="B459">
            <v>1411</v>
          </cell>
          <cell r="C459" t="str">
            <v>Institut Kanser Negara</v>
          </cell>
          <cell r="E459" t="str">
            <v>17-887</v>
          </cell>
          <cell r="F459" t="str">
            <v>Thermometers, Electronic, Infrared, Ear</v>
          </cell>
          <cell r="G459" t="str">
            <v>MC</v>
          </cell>
          <cell r="H459" t="str">
            <v>MULTI-DISCIPLINE CLINIC</v>
          </cell>
          <cell r="I459" t="str">
            <v>03MC127</v>
          </cell>
          <cell r="J459" t="str">
            <v>C/E 1 (ENT)</v>
          </cell>
          <cell r="K459" t="str">
            <v>BMED</v>
          </cell>
          <cell r="L459" t="str">
            <v>Normal</v>
          </cell>
          <cell r="M459" t="str">
            <v>Mexico</v>
          </cell>
          <cell r="N459" t="str">
            <v>Thermoscan</v>
          </cell>
          <cell r="O459" t="str">
            <v>Thermoscan Pro 4000</v>
          </cell>
          <cell r="P459" t="str">
            <v>33412K02317</v>
          </cell>
          <cell r="Q459" t="str">
            <v>Not Available</v>
          </cell>
          <cell r="R459" t="str">
            <v>Welch Allyn Inc</v>
          </cell>
          <cell r="S459" t="str">
            <v>Welch Allyn Malaysia Sdn. Bhd</v>
          </cell>
          <cell r="T459" t="str">
            <v>Functioning</v>
          </cell>
          <cell r="U459" t="str">
            <v>Asset</v>
          </cell>
          <cell r="V459">
            <v>540</v>
          </cell>
          <cell r="W459" t="str">
            <v>KEW</v>
          </cell>
          <cell r="X459" t="str">
            <v>01/09/2010</v>
          </cell>
          <cell r="Y459" t="str">
            <v>KEW</v>
          </cell>
          <cell r="Z459" t="str">
            <v>16/08/2013</v>
          </cell>
          <cell r="AA459" t="str">
            <v>15/08/2015</v>
          </cell>
          <cell r="AB459" t="str">
            <v>No</v>
          </cell>
          <cell r="AC459" t="str">
            <v>31/08/2013</v>
          </cell>
          <cell r="AD459" t="str">
            <v>Good</v>
          </cell>
          <cell r="AE459" t="str">
            <v>V1 - Existing / No Claim</v>
          </cell>
          <cell r="AF459">
            <v>42781</v>
          </cell>
          <cell r="AG459">
            <v>9.17</v>
          </cell>
          <cell r="AH459" t="str">
            <v>RI</v>
          </cell>
          <cell r="AI459" t="str">
            <v>Not in contract</v>
          </cell>
          <cell r="AJ459" t="str">
            <v>Not under maintenance</v>
          </cell>
          <cell r="AK459" t="e">
            <v>#N/A</v>
          </cell>
        </row>
        <row r="460">
          <cell r="A460" t="str">
            <v>IKN401437</v>
          </cell>
          <cell r="B460">
            <v>1413</v>
          </cell>
          <cell r="C460" t="str">
            <v>Institut Kanser Negara</v>
          </cell>
          <cell r="E460" t="str">
            <v>17-887</v>
          </cell>
          <cell r="F460" t="str">
            <v>Thermometers, Electronic, Infrared, Ear</v>
          </cell>
          <cell r="G460" t="str">
            <v>MC</v>
          </cell>
          <cell r="H460" t="str">
            <v>MULTI-DISCIPLINE CLINIC</v>
          </cell>
          <cell r="I460" t="str">
            <v>03MC107</v>
          </cell>
          <cell r="J460" t="str">
            <v>TREATMENT 1</v>
          </cell>
          <cell r="K460" t="str">
            <v>BMED</v>
          </cell>
          <cell r="L460" t="str">
            <v>Normal</v>
          </cell>
          <cell r="M460" t="str">
            <v>Mexico</v>
          </cell>
          <cell r="N460" t="str">
            <v>Thermoscan</v>
          </cell>
          <cell r="O460" t="str">
            <v>Thermoscan Pro 4000</v>
          </cell>
          <cell r="P460" t="str">
            <v>33412K05388</v>
          </cell>
          <cell r="Q460" t="str">
            <v>Not Applicable</v>
          </cell>
          <cell r="R460" t="str">
            <v>Welch Allyn Inc</v>
          </cell>
          <cell r="S460" t="str">
            <v>Welch Allyn Malaysia Sdn. Bhd</v>
          </cell>
          <cell r="T460" t="str">
            <v>Functioning</v>
          </cell>
          <cell r="U460" t="str">
            <v>Asset</v>
          </cell>
          <cell r="V460">
            <v>540</v>
          </cell>
          <cell r="W460" t="str">
            <v>KEW</v>
          </cell>
          <cell r="X460" t="str">
            <v>01/09/2010</v>
          </cell>
          <cell r="Y460" t="str">
            <v>KEW</v>
          </cell>
          <cell r="Z460" t="str">
            <v>16/08/2013</v>
          </cell>
          <cell r="AA460" t="str">
            <v>15/08/2015</v>
          </cell>
          <cell r="AB460" t="str">
            <v>No</v>
          </cell>
          <cell r="AC460" t="str">
            <v>31/08/2013</v>
          </cell>
          <cell r="AD460" t="str">
            <v>Good</v>
          </cell>
          <cell r="AE460" t="str">
            <v>V1 - Existing / No Claim</v>
          </cell>
          <cell r="AF460">
            <v>42799</v>
          </cell>
          <cell r="AG460">
            <v>9.17</v>
          </cell>
          <cell r="AH460" t="str">
            <v>RI</v>
          </cell>
          <cell r="AI460" t="str">
            <v>Not in contract</v>
          </cell>
          <cell r="AJ460" t="str">
            <v>Not under maintenance</v>
          </cell>
          <cell r="AK460" t="e">
            <v>#N/A</v>
          </cell>
        </row>
        <row r="461">
          <cell r="A461" t="str">
            <v>IKN401438</v>
          </cell>
          <cell r="B461">
            <v>1414</v>
          </cell>
          <cell r="C461" t="str">
            <v>Institut Kanser Negara</v>
          </cell>
          <cell r="E461" t="str">
            <v>17-887</v>
          </cell>
          <cell r="F461" t="str">
            <v>Thermometers, Electronic, Infrared, Ear</v>
          </cell>
          <cell r="G461" t="str">
            <v>MC</v>
          </cell>
          <cell r="H461" t="str">
            <v>MULTI-DISCIPLINE CLINIC</v>
          </cell>
          <cell r="I461" t="str">
            <v>03MC108</v>
          </cell>
          <cell r="J461" t="str">
            <v>TREATMENT/PROCEDURE</v>
          </cell>
          <cell r="K461" t="str">
            <v>BMED</v>
          </cell>
          <cell r="L461" t="str">
            <v>Normal</v>
          </cell>
          <cell r="M461" t="str">
            <v>Mexico</v>
          </cell>
          <cell r="N461" t="str">
            <v>Thermoscan</v>
          </cell>
          <cell r="O461" t="str">
            <v>Thermoscan Pro 4000</v>
          </cell>
          <cell r="P461" t="str">
            <v>33412K0518</v>
          </cell>
          <cell r="Q461" t="str">
            <v>Not Available</v>
          </cell>
          <cell r="R461" t="str">
            <v>Welch Allyn Inc</v>
          </cell>
          <cell r="S461" t="str">
            <v>Welch Allyn Malaysia Sdn. Bhd</v>
          </cell>
          <cell r="T461" t="str">
            <v>Functioning</v>
          </cell>
          <cell r="U461" t="str">
            <v>Asset</v>
          </cell>
          <cell r="V461">
            <v>540</v>
          </cell>
          <cell r="W461" t="str">
            <v>KEW</v>
          </cell>
          <cell r="X461" t="str">
            <v>01/09/2010</v>
          </cell>
          <cell r="Y461" t="str">
            <v>KEW</v>
          </cell>
          <cell r="Z461" t="str">
            <v>16/08/2013</v>
          </cell>
          <cell r="AA461" t="str">
            <v>15/08/2015</v>
          </cell>
          <cell r="AB461" t="str">
            <v>No</v>
          </cell>
          <cell r="AC461" t="str">
            <v>31/08/2013</v>
          </cell>
          <cell r="AD461" t="str">
            <v>Good</v>
          </cell>
          <cell r="AE461" t="str">
            <v>V1 - Existing / No Claim</v>
          </cell>
          <cell r="AF461">
            <v>42781</v>
          </cell>
          <cell r="AG461">
            <v>9.17</v>
          </cell>
          <cell r="AH461" t="str">
            <v>RI</v>
          </cell>
          <cell r="AI461" t="str">
            <v>Not in contract</v>
          </cell>
          <cell r="AJ461" t="str">
            <v>Not under maintenance</v>
          </cell>
          <cell r="AK461" t="e">
            <v>#N/A</v>
          </cell>
        </row>
        <row r="462">
          <cell r="A462" t="str">
            <v>IKN401443</v>
          </cell>
          <cell r="B462">
            <v>1418</v>
          </cell>
          <cell r="C462" t="str">
            <v>Institut Kanser Negara</v>
          </cell>
          <cell r="D462" t="str">
            <v>KKM/IKN/H/13/1540</v>
          </cell>
          <cell r="E462" t="str">
            <v>13-461</v>
          </cell>
          <cell r="F462" t="str">
            <v>Scales, Patient, Floor</v>
          </cell>
          <cell r="G462" t="str">
            <v>PY</v>
          </cell>
          <cell r="H462" t="str">
            <v>PHYSIOTHERAPY</v>
          </cell>
          <cell r="I462" t="str">
            <v>04PY109</v>
          </cell>
          <cell r="J462" t="str">
            <v>ASSESSMENT / TREATMENT</v>
          </cell>
          <cell r="K462" t="str">
            <v>BMED</v>
          </cell>
          <cell r="L462" t="str">
            <v>Normal</v>
          </cell>
          <cell r="M462" t="str">
            <v>USA</v>
          </cell>
          <cell r="N462" t="str">
            <v>Detecto</v>
          </cell>
          <cell r="O462" t="str">
            <v>758 C</v>
          </cell>
          <cell r="P462" t="str">
            <v>E 34812-0045</v>
          </cell>
          <cell r="Q462" t="str">
            <v>Not Applicable</v>
          </cell>
          <cell r="R462" t="str">
            <v>DETECTO</v>
          </cell>
          <cell r="S462" t="str">
            <v>Acucare System (M) Sdn. Bhd</v>
          </cell>
          <cell r="T462" t="str">
            <v>Not Functioning</v>
          </cell>
          <cell r="U462" t="str">
            <v>Asset</v>
          </cell>
          <cell r="V462">
            <v>9380</v>
          </cell>
          <cell r="W462" t="str">
            <v>KEW</v>
          </cell>
          <cell r="X462" t="str">
            <v>01/09/2010</v>
          </cell>
          <cell r="Y462" t="str">
            <v>KEW</v>
          </cell>
          <cell r="Z462" t="str">
            <v>16/08/2013</v>
          </cell>
          <cell r="AA462" t="str">
            <v>15/08/2015</v>
          </cell>
          <cell r="AB462" t="str">
            <v>No</v>
          </cell>
          <cell r="AC462" t="str">
            <v>31/08/2013</v>
          </cell>
          <cell r="AD462" t="str">
            <v>Good</v>
          </cell>
          <cell r="AE462" t="str">
            <v>V1 - Existing / No Claim</v>
          </cell>
          <cell r="AF462">
            <v>42801</v>
          </cell>
          <cell r="AG462">
            <v>9.17</v>
          </cell>
          <cell r="AH462" t="str">
            <v>PPM</v>
          </cell>
          <cell r="AI462" t="str">
            <v>Strands</v>
          </cell>
          <cell r="AJ462" t="str">
            <v>Not in contract</v>
          </cell>
          <cell r="AK462" t="str">
            <v>[22/9/2023, SHARIFAH]: PEP ON FEB 2021, BER/BEMS/AWSB/21/003 - Asset mengalami kerosakan pada komponen Mainboard.</v>
          </cell>
        </row>
        <row r="463">
          <cell r="A463" t="str">
            <v>IKN401511</v>
          </cell>
          <cell r="B463">
            <v>1455</v>
          </cell>
          <cell r="C463" t="str">
            <v>Institut Kanser Negara</v>
          </cell>
          <cell r="D463" t="str">
            <v>KKM/IKN/H/13/630</v>
          </cell>
          <cell r="E463" t="str">
            <v>10-263</v>
          </cell>
          <cell r="F463" t="str">
            <v>Balances, Electronic</v>
          </cell>
          <cell r="G463" t="str">
            <v>KT</v>
          </cell>
          <cell r="H463" t="str">
            <v>CATERING</v>
          </cell>
          <cell r="I463" t="str">
            <v>01KT131</v>
          </cell>
          <cell r="J463" t="str">
            <v>EXTERNAL PREP.</v>
          </cell>
          <cell r="K463" t="str">
            <v>BMED</v>
          </cell>
          <cell r="L463" t="str">
            <v>Normal</v>
          </cell>
          <cell r="M463" t="str">
            <v>Spain</v>
          </cell>
          <cell r="N463" t="str">
            <v>Avery</v>
          </cell>
          <cell r="O463" t="str">
            <v>AWE-15</v>
          </cell>
          <cell r="P463" t="str">
            <v>Not Available</v>
          </cell>
          <cell r="Q463" t="str">
            <v>Not Applicable</v>
          </cell>
          <cell r="R463" t="str">
            <v>AVERY BERKEL</v>
          </cell>
          <cell r="S463" t="str">
            <v>Somerco Jaya Sdn Bhd</v>
          </cell>
          <cell r="T463" t="str">
            <v>Functioning</v>
          </cell>
          <cell r="U463" t="str">
            <v>Asset</v>
          </cell>
          <cell r="V463">
            <v>1840</v>
          </cell>
          <cell r="W463" t="str">
            <v>KEW</v>
          </cell>
          <cell r="X463" t="str">
            <v>01/09/2010</v>
          </cell>
          <cell r="Y463" t="str">
            <v>KEW</v>
          </cell>
          <cell r="Z463" t="str">
            <v>16/08/2013</v>
          </cell>
          <cell r="AA463" t="str">
            <v>15/08/2015</v>
          </cell>
          <cell r="AB463" t="str">
            <v>No</v>
          </cell>
          <cell r="AC463" t="str">
            <v>31/08/2013</v>
          </cell>
          <cell r="AD463" t="str">
            <v>Good</v>
          </cell>
          <cell r="AE463" t="str">
            <v>V1 - Existing / No Claim</v>
          </cell>
          <cell r="AF463">
            <v>42951</v>
          </cell>
          <cell r="AG463">
            <v>9.17</v>
          </cell>
          <cell r="AH463" t="str">
            <v>PPM</v>
          </cell>
          <cell r="AI463" t="str">
            <v>Strands</v>
          </cell>
          <cell r="AJ463" t="str">
            <v>Strands PW</v>
          </cell>
          <cell r="AK463" t="str">
            <v>[12/3/2024]: TRANSFER TO HTAA, KUANTAN.</v>
          </cell>
        </row>
        <row r="464">
          <cell r="A464" t="str">
            <v>IKN401517</v>
          </cell>
          <cell r="B464" t="str">
            <v>Institut Kanser Negara</v>
          </cell>
          <cell r="C464" t="str">
            <v>KKM/IKN/H/13/4637</v>
          </cell>
          <cell r="D464" t="str">
            <v>13-462</v>
          </cell>
          <cell r="E464" t="str">
            <v>Scales, Infant</v>
          </cell>
          <cell r="F464" t="str">
            <v>DU</v>
          </cell>
          <cell r="G464" t="str">
            <v>DIETICIAN UNIT</v>
          </cell>
          <cell r="H464" t="str">
            <v>03DU105</v>
          </cell>
          <cell r="I464" t="str">
            <v>HEAD OF UNIT</v>
          </cell>
          <cell r="J464" t="str">
            <v>BMED</v>
          </cell>
          <cell r="K464" t="str">
            <v>Normal</v>
          </cell>
          <cell r="L464" t="str">
            <v>Germany</v>
          </cell>
          <cell r="M464" t="str">
            <v>SECA</v>
          </cell>
          <cell r="N464" t="str">
            <v>SECA 334</v>
          </cell>
          <cell r="O464" t="str">
            <v>5769177136666</v>
          </cell>
          <cell r="P464" t="str">
            <v>SECA GMBH</v>
          </cell>
          <cell r="Q464" t="str">
            <v>Lazcorp Holding (M) Sdn Bhd</v>
          </cell>
          <cell r="R464" t="str">
            <v>Functioning</v>
          </cell>
          <cell r="S464">
            <v>3515</v>
          </cell>
          <cell r="T464" t="str">
            <v>KEW</v>
          </cell>
          <cell r="U464" t="str">
            <v>10/12/2013</v>
          </cell>
          <cell r="V464" t="str">
            <v>KEW</v>
          </cell>
          <cell r="W464" t="str">
            <v>16/12/2013</v>
          </cell>
          <cell r="X464" t="str">
            <v>15/12/2014</v>
          </cell>
          <cell r="Y464" t="str">
            <v>No</v>
          </cell>
          <cell r="Z464" t="str">
            <v>16/12/2013</v>
          </cell>
          <cell r="AA464" t="str">
            <v>Good</v>
          </cell>
          <cell r="AB464" t="str">
            <v>V5 - Transfer to other Hospitals/Healthcare Facility</v>
          </cell>
          <cell r="AC464">
            <v>43033</v>
          </cell>
          <cell r="AD464">
            <v>5.92</v>
          </cell>
          <cell r="AE464" t="str">
            <v>PPM</v>
          </cell>
          <cell r="AF464" t="str">
            <v>Not in contract</v>
          </cell>
          <cell r="AG464" t="str">
            <v>Strands PW. Proposed for V5 P2.23</v>
          </cell>
          <cell r="AH464" t="str">
            <v>SNF received. 1st batch of V3 asset (December 2020). V4 received on Jan 2021. Transfer to Hospital Serdang</v>
          </cell>
        </row>
        <row r="465">
          <cell r="A465" t="str">
            <v>IKN401612</v>
          </cell>
          <cell r="B465">
            <v>1546</v>
          </cell>
          <cell r="C465" t="str">
            <v>Institut Kanser Negara</v>
          </cell>
          <cell r="D465" t="str">
            <v>KKM/IKN/I/13/5898</v>
          </cell>
          <cell r="E465" t="str">
            <v>13-325</v>
          </cell>
          <cell r="F465" t="str">
            <v>Regulators, Suction</v>
          </cell>
          <cell r="G465" t="str">
            <v>MC</v>
          </cell>
          <cell r="H465" t="str">
            <v>MULTI-DISCIPLINE CLINIC</v>
          </cell>
          <cell r="I465" t="str">
            <v>03MC108</v>
          </cell>
          <cell r="J465" t="str">
            <v>TREATMENT/PROCEDURE</v>
          </cell>
          <cell r="K465" t="str">
            <v>BMED</v>
          </cell>
          <cell r="L465" t="str">
            <v>Normal</v>
          </cell>
          <cell r="M465" t="str">
            <v>United States</v>
          </cell>
          <cell r="N465" t="str">
            <v>OHIO</v>
          </cell>
          <cell r="O465" t="str">
            <v>R244047311229905</v>
          </cell>
          <cell r="P465" t="str">
            <v>GPHS65052</v>
          </cell>
          <cell r="Q465" t="str">
            <v>Not Applicable</v>
          </cell>
          <cell r="R465" t="str">
            <v>OHIO</v>
          </cell>
          <cell r="S465" t="str">
            <v>Respimedic</v>
          </cell>
          <cell r="T465" t="str">
            <v>Functioning</v>
          </cell>
          <cell r="U465" t="str">
            <v>Asset</v>
          </cell>
          <cell r="V465">
            <v>920</v>
          </cell>
          <cell r="W465" t="str">
            <v>KEW</v>
          </cell>
          <cell r="X465" t="str">
            <v>01/09/2010</v>
          </cell>
          <cell r="Y465" t="str">
            <v>KEW</v>
          </cell>
          <cell r="Z465" t="str">
            <v>16/08/2013</v>
          </cell>
          <cell r="AA465" t="str">
            <v>15/08/2015</v>
          </cell>
          <cell r="AB465" t="str">
            <v>No</v>
          </cell>
          <cell r="AC465" t="str">
            <v>31/08/2013</v>
          </cell>
          <cell r="AD465" t="str">
            <v>Good</v>
          </cell>
          <cell r="AE465" t="str">
            <v>V4 - Decommissioned Installed Facility</v>
          </cell>
          <cell r="AF465">
            <v>42951</v>
          </cell>
          <cell r="AG465">
            <v>9.17</v>
          </cell>
          <cell r="AH465" t="str">
            <v>RI</v>
          </cell>
          <cell r="AI465" t="str">
            <v>Strands</v>
          </cell>
          <cell r="AJ465" t="str">
            <v>Not under maintenance</v>
          </cell>
        </row>
        <row r="466">
          <cell r="A466" t="str">
            <v>IKN401613</v>
          </cell>
          <cell r="B466">
            <v>1547</v>
          </cell>
          <cell r="C466" t="str">
            <v>Institut Kanser Negara</v>
          </cell>
          <cell r="D466" t="str">
            <v>KKM/IKN/I/13/5899</v>
          </cell>
          <cell r="E466" t="str">
            <v>13-325</v>
          </cell>
          <cell r="F466" t="str">
            <v>Regulators, Suction</v>
          </cell>
          <cell r="G466" t="str">
            <v>MC</v>
          </cell>
          <cell r="H466" t="str">
            <v>MULTI-DISCIPLINE CLINIC</v>
          </cell>
          <cell r="I466" t="str">
            <v>03MC107</v>
          </cell>
          <cell r="J466" t="str">
            <v>TREATMENT 1</v>
          </cell>
          <cell r="K466" t="str">
            <v>BMED</v>
          </cell>
          <cell r="L466" t="str">
            <v>Normal</v>
          </cell>
          <cell r="M466" t="str">
            <v>United States</v>
          </cell>
          <cell r="N466" t="str">
            <v>OHIO</v>
          </cell>
          <cell r="O466" t="str">
            <v>R244047311229905</v>
          </cell>
          <cell r="P466" t="str">
            <v>GPHS65079</v>
          </cell>
          <cell r="Q466" t="str">
            <v>Not Applicable</v>
          </cell>
          <cell r="R466" t="str">
            <v>OHIO</v>
          </cell>
          <cell r="S466" t="str">
            <v>Respimedic</v>
          </cell>
          <cell r="T466" t="str">
            <v>Functioning</v>
          </cell>
          <cell r="U466" t="str">
            <v>Asset</v>
          </cell>
          <cell r="V466">
            <v>920</v>
          </cell>
          <cell r="W466" t="str">
            <v>KEW</v>
          </cell>
          <cell r="X466" t="str">
            <v>01/09/2010</v>
          </cell>
          <cell r="Y466" t="str">
            <v>KEW</v>
          </cell>
          <cell r="Z466" t="str">
            <v>16/08/2013</v>
          </cell>
          <cell r="AA466" t="str">
            <v>15/08/2015</v>
          </cell>
          <cell r="AB466" t="str">
            <v>No</v>
          </cell>
          <cell r="AC466" t="str">
            <v>31/08/2013</v>
          </cell>
          <cell r="AD466" t="str">
            <v>Good</v>
          </cell>
          <cell r="AE466" t="str">
            <v>V4 - Decommissioned Installed Facility</v>
          </cell>
          <cell r="AF466">
            <v>42951</v>
          </cell>
          <cell r="AG466">
            <v>9.17</v>
          </cell>
          <cell r="AH466" t="str">
            <v>RI</v>
          </cell>
          <cell r="AI466" t="str">
            <v>Strands</v>
          </cell>
          <cell r="AJ466" t="str">
            <v>Not under maintenance</v>
          </cell>
        </row>
        <row r="467">
          <cell r="A467" t="str">
            <v>IKN401614</v>
          </cell>
          <cell r="B467">
            <v>1548</v>
          </cell>
          <cell r="C467" t="str">
            <v>Institut Kanser Negara</v>
          </cell>
          <cell r="D467" t="str">
            <v>KKM/IKN/I/13/5897</v>
          </cell>
          <cell r="E467" t="str">
            <v>13-325</v>
          </cell>
          <cell r="F467" t="str">
            <v>Regulators, Suction</v>
          </cell>
          <cell r="G467" t="str">
            <v>MC</v>
          </cell>
          <cell r="H467" t="str">
            <v>MULTI-DISCIPLINE CLINIC</v>
          </cell>
          <cell r="I467" t="str">
            <v>03MC107</v>
          </cell>
          <cell r="J467" t="str">
            <v>TREATMENT 1</v>
          </cell>
          <cell r="K467" t="str">
            <v>BMED</v>
          </cell>
          <cell r="L467" t="str">
            <v>Normal</v>
          </cell>
          <cell r="M467" t="str">
            <v>United States</v>
          </cell>
          <cell r="N467" t="str">
            <v>OHIO</v>
          </cell>
          <cell r="O467" t="str">
            <v>R244047311229905</v>
          </cell>
          <cell r="P467" t="str">
            <v>GPHS65059</v>
          </cell>
          <cell r="Q467" t="str">
            <v>Not Applicable</v>
          </cell>
          <cell r="R467" t="str">
            <v>OHIO</v>
          </cell>
          <cell r="S467" t="str">
            <v>Respimedic</v>
          </cell>
          <cell r="T467" t="str">
            <v>Functioning</v>
          </cell>
          <cell r="U467" t="str">
            <v>Asset</v>
          </cell>
          <cell r="V467">
            <v>920</v>
          </cell>
          <cell r="W467" t="str">
            <v>KEW</v>
          </cell>
          <cell r="X467" t="str">
            <v>01/09/2010</v>
          </cell>
          <cell r="Y467" t="str">
            <v>KEW</v>
          </cell>
          <cell r="Z467" t="str">
            <v>16/08/2013</v>
          </cell>
          <cell r="AA467" t="str">
            <v>15/08/2015</v>
          </cell>
          <cell r="AB467" t="str">
            <v>No</v>
          </cell>
          <cell r="AC467" t="str">
            <v>31/08/2013</v>
          </cell>
          <cell r="AD467" t="str">
            <v>Good</v>
          </cell>
          <cell r="AE467" t="str">
            <v>V4 - Decommissioned Installed Facility</v>
          </cell>
          <cell r="AF467">
            <v>42951</v>
          </cell>
          <cell r="AG467">
            <v>9.17</v>
          </cell>
          <cell r="AH467" t="str">
            <v>RI</v>
          </cell>
          <cell r="AI467" t="str">
            <v>Strands</v>
          </cell>
          <cell r="AJ467" t="str">
            <v>Not under maintenance</v>
          </cell>
        </row>
        <row r="468">
          <cell r="A468" t="str">
            <v>IKN401696</v>
          </cell>
          <cell r="B468">
            <v>1619</v>
          </cell>
          <cell r="C468" t="str">
            <v>Institut Kanser Negara</v>
          </cell>
          <cell r="D468" t="str">
            <v>KKM/IKN/H/13/3107</v>
          </cell>
          <cell r="E468" t="str">
            <v>12-660</v>
          </cell>
          <cell r="F468" t="str">
            <v>Radiation Monitors</v>
          </cell>
          <cell r="G468" t="str">
            <v>WA</v>
          </cell>
          <cell r="H468" t="str">
            <v>NUCLEAR MED WARD (THERAPY)</v>
          </cell>
          <cell r="I468" t="str">
            <v>03WA117</v>
          </cell>
          <cell r="J468" t="str">
            <v>N/S 1</v>
          </cell>
          <cell r="K468" t="str">
            <v>BMED</v>
          </cell>
          <cell r="L468" t="str">
            <v>Normal</v>
          </cell>
          <cell r="M468" t="str">
            <v>GERMANY</v>
          </cell>
          <cell r="N468" t="str">
            <v>PADOS</v>
          </cell>
          <cell r="O468" t="str">
            <v>PADOS</v>
          </cell>
          <cell r="P468" t="str">
            <v>Not Available</v>
          </cell>
          <cell r="Q468" t="str">
            <v>Not Applicable</v>
          </cell>
          <cell r="R468" t="str">
            <v>MED DULMEN/NUVIA INSTRUMENT GMBH</v>
          </cell>
          <cell r="S468" t="str">
            <v>MED Nuklear-Medizintechnik Dresden GmbH</v>
          </cell>
          <cell r="T468" t="str">
            <v>Functioning</v>
          </cell>
          <cell r="U468" t="str">
            <v>Asset</v>
          </cell>
          <cell r="V468">
            <v>21290</v>
          </cell>
          <cell r="W468" t="str">
            <v>KEW</v>
          </cell>
          <cell r="X468" t="str">
            <v>01/09/2010</v>
          </cell>
          <cell r="Y468" t="str">
            <v>KEW</v>
          </cell>
          <cell r="Z468" t="str">
            <v>16/08/2013</v>
          </cell>
          <cell r="AA468" t="str">
            <v>15/08/2015</v>
          </cell>
          <cell r="AB468" t="str">
            <v>No</v>
          </cell>
          <cell r="AC468" t="str">
            <v>16/08/2013</v>
          </cell>
          <cell r="AD468" t="str">
            <v>Good</v>
          </cell>
          <cell r="AE468" t="str">
            <v>V10 - Asset in initial fee submission(new/replacement hosp)</v>
          </cell>
          <cell r="AF468">
            <v>43431</v>
          </cell>
          <cell r="AG468">
            <v>9.17</v>
          </cell>
          <cell r="AH468" t="str">
            <v>PPM</v>
          </cell>
          <cell r="AI468" t="str">
            <v>Strands</v>
          </cell>
          <cell r="AJ468" t="str">
            <v>Strands PW</v>
          </cell>
          <cell r="AK468" t="str">
            <v>BER</v>
          </cell>
        </row>
        <row r="469">
          <cell r="A469" t="str">
            <v>IKN402003</v>
          </cell>
          <cell r="B469">
            <v>1658</v>
          </cell>
          <cell r="C469" t="str">
            <v>Institut Kanser Negara</v>
          </cell>
          <cell r="D469" t="str">
            <v>KKM/IKN/H/19/24</v>
          </cell>
          <cell r="E469" t="str">
            <v>17-973</v>
          </cell>
          <cell r="F469" t="str">
            <v>Testers, Laser Beam</v>
          </cell>
          <cell r="G469" t="str">
            <v>RT</v>
          </cell>
          <cell r="H469" t="str">
            <v>RADIATION TREATMENT UNIT</v>
          </cell>
          <cell r="I469" t="str">
            <v>01RT213</v>
          </cell>
          <cell r="J469" t="str">
            <v>EQUIPMENT ROOM1</v>
          </cell>
          <cell r="K469" t="str">
            <v>BMED</v>
          </cell>
          <cell r="L469" t="str">
            <v>Normal</v>
          </cell>
          <cell r="Q469" t="str">
            <v>Not Applicable</v>
          </cell>
          <cell r="R469" t="str">
            <v>MODUS MEDICAL DEVICES INC.</v>
          </cell>
          <cell r="S469" t="str">
            <v>ABEX MEDICAL SYSTEM SDN BHD</v>
          </cell>
          <cell r="T469" t="str">
            <v>Functioning</v>
          </cell>
          <cell r="U469" t="str">
            <v>Asset</v>
          </cell>
          <cell r="V469">
            <v>200000</v>
          </cell>
          <cell r="W469" t="str">
            <v>KEW</v>
          </cell>
          <cell r="X469">
            <v>43749</v>
          </cell>
          <cell r="Y469" t="str">
            <v>KEW</v>
          </cell>
          <cell r="Z469">
            <v>43768</v>
          </cell>
          <cell r="AA469">
            <v>44526</v>
          </cell>
          <cell r="AB469" t="str">
            <v>No</v>
          </cell>
          <cell r="AC469">
            <v>43768</v>
          </cell>
          <cell r="AD469" t="str">
            <v>Good</v>
          </cell>
          <cell r="AE469" t="str">
            <v>V3 - Added Installed Facilities (New)</v>
          </cell>
          <cell r="AH469" t="str">
            <v>PPM</v>
          </cell>
          <cell r="AI469" t="str">
            <v>Strands</v>
          </cell>
          <cell r="AJ469" t="str">
            <v>Strands PW</v>
          </cell>
          <cell r="AK469" t="str">
            <v>SNF received for P2.19. Vendor/User inform no maintenance. Quasar Respiratory Motion Phantom.</v>
          </cell>
        </row>
        <row r="470">
          <cell r="A470" t="str">
            <v>IKN402023</v>
          </cell>
          <cell r="B470">
            <v>1678</v>
          </cell>
          <cell r="C470" t="str">
            <v>Institut Kanser Negara</v>
          </cell>
          <cell r="D470" t="str">
            <v>KKM/IKN/H/20/21</v>
          </cell>
          <cell r="E470" t="str">
            <v>17-949</v>
          </cell>
          <cell r="F470" t="str">
            <v>Handpieces, Surgical</v>
          </cell>
          <cell r="G470" t="str">
            <v>OT</v>
          </cell>
          <cell r="H470" t="str">
            <v>OPERATING THEATRE</v>
          </cell>
          <cell r="I470" t="str">
            <v>05OT105</v>
          </cell>
          <cell r="J470" t="str">
            <v>ORTHO ROOM (FUTURE)</v>
          </cell>
          <cell r="K470" t="str">
            <v>BMED</v>
          </cell>
          <cell r="L470" t="str">
            <v>Normal</v>
          </cell>
          <cell r="M470" t="str">
            <v>USA</v>
          </cell>
          <cell r="N470" t="str">
            <v>MEDTRONIC</v>
          </cell>
          <cell r="O470" t="str">
            <v>IPC EC300</v>
          </cell>
          <cell r="P470" t="str">
            <v>NCT 68498</v>
          </cell>
          <cell r="Q470" t="str">
            <v>Not Applicable</v>
          </cell>
          <cell r="R470" t="str">
            <v>MEDTRONIC  XIOMED INC</v>
          </cell>
          <cell r="S470" t="str">
            <v>Mediliance (M) Sdn. Bhd.</v>
          </cell>
          <cell r="T470" t="str">
            <v>Functioning</v>
          </cell>
          <cell r="U470" t="str">
            <v>Asset</v>
          </cell>
          <cell r="V470">
            <v>150000</v>
          </cell>
          <cell r="W470" t="str">
            <v>KEW</v>
          </cell>
          <cell r="X470">
            <v>43942</v>
          </cell>
          <cell r="Y470" t="str">
            <v>KEW</v>
          </cell>
          <cell r="Z470">
            <v>43959</v>
          </cell>
          <cell r="AA470">
            <v>44324</v>
          </cell>
          <cell r="AB470" t="str">
            <v>No</v>
          </cell>
          <cell r="AC470">
            <v>43959</v>
          </cell>
          <cell r="AD470" t="str">
            <v>Good</v>
          </cell>
          <cell r="AE470" t="str">
            <v>V5 - Transfer to other Hospitals/Healthcare Facility</v>
          </cell>
          <cell r="AH470" t="str">
            <v>PPM</v>
          </cell>
          <cell r="AI470" t="str">
            <v>Not in contract</v>
          </cell>
          <cell r="AJ470" t="str">
            <v>Not in contract</v>
          </cell>
          <cell r="AK470" t="str">
            <v>SNF received on 22.6.2020. Transfer to Hospital Sungai Buloh.</v>
          </cell>
        </row>
        <row r="471">
          <cell r="A471" t="str">
            <v>IKN402024</v>
          </cell>
          <cell r="B471">
            <v>1679</v>
          </cell>
          <cell r="C471" t="str">
            <v>Institut Kanser Negara</v>
          </cell>
          <cell r="D471" t="str">
            <v>KKM/IKN/H/20/20</v>
          </cell>
          <cell r="E471" t="str">
            <v>17-949</v>
          </cell>
          <cell r="F471" t="str">
            <v>Handpieces, Surgical</v>
          </cell>
          <cell r="G471" t="str">
            <v>OT</v>
          </cell>
          <cell r="H471" t="str">
            <v>OPERATING THEATRE</v>
          </cell>
          <cell r="I471" t="str">
            <v>05OT105</v>
          </cell>
          <cell r="J471" t="str">
            <v>ORTHO ROOM (FUTURE)</v>
          </cell>
          <cell r="K471" t="str">
            <v>BMED</v>
          </cell>
          <cell r="L471" t="str">
            <v>Normal</v>
          </cell>
          <cell r="M471" t="str">
            <v>USA</v>
          </cell>
          <cell r="N471" t="str">
            <v>MEDTRONIC</v>
          </cell>
          <cell r="O471" t="str">
            <v>IPC EC300</v>
          </cell>
          <cell r="P471" t="str">
            <v>NCT 68881</v>
          </cell>
          <cell r="Q471" t="str">
            <v>Not Applicable</v>
          </cell>
          <cell r="R471" t="str">
            <v>MEDTRONIC  XIOMED INC</v>
          </cell>
          <cell r="S471" t="str">
            <v>Mediliance (M) Sdn. Bhd.</v>
          </cell>
          <cell r="T471" t="str">
            <v>Functioning</v>
          </cell>
          <cell r="U471" t="str">
            <v>Asset</v>
          </cell>
          <cell r="V471">
            <v>150000</v>
          </cell>
          <cell r="W471" t="str">
            <v>KEW</v>
          </cell>
          <cell r="X471">
            <v>43942</v>
          </cell>
          <cell r="Y471" t="str">
            <v>KEW</v>
          </cell>
          <cell r="Z471">
            <v>43959</v>
          </cell>
          <cell r="AA471">
            <v>44324</v>
          </cell>
          <cell r="AB471" t="str">
            <v>No</v>
          </cell>
          <cell r="AC471">
            <v>43959</v>
          </cell>
          <cell r="AD471" t="str">
            <v>Good</v>
          </cell>
          <cell r="AE471" t="str">
            <v>V5 - Transfer to other Hospitals/Healthcare Facility</v>
          </cell>
          <cell r="AH471" t="str">
            <v>PPM</v>
          </cell>
          <cell r="AI471" t="str">
            <v>Not in contract</v>
          </cell>
          <cell r="AJ471" t="str">
            <v>Not in contract</v>
          </cell>
          <cell r="AK471" t="str">
            <v>SNF received on 22.6.2020. Transfer to Hospital Sungai Buloh.</v>
          </cell>
        </row>
        <row r="472">
          <cell r="A472" t="str">
            <v>IKN402026</v>
          </cell>
          <cell r="B472">
            <v>1681</v>
          </cell>
          <cell r="C472" t="str">
            <v>Institut Kanser Negara</v>
          </cell>
          <cell r="D472" t="str">
            <v>KKM/IKN/H/20/15</v>
          </cell>
          <cell r="E472" t="str">
            <v>13-209</v>
          </cell>
          <cell r="F472" t="str">
            <v>Pumps, Enteral Feeding</v>
          </cell>
          <cell r="G472" t="str">
            <v>WB</v>
          </cell>
          <cell r="H472" t="str">
            <v>SURGICAL ONCO MALE WARD</v>
          </cell>
          <cell r="I472" t="str">
            <v>05WB113</v>
          </cell>
          <cell r="J472" t="str">
            <v>EQUIP. ROOM</v>
          </cell>
          <cell r="K472" t="str">
            <v>BMED</v>
          </cell>
          <cell r="L472" t="str">
            <v>Normal</v>
          </cell>
          <cell r="M472" t="str">
            <v>USA</v>
          </cell>
          <cell r="N472" t="str">
            <v>Sentinel</v>
          </cell>
          <cell r="O472" t="str">
            <v>Sentinel S-3000</v>
          </cell>
          <cell r="P472" t="str">
            <v>001816</v>
          </cell>
          <cell r="Q472" t="str">
            <v>Not Applicable</v>
          </cell>
          <cell r="R472" t="str">
            <v>Alcor Scientific Inc</v>
          </cell>
          <cell r="S472" t="str">
            <v>Kenanga Network Sdn Bhd</v>
          </cell>
          <cell r="T472" t="str">
            <v>Transferred</v>
          </cell>
          <cell r="U472" t="str">
            <v>Asset</v>
          </cell>
          <cell r="V472">
            <v>3000</v>
          </cell>
          <cell r="W472" t="str">
            <v>KEW</v>
          </cell>
          <cell r="X472">
            <v>43941</v>
          </cell>
          <cell r="Y472" t="str">
            <v>KEW</v>
          </cell>
          <cell r="Z472">
            <v>43955</v>
          </cell>
          <cell r="AA472">
            <v>44320</v>
          </cell>
          <cell r="AB472" t="str">
            <v>No</v>
          </cell>
          <cell r="AC472">
            <v>43955</v>
          </cell>
          <cell r="AD472" t="str">
            <v>Good</v>
          </cell>
          <cell r="AE472" t="str">
            <v>V5 - Transfer to other Hospitals/Healthcare Facility</v>
          </cell>
          <cell r="AH472" t="str">
            <v>PPM</v>
          </cell>
          <cell r="AI472" t="str">
            <v>Not in contract</v>
          </cell>
          <cell r="AJ472" t="str">
            <v>Not in contract</v>
          </cell>
          <cell r="AK472" t="str">
            <v>SNF received on 22.6.2020. Transfer to Hospital Sungai Buloh.</v>
          </cell>
        </row>
        <row r="473">
          <cell r="A473" t="str">
            <v>IKN402027</v>
          </cell>
          <cell r="B473">
            <v>1682</v>
          </cell>
          <cell r="C473" t="str">
            <v>Institut Kanser Negara</v>
          </cell>
          <cell r="D473" t="str">
            <v>KKM/IKN/H/20/16</v>
          </cell>
          <cell r="E473" t="str">
            <v>13-209</v>
          </cell>
          <cell r="F473" t="str">
            <v>Pumps, Enteral Feeding</v>
          </cell>
          <cell r="G473" t="str">
            <v>WB</v>
          </cell>
          <cell r="H473" t="str">
            <v>SURGICAL ONCO MALE WARD</v>
          </cell>
          <cell r="I473" t="str">
            <v>05WB113</v>
          </cell>
          <cell r="J473" t="str">
            <v>EQUIP. ROOM</v>
          </cell>
          <cell r="K473" t="str">
            <v>BMED</v>
          </cell>
          <cell r="L473" t="str">
            <v>Normal</v>
          </cell>
          <cell r="M473" t="str">
            <v>USA</v>
          </cell>
          <cell r="N473" t="str">
            <v>Sentinel</v>
          </cell>
          <cell r="O473" t="str">
            <v>Sentinel S-3000</v>
          </cell>
          <cell r="P473" t="str">
            <v>001817</v>
          </cell>
          <cell r="Q473" t="str">
            <v>Not Applicable</v>
          </cell>
          <cell r="S473" t="str">
            <v>Kenanga Network Sdn Bhd</v>
          </cell>
          <cell r="T473" t="str">
            <v>Transferred</v>
          </cell>
          <cell r="U473" t="str">
            <v>Asset</v>
          </cell>
          <cell r="V473">
            <v>3000</v>
          </cell>
          <cell r="W473" t="str">
            <v>KEW</v>
          </cell>
          <cell r="X473">
            <v>43941</v>
          </cell>
          <cell r="Y473" t="str">
            <v>KEW</v>
          </cell>
          <cell r="Z473">
            <v>43955</v>
          </cell>
          <cell r="AA473">
            <v>44320</v>
          </cell>
          <cell r="AB473" t="str">
            <v>No</v>
          </cell>
          <cell r="AC473">
            <v>43955</v>
          </cell>
          <cell r="AD473" t="str">
            <v>Good</v>
          </cell>
          <cell r="AE473" t="str">
            <v>V5 - Transfer to other Hospitals/Healthcare Facility</v>
          </cell>
          <cell r="AH473" t="str">
            <v>PPM</v>
          </cell>
          <cell r="AI473" t="str">
            <v>Not in contract</v>
          </cell>
          <cell r="AJ473" t="str">
            <v>Not in contract</v>
          </cell>
          <cell r="AK473" t="str">
            <v>SNF received on 22.6.2020. Transfer to Hospital Sungai Buloh.</v>
          </cell>
        </row>
        <row r="474">
          <cell r="A474" t="str">
            <v>IKN402028</v>
          </cell>
          <cell r="B474">
            <v>1683</v>
          </cell>
          <cell r="C474" t="str">
            <v>Institut Kanser Negara</v>
          </cell>
          <cell r="D474" t="str">
            <v>KKM/IKN/H/20/26</v>
          </cell>
          <cell r="E474" t="str">
            <v>18-147</v>
          </cell>
          <cell r="F474" t="str">
            <v>Mattress Systems, Alternating-Pressure</v>
          </cell>
          <cell r="G474" t="str">
            <v>WB</v>
          </cell>
          <cell r="H474" t="str">
            <v>SURGICAL ONCO MALE WARD</v>
          </cell>
          <cell r="I474" t="str">
            <v>05WB113</v>
          </cell>
          <cell r="J474" t="str">
            <v>EQUIP. ROOM</v>
          </cell>
          <cell r="K474" t="str">
            <v>BMED</v>
          </cell>
          <cell r="L474" t="str">
            <v>Normal</v>
          </cell>
          <cell r="P474">
            <v>19062173</v>
          </cell>
          <cell r="Q474" t="str">
            <v>Not Applicable</v>
          </cell>
          <cell r="S474" t="str">
            <v>Perniagaan Bekalan Abadi Sdn.Bhd.</v>
          </cell>
          <cell r="T474" t="str">
            <v>Transferred</v>
          </cell>
          <cell r="U474" t="str">
            <v>Asset</v>
          </cell>
          <cell r="V474">
            <v>1000</v>
          </cell>
          <cell r="W474" t="str">
            <v>KEW</v>
          </cell>
          <cell r="X474">
            <v>43941</v>
          </cell>
          <cell r="Y474" t="str">
            <v>KEW</v>
          </cell>
          <cell r="Z474">
            <v>43963</v>
          </cell>
          <cell r="AA474">
            <v>44328</v>
          </cell>
          <cell r="AB474" t="str">
            <v>No</v>
          </cell>
          <cell r="AC474">
            <v>43963</v>
          </cell>
          <cell r="AD474" t="str">
            <v>Good</v>
          </cell>
          <cell r="AE474" t="str">
            <v>V5 - Transfer to other Hospitals/Healthcare Facility</v>
          </cell>
          <cell r="AH474" t="str">
            <v>PPM</v>
          </cell>
          <cell r="AI474" t="str">
            <v>Not in contract</v>
          </cell>
          <cell r="AJ474" t="str">
            <v>Not in contract</v>
          </cell>
          <cell r="AK474" t="str">
            <v>SNF received on 22.6.2020. Transfer to Hospital Sungai Buloh.</v>
          </cell>
        </row>
        <row r="475">
          <cell r="A475" t="str">
            <v>IKN402029</v>
          </cell>
          <cell r="B475">
            <v>1684</v>
          </cell>
          <cell r="C475" t="str">
            <v>Institut Kanser Negara</v>
          </cell>
          <cell r="D475" t="str">
            <v>KKM/IKN/H/20/27</v>
          </cell>
          <cell r="E475" t="str">
            <v>18-147</v>
          </cell>
          <cell r="F475" t="str">
            <v>Mattress Systems, Alternating-Pressure</v>
          </cell>
          <cell r="G475" t="str">
            <v>WB</v>
          </cell>
          <cell r="H475" t="str">
            <v>SURGICAL ONCO MALE WARD</v>
          </cell>
          <cell r="I475" t="str">
            <v>05WB113</v>
          </cell>
          <cell r="J475" t="str">
            <v>EQUIP. ROOM</v>
          </cell>
          <cell r="K475" t="str">
            <v>BMED</v>
          </cell>
          <cell r="L475" t="str">
            <v>Normal</v>
          </cell>
          <cell r="P475">
            <v>19061904</v>
          </cell>
          <cell r="Q475" t="str">
            <v>Not Applicable</v>
          </cell>
          <cell r="S475" t="str">
            <v>Perniagaan Bekalan Abadi Sdn.Bhd.</v>
          </cell>
          <cell r="T475" t="str">
            <v>Transferred</v>
          </cell>
          <cell r="U475" t="str">
            <v>Asset</v>
          </cell>
          <cell r="V475">
            <v>1000</v>
          </cell>
          <cell r="W475" t="str">
            <v>KEW</v>
          </cell>
          <cell r="X475">
            <v>43941</v>
          </cell>
          <cell r="Y475" t="str">
            <v>KEW</v>
          </cell>
          <cell r="Z475">
            <v>43963</v>
          </cell>
          <cell r="AA475">
            <v>44328</v>
          </cell>
          <cell r="AB475" t="str">
            <v>No</v>
          </cell>
          <cell r="AC475">
            <v>43963</v>
          </cell>
          <cell r="AD475" t="str">
            <v>Good</v>
          </cell>
          <cell r="AE475" t="str">
            <v>V5 - Transfer to other Hospitals/Healthcare Facility</v>
          </cell>
          <cell r="AH475" t="str">
            <v>PPM</v>
          </cell>
          <cell r="AI475" t="str">
            <v>Not in contract</v>
          </cell>
          <cell r="AJ475" t="str">
            <v>Not in contract</v>
          </cell>
          <cell r="AK475" t="str">
            <v>SNF received on 22.6.2020. Transfer to Hospital Sungai Buloh.</v>
          </cell>
        </row>
        <row r="476">
          <cell r="A476" t="str">
            <v>IKN402030</v>
          </cell>
          <cell r="B476">
            <v>1685</v>
          </cell>
          <cell r="C476" t="str">
            <v>Institut Kanser Negara</v>
          </cell>
          <cell r="D476" t="str">
            <v>KKM/IKN/H/20/28</v>
          </cell>
          <cell r="E476" t="str">
            <v>18-147</v>
          </cell>
          <cell r="F476" t="str">
            <v>Mattress Systems, Alternating-Pressure</v>
          </cell>
          <cell r="G476" t="str">
            <v>WB</v>
          </cell>
          <cell r="H476" t="str">
            <v>SURGICAL ONCO MALE WARD</v>
          </cell>
          <cell r="I476" t="str">
            <v>05WB113</v>
          </cell>
          <cell r="J476" t="str">
            <v>EQUIP. ROOM</v>
          </cell>
          <cell r="K476" t="str">
            <v>BMED</v>
          </cell>
          <cell r="L476" t="str">
            <v>Normal</v>
          </cell>
          <cell r="P476">
            <v>19061905</v>
          </cell>
          <cell r="Q476" t="str">
            <v>Not Applicable</v>
          </cell>
          <cell r="S476" t="str">
            <v>Perniagaan Bekalan Abadi Sdn.Bhd.</v>
          </cell>
          <cell r="T476" t="str">
            <v>Transferred</v>
          </cell>
          <cell r="U476" t="str">
            <v>Asset</v>
          </cell>
          <cell r="V476">
            <v>1000</v>
          </cell>
          <cell r="W476" t="str">
            <v>KEW</v>
          </cell>
          <cell r="X476">
            <v>43941</v>
          </cell>
          <cell r="Y476" t="str">
            <v>KEW</v>
          </cell>
          <cell r="Z476">
            <v>43963</v>
          </cell>
          <cell r="AA476">
            <v>44328</v>
          </cell>
          <cell r="AB476" t="str">
            <v>No</v>
          </cell>
          <cell r="AC476">
            <v>43963</v>
          </cell>
          <cell r="AD476" t="str">
            <v>Good</v>
          </cell>
          <cell r="AE476" t="str">
            <v>V5 - Transfer to other Hospitals/Healthcare Facility</v>
          </cell>
          <cell r="AH476" t="str">
            <v>PPM</v>
          </cell>
          <cell r="AI476" t="str">
            <v>Not in contract</v>
          </cell>
          <cell r="AJ476" t="str">
            <v>Strands PW. Proposed for V5 P2.23</v>
          </cell>
          <cell r="AK476" t="str">
            <v>SNF received on 22.6.2020. Transfer to Hospital Sungai Buloh.</v>
          </cell>
        </row>
        <row r="477">
          <cell r="A477" t="str">
            <v>IKN402034</v>
          </cell>
          <cell r="B477">
            <v>1689</v>
          </cell>
          <cell r="C477" t="str">
            <v>Institut Kanser Negara</v>
          </cell>
          <cell r="D477" t="str">
            <v>KKM/IKN/H/20/22</v>
          </cell>
          <cell r="E477" t="str">
            <v>10-849</v>
          </cell>
          <cell r="F477" t="str">
            <v>CIRCULATORY ASSIST UNITS, VENOUS RETURN</v>
          </cell>
          <cell r="G477" t="str">
            <v>WB</v>
          </cell>
          <cell r="H477" t="str">
            <v>SURGICAL ONCO MALE WARD</v>
          </cell>
          <cell r="I477" t="str">
            <v>05WB113</v>
          </cell>
          <cell r="J477" t="str">
            <v>EQUIP. ROOM</v>
          </cell>
          <cell r="K477" t="str">
            <v>BMED</v>
          </cell>
          <cell r="L477" t="str">
            <v>Normal</v>
          </cell>
          <cell r="M477" t="str">
            <v>USA</v>
          </cell>
          <cell r="N477" t="str">
            <v>Covidien</v>
          </cell>
          <cell r="O477" t="str">
            <v>Kendall SCD 700 DVT</v>
          </cell>
          <cell r="P477" t="str">
            <v>V1933113SX</v>
          </cell>
          <cell r="Q477" t="str">
            <v>Not Applicable</v>
          </cell>
          <cell r="R477" t="str">
            <v>Covidien LLC, USA</v>
          </cell>
          <cell r="S477" t="str">
            <v>ALAM MEDIK SDN BHD</v>
          </cell>
          <cell r="T477" t="str">
            <v>Transferred</v>
          </cell>
          <cell r="U477" t="str">
            <v>Asset</v>
          </cell>
          <cell r="V477">
            <v>8500</v>
          </cell>
          <cell r="W477" t="str">
            <v>KEW</v>
          </cell>
          <cell r="X477">
            <v>43973</v>
          </cell>
          <cell r="Y477" t="str">
            <v>KEW</v>
          </cell>
          <cell r="Z477">
            <v>43973</v>
          </cell>
          <cell r="AA477">
            <v>44338</v>
          </cell>
          <cell r="AB477" t="str">
            <v>No</v>
          </cell>
          <cell r="AD477" t="str">
            <v>Good</v>
          </cell>
          <cell r="AE477" t="str">
            <v>V5 - Transfer to other Hospitals/Healthcare Facility</v>
          </cell>
          <cell r="AH477" t="str">
            <v>PPM</v>
          </cell>
          <cell r="AI477" t="str">
            <v>Not in contract</v>
          </cell>
          <cell r="AJ477" t="str">
            <v>Not in contract</v>
          </cell>
          <cell r="AK477" t="str">
            <v>SNF received on 22.6.2020. Transfer to Hospital Sungai Buloh.</v>
          </cell>
        </row>
        <row r="478">
          <cell r="A478" t="str">
            <v>IKN402047</v>
          </cell>
          <cell r="B478">
            <v>1702</v>
          </cell>
          <cell r="C478" t="str">
            <v>Institut Kanser Negara</v>
          </cell>
          <cell r="D478" t="str">
            <v>KKM/IKN/H/20/51</v>
          </cell>
          <cell r="E478" t="str">
            <v>15-167</v>
          </cell>
          <cell r="F478" t="str">
            <v>Extractors, Plasma</v>
          </cell>
          <cell r="G478" t="str">
            <v>LA</v>
          </cell>
          <cell r="H478" t="str">
            <v>PATHOLOGY</v>
          </cell>
          <cell r="I478" t="str">
            <v>04LA127</v>
          </cell>
          <cell r="J478" t="str">
            <v>INNOCULATION/STAINING</v>
          </cell>
          <cell r="K478" t="str">
            <v>BMED</v>
          </cell>
          <cell r="L478" t="str">
            <v>Normal</v>
          </cell>
          <cell r="M478" t="str">
            <v>Taiwan</v>
          </cell>
          <cell r="N478" t="str">
            <v>LabTurbo</v>
          </cell>
          <cell r="O478" t="str">
            <v>AIO24-64</v>
          </cell>
          <cell r="P478" t="str">
            <v>02091707001</v>
          </cell>
          <cell r="Q478" t="str">
            <v>Not Applicable</v>
          </cell>
          <cell r="R478" t="str">
            <v>LabTurbo Biotech Corporation</v>
          </cell>
          <cell r="S478" t="str">
            <v>Tree Med Sdn. Bhd</v>
          </cell>
          <cell r="T478" t="str">
            <v>Functioning</v>
          </cell>
          <cell r="U478" t="str">
            <v>Asset</v>
          </cell>
          <cell r="V478">
            <v>430000</v>
          </cell>
          <cell r="W478" t="str">
            <v>KEW</v>
          </cell>
          <cell r="X478">
            <v>43935</v>
          </cell>
          <cell r="Y478" t="str">
            <v>KEW</v>
          </cell>
          <cell r="Z478">
            <v>44167</v>
          </cell>
          <cell r="AA478">
            <v>44897</v>
          </cell>
          <cell r="AB478" t="str">
            <v>No</v>
          </cell>
          <cell r="AC478">
            <v>44167</v>
          </cell>
          <cell r="AD478" t="str">
            <v>Good</v>
          </cell>
          <cell r="AE478" t="str">
            <v>V3 - Added Installed Facilities (New)</v>
          </cell>
          <cell r="AF478">
            <v>44167</v>
          </cell>
          <cell r="AH478" t="str">
            <v>PPM</v>
          </cell>
          <cell r="AI478" t="str">
            <v>Strands</v>
          </cell>
          <cell r="AJ478" t="str">
            <v>Strands DW</v>
          </cell>
          <cell r="AK478" t="str">
            <v>SNF received on 15.1.2021. [29/2/2024, SHARIFAH]: RENEW PEP ON 28/2/2024; BER/BEMS/IKN/23/028- ALAT TIDAK MEMENUHI KEPERLUAN KLINIKAL PENGGUNA.  PENGGUNAANNYA HENDAKLAH DIHENTIKAN. PURPOSED V4 IN P1 24</v>
          </cell>
        </row>
        <row r="479">
          <cell r="A479" t="str">
            <v>IKN402066</v>
          </cell>
          <cell r="B479">
            <v>1721</v>
          </cell>
          <cell r="C479" t="str">
            <v>Institut Kanser Negara</v>
          </cell>
          <cell r="D479" t="str">
            <v>NA</v>
          </cell>
          <cell r="E479" t="str">
            <v>15-663</v>
          </cell>
          <cell r="F479" t="str">
            <v>Pipetters</v>
          </cell>
          <cell r="G479" t="str">
            <v>LA</v>
          </cell>
          <cell r="H479" t="str">
            <v>PATHOLOGY</v>
          </cell>
          <cell r="I479" t="str">
            <v>04LA130</v>
          </cell>
          <cell r="J479" t="str">
            <v>SEROLOGY</v>
          </cell>
          <cell r="K479" t="str">
            <v>BMED</v>
          </cell>
          <cell r="L479" t="str">
            <v>Normal</v>
          </cell>
          <cell r="M479" t="str">
            <v>Germany</v>
          </cell>
          <cell r="N479" t="str">
            <v>Eppendorf</v>
          </cell>
          <cell r="O479" t="str">
            <v>Eppendorf Research Plus</v>
          </cell>
          <cell r="P479" t="str">
            <v>M29138J</v>
          </cell>
          <cell r="Q479" t="str">
            <v>Not Applicable</v>
          </cell>
          <cell r="R479" t="str">
            <v>Eppendorf</v>
          </cell>
          <cell r="S479" t="str">
            <v>MEDIGENE SDN BHD</v>
          </cell>
          <cell r="T479" t="str">
            <v>Functioning</v>
          </cell>
          <cell r="U479" t="str">
            <v>Asset</v>
          </cell>
          <cell r="V479">
            <v>1000</v>
          </cell>
          <cell r="W479" t="str">
            <v>KEW</v>
          </cell>
          <cell r="X479">
            <v>44291</v>
          </cell>
          <cell r="Y479" t="str">
            <v>KEW</v>
          </cell>
          <cell r="Z479">
            <v>44307</v>
          </cell>
          <cell r="AA479">
            <v>44672</v>
          </cell>
          <cell r="AB479" t="str">
            <v>No</v>
          </cell>
          <cell r="AC479">
            <v>44307</v>
          </cell>
          <cell r="AD479" t="str">
            <v>Good</v>
          </cell>
          <cell r="AE479" t="str">
            <v>V3 - Added Installed Facilities (New)</v>
          </cell>
          <cell r="AH479" t="str">
            <v>PPM</v>
          </cell>
          <cell r="AI479" t="str">
            <v>Not in contract</v>
          </cell>
          <cell r="AJ479" t="str">
            <v>Not in contract</v>
          </cell>
          <cell r="AK479" t="str">
            <v>BARANG SUMBANGAN. USER DID NOT WANT TO CALIBRATE.[INDIRA UPDATE 21/10/2024]</v>
          </cell>
        </row>
        <row r="480">
          <cell r="A480" t="str">
            <v>IKN402067</v>
          </cell>
          <cell r="B480">
            <v>1722</v>
          </cell>
          <cell r="C480" t="str">
            <v>Institut Kanser Negara</v>
          </cell>
          <cell r="D480" t="str">
            <v>NA</v>
          </cell>
          <cell r="E480" t="str">
            <v>15-663</v>
          </cell>
          <cell r="F480" t="str">
            <v>Pipetters</v>
          </cell>
          <cell r="G480" t="str">
            <v>LA</v>
          </cell>
          <cell r="H480" t="str">
            <v>PATHOLOGY</v>
          </cell>
          <cell r="I480" t="str">
            <v>04LA130</v>
          </cell>
          <cell r="J480" t="str">
            <v>SEROLOGY</v>
          </cell>
          <cell r="K480" t="str">
            <v>BMED</v>
          </cell>
          <cell r="L480" t="str">
            <v>Normal</v>
          </cell>
          <cell r="M480" t="str">
            <v>Germany</v>
          </cell>
          <cell r="N480" t="str">
            <v>Eppendorf</v>
          </cell>
          <cell r="O480" t="str">
            <v>Eppendorf Research Plus</v>
          </cell>
          <cell r="P480" t="str">
            <v>M29092J</v>
          </cell>
          <cell r="Q480" t="str">
            <v>Not Applicable</v>
          </cell>
          <cell r="R480" t="str">
            <v>Eppendorf</v>
          </cell>
          <cell r="S480" t="str">
            <v>MEDIGENE SDN BHD</v>
          </cell>
          <cell r="T480" t="str">
            <v>Functioning</v>
          </cell>
          <cell r="U480" t="str">
            <v>Asset</v>
          </cell>
          <cell r="V480">
            <v>1000</v>
          </cell>
          <cell r="W480" t="str">
            <v>KEW</v>
          </cell>
          <cell r="X480">
            <v>44291</v>
          </cell>
          <cell r="Y480" t="str">
            <v>KEW</v>
          </cell>
          <cell r="Z480">
            <v>44307</v>
          </cell>
          <cell r="AA480">
            <v>44672</v>
          </cell>
          <cell r="AB480" t="str">
            <v>No</v>
          </cell>
          <cell r="AC480">
            <v>44307</v>
          </cell>
          <cell r="AD480" t="str">
            <v>Good</v>
          </cell>
          <cell r="AE480" t="str">
            <v>V3 - Added Installed Facilities (New)</v>
          </cell>
          <cell r="AH480" t="str">
            <v>PPM</v>
          </cell>
          <cell r="AI480" t="str">
            <v>Not in contract</v>
          </cell>
          <cell r="AJ480" t="str">
            <v>Not in contract</v>
          </cell>
          <cell r="AK480" t="str">
            <v>BARANG SUMBANGAN. USER DID NOT WANT TO CALIBRATE.[INDIRA UPDATE 21/10/2024]</v>
          </cell>
        </row>
        <row r="481">
          <cell r="A481" t="str">
            <v>IKN402080</v>
          </cell>
          <cell r="B481">
            <v>1735</v>
          </cell>
          <cell r="C481" t="str">
            <v>Institut Kanser Negara</v>
          </cell>
          <cell r="D481" t="str">
            <v>KKM/IKN/H/21/37</v>
          </cell>
          <cell r="E481" t="str">
            <v>13-215</v>
          </cell>
          <cell r="F481" t="str">
            <v>Infusion Pumps, General-Purpose</v>
          </cell>
          <cell r="G481" t="str">
            <v>DO</v>
          </cell>
          <cell r="H481" t="str">
            <v>DAY ONCOLOGY UNIT</v>
          </cell>
          <cell r="I481" t="str">
            <v>04DO111</v>
          </cell>
          <cell r="J481" t="str">
            <v>EQUIP. ROOM</v>
          </cell>
          <cell r="K481" t="str">
            <v>BMED</v>
          </cell>
          <cell r="L481" t="str">
            <v>Critical</v>
          </cell>
          <cell r="M481" t="str">
            <v>CHINA</v>
          </cell>
          <cell r="N481" t="str">
            <v>MedCaptian</v>
          </cell>
          <cell r="O481" t="str">
            <v>HP-60</v>
          </cell>
          <cell r="P481" t="str">
            <v>9024022107065</v>
          </cell>
          <cell r="Q481" t="str">
            <v>Not Applicable</v>
          </cell>
          <cell r="R481" t="str">
            <v>MedCaptain Medical Technology</v>
          </cell>
          <cell r="S481" t="str">
            <v>Alam Medik Sdn Bhd</v>
          </cell>
          <cell r="T481" t="str">
            <v>Functioning</v>
          </cell>
          <cell r="U481" t="str">
            <v>Asset</v>
          </cell>
          <cell r="V481">
            <v>3500</v>
          </cell>
          <cell r="W481" t="str">
            <v>KEW</v>
          </cell>
          <cell r="X481">
            <v>44421</v>
          </cell>
          <cell r="Y481" t="str">
            <v>KEW</v>
          </cell>
          <cell r="Z481">
            <v>44432</v>
          </cell>
          <cell r="AA481">
            <v>44797</v>
          </cell>
          <cell r="AB481" t="str">
            <v>No</v>
          </cell>
          <cell r="AC481">
            <v>44432</v>
          </cell>
          <cell r="AD481" t="str">
            <v>Good</v>
          </cell>
          <cell r="AE481" t="str">
            <v>V3 - Added Installed Facilities (New)</v>
          </cell>
          <cell r="AF481">
            <v>44432</v>
          </cell>
          <cell r="AH481" t="str">
            <v>PPM</v>
          </cell>
          <cell r="AI481" t="str">
            <v>Strands</v>
          </cell>
          <cell r="AJ481" t="str">
            <v>Strands PW</v>
          </cell>
          <cell r="AK481" t="str">
            <v>SNF received on 28.9.2021. [17/12/2023, SHARIFAH]: PEP ON 7/12/2023, BER/BEMS/IKN/23/022 - Asset mengalami kerosakan pada mainboard. Penggunaannya hendaklah dihentikan. SNF V4 received on 6/3/2024.</v>
          </cell>
        </row>
        <row r="482">
          <cell r="A482" t="str">
            <v>IKN402110</v>
          </cell>
          <cell r="B482">
            <v>1765</v>
          </cell>
          <cell r="C482" t="str">
            <v>Institut Kanser Negara</v>
          </cell>
          <cell r="D482" t="str">
            <v>KKM/IKN/H/22/13</v>
          </cell>
          <cell r="E482" t="str">
            <v>13-215</v>
          </cell>
          <cell r="F482" t="str">
            <v>Infusion Pumps, General-Purpose</v>
          </cell>
          <cell r="G482" t="str">
            <v>WD</v>
          </cell>
          <cell r="H482" t="str">
            <v>RT/ONCO PAED/ADOLESCENT WARD</v>
          </cell>
          <cell r="I482" t="str">
            <v>06WD153</v>
          </cell>
          <cell r="J482" t="str">
            <v>EQP.ROOM</v>
          </cell>
          <cell r="K482" t="str">
            <v>BMED</v>
          </cell>
          <cell r="L482" t="str">
            <v>Critical</v>
          </cell>
          <cell r="M482" t="str">
            <v>CHINA</v>
          </cell>
          <cell r="N482" t="str">
            <v>MedCaptian</v>
          </cell>
          <cell r="O482" t="str">
            <v>HP-60</v>
          </cell>
          <cell r="P482">
            <v>9024022108379</v>
          </cell>
          <cell r="Q482" t="str">
            <v>Not Applicable</v>
          </cell>
          <cell r="R482" t="str">
            <v>MedCaptain Medical Technology</v>
          </cell>
          <cell r="S482" t="str">
            <v>Alam Medik Sdn Bhd</v>
          </cell>
          <cell r="T482" t="str">
            <v>Functioning</v>
          </cell>
          <cell r="U482" t="str">
            <v>Asset</v>
          </cell>
          <cell r="V482">
            <v>3500</v>
          </cell>
          <cell r="W482" t="str">
            <v>KEW</v>
          </cell>
          <cell r="X482">
            <v>44643</v>
          </cell>
          <cell r="Y482" t="str">
            <v>KEW</v>
          </cell>
          <cell r="Z482">
            <v>44658</v>
          </cell>
          <cell r="AA482">
            <v>45023</v>
          </cell>
          <cell r="AB482" t="str">
            <v>NO</v>
          </cell>
          <cell r="AC482">
            <v>44658</v>
          </cell>
          <cell r="AD482" t="str">
            <v>Good</v>
          </cell>
          <cell r="AE482" t="str">
            <v>V3 - Added Installed Facilities (New)</v>
          </cell>
          <cell r="AF482">
            <v>45195</v>
          </cell>
          <cell r="AG482" t="str">
            <v>NA</v>
          </cell>
          <cell r="AH482" t="str">
            <v>PPM</v>
          </cell>
          <cell r="AI482" t="str">
            <v>Not in Contract</v>
          </cell>
          <cell r="AJ482" t="str">
            <v>Proposed for V3 P2.23</v>
          </cell>
          <cell r="AK482" t="str">
            <v>(PIC: ATIQA). KKM follow P2.23.</v>
          </cell>
        </row>
        <row r="483">
          <cell r="A483" t="str">
            <v>IKN402125</v>
          </cell>
          <cell r="B483">
            <v>1780</v>
          </cell>
          <cell r="C483" t="str">
            <v>Institut Kanser Negara</v>
          </cell>
          <cell r="D483" t="str">
            <v>KKM/IKN/H/22/50</v>
          </cell>
          <cell r="E483" t="str">
            <v>16-320</v>
          </cell>
          <cell r="F483" t="str">
            <v>Bacti Incinerator/Infared Sterilizer</v>
          </cell>
          <cell r="G483" t="str">
            <v>LA</v>
          </cell>
          <cell r="H483" t="str">
            <v>PATHOLOGY</v>
          </cell>
          <cell r="I483" t="str">
            <v>04LA127</v>
          </cell>
          <cell r="J483" t="str">
            <v>INNOCULATION/STAINING</v>
          </cell>
          <cell r="K483" t="str">
            <v>BMED</v>
          </cell>
          <cell r="L483" t="str">
            <v>Normal</v>
          </cell>
          <cell r="M483" t="str">
            <v>CHINA</v>
          </cell>
          <cell r="N483" t="str">
            <v>Bacti Zapper</v>
          </cell>
          <cell r="O483" t="str">
            <v>B1000-E</v>
          </cell>
          <cell r="P483" t="str">
            <v>023-16031-20050032</v>
          </cell>
          <cell r="Q483" t="str">
            <v>Not Applicable</v>
          </cell>
          <cell r="R483" t="str">
            <v>Beachmark Scientific Inc</v>
          </cell>
          <cell r="S483" t="str">
            <v>Chemopharm Sdn Bhd</v>
          </cell>
          <cell r="T483" t="str">
            <v>Functioning</v>
          </cell>
          <cell r="U483" t="str">
            <v>Asset</v>
          </cell>
          <cell r="V483">
            <v>3395</v>
          </cell>
          <cell r="W483" t="str">
            <v>KEW</v>
          </cell>
          <cell r="X483">
            <v>44648</v>
          </cell>
          <cell r="Y483" t="str">
            <v>KEW</v>
          </cell>
          <cell r="Z483">
            <v>44726</v>
          </cell>
          <cell r="AA483">
            <v>45090</v>
          </cell>
          <cell r="AB483" t="str">
            <v>No</v>
          </cell>
          <cell r="AC483">
            <v>44726</v>
          </cell>
          <cell r="AD483" t="str">
            <v>Good</v>
          </cell>
          <cell r="AE483" t="str">
            <v>V3 - Added Installed Facilities (New)</v>
          </cell>
          <cell r="AF483">
            <v>44726</v>
          </cell>
          <cell r="AG483" t="str">
            <v>NA</v>
          </cell>
          <cell r="AH483" t="str">
            <v>PPM</v>
          </cell>
          <cell r="AI483" t="str">
            <v>NOT IN CONTRACT</v>
          </cell>
          <cell r="AJ483" t="str">
            <v>Not under maintenance</v>
          </cell>
          <cell r="AK483" t="str">
            <v>[28/2/2024, FAEZAH: MEMO PENOLAKAN V3 DARI AWC.</v>
          </cell>
        </row>
        <row r="484">
          <cell r="A484" t="str">
            <v>IKN402126</v>
          </cell>
          <cell r="B484">
            <v>1781</v>
          </cell>
          <cell r="C484" t="str">
            <v>Institut Kanser Negara</v>
          </cell>
          <cell r="D484" t="str">
            <v>KKM/IKN/H/22/51</v>
          </cell>
          <cell r="E484" t="str">
            <v>16-320</v>
          </cell>
          <cell r="F484" t="str">
            <v>Bacti Incinerator/Infared Sterilizer</v>
          </cell>
          <cell r="G484" t="str">
            <v>LA</v>
          </cell>
          <cell r="H484" t="str">
            <v>PATHOLOGY</v>
          </cell>
          <cell r="I484" t="str">
            <v>04LA127</v>
          </cell>
          <cell r="J484" t="str">
            <v>INNOCULATION/STAINING</v>
          </cell>
          <cell r="K484" t="str">
            <v>BMED</v>
          </cell>
          <cell r="L484" t="str">
            <v>Normal</v>
          </cell>
          <cell r="M484" t="str">
            <v>CHINA</v>
          </cell>
          <cell r="N484" t="str">
            <v>Bacti Zapper</v>
          </cell>
          <cell r="O484" t="str">
            <v>B1000-E</v>
          </cell>
          <cell r="P484" t="str">
            <v>023-16031-20050035</v>
          </cell>
          <cell r="Q484" t="str">
            <v>Not Applicable</v>
          </cell>
          <cell r="R484" t="str">
            <v>Beachmark Scientific Inc</v>
          </cell>
          <cell r="S484" t="str">
            <v>Chemopharm Sdn Bhd</v>
          </cell>
          <cell r="T484" t="str">
            <v>Functioning</v>
          </cell>
          <cell r="U484" t="str">
            <v>Asset</v>
          </cell>
          <cell r="V484">
            <v>3395</v>
          </cell>
          <cell r="W484" t="str">
            <v>KEW</v>
          </cell>
          <cell r="X484">
            <v>44648</v>
          </cell>
          <cell r="Y484" t="str">
            <v>KEW</v>
          </cell>
          <cell r="Z484">
            <v>44726</v>
          </cell>
          <cell r="AA484">
            <v>45090</v>
          </cell>
          <cell r="AB484" t="str">
            <v>No</v>
          </cell>
          <cell r="AC484">
            <v>44726</v>
          </cell>
          <cell r="AD484" t="str">
            <v>Good</v>
          </cell>
          <cell r="AE484" t="str">
            <v>V3 - Added Installed Facilities (New)</v>
          </cell>
          <cell r="AF484">
            <v>44726</v>
          </cell>
          <cell r="AG484" t="str">
            <v>NA</v>
          </cell>
          <cell r="AH484" t="str">
            <v>PPM</v>
          </cell>
          <cell r="AI484" t="str">
            <v>NOT IN CONTRACT</v>
          </cell>
          <cell r="AJ484" t="str">
            <v>Not under maintenance</v>
          </cell>
          <cell r="AK484" t="str">
            <v>[28/2/2024, FAEZAH: MEMO PENOLAKAN V3 DARI AWC.</v>
          </cell>
        </row>
        <row r="485">
          <cell r="A485" t="str">
            <v>IKN402127</v>
          </cell>
          <cell r="B485">
            <v>1782</v>
          </cell>
          <cell r="C485" t="str">
            <v>Institut Kanser Negara</v>
          </cell>
          <cell r="D485" t="str">
            <v>KKM/IKN/H/22/52</v>
          </cell>
          <cell r="E485" t="str">
            <v>16-320</v>
          </cell>
          <cell r="F485" t="str">
            <v>Bacti Incinerator/Infared Sterilizer</v>
          </cell>
          <cell r="G485" t="str">
            <v>LA</v>
          </cell>
          <cell r="H485" t="str">
            <v>PATHOLOGY</v>
          </cell>
          <cell r="I485" t="str">
            <v>04LA127</v>
          </cell>
          <cell r="J485" t="str">
            <v>INNOCULATION/STAINING</v>
          </cell>
          <cell r="K485" t="str">
            <v>BMED</v>
          </cell>
          <cell r="L485" t="str">
            <v>Normal</v>
          </cell>
          <cell r="M485" t="str">
            <v>CHINA</v>
          </cell>
          <cell r="N485" t="str">
            <v>Bacti Zapper</v>
          </cell>
          <cell r="O485" t="str">
            <v>B1000-E</v>
          </cell>
          <cell r="P485" t="str">
            <v>023-16031-21030085</v>
          </cell>
          <cell r="Q485" t="str">
            <v>Not Applicable</v>
          </cell>
          <cell r="R485" t="str">
            <v>Beachmark Scientific Inc</v>
          </cell>
          <cell r="S485" t="str">
            <v>Chemopharm Sdn Bhd</v>
          </cell>
          <cell r="T485" t="str">
            <v>Functioning</v>
          </cell>
          <cell r="U485" t="str">
            <v>Asset</v>
          </cell>
          <cell r="V485">
            <v>3395</v>
          </cell>
          <cell r="W485" t="str">
            <v>KEW</v>
          </cell>
          <cell r="X485">
            <v>44648</v>
          </cell>
          <cell r="Y485" t="str">
            <v>KEW</v>
          </cell>
          <cell r="Z485">
            <v>44726</v>
          </cell>
          <cell r="AA485">
            <v>45090</v>
          </cell>
          <cell r="AB485" t="str">
            <v>No</v>
          </cell>
          <cell r="AC485">
            <v>44726</v>
          </cell>
          <cell r="AD485" t="str">
            <v>Good</v>
          </cell>
          <cell r="AE485" t="str">
            <v>V3 - Added Installed Facilities (New)</v>
          </cell>
          <cell r="AF485">
            <v>44726</v>
          </cell>
          <cell r="AG485" t="str">
            <v>NA</v>
          </cell>
          <cell r="AH485" t="str">
            <v>PPM</v>
          </cell>
          <cell r="AI485" t="str">
            <v>NOT IN CONTRACT</v>
          </cell>
          <cell r="AJ485" t="str">
            <v>Not under maintenance</v>
          </cell>
          <cell r="AK485" t="str">
            <v>[28/2/2024, FAEZAH: MEMO PENOLAKAN V3 DARI AWC.</v>
          </cell>
        </row>
        <row r="486">
          <cell r="A486" t="str">
            <v>IKN402128</v>
          </cell>
          <cell r="B486">
            <v>1783</v>
          </cell>
          <cell r="C486" t="str">
            <v>Institut Kanser Negara</v>
          </cell>
          <cell r="D486" t="str">
            <v>KKM/IKN/H/22/53</v>
          </cell>
          <cell r="E486" t="str">
            <v>16-320</v>
          </cell>
          <cell r="F486" t="str">
            <v>Bacti Incinerator/Infared Sterilizer</v>
          </cell>
          <cell r="G486" t="str">
            <v>LA</v>
          </cell>
          <cell r="H486" t="str">
            <v>PATHOLOGY</v>
          </cell>
          <cell r="I486" t="str">
            <v>04LA127</v>
          </cell>
          <cell r="J486" t="str">
            <v>INNOCULATION/STAINING</v>
          </cell>
          <cell r="K486" t="str">
            <v>BMED</v>
          </cell>
          <cell r="L486" t="str">
            <v>Normal</v>
          </cell>
          <cell r="M486" t="str">
            <v>CHINA</v>
          </cell>
          <cell r="N486" t="str">
            <v>Bacti Zapper</v>
          </cell>
          <cell r="O486" t="str">
            <v>B1000-E</v>
          </cell>
          <cell r="P486" t="str">
            <v>023-16031-21030087</v>
          </cell>
          <cell r="Q486" t="str">
            <v>Not Applicable</v>
          </cell>
          <cell r="R486" t="str">
            <v>Beachmark Scientific Inc</v>
          </cell>
          <cell r="S486" t="str">
            <v>Chemopharm Sdn Bhd</v>
          </cell>
          <cell r="T486" t="str">
            <v>Functioning</v>
          </cell>
          <cell r="U486" t="str">
            <v>Asset</v>
          </cell>
          <cell r="V486">
            <v>3395</v>
          </cell>
          <cell r="W486" t="str">
            <v>KEW</v>
          </cell>
          <cell r="X486">
            <v>44648</v>
          </cell>
          <cell r="Y486" t="str">
            <v>KEW</v>
          </cell>
          <cell r="Z486">
            <v>44726</v>
          </cell>
          <cell r="AA486">
            <v>45090</v>
          </cell>
          <cell r="AB486" t="str">
            <v>No</v>
          </cell>
          <cell r="AC486">
            <v>44726</v>
          </cell>
          <cell r="AD486" t="str">
            <v>Good</v>
          </cell>
          <cell r="AE486" t="str">
            <v>V3 - Added Installed Facilities (New)</v>
          </cell>
          <cell r="AF486">
            <v>44726</v>
          </cell>
          <cell r="AG486" t="str">
            <v>NA</v>
          </cell>
          <cell r="AH486" t="str">
            <v>PPM</v>
          </cell>
          <cell r="AI486" t="str">
            <v>NOT IN CONTRACT</v>
          </cell>
          <cell r="AJ486" t="str">
            <v>Not under maintenance</v>
          </cell>
          <cell r="AK486" t="str">
            <v>[28/2/2024, FAEZAH: MEMO PENOLAKAN V3 DARI AWC.</v>
          </cell>
        </row>
        <row r="487">
          <cell r="A487" t="str">
            <v>IKN400001</v>
          </cell>
          <cell r="B487">
            <v>1</v>
          </cell>
          <cell r="C487" t="str">
            <v>Institut Kanser Negara</v>
          </cell>
          <cell r="D487" t="str">
            <v>KKM/IKN/H/13/3795</v>
          </cell>
          <cell r="E487" t="str">
            <v>11-134</v>
          </cell>
          <cell r="F487" t="str">
            <v>Defibrillators, External, Manual</v>
          </cell>
          <cell r="G487" t="str">
            <v>AE</v>
          </cell>
          <cell r="H487" t="str">
            <v>EMERGENCY UNIT</v>
          </cell>
          <cell r="I487" t="str">
            <v>01AE112</v>
          </cell>
          <cell r="J487" t="str">
            <v>EMERGENCY TROLLEY BAY</v>
          </cell>
          <cell r="K487" t="str">
            <v>BMED</v>
          </cell>
          <cell r="L487" t="str">
            <v>Critical</v>
          </cell>
          <cell r="M487" t="str">
            <v>USA</v>
          </cell>
          <cell r="N487" t="str">
            <v>Responder</v>
          </cell>
          <cell r="O487" t="str">
            <v>Responder 2000</v>
          </cell>
          <cell r="P487" t="str">
            <v>3206730</v>
          </cell>
          <cell r="Q487" t="str">
            <v>Not Applicable</v>
          </cell>
          <cell r="R487" t="str">
            <v>GE Medical Systems</v>
          </cell>
          <cell r="S487" t="str">
            <v>Antah Sir Radin Sdn. Bhd.</v>
          </cell>
          <cell r="T487" t="str">
            <v>Functioning</v>
          </cell>
          <cell r="U487" t="str">
            <v>Asset</v>
          </cell>
          <cell r="V487">
            <v>45000</v>
          </cell>
          <cell r="W487" t="str">
            <v>Estimate</v>
          </cell>
          <cell r="X487" t="str">
            <v>01/09/2010</v>
          </cell>
          <cell r="Y487" t="str">
            <v>KEW</v>
          </cell>
          <cell r="Z487" t="str">
            <v>16/08/2013</v>
          </cell>
          <cell r="AA487" t="str">
            <v>15/08/2015</v>
          </cell>
          <cell r="AB487" t="str">
            <v>No</v>
          </cell>
          <cell r="AC487" t="str">
            <v>31/08/2013</v>
          </cell>
          <cell r="AD487" t="str">
            <v>Good</v>
          </cell>
          <cell r="AE487" t="str">
            <v>V1 - Existing / No Claim</v>
          </cell>
          <cell r="AF487">
            <v>42599</v>
          </cell>
          <cell r="AG487">
            <v>9.17</v>
          </cell>
          <cell r="AH487" t="str">
            <v>PPM</v>
          </cell>
          <cell r="AI487" t="str">
            <v>Strands</v>
          </cell>
          <cell r="AJ487" t="str">
            <v>Strands PW</v>
          </cell>
        </row>
        <row r="488">
          <cell r="A488" t="str">
            <v>IKN400002</v>
          </cell>
          <cell r="B488">
            <v>2</v>
          </cell>
          <cell r="C488" t="str">
            <v>Institut Kanser Negara</v>
          </cell>
          <cell r="D488" t="str">
            <v>KKM/IKN/H/13/3794</v>
          </cell>
          <cell r="E488" t="str">
            <v>11-134</v>
          </cell>
          <cell r="F488" t="str">
            <v>Defibrillators, External, Manual</v>
          </cell>
          <cell r="G488" t="str">
            <v>AE</v>
          </cell>
          <cell r="H488" t="str">
            <v>EMERGENCY UNIT</v>
          </cell>
          <cell r="I488" t="str">
            <v>01AE119</v>
          </cell>
          <cell r="J488" t="str">
            <v>RESUSCITATION/TREATMENT</v>
          </cell>
          <cell r="K488" t="str">
            <v>BMED</v>
          </cell>
          <cell r="L488" t="str">
            <v>Critical</v>
          </cell>
          <cell r="M488" t="str">
            <v>USA</v>
          </cell>
          <cell r="N488" t="str">
            <v>Responder</v>
          </cell>
          <cell r="O488" t="str">
            <v>Responder 2000</v>
          </cell>
          <cell r="P488" t="str">
            <v>3206728</v>
          </cell>
          <cell r="Q488" t="str">
            <v>Not Available</v>
          </cell>
          <cell r="R488" t="str">
            <v>GE Medical Systems</v>
          </cell>
          <cell r="S488" t="str">
            <v>Antah Sir Radin Sdn. Bhd.</v>
          </cell>
          <cell r="T488" t="str">
            <v>Functioning</v>
          </cell>
          <cell r="U488" t="str">
            <v>Asset</v>
          </cell>
          <cell r="V488">
            <v>45000</v>
          </cell>
          <cell r="W488" t="str">
            <v>Estimate</v>
          </cell>
          <cell r="X488" t="str">
            <v>01/09/2010</v>
          </cell>
          <cell r="Y488" t="str">
            <v>KEW</v>
          </cell>
          <cell r="Z488" t="str">
            <v>16/08/2013</v>
          </cell>
          <cell r="AA488" t="str">
            <v>15/08/2015</v>
          </cell>
          <cell r="AB488" t="str">
            <v>No</v>
          </cell>
          <cell r="AC488" t="str">
            <v>31/08/2013</v>
          </cell>
          <cell r="AD488" t="str">
            <v>Good</v>
          </cell>
          <cell r="AE488" t="str">
            <v>V1 - Existing / No Claim</v>
          </cell>
          <cell r="AF488">
            <v>42601</v>
          </cell>
          <cell r="AG488">
            <v>9.17</v>
          </cell>
          <cell r="AH488" t="str">
            <v>PPM</v>
          </cell>
          <cell r="AI488" t="str">
            <v>Strands</v>
          </cell>
          <cell r="AJ488" t="str">
            <v>Strands PW</v>
          </cell>
        </row>
        <row r="489">
          <cell r="A489" t="str">
            <v>IKN400004</v>
          </cell>
          <cell r="B489">
            <v>4</v>
          </cell>
          <cell r="C489" t="str">
            <v>Institut Kanser Negara</v>
          </cell>
          <cell r="D489" t="str">
            <v>KKM/IKN/H/13/1706</v>
          </cell>
          <cell r="E489" t="str">
            <v>16-231</v>
          </cell>
          <cell r="F489" t="str">
            <v>Electrocardiographs, Multichannel, Interpretative</v>
          </cell>
          <cell r="G489" t="str">
            <v>AE</v>
          </cell>
          <cell r="H489" t="str">
            <v>EMERGENCY UNIT</v>
          </cell>
          <cell r="I489" t="str">
            <v>01AE110</v>
          </cell>
          <cell r="J489" t="str">
            <v>EQUIPT. ROOM</v>
          </cell>
          <cell r="K489" t="str">
            <v>BMED</v>
          </cell>
          <cell r="L489" t="str">
            <v>Critical</v>
          </cell>
          <cell r="M489" t="str">
            <v>China</v>
          </cell>
          <cell r="N489" t="str">
            <v>Mac</v>
          </cell>
          <cell r="O489" t="str">
            <v>MAC 800</v>
          </cell>
          <cell r="P489" t="str">
            <v>SJ412450364 WA</v>
          </cell>
          <cell r="Q489" t="str">
            <v>Not Applicable</v>
          </cell>
          <cell r="R489" t="str">
            <v>GE Healthcare Systems</v>
          </cell>
          <cell r="S489" t="str">
            <v>GE Healthcare Technologies</v>
          </cell>
          <cell r="T489" t="str">
            <v>Functioning</v>
          </cell>
          <cell r="U489" t="str">
            <v>Asset</v>
          </cell>
          <cell r="V489">
            <v>25260</v>
          </cell>
          <cell r="W489" t="str">
            <v>KEW</v>
          </cell>
          <cell r="X489" t="str">
            <v>01/09/2010</v>
          </cell>
          <cell r="Y489" t="str">
            <v>KEW</v>
          </cell>
          <cell r="Z489" t="str">
            <v>16/08/2013</v>
          </cell>
          <cell r="AA489" t="str">
            <v>15/08/2015</v>
          </cell>
          <cell r="AB489" t="str">
            <v>No</v>
          </cell>
          <cell r="AC489" t="str">
            <v>31/08/2013</v>
          </cell>
          <cell r="AD489" t="str">
            <v>Good</v>
          </cell>
          <cell r="AE489" t="str">
            <v>V1 - Existing / No Claim</v>
          </cell>
          <cell r="AF489">
            <v>42800</v>
          </cell>
          <cell r="AG489">
            <v>9.17</v>
          </cell>
          <cell r="AH489" t="str">
            <v>PPM</v>
          </cell>
          <cell r="AI489" t="str">
            <v>Strands</v>
          </cell>
          <cell r="AJ489" t="str">
            <v>Strands PW</v>
          </cell>
        </row>
        <row r="490">
          <cell r="A490" t="str">
            <v>IKN400005</v>
          </cell>
          <cell r="B490">
            <v>5</v>
          </cell>
          <cell r="C490" t="str">
            <v>Institut Kanser Negara</v>
          </cell>
          <cell r="D490" t="str">
            <v>KKM/IKN/H/13/3140</v>
          </cell>
          <cell r="E490" t="str">
            <v>12-282</v>
          </cell>
          <cell r="F490" t="str">
            <v>Lights, Surgical</v>
          </cell>
          <cell r="G490" t="str">
            <v>AE</v>
          </cell>
          <cell r="H490" t="str">
            <v>EMERGENCY UNIT</v>
          </cell>
          <cell r="I490" t="str">
            <v>01AE106</v>
          </cell>
          <cell r="J490" t="str">
            <v>C/E ROOM</v>
          </cell>
          <cell r="K490" t="str">
            <v>BMED</v>
          </cell>
          <cell r="L490" t="str">
            <v>Critical</v>
          </cell>
          <cell r="M490" t="str">
            <v>USA</v>
          </cell>
          <cell r="N490" t="str">
            <v>Welch Allyn</v>
          </cell>
          <cell r="O490" t="str">
            <v>Welch Allyn GS600</v>
          </cell>
          <cell r="P490" t="str">
            <v>GS-600-44</v>
          </cell>
          <cell r="Q490" t="str">
            <v>Not Applicable</v>
          </cell>
          <cell r="R490" t="str">
            <v>Welch Allyn Inc</v>
          </cell>
          <cell r="S490" t="str">
            <v>Welch Allyn Malaysia Sdn Bhd</v>
          </cell>
          <cell r="T490" t="str">
            <v>Functioning</v>
          </cell>
          <cell r="U490" t="str">
            <v>Asset</v>
          </cell>
          <cell r="V490">
            <v>5050</v>
          </cell>
          <cell r="W490" t="str">
            <v>KEW</v>
          </cell>
          <cell r="X490" t="str">
            <v>01/09/2010</v>
          </cell>
          <cell r="Y490" t="str">
            <v>KEW</v>
          </cell>
          <cell r="Z490" t="str">
            <v>16/08/2013</v>
          </cell>
          <cell r="AA490" t="str">
            <v>15/08/2015</v>
          </cell>
          <cell r="AB490" t="str">
            <v>No</v>
          </cell>
          <cell r="AC490" t="str">
            <v>31/08/2013</v>
          </cell>
          <cell r="AD490" t="str">
            <v>Good</v>
          </cell>
          <cell r="AE490" t="str">
            <v>V1 - Existing / No Claim</v>
          </cell>
          <cell r="AF490">
            <v>42800</v>
          </cell>
          <cell r="AG490">
            <v>9.17</v>
          </cell>
          <cell r="AH490" t="str">
            <v>PPM</v>
          </cell>
          <cell r="AI490" t="str">
            <v>Strands</v>
          </cell>
          <cell r="AJ490" t="str">
            <v>Strands PW</v>
          </cell>
        </row>
        <row r="491">
          <cell r="A491" t="str">
            <v>IKN400006</v>
          </cell>
          <cell r="B491">
            <v>6</v>
          </cell>
          <cell r="C491" t="str">
            <v>Institut Kanser Negara</v>
          </cell>
          <cell r="D491" t="str">
            <v>KKM/IKN/H/13/1785</v>
          </cell>
          <cell r="E491" t="str">
            <v>12-282</v>
          </cell>
          <cell r="F491" t="str">
            <v>Lights, Surgical</v>
          </cell>
          <cell r="G491" t="str">
            <v>AE</v>
          </cell>
          <cell r="H491" t="str">
            <v>EMERGENCY UNIT</v>
          </cell>
          <cell r="I491" t="str">
            <v>01AE110</v>
          </cell>
          <cell r="J491" t="str">
            <v>EQUIPT. ROOM</v>
          </cell>
          <cell r="K491" t="str">
            <v>BMED</v>
          </cell>
          <cell r="L491" t="str">
            <v>Normal</v>
          </cell>
          <cell r="M491" t="str">
            <v>USA</v>
          </cell>
          <cell r="N491" t="str">
            <v>Welch Allyn</v>
          </cell>
          <cell r="O491" t="str">
            <v>Welch Allyn GS600</v>
          </cell>
          <cell r="P491" t="str">
            <v>GS-600-01</v>
          </cell>
          <cell r="Q491" t="str">
            <v>Not Applicable</v>
          </cell>
          <cell r="R491" t="str">
            <v>Welch Allyn Inc</v>
          </cell>
          <cell r="S491" t="str">
            <v>Welch Allyn Malaysia Sdn Bhd</v>
          </cell>
          <cell r="T491" t="str">
            <v>Functioning</v>
          </cell>
          <cell r="U491" t="str">
            <v>Asset</v>
          </cell>
          <cell r="V491">
            <v>5050</v>
          </cell>
          <cell r="W491" t="str">
            <v>KEW</v>
          </cell>
          <cell r="X491" t="str">
            <v>01/09/2010</v>
          </cell>
          <cell r="Y491" t="str">
            <v>KEW</v>
          </cell>
          <cell r="Z491" t="str">
            <v>16/08/2013</v>
          </cell>
          <cell r="AA491" t="str">
            <v>15/08/2015</v>
          </cell>
          <cell r="AB491" t="str">
            <v>No</v>
          </cell>
          <cell r="AC491" t="str">
            <v>31/08/2013</v>
          </cell>
          <cell r="AD491" t="str">
            <v>Good</v>
          </cell>
          <cell r="AE491" t="str">
            <v>V1 - Existing / No Claim</v>
          </cell>
          <cell r="AF491">
            <v>42235</v>
          </cell>
          <cell r="AG491">
            <v>9.17</v>
          </cell>
          <cell r="AH491" t="str">
            <v>PPM</v>
          </cell>
          <cell r="AI491" t="str">
            <v>Strands</v>
          </cell>
          <cell r="AJ491" t="str">
            <v>Strands PW</v>
          </cell>
        </row>
        <row r="492">
          <cell r="A492" t="str">
            <v>IKN400007</v>
          </cell>
          <cell r="B492">
            <v>7</v>
          </cell>
          <cell r="C492" t="str">
            <v>Institut Kanser Negara</v>
          </cell>
          <cell r="D492" t="str">
            <v>KKM/IKN/H/13/1787</v>
          </cell>
          <cell r="E492" t="str">
            <v>12-647</v>
          </cell>
          <cell r="F492" t="str">
            <v>Physiologic Monitoring Systems, Acute Care</v>
          </cell>
          <cell r="G492" t="str">
            <v>AE</v>
          </cell>
          <cell r="H492" t="str">
            <v>EMERGENCY UNIT</v>
          </cell>
          <cell r="I492" t="str">
            <v>01AE118</v>
          </cell>
          <cell r="J492" t="str">
            <v>RESUSCITATION TREATMENT 1</v>
          </cell>
          <cell r="K492" t="str">
            <v>BMED</v>
          </cell>
          <cell r="L492" t="str">
            <v>Critical</v>
          </cell>
          <cell r="M492" t="str">
            <v>Finland</v>
          </cell>
          <cell r="N492" t="str">
            <v>CareScape</v>
          </cell>
          <cell r="O492" t="str">
            <v>CareScape B650</v>
          </cell>
          <cell r="P492" t="str">
            <v>SEW12357352HA</v>
          </cell>
          <cell r="Q492" t="str">
            <v>Not Applicable</v>
          </cell>
          <cell r="R492" t="str">
            <v>GE Medical Systems</v>
          </cell>
          <cell r="S492" t="str">
            <v>GE Healthcare Technologies</v>
          </cell>
          <cell r="T492" t="str">
            <v>Functioning</v>
          </cell>
          <cell r="U492" t="str">
            <v>Asset</v>
          </cell>
          <cell r="V492">
            <v>87400</v>
          </cell>
          <cell r="W492" t="str">
            <v>KEW</v>
          </cell>
          <cell r="X492" t="str">
            <v>01/09/2010</v>
          </cell>
          <cell r="Y492" t="str">
            <v>KEW</v>
          </cell>
          <cell r="Z492" t="str">
            <v>16/08/2013</v>
          </cell>
          <cell r="AA492" t="str">
            <v>15/08/2015</v>
          </cell>
          <cell r="AB492" t="str">
            <v>No</v>
          </cell>
          <cell r="AC492" t="str">
            <v>31/08/2013</v>
          </cell>
          <cell r="AD492" t="str">
            <v>Good</v>
          </cell>
          <cell r="AE492" t="str">
            <v>V1 - Existing / No Claim</v>
          </cell>
          <cell r="AF492">
            <v>42800</v>
          </cell>
          <cell r="AG492">
            <v>9.17</v>
          </cell>
          <cell r="AH492" t="str">
            <v>PPM</v>
          </cell>
          <cell r="AI492" t="str">
            <v>Strands</v>
          </cell>
          <cell r="AJ492" t="str">
            <v>Strands PW</v>
          </cell>
        </row>
        <row r="493">
          <cell r="A493" t="str">
            <v>IKN400008</v>
          </cell>
          <cell r="B493">
            <v>8</v>
          </cell>
          <cell r="C493" t="str">
            <v>Institut Kanser Negara</v>
          </cell>
          <cell r="D493" t="str">
            <v>KKM/IKN/H/13/1790</v>
          </cell>
          <cell r="E493" t="str">
            <v>12-647</v>
          </cell>
          <cell r="F493" t="str">
            <v>Physiologic Monitoring Systems, Acute Care</v>
          </cell>
          <cell r="G493" t="str">
            <v>AE</v>
          </cell>
          <cell r="H493" t="str">
            <v>EMERGENCY UNIT</v>
          </cell>
          <cell r="I493" t="str">
            <v>01AE119</v>
          </cell>
          <cell r="J493" t="str">
            <v>RESUSCITATION/TREATMENT</v>
          </cell>
          <cell r="K493" t="str">
            <v>BMED</v>
          </cell>
          <cell r="L493" t="str">
            <v>Critical</v>
          </cell>
          <cell r="M493" t="str">
            <v>Finland</v>
          </cell>
          <cell r="N493" t="str">
            <v>CareScape</v>
          </cell>
          <cell r="O493" t="str">
            <v>CareScape B650</v>
          </cell>
          <cell r="P493" t="str">
            <v>SEW12357505HA</v>
          </cell>
          <cell r="Q493" t="str">
            <v>Not Applicable</v>
          </cell>
          <cell r="R493" t="str">
            <v>GE Medical Systems</v>
          </cell>
          <cell r="S493" t="str">
            <v>GE Healthcare Technologies</v>
          </cell>
          <cell r="T493" t="str">
            <v>Functioning</v>
          </cell>
          <cell r="U493" t="str">
            <v>Asset</v>
          </cell>
          <cell r="V493">
            <v>87400</v>
          </cell>
          <cell r="W493" t="str">
            <v>KEW</v>
          </cell>
          <cell r="X493" t="str">
            <v>01/09/2010</v>
          </cell>
          <cell r="Y493" t="str">
            <v>KEW</v>
          </cell>
          <cell r="Z493" t="str">
            <v>16/08/2013</v>
          </cell>
          <cell r="AA493" t="str">
            <v>15/08/2015</v>
          </cell>
          <cell r="AB493" t="str">
            <v>No</v>
          </cell>
          <cell r="AC493" t="str">
            <v>31/08/2013</v>
          </cell>
          <cell r="AD493" t="str">
            <v>Good</v>
          </cell>
          <cell r="AE493" t="str">
            <v>V1 - Existing / No Claim</v>
          </cell>
          <cell r="AF493">
            <v>42800</v>
          </cell>
          <cell r="AG493">
            <v>9.17</v>
          </cell>
          <cell r="AH493" t="str">
            <v>PPM</v>
          </cell>
          <cell r="AI493" t="str">
            <v>Strands</v>
          </cell>
          <cell r="AJ493" t="str">
            <v>Strands PW</v>
          </cell>
        </row>
        <row r="494">
          <cell r="A494" t="str">
            <v>IKN400009</v>
          </cell>
          <cell r="B494">
            <v>9</v>
          </cell>
          <cell r="C494" t="str">
            <v>Institut Kanser Negara</v>
          </cell>
          <cell r="D494" t="str">
            <v>KKM/IKN/H/13/1776</v>
          </cell>
          <cell r="E494" t="str">
            <v>15-045</v>
          </cell>
          <cell r="F494" t="str">
            <v>Nebulizers, Nonheated</v>
          </cell>
          <cell r="G494" t="str">
            <v>AE</v>
          </cell>
          <cell r="H494" t="str">
            <v>EMERGENCY UNIT</v>
          </cell>
          <cell r="I494" t="str">
            <v>01AE110</v>
          </cell>
          <cell r="J494" t="str">
            <v>EQUIPT. ROOM</v>
          </cell>
          <cell r="K494" t="str">
            <v>BMED</v>
          </cell>
          <cell r="L494" t="str">
            <v>Normal</v>
          </cell>
          <cell r="M494" t="str">
            <v>Germany</v>
          </cell>
          <cell r="N494" t="str">
            <v>Pari Boy</v>
          </cell>
          <cell r="O494" t="str">
            <v>Pari Boy SX 085</v>
          </cell>
          <cell r="P494" t="str">
            <v>2W12F13805</v>
          </cell>
          <cell r="Q494" t="str">
            <v>Not Applicable</v>
          </cell>
          <cell r="R494" t="str">
            <v>Pari GmbH</v>
          </cell>
          <cell r="S494" t="str">
            <v>Welch Allyn Malaysia Sdn Bhd</v>
          </cell>
          <cell r="T494" t="str">
            <v>Functioning</v>
          </cell>
          <cell r="U494" t="str">
            <v>Asset</v>
          </cell>
          <cell r="V494">
            <v>1140</v>
          </cell>
          <cell r="W494" t="str">
            <v>KEW</v>
          </cell>
          <cell r="X494" t="str">
            <v>01/09/2010</v>
          </cell>
          <cell r="Y494" t="str">
            <v>KEW</v>
          </cell>
          <cell r="Z494" t="str">
            <v>16/08/2013</v>
          </cell>
          <cell r="AA494" t="str">
            <v>15/08/2015</v>
          </cell>
          <cell r="AB494" t="str">
            <v>No</v>
          </cell>
          <cell r="AC494" t="str">
            <v>31/08/2013</v>
          </cell>
          <cell r="AD494" t="str">
            <v>Good</v>
          </cell>
          <cell r="AE494" t="str">
            <v>V1 - Existing / No Claim</v>
          </cell>
          <cell r="AF494">
            <v>42235</v>
          </cell>
          <cell r="AG494">
            <v>9.17</v>
          </cell>
          <cell r="AH494" t="str">
            <v>PPM</v>
          </cell>
          <cell r="AI494" t="str">
            <v>Strands</v>
          </cell>
          <cell r="AJ494" t="str">
            <v>Strands PW</v>
          </cell>
        </row>
        <row r="495">
          <cell r="A495" t="str">
            <v>IKN400010</v>
          </cell>
          <cell r="B495">
            <v>10</v>
          </cell>
          <cell r="C495" t="str">
            <v>Institut Kanser Negara</v>
          </cell>
          <cell r="D495" t="str">
            <v>KKM/IKN/H/13/1779</v>
          </cell>
          <cell r="E495" t="str">
            <v>13-217</v>
          </cell>
          <cell r="F495" t="str">
            <v>Infusion Pumps, Syringe</v>
          </cell>
          <cell r="G495" t="str">
            <v>AE</v>
          </cell>
          <cell r="H495" t="str">
            <v>EMERGENCY UNIT</v>
          </cell>
          <cell r="I495" t="str">
            <v>01AE118</v>
          </cell>
          <cell r="J495" t="str">
            <v>RESUSCITATION TREATMENT 1</v>
          </cell>
          <cell r="K495" t="str">
            <v>BMED</v>
          </cell>
          <cell r="L495" t="str">
            <v>Critical</v>
          </cell>
          <cell r="M495" t="str">
            <v>Germany</v>
          </cell>
          <cell r="N495" t="str">
            <v>Perfusor</v>
          </cell>
          <cell r="O495" t="str">
            <v>Perfusor Space</v>
          </cell>
          <cell r="P495" t="str">
            <v>143272</v>
          </cell>
          <cell r="Q495" t="str">
            <v>Not Applicable</v>
          </cell>
          <cell r="R495" t="str">
            <v>B Braun Melsungen AG</v>
          </cell>
          <cell r="S495" t="str">
            <v>B Braun Medical Supplies Sdn. Bhd.</v>
          </cell>
          <cell r="T495" t="str">
            <v>Functioning</v>
          </cell>
          <cell r="U495" t="str">
            <v>Asset</v>
          </cell>
          <cell r="V495">
            <v>10225</v>
          </cell>
          <cell r="W495" t="str">
            <v>KEW</v>
          </cell>
          <cell r="X495" t="str">
            <v>01/09/2010</v>
          </cell>
          <cell r="Y495" t="str">
            <v>KEW</v>
          </cell>
          <cell r="Z495" t="str">
            <v>16/08/2013</v>
          </cell>
          <cell r="AA495" t="str">
            <v>15/08/2015</v>
          </cell>
          <cell r="AB495" t="str">
            <v>No</v>
          </cell>
          <cell r="AC495" t="str">
            <v>31/08/2013</v>
          </cell>
          <cell r="AD495" t="str">
            <v>Good</v>
          </cell>
          <cell r="AE495" t="str">
            <v>V1 - Existing / No Claim</v>
          </cell>
          <cell r="AF495">
            <v>42800</v>
          </cell>
          <cell r="AG495">
            <v>9.17</v>
          </cell>
          <cell r="AH495" t="str">
            <v>PPM</v>
          </cell>
          <cell r="AI495" t="str">
            <v>Strands</v>
          </cell>
          <cell r="AJ495" t="str">
            <v>Strands PW</v>
          </cell>
        </row>
        <row r="496">
          <cell r="A496" t="str">
            <v>IKN400011</v>
          </cell>
          <cell r="B496">
            <v>11</v>
          </cell>
          <cell r="C496" t="str">
            <v>Institut Kanser Negara</v>
          </cell>
          <cell r="D496" t="str">
            <v>KKM/IKN/H/13/1780</v>
          </cell>
          <cell r="E496" t="str">
            <v>13-217</v>
          </cell>
          <cell r="F496" t="str">
            <v>Infusion Pumps, Syringe</v>
          </cell>
          <cell r="G496" t="str">
            <v>AE</v>
          </cell>
          <cell r="H496" t="str">
            <v>EMERGENCY UNIT</v>
          </cell>
          <cell r="I496" t="str">
            <v>01AE118</v>
          </cell>
          <cell r="J496" t="str">
            <v>RESUSCITATION TREATMENT 1</v>
          </cell>
          <cell r="K496" t="str">
            <v>BMED</v>
          </cell>
          <cell r="L496" t="str">
            <v>Critical</v>
          </cell>
          <cell r="M496" t="str">
            <v>Germany</v>
          </cell>
          <cell r="N496" t="str">
            <v>Perfusor</v>
          </cell>
          <cell r="O496" t="str">
            <v>Perfusor Space</v>
          </cell>
          <cell r="P496" t="str">
            <v>186903</v>
          </cell>
          <cell r="Q496" t="str">
            <v>Not Applicable</v>
          </cell>
          <cell r="R496" t="str">
            <v>B Braun Melsungen AG</v>
          </cell>
          <cell r="S496" t="str">
            <v>B Braun Medical Supplies Sdn. Bhd.</v>
          </cell>
          <cell r="T496" t="str">
            <v>Functioning</v>
          </cell>
          <cell r="U496" t="str">
            <v>Asset</v>
          </cell>
          <cell r="V496">
            <v>10225</v>
          </cell>
          <cell r="W496" t="str">
            <v>KEW</v>
          </cell>
          <cell r="X496" t="str">
            <v>01/09/2010</v>
          </cell>
          <cell r="Y496" t="str">
            <v>KEW</v>
          </cell>
          <cell r="Z496" t="str">
            <v>16/08/2013</v>
          </cell>
          <cell r="AA496" t="str">
            <v>15/08/2015</v>
          </cell>
          <cell r="AB496" t="str">
            <v>No</v>
          </cell>
          <cell r="AC496" t="str">
            <v>31/08/2013</v>
          </cell>
          <cell r="AD496" t="str">
            <v>Good</v>
          </cell>
          <cell r="AE496" t="str">
            <v>V1 - Existing / No Claim</v>
          </cell>
          <cell r="AF496">
            <v>42800</v>
          </cell>
          <cell r="AG496">
            <v>9.17</v>
          </cell>
          <cell r="AH496" t="str">
            <v>PPM</v>
          </cell>
          <cell r="AI496" t="str">
            <v>Strands</v>
          </cell>
          <cell r="AJ496" t="str">
            <v>Strands PW</v>
          </cell>
        </row>
        <row r="497">
          <cell r="A497" t="str">
            <v>IKN400012</v>
          </cell>
          <cell r="B497">
            <v>12</v>
          </cell>
          <cell r="C497" t="str">
            <v>Institut Kanser Negara</v>
          </cell>
          <cell r="D497" t="str">
            <v>KKM/IKN/H/13/1781</v>
          </cell>
          <cell r="E497" t="str">
            <v>13-217</v>
          </cell>
          <cell r="F497" t="str">
            <v>Infusion Pumps, Syringe</v>
          </cell>
          <cell r="G497" t="str">
            <v>AE</v>
          </cell>
          <cell r="H497" t="str">
            <v>EMERGENCY UNIT</v>
          </cell>
          <cell r="I497" t="str">
            <v>01AE119</v>
          </cell>
          <cell r="J497" t="str">
            <v>RESUSCITATION/TREATMENT</v>
          </cell>
          <cell r="K497" t="str">
            <v>BMED</v>
          </cell>
          <cell r="L497" t="str">
            <v>Critical</v>
          </cell>
          <cell r="M497" t="str">
            <v>Germany</v>
          </cell>
          <cell r="N497" t="str">
            <v>Perfusor</v>
          </cell>
          <cell r="O497" t="str">
            <v>Perfusor Space</v>
          </cell>
          <cell r="P497" t="str">
            <v>186999</v>
          </cell>
          <cell r="Q497" t="str">
            <v>Not Applicable</v>
          </cell>
          <cell r="R497" t="str">
            <v>B Braun Melsungen AG</v>
          </cell>
          <cell r="S497" t="str">
            <v>B Braun Medical Supplies Sdn. Bhd.</v>
          </cell>
          <cell r="T497" t="str">
            <v>Functioning</v>
          </cell>
          <cell r="U497" t="str">
            <v>Asset</v>
          </cell>
          <cell r="V497">
            <v>10225</v>
          </cell>
          <cell r="W497" t="str">
            <v>KEW</v>
          </cell>
          <cell r="X497" t="str">
            <v>01/09/2010</v>
          </cell>
          <cell r="Y497" t="str">
            <v>KEW</v>
          </cell>
          <cell r="Z497" t="str">
            <v>16/08/2013</v>
          </cell>
          <cell r="AA497" t="str">
            <v>15/08/2015</v>
          </cell>
          <cell r="AB497" t="str">
            <v>No</v>
          </cell>
          <cell r="AC497" t="str">
            <v>31/08/2013</v>
          </cell>
          <cell r="AD497" t="str">
            <v>Good</v>
          </cell>
          <cell r="AE497" t="str">
            <v>V1 - Existing / No Claim</v>
          </cell>
          <cell r="AF497">
            <v>42800</v>
          </cell>
          <cell r="AG497">
            <v>9.17</v>
          </cell>
          <cell r="AH497" t="str">
            <v>PPM</v>
          </cell>
          <cell r="AI497" t="str">
            <v>Strands</v>
          </cell>
          <cell r="AJ497" t="str">
            <v>Strands PW</v>
          </cell>
        </row>
        <row r="498">
          <cell r="A498" t="str">
            <v>IKN400013</v>
          </cell>
          <cell r="B498">
            <v>13</v>
          </cell>
          <cell r="C498" t="str">
            <v>Institut Kanser Negara</v>
          </cell>
          <cell r="D498" t="str">
            <v>KKM/IKN/H/13/1782</v>
          </cell>
          <cell r="E498" t="str">
            <v>13-217</v>
          </cell>
          <cell r="F498" t="str">
            <v>Infusion Pumps, Syringe</v>
          </cell>
          <cell r="G498" t="str">
            <v>AE</v>
          </cell>
          <cell r="H498" t="str">
            <v>EMERGENCY UNIT</v>
          </cell>
          <cell r="I498" t="str">
            <v>01AE119</v>
          </cell>
          <cell r="J498" t="str">
            <v>RESUSCITATION/TREATMENT</v>
          </cell>
          <cell r="K498" t="str">
            <v>BMED</v>
          </cell>
          <cell r="L498" t="str">
            <v>Normal</v>
          </cell>
          <cell r="M498" t="str">
            <v>Germany</v>
          </cell>
          <cell r="N498" t="str">
            <v>Perfusor</v>
          </cell>
          <cell r="O498" t="str">
            <v>Perfusor Space</v>
          </cell>
          <cell r="P498" t="str">
            <v>186596</v>
          </cell>
          <cell r="Q498" t="str">
            <v>Not Applicable</v>
          </cell>
          <cell r="R498" t="str">
            <v>B Braun Melsungen AG</v>
          </cell>
          <cell r="S498" t="str">
            <v>B Braun Medical Supplies Sdn. Bhd.</v>
          </cell>
          <cell r="T498" t="str">
            <v>Functioning</v>
          </cell>
          <cell r="U498" t="str">
            <v>Asset</v>
          </cell>
          <cell r="V498">
            <v>10225</v>
          </cell>
          <cell r="W498" t="str">
            <v>KEW</v>
          </cell>
          <cell r="X498" t="str">
            <v>01/09/2010</v>
          </cell>
          <cell r="Y498" t="str">
            <v>KEW</v>
          </cell>
          <cell r="Z498" t="str">
            <v>16/08/2013</v>
          </cell>
          <cell r="AA498" t="str">
            <v>15/08/2015</v>
          </cell>
          <cell r="AB498" t="str">
            <v>No</v>
          </cell>
          <cell r="AC498" t="str">
            <v>31/08/2013</v>
          </cell>
          <cell r="AD498" t="str">
            <v>Good</v>
          </cell>
          <cell r="AE498" t="str">
            <v>V1 - Existing / No Claim</v>
          </cell>
          <cell r="AF498">
            <v>42235</v>
          </cell>
          <cell r="AG498">
            <v>9.17</v>
          </cell>
          <cell r="AH498" t="str">
            <v>PPM</v>
          </cell>
          <cell r="AI498" t="str">
            <v>Strands</v>
          </cell>
          <cell r="AJ498" t="str">
            <v>Strands PW</v>
          </cell>
        </row>
        <row r="499">
          <cell r="A499" t="str">
            <v>IKN400014</v>
          </cell>
          <cell r="B499">
            <v>14</v>
          </cell>
          <cell r="C499" t="str">
            <v>Institut Kanser Negara</v>
          </cell>
          <cell r="D499" t="str">
            <v>KKM/IKN/H/13/1740</v>
          </cell>
          <cell r="E499" t="str">
            <v>13-215</v>
          </cell>
          <cell r="F499" t="str">
            <v>Infusion Pumps, General-Purpose</v>
          </cell>
          <cell r="G499" t="str">
            <v>AE</v>
          </cell>
          <cell r="H499" t="str">
            <v>EMERGENCY UNIT</v>
          </cell>
          <cell r="I499" t="str">
            <v>01AE118</v>
          </cell>
          <cell r="J499" t="str">
            <v>RESUSCITATION TREATMENT 1</v>
          </cell>
          <cell r="K499" t="str">
            <v>BMED</v>
          </cell>
          <cell r="L499" t="str">
            <v>Critical</v>
          </cell>
          <cell r="M499" t="str">
            <v>Germany</v>
          </cell>
          <cell r="N499" t="str">
            <v>Infusomat</v>
          </cell>
          <cell r="O499" t="str">
            <v>Infusomat Space</v>
          </cell>
          <cell r="P499" t="str">
            <v>212260</v>
          </cell>
          <cell r="Q499" t="str">
            <v>Not Applicable</v>
          </cell>
          <cell r="R499" t="str">
            <v>B Braun Melsungen AG</v>
          </cell>
          <cell r="S499" t="str">
            <v>B Braun Medical Supplies Sdn. Bhd.</v>
          </cell>
          <cell r="T499" t="str">
            <v>Functioning</v>
          </cell>
          <cell r="U499" t="str">
            <v>Asset</v>
          </cell>
          <cell r="V499">
            <v>10825</v>
          </cell>
          <cell r="W499" t="str">
            <v>KEW</v>
          </cell>
          <cell r="X499" t="str">
            <v>01/09/2010</v>
          </cell>
          <cell r="Y499" t="str">
            <v>KEW</v>
          </cell>
          <cell r="Z499" t="str">
            <v>16/08/2013</v>
          </cell>
          <cell r="AA499" t="str">
            <v>15/08/2015</v>
          </cell>
          <cell r="AB499" t="str">
            <v>No</v>
          </cell>
          <cell r="AC499" t="str">
            <v>31/08/2013</v>
          </cell>
          <cell r="AD499" t="str">
            <v>Good</v>
          </cell>
          <cell r="AE499" t="str">
            <v>V1 - Existing / No Claim</v>
          </cell>
          <cell r="AF499">
            <v>42800</v>
          </cell>
          <cell r="AG499">
            <v>9.17</v>
          </cell>
          <cell r="AH499" t="str">
            <v>PPM</v>
          </cell>
          <cell r="AI499" t="str">
            <v>Strands</v>
          </cell>
          <cell r="AJ499" t="str">
            <v>Strands PW</v>
          </cell>
        </row>
        <row r="500">
          <cell r="A500" t="str">
            <v>IKN400015</v>
          </cell>
          <cell r="B500">
            <v>15</v>
          </cell>
          <cell r="C500" t="str">
            <v>Institut Kanser Negara</v>
          </cell>
          <cell r="D500" t="str">
            <v>KKM/IKN/H/13/1762</v>
          </cell>
          <cell r="E500" t="str">
            <v>13-215</v>
          </cell>
          <cell r="F500" t="str">
            <v>Infusion Pumps, General-Purpose</v>
          </cell>
          <cell r="G500" t="str">
            <v>AE</v>
          </cell>
          <cell r="H500" t="str">
            <v>EMERGENCY UNIT</v>
          </cell>
          <cell r="I500" t="str">
            <v>01AE118</v>
          </cell>
          <cell r="J500" t="str">
            <v>RESUSCITATION TREATMENT 1</v>
          </cell>
          <cell r="K500" t="str">
            <v>BMED</v>
          </cell>
          <cell r="L500" t="str">
            <v>Critical</v>
          </cell>
          <cell r="M500" t="str">
            <v>Germany</v>
          </cell>
          <cell r="N500" t="str">
            <v>Infusomat</v>
          </cell>
          <cell r="O500" t="str">
            <v>Infusomat Space</v>
          </cell>
          <cell r="P500" t="str">
            <v>212039</v>
          </cell>
          <cell r="Q500" t="str">
            <v>Not Applicable</v>
          </cell>
          <cell r="R500" t="str">
            <v>B Braun Melsungen AG</v>
          </cell>
          <cell r="S500" t="str">
            <v>B Braun Medical Supplies Sdn. Bhd.</v>
          </cell>
          <cell r="T500" t="str">
            <v>Functioning</v>
          </cell>
          <cell r="U500" t="str">
            <v>Asset</v>
          </cell>
          <cell r="V500">
            <v>10825</v>
          </cell>
          <cell r="W500" t="str">
            <v>KEW</v>
          </cell>
          <cell r="X500" t="str">
            <v>01/09/2010</v>
          </cell>
          <cell r="Y500" t="str">
            <v>KEW</v>
          </cell>
          <cell r="Z500" t="str">
            <v>16/08/2013</v>
          </cell>
          <cell r="AA500" t="str">
            <v>15/08/2015</v>
          </cell>
          <cell r="AB500" t="str">
            <v>No</v>
          </cell>
          <cell r="AC500" t="str">
            <v>31/08/2013</v>
          </cell>
          <cell r="AD500" t="str">
            <v>Good</v>
          </cell>
          <cell r="AE500" t="str">
            <v>V1 - Existing / No Claim</v>
          </cell>
          <cell r="AF500">
            <v>42800</v>
          </cell>
          <cell r="AG500">
            <v>9.17</v>
          </cell>
          <cell r="AH500" t="str">
            <v>PPM</v>
          </cell>
          <cell r="AI500" t="str">
            <v>Strands</v>
          </cell>
          <cell r="AJ500" t="str">
            <v>Strands PW</v>
          </cell>
        </row>
        <row r="501">
          <cell r="A501" t="str">
            <v>IKN400016</v>
          </cell>
          <cell r="B501">
            <v>16</v>
          </cell>
          <cell r="C501" t="str">
            <v>Institut Kanser Negara</v>
          </cell>
          <cell r="D501" t="str">
            <v>KKM/IKN/H/13/1741</v>
          </cell>
          <cell r="E501" t="str">
            <v>13-215</v>
          </cell>
          <cell r="F501" t="str">
            <v>Infusion Pumps, General-Purpose</v>
          </cell>
          <cell r="G501" t="str">
            <v>AE</v>
          </cell>
          <cell r="H501" t="str">
            <v>EMERGENCY UNIT</v>
          </cell>
          <cell r="I501" t="str">
            <v>01AE119</v>
          </cell>
          <cell r="J501" t="str">
            <v>RESUSCITATION/TREATMENT</v>
          </cell>
          <cell r="K501" t="str">
            <v>BMED</v>
          </cell>
          <cell r="L501" t="str">
            <v>Critical</v>
          </cell>
          <cell r="M501" t="str">
            <v>Germany</v>
          </cell>
          <cell r="N501" t="str">
            <v>Infusomat</v>
          </cell>
          <cell r="O501" t="str">
            <v>Infusomat Space</v>
          </cell>
          <cell r="P501" t="str">
            <v>211770</v>
          </cell>
          <cell r="Q501" t="str">
            <v>Not Applicable</v>
          </cell>
          <cell r="R501" t="str">
            <v>B Braun Melsungen AG</v>
          </cell>
          <cell r="S501" t="str">
            <v>B Braun Medical Supplies Sdn. Bhd.</v>
          </cell>
          <cell r="T501" t="str">
            <v>Functioning</v>
          </cell>
          <cell r="U501" t="str">
            <v>Asset</v>
          </cell>
          <cell r="V501">
            <v>10825</v>
          </cell>
          <cell r="W501" t="str">
            <v>KEW</v>
          </cell>
          <cell r="X501" t="str">
            <v>01/09/2010</v>
          </cell>
          <cell r="Y501" t="str">
            <v>KEW</v>
          </cell>
          <cell r="Z501" t="str">
            <v>16/08/2013</v>
          </cell>
          <cell r="AA501" t="str">
            <v>15/08/2015</v>
          </cell>
          <cell r="AB501" t="str">
            <v>No</v>
          </cell>
          <cell r="AC501" t="str">
            <v>31/08/2013</v>
          </cell>
          <cell r="AD501" t="str">
            <v>Good</v>
          </cell>
          <cell r="AE501" t="str">
            <v>V1 - Existing / No Claim</v>
          </cell>
          <cell r="AF501">
            <v>42800</v>
          </cell>
          <cell r="AG501">
            <v>9.17</v>
          </cell>
          <cell r="AH501" t="str">
            <v>PPM</v>
          </cell>
          <cell r="AI501" t="str">
            <v>Strands</v>
          </cell>
          <cell r="AJ501" t="str">
            <v>Strands PW</v>
          </cell>
        </row>
        <row r="502">
          <cell r="A502" t="str">
            <v>IKN400017</v>
          </cell>
          <cell r="B502">
            <v>17</v>
          </cell>
          <cell r="C502" t="str">
            <v>Institut Kanser Negara</v>
          </cell>
          <cell r="D502" t="str">
            <v>KKM/IKN/H/13/1742</v>
          </cell>
          <cell r="E502" t="str">
            <v>13-215</v>
          </cell>
          <cell r="F502" t="str">
            <v>Infusion Pumps, General-Purpose</v>
          </cell>
          <cell r="G502" t="str">
            <v>AE</v>
          </cell>
          <cell r="H502" t="str">
            <v>EMERGENCY UNIT</v>
          </cell>
          <cell r="I502" t="str">
            <v>01AE119</v>
          </cell>
          <cell r="J502" t="str">
            <v>RESUSCITATION/TREATMENT</v>
          </cell>
          <cell r="K502" t="str">
            <v>BMED</v>
          </cell>
          <cell r="L502" t="str">
            <v>Critical</v>
          </cell>
          <cell r="M502" t="str">
            <v>Germany</v>
          </cell>
          <cell r="N502" t="str">
            <v>Infusomat</v>
          </cell>
          <cell r="O502" t="str">
            <v>Infusomat Space</v>
          </cell>
          <cell r="P502" t="str">
            <v>211612</v>
          </cell>
          <cell r="Q502" t="str">
            <v>Not Applicable</v>
          </cell>
          <cell r="R502" t="str">
            <v>B Braun Melsungen AG</v>
          </cell>
          <cell r="S502" t="str">
            <v>B Braun Medical Supplies Sdn. Bhd.</v>
          </cell>
          <cell r="T502" t="str">
            <v>Functioning</v>
          </cell>
          <cell r="U502" t="str">
            <v>Asset</v>
          </cell>
          <cell r="V502">
            <v>10825</v>
          </cell>
          <cell r="W502" t="str">
            <v>KEW</v>
          </cell>
          <cell r="X502" t="str">
            <v>01/09/2010</v>
          </cell>
          <cell r="Y502" t="str">
            <v>KEW</v>
          </cell>
          <cell r="Z502" t="str">
            <v>16/08/2013</v>
          </cell>
          <cell r="AA502" t="str">
            <v>15/08/2015</v>
          </cell>
          <cell r="AB502" t="str">
            <v>No</v>
          </cell>
          <cell r="AC502" t="str">
            <v>31/08/2013</v>
          </cell>
          <cell r="AD502" t="str">
            <v>Good</v>
          </cell>
          <cell r="AE502" t="str">
            <v>V1 - Existing / No Claim</v>
          </cell>
          <cell r="AF502">
            <v>42800</v>
          </cell>
          <cell r="AG502">
            <v>9.17</v>
          </cell>
          <cell r="AH502" t="str">
            <v>PPM</v>
          </cell>
          <cell r="AI502" t="str">
            <v>Strands</v>
          </cell>
          <cell r="AJ502" t="str">
            <v>Strands PW</v>
          </cell>
        </row>
        <row r="503">
          <cell r="A503" t="str">
            <v>IKN400018</v>
          </cell>
          <cell r="B503">
            <v>18</v>
          </cell>
          <cell r="C503" t="str">
            <v>Institut Kanser Negara</v>
          </cell>
          <cell r="D503" t="str">
            <v>KKM/IKN/I/13/1654</v>
          </cell>
          <cell r="E503" t="str">
            <v>16-173</v>
          </cell>
          <cell r="F503" t="str">
            <v>Sphygmomanometers, Electronic, Automatic</v>
          </cell>
          <cell r="G503" t="str">
            <v>AE</v>
          </cell>
          <cell r="H503" t="str">
            <v>EMERGENCY UNIT</v>
          </cell>
          <cell r="I503" t="str">
            <v>01AE106</v>
          </cell>
          <cell r="J503" t="str">
            <v>C/E ROOM</v>
          </cell>
          <cell r="K503" t="str">
            <v>BMED</v>
          </cell>
          <cell r="L503" t="str">
            <v>Normal</v>
          </cell>
          <cell r="M503" t="str">
            <v>USA</v>
          </cell>
          <cell r="N503" t="str">
            <v>Connex</v>
          </cell>
          <cell r="O503" t="str">
            <v>Connex ProBP 3400</v>
          </cell>
          <cell r="P503" t="str">
            <v>100001460413</v>
          </cell>
          <cell r="Q503" t="str">
            <v>Not Applicable</v>
          </cell>
          <cell r="R503" t="str">
            <v>Welch Allyn Inc</v>
          </cell>
          <cell r="S503" t="str">
            <v>Welch Allyn Malaysia Sdn Bhd</v>
          </cell>
          <cell r="T503" t="str">
            <v>Functioning</v>
          </cell>
          <cell r="U503" t="str">
            <v>Asset</v>
          </cell>
          <cell r="V503">
            <v>336</v>
          </cell>
          <cell r="W503" t="str">
            <v>KEW</v>
          </cell>
          <cell r="X503" t="str">
            <v>01/09/2010</v>
          </cell>
          <cell r="Y503" t="str">
            <v>KEW</v>
          </cell>
          <cell r="Z503" t="str">
            <v>16/08/2013</v>
          </cell>
          <cell r="AA503" t="str">
            <v>15/08/2015</v>
          </cell>
          <cell r="AB503" t="str">
            <v>No</v>
          </cell>
          <cell r="AC503" t="str">
            <v>31/08/2013</v>
          </cell>
          <cell r="AD503" t="str">
            <v>Good</v>
          </cell>
          <cell r="AE503" t="str">
            <v>V1 - Existing / No Claim</v>
          </cell>
          <cell r="AF503">
            <v>42235</v>
          </cell>
          <cell r="AG503">
            <v>9.17</v>
          </cell>
          <cell r="AH503" t="str">
            <v>PPM</v>
          </cell>
          <cell r="AI503" t="str">
            <v>Strands</v>
          </cell>
          <cell r="AJ503" t="str">
            <v>Strands PW</v>
          </cell>
        </row>
        <row r="504">
          <cell r="A504" t="str">
            <v>IKN400019</v>
          </cell>
          <cell r="B504">
            <v>19</v>
          </cell>
          <cell r="C504" t="str">
            <v>Institut Kanser Negara</v>
          </cell>
          <cell r="D504" t="str">
            <v>KKM/IKN/I/13/1646</v>
          </cell>
          <cell r="E504" t="str">
            <v>16-173</v>
          </cell>
          <cell r="F504" t="str">
            <v>Sphygmomanometers, Electronic, Automatic</v>
          </cell>
          <cell r="G504" t="str">
            <v>AE</v>
          </cell>
          <cell r="H504" t="str">
            <v>EMERGENCY UNIT</v>
          </cell>
          <cell r="I504" t="str">
            <v>01AE108</v>
          </cell>
          <cell r="J504" t="str">
            <v>TRIAGE</v>
          </cell>
          <cell r="K504" t="str">
            <v>BMED</v>
          </cell>
          <cell r="L504" t="str">
            <v>Critical</v>
          </cell>
          <cell r="M504" t="str">
            <v>USA</v>
          </cell>
          <cell r="N504" t="str">
            <v>Connex</v>
          </cell>
          <cell r="O504" t="str">
            <v>Connex ProBP 3400</v>
          </cell>
          <cell r="P504" t="str">
            <v>100000800413</v>
          </cell>
          <cell r="Q504" t="str">
            <v>Not Applicable</v>
          </cell>
          <cell r="R504" t="str">
            <v>Welch Allyn Inc</v>
          </cell>
          <cell r="S504" t="str">
            <v>Welch Allyn Malaysia Sdn Bhd</v>
          </cell>
          <cell r="T504" t="str">
            <v>Functioning</v>
          </cell>
          <cell r="U504" t="str">
            <v>Asset</v>
          </cell>
          <cell r="V504">
            <v>336</v>
          </cell>
          <cell r="W504" t="str">
            <v>KEW</v>
          </cell>
          <cell r="X504" t="str">
            <v>01/09/2010</v>
          </cell>
          <cell r="Y504" t="str">
            <v>KEW</v>
          </cell>
          <cell r="Z504" t="str">
            <v>16/08/2013</v>
          </cell>
          <cell r="AA504" t="str">
            <v>15/08/2015</v>
          </cell>
          <cell r="AB504" t="str">
            <v>No</v>
          </cell>
          <cell r="AC504" t="str">
            <v>31/08/2013</v>
          </cell>
          <cell r="AD504" t="str">
            <v>Good</v>
          </cell>
          <cell r="AE504" t="str">
            <v>V1 - Existing / No Claim</v>
          </cell>
          <cell r="AF504">
            <v>42800</v>
          </cell>
          <cell r="AG504">
            <v>9.17</v>
          </cell>
          <cell r="AH504" t="str">
            <v>PPM</v>
          </cell>
          <cell r="AI504" t="str">
            <v>Strands</v>
          </cell>
          <cell r="AJ504" t="str">
            <v>Strands PW</v>
          </cell>
        </row>
        <row r="505">
          <cell r="A505" t="str">
            <v>IKN400020</v>
          </cell>
          <cell r="B505">
            <v>20</v>
          </cell>
          <cell r="C505" t="str">
            <v>Institut Kanser Negara</v>
          </cell>
          <cell r="D505" t="str">
            <v>KKM/IKN/H/13/1784</v>
          </cell>
          <cell r="E505" t="str">
            <v>10-208</v>
          </cell>
          <cell r="F505" t="str">
            <v>Aspirators</v>
          </cell>
          <cell r="G505" t="str">
            <v>AE</v>
          </cell>
          <cell r="H505" t="str">
            <v>EMERGENCY UNIT</v>
          </cell>
          <cell r="I505" t="str">
            <v>01AE118</v>
          </cell>
          <cell r="J505" t="str">
            <v>RESUSCITATION TREATMENT 1</v>
          </cell>
          <cell r="K505" t="str">
            <v>BMED</v>
          </cell>
          <cell r="L505" t="str">
            <v>Critical</v>
          </cell>
          <cell r="M505" t="str">
            <v>Switzerland</v>
          </cell>
          <cell r="N505" t="str">
            <v>Senator</v>
          </cell>
          <cell r="O505" t="str">
            <v>Senator</v>
          </cell>
          <cell r="P505" t="str">
            <v>1220754</v>
          </cell>
          <cell r="Q505" t="str">
            <v>Not Applicable</v>
          </cell>
          <cell r="R505" t="str">
            <v>Ardo Medical AG</v>
          </cell>
          <cell r="S505" t="str">
            <v>Histopoint</v>
          </cell>
          <cell r="T505" t="str">
            <v>Functioning</v>
          </cell>
          <cell r="U505" t="str">
            <v>Asset</v>
          </cell>
          <cell r="V505">
            <v>7580</v>
          </cell>
          <cell r="W505" t="str">
            <v>KEW</v>
          </cell>
          <cell r="X505" t="str">
            <v>01/09/2010</v>
          </cell>
          <cell r="Y505" t="str">
            <v>KEW</v>
          </cell>
          <cell r="Z505" t="str">
            <v>16/08/2013</v>
          </cell>
          <cell r="AA505" t="str">
            <v>15/08/2015</v>
          </cell>
          <cell r="AB505" t="str">
            <v>No</v>
          </cell>
          <cell r="AC505" t="str">
            <v>31/08/2013</v>
          </cell>
          <cell r="AD505" t="str">
            <v>Good</v>
          </cell>
          <cell r="AE505" t="str">
            <v>V1 - Existing / No Claim</v>
          </cell>
          <cell r="AF505">
            <v>42800</v>
          </cell>
          <cell r="AG505">
            <v>9.17</v>
          </cell>
          <cell r="AH505" t="str">
            <v>PPM</v>
          </cell>
          <cell r="AI505" t="str">
            <v>Strands</v>
          </cell>
          <cell r="AJ505" t="str">
            <v>Strands PW</v>
          </cell>
        </row>
        <row r="506">
          <cell r="A506" t="str">
            <v>IKN400021</v>
          </cell>
          <cell r="B506">
            <v>21</v>
          </cell>
          <cell r="C506" t="str">
            <v>Institut Kanser Negara</v>
          </cell>
          <cell r="D506" t="str">
            <v>KKM/IKN/H/13/1783</v>
          </cell>
          <cell r="E506" t="str">
            <v>10-208</v>
          </cell>
          <cell r="F506" t="str">
            <v>Aspirators</v>
          </cell>
          <cell r="G506" t="str">
            <v>AE</v>
          </cell>
          <cell r="H506" t="str">
            <v>EMERGENCY UNIT</v>
          </cell>
          <cell r="I506" t="str">
            <v>01AE119</v>
          </cell>
          <cell r="J506" t="str">
            <v>RESUSCITATION/TREATMENT</v>
          </cell>
          <cell r="K506" t="str">
            <v>BMED</v>
          </cell>
          <cell r="L506" t="str">
            <v>Normal</v>
          </cell>
          <cell r="M506" t="str">
            <v>Switzerland</v>
          </cell>
          <cell r="N506" t="str">
            <v>Senator</v>
          </cell>
          <cell r="O506" t="str">
            <v>Senator</v>
          </cell>
          <cell r="P506" t="str">
            <v>1220758</v>
          </cell>
          <cell r="Q506" t="str">
            <v>Not Applicable</v>
          </cell>
          <cell r="R506" t="str">
            <v>Ardo Medical AG</v>
          </cell>
          <cell r="S506" t="str">
            <v>Histopoint</v>
          </cell>
          <cell r="T506" t="str">
            <v>Functioning</v>
          </cell>
          <cell r="U506" t="str">
            <v>Asset</v>
          </cell>
          <cell r="V506">
            <v>7580</v>
          </cell>
          <cell r="W506" t="str">
            <v>KEW</v>
          </cell>
          <cell r="X506" t="str">
            <v>01/09/2010</v>
          </cell>
          <cell r="Y506" t="str">
            <v>KEW</v>
          </cell>
          <cell r="Z506" t="str">
            <v>16/08/2013</v>
          </cell>
          <cell r="AA506" t="str">
            <v>15/08/2015</v>
          </cell>
          <cell r="AB506" t="str">
            <v>No</v>
          </cell>
          <cell r="AC506" t="str">
            <v>31/08/2013</v>
          </cell>
          <cell r="AD506" t="str">
            <v>Good</v>
          </cell>
          <cell r="AE506" t="str">
            <v>V1 - Existing / No Claim</v>
          </cell>
          <cell r="AF506">
            <v>42235</v>
          </cell>
          <cell r="AG506">
            <v>9.17</v>
          </cell>
          <cell r="AH506" t="str">
            <v>PPM</v>
          </cell>
          <cell r="AI506" t="str">
            <v>Strands</v>
          </cell>
          <cell r="AJ506" t="str">
            <v>Strands PW</v>
          </cell>
        </row>
        <row r="507">
          <cell r="A507" t="str">
            <v>IKN400022</v>
          </cell>
          <cell r="B507">
            <v>22</v>
          </cell>
          <cell r="C507" t="str">
            <v>Institut Kanser Negara</v>
          </cell>
          <cell r="D507" t="str">
            <v>KKM/IKN/H/13/1772</v>
          </cell>
          <cell r="E507" t="str">
            <v>18-098</v>
          </cell>
          <cell r="F507" t="str">
            <v>Ventilators, Transport</v>
          </cell>
          <cell r="G507" t="str">
            <v>AE</v>
          </cell>
          <cell r="H507" t="str">
            <v>EMERGENCY UNIT</v>
          </cell>
          <cell r="I507" t="str">
            <v>01AE110</v>
          </cell>
          <cell r="J507" t="str">
            <v>EQUIPT. ROOM</v>
          </cell>
          <cell r="K507" t="str">
            <v>BMED</v>
          </cell>
          <cell r="L507" t="str">
            <v>Normal</v>
          </cell>
          <cell r="M507" t="str">
            <v>Germany</v>
          </cell>
          <cell r="N507" t="str">
            <v>Oxylog</v>
          </cell>
          <cell r="O507" t="str">
            <v>Oxylog 3000 Plus</v>
          </cell>
          <cell r="P507" t="str">
            <v>ASDJ-0137</v>
          </cell>
          <cell r="Q507" t="str">
            <v>Not Applicable</v>
          </cell>
          <cell r="R507" t="str">
            <v>Draegerwerk Ag</v>
          </cell>
          <cell r="S507" t="str">
            <v>Beau Consortium Sdn Bhd</v>
          </cell>
          <cell r="T507" t="str">
            <v>Functioning</v>
          </cell>
          <cell r="U507" t="str">
            <v>Asset</v>
          </cell>
          <cell r="V507">
            <v>60150</v>
          </cell>
          <cell r="W507" t="str">
            <v>KEW</v>
          </cell>
          <cell r="X507" t="str">
            <v>01/09/2010</v>
          </cell>
          <cell r="Y507" t="str">
            <v>KEW</v>
          </cell>
          <cell r="Z507" t="str">
            <v>16/08/2013</v>
          </cell>
          <cell r="AA507" t="str">
            <v>15/08/2015</v>
          </cell>
          <cell r="AB507" t="str">
            <v>No</v>
          </cell>
          <cell r="AC507" t="str">
            <v>31/08/2013</v>
          </cell>
          <cell r="AD507" t="str">
            <v>Good</v>
          </cell>
          <cell r="AE507" t="str">
            <v>V1 - Existing / No Claim</v>
          </cell>
          <cell r="AF507">
            <v>42235</v>
          </cell>
          <cell r="AG507">
            <v>9.17</v>
          </cell>
          <cell r="AH507" t="str">
            <v>PPM</v>
          </cell>
          <cell r="AI507" t="str">
            <v>Strands</v>
          </cell>
          <cell r="AJ507" t="str">
            <v>Strands PW</v>
          </cell>
        </row>
        <row r="508">
          <cell r="A508" t="str">
            <v>IKN400023</v>
          </cell>
          <cell r="B508">
            <v>23</v>
          </cell>
          <cell r="C508" t="str">
            <v>Institut Kanser Negara</v>
          </cell>
          <cell r="D508" t="str">
            <v>KKM/IKN/H/13/1771</v>
          </cell>
          <cell r="E508" t="str">
            <v>10-447</v>
          </cell>
          <cell r="F508" t="str">
            <v>Warming Units, Blood/Solution</v>
          </cell>
          <cell r="G508" t="str">
            <v>AE</v>
          </cell>
          <cell r="H508" t="str">
            <v>EMERGENCY UNIT</v>
          </cell>
          <cell r="I508" t="str">
            <v>01AE110</v>
          </cell>
          <cell r="J508" t="str">
            <v>EQUIPT. ROOM</v>
          </cell>
          <cell r="K508" t="str">
            <v>BMED</v>
          </cell>
          <cell r="L508" t="str">
            <v>Normal</v>
          </cell>
          <cell r="M508" t="str">
            <v>Japan</v>
          </cell>
          <cell r="N508" t="str">
            <v>Animec</v>
          </cell>
          <cell r="O508" t="str">
            <v>Animec AM-301</v>
          </cell>
          <cell r="P508" t="str">
            <v>2013D0270</v>
          </cell>
          <cell r="Q508" t="str">
            <v>Not Applicable</v>
          </cell>
          <cell r="R508" t="str">
            <v>Elltec Co Ltd</v>
          </cell>
          <cell r="S508" t="str">
            <v>IDS Services (Malaysia) Sdn Bhd</v>
          </cell>
          <cell r="T508" t="str">
            <v>Functioning</v>
          </cell>
          <cell r="U508" t="str">
            <v>Asset</v>
          </cell>
          <cell r="V508">
            <v>4990</v>
          </cell>
          <cell r="W508" t="str">
            <v>KEW</v>
          </cell>
          <cell r="X508" t="str">
            <v>01/09/2010</v>
          </cell>
          <cell r="Y508" t="str">
            <v>KEW</v>
          </cell>
          <cell r="Z508" t="str">
            <v>16/08/2013</v>
          </cell>
          <cell r="AA508" t="str">
            <v>15/08/2015</v>
          </cell>
          <cell r="AB508" t="str">
            <v>No</v>
          </cell>
          <cell r="AC508" t="str">
            <v>31/08/2013</v>
          </cell>
          <cell r="AD508" t="str">
            <v>Good</v>
          </cell>
          <cell r="AE508" t="str">
            <v>V1 - Existing / No Claim</v>
          </cell>
          <cell r="AF508">
            <v>42800</v>
          </cell>
          <cell r="AG508">
            <v>9.17</v>
          </cell>
          <cell r="AH508" t="str">
            <v>PPM</v>
          </cell>
          <cell r="AI508" t="str">
            <v>Strands</v>
          </cell>
          <cell r="AJ508" t="str">
            <v>Strands PW</v>
          </cell>
        </row>
        <row r="509">
          <cell r="A509" t="str">
            <v>IKN400024</v>
          </cell>
          <cell r="B509">
            <v>24</v>
          </cell>
          <cell r="C509" t="str">
            <v>Institut Kanser Negara</v>
          </cell>
          <cell r="D509" t="str">
            <v>KKM/IKN/H/13/1705</v>
          </cell>
          <cell r="E509" t="str">
            <v>10-447</v>
          </cell>
          <cell r="F509" t="str">
            <v>Warming Units, Blood/Solution</v>
          </cell>
          <cell r="G509" t="str">
            <v>AE</v>
          </cell>
          <cell r="H509" t="str">
            <v>EMERGENCY UNIT</v>
          </cell>
          <cell r="I509" t="str">
            <v>01AE110</v>
          </cell>
          <cell r="J509" t="str">
            <v>EQUIPT. ROOM</v>
          </cell>
          <cell r="K509" t="str">
            <v>BMED</v>
          </cell>
          <cell r="L509" t="str">
            <v>Normal</v>
          </cell>
          <cell r="M509" t="str">
            <v>Japan</v>
          </cell>
          <cell r="N509" t="str">
            <v>Animec</v>
          </cell>
          <cell r="O509" t="str">
            <v>Animec AM-301</v>
          </cell>
          <cell r="P509" t="str">
            <v>2013D0271</v>
          </cell>
          <cell r="Q509" t="str">
            <v>Not Applicable</v>
          </cell>
          <cell r="R509" t="str">
            <v>Elltec Co Ltd</v>
          </cell>
          <cell r="S509" t="str">
            <v>IDS Services (Malaysia) Sdn Bhd</v>
          </cell>
          <cell r="T509" t="str">
            <v>Functioning</v>
          </cell>
          <cell r="U509" t="str">
            <v>Asset</v>
          </cell>
          <cell r="V509">
            <v>4990</v>
          </cell>
          <cell r="W509" t="str">
            <v>KEW</v>
          </cell>
          <cell r="X509" t="str">
            <v>01/09/2010</v>
          </cell>
          <cell r="Y509" t="str">
            <v>KEW</v>
          </cell>
          <cell r="Z509" t="str">
            <v>16/08/2013</v>
          </cell>
          <cell r="AA509" t="str">
            <v>15/08/2015</v>
          </cell>
          <cell r="AB509" t="str">
            <v>No</v>
          </cell>
          <cell r="AC509" t="str">
            <v>31/08/2013</v>
          </cell>
          <cell r="AD509" t="str">
            <v>Good</v>
          </cell>
          <cell r="AE509" t="str">
            <v>V1 - Existing / No Claim</v>
          </cell>
          <cell r="AF509">
            <v>42800</v>
          </cell>
          <cell r="AG509">
            <v>9.17</v>
          </cell>
          <cell r="AH509" t="str">
            <v>PPM</v>
          </cell>
          <cell r="AI509" t="str">
            <v>Strands</v>
          </cell>
          <cell r="AJ509" t="str">
            <v>Strands PW</v>
          </cell>
        </row>
        <row r="510">
          <cell r="A510" t="str">
            <v>IKN400025</v>
          </cell>
          <cell r="B510">
            <v>25</v>
          </cell>
          <cell r="C510" t="str">
            <v>Institut Kanser Negara</v>
          </cell>
          <cell r="D510" t="str">
            <v>KKM/IKN/H/13/1117</v>
          </cell>
          <cell r="E510" t="str">
            <v>12-863</v>
          </cell>
          <cell r="F510" t="str">
            <v>Oxygen Monitors</v>
          </cell>
          <cell r="G510" t="str">
            <v>IC</v>
          </cell>
          <cell r="H510" t="str">
            <v>INTENSIVE CARE UNIT</v>
          </cell>
          <cell r="I510" t="str">
            <v>05IC124</v>
          </cell>
          <cell r="J510" t="str">
            <v>RHU</v>
          </cell>
          <cell r="K510" t="str">
            <v>BMED</v>
          </cell>
          <cell r="L510" t="str">
            <v>Critical</v>
          </cell>
          <cell r="M510" t="str">
            <v>Germany</v>
          </cell>
          <cell r="N510" t="str">
            <v>Mysign</v>
          </cell>
          <cell r="O510" t="str">
            <v>Mysign O</v>
          </cell>
          <cell r="P510" t="str">
            <v>100169</v>
          </cell>
          <cell r="Q510" t="str">
            <v>Not Applicable</v>
          </cell>
          <cell r="R510" t="str">
            <v>EnviteC-Wismar GmbH</v>
          </cell>
          <cell r="S510" t="str">
            <v>Respimedic</v>
          </cell>
          <cell r="T510" t="str">
            <v>Functioning</v>
          </cell>
          <cell r="U510" t="str">
            <v>Asset</v>
          </cell>
          <cell r="V510">
            <v>3079</v>
          </cell>
          <cell r="W510" t="str">
            <v>KEW</v>
          </cell>
          <cell r="X510" t="str">
            <v>01/09/2010</v>
          </cell>
          <cell r="Y510" t="str">
            <v>KEW</v>
          </cell>
          <cell r="Z510" t="str">
            <v>16/08/2013</v>
          </cell>
          <cell r="AA510" t="str">
            <v>15/08/2015</v>
          </cell>
          <cell r="AB510" t="str">
            <v>No</v>
          </cell>
          <cell r="AC510" t="str">
            <v>31/08/2013</v>
          </cell>
          <cell r="AD510" t="str">
            <v>Good</v>
          </cell>
          <cell r="AE510" t="str">
            <v>V1 - Existing / No Claim</v>
          </cell>
          <cell r="AF510">
            <v>42797</v>
          </cell>
          <cell r="AG510">
            <v>9.17</v>
          </cell>
          <cell r="AH510" t="str">
            <v>PPM</v>
          </cell>
          <cell r="AI510" t="str">
            <v>Strands</v>
          </cell>
          <cell r="AJ510" t="str">
            <v>Strands PW</v>
          </cell>
        </row>
        <row r="511">
          <cell r="A511" t="str">
            <v>IKN400029</v>
          </cell>
          <cell r="B511">
            <v>29</v>
          </cell>
          <cell r="C511" t="str">
            <v>Institut Kanser Negara</v>
          </cell>
          <cell r="D511" t="str">
            <v>KKM/IKN/H/13/1051</v>
          </cell>
          <cell r="E511" t="str">
            <v>12-647</v>
          </cell>
          <cell r="F511" t="str">
            <v>Physiologic Monitoring Systems, Acute Care</v>
          </cell>
          <cell r="G511" t="str">
            <v>IC</v>
          </cell>
          <cell r="H511" t="str">
            <v>INTENSIVE CARE UNIT</v>
          </cell>
          <cell r="I511" t="str">
            <v>05IC140</v>
          </cell>
          <cell r="J511" t="str">
            <v>NURSE STATION 1</v>
          </cell>
          <cell r="K511" t="str">
            <v>BMED</v>
          </cell>
          <cell r="L511" t="str">
            <v>Normal</v>
          </cell>
          <cell r="M511" t="str">
            <v>USA</v>
          </cell>
          <cell r="N511" t="str">
            <v>I-Central</v>
          </cell>
          <cell r="O511" t="str">
            <v>I-Central</v>
          </cell>
          <cell r="P511" t="str">
            <v>1642569</v>
          </cell>
          <cell r="Q511" t="str">
            <v>Not Applicable</v>
          </cell>
          <cell r="R511" t="str">
            <v>GE Healthcare Systems</v>
          </cell>
          <cell r="S511" t="str">
            <v>GE Healthcare Technologies</v>
          </cell>
          <cell r="T511" t="str">
            <v>Functioning</v>
          </cell>
          <cell r="U511" t="str">
            <v>Asset</v>
          </cell>
          <cell r="V511">
            <v>105850</v>
          </cell>
          <cell r="W511" t="str">
            <v>KEW</v>
          </cell>
          <cell r="X511" t="str">
            <v>01/09/2010</v>
          </cell>
          <cell r="Y511" t="str">
            <v>KEW</v>
          </cell>
          <cell r="Z511" t="str">
            <v>16/08/2013</v>
          </cell>
          <cell r="AA511" t="str">
            <v>15/08/2015</v>
          </cell>
          <cell r="AB511" t="str">
            <v>No</v>
          </cell>
          <cell r="AC511" t="str">
            <v>31/08/2013</v>
          </cell>
          <cell r="AD511" t="str">
            <v>Good</v>
          </cell>
          <cell r="AE511" t="str">
            <v>V1 - Existing / No Claim</v>
          </cell>
          <cell r="AF511">
            <v>42235</v>
          </cell>
          <cell r="AG511">
            <v>9.17</v>
          </cell>
          <cell r="AH511" t="str">
            <v>PPM</v>
          </cell>
          <cell r="AI511" t="str">
            <v>Strands</v>
          </cell>
          <cell r="AJ511" t="str">
            <v>Strands Package</v>
          </cell>
          <cell r="AK511" t="str">
            <v>Package Code MJ0023</v>
          </cell>
        </row>
        <row r="512">
          <cell r="A512" t="str">
            <v>IKN400030</v>
          </cell>
          <cell r="B512">
            <v>30</v>
          </cell>
          <cell r="C512" t="str">
            <v>Institut Kanser Negara</v>
          </cell>
          <cell r="D512" t="str">
            <v>KKM/IKN/H/13/3447</v>
          </cell>
          <cell r="E512" t="str">
            <v>11-134</v>
          </cell>
          <cell r="F512" t="str">
            <v>Defibrillators, External, Manual</v>
          </cell>
          <cell r="G512" t="str">
            <v>IC</v>
          </cell>
          <cell r="H512" t="str">
            <v>INTENSIVE CARE UNIT</v>
          </cell>
          <cell r="I512" t="str">
            <v>05IC141</v>
          </cell>
          <cell r="J512" t="str">
            <v>UTILITY</v>
          </cell>
          <cell r="K512" t="str">
            <v>BMED</v>
          </cell>
          <cell r="L512" t="str">
            <v>Critical</v>
          </cell>
          <cell r="M512" t="str">
            <v>USA</v>
          </cell>
          <cell r="N512" t="str">
            <v>Responder</v>
          </cell>
          <cell r="O512" t="str">
            <v>Responder 2000</v>
          </cell>
          <cell r="P512" t="str">
            <v>3206737</v>
          </cell>
          <cell r="Q512" t="str">
            <v>Not Applicable</v>
          </cell>
          <cell r="R512" t="str">
            <v>GE Medical Systems</v>
          </cell>
          <cell r="S512" t="str">
            <v>Antah Sir Radin Sdn. Bhd.</v>
          </cell>
          <cell r="T512" t="str">
            <v>Functioning</v>
          </cell>
          <cell r="U512" t="str">
            <v>Asset</v>
          </cell>
          <cell r="V512">
            <v>45000</v>
          </cell>
          <cell r="W512" t="str">
            <v>Estimate</v>
          </cell>
          <cell r="X512" t="str">
            <v>01/09/2010</v>
          </cell>
          <cell r="Y512" t="str">
            <v>KEW</v>
          </cell>
          <cell r="Z512" t="str">
            <v>16/08/2013</v>
          </cell>
          <cell r="AA512" t="str">
            <v>15/08/2015</v>
          </cell>
          <cell r="AB512" t="str">
            <v>No</v>
          </cell>
          <cell r="AC512" t="str">
            <v>31/08/2013</v>
          </cell>
          <cell r="AD512" t="str">
            <v>Good</v>
          </cell>
          <cell r="AE512" t="str">
            <v>V1 - Existing / No Claim</v>
          </cell>
          <cell r="AF512">
            <v>43306</v>
          </cell>
          <cell r="AG512">
            <v>9.17</v>
          </cell>
          <cell r="AH512" t="str">
            <v>PPM</v>
          </cell>
          <cell r="AI512" t="str">
            <v>Strands</v>
          </cell>
          <cell r="AJ512" t="str">
            <v>Strands PW</v>
          </cell>
        </row>
        <row r="513">
          <cell r="A513" t="str">
            <v>IKN400031</v>
          </cell>
          <cell r="B513">
            <v>31</v>
          </cell>
          <cell r="C513" t="str">
            <v>Institut Kanser Negara</v>
          </cell>
          <cell r="D513" t="str">
            <v>KKM/IKN/H/13/1049</v>
          </cell>
          <cell r="E513" t="str">
            <v>16-231</v>
          </cell>
          <cell r="F513" t="str">
            <v>Electrocardiographs, Multichannel, Interpretative</v>
          </cell>
          <cell r="G513" t="str">
            <v>IC</v>
          </cell>
          <cell r="H513" t="str">
            <v>INTENSIVE CARE UNIT</v>
          </cell>
          <cell r="I513" t="str">
            <v>05IC106</v>
          </cell>
          <cell r="J513" t="str">
            <v>EQ. ROOM</v>
          </cell>
          <cell r="K513" t="str">
            <v>BMED</v>
          </cell>
          <cell r="L513" t="str">
            <v>Normal</v>
          </cell>
          <cell r="M513" t="str">
            <v>India</v>
          </cell>
          <cell r="N513" t="str">
            <v>Mac</v>
          </cell>
          <cell r="O513" t="str">
            <v>Mac 5500</v>
          </cell>
          <cell r="P513" t="str">
            <v>SCD 1230 5247 PA</v>
          </cell>
          <cell r="Q513" t="str">
            <v>Not Applicable</v>
          </cell>
          <cell r="R513" t="str">
            <v>GE Healthcare Systems</v>
          </cell>
          <cell r="S513" t="str">
            <v>GE Healthcare Technologies</v>
          </cell>
          <cell r="T513" t="str">
            <v>Functioning</v>
          </cell>
          <cell r="U513" t="str">
            <v>Asset</v>
          </cell>
          <cell r="V513">
            <v>31270</v>
          </cell>
          <cell r="W513" t="str">
            <v>KEW</v>
          </cell>
          <cell r="X513" t="str">
            <v>01/09/2010</v>
          </cell>
          <cell r="Y513" t="str">
            <v>KEW</v>
          </cell>
          <cell r="Z513" t="str">
            <v>16/08/2013</v>
          </cell>
          <cell r="AA513" t="str">
            <v>15/08/2015</v>
          </cell>
          <cell r="AB513" t="str">
            <v>No</v>
          </cell>
          <cell r="AC513" t="str">
            <v>31/08/2013</v>
          </cell>
          <cell r="AD513" t="str">
            <v>Good</v>
          </cell>
          <cell r="AE513" t="str">
            <v>V1 - Existing / No Claim</v>
          </cell>
          <cell r="AF513">
            <v>42235</v>
          </cell>
          <cell r="AG513">
            <v>9.17</v>
          </cell>
          <cell r="AH513" t="str">
            <v>PPM</v>
          </cell>
          <cell r="AI513" t="str">
            <v>Strands</v>
          </cell>
          <cell r="AJ513" t="str">
            <v>Strands PW</v>
          </cell>
        </row>
        <row r="514">
          <cell r="A514" t="str">
            <v>IKN400032</v>
          </cell>
          <cell r="B514">
            <v>32</v>
          </cell>
          <cell r="C514" t="str">
            <v>Institut Kanser Negara</v>
          </cell>
          <cell r="D514" t="str">
            <v>KKM/IKN/H/13/929</v>
          </cell>
          <cell r="E514" t="str">
            <v>17-793</v>
          </cell>
          <cell r="F514" t="str">
            <v>Infusion/ Monitoring Line Organizer System</v>
          </cell>
          <cell r="G514" t="str">
            <v>IC</v>
          </cell>
          <cell r="H514" t="str">
            <v>INTENSIVE CARE UNIT</v>
          </cell>
          <cell r="I514" t="str">
            <v>05IC111</v>
          </cell>
          <cell r="J514" t="str">
            <v>ISOL 1(-VE)</v>
          </cell>
          <cell r="K514" t="str">
            <v>BMED</v>
          </cell>
          <cell r="L514" t="str">
            <v>Normal</v>
          </cell>
          <cell r="M514" t="str">
            <v>Germany</v>
          </cell>
          <cell r="N514" t="str">
            <v>Space Station</v>
          </cell>
          <cell r="O514" t="str">
            <v>Space Station</v>
          </cell>
          <cell r="P514" t="str">
            <v>13977</v>
          </cell>
          <cell r="Q514" t="str">
            <v>Not Applicable</v>
          </cell>
          <cell r="R514" t="str">
            <v>B Braun Melsungen AG</v>
          </cell>
          <cell r="S514" t="str">
            <v>B Braun Medical Supplies Sdn. Bhd.</v>
          </cell>
          <cell r="T514" t="str">
            <v>Functioning</v>
          </cell>
          <cell r="U514" t="str">
            <v>Asset</v>
          </cell>
          <cell r="V514">
            <v>84200</v>
          </cell>
          <cell r="W514" t="str">
            <v>KEW</v>
          </cell>
          <cell r="X514" t="str">
            <v>01/09/2010</v>
          </cell>
          <cell r="Y514" t="str">
            <v>KEW</v>
          </cell>
          <cell r="Z514" t="str">
            <v>16/08/2013</v>
          </cell>
          <cell r="AA514" t="str">
            <v>15/08/2015</v>
          </cell>
          <cell r="AB514" t="str">
            <v>No</v>
          </cell>
          <cell r="AC514" t="str">
            <v>31/08/2013</v>
          </cell>
          <cell r="AD514" t="str">
            <v>Good</v>
          </cell>
          <cell r="AE514" t="str">
            <v>V1 - Existing / No Claim</v>
          </cell>
          <cell r="AF514">
            <v>42235</v>
          </cell>
          <cell r="AG514">
            <v>9.17</v>
          </cell>
          <cell r="AH514" t="str">
            <v>PPM</v>
          </cell>
          <cell r="AI514" t="str">
            <v>Strands</v>
          </cell>
          <cell r="AJ514" t="str">
            <v>Strands PW</v>
          </cell>
        </row>
        <row r="515">
          <cell r="A515" t="str">
            <v>IKN400033</v>
          </cell>
          <cell r="B515">
            <v>33</v>
          </cell>
          <cell r="C515" t="str">
            <v>Institut Kanser Negara</v>
          </cell>
          <cell r="D515" t="str">
            <v>KKM/IKN/H/13/936</v>
          </cell>
          <cell r="E515" t="str">
            <v>17-793</v>
          </cell>
          <cell r="F515" t="str">
            <v>Infusion/ Monitoring Line Organizer System</v>
          </cell>
          <cell r="G515" t="str">
            <v>IC</v>
          </cell>
          <cell r="H515" t="str">
            <v>INTENSIVE CARE UNIT</v>
          </cell>
          <cell r="I515" t="str">
            <v>05IC112</v>
          </cell>
          <cell r="J515" t="str">
            <v>ICU RM 1</v>
          </cell>
          <cell r="K515" t="str">
            <v>BMED</v>
          </cell>
          <cell r="L515" t="str">
            <v>Normal</v>
          </cell>
          <cell r="M515" t="str">
            <v>Germany</v>
          </cell>
          <cell r="N515" t="str">
            <v>Space Station</v>
          </cell>
          <cell r="O515" t="str">
            <v>Space Station</v>
          </cell>
          <cell r="P515" t="str">
            <v>13979</v>
          </cell>
          <cell r="Q515" t="str">
            <v>Not Applicable</v>
          </cell>
          <cell r="R515" t="str">
            <v>B Braun Melsungen AG</v>
          </cell>
          <cell r="S515" t="str">
            <v>B Braun Medical Supplies Sdn. Bhd.</v>
          </cell>
          <cell r="T515" t="str">
            <v>Functioning</v>
          </cell>
          <cell r="U515" t="str">
            <v>Asset</v>
          </cell>
          <cell r="V515">
            <v>84200</v>
          </cell>
          <cell r="W515" t="str">
            <v>KEW</v>
          </cell>
          <cell r="X515" t="str">
            <v>01/09/2010</v>
          </cell>
          <cell r="Y515" t="str">
            <v>KEW</v>
          </cell>
          <cell r="Z515" t="str">
            <v>16/08/2013</v>
          </cell>
          <cell r="AA515" t="str">
            <v>15/08/2015</v>
          </cell>
          <cell r="AB515" t="str">
            <v>No</v>
          </cell>
          <cell r="AC515" t="str">
            <v>31/08/2013</v>
          </cell>
          <cell r="AD515" t="str">
            <v>Good</v>
          </cell>
          <cell r="AE515" t="str">
            <v>V1 - Existing / No Claim</v>
          </cell>
          <cell r="AF515">
            <v>42235</v>
          </cell>
          <cell r="AG515">
            <v>9.17</v>
          </cell>
          <cell r="AH515" t="str">
            <v>PPM</v>
          </cell>
          <cell r="AI515" t="str">
            <v>Strands</v>
          </cell>
          <cell r="AJ515" t="str">
            <v>Strands PW</v>
          </cell>
        </row>
        <row r="516">
          <cell r="A516" t="str">
            <v>IKN400034</v>
          </cell>
          <cell r="B516">
            <v>34</v>
          </cell>
          <cell r="C516" t="str">
            <v>Institut Kanser Negara</v>
          </cell>
          <cell r="D516" t="str">
            <v>KKM/IKN/H/13/930</v>
          </cell>
          <cell r="E516" t="str">
            <v>17-793</v>
          </cell>
          <cell r="F516" t="str">
            <v>Infusion/ Monitoring Line Organizer System</v>
          </cell>
          <cell r="G516" t="str">
            <v>IC</v>
          </cell>
          <cell r="H516" t="str">
            <v>INTENSIVE CARE UNIT</v>
          </cell>
          <cell r="I516" t="str">
            <v>05IC113</v>
          </cell>
          <cell r="J516" t="str">
            <v>ICU RM 2</v>
          </cell>
          <cell r="K516" t="str">
            <v>BMED</v>
          </cell>
          <cell r="L516" t="str">
            <v>Normal</v>
          </cell>
          <cell r="M516" t="str">
            <v>Germany</v>
          </cell>
          <cell r="N516" t="str">
            <v>Space Station</v>
          </cell>
          <cell r="O516" t="str">
            <v>Space Station</v>
          </cell>
          <cell r="P516" t="str">
            <v>13991</v>
          </cell>
          <cell r="Q516" t="str">
            <v>Not Applicable</v>
          </cell>
          <cell r="R516" t="str">
            <v>B Braun Melsungen AG</v>
          </cell>
          <cell r="S516" t="str">
            <v>B Braun Medical Supplies Sdn. Bhd.</v>
          </cell>
          <cell r="T516" t="str">
            <v>Functioning</v>
          </cell>
          <cell r="U516" t="str">
            <v>Asset</v>
          </cell>
          <cell r="V516">
            <v>84200</v>
          </cell>
          <cell r="W516" t="str">
            <v>KEW</v>
          </cell>
          <cell r="X516" t="str">
            <v>01/09/2010</v>
          </cell>
          <cell r="Y516" t="str">
            <v>KEW</v>
          </cell>
          <cell r="Z516" t="str">
            <v>16/08/2013</v>
          </cell>
          <cell r="AA516" t="str">
            <v>15/08/2015</v>
          </cell>
          <cell r="AB516" t="str">
            <v>No</v>
          </cell>
          <cell r="AC516" t="str">
            <v>31/08/2013</v>
          </cell>
          <cell r="AD516" t="str">
            <v>Good</v>
          </cell>
          <cell r="AE516" t="str">
            <v>V1 - Existing / No Claim</v>
          </cell>
          <cell r="AF516">
            <v>42796</v>
          </cell>
          <cell r="AG516">
            <v>9.17</v>
          </cell>
          <cell r="AH516" t="str">
            <v>PPM</v>
          </cell>
          <cell r="AI516" t="str">
            <v>Strands</v>
          </cell>
          <cell r="AJ516" t="str">
            <v>Strands PW</v>
          </cell>
        </row>
        <row r="517">
          <cell r="A517" t="str">
            <v>IKN400035</v>
          </cell>
          <cell r="B517">
            <v>35</v>
          </cell>
          <cell r="C517" t="str">
            <v>Institut Kanser Negara</v>
          </cell>
          <cell r="D517" t="str">
            <v>KKM/IKN/H/13/931</v>
          </cell>
          <cell r="E517" t="str">
            <v>17-793</v>
          </cell>
          <cell r="F517" t="str">
            <v>Infusion/ Monitoring Line Organizer System</v>
          </cell>
          <cell r="G517" t="str">
            <v>IC</v>
          </cell>
          <cell r="H517" t="str">
            <v>INTENSIVE CARE UNIT</v>
          </cell>
          <cell r="I517" t="str">
            <v>05IC114</v>
          </cell>
          <cell r="J517" t="str">
            <v>ICU RM 3</v>
          </cell>
          <cell r="K517" t="str">
            <v>BMED</v>
          </cell>
          <cell r="L517" t="str">
            <v>Normal</v>
          </cell>
          <cell r="M517" t="str">
            <v>Germany</v>
          </cell>
          <cell r="N517" t="str">
            <v>Space Station</v>
          </cell>
          <cell r="O517" t="str">
            <v>Space Station</v>
          </cell>
          <cell r="P517" t="str">
            <v>13986</v>
          </cell>
          <cell r="Q517" t="str">
            <v>Not Applicable</v>
          </cell>
          <cell r="R517" t="str">
            <v>B Braun Melsungen AG</v>
          </cell>
          <cell r="S517" t="str">
            <v>B Braun Medical Supplies Sdn. Bhd.</v>
          </cell>
          <cell r="T517" t="str">
            <v>Functioning</v>
          </cell>
          <cell r="U517" t="str">
            <v>Asset</v>
          </cell>
          <cell r="V517">
            <v>84200</v>
          </cell>
          <cell r="W517" t="str">
            <v>KEW</v>
          </cell>
          <cell r="X517" t="str">
            <v>01/09/2010</v>
          </cell>
          <cell r="Y517" t="str">
            <v>KEW</v>
          </cell>
          <cell r="Z517" t="str">
            <v>16/08/2013</v>
          </cell>
          <cell r="AA517" t="str">
            <v>15/08/2015</v>
          </cell>
          <cell r="AB517" t="str">
            <v>No</v>
          </cell>
          <cell r="AC517" t="str">
            <v>31/08/2013</v>
          </cell>
          <cell r="AD517" t="str">
            <v>Good</v>
          </cell>
          <cell r="AE517" t="str">
            <v>V1 - Existing / No Claim</v>
          </cell>
          <cell r="AF517">
            <v>42797</v>
          </cell>
          <cell r="AG517">
            <v>9.17</v>
          </cell>
          <cell r="AH517" t="str">
            <v>PPM</v>
          </cell>
          <cell r="AI517" t="str">
            <v>Strands</v>
          </cell>
          <cell r="AJ517" t="str">
            <v>Strands PW</v>
          </cell>
        </row>
        <row r="518">
          <cell r="A518" t="str">
            <v>IKN400036</v>
          </cell>
          <cell r="B518">
            <v>36</v>
          </cell>
          <cell r="C518" t="str">
            <v>Institut Kanser Negara</v>
          </cell>
          <cell r="D518" t="str">
            <v>KKM/IKN/H/13/932</v>
          </cell>
          <cell r="E518" t="str">
            <v>17-793</v>
          </cell>
          <cell r="F518" t="str">
            <v>Infusion/ Monitoring Line Organizer System</v>
          </cell>
          <cell r="G518" t="str">
            <v>IC</v>
          </cell>
          <cell r="H518" t="str">
            <v>INTENSIVE CARE UNIT</v>
          </cell>
          <cell r="I518" t="str">
            <v>05IC115</v>
          </cell>
          <cell r="J518" t="str">
            <v>ICU RM 4</v>
          </cell>
          <cell r="K518" t="str">
            <v>BMED</v>
          </cell>
          <cell r="L518" t="str">
            <v>Normal</v>
          </cell>
          <cell r="M518" t="str">
            <v>Germany</v>
          </cell>
          <cell r="N518" t="str">
            <v>Space Station</v>
          </cell>
          <cell r="O518" t="str">
            <v>Space Station</v>
          </cell>
          <cell r="P518" t="str">
            <v>13978</v>
          </cell>
          <cell r="Q518" t="str">
            <v>Not Applicable</v>
          </cell>
          <cell r="R518" t="str">
            <v>B Braun Melsungen AG</v>
          </cell>
          <cell r="S518" t="str">
            <v>B Braun Medical Supplies Sdn. Bhd.</v>
          </cell>
          <cell r="T518" t="str">
            <v>Functioning</v>
          </cell>
          <cell r="U518" t="str">
            <v>Asset</v>
          </cell>
          <cell r="V518">
            <v>84200</v>
          </cell>
          <cell r="W518" t="str">
            <v>KEW</v>
          </cell>
          <cell r="X518" t="str">
            <v>01/09/2010</v>
          </cell>
          <cell r="Y518" t="str">
            <v>KEW</v>
          </cell>
          <cell r="Z518" t="str">
            <v>16/08/2013</v>
          </cell>
          <cell r="AA518" t="str">
            <v>15/08/2015</v>
          </cell>
          <cell r="AB518" t="str">
            <v>No</v>
          </cell>
          <cell r="AC518" t="str">
            <v>31/08/2013</v>
          </cell>
          <cell r="AD518" t="str">
            <v>Good</v>
          </cell>
          <cell r="AE518" t="str">
            <v>V1 - Existing / No Claim</v>
          </cell>
          <cell r="AF518">
            <v>42235</v>
          </cell>
          <cell r="AG518">
            <v>9.17</v>
          </cell>
          <cell r="AH518" t="str">
            <v>PPM</v>
          </cell>
          <cell r="AI518" t="str">
            <v>Strands</v>
          </cell>
          <cell r="AJ518" t="str">
            <v>Strands PW</v>
          </cell>
        </row>
        <row r="519">
          <cell r="A519" t="str">
            <v>IKN400037</v>
          </cell>
          <cell r="B519">
            <v>37</v>
          </cell>
          <cell r="C519" t="str">
            <v>Institut Kanser Negara</v>
          </cell>
          <cell r="D519" t="str">
            <v>KKM/IKN/H/13/933</v>
          </cell>
          <cell r="E519" t="str">
            <v>17-793</v>
          </cell>
          <cell r="F519" t="str">
            <v>Infusion/ Monitoring Line Organizer System</v>
          </cell>
          <cell r="G519" t="str">
            <v>IC</v>
          </cell>
          <cell r="H519" t="str">
            <v>INTENSIVE CARE UNIT</v>
          </cell>
          <cell r="I519" t="str">
            <v>05IC116</v>
          </cell>
          <cell r="J519" t="str">
            <v>ISOL 2 (+VE)</v>
          </cell>
          <cell r="K519" t="str">
            <v>BMED</v>
          </cell>
          <cell r="L519" t="str">
            <v>Normal</v>
          </cell>
          <cell r="M519" t="str">
            <v>Germany</v>
          </cell>
          <cell r="N519" t="str">
            <v>Space Station</v>
          </cell>
          <cell r="O519" t="str">
            <v>Space Station</v>
          </cell>
          <cell r="P519" t="str">
            <v>13988</v>
          </cell>
          <cell r="Q519" t="str">
            <v>Not Applicable</v>
          </cell>
          <cell r="R519" t="str">
            <v>B Braun Melsungen AG</v>
          </cell>
          <cell r="S519" t="str">
            <v>B Braun Medical Supplies Sdn. Bhd.</v>
          </cell>
          <cell r="T519" t="str">
            <v>Functioning</v>
          </cell>
          <cell r="U519" t="str">
            <v>Asset</v>
          </cell>
          <cell r="V519">
            <v>84200</v>
          </cell>
          <cell r="W519" t="str">
            <v>KEW</v>
          </cell>
          <cell r="X519" t="str">
            <v>01/09/2010</v>
          </cell>
          <cell r="Y519" t="str">
            <v>KEW</v>
          </cell>
          <cell r="Z519" t="str">
            <v>16/08/2013</v>
          </cell>
          <cell r="AA519" t="str">
            <v>15/08/2015</v>
          </cell>
          <cell r="AB519" t="str">
            <v>No</v>
          </cell>
          <cell r="AC519" t="str">
            <v>31/08/2013</v>
          </cell>
          <cell r="AD519" t="str">
            <v>Good</v>
          </cell>
          <cell r="AE519" t="str">
            <v>V1 - Existing / No Claim</v>
          </cell>
          <cell r="AF519">
            <v>42797</v>
          </cell>
          <cell r="AG519">
            <v>9.17</v>
          </cell>
          <cell r="AH519" t="str">
            <v>PPM</v>
          </cell>
          <cell r="AI519" t="str">
            <v>Strands</v>
          </cell>
          <cell r="AJ519" t="str">
            <v>Strands PW</v>
          </cell>
        </row>
        <row r="520">
          <cell r="A520" t="str">
            <v>IKN400038</v>
          </cell>
          <cell r="B520">
            <v>38</v>
          </cell>
          <cell r="C520" t="str">
            <v>Institut Kanser Negara</v>
          </cell>
          <cell r="D520" t="str">
            <v>KKM/IKN/H/13/934</v>
          </cell>
          <cell r="E520" t="str">
            <v>17-793</v>
          </cell>
          <cell r="F520" t="str">
            <v>Infusion/ Monitoring Line Organizer System</v>
          </cell>
          <cell r="G520" t="str">
            <v>IC</v>
          </cell>
          <cell r="H520" t="str">
            <v>INTENSIVE CARE UNIT</v>
          </cell>
          <cell r="I520" t="str">
            <v>05IC129</v>
          </cell>
          <cell r="J520" t="str">
            <v>ISOL 4 (+VE)</v>
          </cell>
          <cell r="K520" t="str">
            <v>BMED</v>
          </cell>
          <cell r="L520" t="str">
            <v>Normal</v>
          </cell>
          <cell r="M520" t="str">
            <v>Germany</v>
          </cell>
          <cell r="N520" t="str">
            <v>Space Station</v>
          </cell>
          <cell r="O520" t="str">
            <v>Space Station</v>
          </cell>
          <cell r="P520" t="str">
            <v>13976</v>
          </cell>
          <cell r="Q520" t="str">
            <v>Not Applicable</v>
          </cell>
          <cell r="R520" t="str">
            <v>B Braun Melsungen AG</v>
          </cell>
          <cell r="S520" t="str">
            <v>B Braun Medical Supplies Sdn. Bhd.</v>
          </cell>
          <cell r="T520" t="str">
            <v>Functioning</v>
          </cell>
          <cell r="U520" t="str">
            <v>Asset</v>
          </cell>
          <cell r="V520">
            <v>84200</v>
          </cell>
          <cell r="W520" t="str">
            <v>KEW</v>
          </cell>
          <cell r="X520" t="str">
            <v>01/09/2010</v>
          </cell>
          <cell r="Y520" t="str">
            <v>KEW</v>
          </cell>
          <cell r="Z520" t="str">
            <v>16/08/2013</v>
          </cell>
          <cell r="AA520" t="str">
            <v>15/08/2015</v>
          </cell>
          <cell r="AB520" t="str">
            <v>No</v>
          </cell>
          <cell r="AC520" t="str">
            <v>31/08/2013</v>
          </cell>
          <cell r="AD520" t="str">
            <v>Good</v>
          </cell>
          <cell r="AE520" t="str">
            <v>V1 - Existing / No Claim</v>
          </cell>
          <cell r="AF520">
            <v>42797</v>
          </cell>
          <cell r="AG520">
            <v>9.17</v>
          </cell>
          <cell r="AH520" t="str">
            <v>PPM</v>
          </cell>
          <cell r="AI520" t="str">
            <v>Strands</v>
          </cell>
          <cell r="AJ520" t="str">
            <v>Strands PW</v>
          </cell>
        </row>
        <row r="521">
          <cell r="A521" t="str">
            <v>IKN400039</v>
          </cell>
          <cell r="B521">
            <v>39</v>
          </cell>
          <cell r="C521" t="str">
            <v>Institut Kanser Negara</v>
          </cell>
          <cell r="D521" t="str">
            <v>KKM/IKN/H/13/935</v>
          </cell>
          <cell r="E521" t="str">
            <v>17-793</v>
          </cell>
          <cell r="F521" t="str">
            <v>Infusion/ Monitoring Line Organizer System</v>
          </cell>
          <cell r="G521" t="str">
            <v>IC</v>
          </cell>
          <cell r="H521" t="str">
            <v>INTENSIVE CARE UNIT</v>
          </cell>
          <cell r="I521" t="str">
            <v>05IC131</v>
          </cell>
          <cell r="J521" t="str">
            <v>ISOL 3 (+VE)</v>
          </cell>
          <cell r="K521" t="str">
            <v>BMED</v>
          </cell>
          <cell r="L521" t="str">
            <v>Normal</v>
          </cell>
          <cell r="M521" t="str">
            <v>Germany</v>
          </cell>
          <cell r="N521" t="str">
            <v>Space Station</v>
          </cell>
          <cell r="O521" t="str">
            <v>Space Station</v>
          </cell>
          <cell r="P521" t="str">
            <v>13980</v>
          </cell>
          <cell r="Q521" t="str">
            <v>Not Applicable</v>
          </cell>
          <cell r="R521" t="str">
            <v>B Braun Melsungen AG</v>
          </cell>
          <cell r="S521" t="str">
            <v>B Braun Medical Supplies Sdn. Bhd.</v>
          </cell>
          <cell r="T521" t="str">
            <v>Functioning</v>
          </cell>
          <cell r="U521" t="str">
            <v>Asset</v>
          </cell>
          <cell r="V521">
            <v>84200</v>
          </cell>
          <cell r="W521" t="str">
            <v>KEW</v>
          </cell>
          <cell r="X521" t="str">
            <v>01/09/2010</v>
          </cell>
          <cell r="Y521" t="str">
            <v>KEW</v>
          </cell>
          <cell r="Z521" t="str">
            <v>16/08/2013</v>
          </cell>
          <cell r="AA521" t="str">
            <v>15/08/2015</v>
          </cell>
          <cell r="AB521" t="str">
            <v>No</v>
          </cell>
          <cell r="AC521" t="str">
            <v>31/08/2013</v>
          </cell>
          <cell r="AD521" t="str">
            <v>Good</v>
          </cell>
          <cell r="AE521" t="str">
            <v>V1 - Existing / No Claim</v>
          </cell>
          <cell r="AF521">
            <v>42235</v>
          </cell>
          <cell r="AG521">
            <v>9.17</v>
          </cell>
          <cell r="AH521" t="str">
            <v>PPM</v>
          </cell>
          <cell r="AI521" t="str">
            <v>Strands</v>
          </cell>
          <cell r="AJ521" t="str">
            <v>Strands PW</v>
          </cell>
        </row>
        <row r="522">
          <cell r="A522" t="str">
            <v>IKN400040</v>
          </cell>
          <cell r="B522">
            <v>40</v>
          </cell>
          <cell r="C522" t="str">
            <v>Institut Kanser Negara</v>
          </cell>
          <cell r="D522" t="str">
            <v>KKM/IKN/H/13/1026</v>
          </cell>
          <cell r="E522" t="str">
            <v>11-218</v>
          </cell>
          <cell r="F522" t="str">
            <v>Hemodialysis Units</v>
          </cell>
          <cell r="G522" t="str">
            <v>IC</v>
          </cell>
          <cell r="H522" t="str">
            <v>INTENSIVE CARE UNIT</v>
          </cell>
          <cell r="I522" t="str">
            <v>05IC106</v>
          </cell>
          <cell r="J522" t="str">
            <v>EQ. ROOM</v>
          </cell>
          <cell r="K522" t="str">
            <v>BMED</v>
          </cell>
          <cell r="L522" t="str">
            <v>Critical</v>
          </cell>
          <cell r="M522" t="str">
            <v>Germany</v>
          </cell>
          <cell r="N522" t="str">
            <v>Fresenius</v>
          </cell>
          <cell r="O522" t="str">
            <v>Fresenius 5008S</v>
          </cell>
          <cell r="P522" t="str">
            <v>3VSAG772</v>
          </cell>
          <cell r="Q522" t="str">
            <v>Not Applicable</v>
          </cell>
          <cell r="R522" t="str">
            <v>Fresenius FMC</v>
          </cell>
          <cell r="S522" t="str">
            <v>Fischer CW Medical</v>
          </cell>
          <cell r="T522" t="str">
            <v>Functioning</v>
          </cell>
          <cell r="U522" t="str">
            <v>Asset</v>
          </cell>
          <cell r="V522">
            <v>76985</v>
          </cell>
          <cell r="W522" t="str">
            <v>KEW</v>
          </cell>
          <cell r="X522" t="str">
            <v>01/09/2010</v>
          </cell>
          <cell r="Y522" t="str">
            <v>KEW</v>
          </cell>
          <cell r="Z522" t="str">
            <v>16/08/2013</v>
          </cell>
          <cell r="AA522" t="str">
            <v>15/08/2015</v>
          </cell>
          <cell r="AB522" t="str">
            <v>No</v>
          </cell>
          <cell r="AC522" t="str">
            <v>31/08/2013</v>
          </cell>
          <cell r="AD522" t="str">
            <v>Good</v>
          </cell>
          <cell r="AE522" t="str">
            <v>V1 - Existing / No Claim</v>
          </cell>
          <cell r="AF522">
            <v>42796</v>
          </cell>
          <cell r="AG522">
            <v>9.17</v>
          </cell>
          <cell r="AH522" t="str">
            <v>PPM</v>
          </cell>
          <cell r="AI522" t="str">
            <v>Strands</v>
          </cell>
          <cell r="AJ522" t="str">
            <v>Strands PW</v>
          </cell>
        </row>
        <row r="523">
          <cell r="A523" t="str">
            <v>IKN400041</v>
          </cell>
          <cell r="B523">
            <v>41</v>
          </cell>
          <cell r="C523" t="str">
            <v>Institut Kanser Negara</v>
          </cell>
          <cell r="D523" t="str">
            <v>KKM/IKN/H/13/865</v>
          </cell>
          <cell r="E523" t="str">
            <v>15-039</v>
          </cell>
          <cell r="F523" t="str">
            <v>Hemofiltration Units</v>
          </cell>
          <cell r="G523" t="str">
            <v>IC</v>
          </cell>
          <cell r="H523" t="str">
            <v>INTENSIVE CARE UNIT</v>
          </cell>
          <cell r="I523" t="str">
            <v>05IC106</v>
          </cell>
          <cell r="J523" t="str">
            <v>EQ. ROOM</v>
          </cell>
          <cell r="K523" t="str">
            <v>BMED</v>
          </cell>
          <cell r="L523" t="str">
            <v>Normal</v>
          </cell>
          <cell r="M523" t="str">
            <v>Sweden</v>
          </cell>
          <cell r="N523" t="str">
            <v>Prismaflex</v>
          </cell>
          <cell r="O523" t="str">
            <v>Prismaflex</v>
          </cell>
          <cell r="P523" t="str">
            <v>PA10395</v>
          </cell>
          <cell r="Q523" t="str">
            <v>Not Applicable</v>
          </cell>
          <cell r="R523" t="str">
            <v>Gambro AB</v>
          </cell>
          <cell r="S523" t="str">
            <v>Gambro Renal Care (M) Sdn Bhd</v>
          </cell>
          <cell r="T523" t="str">
            <v>Functioning</v>
          </cell>
          <cell r="U523" t="str">
            <v>Asset</v>
          </cell>
          <cell r="V523">
            <v>168400</v>
          </cell>
          <cell r="W523" t="str">
            <v>KEW</v>
          </cell>
          <cell r="X523" t="str">
            <v>01/09/2010</v>
          </cell>
          <cell r="Y523" t="str">
            <v>KEW</v>
          </cell>
          <cell r="Z523" t="str">
            <v>16/08/2013</v>
          </cell>
          <cell r="AA523" t="str">
            <v>15/08/2015</v>
          </cell>
          <cell r="AB523" t="str">
            <v>No</v>
          </cell>
          <cell r="AC523" t="str">
            <v>31/08/2013</v>
          </cell>
          <cell r="AD523" t="str">
            <v>Good</v>
          </cell>
          <cell r="AE523" t="str">
            <v>V1 - Existing / No Claim</v>
          </cell>
          <cell r="AF523">
            <v>42235</v>
          </cell>
          <cell r="AG523">
            <v>9.17</v>
          </cell>
          <cell r="AH523" t="str">
            <v>PPM</v>
          </cell>
          <cell r="AI523" t="str">
            <v>Strands</v>
          </cell>
          <cell r="AJ523" t="str">
            <v>Strands PW</v>
          </cell>
        </row>
        <row r="524">
          <cell r="A524" t="str">
            <v>IKN400042</v>
          </cell>
          <cell r="B524">
            <v>42</v>
          </cell>
          <cell r="C524" t="str">
            <v>Institut Kanser Negara</v>
          </cell>
          <cell r="D524" t="str">
            <v>KKM/IKN/H/13/161</v>
          </cell>
          <cell r="E524" t="str">
            <v>12-647</v>
          </cell>
          <cell r="F524" t="str">
            <v>Physiologic Monitoring Systems, Acute Care</v>
          </cell>
          <cell r="G524" t="str">
            <v>IC</v>
          </cell>
          <cell r="H524" t="str">
            <v>INTENSIVE CARE UNIT</v>
          </cell>
          <cell r="I524" t="str">
            <v>05IC111</v>
          </cell>
          <cell r="J524" t="str">
            <v>ISOL 1(-VE)</v>
          </cell>
          <cell r="K524" t="str">
            <v>BMED</v>
          </cell>
          <cell r="L524" t="str">
            <v>Normal</v>
          </cell>
          <cell r="M524" t="str">
            <v>Finland</v>
          </cell>
          <cell r="N524" t="str">
            <v>Carespace</v>
          </cell>
          <cell r="O524" t="str">
            <v>Carespace B850</v>
          </cell>
          <cell r="P524" t="str">
            <v>SED12370776GA</v>
          </cell>
          <cell r="Q524" t="str">
            <v>Not Applicable</v>
          </cell>
          <cell r="R524" t="str">
            <v>GE Healthcare Systems</v>
          </cell>
          <cell r="S524" t="str">
            <v>GE Healthcare Technologies</v>
          </cell>
          <cell r="T524" t="str">
            <v>Functioning</v>
          </cell>
          <cell r="U524" t="str">
            <v>Asset</v>
          </cell>
          <cell r="V524">
            <v>119690</v>
          </cell>
          <cell r="W524" t="str">
            <v>KEW</v>
          </cell>
          <cell r="X524" t="str">
            <v>01/09/2010</v>
          </cell>
          <cell r="Y524" t="str">
            <v>KEW</v>
          </cell>
          <cell r="Z524" t="str">
            <v>16/08/2013</v>
          </cell>
          <cell r="AA524" t="str">
            <v>15/08/2015</v>
          </cell>
          <cell r="AB524" t="str">
            <v>No</v>
          </cell>
          <cell r="AC524" t="str">
            <v>31/08/2013</v>
          </cell>
          <cell r="AD524" t="str">
            <v>Good</v>
          </cell>
          <cell r="AE524" t="str">
            <v>V1 - Existing / No Claim</v>
          </cell>
          <cell r="AF524">
            <v>42235</v>
          </cell>
          <cell r="AG524">
            <v>9.17</v>
          </cell>
          <cell r="AH524" t="str">
            <v>PPM</v>
          </cell>
          <cell r="AI524" t="str">
            <v>Strands</v>
          </cell>
          <cell r="AJ524" t="str">
            <v>Strands PW</v>
          </cell>
        </row>
        <row r="525">
          <cell r="A525" t="str">
            <v>IKN400043</v>
          </cell>
          <cell r="B525">
            <v>43</v>
          </cell>
          <cell r="C525" t="str">
            <v>Institut Kanser Negara</v>
          </cell>
          <cell r="D525" t="str">
            <v>KKM/IKN/H/13/1040</v>
          </cell>
          <cell r="E525" t="str">
            <v>12-647</v>
          </cell>
          <cell r="F525" t="str">
            <v>Physiologic Monitoring Systems, Acute Care</v>
          </cell>
          <cell r="G525" t="str">
            <v>IC</v>
          </cell>
          <cell r="H525" t="str">
            <v>INTENSIVE CARE UNIT</v>
          </cell>
          <cell r="I525" t="str">
            <v>05IC112</v>
          </cell>
          <cell r="J525" t="str">
            <v>ICU RM 1</v>
          </cell>
          <cell r="K525" t="str">
            <v>BMED</v>
          </cell>
          <cell r="L525" t="str">
            <v>Normal</v>
          </cell>
          <cell r="M525" t="str">
            <v>Finland</v>
          </cell>
          <cell r="N525" t="str">
            <v>Carespace</v>
          </cell>
          <cell r="O525" t="str">
            <v>Carespace B850</v>
          </cell>
          <cell r="P525" t="str">
            <v>SED12370825GA</v>
          </cell>
          <cell r="Q525" t="str">
            <v>Not Applicable</v>
          </cell>
          <cell r="R525" t="str">
            <v>GE Healthcare Systems</v>
          </cell>
          <cell r="S525" t="str">
            <v>GE Healthcare Technologies</v>
          </cell>
          <cell r="T525" t="str">
            <v>Functioning</v>
          </cell>
          <cell r="U525" t="str">
            <v>Asset</v>
          </cell>
          <cell r="V525">
            <v>119690</v>
          </cell>
          <cell r="W525" t="str">
            <v>KEW</v>
          </cell>
          <cell r="X525" t="str">
            <v>01/09/2010</v>
          </cell>
          <cell r="Y525" t="str">
            <v>KEW</v>
          </cell>
          <cell r="Z525" t="str">
            <v>16/08/2013</v>
          </cell>
          <cell r="AA525" t="str">
            <v>15/08/2015</v>
          </cell>
          <cell r="AB525" t="str">
            <v>No</v>
          </cell>
          <cell r="AC525" t="str">
            <v>31/08/2013</v>
          </cell>
          <cell r="AD525" t="str">
            <v>Good</v>
          </cell>
          <cell r="AE525" t="str">
            <v>V1 - Existing / No Claim</v>
          </cell>
          <cell r="AF525">
            <v>42235</v>
          </cell>
          <cell r="AG525">
            <v>9.17</v>
          </cell>
          <cell r="AH525" t="str">
            <v>PPM</v>
          </cell>
          <cell r="AI525" t="str">
            <v>Strands</v>
          </cell>
          <cell r="AJ525" t="str">
            <v>Strands PW</v>
          </cell>
        </row>
        <row r="526">
          <cell r="A526" t="str">
            <v>IKN400044</v>
          </cell>
          <cell r="B526">
            <v>44</v>
          </cell>
          <cell r="C526" t="str">
            <v>Institut Kanser Negara</v>
          </cell>
          <cell r="D526" t="str">
            <v>KKM/IKN/H/13/1041</v>
          </cell>
          <cell r="E526" t="str">
            <v>12-647</v>
          </cell>
          <cell r="F526" t="str">
            <v>Physiologic Monitoring Systems, Acute Care</v>
          </cell>
          <cell r="G526" t="str">
            <v>IC</v>
          </cell>
          <cell r="H526" t="str">
            <v>INTENSIVE CARE UNIT</v>
          </cell>
          <cell r="I526" t="str">
            <v>05IC113</v>
          </cell>
          <cell r="J526" t="str">
            <v>ICU RM 2</v>
          </cell>
          <cell r="K526" t="str">
            <v>BMED</v>
          </cell>
          <cell r="L526" t="str">
            <v>Critical</v>
          </cell>
          <cell r="M526" t="str">
            <v>Finland</v>
          </cell>
          <cell r="N526" t="str">
            <v>Carespace</v>
          </cell>
          <cell r="O526" t="str">
            <v>Carespace B850</v>
          </cell>
          <cell r="P526" t="str">
            <v>SED12370680GA</v>
          </cell>
          <cell r="Q526" t="str">
            <v>Not Applicable</v>
          </cell>
          <cell r="R526" t="str">
            <v>GE Healthcare Systems</v>
          </cell>
          <cell r="S526" t="str">
            <v>GE Healthcare Technologies</v>
          </cell>
          <cell r="T526" t="str">
            <v>Functioning</v>
          </cell>
          <cell r="U526" t="str">
            <v>Asset</v>
          </cell>
          <cell r="V526">
            <v>119690</v>
          </cell>
          <cell r="W526" t="str">
            <v>KEW</v>
          </cell>
          <cell r="X526" t="str">
            <v>01/09/2010</v>
          </cell>
          <cell r="Y526" t="str">
            <v>KEW</v>
          </cell>
          <cell r="Z526" t="str">
            <v>16/08/2013</v>
          </cell>
          <cell r="AA526" t="str">
            <v>15/08/2015</v>
          </cell>
          <cell r="AB526" t="str">
            <v>No</v>
          </cell>
          <cell r="AC526" t="str">
            <v>31/08/2013</v>
          </cell>
          <cell r="AD526" t="str">
            <v>Good</v>
          </cell>
          <cell r="AE526" t="str">
            <v>V1 - Existing / No Claim</v>
          </cell>
          <cell r="AF526">
            <v>42796</v>
          </cell>
          <cell r="AG526">
            <v>9.17</v>
          </cell>
          <cell r="AH526" t="str">
            <v>PPM</v>
          </cell>
          <cell r="AI526" t="str">
            <v>Strands</v>
          </cell>
          <cell r="AJ526" t="str">
            <v>Strands PW</v>
          </cell>
        </row>
        <row r="527">
          <cell r="A527" t="str">
            <v>IKN400045</v>
          </cell>
          <cell r="B527">
            <v>45</v>
          </cell>
          <cell r="C527" t="str">
            <v>Institut Kanser Negara</v>
          </cell>
          <cell r="D527" t="str">
            <v>KKM/IKN/H/13/1042</v>
          </cell>
          <cell r="E527" t="str">
            <v>12-647</v>
          </cell>
          <cell r="F527" t="str">
            <v>Physiologic Monitoring Systems, Acute Care</v>
          </cell>
          <cell r="G527" t="str">
            <v>IC</v>
          </cell>
          <cell r="H527" t="str">
            <v>INTENSIVE CARE UNIT</v>
          </cell>
          <cell r="I527" t="str">
            <v>05IC114</v>
          </cell>
          <cell r="J527" t="str">
            <v>ICU RM 3</v>
          </cell>
          <cell r="K527" t="str">
            <v>BMED</v>
          </cell>
          <cell r="L527" t="str">
            <v>Critical</v>
          </cell>
          <cell r="M527" t="str">
            <v>Finland</v>
          </cell>
          <cell r="N527" t="str">
            <v>Carespace</v>
          </cell>
          <cell r="O527" t="str">
            <v>Carespace B850</v>
          </cell>
          <cell r="P527" t="str">
            <v>SED12370780GA</v>
          </cell>
          <cell r="Q527" t="str">
            <v>Not Applicable</v>
          </cell>
          <cell r="R527" t="str">
            <v>GE Healthcare Systems</v>
          </cell>
          <cell r="S527" t="str">
            <v>GE Healthcare Technologies</v>
          </cell>
          <cell r="T527" t="str">
            <v>Functioning</v>
          </cell>
          <cell r="U527" t="str">
            <v>Asset</v>
          </cell>
          <cell r="V527">
            <v>119690</v>
          </cell>
          <cell r="W527" t="str">
            <v>KEW</v>
          </cell>
          <cell r="X527" t="str">
            <v>01/09/2010</v>
          </cell>
          <cell r="Y527" t="str">
            <v>KEW</v>
          </cell>
          <cell r="Z527" t="str">
            <v>16/08/2013</v>
          </cell>
          <cell r="AA527" t="str">
            <v>15/08/2015</v>
          </cell>
          <cell r="AB527" t="str">
            <v>No</v>
          </cell>
          <cell r="AC527" t="str">
            <v>31/08/2013</v>
          </cell>
          <cell r="AD527" t="str">
            <v>Good</v>
          </cell>
          <cell r="AE527" t="str">
            <v>V1 - Existing / No Claim</v>
          </cell>
          <cell r="AF527">
            <v>42797</v>
          </cell>
          <cell r="AG527">
            <v>9.17</v>
          </cell>
          <cell r="AH527" t="str">
            <v>PPM</v>
          </cell>
          <cell r="AI527" t="str">
            <v>Strands</v>
          </cell>
          <cell r="AJ527" t="str">
            <v>Strands PW</v>
          </cell>
        </row>
        <row r="528">
          <cell r="A528" t="str">
            <v>IKN400046</v>
          </cell>
          <cell r="B528">
            <v>46</v>
          </cell>
          <cell r="C528" t="str">
            <v>Institut Kanser Negara</v>
          </cell>
          <cell r="D528" t="str">
            <v>KKM/IKN/H/13/1043</v>
          </cell>
          <cell r="E528" t="str">
            <v>12-647</v>
          </cell>
          <cell r="F528" t="str">
            <v>Physiologic Monitoring Systems, Acute Care</v>
          </cell>
          <cell r="G528" t="str">
            <v>IC</v>
          </cell>
          <cell r="H528" t="str">
            <v>INTENSIVE CARE UNIT</v>
          </cell>
          <cell r="I528" t="str">
            <v>05IC115</v>
          </cell>
          <cell r="J528" t="str">
            <v>ICU RM 4</v>
          </cell>
          <cell r="K528" t="str">
            <v>BMED</v>
          </cell>
          <cell r="L528" t="str">
            <v>Normal</v>
          </cell>
          <cell r="M528" t="str">
            <v>Finland</v>
          </cell>
          <cell r="N528" t="str">
            <v>Carespace</v>
          </cell>
          <cell r="O528" t="str">
            <v>Carespace B850</v>
          </cell>
          <cell r="P528" t="str">
            <v>SED12370747GA</v>
          </cell>
          <cell r="Q528" t="str">
            <v>Not Applicable</v>
          </cell>
          <cell r="R528" t="str">
            <v>GE Healthcare Systems</v>
          </cell>
          <cell r="S528" t="str">
            <v>GE Healthcare Technologies</v>
          </cell>
          <cell r="T528" t="str">
            <v>Functioning</v>
          </cell>
          <cell r="U528" t="str">
            <v>Asset</v>
          </cell>
          <cell r="V528">
            <v>119690</v>
          </cell>
          <cell r="W528" t="str">
            <v>KEW</v>
          </cell>
          <cell r="X528" t="str">
            <v>01/09/2010</v>
          </cell>
          <cell r="Y528" t="str">
            <v>KEW</v>
          </cell>
          <cell r="Z528" t="str">
            <v>16/08/2013</v>
          </cell>
          <cell r="AA528" t="str">
            <v>15/08/2015</v>
          </cell>
          <cell r="AB528" t="str">
            <v>No</v>
          </cell>
          <cell r="AC528" t="str">
            <v>31/08/2013</v>
          </cell>
          <cell r="AD528" t="str">
            <v>Good</v>
          </cell>
          <cell r="AE528" t="str">
            <v>V1 - Existing / No Claim</v>
          </cell>
          <cell r="AF528">
            <v>42235</v>
          </cell>
          <cell r="AG528">
            <v>9.17</v>
          </cell>
          <cell r="AH528" t="str">
            <v>PPM</v>
          </cell>
          <cell r="AI528" t="str">
            <v>Strands</v>
          </cell>
          <cell r="AJ528" t="str">
            <v>Strands PW</v>
          </cell>
        </row>
        <row r="529">
          <cell r="A529" t="str">
            <v>IKN400047</v>
          </cell>
          <cell r="B529">
            <v>47</v>
          </cell>
          <cell r="C529" t="str">
            <v>Institut Kanser Negara</v>
          </cell>
          <cell r="D529" t="str">
            <v>KKM/IKN/H/13/1044</v>
          </cell>
          <cell r="E529" t="str">
            <v>12-647</v>
          </cell>
          <cell r="F529" t="str">
            <v>Physiologic Monitoring Systems, Acute Care</v>
          </cell>
          <cell r="G529" t="str">
            <v>IC</v>
          </cell>
          <cell r="H529" t="str">
            <v>INTENSIVE CARE UNIT</v>
          </cell>
          <cell r="I529" t="str">
            <v>05IC116</v>
          </cell>
          <cell r="J529" t="str">
            <v>ISOL 2 (+VE)</v>
          </cell>
          <cell r="K529" t="str">
            <v>BMED</v>
          </cell>
          <cell r="L529" t="str">
            <v>Critical</v>
          </cell>
          <cell r="M529" t="str">
            <v>Finland</v>
          </cell>
          <cell r="N529" t="str">
            <v>Carespace</v>
          </cell>
          <cell r="O529" t="str">
            <v>Carespace B850</v>
          </cell>
          <cell r="P529" t="str">
            <v>SED12370774GA</v>
          </cell>
          <cell r="Q529" t="str">
            <v>Not Applicable</v>
          </cell>
          <cell r="R529" t="str">
            <v>GE Healthcare Systems</v>
          </cell>
          <cell r="S529" t="str">
            <v>GE Healthcare Technologies</v>
          </cell>
          <cell r="T529" t="str">
            <v>Functioning</v>
          </cell>
          <cell r="U529" t="str">
            <v>Asset</v>
          </cell>
          <cell r="V529">
            <v>119690</v>
          </cell>
          <cell r="W529" t="str">
            <v>KEW</v>
          </cell>
          <cell r="X529" t="str">
            <v>01/09/2010</v>
          </cell>
          <cell r="Y529" t="str">
            <v>KEW</v>
          </cell>
          <cell r="Z529" t="str">
            <v>16/08/2013</v>
          </cell>
          <cell r="AA529" t="str">
            <v>15/08/2015</v>
          </cell>
          <cell r="AB529" t="str">
            <v>No</v>
          </cell>
          <cell r="AC529" t="str">
            <v>31/08/2013</v>
          </cell>
          <cell r="AD529" t="str">
            <v>Good</v>
          </cell>
          <cell r="AE529" t="str">
            <v>V1 - Existing / No Claim</v>
          </cell>
          <cell r="AF529">
            <v>42797</v>
          </cell>
          <cell r="AG529">
            <v>9.17</v>
          </cell>
          <cell r="AH529" t="str">
            <v>PPM</v>
          </cell>
          <cell r="AI529" t="str">
            <v>Strands</v>
          </cell>
          <cell r="AJ529" t="str">
            <v>Strands PW</v>
          </cell>
        </row>
        <row r="530">
          <cell r="A530" t="str">
            <v>IKN400048</v>
          </cell>
          <cell r="B530">
            <v>48</v>
          </cell>
          <cell r="C530" t="str">
            <v>Institut Kanser Negara</v>
          </cell>
          <cell r="D530" t="str">
            <v>KKM/IKN/H/13/1045</v>
          </cell>
          <cell r="E530" t="str">
            <v>12-647</v>
          </cell>
          <cell r="F530" t="str">
            <v>Physiologic Monitoring Systems, Acute Care</v>
          </cell>
          <cell r="G530" t="str">
            <v>IC</v>
          </cell>
          <cell r="H530" t="str">
            <v>INTENSIVE CARE UNIT</v>
          </cell>
          <cell r="I530" t="str">
            <v>05IC129</v>
          </cell>
          <cell r="J530" t="str">
            <v>ISOL 4 (+VE)</v>
          </cell>
          <cell r="K530" t="str">
            <v>BMED</v>
          </cell>
          <cell r="L530" t="str">
            <v>Critical</v>
          </cell>
          <cell r="M530" t="str">
            <v>Finland</v>
          </cell>
          <cell r="N530" t="str">
            <v>Carespace</v>
          </cell>
          <cell r="O530" t="str">
            <v>Carespace B850</v>
          </cell>
          <cell r="P530" t="str">
            <v>SED12370782GA</v>
          </cell>
          <cell r="Q530" t="str">
            <v>Not Applicable</v>
          </cell>
          <cell r="R530" t="str">
            <v>GE Healthcare Systems</v>
          </cell>
          <cell r="S530" t="str">
            <v>GE Healthcare Technologies</v>
          </cell>
          <cell r="T530" t="str">
            <v>Functioning</v>
          </cell>
          <cell r="U530" t="str">
            <v>Asset</v>
          </cell>
          <cell r="V530">
            <v>119690</v>
          </cell>
          <cell r="W530" t="str">
            <v>KEW</v>
          </cell>
          <cell r="X530" t="str">
            <v>01/09/2010</v>
          </cell>
          <cell r="Y530" t="str">
            <v>KEW</v>
          </cell>
          <cell r="Z530" t="str">
            <v>16/08/2013</v>
          </cell>
          <cell r="AA530" t="str">
            <v>15/08/2015</v>
          </cell>
          <cell r="AB530" t="str">
            <v>No</v>
          </cell>
          <cell r="AC530" t="str">
            <v>31/08/2013</v>
          </cell>
          <cell r="AD530" t="str">
            <v>Good</v>
          </cell>
          <cell r="AE530" t="str">
            <v>V1 - Existing / No Claim</v>
          </cell>
          <cell r="AF530">
            <v>42797</v>
          </cell>
          <cell r="AG530">
            <v>9.17</v>
          </cell>
          <cell r="AH530" t="str">
            <v>PPM</v>
          </cell>
          <cell r="AI530" t="str">
            <v>Strands</v>
          </cell>
          <cell r="AJ530" t="str">
            <v>Strands PW</v>
          </cell>
        </row>
        <row r="531">
          <cell r="A531" t="str">
            <v>IKN400049</v>
          </cell>
          <cell r="B531">
            <v>49</v>
          </cell>
          <cell r="C531" t="str">
            <v>Institut Kanser Negara</v>
          </cell>
          <cell r="D531" t="str">
            <v>KKM/IKN/H/13/1046</v>
          </cell>
          <cell r="E531" t="str">
            <v>12-647</v>
          </cell>
          <cell r="F531" t="str">
            <v>Physiologic Monitoring Systems, Acute Care</v>
          </cell>
          <cell r="G531" t="str">
            <v>IC</v>
          </cell>
          <cell r="H531" t="str">
            <v>INTENSIVE CARE UNIT</v>
          </cell>
          <cell r="I531" t="str">
            <v>05IC131</v>
          </cell>
          <cell r="J531" t="str">
            <v>ISOL 3 (+VE)</v>
          </cell>
          <cell r="K531" t="str">
            <v>BMED</v>
          </cell>
          <cell r="L531" t="str">
            <v>Critical</v>
          </cell>
          <cell r="M531" t="str">
            <v>Finland</v>
          </cell>
          <cell r="N531" t="str">
            <v>Carespace</v>
          </cell>
          <cell r="O531" t="str">
            <v>Carespace B850</v>
          </cell>
          <cell r="P531" t="str">
            <v>SED12370682GA</v>
          </cell>
          <cell r="Q531" t="str">
            <v>Not Applicable</v>
          </cell>
          <cell r="R531" t="str">
            <v>GE Healthcare Systems</v>
          </cell>
          <cell r="S531" t="str">
            <v>GE Healthcare Technologies</v>
          </cell>
          <cell r="T531" t="str">
            <v>Functioning</v>
          </cell>
          <cell r="U531" t="str">
            <v>Asset</v>
          </cell>
          <cell r="V531">
            <v>119690</v>
          </cell>
          <cell r="W531" t="str">
            <v>KEW</v>
          </cell>
          <cell r="X531" t="str">
            <v>01/09/2010</v>
          </cell>
          <cell r="Y531" t="str">
            <v>KEW</v>
          </cell>
          <cell r="Z531" t="str">
            <v>16/08/2013</v>
          </cell>
          <cell r="AA531" t="str">
            <v>15/08/2015</v>
          </cell>
          <cell r="AB531" t="str">
            <v>No</v>
          </cell>
          <cell r="AC531" t="str">
            <v>31/08/2013</v>
          </cell>
          <cell r="AD531" t="str">
            <v>Good</v>
          </cell>
          <cell r="AE531" t="str">
            <v>V1 - Existing / No Claim</v>
          </cell>
          <cell r="AF531">
            <v>42797</v>
          </cell>
          <cell r="AG531">
            <v>9.17</v>
          </cell>
          <cell r="AH531" t="str">
            <v>PPM</v>
          </cell>
          <cell r="AI531" t="str">
            <v>Strands</v>
          </cell>
          <cell r="AJ531" t="str">
            <v>Strands PW</v>
          </cell>
        </row>
        <row r="532">
          <cell r="A532" t="str">
            <v>IKN400050</v>
          </cell>
          <cell r="B532">
            <v>50</v>
          </cell>
          <cell r="C532" t="str">
            <v>Institut Kanser Negara</v>
          </cell>
          <cell r="D532" t="str">
            <v>KKM/IKN/H/13/1059</v>
          </cell>
          <cell r="E532" t="str">
            <v>12-647</v>
          </cell>
          <cell r="F532" t="str">
            <v>Physiologic Monitoring Systems, Acute Care</v>
          </cell>
          <cell r="G532" t="str">
            <v>IC</v>
          </cell>
          <cell r="H532" t="str">
            <v>INTENSIVE CARE UNIT</v>
          </cell>
          <cell r="I532" t="str">
            <v>05IC106</v>
          </cell>
          <cell r="J532" t="str">
            <v>EQ. ROOM</v>
          </cell>
          <cell r="K532" t="str">
            <v>BMED</v>
          </cell>
          <cell r="L532" t="str">
            <v>Critical</v>
          </cell>
          <cell r="M532" t="str">
            <v>USA</v>
          </cell>
          <cell r="N532" t="str">
            <v>Tram</v>
          </cell>
          <cell r="O532" t="str">
            <v>Transport Pro</v>
          </cell>
          <cell r="P532" t="str">
            <v>SCS12367507GA</v>
          </cell>
          <cell r="Q532" t="str">
            <v>Not Applicable</v>
          </cell>
          <cell r="R532" t="str">
            <v>GE Medical Systems</v>
          </cell>
          <cell r="S532" t="str">
            <v>GE Healthcare Technologies</v>
          </cell>
          <cell r="T532" t="str">
            <v>Functioning</v>
          </cell>
          <cell r="U532" t="str">
            <v>Asset</v>
          </cell>
          <cell r="V532">
            <v>54100</v>
          </cell>
          <cell r="W532" t="str">
            <v>KEW</v>
          </cell>
          <cell r="X532" t="str">
            <v>01/09/2010</v>
          </cell>
          <cell r="Y532" t="str">
            <v>KEW</v>
          </cell>
          <cell r="Z532" t="str">
            <v>16/08/2013</v>
          </cell>
          <cell r="AA532" t="str">
            <v>15/08/2015</v>
          </cell>
          <cell r="AB532" t="str">
            <v>No</v>
          </cell>
          <cell r="AC532" t="str">
            <v>31/08/2013</v>
          </cell>
          <cell r="AD532" t="str">
            <v>Good</v>
          </cell>
          <cell r="AE532" t="str">
            <v>V1 - Existing / No Claim</v>
          </cell>
          <cell r="AF532">
            <v>42796</v>
          </cell>
          <cell r="AG532">
            <v>9.17</v>
          </cell>
          <cell r="AH532" t="str">
            <v>PPM</v>
          </cell>
          <cell r="AI532" t="str">
            <v>Strands</v>
          </cell>
          <cell r="AJ532" t="str">
            <v>Strands PW</v>
          </cell>
        </row>
        <row r="533">
          <cell r="A533" t="str">
            <v>IKN400051</v>
          </cell>
          <cell r="B533">
            <v>51</v>
          </cell>
          <cell r="C533" t="str">
            <v>Institut Kanser Negara</v>
          </cell>
          <cell r="D533" t="str">
            <v>KKM/IKN/H/13/1058</v>
          </cell>
          <cell r="E533" t="str">
            <v>12-647</v>
          </cell>
          <cell r="F533" t="str">
            <v>Physiologic Monitoring Systems, Acute Care</v>
          </cell>
          <cell r="G533" t="str">
            <v>IC</v>
          </cell>
          <cell r="H533" t="str">
            <v>INTENSIVE CARE UNIT</v>
          </cell>
          <cell r="I533" t="str">
            <v>05IC106</v>
          </cell>
          <cell r="J533" t="str">
            <v>EQ. ROOM</v>
          </cell>
          <cell r="K533" t="str">
            <v>BMED</v>
          </cell>
          <cell r="L533" t="str">
            <v>Critical</v>
          </cell>
          <cell r="M533" t="str">
            <v>USA</v>
          </cell>
          <cell r="N533" t="str">
            <v>Tram</v>
          </cell>
          <cell r="O533" t="str">
            <v>Transport Pro</v>
          </cell>
          <cell r="P533" t="str">
            <v>SCS12367504GA</v>
          </cell>
          <cell r="Q533" t="str">
            <v>Not Applicable</v>
          </cell>
          <cell r="R533" t="str">
            <v>GE Medical Systems</v>
          </cell>
          <cell r="S533" t="str">
            <v>GE Healthcare Technologies</v>
          </cell>
          <cell r="T533" t="str">
            <v>Functioning</v>
          </cell>
          <cell r="U533" t="str">
            <v>Asset</v>
          </cell>
          <cell r="V533">
            <v>54100</v>
          </cell>
          <cell r="W533" t="str">
            <v>KEW</v>
          </cell>
          <cell r="X533" t="str">
            <v>01/09/2010</v>
          </cell>
          <cell r="Y533" t="str">
            <v>KEW</v>
          </cell>
          <cell r="Z533" t="str">
            <v>16/08/2013</v>
          </cell>
          <cell r="AA533" t="str">
            <v>15/08/2015</v>
          </cell>
          <cell r="AB533" t="str">
            <v>No</v>
          </cell>
          <cell r="AC533" t="str">
            <v>31/08/2013</v>
          </cell>
          <cell r="AD533" t="str">
            <v>Good</v>
          </cell>
          <cell r="AE533" t="str">
            <v>V1 - Existing / No Claim</v>
          </cell>
          <cell r="AF533">
            <v>42796</v>
          </cell>
          <cell r="AG533">
            <v>9.17</v>
          </cell>
          <cell r="AH533" t="str">
            <v>PPM</v>
          </cell>
          <cell r="AI533" t="str">
            <v>Strands</v>
          </cell>
          <cell r="AJ533" t="str">
            <v>Strands PW</v>
          </cell>
        </row>
        <row r="534">
          <cell r="A534" t="str">
            <v>IKN400052</v>
          </cell>
          <cell r="B534">
            <v>52</v>
          </cell>
          <cell r="C534" t="str">
            <v>Institut Kanser Negara</v>
          </cell>
          <cell r="D534" t="str">
            <v>KKM/IKN/H/13/937</v>
          </cell>
          <cell r="E534" t="str">
            <v>15-045</v>
          </cell>
          <cell r="F534" t="str">
            <v>Nebulizers, Nonheated</v>
          </cell>
          <cell r="G534" t="str">
            <v>IC</v>
          </cell>
          <cell r="H534" t="str">
            <v>INTENSIVE CARE UNIT</v>
          </cell>
          <cell r="I534" t="str">
            <v>05IC106</v>
          </cell>
          <cell r="J534" t="str">
            <v>EQ. ROOM</v>
          </cell>
          <cell r="K534" t="str">
            <v>BMED</v>
          </cell>
          <cell r="L534" t="str">
            <v>Normal</v>
          </cell>
          <cell r="M534" t="str">
            <v>Germany</v>
          </cell>
          <cell r="N534" t="str">
            <v>Pari Boy</v>
          </cell>
          <cell r="O534" t="str">
            <v>Pari Boy SX 085</v>
          </cell>
          <cell r="P534" t="str">
            <v>2W12J05922</v>
          </cell>
          <cell r="Q534" t="str">
            <v>Not Applicable</v>
          </cell>
          <cell r="R534" t="str">
            <v>Pari GmbH</v>
          </cell>
          <cell r="S534" t="str">
            <v>Welch Allyn Malaysia Sdn Bhd</v>
          </cell>
          <cell r="T534" t="str">
            <v>Functioning</v>
          </cell>
          <cell r="U534" t="str">
            <v>Asset</v>
          </cell>
          <cell r="V534">
            <v>1140</v>
          </cell>
          <cell r="W534" t="str">
            <v>KEW</v>
          </cell>
          <cell r="X534" t="str">
            <v>01/09/2010</v>
          </cell>
          <cell r="Y534" t="str">
            <v>KEW</v>
          </cell>
          <cell r="Z534" t="str">
            <v>16/08/2013</v>
          </cell>
          <cell r="AA534" t="str">
            <v>15/08/2015</v>
          </cell>
          <cell r="AB534" t="str">
            <v>No</v>
          </cell>
          <cell r="AC534" t="str">
            <v>31/08/2013</v>
          </cell>
          <cell r="AD534" t="str">
            <v>Good</v>
          </cell>
          <cell r="AE534" t="str">
            <v>V1 - Existing / No Claim</v>
          </cell>
          <cell r="AF534">
            <v>42235</v>
          </cell>
          <cell r="AG534">
            <v>9.17</v>
          </cell>
          <cell r="AH534" t="str">
            <v>PPM</v>
          </cell>
          <cell r="AI534" t="str">
            <v>Strands</v>
          </cell>
          <cell r="AJ534" t="str">
            <v>Strands PW</v>
          </cell>
        </row>
        <row r="535">
          <cell r="A535" t="str">
            <v>IKN400053</v>
          </cell>
          <cell r="B535">
            <v>53</v>
          </cell>
          <cell r="C535" t="str">
            <v>Institut Kanser Negara</v>
          </cell>
          <cell r="D535" t="str">
            <v>KKM/IKN/H/13/938</v>
          </cell>
          <cell r="E535" t="str">
            <v>15-045</v>
          </cell>
          <cell r="F535" t="str">
            <v>Nebulizers, Nonheated</v>
          </cell>
          <cell r="G535" t="str">
            <v>IC</v>
          </cell>
          <cell r="H535" t="str">
            <v>INTENSIVE CARE UNIT</v>
          </cell>
          <cell r="I535" t="str">
            <v>05IC106</v>
          </cell>
          <cell r="J535" t="str">
            <v>EQ. ROOM</v>
          </cell>
          <cell r="K535" t="str">
            <v>BMED</v>
          </cell>
          <cell r="L535" t="str">
            <v>Normal</v>
          </cell>
          <cell r="M535" t="str">
            <v>Germany</v>
          </cell>
          <cell r="N535" t="str">
            <v>Pari Boy</v>
          </cell>
          <cell r="O535" t="str">
            <v>Pari Boy SX 085</v>
          </cell>
          <cell r="P535" t="str">
            <v>2W12F13733</v>
          </cell>
          <cell r="Q535" t="str">
            <v>Not Applicable</v>
          </cell>
          <cell r="R535" t="str">
            <v>Pari GmbH</v>
          </cell>
          <cell r="S535" t="str">
            <v>Welch Allyn Malaysia Sdn Bhd</v>
          </cell>
          <cell r="T535" t="str">
            <v>Functioning</v>
          </cell>
          <cell r="U535" t="str">
            <v>Asset</v>
          </cell>
          <cell r="V535">
            <v>1140</v>
          </cell>
          <cell r="W535" t="str">
            <v>KEW</v>
          </cell>
          <cell r="X535" t="str">
            <v>01/09/2010</v>
          </cell>
          <cell r="Y535" t="str">
            <v>KEW</v>
          </cell>
          <cell r="Z535" t="str">
            <v>16/08/2013</v>
          </cell>
          <cell r="AA535" t="str">
            <v>15/08/2015</v>
          </cell>
          <cell r="AB535" t="str">
            <v>No</v>
          </cell>
          <cell r="AC535" t="str">
            <v>31/08/2013</v>
          </cell>
          <cell r="AD535" t="str">
            <v>Good</v>
          </cell>
          <cell r="AE535" t="str">
            <v>V1 - Existing / No Claim</v>
          </cell>
          <cell r="AF535">
            <v>42235</v>
          </cell>
          <cell r="AG535">
            <v>9.17</v>
          </cell>
          <cell r="AH535" t="str">
            <v>PPM</v>
          </cell>
          <cell r="AI535" t="str">
            <v>Strands</v>
          </cell>
          <cell r="AJ535" t="str">
            <v>Strands PW</v>
          </cell>
        </row>
        <row r="536">
          <cell r="A536" t="str">
            <v>IKN400054</v>
          </cell>
          <cell r="B536">
            <v>54</v>
          </cell>
          <cell r="C536" t="str">
            <v>Institut Kanser Negara</v>
          </cell>
          <cell r="D536" t="str">
            <v>KKM/IKN/H/13/939</v>
          </cell>
          <cell r="E536" t="str">
            <v>16-924</v>
          </cell>
          <cell r="F536" t="str">
            <v>Infusion Pumps, Patient-Controlled Analgesic</v>
          </cell>
          <cell r="G536" t="str">
            <v>IC</v>
          </cell>
          <cell r="H536" t="str">
            <v>INTENSIVE CARE UNIT</v>
          </cell>
          <cell r="I536" t="str">
            <v>05IC108</v>
          </cell>
          <cell r="J536" t="str">
            <v>PCA</v>
          </cell>
          <cell r="K536" t="str">
            <v>BMED</v>
          </cell>
          <cell r="L536" t="str">
            <v>Normal</v>
          </cell>
          <cell r="M536" t="str">
            <v>Germany</v>
          </cell>
          <cell r="N536" t="str">
            <v>Perfusor</v>
          </cell>
          <cell r="O536" t="str">
            <v>Perfusor Space PCA</v>
          </cell>
          <cell r="P536" t="str">
            <v>186598</v>
          </cell>
          <cell r="Q536" t="str">
            <v>Not Applicable</v>
          </cell>
          <cell r="R536" t="str">
            <v>B Braun Melsungen AG</v>
          </cell>
          <cell r="S536" t="str">
            <v>B Braun Medical Supplies Sdn. Bhd.</v>
          </cell>
          <cell r="T536" t="str">
            <v>Functioning</v>
          </cell>
          <cell r="U536" t="str">
            <v>Asset</v>
          </cell>
          <cell r="V536">
            <v>16840</v>
          </cell>
          <cell r="W536" t="str">
            <v>KEW</v>
          </cell>
          <cell r="X536" t="str">
            <v>01/09/2010</v>
          </cell>
          <cell r="Y536" t="str">
            <v>KEW</v>
          </cell>
          <cell r="Z536" t="str">
            <v>16/08/2013</v>
          </cell>
          <cell r="AA536" t="str">
            <v>15/08/2015</v>
          </cell>
          <cell r="AB536" t="str">
            <v>No</v>
          </cell>
          <cell r="AC536" t="str">
            <v>31/08/2013</v>
          </cell>
          <cell r="AD536" t="str">
            <v>Good</v>
          </cell>
          <cell r="AE536" t="str">
            <v>V1 - Existing / No Claim</v>
          </cell>
          <cell r="AF536">
            <v>42235</v>
          </cell>
          <cell r="AG536">
            <v>9.17</v>
          </cell>
          <cell r="AH536" t="str">
            <v>PPM</v>
          </cell>
          <cell r="AI536" t="str">
            <v>Strands</v>
          </cell>
          <cell r="AJ536" t="str">
            <v>Strands PW</v>
          </cell>
        </row>
        <row r="537">
          <cell r="A537" t="str">
            <v>IKN400055</v>
          </cell>
          <cell r="B537">
            <v>55</v>
          </cell>
          <cell r="C537" t="str">
            <v>Institut Kanser Negara</v>
          </cell>
          <cell r="D537" t="str">
            <v>KKM/IKN/H/13/953</v>
          </cell>
          <cell r="E537" t="str">
            <v>16-924</v>
          </cell>
          <cell r="F537" t="str">
            <v>Infusion Pumps, Patient-Controlled Analgesic</v>
          </cell>
          <cell r="G537" t="str">
            <v>IC</v>
          </cell>
          <cell r="H537" t="str">
            <v>INTENSIVE CARE UNIT</v>
          </cell>
          <cell r="I537" t="str">
            <v>05IC108</v>
          </cell>
          <cell r="J537" t="str">
            <v>PCA</v>
          </cell>
          <cell r="K537" t="str">
            <v>BMED</v>
          </cell>
          <cell r="L537" t="str">
            <v>Normal</v>
          </cell>
          <cell r="M537" t="str">
            <v>Germany</v>
          </cell>
          <cell r="N537" t="str">
            <v>Perfusor</v>
          </cell>
          <cell r="O537" t="str">
            <v>Perfusor Space PCA</v>
          </cell>
          <cell r="P537" t="str">
            <v>186576</v>
          </cell>
          <cell r="Q537" t="str">
            <v>Not Applicable</v>
          </cell>
          <cell r="R537" t="str">
            <v>B Braun Melsungen AG</v>
          </cell>
          <cell r="S537" t="str">
            <v>B Braun Medical Supplies Sdn. Bhd.</v>
          </cell>
          <cell r="T537" t="str">
            <v>Functioning</v>
          </cell>
          <cell r="U537" t="str">
            <v>Asset</v>
          </cell>
          <cell r="V537">
            <v>16840</v>
          </cell>
          <cell r="W537" t="str">
            <v>KEW</v>
          </cell>
          <cell r="X537" t="str">
            <v>01/09/2010</v>
          </cell>
          <cell r="Y537" t="str">
            <v>KEW</v>
          </cell>
          <cell r="Z537" t="str">
            <v>16/08/2013</v>
          </cell>
          <cell r="AA537" t="str">
            <v>15/08/2015</v>
          </cell>
          <cell r="AB537" t="str">
            <v>No</v>
          </cell>
          <cell r="AC537" t="str">
            <v>31/08/2013</v>
          </cell>
          <cell r="AD537" t="str">
            <v>Good</v>
          </cell>
          <cell r="AE537" t="str">
            <v>V1 - Existing / No Claim</v>
          </cell>
          <cell r="AF537">
            <v>42235</v>
          </cell>
          <cell r="AG537">
            <v>9.17</v>
          </cell>
          <cell r="AH537" t="str">
            <v>PPM</v>
          </cell>
          <cell r="AI537" t="str">
            <v>Strands</v>
          </cell>
          <cell r="AJ537" t="str">
            <v>Strands PW</v>
          </cell>
        </row>
        <row r="538">
          <cell r="A538" t="str">
            <v>IKN400056</v>
          </cell>
          <cell r="B538">
            <v>56</v>
          </cell>
          <cell r="C538" t="str">
            <v>Institut Kanser Negara</v>
          </cell>
          <cell r="D538" t="str">
            <v>KKM/IKN/H/13/940</v>
          </cell>
          <cell r="E538" t="str">
            <v>16-924</v>
          </cell>
          <cell r="F538" t="str">
            <v>Infusion Pumps, Patient-Controlled Analgesic</v>
          </cell>
          <cell r="G538" t="str">
            <v>IC</v>
          </cell>
          <cell r="H538" t="str">
            <v>INTENSIVE CARE UNIT</v>
          </cell>
          <cell r="I538" t="str">
            <v>05IC108</v>
          </cell>
          <cell r="J538" t="str">
            <v>PCA</v>
          </cell>
          <cell r="K538" t="str">
            <v>BMED</v>
          </cell>
          <cell r="L538" t="str">
            <v>Critical</v>
          </cell>
          <cell r="M538" t="str">
            <v>Germany</v>
          </cell>
          <cell r="N538" t="str">
            <v>Perfusor</v>
          </cell>
          <cell r="O538" t="str">
            <v>Perfusor Space PCA</v>
          </cell>
          <cell r="P538" t="str">
            <v>187067</v>
          </cell>
          <cell r="Q538" t="str">
            <v>Not Applicable</v>
          </cell>
          <cell r="R538" t="str">
            <v>B Braun Melsungen AG</v>
          </cell>
          <cell r="S538" t="str">
            <v>B Braun Medical Supplies Sdn. Bhd.</v>
          </cell>
          <cell r="T538" t="str">
            <v>Functioning</v>
          </cell>
          <cell r="U538" t="str">
            <v>Asset</v>
          </cell>
          <cell r="V538">
            <v>16840</v>
          </cell>
          <cell r="W538" t="str">
            <v>KEW</v>
          </cell>
          <cell r="X538" t="str">
            <v>01/09/2010</v>
          </cell>
          <cell r="Y538" t="str">
            <v>KEW</v>
          </cell>
          <cell r="Z538" t="str">
            <v>16/08/2013</v>
          </cell>
          <cell r="AA538" t="str">
            <v>15/08/2015</v>
          </cell>
          <cell r="AB538" t="str">
            <v>No</v>
          </cell>
          <cell r="AC538" t="str">
            <v>31/08/2013</v>
          </cell>
          <cell r="AD538" t="str">
            <v>Good</v>
          </cell>
          <cell r="AE538" t="str">
            <v>V1 - Existing / No Claim</v>
          </cell>
          <cell r="AF538">
            <v>42796</v>
          </cell>
          <cell r="AG538">
            <v>9.17</v>
          </cell>
          <cell r="AH538" t="str">
            <v>PPM</v>
          </cell>
          <cell r="AI538" t="str">
            <v>Strands</v>
          </cell>
          <cell r="AJ538" t="str">
            <v>Strands PW</v>
          </cell>
        </row>
        <row r="539">
          <cell r="A539" t="str">
            <v>IKN400057</v>
          </cell>
          <cell r="B539">
            <v>57</v>
          </cell>
          <cell r="C539" t="str">
            <v>Institut Kanser Negara</v>
          </cell>
          <cell r="D539" t="str">
            <v>KKM/IKN/H/13/941</v>
          </cell>
          <cell r="E539" t="str">
            <v>16-924</v>
          </cell>
          <cell r="F539" t="str">
            <v>Infusion Pumps, Patient-Controlled Analgesic</v>
          </cell>
          <cell r="G539" t="str">
            <v>IC</v>
          </cell>
          <cell r="H539" t="str">
            <v>INTENSIVE CARE UNIT</v>
          </cell>
          <cell r="I539" t="str">
            <v>05IC108</v>
          </cell>
          <cell r="J539" t="str">
            <v>PCA</v>
          </cell>
          <cell r="K539" t="str">
            <v>BMED</v>
          </cell>
          <cell r="L539" t="str">
            <v>Critical</v>
          </cell>
          <cell r="M539" t="str">
            <v>Germany</v>
          </cell>
          <cell r="N539" t="str">
            <v>Perfusor</v>
          </cell>
          <cell r="O539" t="str">
            <v>Perfusor Space PCA</v>
          </cell>
          <cell r="P539" t="str">
            <v>187819</v>
          </cell>
          <cell r="Q539" t="str">
            <v>Not Applicable</v>
          </cell>
          <cell r="R539" t="str">
            <v>B Braun Melsungen AG</v>
          </cell>
          <cell r="S539" t="str">
            <v>B Braun Medical Supplies Sdn. Bhd.</v>
          </cell>
          <cell r="T539" t="str">
            <v>Functioning</v>
          </cell>
          <cell r="U539" t="str">
            <v>Asset</v>
          </cell>
          <cell r="V539">
            <v>16840</v>
          </cell>
          <cell r="W539" t="str">
            <v>KEW</v>
          </cell>
          <cell r="X539" t="str">
            <v>01/09/2010</v>
          </cell>
          <cell r="Y539" t="str">
            <v>KEW</v>
          </cell>
          <cell r="Z539" t="str">
            <v>16/08/2013</v>
          </cell>
          <cell r="AA539" t="str">
            <v>15/08/2015</v>
          </cell>
          <cell r="AB539" t="str">
            <v>No</v>
          </cell>
          <cell r="AC539" t="str">
            <v>31/08/2013</v>
          </cell>
          <cell r="AD539" t="str">
            <v>Good</v>
          </cell>
          <cell r="AE539" t="str">
            <v>V1 - Existing / No Claim</v>
          </cell>
          <cell r="AF539">
            <v>42796</v>
          </cell>
          <cell r="AG539">
            <v>9.17</v>
          </cell>
          <cell r="AH539" t="str">
            <v>PPM</v>
          </cell>
          <cell r="AI539" t="str">
            <v>Strands</v>
          </cell>
          <cell r="AJ539" t="str">
            <v>Strands PW</v>
          </cell>
        </row>
        <row r="540">
          <cell r="A540" t="str">
            <v>IKN400058</v>
          </cell>
          <cell r="B540">
            <v>58</v>
          </cell>
          <cell r="C540" t="str">
            <v>Institut Kanser Negara</v>
          </cell>
          <cell r="D540" t="str">
            <v>KKM/IKN/H/13/942</v>
          </cell>
          <cell r="E540" t="str">
            <v>16-924</v>
          </cell>
          <cell r="F540" t="str">
            <v>Infusion Pumps, Patient-Controlled Analgesic</v>
          </cell>
          <cell r="G540" t="str">
            <v>IC</v>
          </cell>
          <cell r="H540" t="str">
            <v>INTENSIVE CARE UNIT</v>
          </cell>
          <cell r="I540" t="str">
            <v>05IC108</v>
          </cell>
          <cell r="J540" t="str">
            <v>PCA</v>
          </cell>
          <cell r="K540" t="str">
            <v>BMED</v>
          </cell>
          <cell r="L540" t="str">
            <v>Critical</v>
          </cell>
          <cell r="M540" t="str">
            <v>Germany</v>
          </cell>
          <cell r="N540" t="str">
            <v>Perfusor</v>
          </cell>
          <cell r="O540" t="str">
            <v>Perfusor Space PCA</v>
          </cell>
          <cell r="P540" t="str">
            <v>187833</v>
          </cell>
          <cell r="Q540" t="str">
            <v>Not Applicable</v>
          </cell>
          <cell r="R540" t="str">
            <v>B Braun Melsungen AG</v>
          </cell>
          <cell r="S540" t="str">
            <v>B Braun Medical Supplies Sdn. Bhd.</v>
          </cell>
          <cell r="T540" t="str">
            <v>Functioning</v>
          </cell>
          <cell r="U540" t="str">
            <v>Asset</v>
          </cell>
          <cell r="V540">
            <v>16840</v>
          </cell>
          <cell r="W540" t="str">
            <v>KEW</v>
          </cell>
          <cell r="X540" t="str">
            <v>01/09/2010</v>
          </cell>
          <cell r="Y540" t="str">
            <v>KEW</v>
          </cell>
          <cell r="Z540" t="str">
            <v>16/08/2013</v>
          </cell>
          <cell r="AA540" t="str">
            <v>15/08/2015</v>
          </cell>
          <cell r="AB540" t="str">
            <v>No</v>
          </cell>
          <cell r="AC540" t="str">
            <v>31/08/2013</v>
          </cell>
          <cell r="AD540" t="str">
            <v>Good</v>
          </cell>
          <cell r="AE540" t="str">
            <v>V1 - Existing / No Claim</v>
          </cell>
          <cell r="AF540">
            <v>42796</v>
          </cell>
          <cell r="AG540">
            <v>9.17</v>
          </cell>
          <cell r="AH540" t="str">
            <v>PPM</v>
          </cell>
          <cell r="AI540" t="str">
            <v>Strands</v>
          </cell>
          <cell r="AJ540" t="str">
            <v>Strands PW</v>
          </cell>
        </row>
        <row r="541">
          <cell r="A541" t="str">
            <v>IKN400059</v>
          </cell>
          <cell r="B541">
            <v>59</v>
          </cell>
          <cell r="C541" t="str">
            <v>Institut Kanser Negara</v>
          </cell>
          <cell r="D541" t="str">
            <v>KKM/IKN/H/13/943</v>
          </cell>
          <cell r="E541" t="str">
            <v>16-924</v>
          </cell>
          <cell r="F541" t="str">
            <v>Infusion Pumps, Patient-Controlled Analgesic</v>
          </cell>
          <cell r="G541" t="str">
            <v>IC</v>
          </cell>
          <cell r="H541" t="str">
            <v>INTENSIVE CARE UNIT</v>
          </cell>
          <cell r="I541" t="str">
            <v>05IC108</v>
          </cell>
          <cell r="J541" t="str">
            <v>PCA</v>
          </cell>
          <cell r="K541" t="str">
            <v>BMED</v>
          </cell>
          <cell r="L541" t="str">
            <v>Critical</v>
          </cell>
          <cell r="M541" t="str">
            <v>Germany</v>
          </cell>
          <cell r="N541" t="str">
            <v>Perfusor</v>
          </cell>
          <cell r="O541" t="str">
            <v>Perfusor Space PCA</v>
          </cell>
          <cell r="P541" t="str">
            <v>187810</v>
          </cell>
          <cell r="Q541" t="str">
            <v>Not Applicable</v>
          </cell>
          <cell r="R541" t="str">
            <v>B Braun Melsungen AG</v>
          </cell>
          <cell r="S541" t="str">
            <v>B Braun Medical Supplies Sdn. Bhd.</v>
          </cell>
          <cell r="T541" t="str">
            <v>Functioning</v>
          </cell>
          <cell r="U541" t="str">
            <v>Asset</v>
          </cell>
          <cell r="V541">
            <v>16840</v>
          </cell>
          <cell r="W541" t="str">
            <v>KEW</v>
          </cell>
          <cell r="X541" t="str">
            <v>01/09/2010</v>
          </cell>
          <cell r="Y541" t="str">
            <v>KEW</v>
          </cell>
          <cell r="Z541" t="str">
            <v>16/08/2013</v>
          </cell>
          <cell r="AA541" t="str">
            <v>15/08/2015</v>
          </cell>
          <cell r="AB541" t="str">
            <v>No</v>
          </cell>
          <cell r="AC541" t="str">
            <v>31/08/2013</v>
          </cell>
          <cell r="AD541" t="str">
            <v>Good</v>
          </cell>
          <cell r="AE541" t="str">
            <v>V1 - Existing / No Claim</v>
          </cell>
          <cell r="AF541">
            <v>42796</v>
          </cell>
          <cell r="AG541">
            <v>9.17</v>
          </cell>
          <cell r="AH541" t="str">
            <v>PPM</v>
          </cell>
          <cell r="AI541" t="str">
            <v>Strands</v>
          </cell>
          <cell r="AJ541" t="str">
            <v>Strands PW</v>
          </cell>
        </row>
        <row r="542">
          <cell r="A542" t="str">
            <v>IKN400060</v>
          </cell>
          <cell r="B542">
            <v>60</v>
          </cell>
          <cell r="C542" t="str">
            <v>Institut Kanser Negara</v>
          </cell>
          <cell r="D542" t="str">
            <v>KKM/IKN/H/13/944</v>
          </cell>
          <cell r="E542" t="str">
            <v>16-924</v>
          </cell>
          <cell r="F542" t="str">
            <v>Infusion Pumps, Patient-Controlled Analgesic</v>
          </cell>
          <cell r="G542" t="str">
            <v>IC</v>
          </cell>
          <cell r="H542" t="str">
            <v>INTENSIVE CARE UNIT</v>
          </cell>
          <cell r="I542" t="str">
            <v>05IC108</v>
          </cell>
          <cell r="J542" t="str">
            <v>PCA</v>
          </cell>
          <cell r="K542" t="str">
            <v>BMED</v>
          </cell>
          <cell r="L542" t="str">
            <v>Critical</v>
          </cell>
          <cell r="M542" t="str">
            <v>Germany</v>
          </cell>
          <cell r="N542" t="str">
            <v>Perfusor</v>
          </cell>
          <cell r="O542" t="str">
            <v>Perfusor Space PCA</v>
          </cell>
          <cell r="P542" t="str">
            <v>187805</v>
          </cell>
          <cell r="Q542" t="str">
            <v>Not Applicable</v>
          </cell>
          <cell r="R542" t="str">
            <v>B Braun Melsungen AG</v>
          </cell>
          <cell r="S542" t="str">
            <v>B Braun Medical Supplies Sdn. Bhd.</v>
          </cell>
          <cell r="T542" t="str">
            <v>Functioning</v>
          </cell>
          <cell r="U542" t="str">
            <v>Asset</v>
          </cell>
          <cell r="V542">
            <v>16840</v>
          </cell>
          <cell r="W542" t="str">
            <v>KEW</v>
          </cell>
          <cell r="X542" t="str">
            <v>01/09/2010</v>
          </cell>
          <cell r="Y542" t="str">
            <v>KEW</v>
          </cell>
          <cell r="Z542" t="str">
            <v>16/08/2013</v>
          </cell>
          <cell r="AA542" t="str">
            <v>15/08/2015</v>
          </cell>
          <cell r="AB542" t="str">
            <v>No</v>
          </cell>
          <cell r="AC542" t="str">
            <v>31/08/2013</v>
          </cell>
          <cell r="AD542" t="str">
            <v>Good</v>
          </cell>
          <cell r="AE542" t="str">
            <v>V1 - Existing / No Claim</v>
          </cell>
          <cell r="AF542">
            <v>42796</v>
          </cell>
          <cell r="AG542">
            <v>9.17</v>
          </cell>
          <cell r="AH542" t="str">
            <v>PPM</v>
          </cell>
          <cell r="AI542" t="str">
            <v>Strands</v>
          </cell>
          <cell r="AJ542" t="str">
            <v>Strands PW</v>
          </cell>
        </row>
        <row r="543">
          <cell r="A543" t="str">
            <v>IKN400061</v>
          </cell>
          <cell r="B543">
            <v>61</v>
          </cell>
          <cell r="C543" t="str">
            <v>Institut Kanser Negara</v>
          </cell>
          <cell r="D543" t="str">
            <v>KKM/IKN/H/13/946</v>
          </cell>
          <cell r="E543" t="str">
            <v>16-924</v>
          </cell>
          <cell r="F543" t="str">
            <v>Infusion Pumps, Patient-Controlled Analgesic</v>
          </cell>
          <cell r="G543" t="str">
            <v>IC</v>
          </cell>
          <cell r="H543" t="str">
            <v>INTENSIVE CARE UNIT</v>
          </cell>
          <cell r="I543" t="str">
            <v>05IC108</v>
          </cell>
          <cell r="J543" t="str">
            <v>PCA</v>
          </cell>
          <cell r="K543" t="str">
            <v>BMED</v>
          </cell>
          <cell r="L543" t="str">
            <v>Normal</v>
          </cell>
          <cell r="M543" t="str">
            <v>Germany</v>
          </cell>
          <cell r="N543" t="str">
            <v>Perfusor</v>
          </cell>
          <cell r="O543" t="str">
            <v>Perfusor Space PCA</v>
          </cell>
          <cell r="P543" t="str">
            <v>185353</v>
          </cell>
          <cell r="Q543" t="str">
            <v>Not Applicable</v>
          </cell>
          <cell r="R543" t="str">
            <v>B Braun Melsungen AG</v>
          </cell>
          <cell r="S543" t="str">
            <v>B Braun Medical Supplies Sdn. Bhd.</v>
          </cell>
          <cell r="T543" t="str">
            <v>Functioning</v>
          </cell>
          <cell r="U543" t="str">
            <v>Asset</v>
          </cell>
          <cell r="V543">
            <v>16840</v>
          </cell>
          <cell r="W543" t="str">
            <v>KEW</v>
          </cell>
          <cell r="X543" t="str">
            <v>01/09/2010</v>
          </cell>
          <cell r="Y543" t="str">
            <v>KEW</v>
          </cell>
          <cell r="Z543" t="str">
            <v>16/08/2013</v>
          </cell>
          <cell r="AA543" t="str">
            <v>15/08/2015</v>
          </cell>
          <cell r="AB543" t="str">
            <v>No</v>
          </cell>
          <cell r="AC543" t="str">
            <v>31/08/2013</v>
          </cell>
          <cell r="AD543" t="str">
            <v>Good</v>
          </cell>
          <cell r="AE543" t="str">
            <v>V1 - Existing / No Claim</v>
          </cell>
          <cell r="AF543">
            <v>42235</v>
          </cell>
          <cell r="AG543">
            <v>9.17</v>
          </cell>
          <cell r="AH543" t="str">
            <v>PPM</v>
          </cell>
          <cell r="AI543" t="str">
            <v>Strands</v>
          </cell>
          <cell r="AJ543" t="str">
            <v>Strands PW</v>
          </cell>
        </row>
        <row r="544">
          <cell r="A544" t="str">
            <v>IKN400062</v>
          </cell>
          <cell r="B544">
            <v>62</v>
          </cell>
          <cell r="C544" t="str">
            <v>Institut Kanser Negara</v>
          </cell>
          <cell r="D544" t="str">
            <v>KKM/IKN/H/13/945</v>
          </cell>
          <cell r="E544" t="str">
            <v>16-924</v>
          </cell>
          <cell r="F544" t="str">
            <v>Infusion Pumps, Patient-Controlled Analgesic</v>
          </cell>
          <cell r="G544" t="str">
            <v>IC</v>
          </cell>
          <cell r="H544" t="str">
            <v>INTENSIVE CARE UNIT</v>
          </cell>
          <cell r="I544" t="str">
            <v>05IC108</v>
          </cell>
          <cell r="J544" t="str">
            <v>PCA</v>
          </cell>
          <cell r="K544" t="str">
            <v>BMED</v>
          </cell>
          <cell r="L544" t="str">
            <v>Normal</v>
          </cell>
          <cell r="M544" t="str">
            <v>Germany</v>
          </cell>
          <cell r="N544" t="str">
            <v>Perfusor</v>
          </cell>
          <cell r="O544" t="str">
            <v>Perfusor Space PCA</v>
          </cell>
          <cell r="P544" t="str">
            <v>187893</v>
          </cell>
          <cell r="Q544" t="str">
            <v>Not Applicable</v>
          </cell>
          <cell r="R544" t="str">
            <v>B Braun Melsungen AG</v>
          </cell>
          <cell r="S544" t="str">
            <v>B Braun Medical Supplies Sdn. Bhd.</v>
          </cell>
          <cell r="T544" t="str">
            <v>Functioning</v>
          </cell>
          <cell r="U544" t="str">
            <v>Asset</v>
          </cell>
          <cell r="V544">
            <v>16840</v>
          </cell>
          <cell r="W544" t="str">
            <v>KEW</v>
          </cell>
          <cell r="X544" t="str">
            <v>01/09/2010</v>
          </cell>
          <cell r="Y544" t="str">
            <v>KEW</v>
          </cell>
          <cell r="Z544" t="str">
            <v>16/08/2013</v>
          </cell>
          <cell r="AA544" t="str">
            <v>15/08/2015</v>
          </cell>
          <cell r="AB544" t="str">
            <v>No</v>
          </cell>
          <cell r="AC544" t="str">
            <v>31/08/2013</v>
          </cell>
          <cell r="AD544" t="str">
            <v>Good</v>
          </cell>
          <cell r="AE544" t="str">
            <v>V1 - Existing / No Claim</v>
          </cell>
          <cell r="AF544">
            <v>42235</v>
          </cell>
          <cell r="AG544">
            <v>9.17</v>
          </cell>
          <cell r="AH544" t="str">
            <v>PPM</v>
          </cell>
          <cell r="AI544" t="str">
            <v>Strands</v>
          </cell>
          <cell r="AJ544" t="str">
            <v>Strands PW</v>
          </cell>
        </row>
        <row r="545">
          <cell r="A545" t="str">
            <v>IKN400063</v>
          </cell>
          <cell r="B545">
            <v>63</v>
          </cell>
          <cell r="C545" t="str">
            <v>Institut Kanser Negara</v>
          </cell>
          <cell r="D545" t="str">
            <v>KKM/IKN/H/13/947</v>
          </cell>
          <cell r="E545" t="str">
            <v>16-924</v>
          </cell>
          <cell r="F545" t="str">
            <v>Infusion Pumps, Patient-Controlled Analgesic</v>
          </cell>
          <cell r="G545" t="str">
            <v>IC</v>
          </cell>
          <cell r="H545" t="str">
            <v>INTENSIVE CARE UNIT</v>
          </cell>
          <cell r="I545" t="str">
            <v>05IC108</v>
          </cell>
          <cell r="J545" t="str">
            <v>PCA</v>
          </cell>
          <cell r="K545" t="str">
            <v>BMED</v>
          </cell>
          <cell r="L545" t="str">
            <v>Normal</v>
          </cell>
          <cell r="M545" t="str">
            <v>Germany</v>
          </cell>
          <cell r="N545" t="str">
            <v>Perfusor</v>
          </cell>
          <cell r="O545" t="str">
            <v>Perfusor Space PCA</v>
          </cell>
          <cell r="P545" t="str">
            <v>187849</v>
          </cell>
          <cell r="Q545" t="str">
            <v>Not Applicable</v>
          </cell>
          <cell r="R545" t="str">
            <v>B Braun Melsungen AG</v>
          </cell>
          <cell r="S545" t="str">
            <v>B Braun Medical Supplies Sdn. Bhd.</v>
          </cell>
          <cell r="T545" t="str">
            <v>Functioning</v>
          </cell>
          <cell r="U545" t="str">
            <v>Asset</v>
          </cell>
          <cell r="V545">
            <v>16840</v>
          </cell>
          <cell r="W545" t="str">
            <v>KEW</v>
          </cell>
          <cell r="X545" t="str">
            <v>01/09/2010</v>
          </cell>
          <cell r="Y545" t="str">
            <v>KEW</v>
          </cell>
          <cell r="Z545" t="str">
            <v>16/08/2013</v>
          </cell>
          <cell r="AA545" t="str">
            <v>15/08/2015</v>
          </cell>
          <cell r="AB545" t="str">
            <v>No</v>
          </cell>
          <cell r="AC545" t="str">
            <v>31/08/2013</v>
          </cell>
          <cell r="AD545" t="str">
            <v>Good</v>
          </cell>
          <cell r="AE545" t="str">
            <v>V1 - Existing / No Claim</v>
          </cell>
          <cell r="AF545">
            <v>42235</v>
          </cell>
          <cell r="AG545">
            <v>9.17</v>
          </cell>
          <cell r="AH545" t="str">
            <v>PPM</v>
          </cell>
          <cell r="AI545" t="str">
            <v>Strands</v>
          </cell>
          <cell r="AJ545" t="str">
            <v>Strands PW</v>
          </cell>
        </row>
        <row r="546">
          <cell r="A546" t="str">
            <v>IKN400064</v>
          </cell>
          <cell r="B546">
            <v>64</v>
          </cell>
          <cell r="C546" t="str">
            <v>Institut Kanser Negara</v>
          </cell>
          <cell r="D546" t="str">
            <v>KKM/IKN/H/13/948</v>
          </cell>
          <cell r="E546" t="str">
            <v>16-924</v>
          </cell>
          <cell r="F546" t="str">
            <v>Infusion Pumps, Patient-Controlled Analgesic</v>
          </cell>
          <cell r="G546" t="str">
            <v>IC</v>
          </cell>
          <cell r="H546" t="str">
            <v>INTENSIVE CARE UNIT</v>
          </cell>
          <cell r="I546" t="str">
            <v>05IC108</v>
          </cell>
          <cell r="J546" t="str">
            <v>PCA</v>
          </cell>
          <cell r="K546" t="str">
            <v>BMED</v>
          </cell>
          <cell r="L546" t="str">
            <v>Normal</v>
          </cell>
          <cell r="M546" t="str">
            <v>Germany</v>
          </cell>
          <cell r="N546" t="str">
            <v>Perfusor</v>
          </cell>
          <cell r="O546" t="str">
            <v>Perfusor Space PCA</v>
          </cell>
          <cell r="P546" t="str">
            <v>187832</v>
          </cell>
          <cell r="Q546" t="str">
            <v>Not Applicable</v>
          </cell>
          <cell r="R546" t="str">
            <v>B Braun Melsungen AG</v>
          </cell>
          <cell r="S546" t="str">
            <v>B Braun Medical Supplies Sdn. Bhd.</v>
          </cell>
          <cell r="T546" t="str">
            <v>Functioning</v>
          </cell>
          <cell r="U546" t="str">
            <v>Asset</v>
          </cell>
          <cell r="V546">
            <v>16840</v>
          </cell>
          <cell r="W546" t="str">
            <v>KEW</v>
          </cell>
          <cell r="X546" t="str">
            <v>01/09/2010</v>
          </cell>
          <cell r="Y546" t="str">
            <v>KEW</v>
          </cell>
          <cell r="Z546" t="str">
            <v>16/08/2013</v>
          </cell>
          <cell r="AA546" t="str">
            <v>15/08/2015</v>
          </cell>
          <cell r="AB546" t="str">
            <v>No</v>
          </cell>
          <cell r="AC546" t="str">
            <v>31/08/2013</v>
          </cell>
          <cell r="AD546" t="str">
            <v>Good</v>
          </cell>
          <cell r="AE546" t="str">
            <v>V1 - Existing / No Claim</v>
          </cell>
          <cell r="AF546">
            <v>42235</v>
          </cell>
          <cell r="AG546">
            <v>9.17</v>
          </cell>
          <cell r="AH546" t="str">
            <v>PPM</v>
          </cell>
          <cell r="AI546" t="str">
            <v>Strands</v>
          </cell>
          <cell r="AJ546" t="str">
            <v>Strands PW</v>
          </cell>
        </row>
        <row r="547">
          <cell r="A547" t="str">
            <v>IKN400065</v>
          </cell>
          <cell r="B547">
            <v>65</v>
          </cell>
          <cell r="C547" t="str">
            <v>Institut Kanser Negara</v>
          </cell>
          <cell r="D547" t="str">
            <v>KKM/IKN/H/13/949</v>
          </cell>
          <cell r="E547" t="str">
            <v>16-924</v>
          </cell>
          <cell r="F547" t="str">
            <v>Infusion Pumps, Patient-Controlled Analgesic</v>
          </cell>
          <cell r="G547" t="str">
            <v>IC</v>
          </cell>
          <cell r="H547" t="str">
            <v>INTENSIVE CARE UNIT</v>
          </cell>
          <cell r="I547" t="str">
            <v>05IC108</v>
          </cell>
          <cell r="J547" t="str">
            <v>PCA</v>
          </cell>
          <cell r="K547" t="str">
            <v>BMED</v>
          </cell>
          <cell r="L547" t="str">
            <v>Normal</v>
          </cell>
          <cell r="M547" t="str">
            <v>Germany</v>
          </cell>
          <cell r="N547" t="str">
            <v>Perfusor</v>
          </cell>
          <cell r="O547" t="str">
            <v>Perfusor Space PCA</v>
          </cell>
          <cell r="P547" t="str">
            <v>187004</v>
          </cell>
          <cell r="Q547" t="str">
            <v>Not Applicable</v>
          </cell>
          <cell r="R547" t="str">
            <v>B Braun Melsungen AG</v>
          </cell>
          <cell r="S547" t="str">
            <v>B Braun Medical Supplies Sdn. Bhd.</v>
          </cell>
          <cell r="T547" t="str">
            <v>Functioning</v>
          </cell>
          <cell r="U547" t="str">
            <v>Asset</v>
          </cell>
          <cell r="V547">
            <v>16840</v>
          </cell>
          <cell r="W547" t="str">
            <v>KEW</v>
          </cell>
          <cell r="X547" t="str">
            <v>01/09/2010</v>
          </cell>
          <cell r="Y547" t="str">
            <v>KEW</v>
          </cell>
          <cell r="Z547" t="str">
            <v>16/08/2013</v>
          </cell>
          <cell r="AA547" t="str">
            <v>15/08/2015</v>
          </cell>
          <cell r="AB547" t="str">
            <v>No</v>
          </cell>
          <cell r="AC547" t="str">
            <v>31/08/2013</v>
          </cell>
          <cell r="AD547" t="str">
            <v>Good</v>
          </cell>
          <cell r="AE547" t="str">
            <v>V1 - Existing / No Claim</v>
          </cell>
          <cell r="AF547">
            <v>42235</v>
          </cell>
          <cell r="AG547">
            <v>9.17</v>
          </cell>
          <cell r="AH547" t="str">
            <v>PPM</v>
          </cell>
          <cell r="AI547" t="str">
            <v>Strands</v>
          </cell>
          <cell r="AJ547" t="str">
            <v>Strands PW</v>
          </cell>
        </row>
        <row r="548">
          <cell r="A548" t="str">
            <v>IKN400066</v>
          </cell>
          <cell r="B548">
            <v>66</v>
          </cell>
          <cell r="C548" t="str">
            <v>Institut Kanser Negara</v>
          </cell>
          <cell r="D548" t="str">
            <v>KKM/IKN/H/13/950</v>
          </cell>
          <cell r="E548" t="str">
            <v>16-924</v>
          </cell>
          <cell r="F548" t="str">
            <v>Infusion Pumps, Patient-Controlled Analgesic</v>
          </cell>
          <cell r="G548" t="str">
            <v>IC</v>
          </cell>
          <cell r="H548" t="str">
            <v>INTENSIVE CARE UNIT</v>
          </cell>
          <cell r="I548" t="str">
            <v>05IC108</v>
          </cell>
          <cell r="J548" t="str">
            <v>PCA</v>
          </cell>
          <cell r="K548" t="str">
            <v>BMED</v>
          </cell>
          <cell r="L548" t="str">
            <v>Critical</v>
          </cell>
          <cell r="M548" t="str">
            <v>Germany</v>
          </cell>
          <cell r="N548" t="str">
            <v>Perfusor</v>
          </cell>
          <cell r="O548" t="str">
            <v>Perfusor Space PCA</v>
          </cell>
          <cell r="P548" t="str">
            <v>187814</v>
          </cell>
          <cell r="Q548" t="str">
            <v>Not Applicable</v>
          </cell>
          <cell r="R548" t="str">
            <v>B Braun Melsungen AG</v>
          </cell>
          <cell r="S548" t="str">
            <v>B Braun Medical Supplies Sdn. Bhd.</v>
          </cell>
          <cell r="T548" t="str">
            <v>Functioning</v>
          </cell>
          <cell r="U548" t="str">
            <v>Asset</v>
          </cell>
          <cell r="V548">
            <v>16840</v>
          </cell>
          <cell r="W548" t="str">
            <v>KEW</v>
          </cell>
          <cell r="X548" t="str">
            <v>01/09/2010</v>
          </cell>
          <cell r="Y548" t="str">
            <v>KEW</v>
          </cell>
          <cell r="Z548" t="str">
            <v>16/08/2013</v>
          </cell>
          <cell r="AA548" t="str">
            <v>15/08/2015</v>
          </cell>
          <cell r="AB548" t="str">
            <v>No</v>
          </cell>
          <cell r="AC548" t="str">
            <v>31/08/2013</v>
          </cell>
          <cell r="AD548" t="str">
            <v>Good</v>
          </cell>
          <cell r="AE548" t="str">
            <v>V1 - Existing / No Claim</v>
          </cell>
          <cell r="AF548">
            <v>42796</v>
          </cell>
          <cell r="AG548">
            <v>9.17</v>
          </cell>
          <cell r="AH548" t="str">
            <v>PPM</v>
          </cell>
          <cell r="AI548" t="str">
            <v>Strands</v>
          </cell>
          <cell r="AJ548" t="str">
            <v>Strands PW</v>
          </cell>
        </row>
        <row r="549">
          <cell r="A549" t="str">
            <v>IKN400067</v>
          </cell>
          <cell r="B549">
            <v>67</v>
          </cell>
          <cell r="C549" t="str">
            <v>Institut Kanser Negara</v>
          </cell>
          <cell r="D549" t="str">
            <v>KKM/IKN/H/13/951</v>
          </cell>
          <cell r="E549" t="str">
            <v>16-924</v>
          </cell>
          <cell r="F549" t="str">
            <v>Infusion Pumps, Patient-Controlled Analgesic</v>
          </cell>
          <cell r="G549" t="str">
            <v>IC</v>
          </cell>
          <cell r="H549" t="str">
            <v>INTENSIVE CARE UNIT</v>
          </cell>
          <cell r="I549" t="str">
            <v>05IC108</v>
          </cell>
          <cell r="J549" t="str">
            <v>PCA</v>
          </cell>
          <cell r="K549" t="str">
            <v>BMED</v>
          </cell>
          <cell r="L549" t="str">
            <v>Normal</v>
          </cell>
          <cell r="M549" t="str">
            <v>Germany</v>
          </cell>
          <cell r="N549" t="str">
            <v>Perfusor</v>
          </cell>
          <cell r="O549" t="str">
            <v>Perfusor Space PCA</v>
          </cell>
          <cell r="P549" t="str">
            <v>186995</v>
          </cell>
          <cell r="Q549" t="str">
            <v>Not Applicable</v>
          </cell>
          <cell r="R549" t="str">
            <v>B Braun Melsungen AG</v>
          </cell>
          <cell r="S549" t="str">
            <v>B Braun Medical Supplies Sdn. Bhd.</v>
          </cell>
          <cell r="T549" t="str">
            <v>Functioning</v>
          </cell>
          <cell r="U549" t="str">
            <v>Asset</v>
          </cell>
          <cell r="V549">
            <v>16840</v>
          </cell>
          <cell r="W549" t="str">
            <v>KEW</v>
          </cell>
          <cell r="X549" t="str">
            <v>01/09/2010</v>
          </cell>
          <cell r="Y549" t="str">
            <v>KEW</v>
          </cell>
          <cell r="Z549" t="str">
            <v>16/08/2013</v>
          </cell>
          <cell r="AA549" t="str">
            <v>15/08/2015</v>
          </cell>
          <cell r="AB549" t="str">
            <v>No</v>
          </cell>
          <cell r="AC549" t="str">
            <v>31/08/2013</v>
          </cell>
          <cell r="AD549" t="str">
            <v>Good</v>
          </cell>
          <cell r="AE549" t="str">
            <v>V1 - Existing / No Claim</v>
          </cell>
          <cell r="AF549">
            <v>42235</v>
          </cell>
          <cell r="AG549">
            <v>9.17</v>
          </cell>
          <cell r="AH549" t="str">
            <v>PPM</v>
          </cell>
          <cell r="AI549" t="str">
            <v>Strands</v>
          </cell>
          <cell r="AJ549" t="str">
            <v>Strands PW</v>
          </cell>
        </row>
        <row r="550">
          <cell r="A550" t="str">
            <v>IKN400068</v>
          </cell>
          <cell r="B550">
            <v>68</v>
          </cell>
          <cell r="C550" t="str">
            <v>Institut Kanser Negara</v>
          </cell>
          <cell r="D550" t="str">
            <v>KKM/IKN/H/13/952</v>
          </cell>
          <cell r="E550" t="str">
            <v>16-924</v>
          </cell>
          <cell r="F550" t="str">
            <v>Infusion Pumps, Patient-Controlled Analgesic</v>
          </cell>
          <cell r="G550" t="str">
            <v>IC</v>
          </cell>
          <cell r="H550" t="str">
            <v>INTENSIVE CARE UNIT</v>
          </cell>
          <cell r="I550" t="str">
            <v>05IC108</v>
          </cell>
          <cell r="J550" t="str">
            <v>PCA</v>
          </cell>
          <cell r="K550" t="str">
            <v>BMED</v>
          </cell>
          <cell r="L550" t="str">
            <v>Normal</v>
          </cell>
          <cell r="M550" t="str">
            <v>Germany</v>
          </cell>
          <cell r="N550" t="str">
            <v>Perfusor</v>
          </cell>
          <cell r="O550" t="str">
            <v>Perfusor Space PCA</v>
          </cell>
          <cell r="P550" t="str">
            <v>187868</v>
          </cell>
          <cell r="Q550" t="str">
            <v>Not Applicable</v>
          </cell>
          <cell r="R550" t="str">
            <v>B Braun Melsungen AG</v>
          </cell>
          <cell r="S550" t="str">
            <v>B Braun Medical Supplies Sdn. Bhd.</v>
          </cell>
          <cell r="T550" t="str">
            <v>Functioning</v>
          </cell>
          <cell r="U550" t="str">
            <v>Asset</v>
          </cell>
          <cell r="V550">
            <v>16840</v>
          </cell>
          <cell r="W550" t="str">
            <v>KEW</v>
          </cell>
          <cell r="X550" t="str">
            <v>01/09/2010</v>
          </cell>
          <cell r="Y550" t="str">
            <v>KEW</v>
          </cell>
          <cell r="Z550" t="str">
            <v>16/08/2013</v>
          </cell>
          <cell r="AA550" t="str">
            <v>15/08/2015</v>
          </cell>
          <cell r="AB550" t="str">
            <v>No</v>
          </cell>
          <cell r="AC550" t="str">
            <v>31/08/2013</v>
          </cell>
          <cell r="AD550" t="str">
            <v>Good</v>
          </cell>
          <cell r="AE550" t="str">
            <v>V1 - Existing / No Claim</v>
          </cell>
          <cell r="AF550">
            <v>42235</v>
          </cell>
          <cell r="AG550">
            <v>9.17</v>
          </cell>
          <cell r="AH550" t="str">
            <v>PPM</v>
          </cell>
          <cell r="AI550" t="str">
            <v>Strands</v>
          </cell>
          <cell r="AJ550" t="str">
            <v>Strands PW</v>
          </cell>
        </row>
        <row r="551">
          <cell r="A551" t="str">
            <v>IKN400069</v>
          </cell>
          <cell r="B551">
            <v>69</v>
          </cell>
          <cell r="C551" t="str">
            <v>Institut Kanser Negara</v>
          </cell>
          <cell r="D551" t="str">
            <v>KKM/IKN/H/13/856</v>
          </cell>
          <cell r="E551" t="str">
            <v>10-849</v>
          </cell>
          <cell r="F551" t="str">
            <v>Circulatory Assist Units, Venous Return</v>
          </cell>
          <cell r="G551" t="str">
            <v>IC</v>
          </cell>
          <cell r="H551" t="str">
            <v>INTENSIVE CARE UNIT</v>
          </cell>
          <cell r="I551" t="str">
            <v>05IC111</v>
          </cell>
          <cell r="J551" t="str">
            <v>ISOL 1(-VE)</v>
          </cell>
          <cell r="K551" t="str">
            <v>BMED</v>
          </cell>
          <cell r="L551" t="str">
            <v>Normal</v>
          </cell>
          <cell r="M551" t="str">
            <v>Taiwan</v>
          </cell>
          <cell r="N551" t="str">
            <v>Vena Press</v>
          </cell>
          <cell r="O551" t="str">
            <v>Vena Press IPC</v>
          </cell>
          <cell r="P551" t="str">
            <v>C820016673</v>
          </cell>
          <cell r="Q551" t="str">
            <v>Not Applicable</v>
          </cell>
          <cell r="R551" t="str">
            <v>Prius Healthcare Solution</v>
          </cell>
          <cell r="S551" t="str">
            <v>Medika Supplies</v>
          </cell>
          <cell r="T551" t="str">
            <v>Functioning</v>
          </cell>
          <cell r="U551" t="str">
            <v>Asset</v>
          </cell>
          <cell r="V551">
            <v>13470</v>
          </cell>
          <cell r="W551" t="str">
            <v>KEW</v>
          </cell>
          <cell r="X551" t="str">
            <v>01/09/2010</v>
          </cell>
          <cell r="Y551" t="str">
            <v>KEW</v>
          </cell>
          <cell r="Z551" t="str">
            <v>16/08/2013</v>
          </cell>
          <cell r="AA551" t="str">
            <v>15/08/2015</v>
          </cell>
          <cell r="AB551" t="str">
            <v>No</v>
          </cell>
          <cell r="AC551" t="str">
            <v>31/08/2013</v>
          </cell>
          <cell r="AD551" t="str">
            <v>Good</v>
          </cell>
          <cell r="AE551" t="str">
            <v>V1 - Existing / No Claim</v>
          </cell>
          <cell r="AF551">
            <v>42235</v>
          </cell>
          <cell r="AG551">
            <v>9.17</v>
          </cell>
          <cell r="AH551" t="str">
            <v>PPM</v>
          </cell>
          <cell r="AI551" t="str">
            <v>Strands</v>
          </cell>
          <cell r="AJ551" t="str">
            <v>Strands PW</v>
          </cell>
        </row>
        <row r="552">
          <cell r="A552" t="str">
            <v>IKN400070</v>
          </cell>
          <cell r="B552">
            <v>70</v>
          </cell>
          <cell r="C552" t="str">
            <v>Institut Kanser Negara</v>
          </cell>
          <cell r="D552" t="str">
            <v>KKM/IKN/H/13/1119</v>
          </cell>
          <cell r="E552" t="str">
            <v>17-429</v>
          </cell>
          <cell r="F552" t="str">
            <v>Ventilators, Intensive Care</v>
          </cell>
          <cell r="G552" t="str">
            <v>IC</v>
          </cell>
          <cell r="H552" t="str">
            <v>INTENSIVE CARE UNIT</v>
          </cell>
          <cell r="I552" t="str">
            <v>05IC129</v>
          </cell>
          <cell r="J552" t="str">
            <v>ISOL 4 (+VE)</v>
          </cell>
          <cell r="K552" t="str">
            <v>BMED</v>
          </cell>
          <cell r="L552" t="str">
            <v>Normal</v>
          </cell>
          <cell r="M552" t="str">
            <v>Germany</v>
          </cell>
          <cell r="N552" t="str">
            <v>Evita</v>
          </cell>
          <cell r="O552" t="str">
            <v>Evita XL</v>
          </cell>
          <cell r="P552" t="str">
            <v>ASDD-0069</v>
          </cell>
          <cell r="Q552" t="str">
            <v>Not Applicable</v>
          </cell>
          <cell r="R552" t="str">
            <v>Drager Medical AG &amp; Co KGaA</v>
          </cell>
          <cell r="S552" t="str">
            <v>Beau Consortium Sdn Bhd</v>
          </cell>
          <cell r="T552" t="str">
            <v>Functioning</v>
          </cell>
          <cell r="U552" t="str">
            <v>Asset</v>
          </cell>
          <cell r="V552">
            <v>151560</v>
          </cell>
          <cell r="W552" t="str">
            <v>KEW</v>
          </cell>
          <cell r="X552" t="str">
            <v>01/09/2010</v>
          </cell>
          <cell r="Y552" t="str">
            <v>KEW</v>
          </cell>
          <cell r="Z552" t="str">
            <v>16/08/2013</v>
          </cell>
          <cell r="AA552" t="str">
            <v>15/08/2015</v>
          </cell>
          <cell r="AB552" t="str">
            <v>No</v>
          </cell>
          <cell r="AC552" t="str">
            <v>31/08/2013</v>
          </cell>
          <cell r="AD552" t="str">
            <v>Good</v>
          </cell>
          <cell r="AE552" t="str">
            <v>V1 - Existing / No Claim</v>
          </cell>
          <cell r="AF552">
            <v>42235</v>
          </cell>
          <cell r="AG552">
            <v>9.17</v>
          </cell>
          <cell r="AH552" t="str">
            <v>PPM</v>
          </cell>
          <cell r="AI552" t="str">
            <v>Strands</v>
          </cell>
          <cell r="AJ552" t="str">
            <v>Strands PW</v>
          </cell>
        </row>
        <row r="553">
          <cell r="A553" t="str">
            <v>IKN400071</v>
          </cell>
          <cell r="B553">
            <v>71</v>
          </cell>
          <cell r="C553" t="str">
            <v>Institut Kanser Negara</v>
          </cell>
          <cell r="D553" t="str">
            <v>KKM/IKN/H/13/858</v>
          </cell>
          <cell r="E553" t="str">
            <v>10-849</v>
          </cell>
          <cell r="F553" t="str">
            <v>Circulatory Assist Units, Venous Return</v>
          </cell>
          <cell r="G553" t="str">
            <v>IC</v>
          </cell>
          <cell r="H553" t="str">
            <v>INTENSIVE CARE UNIT</v>
          </cell>
          <cell r="I553" t="str">
            <v>05IC113</v>
          </cell>
          <cell r="J553" t="str">
            <v>ICU RM 2</v>
          </cell>
          <cell r="K553" t="str">
            <v>BMED</v>
          </cell>
          <cell r="L553" t="str">
            <v>Normal</v>
          </cell>
          <cell r="M553" t="str">
            <v>Taiwan</v>
          </cell>
          <cell r="N553" t="str">
            <v>Vena Press</v>
          </cell>
          <cell r="O553" t="str">
            <v>Vena Press IPC</v>
          </cell>
          <cell r="P553" t="str">
            <v>C820016799</v>
          </cell>
          <cell r="Q553" t="str">
            <v>Not Applicable</v>
          </cell>
          <cell r="R553" t="str">
            <v>Prius Healthcare Solution</v>
          </cell>
          <cell r="S553" t="str">
            <v>Medika Supplies</v>
          </cell>
          <cell r="T553" t="str">
            <v>Functioning</v>
          </cell>
          <cell r="U553" t="str">
            <v>Asset</v>
          </cell>
          <cell r="V553">
            <v>13470</v>
          </cell>
          <cell r="W553" t="str">
            <v>KEW</v>
          </cell>
          <cell r="X553" t="str">
            <v>01/09/2010</v>
          </cell>
          <cell r="Y553" t="str">
            <v>KEW</v>
          </cell>
          <cell r="Z553" t="str">
            <v>16/08/2013</v>
          </cell>
          <cell r="AA553" t="str">
            <v>15/08/2015</v>
          </cell>
          <cell r="AB553" t="str">
            <v>No</v>
          </cell>
          <cell r="AC553" t="str">
            <v>31/08/2013</v>
          </cell>
          <cell r="AD553" t="str">
            <v>Good</v>
          </cell>
          <cell r="AE553" t="str">
            <v>V1 - Existing / No Claim</v>
          </cell>
          <cell r="AF553">
            <v>42235</v>
          </cell>
          <cell r="AG553">
            <v>9.17</v>
          </cell>
          <cell r="AH553" t="str">
            <v>PPM</v>
          </cell>
          <cell r="AI553" t="str">
            <v>Strands</v>
          </cell>
          <cell r="AJ553" t="str">
            <v>Strands PW</v>
          </cell>
        </row>
        <row r="554">
          <cell r="A554" t="str">
            <v>IKN400072</v>
          </cell>
          <cell r="B554">
            <v>72</v>
          </cell>
          <cell r="C554" t="str">
            <v>Institut Kanser Negara</v>
          </cell>
          <cell r="D554" t="str">
            <v>KKM/IKN/H/13/859</v>
          </cell>
          <cell r="E554" t="str">
            <v>10-849</v>
          </cell>
          <cell r="F554" t="str">
            <v>Circulatory Assist Units, Venous Return</v>
          </cell>
          <cell r="G554" t="str">
            <v>IC</v>
          </cell>
          <cell r="H554" t="str">
            <v>INTENSIVE CARE UNIT</v>
          </cell>
          <cell r="I554" t="str">
            <v>05IC114</v>
          </cell>
          <cell r="J554" t="str">
            <v>ICU RM 3</v>
          </cell>
          <cell r="K554" t="str">
            <v>BMED</v>
          </cell>
          <cell r="L554" t="str">
            <v>Critical</v>
          </cell>
          <cell r="M554" t="str">
            <v>Taiwan</v>
          </cell>
          <cell r="N554" t="str">
            <v>Vena Press</v>
          </cell>
          <cell r="O554" t="str">
            <v>Vena Press IPC</v>
          </cell>
          <cell r="P554" t="str">
            <v>C820017537</v>
          </cell>
          <cell r="Q554" t="str">
            <v>Not Applicable</v>
          </cell>
          <cell r="R554" t="str">
            <v>Prius Healthcare Solution</v>
          </cell>
          <cell r="S554" t="str">
            <v>Medika Supplies</v>
          </cell>
          <cell r="T554" t="str">
            <v>Functioning</v>
          </cell>
          <cell r="U554" t="str">
            <v>Asset</v>
          </cell>
          <cell r="V554">
            <v>13470</v>
          </cell>
          <cell r="W554" t="str">
            <v>KEW</v>
          </cell>
          <cell r="X554" t="str">
            <v>01/09/2010</v>
          </cell>
          <cell r="Y554" t="str">
            <v>KEW</v>
          </cell>
          <cell r="Z554" t="str">
            <v>16/08/2013</v>
          </cell>
          <cell r="AA554" t="str">
            <v>15/08/2015</v>
          </cell>
          <cell r="AB554" t="str">
            <v>No</v>
          </cell>
          <cell r="AC554" t="str">
            <v>31/08/2013</v>
          </cell>
          <cell r="AD554" t="str">
            <v>Good</v>
          </cell>
          <cell r="AE554" t="str">
            <v>V1 - Existing / No Claim</v>
          </cell>
          <cell r="AF554">
            <v>42797</v>
          </cell>
          <cell r="AG554">
            <v>9.17</v>
          </cell>
          <cell r="AH554" t="str">
            <v>PPM</v>
          </cell>
          <cell r="AI554" t="str">
            <v>Strands</v>
          </cell>
          <cell r="AJ554" t="str">
            <v>Strands PW</v>
          </cell>
        </row>
        <row r="555">
          <cell r="A555" t="str">
            <v>IKN400073</v>
          </cell>
          <cell r="B555">
            <v>73</v>
          </cell>
          <cell r="C555" t="str">
            <v>Institut Kanser Negara</v>
          </cell>
          <cell r="D555" t="str">
            <v>KKM/IKN/H/13/860</v>
          </cell>
          <cell r="E555" t="str">
            <v>10-849</v>
          </cell>
          <cell r="F555" t="str">
            <v>Circulatory Assist Units, Venous Return</v>
          </cell>
          <cell r="G555" t="str">
            <v>IC</v>
          </cell>
          <cell r="H555" t="str">
            <v>INTENSIVE CARE UNIT</v>
          </cell>
          <cell r="I555" t="str">
            <v>05IC115</v>
          </cell>
          <cell r="J555" t="str">
            <v>ICU RM 4</v>
          </cell>
          <cell r="K555" t="str">
            <v>BMED</v>
          </cell>
          <cell r="L555" t="str">
            <v>Normal</v>
          </cell>
          <cell r="M555" t="str">
            <v>Taiwan</v>
          </cell>
          <cell r="N555" t="str">
            <v>Vena Press</v>
          </cell>
          <cell r="O555" t="str">
            <v>Vena Press IPC</v>
          </cell>
          <cell r="P555" t="str">
            <v>C820016532</v>
          </cell>
          <cell r="Q555" t="str">
            <v>Not Applicable</v>
          </cell>
          <cell r="R555" t="str">
            <v>Prius Healthcare Solution</v>
          </cell>
          <cell r="S555" t="str">
            <v>Medika Supplies</v>
          </cell>
          <cell r="T555" t="str">
            <v>Functioning</v>
          </cell>
          <cell r="U555" t="str">
            <v>Asset</v>
          </cell>
          <cell r="V555">
            <v>13470</v>
          </cell>
          <cell r="W555" t="str">
            <v>KEW</v>
          </cell>
          <cell r="X555" t="str">
            <v>01/09/2010</v>
          </cell>
          <cell r="Y555" t="str">
            <v>KEW</v>
          </cell>
          <cell r="Z555" t="str">
            <v>16/08/2013</v>
          </cell>
          <cell r="AA555" t="str">
            <v>15/08/2015</v>
          </cell>
          <cell r="AB555" t="str">
            <v>No</v>
          </cell>
          <cell r="AC555" t="str">
            <v>31/08/2013</v>
          </cell>
          <cell r="AD555" t="str">
            <v>Good</v>
          </cell>
          <cell r="AE555" t="str">
            <v>V1 - Existing / No Claim</v>
          </cell>
          <cell r="AF555">
            <v>42235</v>
          </cell>
          <cell r="AG555">
            <v>9.17</v>
          </cell>
          <cell r="AH555" t="str">
            <v>PPM</v>
          </cell>
          <cell r="AI555" t="str">
            <v>Strands</v>
          </cell>
          <cell r="AJ555" t="str">
            <v>Strands PW</v>
          </cell>
        </row>
        <row r="556">
          <cell r="A556" t="str">
            <v>IKN400074</v>
          </cell>
          <cell r="B556">
            <v>74</v>
          </cell>
          <cell r="C556" t="str">
            <v>Institut Kanser Negara</v>
          </cell>
          <cell r="D556" t="str">
            <v>KKM/IKN/H/13/862</v>
          </cell>
          <cell r="E556" t="str">
            <v>10-849</v>
          </cell>
          <cell r="F556" t="str">
            <v>Circulatory Assist Units, Venous Return</v>
          </cell>
          <cell r="G556" t="str">
            <v>IC</v>
          </cell>
          <cell r="H556" t="str">
            <v>INTENSIVE CARE UNIT</v>
          </cell>
          <cell r="I556" t="str">
            <v>05IC116</v>
          </cell>
          <cell r="J556" t="str">
            <v>ISOL 2 (+VE)</v>
          </cell>
          <cell r="K556" t="str">
            <v>BMED</v>
          </cell>
          <cell r="L556" t="str">
            <v>Normal</v>
          </cell>
          <cell r="M556" t="str">
            <v>Taiwan</v>
          </cell>
          <cell r="N556" t="str">
            <v>Vena Press</v>
          </cell>
          <cell r="O556" t="str">
            <v>Vena Press IPC</v>
          </cell>
          <cell r="P556" t="str">
            <v>C820017617</v>
          </cell>
          <cell r="Q556" t="str">
            <v>Not Applicable</v>
          </cell>
          <cell r="R556" t="str">
            <v>Prius Healthcare Solution</v>
          </cell>
          <cell r="S556" t="str">
            <v>Medika Supplies</v>
          </cell>
          <cell r="T556" t="str">
            <v>Functioning</v>
          </cell>
          <cell r="U556" t="str">
            <v>Asset</v>
          </cell>
          <cell r="V556">
            <v>13470</v>
          </cell>
          <cell r="W556" t="str">
            <v>KEW</v>
          </cell>
          <cell r="X556" t="str">
            <v>01/09/2010</v>
          </cell>
          <cell r="Y556" t="str">
            <v>KEW</v>
          </cell>
          <cell r="Z556" t="str">
            <v>16/08/2013</v>
          </cell>
          <cell r="AA556" t="str">
            <v>15/08/2015</v>
          </cell>
          <cell r="AB556" t="str">
            <v>No</v>
          </cell>
          <cell r="AC556" t="str">
            <v>31/08/2013</v>
          </cell>
          <cell r="AD556" t="str">
            <v>Good</v>
          </cell>
          <cell r="AE556" t="str">
            <v>V1 - Existing / No Claim</v>
          </cell>
          <cell r="AF556">
            <v>42235</v>
          </cell>
          <cell r="AG556">
            <v>9.17</v>
          </cell>
          <cell r="AH556" t="str">
            <v>PPM</v>
          </cell>
          <cell r="AI556" t="str">
            <v>Strands</v>
          </cell>
          <cell r="AJ556" t="str">
            <v>Strands PW</v>
          </cell>
        </row>
        <row r="557">
          <cell r="A557" t="str">
            <v>IKN400075</v>
          </cell>
          <cell r="B557">
            <v>75</v>
          </cell>
          <cell r="C557" t="str">
            <v>Institut Kanser Negara</v>
          </cell>
          <cell r="D557" t="str">
            <v>KKM/IKN/H/13/863</v>
          </cell>
          <cell r="E557" t="str">
            <v>10-849</v>
          </cell>
          <cell r="F557" t="str">
            <v>Circulatory Assist Units, Venous Return</v>
          </cell>
          <cell r="G557" t="str">
            <v>IC</v>
          </cell>
          <cell r="H557" t="str">
            <v>INTENSIVE CARE UNIT</v>
          </cell>
          <cell r="I557" t="str">
            <v>05IC129</v>
          </cell>
          <cell r="J557" t="str">
            <v>ISOL 4 (+VE)</v>
          </cell>
          <cell r="K557" t="str">
            <v>BMED</v>
          </cell>
          <cell r="L557" t="str">
            <v>Normal</v>
          </cell>
          <cell r="M557" t="str">
            <v>Taiwan</v>
          </cell>
          <cell r="N557" t="str">
            <v>Vena Press</v>
          </cell>
          <cell r="O557" t="str">
            <v>Vena Press IPC</v>
          </cell>
          <cell r="P557" t="str">
            <v>C820016529</v>
          </cell>
          <cell r="Q557" t="str">
            <v>Not Applicable</v>
          </cell>
          <cell r="R557" t="str">
            <v>Prius Healthcare Solution</v>
          </cell>
          <cell r="S557" t="str">
            <v>Medika Supplies</v>
          </cell>
          <cell r="T557" t="str">
            <v>Functioning</v>
          </cell>
          <cell r="U557" t="str">
            <v>Asset</v>
          </cell>
          <cell r="V557">
            <v>13470</v>
          </cell>
          <cell r="W557" t="str">
            <v>KEW</v>
          </cell>
          <cell r="X557" t="str">
            <v>01/09/2010</v>
          </cell>
          <cell r="Y557" t="str">
            <v>KEW</v>
          </cell>
          <cell r="Z557" t="str">
            <v>16/08/2013</v>
          </cell>
          <cell r="AA557" t="str">
            <v>15/08/2015</v>
          </cell>
          <cell r="AB557" t="str">
            <v>No</v>
          </cell>
          <cell r="AC557" t="str">
            <v>31/08/2013</v>
          </cell>
          <cell r="AD557" t="str">
            <v>Good</v>
          </cell>
          <cell r="AE557" t="str">
            <v>V1 - Existing / No Claim</v>
          </cell>
          <cell r="AF557">
            <v>42235</v>
          </cell>
          <cell r="AG557">
            <v>9.17</v>
          </cell>
          <cell r="AH557" t="str">
            <v>PPM</v>
          </cell>
          <cell r="AI557" t="str">
            <v>Strands</v>
          </cell>
          <cell r="AJ557" t="str">
            <v>Strands PW</v>
          </cell>
        </row>
        <row r="558">
          <cell r="A558" t="str">
            <v>IKN400076</v>
          </cell>
          <cell r="B558">
            <v>76</v>
          </cell>
          <cell r="C558" t="str">
            <v>Institut Kanser Negara</v>
          </cell>
          <cell r="D558" t="str">
            <v>KKM/IKN/H/13/864</v>
          </cell>
          <cell r="E558" t="str">
            <v>10-849</v>
          </cell>
          <cell r="F558" t="str">
            <v>Circulatory Assist Units, Venous Return</v>
          </cell>
          <cell r="G558" t="str">
            <v>IC</v>
          </cell>
          <cell r="H558" t="str">
            <v>INTENSIVE CARE UNIT</v>
          </cell>
          <cell r="I558" t="str">
            <v>05IC131</v>
          </cell>
          <cell r="J558" t="str">
            <v>ISOL 3 (+VE)</v>
          </cell>
          <cell r="K558" t="str">
            <v>BMED</v>
          </cell>
          <cell r="L558" t="str">
            <v>Critical</v>
          </cell>
          <cell r="M558" t="str">
            <v>Taiwan</v>
          </cell>
          <cell r="N558" t="str">
            <v>Vena Press</v>
          </cell>
          <cell r="O558" t="str">
            <v>Vena Press IPC</v>
          </cell>
          <cell r="P558" t="str">
            <v>C820017519</v>
          </cell>
          <cell r="Q558" t="str">
            <v>Not Applicable</v>
          </cell>
          <cell r="R558" t="str">
            <v>Prius Healthcare Solution</v>
          </cell>
          <cell r="S558" t="str">
            <v>Medika Supplies</v>
          </cell>
          <cell r="T558" t="str">
            <v>Functioning</v>
          </cell>
          <cell r="U558" t="str">
            <v>Asset</v>
          </cell>
          <cell r="V558">
            <v>13470</v>
          </cell>
          <cell r="W558" t="str">
            <v>KEW</v>
          </cell>
          <cell r="X558" t="str">
            <v>01/09/2010</v>
          </cell>
          <cell r="Y558" t="str">
            <v>KEW</v>
          </cell>
          <cell r="Z558" t="str">
            <v>16/08/2013</v>
          </cell>
          <cell r="AA558" t="str">
            <v>15/08/2015</v>
          </cell>
          <cell r="AB558" t="str">
            <v>No</v>
          </cell>
          <cell r="AC558" t="str">
            <v>31/08/2013</v>
          </cell>
          <cell r="AD558" t="str">
            <v>Good</v>
          </cell>
          <cell r="AE558" t="str">
            <v>V1 - Existing / No Claim</v>
          </cell>
          <cell r="AF558">
            <v>42797</v>
          </cell>
          <cell r="AG558">
            <v>9.17</v>
          </cell>
          <cell r="AH558" t="str">
            <v>PPM</v>
          </cell>
          <cell r="AI558" t="str">
            <v>Strands</v>
          </cell>
          <cell r="AJ558" t="str">
            <v>Strands PW</v>
          </cell>
        </row>
        <row r="559">
          <cell r="A559" t="str">
            <v>IKN400077</v>
          </cell>
          <cell r="B559">
            <v>77</v>
          </cell>
          <cell r="C559" t="str">
            <v>Institut Kanser Negara</v>
          </cell>
          <cell r="D559" t="str">
            <v>KKM/IKN/H/13/3475</v>
          </cell>
          <cell r="E559" t="str">
            <v>20-683</v>
          </cell>
          <cell r="F559" t="str">
            <v>Water Purification Systems, Reverse Osmosis, Hemodialysis, Portable</v>
          </cell>
          <cell r="G559" t="str">
            <v>IC</v>
          </cell>
          <cell r="H559" t="str">
            <v>INTENSIVE CARE UNIT</v>
          </cell>
          <cell r="I559" t="str">
            <v>05IC106</v>
          </cell>
          <cell r="J559" t="str">
            <v>EQ. ROOM</v>
          </cell>
          <cell r="K559" t="str">
            <v>BMED</v>
          </cell>
          <cell r="L559" t="str">
            <v>Critical</v>
          </cell>
          <cell r="M559" t="str">
            <v>Germany</v>
          </cell>
          <cell r="N559" t="str">
            <v>Aqua</v>
          </cell>
          <cell r="O559" t="str">
            <v>Aqua WTU125</v>
          </cell>
          <cell r="P559" t="str">
            <v>344S1544</v>
          </cell>
          <cell r="Q559" t="str">
            <v>Not Applicable</v>
          </cell>
          <cell r="R559" t="str">
            <v>Fresenius Kabi AG</v>
          </cell>
          <cell r="S559" t="str">
            <v>Fischer CW Medical</v>
          </cell>
          <cell r="T559" t="str">
            <v>Functioning</v>
          </cell>
          <cell r="U559" t="str">
            <v>Asset</v>
          </cell>
          <cell r="V559">
            <v>56534</v>
          </cell>
          <cell r="W559" t="str">
            <v>KEW</v>
          </cell>
          <cell r="X559" t="str">
            <v>01/09/2010</v>
          </cell>
          <cell r="Y559" t="str">
            <v>KEW</v>
          </cell>
          <cell r="Z559" t="str">
            <v>16/08/2013</v>
          </cell>
          <cell r="AA559" t="str">
            <v>15/08/2015</v>
          </cell>
          <cell r="AB559" t="str">
            <v>No</v>
          </cell>
          <cell r="AC559" t="str">
            <v>31/08/2013</v>
          </cell>
          <cell r="AD559" t="str">
            <v>Good</v>
          </cell>
          <cell r="AE559" t="str">
            <v>V1 - Existing / No Claim</v>
          </cell>
          <cell r="AF559">
            <v>42796</v>
          </cell>
          <cell r="AG559">
            <v>9.17</v>
          </cell>
          <cell r="AH559" t="str">
            <v>PPM</v>
          </cell>
          <cell r="AI559" t="str">
            <v>Strands</v>
          </cell>
          <cell r="AJ559" t="str">
            <v>Strands PW</v>
          </cell>
        </row>
        <row r="560">
          <cell r="A560" t="str">
            <v>IKN400078</v>
          </cell>
          <cell r="B560">
            <v>78</v>
          </cell>
          <cell r="C560" t="str">
            <v>Institut Kanser Negara</v>
          </cell>
          <cell r="D560" t="str">
            <v>KKM/IKN/H/13/1052</v>
          </cell>
          <cell r="E560" t="str">
            <v>10-613</v>
          </cell>
          <cell r="F560" t="str">
            <v>Cardiac Output Units</v>
          </cell>
          <cell r="G560" t="str">
            <v>IC</v>
          </cell>
          <cell r="H560" t="str">
            <v>INTENSIVE CARE UNIT</v>
          </cell>
          <cell r="I560" t="str">
            <v>05IC106</v>
          </cell>
          <cell r="J560" t="str">
            <v>EQ. ROOM</v>
          </cell>
          <cell r="K560" t="str">
            <v>BMED</v>
          </cell>
          <cell r="L560" t="str">
            <v>Normal</v>
          </cell>
          <cell r="M560" t="str">
            <v>Germany</v>
          </cell>
          <cell r="N560" t="str">
            <v>Picco</v>
          </cell>
          <cell r="O560" t="str">
            <v>Picco 2 Monitor, Pc8500</v>
          </cell>
          <cell r="P560" t="str">
            <v>A108500038</v>
          </cell>
          <cell r="Q560" t="str">
            <v>Not Applicable</v>
          </cell>
          <cell r="R560" t="str">
            <v>Pulsion</v>
          </cell>
          <cell r="S560" t="str">
            <v>Dyna Medicare</v>
          </cell>
          <cell r="T560" t="str">
            <v>Functioning</v>
          </cell>
          <cell r="U560" t="str">
            <v>Asset</v>
          </cell>
          <cell r="V560">
            <v>60000</v>
          </cell>
          <cell r="W560" t="str">
            <v>KEW</v>
          </cell>
          <cell r="X560" t="str">
            <v>01/09/2010</v>
          </cell>
          <cell r="Y560" t="str">
            <v>KEW</v>
          </cell>
          <cell r="Z560" t="str">
            <v>16/08/2013</v>
          </cell>
          <cell r="AA560" t="str">
            <v>15/08/2015</v>
          </cell>
          <cell r="AB560" t="str">
            <v>No</v>
          </cell>
          <cell r="AC560" t="str">
            <v>31/08/2013</v>
          </cell>
          <cell r="AD560" t="str">
            <v>Good</v>
          </cell>
          <cell r="AE560" t="str">
            <v>V1 - Existing / No Claim</v>
          </cell>
          <cell r="AF560">
            <v>42796</v>
          </cell>
          <cell r="AG560">
            <v>9.17</v>
          </cell>
          <cell r="AH560" t="str">
            <v>PPM</v>
          </cell>
          <cell r="AI560" t="str">
            <v>Strands</v>
          </cell>
          <cell r="AJ560" t="str">
            <v>Strands PW</v>
          </cell>
        </row>
        <row r="561">
          <cell r="A561" t="str">
            <v>IKN400079</v>
          </cell>
          <cell r="B561">
            <v>79</v>
          </cell>
          <cell r="C561" t="str">
            <v>Institut Kanser Negara</v>
          </cell>
          <cell r="D561" t="str">
            <v>KKM/IKN/H/13/954</v>
          </cell>
          <cell r="E561" t="str">
            <v>13-209</v>
          </cell>
          <cell r="F561" t="str">
            <v>Pumps, Enteral Feeding</v>
          </cell>
          <cell r="G561" t="str">
            <v>IC</v>
          </cell>
          <cell r="H561" t="str">
            <v>INTENSIVE CARE UNIT</v>
          </cell>
          <cell r="I561" t="str">
            <v>05IC111</v>
          </cell>
          <cell r="J561" t="str">
            <v>ISOL 1(-VE)</v>
          </cell>
          <cell r="K561" t="str">
            <v>BMED</v>
          </cell>
          <cell r="L561" t="str">
            <v>Normal</v>
          </cell>
          <cell r="M561" t="str">
            <v>USA</v>
          </cell>
          <cell r="N561" t="str">
            <v>Kangaroo</v>
          </cell>
          <cell r="O561" t="str">
            <v>Kangaroo ePump</v>
          </cell>
          <cell r="P561" t="str">
            <v>C1177266</v>
          </cell>
          <cell r="Q561" t="str">
            <v>Not Applicable</v>
          </cell>
          <cell r="R561" t="str">
            <v>Covidien</v>
          </cell>
          <cell r="S561" t="str">
            <v>Schmidt Biomedtech Sdn. Bhd.</v>
          </cell>
          <cell r="T561" t="str">
            <v>Functioning</v>
          </cell>
          <cell r="U561" t="str">
            <v>Asset</v>
          </cell>
          <cell r="V561">
            <v>6615</v>
          </cell>
          <cell r="W561" t="str">
            <v>KEW</v>
          </cell>
          <cell r="X561" t="str">
            <v>01/09/2010</v>
          </cell>
          <cell r="Y561" t="str">
            <v>KEW</v>
          </cell>
          <cell r="Z561" t="str">
            <v>16/08/2013</v>
          </cell>
          <cell r="AA561" t="str">
            <v>15/08/2015</v>
          </cell>
          <cell r="AB561" t="str">
            <v>No</v>
          </cell>
          <cell r="AC561" t="str">
            <v>31/08/2013</v>
          </cell>
          <cell r="AD561" t="str">
            <v>Good</v>
          </cell>
          <cell r="AE561" t="str">
            <v>V1 - Existing / No Claim</v>
          </cell>
          <cell r="AF561">
            <v>42235</v>
          </cell>
          <cell r="AG561">
            <v>9.17</v>
          </cell>
          <cell r="AH561" t="str">
            <v>PPM</v>
          </cell>
          <cell r="AI561" t="str">
            <v>Strands</v>
          </cell>
          <cell r="AJ561" t="str">
            <v>Strands PW</v>
          </cell>
        </row>
        <row r="562">
          <cell r="A562" t="str">
            <v>IKN400080</v>
          </cell>
          <cell r="B562">
            <v>80</v>
          </cell>
          <cell r="C562" t="str">
            <v>Institut Kanser Negara</v>
          </cell>
          <cell r="D562" t="str">
            <v>KKM/IKN/H/13/955</v>
          </cell>
          <cell r="E562" t="str">
            <v>13-209</v>
          </cell>
          <cell r="F562" t="str">
            <v>Pumps, Enteral Feeding</v>
          </cell>
          <cell r="G562" t="str">
            <v>IC</v>
          </cell>
          <cell r="H562" t="str">
            <v>INTENSIVE CARE UNIT</v>
          </cell>
          <cell r="I562" t="str">
            <v>05IC112</v>
          </cell>
          <cell r="J562" t="str">
            <v>ICU RM 1</v>
          </cell>
          <cell r="K562" t="str">
            <v>BMED</v>
          </cell>
          <cell r="L562" t="str">
            <v>Normal</v>
          </cell>
          <cell r="M562" t="str">
            <v>USA</v>
          </cell>
          <cell r="N562" t="str">
            <v>Kangaroo</v>
          </cell>
          <cell r="O562" t="str">
            <v>Kangaroo ePump</v>
          </cell>
          <cell r="P562" t="str">
            <v>C1166026</v>
          </cell>
          <cell r="Q562" t="str">
            <v>Not Applicable</v>
          </cell>
          <cell r="R562" t="str">
            <v>Covidien</v>
          </cell>
          <cell r="S562" t="str">
            <v>Schmidt Biomedtech Sdn. Bhd.</v>
          </cell>
          <cell r="T562" t="str">
            <v>Functioning</v>
          </cell>
          <cell r="U562" t="str">
            <v>Asset</v>
          </cell>
          <cell r="V562">
            <v>6615</v>
          </cell>
          <cell r="W562" t="str">
            <v>KEW</v>
          </cell>
          <cell r="X562" t="str">
            <v>01/09/2010</v>
          </cell>
          <cell r="Y562" t="str">
            <v>KEW</v>
          </cell>
          <cell r="Z562" t="str">
            <v>16/08/2013</v>
          </cell>
          <cell r="AA562" t="str">
            <v>15/08/2015</v>
          </cell>
          <cell r="AB562" t="str">
            <v>No</v>
          </cell>
          <cell r="AC562" t="str">
            <v>31/08/2013</v>
          </cell>
          <cell r="AD562" t="str">
            <v>Good</v>
          </cell>
          <cell r="AE562" t="str">
            <v>V1 - Existing / No Claim</v>
          </cell>
          <cell r="AF562">
            <v>42235</v>
          </cell>
          <cell r="AG562">
            <v>9.17</v>
          </cell>
          <cell r="AH562" t="str">
            <v>PPM</v>
          </cell>
          <cell r="AI562" t="str">
            <v>Strands</v>
          </cell>
          <cell r="AJ562" t="str">
            <v>Strands PW</v>
          </cell>
        </row>
        <row r="563">
          <cell r="A563" t="str">
            <v>IKN400082</v>
          </cell>
          <cell r="B563">
            <v>82</v>
          </cell>
          <cell r="C563" t="str">
            <v>Institut Kanser Negara</v>
          </cell>
          <cell r="D563" t="str">
            <v>KKM/IKN/H/13/957</v>
          </cell>
          <cell r="E563" t="str">
            <v>13-209</v>
          </cell>
          <cell r="F563" t="str">
            <v>Pumps, Enteral Feeding</v>
          </cell>
          <cell r="G563" t="str">
            <v>IC</v>
          </cell>
          <cell r="H563" t="str">
            <v>INTENSIVE CARE UNIT</v>
          </cell>
          <cell r="I563" t="str">
            <v>05IC114</v>
          </cell>
          <cell r="J563" t="str">
            <v>ICU RM 3</v>
          </cell>
          <cell r="K563" t="str">
            <v>BMED</v>
          </cell>
          <cell r="L563" t="str">
            <v>Normal</v>
          </cell>
          <cell r="M563" t="str">
            <v>USA</v>
          </cell>
          <cell r="N563" t="str">
            <v>Kangaroo</v>
          </cell>
          <cell r="O563" t="str">
            <v>Kangaroo ePump</v>
          </cell>
          <cell r="P563" t="str">
            <v>C1166063</v>
          </cell>
          <cell r="Q563" t="str">
            <v>Not Applicable</v>
          </cell>
          <cell r="R563" t="str">
            <v>Covidien</v>
          </cell>
          <cell r="S563" t="str">
            <v>Schmidt Biomedtech Sdn. Bhd.</v>
          </cell>
          <cell r="T563" t="str">
            <v>Functioning</v>
          </cell>
          <cell r="U563" t="str">
            <v>Asset</v>
          </cell>
          <cell r="V563">
            <v>6615</v>
          </cell>
          <cell r="W563" t="str">
            <v>KEW</v>
          </cell>
          <cell r="X563" t="str">
            <v>01/09/2010</v>
          </cell>
          <cell r="Y563" t="str">
            <v>KEW</v>
          </cell>
          <cell r="Z563" t="str">
            <v>16/08/2013</v>
          </cell>
          <cell r="AA563" t="str">
            <v>15/08/2015</v>
          </cell>
          <cell r="AB563" t="str">
            <v>No</v>
          </cell>
          <cell r="AC563" t="str">
            <v>31/08/2013</v>
          </cell>
          <cell r="AD563" t="str">
            <v>Good</v>
          </cell>
          <cell r="AE563" t="str">
            <v>V1 - Existing / No Claim</v>
          </cell>
          <cell r="AF563">
            <v>42235</v>
          </cell>
          <cell r="AG563">
            <v>9.17</v>
          </cell>
          <cell r="AH563" t="str">
            <v>PPM</v>
          </cell>
          <cell r="AI563" t="str">
            <v>Strands</v>
          </cell>
          <cell r="AJ563" t="str">
            <v>Strands PW</v>
          </cell>
        </row>
        <row r="564">
          <cell r="A564" t="str">
            <v>IKN400083</v>
          </cell>
          <cell r="B564">
            <v>83</v>
          </cell>
          <cell r="C564" t="str">
            <v>Institut Kanser Negara</v>
          </cell>
          <cell r="D564" t="str">
            <v>KKM/IKN/H/13/958</v>
          </cell>
          <cell r="E564" t="str">
            <v>13-209</v>
          </cell>
          <cell r="F564" t="str">
            <v>Pumps, Enteral Feeding</v>
          </cell>
          <cell r="G564" t="str">
            <v>IC</v>
          </cell>
          <cell r="H564" t="str">
            <v>INTENSIVE CARE UNIT</v>
          </cell>
          <cell r="I564" t="str">
            <v>05IC115</v>
          </cell>
          <cell r="J564" t="str">
            <v>ICU RM 4</v>
          </cell>
          <cell r="K564" t="str">
            <v>BMED</v>
          </cell>
          <cell r="L564" t="str">
            <v>Normal</v>
          </cell>
          <cell r="M564" t="str">
            <v>USA</v>
          </cell>
          <cell r="N564" t="str">
            <v>Kangaroo</v>
          </cell>
          <cell r="O564" t="str">
            <v>Kangaroo ePump</v>
          </cell>
          <cell r="P564" t="str">
            <v>C1166100</v>
          </cell>
          <cell r="Q564" t="str">
            <v>Not Applicable</v>
          </cell>
          <cell r="R564" t="str">
            <v>Covidien</v>
          </cell>
          <cell r="S564" t="str">
            <v>Schmidt Biomedtech Sdn. Bhd.</v>
          </cell>
          <cell r="T564" t="str">
            <v>Functioning</v>
          </cell>
          <cell r="U564" t="str">
            <v>Asset</v>
          </cell>
          <cell r="V564">
            <v>6615</v>
          </cell>
          <cell r="W564" t="str">
            <v>KEW</v>
          </cell>
          <cell r="X564" t="str">
            <v>01/09/2010</v>
          </cell>
          <cell r="Y564" t="str">
            <v>KEW</v>
          </cell>
          <cell r="Z564" t="str">
            <v>16/08/2013</v>
          </cell>
          <cell r="AA564" t="str">
            <v>15/08/2015</v>
          </cell>
          <cell r="AB564" t="str">
            <v>No</v>
          </cell>
          <cell r="AC564" t="str">
            <v>31/08/2013</v>
          </cell>
          <cell r="AD564" t="str">
            <v>Good</v>
          </cell>
          <cell r="AE564" t="str">
            <v>V1 - Existing / No Claim</v>
          </cell>
          <cell r="AF564">
            <v>42235</v>
          </cell>
          <cell r="AG564">
            <v>9.17</v>
          </cell>
          <cell r="AH564" t="str">
            <v>PPM</v>
          </cell>
          <cell r="AI564" t="str">
            <v>Strands</v>
          </cell>
          <cell r="AJ564" t="str">
            <v>Strands PW</v>
          </cell>
        </row>
        <row r="565">
          <cell r="A565" t="str">
            <v>IKN400084</v>
          </cell>
          <cell r="B565">
            <v>84</v>
          </cell>
          <cell r="C565" t="str">
            <v>Institut Kanser Negara</v>
          </cell>
          <cell r="D565" t="str">
            <v>KKM/IKN/H/13/959</v>
          </cell>
          <cell r="E565" t="str">
            <v>13-209</v>
          </cell>
          <cell r="F565" t="str">
            <v>Pumps, Enteral Feeding</v>
          </cell>
          <cell r="G565" t="str">
            <v>IC</v>
          </cell>
          <cell r="H565" t="str">
            <v>INTENSIVE CARE UNIT</v>
          </cell>
          <cell r="I565" t="str">
            <v>05IC116</v>
          </cell>
          <cell r="J565" t="str">
            <v>ISOL 2 (+VE)</v>
          </cell>
          <cell r="K565" t="str">
            <v>BMED</v>
          </cell>
          <cell r="L565" t="str">
            <v>Normal</v>
          </cell>
          <cell r="M565" t="str">
            <v>USA</v>
          </cell>
          <cell r="N565" t="str">
            <v>Kangaroo</v>
          </cell>
          <cell r="O565" t="str">
            <v>Kangaroo ePump</v>
          </cell>
          <cell r="P565" t="str">
            <v>C1166873</v>
          </cell>
          <cell r="Q565" t="str">
            <v>Not Applicable</v>
          </cell>
          <cell r="R565" t="str">
            <v>Covidien</v>
          </cell>
          <cell r="S565" t="str">
            <v>Schmidt Biomedtech Sdn. Bhd.</v>
          </cell>
          <cell r="T565" t="str">
            <v>Functioning</v>
          </cell>
          <cell r="U565" t="str">
            <v>Asset</v>
          </cell>
          <cell r="V565">
            <v>6615</v>
          </cell>
          <cell r="W565" t="str">
            <v>KEW</v>
          </cell>
          <cell r="X565" t="str">
            <v>01/09/2010</v>
          </cell>
          <cell r="Y565" t="str">
            <v>KEW</v>
          </cell>
          <cell r="Z565" t="str">
            <v>16/08/2013</v>
          </cell>
          <cell r="AA565" t="str">
            <v>15/08/2015</v>
          </cell>
          <cell r="AB565" t="str">
            <v>No</v>
          </cell>
          <cell r="AC565" t="str">
            <v>31/08/2013</v>
          </cell>
          <cell r="AD565" t="str">
            <v>Good</v>
          </cell>
          <cell r="AE565" t="str">
            <v>V1 - Existing / No Claim</v>
          </cell>
          <cell r="AF565">
            <v>42797</v>
          </cell>
          <cell r="AG565">
            <v>9.17</v>
          </cell>
          <cell r="AH565" t="str">
            <v>PPM</v>
          </cell>
          <cell r="AI565" t="str">
            <v>Strands</v>
          </cell>
          <cell r="AJ565" t="str">
            <v>Strands PW</v>
          </cell>
        </row>
        <row r="566">
          <cell r="A566" t="str">
            <v>IKN400085</v>
          </cell>
          <cell r="B566">
            <v>85</v>
          </cell>
          <cell r="C566" t="str">
            <v>Institut Kanser Negara</v>
          </cell>
          <cell r="D566" t="str">
            <v>KKM/IKN/H/13/960</v>
          </cell>
          <cell r="E566" t="str">
            <v>13-209</v>
          </cell>
          <cell r="F566" t="str">
            <v>Pumps, Enteral Feeding</v>
          </cell>
          <cell r="G566" t="str">
            <v>IC</v>
          </cell>
          <cell r="H566" t="str">
            <v>INTENSIVE CARE UNIT</v>
          </cell>
          <cell r="I566" t="str">
            <v>05IC129</v>
          </cell>
          <cell r="J566" t="str">
            <v>ISOL 4 (+VE)</v>
          </cell>
          <cell r="K566" t="str">
            <v>BMED</v>
          </cell>
          <cell r="L566" t="str">
            <v>Normal</v>
          </cell>
          <cell r="M566" t="str">
            <v>USA</v>
          </cell>
          <cell r="N566" t="str">
            <v>Kangaroo</v>
          </cell>
          <cell r="O566" t="str">
            <v>Kangaroo ePump</v>
          </cell>
          <cell r="P566" t="str">
            <v>C1176479</v>
          </cell>
          <cell r="Q566" t="str">
            <v>Not Applicable</v>
          </cell>
          <cell r="R566" t="str">
            <v>Covidien</v>
          </cell>
          <cell r="S566" t="str">
            <v>Schmidt Biomedtech Sdn. Bhd.</v>
          </cell>
          <cell r="T566" t="str">
            <v>Functioning</v>
          </cell>
          <cell r="U566" t="str">
            <v>Asset</v>
          </cell>
          <cell r="V566">
            <v>6615</v>
          </cell>
          <cell r="W566" t="str">
            <v>KEW</v>
          </cell>
          <cell r="X566" t="str">
            <v>01/09/2010</v>
          </cell>
          <cell r="Y566" t="str">
            <v>KEW</v>
          </cell>
          <cell r="Z566" t="str">
            <v>16/08/2013</v>
          </cell>
          <cell r="AA566" t="str">
            <v>15/08/2015</v>
          </cell>
          <cell r="AB566" t="str">
            <v>No</v>
          </cell>
          <cell r="AC566" t="str">
            <v>31/08/2013</v>
          </cell>
          <cell r="AD566" t="str">
            <v>Good</v>
          </cell>
          <cell r="AE566" t="str">
            <v>V1 - Existing / No Claim</v>
          </cell>
          <cell r="AF566">
            <v>42235</v>
          </cell>
          <cell r="AG566">
            <v>9.17</v>
          </cell>
          <cell r="AH566" t="str">
            <v>PPM</v>
          </cell>
          <cell r="AI566" t="str">
            <v>Strands</v>
          </cell>
          <cell r="AJ566" t="str">
            <v>Strands PW</v>
          </cell>
        </row>
        <row r="567">
          <cell r="A567" t="str">
            <v>IKN400086</v>
          </cell>
          <cell r="B567">
            <v>86</v>
          </cell>
          <cell r="C567" t="str">
            <v>Institut Kanser Negara</v>
          </cell>
          <cell r="D567" t="str">
            <v>KKM/IKN/H/13/1132</v>
          </cell>
          <cell r="E567" t="str">
            <v>13-209</v>
          </cell>
          <cell r="F567" t="str">
            <v>Pumps, Enteral Feeding</v>
          </cell>
          <cell r="G567" t="str">
            <v>IC</v>
          </cell>
          <cell r="H567" t="str">
            <v>INTENSIVE CARE UNIT</v>
          </cell>
          <cell r="I567" t="str">
            <v>05IC131</v>
          </cell>
          <cell r="J567" t="str">
            <v>ISOL 3 (+VE)</v>
          </cell>
          <cell r="K567" t="str">
            <v>BMED</v>
          </cell>
          <cell r="L567" t="str">
            <v>Normal</v>
          </cell>
          <cell r="M567" t="str">
            <v>USA</v>
          </cell>
          <cell r="N567" t="str">
            <v>Kangaroo</v>
          </cell>
          <cell r="O567" t="str">
            <v>Kangaroo ePump</v>
          </cell>
          <cell r="P567" t="str">
            <v>C1176494</v>
          </cell>
          <cell r="Q567" t="str">
            <v>Not Applicable</v>
          </cell>
          <cell r="R567" t="str">
            <v>Covidien</v>
          </cell>
          <cell r="S567" t="str">
            <v>Schmidt Biomedtech Sdn. Bhd.</v>
          </cell>
          <cell r="T567" t="str">
            <v>Functioning</v>
          </cell>
          <cell r="U567" t="str">
            <v>Asset</v>
          </cell>
          <cell r="V567">
            <v>6615</v>
          </cell>
          <cell r="W567" t="str">
            <v>KEW</v>
          </cell>
          <cell r="X567" t="str">
            <v>01/09/2010</v>
          </cell>
          <cell r="Y567" t="str">
            <v>KEW</v>
          </cell>
          <cell r="Z567" t="str">
            <v>16/08/2013</v>
          </cell>
          <cell r="AA567" t="str">
            <v>15/08/2015</v>
          </cell>
          <cell r="AB567" t="str">
            <v>No</v>
          </cell>
          <cell r="AC567" t="str">
            <v>31/08/2013</v>
          </cell>
          <cell r="AD567" t="str">
            <v>Good</v>
          </cell>
          <cell r="AE567" t="str">
            <v>V1 - Existing / No Claim</v>
          </cell>
          <cell r="AF567">
            <v>42797</v>
          </cell>
          <cell r="AG567">
            <v>9.17</v>
          </cell>
          <cell r="AH567" t="str">
            <v>PPM</v>
          </cell>
          <cell r="AI567" t="str">
            <v>Strands</v>
          </cell>
          <cell r="AJ567" t="str">
            <v>Strands PW</v>
          </cell>
        </row>
        <row r="568">
          <cell r="A568" t="str">
            <v>IKN400087</v>
          </cell>
          <cell r="B568">
            <v>87</v>
          </cell>
          <cell r="C568" t="str">
            <v>Institut Kanser Negara</v>
          </cell>
          <cell r="D568" t="str">
            <v>KKM/IKN/H/13/961</v>
          </cell>
          <cell r="E568" t="str">
            <v>13-217</v>
          </cell>
          <cell r="F568" t="str">
            <v>Infusion Pumps, Syringe</v>
          </cell>
          <cell r="G568" t="str">
            <v>IC</v>
          </cell>
          <cell r="H568" t="str">
            <v>INTENSIVE CARE UNIT</v>
          </cell>
          <cell r="I568" t="str">
            <v>05IC111</v>
          </cell>
          <cell r="J568" t="str">
            <v>ISOL 1(-VE)</v>
          </cell>
          <cell r="K568" t="str">
            <v>BMED</v>
          </cell>
          <cell r="L568" t="str">
            <v>Normal</v>
          </cell>
          <cell r="M568" t="str">
            <v>Germany</v>
          </cell>
          <cell r="N568" t="str">
            <v>Perfusor</v>
          </cell>
          <cell r="O568" t="str">
            <v>Perfusor Space</v>
          </cell>
          <cell r="P568" t="str">
            <v>143291</v>
          </cell>
          <cell r="Q568" t="str">
            <v>Not Applicable</v>
          </cell>
          <cell r="R568" t="str">
            <v>B Braun Melsungen AG</v>
          </cell>
          <cell r="S568" t="str">
            <v>B Braun Medical Supplies Sdn. Bhd.</v>
          </cell>
          <cell r="T568" t="str">
            <v>Functioning</v>
          </cell>
          <cell r="U568" t="str">
            <v>Asset</v>
          </cell>
          <cell r="V568">
            <v>10225</v>
          </cell>
          <cell r="W568" t="str">
            <v>KEW</v>
          </cell>
          <cell r="X568" t="str">
            <v>01/09/2010</v>
          </cell>
          <cell r="Y568" t="str">
            <v>KEW</v>
          </cell>
          <cell r="Z568" t="str">
            <v>16/08/2013</v>
          </cell>
          <cell r="AA568" t="str">
            <v>15/08/2015</v>
          </cell>
          <cell r="AB568" t="str">
            <v>No</v>
          </cell>
          <cell r="AC568" t="str">
            <v>31/08/2013</v>
          </cell>
          <cell r="AD568" t="str">
            <v>Good</v>
          </cell>
          <cell r="AE568" t="str">
            <v>V1 - Existing / No Claim</v>
          </cell>
          <cell r="AF568">
            <v>42235</v>
          </cell>
          <cell r="AG568">
            <v>9.17</v>
          </cell>
          <cell r="AH568" t="str">
            <v>PPM</v>
          </cell>
          <cell r="AI568" t="str">
            <v>Strands</v>
          </cell>
          <cell r="AJ568" t="str">
            <v>Strands PW</v>
          </cell>
        </row>
        <row r="569">
          <cell r="A569" t="str">
            <v>IKN400088</v>
          </cell>
          <cell r="B569">
            <v>88</v>
          </cell>
          <cell r="C569" t="str">
            <v>Institut Kanser Negara</v>
          </cell>
          <cell r="D569" t="str">
            <v>KKM/IKN/H/13/962</v>
          </cell>
          <cell r="E569" t="str">
            <v>13-217</v>
          </cell>
          <cell r="F569" t="str">
            <v>Infusion Pumps, Syringe</v>
          </cell>
          <cell r="G569" t="str">
            <v>IC</v>
          </cell>
          <cell r="H569" t="str">
            <v>INTENSIVE CARE UNIT</v>
          </cell>
          <cell r="I569" t="str">
            <v>05IC111</v>
          </cell>
          <cell r="J569" t="str">
            <v>ISOL 1(-VE)</v>
          </cell>
          <cell r="K569" t="str">
            <v>BMED</v>
          </cell>
          <cell r="L569" t="str">
            <v>Normal</v>
          </cell>
          <cell r="M569" t="str">
            <v>Germany</v>
          </cell>
          <cell r="N569" t="str">
            <v>Perfusor</v>
          </cell>
          <cell r="O569" t="str">
            <v>Perfusor Space</v>
          </cell>
          <cell r="P569" t="str">
            <v>186992</v>
          </cell>
          <cell r="Q569" t="str">
            <v>Not Applicable</v>
          </cell>
          <cell r="R569" t="str">
            <v>B Braun Melsungen AG</v>
          </cell>
          <cell r="S569" t="str">
            <v>B Braun Medical Supplies Sdn. Bhd.</v>
          </cell>
          <cell r="T569" t="str">
            <v>Functioning</v>
          </cell>
          <cell r="U569" t="str">
            <v>Asset</v>
          </cell>
          <cell r="V569">
            <v>10225</v>
          </cell>
          <cell r="W569" t="str">
            <v>KEW</v>
          </cell>
          <cell r="X569" t="str">
            <v>01/09/2010</v>
          </cell>
          <cell r="Y569" t="str">
            <v>KEW</v>
          </cell>
          <cell r="Z569" t="str">
            <v>16/08/2013</v>
          </cell>
          <cell r="AA569" t="str">
            <v>15/08/2015</v>
          </cell>
          <cell r="AB569" t="str">
            <v>No</v>
          </cell>
          <cell r="AC569" t="str">
            <v>31/08/2013</v>
          </cell>
          <cell r="AD569" t="str">
            <v>Good</v>
          </cell>
          <cell r="AE569" t="str">
            <v>V1 - Existing / No Claim</v>
          </cell>
          <cell r="AF569">
            <v>42235</v>
          </cell>
          <cell r="AG569">
            <v>9.17</v>
          </cell>
          <cell r="AH569" t="str">
            <v>PPM</v>
          </cell>
          <cell r="AI569" t="str">
            <v>Strands</v>
          </cell>
          <cell r="AJ569" t="str">
            <v>Strands PW</v>
          </cell>
        </row>
        <row r="570">
          <cell r="A570" t="str">
            <v>IKN400089</v>
          </cell>
          <cell r="B570">
            <v>89</v>
          </cell>
          <cell r="C570" t="str">
            <v>Institut Kanser Negara</v>
          </cell>
          <cell r="D570" t="str">
            <v>KKM/IKN/H/13/963</v>
          </cell>
          <cell r="E570" t="str">
            <v>13-217</v>
          </cell>
          <cell r="F570" t="str">
            <v>Infusion Pumps, Syringe</v>
          </cell>
          <cell r="G570" t="str">
            <v>IC</v>
          </cell>
          <cell r="H570" t="str">
            <v>INTENSIVE CARE UNIT</v>
          </cell>
          <cell r="I570" t="str">
            <v>05IC111</v>
          </cell>
          <cell r="J570" t="str">
            <v>ISOL 1(-VE)</v>
          </cell>
          <cell r="K570" t="str">
            <v>BMED</v>
          </cell>
          <cell r="L570" t="str">
            <v>Normal</v>
          </cell>
          <cell r="M570" t="str">
            <v>Germany</v>
          </cell>
          <cell r="N570" t="str">
            <v>Perfusor</v>
          </cell>
          <cell r="O570" t="str">
            <v>Perfusor Space</v>
          </cell>
          <cell r="P570" t="str">
            <v>186990</v>
          </cell>
          <cell r="Q570" t="str">
            <v>Not Applicable</v>
          </cell>
          <cell r="R570" t="str">
            <v>B Braun Melsungen AG</v>
          </cell>
          <cell r="S570" t="str">
            <v>B Braun Medical Supplies Sdn. Bhd.</v>
          </cell>
          <cell r="T570" t="str">
            <v>Functioning</v>
          </cell>
          <cell r="U570" t="str">
            <v>Asset</v>
          </cell>
          <cell r="V570">
            <v>10225</v>
          </cell>
          <cell r="W570" t="str">
            <v>KEW</v>
          </cell>
          <cell r="X570" t="str">
            <v>01/09/2010</v>
          </cell>
          <cell r="Y570" t="str">
            <v>KEW</v>
          </cell>
          <cell r="Z570" t="str">
            <v>16/08/2013</v>
          </cell>
          <cell r="AA570" t="str">
            <v>15/08/2015</v>
          </cell>
          <cell r="AB570" t="str">
            <v>No</v>
          </cell>
          <cell r="AC570" t="str">
            <v>31/08/2013</v>
          </cell>
          <cell r="AD570" t="str">
            <v>Good</v>
          </cell>
          <cell r="AE570" t="str">
            <v>V1 - Existing / No Claim</v>
          </cell>
          <cell r="AF570">
            <v>42235</v>
          </cell>
          <cell r="AG570">
            <v>9.17</v>
          </cell>
          <cell r="AH570" t="str">
            <v>PPM</v>
          </cell>
          <cell r="AI570" t="str">
            <v>Strands</v>
          </cell>
          <cell r="AJ570" t="str">
            <v>Strands PW</v>
          </cell>
        </row>
        <row r="571">
          <cell r="A571" t="str">
            <v>IKN400090</v>
          </cell>
          <cell r="B571">
            <v>90</v>
          </cell>
          <cell r="C571" t="str">
            <v>Institut Kanser Negara</v>
          </cell>
          <cell r="D571" t="str">
            <v>KKM/IKN/H/13/964</v>
          </cell>
          <cell r="E571" t="str">
            <v>13-217</v>
          </cell>
          <cell r="F571" t="str">
            <v>Infusion Pumps, Syringe</v>
          </cell>
          <cell r="G571" t="str">
            <v>IC</v>
          </cell>
          <cell r="H571" t="str">
            <v>INTENSIVE CARE UNIT</v>
          </cell>
          <cell r="I571" t="str">
            <v>05IC111</v>
          </cell>
          <cell r="J571" t="str">
            <v>ISOL 1(-VE)</v>
          </cell>
          <cell r="K571" t="str">
            <v>BMED</v>
          </cell>
          <cell r="L571" t="str">
            <v>Normal</v>
          </cell>
          <cell r="M571" t="str">
            <v>Germany</v>
          </cell>
          <cell r="N571" t="str">
            <v>Perfusor</v>
          </cell>
          <cell r="O571" t="str">
            <v>Perfusor Space</v>
          </cell>
          <cell r="P571" t="str">
            <v>187023</v>
          </cell>
          <cell r="Q571" t="str">
            <v>Not Applicable</v>
          </cell>
          <cell r="R571" t="str">
            <v>B Braun Melsungen AG</v>
          </cell>
          <cell r="S571" t="str">
            <v>B Braun Medical Supplies Sdn. Bhd.</v>
          </cell>
          <cell r="T571" t="str">
            <v>Functioning</v>
          </cell>
          <cell r="U571" t="str">
            <v>Asset</v>
          </cell>
          <cell r="V571">
            <v>10225</v>
          </cell>
          <cell r="W571" t="str">
            <v>KEW</v>
          </cell>
          <cell r="X571" t="str">
            <v>01/09/2010</v>
          </cell>
          <cell r="Y571" t="str">
            <v>KEW</v>
          </cell>
          <cell r="Z571" t="str">
            <v>16/08/2013</v>
          </cell>
          <cell r="AA571" t="str">
            <v>15/08/2015</v>
          </cell>
          <cell r="AB571" t="str">
            <v>No</v>
          </cell>
          <cell r="AC571" t="str">
            <v>31/08/2013</v>
          </cell>
          <cell r="AD571" t="str">
            <v>Good</v>
          </cell>
          <cell r="AE571" t="str">
            <v>V1 - Existing / No Claim</v>
          </cell>
          <cell r="AF571">
            <v>42235</v>
          </cell>
          <cell r="AG571">
            <v>9.17</v>
          </cell>
          <cell r="AH571" t="str">
            <v>PPM</v>
          </cell>
          <cell r="AI571" t="str">
            <v>Strands</v>
          </cell>
          <cell r="AJ571" t="str">
            <v>Strands PW</v>
          </cell>
        </row>
        <row r="572">
          <cell r="A572" t="str">
            <v>IKN400091</v>
          </cell>
          <cell r="B572">
            <v>91</v>
          </cell>
          <cell r="C572" t="str">
            <v>Institut Kanser Negara</v>
          </cell>
          <cell r="D572" t="str">
            <v>KKM/IKN/H/13/2054</v>
          </cell>
          <cell r="E572" t="str">
            <v>13-217</v>
          </cell>
          <cell r="F572" t="str">
            <v>Infusion Pumps, Syringe</v>
          </cell>
          <cell r="G572" t="str">
            <v>IC</v>
          </cell>
          <cell r="H572" t="str">
            <v>INTENSIVE CARE UNIT</v>
          </cell>
          <cell r="I572" t="str">
            <v>05IC111</v>
          </cell>
          <cell r="J572" t="str">
            <v>ISOL 1(-VE)</v>
          </cell>
          <cell r="K572" t="str">
            <v>BMED</v>
          </cell>
          <cell r="L572" t="str">
            <v>Normal</v>
          </cell>
          <cell r="M572" t="str">
            <v>Germany</v>
          </cell>
          <cell r="N572" t="str">
            <v>Perfusor</v>
          </cell>
          <cell r="O572" t="str">
            <v>Perfusor Space</v>
          </cell>
          <cell r="P572" t="str">
            <v>186985</v>
          </cell>
          <cell r="Q572" t="str">
            <v>Not Applicable</v>
          </cell>
          <cell r="R572" t="str">
            <v>B Braun Melsungen AG</v>
          </cell>
          <cell r="S572" t="str">
            <v>B Braun Medical Supplies Sdn. Bhd.</v>
          </cell>
          <cell r="T572" t="str">
            <v>Functioning</v>
          </cell>
          <cell r="U572" t="str">
            <v>Asset</v>
          </cell>
          <cell r="V572">
            <v>10225</v>
          </cell>
          <cell r="W572" t="str">
            <v>KEW</v>
          </cell>
          <cell r="X572" t="str">
            <v>01/09/2010</v>
          </cell>
          <cell r="Y572" t="str">
            <v>KEW</v>
          </cell>
          <cell r="Z572" t="str">
            <v>16/08/2013</v>
          </cell>
          <cell r="AA572" t="str">
            <v>15/08/2015</v>
          </cell>
          <cell r="AB572" t="str">
            <v>No</v>
          </cell>
          <cell r="AC572" t="str">
            <v>31/08/2013</v>
          </cell>
          <cell r="AD572" t="str">
            <v>Good</v>
          </cell>
          <cell r="AE572" t="str">
            <v>V1 - Existing / No Claim</v>
          </cell>
          <cell r="AF572">
            <v>42235</v>
          </cell>
          <cell r="AG572">
            <v>9.17</v>
          </cell>
          <cell r="AH572" t="str">
            <v>PPM</v>
          </cell>
          <cell r="AI572" t="str">
            <v>Strands</v>
          </cell>
          <cell r="AJ572" t="str">
            <v>Strands PW</v>
          </cell>
        </row>
        <row r="573">
          <cell r="A573" t="str">
            <v>IKN400092</v>
          </cell>
          <cell r="B573">
            <v>92</v>
          </cell>
          <cell r="C573" t="str">
            <v>Institut Kanser Negara</v>
          </cell>
          <cell r="D573" t="str">
            <v>KKM/IKN/H/13/965</v>
          </cell>
          <cell r="E573" t="str">
            <v>13-217</v>
          </cell>
          <cell r="F573" t="str">
            <v>Infusion Pumps, Syringe</v>
          </cell>
          <cell r="G573" t="str">
            <v>IC</v>
          </cell>
          <cell r="H573" t="str">
            <v>INTENSIVE CARE UNIT</v>
          </cell>
          <cell r="I573" t="str">
            <v>05IC111</v>
          </cell>
          <cell r="J573" t="str">
            <v>ISOL 1(-VE)</v>
          </cell>
          <cell r="K573" t="str">
            <v>BMED</v>
          </cell>
          <cell r="L573" t="str">
            <v>Normal</v>
          </cell>
          <cell r="M573" t="str">
            <v>Germany</v>
          </cell>
          <cell r="N573" t="str">
            <v>Perfusor</v>
          </cell>
          <cell r="O573" t="str">
            <v>Perfusor Space</v>
          </cell>
          <cell r="P573" t="str">
            <v>187048</v>
          </cell>
          <cell r="Q573" t="str">
            <v>Not Applicable</v>
          </cell>
          <cell r="R573" t="str">
            <v>B Braun Melsungen AG</v>
          </cell>
          <cell r="S573" t="str">
            <v>B Braun Medical Supplies Sdn. Bhd.</v>
          </cell>
          <cell r="T573" t="str">
            <v>Functioning</v>
          </cell>
          <cell r="U573" t="str">
            <v>Asset</v>
          </cell>
          <cell r="V573">
            <v>10225</v>
          </cell>
          <cell r="W573" t="str">
            <v>KEW</v>
          </cell>
          <cell r="X573" t="str">
            <v>01/09/2010</v>
          </cell>
          <cell r="Y573" t="str">
            <v>KEW</v>
          </cell>
          <cell r="Z573" t="str">
            <v>16/08/2013</v>
          </cell>
          <cell r="AA573" t="str">
            <v>15/08/2015</v>
          </cell>
          <cell r="AB573" t="str">
            <v>No</v>
          </cell>
          <cell r="AC573" t="str">
            <v>31/08/2013</v>
          </cell>
          <cell r="AD573" t="str">
            <v>Good</v>
          </cell>
          <cell r="AE573" t="str">
            <v>V1 - Existing / No Claim</v>
          </cell>
          <cell r="AF573">
            <v>42235</v>
          </cell>
          <cell r="AG573">
            <v>9.17</v>
          </cell>
          <cell r="AH573" t="str">
            <v>PPM</v>
          </cell>
          <cell r="AI573" t="str">
            <v>Strands</v>
          </cell>
          <cell r="AJ573" t="str">
            <v>Strands PW</v>
          </cell>
        </row>
        <row r="574">
          <cell r="A574" t="str">
            <v>IKN400093</v>
          </cell>
          <cell r="B574">
            <v>93</v>
          </cell>
          <cell r="C574" t="str">
            <v>Institut Kanser Negara</v>
          </cell>
          <cell r="D574" t="str">
            <v>KKM/IKN/H/13/966</v>
          </cell>
          <cell r="E574" t="str">
            <v>13-217</v>
          </cell>
          <cell r="F574" t="str">
            <v>Infusion Pumps, Syringe</v>
          </cell>
          <cell r="G574" t="str">
            <v>IC</v>
          </cell>
          <cell r="H574" t="str">
            <v>INTENSIVE CARE UNIT</v>
          </cell>
          <cell r="I574" t="str">
            <v>05IC112</v>
          </cell>
          <cell r="J574" t="str">
            <v>ICU RM 1</v>
          </cell>
          <cell r="K574" t="str">
            <v>BMED</v>
          </cell>
          <cell r="L574" t="str">
            <v>Normal</v>
          </cell>
          <cell r="M574" t="str">
            <v>Germany</v>
          </cell>
          <cell r="N574" t="str">
            <v>Perfusor</v>
          </cell>
          <cell r="O574" t="str">
            <v>Perfusor Space</v>
          </cell>
          <cell r="P574" t="str">
            <v>143224</v>
          </cell>
          <cell r="Q574" t="str">
            <v>Not Applicable</v>
          </cell>
          <cell r="R574" t="str">
            <v>B Braun Melsungen AG</v>
          </cell>
          <cell r="S574" t="str">
            <v>B Braun Medical Supplies Sdn. Bhd.</v>
          </cell>
          <cell r="T574" t="str">
            <v>Functioning</v>
          </cell>
          <cell r="U574" t="str">
            <v>Asset</v>
          </cell>
          <cell r="V574">
            <v>10225</v>
          </cell>
          <cell r="W574" t="str">
            <v>KEW</v>
          </cell>
          <cell r="X574" t="str">
            <v>01/09/2010</v>
          </cell>
          <cell r="Y574" t="str">
            <v>KEW</v>
          </cell>
          <cell r="Z574" t="str">
            <v>16/08/2013</v>
          </cell>
          <cell r="AA574" t="str">
            <v>15/08/2015</v>
          </cell>
          <cell r="AB574" t="str">
            <v>No</v>
          </cell>
          <cell r="AC574" t="str">
            <v>31/08/2013</v>
          </cell>
          <cell r="AD574" t="str">
            <v>Good</v>
          </cell>
          <cell r="AE574" t="str">
            <v>V1 - Existing / No Claim</v>
          </cell>
          <cell r="AF574">
            <v>42235</v>
          </cell>
          <cell r="AG574">
            <v>9.17</v>
          </cell>
          <cell r="AH574" t="str">
            <v>PPM</v>
          </cell>
          <cell r="AI574" t="str">
            <v>Strands</v>
          </cell>
          <cell r="AJ574" t="str">
            <v>Strands PW</v>
          </cell>
        </row>
        <row r="575">
          <cell r="A575" t="str">
            <v>IKN400094</v>
          </cell>
          <cell r="B575">
            <v>94</v>
          </cell>
          <cell r="C575" t="str">
            <v>Institut Kanser Negara</v>
          </cell>
          <cell r="D575" t="str">
            <v>KKM/IKN/H/13/1189</v>
          </cell>
          <cell r="E575" t="str">
            <v>13-217</v>
          </cell>
          <cell r="F575" t="str">
            <v>Infusion Pumps, Syringe</v>
          </cell>
          <cell r="G575" t="str">
            <v>IC</v>
          </cell>
          <cell r="H575" t="str">
            <v>INTENSIVE CARE UNIT</v>
          </cell>
          <cell r="I575" t="str">
            <v>05IC112</v>
          </cell>
          <cell r="J575" t="str">
            <v>ICU RM 1</v>
          </cell>
          <cell r="K575" t="str">
            <v>BMED</v>
          </cell>
          <cell r="L575" t="str">
            <v>Normal</v>
          </cell>
          <cell r="M575" t="str">
            <v>Germany</v>
          </cell>
          <cell r="N575" t="str">
            <v>Perfusor</v>
          </cell>
          <cell r="O575" t="str">
            <v>Perfusor Space</v>
          </cell>
          <cell r="P575" t="str">
            <v>143326</v>
          </cell>
          <cell r="Q575" t="str">
            <v>Not Applicable</v>
          </cell>
          <cell r="R575" t="str">
            <v>B Braun Melsungen AG</v>
          </cell>
          <cell r="S575" t="str">
            <v>B Braun Medical Supplies Sdn. Bhd.</v>
          </cell>
          <cell r="T575" t="str">
            <v>Functioning</v>
          </cell>
          <cell r="U575" t="str">
            <v>Asset</v>
          </cell>
          <cell r="V575">
            <v>10225</v>
          </cell>
          <cell r="W575" t="str">
            <v>KEW</v>
          </cell>
          <cell r="X575" t="str">
            <v>01/09/2010</v>
          </cell>
          <cell r="Y575" t="str">
            <v>KEW</v>
          </cell>
          <cell r="Z575" t="str">
            <v>16/08/2013</v>
          </cell>
          <cell r="AA575" t="str">
            <v>15/08/2015</v>
          </cell>
          <cell r="AB575" t="str">
            <v>No</v>
          </cell>
          <cell r="AC575" t="str">
            <v>31/08/2013</v>
          </cell>
          <cell r="AD575" t="str">
            <v>Good</v>
          </cell>
          <cell r="AE575" t="str">
            <v>V1 - Existing / No Claim</v>
          </cell>
          <cell r="AF575">
            <v>42235</v>
          </cell>
          <cell r="AG575">
            <v>9.17</v>
          </cell>
          <cell r="AH575" t="str">
            <v>PPM</v>
          </cell>
          <cell r="AI575" t="str">
            <v>Strands</v>
          </cell>
          <cell r="AJ575" t="str">
            <v>Strands PW SET A</v>
          </cell>
          <cell r="AK575" t="str">
            <v>CUBA CHECK IKN401165 PUNYA KEWPA</v>
          </cell>
        </row>
        <row r="576">
          <cell r="A576" t="str">
            <v>IKN400095</v>
          </cell>
          <cell r="B576">
            <v>95</v>
          </cell>
          <cell r="C576" t="str">
            <v>Institut Kanser Negara</v>
          </cell>
          <cell r="D576" t="str">
            <v>KKM/IKN/H/13/967</v>
          </cell>
          <cell r="E576" t="str">
            <v>13-217</v>
          </cell>
          <cell r="F576" t="str">
            <v>Infusion Pumps, Syringe</v>
          </cell>
          <cell r="G576" t="str">
            <v>IC</v>
          </cell>
          <cell r="H576" t="str">
            <v>INTENSIVE CARE UNIT</v>
          </cell>
          <cell r="I576" t="str">
            <v>05IC112</v>
          </cell>
          <cell r="J576" t="str">
            <v>ICU RM 1</v>
          </cell>
          <cell r="K576" t="str">
            <v>BMED</v>
          </cell>
          <cell r="L576" t="str">
            <v>Normal</v>
          </cell>
          <cell r="M576" t="str">
            <v>Germany</v>
          </cell>
          <cell r="N576" t="str">
            <v>Perfusor</v>
          </cell>
          <cell r="O576" t="str">
            <v>Perfusor Space</v>
          </cell>
          <cell r="P576" t="str">
            <v>186593</v>
          </cell>
          <cell r="Q576" t="str">
            <v>Not Applicable</v>
          </cell>
          <cell r="R576" t="str">
            <v>B Braun Melsungen AG</v>
          </cell>
          <cell r="S576" t="str">
            <v>B Braun Medical Supplies Sdn. Bhd.</v>
          </cell>
          <cell r="T576" t="str">
            <v>Functioning</v>
          </cell>
          <cell r="U576" t="str">
            <v>Asset</v>
          </cell>
          <cell r="V576">
            <v>10225</v>
          </cell>
          <cell r="W576" t="str">
            <v>KEW</v>
          </cell>
          <cell r="X576" t="str">
            <v>01/09/2010</v>
          </cell>
          <cell r="Y576" t="str">
            <v>KEW</v>
          </cell>
          <cell r="Z576" t="str">
            <v>16/08/2013</v>
          </cell>
          <cell r="AA576" t="str">
            <v>15/08/2015</v>
          </cell>
          <cell r="AB576" t="str">
            <v>No</v>
          </cell>
          <cell r="AC576" t="str">
            <v>31/08/2013</v>
          </cell>
          <cell r="AD576" t="str">
            <v>Good</v>
          </cell>
          <cell r="AE576" t="str">
            <v>V1 - Existing / No Claim</v>
          </cell>
          <cell r="AF576">
            <v>42235</v>
          </cell>
          <cell r="AG576">
            <v>9.17</v>
          </cell>
          <cell r="AH576" t="str">
            <v>PPM</v>
          </cell>
          <cell r="AI576" t="str">
            <v>Strands</v>
          </cell>
          <cell r="AJ576" t="str">
            <v>Strands PW</v>
          </cell>
        </row>
        <row r="577">
          <cell r="A577" t="str">
            <v>IKN400096</v>
          </cell>
          <cell r="B577">
            <v>96</v>
          </cell>
          <cell r="C577" t="str">
            <v>Institut Kanser Negara</v>
          </cell>
          <cell r="D577" t="str">
            <v>KKM/IKN/H/13/968</v>
          </cell>
          <cell r="E577" t="str">
            <v>13-217</v>
          </cell>
          <cell r="F577" t="str">
            <v>Infusion Pumps, Syringe</v>
          </cell>
          <cell r="G577" t="str">
            <v>IC</v>
          </cell>
          <cell r="H577" t="str">
            <v>INTENSIVE CARE UNIT</v>
          </cell>
          <cell r="I577" t="str">
            <v>05IC112</v>
          </cell>
          <cell r="J577" t="str">
            <v>ICU RM 1</v>
          </cell>
          <cell r="K577" t="str">
            <v>BMED</v>
          </cell>
          <cell r="L577" t="str">
            <v>Normal</v>
          </cell>
          <cell r="M577" t="str">
            <v>Germany</v>
          </cell>
          <cell r="N577" t="str">
            <v>Perfusor</v>
          </cell>
          <cell r="O577" t="str">
            <v>Perfusor Space</v>
          </cell>
          <cell r="P577" t="str">
            <v>186973</v>
          </cell>
          <cell r="Q577" t="str">
            <v>Not Applicable</v>
          </cell>
          <cell r="R577" t="str">
            <v>B Braun Melsungen AG</v>
          </cell>
          <cell r="S577" t="str">
            <v>B Braun Medical Supplies Sdn. Bhd.</v>
          </cell>
          <cell r="T577" t="str">
            <v>Functioning</v>
          </cell>
          <cell r="U577" t="str">
            <v>Asset</v>
          </cell>
          <cell r="V577">
            <v>10225</v>
          </cell>
          <cell r="W577" t="str">
            <v>KEW</v>
          </cell>
          <cell r="X577" t="str">
            <v>01/09/2010</v>
          </cell>
          <cell r="Y577" t="str">
            <v>KEW</v>
          </cell>
          <cell r="Z577" t="str">
            <v>16/08/2013</v>
          </cell>
          <cell r="AA577" t="str">
            <v>15/08/2015</v>
          </cell>
          <cell r="AB577" t="str">
            <v>No</v>
          </cell>
          <cell r="AC577" t="str">
            <v>31/08/2013</v>
          </cell>
          <cell r="AD577" t="str">
            <v>Good</v>
          </cell>
          <cell r="AE577" t="str">
            <v>V1 - Existing / No Claim</v>
          </cell>
          <cell r="AF577">
            <v>42235</v>
          </cell>
          <cell r="AG577">
            <v>9.17</v>
          </cell>
          <cell r="AH577" t="str">
            <v>PPM</v>
          </cell>
          <cell r="AI577" t="str">
            <v>Strands</v>
          </cell>
          <cell r="AJ577" t="str">
            <v>Strands PW</v>
          </cell>
        </row>
        <row r="578">
          <cell r="A578" t="str">
            <v>IKN400097</v>
          </cell>
          <cell r="B578">
            <v>97</v>
          </cell>
          <cell r="C578" t="str">
            <v>Institut Kanser Negara</v>
          </cell>
          <cell r="D578" t="str">
            <v>KKM/IKN/H/13/969</v>
          </cell>
          <cell r="E578" t="str">
            <v>13-217</v>
          </cell>
          <cell r="F578" t="str">
            <v>Infusion Pumps, Syringe</v>
          </cell>
          <cell r="G578" t="str">
            <v>IC</v>
          </cell>
          <cell r="H578" t="str">
            <v>INTENSIVE CARE UNIT</v>
          </cell>
          <cell r="I578" t="str">
            <v>05IC112</v>
          </cell>
          <cell r="J578" t="str">
            <v>ICU RM 1</v>
          </cell>
          <cell r="K578" t="str">
            <v>BMED</v>
          </cell>
          <cell r="L578" t="str">
            <v>Normal</v>
          </cell>
          <cell r="M578" t="str">
            <v>Germany</v>
          </cell>
          <cell r="N578" t="str">
            <v>Perfusor</v>
          </cell>
          <cell r="O578" t="str">
            <v>Perfusor Space</v>
          </cell>
          <cell r="P578" t="str">
            <v>187025</v>
          </cell>
          <cell r="Q578" t="str">
            <v>Not Applicable</v>
          </cell>
          <cell r="R578" t="str">
            <v>B Braun Melsungen AG</v>
          </cell>
          <cell r="S578" t="str">
            <v>B Braun Medical Supplies Sdn. Bhd.</v>
          </cell>
          <cell r="T578" t="str">
            <v>Functioning</v>
          </cell>
          <cell r="U578" t="str">
            <v>Asset</v>
          </cell>
          <cell r="V578">
            <v>10225</v>
          </cell>
          <cell r="W578" t="str">
            <v>KEW</v>
          </cell>
          <cell r="X578" t="str">
            <v>01/09/2010</v>
          </cell>
          <cell r="Y578" t="str">
            <v>KEW</v>
          </cell>
          <cell r="Z578" t="str">
            <v>16/08/2013</v>
          </cell>
          <cell r="AA578" t="str">
            <v>15/08/2015</v>
          </cell>
          <cell r="AB578" t="str">
            <v>No</v>
          </cell>
          <cell r="AC578" t="str">
            <v>31/08/2013</v>
          </cell>
          <cell r="AD578" t="str">
            <v>Good</v>
          </cell>
          <cell r="AE578" t="str">
            <v>V1 - Existing / No Claim</v>
          </cell>
          <cell r="AF578">
            <v>42235</v>
          </cell>
          <cell r="AG578">
            <v>9.17</v>
          </cell>
          <cell r="AH578" t="str">
            <v>PPM</v>
          </cell>
          <cell r="AI578" t="str">
            <v>Strands</v>
          </cell>
          <cell r="AJ578" t="str">
            <v>Strands PW</v>
          </cell>
        </row>
        <row r="579">
          <cell r="A579" t="str">
            <v>IKN400098</v>
          </cell>
          <cell r="B579">
            <v>98</v>
          </cell>
          <cell r="C579" t="str">
            <v>Institut Kanser Negara</v>
          </cell>
          <cell r="D579" t="str">
            <v>KKM/IKN/H/13/970</v>
          </cell>
          <cell r="E579" t="str">
            <v>13-217</v>
          </cell>
          <cell r="F579" t="str">
            <v>Infusion Pumps, Syringe</v>
          </cell>
          <cell r="G579" t="str">
            <v>IC</v>
          </cell>
          <cell r="H579" t="str">
            <v>INTENSIVE CARE UNIT</v>
          </cell>
          <cell r="I579" t="str">
            <v>05IC112</v>
          </cell>
          <cell r="J579" t="str">
            <v>ICU RM 1</v>
          </cell>
          <cell r="K579" t="str">
            <v>BMED</v>
          </cell>
          <cell r="L579" t="str">
            <v>Normal</v>
          </cell>
          <cell r="M579" t="str">
            <v>Germany</v>
          </cell>
          <cell r="N579" t="str">
            <v>Perfusor</v>
          </cell>
          <cell r="O579" t="str">
            <v>Perfusor Space</v>
          </cell>
          <cell r="P579" t="str">
            <v>187038</v>
          </cell>
          <cell r="Q579" t="str">
            <v>Not Applicable</v>
          </cell>
          <cell r="R579" t="str">
            <v>B Braun Melsungen AG</v>
          </cell>
          <cell r="S579" t="str">
            <v>B Braun Medical Supplies Sdn. Bhd.</v>
          </cell>
          <cell r="T579" t="str">
            <v>Functioning</v>
          </cell>
          <cell r="U579" t="str">
            <v>Asset</v>
          </cell>
          <cell r="V579">
            <v>10225</v>
          </cell>
          <cell r="W579" t="str">
            <v>KEW</v>
          </cell>
          <cell r="X579" t="str">
            <v>01/09/2010</v>
          </cell>
          <cell r="Y579" t="str">
            <v>KEW</v>
          </cell>
          <cell r="Z579" t="str">
            <v>16/08/2013</v>
          </cell>
          <cell r="AA579" t="str">
            <v>15/08/2015</v>
          </cell>
          <cell r="AB579" t="str">
            <v>No</v>
          </cell>
          <cell r="AC579" t="str">
            <v>31/08/2013</v>
          </cell>
          <cell r="AD579" t="str">
            <v>Good</v>
          </cell>
          <cell r="AE579" t="str">
            <v>V1 - Existing / No Claim</v>
          </cell>
          <cell r="AF579">
            <v>42235</v>
          </cell>
          <cell r="AG579">
            <v>9.17</v>
          </cell>
          <cell r="AH579" t="str">
            <v>PPM</v>
          </cell>
          <cell r="AI579" t="str">
            <v>Strands</v>
          </cell>
          <cell r="AJ579" t="str">
            <v>Strands PW</v>
          </cell>
        </row>
        <row r="580">
          <cell r="A580" t="str">
            <v>IKN400099</v>
          </cell>
          <cell r="B580">
            <v>99</v>
          </cell>
          <cell r="C580" t="str">
            <v>Institut Kanser Negara</v>
          </cell>
          <cell r="D580" t="str">
            <v>KKM/IKN/H/13/971</v>
          </cell>
          <cell r="E580" t="str">
            <v>13-217</v>
          </cell>
          <cell r="F580" t="str">
            <v>Infusion Pumps, Syringe</v>
          </cell>
          <cell r="G580" t="str">
            <v>IC</v>
          </cell>
          <cell r="H580" t="str">
            <v>INTENSIVE CARE UNIT</v>
          </cell>
          <cell r="I580" t="str">
            <v>05IC113</v>
          </cell>
          <cell r="J580" t="str">
            <v>ICU RM 2</v>
          </cell>
          <cell r="K580" t="str">
            <v>BMED</v>
          </cell>
          <cell r="L580" t="str">
            <v>Critical</v>
          </cell>
          <cell r="M580" t="str">
            <v>Germany</v>
          </cell>
          <cell r="N580" t="str">
            <v>Perfusor</v>
          </cell>
          <cell r="O580" t="str">
            <v>Perfusor Space</v>
          </cell>
          <cell r="P580" t="str">
            <v>186972</v>
          </cell>
          <cell r="Q580" t="str">
            <v>Not Applicable</v>
          </cell>
          <cell r="R580" t="str">
            <v>B Braun Melsungen AG</v>
          </cell>
          <cell r="S580" t="str">
            <v>B Braun Medical Supplies Sdn. Bhd.</v>
          </cell>
          <cell r="T580" t="str">
            <v>Functioning</v>
          </cell>
          <cell r="U580" t="str">
            <v>Asset</v>
          </cell>
          <cell r="V580">
            <v>10225</v>
          </cell>
          <cell r="W580" t="str">
            <v>KEW</v>
          </cell>
          <cell r="X580" t="str">
            <v>01/09/2010</v>
          </cell>
          <cell r="Y580" t="str">
            <v>KEW</v>
          </cell>
          <cell r="Z580" t="str">
            <v>16/08/2013</v>
          </cell>
          <cell r="AA580" t="str">
            <v>15/08/2015</v>
          </cell>
          <cell r="AB580" t="str">
            <v>No</v>
          </cell>
          <cell r="AC580" t="str">
            <v>31/08/2013</v>
          </cell>
          <cell r="AD580" t="str">
            <v>Good</v>
          </cell>
          <cell r="AE580" t="str">
            <v>V1 - Existing / No Claim</v>
          </cell>
          <cell r="AF580">
            <v>42797</v>
          </cell>
          <cell r="AG580">
            <v>9.17</v>
          </cell>
          <cell r="AH580" t="str">
            <v>PPM</v>
          </cell>
          <cell r="AI580" t="str">
            <v>Strands</v>
          </cell>
          <cell r="AJ580" t="str">
            <v>Strands PW</v>
          </cell>
        </row>
        <row r="581">
          <cell r="A581" t="str">
            <v>IKN400100</v>
          </cell>
          <cell r="B581">
            <v>100</v>
          </cell>
          <cell r="C581" t="str">
            <v>Institut Kanser Negara</v>
          </cell>
          <cell r="D581" t="str">
            <v>KKM/IKN/H/13/972</v>
          </cell>
          <cell r="E581" t="str">
            <v>13-217</v>
          </cell>
          <cell r="F581" t="str">
            <v>Infusion Pumps, Syringe</v>
          </cell>
          <cell r="G581" t="str">
            <v>IC</v>
          </cell>
          <cell r="H581" t="str">
            <v>INTENSIVE CARE UNIT</v>
          </cell>
          <cell r="I581" t="str">
            <v>05IC113</v>
          </cell>
          <cell r="J581" t="str">
            <v>ICU RM 2</v>
          </cell>
          <cell r="K581" t="str">
            <v>BMED</v>
          </cell>
          <cell r="L581" t="str">
            <v>Critical</v>
          </cell>
          <cell r="M581" t="str">
            <v>Germany</v>
          </cell>
          <cell r="N581" t="str">
            <v>Perfusor</v>
          </cell>
          <cell r="O581" t="str">
            <v>Perfusor Space</v>
          </cell>
          <cell r="P581" t="str">
            <v>186981</v>
          </cell>
          <cell r="Q581" t="str">
            <v>Not Applicable</v>
          </cell>
          <cell r="R581" t="str">
            <v>B Braun Melsungen AG</v>
          </cell>
          <cell r="S581" t="str">
            <v>B Braun Medical Supplies Sdn. Bhd.</v>
          </cell>
          <cell r="T581" t="str">
            <v>Functioning</v>
          </cell>
          <cell r="U581" t="str">
            <v>Asset</v>
          </cell>
          <cell r="V581">
            <v>10225</v>
          </cell>
          <cell r="W581" t="str">
            <v>KEW</v>
          </cell>
          <cell r="X581" t="str">
            <v>01/09/2010</v>
          </cell>
          <cell r="Y581" t="str">
            <v>KEW</v>
          </cell>
          <cell r="Z581" t="str">
            <v>16/08/2013</v>
          </cell>
          <cell r="AA581" t="str">
            <v>15/08/2015</v>
          </cell>
          <cell r="AB581" t="str">
            <v>No</v>
          </cell>
          <cell r="AC581" t="str">
            <v>31/08/2013</v>
          </cell>
          <cell r="AD581" t="str">
            <v>Good</v>
          </cell>
          <cell r="AE581" t="str">
            <v>V1 - Existing / No Claim</v>
          </cell>
          <cell r="AF581">
            <v>42797</v>
          </cell>
          <cell r="AG581">
            <v>9.17</v>
          </cell>
          <cell r="AH581" t="str">
            <v>PPM</v>
          </cell>
          <cell r="AI581" t="str">
            <v>Strands</v>
          </cell>
          <cell r="AJ581" t="str">
            <v>Strands PW</v>
          </cell>
        </row>
        <row r="582">
          <cell r="A582" t="str">
            <v>IKN400101</v>
          </cell>
          <cell r="B582">
            <v>101</v>
          </cell>
          <cell r="C582" t="str">
            <v>Institut Kanser Negara</v>
          </cell>
          <cell r="D582" t="str">
            <v>KKM/IKN/H/13/973</v>
          </cell>
          <cell r="E582" t="str">
            <v>13-217</v>
          </cell>
          <cell r="F582" t="str">
            <v>Infusion Pumps, Syringe</v>
          </cell>
          <cell r="G582" t="str">
            <v>IC</v>
          </cell>
          <cell r="H582" t="str">
            <v>INTENSIVE CARE UNIT</v>
          </cell>
          <cell r="I582" t="str">
            <v>05IC113</v>
          </cell>
          <cell r="J582" t="str">
            <v>ICU RM 2</v>
          </cell>
          <cell r="K582" t="str">
            <v>BMED</v>
          </cell>
          <cell r="L582" t="str">
            <v>Critical</v>
          </cell>
          <cell r="M582" t="str">
            <v>Germany</v>
          </cell>
          <cell r="N582" t="str">
            <v>Perfusor</v>
          </cell>
          <cell r="O582" t="str">
            <v>Perfusor Space</v>
          </cell>
          <cell r="P582" t="str">
            <v>186983</v>
          </cell>
          <cell r="Q582" t="str">
            <v>Not Applicable</v>
          </cell>
          <cell r="R582" t="str">
            <v>B Braun Melsungen AG</v>
          </cell>
          <cell r="S582" t="str">
            <v>B Braun Medical Supplies Sdn. Bhd.</v>
          </cell>
          <cell r="T582" t="str">
            <v>Functioning</v>
          </cell>
          <cell r="U582" t="str">
            <v>Asset</v>
          </cell>
          <cell r="V582">
            <v>10225</v>
          </cell>
          <cell r="W582" t="str">
            <v>KEW</v>
          </cell>
          <cell r="X582" t="str">
            <v>01/09/2010</v>
          </cell>
          <cell r="Y582" t="str">
            <v>KEW</v>
          </cell>
          <cell r="Z582" t="str">
            <v>16/08/2013</v>
          </cell>
          <cell r="AA582" t="str">
            <v>15/08/2015</v>
          </cell>
          <cell r="AB582" t="str">
            <v>No</v>
          </cell>
          <cell r="AC582" t="str">
            <v>31/08/2013</v>
          </cell>
          <cell r="AD582" t="str">
            <v>Good</v>
          </cell>
          <cell r="AE582" t="str">
            <v>V1 - Existing / No Claim</v>
          </cell>
          <cell r="AF582">
            <v>42797</v>
          </cell>
          <cell r="AG582">
            <v>9.17</v>
          </cell>
          <cell r="AH582" t="str">
            <v>PPM</v>
          </cell>
          <cell r="AI582" t="str">
            <v>Strands</v>
          </cell>
          <cell r="AJ582" t="str">
            <v>Strands PW</v>
          </cell>
        </row>
        <row r="583">
          <cell r="A583" t="str">
            <v>IKN400102</v>
          </cell>
          <cell r="B583">
            <v>102</v>
          </cell>
          <cell r="C583" t="str">
            <v>Institut Kanser Negara</v>
          </cell>
          <cell r="D583" t="str">
            <v>KKM/IKN/H/13/974</v>
          </cell>
          <cell r="E583" t="str">
            <v>13-217</v>
          </cell>
          <cell r="F583" t="str">
            <v>Infusion Pumps, Syringe</v>
          </cell>
          <cell r="G583" t="str">
            <v>IC</v>
          </cell>
          <cell r="H583" t="str">
            <v>INTENSIVE CARE UNIT</v>
          </cell>
          <cell r="I583" t="str">
            <v>05IC113</v>
          </cell>
          <cell r="J583" t="str">
            <v>ICU RM 2</v>
          </cell>
          <cell r="K583" t="str">
            <v>BMED</v>
          </cell>
          <cell r="L583" t="str">
            <v>Critical</v>
          </cell>
          <cell r="M583" t="str">
            <v>Germany</v>
          </cell>
          <cell r="N583" t="str">
            <v>Perfusor</v>
          </cell>
          <cell r="O583" t="str">
            <v>Perfusor Space</v>
          </cell>
          <cell r="P583" t="str">
            <v>187010</v>
          </cell>
          <cell r="Q583" t="str">
            <v>Not Applicable</v>
          </cell>
          <cell r="R583" t="str">
            <v>B Braun Melsungen AG</v>
          </cell>
          <cell r="S583" t="str">
            <v>B Braun Medical Supplies Sdn. Bhd.</v>
          </cell>
          <cell r="T583" t="str">
            <v>Functioning</v>
          </cell>
          <cell r="U583" t="str">
            <v>Asset</v>
          </cell>
          <cell r="V583">
            <v>10225</v>
          </cell>
          <cell r="W583" t="str">
            <v>KEW</v>
          </cell>
          <cell r="X583" t="str">
            <v>01/09/2010</v>
          </cell>
          <cell r="Y583" t="str">
            <v>KEW</v>
          </cell>
          <cell r="Z583" t="str">
            <v>16/08/2013</v>
          </cell>
          <cell r="AA583" t="str">
            <v>15/08/2015</v>
          </cell>
          <cell r="AB583" t="str">
            <v>No</v>
          </cell>
          <cell r="AC583" t="str">
            <v>31/08/2013</v>
          </cell>
          <cell r="AD583" t="str">
            <v>Good</v>
          </cell>
          <cell r="AE583" t="str">
            <v>V1 - Existing / No Claim</v>
          </cell>
          <cell r="AF583">
            <v>42797</v>
          </cell>
          <cell r="AG583">
            <v>9.17</v>
          </cell>
          <cell r="AH583" t="str">
            <v>PPM</v>
          </cell>
          <cell r="AI583" t="str">
            <v>Strands</v>
          </cell>
          <cell r="AJ583" t="str">
            <v>Strands PW</v>
          </cell>
        </row>
        <row r="584">
          <cell r="A584" t="str">
            <v>IKN400103</v>
          </cell>
          <cell r="B584">
            <v>103</v>
          </cell>
          <cell r="C584" t="str">
            <v>Institut Kanser Negara</v>
          </cell>
          <cell r="D584" t="str">
            <v>KKM/IKN/H/13/975</v>
          </cell>
          <cell r="E584" t="str">
            <v>13-217</v>
          </cell>
          <cell r="F584" t="str">
            <v>Infusion Pumps, Syringe</v>
          </cell>
          <cell r="G584" t="str">
            <v>IC</v>
          </cell>
          <cell r="H584" t="str">
            <v>INTENSIVE CARE UNIT</v>
          </cell>
          <cell r="I584" t="str">
            <v>05IC113</v>
          </cell>
          <cell r="J584" t="str">
            <v>ICU RM 2</v>
          </cell>
          <cell r="K584" t="str">
            <v>BMED</v>
          </cell>
          <cell r="L584" t="str">
            <v>Critical</v>
          </cell>
          <cell r="M584" t="str">
            <v>Germany</v>
          </cell>
          <cell r="N584" t="str">
            <v>Perfusor</v>
          </cell>
          <cell r="O584" t="str">
            <v>Perfusor Space</v>
          </cell>
          <cell r="P584" t="str">
            <v>187016</v>
          </cell>
          <cell r="Q584" t="str">
            <v>Not Applicable</v>
          </cell>
          <cell r="R584" t="str">
            <v>B Braun Melsungen AG</v>
          </cell>
          <cell r="S584" t="str">
            <v>B Braun Medical Supplies Sdn. Bhd.</v>
          </cell>
          <cell r="T584" t="str">
            <v>Functioning</v>
          </cell>
          <cell r="U584" t="str">
            <v>Asset</v>
          </cell>
          <cell r="V584">
            <v>10225</v>
          </cell>
          <cell r="W584" t="str">
            <v>KEW</v>
          </cell>
          <cell r="X584" t="str">
            <v>01/09/2010</v>
          </cell>
          <cell r="Y584" t="str">
            <v>KEW</v>
          </cell>
          <cell r="Z584" t="str">
            <v>16/08/2013</v>
          </cell>
          <cell r="AA584" t="str">
            <v>15/08/2015</v>
          </cell>
          <cell r="AB584" t="str">
            <v>No</v>
          </cell>
          <cell r="AC584" t="str">
            <v>31/08/2013</v>
          </cell>
          <cell r="AD584" t="str">
            <v>Good</v>
          </cell>
          <cell r="AE584" t="str">
            <v>V1 - Existing / No Claim</v>
          </cell>
          <cell r="AF584">
            <v>42797</v>
          </cell>
          <cell r="AG584">
            <v>9.17</v>
          </cell>
          <cell r="AH584" t="str">
            <v>PPM</v>
          </cell>
          <cell r="AI584" t="str">
            <v>Strands</v>
          </cell>
          <cell r="AJ584" t="str">
            <v>Strands PW</v>
          </cell>
        </row>
        <row r="585">
          <cell r="A585" t="str">
            <v>IKN400104</v>
          </cell>
          <cell r="B585">
            <v>104</v>
          </cell>
          <cell r="C585" t="str">
            <v>Institut Kanser Negara</v>
          </cell>
          <cell r="D585" t="str">
            <v>KKM/IKN/H/13/976</v>
          </cell>
          <cell r="E585" t="str">
            <v>13-217</v>
          </cell>
          <cell r="F585" t="str">
            <v>Infusion Pumps, Syringe</v>
          </cell>
          <cell r="G585" t="str">
            <v>IC</v>
          </cell>
          <cell r="H585" t="str">
            <v>INTENSIVE CARE UNIT</v>
          </cell>
          <cell r="I585" t="str">
            <v>05IC113</v>
          </cell>
          <cell r="J585" t="str">
            <v>ICU RM 2</v>
          </cell>
          <cell r="K585" t="str">
            <v>BMED</v>
          </cell>
          <cell r="L585" t="str">
            <v>Critical</v>
          </cell>
          <cell r="M585" t="str">
            <v>Germany</v>
          </cell>
          <cell r="N585" t="str">
            <v>Perfusor</v>
          </cell>
          <cell r="O585" t="str">
            <v>Perfusor Space</v>
          </cell>
          <cell r="P585" t="str">
            <v>187058</v>
          </cell>
          <cell r="Q585" t="str">
            <v>Not Applicable</v>
          </cell>
          <cell r="R585" t="str">
            <v>B Braun Melsungen AG</v>
          </cell>
          <cell r="S585" t="str">
            <v>B Braun Medical Supplies Sdn. Bhd.</v>
          </cell>
          <cell r="T585" t="str">
            <v>Functioning</v>
          </cell>
          <cell r="U585" t="str">
            <v>Asset</v>
          </cell>
          <cell r="V585">
            <v>10225</v>
          </cell>
          <cell r="W585" t="str">
            <v>KEW</v>
          </cell>
          <cell r="X585" t="str">
            <v>01/09/2010</v>
          </cell>
          <cell r="Y585" t="str">
            <v>KEW</v>
          </cell>
          <cell r="Z585" t="str">
            <v>16/08/2013</v>
          </cell>
          <cell r="AA585" t="str">
            <v>15/08/2015</v>
          </cell>
          <cell r="AB585" t="str">
            <v>No</v>
          </cell>
          <cell r="AC585" t="str">
            <v>31/08/2013</v>
          </cell>
          <cell r="AD585" t="str">
            <v>Good</v>
          </cell>
          <cell r="AE585" t="str">
            <v>V1 - Existing / No Claim</v>
          </cell>
          <cell r="AF585">
            <v>42797</v>
          </cell>
          <cell r="AG585">
            <v>9.17</v>
          </cell>
          <cell r="AH585" t="str">
            <v>PPM</v>
          </cell>
          <cell r="AI585" t="str">
            <v>Strands</v>
          </cell>
          <cell r="AJ585" t="str">
            <v>Strands PW</v>
          </cell>
        </row>
        <row r="586">
          <cell r="A586" t="str">
            <v>IKN400105</v>
          </cell>
          <cell r="B586">
            <v>105</v>
          </cell>
          <cell r="C586" t="str">
            <v>Institut Kanser Negara</v>
          </cell>
          <cell r="D586" t="str">
            <v>KKM/IKN/H/13/977</v>
          </cell>
          <cell r="E586" t="str">
            <v>13-217</v>
          </cell>
          <cell r="F586" t="str">
            <v>Infusion Pumps, Syringe</v>
          </cell>
          <cell r="G586" t="str">
            <v>IC</v>
          </cell>
          <cell r="H586" t="str">
            <v>INTENSIVE CARE UNIT</v>
          </cell>
          <cell r="I586" t="str">
            <v>05IC114</v>
          </cell>
          <cell r="J586" t="str">
            <v>ICU RM 3</v>
          </cell>
          <cell r="K586" t="str">
            <v>BMED</v>
          </cell>
          <cell r="L586" t="str">
            <v>Normal</v>
          </cell>
          <cell r="M586" t="str">
            <v>Germany</v>
          </cell>
          <cell r="N586" t="str">
            <v>Perfusor</v>
          </cell>
          <cell r="O586" t="str">
            <v>Perfusor Space</v>
          </cell>
          <cell r="P586" t="str">
            <v>187003</v>
          </cell>
          <cell r="Q586" t="str">
            <v>Not Applicable</v>
          </cell>
          <cell r="R586" t="str">
            <v>B Braun Melsungen AG</v>
          </cell>
          <cell r="S586" t="str">
            <v>B Braun Medical Supplies Sdn. Bhd.</v>
          </cell>
          <cell r="T586" t="str">
            <v>Functioning</v>
          </cell>
          <cell r="U586" t="str">
            <v>Asset</v>
          </cell>
          <cell r="V586">
            <v>10225</v>
          </cell>
          <cell r="W586" t="str">
            <v>KEW</v>
          </cell>
          <cell r="X586" t="str">
            <v>01/09/2010</v>
          </cell>
          <cell r="Y586" t="str">
            <v>KEW</v>
          </cell>
          <cell r="Z586" t="str">
            <v>16/08/2013</v>
          </cell>
          <cell r="AA586" t="str">
            <v>15/08/2015</v>
          </cell>
          <cell r="AB586" t="str">
            <v>No</v>
          </cell>
          <cell r="AC586" t="str">
            <v>31/08/2013</v>
          </cell>
          <cell r="AD586" t="str">
            <v>Good</v>
          </cell>
          <cell r="AE586" t="str">
            <v>V1 - Existing / No Claim</v>
          </cell>
          <cell r="AF586">
            <v>42235</v>
          </cell>
          <cell r="AG586">
            <v>9.17</v>
          </cell>
          <cell r="AH586" t="str">
            <v>PPM</v>
          </cell>
          <cell r="AI586" t="str">
            <v>Strands</v>
          </cell>
          <cell r="AJ586" t="str">
            <v>Strands PW</v>
          </cell>
        </row>
        <row r="587">
          <cell r="A587" t="str">
            <v>IKN400106</v>
          </cell>
          <cell r="B587">
            <v>106</v>
          </cell>
          <cell r="C587" t="str">
            <v>Institut Kanser Negara</v>
          </cell>
          <cell r="D587" t="str">
            <v>KKM/IKN/H/13/978</v>
          </cell>
          <cell r="E587" t="str">
            <v>13-217</v>
          </cell>
          <cell r="F587" t="str">
            <v>Infusion Pumps, Syringe</v>
          </cell>
          <cell r="G587" t="str">
            <v>IC</v>
          </cell>
          <cell r="H587" t="str">
            <v>INTENSIVE CARE UNIT</v>
          </cell>
          <cell r="I587" t="str">
            <v>05IC114</v>
          </cell>
          <cell r="J587" t="str">
            <v>ICU RM 3</v>
          </cell>
          <cell r="K587" t="str">
            <v>BMED</v>
          </cell>
          <cell r="L587" t="str">
            <v>Normal</v>
          </cell>
          <cell r="M587" t="str">
            <v>Germany</v>
          </cell>
          <cell r="N587" t="str">
            <v>Perfusor</v>
          </cell>
          <cell r="O587" t="str">
            <v>Perfusor Space</v>
          </cell>
          <cell r="P587">
            <v>187029</v>
          </cell>
          <cell r="Q587" t="str">
            <v>Not Applicable</v>
          </cell>
          <cell r="R587" t="str">
            <v>B Braun Melsungen AG</v>
          </cell>
          <cell r="S587" t="str">
            <v>B Braun Medical Supplies Sdn. Bhd.</v>
          </cell>
          <cell r="T587" t="str">
            <v>Functioning</v>
          </cell>
          <cell r="U587" t="str">
            <v>Asset</v>
          </cell>
          <cell r="V587">
            <v>10225</v>
          </cell>
          <cell r="W587" t="str">
            <v>KEW</v>
          </cell>
          <cell r="X587" t="str">
            <v>01/09/2010</v>
          </cell>
          <cell r="Y587" t="str">
            <v>KEW</v>
          </cell>
          <cell r="Z587" t="str">
            <v>16/08/2013</v>
          </cell>
          <cell r="AA587" t="str">
            <v>15/08/2015</v>
          </cell>
          <cell r="AB587" t="str">
            <v>No</v>
          </cell>
          <cell r="AC587" t="str">
            <v>31/08/2013</v>
          </cell>
          <cell r="AD587" t="str">
            <v>Good</v>
          </cell>
          <cell r="AE587" t="str">
            <v>V1 - Existing / No Claim</v>
          </cell>
          <cell r="AF587">
            <v>42235</v>
          </cell>
          <cell r="AG587">
            <v>9.17</v>
          </cell>
          <cell r="AH587" t="str">
            <v>PPM</v>
          </cell>
          <cell r="AI587" t="str">
            <v>Strands</v>
          </cell>
          <cell r="AJ587" t="str">
            <v>Strands PW</v>
          </cell>
        </row>
        <row r="588">
          <cell r="A588" t="str">
            <v>IKN400107</v>
          </cell>
          <cell r="B588">
            <v>107</v>
          </cell>
          <cell r="C588" t="str">
            <v>Institut Kanser Negara</v>
          </cell>
          <cell r="D588" t="str">
            <v>KKM/IKN/H/13/979</v>
          </cell>
          <cell r="E588" t="str">
            <v>13-217</v>
          </cell>
          <cell r="F588" t="str">
            <v>Infusion Pumps, Syringe</v>
          </cell>
          <cell r="G588" t="str">
            <v>IC</v>
          </cell>
          <cell r="H588" t="str">
            <v>INTENSIVE CARE UNIT</v>
          </cell>
          <cell r="I588" t="str">
            <v>05IC114</v>
          </cell>
          <cell r="J588" t="str">
            <v>ICU RM 3</v>
          </cell>
          <cell r="K588" t="str">
            <v>BMED</v>
          </cell>
          <cell r="L588" t="str">
            <v>Normal</v>
          </cell>
          <cell r="M588" t="str">
            <v>Germany</v>
          </cell>
          <cell r="N588" t="str">
            <v>Perfusor</v>
          </cell>
          <cell r="O588" t="str">
            <v>Perfusor Space</v>
          </cell>
          <cell r="P588" t="str">
            <v>143347</v>
          </cell>
          <cell r="Q588" t="str">
            <v>Not Applicable</v>
          </cell>
          <cell r="R588" t="str">
            <v>B Braun Melsungen AG</v>
          </cell>
          <cell r="S588" t="str">
            <v>B Braun Medical Supplies Sdn. Bhd.</v>
          </cell>
          <cell r="T588" t="str">
            <v>Functioning</v>
          </cell>
          <cell r="U588" t="str">
            <v>Asset</v>
          </cell>
          <cell r="V588">
            <v>10225</v>
          </cell>
          <cell r="W588" t="str">
            <v>KEW</v>
          </cell>
          <cell r="X588" t="str">
            <v>01/09/2010</v>
          </cell>
          <cell r="Y588" t="str">
            <v>KEW</v>
          </cell>
          <cell r="Z588" t="str">
            <v>16/08/2013</v>
          </cell>
          <cell r="AA588" t="str">
            <v>15/08/2015</v>
          </cell>
          <cell r="AB588" t="str">
            <v>No</v>
          </cell>
          <cell r="AC588" t="str">
            <v>31/08/2013</v>
          </cell>
          <cell r="AD588" t="str">
            <v>Good</v>
          </cell>
          <cell r="AE588" t="str">
            <v>V1 - Existing / No Claim</v>
          </cell>
          <cell r="AF588">
            <v>42235</v>
          </cell>
          <cell r="AG588">
            <v>9.17</v>
          </cell>
          <cell r="AH588" t="str">
            <v>PPM</v>
          </cell>
          <cell r="AI588" t="str">
            <v>Strands</v>
          </cell>
          <cell r="AJ588" t="str">
            <v>Strands PW</v>
          </cell>
        </row>
        <row r="589">
          <cell r="A589" t="str">
            <v>IKN400108</v>
          </cell>
          <cell r="B589">
            <v>108</v>
          </cell>
          <cell r="C589" t="str">
            <v>Institut Kanser Negara</v>
          </cell>
          <cell r="D589" t="str">
            <v>KKM/IKN/H/13/980</v>
          </cell>
          <cell r="E589" t="str">
            <v>13-217</v>
          </cell>
          <cell r="F589" t="str">
            <v>Infusion Pumps, Syringe</v>
          </cell>
          <cell r="G589" t="str">
            <v>IC</v>
          </cell>
          <cell r="H589" t="str">
            <v>INTENSIVE CARE UNIT</v>
          </cell>
          <cell r="I589" t="str">
            <v>05IC114</v>
          </cell>
          <cell r="J589" t="str">
            <v>ICU RM 3</v>
          </cell>
          <cell r="K589" t="str">
            <v>BMED</v>
          </cell>
          <cell r="L589" t="str">
            <v>Normal</v>
          </cell>
          <cell r="M589" t="str">
            <v>Germany</v>
          </cell>
          <cell r="N589" t="str">
            <v>Perfusor</v>
          </cell>
          <cell r="O589" t="str">
            <v>Perfusor Space</v>
          </cell>
          <cell r="P589" t="str">
            <v>186826</v>
          </cell>
          <cell r="Q589" t="str">
            <v>Not Applicable</v>
          </cell>
          <cell r="R589" t="str">
            <v>B Braun Melsungen AG</v>
          </cell>
          <cell r="S589" t="str">
            <v>B Braun Medical Supplies Sdn. Bhd.</v>
          </cell>
          <cell r="T589" t="str">
            <v>Functioning</v>
          </cell>
          <cell r="U589" t="str">
            <v>Asset</v>
          </cell>
          <cell r="V589">
            <v>10225</v>
          </cell>
          <cell r="W589" t="str">
            <v>KEW</v>
          </cell>
          <cell r="X589" t="str">
            <v>01/09/2010</v>
          </cell>
          <cell r="Y589" t="str">
            <v>KEW</v>
          </cell>
          <cell r="Z589" t="str">
            <v>16/08/2013</v>
          </cell>
          <cell r="AA589" t="str">
            <v>15/08/2015</v>
          </cell>
          <cell r="AB589" t="str">
            <v>No</v>
          </cell>
          <cell r="AC589" t="str">
            <v>31/08/2013</v>
          </cell>
          <cell r="AD589" t="str">
            <v>Good</v>
          </cell>
          <cell r="AE589" t="str">
            <v>V1 - Existing / No Claim</v>
          </cell>
          <cell r="AF589">
            <v>42235</v>
          </cell>
          <cell r="AG589">
            <v>9.17</v>
          </cell>
          <cell r="AH589" t="str">
            <v>PPM</v>
          </cell>
          <cell r="AI589" t="str">
            <v>Strands</v>
          </cell>
          <cell r="AJ589" t="str">
            <v>Strands PW</v>
          </cell>
        </row>
        <row r="590">
          <cell r="A590" t="str">
            <v>IKN400109</v>
          </cell>
          <cell r="B590">
            <v>109</v>
          </cell>
          <cell r="C590" t="str">
            <v>Institut Kanser Negara</v>
          </cell>
          <cell r="D590" t="str">
            <v>KKM/IKN/H/13/981</v>
          </cell>
          <cell r="E590" t="str">
            <v>13-217</v>
          </cell>
          <cell r="F590" t="str">
            <v>Infusion Pumps, Syringe</v>
          </cell>
          <cell r="G590" t="str">
            <v>IC</v>
          </cell>
          <cell r="H590" t="str">
            <v>INTENSIVE CARE UNIT</v>
          </cell>
          <cell r="I590" t="str">
            <v>05IC114</v>
          </cell>
          <cell r="J590" t="str">
            <v>ICU RM 3</v>
          </cell>
          <cell r="K590" t="str">
            <v>BMED</v>
          </cell>
          <cell r="L590" t="str">
            <v>Normal</v>
          </cell>
          <cell r="M590" t="str">
            <v>Germany</v>
          </cell>
          <cell r="N590" t="str">
            <v>Perfusor</v>
          </cell>
          <cell r="O590" t="str">
            <v>Perfusor Space</v>
          </cell>
          <cell r="P590" t="str">
            <v>187013</v>
          </cell>
          <cell r="Q590" t="str">
            <v>Not Applicable</v>
          </cell>
          <cell r="R590" t="str">
            <v>B Braun Melsungen AG</v>
          </cell>
          <cell r="S590" t="str">
            <v>B Braun Medical Supplies Sdn. Bhd.</v>
          </cell>
          <cell r="T590" t="str">
            <v>Functioning</v>
          </cell>
          <cell r="U590" t="str">
            <v>Asset</v>
          </cell>
          <cell r="V590">
            <v>10225</v>
          </cell>
          <cell r="W590" t="str">
            <v>KEW</v>
          </cell>
          <cell r="X590" t="str">
            <v>01/09/2010</v>
          </cell>
          <cell r="Y590" t="str">
            <v>KEW</v>
          </cell>
          <cell r="Z590" t="str">
            <v>16/08/2013</v>
          </cell>
          <cell r="AA590" t="str">
            <v>15/08/2015</v>
          </cell>
          <cell r="AB590" t="str">
            <v>No</v>
          </cell>
          <cell r="AC590" t="str">
            <v>31/08/2013</v>
          </cell>
          <cell r="AD590" t="str">
            <v>Good</v>
          </cell>
          <cell r="AE590" t="str">
            <v>V1 - Existing / No Claim</v>
          </cell>
          <cell r="AF590">
            <v>42235</v>
          </cell>
          <cell r="AG590">
            <v>9.17</v>
          </cell>
          <cell r="AH590" t="str">
            <v>PPM</v>
          </cell>
          <cell r="AI590" t="str">
            <v>Strands</v>
          </cell>
          <cell r="AJ590" t="str">
            <v>Strands PW</v>
          </cell>
        </row>
        <row r="591">
          <cell r="A591" t="str">
            <v>IKN400110</v>
          </cell>
          <cell r="B591">
            <v>110</v>
          </cell>
          <cell r="C591" t="str">
            <v>Institut Kanser Negara</v>
          </cell>
          <cell r="D591" t="str">
            <v>KKM/IKN/H/13/982</v>
          </cell>
          <cell r="E591" t="str">
            <v>13-217</v>
          </cell>
          <cell r="F591" t="str">
            <v>Infusion Pumps, Syringe</v>
          </cell>
          <cell r="G591" t="str">
            <v>IC</v>
          </cell>
          <cell r="H591" t="str">
            <v>INTENSIVE CARE UNIT</v>
          </cell>
          <cell r="I591" t="str">
            <v>05IC114</v>
          </cell>
          <cell r="J591" t="str">
            <v>ICU RM 3</v>
          </cell>
          <cell r="K591" t="str">
            <v>BMED</v>
          </cell>
          <cell r="L591" t="str">
            <v>Normal</v>
          </cell>
          <cell r="M591" t="str">
            <v>Germany</v>
          </cell>
          <cell r="N591" t="str">
            <v>Perfusor</v>
          </cell>
          <cell r="O591" t="str">
            <v>Perfusor Space</v>
          </cell>
          <cell r="P591" t="str">
            <v>187060</v>
          </cell>
          <cell r="Q591" t="str">
            <v>Not Applicable</v>
          </cell>
          <cell r="R591" t="str">
            <v>B Braun Melsungen AG</v>
          </cell>
          <cell r="S591" t="str">
            <v>B Braun Medical Supplies Sdn. Bhd.</v>
          </cell>
          <cell r="T591" t="str">
            <v>Functioning</v>
          </cell>
          <cell r="U591" t="str">
            <v>Asset</v>
          </cell>
          <cell r="V591">
            <v>10225</v>
          </cell>
          <cell r="W591" t="str">
            <v>KEW</v>
          </cell>
          <cell r="X591" t="str">
            <v>01/09/2010</v>
          </cell>
          <cell r="Y591" t="str">
            <v>KEW</v>
          </cell>
          <cell r="Z591" t="str">
            <v>16/08/2013</v>
          </cell>
          <cell r="AA591" t="str">
            <v>15/08/2015</v>
          </cell>
          <cell r="AB591" t="str">
            <v>No</v>
          </cell>
          <cell r="AC591" t="str">
            <v>31/08/2013</v>
          </cell>
          <cell r="AD591" t="str">
            <v>Good</v>
          </cell>
          <cell r="AE591" t="str">
            <v>V1 - Existing / No Claim</v>
          </cell>
          <cell r="AF591">
            <v>42235</v>
          </cell>
          <cell r="AG591">
            <v>9.17</v>
          </cell>
          <cell r="AH591" t="str">
            <v>PPM</v>
          </cell>
          <cell r="AI591" t="str">
            <v>Strands</v>
          </cell>
          <cell r="AJ591" t="str">
            <v>Strands PW</v>
          </cell>
        </row>
        <row r="592">
          <cell r="A592" t="str">
            <v>IKN400111</v>
          </cell>
          <cell r="B592">
            <v>111</v>
          </cell>
          <cell r="C592" t="str">
            <v>Institut Kanser Negara</v>
          </cell>
          <cell r="D592" t="str">
            <v>KKM/IKN/H/13/983</v>
          </cell>
          <cell r="E592" t="str">
            <v>13-217</v>
          </cell>
          <cell r="F592" t="str">
            <v>Infusion Pumps, Syringe</v>
          </cell>
          <cell r="G592" t="str">
            <v>IC</v>
          </cell>
          <cell r="H592" t="str">
            <v>INTENSIVE CARE UNIT</v>
          </cell>
          <cell r="I592" t="str">
            <v>05IC115</v>
          </cell>
          <cell r="J592" t="str">
            <v>ICU RM 4</v>
          </cell>
          <cell r="K592" t="str">
            <v>BMED</v>
          </cell>
          <cell r="L592" t="str">
            <v>Critical</v>
          </cell>
          <cell r="M592" t="str">
            <v>Germany</v>
          </cell>
          <cell r="N592" t="str">
            <v>Perfusor</v>
          </cell>
          <cell r="O592" t="str">
            <v>Perfusor Space</v>
          </cell>
          <cell r="P592" t="str">
            <v>143340</v>
          </cell>
          <cell r="Q592" t="str">
            <v>Not Applicable</v>
          </cell>
          <cell r="R592" t="str">
            <v>B Braun Melsungen AG</v>
          </cell>
          <cell r="S592" t="str">
            <v>B Braun Medical Supplies Sdn. Bhd.</v>
          </cell>
          <cell r="T592" t="str">
            <v>Functioning</v>
          </cell>
          <cell r="U592" t="str">
            <v>Asset</v>
          </cell>
          <cell r="V592">
            <v>10225</v>
          </cell>
          <cell r="W592" t="str">
            <v>KEW</v>
          </cell>
          <cell r="X592" t="str">
            <v>01/09/2010</v>
          </cell>
          <cell r="Y592" t="str">
            <v>KEW</v>
          </cell>
          <cell r="Z592" t="str">
            <v>16/08/2013</v>
          </cell>
          <cell r="AA592" t="str">
            <v>15/08/2015</v>
          </cell>
          <cell r="AB592" t="str">
            <v>No</v>
          </cell>
          <cell r="AC592" t="str">
            <v>31/08/2013</v>
          </cell>
          <cell r="AD592" t="str">
            <v>Good</v>
          </cell>
          <cell r="AE592" t="str">
            <v>V1 - Existing / No Claim</v>
          </cell>
          <cell r="AF592">
            <v>42797</v>
          </cell>
          <cell r="AG592">
            <v>9.17</v>
          </cell>
          <cell r="AH592" t="str">
            <v>PPM</v>
          </cell>
          <cell r="AI592" t="str">
            <v>Strands</v>
          </cell>
          <cell r="AJ592" t="str">
            <v>Strands PW</v>
          </cell>
        </row>
        <row r="593">
          <cell r="A593" t="str">
            <v>IKN400112</v>
          </cell>
          <cell r="B593">
            <v>112</v>
          </cell>
          <cell r="C593" t="str">
            <v>Institut Kanser Negara</v>
          </cell>
          <cell r="D593" t="str">
            <v>KKM/IKN/H/13/984</v>
          </cell>
          <cell r="E593" t="str">
            <v>13-217</v>
          </cell>
          <cell r="F593" t="str">
            <v>Infusion Pumps, Syringe</v>
          </cell>
          <cell r="G593" t="str">
            <v>IC</v>
          </cell>
          <cell r="H593" t="str">
            <v>INTENSIVE CARE UNIT</v>
          </cell>
          <cell r="I593" t="str">
            <v>05IC115</v>
          </cell>
          <cell r="J593" t="str">
            <v>ICU RM 4</v>
          </cell>
          <cell r="K593" t="str">
            <v>BMED</v>
          </cell>
          <cell r="L593" t="str">
            <v>Critical</v>
          </cell>
          <cell r="M593" t="str">
            <v>Germany</v>
          </cell>
          <cell r="N593" t="str">
            <v>Perfusor</v>
          </cell>
          <cell r="O593" t="str">
            <v>Perfusor Space</v>
          </cell>
          <cell r="P593" t="str">
            <v>186798</v>
          </cell>
          <cell r="Q593" t="str">
            <v>Not Applicable</v>
          </cell>
          <cell r="R593" t="str">
            <v>B Braun Melsungen AG</v>
          </cell>
          <cell r="S593" t="str">
            <v>B Braun Medical Supplies Sdn. Bhd.</v>
          </cell>
          <cell r="T593" t="str">
            <v>Functioning</v>
          </cell>
          <cell r="U593" t="str">
            <v>Asset</v>
          </cell>
          <cell r="V593">
            <v>10225</v>
          </cell>
          <cell r="W593" t="str">
            <v>KEW</v>
          </cell>
          <cell r="X593" t="str">
            <v>01/09/2010</v>
          </cell>
          <cell r="Y593" t="str">
            <v>KEW</v>
          </cell>
          <cell r="Z593" t="str">
            <v>16/08/2013</v>
          </cell>
          <cell r="AA593" t="str">
            <v>15/08/2015</v>
          </cell>
          <cell r="AB593" t="str">
            <v>No</v>
          </cell>
          <cell r="AC593" t="str">
            <v>31/08/2013</v>
          </cell>
          <cell r="AD593" t="str">
            <v>Good</v>
          </cell>
          <cell r="AE593" t="str">
            <v>V1 - Existing / No Claim</v>
          </cell>
          <cell r="AF593">
            <v>42797</v>
          </cell>
          <cell r="AG593">
            <v>9.17</v>
          </cell>
          <cell r="AH593" t="str">
            <v>PPM</v>
          </cell>
          <cell r="AI593" t="str">
            <v>Strands</v>
          </cell>
          <cell r="AJ593" t="str">
            <v>Strands PW</v>
          </cell>
        </row>
        <row r="594">
          <cell r="A594" t="str">
            <v>IKN400113</v>
          </cell>
          <cell r="B594">
            <v>113</v>
          </cell>
          <cell r="C594" t="str">
            <v>Institut Kanser Negara</v>
          </cell>
          <cell r="D594" t="str">
            <v>KKM/IKN/H/13/985</v>
          </cell>
          <cell r="E594" t="str">
            <v>13-217</v>
          </cell>
          <cell r="F594" t="str">
            <v>Infusion Pumps, Syringe</v>
          </cell>
          <cell r="G594" t="str">
            <v>IC</v>
          </cell>
          <cell r="H594" t="str">
            <v>INTENSIVE CARE UNIT</v>
          </cell>
          <cell r="I594" t="str">
            <v>05IC115</v>
          </cell>
          <cell r="J594" t="str">
            <v>ICU RM 4</v>
          </cell>
          <cell r="K594" t="str">
            <v>BMED</v>
          </cell>
          <cell r="L594" t="str">
            <v>Critical</v>
          </cell>
          <cell r="M594" t="str">
            <v>Germany</v>
          </cell>
          <cell r="N594" t="str">
            <v>Perfusor</v>
          </cell>
          <cell r="O594" t="str">
            <v>Perfusor Space</v>
          </cell>
          <cell r="P594" t="str">
            <v>186986</v>
          </cell>
          <cell r="Q594" t="str">
            <v>Not Applicable</v>
          </cell>
          <cell r="R594" t="str">
            <v>B Braun Melsungen AG</v>
          </cell>
          <cell r="S594" t="str">
            <v>B Braun Medical Supplies Sdn. Bhd.</v>
          </cell>
          <cell r="T594" t="str">
            <v>Functioning</v>
          </cell>
          <cell r="U594" t="str">
            <v>Asset</v>
          </cell>
          <cell r="V594">
            <v>10225</v>
          </cell>
          <cell r="W594" t="str">
            <v>KEW</v>
          </cell>
          <cell r="X594" t="str">
            <v>01/09/2010</v>
          </cell>
          <cell r="Y594" t="str">
            <v>KEW</v>
          </cell>
          <cell r="Z594" t="str">
            <v>16/08/2013</v>
          </cell>
          <cell r="AA594" t="str">
            <v>15/08/2015</v>
          </cell>
          <cell r="AB594" t="str">
            <v>No</v>
          </cell>
          <cell r="AC594" t="str">
            <v>31/08/2013</v>
          </cell>
          <cell r="AD594" t="str">
            <v>Good</v>
          </cell>
          <cell r="AE594" t="str">
            <v>V1 - Existing / No Claim</v>
          </cell>
          <cell r="AF594">
            <v>42797</v>
          </cell>
          <cell r="AG594">
            <v>9.17</v>
          </cell>
          <cell r="AH594" t="str">
            <v>PPM</v>
          </cell>
          <cell r="AI594" t="str">
            <v>Strands</v>
          </cell>
          <cell r="AJ594" t="str">
            <v>Strands PW</v>
          </cell>
        </row>
        <row r="595">
          <cell r="A595" t="str">
            <v>IKN400114</v>
          </cell>
          <cell r="B595">
            <v>114</v>
          </cell>
          <cell r="C595" t="str">
            <v>Institut Kanser Negara</v>
          </cell>
          <cell r="D595" t="str">
            <v>KKM/IKN/H/13/986</v>
          </cell>
          <cell r="E595" t="str">
            <v>13-217</v>
          </cell>
          <cell r="F595" t="str">
            <v>Infusion Pumps, Syringe</v>
          </cell>
          <cell r="G595" t="str">
            <v>IC</v>
          </cell>
          <cell r="H595" t="str">
            <v>INTENSIVE CARE UNIT</v>
          </cell>
          <cell r="I595" t="str">
            <v>05IC115</v>
          </cell>
          <cell r="J595" t="str">
            <v>ICU RM 4</v>
          </cell>
          <cell r="K595" t="str">
            <v>BMED</v>
          </cell>
          <cell r="L595" t="str">
            <v>Critical</v>
          </cell>
          <cell r="M595" t="str">
            <v>Germany</v>
          </cell>
          <cell r="N595" t="str">
            <v>Perfusor</v>
          </cell>
          <cell r="O595" t="str">
            <v>Perfusor Space</v>
          </cell>
          <cell r="P595" t="str">
            <v>186989</v>
          </cell>
          <cell r="Q595" t="str">
            <v>Not Applicable</v>
          </cell>
          <cell r="R595" t="str">
            <v>B Braun Melsungen AG</v>
          </cell>
          <cell r="S595" t="str">
            <v>B Braun Medical Supplies Sdn. Bhd.</v>
          </cell>
          <cell r="T595" t="str">
            <v>Functioning</v>
          </cell>
          <cell r="U595" t="str">
            <v>Asset</v>
          </cell>
          <cell r="V595">
            <v>10225</v>
          </cell>
          <cell r="W595" t="str">
            <v>KEW</v>
          </cell>
          <cell r="X595" t="str">
            <v>01/09/2010</v>
          </cell>
          <cell r="Y595" t="str">
            <v>KEW</v>
          </cell>
          <cell r="Z595" t="str">
            <v>16/08/2013</v>
          </cell>
          <cell r="AA595" t="str">
            <v>15/08/2015</v>
          </cell>
          <cell r="AB595" t="str">
            <v>No</v>
          </cell>
          <cell r="AC595" t="str">
            <v>31/08/2013</v>
          </cell>
          <cell r="AD595" t="str">
            <v>Good</v>
          </cell>
          <cell r="AE595" t="str">
            <v>V1 - Existing / No Claim</v>
          </cell>
          <cell r="AF595">
            <v>42797</v>
          </cell>
          <cell r="AG595">
            <v>9.17</v>
          </cell>
          <cell r="AH595" t="str">
            <v>PPM</v>
          </cell>
          <cell r="AI595" t="str">
            <v>Strands</v>
          </cell>
          <cell r="AJ595" t="str">
            <v>Strands PW</v>
          </cell>
        </row>
        <row r="596">
          <cell r="A596" t="str">
            <v>IKN400115</v>
          </cell>
          <cell r="B596">
            <v>115</v>
          </cell>
          <cell r="C596" t="str">
            <v>Institut Kanser Negara</v>
          </cell>
          <cell r="D596" t="str">
            <v>KKM/IKN/H/13/987</v>
          </cell>
          <cell r="E596" t="str">
            <v>13-217</v>
          </cell>
          <cell r="F596" t="str">
            <v>Infusion Pumps, Syringe</v>
          </cell>
          <cell r="G596" t="str">
            <v>IC</v>
          </cell>
          <cell r="H596" t="str">
            <v>INTENSIVE CARE UNIT</v>
          </cell>
          <cell r="I596" t="str">
            <v>05IC115</v>
          </cell>
          <cell r="J596" t="str">
            <v>ICU RM 4</v>
          </cell>
          <cell r="K596" t="str">
            <v>BMED</v>
          </cell>
          <cell r="L596" t="str">
            <v>Critical</v>
          </cell>
          <cell r="M596" t="str">
            <v>Germany</v>
          </cell>
          <cell r="N596" t="str">
            <v>Perfusor</v>
          </cell>
          <cell r="O596" t="str">
            <v>Perfusor Space</v>
          </cell>
          <cell r="P596" t="str">
            <v>186997</v>
          </cell>
          <cell r="Q596" t="str">
            <v>Not Applicable</v>
          </cell>
          <cell r="R596" t="str">
            <v>B Braun Melsungen AG</v>
          </cell>
          <cell r="S596" t="str">
            <v>B Braun Medical Supplies Sdn. Bhd.</v>
          </cell>
          <cell r="T596" t="str">
            <v>Functioning</v>
          </cell>
          <cell r="U596" t="str">
            <v>Asset</v>
          </cell>
          <cell r="V596">
            <v>10225</v>
          </cell>
          <cell r="W596" t="str">
            <v>KEW</v>
          </cell>
          <cell r="X596" t="str">
            <v>01/09/2010</v>
          </cell>
          <cell r="Y596" t="str">
            <v>KEW</v>
          </cell>
          <cell r="Z596" t="str">
            <v>16/08/2013</v>
          </cell>
          <cell r="AA596" t="str">
            <v>15/08/2015</v>
          </cell>
          <cell r="AB596" t="str">
            <v>No</v>
          </cell>
          <cell r="AC596" t="str">
            <v>31/08/2013</v>
          </cell>
          <cell r="AD596" t="str">
            <v>Good</v>
          </cell>
          <cell r="AE596" t="str">
            <v>V1 - Existing / No Claim</v>
          </cell>
          <cell r="AF596">
            <v>42797</v>
          </cell>
          <cell r="AG596">
            <v>9.17</v>
          </cell>
          <cell r="AH596" t="str">
            <v>PPM</v>
          </cell>
          <cell r="AI596" t="str">
            <v>Strands</v>
          </cell>
          <cell r="AJ596" t="str">
            <v>Strands PW</v>
          </cell>
        </row>
        <row r="597">
          <cell r="A597" t="str">
            <v>IKN400116</v>
          </cell>
          <cell r="B597">
            <v>116</v>
          </cell>
          <cell r="C597" t="str">
            <v>Institut Kanser Negara</v>
          </cell>
          <cell r="D597" t="str">
            <v>KKM/IKN/H/13/988</v>
          </cell>
          <cell r="E597" t="str">
            <v>13-217</v>
          </cell>
          <cell r="F597" t="str">
            <v>Infusion Pumps, Syringe</v>
          </cell>
          <cell r="G597" t="str">
            <v>IC</v>
          </cell>
          <cell r="H597" t="str">
            <v>INTENSIVE CARE UNIT</v>
          </cell>
          <cell r="I597" t="str">
            <v>05IC115</v>
          </cell>
          <cell r="J597" t="str">
            <v>ICU RM 4</v>
          </cell>
          <cell r="K597" t="str">
            <v>BMED</v>
          </cell>
          <cell r="L597" t="str">
            <v>Critical</v>
          </cell>
          <cell r="M597" t="str">
            <v>Germany</v>
          </cell>
          <cell r="N597" t="str">
            <v>Perfusor</v>
          </cell>
          <cell r="O597" t="str">
            <v>Perfusor Space</v>
          </cell>
          <cell r="P597" t="str">
            <v>187012</v>
          </cell>
          <cell r="Q597" t="str">
            <v>Not Applicable</v>
          </cell>
          <cell r="R597" t="str">
            <v>B Braun Melsungen AG</v>
          </cell>
          <cell r="S597" t="str">
            <v>B Braun Medical Supplies Sdn. Bhd.</v>
          </cell>
          <cell r="T597" t="str">
            <v>Functioning</v>
          </cell>
          <cell r="U597" t="str">
            <v>Asset</v>
          </cell>
          <cell r="V597">
            <v>10225</v>
          </cell>
          <cell r="W597" t="str">
            <v>KEW</v>
          </cell>
          <cell r="X597" t="str">
            <v>01/09/2010</v>
          </cell>
          <cell r="Y597" t="str">
            <v>KEW</v>
          </cell>
          <cell r="Z597" t="str">
            <v>16/08/2013</v>
          </cell>
          <cell r="AA597" t="str">
            <v>15/08/2015</v>
          </cell>
          <cell r="AB597" t="str">
            <v>No</v>
          </cell>
          <cell r="AC597" t="str">
            <v>31/08/2013</v>
          </cell>
          <cell r="AD597" t="str">
            <v>Good</v>
          </cell>
          <cell r="AE597" t="str">
            <v>V1 - Existing / No Claim</v>
          </cell>
          <cell r="AF597">
            <v>42797</v>
          </cell>
          <cell r="AG597">
            <v>9.17</v>
          </cell>
          <cell r="AH597" t="str">
            <v>PPM</v>
          </cell>
          <cell r="AI597" t="str">
            <v>Strands</v>
          </cell>
          <cell r="AJ597" t="str">
            <v>Strands PW</v>
          </cell>
        </row>
        <row r="598">
          <cell r="A598" t="str">
            <v>IKN400117</v>
          </cell>
          <cell r="B598">
            <v>117</v>
          </cell>
          <cell r="C598" t="str">
            <v>Institut Kanser Negara</v>
          </cell>
          <cell r="D598" t="str">
            <v>KKM/IKN/H/13/989</v>
          </cell>
          <cell r="E598" t="str">
            <v>13-217</v>
          </cell>
          <cell r="F598" t="str">
            <v>Infusion Pumps, Syringe</v>
          </cell>
          <cell r="G598" t="str">
            <v>IC</v>
          </cell>
          <cell r="H598" t="str">
            <v>INTENSIVE CARE UNIT</v>
          </cell>
          <cell r="I598" t="str">
            <v>05IC116</v>
          </cell>
          <cell r="J598" t="str">
            <v>ISOL 2 (+VE)</v>
          </cell>
          <cell r="K598" t="str">
            <v>BMED</v>
          </cell>
          <cell r="L598" t="str">
            <v>Critical</v>
          </cell>
          <cell r="M598" t="str">
            <v>Germany</v>
          </cell>
          <cell r="N598" t="str">
            <v>Perfusor</v>
          </cell>
          <cell r="O598" t="str">
            <v>Perfusor Space</v>
          </cell>
          <cell r="P598" t="str">
            <v>143330</v>
          </cell>
          <cell r="Q598" t="str">
            <v>Not Applicable</v>
          </cell>
          <cell r="R598" t="str">
            <v>B Braun Melsungen AG</v>
          </cell>
          <cell r="S598" t="str">
            <v>B Braun Medical Supplies Sdn. Bhd.</v>
          </cell>
          <cell r="T598" t="str">
            <v>Functioning</v>
          </cell>
          <cell r="U598" t="str">
            <v>Asset</v>
          </cell>
          <cell r="V598">
            <v>10225</v>
          </cell>
          <cell r="W598" t="str">
            <v>KEW</v>
          </cell>
          <cell r="X598" t="str">
            <v>01/09/2010</v>
          </cell>
          <cell r="Y598" t="str">
            <v>KEW</v>
          </cell>
          <cell r="Z598" t="str">
            <v>16/08/2013</v>
          </cell>
          <cell r="AA598" t="str">
            <v>15/08/2015</v>
          </cell>
          <cell r="AB598" t="str">
            <v>No</v>
          </cell>
          <cell r="AC598" t="str">
            <v>31/08/2013</v>
          </cell>
          <cell r="AD598" t="str">
            <v>Good</v>
          </cell>
          <cell r="AE598" t="str">
            <v>V1 - Existing / No Claim</v>
          </cell>
          <cell r="AF598">
            <v>42797</v>
          </cell>
          <cell r="AG598">
            <v>9.17</v>
          </cell>
          <cell r="AH598" t="str">
            <v>PPM</v>
          </cell>
          <cell r="AI598" t="str">
            <v>Strands</v>
          </cell>
          <cell r="AJ598" t="str">
            <v>Strands PW</v>
          </cell>
        </row>
        <row r="599">
          <cell r="A599" t="str">
            <v>IKN400118</v>
          </cell>
          <cell r="B599">
            <v>118</v>
          </cell>
          <cell r="C599" t="str">
            <v>Institut Kanser Negara</v>
          </cell>
          <cell r="D599" t="str">
            <v>KKM/IKN/H/13/990</v>
          </cell>
          <cell r="E599" t="str">
            <v>13-217</v>
          </cell>
          <cell r="F599" t="str">
            <v>Infusion Pumps, Syringe</v>
          </cell>
          <cell r="G599" t="str">
            <v>IC</v>
          </cell>
          <cell r="H599" t="str">
            <v>INTENSIVE CARE UNIT</v>
          </cell>
          <cell r="I599" t="str">
            <v>05IC116</v>
          </cell>
          <cell r="J599" t="str">
            <v>ISOL 2 (+VE)</v>
          </cell>
          <cell r="K599" t="str">
            <v>BMED</v>
          </cell>
          <cell r="L599" t="str">
            <v>Critical</v>
          </cell>
          <cell r="M599" t="str">
            <v>Germany</v>
          </cell>
          <cell r="N599" t="str">
            <v>Perfusor</v>
          </cell>
          <cell r="O599" t="str">
            <v>Perfusor Space</v>
          </cell>
          <cell r="P599" t="str">
            <v>143331</v>
          </cell>
          <cell r="Q599" t="str">
            <v>Not Applicable</v>
          </cell>
          <cell r="R599" t="str">
            <v>B Braun Melsungen AG</v>
          </cell>
          <cell r="S599" t="str">
            <v>B Braun Medical Supplies Sdn. Bhd.</v>
          </cell>
          <cell r="T599" t="str">
            <v>Functioning</v>
          </cell>
          <cell r="U599" t="str">
            <v>Asset</v>
          </cell>
          <cell r="V599">
            <v>10225</v>
          </cell>
          <cell r="W599" t="str">
            <v>KEW</v>
          </cell>
          <cell r="X599" t="str">
            <v>01/09/2010</v>
          </cell>
          <cell r="Y599" t="str">
            <v>KEW</v>
          </cell>
          <cell r="Z599" t="str">
            <v>16/08/2013</v>
          </cell>
          <cell r="AA599" t="str">
            <v>15/08/2015</v>
          </cell>
          <cell r="AB599" t="str">
            <v>No</v>
          </cell>
          <cell r="AC599" t="str">
            <v>31/08/2013</v>
          </cell>
          <cell r="AD599" t="str">
            <v>Good</v>
          </cell>
          <cell r="AE599" t="str">
            <v>V1 - Existing / No Claim</v>
          </cell>
          <cell r="AF599">
            <v>42797</v>
          </cell>
          <cell r="AG599">
            <v>9.17</v>
          </cell>
          <cell r="AH599" t="str">
            <v>PPM</v>
          </cell>
          <cell r="AI599" t="str">
            <v>Strands</v>
          </cell>
          <cell r="AJ599" t="str">
            <v>Strands PW</v>
          </cell>
        </row>
        <row r="600">
          <cell r="A600" t="str">
            <v>IKN400119</v>
          </cell>
          <cell r="B600">
            <v>119</v>
          </cell>
          <cell r="C600" t="str">
            <v>Institut Kanser Negara</v>
          </cell>
          <cell r="D600" t="str">
            <v>KKM/IKN/H/13/1007</v>
          </cell>
          <cell r="E600" t="str">
            <v>13-217</v>
          </cell>
          <cell r="F600" t="str">
            <v>Infusion Pumps, Syringe</v>
          </cell>
          <cell r="G600" t="str">
            <v>IC</v>
          </cell>
          <cell r="H600" t="str">
            <v>INTENSIVE CARE UNIT</v>
          </cell>
          <cell r="I600" t="str">
            <v>05IC116</v>
          </cell>
          <cell r="J600" t="str">
            <v>ISOL 2 (+VE)</v>
          </cell>
          <cell r="K600" t="str">
            <v>BMED</v>
          </cell>
          <cell r="L600" t="str">
            <v>Critical</v>
          </cell>
          <cell r="M600" t="str">
            <v>Germany</v>
          </cell>
          <cell r="N600" t="str">
            <v>Perfusor</v>
          </cell>
          <cell r="O600" t="str">
            <v>Perfusor Space</v>
          </cell>
          <cell r="P600" t="str">
            <v>143350</v>
          </cell>
          <cell r="Q600" t="str">
            <v>Not Applicable</v>
          </cell>
          <cell r="R600" t="str">
            <v>B Braun Melsungen AG</v>
          </cell>
          <cell r="S600" t="str">
            <v>B Braun Medical Supplies Sdn. Bhd.</v>
          </cell>
          <cell r="T600" t="str">
            <v>Functioning</v>
          </cell>
          <cell r="U600" t="str">
            <v>Asset</v>
          </cell>
          <cell r="V600">
            <v>10225</v>
          </cell>
          <cell r="W600" t="str">
            <v>KEW</v>
          </cell>
          <cell r="X600" t="str">
            <v>01/09/2010</v>
          </cell>
          <cell r="Y600" t="str">
            <v>KEW</v>
          </cell>
          <cell r="Z600" t="str">
            <v>16/08/2013</v>
          </cell>
          <cell r="AA600" t="str">
            <v>15/08/2015</v>
          </cell>
          <cell r="AB600" t="str">
            <v>No</v>
          </cell>
          <cell r="AC600" t="str">
            <v>31/08/2013</v>
          </cell>
          <cell r="AD600" t="str">
            <v>Good</v>
          </cell>
          <cell r="AE600" t="str">
            <v>V1 - Existing / No Claim</v>
          </cell>
          <cell r="AF600">
            <v>42797</v>
          </cell>
          <cell r="AG600">
            <v>9.17</v>
          </cell>
          <cell r="AH600" t="str">
            <v>PPM</v>
          </cell>
          <cell r="AI600" t="str">
            <v>Strands</v>
          </cell>
          <cell r="AJ600" t="str">
            <v>Strands PW</v>
          </cell>
        </row>
        <row r="601">
          <cell r="A601" t="str">
            <v>IKN400120</v>
          </cell>
          <cell r="B601">
            <v>120</v>
          </cell>
          <cell r="C601" t="str">
            <v>Institut Kanser Negara</v>
          </cell>
          <cell r="D601" t="str">
            <v>KKM/IKN/H/13/991</v>
          </cell>
          <cell r="E601" t="str">
            <v>13-217</v>
          </cell>
          <cell r="F601" t="str">
            <v>Infusion Pumps, Syringe</v>
          </cell>
          <cell r="G601" t="str">
            <v>IC</v>
          </cell>
          <cell r="H601" t="str">
            <v>INTENSIVE CARE UNIT</v>
          </cell>
          <cell r="I601" t="str">
            <v>05IC116</v>
          </cell>
          <cell r="J601" t="str">
            <v>ISOL 2 (+VE)</v>
          </cell>
          <cell r="K601" t="str">
            <v>BMED</v>
          </cell>
          <cell r="L601" t="str">
            <v>Critical</v>
          </cell>
          <cell r="M601" t="str">
            <v>Germany</v>
          </cell>
          <cell r="N601" t="str">
            <v>Perfusor</v>
          </cell>
          <cell r="O601" t="str">
            <v>Perfusor Space</v>
          </cell>
          <cell r="P601" t="str">
            <v>143363</v>
          </cell>
          <cell r="Q601" t="str">
            <v>Not Applicable</v>
          </cell>
          <cell r="R601" t="str">
            <v>B Braun Melsungen AG</v>
          </cell>
          <cell r="S601" t="str">
            <v>B Braun Medical Supplies Sdn. Bhd.</v>
          </cell>
          <cell r="T601" t="str">
            <v>Functioning</v>
          </cell>
          <cell r="U601" t="str">
            <v>Asset</v>
          </cell>
          <cell r="V601">
            <v>10225</v>
          </cell>
          <cell r="W601" t="str">
            <v>KEW</v>
          </cell>
          <cell r="X601" t="str">
            <v>01/09/2010</v>
          </cell>
          <cell r="Y601" t="str">
            <v>KEW</v>
          </cell>
          <cell r="Z601" t="str">
            <v>16/08/2013</v>
          </cell>
          <cell r="AA601" t="str">
            <v>15/08/2015</v>
          </cell>
          <cell r="AB601" t="str">
            <v>No</v>
          </cell>
          <cell r="AC601" t="str">
            <v>31/08/2013</v>
          </cell>
          <cell r="AD601" t="str">
            <v>Good</v>
          </cell>
          <cell r="AE601" t="str">
            <v>V1 - Existing / No Claim</v>
          </cell>
          <cell r="AF601">
            <v>42797</v>
          </cell>
          <cell r="AG601">
            <v>9.17</v>
          </cell>
          <cell r="AH601" t="str">
            <v>PPM</v>
          </cell>
          <cell r="AI601" t="str">
            <v>Strands</v>
          </cell>
          <cell r="AJ601" t="str">
            <v>Strands PW</v>
          </cell>
        </row>
        <row r="602">
          <cell r="A602" t="str">
            <v>IKN400121</v>
          </cell>
          <cell r="B602">
            <v>121</v>
          </cell>
          <cell r="C602" t="str">
            <v>Institut Kanser Negara</v>
          </cell>
          <cell r="D602" t="str">
            <v>KKM/IKN/H/13/992</v>
          </cell>
          <cell r="E602" t="str">
            <v>13-217</v>
          </cell>
          <cell r="F602" t="str">
            <v>Infusion Pumps, Syringe</v>
          </cell>
          <cell r="G602" t="str">
            <v>IC</v>
          </cell>
          <cell r="H602" t="str">
            <v>INTENSIVE CARE UNIT</v>
          </cell>
          <cell r="I602" t="str">
            <v>05IC116</v>
          </cell>
          <cell r="J602" t="str">
            <v>ISOL 2 (+VE)</v>
          </cell>
          <cell r="K602" t="str">
            <v>BMED</v>
          </cell>
          <cell r="L602" t="str">
            <v>Critical</v>
          </cell>
          <cell r="M602" t="str">
            <v>Germany</v>
          </cell>
          <cell r="N602" t="str">
            <v>Perfusor</v>
          </cell>
          <cell r="O602" t="str">
            <v>Perfusor Space</v>
          </cell>
          <cell r="P602" t="str">
            <v>186971</v>
          </cell>
          <cell r="Q602" t="str">
            <v>Not Applicable</v>
          </cell>
          <cell r="R602" t="str">
            <v>B Braun Melsungen AG</v>
          </cell>
          <cell r="S602" t="str">
            <v>B Braun Medical Supplies Sdn. Bhd.</v>
          </cell>
          <cell r="T602" t="str">
            <v>Functioning</v>
          </cell>
          <cell r="U602" t="str">
            <v>Asset</v>
          </cell>
          <cell r="V602">
            <v>10225</v>
          </cell>
          <cell r="W602" t="str">
            <v>KEW</v>
          </cell>
          <cell r="X602" t="str">
            <v>01/09/2010</v>
          </cell>
          <cell r="Y602" t="str">
            <v>KEW</v>
          </cell>
          <cell r="Z602" t="str">
            <v>16/08/2013</v>
          </cell>
          <cell r="AA602" t="str">
            <v>15/08/2015</v>
          </cell>
          <cell r="AB602" t="str">
            <v>No</v>
          </cell>
          <cell r="AC602" t="str">
            <v>31/08/2013</v>
          </cell>
          <cell r="AD602" t="str">
            <v>Good</v>
          </cell>
          <cell r="AE602" t="str">
            <v>V1 - Existing / No Claim</v>
          </cell>
          <cell r="AF602">
            <v>42797</v>
          </cell>
          <cell r="AG602">
            <v>9.17</v>
          </cell>
          <cell r="AH602" t="str">
            <v>PPM</v>
          </cell>
          <cell r="AI602" t="str">
            <v>Strands</v>
          </cell>
          <cell r="AJ602" t="str">
            <v>Strands PW</v>
          </cell>
        </row>
        <row r="603">
          <cell r="A603" t="str">
            <v>IKN400122</v>
          </cell>
          <cell r="B603">
            <v>122</v>
          </cell>
          <cell r="C603" t="str">
            <v>Institut Kanser Negara</v>
          </cell>
          <cell r="D603" t="str">
            <v>KKM/IKN/H/13/993</v>
          </cell>
          <cell r="E603" t="str">
            <v>13-217</v>
          </cell>
          <cell r="F603" t="str">
            <v>Infusion Pumps, Syringe</v>
          </cell>
          <cell r="G603" t="str">
            <v>IC</v>
          </cell>
          <cell r="H603" t="str">
            <v>INTENSIVE CARE UNIT</v>
          </cell>
          <cell r="I603" t="str">
            <v>05IC116</v>
          </cell>
          <cell r="J603" t="str">
            <v>ISOL 2 (+VE)</v>
          </cell>
          <cell r="K603" t="str">
            <v>BMED</v>
          </cell>
          <cell r="L603" t="str">
            <v>Critical</v>
          </cell>
          <cell r="M603" t="str">
            <v>Germany</v>
          </cell>
          <cell r="N603" t="str">
            <v>Perfusor</v>
          </cell>
          <cell r="O603" t="str">
            <v>Perfusor Space</v>
          </cell>
          <cell r="P603" t="str">
            <v>186975</v>
          </cell>
          <cell r="Q603" t="str">
            <v>Not Applicable</v>
          </cell>
          <cell r="R603" t="str">
            <v>B Braun Melsungen AG</v>
          </cell>
          <cell r="S603" t="str">
            <v>B Braun Medical Supplies Sdn. Bhd.</v>
          </cell>
          <cell r="T603" t="str">
            <v>Functioning</v>
          </cell>
          <cell r="U603" t="str">
            <v>Asset</v>
          </cell>
          <cell r="V603">
            <v>10225</v>
          </cell>
          <cell r="W603" t="str">
            <v>KEW</v>
          </cell>
          <cell r="X603" t="str">
            <v>01/09/2010</v>
          </cell>
          <cell r="Y603" t="str">
            <v>KEW</v>
          </cell>
          <cell r="Z603" t="str">
            <v>16/08/2013</v>
          </cell>
          <cell r="AA603" t="str">
            <v>15/08/2015</v>
          </cell>
          <cell r="AB603" t="str">
            <v>No</v>
          </cell>
          <cell r="AC603" t="str">
            <v>31/08/2013</v>
          </cell>
          <cell r="AD603" t="str">
            <v>Good</v>
          </cell>
          <cell r="AE603" t="str">
            <v>V1 - Existing / No Claim</v>
          </cell>
          <cell r="AF603">
            <v>42797</v>
          </cell>
          <cell r="AG603">
            <v>9.17</v>
          </cell>
          <cell r="AH603" t="str">
            <v>PPM</v>
          </cell>
          <cell r="AI603" t="str">
            <v>Strands</v>
          </cell>
          <cell r="AJ603" t="str">
            <v>Strands PW</v>
          </cell>
        </row>
        <row r="604">
          <cell r="A604" t="str">
            <v>IKN400123</v>
          </cell>
          <cell r="B604">
            <v>123</v>
          </cell>
          <cell r="C604" t="str">
            <v>Institut Kanser Negara</v>
          </cell>
          <cell r="D604" t="str">
            <v>KKM/IKN/H/13/994</v>
          </cell>
          <cell r="E604" t="str">
            <v>13-217</v>
          </cell>
          <cell r="F604" t="str">
            <v>Infusion Pumps, Syringe</v>
          </cell>
          <cell r="G604" t="str">
            <v>IC</v>
          </cell>
          <cell r="H604" t="str">
            <v>INTENSIVE CARE UNIT</v>
          </cell>
          <cell r="I604" t="str">
            <v>05IC129</v>
          </cell>
          <cell r="J604" t="str">
            <v>ISOL 4 (+VE)</v>
          </cell>
          <cell r="K604" t="str">
            <v>BMED</v>
          </cell>
          <cell r="L604" t="str">
            <v>Normal</v>
          </cell>
          <cell r="M604" t="str">
            <v>Germany</v>
          </cell>
          <cell r="N604" t="str">
            <v>Perfusor</v>
          </cell>
          <cell r="O604" t="str">
            <v>Perfusor Space</v>
          </cell>
          <cell r="P604" t="str">
            <v>143198</v>
          </cell>
          <cell r="Q604" t="str">
            <v>Not Applicable</v>
          </cell>
          <cell r="R604" t="str">
            <v>B Braun Melsungen AG</v>
          </cell>
          <cell r="S604" t="str">
            <v>B Braun Medical Supplies Sdn. Bhd.</v>
          </cell>
          <cell r="T604" t="str">
            <v>Functioning</v>
          </cell>
          <cell r="U604" t="str">
            <v>Asset</v>
          </cell>
          <cell r="V604">
            <v>10225</v>
          </cell>
          <cell r="W604" t="str">
            <v>KEW</v>
          </cell>
          <cell r="X604" t="str">
            <v>01/09/2010</v>
          </cell>
          <cell r="Y604" t="str">
            <v>KEW</v>
          </cell>
          <cell r="Z604" t="str">
            <v>16/08/2013</v>
          </cell>
          <cell r="AA604" t="str">
            <v>15/08/2015</v>
          </cell>
          <cell r="AB604" t="str">
            <v>No</v>
          </cell>
          <cell r="AC604" t="str">
            <v>31/08/2013</v>
          </cell>
          <cell r="AD604" t="str">
            <v>Good</v>
          </cell>
          <cell r="AE604" t="str">
            <v>V1 - Existing / No Claim</v>
          </cell>
          <cell r="AF604">
            <v>42235</v>
          </cell>
          <cell r="AG604">
            <v>9.17</v>
          </cell>
          <cell r="AH604" t="str">
            <v>PPM</v>
          </cell>
          <cell r="AI604" t="str">
            <v>Strands</v>
          </cell>
          <cell r="AJ604" t="str">
            <v>Strands PW</v>
          </cell>
        </row>
        <row r="605">
          <cell r="A605" t="str">
            <v>IKN400124</v>
          </cell>
          <cell r="B605">
            <v>124</v>
          </cell>
          <cell r="C605" t="str">
            <v>Institut Kanser Negara</v>
          </cell>
          <cell r="D605" t="str">
            <v>KKM/IKN/H/13/995</v>
          </cell>
          <cell r="E605" t="str">
            <v>13-217</v>
          </cell>
          <cell r="F605" t="str">
            <v>Infusion Pumps, Syringe</v>
          </cell>
          <cell r="G605" t="str">
            <v>IC</v>
          </cell>
          <cell r="H605" t="str">
            <v>INTENSIVE CARE UNIT</v>
          </cell>
          <cell r="I605" t="str">
            <v>05IC129</v>
          </cell>
          <cell r="J605" t="str">
            <v>ISOL 4 (+VE)</v>
          </cell>
          <cell r="K605" t="str">
            <v>BMED</v>
          </cell>
          <cell r="L605" t="str">
            <v>Normal</v>
          </cell>
          <cell r="M605" t="str">
            <v>Germany</v>
          </cell>
          <cell r="N605" t="str">
            <v>Perfusor</v>
          </cell>
          <cell r="O605" t="str">
            <v>Perfusor Space</v>
          </cell>
          <cell r="P605">
            <v>143318</v>
          </cell>
          <cell r="Q605" t="str">
            <v>Not Applicable</v>
          </cell>
          <cell r="R605" t="str">
            <v>B Braun Melsungen AG</v>
          </cell>
          <cell r="S605" t="str">
            <v>B Braun Medical Supplies Sdn. Bhd.</v>
          </cell>
          <cell r="T605" t="str">
            <v>Functioning</v>
          </cell>
          <cell r="U605" t="str">
            <v>Asset</v>
          </cell>
          <cell r="V605">
            <v>10225</v>
          </cell>
          <cell r="W605" t="str">
            <v>KEW</v>
          </cell>
          <cell r="X605" t="str">
            <v>01/09/2010</v>
          </cell>
          <cell r="Y605" t="str">
            <v>KEW</v>
          </cell>
          <cell r="Z605" t="str">
            <v>16/08/2013</v>
          </cell>
          <cell r="AA605" t="str">
            <v>15/08/2015</v>
          </cell>
          <cell r="AB605" t="str">
            <v>No</v>
          </cell>
          <cell r="AC605" t="str">
            <v>31/08/2013</v>
          </cell>
          <cell r="AD605" t="str">
            <v>Good</v>
          </cell>
          <cell r="AE605" t="str">
            <v>V1 - Existing / No Claim</v>
          </cell>
          <cell r="AF605">
            <v>42235</v>
          </cell>
          <cell r="AG605">
            <v>9.17</v>
          </cell>
          <cell r="AH605" t="str">
            <v>PPM</v>
          </cell>
          <cell r="AI605" t="str">
            <v>Strands</v>
          </cell>
          <cell r="AJ605" t="str">
            <v>Strands PW</v>
          </cell>
        </row>
        <row r="606">
          <cell r="A606" t="str">
            <v>IKN400125</v>
          </cell>
          <cell r="B606">
            <v>125</v>
          </cell>
          <cell r="C606" t="str">
            <v>Institut Kanser Negara</v>
          </cell>
          <cell r="D606" t="str">
            <v>KKM/IKN/H/13/996</v>
          </cell>
          <cell r="E606" t="str">
            <v>13-217</v>
          </cell>
          <cell r="F606" t="str">
            <v>Infusion Pumps, Syringe</v>
          </cell>
          <cell r="G606" t="str">
            <v>IC</v>
          </cell>
          <cell r="H606" t="str">
            <v>INTENSIVE CARE UNIT</v>
          </cell>
          <cell r="I606" t="str">
            <v>05IC129</v>
          </cell>
          <cell r="J606" t="str">
            <v>ISOL 4 (+VE)</v>
          </cell>
          <cell r="K606" t="str">
            <v>BMED</v>
          </cell>
          <cell r="L606" t="str">
            <v>Normal</v>
          </cell>
          <cell r="M606" t="str">
            <v>Germany</v>
          </cell>
          <cell r="N606" t="str">
            <v>Perfusor</v>
          </cell>
          <cell r="O606" t="str">
            <v>Perfusor Space</v>
          </cell>
          <cell r="P606" t="str">
            <v>143346</v>
          </cell>
          <cell r="Q606" t="str">
            <v>Not Applicable</v>
          </cell>
          <cell r="R606" t="str">
            <v>B Braun Melsungen AG</v>
          </cell>
          <cell r="S606" t="str">
            <v>B Braun Medical Supplies Sdn. Bhd.</v>
          </cell>
          <cell r="T606" t="str">
            <v>Functioning</v>
          </cell>
          <cell r="U606" t="str">
            <v>Asset</v>
          </cell>
          <cell r="V606">
            <v>10225</v>
          </cell>
          <cell r="W606" t="str">
            <v>KEW</v>
          </cell>
          <cell r="X606" t="str">
            <v>01/09/2010</v>
          </cell>
          <cell r="Y606" t="str">
            <v>KEW</v>
          </cell>
          <cell r="Z606" t="str">
            <v>16/08/2013</v>
          </cell>
          <cell r="AA606" t="str">
            <v>15/08/2015</v>
          </cell>
          <cell r="AB606" t="str">
            <v>No</v>
          </cell>
          <cell r="AC606" t="str">
            <v>31/08/2013</v>
          </cell>
          <cell r="AD606" t="str">
            <v>Good</v>
          </cell>
          <cell r="AE606" t="str">
            <v>V1 - Existing / No Claim</v>
          </cell>
          <cell r="AF606">
            <v>42235</v>
          </cell>
          <cell r="AG606">
            <v>9.17</v>
          </cell>
          <cell r="AH606" t="str">
            <v>PPM</v>
          </cell>
          <cell r="AI606" t="str">
            <v>Strands</v>
          </cell>
          <cell r="AJ606" t="str">
            <v>Strands PW</v>
          </cell>
        </row>
        <row r="607">
          <cell r="A607" t="str">
            <v>IKN400126</v>
          </cell>
          <cell r="B607">
            <v>126</v>
          </cell>
          <cell r="C607" t="str">
            <v>Institut Kanser Negara</v>
          </cell>
          <cell r="D607" t="str">
            <v>KKM/IKN/H/13/997</v>
          </cell>
          <cell r="E607" t="str">
            <v>13-217</v>
          </cell>
          <cell r="F607" t="str">
            <v>Infusion Pumps, Syringe</v>
          </cell>
          <cell r="G607" t="str">
            <v>IC</v>
          </cell>
          <cell r="H607" t="str">
            <v>INTENSIVE CARE UNIT</v>
          </cell>
          <cell r="I607" t="str">
            <v>05IC129</v>
          </cell>
          <cell r="J607" t="str">
            <v>ISOL 4 (+VE)</v>
          </cell>
          <cell r="K607" t="str">
            <v>BMED</v>
          </cell>
          <cell r="L607" t="str">
            <v>Normal</v>
          </cell>
          <cell r="M607" t="str">
            <v>Germany</v>
          </cell>
          <cell r="N607" t="str">
            <v>Perfusor</v>
          </cell>
          <cell r="O607" t="str">
            <v>Perfusor Space</v>
          </cell>
          <cell r="P607" t="str">
            <v>186811</v>
          </cell>
          <cell r="Q607" t="str">
            <v>Not Applicable</v>
          </cell>
          <cell r="R607" t="str">
            <v>B Braun Melsungen AG</v>
          </cell>
          <cell r="S607" t="str">
            <v>B Braun Medical Supplies Sdn. Bhd.</v>
          </cell>
          <cell r="T607" t="str">
            <v>Functioning</v>
          </cell>
          <cell r="U607" t="str">
            <v>Asset</v>
          </cell>
          <cell r="V607">
            <v>10225</v>
          </cell>
          <cell r="W607" t="str">
            <v>KEW</v>
          </cell>
          <cell r="X607" t="str">
            <v>01/09/2010</v>
          </cell>
          <cell r="Y607" t="str">
            <v>KEW</v>
          </cell>
          <cell r="Z607" t="str">
            <v>16/08/2013</v>
          </cell>
          <cell r="AA607" t="str">
            <v>15/08/2015</v>
          </cell>
          <cell r="AB607" t="str">
            <v>No</v>
          </cell>
          <cell r="AC607" t="str">
            <v>31/08/2013</v>
          </cell>
          <cell r="AD607" t="str">
            <v>Good</v>
          </cell>
          <cell r="AE607" t="str">
            <v>V1 - Existing / No Claim</v>
          </cell>
          <cell r="AF607">
            <v>42235</v>
          </cell>
          <cell r="AG607">
            <v>9.17</v>
          </cell>
          <cell r="AH607" t="str">
            <v>PPM</v>
          </cell>
          <cell r="AI607" t="str">
            <v>Strands</v>
          </cell>
          <cell r="AJ607" t="str">
            <v>Strands PW</v>
          </cell>
        </row>
        <row r="608">
          <cell r="A608" t="str">
            <v>IKN400127</v>
          </cell>
          <cell r="B608">
            <v>127</v>
          </cell>
          <cell r="C608" t="str">
            <v>Institut Kanser Negara</v>
          </cell>
          <cell r="D608" t="str">
            <v>KKM/IKN/H/13/1005</v>
          </cell>
          <cell r="E608" t="str">
            <v>13-217</v>
          </cell>
          <cell r="F608" t="str">
            <v>Infusion Pumps, Syringe</v>
          </cell>
          <cell r="G608" t="str">
            <v>IC</v>
          </cell>
          <cell r="H608" t="str">
            <v>INTENSIVE CARE UNIT</v>
          </cell>
          <cell r="I608" t="str">
            <v>05IC129</v>
          </cell>
          <cell r="J608" t="str">
            <v>ISOL 4 (+VE)</v>
          </cell>
          <cell r="K608" t="str">
            <v>BMED</v>
          </cell>
          <cell r="L608" t="str">
            <v>Normal</v>
          </cell>
          <cell r="M608" t="str">
            <v>Germany</v>
          </cell>
          <cell r="N608" t="str">
            <v>Perfusor</v>
          </cell>
          <cell r="O608" t="str">
            <v>Perfusor Space</v>
          </cell>
          <cell r="P608" t="str">
            <v>186988</v>
          </cell>
          <cell r="Q608" t="str">
            <v>Not Applicable</v>
          </cell>
          <cell r="R608" t="str">
            <v>B Braun Melsungen AG</v>
          </cell>
          <cell r="S608" t="str">
            <v>B Braun Medical Supplies Sdn. Bhd.</v>
          </cell>
          <cell r="T608" t="str">
            <v>Functioning</v>
          </cell>
          <cell r="U608" t="str">
            <v>Asset</v>
          </cell>
          <cell r="V608">
            <v>10225</v>
          </cell>
          <cell r="W608" t="str">
            <v>KEW</v>
          </cell>
          <cell r="X608" t="str">
            <v>01/09/2010</v>
          </cell>
          <cell r="Y608" t="str">
            <v>KEW</v>
          </cell>
          <cell r="Z608" t="str">
            <v>16/08/2013</v>
          </cell>
          <cell r="AA608" t="str">
            <v>15/08/2015</v>
          </cell>
          <cell r="AB608" t="str">
            <v>No</v>
          </cell>
          <cell r="AC608" t="str">
            <v>31/08/2013</v>
          </cell>
          <cell r="AD608" t="str">
            <v>Good</v>
          </cell>
          <cell r="AE608" t="str">
            <v>V1 - Existing / No Claim</v>
          </cell>
          <cell r="AF608">
            <v>42235</v>
          </cell>
          <cell r="AG608">
            <v>9.17</v>
          </cell>
          <cell r="AH608" t="str">
            <v>PPM</v>
          </cell>
          <cell r="AI608" t="str">
            <v>Strands</v>
          </cell>
          <cell r="AJ608" t="str">
            <v>Strands PW</v>
          </cell>
        </row>
        <row r="609">
          <cell r="A609" t="str">
            <v>IKN400128</v>
          </cell>
          <cell r="B609">
            <v>128</v>
          </cell>
          <cell r="C609" t="str">
            <v>Institut Kanser Negara</v>
          </cell>
          <cell r="D609" t="str">
            <v>KKM/IKN/H/13/998</v>
          </cell>
          <cell r="E609" t="str">
            <v>13-217</v>
          </cell>
          <cell r="F609" t="str">
            <v>Infusion Pumps, Syringe</v>
          </cell>
          <cell r="G609" t="str">
            <v>IC</v>
          </cell>
          <cell r="H609" t="str">
            <v>INTENSIVE CARE UNIT</v>
          </cell>
          <cell r="I609" t="str">
            <v>05IC129</v>
          </cell>
          <cell r="J609" t="str">
            <v>ISOL 4 (+VE)</v>
          </cell>
          <cell r="K609" t="str">
            <v>BMED</v>
          </cell>
          <cell r="L609" t="str">
            <v>Normal</v>
          </cell>
          <cell r="M609" t="str">
            <v>Germany</v>
          </cell>
          <cell r="N609" t="str">
            <v>Perfusor</v>
          </cell>
          <cell r="O609" t="str">
            <v>Perfusor Space</v>
          </cell>
          <cell r="P609" t="str">
            <v>187055</v>
          </cell>
          <cell r="Q609" t="str">
            <v>Not Applicable</v>
          </cell>
          <cell r="R609" t="str">
            <v>B Braun Melsungen AG</v>
          </cell>
          <cell r="S609" t="str">
            <v>B Braun Medical Supplies Sdn. Bhd.</v>
          </cell>
          <cell r="T609" t="str">
            <v>Functioning</v>
          </cell>
          <cell r="U609" t="str">
            <v>Asset</v>
          </cell>
          <cell r="V609">
            <v>10225</v>
          </cell>
          <cell r="W609" t="str">
            <v>KEW</v>
          </cell>
          <cell r="X609" t="str">
            <v>01/09/2010</v>
          </cell>
          <cell r="Y609" t="str">
            <v>KEW</v>
          </cell>
          <cell r="Z609" t="str">
            <v>16/08/2013</v>
          </cell>
          <cell r="AA609" t="str">
            <v>15/08/2015</v>
          </cell>
          <cell r="AB609" t="str">
            <v>No</v>
          </cell>
          <cell r="AC609" t="str">
            <v>31/08/2013</v>
          </cell>
          <cell r="AD609" t="str">
            <v>Good</v>
          </cell>
          <cell r="AE609" t="str">
            <v>V1 - Existing / No Claim</v>
          </cell>
          <cell r="AF609">
            <v>42235</v>
          </cell>
          <cell r="AG609">
            <v>9.17</v>
          </cell>
          <cell r="AH609" t="str">
            <v>PPM</v>
          </cell>
          <cell r="AI609" t="str">
            <v>Strands</v>
          </cell>
          <cell r="AJ609" t="str">
            <v>Strands PW</v>
          </cell>
        </row>
        <row r="610">
          <cell r="A610" t="str">
            <v>IKN400129</v>
          </cell>
          <cell r="B610">
            <v>129</v>
          </cell>
          <cell r="C610" t="str">
            <v>Institut Kanser Negara</v>
          </cell>
          <cell r="D610" t="str">
            <v>KKM/IKN/H/13/999</v>
          </cell>
          <cell r="E610" t="str">
            <v>13-217</v>
          </cell>
          <cell r="F610" t="str">
            <v>Infusion Pumps, Syringe</v>
          </cell>
          <cell r="G610" t="str">
            <v>IC</v>
          </cell>
          <cell r="H610" t="str">
            <v>INTENSIVE CARE UNIT</v>
          </cell>
          <cell r="I610" t="str">
            <v>05IC131</v>
          </cell>
          <cell r="J610" t="str">
            <v>ISOL 3 (+VE)</v>
          </cell>
          <cell r="K610" t="str">
            <v>BMED</v>
          </cell>
          <cell r="L610" t="str">
            <v>Normal</v>
          </cell>
          <cell r="M610" t="str">
            <v>Germany</v>
          </cell>
          <cell r="N610" t="str">
            <v>Perfusor</v>
          </cell>
          <cell r="O610" t="str">
            <v>Perfusor Space</v>
          </cell>
          <cell r="P610" t="str">
            <v>143336</v>
          </cell>
          <cell r="Q610" t="str">
            <v>Not Applicable</v>
          </cell>
          <cell r="R610" t="str">
            <v>B Braun Melsungen AG</v>
          </cell>
          <cell r="S610" t="str">
            <v>B Braun Medical Supplies Sdn. Bhd.</v>
          </cell>
          <cell r="T610" t="str">
            <v>Functioning</v>
          </cell>
          <cell r="U610" t="str">
            <v>Asset</v>
          </cell>
          <cell r="V610">
            <v>10225</v>
          </cell>
          <cell r="W610" t="str">
            <v>KEW</v>
          </cell>
          <cell r="X610" t="str">
            <v>01/09/2010</v>
          </cell>
          <cell r="Y610" t="str">
            <v>KEW</v>
          </cell>
          <cell r="Z610" t="str">
            <v>16/08/2013</v>
          </cell>
          <cell r="AA610" t="str">
            <v>15/08/2015</v>
          </cell>
          <cell r="AB610" t="str">
            <v>No</v>
          </cell>
          <cell r="AC610" t="str">
            <v>31/08/2013</v>
          </cell>
          <cell r="AD610" t="str">
            <v>Good</v>
          </cell>
          <cell r="AE610" t="str">
            <v>V1 - Existing / No Claim</v>
          </cell>
          <cell r="AF610">
            <v>42235</v>
          </cell>
          <cell r="AG610">
            <v>9.17</v>
          </cell>
          <cell r="AH610" t="str">
            <v>PPM</v>
          </cell>
          <cell r="AI610" t="str">
            <v>Strands</v>
          </cell>
          <cell r="AJ610" t="str">
            <v>Strands PW</v>
          </cell>
        </row>
        <row r="611">
          <cell r="A611" t="str">
            <v>IKN400130</v>
          </cell>
          <cell r="B611">
            <v>130</v>
          </cell>
          <cell r="C611" t="str">
            <v>Institut Kanser Negara</v>
          </cell>
          <cell r="D611" t="str">
            <v>KKM/IKN/H/13/1000</v>
          </cell>
          <cell r="E611" t="str">
            <v>13-217</v>
          </cell>
          <cell r="F611" t="str">
            <v>Infusion Pumps, Syringe</v>
          </cell>
          <cell r="G611" t="str">
            <v>IC</v>
          </cell>
          <cell r="H611" t="str">
            <v>INTENSIVE CARE UNIT</v>
          </cell>
          <cell r="I611" t="str">
            <v>05IC131</v>
          </cell>
          <cell r="J611" t="str">
            <v>ISOL 3 (+VE)</v>
          </cell>
          <cell r="K611" t="str">
            <v>BMED</v>
          </cell>
          <cell r="L611" t="str">
            <v>Normal</v>
          </cell>
          <cell r="M611" t="str">
            <v>Germany</v>
          </cell>
          <cell r="N611" t="str">
            <v>Perfusor</v>
          </cell>
          <cell r="O611" t="str">
            <v>Perfusor Space</v>
          </cell>
          <cell r="P611" t="str">
            <v>186991</v>
          </cell>
          <cell r="Q611" t="str">
            <v>Not Applicable</v>
          </cell>
          <cell r="R611" t="str">
            <v>B Braun Melsungen AG</v>
          </cell>
          <cell r="S611" t="str">
            <v>B Braun Medical Supplies Sdn. Bhd.</v>
          </cell>
          <cell r="T611" t="str">
            <v>Functioning</v>
          </cell>
          <cell r="U611" t="str">
            <v>Asset</v>
          </cell>
          <cell r="V611">
            <v>10225</v>
          </cell>
          <cell r="W611" t="str">
            <v>KEW</v>
          </cell>
          <cell r="X611" t="str">
            <v>01/09/2010</v>
          </cell>
          <cell r="Y611" t="str">
            <v>KEW</v>
          </cell>
          <cell r="Z611" t="str">
            <v>16/08/2013</v>
          </cell>
          <cell r="AA611" t="str">
            <v>15/08/2015</v>
          </cell>
          <cell r="AB611" t="str">
            <v>No</v>
          </cell>
          <cell r="AC611" t="str">
            <v>31/08/2013</v>
          </cell>
          <cell r="AD611" t="str">
            <v>Good</v>
          </cell>
          <cell r="AE611" t="str">
            <v>V1 - Existing / No Claim</v>
          </cell>
          <cell r="AF611">
            <v>42235</v>
          </cell>
          <cell r="AG611">
            <v>9.17</v>
          </cell>
          <cell r="AH611" t="str">
            <v>PPM</v>
          </cell>
          <cell r="AI611" t="str">
            <v>Strands</v>
          </cell>
          <cell r="AJ611" t="str">
            <v>Strands PW</v>
          </cell>
        </row>
        <row r="612">
          <cell r="A612" t="str">
            <v>IKN400131</v>
          </cell>
          <cell r="B612">
            <v>131</v>
          </cell>
          <cell r="C612" t="str">
            <v>Institut Kanser Negara</v>
          </cell>
          <cell r="D612" t="str">
            <v>KKM/IKN/H/13/1001</v>
          </cell>
          <cell r="E612" t="str">
            <v>13-217</v>
          </cell>
          <cell r="F612" t="str">
            <v>Infusion Pumps, Syringe</v>
          </cell>
          <cell r="G612" t="str">
            <v>IC</v>
          </cell>
          <cell r="H612" t="str">
            <v>INTENSIVE CARE UNIT</v>
          </cell>
          <cell r="I612" t="str">
            <v>05IC131</v>
          </cell>
          <cell r="J612" t="str">
            <v>ISOL 3 (+VE)</v>
          </cell>
          <cell r="K612" t="str">
            <v>BMED</v>
          </cell>
          <cell r="L612" t="str">
            <v>Normal</v>
          </cell>
          <cell r="M612" t="str">
            <v>Germany</v>
          </cell>
          <cell r="N612" t="str">
            <v>Perfusor</v>
          </cell>
          <cell r="O612" t="str">
            <v>Perfusor Space</v>
          </cell>
          <cell r="P612" t="str">
            <v>187000</v>
          </cell>
          <cell r="Q612" t="str">
            <v>Not Applicable</v>
          </cell>
          <cell r="R612" t="str">
            <v>B Braun Melsungen AG</v>
          </cell>
          <cell r="S612" t="str">
            <v>B Braun Medical Supplies Sdn. Bhd.</v>
          </cell>
          <cell r="T612" t="str">
            <v>Functioning</v>
          </cell>
          <cell r="U612" t="str">
            <v>Asset</v>
          </cell>
          <cell r="V612">
            <v>10225</v>
          </cell>
          <cell r="W612" t="str">
            <v>KEW</v>
          </cell>
          <cell r="X612" t="str">
            <v>01/09/2010</v>
          </cell>
          <cell r="Y612" t="str">
            <v>KEW</v>
          </cell>
          <cell r="Z612" t="str">
            <v>16/08/2013</v>
          </cell>
          <cell r="AA612" t="str">
            <v>15/08/2015</v>
          </cell>
          <cell r="AB612" t="str">
            <v>No</v>
          </cell>
          <cell r="AC612" t="str">
            <v>31/08/2013</v>
          </cell>
          <cell r="AD612" t="str">
            <v>Good</v>
          </cell>
          <cell r="AE612" t="str">
            <v>V1 - Existing / No Claim</v>
          </cell>
          <cell r="AF612">
            <v>42235</v>
          </cell>
          <cell r="AG612">
            <v>9.17</v>
          </cell>
          <cell r="AH612" t="str">
            <v>PPM</v>
          </cell>
          <cell r="AI612" t="str">
            <v>Strands</v>
          </cell>
          <cell r="AJ612" t="str">
            <v>Strands PW</v>
          </cell>
        </row>
        <row r="613">
          <cell r="A613" t="str">
            <v>IKN400132</v>
          </cell>
          <cell r="B613">
            <v>132</v>
          </cell>
          <cell r="C613" t="str">
            <v>Institut Kanser Negara</v>
          </cell>
          <cell r="D613" t="str">
            <v>KKM/IKN/H/13/1002</v>
          </cell>
          <cell r="E613" t="str">
            <v>13-217</v>
          </cell>
          <cell r="F613" t="str">
            <v>Infusion Pumps, Syringe</v>
          </cell>
          <cell r="G613" t="str">
            <v>IC</v>
          </cell>
          <cell r="H613" t="str">
            <v>INTENSIVE CARE UNIT</v>
          </cell>
          <cell r="I613" t="str">
            <v>05IC131</v>
          </cell>
          <cell r="J613" t="str">
            <v>ISOL 3 (+VE)</v>
          </cell>
          <cell r="K613" t="str">
            <v>BMED</v>
          </cell>
          <cell r="L613" t="str">
            <v>Normal</v>
          </cell>
          <cell r="M613" t="str">
            <v>Germany</v>
          </cell>
          <cell r="N613" t="str">
            <v>Perfusor</v>
          </cell>
          <cell r="O613" t="str">
            <v>Perfusor Space</v>
          </cell>
          <cell r="P613" t="str">
            <v>187040</v>
          </cell>
          <cell r="Q613" t="str">
            <v>Not Applicable</v>
          </cell>
          <cell r="R613" t="str">
            <v>B Braun Melsungen AG</v>
          </cell>
          <cell r="S613" t="str">
            <v>B Braun Medical Supplies Sdn. Bhd.</v>
          </cell>
          <cell r="T613" t="str">
            <v>Functioning</v>
          </cell>
          <cell r="U613" t="str">
            <v>Asset</v>
          </cell>
          <cell r="V613">
            <v>10225</v>
          </cell>
          <cell r="W613" t="str">
            <v>KEW</v>
          </cell>
          <cell r="X613" t="str">
            <v>01/09/2010</v>
          </cell>
          <cell r="Y613" t="str">
            <v>KEW</v>
          </cell>
          <cell r="Z613" t="str">
            <v>16/08/2013</v>
          </cell>
          <cell r="AA613" t="str">
            <v>15/08/2015</v>
          </cell>
          <cell r="AB613" t="str">
            <v>No</v>
          </cell>
          <cell r="AC613" t="str">
            <v>31/08/2013</v>
          </cell>
          <cell r="AD613" t="str">
            <v>Good</v>
          </cell>
          <cell r="AE613" t="str">
            <v>V1 - Existing / No Claim</v>
          </cell>
          <cell r="AF613">
            <v>42235</v>
          </cell>
          <cell r="AG613">
            <v>9.17</v>
          </cell>
          <cell r="AH613" t="str">
            <v>PPM</v>
          </cell>
          <cell r="AI613" t="str">
            <v>Strands</v>
          </cell>
          <cell r="AJ613" t="str">
            <v>Strands PW</v>
          </cell>
        </row>
        <row r="614">
          <cell r="A614" t="str">
            <v>IKN400133</v>
          </cell>
          <cell r="B614">
            <v>133</v>
          </cell>
          <cell r="C614" t="str">
            <v>Institut Kanser Negara</v>
          </cell>
          <cell r="D614" t="str">
            <v>KKM/IKN/H/13/1003</v>
          </cell>
          <cell r="E614" t="str">
            <v>13-217</v>
          </cell>
          <cell r="F614" t="str">
            <v>Infusion Pumps, Syringe</v>
          </cell>
          <cell r="G614" t="str">
            <v>IC</v>
          </cell>
          <cell r="H614" t="str">
            <v>INTENSIVE CARE UNIT</v>
          </cell>
          <cell r="I614" t="str">
            <v>05IC131</v>
          </cell>
          <cell r="J614" t="str">
            <v>ISOL 3 (+VE)</v>
          </cell>
          <cell r="K614" t="str">
            <v>BMED</v>
          </cell>
          <cell r="L614" t="str">
            <v>Normal</v>
          </cell>
          <cell r="M614" t="str">
            <v>Germany</v>
          </cell>
          <cell r="N614" t="str">
            <v>Perfusor</v>
          </cell>
          <cell r="O614" t="str">
            <v>Perfusor Space</v>
          </cell>
          <cell r="P614" t="str">
            <v>187046</v>
          </cell>
          <cell r="Q614" t="str">
            <v>Not Applicable</v>
          </cell>
          <cell r="R614" t="str">
            <v>B Braun Melsungen AG</v>
          </cell>
          <cell r="S614" t="str">
            <v>B Braun Medical Supplies Sdn. Bhd.</v>
          </cell>
          <cell r="T614" t="str">
            <v>Functioning</v>
          </cell>
          <cell r="U614" t="str">
            <v>Asset</v>
          </cell>
          <cell r="V614">
            <v>10225</v>
          </cell>
          <cell r="W614" t="str">
            <v>KEW</v>
          </cell>
          <cell r="X614" t="str">
            <v>01/09/2010</v>
          </cell>
          <cell r="Y614" t="str">
            <v>KEW</v>
          </cell>
          <cell r="Z614" t="str">
            <v>16/08/2013</v>
          </cell>
          <cell r="AA614" t="str">
            <v>15/08/2015</v>
          </cell>
          <cell r="AB614" t="str">
            <v>No</v>
          </cell>
          <cell r="AC614" t="str">
            <v>31/08/2013</v>
          </cell>
          <cell r="AD614" t="str">
            <v>Good</v>
          </cell>
          <cell r="AE614" t="str">
            <v>V1 - Existing / No Claim</v>
          </cell>
          <cell r="AF614">
            <v>42235</v>
          </cell>
          <cell r="AG614">
            <v>9.17</v>
          </cell>
          <cell r="AH614" t="str">
            <v>PPM</v>
          </cell>
          <cell r="AI614" t="str">
            <v>Strands</v>
          </cell>
          <cell r="AJ614" t="str">
            <v>Strands PW</v>
          </cell>
        </row>
        <row r="615">
          <cell r="A615" t="str">
            <v>IKN400134</v>
          </cell>
          <cell r="B615">
            <v>134</v>
          </cell>
          <cell r="C615" t="str">
            <v>Institut Kanser Negara</v>
          </cell>
          <cell r="D615" t="str">
            <v>KKM/IKN/H/13/1004</v>
          </cell>
          <cell r="E615" t="str">
            <v>13-217</v>
          </cell>
          <cell r="F615" t="str">
            <v>Infusion Pumps, Syringe</v>
          </cell>
          <cell r="G615" t="str">
            <v>IC</v>
          </cell>
          <cell r="H615" t="str">
            <v>INTENSIVE CARE UNIT</v>
          </cell>
          <cell r="I615" t="str">
            <v>05IC131</v>
          </cell>
          <cell r="J615" t="str">
            <v>ISOL 3 (+VE)</v>
          </cell>
          <cell r="K615" t="str">
            <v>BMED</v>
          </cell>
          <cell r="L615" t="str">
            <v>Normal</v>
          </cell>
          <cell r="M615" t="str">
            <v>Germany</v>
          </cell>
          <cell r="N615" t="str">
            <v>Perfusor</v>
          </cell>
          <cell r="O615" t="str">
            <v>Perfusor Space</v>
          </cell>
          <cell r="P615" t="str">
            <v>187059</v>
          </cell>
          <cell r="Q615" t="str">
            <v>Not Applicable</v>
          </cell>
          <cell r="R615" t="str">
            <v>B Braun Melsungen AG</v>
          </cell>
          <cell r="S615" t="str">
            <v>B Braun Medical Supplies Sdn. Bhd.</v>
          </cell>
          <cell r="T615" t="str">
            <v>Functioning</v>
          </cell>
          <cell r="U615" t="str">
            <v>Asset</v>
          </cell>
          <cell r="V615">
            <v>10225</v>
          </cell>
          <cell r="W615" t="str">
            <v>KEW</v>
          </cell>
          <cell r="X615" t="str">
            <v>01/09/2010</v>
          </cell>
          <cell r="Y615" t="str">
            <v>KEW</v>
          </cell>
          <cell r="Z615" t="str">
            <v>16/08/2013</v>
          </cell>
          <cell r="AA615" t="str">
            <v>15/08/2015</v>
          </cell>
          <cell r="AB615" t="str">
            <v>No</v>
          </cell>
          <cell r="AC615" t="str">
            <v>31/08/2013</v>
          </cell>
          <cell r="AD615" t="str">
            <v>Good</v>
          </cell>
          <cell r="AE615" t="str">
            <v>V1 - Existing / No Claim</v>
          </cell>
          <cell r="AF615">
            <v>42235</v>
          </cell>
          <cell r="AG615">
            <v>9.17</v>
          </cell>
          <cell r="AH615" t="str">
            <v>PPM</v>
          </cell>
          <cell r="AI615" t="str">
            <v>Strands</v>
          </cell>
          <cell r="AJ615" t="str">
            <v>Strands PW</v>
          </cell>
        </row>
        <row r="616">
          <cell r="A616" t="str">
            <v>IKN400135</v>
          </cell>
          <cell r="B616">
            <v>135</v>
          </cell>
          <cell r="C616" t="str">
            <v>Institut Kanser Negara</v>
          </cell>
          <cell r="D616" t="str">
            <v>KKM/IKN/H/13/1006</v>
          </cell>
          <cell r="E616" t="str">
            <v>13-215</v>
          </cell>
          <cell r="F616" t="str">
            <v>Infusion Pumps, General-Purpose</v>
          </cell>
          <cell r="G616" t="str">
            <v>IC</v>
          </cell>
          <cell r="H616" t="str">
            <v>INTENSIVE CARE UNIT</v>
          </cell>
          <cell r="I616" t="str">
            <v>05IC111</v>
          </cell>
          <cell r="J616" t="str">
            <v>ISOL 1(-VE)</v>
          </cell>
          <cell r="K616" t="str">
            <v>BMED</v>
          </cell>
          <cell r="L616" t="str">
            <v>Normal</v>
          </cell>
          <cell r="M616" t="str">
            <v>Germany</v>
          </cell>
          <cell r="N616" t="str">
            <v>Infusomat</v>
          </cell>
          <cell r="O616" t="str">
            <v>Infusomat Space</v>
          </cell>
          <cell r="P616" t="str">
            <v>212105</v>
          </cell>
          <cell r="Q616" t="str">
            <v>Not Applicable</v>
          </cell>
          <cell r="R616" t="str">
            <v>B Braun Melsungen AG</v>
          </cell>
          <cell r="S616" t="str">
            <v>B Braun Medical Supplies Sdn. Bhd.</v>
          </cell>
          <cell r="T616" t="str">
            <v>Functioning</v>
          </cell>
          <cell r="U616" t="str">
            <v>Asset</v>
          </cell>
          <cell r="V616">
            <v>10825</v>
          </cell>
          <cell r="W616" t="str">
            <v>KEW</v>
          </cell>
          <cell r="X616" t="str">
            <v>01/09/2010</v>
          </cell>
          <cell r="Y616" t="str">
            <v>KEW</v>
          </cell>
          <cell r="Z616" t="str">
            <v>16/08/2013</v>
          </cell>
          <cell r="AA616" t="str">
            <v>15/08/2015</v>
          </cell>
          <cell r="AB616" t="str">
            <v>No</v>
          </cell>
          <cell r="AC616" t="str">
            <v>31/08/2013</v>
          </cell>
          <cell r="AD616" t="str">
            <v>Good</v>
          </cell>
          <cell r="AE616" t="str">
            <v>V1 - Existing / No Claim</v>
          </cell>
          <cell r="AF616">
            <v>42235</v>
          </cell>
          <cell r="AG616">
            <v>9.17</v>
          </cell>
          <cell r="AH616" t="str">
            <v>PPM</v>
          </cell>
          <cell r="AI616" t="str">
            <v>Strands</v>
          </cell>
          <cell r="AJ616" t="str">
            <v>Strands PW</v>
          </cell>
        </row>
        <row r="617">
          <cell r="A617" t="str">
            <v>IKN400136</v>
          </cell>
          <cell r="B617">
            <v>136</v>
          </cell>
          <cell r="C617" t="str">
            <v>Institut Kanser Negara</v>
          </cell>
          <cell r="D617" t="str">
            <v>KKM/IKN/H/13/1008</v>
          </cell>
          <cell r="E617" t="str">
            <v>13-215</v>
          </cell>
          <cell r="F617" t="str">
            <v>Infusion Pumps, General-Purpose</v>
          </cell>
          <cell r="G617" t="str">
            <v>IC</v>
          </cell>
          <cell r="H617" t="str">
            <v>INTENSIVE CARE UNIT</v>
          </cell>
          <cell r="I617" t="str">
            <v>05IC111</v>
          </cell>
          <cell r="J617" t="str">
            <v>ISOL 1(-VE)</v>
          </cell>
          <cell r="K617" t="str">
            <v>BMED</v>
          </cell>
          <cell r="L617" t="str">
            <v>Normal</v>
          </cell>
          <cell r="M617" t="str">
            <v>Germany</v>
          </cell>
          <cell r="N617" t="str">
            <v>Infusomat</v>
          </cell>
          <cell r="O617" t="str">
            <v>Infusomat Space</v>
          </cell>
          <cell r="P617" t="str">
            <v>211994</v>
          </cell>
          <cell r="Q617" t="str">
            <v>Not Applicable</v>
          </cell>
          <cell r="R617" t="str">
            <v>B Braun Melsungen AG</v>
          </cell>
          <cell r="S617" t="str">
            <v>B Braun Medical Supplies Sdn. Bhd.</v>
          </cell>
          <cell r="T617" t="str">
            <v>Functioning</v>
          </cell>
          <cell r="U617" t="str">
            <v>Asset</v>
          </cell>
          <cell r="V617">
            <v>10825</v>
          </cell>
          <cell r="W617" t="str">
            <v>KEW</v>
          </cell>
          <cell r="X617" t="str">
            <v>01/09/2010</v>
          </cell>
          <cell r="Y617" t="str">
            <v>KEW</v>
          </cell>
          <cell r="Z617" t="str">
            <v>16/08/2013</v>
          </cell>
          <cell r="AA617" t="str">
            <v>15/08/2015</v>
          </cell>
          <cell r="AB617" t="str">
            <v>No</v>
          </cell>
          <cell r="AC617" t="str">
            <v>31/08/2013</v>
          </cell>
          <cell r="AD617" t="str">
            <v>Good</v>
          </cell>
          <cell r="AE617" t="str">
            <v>V1 - Existing / No Claim</v>
          </cell>
          <cell r="AF617">
            <v>42235</v>
          </cell>
          <cell r="AG617">
            <v>9.17</v>
          </cell>
          <cell r="AH617" t="str">
            <v>PPM</v>
          </cell>
          <cell r="AI617" t="str">
            <v>Strands</v>
          </cell>
          <cell r="AJ617" t="str">
            <v>Strands PW</v>
          </cell>
        </row>
        <row r="618">
          <cell r="A618" t="str">
            <v>IKN400137</v>
          </cell>
          <cell r="B618">
            <v>137</v>
          </cell>
          <cell r="C618" t="str">
            <v>Institut Kanser Negara</v>
          </cell>
          <cell r="D618" t="str">
            <v>KKM/IKN/H/13/1009</v>
          </cell>
          <cell r="E618" t="str">
            <v>13-215</v>
          </cell>
          <cell r="F618" t="str">
            <v>Infusion Pumps, General-Purpose</v>
          </cell>
          <cell r="G618" t="str">
            <v>IC</v>
          </cell>
          <cell r="H618" t="str">
            <v>INTENSIVE CARE UNIT</v>
          </cell>
          <cell r="I618" t="str">
            <v>05IC112</v>
          </cell>
          <cell r="J618" t="str">
            <v>ICU RM 1</v>
          </cell>
          <cell r="K618" t="str">
            <v>BMED</v>
          </cell>
          <cell r="L618" t="str">
            <v>Normal</v>
          </cell>
          <cell r="M618" t="str">
            <v>Germany</v>
          </cell>
          <cell r="N618" t="str">
            <v>Infusomat</v>
          </cell>
          <cell r="O618" t="str">
            <v>Infusomat Space</v>
          </cell>
          <cell r="P618">
            <v>211715</v>
          </cell>
          <cell r="Q618" t="str">
            <v>Not Applicable</v>
          </cell>
          <cell r="R618" t="str">
            <v>B Braun Melsungen AG</v>
          </cell>
          <cell r="S618" t="str">
            <v>B Braun Medical Supplies Sdn. Bhd.</v>
          </cell>
          <cell r="T618" t="str">
            <v>Functioning</v>
          </cell>
          <cell r="U618" t="str">
            <v>Asset</v>
          </cell>
          <cell r="V618">
            <v>10825</v>
          </cell>
          <cell r="W618" t="str">
            <v>KEW</v>
          </cell>
          <cell r="X618" t="str">
            <v>01/09/2010</v>
          </cell>
          <cell r="Y618" t="str">
            <v>KEW</v>
          </cell>
          <cell r="Z618" t="str">
            <v>16/08/2013</v>
          </cell>
          <cell r="AA618" t="str">
            <v>15/08/2015</v>
          </cell>
          <cell r="AB618" t="str">
            <v>No</v>
          </cell>
          <cell r="AC618" t="str">
            <v>31/08/2013</v>
          </cell>
          <cell r="AD618" t="str">
            <v>Good</v>
          </cell>
          <cell r="AE618" t="str">
            <v>V1 - Existing / No Claim</v>
          </cell>
          <cell r="AF618">
            <v>42235</v>
          </cell>
          <cell r="AG618">
            <v>9.17</v>
          </cell>
          <cell r="AH618" t="str">
            <v>PPM</v>
          </cell>
          <cell r="AI618" t="str">
            <v>Strands</v>
          </cell>
          <cell r="AJ618" t="str">
            <v>Strands PW</v>
          </cell>
        </row>
        <row r="619">
          <cell r="A619" t="str">
            <v>IKN400138</v>
          </cell>
          <cell r="B619">
            <v>138</v>
          </cell>
          <cell r="C619" t="str">
            <v>Institut Kanser Negara</v>
          </cell>
          <cell r="D619" t="str">
            <v>KKM/IKN/H/13/1010</v>
          </cell>
          <cell r="E619" t="str">
            <v>13-215</v>
          </cell>
          <cell r="F619" t="str">
            <v>Infusion Pumps, General-Purpose</v>
          </cell>
          <cell r="G619" t="str">
            <v>IC</v>
          </cell>
          <cell r="H619" t="str">
            <v>INTENSIVE CARE UNIT</v>
          </cell>
          <cell r="I619" t="str">
            <v>05IC112</v>
          </cell>
          <cell r="J619" t="str">
            <v>ICU RM 1</v>
          </cell>
          <cell r="K619" t="str">
            <v>BMED</v>
          </cell>
          <cell r="L619" t="str">
            <v>Normal</v>
          </cell>
          <cell r="M619" t="str">
            <v>Germany</v>
          </cell>
          <cell r="N619" t="str">
            <v>Infusomat</v>
          </cell>
          <cell r="O619" t="str">
            <v>Infusomat Space</v>
          </cell>
          <cell r="P619" t="str">
            <v>211936</v>
          </cell>
          <cell r="Q619" t="str">
            <v>Not Applicable</v>
          </cell>
          <cell r="R619" t="str">
            <v>B Braun Melsungen AG</v>
          </cell>
          <cell r="S619" t="str">
            <v>B Braun Medical Supplies Sdn. Bhd.</v>
          </cell>
          <cell r="T619" t="str">
            <v>Functioning</v>
          </cell>
          <cell r="U619" t="str">
            <v>Asset</v>
          </cell>
          <cell r="V619">
            <v>10825</v>
          </cell>
          <cell r="W619" t="str">
            <v>KEW</v>
          </cell>
          <cell r="X619" t="str">
            <v>01/09/2010</v>
          </cell>
          <cell r="Y619" t="str">
            <v>KEW</v>
          </cell>
          <cell r="Z619" t="str">
            <v>16/08/2013</v>
          </cell>
          <cell r="AA619" t="str">
            <v>15/08/2015</v>
          </cell>
          <cell r="AB619" t="str">
            <v>No</v>
          </cell>
          <cell r="AC619" t="str">
            <v>31/08/2013</v>
          </cell>
          <cell r="AD619" t="str">
            <v>Good</v>
          </cell>
          <cell r="AE619" t="str">
            <v>V1 - Existing / No Claim</v>
          </cell>
          <cell r="AF619">
            <v>42235</v>
          </cell>
          <cell r="AG619">
            <v>9.17</v>
          </cell>
          <cell r="AH619" t="str">
            <v>PPM</v>
          </cell>
          <cell r="AI619" t="str">
            <v>Strands</v>
          </cell>
          <cell r="AJ619" t="str">
            <v>Strands PW</v>
          </cell>
        </row>
        <row r="620">
          <cell r="A620" t="str">
            <v>IKN400139</v>
          </cell>
          <cell r="B620">
            <v>139</v>
          </cell>
          <cell r="C620" t="str">
            <v>Institut Kanser Negara</v>
          </cell>
          <cell r="D620" t="str">
            <v>KKM/IKN/H/13/1011</v>
          </cell>
          <cell r="E620" t="str">
            <v>13-215</v>
          </cell>
          <cell r="F620" t="str">
            <v>Infusion Pumps, General-Purpose</v>
          </cell>
          <cell r="G620" t="str">
            <v>IC</v>
          </cell>
          <cell r="H620" t="str">
            <v>INTENSIVE CARE UNIT</v>
          </cell>
          <cell r="I620" t="str">
            <v>05IC113</v>
          </cell>
          <cell r="J620" t="str">
            <v>ICU RM 2</v>
          </cell>
          <cell r="K620" t="str">
            <v>BMED</v>
          </cell>
          <cell r="L620" t="str">
            <v>Critical</v>
          </cell>
          <cell r="M620" t="str">
            <v>Germany</v>
          </cell>
          <cell r="N620" t="str">
            <v>Infusomat</v>
          </cell>
          <cell r="O620" t="str">
            <v>Infusomat Space</v>
          </cell>
          <cell r="P620" t="str">
            <v>211828</v>
          </cell>
          <cell r="Q620" t="str">
            <v>Not Applicable</v>
          </cell>
          <cell r="R620" t="str">
            <v>B Braun Melsungen AG</v>
          </cell>
          <cell r="S620" t="str">
            <v>B Braun Medical Supplies Sdn. Bhd.</v>
          </cell>
          <cell r="T620" t="str">
            <v>Functioning</v>
          </cell>
          <cell r="U620" t="str">
            <v>Asset</v>
          </cell>
          <cell r="V620">
            <v>10825</v>
          </cell>
          <cell r="W620" t="str">
            <v>KEW</v>
          </cell>
          <cell r="X620" t="str">
            <v>01/09/2010</v>
          </cell>
          <cell r="Y620" t="str">
            <v>KEW</v>
          </cell>
          <cell r="Z620" t="str">
            <v>16/08/2013</v>
          </cell>
          <cell r="AA620" t="str">
            <v>15/08/2015</v>
          </cell>
          <cell r="AB620" t="str">
            <v>No</v>
          </cell>
          <cell r="AC620" t="str">
            <v>31/08/2013</v>
          </cell>
          <cell r="AD620" t="str">
            <v>Good</v>
          </cell>
          <cell r="AE620" t="str">
            <v>V1 - Existing / No Claim</v>
          </cell>
          <cell r="AF620">
            <v>42797</v>
          </cell>
          <cell r="AG620">
            <v>9.17</v>
          </cell>
          <cell r="AH620" t="str">
            <v>PPM</v>
          </cell>
          <cell r="AI620" t="str">
            <v>Strands</v>
          </cell>
          <cell r="AJ620" t="str">
            <v>Strands PW</v>
          </cell>
        </row>
        <row r="621">
          <cell r="A621" t="str">
            <v>IKN400140</v>
          </cell>
          <cell r="B621">
            <v>140</v>
          </cell>
          <cell r="C621" t="str">
            <v>Institut Kanser Negara</v>
          </cell>
          <cell r="D621" t="str">
            <v>KKM/IKN/H/13/1012</v>
          </cell>
          <cell r="E621" t="str">
            <v>13-215</v>
          </cell>
          <cell r="F621" t="str">
            <v>Infusion Pumps, General-Purpose</v>
          </cell>
          <cell r="G621" t="str">
            <v>IC</v>
          </cell>
          <cell r="H621" t="str">
            <v>INTENSIVE CARE UNIT</v>
          </cell>
          <cell r="I621" t="str">
            <v>05IC113</v>
          </cell>
          <cell r="J621" t="str">
            <v>ICU RM 2</v>
          </cell>
          <cell r="K621" t="str">
            <v>BMED</v>
          </cell>
          <cell r="L621" t="str">
            <v>Critical</v>
          </cell>
          <cell r="M621" t="str">
            <v>Germany</v>
          </cell>
          <cell r="N621" t="str">
            <v>Infusomat</v>
          </cell>
          <cell r="O621" t="str">
            <v>Infusomat Space</v>
          </cell>
          <cell r="P621" t="str">
            <v>212094</v>
          </cell>
          <cell r="Q621" t="str">
            <v>Not Applicable</v>
          </cell>
          <cell r="R621" t="str">
            <v>B Braun Melsungen AG</v>
          </cell>
          <cell r="S621" t="str">
            <v>B Braun Medical Supplies Sdn. Bhd.</v>
          </cell>
          <cell r="T621" t="str">
            <v>Functioning</v>
          </cell>
          <cell r="U621" t="str">
            <v>Asset</v>
          </cell>
          <cell r="V621">
            <v>10825</v>
          </cell>
          <cell r="W621" t="str">
            <v>KEW</v>
          </cell>
          <cell r="X621" t="str">
            <v>01/09/2010</v>
          </cell>
          <cell r="Y621" t="str">
            <v>KEW</v>
          </cell>
          <cell r="Z621" t="str">
            <v>16/08/2013</v>
          </cell>
          <cell r="AA621" t="str">
            <v>15/08/2015</v>
          </cell>
          <cell r="AB621" t="str">
            <v>No</v>
          </cell>
          <cell r="AC621" t="str">
            <v>31/08/2013</v>
          </cell>
          <cell r="AD621" t="str">
            <v>Good</v>
          </cell>
          <cell r="AE621" t="str">
            <v>V1 - Existing / No Claim</v>
          </cell>
          <cell r="AF621">
            <v>42797</v>
          </cell>
          <cell r="AG621">
            <v>9.17</v>
          </cell>
          <cell r="AH621" t="str">
            <v>PPM</v>
          </cell>
          <cell r="AI621" t="str">
            <v>Strands</v>
          </cell>
          <cell r="AJ621" t="str">
            <v>Strands PW</v>
          </cell>
        </row>
        <row r="622">
          <cell r="A622" t="str">
            <v>IKN400141</v>
          </cell>
          <cell r="B622">
            <v>141</v>
          </cell>
          <cell r="C622" t="str">
            <v>Institut Kanser Negara</v>
          </cell>
          <cell r="D622" t="str">
            <v>KKM/IKN/H/13/1013</v>
          </cell>
          <cell r="E622" t="str">
            <v>13-215</v>
          </cell>
          <cell r="F622" t="str">
            <v>Infusion Pumps, General-Purpose</v>
          </cell>
          <cell r="G622" t="str">
            <v>IC</v>
          </cell>
          <cell r="H622" t="str">
            <v>INTENSIVE CARE UNIT</v>
          </cell>
          <cell r="I622" t="str">
            <v>05IC114</v>
          </cell>
          <cell r="J622" t="str">
            <v>ICU RM 3</v>
          </cell>
          <cell r="K622" t="str">
            <v>BMED</v>
          </cell>
          <cell r="L622" t="str">
            <v>Critical</v>
          </cell>
          <cell r="M622" t="str">
            <v>Germany</v>
          </cell>
          <cell r="N622" t="str">
            <v>Infusomat</v>
          </cell>
          <cell r="O622" t="str">
            <v>Infusomat Space</v>
          </cell>
          <cell r="P622" t="str">
            <v>211919</v>
          </cell>
          <cell r="Q622" t="str">
            <v>Not Applicable</v>
          </cell>
          <cell r="R622" t="str">
            <v>B Braun Melsungen AG</v>
          </cell>
          <cell r="S622" t="str">
            <v>B Braun Medical Supplies Sdn. Bhd.</v>
          </cell>
          <cell r="T622" t="str">
            <v>Functioning</v>
          </cell>
          <cell r="U622" t="str">
            <v>Asset</v>
          </cell>
          <cell r="V622">
            <v>10825</v>
          </cell>
          <cell r="W622" t="str">
            <v>KEW</v>
          </cell>
          <cell r="X622" t="str">
            <v>01/09/2010</v>
          </cell>
          <cell r="Y622" t="str">
            <v>KEW</v>
          </cell>
          <cell r="Z622" t="str">
            <v>16/08/2013</v>
          </cell>
          <cell r="AA622" t="str">
            <v>15/08/2015</v>
          </cell>
          <cell r="AB622" t="str">
            <v>No</v>
          </cell>
          <cell r="AC622" t="str">
            <v>31/08/2013</v>
          </cell>
          <cell r="AD622" t="str">
            <v>Good</v>
          </cell>
          <cell r="AE622" t="str">
            <v>V1 - Existing / No Claim</v>
          </cell>
          <cell r="AF622">
            <v>42797</v>
          </cell>
          <cell r="AG622">
            <v>9.17</v>
          </cell>
          <cell r="AH622" t="str">
            <v>PPM</v>
          </cell>
          <cell r="AI622" t="str">
            <v>Strands</v>
          </cell>
          <cell r="AJ622" t="str">
            <v>Strands PW</v>
          </cell>
        </row>
        <row r="623">
          <cell r="A623" t="str">
            <v>IKN400142</v>
          </cell>
          <cell r="B623">
            <v>142</v>
          </cell>
          <cell r="C623" t="str">
            <v>Institut Kanser Negara</v>
          </cell>
          <cell r="D623" t="str">
            <v>KKM/IKN/H/13/1014</v>
          </cell>
          <cell r="E623" t="str">
            <v>13-215</v>
          </cell>
          <cell r="F623" t="str">
            <v>Infusion Pumps, General-Purpose</v>
          </cell>
          <cell r="G623" t="str">
            <v>IC</v>
          </cell>
          <cell r="H623" t="str">
            <v>INTENSIVE CARE UNIT</v>
          </cell>
          <cell r="I623" t="str">
            <v>05IC114</v>
          </cell>
          <cell r="J623" t="str">
            <v>ICU RM 3</v>
          </cell>
          <cell r="K623" t="str">
            <v>BMED</v>
          </cell>
          <cell r="L623" t="str">
            <v>Normal</v>
          </cell>
          <cell r="M623" t="str">
            <v>Germany</v>
          </cell>
          <cell r="N623" t="str">
            <v>Infusomat</v>
          </cell>
          <cell r="O623" t="str">
            <v>Infusomat Space</v>
          </cell>
          <cell r="P623" t="str">
            <v>212022</v>
          </cell>
          <cell r="Q623" t="str">
            <v>Not Applicable</v>
          </cell>
          <cell r="R623" t="str">
            <v>B Braun Melsungen AG</v>
          </cell>
          <cell r="S623" t="str">
            <v>B Braun Medical Supplies Sdn. Bhd.</v>
          </cell>
          <cell r="T623" t="str">
            <v>Functioning</v>
          </cell>
          <cell r="U623" t="str">
            <v>Asset</v>
          </cell>
          <cell r="V623">
            <v>10825</v>
          </cell>
          <cell r="W623" t="str">
            <v>KEW</v>
          </cell>
          <cell r="X623" t="str">
            <v>01/09/2010</v>
          </cell>
          <cell r="Y623" t="str">
            <v>KEW</v>
          </cell>
          <cell r="Z623" t="str">
            <v>16/08/2013</v>
          </cell>
          <cell r="AA623" t="str">
            <v>15/08/2015</v>
          </cell>
          <cell r="AB623" t="str">
            <v>No</v>
          </cell>
          <cell r="AC623" t="str">
            <v>31/08/2013</v>
          </cell>
          <cell r="AD623" t="str">
            <v>Good</v>
          </cell>
          <cell r="AE623" t="str">
            <v>V1 - Existing / No Claim</v>
          </cell>
          <cell r="AF623">
            <v>42235</v>
          </cell>
          <cell r="AG623">
            <v>9.17</v>
          </cell>
          <cell r="AH623" t="str">
            <v>PPM</v>
          </cell>
          <cell r="AI623" t="str">
            <v>Strands</v>
          </cell>
          <cell r="AJ623" t="str">
            <v>Strands PW</v>
          </cell>
        </row>
        <row r="624">
          <cell r="A624" t="str">
            <v>IKN400143</v>
          </cell>
          <cell r="B624">
            <v>143</v>
          </cell>
          <cell r="C624" t="str">
            <v>Institut Kanser Negara</v>
          </cell>
          <cell r="D624" t="str">
            <v>KKM/IKN/H/13/1015</v>
          </cell>
          <cell r="E624" t="str">
            <v>13-215</v>
          </cell>
          <cell r="F624" t="str">
            <v>Infusion Pumps, General-Purpose</v>
          </cell>
          <cell r="G624" t="str">
            <v>IC</v>
          </cell>
          <cell r="H624" t="str">
            <v>INTENSIVE CARE UNIT</v>
          </cell>
          <cell r="I624" t="str">
            <v>05IC115</v>
          </cell>
          <cell r="J624" t="str">
            <v>ICU RM 4</v>
          </cell>
          <cell r="K624" t="str">
            <v>BMED</v>
          </cell>
          <cell r="L624" t="str">
            <v>Normal</v>
          </cell>
          <cell r="M624" t="str">
            <v>Germany</v>
          </cell>
          <cell r="N624" t="str">
            <v>Infusomat</v>
          </cell>
          <cell r="O624" t="str">
            <v>Infusomat Space</v>
          </cell>
          <cell r="P624" t="str">
            <v>212054</v>
          </cell>
          <cell r="Q624" t="str">
            <v>Not Applicable</v>
          </cell>
          <cell r="R624" t="str">
            <v>B Braun Melsungen AG</v>
          </cell>
          <cell r="S624" t="str">
            <v>B Braun Medical Supplies Sdn. Bhd.</v>
          </cell>
          <cell r="T624" t="str">
            <v>Functioning</v>
          </cell>
          <cell r="U624" t="str">
            <v>Asset</v>
          </cell>
          <cell r="V624">
            <v>10825</v>
          </cell>
          <cell r="W624" t="str">
            <v>KEW</v>
          </cell>
          <cell r="X624" t="str">
            <v>01/09/2010</v>
          </cell>
          <cell r="Y624" t="str">
            <v>KEW</v>
          </cell>
          <cell r="Z624" t="str">
            <v>16/08/2013</v>
          </cell>
          <cell r="AA624" t="str">
            <v>15/08/2015</v>
          </cell>
          <cell r="AB624" t="str">
            <v>No</v>
          </cell>
          <cell r="AC624" t="str">
            <v>31/08/2013</v>
          </cell>
          <cell r="AD624" t="str">
            <v>Good</v>
          </cell>
          <cell r="AE624" t="str">
            <v>V1 - Existing / No Claim</v>
          </cell>
          <cell r="AF624">
            <v>42235</v>
          </cell>
          <cell r="AG624">
            <v>9.17</v>
          </cell>
          <cell r="AH624" t="str">
            <v>PPM</v>
          </cell>
          <cell r="AI624" t="str">
            <v>Strands</v>
          </cell>
          <cell r="AJ624" t="str">
            <v>Strands PW</v>
          </cell>
        </row>
        <row r="625">
          <cell r="A625" t="str">
            <v>IKN400144</v>
          </cell>
          <cell r="B625">
            <v>144</v>
          </cell>
          <cell r="C625" t="str">
            <v>Institut Kanser Negara</v>
          </cell>
          <cell r="D625" t="str">
            <v>KKM/IKN/H/13/1016</v>
          </cell>
          <cell r="E625" t="str">
            <v>13-215</v>
          </cell>
          <cell r="F625" t="str">
            <v>Infusion Pumps, General-Purpose</v>
          </cell>
          <cell r="G625" t="str">
            <v>IC</v>
          </cell>
          <cell r="H625" t="str">
            <v>INTENSIVE CARE UNIT</v>
          </cell>
          <cell r="I625" t="str">
            <v>05IC115</v>
          </cell>
          <cell r="J625" t="str">
            <v>ICU RM 4</v>
          </cell>
          <cell r="K625" t="str">
            <v>BMED</v>
          </cell>
          <cell r="L625" t="str">
            <v>Critical</v>
          </cell>
          <cell r="M625" t="str">
            <v>Germany</v>
          </cell>
          <cell r="N625" t="str">
            <v>Infusomat</v>
          </cell>
          <cell r="O625" t="str">
            <v>Infusomat Space</v>
          </cell>
          <cell r="P625" t="str">
            <v>211920</v>
          </cell>
          <cell r="Q625" t="str">
            <v>Not Applicable</v>
          </cell>
          <cell r="R625" t="str">
            <v>B Braun Melsungen AG</v>
          </cell>
          <cell r="S625" t="str">
            <v>B Braun Medical Supplies Sdn. Bhd.</v>
          </cell>
          <cell r="T625" t="str">
            <v>Functioning</v>
          </cell>
          <cell r="U625" t="str">
            <v>Asset</v>
          </cell>
          <cell r="V625">
            <v>10825</v>
          </cell>
          <cell r="W625" t="str">
            <v>KEW</v>
          </cell>
          <cell r="X625" t="str">
            <v>01/09/2010</v>
          </cell>
          <cell r="Y625" t="str">
            <v>KEW</v>
          </cell>
          <cell r="Z625" t="str">
            <v>16/08/2013</v>
          </cell>
          <cell r="AA625" t="str">
            <v>15/08/2015</v>
          </cell>
          <cell r="AB625" t="str">
            <v>No</v>
          </cell>
          <cell r="AC625" t="str">
            <v>31/08/2013</v>
          </cell>
          <cell r="AD625" t="str">
            <v>Good</v>
          </cell>
          <cell r="AE625" t="str">
            <v>V1 - Existing / No Claim</v>
          </cell>
          <cell r="AF625">
            <v>42797</v>
          </cell>
          <cell r="AG625">
            <v>9.17</v>
          </cell>
          <cell r="AH625" t="str">
            <v>PPM</v>
          </cell>
          <cell r="AI625" t="str">
            <v>Strands</v>
          </cell>
          <cell r="AJ625" t="str">
            <v>Strands PW</v>
          </cell>
        </row>
        <row r="626">
          <cell r="A626" t="str">
            <v>IKN400145</v>
          </cell>
          <cell r="B626">
            <v>145</v>
          </cell>
          <cell r="C626" t="str">
            <v>Institut Kanser Negara</v>
          </cell>
          <cell r="D626" t="str">
            <v>KKM/IKN/H/13/1017</v>
          </cell>
          <cell r="E626" t="str">
            <v>13-215</v>
          </cell>
          <cell r="F626" t="str">
            <v>Infusion Pumps, General-Purpose</v>
          </cell>
          <cell r="G626" t="str">
            <v>IC</v>
          </cell>
          <cell r="H626" t="str">
            <v>INTENSIVE CARE UNIT</v>
          </cell>
          <cell r="I626" t="str">
            <v>05IC116</v>
          </cell>
          <cell r="J626" t="str">
            <v>ISOL 2 (+VE)</v>
          </cell>
          <cell r="K626" t="str">
            <v>BMED</v>
          </cell>
          <cell r="L626" t="str">
            <v>Critical</v>
          </cell>
          <cell r="M626" t="str">
            <v>Germany</v>
          </cell>
          <cell r="N626" t="str">
            <v>Infusomat</v>
          </cell>
          <cell r="O626" t="str">
            <v>Infusomat Space</v>
          </cell>
          <cell r="P626" t="str">
            <v>211981</v>
          </cell>
          <cell r="Q626" t="str">
            <v>Not Applicable</v>
          </cell>
          <cell r="R626" t="str">
            <v>B Braun Melsungen AG</v>
          </cell>
          <cell r="S626" t="str">
            <v>B Braun Medical Supplies Sdn. Bhd.</v>
          </cell>
          <cell r="T626" t="str">
            <v>Functioning</v>
          </cell>
          <cell r="U626" t="str">
            <v>Asset</v>
          </cell>
          <cell r="V626">
            <v>10825</v>
          </cell>
          <cell r="W626" t="str">
            <v>KEW</v>
          </cell>
          <cell r="X626" t="str">
            <v>01/09/2010</v>
          </cell>
          <cell r="Y626" t="str">
            <v>KEW</v>
          </cell>
          <cell r="Z626" t="str">
            <v>16/08/2013</v>
          </cell>
          <cell r="AA626" t="str">
            <v>15/08/2015</v>
          </cell>
          <cell r="AB626" t="str">
            <v>No</v>
          </cell>
          <cell r="AC626" t="str">
            <v>31/08/2013</v>
          </cell>
          <cell r="AD626" t="str">
            <v>Good</v>
          </cell>
          <cell r="AE626" t="str">
            <v>V1 - Existing / No Claim</v>
          </cell>
          <cell r="AF626">
            <v>42797</v>
          </cell>
          <cell r="AG626">
            <v>9.17</v>
          </cell>
          <cell r="AH626" t="str">
            <v>PPM</v>
          </cell>
          <cell r="AI626" t="str">
            <v>Strands</v>
          </cell>
          <cell r="AJ626" t="str">
            <v>Strands PW</v>
          </cell>
        </row>
        <row r="627">
          <cell r="A627" t="str">
            <v>IKN400146</v>
          </cell>
          <cell r="B627">
            <v>146</v>
          </cell>
          <cell r="C627" t="str">
            <v>Institut Kanser Negara</v>
          </cell>
          <cell r="D627" t="str">
            <v>KKM/IKN/H/13/1018</v>
          </cell>
          <cell r="E627" t="str">
            <v>13-215</v>
          </cell>
          <cell r="F627" t="str">
            <v>Infusion Pumps, General-Purpose</v>
          </cell>
          <cell r="G627" t="str">
            <v>IC</v>
          </cell>
          <cell r="H627" t="str">
            <v>INTENSIVE CARE UNIT</v>
          </cell>
          <cell r="I627" t="str">
            <v>05IC116</v>
          </cell>
          <cell r="J627" t="str">
            <v>ISOL 2 (+VE)</v>
          </cell>
          <cell r="K627" t="str">
            <v>BMED</v>
          </cell>
          <cell r="L627" t="str">
            <v>Critical</v>
          </cell>
          <cell r="M627" t="str">
            <v>Germany</v>
          </cell>
          <cell r="N627" t="str">
            <v>Infusomat</v>
          </cell>
          <cell r="O627" t="str">
            <v>Infusomat Space</v>
          </cell>
          <cell r="P627" t="str">
            <v>212071</v>
          </cell>
          <cell r="Q627" t="str">
            <v>Not Applicable</v>
          </cell>
          <cell r="R627" t="str">
            <v>B Braun Melsungen AG</v>
          </cell>
          <cell r="S627" t="str">
            <v>B Braun Medical Supplies Sdn. Bhd.</v>
          </cell>
          <cell r="T627" t="str">
            <v>Functioning</v>
          </cell>
          <cell r="U627" t="str">
            <v>Asset</v>
          </cell>
          <cell r="V627">
            <v>10825</v>
          </cell>
          <cell r="W627" t="str">
            <v>KEW</v>
          </cell>
          <cell r="X627" t="str">
            <v>01/09/2010</v>
          </cell>
          <cell r="Y627" t="str">
            <v>KEW</v>
          </cell>
          <cell r="Z627" t="str">
            <v>16/08/2013</v>
          </cell>
          <cell r="AA627" t="str">
            <v>15/08/2015</v>
          </cell>
          <cell r="AB627" t="str">
            <v>No</v>
          </cell>
          <cell r="AC627" t="str">
            <v>31/08/2013</v>
          </cell>
          <cell r="AD627" t="str">
            <v>Good</v>
          </cell>
          <cell r="AE627" t="str">
            <v>V1 - Existing / No Claim</v>
          </cell>
          <cell r="AF627">
            <v>42797</v>
          </cell>
          <cell r="AG627">
            <v>9.17</v>
          </cell>
          <cell r="AH627" t="str">
            <v>PPM</v>
          </cell>
          <cell r="AI627" t="str">
            <v>Strands</v>
          </cell>
          <cell r="AJ627" t="str">
            <v>Strands PW</v>
          </cell>
        </row>
        <row r="628">
          <cell r="A628" t="str">
            <v>IKN400147</v>
          </cell>
          <cell r="B628">
            <v>147</v>
          </cell>
          <cell r="C628" t="str">
            <v>Institut Kanser Negara</v>
          </cell>
          <cell r="D628" t="str">
            <v>KKM/IKN/H/13/1019</v>
          </cell>
          <cell r="E628" t="str">
            <v>13-215</v>
          </cell>
          <cell r="F628" t="str">
            <v>Infusion Pumps, General-Purpose</v>
          </cell>
          <cell r="G628" t="str">
            <v>IC</v>
          </cell>
          <cell r="H628" t="str">
            <v>INTENSIVE CARE UNIT</v>
          </cell>
          <cell r="I628" t="str">
            <v>05IC129</v>
          </cell>
          <cell r="J628" t="str">
            <v>ISOL 4 (+VE)</v>
          </cell>
          <cell r="K628" t="str">
            <v>BMED</v>
          </cell>
          <cell r="L628" t="str">
            <v>Normal</v>
          </cell>
          <cell r="M628" t="str">
            <v>Germany</v>
          </cell>
          <cell r="N628" t="str">
            <v>Infusomat</v>
          </cell>
          <cell r="O628" t="str">
            <v>Infusomat Space</v>
          </cell>
          <cell r="P628" t="str">
            <v>211870</v>
          </cell>
          <cell r="Q628" t="str">
            <v>Not Applicable</v>
          </cell>
          <cell r="R628" t="str">
            <v>B Braun Melsungen AG</v>
          </cell>
          <cell r="S628" t="str">
            <v>B Braun Medical Supplies Sdn. Bhd.</v>
          </cell>
          <cell r="T628" t="str">
            <v>Functioning</v>
          </cell>
          <cell r="U628" t="str">
            <v>Asset</v>
          </cell>
          <cell r="V628">
            <v>10825</v>
          </cell>
          <cell r="W628" t="str">
            <v>KEW</v>
          </cell>
          <cell r="X628" t="str">
            <v>01/09/2010</v>
          </cell>
          <cell r="Y628" t="str">
            <v>KEW</v>
          </cell>
          <cell r="Z628" t="str">
            <v>16/08/2013</v>
          </cell>
          <cell r="AA628" t="str">
            <v>15/08/2015</v>
          </cell>
          <cell r="AB628" t="str">
            <v>No</v>
          </cell>
          <cell r="AC628" t="str">
            <v>31/08/2013</v>
          </cell>
          <cell r="AD628" t="str">
            <v>Good</v>
          </cell>
          <cell r="AE628" t="str">
            <v>V1 - Existing / No Claim</v>
          </cell>
          <cell r="AF628">
            <v>42235</v>
          </cell>
          <cell r="AG628">
            <v>9.17</v>
          </cell>
          <cell r="AH628" t="str">
            <v>PPM</v>
          </cell>
          <cell r="AI628" t="str">
            <v>Strands</v>
          </cell>
          <cell r="AJ628" t="str">
            <v>Strands PW</v>
          </cell>
        </row>
        <row r="629">
          <cell r="A629" t="str">
            <v>IKN400148</v>
          </cell>
          <cell r="B629">
            <v>148</v>
          </cell>
          <cell r="C629" t="str">
            <v>Institut Kanser Negara</v>
          </cell>
          <cell r="D629" t="str">
            <v>KKM/IKN/H/13/1020</v>
          </cell>
          <cell r="E629" t="str">
            <v>13-215</v>
          </cell>
          <cell r="F629" t="str">
            <v>Infusion Pumps, General-Purpose</v>
          </cell>
          <cell r="G629" t="str">
            <v>IC</v>
          </cell>
          <cell r="H629" t="str">
            <v>INTENSIVE CARE UNIT</v>
          </cell>
          <cell r="I629" t="str">
            <v>05IC129</v>
          </cell>
          <cell r="J629" t="str">
            <v>ISOL 4 (+VE)</v>
          </cell>
          <cell r="K629" t="str">
            <v>BMED</v>
          </cell>
          <cell r="L629" t="str">
            <v>Normal</v>
          </cell>
          <cell r="M629" t="str">
            <v>Germany</v>
          </cell>
          <cell r="N629" t="str">
            <v>Infusomat</v>
          </cell>
          <cell r="O629" t="str">
            <v>Infusomat Space</v>
          </cell>
          <cell r="P629" t="str">
            <v>212100</v>
          </cell>
          <cell r="Q629" t="str">
            <v>Not Applicable</v>
          </cell>
          <cell r="R629" t="str">
            <v>B Braun Melsungen AG</v>
          </cell>
          <cell r="S629" t="str">
            <v>B Braun Medical Supplies Sdn. Bhd.</v>
          </cell>
          <cell r="T629" t="str">
            <v>Functioning</v>
          </cell>
          <cell r="U629" t="str">
            <v>Asset</v>
          </cell>
          <cell r="V629">
            <v>10825</v>
          </cell>
          <cell r="W629" t="str">
            <v>KEW</v>
          </cell>
          <cell r="X629" t="str">
            <v>01/09/2010</v>
          </cell>
          <cell r="Y629" t="str">
            <v>KEW</v>
          </cell>
          <cell r="Z629" t="str">
            <v>16/08/2013</v>
          </cell>
          <cell r="AA629" t="str">
            <v>15/08/2015</v>
          </cell>
          <cell r="AB629" t="str">
            <v>No</v>
          </cell>
          <cell r="AC629" t="str">
            <v>31/08/2013</v>
          </cell>
          <cell r="AD629" t="str">
            <v>Good</v>
          </cell>
          <cell r="AE629" t="str">
            <v>V1 - Existing / No Claim</v>
          </cell>
          <cell r="AF629">
            <v>42235</v>
          </cell>
          <cell r="AG629">
            <v>9.17</v>
          </cell>
          <cell r="AH629" t="str">
            <v>PPM</v>
          </cell>
          <cell r="AI629" t="str">
            <v>Strands</v>
          </cell>
          <cell r="AJ629" t="str">
            <v>Strands PW</v>
          </cell>
        </row>
        <row r="630">
          <cell r="A630" t="str">
            <v>IKN400149</v>
          </cell>
          <cell r="B630">
            <v>149</v>
          </cell>
          <cell r="C630" t="str">
            <v>Institut Kanser Negara</v>
          </cell>
          <cell r="D630" t="str">
            <v>KKM/IKN/H/13/1021</v>
          </cell>
          <cell r="E630" t="str">
            <v>13-215</v>
          </cell>
          <cell r="F630" t="str">
            <v>Infusion Pumps, General-Purpose</v>
          </cell>
          <cell r="G630" t="str">
            <v>IC</v>
          </cell>
          <cell r="H630" t="str">
            <v>INTENSIVE CARE UNIT</v>
          </cell>
          <cell r="I630" t="str">
            <v>05IC131</v>
          </cell>
          <cell r="J630" t="str">
            <v>ISOL 3 (+VE)</v>
          </cell>
          <cell r="K630" t="str">
            <v>BMED</v>
          </cell>
          <cell r="L630" t="str">
            <v>Normal</v>
          </cell>
          <cell r="M630" t="str">
            <v>Germany</v>
          </cell>
          <cell r="N630" t="str">
            <v>Infusomat</v>
          </cell>
          <cell r="O630" t="str">
            <v>Infusomat Space</v>
          </cell>
          <cell r="P630" t="str">
            <v>212111</v>
          </cell>
          <cell r="Q630" t="str">
            <v>Not Applicable</v>
          </cell>
          <cell r="R630" t="str">
            <v>B Braun Melsungen AG</v>
          </cell>
          <cell r="S630" t="str">
            <v>B Braun Medical Supplies Sdn. Bhd.</v>
          </cell>
          <cell r="T630" t="str">
            <v>Functioning</v>
          </cell>
          <cell r="U630" t="str">
            <v>Asset</v>
          </cell>
          <cell r="V630">
            <v>10825</v>
          </cell>
          <cell r="W630" t="str">
            <v>KEW</v>
          </cell>
          <cell r="X630" t="str">
            <v>01/09/2010</v>
          </cell>
          <cell r="Y630" t="str">
            <v>KEW</v>
          </cell>
          <cell r="Z630" t="str">
            <v>16/08/2013</v>
          </cell>
          <cell r="AA630" t="str">
            <v>15/08/2015</v>
          </cell>
          <cell r="AB630" t="str">
            <v>No</v>
          </cell>
          <cell r="AC630" t="str">
            <v>31/08/2013</v>
          </cell>
          <cell r="AD630" t="str">
            <v>Good</v>
          </cell>
          <cell r="AE630" t="str">
            <v>V1 - Existing / No Claim</v>
          </cell>
          <cell r="AF630">
            <v>42235</v>
          </cell>
          <cell r="AG630">
            <v>9.17</v>
          </cell>
          <cell r="AH630" t="str">
            <v>PPM</v>
          </cell>
          <cell r="AI630" t="str">
            <v>Strands</v>
          </cell>
          <cell r="AJ630" t="str">
            <v>Strands PW</v>
          </cell>
        </row>
        <row r="631">
          <cell r="A631" t="str">
            <v>IKN400150</v>
          </cell>
          <cell r="B631">
            <v>150</v>
          </cell>
          <cell r="C631" t="str">
            <v>Institut Kanser Negara</v>
          </cell>
          <cell r="D631" t="str">
            <v>KKM/IKN/H/13/1022</v>
          </cell>
          <cell r="E631" t="str">
            <v>13-215</v>
          </cell>
          <cell r="F631" t="str">
            <v>Infusion Pumps, General-Purpose</v>
          </cell>
          <cell r="G631" t="str">
            <v>IC</v>
          </cell>
          <cell r="H631" t="str">
            <v>INTENSIVE CARE UNIT</v>
          </cell>
          <cell r="I631" t="str">
            <v>05IC131</v>
          </cell>
          <cell r="J631" t="str">
            <v>ISOL 3 (+VE)</v>
          </cell>
          <cell r="K631" t="str">
            <v>BMED</v>
          </cell>
          <cell r="L631" t="str">
            <v>Normal</v>
          </cell>
          <cell r="M631" t="str">
            <v>Germany</v>
          </cell>
          <cell r="N631" t="str">
            <v>Infusomat</v>
          </cell>
          <cell r="O631" t="str">
            <v>Infusomat Space</v>
          </cell>
          <cell r="P631" t="str">
            <v>212060</v>
          </cell>
          <cell r="Q631" t="str">
            <v>Not Applicable</v>
          </cell>
          <cell r="R631" t="str">
            <v>B Braun Melsungen AG</v>
          </cell>
          <cell r="S631" t="str">
            <v>B Braun Medical Supplies Sdn. Bhd.</v>
          </cell>
          <cell r="T631" t="str">
            <v>Functioning</v>
          </cell>
          <cell r="U631" t="str">
            <v>Asset</v>
          </cell>
          <cell r="V631">
            <v>10825</v>
          </cell>
          <cell r="W631" t="str">
            <v>KEW</v>
          </cell>
          <cell r="X631" t="str">
            <v>01/09/2010</v>
          </cell>
          <cell r="Y631" t="str">
            <v>KEW</v>
          </cell>
          <cell r="Z631" t="str">
            <v>16/08/2013</v>
          </cell>
          <cell r="AA631" t="str">
            <v>15/08/2015</v>
          </cell>
          <cell r="AB631" t="str">
            <v>No</v>
          </cell>
          <cell r="AC631" t="str">
            <v>31/08/2013</v>
          </cell>
          <cell r="AD631" t="str">
            <v>Good</v>
          </cell>
          <cell r="AE631" t="str">
            <v>V1 - Existing / No Claim</v>
          </cell>
          <cell r="AF631">
            <v>42235</v>
          </cell>
          <cell r="AG631">
            <v>9.17</v>
          </cell>
          <cell r="AH631" t="str">
            <v>PPM</v>
          </cell>
          <cell r="AI631" t="str">
            <v>Strands</v>
          </cell>
          <cell r="AJ631" t="str">
            <v>Strands PW</v>
          </cell>
        </row>
        <row r="632">
          <cell r="A632" t="str">
            <v>IKN400151</v>
          </cell>
          <cell r="B632">
            <v>151</v>
          </cell>
          <cell r="C632" t="str">
            <v>Institut Kanser Negara</v>
          </cell>
          <cell r="D632" t="str">
            <v>KKM/IKN/H/13/1023</v>
          </cell>
          <cell r="E632" t="str">
            <v>18-147</v>
          </cell>
          <cell r="F632" t="str">
            <v>Mattress Systems, Alternating-Pressure</v>
          </cell>
          <cell r="G632" t="str">
            <v>WE</v>
          </cell>
          <cell r="H632" t="str">
            <v>RT/ONCO WARD 1 (F)</v>
          </cell>
          <cell r="I632" t="str">
            <v>07WE113</v>
          </cell>
          <cell r="J632" t="str">
            <v>EQUIPMENT ROOM</v>
          </cell>
          <cell r="K632" t="str">
            <v>BMED</v>
          </cell>
          <cell r="L632" t="str">
            <v>Normal</v>
          </cell>
          <cell r="M632" t="str">
            <v>Poland</v>
          </cell>
          <cell r="N632" t="str">
            <v>Nimbus</v>
          </cell>
          <cell r="O632" t="str">
            <v>Nimbus 3</v>
          </cell>
          <cell r="P632" t="str">
            <v>1200006460</v>
          </cell>
          <cell r="Q632" t="str">
            <v>Not Applicable</v>
          </cell>
          <cell r="R632" t="str">
            <v>Arjohuntleigh</v>
          </cell>
          <cell r="S632" t="str">
            <v>Hexamine Sdn. Bhd.</v>
          </cell>
          <cell r="T632" t="str">
            <v>Functioning</v>
          </cell>
          <cell r="U632" t="str">
            <v>Asset</v>
          </cell>
          <cell r="V632">
            <v>28630</v>
          </cell>
          <cell r="W632" t="str">
            <v>KEW</v>
          </cell>
          <cell r="X632" t="str">
            <v>01/09/2010</v>
          </cell>
          <cell r="Y632" t="str">
            <v>KEW</v>
          </cell>
          <cell r="Z632" t="str">
            <v>16/08/2013</v>
          </cell>
          <cell r="AA632" t="str">
            <v>15/08/2015</v>
          </cell>
          <cell r="AB632" t="str">
            <v>No</v>
          </cell>
          <cell r="AC632" t="str">
            <v>31/08/2013</v>
          </cell>
          <cell r="AD632" t="str">
            <v>Good</v>
          </cell>
          <cell r="AE632" t="str">
            <v>V1 - Existing / No Claim</v>
          </cell>
          <cell r="AF632">
            <v>42992</v>
          </cell>
          <cell r="AG632">
            <v>9.17</v>
          </cell>
          <cell r="AH632" t="str">
            <v>PPM</v>
          </cell>
          <cell r="AI632" t="str">
            <v>Strands</v>
          </cell>
          <cell r="AJ632" t="str">
            <v>Strands PW</v>
          </cell>
        </row>
        <row r="633">
          <cell r="A633" t="str">
            <v>IKN400152</v>
          </cell>
          <cell r="B633">
            <v>152</v>
          </cell>
          <cell r="C633" t="str">
            <v>Institut Kanser Negara</v>
          </cell>
          <cell r="D633" t="str">
            <v>KKM/IKN/H/13/1024</v>
          </cell>
          <cell r="E633" t="str">
            <v>18-147</v>
          </cell>
          <cell r="F633" t="str">
            <v>Mattress Systems, Alternating-Pressure</v>
          </cell>
          <cell r="G633" t="str">
            <v>WF</v>
          </cell>
          <cell r="H633" t="str">
            <v>RT/ONCO WARD 2 (F)</v>
          </cell>
          <cell r="I633" t="str">
            <v>07WF121</v>
          </cell>
          <cell r="J633" t="str">
            <v>EQUIPMENT ROOM</v>
          </cell>
          <cell r="K633" t="str">
            <v>BMED</v>
          </cell>
          <cell r="L633" t="str">
            <v>Normal</v>
          </cell>
          <cell r="M633" t="str">
            <v>Poland</v>
          </cell>
          <cell r="N633" t="str">
            <v>Nimbus</v>
          </cell>
          <cell r="O633" t="str">
            <v>Nimbus 3</v>
          </cell>
          <cell r="P633" t="str">
            <v>1200006461</v>
          </cell>
          <cell r="Q633" t="str">
            <v>Not Applicable</v>
          </cell>
          <cell r="R633" t="str">
            <v>Arjohuntleigh</v>
          </cell>
          <cell r="S633" t="str">
            <v>Hexamine Sdn. Bhd.</v>
          </cell>
          <cell r="T633" t="str">
            <v>Functioning</v>
          </cell>
          <cell r="U633" t="str">
            <v>Asset</v>
          </cell>
          <cell r="V633">
            <v>28630</v>
          </cell>
          <cell r="W633" t="str">
            <v>KEW</v>
          </cell>
          <cell r="X633" t="str">
            <v>01/09/2010</v>
          </cell>
          <cell r="Y633" t="str">
            <v>KEW</v>
          </cell>
          <cell r="Z633" t="str">
            <v>16/08/2013</v>
          </cell>
          <cell r="AA633" t="str">
            <v>15/08/2015</v>
          </cell>
          <cell r="AB633" t="str">
            <v>No</v>
          </cell>
          <cell r="AC633" t="str">
            <v>31/08/2013</v>
          </cell>
          <cell r="AD633" t="str">
            <v>Good</v>
          </cell>
          <cell r="AE633" t="str">
            <v>V1 - Existing / No Claim</v>
          </cell>
          <cell r="AF633">
            <v>42992</v>
          </cell>
          <cell r="AG633">
            <v>9.17</v>
          </cell>
          <cell r="AH633" t="str">
            <v>PPM</v>
          </cell>
          <cell r="AI633" t="str">
            <v>Strands</v>
          </cell>
          <cell r="AJ633" t="str">
            <v>Strands PW</v>
          </cell>
        </row>
        <row r="634">
          <cell r="A634" t="str">
            <v>IKN400153</v>
          </cell>
          <cell r="B634">
            <v>153</v>
          </cell>
          <cell r="C634" t="str">
            <v>Institut Kanser Negara</v>
          </cell>
          <cell r="D634" t="str">
            <v>KKM/IKN/H/13/1054</v>
          </cell>
          <cell r="E634" t="str">
            <v>16-603</v>
          </cell>
          <cell r="F634" t="str">
            <v>Television Monitors</v>
          </cell>
          <cell r="G634" t="str">
            <v>IC</v>
          </cell>
          <cell r="H634" t="str">
            <v>INTENSIVE CARE UNIT</v>
          </cell>
          <cell r="I634" t="str">
            <v>05IC110</v>
          </cell>
          <cell r="J634" t="str">
            <v>AIRLOCK 1</v>
          </cell>
          <cell r="K634" t="str">
            <v>BMED</v>
          </cell>
          <cell r="L634" t="str">
            <v>Normal</v>
          </cell>
          <cell r="M634" t="str">
            <v>Japan</v>
          </cell>
          <cell r="N634" t="str">
            <v>RadiForce</v>
          </cell>
          <cell r="O634" t="str">
            <v>RadiForce RS110</v>
          </cell>
          <cell r="P634" t="str">
            <v>34930112CD</v>
          </cell>
          <cell r="Q634" t="str">
            <v>Not Applicable</v>
          </cell>
          <cell r="R634" t="str">
            <v>Eizo</v>
          </cell>
          <cell r="S634" t="str">
            <v>GE Healthcare Technologies</v>
          </cell>
          <cell r="T634" t="str">
            <v>Functioning</v>
          </cell>
          <cell r="U634" t="str">
            <v>Asset</v>
          </cell>
          <cell r="V634">
            <v>2700</v>
          </cell>
          <cell r="W634" t="str">
            <v>KEW</v>
          </cell>
          <cell r="X634" t="str">
            <v>01/09/2010</v>
          </cell>
          <cell r="Y634" t="str">
            <v>KEW</v>
          </cell>
          <cell r="Z634" t="str">
            <v>16/08/2013</v>
          </cell>
          <cell r="AA634" t="str">
            <v>15/08/2015</v>
          </cell>
          <cell r="AB634" t="str">
            <v>No</v>
          </cell>
          <cell r="AC634" t="str">
            <v>31/08/2013</v>
          </cell>
          <cell r="AD634" t="str">
            <v>Good</v>
          </cell>
          <cell r="AE634" t="str">
            <v>V1 - Existing / No Claim</v>
          </cell>
          <cell r="AF634">
            <v>42235</v>
          </cell>
          <cell r="AG634">
            <v>9.17</v>
          </cell>
          <cell r="AH634" t="str">
            <v>RI</v>
          </cell>
          <cell r="AI634" t="str">
            <v>Strands</v>
          </cell>
          <cell r="AJ634" t="str">
            <v>Strands PW</v>
          </cell>
        </row>
        <row r="635">
          <cell r="A635" t="str">
            <v>IKN400154</v>
          </cell>
          <cell r="B635">
            <v>154</v>
          </cell>
          <cell r="C635" t="str">
            <v>Institut Kanser Negara</v>
          </cell>
          <cell r="D635" t="str">
            <v>KKM/IKN/H/13/1055</v>
          </cell>
          <cell r="E635" t="str">
            <v>16-603</v>
          </cell>
          <cell r="F635" t="str">
            <v>Television Monitors</v>
          </cell>
          <cell r="G635" t="str">
            <v>IC</v>
          </cell>
          <cell r="H635" t="str">
            <v>INTENSIVE CARE UNIT</v>
          </cell>
          <cell r="I635" t="str">
            <v>05IC117</v>
          </cell>
          <cell r="J635" t="str">
            <v>AIRLOCK 2</v>
          </cell>
          <cell r="K635" t="str">
            <v>BMED</v>
          </cell>
          <cell r="L635" t="str">
            <v>Normal</v>
          </cell>
          <cell r="M635" t="str">
            <v>Japan</v>
          </cell>
          <cell r="N635" t="str">
            <v>RadiForce</v>
          </cell>
          <cell r="O635" t="str">
            <v>RadiForce RS110</v>
          </cell>
          <cell r="P635" t="str">
            <v>34931112CD</v>
          </cell>
          <cell r="Q635" t="str">
            <v>Not Applicable</v>
          </cell>
          <cell r="R635" t="str">
            <v>Eizo</v>
          </cell>
          <cell r="S635" t="str">
            <v>GE Healthcare Technologies</v>
          </cell>
          <cell r="T635" t="str">
            <v>Functioning</v>
          </cell>
          <cell r="U635" t="str">
            <v>Asset</v>
          </cell>
          <cell r="V635">
            <v>2700</v>
          </cell>
          <cell r="W635" t="str">
            <v>KEW</v>
          </cell>
          <cell r="X635" t="str">
            <v>01/09/2010</v>
          </cell>
          <cell r="Y635" t="str">
            <v>KEW</v>
          </cell>
          <cell r="Z635" t="str">
            <v>16/08/2013</v>
          </cell>
          <cell r="AA635" t="str">
            <v>15/08/2015</v>
          </cell>
          <cell r="AB635" t="str">
            <v>No</v>
          </cell>
          <cell r="AC635" t="str">
            <v>31/08/2013</v>
          </cell>
          <cell r="AD635" t="str">
            <v>Good</v>
          </cell>
          <cell r="AE635" t="str">
            <v>V1 - Existing / No Claim</v>
          </cell>
          <cell r="AF635">
            <v>42235</v>
          </cell>
          <cell r="AG635">
            <v>9.17</v>
          </cell>
          <cell r="AH635" t="str">
            <v>RI</v>
          </cell>
          <cell r="AI635" t="str">
            <v>Strands</v>
          </cell>
          <cell r="AJ635" t="str">
            <v>Strands PW</v>
          </cell>
        </row>
        <row r="636">
          <cell r="A636" t="str">
            <v>IKN400155</v>
          </cell>
          <cell r="B636">
            <v>155</v>
          </cell>
          <cell r="C636" t="str">
            <v>Institut Kanser Negara</v>
          </cell>
          <cell r="D636" t="str">
            <v>KKM/IKN/H/13/2755</v>
          </cell>
          <cell r="E636" t="str">
            <v>16-603</v>
          </cell>
          <cell r="F636" t="str">
            <v>Television Monitors</v>
          </cell>
          <cell r="G636" t="str">
            <v>IC</v>
          </cell>
          <cell r="H636" t="str">
            <v>INTENSIVE CARE UNIT</v>
          </cell>
          <cell r="I636" t="str">
            <v>05IC128</v>
          </cell>
          <cell r="J636" t="str">
            <v>AIRLOCK 4</v>
          </cell>
          <cell r="K636" t="str">
            <v>BMED</v>
          </cell>
          <cell r="L636" t="str">
            <v>Normal</v>
          </cell>
          <cell r="M636" t="str">
            <v>Japan</v>
          </cell>
          <cell r="N636" t="str">
            <v>RadiForce</v>
          </cell>
          <cell r="O636" t="str">
            <v>RadiForce RS110</v>
          </cell>
          <cell r="P636" t="str">
            <v>34932112CD</v>
          </cell>
          <cell r="Q636" t="str">
            <v>Not Applicable</v>
          </cell>
          <cell r="R636" t="str">
            <v>Eizo</v>
          </cell>
          <cell r="S636" t="str">
            <v>GE Healthcare Technologies</v>
          </cell>
          <cell r="T636" t="str">
            <v>Functioning</v>
          </cell>
          <cell r="U636" t="str">
            <v>Asset</v>
          </cell>
          <cell r="V636">
            <v>2700</v>
          </cell>
          <cell r="W636" t="str">
            <v>KEW</v>
          </cell>
          <cell r="X636" t="str">
            <v>01/09/2010</v>
          </cell>
          <cell r="Y636" t="str">
            <v>KEW</v>
          </cell>
          <cell r="Z636" t="str">
            <v>16/08/2013</v>
          </cell>
          <cell r="AA636" t="str">
            <v>15/08/2015</v>
          </cell>
          <cell r="AB636" t="str">
            <v>No</v>
          </cell>
          <cell r="AC636" t="str">
            <v>31/08/2013</v>
          </cell>
          <cell r="AD636" t="str">
            <v>Good</v>
          </cell>
          <cell r="AE636" t="str">
            <v>V1 - Existing / No Claim</v>
          </cell>
          <cell r="AF636">
            <v>42235</v>
          </cell>
          <cell r="AG636">
            <v>9.17</v>
          </cell>
          <cell r="AH636" t="str">
            <v>RI</v>
          </cell>
          <cell r="AI636" t="str">
            <v>Strands</v>
          </cell>
          <cell r="AJ636" t="str">
            <v>Strands PW</v>
          </cell>
        </row>
        <row r="637">
          <cell r="A637" t="str">
            <v>IKN400156</v>
          </cell>
          <cell r="B637">
            <v>156</v>
          </cell>
          <cell r="C637" t="str">
            <v>Institut Kanser Negara</v>
          </cell>
          <cell r="D637" t="str">
            <v>KKM/IKN/H/13/1057</v>
          </cell>
          <cell r="E637" t="str">
            <v>16-603</v>
          </cell>
          <cell r="F637" t="str">
            <v>Television Monitors</v>
          </cell>
          <cell r="G637" t="str">
            <v>IC</v>
          </cell>
          <cell r="H637" t="str">
            <v>INTENSIVE CARE UNIT</v>
          </cell>
          <cell r="I637" t="str">
            <v>05IC130</v>
          </cell>
          <cell r="J637" t="str">
            <v>AIRLOCK 3</v>
          </cell>
          <cell r="K637" t="str">
            <v>BMED</v>
          </cell>
          <cell r="L637" t="str">
            <v>Normal</v>
          </cell>
          <cell r="M637" t="str">
            <v>Japan</v>
          </cell>
          <cell r="N637" t="str">
            <v>RadiForce</v>
          </cell>
          <cell r="O637" t="str">
            <v>RadiForce RS110</v>
          </cell>
          <cell r="P637" t="str">
            <v>34924112CD</v>
          </cell>
          <cell r="Q637" t="str">
            <v>Not Applicable</v>
          </cell>
          <cell r="R637" t="str">
            <v>Eizo</v>
          </cell>
          <cell r="S637" t="str">
            <v>GE Healthcare Technologies</v>
          </cell>
          <cell r="T637" t="str">
            <v>Functioning</v>
          </cell>
          <cell r="U637" t="str">
            <v>Asset</v>
          </cell>
          <cell r="V637">
            <v>2700</v>
          </cell>
          <cell r="W637" t="str">
            <v>KEW</v>
          </cell>
          <cell r="X637" t="str">
            <v>01/09/2010</v>
          </cell>
          <cell r="Y637" t="str">
            <v>KEW</v>
          </cell>
          <cell r="Z637" t="str">
            <v>16/08/2013</v>
          </cell>
          <cell r="AA637" t="str">
            <v>15/08/2015</v>
          </cell>
          <cell r="AB637" t="str">
            <v>No</v>
          </cell>
          <cell r="AC637" t="str">
            <v>31/08/2013</v>
          </cell>
          <cell r="AD637" t="str">
            <v>Good</v>
          </cell>
          <cell r="AE637" t="str">
            <v>V1 - Existing / No Claim</v>
          </cell>
          <cell r="AF637">
            <v>42235</v>
          </cell>
          <cell r="AG637">
            <v>9.17</v>
          </cell>
          <cell r="AH637" t="str">
            <v>RI</v>
          </cell>
          <cell r="AI637" t="str">
            <v>Strands</v>
          </cell>
          <cell r="AJ637" t="str">
            <v>Strands PW</v>
          </cell>
        </row>
        <row r="638">
          <cell r="A638" t="str">
            <v>IKN400157</v>
          </cell>
          <cell r="B638">
            <v>157</v>
          </cell>
          <cell r="C638" t="str">
            <v>Institut Kanser Negara</v>
          </cell>
          <cell r="D638" t="str">
            <v>KKM/IKN/H/13/2753</v>
          </cell>
          <cell r="E638" t="str">
            <v>10-208</v>
          </cell>
          <cell r="F638" t="str">
            <v>Aspirators</v>
          </cell>
          <cell r="G638" t="str">
            <v>IC</v>
          </cell>
          <cell r="H638" t="str">
            <v>INTENSIVE CARE UNIT</v>
          </cell>
          <cell r="I638" t="str">
            <v>05IC106</v>
          </cell>
          <cell r="J638" t="str">
            <v>EQ. ROOM</v>
          </cell>
          <cell r="K638" t="str">
            <v>BMED</v>
          </cell>
          <cell r="L638" t="str">
            <v>Normal</v>
          </cell>
          <cell r="M638" t="str">
            <v>UK</v>
          </cell>
          <cell r="N638" t="str">
            <v>SAM</v>
          </cell>
          <cell r="O638" t="str">
            <v>SAM 427</v>
          </cell>
          <cell r="P638" t="str">
            <v>0313-0536</v>
          </cell>
          <cell r="Q638" t="str">
            <v>Not Applicable</v>
          </cell>
          <cell r="R638" t="str">
            <v>MG Electric Ltd</v>
          </cell>
          <cell r="S638" t="str">
            <v>Delta Medisains</v>
          </cell>
          <cell r="T638" t="str">
            <v>Functioning</v>
          </cell>
          <cell r="U638" t="str">
            <v>Asset</v>
          </cell>
          <cell r="V638">
            <v>10705</v>
          </cell>
          <cell r="W638" t="str">
            <v>KEW</v>
          </cell>
          <cell r="X638" t="str">
            <v>01/09/2010</v>
          </cell>
          <cell r="Y638" t="str">
            <v>KEW</v>
          </cell>
          <cell r="Z638" t="str">
            <v>16/08/2013</v>
          </cell>
          <cell r="AA638" t="str">
            <v>15/08/2015</v>
          </cell>
          <cell r="AB638" t="str">
            <v>No</v>
          </cell>
          <cell r="AC638" t="str">
            <v>31/08/2013</v>
          </cell>
          <cell r="AD638" t="str">
            <v>Good</v>
          </cell>
          <cell r="AE638" t="str">
            <v>V1 - Existing / No Claim</v>
          </cell>
          <cell r="AF638">
            <v>42235</v>
          </cell>
          <cell r="AG638">
            <v>9.17</v>
          </cell>
          <cell r="AH638" t="str">
            <v>PPM</v>
          </cell>
          <cell r="AI638" t="str">
            <v>Strands</v>
          </cell>
          <cell r="AJ638" t="str">
            <v>Strands PW</v>
          </cell>
        </row>
        <row r="639">
          <cell r="A639" t="str">
            <v>IKN400158</v>
          </cell>
          <cell r="B639">
            <v>158</v>
          </cell>
          <cell r="C639" t="str">
            <v>Institut Kanser Negara</v>
          </cell>
          <cell r="D639" t="str">
            <v>KKM/IKN/H/13/867</v>
          </cell>
          <cell r="E639" t="str">
            <v>10-208</v>
          </cell>
          <cell r="F639" t="str">
            <v>Aspirators</v>
          </cell>
          <cell r="G639" t="str">
            <v>IC</v>
          </cell>
          <cell r="H639" t="str">
            <v>INTENSIVE CARE UNIT</v>
          </cell>
          <cell r="I639" t="str">
            <v>05IC106</v>
          </cell>
          <cell r="J639" t="str">
            <v>EQ. ROOM</v>
          </cell>
          <cell r="K639" t="str">
            <v>BMED</v>
          </cell>
          <cell r="L639" t="str">
            <v>Normal</v>
          </cell>
          <cell r="M639" t="str">
            <v>UK</v>
          </cell>
          <cell r="N639" t="str">
            <v>SAM</v>
          </cell>
          <cell r="O639" t="str">
            <v>SAM 427</v>
          </cell>
          <cell r="P639" t="str">
            <v>0313-0531</v>
          </cell>
          <cell r="Q639" t="str">
            <v>Not Applicable</v>
          </cell>
          <cell r="R639" t="str">
            <v>MG Electric Ltd</v>
          </cell>
          <cell r="S639" t="str">
            <v>Delta Medisains</v>
          </cell>
          <cell r="T639" t="str">
            <v>Functioning</v>
          </cell>
          <cell r="U639" t="str">
            <v>Asset</v>
          </cell>
          <cell r="V639">
            <v>10705</v>
          </cell>
          <cell r="W639" t="str">
            <v>KEW</v>
          </cell>
          <cell r="X639" t="str">
            <v>01/09/2010</v>
          </cell>
          <cell r="Y639" t="str">
            <v>KEW</v>
          </cell>
          <cell r="Z639" t="str">
            <v>16/08/2013</v>
          </cell>
          <cell r="AA639" t="str">
            <v>15/08/2015</v>
          </cell>
          <cell r="AB639" t="str">
            <v>No</v>
          </cell>
          <cell r="AC639" t="str">
            <v>31/08/2013</v>
          </cell>
          <cell r="AD639" t="str">
            <v>Good</v>
          </cell>
          <cell r="AE639" t="str">
            <v>V1 - Existing / No Claim</v>
          </cell>
          <cell r="AF639">
            <v>42235</v>
          </cell>
          <cell r="AG639">
            <v>9.17</v>
          </cell>
          <cell r="AH639" t="str">
            <v>PPM</v>
          </cell>
          <cell r="AI639" t="str">
            <v>Strands</v>
          </cell>
          <cell r="AJ639" t="str">
            <v>Strands PW</v>
          </cell>
        </row>
        <row r="640">
          <cell r="A640" t="str">
            <v>IKN400159</v>
          </cell>
          <cell r="B640">
            <v>159</v>
          </cell>
          <cell r="C640" t="str">
            <v>Institut Kanser Negara</v>
          </cell>
          <cell r="D640" t="str">
            <v>KKM/IKN/H/13/3474</v>
          </cell>
          <cell r="E640" t="str">
            <v>17-422</v>
          </cell>
          <cell r="F640" t="str">
            <v>Scanning Systems, Ultrasonic, Cardiac</v>
          </cell>
          <cell r="G640" t="str">
            <v>OC</v>
          </cell>
          <cell r="H640" t="str">
            <v>ONCOLOGY CLINIC</v>
          </cell>
          <cell r="I640" t="str">
            <v>03OC136</v>
          </cell>
          <cell r="J640" t="str">
            <v>TREATMENT 2</v>
          </cell>
          <cell r="K640" t="str">
            <v>BMED</v>
          </cell>
          <cell r="L640" t="str">
            <v>Normal</v>
          </cell>
          <cell r="M640" t="str">
            <v>USA</v>
          </cell>
          <cell r="N640" t="str">
            <v>Vivid</v>
          </cell>
          <cell r="O640" t="str">
            <v>Vivid S5</v>
          </cell>
          <cell r="P640" t="str">
            <v>050527VS5N</v>
          </cell>
          <cell r="Q640" t="str">
            <v>Not Applicable</v>
          </cell>
          <cell r="R640" t="str">
            <v>GE Healthcare Systems</v>
          </cell>
          <cell r="S640" t="str">
            <v>GE Healthcare Technologies</v>
          </cell>
          <cell r="T640" t="str">
            <v>Functioning</v>
          </cell>
          <cell r="U640" t="str">
            <v>Asset</v>
          </cell>
          <cell r="V640">
            <v>332320</v>
          </cell>
          <cell r="W640" t="str">
            <v>KEW</v>
          </cell>
          <cell r="X640" t="str">
            <v>01/09/2010</v>
          </cell>
          <cell r="Y640" t="str">
            <v>KEW</v>
          </cell>
          <cell r="Z640" t="str">
            <v>16/08/2013</v>
          </cell>
          <cell r="AA640" t="str">
            <v>15/08/2015</v>
          </cell>
          <cell r="AB640" t="str">
            <v>No</v>
          </cell>
          <cell r="AC640" t="str">
            <v>31/08/2013</v>
          </cell>
          <cell r="AD640" t="str">
            <v>Good</v>
          </cell>
          <cell r="AE640" t="str">
            <v>V1 - Existing / No Claim</v>
          </cell>
          <cell r="AF640">
            <v>42796</v>
          </cell>
          <cell r="AG640">
            <v>9.17</v>
          </cell>
          <cell r="AH640" t="str">
            <v>PPM</v>
          </cell>
          <cell r="AI640" t="str">
            <v>Strands</v>
          </cell>
          <cell r="AJ640" t="str">
            <v>Strands Package</v>
          </cell>
          <cell r="AK640" t="str">
            <v>Package Code XU0022-S. [14/2/2024]: Tukar location ikut KEWPA</v>
          </cell>
        </row>
        <row r="641">
          <cell r="A641" t="str">
            <v>IKN400160</v>
          </cell>
          <cell r="B641">
            <v>160</v>
          </cell>
          <cell r="C641" t="str">
            <v>Institut Kanser Negara</v>
          </cell>
          <cell r="D641" t="str">
            <v>KKM/IKN/H/13/1128</v>
          </cell>
          <cell r="E641" t="str">
            <v>17-429</v>
          </cell>
          <cell r="F641" t="str">
            <v>Ventilators, Intensive Care</v>
          </cell>
          <cell r="G641" t="str">
            <v>IC</v>
          </cell>
          <cell r="H641" t="str">
            <v>INTENSIVE CARE UNIT</v>
          </cell>
          <cell r="I641" t="str">
            <v>05IC106</v>
          </cell>
          <cell r="J641" t="str">
            <v>EQ. ROOM</v>
          </cell>
          <cell r="K641" t="str">
            <v>BMED</v>
          </cell>
          <cell r="L641" t="str">
            <v>Critical</v>
          </cell>
          <cell r="M641" t="str">
            <v>USA</v>
          </cell>
          <cell r="N641" t="str">
            <v>Respironics</v>
          </cell>
          <cell r="O641" t="str">
            <v>Respironics V60</v>
          </cell>
          <cell r="P641" t="str">
            <v>201004392</v>
          </cell>
          <cell r="Q641" t="str">
            <v>Not Applicable</v>
          </cell>
          <cell r="R641" t="str">
            <v>Philips Medical Systems</v>
          </cell>
          <cell r="S641" t="str">
            <v>Goodlabs Medical (M) Sdn. Bhd.</v>
          </cell>
          <cell r="T641" t="str">
            <v>Functioning</v>
          </cell>
          <cell r="U641" t="str">
            <v>Asset</v>
          </cell>
          <cell r="V641">
            <v>92620</v>
          </cell>
          <cell r="W641" t="str">
            <v>KEW</v>
          </cell>
          <cell r="X641" t="str">
            <v>01/09/2010</v>
          </cell>
          <cell r="Y641" t="str">
            <v>KEW</v>
          </cell>
          <cell r="Z641" t="str">
            <v>16/08/2013</v>
          </cell>
          <cell r="AA641" t="str">
            <v>15/08/2015</v>
          </cell>
          <cell r="AB641" t="str">
            <v>No</v>
          </cell>
          <cell r="AC641" t="str">
            <v>31/08/2013</v>
          </cell>
          <cell r="AD641" t="str">
            <v>Good</v>
          </cell>
          <cell r="AE641" t="str">
            <v>V1 - Existing / No Claim</v>
          </cell>
          <cell r="AF641">
            <v>42796</v>
          </cell>
          <cell r="AG641">
            <v>9.17</v>
          </cell>
          <cell r="AH641" t="str">
            <v>PPM</v>
          </cell>
          <cell r="AI641" t="str">
            <v>Strands</v>
          </cell>
          <cell r="AJ641" t="str">
            <v>Strands PW</v>
          </cell>
        </row>
        <row r="642">
          <cell r="A642" t="str">
            <v>IKN400161</v>
          </cell>
          <cell r="B642">
            <v>161</v>
          </cell>
          <cell r="C642" t="str">
            <v>Institut Kanser Negara</v>
          </cell>
          <cell r="D642" t="str">
            <v>KKM/IKN/H/13/1129</v>
          </cell>
          <cell r="E642" t="str">
            <v>17-429</v>
          </cell>
          <cell r="F642" t="str">
            <v>Ventilators, Intensive Care</v>
          </cell>
          <cell r="G642" t="str">
            <v>IC</v>
          </cell>
          <cell r="H642" t="str">
            <v>INTENSIVE CARE UNIT</v>
          </cell>
          <cell r="I642" t="str">
            <v>05IC106</v>
          </cell>
          <cell r="J642" t="str">
            <v>EQ. ROOM</v>
          </cell>
          <cell r="K642" t="str">
            <v>BMED</v>
          </cell>
          <cell r="L642" t="str">
            <v>Normal</v>
          </cell>
          <cell r="M642" t="str">
            <v>USA</v>
          </cell>
          <cell r="N642" t="str">
            <v>Respironics</v>
          </cell>
          <cell r="O642" t="str">
            <v>Respironics V60</v>
          </cell>
          <cell r="P642" t="str">
            <v>201004388</v>
          </cell>
          <cell r="Q642" t="str">
            <v>Not Applicable</v>
          </cell>
          <cell r="R642" t="str">
            <v>Philips Medical Systems</v>
          </cell>
          <cell r="S642" t="str">
            <v>Goodlabs Medical (M) Sdn. Bhd.</v>
          </cell>
          <cell r="T642" t="str">
            <v>Functioning</v>
          </cell>
          <cell r="U642" t="str">
            <v>Asset</v>
          </cell>
          <cell r="V642">
            <v>92620</v>
          </cell>
          <cell r="W642" t="str">
            <v>KEW</v>
          </cell>
          <cell r="X642" t="str">
            <v>01/09/2010</v>
          </cell>
          <cell r="Y642" t="str">
            <v>KEW</v>
          </cell>
          <cell r="Z642" t="str">
            <v>16/08/2013</v>
          </cell>
          <cell r="AA642" t="str">
            <v>15/08/2015</v>
          </cell>
          <cell r="AB642" t="str">
            <v>No</v>
          </cell>
          <cell r="AC642" t="str">
            <v>31/08/2013</v>
          </cell>
          <cell r="AD642" t="str">
            <v>Good</v>
          </cell>
          <cell r="AE642" t="str">
            <v>V1 - Existing / No Claim</v>
          </cell>
          <cell r="AF642">
            <v>42235</v>
          </cell>
          <cell r="AG642">
            <v>9.17</v>
          </cell>
          <cell r="AH642" t="str">
            <v>PPM</v>
          </cell>
          <cell r="AI642" t="str">
            <v>Strands</v>
          </cell>
          <cell r="AJ642" t="str">
            <v>Strands PW</v>
          </cell>
        </row>
        <row r="643">
          <cell r="A643" t="str">
            <v>IKN400162</v>
          </cell>
          <cell r="B643">
            <v>162</v>
          </cell>
          <cell r="C643" t="str">
            <v>Institut Kanser Negara</v>
          </cell>
          <cell r="D643" t="str">
            <v>KKM/IKN/H/13/1130</v>
          </cell>
          <cell r="E643" t="str">
            <v>17-429</v>
          </cell>
          <cell r="F643" t="str">
            <v>Ventilators, Intensive Care</v>
          </cell>
          <cell r="G643" t="str">
            <v>IC</v>
          </cell>
          <cell r="H643" t="str">
            <v>INTENSIVE CARE UNIT</v>
          </cell>
          <cell r="I643" t="str">
            <v>05IC106</v>
          </cell>
          <cell r="J643" t="str">
            <v>EQ. ROOM</v>
          </cell>
          <cell r="K643" t="str">
            <v>BMED</v>
          </cell>
          <cell r="L643" t="str">
            <v>Critical</v>
          </cell>
          <cell r="M643" t="str">
            <v>USA</v>
          </cell>
          <cell r="N643" t="str">
            <v>Respironics</v>
          </cell>
          <cell r="O643" t="str">
            <v>Respironics V60</v>
          </cell>
          <cell r="P643" t="str">
            <v>201004259</v>
          </cell>
          <cell r="Q643" t="str">
            <v>Not Applicable</v>
          </cell>
          <cell r="R643" t="str">
            <v>Philips Medical Systems</v>
          </cell>
          <cell r="S643" t="str">
            <v>Goodlabs Medical (M) Sdn. Bhd.</v>
          </cell>
          <cell r="T643" t="str">
            <v>Functioning</v>
          </cell>
          <cell r="U643" t="str">
            <v>Asset</v>
          </cell>
          <cell r="V643">
            <v>92620</v>
          </cell>
          <cell r="W643" t="str">
            <v>KEW</v>
          </cell>
          <cell r="X643" t="str">
            <v>01/09/2010</v>
          </cell>
          <cell r="Y643" t="str">
            <v>KEW</v>
          </cell>
          <cell r="Z643" t="str">
            <v>16/08/2013</v>
          </cell>
          <cell r="AA643" t="str">
            <v>15/08/2015</v>
          </cell>
          <cell r="AB643" t="str">
            <v>No</v>
          </cell>
          <cell r="AC643" t="str">
            <v>31/08/2013</v>
          </cell>
          <cell r="AD643" t="str">
            <v>Good</v>
          </cell>
          <cell r="AE643" t="str">
            <v>V1 - Existing / No Claim</v>
          </cell>
          <cell r="AF643">
            <v>42796</v>
          </cell>
          <cell r="AG643">
            <v>9.17</v>
          </cell>
          <cell r="AH643" t="str">
            <v>PPM</v>
          </cell>
          <cell r="AI643" t="str">
            <v>Strands</v>
          </cell>
          <cell r="AJ643" t="str">
            <v>Strands PW</v>
          </cell>
        </row>
        <row r="644">
          <cell r="A644" t="str">
            <v>IKN400163</v>
          </cell>
          <cell r="B644">
            <v>163</v>
          </cell>
          <cell r="C644" t="str">
            <v>Institut Kanser Negara</v>
          </cell>
          <cell r="D644" t="str">
            <v>KKM/IKN/H/13/1131</v>
          </cell>
          <cell r="E644" t="str">
            <v>17-429</v>
          </cell>
          <cell r="F644" t="str">
            <v>Ventilators, Intensive Care</v>
          </cell>
          <cell r="G644" t="str">
            <v>IC</v>
          </cell>
          <cell r="H644" t="str">
            <v>INTENSIVE CARE UNIT</v>
          </cell>
          <cell r="I644" t="str">
            <v>05IC106</v>
          </cell>
          <cell r="J644" t="str">
            <v>EQ. ROOM</v>
          </cell>
          <cell r="K644" t="str">
            <v>BMED</v>
          </cell>
          <cell r="L644" t="str">
            <v>Critical</v>
          </cell>
          <cell r="M644" t="str">
            <v>USA</v>
          </cell>
          <cell r="N644" t="str">
            <v>Respironics</v>
          </cell>
          <cell r="O644" t="str">
            <v>Respironics V60</v>
          </cell>
          <cell r="P644" t="str">
            <v>201004246</v>
          </cell>
          <cell r="Q644" t="str">
            <v>Not Applicable</v>
          </cell>
          <cell r="R644" t="str">
            <v>Philips Medical Systems</v>
          </cell>
          <cell r="S644" t="str">
            <v>Goodlabs Medical (M) Sdn. Bhd.</v>
          </cell>
          <cell r="T644" t="str">
            <v>Functioning</v>
          </cell>
          <cell r="U644" t="str">
            <v>Asset</v>
          </cell>
          <cell r="V644">
            <v>92620</v>
          </cell>
          <cell r="W644" t="str">
            <v>KEW</v>
          </cell>
          <cell r="X644" t="str">
            <v>01/09/2010</v>
          </cell>
          <cell r="Y644" t="str">
            <v>KEW</v>
          </cell>
          <cell r="Z644" t="str">
            <v>16/08/2013</v>
          </cell>
          <cell r="AA644" t="str">
            <v>15/08/2015</v>
          </cell>
          <cell r="AB644" t="str">
            <v>No</v>
          </cell>
          <cell r="AC644" t="str">
            <v>31/08/2013</v>
          </cell>
          <cell r="AD644" t="str">
            <v>Good</v>
          </cell>
          <cell r="AE644" t="str">
            <v>V1 - Existing / No Claim</v>
          </cell>
          <cell r="AF644">
            <v>42796</v>
          </cell>
          <cell r="AG644">
            <v>9.17</v>
          </cell>
          <cell r="AH644" t="str">
            <v>PPM</v>
          </cell>
          <cell r="AI644" t="str">
            <v>Strands</v>
          </cell>
          <cell r="AJ644" t="str">
            <v>Strands PW</v>
          </cell>
        </row>
        <row r="645">
          <cell r="A645" t="str">
            <v>IKN400164</v>
          </cell>
          <cell r="B645">
            <v>164</v>
          </cell>
          <cell r="C645" t="str">
            <v>Institut Kanser Negara</v>
          </cell>
          <cell r="D645" t="str">
            <v>KKM/IKN/H/13/1118</v>
          </cell>
          <cell r="E645" t="str">
            <v>17-429</v>
          </cell>
          <cell r="F645" t="str">
            <v>Ventilators, Intensive Care</v>
          </cell>
          <cell r="G645" t="str">
            <v>IC</v>
          </cell>
          <cell r="H645" t="str">
            <v>INTENSIVE CARE UNIT</v>
          </cell>
          <cell r="I645" t="str">
            <v>05IC111</v>
          </cell>
          <cell r="J645" t="str">
            <v>ISOL 1(-VE)</v>
          </cell>
          <cell r="K645" t="str">
            <v>BMED</v>
          </cell>
          <cell r="L645" t="str">
            <v>Normal</v>
          </cell>
          <cell r="M645" t="str">
            <v>Germany</v>
          </cell>
          <cell r="N645" t="str">
            <v>Evita</v>
          </cell>
          <cell r="O645" t="str">
            <v>Evita XL</v>
          </cell>
          <cell r="P645" t="str">
            <v>ASDD-0070</v>
          </cell>
          <cell r="Q645" t="str">
            <v>Not Applicable</v>
          </cell>
          <cell r="R645" t="str">
            <v>Drager Medical GmbH</v>
          </cell>
          <cell r="S645" t="str">
            <v>Beau Consortium Sdn Bhd</v>
          </cell>
          <cell r="T645" t="str">
            <v>Functioning</v>
          </cell>
          <cell r="U645" t="str">
            <v>Asset</v>
          </cell>
          <cell r="V645">
            <v>151560</v>
          </cell>
          <cell r="W645" t="str">
            <v>KEW</v>
          </cell>
          <cell r="X645" t="str">
            <v>01/09/2010</v>
          </cell>
          <cell r="Y645" t="str">
            <v>KEW</v>
          </cell>
          <cell r="Z645" t="str">
            <v>16/08/2013</v>
          </cell>
          <cell r="AA645" t="str">
            <v>15/08/2015</v>
          </cell>
          <cell r="AB645" t="str">
            <v>No</v>
          </cell>
          <cell r="AC645" t="str">
            <v>31/08/2013</v>
          </cell>
          <cell r="AD645" t="str">
            <v>Good</v>
          </cell>
          <cell r="AE645" t="str">
            <v>V1 - Existing / No Claim</v>
          </cell>
          <cell r="AF645">
            <v>42235</v>
          </cell>
          <cell r="AG645">
            <v>9.17</v>
          </cell>
          <cell r="AH645" t="str">
            <v>PPM</v>
          </cell>
          <cell r="AI645" t="str">
            <v>Strands</v>
          </cell>
          <cell r="AJ645" t="str">
            <v>Strands PW</v>
          </cell>
        </row>
        <row r="646">
          <cell r="A646" t="str">
            <v>IKN400165</v>
          </cell>
          <cell r="B646">
            <v>165</v>
          </cell>
          <cell r="C646" t="str">
            <v>Institut Kanser Negara</v>
          </cell>
          <cell r="D646" t="str">
            <v>KKM/IKN/H/13/1120</v>
          </cell>
          <cell r="E646" t="str">
            <v>17-429</v>
          </cell>
          <cell r="F646" t="str">
            <v>Ventilators, Intensive Care</v>
          </cell>
          <cell r="G646" t="str">
            <v>IC</v>
          </cell>
          <cell r="H646" t="str">
            <v>INTENSIVE CARE UNIT</v>
          </cell>
          <cell r="I646" t="str">
            <v>05IC112</v>
          </cell>
          <cell r="J646" t="str">
            <v>ICU RM 1</v>
          </cell>
          <cell r="K646" t="str">
            <v>BMED</v>
          </cell>
          <cell r="L646" t="str">
            <v>Normal</v>
          </cell>
          <cell r="M646" t="str">
            <v>Germany</v>
          </cell>
          <cell r="N646" t="str">
            <v>Evita</v>
          </cell>
          <cell r="O646" t="str">
            <v>Evita XL</v>
          </cell>
          <cell r="P646" t="str">
            <v>ASDD-0071</v>
          </cell>
          <cell r="Q646" t="str">
            <v>Not Applicable</v>
          </cell>
          <cell r="R646" t="str">
            <v>Drager Medical GmbH</v>
          </cell>
          <cell r="S646" t="str">
            <v>Beau Consortium Sdn Bhd</v>
          </cell>
          <cell r="T646" t="str">
            <v>Functioning</v>
          </cell>
          <cell r="U646" t="str">
            <v>Asset</v>
          </cell>
          <cell r="V646">
            <v>151560</v>
          </cell>
          <cell r="W646" t="str">
            <v>KEW</v>
          </cell>
          <cell r="X646" t="str">
            <v>01/09/2010</v>
          </cell>
          <cell r="Y646" t="str">
            <v>KEW</v>
          </cell>
          <cell r="Z646" t="str">
            <v>16/08/2013</v>
          </cell>
          <cell r="AA646" t="str">
            <v>15/08/2015</v>
          </cell>
          <cell r="AB646" t="str">
            <v>No</v>
          </cell>
          <cell r="AC646" t="str">
            <v>31/08/2013</v>
          </cell>
          <cell r="AD646" t="str">
            <v>Good</v>
          </cell>
          <cell r="AE646" t="str">
            <v>V1 - Existing / No Claim</v>
          </cell>
          <cell r="AF646">
            <v>42235</v>
          </cell>
          <cell r="AG646">
            <v>9.17</v>
          </cell>
          <cell r="AH646" t="str">
            <v>PPM</v>
          </cell>
          <cell r="AI646" t="str">
            <v>Strands</v>
          </cell>
          <cell r="AJ646" t="str">
            <v>Strands PW</v>
          </cell>
        </row>
        <row r="647">
          <cell r="A647" t="str">
            <v>IKN400167</v>
          </cell>
          <cell r="B647">
            <v>167</v>
          </cell>
          <cell r="C647" t="str">
            <v>Institut Kanser Negara</v>
          </cell>
          <cell r="D647" t="str">
            <v>KKM/IKN/H/13/1124</v>
          </cell>
          <cell r="E647" t="str">
            <v>17-429</v>
          </cell>
          <cell r="F647" t="str">
            <v>Ventilators, Intensive Care</v>
          </cell>
          <cell r="G647" t="str">
            <v>IC</v>
          </cell>
          <cell r="H647" t="str">
            <v>INTENSIVE CARE UNIT</v>
          </cell>
          <cell r="I647" t="str">
            <v>05IC114</v>
          </cell>
          <cell r="J647" t="str">
            <v>ICU RM 3</v>
          </cell>
          <cell r="K647" t="str">
            <v>BMED</v>
          </cell>
          <cell r="L647" t="str">
            <v>Normal</v>
          </cell>
          <cell r="M647" t="str">
            <v>Germany</v>
          </cell>
          <cell r="N647" t="str">
            <v>Evita</v>
          </cell>
          <cell r="O647" t="str">
            <v>Evita XL</v>
          </cell>
          <cell r="P647" t="str">
            <v>ASDD-0075</v>
          </cell>
          <cell r="Q647" t="str">
            <v>Not Applicable</v>
          </cell>
          <cell r="R647" t="str">
            <v>Drager Medical GmbH</v>
          </cell>
          <cell r="S647" t="str">
            <v>Beau Consortium Sdn Bhd</v>
          </cell>
          <cell r="T647" t="str">
            <v>Functioning</v>
          </cell>
          <cell r="U647" t="str">
            <v>Asset</v>
          </cell>
          <cell r="V647">
            <v>151560</v>
          </cell>
          <cell r="W647" t="str">
            <v>KEW</v>
          </cell>
          <cell r="X647" t="str">
            <v>01/09/2010</v>
          </cell>
          <cell r="Y647" t="str">
            <v>KEW</v>
          </cell>
          <cell r="Z647" t="str">
            <v>16/08/2013</v>
          </cell>
          <cell r="AA647" t="str">
            <v>15/08/2015</v>
          </cell>
          <cell r="AB647" t="str">
            <v>No</v>
          </cell>
          <cell r="AC647" t="str">
            <v>31/08/2013</v>
          </cell>
          <cell r="AD647" t="str">
            <v>Good</v>
          </cell>
          <cell r="AE647" t="str">
            <v>V1 - Existing / No Claim</v>
          </cell>
          <cell r="AF647">
            <v>42235</v>
          </cell>
          <cell r="AG647">
            <v>9.17</v>
          </cell>
          <cell r="AH647" t="str">
            <v>PPM</v>
          </cell>
          <cell r="AI647" t="str">
            <v>Strands</v>
          </cell>
          <cell r="AJ647" t="str">
            <v>Strands PW</v>
          </cell>
        </row>
        <row r="648">
          <cell r="A648" t="str">
            <v>IKN400168</v>
          </cell>
          <cell r="B648">
            <v>168</v>
          </cell>
          <cell r="C648" t="str">
            <v>Institut Kanser Negara</v>
          </cell>
          <cell r="D648" t="str">
            <v>KKM/IKN/H/13/1125</v>
          </cell>
          <cell r="E648" t="str">
            <v>17-429</v>
          </cell>
          <cell r="F648" t="str">
            <v>Ventilators, Intensive Care</v>
          </cell>
          <cell r="G648" t="str">
            <v>IC</v>
          </cell>
          <cell r="H648" t="str">
            <v>INTENSIVE CARE UNIT</v>
          </cell>
          <cell r="I648" t="str">
            <v>05IC115</v>
          </cell>
          <cell r="J648" t="str">
            <v>ICU RM 4</v>
          </cell>
          <cell r="K648" t="str">
            <v>BMED</v>
          </cell>
          <cell r="L648" t="str">
            <v>Normal</v>
          </cell>
          <cell r="M648" t="str">
            <v>Germany</v>
          </cell>
          <cell r="N648" t="str">
            <v>Evita</v>
          </cell>
          <cell r="O648" t="str">
            <v>Evita XL</v>
          </cell>
          <cell r="P648" t="str">
            <v>ASDD-0068</v>
          </cell>
          <cell r="Q648" t="str">
            <v>Not Applicable</v>
          </cell>
          <cell r="R648" t="str">
            <v>Drager Medical GmbH</v>
          </cell>
          <cell r="S648" t="str">
            <v>Beau Consortium Sdn Bhd</v>
          </cell>
          <cell r="T648" t="str">
            <v>Functioning</v>
          </cell>
          <cell r="U648" t="str">
            <v>Asset</v>
          </cell>
          <cell r="V648">
            <v>151560</v>
          </cell>
          <cell r="W648" t="str">
            <v>KEW</v>
          </cell>
          <cell r="X648" t="str">
            <v>01/09/2010</v>
          </cell>
          <cell r="Y648" t="str">
            <v>KEW</v>
          </cell>
          <cell r="Z648" t="str">
            <v>16/08/2013</v>
          </cell>
          <cell r="AA648" t="str">
            <v>15/08/2015</v>
          </cell>
          <cell r="AB648" t="str">
            <v>No</v>
          </cell>
          <cell r="AC648" t="str">
            <v>31/08/2013</v>
          </cell>
          <cell r="AD648" t="str">
            <v>Good</v>
          </cell>
          <cell r="AE648" t="str">
            <v>V1 - Existing / No Claim</v>
          </cell>
          <cell r="AF648">
            <v>42235</v>
          </cell>
          <cell r="AG648">
            <v>9.17</v>
          </cell>
          <cell r="AH648" t="str">
            <v>PPM</v>
          </cell>
          <cell r="AI648" t="str">
            <v>Strands</v>
          </cell>
          <cell r="AJ648" t="str">
            <v>Strands PW</v>
          </cell>
        </row>
        <row r="649">
          <cell r="A649" t="str">
            <v>IKN400169</v>
          </cell>
          <cell r="B649">
            <v>169</v>
          </cell>
          <cell r="C649" t="str">
            <v>Institut Kanser Negara</v>
          </cell>
          <cell r="D649" t="str">
            <v>KKM/IKN/H/13/1121</v>
          </cell>
          <cell r="E649" t="str">
            <v>17-429</v>
          </cell>
          <cell r="F649" t="str">
            <v>Ventilators, Intensive Care</v>
          </cell>
          <cell r="G649" t="str">
            <v>IC</v>
          </cell>
          <cell r="H649" t="str">
            <v>INTENSIVE CARE UNIT</v>
          </cell>
          <cell r="I649" t="str">
            <v>05IC116</v>
          </cell>
          <cell r="J649" t="str">
            <v>ISOL 2 (+VE)</v>
          </cell>
          <cell r="K649" t="str">
            <v>BMED</v>
          </cell>
          <cell r="L649" t="str">
            <v>Normal</v>
          </cell>
          <cell r="M649" t="str">
            <v>Germany</v>
          </cell>
          <cell r="N649" t="str">
            <v>Evita</v>
          </cell>
          <cell r="O649" t="str">
            <v>Evita XL</v>
          </cell>
          <cell r="P649" t="str">
            <v>ASDD-0072</v>
          </cell>
          <cell r="Q649" t="str">
            <v>Not Applicable</v>
          </cell>
          <cell r="R649" t="str">
            <v>Drager Medical GmbH</v>
          </cell>
          <cell r="S649" t="str">
            <v>Beau Consortium Sdn Bhd</v>
          </cell>
          <cell r="T649" t="str">
            <v>Functioning</v>
          </cell>
          <cell r="U649" t="str">
            <v>Asset</v>
          </cell>
          <cell r="V649">
            <v>151560</v>
          </cell>
          <cell r="W649" t="str">
            <v>KEW</v>
          </cell>
          <cell r="X649" t="str">
            <v>01/09/2010</v>
          </cell>
          <cell r="Y649" t="str">
            <v>KEW</v>
          </cell>
          <cell r="Z649" t="str">
            <v>16/08/2013</v>
          </cell>
          <cell r="AA649" t="str">
            <v>15/08/2015</v>
          </cell>
          <cell r="AB649" t="str">
            <v>No</v>
          </cell>
          <cell r="AC649" t="str">
            <v>31/08/2013</v>
          </cell>
          <cell r="AD649" t="str">
            <v>Good</v>
          </cell>
          <cell r="AE649" t="str">
            <v>V1 - Existing / No Claim</v>
          </cell>
          <cell r="AF649">
            <v>42235</v>
          </cell>
          <cell r="AG649">
            <v>9.17</v>
          </cell>
          <cell r="AH649" t="str">
            <v>PPM</v>
          </cell>
          <cell r="AI649" t="str">
            <v>Strands</v>
          </cell>
          <cell r="AJ649" t="str">
            <v>Strands PW</v>
          </cell>
        </row>
        <row r="650">
          <cell r="A650" t="str">
            <v>IKN400170</v>
          </cell>
          <cell r="B650">
            <v>170</v>
          </cell>
          <cell r="C650" t="str">
            <v>Institut Kanser Negara</v>
          </cell>
          <cell r="D650" t="str">
            <v>KKM/IKN/H/13/4412</v>
          </cell>
          <cell r="E650" t="str">
            <v>15-709</v>
          </cell>
          <cell r="F650" t="str">
            <v>Analyzers, Laboratory, Blood Gas/pH</v>
          </cell>
          <cell r="G650" t="str">
            <v>IC</v>
          </cell>
          <cell r="H650" t="str">
            <v>INTENSIVE CARE UNIT</v>
          </cell>
          <cell r="I650" t="str">
            <v>05IC122</v>
          </cell>
          <cell r="J650" t="str">
            <v>STAT LAB</v>
          </cell>
          <cell r="K650" t="str">
            <v>BMED</v>
          </cell>
          <cell r="L650" t="str">
            <v>Critical</v>
          </cell>
          <cell r="M650" t="str">
            <v>Denmark</v>
          </cell>
          <cell r="N650" t="str">
            <v>Radiometer</v>
          </cell>
          <cell r="O650" t="str">
            <v>Radiometer ABL 90</v>
          </cell>
          <cell r="P650" t="str">
            <v>R0177N0008</v>
          </cell>
          <cell r="Q650" t="str">
            <v>Not Applicable</v>
          </cell>
          <cell r="R650" t="str">
            <v>Radiometer Medical ApS</v>
          </cell>
          <cell r="S650" t="str">
            <v>Metrojendela</v>
          </cell>
          <cell r="T650" t="str">
            <v>Functioning</v>
          </cell>
          <cell r="U650" t="str">
            <v>Asset</v>
          </cell>
          <cell r="V650">
            <v>210505</v>
          </cell>
          <cell r="W650" t="str">
            <v>KEW</v>
          </cell>
          <cell r="X650" t="str">
            <v>01/09/2010</v>
          </cell>
          <cell r="Y650" t="str">
            <v>KEW</v>
          </cell>
          <cell r="Z650" t="str">
            <v>16/08/2013</v>
          </cell>
          <cell r="AA650" t="str">
            <v>15/08/2015</v>
          </cell>
          <cell r="AB650" t="str">
            <v>No</v>
          </cell>
          <cell r="AC650" t="str">
            <v>31/08/2013</v>
          </cell>
          <cell r="AD650" t="str">
            <v>Good</v>
          </cell>
          <cell r="AE650" t="str">
            <v>V1 - Existing / No Claim</v>
          </cell>
          <cell r="AF650">
            <v>42797</v>
          </cell>
          <cell r="AG650">
            <v>9.17</v>
          </cell>
          <cell r="AH650" t="str">
            <v>PPM</v>
          </cell>
          <cell r="AI650" t="str">
            <v>Strands</v>
          </cell>
          <cell r="AJ650" t="str">
            <v>Strands Package</v>
          </cell>
          <cell r="AK650" t="str">
            <v>Package Code LC0002</v>
          </cell>
        </row>
        <row r="651">
          <cell r="A651" t="str">
            <v>IKN400171</v>
          </cell>
          <cell r="B651">
            <v>171</v>
          </cell>
          <cell r="C651" t="str">
            <v>Institut Kanser Negara</v>
          </cell>
          <cell r="D651" t="str">
            <v>KKM/IKN/H/13/1123</v>
          </cell>
          <cell r="E651" t="str">
            <v>17-429</v>
          </cell>
          <cell r="F651" t="str">
            <v>Ventilators, Intensive Care</v>
          </cell>
          <cell r="G651" t="str">
            <v>IC</v>
          </cell>
          <cell r="H651" t="str">
            <v>INTENSIVE CARE UNIT</v>
          </cell>
          <cell r="I651" t="str">
            <v>05IC131</v>
          </cell>
          <cell r="J651" t="str">
            <v>ISOL 3 (+VE)</v>
          </cell>
          <cell r="K651" t="str">
            <v>BMED</v>
          </cell>
          <cell r="L651" t="str">
            <v>Normal</v>
          </cell>
          <cell r="M651" t="str">
            <v>Germany</v>
          </cell>
          <cell r="N651" t="str">
            <v>Evita</v>
          </cell>
          <cell r="O651" t="str">
            <v>Evita XL</v>
          </cell>
          <cell r="P651" t="str">
            <v>ASDD-0074</v>
          </cell>
          <cell r="Q651" t="str">
            <v>Not Applicable</v>
          </cell>
          <cell r="R651" t="str">
            <v>Drager Medical GmbH</v>
          </cell>
          <cell r="S651" t="str">
            <v>Beau Consortium Sdn Bhd</v>
          </cell>
          <cell r="T651" t="str">
            <v>Functioning</v>
          </cell>
          <cell r="U651" t="str">
            <v>Asset</v>
          </cell>
          <cell r="V651">
            <v>151560</v>
          </cell>
          <cell r="W651" t="str">
            <v>KEW</v>
          </cell>
          <cell r="X651" t="str">
            <v>01/09/2010</v>
          </cell>
          <cell r="Y651" t="str">
            <v>KEW</v>
          </cell>
          <cell r="Z651" t="str">
            <v>16/08/2013</v>
          </cell>
          <cell r="AA651" t="str">
            <v>15/08/2015</v>
          </cell>
          <cell r="AB651" t="str">
            <v>No</v>
          </cell>
          <cell r="AC651" t="str">
            <v>31/08/2013</v>
          </cell>
          <cell r="AD651" t="str">
            <v>Good</v>
          </cell>
          <cell r="AE651" t="str">
            <v>V1 - Existing / No Claim</v>
          </cell>
          <cell r="AF651">
            <v>42235</v>
          </cell>
          <cell r="AG651">
            <v>9.17</v>
          </cell>
          <cell r="AH651" t="str">
            <v>PPM</v>
          </cell>
          <cell r="AI651" t="str">
            <v>Strands</v>
          </cell>
          <cell r="AJ651" t="str">
            <v>Strands PW</v>
          </cell>
        </row>
        <row r="652">
          <cell r="A652" t="str">
            <v>IKN400172</v>
          </cell>
          <cell r="B652">
            <v>172</v>
          </cell>
          <cell r="C652" t="str">
            <v>Institut Kanser Negara</v>
          </cell>
          <cell r="D652" t="str">
            <v>KKM/IKN/H/13/1127</v>
          </cell>
          <cell r="E652" t="str">
            <v>18-098</v>
          </cell>
          <cell r="F652" t="str">
            <v>Ventilators, Transport</v>
          </cell>
          <cell r="G652" t="str">
            <v>IC</v>
          </cell>
          <cell r="H652" t="str">
            <v>INTENSIVE CARE UNIT</v>
          </cell>
          <cell r="I652" t="str">
            <v>05IC106</v>
          </cell>
          <cell r="J652" t="str">
            <v>EQ. ROOM</v>
          </cell>
          <cell r="K652" t="str">
            <v>BMED</v>
          </cell>
          <cell r="L652" t="str">
            <v>Critical</v>
          </cell>
          <cell r="M652" t="str">
            <v>Germany</v>
          </cell>
          <cell r="N652" t="str">
            <v>Oxylog</v>
          </cell>
          <cell r="O652" t="str">
            <v>Oxylog 3000 Plus</v>
          </cell>
          <cell r="P652" t="str">
            <v>ASDJ-0135</v>
          </cell>
          <cell r="Q652" t="str">
            <v>Not Applicable</v>
          </cell>
          <cell r="R652" t="str">
            <v>Draegerwerk Ag</v>
          </cell>
          <cell r="S652" t="str">
            <v>Beau Consortium Sdn Bhd</v>
          </cell>
          <cell r="T652" t="str">
            <v>Functioning</v>
          </cell>
          <cell r="U652" t="str">
            <v>Asset</v>
          </cell>
          <cell r="V652">
            <v>60150</v>
          </cell>
          <cell r="W652" t="str">
            <v>KEW</v>
          </cell>
          <cell r="X652" t="str">
            <v>01/09/2010</v>
          </cell>
          <cell r="Y652" t="str">
            <v>KEW</v>
          </cell>
          <cell r="Z652" t="str">
            <v>16/08/2013</v>
          </cell>
          <cell r="AA652" t="str">
            <v>15/08/2015</v>
          </cell>
          <cell r="AB652" t="str">
            <v>No</v>
          </cell>
          <cell r="AC652" t="str">
            <v>31/08/2013</v>
          </cell>
          <cell r="AD652" t="str">
            <v>Good</v>
          </cell>
          <cell r="AE652" t="str">
            <v>V1 - Existing / No Claim</v>
          </cell>
          <cell r="AF652">
            <v>42796</v>
          </cell>
          <cell r="AG652">
            <v>9.17</v>
          </cell>
          <cell r="AH652" t="str">
            <v>PPM</v>
          </cell>
          <cell r="AI652" t="str">
            <v>Strands</v>
          </cell>
          <cell r="AJ652" t="str">
            <v>Strands PW</v>
          </cell>
        </row>
        <row r="653">
          <cell r="A653" t="str">
            <v>IKN400173</v>
          </cell>
          <cell r="B653">
            <v>173</v>
          </cell>
          <cell r="C653" t="str">
            <v>Institut Kanser Negara</v>
          </cell>
          <cell r="D653" t="str">
            <v>KKM/IKN/H/13/1126</v>
          </cell>
          <cell r="E653" t="str">
            <v>18-098</v>
          </cell>
          <cell r="F653" t="str">
            <v>Ventilators, Transport</v>
          </cell>
          <cell r="G653" t="str">
            <v>IC</v>
          </cell>
          <cell r="H653" t="str">
            <v>INTENSIVE CARE UNIT</v>
          </cell>
          <cell r="I653" t="str">
            <v>05IC106</v>
          </cell>
          <cell r="J653" t="str">
            <v>EQ. ROOM</v>
          </cell>
          <cell r="K653" t="str">
            <v>BMED</v>
          </cell>
          <cell r="L653" t="str">
            <v>Critical</v>
          </cell>
          <cell r="M653" t="str">
            <v>Germany</v>
          </cell>
          <cell r="N653" t="str">
            <v>Oxylog</v>
          </cell>
          <cell r="O653" t="str">
            <v>Oxylog 3000 Plus</v>
          </cell>
          <cell r="P653" t="str">
            <v>ASDJ-0134</v>
          </cell>
          <cell r="Q653" t="str">
            <v>Not Applicable</v>
          </cell>
          <cell r="R653" t="str">
            <v>Draegerwerk Ag</v>
          </cell>
          <cell r="S653" t="str">
            <v>Beau Consortium Sdn Bhd</v>
          </cell>
          <cell r="T653" t="str">
            <v>Functioning</v>
          </cell>
          <cell r="U653" t="str">
            <v>Asset</v>
          </cell>
          <cell r="V653">
            <v>60150</v>
          </cell>
          <cell r="W653" t="str">
            <v>KEW</v>
          </cell>
          <cell r="X653" t="str">
            <v>01/09/2010</v>
          </cell>
          <cell r="Y653" t="str">
            <v>KEW</v>
          </cell>
          <cell r="Z653" t="str">
            <v>16/08/2013</v>
          </cell>
          <cell r="AA653" t="str">
            <v>15/08/2015</v>
          </cell>
          <cell r="AB653" t="str">
            <v>No</v>
          </cell>
          <cell r="AC653" t="str">
            <v>31/08/2013</v>
          </cell>
          <cell r="AD653" t="str">
            <v>Good</v>
          </cell>
          <cell r="AE653" t="str">
            <v>V1 - Existing / No Claim</v>
          </cell>
          <cell r="AF653">
            <v>42796</v>
          </cell>
          <cell r="AG653">
            <v>9.17</v>
          </cell>
          <cell r="AH653" t="str">
            <v>PPM</v>
          </cell>
          <cell r="AI653" t="str">
            <v>Strands</v>
          </cell>
          <cell r="AJ653" t="str">
            <v>Strands PW</v>
          </cell>
        </row>
        <row r="654">
          <cell r="A654" t="str">
            <v>IKN400174</v>
          </cell>
          <cell r="B654">
            <v>174</v>
          </cell>
          <cell r="C654" t="str">
            <v>Institut Kanser Negara</v>
          </cell>
          <cell r="D654" t="str">
            <v>KKM/IKN/H/14/84</v>
          </cell>
          <cell r="E654" t="str">
            <v>10-447</v>
          </cell>
          <cell r="F654" t="str">
            <v>Warming Units, Blood/Solution</v>
          </cell>
          <cell r="G654" t="str">
            <v>ID</v>
          </cell>
          <cell r="H654" t="str">
            <v>IMAGING DEPARTMENT</v>
          </cell>
          <cell r="I654" t="str">
            <v>03ID156</v>
          </cell>
          <cell r="J654" t="str">
            <v>C.T. SCAN 1 (+VE)</v>
          </cell>
          <cell r="K654" t="str">
            <v>BMED</v>
          </cell>
          <cell r="L654" t="str">
            <v>Normal</v>
          </cell>
          <cell r="M654" t="str">
            <v>USA</v>
          </cell>
          <cell r="N654" t="str">
            <v>Heratherm</v>
          </cell>
          <cell r="O654" t="str">
            <v>Heratherm IM-18</v>
          </cell>
          <cell r="P654" t="str">
            <v>IMC40474563</v>
          </cell>
          <cell r="Q654" t="str">
            <v>Not Applicable</v>
          </cell>
          <cell r="R654" t="str">
            <v>Thermo Scientific Inc</v>
          </cell>
          <cell r="S654" t="str">
            <v>Fero -Medic &amp; Consultantcy</v>
          </cell>
          <cell r="T654" t="str">
            <v>Functioning</v>
          </cell>
          <cell r="U654" t="str">
            <v>Asset</v>
          </cell>
          <cell r="V654">
            <v>4950</v>
          </cell>
          <cell r="W654" t="str">
            <v>KEW</v>
          </cell>
          <cell r="X654" t="str">
            <v>25/09/2014</v>
          </cell>
          <cell r="Y654" t="str">
            <v>KEW</v>
          </cell>
          <cell r="Z654" t="str">
            <v>12/11/2014</v>
          </cell>
          <cell r="AA654" t="str">
            <v>11/11/2015</v>
          </cell>
          <cell r="AB654" t="str">
            <v>No</v>
          </cell>
          <cell r="AC654" t="str">
            <v>12/11/2014</v>
          </cell>
          <cell r="AD654" t="str">
            <v>Good</v>
          </cell>
          <cell r="AE654" t="str">
            <v>V3 - Added Installed Facilities (New)</v>
          </cell>
          <cell r="AF654">
            <v>42679</v>
          </cell>
          <cell r="AG654">
            <v>5.17</v>
          </cell>
          <cell r="AH654" t="str">
            <v>PPM</v>
          </cell>
          <cell r="AI654" t="str">
            <v>Strands</v>
          </cell>
          <cell r="AJ654" t="str">
            <v>Strands PW</v>
          </cell>
          <cell r="AK654" t="str">
            <v>SNF received. 1st batch of V3 asset (December 2020)</v>
          </cell>
        </row>
        <row r="655">
          <cell r="A655" t="str">
            <v>IKN400175</v>
          </cell>
          <cell r="B655">
            <v>175</v>
          </cell>
          <cell r="C655" t="str">
            <v>Institut Kanser Negara</v>
          </cell>
          <cell r="D655" t="str">
            <v>KKM/IKN/H/13/1028</v>
          </cell>
          <cell r="E655" t="str">
            <v>10-447</v>
          </cell>
          <cell r="F655" t="str">
            <v>Warming Units, Blood/Solution</v>
          </cell>
          <cell r="G655" t="str">
            <v>IC</v>
          </cell>
          <cell r="H655" t="str">
            <v>INTENSIVE CARE UNIT</v>
          </cell>
          <cell r="I655" t="str">
            <v>05IC106</v>
          </cell>
          <cell r="J655" t="str">
            <v>EQ. ROOM</v>
          </cell>
          <cell r="K655" t="str">
            <v>BMED</v>
          </cell>
          <cell r="L655" t="str">
            <v>Normal</v>
          </cell>
          <cell r="M655" t="str">
            <v>Japan</v>
          </cell>
          <cell r="N655" t="str">
            <v>Animec</v>
          </cell>
          <cell r="O655" t="str">
            <v>Animec AM-301</v>
          </cell>
          <cell r="P655" t="str">
            <v>2013D0257</v>
          </cell>
          <cell r="Q655" t="str">
            <v>Not Applicable</v>
          </cell>
          <cell r="R655" t="str">
            <v>Elltec Co Ltd</v>
          </cell>
          <cell r="S655" t="str">
            <v>IDS Services (Malaysia) Sdn Bhd</v>
          </cell>
          <cell r="T655" t="str">
            <v>Functioning</v>
          </cell>
          <cell r="U655" t="str">
            <v>Asset</v>
          </cell>
          <cell r="V655">
            <v>4990</v>
          </cell>
          <cell r="W655" t="str">
            <v>KEW</v>
          </cell>
          <cell r="X655" t="str">
            <v>01/09/2010</v>
          </cell>
          <cell r="Y655" t="str">
            <v>KEW</v>
          </cell>
          <cell r="Z655" t="str">
            <v>16/08/2013</v>
          </cell>
          <cell r="AA655" t="str">
            <v>15/08/2015</v>
          </cell>
          <cell r="AB655" t="str">
            <v>No</v>
          </cell>
          <cell r="AC655" t="str">
            <v>31/08/2013</v>
          </cell>
          <cell r="AD655" t="str">
            <v>Good</v>
          </cell>
          <cell r="AE655" t="str">
            <v>V1 - Existing / No Claim</v>
          </cell>
          <cell r="AF655">
            <v>42235</v>
          </cell>
          <cell r="AG655">
            <v>9.17</v>
          </cell>
          <cell r="AH655" t="str">
            <v>PPM</v>
          </cell>
          <cell r="AI655" t="str">
            <v>Strands</v>
          </cell>
          <cell r="AJ655" t="str">
            <v>Strands PW</v>
          </cell>
        </row>
        <row r="656">
          <cell r="A656" t="str">
            <v>IKN400176</v>
          </cell>
          <cell r="B656">
            <v>176</v>
          </cell>
          <cell r="C656" t="str">
            <v>Institut Kanser Negara</v>
          </cell>
          <cell r="D656" t="str">
            <v>KKM/IKN/H/13/1029</v>
          </cell>
          <cell r="E656" t="str">
            <v>10-447</v>
          </cell>
          <cell r="F656" t="str">
            <v>Warming Units, Blood/Solution</v>
          </cell>
          <cell r="G656" t="str">
            <v>IC</v>
          </cell>
          <cell r="H656" t="str">
            <v>INTENSIVE CARE UNIT</v>
          </cell>
          <cell r="I656" t="str">
            <v>05IC106</v>
          </cell>
          <cell r="J656" t="str">
            <v>EQ. ROOM</v>
          </cell>
          <cell r="K656" t="str">
            <v>BMED</v>
          </cell>
          <cell r="L656" t="str">
            <v>Normal</v>
          </cell>
          <cell r="M656" t="str">
            <v>Japan</v>
          </cell>
          <cell r="N656" t="str">
            <v>Animec</v>
          </cell>
          <cell r="O656" t="str">
            <v>Animec AM-301</v>
          </cell>
          <cell r="P656" t="str">
            <v>2013D0255</v>
          </cell>
          <cell r="Q656" t="str">
            <v>Not Applicable</v>
          </cell>
          <cell r="R656" t="str">
            <v>Elltec Co Ltd</v>
          </cell>
          <cell r="S656" t="str">
            <v>IDS Services (Malaysia) Sdn Bhd</v>
          </cell>
          <cell r="T656" t="str">
            <v>Functioning</v>
          </cell>
          <cell r="U656" t="str">
            <v>Asset</v>
          </cell>
          <cell r="V656">
            <v>4990</v>
          </cell>
          <cell r="W656" t="str">
            <v>KEW</v>
          </cell>
          <cell r="X656" t="str">
            <v>01/09/2010</v>
          </cell>
          <cell r="Y656" t="str">
            <v>KEW</v>
          </cell>
          <cell r="Z656" t="str">
            <v>16/08/2013</v>
          </cell>
          <cell r="AA656" t="str">
            <v>15/08/2015</v>
          </cell>
          <cell r="AB656" t="str">
            <v>No</v>
          </cell>
          <cell r="AC656" t="str">
            <v>31/08/2013</v>
          </cell>
          <cell r="AD656" t="str">
            <v>Good</v>
          </cell>
          <cell r="AE656" t="str">
            <v>V1 - Existing / No Claim</v>
          </cell>
          <cell r="AF656">
            <v>42235</v>
          </cell>
          <cell r="AG656">
            <v>9.17</v>
          </cell>
          <cell r="AH656" t="str">
            <v>PPM</v>
          </cell>
          <cell r="AI656" t="str">
            <v>Strands</v>
          </cell>
          <cell r="AJ656" t="str">
            <v>Strands PW</v>
          </cell>
        </row>
        <row r="657">
          <cell r="A657" t="str">
            <v>IKN400177</v>
          </cell>
          <cell r="B657">
            <v>177</v>
          </cell>
          <cell r="C657" t="str">
            <v>Institut Kanser Negara</v>
          </cell>
          <cell r="D657" t="str">
            <v>KKM/IKN/H/13/1030</v>
          </cell>
          <cell r="E657" t="str">
            <v>10-447</v>
          </cell>
          <cell r="F657" t="str">
            <v>Warming Units, Blood/Solution</v>
          </cell>
          <cell r="G657" t="str">
            <v>IC</v>
          </cell>
          <cell r="H657" t="str">
            <v>INTENSIVE CARE UNIT</v>
          </cell>
          <cell r="I657" t="str">
            <v>05IC106</v>
          </cell>
          <cell r="J657" t="str">
            <v>EQ. ROOM</v>
          </cell>
          <cell r="K657" t="str">
            <v>BMED</v>
          </cell>
          <cell r="L657" t="str">
            <v>Normal</v>
          </cell>
          <cell r="M657" t="str">
            <v>Japan</v>
          </cell>
          <cell r="N657" t="str">
            <v>Animec</v>
          </cell>
          <cell r="O657" t="str">
            <v>Animec AM-301</v>
          </cell>
          <cell r="P657" t="str">
            <v>2013D0256</v>
          </cell>
          <cell r="Q657" t="str">
            <v>Not Applicable</v>
          </cell>
          <cell r="R657" t="str">
            <v>Elltec Co Ltd</v>
          </cell>
          <cell r="S657" t="str">
            <v>IDS Services (Malaysia) Sdn Bhd</v>
          </cell>
          <cell r="T657" t="str">
            <v>Functioning</v>
          </cell>
          <cell r="U657" t="str">
            <v>Asset</v>
          </cell>
          <cell r="V657">
            <v>4990</v>
          </cell>
          <cell r="W657" t="str">
            <v>KEW</v>
          </cell>
          <cell r="X657" t="str">
            <v>01/09/2010</v>
          </cell>
          <cell r="Y657" t="str">
            <v>KEW</v>
          </cell>
          <cell r="Z657" t="str">
            <v>16/08/2013</v>
          </cell>
          <cell r="AA657" t="str">
            <v>15/08/2015</v>
          </cell>
          <cell r="AB657" t="str">
            <v>No</v>
          </cell>
          <cell r="AC657" t="str">
            <v>31/08/2013</v>
          </cell>
          <cell r="AD657" t="str">
            <v>Good</v>
          </cell>
          <cell r="AE657" t="str">
            <v>V1 - Existing / No Claim</v>
          </cell>
          <cell r="AF657">
            <v>42235</v>
          </cell>
          <cell r="AG657">
            <v>9.17</v>
          </cell>
          <cell r="AH657" t="str">
            <v>PPM</v>
          </cell>
          <cell r="AI657" t="str">
            <v>Strands</v>
          </cell>
          <cell r="AJ657" t="str">
            <v>Strands PW</v>
          </cell>
        </row>
        <row r="658">
          <cell r="A658" t="str">
            <v>IKN400178</v>
          </cell>
          <cell r="B658">
            <v>178</v>
          </cell>
          <cell r="C658" t="str">
            <v>Institut Kanser Negara</v>
          </cell>
          <cell r="D658" t="str">
            <v>KKM/IKN/H/13/1031</v>
          </cell>
          <cell r="E658" t="str">
            <v>17-950</v>
          </cell>
          <cell r="F658" t="str">
            <v>Warming Units, Patient, Forced-Air</v>
          </cell>
          <cell r="G658" t="str">
            <v>IC</v>
          </cell>
          <cell r="H658" t="str">
            <v>INTENSIVE CARE UNIT</v>
          </cell>
          <cell r="I658" t="str">
            <v>05IC111</v>
          </cell>
          <cell r="J658" t="str">
            <v>ISOL 1(-VE)</v>
          </cell>
          <cell r="K658" t="str">
            <v>BMED</v>
          </cell>
          <cell r="L658" t="str">
            <v>Normal</v>
          </cell>
          <cell r="M658" t="str">
            <v>USA</v>
          </cell>
          <cell r="N658" t="str">
            <v>Bair Hugger</v>
          </cell>
          <cell r="O658" t="str">
            <v>Bair Hugger 775</v>
          </cell>
          <cell r="P658" t="str">
            <v>35944</v>
          </cell>
          <cell r="Q658" t="str">
            <v>Not Applicable</v>
          </cell>
          <cell r="R658" t="str">
            <v>Arizant Healthcare Inc</v>
          </cell>
          <cell r="S658" t="str">
            <v>Calmed Healthcare Sdn Bhd</v>
          </cell>
          <cell r="T658" t="str">
            <v>Functioning</v>
          </cell>
          <cell r="U658" t="str">
            <v>Asset</v>
          </cell>
          <cell r="V658">
            <v>15515</v>
          </cell>
          <cell r="W658" t="str">
            <v>KEW</v>
          </cell>
          <cell r="X658" t="str">
            <v>01/09/2010</v>
          </cell>
          <cell r="Y658" t="str">
            <v>KEW</v>
          </cell>
          <cell r="Z658" t="str">
            <v>16/08/2013</v>
          </cell>
          <cell r="AA658" t="str">
            <v>15/08/2015</v>
          </cell>
          <cell r="AB658" t="str">
            <v>No</v>
          </cell>
          <cell r="AC658" t="str">
            <v>31/08/2013</v>
          </cell>
          <cell r="AD658" t="str">
            <v>Good</v>
          </cell>
          <cell r="AE658" t="str">
            <v>V1 - Existing / No Claim</v>
          </cell>
          <cell r="AF658">
            <v>42235</v>
          </cell>
          <cell r="AG658">
            <v>9.17</v>
          </cell>
          <cell r="AH658" t="str">
            <v>PPM</v>
          </cell>
          <cell r="AI658" t="str">
            <v>Strands</v>
          </cell>
          <cell r="AJ658" t="str">
            <v>Strands PW</v>
          </cell>
        </row>
        <row r="659">
          <cell r="A659" t="str">
            <v>IKN400179</v>
          </cell>
          <cell r="B659">
            <v>179</v>
          </cell>
          <cell r="C659" t="str">
            <v>Institut Kanser Negara</v>
          </cell>
          <cell r="D659" t="str">
            <v>KKM/IKN/H/13/1032</v>
          </cell>
          <cell r="E659" t="str">
            <v>17-950</v>
          </cell>
          <cell r="F659" t="str">
            <v>Warming Units, Patient, Forced-Air</v>
          </cell>
          <cell r="G659" t="str">
            <v>IC</v>
          </cell>
          <cell r="H659" t="str">
            <v>INTENSIVE CARE UNIT</v>
          </cell>
          <cell r="I659" t="str">
            <v>05IC112</v>
          </cell>
          <cell r="J659" t="str">
            <v>ICU RM 1</v>
          </cell>
          <cell r="K659" t="str">
            <v>BMED</v>
          </cell>
          <cell r="L659" t="str">
            <v>Normal</v>
          </cell>
          <cell r="M659" t="str">
            <v>USA</v>
          </cell>
          <cell r="N659" t="str">
            <v>Bair Hugger</v>
          </cell>
          <cell r="O659" t="str">
            <v>Bair Hugger 775</v>
          </cell>
          <cell r="P659" t="str">
            <v>35945</v>
          </cell>
          <cell r="Q659" t="str">
            <v>Not Applicable</v>
          </cell>
          <cell r="R659" t="str">
            <v>Arizant Healthcare Inc</v>
          </cell>
          <cell r="S659" t="str">
            <v>Calmed Healthcare Sdn Bhd</v>
          </cell>
          <cell r="T659" t="str">
            <v>Functioning</v>
          </cell>
          <cell r="U659" t="str">
            <v>Asset</v>
          </cell>
          <cell r="V659">
            <v>15515</v>
          </cell>
          <cell r="W659" t="str">
            <v>KEW</v>
          </cell>
          <cell r="X659" t="str">
            <v>01/09/2010</v>
          </cell>
          <cell r="Y659" t="str">
            <v>KEW</v>
          </cell>
          <cell r="Z659" t="str">
            <v>16/08/2013</v>
          </cell>
          <cell r="AA659" t="str">
            <v>15/08/2015</v>
          </cell>
          <cell r="AB659" t="str">
            <v>No</v>
          </cell>
          <cell r="AC659" t="str">
            <v>31/08/2013</v>
          </cell>
          <cell r="AD659" t="str">
            <v>Good</v>
          </cell>
          <cell r="AE659" t="str">
            <v>V1 - Existing / No Claim</v>
          </cell>
          <cell r="AF659">
            <v>42235</v>
          </cell>
          <cell r="AG659">
            <v>9.17</v>
          </cell>
          <cell r="AH659" t="str">
            <v>PPM</v>
          </cell>
          <cell r="AI659" t="str">
            <v>Strands</v>
          </cell>
          <cell r="AJ659" t="str">
            <v>Strands PW</v>
          </cell>
        </row>
        <row r="660">
          <cell r="A660" t="str">
            <v>IKN400180</v>
          </cell>
          <cell r="B660">
            <v>180</v>
          </cell>
          <cell r="C660" t="str">
            <v>Institut Kanser Negara</v>
          </cell>
          <cell r="D660" t="str">
            <v>KKM/IKN/H/13/1038</v>
          </cell>
          <cell r="E660" t="str">
            <v>17-950</v>
          </cell>
          <cell r="F660" t="str">
            <v>Warming Units, Patient, Forced-Air</v>
          </cell>
          <cell r="G660" t="str">
            <v>IC</v>
          </cell>
          <cell r="H660" t="str">
            <v>INTENSIVE CARE UNIT</v>
          </cell>
          <cell r="I660" t="str">
            <v>05IC113</v>
          </cell>
          <cell r="J660" t="str">
            <v>ICU RM 2</v>
          </cell>
          <cell r="K660" t="str">
            <v>BMED</v>
          </cell>
          <cell r="L660" t="str">
            <v>Normal</v>
          </cell>
          <cell r="M660" t="str">
            <v>USA</v>
          </cell>
          <cell r="N660" t="str">
            <v>Bair Hugger</v>
          </cell>
          <cell r="O660" t="str">
            <v>Bair Hugger 775</v>
          </cell>
          <cell r="P660" t="str">
            <v>35946</v>
          </cell>
          <cell r="Q660" t="str">
            <v>Not Applicable</v>
          </cell>
          <cell r="R660" t="str">
            <v>Arizant Healthcare Inc</v>
          </cell>
          <cell r="S660" t="str">
            <v>Calmed Healthcare Sdn Bhd</v>
          </cell>
          <cell r="T660" t="str">
            <v>Functioning</v>
          </cell>
          <cell r="U660" t="str">
            <v>Asset</v>
          </cell>
          <cell r="V660">
            <v>15515</v>
          </cell>
          <cell r="W660" t="str">
            <v>KEW</v>
          </cell>
          <cell r="X660" t="str">
            <v>01/09/2010</v>
          </cell>
          <cell r="Y660" t="str">
            <v>KEW</v>
          </cell>
          <cell r="Z660" t="str">
            <v>16/08/2013</v>
          </cell>
          <cell r="AA660" t="str">
            <v>15/08/2015</v>
          </cell>
          <cell r="AB660" t="str">
            <v>No</v>
          </cell>
          <cell r="AC660" t="str">
            <v>31/08/2013</v>
          </cell>
          <cell r="AD660" t="str">
            <v>Good</v>
          </cell>
          <cell r="AE660" t="str">
            <v>V1 - Existing / No Claim</v>
          </cell>
          <cell r="AF660">
            <v>42235</v>
          </cell>
          <cell r="AG660">
            <v>9.17</v>
          </cell>
          <cell r="AH660" t="str">
            <v>PPM</v>
          </cell>
          <cell r="AI660" t="str">
            <v>Strands</v>
          </cell>
          <cell r="AJ660" t="str">
            <v>Strands PW</v>
          </cell>
        </row>
        <row r="661">
          <cell r="A661" t="str">
            <v>IKN400181</v>
          </cell>
          <cell r="B661">
            <v>181</v>
          </cell>
          <cell r="C661" t="str">
            <v>Institut Kanser Negara</v>
          </cell>
          <cell r="D661" t="str">
            <v>KKM/IKN/H/13/1033</v>
          </cell>
          <cell r="E661" t="str">
            <v>17-950</v>
          </cell>
          <cell r="F661" t="str">
            <v>Warming Units, Patient, Forced-Air</v>
          </cell>
          <cell r="G661" t="str">
            <v>IC</v>
          </cell>
          <cell r="H661" t="str">
            <v>INTENSIVE CARE UNIT</v>
          </cell>
          <cell r="I661" t="str">
            <v>05IC114</v>
          </cell>
          <cell r="J661" t="str">
            <v>ICU RM 3</v>
          </cell>
          <cell r="K661" t="str">
            <v>BMED</v>
          </cell>
          <cell r="L661" t="str">
            <v>Normal</v>
          </cell>
          <cell r="M661" t="str">
            <v>USA</v>
          </cell>
          <cell r="N661" t="str">
            <v>Bair Hugger</v>
          </cell>
          <cell r="O661" t="str">
            <v>Bair Hugger 775</v>
          </cell>
          <cell r="P661" t="str">
            <v>35947</v>
          </cell>
          <cell r="Q661" t="str">
            <v>Not Applicable</v>
          </cell>
          <cell r="R661" t="str">
            <v>Arizant Healthcare Inc</v>
          </cell>
          <cell r="S661" t="str">
            <v>Calmed Healthcare Sdn Bhd</v>
          </cell>
          <cell r="T661" t="str">
            <v>Functioning</v>
          </cell>
          <cell r="U661" t="str">
            <v>Asset</v>
          </cell>
          <cell r="V661">
            <v>15515</v>
          </cell>
          <cell r="W661" t="str">
            <v>KEW</v>
          </cell>
          <cell r="X661" t="str">
            <v>01/09/2010</v>
          </cell>
          <cell r="Y661" t="str">
            <v>KEW</v>
          </cell>
          <cell r="Z661" t="str">
            <v>16/08/2013</v>
          </cell>
          <cell r="AA661" t="str">
            <v>15/08/2015</v>
          </cell>
          <cell r="AB661" t="str">
            <v>No</v>
          </cell>
          <cell r="AC661" t="str">
            <v>31/08/2013</v>
          </cell>
          <cell r="AD661" t="str">
            <v>Good</v>
          </cell>
          <cell r="AE661" t="str">
            <v>V1 - Existing / No Claim</v>
          </cell>
          <cell r="AF661">
            <v>42797</v>
          </cell>
          <cell r="AG661">
            <v>9.17</v>
          </cell>
          <cell r="AH661" t="str">
            <v>PPM</v>
          </cell>
          <cell r="AI661" t="str">
            <v>Strands</v>
          </cell>
          <cell r="AJ661" t="str">
            <v>Strands PW</v>
          </cell>
        </row>
        <row r="662">
          <cell r="A662" t="str">
            <v>IKN400182</v>
          </cell>
          <cell r="B662">
            <v>182</v>
          </cell>
          <cell r="C662" t="str">
            <v>Institut Kanser Negara</v>
          </cell>
          <cell r="D662" t="str">
            <v>KKM/IKN/H/13/1034</v>
          </cell>
          <cell r="E662" t="str">
            <v>17-950</v>
          </cell>
          <cell r="F662" t="str">
            <v>Warming Units, Patient, Forced-Air</v>
          </cell>
          <cell r="G662" t="str">
            <v>IC</v>
          </cell>
          <cell r="H662" t="str">
            <v>INTENSIVE CARE UNIT</v>
          </cell>
          <cell r="I662" t="str">
            <v>05IC115</v>
          </cell>
          <cell r="J662" t="str">
            <v>ICU RM 4</v>
          </cell>
          <cell r="K662" t="str">
            <v>BMED</v>
          </cell>
          <cell r="L662" t="str">
            <v>Normal</v>
          </cell>
          <cell r="M662" t="str">
            <v>USA</v>
          </cell>
          <cell r="N662" t="str">
            <v>Bair Hugger</v>
          </cell>
          <cell r="O662" t="str">
            <v>Bair Hugger 775</v>
          </cell>
          <cell r="P662" t="str">
            <v>35948</v>
          </cell>
          <cell r="Q662" t="str">
            <v>Not Applicable</v>
          </cell>
          <cell r="R662" t="str">
            <v>Arizant Healthcare Inc</v>
          </cell>
          <cell r="S662" t="str">
            <v>Calmed Healthcare Sdn Bhd</v>
          </cell>
          <cell r="T662" t="str">
            <v>Functioning</v>
          </cell>
          <cell r="U662" t="str">
            <v>Asset</v>
          </cell>
          <cell r="V662">
            <v>15515</v>
          </cell>
          <cell r="W662" t="str">
            <v>KEW</v>
          </cell>
          <cell r="X662" t="str">
            <v>01/09/2010</v>
          </cell>
          <cell r="Y662" t="str">
            <v>KEW</v>
          </cell>
          <cell r="Z662" t="str">
            <v>16/08/2013</v>
          </cell>
          <cell r="AA662" t="str">
            <v>15/08/2015</v>
          </cell>
          <cell r="AB662" t="str">
            <v>No</v>
          </cell>
          <cell r="AC662" t="str">
            <v>31/08/2013</v>
          </cell>
          <cell r="AD662" t="str">
            <v>Good</v>
          </cell>
          <cell r="AE662" t="str">
            <v>V1 - Existing / No Claim</v>
          </cell>
          <cell r="AF662">
            <v>42235</v>
          </cell>
          <cell r="AG662">
            <v>9.17</v>
          </cell>
          <cell r="AH662" t="str">
            <v>PPM</v>
          </cell>
          <cell r="AI662" t="str">
            <v>Strands</v>
          </cell>
          <cell r="AJ662" t="str">
            <v>Strands PW</v>
          </cell>
        </row>
        <row r="663">
          <cell r="A663" t="str">
            <v>IKN400183</v>
          </cell>
          <cell r="B663">
            <v>183</v>
          </cell>
          <cell r="C663" t="str">
            <v>Institut Kanser Negara</v>
          </cell>
          <cell r="D663" t="str">
            <v>KKM/IKN/H/13/1035</v>
          </cell>
          <cell r="E663" t="str">
            <v>17-950</v>
          </cell>
          <cell r="F663" t="str">
            <v>Warming Units, Patient, Forced-Air</v>
          </cell>
          <cell r="G663" t="str">
            <v>IC</v>
          </cell>
          <cell r="H663" t="str">
            <v>INTENSIVE CARE UNIT</v>
          </cell>
          <cell r="I663" t="str">
            <v>05IC116</v>
          </cell>
          <cell r="J663" t="str">
            <v>ISOL 2 (+VE)</v>
          </cell>
          <cell r="K663" t="str">
            <v>BMED</v>
          </cell>
          <cell r="L663" t="str">
            <v>Normal</v>
          </cell>
          <cell r="M663" t="str">
            <v>USA</v>
          </cell>
          <cell r="N663" t="str">
            <v>Bair Hugger</v>
          </cell>
          <cell r="O663" t="str">
            <v>Bair Hugger 775</v>
          </cell>
          <cell r="P663" t="str">
            <v>35932</v>
          </cell>
          <cell r="Q663" t="str">
            <v>Not Applicable</v>
          </cell>
          <cell r="R663" t="str">
            <v>Arizant Healthcare Inc</v>
          </cell>
          <cell r="S663" t="str">
            <v>Calmed Healthcare Sdn Bhd</v>
          </cell>
          <cell r="T663" t="str">
            <v>Functioning</v>
          </cell>
          <cell r="U663" t="str">
            <v>Asset</v>
          </cell>
          <cell r="V663">
            <v>15515</v>
          </cell>
          <cell r="W663" t="str">
            <v>KEW</v>
          </cell>
          <cell r="X663" t="str">
            <v>01/09/2010</v>
          </cell>
          <cell r="Y663" t="str">
            <v>KEW</v>
          </cell>
          <cell r="Z663" t="str">
            <v>16/08/2013</v>
          </cell>
          <cell r="AA663" t="str">
            <v>15/08/2015</v>
          </cell>
          <cell r="AB663" t="str">
            <v>No</v>
          </cell>
          <cell r="AC663" t="str">
            <v>31/08/2013</v>
          </cell>
          <cell r="AD663" t="str">
            <v>Good</v>
          </cell>
          <cell r="AE663" t="str">
            <v>V1 - Existing / No Claim</v>
          </cell>
          <cell r="AF663">
            <v>42797</v>
          </cell>
          <cell r="AG663">
            <v>9.17</v>
          </cell>
          <cell r="AH663" t="str">
            <v>PPM</v>
          </cell>
          <cell r="AI663" t="str">
            <v>Strands</v>
          </cell>
          <cell r="AJ663" t="str">
            <v>Strands PW</v>
          </cell>
        </row>
        <row r="664">
          <cell r="A664" t="str">
            <v>IKN400184</v>
          </cell>
          <cell r="B664">
            <v>184</v>
          </cell>
          <cell r="C664" t="str">
            <v>Institut Kanser Negara</v>
          </cell>
          <cell r="D664" t="str">
            <v>KKM/IKN/H/13/1036</v>
          </cell>
          <cell r="E664" t="str">
            <v>17-950</v>
          </cell>
          <cell r="F664" t="str">
            <v>Warming Units, Patient, Forced-Air</v>
          </cell>
          <cell r="G664" t="str">
            <v>IC</v>
          </cell>
          <cell r="H664" t="str">
            <v>INTENSIVE CARE UNIT</v>
          </cell>
          <cell r="I664" t="str">
            <v>05IC129</v>
          </cell>
          <cell r="J664" t="str">
            <v>ISOL 4 (+VE)</v>
          </cell>
          <cell r="K664" t="str">
            <v>BMED</v>
          </cell>
          <cell r="L664" t="str">
            <v>Normal</v>
          </cell>
          <cell r="M664" t="str">
            <v>USA</v>
          </cell>
          <cell r="N664" t="str">
            <v>Bair Hugger</v>
          </cell>
          <cell r="O664" t="str">
            <v>Bair Hugger 775</v>
          </cell>
          <cell r="P664" t="str">
            <v>35931</v>
          </cell>
          <cell r="Q664" t="str">
            <v>Not Applicable</v>
          </cell>
          <cell r="R664" t="str">
            <v>Arizant Healthcare Inc</v>
          </cell>
          <cell r="S664" t="str">
            <v>Calmed Healthcare Sdn Bhd</v>
          </cell>
          <cell r="T664" t="str">
            <v>Functioning</v>
          </cell>
          <cell r="U664" t="str">
            <v>Asset</v>
          </cell>
          <cell r="V664">
            <v>15515</v>
          </cell>
          <cell r="W664" t="str">
            <v>KEW</v>
          </cell>
          <cell r="X664" t="str">
            <v>01/09/2010</v>
          </cell>
          <cell r="Y664" t="str">
            <v>KEW</v>
          </cell>
          <cell r="Z664" t="str">
            <v>16/08/2013</v>
          </cell>
          <cell r="AA664" t="str">
            <v>15/08/2015</v>
          </cell>
          <cell r="AB664" t="str">
            <v>No</v>
          </cell>
          <cell r="AC664" t="str">
            <v>31/08/2013</v>
          </cell>
          <cell r="AD664" t="str">
            <v>Good</v>
          </cell>
          <cell r="AE664" t="str">
            <v>V1 - Existing / No Claim</v>
          </cell>
          <cell r="AF664">
            <v>42235</v>
          </cell>
          <cell r="AG664">
            <v>9.17</v>
          </cell>
          <cell r="AH664" t="str">
            <v>PPM</v>
          </cell>
          <cell r="AI664" t="str">
            <v>Strands</v>
          </cell>
          <cell r="AJ664" t="str">
            <v>Strands PW</v>
          </cell>
        </row>
        <row r="665">
          <cell r="A665" t="str">
            <v>IKN400185</v>
          </cell>
          <cell r="B665">
            <v>185</v>
          </cell>
          <cell r="C665" t="str">
            <v>Institut Kanser Negara</v>
          </cell>
          <cell r="D665" t="str">
            <v>KKM/IKN/H/13/1037</v>
          </cell>
          <cell r="E665" t="str">
            <v>17-950</v>
          </cell>
          <cell r="F665" t="str">
            <v>Warming Units, Patient, Forced-Air</v>
          </cell>
          <cell r="G665" t="str">
            <v>IC</v>
          </cell>
          <cell r="H665" t="str">
            <v>INTENSIVE CARE UNIT</v>
          </cell>
          <cell r="I665" t="str">
            <v>05IC131</v>
          </cell>
          <cell r="J665" t="str">
            <v>ISOL 3 (+VE)</v>
          </cell>
          <cell r="K665" t="str">
            <v>BMED</v>
          </cell>
          <cell r="L665" t="str">
            <v>Normal</v>
          </cell>
          <cell r="M665" t="str">
            <v>USA</v>
          </cell>
          <cell r="N665" t="str">
            <v>Bair Hugger</v>
          </cell>
          <cell r="O665" t="str">
            <v>Bair Hugger 775</v>
          </cell>
          <cell r="P665" t="str">
            <v>35950</v>
          </cell>
          <cell r="Q665" t="str">
            <v>Not Applicable</v>
          </cell>
          <cell r="R665" t="str">
            <v>Arizant Healthcare Inc</v>
          </cell>
          <cell r="S665" t="str">
            <v>Calmed Healthcare Sdn Bhd</v>
          </cell>
          <cell r="T665" t="str">
            <v>Functioning</v>
          </cell>
          <cell r="U665" t="str">
            <v>Asset</v>
          </cell>
          <cell r="V665">
            <v>15515</v>
          </cell>
          <cell r="W665" t="str">
            <v>KEW</v>
          </cell>
          <cell r="X665" t="str">
            <v>01/09/2010</v>
          </cell>
          <cell r="Y665" t="str">
            <v>KEW</v>
          </cell>
          <cell r="Z665" t="str">
            <v>16/08/2013</v>
          </cell>
          <cell r="AA665" t="str">
            <v>15/08/2015</v>
          </cell>
          <cell r="AB665" t="str">
            <v>No</v>
          </cell>
          <cell r="AC665" t="str">
            <v>31/08/2013</v>
          </cell>
          <cell r="AD665" t="str">
            <v>Good</v>
          </cell>
          <cell r="AE665" t="str">
            <v>V1 - Existing / No Claim</v>
          </cell>
          <cell r="AF665">
            <v>42235</v>
          </cell>
          <cell r="AG665">
            <v>9.17</v>
          </cell>
          <cell r="AH665" t="str">
            <v>PPM</v>
          </cell>
          <cell r="AI665" t="str">
            <v>Strands</v>
          </cell>
          <cell r="AJ665" t="str">
            <v>Strands PW</v>
          </cell>
        </row>
        <row r="666">
          <cell r="A666" t="str">
            <v>IKN400186</v>
          </cell>
          <cell r="B666">
            <v>186</v>
          </cell>
          <cell r="C666" t="str">
            <v>Institut Kanser Negara</v>
          </cell>
          <cell r="D666" t="str">
            <v>KKM/IKN/H/13/857</v>
          </cell>
          <cell r="E666" t="str">
            <v>10-849</v>
          </cell>
          <cell r="F666" t="str">
            <v>Circulatory Assist Units, Venous Return</v>
          </cell>
          <cell r="G666" t="str">
            <v>IC</v>
          </cell>
          <cell r="H666" t="str">
            <v>INTENSIVE CARE UNIT</v>
          </cell>
          <cell r="I666" t="str">
            <v>05IC112</v>
          </cell>
          <cell r="J666" t="str">
            <v>ICU RM 1</v>
          </cell>
          <cell r="K666" t="str">
            <v>BMED</v>
          </cell>
          <cell r="L666" t="str">
            <v>Critical</v>
          </cell>
          <cell r="M666" t="str">
            <v>Taiwan</v>
          </cell>
          <cell r="N666" t="str">
            <v>Vena Press</v>
          </cell>
          <cell r="O666" t="str">
            <v>Vena Press IPC</v>
          </cell>
          <cell r="P666" t="str">
            <v>C820017576</v>
          </cell>
          <cell r="Q666" t="str">
            <v>Not Applicable</v>
          </cell>
          <cell r="R666" t="str">
            <v>Prius Healthcare Solution</v>
          </cell>
          <cell r="S666" t="str">
            <v>Medika Supplies</v>
          </cell>
          <cell r="T666" t="str">
            <v>Functioning</v>
          </cell>
          <cell r="U666" t="str">
            <v>Asset</v>
          </cell>
          <cell r="V666">
            <v>13470</v>
          </cell>
          <cell r="W666" t="str">
            <v>KEW</v>
          </cell>
          <cell r="X666" t="str">
            <v>01/09/2010</v>
          </cell>
          <cell r="Y666" t="str">
            <v>KEW</v>
          </cell>
          <cell r="Z666" t="str">
            <v>16/08/2013</v>
          </cell>
          <cell r="AA666" t="str">
            <v>15/08/2015</v>
          </cell>
          <cell r="AB666" t="str">
            <v>No</v>
          </cell>
          <cell r="AC666" t="str">
            <v>31/08/2013</v>
          </cell>
          <cell r="AD666" t="str">
            <v>Good</v>
          </cell>
          <cell r="AE666" t="str">
            <v>V1 - Existing / No Claim</v>
          </cell>
          <cell r="AF666">
            <v>42796</v>
          </cell>
          <cell r="AG666">
            <v>9.17</v>
          </cell>
          <cell r="AH666" t="str">
            <v>PPM</v>
          </cell>
          <cell r="AI666" t="str">
            <v>Strands</v>
          </cell>
          <cell r="AJ666" t="str">
            <v>Strands PW</v>
          </cell>
        </row>
        <row r="667">
          <cell r="A667" t="str">
            <v>IKN400187</v>
          </cell>
          <cell r="B667">
            <v>187</v>
          </cell>
          <cell r="C667" t="str">
            <v>Institut Kanser Negara</v>
          </cell>
          <cell r="D667" t="str">
            <v>KKM/IKN/H/13/1025</v>
          </cell>
          <cell r="E667" t="str">
            <v>16-173</v>
          </cell>
          <cell r="F667" t="str">
            <v>Sphygmomanometers, Electronic, Automatic</v>
          </cell>
          <cell r="G667" t="str">
            <v>IC</v>
          </cell>
          <cell r="H667" t="str">
            <v>INTENSIVE CARE UNIT</v>
          </cell>
          <cell r="I667" t="str">
            <v>05IC140</v>
          </cell>
          <cell r="J667" t="str">
            <v>NURSE STATION 1</v>
          </cell>
          <cell r="K667" t="str">
            <v>BMED</v>
          </cell>
          <cell r="L667" t="str">
            <v>Normal</v>
          </cell>
          <cell r="M667" t="str">
            <v>USA</v>
          </cell>
          <cell r="N667" t="str">
            <v>Connex</v>
          </cell>
          <cell r="O667" t="str">
            <v>Connex ProBP 3400</v>
          </cell>
          <cell r="P667" t="str">
            <v>100001740613</v>
          </cell>
          <cell r="Q667" t="str">
            <v>Not Applicable</v>
          </cell>
          <cell r="R667" t="str">
            <v>Welch Allyn Inc</v>
          </cell>
          <cell r="S667" t="str">
            <v>Welch Allyn Malaysia Sdn Bhd</v>
          </cell>
          <cell r="T667" t="str">
            <v>Functioning</v>
          </cell>
          <cell r="U667" t="str">
            <v>Asset</v>
          </cell>
          <cell r="V667">
            <v>4510</v>
          </cell>
          <cell r="W667" t="str">
            <v>KEW</v>
          </cell>
          <cell r="X667" t="str">
            <v>01/09/2010</v>
          </cell>
          <cell r="Y667" t="str">
            <v>KEW</v>
          </cell>
          <cell r="Z667" t="str">
            <v>16/08/2013</v>
          </cell>
          <cell r="AA667" t="str">
            <v>15/08/2015</v>
          </cell>
          <cell r="AB667" t="str">
            <v>No</v>
          </cell>
          <cell r="AC667" t="str">
            <v>31/08/2013</v>
          </cell>
          <cell r="AD667" t="str">
            <v>Good</v>
          </cell>
          <cell r="AE667" t="str">
            <v>V1 - Existing / No Claim</v>
          </cell>
          <cell r="AF667">
            <v>42235</v>
          </cell>
          <cell r="AG667">
            <v>9.17</v>
          </cell>
          <cell r="AH667" t="str">
            <v>PPM</v>
          </cell>
          <cell r="AI667" t="str">
            <v>Strands</v>
          </cell>
          <cell r="AJ667" t="str">
            <v>Strands PW</v>
          </cell>
        </row>
        <row r="668">
          <cell r="A668" t="str">
            <v>IKN400188</v>
          </cell>
          <cell r="B668">
            <v>188</v>
          </cell>
          <cell r="C668" t="str">
            <v>Institut Kanser Negara</v>
          </cell>
          <cell r="D668" t="str">
            <v>KKM/IKN/H/13/4662</v>
          </cell>
          <cell r="E668" t="str">
            <v>15-156</v>
          </cell>
          <cell r="F668" t="str">
            <v>Microscopes, Light, Laboratory</v>
          </cell>
          <cell r="G668" t="str">
            <v>LA</v>
          </cell>
          <cell r="H668" t="str">
            <v>PATHOLOGY</v>
          </cell>
          <cell r="I668" t="str">
            <v>04LA130</v>
          </cell>
          <cell r="J668" t="str">
            <v>SEROLOGY</v>
          </cell>
          <cell r="K668" t="str">
            <v>BMED</v>
          </cell>
          <cell r="L668" t="str">
            <v>Normal</v>
          </cell>
          <cell r="M668" t="str">
            <v>Japan</v>
          </cell>
          <cell r="N668" t="str">
            <v>Olympus</v>
          </cell>
          <cell r="O668" t="str">
            <v>Olympus BX 53</v>
          </cell>
          <cell r="P668" t="str">
            <v>2hH23588</v>
          </cell>
          <cell r="Q668" t="str">
            <v>Not Applicable</v>
          </cell>
          <cell r="R668" t="str">
            <v>Olympus Corp</v>
          </cell>
          <cell r="S668" t="str">
            <v>Matrix Optics (M) Sdn Bhd</v>
          </cell>
          <cell r="T668" t="str">
            <v>Functioning</v>
          </cell>
          <cell r="U668" t="str">
            <v>Asset</v>
          </cell>
          <cell r="V668">
            <v>125500</v>
          </cell>
          <cell r="W668" t="str">
            <v>KEW</v>
          </cell>
          <cell r="X668" t="str">
            <v>01/09/2010</v>
          </cell>
          <cell r="Y668" t="str">
            <v>KEW</v>
          </cell>
          <cell r="Z668" t="str">
            <v>16/08/2013</v>
          </cell>
          <cell r="AA668" t="str">
            <v>15/08/2015</v>
          </cell>
          <cell r="AB668" t="str">
            <v>No</v>
          </cell>
          <cell r="AC668" t="str">
            <v>31/08/2013</v>
          </cell>
          <cell r="AD668" t="str">
            <v>Good</v>
          </cell>
          <cell r="AE668" t="str">
            <v>V1 - Existing / No Claim</v>
          </cell>
          <cell r="AF668">
            <v>42800</v>
          </cell>
          <cell r="AG668">
            <v>9.17</v>
          </cell>
          <cell r="AH668" t="str">
            <v>PPM</v>
          </cell>
          <cell r="AI668" t="str">
            <v>Strands</v>
          </cell>
          <cell r="AJ668" t="str">
            <v>Strands PW</v>
          </cell>
          <cell r="AK668" t="str">
            <v>[17/7/2024]: Change Department from MDC to LA on July 2024.</v>
          </cell>
        </row>
        <row r="669">
          <cell r="A669" t="str">
            <v>IKN400189</v>
          </cell>
          <cell r="B669">
            <v>189</v>
          </cell>
          <cell r="C669" t="str">
            <v>Institut Kanser Negara</v>
          </cell>
          <cell r="D669" t="str">
            <v>KKM/IKN/H/13/1027</v>
          </cell>
          <cell r="E669" t="str">
            <v>10-447</v>
          </cell>
          <cell r="F669" t="str">
            <v>Warming Units, Blood/Solution</v>
          </cell>
          <cell r="G669" t="str">
            <v>IC</v>
          </cell>
          <cell r="H669" t="str">
            <v>INTENSIVE CARE UNIT</v>
          </cell>
          <cell r="I669" t="str">
            <v>05IC106</v>
          </cell>
          <cell r="J669" t="str">
            <v>EQ. ROOM</v>
          </cell>
          <cell r="K669" t="str">
            <v>BMED</v>
          </cell>
          <cell r="L669" t="str">
            <v>Normal</v>
          </cell>
          <cell r="M669" t="str">
            <v>USA</v>
          </cell>
          <cell r="N669" t="str">
            <v>Hotline</v>
          </cell>
          <cell r="O669" t="str">
            <v>Hotline HL-90</v>
          </cell>
          <cell r="P669" t="str">
            <v>S101B00814</v>
          </cell>
          <cell r="Q669" t="str">
            <v>Not Applicable</v>
          </cell>
          <cell r="R669" t="str">
            <v>Level 1 Technologies Inc</v>
          </cell>
          <cell r="S669" t="str">
            <v>Primed Medical Services Sdn Bhd</v>
          </cell>
          <cell r="T669" t="str">
            <v>Functioning</v>
          </cell>
          <cell r="U669" t="str">
            <v>Asset</v>
          </cell>
          <cell r="V669">
            <v>15395</v>
          </cell>
          <cell r="W669" t="str">
            <v>KEW</v>
          </cell>
          <cell r="X669" t="str">
            <v>01/09/2010</v>
          </cell>
          <cell r="Y669" t="str">
            <v>KEW</v>
          </cell>
          <cell r="Z669" t="str">
            <v>16/08/2013</v>
          </cell>
          <cell r="AA669" t="str">
            <v>15/08/2015</v>
          </cell>
          <cell r="AB669" t="str">
            <v>No</v>
          </cell>
          <cell r="AC669" t="str">
            <v>31/08/2013</v>
          </cell>
          <cell r="AD669" t="str">
            <v>Good</v>
          </cell>
          <cell r="AE669" t="str">
            <v>V1 - Existing / No Claim</v>
          </cell>
          <cell r="AF669">
            <v>42235</v>
          </cell>
          <cell r="AG669">
            <v>9.17</v>
          </cell>
          <cell r="AH669" t="str">
            <v>PPM</v>
          </cell>
          <cell r="AI669" t="str">
            <v>Strands</v>
          </cell>
          <cell r="AJ669" t="str">
            <v>Strands PW</v>
          </cell>
        </row>
        <row r="670">
          <cell r="A670" t="str">
            <v>IKN400190</v>
          </cell>
          <cell r="B670">
            <v>190</v>
          </cell>
          <cell r="C670" t="str">
            <v>Institut Kanser Negara</v>
          </cell>
          <cell r="D670" t="str">
            <v>KKM/IKN/H/13/2209</v>
          </cell>
          <cell r="E670" t="str">
            <v>10-447</v>
          </cell>
          <cell r="F670" t="str">
            <v>Warming Units, Blood/Solution</v>
          </cell>
          <cell r="G670" t="str">
            <v>WJ</v>
          </cell>
          <cell r="H670" t="str">
            <v>MULTIDISCIPLINE WARD 1</v>
          </cell>
          <cell r="I670" t="str">
            <v>09WJ126</v>
          </cell>
          <cell r="J670" t="str">
            <v>EQUIPT. ROOM</v>
          </cell>
          <cell r="K670" t="str">
            <v>BMED</v>
          </cell>
          <cell r="L670" t="str">
            <v>Normal</v>
          </cell>
          <cell r="M670" t="str">
            <v>Japan</v>
          </cell>
          <cell r="N670" t="str">
            <v>Animec</v>
          </cell>
          <cell r="O670" t="str">
            <v>Animec AM-301</v>
          </cell>
          <cell r="P670" t="str">
            <v>2013D0267</v>
          </cell>
          <cell r="Q670" t="str">
            <v>Not Applicable</v>
          </cell>
          <cell r="R670" t="str">
            <v>Elltec Co Ltd</v>
          </cell>
          <cell r="S670" t="str">
            <v>IDS Services (Malaysia) Sdn Bhd</v>
          </cell>
          <cell r="T670" t="str">
            <v>Functioning</v>
          </cell>
          <cell r="U670" t="str">
            <v>Asset</v>
          </cell>
          <cell r="V670">
            <v>4990</v>
          </cell>
          <cell r="W670" t="str">
            <v>KEW</v>
          </cell>
          <cell r="X670" t="str">
            <v>01/09/2010</v>
          </cell>
          <cell r="Y670" t="str">
            <v>KEW</v>
          </cell>
          <cell r="Z670" t="str">
            <v>16/08/2013</v>
          </cell>
          <cell r="AA670" t="str">
            <v>15/08/2015</v>
          </cell>
          <cell r="AB670" t="str">
            <v>No</v>
          </cell>
          <cell r="AC670" t="str">
            <v>31/08/2013</v>
          </cell>
          <cell r="AD670" t="str">
            <v>Good</v>
          </cell>
          <cell r="AE670" t="str">
            <v>V1 - Existing / No Claim</v>
          </cell>
          <cell r="AF670">
            <v>42235</v>
          </cell>
          <cell r="AG670">
            <v>9.17</v>
          </cell>
          <cell r="AH670" t="str">
            <v>PPM</v>
          </cell>
          <cell r="AI670" t="str">
            <v>Strands</v>
          </cell>
          <cell r="AJ670" t="str">
            <v>Strands PW</v>
          </cell>
        </row>
        <row r="671">
          <cell r="A671" t="str">
            <v>IKN400191</v>
          </cell>
          <cell r="B671">
            <v>191</v>
          </cell>
          <cell r="C671" t="str">
            <v>Institut Kanser Negara</v>
          </cell>
          <cell r="D671" t="str">
            <v>KKM/IKN/H/13/2243</v>
          </cell>
          <cell r="E671" t="str">
            <v>10-447</v>
          </cell>
          <cell r="F671" t="str">
            <v>Warming Units, Blood/Solution</v>
          </cell>
          <cell r="G671" t="str">
            <v>WJ</v>
          </cell>
          <cell r="H671" t="str">
            <v>MULTIDISCIPLINE WARD 1</v>
          </cell>
          <cell r="I671" t="str">
            <v>09WJ126</v>
          </cell>
          <cell r="J671" t="str">
            <v>EQUIPT. ROOM</v>
          </cell>
          <cell r="K671" t="str">
            <v>BMED</v>
          </cell>
          <cell r="L671" t="str">
            <v>Normal</v>
          </cell>
          <cell r="M671" t="str">
            <v>Japan</v>
          </cell>
          <cell r="N671" t="str">
            <v>Animec</v>
          </cell>
          <cell r="O671" t="str">
            <v>Animec AM-301</v>
          </cell>
          <cell r="P671" t="str">
            <v>2012D0059</v>
          </cell>
          <cell r="Q671" t="str">
            <v>Not Applicable</v>
          </cell>
          <cell r="R671" t="str">
            <v>Elltec Co Ltd</v>
          </cell>
          <cell r="S671" t="str">
            <v>IDS Services (Malaysia) Sdn Bhd</v>
          </cell>
          <cell r="T671" t="str">
            <v>Functioning</v>
          </cell>
          <cell r="U671" t="str">
            <v>Asset</v>
          </cell>
          <cell r="V671">
            <v>4990</v>
          </cell>
          <cell r="W671" t="str">
            <v>KEW</v>
          </cell>
          <cell r="X671" t="str">
            <v>01/09/2010</v>
          </cell>
          <cell r="Y671" t="str">
            <v>KEW</v>
          </cell>
          <cell r="Z671" t="str">
            <v>16/08/2013</v>
          </cell>
          <cell r="AA671" t="str">
            <v>15/08/2015</v>
          </cell>
          <cell r="AB671" t="str">
            <v>No</v>
          </cell>
          <cell r="AC671" t="str">
            <v>31/08/2013</v>
          </cell>
          <cell r="AD671" t="str">
            <v>Good</v>
          </cell>
          <cell r="AE671" t="str">
            <v>V1 - Existing / No Claim</v>
          </cell>
          <cell r="AF671">
            <v>42789</v>
          </cell>
          <cell r="AG671">
            <v>9.17</v>
          </cell>
          <cell r="AH671" t="str">
            <v>PPM</v>
          </cell>
          <cell r="AI671" t="str">
            <v>Strands</v>
          </cell>
          <cell r="AJ671" t="str">
            <v>Strands PW</v>
          </cell>
        </row>
        <row r="672">
          <cell r="A672" t="str">
            <v>IKN400192</v>
          </cell>
          <cell r="B672">
            <v>192</v>
          </cell>
          <cell r="C672" t="str">
            <v>Institut Kanser Negara</v>
          </cell>
          <cell r="D672" t="str">
            <v>KKM/IKN/H/13/2019</v>
          </cell>
          <cell r="E672" t="str">
            <v>10-447</v>
          </cell>
          <cell r="F672" t="str">
            <v>Warming Units, Blood/Solution</v>
          </cell>
          <cell r="G672" t="str">
            <v>WJ</v>
          </cell>
          <cell r="H672" t="str">
            <v>MULTIDISCIPLINE WARD 1</v>
          </cell>
          <cell r="I672" t="str">
            <v>09WJ126</v>
          </cell>
          <cell r="J672" t="str">
            <v>EQUIPT. ROOM</v>
          </cell>
          <cell r="K672" t="str">
            <v>BMED</v>
          </cell>
          <cell r="L672" t="str">
            <v>Normal</v>
          </cell>
          <cell r="M672" t="str">
            <v>Japan</v>
          </cell>
          <cell r="N672" t="str">
            <v>Animec</v>
          </cell>
          <cell r="O672" t="str">
            <v>Animec AM-301</v>
          </cell>
          <cell r="P672" t="str">
            <v>2013D0268</v>
          </cell>
          <cell r="Q672" t="str">
            <v>Not Applicable</v>
          </cell>
          <cell r="R672" t="str">
            <v>Elltec Co Ltd</v>
          </cell>
          <cell r="S672" t="str">
            <v>IDS Services (Malaysia) Sdn Bhd</v>
          </cell>
          <cell r="T672" t="str">
            <v>Functioning</v>
          </cell>
          <cell r="U672" t="str">
            <v>Asset</v>
          </cell>
          <cell r="V672">
            <v>4990</v>
          </cell>
          <cell r="W672" t="str">
            <v>KEW</v>
          </cell>
          <cell r="X672" t="str">
            <v>01/09/2010</v>
          </cell>
          <cell r="Y672" t="str">
            <v>KEW</v>
          </cell>
          <cell r="Z672" t="str">
            <v>16/08/2013</v>
          </cell>
          <cell r="AA672" t="str">
            <v>15/08/2015</v>
          </cell>
          <cell r="AB672" t="str">
            <v>No</v>
          </cell>
          <cell r="AC672" t="str">
            <v>31/08/2013</v>
          </cell>
          <cell r="AD672" t="str">
            <v>Good</v>
          </cell>
          <cell r="AE672" t="str">
            <v>V1 - Existing / No Claim</v>
          </cell>
          <cell r="AF672">
            <v>42235</v>
          </cell>
          <cell r="AG672">
            <v>9.17</v>
          </cell>
          <cell r="AH672" t="str">
            <v>PPM</v>
          </cell>
          <cell r="AI672" t="str">
            <v>Strands</v>
          </cell>
          <cell r="AJ672" t="str">
            <v>Strands PW</v>
          </cell>
        </row>
        <row r="673">
          <cell r="A673" t="str">
            <v>IKN400193</v>
          </cell>
          <cell r="B673">
            <v>193</v>
          </cell>
          <cell r="C673" t="str">
            <v>Institut Kanser Negara</v>
          </cell>
          <cell r="D673" t="str">
            <v>KKM/IKN/H/13/2245</v>
          </cell>
          <cell r="E673" t="str">
            <v>12-282</v>
          </cell>
          <cell r="F673" t="str">
            <v>Lights, Surgical</v>
          </cell>
          <cell r="G673" t="str">
            <v>WJ</v>
          </cell>
          <cell r="H673" t="str">
            <v>MULTIDISCIPLINE WARD 1</v>
          </cell>
          <cell r="I673" t="str">
            <v>09WJ126</v>
          </cell>
          <cell r="J673" t="str">
            <v>EQUIPT. ROOM</v>
          </cell>
          <cell r="K673" t="str">
            <v>BMED</v>
          </cell>
          <cell r="L673" t="str">
            <v>Critical</v>
          </cell>
          <cell r="M673" t="str">
            <v>USA</v>
          </cell>
          <cell r="N673" t="str">
            <v>Welch Allyn</v>
          </cell>
          <cell r="O673" t="str">
            <v>Welch Allyn GS600</v>
          </cell>
          <cell r="P673" t="str">
            <v>GS-600-42</v>
          </cell>
          <cell r="Q673" t="str">
            <v>Not Applicable</v>
          </cell>
          <cell r="R673" t="str">
            <v>Welch Allyn Inc</v>
          </cell>
          <cell r="S673" t="str">
            <v>Welch Allyn Malaysia Sdn Bhd</v>
          </cell>
          <cell r="T673" t="str">
            <v>Functioning</v>
          </cell>
          <cell r="U673" t="str">
            <v>Asset</v>
          </cell>
          <cell r="V673">
            <v>5050</v>
          </cell>
          <cell r="W673" t="str">
            <v>KEW</v>
          </cell>
          <cell r="X673" t="str">
            <v>01/09/2010</v>
          </cell>
          <cell r="Y673" t="str">
            <v>KEW</v>
          </cell>
          <cell r="Z673" t="str">
            <v>16/08/2013</v>
          </cell>
          <cell r="AA673" t="str">
            <v>15/08/2015</v>
          </cell>
          <cell r="AB673" t="str">
            <v>No</v>
          </cell>
          <cell r="AC673" t="str">
            <v>31/08/2013</v>
          </cell>
          <cell r="AD673" t="str">
            <v>Good</v>
          </cell>
          <cell r="AE673" t="str">
            <v>V1 - Existing / No Claim</v>
          </cell>
          <cell r="AF673">
            <v>42789</v>
          </cell>
          <cell r="AG673">
            <v>9.17</v>
          </cell>
          <cell r="AH673" t="str">
            <v>PPM</v>
          </cell>
          <cell r="AI673" t="str">
            <v>Strands</v>
          </cell>
          <cell r="AJ673" t="str">
            <v>Strands PW</v>
          </cell>
        </row>
        <row r="674">
          <cell r="A674" t="str">
            <v>IKN400194</v>
          </cell>
          <cell r="B674">
            <v>194</v>
          </cell>
          <cell r="C674" t="str">
            <v>Institut Kanser Negara</v>
          </cell>
          <cell r="D674" t="str">
            <v>KKM/IKN/H/13/2246</v>
          </cell>
          <cell r="E674" t="str">
            <v>12-282</v>
          </cell>
          <cell r="F674" t="str">
            <v>Lights, Surgical</v>
          </cell>
          <cell r="G674" t="str">
            <v>WJ</v>
          </cell>
          <cell r="H674" t="str">
            <v>MULTIDISCIPLINE WARD 1</v>
          </cell>
          <cell r="I674" t="str">
            <v>09WJ222</v>
          </cell>
          <cell r="J674" t="str">
            <v>TREATMENT</v>
          </cell>
          <cell r="K674" t="str">
            <v>BMED</v>
          </cell>
          <cell r="L674" t="str">
            <v>Critical</v>
          </cell>
          <cell r="M674" t="str">
            <v>USA</v>
          </cell>
          <cell r="N674" t="str">
            <v>Welch Allyn</v>
          </cell>
          <cell r="O674" t="str">
            <v>Welch Allyn GS600</v>
          </cell>
          <cell r="P674" t="str">
            <v>GS-600-45</v>
          </cell>
          <cell r="Q674" t="str">
            <v>Not Applicable</v>
          </cell>
          <cell r="R674" t="str">
            <v>Welch Allyn Inc</v>
          </cell>
          <cell r="S674" t="str">
            <v>Welch Allyn Malaysia Sdn Bhd</v>
          </cell>
          <cell r="T674" t="str">
            <v>Functioning</v>
          </cell>
          <cell r="U674" t="str">
            <v>Asset</v>
          </cell>
          <cell r="V674">
            <v>5050</v>
          </cell>
          <cell r="W674" t="str">
            <v>KEW</v>
          </cell>
          <cell r="X674" t="str">
            <v>01/09/2010</v>
          </cell>
          <cell r="Y674" t="str">
            <v>KEW</v>
          </cell>
          <cell r="Z674" t="str">
            <v>16/08/2013</v>
          </cell>
          <cell r="AA674" t="str">
            <v>15/08/2015</v>
          </cell>
          <cell r="AB674" t="str">
            <v>No</v>
          </cell>
          <cell r="AC674" t="str">
            <v>31/08/2013</v>
          </cell>
          <cell r="AD674" t="str">
            <v>Good</v>
          </cell>
          <cell r="AE674" t="str">
            <v>V1 - Existing / No Claim</v>
          </cell>
          <cell r="AF674">
            <v>43063</v>
          </cell>
          <cell r="AG674">
            <v>9.17</v>
          </cell>
          <cell r="AH674" t="str">
            <v>PPM</v>
          </cell>
          <cell r="AI674" t="str">
            <v>Strands</v>
          </cell>
          <cell r="AJ674" t="str">
            <v>Strands PW</v>
          </cell>
        </row>
        <row r="675">
          <cell r="A675" t="str">
            <v>IKN400195</v>
          </cell>
          <cell r="B675">
            <v>195</v>
          </cell>
          <cell r="C675" t="str">
            <v>Institut Kanser Negara</v>
          </cell>
          <cell r="D675" t="str">
            <v>KKM/IKN/H/13/2242</v>
          </cell>
          <cell r="E675" t="str">
            <v>15-045</v>
          </cell>
          <cell r="F675" t="str">
            <v>Nebulizers, Nonheated</v>
          </cell>
          <cell r="G675" t="str">
            <v>WJ</v>
          </cell>
          <cell r="H675" t="str">
            <v>MULTIDISCIPLINE WARD 1</v>
          </cell>
          <cell r="I675" t="str">
            <v>09WJ126</v>
          </cell>
          <cell r="J675" t="str">
            <v>EQUIPT. ROOM</v>
          </cell>
          <cell r="K675" t="str">
            <v>BMED</v>
          </cell>
          <cell r="L675" t="str">
            <v>Normal</v>
          </cell>
          <cell r="M675" t="str">
            <v>Germany</v>
          </cell>
          <cell r="N675" t="str">
            <v>Pari Boy</v>
          </cell>
          <cell r="O675" t="str">
            <v>Pari Boy SX 085</v>
          </cell>
          <cell r="P675" t="str">
            <v>2W12F13794</v>
          </cell>
          <cell r="Q675" t="str">
            <v>Not Applicable</v>
          </cell>
          <cell r="R675" t="str">
            <v>Pari GmbH</v>
          </cell>
          <cell r="S675" t="str">
            <v>Welch Allyn Malaysia Sdn Bhd</v>
          </cell>
          <cell r="T675" t="str">
            <v>Functioning</v>
          </cell>
          <cell r="U675" t="str">
            <v>Asset</v>
          </cell>
          <cell r="V675">
            <v>1140</v>
          </cell>
          <cell r="W675" t="str">
            <v>KEW</v>
          </cell>
          <cell r="X675" t="str">
            <v>01/09/2010</v>
          </cell>
          <cell r="Y675" t="str">
            <v>KEW</v>
          </cell>
          <cell r="Z675" t="str">
            <v>16/08/2013</v>
          </cell>
          <cell r="AA675" t="str">
            <v>15/08/2015</v>
          </cell>
          <cell r="AB675" t="str">
            <v>No</v>
          </cell>
          <cell r="AC675" t="str">
            <v>31/08/2013</v>
          </cell>
          <cell r="AD675" t="str">
            <v>Good</v>
          </cell>
          <cell r="AE675" t="str">
            <v>V1 - Existing / No Claim</v>
          </cell>
          <cell r="AF675">
            <v>42789</v>
          </cell>
          <cell r="AG675">
            <v>9.17</v>
          </cell>
          <cell r="AH675" t="str">
            <v>PPM</v>
          </cell>
          <cell r="AI675" t="str">
            <v>Strands</v>
          </cell>
          <cell r="AJ675" t="str">
            <v>Strands PW</v>
          </cell>
        </row>
        <row r="676">
          <cell r="A676" t="str">
            <v>IKN400196</v>
          </cell>
          <cell r="B676">
            <v>196</v>
          </cell>
          <cell r="C676" t="str">
            <v>Institut Kanser Negara</v>
          </cell>
          <cell r="D676" t="str">
            <v>KKM/IKN/H/13/1770</v>
          </cell>
          <cell r="E676" t="str">
            <v>15-045</v>
          </cell>
          <cell r="F676" t="str">
            <v>Nebulizers, Nonheated</v>
          </cell>
          <cell r="G676" t="str">
            <v>WJ</v>
          </cell>
          <cell r="H676" t="str">
            <v>MULTIDISCIPLINE WARD 1</v>
          </cell>
          <cell r="I676" t="str">
            <v>09WJ126</v>
          </cell>
          <cell r="J676" t="str">
            <v>EQUIPT. ROOM</v>
          </cell>
          <cell r="K676" t="str">
            <v>BMED</v>
          </cell>
          <cell r="L676" t="str">
            <v>Normal</v>
          </cell>
          <cell r="M676" t="str">
            <v>Germany</v>
          </cell>
          <cell r="N676" t="str">
            <v>Pari Boy</v>
          </cell>
          <cell r="O676" t="str">
            <v>Pari Boy SX 085</v>
          </cell>
          <cell r="P676" t="str">
            <v>2W12F13854</v>
          </cell>
          <cell r="Q676" t="str">
            <v>Not Applicable</v>
          </cell>
          <cell r="R676" t="str">
            <v>Pari GmbH</v>
          </cell>
          <cell r="S676" t="str">
            <v>Welch Allyn Malaysia Sdn Bhd</v>
          </cell>
          <cell r="T676" t="str">
            <v>Functioning</v>
          </cell>
          <cell r="U676" t="str">
            <v>Asset</v>
          </cell>
          <cell r="V676">
            <v>1140</v>
          </cell>
          <cell r="W676" t="str">
            <v>KEW</v>
          </cell>
          <cell r="X676" t="str">
            <v>01/09/2010</v>
          </cell>
          <cell r="Y676" t="str">
            <v>KEW</v>
          </cell>
          <cell r="Z676" t="str">
            <v>16/08/2013</v>
          </cell>
          <cell r="AA676" t="str">
            <v>15/08/2015</v>
          </cell>
          <cell r="AB676" t="str">
            <v>No</v>
          </cell>
          <cell r="AC676" t="str">
            <v>31/08/2013</v>
          </cell>
          <cell r="AD676" t="str">
            <v>Good</v>
          </cell>
          <cell r="AE676" t="str">
            <v>V1 - Existing / No Claim</v>
          </cell>
          <cell r="AF676">
            <v>42235</v>
          </cell>
          <cell r="AG676">
            <v>9.17</v>
          </cell>
          <cell r="AH676" t="str">
            <v>PPM</v>
          </cell>
          <cell r="AI676" t="str">
            <v>Strands</v>
          </cell>
          <cell r="AJ676" t="str">
            <v>Strands PW</v>
          </cell>
        </row>
        <row r="677">
          <cell r="A677" t="str">
            <v>IKN400197</v>
          </cell>
          <cell r="B677">
            <v>197</v>
          </cell>
          <cell r="C677" t="str">
            <v>Institut Kanser Negara</v>
          </cell>
          <cell r="D677" t="str">
            <v>KKM/IKN/H/13/2241</v>
          </cell>
          <cell r="E677" t="str">
            <v>15-045</v>
          </cell>
          <cell r="F677" t="str">
            <v>Nebulizers, Nonheated</v>
          </cell>
          <cell r="G677" t="str">
            <v>WJ</v>
          </cell>
          <cell r="H677" t="str">
            <v>MULTIDISCIPLINE WARD 1</v>
          </cell>
          <cell r="I677" t="str">
            <v>09WJ126</v>
          </cell>
          <cell r="J677" t="str">
            <v>EQUIPT. ROOM</v>
          </cell>
          <cell r="K677" t="str">
            <v>BMED</v>
          </cell>
          <cell r="L677" t="str">
            <v>Normal</v>
          </cell>
          <cell r="M677" t="str">
            <v>Germany</v>
          </cell>
          <cell r="N677" t="str">
            <v>Pari Boy</v>
          </cell>
          <cell r="O677" t="str">
            <v>Pari Boy SX 085</v>
          </cell>
          <cell r="P677" t="str">
            <v>2W12F13833</v>
          </cell>
          <cell r="Q677" t="str">
            <v>Not Applicable</v>
          </cell>
          <cell r="R677" t="str">
            <v>Pari GmbH</v>
          </cell>
          <cell r="S677" t="str">
            <v>Welch Allyn Malaysia Sdn Bhd</v>
          </cell>
          <cell r="T677" t="str">
            <v>Functioning</v>
          </cell>
          <cell r="U677" t="str">
            <v>Asset</v>
          </cell>
          <cell r="V677">
            <v>1140</v>
          </cell>
          <cell r="W677" t="str">
            <v>KEW</v>
          </cell>
          <cell r="X677" t="str">
            <v>01/09/2010</v>
          </cell>
          <cell r="Y677" t="str">
            <v>KEW</v>
          </cell>
          <cell r="Z677" t="str">
            <v>16/08/2013</v>
          </cell>
          <cell r="AA677" t="str">
            <v>15/08/2015</v>
          </cell>
          <cell r="AB677" t="str">
            <v>No</v>
          </cell>
          <cell r="AC677" t="str">
            <v>31/08/2013</v>
          </cell>
          <cell r="AD677" t="str">
            <v>Good</v>
          </cell>
          <cell r="AE677" t="str">
            <v>V1 - Existing / No Claim</v>
          </cell>
          <cell r="AF677">
            <v>42789</v>
          </cell>
          <cell r="AG677">
            <v>9.17</v>
          </cell>
          <cell r="AH677" t="str">
            <v>PPM</v>
          </cell>
          <cell r="AI677" t="str">
            <v>Strands</v>
          </cell>
          <cell r="AJ677" t="str">
            <v>Strands PW</v>
          </cell>
        </row>
        <row r="678">
          <cell r="A678" t="str">
            <v>IKN400198</v>
          </cell>
          <cell r="B678">
            <v>198</v>
          </cell>
          <cell r="C678" t="str">
            <v>Institut Kanser Negara</v>
          </cell>
          <cell r="D678" t="str">
            <v>KKM/IKN/H/13/1768</v>
          </cell>
          <cell r="E678" t="str">
            <v>18-147</v>
          </cell>
          <cell r="F678" t="str">
            <v>Mattress Systems, Alternating-Pressure</v>
          </cell>
          <cell r="G678" t="str">
            <v>WJ</v>
          </cell>
          <cell r="H678" t="str">
            <v>MULTIDISCIPLINE WARD 1</v>
          </cell>
          <cell r="I678" t="str">
            <v>09WJ126</v>
          </cell>
          <cell r="J678" t="str">
            <v>EQUIPT. ROOM</v>
          </cell>
          <cell r="K678" t="str">
            <v>BMED</v>
          </cell>
          <cell r="L678" t="str">
            <v>Normal</v>
          </cell>
          <cell r="M678" t="str">
            <v>Poland</v>
          </cell>
          <cell r="N678" t="str">
            <v>Nimbus</v>
          </cell>
          <cell r="O678" t="str">
            <v>Nimbus 3</v>
          </cell>
          <cell r="P678" t="str">
            <v>1200035189</v>
          </cell>
          <cell r="Q678" t="str">
            <v>Not Applicable</v>
          </cell>
          <cell r="R678" t="str">
            <v>Arjohuntleigh</v>
          </cell>
          <cell r="S678" t="str">
            <v>Hexamine Sdn. Bhd.</v>
          </cell>
          <cell r="T678" t="str">
            <v>Functioning</v>
          </cell>
          <cell r="U678" t="str">
            <v>Asset</v>
          </cell>
          <cell r="V678">
            <v>28630</v>
          </cell>
          <cell r="W678" t="str">
            <v>KEW</v>
          </cell>
          <cell r="X678" t="str">
            <v>01/09/2010</v>
          </cell>
          <cell r="Y678" t="str">
            <v>KEW</v>
          </cell>
          <cell r="Z678" t="str">
            <v>16/08/2013</v>
          </cell>
          <cell r="AA678" t="str">
            <v>15/08/2015</v>
          </cell>
          <cell r="AB678" t="str">
            <v>No</v>
          </cell>
          <cell r="AC678" t="str">
            <v>31/08/2013</v>
          </cell>
          <cell r="AD678" t="str">
            <v>Good</v>
          </cell>
          <cell r="AE678" t="str">
            <v>V1 - Existing / No Claim</v>
          </cell>
          <cell r="AF678">
            <v>42789</v>
          </cell>
          <cell r="AG678">
            <v>9.17</v>
          </cell>
          <cell r="AH678" t="str">
            <v>PPM</v>
          </cell>
          <cell r="AI678" t="str">
            <v>Strands</v>
          </cell>
          <cell r="AJ678" t="str">
            <v>Strands PW</v>
          </cell>
        </row>
        <row r="679">
          <cell r="A679" t="str">
            <v>IKN400199</v>
          </cell>
          <cell r="B679">
            <v>199</v>
          </cell>
          <cell r="C679" t="str">
            <v>Institut Kanser Negara</v>
          </cell>
          <cell r="D679" t="str">
            <v>KKM/IKN/H/13/1769</v>
          </cell>
          <cell r="E679" t="str">
            <v>18-147</v>
          </cell>
          <cell r="F679" t="str">
            <v>Mattress Systems, Alternating-Pressure</v>
          </cell>
          <cell r="G679" t="str">
            <v>WJ</v>
          </cell>
          <cell r="H679" t="str">
            <v>MULTIDISCIPLINE WARD 1</v>
          </cell>
          <cell r="I679" t="str">
            <v>09WJ126</v>
          </cell>
          <cell r="J679" t="str">
            <v>EQUIPT. ROOM</v>
          </cell>
          <cell r="K679" t="str">
            <v>BMED</v>
          </cell>
          <cell r="L679" t="str">
            <v>Normal</v>
          </cell>
          <cell r="M679" t="str">
            <v>Poland</v>
          </cell>
          <cell r="N679" t="str">
            <v>Nimbus</v>
          </cell>
          <cell r="O679" t="str">
            <v>Nimbus 3</v>
          </cell>
          <cell r="P679" t="str">
            <v>1200005126</v>
          </cell>
          <cell r="Q679" t="str">
            <v>Not Applicable</v>
          </cell>
          <cell r="R679" t="str">
            <v>Arjohuntleigh</v>
          </cell>
          <cell r="S679" t="str">
            <v>Hexamine Sdn. Bhd.</v>
          </cell>
          <cell r="T679" t="str">
            <v>Functioning</v>
          </cell>
          <cell r="U679" t="str">
            <v>Asset</v>
          </cell>
          <cell r="V679">
            <v>28630</v>
          </cell>
          <cell r="W679" t="str">
            <v>KEW</v>
          </cell>
          <cell r="X679" t="str">
            <v>01/09/2010</v>
          </cell>
          <cell r="Y679" t="str">
            <v>KEW</v>
          </cell>
          <cell r="Z679" t="str">
            <v>16/08/2013</v>
          </cell>
          <cell r="AA679" t="str">
            <v>15/08/2015</v>
          </cell>
          <cell r="AB679" t="str">
            <v>No</v>
          </cell>
          <cell r="AC679" t="str">
            <v>31/08/2013</v>
          </cell>
          <cell r="AD679" t="str">
            <v>Good</v>
          </cell>
          <cell r="AE679" t="str">
            <v>V1 - Existing / No Claim</v>
          </cell>
          <cell r="AF679">
            <v>42789</v>
          </cell>
          <cell r="AG679">
            <v>9.17</v>
          </cell>
          <cell r="AH679" t="str">
            <v>PPM</v>
          </cell>
          <cell r="AI679" t="str">
            <v>Strands</v>
          </cell>
          <cell r="AJ679" t="str">
            <v>Strands PW</v>
          </cell>
        </row>
        <row r="680">
          <cell r="A680" t="str">
            <v>IKN400200</v>
          </cell>
          <cell r="B680">
            <v>200</v>
          </cell>
          <cell r="C680" t="str">
            <v>Institut Kanser Negara</v>
          </cell>
          <cell r="D680" t="str">
            <v>KKM/IKN/H/13/5375</v>
          </cell>
          <cell r="E680" t="str">
            <v>18-147</v>
          </cell>
          <cell r="F680" t="str">
            <v>Mattress Systems, Alternating-Pressure</v>
          </cell>
          <cell r="G680" t="str">
            <v>WJ</v>
          </cell>
          <cell r="H680" t="str">
            <v>MULTIDISCIPLINE WARD 1</v>
          </cell>
          <cell r="I680" t="str">
            <v>09WJ126</v>
          </cell>
          <cell r="J680" t="str">
            <v>EQUIPT. ROOM</v>
          </cell>
          <cell r="K680" t="str">
            <v>BMED</v>
          </cell>
          <cell r="L680" t="str">
            <v>Normal</v>
          </cell>
          <cell r="M680" t="str">
            <v>Poland</v>
          </cell>
          <cell r="N680" t="str">
            <v>Nimbus</v>
          </cell>
          <cell r="O680" t="str">
            <v>Nimbus 3</v>
          </cell>
          <cell r="P680" t="str">
            <v>1200006451</v>
          </cell>
          <cell r="Q680" t="str">
            <v>Not Applicable</v>
          </cell>
          <cell r="R680" t="str">
            <v>Arjohuntleigh</v>
          </cell>
          <cell r="S680" t="str">
            <v>Hexamine Sdn. Bhd.</v>
          </cell>
          <cell r="T680" t="str">
            <v>Functioning</v>
          </cell>
          <cell r="U680" t="str">
            <v>Asset</v>
          </cell>
          <cell r="V680">
            <v>28630</v>
          </cell>
          <cell r="W680" t="str">
            <v>KEW</v>
          </cell>
          <cell r="X680" t="str">
            <v>01/09/2010</v>
          </cell>
          <cell r="Y680" t="str">
            <v>KEW</v>
          </cell>
          <cell r="Z680" t="str">
            <v>16/08/2013</v>
          </cell>
          <cell r="AA680" t="str">
            <v>15/08/2015</v>
          </cell>
          <cell r="AB680" t="str">
            <v>No</v>
          </cell>
          <cell r="AC680" t="str">
            <v>31/08/2013</v>
          </cell>
          <cell r="AD680" t="str">
            <v>Good</v>
          </cell>
          <cell r="AE680" t="str">
            <v>V1 - Existing / No Claim</v>
          </cell>
          <cell r="AF680">
            <v>42789</v>
          </cell>
          <cell r="AG680">
            <v>9.17</v>
          </cell>
          <cell r="AH680" t="str">
            <v>PPM</v>
          </cell>
          <cell r="AI680" t="str">
            <v>Strands</v>
          </cell>
          <cell r="AJ680" t="str">
            <v>Strands PW</v>
          </cell>
        </row>
        <row r="681">
          <cell r="A681" t="str">
            <v>IKN400201</v>
          </cell>
          <cell r="B681">
            <v>201</v>
          </cell>
          <cell r="C681" t="str">
            <v>Institut Kanser Negara</v>
          </cell>
          <cell r="D681" t="str">
            <v>KKM/IKN/H/13/1767</v>
          </cell>
          <cell r="E681" t="str">
            <v>18-147</v>
          </cell>
          <cell r="F681" t="str">
            <v>Mattress Systems, Alternating-Pressure</v>
          </cell>
          <cell r="G681" t="str">
            <v>WJ</v>
          </cell>
          <cell r="H681" t="str">
            <v>MULTIDISCIPLINE WARD 1</v>
          </cell>
          <cell r="I681" t="str">
            <v>09WJ126</v>
          </cell>
          <cell r="J681" t="str">
            <v>EQUIPT. ROOM</v>
          </cell>
          <cell r="K681" t="str">
            <v>BMED</v>
          </cell>
          <cell r="L681" t="str">
            <v>Normal</v>
          </cell>
          <cell r="M681" t="str">
            <v>Poland</v>
          </cell>
          <cell r="N681" t="str">
            <v>Nimbus</v>
          </cell>
          <cell r="O681" t="str">
            <v>Nimbus 3</v>
          </cell>
          <cell r="P681" t="str">
            <v>1200005120</v>
          </cell>
          <cell r="Q681" t="str">
            <v>Not Applicable</v>
          </cell>
          <cell r="R681" t="str">
            <v>Arjohuntleigh</v>
          </cell>
          <cell r="S681" t="str">
            <v>Hexamine Sdn. Bhd.</v>
          </cell>
          <cell r="T681" t="str">
            <v>Functioning</v>
          </cell>
          <cell r="U681" t="str">
            <v>Asset</v>
          </cell>
          <cell r="V681">
            <v>28630</v>
          </cell>
          <cell r="W681" t="str">
            <v>KEW</v>
          </cell>
          <cell r="X681" t="str">
            <v>01/09/2010</v>
          </cell>
          <cell r="Y681" t="str">
            <v>KEW</v>
          </cell>
          <cell r="Z681" t="str">
            <v>16/08/2013</v>
          </cell>
          <cell r="AA681" t="str">
            <v>15/08/2015</v>
          </cell>
          <cell r="AB681" t="str">
            <v>No</v>
          </cell>
          <cell r="AC681" t="str">
            <v>31/08/2013</v>
          </cell>
          <cell r="AD681" t="str">
            <v>Good</v>
          </cell>
          <cell r="AE681" t="str">
            <v>V1 - Existing / No Claim</v>
          </cell>
          <cell r="AF681">
            <v>42789</v>
          </cell>
          <cell r="AG681">
            <v>9.17</v>
          </cell>
          <cell r="AH681" t="str">
            <v>PPM</v>
          </cell>
          <cell r="AI681" t="str">
            <v>Strands</v>
          </cell>
          <cell r="AJ681" t="str">
            <v>Strands PW</v>
          </cell>
        </row>
        <row r="682">
          <cell r="A682" t="str">
            <v>IKN400202</v>
          </cell>
          <cell r="B682">
            <v>202</v>
          </cell>
          <cell r="C682" t="str">
            <v>Institut Kanser Negara</v>
          </cell>
          <cell r="D682" t="str">
            <v>KKM/IKN/H/13/1765</v>
          </cell>
          <cell r="E682" t="str">
            <v>18-147</v>
          </cell>
          <cell r="F682" t="str">
            <v>Mattress Systems, Alternating-Pressure</v>
          </cell>
          <cell r="G682" t="str">
            <v>WJ</v>
          </cell>
          <cell r="H682" t="str">
            <v>MULTIDISCIPLINE WARD 1</v>
          </cell>
          <cell r="I682" t="str">
            <v>09WJ126</v>
          </cell>
          <cell r="J682" t="str">
            <v>EQUIPT. ROOM</v>
          </cell>
          <cell r="K682" t="str">
            <v>BMED</v>
          </cell>
          <cell r="L682" t="str">
            <v>Normal</v>
          </cell>
          <cell r="M682" t="str">
            <v>Poland</v>
          </cell>
          <cell r="N682" t="str">
            <v>Nimbus</v>
          </cell>
          <cell r="O682" t="str">
            <v>Nimbus 3</v>
          </cell>
          <cell r="P682" t="str">
            <v>1200006452</v>
          </cell>
          <cell r="Q682" t="str">
            <v>Not Applicable</v>
          </cell>
          <cell r="R682" t="str">
            <v>Arjohuntleigh</v>
          </cell>
          <cell r="S682" t="str">
            <v>Hexamine Sdn. Bhd.</v>
          </cell>
          <cell r="T682" t="str">
            <v>Functioning</v>
          </cell>
          <cell r="U682" t="str">
            <v>Asset</v>
          </cell>
          <cell r="V682">
            <v>28630</v>
          </cell>
          <cell r="W682" t="str">
            <v>KEW</v>
          </cell>
          <cell r="X682" t="str">
            <v>01/09/2010</v>
          </cell>
          <cell r="Y682" t="str">
            <v>KEW</v>
          </cell>
          <cell r="Z682" t="str">
            <v>16/08/2013</v>
          </cell>
          <cell r="AA682" t="str">
            <v>15/08/2015</v>
          </cell>
          <cell r="AB682" t="str">
            <v>No</v>
          </cell>
          <cell r="AC682" t="str">
            <v>31/08/2013</v>
          </cell>
          <cell r="AD682" t="str">
            <v>Good</v>
          </cell>
          <cell r="AE682" t="str">
            <v>V1 - Existing / No Claim</v>
          </cell>
          <cell r="AF682">
            <v>42789</v>
          </cell>
          <cell r="AG682">
            <v>9.17</v>
          </cell>
          <cell r="AH682" t="str">
            <v>PPM</v>
          </cell>
          <cell r="AI682" t="str">
            <v>Strands</v>
          </cell>
          <cell r="AJ682" t="str">
            <v>Strands PW</v>
          </cell>
        </row>
        <row r="683">
          <cell r="A683" t="str">
            <v>IKN400203</v>
          </cell>
          <cell r="B683">
            <v>203</v>
          </cell>
          <cell r="C683" t="str">
            <v>Institut Kanser Negara</v>
          </cell>
          <cell r="D683" t="str">
            <v>KKM/IKN/H/13/1764</v>
          </cell>
          <cell r="E683" t="str">
            <v>18-147</v>
          </cell>
          <cell r="F683" t="str">
            <v>Mattress Systems, Alternating-Pressure</v>
          </cell>
          <cell r="G683" t="str">
            <v>WJ</v>
          </cell>
          <cell r="H683" t="str">
            <v>MULTIDISCIPLINE WARD 1</v>
          </cell>
          <cell r="I683" t="str">
            <v>09WJ126</v>
          </cell>
          <cell r="J683" t="str">
            <v>EQUIPT. ROOM</v>
          </cell>
          <cell r="K683" t="str">
            <v>BMED</v>
          </cell>
          <cell r="L683" t="str">
            <v>Normal</v>
          </cell>
          <cell r="M683" t="str">
            <v>Poland</v>
          </cell>
          <cell r="N683" t="str">
            <v>Nimbus</v>
          </cell>
          <cell r="O683" t="str">
            <v>Nimbus 3</v>
          </cell>
          <cell r="P683" t="str">
            <v>1200006465</v>
          </cell>
          <cell r="Q683" t="str">
            <v>Not Applicable</v>
          </cell>
          <cell r="R683" t="str">
            <v>Arjohuntleigh</v>
          </cell>
          <cell r="S683" t="str">
            <v>Hexamine Sdn. Bhd.</v>
          </cell>
          <cell r="T683" t="str">
            <v>Functioning</v>
          </cell>
          <cell r="U683" t="str">
            <v>Asset</v>
          </cell>
          <cell r="V683">
            <v>28630</v>
          </cell>
          <cell r="W683" t="str">
            <v>KEW</v>
          </cell>
          <cell r="X683" t="str">
            <v>01/09/2010</v>
          </cell>
          <cell r="Y683" t="str">
            <v>KEW</v>
          </cell>
          <cell r="Z683" t="str">
            <v>16/08/2013</v>
          </cell>
          <cell r="AA683" t="str">
            <v>15/08/2015</v>
          </cell>
          <cell r="AB683" t="str">
            <v>No</v>
          </cell>
          <cell r="AC683" t="str">
            <v>31/08/2013</v>
          </cell>
          <cell r="AD683" t="str">
            <v>Good</v>
          </cell>
          <cell r="AE683" t="str">
            <v>V1 - Existing / No Claim</v>
          </cell>
          <cell r="AF683">
            <v>42789</v>
          </cell>
          <cell r="AG683">
            <v>9.17</v>
          </cell>
          <cell r="AH683" t="str">
            <v>PPM</v>
          </cell>
          <cell r="AI683" t="str">
            <v>Strands</v>
          </cell>
          <cell r="AJ683" t="str">
            <v>Strands PW</v>
          </cell>
        </row>
        <row r="684">
          <cell r="A684" t="str">
            <v>IKN400204</v>
          </cell>
          <cell r="B684">
            <v>204</v>
          </cell>
          <cell r="C684" t="str">
            <v>Institut Kanser Negara</v>
          </cell>
          <cell r="D684" t="str">
            <v>KKM/IKN/H/13/2752</v>
          </cell>
          <cell r="E684" t="str">
            <v>10-208</v>
          </cell>
          <cell r="F684" t="str">
            <v>Aspirators</v>
          </cell>
          <cell r="G684" t="str">
            <v>WJ</v>
          </cell>
          <cell r="H684" t="str">
            <v>MULTIDISCIPLINE WARD 1</v>
          </cell>
          <cell r="I684" t="str">
            <v>09WJ126</v>
          </cell>
          <cell r="J684" t="str">
            <v>EQUIPT. ROOM</v>
          </cell>
          <cell r="K684" t="str">
            <v>BMED</v>
          </cell>
          <cell r="L684" t="str">
            <v>Critical</v>
          </cell>
          <cell r="M684" t="str">
            <v>UK</v>
          </cell>
          <cell r="N684" t="str">
            <v>SAM</v>
          </cell>
          <cell r="O684" t="str">
            <v>SAM 427</v>
          </cell>
          <cell r="P684" t="str">
            <v>0313-0535</v>
          </cell>
          <cell r="Q684" t="str">
            <v>Not Applicable</v>
          </cell>
          <cell r="R684" t="str">
            <v>MG Electric Ltd</v>
          </cell>
          <cell r="S684" t="str">
            <v>Delta Medisains</v>
          </cell>
          <cell r="T684" t="str">
            <v>Functioning</v>
          </cell>
          <cell r="U684" t="str">
            <v>Asset</v>
          </cell>
          <cell r="V684">
            <v>10705</v>
          </cell>
          <cell r="W684" t="str">
            <v>KEW</v>
          </cell>
          <cell r="X684" t="str">
            <v>01/09/2010</v>
          </cell>
          <cell r="Y684" t="str">
            <v>KEW</v>
          </cell>
          <cell r="Z684" t="str">
            <v>16/08/2013</v>
          </cell>
          <cell r="AA684" t="str">
            <v>15/08/2015</v>
          </cell>
          <cell r="AB684" t="str">
            <v>No</v>
          </cell>
          <cell r="AC684" t="str">
            <v>31/08/2013</v>
          </cell>
          <cell r="AD684" t="str">
            <v>Good</v>
          </cell>
          <cell r="AE684" t="str">
            <v>V1 - Existing / No Claim</v>
          </cell>
          <cell r="AF684">
            <v>42789</v>
          </cell>
          <cell r="AG684">
            <v>9.17</v>
          </cell>
          <cell r="AH684" t="str">
            <v>PPM</v>
          </cell>
          <cell r="AI684" t="str">
            <v>Strands</v>
          </cell>
          <cell r="AJ684" t="str">
            <v>Strands PW</v>
          </cell>
        </row>
        <row r="685">
          <cell r="A685" t="str">
            <v>IKN400205</v>
          </cell>
          <cell r="B685">
            <v>205</v>
          </cell>
          <cell r="C685" t="str">
            <v>Institut Kanser Negara</v>
          </cell>
          <cell r="D685" t="str">
            <v>KKM/IKN/H/13/1827</v>
          </cell>
          <cell r="E685" t="str">
            <v>12-647</v>
          </cell>
          <cell r="F685" t="str">
            <v>Physiologic Monitoring Systems, Acute Care</v>
          </cell>
          <cell r="G685" t="str">
            <v>WJ</v>
          </cell>
          <cell r="H685" t="str">
            <v>MULTIDISCIPLINE WARD 1</v>
          </cell>
          <cell r="I685" t="str">
            <v>09WJ126</v>
          </cell>
          <cell r="J685" t="str">
            <v>EQUIPT. ROOM</v>
          </cell>
          <cell r="K685" t="str">
            <v>BMED</v>
          </cell>
          <cell r="L685" t="str">
            <v>Critical</v>
          </cell>
          <cell r="M685" t="str">
            <v>USA</v>
          </cell>
          <cell r="N685" t="str">
            <v>GE</v>
          </cell>
          <cell r="O685" t="str">
            <v>GE B30</v>
          </cell>
          <cell r="P685" t="str">
            <v>SF312325895WA</v>
          </cell>
          <cell r="Q685" t="str">
            <v>Not Applicable</v>
          </cell>
          <cell r="R685" t="str">
            <v>GE Healthcare Systems</v>
          </cell>
          <cell r="S685" t="str">
            <v>GE Healthcare Technologies</v>
          </cell>
          <cell r="T685" t="str">
            <v>Functioning</v>
          </cell>
          <cell r="U685" t="str">
            <v>Asset</v>
          </cell>
          <cell r="V685">
            <v>44510</v>
          </cell>
          <cell r="W685" t="str">
            <v>KEW</v>
          </cell>
          <cell r="X685" t="str">
            <v>01/09/2010</v>
          </cell>
          <cell r="Y685" t="str">
            <v>KEW</v>
          </cell>
          <cell r="Z685" t="str">
            <v>16/08/2013</v>
          </cell>
          <cell r="AA685" t="str">
            <v>15/08/2015</v>
          </cell>
          <cell r="AB685" t="str">
            <v>No</v>
          </cell>
          <cell r="AC685" t="str">
            <v>31/08/2013</v>
          </cell>
          <cell r="AD685" t="str">
            <v>Good</v>
          </cell>
          <cell r="AE685" t="str">
            <v>V1 - Existing / No Claim</v>
          </cell>
          <cell r="AF685">
            <v>42789</v>
          </cell>
          <cell r="AG685">
            <v>9.17</v>
          </cell>
          <cell r="AH685" t="str">
            <v>PPM</v>
          </cell>
          <cell r="AI685" t="str">
            <v>Strands</v>
          </cell>
          <cell r="AJ685" t="str">
            <v>Strands PW</v>
          </cell>
        </row>
        <row r="686">
          <cell r="A686" t="str">
            <v>IKN400206</v>
          </cell>
          <cell r="B686">
            <v>206</v>
          </cell>
          <cell r="C686" t="str">
            <v>Institut Kanser Negara</v>
          </cell>
          <cell r="D686" t="str">
            <v>KKM/IKN/H/13/1881</v>
          </cell>
          <cell r="E686" t="str">
            <v>12-647</v>
          </cell>
          <cell r="F686" t="str">
            <v>Physiologic Monitoring Systems, Acute Care</v>
          </cell>
          <cell r="G686" t="str">
            <v>WJ</v>
          </cell>
          <cell r="H686" t="str">
            <v>MULTIDISCIPLINE WARD 1</v>
          </cell>
          <cell r="I686" t="str">
            <v>09WJ126</v>
          </cell>
          <cell r="J686" t="str">
            <v>EQUIPT. ROOM</v>
          </cell>
          <cell r="K686" t="str">
            <v>BMED</v>
          </cell>
          <cell r="L686" t="str">
            <v>Critical</v>
          </cell>
          <cell r="M686" t="str">
            <v>USA</v>
          </cell>
          <cell r="N686" t="str">
            <v>GE</v>
          </cell>
          <cell r="O686" t="str">
            <v>GE B30</v>
          </cell>
          <cell r="P686" t="str">
            <v>SF312325924WA</v>
          </cell>
          <cell r="Q686" t="str">
            <v>Not Applicable</v>
          </cell>
          <cell r="R686" t="str">
            <v>GE Healthcare Systems</v>
          </cell>
          <cell r="S686" t="str">
            <v>GE Healthcare Technologies</v>
          </cell>
          <cell r="T686" t="str">
            <v>Functioning</v>
          </cell>
          <cell r="U686" t="str">
            <v>Asset</v>
          </cell>
          <cell r="V686">
            <v>44510</v>
          </cell>
          <cell r="W686" t="str">
            <v>KEW</v>
          </cell>
          <cell r="X686" t="str">
            <v>01/09/2010</v>
          </cell>
          <cell r="Y686" t="str">
            <v>KEW</v>
          </cell>
          <cell r="Z686" t="str">
            <v>16/08/2013</v>
          </cell>
          <cell r="AA686" t="str">
            <v>15/08/2015</v>
          </cell>
          <cell r="AB686" t="str">
            <v>No</v>
          </cell>
          <cell r="AC686" t="str">
            <v>31/08/2013</v>
          </cell>
          <cell r="AD686" t="str">
            <v>Good</v>
          </cell>
          <cell r="AE686" t="str">
            <v>V1 - Existing / No Claim</v>
          </cell>
          <cell r="AF686">
            <v>42789</v>
          </cell>
          <cell r="AG686">
            <v>9.17</v>
          </cell>
          <cell r="AH686" t="str">
            <v>PPM</v>
          </cell>
          <cell r="AI686" t="str">
            <v>Strands</v>
          </cell>
          <cell r="AJ686" t="str">
            <v>Strands PW</v>
          </cell>
        </row>
        <row r="687">
          <cell r="A687" t="str">
            <v>IKN400208</v>
          </cell>
          <cell r="B687">
            <v>208</v>
          </cell>
          <cell r="C687" t="str">
            <v>Institut Kanser Negara</v>
          </cell>
          <cell r="D687" t="str">
            <v>KKM/IKN/H/13/2020</v>
          </cell>
          <cell r="E687" t="str">
            <v>10-208</v>
          </cell>
          <cell r="F687" t="str">
            <v>Aspirators</v>
          </cell>
          <cell r="G687" t="str">
            <v>WJ</v>
          </cell>
          <cell r="H687" t="str">
            <v>MULTIDISCIPLINE WARD 1</v>
          </cell>
          <cell r="I687" t="str">
            <v>09WJ130</v>
          </cell>
          <cell r="J687" t="str">
            <v>TREATMENT/ PROCEDURE</v>
          </cell>
          <cell r="K687" t="str">
            <v>BMED</v>
          </cell>
          <cell r="L687" t="str">
            <v>Critical</v>
          </cell>
          <cell r="M687" t="str">
            <v>Switzerland</v>
          </cell>
          <cell r="N687" t="str">
            <v>Senator</v>
          </cell>
          <cell r="O687" t="str">
            <v>Senator</v>
          </cell>
          <cell r="P687" t="str">
            <v>1220751</v>
          </cell>
          <cell r="Q687" t="str">
            <v>Not Applicable</v>
          </cell>
          <cell r="R687" t="str">
            <v>Ardo Medical AG</v>
          </cell>
          <cell r="S687" t="str">
            <v>Histopoint</v>
          </cell>
          <cell r="T687" t="str">
            <v>Functioning</v>
          </cell>
          <cell r="U687" t="str">
            <v>Asset</v>
          </cell>
          <cell r="V687">
            <v>5052</v>
          </cell>
          <cell r="W687" t="str">
            <v>KEW</v>
          </cell>
          <cell r="X687" t="str">
            <v>01/09/2010</v>
          </cell>
          <cell r="Y687" t="str">
            <v>KEW</v>
          </cell>
          <cell r="Z687" t="str">
            <v>16/08/2013</v>
          </cell>
          <cell r="AA687" t="str">
            <v>15/08/2015</v>
          </cell>
          <cell r="AB687" t="str">
            <v>No</v>
          </cell>
          <cell r="AC687" t="str">
            <v>31/08/2013</v>
          </cell>
          <cell r="AD687" t="str">
            <v>Good</v>
          </cell>
          <cell r="AE687" t="str">
            <v>V1 - Existing / No Claim</v>
          </cell>
          <cell r="AF687">
            <v>42789</v>
          </cell>
          <cell r="AG687">
            <v>9.17</v>
          </cell>
          <cell r="AH687" t="str">
            <v>PPM</v>
          </cell>
          <cell r="AI687" t="str">
            <v>Strands</v>
          </cell>
          <cell r="AJ687" t="str">
            <v>Strands PW</v>
          </cell>
        </row>
        <row r="688">
          <cell r="A688" t="str">
            <v>IKN400209</v>
          </cell>
          <cell r="B688">
            <v>209</v>
          </cell>
          <cell r="C688" t="str">
            <v>Institut Kanser Negara</v>
          </cell>
          <cell r="D688" t="str">
            <v>KKM/IKN/H/13/2207</v>
          </cell>
          <cell r="E688" t="str">
            <v>25-209</v>
          </cell>
          <cell r="F688" t="str">
            <v>Monitors, Physiologic, Vital Signs</v>
          </cell>
          <cell r="G688" t="str">
            <v>WJ</v>
          </cell>
          <cell r="H688" t="str">
            <v>MULTIDISCIPLINE WARD 1</v>
          </cell>
          <cell r="I688" t="str">
            <v>09WJ130</v>
          </cell>
          <cell r="J688" t="str">
            <v>TREATMENT/ PROCEDURE</v>
          </cell>
          <cell r="K688" t="str">
            <v>BMED</v>
          </cell>
          <cell r="L688" t="str">
            <v>Critical</v>
          </cell>
          <cell r="M688" t="str">
            <v>Mexico</v>
          </cell>
          <cell r="N688" t="str">
            <v>Carespace</v>
          </cell>
          <cell r="O688" t="str">
            <v>Carescape V100</v>
          </cell>
          <cell r="P688" t="str">
            <v>SH612430107SA</v>
          </cell>
          <cell r="Q688" t="str">
            <v>Not Applicable</v>
          </cell>
          <cell r="R688" t="str">
            <v>GE Healthcare Systems</v>
          </cell>
          <cell r="S688" t="str">
            <v>GE Healthcare Technologies</v>
          </cell>
          <cell r="T688" t="str">
            <v>Functioning</v>
          </cell>
          <cell r="U688" t="str">
            <v>Asset</v>
          </cell>
          <cell r="V688">
            <v>4510</v>
          </cell>
          <cell r="W688" t="str">
            <v>KEW</v>
          </cell>
          <cell r="X688" t="str">
            <v>01/09/2010</v>
          </cell>
          <cell r="Y688" t="str">
            <v>KEW</v>
          </cell>
          <cell r="Z688" t="str">
            <v>16/08/2013</v>
          </cell>
          <cell r="AA688" t="str">
            <v>15/08/2015</v>
          </cell>
          <cell r="AB688" t="str">
            <v>No</v>
          </cell>
          <cell r="AC688" t="str">
            <v>31/08/2013</v>
          </cell>
          <cell r="AD688" t="str">
            <v>Good</v>
          </cell>
          <cell r="AE688" t="str">
            <v>V1 - Existing / No Claim</v>
          </cell>
          <cell r="AF688">
            <v>42789</v>
          </cell>
          <cell r="AG688">
            <v>9.17</v>
          </cell>
          <cell r="AH688" t="str">
            <v>PPM</v>
          </cell>
          <cell r="AI688" t="str">
            <v>Strands</v>
          </cell>
          <cell r="AJ688" t="str">
            <v>Strands PW</v>
          </cell>
        </row>
        <row r="689">
          <cell r="A689" t="str">
            <v>IKN400210</v>
          </cell>
          <cell r="B689">
            <v>210</v>
          </cell>
          <cell r="C689" t="str">
            <v>Institut Kanser Negara</v>
          </cell>
          <cell r="D689" t="str">
            <v>KKM/IKN/H/13/1826</v>
          </cell>
          <cell r="E689" t="str">
            <v>16-231</v>
          </cell>
          <cell r="F689" t="str">
            <v>Electrocardiographs, Multichannel, Interpretative</v>
          </cell>
          <cell r="G689" t="str">
            <v>WJ</v>
          </cell>
          <cell r="H689" t="str">
            <v>MULTIDISCIPLINE WARD 1</v>
          </cell>
          <cell r="I689" t="str">
            <v>09WJ130</v>
          </cell>
          <cell r="J689" t="str">
            <v>TREATMENT/ PROCEDURE</v>
          </cell>
          <cell r="K689" t="str">
            <v>BMED</v>
          </cell>
          <cell r="L689" t="str">
            <v>Critical</v>
          </cell>
          <cell r="M689" t="str">
            <v>China</v>
          </cell>
          <cell r="N689" t="str">
            <v>Mac</v>
          </cell>
          <cell r="O689" t="str">
            <v>MAC 800</v>
          </cell>
          <cell r="P689" t="str">
            <v>SJ412450379 WA</v>
          </cell>
          <cell r="Q689" t="str">
            <v>Not Applicable</v>
          </cell>
          <cell r="R689" t="str">
            <v>GE Healthcare Systems</v>
          </cell>
          <cell r="S689" t="str">
            <v>GE Healthcare Technologies</v>
          </cell>
          <cell r="T689" t="str">
            <v>Functioning</v>
          </cell>
          <cell r="U689" t="str">
            <v>Asset</v>
          </cell>
          <cell r="V689">
            <v>25260</v>
          </cell>
          <cell r="W689" t="str">
            <v>KEW</v>
          </cell>
          <cell r="X689" t="str">
            <v>01/09/2010</v>
          </cell>
          <cell r="Y689" t="str">
            <v>KEW</v>
          </cell>
          <cell r="Z689" t="str">
            <v>16/08/2013</v>
          </cell>
          <cell r="AA689" t="str">
            <v>15/08/2015</v>
          </cell>
          <cell r="AB689" t="str">
            <v>No</v>
          </cell>
          <cell r="AC689" t="str">
            <v>31/08/2013</v>
          </cell>
          <cell r="AD689" t="str">
            <v>Good</v>
          </cell>
          <cell r="AE689" t="str">
            <v>V1 - Existing / No Claim</v>
          </cell>
          <cell r="AF689">
            <v>42789</v>
          </cell>
          <cell r="AG689">
            <v>9.17</v>
          </cell>
          <cell r="AH689" t="str">
            <v>PPM</v>
          </cell>
          <cell r="AI689" t="str">
            <v>Strands</v>
          </cell>
          <cell r="AJ689" t="str">
            <v>Strands PW</v>
          </cell>
        </row>
        <row r="690">
          <cell r="A690" t="str">
            <v>IKN400211</v>
          </cell>
          <cell r="B690">
            <v>211</v>
          </cell>
          <cell r="C690" t="str">
            <v>Institut Kanser Negara</v>
          </cell>
          <cell r="D690" t="str">
            <v>KKM/IKN/H/13/2765</v>
          </cell>
          <cell r="E690" t="str">
            <v>11-134</v>
          </cell>
          <cell r="F690" t="str">
            <v>Defibrillators, External, Manual</v>
          </cell>
          <cell r="G690" t="str">
            <v>WJ</v>
          </cell>
          <cell r="H690" t="str">
            <v>MULTIDISCIPLINE WARD 1</v>
          </cell>
          <cell r="I690" t="str">
            <v>09WJ135</v>
          </cell>
          <cell r="J690" t="str">
            <v>RESUS EQUIP</v>
          </cell>
          <cell r="K690" t="str">
            <v>BMED</v>
          </cell>
          <cell r="L690" t="str">
            <v>Critical</v>
          </cell>
          <cell r="M690" t="str">
            <v>USA</v>
          </cell>
          <cell r="N690" t="str">
            <v>Responder</v>
          </cell>
          <cell r="O690" t="str">
            <v>Responder 2000</v>
          </cell>
          <cell r="P690" t="str">
            <v>3206729</v>
          </cell>
          <cell r="Q690" t="str">
            <v>Not Applicable</v>
          </cell>
          <cell r="R690" t="str">
            <v>GE Medical Systems</v>
          </cell>
          <cell r="S690" t="str">
            <v>Antah Sir Radin Sdn. Bhd.</v>
          </cell>
          <cell r="T690" t="str">
            <v>Functioning</v>
          </cell>
          <cell r="U690" t="str">
            <v>Asset</v>
          </cell>
          <cell r="V690">
            <v>45000</v>
          </cell>
          <cell r="W690" t="str">
            <v>KEW</v>
          </cell>
          <cell r="X690" t="str">
            <v>01/09/2010</v>
          </cell>
          <cell r="Y690" t="str">
            <v>KEW</v>
          </cell>
          <cell r="Z690" t="str">
            <v>16/08/2013</v>
          </cell>
          <cell r="AA690" t="str">
            <v>15/08/2015</v>
          </cell>
          <cell r="AB690" t="str">
            <v>No</v>
          </cell>
          <cell r="AC690" t="str">
            <v>31/08/2013</v>
          </cell>
          <cell r="AD690" t="str">
            <v>Good</v>
          </cell>
          <cell r="AE690" t="str">
            <v>V3 - Added Installed Facilities (New)</v>
          </cell>
          <cell r="AF690">
            <v>42601</v>
          </cell>
          <cell r="AG690">
            <v>9.17</v>
          </cell>
          <cell r="AH690" t="str">
            <v>PPM</v>
          </cell>
          <cell r="AI690" t="str">
            <v>Strands</v>
          </cell>
          <cell r="AJ690" t="str">
            <v>Strands PW</v>
          </cell>
          <cell r="AK690" t="str">
            <v>SNF received. 1st batch of V3 asset (December 2020)</v>
          </cell>
        </row>
        <row r="691">
          <cell r="A691" t="str">
            <v>IKN400212</v>
          </cell>
          <cell r="B691">
            <v>212</v>
          </cell>
          <cell r="C691" t="str">
            <v>Institut Kanser Negara</v>
          </cell>
          <cell r="D691" t="str">
            <v>KKM/IKN/H/13/2013</v>
          </cell>
          <cell r="E691" t="str">
            <v>16-173</v>
          </cell>
          <cell r="F691" t="str">
            <v>Sphygmomanometers, Electronic, Automatic</v>
          </cell>
          <cell r="G691" t="str">
            <v>WJ</v>
          </cell>
          <cell r="H691" t="str">
            <v>MULTIDISCIPLINE WARD 1</v>
          </cell>
          <cell r="I691" t="str">
            <v>09WJ136</v>
          </cell>
          <cell r="J691" t="str">
            <v>NURSE STATION</v>
          </cell>
          <cell r="K691" t="str">
            <v>BMED</v>
          </cell>
          <cell r="L691" t="str">
            <v>Normal</v>
          </cell>
          <cell r="M691" t="str">
            <v>USA</v>
          </cell>
          <cell r="N691" t="str">
            <v>Connex</v>
          </cell>
          <cell r="O691" t="str">
            <v>Connex ProBP 3400</v>
          </cell>
          <cell r="P691" t="str">
            <v>100001750613</v>
          </cell>
          <cell r="Q691" t="str">
            <v>Not Applicable</v>
          </cell>
          <cell r="R691" t="str">
            <v>Welch Allyn Inc</v>
          </cell>
          <cell r="S691" t="str">
            <v>Welch Allyn Malaysia Sdn Bhd</v>
          </cell>
          <cell r="T691" t="str">
            <v>Functioning</v>
          </cell>
          <cell r="U691" t="str">
            <v>Asset</v>
          </cell>
          <cell r="V691">
            <v>4510</v>
          </cell>
          <cell r="W691" t="str">
            <v>KEW</v>
          </cell>
          <cell r="X691" t="str">
            <v>01/09/2010</v>
          </cell>
          <cell r="Y691" t="str">
            <v>KEW</v>
          </cell>
          <cell r="Z691" t="str">
            <v>16/08/2013</v>
          </cell>
          <cell r="AA691" t="str">
            <v>15/08/2015</v>
          </cell>
          <cell r="AB691" t="str">
            <v>No</v>
          </cell>
          <cell r="AC691" t="str">
            <v>31/08/2013</v>
          </cell>
          <cell r="AD691" t="str">
            <v>Good</v>
          </cell>
          <cell r="AE691" t="str">
            <v>V1 - Existing / No Claim</v>
          </cell>
          <cell r="AF691">
            <v>42235</v>
          </cell>
          <cell r="AG691">
            <v>9.17</v>
          </cell>
          <cell r="AH691" t="str">
            <v>PPM</v>
          </cell>
          <cell r="AI691" t="str">
            <v>Strands</v>
          </cell>
          <cell r="AJ691" t="str">
            <v>Strands PW</v>
          </cell>
        </row>
        <row r="692">
          <cell r="A692" t="str">
            <v>IKN400213</v>
          </cell>
          <cell r="B692">
            <v>213</v>
          </cell>
          <cell r="C692" t="str">
            <v>Institut Kanser Negara</v>
          </cell>
          <cell r="D692" t="str">
            <v>KKM/IKN/H/13/2244</v>
          </cell>
          <cell r="E692" t="str">
            <v>16-173</v>
          </cell>
          <cell r="F692" t="str">
            <v>Sphygmomanometers, Electronic, Automatic</v>
          </cell>
          <cell r="G692" t="str">
            <v>WJ</v>
          </cell>
          <cell r="H692" t="str">
            <v>MULTIDISCIPLINE WARD 1</v>
          </cell>
          <cell r="I692" t="str">
            <v>09WJ136</v>
          </cell>
          <cell r="J692" t="str">
            <v>NURSE STATION</v>
          </cell>
          <cell r="K692" t="str">
            <v>BMED</v>
          </cell>
          <cell r="L692" t="str">
            <v>Critical</v>
          </cell>
          <cell r="M692" t="str">
            <v>USA</v>
          </cell>
          <cell r="N692" t="str">
            <v>Connex</v>
          </cell>
          <cell r="O692" t="str">
            <v>Connex ProBP 3400</v>
          </cell>
          <cell r="P692" t="str">
            <v>100000684313</v>
          </cell>
          <cell r="Q692" t="str">
            <v>Not Applicable</v>
          </cell>
          <cell r="R692" t="str">
            <v>Welch Allyn Inc</v>
          </cell>
          <cell r="S692" t="str">
            <v>Welch Allyn Malaysia Sdn Bhd</v>
          </cell>
          <cell r="T692" t="str">
            <v>Functioning</v>
          </cell>
          <cell r="U692" t="str">
            <v>Asset</v>
          </cell>
          <cell r="V692">
            <v>4510</v>
          </cell>
          <cell r="W692" t="str">
            <v>KEW</v>
          </cell>
          <cell r="X692" t="str">
            <v>01/09/2010</v>
          </cell>
          <cell r="Y692" t="str">
            <v>KEW</v>
          </cell>
          <cell r="Z692" t="str">
            <v>16/08/2013</v>
          </cell>
          <cell r="AA692" t="str">
            <v>15/08/2015</v>
          </cell>
          <cell r="AB692" t="str">
            <v>No</v>
          </cell>
          <cell r="AC692" t="str">
            <v>31/08/2013</v>
          </cell>
          <cell r="AD692" t="str">
            <v>Good</v>
          </cell>
          <cell r="AE692" t="str">
            <v>V1 - Existing / No Claim</v>
          </cell>
          <cell r="AF692">
            <v>42789</v>
          </cell>
          <cell r="AG692">
            <v>9.17</v>
          </cell>
          <cell r="AH692" t="str">
            <v>PPM</v>
          </cell>
          <cell r="AI692" t="str">
            <v>Strands</v>
          </cell>
          <cell r="AJ692" t="str">
            <v>Strands PW</v>
          </cell>
        </row>
        <row r="693">
          <cell r="A693" t="str">
            <v>IKN400214</v>
          </cell>
          <cell r="B693">
            <v>214</v>
          </cell>
          <cell r="C693" t="str">
            <v>Institut Kanser Negara</v>
          </cell>
          <cell r="D693" t="str">
            <v>KKM/IKN/H/13/2014</v>
          </cell>
          <cell r="E693" t="str">
            <v>16-173</v>
          </cell>
          <cell r="F693" t="str">
            <v>Sphygmomanometers, Electronic, Automatic</v>
          </cell>
          <cell r="G693" t="str">
            <v>WJ</v>
          </cell>
          <cell r="H693" t="str">
            <v>MULTIDISCIPLINE WARD 1</v>
          </cell>
          <cell r="I693" t="str">
            <v>09WJ205</v>
          </cell>
          <cell r="J693" t="str">
            <v>NURSE STATION</v>
          </cell>
          <cell r="K693" t="str">
            <v>BMED</v>
          </cell>
          <cell r="L693" t="str">
            <v>Critical</v>
          </cell>
          <cell r="M693" t="str">
            <v>USA</v>
          </cell>
          <cell r="N693" t="str">
            <v>Connex</v>
          </cell>
          <cell r="O693" t="str">
            <v>Connex ProBP 3400</v>
          </cell>
          <cell r="P693" t="str">
            <v>100001680613</v>
          </cell>
          <cell r="Q693" t="str">
            <v>Not Applicable</v>
          </cell>
          <cell r="R693" t="str">
            <v>Welch Allyn Inc</v>
          </cell>
          <cell r="S693" t="str">
            <v>Welch Allyn Malaysia Sdn Bhd</v>
          </cell>
          <cell r="T693" t="str">
            <v>Functioning</v>
          </cell>
          <cell r="U693" t="str">
            <v>Asset</v>
          </cell>
          <cell r="V693">
            <v>4510</v>
          </cell>
          <cell r="W693" t="str">
            <v>KEW</v>
          </cell>
          <cell r="X693" t="str">
            <v>01/09/2010</v>
          </cell>
          <cell r="Y693" t="str">
            <v>KEW</v>
          </cell>
          <cell r="Z693" t="str">
            <v>16/08/2013</v>
          </cell>
          <cell r="AA693" t="str">
            <v>15/08/2015</v>
          </cell>
          <cell r="AB693" t="str">
            <v>No</v>
          </cell>
          <cell r="AC693" t="str">
            <v>31/08/2013</v>
          </cell>
          <cell r="AD693" t="str">
            <v>Good</v>
          </cell>
          <cell r="AE693" t="str">
            <v>V1 - Existing / No Claim</v>
          </cell>
          <cell r="AF693">
            <v>42789</v>
          </cell>
          <cell r="AG693">
            <v>9.17</v>
          </cell>
          <cell r="AH693" t="str">
            <v>PPM</v>
          </cell>
          <cell r="AI693" t="str">
            <v>Strands</v>
          </cell>
          <cell r="AJ693" t="str">
            <v>Strands PW</v>
          </cell>
        </row>
        <row r="694">
          <cell r="A694" t="str">
            <v>IKN400215</v>
          </cell>
          <cell r="B694">
            <v>215</v>
          </cell>
          <cell r="C694" t="str">
            <v>Institut Kanser Negara</v>
          </cell>
          <cell r="D694" t="str">
            <v>KKM/IKN/H/13/2016</v>
          </cell>
          <cell r="E694" t="str">
            <v>16-173</v>
          </cell>
          <cell r="F694" t="str">
            <v>Sphygmomanometers, Electronic, Automatic</v>
          </cell>
          <cell r="G694" t="str">
            <v>WJ</v>
          </cell>
          <cell r="H694" t="str">
            <v>MULTIDISCIPLINE WARD 1</v>
          </cell>
          <cell r="I694" t="str">
            <v>09WJ205</v>
          </cell>
          <cell r="J694" t="str">
            <v>NURSE STATION</v>
          </cell>
          <cell r="K694" t="str">
            <v>BMED</v>
          </cell>
          <cell r="L694" t="str">
            <v>Critical</v>
          </cell>
          <cell r="M694" t="str">
            <v>USA</v>
          </cell>
          <cell r="N694" t="str">
            <v>Connex</v>
          </cell>
          <cell r="O694" t="str">
            <v>Connex ProBP 3400</v>
          </cell>
          <cell r="P694" t="str">
            <v>100001710613</v>
          </cell>
          <cell r="Q694" t="str">
            <v>Not Applicable</v>
          </cell>
          <cell r="R694" t="str">
            <v>Welch Allyn Inc</v>
          </cell>
          <cell r="S694" t="str">
            <v>Welch Allyn Malaysia Sdn Bhd</v>
          </cell>
          <cell r="T694" t="str">
            <v>Functioning</v>
          </cell>
          <cell r="U694" t="str">
            <v>Asset</v>
          </cell>
          <cell r="V694">
            <v>4510</v>
          </cell>
          <cell r="W694" t="str">
            <v>KEW</v>
          </cell>
          <cell r="X694" t="str">
            <v>01/09/2010</v>
          </cell>
          <cell r="Y694" t="str">
            <v>KEW</v>
          </cell>
          <cell r="Z694" t="str">
            <v>16/08/2013</v>
          </cell>
          <cell r="AA694" t="str">
            <v>15/08/2015</v>
          </cell>
          <cell r="AB694" t="str">
            <v>No</v>
          </cell>
          <cell r="AC694" t="str">
            <v>31/08/2013</v>
          </cell>
          <cell r="AD694" t="str">
            <v>Good</v>
          </cell>
          <cell r="AE694" t="str">
            <v>V1 - Existing / No Claim</v>
          </cell>
          <cell r="AF694">
            <v>42789</v>
          </cell>
          <cell r="AG694">
            <v>9.17</v>
          </cell>
          <cell r="AH694" t="str">
            <v>PPM</v>
          </cell>
          <cell r="AI694" t="str">
            <v>Strands</v>
          </cell>
          <cell r="AJ694" t="str">
            <v>Strands PW</v>
          </cell>
        </row>
        <row r="695">
          <cell r="A695" t="str">
            <v>IKN400216</v>
          </cell>
          <cell r="B695">
            <v>216</v>
          </cell>
          <cell r="C695" t="str">
            <v>Institut Kanser Negara</v>
          </cell>
          <cell r="D695" t="str">
            <v>KKM/IKN/H/13/1763</v>
          </cell>
          <cell r="E695" t="str">
            <v>16-173</v>
          </cell>
          <cell r="F695" t="str">
            <v>Sphygmomanometers, Electronic, Automatic</v>
          </cell>
          <cell r="G695" t="str">
            <v>WJ</v>
          </cell>
          <cell r="H695" t="str">
            <v>MULTIDISCIPLINE WARD 1</v>
          </cell>
          <cell r="I695" t="str">
            <v>09WJ209</v>
          </cell>
          <cell r="J695" t="str">
            <v>NURSE STATION</v>
          </cell>
          <cell r="K695" t="str">
            <v>BMED</v>
          </cell>
          <cell r="L695" t="str">
            <v>Critical</v>
          </cell>
          <cell r="M695" t="str">
            <v>USA</v>
          </cell>
          <cell r="N695" t="str">
            <v>Connex</v>
          </cell>
          <cell r="O695" t="str">
            <v>Connex ProBP 3400</v>
          </cell>
          <cell r="P695" t="str">
            <v>100001610613</v>
          </cell>
          <cell r="Q695" t="str">
            <v>Not Applicable</v>
          </cell>
          <cell r="R695" t="str">
            <v>Welch Allyn Inc</v>
          </cell>
          <cell r="S695" t="str">
            <v>Welch Allyn Malaysia Sdn Bhd</v>
          </cell>
          <cell r="T695" t="str">
            <v>Functioning</v>
          </cell>
          <cell r="U695" t="str">
            <v>Asset</v>
          </cell>
          <cell r="V695">
            <v>4510</v>
          </cell>
          <cell r="W695" t="str">
            <v>KEW</v>
          </cell>
          <cell r="X695" t="str">
            <v>01/09/2010</v>
          </cell>
          <cell r="Y695" t="str">
            <v>KEW</v>
          </cell>
          <cell r="Z695" t="str">
            <v>16/08/2013</v>
          </cell>
          <cell r="AA695" t="str">
            <v>15/08/2015</v>
          </cell>
          <cell r="AB695" t="str">
            <v>No</v>
          </cell>
          <cell r="AC695" t="str">
            <v>31/08/2013</v>
          </cell>
          <cell r="AD695" t="str">
            <v>Good</v>
          </cell>
          <cell r="AE695" t="str">
            <v>V1 - Existing / No Claim</v>
          </cell>
          <cell r="AF695">
            <v>42789</v>
          </cell>
          <cell r="AG695">
            <v>9.17</v>
          </cell>
          <cell r="AH695" t="str">
            <v>PPM</v>
          </cell>
          <cell r="AI695" t="str">
            <v>Strands</v>
          </cell>
          <cell r="AJ695" t="str">
            <v>Strands PW</v>
          </cell>
        </row>
        <row r="696">
          <cell r="A696" t="str">
            <v>IKN400217</v>
          </cell>
          <cell r="B696">
            <v>217</v>
          </cell>
          <cell r="C696" t="str">
            <v>Institut Kanser Negara</v>
          </cell>
          <cell r="D696" t="str">
            <v>KKM/IKN/H/13/2015</v>
          </cell>
          <cell r="E696" t="str">
            <v>16-173</v>
          </cell>
          <cell r="F696" t="str">
            <v>Sphygmomanometers, Electronic, Automatic</v>
          </cell>
          <cell r="G696" t="str">
            <v>WJ</v>
          </cell>
          <cell r="H696" t="str">
            <v>MULTIDISCIPLINE WARD 1</v>
          </cell>
          <cell r="I696" t="str">
            <v>09WJ209</v>
          </cell>
          <cell r="J696" t="str">
            <v>NURSE STATION</v>
          </cell>
          <cell r="K696" t="str">
            <v>BMED</v>
          </cell>
          <cell r="L696" t="str">
            <v>Normal</v>
          </cell>
          <cell r="M696" t="str">
            <v>USA</v>
          </cell>
          <cell r="N696" t="str">
            <v>Connex</v>
          </cell>
          <cell r="O696" t="str">
            <v>Connex ProBP 3400</v>
          </cell>
          <cell r="P696" t="str">
            <v>100001780613</v>
          </cell>
          <cell r="Q696" t="str">
            <v>Not Applicable</v>
          </cell>
          <cell r="R696" t="str">
            <v>Welch Allyn Inc</v>
          </cell>
          <cell r="S696" t="str">
            <v>Welch Allyn Malaysia Sdn Bhd</v>
          </cell>
          <cell r="T696" t="str">
            <v>Functioning</v>
          </cell>
          <cell r="U696" t="str">
            <v>Asset</v>
          </cell>
          <cell r="V696">
            <v>4510</v>
          </cell>
          <cell r="W696" t="str">
            <v>KEW</v>
          </cell>
          <cell r="X696" t="str">
            <v>01/09/2010</v>
          </cell>
          <cell r="Y696" t="str">
            <v>KEW</v>
          </cell>
          <cell r="Z696" t="str">
            <v>16/08/2013</v>
          </cell>
          <cell r="AA696" t="str">
            <v>15/08/2015</v>
          </cell>
          <cell r="AB696" t="str">
            <v>No</v>
          </cell>
          <cell r="AC696" t="str">
            <v>31/08/2013</v>
          </cell>
          <cell r="AD696" t="str">
            <v>Good</v>
          </cell>
          <cell r="AE696" t="str">
            <v>V1 - Existing / No Claim</v>
          </cell>
          <cell r="AF696">
            <v>42235</v>
          </cell>
          <cell r="AG696">
            <v>9.17</v>
          </cell>
          <cell r="AH696" t="str">
            <v>PPM</v>
          </cell>
          <cell r="AI696" t="str">
            <v>Strands</v>
          </cell>
          <cell r="AJ696" t="str">
            <v>Strands PW</v>
          </cell>
        </row>
        <row r="697">
          <cell r="A697" t="str">
            <v>IKN400218</v>
          </cell>
          <cell r="B697">
            <v>218</v>
          </cell>
          <cell r="C697" t="str">
            <v>Institut Kanser Negara</v>
          </cell>
          <cell r="D697" t="str">
            <v>KKM/IKN/H/13/2764</v>
          </cell>
          <cell r="E697" t="str">
            <v>11-134</v>
          </cell>
          <cell r="F697" t="str">
            <v>Defibrillators, External, Manual</v>
          </cell>
          <cell r="G697" t="str">
            <v>WJ</v>
          </cell>
          <cell r="H697" t="str">
            <v>MULTIDISCIPLINE WARD 1</v>
          </cell>
          <cell r="I697" t="str">
            <v>09WJ210</v>
          </cell>
          <cell r="J697" t="str">
            <v>RESUS EQUIP.BAY</v>
          </cell>
          <cell r="K697" t="str">
            <v>BMED</v>
          </cell>
          <cell r="L697" t="str">
            <v>Critical</v>
          </cell>
          <cell r="M697" t="str">
            <v>USA</v>
          </cell>
          <cell r="N697" t="str">
            <v>Responder</v>
          </cell>
          <cell r="O697" t="str">
            <v>Responder 2000</v>
          </cell>
          <cell r="P697" t="str">
            <v>3206731</v>
          </cell>
          <cell r="Q697" t="str">
            <v>Not Applicable</v>
          </cell>
          <cell r="R697" t="str">
            <v>GE Medical Systems</v>
          </cell>
          <cell r="S697" t="str">
            <v>Antah Sir Radin Sdn. Bhd.</v>
          </cell>
          <cell r="T697" t="str">
            <v>Functioning</v>
          </cell>
          <cell r="U697" t="str">
            <v>Asset</v>
          </cell>
          <cell r="V697">
            <v>45000</v>
          </cell>
          <cell r="W697" t="str">
            <v>KEW</v>
          </cell>
          <cell r="X697" t="str">
            <v>01/09/2010</v>
          </cell>
          <cell r="Y697" t="str">
            <v>KEW</v>
          </cell>
          <cell r="Z697" t="str">
            <v>16/08/2013</v>
          </cell>
          <cell r="AA697" t="str">
            <v>15/08/2015</v>
          </cell>
          <cell r="AB697" t="str">
            <v>No</v>
          </cell>
          <cell r="AC697" t="str">
            <v>31/08/2013</v>
          </cell>
          <cell r="AD697" t="str">
            <v>Good</v>
          </cell>
          <cell r="AE697" t="str">
            <v>V3 - Added Installed Facilities (New)</v>
          </cell>
          <cell r="AF697">
            <v>42601</v>
          </cell>
          <cell r="AG697">
            <v>9.17</v>
          </cell>
          <cell r="AH697" t="str">
            <v>PPM</v>
          </cell>
          <cell r="AI697" t="str">
            <v>Strands</v>
          </cell>
          <cell r="AJ697" t="str">
            <v>Strands PW</v>
          </cell>
          <cell r="AK697" t="str">
            <v>SNF received. 1st batch of V3 asset (December 2020)</v>
          </cell>
        </row>
        <row r="698">
          <cell r="A698" t="str">
            <v>IKN400221</v>
          </cell>
          <cell r="B698">
            <v>221</v>
          </cell>
          <cell r="C698" t="str">
            <v>Institut Kanser Negara</v>
          </cell>
          <cell r="D698" t="str">
            <v>KKM/IKN/H/13/1825</v>
          </cell>
          <cell r="E698" t="str">
            <v>10-208</v>
          </cell>
          <cell r="F698" t="str">
            <v>Aspirators</v>
          </cell>
          <cell r="G698" t="str">
            <v>WJ</v>
          </cell>
          <cell r="H698" t="str">
            <v>MULTIDISCIPLINE WARD 1</v>
          </cell>
          <cell r="I698" t="str">
            <v>09WJ222</v>
          </cell>
          <cell r="J698" t="str">
            <v>TREATMENT</v>
          </cell>
          <cell r="K698" t="str">
            <v>BMED</v>
          </cell>
          <cell r="L698" t="str">
            <v>Critical</v>
          </cell>
          <cell r="M698" t="str">
            <v>Switzerland</v>
          </cell>
          <cell r="N698" t="str">
            <v>Senator</v>
          </cell>
          <cell r="O698" t="str">
            <v>Senator</v>
          </cell>
          <cell r="P698" t="str">
            <v>1220752</v>
          </cell>
          <cell r="Q698" t="str">
            <v>Not Applicable</v>
          </cell>
          <cell r="R698" t="str">
            <v>Ardo Medical AG</v>
          </cell>
          <cell r="S698" t="str">
            <v>Histopoint</v>
          </cell>
          <cell r="T698" t="str">
            <v>Functioning</v>
          </cell>
          <cell r="U698" t="str">
            <v>Asset</v>
          </cell>
          <cell r="V698">
            <v>5052</v>
          </cell>
          <cell r="W698" t="str">
            <v>KEW</v>
          </cell>
          <cell r="X698" t="str">
            <v>01/09/2010</v>
          </cell>
          <cell r="Y698" t="str">
            <v>KEW</v>
          </cell>
          <cell r="Z698" t="str">
            <v>16/08/2013</v>
          </cell>
          <cell r="AA698" t="str">
            <v>15/08/2015</v>
          </cell>
          <cell r="AB698" t="str">
            <v>No</v>
          </cell>
          <cell r="AC698" t="str">
            <v>31/08/2013</v>
          </cell>
          <cell r="AD698" t="str">
            <v>Good</v>
          </cell>
          <cell r="AE698" t="str">
            <v>V1 - Existing / No Claim</v>
          </cell>
          <cell r="AF698">
            <v>42789</v>
          </cell>
          <cell r="AG698">
            <v>9.17</v>
          </cell>
          <cell r="AH698" t="str">
            <v>PPM</v>
          </cell>
          <cell r="AI698" t="str">
            <v>Strands</v>
          </cell>
          <cell r="AJ698" t="str">
            <v>Strands PW</v>
          </cell>
        </row>
        <row r="699">
          <cell r="A699" t="str">
            <v>IKN400222</v>
          </cell>
          <cell r="B699">
            <v>222</v>
          </cell>
          <cell r="C699" t="str">
            <v>Institut Kanser Negara</v>
          </cell>
          <cell r="D699" t="str">
            <v>KKM/IKN/H/13/2208</v>
          </cell>
          <cell r="E699" t="str">
            <v>16-173</v>
          </cell>
          <cell r="F699" t="str">
            <v>Sphygmomanometers, Electronic, Automatic</v>
          </cell>
          <cell r="G699" t="str">
            <v>WJ</v>
          </cell>
          <cell r="H699" t="str">
            <v>MULTIDISCIPLINE WARD 1</v>
          </cell>
          <cell r="I699" t="str">
            <v>09WJ222</v>
          </cell>
          <cell r="J699" t="str">
            <v>TREATMENT</v>
          </cell>
          <cell r="K699" t="str">
            <v>BMED</v>
          </cell>
          <cell r="L699" t="str">
            <v>Critical</v>
          </cell>
          <cell r="M699" t="str">
            <v>Mexico</v>
          </cell>
          <cell r="N699" t="str">
            <v>Carespace</v>
          </cell>
          <cell r="O699" t="str">
            <v>Carescape V100</v>
          </cell>
          <cell r="P699" t="str">
            <v>SH612430116SA</v>
          </cell>
          <cell r="Q699" t="str">
            <v>Not Applicable</v>
          </cell>
          <cell r="R699" t="str">
            <v>GE Healthcare Systems</v>
          </cell>
          <cell r="S699" t="str">
            <v>GE Healthcare Technologies</v>
          </cell>
          <cell r="T699" t="str">
            <v>Functioning</v>
          </cell>
          <cell r="U699" t="str">
            <v>Asset</v>
          </cell>
          <cell r="V699">
            <v>7770</v>
          </cell>
          <cell r="W699" t="str">
            <v>KEW</v>
          </cell>
          <cell r="X699" t="str">
            <v>01/09/2010</v>
          </cell>
          <cell r="Y699" t="str">
            <v>KEW</v>
          </cell>
          <cell r="Z699" t="str">
            <v>16/08/2013</v>
          </cell>
          <cell r="AA699" t="str">
            <v>15/08/2015</v>
          </cell>
          <cell r="AB699" t="str">
            <v>No</v>
          </cell>
          <cell r="AC699" t="str">
            <v>31/08/2013</v>
          </cell>
          <cell r="AD699" t="str">
            <v>Good</v>
          </cell>
          <cell r="AE699" t="str">
            <v>V1 - Existing / No Claim</v>
          </cell>
          <cell r="AF699">
            <v>42789</v>
          </cell>
          <cell r="AG699">
            <v>9.17</v>
          </cell>
          <cell r="AH699" t="str">
            <v>PPM</v>
          </cell>
          <cell r="AI699" t="str">
            <v>Strands</v>
          </cell>
          <cell r="AJ699" t="str">
            <v>Strands PW</v>
          </cell>
        </row>
        <row r="700">
          <cell r="A700" t="str">
            <v>IKN400223</v>
          </cell>
          <cell r="B700">
            <v>223</v>
          </cell>
          <cell r="C700" t="str">
            <v>Institut Kanser Negara</v>
          </cell>
          <cell r="D700" t="str">
            <v>KKM/IKN/H/13/2206</v>
          </cell>
          <cell r="E700" t="str">
            <v>16-231</v>
          </cell>
          <cell r="F700" t="str">
            <v>Electrocardiographs, Multichannel, Interpretative</v>
          </cell>
          <cell r="G700" t="str">
            <v>WJ</v>
          </cell>
          <cell r="H700" t="str">
            <v>MULTIDISCIPLINE WARD 1</v>
          </cell>
          <cell r="I700" t="str">
            <v>09WJ222</v>
          </cell>
          <cell r="J700" t="str">
            <v>TREATMENT</v>
          </cell>
          <cell r="K700" t="str">
            <v>BMED</v>
          </cell>
          <cell r="L700" t="str">
            <v>Normal</v>
          </cell>
          <cell r="M700" t="str">
            <v>China</v>
          </cell>
          <cell r="N700" t="str">
            <v>Mac</v>
          </cell>
          <cell r="O700" t="str">
            <v>MAC 800</v>
          </cell>
          <cell r="P700" t="str">
            <v>SJ412450352WA</v>
          </cell>
          <cell r="Q700" t="str">
            <v>Not Applicable</v>
          </cell>
          <cell r="R700" t="str">
            <v>GE Healthcare Systems</v>
          </cell>
          <cell r="S700" t="str">
            <v>GE Healthcare Technologies</v>
          </cell>
          <cell r="T700" t="str">
            <v>Functioning</v>
          </cell>
          <cell r="U700" t="str">
            <v>Asset</v>
          </cell>
          <cell r="V700">
            <v>25260</v>
          </cell>
          <cell r="W700" t="str">
            <v>KEW</v>
          </cell>
          <cell r="X700" t="str">
            <v>01/09/2010</v>
          </cell>
          <cell r="Y700" t="str">
            <v>KEW</v>
          </cell>
          <cell r="Z700" t="str">
            <v>16/08/2013</v>
          </cell>
          <cell r="AA700" t="str">
            <v>15/08/2015</v>
          </cell>
          <cell r="AB700" t="str">
            <v>No</v>
          </cell>
          <cell r="AC700" t="str">
            <v>31/08/2013</v>
          </cell>
          <cell r="AD700" t="str">
            <v>Good</v>
          </cell>
          <cell r="AE700" t="str">
            <v>V1 - Existing / No Claim</v>
          </cell>
          <cell r="AF700">
            <v>42235</v>
          </cell>
          <cell r="AG700">
            <v>9.17</v>
          </cell>
          <cell r="AH700" t="str">
            <v>PPM</v>
          </cell>
          <cell r="AI700" t="str">
            <v>Strands</v>
          </cell>
          <cell r="AJ700" t="str">
            <v>Strands PW</v>
          </cell>
        </row>
        <row r="701">
          <cell r="A701" t="str">
            <v>IKN400224</v>
          </cell>
          <cell r="B701">
            <v>224</v>
          </cell>
          <cell r="C701" t="str">
            <v>Institut Kanser Negara</v>
          </cell>
          <cell r="D701" t="str">
            <v>KKM/IKN/H/13/2210</v>
          </cell>
          <cell r="E701" t="str">
            <v>13-217</v>
          </cell>
          <cell r="F701" t="str">
            <v>Infusion Pumps, Syringe</v>
          </cell>
          <cell r="G701" t="str">
            <v>WJ</v>
          </cell>
          <cell r="H701" t="str">
            <v>MULTIDISCIPLINE WARD 1</v>
          </cell>
          <cell r="I701" t="str">
            <v>09WJ126</v>
          </cell>
          <cell r="J701" t="str">
            <v>EQUIPT. ROOM</v>
          </cell>
          <cell r="K701" t="str">
            <v>BMED</v>
          </cell>
          <cell r="L701" t="str">
            <v>Normal</v>
          </cell>
          <cell r="M701" t="str">
            <v>Germany</v>
          </cell>
          <cell r="N701" t="str">
            <v>Perfusor</v>
          </cell>
          <cell r="O701" t="str">
            <v>Perfusor Space</v>
          </cell>
          <cell r="P701" t="str">
            <v>211431</v>
          </cell>
          <cell r="Q701" t="str">
            <v>Not Applicable</v>
          </cell>
          <cell r="R701" t="str">
            <v>B Braun Melsungen AG</v>
          </cell>
          <cell r="S701" t="str">
            <v>B Braun Medical Supplies Sdn. Bhd.</v>
          </cell>
          <cell r="T701" t="str">
            <v>Functioning</v>
          </cell>
          <cell r="U701" t="str">
            <v>Asset</v>
          </cell>
          <cell r="V701">
            <v>10225</v>
          </cell>
          <cell r="W701" t="str">
            <v>KEW</v>
          </cell>
          <cell r="X701" t="str">
            <v>01/09/2010</v>
          </cell>
          <cell r="Y701" t="str">
            <v>KEW</v>
          </cell>
          <cell r="Z701" t="str">
            <v>16/08/2013</v>
          </cell>
          <cell r="AA701" t="str">
            <v>15/08/2015</v>
          </cell>
          <cell r="AB701" t="str">
            <v>No</v>
          </cell>
          <cell r="AC701" t="str">
            <v>31/08/2013</v>
          </cell>
          <cell r="AD701" t="str">
            <v>Good</v>
          </cell>
          <cell r="AE701" t="str">
            <v>V1 - Existing / No Claim</v>
          </cell>
          <cell r="AF701">
            <v>42235</v>
          </cell>
          <cell r="AG701">
            <v>9.17</v>
          </cell>
          <cell r="AH701" t="str">
            <v>PPM</v>
          </cell>
          <cell r="AI701" t="str">
            <v>Strands</v>
          </cell>
          <cell r="AJ701" t="str">
            <v>Strands PW</v>
          </cell>
        </row>
        <row r="702">
          <cell r="A702" t="str">
            <v>IKN400225</v>
          </cell>
          <cell r="B702">
            <v>225</v>
          </cell>
          <cell r="C702" t="str">
            <v>Institut Kanser Negara</v>
          </cell>
          <cell r="D702" t="str">
            <v>KKM/IKN/H/13/2211</v>
          </cell>
          <cell r="E702" t="str">
            <v>13-217</v>
          </cell>
          <cell r="F702" t="str">
            <v>Infusion Pumps, Syringe</v>
          </cell>
          <cell r="G702" t="str">
            <v>WJ</v>
          </cell>
          <cell r="H702" t="str">
            <v>MULTIDISCIPLINE WARD 1</v>
          </cell>
          <cell r="I702" t="str">
            <v>09WJ126</v>
          </cell>
          <cell r="J702" t="str">
            <v>EQUIPT. ROOM</v>
          </cell>
          <cell r="K702" t="str">
            <v>BMED</v>
          </cell>
          <cell r="L702" t="str">
            <v>Normal</v>
          </cell>
          <cell r="M702" t="str">
            <v>Germany</v>
          </cell>
          <cell r="N702" t="str">
            <v>Perfusor</v>
          </cell>
          <cell r="O702" t="str">
            <v>Perfusor Space</v>
          </cell>
          <cell r="P702" t="str">
            <v>211426</v>
          </cell>
          <cell r="Q702" t="str">
            <v>Not Applicable</v>
          </cell>
          <cell r="R702" t="str">
            <v>B Braun Melsungen AG</v>
          </cell>
          <cell r="S702" t="str">
            <v>B Braun Medical Supplies Sdn. Bhd.</v>
          </cell>
          <cell r="T702" t="str">
            <v>Functioning</v>
          </cell>
          <cell r="U702" t="str">
            <v>Asset</v>
          </cell>
          <cell r="V702">
            <v>10225</v>
          </cell>
          <cell r="W702" t="str">
            <v>KEW</v>
          </cell>
          <cell r="X702" t="str">
            <v>01/09/2010</v>
          </cell>
          <cell r="Y702" t="str">
            <v>KEW</v>
          </cell>
          <cell r="Z702" t="str">
            <v>16/08/2013</v>
          </cell>
          <cell r="AA702" t="str">
            <v>15/08/2015</v>
          </cell>
          <cell r="AB702" t="str">
            <v>No</v>
          </cell>
          <cell r="AC702" t="str">
            <v>31/08/2013</v>
          </cell>
          <cell r="AD702" t="str">
            <v>Good</v>
          </cell>
          <cell r="AE702" t="str">
            <v>V1 - Existing / No Claim</v>
          </cell>
          <cell r="AF702">
            <v>42235</v>
          </cell>
          <cell r="AG702">
            <v>9.17</v>
          </cell>
          <cell r="AH702" t="str">
            <v>PPM</v>
          </cell>
          <cell r="AI702" t="str">
            <v>Strands</v>
          </cell>
          <cell r="AJ702" t="str">
            <v>Strands PW</v>
          </cell>
        </row>
        <row r="703">
          <cell r="A703" t="str">
            <v>IKN400226</v>
          </cell>
          <cell r="B703">
            <v>226</v>
          </cell>
          <cell r="C703" t="str">
            <v>Institut Kanser Negara</v>
          </cell>
          <cell r="D703" t="str">
            <v>KKM/IKN/H/13/2213</v>
          </cell>
          <cell r="E703" t="str">
            <v>13-215</v>
          </cell>
          <cell r="F703" t="str">
            <v>Infusion Pumps, General-Purpose</v>
          </cell>
          <cell r="G703" t="str">
            <v>WJ</v>
          </cell>
          <cell r="H703" t="str">
            <v>MULTIDISCIPLINE WARD 1</v>
          </cell>
          <cell r="I703" t="str">
            <v>09WJ126</v>
          </cell>
          <cell r="J703" t="str">
            <v>EQUIPT. ROOM</v>
          </cell>
          <cell r="K703" t="str">
            <v>BMED</v>
          </cell>
          <cell r="L703" t="str">
            <v>Normal</v>
          </cell>
          <cell r="M703" t="str">
            <v>Germany</v>
          </cell>
          <cell r="N703" t="str">
            <v>Infusomat</v>
          </cell>
          <cell r="O703" t="str">
            <v>Infusomat Space</v>
          </cell>
          <cell r="P703" t="str">
            <v>246643</v>
          </cell>
          <cell r="Q703" t="str">
            <v>Not Applicable</v>
          </cell>
          <cell r="R703" t="str">
            <v>B Braun Melsungen AG</v>
          </cell>
          <cell r="S703" t="str">
            <v>B Braun Medical Supplies Sdn. Bhd.</v>
          </cell>
          <cell r="T703" t="str">
            <v>Functioning</v>
          </cell>
          <cell r="U703" t="str">
            <v>Asset</v>
          </cell>
          <cell r="V703">
            <v>10825</v>
          </cell>
          <cell r="W703" t="str">
            <v>KEW</v>
          </cell>
          <cell r="X703" t="str">
            <v>01/09/2010</v>
          </cell>
          <cell r="Y703" t="str">
            <v>KEW</v>
          </cell>
          <cell r="Z703" t="str">
            <v>16/08/2013</v>
          </cell>
          <cell r="AA703" t="str">
            <v>15/08/2015</v>
          </cell>
          <cell r="AB703" t="str">
            <v>No</v>
          </cell>
          <cell r="AC703" t="str">
            <v>31/08/2013</v>
          </cell>
          <cell r="AD703" t="str">
            <v>Good</v>
          </cell>
          <cell r="AE703" t="str">
            <v>V1 - Existing / No Claim</v>
          </cell>
          <cell r="AF703">
            <v>42235</v>
          </cell>
          <cell r="AG703">
            <v>9.17</v>
          </cell>
          <cell r="AH703" t="str">
            <v>PPM</v>
          </cell>
          <cell r="AI703" t="str">
            <v>Strands</v>
          </cell>
          <cell r="AJ703" t="str">
            <v>Strands PW</v>
          </cell>
        </row>
        <row r="704">
          <cell r="A704" t="str">
            <v>IKN400227</v>
          </cell>
          <cell r="B704">
            <v>227</v>
          </cell>
          <cell r="C704" t="str">
            <v>Institut Kanser Negara</v>
          </cell>
          <cell r="D704" t="str">
            <v>KKM/IKN/H/13/2230</v>
          </cell>
          <cell r="E704" t="str">
            <v>13-215</v>
          </cell>
          <cell r="F704" t="str">
            <v>Infusion Pumps, General-Purpose</v>
          </cell>
          <cell r="G704" t="str">
            <v>WJ</v>
          </cell>
          <cell r="H704" t="str">
            <v>MULTIDISCIPLINE WARD 1</v>
          </cell>
          <cell r="I704" t="str">
            <v>09WJ126</v>
          </cell>
          <cell r="J704" t="str">
            <v>EQUIPT. ROOM</v>
          </cell>
          <cell r="K704" t="str">
            <v>BMED</v>
          </cell>
          <cell r="L704" t="str">
            <v>Critical</v>
          </cell>
          <cell r="M704" t="str">
            <v>Germany</v>
          </cell>
          <cell r="N704" t="str">
            <v>Infusomat</v>
          </cell>
          <cell r="O704" t="str">
            <v>Infusomat Space</v>
          </cell>
          <cell r="P704" t="str">
            <v>246642</v>
          </cell>
          <cell r="Q704" t="str">
            <v>Not Applicable</v>
          </cell>
          <cell r="R704" t="str">
            <v>B Braun Melsungen AG</v>
          </cell>
          <cell r="S704" t="str">
            <v>B Braun Medical Supplies Sdn. Bhd.</v>
          </cell>
          <cell r="T704" t="str">
            <v>Functioning</v>
          </cell>
          <cell r="U704" t="str">
            <v>Asset</v>
          </cell>
          <cell r="V704">
            <v>10825</v>
          </cell>
          <cell r="W704" t="str">
            <v>KEW</v>
          </cell>
          <cell r="X704" t="str">
            <v>01/09/2010</v>
          </cell>
          <cell r="Y704" t="str">
            <v>KEW</v>
          </cell>
          <cell r="Z704" t="str">
            <v>16/08/2013</v>
          </cell>
          <cell r="AA704" t="str">
            <v>15/08/2015</v>
          </cell>
          <cell r="AB704" t="str">
            <v>No</v>
          </cell>
          <cell r="AC704" t="str">
            <v>31/08/2013</v>
          </cell>
          <cell r="AD704" t="str">
            <v>Good</v>
          </cell>
          <cell r="AE704" t="str">
            <v>V1 - Existing / No Claim</v>
          </cell>
          <cell r="AF704">
            <v>42789</v>
          </cell>
          <cell r="AG704">
            <v>9.17</v>
          </cell>
          <cell r="AH704" t="str">
            <v>PPM</v>
          </cell>
          <cell r="AI704" t="str">
            <v>Strands</v>
          </cell>
          <cell r="AJ704" t="str">
            <v>Strands PW</v>
          </cell>
        </row>
        <row r="705">
          <cell r="A705" t="str">
            <v>IKN400228</v>
          </cell>
          <cell r="B705">
            <v>228</v>
          </cell>
          <cell r="C705" t="str">
            <v>Institut Kanser Negara</v>
          </cell>
          <cell r="D705" t="str">
            <v>KKM/IKN/H/13/2231</v>
          </cell>
          <cell r="E705" t="str">
            <v>13-215</v>
          </cell>
          <cell r="F705" t="str">
            <v>Infusion Pumps, General-Purpose</v>
          </cell>
          <cell r="G705" t="str">
            <v>WJ</v>
          </cell>
          <cell r="H705" t="str">
            <v>MULTIDISCIPLINE WARD 1</v>
          </cell>
          <cell r="I705" t="str">
            <v>09WJ126</v>
          </cell>
          <cell r="J705" t="str">
            <v>EQUIPT. ROOM</v>
          </cell>
          <cell r="K705" t="str">
            <v>BMED</v>
          </cell>
          <cell r="L705" t="str">
            <v>Normal</v>
          </cell>
          <cell r="M705" t="str">
            <v>Germany</v>
          </cell>
          <cell r="N705" t="str">
            <v>Infusomat</v>
          </cell>
          <cell r="O705" t="str">
            <v>Infusomat Space</v>
          </cell>
          <cell r="P705" t="str">
            <v>237129</v>
          </cell>
          <cell r="Q705" t="str">
            <v>Not Applicable</v>
          </cell>
          <cell r="R705" t="str">
            <v>B Braun Melsungen AG</v>
          </cell>
          <cell r="S705" t="str">
            <v>B Braun Medical Supplies Sdn. Bhd.</v>
          </cell>
          <cell r="T705" t="str">
            <v>Functioning</v>
          </cell>
          <cell r="U705" t="str">
            <v>Asset</v>
          </cell>
          <cell r="V705">
            <v>10825</v>
          </cell>
          <cell r="W705" t="str">
            <v>KEW</v>
          </cell>
          <cell r="X705" t="str">
            <v>01/09/2010</v>
          </cell>
          <cell r="Y705" t="str">
            <v>KEW</v>
          </cell>
          <cell r="Z705" t="str">
            <v>16/08/2013</v>
          </cell>
          <cell r="AA705" t="str">
            <v>15/08/2015</v>
          </cell>
          <cell r="AB705" t="str">
            <v>No</v>
          </cell>
          <cell r="AC705" t="str">
            <v>31/08/2013</v>
          </cell>
          <cell r="AD705" t="str">
            <v>Good</v>
          </cell>
          <cell r="AE705" t="str">
            <v>V1 - Existing / No Claim</v>
          </cell>
          <cell r="AF705">
            <v>42235</v>
          </cell>
          <cell r="AG705">
            <v>9.17</v>
          </cell>
          <cell r="AH705" t="str">
            <v>PPM</v>
          </cell>
          <cell r="AI705" t="str">
            <v>Strands</v>
          </cell>
          <cell r="AJ705" t="str">
            <v>Strands PW</v>
          </cell>
        </row>
        <row r="706">
          <cell r="A706" t="str">
            <v>IKN400229</v>
          </cell>
          <cell r="B706">
            <v>229</v>
          </cell>
          <cell r="C706" t="str">
            <v>Institut Kanser Negara</v>
          </cell>
          <cell r="D706" t="str">
            <v>KKM/IKN/H/13/2214</v>
          </cell>
          <cell r="E706" t="str">
            <v>13-215</v>
          </cell>
          <cell r="F706" t="str">
            <v>Infusion Pumps, General-Purpose</v>
          </cell>
          <cell r="G706" t="str">
            <v>WJ</v>
          </cell>
          <cell r="H706" t="str">
            <v>MULTIDISCIPLINE WARD 1</v>
          </cell>
          <cell r="I706" t="str">
            <v>09WJ126</v>
          </cell>
          <cell r="J706" t="str">
            <v>EQUIPT. ROOM</v>
          </cell>
          <cell r="K706" t="str">
            <v>BMED</v>
          </cell>
          <cell r="L706" t="str">
            <v>Normal</v>
          </cell>
          <cell r="M706" t="str">
            <v>Germany</v>
          </cell>
          <cell r="N706" t="str">
            <v>Infusomat</v>
          </cell>
          <cell r="O706" t="str">
            <v>Infusomat Space</v>
          </cell>
          <cell r="P706" t="str">
            <v>246689</v>
          </cell>
          <cell r="Q706" t="str">
            <v>Not Applicable</v>
          </cell>
          <cell r="R706" t="str">
            <v>B Braun Melsungen AG</v>
          </cell>
          <cell r="S706" t="str">
            <v>B Braun Medical Supplies Sdn. Bhd.</v>
          </cell>
          <cell r="T706" t="str">
            <v>Functioning</v>
          </cell>
          <cell r="U706" t="str">
            <v>Asset</v>
          </cell>
          <cell r="V706">
            <v>10825</v>
          </cell>
          <cell r="W706" t="str">
            <v>KEW</v>
          </cell>
          <cell r="X706" t="str">
            <v>01/09/2010</v>
          </cell>
          <cell r="Y706" t="str">
            <v>KEW</v>
          </cell>
          <cell r="Z706" t="str">
            <v>16/08/2013</v>
          </cell>
          <cell r="AA706" t="str">
            <v>15/08/2015</v>
          </cell>
          <cell r="AB706" t="str">
            <v>No</v>
          </cell>
          <cell r="AC706" t="str">
            <v>31/08/2013</v>
          </cell>
          <cell r="AD706" t="str">
            <v>Good</v>
          </cell>
          <cell r="AE706" t="str">
            <v>V1 - Existing / No Claim</v>
          </cell>
          <cell r="AF706">
            <v>42235</v>
          </cell>
          <cell r="AG706">
            <v>9.17</v>
          </cell>
          <cell r="AH706" t="str">
            <v>PPM</v>
          </cell>
          <cell r="AI706" t="str">
            <v>Strands</v>
          </cell>
          <cell r="AJ706" t="str">
            <v>Strands PW</v>
          </cell>
        </row>
        <row r="707">
          <cell r="A707" t="str">
            <v>IKN400230</v>
          </cell>
          <cell r="B707">
            <v>230</v>
          </cell>
          <cell r="C707" t="str">
            <v>Institut Kanser Negara</v>
          </cell>
          <cell r="D707" t="str">
            <v>KKM/IKN/H/13/2215</v>
          </cell>
          <cell r="E707" t="str">
            <v>13-215</v>
          </cell>
          <cell r="F707" t="str">
            <v>Infusion Pumps, General-Purpose</v>
          </cell>
          <cell r="G707" t="str">
            <v>WJ</v>
          </cell>
          <cell r="H707" t="str">
            <v>MULTIDISCIPLINE WARD 1</v>
          </cell>
          <cell r="I707" t="str">
            <v>09WJ126</v>
          </cell>
          <cell r="J707" t="str">
            <v>EQUIPT. ROOM</v>
          </cell>
          <cell r="K707" t="str">
            <v>BMED</v>
          </cell>
          <cell r="L707" t="str">
            <v>Normal</v>
          </cell>
          <cell r="M707" t="str">
            <v>Germany</v>
          </cell>
          <cell r="N707" t="str">
            <v>Infusomat</v>
          </cell>
          <cell r="O707" t="str">
            <v>Infusomat Space</v>
          </cell>
          <cell r="P707" t="str">
            <v>246674</v>
          </cell>
          <cell r="Q707" t="str">
            <v>Not Applicable</v>
          </cell>
          <cell r="R707" t="str">
            <v>B Braun Melsungen AG</v>
          </cell>
          <cell r="S707" t="str">
            <v>B Braun Medical Supplies Sdn. Bhd.</v>
          </cell>
          <cell r="T707" t="str">
            <v>Functioning</v>
          </cell>
          <cell r="U707" t="str">
            <v>Asset</v>
          </cell>
          <cell r="V707">
            <v>10825</v>
          </cell>
          <cell r="W707" t="str">
            <v>KEW</v>
          </cell>
          <cell r="X707" t="str">
            <v>01/09/2010</v>
          </cell>
          <cell r="Y707" t="str">
            <v>KEW</v>
          </cell>
          <cell r="Z707" t="str">
            <v>16/08/2013</v>
          </cell>
          <cell r="AA707" t="str">
            <v>15/08/2015</v>
          </cell>
          <cell r="AB707" t="str">
            <v>No</v>
          </cell>
          <cell r="AC707" t="str">
            <v>31/08/2013</v>
          </cell>
          <cell r="AD707" t="str">
            <v>Good</v>
          </cell>
          <cell r="AE707" t="str">
            <v>V1 - Existing / No Claim</v>
          </cell>
          <cell r="AF707">
            <v>42235</v>
          </cell>
          <cell r="AG707">
            <v>9.17</v>
          </cell>
          <cell r="AH707" t="str">
            <v>PPM</v>
          </cell>
          <cell r="AI707" t="str">
            <v>Strands</v>
          </cell>
          <cell r="AJ707" t="str">
            <v>Strands PW</v>
          </cell>
        </row>
        <row r="708">
          <cell r="A708" t="str">
            <v>IKN400231</v>
          </cell>
          <cell r="B708">
            <v>231</v>
          </cell>
          <cell r="C708" t="str">
            <v>Institut Kanser Negara</v>
          </cell>
          <cell r="D708" t="str">
            <v>KKM/IKN/H/13/2216</v>
          </cell>
          <cell r="E708" t="str">
            <v>13-215</v>
          </cell>
          <cell r="F708" t="str">
            <v>Infusion Pumps, General-Purpose</v>
          </cell>
          <cell r="G708" t="str">
            <v>WJ</v>
          </cell>
          <cell r="H708" t="str">
            <v>MULTIDISCIPLINE WARD 1</v>
          </cell>
          <cell r="I708" t="str">
            <v>09WJ126</v>
          </cell>
          <cell r="J708" t="str">
            <v>EQUIPT. ROOM</v>
          </cell>
          <cell r="K708" t="str">
            <v>BMED</v>
          </cell>
          <cell r="L708" t="str">
            <v>Normal</v>
          </cell>
          <cell r="M708" t="str">
            <v>Germany</v>
          </cell>
          <cell r="N708" t="str">
            <v>Infusomat</v>
          </cell>
          <cell r="O708" t="str">
            <v>Infusomat Space</v>
          </cell>
          <cell r="P708" t="str">
            <v>245266</v>
          </cell>
          <cell r="Q708" t="str">
            <v>Not Applicable</v>
          </cell>
          <cell r="R708" t="str">
            <v>B Braun Melsungen AG</v>
          </cell>
          <cell r="S708" t="str">
            <v>B Braun Medical Supplies Sdn. Bhd.</v>
          </cell>
          <cell r="T708" t="str">
            <v>Functioning</v>
          </cell>
          <cell r="U708" t="str">
            <v>Asset</v>
          </cell>
          <cell r="V708">
            <v>10825</v>
          </cell>
          <cell r="W708" t="str">
            <v>KEW</v>
          </cell>
          <cell r="X708" t="str">
            <v>01/09/2010</v>
          </cell>
          <cell r="Y708" t="str">
            <v>KEW</v>
          </cell>
          <cell r="Z708" t="str">
            <v>16/08/2013</v>
          </cell>
          <cell r="AA708" t="str">
            <v>15/08/2015</v>
          </cell>
          <cell r="AB708" t="str">
            <v>No</v>
          </cell>
          <cell r="AC708" t="str">
            <v>31/08/2013</v>
          </cell>
          <cell r="AD708" t="str">
            <v>Good</v>
          </cell>
          <cell r="AE708" t="str">
            <v>V1 - Existing / No Claim</v>
          </cell>
          <cell r="AF708">
            <v>42235</v>
          </cell>
          <cell r="AG708">
            <v>9.17</v>
          </cell>
          <cell r="AH708" t="str">
            <v>PPM</v>
          </cell>
          <cell r="AI708" t="str">
            <v>Strands</v>
          </cell>
          <cell r="AJ708" t="str">
            <v>Strands PW</v>
          </cell>
        </row>
        <row r="709">
          <cell r="A709" t="str">
            <v>IKN400232</v>
          </cell>
          <cell r="B709">
            <v>232</v>
          </cell>
          <cell r="C709" t="str">
            <v>Institut Kanser Negara</v>
          </cell>
          <cell r="D709" t="str">
            <v>KKM/IKN/H/13/2217</v>
          </cell>
          <cell r="E709" t="str">
            <v>13-215</v>
          </cell>
          <cell r="F709" t="str">
            <v>Infusion Pumps, General-Purpose</v>
          </cell>
          <cell r="G709" t="str">
            <v>WJ</v>
          </cell>
          <cell r="H709" t="str">
            <v>MULTIDISCIPLINE WARD 1</v>
          </cell>
          <cell r="I709" t="str">
            <v>09WJ126</v>
          </cell>
          <cell r="J709" t="str">
            <v>EQUIPT. ROOM</v>
          </cell>
          <cell r="K709" t="str">
            <v>BMED</v>
          </cell>
          <cell r="L709" t="str">
            <v>Normal</v>
          </cell>
          <cell r="M709" t="str">
            <v>Germany</v>
          </cell>
          <cell r="N709" t="str">
            <v>Infusomat</v>
          </cell>
          <cell r="O709" t="str">
            <v>Infusomat Space</v>
          </cell>
          <cell r="P709" t="str">
            <v>246650</v>
          </cell>
          <cell r="Q709" t="str">
            <v>Not Applicable</v>
          </cell>
          <cell r="R709" t="str">
            <v>B Braun Melsungen AG</v>
          </cell>
          <cell r="S709" t="str">
            <v>B Braun Medical Supplies Sdn. Bhd.</v>
          </cell>
          <cell r="T709" t="str">
            <v>Functioning</v>
          </cell>
          <cell r="U709" t="str">
            <v>Asset</v>
          </cell>
          <cell r="V709">
            <v>10825</v>
          </cell>
          <cell r="W709" t="str">
            <v>KEW</v>
          </cell>
          <cell r="X709" t="str">
            <v>01/09/2010</v>
          </cell>
          <cell r="Y709" t="str">
            <v>KEW</v>
          </cell>
          <cell r="Z709" t="str">
            <v>16/08/2013</v>
          </cell>
          <cell r="AA709" t="str">
            <v>15/08/2015</v>
          </cell>
          <cell r="AB709" t="str">
            <v>No</v>
          </cell>
          <cell r="AC709" t="str">
            <v>31/08/2013</v>
          </cell>
          <cell r="AD709" t="str">
            <v>Good</v>
          </cell>
          <cell r="AE709" t="str">
            <v>V1 - Existing / No Claim</v>
          </cell>
          <cell r="AF709">
            <v>42235</v>
          </cell>
          <cell r="AG709">
            <v>9.17</v>
          </cell>
          <cell r="AH709" t="str">
            <v>PPM</v>
          </cell>
          <cell r="AI709" t="str">
            <v>Strands</v>
          </cell>
          <cell r="AJ709" t="str">
            <v>Strands PW</v>
          </cell>
        </row>
        <row r="710">
          <cell r="A710" t="str">
            <v>IKN400233</v>
          </cell>
          <cell r="B710">
            <v>233</v>
          </cell>
          <cell r="C710" t="str">
            <v>Institut Kanser Negara</v>
          </cell>
          <cell r="D710" t="str">
            <v>KKM/IKN/H/13/2218</v>
          </cell>
          <cell r="E710" t="str">
            <v>13-215</v>
          </cell>
          <cell r="F710" t="str">
            <v>Infusion Pumps, General-Purpose</v>
          </cell>
          <cell r="G710" t="str">
            <v>WJ</v>
          </cell>
          <cell r="H710" t="str">
            <v>MULTIDISCIPLINE WARD 1</v>
          </cell>
          <cell r="I710" t="str">
            <v>09WJ126</v>
          </cell>
          <cell r="J710" t="str">
            <v>EQUIPT. ROOM</v>
          </cell>
          <cell r="K710" t="str">
            <v>BMED</v>
          </cell>
          <cell r="L710" t="str">
            <v>Normal</v>
          </cell>
          <cell r="M710" t="str">
            <v>Germany</v>
          </cell>
          <cell r="N710" t="str">
            <v>Infusomat</v>
          </cell>
          <cell r="O710" t="str">
            <v>Infusomat Space</v>
          </cell>
          <cell r="P710" t="str">
            <v>245254</v>
          </cell>
          <cell r="Q710" t="str">
            <v>Not Applicable</v>
          </cell>
          <cell r="R710" t="str">
            <v>B Braun Melsungen AG</v>
          </cell>
          <cell r="S710" t="str">
            <v>B Braun Medical Supplies Sdn. Bhd.</v>
          </cell>
          <cell r="T710" t="str">
            <v>Functioning</v>
          </cell>
          <cell r="U710" t="str">
            <v>Asset</v>
          </cell>
          <cell r="V710">
            <v>10825</v>
          </cell>
          <cell r="W710" t="str">
            <v>KEW</v>
          </cell>
          <cell r="X710" t="str">
            <v>01/09/2010</v>
          </cell>
          <cell r="Y710" t="str">
            <v>KEW</v>
          </cell>
          <cell r="Z710" t="str">
            <v>16/08/2013</v>
          </cell>
          <cell r="AA710" t="str">
            <v>15/08/2015</v>
          </cell>
          <cell r="AB710" t="str">
            <v>No</v>
          </cell>
          <cell r="AC710" t="str">
            <v>31/08/2013</v>
          </cell>
          <cell r="AD710" t="str">
            <v>Good</v>
          </cell>
          <cell r="AE710" t="str">
            <v>V1 - Existing / No Claim</v>
          </cell>
          <cell r="AF710">
            <v>42235</v>
          </cell>
          <cell r="AG710">
            <v>9.17</v>
          </cell>
          <cell r="AH710" t="str">
            <v>PPM</v>
          </cell>
          <cell r="AI710" t="str">
            <v>Strands</v>
          </cell>
          <cell r="AJ710" t="str">
            <v>Strands PW</v>
          </cell>
        </row>
        <row r="711">
          <cell r="A711" t="str">
            <v>IKN400234</v>
          </cell>
          <cell r="B711">
            <v>234</v>
          </cell>
          <cell r="C711" t="str">
            <v>Institut Kanser Negara</v>
          </cell>
          <cell r="D711" t="str">
            <v>KKM/IKN/H/13/2219</v>
          </cell>
          <cell r="E711" t="str">
            <v>13-215</v>
          </cell>
          <cell r="F711" t="str">
            <v>Infusion Pumps, General-Purpose</v>
          </cell>
          <cell r="G711" t="str">
            <v>WJ</v>
          </cell>
          <cell r="H711" t="str">
            <v>MULTIDISCIPLINE WARD 1</v>
          </cell>
          <cell r="I711" t="str">
            <v>09WJ126</v>
          </cell>
          <cell r="J711" t="str">
            <v>EQUIPT. ROOM</v>
          </cell>
          <cell r="K711" t="str">
            <v>BMED</v>
          </cell>
          <cell r="L711" t="str">
            <v>Normal</v>
          </cell>
          <cell r="M711" t="str">
            <v>Germany</v>
          </cell>
          <cell r="N711" t="str">
            <v>Infusomat</v>
          </cell>
          <cell r="O711" t="str">
            <v>Infusomat Space</v>
          </cell>
          <cell r="P711" t="str">
            <v>237199</v>
          </cell>
          <cell r="Q711" t="str">
            <v>Not Applicable</v>
          </cell>
          <cell r="R711" t="str">
            <v>B Braun Melsungen AG</v>
          </cell>
          <cell r="S711" t="str">
            <v>B Braun Medical Supplies Sdn. Bhd.</v>
          </cell>
          <cell r="T711" t="str">
            <v>Functioning</v>
          </cell>
          <cell r="U711" t="str">
            <v>Asset</v>
          </cell>
          <cell r="V711">
            <v>10825</v>
          </cell>
          <cell r="W711" t="str">
            <v>KEW</v>
          </cell>
          <cell r="X711" t="str">
            <v>01/09/2010</v>
          </cell>
          <cell r="Y711" t="str">
            <v>KEW</v>
          </cell>
          <cell r="Z711" t="str">
            <v>16/08/2013</v>
          </cell>
          <cell r="AA711" t="str">
            <v>15/08/2015</v>
          </cell>
          <cell r="AB711" t="str">
            <v>No</v>
          </cell>
          <cell r="AC711" t="str">
            <v>31/08/2013</v>
          </cell>
          <cell r="AD711" t="str">
            <v>Good</v>
          </cell>
          <cell r="AE711" t="str">
            <v>V1 - Existing / No Claim</v>
          </cell>
          <cell r="AF711">
            <v>42235</v>
          </cell>
          <cell r="AG711">
            <v>9.17</v>
          </cell>
          <cell r="AH711" t="str">
            <v>PPM</v>
          </cell>
          <cell r="AI711" t="str">
            <v>Strands</v>
          </cell>
          <cell r="AJ711" t="str">
            <v>Strands PW</v>
          </cell>
        </row>
        <row r="712">
          <cell r="A712" t="str">
            <v>IKN400235</v>
          </cell>
          <cell r="B712">
            <v>235</v>
          </cell>
          <cell r="C712" t="str">
            <v>Institut Kanser Negara</v>
          </cell>
          <cell r="D712" t="str">
            <v>KKM/IKN/H/13/2220</v>
          </cell>
          <cell r="E712" t="str">
            <v>13-215</v>
          </cell>
          <cell r="F712" t="str">
            <v>Infusion Pumps, General-Purpose</v>
          </cell>
          <cell r="G712" t="str">
            <v>WJ</v>
          </cell>
          <cell r="H712" t="str">
            <v>MULTIDISCIPLINE WARD 1</v>
          </cell>
          <cell r="I712" t="str">
            <v>09WJ126</v>
          </cell>
          <cell r="J712" t="str">
            <v>EQUIPT. ROOM</v>
          </cell>
          <cell r="K712" t="str">
            <v>BMED</v>
          </cell>
          <cell r="L712" t="str">
            <v>Normal</v>
          </cell>
          <cell r="M712" t="str">
            <v>Germany</v>
          </cell>
          <cell r="N712" t="str">
            <v>Infusomat</v>
          </cell>
          <cell r="O712" t="str">
            <v>Infusomat Space</v>
          </cell>
          <cell r="P712" t="str">
            <v>237132</v>
          </cell>
          <cell r="Q712" t="str">
            <v>Not Applicable</v>
          </cell>
          <cell r="R712" t="str">
            <v>B Braun Melsungen AG</v>
          </cell>
          <cell r="S712" t="str">
            <v>B Braun Medical Supplies Sdn. Bhd.</v>
          </cell>
          <cell r="T712" t="str">
            <v>Functioning</v>
          </cell>
          <cell r="U712" t="str">
            <v>Asset</v>
          </cell>
          <cell r="V712">
            <v>10825</v>
          </cell>
          <cell r="W712" t="str">
            <v>KEW</v>
          </cell>
          <cell r="X712" t="str">
            <v>01/09/2010</v>
          </cell>
          <cell r="Y712" t="str">
            <v>KEW</v>
          </cell>
          <cell r="Z712" t="str">
            <v>16/08/2013</v>
          </cell>
          <cell r="AA712" t="str">
            <v>15/08/2015</v>
          </cell>
          <cell r="AB712" t="str">
            <v>No</v>
          </cell>
          <cell r="AC712" t="str">
            <v>31/08/2013</v>
          </cell>
          <cell r="AD712" t="str">
            <v>Good</v>
          </cell>
          <cell r="AE712" t="str">
            <v>V1 - Existing / No Claim</v>
          </cell>
          <cell r="AF712">
            <v>42235</v>
          </cell>
          <cell r="AG712">
            <v>9.17</v>
          </cell>
          <cell r="AH712" t="str">
            <v>PPM</v>
          </cell>
          <cell r="AI712" t="str">
            <v>Strands</v>
          </cell>
          <cell r="AJ712" t="str">
            <v>Strands PW</v>
          </cell>
        </row>
        <row r="713">
          <cell r="A713" t="str">
            <v>IKN400236</v>
          </cell>
          <cell r="B713">
            <v>236</v>
          </cell>
          <cell r="C713" t="str">
            <v>Institut Kanser Negara</v>
          </cell>
          <cell r="D713" t="str">
            <v>KKM/IKN/H/13/2528</v>
          </cell>
          <cell r="E713" t="str">
            <v>16-231</v>
          </cell>
          <cell r="F713" t="str">
            <v>Electrocardiographs, Multichannel, Interpretative</v>
          </cell>
          <cell r="G713" t="str">
            <v>WG</v>
          </cell>
          <cell r="H713" t="str">
            <v>RT/ONCO WARD 1 (M)</v>
          </cell>
          <cell r="I713" t="str">
            <v>08WG107</v>
          </cell>
          <cell r="J713" t="str">
            <v>TREATMENT / PROCEDURE</v>
          </cell>
          <cell r="K713" t="str">
            <v>BMED</v>
          </cell>
          <cell r="L713" t="str">
            <v>Normal</v>
          </cell>
          <cell r="M713" t="str">
            <v>China</v>
          </cell>
          <cell r="N713" t="str">
            <v>Mac</v>
          </cell>
          <cell r="O713" t="str">
            <v>MAC 800</v>
          </cell>
          <cell r="P713" t="str">
            <v>SJ412450375WA</v>
          </cell>
          <cell r="Q713" t="str">
            <v>Not Applicable</v>
          </cell>
          <cell r="R713" t="str">
            <v>GE Healthcare Systems</v>
          </cell>
          <cell r="S713" t="str">
            <v>GE Healthcare Technologies</v>
          </cell>
          <cell r="T713" t="str">
            <v>Functioning</v>
          </cell>
          <cell r="U713" t="str">
            <v>Asset</v>
          </cell>
          <cell r="V713">
            <v>25260</v>
          </cell>
          <cell r="W713" t="str">
            <v>KEW</v>
          </cell>
          <cell r="X713" t="str">
            <v>01/09/2010</v>
          </cell>
          <cell r="Y713" t="str">
            <v>KEW</v>
          </cell>
          <cell r="Z713" t="str">
            <v>16/08/2013</v>
          </cell>
          <cell r="AA713" t="str">
            <v>15/08/2015</v>
          </cell>
          <cell r="AB713" t="str">
            <v>No</v>
          </cell>
          <cell r="AC713" t="str">
            <v>31/08/2013</v>
          </cell>
          <cell r="AD713" t="str">
            <v>Good</v>
          </cell>
          <cell r="AE713" t="str">
            <v>V1 - Existing / No Claim</v>
          </cell>
          <cell r="AF713">
            <v>42235</v>
          </cell>
          <cell r="AG713">
            <v>9.17</v>
          </cell>
          <cell r="AH713" t="str">
            <v>PPM</v>
          </cell>
          <cell r="AI713" t="str">
            <v>Strands</v>
          </cell>
          <cell r="AJ713" t="str">
            <v>Strands PW</v>
          </cell>
        </row>
        <row r="714">
          <cell r="A714" t="str">
            <v>IKN400237</v>
          </cell>
          <cell r="B714">
            <v>237</v>
          </cell>
          <cell r="C714" t="str">
            <v>Institut Kanser Negara</v>
          </cell>
          <cell r="D714" t="str">
            <v>KKM/IKN/H/13/2536</v>
          </cell>
          <cell r="E714" t="str">
            <v>10-208</v>
          </cell>
          <cell r="F714" t="str">
            <v>Aspirators</v>
          </cell>
          <cell r="G714" t="str">
            <v>WG</v>
          </cell>
          <cell r="H714" t="str">
            <v>RT/ONCO WARD 1 (M)</v>
          </cell>
          <cell r="I714" t="str">
            <v>08WG107</v>
          </cell>
          <cell r="J714" t="str">
            <v>TREATMENT / PROCEDURE</v>
          </cell>
          <cell r="K714" t="str">
            <v>BMED</v>
          </cell>
          <cell r="L714" t="str">
            <v>Critical</v>
          </cell>
          <cell r="M714" t="str">
            <v>Switzerland</v>
          </cell>
          <cell r="N714" t="str">
            <v>Senator</v>
          </cell>
          <cell r="O714" t="str">
            <v>Senator</v>
          </cell>
          <cell r="P714" t="str">
            <v>1220753</v>
          </cell>
          <cell r="Q714" t="str">
            <v>Not Applicable</v>
          </cell>
          <cell r="R714" t="str">
            <v>Ardo Medical AG</v>
          </cell>
          <cell r="S714" t="str">
            <v>Histopoint</v>
          </cell>
          <cell r="T714" t="str">
            <v>Functioning</v>
          </cell>
          <cell r="U714" t="str">
            <v>Asset</v>
          </cell>
          <cell r="V714">
            <v>5052</v>
          </cell>
          <cell r="W714" t="str">
            <v>KEW</v>
          </cell>
          <cell r="X714" t="str">
            <v>01/09/2010</v>
          </cell>
          <cell r="Y714" t="str">
            <v>KEW</v>
          </cell>
          <cell r="Z714" t="str">
            <v>16/08/2013</v>
          </cell>
          <cell r="AA714" t="str">
            <v>15/08/2015</v>
          </cell>
          <cell r="AB714" t="str">
            <v>No</v>
          </cell>
          <cell r="AC714" t="str">
            <v>31/08/2013</v>
          </cell>
          <cell r="AD714" t="str">
            <v>Good</v>
          </cell>
          <cell r="AE714" t="str">
            <v>V1 - Existing / No Claim</v>
          </cell>
          <cell r="AF714">
            <v>42789</v>
          </cell>
          <cell r="AG714">
            <v>9.17</v>
          </cell>
          <cell r="AH714" t="str">
            <v>PPM</v>
          </cell>
          <cell r="AI714" t="str">
            <v>Strands</v>
          </cell>
          <cell r="AJ714" t="str">
            <v>Strands PW</v>
          </cell>
        </row>
        <row r="715">
          <cell r="A715" t="str">
            <v>IKN400241</v>
          </cell>
          <cell r="B715">
            <v>241</v>
          </cell>
          <cell r="C715" t="str">
            <v>Institut Kanser Negara</v>
          </cell>
          <cell r="D715" t="str">
            <v>KKM/IKN/H/13/2555</v>
          </cell>
          <cell r="E715" t="str">
            <v>12-282</v>
          </cell>
          <cell r="F715" t="str">
            <v>Lights, Surgical</v>
          </cell>
          <cell r="G715" t="str">
            <v>WG</v>
          </cell>
          <cell r="H715" t="str">
            <v>RT/ONCO WARD 1 (M)</v>
          </cell>
          <cell r="I715" t="str">
            <v>08WG113</v>
          </cell>
          <cell r="J715" t="str">
            <v>EQUIPMENT ROOM</v>
          </cell>
          <cell r="K715" t="str">
            <v>BMED</v>
          </cell>
          <cell r="L715" t="str">
            <v>Critical</v>
          </cell>
          <cell r="M715" t="str">
            <v>USA</v>
          </cell>
          <cell r="N715" t="str">
            <v>Welch Allyn</v>
          </cell>
          <cell r="O715" t="str">
            <v>Welch Allyn GS600</v>
          </cell>
          <cell r="P715" t="str">
            <v>GS-600-40</v>
          </cell>
          <cell r="Q715" t="str">
            <v>Not Applicable</v>
          </cell>
          <cell r="R715" t="str">
            <v>Welch Allyn Inc</v>
          </cell>
          <cell r="S715" t="str">
            <v>Welch Allyn Malaysia Sdn Bhd</v>
          </cell>
          <cell r="T715" t="str">
            <v>Functioning</v>
          </cell>
          <cell r="U715" t="str">
            <v>Asset</v>
          </cell>
          <cell r="V715">
            <v>5050</v>
          </cell>
          <cell r="W715" t="str">
            <v>KEW</v>
          </cell>
          <cell r="X715" t="str">
            <v>01/09/2010</v>
          </cell>
          <cell r="Y715" t="str">
            <v>KEW</v>
          </cell>
          <cell r="Z715" t="str">
            <v>16/08/2013</v>
          </cell>
          <cell r="AA715" t="str">
            <v>15/08/2015</v>
          </cell>
          <cell r="AB715" t="str">
            <v>No</v>
          </cell>
          <cell r="AC715" t="str">
            <v>31/08/2013</v>
          </cell>
          <cell r="AD715" t="str">
            <v>Good</v>
          </cell>
          <cell r="AE715" t="str">
            <v>V1 - Existing / No Claim</v>
          </cell>
          <cell r="AF715">
            <v>42789</v>
          </cell>
          <cell r="AG715">
            <v>9.17</v>
          </cell>
          <cell r="AH715" t="str">
            <v>PPM</v>
          </cell>
          <cell r="AI715" t="str">
            <v>Strands</v>
          </cell>
          <cell r="AJ715" t="str">
            <v>Strands PW</v>
          </cell>
        </row>
        <row r="716">
          <cell r="A716" t="str">
            <v>IKN400242</v>
          </cell>
          <cell r="B716">
            <v>242</v>
          </cell>
          <cell r="C716" t="str">
            <v>Institut Kanser Negara</v>
          </cell>
          <cell r="D716" t="str">
            <v>KKM/IKN/H/13/2552</v>
          </cell>
          <cell r="E716" t="str">
            <v>15-045</v>
          </cell>
          <cell r="F716" t="str">
            <v>Nebulizers, Nonheated</v>
          </cell>
          <cell r="G716" t="str">
            <v>WG</v>
          </cell>
          <cell r="H716" t="str">
            <v>RT/ONCO WARD 1 (M)</v>
          </cell>
          <cell r="I716" t="str">
            <v>08WG113</v>
          </cell>
          <cell r="J716" t="str">
            <v>EQUIPMENT ROOM</v>
          </cell>
          <cell r="K716" t="str">
            <v>BMED</v>
          </cell>
          <cell r="L716" t="str">
            <v>Normal</v>
          </cell>
          <cell r="M716" t="str">
            <v>Germany</v>
          </cell>
          <cell r="N716" t="str">
            <v>Pari Boy</v>
          </cell>
          <cell r="O716" t="str">
            <v>Pari Boy SX 085</v>
          </cell>
          <cell r="P716" t="str">
            <v>2W12F13761</v>
          </cell>
          <cell r="Q716" t="str">
            <v>Not Applicable</v>
          </cell>
          <cell r="R716" t="str">
            <v>Pari GmbH</v>
          </cell>
          <cell r="S716" t="str">
            <v>Welch Allyn Malaysia Sdn Bhd</v>
          </cell>
          <cell r="T716" t="str">
            <v>Functioning</v>
          </cell>
          <cell r="U716" t="str">
            <v>Asset</v>
          </cell>
          <cell r="V716">
            <v>1140</v>
          </cell>
          <cell r="W716" t="str">
            <v>KEW</v>
          </cell>
          <cell r="X716" t="str">
            <v>01/09/2010</v>
          </cell>
          <cell r="Y716" t="str">
            <v>KEW</v>
          </cell>
          <cell r="Z716" t="str">
            <v>16/08/2013</v>
          </cell>
          <cell r="AA716" t="str">
            <v>15/08/2015</v>
          </cell>
          <cell r="AB716" t="str">
            <v>No</v>
          </cell>
          <cell r="AC716" t="str">
            <v>31/08/2013</v>
          </cell>
          <cell r="AD716" t="str">
            <v>Good</v>
          </cell>
          <cell r="AE716" t="str">
            <v>V1 - Existing / No Claim</v>
          </cell>
          <cell r="AF716">
            <v>42789</v>
          </cell>
          <cell r="AG716">
            <v>9.17</v>
          </cell>
          <cell r="AH716" t="str">
            <v>PPM</v>
          </cell>
          <cell r="AI716" t="str">
            <v>Strands</v>
          </cell>
          <cell r="AJ716" t="str">
            <v>Strands PW</v>
          </cell>
        </row>
        <row r="717">
          <cell r="A717" t="str">
            <v>IKN400243</v>
          </cell>
          <cell r="B717">
            <v>243</v>
          </cell>
          <cell r="C717" t="str">
            <v>Institut Kanser Negara</v>
          </cell>
          <cell r="D717" t="str">
            <v>KKM/IKN/H/13/2549</v>
          </cell>
          <cell r="E717" t="str">
            <v>15-045</v>
          </cell>
          <cell r="F717" t="str">
            <v>Nebulizers, Nonheated</v>
          </cell>
          <cell r="G717" t="str">
            <v>WG</v>
          </cell>
          <cell r="H717" t="str">
            <v>RT/ONCO WARD 1 (M)</v>
          </cell>
          <cell r="I717" t="str">
            <v>08WG113</v>
          </cell>
          <cell r="J717" t="str">
            <v>EQUIPMENT ROOM</v>
          </cell>
          <cell r="K717" t="str">
            <v>BMED</v>
          </cell>
          <cell r="L717" t="str">
            <v>Normal</v>
          </cell>
          <cell r="M717" t="str">
            <v>Germany</v>
          </cell>
          <cell r="N717" t="str">
            <v>Pari Boy</v>
          </cell>
          <cell r="O717" t="str">
            <v>Pari Boy SX 085</v>
          </cell>
          <cell r="P717" t="str">
            <v>2W12K14116</v>
          </cell>
          <cell r="Q717" t="str">
            <v>Not Applicable</v>
          </cell>
          <cell r="R717" t="str">
            <v>Pari GmbH</v>
          </cell>
          <cell r="S717" t="str">
            <v>Welch Allyn Malaysia Sdn Bhd</v>
          </cell>
          <cell r="T717" t="str">
            <v>Functioning</v>
          </cell>
          <cell r="U717" t="str">
            <v>Asset</v>
          </cell>
          <cell r="V717">
            <v>1140</v>
          </cell>
          <cell r="W717" t="str">
            <v>KEW</v>
          </cell>
          <cell r="X717" t="str">
            <v>01/09/2010</v>
          </cell>
          <cell r="Y717" t="str">
            <v>KEW</v>
          </cell>
          <cell r="Z717" t="str">
            <v>16/08/2013</v>
          </cell>
          <cell r="AA717" t="str">
            <v>15/08/2015</v>
          </cell>
          <cell r="AB717" t="str">
            <v>No</v>
          </cell>
          <cell r="AC717" t="str">
            <v>31/08/2013</v>
          </cell>
          <cell r="AD717" t="str">
            <v>Good</v>
          </cell>
          <cell r="AE717" t="str">
            <v>V1 - Existing / No Claim</v>
          </cell>
          <cell r="AF717">
            <v>42789</v>
          </cell>
          <cell r="AG717">
            <v>9.17</v>
          </cell>
          <cell r="AH717" t="str">
            <v>PPM</v>
          </cell>
          <cell r="AI717" t="str">
            <v>Strands</v>
          </cell>
          <cell r="AJ717" t="str">
            <v>Strands PW</v>
          </cell>
        </row>
        <row r="718">
          <cell r="A718" t="str">
            <v>IKN400244</v>
          </cell>
          <cell r="B718">
            <v>244</v>
          </cell>
          <cell r="C718" t="str">
            <v>Institut Kanser Negara</v>
          </cell>
          <cell r="D718" t="str">
            <v>KKM/IKN/H/13/2523</v>
          </cell>
          <cell r="E718" t="str">
            <v>13-217</v>
          </cell>
          <cell r="F718" t="str">
            <v>Infusion Pumps, Syringe</v>
          </cell>
          <cell r="G718" t="str">
            <v>WG</v>
          </cell>
          <cell r="H718" t="str">
            <v>RT/ONCO WARD 1 (M)</v>
          </cell>
          <cell r="I718" t="str">
            <v>08WG113</v>
          </cell>
          <cell r="J718" t="str">
            <v>EQUIPMENT ROOM</v>
          </cell>
          <cell r="K718" t="str">
            <v>BMED</v>
          </cell>
          <cell r="L718" t="str">
            <v>Critical</v>
          </cell>
          <cell r="M718" t="str">
            <v>Germany</v>
          </cell>
          <cell r="N718" t="str">
            <v>Perfusor</v>
          </cell>
          <cell r="O718" t="str">
            <v>Perfusor Space</v>
          </cell>
          <cell r="P718" t="str">
            <v>186599</v>
          </cell>
          <cell r="Q718" t="str">
            <v>Not Applicable</v>
          </cell>
          <cell r="R718" t="str">
            <v>B Braun Melsungen AG</v>
          </cell>
          <cell r="S718" t="str">
            <v>B Braun Medical Supplies Sdn. Bhd.</v>
          </cell>
          <cell r="T718" t="str">
            <v>Functioning</v>
          </cell>
          <cell r="U718" t="str">
            <v>Asset</v>
          </cell>
          <cell r="V718">
            <v>10225</v>
          </cell>
          <cell r="W718" t="str">
            <v>KEW</v>
          </cell>
          <cell r="X718" t="str">
            <v>01/09/2010</v>
          </cell>
          <cell r="Y718" t="str">
            <v>KEW</v>
          </cell>
          <cell r="Z718" t="str">
            <v>16/08/2013</v>
          </cell>
          <cell r="AA718" t="str">
            <v>15/08/2015</v>
          </cell>
          <cell r="AB718" t="str">
            <v>No</v>
          </cell>
          <cell r="AC718" t="str">
            <v>31/08/2013</v>
          </cell>
          <cell r="AD718" t="str">
            <v>Good</v>
          </cell>
          <cell r="AE718" t="str">
            <v>V1 - Existing / No Claim</v>
          </cell>
          <cell r="AF718">
            <v>42789</v>
          </cell>
          <cell r="AG718">
            <v>9.17</v>
          </cell>
          <cell r="AH718" t="str">
            <v>PPM</v>
          </cell>
          <cell r="AI718" t="str">
            <v>Strands</v>
          </cell>
          <cell r="AJ718" t="str">
            <v>Strands PW</v>
          </cell>
        </row>
        <row r="719">
          <cell r="A719" t="str">
            <v>IKN400245</v>
          </cell>
          <cell r="B719">
            <v>245</v>
          </cell>
          <cell r="C719" t="str">
            <v>Institut Kanser Negara</v>
          </cell>
          <cell r="D719" t="str">
            <v>KKM/IKN/H/13/2526</v>
          </cell>
          <cell r="E719" t="str">
            <v>13-217</v>
          </cell>
          <cell r="F719" t="str">
            <v>Infusion Pumps, Syringe</v>
          </cell>
          <cell r="G719" t="str">
            <v>WG</v>
          </cell>
          <cell r="H719" t="str">
            <v>RT/ONCO WARD 1 (M)</v>
          </cell>
          <cell r="I719" t="str">
            <v>08WG113</v>
          </cell>
          <cell r="J719" t="str">
            <v>EQUIPMENT ROOM</v>
          </cell>
          <cell r="K719" t="str">
            <v>BMED</v>
          </cell>
          <cell r="L719" t="str">
            <v>Critical</v>
          </cell>
          <cell r="M719" t="str">
            <v>Germany</v>
          </cell>
          <cell r="N719" t="str">
            <v>Perfusor</v>
          </cell>
          <cell r="O719" t="str">
            <v>Perfusor Space</v>
          </cell>
          <cell r="P719" t="str">
            <v>186996</v>
          </cell>
          <cell r="Q719" t="str">
            <v>Not Applicable</v>
          </cell>
          <cell r="R719" t="str">
            <v>B Braun Melsungen AG</v>
          </cell>
          <cell r="S719" t="str">
            <v>B Braun Medical Supplies Sdn. Bhd.</v>
          </cell>
          <cell r="T719" t="str">
            <v>Functioning</v>
          </cell>
          <cell r="U719" t="str">
            <v>Asset</v>
          </cell>
          <cell r="V719">
            <v>10225</v>
          </cell>
          <cell r="W719" t="str">
            <v>KEW</v>
          </cell>
          <cell r="X719" t="str">
            <v>01/09/2010</v>
          </cell>
          <cell r="Y719" t="str">
            <v>KEW</v>
          </cell>
          <cell r="Z719" t="str">
            <v>16/08/2013</v>
          </cell>
          <cell r="AA719" t="str">
            <v>15/08/2015</v>
          </cell>
          <cell r="AB719" t="str">
            <v>No</v>
          </cell>
          <cell r="AC719" t="str">
            <v>31/08/2013</v>
          </cell>
          <cell r="AD719" t="str">
            <v>Good</v>
          </cell>
          <cell r="AE719" t="str">
            <v>V1 - Existing / No Claim</v>
          </cell>
          <cell r="AF719">
            <v>42789</v>
          </cell>
          <cell r="AG719">
            <v>9.17</v>
          </cell>
          <cell r="AH719" t="str">
            <v>PPM</v>
          </cell>
          <cell r="AI719" t="str">
            <v>Strands</v>
          </cell>
          <cell r="AJ719" t="str">
            <v>Strands PW</v>
          </cell>
        </row>
        <row r="720">
          <cell r="A720" t="str">
            <v>IKN400246</v>
          </cell>
          <cell r="B720">
            <v>246</v>
          </cell>
          <cell r="C720" t="str">
            <v>Institut Kanser Negara</v>
          </cell>
          <cell r="D720" t="str">
            <v>KKM/IKN/H/13/2495</v>
          </cell>
          <cell r="E720" t="str">
            <v>13-215</v>
          </cell>
          <cell r="F720" t="str">
            <v>Infusion Pumps, General-Purpose</v>
          </cell>
          <cell r="G720" t="str">
            <v>WG</v>
          </cell>
          <cell r="H720" t="str">
            <v>RT/ONCO WARD 1 (M)</v>
          </cell>
          <cell r="I720" t="str">
            <v>08WG113</v>
          </cell>
          <cell r="J720" t="str">
            <v>EQUIPMENT ROOM</v>
          </cell>
          <cell r="K720" t="str">
            <v>BMED</v>
          </cell>
          <cell r="L720" t="str">
            <v>Critical</v>
          </cell>
          <cell r="M720" t="str">
            <v>Germany</v>
          </cell>
          <cell r="N720" t="str">
            <v>Infusomat</v>
          </cell>
          <cell r="O720" t="str">
            <v>Infusomat Space</v>
          </cell>
          <cell r="P720" t="str">
            <v>212041</v>
          </cell>
          <cell r="Q720" t="str">
            <v>Not Applicable</v>
          </cell>
          <cell r="R720" t="str">
            <v>B Braun Melsungen AG</v>
          </cell>
          <cell r="S720" t="str">
            <v>B Braun Medical Supplies Sdn. Bhd.</v>
          </cell>
          <cell r="T720" t="str">
            <v>Functioning</v>
          </cell>
          <cell r="U720" t="str">
            <v>Asset</v>
          </cell>
          <cell r="V720">
            <v>10825</v>
          </cell>
          <cell r="W720" t="str">
            <v>KEW</v>
          </cell>
          <cell r="X720" t="str">
            <v>01/09/2010</v>
          </cell>
          <cell r="Y720" t="str">
            <v>KEW</v>
          </cell>
          <cell r="Z720" t="str">
            <v>16/08/2013</v>
          </cell>
          <cell r="AA720" t="str">
            <v>15/08/2015</v>
          </cell>
          <cell r="AB720" t="str">
            <v>No</v>
          </cell>
          <cell r="AC720" t="str">
            <v>31/08/2013</v>
          </cell>
          <cell r="AD720" t="str">
            <v>Good</v>
          </cell>
          <cell r="AE720" t="str">
            <v>V1 - Existing / No Claim</v>
          </cell>
          <cell r="AF720">
            <v>42789</v>
          </cell>
          <cell r="AG720">
            <v>9.17</v>
          </cell>
          <cell r="AH720" t="str">
            <v>PPM</v>
          </cell>
          <cell r="AI720" t="str">
            <v>Strands</v>
          </cell>
          <cell r="AJ720" t="str">
            <v>Strands PW</v>
          </cell>
        </row>
        <row r="721">
          <cell r="A721" t="str">
            <v>IKN400247</v>
          </cell>
          <cell r="B721">
            <v>247</v>
          </cell>
          <cell r="C721" t="str">
            <v>Institut Kanser Negara</v>
          </cell>
          <cell r="D721" t="str">
            <v>KKM/IKN/H/13/2499</v>
          </cell>
          <cell r="E721" t="str">
            <v>13-215</v>
          </cell>
          <cell r="F721" t="str">
            <v>Infusion Pumps, General-Purpose</v>
          </cell>
          <cell r="G721" t="str">
            <v>WG</v>
          </cell>
          <cell r="H721" t="str">
            <v>RT/ONCO WARD 1 (M)</v>
          </cell>
          <cell r="I721" t="str">
            <v>08WG113</v>
          </cell>
          <cell r="J721" t="str">
            <v>EQUIPMENT ROOM</v>
          </cell>
          <cell r="K721" t="str">
            <v>BMED</v>
          </cell>
          <cell r="L721" t="str">
            <v>Critical</v>
          </cell>
          <cell r="M721" t="str">
            <v>Germany</v>
          </cell>
          <cell r="N721" t="str">
            <v>Infusomat</v>
          </cell>
          <cell r="O721" t="str">
            <v>Infusomat Space</v>
          </cell>
          <cell r="P721" t="str">
            <v>212089</v>
          </cell>
          <cell r="Q721" t="str">
            <v>Not Applicable</v>
          </cell>
          <cell r="R721" t="str">
            <v>B Braun Melsungen AG</v>
          </cell>
          <cell r="S721" t="str">
            <v>B Braun Medical Supplies Sdn. Bhd.</v>
          </cell>
          <cell r="T721" t="str">
            <v>Functioning</v>
          </cell>
          <cell r="U721" t="str">
            <v>Asset</v>
          </cell>
          <cell r="V721">
            <v>10825</v>
          </cell>
          <cell r="W721" t="str">
            <v>KEW</v>
          </cell>
          <cell r="X721" t="str">
            <v>01/09/2010</v>
          </cell>
          <cell r="Y721" t="str">
            <v>KEW</v>
          </cell>
          <cell r="Z721" t="str">
            <v>16/08/2013</v>
          </cell>
          <cell r="AA721" t="str">
            <v>15/08/2015</v>
          </cell>
          <cell r="AB721" t="str">
            <v>No</v>
          </cell>
          <cell r="AC721" t="str">
            <v>31/08/2013</v>
          </cell>
          <cell r="AD721" t="str">
            <v>Good</v>
          </cell>
          <cell r="AE721" t="str">
            <v>V1 - Existing / No Claim</v>
          </cell>
          <cell r="AF721">
            <v>42789</v>
          </cell>
          <cell r="AG721">
            <v>9.17</v>
          </cell>
          <cell r="AH721" t="str">
            <v>PPM</v>
          </cell>
          <cell r="AI721" t="str">
            <v>Strands</v>
          </cell>
          <cell r="AJ721" t="str">
            <v>Strands PW</v>
          </cell>
        </row>
        <row r="722">
          <cell r="A722" t="str">
            <v>IKN400248</v>
          </cell>
          <cell r="B722">
            <v>248</v>
          </cell>
          <cell r="C722" t="str">
            <v>Institut Kanser Negara</v>
          </cell>
          <cell r="D722" t="str">
            <v>KKM/IKN/H/13/2502</v>
          </cell>
          <cell r="E722" t="str">
            <v>13-215</v>
          </cell>
          <cell r="F722" t="str">
            <v>Infusion Pumps, General-Purpose</v>
          </cell>
          <cell r="G722" t="str">
            <v>WG</v>
          </cell>
          <cell r="H722" t="str">
            <v>RT/ONCO WARD 1 (M)</v>
          </cell>
          <cell r="I722" t="str">
            <v>08WG113</v>
          </cell>
          <cell r="J722" t="str">
            <v>EQUIPMENT ROOM</v>
          </cell>
          <cell r="K722" t="str">
            <v>BMED</v>
          </cell>
          <cell r="L722" t="str">
            <v>Critical</v>
          </cell>
          <cell r="M722" t="str">
            <v>Germany</v>
          </cell>
          <cell r="N722" t="str">
            <v>Infusomat</v>
          </cell>
          <cell r="O722" t="str">
            <v>Infusomat Space</v>
          </cell>
          <cell r="P722" t="str">
            <v>212101</v>
          </cell>
          <cell r="Q722" t="str">
            <v>Not Applicable</v>
          </cell>
          <cell r="R722" t="str">
            <v>B Braun Melsungen AG</v>
          </cell>
          <cell r="S722" t="str">
            <v>B Braun Medical Supplies Sdn. Bhd.</v>
          </cell>
          <cell r="T722" t="str">
            <v>Functioning</v>
          </cell>
          <cell r="U722" t="str">
            <v>Asset</v>
          </cell>
          <cell r="V722">
            <v>10825</v>
          </cell>
          <cell r="W722" t="str">
            <v>KEW</v>
          </cell>
          <cell r="X722" t="str">
            <v>01/09/2010</v>
          </cell>
          <cell r="Y722" t="str">
            <v>KEW</v>
          </cell>
          <cell r="Z722" t="str">
            <v>16/08/2013</v>
          </cell>
          <cell r="AA722" t="str">
            <v>15/08/2015</v>
          </cell>
          <cell r="AB722" t="str">
            <v>No</v>
          </cell>
          <cell r="AC722" t="str">
            <v>31/08/2013</v>
          </cell>
          <cell r="AD722" t="str">
            <v>Good</v>
          </cell>
          <cell r="AE722" t="str">
            <v>V1 - Existing / No Claim</v>
          </cell>
          <cell r="AF722">
            <v>42789</v>
          </cell>
          <cell r="AG722">
            <v>9.17</v>
          </cell>
          <cell r="AH722" t="str">
            <v>PPM</v>
          </cell>
          <cell r="AI722" t="str">
            <v>Strands</v>
          </cell>
          <cell r="AJ722" t="str">
            <v>Strands PW</v>
          </cell>
        </row>
        <row r="723">
          <cell r="A723" t="str">
            <v>IKN400249</v>
          </cell>
          <cell r="B723">
            <v>249</v>
          </cell>
          <cell r="C723" t="str">
            <v>Institut Kanser Negara</v>
          </cell>
          <cell r="D723" t="str">
            <v>KKM/IKN/H/13/2506</v>
          </cell>
          <cell r="E723" t="str">
            <v>13-215</v>
          </cell>
          <cell r="F723" t="str">
            <v>Infusion Pumps, General-Purpose</v>
          </cell>
          <cell r="G723" t="str">
            <v>WG</v>
          </cell>
          <cell r="H723" t="str">
            <v>RT/ONCO WARD 1 (M)</v>
          </cell>
          <cell r="I723" t="str">
            <v>08WG113</v>
          </cell>
          <cell r="J723" t="str">
            <v>EQUIPMENT ROOM</v>
          </cell>
          <cell r="K723" t="str">
            <v>BMED</v>
          </cell>
          <cell r="L723" t="str">
            <v>Critical</v>
          </cell>
          <cell r="M723" t="str">
            <v>Germany</v>
          </cell>
          <cell r="N723" t="str">
            <v>Infusomat</v>
          </cell>
          <cell r="O723" t="str">
            <v>Infusomat Space</v>
          </cell>
          <cell r="P723">
            <v>211943</v>
          </cell>
          <cell r="Q723" t="str">
            <v>Not Applicable</v>
          </cell>
          <cell r="R723" t="str">
            <v>B Braun Melsungen AG</v>
          </cell>
          <cell r="S723" t="str">
            <v>B Braun Medical Supplies Sdn. Bhd.</v>
          </cell>
          <cell r="T723" t="str">
            <v>Functioning</v>
          </cell>
          <cell r="U723" t="str">
            <v>Asset</v>
          </cell>
          <cell r="V723">
            <v>10825</v>
          </cell>
          <cell r="W723" t="str">
            <v>KEW</v>
          </cell>
          <cell r="X723" t="str">
            <v>01/09/2010</v>
          </cell>
          <cell r="Y723" t="str">
            <v>KEW</v>
          </cell>
          <cell r="Z723" t="str">
            <v>16/08/2013</v>
          </cell>
          <cell r="AA723" t="str">
            <v>15/08/2015</v>
          </cell>
          <cell r="AB723" t="str">
            <v>No</v>
          </cell>
          <cell r="AC723" t="str">
            <v>31/08/2013</v>
          </cell>
          <cell r="AD723" t="str">
            <v>Good</v>
          </cell>
          <cell r="AE723" t="str">
            <v>V1 - Existing / No Claim</v>
          </cell>
          <cell r="AF723">
            <v>42789</v>
          </cell>
          <cell r="AG723">
            <v>9.17</v>
          </cell>
          <cell r="AH723" t="str">
            <v>PPM</v>
          </cell>
          <cell r="AI723" t="str">
            <v>Strands</v>
          </cell>
          <cell r="AJ723" t="str">
            <v>Strands PW</v>
          </cell>
        </row>
        <row r="724">
          <cell r="A724" t="str">
            <v>IKN400250</v>
          </cell>
          <cell r="B724">
            <v>250</v>
          </cell>
          <cell r="C724" t="str">
            <v>Institut Kanser Negara</v>
          </cell>
          <cell r="D724" t="str">
            <v>KKM/IKN/H/13/2508</v>
          </cell>
          <cell r="E724" t="str">
            <v>13-215</v>
          </cell>
          <cell r="F724" t="str">
            <v>Infusion Pumps, General-Purpose</v>
          </cell>
          <cell r="G724" t="str">
            <v>WG</v>
          </cell>
          <cell r="H724" t="str">
            <v>RT/ONCO WARD 1 (M)</v>
          </cell>
          <cell r="I724" t="str">
            <v>08WG113</v>
          </cell>
          <cell r="J724" t="str">
            <v>EQUIPMENT ROOM</v>
          </cell>
          <cell r="K724" t="str">
            <v>BMED</v>
          </cell>
          <cell r="L724" t="str">
            <v>Critical</v>
          </cell>
          <cell r="M724" t="str">
            <v>Germany</v>
          </cell>
          <cell r="N724" t="str">
            <v>Infusomat</v>
          </cell>
          <cell r="O724" t="str">
            <v>Infusomat Space</v>
          </cell>
          <cell r="P724" t="str">
            <v>211900</v>
          </cell>
          <cell r="Q724" t="str">
            <v>Not Applicable</v>
          </cell>
          <cell r="R724" t="str">
            <v>B Braun Melsungen AG</v>
          </cell>
          <cell r="S724" t="str">
            <v>B Braun Medical Supplies Sdn. Bhd.</v>
          </cell>
          <cell r="T724" t="str">
            <v>Functioning</v>
          </cell>
          <cell r="U724" t="str">
            <v>Asset</v>
          </cell>
          <cell r="V724">
            <v>10825</v>
          </cell>
          <cell r="W724" t="str">
            <v>KEW</v>
          </cell>
          <cell r="X724" t="str">
            <v>01/09/2010</v>
          </cell>
          <cell r="Y724" t="str">
            <v>KEW</v>
          </cell>
          <cell r="Z724" t="str">
            <v>16/08/2013</v>
          </cell>
          <cell r="AA724" t="str">
            <v>15/08/2015</v>
          </cell>
          <cell r="AB724" t="str">
            <v>No</v>
          </cell>
          <cell r="AC724" t="str">
            <v>31/08/2013</v>
          </cell>
          <cell r="AD724" t="str">
            <v>Good</v>
          </cell>
          <cell r="AE724" t="str">
            <v>V1 - Existing / No Claim</v>
          </cell>
          <cell r="AF724">
            <v>42789</v>
          </cell>
          <cell r="AG724">
            <v>9.17</v>
          </cell>
          <cell r="AH724" t="str">
            <v>PPM</v>
          </cell>
          <cell r="AI724" t="str">
            <v>Strands</v>
          </cell>
          <cell r="AJ724" t="str">
            <v>Strands PW</v>
          </cell>
        </row>
        <row r="725">
          <cell r="A725" t="str">
            <v>IKN400251</v>
          </cell>
          <cell r="B725">
            <v>251</v>
          </cell>
          <cell r="C725" t="str">
            <v>Institut Kanser Negara</v>
          </cell>
          <cell r="D725" t="str">
            <v>KKM/IKN/H/13/2510</v>
          </cell>
          <cell r="E725" t="str">
            <v>13-215</v>
          </cell>
          <cell r="F725" t="str">
            <v>Infusion Pumps, General-Purpose</v>
          </cell>
          <cell r="G725" t="str">
            <v>WG</v>
          </cell>
          <cell r="H725" t="str">
            <v>RT/ONCO WARD 1 (M)</v>
          </cell>
          <cell r="I725" t="str">
            <v>08WG113</v>
          </cell>
          <cell r="J725" t="str">
            <v>EQUIPMENT ROOM</v>
          </cell>
          <cell r="K725" t="str">
            <v>BMED</v>
          </cell>
          <cell r="L725" t="str">
            <v>Critical</v>
          </cell>
          <cell r="M725" t="str">
            <v>Germany</v>
          </cell>
          <cell r="N725" t="str">
            <v>Infusomat</v>
          </cell>
          <cell r="O725" t="str">
            <v>Infusomat Space</v>
          </cell>
          <cell r="P725" t="str">
            <v>211912</v>
          </cell>
          <cell r="Q725" t="str">
            <v>Not Applicable</v>
          </cell>
          <cell r="R725" t="str">
            <v>B Braun Melsungen AG</v>
          </cell>
          <cell r="S725" t="str">
            <v>B Braun Medical Supplies Sdn. Bhd.</v>
          </cell>
          <cell r="T725" t="str">
            <v>Functioning</v>
          </cell>
          <cell r="U725" t="str">
            <v>Asset</v>
          </cell>
          <cell r="V725">
            <v>10825</v>
          </cell>
          <cell r="W725" t="str">
            <v>KEW</v>
          </cell>
          <cell r="X725" t="str">
            <v>01/09/2010</v>
          </cell>
          <cell r="Y725" t="str">
            <v>KEW</v>
          </cell>
          <cell r="Z725" t="str">
            <v>16/08/2013</v>
          </cell>
          <cell r="AA725" t="str">
            <v>15/08/2015</v>
          </cell>
          <cell r="AB725" t="str">
            <v>No</v>
          </cell>
          <cell r="AC725" t="str">
            <v>31/08/2013</v>
          </cell>
          <cell r="AD725" t="str">
            <v>Good</v>
          </cell>
          <cell r="AE725" t="str">
            <v>V1 - Existing / No Claim</v>
          </cell>
          <cell r="AF725">
            <v>42789</v>
          </cell>
          <cell r="AG725">
            <v>9.17</v>
          </cell>
          <cell r="AH725" t="str">
            <v>PPM</v>
          </cell>
          <cell r="AI725" t="str">
            <v>Strands</v>
          </cell>
          <cell r="AJ725" t="str">
            <v>Strands PW</v>
          </cell>
        </row>
        <row r="726">
          <cell r="A726" t="str">
            <v>IKN400252</v>
          </cell>
          <cell r="B726">
            <v>252</v>
          </cell>
          <cell r="C726" t="str">
            <v>Institut Kanser Negara</v>
          </cell>
          <cell r="D726" t="str">
            <v>KKM/IKN/H/13/2513</v>
          </cell>
          <cell r="E726" t="str">
            <v>13-215</v>
          </cell>
          <cell r="F726" t="str">
            <v>Infusion Pumps, General-Purpose</v>
          </cell>
          <cell r="G726" t="str">
            <v>WG</v>
          </cell>
          <cell r="H726" t="str">
            <v>RT/ONCO WARD 1 (M)</v>
          </cell>
          <cell r="I726" t="str">
            <v>08WG113</v>
          </cell>
          <cell r="J726" t="str">
            <v>EQUIPMENT ROOM</v>
          </cell>
          <cell r="K726" t="str">
            <v>BMED</v>
          </cell>
          <cell r="L726" t="str">
            <v>Normal</v>
          </cell>
          <cell r="M726" t="str">
            <v>Germany</v>
          </cell>
          <cell r="N726" t="str">
            <v>Infusomat</v>
          </cell>
          <cell r="O726" t="str">
            <v>Infusomat Space</v>
          </cell>
          <cell r="P726" t="str">
            <v>212083</v>
          </cell>
          <cell r="Q726" t="str">
            <v>Not Applicable</v>
          </cell>
          <cell r="R726" t="str">
            <v>B Braun Melsungen AG</v>
          </cell>
          <cell r="S726" t="str">
            <v>B Braun Medical Supplies Sdn. Bhd.</v>
          </cell>
          <cell r="T726" t="str">
            <v>Functioning</v>
          </cell>
          <cell r="U726" t="str">
            <v>Asset</v>
          </cell>
          <cell r="V726">
            <v>10825</v>
          </cell>
          <cell r="W726" t="str">
            <v>KEW</v>
          </cell>
          <cell r="X726" t="str">
            <v>01/09/2010</v>
          </cell>
          <cell r="Y726" t="str">
            <v>KEW</v>
          </cell>
          <cell r="Z726" t="str">
            <v>16/08/2013</v>
          </cell>
          <cell r="AA726" t="str">
            <v>15/08/2015</v>
          </cell>
          <cell r="AB726" t="str">
            <v>No</v>
          </cell>
          <cell r="AC726" t="str">
            <v>31/08/2013</v>
          </cell>
          <cell r="AD726" t="str">
            <v>Good</v>
          </cell>
          <cell r="AE726" t="str">
            <v>V1 - Existing / No Claim</v>
          </cell>
          <cell r="AF726">
            <v>42235</v>
          </cell>
          <cell r="AG726">
            <v>9.17</v>
          </cell>
          <cell r="AH726" t="str">
            <v>PPM</v>
          </cell>
          <cell r="AI726" t="str">
            <v>Strands</v>
          </cell>
          <cell r="AJ726" t="str">
            <v>Strands PW</v>
          </cell>
        </row>
        <row r="727">
          <cell r="A727" t="str">
            <v>IKN400253</v>
          </cell>
          <cell r="B727">
            <v>253</v>
          </cell>
          <cell r="C727" t="str">
            <v>Institut Kanser Negara</v>
          </cell>
          <cell r="D727" t="str">
            <v>KKM/IKN/H/13/2516</v>
          </cell>
          <cell r="E727" t="str">
            <v>13-215</v>
          </cell>
          <cell r="F727" t="str">
            <v>Infusion Pumps, General-Purpose</v>
          </cell>
          <cell r="G727" t="str">
            <v>WG</v>
          </cell>
          <cell r="H727" t="str">
            <v>RT/ONCO WARD 1 (M)</v>
          </cell>
          <cell r="I727" t="str">
            <v>08WG113</v>
          </cell>
          <cell r="J727" t="str">
            <v>EQUIPMENT ROOM</v>
          </cell>
          <cell r="K727" t="str">
            <v>BMED</v>
          </cell>
          <cell r="L727" t="str">
            <v>Critical</v>
          </cell>
          <cell r="M727" t="str">
            <v>Germany</v>
          </cell>
          <cell r="N727" t="str">
            <v>Infusomat</v>
          </cell>
          <cell r="O727" t="str">
            <v>Infusomat Space</v>
          </cell>
          <cell r="P727" t="str">
            <v>211897</v>
          </cell>
          <cell r="Q727" t="str">
            <v>Not Applicable</v>
          </cell>
          <cell r="R727" t="str">
            <v>B Braun Melsungen AG</v>
          </cell>
          <cell r="S727" t="str">
            <v>B Braun Medical Supplies Sdn. Bhd.</v>
          </cell>
          <cell r="T727" t="str">
            <v>Functioning</v>
          </cell>
          <cell r="U727" t="str">
            <v>Asset</v>
          </cell>
          <cell r="V727">
            <v>10825</v>
          </cell>
          <cell r="W727" t="str">
            <v>KEW</v>
          </cell>
          <cell r="X727" t="str">
            <v>01/09/2010</v>
          </cell>
          <cell r="Y727" t="str">
            <v>KEW</v>
          </cell>
          <cell r="Z727" t="str">
            <v>16/08/2013</v>
          </cell>
          <cell r="AA727" t="str">
            <v>15/08/2015</v>
          </cell>
          <cell r="AB727" t="str">
            <v>No</v>
          </cell>
          <cell r="AC727" t="str">
            <v>31/08/2013</v>
          </cell>
          <cell r="AD727" t="str">
            <v>Good</v>
          </cell>
          <cell r="AE727" t="str">
            <v>V1 - Existing / No Claim</v>
          </cell>
          <cell r="AF727">
            <v>42789</v>
          </cell>
          <cell r="AG727">
            <v>9.17</v>
          </cell>
          <cell r="AH727" t="str">
            <v>PPM</v>
          </cell>
          <cell r="AI727" t="str">
            <v>Strands</v>
          </cell>
          <cell r="AJ727" t="str">
            <v>Strands PW</v>
          </cell>
        </row>
        <row r="728">
          <cell r="A728" t="str">
            <v>IKN400254</v>
          </cell>
          <cell r="B728">
            <v>254</v>
          </cell>
          <cell r="C728" t="str">
            <v>Institut Kanser Negara</v>
          </cell>
          <cell r="D728" t="str">
            <v>KKM/IKN/H/13/2520</v>
          </cell>
          <cell r="E728" t="str">
            <v>13-215</v>
          </cell>
          <cell r="F728" t="str">
            <v>Infusion Pumps, General-Purpose</v>
          </cell>
          <cell r="G728" t="str">
            <v>WG</v>
          </cell>
          <cell r="H728" t="str">
            <v>RT/ONCO WARD 1 (M)</v>
          </cell>
          <cell r="I728" t="str">
            <v>08WG113</v>
          </cell>
          <cell r="J728" t="str">
            <v>EQUIPMENT ROOM</v>
          </cell>
          <cell r="K728" t="str">
            <v>BMED</v>
          </cell>
          <cell r="L728" t="str">
            <v>Critical</v>
          </cell>
          <cell r="M728" t="str">
            <v>Germany</v>
          </cell>
          <cell r="N728" t="str">
            <v>Infusomat</v>
          </cell>
          <cell r="O728" t="str">
            <v>Infusomat Space</v>
          </cell>
          <cell r="P728" t="str">
            <v>211834</v>
          </cell>
          <cell r="Q728" t="str">
            <v>Not Applicable</v>
          </cell>
          <cell r="R728" t="str">
            <v>B Braun Melsungen AG</v>
          </cell>
          <cell r="S728" t="str">
            <v>B Braun Medical Supplies Sdn. Bhd.</v>
          </cell>
          <cell r="T728" t="str">
            <v>Functioning</v>
          </cell>
          <cell r="U728" t="str">
            <v>Asset</v>
          </cell>
          <cell r="V728">
            <v>10825</v>
          </cell>
          <cell r="W728" t="str">
            <v>KEW</v>
          </cell>
          <cell r="X728" t="str">
            <v>01/09/2010</v>
          </cell>
          <cell r="Y728" t="str">
            <v>KEW</v>
          </cell>
          <cell r="Z728" t="str">
            <v>16/08/2013</v>
          </cell>
          <cell r="AA728" t="str">
            <v>15/08/2015</v>
          </cell>
          <cell r="AB728" t="str">
            <v>No</v>
          </cell>
          <cell r="AC728" t="str">
            <v>31/08/2013</v>
          </cell>
          <cell r="AD728" t="str">
            <v>Good</v>
          </cell>
          <cell r="AE728" t="str">
            <v>V1 - Existing / No Claim</v>
          </cell>
          <cell r="AF728">
            <v>42789</v>
          </cell>
          <cell r="AG728">
            <v>9.17</v>
          </cell>
          <cell r="AH728" t="str">
            <v>PPM</v>
          </cell>
          <cell r="AI728" t="str">
            <v>Strands</v>
          </cell>
          <cell r="AJ728" t="str">
            <v>Strands PW</v>
          </cell>
        </row>
        <row r="729">
          <cell r="A729" t="str">
            <v>IKN400255</v>
          </cell>
          <cell r="B729">
            <v>255</v>
          </cell>
          <cell r="C729" t="str">
            <v>Institut Kanser Negara</v>
          </cell>
          <cell r="D729" t="str">
            <v>KKM/IKN/H/13/2522</v>
          </cell>
          <cell r="E729" t="str">
            <v>13-215</v>
          </cell>
          <cell r="F729" t="str">
            <v>Infusion Pumps, General-Purpose</v>
          </cell>
          <cell r="G729" t="str">
            <v>WG</v>
          </cell>
          <cell r="H729" t="str">
            <v>RT/ONCO WARD 1 (M)</v>
          </cell>
          <cell r="I729" t="str">
            <v>08WG113</v>
          </cell>
          <cell r="J729" t="str">
            <v>EQUIPMENT ROOM</v>
          </cell>
          <cell r="K729" t="str">
            <v>BMED</v>
          </cell>
          <cell r="L729" t="str">
            <v>Critical</v>
          </cell>
          <cell r="M729" t="str">
            <v>Germany</v>
          </cell>
          <cell r="N729" t="str">
            <v>Infusomat</v>
          </cell>
          <cell r="O729" t="str">
            <v>Infusomat Space</v>
          </cell>
          <cell r="P729" t="str">
            <v>211549</v>
          </cell>
          <cell r="Q729" t="str">
            <v>Not Applicable</v>
          </cell>
          <cell r="R729" t="str">
            <v>B Braun Melsungen AG</v>
          </cell>
          <cell r="S729" t="str">
            <v>B Braun Medical Supplies Sdn. Bhd.</v>
          </cell>
          <cell r="T729" t="str">
            <v>Functioning</v>
          </cell>
          <cell r="U729" t="str">
            <v>Asset</v>
          </cell>
          <cell r="V729">
            <v>10825</v>
          </cell>
          <cell r="W729" t="str">
            <v>KEW</v>
          </cell>
          <cell r="X729" t="str">
            <v>01/09/2010</v>
          </cell>
          <cell r="Y729" t="str">
            <v>KEW</v>
          </cell>
          <cell r="Z729" t="str">
            <v>16/08/2013</v>
          </cell>
          <cell r="AA729" t="str">
            <v>15/08/2015</v>
          </cell>
          <cell r="AB729" t="str">
            <v>No</v>
          </cell>
          <cell r="AC729" t="str">
            <v>31/08/2013</v>
          </cell>
          <cell r="AD729" t="str">
            <v>Good</v>
          </cell>
          <cell r="AE729" t="str">
            <v>V1 - Existing / No Claim</v>
          </cell>
          <cell r="AF729">
            <v>42789</v>
          </cell>
          <cell r="AG729">
            <v>9.17</v>
          </cell>
          <cell r="AH729" t="str">
            <v>PPM</v>
          </cell>
          <cell r="AI729" t="str">
            <v>Strands</v>
          </cell>
          <cell r="AJ729" t="str">
            <v>Strands PW</v>
          </cell>
        </row>
        <row r="730">
          <cell r="A730" t="str">
            <v>IKN400256</v>
          </cell>
          <cell r="B730">
            <v>256</v>
          </cell>
          <cell r="C730" t="str">
            <v>Institut Kanser Negara</v>
          </cell>
          <cell r="D730" t="str">
            <v>KKM/IKN/H/13/2541</v>
          </cell>
          <cell r="E730" t="str">
            <v>18-147</v>
          </cell>
          <cell r="F730" t="str">
            <v>Mattress Systems, Alternating-Pressure</v>
          </cell>
          <cell r="G730" t="str">
            <v>WG</v>
          </cell>
          <cell r="H730" t="str">
            <v>RT/ONCO WARD 1 (M)</v>
          </cell>
          <cell r="I730" t="str">
            <v>08WG113</v>
          </cell>
          <cell r="J730" t="str">
            <v>EQUIPMENT ROOM</v>
          </cell>
          <cell r="K730" t="str">
            <v>BMED</v>
          </cell>
          <cell r="L730" t="str">
            <v>Normal</v>
          </cell>
          <cell r="M730" t="str">
            <v>Poland</v>
          </cell>
          <cell r="N730" t="str">
            <v>Nimbus</v>
          </cell>
          <cell r="O730" t="str">
            <v>Nimbus 3</v>
          </cell>
          <cell r="P730" t="str">
            <v>1200006475</v>
          </cell>
          <cell r="Q730" t="str">
            <v>Not Applicable</v>
          </cell>
          <cell r="R730" t="str">
            <v>Arjohuntleigh</v>
          </cell>
          <cell r="S730" t="str">
            <v>Hexamine Sdn. Bhd.</v>
          </cell>
          <cell r="T730" t="str">
            <v>Functioning</v>
          </cell>
          <cell r="U730" t="str">
            <v>Asset</v>
          </cell>
          <cell r="V730">
            <v>28630</v>
          </cell>
          <cell r="W730" t="str">
            <v>KEW</v>
          </cell>
          <cell r="X730" t="str">
            <v>01/09/2010</v>
          </cell>
          <cell r="Y730" t="str">
            <v>KEW</v>
          </cell>
          <cell r="Z730" t="str">
            <v>16/08/2013</v>
          </cell>
          <cell r="AA730" t="str">
            <v>15/08/2015</v>
          </cell>
          <cell r="AB730" t="str">
            <v>No</v>
          </cell>
          <cell r="AC730" t="str">
            <v>31/08/2013</v>
          </cell>
          <cell r="AD730" t="str">
            <v>Good</v>
          </cell>
          <cell r="AE730" t="str">
            <v>V1 - Existing / No Claim</v>
          </cell>
          <cell r="AF730">
            <v>42789</v>
          </cell>
          <cell r="AG730">
            <v>9.17</v>
          </cell>
          <cell r="AH730" t="str">
            <v>PPM</v>
          </cell>
          <cell r="AI730" t="str">
            <v>Strands</v>
          </cell>
          <cell r="AJ730" t="str">
            <v>Strands PW</v>
          </cell>
        </row>
        <row r="731">
          <cell r="A731" t="str">
            <v>IKN400257</v>
          </cell>
          <cell r="B731">
            <v>257</v>
          </cell>
          <cell r="C731" t="str">
            <v>Institut Kanser Negara</v>
          </cell>
          <cell r="D731" t="str">
            <v>KKM/IKN/H/13/2542</v>
          </cell>
          <cell r="E731" t="str">
            <v>18-147</v>
          </cell>
          <cell r="F731" t="str">
            <v>Mattress Systems, Alternating-Pressure</v>
          </cell>
          <cell r="G731" t="str">
            <v>WG</v>
          </cell>
          <cell r="H731" t="str">
            <v>RT/ONCO WARD 1 (M)</v>
          </cell>
          <cell r="I731" t="str">
            <v>08WG113</v>
          </cell>
          <cell r="J731" t="str">
            <v>EQUIPMENT ROOM</v>
          </cell>
          <cell r="K731" t="str">
            <v>BMED</v>
          </cell>
          <cell r="L731" t="str">
            <v>Normal</v>
          </cell>
          <cell r="M731" t="str">
            <v>Poland</v>
          </cell>
          <cell r="N731" t="str">
            <v>Nimbus</v>
          </cell>
          <cell r="O731" t="str">
            <v>Nimbus 3</v>
          </cell>
          <cell r="P731" t="str">
            <v>1200005109</v>
          </cell>
          <cell r="Q731" t="str">
            <v>Not Applicable</v>
          </cell>
          <cell r="R731" t="str">
            <v>Arjohuntleigh</v>
          </cell>
          <cell r="S731" t="str">
            <v>Hexamine Sdn. Bhd.</v>
          </cell>
          <cell r="T731" t="str">
            <v>Functioning</v>
          </cell>
          <cell r="U731" t="str">
            <v>Asset</v>
          </cell>
          <cell r="V731">
            <v>28630</v>
          </cell>
          <cell r="W731" t="str">
            <v>KEW</v>
          </cell>
          <cell r="X731" t="str">
            <v>01/09/2010</v>
          </cell>
          <cell r="Y731" t="str">
            <v>KEW</v>
          </cell>
          <cell r="Z731" t="str">
            <v>16/08/2013</v>
          </cell>
          <cell r="AA731" t="str">
            <v>15/08/2015</v>
          </cell>
          <cell r="AB731" t="str">
            <v>No</v>
          </cell>
          <cell r="AC731" t="str">
            <v>31/08/2013</v>
          </cell>
          <cell r="AD731" t="str">
            <v>Good</v>
          </cell>
          <cell r="AE731" t="str">
            <v>V1 - Existing / No Claim</v>
          </cell>
          <cell r="AF731">
            <v>42789</v>
          </cell>
          <cell r="AG731">
            <v>9.17</v>
          </cell>
          <cell r="AH731" t="str">
            <v>PPM</v>
          </cell>
          <cell r="AI731" t="str">
            <v>Strands</v>
          </cell>
          <cell r="AJ731" t="str">
            <v>Strands PW</v>
          </cell>
        </row>
        <row r="732">
          <cell r="A732" t="str">
            <v>IKN400258</v>
          </cell>
          <cell r="B732">
            <v>258</v>
          </cell>
          <cell r="C732" t="str">
            <v>Institut Kanser Negara</v>
          </cell>
          <cell r="D732" t="str">
            <v>KKM/IKN/H/13/2544</v>
          </cell>
          <cell r="E732" t="str">
            <v>18-147</v>
          </cell>
          <cell r="F732" t="str">
            <v>Mattress Systems, Alternating-Pressure</v>
          </cell>
          <cell r="G732" t="str">
            <v>WG</v>
          </cell>
          <cell r="H732" t="str">
            <v>RT/ONCO WARD 1 (M)</v>
          </cell>
          <cell r="I732" t="str">
            <v>08WG113</v>
          </cell>
          <cell r="J732" t="str">
            <v>EQUIPMENT ROOM</v>
          </cell>
          <cell r="K732" t="str">
            <v>BMED</v>
          </cell>
          <cell r="L732" t="str">
            <v>Normal</v>
          </cell>
          <cell r="M732" t="str">
            <v>Poland</v>
          </cell>
          <cell r="N732" t="str">
            <v>Nimbus</v>
          </cell>
          <cell r="O732" t="str">
            <v>Nimbus 3</v>
          </cell>
          <cell r="P732" t="str">
            <v>1200006455</v>
          </cell>
          <cell r="Q732" t="str">
            <v>Not Applicable</v>
          </cell>
          <cell r="R732" t="str">
            <v>Arjohuntleigh</v>
          </cell>
          <cell r="S732" t="str">
            <v>Hexamine Sdn. Bhd.</v>
          </cell>
          <cell r="T732" t="str">
            <v>Functioning</v>
          </cell>
          <cell r="U732" t="str">
            <v>Asset</v>
          </cell>
          <cell r="V732">
            <v>28630</v>
          </cell>
          <cell r="W732" t="str">
            <v>KEW</v>
          </cell>
          <cell r="X732" t="str">
            <v>01/09/2010</v>
          </cell>
          <cell r="Y732" t="str">
            <v>KEW</v>
          </cell>
          <cell r="Z732" t="str">
            <v>16/08/2013</v>
          </cell>
          <cell r="AA732" t="str">
            <v>15/08/2015</v>
          </cell>
          <cell r="AB732" t="str">
            <v>No</v>
          </cell>
          <cell r="AC732" t="str">
            <v>31/08/2013</v>
          </cell>
          <cell r="AD732" t="str">
            <v>Good</v>
          </cell>
          <cell r="AE732" t="str">
            <v>V1 - Existing / No Claim</v>
          </cell>
          <cell r="AF732">
            <v>42789</v>
          </cell>
          <cell r="AG732">
            <v>9.17</v>
          </cell>
          <cell r="AH732" t="str">
            <v>PPM</v>
          </cell>
          <cell r="AI732" t="str">
            <v>Strands</v>
          </cell>
          <cell r="AJ732" t="str">
            <v>Strands PW</v>
          </cell>
        </row>
        <row r="733">
          <cell r="A733" t="str">
            <v>IKN400259</v>
          </cell>
          <cell r="B733">
            <v>259</v>
          </cell>
          <cell r="C733" t="str">
            <v>Institut Kanser Negara</v>
          </cell>
          <cell r="D733" t="str">
            <v>KKM/IKN/H/13/2545</v>
          </cell>
          <cell r="E733" t="str">
            <v>18-147</v>
          </cell>
          <cell r="F733" t="str">
            <v>Mattress Systems, Alternating-Pressure</v>
          </cell>
          <cell r="G733" t="str">
            <v>WG</v>
          </cell>
          <cell r="H733" t="str">
            <v>RT/ONCO WARD 1 (M)</v>
          </cell>
          <cell r="I733" t="str">
            <v>08WG113</v>
          </cell>
          <cell r="J733" t="str">
            <v>EQUIPMENT ROOM</v>
          </cell>
          <cell r="K733" t="str">
            <v>BMED</v>
          </cell>
          <cell r="L733" t="str">
            <v>Normal</v>
          </cell>
          <cell r="M733" t="str">
            <v>Poland</v>
          </cell>
          <cell r="N733" t="str">
            <v>Nimbus</v>
          </cell>
          <cell r="O733" t="str">
            <v>Nimbus 3</v>
          </cell>
          <cell r="P733" t="str">
            <v>1200006468</v>
          </cell>
          <cell r="Q733" t="str">
            <v>Not Applicable</v>
          </cell>
          <cell r="R733" t="str">
            <v>Arjohuntleigh</v>
          </cell>
          <cell r="S733" t="str">
            <v>Hexamine Sdn. Bhd.</v>
          </cell>
          <cell r="T733" t="str">
            <v>Functioning</v>
          </cell>
          <cell r="U733" t="str">
            <v>Asset</v>
          </cell>
          <cell r="V733">
            <v>28630</v>
          </cell>
          <cell r="W733" t="str">
            <v>KEW</v>
          </cell>
          <cell r="X733" t="str">
            <v>01/09/2010</v>
          </cell>
          <cell r="Y733" t="str">
            <v>KEW</v>
          </cell>
          <cell r="Z733" t="str">
            <v>16/08/2013</v>
          </cell>
          <cell r="AA733" t="str">
            <v>15/08/2015</v>
          </cell>
          <cell r="AB733" t="str">
            <v>No</v>
          </cell>
          <cell r="AC733" t="str">
            <v>31/08/2013</v>
          </cell>
          <cell r="AD733" t="str">
            <v>Good</v>
          </cell>
          <cell r="AE733" t="str">
            <v>V1 - Existing / No Claim</v>
          </cell>
          <cell r="AF733">
            <v>42789</v>
          </cell>
          <cell r="AG733">
            <v>9.17</v>
          </cell>
          <cell r="AH733" t="str">
            <v>PPM</v>
          </cell>
          <cell r="AI733" t="str">
            <v>Strands</v>
          </cell>
          <cell r="AJ733" t="str">
            <v>Strands PW</v>
          </cell>
        </row>
        <row r="734">
          <cell r="A734" t="str">
            <v>IKN400260</v>
          </cell>
          <cell r="B734">
            <v>260</v>
          </cell>
          <cell r="C734" t="str">
            <v>Institut Kanser Negara</v>
          </cell>
          <cell r="D734" t="str">
            <v>KKM/IKN/H/13/2546</v>
          </cell>
          <cell r="E734" t="str">
            <v>18-147</v>
          </cell>
          <cell r="F734" t="str">
            <v>Mattress Systems, Alternating-Pressure</v>
          </cell>
          <cell r="G734" t="str">
            <v>WG</v>
          </cell>
          <cell r="H734" t="str">
            <v>RT/ONCO WARD 1 (M)</v>
          </cell>
          <cell r="I734" t="str">
            <v>08WG113</v>
          </cell>
          <cell r="J734" t="str">
            <v>EQUIPMENT ROOM</v>
          </cell>
          <cell r="K734" t="str">
            <v>BMED</v>
          </cell>
          <cell r="L734" t="str">
            <v>Normal</v>
          </cell>
          <cell r="M734" t="str">
            <v>Poland</v>
          </cell>
          <cell r="N734" t="str">
            <v>Nimbus</v>
          </cell>
          <cell r="O734" t="str">
            <v>Nimbus 3</v>
          </cell>
          <cell r="P734" t="str">
            <v>1200006476</v>
          </cell>
          <cell r="Q734" t="str">
            <v>Not Applicable</v>
          </cell>
          <cell r="R734" t="str">
            <v>Arjohuntleigh</v>
          </cell>
          <cell r="S734" t="str">
            <v>Hexamine Sdn. Bhd.</v>
          </cell>
          <cell r="T734" t="str">
            <v>Functioning</v>
          </cell>
          <cell r="U734" t="str">
            <v>Asset</v>
          </cell>
          <cell r="V734">
            <v>28630</v>
          </cell>
          <cell r="W734" t="str">
            <v>KEW</v>
          </cell>
          <cell r="X734" t="str">
            <v>01/09/2010</v>
          </cell>
          <cell r="Y734" t="str">
            <v>KEW</v>
          </cell>
          <cell r="Z734" t="str">
            <v>16/08/2013</v>
          </cell>
          <cell r="AA734" t="str">
            <v>15/08/2015</v>
          </cell>
          <cell r="AB734" t="str">
            <v>No</v>
          </cell>
          <cell r="AC734" t="str">
            <v>31/08/2013</v>
          </cell>
          <cell r="AD734" t="str">
            <v>Good</v>
          </cell>
          <cell r="AE734" t="str">
            <v>V1 - Existing / No Claim</v>
          </cell>
          <cell r="AF734">
            <v>42789</v>
          </cell>
          <cell r="AG734">
            <v>9.17</v>
          </cell>
          <cell r="AH734" t="str">
            <v>PPM</v>
          </cell>
          <cell r="AI734" t="str">
            <v>Strands</v>
          </cell>
          <cell r="AJ734" t="str">
            <v>Strands PW</v>
          </cell>
        </row>
        <row r="735">
          <cell r="A735" t="str">
            <v>IKN400261</v>
          </cell>
          <cell r="B735">
            <v>261</v>
          </cell>
          <cell r="C735" t="str">
            <v>Institut Kanser Negara</v>
          </cell>
          <cell r="D735" t="str">
            <v>KKM/IKN/H/13/2547</v>
          </cell>
          <cell r="E735" t="str">
            <v>18-147</v>
          </cell>
          <cell r="F735" t="str">
            <v>Mattress Systems, Alternating-Pressure</v>
          </cell>
          <cell r="G735" t="str">
            <v>WG</v>
          </cell>
          <cell r="H735" t="str">
            <v>RT/ONCO WARD 1 (M)</v>
          </cell>
          <cell r="I735" t="str">
            <v>08WG113</v>
          </cell>
          <cell r="J735" t="str">
            <v>EQUIPMENT ROOM</v>
          </cell>
          <cell r="K735" t="str">
            <v>BMED</v>
          </cell>
          <cell r="L735" t="str">
            <v>Normal</v>
          </cell>
          <cell r="M735" t="str">
            <v>Poland</v>
          </cell>
          <cell r="N735" t="str">
            <v>Nimbus</v>
          </cell>
          <cell r="O735" t="str">
            <v>Nimbus 3</v>
          </cell>
          <cell r="P735" t="str">
            <v>1200010689</v>
          </cell>
          <cell r="Q735" t="str">
            <v>Not Applicable</v>
          </cell>
          <cell r="R735" t="str">
            <v>Arjohuntleigh</v>
          </cell>
          <cell r="S735" t="str">
            <v>Hexamine Sdn. Bhd.</v>
          </cell>
          <cell r="T735" t="str">
            <v>Functioning</v>
          </cell>
          <cell r="U735" t="str">
            <v>Asset</v>
          </cell>
          <cell r="V735">
            <v>28630</v>
          </cell>
          <cell r="W735" t="str">
            <v>KEW</v>
          </cell>
          <cell r="X735" t="str">
            <v>01/09/2010</v>
          </cell>
          <cell r="Y735" t="str">
            <v>KEW</v>
          </cell>
          <cell r="Z735" t="str">
            <v>16/08/2013</v>
          </cell>
          <cell r="AA735" t="str">
            <v>15/08/2015</v>
          </cell>
          <cell r="AB735" t="str">
            <v>No</v>
          </cell>
          <cell r="AC735" t="str">
            <v>31/08/2013</v>
          </cell>
          <cell r="AD735" t="str">
            <v>Good</v>
          </cell>
          <cell r="AE735" t="str">
            <v>V1 - Existing / No Claim</v>
          </cell>
          <cell r="AF735">
            <v>42789</v>
          </cell>
          <cell r="AG735">
            <v>9.17</v>
          </cell>
          <cell r="AH735" t="str">
            <v>PPM</v>
          </cell>
          <cell r="AI735" t="str">
            <v>Strands</v>
          </cell>
          <cell r="AJ735" t="str">
            <v>Strands PW</v>
          </cell>
        </row>
        <row r="736">
          <cell r="A736" t="str">
            <v>IKN400262</v>
          </cell>
          <cell r="B736">
            <v>262</v>
          </cell>
          <cell r="C736" t="str">
            <v>Institut Kanser Negara</v>
          </cell>
          <cell r="D736" t="str">
            <v>KKM/IKN/H/13/2550</v>
          </cell>
          <cell r="E736" t="str">
            <v>17-148</v>
          </cell>
          <cell r="F736" t="str">
            <v>Oximeters, Pulse</v>
          </cell>
          <cell r="G736" t="str">
            <v>WG</v>
          </cell>
          <cell r="H736" t="str">
            <v>RT/ONCO WARD 1 (M)</v>
          </cell>
          <cell r="I736" t="str">
            <v>08WG113</v>
          </cell>
          <cell r="J736" t="str">
            <v>EQUIPMENT ROOM</v>
          </cell>
          <cell r="K736" t="str">
            <v>BMED</v>
          </cell>
          <cell r="L736" t="str">
            <v>Critical</v>
          </cell>
          <cell r="M736" t="str">
            <v>USA</v>
          </cell>
          <cell r="N736" t="str">
            <v>PlamSAT</v>
          </cell>
          <cell r="O736" t="str">
            <v>PalmSAT 2500</v>
          </cell>
          <cell r="P736" t="str">
            <v>501438136</v>
          </cell>
          <cell r="Q736" t="str">
            <v>Not Applicable</v>
          </cell>
          <cell r="R736" t="str">
            <v>Nonin Medical Inc</v>
          </cell>
          <cell r="S736" t="str">
            <v>Acucare Systems (M) Sdn bhd</v>
          </cell>
          <cell r="T736" t="str">
            <v>Functioning</v>
          </cell>
          <cell r="U736" t="str">
            <v>Asset</v>
          </cell>
          <cell r="V736">
            <v>5410</v>
          </cell>
          <cell r="W736" t="str">
            <v>KEW</v>
          </cell>
          <cell r="X736" t="str">
            <v>01/09/2010</v>
          </cell>
          <cell r="Y736" t="str">
            <v>KEW</v>
          </cell>
          <cell r="Z736" t="str">
            <v>16/08/2013</v>
          </cell>
          <cell r="AA736" t="str">
            <v>15/08/2015</v>
          </cell>
          <cell r="AB736" t="str">
            <v>No</v>
          </cell>
          <cell r="AC736" t="str">
            <v>31/08/2013</v>
          </cell>
          <cell r="AD736" t="str">
            <v>Good</v>
          </cell>
          <cell r="AE736" t="str">
            <v>V1 - Existing / No Claim</v>
          </cell>
          <cell r="AF736">
            <v>42789</v>
          </cell>
          <cell r="AG736">
            <v>9.17</v>
          </cell>
          <cell r="AH736" t="str">
            <v>PPM</v>
          </cell>
          <cell r="AI736" t="str">
            <v>Strands</v>
          </cell>
          <cell r="AJ736" t="str">
            <v>Strands PW</v>
          </cell>
        </row>
        <row r="737">
          <cell r="A737" t="str">
            <v>IKN400263</v>
          </cell>
          <cell r="B737">
            <v>263</v>
          </cell>
          <cell r="C737" t="str">
            <v>Institut Kanser Negara</v>
          </cell>
          <cell r="D737" t="str">
            <v>KKM/IKN/H/13/2551</v>
          </cell>
          <cell r="E737" t="str">
            <v>17-148</v>
          </cell>
          <cell r="F737" t="str">
            <v>Oximeters, Pulse</v>
          </cell>
          <cell r="G737" t="str">
            <v>WG</v>
          </cell>
          <cell r="H737" t="str">
            <v>RT/ONCO WARD 1 (M)</v>
          </cell>
          <cell r="I737" t="str">
            <v>08WG113</v>
          </cell>
          <cell r="J737" t="str">
            <v>EQUIPMENT ROOM</v>
          </cell>
          <cell r="K737" t="str">
            <v>BMED</v>
          </cell>
          <cell r="L737" t="str">
            <v>Critical</v>
          </cell>
          <cell r="M737" t="str">
            <v>USA</v>
          </cell>
          <cell r="N737" t="str">
            <v>PlamSAT</v>
          </cell>
          <cell r="O737" t="str">
            <v>PalmSAT 2500</v>
          </cell>
          <cell r="P737" t="str">
            <v>501438133</v>
          </cell>
          <cell r="Q737" t="str">
            <v>Not Applicable</v>
          </cell>
          <cell r="R737" t="str">
            <v>Nonin Medical Inc</v>
          </cell>
          <cell r="S737" t="str">
            <v>Acucare Systems (M) Sdn bhd</v>
          </cell>
          <cell r="T737" t="str">
            <v>Functioning</v>
          </cell>
          <cell r="U737" t="str">
            <v>Asset</v>
          </cell>
          <cell r="V737">
            <v>5410</v>
          </cell>
          <cell r="W737" t="str">
            <v>KEW</v>
          </cell>
          <cell r="X737" t="str">
            <v>01/09/2010</v>
          </cell>
          <cell r="Y737" t="str">
            <v>KEW</v>
          </cell>
          <cell r="Z737" t="str">
            <v>16/08/2013</v>
          </cell>
          <cell r="AA737" t="str">
            <v>15/08/2015</v>
          </cell>
          <cell r="AB737" t="str">
            <v>No</v>
          </cell>
          <cell r="AC737" t="str">
            <v>31/08/2013</v>
          </cell>
          <cell r="AD737" t="str">
            <v>Good</v>
          </cell>
          <cell r="AE737" t="str">
            <v>V1 - Existing / No Claim</v>
          </cell>
          <cell r="AF737">
            <v>42789</v>
          </cell>
          <cell r="AG737">
            <v>9.17</v>
          </cell>
          <cell r="AH737" t="str">
            <v>PPM</v>
          </cell>
          <cell r="AI737" t="str">
            <v>Strands</v>
          </cell>
          <cell r="AJ737" t="str">
            <v>Strands PW</v>
          </cell>
        </row>
        <row r="738">
          <cell r="A738" t="str">
            <v>IKN400264</v>
          </cell>
          <cell r="B738">
            <v>264</v>
          </cell>
          <cell r="C738" t="str">
            <v>Institut Kanser Negara</v>
          </cell>
          <cell r="D738" t="str">
            <v>KKM/IKN/H/13/2538</v>
          </cell>
          <cell r="E738" t="str">
            <v>12-647</v>
          </cell>
          <cell r="F738" t="str">
            <v>Physiologic Monitoring Systems, Acute Care</v>
          </cell>
          <cell r="G738" t="str">
            <v>WG</v>
          </cell>
          <cell r="H738" t="str">
            <v>RT/ONCO WARD 1 (M)</v>
          </cell>
          <cell r="I738" t="str">
            <v>08WG113</v>
          </cell>
          <cell r="J738" t="str">
            <v>EQUIPMENT ROOM</v>
          </cell>
          <cell r="K738" t="str">
            <v>BMED</v>
          </cell>
          <cell r="L738" t="str">
            <v>Critical</v>
          </cell>
          <cell r="M738" t="str">
            <v>USA</v>
          </cell>
          <cell r="N738" t="str">
            <v>GE</v>
          </cell>
          <cell r="O738" t="str">
            <v>GE B30</v>
          </cell>
          <cell r="P738" t="str">
            <v>SF312335926WA</v>
          </cell>
          <cell r="Q738" t="str">
            <v>Not Applicable</v>
          </cell>
          <cell r="R738" t="str">
            <v>GE Healthcare Systems</v>
          </cell>
          <cell r="S738" t="str">
            <v>GE Healthcare Technologies</v>
          </cell>
          <cell r="T738" t="str">
            <v>Functioning</v>
          </cell>
          <cell r="U738" t="str">
            <v>Asset</v>
          </cell>
          <cell r="V738">
            <v>44510</v>
          </cell>
          <cell r="W738" t="str">
            <v>KEW</v>
          </cell>
          <cell r="X738" t="str">
            <v>01/09/2010</v>
          </cell>
          <cell r="Y738" t="str">
            <v>KEW</v>
          </cell>
          <cell r="Z738" t="str">
            <v>16/08/2013</v>
          </cell>
          <cell r="AA738" t="str">
            <v>15/08/2015</v>
          </cell>
          <cell r="AB738" t="str">
            <v>No</v>
          </cell>
          <cell r="AC738" t="str">
            <v>31/08/2013</v>
          </cell>
          <cell r="AD738" t="str">
            <v>Good</v>
          </cell>
          <cell r="AE738" t="str">
            <v>V1 - Existing / No Claim</v>
          </cell>
          <cell r="AF738">
            <v>42789</v>
          </cell>
          <cell r="AG738">
            <v>9.17</v>
          </cell>
          <cell r="AH738" t="str">
            <v>PPM</v>
          </cell>
          <cell r="AI738" t="str">
            <v>Strands</v>
          </cell>
          <cell r="AJ738" t="str">
            <v>Strands PW</v>
          </cell>
        </row>
        <row r="739">
          <cell r="A739" t="str">
            <v>IKN400265</v>
          </cell>
          <cell r="B739">
            <v>265</v>
          </cell>
          <cell r="C739" t="str">
            <v>Institut Kanser Negara</v>
          </cell>
          <cell r="D739" t="str">
            <v>KKM/IKN/H/13/2539</v>
          </cell>
          <cell r="E739" t="str">
            <v>12-647</v>
          </cell>
          <cell r="F739" t="str">
            <v>Physiologic Monitoring Systems, Acute Care</v>
          </cell>
          <cell r="G739" t="str">
            <v>WG</v>
          </cell>
          <cell r="H739" t="str">
            <v>RT/ONCO WARD 1 (M)</v>
          </cell>
          <cell r="I739" t="str">
            <v>08WG113</v>
          </cell>
          <cell r="J739" t="str">
            <v>EQUIPMENT ROOM</v>
          </cell>
          <cell r="K739" t="str">
            <v>BMED</v>
          </cell>
          <cell r="L739" t="str">
            <v>Critical</v>
          </cell>
          <cell r="M739" t="str">
            <v>USA</v>
          </cell>
          <cell r="N739" t="str">
            <v>GE</v>
          </cell>
          <cell r="O739" t="str">
            <v>GE B30</v>
          </cell>
          <cell r="P739" t="str">
            <v>SF312325917WA</v>
          </cell>
          <cell r="Q739" t="str">
            <v>Not Applicable</v>
          </cell>
          <cell r="R739" t="str">
            <v>GE Healthcare Systems</v>
          </cell>
          <cell r="S739" t="str">
            <v>GE Healthcare Technologies</v>
          </cell>
          <cell r="T739" t="str">
            <v>Functioning</v>
          </cell>
          <cell r="U739" t="str">
            <v>Asset</v>
          </cell>
          <cell r="V739">
            <v>44510</v>
          </cell>
          <cell r="W739" t="str">
            <v>KEW</v>
          </cell>
          <cell r="X739" t="str">
            <v>01/09/2010</v>
          </cell>
          <cell r="Y739" t="str">
            <v>KEW</v>
          </cell>
          <cell r="Z739" t="str">
            <v>16/08/2013</v>
          </cell>
          <cell r="AA739" t="str">
            <v>15/08/2015</v>
          </cell>
          <cell r="AB739" t="str">
            <v>No</v>
          </cell>
          <cell r="AC739" t="str">
            <v>31/08/2013</v>
          </cell>
          <cell r="AD739" t="str">
            <v>Good</v>
          </cell>
          <cell r="AE739" t="str">
            <v>V1 - Existing / No Claim</v>
          </cell>
          <cell r="AF739">
            <v>42789</v>
          </cell>
          <cell r="AG739">
            <v>9.17</v>
          </cell>
          <cell r="AH739" t="str">
            <v>PPM</v>
          </cell>
          <cell r="AI739" t="str">
            <v>Strands</v>
          </cell>
          <cell r="AJ739" t="str">
            <v>Strands PW</v>
          </cell>
        </row>
        <row r="740">
          <cell r="A740" t="str">
            <v>IKN400266</v>
          </cell>
          <cell r="B740">
            <v>266</v>
          </cell>
          <cell r="C740" t="str">
            <v>Institut Kanser Negara</v>
          </cell>
          <cell r="D740" t="str">
            <v>KKM/IKN/H/13/3925</v>
          </cell>
          <cell r="E740" t="str">
            <v>11-134</v>
          </cell>
          <cell r="F740" t="str">
            <v>Defibrillators, External, Manual</v>
          </cell>
          <cell r="G740" t="str">
            <v>WG</v>
          </cell>
          <cell r="H740" t="str">
            <v>RT/ONCO WARD 1 (M)</v>
          </cell>
          <cell r="I740" t="str">
            <v>08WG133</v>
          </cell>
          <cell r="J740" t="str">
            <v>RESUS EQ. BAY</v>
          </cell>
          <cell r="K740" t="str">
            <v>BMED</v>
          </cell>
          <cell r="L740" t="str">
            <v>Critical</v>
          </cell>
          <cell r="M740" t="str">
            <v>USA</v>
          </cell>
          <cell r="N740" t="str">
            <v>Responder</v>
          </cell>
          <cell r="O740" t="str">
            <v>Responder 2000</v>
          </cell>
          <cell r="P740" t="str">
            <v>3206732</v>
          </cell>
          <cell r="Q740" t="str">
            <v>Not Applicable</v>
          </cell>
          <cell r="R740" t="str">
            <v>GE Medical Systems</v>
          </cell>
          <cell r="S740" t="str">
            <v>Antah Sir Radin Sdn. Bhd.</v>
          </cell>
          <cell r="T740" t="str">
            <v>Functioning</v>
          </cell>
          <cell r="U740" t="str">
            <v>Asset</v>
          </cell>
          <cell r="V740">
            <v>45000</v>
          </cell>
          <cell r="W740" t="str">
            <v>KEW</v>
          </cell>
          <cell r="X740" t="str">
            <v>01/09/2010</v>
          </cell>
          <cell r="Y740" t="str">
            <v>KEW</v>
          </cell>
          <cell r="Z740" t="str">
            <v>16/08/2013</v>
          </cell>
          <cell r="AA740" t="str">
            <v>15/08/2015</v>
          </cell>
          <cell r="AB740" t="str">
            <v>No</v>
          </cell>
          <cell r="AC740" t="str">
            <v>31/08/2013</v>
          </cell>
          <cell r="AD740" t="str">
            <v>Good</v>
          </cell>
          <cell r="AE740" t="str">
            <v>V3 - Added Installed Facilities (New)</v>
          </cell>
          <cell r="AF740">
            <v>42601</v>
          </cell>
          <cell r="AG740">
            <v>9.17</v>
          </cell>
          <cell r="AH740" t="str">
            <v>PPM</v>
          </cell>
          <cell r="AI740" t="str">
            <v>Strands</v>
          </cell>
          <cell r="AJ740" t="str">
            <v>Strands PW</v>
          </cell>
          <cell r="AK740" t="str">
            <v>SNF received. 1st batch of V3 asset (December 2020)</v>
          </cell>
        </row>
        <row r="741">
          <cell r="A741" t="str">
            <v>IKN400267</v>
          </cell>
          <cell r="B741">
            <v>267</v>
          </cell>
          <cell r="C741" t="str">
            <v>Institut Kanser Negara</v>
          </cell>
          <cell r="D741" t="str">
            <v>KKM/IKN/H/13/2530</v>
          </cell>
          <cell r="E741" t="str">
            <v>16-173</v>
          </cell>
          <cell r="F741" t="str">
            <v>Sphygmomanometers, Electronic, Automatic</v>
          </cell>
          <cell r="G741" t="str">
            <v>WG</v>
          </cell>
          <cell r="H741" t="str">
            <v>RT/ONCO WARD 1 (M)</v>
          </cell>
          <cell r="I741" t="str">
            <v>08WG143</v>
          </cell>
          <cell r="J741" t="str">
            <v>NURSE STATION</v>
          </cell>
          <cell r="K741" t="str">
            <v>BMED</v>
          </cell>
          <cell r="L741" t="str">
            <v>Normal</v>
          </cell>
          <cell r="M741" t="str">
            <v>USA</v>
          </cell>
          <cell r="N741" t="str">
            <v>Connex</v>
          </cell>
          <cell r="O741" t="str">
            <v>Connex ProBP 3400</v>
          </cell>
          <cell r="P741" t="str">
            <v>100001560613</v>
          </cell>
          <cell r="Q741" t="str">
            <v>Not Applicable</v>
          </cell>
          <cell r="R741" t="str">
            <v>Welch Allyn Inc</v>
          </cell>
          <cell r="S741" t="str">
            <v>Welch Allyn Malaysia Sdn Bhd</v>
          </cell>
          <cell r="T741" t="str">
            <v>Functioning</v>
          </cell>
          <cell r="U741" t="str">
            <v>Asset</v>
          </cell>
          <cell r="V741">
            <v>4510</v>
          </cell>
          <cell r="W741" t="str">
            <v>KEW</v>
          </cell>
          <cell r="X741" t="str">
            <v>01/09/2010</v>
          </cell>
          <cell r="Y741" t="str">
            <v>KEW</v>
          </cell>
          <cell r="Z741" t="str">
            <v>16/08/2013</v>
          </cell>
          <cell r="AA741" t="str">
            <v>15/08/2015</v>
          </cell>
          <cell r="AB741" t="str">
            <v>No</v>
          </cell>
          <cell r="AC741" t="str">
            <v>31/08/2013</v>
          </cell>
          <cell r="AD741" t="str">
            <v>Good</v>
          </cell>
          <cell r="AE741" t="str">
            <v>V1 - Existing / No Claim</v>
          </cell>
          <cell r="AF741">
            <v>42235</v>
          </cell>
          <cell r="AG741">
            <v>9.17</v>
          </cell>
          <cell r="AH741" t="str">
            <v>PPM</v>
          </cell>
          <cell r="AI741" t="str">
            <v>Strands</v>
          </cell>
          <cell r="AJ741" t="str">
            <v>Strands PW</v>
          </cell>
        </row>
        <row r="742">
          <cell r="A742" t="str">
            <v>IKN400268</v>
          </cell>
          <cell r="B742">
            <v>268</v>
          </cell>
          <cell r="C742" t="str">
            <v>Institut Kanser Negara</v>
          </cell>
          <cell r="D742" t="str">
            <v>KKM/IKN/H/13/2533</v>
          </cell>
          <cell r="E742" t="str">
            <v>16-173</v>
          </cell>
          <cell r="F742" t="str">
            <v>Sphygmomanometers, Electronic, Automatic</v>
          </cell>
          <cell r="G742" t="str">
            <v>WG</v>
          </cell>
          <cell r="H742" t="str">
            <v>RT/ONCO WARD 1 (M)</v>
          </cell>
          <cell r="I742" t="str">
            <v>08WG143</v>
          </cell>
          <cell r="J742" t="str">
            <v>NURSE STATION</v>
          </cell>
          <cell r="K742" t="str">
            <v>BMED</v>
          </cell>
          <cell r="L742" t="str">
            <v>Normal</v>
          </cell>
          <cell r="M742" t="str">
            <v>USA</v>
          </cell>
          <cell r="N742" t="str">
            <v>Connex</v>
          </cell>
          <cell r="O742" t="str">
            <v>Connex ProBP 3400</v>
          </cell>
          <cell r="P742" t="str">
            <v>100001690613</v>
          </cell>
          <cell r="Q742" t="str">
            <v>Not Applicable</v>
          </cell>
          <cell r="R742" t="str">
            <v>Welch Allyn Inc</v>
          </cell>
          <cell r="S742" t="str">
            <v>Welch Allyn Malaysia Sdn Bhd</v>
          </cell>
          <cell r="T742" t="str">
            <v>Functioning</v>
          </cell>
          <cell r="U742" t="str">
            <v>Asset</v>
          </cell>
          <cell r="V742">
            <v>4510</v>
          </cell>
          <cell r="W742" t="str">
            <v>KEW</v>
          </cell>
          <cell r="X742" t="str">
            <v>01/09/2010</v>
          </cell>
          <cell r="Y742" t="str">
            <v>KEW</v>
          </cell>
          <cell r="Z742" t="str">
            <v>16/08/2013</v>
          </cell>
          <cell r="AA742" t="str">
            <v>15/08/2015</v>
          </cell>
          <cell r="AB742" t="str">
            <v>No</v>
          </cell>
          <cell r="AC742" t="str">
            <v>31/08/2013</v>
          </cell>
          <cell r="AD742" t="str">
            <v>Good</v>
          </cell>
          <cell r="AE742" t="str">
            <v>V1 - Existing / No Claim</v>
          </cell>
          <cell r="AF742">
            <v>42235</v>
          </cell>
          <cell r="AG742">
            <v>9.17</v>
          </cell>
          <cell r="AH742" t="str">
            <v>PPM</v>
          </cell>
          <cell r="AI742" t="str">
            <v>Strands</v>
          </cell>
          <cell r="AJ742" t="str">
            <v>Strands PW</v>
          </cell>
        </row>
        <row r="743">
          <cell r="A743" t="str">
            <v>IKN400269</v>
          </cell>
          <cell r="B743">
            <v>269</v>
          </cell>
          <cell r="C743" t="str">
            <v>Institut Kanser Negara</v>
          </cell>
          <cell r="D743" t="str">
            <v>KKM/IKN/H/13/2556</v>
          </cell>
          <cell r="E743" t="str">
            <v>16-173</v>
          </cell>
          <cell r="F743" t="str">
            <v>Sphygmomanometers, Electronic, Automatic</v>
          </cell>
          <cell r="G743" t="str">
            <v>WG</v>
          </cell>
          <cell r="H743" t="str">
            <v>RT/ONCO WARD 1 (M)</v>
          </cell>
          <cell r="I743" t="str">
            <v>08WG113</v>
          </cell>
          <cell r="J743" t="str">
            <v>EQUIPMENT ROOM</v>
          </cell>
          <cell r="K743" t="str">
            <v>BMED</v>
          </cell>
          <cell r="L743" t="str">
            <v>Critical</v>
          </cell>
          <cell r="M743" t="str">
            <v>Mexico</v>
          </cell>
          <cell r="N743" t="str">
            <v>Carespace</v>
          </cell>
          <cell r="O743" t="str">
            <v>Carescape V100</v>
          </cell>
          <cell r="P743" t="str">
            <v>SH613290575SA</v>
          </cell>
          <cell r="Q743" t="str">
            <v>Not Applicable</v>
          </cell>
          <cell r="R743" t="str">
            <v>GE Healthcare Systems</v>
          </cell>
          <cell r="S743" t="str">
            <v>GE Healthcare Technologies</v>
          </cell>
          <cell r="T743" t="str">
            <v>Functioning</v>
          </cell>
          <cell r="U743" t="str">
            <v>Asset</v>
          </cell>
          <cell r="V743">
            <v>7770</v>
          </cell>
          <cell r="W743" t="str">
            <v>KEW</v>
          </cell>
          <cell r="X743" t="str">
            <v>01/09/2010</v>
          </cell>
          <cell r="Y743" t="str">
            <v>KEW</v>
          </cell>
          <cell r="Z743" t="str">
            <v>16/08/2013</v>
          </cell>
          <cell r="AA743" t="str">
            <v>15/08/2015</v>
          </cell>
          <cell r="AB743" t="str">
            <v>No</v>
          </cell>
          <cell r="AC743" t="str">
            <v>31/08/2013</v>
          </cell>
          <cell r="AD743" t="str">
            <v>Good</v>
          </cell>
          <cell r="AE743" t="str">
            <v>V1 - Existing / No Claim</v>
          </cell>
          <cell r="AF743">
            <v>42789</v>
          </cell>
          <cell r="AG743">
            <v>9.17</v>
          </cell>
          <cell r="AH743" t="str">
            <v>PPM</v>
          </cell>
          <cell r="AI743" t="str">
            <v>Strands</v>
          </cell>
          <cell r="AJ743" t="str">
            <v>Strands PW</v>
          </cell>
        </row>
        <row r="744">
          <cell r="A744" t="str">
            <v>IKN400270</v>
          </cell>
          <cell r="B744">
            <v>270</v>
          </cell>
          <cell r="C744" t="str">
            <v>Institut Kanser Negara</v>
          </cell>
          <cell r="D744" t="str">
            <v>KKM/IKN/H/13/2557</v>
          </cell>
          <cell r="E744" t="str">
            <v>10-208</v>
          </cell>
          <cell r="F744" t="str">
            <v>Aspirators</v>
          </cell>
          <cell r="G744" t="str">
            <v>WG</v>
          </cell>
          <cell r="H744" t="str">
            <v>RT/ONCO WARD 1 (M)</v>
          </cell>
          <cell r="I744" t="str">
            <v>08WG113</v>
          </cell>
          <cell r="J744" t="str">
            <v>EQUIPMENT ROOM</v>
          </cell>
          <cell r="K744" t="str">
            <v>BMED</v>
          </cell>
          <cell r="L744" t="str">
            <v>Critical</v>
          </cell>
          <cell r="M744" t="str">
            <v>UK</v>
          </cell>
          <cell r="N744" t="str">
            <v>SAM</v>
          </cell>
          <cell r="O744" t="str">
            <v>SAM 427</v>
          </cell>
          <cell r="P744" t="str">
            <v>08131705</v>
          </cell>
          <cell r="Q744" t="str">
            <v>Not Applicable</v>
          </cell>
          <cell r="R744" t="str">
            <v>MG Electric Ltd</v>
          </cell>
          <cell r="S744" t="str">
            <v>Delta Medisains</v>
          </cell>
          <cell r="T744" t="str">
            <v>Functioning</v>
          </cell>
          <cell r="U744" t="str">
            <v>Asset</v>
          </cell>
          <cell r="V744">
            <v>10705</v>
          </cell>
          <cell r="W744" t="str">
            <v>KEW</v>
          </cell>
          <cell r="X744" t="str">
            <v>01/09/2010</v>
          </cell>
          <cell r="Y744" t="str">
            <v>KEW</v>
          </cell>
          <cell r="Z744" t="str">
            <v>16/08/2013</v>
          </cell>
          <cell r="AA744" t="str">
            <v>15/08/2015</v>
          </cell>
          <cell r="AB744" t="str">
            <v>No</v>
          </cell>
          <cell r="AC744" t="str">
            <v>31/08/2013</v>
          </cell>
          <cell r="AD744" t="str">
            <v>Good</v>
          </cell>
          <cell r="AE744" t="str">
            <v>V1 - Existing / No Claim</v>
          </cell>
          <cell r="AF744">
            <v>42789</v>
          </cell>
          <cell r="AG744">
            <v>9.17</v>
          </cell>
          <cell r="AH744" t="str">
            <v>PPM</v>
          </cell>
          <cell r="AI744" t="str">
            <v>Strands</v>
          </cell>
          <cell r="AJ744" t="str">
            <v>Strands PW</v>
          </cell>
        </row>
        <row r="745">
          <cell r="A745" t="str">
            <v>IKN400271</v>
          </cell>
          <cell r="B745">
            <v>271</v>
          </cell>
          <cell r="C745" t="str">
            <v>Institut Kanser Negara</v>
          </cell>
          <cell r="D745" t="str">
            <v>KKM/IKN/H/13/2548</v>
          </cell>
          <cell r="E745" t="str">
            <v>15-045</v>
          </cell>
          <cell r="F745" t="str">
            <v>Nebulizers, Nonheated</v>
          </cell>
          <cell r="G745" t="str">
            <v>WG</v>
          </cell>
          <cell r="H745" t="str">
            <v>RT/ONCO WARD 1 (M)</v>
          </cell>
          <cell r="I745" t="str">
            <v>08WG113</v>
          </cell>
          <cell r="J745" t="str">
            <v>EQUIPMENT ROOM</v>
          </cell>
          <cell r="K745" t="str">
            <v>BMED</v>
          </cell>
          <cell r="L745" t="str">
            <v>Normal</v>
          </cell>
          <cell r="M745" t="str">
            <v>Germany</v>
          </cell>
          <cell r="N745" t="str">
            <v>Pari Boy</v>
          </cell>
          <cell r="O745" t="str">
            <v>Pari Boy SX 085</v>
          </cell>
          <cell r="P745" t="str">
            <v>2W12J05974</v>
          </cell>
          <cell r="Q745" t="str">
            <v>Not Applicable</v>
          </cell>
          <cell r="R745" t="str">
            <v>Pari GmbH</v>
          </cell>
          <cell r="S745" t="str">
            <v>Welch Allyn Malaysia Sdn Bhd</v>
          </cell>
          <cell r="T745" t="str">
            <v>Functioning</v>
          </cell>
          <cell r="U745" t="str">
            <v>Asset</v>
          </cell>
          <cell r="V745">
            <v>1140</v>
          </cell>
          <cell r="W745" t="str">
            <v>KEW</v>
          </cell>
          <cell r="X745" t="str">
            <v>01/09/2010</v>
          </cell>
          <cell r="Y745" t="str">
            <v>KEW</v>
          </cell>
          <cell r="Z745" t="str">
            <v>16/08/2013</v>
          </cell>
          <cell r="AA745" t="str">
            <v>15/08/2015</v>
          </cell>
          <cell r="AB745" t="str">
            <v>No</v>
          </cell>
          <cell r="AC745" t="str">
            <v>31/08/2013</v>
          </cell>
          <cell r="AD745" t="str">
            <v>Good</v>
          </cell>
          <cell r="AE745" t="str">
            <v>V1 - Existing / No Claim</v>
          </cell>
          <cell r="AF745">
            <v>42789</v>
          </cell>
          <cell r="AG745">
            <v>9.17</v>
          </cell>
          <cell r="AH745" t="str">
            <v>PPM</v>
          </cell>
          <cell r="AI745" t="str">
            <v>Strands</v>
          </cell>
          <cell r="AJ745" t="str">
            <v>Strands PW</v>
          </cell>
        </row>
        <row r="746">
          <cell r="A746" t="str">
            <v>IKN400276</v>
          </cell>
          <cell r="B746">
            <v>276</v>
          </cell>
          <cell r="C746" t="str">
            <v>Institut Kanser Negara</v>
          </cell>
          <cell r="D746" t="str">
            <v>KKM/IKN/H/13/3192</v>
          </cell>
          <cell r="E746" t="str">
            <v>10-208</v>
          </cell>
          <cell r="F746" t="str">
            <v>Aspirators</v>
          </cell>
          <cell r="G746" t="str">
            <v>WH</v>
          </cell>
          <cell r="H746" t="str">
            <v>RT/ONCO WARD 2 (M)</v>
          </cell>
          <cell r="I746" t="str">
            <v>08WH107</v>
          </cell>
          <cell r="J746" t="str">
            <v>TREATMENT / PROCEDURE</v>
          </cell>
          <cell r="K746" t="str">
            <v>BMED</v>
          </cell>
          <cell r="L746" t="str">
            <v>Critical</v>
          </cell>
          <cell r="M746" t="str">
            <v>Switzerland</v>
          </cell>
          <cell r="N746" t="str">
            <v>Senator</v>
          </cell>
          <cell r="O746" t="str">
            <v>Senator</v>
          </cell>
          <cell r="P746" t="str">
            <v>1220750</v>
          </cell>
          <cell r="Q746" t="str">
            <v>Not Applicable</v>
          </cell>
          <cell r="R746" t="str">
            <v>Ardo Medical AG</v>
          </cell>
          <cell r="S746" t="str">
            <v>Histopoint</v>
          </cell>
          <cell r="T746" t="str">
            <v>Functioning</v>
          </cell>
          <cell r="U746" t="str">
            <v>Asset</v>
          </cell>
          <cell r="V746">
            <v>5052</v>
          </cell>
          <cell r="W746" t="str">
            <v>KEW</v>
          </cell>
          <cell r="X746" t="str">
            <v>01/09/2010</v>
          </cell>
          <cell r="Y746" t="str">
            <v>KEW</v>
          </cell>
          <cell r="Z746" t="str">
            <v>16/08/2013</v>
          </cell>
          <cell r="AA746" t="str">
            <v>15/08/2015</v>
          </cell>
          <cell r="AB746" t="str">
            <v>No</v>
          </cell>
          <cell r="AC746" t="str">
            <v>31/08/2013</v>
          </cell>
          <cell r="AD746" t="str">
            <v>Good</v>
          </cell>
          <cell r="AE746" t="str">
            <v>V1 - Existing / No Claim</v>
          </cell>
          <cell r="AF746">
            <v>42787</v>
          </cell>
          <cell r="AG746">
            <v>9.17</v>
          </cell>
          <cell r="AH746" t="str">
            <v>PPM</v>
          </cell>
          <cell r="AI746" t="str">
            <v>Strands</v>
          </cell>
          <cell r="AJ746" t="str">
            <v>Strands PW</v>
          </cell>
        </row>
        <row r="747">
          <cell r="A747" t="str">
            <v>IKN400277</v>
          </cell>
          <cell r="B747">
            <v>277</v>
          </cell>
          <cell r="C747" t="str">
            <v>Institut Kanser Negara</v>
          </cell>
          <cell r="D747" t="str">
            <v>KKM/IKN/H/13/2375</v>
          </cell>
          <cell r="E747" t="str">
            <v>16-231</v>
          </cell>
          <cell r="F747" t="str">
            <v>Electrocardiographs, Multichannel, Interpretative</v>
          </cell>
          <cell r="G747" t="str">
            <v>WH</v>
          </cell>
          <cell r="H747" t="str">
            <v>RT/ONCO WARD 2 (M)</v>
          </cell>
          <cell r="I747" t="str">
            <v>08WH107</v>
          </cell>
          <cell r="J747" t="str">
            <v>TREATMENT / PROCEDURE</v>
          </cell>
          <cell r="K747" t="str">
            <v>BMED</v>
          </cell>
          <cell r="L747" t="str">
            <v>Critical</v>
          </cell>
          <cell r="M747" t="str">
            <v>China</v>
          </cell>
          <cell r="N747" t="str">
            <v>Mac</v>
          </cell>
          <cell r="O747" t="str">
            <v>MAC 800</v>
          </cell>
          <cell r="P747" t="str">
            <v>SJ412450378 WA</v>
          </cell>
          <cell r="Q747" t="str">
            <v>Not Applicable</v>
          </cell>
          <cell r="R747" t="str">
            <v>GE Healthcare Systems</v>
          </cell>
          <cell r="S747" t="str">
            <v>GE Healthcare Technologies</v>
          </cell>
          <cell r="T747" t="str">
            <v>Functioning</v>
          </cell>
          <cell r="U747" t="str">
            <v>Asset</v>
          </cell>
          <cell r="V747">
            <v>25260</v>
          </cell>
          <cell r="W747" t="str">
            <v>KEW</v>
          </cell>
          <cell r="X747" t="str">
            <v>01/09/2010</v>
          </cell>
          <cell r="Y747" t="str">
            <v>KEW</v>
          </cell>
          <cell r="Z747" t="str">
            <v>16/08/2013</v>
          </cell>
          <cell r="AA747" t="str">
            <v>15/08/2015</v>
          </cell>
          <cell r="AB747" t="str">
            <v>No</v>
          </cell>
          <cell r="AC747" t="str">
            <v>31/08/2013</v>
          </cell>
          <cell r="AD747" t="str">
            <v>Good</v>
          </cell>
          <cell r="AE747" t="str">
            <v>V1 - Existing / No Claim</v>
          </cell>
          <cell r="AF747">
            <v>42787</v>
          </cell>
          <cell r="AG747">
            <v>9.17</v>
          </cell>
          <cell r="AH747" t="str">
            <v>PPM</v>
          </cell>
          <cell r="AI747" t="str">
            <v>Strands</v>
          </cell>
          <cell r="AJ747" t="str">
            <v>Strands PW</v>
          </cell>
        </row>
        <row r="748">
          <cell r="A748" t="str">
            <v>IKN400278</v>
          </cell>
          <cell r="B748">
            <v>278</v>
          </cell>
          <cell r="C748" t="str">
            <v>Institut Kanser Negara</v>
          </cell>
          <cell r="D748" t="str">
            <v>KKM/IKN/H/13/3378</v>
          </cell>
          <cell r="E748" t="str">
            <v>11-134</v>
          </cell>
          <cell r="F748" t="str">
            <v>Defibrillators, External, Manual</v>
          </cell>
          <cell r="G748" t="str">
            <v>RT</v>
          </cell>
          <cell r="H748" t="str">
            <v>RADIATION TREATMENT UNIT</v>
          </cell>
          <cell r="I748" t="str">
            <v>01RT243</v>
          </cell>
          <cell r="J748" t="str">
            <v>NURSE STATION</v>
          </cell>
          <cell r="K748" t="str">
            <v>BMED</v>
          </cell>
          <cell r="L748" t="str">
            <v>Critical</v>
          </cell>
          <cell r="M748" t="str">
            <v>USA</v>
          </cell>
          <cell r="N748" t="str">
            <v>Responder</v>
          </cell>
          <cell r="O748" t="str">
            <v>Responder 2000</v>
          </cell>
          <cell r="P748" t="str">
            <v>3206733</v>
          </cell>
          <cell r="Q748" t="str">
            <v>Not Applicable</v>
          </cell>
          <cell r="R748" t="str">
            <v>GE Medical Systems</v>
          </cell>
          <cell r="S748" t="str">
            <v>Antah Sir Radin Sdn. Bhd.</v>
          </cell>
          <cell r="T748" t="str">
            <v>Functioning</v>
          </cell>
          <cell r="U748" t="str">
            <v>Asset</v>
          </cell>
          <cell r="V748">
            <v>45000</v>
          </cell>
          <cell r="W748" t="str">
            <v>Estimate</v>
          </cell>
          <cell r="X748" t="str">
            <v>01/09/2010</v>
          </cell>
          <cell r="Y748" t="str">
            <v>KEW</v>
          </cell>
          <cell r="Z748" t="str">
            <v>16/08/2013</v>
          </cell>
          <cell r="AA748" t="str">
            <v>15/08/2015</v>
          </cell>
          <cell r="AB748" t="str">
            <v>No</v>
          </cell>
          <cell r="AC748" t="str">
            <v>31/08/2013</v>
          </cell>
          <cell r="AD748" t="str">
            <v>Good</v>
          </cell>
          <cell r="AE748" t="str">
            <v>V1 - Existing / No Claim</v>
          </cell>
          <cell r="AF748">
            <v>42601</v>
          </cell>
          <cell r="AG748">
            <v>9.17</v>
          </cell>
          <cell r="AH748" t="str">
            <v>PPM</v>
          </cell>
          <cell r="AI748" t="str">
            <v>Strands</v>
          </cell>
          <cell r="AJ748" t="str">
            <v>Strands PW</v>
          </cell>
          <cell r="AK748" t="str">
            <v>Crash Trolley (FEMS)</v>
          </cell>
        </row>
        <row r="749">
          <cell r="A749" t="str">
            <v>IKN400282</v>
          </cell>
          <cell r="B749">
            <v>282</v>
          </cell>
          <cell r="C749" t="str">
            <v>Institut Kanser Negara</v>
          </cell>
          <cell r="D749" t="str">
            <v>KKM/IKN/H/13/2374</v>
          </cell>
          <cell r="E749" t="str">
            <v>12-282</v>
          </cell>
          <cell r="F749" t="str">
            <v>Lights, Surgical</v>
          </cell>
          <cell r="G749" t="str">
            <v>WH</v>
          </cell>
          <cell r="H749" t="str">
            <v>RT/ONCO WARD 2 (M)</v>
          </cell>
          <cell r="I749" t="str">
            <v>08WH107</v>
          </cell>
          <cell r="J749" t="str">
            <v>TREATMENT / PROCEDURE</v>
          </cell>
          <cell r="K749" t="str">
            <v>BMED</v>
          </cell>
          <cell r="L749" t="str">
            <v>Critical</v>
          </cell>
          <cell r="M749" t="str">
            <v>USA</v>
          </cell>
          <cell r="N749" t="str">
            <v>Welch Allyn</v>
          </cell>
          <cell r="O749" t="str">
            <v>Welch Allyn GS600</v>
          </cell>
          <cell r="P749" t="str">
            <v>GS-600-41</v>
          </cell>
          <cell r="Q749" t="str">
            <v>Not Applicable</v>
          </cell>
          <cell r="R749" t="str">
            <v>Welch Allyn Inc</v>
          </cell>
          <cell r="S749" t="str">
            <v>Welch Allyn Malaysia Sdn Bhd</v>
          </cell>
          <cell r="T749" t="str">
            <v>Functioning</v>
          </cell>
          <cell r="U749" t="str">
            <v>Asset</v>
          </cell>
          <cell r="V749">
            <v>5050</v>
          </cell>
          <cell r="W749" t="str">
            <v>KEW</v>
          </cell>
          <cell r="X749" t="str">
            <v>01/09/2010</v>
          </cell>
          <cell r="Y749" t="str">
            <v>KEW</v>
          </cell>
          <cell r="Z749" t="str">
            <v>16/08/2013</v>
          </cell>
          <cell r="AA749" t="str">
            <v>15/08/2015</v>
          </cell>
          <cell r="AB749" t="str">
            <v>No</v>
          </cell>
          <cell r="AC749" t="str">
            <v>31/08/2013</v>
          </cell>
          <cell r="AD749" t="str">
            <v>Good</v>
          </cell>
          <cell r="AE749" t="str">
            <v>V1 - Existing / No Claim</v>
          </cell>
          <cell r="AF749">
            <v>42787</v>
          </cell>
          <cell r="AG749">
            <v>9.17</v>
          </cell>
          <cell r="AH749" t="str">
            <v>PPM</v>
          </cell>
          <cell r="AI749" t="str">
            <v>Strands</v>
          </cell>
          <cell r="AJ749" t="str">
            <v>Strands PW</v>
          </cell>
        </row>
        <row r="750">
          <cell r="A750" t="str">
            <v>IKN400283</v>
          </cell>
          <cell r="B750">
            <v>283</v>
          </cell>
          <cell r="C750" t="str">
            <v>Institut Kanser Negara</v>
          </cell>
          <cell r="D750" t="str">
            <v>KKM/IKN/H/13/2022</v>
          </cell>
          <cell r="E750" t="str">
            <v>15-045</v>
          </cell>
          <cell r="F750" t="str">
            <v>Nebulizers, Nonheated</v>
          </cell>
          <cell r="G750" t="str">
            <v>WH</v>
          </cell>
          <cell r="H750" t="str">
            <v>RT/ONCO WARD 2 (M)</v>
          </cell>
          <cell r="I750" t="str">
            <v>08WH121</v>
          </cell>
          <cell r="J750" t="str">
            <v>EQUIPMENT ROOM</v>
          </cell>
          <cell r="K750" t="str">
            <v>BMED</v>
          </cell>
          <cell r="L750" t="str">
            <v>Normal</v>
          </cell>
          <cell r="M750" t="str">
            <v>Germany</v>
          </cell>
          <cell r="N750" t="str">
            <v>Pari Boy</v>
          </cell>
          <cell r="O750" t="str">
            <v>Pari Boy SX 085</v>
          </cell>
          <cell r="P750" t="str">
            <v>2W12F13772</v>
          </cell>
          <cell r="Q750" t="str">
            <v>Not Applicable</v>
          </cell>
          <cell r="R750" t="str">
            <v>Pari GmbH</v>
          </cell>
          <cell r="S750" t="str">
            <v>Welch Allyn Malaysia Sdn Bhd</v>
          </cell>
          <cell r="T750" t="str">
            <v>Functioning</v>
          </cell>
          <cell r="U750" t="str">
            <v>Asset</v>
          </cell>
          <cell r="V750">
            <v>1140</v>
          </cell>
          <cell r="W750" t="str">
            <v>KEW</v>
          </cell>
          <cell r="X750" t="str">
            <v>01/09/2010</v>
          </cell>
          <cell r="Y750" t="str">
            <v>KEW</v>
          </cell>
          <cell r="Z750" t="str">
            <v>16/08/2013</v>
          </cell>
          <cell r="AA750" t="str">
            <v>15/08/2015</v>
          </cell>
          <cell r="AB750" t="str">
            <v>No</v>
          </cell>
          <cell r="AC750" t="str">
            <v>31/08/2013</v>
          </cell>
          <cell r="AD750" t="str">
            <v>Good</v>
          </cell>
          <cell r="AE750" t="str">
            <v>V1 - Existing / No Claim</v>
          </cell>
          <cell r="AF750">
            <v>42787</v>
          </cell>
          <cell r="AG750">
            <v>9.17</v>
          </cell>
          <cell r="AH750" t="str">
            <v>PPM</v>
          </cell>
          <cell r="AI750" t="str">
            <v>Strands</v>
          </cell>
          <cell r="AJ750" t="str">
            <v>Strands PW</v>
          </cell>
        </row>
        <row r="751">
          <cell r="A751" t="str">
            <v>IKN400284</v>
          </cell>
          <cell r="B751">
            <v>284</v>
          </cell>
          <cell r="C751" t="str">
            <v>Institut Kanser Negara</v>
          </cell>
          <cell r="D751" t="str">
            <v>KKM/IKN/H/13/2023</v>
          </cell>
          <cell r="E751" t="str">
            <v>15-045</v>
          </cell>
          <cell r="F751" t="str">
            <v>Nebulizers, Nonheated</v>
          </cell>
          <cell r="G751" t="str">
            <v>WH</v>
          </cell>
          <cell r="H751" t="str">
            <v>RT/ONCO WARD 2 (M)</v>
          </cell>
          <cell r="I751" t="str">
            <v>08WH121</v>
          </cell>
          <cell r="J751" t="str">
            <v>EQUIPMENT ROOM</v>
          </cell>
          <cell r="K751" t="str">
            <v>BMED</v>
          </cell>
          <cell r="L751" t="str">
            <v>Normal</v>
          </cell>
          <cell r="M751" t="str">
            <v>Germany</v>
          </cell>
          <cell r="N751" t="str">
            <v>Pari Boy</v>
          </cell>
          <cell r="O751" t="str">
            <v>Pari Boy SX 085</v>
          </cell>
          <cell r="P751" t="str">
            <v>2W12F13857</v>
          </cell>
          <cell r="Q751" t="str">
            <v>Not Applicable</v>
          </cell>
          <cell r="R751" t="str">
            <v>Pari GmbH</v>
          </cell>
          <cell r="S751" t="str">
            <v>Welch Allyn Malaysia Sdn Bhd</v>
          </cell>
          <cell r="T751" t="str">
            <v>Functioning</v>
          </cell>
          <cell r="U751" t="str">
            <v>Asset</v>
          </cell>
          <cell r="V751">
            <v>1140</v>
          </cell>
          <cell r="W751" t="str">
            <v>KEW</v>
          </cell>
          <cell r="X751" t="str">
            <v>01/09/2010</v>
          </cell>
          <cell r="Y751" t="str">
            <v>KEW</v>
          </cell>
          <cell r="Z751" t="str">
            <v>16/08/2013</v>
          </cell>
          <cell r="AA751" t="str">
            <v>15/08/2015</v>
          </cell>
          <cell r="AB751" t="str">
            <v>No</v>
          </cell>
          <cell r="AC751" t="str">
            <v>31/08/2013</v>
          </cell>
          <cell r="AD751" t="str">
            <v>Good</v>
          </cell>
          <cell r="AE751" t="str">
            <v>V1 - Existing / No Claim</v>
          </cell>
          <cell r="AF751">
            <v>42787</v>
          </cell>
          <cell r="AG751">
            <v>9.17</v>
          </cell>
          <cell r="AH751" t="str">
            <v>PPM</v>
          </cell>
          <cell r="AI751" t="str">
            <v>Strands</v>
          </cell>
          <cell r="AJ751" t="str">
            <v>Strands PW</v>
          </cell>
        </row>
        <row r="752">
          <cell r="A752" t="str">
            <v>IKN400285</v>
          </cell>
          <cell r="B752">
            <v>285</v>
          </cell>
          <cell r="C752" t="str">
            <v>Institut Kanser Negara</v>
          </cell>
          <cell r="D752" t="str">
            <v>KKM/IKN/H/13/2024</v>
          </cell>
          <cell r="E752" t="str">
            <v>15-045</v>
          </cell>
          <cell r="F752" t="str">
            <v>Nebulizers, Nonheated</v>
          </cell>
          <cell r="G752" t="str">
            <v>WH</v>
          </cell>
          <cell r="H752" t="str">
            <v>RT/ONCO WARD 2 (M)</v>
          </cell>
          <cell r="I752" t="str">
            <v>08WH121</v>
          </cell>
          <cell r="J752" t="str">
            <v>EQUIPMENT ROOM</v>
          </cell>
          <cell r="K752" t="str">
            <v>BMED</v>
          </cell>
          <cell r="L752" t="str">
            <v>Normal</v>
          </cell>
          <cell r="M752" t="str">
            <v>Germany</v>
          </cell>
          <cell r="N752" t="str">
            <v>Pari Boy</v>
          </cell>
          <cell r="O752" t="str">
            <v>Pari Boy SX 085</v>
          </cell>
          <cell r="P752" t="str">
            <v>2W12F13742</v>
          </cell>
          <cell r="Q752" t="str">
            <v>Not Applicable</v>
          </cell>
          <cell r="R752" t="str">
            <v>Pari GmbH</v>
          </cell>
          <cell r="S752" t="str">
            <v>Welch Allyn Malaysia Sdn Bhd</v>
          </cell>
          <cell r="T752" t="str">
            <v>Functioning</v>
          </cell>
          <cell r="U752" t="str">
            <v>Asset</v>
          </cell>
          <cell r="V752">
            <v>1140</v>
          </cell>
          <cell r="W752" t="str">
            <v>KEW</v>
          </cell>
          <cell r="X752" t="str">
            <v>01/09/2010</v>
          </cell>
          <cell r="Y752" t="str">
            <v>KEW</v>
          </cell>
          <cell r="Z752" t="str">
            <v>16/08/2013</v>
          </cell>
          <cell r="AA752" t="str">
            <v>15/08/2015</v>
          </cell>
          <cell r="AB752" t="str">
            <v>No</v>
          </cell>
          <cell r="AC752" t="str">
            <v>31/08/2013</v>
          </cell>
          <cell r="AD752" t="str">
            <v>Good</v>
          </cell>
          <cell r="AE752" t="str">
            <v>V1 - Existing / No Claim</v>
          </cell>
          <cell r="AF752">
            <v>42787</v>
          </cell>
          <cell r="AG752">
            <v>9.17</v>
          </cell>
          <cell r="AH752" t="str">
            <v>PPM</v>
          </cell>
          <cell r="AI752" t="str">
            <v>Strands</v>
          </cell>
          <cell r="AJ752" t="str">
            <v>Strands PW</v>
          </cell>
        </row>
        <row r="753">
          <cell r="A753" t="str">
            <v>IKN400286</v>
          </cell>
          <cell r="B753">
            <v>286</v>
          </cell>
          <cell r="C753" t="str">
            <v>Institut Kanser Negara</v>
          </cell>
          <cell r="D753" t="str">
            <v>KKM/IKN/H/13/2029</v>
          </cell>
          <cell r="E753" t="str">
            <v>13-217</v>
          </cell>
          <cell r="F753" t="str">
            <v>Infusion Pumps, Syringe</v>
          </cell>
          <cell r="G753" t="str">
            <v>WH</v>
          </cell>
          <cell r="H753" t="str">
            <v>RT/ONCO WARD 2 (M)</v>
          </cell>
          <cell r="I753" t="str">
            <v>08WH121</v>
          </cell>
          <cell r="J753" t="str">
            <v>EQUIPMENT ROOM</v>
          </cell>
          <cell r="K753" t="str">
            <v>BMED</v>
          </cell>
          <cell r="L753" t="str">
            <v>Critical</v>
          </cell>
          <cell r="M753" t="str">
            <v>Germany</v>
          </cell>
          <cell r="N753" t="str">
            <v>Perfusor</v>
          </cell>
          <cell r="O753" t="str">
            <v>Perfusor Space</v>
          </cell>
          <cell r="P753" t="str">
            <v>187017</v>
          </cell>
          <cell r="Q753" t="str">
            <v>Not Applicable</v>
          </cell>
          <cell r="R753" t="str">
            <v>B Braun Melsungen AG</v>
          </cell>
          <cell r="S753" t="str">
            <v>B Braun Medical Supplies Sdn. Bhd.</v>
          </cell>
          <cell r="T753" t="str">
            <v>Functioning</v>
          </cell>
          <cell r="U753" t="str">
            <v>Asset</v>
          </cell>
          <cell r="V753">
            <v>10225</v>
          </cell>
          <cell r="W753" t="str">
            <v>KEW</v>
          </cell>
          <cell r="X753" t="str">
            <v>01/09/2010</v>
          </cell>
          <cell r="Y753" t="str">
            <v>KEW</v>
          </cell>
          <cell r="Z753" t="str">
            <v>16/08/2013</v>
          </cell>
          <cell r="AA753" t="str">
            <v>15/08/2015</v>
          </cell>
          <cell r="AB753" t="str">
            <v>No</v>
          </cell>
          <cell r="AC753" t="str">
            <v>31/08/2013</v>
          </cell>
          <cell r="AD753" t="str">
            <v>Good</v>
          </cell>
          <cell r="AE753" t="str">
            <v>V1 - Existing / No Claim</v>
          </cell>
          <cell r="AF753">
            <v>42787</v>
          </cell>
          <cell r="AG753">
            <v>9.17</v>
          </cell>
          <cell r="AH753" t="str">
            <v>PPM</v>
          </cell>
          <cell r="AI753" t="str">
            <v>Strands</v>
          </cell>
          <cell r="AJ753" t="str">
            <v>Strands PW</v>
          </cell>
        </row>
        <row r="754">
          <cell r="A754" t="str">
            <v>IKN400287</v>
          </cell>
          <cell r="B754">
            <v>287</v>
          </cell>
          <cell r="C754" t="str">
            <v>Institut Kanser Negara</v>
          </cell>
          <cell r="D754" t="str">
            <v>KKM/IKN/H/13/2031</v>
          </cell>
          <cell r="E754" t="str">
            <v>13-217</v>
          </cell>
          <cell r="F754" t="str">
            <v>Infusion Pumps, Syringe</v>
          </cell>
          <cell r="G754" t="str">
            <v>WH</v>
          </cell>
          <cell r="H754" t="str">
            <v>RT/ONCO WARD 2 (M)</v>
          </cell>
          <cell r="I754" t="str">
            <v>08WH121</v>
          </cell>
          <cell r="J754" t="str">
            <v>EQUIPMENT ROOM</v>
          </cell>
          <cell r="K754" t="str">
            <v>BMED</v>
          </cell>
          <cell r="L754" t="str">
            <v>Critical</v>
          </cell>
          <cell r="M754" t="str">
            <v>Germany</v>
          </cell>
          <cell r="N754" t="str">
            <v>Perfusor</v>
          </cell>
          <cell r="O754" t="str">
            <v>Perfusor Space</v>
          </cell>
          <cell r="P754" t="str">
            <v>187002</v>
          </cell>
          <cell r="Q754" t="str">
            <v>Not Applicable</v>
          </cell>
          <cell r="R754" t="str">
            <v>B Braun Melsungen AG</v>
          </cell>
          <cell r="S754" t="str">
            <v>B Braun Medical Supplies Sdn. Bhd.</v>
          </cell>
          <cell r="T754" t="str">
            <v>Functioning</v>
          </cell>
          <cell r="U754" t="str">
            <v>Asset</v>
          </cell>
          <cell r="V754">
            <v>10225</v>
          </cell>
          <cell r="W754" t="str">
            <v>KEW</v>
          </cell>
          <cell r="X754" t="str">
            <v>01/09/2010</v>
          </cell>
          <cell r="Y754" t="str">
            <v>KEW</v>
          </cell>
          <cell r="Z754" t="str">
            <v>16/08/2013</v>
          </cell>
          <cell r="AA754" t="str">
            <v>15/08/2015</v>
          </cell>
          <cell r="AB754" t="str">
            <v>No</v>
          </cell>
          <cell r="AC754" t="str">
            <v>31/08/2013</v>
          </cell>
          <cell r="AD754" t="str">
            <v>Good</v>
          </cell>
          <cell r="AE754" t="str">
            <v>V1 - Existing / No Claim</v>
          </cell>
          <cell r="AF754">
            <v>42787</v>
          </cell>
          <cell r="AG754">
            <v>9.17</v>
          </cell>
          <cell r="AH754" t="str">
            <v>PPM</v>
          </cell>
          <cell r="AI754" t="str">
            <v>Strands</v>
          </cell>
          <cell r="AJ754" t="str">
            <v>Strands PW</v>
          </cell>
        </row>
        <row r="755">
          <cell r="A755" t="str">
            <v>IKN400288</v>
          </cell>
          <cell r="B755">
            <v>288</v>
          </cell>
          <cell r="C755" t="str">
            <v>Institut Kanser Negara</v>
          </cell>
          <cell r="D755" t="str">
            <v>KKM/IKN/H/13/2030</v>
          </cell>
          <cell r="E755" t="str">
            <v>13-215</v>
          </cell>
          <cell r="F755" t="str">
            <v>Infusion Pumps, General-Purpose</v>
          </cell>
          <cell r="G755" t="str">
            <v>WH</v>
          </cell>
          <cell r="H755" t="str">
            <v>RT/ONCO WARD 2 (M)</v>
          </cell>
          <cell r="I755" t="str">
            <v>08WH121</v>
          </cell>
          <cell r="J755" t="str">
            <v>EQUIPMENT ROOM</v>
          </cell>
          <cell r="K755" t="str">
            <v>BMED</v>
          </cell>
          <cell r="L755" t="str">
            <v>Normal</v>
          </cell>
          <cell r="M755" t="str">
            <v>Germany</v>
          </cell>
          <cell r="N755" t="str">
            <v>Infusomat</v>
          </cell>
          <cell r="O755" t="str">
            <v>Infusomat Space</v>
          </cell>
          <cell r="P755" t="str">
            <v>212006</v>
          </cell>
          <cell r="Q755" t="str">
            <v>Not Applicable</v>
          </cell>
          <cell r="R755" t="str">
            <v>B Braun Melsungen AG</v>
          </cell>
          <cell r="S755" t="str">
            <v>B Braun Medical Supplies Sdn. Bhd.</v>
          </cell>
          <cell r="T755" t="str">
            <v>Functioning</v>
          </cell>
          <cell r="U755" t="str">
            <v>Asset</v>
          </cell>
          <cell r="V755">
            <v>10825</v>
          </cell>
          <cell r="W755" t="str">
            <v>KEW</v>
          </cell>
          <cell r="X755" t="str">
            <v>01/09/2010</v>
          </cell>
          <cell r="Y755" t="str">
            <v>KEW</v>
          </cell>
          <cell r="Z755" t="str">
            <v>16/08/2013</v>
          </cell>
          <cell r="AA755" t="str">
            <v>15/08/2015</v>
          </cell>
          <cell r="AB755" t="str">
            <v>No</v>
          </cell>
          <cell r="AC755" t="str">
            <v>31/08/2013</v>
          </cell>
          <cell r="AD755" t="str">
            <v>Good</v>
          </cell>
          <cell r="AE755" t="str">
            <v>V1 - Existing / No Claim</v>
          </cell>
          <cell r="AF755">
            <v>42235</v>
          </cell>
          <cell r="AG755">
            <v>9.17</v>
          </cell>
          <cell r="AH755" t="str">
            <v>PPM</v>
          </cell>
          <cell r="AI755" t="str">
            <v>Strands</v>
          </cell>
          <cell r="AJ755" t="str">
            <v>Strands PW</v>
          </cell>
        </row>
        <row r="756">
          <cell r="A756" t="str">
            <v>IKN400289</v>
          </cell>
          <cell r="B756">
            <v>289</v>
          </cell>
          <cell r="C756" t="str">
            <v>Institut Kanser Negara</v>
          </cell>
          <cell r="D756" t="str">
            <v>KKM/IKN/H/13/2032</v>
          </cell>
          <cell r="E756" t="str">
            <v>13-215</v>
          </cell>
          <cell r="F756" t="str">
            <v>Infusion Pumps, General-Purpose</v>
          </cell>
          <cell r="G756" t="str">
            <v>WH</v>
          </cell>
          <cell r="H756" t="str">
            <v>RT/ONCO WARD 2 (M)</v>
          </cell>
          <cell r="I756" t="str">
            <v>08WH121</v>
          </cell>
          <cell r="J756" t="str">
            <v>EQUIPMENT ROOM</v>
          </cell>
          <cell r="K756" t="str">
            <v>BMED</v>
          </cell>
          <cell r="L756" t="str">
            <v>Critical</v>
          </cell>
          <cell r="M756" t="str">
            <v>Germany</v>
          </cell>
          <cell r="N756" t="str">
            <v>Infusomat</v>
          </cell>
          <cell r="O756" t="str">
            <v>Infusomat Space</v>
          </cell>
          <cell r="P756" t="str">
            <v>211978</v>
          </cell>
          <cell r="Q756" t="str">
            <v>Not Applicable</v>
          </cell>
          <cell r="R756" t="str">
            <v>B Braun Melsungen AG</v>
          </cell>
          <cell r="S756" t="str">
            <v>B Braun Medical Supplies Sdn. Bhd.</v>
          </cell>
          <cell r="T756" t="str">
            <v>Functioning</v>
          </cell>
          <cell r="U756" t="str">
            <v>Asset</v>
          </cell>
          <cell r="V756">
            <v>10825</v>
          </cell>
          <cell r="W756" t="str">
            <v>KEW</v>
          </cell>
          <cell r="X756" t="str">
            <v>01/09/2010</v>
          </cell>
          <cell r="Y756" t="str">
            <v>KEW</v>
          </cell>
          <cell r="Z756" t="str">
            <v>16/08/2013</v>
          </cell>
          <cell r="AA756" t="str">
            <v>15/08/2015</v>
          </cell>
          <cell r="AB756" t="str">
            <v>No</v>
          </cell>
          <cell r="AC756" t="str">
            <v>31/08/2013</v>
          </cell>
          <cell r="AD756" t="str">
            <v>Good</v>
          </cell>
          <cell r="AE756" t="str">
            <v>V1 - Existing / No Claim</v>
          </cell>
          <cell r="AF756">
            <v>42787</v>
          </cell>
          <cell r="AG756">
            <v>9.17</v>
          </cell>
          <cell r="AH756" t="str">
            <v>PPM</v>
          </cell>
          <cell r="AI756" t="str">
            <v>Strands</v>
          </cell>
          <cell r="AJ756" t="str">
            <v>Strands PW</v>
          </cell>
        </row>
        <row r="757">
          <cell r="A757" t="str">
            <v>IKN400290</v>
          </cell>
          <cell r="B757">
            <v>290</v>
          </cell>
          <cell r="C757" t="str">
            <v>Institut Kanser Negara</v>
          </cell>
          <cell r="D757" t="str">
            <v>KKM/IKN/H/13/2037</v>
          </cell>
          <cell r="E757" t="str">
            <v>13-215</v>
          </cell>
          <cell r="F757" t="str">
            <v>Infusion Pumps, General-Purpose</v>
          </cell>
          <cell r="G757" t="str">
            <v>WH</v>
          </cell>
          <cell r="H757" t="str">
            <v>RT/ONCO WARD 2 (M)</v>
          </cell>
          <cell r="I757" t="str">
            <v>08WH121</v>
          </cell>
          <cell r="J757" t="str">
            <v>EQUIPMENT ROOM</v>
          </cell>
          <cell r="K757" t="str">
            <v>BMED</v>
          </cell>
          <cell r="L757" t="str">
            <v>Critical</v>
          </cell>
          <cell r="M757" t="str">
            <v>Germany</v>
          </cell>
          <cell r="N757" t="str">
            <v>Infusomat</v>
          </cell>
          <cell r="O757" t="str">
            <v>Infusomat Space</v>
          </cell>
          <cell r="P757" t="str">
            <v>211584</v>
          </cell>
          <cell r="Q757" t="str">
            <v>Not Applicable</v>
          </cell>
          <cell r="R757" t="str">
            <v>B Braun Melsungen AG</v>
          </cell>
          <cell r="S757" t="str">
            <v>B Braun Medical Supplies Sdn. Bhd.</v>
          </cell>
          <cell r="T757" t="str">
            <v>Functioning</v>
          </cell>
          <cell r="U757" t="str">
            <v>Asset</v>
          </cell>
          <cell r="V757">
            <v>10825</v>
          </cell>
          <cell r="W757" t="str">
            <v>KEW</v>
          </cell>
          <cell r="X757" t="str">
            <v>01/09/2010</v>
          </cell>
          <cell r="Y757" t="str">
            <v>KEW</v>
          </cell>
          <cell r="Z757" t="str">
            <v>16/08/2013</v>
          </cell>
          <cell r="AA757" t="str">
            <v>15/08/2015</v>
          </cell>
          <cell r="AB757" t="str">
            <v>No</v>
          </cell>
          <cell r="AC757" t="str">
            <v>31/08/2013</v>
          </cell>
          <cell r="AD757" t="str">
            <v>Good</v>
          </cell>
          <cell r="AE757" t="str">
            <v>V1 - Existing / No Claim</v>
          </cell>
          <cell r="AF757">
            <v>42787</v>
          </cell>
          <cell r="AG757">
            <v>9.17</v>
          </cell>
          <cell r="AH757" t="str">
            <v>PPM</v>
          </cell>
          <cell r="AI757" t="str">
            <v>Strands</v>
          </cell>
          <cell r="AJ757" t="str">
            <v>Strands PW</v>
          </cell>
        </row>
        <row r="758">
          <cell r="A758" t="str">
            <v>IKN400291</v>
          </cell>
          <cell r="B758">
            <v>291</v>
          </cell>
          <cell r="C758" t="str">
            <v>Institut Kanser Negara</v>
          </cell>
          <cell r="D758" t="str">
            <v>KKM/IKN/H/13/2033</v>
          </cell>
          <cell r="E758" t="str">
            <v>13-215</v>
          </cell>
          <cell r="F758" t="str">
            <v>Infusion Pumps, General-Purpose</v>
          </cell>
          <cell r="G758" t="str">
            <v>WH</v>
          </cell>
          <cell r="H758" t="str">
            <v>RT/ONCO WARD 2 (M)</v>
          </cell>
          <cell r="I758" t="str">
            <v>08WH121</v>
          </cell>
          <cell r="J758" t="str">
            <v>EQUIPMENT ROOM</v>
          </cell>
          <cell r="K758" t="str">
            <v>BMED</v>
          </cell>
          <cell r="L758" t="str">
            <v>Critical</v>
          </cell>
          <cell r="M758" t="str">
            <v>Germany</v>
          </cell>
          <cell r="N758" t="str">
            <v>Infusomat</v>
          </cell>
          <cell r="O758" t="str">
            <v>Infusomat Space</v>
          </cell>
          <cell r="P758" t="str">
            <v>211977</v>
          </cell>
          <cell r="Q758" t="str">
            <v>Not Applicable</v>
          </cell>
          <cell r="R758" t="str">
            <v>B Braun Melsungen AG</v>
          </cell>
          <cell r="S758" t="str">
            <v>B Braun Medical Supplies Sdn. Bhd.</v>
          </cell>
          <cell r="T758" t="str">
            <v>Functioning</v>
          </cell>
          <cell r="U758" t="str">
            <v>Asset</v>
          </cell>
          <cell r="V758">
            <v>10825</v>
          </cell>
          <cell r="W758" t="str">
            <v>KEW</v>
          </cell>
          <cell r="X758" t="str">
            <v>01/09/2010</v>
          </cell>
          <cell r="Y758" t="str">
            <v>KEW</v>
          </cell>
          <cell r="Z758" t="str">
            <v>16/08/2013</v>
          </cell>
          <cell r="AA758" t="str">
            <v>15/08/2015</v>
          </cell>
          <cell r="AB758" t="str">
            <v>No</v>
          </cell>
          <cell r="AC758" t="str">
            <v>31/08/2013</v>
          </cell>
          <cell r="AD758" t="str">
            <v>Good</v>
          </cell>
          <cell r="AE758" t="str">
            <v>V1 - Existing / No Claim</v>
          </cell>
          <cell r="AF758">
            <v>42788</v>
          </cell>
          <cell r="AG758">
            <v>9.17</v>
          </cell>
          <cell r="AH758" t="str">
            <v>PPM</v>
          </cell>
          <cell r="AI758" t="str">
            <v>Strands</v>
          </cell>
          <cell r="AJ758" t="str">
            <v>Strands PW</v>
          </cell>
        </row>
        <row r="759">
          <cell r="A759" t="str">
            <v>IKN400292</v>
          </cell>
          <cell r="B759">
            <v>292</v>
          </cell>
          <cell r="C759" t="str">
            <v>Institut Kanser Negara</v>
          </cell>
          <cell r="D759" t="str">
            <v>KKM/IKN/H/13/288</v>
          </cell>
          <cell r="E759" t="str">
            <v>13-215</v>
          </cell>
          <cell r="F759" t="str">
            <v>Infusion Pumps, General-Purpose</v>
          </cell>
          <cell r="G759" t="str">
            <v>WH</v>
          </cell>
          <cell r="H759" t="str">
            <v>RT/ONCO WARD 2 (M)</v>
          </cell>
          <cell r="I759" t="str">
            <v>08WH121</v>
          </cell>
          <cell r="J759" t="str">
            <v>EQUIPMENT ROOM</v>
          </cell>
          <cell r="K759" t="str">
            <v>BMED</v>
          </cell>
          <cell r="L759" t="str">
            <v>Normal</v>
          </cell>
          <cell r="M759" t="str">
            <v>Germany</v>
          </cell>
          <cell r="N759" t="str">
            <v>Infusomat</v>
          </cell>
          <cell r="O759" t="str">
            <v>Infusomat Space</v>
          </cell>
          <cell r="P759" t="str">
            <v>212086</v>
          </cell>
          <cell r="Q759" t="str">
            <v>Not Applicable</v>
          </cell>
          <cell r="R759" t="str">
            <v>B Braun Melsungen AG</v>
          </cell>
          <cell r="S759" t="str">
            <v>B Braun Medical Supplies Sdn. Bhd.</v>
          </cell>
          <cell r="T759" t="str">
            <v>Functioning</v>
          </cell>
          <cell r="U759" t="str">
            <v>Asset</v>
          </cell>
          <cell r="V759">
            <v>10825</v>
          </cell>
          <cell r="W759" t="str">
            <v>KEW</v>
          </cell>
          <cell r="X759" t="str">
            <v>01/09/2010</v>
          </cell>
          <cell r="Y759" t="str">
            <v>KEW</v>
          </cell>
          <cell r="Z759" t="str">
            <v>16/08/2013</v>
          </cell>
          <cell r="AA759" t="str">
            <v>15/08/2015</v>
          </cell>
          <cell r="AB759" t="str">
            <v>No</v>
          </cell>
          <cell r="AC759" t="str">
            <v>31/08/2013</v>
          </cell>
          <cell r="AD759" t="str">
            <v>Good</v>
          </cell>
          <cell r="AE759" t="str">
            <v>V1 - Existing / No Claim</v>
          </cell>
          <cell r="AF759">
            <v>42235</v>
          </cell>
          <cell r="AG759">
            <v>9.17</v>
          </cell>
          <cell r="AH759" t="str">
            <v>PPM</v>
          </cell>
          <cell r="AI759" t="str">
            <v>Strands</v>
          </cell>
          <cell r="AJ759" t="str">
            <v>Strands PW</v>
          </cell>
        </row>
        <row r="760">
          <cell r="A760" t="str">
            <v>IKN400293</v>
          </cell>
          <cell r="B760">
            <v>293</v>
          </cell>
          <cell r="C760" t="str">
            <v>Institut Kanser Negara</v>
          </cell>
          <cell r="D760" t="str">
            <v>KKM/IKN/H/13/3708</v>
          </cell>
          <cell r="E760" t="str">
            <v>17-148</v>
          </cell>
          <cell r="F760" t="str">
            <v>Oximeters, Pulse</v>
          </cell>
          <cell r="G760" t="str">
            <v>WH</v>
          </cell>
          <cell r="H760" t="str">
            <v>RT/ONCO WARD 2 (M)</v>
          </cell>
          <cell r="I760" t="str">
            <v>08WH121</v>
          </cell>
          <cell r="J760" t="str">
            <v>EQUIPMENT ROOM</v>
          </cell>
          <cell r="K760" t="str">
            <v>BMED</v>
          </cell>
          <cell r="L760" t="str">
            <v>Critical</v>
          </cell>
          <cell r="M760" t="str">
            <v>USA</v>
          </cell>
          <cell r="N760" t="str">
            <v>PalmSat</v>
          </cell>
          <cell r="O760" t="str">
            <v>PalmSat 2500</v>
          </cell>
          <cell r="P760" t="str">
            <v>501442061</v>
          </cell>
          <cell r="Q760" t="str">
            <v>Not Applicable</v>
          </cell>
          <cell r="R760" t="str">
            <v>Nonin Medical Inc</v>
          </cell>
          <cell r="S760" t="str">
            <v>Acucare Systems (M) Sdn bhd</v>
          </cell>
          <cell r="T760" t="str">
            <v>Functioning</v>
          </cell>
          <cell r="U760" t="str">
            <v>Asset</v>
          </cell>
          <cell r="V760">
            <v>5410</v>
          </cell>
          <cell r="W760" t="str">
            <v>KEW</v>
          </cell>
          <cell r="X760" t="str">
            <v>01/09/2010</v>
          </cell>
          <cell r="Y760" t="str">
            <v>KEW</v>
          </cell>
          <cell r="Z760" t="str">
            <v>16/08/2013</v>
          </cell>
          <cell r="AA760" t="str">
            <v>15/08/2015</v>
          </cell>
          <cell r="AB760" t="str">
            <v>No</v>
          </cell>
          <cell r="AC760" t="str">
            <v>31/08/2013</v>
          </cell>
          <cell r="AD760" t="str">
            <v>Good</v>
          </cell>
          <cell r="AE760" t="str">
            <v>V1 - Existing / No Claim</v>
          </cell>
          <cell r="AF760">
            <v>42788</v>
          </cell>
          <cell r="AG760">
            <v>9.17</v>
          </cell>
          <cell r="AH760" t="str">
            <v>PPM</v>
          </cell>
          <cell r="AI760" t="str">
            <v>Strands</v>
          </cell>
          <cell r="AJ760" t="str">
            <v>Strands PW</v>
          </cell>
        </row>
        <row r="761">
          <cell r="A761" t="str">
            <v>IKN400294</v>
          </cell>
          <cell r="B761">
            <v>294</v>
          </cell>
          <cell r="C761" t="str">
            <v>Institut Kanser Negara</v>
          </cell>
          <cell r="D761" t="str">
            <v>KKM/IKN/H/13/2035</v>
          </cell>
          <cell r="E761" t="str">
            <v>13-215</v>
          </cell>
          <cell r="F761" t="str">
            <v>Infusion Pumps, General-Purpose</v>
          </cell>
          <cell r="G761" t="str">
            <v>WH</v>
          </cell>
          <cell r="H761" t="str">
            <v>RT/ONCO WARD 2 (M)</v>
          </cell>
          <cell r="I761" t="str">
            <v>08WH121</v>
          </cell>
          <cell r="J761" t="str">
            <v>EQUIPMENT ROOM</v>
          </cell>
          <cell r="K761" t="str">
            <v>BMED</v>
          </cell>
          <cell r="L761" t="str">
            <v>Normal</v>
          </cell>
          <cell r="M761" t="str">
            <v>Germany</v>
          </cell>
          <cell r="N761" t="str">
            <v>Infusomat</v>
          </cell>
          <cell r="O761" t="str">
            <v>Infusomat Space</v>
          </cell>
          <cell r="P761" t="str">
            <v>211860</v>
          </cell>
          <cell r="Q761" t="str">
            <v>Not Applicable</v>
          </cell>
          <cell r="R761" t="str">
            <v>B Braun Melsungen AG</v>
          </cell>
          <cell r="S761" t="str">
            <v>B Braun Medical Supplies Sdn. Bhd.</v>
          </cell>
          <cell r="T761" t="str">
            <v>Functioning</v>
          </cell>
          <cell r="U761" t="str">
            <v>Asset</v>
          </cell>
          <cell r="V761">
            <v>10825</v>
          </cell>
          <cell r="W761" t="str">
            <v>KEW</v>
          </cell>
          <cell r="X761" t="str">
            <v>01/09/2010</v>
          </cell>
          <cell r="Y761" t="str">
            <v>KEW</v>
          </cell>
          <cell r="Z761" t="str">
            <v>16/08/2013</v>
          </cell>
          <cell r="AA761" t="str">
            <v>15/08/2015</v>
          </cell>
          <cell r="AB761" t="str">
            <v>No</v>
          </cell>
          <cell r="AC761" t="str">
            <v>31/08/2013</v>
          </cell>
          <cell r="AD761" t="str">
            <v>Good</v>
          </cell>
          <cell r="AE761" t="str">
            <v>V1 - Existing / No Claim</v>
          </cell>
          <cell r="AF761">
            <v>42235</v>
          </cell>
          <cell r="AG761">
            <v>9.17</v>
          </cell>
          <cell r="AH761" t="str">
            <v>PPM</v>
          </cell>
          <cell r="AI761" t="str">
            <v>Strands</v>
          </cell>
          <cell r="AJ761" t="str">
            <v>Strands PW</v>
          </cell>
        </row>
        <row r="762">
          <cell r="A762" t="str">
            <v>IKN400295</v>
          </cell>
          <cell r="B762">
            <v>295</v>
          </cell>
          <cell r="C762" t="str">
            <v>Institut Kanser Negara</v>
          </cell>
          <cell r="D762" t="str">
            <v>KKM/IKN/H/13/2036</v>
          </cell>
          <cell r="E762" t="str">
            <v>13-215</v>
          </cell>
          <cell r="F762" t="str">
            <v>Infusion Pumps, General-Purpose</v>
          </cell>
          <cell r="G762" t="str">
            <v>WH</v>
          </cell>
          <cell r="H762" t="str">
            <v>RT/ONCO WARD 2 (M)</v>
          </cell>
          <cell r="I762" t="str">
            <v>08WH121</v>
          </cell>
          <cell r="J762" t="str">
            <v>EQUIPMENT ROOM</v>
          </cell>
          <cell r="K762" t="str">
            <v>BMED</v>
          </cell>
          <cell r="L762" t="str">
            <v>Critical</v>
          </cell>
          <cell r="M762" t="str">
            <v>Germany</v>
          </cell>
          <cell r="N762" t="str">
            <v>Infusomat</v>
          </cell>
          <cell r="O762" t="str">
            <v>Infusomat Space</v>
          </cell>
          <cell r="P762" t="str">
            <v>212011</v>
          </cell>
          <cell r="Q762" t="str">
            <v>Not Applicable</v>
          </cell>
          <cell r="R762" t="str">
            <v>B Braun Melsungen AG</v>
          </cell>
          <cell r="S762" t="str">
            <v>B Braun Medical Supplies Sdn. Bhd.</v>
          </cell>
          <cell r="T762" t="str">
            <v>Functioning</v>
          </cell>
          <cell r="U762" t="str">
            <v>Asset</v>
          </cell>
          <cell r="V762">
            <v>10825</v>
          </cell>
          <cell r="W762" t="str">
            <v>KEW</v>
          </cell>
          <cell r="X762" t="str">
            <v>01/09/2010</v>
          </cell>
          <cell r="Y762" t="str">
            <v>KEW</v>
          </cell>
          <cell r="Z762" t="str">
            <v>16/08/2013</v>
          </cell>
          <cell r="AA762" t="str">
            <v>15/08/2015</v>
          </cell>
          <cell r="AB762" t="str">
            <v>No</v>
          </cell>
          <cell r="AC762" t="str">
            <v>31/08/2013</v>
          </cell>
          <cell r="AD762" t="str">
            <v>Good</v>
          </cell>
          <cell r="AE762" t="str">
            <v>V1 - Existing / No Claim</v>
          </cell>
          <cell r="AF762">
            <v>42788</v>
          </cell>
          <cell r="AG762">
            <v>9.17</v>
          </cell>
          <cell r="AH762" t="str">
            <v>PPM</v>
          </cell>
          <cell r="AI762" t="str">
            <v>Strands</v>
          </cell>
          <cell r="AJ762" t="str">
            <v>Strands PW</v>
          </cell>
        </row>
        <row r="763">
          <cell r="A763" t="str">
            <v>IKN400296</v>
          </cell>
          <cell r="B763">
            <v>296</v>
          </cell>
          <cell r="C763" t="str">
            <v>Institut Kanser Negara</v>
          </cell>
          <cell r="D763" t="str">
            <v>KKM/IKN/H/13/2038</v>
          </cell>
          <cell r="E763" t="str">
            <v>13-215</v>
          </cell>
          <cell r="F763" t="str">
            <v>Infusion Pumps, General-Purpose</v>
          </cell>
          <cell r="G763" t="str">
            <v>WH</v>
          </cell>
          <cell r="H763" t="str">
            <v>RT/ONCO WARD 2 (M)</v>
          </cell>
          <cell r="I763" t="str">
            <v>08WH121</v>
          </cell>
          <cell r="J763" t="str">
            <v>EQUIPMENT ROOM</v>
          </cell>
          <cell r="K763" t="str">
            <v>BMED</v>
          </cell>
          <cell r="L763" t="str">
            <v>Critical</v>
          </cell>
          <cell r="M763" t="str">
            <v>Germany</v>
          </cell>
          <cell r="N763" t="str">
            <v>Infusomat</v>
          </cell>
          <cell r="O763" t="str">
            <v>Infusomat Space</v>
          </cell>
          <cell r="P763" t="str">
            <v>212091</v>
          </cell>
          <cell r="Q763" t="str">
            <v>Not Applicable</v>
          </cell>
          <cell r="R763" t="str">
            <v>B Braun Melsungen AG</v>
          </cell>
          <cell r="S763" t="str">
            <v>B Braun Medical Supplies Sdn. Bhd.</v>
          </cell>
          <cell r="T763" t="str">
            <v>Functioning</v>
          </cell>
          <cell r="U763" t="str">
            <v>Asset</v>
          </cell>
          <cell r="V763">
            <v>10825</v>
          </cell>
          <cell r="W763" t="str">
            <v>KEW</v>
          </cell>
          <cell r="X763" t="str">
            <v>01/09/2010</v>
          </cell>
          <cell r="Y763" t="str">
            <v>KEW</v>
          </cell>
          <cell r="Z763" t="str">
            <v>16/08/2013</v>
          </cell>
          <cell r="AA763" t="str">
            <v>15/08/2015</v>
          </cell>
          <cell r="AB763" t="str">
            <v>No</v>
          </cell>
          <cell r="AC763" t="str">
            <v>31/08/2013</v>
          </cell>
          <cell r="AD763" t="str">
            <v>Good</v>
          </cell>
          <cell r="AE763" t="str">
            <v>V1 - Existing / No Claim</v>
          </cell>
          <cell r="AF763">
            <v>42788</v>
          </cell>
          <cell r="AG763">
            <v>9.17</v>
          </cell>
          <cell r="AH763" t="str">
            <v>PPM</v>
          </cell>
          <cell r="AI763" t="str">
            <v>Strands</v>
          </cell>
          <cell r="AJ763" t="str">
            <v>Strands PW</v>
          </cell>
        </row>
        <row r="764">
          <cell r="A764" t="str">
            <v>IKN400297</v>
          </cell>
          <cell r="B764">
            <v>297</v>
          </cell>
          <cell r="C764" t="str">
            <v>Institut Kanser Negara</v>
          </cell>
          <cell r="D764" t="str">
            <v>KKM/IKN/H/13/2039</v>
          </cell>
          <cell r="E764" t="str">
            <v>13-215</v>
          </cell>
          <cell r="F764" t="str">
            <v>Infusion Pumps, General-Purpose</v>
          </cell>
          <cell r="G764" t="str">
            <v>WH</v>
          </cell>
          <cell r="H764" t="str">
            <v>RT/ONCO WARD 2 (M)</v>
          </cell>
          <cell r="I764" t="str">
            <v>08WH121</v>
          </cell>
          <cell r="J764" t="str">
            <v>EQUIPMENT ROOM</v>
          </cell>
          <cell r="K764" t="str">
            <v>BMED</v>
          </cell>
          <cell r="L764" t="str">
            <v>Critical</v>
          </cell>
          <cell r="M764" t="str">
            <v>Germany</v>
          </cell>
          <cell r="N764" t="str">
            <v>Infusomat</v>
          </cell>
          <cell r="O764" t="str">
            <v>Infusomat Space</v>
          </cell>
          <cell r="P764" t="str">
            <v>211871</v>
          </cell>
          <cell r="Q764" t="str">
            <v>Not Applicable</v>
          </cell>
          <cell r="R764" t="str">
            <v>B Braun Melsungen AG</v>
          </cell>
          <cell r="S764" t="str">
            <v>B Braun Medical Supplies Sdn. Bhd.</v>
          </cell>
          <cell r="T764" t="str">
            <v>Functioning</v>
          </cell>
          <cell r="U764" t="str">
            <v>Asset</v>
          </cell>
          <cell r="V764">
            <v>10825</v>
          </cell>
          <cell r="W764" t="str">
            <v>KEW</v>
          </cell>
          <cell r="X764" t="str">
            <v>01/09/2010</v>
          </cell>
          <cell r="Y764" t="str">
            <v>KEW</v>
          </cell>
          <cell r="Z764" t="str">
            <v>16/08/2013</v>
          </cell>
          <cell r="AA764" t="str">
            <v>15/08/2015</v>
          </cell>
          <cell r="AB764" t="str">
            <v>No</v>
          </cell>
          <cell r="AC764" t="str">
            <v>31/08/2013</v>
          </cell>
          <cell r="AD764" t="str">
            <v>Good</v>
          </cell>
          <cell r="AE764" t="str">
            <v>V1 - Existing / No Claim</v>
          </cell>
          <cell r="AF764">
            <v>42788</v>
          </cell>
          <cell r="AG764">
            <v>9.17</v>
          </cell>
          <cell r="AH764" t="str">
            <v>PPM</v>
          </cell>
          <cell r="AI764" t="str">
            <v>Strands</v>
          </cell>
          <cell r="AJ764" t="str">
            <v>Strands PW</v>
          </cell>
        </row>
        <row r="765">
          <cell r="A765" t="str">
            <v>IKN400298</v>
          </cell>
          <cell r="B765">
            <v>298</v>
          </cell>
          <cell r="C765" t="str">
            <v>Institut Kanser Negara</v>
          </cell>
          <cell r="D765" t="str">
            <v>KKM/IKN/H/13/2045</v>
          </cell>
          <cell r="E765" t="str">
            <v>18-147</v>
          </cell>
          <cell r="F765" t="str">
            <v>Mattress Systems, Alternating-Pressure</v>
          </cell>
          <cell r="G765" t="str">
            <v>WH</v>
          </cell>
          <cell r="H765" t="str">
            <v>RT/ONCO WARD 2 (M)</v>
          </cell>
          <cell r="I765" t="str">
            <v>08WH121</v>
          </cell>
          <cell r="J765" t="str">
            <v>EQUIPMENT ROOM</v>
          </cell>
          <cell r="K765" t="str">
            <v>BMED</v>
          </cell>
          <cell r="L765" t="str">
            <v>Normal</v>
          </cell>
          <cell r="M765" t="str">
            <v>Poland</v>
          </cell>
          <cell r="N765" t="str">
            <v>Nimbus</v>
          </cell>
          <cell r="O765" t="str">
            <v>Nimbus 3</v>
          </cell>
          <cell r="P765" t="str">
            <v>1200005112</v>
          </cell>
          <cell r="Q765" t="str">
            <v>Not Applicable</v>
          </cell>
          <cell r="R765" t="str">
            <v>Arjohuntleigh</v>
          </cell>
          <cell r="S765" t="str">
            <v>Hexamine Sdn. Bhd.</v>
          </cell>
          <cell r="T765" t="str">
            <v>Functioning</v>
          </cell>
          <cell r="U765" t="str">
            <v>Asset</v>
          </cell>
          <cell r="V765">
            <v>28630</v>
          </cell>
          <cell r="W765" t="str">
            <v>KEW</v>
          </cell>
          <cell r="X765" t="str">
            <v>01/09/2010</v>
          </cell>
          <cell r="Y765" t="str">
            <v>KEW</v>
          </cell>
          <cell r="Z765" t="str">
            <v>16/08/2013</v>
          </cell>
          <cell r="AA765" t="str">
            <v>15/08/2015</v>
          </cell>
          <cell r="AB765" t="str">
            <v>No</v>
          </cell>
          <cell r="AC765" t="str">
            <v>31/08/2013</v>
          </cell>
          <cell r="AD765" t="str">
            <v>Good</v>
          </cell>
          <cell r="AE765" t="str">
            <v>V1 - Existing / No Claim</v>
          </cell>
          <cell r="AF765">
            <v>42235</v>
          </cell>
          <cell r="AG765">
            <v>9.17</v>
          </cell>
          <cell r="AH765" t="str">
            <v>PPM</v>
          </cell>
          <cell r="AI765" t="str">
            <v>Strands</v>
          </cell>
          <cell r="AJ765" t="str">
            <v>Strands PW</v>
          </cell>
        </row>
        <row r="766">
          <cell r="A766" t="str">
            <v>IKN400299</v>
          </cell>
          <cell r="B766">
            <v>299</v>
          </cell>
          <cell r="C766" t="str">
            <v>Institut Kanser Negara</v>
          </cell>
          <cell r="D766" t="str">
            <v>KKM/IKN/H/13/2048</v>
          </cell>
          <cell r="E766" t="str">
            <v>18-147</v>
          </cell>
          <cell r="F766" t="str">
            <v>Mattress Systems, Alternating-Pressure</v>
          </cell>
          <cell r="G766" t="str">
            <v>WH</v>
          </cell>
          <cell r="H766" t="str">
            <v>RT/ONCO WARD 2 (M)</v>
          </cell>
          <cell r="I766" t="str">
            <v>08WH121</v>
          </cell>
          <cell r="J766" t="str">
            <v>EQUIPMENT ROOM</v>
          </cell>
          <cell r="K766" t="str">
            <v>BMED</v>
          </cell>
          <cell r="L766" t="str">
            <v>Normal</v>
          </cell>
          <cell r="M766" t="str">
            <v>Poland</v>
          </cell>
          <cell r="N766" t="str">
            <v>Nimbus</v>
          </cell>
          <cell r="O766" t="str">
            <v>Nimbus 3</v>
          </cell>
          <cell r="P766" t="str">
            <v>1200005123</v>
          </cell>
          <cell r="Q766" t="str">
            <v>Not Applicable</v>
          </cell>
          <cell r="R766" t="str">
            <v>Arjohuntleigh</v>
          </cell>
          <cell r="S766" t="str">
            <v>Hexamine Sdn. Bhd.</v>
          </cell>
          <cell r="T766" t="str">
            <v>Functioning</v>
          </cell>
          <cell r="U766" t="str">
            <v>Asset</v>
          </cell>
          <cell r="V766">
            <v>28630</v>
          </cell>
          <cell r="W766" t="str">
            <v>KEW</v>
          </cell>
          <cell r="X766" t="str">
            <v>01/09/2010</v>
          </cell>
          <cell r="Y766" t="str">
            <v>KEW</v>
          </cell>
          <cell r="Z766" t="str">
            <v>16/08/2013</v>
          </cell>
          <cell r="AA766" t="str">
            <v>15/08/2015</v>
          </cell>
          <cell r="AB766" t="str">
            <v>No</v>
          </cell>
          <cell r="AC766" t="str">
            <v>31/08/2013</v>
          </cell>
          <cell r="AD766" t="str">
            <v>Good</v>
          </cell>
          <cell r="AE766" t="str">
            <v>V1 - Existing / No Claim</v>
          </cell>
          <cell r="AF766">
            <v>42235</v>
          </cell>
          <cell r="AG766">
            <v>9.17</v>
          </cell>
          <cell r="AH766" t="str">
            <v>PPM</v>
          </cell>
          <cell r="AI766" t="str">
            <v>Strands</v>
          </cell>
          <cell r="AJ766" t="str">
            <v>Strands PW</v>
          </cell>
        </row>
        <row r="767">
          <cell r="A767" t="str">
            <v>IKN400300</v>
          </cell>
          <cell r="B767">
            <v>300</v>
          </cell>
          <cell r="C767" t="str">
            <v>Institut Kanser Negara</v>
          </cell>
          <cell r="D767" t="str">
            <v>KKM/IKN/H/13/2043</v>
          </cell>
          <cell r="E767" t="str">
            <v>18-147</v>
          </cell>
          <cell r="F767" t="str">
            <v>Mattress Systems, Alternating-Pressure</v>
          </cell>
          <cell r="G767" t="str">
            <v>WH</v>
          </cell>
          <cell r="H767" t="str">
            <v>RT/ONCO WARD 2 (M)</v>
          </cell>
          <cell r="I767" t="str">
            <v>08WH121</v>
          </cell>
          <cell r="J767" t="str">
            <v>EQUIPMENT ROOM</v>
          </cell>
          <cell r="K767" t="str">
            <v>BMED</v>
          </cell>
          <cell r="L767" t="str">
            <v>Normal</v>
          </cell>
          <cell r="M767" t="str">
            <v>Poland</v>
          </cell>
          <cell r="N767" t="str">
            <v>Nimbus</v>
          </cell>
          <cell r="O767" t="str">
            <v>Nimbus 3</v>
          </cell>
          <cell r="P767" t="str">
            <v>1200006469</v>
          </cell>
          <cell r="Q767" t="str">
            <v>Not Applicable</v>
          </cell>
          <cell r="R767" t="str">
            <v>Arjohuntleigh</v>
          </cell>
          <cell r="S767" t="str">
            <v>Hexamine Sdn. Bhd.</v>
          </cell>
          <cell r="T767" t="str">
            <v>Functioning</v>
          </cell>
          <cell r="U767" t="str">
            <v>Asset</v>
          </cell>
          <cell r="V767">
            <v>28630</v>
          </cell>
          <cell r="W767" t="str">
            <v>KEW</v>
          </cell>
          <cell r="X767" t="str">
            <v>01/09/2010</v>
          </cell>
          <cell r="Y767" t="str">
            <v>KEW</v>
          </cell>
          <cell r="Z767" t="str">
            <v>16/08/2013</v>
          </cell>
          <cell r="AA767" t="str">
            <v>15/08/2015</v>
          </cell>
          <cell r="AB767" t="str">
            <v>No</v>
          </cell>
          <cell r="AC767" t="str">
            <v>31/08/2013</v>
          </cell>
          <cell r="AD767" t="str">
            <v>Good</v>
          </cell>
          <cell r="AE767" t="str">
            <v>V1 - Existing / No Claim</v>
          </cell>
          <cell r="AF767">
            <v>42235</v>
          </cell>
          <cell r="AG767">
            <v>9.17</v>
          </cell>
          <cell r="AH767" t="str">
            <v>PPM</v>
          </cell>
          <cell r="AI767" t="str">
            <v>Strands</v>
          </cell>
          <cell r="AJ767" t="str">
            <v>Strands PW</v>
          </cell>
        </row>
        <row r="768">
          <cell r="A768" t="str">
            <v>IKN400301</v>
          </cell>
          <cell r="B768">
            <v>301</v>
          </cell>
          <cell r="C768" t="str">
            <v>Institut Kanser Negara</v>
          </cell>
          <cell r="D768" t="str">
            <v>KKM/IKN/H/13/2047</v>
          </cell>
          <cell r="E768" t="str">
            <v>18-147</v>
          </cell>
          <cell r="F768" t="str">
            <v>Mattress Systems, Alternating-Pressure</v>
          </cell>
          <cell r="G768" t="str">
            <v>WH</v>
          </cell>
          <cell r="H768" t="str">
            <v>RT/ONCO WARD 2 (M)</v>
          </cell>
          <cell r="I768" t="str">
            <v>08WH121</v>
          </cell>
          <cell r="J768" t="str">
            <v>EQUIPMENT ROOM</v>
          </cell>
          <cell r="K768" t="str">
            <v>BMED</v>
          </cell>
          <cell r="L768" t="str">
            <v>Normal</v>
          </cell>
          <cell r="M768" t="str">
            <v>Poland</v>
          </cell>
          <cell r="N768" t="str">
            <v>Nimbus</v>
          </cell>
          <cell r="O768" t="str">
            <v>Nimbus 3</v>
          </cell>
          <cell r="P768" t="str">
            <v>1200005124</v>
          </cell>
          <cell r="Q768" t="str">
            <v>Not Applicable</v>
          </cell>
          <cell r="R768" t="str">
            <v>Arjohuntleigh</v>
          </cell>
          <cell r="S768" t="str">
            <v>Hexamine Sdn. Bhd.</v>
          </cell>
          <cell r="T768" t="str">
            <v>Functioning</v>
          </cell>
          <cell r="U768" t="str">
            <v>Asset</v>
          </cell>
          <cell r="V768">
            <v>28630</v>
          </cell>
          <cell r="W768" t="str">
            <v>KEW</v>
          </cell>
          <cell r="X768" t="str">
            <v>01/09/2010</v>
          </cell>
          <cell r="Y768" t="str">
            <v>KEW</v>
          </cell>
          <cell r="Z768" t="str">
            <v>16/08/2013</v>
          </cell>
          <cell r="AA768" t="str">
            <v>15/08/2015</v>
          </cell>
          <cell r="AB768" t="str">
            <v>No</v>
          </cell>
          <cell r="AC768" t="str">
            <v>31/08/2013</v>
          </cell>
          <cell r="AD768" t="str">
            <v>Good</v>
          </cell>
          <cell r="AE768" t="str">
            <v>V1 - Existing / No Claim</v>
          </cell>
          <cell r="AF768">
            <v>42235</v>
          </cell>
          <cell r="AG768">
            <v>9.17</v>
          </cell>
          <cell r="AH768" t="str">
            <v>PPM</v>
          </cell>
          <cell r="AI768" t="str">
            <v>Strands</v>
          </cell>
          <cell r="AJ768" t="str">
            <v>Strands PW</v>
          </cell>
        </row>
        <row r="769">
          <cell r="A769" t="str">
            <v>IKN400302</v>
          </cell>
          <cell r="B769">
            <v>302</v>
          </cell>
          <cell r="C769" t="str">
            <v>Institut Kanser Negara</v>
          </cell>
          <cell r="D769" t="str">
            <v>KKM/IKN/H/13/2046</v>
          </cell>
          <cell r="E769" t="str">
            <v>18-147</v>
          </cell>
          <cell r="F769" t="str">
            <v>Mattress Systems, Alternating-Pressure</v>
          </cell>
          <cell r="G769" t="str">
            <v>WH</v>
          </cell>
          <cell r="H769" t="str">
            <v>RT/ONCO WARD 2 (M)</v>
          </cell>
          <cell r="I769" t="str">
            <v>08WH121</v>
          </cell>
          <cell r="J769" t="str">
            <v>EQUIPMENT ROOM</v>
          </cell>
          <cell r="K769" t="str">
            <v>BMED</v>
          </cell>
          <cell r="L769" t="str">
            <v>Normal</v>
          </cell>
          <cell r="M769" t="str">
            <v>Poland</v>
          </cell>
          <cell r="N769" t="str">
            <v>Nimbus</v>
          </cell>
          <cell r="O769" t="str">
            <v>Nimbus 3</v>
          </cell>
          <cell r="P769" t="str">
            <v>1200005117</v>
          </cell>
          <cell r="Q769" t="str">
            <v>Not Applicable</v>
          </cell>
          <cell r="R769" t="str">
            <v>Arjohuntleigh</v>
          </cell>
          <cell r="S769" t="str">
            <v>Hexamine Sdn. Bhd.</v>
          </cell>
          <cell r="T769" t="str">
            <v>Functioning</v>
          </cell>
          <cell r="U769" t="str">
            <v>Asset</v>
          </cell>
          <cell r="V769">
            <v>28630</v>
          </cell>
          <cell r="W769" t="str">
            <v>KEW</v>
          </cell>
          <cell r="X769" t="str">
            <v>01/09/2010</v>
          </cell>
          <cell r="Y769" t="str">
            <v>KEW</v>
          </cell>
          <cell r="Z769" t="str">
            <v>16/08/2013</v>
          </cell>
          <cell r="AA769" t="str">
            <v>15/08/2015</v>
          </cell>
          <cell r="AB769" t="str">
            <v>No</v>
          </cell>
          <cell r="AC769" t="str">
            <v>31/08/2013</v>
          </cell>
          <cell r="AD769" t="str">
            <v>Good</v>
          </cell>
          <cell r="AE769" t="str">
            <v>V1 - Existing / No Claim</v>
          </cell>
          <cell r="AF769">
            <v>42235</v>
          </cell>
          <cell r="AG769">
            <v>9.17</v>
          </cell>
          <cell r="AH769" t="str">
            <v>PPM</v>
          </cell>
          <cell r="AI769" t="str">
            <v>Strands</v>
          </cell>
          <cell r="AJ769" t="str">
            <v>Strands PW</v>
          </cell>
        </row>
        <row r="770">
          <cell r="A770" t="str">
            <v>IKN400303</v>
          </cell>
          <cell r="B770">
            <v>303</v>
          </cell>
          <cell r="C770" t="str">
            <v>Institut Kanser Negara</v>
          </cell>
          <cell r="D770" t="str">
            <v>KKM/IKN/H/13/2044</v>
          </cell>
          <cell r="E770" t="str">
            <v>18-147</v>
          </cell>
          <cell r="F770" t="str">
            <v>Mattress Systems, Alternating-Pressure</v>
          </cell>
          <cell r="G770" t="str">
            <v>WH</v>
          </cell>
          <cell r="H770" t="str">
            <v>RT/ONCO WARD 2 (M)</v>
          </cell>
          <cell r="I770" t="str">
            <v>08WH121</v>
          </cell>
          <cell r="J770" t="str">
            <v>EQUIPMENT ROOM</v>
          </cell>
          <cell r="K770" t="str">
            <v>BMED</v>
          </cell>
          <cell r="L770" t="str">
            <v>Normal</v>
          </cell>
          <cell r="M770" t="str">
            <v>Poland</v>
          </cell>
          <cell r="N770" t="str">
            <v>Nimbus</v>
          </cell>
          <cell r="O770" t="str">
            <v>Nimbus 3</v>
          </cell>
          <cell r="P770" t="str">
            <v>1200005119</v>
          </cell>
          <cell r="Q770" t="str">
            <v>Not Applicable</v>
          </cell>
          <cell r="R770" t="str">
            <v>Arjohuntleigh</v>
          </cell>
          <cell r="S770" t="str">
            <v>Hexamine Sdn. Bhd.</v>
          </cell>
          <cell r="T770" t="str">
            <v>Functioning</v>
          </cell>
          <cell r="U770" t="str">
            <v>Asset</v>
          </cell>
          <cell r="V770">
            <v>28630</v>
          </cell>
          <cell r="W770" t="str">
            <v>KEW</v>
          </cell>
          <cell r="X770" t="str">
            <v>01/09/2010</v>
          </cell>
          <cell r="Y770" t="str">
            <v>KEW</v>
          </cell>
          <cell r="Z770" t="str">
            <v>16/08/2013</v>
          </cell>
          <cell r="AA770" t="str">
            <v>15/08/2015</v>
          </cell>
          <cell r="AB770" t="str">
            <v>No</v>
          </cell>
          <cell r="AC770" t="str">
            <v>31/08/2013</v>
          </cell>
          <cell r="AD770" t="str">
            <v>Good</v>
          </cell>
          <cell r="AE770" t="str">
            <v>V1 - Existing / No Claim</v>
          </cell>
          <cell r="AF770">
            <v>42235</v>
          </cell>
          <cell r="AG770">
            <v>9.17</v>
          </cell>
          <cell r="AH770" t="str">
            <v>PPM</v>
          </cell>
          <cell r="AI770" t="str">
            <v>Strands</v>
          </cell>
          <cell r="AJ770" t="str">
            <v>Strands PW</v>
          </cell>
        </row>
        <row r="771">
          <cell r="A771" t="str">
            <v>IKN400304</v>
          </cell>
          <cell r="B771">
            <v>304</v>
          </cell>
          <cell r="C771" t="str">
            <v>Institut Kanser Negara</v>
          </cell>
          <cell r="D771" t="str">
            <v>KKM/IKN/H/13/5436</v>
          </cell>
          <cell r="E771" t="str">
            <v>18-013</v>
          </cell>
          <cell r="F771" t="str">
            <v>Incubators, Laboratory, Thermocycling</v>
          </cell>
          <cell r="G771" t="str">
            <v>NM</v>
          </cell>
          <cell r="H771" t="str">
            <v>NUCLEAR MED (DIAGNOSTIC)</v>
          </cell>
          <cell r="I771" t="str">
            <v>03NM112</v>
          </cell>
          <cell r="J771" t="str">
            <v>CLEAN UTILITY</v>
          </cell>
          <cell r="K771" t="str">
            <v>BMED</v>
          </cell>
          <cell r="L771" t="str">
            <v>Normal</v>
          </cell>
          <cell r="M771" t="str">
            <v>Germany</v>
          </cell>
          <cell r="N771" t="str">
            <v>Binder</v>
          </cell>
          <cell r="O771" t="str">
            <v>Binder BD 115</v>
          </cell>
          <cell r="P771" t="str">
            <v>13-08709</v>
          </cell>
          <cell r="Q771" t="str">
            <v>Not Applicable</v>
          </cell>
          <cell r="R771" t="str">
            <v>Binder GmbH &amp; Co</v>
          </cell>
          <cell r="S771" t="str">
            <v>Bumi Sains Sdn. Bhd.</v>
          </cell>
          <cell r="T771" t="str">
            <v>Functioning</v>
          </cell>
          <cell r="U771" t="str">
            <v>Asset</v>
          </cell>
          <cell r="V771">
            <v>16240</v>
          </cell>
          <cell r="W771" t="str">
            <v>KEW</v>
          </cell>
          <cell r="X771" t="str">
            <v>01/09/2010</v>
          </cell>
          <cell r="Y771" t="str">
            <v>KEW</v>
          </cell>
          <cell r="Z771" t="str">
            <v>16/08/2013</v>
          </cell>
          <cell r="AA771" t="str">
            <v>15/08/2015</v>
          </cell>
          <cell r="AB771" t="str">
            <v>No</v>
          </cell>
          <cell r="AC771" t="str">
            <v>31/08/2013</v>
          </cell>
          <cell r="AD771" t="str">
            <v>Good</v>
          </cell>
          <cell r="AE771" t="str">
            <v>V3 - Added Installed Facilities (New)</v>
          </cell>
          <cell r="AF771">
            <v>42235</v>
          </cell>
          <cell r="AG771">
            <v>9.17</v>
          </cell>
          <cell r="AH771" t="str">
            <v>PPM</v>
          </cell>
          <cell r="AI771" t="str">
            <v>Strands</v>
          </cell>
          <cell r="AJ771" t="str">
            <v>Strands PW</v>
          </cell>
          <cell r="AK771" t="str">
            <v>SNF received. 1st batch of V3 asset (December 2020)</v>
          </cell>
        </row>
        <row r="772">
          <cell r="A772" t="str">
            <v>IKN400305</v>
          </cell>
          <cell r="B772">
            <v>305</v>
          </cell>
          <cell r="C772" t="str">
            <v>Institut Kanser Negara</v>
          </cell>
          <cell r="D772" t="str">
            <v>KKM/IKN/H/13/4965</v>
          </cell>
          <cell r="E772" t="str">
            <v>16-173</v>
          </cell>
          <cell r="F772" t="str">
            <v>Sphygmomanometers, Electronic, Automatic</v>
          </cell>
          <cell r="G772" t="str">
            <v>WH</v>
          </cell>
          <cell r="H772" t="str">
            <v>RT/ONCO WARD 2 (M)</v>
          </cell>
          <cell r="I772" t="str">
            <v>08WH143</v>
          </cell>
          <cell r="J772" t="str">
            <v>NURSE STATION</v>
          </cell>
          <cell r="K772" t="str">
            <v>BMED</v>
          </cell>
          <cell r="L772" t="str">
            <v>Normal</v>
          </cell>
          <cell r="M772" t="str">
            <v>USA</v>
          </cell>
          <cell r="N772" t="str">
            <v>Connex</v>
          </cell>
          <cell r="O772" t="str">
            <v>Connex ProBP 3400</v>
          </cell>
          <cell r="P772" t="str">
            <v>100001490613</v>
          </cell>
          <cell r="Q772" t="str">
            <v>Not Applicable</v>
          </cell>
          <cell r="R772" t="str">
            <v>Welch Allyn Inc</v>
          </cell>
          <cell r="S772" t="str">
            <v>Welch Allyn Malaysia Sdn Bhd</v>
          </cell>
          <cell r="T772" t="str">
            <v>Functioning</v>
          </cell>
          <cell r="U772" t="str">
            <v>Asset</v>
          </cell>
          <cell r="V772">
            <v>4510</v>
          </cell>
          <cell r="W772" t="str">
            <v>KEW</v>
          </cell>
          <cell r="X772" t="str">
            <v>01/09/2010</v>
          </cell>
          <cell r="Y772" t="str">
            <v>KEW</v>
          </cell>
          <cell r="Z772" t="str">
            <v>16/08/2013</v>
          </cell>
          <cell r="AA772" t="str">
            <v>15/08/2015</v>
          </cell>
          <cell r="AB772" t="str">
            <v>No</v>
          </cell>
          <cell r="AC772" t="str">
            <v>31/08/2013</v>
          </cell>
          <cell r="AD772" t="str">
            <v>Good</v>
          </cell>
          <cell r="AE772" t="str">
            <v>V1 - Existing / No Claim</v>
          </cell>
          <cell r="AF772">
            <v>42235</v>
          </cell>
          <cell r="AG772">
            <v>9.17</v>
          </cell>
          <cell r="AH772" t="str">
            <v>PPM</v>
          </cell>
          <cell r="AI772" t="str">
            <v>Strands</v>
          </cell>
          <cell r="AJ772" t="str">
            <v>Strands PW</v>
          </cell>
        </row>
        <row r="773">
          <cell r="A773" t="str">
            <v>IKN400306</v>
          </cell>
          <cell r="B773">
            <v>306</v>
          </cell>
          <cell r="C773" t="str">
            <v>Institut Kanser Negara</v>
          </cell>
          <cell r="D773" t="str">
            <v>KKM/IKN/H/13/3164</v>
          </cell>
          <cell r="E773" t="str">
            <v>12-647</v>
          </cell>
          <cell r="F773" t="str">
            <v>Physiologic Monitoring Systems, Acute Care</v>
          </cell>
          <cell r="G773" t="str">
            <v>WH</v>
          </cell>
          <cell r="H773" t="str">
            <v>RT/ONCO WARD 2 (M)</v>
          </cell>
          <cell r="I773" t="str">
            <v>08WH121</v>
          </cell>
          <cell r="J773" t="str">
            <v>EQUIPMENT ROOM</v>
          </cell>
          <cell r="K773" t="str">
            <v>BMED</v>
          </cell>
          <cell r="L773" t="str">
            <v>Critical</v>
          </cell>
          <cell r="M773" t="str">
            <v>USA</v>
          </cell>
          <cell r="N773" t="str">
            <v>GE</v>
          </cell>
          <cell r="O773" t="str">
            <v>GE B30</v>
          </cell>
          <cell r="P773" t="str">
            <v>SF312325913WA</v>
          </cell>
          <cell r="Q773" t="str">
            <v>Not Applicable</v>
          </cell>
          <cell r="R773" t="str">
            <v>GE Healthcare Systems</v>
          </cell>
          <cell r="S773" t="str">
            <v>GE Healthcare Technologies</v>
          </cell>
          <cell r="T773" t="str">
            <v>Functioning</v>
          </cell>
          <cell r="U773" t="str">
            <v>Asset</v>
          </cell>
          <cell r="V773">
            <v>44510</v>
          </cell>
          <cell r="W773" t="str">
            <v>KEW</v>
          </cell>
          <cell r="X773" t="str">
            <v>01/09/2010</v>
          </cell>
          <cell r="Y773" t="str">
            <v>KEW</v>
          </cell>
          <cell r="Z773" t="str">
            <v>16/08/2013</v>
          </cell>
          <cell r="AA773" t="str">
            <v>15/08/2015</v>
          </cell>
          <cell r="AB773" t="str">
            <v>No</v>
          </cell>
          <cell r="AC773" t="str">
            <v>31/08/2013</v>
          </cell>
          <cell r="AD773" t="str">
            <v>Good</v>
          </cell>
          <cell r="AE773" t="str">
            <v>V1 - Existing / No Claim</v>
          </cell>
          <cell r="AF773">
            <v>42787</v>
          </cell>
          <cell r="AG773">
            <v>9.17</v>
          </cell>
          <cell r="AH773" t="str">
            <v>PPM</v>
          </cell>
          <cell r="AI773" t="str">
            <v>Strands</v>
          </cell>
          <cell r="AJ773" t="str">
            <v>Strands PW</v>
          </cell>
        </row>
        <row r="774">
          <cell r="A774" t="str">
            <v>IKN400307</v>
          </cell>
          <cell r="B774">
            <v>307</v>
          </cell>
          <cell r="C774" t="str">
            <v>Institut Kanser Negara</v>
          </cell>
          <cell r="D774" t="str">
            <v>KKM/IKN/H/13/3165</v>
          </cell>
          <cell r="E774" t="str">
            <v>12-647</v>
          </cell>
          <cell r="F774" t="str">
            <v>Physiologic Monitoring Systems, Acute Care</v>
          </cell>
          <cell r="G774" t="str">
            <v>WH</v>
          </cell>
          <cell r="H774" t="str">
            <v>RT/ONCO WARD 2 (M)</v>
          </cell>
          <cell r="I774" t="str">
            <v>08WH121</v>
          </cell>
          <cell r="J774" t="str">
            <v>EQUIPMENT ROOM</v>
          </cell>
          <cell r="K774" t="str">
            <v>BMED</v>
          </cell>
          <cell r="L774" t="str">
            <v>Critical</v>
          </cell>
          <cell r="M774" t="str">
            <v>USA</v>
          </cell>
          <cell r="N774" t="str">
            <v>GE</v>
          </cell>
          <cell r="O774" t="str">
            <v>GE B30</v>
          </cell>
          <cell r="P774" t="str">
            <v>SF312325903WA</v>
          </cell>
          <cell r="Q774" t="str">
            <v>Not Applicable</v>
          </cell>
          <cell r="R774" t="str">
            <v>GE Healthcare Systems</v>
          </cell>
          <cell r="S774" t="str">
            <v>GE Healthcare Technologies</v>
          </cell>
          <cell r="T774" t="str">
            <v>Functioning</v>
          </cell>
          <cell r="U774" t="str">
            <v>Asset</v>
          </cell>
          <cell r="V774">
            <v>44510</v>
          </cell>
          <cell r="W774" t="str">
            <v>KEW</v>
          </cell>
          <cell r="X774" t="str">
            <v>01/09/2010</v>
          </cell>
          <cell r="Y774" t="str">
            <v>KEW</v>
          </cell>
          <cell r="Z774" t="str">
            <v>16/08/2013</v>
          </cell>
          <cell r="AA774" t="str">
            <v>15/08/2015</v>
          </cell>
          <cell r="AB774" t="str">
            <v>No</v>
          </cell>
          <cell r="AC774" t="str">
            <v>31/08/2013</v>
          </cell>
          <cell r="AD774" t="str">
            <v>Good</v>
          </cell>
          <cell r="AE774" t="str">
            <v>V1 - Existing / No Claim</v>
          </cell>
          <cell r="AF774">
            <v>42788</v>
          </cell>
          <cell r="AG774">
            <v>9.17</v>
          </cell>
          <cell r="AH774" t="str">
            <v>PPM</v>
          </cell>
          <cell r="AI774" t="str">
            <v>Strands</v>
          </cell>
          <cell r="AJ774" t="str">
            <v>Strands PW</v>
          </cell>
        </row>
        <row r="775">
          <cell r="A775" t="str">
            <v>IKN400308</v>
          </cell>
          <cell r="B775">
            <v>308</v>
          </cell>
          <cell r="C775" t="str">
            <v>Institut Kanser Negara</v>
          </cell>
          <cell r="D775" t="str">
            <v>KKM/IKN/H/13/3193</v>
          </cell>
          <cell r="E775" t="str">
            <v>11-134</v>
          </cell>
          <cell r="F775" t="str">
            <v>Defibrillators, External, Manual</v>
          </cell>
          <cell r="G775" t="str">
            <v>WH</v>
          </cell>
          <cell r="H775" t="str">
            <v>RT/ONCO WARD 2 (M)</v>
          </cell>
          <cell r="I775" t="str">
            <v>08WH133</v>
          </cell>
          <cell r="J775" t="str">
            <v>RESUS EQ. BAY</v>
          </cell>
          <cell r="K775" t="str">
            <v>BMED</v>
          </cell>
          <cell r="L775" t="str">
            <v>Critical</v>
          </cell>
          <cell r="M775" t="str">
            <v>USA</v>
          </cell>
          <cell r="N775" t="str">
            <v>Responder</v>
          </cell>
          <cell r="O775" t="str">
            <v>Responder 2000</v>
          </cell>
          <cell r="P775" t="str">
            <v>3206647</v>
          </cell>
          <cell r="Q775" t="str">
            <v>Not Applicable</v>
          </cell>
          <cell r="R775" t="str">
            <v>GE Medical Systems</v>
          </cell>
          <cell r="S775" t="str">
            <v>Antah Sir Radin Sdn. Bhd.</v>
          </cell>
          <cell r="T775" t="str">
            <v>Functioning</v>
          </cell>
          <cell r="U775" t="str">
            <v>Asset</v>
          </cell>
          <cell r="V775">
            <v>45000</v>
          </cell>
          <cell r="W775" t="str">
            <v>Estimate</v>
          </cell>
          <cell r="X775" t="str">
            <v>01/09/2010</v>
          </cell>
          <cell r="Y775" t="str">
            <v>KEW</v>
          </cell>
          <cell r="Z775" t="str">
            <v>16/08/2013</v>
          </cell>
          <cell r="AA775" t="str">
            <v>15/08/2015</v>
          </cell>
          <cell r="AB775" t="str">
            <v>No</v>
          </cell>
          <cell r="AC775" t="str">
            <v>31/08/2013</v>
          </cell>
          <cell r="AD775" t="str">
            <v>Good</v>
          </cell>
          <cell r="AE775" t="str">
            <v>V1 - Existing / No Claim</v>
          </cell>
          <cell r="AF775">
            <v>42601</v>
          </cell>
          <cell r="AG775">
            <v>9.17</v>
          </cell>
          <cell r="AH775" t="str">
            <v>PPM</v>
          </cell>
          <cell r="AI775" t="str">
            <v>Strands</v>
          </cell>
          <cell r="AJ775" t="str">
            <v>Strands PW</v>
          </cell>
          <cell r="AK775" t="str">
            <v>Crash Trolley (FEMS)</v>
          </cell>
        </row>
        <row r="776">
          <cell r="A776" t="str">
            <v>IKN400309</v>
          </cell>
          <cell r="B776">
            <v>309</v>
          </cell>
          <cell r="C776" t="str">
            <v>Institut Kanser Negara</v>
          </cell>
          <cell r="D776" t="str">
            <v>KKM/IKN/H/14/85</v>
          </cell>
          <cell r="E776" t="str">
            <v>15-156</v>
          </cell>
          <cell r="F776" t="str">
            <v>Microscopes, Light, Laboratory</v>
          </cell>
          <cell r="G776" t="str">
            <v>LA</v>
          </cell>
          <cell r="H776" t="str">
            <v>PATHOLOGY</v>
          </cell>
          <cell r="I776" t="str">
            <v>04LA130</v>
          </cell>
          <cell r="J776" t="str">
            <v>SEROLOGY</v>
          </cell>
          <cell r="K776" t="str">
            <v>BMED</v>
          </cell>
          <cell r="L776" t="str">
            <v>Normal</v>
          </cell>
          <cell r="M776" t="str">
            <v>Philipines</v>
          </cell>
          <cell r="N776" t="str">
            <v>Olympus</v>
          </cell>
          <cell r="O776" t="str">
            <v>Olympus CX 31RBSF</v>
          </cell>
          <cell r="P776" t="str">
            <v>4E40694</v>
          </cell>
          <cell r="Q776" t="str">
            <v>Not Applicable</v>
          </cell>
          <cell r="R776" t="str">
            <v>Olympus Corp Ltd</v>
          </cell>
          <cell r="S776" t="str">
            <v>Matrix Optics (M) Sdn. Bhd</v>
          </cell>
          <cell r="T776" t="str">
            <v>Functioning</v>
          </cell>
          <cell r="U776" t="str">
            <v>Asset</v>
          </cell>
          <cell r="V776">
            <v>15550</v>
          </cell>
          <cell r="W776" t="str">
            <v>KEW</v>
          </cell>
          <cell r="X776" t="str">
            <v>25/09/2014</v>
          </cell>
          <cell r="Y776" t="str">
            <v>KEW</v>
          </cell>
          <cell r="Z776" t="str">
            <v>13/11/2014</v>
          </cell>
          <cell r="AA776" t="str">
            <v>12/11/2015</v>
          </cell>
          <cell r="AB776" t="str">
            <v>No</v>
          </cell>
          <cell r="AC776" t="str">
            <v>13/11/2014</v>
          </cell>
          <cell r="AD776" t="str">
            <v>Good</v>
          </cell>
          <cell r="AE776" t="str">
            <v>V3 - Added Installed Facilities (New)</v>
          </cell>
          <cell r="AF776">
            <v>42679</v>
          </cell>
          <cell r="AG776">
            <v>5.17</v>
          </cell>
          <cell r="AH776" t="str">
            <v>PPM</v>
          </cell>
          <cell r="AI776" t="str">
            <v>Strands</v>
          </cell>
          <cell r="AJ776" t="str">
            <v>Strands PW</v>
          </cell>
          <cell r="AK776" t="str">
            <v>SNF received. 1st batch of V3 asset (December 2020)</v>
          </cell>
        </row>
        <row r="777">
          <cell r="A777" t="str">
            <v>IKN400310</v>
          </cell>
          <cell r="B777">
            <v>310</v>
          </cell>
          <cell r="C777" t="str">
            <v>Institut Kanser Negara</v>
          </cell>
          <cell r="D777" t="str">
            <v>KKM/IKN/H/13/2021</v>
          </cell>
          <cell r="E777" t="str">
            <v>16-173</v>
          </cell>
          <cell r="F777" t="str">
            <v>Sphygmomanometers, Electronic, Automatic</v>
          </cell>
          <cell r="G777" t="str">
            <v>WH</v>
          </cell>
          <cell r="H777" t="str">
            <v>RT/ONCO WARD 2 (M)</v>
          </cell>
          <cell r="I777" t="str">
            <v>08WH143</v>
          </cell>
          <cell r="J777" t="str">
            <v>NURSE STATION</v>
          </cell>
          <cell r="K777" t="str">
            <v>BMED</v>
          </cell>
          <cell r="L777" t="str">
            <v>Critical</v>
          </cell>
          <cell r="M777" t="str">
            <v>USA</v>
          </cell>
          <cell r="N777" t="str">
            <v>Connex</v>
          </cell>
          <cell r="O777" t="str">
            <v>Connex ProBP 3400</v>
          </cell>
          <cell r="P777" t="str">
            <v>100001650613</v>
          </cell>
          <cell r="Q777" t="str">
            <v>Not Applicable</v>
          </cell>
          <cell r="R777" t="str">
            <v>Welch Allyn Inc</v>
          </cell>
          <cell r="S777" t="str">
            <v>Welch Allyn Malaysia Sdn Bhd</v>
          </cell>
          <cell r="T777" t="str">
            <v>Functioning</v>
          </cell>
          <cell r="U777" t="str">
            <v>Asset</v>
          </cell>
          <cell r="V777">
            <v>4510</v>
          </cell>
          <cell r="W777" t="str">
            <v>KEW</v>
          </cell>
          <cell r="X777" t="str">
            <v>01/09/2010</v>
          </cell>
          <cell r="Y777" t="str">
            <v>KEW</v>
          </cell>
          <cell r="Z777" t="str">
            <v>16/08/2013</v>
          </cell>
          <cell r="AA777" t="str">
            <v>15/08/2015</v>
          </cell>
          <cell r="AB777" t="str">
            <v>No</v>
          </cell>
          <cell r="AC777" t="str">
            <v>31/08/2013</v>
          </cell>
          <cell r="AD777" t="str">
            <v>Good</v>
          </cell>
          <cell r="AE777" t="str">
            <v>V1 - Existing / No Claim</v>
          </cell>
          <cell r="AF777">
            <v>42788</v>
          </cell>
          <cell r="AG777">
            <v>9.17</v>
          </cell>
          <cell r="AH777" t="str">
            <v>PPM</v>
          </cell>
          <cell r="AI777" t="str">
            <v>Strands</v>
          </cell>
          <cell r="AJ777" t="str">
            <v>Strands PW</v>
          </cell>
        </row>
        <row r="778">
          <cell r="A778" t="str">
            <v>IKN400311</v>
          </cell>
          <cell r="B778">
            <v>311</v>
          </cell>
          <cell r="C778" t="str">
            <v>Institut Kanser Negara</v>
          </cell>
          <cell r="D778" t="str">
            <v>KKM/IKN/H/13/2034</v>
          </cell>
          <cell r="E778" t="str">
            <v>13-215</v>
          </cell>
          <cell r="F778" t="str">
            <v>Infusion Pumps, General-Purpose</v>
          </cell>
          <cell r="G778" t="str">
            <v>WH</v>
          </cell>
          <cell r="H778" t="str">
            <v>RT/ONCO WARD 2 (M)</v>
          </cell>
          <cell r="I778" t="str">
            <v>08WH121</v>
          </cell>
          <cell r="J778" t="str">
            <v>EQUIPMENT ROOM</v>
          </cell>
          <cell r="K778" t="str">
            <v>BMED</v>
          </cell>
          <cell r="L778" t="str">
            <v>Normal</v>
          </cell>
          <cell r="M778" t="str">
            <v>Germany</v>
          </cell>
          <cell r="N778" t="str">
            <v>Infusomat</v>
          </cell>
          <cell r="O778" t="str">
            <v>Infusomat Space</v>
          </cell>
          <cell r="P778" t="str">
            <v>211976</v>
          </cell>
          <cell r="Q778" t="str">
            <v>Not Applicable</v>
          </cell>
          <cell r="R778" t="str">
            <v>B Braun Melsungen AG</v>
          </cell>
          <cell r="S778" t="str">
            <v>B Braun Medical Supplies Sdn. Bhd.</v>
          </cell>
          <cell r="T778" t="str">
            <v>Functioning</v>
          </cell>
          <cell r="U778" t="str">
            <v>Asset</v>
          </cell>
          <cell r="V778">
            <v>10825</v>
          </cell>
          <cell r="W778" t="str">
            <v>KEW</v>
          </cell>
          <cell r="X778" t="str">
            <v>01/09/2010</v>
          </cell>
          <cell r="Y778" t="str">
            <v>KEW</v>
          </cell>
          <cell r="Z778" t="str">
            <v>16/08/2013</v>
          </cell>
          <cell r="AA778" t="str">
            <v>15/08/2015</v>
          </cell>
          <cell r="AB778" t="str">
            <v>No</v>
          </cell>
          <cell r="AC778" t="str">
            <v>31/08/2013</v>
          </cell>
          <cell r="AD778" t="str">
            <v>Good</v>
          </cell>
          <cell r="AE778" t="str">
            <v>V1 - Existing / No Claim</v>
          </cell>
          <cell r="AF778">
            <v>42235</v>
          </cell>
          <cell r="AG778">
            <v>9.17</v>
          </cell>
          <cell r="AH778" t="str">
            <v>PPM</v>
          </cell>
          <cell r="AI778" t="str">
            <v>Strands</v>
          </cell>
          <cell r="AJ778" t="str">
            <v>Strands PW</v>
          </cell>
        </row>
        <row r="779">
          <cell r="A779" t="str">
            <v>IKN400312</v>
          </cell>
          <cell r="B779">
            <v>312</v>
          </cell>
          <cell r="C779" t="str">
            <v>Institut Kanser Negara</v>
          </cell>
          <cell r="D779" t="str">
            <v>KKM/IKN/H/13/2025</v>
          </cell>
          <cell r="E779" t="str">
            <v>25-209</v>
          </cell>
          <cell r="F779" t="str">
            <v>Monitors, Physiologic, Vital Signs</v>
          </cell>
          <cell r="G779" t="str">
            <v>WH</v>
          </cell>
          <cell r="H779" t="str">
            <v>RT/ONCO WARD 2 (M)</v>
          </cell>
          <cell r="I779" t="str">
            <v>08WH143</v>
          </cell>
          <cell r="J779" t="str">
            <v>NURSE STATION</v>
          </cell>
          <cell r="K779" t="str">
            <v>BMED</v>
          </cell>
          <cell r="L779" t="str">
            <v>Critical</v>
          </cell>
          <cell r="M779" t="str">
            <v>Mexico</v>
          </cell>
          <cell r="N779" t="str">
            <v>Carespace</v>
          </cell>
          <cell r="O779" t="str">
            <v>Carescape V100</v>
          </cell>
          <cell r="P779" t="str">
            <v>SH613310090SA</v>
          </cell>
          <cell r="Q779" t="str">
            <v>Not Applicable</v>
          </cell>
          <cell r="R779" t="str">
            <v>GE Healthcare Systems</v>
          </cell>
          <cell r="S779" t="str">
            <v>GE Healthcare Technologies</v>
          </cell>
          <cell r="T779" t="str">
            <v>Functioning</v>
          </cell>
          <cell r="U779" t="str">
            <v>Asset</v>
          </cell>
          <cell r="V779">
            <v>7770</v>
          </cell>
          <cell r="W779" t="str">
            <v>KEW</v>
          </cell>
          <cell r="X779" t="str">
            <v>01/09/2010</v>
          </cell>
          <cell r="Y779" t="str">
            <v>KEW</v>
          </cell>
          <cell r="Z779" t="str">
            <v>16/08/2013</v>
          </cell>
          <cell r="AA779" t="str">
            <v>15/08/2015</v>
          </cell>
          <cell r="AB779" t="str">
            <v>No</v>
          </cell>
          <cell r="AC779" t="str">
            <v>31/08/2013</v>
          </cell>
          <cell r="AD779" t="str">
            <v>Good</v>
          </cell>
          <cell r="AE779" t="str">
            <v>V1 - Existing / No Claim</v>
          </cell>
          <cell r="AF779">
            <v>42788</v>
          </cell>
          <cell r="AG779">
            <v>9.17</v>
          </cell>
          <cell r="AH779" t="str">
            <v>PPM</v>
          </cell>
          <cell r="AI779" t="str">
            <v>Strands</v>
          </cell>
          <cell r="AJ779" t="str">
            <v>Strands PW</v>
          </cell>
        </row>
        <row r="780">
          <cell r="A780" t="str">
            <v>IKN400313</v>
          </cell>
          <cell r="B780">
            <v>313</v>
          </cell>
          <cell r="C780" t="str">
            <v>Institut Kanser Negara</v>
          </cell>
          <cell r="D780" t="str">
            <v>KKM/IKN/H/13/4966</v>
          </cell>
          <cell r="E780" t="str">
            <v>10-208</v>
          </cell>
          <cell r="F780" t="str">
            <v>Aspirators</v>
          </cell>
          <cell r="G780" t="str">
            <v>WH</v>
          </cell>
          <cell r="H780" t="str">
            <v>RT/ONCO WARD 2 (M)</v>
          </cell>
          <cell r="I780" t="str">
            <v>08WH143</v>
          </cell>
          <cell r="J780" t="str">
            <v>NURSE STATION</v>
          </cell>
          <cell r="K780" t="str">
            <v>BMED</v>
          </cell>
          <cell r="L780" t="str">
            <v>Normal</v>
          </cell>
          <cell r="M780" t="str">
            <v>UK</v>
          </cell>
          <cell r="N780" t="str">
            <v>SAM</v>
          </cell>
          <cell r="O780" t="str">
            <v>SAM 427</v>
          </cell>
          <cell r="P780" t="str">
            <v>08131706</v>
          </cell>
          <cell r="Q780" t="str">
            <v>Not Applicable</v>
          </cell>
          <cell r="R780" t="str">
            <v>MG Electric Ltd</v>
          </cell>
          <cell r="S780" t="str">
            <v>Delta Medisains</v>
          </cell>
          <cell r="T780" t="str">
            <v>Functioning</v>
          </cell>
          <cell r="U780" t="str">
            <v>Asset</v>
          </cell>
          <cell r="V780">
            <v>10705</v>
          </cell>
          <cell r="W780" t="str">
            <v>KEW</v>
          </cell>
          <cell r="X780" t="str">
            <v>01/09/2010</v>
          </cell>
          <cell r="Y780" t="str">
            <v>KEW</v>
          </cell>
          <cell r="Z780" t="str">
            <v>16/08/2013</v>
          </cell>
          <cell r="AA780" t="str">
            <v>15/08/2015</v>
          </cell>
          <cell r="AB780" t="str">
            <v>No</v>
          </cell>
          <cell r="AC780" t="str">
            <v>31/08/2013</v>
          </cell>
          <cell r="AD780" t="str">
            <v>Good</v>
          </cell>
          <cell r="AE780" t="str">
            <v>V1 - Existing / No Claim</v>
          </cell>
          <cell r="AF780">
            <v>42235</v>
          </cell>
          <cell r="AG780">
            <v>9.17</v>
          </cell>
          <cell r="AH780" t="str">
            <v>PPM</v>
          </cell>
          <cell r="AI780" t="str">
            <v>Strands</v>
          </cell>
          <cell r="AJ780" t="str">
            <v>Strands PW</v>
          </cell>
        </row>
        <row r="781">
          <cell r="A781" t="str">
            <v>IKN400315</v>
          </cell>
          <cell r="B781">
            <v>315</v>
          </cell>
          <cell r="C781" t="str">
            <v>Institut Kanser Negara</v>
          </cell>
          <cell r="D781" t="str">
            <v>KKM/IKN/H/13/2457</v>
          </cell>
          <cell r="E781" t="str">
            <v>10-208</v>
          </cell>
          <cell r="F781" t="str">
            <v>Aspirators</v>
          </cell>
          <cell r="G781" t="str">
            <v>WF</v>
          </cell>
          <cell r="H781" t="str">
            <v>RT/ONCO WARD 2 (F)</v>
          </cell>
          <cell r="I781" t="str">
            <v>07WF107</v>
          </cell>
          <cell r="J781" t="str">
            <v>TREATMENT / PROCEDDURE</v>
          </cell>
          <cell r="K781" t="str">
            <v>BMED</v>
          </cell>
          <cell r="L781" t="str">
            <v>Normal</v>
          </cell>
          <cell r="M781" t="str">
            <v>Switzerland</v>
          </cell>
          <cell r="N781" t="str">
            <v>Senator</v>
          </cell>
          <cell r="O781" t="str">
            <v>Senator</v>
          </cell>
          <cell r="P781" t="str">
            <v>1220756</v>
          </cell>
          <cell r="Q781" t="str">
            <v>Not Applicable</v>
          </cell>
          <cell r="R781" t="str">
            <v>Ardo Medical AG</v>
          </cell>
          <cell r="S781" t="str">
            <v>Histopoint</v>
          </cell>
          <cell r="T781" t="str">
            <v>Functioning</v>
          </cell>
          <cell r="U781" t="str">
            <v>Asset</v>
          </cell>
          <cell r="V781">
            <v>5052</v>
          </cell>
          <cell r="W781" t="str">
            <v>KEW</v>
          </cell>
          <cell r="X781" t="str">
            <v>01/09/2010</v>
          </cell>
          <cell r="Y781" t="str">
            <v>KEW</v>
          </cell>
          <cell r="Z781" t="str">
            <v>16/08/2013</v>
          </cell>
          <cell r="AA781" t="str">
            <v>15/08/2015</v>
          </cell>
          <cell r="AB781" t="str">
            <v>No</v>
          </cell>
          <cell r="AC781" t="str">
            <v>31/08/2013</v>
          </cell>
          <cell r="AD781" t="str">
            <v>Good</v>
          </cell>
          <cell r="AE781" t="str">
            <v>V1 - Existing / No Claim</v>
          </cell>
          <cell r="AF781">
            <v>42235</v>
          </cell>
          <cell r="AG781">
            <v>9.17</v>
          </cell>
          <cell r="AH781" t="str">
            <v>PPM</v>
          </cell>
          <cell r="AI781" t="str">
            <v>Strands</v>
          </cell>
          <cell r="AJ781" t="str">
            <v>Strands PW</v>
          </cell>
        </row>
        <row r="782">
          <cell r="A782" t="str">
            <v>IKN400316</v>
          </cell>
          <cell r="B782">
            <v>316</v>
          </cell>
          <cell r="C782" t="str">
            <v>Institut Kanser Negara</v>
          </cell>
          <cell r="D782" t="str">
            <v>KKM/IKN/H/13/303</v>
          </cell>
          <cell r="E782" t="str">
            <v>16-231</v>
          </cell>
          <cell r="F782" t="str">
            <v>Electrocardiographs, Multichannel, Interpretative</v>
          </cell>
          <cell r="G782" t="str">
            <v>WF</v>
          </cell>
          <cell r="H782" t="str">
            <v>RT/ONCO WARD 2 (F)</v>
          </cell>
          <cell r="I782" t="str">
            <v>07WF107</v>
          </cell>
          <cell r="J782" t="str">
            <v>TREATMENT / PROCEDDURE</v>
          </cell>
          <cell r="K782" t="str">
            <v>BMED</v>
          </cell>
          <cell r="L782" t="str">
            <v>Critical</v>
          </cell>
          <cell r="M782" t="str">
            <v>China</v>
          </cell>
          <cell r="N782" t="str">
            <v>Mac</v>
          </cell>
          <cell r="O782" t="str">
            <v>MAC 800</v>
          </cell>
          <cell r="P782" t="str">
            <v>SJ412450369 WA</v>
          </cell>
          <cell r="Q782" t="str">
            <v>Not Applicable</v>
          </cell>
          <cell r="R782" t="str">
            <v>GE Healthcare Systems</v>
          </cell>
          <cell r="S782" t="str">
            <v>GE Healthcare Technologies</v>
          </cell>
          <cell r="T782" t="str">
            <v>Functioning</v>
          </cell>
          <cell r="U782" t="str">
            <v>Asset</v>
          </cell>
          <cell r="V782">
            <v>25260</v>
          </cell>
          <cell r="W782" t="str">
            <v>KEW</v>
          </cell>
          <cell r="X782" t="str">
            <v>01/09/2010</v>
          </cell>
          <cell r="Y782" t="str">
            <v>KEW</v>
          </cell>
          <cell r="Z782" t="str">
            <v>16/08/2013</v>
          </cell>
          <cell r="AA782" t="str">
            <v>15/08/2015</v>
          </cell>
          <cell r="AB782" t="str">
            <v>No</v>
          </cell>
          <cell r="AC782" t="str">
            <v>31/08/2013</v>
          </cell>
          <cell r="AD782" t="str">
            <v>Good</v>
          </cell>
          <cell r="AE782" t="str">
            <v>V1 - Existing / No Claim</v>
          </cell>
          <cell r="AF782">
            <v>42788</v>
          </cell>
          <cell r="AG782">
            <v>9.17</v>
          </cell>
          <cell r="AH782" t="str">
            <v>PPM</v>
          </cell>
          <cell r="AI782" t="str">
            <v>Strands</v>
          </cell>
          <cell r="AJ782" t="str">
            <v>Strands PW</v>
          </cell>
        </row>
        <row r="783">
          <cell r="A783" t="str">
            <v>IKN400319</v>
          </cell>
          <cell r="B783">
            <v>319</v>
          </cell>
          <cell r="C783" t="str">
            <v>Institut Kanser Negara</v>
          </cell>
          <cell r="D783" t="str">
            <v>KKM/IKN/H/13/2515</v>
          </cell>
          <cell r="E783" t="str">
            <v>10-447</v>
          </cell>
          <cell r="F783" t="str">
            <v>Warming Units, Blood/Solution</v>
          </cell>
          <cell r="G783" t="str">
            <v>WF</v>
          </cell>
          <cell r="H783" t="str">
            <v>RT/ONCO WARD 2 (F)</v>
          </cell>
          <cell r="I783" t="str">
            <v>07WF121</v>
          </cell>
          <cell r="J783" t="str">
            <v>EQUIPMENT ROOM</v>
          </cell>
          <cell r="K783" t="str">
            <v>BMED</v>
          </cell>
          <cell r="L783" t="str">
            <v>Normal</v>
          </cell>
          <cell r="M783" t="str">
            <v>Japan</v>
          </cell>
          <cell r="N783" t="str">
            <v>Animec</v>
          </cell>
          <cell r="O783" t="str">
            <v>Animec AM-301</v>
          </cell>
          <cell r="P783" t="str">
            <v>2013D0247</v>
          </cell>
          <cell r="Q783" t="str">
            <v>Not Applicable</v>
          </cell>
          <cell r="R783" t="str">
            <v>Elltec Co Ltd</v>
          </cell>
          <cell r="S783" t="str">
            <v>IDS Services (Malaysia) Sdn Bhd</v>
          </cell>
          <cell r="T783" t="str">
            <v>Functioning</v>
          </cell>
          <cell r="U783" t="str">
            <v>Asset</v>
          </cell>
          <cell r="V783">
            <v>4990</v>
          </cell>
          <cell r="W783" t="str">
            <v>KEW</v>
          </cell>
          <cell r="X783" t="str">
            <v>01/09/2010</v>
          </cell>
          <cell r="Y783" t="str">
            <v>KEW</v>
          </cell>
          <cell r="Z783" t="str">
            <v>16/08/2013</v>
          </cell>
          <cell r="AA783" t="str">
            <v>15/08/2015</v>
          </cell>
          <cell r="AB783" t="str">
            <v>No</v>
          </cell>
          <cell r="AC783" t="str">
            <v>31/08/2013</v>
          </cell>
          <cell r="AD783" t="str">
            <v>Good</v>
          </cell>
          <cell r="AE783" t="str">
            <v>V1 - Existing / No Claim</v>
          </cell>
          <cell r="AF783">
            <v>42235</v>
          </cell>
          <cell r="AG783">
            <v>9.17</v>
          </cell>
          <cell r="AH783" t="str">
            <v>PPM</v>
          </cell>
          <cell r="AI783" t="str">
            <v>Strands</v>
          </cell>
          <cell r="AJ783" t="str">
            <v>Strands PW</v>
          </cell>
        </row>
        <row r="784">
          <cell r="A784" t="str">
            <v>IKN400320</v>
          </cell>
          <cell r="B784">
            <v>320</v>
          </cell>
          <cell r="C784" t="str">
            <v>Institut Kanser Negara</v>
          </cell>
          <cell r="D784" t="str">
            <v>KKM/IKN/H/13/2504</v>
          </cell>
          <cell r="E784" t="str">
            <v>10-447</v>
          </cell>
          <cell r="F784" t="str">
            <v>Warming Units, Blood/Solution</v>
          </cell>
          <cell r="G784" t="str">
            <v>WF</v>
          </cell>
          <cell r="H784" t="str">
            <v>RT/ONCO WARD 2 (F)</v>
          </cell>
          <cell r="I784" t="str">
            <v>07WF121</v>
          </cell>
          <cell r="J784" t="str">
            <v>EQUIPMENT ROOM</v>
          </cell>
          <cell r="K784" t="str">
            <v>BMED</v>
          </cell>
          <cell r="L784" t="str">
            <v>Normal</v>
          </cell>
          <cell r="M784" t="str">
            <v>Japan</v>
          </cell>
          <cell r="N784" t="str">
            <v>Animec</v>
          </cell>
          <cell r="O784" t="str">
            <v>Animec AM-301</v>
          </cell>
          <cell r="P784" t="str">
            <v>2013D0248</v>
          </cell>
          <cell r="Q784" t="str">
            <v>Not Applicable</v>
          </cell>
          <cell r="R784" t="str">
            <v>Elltec Co Ltd</v>
          </cell>
          <cell r="S784" t="str">
            <v>IDS Services (Malaysia) Sdn Bhd</v>
          </cell>
          <cell r="T784" t="str">
            <v>Functioning</v>
          </cell>
          <cell r="U784" t="str">
            <v>Asset</v>
          </cell>
          <cell r="V784">
            <v>4990</v>
          </cell>
          <cell r="W784" t="str">
            <v>KEW</v>
          </cell>
          <cell r="X784" t="str">
            <v>01/09/2010</v>
          </cell>
          <cell r="Y784" t="str">
            <v>KEW</v>
          </cell>
          <cell r="Z784" t="str">
            <v>16/08/2013</v>
          </cell>
          <cell r="AA784" t="str">
            <v>15/08/2015</v>
          </cell>
          <cell r="AB784" t="str">
            <v>No</v>
          </cell>
          <cell r="AC784" t="str">
            <v>31/08/2013</v>
          </cell>
          <cell r="AD784" t="str">
            <v>Good</v>
          </cell>
          <cell r="AE784" t="str">
            <v>V1 - Existing / No Claim</v>
          </cell>
          <cell r="AF784">
            <v>42235</v>
          </cell>
          <cell r="AG784">
            <v>9.17</v>
          </cell>
          <cell r="AH784" t="str">
            <v>PPM</v>
          </cell>
          <cell r="AI784" t="str">
            <v>Strands</v>
          </cell>
          <cell r="AJ784" t="str">
            <v>Strands PW</v>
          </cell>
        </row>
        <row r="785">
          <cell r="A785" t="str">
            <v>IKN400321</v>
          </cell>
          <cell r="B785">
            <v>321</v>
          </cell>
          <cell r="C785" t="str">
            <v>Institut Kanser Negara</v>
          </cell>
          <cell r="D785" t="str">
            <v>KKM/IKN/H/13/2509</v>
          </cell>
          <cell r="E785" t="str">
            <v>10-447</v>
          </cell>
          <cell r="F785" t="str">
            <v>Warming Units, Blood/Solution</v>
          </cell>
          <cell r="G785" t="str">
            <v>WF</v>
          </cell>
          <cell r="H785" t="str">
            <v>RT/ONCO WARD 2 (F)</v>
          </cell>
          <cell r="I785" t="str">
            <v>07WF121</v>
          </cell>
          <cell r="J785" t="str">
            <v>EQUIPMENT ROOM</v>
          </cell>
          <cell r="K785" t="str">
            <v>BMED</v>
          </cell>
          <cell r="L785" t="str">
            <v>Normal</v>
          </cell>
          <cell r="M785" t="str">
            <v>Japan</v>
          </cell>
          <cell r="N785" t="str">
            <v>Animec</v>
          </cell>
          <cell r="O785" t="str">
            <v>Animec AM-301</v>
          </cell>
          <cell r="P785" t="str">
            <v>2012D0060</v>
          </cell>
          <cell r="Q785" t="str">
            <v>Not Applicable</v>
          </cell>
          <cell r="R785" t="str">
            <v>Elltec Co Ltd</v>
          </cell>
          <cell r="S785" t="str">
            <v>IDS Services (Malaysia) Sdn Bhd</v>
          </cell>
          <cell r="T785" t="str">
            <v>Functioning</v>
          </cell>
          <cell r="U785" t="str">
            <v>Asset</v>
          </cell>
          <cell r="V785">
            <v>4990</v>
          </cell>
          <cell r="W785" t="str">
            <v>KEW</v>
          </cell>
          <cell r="X785" t="str">
            <v>01/09/2010</v>
          </cell>
          <cell r="Y785" t="str">
            <v>KEW</v>
          </cell>
          <cell r="Z785" t="str">
            <v>16/08/2013</v>
          </cell>
          <cell r="AA785" t="str">
            <v>15/08/2015</v>
          </cell>
          <cell r="AB785" t="str">
            <v>No</v>
          </cell>
          <cell r="AC785" t="str">
            <v>31/08/2013</v>
          </cell>
          <cell r="AD785" t="str">
            <v>Good</v>
          </cell>
          <cell r="AE785" t="str">
            <v>V1 - Existing / No Claim</v>
          </cell>
          <cell r="AF785">
            <v>42235</v>
          </cell>
          <cell r="AG785">
            <v>9.17</v>
          </cell>
          <cell r="AH785" t="str">
            <v>PPM</v>
          </cell>
          <cell r="AI785" t="str">
            <v>Strands</v>
          </cell>
          <cell r="AJ785" t="str">
            <v>Strands PW</v>
          </cell>
        </row>
        <row r="786">
          <cell r="A786" t="str">
            <v>IKN400322</v>
          </cell>
          <cell r="B786">
            <v>322</v>
          </cell>
          <cell r="C786" t="str">
            <v>Institut Kanser Negara</v>
          </cell>
          <cell r="D786" t="str">
            <v>KKM/IKN/H/13/2525</v>
          </cell>
          <cell r="E786" t="str">
            <v>12-282</v>
          </cell>
          <cell r="F786" t="str">
            <v>Lights, Surgical</v>
          </cell>
          <cell r="G786" t="str">
            <v>WF</v>
          </cell>
          <cell r="H786" t="str">
            <v>RT/ONCO WARD 2 (F)</v>
          </cell>
          <cell r="I786" t="str">
            <v>07WF121</v>
          </cell>
          <cell r="J786" t="str">
            <v>EQUIPMENT ROOM</v>
          </cell>
          <cell r="K786" t="str">
            <v>BMED</v>
          </cell>
          <cell r="L786" t="str">
            <v>Critical</v>
          </cell>
          <cell r="M786" t="str">
            <v>USA</v>
          </cell>
          <cell r="N786" t="str">
            <v>Welch Allyn</v>
          </cell>
          <cell r="O786" t="str">
            <v>Welch Allyn GS600</v>
          </cell>
          <cell r="P786" t="str">
            <v>GS-600-39</v>
          </cell>
          <cell r="Q786" t="str">
            <v>Not Applicable</v>
          </cell>
          <cell r="R786" t="str">
            <v>Welch Allyn Inc</v>
          </cell>
          <cell r="S786" t="str">
            <v>Welch Allyn Malaysia Sdn Bhd</v>
          </cell>
          <cell r="T786" t="str">
            <v>Functioning</v>
          </cell>
          <cell r="U786" t="str">
            <v>Asset</v>
          </cell>
          <cell r="V786">
            <v>5050</v>
          </cell>
          <cell r="W786" t="str">
            <v>KEW</v>
          </cell>
          <cell r="X786" t="str">
            <v>01/09/2010</v>
          </cell>
          <cell r="Y786" t="str">
            <v>KEW</v>
          </cell>
          <cell r="Z786" t="str">
            <v>16/08/2013</v>
          </cell>
          <cell r="AA786" t="str">
            <v>15/08/2015</v>
          </cell>
          <cell r="AB786" t="str">
            <v>No</v>
          </cell>
          <cell r="AC786" t="str">
            <v>31/08/2013</v>
          </cell>
          <cell r="AD786" t="str">
            <v>Good</v>
          </cell>
          <cell r="AE786" t="str">
            <v>V1 - Existing / No Claim</v>
          </cell>
          <cell r="AF786">
            <v>42788</v>
          </cell>
          <cell r="AG786">
            <v>9.17</v>
          </cell>
          <cell r="AH786" t="str">
            <v>PPM</v>
          </cell>
          <cell r="AI786" t="str">
            <v>Strands</v>
          </cell>
          <cell r="AJ786" t="str">
            <v>Strands PW</v>
          </cell>
        </row>
        <row r="787">
          <cell r="A787" t="str">
            <v>IKN400323</v>
          </cell>
          <cell r="B787">
            <v>323</v>
          </cell>
          <cell r="C787" t="str">
            <v>Institut Kanser Negara</v>
          </cell>
          <cell r="D787" t="str">
            <v>KKM/IKN/H/13/3174</v>
          </cell>
          <cell r="E787" t="str">
            <v>15-045</v>
          </cell>
          <cell r="F787" t="str">
            <v>Nebulizers, Nonheated</v>
          </cell>
          <cell r="G787" t="str">
            <v>WF</v>
          </cell>
          <cell r="H787" t="str">
            <v>RT/ONCO WARD 2 (F)</v>
          </cell>
          <cell r="I787" t="str">
            <v>07WF121</v>
          </cell>
          <cell r="J787" t="str">
            <v>EQUIPMENT ROOM</v>
          </cell>
          <cell r="K787" t="str">
            <v>BMED</v>
          </cell>
          <cell r="L787" t="str">
            <v>Normal</v>
          </cell>
          <cell r="M787" t="str">
            <v>Germany</v>
          </cell>
          <cell r="N787" t="str">
            <v>Pari Boy</v>
          </cell>
          <cell r="O787" t="str">
            <v>Pari Boy SX 085</v>
          </cell>
          <cell r="P787" t="str">
            <v>2W12F13724</v>
          </cell>
          <cell r="Q787" t="str">
            <v>Not Applicable</v>
          </cell>
          <cell r="R787" t="str">
            <v>Pari GmbH</v>
          </cell>
          <cell r="S787" t="str">
            <v>Welch Allyn Malaysia Sdn Bhd</v>
          </cell>
          <cell r="T787" t="str">
            <v>Functioning</v>
          </cell>
          <cell r="U787" t="str">
            <v>Asset</v>
          </cell>
          <cell r="V787">
            <v>1140</v>
          </cell>
          <cell r="W787" t="str">
            <v>KEW</v>
          </cell>
          <cell r="X787" t="str">
            <v>01/09/2010</v>
          </cell>
          <cell r="Y787" t="str">
            <v>KEW</v>
          </cell>
          <cell r="Z787" t="str">
            <v>16/08/2013</v>
          </cell>
          <cell r="AA787" t="str">
            <v>15/08/2015</v>
          </cell>
          <cell r="AB787" t="str">
            <v>No</v>
          </cell>
          <cell r="AC787" t="str">
            <v>31/08/2013</v>
          </cell>
          <cell r="AD787" t="str">
            <v>Good</v>
          </cell>
          <cell r="AE787" t="str">
            <v>V1 - Existing / No Claim</v>
          </cell>
          <cell r="AF787">
            <v>42788</v>
          </cell>
          <cell r="AG787">
            <v>9.17</v>
          </cell>
          <cell r="AH787" t="str">
            <v>PPM</v>
          </cell>
          <cell r="AI787" t="str">
            <v>Strands</v>
          </cell>
          <cell r="AJ787" t="str">
            <v>Strands PW</v>
          </cell>
        </row>
        <row r="788">
          <cell r="A788" t="str">
            <v>IKN400324</v>
          </cell>
          <cell r="B788">
            <v>324</v>
          </cell>
          <cell r="C788" t="str">
            <v>Institut Kanser Negara</v>
          </cell>
          <cell r="D788" t="str">
            <v>KKM/IKN/H/13/3172</v>
          </cell>
          <cell r="E788" t="str">
            <v>15-045</v>
          </cell>
          <cell r="F788" t="str">
            <v>Nebulizers, Nonheated</v>
          </cell>
          <cell r="G788" t="str">
            <v>WF</v>
          </cell>
          <cell r="H788" t="str">
            <v>RT/ONCO WARD 2 (F)</v>
          </cell>
          <cell r="I788" t="str">
            <v>07WF121</v>
          </cell>
          <cell r="J788" t="str">
            <v>EQUIPMENT ROOM</v>
          </cell>
          <cell r="K788" t="str">
            <v>BMED</v>
          </cell>
          <cell r="L788" t="str">
            <v>Normal</v>
          </cell>
          <cell r="M788" t="str">
            <v>Germany</v>
          </cell>
          <cell r="N788" t="str">
            <v>Pari Boy</v>
          </cell>
          <cell r="O788" t="str">
            <v>Pari Boy SX 085</v>
          </cell>
          <cell r="P788" t="str">
            <v>2W12F13753</v>
          </cell>
          <cell r="Q788" t="str">
            <v>Not Applicable</v>
          </cell>
          <cell r="R788" t="str">
            <v>Pari GmbH</v>
          </cell>
          <cell r="S788" t="str">
            <v>Welch Allyn Malaysia Sdn Bhd</v>
          </cell>
          <cell r="T788" t="str">
            <v>Functioning</v>
          </cell>
          <cell r="U788" t="str">
            <v>Asset</v>
          </cell>
          <cell r="V788">
            <v>1140</v>
          </cell>
          <cell r="W788" t="str">
            <v>KEW</v>
          </cell>
          <cell r="X788" t="str">
            <v>01/09/2010</v>
          </cell>
          <cell r="Y788" t="str">
            <v>KEW</v>
          </cell>
          <cell r="Z788" t="str">
            <v>16/08/2013</v>
          </cell>
          <cell r="AA788" t="str">
            <v>15/08/2015</v>
          </cell>
          <cell r="AB788" t="str">
            <v>No</v>
          </cell>
          <cell r="AC788" t="str">
            <v>31/08/2013</v>
          </cell>
          <cell r="AD788" t="str">
            <v>Good</v>
          </cell>
          <cell r="AE788" t="str">
            <v>V1 - Existing / No Claim</v>
          </cell>
          <cell r="AF788">
            <v>42788</v>
          </cell>
          <cell r="AG788">
            <v>9.17</v>
          </cell>
          <cell r="AH788" t="str">
            <v>PPM</v>
          </cell>
          <cell r="AI788" t="str">
            <v>Strands</v>
          </cell>
          <cell r="AJ788" t="str">
            <v>Strands PW</v>
          </cell>
        </row>
        <row r="789">
          <cell r="A789" t="str">
            <v>IKN400325</v>
          </cell>
          <cell r="B789">
            <v>325</v>
          </cell>
          <cell r="C789" t="str">
            <v>Institut Kanser Negara</v>
          </cell>
          <cell r="D789" t="str">
            <v>KKM/IKN/H/13/3173</v>
          </cell>
          <cell r="E789" t="str">
            <v>15-045</v>
          </cell>
          <cell r="F789" t="str">
            <v>Nebulizers, Nonheated</v>
          </cell>
          <cell r="G789" t="str">
            <v>WF</v>
          </cell>
          <cell r="H789" t="str">
            <v>RT/ONCO WARD 2 (F)</v>
          </cell>
          <cell r="I789" t="str">
            <v>07WF121</v>
          </cell>
          <cell r="J789" t="str">
            <v>EQUIPMENT ROOM</v>
          </cell>
          <cell r="K789" t="str">
            <v>BMED</v>
          </cell>
          <cell r="L789" t="str">
            <v>Normal</v>
          </cell>
          <cell r="M789" t="str">
            <v>Germany</v>
          </cell>
          <cell r="N789" t="str">
            <v>Pari Boy</v>
          </cell>
          <cell r="O789" t="str">
            <v>Pari Boy SX 085</v>
          </cell>
          <cell r="P789" t="str">
            <v>2W12J05854</v>
          </cell>
          <cell r="Q789" t="str">
            <v>Not Applicable</v>
          </cell>
          <cell r="R789" t="str">
            <v>Pari GmbH</v>
          </cell>
          <cell r="S789" t="str">
            <v>Welch Allyn Malaysia Sdn Bhd</v>
          </cell>
          <cell r="T789" t="str">
            <v>Functioning</v>
          </cell>
          <cell r="U789" t="str">
            <v>Asset</v>
          </cell>
          <cell r="V789">
            <v>1140</v>
          </cell>
          <cell r="W789" t="str">
            <v>KEW</v>
          </cell>
          <cell r="X789" t="str">
            <v>01/09/2010</v>
          </cell>
          <cell r="Y789" t="str">
            <v>KEW</v>
          </cell>
          <cell r="Z789" t="str">
            <v>16/08/2013</v>
          </cell>
          <cell r="AA789" t="str">
            <v>15/08/2015</v>
          </cell>
          <cell r="AB789" t="str">
            <v>No</v>
          </cell>
          <cell r="AC789" t="str">
            <v>31/08/2013</v>
          </cell>
          <cell r="AD789" t="str">
            <v>Good</v>
          </cell>
          <cell r="AE789" t="str">
            <v>V1 - Existing / No Claim</v>
          </cell>
          <cell r="AF789">
            <v>42788</v>
          </cell>
          <cell r="AG789">
            <v>9.17</v>
          </cell>
          <cell r="AH789" t="str">
            <v>PPM</v>
          </cell>
          <cell r="AI789" t="str">
            <v>Strands</v>
          </cell>
          <cell r="AJ789" t="str">
            <v>Strands PW</v>
          </cell>
        </row>
        <row r="790">
          <cell r="A790" t="str">
            <v>IKN400326</v>
          </cell>
          <cell r="B790">
            <v>326</v>
          </cell>
          <cell r="C790" t="str">
            <v>Institut Kanser Negara</v>
          </cell>
          <cell r="D790" t="str">
            <v>KKM/IKN/H/13/2464</v>
          </cell>
          <cell r="E790" t="str">
            <v>13-217</v>
          </cell>
          <cell r="F790" t="str">
            <v>Infusion Pumps, Syringe</v>
          </cell>
          <cell r="G790" t="str">
            <v>WF</v>
          </cell>
          <cell r="H790" t="str">
            <v>RT/ONCO WARD 2 (F)</v>
          </cell>
          <cell r="I790" t="str">
            <v>07WF121</v>
          </cell>
          <cell r="J790" t="str">
            <v>EQUIPMENT ROOM</v>
          </cell>
          <cell r="K790" t="str">
            <v>BMED</v>
          </cell>
          <cell r="L790" t="str">
            <v>Critical</v>
          </cell>
          <cell r="M790" t="str">
            <v>Germany</v>
          </cell>
          <cell r="N790" t="str">
            <v>Perfusor</v>
          </cell>
          <cell r="O790" t="str">
            <v>Perfusor Space</v>
          </cell>
          <cell r="P790" t="str">
            <v>143320</v>
          </cell>
          <cell r="Q790" t="str">
            <v>Not Applicable</v>
          </cell>
          <cell r="R790" t="str">
            <v>B Braun Melsungen AG</v>
          </cell>
          <cell r="S790" t="str">
            <v>B Braun Medical Supplies Sdn. Bhd.</v>
          </cell>
          <cell r="T790" t="str">
            <v>Functioning</v>
          </cell>
          <cell r="U790" t="str">
            <v>Asset</v>
          </cell>
          <cell r="V790">
            <v>10225</v>
          </cell>
          <cell r="W790" t="str">
            <v>KEW</v>
          </cell>
          <cell r="X790" t="str">
            <v>01/09/2010</v>
          </cell>
          <cell r="Y790" t="str">
            <v>KEW</v>
          </cell>
          <cell r="Z790" t="str">
            <v>16/08/2013</v>
          </cell>
          <cell r="AA790" t="str">
            <v>15/08/2015</v>
          </cell>
          <cell r="AB790" t="str">
            <v>No</v>
          </cell>
          <cell r="AC790" t="str">
            <v>31/08/2013</v>
          </cell>
          <cell r="AD790" t="str">
            <v>Good</v>
          </cell>
          <cell r="AE790" t="str">
            <v>V1 - Existing / No Claim</v>
          </cell>
          <cell r="AF790">
            <v>42788</v>
          </cell>
          <cell r="AG790">
            <v>9.17</v>
          </cell>
          <cell r="AH790" t="str">
            <v>PPM</v>
          </cell>
          <cell r="AI790" t="str">
            <v>Strands</v>
          </cell>
          <cell r="AJ790" t="str">
            <v>Strands PW</v>
          </cell>
        </row>
        <row r="791">
          <cell r="A791" t="str">
            <v>IKN400327</v>
          </cell>
          <cell r="B791">
            <v>327</v>
          </cell>
          <cell r="C791" t="str">
            <v>Institut Kanser Negara</v>
          </cell>
          <cell r="D791" t="str">
            <v>KKM/IKN/H/13/2463</v>
          </cell>
          <cell r="E791" t="str">
            <v>13-217</v>
          </cell>
          <cell r="F791" t="str">
            <v>Infusion Pumps, Syringe</v>
          </cell>
          <cell r="G791" t="str">
            <v>WF</v>
          </cell>
          <cell r="H791" t="str">
            <v>RT/ONCO WARD 2 (F)</v>
          </cell>
          <cell r="I791" t="str">
            <v>07WF121</v>
          </cell>
          <cell r="J791" t="str">
            <v>EQUIPMENT ROOM</v>
          </cell>
          <cell r="K791" t="str">
            <v>BMED</v>
          </cell>
          <cell r="L791" t="str">
            <v>Normal</v>
          </cell>
          <cell r="M791" t="str">
            <v>Germany</v>
          </cell>
          <cell r="N791" t="str">
            <v>Perfusor</v>
          </cell>
          <cell r="O791" t="str">
            <v>Perfusor Space</v>
          </cell>
          <cell r="P791" t="str">
            <v>186616</v>
          </cell>
          <cell r="Q791" t="str">
            <v>Not Applicable</v>
          </cell>
          <cell r="R791" t="str">
            <v>B Braun Melsungen AG</v>
          </cell>
          <cell r="S791" t="str">
            <v>B Braun Medical Supplies Sdn. Bhd.</v>
          </cell>
          <cell r="T791" t="str">
            <v>Functioning</v>
          </cell>
          <cell r="U791" t="str">
            <v>Asset</v>
          </cell>
          <cell r="V791">
            <v>10225</v>
          </cell>
          <cell r="W791" t="str">
            <v>KEW</v>
          </cell>
          <cell r="X791" t="str">
            <v>01/09/2010</v>
          </cell>
          <cell r="Y791" t="str">
            <v>KEW</v>
          </cell>
          <cell r="Z791" t="str">
            <v>16/08/2013</v>
          </cell>
          <cell r="AA791" t="str">
            <v>15/08/2015</v>
          </cell>
          <cell r="AB791" t="str">
            <v>No</v>
          </cell>
          <cell r="AC791" t="str">
            <v>31/08/2013</v>
          </cell>
          <cell r="AD791" t="str">
            <v>Good</v>
          </cell>
          <cell r="AE791" t="str">
            <v>V1 - Existing / No Claim</v>
          </cell>
          <cell r="AF791">
            <v>42235</v>
          </cell>
          <cell r="AG791">
            <v>9.17</v>
          </cell>
          <cell r="AH791" t="str">
            <v>PPM</v>
          </cell>
          <cell r="AI791" t="str">
            <v>Strands</v>
          </cell>
          <cell r="AJ791" t="str">
            <v>Strands PW</v>
          </cell>
        </row>
        <row r="792">
          <cell r="A792" t="str">
            <v>IKN400328</v>
          </cell>
          <cell r="B792">
            <v>328</v>
          </cell>
          <cell r="C792" t="str">
            <v>Institut Kanser Negara</v>
          </cell>
          <cell r="D792" t="str">
            <v>KKM/IKN/H/13/2467</v>
          </cell>
          <cell r="E792" t="str">
            <v>13-215</v>
          </cell>
          <cell r="F792" t="str">
            <v>Infusion Pumps, General-Purpose</v>
          </cell>
          <cell r="G792" t="str">
            <v>WF</v>
          </cell>
          <cell r="H792" t="str">
            <v>RT/ONCO WARD 2 (F)</v>
          </cell>
          <cell r="I792" t="str">
            <v>07WF121</v>
          </cell>
          <cell r="J792" t="str">
            <v>EQUIPMENT ROOM</v>
          </cell>
          <cell r="K792" t="str">
            <v>BMED</v>
          </cell>
          <cell r="L792" t="str">
            <v>Normal</v>
          </cell>
          <cell r="M792" t="str">
            <v>Germany</v>
          </cell>
          <cell r="N792" t="str">
            <v>Infusomat</v>
          </cell>
          <cell r="O792" t="str">
            <v>Infusomat Space</v>
          </cell>
          <cell r="P792">
            <v>211846</v>
          </cell>
          <cell r="Q792" t="str">
            <v>Not Applicable</v>
          </cell>
          <cell r="R792" t="str">
            <v>B Braun Melsungen AG</v>
          </cell>
          <cell r="S792" t="str">
            <v>B Braun Medical Supplies Sdn. Bhd.</v>
          </cell>
          <cell r="T792" t="str">
            <v>Functioning</v>
          </cell>
          <cell r="U792" t="str">
            <v>Asset</v>
          </cell>
          <cell r="V792">
            <v>10825</v>
          </cell>
          <cell r="W792" t="str">
            <v>KEW</v>
          </cell>
          <cell r="X792" t="str">
            <v>01/09/2010</v>
          </cell>
          <cell r="Y792" t="str">
            <v>KEW</v>
          </cell>
          <cell r="Z792" t="str">
            <v>16/08/2013</v>
          </cell>
          <cell r="AA792" t="str">
            <v>15/08/2015</v>
          </cell>
          <cell r="AB792" t="str">
            <v>No</v>
          </cell>
          <cell r="AC792" t="str">
            <v>31/08/2013</v>
          </cell>
          <cell r="AD792" t="str">
            <v>Good</v>
          </cell>
          <cell r="AE792" t="str">
            <v>V1 - Existing / No Claim</v>
          </cell>
          <cell r="AF792">
            <v>42235</v>
          </cell>
          <cell r="AG792">
            <v>9.17</v>
          </cell>
          <cell r="AH792" t="str">
            <v>PPM</v>
          </cell>
          <cell r="AI792" t="str">
            <v>Strands</v>
          </cell>
          <cell r="AJ792" t="str">
            <v>Strands PW</v>
          </cell>
        </row>
        <row r="793">
          <cell r="A793" t="str">
            <v>IKN400329</v>
          </cell>
          <cell r="B793">
            <v>329</v>
          </cell>
          <cell r="C793" t="str">
            <v>Institut Kanser Negara</v>
          </cell>
          <cell r="D793" t="str">
            <v>KKM/IKN/H/13/2470</v>
          </cell>
          <cell r="E793" t="str">
            <v>13-215</v>
          </cell>
          <cell r="F793" t="str">
            <v>Infusion Pumps, General-Purpose</v>
          </cell>
          <cell r="G793" t="str">
            <v>WF</v>
          </cell>
          <cell r="H793" t="str">
            <v>RT/ONCO WARD 2 (F)</v>
          </cell>
          <cell r="I793" t="str">
            <v>07WF121</v>
          </cell>
          <cell r="J793" t="str">
            <v>EQUIPMENT ROOM</v>
          </cell>
          <cell r="K793" t="str">
            <v>BMED</v>
          </cell>
          <cell r="L793" t="str">
            <v>Normal</v>
          </cell>
          <cell r="M793" t="str">
            <v>Germany</v>
          </cell>
          <cell r="N793" t="str">
            <v>Infusomat</v>
          </cell>
          <cell r="O793" t="str">
            <v>Infusomat Space</v>
          </cell>
          <cell r="P793" t="str">
            <v>212373</v>
          </cell>
          <cell r="Q793" t="str">
            <v>Not Applicable</v>
          </cell>
          <cell r="R793" t="str">
            <v>B Braun Melsungen AG</v>
          </cell>
          <cell r="S793" t="str">
            <v>B Braun Medical Supplies Sdn. Bhd.</v>
          </cell>
          <cell r="T793" t="str">
            <v>Functioning</v>
          </cell>
          <cell r="U793" t="str">
            <v>Asset</v>
          </cell>
          <cell r="V793">
            <v>10825</v>
          </cell>
          <cell r="W793" t="str">
            <v>KEW</v>
          </cell>
          <cell r="X793" t="str">
            <v>01/09/2010</v>
          </cell>
          <cell r="Y793" t="str">
            <v>KEW</v>
          </cell>
          <cell r="Z793" t="str">
            <v>16/08/2013</v>
          </cell>
          <cell r="AA793" t="str">
            <v>15/08/2015</v>
          </cell>
          <cell r="AB793" t="str">
            <v>No</v>
          </cell>
          <cell r="AC793" t="str">
            <v>31/08/2013</v>
          </cell>
          <cell r="AD793" t="str">
            <v>Good</v>
          </cell>
          <cell r="AE793" t="str">
            <v>V1 - Existing / No Claim</v>
          </cell>
          <cell r="AF793">
            <v>42235</v>
          </cell>
          <cell r="AG793">
            <v>9.17</v>
          </cell>
          <cell r="AH793" t="str">
            <v>PPM</v>
          </cell>
          <cell r="AI793" t="str">
            <v>Strands</v>
          </cell>
          <cell r="AJ793" t="str">
            <v>Strands PW</v>
          </cell>
        </row>
        <row r="794">
          <cell r="A794" t="str">
            <v>IKN400330</v>
          </cell>
          <cell r="B794">
            <v>330</v>
          </cell>
          <cell r="C794" t="str">
            <v>Institut Kanser Negara</v>
          </cell>
          <cell r="D794" t="str">
            <v>KKM/IKN/H/13/2471</v>
          </cell>
          <cell r="E794" t="str">
            <v>13-215</v>
          </cell>
          <cell r="F794" t="str">
            <v>Infusion Pumps, General-Purpose</v>
          </cell>
          <cell r="G794" t="str">
            <v>WF</v>
          </cell>
          <cell r="H794" t="str">
            <v>RT/ONCO WARD 2 (F)</v>
          </cell>
          <cell r="I794" t="str">
            <v>07WF121</v>
          </cell>
          <cell r="J794" t="str">
            <v>EQUIPMENT ROOM</v>
          </cell>
          <cell r="K794" t="str">
            <v>BMED</v>
          </cell>
          <cell r="L794" t="str">
            <v>Normal</v>
          </cell>
          <cell r="M794" t="str">
            <v>Germany</v>
          </cell>
          <cell r="N794" t="str">
            <v>Infusomat</v>
          </cell>
          <cell r="O794" t="str">
            <v>Infusomat Space</v>
          </cell>
          <cell r="P794" t="str">
            <v>211805</v>
          </cell>
          <cell r="Q794" t="str">
            <v>Not Applicable</v>
          </cell>
          <cell r="R794" t="str">
            <v>B Braun Melsungen AG</v>
          </cell>
          <cell r="S794" t="str">
            <v>B Braun Medical Supplies Sdn. Bhd.</v>
          </cell>
          <cell r="T794" t="str">
            <v>Functioning</v>
          </cell>
          <cell r="U794" t="str">
            <v>Asset</v>
          </cell>
          <cell r="V794">
            <v>10825</v>
          </cell>
          <cell r="W794" t="str">
            <v>KEW</v>
          </cell>
          <cell r="X794" t="str">
            <v>01/09/2010</v>
          </cell>
          <cell r="Y794" t="str">
            <v>KEW</v>
          </cell>
          <cell r="Z794" t="str">
            <v>16/08/2013</v>
          </cell>
          <cell r="AA794" t="str">
            <v>15/08/2015</v>
          </cell>
          <cell r="AB794" t="str">
            <v>No</v>
          </cell>
          <cell r="AC794" t="str">
            <v>31/08/2013</v>
          </cell>
          <cell r="AD794" t="str">
            <v>Good</v>
          </cell>
          <cell r="AE794" t="str">
            <v>V1 - Existing / No Claim</v>
          </cell>
          <cell r="AF794">
            <v>42235</v>
          </cell>
          <cell r="AG794">
            <v>9.17</v>
          </cell>
          <cell r="AH794" t="str">
            <v>PPM</v>
          </cell>
          <cell r="AI794" t="str">
            <v>Strands</v>
          </cell>
          <cell r="AJ794" t="str">
            <v>Strands PW</v>
          </cell>
        </row>
        <row r="795">
          <cell r="A795" t="str">
            <v>IKN400331</v>
          </cell>
          <cell r="B795">
            <v>331</v>
          </cell>
          <cell r="C795" t="str">
            <v>Institut Kanser Negara</v>
          </cell>
          <cell r="D795" t="str">
            <v>KKM/IKN/H/13/2466</v>
          </cell>
          <cell r="E795" t="str">
            <v>13-215</v>
          </cell>
          <cell r="F795" t="str">
            <v>Infusion Pumps, General-Purpose</v>
          </cell>
          <cell r="G795" t="str">
            <v>WF</v>
          </cell>
          <cell r="H795" t="str">
            <v>RT/ONCO WARD 2 (F)</v>
          </cell>
          <cell r="I795" t="str">
            <v>07WF121</v>
          </cell>
          <cell r="J795" t="str">
            <v>EQUIPMENT ROOM</v>
          </cell>
          <cell r="K795" t="str">
            <v>BMED</v>
          </cell>
          <cell r="L795" t="str">
            <v>Critical</v>
          </cell>
          <cell r="M795" t="str">
            <v>Germany</v>
          </cell>
          <cell r="N795" t="str">
            <v>Infusomat</v>
          </cell>
          <cell r="O795" t="str">
            <v>Infusomat Space</v>
          </cell>
          <cell r="P795" t="str">
            <v>211837</v>
          </cell>
          <cell r="Q795" t="str">
            <v>Not Applicable</v>
          </cell>
          <cell r="R795" t="str">
            <v>B Braun Melsungen AG</v>
          </cell>
          <cell r="S795" t="str">
            <v>B Braun Medical Supplies Sdn. Bhd.</v>
          </cell>
          <cell r="T795" t="str">
            <v>Functioning</v>
          </cell>
          <cell r="U795" t="str">
            <v>Asset</v>
          </cell>
          <cell r="V795">
            <v>10825</v>
          </cell>
          <cell r="W795" t="str">
            <v>KEW</v>
          </cell>
          <cell r="X795" t="str">
            <v>01/09/2010</v>
          </cell>
          <cell r="Y795" t="str">
            <v>KEW</v>
          </cell>
          <cell r="Z795" t="str">
            <v>16/08/2013</v>
          </cell>
          <cell r="AA795" t="str">
            <v>15/08/2015</v>
          </cell>
          <cell r="AB795" t="str">
            <v>No</v>
          </cell>
          <cell r="AC795" t="str">
            <v>31/08/2013</v>
          </cell>
          <cell r="AD795" t="str">
            <v>Good</v>
          </cell>
          <cell r="AE795" t="str">
            <v>V1 - Existing / No Claim</v>
          </cell>
          <cell r="AF795">
            <v>42788</v>
          </cell>
          <cell r="AG795">
            <v>9.17</v>
          </cell>
          <cell r="AH795" t="str">
            <v>PPM</v>
          </cell>
          <cell r="AI795" t="str">
            <v>Strands</v>
          </cell>
          <cell r="AJ795" t="str">
            <v>Strands PW</v>
          </cell>
        </row>
        <row r="796">
          <cell r="A796" t="str">
            <v>IKN400332</v>
          </cell>
          <cell r="B796">
            <v>332</v>
          </cell>
          <cell r="C796" t="str">
            <v>Institut Kanser Negara</v>
          </cell>
          <cell r="D796" t="str">
            <v>KKM/IKN/H/13/2473</v>
          </cell>
          <cell r="E796" t="str">
            <v>13-215</v>
          </cell>
          <cell r="F796" t="str">
            <v>Infusion Pumps, General-Purpose</v>
          </cell>
          <cell r="G796" t="str">
            <v>WF</v>
          </cell>
          <cell r="H796" t="str">
            <v>RT/ONCO WARD 2 (F)</v>
          </cell>
          <cell r="I796" t="str">
            <v>07WF121</v>
          </cell>
          <cell r="J796" t="str">
            <v>EQUIPMENT ROOM</v>
          </cell>
          <cell r="K796" t="str">
            <v>BMED</v>
          </cell>
          <cell r="L796" t="str">
            <v>Critical</v>
          </cell>
          <cell r="M796" t="str">
            <v>Germany</v>
          </cell>
          <cell r="N796" t="str">
            <v>Infusomat</v>
          </cell>
          <cell r="O796" t="str">
            <v>Infusomat Space</v>
          </cell>
          <cell r="P796" t="str">
            <v>211865</v>
          </cell>
          <cell r="Q796" t="str">
            <v>Not Applicable</v>
          </cell>
          <cell r="R796" t="str">
            <v>B Braun Melsungen AG</v>
          </cell>
          <cell r="S796" t="str">
            <v>B Braun Medical Supplies Sdn. Bhd.</v>
          </cell>
          <cell r="T796" t="str">
            <v>Functioning</v>
          </cell>
          <cell r="U796" t="str">
            <v>Asset</v>
          </cell>
          <cell r="V796">
            <v>10825</v>
          </cell>
          <cell r="W796" t="str">
            <v>KEW</v>
          </cell>
          <cell r="X796" t="str">
            <v>01/09/2010</v>
          </cell>
          <cell r="Y796" t="str">
            <v>KEW</v>
          </cell>
          <cell r="Z796" t="str">
            <v>16/08/2013</v>
          </cell>
          <cell r="AA796" t="str">
            <v>15/08/2015</v>
          </cell>
          <cell r="AB796" t="str">
            <v>No</v>
          </cell>
          <cell r="AC796" t="str">
            <v>31/08/2013</v>
          </cell>
          <cell r="AD796" t="str">
            <v>Good</v>
          </cell>
          <cell r="AE796" t="str">
            <v>V1 - Existing / No Claim</v>
          </cell>
          <cell r="AF796">
            <v>42788</v>
          </cell>
          <cell r="AG796">
            <v>9.17</v>
          </cell>
          <cell r="AH796" t="str">
            <v>PPM</v>
          </cell>
          <cell r="AI796" t="str">
            <v>Strands</v>
          </cell>
          <cell r="AJ796" t="str">
            <v>Strands PW</v>
          </cell>
        </row>
        <row r="797">
          <cell r="A797" t="str">
            <v>IKN400333</v>
          </cell>
          <cell r="B797">
            <v>333</v>
          </cell>
          <cell r="C797" t="str">
            <v>Institut Kanser Negara</v>
          </cell>
          <cell r="D797" t="str">
            <v>KKM/IKN/H/13/2477</v>
          </cell>
          <cell r="E797" t="str">
            <v>13-215</v>
          </cell>
          <cell r="F797" t="str">
            <v>Infusion Pumps, General-Purpose</v>
          </cell>
          <cell r="G797" t="str">
            <v>WF</v>
          </cell>
          <cell r="H797" t="str">
            <v>RT/ONCO WARD 2 (F)</v>
          </cell>
          <cell r="I797" t="str">
            <v>07WF121</v>
          </cell>
          <cell r="J797" t="str">
            <v>EQUIPMENT ROOM</v>
          </cell>
          <cell r="K797" t="str">
            <v>BMED</v>
          </cell>
          <cell r="L797" t="str">
            <v>Critical</v>
          </cell>
          <cell r="M797" t="str">
            <v>Germany</v>
          </cell>
          <cell r="N797" t="str">
            <v>Infusomat</v>
          </cell>
          <cell r="O797" t="str">
            <v>Infusomat Space</v>
          </cell>
          <cell r="P797" t="str">
            <v>211868</v>
          </cell>
          <cell r="Q797" t="str">
            <v>Not Applicable</v>
          </cell>
          <cell r="R797" t="str">
            <v>B Braun Melsungen AG</v>
          </cell>
          <cell r="S797" t="str">
            <v>B Braun Medical Supplies Sdn. Bhd.</v>
          </cell>
          <cell r="T797" t="str">
            <v>Functioning</v>
          </cell>
          <cell r="U797" t="str">
            <v>Asset</v>
          </cell>
          <cell r="V797">
            <v>10825</v>
          </cell>
          <cell r="W797" t="str">
            <v>KEW</v>
          </cell>
          <cell r="X797" t="str">
            <v>01/09/2010</v>
          </cell>
          <cell r="Y797" t="str">
            <v>KEW</v>
          </cell>
          <cell r="Z797" t="str">
            <v>16/08/2013</v>
          </cell>
          <cell r="AA797" t="str">
            <v>15/08/2015</v>
          </cell>
          <cell r="AB797" t="str">
            <v>No</v>
          </cell>
          <cell r="AC797" t="str">
            <v>31/08/2013</v>
          </cell>
          <cell r="AD797" t="str">
            <v>Good</v>
          </cell>
          <cell r="AE797" t="str">
            <v>V1 - Existing / No Claim</v>
          </cell>
          <cell r="AF797">
            <v>42788</v>
          </cell>
          <cell r="AG797">
            <v>9.17</v>
          </cell>
          <cell r="AH797" t="str">
            <v>PPM</v>
          </cell>
          <cell r="AI797" t="str">
            <v>Strands</v>
          </cell>
          <cell r="AJ797" t="str">
            <v>Strands PW</v>
          </cell>
        </row>
        <row r="798">
          <cell r="A798" t="str">
            <v>IKN400334</v>
          </cell>
          <cell r="B798">
            <v>334</v>
          </cell>
          <cell r="C798" t="str">
            <v>Institut Kanser Negara</v>
          </cell>
          <cell r="D798" t="str">
            <v>KKM/IKN/H/13/2469</v>
          </cell>
          <cell r="E798" t="str">
            <v>13-215</v>
          </cell>
          <cell r="F798" t="str">
            <v>Infusion Pumps, General-Purpose</v>
          </cell>
          <cell r="G798" t="str">
            <v>WF</v>
          </cell>
          <cell r="H798" t="str">
            <v>RT/ONCO WARD 2 (F)</v>
          </cell>
          <cell r="I798" t="str">
            <v>07WF121</v>
          </cell>
          <cell r="J798" t="str">
            <v>EQUIPMENT ROOM</v>
          </cell>
          <cell r="K798" t="str">
            <v>BMED</v>
          </cell>
          <cell r="L798" t="str">
            <v>Critical</v>
          </cell>
          <cell r="M798" t="str">
            <v>Germany</v>
          </cell>
          <cell r="N798" t="str">
            <v>Infusomat</v>
          </cell>
          <cell r="O798" t="str">
            <v>Infusomat Space</v>
          </cell>
          <cell r="P798" t="str">
            <v>211883</v>
          </cell>
          <cell r="Q798" t="str">
            <v>Not Applicable</v>
          </cell>
          <cell r="R798" t="str">
            <v>B Braun Melsungen AG</v>
          </cell>
          <cell r="S798" t="str">
            <v>B Braun Medical Supplies Sdn. Bhd.</v>
          </cell>
          <cell r="T798" t="str">
            <v>Functioning</v>
          </cell>
          <cell r="U798" t="str">
            <v>Asset</v>
          </cell>
          <cell r="V798">
            <v>10825</v>
          </cell>
          <cell r="W798" t="str">
            <v>KEW</v>
          </cell>
          <cell r="X798" t="str">
            <v>01/09/2010</v>
          </cell>
          <cell r="Y798" t="str">
            <v>KEW</v>
          </cell>
          <cell r="Z798" t="str">
            <v>16/08/2013</v>
          </cell>
          <cell r="AA798" t="str">
            <v>15/08/2015</v>
          </cell>
          <cell r="AB798" t="str">
            <v>No</v>
          </cell>
          <cell r="AC798" t="str">
            <v>31/08/2013</v>
          </cell>
          <cell r="AD798" t="str">
            <v>Good</v>
          </cell>
          <cell r="AE798" t="str">
            <v>V1 - Existing / No Claim</v>
          </cell>
          <cell r="AF798">
            <v>42788</v>
          </cell>
          <cell r="AG798">
            <v>9.17</v>
          </cell>
          <cell r="AH798" t="str">
            <v>PPM</v>
          </cell>
          <cell r="AI798" t="str">
            <v>Strands</v>
          </cell>
          <cell r="AJ798" t="str">
            <v>Strands PW</v>
          </cell>
        </row>
        <row r="799">
          <cell r="A799" t="str">
            <v>IKN400335</v>
          </cell>
          <cell r="B799">
            <v>335</v>
          </cell>
          <cell r="C799" t="str">
            <v>Institut Kanser Negara</v>
          </cell>
          <cell r="D799" t="str">
            <v>KKM/IKN/H/13/2475</v>
          </cell>
          <cell r="E799" t="str">
            <v>13-215</v>
          </cell>
          <cell r="F799" t="str">
            <v>Infusion Pumps, General-Purpose</v>
          </cell>
          <cell r="G799" t="str">
            <v>WF</v>
          </cell>
          <cell r="H799" t="str">
            <v>RT/ONCO WARD 2 (F)</v>
          </cell>
          <cell r="I799" t="str">
            <v>07WF121</v>
          </cell>
          <cell r="J799" t="str">
            <v>EQUIPMENT ROOM</v>
          </cell>
          <cell r="K799" t="str">
            <v>BMED</v>
          </cell>
          <cell r="L799" t="str">
            <v>Critical</v>
          </cell>
          <cell r="M799" t="str">
            <v>Germany</v>
          </cell>
          <cell r="N799" t="str">
            <v>Infusomat</v>
          </cell>
          <cell r="O799" t="str">
            <v>Infusomat Space</v>
          </cell>
          <cell r="P799" t="str">
            <v>211939</v>
          </cell>
          <cell r="Q799" t="str">
            <v>Not Applicable</v>
          </cell>
          <cell r="R799" t="str">
            <v>B Braun Melsungen AG</v>
          </cell>
          <cell r="S799" t="str">
            <v>B Braun Medical Supplies Sdn. Bhd.</v>
          </cell>
          <cell r="T799" t="str">
            <v>Functioning</v>
          </cell>
          <cell r="U799" t="str">
            <v>Asset</v>
          </cell>
          <cell r="V799">
            <v>10825</v>
          </cell>
          <cell r="W799" t="str">
            <v>KEW</v>
          </cell>
          <cell r="X799" t="str">
            <v>01/09/2010</v>
          </cell>
          <cell r="Y799" t="str">
            <v>KEW</v>
          </cell>
          <cell r="Z799" t="str">
            <v>16/08/2013</v>
          </cell>
          <cell r="AA799" t="str">
            <v>15/08/2015</v>
          </cell>
          <cell r="AB799" t="str">
            <v>No</v>
          </cell>
          <cell r="AC799" t="str">
            <v>31/08/2013</v>
          </cell>
          <cell r="AD799" t="str">
            <v>Good</v>
          </cell>
          <cell r="AE799" t="str">
            <v>V1 - Existing / No Claim</v>
          </cell>
          <cell r="AF799">
            <v>42788</v>
          </cell>
          <cell r="AG799">
            <v>9.17</v>
          </cell>
          <cell r="AH799" t="str">
            <v>PPM</v>
          </cell>
          <cell r="AI799" t="str">
            <v>Strands</v>
          </cell>
          <cell r="AJ799" t="str">
            <v>Strands PW</v>
          </cell>
        </row>
        <row r="800">
          <cell r="A800" t="str">
            <v>IKN400336</v>
          </cell>
          <cell r="B800">
            <v>336</v>
          </cell>
          <cell r="C800" t="str">
            <v>Institut Kanser Negara</v>
          </cell>
          <cell r="D800" t="str">
            <v>KKM/IKN/H/13/2468</v>
          </cell>
          <cell r="E800" t="str">
            <v>13-215</v>
          </cell>
          <cell r="F800" t="str">
            <v>Infusion Pumps, General-Purpose</v>
          </cell>
          <cell r="G800" t="str">
            <v>WF</v>
          </cell>
          <cell r="H800" t="str">
            <v>RT/ONCO WARD 2 (F)</v>
          </cell>
          <cell r="I800" t="str">
            <v>07WF121</v>
          </cell>
          <cell r="J800" t="str">
            <v>EQUIPMENT ROOM</v>
          </cell>
          <cell r="K800" t="str">
            <v>BMED</v>
          </cell>
          <cell r="L800" t="str">
            <v>Critical</v>
          </cell>
          <cell r="M800" t="str">
            <v>Germany</v>
          </cell>
          <cell r="N800" t="str">
            <v>Infusomat</v>
          </cell>
          <cell r="O800" t="str">
            <v>Infusomat Space</v>
          </cell>
          <cell r="P800" t="str">
            <v>212001</v>
          </cell>
          <cell r="Q800" t="str">
            <v>Not Applicable</v>
          </cell>
          <cell r="R800" t="str">
            <v>B Braun Melsungen AG</v>
          </cell>
          <cell r="S800" t="str">
            <v>B Braun Medical Supplies Sdn. Bhd.</v>
          </cell>
          <cell r="T800" t="str">
            <v>Functioning</v>
          </cell>
          <cell r="U800" t="str">
            <v>Asset</v>
          </cell>
          <cell r="V800">
            <v>10825</v>
          </cell>
          <cell r="W800" t="str">
            <v>KEW</v>
          </cell>
          <cell r="X800" t="str">
            <v>01/09/2010</v>
          </cell>
          <cell r="Y800" t="str">
            <v>KEW</v>
          </cell>
          <cell r="Z800" t="str">
            <v>16/08/2013</v>
          </cell>
          <cell r="AA800" t="str">
            <v>15/08/2015</v>
          </cell>
          <cell r="AB800" t="str">
            <v>No</v>
          </cell>
          <cell r="AC800" t="str">
            <v>31/08/2013</v>
          </cell>
          <cell r="AD800" t="str">
            <v>Good</v>
          </cell>
          <cell r="AE800" t="str">
            <v>V1 - Existing / No Claim</v>
          </cell>
          <cell r="AF800">
            <v>42788</v>
          </cell>
          <cell r="AG800">
            <v>9.17</v>
          </cell>
          <cell r="AH800" t="str">
            <v>PPM</v>
          </cell>
          <cell r="AI800" t="str">
            <v>Strands</v>
          </cell>
          <cell r="AJ800" t="str">
            <v>Strands PW</v>
          </cell>
        </row>
        <row r="801">
          <cell r="A801" t="str">
            <v>IKN400337</v>
          </cell>
          <cell r="B801">
            <v>337</v>
          </cell>
          <cell r="C801" t="str">
            <v>Institut Kanser Negara</v>
          </cell>
          <cell r="D801" t="str">
            <v>KKM/IKN/H/13/2465</v>
          </cell>
          <cell r="E801" t="str">
            <v>13-215</v>
          </cell>
          <cell r="F801" t="str">
            <v>Infusion Pumps, General-Purpose</v>
          </cell>
          <cell r="G801" t="str">
            <v>WF</v>
          </cell>
          <cell r="H801" t="str">
            <v>RT/ONCO WARD 2 (F)</v>
          </cell>
          <cell r="I801" t="str">
            <v>07WF121</v>
          </cell>
          <cell r="J801" t="str">
            <v>EQUIPMENT ROOM</v>
          </cell>
          <cell r="K801" t="str">
            <v>BMED</v>
          </cell>
          <cell r="L801" t="str">
            <v>Critical</v>
          </cell>
          <cell r="M801" t="str">
            <v>Germany</v>
          </cell>
          <cell r="N801" t="str">
            <v>Infusomat</v>
          </cell>
          <cell r="O801" t="str">
            <v>Infusomat Space</v>
          </cell>
          <cell r="P801" t="str">
            <v>212093</v>
          </cell>
          <cell r="Q801" t="str">
            <v>Not Applicable</v>
          </cell>
          <cell r="R801" t="str">
            <v>B Braun Melsungen AG</v>
          </cell>
          <cell r="S801" t="str">
            <v>B Braun Medical Supplies Sdn. Bhd.</v>
          </cell>
          <cell r="T801" t="str">
            <v>Functioning</v>
          </cell>
          <cell r="U801" t="str">
            <v>Asset</v>
          </cell>
          <cell r="V801">
            <v>10825</v>
          </cell>
          <cell r="W801" t="str">
            <v>KEW</v>
          </cell>
          <cell r="X801" t="str">
            <v>01/09/2010</v>
          </cell>
          <cell r="Y801" t="str">
            <v>KEW</v>
          </cell>
          <cell r="Z801" t="str">
            <v>16/08/2013</v>
          </cell>
          <cell r="AA801" t="str">
            <v>15/08/2015</v>
          </cell>
          <cell r="AB801" t="str">
            <v>No</v>
          </cell>
          <cell r="AC801" t="str">
            <v>31/08/2013</v>
          </cell>
          <cell r="AD801" t="str">
            <v>Good</v>
          </cell>
          <cell r="AE801" t="str">
            <v>V1 - Existing / No Claim</v>
          </cell>
          <cell r="AF801">
            <v>42788</v>
          </cell>
          <cell r="AG801">
            <v>9.17</v>
          </cell>
          <cell r="AH801" t="str">
            <v>PPM</v>
          </cell>
          <cell r="AI801" t="str">
            <v>Strands</v>
          </cell>
          <cell r="AJ801" t="str">
            <v>Strands PW</v>
          </cell>
        </row>
        <row r="802">
          <cell r="A802" t="str">
            <v>IKN400338</v>
          </cell>
          <cell r="B802">
            <v>338</v>
          </cell>
          <cell r="C802" t="str">
            <v>Institut Kanser Negara</v>
          </cell>
          <cell r="D802" t="str">
            <v>KKM/IKN/H/13/2481</v>
          </cell>
          <cell r="E802" t="str">
            <v>18-147</v>
          </cell>
          <cell r="F802" t="str">
            <v>Mattress Systems, Alternating-Pressure</v>
          </cell>
          <cell r="G802" t="str">
            <v>WF</v>
          </cell>
          <cell r="H802" t="str">
            <v>RT/ONCO WARD 2 (F)</v>
          </cell>
          <cell r="I802" t="str">
            <v>07WF121</v>
          </cell>
          <cell r="J802" t="str">
            <v>EQUIPMENT ROOM</v>
          </cell>
          <cell r="K802" t="str">
            <v>BMED</v>
          </cell>
          <cell r="L802" t="str">
            <v>Normal</v>
          </cell>
          <cell r="M802" t="str">
            <v>Poland</v>
          </cell>
          <cell r="N802" t="str">
            <v>Nimbus</v>
          </cell>
          <cell r="O802" t="str">
            <v>Nimbus 3</v>
          </cell>
          <cell r="P802" t="str">
            <v>1200006454</v>
          </cell>
          <cell r="Q802" t="str">
            <v>Not Applicable</v>
          </cell>
          <cell r="R802" t="str">
            <v>Arjohuntleigh</v>
          </cell>
          <cell r="S802" t="str">
            <v>Hexamine Sdn. Bhd.</v>
          </cell>
          <cell r="T802" t="str">
            <v>Functioning</v>
          </cell>
          <cell r="U802" t="str">
            <v>Asset</v>
          </cell>
          <cell r="V802">
            <v>28630</v>
          </cell>
          <cell r="W802" t="str">
            <v>KEW</v>
          </cell>
          <cell r="X802" t="str">
            <v>01/09/2010</v>
          </cell>
          <cell r="Y802" t="str">
            <v>KEW</v>
          </cell>
          <cell r="Z802" t="str">
            <v>16/08/2013</v>
          </cell>
          <cell r="AA802" t="str">
            <v>15/08/2015</v>
          </cell>
          <cell r="AB802" t="str">
            <v>No</v>
          </cell>
          <cell r="AC802" t="str">
            <v>31/08/2013</v>
          </cell>
          <cell r="AD802" t="str">
            <v>Good</v>
          </cell>
          <cell r="AE802" t="str">
            <v>V3 - Added Installed Facilities (New)</v>
          </cell>
          <cell r="AF802">
            <v>42235</v>
          </cell>
          <cell r="AG802">
            <v>9.17</v>
          </cell>
          <cell r="AH802" t="str">
            <v>PPM</v>
          </cell>
          <cell r="AI802" t="str">
            <v>Strands</v>
          </cell>
          <cell r="AJ802" t="str">
            <v>Strands PW</v>
          </cell>
          <cell r="AK802" t="str">
            <v>SNF received. 1st batch of V3 asset (December 2020)</v>
          </cell>
        </row>
        <row r="803">
          <cell r="A803" t="str">
            <v>IKN400339</v>
          </cell>
          <cell r="B803">
            <v>339</v>
          </cell>
          <cell r="C803" t="str">
            <v>Institut Kanser Negara</v>
          </cell>
          <cell r="D803" t="str">
            <v>KKM/IKN/H/13/2494</v>
          </cell>
          <cell r="E803" t="str">
            <v>18-147</v>
          </cell>
          <cell r="F803" t="str">
            <v>Mattress Systems, Alternating-Pressure</v>
          </cell>
          <cell r="G803" t="str">
            <v>WF</v>
          </cell>
          <cell r="H803" t="str">
            <v>RT/ONCO WARD 2 (F)</v>
          </cell>
          <cell r="I803" t="str">
            <v>07WF121</v>
          </cell>
          <cell r="J803" t="str">
            <v>EQUIPMENT ROOM</v>
          </cell>
          <cell r="K803" t="str">
            <v>BMED</v>
          </cell>
          <cell r="L803" t="str">
            <v>Normal</v>
          </cell>
          <cell r="M803" t="str">
            <v>Poland</v>
          </cell>
          <cell r="N803" t="str">
            <v>Nimbus</v>
          </cell>
          <cell r="O803" t="str">
            <v>Nimbus 3</v>
          </cell>
          <cell r="P803" t="str">
            <v>1200018809</v>
          </cell>
          <cell r="Q803" t="str">
            <v>Not Applicable</v>
          </cell>
          <cell r="R803" t="str">
            <v>Arjohuntleigh</v>
          </cell>
          <cell r="S803" t="str">
            <v>Hexamine Sdn. Bhd.</v>
          </cell>
          <cell r="T803" t="str">
            <v>Functioning</v>
          </cell>
          <cell r="U803" t="str">
            <v>Asset</v>
          </cell>
          <cell r="V803">
            <v>28630</v>
          </cell>
          <cell r="W803" t="str">
            <v>KEW</v>
          </cell>
          <cell r="X803" t="str">
            <v>01/09/2010</v>
          </cell>
          <cell r="Y803" t="str">
            <v>KEW</v>
          </cell>
          <cell r="Z803" t="str">
            <v>16/08/2013</v>
          </cell>
          <cell r="AA803" t="str">
            <v>15/08/2015</v>
          </cell>
          <cell r="AB803" t="str">
            <v>No</v>
          </cell>
          <cell r="AC803" t="str">
            <v>31/08/2013</v>
          </cell>
          <cell r="AD803" t="str">
            <v>Good</v>
          </cell>
          <cell r="AE803" t="str">
            <v>V3 - Added Installed Facilities (New)</v>
          </cell>
          <cell r="AF803">
            <v>42235</v>
          </cell>
          <cell r="AG803">
            <v>9.17</v>
          </cell>
          <cell r="AH803" t="str">
            <v>PPM</v>
          </cell>
          <cell r="AI803" t="str">
            <v>Strands</v>
          </cell>
          <cell r="AJ803" t="str">
            <v>Strands PW</v>
          </cell>
          <cell r="AK803" t="str">
            <v>SNF received. 1st batch of V3 asset (December 2020)</v>
          </cell>
        </row>
        <row r="804">
          <cell r="A804" t="str">
            <v>IKN400340</v>
          </cell>
          <cell r="B804">
            <v>340</v>
          </cell>
          <cell r="C804" t="str">
            <v>Institut Kanser Negara</v>
          </cell>
          <cell r="D804" t="str">
            <v>KKM/IKN/H/13/2490</v>
          </cell>
          <cell r="E804" t="str">
            <v>18-147</v>
          </cell>
          <cell r="F804" t="str">
            <v>Mattress Systems, Alternating-Pressure</v>
          </cell>
          <cell r="G804" t="str">
            <v>WF</v>
          </cell>
          <cell r="H804" t="str">
            <v>RT/ONCO WARD 2 (F)</v>
          </cell>
          <cell r="I804" t="str">
            <v>07WF121</v>
          </cell>
          <cell r="J804" t="str">
            <v>EQUIPMENT ROOM</v>
          </cell>
          <cell r="K804" t="str">
            <v>BMED</v>
          </cell>
          <cell r="L804" t="str">
            <v>Normal</v>
          </cell>
          <cell r="M804" t="str">
            <v>Poland</v>
          </cell>
          <cell r="N804" t="str">
            <v>Nimbus</v>
          </cell>
          <cell r="O804" t="str">
            <v>Nimbus 3</v>
          </cell>
          <cell r="P804" t="str">
            <v>1200006458</v>
          </cell>
          <cell r="Q804" t="str">
            <v>Not Applicable</v>
          </cell>
          <cell r="R804" t="str">
            <v>Arjohuntleigh</v>
          </cell>
          <cell r="S804" t="str">
            <v>Hexamine Sdn. Bhd.</v>
          </cell>
          <cell r="T804" t="str">
            <v>Functioning</v>
          </cell>
          <cell r="U804" t="str">
            <v>Asset</v>
          </cell>
          <cell r="V804">
            <v>28630</v>
          </cell>
          <cell r="W804" t="str">
            <v>KEW</v>
          </cell>
          <cell r="X804" t="str">
            <v>01/09/2010</v>
          </cell>
          <cell r="Y804" t="str">
            <v>KEW</v>
          </cell>
          <cell r="Z804" t="str">
            <v>16/08/2013</v>
          </cell>
          <cell r="AA804" t="str">
            <v>15/08/2015</v>
          </cell>
          <cell r="AB804" t="str">
            <v>No</v>
          </cell>
          <cell r="AC804" t="str">
            <v>31/08/2013</v>
          </cell>
          <cell r="AD804" t="str">
            <v>Good</v>
          </cell>
          <cell r="AE804" t="str">
            <v>V3 - Added Installed Facilities (New)</v>
          </cell>
          <cell r="AF804">
            <v>42235</v>
          </cell>
          <cell r="AG804">
            <v>9.17</v>
          </cell>
          <cell r="AH804" t="str">
            <v>PPM</v>
          </cell>
          <cell r="AI804" t="str">
            <v>Strands</v>
          </cell>
          <cell r="AJ804" t="str">
            <v>Strands PW</v>
          </cell>
          <cell r="AK804" t="str">
            <v>SNF received. 1st batch of V3 asset (December 2020)</v>
          </cell>
        </row>
        <row r="805">
          <cell r="A805" t="str">
            <v>IKN400341</v>
          </cell>
          <cell r="B805">
            <v>341</v>
          </cell>
          <cell r="C805" t="str">
            <v>Institut Kanser Negara</v>
          </cell>
          <cell r="D805" t="str">
            <v>KKM/IKN/H/13/2482</v>
          </cell>
          <cell r="E805" t="str">
            <v>18-147</v>
          </cell>
          <cell r="F805" t="str">
            <v>Mattress Systems, Alternating-Pressure</v>
          </cell>
          <cell r="G805" t="str">
            <v>WF</v>
          </cell>
          <cell r="H805" t="str">
            <v>RT/ONCO WARD 2 (F)</v>
          </cell>
          <cell r="I805" t="str">
            <v>07WF121</v>
          </cell>
          <cell r="J805" t="str">
            <v>EQUIPMENT ROOM</v>
          </cell>
          <cell r="K805" t="str">
            <v>BMED</v>
          </cell>
          <cell r="L805" t="str">
            <v>Normal</v>
          </cell>
          <cell r="M805" t="str">
            <v>Poland</v>
          </cell>
          <cell r="N805" t="str">
            <v>Nimbus</v>
          </cell>
          <cell r="O805" t="str">
            <v>Nimbus 3</v>
          </cell>
          <cell r="P805" t="str">
            <v>1200035125</v>
          </cell>
          <cell r="Q805" t="str">
            <v>Not Applicable</v>
          </cell>
          <cell r="R805" t="str">
            <v>Arjohuntleigh</v>
          </cell>
          <cell r="S805" t="str">
            <v>Hexamine Sdn. Bhd.</v>
          </cell>
          <cell r="T805" t="str">
            <v>Functioning</v>
          </cell>
          <cell r="U805" t="str">
            <v>Asset</v>
          </cell>
          <cell r="V805">
            <v>28630</v>
          </cell>
          <cell r="W805" t="str">
            <v>KEW</v>
          </cell>
          <cell r="X805" t="str">
            <v>01/09/2010</v>
          </cell>
          <cell r="Y805" t="str">
            <v>KEW</v>
          </cell>
          <cell r="Z805" t="str">
            <v>16/08/2013</v>
          </cell>
          <cell r="AA805" t="str">
            <v>15/08/2015</v>
          </cell>
          <cell r="AB805" t="str">
            <v>No</v>
          </cell>
          <cell r="AC805" t="str">
            <v>31/08/2013</v>
          </cell>
          <cell r="AD805" t="str">
            <v>Good</v>
          </cell>
          <cell r="AE805" t="str">
            <v>V3 - Added Installed Facilities (New)</v>
          </cell>
          <cell r="AF805">
            <v>42235</v>
          </cell>
          <cell r="AG805">
            <v>9.17</v>
          </cell>
          <cell r="AH805" t="str">
            <v>PPM</v>
          </cell>
          <cell r="AI805" t="str">
            <v>Strands</v>
          </cell>
          <cell r="AJ805" t="str">
            <v>Strands PW</v>
          </cell>
          <cell r="AK805" t="str">
            <v>SNF received. 1st batch of V3 asset (December 2020)</v>
          </cell>
        </row>
        <row r="806">
          <cell r="A806" t="str">
            <v>IKN400342</v>
          </cell>
          <cell r="B806">
            <v>342</v>
          </cell>
          <cell r="C806" t="str">
            <v>Institut Kanser Negara</v>
          </cell>
          <cell r="D806" t="str">
            <v>KKM/IKN/H/13/2487</v>
          </cell>
          <cell r="E806" t="str">
            <v>18-147</v>
          </cell>
          <cell r="F806" t="str">
            <v>Mattress Systems, Alternating-Pressure</v>
          </cell>
          <cell r="G806" t="str">
            <v>WF</v>
          </cell>
          <cell r="H806" t="str">
            <v>RT/ONCO WARD 2 (F)</v>
          </cell>
          <cell r="I806" t="str">
            <v>07WF121</v>
          </cell>
          <cell r="J806" t="str">
            <v>EQUIPMENT ROOM</v>
          </cell>
          <cell r="K806" t="str">
            <v>BMED</v>
          </cell>
          <cell r="L806" t="str">
            <v>Normal</v>
          </cell>
          <cell r="M806" t="str">
            <v>Poland</v>
          </cell>
          <cell r="N806" t="str">
            <v>Nimbus</v>
          </cell>
          <cell r="O806" t="str">
            <v>Nimbus 3</v>
          </cell>
          <cell r="P806" t="str">
            <v>1200035190</v>
          </cell>
          <cell r="Q806" t="str">
            <v>Not Applicable</v>
          </cell>
          <cell r="R806" t="str">
            <v>Arjohuntleigh</v>
          </cell>
          <cell r="S806" t="str">
            <v>Hexamine Sdn. Bhd.</v>
          </cell>
          <cell r="T806" t="str">
            <v>Functioning</v>
          </cell>
          <cell r="U806" t="str">
            <v>Asset</v>
          </cell>
          <cell r="V806">
            <v>28630</v>
          </cell>
          <cell r="W806" t="str">
            <v>KEW</v>
          </cell>
          <cell r="X806" t="str">
            <v>01/09/2010</v>
          </cell>
          <cell r="Y806" t="str">
            <v>KEW</v>
          </cell>
          <cell r="Z806" t="str">
            <v>16/08/2013</v>
          </cell>
          <cell r="AA806" t="str">
            <v>15/08/2015</v>
          </cell>
          <cell r="AB806" t="str">
            <v>No</v>
          </cell>
          <cell r="AC806" t="str">
            <v>31/08/2013</v>
          </cell>
          <cell r="AD806" t="str">
            <v>Good</v>
          </cell>
          <cell r="AE806" t="str">
            <v>V3 - Added Installed Facilities (New)</v>
          </cell>
          <cell r="AF806">
            <v>42235</v>
          </cell>
          <cell r="AG806">
            <v>9.17</v>
          </cell>
          <cell r="AH806" t="str">
            <v>PPM</v>
          </cell>
          <cell r="AI806" t="str">
            <v>Strands</v>
          </cell>
          <cell r="AJ806" t="str">
            <v>Strands PW</v>
          </cell>
          <cell r="AK806" t="str">
            <v>SNF received. 1st batch of V3 asset (December 2020)</v>
          </cell>
        </row>
        <row r="807">
          <cell r="A807" t="str">
            <v>IKN400343</v>
          </cell>
          <cell r="B807">
            <v>343</v>
          </cell>
          <cell r="C807" t="str">
            <v>Institut Kanser Negara</v>
          </cell>
          <cell r="D807" t="str">
            <v>KKM/IKN/H/13/2492</v>
          </cell>
          <cell r="E807" t="str">
            <v>18-147</v>
          </cell>
          <cell r="F807" t="str">
            <v>Mattress Systems, Alternating-Pressure</v>
          </cell>
          <cell r="G807" t="str">
            <v>WF</v>
          </cell>
          <cell r="H807" t="str">
            <v>RT/ONCO WARD 2 (F)</v>
          </cell>
          <cell r="I807" t="str">
            <v>07WF121</v>
          </cell>
          <cell r="J807" t="str">
            <v>EQUIPMENT ROOM</v>
          </cell>
          <cell r="K807" t="str">
            <v>BMED</v>
          </cell>
          <cell r="L807" t="str">
            <v>Normal</v>
          </cell>
          <cell r="M807" t="str">
            <v>Poland</v>
          </cell>
          <cell r="N807" t="str">
            <v>Nimbus</v>
          </cell>
          <cell r="O807" t="str">
            <v>Nimbus 3</v>
          </cell>
          <cell r="P807" t="str">
            <v>1200035121</v>
          </cell>
          <cell r="Q807" t="str">
            <v>Not Applicable</v>
          </cell>
          <cell r="R807" t="str">
            <v>Arjohuntleigh</v>
          </cell>
          <cell r="S807" t="str">
            <v>Hexamine Sdn. Bhd.</v>
          </cell>
          <cell r="T807" t="str">
            <v>Functioning</v>
          </cell>
          <cell r="U807" t="str">
            <v>Asset</v>
          </cell>
          <cell r="V807">
            <v>28630</v>
          </cell>
          <cell r="W807" t="str">
            <v>KEW</v>
          </cell>
          <cell r="X807" t="str">
            <v>01/09/2010</v>
          </cell>
          <cell r="Y807" t="str">
            <v>KEW</v>
          </cell>
          <cell r="Z807" t="str">
            <v>16/08/2013</v>
          </cell>
          <cell r="AA807" t="str">
            <v>15/08/2015</v>
          </cell>
          <cell r="AB807" t="str">
            <v>No</v>
          </cell>
          <cell r="AC807" t="str">
            <v>31/08/2013</v>
          </cell>
          <cell r="AD807" t="str">
            <v>Good</v>
          </cell>
          <cell r="AE807" t="str">
            <v>V3 - Added Installed Facilities (New)</v>
          </cell>
          <cell r="AF807">
            <v>42235</v>
          </cell>
          <cell r="AG807">
            <v>9.17</v>
          </cell>
          <cell r="AH807" t="str">
            <v>PPM</v>
          </cell>
          <cell r="AI807" t="str">
            <v>Strands</v>
          </cell>
          <cell r="AJ807" t="str">
            <v>Strands PW</v>
          </cell>
          <cell r="AK807" t="str">
            <v>SNF received. 1st batch of V3 asset (December 2020)</v>
          </cell>
        </row>
        <row r="808">
          <cell r="A808" t="str">
            <v>IKN400344</v>
          </cell>
          <cell r="B808">
            <v>344</v>
          </cell>
          <cell r="C808" t="str">
            <v>Institut Kanser Negara</v>
          </cell>
          <cell r="D808" t="str">
            <v>KKM/IKN/H/13/2527</v>
          </cell>
          <cell r="E808" t="str">
            <v>10-208</v>
          </cell>
          <cell r="F808" t="str">
            <v>Aspirators</v>
          </cell>
          <cell r="G808" t="str">
            <v>WF</v>
          </cell>
          <cell r="H808" t="str">
            <v>RT/ONCO WARD 2 (F)</v>
          </cell>
          <cell r="I808" t="str">
            <v>07WF121</v>
          </cell>
          <cell r="J808" t="str">
            <v>EQUIPMENT ROOM</v>
          </cell>
          <cell r="K808" t="str">
            <v>BMED</v>
          </cell>
          <cell r="L808" t="str">
            <v>Normal</v>
          </cell>
          <cell r="M808" t="str">
            <v>UK</v>
          </cell>
          <cell r="N808" t="str">
            <v>SAM</v>
          </cell>
          <cell r="O808" t="str">
            <v>SAM 427</v>
          </cell>
          <cell r="P808" t="str">
            <v>0313-0530</v>
          </cell>
          <cell r="Q808" t="str">
            <v>Not Applicable</v>
          </cell>
          <cell r="R808" t="str">
            <v>MG Electric Ltd</v>
          </cell>
          <cell r="S808" t="str">
            <v>Delta Medisains</v>
          </cell>
          <cell r="T808" t="str">
            <v>Functioning</v>
          </cell>
          <cell r="U808" t="str">
            <v>Asset</v>
          </cell>
          <cell r="V808">
            <v>10705</v>
          </cell>
          <cell r="W808" t="str">
            <v>KEW</v>
          </cell>
          <cell r="X808" t="str">
            <v>01/09/2010</v>
          </cell>
          <cell r="Y808" t="str">
            <v>KEW</v>
          </cell>
          <cell r="Z808" t="str">
            <v>16/08/2013</v>
          </cell>
          <cell r="AA808" t="str">
            <v>15/08/2015</v>
          </cell>
          <cell r="AB808" t="str">
            <v>No</v>
          </cell>
          <cell r="AC808" t="str">
            <v>31/08/2013</v>
          </cell>
          <cell r="AD808" t="str">
            <v>Good</v>
          </cell>
          <cell r="AE808" t="str">
            <v>V1 - Existing / No Claim</v>
          </cell>
          <cell r="AF808">
            <v>42235</v>
          </cell>
          <cell r="AG808">
            <v>9.17</v>
          </cell>
          <cell r="AH808" t="str">
            <v>PPM</v>
          </cell>
          <cell r="AI808" t="str">
            <v>Strands</v>
          </cell>
          <cell r="AJ808" t="str">
            <v>Strands PW</v>
          </cell>
        </row>
        <row r="809">
          <cell r="A809" t="str">
            <v>IKN400345</v>
          </cell>
          <cell r="B809">
            <v>345</v>
          </cell>
          <cell r="C809" t="str">
            <v>Institut Kanser Negara</v>
          </cell>
          <cell r="D809" t="str">
            <v>KKM/IKN/H/13/2461</v>
          </cell>
          <cell r="E809" t="str">
            <v>17-148</v>
          </cell>
          <cell r="F809" t="str">
            <v>Oximeters, Pulse</v>
          </cell>
          <cell r="G809" t="str">
            <v>WF</v>
          </cell>
          <cell r="H809" t="str">
            <v>RT/ONCO WARD 2 (F)</v>
          </cell>
          <cell r="I809" t="str">
            <v>07WF121</v>
          </cell>
          <cell r="J809" t="str">
            <v>EQUIPMENT ROOM</v>
          </cell>
          <cell r="K809" t="str">
            <v>BMED</v>
          </cell>
          <cell r="L809" t="str">
            <v>Normal</v>
          </cell>
          <cell r="M809" t="str">
            <v>USA</v>
          </cell>
          <cell r="N809" t="str">
            <v>PalmSat</v>
          </cell>
          <cell r="O809" t="str">
            <v>PalmSat 2500</v>
          </cell>
          <cell r="P809" t="str">
            <v>501439255</v>
          </cell>
          <cell r="Q809" t="str">
            <v>Not Applicable</v>
          </cell>
          <cell r="R809" t="str">
            <v>Nonin Medical Inc</v>
          </cell>
          <cell r="S809" t="str">
            <v>Acucare Systems (M) Sdn bhd</v>
          </cell>
          <cell r="T809" t="str">
            <v>Functioning</v>
          </cell>
          <cell r="U809" t="str">
            <v>Asset</v>
          </cell>
          <cell r="V809">
            <v>5410</v>
          </cell>
          <cell r="W809" t="str">
            <v>KEW</v>
          </cell>
          <cell r="X809" t="str">
            <v>01/09/2010</v>
          </cell>
          <cell r="Y809" t="str">
            <v>KEW</v>
          </cell>
          <cell r="Z809" t="str">
            <v>16/08/2013</v>
          </cell>
          <cell r="AA809" t="str">
            <v>15/08/2015</v>
          </cell>
          <cell r="AB809" t="str">
            <v>No</v>
          </cell>
          <cell r="AC809" t="str">
            <v>31/08/2013</v>
          </cell>
          <cell r="AD809" t="str">
            <v>Good</v>
          </cell>
          <cell r="AE809" t="str">
            <v>V1 - Existing / No Claim</v>
          </cell>
          <cell r="AF809">
            <v>42235</v>
          </cell>
          <cell r="AG809">
            <v>9.17</v>
          </cell>
          <cell r="AH809" t="str">
            <v>PPM</v>
          </cell>
          <cell r="AI809" t="str">
            <v>Strands</v>
          </cell>
          <cell r="AJ809" t="str">
            <v>Strands PW</v>
          </cell>
        </row>
        <row r="810">
          <cell r="A810" t="str">
            <v>IKN400346</v>
          </cell>
          <cell r="B810">
            <v>346</v>
          </cell>
          <cell r="C810" t="str">
            <v>Institut Kanser Negara</v>
          </cell>
          <cell r="D810" t="str">
            <v>KKM/IKN/H/13/2462</v>
          </cell>
          <cell r="E810" t="str">
            <v>17-148</v>
          </cell>
          <cell r="F810" t="str">
            <v>Oximeters, Pulse</v>
          </cell>
          <cell r="G810" t="str">
            <v>WF</v>
          </cell>
          <cell r="H810" t="str">
            <v>RT/ONCO WARD 2 (F)</v>
          </cell>
          <cell r="I810" t="str">
            <v>07WF121</v>
          </cell>
          <cell r="J810" t="str">
            <v>EQUIPMENT ROOM</v>
          </cell>
          <cell r="K810" t="str">
            <v>BMED</v>
          </cell>
          <cell r="L810" t="str">
            <v>Normal</v>
          </cell>
          <cell r="M810" t="str">
            <v>USA</v>
          </cell>
          <cell r="N810" t="str">
            <v>PalmSat</v>
          </cell>
          <cell r="O810" t="str">
            <v>PalmSat 2500</v>
          </cell>
          <cell r="P810" t="str">
            <v>501438137</v>
          </cell>
          <cell r="Q810" t="str">
            <v>Not Applicable</v>
          </cell>
          <cell r="R810" t="str">
            <v>Nonin Medical Inc</v>
          </cell>
          <cell r="S810" t="str">
            <v>Acucare Systems (M) Sdn bhd</v>
          </cell>
          <cell r="T810" t="str">
            <v>Functioning</v>
          </cell>
          <cell r="U810" t="str">
            <v>Asset</v>
          </cell>
          <cell r="V810">
            <v>5410</v>
          </cell>
          <cell r="W810" t="str">
            <v>KEW</v>
          </cell>
          <cell r="X810" t="str">
            <v>01/09/2010</v>
          </cell>
          <cell r="Y810" t="str">
            <v>KEW</v>
          </cell>
          <cell r="Z810" t="str">
            <v>16/08/2013</v>
          </cell>
          <cell r="AA810" t="str">
            <v>15/08/2015</v>
          </cell>
          <cell r="AB810" t="str">
            <v>No</v>
          </cell>
          <cell r="AC810" t="str">
            <v>31/08/2013</v>
          </cell>
          <cell r="AD810" t="str">
            <v>Good</v>
          </cell>
          <cell r="AE810" t="str">
            <v>V1 - Existing / No Claim</v>
          </cell>
          <cell r="AF810">
            <v>42235</v>
          </cell>
          <cell r="AG810">
            <v>9.17</v>
          </cell>
          <cell r="AH810" t="str">
            <v>PPM</v>
          </cell>
          <cell r="AI810" t="str">
            <v>Strands</v>
          </cell>
          <cell r="AJ810" t="str">
            <v>Strands PW</v>
          </cell>
        </row>
        <row r="811">
          <cell r="A811" t="str">
            <v>IKN400347</v>
          </cell>
          <cell r="B811">
            <v>347</v>
          </cell>
          <cell r="C811" t="str">
            <v>Institut Kanser Negara</v>
          </cell>
          <cell r="D811" t="str">
            <v>KKM/IKN/H/13/2458</v>
          </cell>
          <cell r="E811" t="str">
            <v>12-647</v>
          </cell>
          <cell r="F811" t="str">
            <v>Physiologic Monitoring Systems, Acute Care</v>
          </cell>
          <cell r="G811" t="str">
            <v>WF</v>
          </cell>
          <cell r="H811" t="str">
            <v>RT/ONCO WARD 2 (F)</v>
          </cell>
          <cell r="I811" t="str">
            <v>07WF121</v>
          </cell>
          <cell r="J811" t="str">
            <v>EQUIPMENT ROOM</v>
          </cell>
          <cell r="K811" t="str">
            <v>BMED</v>
          </cell>
          <cell r="L811" t="str">
            <v>Normal</v>
          </cell>
          <cell r="M811" t="str">
            <v>USA</v>
          </cell>
          <cell r="N811" t="str">
            <v>GE</v>
          </cell>
          <cell r="O811" t="str">
            <v>GE B30</v>
          </cell>
          <cell r="P811" t="str">
            <v>SF312325915WA</v>
          </cell>
          <cell r="Q811" t="str">
            <v>Not Applicable</v>
          </cell>
          <cell r="R811" t="str">
            <v>GE Healthcare Systems</v>
          </cell>
          <cell r="S811" t="str">
            <v>GE Healthcare Technologies</v>
          </cell>
          <cell r="T811" t="str">
            <v>Functioning</v>
          </cell>
          <cell r="U811" t="str">
            <v>Asset</v>
          </cell>
          <cell r="V811">
            <v>44510</v>
          </cell>
          <cell r="W811" t="str">
            <v>KEW</v>
          </cell>
          <cell r="X811" t="str">
            <v>01/09/2010</v>
          </cell>
          <cell r="Y811" t="str">
            <v>KEW</v>
          </cell>
          <cell r="Z811" t="str">
            <v>16/08/2013</v>
          </cell>
          <cell r="AA811" t="str">
            <v>15/08/2015</v>
          </cell>
          <cell r="AB811" t="str">
            <v>No</v>
          </cell>
          <cell r="AC811" t="str">
            <v>31/08/2013</v>
          </cell>
          <cell r="AD811" t="str">
            <v>Good</v>
          </cell>
          <cell r="AE811" t="str">
            <v>V1 - Existing / No Claim</v>
          </cell>
          <cell r="AF811">
            <v>42235</v>
          </cell>
          <cell r="AG811">
            <v>9.17</v>
          </cell>
          <cell r="AH811" t="str">
            <v>PPM</v>
          </cell>
          <cell r="AI811" t="str">
            <v>Strands</v>
          </cell>
          <cell r="AJ811" t="str">
            <v>Strands PW</v>
          </cell>
        </row>
        <row r="812">
          <cell r="A812" t="str">
            <v>IKN400348</v>
          </cell>
          <cell r="B812">
            <v>348</v>
          </cell>
          <cell r="C812" t="str">
            <v>Institut Kanser Negara</v>
          </cell>
          <cell r="D812" t="str">
            <v>KKM/IKN/H/13/2459</v>
          </cell>
          <cell r="E812" t="str">
            <v>12-647</v>
          </cell>
          <cell r="F812" t="str">
            <v>Physiologic Monitoring Systems, Acute Care</v>
          </cell>
          <cell r="G812" t="str">
            <v>WF</v>
          </cell>
          <cell r="H812" t="str">
            <v>RT/ONCO WARD 2 (F)</v>
          </cell>
          <cell r="I812" t="str">
            <v>07WF121</v>
          </cell>
          <cell r="J812" t="str">
            <v>EQUIPMENT ROOM</v>
          </cell>
          <cell r="K812" t="str">
            <v>BMED</v>
          </cell>
          <cell r="L812" t="str">
            <v>Critical</v>
          </cell>
          <cell r="M812" t="str">
            <v>USA</v>
          </cell>
          <cell r="N812" t="str">
            <v>GE</v>
          </cell>
          <cell r="O812" t="str">
            <v>GE B30</v>
          </cell>
          <cell r="P812" t="str">
            <v>SF312325902WA</v>
          </cell>
          <cell r="Q812" t="str">
            <v>Not Applicable</v>
          </cell>
          <cell r="R812" t="str">
            <v>GE Healthcare Systems</v>
          </cell>
          <cell r="S812" t="str">
            <v>GE Healthcare Technologies</v>
          </cell>
          <cell r="T812" t="str">
            <v>Functioning</v>
          </cell>
          <cell r="U812" t="str">
            <v>Asset</v>
          </cell>
          <cell r="V812">
            <v>44510</v>
          </cell>
          <cell r="W812" t="str">
            <v>KEW</v>
          </cell>
          <cell r="X812" t="str">
            <v>01/09/2010</v>
          </cell>
          <cell r="Y812" t="str">
            <v>KEW</v>
          </cell>
          <cell r="Z812" t="str">
            <v>16/08/2013</v>
          </cell>
          <cell r="AA812" t="str">
            <v>15/08/2015</v>
          </cell>
          <cell r="AB812" t="str">
            <v>No</v>
          </cell>
          <cell r="AC812" t="str">
            <v>31/08/2013</v>
          </cell>
          <cell r="AD812" t="str">
            <v>Good</v>
          </cell>
          <cell r="AE812" t="str">
            <v>V1 - Existing / No Claim</v>
          </cell>
          <cell r="AF812">
            <v>42788</v>
          </cell>
          <cell r="AG812">
            <v>9.17</v>
          </cell>
          <cell r="AH812" t="str">
            <v>PPM</v>
          </cell>
          <cell r="AI812" t="str">
            <v>Strands</v>
          </cell>
          <cell r="AJ812" t="str">
            <v>Strands PW</v>
          </cell>
        </row>
        <row r="813">
          <cell r="A813" t="str">
            <v>IKN400349</v>
          </cell>
          <cell r="B813">
            <v>349</v>
          </cell>
          <cell r="C813" t="str">
            <v>Institut Kanser Negara</v>
          </cell>
          <cell r="D813" t="str">
            <v>KKM/IKN/H/13/2518</v>
          </cell>
          <cell r="E813" t="str">
            <v>16-173</v>
          </cell>
          <cell r="F813" t="str">
            <v>Sphygmomanometers, Electronic, Automatic</v>
          </cell>
          <cell r="G813" t="str">
            <v>WF</v>
          </cell>
          <cell r="H813" t="str">
            <v>RT/ONCO WARD 2 (F)</v>
          </cell>
          <cell r="I813" t="str">
            <v>07WF143</v>
          </cell>
          <cell r="J813" t="str">
            <v>NURSE STATION</v>
          </cell>
          <cell r="K813" t="str">
            <v>BMED</v>
          </cell>
          <cell r="L813" t="str">
            <v>Critical</v>
          </cell>
          <cell r="M813" t="str">
            <v>USA</v>
          </cell>
          <cell r="N813" t="str">
            <v>Connex</v>
          </cell>
          <cell r="O813" t="str">
            <v>Connex ProBP 3400</v>
          </cell>
          <cell r="P813" t="str">
            <v>100001590613</v>
          </cell>
          <cell r="Q813" t="str">
            <v>Not Applicable</v>
          </cell>
          <cell r="R813" t="str">
            <v>Welch Allyn Inc</v>
          </cell>
          <cell r="S813" t="str">
            <v>Welch Allyn Malaysia Sdn Bhd</v>
          </cell>
          <cell r="T813" t="str">
            <v>Functioning</v>
          </cell>
          <cell r="U813" t="str">
            <v>Asset</v>
          </cell>
          <cell r="V813">
            <v>4510</v>
          </cell>
          <cell r="W813" t="str">
            <v>KEW</v>
          </cell>
          <cell r="X813" t="str">
            <v>01/09/2010</v>
          </cell>
          <cell r="Y813" t="str">
            <v>KEW</v>
          </cell>
          <cell r="Z813" t="str">
            <v>16/08/2013</v>
          </cell>
          <cell r="AA813" t="str">
            <v>15/08/2015</v>
          </cell>
          <cell r="AB813" t="str">
            <v>No</v>
          </cell>
          <cell r="AC813" t="str">
            <v>31/08/2013</v>
          </cell>
          <cell r="AD813" t="str">
            <v>Good</v>
          </cell>
          <cell r="AE813" t="str">
            <v>V1 - Existing / No Claim</v>
          </cell>
          <cell r="AF813">
            <v>42788</v>
          </cell>
          <cell r="AG813">
            <v>9.17</v>
          </cell>
          <cell r="AH813" t="str">
            <v>PPM</v>
          </cell>
          <cell r="AI813" t="str">
            <v>Strands</v>
          </cell>
          <cell r="AJ813" t="str">
            <v>Strands PW</v>
          </cell>
        </row>
        <row r="814">
          <cell r="A814" t="str">
            <v>IKN400350</v>
          </cell>
          <cell r="B814">
            <v>350</v>
          </cell>
          <cell r="C814" t="str">
            <v>Institut Kanser Negara</v>
          </cell>
          <cell r="D814" t="str">
            <v>KKM/IKN/H/13/2512</v>
          </cell>
          <cell r="E814" t="str">
            <v>16-173</v>
          </cell>
          <cell r="F814" t="str">
            <v>Sphygmomanometers, Electronic, Automatic</v>
          </cell>
          <cell r="G814" t="str">
            <v>WF</v>
          </cell>
          <cell r="H814" t="str">
            <v>RT/ONCO WARD 2 (F)</v>
          </cell>
          <cell r="I814" t="str">
            <v>07WF143</v>
          </cell>
          <cell r="J814" t="str">
            <v>NURSE STATION</v>
          </cell>
          <cell r="K814" t="str">
            <v>BMED</v>
          </cell>
          <cell r="L814" t="str">
            <v>Critical</v>
          </cell>
          <cell r="M814" t="str">
            <v>USA</v>
          </cell>
          <cell r="N814" t="str">
            <v>Connex</v>
          </cell>
          <cell r="O814" t="str">
            <v>Connex ProBP 3400</v>
          </cell>
          <cell r="P814" t="str">
            <v>100001760613</v>
          </cell>
          <cell r="Q814" t="str">
            <v>Not Applicable</v>
          </cell>
          <cell r="R814" t="str">
            <v>Welch Allyn Inc</v>
          </cell>
          <cell r="S814" t="str">
            <v>Welch Allyn Malaysia Sdn Bhd</v>
          </cell>
          <cell r="T814" t="str">
            <v>Functioning</v>
          </cell>
          <cell r="U814" t="str">
            <v>Asset</v>
          </cell>
          <cell r="V814">
            <v>4510</v>
          </cell>
          <cell r="W814" t="str">
            <v>KEW</v>
          </cell>
          <cell r="X814" t="str">
            <v>01/09/2010</v>
          </cell>
          <cell r="Y814" t="str">
            <v>KEW</v>
          </cell>
          <cell r="Z814" t="str">
            <v>16/08/2013</v>
          </cell>
          <cell r="AA814" t="str">
            <v>15/08/2015</v>
          </cell>
          <cell r="AB814" t="str">
            <v>No</v>
          </cell>
          <cell r="AC814" t="str">
            <v>31/08/2013</v>
          </cell>
          <cell r="AD814" t="str">
            <v>Good</v>
          </cell>
          <cell r="AE814" t="str">
            <v>V1 - Existing / No Claim</v>
          </cell>
          <cell r="AF814">
            <v>42788</v>
          </cell>
          <cell r="AG814">
            <v>9.17</v>
          </cell>
          <cell r="AH814" t="str">
            <v>PPM</v>
          </cell>
          <cell r="AI814" t="str">
            <v>Strands</v>
          </cell>
          <cell r="AJ814" t="str">
            <v>Strands PW</v>
          </cell>
        </row>
        <row r="815">
          <cell r="A815" t="str">
            <v>IKN400352</v>
          </cell>
          <cell r="B815">
            <v>352</v>
          </cell>
          <cell r="C815" t="str">
            <v>Institut Kanser Negara</v>
          </cell>
          <cell r="D815" t="e">
            <v>#N/A</v>
          </cell>
          <cell r="E815" t="str">
            <v>11-134</v>
          </cell>
          <cell r="F815" t="str">
            <v>Defibrillators, External, Manual</v>
          </cell>
          <cell r="G815" t="str">
            <v>WF</v>
          </cell>
          <cell r="H815" t="str">
            <v>RT/ONCO WARD 2 (F)</v>
          </cell>
          <cell r="I815" t="str">
            <v>07WF133</v>
          </cell>
          <cell r="J815" t="str">
            <v>RESUS EQ. BAY</v>
          </cell>
          <cell r="K815" t="str">
            <v>BMED</v>
          </cell>
          <cell r="L815" t="str">
            <v>Critical</v>
          </cell>
          <cell r="M815" t="str">
            <v>USA</v>
          </cell>
          <cell r="N815" t="str">
            <v>Responder</v>
          </cell>
          <cell r="O815" t="str">
            <v>Responder 2000</v>
          </cell>
          <cell r="P815" t="str">
            <v>3206743</v>
          </cell>
          <cell r="Q815" t="str">
            <v>Not Applicable</v>
          </cell>
          <cell r="R815" t="str">
            <v>GE Medical Systems</v>
          </cell>
          <cell r="S815" t="str">
            <v>Antah Sir Radin Sdn. Bhd.</v>
          </cell>
          <cell r="T815" t="str">
            <v>Functioning</v>
          </cell>
          <cell r="U815" t="str">
            <v>Asset</v>
          </cell>
          <cell r="V815">
            <v>45000</v>
          </cell>
          <cell r="W815" t="str">
            <v>Estimate</v>
          </cell>
          <cell r="X815" t="str">
            <v>01/09/2010</v>
          </cell>
          <cell r="Y815" t="str">
            <v>KEW</v>
          </cell>
          <cell r="Z815" t="str">
            <v>16/08/2013</v>
          </cell>
          <cell r="AA815" t="str">
            <v>15/08/2015</v>
          </cell>
          <cell r="AB815" t="str">
            <v>No</v>
          </cell>
          <cell r="AC815" t="str">
            <v>31/08/2013</v>
          </cell>
          <cell r="AD815" t="str">
            <v>Good</v>
          </cell>
          <cell r="AE815" t="str">
            <v>V1 - Existing / No Claim</v>
          </cell>
          <cell r="AF815">
            <v>42601</v>
          </cell>
          <cell r="AG815">
            <v>9.17</v>
          </cell>
          <cell r="AH815" t="str">
            <v>PPM</v>
          </cell>
          <cell r="AI815" t="str">
            <v>Strands</v>
          </cell>
          <cell r="AJ815" t="str">
            <v>Strands PW</v>
          </cell>
          <cell r="AK815" t="str">
            <v>Crash Trolley (FEMS)</v>
          </cell>
        </row>
        <row r="816">
          <cell r="A816" t="str">
            <v>IKN400353</v>
          </cell>
          <cell r="B816">
            <v>353</v>
          </cell>
          <cell r="C816" t="str">
            <v>Institut Kanser Negara</v>
          </cell>
          <cell r="D816" t="str">
            <v>KKM/IKN/H/13/4740</v>
          </cell>
          <cell r="E816" t="str">
            <v>25-209</v>
          </cell>
          <cell r="F816" t="str">
            <v>Monitors, Physiologic, Vital Signs</v>
          </cell>
          <cell r="G816" t="str">
            <v>WF</v>
          </cell>
          <cell r="H816" t="str">
            <v>RT/ONCO WARD 2 (F)</v>
          </cell>
          <cell r="I816" t="str">
            <v>07WF133</v>
          </cell>
          <cell r="J816" t="str">
            <v>RESUS EQ. BAY</v>
          </cell>
          <cell r="K816" t="str">
            <v>BMED</v>
          </cell>
          <cell r="L816" t="str">
            <v>Normal</v>
          </cell>
          <cell r="M816" t="str">
            <v>Mexico</v>
          </cell>
          <cell r="N816" t="str">
            <v>Carespace</v>
          </cell>
          <cell r="O816" t="str">
            <v>Carescape V100</v>
          </cell>
          <cell r="P816" t="str">
            <v>SH613280318SA</v>
          </cell>
          <cell r="Q816" t="str">
            <v>Not Applicable</v>
          </cell>
          <cell r="R816" t="str">
            <v>GE Healthcare Systems</v>
          </cell>
          <cell r="S816" t="str">
            <v>GE Healthcare Technologies</v>
          </cell>
          <cell r="T816" t="str">
            <v>Functioning</v>
          </cell>
          <cell r="U816" t="str">
            <v>Asset</v>
          </cell>
          <cell r="V816">
            <v>18765</v>
          </cell>
          <cell r="W816" t="str">
            <v>KEW</v>
          </cell>
          <cell r="X816" t="str">
            <v>01/09/2010</v>
          </cell>
          <cell r="Y816" t="str">
            <v>KEW</v>
          </cell>
          <cell r="Z816" t="str">
            <v>16/08/2013</v>
          </cell>
          <cell r="AA816" t="str">
            <v>15/08/2015</v>
          </cell>
          <cell r="AB816" t="str">
            <v>No</v>
          </cell>
          <cell r="AC816" t="str">
            <v>31/08/2013</v>
          </cell>
          <cell r="AD816" t="str">
            <v>Good</v>
          </cell>
          <cell r="AE816" t="str">
            <v>V1 - Existing / No Claim</v>
          </cell>
          <cell r="AF816">
            <v>42235</v>
          </cell>
          <cell r="AG816">
            <v>9.17</v>
          </cell>
          <cell r="AH816" t="str">
            <v>PPM</v>
          </cell>
          <cell r="AI816" t="str">
            <v>Strands</v>
          </cell>
          <cell r="AJ816" t="str">
            <v>Strands PW</v>
          </cell>
        </row>
        <row r="817">
          <cell r="A817" t="str">
            <v>IKN400355</v>
          </cell>
          <cell r="B817">
            <v>355</v>
          </cell>
          <cell r="C817" t="str">
            <v>Institut Kanser Negara</v>
          </cell>
          <cell r="D817" t="str">
            <v>KKM/IKN/H/13/2363</v>
          </cell>
          <cell r="E817" t="str">
            <v>10-208</v>
          </cell>
          <cell r="F817" t="str">
            <v>Aspirators</v>
          </cell>
          <cell r="G817" t="str">
            <v>WE</v>
          </cell>
          <cell r="H817" t="str">
            <v>RT/ONCO WARD 1 (F)</v>
          </cell>
          <cell r="I817" t="str">
            <v>07WE107</v>
          </cell>
          <cell r="J817" t="str">
            <v>TREATMENT / PROCESURE</v>
          </cell>
          <cell r="K817" t="str">
            <v>BMED</v>
          </cell>
          <cell r="L817" t="str">
            <v>Critical</v>
          </cell>
          <cell r="M817" t="str">
            <v>Switzerland</v>
          </cell>
          <cell r="N817" t="str">
            <v>Senator</v>
          </cell>
          <cell r="O817" t="str">
            <v>Senator</v>
          </cell>
          <cell r="P817" t="str">
            <v>1220743</v>
          </cell>
          <cell r="Q817" t="str">
            <v>Not Applicable</v>
          </cell>
          <cell r="R817" t="str">
            <v>Ardo Medical AG</v>
          </cell>
          <cell r="S817" t="str">
            <v>Histopoint</v>
          </cell>
          <cell r="T817" t="str">
            <v>Functioning</v>
          </cell>
          <cell r="U817" t="str">
            <v>Asset</v>
          </cell>
          <cell r="V817">
            <v>5052</v>
          </cell>
          <cell r="W817" t="str">
            <v>KEW</v>
          </cell>
          <cell r="X817" t="str">
            <v>01/09/2010</v>
          </cell>
          <cell r="Y817" t="str">
            <v>KEW</v>
          </cell>
          <cell r="Z817" t="str">
            <v>16/08/2013</v>
          </cell>
          <cell r="AA817" t="str">
            <v>15/08/2015</v>
          </cell>
          <cell r="AB817" t="str">
            <v>No</v>
          </cell>
          <cell r="AC817" t="str">
            <v>31/08/2013</v>
          </cell>
          <cell r="AD817" t="str">
            <v>Good</v>
          </cell>
          <cell r="AE817" t="str">
            <v>V1 - Existing / No Claim</v>
          </cell>
          <cell r="AF817">
            <v>42789</v>
          </cell>
          <cell r="AG817">
            <v>9.17</v>
          </cell>
          <cell r="AH817" t="str">
            <v>PPM</v>
          </cell>
          <cell r="AI817" t="str">
            <v>Strands</v>
          </cell>
          <cell r="AJ817" t="str">
            <v>Strands PW</v>
          </cell>
        </row>
        <row r="818">
          <cell r="A818" t="str">
            <v>IKN400356</v>
          </cell>
          <cell r="B818">
            <v>356</v>
          </cell>
          <cell r="C818" t="str">
            <v>Institut Kanser Negara</v>
          </cell>
          <cell r="D818" t="str">
            <v>KKM/IKN/H/13/2355</v>
          </cell>
          <cell r="E818" t="str">
            <v>16-231</v>
          </cell>
          <cell r="F818" t="str">
            <v>Electrocardiographs, Multichannel, Interpretative</v>
          </cell>
          <cell r="G818" t="str">
            <v>WE</v>
          </cell>
          <cell r="H818" t="str">
            <v>RT/ONCO WARD 1 (F)</v>
          </cell>
          <cell r="I818" t="str">
            <v>07WE107</v>
          </cell>
          <cell r="J818" t="str">
            <v>TREATMENT / PROCESURE</v>
          </cell>
          <cell r="K818" t="str">
            <v>BMED</v>
          </cell>
          <cell r="L818" t="str">
            <v>Critical</v>
          </cell>
          <cell r="M818" t="str">
            <v>China</v>
          </cell>
          <cell r="N818" t="str">
            <v>Mac</v>
          </cell>
          <cell r="O818" t="str">
            <v>MAC 800</v>
          </cell>
          <cell r="P818" t="str">
            <v>SJ412450363 WA</v>
          </cell>
          <cell r="Q818" t="str">
            <v>Not Applicable</v>
          </cell>
          <cell r="R818" t="str">
            <v>GE Healthcare Systems</v>
          </cell>
          <cell r="S818" t="str">
            <v>GE Healthcare Technologies</v>
          </cell>
          <cell r="T818" t="str">
            <v>Functioning</v>
          </cell>
          <cell r="U818" t="str">
            <v>Asset</v>
          </cell>
          <cell r="V818">
            <v>25260</v>
          </cell>
          <cell r="W818" t="str">
            <v>KEW</v>
          </cell>
          <cell r="X818" t="str">
            <v>01/09/2010</v>
          </cell>
          <cell r="Y818" t="str">
            <v>KEW</v>
          </cell>
          <cell r="Z818" t="str">
            <v>16/08/2013</v>
          </cell>
          <cell r="AA818" t="str">
            <v>15/08/2015</v>
          </cell>
          <cell r="AB818" t="str">
            <v>No</v>
          </cell>
          <cell r="AC818" t="str">
            <v>31/08/2013</v>
          </cell>
          <cell r="AD818" t="str">
            <v>Good</v>
          </cell>
          <cell r="AE818" t="str">
            <v>V1 - Existing / No Claim</v>
          </cell>
          <cell r="AF818">
            <v>42789</v>
          </cell>
          <cell r="AG818">
            <v>9.17</v>
          </cell>
          <cell r="AH818" t="str">
            <v>PPM</v>
          </cell>
          <cell r="AI818" t="str">
            <v>Strands</v>
          </cell>
          <cell r="AJ818" t="str">
            <v>Strands PW</v>
          </cell>
        </row>
        <row r="819">
          <cell r="A819" t="str">
            <v>IKN400357</v>
          </cell>
          <cell r="B819">
            <v>357</v>
          </cell>
          <cell r="C819" t="str">
            <v>Institut Kanser Negara</v>
          </cell>
          <cell r="D819" t="str">
            <v>KKM/IKN/H/13/2075</v>
          </cell>
          <cell r="E819" t="str">
            <v>10-447</v>
          </cell>
          <cell r="F819" t="str">
            <v>Warming Units, Blood/Solution</v>
          </cell>
          <cell r="G819" t="str">
            <v>WE</v>
          </cell>
          <cell r="H819" t="str">
            <v>RT/ONCO WARD 1 (F)</v>
          </cell>
          <cell r="I819" t="str">
            <v>07WE113</v>
          </cell>
          <cell r="J819" t="str">
            <v>EQUIPMENT ROOM</v>
          </cell>
          <cell r="K819" t="str">
            <v>BMED</v>
          </cell>
          <cell r="L819" t="str">
            <v>Normal</v>
          </cell>
          <cell r="M819" t="str">
            <v>Japan</v>
          </cell>
          <cell r="N819" t="str">
            <v>Animec</v>
          </cell>
          <cell r="O819" t="str">
            <v>Animec AM-301</v>
          </cell>
          <cell r="P819" t="str">
            <v>2013D0241</v>
          </cell>
          <cell r="Q819" t="str">
            <v>Not Applicable</v>
          </cell>
          <cell r="R819" t="str">
            <v>Elltec Co Ltd</v>
          </cell>
          <cell r="S819" t="str">
            <v>IDS Services (Malaysia) Sdn Bhd</v>
          </cell>
          <cell r="T819" t="str">
            <v>Functioning</v>
          </cell>
          <cell r="U819" t="str">
            <v>Asset</v>
          </cell>
          <cell r="V819">
            <v>4990</v>
          </cell>
          <cell r="W819" t="str">
            <v>KEW</v>
          </cell>
          <cell r="X819" t="str">
            <v>01/09/2010</v>
          </cell>
          <cell r="Y819" t="str">
            <v>KEW</v>
          </cell>
          <cell r="Z819" t="str">
            <v>16/08/2013</v>
          </cell>
          <cell r="AA819" t="str">
            <v>15/08/2015</v>
          </cell>
          <cell r="AB819" t="str">
            <v>No</v>
          </cell>
          <cell r="AC819" t="str">
            <v>31/08/2013</v>
          </cell>
          <cell r="AD819" t="str">
            <v>Good</v>
          </cell>
          <cell r="AE819" t="str">
            <v>V1 - Existing / No Claim</v>
          </cell>
          <cell r="AF819">
            <v>42235</v>
          </cell>
          <cell r="AG819">
            <v>9.17</v>
          </cell>
          <cell r="AH819" t="str">
            <v>PPM</v>
          </cell>
          <cell r="AI819" t="str">
            <v>Strands</v>
          </cell>
          <cell r="AJ819" t="str">
            <v>Strands PW</v>
          </cell>
        </row>
        <row r="820">
          <cell r="A820" t="str">
            <v>IKN400358</v>
          </cell>
          <cell r="B820">
            <v>358</v>
          </cell>
          <cell r="C820" t="str">
            <v>Institut Kanser Negara</v>
          </cell>
          <cell r="D820" t="str">
            <v>KKM/IKN/H/13/2077</v>
          </cell>
          <cell r="E820" t="str">
            <v>10-447</v>
          </cell>
          <cell r="F820" t="str">
            <v>Warming Units, Blood/Solution</v>
          </cell>
          <cell r="G820" t="str">
            <v>WE</v>
          </cell>
          <cell r="H820" t="str">
            <v>RT/ONCO WARD 1 (F)</v>
          </cell>
          <cell r="I820" t="str">
            <v>07WE113</v>
          </cell>
          <cell r="J820" t="str">
            <v>EQUIPMENT ROOM</v>
          </cell>
          <cell r="K820" t="str">
            <v>BMED</v>
          </cell>
          <cell r="L820" t="str">
            <v>Normal</v>
          </cell>
          <cell r="M820" t="str">
            <v>Japan</v>
          </cell>
          <cell r="N820" t="str">
            <v>Animec</v>
          </cell>
          <cell r="O820" t="str">
            <v>Animec AM-301</v>
          </cell>
          <cell r="P820" t="str">
            <v>2013D0269</v>
          </cell>
          <cell r="Q820" t="str">
            <v>Not Applicable</v>
          </cell>
          <cell r="R820" t="str">
            <v>Elltec Co Ltd</v>
          </cell>
          <cell r="S820" t="str">
            <v>IDS Services (Malaysia) Sdn Bhd</v>
          </cell>
          <cell r="T820" t="str">
            <v>Functioning</v>
          </cell>
          <cell r="U820" t="str">
            <v>Asset</v>
          </cell>
          <cell r="V820">
            <v>4990</v>
          </cell>
          <cell r="W820" t="str">
            <v>KEW</v>
          </cell>
          <cell r="X820" t="str">
            <v>01/09/2010</v>
          </cell>
          <cell r="Y820" t="str">
            <v>KEW</v>
          </cell>
          <cell r="Z820" t="str">
            <v>16/08/2013</v>
          </cell>
          <cell r="AA820" t="str">
            <v>15/08/2015</v>
          </cell>
          <cell r="AB820" t="str">
            <v>No</v>
          </cell>
          <cell r="AC820" t="str">
            <v>31/08/2013</v>
          </cell>
          <cell r="AD820" t="str">
            <v>Good</v>
          </cell>
          <cell r="AE820" t="str">
            <v>V1 - Existing / No Claim</v>
          </cell>
          <cell r="AF820">
            <v>42235</v>
          </cell>
          <cell r="AG820">
            <v>9.17</v>
          </cell>
          <cell r="AH820" t="str">
            <v>PPM</v>
          </cell>
          <cell r="AI820" t="str">
            <v>Strands</v>
          </cell>
          <cell r="AJ820" t="str">
            <v>Strands PW</v>
          </cell>
        </row>
        <row r="821">
          <cell r="A821" t="str">
            <v>IKN400359</v>
          </cell>
          <cell r="B821">
            <v>359</v>
          </cell>
          <cell r="C821" t="str">
            <v>Institut Kanser Negara</v>
          </cell>
          <cell r="D821" t="str">
            <v>KKM/IKN/H/13/2076</v>
          </cell>
          <cell r="E821" t="str">
            <v>10-447</v>
          </cell>
          <cell r="F821" t="str">
            <v>Warming Units, Blood/Solution</v>
          </cell>
          <cell r="G821" t="str">
            <v>WE</v>
          </cell>
          <cell r="H821" t="str">
            <v>RT/ONCO WARD 1 (F)</v>
          </cell>
          <cell r="I821" t="str">
            <v>07WE113</v>
          </cell>
          <cell r="J821" t="str">
            <v>EQUIPMENT ROOM</v>
          </cell>
          <cell r="K821" t="str">
            <v>BMED</v>
          </cell>
          <cell r="L821" t="str">
            <v>Normal</v>
          </cell>
          <cell r="M821" t="str">
            <v>Japan</v>
          </cell>
          <cell r="N821" t="str">
            <v>Animec</v>
          </cell>
          <cell r="O821" t="str">
            <v>Animec AM-301</v>
          </cell>
          <cell r="P821" t="str">
            <v>2013D0242</v>
          </cell>
          <cell r="Q821" t="str">
            <v>Not Applicable</v>
          </cell>
          <cell r="R821" t="str">
            <v>Elltec Co Ltd</v>
          </cell>
          <cell r="S821" t="str">
            <v>IDS Services (Malaysia) Sdn Bhd</v>
          </cell>
          <cell r="T821" t="str">
            <v>Functioning</v>
          </cell>
          <cell r="U821" t="str">
            <v>Asset</v>
          </cell>
          <cell r="V821">
            <v>4990</v>
          </cell>
          <cell r="W821" t="str">
            <v>KEW</v>
          </cell>
          <cell r="X821" t="str">
            <v>01/09/2010</v>
          </cell>
          <cell r="Y821" t="str">
            <v>KEW</v>
          </cell>
          <cell r="Z821" t="str">
            <v>16/08/2013</v>
          </cell>
          <cell r="AA821" t="str">
            <v>15/08/2015</v>
          </cell>
          <cell r="AB821" t="str">
            <v>No</v>
          </cell>
          <cell r="AC821" t="str">
            <v>31/08/2013</v>
          </cell>
          <cell r="AD821" t="str">
            <v>Good</v>
          </cell>
          <cell r="AE821" t="str">
            <v>V1 - Existing / No Claim</v>
          </cell>
          <cell r="AF821">
            <v>42235</v>
          </cell>
          <cell r="AG821">
            <v>9.17</v>
          </cell>
          <cell r="AH821" t="str">
            <v>PPM</v>
          </cell>
          <cell r="AI821" t="str">
            <v>Strands</v>
          </cell>
          <cell r="AJ821" t="str">
            <v>Strands PW</v>
          </cell>
        </row>
        <row r="822">
          <cell r="A822" t="str">
            <v>IKN400360</v>
          </cell>
          <cell r="B822">
            <v>360</v>
          </cell>
          <cell r="C822" t="str">
            <v>Institut Kanser Negara</v>
          </cell>
          <cell r="D822" t="str">
            <v>KKM/IKN/H/13/2085</v>
          </cell>
          <cell r="E822" t="str">
            <v>12-282</v>
          </cell>
          <cell r="F822" t="str">
            <v>Lights, Surgical</v>
          </cell>
          <cell r="G822" t="str">
            <v>WE</v>
          </cell>
          <cell r="H822" t="str">
            <v>RT/ONCO WARD 1 (F)</v>
          </cell>
          <cell r="I822" t="str">
            <v>07WE113</v>
          </cell>
          <cell r="J822" t="str">
            <v>EQUIPMENT ROOM</v>
          </cell>
          <cell r="K822" t="str">
            <v>BMED</v>
          </cell>
          <cell r="L822" t="str">
            <v>Normal</v>
          </cell>
          <cell r="M822" t="str">
            <v>USA</v>
          </cell>
          <cell r="N822" t="str">
            <v>Welch Allyn</v>
          </cell>
          <cell r="O822" t="str">
            <v>Welch Allyn GS600</v>
          </cell>
          <cell r="P822" t="str">
            <v>GS-600-38</v>
          </cell>
          <cell r="Q822" t="str">
            <v>Not Applicable</v>
          </cell>
          <cell r="R822" t="str">
            <v>Welch Allyn Inc</v>
          </cell>
          <cell r="S822" t="str">
            <v>Welch Allyn Malaysia Sdn Bhd</v>
          </cell>
          <cell r="T822" t="str">
            <v>Functioning</v>
          </cell>
          <cell r="U822" t="str">
            <v>Asset</v>
          </cell>
          <cell r="V822">
            <v>5050</v>
          </cell>
          <cell r="W822" t="str">
            <v>KEW</v>
          </cell>
          <cell r="X822" t="str">
            <v>01/09/2010</v>
          </cell>
          <cell r="Y822" t="str">
            <v>KEW</v>
          </cell>
          <cell r="Z822" t="str">
            <v>16/08/2013</v>
          </cell>
          <cell r="AA822" t="str">
            <v>15/08/2015</v>
          </cell>
          <cell r="AB822" t="str">
            <v>No</v>
          </cell>
          <cell r="AC822" t="str">
            <v>31/08/2013</v>
          </cell>
          <cell r="AD822" t="str">
            <v>Good</v>
          </cell>
          <cell r="AE822" t="str">
            <v>V1 - Existing / No Claim</v>
          </cell>
          <cell r="AF822">
            <v>42235</v>
          </cell>
          <cell r="AG822">
            <v>9.17</v>
          </cell>
          <cell r="AH822" t="str">
            <v>PPM</v>
          </cell>
          <cell r="AI822" t="str">
            <v>Strands</v>
          </cell>
          <cell r="AJ822" t="str">
            <v>Strands PW</v>
          </cell>
        </row>
        <row r="823">
          <cell r="A823" t="str">
            <v>IKN400361</v>
          </cell>
          <cell r="B823">
            <v>361</v>
          </cell>
          <cell r="C823" t="str">
            <v>Institut Kanser Negara</v>
          </cell>
          <cell r="D823" t="str">
            <v>KKM/IKN/H/13/2091</v>
          </cell>
          <cell r="E823" t="str">
            <v>15-045</v>
          </cell>
          <cell r="F823" t="str">
            <v>Nebulizers, Nonheated</v>
          </cell>
          <cell r="G823" t="str">
            <v>WE</v>
          </cell>
          <cell r="H823" t="str">
            <v>RT/ONCO WARD 1 (F)</v>
          </cell>
          <cell r="I823" t="str">
            <v>07WE113</v>
          </cell>
          <cell r="J823" t="str">
            <v>EQUIPMENT ROOM</v>
          </cell>
          <cell r="K823" t="str">
            <v>BMED</v>
          </cell>
          <cell r="L823" t="str">
            <v>Normal</v>
          </cell>
          <cell r="M823" t="str">
            <v>Germany</v>
          </cell>
          <cell r="N823" t="str">
            <v>Pari Boy</v>
          </cell>
          <cell r="O823" t="str">
            <v>Pari Boy SX 085</v>
          </cell>
          <cell r="P823" t="str">
            <v>2W12J05814</v>
          </cell>
          <cell r="Q823" t="str">
            <v>Not Applicable</v>
          </cell>
          <cell r="R823" t="str">
            <v>Pari GmbH</v>
          </cell>
          <cell r="S823" t="str">
            <v>Welch Allyn Malaysia Sdn Bhd</v>
          </cell>
          <cell r="T823" t="str">
            <v>Functioning</v>
          </cell>
          <cell r="U823" t="str">
            <v>Asset</v>
          </cell>
          <cell r="V823">
            <v>1140</v>
          </cell>
          <cell r="W823" t="str">
            <v>KEW</v>
          </cell>
          <cell r="X823" t="str">
            <v>01/09/2010</v>
          </cell>
          <cell r="Y823" t="str">
            <v>KEW</v>
          </cell>
          <cell r="Z823" t="str">
            <v>16/08/2013</v>
          </cell>
          <cell r="AA823" t="str">
            <v>15/08/2015</v>
          </cell>
          <cell r="AB823" t="str">
            <v>No</v>
          </cell>
          <cell r="AC823" t="str">
            <v>31/08/2013</v>
          </cell>
          <cell r="AD823" t="str">
            <v>Good</v>
          </cell>
          <cell r="AE823" t="str">
            <v>V1 - Existing / No Claim</v>
          </cell>
          <cell r="AF823">
            <v>42235</v>
          </cell>
          <cell r="AG823">
            <v>9.17</v>
          </cell>
          <cell r="AH823" t="str">
            <v>PPM</v>
          </cell>
          <cell r="AI823" t="str">
            <v>Strands</v>
          </cell>
          <cell r="AJ823" t="str">
            <v>Strands PW</v>
          </cell>
        </row>
        <row r="824">
          <cell r="A824" t="str">
            <v>IKN400362</v>
          </cell>
          <cell r="B824">
            <v>362</v>
          </cell>
          <cell r="C824" t="str">
            <v>Institut Kanser Negara</v>
          </cell>
          <cell r="D824" t="str">
            <v>KKM/IKN/H/13/2090</v>
          </cell>
          <cell r="E824" t="str">
            <v>15-045</v>
          </cell>
          <cell r="F824" t="str">
            <v>Nebulizers, Nonheated</v>
          </cell>
          <cell r="G824" t="str">
            <v>WE</v>
          </cell>
          <cell r="H824" t="str">
            <v>RT/ONCO WARD 1 (F)</v>
          </cell>
          <cell r="I824" t="str">
            <v>07WE113</v>
          </cell>
          <cell r="J824" t="str">
            <v>EQUIPMENT ROOM</v>
          </cell>
          <cell r="K824" t="str">
            <v>BMED</v>
          </cell>
          <cell r="L824" t="str">
            <v>Normal</v>
          </cell>
          <cell r="M824" t="str">
            <v>Germany</v>
          </cell>
          <cell r="N824" t="str">
            <v>Pari Boy</v>
          </cell>
          <cell r="O824" t="str">
            <v>Pari Boy SX 085</v>
          </cell>
          <cell r="P824" t="str">
            <v>2W12F13749</v>
          </cell>
          <cell r="Q824" t="str">
            <v>Not Applicable</v>
          </cell>
          <cell r="R824" t="str">
            <v>Pari GmbH</v>
          </cell>
          <cell r="S824" t="str">
            <v>Welch Allyn Malaysia Sdn Bhd</v>
          </cell>
          <cell r="T824" t="str">
            <v>Functioning</v>
          </cell>
          <cell r="U824" t="str">
            <v>Asset</v>
          </cell>
          <cell r="V824">
            <v>1140</v>
          </cell>
          <cell r="W824" t="str">
            <v>KEW</v>
          </cell>
          <cell r="X824" t="str">
            <v>01/09/2010</v>
          </cell>
          <cell r="Y824" t="str">
            <v>KEW</v>
          </cell>
          <cell r="Z824" t="str">
            <v>16/08/2013</v>
          </cell>
          <cell r="AA824" t="str">
            <v>15/08/2015</v>
          </cell>
          <cell r="AB824" t="str">
            <v>No</v>
          </cell>
          <cell r="AC824" t="str">
            <v>31/08/2013</v>
          </cell>
          <cell r="AD824" t="str">
            <v>Good</v>
          </cell>
          <cell r="AE824" t="str">
            <v>V1 - Existing / No Claim</v>
          </cell>
          <cell r="AF824">
            <v>42235</v>
          </cell>
          <cell r="AG824">
            <v>9.17</v>
          </cell>
          <cell r="AH824" t="str">
            <v>PPM</v>
          </cell>
          <cell r="AI824" t="str">
            <v>Strands</v>
          </cell>
          <cell r="AJ824" t="str">
            <v>Strands PW</v>
          </cell>
        </row>
        <row r="825">
          <cell r="A825" t="str">
            <v>IKN400363</v>
          </cell>
          <cell r="B825">
            <v>363</v>
          </cell>
          <cell r="C825" t="str">
            <v>Institut Kanser Negara</v>
          </cell>
          <cell r="D825" t="str">
            <v>KKM/IKN/H/13/2089</v>
          </cell>
          <cell r="E825" t="str">
            <v>15-045</v>
          </cell>
          <cell r="F825" t="str">
            <v>Nebulizers, Nonheated</v>
          </cell>
          <cell r="G825" t="str">
            <v>WE</v>
          </cell>
          <cell r="H825" t="str">
            <v>RT/ONCO WARD 1 (F)</v>
          </cell>
          <cell r="I825" t="str">
            <v>07WE113</v>
          </cell>
          <cell r="J825" t="str">
            <v>EQUIPMENT ROOM</v>
          </cell>
          <cell r="K825" t="str">
            <v>BMED</v>
          </cell>
          <cell r="L825" t="str">
            <v>Normal</v>
          </cell>
          <cell r="M825" t="str">
            <v>Germany</v>
          </cell>
          <cell r="N825" t="str">
            <v>Pari Boy</v>
          </cell>
          <cell r="O825" t="str">
            <v>Pari Boy SX 085</v>
          </cell>
          <cell r="P825" t="str">
            <v>2W12F13817</v>
          </cell>
          <cell r="Q825" t="str">
            <v>Not Applicable</v>
          </cell>
          <cell r="R825" t="str">
            <v>Pari GmbH</v>
          </cell>
          <cell r="S825" t="str">
            <v>Welch Allyn Malaysia Sdn Bhd</v>
          </cell>
          <cell r="T825" t="str">
            <v>Functioning</v>
          </cell>
          <cell r="U825" t="str">
            <v>Asset</v>
          </cell>
          <cell r="V825">
            <v>1140</v>
          </cell>
          <cell r="W825" t="str">
            <v>KEW</v>
          </cell>
          <cell r="X825" t="str">
            <v>01/09/2010</v>
          </cell>
          <cell r="Y825" t="str">
            <v>KEW</v>
          </cell>
          <cell r="Z825" t="str">
            <v>16/08/2013</v>
          </cell>
          <cell r="AA825" t="str">
            <v>15/08/2015</v>
          </cell>
          <cell r="AB825" t="str">
            <v>No</v>
          </cell>
          <cell r="AC825" t="str">
            <v>31/08/2013</v>
          </cell>
          <cell r="AD825" t="str">
            <v>Good</v>
          </cell>
          <cell r="AE825" t="str">
            <v>V1 - Existing / No Claim</v>
          </cell>
          <cell r="AF825">
            <v>42235</v>
          </cell>
          <cell r="AG825">
            <v>9.17</v>
          </cell>
          <cell r="AH825" t="str">
            <v>PPM</v>
          </cell>
          <cell r="AI825" t="str">
            <v>Strands</v>
          </cell>
          <cell r="AJ825" t="str">
            <v>Strands PW</v>
          </cell>
        </row>
        <row r="826">
          <cell r="A826" t="str">
            <v>IKN400364</v>
          </cell>
          <cell r="B826">
            <v>364</v>
          </cell>
          <cell r="C826" t="str">
            <v>Institut Kanser Negara</v>
          </cell>
          <cell r="D826" t="str">
            <v>KKM/IKN/H/13/2058</v>
          </cell>
          <cell r="E826" t="str">
            <v>13-217</v>
          </cell>
          <cell r="F826" t="str">
            <v>Infusion Pumps, Syringe</v>
          </cell>
          <cell r="G826" t="str">
            <v>WE</v>
          </cell>
          <cell r="H826" t="str">
            <v>RT/ONCO WARD 1 (F)</v>
          </cell>
          <cell r="I826" t="str">
            <v>07WE113</v>
          </cell>
          <cell r="J826" t="str">
            <v>EQUIPMENT ROOM</v>
          </cell>
          <cell r="K826" t="str">
            <v>BMED</v>
          </cell>
          <cell r="L826" t="str">
            <v>Critical</v>
          </cell>
          <cell r="M826" t="str">
            <v>Germany</v>
          </cell>
          <cell r="N826" t="str">
            <v>Perfusor</v>
          </cell>
          <cell r="O826" t="str">
            <v>Perfusor Space</v>
          </cell>
          <cell r="P826">
            <v>186604</v>
          </cell>
          <cell r="Q826" t="str">
            <v>Not Applicable</v>
          </cell>
          <cell r="R826" t="str">
            <v>B Braun Melsungen AG</v>
          </cell>
          <cell r="S826" t="str">
            <v>B Braun Medical Supplies Sdn. Bhd.</v>
          </cell>
          <cell r="T826" t="str">
            <v>Functioning</v>
          </cell>
          <cell r="U826" t="str">
            <v>Asset</v>
          </cell>
          <cell r="V826">
            <v>10225</v>
          </cell>
          <cell r="W826" t="str">
            <v>KEW</v>
          </cell>
          <cell r="X826" t="str">
            <v>01/09/2010</v>
          </cell>
          <cell r="Y826" t="str">
            <v>KEW</v>
          </cell>
          <cell r="Z826" t="str">
            <v>16/08/2013</v>
          </cell>
          <cell r="AA826" t="str">
            <v>15/08/2015</v>
          </cell>
          <cell r="AB826" t="str">
            <v>No</v>
          </cell>
          <cell r="AC826" t="str">
            <v>31/08/2013</v>
          </cell>
          <cell r="AD826" t="str">
            <v>Good</v>
          </cell>
          <cell r="AE826" t="str">
            <v>V1 - Existing / No Claim</v>
          </cell>
          <cell r="AF826">
            <v>42789</v>
          </cell>
          <cell r="AG826">
            <v>9.17</v>
          </cell>
          <cell r="AH826" t="str">
            <v>PPM</v>
          </cell>
          <cell r="AI826" t="str">
            <v>Strands</v>
          </cell>
          <cell r="AJ826" t="str">
            <v>Strands PW</v>
          </cell>
        </row>
        <row r="827">
          <cell r="A827" t="str">
            <v>IKN400365</v>
          </cell>
          <cell r="B827">
            <v>365</v>
          </cell>
          <cell r="C827" t="str">
            <v>Institut Kanser Negara</v>
          </cell>
          <cell r="D827" t="str">
            <v>KKM/IKN/H/13/2059</v>
          </cell>
          <cell r="E827" t="str">
            <v>13-217</v>
          </cell>
          <cell r="F827" t="str">
            <v>Infusion Pumps, Syringe</v>
          </cell>
          <cell r="G827" t="str">
            <v>WE</v>
          </cell>
          <cell r="H827" t="str">
            <v>RT/ONCO WARD 1 (F)</v>
          </cell>
          <cell r="I827" t="str">
            <v>07WE113</v>
          </cell>
          <cell r="J827" t="str">
            <v>EQUIPMENT ROOM</v>
          </cell>
          <cell r="K827" t="str">
            <v>BMED</v>
          </cell>
          <cell r="L827" t="str">
            <v>Normal</v>
          </cell>
          <cell r="M827" t="str">
            <v>Germany</v>
          </cell>
          <cell r="N827" t="str">
            <v>Perfusor</v>
          </cell>
          <cell r="O827" t="str">
            <v>Perfusor Space</v>
          </cell>
          <cell r="P827" t="str">
            <v>186957</v>
          </cell>
          <cell r="Q827" t="str">
            <v>Not Applicable</v>
          </cell>
          <cell r="R827" t="str">
            <v>B Braun Melsungen AG</v>
          </cell>
          <cell r="S827" t="str">
            <v>B Braun Medical Supplies Sdn. Bhd.</v>
          </cell>
          <cell r="T827" t="str">
            <v>Functioning</v>
          </cell>
          <cell r="U827" t="str">
            <v>Asset</v>
          </cell>
          <cell r="V827">
            <v>10225</v>
          </cell>
          <cell r="W827" t="str">
            <v>KEW</v>
          </cell>
          <cell r="X827" t="str">
            <v>01/09/2010</v>
          </cell>
          <cell r="Y827" t="str">
            <v>KEW</v>
          </cell>
          <cell r="Z827" t="str">
            <v>16/08/2013</v>
          </cell>
          <cell r="AA827" t="str">
            <v>15/08/2015</v>
          </cell>
          <cell r="AB827" t="str">
            <v>No</v>
          </cell>
          <cell r="AC827" t="str">
            <v>31/08/2013</v>
          </cell>
          <cell r="AD827" t="str">
            <v>Good</v>
          </cell>
          <cell r="AE827" t="str">
            <v>V1 - Existing / No Claim</v>
          </cell>
          <cell r="AF827">
            <v>42235</v>
          </cell>
          <cell r="AG827">
            <v>9.17</v>
          </cell>
          <cell r="AH827" t="str">
            <v>PPM</v>
          </cell>
          <cell r="AI827" t="str">
            <v>Strands</v>
          </cell>
          <cell r="AJ827" t="str">
            <v>Strands PW</v>
          </cell>
        </row>
        <row r="828">
          <cell r="A828" t="str">
            <v>IKN400366</v>
          </cell>
          <cell r="B828">
            <v>366</v>
          </cell>
          <cell r="C828" t="str">
            <v>Institut Kanser Negara</v>
          </cell>
          <cell r="D828" t="str">
            <v>KKM/IKN/H/13/2060</v>
          </cell>
          <cell r="E828" t="str">
            <v>13-215</v>
          </cell>
          <cell r="F828" t="str">
            <v>Infusion Pumps, General-Purpose</v>
          </cell>
          <cell r="G828" t="str">
            <v>WE</v>
          </cell>
          <cell r="H828" t="str">
            <v>RT/ONCO WARD 1 (F)</v>
          </cell>
          <cell r="I828" t="str">
            <v>07WE113</v>
          </cell>
          <cell r="J828" t="str">
            <v>EQUIPMENT ROOM</v>
          </cell>
          <cell r="K828" t="str">
            <v>BMED</v>
          </cell>
          <cell r="L828" t="str">
            <v>Normal</v>
          </cell>
          <cell r="M828" t="str">
            <v>Germany</v>
          </cell>
          <cell r="N828" t="str">
            <v>Infusomat</v>
          </cell>
          <cell r="O828" t="str">
            <v>Infusomat Space</v>
          </cell>
          <cell r="P828" t="str">
            <v>211957</v>
          </cell>
          <cell r="Q828" t="str">
            <v>Not Applicable</v>
          </cell>
          <cell r="R828" t="str">
            <v>B Braun Melsungen AG</v>
          </cell>
          <cell r="S828" t="str">
            <v>B Braun Medical Supplies Sdn. Bhd.</v>
          </cell>
          <cell r="T828" t="str">
            <v>Functioning</v>
          </cell>
          <cell r="U828" t="str">
            <v>Asset</v>
          </cell>
          <cell r="V828">
            <v>10825</v>
          </cell>
          <cell r="W828" t="str">
            <v>KEW</v>
          </cell>
          <cell r="X828" t="str">
            <v>01/09/2010</v>
          </cell>
          <cell r="Y828" t="str">
            <v>KEW</v>
          </cell>
          <cell r="Z828" t="str">
            <v>16/08/2013</v>
          </cell>
          <cell r="AA828" t="str">
            <v>15/08/2015</v>
          </cell>
          <cell r="AB828" t="str">
            <v>No</v>
          </cell>
          <cell r="AC828" t="str">
            <v>31/08/2013</v>
          </cell>
          <cell r="AD828" t="str">
            <v>Good</v>
          </cell>
          <cell r="AE828" t="str">
            <v>V1 - Existing / No Claim</v>
          </cell>
          <cell r="AF828">
            <v>42235</v>
          </cell>
          <cell r="AG828">
            <v>9.17</v>
          </cell>
          <cell r="AH828" t="str">
            <v>PPM</v>
          </cell>
          <cell r="AI828" t="str">
            <v>Strands</v>
          </cell>
          <cell r="AJ828" t="str">
            <v>Strands PW</v>
          </cell>
        </row>
        <row r="829">
          <cell r="A829" t="str">
            <v>IKN400367</v>
          </cell>
          <cell r="B829">
            <v>367</v>
          </cell>
          <cell r="C829" t="str">
            <v>Institut Kanser Negara</v>
          </cell>
          <cell r="D829" t="str">
            <v>KKM/IKN/H/13/2061</v>
          </cell>
          <cell r="E829" t="str">
            <v>13-215</v>
          </cell>
          <cell r="F829" t="str">
            <v>Infusion Pumps, General-Purpose</v>
          </cell>
          <cell r="G829" t="str">
            <v>WE</v>
          </cell>
          <cell r="H829" t="str">
            <v>RT/ONCO WARD 1 (F)</v>
          </cell>
          <cell r="I829" t="str">
            <v>07WE113</v>
          </cell>
          <cell r="J829" t="str">
            <v>EQUIPMENT ROOM</v>
          </cell>
          <cell r="K829" t="str">
            <v>BMED</v>
          </cell>
          <cell r="L829" t="str">
            <v>Normal</v>
          </cell>
          <cell r="M829" t="str">
            <v>Germany</v>
          </cell>
          <cell r="N829" t="str">
            <v>Infusomat</v>
          </cell>
          <cell r="O829" t="str">
            <v>Infusomat Space</v>
          </cell>
          <cell r="P829" t="str">
            <v>212076</v>
          </cell>
          <cell r="Q829" t="str">
            <v>Not Applicable</v>
          </cell>
          <cell r="R829" t="str">
            <v>B Braun Melsungen AG</v>
          </cell>
          <cell r="S829" t="str">
            <v>B Braun Medical Supplies Sdn. Bhd.</v>
          </cell>
          <cell r="T829" t="str">
            <v>Functioning</v>
          </cell>
          <cell r="U829" t="str">
            <v>Asset</v>
          </cell>
          <cell r="V829">
            <v>10825</v>
          </cell>
          <cell r="W829" t="str">
            <v>KEW</v>
          </cell>
          <cell r="X829" t="str">
            <v>01/09/2010</v>
          </cell>
          <cell r="Y829" t="str">
            <v>KEW</v>
          </cell>
          <cell r="Z829" t="str">
            <v>16/08/2013</v>
          </cell>
          <cell r="AA829" t="str">
            <v>15/08/2015</v>
          </cell>
          <cell r="AB829" t="str">
            <v>No</v>
          </cell>
          <cell r="AC829" t="str">
            <v>31/08/2013</v>
          </cell>
          <cell r="AD829" t="str">
            <v>Good</v>
          </cell>
          <cell r="AE829" t="str">
            <v>V1 - Existing / No Claim</v>
          </cell>
          <cell r="AF829">
            <v>42235</v>
          </cell>
          <cell r="AG829">
            <v>9.17</v>
          </cell>
          <cell r="AH829" t="str">
            <v>PPM</v>
          </cell>
          <cell r="AI829" t="str">
            <v>Strands</v>
          </cell>
          <cell r="AJ829" t="str">
            <v>Strands PW</v>
          </cell>
        </row>
        <row r="830">
          <cell r="A830" t="str">
            <v>IKN400368</v>
          </cell>
          <cell r="B830">
            <v>368</v>
          </cell>
          <cell r="C830" t="str">
            <v>Institut Kanser Negara</v>
          </cell>
          <cell r="D830" t="str">
            <v>KKM/IKN/H/13/2064</v>
          </cell>
          <cell r="E830" t="str">
            <v>13-215</v>
          </cell>
          <cell r="F830" t="str">
            <v>Infusion Pumps, General-Purpose</v>
          </cell>
          <cell r="G830" t="str">
            <v>WE</v>
          </cell>
          <cell r="H830" t="str">
            <v>RT/ONCO WARD 1 (F)</v>
          </cell>
          <cell r="I830" t="str">
            <v>07WE113</v>
          </cell>
          <cell r="J830" t="str">
            <v>EQUIPMENT ROOM</v>
          </cell>
          <cell r="K830" t="str">
            <v>BMED</v>
          </cell>
          <cell r="L830" t="str">
            <v>Critical</v>
          </cell>
          <cell r="M830" t="str">
            <v>Germany</v>
          </cell>
          <cell r="N830" t="str">
            <v>Infusomat</v>
          </cell>
          <cell r="O830" t="str">
            <v>Infusomat Space</v>
          </cell>
          <cell r="P830" t="str">
            <v>211859</v>
          </cell>
          <cell r="Q830" t="str">
            <v>Not Applicable</v>
          </cell>
          <cell r="R830" t="str">
            <v>B Braun Melsungen AG</v>
          </cell>
          <cell r="S830" t="str">
            <v>B Braun Medical Supplies Sdn. Bhd.</v>
          </cell>
          <cell r="T830" t="str">
            <v>Functioning</v>
          </cell>
          <cell r="U830" t="str">
            <v>Asset</v>
          </cell>
          <cell r="V830">
            <v>10825</v>
          </cell>
          <cell r="W830" t="str">
            <v>KEW</v>
          </cell>
          <cell r="X830" t="str">
            <v>01/09/2010</v>
          </cell>
          <cell r="Y830" t="str">
            <v>KEW</v>
          </cell>
          <cell r="Z830" t="str">
            <v>16/08/2013</v>
          </cell>
          <cell r="AA830" t="str">
            <v>15/08/2015</v>
          </cell>
          <cell r="AB830" t="str">
            <v>No</v>
          </cell>
          <cell r="AC830" t="str">
            <v>31/08/2013</v>
          </cell>
          <cell r="AD830" t="str">
            <v>Good</v>
          </cell>
          <cell r="AE830" t="str">
            <v>V1 - Existing / No Claim</v>
          </cell>
          <cell r="AF830">
            <v>42789</v>
          </cell>
          <cell r="AG830">
            <v>9.17</v>
          </cell>
          <cell r="AH830" t="str">
            <v>PPM</v>
          </cell>
          <cell r="AI830" t="str">
            <v>Strands</v>
          </cell>
          <cell r="AJ830" t="str">
            <v>Strands PW</v>
          </cell>
        </row>
        <row r="831">
          <cell r="A831" t="str">
            <v>IKN400369</v>
          </cell>
          <cell r="B831">
            <v>369</v>
          </cell>
          <cell r="C831" t="str">
            <v>Institut Kanser Negara</v>
          </cell>
          <cell r="D831" t="str">
            <v>KKM/IKN/H/13/2066</v>
          </cell>
          <cell r="E831" t="str">
            <v>13-215</v>
          </cell>
          <cell r="F831" t="str">
            <v>Infusion Pumps, General-Purpose</v>
          </cell>
          <cell r="G831" t="str">
            <v>WE</v>
          </cell>
          <cell r="H831" t="str">
            <v>RT/ONCO WARD 1 (F)</v>
          </cell>
          <cell r="I831" t="str">
            <v>07WE113</v>
          </cell>
          <cell r="J831" t="str">
            <v>EQUIPMENT ROOM</v>
          </cell>
          <cell r="K831" t="str">
            <v>BMED</v>
          </cell>
          <cell r="L831" t="str">
            <v>Critical</v>
          </cell>
          <cell r="M831" t="str">
            <v>Germany</v>
          </cell>
          <cell r="N831" t="str">
            <v>Infusomat</v>
          </cell>
          <cell r="O831" t="str">
            <v>Infusomat Space</v>
          </cell>
          <cell r="P831" t="str">
            <v>212080</v>
          </cell>
          <cell r="Q831" t="str">
            <v>Not Applicable</v>
          </cell>
          <cell r="R831" t="str">
            <v>B Braun Melsungen AG</v>
          </cell>
          <cell r="S831" t="str">
            <v>B Braun Medical Supplies Sdn. Bhd.</v>
          </cell>
          <cell r="T831" t="str">
            <v>Functioning</v>
          </cell>
          <cell r="U831" t="str">
            <v>Asset</v>
          </cell>
          <cell r="V831">
            <v>10825</v>
          </cell>
          <cell r="W831" t="str">
            <v>KEW</v>
          </cell>
          <cell r="X831" t="str">
            <v>01/09/2010</v>
          </cell>
          <cell r="Y831" t="str">
            <v>KEW</v>
          </cell>
          <cell r="Z831" t="str">
            <v>16/08/2013</v>
          </cell>
          <cell r="AA831" t="str">
            <v>15/08/2015</v>
          </cell>
          <cell r="AB831" t="str">
            <v>No</v>
          </cell>
          <cell r="AC831" t="str">
            <v>31/08/2013</v>
          </cell>
          <cell r="AD831" t="str">
            <v>Good</v>
          </cell>
          <cell r="AE831" t="str">
            <v>V1 - Existing / No Claim</v>
          </cell>
          <cell r="AF831">
            <v>42789</v>
          </cell>
          <cell r="AG831">
            <v>9.17</v>
          </cell>
          <cell r="AH831" t="str">
            <v>PPM</v>
          </cell>
          <cell r="AI831" t="str">
            <v>Strands</v>
          </cell>
          <cell r="AJ831" t="str">
            <v>Strands PW</v>
          </cell>
        </row>
        <row r="832">
          <cell r="A832" t="str">
            <v>IKN400370</v>
          </cell>
          <cell r="B832">
            <v>370</v>
          </cell>
          <cell r="C832" t="str">
            <v>Institut Kanser Negara</v>
          </cell>
          <cell r="D832" t="str">
            <v>KKM/IKN/H/13/2068</v>
          </cell>
          <cell r="E832" t="str">
            <v>13-215</v>
          </cell>
          <cell r="F832" t="str">
            <v>Infusion Pumps, General-Purpose</v>
          </cell>
          <cell r="G832" t="str">
            <v>WE</v>
          </cell>
          <cell r="H832" t="str">
            <v>RT/ONCO WARD 1 (F)</v>
          </cell>
          <cell r="I832" t="str">
            <v>07WE113</v>
          </cell>
          <cell r="J832" t="str">
            <v>EQUIPMENT ROOM</v>
          </cell>
          <cell r="K832" t="str">
            <v>BMED</v>
          </cell>
          <cell r="L832" t="str">
            <v>Critical</v>
          </cell>
          <cell r="M832" t="str">
            <v>Germany</v>
          </cell>
          <cell r="N832" t="str">
            <v>Infusomat</v>
          </cell>
          <cell r="O832" t="str">
            <v>Infusomat Space</v>
          </cell>
          <cell r="P832" t="str">
            <v>211885</v>
          </cell>
          <cell r="Q832" t="str">
            <v>Not Applicable</v>
          </cell>
          <cell r="R832" t="str">
            <v>B Braun Melsungen AG</v>
          </cell>
          <cell r="S832" t="str">
            <v>B Braun Medical Supplies Sdn. Bhd.</v>
          </cell>
          <cell r="T832" t="str">
            <v>Functioning</v>
          </cell>
          <cell r="U832" t="str">
            <v>Asset</v>
          </cell>
          <cell r="V832">
            <v>10825</v>
          </cell>
          <cell r="W832" t="str">
            <v>KEW</v>
          </cell>
          <cell r="X832" t="str">
            <v>01/09/2010</v>
          </cell>
          <cell r="Y832" t="str">
            <v>KEW</v>
          </cell>
          <cell r="Z832" t="str">
            <v>16/08/2013</v>
          </cell>
          <cell r="AA832" t="str">
            <v>15/08/2015</v>
          </cell>
          <cell r="AB832" t="str">
            <v>No</v>
          </cell>
          <cell r="AC832" t="str">
            <v>31/08/2013</v>
          </cell>
          <cell r="AD832" t="str">
            <v>Good</v>
          </cell>
          <cell r="AE832" t="str">
            <v>V1 - Existing / No Claim</v>
          </cell>
          <cell r="AF832">
            <v>42789</v>
          </cell>
          <cell r="AG832">
            <v>9.17</v>
          </cell>
          <cell r="AH832" t="str">
            <v>PPM</v>
          </cell>
          <cell r="AI832" t="str">
            <v>Strands</v>
          </cell>
          <cell r="AJ832" t="str">
            <v>Strands PW</v>
          </cell>
        </row>
        <row r="833">
          <cell r="A833" t="str">
            <v>IKN400371</v>
          </cell>
          <cell r="B833">
            <v>371</v>
          </cell>
          <cell r="C833" t="str">
            <v>Institut Kanser Negara</v>
          </cell>
          <cell r="D833" t="str">
            <v>KKM/IKN/H/13/2069</v>
          </cell>
          <cell r="E833" t="str">
            <v>13-215</v>
          </cell>
          <cell r="F833" t="str">
            <v>Infusion Pumps, General-Purpose</v>
          </cell>
          <cell r="G833" t="str">
            <v>WE</v>
          </cell>
          <cell r="H833" t="str">
            <v>RT/ONCO WARD 1 (F)</v>
          </cell>
          <cell r="I833" t="str">
            <v>07WE113</v>
          </cell>
          <cell r="J833" t="str">
            <v>EQUIPMENT ROOM</v>
          </cell>
          <cell r="K833" t="str">
            <v>BMED</v>
          </cell>
          <cell r="L833" t="str">
            <v>Critical</v>
          </cell>
          <cell r="M833" t="str">
            <v>Germany</v>
          </cell>
          <cell r="N833" t="str">
            <v>Infusomat</v>
          </cell>
          <cell r="O833" t="str">
            <v>Infusomat Space</v>
          </cell>
          <cell r="P833" t="str">
            <v>212107</v>
          </cell>
          <cell r="Q833" t="str">
            <v>Not Applicable</v>
          </cell>
          <cell r="R833" t="str">
            <v>B Braun Melsungen AG</v>
          </cell>
          <cell r="S833" t="str">
            <v>B Braun Medical Supplies Sdn. Bhd.</v>
          </cell>
          <cell r="T833" t="str">
            <v>Functioning</v>
          </cell>
          <cell r="U833" t="str">
            <v>Asset</v>
          </cell>
          <cell r="V833">
            <v>10825</v>
          </cell>
          <cell r="W833" t="str">
            <v>KEW</v>
          </cell>
          <cell r="X833" t="str">
            <v>01/09/2010</v>
          </cell>
          <cell r="Y833" t="str">
            <v>KEW</v>
          </cell>
          <cell r="Z833" t="str">
            <v>16/08/2013</v>
          </cell>
          <cell r="AA833" t="str">
            <v>15/08/2015</v>
          </cell>
          <cell r="AB833" t="str">
            <v>No</v>
          </cell>
          <cell r="AC833" t="str">
            <v>31/08/2013</v>
          </cell>
          <cell r="AD833" t="str">
            <v>Good</v>
          </cell>
          <cell r="AE833" t="str">
            <v>V1 - Existing / No Claim</v>
          </cell>
          <cell r="AF833">
            <v>42789</v>
          </cell>
          <cell r="AG833">
            <v>9.17</v>
          </cell>
          <cell r="AH833" t="str">
            <v>PPM</v>
          </cell>
          <cell r="AI833" t="str">
            <v>Strands</v>
          </cell>
          <cell r="AJ833" t="str">
            <v>Strands PW</v>
          </cell>
        </row>
        <row r="834">
          <cell r="A834" t="str">
            <v>IKN400372</v>
          </cell>
          <cell r="B834">
            <v>372</v>
          </cell>
          <cell r="C834" t="str">
            <v>Institut Kanser Negara</v>
          </cell>
          <cell r="D834" t="str">
            <v>KKM/IKN/H/13/2070</v>
          </cell>
          <cell r="E834" t="str">
            <v>13-215</v>
          </cell>
          <cell r="F834" t="str">
            <v>Infusion Pumps, General-Purpose</v>
          </cell>
          <cell r="G834" t="str">
            <v>WE</v>
          </cell>
          <cell r="H834" t="str">
            <v>RT/ONCO WARD 1 (F)</v>
          </cell>
          <cell r="I834" t="str">
            <v>07WE113</v>
          </cell>
          <cell r="J834" t="str">
            <v>EQUIPMENT ROOM</v>
          </cell>
          <cell r="K834" t="str">
            <v>BMED</v>
          </cell>
          <cell r="L834" t="str">
            <v>Critical</v>
          </cell>
          <cell r="M834" t="str">
            <v>Germany</v>
          </cell>
          <cell r="N834" t="str">
            <v>Infusomat</v>
          </cell>
          <cell r="O834" t="str">
            <v>Infusomat Space</v>
          </cell>
          <cell r="P834" t="str">
            <v>212066</v>
          </cell>
          <cell r="Q834" t="str">
            <v>Not Applicable</v>
          </cell>
          <cell r="R834" t="str">
            <v>B Braun Melsungen AG</v>
          </cell>
          <cell r="S834" t="str">
            <v>B Braun Medical Supplies Sdn. Bhd.</v>
          </cell>
          <cell r="T834" t="str">
            <v>Functioning</v>
          </cell>
          <cell r="U834" t="str">
            <v>Asset</v>
          </cell>
          <cell r="V834">
            <v>10825</v>
          </cell>
          <cell r="W834" t="str">
            <v>KEW</v>
          </cell>
          <cell r="X834" t="str">
            <v>01/09/2010</v>
          </cell>
          <cell r="Y834" t="str">
            <v>KEW</v>
          </cell>
          <cell r="Z834" t="str">
            <v>16/08/2013</v>
          </cell>
          <cell r="AA834" t="str">
            <v>15/08/2015</v>
          </cell>
          <cell r="AB834" t="str">
            <v>No</v>
          </cell>
          <cell r="AC834" t="str">
            <v>31/08/2013</v>
          </cell>
          <cell r="AD834" t="str">
            <v>Good</v>
          </cell>
          <cell r="AE834" t="str">
            <v>V1 - Existing / No Claim</v>
          </cell>
          <cell r="AF834">
            <v>42789</v>
          </cell>
          <cell r="AG834">
            <v>9.17</v>
          </cell>
          <cell r="AH834" t="str">
            <v>PPM</v>
          </cell>
          <cell r="AI834" t="str">
            <v>Strands</v>
          </cell>
          <cell r="AJ834" t="str">
            <v>Strands PW</v>
          </cell>
        </row>
        <row r="835">
          <cell r="A835" t="str">
            <v>IKN400373</v>
          </cell>
          <cell r="B835">
            <v>373</v>
          </cell>
          <cell r="C835" t="str">
            <v>Institut Kanser Negara</v>
          </cell>
          <cell r="D835" t="str">
            <v>KKM/IKN/H/13/2072</v>
          </cell>
          <cell r="E835" t="str">
            <v>13-215</v>
          </cell>
          <cell r="F835" t="str">
            <v>Infusion Pumps, General-Purpose</v>
          </cell>
          <cell r="G835" t="str">
            <v>WE</v>
          </cell>
          <cell r="H835" t="str">
            <v>RT/ONCO WARD 1 (F)</v>
          </cell>
          <cell r="I835" t="str">
            <v>07WE113</v>
          </cell>
          <cell r="J835" t="str">
            <v>EQUIPMENT ROOM</v>
          </cell>
          <cell r="K835" t="str">
            <v>BMED</v>
          </cell>
          <cell r="L835" t="str">
            <v>Critical</v>
          </cell>
          <cell r="M835" t="str">
            <v>Germany</v>
          </cell>
          <cell r="N835" t="str">
            <v>Infusomat</v>
          </cell>
          <cell r="O835" t="str">
            <v>Infusomat Space</v>
          </cell>
          <cell r="P835" t="str">
            <v>211872</v>
          </cell>
          <cell r="Q835" t="str">
            <v>Not Applicable</v>
          </cell>
          <cell r="R835" t="str">
            <v>B Braun Melsungen AG</v>
          </cell>
          <cell r="S835" t="str">
            <v>B Braun Medical Supplies Sdn. Bhd.</v>
          </cell>
          <cell r="T835" t="str">
            <v>Functioning</v>
          </cell>
          <cell r="U835" t="str">
            <v>Asset</v>
          </cell>
          <cell r="V835">
            <v>10825</v>
          </cell>
          <cell r="W835" t="str">
            <v>KEW</v>
          </cell>
          <cell r="X835" t="str">
            <v>01/09/2010</v>
          </cell>
          <cell r="Y835" t="str">
            <v>KEW</v>
          </cell>
          <cell r="Z835" t="str">
            <v>16/08/2013</v>
          </cell>
          <cell r="AA835" t="str">
            <v>15/08/2015</v>
          </cell>
          <cell r="AB835" t="str">
            <v>No</v>
          </cell>
          <cell r="AC835" t="str">
            <v>31/08/2013</v>
          </cell>
          <cell r="AD835" t="str">
            <v>Good</v>
          </cell>
          <cell r="AE835" t="str">
            <v>V1 - Existing / No Claim</v>
          </cell>
          <cell r="AF835">
            <v>42789</v>
          </cell>
          <cell r="AG835">
            <v>9.17</v>
          </cell>
          <cell r="AH835" t="str">
            <v>PPM</v>
          </cell>
          <cell r="AI835" t="str">
            <v>Strands</v>
          </cell>
          <cell r="AJ835" t="str">
            <v>Strands PW</v>
          </cell>
        </row>
        <row r="836">
          <cell r="A836" t="str">
            <v>IKN400374</v>
          </cell>
          <cell r="B836">
            <v>374</v>
          </cell>
          <cell r="C836" t="str">
            <v>Institut Kanser Negara</v>
          </cell>
          <cell r="D836" t="str">
            <v>KKM/IKN/H/13/2073</v>
          </cell>
          <cell r="E836" t="str">
            <v>13-215</v>
          </cell>
          <cell r="F836" t="str">
            <v>Infusion Pumps, General-Purpose</v>
          </cell>
          <cell r="G836" t="str">
            <v>WE</v>
          </cell>
          <cell r="H836" t="str">
            <v>RT/ONCO WARD 1 (F)</v>
          </cell>
          <cell r="I836" t="str">
            <v>07WE113</v>
          </cell>
          <cell r="J836" t="str">
            <v>EQUIPMENT ROOM</v>
          </cell>
          <cell r="K836" t="str">
            <v>BMED</v>
          </cell>
          <cell r="L836" t="str">
            <v>Critical</v>
          </cell>
          <cell r="M836" t="str">
            <v>Germany</v>
          </cell>
          <cell r="N836" t="str">
            <v>Infusomat</v>
          </cell>
          <cell r="O836" t="str">
            <v>Infusomat Space</v>
          </cell>
          <cell r="P836" t="str">
            <v>211916</v>
          </cell>
          <cell r="Q836" t="str">
            <v>Not Applicable</v>
          </cell>
          <cell r="R836" t="str">
            <v>B Braun Melsungen AG</v>
          </cell>
          <cell r="S836" t="str">
            <v>B Braun Medical Supplies Sdn. Bhd.</v>
          </cell>
          <cell r="T836" t="str">
            <v>Functioning</v>
          </cell>
          <cell r="U836" t="str">
            <v>Asset</v>
          </cell>
          <cell r="V836">
            <v>10825</v>
          </cell>
          <cell r="W836" t="str">
            <v>KEW</v>
          </cell>
          <cell r="X836" t="str">
            <v>01/09/2010</v>
          </cell>
          <cell r="Y836" t="str">
            <v>KEW</v>
          </cell>
          <cell r="Z836" t="str">
            <v>16/08/2013</v>
          </cell>
          <cell r="AA836" t="str">
            <v>15/08/2015</v>
          </cell>
          <cell r="AB836" t="str">
            <v>No</v>
          </cell>
          <cell r="AC836" t="str">
            <v>31/08/2013</v>
          </cell>
          <cell r="AD836" t="str">
            <v>Good</v>
          </cell>
          <cell r="AE836" t="str">
            <v>V1 - Existing / No Claim</v>
          </cell>
          <cell r="AF836">
            <v>42789</v>
          </cell>
          <cell r="AG836">
            <v>9.17</v>
          </cell>
          <cell r="AH836" t="str">
            <v>PPM</v>
          </cell>
          <cell r="AI836" t="str">
            <v>Strands</v>
          </cell>
          <cell r="AJ836" t="str">
            <v>Strands PW</v>
          </cell>
        </row>
        <row r="837">
          <cell r="A837" t="str">
            <v>IKN400375</v>
          </cell>
          <cell r="B837">
            <v>375</v>
          </cell>
          <cell r="C837" t="str">
            <v>Institut Kanser Negara</v>
          </cell>
          <cell r="D837" t="str">
            <v>KKM/IKN/H/13/2074</v>
          </cell>
          <cell r="E837" t="str">
            <v>13-215</v>
          </cell>
          <cell r="F837" t="str">
            <v>Infusion Pumps, General-Purpose</v>
          </cell>
          <cell r="G837" t="str">
            <v>WE</v>
          </cell>
          <cell r="H837" t="str">
            <v>RT/ONCO WARD 1 (F)</v>
          </cell>
          <cell r="I837" t="str">
            <v>07WE113</v>
          </cell>
          <cell r="J837" t="str">
            <v>EQUIPMENT ROOM</v>
          </cell>
          <cell r="K837" t="str">
            <v>BMED</v>
          </cell>
          <cell r="L837" t="str">
            <v>Critical</v>
          </cell>
          <cell r="M837" t="str">
            <v>Germany</v>
          </cell>
          <cell r="N837" t="str">
            <v>Infusomat</v>
          </cell>
          <cell r="O837" t="str">
            <v>Infusomat Space</v>
          </cell>
          <cell r="P837" t="str">
            <v>211881</v>
          </cell>
          <cell r="Q837" t="str">
            <v>Not Applicable</v>
          </cell>
          <cell r="R837" t="str">
            <v>B Braun Melsungen AG</v>
          </cell>
          <cell r="S837" t="str">
            <v>B Braun Medical Supplies Sdn. Bhd.</v>
          </cell>
          <cell r="T837" t="str">
            <v>Functioning</v>
          </cell>
          <cell r="U837" t="str">
            <v>Asset</v>
          </cell>
          <cell r="V837">
            <v>10825</v>
          </cell>
          <cell r="W837" t="str">
            <v>KEW</v>
          </cell>
          <cell r="X837" t="str">
            <v>01/09/2010</v>
          </cell>
          <cell r="Y837" t="str">
            <v>KEW</v>
          </cell>
          <cell r="Z837" t="str">
            <v>16/08/2013</v>
          </cell>
          <cell r="AA837" t="str">
            <v>15/08/2015</v>
          </cell>
          <cell r="AB837" t="str">
            <v>No</v>
          </cell>
          <cell r="AC837" t="str">
            <v>31/08/2013</v>
          </cell>
          <cell r="AD837" t="str">
            <v>Good</v>
          </cell>
          <cell r="AE837" t="str">
            <v>V1 - Existing / No Claim</v>
          </cell>
          <cell r="AF837">
            <v>42789</v>
          </cell>
          <cell r="AG837">
            <v>9.17</v>
          </cell>
          <cell r="AH837" t="str">
            <v>PPM</v>
          </cell>
          <cell r="AI837" t="str">
            <v>Strands</v>
          </cell>
          <cell r="AJ837" t="str">
            <v>Strands PW</v>
          </cell>
        </row>
        <row r="838">
          <cell r="A838" t="str">
            <v>IKN400376</v>
          </cell>
          <cell r="B838">
            <v>376</v>
          </cell>
          <cell r="C838" t="str">
            <v>Institut Kanser Negara</v>
          </cell>
          <cell r="D838" t="str">
            <v>KKM/IKN/H/13/2081</v>
          </cell>
          <cell r="E838" t="str">
            <v>18-147</v>
          </cell>
          <cell r="F838" t="str">
            <v>Mattress Systems, Alternating-Pressure</v>
          </cell>
          <cell r="G838" t="str">
            <v>WE</v>
          </cell>
          <cell r="H838" t="str">
            <v>RT/ONCO WARD 1 (F)</v>
          </cell>
          <cell r="I838" t="str">
            <v>07WE113</v>
          </cell>
          <cell r="J838" t="str">
            <v>EQUIPMENT ROOM</v>
          </cell>
          <cell r="K838" t="str">
            <v>BMED</v>
          </cell>
          <cell r="L838" t="str">
            <v>Normal</v>
          </cell>
          <cell r="M838" t="str">
            <v>Poland</v>
          </cell>
          <cell r="N838" t="str">
            <v>Nimbus</v>
          </cell>
          <cell r="O838" t="str">
            <v>Nimbus 3</v>
          </cell>
          <cell r="P838" t="str">
            <v>1200006453</v>
          </cell>
          <cell r="Q838" t="str">
            <v>Not Applicable</v>
          </cell>
          <cell r="R838" t="str">
            <v>Arjohuntleigh</v>
          </cell>
          <cell r="S838" t="str">
            <v>Hexamine Sdn. Bhd.</v>
          </cell>
          <cell r="T838" t="str">
            <v>Functioning</v>
          </cell>
          <cell r="U838" t="str">
            <v>Asset</v>
          </cell>
          <cell r="V838">
            <v>28630</v>
          </cell>
          <cell r="W838" t="str">
            <v>KEW</v>
          </cell>
          <cell r="X838" t="str">
            <v>01/09/2010</v>
          </cell>
          <cell r="Y838" t="str">
            <v>KEW</v>
          </cell>
          <cell r="Z838" t="str">
            <v>16/08/2013</v>
          </cell>
          <cell r="AA838" t="str">
            <v>15/08/2015</v>
          </cell>
          <cell r="AB838" t="str">
            <v>No</v>
          </cell>
          <cell r="AC838" t="str">
            <v>31/08/2013</v>
          </cell>
          <cell r="AD838" t="str">
            <v>Good</v>
          </cell>
          <cell r="AE838" t="str">
            <v>V1 - Existing / No Claim</v>
          </cell>
          <cell r="AF838">
            <v>42235</v>
          </cell>
          <cell r="AG838">
            <v>9.17</v>
          </cell>
          <cell r="AH838" t="str">
            <v>PPM</v>
          </cell>
          <cell r="AI838" t="str">
            <v>Strands</v>
          </cell>
          <cell r="AJ838" t="str">
            <v>Strands PW</v>
          </cell>
        </row>
        <row r="839">
          <cell r="A839" t="str">
            <v>IKN400377</v>
          </cell>
          <cell r="B839">
            <v>377</v>
          </cell>
          <cell r="C839" t="str">
            <v>Institut Kanser Negara</v>
          </cell>
          <cell r="D839" t="str">
            <v>KKM/IKN/H/13/2354</v>
          </cell>
          <cell r="E839" t="str">
            <v>18-147</v>
          </cell>
          <cell r="F839" t="str">
            <v>Mattress Systems, Alternating-Pressure</v>
          </cell>
          <cell r="G839" t="str">
            <v>WE</v>
          </cell>
          <cell r="H839" t="str">
            <v>RT/ONCO WARD 1 (F)</v>
          </cell>
          <cell r="I839" t="str">
            <v>07WE113</v>
          </cell>
          <cell r="J839" t="str">
            <v>EQUIPMENT ROOM</v>
          </cell>
          <cell r="K839" t="str">
            <v>BMED</v>
          </cell>
          <cell r="L839" t="str">
            <v>Normal</v>
          </cell>
          <cell r="M839" t="str">
            <v>Poland</v>
          </cell>
          <cell r="N839" t="str">
            <v>Nimbus</v>
          </cell>
          <cell r="O839" t="str">
            <v>Nimbus 3</v>
          </cell>
          <cell r="P839" t="str">
            <v>1200006480</v>
          </cell>
          <cell r="Q839" t="str">
            <v>Not Applicable</v>
          </cell>
          <cell r="R839" t="str">
            <v>Arjohuntleigh</v>
          </cell>
          <cell r="S839" t="str">
            <v>Hexamine Sdn. Bhd.</v>
          </cell>
          <cell r="T839" t="str">
            <v>Functioning</v>
          </cell>
          <cell r="U839" t="str">
            <v>Asset</v>
          </cell>
          <cell r="V839">
            <v>28630</v>
          </cell>
          <cell r="W839" t="str">
            <v>KEW</v>
          </cell>
          <cell r="X839" t="str">
            <v>01/09/2010</v>
          </cell>
          <cell r="Y839" t="str">
            <v>KEW</v>
          </cell>
          <cell r="Z839" t="str">
            <v>16/08/2013</v>
          </cell>
          <cell r="AA839" t="str">
            <v>15/08/2015</v>
          </cell>
          <cell r="AB839" t="str">
            <v>No</v>
          </cell>
          <cell r="AC839" t="str">
            <v>31/08/2013</v>
          </cell>
          <cell r="AD839" t="str">
            <v>Good</v>
          </cell>
          <cell r="AE839" t="str">
            <v>V1 - Existing / No Claim</v>
          </cell>
          <cell r="AF839">
            <v>42235</v>
          </cell>
          <cell r="AG839">
            <v>9.17</v>
          </cell>
          <cell r="AH839" t="str">
            <v>PPM</v>
          </cell>
          <cell r="AI839" t="str">
            <v>Strands</v>
          </cell>
          <cell r="AJ839" t="str">
            <v>Strands PW</v>
          </cell>
        </row>
        <row r="840">
          <cell r="A840" t="str">
            <v>IKN400378</v>
          </cell>
          <cell r="B840">
            <v>378</v>
          </cell>
          <cell r="C840" t="str">
            <v>Institut Kanser Negara</v>
          </cell>
          <cell r="D840" t="str">
            <v>KKM/IKN/H/13/2080</v>
          </cell>
          <cell r="E840" t="str">
            <v>18-147</v>
          </cell>
          <cell r="F840" t="str">
            <v>Mattress Systems, Alternating-Pressure</v>
          </cell>
          <cell r="G840" t="str">
            <v>WE</v>
          </cell>
          <cell r="H840" t="str">
            <v>RT/ONCO WARD 1 (F)</v>
          </cell>
          <cell r="I840" t="str">
            <v>07WE113</v>
          </cell>
          <cell r="J840" t="str">
            <v>EQUIPMENT ROOM</v>
          </cell>
          <cell r="K840" t="str">
            <v>BMED</v>
          </cell>
          <cell r="L840" t="str">
            <v>Normal</v>
          </cell>
          <cell r="M840" t="str">
            <v>Poland</v>
          </cell>
          <cell r="N840" t="str">
            <v>Nimbus</v>
          </cell>
          <cell r="O840" t="str">
            <v>Nimbus 3</v>
          </cell>
          <cell r="P840" t="str">
            <v>1200006449</v>
          </cell>
          <cell r="Q840" t="str">
            <v>Not Applicable</v>
          </cell>
          <cell r="R840" t="str">
            <v>Arjohuntleigh</v>
          </cell>
          <cell r="S840" t="str">
            <v>Hexamine Sdn. Bhd.</v>
          </cell>
          <cell r="T840" t="str">
            <v>Functioning</v>
          </cell>
          <cell r="U840" t="str">
            <v>Asset</v>
          </cell>
          <cell r="V840">
            <v>28630</v>
          </cell>
          <cell r="W840" t="str">
            <v>KEW</v>
          </cell>
          <cell r="X840" t="str">
            <v>01/09/2010</v>
          </cell>
          <cell r="Y840" t="str">
            <v>KEW</v>
          </cell>
          <cell r="Z840" t="str">
            <v>16/08/2013</v>
          </cell>
          <cell r="AA840" t="str">
            <v>15/08/2015</v>
          </cell>
          <cell r="AB840" t="str">
            <v>No</v>
          </cell>
          <cell r="AC840" t="str">
            <v>31/08/2013</v>
          </cell>
          <cell r="AD840" t="str">
            <v>Good</v>
          </cell>
          <cell r="AE840" t="str">
            <v>V1 - Existing / No Claim</v>
          </cell>
          <cell r="AF840">
            <v>42235</v>
          </cell>
          <cell r="AG840">
            <v>9.17</v>
          </cell>
          <cell r="AH840" t="str">
            <v>PPM</v>
          </cell>
          <cell r="AI840" t="str">
            <v>Strands</v>
          </cell>
          <cell r="AJ840" t="str">
            <v>Strands PW</v>
          </cell>
        </row>
        <row r="841">
          <cell r="A841" t="str">
            <v>IKN400379</v>
          </cell>
          <cell r="B841">
            <v>379</v>
          </cell>
          <cell r="C841" t="str">
            <v>Institut Kanser Negara</v>
          </cell>
          <cell r="D841" t="str">
            <v>KKM/IKN/H/13/2079</v>
          </cell>
          <cell r="E841" t="str">
            <v>18-147</v>
          </cell>
          <cell r="F841" t="str">
            <v>Mattress Systems, Alternating-Pressure</v>
          </cell>
          <cell r="G841" t="str">
            <v>WE</v>
          </cell>
          <cell r="H841" t="str">
            <v>RT/ONCO WARD 1 (F)</v>
          </cell>
          <cell r="I841" t="str">
            <v>07WE113</v>
          </cell>
          <cell r="J841" t="str">
            <v>EQUIPMENT ROOM</v>
          </cell>
          <cell r="K841" t="str">
            <v>BMED</v>
          </cell>
          <cell r="L841" t="str">
            <v>Normal</v>
          </cell>
          <cell r="M841" t="str">
            <v>Poland</v>
          </cell>
          <cell r="N841" t="str">
            <v>Nimbus</v>
          </cell>
          <cell r="O841" t="str">
            <v>Nimbus 3</v>
          </cell>
          <cell r="P841" t="str">
            <v>1200006450</v>
          </cell>
          <cell r="Q841" t="str">
            <v>Not Applicable</v>
          </cell>
          <cell r="R841" t="str">
            <v>Arjohuntleigh</v>
          </cell>
          <cell r="S841" t="str">
            <v>Hexamine Sdn. Bhd.</v>
          </cell>
          <cell r="T841" t="str">
            <v>Functioning</v>
          </cell>
          <cell r="U841" t="str">
            <v>Asset</v>
          </cell>
          <cell r="V841">
            <v>28630</v>
          </cell>
          <cell r="W841" t="str">
            <v>KEW</v>
          </cell>
          <cell r="X841" t="str">
            <v>01/09/2010</v>
          </cell>
          <cell r="Y841" t="str">
            <v>KEW</v>
          </cell>
          <cell r="Z841" t="str">
            <v>16/08/2013</v>
          </cell>
          <cell r="AA841" t="str">
            <v>15/08/2015</v>
          </cell>
          <cell r="AB841" t="str">
            <v>No</v>
          </cell>
          <cell r="AC841" t="str">
            <v>31/08/2013</v>
          </cell>
          <cell r="AD841" t="str">
            <v>Good</v>
          </cell>
          <cell r="AE841" t="str">
            <v>V1 - Existing / No Claim</v>
          </cell>
          <cell r="AF841">
            <v>42235</v>
          </cell>
          <cell r="AG841">
            <v>9.17</v>
          </cell>
          <cell r="AH841" t="str">
            <v>PPM</v>
          </cell>
          <cell r="AI841" t="str">
            <v>Strands</v>
          </cell>
          <cell r="AJ841" t="str">
            <v>Strands PW</v>
          </cell>
        </row>
        <row r="842">
          <cell r="A842" t="str">
            <v>IKN400380</v>
          </cell>
          <cell r="B842">
            <v>380</v>
          </cell>
          <cell r="C842" t="str">
            <v>Institut Kanser Negara</v>
          </cell>
          <cell r="D842" t="str">
            <v>KKM/IKN/H/13/2356</v>
          </cell>
          <cell r="E842" t="str">
            <v>18-147</v>
          </cell>
          <cell r="F842" t="str">
            <v>Mattress Systems, Alternating-Pressure</v>
          </cell>
          <cell r="G842" t="str">
            <v>WE</v>
          </cell>
          <cell r="H842" t="str">
            <v>RT/ONCO WARD 1 (F)</v>
          </cell>
          <cell r="I842" t="str">
            <v>07WE113</v>
          </cell>
          <cell r="J842" t="str">
            <v>EQUIPMENT ROOM</v>
          </cell>
          <cell r="K842" t="str">
            <v>BMED</v>
          </cell>
          <cell r="L842" t="str">
            <v>Normal</v>
          </cell>
          <cell r="M842" t="str">
            <v>Poland</v>
          </cell>
          <cell r="N842" t="str">
            <v>Nimbus</v>
          </cell>
          <cell r="O842" t="str">
            <v>Nimbus 3</v>
          </cell>
          <cell r="P842" t="str">
            <v>1200005125</v>
          </cell>
          <cell r="Q842" t="str">
            <v>Not Applicable</v>
          </cell>
          <cell r="R842" t="str">
            <v>Arjohuntleigh</v>
          </cell>
          <cell r="S842" t="str">
            <v>Hexamine Sdn. Bhd.</v>
          </cell>
          <cell r="T842" t="str">
            <v>Functioning</v>
          </cell>
          <cell r="U842" t="str">
            <v>Asset</v>
          </cell>
          <cell r="V842">
            <v>28630</v>
          </cell>
          <cell r="W842" t="str">
            <v>KEW</v>
          </cell>
          <cell r="X842" t="str">
            <v>01/09/2010</v>
          </cell>
          <cell r="Y842" t="str">
            <v>KEW</v>
          </cell>
          <cell r="Z842" t="str">
            <v>16/08/2013</v>
          </cell>
          <cell r="AA842" t="str">
            <v>15/08/2015</v>
          </cell>
          <cell r="AB842" t="str">
            <v>No</v>
          </cell>
          <cell r="AC842" t="str">
            <v>31/08/2013</v>
          </cell>
          <cell r="AD842" t="str">
            <v>Good</v>
          </cell>
          <cell r="AE842" t="str">
            <v>V1 - Existing / No Claim</v>
          </cell>
          <cell r="AF842">
            <v>42235</v>
          </cell>
          <cell r="AG842">
            <v>9.17</v>
          </cell>
          <cell r="AH842" t="str">
            <v>PPM</v>
          </cell>
          <cell r="AI842" t="str">
            <v>Strands</v>
          </cell>
          <cell r="AJ842" t="str">
            <v>Strands PW</v>
          </cell>
        </row>
        <row r="843">
          <cell r="A843" t="str">
            <v>IKN400381</v>
          </cell>
          <cell r="B843">
            <v>381</v>
          </cell>
          <cell r="C843" t="str">
            <v>Institut Kanser Negara</v>
          </cell>
          <cell r="D843" t="str">
            <v>KKM/IKN/H/13/2078</v>
          </cell>
          <cell r="E843" t="str">
            <v>18-147</v>
          </cell>
          <cell r="F843" t="str">
            <v>Mattress Systems, Alternating-Pressure</v>
          </cell>
          <cell r="G843" t="str">
            <v>WE</v>
          </cell>
          <cell r="H843" t="str">
            <v>RT/ONCO WARD 1 (F)</v>
          </cell>
          <cell r="I843" t="str">
            <v>07WE113</v>
          </cell>
          <cell r="J843" t="str">
            <v>EQUIPMENT ROOM</v>
          </cell>
          <cell r="K843" t="str">
            <v>BMED</v>
          </cell>
          <cell r="L843" t="str">
            <v>Normal</v>
          </cell>
          <cell r="M843" t="str">
            <v>Poland</v>
          </cell>
          <cell r="N843" t="str">
            <v>Nimbus</v>
          </cell>
          <cell r="O843" t="str">
            <v>Nimbus 3</v>
          </cell>
          <cell r="P843" t="str">
            <v>1200035113</v>
          </cell>
          <cell r="Q843" t="str">
            <v>Not Applicable</v>
          </cell>
          <cell r="R843" t="str">
            <v>Arjohuntleigh</v>
          </cell>
          <cell r="S843" t="str">
            <v>Hexamine Sdn. Bhd.</v>
          </cell>
          <cell r="T843" t="str">
            <v>Functioning</v>
          </cell>
          <cell r="U843" t="str">
            <v>Asset</v>
          </cell>
          <cell r="V843">
            <v>28630</v>
          </cell>
          <cell r="W843" t="str">
            <v>KEW</v>
          </cell>
          <cell r="X843" t="str">
            <v>01/09/2010</v>
          </cell>
          <cell r="Y843" t="str">
            <v>KEW</v>
          </cell>
          <cell r="Z843" t="str">
            <v>16/08/2013</v>
          </cell>
          <cell r="AA843" t="str">
            <v>15/08/2015</v>
          </cell>
          <cell r="AB843" t="str">
            <v>No</v>
          </cell>
          <cell r="AC843" t="str">
            <v>31/08/2013</v>
          </cell>
          <cell r="AD843" t="str">
            <v>Good</v>
          </cell>
          <cell r="AE843" t="str">
            <v>V1 - Existing / No Claim</v>
          </cell>
          <cell r="AF843">
            <v>42235</v>
          </cell>
          <cell r="AG843">
            <v>9.17</v>
          </cell>
          <cell r="AH843" t="str">
            <v>PPM</v>
          </cell>
          <cell r="AI843" t="str">
            <v>Strands</v>
          </cell>
          <cell r="AJ843" t="str">
            <v>Strands PW</v>
          </cell>
        </row>
        <row r="844">
          <cell r="A844" t="str">
            <v>IKN400382</v>
          </cell>
          <cell r="B844">
            <v>382</v>
          </cell>
          <cell r="C844" t="str">
            <v>Institut Kanser Negara</v>
          </cell>
          <cell r="D844" t="str">
            <v>KKM/IKN/H/13/2357</v>
          </cell>
          <cell r="E844" t="str">
            <v>10-208</v>
          </cell>
          <cell r="F844" t="str">
            <v>Aspirators</v>
          </cell>
          <cell r="G844" t="str">
            <v>WE</v>
          </cell>
          <cell r="H844" t="str">
            <v>RT/ONCO WARD 1 (F)</v>
          </cell>
          <cell r="I844" t="str">
            <v>07WE113</v>
          </cell>
          <cell r="J844" t="str">
            <v>EQUIPMENT ROOM</v>
          </cell>
          <cell r="K844" t="str">
            <v>BMED</v>
          </cell>
          <cell r="L844" t="str">
            <v>Normal</v>
          </cell>
          <cell r="M844" t="str">
            <v>UK</v>
          </cell>
          <cell r="N844" t="str">
            <v>SAM</v>
          </cell>
          <cell r="O844" t="str">
            <v>SAM 427</v>
          </cell>
          <cell r="P844" t="str">
            <v>0313-0537</v>
          </cell>
          <cell r="Q844" t="str">
            <v>Not Applicable</v>
          </cell>
          <cell r="R844" t="str">
            <v>MG Electric Ltd</v>
          </cell>
          <cell r="S844" t="str">
            <v>Delta Medisains</v>
          </cell>
          <cell r="T844" t="str">
            <v>Functioning</v>
          </cell>
          <cell r="U844" t="str">
            <v>Asset</v>
          </cell>
          <cell r="V844">
            <v>10705</v>
          </cell>
          <cell r="W844" t="str">
            <v>KEW</v>
          </cell>
          <cell r="X844" t="str">
            <v>01/09/2010</v>
          </cell>
          <cell r="Y844" t="str">
            <v>KEW</v>
          </cell>
          <cell r="Z844" t="str">
            <v>16/08/2013</v>
          </cell>
          <cell r="AA844" t="str">
            <v>15/08/2015</v>
          </cell>
          <cell r="AB844" t="str">
            <v>No</v>
          </cell>
          <cell r="AC844" t="str">
            <v>31/08/2013</v>
          </cell>
          <cell r="AD844" t="str">
            <v>Good</v>
          </cell>
          <cell r="AE844" t="str">
            <v>V1 - Existing / No Claim</v>
          </cell>
          <cell r="AF844">
            <v>42235</v>
          </cell>
          <cell r="AG844">
            <v>9.17</v>
          </cell>
          <cell r="AH844" t="str">
            <v>PPM</v>
          </cell>
          <cell r="AI844" t="str">
            <v>Strands</v>
          </cell>
          <cell r="AJ844" t="str">
            <v>Strands PW</v>
          </cell>
        </row>
        <row r="845">
          <cell r="A845" t="str">
            <v>IKN400383</v>
          </cell>
          <cell r="B845">
            <v>383</v>
          </cell>
          <cell r="C845" t="str">
            <v>Institut Kanser Negara</v>
          </cell>
          <cell r="D845" t="str">
            <v>KKM/IKN/H/13/2083</v>
          </cell>
          <cell r="E845" t="str">
            <v>17-148</v>
          </cell>
          <cell r="F845" t="str">
            <v>Oximeters, Pulse</v>
          </cell>
          <cell r="G845" t="str">
            <v>WE</v>
          </cell>
          <cell r="H845" t="str">
            <v>RT/ONCO WARD 1 (F)</v>
          </cell>
          <cell r="I845" t="str">
            <v>07WE113</v>
          </cell>
          <cell r="J845" t="str">
            <v>EQUIPMENT ROOM</v>
          </cell>
          <cell r="K845" t="str">
            <v>BMED</v>
          </cell>
          <cell r="L845" t="str">
            <v>Normal</v>
          </cell>
          <cell r="M845" t="str">
            <v>USA</v>
          </cell>
          <cell r="N845" t="str">
            <v>PalmSat</v>
          </cell>
          <cell r="O845" t="str">
            <v>PalmSat 2500</v>
          </cell>
          <cell r="P845" t="str">
            <v>501439272</v>
          </cell>
          <cell r="Q845" t="str">
            <v>Not Applicable</v>
          </cell>
          <cell r="R845" t="str">
            <v>Nonin Medical Inc</v>
          </cell>
          <cell r="S845" t="str">
            <v>Acucare Systems (M) Sdn bhd</v>
          </cell>
          <cell r="T845" t="str">
            <v>Functioning</v>
          </cell>
          <cell r="U845" t="str">
            <v>Asset</v>
          </cell>
          <cell r="V845">
            <v>5410</v>
          </cell>
          <cell r="W845" t="str">
            <v>KEW</v>
          </cell>
          <cell r="X845" t="str">
            <v>01/09/2010</v>
          </cell>
          <cell r="Y845" t="str">
            <v>KEW</v>
          </cell>
          <cell r="Z845" t="str">
            <v>16/08/2013</v>
          </cell>
          <cell r="AA845" t="str">
            <v>15/08/2015</v>
          </cell>
          <cell r="AB845" t="str">
            <v>No</v>
          </cell>
          <cell r="AC845" t="str">
            <v>31/08/2013</v>
          </cell>
          <cell r="AD845" t="str">
            <v>Good</v>
          </cell>
          <cell r="AE845" t="str">
            <v>V1 - Existing / No Claim</v>
          </cell>
          <cell r="AF845">
            <v>42235</v>
          </cell>
          <cell r="AG845">
            <v>9.17</v>
          </cell>
          <cell r="AH845" t="str">
            <v>PPM</v>
          </cell>
          <cell r="AI845" t="str">
            <v>Strands</v>
          </cell>
          <cell r="AJ845" t="str">
            <v>Strands PW</v>
          </cell>
        </row>
        <row r="846">
          <cell r="A846" t="str">
            <v>IKN400384</v>
          </cell>
          <cell r="B846">
            <v>384</v>
          </cell>
          <cell r="C846" t="str">
            <v>Institut Kanser Negara</v>
          </cell>
          <cell r="D846" t="str">
            <v>KKM/IKN/H/13/2082</v>
          </cell>
          <cell r="E846" t="str">
            <v>17-148</v>
          </cell>
          <cell r="F846" t="str">
            <v>Oximeters, Pulse</v>
          </cell>
          <cell r="G846" t="str">
            <v>WE</v>
          </cell>
          <cell r="H846" t="str">
            <v>RT/ONCO WARD 1 (F)</v>
          </cell>
          <cell r="I846" t="str">
            <v>07WE113</v>
          </cell>
          <cell r="J846" t="str">
            <v>EQUIPMENT ROOM</v>
          </cell>
          <cell r="K846" t="str">
            <v>BMED</v>
          </cell>
          <cell r="L846" t="str">
            <v>Normal</v>
          </cell>
          <cell r="M846" t="str">
            <v>USA</v>
          </cell>
          <cell r="N846" t="str">
            <v>PalmSat</v>
          </cell>
          <cell r="O846" t="str">
            <v>PalmSat 2500</v>
          </cell>
          <cell r="P846" t="str">
            <v>501442062</v>
          </cell>
          <cell r="Q846" t="str">
            <v>Not Applicable</v>
          </cell>
          <cell r="R846" t="str">
            <v>Nonin Medical Inc</v>
          </cell>
          <cell r="S846" t="str">
            <v>Acucare Systems (M) Sdn bhd</v>
          </cell>
          <cell r="T846" t="str">
            <v>Functioning</v>
          </cell>
          <cell r="U846" t="str">
            <v>Asset</v>
          </cell>
          <cell r="V846">
            <v>5410</v>
          </cell>
          <cell r="W846" t="str">
            <v>KEW</v>
          </cell>
          <cell r="X846" t="str">
            <v>01/09/2010</v>
          </cell>
          <cell r="Y846" t="str">
            <v>KEW</v>
          </cell>
          <cell r="Z846" t="str">
            <v>16/08/2013</v>
          </cell>
          <cell r="AA846" t="str">
            <v>15/08/2015</v>
          </cell>
          <cell r="AB846" t="str">
            <v>No</v>
          </cell>
          <cell r="AC846" t="str">
            <v>31/08/2013</v>
          </cell>
          <cell r="AD846" t="str">
            <v>Good</v>
          </cell>
          <cell r="AE846" t="str">
            <v>V1 - Existing / No Claim</v>
          </cell>
          <cell r="AF846">
            <v>42235</v>
          </cell>
          <cell r="AG846">
            <v>9.17</v>
          </cell>
          <cell r="AH846" t="str">
            <v>PPM</v>
          </cell>
          <cell r="AI846" t="str">
            <v>Strands</v>
          </cell>
          <cell r="AJ846" t="str">
            <v>Strands PW</v>
          </cell>
        </row>
        <row r="847">
          <cell r="A847" t="str">
            <v>IKN400385</v>
          </cell>
          <cell r="B847">
            <v>385</v>
          </cell>
          <cell r="C847" t="str">
            <v>Institut Kanser Negara</v>
          </cell>
          <cell r="D847" t="str">
            <v>KKM/IKN/H/13/2084</v>
          </cell>
          <cell r="E847" t="str">
            <v>12-647</v>
          </cell>
          <cell r="F847" t="str">
            <v>Physiologic Monitoring Systems, Acute Care</v>
          </cell>
          <cell r="G847" t="str">
            <v>WE</v>
          </cell>
          <cell r="H847" t="str">
            <v>RT/ONCO WARD 1 (F)</v>
          </cell>
          <cell r="I847" t="str">
            <v>07WE113</v>
          </cell>
          <cell r="J847" t="str">
            <v>EQUIPMENT ROOM</v>
          </cell>
          <cell r="K847" t="str">
            <v>BMED</v>
          </cell>
          <cell r="L847" t="str">
            <v>Critical</v>
          </cell>
          <cell r="M847" t="str">
            <v>USA</v>
          </cell>
          <cell r="N847" t="str">
            <v>GE</v>
          </cell>
          <cell r="O847" t="str">
            <v>GE B30</v>
          </cell>
          <cell r="P847" t="str">
            <v>SF312325908WA</v>
          </cell>
          <cell r="Q847" t="str">
            <v>Not Applicable</v>
          </cell>
          <cell r="R847" t="str">
            <v>GE Healthcare Systems</v>
          </cell>
          <cell r="S847" t="str">
            <v>GE Healthcare Technologies</v>
          </cell>
          <cell r="T847" t="str">
            <v>Functioning</v>
          </cell>
          <cell r="U847" t="str">
            <v>Asset</v>
          </cell>
          <cell r="V847">
            <v>44510</v>
          </cell>
          <cell r="W847" t="str">
            <v>KEW</v>
          </cell>
          <cell r="X847" t="str">
            <v>01/09/2010</v>
          </cell>
          <cell r="Y847" t="str">
            <v>KEW</v>
          </cell>
          <cell r="Z847" t="str">
            <v>16/08/2013</v>
          </cell>
          <cell r="AA847" t="str">
            <v>15/08/2015</v>
          </cell>
          <cell r="AB847" t="str">
            <v>No</v>
          </cell>
          <cell r="AC847" t="str">
            <v>31/08/2013</v>
          </cell>
          <cell r="AD847" t="str">
            <v>Good</v>
          </cell>
          <cell r="AE847" t="str">
            <v>V1 - Existing / No Claim</v>
          </cell>
          <cell r="AF847">
            <v>42789</v>
          </cell>
          <cell r="AG847">
            <v>9.17</v>
          </cell>
          <cell r="AH847" t="str">
            <v>PPM</v>
          </cell>
          <cell r="AI847" t="str">
            <v>Strands</v>
          </cell>
          <cell r="AJ847" t="str">
            <v>Strands PW</v>
          </cell>
        </row>
        <row r="848">
          <cell r="A848" t="str">
            <v>IKN400386</v>
          </cell>
          <cell r="B848">
            <v>386</v>
          </cell>
          <cell r="C848" t="str">
            <v>Institut Kanser Negara</v>
          </cell>
          <cell r="D848" t="str">
            <v>KKM/IKN/H/13/2086</v>
          </cell>
          <cell r="E848" t="str">
            <v>12-647</v>
          </cell>
          <cell r="F848" t="str">
            <v>Physiologic Monitoring Systems, Acute Care</v>
          </cell>
          <cell r="G848" t="str">
            <v>WE</v>
          </cell>
          <cell r="H848" t="str">
            <v>RT/ONCO WARD 1 (F)</v>
          </cell>
          <cell r="I848" t="str">
            <v>07WE113</v>
          </cell>
          <cell r="J848" t="str">
            <v>EQUIPMENT ROOM</v>
          </cell>
          <cell r="K848" t="str">
            <v>BMED</v>
          </cell>
          <cell r="L848" t="str">
            <v>Critical</v>
          </cell>
          <cell r="M848" t="str">
            <v>USA</v>
          </cell>
          <cell r="N848" t="str">
            <v>GE</v>
          </cell>
          <cell r="O848" t="str">
            <v>GE B30</v>
          </cell>
          <cell r="P848" t="str">
            <v>SF312325900WA</v>
          </cell>
          <cell r="Q848" t="str">
            <v>Not Applicable</v>
          </cell>
          <cell r="R848" t="str">
            <v>GE Healthcare Systems</v>
          </cell>
          <cell r="S848" t="str">
            <v>GE Healthcare Technologies</v>
          </cell>
          <cell r="T848" t="str">
            <v>Functioning</v>
          </cell>
          <cell r="U848" t="str">
            <v>Asset</v>
          </cell>
          <cell r="V848">
            <v>44510</v>
          </cell>
          <cell r="W848" t="str">
            <v>KEW</v>
          </cell>
          <cell r="X848" t="str">
            <v>01/09/2010</v>
          </cell>
          <cell r="Y848" t="str">
            <v>KEW</v>
          </cell>
          <cell r="Z848" t="str">
            <v>16/08/2013</v>
          </cell>
          <cell r="AA848" t="str">
            <v>15/08/2015</v>
          </cell>
          <cell r="AB848" t="str">
            <v>No</v>
          </cell>
          <cell r="AC848" t="str">
            <v>31/08/2013</v>
          </cell>
          <cell r="AD848" t="str">
            <v>Good</v>
          </cell>
          <cell r="AE848" t="str">
            <v>V1 - Existing / No Claim</v>
          </cell>
          <cell r="AF848">
            <v>42789</v>
          </cell>
          <cell r="AG848">
            <v>9.17</v>
          </cell>
          <cell r="AH848" t="str">
            <v>PPM</v>
          </cell>
          <cell r="AI848" t="str">
            <v>Strands</v>
          </cell>
          <cell r="AJ848" t="str">
            <v>Strands PW</v>
          </cell>
        </row>
        <row r="849">
          <cell r="A849" t="str">
            <v>IKN400387</v>
          </cell>
          <cell r="B849">
            <v>387</v>
          </cell>
          <cell r="C849" t="str">
            <v>Institut Kanser Negara</v>
          </cell>
          <cell r="D849" t="str">
            <v>KKM/IKN/H/13/2114</v>
          </cell>
          <cell r="E849" t="str">
            <v>16-173</v>
          </cell>
          <cell r="F849" t="str">
            <v>Sphygmomanometers, Electronic, Automatic</v>
          </cell>
          <cell r="G849" t="str">
            <v>WE</v>
          </cell>
          <cell r="H849" t="str">
            <v>RT/ONCO WARD 1 (F)</v>
          </cell>
          <cell r="I849" t="str">
            <v>07WE143</v>
          </cell>
          <cell r="J849" t="str">
            <v>NURSE STATION</v>
          </cell>
          <cell r="K849" t="str">
            <v>BMED</v>
          </cell>
          <cell r="L849" t="str">
            <v>Critical</v>
          </cell>
          <cell r="M849" t="str">
            <v>USA</v>
          </cell>
          <cell r="N849" t="str">
            <v>Connex</v>
          </cell>
          <cell r="O849" t="str">
            <v>Connex ProBP 3400</v>
          </cell>
          <cell r="P849" t="str">
            <v>100001440613</v>
          </cell>
          <cell r="Q849" t="str">
            <v>Not Applicable</v>
          </cell>
          <cell r="R849" t="str">
            <v>Welch Allyn Inc</v>
          </cell>
          <cell r="S849" t="str">
            <v>Welch Allyn Malaysia Sdn Bhd</v>
          </cell>
          <cell r="T849" t="str">
            <v>Functioning</v>
          </cell>
          <cell r="U849" t="str">
            <v>Asset</v>
          </cell>
          <cell r="V849">
            <v>4510</v>
          </cell>
          <cell r="W849" t="str">
            <v>KEW</v>
          </cell>
          <cell r="X849" t="str">
            <v>01/09/2010</v>
          </cell>
          <cell r="Y849" t="str">
            <v>KEW</v>
          </cell>
          <cell r="Z849" t="str">
            <v>16/08/2013</v>
          </cell>
          <cell r="AA849" t="str">
            <v>15/08/2015</v>
          </cell>
          <cell r="AB849" t="str">
            <v>No</v>
          </cell>
          <cell r="AC849" t="str">
            <v>31/08/2013</v>
          </cell>
          <cell r="AD849" t="str">
            <v>Good</v>
          </cell>
          <cell r="AE849" t="str">
            <v>V1 - Existing / No Claim</v>
          </cell>
          <cell r="AF849">
            <v>42789</v>
          </cell>
          <cell r="AG849">
            <v>9.17</v>
          </cell>
          <cell r="AH849" t="str">
            <v>PPM</v>
          </cell>
          <cell r="AI849" t="str">
            <v>Strands</v>
          </cell>
          <cell r="AJ849" t="str">
            <v>Strands PW</v>
          </cell>
        </row>
        <row r="850">
          <cell r="A850" t="str">
            <v>IKN400389</v>
          </cell>
          <cell r="B850">
            <v>389</v>
          </cell>
          <cell r="C850" t="str">
            <v>Institut Kanser Negara</v>
          </cell>
          <cell r="D850" t="str">
            <v>KKM/IKN/H/13/2113</v>
          </cell>
          <cell r="E850" t="str">
            <v>16-173</v>
          </cell>
          <cell r="F850" t="str">
            <v>Sphygmomanometers, Electronic, Automatic</v>
          </cell>
          <cell r="G850" t="str">
            <v>WE</v>
          </cell>
          <cell r="H850" t="str">
            <v>RT/ONCO WARD 1 (F)</v>
          </cell>
          <cell r="I850" t="str">
            <v>07WE143</v>
          </cell>
          <cell r="J850" t="str">
            <v>NURSE STATION</v>
          </cell>
          <cell r="K850" t="str">
            <v>BMED</v>
          </cell>
          <cell r="L850" t="str">
            <v>Normal</v>
          </cell>
          <cell r="M850" t="str">
            <v>USA</v>
          </cell>
          <cell r="N850" t="str">
            <v>Connex</v>
          </cell>
          <cell r="O850" t="str">
            <v>Connex ProBP 3400</v>
          </cell>
          <cell r="P850" t="str">
            <v>100001720613</v>
          </cell>
          <cell r="Q850" t="str">
            <v>Not Applicable</v>
          </cell>
          <cell r="R850" t="str">
            <v>Welch Allyn Inc</v>
          </cell>
          <cell r="S850" t="str">
            <v>Welch Allyn Malaysia Sdn Bhd</v>
          </cell>
          <cell r="T850" t="str">
            <v>Functioning</v>
          </cell>
          <cell r="U850" t="str">
            <v>Asset</v>
          </cell>
          <cell r="V850">
            <v>4510</v>
          </cell>
          <cell r="W850" t="str">
            <v>KEW</v>
          </cell>
          <cell r="X850" t="str">
            <v>01/09/2010</v>
          </cell>
          <cell r="Y850" t="str">
            <v>KEW</v>
          </cell>
          <cell r="Z850" t="str">
            <v>16/08/2013</v>
          </cell>
          <cell r="AA850" t="str">
            <v>15/08/2015</v>
          </cell>
          <cell r="AB850" t="str">
            <v>No</v>
          </cell>
          <cell r="AC850" t="str">
            <v>31/08/2013</v>
          </cell>
          <cell r="AD850" t="str">
            <v>Good</v>
          </cell>
          <cell r="AE850" t="str">
            <v>V1 - Existing / No Claim</v>
          </cell>
          <cell r="AF850">
            <v>42235</v>
          </cell>
          <cell r="AG850">
            <v>9.17</v>
          </cell>
          <cell r="AH850" t="str">
            <v>PPM</v>
          </cell>
          <cell r="AI850" t="str">
            <v>Strands</v>
          </cell>
          <cell r="AJ850" t="str">
            <v>Strands PW</v>
          </cell>
        </row>
        <row r="851">
          <cell r="A851" t="str">
            <v>IKN400390</v>
          </cell>
          <cell r="B851">
            <v>390</v>
          </cell>
          <cell r="C851" t="str">
            <v>Institut Kanser Negara</v>
          </cell>
          <cell r="D851" t="str">
            <v>KKM/IKN/H/13/2095</v>
          </cell>
          <cell r="E851" t="str">
            <v>25-209</v>
          </cell>
          <cell r="F851" t="str">
            <v>Monitors, Physiologic, Vital Signs</v>
          </cell>
          <cell r="G851" t="str">
            <v>WE</v>
          </cell>
          <cell r="H851" t="str">
            <v>RT/ONCO WARD 1 (F)</v>
          </cell>
          <cell r="I851" t="str">
            <v>07WE143</v>
          </cell>
          <cell r="J851" t="str">
            <v>NURSE STATION</v>
          </cell>
          <cell r="K851" t="str">
            <v>BMED</v>
          </cell>
          <cell r="L851" t="str">
            <v>Critical</v>
          </cell>
          <cell r="M851" t="str">
            <v>Mexico</v>
          </cell>
          <cell r="N851" t="str">
            <v>Carespace</v>
          </cell>
          <cell r="O851" t="str">
            <v>Carescape V100</v>
          </cell>
          <cell r="P851" t="str">
            <v>SH613280315SA</v>
          </cell>
          <cell r="Q851" t="str">
            <v>Not Applicable</v>
          </cell>
          <cell r="R851" t="str">
            <v>GE Healthcare Systems</v>
          </cell>
          <cell r="S851" t="str">
            <v>GE Healthcare Technologies</v>
          </cell>
          <cell r="T851" t="str">
            <v>Functioning</v>
          </cell>
          <cell r="U851" t="str">
            <v>Asset</v>
          </cell>
          <cell r="V851">
            <v>18765</v>
          </cell>
          <cell r="W851" t="str">
            <v>KEW</v>
          </cell>
          <cell r="X851" t="str">
            <v>01/09/2010</v>
          </cell>
          <cell r="Y851" t="str">
            <v>KEW</v>
          </cell>
          <cell r="Z851" t="str">
            <v>16/08/2013</v>
          </cell>
          <cell r="AA851" t="str">
            <v>15/08/2015</v>
          </cell>
          <cell r="AB851" t="str">
            <v>No</v>
          </cell>
          <cell r="AC851" t="str">
            <v>31/08/2013</v>
          </cell>
          <cell r="AD851" t="str">
            <v>Good</v>
          </cell>
          <cell r="AE851" t="str">
            <v>V1 - Existing / No Claim</v>
          </cell>
          <cell r="AF851">
            <v>42790</v>
          </cell>
          <cell r="AG851">
            <v>9.17</v>
          </cell>
          <cell r="AH851" t="str">
            <v>PPM</v>
          </cell>
          <cell r="AI851" t="str">
            <v>Strands</v>
          </cell>
          <cell r="AJ851" t="str">
            <v>Strands PW</v>
          </cell>
        </row>
        <row r="852">
          <cell r="A852" t="str">
            <v>IKN400392</v>
          </cell>
          <cell r="B852">
            <v>392</v>
          </cell>
          <cell r="C852" t="str">
            <v>Institut Kanser Negara</v>
          </cell>
          <cell r="D852" t="str">
            <v>KKM/IKN/H/13/2092</v>
          </cell>
          <cell r="E852" t="str">
            <v>11-134</v>
          </cell>
          <cell r="F852" t="str">
            <v>Defibrillators, External, Manual</v>
          </cell>
          <cell r="G852" t="str">
            <v>WE</v>
          </cell>
          <cell r="H852" t="str">
            <v>RT/ONCO WARD 1 (F)</v>
          </cell>
          <cell r="I852" t="str">
            <v>07WE133</v>
          </cell>
          <cell r="J852" t="str">
            <v>RESUS EQ. BAY</v>
          </cell>
          <cell r="K852" t="str">
            <v>BMED</v>
          </cell>
          <cell r="L852" t="str">
            <v>Critical</v>
          </cell>
          <cell r="M852" t="str">
            <v>USA</v>
          </cell>
          <cell r="N852" t="str">
            <v>Responder</v>
          </cell>
          <cell r="O852" t="str">
            <v>Responder 2000</v>
          </cell>
          <cell r="P852" t="str">
            <v>3206735</v>
          </cell>
          <cell r="Q852" t="str">
            <v>Not Applicable</v>
          </cell>
          <cell r="R852" t="str">
            <v>GE Medical Systems</v>
          </cell>
          <cell r="S852" t="str">
            <v>Antah Sir Radin Sdn. Bhd.</v>
          </cell>
          <cell r="T852" t="str">
            <v>Functioning</v>
          </cell>
          <cell r="U852" t="str">
            <v>Asset</v>
          </cell>
          <cell r="V852">
            <v>45000</v>
          </cell>
          <cell r="W852" t="str">
            <v>Estimate</v>
          </cell>
          <cell r="X852" t="str">
            <v>01/09/2010</v>
          </cell>
          <cell r="Y852" t="str">
            <v>KEW</v>
          </cell>
          <cell r="Z852" t="str">
            <v>16/08/2013</v>
          </cell>
          <cell r="AA852" t="str">
            <v>15/08/2015</v>
          </cell>
          <cell r="AB852" t="str">
            <v>No</v>
          </cell>
          <cell r="AC852" t="str">
            <v>31/08/2013</v>
          </cell>
          <cell r="AD852" t="str">
            <v>Good</v>
          </cell>
          <cell r="AE852" t="str">
            <v>V1 - Existing / No Claim</v>
          </cell>
          <cell r="AF852">
            <v>42789</v>
          </cell>
          <cell r="AG852">
            <v>9.17</v>
          </cell>
          <cell r="AH852" t="str">
            <v>PPM</v>
          </cell>
          <cell r="AI852" t="str">
            <v>Strands</v>
          </cell>
          <cell r="AJ852" t="str">
            <v>Strands PW</v>
          </cell>
        </row>
        <row r="853">
          <cell r="A853" t="str">
            <v>IKN400397</v>
          </cell>
          <cell r="B853">
            <v>397</v>
          </cell>
          <cell r="C853" t="str">
            <v>Institut Kanser Negara</v>
          </cell>
          <cell r="D853" t="str">
            <v>KKM/IKN/H/13/3641</v>
          </cell>
          <cell r="E853" t="str">
            <v>11-134</v>
          </cell>
          <cell r="F853" t="str">
            <v>Defibrillators, External, Manual</v>
          </cell>
          <cell r="G853" t="str">
            <v>WD</v>
          </cell>
          <cell r="H853" t="str">
            <v>RT/ONCO PAED/ADOLESCENT WARD</v>
          </cell>
          <cell r="I853" t="str">
            <v>06WD145</v>
          </cell>
          <cell r="J853" t="str">
            <v>RESUS. EQUIP. BAY</v>
          </cell>
          <cell r="K853" t="str">
            <v>BMED</v>
          </cell>
          <cell r="L853" t="str">
            <v>Critical</v>
          </cell>
          <cell r="M853" t="str">
            <v>USA</v>
          </cell>
          <cell r="N853" t="str">
            <v>Responder</v>
          </cell>
          <cell r="O853" t="str">
            <v>Responder 2000</v>
          </cell>
          <cell r="P853" t="str">
            <v>3206726</v>
          </cell>
          <cell r="Q853" t="str">
            <v>Not Applicable</v>
          </cell>
          <cell r="R853" t="str">
            <v>GE Medical Systems</v>
          </cell>
          <cell r="S853" t="str">
            <v>Antah Sir Radin Sdn. Bhd.</v>
          </cell>
          <cell r="T853" t="str">
            <v>Functioning</v>
          </cell>
          <cell r="U853" t="str">
            <v>Asset</v>
          </cell>
          <cell r="V853">
            <v>45000</v>
          </cell>
          <cell r="W853" t="str">
            <v>Estimate</v>
          </cell>
          <cell r="X853" t="str">
            <v>01/09/2010</v>
          </cell>
          <cell r="Y853" t="str">
            <v>KEW</v>
          </cell>
          <cell r="Z853" t="str">
            <v>16/08/2013</v>
          </cell>
          <cell r="AA853" t="str">
            <v>15/08/2015</v>
          </cell>
          <cell r="AB853" t="str">
            <v>No</v>
          </cell>
          <cell r="AC853" t="str">
            <v>31/08/2013</v>
          </cell>
          <cell r="AD853" t="str">
            <v>Good</v>
          </cell>
          <cell r="AE853" t="str">
            <v>V1 - Existing / No Claim</v>
          </cell>
          <cell r="AF853">
            <v>42601</v>
          </cell>
          <cell r="AG853">
            <v>9.17</v>
          </cell>
          <cell r="AH853" t="str">
            <v>PPM</v>
          </cell>
          <cell r="AI853" t="str">
            <v>Strands</v>
          </cell>
          <cell r="AJ853" t="str">
            <v>Strands PW</v>
          </cell>
        </row>
        <row r="854">
          <cell r="A854" t="str">
            <v>IKN400398</v>
          </cell>
          <cell r="B854">
            <v>398</v>
          </cell>
          <cell r="C854" t="str">
            <v>Institut Kanser Negara</v>
          </cell>
          <cell r="D854" t="str">
            <v>KKM/IKN/H/13/4745</v>
          </cell>
          <cell r="E854" t="str">
            <v>12-282</v>
          </cell>
          <cell r="F854" t="str">
            <v>Lights, Surgical</v>
          </cell>
          <cell r="G854" t="str">
            <v>WD</v>
          </cell>
          <cell r="H854" t="str">
            <v>RT/ONCO PAED/ADOLESCENT WARD</v>
          </cell>
          <cell r="I854" t="str">
            <v>06WD153</v>
          </cell>
          <cell r="J854" t="str">
            <v>EQP.ROOM</v>
          </cell>
          <cell r="K854" t="str">
            <v>BMED</v>
          </cell>
          <cell r="L854" t="str">
            <v>Normal</v>
          </cell>
          <cell r="M854" t="str">
            <v>USA</v>
          </cell>
          <cell r="N854" t="str">
            <v>Welch Allyn</v>
          </cell>
          <cell r="O854" t="str">
            <v>Welch Allyn GS600</v>
          </cell>
          <cell r="P854" t="str">
            <v>GS-600-37</v>
          </cell>
          <cell r="Q854" t="str">
            <v>Not Applicable</v>
          </cell>
          <cell r="R854" t="str">
            <v>Welch Allyn Inc</v>
          </cell>
          <cell r="S854" t="str">
            <v>Welch Allyn Malaysia Sdn Bhd</v>
          </cell>
          <cell r="T854" t="str">
            <v>Functioning</v>
          </cell>
          <cell r="U854" t="str">
            <v>Asset</v>
          </cell>
          <cell r="V854">
            <v>5050</v>
          </cell>
          <cell r="W854" t="str">
            <v>KEW</v>
          </cell>
          <cell r="X854" t="str">
            <v>01/09/2010</v>
          </cell>
          <cell r="Y854" t="str">
            <v>KEW</v>
          </cell>
          <cell r="Z854" t="str">
            <v>16/08/2013</v>
          </cell>
          <cell r="AA854" t="str">
            <v>15/08/2015</v>
          </cell>
          <cell r="AB854" t="str">
            <v>No</v>
          </cell>
          <cell r="AC854" t="str">
            <v>31/08/2013</v>
          </cell>
          <cell r="AD854" t="str">
            <v>Good</v>
          </cell>
          <cell r="AE854" t="str">
            <v>V1 - Existing / No Claim</v>
          </cell>
          <cell r="AF854">
            <v>42235</v>
          </cell>
          <cell r="AG854">
            <v>9.17</v>
          </cell>
          <cell r="AH854" t="str">
            <v>PPM</v>
          </cell>
          <cell r="AI854" t="str">
            <v>Strands</v>
          </cell>
          <cell r="AJ854" t="str">
            <v>Strands PW</v>
          </cell>
        </row>
        <row r="855">
          <cell r="A855" t="str">
            <v>IKN400399</v>
          </cell>
          <cell r="B855">
            <v>399</v>
          </cell>
          <cell r="C855" t="str">
            <v>Institut Kanser Negara</v>
          </cell>
          <cell r="D855" t="str">
            <v>KKM/IKN/H/13/2165</v>
          </cell>
          <cell r="E855" t="str">
            <v>12-282</v>
          </cell>
          <cell r="F855" t="str">
            <v>Lights, Surgical</v>
          </cell>
          <cell r="G855" t="str">
            <v>WD</v>
          </cell>
          <cell r="H855" t="str">
            <v>RT/ONCO PAED/ADOLESCENT WARD</v>
          </cell>
          <cell r="I855" t="str">
            <v>06WD153</v>
          </cell>
          <cell r="J855" t="str">
            <v>EQP.ROOM</v>
          </cell>
          <cell r="K855" t="str">
            <v>BMED</v>
          </cell>
          <cell r="L855" t="str">
            <v>Normal</v>
          </cell>
          <cell r="M855" t="str">
            <v>USA</v>
          </cell>
          <cell r="N855" t="str">
            <v>Welch Allyn</v>
          </cell>
          <cell r="O855" t="str">
            <v>Welch Allyn GS600</v>
          </cell>
          <cell r="P855" t="str">
            <v>GS-600-46</v>
          </cell>
          <cell r="Q855" t="str">
            <v>Not Applicable</v>
          </cell>
          <cell r="R855" t="str">
            <v>Welch Allyn Inc</v>
          </cell>
          <cell r="S855" t="str">
            <v>Welch Allyn Malaysia Sdn Bhd</v>
          </cell>
          <cell r="T855" t="str">
            <v>Functioning</v>
          </cell>
          <cell r="U855" t="str">
            <v>Asset</v>
          </cell>
          <cell r="V855">
            <v>5050</v>
          </cell>
          <cell r="W855" t="str">
            <v>KEW</v>
          </cell>
          <cell r="X855" t="str">
            <v>01/09/2010</v>
          </cell>
          <cell r="Y855" t="str">
            <v>KEW</v>
          </cell>
          <cell r="Z855" t="str">
            <v>16/08/2013</v>
          </cell>
          <cell r="AA855" t="str">
            <v>15/08/2015</v>
          </cell>
          <cell r="AB855" t="str">
            <v>No</v>
          </cell>
          <cell r="AC855" t="str">
            <v>31/08/2013</v>
          </cell>
          <cell r="AD855" t="str">
            <v>Good</v>
          </cell>
          <cell r="AE855" t="str">
            <v>V1 - Existing / No Claim</v>
          </cell>
          <cell r="AF855">
            <v>42235</v>
          </cell>
          <cell r="AG855">
            <v>9.17</v>
          </cell>
          <cell r="AH855" t="str">
            <v>PPM</v>
          </cell>
          <cell r="AI855" t="str">
            <v>Strands</v>
          </cell>
          <cell r="AJ855" t="str">
            <v>Strands PW</v>
          </cell>
        </row>
        <row r="856">
          <cell r="A856" t="str">
            <v>IKN400400</v>
          </cell>
          <cell r="B856">
            <v>400</v>
          </cell>
          <cell r="C856" t="str">
            <v>Institut Kanser Negara</v>
          </cell>
          <cell r="D856" t="str">
            <v>KKM/IKN/H/13/2166</v>
          </cell>
          <cell r="E856" t="str">
            <v>15-045</v>
          </cell>
          <cell r="F856" t="str">
            <v>Nebulizers, Nonheated</v>
          </cell>
          <cell r="G856" t="str">
            <v>WD</v>
          </cell>
          <cell r="H856" t="str">
            <v>RT/ONCO PAED/ADOLESCENT WARD</v>
          </cell>
          <cell r="I856" t="str">
            <v>06WD153</v>
          </cell>
          <cell r="J856" t="str">
            <v>EQP.ROOM</v>
          </cell>
          <cell r="K856" t="str">
            <v>BMED</v>
          </cell>
          <cell r="L856" t="str">
            <v>Normal</v>
          </cell>
          <cell r="M856" t="str">
            <v>Germany</v>
          </cell>
          <cell r="N856" t="str">
            <v>Pari Boy</v>
          </cell>
          <cell r="O856" t="str">
            <v>Pari Boy SX 085</v>
          </cell>
          <cell r="P856" t="str">
            <v>2W12F13819</v>
          </cell>
          <cell r="Q856" t="str">
            <v>Not Applicable</v>
          </cell>
          <cell r="R856" t="str">
            <v>Pari GmbH</v>
          </cell>
          <cell r="S856" t="str">
            <v>Welch Allyn Malaysia Sdn Bhd</v>
          </cell>
          <cell r="T856" t="str">
            <v>Functioning</v>
          </cell>
          <cell r="U856" t="str">
            <v>Asset</v>
          </cell>
          <cell r="V856">
            <v>1140</v>
          </cell>
          <cell r="W856" t="str">
            <v>KEW</v>
          </cell>
          <cell r="X856" t="str">
            <v>01/09/2010</v>
          </cell>
          <cell r="Y856" t="str">
            <v>KEW</v>
          </cell>
          <cell r="Z856" t="str">
            <v>16/08/2013</v>
          </cell>
          <cell r="AA856" t="str">
            <v>15/08/2015</v>
          </cell>
          <cell r="AB856" t="str">
            <v>No</v>
          </cell>
          <cell r="AC856" t="str">
            <v>31/08/2013</v>
          </cell>
          <cell r="AD856" t="str">
            <v>Good</v>
          </cell>
          <cell r="AE856" t="str">
            <v>V1 - Existing / No Claim</v>
          </cell>
          <cell r="AF856">
            <v>42235</v>
          </cell>
          <cell r="AG856">
            <v>9.17</v>
          </cell>
          <cell r="AH856" t="str">
            <v>PPM</v>
          </cell>
          <cell r="AI856" t="str">
            <v>Strands</v>
          </cell>
          <cell r="AJ856" t="str">
            <v>Strands PW</v>
          </cell>
        </row>
        <row r="857">
          <cell r="A857" t="str">
            <v>IKN400401</v>
          </cell>
          <cell r="B857">
            <v>401</v>
          </cell>
          <cell r="C857" t="str">
            <v>Institut Kanser Negara</v>
          </cell>
          <cell r="D857" t="str">
            <v>KKM/IKN/H/13/2167</v>
          </cell>
          <cell r="E857" t="str">
            <v>15-045</v>
          </cell>
          <cell r="F857" t="str">
            <v>Nebulizers, Nonheated</v>
          </cell>
          <cell r="G857" t="str">
            <v>WD</v>
          </cell>
          <cell r="H857" t="str">
            <v>RT/ONCO PAED/ADOLESCENT WARD</v>
          </cell>
          <cell r="I857" t="str">
            <v>06WD153</v>
          </cell>
          <cell r="J857" t="str">
            <v>EQP.ROOM</v>
          </cell>
          <cell r="K857" t="str">
            <v>BMED</v>
          </cell>
          <cell r="L857" t="str">
            <v>Normal</v>
          </cell>
          <cell r="M857" t="str">
            <v>Germany</v>
          </cell>
          <cell r="N857" t="str">
            <v>Pari Boy</v>
          </cell>
          <cell r="O857" t="str">
            <v>Pari Boy SX 085</v>
          </cell>
          <cell r="P857" t="str">
            <v>2W12F13747</v>
          </cell>
          <cell r="Q857" t="str">
            <v>Not Applicable</v>
          </cell>
          <cell r="R857" t="str">
            <v>Pari GmbH</v>
          </cell>
          <cell r="S857" t="str">
            <v>Welch Allyn Malaysia Sdn Bhd</v>
          </cell>
          <cell r="T857" t="str">
            <v>Functioning</v>
          </cell>
          <cell r="U857" t="str">
            <v>Asset</v>
          </cell>
          <cell r="V857">
            <v>1140</v>
          </cell>
          <cell r="W857" t="str">
            <v>KEW</v>
          </cell>
          <cell r="X857" t="str">
            <v>01/09/2010</v>
          </cell>
          <cell r="Y857" t="str">
            <v>KEW</v>
          </cell>
          <cell r="Z857" t="str">
            <v>16/08/2013</v>
          </cell>
          <cell r="AA857" t="str">
            <v>15/08/2015</v>
          </cell>
          <cell r="AB857" t="str">
            <v>No</v>
          </cell>
          <cell r="AC857" t="str">
            <v>31/08/2013</v>
          </cell>
          <cell r="AD857" t="str">
            <v>Good</v>
          </cell>
          <cell r="AE857" t="str">
            <v>V1 - Existing / No Claim</v>
          </cell>
          <cell r="AF857">
            <v>42235</v>
          </cell>
          <cell r="AG857">
            <v>9.17</v>
          </cell>
          <cell r="AH857" t="str">
            <v>PPM</v>
          </cell>
          <cell r="AI857" t="str">
            <v>Strands</v>
          </cell>
          <cell r="AJ857" t="str">
            <v>Strands PW</v>
          </cell>
        </row>
        <row r="858">
          <cell r="A858" t="str">
            <v>IKN400402</v>
          </cell>
          <cell r="B858">
            <v>402</v>
          </cell>
          <cell r="C858" t="str">
            <v>Institut Kanser Negara</v>
          </cell>
          <cell r="D858" t="str">
            <v>KKM/IKN/H/13/2168</v>
          </cell>
          <cell r="E858" t="str">
            <v>15-045</v>
          </cell>
          <cell r="F858" t="str">
            <v>Nebulizers, Nonheated</v>
          </cell>
          <cell r="G858" t="str">
            <v>WD</v>
          </cell>
          <cell r="H858" t="str">
            <v>RT/ONCO PAED/ADOLESCENT WARD</v>
          </cell>
          <cell r="I858" t="str">
            <v>06WD153</v>
          </cell>
          <cell r="J858" t="str">
            <v>EQP.ROOM</v>
          </cell>
          <cell r="K858" t="str">
            <v>BMED</v>
          </cell>
          <cell r="L858" t="str">
            <v>Normal</v>
          </cell>
          <cell r="M858" t="str">
            <v>Germany</v>
          </cell>
          <cell r="N858" t="str">
            <v>Pari Boy</v>
          </cell>
          <cell r="O858" t="str">
            <v>Pari Boy SX 085</v>
          </cell>
          <cell r="P858" t="str">
            <v>2W12F13822</v>
          </cell>
          <cell r="Q858" t="str">
            <v>Not Applicable</v>
          </cell>
          <cell r="R858" t="str">
            <v>Pari GmbH</v>
          </cell>
          <cell r="S858" t="str">
            <v>Welch Allyn Malaysia Sdn Bhd</v>
          </cell>
          <cell r="T858" t="str">
            <v>Functioning</v>
          </cell>
          <cell r="U858" t="str">
            <v>Asset</v>
          </cell>
          <cell r="V858">
            <v>1140</v>
          </cell>
          <cell r="W858" t="str">
            <v>KEW</v>
          </cell>
          <cell r="X858" t="str">
            <v>01/09/2010</v>
          </cell>
          <cell r="Y858" t="str">
            <v>KEW</v>
          </cell>
          <cell r="Z858" t="str">
            <v>16/08/2013</v>
          </cell>
          <cell r="AA858" t="str">
            <v>15/08/2015</v>
          </cell>
          <cell r="AB858" t="str">
            <v>No</v>
          </cell>
          <cell r="AC858" t="str">
            <v>31/08/2013</v>
          </cell>
          <cell r="AD858" t="str">
            <v>Good</v>
          </cell>
          <cell r="AE858" t="str">
            <v>V1 - Existing / No Claim</v>
          </cell>
          <cell r="AF858">
            <v>42235</v>
          </cell>
          <cell r="AG858">
            <v>9.17</v>
          </cell>
          <cell r="AH858" t="str">
            <v>PPM</v>
          </cell>
          <cell r="AI858" t="str">
            <v>Strands</v>
          </cell>
          <cell r="AJ858" t="str">
            <v>Strands PW</v>
          </cell>
        </row>
        <row r="859">
          <cell r="A859" t="str">
            <v>IKN400403</v>
          </cell>
          <cell r="B859">
            <v>403</v>
          </cell>
          <cell r="C859" t="str">
            <v>Institut Kanser Negara</v>
          </cell>
          <cell r="D859" t="str">
            <v>KKM/IKN/H/13/2169</v>
          </cell>
          <cell r="E859" t="str">
            <v>16-173</v>
          </cell>
          <cell r="F859" t="str">
            <v>Sphygmomanometers, Electronic, Automatic</v>
          </cell>
          <cell r="G859" t="str">
            <v>WD</v>
          </cell>
          <cell r="H859" t="str">
            <v>RT/ONCO PAED/ADOLESCENT WARD</v>
          </cell>
          <cell r="I859" t="str">
            <v>06WD146</v>
          </cell>
          <cell r="J859" t="str">
            <v>NURSE STATION</v>
          </cell>
          <cell r="K859" t="str">
            <v>BMED</v>
          </cell>
          <cell r="L859" t="str">
            <v>Normal</v>
          </cell>
          <cell r="M859" t="str">
            <v>USA</v>
          </cell>
          <cell r="N859" t="str">
            <v>Connex</v>
          </cell>
          <cell r="O859" t="str">
            <v>Connex ProBP 3400</v>
          </cell>
          <cell r="P859" t="str">
            <v>100001420613</v>
          </cell>
          <cell r="Q859" t="str">
            <v>Not Applicable</v>
          </cell>
          <cell r="R859" t="str">
            <v>Welch Allyn Inc</v>
          </cell>
          <cell r="S859" t="str">
            <v>Welch Allyn Malaysia Sdn Bhd</v>
          </cell>
          <cell r="T859" t="str">
            <v>Functioning</v>
          </cell>
          <cell r="U859" t="str">
            <v>Asset</v>
          </cell>
          <cell r="V859">
            <v>4510</v>
          </cell>
          <cell r="W859" t="str">
            <v>KEW</v>
          </cell>
          <cell r="X859" t="str">
            <v>01/09/2010</v>
          </cell>
          <cell r="Y859" t="str">
            <v>KEW</v>
          </cell>
          <cell r="Z859" t="str">
            <v>16/08/2013</v>
          </cell>
          <cell r="AA859" t="str">
            <v>15/08/2015</v>
          </cell>
          <cell r="AB859" t="str">
            <v>No</v>
          </cell>
          <cell r="AC859" t="str">
            <v>31/08/2013</v>
          </cell>
          <cell r="AD859" t="str">
            <v>Good</v>
          </cell>
          <cell r="AE859" t="str">
            <v>V1 - Existing / No Claim</v>
          </cell>
          <cell r="AF859">
            <v>42235</v>
          </cell>
          <cell r="AG859">
            <v>9.17</v>
          </cell>
          <cell r="AH859" t="str">
            <v>PPM</v>
          </cell>
          <cell r="AI859" t="str">
            <v>Strands</v>
          </cell>
          <cell r="AJ859" t="str">
            <v>Strands PW</v>
          </cell>
        </row>
        <row r="860">
          <cell r="A860" t="str">
            <v>IKN400404</v>
          </cell>
          <cell r="B860">
            <v>404</v>
          </cell>
          <cell r="C860" t="str">
            <v>Institut Kanser Negara</v>
          </cell>
          <cell r="D860" t="str">
            <v>KKM/IKN/H/13/2170</v>
          </cell>
          <cell r="E860" t="str">
            <v>16-173</v>
          </cell>
          <cell r="F860" t="str">
            <v>Sphygmomanometers, Electronic, Automatic</v>
          </cell>
          <cell r="G860" t="str">
            <v>WD</v>
          </cell>
          <cell r="H860" t="str">
            <v>RT/ONCO PAED/ADOLESCENT WARD</v>
          </cell>
          <cell r="I860" t="str">
            <v>06WD146</v>
          </cell>
          <cell r="J860" t="str">
            <v>NURSE STATION</v>
          </cell>
          <cell r="K860" t="str">
            <v>BMED</v>
          </cell>
          <cell r="L860" t="str">
            <v>Critical</v>
          </cell>
          <cell r="M860" t="str">
            <v>USA</v>
          </cell>
          <cell r="N860" t="str">
            <v>Welch Allyn</v>
          </cell>
          <cell r="O860" t="str">
            <v>Connex ProBP 3400</v>
          </cell>
          <cell r="P860" t="str">
            <v>100001660613</v>
          </cell>
          <cell r="Q860" t="str">
            <v>Not Applicable</v>
          </cell>
          <cell r="R860" t="str">
            <v>Welch Allyn Inc</v>
          </cell>
          <cell r="S860" t="str">
            <v>Welch Allyn Malaysia Sdn Bhd</v>
          </cell>
          <cell r="T860" t="str">
            <v>Functioning</v>
          </cell>
          <cell r="U860" t="str">
            <v>Asset</v>
          </cell>
          <cell r="V860">
            <v>4510</v>
          </cell>
          <cell r="W860" t="str">
            <v>KEW</v>
          </cell>
          <cell r="X860" t="str">
            <v>01/09/2010</v>
          </cell>
          <cell r="Y860" t="str">
            <v>KEW</v>
          </cell>
          <cell r="Z860" t="str">
            <v>16/08/2013</v>
          </cell>
          <cell r="AA860" t="str">
            <v>15/08/2015</v>
          </cell>
          <cell r="AB860" t="str">
            <v>No</v>
          </cell>
          <cell r="AC860" t="str">
            <v>31/08/2013</v>
          </cell>
          <cell r="AD860" t="str">
            <v>Good</v>
          </cell>
          <cell r="AE860" t="str">
            <v>V1 - Existing / No Claim</v>
          </cell>
          <cell r="AF860">
            <v>42787</v>
          </cell>
          <cell r="AG860">
            <v>9.17</v>
          </cell>
          <cell r="AH860" t="str">
            <v>PPM</v>
          </cell>
          <cell r="AI860" t="str">
            <v>Strands</v>
          </cell>
          <cell r="AJ860" t="str">
            <v>Strands PW</v>
          </cell>
        </row>
        <row r="861">
          <cell r="A861" t="str">
            <v>IKN400405</v>
          </cell>
          <cell r="B861">
            <v>405</v>
          </cell>
          <cell r="C861" t="str">
            <v>Institut Kanser Negara</v>
          </cell>
          <cell r="D861" t="str">
            <v>KKM/IKN/H/13/2158</v>
          </cell>
          <cell r="E861" t="str">
            <v>18-147</v>
          </cell>
          <cell r="F861" t="str">
            <v>Mattress Systems, Alternating-Pressure</v>
          </cell>
          <cell r="G861" t="str">
            <v>WD</v>
          </cell>
          <cell r="H861" t="str">
            <v>RT/ONCO PAED/ADOLESCENT WARD</v>
          </cell>
          <cell r="I861" t="str">
            <v>06WD153</v>
          </cell>
          <cell r="J861" t="str">
            <v>EQP.ROOM</v>
          </cell>
          <cell r="K861" t="str">
            <v>BMED</v>
          </cell>
          <cell r="L861" t="str">
            <v>Normal</v>
          </cell>
          <cell r="M861" t="str">
            <v>Poland</v>
          </cell>
          <cell r="N861" t="str">
            <v>Nimbus</v>
          </cell>
          <cell r="O861" t="str">
            <v>Nimbus 3</v>
          </cell>
          <cell r="P861" t="str">
            <v>1200006457</v>
          </cell>
          <cell r="Q861" t="str">
            <v>Not Applicable</v>
          </cell>
          <cell r="R861" t="str">
            <v>Arjohuntleigh</v>
          </cell>
          <cell r="S861" t="str">
            <v>Hexamine Sdn. Bhd.</v>
          </cell>
          <cell r="T861" t="str">
            <v>Functioning</v>
          </cell>
          <cell r="U861" t="str">
            <v>Asset</v>
          </cell>
          <cell r="V861">
            <v>28630</v>
          </cell>
          <cell r="W861" t="str">
            <v>KEW</v>
          </cell>
          <cell r="X861" t="str">
            <v>01/09/2010</v>
          </cell>
          <cell r="Y861" t="str">
            <v>KEW</v>
          </cell>
          <cell r="Z861" t="str">
            <v>16/08/2013</v>
          </cell>
          <cell r="AA861" t="str">
            <v>15/08/2015</v>
          </cell>
          <cell r="AB861" t="str">
            <v>No</v>
          </cell>
          <cell r="AC861" t="str">
            <v>31/08/2013</v>
          </cell>
          <cell r="AD861" t="str">
            <v>Good</v>
          </cell>
          <cell r="AE861" t="str">
            <v>V3 - Added Installed Facilities (New)</v>
          </cell>
          <cell r="AF861">
            <v>42235</v>
          </cell>
          <cell r="AG861">
            <v>9.17</v>
          </cell>
          <cell r="AH861" t="str">
            <v>PPM</v>
          </cell>
          <cell r="AI861" t="str">
            <v>Strands</v>
          </cell>
          <cell r="AJ861" t="str">
            <v>Strands PW</v>
          </cell>
          <cell r="AK861" t="str">
            <v>SNF received. 1st batch of V3 asset (December 2020)</v>
          </cell>
        </row>
        <row r="862">
          <cell r="A862" t="str">
            <v>IKN400406</v>
          </cell>
          <cell r="B862">
            <v>406</v>
          </cell>
          <cell r="C862" t="str">
            <v>Institut Kanser Negara</v>
          </cell>
          <cell r="D862" t="str">
            <v>KKM/IKN/H/13/2159</v>
          </cell>
          <cell r="E862" t="str">
            <v>18-147</v>
          </cell>
          <cell r="F862" t="str">
            <v>Mattress Systems, Alternating-Pressure</v>
          </cell>
          <cell r="G862" t="str">
            <v>WD</v>
          </cell>
          <cell r="H862" t="str">
            <v>RT/ONCO PAED/ADOLESCENT WARD</v>
          </cell>
          <cell r="I862" t="str">
            <v>06WD153</v>
          </cell>
          <cell r="J862" t="str">
            <v>EQP.ROOM</v>
          </cell>
          <cell r="K862" t="str">
            <v>BMED</v>
          </cell>
          <cell r="L862" t="str">
            <v>Normal</v>
          </cell>
          <cell r="M862" t="str">
            <v>Poland</v>
          </cell>
          <cell r="N862" t="str">
            <v>Nimbus</v>
          </cell>
          <cell r="O862" t="str">
            <v>Nimbus 3</v>
          </cell>
          <cell r="P862" t="str">
            <v>1200005115</v>
          </cell>
          <cell r="Q862" t="str">
            <v>Not Applicable</v>
          </cell>
          <cell r="R862" t="str">
            <v>Arjohuntleigh</v>
          </cell>
          <cell r="S862" t="str">
            <v>Hexamine Sdn. Bhd.</v>
          </cell>
          <cell r="T862" t="str">
            <v>Functioning</v>
          </cell>
          <cell r="U862" t="str">
            <v>Asset</v>
          </cell>
          <cell r="V862">
            <v>28630</v>
          </cell>
          <cell r="W862" t="str">
            <v>KEW</v>
          </cell>
          <cell r="X862" t="str">
            <v>01/09/2010</v>
          </cell>
          <cell r="Y862" t="str">
            <v>KEW</v>
          </cell>
          <cell r="Z862" t="str">
            <v>16/08/2013</v>
          </cell>
          <cell r="AA862" t="str">
            <v>15/08/2015</v>
          </cell>
          <cell r="AB862" t="str">
            <v>No</v>
          </cell>
          <cell r="AC862" t="str">
            <v>31/08/2013</v>
          </cell>
          <cell r="AD862" t="str">
            <v>Good</v>
          </cell>
          <cell r="AE862" t="str">
            <v>V3 - Added Installed Facilities (New)</v>
          </cell>
          <cell r="AF862">
            <v>42235</v>
          </cell>
          <cell r="AG862">
            <v>9.17</v>
          </cell>
          <cell r="AH862" t="str">
            <v>PPM</v>
          </cell>
          <cell r="AI862" t="str">
            <v>Strands</v>
          </cell>
          <cell r="AJ862" t="str">
            <v>Strands PW</v>
          </cell>
          <cell r="AK862" t="str">
            <v>SNF received. 1st batch of V3 asset (December 2020)</v>
          </cell>
        </row>
        <row r="863">
          <cell r="A863" t="str">
            <v>IKN400407</v>
          </cell>
          <cell r="B863">
            <v>407</v>
          </cell>
          <cell r="C863" t="str">
            <v>Institut Kanser Negara</v>
          </cell>
          <cell r="D863" t="str">
            <v>KKM/IKN/H/13/2160</v>
          </cell>
          <cell r="E863" t="str">
            <v>18-147</v>
          </cell>
          <cell r="F863" t="str">
            <v>Mattress Systems, Alternating-Pressure</v>
          </cell>
          <cell r="G863" t="str">
            <v>WD</v>
          </cell>
          <cell r="H863" t="str">
            <v>RT/ONCO PAED/ADOLESCENT WARD</v>
          </cell>
          <cell r="I863" t="str">
            <v>06WD153</v>
          </cell>
          <cell r="J863" t="str">
            <v>EQP.ROOM</v>
          </cell>
          <cell r="K863" t="str">
            <v>BMED</v>
          </cell>
          <cell r="L863" t="str">
            <v>Normal</v>
          </cell>
          <cell r="M863" t="str">
            <v>Poland</v>
          </cell>
          <cell r="N863" t="str">
            <v>Nimbus</v>
          </cell>
          <cell r="O863" t="str">
            <v>Nimbus 3</v>
          </cell>
          <cell r="P863" t="str">
            <v>1200006459</v>
          </cell>
          <cell r="Q863" t="str">
            <v>Not Applicable</v>
          </cell>
          <cell r="R863" t="str">
            <v>Arjohuntleigh</v>
          </cell>
          <cell r="S863" t="str">
            <v>Hexamine Sdn. Bhd.</v>
          </cell>
          <cell r="T863" t="str">
            <v>Functioning</v>
          </cell>
          <cell r="U863" t="str">
            <v>Asset</v>
          </cell>
          <cell r="V863">
            <v>28630</v>
          </cell>
          <cell r="W863" t="str">
            <v>KEW</v>
          </cell>
          <cell r="X863" t="str">
            <v>01/09/2010</v>
          </cell>
          <cell r="Y863" t="str">
            <v>KEW</v>
          </cell>
          <cell r="Z863" t="str">
            <v>16/08/2013</v>
          </cell>
          <cell r="AA863" t="str">
            <v>15/08/2015</v>
          </cell>
          <cell r="AB863" t="str">
            <v>No</v>
          </cell>
          <cell r="AC863" t="str">
            <v>31/08/2013</v>
          </cell>
          <cell r="AD863" t="str">
            <v>Good</v>
          </cell>
          <cell r="AE863" t="str">
            <v>V3 - Added Installed Facilities (New)</v>
          </cell>
          <cell r="AF863">
            <v>42235</v>
          </cell>
          <cell r="AG863">
            <v>9.17</v>
          </cell>
          <cell r="AH863" t="str">
            <v>PPM</v>
          </cell>
          <cell r="AI863" t="str">
            <v>Strands</v>
          </cell>
          <cell r="AJ863" t="str">
            <v>Strands PW</v>
          </cell>
          <cell r="AK863" t="str">
            <v>SNF received. 1st batch of V3 asset (December 2020)</v>
          </cell>
        </row>
        <row r="864">
          <cell r="A864" t="str">
            <v>IKN400408</v>
          </cell>
          <cell r="B864">
            <v>408</v>
          </cell>
          <cell r="C864" t="str">
            <v>Institut Kanser Negara</v>
          </cell>
          <cell r="D864" t="str">
            <v>KKM/IKN/H/13/2161</v>
          </cell>
          <cell r="E864" t="str">
            <v>18-147</v>
          </cell>
          <cell r="F864" t="str">
            <v>Mattress Systems, Alternating-Pressure</v>
          </cell>
          <cell r="G864" t="str">
            <v>WD</v>
          </cell>
          <cell r="H864" t="str">
            <v>RT/ONCO PAED/ADOLESCENT WARD</v>
          </cell>
          <cell r="I864" t="str">
            <v>06WD153</v>
          </cell>
          <cell r="J864" t="str">
            <v>EQP.ROOM</v>
          </cell>
          <cell r="K864" t="str">
            <v>BMED</v>
          </cell>
          <cell r="L864" t="str">
            <v>Normal</v>
          </cell>
          <cell r="M864" t="str">
            <v>Poland</v>
          </cell>
          <cell r="N864" t="str">
            <v>Nimbus</v>
          </cell>
          <cell r="O864" t="str">
            <v>Nimbus 3</v>
          </cell>
          <cell r="P864" t="str">
            <v>1200006470</v>
          </cell>
          <cell r="Q864" t="str">
            <v>Not Applicable</v>
          </cell>
          <cell r="R864" t="str">
            <v>Arjohuntleigh</v>
          </cell>
          <cell r="S864" t="str">
            <v>Hexamine Sdn. Bhd.</v>
          </cell>
          <cell r="T864" t="str">
            <v>Functioning</v>
          </cell>
          <cell r="U864" t="str">
            <v>Asset</v>
          </cell>
          <cell r="V864">
            <v>28630</v>
          </cell>
          <cell r="W864" t="str">
            <v>KEW</v>
          </cell>
          <cell r="X864" t="str">
            <v>01/09/2010</v>
          </cell>
          <cell r="Y864" t="str">
            <v>KEW</v>
          </cell>
          <cell r="Z864" t="str">
            <v>16/08/2013</v>
          </cell>
          <cell r="AA864" t="str">
            <v>15/08/2015</v>
          </cell>
          <cell r="AB864" t="str">
            <v>No</v>
          </cell>
          <cell r="AC864" t="str">
            <v>31/08/2013</v>
          </cell>
          <cell r="AD864" t="str">
            <v>Good</v>
          </cell>
          <cell r="AE864" t="str">
            <v>V3 - Added Installed Facilities (New)</v>
          </cell>
          <cell r="AF864">
            <v>42235</v>
          </cell>
          <cell r="AG864">
            <v>9.17</v>
          </cell>
          <cell r="AH864" t="str">
            <v>PPM</v>
          </cell>
          <cell r="AI864" t="str">
            <v>Strands</v>
          </cell>
          <cell r="AJ864" t="str">
            <v>Strands PW</v>
          </cell>
          <cell r="AK864" t="str">
            <v>SNF received. 1st batch of V3 asset (December 2020)</v>
          </cell>
        </row>
        <row r="865">
          <cell r="A865" t="str">
            <v>IKN400409</v>
          </cell>
          <cell r="B865">
            <v>409</v>
          </cell>
          <cell r="C865" t="str">
            <v>Institut Kanser Negara</v>
          </cell>
          <cell r="D865" t="str">
            <v>KKM/IKN/H/13/2162</v>
          </cell>
          <cell r="E865" t="str">
            <v>18-147</v>
          </cell>
          <cell r="F865" t="str">
            <v>Mattress Systems, Alternating-Pressure</v>
          </cell>
          <cell r="G865" t="str">
            <v>WD</v>
          </cell>
          <cell r="H865" t="str">
            <v>RT/ONCO PAED/ADOLESCENT WARD</v>
          </cell>
          <cell r="I865" t="str">
            <v>06WD153</v>
          </cell>
          <cell r="J865" t="str">
            <v>EQP.ROOM</v>
          </cell>
          <cell r="K865" t="str">
            <v>BMED</v>
          </cell>
          <cell r="L865" t="str">
            <v>Normal</v>
          </cell>
          <cell r="M865" t="str">
            <v>Poland</v>
          </cell>
          <cell r="N865" t="str">
            <v>Nimbus</v>
          </cell>
          <cell r="O865" t="str">
            <v>Nimbus 3</v>
          </cell>
          <cell r="P865" t="str">
            <v>1200005116</v>
          </cell>
          <cell r="Q865" t="str">
            <v>Not Applicable</v>
          </cell>
          <cell r="R865" t="str">
            <v>Arjohuntleigh</v>
          </cell>
          <cell r="S865" t="str">
            <v>Hexamine Sdn. Bhd.</v>
          </cell>
          <cell r="T865" t="str">
            <v>Functioning</v>
          </cell>
          <cell r="U865" t="str">
            <v>Asset</v>
          </cell>
          <cell r="V865">
            <v>28630</v>
          </cell>
          <cell r="W865" t="str">
            <v>KEW</v>
          </cell>
          <cell r="X865" t="str">
            <v>01/09/2010</v>
          </cell>
          <cell r="Y865" t="str">
            <v>KEW</v>
          </cell>
          <cell r="Z865" t="str">
            <v>16/08/2013</v>
          </cell>
          <cell r="AA865" t="str">
            <v>15/08/2015</v>
          </cell>
          <cell r="AB865" t="str">
            <v>No</v>
          </cell>
          <cell r="AC865" t="str">
            <v>31/08/2013</v>
          </cell>
          <cell r="AD865" t="str">
            <v>Good</v>
          </cell>
          <cell r="AE865" t="str">
            <v>V3 - Added Installed Facilities (New)</v>
          </cell>
          <cell r="AF865">
            <v>42235</v>
          </cell>
          <cell r="AG865">
            <v>9.17</v>
          </cell>
          <cell r="AH865" t="str">
            <v>PPM</v>
          </cell>
          <cell r="AI865" t="str">
            <v>Strands</v>
          </cell>
          <cell r="AJ865" t="str">
            <v>Strands PW</v>
          </cell>
          <cell r="AK865" t="str">
            <v>SNF received. 1st batch of V3 asset (December 2020)</v>
          </cell>
        </row>
        <row r="866">
          <cell r="A866" t="str">
            <v>IKN400410</v>
          </cell>
          <cell r="B866">
            <v>410</v>
          </cell>
          <cell r="C866" t="str">
            <v>Institut Kanser Negara</v>
          </cell>
          <cell r="D866" t="str">
            <v>KKM/IKN/H/13/2163</v>
          </cell>
          <cell r="E866" t="str">
            <v>18-147</v>
          </cell>
          <cell r="F866" t="str">
            <v>Mattress Systems, Alternating-Pressure</v>
          </cell>
          <cell r="G866" t="str">
            <v>WD</v>
          </cell>
          <cell r="H866" t="str">
            <v>RT/ONCO PAED/ADOLESCENT WARD</v>
          </cell>
          <cell r="I866" t="str">
            <v>06WD153</v>
          </cell>
          <cell r="J866" t="str">
            <v>EQP.ROOM</v>
          </cell>
          <cell r="K866" t="str">
            <v>BMED</v>
          </cell>
          <cell r="L866" t="str">
            <v>Normal</v>
          </cell>
          <cell r="M866" t="str">
            <v>Poland</v>
          </cell>
          <cell r="N866" t="str">
            <v>Nimbus</v>
          </cell>
          <cell r="O866" t="str">
            <v>Nimbus 3</v>
          </cell>
          <cell r="P866" t="str">
            <v>1200006464</v>
          </cell>
          <cell r="Q866" t="str">
            <v>Not Applicable</v>
          </cell>
          <cell r="R866" t="str">
            <v>Arjohuntleigh</v>
          </cell>
          <cell r="S866" t="str">
            <v>Hexamine Sdn. Bhd.</v>
          </cell>
          <cell r="T866" t="str">
            <v>Functioning</v>
          </cell>
          <cell r="U866" t="str">
            <v>Asset</v>
          </cell>
          <cell r="V866">
            <v>28630</v>
          </cell>
          <cell r="W866" t="str">
            <v>KEW</v>
          </cell>
          <cell r="X866" t="str">
            <v>01/09/2010</v>
          </cell>
          <cell r="Y866" t="str">
            <v>KEW</v>
          </cell>
          <cell r="Z866" t="str">
            <v>16/08/2013</v>
          </cell>
          <cell r="AA866" t="str">
            <v>15/08/2015</v>
          </cell>
          <cell r="AB866" t="str">
            <v>No</v>
          </cell>
          <cell r="AC866" t="str">
            <v>31/08/2013</v>
          </cell>
          <cell r="AD866" t="str">
            <v>Good</v>
          </cell>
          <cell r="AE866" t="str">
            <v>V3 - Added Installed Facilities (New)</v>
          </cell>
          <cell r="AF866">
            <v>42235</v>
          </cell>
          <cell r="AG866">
            <v>9.17</v>
          </cell>
          <cell r="AH866" t="str">
            <v>PPM</v>
          </cell>
          <cell r="AI866" t="str">
            <v>Strands</v>
          </cell>
          <cell r="AJ866" t="str">
            <v>Strands PW</v>
          </cell>
          <cell r="AK866" t="str">
            <v>SNF received. 1st batch of V3 asset (December 2020)</v>
          </cell>
        </row>
        <row r="867">
          <cell r="A867" t="str">
            <v>IKN400411</v>
          </cell>
          <cell r="B867">
            <v>411</v>
          </cell>
          <cell r="C867" t="str">
            <v>Institut Kanser Negara</v>
          </cell>
          <cell r="D867" t="str">
            <v>KKM/IKN/H/13/2062</v>
          </cell>
          <cell r="E867" t="str">
            <v>10-208</v>
          </cell>
          <cell r="F867" t="str">
            <v>Aspirators</v>
          </cell>
          <cell r="G867" t="str">
            <v>WD</v>
          </cell>
          <cell r="H867" t="str">
            <v>RT/ONCO PAED/ADOLESCENT WARD</v>
          </cell>
          <cell r="I867" t="str">
            <v>06WD124</v>
          </cell>
          <cell r="J867" t="str">
            <v>TREATMENT / PROCEDURE</v>
          </cell>
          <cell r="K867" t="str">
            <v>BMED</v>
          </cell>
          <cell r="L867" t="str">
            <v>Normal</v>
          </cell>
          <cell r="M867" t="str">
            <v>Switzerland</v>
          </cell>
          <cell r="N867" t="str">
            <v>Senator</v>
          </cell>
          <cell r="O867" t="str">
            <v>Senator</v>
          </cell>
          <cell r="P867" t="str">
            <v>1320190</v>
          </cell>
          <cell r="Q867" t="str">
            <v>Not Applicable</v>
          </cell>
          <cell r="R867" t="str">
            <v>Ardo Medical AG</v>
          </cell>
          <cell r="S867" t="str">
            <v>Histopoint</v>
          </cell>
          <cell r="T867" t="str">
            <v>Functioning</v>
          </cell>
          <cell r="U867" t="str">
            <v>Asset</v>
          </cell>
          <cell r="V867">
            <v>5052</v>
          </cell>
          <cell r="W867" t="str">
            <v>KEW</v>
          </cell>
          <cell r="X867" t="str">
            <v>01/09/2010</v>
          </cell>
          <cell r="Y867" t="str">
            <v>KEW</v>
          </cell>
          <cell r="Z867" t="str">
            <v>16/08/2013</v>
          </cell>
          <cell r="AA867" t="str">
            <v>15/08/2015</v>
          </cell>
          <cell r="AB867" t="str">
            <v>No</v>
          </cell>
          <cell r="AC867" t="str">
            <v>31/08/2013</v>
          </cell>
          <cell r="AD867" t="str">
            <v>Good</v>
          </cell>
          <cell r="AE867" t="str">
            <v>V1 - Existing / No Claim</v>
          </cell>
          <cell r="AF867">
            <v>42235</v>
          </cell>
          <cell r="AG867">
            <v>9.17</v>
          </cell>
          <cell r="AH867" t="str">
            <v>PPM</v>
          </cell>
          <cell r="AI867" t="str">
            <v>Strands</v>
          </cell>
          <cell r="AJ867" t="str">
            <v>Strands PW</v>
          </cell>
        </row>
        <row r="868">
          <cell r="A868" t="str">
            <v>IKN400412</v>
          </cell>
          <cell r="B868">
            <v>412</v>
          </cell>
          <cell r="C868" t="str">
            <v>Institut Kanser Negara</v>
          </cell>
          <cell r="D868" t="str">
            <v>KKM/IKN/H/13/2171</v>
          </cell>
          <cell r="E868" t="str">
            <v>10-208</v>
          </cell>
          <cell r="F868" t="str">
            <v>Aspirators</v>
          </cell>
          <cell r="G868" t="str">
            <v>WD</v>
          </cell>
          <cell r="H868" t="str">
            <v>RT/ONCO PAED/ADOLESCENT WARD</v>
          </cell>
          <cell r="I868" t="str">
            <v>06WD153</v>
          </cell>
          <cell r="J868" t="str">
            <v>EQP.ROOM</v>
          </cell>
          <cell r="K868" t="str">
            <v>BMED</v>
          </cell>
          <cell r="L868" t="str">
            <v>Normal</v>
          </cell>
          <cell r="M868" t="str">
            <v>UK</v>
          </cell>
          <cell r="N868" t="str">
            <v>SAM</v>
          </cell>
          <cell r="O868" t="str">
            <v>SAM 427</v>
          </cell>
          <cell r="P868" t="str">
            <v>0313-0532</v>
          </cell>
          <cell r="Q868" t="str">
            <v>Not Applicable</v>
          </cell>
          <cell r="R868" t="str">
            <v>MG Electric Ltd</v>
          </cell>
          <cell r="S868" t="str">
            <v>Delta Medisains</v>
          </cell>
          <cell r="T868" t="str">
            <v>Functioning</v>
          </cell>
          <cell r="U868" t="str">
            <v>Asset</v>
          </cell>
          <cell r="V868">
            <v>10705</v>
          </cell>
          <cell r="W868" t="str">
            <v>KEW</v>
          </cell>
          <cell r="X868" t="str">
            <v>01/09/2010</v>
          </cell>
          <cell r="Y868" t="str">
            <v>KEW</v>
          </cell>
          <cell r="Z868" t="str">
            <v>16/08/2013</v>
          </cell>
          <cell r="AA868" t="str">
            <v>15/08/2015</v>
          </cell>
          <cell r="AB868" t="str">
            <v>No</v>
          </cell>
          <cell r="AC868" t="str">
            <v>31/08/2013</v>
          </cell>
          <cell r="AD868" t="str">
            <v>Good</v>
          </cell>
          <cell r="AE868" t="str">
            <v>V1 - Existing / No Claim</v>
          </cell>
          <cell r="AF868">
            <v>42235</v>
          </cell>
          <cell r="AG868">
            <v>9.17</v>
          </cell>
          <cell r="AH868" t="str">
            <v>PPM</v>
          </cell>
          <cell r="AI868" t="str">
            <v>Strands</v>
          </cell>
          <cell r="AJ868" t="str">
            <v>Strands PW</v>
          </cell>
        </row>
        <row r="869">
          <cell r="A869" t="str">
            <v>IKN400413</v>
          </cell>
          <cell r="B869">
            <v>413</v>
          </cell>
          <cell r="C869" t="str">
            <v>Institut Kanser Negara</v>
          </cell>
          <cell r="D869" t="str">
            <v>KKM/IKN/H/13/2067</v>
          </cell>
          <cell r="E869" t="str">
            <v>16-173</v>
          </cell>
          <cell r="F869" t="str">
            <v>Sphygmomanometers, Electronic, Automatic</v>
          </cell>
          <cell r="G869" t="str">
            <v>WD</v>
          </cell>
          <cell r="H869" t="str">
            <v>RT/ONCO PAED/ADOLESCENT WARD</v>
          </cell>
          <cell r="I869" t="str">
            <v>06WD124</v>
          </cell>
          <cell r="J869" t="str">
            <v>TREATMENT / PROCEDURE</v>
          </cell>
          <cell r="K869" t="str">
            <v>BMED</v>
          </cell>
          <cell r="L869" t="str">
            <v>Normal</v>
          </cell>
          <cell r="M869" t="str">
            <v>Mexico</v>
          </cell>
          <cell r="N869" t="str">
            <v>Carespace</v>
          </cell>
          <cell r="O869" t="str">
            <v>Carescape V100</v>
          </cell>
          <cell r="P869" t="str">
            <v>SH612430112SA</v>
          </cell>
          <cell r="Q869" t="str">
            <v>Not Applicable</v>
          </cell>
          <cell r="R869" t="str">
            <v>GE Healthcare Systems</v>
          </cell>
          <cell r="S869" t="str">
            <v>GE Healthcare Technologies</v>
          </cell>
          <cell r="T869" t="str">
            <v>Functioning</v>
          </cell>
          <cell r="U869" t="str">
            <v>Asset</v>
          </cell>
          <cell r="V869">
            <v>7770</v>
          </cell>
          <cell r="W869" t="str">
            <v>KEW</v>
          </cell>
          <cell r="X869" t="str">
            <v>01/09/2010</v>
          </cell>
          <cell r="Y869" t="str">
            <v>KEW</v>
          </cell>
          <cell r="Z869" t="str">
            <v>16/08/2013</v>
          </cell>
          <cell r="AA869" t="str">
            <v>15/08/2015</v>
          </cell>
          <cell r="AB869" t="str">
            <v>No</v>
          </cell>
          <cell r="AC869" t="str">
            <v>31/08/2013</v>
          </cell>
          <cell r="AD869" t="str">
            <v>Good</v>
          </cell>
          <cell r="AE869" t="str">
            <v>V3 - Added Installed Facilities (New)</v>
          </cell>
          <cell r="AF869">
            <v>42235</v>
          </cell>
          <cell r="AG869">
            <v>9.17</v>
          </cell>
          <cell r="AH869" t="str">
            <v>PPM</v>
          </cell>
          <cell r="AI869" t="str">
            <v>Strands</v>
          </cell>
          <cell r="AJ869" t="str">
            <v>Strands PW</v>
          </cell>
          <cell r="AK869" t="str">
            <v>SNF received. 1st batch of V3 asset (December 2020)</v>
          </cell>
        </row>
        <row r="870">
          <cell r="A870" t="str">
            <v>IKN400414</v>
          </cell>
          <cell r="B870">
            <v>414</v>
          </cell>
          <cell r="C870" t="str">
            <v>Institut Kanser Negara</v>
          </cell>
          <cell r="D870" t="str">
            <v>KKM/IKN/H/13/2065</v>
          </cell>
          <cell r="E870" t="str">
            <v>16-231</v>
          </cell>
          <cell r="F870" t="str">
            <v>Electrocardiographs, Multichannel, Interpretative</v>
          </cell>
          <cell r="G870" t="str">
            <v>WD</v>
          </cell>
          <cell r="H870" t="str">
            <v>RT/ONCO PAED/ADOLESCENT WARD</v>
          </cell>
          <cell r="I870" t="str">
            <v>06WD124</v>
          </cell>
          <cell r="J870" t="str">
            <v>TREATMENT / PROCEDURE</v>
          </cell>
          <cell r="K870" t="str">
            <v>BMED</v>
          </cell>
          <cell r="L870" t="str">
            <v>Critical</v>
          </cell>
          <cell r="M870" t="str">
            <v>China</v>
          </cell>
          <cell r="N870" t="str">
            <v>Mac</v>
          </cell>
          <cell r="O870" t="str">
            <v>MAC 800</v>
          </cell>
          <cell r="P870" t="str">
            <v>SJ412450371 WA</v>
          </cell>
          <cell r="Q870" t="str">
            <v>Not Applicable</v>
          </cell>
          <cell r="R870" t="str">
            <v>GE Healthcare Systems</v>
          </cell>
          <cell r="S870" t="str">
            <v>GE Healthcare Technologies</v>
          </cell>
          <cell r="T870" t="str">
            <v>Functioning</v>
          </cell>
          <cell r="U870" t="str">
            <v>Asset</v>
          </cell>
          <cell r="V870">
            <v>25260</v>
          </cell>
          <cell r="W870" t="str">
            <v>KEW</v>
          </cell>
          <cell r="X870" t="str">
            <v>01/09/2010</v>
          </cell>
          <cell r="Y870" t="str">
            <v>KEW</v>
          </cell>
          <cell r="Z870" t="str">
            <v>16/08/2013</v>
          </cell>
          <cell r="AA870" t="str">
            <v>15/08/2015</v>
          </cell>
          <cell r="AB870" t="str">
            <v>No</v>
          </cell>
          <cell r="AC870" t="str">
            <v>31/08/2013</v>
          </cell>
          <cell r="AD870" t="str">
            <v>Good</v>
          </cell>
          <cell r="AE870" t="str">
            <v>V1 - Existing / No Claim</v>
          </cell>
          <cell r="AF870">
            <v>43437</v>
          </cell>
          <cell r="AG870">
            <v>9.17</v>
          </cell>
          <cell r="AH870" t="str">
            <v>PPM</v>
          </cell>
          <cell r="AI870" t="str">
            <v>Strands</v>
          </cell>
          <cell r="AJ870" t="str">
            <v>Strands PW</v>
          </cell>
        </row>
        <row r="871">
          <cell r="A871" t="str">
            <v>IKN400415</v>
          </cell>
          <cell r="B871">
            <v>415</v>
          </cell>
          <cell r="C871" t="str">
            <v>Institut Kanser Negara</v>
          </cell>
          <cell r="D871" t="str">
            <v>KKM/IKN/H/13/2063</v>
          </cell>
          <cell r="E871" t="str">
            <v>25-209</v>
          </cell>
          <cell r="F871" t="str">
            <v>Monitors, Physiologic, Vital Signs</v>
          </cell>
          <cell r="G871" t="str">
            <v>WD</v>
          </cell>
          <cell r="H871" t="str">
            <v>RT/ONCO PAED/ADOLESCENT WARD</v>
          </cell>
          <cell r="I871" t="str">
            <v>06WD124</v>
          </cell>
          <cell r="J871" t="str">
            <v>TREATMENT / PROCEDURE</v>
          </cell>
          <cell r="K871" t="str">
            <v>BMED</v>
          </cell>
          <cell r="L871" t="str">
            <v>Normal</v>
          </cell>
          <cell r="M871" t="str">
            <v>Mexico</v>
          </cell>
          <cell r="N871" t="str">
            <v>Carespace</v>
          </cell>
          <cell r="O871" t="str">
            <v>Carescape V100</v>
          </cell>
          <cell r="P871" t="str">
            <v>SH612240066SA</v>
          </cell>
          <cell r="Q871" t="str">
            <v>Not Applicable</v>
          </cell>
          <cell r="R871" t="str">
            <v>GE Healthcare Systems</v>
          </cell>
          <cell r="S871" t="str">
            <v>GE Healthcare Technologies</v>
          </cell>
          <cell r="T871" t="str">
            <v>Functioning</v>
          </cell>
          <cell r="U871" t="str">
            <v>Asset</v>
          </cell>
          <cell r="V871">
            <v>18765</v>
          </cell>
          <cell r="W871" t="str">
            <v>KEW</v>
          </cell>
          <cell r="X871" t="str">
            <v>01/09/2010</v>
          </cell>
          <cell r="Y871" t="str">
            <v>KEW</v>
          </cell>
          <cell r="Z871" t="str">
            <v>16/08/2013</v>
          </cell>
          <cell r="AA871" t="str">
            <v>15/08/2015</v>
          </cell>
          <cell r="AB871" t="str">
            <v>No</v>
          </cell>
          <cell r="AC871" t="str">
            <v>31/08/2013</v>
          </cell>
          <cell r="AD871" t="str">
            <v>Good</v>
          </cell>
          <cell r="AE871" t="str">
            <v>V1 - Existing / No Claim</v>
          </cell>
          <cell r="AF871">
            <v>42235</v>
          </cell>
          <cell r="AG871">
            <v>9.17</v>
          </cell>
          <cell r="AH871" t="str">
            <v>PPM</v>
          </cell>
          <cell r="AI871" t="str">
            <v>Strands</v>
          </cell>
          <cell r="AJ871" t="str">
            <v>Strands PW</v>
          </cell>
        </row>
        <row r="872">
          <cell r="A872" t="str">
            <v>IKN400416</v>
          </cell>
          <cell r="B872">
            <v>416</v>
          </cell>
          <cell r="C872" t="str">
            <v>Institut Kanser Negara</v>
          </cell>
          <cell r="D872" t="str">
            <v>KKM/IKN/H/13/1471</v>
          </cell>
          <cell r="E872" t="str">
            <v>13-215</v>
          </cell>
          <cell r="F872" t="str">
            <v>Infusion Pumps, General-Purpose</v>
          </cell>
          <cell r="G872" t="str">
            <v>WD</v>
          </cell>
          <cell r="H872" t="str">
            <v>RT/ONCO PAED/ADOLESCENT WARD</v>
          </cell>
          <cell r="I872" t="str">
            <v>06WD153</v>
          </cell>
          <cell r="J872" t="str">
            <v>EQP.ROOM</v>
          </cell>
          <cell r="K872" t="str">
            <v>BMED</v>
          </cell>
          <cell r="L872" t="str">
            <v>Normal</v>
          </cell>
          <cell r="M872" t="str">
            <v>Germany</v>
          </cell>
          <cell r="N872" t="str">
            <v>Infusomat</v>
          </cell>
          <cell r="O872" t="str">
            <v>Infusomat Space</v>
          </cell>
          <cell r="P872" t="str">
            <v>246585</v>
          </cell>
          <cell r="Q872" t="str">
            <v>Not Applicable</v>
          </cell>
          <cell r="R872" t="str">
            <v>B Braun Melsungen AG</v>
          </cell>
          <cell r="S872" t="str">
            <v>B Braun Medical Supplies Sdn. Bhd.</v>
          </cell>
          <cell r="T872" t="str">
            <v>Functioning</v>
          </cell>
          <cell r="U872" t="str">
            <v>Asset</v>
          </cell>
          <cell r="V872">
            <v>10825</v>
          </cell>
          <cell r="W872" t="str">
            <v>KEW</v>
          </cell>
          <cell r="X872" t="str">
            <v>01/09/2010</v>
          </cell>
          <cell r="Y872" t="str">
            <v>KEW</v>
          </cell>
          <cell r="Z872" t="str">
            <v>16/08/2013</v>
          </cell>
          <cell r="AA872" t="str">
            <v>15/08/2015</v>
          </cell>
          <cell r="AB872" t="str">
            <v>No</v>
          </cell>
          <cell r="AC872" t="str">
            <v>31/08/2013</v>
          </cell>
          <cell r="AD872" t="str">
            <v>Good</v>
          </cell>
          <cell r="AE872" t="str">
            <v>V1 - Existing / No Claim</v>
          </cell>
          <cell r="AF872">
            <v>42235</v>
          </cell>
          <cell r="AG872">
            <v>9.17</v>
          </cell>
          <cell r="AH872" t="str">
            <v>PPM</v>
          </cell>
          <cell r="AI872" t="str">
            <v>Strands</v>
          </cell>
          <cell r="AJ872" t="str">
            <v>Strands PW</v>
          </cell>
        </row>
        <row r="873">
          <cell r="A873" t="str">
            <v>IKN400417</v>
          </cell>
          <cell r="B873">
            <v>417</v>
          </cell>
          <cell r="C873" t="str">
            <v>Institut Kanser Negara</v>
          </cell>
          <cell r="D873" t="str">
            <v>KKM/IKN/H/13/1475</v>
          </cell>
          <cell r="E873" t="str">
            <v>13-215</v>
          </cell>
          <cell r="F873" t="str">
            <v>Infusion Pumps, General-Purpose</v>
          </cell>
          <cell r="G873" t="str">
            <v>WD</v>
          </cell>
          <cell r="H873" t="str">
            <v>RT/ONCO PAED/ADOLESCENT WARD</v>
          </cell>
          <cell r="I873" t="str">
            <v>06WD153</v>
          </cell>
          <cell r="J873" t="str">
            <v>EQP.ROOM</v>
          </cell>
          <cell r="K873" t="str">
            <v>BMED</v>
          </cell>
          <cell r="L873" t="str">
            <v>Normal</v>
          </cell>
          <cell r="M873" t="str">
            <v>Germany</v>
          </cell>
          <cell r="N873" t="str">
            <v>Infusomat</v>
          </cell>
          <cell r="O873" t="str">
            <v>Infusomat Space</v>
          </cell>
          <cell r="P873" t="str">
            <v>246542</v>
          </cell>
          <cell r="Q873" t="str">
            <v>Not Applicable</v>
          </cell>
          <cell r="R873" t="str">
            <v>B Braun Melsungen AG</v>
          </cell>
          <cell r="S873" t="str">
            <v>B Braun Medical Supplies Sdn. Bhd.</v>
          </cell>
          <cell r="T873" t="str">
            <v>Functioning</v>
          </cell>
          <cell r="U873" t="str">
            <v>Asset</v>
          </cell>
          <cell r="V873">
            <v>10825</v>
          </cell>
          <cell r="W873" t="str">
            <v>KEW</v>
          </cell>
          <cell r="X873" t="str">
            <v>01/09/2010</v>
          </cell>
          <cell r="Y873" t="str">
            <v>KEW</v>
          </cell>
          <cell r="Z873" t="str">
            <v>16/08/2013</v>
          </cell>
          <cell r="AA873" t="str">
            <v>15/08/2015</v>
          </cell>
          <cell r="AB873" t="str">
            <v>No</v>
          </cell>
          <cell r="AC873" t="str">
            <v>31/08/2013</v>
          </cell>
          <cell r="AD873" t="str">
            <v>Good</v>
          </cell>
          <cell r="AE873" t="str">
            <v>V1 - Existing / No Claim</v>
          </cell>
          <cell r="AF873">
            <v>42235</v>
          </cell>
          <cell r="AG873">
            <v>9.17</v>
          </cell>
          <cell r="AH873" t="str">
            <v>PPM</v>
          </cell>
          <cell r="AI873" t="str">
            <v>Strands</v>
          </cell>
          <cell r="AJ873" t="str">
            <v>Strands PW</v>
          </cell>
        </row>
        <row r="874">
          <cell r="A874" t="str">
            <v>IKN400418</v>
          </cell>
          <cell r="B874">
            <v>418</v>
          </cell>
          <cell r="C874" t="str">
            <v>Institut Kanser Negara</v>
          </cell>
          <cell r="D874" t="str">
            <v>KKM/IKN/H/13/1474</v>
          </cell>
          <cell r="E874" t="str">
            <v>13-215</v>
          </cell>
          <cell r="F874" t="str">
            <v>Infusion Pumps, General-Purpose</v>
          </cell>
          <cell r="G874" t="str">
            <v>WD</v>
          </cell>
          <cell r="H874" t="str">
            <v>RT/ONCO PAED/ADOLESCENT WARD</v>
          </cell>
          <cell r="I874" t="str">
            <v>06WD153</v>
          </cell>
          <cell r="J874" t="str">
            <v>EQP.ROOM</v>
          </cell>
          <cell r="K874" t="str">
            <v>BMED</v>
          </cell>
          <cell r="L874" t="str">
            <v>Normal</v>
          </cell>
          <cell r="M874" t="str">
            <v>Germany</v>
          </cell>
          <cell r="N874" t="str">
            <v>Infusomat</v>
          </cell>
          <cell r="O874" t="str">
            <v>Infusomat Space</v>
          </cell>
          <cell r="P874" t="str">
            <v>246582</v>
          </cell>
          <cell r="Q874" t="str">
            <v>Not Applicable</v>
          </cell>
          <cell r="R874" t="str">
            <v>B Braun Melsungen AG</v>
          </cell>
          <cell r="S874" t="str">
            <v>B Braun Medical Supplies Sdn. Bhd.</v>
          </cell>
          <cell r="T874" t="str">
            <v>Functioning</v>
          </cell>
          <cell r="U874" t="str">
            <v>Asset</v>
          </cell>
          <cell r="V874">
            <v>10825</v>
          </cell>
          <cell r="W874" t="str">
            <v>KEW</v>
          </cell>
          <cell r="X874" t="str">
            <v>01/09/2010</v>
          </cell>
          <cell r="Y874" t="str">
            <v>KEW</v>
          </cell>
          <cell r="Z874" t="str">
            <v>16/08/2013</v>
          </cell>
          <cell r="AA874" t="str">
            <v>15/08/2015</v>
          </cell>
          <cell r="AB874" t="str">
            <v>No</v>
          </cell>
          <cell r="AC874" t="str">
            <v>31/08/2013</v>
          </cell>
          <cell r="AD874" t="str">
            <v>Good</v>
          </cell>
          <cell r="AE874" t="str">
            <v>V1 - Existing / No Claim</v>
          </cell>
          <cell r="AF874">
            <v>42235</v>
          </cell>
          <cell r="AG874">
            <v>9.17</v>
          </cell>
          <cell r="AH874" t="str">
            <v>PPM</v>
          </cell>
          <cell r="AI874" t="str">
            <v>Strands</v>
          </cell>
          <cell r="AJ874" t="str">
            <v>Strands PW</v>
          </cell>
        </row>
        <row r="875">
          <cell r="A875" t="str">
            <v>IKN400419</v>
          </cell>
          <cell r="B875">
            <v>419</v>
          </cell>
          <cell r="C875" t="str">
            <v>Institut Kanser Negara</v>
          </cell>
          <cell r="D875" t="str">
            <v>KKM/IKN/H/13/1479</v>
          </cell>
          <cell r="E875" t="str">
            <v>13-215</v>
          </cell>
          <cell r="F875" t="str">
            <v>Infusion Pumps, General-Purpose</v>
          </cell>
          <cell r="G875" t="str">
            <v>WD</v>
          </cell>
          <cell r="H875" t="str">
            <v>RT/ONCO PAED/ADOLESCENT WARD</v>
          </cell>
          <cell r="I875" t="str">
            <v>06WD153</v>
          </cell>
          <cell r="J875" t="str">
            <v>EQP.ROOM</v>
          </cell>
          <cell r="K875" t="str">
            <v>BMED</v>
          </cell>
          <cell r="L875" t="str">
            <v>Normal</v>
          </cell>
          <cell r="M875" t="str">
            <v>Germany</v>
          </cell>
          <cell r="N875" t="str">
            <v>Infusomat</v>
          </cell>
          <cell r="O875" t="str">
            <v>Infusomat Space</v>
          </cell>
          <cell r="P875" t="str">
            <v>246584</v>
          </cell>
          <cell r="Q875" t="str">
            <v>Not Applicable</v>
          </cell>
          <cell r="R875" t="str">
            <v>B Braun Melsungen AG</v>
          </cell>
          <cell r="S875" t="str">
            <v>B Braun Medical Supplies Sdn. Bhd.</v>
          </cell>
          <cell r="T875" t="str">
            <v>Functioning</v>
          </cell>
          <cell r="U875" t="str">
            <v>Asset</v>
          </cell>
          <cell r="V875">
            <v>10825</v>
          </cell>
          <cell r="W875" t="str">
            <v>KEW</v>
          </cell>
          <cell r="X875" t="str">
            <v>01/09/2010</v>
          </cell>
          <cell r="Y875" t="str">
            <v>KEW</v>
          </cell>
          <cell r="Z875" t="str">
            <v>16/08/2013</v>
          </cell>
          <cell r="AA875" t="str">
            <v>15/08/2015</v>
          </cell>
          <cell r="AB875" t="str">
            <v>No</v>
          </cell>
          <cell r="AC875" t="str">
            <v>31/08/2013</v>
          </cell>
          <cell r="AD875" t="str">
            <v>Good</v>
          </cell>
          <cell r="AE875" t="str">
            <v>V1 - Existing / No Claim</v>
          </cell>
          <cell r="AF875">
            <v>42235</v>
          </cell>
          <cell r="AG875">
            <v>9.17</v>
          </cell>
          <cell r="AH875" t="str">
            <v>PPM</v>
          </cell>
          <cell r="AI875" t="str">
            <v>Strands</v>
          </cell>
          <cell r="AJ875" t="str">
            <v>Strands PW</v>
          </cell>
        </row>
        <row r="876">
          <cell r="A876" t="str">
            <v>IKN400420</v>
          </cell>
          <cell r="B876">
            <v>420</v>
          </cell>
          <cell r="C876" t="str">
            <v>Institut Kanser Negara</v>
          </cell>
          <cell r="D876" t="str">
            <v>KKM/IKN/H/13/1476</v>
          </cell>
          <cell r="E876" t="str">
            <v>13-215</v>
          </cell>
          <cell r="F876" t="str">
            <v>Infusion Pumps, General-Purpose</v>
          </cell>
          <cell r="G876" t="str">
            <v>WD</v>
          </cell>
          <cell r="H876" t="str">
            <v>RT/ONCO PAED/ADOLESCENT WARD</v>
          </cell>
          <cell r="I876" t="str">
            <v>06WD153</v>
          </cell>
          <cell r="J876" t="str">
            <v>EQP.ROOM</v>
          </cell>
          <cell r="K876" t="str">
            <v>BMED</v>
          </cell>
          <cell r="L876" t="str">
            <v>Normal</v>
          </cell>
          <cell r="M876" t="str">
            <v>Germany</v>
          </cell>
          <cell r="N876" t="str">
            <v>Infusomat</v>
          </cell>
          <cell r="O876" t="str">
            <v>Infusomat Space</v>
          </cell>
          <cell r="P876" t="str">
            <v>246583</v>
          </cell>
          <cell r="Q876" t="str">
            <v>Not Applicable</v>
          </cell>
          <cell r="R876" t="str">
            <v>B Braun Melsungen AG</v>
          </cell>
          <cell r="S876" t="str">
            <v>B Braun Medical Supplies Sdn. Bhd.</v>
          </cell>
          <cell r="T876" t="str">
            <v>Functioning</v>
          </cell>
          <cell r="U876" t="str">
            <v>Asset</v>
          </cell>
          <cell r="V876">
            <v>10825</v>
          </cell>
          <cell r="W876" t="str">
            <v>KEW</v>
          </cell>
          <cell r="X876" t="str">
            <v>01/09/2010</v>
          </cell>
          <cell r="Y876" t="str">
            <v>KEW</v>
          </cell>
          <cell r="Z876" t="str">
            <v>16/08/2013</v>
          </cell>
          <cell r="AA876" t="str">
            <v>15/08/2015</v>
          </cell>
          <cell r="AB876" t="str">
            <v>No</v>
          </cell>
          <cell r="AC876" t="str">
            <v>31/08/2013</v>
          </cell>
          <cell r="AD876" t="str">
            <v>Good</v>
          </cell>
          <cell r="AE876" t="str">
            <v>V1 - Existing / No Claim</v>
          </cell>
          <cell r="AF876">
            <v>42235</v>
          </cell>
          <cell r="AG876">
            <v>9.17</v>
          </cell>
          <cell r="AH876" t="str">
            <v>PPM</v>
          </cell>
          <cell r="AI876" t="str">
            <v>Strands</v>
          </cell>
          <cell r="AJ876" t="str">
            <v>Strands PW</v>
          </cell>
        </row>
        <row r="877">
          <cell r="A877" t="str">
            <v>IKN400421</v>
          </cell>
          <cell r="B877">
            <v>421</v>
          </cell>
          <cell r="C877" t="str">
            <v>Institut Kanser Negara</v>
          </cell>
          <cell r="D877" t="str">
            <v>KKM/IKN/H/13/1473</v>
          </cell>
          <cell r="E877" t="str">
            <v>13-215</v>
          </cell>
          <cell r="F877" t="str">
            <v>Infusion Pumps, General-Purpose</v>
          </cell>
          <cell r="G877" t="str">
            <v>WD</v>
          </cell>
          <cell r="H877" t="str">
            <v>RT/ONCO PAED/ADOLESCENT WARD</v>
          </cell>
          <cell r="I877" t="str">
            <v>06WD153</v>
          </cell>
          <cell r="J877" t="str">
            <v>EQP.ROOM</v>
          </cell>
          <cell r="K877" t="str">
            <v>BMED</v>
          </cell>
          <cell r="L877" t="str">
            <v>Normal</v>
          </cell>
          <cell r="M877" t="str">
            <v>Germany</v>
          </cell>
          <cell r="N877" t="str">
            <v>Infusomat</v>
          </cell>
          <cell r="O877" t="str">
            <v>Infusomat Space</v>
          </cell>
          <cell r="P877" t="str">
            <v>246558</v>
          </cell>
          <cell r="Q877" t="str">
            <v>Not Applicable</v>
          </cell>
          <cell r="R877" t="str">
            <v>B Braun Melsungen AG</v>
          </cell>
          <cell r="S877" t="str">
            <v>B Braun Medical Supplies Sdn. Bhd.</v>
          </cell>
          <cell r="T877" t="str">
            <v>Functioning</v>
          </cell>
          <cell r="U877" t="str">
            <v>Asset</v>
          </cell>
          <cell r="V877">
            <v>10825</v>
          </cell>
          <cell r="W877" t="str">
            <v>KEW</v>
          </cell>
          <cell r="X877" t="str">
            <v>01/09/2010</v>
          </cell>
          <cell r="Y877" t="str">
            <v>KEW</v>
          </cell>
          <cell r="Z877" t="str">
            <v>16/08/2013</v>
          </cell>
          <cell r="AA877" t="str">
            <v>15/08/2015</v>
          </cell>
          <cell r="AB877" t="str">
            <v>No</v>
          </cell>
          <cell r="AC877" t="str">
            <v>31/08/2013</v>
          </cell>
          <cell r="AD877" t="str">
            <v>Good</v>
          </cell>
          <cell r="AE877" t="str">
            <v>V1 - Existing / No Claim</v>
          </cell>
          <cell r="AF877">
            <v>42235</v>
          </cell>
          <cell r="AG877">
            <v>9.17</v>
          </cell>
          <cell r="AH877" t="str">
            <v>PPM</v>
          </cell>
          <cell r="AI877" t="str">
            <v>Strands</v>
          </cell>
          <cell r="AJ877" t="str">
            <v>Strands PW</v>
          </cell>
        </row>
        <row r="878">
          <cell r="A878" t="str">
            <v>IKN400422</v>
          </cell>
          <cell r="B878">
            <v>422</v>
          </cell>
          <cell r="C878" t="str">
            <v>Institut Kanser Negara</v>
          </cell>
          <cell r="D878" t="str">
            <v>KKM/IKN/H/13/1472</v>
          </cell>
          <cell r="E878" t="str">
            <v>13-215</v>
          </cell>
          <cell r="F878" t="str">
            <v>Infusion Pumps, General-Purpose</v>
          </cell>
          <cell r="G878" t="str">
            <v>WD</v>
          </cell>
          <cell r="H878" t="str">
            <v>RT/ONCO PAED/ADOLESCENT WARD</v>
          </cell>
          <cell r="I878" t="str">
            <v>06WD153</v>
          </cell>
          <cell r="J878" t="str">
            <v>EQP.ROOM</v>
          </cell>
          <cell r="K878" t="str">
            <v>BMED</v>
          </cell>
          <cell r="L878" t="str">
            <v>Normal</v>
          </cell>
          <cell r="M878" t="str">
            <v>Germany</v>
          </cell>
          <cell r="N878" t="str">
            <v>Infusomat</v>
          </cell>
          <cell r="O878" t="str">
            <v>Infusomat Space</v>
          </cell>
          <cell r="P878" t="str">
            <v>246565</v>
          </cell>
          <cell r="Q878" t="str">
            <v>Not Applicable</v>
          </cell>
          <cell r="R878" t="str">
            <v>B Braun Melsungen AG</v>
          </cell>
          <cell r="S878" t="str">
            <v>B Braun Medical Supplies Sdn. Bhd.</v>
          </cell>
          <cell r="T878" t="str">
            <v>Functioning</v>
          </cell>
          <cell r="U878" t="str">
            <v>Asset</v>
          </cell>
          <cell r="V878">
            <v>10825</v>
          </cell>
          <cell r="W878" t="str">
            <v>KEW</v>
          </cell>
          <cell r="X878" t="str">
            <v>01/09/2010</v>
          </cell>
          <cell r="Y878" t="str">
            <v>KEW</v>
          </cell>
          <cell r="Z878" t="str">
            <v>16/08/2013</v>
          </cell>
          <cell r="AA878" t="str">
            <v>15/08/2015</v>
          </cell>
          <cell r="AB878" t="str">
            <v>No</v>
          </cell>
          <cell r="AC878" t="str">
            <v>31/08/2013</v>
          </cell>
          <cell r="AD878" t="str">
            <v>Good</v>
          </cell>
          <cell r="AE878" t="str">
            <v>V1 - Existing / No Claim</v>
          </cell>
          <cell r="AF878">
            <v>42235</v>
          </cell>
          <cell r="AG878">
            <v>9.17</v>
          </cell>
          <cell r="AH878" t="str">
            <v>PPM</v>
          </cell>
          <cell r="AI878" t="str">
            <v>Strands</v>
          </cell>
          <cell r="AJ878" t="str">
            <v>Strands PW</v>
          </cell>
        </row>
        <row r="879">
          <cell r="A879" t="str">
            <v>IKN400423</v>
          </cell>
          <cell r="B879">
            <v>423</v>
          </cell>
          <cell r="C879" t="str">
            <v>Institut Kanser Negara</v>
          </cell>
          <cell r="D879" t="str">
            <v>KKM/IKN/H/13/1478</v>
          </cell>
          <cell r="E879" t="str">
            <v>13-215</v>
          </cell>
          <cell r="F879" t="str">
            <v>Infusion Pumps, General-Purpose</v>
          </cell>
          <cell r="G879" t="str">
            <v>WD</v>
          </cell>
          <cell r="H879" t="str">
            <v>RT/ONCO PAED/ADOLESCENT WARD</v>
          </cell>
          <cell r="I879" t="str">
            <v>06WD153</v>
          </cell>
          <cell r="J879" t="str">
            <v>EQP.ROOM</v>
          </cell>
          <cell r="K879" t="str">
            <v>BMED</v>
          </cell>
          <cell r="L879" t="str">
            <v>Normal</v>
          </cell>
          <cell r="M879" t="str">
            <v>Germany</v>
          </cell>
          <cell r="N879" t="str">
            <v>Infusomat</v>
          </cell>
          <cell r="O879" t="str">
            <v>Infusomat Space</v>
          </cell>
          <cell r="P879" t="str">
            <v>246603</v>
          </cell>
          <cell r="Q879" t="str">
            <v>Not Applicable</v>
          </cell>
          <cell r="R879" t="str">
            <v>B Braun Melsungen AG</v>
          </cell>
          <cell r="S879" t="str">
            <v>B Braun Medical Supplies Sdn. Bhd.</v>
          </cell>
          <cell r="T879" t="str">
            <v>Functioning</v>
          </cell>
          <cell r="U879" t="str">
            <v>Asset</v>
          </cell>
          <cell r="V879">
            <v>10825</v>
          </cell>
          <cell r="W879" t="str">
            <v>KEW</v>
          </cell>
          <cell r="X879" t="str">
            <v>01/09/2010</v>
          </cell>
          <cell r="Y879" t="str">
            <v>KEW</v>
          </cell>
          <cell r="Z879" t="str">
            <v>16/08/2013</v>
          </cell>
          <cell r="AA879" t="str">
            <v>15/08/2015</v>
          </cell>
          <cell r="AB879" t="str">
            <v>No</v>
          </cell>
          <cell r="AC879" t="str">
            <v>31/08/2013</v>
          </cell>
          <cell r="AD879" t="str">
            <v>Good</v>
          </cell>
          <cell r="AE879" t="str">
            <v>V1 - Existing / No Claim</v>
          </cell>
          <cell r="AF879">
            <v>42235</v>
          </cell>
          <cell r="AG879">
            <v>9.17</v>
          </cell>
          <cell r="AH879" t="str">
            <v>PPM</v>
          </cell>
          <cell r="AI879" t="str">
            <v>Strands</v>
          </cell>
          <cell r="AJ879" t="str">
            <v>Strands PW</v>
          </cell>
        </row>
        <row r="880">
          <cell r="A880" t="str">
            <v>IKN400424</v>
          </cell>
          <cell r="B880">
            <v>424</v>
          </cell>
          <cell r="C880" t="str">
            <v>Institut Kanser Negara</v>
          </cell>
          <cell r="D880" t="str">
            <v>KKM/IKN/H/13/1477</v>
          </cell>
          <cell r="E880" t="str">
            <v>13-215</v>
          </cell>
          <cell r="F880" t="str">
            <v>Infusion Pumps, General-Purpose</v>
          </cell>
          <cell r="G880" t="str">
            <v>WD</v>
          </cell>
          <cell r="H880" t="str">
            <v>RT/ONCO PAED/ADOLESCENT WARD</v>
          </cell>
          <cell r="I880" t="str">
            <v>06WD153</v>
          </cell>
          <cell r="J880" t="str">
            <v>EQP.ROOM</v>
          </cell>
          <cell r="K880" t="str">
            <v>BMED</v>
          </cell>
          <cell r="L880" t="str">
            <v>Normal</v>
          </cell>
          <cell r="M880" t="str">
            <v>Germany</v>
          </cell>
          <cell r="N880" t="str">
            <v>Infusomat</v>
          </cell>
          <cell r="O880" t="str">
            <v>Infusomat Space</v>
          </cell>
          <cell r="P880" t="str">
            <v>246520</v>
          </cell>
          <cell r="Q880" t="str">
            <v>Not Applicable</v>
          </cell>
          <cell r="R880" t="str">
            <v>B Braun Melsungen AG</v>
          </cell>
          <cell r="S880" t="str">
            <v>B Braun Medical Supplies Sdn. Bhd.</v>
          </cell>
          <cell r="T880" t="str">
            <v>Functioning</v>
          </cell>
          <cell r="U880" t="str">
            <v>Asset</v>
          </cell>
          <cell r="V880">
            <v>10825</v>
          </cell>
          <cell r="W880" t="str">
            <v>KEW</v>
          </cell>
          <cell r="X880" t="str">
            <v>01/09/2010</v>
          </cell>
          <cell r="Y880" t="str">
            <v>KEW</v>
          </cell>
          <cell r="Z880" t="str">
            <v>16/08/2013</v>
          </cell>
          <cell r="AA880" t="str">
            <v>15/08/2015</v>
          </cell>
          <cell r="AB880" t="str">
            <v>No</v>
          </cell>
          <cell r="AC880" t="str">
            <v>31/08/2013</v>
          </cell>
          <cell r="AD880" t="str">
            <v>Good</v>
          </cell>
          <cell r="AE880" t="str">
            <v>V1 - Existing / No Claim</v>
          </cell>
          <cell r="AF880">
            <v>42235</v>
          </cell>
          <cell r="AG880">
            <v>9.17</v>
          </cell>
          <cell r="AH880" t="str">
            <v>PPM</v>
          </cell>
          <cell r="AI880" t="str">
            <v>Strands</v>
          </cell>
          <cell r="AJ880" t="str">
            <v>Strands PW</v>
          </cell>
        </row>
        <row r="881">
          <cell r="A881" t="str">
            <v>IKN400425</v>
          </cell>
          <cell r="B881">
            <v>425</v>
          </cell>
          <cell r="C881" t="str">
            <v>Institut Kanser Negara</v>
          </cell>
          <cell r="D881" t="str">
            <v>KKM/IKN/H/13/1481</v>
          </cell>
          <cell r="E881" t="str">
            <v>13-217</v>
          </cell>
          <cell r="F881" t="str">
            <v>Infusion Pumps, Syringe</v>
          </cell>
          <cell r="G881" t="str">
            <v>WD</v>
          </cell>
          <cell r="H881" t="str">
            <v>RT/ONCO PAED/ADOLESCENT WARD</v>
          </cell>
          <cell r="I881" t="str">
            <v>06WD153</v>
          </cell>
          <cell r="J881" t="str">
            <v>EQP.ROOM</v>
          </cell>
          <cell r="K881" t="str">
            <v>BMED</v>
          </cell>
          <cell r="L881" t="str">
            <v>Normal</v>
          </cell>
          <cell r="M881" t="str">
            <v>Germany</v>
          </cell>
          <cell r="N881" t="str">
            <v>Perfusor</v>
          </cell>
          <cell r="O881" t="str">
            <v>Perfusor Space</v>
          </cell>
          <cell r="P881" t="str">
            <v>211428</v>
          </cell>
          <cell r="Q881" t="str">
            <v>Not Applicable</v>
          </cell>
          <cell r="R881" t="str">
            <v>B Braun Melsungen AG</v>
          </cell>
          <cell r="S881" t="str">
            <v>B Braun Medical Supplies Sdn. Bhd.</v>
          </cell>
          <cell r="T881" t="str">
            <v>Functioning</v>
          </cell>
          <cell r="U881" t="str">
            <v>Asset</v>
          </cell>
          <cell r="V881">
            <v>10225</v>
          </cell>
          <cell r="W881" t="str">
            <v>KEW</v>
          </cell>
          <cell r="X881" t="str">
            <v>01/09/2010</v>
          </cell>
          <cell r="Y881" t="str">
            <v>KEW</v>
          </cell>
          <cell r="Z881" t="str">
            <v>16/08/2013</v>
          </cell>
          <cell r="AA881" t="str">
            <v>15/08/2015</v>
          </cell>
          <cell r="AB881" t="str">
            <v>No</v>
          </cell>
          <cell r="AC881" t="str">
            <v>31/08/2013</v>
          </cell>
          <cell r="AD881" t="str">
            <v>Good</v>
          </cell>
          <cell r="AE881" t="str">
            <v>V1 - Existing / No Claim</v>
          </cell>
          <cell r="AF881">
            <v>42235</v>
          </cell>
          <cell r="AG881">
            <v>9.17</v>
          </cell>
          <cell r="AH881" t="str">
            <v>PPM</v>
          </cell>
          <cell r="AI881" t="str">
            <v>Strands</v>
          </cell>
          <cell r="AJ881" t="str">
            <v>Strands PW</v>
          </cell>
        </row>
        <row r="882">
          <cell r="A882" t="str">
            <v>IKN400426</v>
          </cell>
          <cell r="B882">
            <v>426</v>
          </cell>
          <cell r="C882" t="str">
            <v>Institut Kanser Negara</v>
          </cell>
          <cell r="D882" t="str">
            <v>KKM/IKN/H/13/1482</v>
          </cell>
          <cell r="E882" t="str">
            <v>13-217</v>
          </cell>
          <cell r="F882" t="str">
            <v>Infusion Pumps, Syringe</v>
          </cell>
          <cell r="G882" t="str">
            <v>WD</v>
          </cell>
          <cell r="H882" t="str">
            <v>RT/ONCO PAED/ADOLESCENT WARD</v>
          </cell>
          <cell r="I882" t="str">
            <v>06WD153</v>
          </cell>
          <cell r="J882" t="str">
            <v>EQP.ROOM</v>
          </cell>
          <cell r="K882" t="str">
            <v>BMED</v>
          </cell>
          <cell r="L882" t="str">
            <v>Normal</v>
          </cell>
          <cell r="M882" t="str">
            <v>Germany</v>
          </cell>
          <cell r="N882" t="str">
            <v>Perfusor</v>
          </cell>
          <cell r="O882" t="str">
            <v>Perfusor Space</v>
          </cell>
          <cell r="P882" t="str">
            <v>211422</v>
          </cell>
          <cell r="Q882" t="str">
            <v>Not Applicable</v>
          </cell>
          <cell r="R882" t="str">
            <v>B Braun Melsungen AG</v>
          </cell>
          <cell r="S882" t="str">
            <v>B Braun Medical Supplies Sdn. Bhd.</v>
          </cell>
          <cell r="T882" t="str">
            <v>Functioning</v>
          </cell>
          <cell r="U882" t="str">
            <v>Asset</v>
          </cell>
          <cell r="V882">
            <v>10825</v>
          </cell>
          <cell r="W882" t="str">
            <v>KEW</v>
          </cell>
          <cell r="X882" t="str">
            <v>01/09/2010</v>
          </cell>
          <cell r="Y882" t="str">
            <v>KEW</v>
          </cell>
          <cell r="Z882" t="str">
            <v>16/08/2013</v>
          </cell>
          <cell r="AA882" t="str">
            <v>15/08/2015</v>
          </cell>
          <cell r="AB882" t="str">
            <v>No</v>
          </cell>
          <cell r="AC882" t="str">
            <v>31/08/2013</v>
          </cell>
          <cell r="AD882" t="str">
            <v>Good</v>
          </cell>
          <cell r="AE882" t="str">
            <v>V1 - Existing / No Claim</v>
          </cell>
          <cell r="AF882">
            <v>42235</v>
          </cell>
          <cell r="AG882">
            <v>9.17</v>
          </cell>
          <cell r="AH882" t="str">
            <v>PPM</v>
          </cell>
          <cell r="AI882" t="str">
            <v>Strands</v>
          </cell>
          <cell r="AJ882" t="str">
            <v>Strands PW</v>
          </cell>
        </row>
        <row r="883">
          <cell r="A883" t="str">
            <v>IKN400427</v>
          </cell>
          <cell r="B883">
            <v>427</v>
          </cell>
          <cell r="C883" t="str">
            <v>Institut Kanser Negara</v>
          </cell>
          <cell r="D883" t="str">
            <v>KKM/IKN/H/13/1480</v>
          </cell>
          <cell r="E883" t="str">
            <v>13-215</v>
          </cell>
          <cell r="F883" t="str">
            <v>Infusion Pumps, General-Purpose</v>
          </cell>
          <cell r="G883" t="str">
            <v>WD</v>
          </cell>
          <cell r="H883" t="str">
            <v>RT/ONCO PAED/ADOLESCENT WARD</v>
          </cell>
          <cell r="I883" t="str">
            <v>06WD153</v>
          </cell>
          <cell r="J883" t="str">
            <v>EQP.ROOM</v>
          </cell>
          <cell r="K883" t="str">
            <v>BMED</v>
          </cell>
          <cell r="L883" t="str">
            <v>Normal</v>
          </cell>
          <cell r="M883" t="str">
            <v>Germany</v>
          </cell>
          <cell r="N883" t="str">
            <v>Infusomat</v>
          </cell>
          <cell r="O883" t="str">
            <v>Infusomat Space</v>
          </cell>
          <cell r="P883" t="str">
            <v>246589</v>
          </cell>
          <cell r="Q883" t="str">
            <v>Not Applicable</v>
          </cell>
          <cell r="R883" t="str">
            <v>B Braun Melsungen AG</v>
          </cell>
          <cell r="S883" t="str">
            <v>B Braun Medical Supplies Sdn. Bhd.</v>
          </cell>
          <cell r="T883" t="str">
            <v>Functioning</v>
          </cell>
          <cell r="U883" t="str">
            <v>Asset</v>
          </cell>
          <cell r="V883">
            <v>10825</v>
          </cell>
          <cell r="W883" t="str">
            <v>KEW</v>
          </cell>
          <cell r="X883" t="str">
            <v>01/09/2010</v>
          </cell>
          <cell r="Y883" t="str">
            <v>KEW</v>
          </cell>
          <cell r="Z883" t="str">
            <v>16/08/2013</v>
          </cell>
          <cell r="AA883" t="str">
            <v>15/08/2015</v>
          </cell>
          <cell r="AB883" t="str">
            <v>No</v>
          </cell>
          <cell r="AC883" t="str">
            <v>31/08/2013</v>
          </cell>
          <cell r="AD883" t="str">
            <v>Good</v>
          </cell>
          <cell r="AE883" t="str">
            <v>V1 - Existing / No Claim</v>
          </cell>
          <cell r="AF883">
            <v>42235</v>
          </cell>
          <cell r="AG883">
            <v>9.17</v>
          </cell>
          <cell r="AH883" t="str">
            <v>PPM</v>
          </cell>
          <cell r="AI883" t="str">
            <v>Strands</v>
          </cell>
          <cell r="AJ883" t="str">
            <v>Strands PW</v>
          </cell>
        </row>
        <row r="884">
          <cell r="A884" t="str">
            <v>IKN400428</v>
          </cell>
          <cell r="B884">
            <v>428</v>
          </cell>
          <cell r="C884" t="str">
            <v>Institut Kanser Negara</v>
          </cell>
          <cell r="D884" t="str">
            <v>N/A</v>
          </cell>
          <cell r="E884" t="str">
            <v>12-660</v>
          </cell>
          <cell r="F884" t="str">
            <v>Radiation Monitors</v>
          </cell>
          <cell r="G884" t="str">
            <v>NM</v>
          </cell>
          <cell r="H884" t="str">
            <v>NUCLEAR MED (DIAGNOSTIC)</v>
          </cell>
          <cell r="I884" t="str">
            <v>03NM148</v>
          </cell>
          <cell r="J884" t="str">
            <v>RADIOACTIVE WASTE (VE)</v>
          </cell>
          <cell r="K884" t="str">
            <v>BMED</v>
          </cell>
          <cell r="L884" t="str">
            <v>Normal</v>
          </cell>
          <cell r="M884" t="str">
            <v>USA</v>
          </cell>
          <cell r="N884" t="str">
            <v>Ludlum</v>
          </cell>
          <cell r="O884" t="str">
            <v>Ludlum 375P</v>
          </cell>
          <cell r="P884" t="str">
            <v>295544</v>
          </cell>
          <cell r="Q884" t="str">
            <v>Not Applicable</v>
          </cell>
          <cell r="R884" t="str">
            <v>Ludlum Measurements Inc</v>
          </cell>
          <cell r="S884" t="str">
            <v>Ludlum Measurement</v>
          </cell>
          <cell r="T884" t="str">
            <v>Functioning</v>
          </cell>
          <cell r="U884" t="str">
            <v>Asset</v>
          </cell>
          <cell r="V884">
            <v>25000</v>
          </cell>
          <cell r="W884" t="str">
            <v>Estimate</v>
          </cell>
          <cell r="X884" t="str">
            <v>01/09/2010</v>
          </cell>
          <cell r="Y884" t="str">
            <v>KEW</v>
          </cell>
          <cell r="Z884" t="str">
            <v>16/08/2013</v>
          </cell>
          <cell r="AA884" t="str">
            <v>15/08/2015</v>
          </cell>
          <cell r="AB884" t="str">
            <v>No</v>
          </cell>
          <cell r="AC884" t="str">
            <v>31/08/2013</v>
          </cell>
          <cell r="AD884" t="str">
            <v>Good</v>
          </cell>
          <cell r="AE884" t="str">
            <v>V1 - Existing / No Claim</v>
          </cell>
          <cell r="AF884">
            <v>42601</v>
          </cell>
          <cell r="AG884">
            <v>9.17</v>
          </cell>
          <cell r="AH884" t="str">
            <v>PPM</v>
          </cell>
          <cell r="AI884" t="str">
            <v>Not in contract</v>
          </cell>
        </row>
        <row r="885">
          <cell r="A885" t="str">
            <v>IKN400429</v>
          </cell>
          <cell r="B885">
            <v>429</v>
          </cell>
          <cell r="C885" t="str">
            <v>Institut Kanser Negara</v>
          </cell>
          <cell r="D885" t="str">
            <v>KKM/IKN/H/13/318</v>
          </cell>
          <cell r="E885" t="str">
            <v>15-045</v>
          </cell>
          <cell r="F885" t="str">
            <v>Nebulizers, Nonheated</v>
          </cell>
          <cell r="G885" t="str">
            <v>WC</v>
          </cell>
          <cell r="H885" t="str">
            <v>SURGICAL ONCO FEMALE WARD</v>
          </cell>
          <cell r="I885" t="str">
            <v>06WC113</v>
          </cell>
          <cell r="J885" t="str">
            <v>EQUIPMENT ROOM</v>
          </cell>
          <cell r="K885" t="str">
            <v>BMED</v>
          </cell>
          <cell r="L885" t="str">
            <v>Normal</v>
          </cell>
          <cell r="M885" t="str">
            <v>Germany</v>
          </cell>
          <cell r="N885" t="str">
            <v>Pari Boy</v>
          </cell>
          <cell r="O885" t="str">
            <v>Pari Boy SX 085</v>
          </cell>
          <cell r="P885" t="str">
            <v>2W12F13828</v>
          </cell>
          <cell r="Q885" t="str">
            <v>Not Applicable</v>
          </cell>
          <cell r="R885" t="str">
            <v>Pari GmbH</v>
          </cell>
          <cell r="S885" t="str">
            <v>Welch Allyn Malaysia Sdn Bhd</v>
          </cell>
          <cell r="T885" t="str">
            <v>Functioning</v>
          </cell>
          <cell r="U885" t="str">
            <v>Asset</v>
          </cell>
          <cell r="V885">
            <v>1140</v>
          </cell>
          <cell r="W885" t="str">
            <v>KEW</v>
          </cell>
          <cell r="X885" t="str">
            <v>01/09/2010</v>
          </cell>
          <cell r="Y885" t="str">
            <v>KEW</v>
          </cell>
          <cell r="Z885" t="str">
            <v>16/08/2013</v>
          </cell>
          <cell r="AA885" t="str">
            <v>15/08/2015</v>
          </cell>
          <cell r="AB885" t="str">
            <v>No</v>
          </cell>
          <cell r="AC885" t="str">
            <v>31/08/2013</v>
          </cell>
          <cell r="AD885" t="str">
            <v>Good</v>
          </cell>
          <cell r="AE885" t="str">
            <v>V1 - Existing / No Claim</v>
          </cell>
          <cell r="AF885">
            <v>42235</v>
          </cell>
          <cell r="AG885">
            <v>9.17</v>
          </cell>
          <cell r="AH885" t="str">
            <v>PPM</v>
          </cell>
          <cell r="AI885" t="str">
            <v>Strands</v>
          </cell>
          <cell r="AJ885" t="str">
            <v>Strands PW</v>
          </cell>
        </row>
        <row r="886">
          <cell r="A886" t="str">
            <v>IKN400430</v>
          </cell>
          <cell r="B886">
            <v>430</v>
          </cell>
          <cell r="C886" t="str">
            <v>Institut Kanser Negara</v>
          </cell>
          <cell r="D886" t="str">
            <v>KKM/IKN/H/13/1270</v>
          </cell>
          <cell r="E886" t="str">
            <v>10-447</v>
          </cell>
          <cell r="F886" t="str">
            <v>Warming Units, Blood/Solution</v>
          </cell>
          <cell r="G886" t="str">
            <v>WC</v>
          </cell>
          <cell r="H886" t="str">
            <v>SURGICAL ONCO FEMALE WARD</v>
          </cell>
          <cell r="I886" t="str">
            <v>06WC113</v>
          </cell>
          <cell r="J886" t="str">
            <v>EQUIPMENT ROOM</v>
          </cell>
          <cell r="K886" t="str">
            <v>BMED</v>
          </cell>
          <cell r="L886" t="str">
            <v>Normal</v>
          </cell>
          <cell r="M886" t="str">
            <v>Japan</v>
          </cell>
          <cell r="N886" t="str">
            <v>Animec</v>
          </cell>
          <cell r="O886" t="str">
            <v>Animec AM-301</v>
          </cell>
          <cell r="P886" t="str">
            <v>2013D0261</v>
          </cell>
          <cell r="Q886" t="str">
            <v>Not Applicable</v>
          </cell>
          <cell r="R886" t="str">
            <v>Elltec Co Ltd</v>
          </cell>
          <cell r="S886" t="str">
            <v>IDS Services (Malaysia) Sdn Bhd</v>
          </cell>
          <cell r="T886" t="str">
            <v>Functioning</v>
          </cell>
          <cell r="U886" t="str">
            <v>Asset</v>
          </cell>
          <cell r="V886">
            <v>4990</v>
          </cell>
          <cell r="W886" t="str">
            <v>KEW</v>
          </cell>
          <cell r="X886" t="str">
            <v>01/09/2010</v>
          </cell>
          <cell r="Y886" t="str">
            <v>KEW</v>
          </cell>
          <cell r="Z886" t="str">
            <v>16/08/2013</v>
          </cell>
          <cell r="AA886" t="str">
            <v>15/08/2015</v>
          </cell>
          <cell r="AB886" t="str">
            <v>No</v>
          </cell>
          <cell r="AC886" t="str">
            <v>31/08/2013</v>
          </cell>
          <cell r="AD886" t="str">
            <v>Good</v>
          </cell>
          <cell r="AE886" t="str">
            <v>V1 - Existing / No Claim</v>
          </cell>
          <cell r="AF886">
            <v>42235</v>
          </cell>
          <cell r="AG886">
            <v>9.17</v>
          </cell>
          <cell r="AH886" t="str">
            <v>PPM</v>
          </cell>
          <cell r="AI886" t="str">
            <v>Strands</v>
          </cell>
          <cell r="AJ886" t="str">
            <v>Strands PW</v>
          </cell>
        </row>
        <row r="887">
          <cell r="A887" t="str">
            <v>IKN400434</v>
          </cell>
          <cell r="B887">
            <v>434</v>
          </cell>
          <cell r="C887" t="str">
            <v>Institut Kanser Negara</v>
          </cell>
          <cell r="D887" t="str">
            <v>KKM/IKN/H/13/1352</v>
          </cell>
          <cell r="E887" t="str">
            <v>12-282</v>
          </cell>
          <cell r="F887" t="str">
            <v>Lights, Surgical</v>
          </cell>
          <cell r="G887" t="str">
            <v>WC</v>
          </cell>
          <cell r="H887" t="str">
            <v>SURGICAL ONCO FEMALE WARD</v>
          </cell>
          <cell r="I887" t="str">
            <v>06WC113</v>
          </cell>
          <cell r="J887" t="str">
            <v>EQUIPMENT ROOM</v>
          </cell>
          <cell r="K887" t="str">
            <v>BMED</v>
          </cell>
          <cell r="L887" t="str">
            <v>Normal</v>
          </cell>
          <cell r="M887" t="str">
            <v>USA</v>
          </cell>
          <cell r="N887" t="str">
            <v>Welch Allyn</v>
          </cell>
          <cell r="O887" t="str">
            <v>Welch Allyn GS600</v>
          </cell>
          <cell r="P887" t="str">
            <v>GS-600-36</v>
          </cell>
          <cell r="Q887" t="str">
            <v>Not Applicable</v>
          </cell>
          <cell r="R887" t="str">
            <v>Welch Allyn Inc</v>
          </cell>
          <cell r="S887" t="str">
            <v>Welch Allyn Malaysia Sdn Bhd</v>
          </cell>
          <cell r="T887" t="str">
            <v>Functioning</v>
          </cell>
          <cell r="U887" t="str">
            <v>Asset</v>
          </cell>
          <cell r="V887">
            <v>5050</v>
          </cell>
          <cell r="W887" t="str">
            <v>KEW</v>
          </cell>
          <cell r="X887" t="str">
            <v>01/09/2010</v>
          </cell>
          <cell r="Y887" t="str">
            <v>KEW</v>
          </cell>
          <cell r="Z887" t="str">
            <v>16/08/2013</v>
          </cell>
          <cell r="AA887" t="str">
            <v>15/08/2015</v>
          </cell>
          <cell r="AB887" t="str">
            <v>No</v>
          </cell>
          <cell r="AC887" t="str">
            <v>31/08/2013</v>
          </cell>
          <cell r="AD887" t="str">
            <v>Good</v>
          </cell>
          <cell r="AE887" t="str">
            <v>V1 - Existing / No Claim</v>
          </cell>
          <cell r="AF887">
            <v>42235</v>
          </cell>
          <cell r="AG887">
            <v>9.17</v>
          </cell>
          <cell r="AH887" t="str">
            <v>PPM</v>
          </cell>
          <cell r="AI887" t="str">
            <v>Strands</v>
          </cell>
          <cell r="AJ887" t="str">
            <v>Strands PW</v>
          </cell>
        </row>
        <row r="888">
          <cell r="A888" t="str">
            <v>IKN400435</v>
          </cell>
          <cell r="B888">
            <v>435</v>
          </cell>
          <cell r="C888" t="str">
            <v>Institut Kanser Negara</v>
          </cell>
          <cell r="D888" t="str">
            <v>KKM/IKN/H/13/1353</v>
          </cell>
          <cell r="E888" t="str">
            <v>12-282</v>
          </cell>
          <cell r="F888" t="str">
            <v>Lights, Surgical</v>
          </cell>
          <cell r="G888" t="str">
            <v>WC</v>
          </cell>
          <cell r="H888" t="str">
            <v>SURGICAL ONCO FEMALE WARD</v>
          </cell>
          <cell r="I888" t="str">
            <v>06WC113</v>
          </cell>
          <cell r="J888" t="str">
            <v>EQUIPMENT ROOM</v>
          </cell>
          <cell r="K888" t="str">
            <v>BMED</v>
          </cell>
          <cell r="L888" t="str">
            <v>Normal</v>
          </cell>
          <cell r="M888" t="str">
            <v>USA</v>
          </cell>
          <cell r="N888" t="str">
            <v>Welch Allyn</v>
          </cell>
          <cell r="O888" t="str">
            <v>Welch Allyn GS600</v>
          </cell>
          <cell r="P888" t="str">
            <v>GS-600-47</v>
          </cell>
          <cell r="Q888" t="str">
            <v>Not Applicable</v>
          </cell>
          <cell r="R888" t="str">
            <v>Welch Allyn Inc</v>
          </cell>
          <cell r="S888" t="str">
            <v>Welch Allyn Malaysia Sdn Bhd</v>
          </cell>
          <cell r="T888" t="str">
            <v>Functioning</v>
          </cell>
          <cell r="U888" t="str">
            <v>Asset</v>
          </cell>
          <cell r="V888">
            <v>5050</v>
          </cell>
          <cell r="W888" t="str">
            <v>KEW</v>
          </cell>
          <cell r="X888" t="str">
            <v>01/09/2010</v>
          </cell>
          <cell r="Y888" t="str">
            <v>KEW</v>
          </cell>
          <cell r="Z888" t="str">
            <v>16/08/2013</v>
          </cell>
          <cell r="AA888" t="str">
            <v>15/08/2015</v>
          </cell>
          <cell r="AB888" t="str">
            <v>No</v>
          </cell>
          <cell r="AC888" t="str">
            <v>31/08/2013</v>
          </cell>
          <cell r="AD888" t="str">
            <v>Good</v>
          </cell>
          <cell r="AE888" t="str">
            <v>V1 - Existing / No Claim</v>
          </cell>
          <cell r="AF888">
            <v>42235</v>
          </cell>
          <cell r="AG888">
            <v>9.17</v>
          </cell>
          <cell r="AH888" t="str">
            <v>PPM</v>
          </cell>
          <cell r="AI888" t="str">
            <v>Strands</v>
          </cell>
          <cell r="AJ888" t="str">
            <v>Strands PW</v>
          </cell>
        </row>
        <row r="889">
          <cell r="A889" t="str">
            <v>IKN400437</v>
          </cell>
          <cell r="B889">
            <v>437</v>
          </cell>
          <cell r="C889" t="str">
            <v>Institut Kanser Negara</v>
          </cell>
          <cell r="D889" t="str">
            <v>KKM/IKN/H/13/2017</v>
          </cell>
          <cell r="E889" t="str">
            <v>15-045</v>
          </cell>
          <cell r="F889" t="str">
            <v>Nebulizers, Nonheated</v>
          </cell>
          <cell r="G889" t="str">
            <v>WC</v>
          </cell>
          <cell r="H889" t="str">
            <v>SURGICAL ONCO FEMALE WARD</v>
          </cell>
          <cell r="I889" t="str">
            <v>06WC113</v>
          </cell>
          <cell r="J889" t="str">
            <v>EQUIPMENT ROOM</v>
          </cell>
          <cell r="K889" t="str">
            <v>BMED</v>
          </cell>
          <cell r="L889" t="str">
            <v>Normal</v>
          </cell>
          <cell r="M889" t="str">
            <v>Germany</v>
          </cell>
          <cell r="N889" t="str">
            <v>Pari Boy</v>
          </cell>
          <cell r="O889" t="str">
            <v>Pari Boy SX 085</v>
          </cell>
          <cell r="P889" t="str">
            <v>2W12K14141</v>
          </cell>
          <cell r="Q889" t="str">
            <v>Not Applicable</v>
          </cell>
          <cell r="R889" t="str">
            <v>Pari GmbH</v>
          </cell>
          <cell r="S889" t="str">
            <v>Welch Allyn Malaysia Sdn Bhd</v>
          </cell>
          <cell r="T889" t="str">
            <v>Functioning</v>
          </cell>
          <cell r="U889" t="str">
            <v>Asset</v>
          </cell>
          <cell r="V889">
            <v>1140</v>
          </cell>
          <cell r="W889" t="str">
            <v>KEW</v>
          </cell>
          <cell r="X889" t="str">
            <v>01/09/2010</v>
          </cell>
          <cell r="Y889" t="str">
            <v>KEW</v>
          </cell>
          <cell r="Z889" t="str">
            <v>16/08/2013</v>
          </cell>
          <cell r="AA889" t="str">
            <v>15/08/2015</v>
          </cell>
          <cell r="AB889" t="str">
            <v>No</v>
          </cell>
          <cell r="AC889" t="str">
            <v>31/08/2013</v>
          </cell>
          <cell r="AD889" t="str">
            <v>Good</v>
          </cell>
          <cell r="AE889" t="str">
            <v>V1 - Existing / No Claim</v>
          </cell>
          <cell r="AF889">
            <v>42235</v>
          </cell>
          <cell r="AG889">
            <v>9.17</v>
          </cell>
          <cell r="AH889" t="str">
            <v>PPM</v>
          </cell>
          <cell r="AI889" t="str">
            <v>Strands</v>
          </cell>
          <cell r="AJ889" t="str">
            <v>Strands PW</v>
          </cell>
        </row>
        <row r="890">
          <cell r="A890" t="str">
            <v>IKN400438</v>
          </cell>
          <cell r="B890">
            <v>438</v>
          </cell>
          <cell r="C890" t="str">
            <v>Institut Kanser Negara</v>
          </cell>
          <cell r="D890" t="str">
            <v>KKM/IKN/H/13/319</v>
          </cell>
          <cell r="E890" t="str">
            <v>15-045</v>
          </cell>
          <cell r="F890" t="str">
            <v>Nebulizers, Nonheated</v>
          </cell>
          <cell r="G890" t="str">
            <v>WC</v>
          </cell>
          <cell r="H890" t="str">
            <v>SURGICAL ONCO FEMALE WARD</v>
          </cell>
          <cell r="I890" t="str">
            <v>06WC113</v>
          </cell>
          <cell r="J890" t="str">
            <v>EQUIPMENT ROOM</v>
          </cell>
          <cell r="K890" t="str">
            <v>BMED</v>
          </cell>
          <cell r="L890" t="str">
            <v>Normal</v>
          </cell>
          <cell r="M890" t="str">
            <v>Germany</v>
          </cell>
          <cell r="N890" t="str">
            <v>Pari Boy</v>
          </cell>
          <cell r="O890" t="str">
            <v>Pari Boy SX 085</v>
          </cell>
          <cell r="P890" t="str">
            <v>2W12J05853</v>
          </cell>
          <cell r="Q890" t="str">
            <v>Not Applicable</v>
          </cell>
          <cell r="R890" t="str">
            <v>Pari GmbH</v>
          </cell>
          <cell r="S890" t="str">
            <v>Welch Allyn Malaysia Sdn Bhd</v>
          </cell>
          <cell r="T890" t="str">
            <v>Functioning</v>
          </cell>
          <cell r="U890" t="str">
            <v>Asset</v>
          </cell>
          <cell r="V890">
            <v>1140</v>
          </cell>
          <cell r="W890" t="str">
            <v>KEW</v>
          </cell>
          <cell r="X890" t="str">
            <v>01/09/2010</v>
          </cell>
          <cell r="Y890" t="str">
            <v>KEW</v>
          </cell>
          <cell r="Z890" t="str">
            <v>16/08/2013</v>
          </cell>
          <cell r="AA890" t="str">
            <v>15/08/2015</v>
          </cell>
          <cell r="AB890" t="str">
            <v>No</v>
          </cell>
          <cell r="AC890" t="str">
            <v>31/08/2013</v>
          </cell>
          <cell r="AD890" t="str">
            <v>Good</v>
          </cell>
          <cell r="AE890" t="str">
            <v>V1 - Existing / No Claim</v>
          </cell>
          <cell r="AF890">
            <v>42235</v>
          </cell>
          <cell r="AG890">
            <v>9.17</v>
          </cell>
          <cell r="AH890" t="str">
            <v>PPM</v>
          </cell>
          <cell r="AI890" t="str">
            <v>Strands</v>
          </cell>
          <cell r="AJ890" t="str">
            <v>Strands PW</v>
          </cell>
        </row>
        <row r="891">
          <cell r="A891" t="str">
            <v>IKN400439</v>
          </cell>
          <cell r="B891">
            <v>439</v>
          </cell>
          <cell r="C891" t="str">
            <v>Institut Kanser Negara</v>
          </cell>
          <cell r="D891" t="str">
            <v>KKM/IKN/H/13/1328</v>
          </cell>
          <cell r="E891" t="str">
            <v>16-173</v>
          </cell>
          <cell r="F891" t="str">
            <v>Sphygmomanometers, Electronic, Automatic</v>
          </cell>
          <cell r="G891" t="str">
            <v>WC</v>
          </cell>
          <cell r="H891" t="str">
            <v>SURGICAL ONCO FEMALE WARD</v>
          </cell>
          <cell r="I891" t="str">
            <v>06WC143</v>
          </cell>
          <cell r="J891" t="str">
            <v>NURSE STATION</v>
          </cell>
          <cell r="K891" t="str">
            <v>BMED</v>
          </cell>
          <cell r="L891" t="str">
            <v>Normal</v>
          </cell>
          <cell r="M891" t="str">
            <v>USA</v>
          </cell>
          <cell r="N891" t="str">
            <v>Connex</v>
          </cell>
          <cell r="O891" t="str">
            <v>Connex ProBP 3400</v>
          </cell>
          <cell r="P891" t="str">
            <v>100001550613</v>
          </cell>
          <cell r="Q891" t="str">
            <v>Not Applicable</v>
          </cell>
          <cell r="R891" t="str">
            <v>Welch Allyn Inc</v>
          </cell>
          <cell r="S891" t="str">
            <v>Welch Allyn Malaysia Sdn Bhd</v>
          </cell>
          <cell r="T891" t="str">
            <v>Functioning</v>
          </cell>
          <cell r="U891" t="str">
            <v>Asset</v>
          </cell>
          <cell r="V891">
            <v>4510</v>
          </cell>
          <cell r="W891" t="str">
            <v>KEW</v>
          </cell>
          <cell r="X891" t="str">
            <v>01/09/2010</v>
          </cell>
          <cell r="Y891" t="str">
            <v>KEW</v>
          </cell>
          <cell r="Z891" t="str">
            <v>16/08/2013</v>
          </cell>
          <cell r="AA891" t="str">
            <v>15/08/2015</v>
          </cell>
          <cell r="AB891" t="str">
            <v>No</v>
          </cell>
          <cell r="AC891" t="str">
            <v>31/08/2013</v>
          </cell>
          <cell r="AD891" t="str">
            <v>Good</v>
          </cell>
          <cell r="AE891" t="str">
            <v>V1 - Existing / No Claim</v>
          </cell>
          <cell r="AF891">
            <v>42235</v>
          </cell>
          <cell r="AG891">
            <v>9.17</v>
          </cell>
          <cell r="AH891" t="str">
            <v>PPM</v>
          </cell>
          <cell r="AI891" t="str">
            <v>Strands</v>
          </cell>
          <cell r="AJ891" t="str">
            <v>Strands PW</v>
          </cell>
        </row>
        <row r="892">
          <cell r="A892" t="str">
            <v>IKN400440</v>
          </cell>
          <cell r="B892">
            <v>440</v>
          </cell>
          <cell r="C892" t="str">
            <v>Institut Kanser Negara</v>
          </cell>
          <cell r="D892" t="str">
            <v>KKM/IKN/H/13/1332</v>
          </cell>
          <cell r="E892" t="str">
            <v>16-173</v>
          </cell>
          <cell r="F892" t="str">
            <v>Sphygmomanometers, Electronic, Automatic</v>
          </cell>
          <cell r="G892" t="str">
            <v>WC</v>
          </cell>
          <cell r="H892" t="str">
            <v>SURGICAL ONCO FEMALE WARD</v>
          </cell>
          <cell r="I892" t="str">
            <v>06WC143</v>
          </cell>
          <cell r="J892" t="str">
            <v>NURSE STATION</v>
          </cell>
          <cell r="K892" t="str">
            <v>BMED</v>
          </cell>
          <cell r="L892" t="str">
            <v>Normal</v>
          </cell>
          <cell r="M892" t="str">
            <v>USA</v>
          </cell>
          <cell r="N892" t="str">
            <v>Connex</v>
          </cell>
          <cell r="O892" t="str">
            <v>Connex ProBP 3400</v>
          </cell>
          <cell r="P892" t="str">
            <v>100001570613</v>
          </cell>
          <cell r="Q892" t="str">
            <v>Not Applicable</v>
          </cell>
          <cell r="R892" t="str">
            <v>Welch Allyn Inc</v>
          </cell>
          <cell r="S892" t="str">
            <v>Welch Allyn Malaysia Sdn Bhd</v>
          </cell>
          <cell r="T892" t="str">
            <v>Functioning</v>
          </cell>
          <cell r="U892" t="str">
            <v>Asset</v>
          </cell>
          <cell r="V892">
            <v>4510</v>
          </cell>
          <cell r="W892" t="str">
            <v>KEW</v>
          </cell>
          <cell r="X892" t="str">
            <v>01/09/2010</v>
          </cell>
          <cell r="Y892" t="str">
            <v>KEW</v>
          </cell>
          <cell r="Z892" t="str">
            <v>16/08/2013</v>
          </cell>
          <cell r="AA892" t="str">
            <v>15/08/2015</v>
          </cell>
          <cell r="AB892" t="str">
            <v>No</v>
          </cell>
          <cell r="AC892" t="str">
            <v>31/08/2013</v>
          </cell>
          <cell r="AD892" t="str">
            <v>Good</v>
          </cell>
          <cell r="AE892" t="str">
            <v>V1 - Existing / No Claim</v>
          </cell>
          <cell r="AF892">
            <v>42235</v>
          </cell>
          <cell r="AG892">
            <v>9.17</v>
          </cell>
          <cell r="AH892" t="str">
            <v>PPM</v>
          </cell>
          <cell r="AI892" t="str">
            <v>Strands</v>
          </cell>
          <cell r="AJ892" t="str">
            <v>Strands PW</v>
          </cell>
        </row>
        <row r="893">
          <cell r="A893" t="str">
            <v>IKN400441</v>
          </cell>
          <cell r="B893">
            <v>441</v>
          </cell>
          <cell r="C893" t="str">
            <v>Institut Kanser Negara</v>
          </cell>
          <cell r="D893" t="str">
            <v>KKM/IKN/H/13/4290</v>
          </cell>
          <cell r="E893" t="str">
            <v>10-849</v>
          </cell>
          <cell r="F893" t="str">
            <v>Circulatory Assist Units, Venous Return</v>
          </cell>
          <cell r="G893" t="str">
            <v>WC</v>
          </cell>
          <cell r="H893" t="str">
            <v>SURGICAL ONCO FEMALE WARD</v>
          </cell>
          <cell r="I893" t="str">
            <v>06WC113</v>
          </cell>
          <cell r="J893" t="str">
            <v>EQUIPMENT ROOM</v>
          </cell>
          <cell r="K893" t="str">
            <v>BMED</v>
          </cell>
          <cell r="L893" t="str">
            <v>Normal</v>
          </cell>
          <cell r="M893" t="str">
            <v>Taiwan</v>
          </cell>
          <cell r="N893" t="str">
            <v>Vena Press</v>
          </cell>
          <cell r="O893" t="str">
            <v>Vena Press IPC</v>
          </cell>
          <cell r="P893" t="str">
            <v>C820016698</v>
          </cell>
          <cell r="Q893" t="str">
            <v>Not Applicable</v>
          </cell>
          <cell r="R893" t="str">
            <v>Prius Healthcare Solution</v>
          </cell>
          <cell r="S893" t="str">
            <v>Medika Supplies</v>
          </cell>
          <cell r="T893" t="str">
            <v>Functioning</v>
          </cell>
          <cell r="U893" t="str">
            <v>Asset</v>
          </cell>
          <cell r="V893">
            <v>13470</v>
          </cell>
          <cell r="W893" t="str">
            <v>KEW</v>
          </cell>
          <cell r="X893" t="str">
            <v>01/09/2010</v>
          </cell>
          <cell r="Y893" t="str">
            <v>KEW</v>
          </cell>
          <cell r="Z893" t="str">
            <v>16/08/2013</v>
          </cell>
          <cell r="AA893" t="str">
            <v>15/08/2015</v>
          </cell>
          <cell r="AB893" t="str">
            <v>No</v>
          </cell>
          <cell r="AC893" t="str">
            <v>31/08/2013</v>
          </cell>
          <cell r="AD893" t="str">
            <v>Good</v>
          </cell>
          <cell r="AE893" t="str">
            <v>V1 - Existing / No Claim</v>
          </cell>
          <cell r="AF893">
            <v>42235</v>
          </cell>
          <cell r="AG893">
            <v>9.17</v>
          </cell>
          <cell r="AH893" t="str">
            <v>PPM</v>
          </cell>
          <cell r="AI893" t="str">
            <v>Strands</v>
          </cell>
          <cell r="AJ893" t="str">
            <v>Strands PW SET B</v>
          </cell>
          <cell r="AK893" t="str">
            <v>CUBA CHECK IKN401123 PUNYA KEWPA</v>
          </cell>
        </row>
        <row r="894">
          <cell r="A894" t="str">
            <v>IKN400442</v>
          </cell>
          <cell r="B894">
            <v>442</v>
          </cell>
          <cell r="C894" t="str">
            <v>Institut Kanser Negara</v>
          </cell>
          <cell r="D894" t="str">
            <v>KKM/IKN/H/13/1268</v>
          </cell>
          <cell r="E894" t="str">
            <v>13-217</v>
          </cell>
          <cell r="F894" t="str">
            <v>Infusion Pumps, Syringe</v>
          </cell>
          <cell r="G894" t="str">
            <v>WC</v>
          </cell>
          <cell r="H894" t="str">
            <v>SURGICAL ONCO FEMALE WARD</v>
          </cell>
          <cell r="I894" t="str">
            <v>06WC113</v>
          </cell>
          <cell r="J894" t="str">
            <v>EQUIPMENT ROOM</v>
          </cell>
          <cell r="K894" t="str">
            <v>BMED</v>
          </cell>
          <cell r="L894" t="str">
            <v>Normal</v>
          </cell>
          <cell r="M894" t="str">
            <v>Germany</v>
          </cell>
          <cell r="N894" t="str">
            <v>Perfusor</v>
          </cell>
          <cell r="O894" t="str">
            <v>Perfusor Space</v>
          </cell>
          <cell r="P894" t="str">
            <v>186586</v>
          </cell>
          <cell r="Q894" t="str">
            <v>Not Applicable</v>
          </cell>
          <cell r="R894" t="str">
            <v>B Braun Melsungen AG</v>
          </cell>
          <cell r="S894" t="str">
            <v>B Braun Medical Supplies Sdn. Bhd.</v>
          </cell>
          <cell r="T894" t="str">
            <v>Functioning</v>
          </cell>
          <cell r="U894" t="str">
            <v>Asset</v>
          </cell>
          <cell r="V894">
            <v>10225</v>
          </cell>
          <cell r="W894" t="str">
            <v>KEW</v>
          </cell>
          <cell r="X894" t="str">
            <v>01/09/2010</v>
          </cell>
          <cell r="Y894" t="str">
            <v>KEW</v>
          </cell>
          <cell r="Z894" t="str">
            <v>16/08/2013</v>
          </cell>
          <cell r="AA894" t="str">
            <v>15/08/2015</v>
          </cell>
          <cell r="AB894" t="str">
            <v>No</v>
          </cell>
          <cell r="AC894" t="str">
            <v>31/08/2013</v>
          </cell>
          <cell r="AD894" t="str">
            <v>Good</v>
          </cell>
          <cell r="AE894" t="str">
            <v>V1 - Existing / No Claim</v>
          </cell>
          <cell r="AF894">
            <v>42235</v>
          </cell>
          <cell r="AG894">
            <v>9.17</v>
          </cell>
          <cell r="AH894" t="str">
            <v>PPM</v>
          </cell>
          <cell r="AI894" t="str">
            <v>Strands</v>
          </cell>
          <cell r="AJ894" t="str">
            <v>Strands PW</v>
          </cell>
        </row>
        <row r="895">
          <cell r="A895" t="str">
            <v>IKN400443</v>
          </cell>
          <cell r="B895">
            <v>443</v>
          </cell>
          <cell r="C895" t="str">
            <v>Institut Kanser Negara</v>
          </cell>
          <cell r="D895" t="str">
            <v>KKM/IKN/H/13/1269</v>
          </cell>
          <cell r="E895" t="str">
            <v>13-217</v>
          </cell>
          <cell r="F895" t="str">
            <v>Infusion Pumps, Syringe</v>
          </cell>
          <cell r="G895" t="str">
            <v>WC</v>
          </cell>
          <cell r="H895" t="str">
            <v>SURGICAL ONCO FEMALE WARD</v>
          </cell>
          <cell r="I895" t="str">
            <v>06WC113</v>
          </cell>
          <cell r="J895" t="str">
            <v>EQUIPMENT ROOM</v>
          </cell>
          <cell r="K895" t="str">
            <v>BMED</v>
          </cell>
          <cell r="L895" t="str">
            <v>Normal</v>
          </cell>
          <cell r="M895" t="str">
            <v>Germany</v>
          </cell>
          <cell r="N895" t="str">
            <v>Perfusor</v>
          </cell>
          <cell r="O895" t="str">
            <v>Perfusor Space</v>
          </cell>
          <cell r="P895" t="str">
            <v>186974</v>
          </cell>
          <cell r="Q895" t="str">
            <v>Not Applicable</v>
          </cell>
          <cell r="R895" t="str">
            <v>B Braun Melsungen AG</v>
          </cell>
          <cell r="S895" t="str">
            <v>B Braun Medical Supplies Sdn. Bhd.</v>
          </cell>
          <cell r="T895" t="str">
            <v>Functioning</v>
          </cell>
          <cell r="U895" t="str">
            <v>Asset</v>
          </cell>
          <cell r="V895">
            <v>10225</v>
          </cell>
          <cell r="W895" t="str">
            <v>KEW</v>
          </cell>
          <cell r="X895" t="str">
            <v>01/09/2010</v>
          </cell>
          <cell r="Y895" t="str">
            <v>KEW</v>
          </cell>
          <cell r="Z895" t="str">
            <v>16/08/2013</v>
          </cell>
          <cell r="AA895" t="str">
            <v>15/08/2015</v>
          </cell>
          <cell r="AB895" t="str">
            <v>No</v>
          </cell>
          <cell r="AC895" t="str">
            <v>31/08/2013</v>
          </cell>
          <cell r="AD895" t="str">
            <v>Good</v>
          </cell>
          <cell r="AE895" t="str">
            <v>V1 - Existing / No Claim</v>
          </cell>
          <cell r="AF895">
            <v>42235</v>
          </cell>
          <cell r="AG895">
            <v>9.17</v>
          </cell>
          <cell r="AH895" t="str">
            <v>PPM</v>
          </cell>
          <cell r="AI895" t="str">
            <v>Strands</v>
          </cell>
          <cell r="AJ895" t="str">
            <v>Strands PW</v>
          </cell>
        </row>
        <row r="896">
          <cell r="A896" t="str">
            <v>IKN400444</v>
          </cell>
          <cell r="B896">
            <v>444</v>
          </cell>
          <cell r="C896" t="str">
            <v>Institut Kanser Negara</v>
          </cell>
          <cell r="D896" t="str">
            <v>KKM/IKN/H/13/4287</v>
          </cell>
          <cell r="E896" t="str">
            <v>13-217</v>
          </cell>
          <cell r="F896" t="str">
            <v>Infusion Pumps, Syringe</v>
          </cell>
          <cell r="G896" t="str">
            <v>WC</v>
          </cell>
          <cell r="H896" t="str">
            <v>SURGICAL ONCO FEMALE WARD</v>
          </cell>
          <cell r="I896" t="str">
            <v>06WC113</v>
          </cell>
          <cell r="J896" t="str">
            <v>EQUIPMENT ROOM</v>
          </cell>
          <cell r="K896" t="str">
            <v>BMED</v>
          </cell>
          <cell r="L896" t="str">
            <v>Normal</v>
          </cell>
          <cell r="M896" t="str">
            <v>Germany</v>
          </cell>
          <cell r="N896" t="str">
            <v>Perfusor</v>
          </cell>
          <cell r="O896" t="str">
            <v>Perfusor Space</v>
          </cell>
          <cell r="P896" t="str">
            <v>187009</v>
          </cell>
          <cell r="Q896" t="str">
            <v>Not Applicable</v>
          </cell>
          <cell r="R896" t="str">
            <v>B Braun Melsungen AG</v>
          </cell>
          <cell r="S896" t="str">
            <v>B Braun Medical Supplies Sdn. Bhd.</v>
          </cell>
          <cell r="T896" t="str">
            <v>Functioning</v>
          </cell>
          <cell r="U896" t="str">
            <v>Asset</v>
          </cell>
          <cell r="V896">
            <v>10225</v>
          </cell>
          <cell r="W896" t="str">
            <v>KEW</v>
          </cell>
          <cell r="X896" t="str">
            <v>01/09/2010</v>
          </cell>
          <cell r="Y896" t="str">
            <v>KEW</v>
          </cell>
          <cell r="Z896" t="str">
            <v>16/08/2013</v>
          </cell>
          <cell r="AA896" t="str">
            <v>15/08/2015</v>
          </cell>
          <cell r="AB896" t="str">
            <v>No</v>
          </cell>
          <cell r="AC896" t="str">
            <v>31/08/2013</v>
          </cell>
          <cell r="AD896" t="str">
            <v>Good</v>
          </cell>
          <cell r="AE896" t="str">
            <v>V1 - Existing / No Claim</v>
          </cell>
          <cell r="AF896">
            <v>42235</v>
          </cell>
          <cell r="AG896">
            <v>9.17</v>
          </cell>
          <cell r="AH896" t="str">
            <v>PPM</v>
          </cell>
          <cell r="AI896" t="str">
            <v>Strands</v>
          </cell>
          <cell r="AJ896" t="str">
            <v>Strands PW</v>
          </cell>
        </row>
        <row r="897">
          <cell r="A897" t="str">
            <v>IKN400445</v>
          </cell>
          <cell r="B897">
            <v>445</v>
          </cell>
          <cell r="C897" t="str">
            <v>Institut Kanser Negara</v>
          </cell>
          <cell r="D897" t="str">
            <v>KKM/IKN/H/13/4289</v>
          </cell>
          <cell r="E897" t="str">
            <v>13-217</v>
          </cell>
          <cell r="F897" t="str">
            <v>Infusion Pumps, Syringe</v>
          </cell>
          <cell r="G897" t="str">
            <v>WC</v>
          </cell>
          <cell r="H897" t="str">
            <v>SURGICAL ONCO FEMALE WARD</v>
          </cell>
          <cell r="I897" t="str">
            <v>06WC113</v>
          </cell>
          <cell r="J897" t="str">
            <v>EQUIPMENT ROOM</v>
          </cell>
          <cell r="K897" t="str">
            <v>BMED</v>
          </cell>
          <cell r="L897" t="str">
            <v>Normal</v>
          </cell>
          <cell r="M897" t="str">
            <v>Germany</v>
          </cell>
          <cell r="N897" t="str">
            <v>Perfusor</v>
          </cell>
          <cell r="O897" t="str">
            <v>Perfusor Space</v>
          </cell>
          <cell r="P897" t="str">
            <v>187037</v>
          </cell>
          <cell r="Q897" t="str">
            <v>Not Applicable</v>
          </cell>
          <cell r="R897" t="str">
            <v>B Braun Melsungen AG</v>
          </cell>
          <cell r="S897" t="str">
            <v>B Braun Medical Supplies Sdn. Bhd.</v>
          </cell>
          <cell r="T897" t="str">
            <v>Functioning</v>
          </cell>
          <cell r="U897" t="str">
            <v>Asset</v>
          </cell>
          <cell r="V897">
            <v>10225</v>
          </cell>
          <cell r="W897" t="str">
            <v>KEW</v>
          </cell>
          <cell r="X897" t="str">
            <v>01/09/2010</v>
          </cell>
          <cell r="Y897" t="str">
            <v>KEW</v>
          </cell>
          <cell r="Z897" t="str">
            <v>16/08/2013</v>
          </cell>
          <cell r="AA897" t="str">
            <v>15/08/2015</v>
          </cell>
          <cell r="AB897" t="str">
            <v>No</v>
          </cell>
          <cell r="AC897" t="str">
            <v>31/08/2013</v>
          </cell>
          <cell r="AD897" t="str">
            <v>Good</v>
          </cell>
          <cell r="AE897" t="str">
            <v>V1 - Existing / No Claim</v>
          </cell>
          <cell r="AF897">
            <v>42235</v>
          </cell>
          <cell r="AG897">
            <v>9.17</v>
          </cell>
          <cell r="AH897" t="str">
            <v>PPM</v>
          </cell>
          <cell r="AI897" t="str">
            <v>Strands</v>
          </cell>
          <cell r="AJ897" t="str">
            <v>Strands PW</v>
          </cell>
        </row>
        <row r="898">
          <cell r="A898" t="str">
            <v>IKN400446</v>
          </cell>
          <cell r="B898">
            <v>446</v>
          </cell>
          <cell r="C898" t="str">
            <v>Institut Kanser Negara</v>
          </cell>
          <cell r="D898" t="str">
            <v>KKM/IKN/H/13/1287</v>
          </cell>
          <cell r="E898" t="str">
            <v>13-215</v>
          </cell>
          <cell r="F898" t="str">
            <v>Infusion Pumps, General-Purpose</v>
          </cell>
          <cell r="G898" t="str">
            <v>WC</v>
          </cell>
          <cell r="H898" t="str">
            <v>SURGICAL ONCO FEMALE WARD</v>
          </cell>
          <cell r="I898" t="str">
            <v>06WC113</v>
          </cell>
          <cell r="J898" t="str">
            <v>EQUIPMENT ROOM</v>
          </cell>
          <cell r="K898" t="str">
            <v>BMED</v>
          </cell>
          <cell r="L898" t="str">
            <v>Normal</v>
          </cell>
          <cell r="M898" t="str">
            <v>Germany</v>
          </cell>
          <cell r="N898" t="str">
            <v>Infusomat</v>
          </cell>
          <cell r="O898" t="str">
            <v>Infusomat Space</v>
          </cell>
          <cell r="P898" t="str">
            <v>212021</v>
          </cell>
          <cell r="Q898" t="str">
            <v>Not Applicable</v>
          </cell>
          <cell r="R898" t="str">
            <v>B Braun Melsungen AG</v>
          </cell>
          <cell r="S898" t="str">
            <v>B Braun Medical Supplies Sdn. Bhd.</v>
          </cell>
          <cell r="T898" t="str">
            <v>Functioning</v>
          </cell>
          <cell r="U898" t="str">
            <v>Asset</v>
          </cell>
          <cell r="V898">
            <v>10825</v>
          </cell>
          <cell r="W898" t="str">
            <v>KEW</v>
          </cell>
          <cell r="X898" t="str">
            <v>01/09/2010</v>
          </cell>
          <cell r="Y898" t="str">
            <v>KEW</v>
          </cell>
          <cell r="Z898" t="str">
            <v>16/08/2013</v>
          </cell>
          <cell r="AA898" t="str">
            <v>15/08/2015</v>
          </cell>
          <cell r="AB898" t="str">
            <v>No</v>
          </cell>
          <cell r="AC898" t="str">
            <v>31/08/2013</v>
          </cell>
          <cell r="AD898" t="str">
            <v>Good</v>
          </cell>
          <cell r="AE898" t="str">
            <v>V1 - Existing / No Claim</v>
          </cell>
          <cell r="AF898">
            <v>42235</v>
          </cell>
          <cell r="AG898">
            <v>9.17</v>
          </cell>
          <cell r="AH898" t="str">
            <v>PPM</v>
          </cell>
          <cell r="AI898" t="str">
            <v>Strands</v>
          </cell>
          <cell r="AJ898" t="str">
            <v>Strands PW</v>
          </cell>
        </row>
        <row r="899">
          <cell r="A899" t="str">
            <v>IKN400447</v>
          </cell>
          <cell r="B899">
            <v>447</v>
          </cell>
          <cell r="C899" t="str">
            <v>Institut Kanser Negara</v>
          </cell>
          <cell r="D899" t="str">
            <v>KKM/IKN/H/13/1290</v>
          </cell>
          <cell r="E899" t="str">
            <v>13-215</v>
          </cell>
          <cell r="F899" t="str">
            <v>Infusion Pumps, General-Purpose</v>
          </cell>
          <cell r="G899" t="str">
            <v>WC</v>
          </cell>
          <cell r="H899" t="str">
            <v>SURGICAL ONCO FEMALE WARD</v>
          </cell>
          <cell r="I899" t="str">
            <v>06WC113</v>
          </cell>
          <cell r="J899" t="str">
            <v>EQUIPMENT ROOM</v>
          </cell>
          <cell r="K899" t="str">
            <v>BMED</v>
          </cell>
          <cell r="L899" t="str">
            <v>Normal</v>
          </cell>
          <cell r="M899" t="str">
            <v>Germany</v>
          </cell>
          <cell r="N899" t="str">
            <v>Infusomat</v>
          </cell>
          <cell r="O899" t="str">
            <v>Infusomat Space</v>
          </cell>
          <cell r="P899" t="str">
            <v>211869</v>
          </cell>
          <cell r="Q899" t="str">
            <v>Not Applicable</v>
          </cell>
          <cell r="R899" t="str">
            <v>B Braun Melsungen AG</v>
          </cell>
          <cell r="S899" t="str">
            <v>B Braun Medical Supplies Sdn. Bhd.</v>
          </cell>
          <cell r="T899" t="str">
            <v>Functioning</v>
          </cell>
          <cell r="U899" t="str">
            <v>Asset</v>
          </cell>
          <cell r="V899">
            <v>10825</v>
          </cell>
          <cell r="W899" t="str">
            <v>KEW</v>
          </cell>
          <cell r="X899" t="str">
            <v>01/09/2010</v>
          </cell>
          <cell r="Y899" t="str">
            <v>KEW</v>
          </cell>
          <cell r="Z899" t="str">
            <v>16/08/2013</v>
          </cell>
          <cell r="AA899" t="str">
            <v>15/08/2015</v>
          </cell>
          <cell r="AB899" t="str">
            <v>No</v>
          </cell>
          <cell r="AC899" t="str">
            <v>31/08/2013</v>
          </cell>
          <cell r="AD899" t="str">
            <v>Good</v>
          </cell>
          <cell r="AE899" t="str">
            <v>V1 - Existing / No Claim</v>
          </cell>
          <cell r="AF899">
            <v>42235</v>
          </cell>
          <cell r="AG899">
            <v>9.17</v>
          </cell>
          <cell r="AH899" t="str">
            <v>PPM</v>
          </cell>
          <cell r="AI899" t="str">
            <v>Strands</v>
          </cell>
          <cell r="AJ899" t="str">
            <v>Strands PW</v>
          </cell>
        </row>
        <row r="900">
          <cell r="A900" t="str">
            <v>IKN400448</v>
          </cell>
          <cell r="B900">
            <v>448</v>
          </cell>
          <cell r="C900" t="str">
            <v>Institut Kanser Negara</v>
          </cell>
          <cell r="D900" t="str">
            <v>KKM/IKN/H/13/1292</v>
          </cell>
          <cell r="E900" t="str">
            <v>13-215</v>
          </cell>
          <cell r="F900" t="str">
            <v>Infusion Pumps, General-Purpose</v>
          </cell>
          <cell r="G900" t="str">
            <v>WC</v>
          </cell>
          <cell r="H900" t="str">
            <v>SURGICAL ONCO FEMALE WARD</v>
          </cell>
          <cell r="I900" t="str">
            <v>06WC113</v>
          </cell>
          <cell r="J900" t="str">
            <v>EQUIPMENT ROOM</v>
          </cell>
          <cell r="K900" t="str">
            <v>BMED</v>
          </cell>
          <cell r="L900" t="str">
            <v>Normal</v>
          </cell>
          <cell r="M900" t="str">
            <v>Germany</v>
          </cell>
          <cell r="N900" t="str">
            <v>Infusomat</v>
          </cell>
          <cell r="O900" t="str">
            <v>Infusomat Space</v>
          </cell>
          <cell r="P900" t="str">
            <v>211921</v>
          </cell>
          <cell r="Q900" t="str">
            <v>Not Applicable</v>
          </cell>
          <cell r="R900" t="str">
            <v>B Braun Melsungen AG</v>
          </cell>
          <cell r="S900" t="str">
            <v>B Braun Medical Supplies Sdn. Bhd.</v>
          </cell>
          <cell r="T900" t="str">
            <v>Functioning</v>
          </cell>
          <cell r="U900" t="str">
            <v>Asset</v>
          </cell>
          <cell r="V900">
            <v>10825</v>
          </cell>
          <cell r="W900" t="str">
            <v>KEW</v>
          </cell>
          <cell r="X900" t="str">
            <v>01/09/2010</v>
          </cell>
          <cell r="Y900" t="str">
            <v>KEW</v>
          </cell>
          <cell r="Z900" t="str">
            <v>16/08/2013</v>
          </cell>
          <cell r="AA900" t="str">
            <v>15/08/2015</v>
          </cell>
          <cell r="AB900" t="str">
            <v>No</v>
          </cell>
          <cell r="AC900" t="str">
            <v>31/08/2013</v>
          </cell>
          <cell r="AD900" t="str">
            <v>Good</v>
          </cell>
          <cell r="AE900" t="str">
            <v>V1 - Existing / No Claim</v>
          </cell>
          <cell r="AF900">
            <v>42235</v>
          </cell>
          <cell r="AG900">
            <v>9.17</v>
          </cell>
          <cell r="AH900" t="str">
            <v>PPM</v>
          </cell>
          <cell r="AI900" t="str">
            <v>Strands</v>
          </cell>
          <cell r="AJ900" t="str">
            <v>Strands PW</v>
          </cell>
        </row>
        <row r="901">
          <cell r="A901" t="str">
            <v>IKN400449</v>
          </cell>
          <cell r="B901">
            <v>449</v>
          </cell>
          <cell r="C901" t="str">
            <v>Institut Kanser Negara</v>
          </cell>
          <cell r="D901" t="str">
            <v>KKM/IKN/H/13/1294</v>
          </cell>
          <cell r="E901" t="str">
            <v>13-215</v>
          </cell>
          <cell r="F901" t="str">
            <v>Infusion Pumps, General-Purpose</v>
          </cell>
          <cell r="G901" t="str">
            <v>WC</v>
          </cell>
          <cell r="H901" t="str">
            <v>SURGICAL ONCO FEMALE WARD</v>
          </cell>
          <cell r="I901" t="str">
            <v>06WC113</v>
          </cell>
          <cell r="J901" t="str">
            <v>EQUIPMENT ROOM</v>
          </cell>
          <cell r="K901" t="str">
            <v>BMED</v>
          </cell>
          <cell r="L901" t="str">
            <v>Normal</v>
          </cell>
          <cell r="M901" t="str">
            <v>Germany</v>
          </cell>
          <cell r="N901" t="str">
            <v>Infusomat</v>
          </cell>
          <cell r="O901" t="str">
            <v>Infusomat Space</v>
          </cell>
          <cell r="P901" t="str">
            <v>212004</v>
          </cell>
          <cell r="Q901" t="str">
            <v>Not Applicable</v>
          </cell>
          <cell r="R901" t="str">
            <v>B Braun Melsungen AG</v>
          </cell>
          <cell r="S901" t="str">
            <v>B Braun Medical Supplies Sdn. Bhd.</v>
          </cell>
          <cell r="T901" t="str">
            <v>Functioning</v>
          </cell>
          <cell r="U901" t="str">
            <v>Asset</v>
          </cell>
          <cell r="V901">
            <v>10825</v>
          </cell>
          <cell r="W901" t="str">
            <v>KEW</v>
          </cell>
          <cell r="X901" t="str">
            <v>01/09/2010</v>
          </cell>
          <cell r="Y901" t="str">
            <v>KEW</v>
          </cell>
          <cell r="Z901" t="str">
            <v>16/08/2013</v>
          </cell>
          <cell r="AA901" t="str">
            <v>15/08/2015</v>
          </cell>
          <cell r="AB901" t="str">
            <v>No</v>
          </cell>
          <cell r="AC901" t="str">
            <v>31/08/2013</v>
          </cell>
          <cell r="AD901" t="str">
            <v>Good</v>
          </cell>
          <cell r="AE901" t="str">
            <v>V1 - Existing / No Claim</v>
          </cell>
          <cell r="AF901">
            <v>42235</v>
          </cell>
          <cell r="AG901">
            <v>9.17</v>
          </cell>
          <cell r="AH901" t="str">
            <v>PPM</v>
          </cell>
          <cell r="AI901" t="str">
            <v>Strands</v>
          </cell>
          <cell r="AJ901" t="str">
            <v>Strands PW</v>
          </cell>
        </row>
        <row r="902">
          <cell r="A902" t="str">
            <v>IKN400450</v>
          </cell>
          <cell r="B902">
            <v>450</v>
          </cell>
          <cell r="C902" t="str">
            <v>Institut Kanser Negara</v>
          </cell>
          <cell r="D902" t="str">
            <v>KKM/IKN/H/13/4558</v>
          </cell>
          <cell r="E902" t="str">
            <v>18-147</v>
          </cell>
          <cell r="F902" t="str">
            <v>Mattress Systems, Alternating-Pressure</v>
          </cell>
          <cell r="G902" t="str">
            <v>WC</v>
          </cell>
          <cell r="H902" t="str">
            <v>SURGICAL ONCO FEMALE WARD</v>
          </cell>
          <cell r="I902" t="str">
            <v>06WC113</v>
          </cell>
          <cell r="J902" t="str">
            <v>EQUIPMENT ROOM</v>
          </cell>
          <cell r="K902" t="str">
            <v>BMED</v>
          </cell>
          <cell r="L902" t="str">
            <v>Normal</v>
          </cell>
          <cell r="M902" t="str">
            <v>Poland</v>
          </cell>
          <cell r="N902" t="str">
            <v>Nimbus</v>
          </cell>
          <cell r="O902" t="str">
            <v>Nimbus 3</v>
          </cell>
          <cell r="P902" t="str">
            <v>1200006467</v>
          </cell>
          <cell r="Q902" t="str">
            <v>Not Applicable</v>
          </cell>
          <cell r="R902" t="str">
            <v>Arjohuntleigh</v>
          </cell>
          <cell r="S902" t="str">
            <v>Hexamine Sdn. Bhd.</v>
          </cell>
          <cell r="T902" t="str">
            <v>Functioning</v>
          </cell>
          <cell r="U902" t="str">
            <v>Asset</v>
          </cell>
          <cell r="V902">
            <v>28630</v>
          </cell>
          <cell r="W902" t="str">
            <v>KEW</v>
          </cell>
          <cell r="X902" t="str">
            <v>01/09/2010</v>
          </cell>
          <cell r="Y902" t="str">
            <v>KEW</v>
          </cell>
          <cell r="Z902" t="str">
            <v>16/08/2013</v>
          </cell>
          <cell r="AA902" t="str">
            <v>15/08/2015</v>
          </cell>
          <cell r="AB902" t="str">
            <v>No</v>
          </cell>
          <cell r="AC902" t="str">
            <v>31/08/2013</v>
          </cell>
          <cell r="AD902" t="str">
            <v>Good</v>
          </cell>
          <cell r="AE902" t="str">
            <v>V1 - Existing / No Claim</v>
          </cell>
          <cell r="AF902">
            <v>42235</v>
          </cell>
          <cell r="AG902">
            <v>9.17</v>
          </cell>
          <cell r="AH902" t="str">
            <v>PPM</v>
          </cell>
          <cell r="AI902" t="str">
            <v>Strands</v>
          </cell>
          <cell r="AJ902" t="str">
            <v>Strands PW</v>
          </cell>
        </row>
        <row r="903">
          <cell r="A903" t="str">
            <v>IKN400451</v>
          </cell>
          <cell r="B903">
            <v>451</v>
          </cell>
          <cell r="C903" t="str">
            <v>Institut Kanser Negara</v>
          </cell>
          <cell r="D903" t="str">
            <v>KKM/IKN/H/13/4559</v>
          </cell>
          <cell r="E903" t="str">
            <v>18-147</v>
          </cell>
          <cell r="F903" t="str">
            <v>Mattress Systems, Alternating-Pressure</v>
          </cell>
          <cell r="G903" t="str">
            <v>WC</v>
          </cell>
          <cell r="H903" t="str">
            <v>SURGICAL ONCO FEMALE WARD</v>
          </cell>
          <cell r="I903" t="str">
            <v>06WC113</v>
          </cell>
          <cell r="J903" t="str">
            <v>EQUIPMENT ROOM</v>
          </cell>
          <cell r="K903" t="str">
            <v>BMED</v>
          </cell>
          <cell r="L903" t="str">
            <v>Normal</v>
          </cell>
          <cell r="M903" t="str">
            <v>Poland</v>
          </cell>
          <cell r="N903" t="str">
            <v>Nimbus</v>
          </cell>
          <cell r="O903" t="str">
            <v>Nimbus 3</v>
          </cell>
          <cell r="P903" t="str">
            <v>1200005118</v>
          </cell>
          <cell r="Q903" t="str">
            <v>Not Applicable</v>
          </cell>
          <cell r="R903" t="str">
            <v>Arjohuntleigh</v>
          </cell>
          <cell r="S903" t="str">
            <v>Hexamine Sdn. Bhd.</v>
          </cell>
          <cell r="T903" t="str">
            <v>Functioning</v>
          </cell>
          <cell r="U903" t="str">
            <v>Asset</v>
          </cell>
          <cell r="V903">
            <v>28630</v>
          </cell>
          <cell r="W903" t="str">
            <v>KEW</v>
          </cell>
          <cell r="X903" t="str">
            <v>01/09/2010</v>
          </cell>
          <cell r="Y903" t="str">
            <v>KEW</v>
          </cell>
          <cell r="Z903" t="str">
            <v>16/08/2013</v>
          </cell>
          <cell r="AA903" t="str">
            <v>15/08/2015</v>
          </cell>
          <cell r="AB903" t="str">
            <v>No</v>
          </cell>
          <cell r="AC903" t="str">
            <v>31/08/2013</v>
          </cell>
          <cell r="AD903" t="str">
            <v>Good</v>
          </cell>
          <cell r="AE903" t="str">
            <v>V1 - Existing / No Claim</v>
          </cell>
          <cell r="AF903">
            <v>42235</v>
          </cell>
          <cell r="AG903">
            <v>9.17</v>
          </cell>
          <cell r="AH903" t="str">
            <v>PPM</v>
          </cell>
          <cell r="AI903" t="str">
            <v>Strands</v>
          </cell>
          <cell r="AJ903" t="str">
            <v>Strands PW</v>
          </cell>
        </row>
        <row r="904">
          <cell r="A904" t="str">
            <v>IKN400452</v>
          </cell>
          <cell r="B904">
            <v>452</v>
          </cell>
          <cell r="C904" t="str">
            <v>Institut Kanser Negara</v>
          </cell>
          <cell r="D904" t="str">
            <v>KKM/IKN/H/13/4560</v>
          </cell>
          <cell r="E904" t="str">
            <v>18-147</v>
          </cell>
          <cell r="F904" t="str">
            <v>Mattress Systems, Alternating-Pressure</v>
          </cell>
          <cell r="G904" t="str">
            <v>WC</v>
          </cell>
          <cell r="H904" t="str">
            <v>SURGICAL ONCO FEMALE WARD</v>
          </cell>
          <cell r="I904" t="str">
            <v>06WC113</v>
          </cell>
          <cell r="J904" t="str">
            <v>EQUIPMENT ROOM</v>
          </cell>
          <cell r="K904" t="str">
            <v>BMED</v>
          </cell>
          <cell r="L904" t="str">
            <v>Normal</v>
          </cell>
          <cell r="M904" t="str">
            <v>Poland</v>
          </cell>
          <cell r="N904" t="str">
            <v>Nimbus</v>
          </cell>
          <cell r="O904" t="str">
            <v>Nimbus 3</v>
          </cell>
          <cell r="P904" t="str">
            <v>1200005114</v>
          </cell>
          <cell r="Q904" t="str">
            <v>Not Applicable</v>
          </cell>
          <cell r="R904" t="str">
            <v>Arjohuntleigh</v>
          </cell>
          <cell r="S904" t="str">
            <v>Hexamine Sdn. Bhd.</v>
          </cell>
          <cell r="T904" t="str">
            <v>Functioning</v>
          </cell>
          <cell r="U904" t="str">
            <v>Asset</v>
          </cell>
          <cell r="V904">
            <v>28630</v>
          </cell>
          <cell r="W904" t="str">
            <v>KEW</v>
          </cell>
          <cell r="X904" t="str">
            <v>01/09/2010</v>
          </cell>
          <cell r="Y904" t="str">
            <v>KEW</v>
          </cell>
          <cell r="Z904" t="str">
            <v>16/08/2013</v>
          </cell>
          <cell r="AA904" t="str">
            <v>15/08/2015</v>
          </cell>
          <cell r="AB904" t="str">
            <v>No</v>
          </cell>
          <cell r="AC904" t="str">
            <v>31/08/2013</v>
          </cell>
          <cell r="AD904" t="str">
            <v>Good</v>
          </cell>
          <cell r="AE904" t="str">
            <v>V1 - Existing / No Claim</v>
          </cell>
          <cell r="AF904">
            <v>42235</v>
          </cell>
          <cell r="AG904">
            <v>9.17</v>
          </cell>
          <cell r="AH904" t="str">
            <v>PPM</v>
          </cell>
          <cell r="AI904" t="str">
            <v>Strands</v>
          </cell>
          <cell r="AJ904" t="str">
            <v>Strands PW</v>
          </cell>
        </row>
        <row r="905">
          <cell r="A905" t="str">
            <v>IKN400453</v>
          </cell>
          <cell r="B905">
            <v>453</v>
          </cell>
          <cell r="C905" t="str">
            <v>Institut Kanser Negara</v>
          </cell>
          <cell r="D905" t="str">
            <v>KKM/IKN/H/13/4561</v>
          </cell>
          <cell r="E905" t="str">
            <v>18-147</v>
          </cell>
          <cell r="F905" t="str">
            <v>Mattress Systems, Alternating-Pressure</v>
          </cell>
          <cell r="G905" t="str">
            <v>WC</v>
          </cell>
          <cell r="H905" t="str">
            <v>SURGICAL ONCO FEMALE WARD</v>
          </cell>
          <cell r="I905" t="str">
            <v>06WC113</v>
          </cell>
          <cell r="J905" t="str">
            <v>EQUIPMENT ROOM</v>
          </cell>
          <cell r="K905" t="str">
            <v>BMED</v>
          </cell>
          <cell r="L905" t="str">
            <v>Normal</v>
          </cell>
          <cell r="M905" t="str">
            <v>Poland</v>
          </cell>
          <cell r="N905" t="str">
            <v>Nimbus</v>
          </cell>
          <cell r="O905" t="str">
            <v>Nimbus 3</v>
          </cell>
          <cell r="P905" t="str">
            <v>1200005110</v>
          </cell>
          <cell r="Q905" t="str">
            <v>Not Applicable</v>
          </cell>
          <cell r="R905" t="str">
            <v>Arjohuntleigh</v>
          </cell>
          <cell r="S905" t="str">
            <v>Hexamine Sdn. Bhd.</v>
          </cell>
          <cell r="T905" t="str">
            <v>Functioning</v>
          </cell>
          <cell r="U905" t="str">
            <v>Asset</v>
          </cell>
          <cell r="V905">
            <v>28630</v>
          </cell>
          <cell r="W905" t="str">
            <v>KEW</v>
          </cell>
          <cell r="X905" t="str">
            <v>01/09/2010</v>
          </cell>
          <cell r="Y905" t="str">
            <v>KEW</v>
          </cell>
          <cell r="Z905" t="str">
            <v>16/08/2013</v>
          </cell>
          <cell r="AA905" t="str">
            <v>15/08/2015</v>
          </cell>
          <cell r="AB905" t="str">
            <v>No</v>
          </cell>
          <cell r="AC905" t="str">
            <v>31/08/2013</v>
          </cell>
          <cell r="AD905" t="str">
            <v>Good</v>
          </cell>
          <cell r="AE905" t="str">
            <v>V1 - Existing / No Claim</v>
          </cell>
          <cell r="AF905">
            <v>42235</v>
          </cell>
          <cell r="AG905">
            <v>9.17</v>
          </cell>
          <cell r="AH905" t="str">
            <v>PPM</v>
          </cell>
          <cell r="AI905" t="str">
            <v>Strands</v>
          </cell>
          <cell r="AJ905" t="str">
            <v>Strands PW</v>
          </cell>
        </row>
        <row r="906">
          <cell r="A906" t="str">
            <v>IKN400454</v>
          </cell>
          <cell r="B906">
            <v>454</v>
          </cell>
          <cell r="C906" t="str">
            <v>Institut Kanser Negara</v>
          </cell>
          <cell r="D906" t="str">
            <v>KKM/IKN/H/13/4562</v>
          </cell>
          <cell r="E906" t="str">
            <v>18-147</v>
          </cell>
          <cell r="F906" t="str">
            <v>Mattress Systems, Alternating-Pressure</v>
          </cell>
          <cell r="G906" t="str">
            <v>WC</v>
          </cell>
          <cell r="H906" t="str">
            <v>SURGICAL ONCO FEMALE WARD</v>
          </cell>
          <cell r="I906" t="str">
            <v>06WC113</v>
          </cell>
          <cell r="J906" t="str">
            <v>EQUIPMENT ROOM</v>
          </cell>
          <cell r="K906" t="str">
            <v>BMED</v>
          </cell>
          <cell r="L906" t="str">
            <v>Normal</v>
          </cell>
          <cell r="M906" t="str">
            <v>Poland</v>
          </cell>
          <cell r="N906" t="str">
            <v>Nimbus</v>
          </cell>
          <cell r="O906" t="str">
            <v>Nimbus 3</v>
          </cell>
          <cell r="P906" t="str">
            <v>1200006479</v>
          </cell>
          <cell r="Q906" t="str">
            <v>Not Applicable</v>
          </cell>
          <cell r="R906" t="str">
            <v>Arjohuntleigh</v>
          </cell>
          <cell r="S906" t="str">
            <v>Hexamine Sdn. Bhd.</v>
          </cell>
          <cell r="T906" t="str">
            <v>Functioning</v>
          </cell>
          <cell r="U906" t="str">
            <v>Asset</v>
          </cell>
          <cell r="V906">
            <v>28630</v>
          </cell>
          <cell r="W906" t="str">
            <v>KEW</v>
          </cell>
          <cell r="X906" t="str">
            <v>01/09/2010</v>
          </cell>
          <cell r="Y906" t="str">
            <v>KEW</v>
          </cell>
          <cell r="Z906" t="str">
            <v>16/08/2013</v>
          </cell>
          <cell r="AA906" t="str">
            <v>15/08/2015</v>
          </cell>
          <cell r="AB906" t="str">
            <v>No</v>
          </cell>
          <cell r="AC906" t="str">
            <v>31/08/2013</v>
          </cell>
          <cell r="AD906" t="str">
            <v>Good</v>
          </cell>
          <cell r="AE906" t="str">
            <v>V1 - Existing / No Claim</v>
          </cell>
          <cell r="AF906">
            <v>42235</v>
          </cell>
          <cell r="AG906">
            <v>9.17</v>
          </cell>
          <cell r="AH906" t="str">
            <v>PPM</v>
          </cell>
          <cell r="AI906" t="str">
            <v>Strands</v>
          </cell>
          <cell r="AJ906" t="str">
            <v>Strands PW</v>
          </cell>
        </row>
        <row r="907">
          <cell r="A907" t="str">
            <v>IKN400455</v>
          </cell>
          <cell r="B907">
            <v>455</v>
          </cell>
          <cell r="C907" t="str">
            <v>Institut Kanser Negara</v>
          </cell>
          <cell r="D907" t="str">
            <v>KKM/IKN/H/13/4563</v>
          </cell>
          <cell r="E907" t="str">
            <v>18-147</v>
          </cell>
          <cell r="F907" t="str">
            <v>Mattress Systems, Alternating-Pressure</v>
          </cell>
          <cell r="G907" t="str">
            <v>WC</v>
          </cell>
          <cell r="H907" t="str">
            <v>SURGICAL ONCO FEMALE WARD</v>
          </cell>
          <cell r="I907" t="str">
            <v>06WC113</v>
          </cell>
          <cell r="J907" t="str">
            <v>EQUIPMENT ROOM</v>
          </cell>
          <cell r="K907" t="str">
            <v>BMED</v>
          </cell>
          <cell r="L907" t="str">
            <v>Normal</v>
          </cell>
          <cell r="M907" t="str">
            <v>Poland</v>
          </cell>
          <cell r="N907" t="str">
            <v>Nimbus</v>
          </cell>
          <cell r="O907" t="str">
            <v>Nimbus 3</v>
          </cell>
          <cell r="P907" t="str">
            <v>1200006447</v>
          </cell>
          <cell r="Q907" t="str">
            <v>Not Applicable</v>
          </cell>
          <cell r="R907" t="str">
            <v>Arjohuntleigh</v>
          </cell>
          <cell r="S907" t="str">
            <v>Hexamine Sdn. Bhd.</v>
          </cell>
          <cell r="T907" t="str">
            <v>Functioning</v>
          </cell>
          <cell r="U907" t="str">
            <v>Asset</v>
          </cell>
          <cell r="V907">
            <v>28630</v>
          </cell>
          <cell r="W907" t="str">
            <v>KEW</v>
          </cell>
          <cell r="X907" t="str">
            <v>01/09/2010</v>
          </cell>
          <cell r="Y907" t="str">
            <v>KEW</v>
          </cell>
          <cell r="Z907" t="str">
            <v>16/08/2013</v>
          </cell>
          <cell r="AA907" t="str">
            <v>15/08/2015</v>
          </cell>
          <cell r="AB907" t="str">
            <v>No</v>
          </cell>
          <cell r="AC907" t="str">
            <v>31/08/2013</v>
          </cell>
          <cell r="AD907" t="str">
            <v>Good</v>
          </cell>
          <cell r="AE907" t="str">
            <v>V1 - Existing / No Claim</v>
          </cell>
          <cell r="AF907">
            <v>42235</v>
          </cell>
          <cell r="AG907">
            <v>9.17</v>
          </cell>
          <cell r="AH907" t="str">
            <v>PPM</v>
          </cell>
          <cell r="AI907" t="str">
            <v>Strands</v>
          </cell>
          <cell r="AJ907" t="str">
            <v>Strands PW</v>
          </cell>
        </row>
        <row r="908">
          <cell r="A908" t="str">
            <v>IKN400456</v>
          </cell>
          <cell r="B908">
            <v>456</v>
          </cell>
          <cell r="C908" t="str">
            <v>Institut Kanser Negara</v>
          </cell>
          <cell r="D908" t="str">
            <v>KKM/IKN/H/13/1335</v>
          </cell>
          <cell r="E908" t="str">
            <v>10-208</v>
          </cell>
          <cell r="F908" t="str">
            <v>Aspirators</v>
          </cell>
          <cell r="G908" t="str">
            <v>WC</v>
          </cell>
          <cell r="H908" t="str">
            <v>SURGICAL ONCO FEMALE WARD</v>
          </cell>
          <cell r="I908" t="str">
            <v>06WC107</v>
          </cell>
          <cell r="J908" t="str">
            <v>TREATMENT / PROCEDURE</v>
          </cell>
          <cell r="K908" t="str">
            <v>BMED</v>
          </cell>
          <cell r="L908" t="str">
            <v>Normal</v>
          </cell>
          <cell r="M908" t="str">
            <v>Switzerland</v>
          </cell>
          <cell r="N908" t="str">
            <v>Senator</v>
          </cell>
          <cell r="O908" t="str">
            <v>Senator</v>
          </cell>
          <cell r="P908" t="str">
            <v>1220742</v>
          </cell>
          <cell r="Q908" t="str">
            <v>Not Applicable</v>
          </cell>
          <cell r="R908" t="str">
            <v>Ardo Medical AG</v>
          </cell>
          <cell r="S908" t="str">
            <v>Histopoint</v>
          </cell>
          <cell r="T908" t="str">
            <v>Functioning</v>
          </cell>
          <cell r="U908" t="str">
            <v>Asset</v>
          </cell>
          <cell r="V908">
            <v>5052</v>
          </cell>
          <cell r="W908" t="str">
            <v>KEW</v>
          </cell>
          <cell r="X908" t="str">
            <v>01/09/2010</v>
          </cell>
          <cell r="Y908" t="str">
            <v>KEW</v>
          </cell>
          <cell r="Z908" t="str">
            <v>16/08/2013</v>
          </cell>
          <cell r="AA908" t="str">
            <v>15/08/2015</v>
          </cell>
          <cell r="AB908" t="str">
            <v>No</v>
          </cell>
          <cell r="AC908" t="str">
            <v>31/08/2013</v>
          </cell>
          <cell r="AD908" t="str">
            <v>Good</v>
          </cell>
          <cell r="AE908" t="str">
            <v>V1 - Existing / No Claim</v>
          </cell>
          <cell r="AF908">
            <v>42235</v>
          </cell>
          <cell r="AG908">
            <v>9.17</v>
          </cell>
          <cell r="AH908" t="str">
            <v>PPM</v>
          </cell>
          <cell r="AI908" t="str">
            <v>Strands</v>
          </cell>
          <cell r="AJ908" t="str">
            <v>Strands PW</v>
          </cell>
        </row>
        <row r="909">
          <cell r="A909" t="str">
            <v>IKN400457</v>
          </cell>
          <cell r="B909">
            <v>457</v>
          </cell>
          <cell r="C909" t="str">
            <v>Institut Kanser Negara</v>
          </cell>
          <cell r="D909" t="str">
            <v>KKM/IKN/H/13/1338</v>
          </cell>
          <cell r="E909" t="str">
            <v>10-208</v>
          </cell>
          <cell r="F909" t="str">
            <v>Aspirators</v>
          </cell>
          <cell r="G909" t="str">
            <v>WC</v>
          </cell>
          <cell r="H909" t="str">
            <v>SURGICAL ONCO FEMALE WARD</v>
          </cell>
          <cell r="I909" t="str">
            <v>06WC113</v>
          </cell>
          <cell r="J909" t="str">
            <v>EQUIPMENT ROOM</v>
          </cell>
          <cell r="K909" t="str">
            <v>BMED</v>
          </cell>
          <cell r="L909" t="str">
            <v>Normal</v>
          </cell>
          <cell r="M909" t="str">
            <v>UK</v>
          </cell>
          <cell r="N909" t="str">
            <v>SAM</v>
          </cell>
          <cell r="O909" t="str">
            <v>SAM 427</v>
          </cell>
          <cell r="P909" t="str">
            <v>0313-0529</v>
          </cell>
          <cell r="Q909" t="str">
            <v>Not Applicable</v>
          </cell>
          <cell r="R909" t="str">
            <v>MG Electric Ltd</v>
          </cell>
          <cell r="S909" t="str">
            <v>Delta Medisains</v>
          </cell>
          <cell r="T909" t="str">
            <v>Functioning</v>
          </cell>
          <cell r="U909" t="str">
            <v>Asset</v>
          </cell>
          <cell r="V909">
            <v>10705</v>
          </cell>
          <cell r="W909" t="str">
            <v>KEW</v>
          </cell>
          <cell r="X909" t="str">
            <v>01/09/2010</v>
          </cell>
          <cell r="Y909" t="str">
            <v>KEW</v>
          </cell>
          <cell r="Z909" t="str">
            <v>16/08/2013</v>
          </cell>
          <cell r="AA909" t="str">
            <v>15/08/2015</v>
          </cell>
          <cell r="AB909" t="str">
            <v>No</v>
          </cell>
          <cell r="AC909" t="str">
            <v>31/08/2013</v>
          </cell>
          <cell r="AD909" t="str">
            <v>Good</v>
          </cell>
          <cell r="AE909" t="str">
            <v>V1 - Existing / No Claim</v>
          </cell>
          <cell r="AF909">
            <v>42235</v>
          </cell>
          <cell r="AG909">
            <v>9.17</v>
          </cell>
          <cell r="AH909" t="str">
            <v>PPM</v>
          </cell>
          <cell r="AI909" t="str">
            <v>Strands</v>
          </cell>
          <cell r="AJ909" t="str">
            <v>Strands PW</v>
          </cell>
        </row>
        <row r="910">
          <cell r="A910" t="str">
            <v>IKN400458</v>
          </cell>
          <cell r="B910">
            <v>458</v>
          </cell>
          <cell r="C910" t="str">
            <v>Institut Kanser Negara</v>
          </cell>
          <cell r="D910" t="str">
            <v>KKM/IKN/H/13/1339</v>
          </cell>
          <cell r="E910" t="str">
            <v>16-173</v>
          </cell>
          <cell r="F910" t="str">
            <v>Sphygmomanometers, Electronic, Automatic</v>
          </cell>
          <cell r="G910" t="str">
            <v>WC</v>
          </cell>
          <cell r="H910" t="str">
            <v>SURGICAL ONCO FEMALE WARD</v>
          </cell>
          <cell r="I910" t="str">
            <v>06WC107</v>
          </cell>
          <cell r="J910" t="str">
            <v>TREATMENT / PROCEDURE</v>
          </cell>
          <cell r="K910" t="str">
            <v>BMED</v>
          </cell>
          <cell r="L910" t="str">
            <v>Normal</v>
          </cell>
          <cell r="M910" t="str">
            <v>Mexico</v>
          </cell>
          <cell r="N910" t="str">
            <v>Carespace</v>
          </cell>
          <cell r="O910" t="str">
            <v>Carescape V100</v>
          </cell>
          <cell r="P910" t="str">
            <v>SH612430122SA</v>
          </cell>
          <cell r="Q910" t="str">
            <v>Not Applicable</v>
          </cell>
          <cell r="R910" t="str">
            <v>GE Healthcare Systems</v>
          </cell>
          <cell r="S910" t="str">
            <v>GE Healthcare Technologies</v>
          </cell>
          <cell r="T910" t="str">
            <v>Functioning</v>
          </cell>
          <cell r="U910" t="str">
            <v>Asset</v>
          </cell>
          <cell r="V910">
            <v>7770</v>
          </cell>
          <cell r="W910" t="str">
            <v>KEW</v>
          </cell>
          <cell r="X910" t="str">
            <v>01/09/2010</v>
          </cell>
          <cell r="Y910" t="str">
            <v>KEW</v>
          </cell>
          <cell r="Z910" t="str">
            <v>16/08/2013</v>
          </cell>
          <cell r="AA910" t="str">
            <v>15/08/2015</v>
          </cell>
          <cell r="AB910" t="str">
            <v>No</v>
          </cell>
          <cell r="AC910" t="str">
            <v>31/08/2013</v>
          </cell>
          <cell r="AD910" t="str">
            <v>Good</v>
          </cell>
          <cell r="AE910" t="str">
            <v>V1 - Existing / No Claim</v>
          </cell>
          <cell r="AF910">
            <v>42235</v>
          </cell>
          <cell r="AG910">
            <v>9.17</v>
          </cell>
          <cell r="AH910" t="str">
            <v>PPM</v>
          </cell>
          <cell r="AI910" t="str">
            <v>Strands</v>
          </cell>
          <cell r="AJ910" t="str">
            <v>Strands PW</v>
          </cell>
        </row>
        <row r="911">
          <cell r="A911" t="str">
            <v>IKN400459</v>
          </cell>
          <cell r="B911">
            <v>459</v>
          </cell>
          <cell r="C911" t="str">
            <v>Institut Kanser Negara</v>
          </cell>
          <cell r="D911" t="str">
            <v>KKM/IKN/H/13/1344</v>
          </cell>
          <cell r="E911" t="str">
            <v>16-231</v>
          </cell>
          <cell r="F911" t="str">
            <v>Electrocardiographs, Multichannel, Interpretative</v>
          </cell>
          <cell r="G911" t="str">
            <v>WC</v>
          </cell>
          <cell r="H911" t="str">
            <v>SURGICAL ONCO FEMALE WARD</v>
          </cell>
          <cell r="I911" t="str">
            <v>06WC107</v>
          </cell>
          <cell r="J911" t="str">
            <v>TREATMENT / PROCEDURE</v>
          </cell>
          <cell r="K911" t="str">
            <v>BMED</v>
          </cell>
          <cell r="L911" t="str">
            <v>Normal</v>
          </cell>
          <cell r="M911" t="str">
            <v>China</v>
          </cell>
          <cell r="N911" t="str">
            <v>Mac</v>
          </cell>
          <cell r="O911" t="str">
            <v>MAC 800</v>
          </cell>
          <cell r="P911" t="str">
            <v>SJ412450372 WA</v>
          </cell>
          <cell r="Q911" t="str">
            <v>Not Applicable</v>
          </cell>
          <cell r="R911" t="str">
            <v>GE Healthcare Systems</v>
          </cell>
          <cell r="S911" t="str">
            <v>GE Healthcare Technologies</v>
          </cell>
          <cell r="T911" t="str">
            <v>Functioning</v>
          </cell>
          <cell r="U911" t="str">
            <v>Asset</v>
          </cell>
          <cell r="V911">
            <v>25260</v>
          </cell>
          <cell r="W911" t="str">
            <v>KEW</v>
          </cell>
          <cell r="X911" t="str">
            <v>01/09/2010</v>
          </cell>
          <cell r="Y911" t="str">
            <v>KEW</v>
          </cell>
          <cell r="Z911" t="str">
            <v>16/08/2013</v>
          </cell>
          <cell r="AA911" t="str">
            <v>15/08/2015</v>
          </cell>
          <cell r="AB911" t="str">
            <v>No</v>
          </cell>
          <cell r="AC911" t="str">
            <v>31/08/2013</v>
          </cell>
          <cell r="AD911" t="str">
            <v>Good</v>
          </cell>
          <cell r="AE911" t="str">
            <v>V1 - Existing / No Claim</v>
          </cell>
          <cell r="AF911">
            <v>42235</v>
          </cell>
          <cell r="AG911">
            <v>9.17</v>
          </cell>
          <cell r="AH911" t="str">
            <v>PPM</v>
          </cell>
          <cell r="AI911" t="str">
            <v>Strands</v>
          </cell>
          <cell r="AJ911" t="str">
            <v>Strands PW</v>
          </cell>
        </row>
        <row r="912">
          <cell r="A912" t="str">
            <v>IKN400460</v>
          </cell>
          <cell r="B912">
            <v>460</v>
          </cell>
          <cell r="C912" t="str">
            <v>Institut Kanser Negara</v>
          </cell>
          <cell r="D912" t="str">
            <v>KKM/IKN/H/13/1345</v>
          </cell>
          <cell r="E912" t="str">
            <v>12-647</v>
          </cell>
          <cell r="F912" t="str">
            <v>Physiologic Monitoring Systems, Acute Care</v>
          </cell>
          <cell r="G912" t="str">
            <v>WC</v>
          </cell>
          <cell r="H912" t="str">
            <v>SURGICAL ONCO FEMALE WARD</v>
          </cell>
          <cell r="I912" t="str">
            <v>06WC113</v>
          </cell>
          <cell r="J912" t="str">
            <v>EQUIPMENT ROOM</v>
          </cell>
          <cell r="K912" t="str">
            <v>BMED</v>
          </cell>
          <cell r="L912" t="str">
            <v>Normal</v>
          </cell>
          <cell r="M912" t="str">
            <v>USA</v>
          </cell>
          <cell r="N912" t="str">
            <v>GE</v>
          </cell>
          <cell r="O912" t="str">
            <v>GE B30</v>
          </cell>
          <cell r="P912" t="str">
            <v>SF312325925WA</v>
          </cell>
          <cell r="Q912" t="str">
            <v>Not Applicable</v>
          </cell>
          <cell r="R912" t="str">
            <v>GE Healthcare Systems</v>
          </cell>
          <cell r="S912" t="str">
            <v>GE Healthcare Technologies</v>
          </cell>
          <cell r="T912" t="str">
            <v>Functioning</v>
          </cell>
          <cell r="U912" t="str">
            <v>Asset</v>
          </cell>
          <cell r="V912">
            <v>44510</v>
          </cell>
          <cell r="W912" t="str">
            <v>KEW</v>
          </cell>
          <cell r="X912" t="str">
            <v>01/09/2010</v>
          </cell>
          <cell r="Y912" t="str">
            <v>KEW</v>
          </cell>
          <cell r="Z912" t="str">
            <v>16/08/2013</v>
          </cell>
          <cell r="AA912" t="str">
            <v>15/08/2015</v>
          </cell>
          <cell r="AB912" t="str">
            <v>No</v>
          </cell>
          <cell r="AC912" t="str">
            <v>31/08/2013</v>
          </cell>
          <cell r="AD912" t="str">
            <v>Good</v>
          </cell>
          <cell r="AE912" t="str">
            <v>V1 - Existing / No Claim</v>
          </cell>
          <cell r="AF912">
            <v>42235</v>
          </cell>
          <cell r="AG912">
            <v>9.17</v>
          </cell>
          <cell r="AH912" t="str">
            <v>PPM</v>
          </cell>
          <cell r="AI912" t="str">
            <v>Strands</v>
          </cell>
          <cell r="AJ912" t="str">
            <v>Strands PW</v>
          </cell>
        </row>
        <row r="913">
          <cell r="A913" t="str">
            <v>IKN400461</v>
          </cell>
          <cell r="B913">
            <v>461</v>
          </cell>
          <cell r="C913" t="str">
            <v>Institut Kanser Negara</v>
          </cell>
          <cell r="D913" t="str">
            <v>KKM/IKN/H/13/3344</v>
          </cell>
          <cell r="E913" t="str">
            <v>12-647</v>
          </cell>
          <cell r="F913" t="str">
            <v>Physiologic Monitoring Systems, Acute Care</v>
          </cell>
          <cell r="G913" t="str">
            <v>WC</v>
          </cell>
          <cell r="H913" t="str">
            <v>SURGICAL ONCO FEMALE WARD</v>
          </cell>
          <cell r="I913" t="str">
            <v>06WC113</v>
          </cell>
          <cell r="J913" t="str">
            <v>EQUIPMENT ROOM</v>
          </cell>
          <cell r="K913" t="str">
            <v>BMED</v>
          </cell>
          <cell r="L913" t="str">
            <v>Normal</v>
          </cell>
          <cell r="M913" t="str">
            <v>USA</v>
          </cell>
          <cell r="N913" t="str">
            <v>GE</v>
          </cell>
          <cell r="O913" t="str">
            <v>GE B30</v>
          </cell>
          <cell r="P913" t="str">
            <v>SF312315869WA</v>
          </cell>
          <cell r="Q913" t="str">
            <v>Not Applicable</v>
          </cell>
          <cell r="R913" t="str">
            <v>GE Healthcare Systems</v>
          </cell>
          <cell r="S913" t="str">
            <v>GE Healthcare Technologies</v>
          </cell>
          <cell r="T913" t="str">
            <v>Functioning</v>
          </cell>
          <cell r="U913" t="str">
            <v>Asset</v>
          </cell>
          <cell r="V913">
            <v>44510</v>
          </cell>
          <cell r="W913" t="str">
            <v>KEW</v>
          </cell>
          <cell r="X913" t="str">
            <v>01/09/2010</v>
          </cell>
          <cell r="Y913" t="str">
            <v>KEW</v>
          </cell>
          <cell r="Z913" t="str">
            <v>16/08/2013</v>
          </cell>
          <cell r="AA913" t="str">
            <v>15/08/2015</v>
          </cell>
          <cell r="AB913" t="str">
            <v>No</v>
          </cell>
          <cell r="AC913" t="str">
            <v>31/08/2013</v>
          </cell>
          <cell r="AD913" t="str">
            <v>Good</v>
          </cell>
          <cell r="AE913" t="str">
            <v>V1 - Existing / No Claim</v>
          </cell>
          <cell r="AF913">
            <v>42235</v>
          </cell>
          <cell r="AG913">
            <v>9.17</v>
          </cell>
          <cell r="AH913" t="str">
            <v>PPM</v>
          </cell>
          <cell r="AI913" t="str">
            <v>Strands</v>
          </cell>
          <cell r="AJ913" t="str">
            <v>Strands PW</v>
          </cell>
          <cell r="AK913" t="str">
            <v>4. Boscarol RIW Power Cord User tampung
PEP waiting IKN400461 BER1 received</v>
          </cell>
        </row>
        <row r="914">
          <cell r="A914" t="str">
            <v>IKN400462</v>
          </cell>
          <cell r="B914">
            <v>462</v>
          </cell>
          <cell r="C914" t="str">
            <v>Institut Kanser Negara</v>
          </cell>
          <cell r="D914" t="str">
            <v>KKM/IKN/H/13/2960</v>
          </cell>
          <cell r="E914" t="str">
            <v>12-282</v>
          </cell>
          <cell r="F914" t="str">
            <v>Lights, Surgical</v>
          </cell>
          <cell r="G914" t="str">
            <v>NM</v>
          </cell>
          <cell r="H914" t="str">
            <v>NUCLEAR MED (DIAGNOSTIC)</v>
          </cell>
          <cell r="I914" t="str">
            <v>03NM142</v>
          </cell>
          <cell r="J914" t="str">
            <v>INJECTION ROOM 2 (-VE)</v>
          </cell>
          <cell r="K914" t="str">
            <v>BMED</v>
          </cell>
          <cell r="L914" t="str">
            <v>Normal</v>
          </cell>
          <cell r="M914" t="str">
            <v>USA</v>
          </cell>
          <cell r="N914" t="str">
            <v>Welch Allyn</v>
          </cell>
          <cell r="O914" t="str">
            <v>Welch Allyn GS600</v>
          </cell>
          <cell r="P914" t="str">
            <v>GS600-12</v>
          </cell>
          <cell r="Q914" t="str">
            <v>Not Applicable</v>
          </cell>
          <cell r="R914" t="str">
            <v>Welch Allyn Inc</v>
          </cell>
          <cell r="S914" t="str">
            <v>Welch Allyn Malaysia Sdn Bhd</v>
          </cell>
          <cell r="T914" t="str">
            <v>Functioning</v>
          </cell>
          <cell r="U914" t="str">
            <v>Asset</v>
          </cell>
          <cell r="V914">
            <v>5050</v>
          </cell>
          <cell r="W914" t="str">
            <v>KEW</v>
          </cell>
          <cell r="X914" t="str">
            <v>01/09/2010</v>
          </cell>
          <cell r="Y914" t="str">
            <v>KEW</v>
          </cell>
          <cell r="Z914" t="str">
            <v>16/08/2013</v>
          </cell>
          <cell r="AA914" t="str">
            <v>15/08/2015</v>
          </cell>
          <cell r="AB914" t="str">
            <v>No</v>
          </cell>
          <cell r="AC914" t="str">
            <v>31/08/2013</v>
          </cell>
          <cell r="AD914" t="str">
            <v>Good</v>
          </cell>
          <cell r="AE914" t="str">
            <v>V1 - Existing / No Claim</v>
          </cell>
          <cell r="AF914">
            <v>42235</v>
          </cell>
          <cell r="AG914">
            <v>9.17</v>
          </cell>
          <cell r="AH914" t="str">
            <v>PPM</v>
          </cell>
          <cell r="AI914" t="str">
            <v>Strands</v>
          </cell>
          <cell r="AJ914" t="str">
            <v>Strands PW</v>
          </cell>
        </row>
        <row r="915">
          <cell r="A915" t="str">
            <v>IKN400463</v>
          </cell>
          <cell r="B915">
            <v>463</v>
          </cell>
          <cell r="C915" t="str">
            <v>Institut Kanser Negara</v>
          </cell>
          <cell r="D915" t="str">
            <v>KKM/IKN/H/13/442</v>
          </cell>
          <cell r="E915" t="str">
            <v>10-208</v>
          </cell>
          <cell r="F915" t="str">
            <v>Aspirators</v>
          </cell>
          <cell r="G915" t="str">
            <v>WB</v>
          </cell>
          <cell r="H915" t="str">
            <v>SURGICAL ONCO MALE WARD</v>
          </cell>
          <cell r="I915" t="str">
            <v>05WB107</v>
          </cell>
          <cell r="J915" t="str">
            <v>TREATMENT / PROCEDURE</v>
          </cell>
          <cell r="K915" t="str">
            <v>BMED</v>
          </cell>
          <cell r="L915" t="str">
            <v>Critical</v>
          </cell>
          <cell r="M915" t="str">
            <v>Switzerland</v>
          </cell>
          <cell r="N915" t="str">
            <v>Senator</v>
          </cell>
          <cell r="O915" t="str">
            <v>Senator</v>
          </cell>
          <cell r="P915" t="str">
            <v>1220746</v>
          </cell>
          <cell r="Q915" t="str">
            <v>Not Applicable</v>
          </cell>
          <cell r="R915" t="str">
            <v>Ardo Medical AG</v>
          </cell>
          <cell r="S915" t="str">
            <v>Histopoint</v>
          </cell>
          <cell r="T915" t="str">
            <v>Functioning</v>
          </cell>
          <cell r="U915" t="str">
            <v>Asset</v>
          </cell>
          <cell r="V915">
            <v>5052</v>
          </cell>
          <cell r="W915" t="str">
            <v>KEW</v>
          </cell>
          <cell r="X915" t="str">
            <v>01/09/2010</v>
          </cell>
          <cell r="Y915" t="str">
            <v>KEW</v>
          </cell>
          <cell r="Z915" t="str">
            <v>16/08/2013</v>
          </cell>
          <cell r="AA915" t="str">
            <v>15/08/2015</v>
          </cell>
          <cell r="AB915" t="str">
            <v>No</v>
          </cell>
          <cell r="AC915" t="str">
            <v>31/08/2013</v>
          </cell>
          <cell r="AD915" t="str">
            <v>Good</v>
          </cell>
          <cell r="AE915" t="str">
            <v>V1 - Existing / No Claim</v>
          </cell>
          <cell r="AF915">
            <v>42788</v>
          </cell>
          <cell r="AG915">
            <v>9.17</v>
          </cell>
          <cell r="AH915" t="str">
            <v>PPM</v>
          </cell>
          <cell r="AI915" t="str">
            <v>Strands</v>
          </cell>
          <cell r="AJ915" t="str">
            <v>Strands PW</v>
          </cell>
        </row>
        <row r="916">
          <cell r="A916" t="str">
            <v>IKN400464</v>
          </cell>
          <cell r="B916">
            <v>464</v>
          </cell>
          <cell r="C916" t="str">
            <v>Institut Kanser Negara</v>
          </cell>
          <cell r="D916" t="str">
            <v>KKM/IKN/H/13/2380</v>
          </cell>
          <cell r="E916" t="str">
            <v>16-173</v>
          </cell>
          <cell r="F916" t="str">
            <v>Sphygmomanometers, Electronic, Automatic</v>
          </cell>
          <cell r="G916" t="str">
            <v>AE</v>
          </cell>
          <cell r="H916" t="str">
            <v>EMERGENCY UNIT</v>
          </cell>
          <cell r="I916" t="str">
            <v>01AE112</v>
          </cell>
          <cell r="J916" t="str">
            <v>EMERGENCY TROLLEY BAY</v>
          </cell>
          <cell r="K916" t="str">
            <v>BMED</v>
          </cell>
          <cell r="L916" t="str">
            <v>Critical</v>
          </cell>
          <cell r="M916" t="str">
            <v>Mexico</v>
          </cell>
          <cell r="N916" t="str">
            <v>Carespace</v>
          </cell>
          <cell r="O916" t="str">
            <v>Carescape V100</v>
          </cell>
          <cell r="P916" t="str">
            <v>SH612430104SA</v>
          </cell>
          <cell r="Q916" t="str">
            <v>Not Applicable</v>
          </cell>
          <cell r="R916" t="str">
            <v>GE Healthcare Systems</v>
          </cell>
          <cell r="S916" t="str">
            <v>GE Healthcare Technologies</v>
          </cell>
          <cell r="T916" t="str">
            <v>Functioning</v>
          </cell>
          <cell r="U916" t="str">
            <v>Asset</v>
          </cell>
          <cell r="V916">
            <v>7770</v>
          </cell>
          <cell r="W916" t="str">
            <v>KEW</v>
          </cell>
          <cell r="X916" t="str">
            <v>01/09/2010</v>
          </cell>
          <cell r="Y916" t="str">
            <v>KEW</v>
          </cell>
          <cell r="Z916" t="str">
            <v>16/08/2013</v>
          </cell>
          <cell r="AA916" t="str">
            <v>15/08/2015</v>
          </cell>
          <cell r="AB916" t="str">
            <v>No</v>
          </cell>
          <cell r="AC916" t="str">
            <v>31/08/2013</v>
          </cell>
          <cell r="AD916" t="str">
            <v>Good</v>
          </cell>
          <cell r="AE916" t="str">
            <v>V1 - Existing / No Claim</v>
          </cell>
          <cell r="AF916">
            <v>43076</v>
          </cell>
          <cell r="AG916">
            <v>9.17</v>
          </cell>
          <cell r="AH916" t="str">
            <v>PPM</v>
          </cell>
          <cell r="AI916" t="str">
            <v>Strands</v>
          </cell>
          <cell r="AJ916" t="str">
            <v>Strands PW</v>
          </cell>
        </row>
        <row r="917">
          <cell r="A917" t="str">
            <v>IKN400465</v>
          </cell>
          <cell r="B917">
            <v>465</v>
          </cell>
          <cell r="C917" t="str">
            <v>Institut Kanser Negara</v>
          </cell>
          <cell r="D917" t="str">
            <v>KKM/IKN/H/13/444</v>
          </cell>
          <cell r="E917" t="str">
            <v>16-231</v>
          </cell>
          <cell r="F917" t="str">
            <v>Electrocardiographs, Multichannel, Interpretative</v>
          </cell>
          <cell r="G917" t="str">
            <v>WB</v>
          </cell>
          <cell r="H917" t="str">
            <v>SURGICAL ONCO MALE WARD</v>
          </cell>
          <cell r="I917" t="str">
            <v>05WB107</v>
          </cell>
          <cell r="J917" t="str">
            <v>TREATMENT / PROCEDURE</v>
          </cell>
          <cell r="K917" t="str">
            <v>BMED</v>
          </cell>
          <cell r="L917" t="str">
            <v>Normal</v>
          </cell>
          <cell r="M917" t="str">
            <v>China</v>
          </cell>
          <cell r="N917" t="str">
            <v>Mac</v>
          </cell>
          <cell r="O917" t="str">
            <v>MAC 800</v>
          </cell>
          <cell r="P917" t="str">
            <v>SJ412450373 WA</v>
          </cell>
          <cell r="Q917" t="str">
            <v>Not Applicable</v>
          </cell>
          <cell r="R917" t="str">
            <v>GE Healthcare Systems</v>
          </cell>
          <cell r="S917" t="str">
            <v>GE Healthcare Technologies</v>
          </cell>
          <cell r="T917" t="str">
            <v>Functioning</v>
          </cell>
          <cell r="U917" t="str">
            <v>Asset</v>
          </cell>
          <cell r="V917">
            <v>25260</v>
          </cell>
          <cell r="W917" t="str">
            <v>KEW</v>
          </cell>
          <cell r="X917" t="str">
            <v>01/09/2010</v>
          </cell>
          <cell r="Y917" t="str">
            <v>KEW</v>
          </cell>
          <cell r="Z917" t="str">
            <v>16/08/2013</v>
          </cell>
          <cell r="AA917" t="str">
            <v>15/08/2015</v>
          </cell>
          <cell r="AB917" t="str">
            <v>No</v>
          </cell>
          <cell r="AC917" t="str">
            <v>31/08/2013</v>
          </cell>
          <cell r="AD917" t="str">
            <v>Good</v>
          </cell>
          <cell r="AE917" t="str">
            <v>V1 - Existing / No Claim</v>
          </cell>
          <cell r="AF917">
            <v>42235</v>
          </cell>
          <cell r="AG917">
            <v>9.17</v>
          </cell>
          <cell r="AH917" t="str">
            <v>PPM</v>
          </cell>
          <cell r="AI917" t="str">
            <v>Strands</v>
          </cell>
          <cell r="AJ917" t="str">
            <v>Strands PW</v>
          </cell>
        </row>
        <row r="918">
          <cell r="A918" t="str">
            <v>IKN400466</v>
          </cell>
          <cell r="B918">
            <v>466</v>
          </cell>
          <cell r="C918" t="str">
            <v>Institut Kanser Negara</v>
          </cell>
          <cell r="D918" t="str">
            <v>KKM/IKN/H/13/299</v>
          </cell>
          <cell r="E918" t="str">
            <v>10-447</v>
          </cell>
          <cell r="F918" t="str">
            <v>Warming Units, Blood/Solution</v>
          </cell>
          <cell r="G918" t="str">
            <v>WB</v>
          </cell>
          <cell r="H918" t="str">
            <v>SURGICAL ONCO MALE WARD</v>
          </cell>
          <cell r="I918" t="str">
            <v>05WB113</v>
          </cell>
          <cell r="J918" t="str">
            <v>EQUIP. ROOM</v>
          </cell>
          <cell r="K918" t="str">
            <v>BMED</v>
          </cell>
          <cell r="L918" t="str">
            <v>Normal</v>
          </cell>
          <cell r="M918" t="str">
            <v>Japan</v>
          </cell>
          <cell r="N918" t="str">
            <v>Animec</v>
          </cell>
          <cell r="O918" t="str">
            <v>Animec AM-301</v>
          </cell>
          <cell r="P918" t="str">
            <v>2013D0260</v>
          </cell>
          <cell r="Q918" t="str">
            <v>Not Applicable</v>
          </cell>
          <cell r="R918" t="str">
            <v>Elltec Co Ltd</v>
          </cell>
          <cell r="S918" t="str">
            <v>IDS Services (Malaysia) Sdn Bhd</v>
          </cell>
          <cell r="T918" t="str">
            <v>Functioning</v>
          </cell>
          <cell r="U918" t="str">
            <v>Asset</v>
          </cell>
          <cell r="V918">
            <v>4990</v>
          </cell>
          <cell r="W918" t="str">
            <v>KEW</v>
          </cell>
          <cell r="X918" t="str">
            <v>01/09/2010</v>
          </cell>
          <cell r="Y918" t="str">
            <v>KEW</v>
          </cell>
          <cell r="Z918" t="str">
            <v>16/08/2013</v>
          </cell>
          <cell r="AA918" t="str">
            <v>15/08/2015</v>
          </cell>
          <cell r="AB918" t="str">
            <v>No</v>
          </cell>
          <cell r="AC918" t="str">
            <v>31/08/2013</v>
          </cell>
          <cell r="AD918" t="str">
            <v>Good</v>
          </cell>
          <cell r="AE918" t="str">
            <v>V1 - Existing / No Claim</v>
          </cell>
          <cell r="AF918">
            <v>42235</v>
          </cell>
          <cell r="AG918">
            <v>9.17</v>
          </cell>
          <cell r="AH918" t="str">
            <v>PPM</v>
          </cell>
          <cell r="AI918" t="str">
            <v>Strands</v>
          </cell>
          <cell r="AJ918" t="str">
            <v>Strands PW</v>
          </cell>
        </row>
        <row r="919">
          <cell r="A919" t="str">
            <v>IKN400469</v>
          </cell>
          <cell r="B919">
            <v>469</v>
          </cell>
          <cell r="C919" t="str">
            <v>Institut Kanser Negara</v>
          </cell>
          <cell r="D919" t="str">
            <v>KKM/IKN/H/13/2377</v>
          </cell>
          <cell r="E919" t="str">
            <v>12-282</v>
          </cell>
          <cell r="F919" t="str">
            <v>Lights, Surgical</v>
          </cell>
          <cell r="G919" t="str">
            <v>WB</v>
          </cell>
          <cell r="H919" t="str">
            <v>SURGICAL ONCO MALE WARD</v>
          </cell>
          <cell r="I919" t="str">
            <v>05WB113</v>
          </cell>
          <cell r="J919" t="str">
            <v>EQUIP. ROOM</v>
          </cell>
          <cell r="K919" t="str">
            <v>BMED</v>
          </cell>
          <cell r="L919" t="str">
            <v>Critical</v>
          </cell>
          <cell r="M919" t="str">
            <v>USA</v>
          </cell>
          <cell r="N919" t="str">
            <v>Welch Allyn</v>
          </cell>
          <cell r="O919" t="str">
            <v>Welch Allyn GS600</v>
          </cell>
          <cell r="P919" t="str">
            <v>GS-600-35</v>
          </cell>
          <cell r="Q919" t="str">
            <v>Not Applicable</v>
          </cell>
          <cell r="R919" t="str">
            <v>Welch Allyn Inc</v>
          </cell>
          <cell r="S919" t="str">
            <v>Welch Allyn Malaysia Sdn Bhd</v>
          </cell>
          <cell r="T919" t="str">
            <v>Functioning</v>
          </cell>
          <cell r="U919" t="str">
            <v>Asset</v>
          </cell>
          <cell r="V919">
            <v>5050</v>
          </cell>
          <cell r="W919" t="str">
            <v>KEW</v>
          </cell>
          <cell r="X919" t="str">
            <v>01/09/2010</v>
          </cell>
          <cell r="Y919" t="str">
            <v>KEW</v>
          </cell>
          <cell r="Z919" t="str">
            <v>16/08/2013</v>
          </cell>
          <cell r="AA919" t="str">
            <v>15/08/2015</v>
          </cell>
          <cell r="AB919" t="str">
            <v>No</v>
          </cell>
          <cell r="AC919" t="str">
            <v>31/08/2013</v>
          </cell>
          <cell r="AD919" t="str">
            <v>Good</v>
          </cell>
          <cell r="AE919" t="str">
            <v>V1 - Existing / No Claim</v>
          </cell>
          <cell r="AF919">
            <v>42788</v>
          </cell>
          <cell r="AG919">
            <v>9.17</v>
          </cell>
          <cell r="AH919" t="str">
            <v>PPM</v>
          </cell>
          <cell r="AI919" t="str">
            <v>Strands</v>
          </cell>
          <cell r="AJ919" t="str">
            <v>Strands PW</v>
          </cell>
        </row>
        <row r="920">
          <cell r="A920" t="str">
            <v>IKN400470</v>
          </cell>
          <cell r="B920">
            <v>470</v>
          </cell>
          <cell r="C920" t="str">
            <v>Institut Kanser Negara</v>
          </cell>
          <cell r="D920" t="str">
            <v>KKM/IKN/H/13/2381</v>
          </cell>
          <cell r="E920" t="str">
            <v>12-282</v>
          </cell>
          <cell r="F920" t="str">
            <v>Lights, Surgical</v>
          </cell>
          <cell r="G920" t="str">
            <v>WB</v>
          </cell>
          <cell r="H920" t="str">
            <v>SURGICAL ONCO MALE WARD</v>
          </cell>
          <cell r="I920" t="str">
            <v>05WB113</v>
          </cell>
          <cell r="J920" t="str">
            <v>EQUIP. ROOM</v>
          </cell>
          <cell r="K920" t="str">
            <v>BMED</v>
          </cell>
          <cell r="L920" t="str">
            <v>Critical</v>
          </cell>
          <cell r="M920" t="str">
            <v>USA</v>
          </cell>
          <cell r="N920" t="str">
            <v>Welch Allyn</v>
          </cell>
          <cell r="O920" t="str">
            <v>Welch Allyn GS600</v>
          </cell>
          <cell r="P920" t="str">
            <v>GS-600-48</v>
          </cell>
          <cell r="Q920" t="str">
            <v>Not Applicable</v>
          </cell>
          <cell r="R920" t="str">
            <v>Welch Allyn Inc</v>
          </cell>
          <cell r="S920" t="str">
            <v>Welch Allyn Malaysia Sdn Bhd</v>
          </cell>
          <cell r="T920" t="str">
            <v>Functioning</v>
          </cell>
          <cell r="U920" t="str">
            <v>Asset</v>
          </cell>
          <cell r="V920">
            <v>5050</v>
          </cell>
          <cell r="W920" t="str">
            <v>KEW</v>
          </cell>
          <cell r="X920" t="str">
            <v>01/09/2010</v>
          </cell>
          <cell r="Y920" t="str">
            <v>KEW</v>
          </cell>
          <cell r="Z920" t="str">
            <v>16/08/2013</v>
          </cell>
          <cell r="AA920" t="str">
            <v>15/08/2015</v>
          </cell>
          <cell r="AB920" t="str">
            <v>No</v>
          </cell>
          <cell r="AC920" t="str">
            <v>31/08/2013</v>
          </cell>
          <cell r="AD920" t="str">
            <v>Good</v>
          </cell>
          <cell r="AE920" t="str">
            <v>V1 - Existing / No Claim</v>
          </cell>
          <cell r="AF920">
            <v>42788</v>
          </cell>
          <cell r="AG920">
            <v>9.17</v>
          </cell>
          <cell r="AH920" t="str">
            <v>PPM</v>
          </cell>
          <cell r="AI920" t="str">
            <v>Strands</v>
          </cell>
          <cell r="AJ920" t="str">
            <v>Strands PW</v>
          </cell>
        </row>
        <row r="921">
          <cell r="A921" t="str">
            <v>IKN400471</v>
          </cell>
          <cell r="B921">
            <v>471</v>
          </cell>
          <cell r="C921" t="str">
            <v>Institut Kanser Negara</v>
          </cell>
          <cell r="D921" t="str">
            <v>KKM/IKN/H/13/434</v>
          </cell>
          <cell r="E921" t="str">
            <v>15-045</v>
          </cell>
          <cell r="F921" t="str">
            <v>Nebulizers, Nonheated</v>
          </cell>
          <cell r="G921" t="str">
            <v>WB</v>
          </cell>
          <cell r="H921" t="str">
            <v>SURGICAL ONCO MALE WARD</v>
          </cell>
          <cell r="I921" t="str">
            <v>05WB113</v>
          </cell>
          <cell r="J921" t="str">
            <v>EQUIP. ROOM</v>
          </cell>
          <cell r="K921" t="str">
            <v>BMED</v>
          </cell>
          <cell r="L921" t="str">
            <v>Normal</v>
          </cell>
          <cell r="M921" t="str">
            <v>Germany</v>
          </cell>
          <cell r="N921" t="str">
            <v>Pari Boy</v>
          </cell>
          <cell r="O921" t="str">
            <v>Pari Boy SX 085</v>
          </cell>
          <cell r="P921" t="str">
            <v>2W12F13891</v>
          </cell>
          <cell r="Q921" t="str">
            <v>Not Applicable</v>
          </cell>
          <cell r="R921" t="str">
            <v>Pari GmbH</v>
          </cell>
          <cell r="S921" t="str">
            <v>Welch Allyn Malaysia Sdn Bhd</v>
          </cell>
          <cell r="T921" t="str">
            <v>Functioning</v>
          </cell>
          <cell r="U921" t="str">
            <v>Asset</v>
          </cell>
          <cell r="V921">
            <v>1140</v>
          </cell>
          <cell r="W921" t="str">
            <v>KEW</v>
          </cell>
          <cell r="X921" t="str">
            <v>01/09/2010</v>
          </cell>
          <cell r="Y921" t="str">
            <v>KEW</v>
          </cell>
          <cell r="Z921" t="str">
            <v>16/08/2013</v>
          </cell>
          <cell r="AA921" t="str">
            <v>15/08/2015</v>
          </cell>
          <cell r="AB921" t="str">
            <v>No</v>
          </cell>
          <cell r="AC921" t="str">
            <v>31/08/2013</v>
          </cell>
          <cell r="AD921" t="str">
            <v>Good</v>
          </cell>
          <cell r="AE921" t="str">
            <v>V1 - Existing / No Claim</v>
          </cell>
          <cell r="AF921">
            <v>42788</v>
          </cell>
          <cell r="AG921">
            <v>9.17</v>
          </cell>
          <cell r="AH921" t="str">
            <v>PPM</v>
          </cell>
          <cell r="AI921" t="str">
            <v>Strands</v>
          </cell>
          <cell r="AJ921" t="str">
            <v>Strands PW</v>
          </cell>
        </row>
        <row r="922">
          <cell r="A922" t="str">
            <v>IKN400472</v>
          </cell>
          <cell r="B922">
            <v>472</v>
          </cell>
          <cell r="C922" t="str">
            <v>Institut Kanser Negara</v>
          </cell>
          <cell r="D922" t="str">
            <v>KKM/IKN/H/13/433</v>
          </cell>
          <cell r="E922" t="str">
            <v>15-045</v>
          </cell>
          <cell r="F922" t="str">
            <v>Nebulizers, Nonheated</v>
          </cell>
          <cell r="G922" t="str">
            <v>WB</v>
          </cell>
          <cell r="H922" t="str">
            <v>SURGICAL ONCO MALE WARD</v>
          </cell>
          <cell r="I922" t="str">
            <v>05WB113</v>
          </cell>
          <cell r="J922" t="str">
            <v>EQUIP. ROOM</v>
          </cell>
          <cell r="K922" t="str">
            <v>BMED</v>
          </cell>
          <cell r="L922" t="str">
            <v>Normal</v>
          </cell>
          <cell r="M922" t="str">
            <v>Germany</v>
          </cell>
          <cell r="N922" t="str">
            <v>Pari Boy</v>
          </cell>
          <cell r="O922" t="str">
            <v>Pari Boy SX 085</v>
          </cell>
          <cell r="P922" t="str">
            <v>2W12F13736</v>
          </cell>
          <cell r="Q922" t="str">
            <v>Not Applicable</v>
          </cell>
          <cell r="R922" t="str">
            <v>Pari GmbH</v>
          </cell>
          <cell r="S922" t="str">
            <v>Welch Allyn Malaysia Sdn Bhd</v>
          </cell>
          <cell r="T922" t="str">
            <v>Functioning</v>
          </cell>
          <cell r="U922" t="str">
            <v>Asset</v>
          </cell>
          <cell r="V922">
            <v>1140</v>
          </cell>
          <cell r="W922" t="str">
            <v>KEW</v>
          </cell>
          <cell r="X922" t="str">
            <v>01/09/2010</v>
          </cell>
          <cell r="Y922" t="str">
            <v>KEW</v>
          </cell>
          <cell r="Z922" t="str">
            <v>16/08/2013</v>
          </cell>
          <cell r="AA922" t="str">
            <v>15/08/2015</v>
          </cell>
          <cell r="AB922" t="str">
            <v>No</v>
          </cell>
          <cell r="AC922" t="str">
            <v>31/08/2013</v>
          </cell>
          <cell r="AD922" t="str">
            <v>Good</v>
          </cell>
          <cell r="AE922" t="str">
            <v>V1 - Existing / No Claim</v>
          </cell>
          <cell r="AF922">
            <v>42788</v>
          </cell>
          <cell r="AG922">
            <v>9.17</v>
          </cell>
          <cell r="AH922" t="str">
            <v>PPM</v>
          </cell>
          <cell r="AI922" t="str">
            <v>Strands</v>
          </cell>
          <cell r="AJ922" t="str">
            <v>Strands PW</v>
          </cell>
        </row>
        <row r="923">
          <cell r="A923" t="str">
            <v>IKN400473</v>
          </cell>
          <cell r="B923">
            <v>473</v>
          </cell>
          <cell r="C923" t="str">
            <v>Institut Kanser Negara</v>
          </cell>
          <cell r="D923" t="str">
            <v>KKM/IKN/H/13/435</v>
          </cell>
          <cell r="E923" t="str">
            <v>15-045</v>
          </cell>
          <cell r="F923" t="str">
            <v>Nebulizers, Nonheated</v>
          </cell>
          <cell r="G923" t="str">
            <v>WB</v>
          </cell>
          <cell r="H923" t="str">
            <v>SURGICAL ONCO MALE WARD</v>
          </cell>
          <cell r="I923" t="str">
            <v>05WB113</v>
          </cell>
          <cell r="J923" t="str">
            <v>EQUIP. ROOM</v>
          </cell>
          <cell r="K923" t="str">
            <v>BMED</v>
          </cell>
          <cell r="L923" t="str">
            <v>Normal</v>
          </cell>
          <cell r="M923" t="str">
            <v>Germany</v>
          </cell>
          <cell r="N923" t="str">
            <v>Pari Boy</v>
          </cell>
          <cell r="O923" t="str">
            <v>Pari Boy SX 085</v>
          </cell>
          <cell r="P923" t="str">
            <v>2W12F13814</v>
          </cell>
          <cell r="Q923" t="str">
            <v>Not Applicable</v>
          </cell>
          <cell r="R923" t="str">
            <v>Pari GmbH</v>
          </cell>
          <cell r="S923" t="str">
            <v>Welch Allyn Malaysia Sdn Bhd</v>
          </cell>
          <cell r="T923" t="str">
            <v>Functioning</v>
          </cell>
          <cell r="U923" t="str">
            <v>Asset</v>
          </cell>
          <cell r="V923">
            <v>1140</v>
          </cell>
          <cell r="W923" t="str">
            <v>KEW</v>
          </cell>
          <cell r="X923" t="str">
            <v>01/09/2010</v>
          </cell>
          <cell r="Y923" t="str">
            <v>KEW</v>
          </cell>
          <cell r="Z923" t="str">
            <v>16/08/2013</v>
          </cell>
          <cell r="AA923" t="str">
            <v>15/08/2015</v>
          </cell>
          <cell r="AB923" t="str">
            <v>No</v>
          </cell>
          <cell r="AC923" t="str">
            <v>31/08/2013</v>
          </cell>
          <cell r="AD923" t="str">
            <v>Good</v>
          </cell>
          <cell r="AE923" t="str">
            <v>V1 - Existing / No Claim</v>
          </cell>
          <cell r="AF923">
            <v>42788</v>
          </cell>
          <cell r="AG923">
            <v>9.17</v>
          </cell>
          <cell r="AH923" t="str">
            <v>PPM</v>
          </cell>
          <cell r="AI923" t="str">
            <v>Strands</v>
          </cell>
          <cell r="AJ923" t="str">
            <v>Strands PW</v>
          </cell>
        </row>
        <row r="924">
          <cell r="A924" t="str">
            <v>IKN400474</v>
          </cell>
          <cell r="B924">
            <v>474</v>
          </cell>
          <cell r="C924" t="str">
            <v>Institut Kanser Negara</v>
          </cell>
          <cell r="D924" t="str">
            <v>KKM/IKN/H/13/4535</v>
          </cell>
          <cell r="E924" t="str">
            <v>10-849</v>
          </cell>
          <cell r="F924" t="str">
            <v>Circulatory Assist Units, Venous Return</v>
          </cell>
          <cell r="G924" t="str">
            <v>WB</v>
          </cell>
          <cell r="H924" t="str">
            <v>SURGICAL ONCO MALE WARD</v>
          </cell>
          <cell r="I924" t="str">
            <v>05WB113</v>
          </cell>
          <cell r="J924" t="str">
            <v>EQUIP. ROOM</v>
          </cell>
          <cell r="K924" t="str">
            <v>BMED</v>
          </cell>
          <cell r="L924" t="str">
            <v>Critical</v>
          </cell>
          <cell r="M924" t="str">
            <v>Taiwan</v>
          </cell>
          <cell r="N924" t="str">
            <v>Vena Press</v>
          </cell>
          <cell r="O924" t="str">
            <v>Vena Press IPC</v>
          </cell>
          <cell r="P924" t="str">
            <v>C820016771</v>
          </cell>
          <cell r="Q924" t="str">
            <v>Not Applicable</v>
          </cell>
          <cell r="R924" t="str">
            <v>Prius Healthcare Solution</v>
          </cell>
          <cell r="S924" t="str">
            <v>Medika Supplies</v>
          </cell>
          <cell r="T924" t="str">
            <v>Functioning</v>
          </cell>
          <cell r="U924" t="str">
            <v>Asset</v>
          </cell>
          <cell r="V924">
            <v>13470</v>
          </cell>
          <cell r="W924" t="str">
            <v>KEW</v>
          </cell>
          <cell r="X924" t="str">
            <v>01/09/2010</v>
          </cell>
          <cell r="Y924" t="str">
            <v>KEW</v>
          </cell>
          <cell r="Z924" t="str">
            <v>16/08/2013</v>
          </cell>
          <cell r="AA924" t="str">
            <v>15/08/2015</v>
          </cell>
          <cell r="AB924" t="str">
            <v>No</v>
          </cell>
          <cell r="AC924" t="str">
            <v>31/08/2013</v>
          </cell>
          <cell r="AD924" t="str">
            <v>Good</v>
          </cell>
          <cell r="AE924" t="str">
            <v>V1 - Existing / No Claim</v>
          </cell>
          <cell r="AF924">
            <v>42788</v>
          </cell>
          <cell r="AG924">
            <v>9.17</v>
          </cell>
          <cell r="AH924" t="str">
            <v>PPM</v>
          </cell>
          <cell r="AI924" t="str">
            <v>Strands</v>
          </cell>
          <cell r="AJ924" t="str">
            <v>Strands PW</v>
          </cell>
        </row>
        <row r="925">
          <cell r="A925" t="str">
            <v>IKN400475</v>
          </cell>
          <cell r="B925">
            <v>475</v>
          </cell>
          <cell r="C925" t="str">
            <v>Institut Kanser Negara</v>
          </cell>
          <cell r="D925" t="str">
            <v>KKM/IKN/H/13/426</v>
          </cell>
          <cell r="E925" t="str">
            <v>13-217</v>
          </cell>
          <cell r="F925" t="str">
            <v>Infusion Pumps, Syringe</v>
          </cell>
          <cell r="G925" t="str">
            <v>WB</v>
          </cell>
          <cell r="H925" t="str">
            <v>SURGICAL ONCO MALE WARD</v>
          </cell>
          <cell r="I925" t="str">
            <v>05WB113</v>
          </cell>
          <cell r="J925" t="str">
            <v>EQUIP. ROOM</v>
          </cell>
          <cell r="K925" t="str">
            <v>BMED</v>
          </cell>
          <cell r="L925" t="str">
            <v>Normal</v>
          </cell>
          <cell r="M925" t="str">
            <v>Germany</v>
          </cell>
          <cell r="N925" t="str">
            <v>Perfusor</v>
          </cell>
          <cell r="O925" t="str">
            <v>Perfusor Space</v>
          </cell>
          <cell r="P925" t="str">
            <v>186963</v>
          </cell>
          <cell r="Q925" t="str">
            <v>Not Applicable</v>
          </cell>
          <cell r="R925" t="str">
            <v>B Braun Melsungen AG</v>
          </cell>
          <cell r="S925" t="str">
            <v>B Braun Medical Supplies Sdn. Bhd.</v>
          </cell>
          <cell r="T925" t="str">
            <v>Functioning</v>
          </cell>
          <cell r="U925" t="str">
            <v>Asset</v>
          </cell>
          <cell r="V925">
            <v>10225</v>
          </cell>
          <cell r="W925" t="str">
            <v>KEW</v>
          </cell>
          <cell r="X925" t="str">
            <v>01/09/2010</v>
          </cell>
          <cell r="Y925" t="str">
            <v>KEW</v>
          </cell>
          <cell r="Z925" t="str">
            <v>16/08/2013</v>
          </cell>
          <cell r="AA925" t="str">
            <v>15/08/2015</v>
          </cell>
          <cell r="AB925" t="str">
            <v>No</v>
          </cell>
          <cell r="AC925" t="str">
            <v>31/08/2013</v>
          </cell>
          <cell r="AD925" t="str">
            <v>Good</v>
          </cell>
          <cell r="AE925" t="str">
            <v>V1 - Existing / No Claim</v>
          </cell>
          <cell r="AF925">
            <v>42235</v>
          </cell>
          <cell r="AG925">
            <v>9.17</v>
          </cell>
          <cell r="AH925" t="str">
            <v>PPM</v>
          </cell>
          <cell r="AI925" t="str">
            <v>Strands</v>
          </cell>
          <cell r="AJ925" t="str">
            <v>Strands PW</v>
          </cell>
        </row>
        <row r="926">
          <cell r="A926" t="str">
            <v>IKN400476</v>
          </cell>
          <cell r="B926">
            <v>476</v>
          </cell>
          <cell r="C926" t="str">
            <v>Institut Kanser Negara</v>
          </cell>
          <cell r="D926" t="str">
            <v>KKM/IKN/H/13/390</v>
          </cell>
          <cell r="E926" t="str">
            <v>13-217</v>
          </cell>
          <cell r="F926" t="str">
            <v>Infusion Pumps, Syringe</v>
          </cell>
          <cell r="G926" t="str">
            <v>WB</v>
          </cell>
          <cell r="H926" t="str">
            <v>SURGICAL ONCO MALE WARD</v>
          </cell>
          <cell r="I926" t="str">
            <v>05WB113</v>
          </cell>
          <cell r="J926" t="str">
            <v>EQUIP. ROOM</v>
          </cell>
          <cell r="K926" t="str">
            <v>BMED</v>
          </cell>
          <cell r="L926" t="str">
            <v>Normal</v>
          </cell>
          <cell r="M926" t="str">
            <v>Germany</v>
          </cell>
          <cell r="N926" t="str">
            <v>Perfusor</v>
          </cell>
          <cell r="O926" t="str">
            <v>Perfusor Space</v>
          </cell>
          <cell r="P926" t="str">
            <v>187026</v>
          </cell>
          <cell r="Q926" t="str">
            <v>Not Applicable</v>
          </cell>
          <cell r="R926" t="str">
            <v>B Braun Melsungen AG</v>
          </cell>
          <cell r="S926" t="str">
            <v>B Braun Medical Supplies Sdn. Bhd.</v>
          </cell>
          <cell r="T926" t="str">
            <v>Functioning</v>
          </cell>
          <cell r="U926" t="str">
            <v>Asset</v>
          </cell>
          <cell r="V926">
            <v>10225</v>
          </cell>
          <cell r="W926" t="str">
            <v>KEW</v>
          </cell>
          <cell r="X926" t="str">
            <v>01/09/2010</v>
          </cell>
          <cell r="Y926" t="str">
            <v>KEW</v>
          </cell>
          <cell r="Z926" t="str">
            <v>16/08/2013</v>
          </cell>
          <cell r="AA926" t="str">
            <v>15/08/2015</v>
          </cell>
          <cell r="AB926" t="str">
            <v>No</v>
          </cell>
          <cell r="AC926" t="str">
            <v>31/08/2013</v>
          </cell>
          <cell r="AD926" t="str">
            <v>Good</v>
          </cell>
          <cell r="AE926" t="str">
            <v>V1 - Existing / No Claim</v>
          </cell>
          <cell r="AF926">
            <v>42235</v>
          </cell>
          <cell r="AG926">
            <v>9.17</v>
          </cell>
          <cell r="AH926" t="str">
            <v>PPM</v>
          </cell>
          <cell r="AI926" t="str">
            <v>Strands</v>
          </cell>
          <cell r="AJ926" t="str">
            <v>Strands PW</v>
          </cell>
        </row>
        <row r="927">
          <cell r="A927" t="str">
            <v>IKN400477</v>
          </cell>
          <cell r="B927">
            <v>477</v>
          </cell>
          <cell r="C927" t="str">
            <v>Institut Kanser Negara</v>
          </cell>
          <cell r="D927" t="str">
            <v>KKM/IKN/H/13/428</v>
          </cell>
          <cell r="E927" t="str">
            <v>13-217</v>
          </cell>
          <cell r="F927" t="str">
            <v>Infusion Pumps, Syringe</v>
          </cell>
          <cell r="G927" t="str">
            <v>WB</v>
          </cell>
          <cell r="H927" t="str">
            <v>SURGICAL ONCO MALE WARD</v>
          </cell>
          <cell r="I927" t="str">
            <v>05WB113</v>
          </cell>
          <cell r="J927" t="str">
            <v>EQUIP. ROOM</v>
          </cell>
          <cell r="K927" t="str">
            <v>BMED</v>
          </cell>
          <cell r="L927" t="str">
            <v>Critical</v>
          </cell>
          <cell r="M927" t="str">
            <v>Germany</v>
          </cell>
          <cell r="N927" t="str">
            <v>Perfusor</v>
          </cell>
          <cell r="O927" t="str">
            <v>Perfusor Space</v>
          </cell>
          <cell r="P927" t="str">
            <v>187043</v>
          </cell>
          <cell r="Q927" t="str">
            <v>Not Applicable</v>
          </cell>
          <cell r="R927" t="str">
            <v>B Braun Melsungen AG</v>
          </cell>
          <cell r="S927" t="str">
            <v>B Braun Medical Supplies Sdn. Bhd.</v>
          </cell>
          <cell r="T927" t="str">
            <v>Functioning</v>
          </cell>
          <cell r="U927" t="str">
            <v>Asset</v>
          </cell>
          <cell r="V927">
            <v>10225</v>
          </cell>
          <cell r="W927" t="str">
            <v>KEW</v>
          </cell>
          <cell r="X927" t="str">
            <v>01/09/2010</v>
          </cell>
          <cell r="Y927" t="str">
            <v>KEW</v>
          </cell>
          <cell r="Z927" t="str">
            <v>16/08/2013</v>
          </cell>
          <cell r="AA927" t="str">
            <v>15/08/2015</v>
          </cell>
          <cell r="AB927" t="str">
            <v>No</v>
          </cell>
          <cell r="AC927" t="str">
            <v>31/08/2013</v>
          </cell>
          <cell r="AD927" t="str">
            <v>Good</v>
          </cell>
          <cell r="AE927" t="str">
            <v>V1 - Existing / No Claim</v>
          </cell>
          <cell r="AF927">
            <v>42788</v>
          </cell>
          <cell r="AG927">
            <v>9.17</v>
          </cell>
          <cell r="AH927" t="str">
            <v>PPM</v>
          </cell>
          <cell r="AI927" t="str">
            <v>Strands</v>
          </cell>
          <cell r="AJ927" t="str">
            <v>Strands PW</v>
          </cell>
        </row>
        <row r="928">
          <cell r="A928" t="str">
            <v>IKN400478</v>
          </cell>
          <cell r="B928">
            <v>478</v>
          </cell>
          <cell r="C928" t="str">
            <v>Institut Kanser Negara</v>
          </cell>
          <cell r="D928" t="str">
            <v>KKM/IKN/H/13/427</v>
          </cell>
          <cell r="E928" t="str">
            <v>13-217</v>
          </cell>
          <cell r="F928" t="str">
            <v>Infusion Pumps, Syringe</v>
          </cell>
          <cell r="G928" t="str">
            <v>WB</v>
          </cell>
          <cell r="H928" t="str">
            <v>SURGICAL ONCO MALE WARD</v>
          </cell>
          <cell r="I928" t="str">
            <v>05WB113</v>
          </cell>
          <cell r="J928" t="str">
            <v>EQUIP. ROOM</v>
          </cell>
          <cell r="K928" t="str">
            <v>BMED</v>
          </cell>
          <cell r="L928" t="str">
            <v>Normal</v>
          </cell>
          <cell r="M928" t="str">
            <v>Germany</v>
          </cell>
          <cell r="N928" t="str">
            <v>Perfusor</v>
          </cell>
          <cell r="O928" t="str">
            <v>Perfusor Space</v>
          </cell>
          <cell r="P928" t="str">
            <v>187053</v>
          </cell>
          <cell r="Q928" t="str">
            <v>Not Applicable</v>
          </cell>
          <cell r="R928" t="str">
            <v>B Braun Melsungen AG</v>
          </cell>
          <cell r="S928" t="str">
            <v>B Braun Medical Supplies Sdn. Bhd.</v>
          </cell>
          <cell r="T928" t="str">
            <v>Functioning</v>
          </cell>
          <cell r="U928" t="str">
            <v>Asset</v>
          </cell>
          <cell r="V928">
            <v>10225</v>
          </cell>
          <cell r="W928" t="str">
            <v>KEW</v>
          </cell>
          <cell r="X928" t="str">
            <v>01/09/2010</v>
          </cell>
          <cell r="Y928" t="str">
            <v>KEW</v>
          </cell>
          <cell r="Z928" t="str">
            <v>16/08/2013</v>
          </cell>
          <cell r="AA928" t="str">
            <v>15/08/2015</v>
          </cell>
          <cell r="AB928" t="str">
            <v>No</v>
          </cell>
          <cell r="AC928" t="str">
            <v>31/08/2013</v>
          </cell>
          <cell r="AD928" t="str">
            <v>Good</v>
          </cell>
          <cell r="AE928" t="str">
            <v>V1 - Existing / No Claim</v>
          </cell>
          <cell r="AF928">
            <v>42235</v>
          </cell>
          <cell r="AG928">
            <v>9.17</v>
          </cell>
          <cell r="AH928" t="str">
            <v>PPM</v>
          </cell>
          <cell r="AI928" t="str">
            <v>Strands</v>
          </cell>
          <cell r="AJ928" t="str">
            <v>Strands PW</v>
          </cell>
        </row>
        <row r="929">
          <cell r="A929" t="str">
            <v>IKN400480</v>
          </cell>
          <cell r="B929">
            <v>480</v>
          </cell>
          <cell r="C929" t="str">
            <v>Institut Kanser Negara</v>
          </cell>
          <cell r="D929" t="e">
            <v>#N/A</v>
          </cell>
          <cell r="E929" t="str">
            <v>12-660</v>
          </cell>
          <cell r="F929" t="str">
            <v>Radiation Monitors</v>
          </cell>
          <cell r="G929" t="str">
            <v>NW</v>
          </cell>
          <cell r="H929" t="str">
            <v>NUCLEAR WASTE HOLDING</v>
          </cell>
          <cell r="I929" t="str">
            <v>01NW106</v>
          </cell>
          <cell r="J929" t="str">
            <v>WASTE MEASUREMENT</v>
          </cell>
          <cell r="K929" t="str">
            <v>BMED</v>
          </cell>
          <cell r="L929" t="str">
            <v>Normal</v>
          </cell>
          <cell r="M929" t="str">
            <v>Germany</v>
          </cell>
          <cell r="N929" t="str">
            <v>Almo</v>
          </cell>
          <cell r="O929" t="str">
            <v>Almo 3</v>
          </cell>
          <cell r="P929" t="str">
            <v>77</v>
          </cell>
          <cell r="Q929" t="str">
            <v>Not Applicable</v>
          </cell>
          <cell r="R929" t="str">
            <v>MED Nuklear-Medizintechnik Dresden GmbH</v>
          </cell>
          <cell r="S929" t="str">
            <v>Not Available</v>
          </cell>
          <cell r="T929" t="str">
            <v>Functioning</v>
          </cell>
          <cell r="U929" t="str">
            <v>Asset</v>
          </cell>
          <cell r="V929">
            <v>30000</v>
          </cell>
          <cell r="W929" t="str">
            <v>Estimate</v>
          </cell>
          <cell r="X929" t="str">
            <v>01/09/2010</v>
          </cell>
          <cell r="Y929" t="str">
            <v>KEW</v>
          </cell>
          <cell r="Z929" t="str">
            <v>16/08/2013</v>
          </cell>
          <cell r="AA929" t="str">
            <v>15/08/2015</v>
          </cell>
          <cell r="AB929" t="str">
            <v>No</v>
          </cell>
          <cell r="AC929" t="str">
            <v>31/08/2013</v>
          </cell>
          <cell r="AD929" t="str">
            <v>Good</v>
          </cell>
          <cell r="AE929" t="str">
            <v>V1 - Existing / No Claim</v>
          </cell>
          <cell r="AF929">
            <v>42601</v>
          </cell>
          <cell r="AG929">
            <v>9.17</v>
          </cell>
          <cell r="AH929" t="str">
            <v>PPM</v>
          </cell>
          <cell r="AI929" t="str">
            <v>package</v>
          </cell>
          <cell r="AK929" t="str">
            <v>[25/11/2024]: SN Detector: 76591, 76604, 76595</v>
          </cell>
        </row>
        <row r="930">
          <cell r="A930" t="str">
            <v>IKN400481</v>
          </cell>
          <cell r="B930">
            <v>481</v>
          </cell>
          <cell r="C930" t="str">
            <v>Institut Kanser Negara</v>
          </cell>
          <cell r="D930" t="str">
            <v>KKM/IKN/H/13/431</v>
          </cell>
          <cell r="E930" t="str">
            <v>13-215</v>
          </cell>
          <cell r="F930" t="str">
            <v>Infusion Pumps, General-Purpose</v>
          </cell>
          <cell r="G930" t="str">
            <v>WB</v>
          </cell>
          <cell r="H930" t="str">
            <v>SURGICAL ONCO MALE WARD</v>
          </cell>
          <cell r="I930" t="str">
            <v>05WB113</v>
          </cell>
          <cell r="J930" t="str">
            <v>EQUIP. ROOM</v>
          </cell>
          <cell r="K930" t="str">
            <v>BMED</v>
          </cell>
          <cell r="L930" t="str">
            <v>Normal</v>
          </cell>
          <cell r="M930" t="str">
            <v>Germany</v>
          </cell>
          <cell r="N930" t="str">
            <v>Infusomat</v>
          </cell>
          <cell r="O930" t="str">
            <v>Infusomat Space</v>
          </cell>
          <cell r="P930" t="str">
            <v>211446</v>
          </cell>
          <cell r="Q930" t="str">
            <v>Not Applicable</v>
          </cell>
          <cell r="R930" t="str">
            <v>B Braun Melsungen AG</v>
          </cell>
          <cell r="S930" t="str">
            <v>B Braun Medical Supplies Sdn. Bhd.</v>
          </cell>
          <cell r="T930" t="str">
            <v>Functioning</v>
          </cell>
          <cell r="U930" t="str">
            <v>Asset</v>
          </cell>
          <cell r="V930">
            <v>10825</v>
          </cell>
          <cell r="W930" t="str">
            <v>KEW</v>
          </cell>
          <cell r="X930" t="str">
            <v>01/09/2010</v>
          </cell>
          <cell r="Y930" t="str">
            <v>KEW</v>
          </cell>
          <cell r="Z930" t="str">
            <v>16/08/2013</v>
          </cell>
          <cell r="AA930" t="str">
            <v>15/08/2015</v>
          </cell>
          <cell r="AB930" t="str">
            <v>No</v>
          </cell>
          <cell r="AC930" t="str">
            <v>31/08/2013</v>
          </cell>
          <cell r="AD930" t="str">
            <v>Good</v>
          </cell>
          <cell r="AE930" t="str">
            <v>V1 - Existing / No Claim</v>
          </cell>
          <cell r="AF930">
            <v>42235</v>
          </cell>
          <cell r="AG930">
            <v>9.17</v>
          </cell>
          <cell r="AH930" t="str">
            <v>PPM</v>
          </cell>
          <cell r="AI930" t="str">
            <v>Strands</v>
          </cell>
          <cell r="AJ930" t="str">
            <v>Strands PW</v>
          </cell>
        </row>
        <row r="931">
          <cell r="A931" t="str">
            <v>IKN400482</v>
          </cell>
          <cell r="B931">
            <v>482</v>
          </cell>
          <cell r="C931" t="str">
            <v>Institut Kanser Negara</v>
          </cell>
          <cell r="D931" t="str">
            <v>KKM/IKN/H/13/432</v>
          </cell>
          <cell r="E931" t="str">
            <v>13-215</v>
          </cell>
          <cell r="F931" t="str">
            <v>Infusion Pumps, General-Purpose</v>
          </cell>
          <cell r="G931" t="str">
            <v>WB</v>
          </cell>
          <cell r="H931" t="str">
            <v>SURGICAL ONCO MALE WARD</v>
          </cell>
          <cell r="I931" t="str">
            <v>05WB113</v>
          </cell>
          <cell r="J931" t="str">
            <v>EQUIP. ROOM</v>
          </cell>
          <cell r="K931" t="str">
            <v>BMED</v>
          </cell>
          <cell r="L931" t="str">
            <v>Critical</v>
          </cell>
          <cell r="M931" t="str">
            <v>Germany</v>
          </cell>
          <cell r="N931" t="str">
            <v>Infusomat</v>
          </cell>
          <cell r="O931" t="str">
            <v>Infusomat Space</v>
          </cell>
          <cell r="P931" t="str">
            <v>212035</v>
          </cell>
          <cell r="Q931" t="str">
            <v>Not Applicable</v>
          </cell>
          <cell r="R931" t="str">
            <v>B Braun Melsungen AG</v>
          </cell>
          <cell r="S931" t="str">
            <v>B Braun Medical Supplies Sdn. Bhd.</v>
          </cell>
          <cell r="T931" t="str">
            <v>Functioning</v>
          </cell>
          <cell r="U931" t="str">
            <v>Asset</v>
          </cell>
          <cell r="V931">
            <v>10825</v>
          </cell>
          <cell r="W931" t="str">
            <v>KEW</v>
          </cell>
          <cell r="X931" t="str">
            <v>01/09/2010</v>
          </cell>
          <cell r="Y931" t="str">
            <v>KEW</v>
          </cell>
          <cell r="Z931" t="str">
            <v>16/08/2013</v>
          </cell>
          <cell r="AA931" t="str">
            <v>15/08/2015</v>
          </cell>
          <cell r="AB931" t="str">
            <v>No</v>
          </cell>
          <cell r="AC931" t="str">
            <v>31/08/2013</v>
          </cell>
          <cell r="AD931" t="str">
            <v>Good</v>
          </cell>
          <cell r="AE931" t="str">
            <v>V1 - Existing / No Claim</v>
          </cell>
          <cell r="AF931">
            <v>42788</v>
          </cell>
          <cell r="AG931">
            <v>9.17</v>
          </cell>
          <cell r="AH931" t="str">
            <v>PPM</v>
          </cell>
          <cell r="AI931" t="str">
            <v>Strands</v>
          </cell>
          <cell r="AJ931" t="str">
            <v>Strands PW</v>
          </cell>
        </row>
        <row r="932">
          <cell r="A932" t="str">
            <v>IKN400483</v>
          </cell>
          <cell r="B932">
            <v>483</v>
          </cell>
          <cell r="C932" t="str">
            <v>Institut Kanser Negara</v>
          </cell>
          <cell r="D932" t="str">
            <v>KKM/IKN/H/13/5379</v>
          </cell>
          <cell r="E932" t="str">
            <v>12-660</v>
          </cell>
          <cell r="F932" t="str">
            <v>Radiation Monitors</v>
          </cell>
          <cell r="G932" t="str">
            <v>NW</v>
          </cell>
          <cell r="H932" t="str">
            <v>NUCLEAR WASTE HOLDING</v>
          </cell>
          <cell r="I932" t="str">
            <v>01NW106</v>
          </cell>
          <cell r="J932" t="str">
            <v>WASTE MEASUREMENT</v>
          </cell>
          <cell r="K932" t="str">
            <v>BMED</v>
          </cell>
          <cell r="L932" t="str">
            <v>Normal</v>
          </cell>
          <cell r="M932" t="str">
            <v>Germany</v>
          </cell>
          <cell r="N932" t="str">
            <v>Almo</v>
          </cell>
          <cell r="O932" t="str">
            <v>Almo 6</v>
          </cell>
          <cell r="P932" t="str">
            <v>0071</v>
          </cell>
          <cell r="Q932" t="str">
            <v>Not Applicable</v>
          </cell>
          <cell r="R932" t="str">
            <v>MED Nuklear-Medizintechnik Dresden GmbH</v>
          </cell>
          <cell r="S932" t="str">
            <v/>
          </cell>
          <cell r="T932" t="str">
            <v>Functioning</v>
          </cell>
          <cell r="U932" t="str">
            <v>Asset</v>
          </cell>
          <cell r="V932">
            <v>54570</v>
          </cell>
          <cell r="W932" t="str">
            <v>KEW</v>
          </cell>
          <cell r="X932" t="str">
            <v>01/09/2010</v>
          </cell>
          <cell r="Y932" t="str">
            <v>KEW</v>
          </cell>
          <cell r="Z932" t="str">
            <v>16/08/2013</v>
          </cell>
          <cell r="AA932" t="str">
            <v>15/08/2015</v>
          </cell>
          <cell r="AB932" t="str">
            <v>No</v>
          </cell>
          <cell r="AC932" t="str">
            <v>31/08/2013</v>
          </cell>
          <cell r="AD932" t="str">
            <v>Good</v>
          </cell>
          <cell r="AE932" t="str">
            <v>V1 - Existing / No Claim</v>
          </cell>
          <cell r="AF932">
            <v>42235</v>
          </cell>
          <cell r="AG932">
            <v>9.17</v>
          </cell>
          <cell r="AH932" t="str">
            <v>PPM</v>
          </cell>
          <cell r="AI932" t="str">
            <v>Strands</v>
          </cell>
          <cell r="AJ932" t="str">
            <v>Strands PW</v>
          </cell>
          <cell r="AK932" t="str">
            <v>[25/11/2024]: SN Detector: 76594)</v>
          </cell>
        </row>
        <row r="933">
          <cell r="A933" t="str">
            <v>IKN400484</v>
          </cell>
          <cell r="B933">
            <v>484</v>
          </cell>
          <cell r="C933" t="str">
            <v>Institut Kanser Negara</v>
          </cell>
          <cell r="D933" t="str">
            <v>KKM/IKN/H/13/437</v>
          </cell>
          <cell r="E933" t="str">
            <v>18-147</v>
          </cell>
          <cell r="F933" t="str">
            <v>Mattress Systems, Alternating-Pressure</v>
          </cell>
          <cell r="G933" t="str">
            <v>WB</v>
          </cell>
          <cell r="H933" t="str">
            <v>SURGICAL ONCO MALE WARD</v>
          </cell>
          <cell r="I933" t="str">
            <v>05WB113</v>
          </cell>
          <cell r="J933" t="str">
            <v>EQUIP. ROOM</v>
          </cell>
          <cell r="K933" t="str">
            <v>BMED</v>
          </cell>
          <cell r="L933" t="str">
            <v>Normal</v>
          </cell>
          <cell r="M933" t="str">
            <v>Poland</v>
          </cell>
          <cell r="N933" t="str">
            <v>Nimbus</v>
          </cell>
          <cell r="O933" t="str">
            <v>Nimbus 3</v>
          </cell>
          <cell r="P933" t="str">
            <v>1200006463</v>
          </cell>
          <cell r="Q933" t="str">
            <v>Not Applicable</v>
          </cell>
          <cell r="R933" t="str">
            <v>Arjohuntleigh</v>
          </cell>
          <cell r="S933" t="str">
            <v>Hexamine Sdn. Bhd.</v>
          </cell>
          <cell r="T933" t="str">
            <v>Functioning</v>
          </cell>
          <cell r="U933" t="str">
            <v>Asset</v>
          </cell>
          <cell r="V933">
            <v>28630</v>
          </cell>
          <cell r="W933" t="str">
            <v>KEW</v>
          </cell>
          <cell r="X933" t="str">
            <v>01/09/2010</v>
          </cell>
          <cell r="Y933" t="str">
            <v>KEW</v>
          </cell>
          <cell r="Z933" t="str">
            <v>16/08/2013</v>
          </cell>
          <cell r="AA933" t="str">
            <v>15/08/2015</v>
          </cell>
          <cell r="AB933" t="str">
            <v>No</v>
          </cell>
          <cell r="AC933" t="str">
            <v>31/08/2013</v>
          </cell>
          <cell r="AD933" t="str">
            <v>Good</v>
          </cell>
          <cell r="AE933" t="str">
            <v>V1 - Existing / No Claim</v>
          </cell>
          <cell r="AF933">
            <v>42788</v>
          </cell>
          <cell r="AG933">
            <v>9.17</v>
          </cell>
          <cell r="AH933" t="str">
            <v>PPM</v>
          </cell>
          <cell r="AI933" t="str">
            <v>Strands</v>
          </cell>
          <cell r="AJ933" t="str">
            <v>Strands PW</v>
          </cell>
        </row>
        <row r="934">
          <cell r="A934" t="str">
            <v>IKN400485</v>
          </cell>
          <cell r="B934">
            <v>485</v>
          </cell>
          <cell r="C934" t="str">
            <v>Institut Kanser Negara</v>
          </cell>
          <cell r="D934" t="str">
            <v>KKM/IKN/H/13/2661</v>
          </cell>
          <cell r="E934" t="str">
            <v>10-134</v>
          </cell>
          <cell r="F934" t="str">
            <v>Anesthesia Units</v>
          </cell>
          <cell r="G934" t="str">
            <v>ID</v>
          </cell>
          <cell r="H934" t="str">
            <v>IMAGING DEPARTMENT</v>
          </cell>
          <cell r="I934" t="str">
            <v>03ID109</v>
          </cell>
          <cell r="J934" t="str">
            <v>INDUCTION</v>
          </cell>
          <cell r="K934" t="str">
            <v>BMED</v>
          </cell>
          <cell r="L934" t="str">
            <v>Normal</v>
          </cell>
          <cell r="M934" t="str">
            <v>Germany</v>
          </cell>
          <cell r="N934" t="str">
            <v>Fabius</v>
          </cell>
          <cell r="O934" t="str">
            <v>Fabius MRI</v>
          </cell>
          <cell r="P934" t="str">
            <v>ASDD-0149</v>
          </cell>
          <cell r="Q934" t="str">
            <v>Not Applicable</v>
          </cell>
          <cell r="R934" t="str">
            <v>Draegerwerk Ag</v>
          </cell>
          <cell r="S934" t="str">
            <v>Beau Consortium Sdn Bhd</v>
          </cell>
          <cell r="T934" t="str">
            <v>Functioning</v>
          </cell>
          <cell r="U934" t="str">
            <v>Asset</v>
          </cell>
          <cell r="V934">
            <v>312750</v>
          </cell>
          <cell r="W934" t="str">
            <v>KEW</v>
          </cell>
          <cell r="X934" t="str">
            <v>01/09/2010</v>
          </cell>
          <cell r="Y934" t="str">
            <v>KEW</v>
          </cell>
          <cell r="Z934" t="str">
            <v>16/08/2013</v>
          </cell>
          <cell r="AA934" t="str">
            <v>15/08/2015</v>
          </cell>
          <cell r="AB934" t="str">
            <v>No</v>
          </cell>
          <cell r="AC934" t="str">
            <v>31/08/2013</v>
          </cell>
          <cell r="AD934" t="str">
            <v>Good</v>
          </cell>
          <cell r="AE934" t="str">
            <v>V1 - Existing / No Claim</v>
          </cell>
          <cell r="AF934">
            <v>42235</v>
          </cell>
          <cell r="AG934">
            <v>9.17</v>
          </cell>
          <cell r="AH934" t="str">
            <v>PPM</v>
          </cell>
          <cell r="AI934" t="str">
            <v>Strands</v>
          </cell>
          <cell r="AJ934" t="str">
            <v>Strands PW</v>
          </cell>
        </row>
        <row r="935">
          <cell r="A935" t="str">
            <v>IKN400486</v>
          </cell>
          <cell r="B935">
            <v>486</v>
          </cell>
          <cell r="C935" t="str">
            <v>Institut Kanser Negara</v>
          </cell>
          <cell r="D935" t="str">
            <v>KKM/IKN/H/13/438</v>
          </cell>
          <cell r="E935" t="str">
            <v>18-147</v>
          </cell>
          <cell r="F935" t="str">
            <v>Mattress Systems, Alternating-Pressure</v>
          </cell>
          <cell r="G935" t="str">
            <v>WB</v>
          </cell>
          <cell r="H935" t="str">
            <v>SURGICAL ONCO MALE WARD</v>
          </cell>
          <cell r="I935" t="str">
            <v>05WB113</v>
          </cell>
          <cell r="J935" t="str">
            <v>EQUIP. ROOM</v>
          </cell>
          <cell r="K935" t="str">
            <v>BMED</v>
          </cell>
          <cell r="L935" t="str">
            <v>Normal</v>
          </cell>
          <cell r="M935" t="str">
            <v>Poland</v>
          </cell>
          <cell r="N935" t="str">
            <v>Nimbus</v>
          </cell>
          <cell r="O935" t="str">
            <v>Nimbus 3</v>
          </cell>
          <cell r="P935" t="str">
            <v>1200006477</v>
          </cell>
          <cell r="Q935" t="str">
            <v>Not Applicable</v>
          </cell>
          <cell r="R935" t="str">
            <v>Arjohuntleigh</v>
          </cell>
          <cell r="S935" t="str">
            <v>Hexamine Sdn. Bhd.</v>
          </cell>
          <cell r="T935" t="str">
            <v>Functioning</v>
          </cell>
          <cell r="U935" t="str">
            <v>Asset</v>
          </cell>
          <cell r="V935">
            <v>28630</v>
          </cell>
          <cell r="W935" t="str">
            <v>KEW</v>
          </cell>
          <cell r="X935" t="str">
            <v>01/09/2010</v>
          </cell>
          <cell r="Y935" t="str">
            <v>KEW</v>
          </cell>
          <cell r="Z935" t="str">
            <v>16/08/2013</v>
          </cell>
          <cell r="AA935" t="str">
            <v>15/08/2015</v>
          </cell>
          <cell r="AB935" t="str">
            <v>No</v>
          </cell>
          <cell r="AC935" t="str">
            <v>31/08/2013</v>
          </cell>
          <cell r="AD935" t="str">
            <v>Good</v>
          </cell>
          <cell r="AE935" t="str">
            <v>V1 - Existing / No Claim</v>
          </cell>
          <cell r="AF935">
            <v>42788</v>
          </cell>
          <cell r="AG935">
            <v>9.17</v>
          </cell>
          <cell r="AH935" t="str">
            <v>PPM</v>
          </cell>
          <cell r="AI935" t="str">
            <v>Strands</v>
          </cell>
          <cell r="AJ935" t="str">
            <v>Strands PW</v>
          </cell>
        </row>
        <row r="936">
          <cell r="A936" t="str">
            <v>IKN400487</v>
          </cell>
          <cell r="B936">
            <v>487</v>
          </cell>
          <cell r="C936" t="str">
            <v>Institut Kanser Negara</v>
          </cell>
          <cell r="D936" t="str">
            <v>KKM/IKN/H/13/441</v>
          </cell>
          <cell r="E936" t="str">
            <v>18-147</v>
          </cell>
          <cell r="F936" t="str">
            <v>Mattress Systems, Alternating-Pressure</v>
          </cell>
          <cell r="G936" t="str">
            <v>WB</v>
          </cell>
          <cell r="H936" t="str">
            <v>SURGICAL ONCO MALE WARD</v>
          </cell>
          <cell r="I936" t="str">
            <v>05WB113</v>
          </cell>
          <cell r="J936" t="str">
            <v>EQUIP. ROOM</v>
          </cell>
          <cell r="K936" t="str">
            <v>BMED</v>
          </cell>
          <cell r="L936" t="str">
            <v>Normal</v>
          </cell>
          <cell r="M936" t="str">
            <v>Poland</v>
          </cell>
          <cell r="N936" t="str">
            <v>Nimbus</v>
          </cell>
          <cell r="O936" t="str">
            <v>Nimbus 3</v>
          </cell>
          <cell r="P936" t="str">
            <v>1200006448</v>
          </cell>
          <cell r="Q936" t="str">
            <v>Not Applicable</v>
          </cell>
          <cell r="R936" t="str">
            <v>Arjohuntleigh</v>
          </cell>
          <cell r="S936" t="str">
            <v>Hexamine Sdn. Bhd.</v>
          </cell>
          <cell r="T936" t="str">
            <v>Functioning</v>
          </cell>
          <cell r="U936" t="str">
            <v>Asset</v>
          </cell>
          <cell r="V936">
            <v>28630</v>
          </cell>
          <cell r="W936" t="str">
            <v>KEW</v>
          </cell>
          <cell r="X936" t="str">
            <v>01/09/2010</v>
          </cell>
          <cell r="Y936" t="str">
            <v>KEW</v>
          </cell>
          <cell r="Z936" t="str">
            <v>16/08/2013</v>
          </cell>
          <cell r="AA936" t="str">
            <v>15/08/2015</v>
          </cell>
          <cell r="AB936" t="str">
            <v>No</v>
          </cell>
          <cell r="AC936" t="str">
            <v>31/08/2013</v>
          </cell>
          <cell r="AD936" t="str">
            <v>Good</v>
          </cell>
          <cell r="AE936" t="str">
            <v>V1 - Existing / No Claim</v>
          </cell>
          <cell r="AF936">
            <v>42788</v>
          </cell>
          <cell r="AG936">
            <v>9.17</v>
          </cell>
          <cell r="AH936" t="str">
            <v>PPM</v>
          </cell>
          <cell r="AI936" t="str">
            <v>Strands</v>
          </cell>
          <cell r="AJ936" t="str">
            <v>Strands PW</v>
          </cell>
        </row>
        <row r="937">
          <cell r="A937" t="str">
            <v>IKN400488</v>
          </cell>
          <cell r="B937">
            <v>488</v>
          </cell>
          <cell r="C937" t="str">
            <v>Institut Kanser Negara</v>
          </cell>
          <cell r="D937" t="str">
            <v>KKM/IKN/H/13/440</v>
          </cell>
          <cell r="E937" t="str">
            <v>18-147</v>
          </cell>
          <cell r="F937" t="str">
            <v>Mattress Systems, Alternating-Pressure</v>
          </cell>
          <cell r="G937" t="str">
            <v>WB</v>
          </cell>
          <cell r="H937" t="str">
            <v>SURGICAL ONCO MALE WARD</v>
          </cell>
          <cell r="I937" t="str">
            <v>05WB113</v>
          </cell>
          <cell r="J937" t="str">
            <v>EQUIP. ROOM</v>
          </cell>
          <cell r="K937" t="str">
            <v>BMED</v>
          </cell>
          <cell r="L937" t="str">
            <v>Normal</v>
          </cell>
          <cell r="M937" t="str">
            <v>Poland</v>
          </cell>
          <cell r="N937" t="str">
            <v>Nimbus</v>
          </cell>
          <cell r="O937" t="str">
            <v>Nimbus 3</v>
          </cell>
          <cell r="P937" t="str">
            <v>1100039129</v>
          </cell>
          <cell r="Q937" t="str">
            <v>Not Applicable</v>
          </cell>
          <cell r="R937" t="str">
            <v>Arjohuntleigh</v>
          </cell>
          <cell r="S937" t="str">
            <v>Hexamine Sdn. Bhd.</v>
          </cell>
          <cell r="T937" t="str">
            <v>Functioning</v>
          </cell>
          <cell r="U937" t="str">
            <v>Asset</v>
          </cell>
          <cell r="V937">
            <v>28630</v>
          </cell>
          <cell r="W937" t="str">
            <v>KEW</v>
          </cell>
          <cell r="X937" t="str">
            <v>01/09/2010</v>
          </cell>
          <cell r="Y937" t="str">
            <v>KEW</v>
          </cell>
          <cell r="Z937" t="str">
            <v>16/08/2013</v>
          </cell>
          <cell r="AA937" t="str">
            <v>15/08/2015</v>
          </cell>
          <cell r="AB937" t="str">
            <v>No</v>
          </cell>
          <cell r="AC937" t="str">
            <v>31/08/2013</v>
          </cell>
          <cell r="AD937" t="str">
            <v>Good</v>
          </cell>
          <cell r="AE937" t="str">
            <v>V1 - Existing / No Claim</v>
          </cell>
          <cell r="AF937">
            <v>42788</v>
          </cell>
          <cell r="AG937">
            <v>9.17</v>
          </cell>
          <cell r="AH937" t="str">
            <v>PPM</v>
          </cell>
          <cell r="AI937" t="str">
            <v>Strands</v>
          </cell>
          <cell r="AJ937" t="str">
            <v>Strands PW</v>
          </cell>
        </row>
        <row r="938">
          <cell r="A938" t="str">
            <v>IKN400489</v>
          </cell>
          <cell r="B938">
            <v>489</v>
          </cell>
          <cell r="C938" t="str">
            <v>Institut Kanser Negara</v>
          </cell>
          <cell r="D938" t="str">
            <v>KKM/IKN/H/13/443</v>
          </cell>
          <cell r="E938" t="str">
            <v>10-208</v>
          </cell>
          <cell r="F938" t="str">
            <v>Aspirators</v>
          </cell>
          <cell r="G938" t="str">
            <v>WB</v>
          </cell>
          <cell r="H938" t="str">
            <v>SURGICAL ONCO MALE WARD</v>
          </cell>
          <cell r="I938" t="str">
            <v>05WB113</v>
          </cell>
          <cell r="J938" t="str">
            <v>EQUIP. ROOM</v>
          </cell>
          <cell r="K938" t="str">
            <v>BMED</v>
          </cell>
          <cell r="L938" t="str">
            <v>Critical</v>
          </cell>
          <cell r="M938" t="str">
            <v>UK</v>
          </cell>
          <cell r="N938" t="str">
            <v>SAM</v>
          </cell>
          <cell r="O938" t="str">
            <v>SAM 427</v>
          </cell>
          <cell r="P938" t="str">
            <v>0313-0533</v>
          </cell>
          <cell r="Q938" t="str">
            <v>Not Applicable</v>
          </cell>
          <cell r="R938" t="str">
            <v>MG Electric Ltd</v>
          </cell>
          <cell r="S938" t="str">
            <v>Delta Medisains</v>
          </cell>
          <cell r="T938" t="str">
            <v>Functioning</v>
          </cell>
          <cell r="U938" t="str">
            <v>Asset</v>
          </cell>
          <cell r="V938">
            <v>10705</v>
          </cell>
          <cell r="W938" t="str">
            <v>KEW</v>
          </cell>
          <cell r="X938" t="str">
            <v>01/09/2010</v>
          </cell>
          <cell r="Y938" t="str">
            <v>KEW</v>
          </cell>
          <cell r="Z938" t="str">
            <v>16/08/2013</v>
          </cell>
          <cell r="AA938" t="str">
            <v>15/08/2015</v>
          </cell>
          <cell r="AB938" t="str">
            <v>No</v>
          </cell>
          <cell r="AC938" t="str">
            <v>31/08/2013</v>
          </cell>
          <cell r="AD938" t="str">
            <v>Good</v>
          </cell>
          <cell r="AE938" t="str">
            <v>V1 - Existing / No Claim</v>
          </cell>
          <cell r="AF938">
            <v>42788</v>
          </cell>
          <cell r="AG938">
            <v>9.17</v>
          </cell>
          <cell r="AH938" t="str">
            <v>PPM</v>
          </cell>
          <cell r="AI938" t="str">
            <v>Strands</v>
          </cell>
          <cell r="AJ938" t="str">
            <v>Strands PW</v>
          </cell>
        </row>
        <row r="939">
          <cell r="A939" t="str">
            <v>IKN400490</v>
          </cell>
          <cell r="B939">
            <v>490</v>
          </cell>
          <cell r="C939" t="str">
            <v>Institut Kanser Negara</v>
          </cell>
          <cell r="D939" t="str">
            <v>KKM/IKN/H/13/449</v>
          </cell>
          <cell r="E939" t="str">
            <v>12-647</v>
          </cell>
          <cell r="F939" t="str">
            <v>Physiologic Monitoring Systems, Acute Care</v>
          </cell>
          <cell r="G939" t="str">
            <v>WB</v>
          </cell>
          <cell r="H939" t="str">
            <v>SURGICAL ONCO MALE WARD</v>
          </cell>
          <cell r="I939" t="str">
            <v>05WB113</v>
          </cell>
          <cell r="J939" t="str">
            <v>EQUIP. ROOM</v>
          </cell>
          <cell r="K939" t="str">
            <v>BMED</v>
          </cell>
          <cell r="L939" t="str">
            <v>Critical</v>
          </cell>
          <cell r="M939" t="str">
            <v>USA</v>
          </cell>
          <cell r="N939" t="str">
            <v>GE</v>
          </cell>
          <cell r="O939" t="str">
            <v>GE B30</v>
          </cell>
          <cell r="P939" t="str">
            <v>SF312325914WA</v>
          </cell>
          <cell r="Q939" t="str">
            <v>Not Applicable</v>
          </cell>
          <cell r="R939" t="str">
            <v>GE Healthcare Systems</v>
          </cell>
          <cell r="S939" t="str">
            <v>GE Healthcare Technologies</v>
          </cell>
          <cell r="T939" t="str">
            <v>Functioning</v>
          </cell>
          <cell r="U939" t="str">
            <v>Asset</v>
          </cell>
          <cell r="V939">
            <v>44510</v>
          </cell>
          <cell r="W939" t="str">
            <v>KEW</v>
          </cell>
          <cell r="X939" t="str">
            <v>01/09/2010</v>
          </cell>
          <cell r="Y939" t="str">
            <v>KEW</v>
          </cell>
          <cell r="Z939" t="str">
            <v>16/08/2013</v>
          </cell>
          <cell r="AA939" t="str">
            <v>15/08/2015</v>
          </cell>
          <cell r="AB939" t="str">
            <v>No</v>
          </cell>
          <cell r="AC939" t="str">
            <v>31/08/2013</v>
          </cell>
          <cell r="AD939" t="str">
            <v>Good</v>
          </cell>
          <cell r="AE939" t="str">
            <v>V1 - Existing / No Claim</v>
          </cell>
          <cell r="AF939">
            <v>42788</v>
          </cell>
          <cell r="AG939">
            <v>9.17</v>
          </cell>
          <cell r="AH939" t="str">
            <v>PPM</v>
          </cell>
          <cell r="AI939" t="str">
            <v>Strands</v>
          </cell>
          <cell r="AJ939" t="str">
            <v>Strands PW</v>
          </cell>
        </row>
        <row r="940">
          <cell r="A940" t="str">
            <v>IKN400491</v>
          </cell>
          <cell r="B940">
            <v>491</v>
          </cell>
          <cell r="C940" t="str">
            <v>Institut Kanser Negara</v>
          </cell>
          <cell r="D940" t="str">
            <v>KKM/IKN/H/13/2378</v>
          </cell>
          <cell r="E940" t="str">
            <v>12-647</v>
          </cell>
          <cell r="F940" t="str">
            <v>Physiologic Monitoring Systems, Acute Care</v>
          </cell>
          <cell r="G940" t="str">
            <v>WB</v>
          </cell>
          <cell r="H940" t="str">
            <v>SURGICAL ONCO MALE WARD</v>
          </cell>
          <cell r="I940" t="str">
            <v>05WB113</v>
          </cell>
          <cell r="J940" t="str">
            <v>EQUIP. ROOM</v>
          </cell>
          <cell r="K940" t="str">
            <v>BMED</v>
          </cell>
          <cell r="L940" t="str">
            <v>Critical</v>
          </cell>
          <cell r="M940" t="str">
            <v>USA</v>
          </cell>
          <cell r="N940" t="str">
            <v>GE</v>
          </cell>
          <cell r="O940" t="str">
            <v>GE B30</v>
          </cell>
          <cell r="P940" t="str">
            <v>SF312325883WA</v>
          </cell>
          <cell r="Q940" t="str">
            <v>Not Applicable</v>
          </cell>
          <cell r="R940" t="str">
            <v>GE Healthcare Systems</v>
          </cell>
          <cell r="S940" t="str">
            <v>GE Healthcare Technologies</v>
          </cell>
          <cell r="T940" t="str">
            <v>Functioning</v>
          </cell>
          <cell r="U940" t="str">
            <v>Asset</v>
          </cell>
          <cell r="V940">
            <v>44510</v>
          </cell>
          <cell r="W940" t="str">
            <v>KEW</v>
          </cell>
          <cell r="X940" t="str">
            <v>01/09/2010</v>
          </cell>
          <cell r="Y940" t="str">
            <v>KEW</v>
          </cell>
          <cell r="Z940" t="str">
            <v>16/08/2013</v>
          </cell>
          <cell r="AA940" t="str">
            <v>15/08/2015</v>
          </cell>
          <cell r="AB940" t="str">
            <v>No</v>
          </cell>
          <cell r="AC940" t="str">
            <v>31/08/2013</v>
          </cell>
          <cell r="AD940" t="str">
            <v>Good</v>
          </cell>
          <cell r="AE940" t="str">
            <v>V1 - Existing / No Claim</v>
          </cell>
          <cell r="AF940">
            <v>42788</v>
          </cell>
          <cell r="AG940">
            <v>9.17</v>
          </cell>
          <cell r="AH940" t="str">
            <v>PPM</v>
          </cell>
          <cell r="AI940" t="str">
            <v>Strands</v>
          </cell>
          <cell r="AJ940" t="str">
            <v>Strands PW</v>
          </cell>
        </row>
        <row r="941">
          <cell r="A941" t="str">
            <v>IKN400492</v>
          </cell>
          <cell r="B941">
            <v>492</v>
          </cell>
          <cell r="C941" t="str">
            <v>Institut Kanser Negara</v>
          </cell>
          <cell r="D941" t="str">
            <v>KKM/IKN/H/13/3104</v>
          </cell>
          <cell r="E941" t="str">
            <v>18-449</v>
          </cell>
          <cell r="F941" t="str">
            <v>Balances, Electronic, Analytical</v>
          </cell>
          <cell r="G941" t="str">
            <v>NM</v>
          </cell>
          <cell r="H941" t="str">
            <v>NUCLEAR MED (DIAGNOSTIC)</v>
          </cell>
          <cell r="I941" t="str">
            <v>03NM142</v>
          </cell>
          <cell r="J941" t="str">
            <v>INJECTION ROOM 2 (-VE)</v>
          </cell>
          <cell r="K941" t="str">
            <v>BMED</v>
          </cell>
          <cell r="L941" t="str">
            <v>Normal</v>
          </cell>
          <cell r="M941" t="str">
            <v>Germany</v>
          </cell>
          <cell r="N941" t="str">
            <v>Sartorius</v>
          </cell>
          <cell r="O941" t="str">
            <v>Sartorius CPA225D</v>
          </cell>
          <cell r="P941" t="str">
            <v>28103547</v>
          </cell>
          <cell r="Q941" t="str">
            <v>Not Applicable</v>
          </cell>
          <cell r="R941" t="str">
            <v>Sartorius AG</v>
          </cell>
          <cell r="S941" t="str">
            <v>Chemopharm Sd. Bhd.</v>
          </cell>
          <cell r="T941" t="str">
            <v>Functioning</v>
          </cell>
          <cell r="U941" t="str">
            <v>Asset</v>
          </cell>
          <cell r="V941">
            <v>6250</v>
          </cell>
          <cell r="W941" t="str">
            <v>KEW</v>
          </cell>
          <cell r="X941" t="str">
            <v>01/09/2010</v>
          </cell>
          <cell r="Y941" t="str">
            <v>KEW</v>
          </cell>
          <cell r="Z941" t="str">
            <v>16/08/2013</v>
          </cell>
          <cell r="AA941" t="str">
            <v>15/08/2015</v>
          </cell>
          <cell r="AB941" t="str">
            <v>No</v>
          </cell>
          <cell r="AC941" t="str">
            <v>31/08/2013</v>
          </cell>
          <cell r="AD941" t="str">
            <v>Good</v>
          </cell>
          <cell r="AE941" t="str">
            <v>V1 - Existing / No Claim</v>
          </cell>
          <cell r="AF941">
            <v>42235</v>
          </cell>
          <cell r="AG941">
            <v>9.17</v>
          </cell>
          <cell r="AH941" t="str">
            <v>PPM</v>
          </cell>
          <cell r="AI941" t="str">
            <v>Strands</v>
          </cell>
          <cell r="AJ941" t="str">
            <v>Strands PW</v>
          </cell>
        </row>
        <row r="942">
          <cell r="A942" t="str">
            <v>IKN400493</v>
          </cell>
          <cell r="B942">
            <v>493</v>
          </cell>
          <cell r="C942" t="str">
            <v>Institut Kanser Negara</v>
          </cell>
          <cell r="D942" t="str">
            <v>KKM/IKN/H/13/446</v>
          </cell>
          <cell r="E942" t="str">
            <v>11-134</v>
          </cell>
          <cell r="F942" t="str">
            <v>Defibrillators, External, Manual</v>
          </cell>
          <cell r="G942" t="str">
            <v>WB</v>
          </cell>
          <cell r="H942" t="str">
            <v>SURGICAL ONCO MALE WARD</v>
          </cell>
          <cell r="I942" t="str">
            <v>05WB133</v>
          </cell>
          <cell r="J942" t="str">
            <v>RESUS EQ. BAY</v>
          </cell>
          <cell r="K942" t="str">
            <v>BMED</v>
          </cell>
          <cell r="L942" t="str">
            <v>Critical</v>
          </cell>
          <cell r="M942" t="str">
            <v>USA</v>
          </cell>
          <cell r="N942" t="str">
            <v>Responder</v>
          </cell>
          <cell r="O942" t="str">
            <v>Responder 2000</v>
          </cell>
          <cell r="P942" t="str">
            <v>3206702</v>
          </cell>
          <cell r="Q942" t="str">
            <v>Not Applicable</v>
          </cell>
          <cell r="R942" t="str">
            <v>GE Medical Systems</v>
          </cell>
          <cell r="S942" t="str">
            <v>Antah Sir Radin Sdn. Bhd.</v>
          </cell>
          <cell r="T942" t="str">
            <v>Functioning</v>
          </cell>
          <cell r="U942" t="str">
            <v>Asset</v>
          </cell>
          <cell r="V942">
            <v>45000</v>
          </cell>
          <cell r="W942" t="str">
            <v>Estimate</v>
          </cell>
          <cell r="X942" t="str">
            <v>01/09/2010</v>
          </cell>
          <cell r="Y942" t="str">
            <v>KEW</v>
          </cell>
          <cell r="Z942" t="str">
            <v>16/08/2013</v>
          </cell>
          <cell r="AA942" t="str">
            <v>15/08/2015</v>
          </cell>
          <cell r="AB942" t="str">
            <v>No</v>
          </cell>
          <cell r="AC942" t="str">
            <v>31/08/2013</v>
          </cell>
          <cell r="AD942" t="str">
            <v>Good</v>
          </cell>
          <cell r="AE942" t="str">
            <v>V1 - Existing / No Claim</v>
          </cell>
          <cell r="AF942">
            <v>42601</v>
          </cell>
          <cell r="AG942">
            <v>9.17</v>
          </cell>
          <cell r="AH942" t="str">
            <v>PPM</v>
          </cell>
          <cell r="AI942" t="str">
            <v>Strands</v>
          </cell>
          <cell r="AJ942" t="str">
            <v>Strands PW</v>
          </cell>
          <cell r="AK942" t="str">
            <v>Crash Trolley (FEMS)</v>
          </cell>
        </row>
        <row r="943">
          <cell r="A943" t="str">
            <v>IKN400494</v>
          </cell>
          <cell r="B943">
            <v>494</v>
          </cell>
          <cell r="C943" t="str">
            <v>Institut Kanser Negara</v>
          </cell>
          <cell r="D943" t="str">
            <v>KKM/IKN/H/13/3133</v>
          </cell>
          <cell r="E943" t="str">
            <v>16-173</v>
          </cell>
          <cell r="F943" t="str">
            <v>Sphygmomanometers, Electronic, Automatic</v>
          </cell>
          <cell r="G943" t="str">
            <v>WB</v>
          </cell>
          <cell r="H943" t="str">
            <v>SURGICAL ONCO MALE WARD</v>
          </cell>
          <cell r="I943" t="str">
            <v>05WB143</v>
          </cell>
          <cell r="J943" t="str">
            <v>NURSES STATION</v>
          </cell>
          <cell r="K943" t="str">
            <v>BMED</v>
          </cell>
          <cell r="L943" t="str">
            <v>Critical</v>
          </cell>
          <cell r="M943" t="str">
            <v>USA</v>
          </cell>
          <cell r="N943" t="str">
            <v>Connex</v>
          </cell>
          <cell r="O943" t="str">
            <v>Connex ProBP 3400</v>
          </cell>
          <cell r="P943" t="str">
            <v>100001500613</v>
          </cell>
          <cell r="Q943" t="str">
            <v>Not Applicable</v>
          </cell>
          <cell r="R943" t="str">
            <v>Welch Allyn Inc</v>
          </cell>
          <cell r="S943" t="str">
            <v>Welch Allyn Malaysia Sdn Bhd</v>
          </cell>
          <cell r="T943" t="str">
            <v>Functioning</v>
          </cell>
          <cell r="U943" t="str">
            <v>Asset</v>
          </cell>
          <cell r="V943">
            <v>4510</v>
          </cell>
          <cell r="W943" t="str">
            <v>KEW</v>
          </cell>
          <cell r="X943" t="str">
            <v>01/09/2010</v>
          </cell>
          <cell r="Y943" t="str">
            <v>KEW</v>
          </cell>
          <cell r="Z943" t="str">
            <v>16/08/2013</v>
          </cell>
          <cell r="AA943" t="str">
            <v>15/08/2015</v>
          </cell>
          <cell r="AB943" t="str">
            <v>No</v>
          </cell>
          <cell r="AC943" t="str">
            <v>31/08/2013</v>
          </cell>
          <cell r="AD943" t="str">
            <v>Good</v>
          </cell>
          <cell r="AE943" t="str">
            <v>V1 - Existing / No Claim</v>
          </cell>
          <cell r="AF943">
            <v>42788</v>
          </cell>
          <cell r="AG943">
            <v>9.17</v>
          </cell>
          <cell r="AH943" t="str">
            <v>PPM</v>
          </cell>
          <cell r="AI943" t="str">
            <v>Strands</v>
          </cell>
          <cell r="AJ943" t="str">
            <v>Strands PW</v>
          </cell>
        </row>
        <row r="944">
          <cell r="A944" t="str">
            <v>IKN400495</v>
          </cell>
          <cell r="B944">
            <v>495</v>
          </cell>
          <cell r="C944" t="str">
            <v>Institut Kanser Negara</v>
          </cell>
          <cell r="D944" t="str">
            <v>KKM/IKN/H/13/3134</v>
          </cell>
          <cell r="E944" t="str">
            <v>16-173</v>
          </cell>
          <cell r="F944" t="str">
            <v>Sphygmomanometers, Electronic, Automatic</v>
          </cell>
          <cell r="G944" t="str">
            <v>WB</v>
          </cell>
          <cell r="H944" t="str">
            <v>SURGICAL ONCO MALE WARD</v>
          </cell>
          <cell r="I944" t="str">
            <v>05WB143</v>
          </cell>
          <cell r="J944" t="str">
            <v>NURSES STATION</v>
          </cell>
          <cell r="K944" t="str">
            <v>BMED</v>
          </cell>
          <cell r="L944" t="str">
            <v>Normal</v>
          </cell>
          <cell r="M944" t="str">
            <v>USA</v>
          </cell>
          <cell r="N944" t="str">
            <v>Connex</v>
          </cell>
          <cell r="O944" t="str">
            <v>Connex ProBP 3400</v>
          </cell>
          <cell r="P944" t="str">
            <v>100001790613</v>
          </cell>
          <cell r="Q944" t="str">
            <v>Not Applicable</v>
          </cell>
          <cell r="R944" t="str">
            <v>Welch Allyn Inc</v>
          </cell>
          <cell r="S944" t="str">
            <v>Welch Allyn Malaysia Sdn Bhd</v>
          </cell>
          <cell r="T944" t="str">
            <v>Functioning</v>
          </cell>
          <cell r="U944" t="str">
            <v>Asset</v>
          </cell>
          <cell r="V944">
            <v>4510</v>
          </cell>
          <cell r="W944" t="str">
            <v>KEW</v>
          </cell>
          <cell r="X944" t="str">
            <v>01/09/2010</v>
          </cell>
          <cell r="Y944" t="str">
            <v>KEW</v>
          </cell>
          <cell r="Z944" t="str">
            <v>16/08/2013</v>
          </cell>
          <cell r="AA944" t="str">
            <v>15/08/2015</v>
          </cell>
          <cell r="AB944" t="str">
            <v>No</v>
          </cell>
          <cell r="AC944" t="str">
            <v>31/08/2013</v>
          </cell>
          <cell r="AD944" t="str">
            <v>Good</v>
          </cell>
          <cell r="AE944" t="str">
            <v>V1 - Existing / No Claim</v>
          </cell>
          <cell r="AF944">
            <v>42235</v>
          </cell>
          <cell r="AG944">
            <v>9.17</v>
          </cell>
          <cell r="AH944" t="str">
            <v>PPM</v>
          </cell>
          <cell r="AI944" t="str">
            <v>Strands</v>
          </cell>
          <cell r="AJ944" t="str">
            <v>Strands PW</v>
          </cell>
        </row>
        <row r="945">
          <cell r="A945" t="str">
            <v>IKN400496</v>
          </cell>
          <cell r="B945">
            <v>496</v>
          </cell>
          <cell r="C945" t="str">
            <v>Institut Kanser Negara</v>
          </cell>
          <cell r="D945" t="e">
            <v>#N/A</v>
          </cell>
          <cell r="E945" t="str">
            <v>12-660</v>
          </cell>
          <cell r="F945" t="str">
            <v>Radiation Monitors</v>
          </cell>
          <cell r="G945" t="str">
            <v>NM</v>
          </cell>
          <cell r="H945" t="str">
            <v>NUCLEAR MED (DIAGNOSTIC)</v>
          </cell>
          <cell r="I945" t="str">
            <v>03NM164</v>
          </cell>
          <cell r="J945" t="str">
            <v>GAMMA CAMERA 2 (-VE)</v>
          </cell>
          <cell r="K945" t="str">
            <v>BMED</v>
          </cell>
          <cell r="L945" t="str">
            <v>Normal</v>
          </cell>
          <cell r="M945" t="str">
            <v>USA</v>
          </cell>
          <cell r="N945" t="str">
            <v>Ludlum</v>
          </cell>
          <cell r="O945" t="str">
            <v>Ludlum 375</v>
          </cell>
          <cell r="P945">
            <v>294469</v>
          </cell>
          <cell r="Q945" t="str">
            <v>Not Applicable</v>
          </cell>
          <cell r="R945" t="str">
            <v>Ludlum Measurements Inc</v>
          </cell>
          <cell r="S945" t="str">
            <v>Advance Altimas Sdn Bhd</v>
          </cell>
          <cell r="T945" t="str">
            <v>Functioning</v>
          </cell>
          <cell r="U945" t="str">
            <v>Asset</v>
          </cell>
          <cell r="V945">
            <v>25000</v>
          </cell>
          <cell r="W945" t="str">
            <v>Estimate</v>
          </cell>
          <cell r="X945" t="str">
            <v>01/09/2010</v>
          </cell>
          <cell r="Y945" t="str">
            <v>KEW</v>
          </cell>
          <cell r="Z945" t="str">
            <v>16/08/2013</v>
          </cell>
          <cell r="AA945" t="str">
            <v>15/08/2015</v>
          </cell>
          <cell r="AB945" t="str">
            <v>No</v>
          </cell>
          <cell r="AC945" t="str">
            <v>31/08/2013</v>
          </cell>
          <cell r="AD945" t="str">
            <v>Good</v>
          </cell>
          <cell r="AE945" t="str">
            <v>V1 - Existing / No Claim</v>
          </cell>
          <cell r="AF945">
            <v>42601</v>
          </cell>
          <cell r="AG945">
            <v>9.17</v>
          </cell>
          <cell r="AH945" t="str">
            <v>PPM</v>
          </cell>
          <cell r="AI945" t="str">
            <v>package</v>
          </cell>
          <cell r="AJ945" t="str">
            <v>PACKAGE XK0001B</v>
          </cell>
        </row>
        <row r="946">
          <cell r="A946" t="str">
            <v>IKN400497</v>
          </cell>
          <cell r="B946">
            <v>497</v>
          </cell>
          <cell r="C946" t="str">
            <v>Institut Kanser Negara</v>
          </cell>
          <cell r="D946" t="str">
            <v>KKM/IKN/H/13/357</v>
          </cell>
          <cell r="E946" t="str">
            <v>12-873</v>
          </cell>
          <cell r="F946" t="str">
            <v>Concentrators, Oxygen</v>
          </cell>
          <cell r="G946" t="str">
            <v>PC</v>
          </cell>
          <cell r="H946" t="str">
            <v>PALLIATIVE CARE UNIT</v>
          </cell>
          <cell r="I946" t="str">
            <v>04PC109</v>
          </cell>
          <cell r="J946" t="str">
            <v>GEN. STORE</v>
          </cell>
          <cell r="K946" t="str">
            <v>BMED</v>
          </cell>
          <cell r="L946" t="str">
            <v>Critical</v>
          </cell>
          <cell r="M946" t="str">
            <v>USA</v>
          </cell>
          <cell r="N946" t="str">
            <v>EverFlo</v>
          </cell>
          <cell r="O946" t="str">
            <v>EverFlo</v>
          </cell>
          <cell r="P946" t="str">
            <v>14755</v>
          </cell>
          <cell r="Q946" t="str">
            <v>Not Applicable</v>
          </cell>
          <cell r="R946" t="str">
            <v>Respironics</v>
          </cell>
          <cell r="S946" t="str">
            <v>Goodlabs Medical (M) Sdn. Bhd.</v>
          </cell>
          <cell r="T946" t="str">
            <v>Functioning</v>
          </cell>
          <cell r="U946" t="str">
            <v>Asset</v>
          </cell>
          <cell r="V946">
            <v>5773</v>
          </cell>
          <cell r="W946" t="str">
            <v>KEW</v>
          </cell>
          <cell r="X946" t="str">
            <v>01/09/2010</v>
          </cell>
          <cell r="Y946" t="str">
            <v>KEW</v>
          </cell>
          <cell r="Z946" t="str">
            <v>16/08/2013</v>
          </cell>
          <cell r="AA946" t="str">
            <v>15/08/2015</v>
          </cell>
          <cell r="AB946" t="str">
            <v>No</v>
          </cell>
          <cell r="AC946" t="str">
            <v>31/08/2013</v>
          </cell>
          <cell r="AD946" t="str">
            <v>Good</v>
          </cell>
          <cell r="AE946" t="str">
            <v>V1 - Existing / No Claim</v>
          </cell>
          <cell r="AF946">
            <v>42797</v>
          </cell>
          <cell r="AG946">
            <v>9.17</v>
          </cell>
          <cell r="AH946" t="str">
            <v>PPM</v>
          </cell>
          <cell r="AI946" t="str">
            <v>Strands</v>
          </cell>
          <cell r="AJ946" t="str">
            <v>Strands PW</v>
          </cell>
        </row>
        <row r="947">
          <cell r="A947" t="str">
            <v>IKN400498</v>
          </cell>
          <cell r="B947">
            <v>498</v>
          </cell>
          <cell r="C947" t="str">
            <v>Institut Kanser Negara</v>
          </cell>
          <cell r="D947" t="str">
            <v>KKM/IKN/H/13/345</v>
          </cell>
          <cell r="E947" t="str">
            <v>12-873</v>
          </cell>
          <cell r="F947" t="str">
            <v>Concentrators, Oxygen</v>
          </cell>
          <cell r="G947" t="str">
            <v>PC</v>
          </cell>
          <cell r="H947" t="str">
            <v>PALLIATIVE CARE UNIT</v>
          </cell>
          <cell r="I947" t="str">
            <v>04PC109</v>
          </cell>
          <cell r="J947" t="str">
            <v>GEN. STORE</v>
          </cell>
          <cell r="K947" t="str">
            <v>BMED</v>
          </cell>
          <cell r="L947" t="str">
            <v>Normal</v>
          </cell>
          <cell r="M947" t="str">
            <v>USA</v>
          </cell>
          <cell r="N947" t="str">
            <v>EverFlo</v>
          </cell>
          <cell r="O947" t="str">
            <v>EverFlo</v>
          </cell>
          <cell r="P947" t="str">
            <v>15034</v>
          </cell>
          <cell r="Q947" t="str">
            <v>Not Applicable</v>
          </cell>
          <cell r="R947" t="str">
            <v>Respironics</v>
          </cell>
          <cell r="S947" t="str">
            <v>Goodlabs Medical (M) Sdn. Bhd.</v>
          </cell>
          <cell r="T947" t="str">
            <v>Functioning</v>
          </cell>
          <cell r="U947" t="str">
            <v>Asset</v>
          </cell>
          <cell r="V947">
            <v>5773</v>
          </cell>
          <cell r="W947" t="str">
            <v>KEW</v>
          </cell>
          <cell r="X947" t="str">
            <v>01/09/2010</v>
          </cell>
          <cell r="Y947" t="str">
            <v>KEW</v>
          </cell>
          <cell r="Z947" t="str">
            <v>16/08/2013</v>
          </cell>
          <cell r="AA947" t="str">
            <v>15/08/2015</v>
          </cell>
          <cell r="AB947" t="str">
            <v>No</v>
          </cell>
          <cell r="AC947" t="str">
            <v>31/08/2013</v>
          </cell>
          <cell r="AD947" t="str">
            <v>Good</v>
          </cell>
          <cell r="AE947" t="str">
            <v>V1 - Existing / No Claim</v>
          </cell>
          <cell r="AF947">
            <v>42235</v>
          </cell>
          <cell r="AG947">
            <v>9.17</v>
          </cell>
          <cell r="AH947" t="str">
            <v>PPM</v>
          </cell>
          <cell r="AI947" t="str">
            <v>Strands</v>
          </cell>
          <cell r="AJ947" t="str">
            <v>Strands PW</v>
          </cell>
        </row>
        <row r="948">
          <cell r="A948" t="str">
            <v>IKN400499</v>
          </cell>
          <cell r="B948">
            <v>499</v>
          </cell>
          <cell r="C948" t="str">
            <v>Institut Kanser Negara</v>
          </cell>
          <cell r="D948" t="str">
            <v>KKM/IKN/H/13/346</v>
          </cell>
          <cell r="E948" t="str">
            <v>12-873</v>
          </cell>
          <cell r="F948" t="str">
            <v>Concentrators, Oxygen</v>
          </cell>
          <cell r="G948" t="str">
            <v>PC</v>
          </cell>
          <cell r="H948" t="str">
            <v>PALLIATIVE CARE UNIT</v>
          </cell>
          <cell r="I948" t="str">
            <v>04PC109</v>
          </cell>
          <cell r="J948" t="str">
            <v>GEN. STORE</v>
          </cell>
          <cell r="K948" t="str">
            <v>BMED</v>
          </cell>
          <cell r="L948" t="str">
            <v>Critical</v>
          </cell>
          <cell r="M948" t="str">
            <v>USA</v>
          </cell>
          <cell r="N948" t="str">
            <v>EverFlo</v>
          </cell>
          <cell r="O948" t="str">
            <v>EverFlo</v>
          </cell>
          <cell r="P948" t="str">
            <v>0015036</v>
          </cell>
          <cell r="Q948" t="str">
            <v>Not Applicable</v>
          </cell>
          <cell r="R948" t="str">
            <v>Respironics</v>
          </cell>
          <cell r="S948" t="str">
            <v>Goodlabs Medical (M) Sdn. Bhd.</v>
          </cell>
          <cell r="T948" t="str">
            <v>Functioning</v>
          </cell>
          <cell r="U948" t="str">
            <v>Asset</v>
          </cell>
          <cell r="V948">
            <v>5773</v>
          </cell>
          <cell r="W948" t="str">
            <v>KEW</v>
          </cell>
          <cell r="X948" t="str">
            <v>01/09/2010</v>
          </cell>
          <cell r="Y948" t="str">
            <v>KEW</v>
          </cell>
          <cell r="Z948" t="str">
            <v>16/08/2013</v>
          </cell>
          <cell r="AA948" t="str">
            <v>15/08/2015</v>
          </cell>
          <cell r="AB948" t="str">
            <v>No</v>
          </cell>
          <cell r="AC948" t="str">
            <v>31/08/2013</v>
          </cell>
          <cell r="AD948" t="str">
            <v>Good</v>
          </cell>
          <cell r="AE948" t="str">
            <v>V1 - Existing / No Claim</v>
          </cell>
          <cell r="AF948">
            <v>43005</v>
          </cell>
          <cell r="AG948">
            <v>9.17</v>
          </cell>
          <cell r="AH948" t="str">
            <v>PPM</v>
          </cell>
          <cell r="AI948" t="str">
            <v>Strands</v>
          </cell>
          <cell r="AJ948" t="str">
            <v>Strands PW</v>
          </cell>
        </row>
        <row r="949">
          <cell r="A949" t="str">
            <v>IKN400500</v>
          </cell>
          <cell r="B949">
            <v>500</v>
          </cell>
          <cell r="C949" t="str">
            <v>Institut Kanser Negara</v>
          </cell>
          <cell r="D949" t="str">
            <v>KKM/IKN/H/13/344</v>
          </cell>
          <cell r="E949" t="str">
            <v>12-873</v>
          </cell>
          <cell r="F949" t="str">
            <v>Concentrators, Oxygen</v>
          </cell>
          <cell r="G949" t="str">
            <v>PC</v>
          </cell>
          <cell r="H949" t="str">
            <v>PALLIATIVE CARE UNIT</v>
          </cell>
          <cell r="I949" t="str">
            <v>04PC109</v>
          </cell>
          <cell r="J949" t="str">
            <v>GEN. STORE</v>
          </cell>
          <cell r="K949" t="str">
            <v>BMED</v>
          </cell>
          <cell r="L949" t="str">
            <v>Normal</v>
          </cell>
          <cell r="M949" t="str">
            <v>USA</v>
          </cell>
          <cell r="N949" t="str">
            <v>EverFlo</v>
          </cell>
          <cell r="O949" t="str">
            <v>EverFlo</v>
          </cell>
          <cell r="P949" t="str">
            <v>15032</v>
          </cell>
          <cell r="Q949" t="str">
            <v>Not Applicable</v>
          </cell>
          <cell r="R949" t="str">
            <v>Respironics</v>
          </cell>
          <cell r="S949" t="str">
            <v>Goodlabs Medical (M) Sdn. Bhd.</v>
          </cell>
          <cell r="T949" t="str">
            <v>Functioning</v>
          </cell>
          <cell r="U949" t="str">
            <v>Asset</v>
          </cell>
          <cell r="V949">
            <v>5773</v>
          </cell>
          <cell r="W949" t="str">
            <v>KEW</v>
          </cell>
          <cell r="X949" t="str">
            <v>01/09/2010</v>
          </cell>
          <cell r="Y949" t="str">
            <v>KEW</v>
          </cell>
          <cell r="Z949" t="str">
            <v>16/08/2013</v>
          </cell>
          <cell r="AA949" t="str">
            <v>15/08/2015</v>
          </cell>
          <cell r="AB949" t="str">
            <v>No</v>
          </cell>
          <cell r="AC949" t="str">
            <v>31/08/2013</v>
          </cell>
          <cell r="AD949" t="str">
            <v>Good</v>
          </cell>
          <cell r="AE949" t="str">
            <v>V1 - Existing / No Claim</v>
          </cell>
          <cell r="AF949">
            <v>42235</v>
          </cell>
          <cell r="AG949">
            <v>9.17</v>
          </cell>
          <cell r="AH949" t="str">
            <v>PPM</v>
          </cell>
          <cell r="AI949" t="str">
            <v>Strands</v>
          </cell>
          <cell r="AJ949" t="str">
            <v>Strands PW</v>
          </cell>
        </row>
        <row r="950">
          <cell r="A950" t="str">
            <v>IKN400501</v>
          </cell>
          <cell r="B950">
            <v>501</v>
          </cell>
          <cell r="C950" t="str">
            <v>Institut Kanser Negara</v>
          </cell>
          <cell r="D950" t="str">
            <v>KKM/IKN/H/13/343</v>
          </cell>
          <cell r="E950" t="str">
            <v>12-873</v>
          </cell>
          <cell r="F950" t="str">
            <v>Concentrators, Oxygen</v>
          </cell>
          <cell r="G950" t="str">
            <v>PC</v>
          </cell>
          <cell r="H950" t="str">
            <v>PALLIATIVE CARE UNIT</v>
          </cell>
          <cell r="I950" t="str">
            <v>04PC109</v>
          </cell>
          <cell r="J950" t="str">
            <v>GEN. STORE</v>
          </cell>
          <cell r="K950" t="str">
            <v>BMED</v>
          </cell>
          <cell r="L950" t="str">
            <v>Critical</v>
          </cell>
          <cell r="M950" t="str">
            <v>USA</v>
          </cell>
          <cell r="N950" t="str">
            <v>EverFlo</v>
          </cell>
          <cell r="O950" t="str">
            <v>EverFlo</v>
          </cell>
          <cell r="P950" t="str">
            <v>15058</v>
          </cell>
          <cell r="Q950" t="str">
            <v>Not Applicable</v>
          </cell>
          <cell r="R950" t="str">
            <v>Respironics</v>
          </cell>
          <cell r="S950" t="str">
            <v>Goodlabs Medical (M) Sdn. Bhd.</v>
          </cell>
          <cell r="T950" t="str">
            <v>Functioning</v>
          </cell>
          <cell r="U950" t="str">
            <v>Asset</v>
          </cell>
          <cell r="V950">
            <v>5773</v>
          </cell>
          <cell r="W950" t="str">
            <v>KEW</v>
          </cell>
          <cell r="X950" t="str">
            <v>01/09/2010</v>
          </cell>
          <cell r="Y950" t="str">
            <v>KEW</v>
          </cell>
          <cell r="Z950" t="str">
            <v>16/08/2013</v>
          </cell>
          <cell r="AA950" t="str">
            <v>15/08/2015</v>
          </cell>
          <cell r="AB950" t="str">
            <v>No</v>
          </cell>
          <cell r="AC950" t="str">
            <v>31/08/2013</v>
          </cell>
          <cell r="AD950" t="str">
            <v>Good</v>
          </cell>
          <cell r="AE950" t="str">
            <v>V1 - Existing / No Claim</v>
          </cell>
          <cell r="AF950">
            <v>42797</v>
          </cell>
          <cell r="AG950">
            <v>9.17</v>
          </cell>
          <cell r="AH950" t="str">
            <v>PPM</v>
          </cell>
          <cell r="AI950" t="str">
            <v>Strands</v>
          </cell>
          <cell r="AJ950" t="str">
            <v>Strands PW</v>
          </cell>
        </row>
        <row r="951">
          <cell r="A951" t="str">
            <v>IKN400502</v>
          </cell>
          <cell r="B951">
            <v>502</v>
          </cell>
          <cell r="C951" t="str">
            <v>Institut Kanser Negara</v>
          </cell>
          <cell r="D951" t="str">
            <v>KKM/IKN/H/13/1122</v>
          </cell>
          <cell r="E951" t="str">
            <v>17-429</v>
          </cell>
          <cell r="F951" t="str">
            <v>Ventilators, Intensive Care</v>
          </cell>
          <cell r="G951" t="str">
            <v>IC</v>
          </cell>
          <cell r="H951" t="str">
            <v>INTENSIVE CARE UNIT</v>
          </cell>
          <cell r="I951" t="str">
            <v>05IC113</v>
          </cell>
          <cell r="J951" t="str">
            <v>ICU RM 2</v>
          </cell>
          <cell r="K951" t="str">
            <v>BMED</v>
          </cell>
          <cell r="L951" t="str">
            <v>Normal</v>
          </cell>
          <cell r="M951" t="str">
            <v>Germany</v>
          </cell>
          <cell r="N951" t="str">
            <v>Evita</v>
          </cell>
          <cell r="O951" t="str">
            <v>Evita XL</v>
          </cell>
          <cell r="P951" t="str">
            <v>ASDD-0073</v>
          </cell>
          <cell r="Q951" t="str">
            <v>Not Applicable</v>
          </cell>
          <cell r="R951" t="str">
            <v>Drager Medical GmbH</v>
          </cell>
          <cell r="S951" t="str">
            <v>Beau Consortium Sdn Bhd</v>
          </cell>
          <cell r="T951" t="str">
            <v>Functioning</v>
          </cell>
          <cell r="U951" t="str">
            <v>Asset</v>
          </cell>
          <cell r="V951">
            <v>151560</v>
          </cell>
          <cell r="W951" t="str">
            <v>KEW</v>
          </cell>
          <cell r="X951" t="str">
            <v>01/09/2010</v>
          </cell>
          <cell r="Y951" t="str">
            <v>KEW</v>
          </cell>
          <cell r="Z951" t="str">
            <v>16/08/2013</v>
          </cell>
          <cell r="AA951" t="str">
            <v>15/08/2015</v>
          </cell>
          <cell r="AB951" t="str">
            <v>No</v>
          </cell>
          <cell r="AC951" t="str">
            <v>31/08/2013</v>
          </cell>
          <cell r="AD951" t="str">
            <v>Good</v>
          </cell>
          <cell r="AE951" t="str">
            <v>V1 - Existing / No Claim</v>
          </cell>
          <cell r="AF951">
            <v>42235</v>
          </cell>
          <cell r="AG951">
            <v>9.17</v>
          </cell>
          <cell r="AH951" t="str">
            <v>PPM</v>
          </cell>
          <cell r="AI951" t="str">
            <v>Strands</v>
          </cell>
          <cell r="AJ951" t="str">
            <v>Strands PW</v>
          </cell>
        </row>
        <row r="952">
          <cell r="A952" t="str">
            <v>IKN400503</v>
          </cell>
          <cell r="B952">
            <v>503</v>
          </cell>
          <cell r="C952" t="str">
            <v>Institut Kanser Negara</v>
          </cell>
          <cell r="D952" t="str">
            <v>KKM/IKN/H/13/336</v>
          </cell>
          <cell r="E952" t="str">
            <v>15-045</v>
          </cell>
          <cell r="F952" t="str">
            <v>Nebulizers, Nonheated</v>
          </cell>
          <cell r="G952" t="str">
            <v>PC</v>
          </cell>
          <cell r="H952" t="str">
            <v>PALLIATIVE CARE UNIT</v>
          </cell>
          <cell r="I952" t="str">
            <v>04PC109</v>
          </cell>
          <cell r="J952" t="str">
            <v>GEN. STORE</v>
          </cell>
          <cell r="K952" t="str">
            <v>BMED</v>
          </cell>
          <cell r="L952" t="str">
            <v>Normal</v>
          </cell>
          <cell r="M952" t="str">
            <v>Germany</v>
          </cell>
          <cell r="N952" t="str">
            <v>Pari Boy</v>
          </cell>
          <cell r="O952" t="str">
            <v>Pari Boy SX 085</v>
          </cell>
          <cell r="P952" t="str">
            <v>2W12J05946</v>
          </cell>
          <cell r="Q952" t="str">
            <v>Not Applicable</v>
          </cell>
          <cell r="R952" t="str">
            <v>Pari GmbH</v>
          </cell>
          <cell r="S952" t="str">
            <v>Welch Allyn Malaysia Sdn Bhd</v>
          </cell>
          <cell r="T952" t="str">
            <v>Functioning</v>
          </cell>
          <cell r="U952" t="str">
            <v>Asset</v>
          </cell>
          <cell r="V952">
            <v>1140</v>
          </cell>
          <cell r="W952" t="str">
            <v>KEW</v>
          </cell>
          <cell r="X952" t="str">
            <v>01/09/2010</v>
          </cell>
          <cell r="Y952" t="str">
            <v>KEW</v>
          </cell>
          <cell r="Z952" t="str">
            <v>16/08/2013</v>
          </cell>
          <cell r="AA952" t="str">
            <v>15/08/2015</v>
          </cell>
          <cell r="AB952" t="str">
            <v>No</v>
          </cell>
          <cell r="AC952" t="str">
            <v>31/08/2013</v>
          </cell>
          <cell r="AD952" t="str">
            <v>Good</v>
          </cell>
          <cell r="AE952" t="str">
            <v>V1 - Existing / No Claim</v>
          </cell>
          <cell r="AF952">
            <v>42797</v>
          </cell>
          <cell r="AG952">
            <v>9.17</v>
          </cell>
          <cell r="AH952" t="str">
            <v>PPM</v>
          </cell>
          <cell r="AI952" t="str">
            <v>Strands</v>
          </cell>
          <cell r="AJ952" t="str">
            <v>Strands PW</v>
          </cell>
        </row>
        <row r="953">
          <cell r="A953" t="str">
            <v>IKN400504</v>
          </cell>
          <cell r="B953">
            <v>504</v>
          </cell>
          <cell r="C953" t="str">
            <v>Institut Kanser Negara</v>
          </cell>
          <cell r="D953" t="str">
            <v>KKM/IKN/H/13/337</v>
          </cell>
          <cell r="E953" t="str">
            <v>15-045</v>
          </cell>
          <cell r="F953" t="str">
            <v>Nebulizers, Nonheated</v>
          </cell>
          <cell r="G953" t="str">
            <v>PC</v>
          </cell>
          <cell r="H953" t="str">
            <v>PALLIATIVE CARE UNIT</v>
          </cell>
          <cell r="I953" t="str">
            <v>04PC109</v>
          </cell>
          <cell r="J953" t="str">
            <v>GEN. STORE</v>
          </cell>
          <cell r="K953" t="str">
            <v>BMED</v>
          </cell>
          <cell r="L953" t="str">
            <v>Normal</v>
          </cell>
          <cell r="M953" t="str">
            <v>Germany</v>
          </cell>
          <cell r="N953" t="str">
            <v>Pari Boy</v>
          </cell>
          <cell r="O953" t="str">
            <v>Pari Boy SX 085</v>
          </cell>
          <cell r="P953" t="str">
            <v>2W12J05973</v>
          </cell>
          <cell r="Q953" t="str">
            <v>Not Applicable</v>
          </cell>
          <cell r="R953" t="str">
            <v>Pari GmbH</v>
          </cell>
          <cell r="S953" t="str">
            <v>Welch Allyn Malaysia Sdn Bhd</v>
          </cell>
          <cell r="T953" t="str">
            <v>Functioning</v>
          </cell>
          <cell r="U953" t="str">
            <v>Asset</v>
          </cell>
          <cell r="V953">
            <v>1140</v>
          </cell>
          <cell r="W953" t="str">
            <v>KEW</v>
          </cell>
          <cell r="X953" t="str">
            <v>01/09/2010</v>
          </cell>
          <cell r="Y953" t="str">
            <v>KEW</v>
          </cell>
          <cell r="Z953" t="str">
            <v>16/08/2013</v>
          </cell>
          <cell r="AA953" t="str">
            <v>15/08/2015</v>
          </cell>
          <cell r="AB953" t="str">
            <v>No</v>
          </cell>
          <cell r="AC953" t="str">
            <v>31/08/2013</v>
          </cell>
          <cell r="AD953" t="str">
            <v>Good</v>
          </cell>
          <cell r="AE953" t="str">
            <v>V1 - Existing / No Claim</v>
          </cell>
          <cell r="AF953">
            <v>42797</v>
          </cell>
          <cell r="AG953">
            <v>9.17</v>
          </cell>
          <cell r="AH953" t="str">
            <v>PPM</v>
          </cell>
          <cell r="AI953" t="str">
            <v>Strands</v>
          </cell>
          <cell r="AJ953" t="str">
            <v>Strands PW</v>
          </cell>
        </row>
        <row r="954">
          <cell r="A954" t="str">
            <v>IKN400506</v>
          </cell>
          <cell r="B954">
            <v>506</v>
          </cell>
          <cell r="C954" t="str">
            <v>Institut Kanser Negara</v>
          </cell>
          <cell r="D954" t="str">
            <v>KKM/IKN/H/13/335</v>
          </cell>
          <cell r="E954" t="str">
            <v>15-045</v>
          </cell>
          <cell r="F954" t="str">
            <v>Nebulizers, Nonheated</v>
          </cell>
          <cell r="G954" t="str">
            <v>PC</v>
          </cell>
          <cell r="H954" t="str">
            <v>PALLIATIVE CARE UNIT</v>
          </cell>
          <cell r="I954" t="str">
            <v>04PC109</v>
          </cell>
          <cell r="J954" t="str">
            <v>GEN. STORE</v>
          </cell>
          <cell r="K954" t="str">
            <v>BMED</v>
          </cell>
          <cell r="L954" t="str">
            <v>Normal</v>
          </cell>
          <cell r="M954" t="str">
            <v>Germany</v>
          </cell>
          <cell r="N954" t="str">
            <v>Pari Boy</v>
          </cell>
          <cell r="O954" t="str">
            <v>Pari Boy SX 085</v>
          </cell>
          <cell r="P954" t="str">
            <v>2W12K14120</v>
          </cell>
          <cell r="Q954" t="str">
            <v>Not Applicable</v>
          </cell>
          <cell r="R954" t="str">
            <v>Pari GmbH</v>
          </cell>
          <cell r="S954" t="str">
            <v>Welch Allyn Malaysia Sdn Bhd</v>
          </cell>
          <cell r="T954" t="str">
            <v>Functioning</v>
          </cell>
          <cell r="U954" t="str">
            <v>Asset</v>
          </cell>
          <cell r="V954">
            <v>1140</v>
          </cell>
          <cell r="W954" t="str">
            <v>KEW</v>
          </cell>
          <cell r="X954" t="str">
            <v>01/09/2010</v>
          </cell>
          <cell r="Y954" t="str">
            <v>KEW</v>
          </cell>
          <cell r="Z954" t="str">
            <v>16/08/2013</v>
          </cell>
          <cell r="AA954" t="str">
            <v>15/08/2015</v>
          </cell>
          <cell r="AB954" t="str">
            <v>No</v>
          </cell>
          <cell r="AC954" t="str">
            <v>31/08/2013</v>
          </cell>
          <cell r="AD954" t="str">
            <v>Good</v>
          </cell>
          <cell r="AE954" t="str">
            <v>V1 - Existing / No Claim</v>
          </cell>
          <cell r="AF954">
            <v>42797</v>
          </cell>
          <cell r="AG954">
            <v>9.17</v>
          </cell>
          <cell r="AH954" t="str">
            <v>PPM</v>
          </cell>
          <cell r="AI954" t="str">
            <v>Strands</v>
          </cell>
          <cell r="AJ954" t="str">
            <v>Strands PW</v>
          </cell>
        </row>
        <row r="955">
          <cell r="A955" t="str">
            <v>IKN400509</v>
          </cell>
          <cell r="B955">
            <v>509</v>
          </cell>
          <cell r="C955" t="str">
            <v>Institut Kanser Negara</v>
          </cell>
          <cell r="D955" t="str">
            <v>KKM/IKN/H/13/371</v>
          </cell>
          <cell r="E955" t="str">
            <v>18-092</v>
          </cell>
          <cell r="F955" t="str">
            <v>Drivers, syringe</v>
          </cell>
          <cell r="G955" t="str">
            <v>PC</v>
          </cell>
          <cell r="H955" t="str">
            <v>PALLIATIVE CARE UNIT</v>
          </cell>
          <cell r="I955" t="str">
            <v>04PC109</v>
          </cell>
          <cell r="J955" t="str">
            <v>GEN. STORE</v>
          </cell>
          <cell r="K955" t="str">
            <v>BMED</v>
          </cell>
          <cell r="L955" t="str">
            <v>Normal</v>
          </cell>
          <cell r="M955" t="str">
            <v>UK</v>
          </cell>
          <cell r="N955" t="str">
            <v>Graseby</v>
          </cell>
          <cell r="O955" t="str">
            <v>Graseby MS-26</v>
          </cell>
          <cell r="P955" t="str">
            <v>14014787</v>
          </cell>
          <cell r="Q955" t="str">
            <v>Not Applicable</v>
          </cell>
          <cell r="R955" t="str">
            <v>Graseby Medical Ltd</v>
          </cell>
          <cell r="S955" t="str">
            <v>Primed Medical Services Sdn Bhd</v>
          </cell>
          <cell r="T955" t="str">
            <v>Functioning</v>
          </cell>
          <cell r="U955" t="str">
            <v>Asset</v>
          </cell>
          <cell r="V955">
            <v>3848</v>
          </cell>
          <cell r="W955" t="str">
            <v>KEW</v>
          </cell>
          <cell r="X955" t="str">
            <v>01/09/2010</v>
          </cell>
          <cell r="Y955" t="str">
            <v>KEW</v>
          </cell>
          <cell r="Z955" t="str">
            <v>16/08/2013</v>
          </cell>
          <cell r="AA955" t="str">
            <v>15/08/2015</v>
          </cell>
          <cell r="AB955" t="str">
            <v>No</v>
          </cell>
          <cell r="AC955" t="str">
            <v>31/08/2013</v>
          </cell>
          <cell r="AD955" t="str">
            <v>Good</v>
          </cell>
          <cell r="AE955" t="str">
            <v>V1 - Existing / No Claim</v>
          </cell>
          <cell r="AF955">
            <v>42797</v>
          </cell>
          <cell r="AG955">
            <v>9.17</v>
          </cell>
          <cell r="AH955" t="str">
            <v>PPM</v>
          </cell>
          <cell r="AI955" t="str">
            <v>Strands</v>
          </cell>
          <cell r="AJ955" t="str">
            <v>Strands PW</v>
          </cell>
        </row>
        <row r="956">
          <cell r="A956" t="str">
            <v>IKN400514</v>
          </cell>
          <cell r="B956">
            <v>514</v>
          </cell>
          <cell r="C956" t="str">
            <v>Institut Kanser Negara</v>
          </cell>
          <cell r="D956" t="str">
            <v>KKM/IKN/H/13/372</v>
          </cell>
          <cell r="E956" t="str">
            <v>18-092</v>
          </cell>
          <cell r="F956" t="str">
            <v>Drivers, syringe</v>
          </cell>
          <cell r="G956" t="str">
            <v>PC</v>
          </cell>
          <cell r="H956" t="str">
            <v>PALLIATIVE CARE UNIT</v>
          </cell>
          <cell r="I956" t="str">
            <v>04PC109</v>
          </cell>
          <cell r="J956" t="str">
            <v>GEN. STORE</v>
          </cell>
          <cell r="K956" t="str">
            <v>BMED</v>
          </cell>
          <cell r="L956" t="str">
            <v>Normal</v>
          </cell>
          <cell r="M956" t="str">
            <v>UK</v>
          </cell>
          <cell r="N956" t="str">
            <v>Graseby</v>
          </cell>
          <cell r="O956" t="str">
            <v>Graseby MS-26</v>
          </cell>
          <cell r="P956" t="str">
            <v>14014788</v>
          </cell>
          <cell r="Q956" t="str">
            <v>Not Applicable</v>
          </cell>
          <cell r="R956" t="str">
            <v>Graseby Medical Ltd</v>
          </cell>
          <cell r="S956" t="str">
            <v>Primed Medical Services Sdn Bhd</v>
          </cell>
          <cell r="T956" t="str">
            <v>Functioning</v>
          </cell>
          <cell r="U956" t="str">
            <v>Asset</v>
          </cell>
          <cell r="V956">
            <v>3848</v>
          </cell>
          <cell r="W956" t="str">
            <v>KEW</v>
          </cell>
          <cell r="X956" t="str">
            <v>01/09/2010</v>
          </cell>
          <cell r="Y956" t="str">
            <v>KEW</v>
          </cell>
          <cell r="Z956" t="str">
            <v>16/08/2013</v>
          </cell>
          <cell r="AA956" t="str">
            <v>15/08/2015</v>
          </cell>
          <cell r="AB956" t="str">
            <v>No</v>
          </cell>
          <cell r="AC956" t="str">
            <v>31/08/2013</v>
          </cell>
          <cell r="AD956" t="str">
            <v>Good</v>
          </cell>
          <cell r="AE956" t="str">
            <v>V1 - Existing / No Claim</v>
          </cell>
          <cell r="AF956">
            <v>42797</v>
          </cell>
          <cell r="AG956">
            <v>9.17</v>
          </cell>
          <cell r="AH956" t="str">
            <v>PPM</v>
          </cell>
          <cell r="AI956" t="str">
            <v>Strands</v>
          </cell>
          <cell r="AJ956" t="str">
            <v>Strands PW</v>
          </cell>
        </row>
        <row r="957">
          <cell r="A957" t="str">
            <v>IKN400516</v>
          </cell>
          <cell r="B957">
            <v>516</v>
          </cell>
          <cell r="C957" t="str">
            <v>Institut Kanser Negara</v>
          </cell>
          <cell r="D957" t="str">
            <v>KKM/IKN/H/13/368</v>
          </cell>
          <cell r="E957" t="str">
            <v>18-092</v>
          </cell>
          <cell r="F957" t="str">
            <v>Drivers, syringe</v>
          </cell>
          <cell r="G957" t="str">
            <v>PC</v>
          </cell>
          <cell r="H957" t="str">
            <v>PALLIATIVE CARE UNIT</v>
          </cell>
          <cell r="I957" t="str">
            <v>04PC109</v>
          </cell>
          <cell r="J957" t="str">
            <v>GEN. STORE</v>
          </cell>
          <cell r="K957" t="str">
            <v>BMED</v>
          </cell>
          <cell r="L957" t="str">
            <v>Normal</v>
          </cell>
          <cell r="M957" t="str">
            <v>UK</v>
          </cell>
          <cell r="N957" t="str">
            <v>Graseby</v>
          </cell>
          <cell r="O957" t="str">
            <v>Graseby MS-26</v>
          </cell>
          <cell r="P957" t="str">
            <v>14014783</v>
          </cell>
          <cell r="Q957" t="str">
            <v>Not Applicable</v>
          </cell>
          <cell r="R957" t="str">
            <v>Graseby Medical Ltd</v>
          </cell>
          <cell r="S957" t="str">
            <v>Primed Medical Services Sdn Bhd</v>
          </cell>
          <cell r="T957" t="str">
            <v>Functioning</v>
          </cell>
          <cell r="U957" t="str">
            <v>Asset</v>
          </cell>
          <cell r="V957">
            <v>3848</v>
          </cell>
          <cell r="W957" t="str">
            <v>KEW</v>
          </cell>
          <cell r="X957" t="str">
            <v>01/09/2010</v>
          </cell>
          <cell r="Y957" t="str">
            <v>KEW</v>
          </cell>
          <cell r="Z957" t="str">
            <v>16/08/2013</v>
          </cell>
          <cell r="AA957" t="str">
            <v>15/08/2015</v>
          </cell>
          <cell r="AB957" t="str">
            <v>No</v>
          </cell>
          <cell r="AC957" t="str">
            <v>31/08/2013</v>
          </cell>
          <cell r="AD957" t="str">
            <v>Good</v>
          </cell>
          <cell r="AE957" t="str">
            <v>V1 - Existing / No Claim</v>
          </cell>
          <cell r="AF957">
            <v>42797</v>
          </cell>
          <cell r="AG957">
            <v>9.17</v>
          </cell>
          <cell r="AH957" t="str">
            <v>PPM</v>
          </cell>
          <cell r="AI957" t="str">
            <v>Strands</v>
          </cell>
          <cell r="AJ957" t="str">
            <v>Strands PW</v>
          </cell>
        </row>
        <row r="958">
          <cell r="A958" t="str">
            <v>IKN400517</v>
          </cell>
          <cell r="B958">
            <v>517</v>
          </cell>
          <cell r="C958" t="str">
            <v>Institut Kanser Negara</v>
          </cell>
          <cell r="D958" t="str">
            <v>KKM/IKN/H/13/359</v>
          </cell>
          <cell r="E958" t="str">
            <v>18-092</v>
          </cell>
          <cell r="F958" t="str">
            <v>Drivers, syringe</v>
          </cell>
          <cell r="G958" t="str">
            <v>PC</v>
          </cell>
          <cell r="H958" t="str">
            <v>PALLIATIVE CARE UNIT</v>
          </cell>
          <cell r="I958" t="str">
            <v>04PC109</v>
          </cell>
          <cell r="J958" t="str">
            <v>GEN. STORE</v>
          </cell>
          <cell r="K958" t="str">
            <v>BMED</v>
          </cell>
          <cell r="L958" t="str">
            <v>Normal</v>
          </cell>
          <cell r="M958" t="str">
            <v>UK</v>
          </cell>
          <cell r="N958" t="str">
            <v>Graseby</v>
          </cell>
          <cell r="O958" t="str">
            <v>Graseby MS-26</v>
          </cell>
          <cell r="P958" t="str">
            <v>14014765</v>
          </cell>
          <cell r="Q958" t="str">
            <v>Not Applicable</v>
          </cell>
          <cell r="R958" t="str">
            <v>Graseby Medical Ltd</v>
          </cell>
          <cell r="S958" t="str">
            <v>Primed Medical Services Sdn Bhd</v>
          </cell>
          <cell r="T958" t="str">
            <v>Functioning</v>
          </cell>
          <cell r="U958" t="str">
            <v>Asset</v>
          </cell>
          <cell r="V958">
            <v>3848</v>
          </cell>
          <cell r="W958" t="str">
            <v>KEW</v>
          </cell>
          <cell r="X958" t="str">
            <v>01/09/2010</v>
          </cell>
          <cell r="Y958" t="str">
            <v>KEW</v>
          </cell>
          <cell r="Z958" t="str">
            <v>16/08/2013</v>
          </cell>
          <cell r="AA958" t="str">
            <v>15/08/2015</v>
          </cell>
          <cell r="AB958" t="str">
            <v>No</v>
          </cell>
          <cell r="AC958" t="str">
            <v>31/08/2013</v>
          </cell>
          <cell r="AD958" t="str">
            <v>Good</v>
          </cell>
          <cell r="AE958" t="str">
            <v>V1 - Existing / No Claim</v>
          </cell>
          <cell r="AF958">
            <v>42797</v>
          </cell>
          <cell r="AG958">
            <v>9.17</v>
          </cell>
          <cell r="AH958" t="str">
            <v>PPM</v>
          </cell>
          <cell r="AI958" t="str">
            <v>Strands</v>
          </cell>
          <cell r="AJ958" t="str">
            <v>Strands PW</v>
          </cell>
        </row>
        <row r="959">
          <cell r="A959" t="str">
            <v>IKN400518</v>
          </cell>
          <cell r="B959">
            <v>518</v>
          </cell>
          <cell r="C959" t="str">
            <v>Institut Kanser Negara</v>
          </cell>
          <cell r="D959" t="str">
            <v>KKM/IKN/H/13/367</v>
          </cell>
          <cell r="E959" t="str">
            <v>18-092</v>
          </cell>
          <cell r="F959" t="str">
            <v>Drivers, syringe</v>
          </cell>
          <cell r="G959" t="str">
            <v>PC</v>
          </cell>
          <cell r="H959" t="str">
            <v>PALLIATIVE CARE UNIT</v>
          </cell>
          <cell r="I959" t="str">
            <v>04PC109</v>
          </cell>
          <cell r="J959" t="str">
            <v>GEN. STORE</v>
          </cell>
          <cell r="K959" t="str">
            <v>BMED</v>
          </cell>
          <cell r="L959" t="str">
            <v>Normal</v>
          </cell>
          <cell r="M959" t="str">
            <v>UK</v>
          </cell>
          <cell r="N959" t="str">
            <v>Graseby</v>
          </cell>
          <cell r="O959" t="str">
            <v>Graseby MS-26</v>
          </cell>
          <cell r="P959" t="str">
            <v>14014773</v>
          </cell>
          <cell r="Q959" t="str">
            <v>Not Applicable</v>
          </cell>
          <cell r="R959" t="str">
            <v>Graseby Medical Ltd</v>
          </cell>
          <cell r="S959" t="str">
            <v>Primed Medical Services Sdn Bhd</v>
          </cell>
          <cell r="T959" t="str">
            <v>Functioning</v>
          </cell>
          <cell r="U959" t="str">
            <v>Asset</v>
          </cell>
          <cell r="V959">
            <v>3848</v>
          </cell>
          <cell r="W959" t="str">
            <v>KEW</v>
          </cell>
          <cell r="X959" t="str">
            <v>01/09/2010</v>
          </cell>
          <cell r="Y959" t="str">
            <v>KEW</v>
          </cell>
          <cell r="Z959" t="str">
            <v>16/08/2013</v>
          </cell>
          <cell r="AA959" t="str">
            <v>15/08/2015</v>
          </cell>
          <cell r="AB959" t="str">
            <v>No</v>
          </cell>
          <cell r="AC959" t="str">
            <v>31/08/2013</v>
          </cell>
          <cell r="AD959" t="str">
            <v>Good</v>
          </cell>
          <cell r="AE959" t="str">
            <v>V1 - Existing / No Claim</v>
          </cell>
          <cell r="AF959">
            <v>42797</v>
          </cell>
          <cell r="AG959">
            <v>9.17</v>
          </cell>
          <cell r="AH959" t="str">
            <v>PPM</v>
          </cell>
          <cell r="AI959" t="str">
            <v>Strands</v>
          </cell>
          <cell r="AJ959" t="str">
            <v>Strands PW</v>
          </cell>
        </row>
        <row r="960">
          <cell r="A960" t="str">
            <v>IKN400519</v>
          </cell>
          <cell r="B960">
            <v>519</v>
          </cell>
          <cell r="C960" t="str">
            <v>Institut Kanser Negara</v>
          </cell>
          <cell r="D960" t="str">
            <v>KKM/IKN/H/13/370</v>
          </cell>
          <cell r="E960" t="str">
            <v>18-092</v>
          </cell>
          <cell r="F960" t="str">
            <v>Drivers, syringe</v>
          </cell>
          <cell r="G960" t="str">
            <v>PC</v>
          </cell>
          <cell r="H960" t="str">
            <v>PALLIATIVE CARE UNIT</v>
          </cell>
          <cell r="I960" t="str">
            <v>04PC109</v>
          </cell>
          <cell r="J960" t="str">
            <v>GEN. STORE</v>
          </cell>
          <cell r="K960" t="str">
            <v>BMED</v>
          </cell>
          <cell r="L960" t="str">
            <v>Normal</v>
          </cell>
          <cell r="M960" t="str">
            <v>UK</v>
          </cell>
          <cell r="N960" t="str">
            <v>Graseby</v>
          </cell>
          <cell r="O960" t="str">
            <v>Graseby MS-26</v>
          </cell>
          <cell r="P960" t="str">
            <v>14014772</v>
          </cell>
          <cell r="Q960" t="str">
            <v>Not Applicable</v>
          </cell>
          <cell r="R960" t="str">
            <v>Graseby Medical Ltd</v>
          </cell>
          <cell r="S960" t="str">
            <v>Primed Medical Services Sdn Bhd</v>
          </cell>
          <cell r="T960" t="str">
            <v>Functioning</v>
          </cell>
          <cell r="U960" t="str">
            <v>Asset</v>
          </cell>
          <cell r="V960">
            <v>3848</v>
          </cell>
          <cell r="W960" t="str">
            <v>KEW</v>
          </cell>
          <cell r="X960" t="str">
            <v>01/09/2010</v>
          </cell>
          <cell r="Y960" t="str">
            <v>KEW</v>
          </cell>
          <cell r="Z960" t="str">
            <v>16/08/2013</v>
          </cell>
          <cell r="AA960" t="str">
            <v>15/08/2015</v>
          </cell>
          <cell r="AB960" t="str">
            <v>No</v>
          </cell>
          <cell r="AC960" t="str">
            <v>31/08/2013</v>
          </cell>
          <cell r="AD960" t="str">
            <v>Good</v>
          </cell>
          <cell r="AE960" t="str">
            <v>V1 - Existing / No Claim</v>
          </cell>
          <cell r="AF960">
            <v>43430</v>
          </cell>
          <cell r="AG960">
            <v>9.17</v>
          </cell>
          <cell r="AH960" t="str">
            <v>PPM</v>
          </cell>
          <cell r="AI960" t="str">
            <v>Strands</v>
          </cell>
          <cell r="AJ960" t="str">
            <v>Strands PW</v>
          </cell>
        </row>
        <row r="961">
          <cell r="A961" t="str">
            <v>IKN400520</v>
          </cell>
          <cell r="B961">
            <v>520</v>
          </cell>
          <cell r="C961" t="str">
            <v>Institut Kanser Negara</v>
          </cell>
          <cell r="D961" t="str">
            <v>KKM/IKN/H/13/369</v>
          </cell>
          <cell r="E961" t="str">
            <v>18-092</v>
          </cell>
          <cell r="F961" t="str">
            <v>Drivers, syringe</v>
          </cell>
          <cell r="G961" t="str">
            <v>PC</v>
          </cell>
          <cell r="H961" t="str">
            <v>PALLIATIVE CARE UNIT</v>
          </cell>
          <cell r="I961" t="str">
            <v>04PC109</v>
          </cell>
          <cell r="J961" t="str">
            <v>GEN. STORE</v>
          </cell>
          <cell r="K961" t="str">
            <v>BMED</v>
          </cell>
          <cell r="L961" t="str">
            <v>Normal</v>
          </cell>
          <cell r="M961" t="str">
            <v>UK</v>
          </cell>
          <cell r="N961" t="str">
            <v>Graseby</v>
          </cell>
          <cell r="O961" t="str">
            <v>Graseby MS-26</v>
          </cell>
          <cell r="P961" t="str">
            <v>14014784</v>
          </cell>
          <cell r="Q961" t="str">
            <v>Not Applicable</v>
          </cell>
          <cell r="R961" t="str">
            <v>Graseby Medical Ltd</v>
          </cell>
          <cell r="S961" t="str">
            <v>Primed Medical Services Sdn Bhd</v>
          </cell>
          <cell r="T961" t="str">
            <v>Functioning</v>
          </cell>
          <cell r="U961" t="str">
            <v>Asset</v>
          </cell>
          <cell r="V961">
            <v>3848</v>
          </cell>
          <cell r="W961" t="str">
            <v>KEW</v>
          </cell>
          <cell r="X961" t="str">
            <v>01/09/2010</v>
          </cell>
          <cell r="Y961" t="str">
            <v>KEW</v>
          </cell>
          <cell r="Z961" t="str">
            <v>16/08/2013</v>
          </cell>
          <cell r="AA961" t="str">
            <v>15/08/2015</v>
          </cell>
          <cell r="AB961" t="str">
            <v>No</v>
          </cell>
          <cell r="AC961" t="str">
            <v>31/08/2013</v>
          </cell>
          <cell r="AD961" t="str">
            <v>Good</v>
          </cell>
          <cell r="AE961" t="str">
            <v>V1 - Existing / No Claim</v>
          </cell>
          <cell r="AF961">
            <v>42797</v>
          </cell>
          <cell r="AG961">
            <v>9.17</v>
          </cell>
          <cell r="AH961" t="str">
            <v>PPM</v>
          </cell>
          <cell r="AI961" t="str">
            <v>Strands</v>
          </cell>
          <cell r="AJ961" t="str">
            <v>Strands PW</v>
          </cell>
        </row>
        <row r="962">
          <cell r="A962" t="str">
            <v>IKN400521</v>
          </cell>
          <cell r="B962">
            <v>521</v>
          </cell>
          <cell r="C962" t="str">
            <v>Institut Kanser Negara</v>
          </cell>
          <cell r="D962" t="str">
            <v>KKM/IKN/H/13/361</v>
          </cell>
          <cell r="E962" t="str">
            <v>18-092</v>
          </cell>
          <cell r="F962" t="str">
            <v>Drivers, syringe</v>
          </cell>
          <cell r="G962" t="str">
            <v>PC</v>
          </cell>
          <cell r="H962" t="str">
            <v>PALLIATIVE CARE UNIT</v>
          </cell>
          <cell r="I962" t="str">
            <v>04PC109</v>
          </cell>
          <cell r="J962" t="str">
            <v>GEN. STORE</v>
          </cell>
          <cell r="K962" t="str">
            <v>BMED</v>
          </cell>
          <cell r="L962" t="str">
            <v>Normal</v>
          </cell>
          <cell r="M962" t="str">
            <v>UK</v>
          </cell>
          <cell r="N962" t="str">
            <v>Graseby</v>
          </cell>
          <cell r="O962" t="str">
            <v>Graseby MS-26</v>
          </cell>
          <cell r="P962" t="str">
            <v>14014767</v>
          </cell>
          <cell r="Q962" t="str">
            <v>Not Applicable</v>
          </cell>
          <cell r="R962" t="str">
            <v>Graseby Medical Ltd</v>
          </cell>
          <cell r="S962" t="str">
            <v>Primed Medical Services Sdn Bhd</v>
          </cell>
          <cell r="T962" t="str">
            <v>Functioning</v>
          </cell>
          <cell r="U962" t="str">
            <v>Asset</v>
          </cell>
          <cell r="V962">
            <v>3848</v>
          </cell>
          <cell r="W962" t="str">
            <v>KEW</v>
          </cell>
          <cell r="X962" t="str">
            <v>01/09/2010</v>
          </cell>
          <cell r="Y962" t="str">
            <v>KEW</v>
          </cell>
          <cell r="Z962" t="str">
            <v>16/08/2013</v>
          </cell>
          <cell r="AA962" t="str">
            <v>15/08/2015</v>
          </cell>
          <cell r="AB962" t="str">
            <v>No</v>
          </cell>
          <cell r="AC962" t="str">
            <v>31/08/2013</v>
          </cell>
          <cell r="AD962" t="str">
            <v>Good</v>
          </cell>
          <cell r="AE962" t="str">
            <v>V1 - Existing / No Claim</v>
          </cell>
          <cell r="AF962">
            <v>42797</v>
          </cell>
          <cell r="AG962">
            <v>9.17</v>
          </cell>
          <cell r="AH962" t="str">
            <v>PPM</v>
          </cell>
          <cell r="AI962" t="str">
            <v>Strands</v>
          </cell>
          <cell r="AJ962" t="str">
            <v>Strands PW</v>
          </cell>
        </row>
        <row r="963">
          <cell r="A963" t="str">
            <v>IKN400522</v>
          </cell>
          <cell r="B963">
            <v>522</v>
          </cell>
          <cell r="C963" t="str">
            <v>Institut Kanser Negara</v>
          </cell>
          <cell r="D963" t="str">
            <v>KKM/IKN/H/13/373</v>
          </cell>
          <cell r="E963" t="str">
            <v>18-092</v>
          </cell>
          <cell r="F963" t="str">
            <v>Drivers, syringe</v>
          </cell>
          <cell r="G963" t="str">
            <v>PC</v>
          </cell>
          <cell r="H963" t="str">
            <v>PALLIATIVE CARE UNIT</v>
          </cell>
          <cell r="I963" t="str">
            <v>04PC109</v>
          </cell>
          <cell r="J963" t="str">
            <v>GEN. STORE</v>
          </cell>
          <cell r="K963" t="str">
            <v>BMED</v>
          </cell>
          <cell r="L963" t="str">
            <v>Normal</v>
          </cell>
          <cell r="M963" t="str">
            <v>UK</v>
          </cell>
          <cell r="N963" t="str">
            <v>Graseby</v>
          </cell>
          <cell r="O963" t="str">
            <v>Graseby MS-26</v>
          </cell>
          <cell r="P963" t="str">
            <v>14014789</v>
          </cell>
          <cell r="Q963" t="str">
            <v>Not Applicable</v>
          </cell>
          <cell r="R963" t="str">
            <v>Graseby Medical Ltd</v>
          </cell>
          <cell r="S963" t="str">
            <v>Primed Medical Services Sdn Bhd</v>
          </cell>
          <cell r="T963" t="str">
            <v>Functioning</v>
          </cell>
          <cell r="U963" t="str">
            <v>Asset</v>
          </cell>
          <cell r="V963">
            <v>3848</v>
          </cell>
          <cell r="W963" t="str">
            <v>KEW</v>
          </cell>
          <cell r="X963" t="str">
            <v>01/09/2010</v>
          </cell>
          <cell r="Y963" t="str">
            <v>KEW</v>
          </cell>
          <cell r="Z963" t="str">
            <v>16/08/2013</v>
          </cell>
          <cell r="AA963" t="str">
            <v>15/08/2015</v>
          </cell>
          <cell r="AB963" t="str">
            <v>No</v>
          </cell>
          <cell r="AC963" t="str">
            <v>31/08/2013</v>
          </cell>
          <cell r="AD963" t="str">
            <v>Good</v>
          </cell>
          <cell r="AE963" t="str">
            <v>V1 - Existing / No Claim</v>
          </cell>
          <cell r="AF963">
            <v>42797</v>
          </cell>
          <cell r="AG963">
            <v>9.17</v>
          </cell>
          <cell r="AH963" t="str">
            <v>PPM</v>
          </cell>
          <cell r="AI963" t="str">
            <v>Strands</v>
          </cell>
          <cell r="AJ963" t="str">
            <v>Strands PW</v>
          </cell>
        </row>
        <row r="964">
          <cell r="A964" t="str">
            <v>IKN400523</v>
          </cell>
          <cell r="B964">
            <v>523</v>
          </cell>
          <cell r="C964" t="str">
            <v>Institut Kanser Negara</v>
          </cell>
          <cell r="D964" t="str">
            <v>KKM/IKN/H/13/365</v>
          </cell>
          <cell r="E964" t="str">
            <v>18-092</v>
          </cell>
          <cell r="F964" t="str">
            <v>Drivers, syringe</v>
          </cell>
          <cell r="G964" t="str">
            <v>PC</v>
          </cell>
          <cell r="H964" t="str">
            <v>PALLIATIVE CARE UNIT</v>
          </cell>
          <cell r="I964" t="str">
            <v>04PC109</v>
          </cell>
          <cell r="J964" t="str">
            <v>GEN. STORE</v>
          </cell>
          <cell r="K964" t="str">
            <v>BMED</v>
          </cell>
          <cell r="L964" t="str">
            <v>Normal</v>
          </cell>
          <cell r="M964" t="str">
            <v>UK</v>
          </cell>
          <cell r="N964" t="str">
            <v>Graseby</v>
          </cell>
          <cell r="O964" t="str">
            <v>Graseby MS-26</v>
          </cell>
          <cell r="P964" t="str">
            <v>14014771</v>
          </cell>
          <cell r="Q964" t="str">
            <v>Not Applicable</v>
          </cell>
          <cell r="R964" t="str">
            <v>Graseby Medical Ltd</v>
          </cell>
          <cell r="S964" t="str">
            <v>Primed Medical Services Sdn Bhd</v>
          </cell>
          <cell r="T964" t="str">
            <v>Functioning</v>
          </cell>
          <cell r="U964" t="str">
            <v>Asset</v>
          </cell>
          <cell r="V964">
            <v>3848</v>
          </cell>
          <cell r="W964" t="str">
            <v>KEW</v>
          </cell>
          <cell r="X964" t="str">
            <v>01/09/2010</v>
          </cell>
          <cell r="Y964" t="str">
            <v>KEW</v>
          </cell>
          <cell r="Z964" t="str">
            <v>16/08/2013</v>
          </cell>
          <cell r="AA964" t="str">
            <v>15/08/2015</v>
          </cell>
          <cell r="AB964" t="str">
            <v>No</v>
          </cell>
          <cell r="AC964" t="str">
            <v>31/08/2013</v>
          </cell>
          <cell r="AD964" t="str">
            <v>Good</v>
          </cell>
          <cell r="AE964" t="str">
            <v>V1 - Existing / No Claim</v>
          </cell>
          <cell r="AF964">
            <v>42797</v>
          </cell>
          <cell r="AG964">
            <v>9.17</v>
          </cell>
          <cell r="AH964" t="str">
            <v>PPM</v>
          </cell>
          <cell r="AI964" t="str">
            <v>Strands</v>
          </cell>
          <cell r="AJ964" t="str">
            <v>Strands PW</v>
          </cell>
        </row>
        <row r="965">
          <cell r="A965" t="str">
            <v>IKN400525</v>
          </cell>
          <cell r="B965">
            <v>525</v>
          </cell>
          <cell r="C965" t="str">
            <v>Institut Kanser Negara</v>
          </cell>
          <cell r="D965" t="str">
            <v>KKM/IKN/H/13/375</v>
          </cell>
          <cell r="E965" t="str">
            <v>16-924</v>
          </cell>
          <cell r="F965" t="str">
            <v>Infusion Pumps, Patient-Controlled Analgesic</v>
          </cell>
          <cell r="G965" t="str">
            <v>IC</v>
          </cell>
          <cell r="H965" t="str">
            <v>INTENSIVE CARE UNIT</v>
          </cell>
          <cell r="I965" t="str">
            <v>05IC108</v>
          </cell>
          <cell r="J965" t="str">
            <v>PCA</v>
          </cell>
          <cell r="K965" t="str">
            <v>BMED</v>
          </cell>
          <cell r="L965" t="str">
            <v>Critical</v>
          </cell>
          <cell r="M965" t="str">
            <v>Germany</v>
          </cell>
          <cell r="N965" t="str">
            <v>Perfusor</v>
          </cell>
          <cell r="O965" t="str">
            <v>Perfusor Space PCA</v>
          </cell>
          <cell r="P965" t="str">
            <v>187052</v>
          </cell>
          <cell r="Q965" t="str">
            <v>Not Applicable</v>
          </cell>
          <cell r="R965" t="str">
            <v>B Braun Melsungen AG</v>
          </cell>
          <cell r="S965" t="str">
            <v>B Braun Medical Supplies Sdn. Bhd.</v>
          </cell>
          <cell r="T965" t="str">
            <v>Functioning</v>
          </cell>
          <cell r="U965" t="str">
            <v>Asset</v>
          </cell>
          <cell r="V965">
            <v>16840</v>
          </cell>
          <cell r="W965" t="str">
            <v>KEW</v>
          </cell>
          <cell r="X965" t="str">
            <v>01/09/2010</v>
          </cell>
          <cell r="Y965" t="str">
            <v>KEW</v>
          </cell>
          <cell r="Z965" t="str">
            <v>16/08/2013</v>
          </cell>
          <cell r="AA965" t="str">
            <v>15/08/2015</v>
          </cell>
          <cell r="AB965" t="str">
            <v>No</v>
          </cell>
          <cell r="AC965" t="str">
            <v>31/08/2013</v>
          </cell>
          <cell r="AD965" t="str">
            <v>Good</v>
          </cell>
          <cell r="AE965" t="str">
            <v>V1 - Existing / No Claim</v>
          </cell>
          <cell r="AF965">
            <v>43143</v>
          </cell>
          <cell r="AG965">
            <v>9.17</v>
          </cell>
          <cell r="AH965" t="str">
            <v>PPM</v>
          </cell>
          <cell r="AI965" t="str">
            <v>Strands</v>
          </cell>
          <cell r="AJ965" t="str">
            <v>Strands PW</v>
          </cell>
        </row>
        <row r="966">
          <cell r="A966" t="str">
            <v>IKN400527</v>
          </cell>
          <cell r="B966">
            <v>527</v>
          </cell>
          <cell r="C966" t="str">
            <v>Institut Kanser Negara</v>
          </cell>
          <cell r="D966" t="str">
            <v>KKM/IKN/H/13/327</v>
          </cell>
          <cell r="E966" t="str">
            <v>10-208</v>
          </cell>
          <cell r="F966" t="str">
            <v>Aspirators</v>
          </cell>
          <cell r="G966" t="str">
            <v>PC</v>
          </cell>
          <cell r="H966" t="str">
            <v>PALLIATIVE CARE UNIT</v>
          </cell>
          <cell r="I966" t="str">
            <v>04PC109</v>
          </cell>
          <cell r="J966" t="str">
            <v>GEN. STORE</v>
          </cell>
          <cell r="K966" t="str">
            <v>BMED</v>
          </cell>
          <cell r="L966" t="str">
            <v>Critical</v>
          </cell>
          <cell r="M966" t="str">
            <v>Italy</v>
          </cell>
          <cell r="N966" t="str">
            <v>Askir</v>
          </cell>
          <cell r="O966" t="str">
            <v>Askir 36-BR</v>
          </cell>
          <cell r="P966" t="str">
            <v>1391</v>
          </cell>
          <cell r="Q966" t="str">
            <v>Not Applicable</v>
          </cell>
          <cell r="R966" t="str">
            <v>Ca-Mi Snc</v>
          </cell>
          <cell r="S966" t="str">
            <v>Antah Sir Radin Sdn. Bhd.</v>
          </cell>
          <cell r="T966" t="str">
            <v>Functioning</v>
          </cell>
          <cell r="U966" t="str">
            <v>Asset</v>
          </cell>
          <cell r="V966">
            <v>2165</v>
          </cell>
          <cell r="W966" t="str">
            <v>KEW</v>
          </cell>
          <cell r="X966" t="str">
            <v>01/09/2010</v>
          </cell>
          <cell r="Y966" t="str">
            <v>KEW</v>
          </cell>
          <cell r="Z966" t="str">
            <v>16/08/2013</v>
          </cell>
          <cell r="AA966" t="str">
            <v>15/08/2015</v>
          </cell>
          <cell r="AB966" t="str">
            <v>No</v>
          </cell>
          <cell r="AC966" t="str">
            <v>31/08/2013</v>
          </cell>
          <cell r="AD966" t="str">
            <v>Good</v>
          </cell>
          <cell r="AE966" t="str">
            <v>V1 - Existing / No Claim</v>
          </cell>
          <cell r="AF966">
            <v>42797</v>
          </cell>
          <cell r="AG966">
            <v>9.17</v>
          </cell>
          <cell r="AH966" t="str">
            <v>PPM</v>
          </cell>
          <cell r="AI966" t="str">
            <v>Strands</v>
          </cell>
          <cell r="AJ966" t="str">
            <v>Strands PW</v>
          </cell>
        </row>
        <row r="967">
          <cell r="A967" t="str">
            <v>IKN400528</v>
          </cell>
          <cell r="B967">
            <v>528</v>
          </cell>
          <cell r="C967" t="str">
            <v>Institut Kanser Negara</v>
          </cell>
          <cell r="D967" t="str">
            <v>KKM/IKN/H/13/330</v>
          </cell>
          <cell r="E967" t="str">
            <v>10-208</v>
          </cell>
          <cell r="F967" t="str">
            <v>Aspirators</v>
          </cell>
          <cell r="G967" t="str">
            <v>PC</v>
          </cell>
          <cell r="H967" t="str">
            <v>PALLIATIVE CARE UNIT</v>
          </cell>
          <cell r="I967" t="str">
            <v>04PC109</v>
          </cell>
          <cell r="J967" t="str">
            <v>GEN. STORE</v>
          </cell>
          <cell r="K967" t="str">
            <v>BMED</v>
          </cell>
          <cell r="L967" t="str">
            <v>Critical</v>
          </cell>
          <cell r="M967" t="str">
            <v>Italy</v>
          </cell>
          <cell r="N967" t="str">
            <v>Askir</v>
          </cell>
          <cell r="O967" t="str">
            <v>Askir 36-BR</v>
          </cell>
          <cell r="P967" t="str">
            <v>1395</v>
          </cell>
          <cell r="Q967" t="str">
            <v>Not Applicable</v>
          </cell>
          <cell r="R967" t="str">
            <v>Ca-Mi Snc</v>
          </cell>
          <cell r="S967" t="str">
            <v>Antah Sir Radin Sdn. Bhd.</v>
          </cell>
          <cell r="T967" t="str">
            <v>Functioning</v>
          </cell>
          <cell r="U967" t="str">
            <v>Asset</v>
          </cell>
          <cell r="V967">
            <v>2165</v>
          </cell>
          <cell r="W967" t="str">
            <v>KEW</v>
          </cell>
          <cell r="X967" t="str">
            <v>01/09/2010</v>
          </cell>
          <cell r="Y967" t="str">
            <v>KEW</v>
          </cell>
          <cell r="Z967" t="str">
            <v>16/08/2013</v>
          </cell>
          <cell r="AA967" t="str">
            <v>15/08/2015</v>
          </cell>
          <cell r="AB967" t="str">
            <v>No</v>
          </cell>
          <cell r="AC967" t="str">
            <v>31/08/2013</v>
          </cell>
          <cell r="AD967" t="str">
            <v>Good</v>
          </cell>
          <cell r="AE967" t="str">
            <v>V1 - Existing / No Claim</v>
          </cell>
          <cell r="AF967">
            <v>42797</v>
          </cell>
          <cell r="AG967">
            <v>9.17</v>
          </cell>
          <cell r="AH967" t="str">
            <v>PPM</v>
          </cell>
          <cell r="AI967" t="str">
            <v>Strands</v>
          </cell>
          <cell r="AJ967" t="str">
            <v>Strands PW</v>
          </cell>
        </row>
        <row r="968">
          <cell r="A968" t="str">
            <v>IKN400529</v>
          </cell>
          <cell r="B968">
            <v>529</v>
          </cell>
          <cell r="C968" t="str">
            <v>Institut Kanser Negara</v>
          </cell>
          <cell r="D968" t="str">
            <v>KKM/IKN/H/13/329</v>
          </cell>
          <cell r="E968" t="str">
            <v>10-208</v>
          </cell>
          <cell r="F968" t="str">
            <v>Aspirators</v>
          </cell>
          <cell r="G968" t="str">
            <v>PC</v>
          </cell>
          <cell r="H968" t="str">
            <v>PALLIATIVE CARE UNIT</v>
          </cell>
          <cell r="I968" t="str">
            <v>04PC109</v>
          </cell>
          <cell r="J968" t="str">
            <v>GEN. STORE</v>
          </cell>
          <cell r="K968" t="str">
            <v>BMED</v>
          </cell>
          <cell r="L968" t="str">
            <v>Critical</v>
          </cell>
          <cell r="M968" t="str">
            <v>Italy</v>
          </cell>
          <cell r="N968" t="str">
            <v>Askir</v>
          </cell>
          <cell r="O968" t="str">
            <v>Askir 36-BR</v>
          </cell>
          <cell r="P968" t="str">
            <v>1393</v>
          </cell>
          <cell r="Q968" t="str">
            <v>Not Applicable</v>
          </cell>
          <cell r="R968" t="str">
            <v>Ca-Mi Snc</v>
          </cell>
          <cell r="S968" t="str">
            <v>Antah Sir Radin Sdn. Bhd.</v>
          </cell>
          <cell r="T968" t="str">
            <v>Functioning</v>
          </cell>
          <cell r="U968" t="str">
            <v>Asset</v>
          </cell>
          <cell r="V968">
            <v>2165</v>
          </cell>
          <cell r="W968" t="str">
            <v>KEW</v>
          </cell>
          <cell r="X968" t="str">
            <v>01/09/2010</v>
          </cell>
          <cell r="Y968" t="str">
            <v>KEW</v>
          </cell>
          <cell r="Z968" t="str">
            <v>16/08/2013</v>
          </cell>
          <cell r="AA968" t="str">
            <v>15/08/2015</v>
          </cell>
          <cell r="AB968" t="str">
            <v>No</v>
          </cell>
          <cell r="AC968" t="str">
            <v>31/08/2013</v>
          </cell>
          <cell r="AD968" t="str">
            <v>Good</v>
          </cell>
          <cell r="AE968" t="str">
            <v>V1 - Existing / No Claim</v>
          </cell>
          <cell r="AF968">
            <v>42797</v>
          </cell>
          <cell r="AG968">
            <v>9.17</v>
          </cell>
          <cell r="AH968" t="str">
            <v>PPM</v>
          </cell>
          <cell r="AI968" t="str">
            <v>Strands</v>
          </cell>
          <cell r="AJ968" t="str">
            <v>Strands PW</v>
          </cell>
        </row>
        <row r="969">
          <cell r="A969" t="str">
            <v>IKN400530</v>
          </cell>
          <cell r="B969">
            <v>530</v>
          </cell>
          <cell r="C969" t="str">
            <v>Institut Kanser Negara</v>
          </cell>
          <cell r="D969" t="str">
            <v>KKM/IKN/H/13/328</v>
          </cell>
          <cell r="E969" t="str">
            <v>10-208</v>
          </cell>
          <cell r="F969" t="str">
            <v>Aspirators</v>
          </cell>
          <cell r="G969" t="str">
            <v>PC</v>
          </cell>
          <cell r="H969" t="str">
            <v>PALLIATIVE CARE UNIT</v>
          </cell>
          <cell r="I969" t="str">
            <v>04PC109</v>
          </cell>
          <cell r="J969" t="str">
            <v>GEN. STORE</v>
          </cell>
          <cell r="K969" t="str">
            <v>BMED</v>
          </cell>
          <cell r="L969" t="str">
            <v>Critical</v>
          </cell>
          <cell r="M969" t="str">
            <v>Italy</v>
          </cell>
          <cell r="N969" t="str">
            <v>Askir</v>
          </cell>
          <cell r="O969" t="str">
            <v>Askir 36-BR</v>
          </cell>
          <cell r="P969" t="str">
            <v>1392</v>
          </cell>
          <cell r="Q969" t="str">
            <v>Not Applicable</v>
          </cell>
          <cell r="R969" t="str">
            <v>Ca-Mi Snc</v>
          </cell>
          <cell r="S969" t="str">
            <v>Antah Sir Radin Sdn. Bhd.</v>
          </cell>
          <cell r="T969" t="str">
            <v>Functioning</v>
          </cell>
          <cell r="U969" t="str">
            <v>Asset</v>
          </cell>
          <cell r="V969">
            <v>2165</v>
          </cell>
          <cell r="W969" t="str">
            <v>KEW</v>
          </cell>
          <cell r="X969" t="str">
            <v>01/09/2010</v>
          </cell>
          <cell r="Y969" t="str">
            <v>KEW</v>
          </cell>
          <cell r="Z969" t="str">
            <v>16/08/2013</v>
          </cell>
          <cell r="AA969" t="str">
            <v>15/08/2015</v>
          </cell>
          <cell r="AB969" t="str">
            <v>No</v>
          </cell>
          <cell r="AC969" t="str">
            <v>31/08/2013</v>
          </cell>
          <cell r="AD969" t="str">
            <v>Good</v>
          </cell>
          <cell r="AE969" t="str">
            <v>V1 - Existing / No Claim</v>
          </cell>
          <cell r="AF969">
            <v>42797</v>
          </cell>
          <cell r="AG969">
            <v>9.17</v>
          </cell>
          <cell r="AH969" t="str">
            <v>PPM</v>
          </cell>
          <cell r="AI969" t="str">
            <v>Strands</v>
          </cell>
          <cell r="AJ969" t="str">
            <v>Strands PW</v>
          </cell>
        </row>
        <row r="970">
          <cell r="A970" t="str">
            <v>IKN400533</v>
          </cell>
          <cell r="B970">
            <v>533</v>
          </cell>
          <cell r="C970" t="str">
            <v>Institut Kanser Negara</v>
          </cell>
          <cell r="D970" t="str">
            <v>KKM/IKN/H/13/2472</v>
          </cell>
          <cell r="E970" t="str">
            <v>12-660</v>
          </cell>
          <cell r="F970" t="str">
            <v>Radiation Monitors</v>
          </cell>
          <cell r="G970" t="str">
            <v>WA</v>
          </cell>
          <cell r="H970" t="str">
            <v>NUCLEAR MED WARD (THERAPY)</v>
          </cell>
          <cell r="I970" t="str">
            <v>03WA114</v>
          </cell>
          <cell r="J970" t="str">
            <v>RADIOACTIVE WASTE</v>
          </cell>
          <cell r="K970" t="str">
            <v>BMED</v>
          </cell>
          <cell r="L970" t="str">
            <v>Normal</v>
          </cell>
          <cell r="M970" t="str">
            <v>Germany</v>
          </cell>
          <cell r="N970" t="str">
            <v>CoMo</v>
          </cell>
          <cell r="O970" t="str">
            <v>CoMo 170</v>
          </cell>
          <cell r="P970" t="str">
            <v>5067DL</v>
          </cell>
          <cell r="Q970" t="str">
            <v>Not Applicable</v>
          </cell>
          <cell r="R970" t="str">
            <v>MED Nuklear-Medizintechnik Dresden GmbH</v>
          </cell>
          <cell r="S970" t="str">
            <v>Kwint International BN</v>
          </cell>
          <cell r="T970" t="str">
            <v>Functioning</v>
          </cell>
          <cell r="U970" t="str">
            <v>Asset</v>
          </cell>
          <cell r="V970">
            <v>23270</v>
          </cell>
          <cell r="W970" t="str">
            <v>KEW</v>
          </cell>
          <cell r="X970" t="str">
            <v>01/09/2010</v>
          </cell>
          <cell r="Y970" t="str">
            <v>KEW</v>
          </cell>
          <cell r="Z970" t="str">
            <v>16/08/2013</v>
          </cell>
          <cell r="AA970" t="str">
            <v>15/08/2015</v>
          </cell>
          <cell r="AB970" t="str">
            <v>No</v>
          </cell>
          <cell r="AC970" t="str">
            <v>31/08/2013</v>
          </cell>
          <cell r="AD970" t="str">
            <v>Good</v>
          </cell>
          <cell r="AE970" t="str">
            <v>V1 - Existing / No Claim</v>
          </cell>
          <cell r="AF970">
            <v>42235</v>
          </cell>
          <cell r="AG970">
            <v>9.17</v>
          </cell>
          <cell r="AH970" t="str">
            <v>PPM</v>
          </cell>
          <cell r="AI970" t="str">
            <v>Strands</v>
          </cell>
          <cell r="AJ970" t="str">
            <v>Strands PW</v>
          </cell>
        </row>
        <row r="971">
          <cell r="A971" t="str">
            <v>IKN400534</v>
          </cell>
          <cell r="B971">
            <v>534</v>
          </cell>
          <cell r="C971" t="str">
            <v>Institut Kanser Negara</v>
          </cell>
          <cell r="D971" t="str">
            <v>KKM/IKN/H/13/2367</v>
          </cell>
          <cell r="E971" t="str">
            <v>10-208</v>
          </cell>
          <cell r="F971" t="str">
            <v>Aspirators</v>
          </cell>
          <cell r="G971" t="str">
            <v>WA</v>
          </cell>
          <cell r="H971" t="str">
            <v>NUCLEAR MED WARD (THERAPY)</v>
          </cell>
          <cell r="I971" t="str">
            <v>03WA116</v>
          </cell>
          <cell r="J971" t="str">
            <v>TREATMENT</v>
          </cell>
          <cell r="K971" t="str">
            <v>BMED</v>
          </cell>
          <cell r="L971" t="str">
            <v>Critical</v>
          </cell>
          <cell r="M971" t="str">
            <v>Switzerland</v>
          </cell>
          <cell r="N971" t="str">
            <v>Senator</v>
          </cell>
          <cell r="O971" t="str">
            <v>Senator</v>
          </cell>
          <cell r="P971" t="str">
            <v>1220747</v>
          </cell>
          <cell r="Q971" t="str">
            <v>Not Applicable</v>
          </cell>
          <cell r="R971" t="str">
            <v>Ardo Medical AG</v>
          </cell>
          <cell r="S971" t="str">
            <v>Histopoint</v>
          </cell>
          <cell r="T971" t="str">
            <v>Functioning</v>
          </cell>
          <cell r="U971" t="str">
            <v>Asset</v>
          </cell>
          <cell r="V971">
            <v>5052</v>
          </cell>
          <cell r="W971" t="str">
            <v>KEW</v>
          </cell>
          <cell r="X971" t="str">
            <v>01/09/2010</v>
          </cell>
          <cell r="Y971" t="str">
            <v>KEW</v>
          </cell>
          <cell r="Z971" t="str">
            <v>16/08/2013</v>
          </cell>
          <cell r="AA971" t="str">
            <v>15/08/2015</v>
          </cell>
          <cell r="AB971" t="str">
            <v>No</v>
          </cell>
          <cell r="AC971" t="str">
            <v>31/08/2013</v>
          </cell>
          <cell r="AD971" t="str">
            <v>Good</v>
          </cell>
          <cell r="AE971" t="str">
            <v>V1 - Existing / No Claim</v>
          </cell>
          <cell r="AF971">
            <v>42794</v>
          </cell>
          <cell r="AG971">
            <v>9.17</v>
          </cell>
          <cell r="AH971" t="str">
            <v>PPM</v>
          </cell>
          <cell r="AI971" t="str">
            <v>Strands</v>
          </cell>
          <cell r="AJ971" t="str">
            <v>Strands PW</v>
          </cell>
        </row>
        <row r="972">
          <cell r="A972" t="str">
            <v>IKN400535</v>
          </cell>
          <cell r="B972">
            <v>535</v>
          </cell>
          <cell r="C972" t="str">
            <v>Institut Kanser Negara</v>
          </cell>
          <cell r="D972" t="str">
            <v>KKM/IKN/H/13/2366</v>
          </cell>
          <cell r="E972" t="str">
            <v>16-173</v>
          </cell>
          <cell r="F972" t="str">
            <v>Sphygmomanometers, Electronic, Automatic</v>
          </cell>
          <cell r="G972" t="str">
            <v>WA</v>
          </cell>
          <cell r="H972" t="str">
            <v>NUCLEAR MED WARD (THERAPY)</v>
          </cell>
          <cell r="I972" t="str">
            <v>03WA116</v>
          </cell>
          <cell r="J972" t="str">
            <v>TREATMENT</v>
          </cell>
          <cell r="K972" t="str">
            <v>BMED</v>
          </cell>
          <cell r="L972" t="str">
            <v>Normal</v>
          </cell>
          <cell r="M972" t="str">
            <v>Mexico</v>
          </cell>
          <cell r="N972" t="str">
            <v>Carespace</v>
          </cell>
          <cell r="O972" t="str">
            <v>Carescape V100</v>
          </cell>
          <cell r="P972" t="str">
            <v>SH612430108SA</v>
          </cell>
          <cell r="Q972" t="str">
            <v>Not Applicable</v>
          </cell>
          <cell r="R972" t="str">
            <v>GE Healthcare Systems</v>
          </cell>
          <cell r="S972" t="str">
            <v>GE Healthcare Technologies</v>
          </cell>
          <cell r="T972" t="str">
            <v>Functioning</v>
          </cell>
          <cell r="U972" t="str">
            <v>Asset</v>
          </cell>
          <cell r="V972">
            <v>7770</v>
          </cell>
          <cell r="W972" t="str">
            <v>KEW</v>
          </cell>
          <cell r="X972" t="str">
            <v>01/09/2010</v>
          </cell>
          <cell r="Y972" t="str">
            <v>KEW</v>
          </cell>
          <cell r="Z972" t="str">
            <v>16/08/2013</v>
          </cell>
          <cell r="AA972" t="str">
            <v>15/08/2015</v>
          </cell>
          <cell r="AB972" t="str">
            <v>No</v>
          </cell>
          <cell r="AC972" t="str">
            <v>31/08/2013</v>
          </cell>
          <cell r="AD972" t="str">
            <v>Good</v>
          </cell>
          <cell r="AE972" t="str">
            <v>V1 - Existing / No Claim</v>
          </cell>
          <cell r="AF972">
            <v>42235</v>
          </cell>
          <cell r="AG972">
            <v>9.17</v>
          </cell>
          <cell r="AH972" t="str">
            <v>PPM</v>
          </cell>
          <cell r="AI972" t="str">
            <v>Strands</v>
          </cell>
          <cell r="AJ972" t="str">
            <v>Strands PW</v>
          </cell>
        </row>
        <row r="973">
          <cell r="A973" t="str">
            <v>IKN400536</v>
          </cell>
          <cell r="B973">
            <v>536</v>
          </cell>
          <cell r="C973" t="str">
            <v>Institut Kanser Negara</v>
          </cell>
          <cell r="D973" t="str">
            <v>KKM/IKN/H/13/1343</v>
          </cell>
          <cell r="E973" t="str">
            <v>16-231</v>
          </cell>
          <cell r="F973" t="str">
            <v>Electrocardiographs, Multichannel, Interpretative</v>
          </cell>
          <cell r="G973" t="str">
            <v>WA</v>
          </cell>
          <cell r="H973" t="str">
            <v>NUCLEAR MED WARD (THERAPY)</v>
          </cell>
          <cell r="I973" t="str">
            <v>03WA116</v>
          </cell>
          <cell r="J973" t="str">
            <v>TREATMENT</v>
          </cell>
          <cell r="K973" t="str">
            <v>BMED</v>
          </cell>
          <cell r="L973" t="str">
            <v>Critical</v>
          </cell>
          <cell r="M973" t="str">
            <v>China</v>
          </cell>
          <cell r="N973" t="str">
            <v>Mac</v>
          </cell>
          <cell r="O973" t="str">
            <v>MAC 800</v>
          </cell>
          <cell r="P973" t="str">
            <v>SJ412450376 WA</v>
          </cell>
          <cell r="Q973" t="str">
            <v>Not Applicable</v>
          </cell>
          <cell r="R973" t="str">
            <v>GE Healthcare Systems</v>
          </cell>
          <cell r="S973" t="str">
            <v>GE Healthcare Technologies</v>
          </cell>
          <cell r="T973" t="str">
            <v>Functioning</v>
          </cell>
          <cell r="U973" t="str">
            <v>Asset</v>
          </cell>
          <cell r="V973">
            <v>25260</v>
          </cell>
          <cell r="W973" t="str">
            <v>KEW</v>
          </cell>
          <cell r="X973" t="str">
            <v>01/09/2010</v>
          </cell>
          <cell r="Y973" t="str">
            <v>KEW</v>
          </cell>
          <cell r="Z973" t="str">
            <v>16/08/2013</v>
          </cell>
          <cell r="AA973" t="str">
            <v>15/08/2015</v>
          </cell>
          <cell r="AB973" t="str">
            <v>No</v>
          </cell>
          <cell r="AC973" t="str">
            <v>31/08/2013</v>
          </cell>
          <cell r="AD973" t="str">
            <v>Good</v>
          </cell>
          <cell r="AE973" t="str">
            <v>V1 - Existing / No Claim</v>
          </cell>
          <cell r="AF973">
            <v>42794</v>
          </cell>
          <cell r="AG973">
            <v>9.17</v>
          </cell>
          <cell r="AH973" t="str">
            <v>PPM</v>
          </cell>
          <cell r="AI973" t="str">
            <v>Strands</v>
          </cell>
          <cell r="AJ973" t="str">
            <v>Strands PW</v>
          </cell>
        </row>
        <row r="974">
          <cell r="A974" t="str">
            <v>IKN400537</v>
          </cell>
          <cell r="B974">
            <v>537</v>
          </cell>
          <cell r="C974" t="str">
            <v>Institut Kanser Negara</v>
          </cell>
          <cell r="D974" t="e">
            <v>#N/A</v>
          </cell>
          <cell r="E974" t="str">
            <v>11-134</v>
          </cell>
          <cell r="F974" t="str">
            <v>Defibrillators, External, Manual</v>
          </cell>
          <cell r="G974" t="str">
            <v>WA</v>
          </cell>
          <cell r="H974" t="str">
            <v>NUCLEAR MED WARD (THERAPY)</v>
          </cell>
          <cell r="I974" t="str">
            <v>03WA117</v>
          </cell>
          <cell r="J974" t="str">
            <v>N/S 1</v>
          </cell>
          <cell r="K974" t="str">
            <v>BMED</v>
          </cell>
          <cell r="L974" t="str">
            <v>Critical</v>
          </cell>
          <cell r="M974" t="str">
            <v>USA</v>
          </cell>
          <cell r="N974" t="str">
            <v>Responder</v>
          </cell>
          <cell r="O974" t="str">
            <v>Responder 2000</v>
          </cell>
          <cell r="P974" t="str">
            <v>3206739</v>
          </cell>
          <cell r="Q974" t="str">
            <v>Not Applicable</v>
          </cell>
          <cell r="R974" t="str">
            <v>GE Medical Systems</v>
          </cell>
          <cell r="S974" t="str">
            <v>Antah Sir Radin Sdn. Bhd.</v>
          </cell>
          <cell r="T974" t="str">
            <v>Functioning</v>
          </cell>
          <cell r="U974" t="str">
            <v>Asset</v>
          </cell>
          <cell r="V974">
            <v>45000</v>
          </cell>
          <cell r="W974" t="str">
            <v>Estimate</v>
          </cell>
          <cell r="X974" t="str">
            <v>01/09/2010</v>
          </cell>
          <cell r="Y974" t="str">
            <v>KEW</v>
          </cell>
          <cell r="Z974" t="str">
            <v>16/08/2013</v>
          </cell>
          <cell r="AA974" t="str">
            <v>15/08/2015</v>
          </cell>
          <cell r="AB974" t="str">
            <v>No</v>
          </cell>
          <cell r="AC974" t="str">
            <v>31/08/2013</v>
          </cell>
          <cell r="AD974" t="str">
            <v>Good</v>
          </cell>
          <cell r="AE974" t="str">
            <v>V1 - Existing / No Claim</v>
          </cell>
          <cell r="AF974">
            <v>42601</v>
          </cell>
          <cell r="AG974">
            <v>9.17</v>
          </cell>
          <cell r="AH974" t="str">
            <v>PPM</v>
          </cell>
          <cell r="AI974" t="str">
            <v>Strands</v>
          </cell>
          <cell r="AJ974" t="str">
            <v>Strands PW</v>
          </cell>
          <cell r="AK974" t="str">
            <v>Crash Trolley (FEMS)</v>
          </cell>
        </row>
        <row r="975">
          <cell r="A975" t="str">
            <v>IKN400538</v>
          </cell>
          <cell r="B975">
            <v>538</v>
          </cell>
          <cell r="C975" t="str">
            <v>Institut Kanser Negara</v>
          </cell>
          <cell r="D975" t="str">
            <v>KKM/IKN/H/13/2204</v>
          </cell>
          <cell r="E975" t="str">
            <v>16-173</v>
          </cell>
          <cell r="F975" t="str">
            <v>Sphygmomanometers, Electronic, Automatic</v>
          </cell>
          <cell r="G975" t="str">
            <v>WA</v>
          </cell>
          <cell r="H975" t="str">
            <v>NUCLEAR MED WARD (THERAPY)</v>
          </cell>
          <cell r="I975" t="str">
            <v>03WA117</v>
          </cell>
          <cell r="J975" t="str">
            <v>N/S 1</v>
          </cell>
          <cell r="K975" t="str">
            <v>BMED</v>
          </cell>
          <cell r="L975" t="str">
            <v>Normal</v>
          </cell>
          <cell r="M975" t="str">
            <v>USA</v>
          </cell>
          <cell r="N975" t="str">
            <v>Connex</v>
          </cell>
          <cell r="O975" t="str">
            <v>Connex ProBP 3400</v>
          </cell>
          <cell r="P975" t="str">
            <v>100001770613</v>
          </cell>
          <cell r="Q975" t="str">
            <v>Not Applicable</v>
          </cell>
          <cell r="R975" t="str">
            <v>Welch Allyn Inc</v>
          </cell>
          <cell r="S975" t="str">
            <v>Welch Allyn Malaysia Sdn Bhd</v>
          </cell>
          <cell r="T975" t="str">
            <v>Functioning</v>
          </cell>
          <cell r="U975" t="str">
            <v>Asset</v>
          </cell>
          <cell r="V975">
            <v>4510</v>
          </cell>
          <cell r="W975" t="str">
            <v>KEW</v>
          </cell>
          <cell r="X975" t="str">
            <v>01/09/2010</v>
          </cell>
          <cell r="Y975" t="str">
            <v>KEW</v>
          </cell>
          <cell r="Z975" t="str">
            <v>16/08/2013</v>
          </cell>
          <cell r="AA975" t="str">
            <v>15/08/2015</v>
          </cell>
          <cell r="AB975" t="str">
            <v>No</v>
          </cell>
          <cell r="AC975" t="str">
            <v>31/08/2013</v>
          </cell>
          <cell r="AD975" t="str">
            <v>Good</v>
          </cell>
          <cell r="AE975" t="str">
            <v>V1 - Existing / No Claim</v>
          </cell>
          <cell r="AF975">
            <v>42235</v>
          </cell>
          <cell r="AG975">
            <v>9.17</v>
          </cell>
          <cell r="AH975" t="str">
            <v>PPM</v>
          </cell>
          <cell r="AI975" t="str">
            <v>Strands</v>
          </cell>
          <cell r="AJ975" t="str">
            <v>Strands PW</v>
          </cell>
        </row>
        <row r="976">
          <cell r="A976" t="str">
            <v>IKN400539</v>
          </cell>
          <cell r="B976">
            <v>539</v>
          </cell>
          <cell r="C976" t="str">
            <v>Institut Kanser Negara</v>
          </cell>
          <cell r="D976" t="str">
            <v>KKM/IKN/H/13/2205</v>
          </cell>
          <cell r="E976" t="str">
            <v>16-173</v>
          </cell>
          <cell r="F976" t="str">
            <v>Sphygmomanometers, Electronic, Automatic</v>
          </cell>
          <cell r="G976" t="str">
            <v>WA</v>
          </cell>
          <cell r="H976" t="str">
            <v>NUCLEAR MED WARD (THERAPY)</v>
          </cell>
          <cell r="I976" t="str">
            <v>03WA117</v>
          </cell>
          <cell r="J976" t="str">
            <v>N/S 1</v>
          </cell>
          <cell r="K976" t="str">
            <v>BMED</v>
          </cell>
          <cell r="L976" t="str">
            <v>Normal</v>
          </cell>
          <cell r="M976" t="str">
            <v>USA</v>
          </cell>
          <cell r="N976" t="str">
            <v>Connex</v>
          </cell>
          <cell r="O976" t="str">
            <v>Connex ProBP 3400</v>
          </cell>
          <cell r="P976" t="str">
            <v>100001470613</v>
          </cell>
          <cell r="Q976" t="str">
            <v>Not Applicable</v>
          </cell>
          <cell r="R976" t="str">
            <v>Welch Allyn Inc</v>
          </cell>
          <cell r="S976" t="str">
            <v>Welch Allyn Malaysia Sdn Bhd</v>
          </cell>
          <cell r="T976" t="str">
            <v>Functioning</v>
          </cell>
          <cell r="U976" t="str">
            <v>Asset</v>
          </cell>
          <cell r="V976">
            <v>4510</v>
          </cell>
          <cell r="W976" t="str">
            <v>KEW</v>
          </cell>
          <cell r="X976" t="str">
            <v>01/09/2010</v>
          </cell>
          <cell r="Y976" t="str">
            <v>KEW</v>
          </cell>
          <cell r="Z976" t="str">
            <v>16/08/2013</v>
          </cell>
          <cell r="AA976" t="str">
            <v>15/08/2015</v>
          </cell>
          <cell r="AB976" t="str">
            <v>No</v>
          </cell>
          <cell r="AC976" t="str">
            <v>31/08/2013</v>
          </cell>
          <cell r="AD976" t="str">
            <v>Good</v>
          </cell>
          <cell r="AE976" t="str">
            <v>V1 - Existing / No Claim</v>
          </cell>
          <cell r="AF976">
            <v>42235</v>
          </cell>
          <cell r="AG976">
            <v>9.17</v>
          </cell>
          <cell r="AH976" t="str">
            <v>PPM</v>
          </cell>
          <cell r="AI976" t="str">
            <v>Strands</v>
          </cell>
          <cell r="AJ976" t="str">
            <v>Strands PW</v>
          </cell>
        </row>
        <row r="977">
          <cell r="A977" t="str">
            <v>IKN400541</v>
          </cell>
          <cell r="B977">
            <v>541</v>
          </cell>
          <cell r="C977" t="str">
            <v>Institut Kanser Negara</v>
          </cell>
          <cell r="D977" t="str">
            <v>KKM/IKN/H/13/2478</v>
          </cell>
          <cell r="E977" t="str">
            <v>11-134</v>
          </cell>
          <cell r="F977" t="str">
            <v>Defibrillators, External, Manual</v>
          </cell>
          <cell r="G977" t="str">
            <v>WA</v>
          </cell>
          <cell r="H977" t="str">
            <v>NUCLEAR MED WARD (THERAPY)</v>
          </cell>
          <cell r="I977" t="str">
            <v>03WA121</v>
          </cell>
          <cell r="J977" t="str">
            <v>N/S 2</v>
          </cell>
          <cell r="K977" t="str">
            <v>BMED</v>
          </cell>
          <cell r="L977" t="str">
            <v>Critical</v>
          </cell>
          <cell r="M977" t="str">
            <v>USA</v>
          </cell>
          <cell r="N977" t="str">
            <v>Responder</v>
          </cell>
          <cell r="O977" t="str">
            <v>Responder 2000</v>
          </cell>
          <cell r="P977" t="str">
            <v>3206688</v>
          </cell>
          <cell r="Q977" t="str">
            <v>Not Applicable</v>
          </cell>
          <cell r="R977" t="str">
            <v>GE Medical Systems</v>
          </cell>
          <cell r="S977" t="str">
            <v>Antah Sir Radin Sdn. Bhd.</v>
          </cell>
          <cell r="T977" t="str">
            <v>Functioning</v>
          </cell>
          <cell r="U977" t="str">
            <v>Asset</v>
          </cell>
          <cell r="V977">
            <v>45000</v>
          </cell>
          <cell r="W977" t="str">
            <v>Estimate</v>
          </cell>
          <cell r="X977" t="str">
            <v>01/09/2010</v>
          </cell>
          <cell r="Y977" t="str">
            <v>KEW</v>
          </cell>
          <cell r="Z977" t="str">
            <v>16/08/2013</v>
          </cell>
          <cell r="AA977" t="str">
            <v>15/08/2015</v>
          </cell>
          <cell r="AB977" t="str">
            <v>No</v>
          </cell>
          <cell r="AC977" t="str">
            <v>31/08/2013</v>
          </cell>
          <cell r="AD977" t="str">
            <v>Good</v>
          </cell>
          <cell r="AE977" t="str">
            <v>V1 - Existing / No Claim</v>
          </cell>
          <cell r="AF977">
            <v>42601</v>
          </cell>
          <cell r="AG977">
            <v>9.17</v>
          </cell>
          <cell r="AH977" t="str">
            <v>PPM</v>
          </cell>
          <cell r="AI977" t="str">
            <v>Strands</v>
          </cell>
          <cell r="AJ977" t="str">
            <v>Strands PW</v>
          </cell>
          <cell r="AK977" t="str">
            <v>Crash Trolley (FEMS)</v>
          </cell>
        </row>
        <row r="978">
          <cell r="A978" t="str">
            <v>IKN400542</v>
          </cell>
          <cell r="B978">
            <v>542</v>
          </cell>
          <cell r="C978" t="str">
            <v>Institut Kanser Negara</v>
          </cell>
          <cell r="D978" t="str">
            <v>KKM/IKN/H/13/315</v>
          </cell>
          <cell r="E978" t="str">
            <v>12-660</v>
          </cell>
          <cell r="F978" t="str">
            <v>Radiation Monitors</v>
          </cell>
          <cell r="G978" t="str">
            <v>WA</v>
          </cell>
          <cell r="H978" t="str">
            <v>NUCLEAR MED WARD (THERAPY)</v>
          </cell>
          <cell r="I978" t="str">
            <v>03WA121</v>
          </cell>
          <cell r="J978" t="str">
            <v>N/S 2</v>
          </cell>
          <cell r="K978" t="str">
            <v>BMED</v>
          </cell>
          <cell r="L978" t="str">
            <v>Normal</v>
          </cell>
          <cell r="M978" t="str">
            <v>Germany</v>
          </cell>
          <cell r="N978" t="str">
            <v>CoMo</v>
          </cell>
          <cell r="O978" t="str">
            <v>CoMo 170</v>
          </cell>
          <cell r="P978" t="str">
            <v>5069DL</v>
          </cell>
          <cell r="Q978" t="str">
            <v>Not Applicable</v>
          </cell>
          <cell r="R978" t="str">
            <v>MED Nuklear-Medizintechnik Dresden GmbH</v>
          </cell>
          <cell r="S978" t="str">
            <v>Kwint International BN</v>
          </cell>
          <cell r="T978" t="str">
            <v>Functioning</v>
          </cell>
          <cell r="U978" t="str">
            <v>Asset</v>
          </cell>
          <cell r="V978">
            <v>23270</v>
          </cell>
          <cell r="W978" t="str">
            <v>KEW</v>
          </cell>
          <cell r="X978" t="str">
            <v>01/09/2010</v>
          </cell>
          <cell r="Y978" t="str">
            <v>KEW</v>
          </cell>
          <cell r="Z978" t="str">
            <v>16/08/2013</v>
          </cell>
          <cell r="AA978" t="str">
            <v>15/08/2015</v>
          </cell>
          <cell r="AB978" t="str">
            <v>No</v>
          </cell>
          <cell r="AC978" t="str">
            <v>31/08/2013</v>
          </cell>
          <cell r="AD978" t="str">
            <v>Good</v>
          </cell>
          <cell r="AE978" t="str">
            <v>V1 - Existing / No Claim</v>
          </cell>
          <cell r="AF978">
            <v>42235</v>
          </cell>
          <cell r="AG978">
            <v>9.17</v>
          </cell>
          <cell r="AH978" t="str">
            <v>PPM</v>
          </cell>
          <cell r="AI978" t="str">
            <v>Strands</v>
          </cell>
          <cell r="AJ978" t="str">
            <v>Strands PW</v>
          </cell>
          <cell r="AK978" t="str">
            <v>TA: Alpha detector problem.</v>
          </cell>
        </row>
        <row r="979">
          <cell r="A979" t="str">
            <v>IKN400543</v>
          </cell>
          <cell r="B979">
            <v>543</v>
          </cell>
          <cell r="C979" t="str">
            <v>Institut Kanser Negara</v>
          </cell>
          <cell r="D979" t="str">
            <v>KKM/IKN/H/13/2616</v>
          </cell>
          <cell r="E979" t="str">
            <v>12-660</v>
          </cell>
          <cell r="F979" t="str">
            <v>Radiation Monitors</v>
          </cell>
          <cell r="G979" t="str">
            <v>WA</v>
          </cell>
          <cell r="H979" t="str">
            <v>NUCLEAR MED WARD (THERAPY)</v>
          </cell>
          <cell r="I979" t="str">
            <v>03WA125</v>
          </cell>
          <cell r="J979" t="str">
            <v>RADIOIODIN PREP (100% F.A.)</v>
          </cell>
          <cell r="K979" t="str">
            <v>BMED</v>
          </cell>
          <cell r="L979" t="str">
            <v>Normal</v>
          </cell>
          <cell r="M979" t="str">
            <v>Germany</v>
          </cell>
          <cell r="N979" t="str">
            <v>CoMo</v>
          </cell>
          <cell r="O979" t="str">
            <v>CoMo 170</v>
          </cell>
          <cell r="P979" t="str">
            <v>5389</v>
          </cell>
          <cell r="Q979" t="str">
            <v>Not Applicable</v>
          </cell>
          <cell r="R979" t="str">
            <v>MED Nuklear-Medizintechnik Dresden GmbH</v>
          </cell>
          <cell r="S979" t="str">
            <v>Kwint International BN</v>
          </cell>
          <cell r="T979" t="str">
            <v>Functioning</v>
          </cell>
          <cell r="U979" t="str">
            <v>Asset</v>
          </cell>
          <cell r="V979">
            <v>6810</v>
          </cell>
          <cell r="W979" t="str">
            <v>KEW</v>
          </cell>
          <cell r="X979" t="str">
            <v>01/09/2010</v>
          </cell>
          <cell r="Y979" t="str">
            <v>KEW</v>
          </cell>
          <cell r="Z979" t="str">
            <v>16/08/2013</v>
          </cell>
          <cell r="AA979" t="str">
            <v>15/08/2015</v>
          </cell>
          <cell r="AB979" t="str">
            <v>No</v>
          </cell>
          <cell r="AC979" t="str">
            <v>31/08/2013</v>
          </cell>
          <cell r="AD979" t="str">
            <v>Good</v>
          </cell>
          <cell r="AE979" t="str">
            <v>V1 - Existing / No Claim</v>
          </cell>
          <cell r="AF979">
            <v>42796</v>
          </cell>
          <cell r="AG979">
            <v>9.17</v>
          </cell>
          <cell r="AH979" t="str">
            <v>PPM</v>
          </cell>
          <cell r="AI979" t="str">
            <v>Strands</v>
          </cell>
          <cell r="AJ979" t="str">
            <v>Strands PW</v>
          </cell>
        </row>
        <row r="980">
          <cell r="A980" t="str">
            <v>IKN400545</v>
          </cell>
          <cell r="B980">
            <v>545</v>
          </cell>
          <cell r="C980" t="str">
            <v>Institut Kanser Negara</v>
          </cell>
          <cell r="D980" t="str">
            <v>KKM/IKN/H/13/2135</v>
          </cell>
          <cell r="E980" t="str">
            <v>15-045</v>
          </cell>
          <cell r="F980" t="str">
            <v>Nebulizers, Nonheated</v>
          </cell>
          <cell r="G980" t="str">
            <v>WA</v>
          </cell>
          <cell r="H980" t="str">
            <v>NUCLEAR MED WARD (THERAPY)</v>
          </cell>
          <cell r="I980" t="str">
            <v>03WA177</v>
          </cell>
          <cell r="J980" t="str">
            <v>EQ. ROOM</v>
          </cell>
          <cell r="K980" t="str">
            <v>BMED</v>
          </cell>
          <cell r="L980" t="str">
            <v>Normal</v>
          </cell>
          <cell r="M980" t="str">
            <v>Germany</v>
          </cell>
          <cell r="N980" t="str">
            <v>Pari Boy</v>
          </cell>
          <cell r="O980" t="str">
            <v>Pari Boy SX 085</v>
          </cell>
          <cell r="P980" t="str">
            <v>2W12F13725</v>
          </cell>
          <cell r="Q980" t="str">
            <v>Not Applicable</v>
          </cell>
          <cell r="R980" t="str">
            <v>Pari GmbH</v>
          </cell>
          <cell r="S980" t="str">
            <v>Welch Allyn Malaysia Sdn Bhd</v>
          </cell>
          <cell r="T980" t="str">
            <v>Functioning</v>
          </cell>
          <cell r="U980" t="str">
            <v>Asset</v>
          </cell>
          <cell r="V980">
            <v>1140</v>
          </cell>
          <cell r="W980" t="str">
            <v>KEW</v>
          </cell>
          <cell r="X980" t="str">
            <v>01/09/2010</v>
          </cell>
          <cell r="Y980" t="str">
            <v>KEW</v>
          </cell>
          <cell r="Z980" t="str">
            <v>16/08/2013</v>
          </cell>
          <cell r="AA980" t="str">
            <v>15/08/2015</v>
          </cell>
          <cell r="AB980" t="str">
            <v>No</v>
          </cell>
          <cell r="AC980" t="str">
            <v>31/08/2013</v>
          </cell>
          <cell r="AD980" t="str">
            <v>Good</v>
          </cell>
          <cell r="AE980" t="str">
            <v>V3 - Added Installed Facilities (New)</v>
          </cell>
          <cell r="AF980">
            <v>42235</v>
          </cell>
          <cell r="AG980">
            <v>9.17</v>
          </cell>
          <cell r="AH980" t="str">
            <v>PPM</v>
          </cell>
          <cell r="AI980" t="str">
            <v>Strands</v>
          </cell>
          <cell r="AJ980" t="str">
            <v>Strands PW</v>
          </cell>
          <cell r="AK980" t="str">
            <v>SNF received. 1st batch of V3 asset (December 2020)</v>
          </cell>
        </row>
        <row r="981">
          <cell r="A981" t="str">
            <v>IKN400546</v>
          </cell>
          <cell r="B981">
            <v>546</v>
          </cell>
          <cell r="C981" t="str">
            <v>Institut Kanser Negara</v>
          </cell>
          <cell r="D981" t="str">
            <v>KKM/IKN/H/13/3318</v>
          </cell>
          <cell r="E981" t="str">
            <v>12-647</v>
          </cell>
          <cell r="F981" t="str">
            <v>Physiologic Monitoring Systems, Acute Care</v>
          </cell>
          <cell r="G981" t="str">
            <v>WA</v>
          </cell>
          <cell r="H981" t="str">
            <v>NUCLEAR MED WARD (THERAPY)</v>
          </cell>
          <cell r="I981" t="str">
            <v>03WA177</v>
          </cell>
          <cell r="J981" t="str">
            <v>EQ. ROOM</v>
          </cell>
          <cell r="K981" t="str">
            <v>BMED</v>
          </cell>
          <cell r="L981" t="str">
            <v>Normal</v>
          </cell>
          <cell r="M981" t="str">
            <v>USA</v>
          </cell>
          <cell r="N981" t="str">
            <v>GE</v>
          </cell>
          <cell r="O981" t="str">
            <v>GE B30</v>
          </cell>
          <cell r="P981" t="str">
            <v>SF312325923WA</v>
          </cell>
          <cell r="Q981" t="str">
            <v>Not Applicable</v>
          </cell>
          <cell r="R981" t="str">
            <v>GE Healthcare Systems</v>
          </cell>
          <cell r="S981" t="str">
            <v>GE Healthcare Technologies</v>
          </cell>
          <cell r="T981" t="str">
            <v>Functioning</v>
          </cell>
          <cell r="U981" t="str">
            <v>Asset</v>
          </cell>
          <cell r="V981">
            <v>44510</v>
          </cell>
          <cell r="W981" t="str">
            <v>KEW</v>
          </cell>
          <cell r="X981" t="str">
            <v>01/09/2010</v>
          </cell>
          <cell r="Y981" t="str">
            <v>KEW</v>
          </cell>
          <cell r="Z981" t="str">
            <v>16/08/2013</v>
          </cell>
          <cell r="AA981" t="str">
            <v>15/08/2015</v>
          </cell>
          <cell r="AB981" t="str">
            <v>No</v>
          </cell>
          <cell r="AC981" t="str">
            <v>31/08/2013</v>
          </cell>
          <cell r="AD981" t="str">
            <v>Good</v>
          </cell>
          <cell r="AE981" t="str">
            <v>V1 - Existing / No Claim</v>
          </cell>
          <cell r="AF981">
            <v>42235</v>
          </cell>
          <cell r="AG981">
            <v>9.17</v>
          </cell>
          <cell r="AH981" t="str">
            <v>PPM</v>
          </cell>
          <cell r="AI981" t="str">
            <v>Strands</v>
          </cell>
          <cell r="AJ981" t="str">
            <v>Strands PW</v>
          </cell>
        </row>
        <row r="982">
          <cell r="A982" t="str">
            <v>IKN400547</v>
          </cell>
          <cell r="B982">
            <v>547</v>
          </cell>
          <cell r="C982" t="str">
            <v>Institut Kanser Negara</v>
          </cell>
          <cell r="D982" t="str">
            <v>KKM/IKN/H/13/3119</v>
          </cell>
          <cell r="E982" t="str">
            <v>12-647</v>
          </cell>
          <cell r="F982" t="str">
            <v>Physiologic Monitoring Systems, Acute Care</v>
          </cell>
          <cell r="G982" t="str">
            <v>WA</v>
          </cell>
          <cell r="H982" t="str">
            <v>NUCLEAR MED WARD (THERAPY)</v>
          </cell>
          <cell r="I982" t="str">
            <v>03WA177</v>
          </cell>
          <cell r="J982" t="str">
            <v>EQ. ROOM</v>
          </cell>
          <cell r="K982" t="str">
            <v>BMED</v>
          </cell>
          <cell r="L982" t="str">
            <v>Normal</v>
          </cell>
          <cell r="M982" t="str">
            <v>USA</v>
          </cell>
          <cell r="N982" t="str">
            <v>GE</v>
          </cell>
          <cell r="O982" t="str">
            <v>GE B30</v>
          </cell>
          <cell r="P982" t="str">
            <v>SF312325916WA</v>
          </cell>
          <cell r="Q982" t="str">
            <v>Not Applicable</v>
          </cell>
          <cell r="R982" t="str">
            <v>GE Healthcare Systems</v>
          </cell>
          <cell r="S982" t="str">
            <v>GE Healthcare Technologies</v>
          </cell>
          <cell r="T982" t="str">
            <v>Functioning</v>
          </cell>
          <cell r="U982" t="str">
            <v>Asset</v>
          </cell>
          <cell r="V982">
            <v>44510</v>
          </cell>
          <cell r="W982" t="str">
            <v>KEW</v>
          </cell>
          <cell r="X982" t="str">
            <v>01/09/2010</v>
          </cell>
          <cell r="Y982" t="str">
            <v>KEW</v>
          </cell>
          <cell r="Z982" t="str">
            <v>16/08/2013</v>
          </cell>
          <cell r="AA982" t="str">
            <v>15/08/2015</v>
          </cell>
          <cell r="AB982" t="str">
            <v>No</v>
          </cell>
          <cell r="AC982" t="str">
            <v>31/08/2013</v>
          </cell>
          <cell r="AD982" t="str">
            <v>Good</v>
          </cell>
          <cell r="AE982" t="str">
            <v>V1 - Existing / No Claim</v>
          </cell>
          <cell r="AF982">
            <v>42235</v>
          </cell>
          <cell r="AG982">
            <v>9.17</v>
          </cell>
          <cell r="AH982" t="str">
            <v>PPM</v>
          </cell>
          <cell r="AI982" t="str">
            <v>Strands</v>
          </cell>
          <cell r="AJ982" t="str">
            <v>Strands PW</v>
          </cell>
        </row>
        <row r="983">
          <cell r="A983" t="str">
            <v>IKN400548</v>
          </cell>
          <cell r="B983">
            <v>548</v>
          </cell>
          <cell r="C983" t="str">
            <v>Institut Kanser Negara</v>
          </cell>
          <cell r="D983" t="str">
            <v>KKM/IKN/H/13/2391</v>
          </cell>
          <cell r="E983" t="str">
            <v>12-282</v>
          </cell>
          <cell r="F983" t="str">
            <v>Lights, Surgical</v>
          </cell>
          <cell r="G983" t="str">
            <v>WA</v>
          </cell>
          <cell r="H983" t="str">
            <v>NUCLEAR MED WARD (THERAPY)</v>
          </cell>
          <cell r="I983" t="str">
            <v>03WA177</v>
          </cell>
          <cell r="J983" t="str">
            <v>EQ. ROOM</v>
          </cell>
          <cell r="K983" t="str">
            <v>BMED</v>
          </cell>
          <cell r="L983" t="str">
            <v>Critical</v>
          </cell>
          <cell r="M983" t="str">
            <v>USA</v>
          </cell>
          <cell r="N983" t="str">
            <v>Welch Allyn</v>
          </cell>
          <cell r="O983" t="str">
            <v>Welch Allyn GS600</v>
          </cell>
          <cell r="P983" t="str">
            <v>GS-600-30</v>
          </cell>
          <cell r="Q983" t="str">
            <v>Not Applicable</v>
          </cell>
          <cell r="R983" t="str">
            <v>Welch Allyn Inc</v>
          </cell>
          <cell r="S983" t="str">
            <v>Welch Allyn Malaysia Sdn Bhd</v>
          </cell>
          <cell r="T983" t="str">
            <v>Functioning</v>
          </cell>
          <cell r="U983" t="str">
            <v>Asset</v>
          </cell>
          <cell r="V983">
            <v>5050</v>
          </cell>
          <cell r="W983" t="str">
            <v>KEW</v>
          </cell>
          <cell r="X983" t="str">
            <v>01/09/2010</v>
          </cell>
          <cell r="Y983" t="str">
            <v>KEW</v>
          </cell>
          <cell r="Z983" t="str">
            <v>16/08/2013</v>
          </cell>
          <cell r="AA983" t="str">
            <v>15/08/2015</v>
          </cell>
          <cell r="AB983" t="str">
            <v>No</v>
          </cell>
          <cell r="AC983" t="str">
            <v>31/08/2013</v>
          </cell>
          <cell r="AD983" t="str">
            <v>Good</v>
          </cell>
          <cell r="AE983" t="str">
            <v>V1 - Existing / No Claim</v>
          </cell>
          <cell r="AF983">
            <v>42796</v>
          </cell>
          <cell r="AG983">
            <v>9.17</v>
          </cell>
          <cell r="AH983" t="str">
            <v>PPM</v>
          </cell>
          <cell r="AI983" t="str">
            <v>Strands</v>
          </cell>
          <cell r="AJ983" t="str">
            <v>Strands PW</v>
          </cell>
        </row>
        <row r="984">
          <cell r="A984" t="str">
            <v>IKN400549</v>
          </cell>
          <cell r="B984">
            <v>549</v>
          </cell>
          <cell r="C984" t="str">
            <v>Institut Kanser Negara</v>
          </cell>
          <cell r="D984" t="str">
            <v>KKM/IKN/H/13/2393</v>
          </cell>
          <cell r="E984" t="str">
            <v>12-282</v>
          </cell>
          <cell r="F984" t="str">
            <v>Lights, Surgical</v>
          </cell>
          <cell r="G984" t="str">
            <v>WA</v>
          </cell>
          <cell r="H984" t="str">
            <v>NUCLEAR MED WARD (THERAPY)</v>
          </cell>
          <cell r="I984" t="str">
            <v>03WA177</v>
          </cell>
          <cell r="J984" t="str">
            <v>EQ. ROOM</v>
          </cell>
          <cell r="K984" t="str">
            <v>BMED</v>
          </cell>
          <cell r="L984" t="str">
            <v>Critical</v>
          </cell>
          <cell r="M984" t="str">
            <v>USA</v>
          </cell>
          <cell r="N984" t="str">
            <v>Welch Allyn</v>
          </cell>
          <cell r="O984" t="str">
            <v>Welch Allyn GS600</v>
          </cell>
          <cell r="P984" t="str">
            <v>GS-600-43</v>
          </cell>
          <cell r="Q984" t="str">
            <v>Not Applicable</v>
          </cell>
          <cell r="R984" t="str">
            <v>Welch Allyn Inc</v>
          </cell>
          <cell r="S984" t="str">
            <v>Welch Allyn Malaysia Sdn Bhd</v>
          </cell>
          <cell r="T984" t="str">
            <v>Functioning</v>
          </cell>
          <cell r="U984" t="str">
            <v>Asset</v>
          </cell>
          <cell r="V984">
            <v>5050</v>
          </cell>
          <cell r="W984" t="str">
            <v>KEW</v>
          </cell>
          <cell r="X984" t="str">
            <v>01/09/2010</v>
          </cell>
          <cell r="Y984" t="str">
            <v>KEW</v>
          </cell>
          <cell r="Z984" t="str">
            <v>16/08/2013</v>
          </cell>
          <cell r="AA984" t="str">
            <v>15/08/2015</v>
          </cell>
          <cell r="AB984" t="str">
            <v>No</v>
          </cell>
          <cell r="AC984" t="str">
            <v>31/08/2013</v>
          </cell>
          <cell r="AD984" t="str">
            <v>Good</v>
          </cell>
          <cell r="AE984" t="str">
            <v>V1 - Existing / No Claim</v>
          </cell>
          <cell r="AF984">
            <v>42796</v>
          </cell>
          <cell r="AG984">
            <v>9.17</v>
          </cell>
          <cell r="AH984" t="str">
            <v>PPM</v>
          </cell>
          <cell r="AI984" t="str">
            <v>Strands</v>
          </cell>
          <cell r="AJ984" t="str">
            <v>Strands PW</v>
          </cell>
        </row>
        <row r="985">
          <cell r="A985" t="str">
            <v>IKN400550</v>
          </cell>
          <cell r="B985">
            <v>550</v>
          </cell>
          <cell r="C985" t="str">
            <v>Institut Kanser Negara</v>
          </cell>
          <cell r="D985" t="str">
            <v>KKM/IKN/H/13/2987</v>
          </cell>
          <cell r="E985" t="str">
            <v>17-148</v>
          </cell>
          <cell r="F985" t="str">
            <v>Oximeters, Pulse</v>
          </cell>
          <cell r="G985" t="str">
            <v>NM</v>
          </cell>
          <cell r="H985" t="str">
            <v>NUCLEAR MED (DIAGNOSTIC)</v>
          </cell>
          <cell r="I985" t="str">
            <v>03NM109</v>
          </cell>
          <cell r="J985" t="str">
            <v>TREATMENT 2 (RAS) (-VE)</v>
          </cell>
          <cell r="K985" t="str">
            <v>BMED</v>
          </cell>
          <cell r="L985" t="str">
            <v>Normal</v>
          </cell>
          <cell r="M985" t="str">
            <v>Finland</v>
          </cell>
          <cell r="N985" t="str">
            <v>Trusat</v>
          </cell>
          <cell r="O985" t="str">
            <v>Trusat</v>
          </cell>
          <cell r="P985" t="str">
            <v>FCC12430016SA</v>
          </cell>
          <cell r="Q985" t="str">
            <v>Not Applicable</v>
          </cell>
          <cell r="R985" t="str">
            <v>GE Healthcare Systems</v>
          </cell>
          <cell r="S985" t="str">
            <v>GE Healthcare Technologies</v>
          </cell>
          <cell r="T985" t="str">
            <v>Functioning</v>
          </cell>
          <cell r="U985" t="str">
            <v>Asset</v>
          </cell>
          <cell r="V985">
            <v>11120</v>
          </cell>
          <cell r="W985" t="str">
            <v>KEW</v>
          </cell>
          <cell r="X985" t="str">
            <v>01/09/2010</v>
          </cell>
          <cell r="Y985" t="str">
            <v>KEW</v>
          </cell>
          <cell r="Z985" t="str">
            <v>16/08/2013</v>
          </cell>
          <cell r="AA985" t="str">
            <v>15/08/2015</v>
          </cell>
          <cell r="AB985" t="str">
            <v>No</v>
          </cell>
          <cell r="AC985" t="str">
            <v>31/08/2013</v>
          </cell>
          <cell r="AD985" t="str">
            <v>Good</v>
          </cell>
          <cell r="AE985" t="str">
            <v>V1 - Existing / No Claim</v>
          </cell>
          <cell r="AF985">
            <v>42235</v>
          </cell>
          <cell r="AG985">
            <v>9.17</v>
          </cell>
          <cell r="AH985" t="str">
            <v>PPM</v>
          </cell>
          <cell r="AI985" t="str">
            <v>Strands</v>
          </cell>
          <cell r="AJ985" t="str">
            <v>Strands PW</v>
          </cell>
        </row>
        <row r="986">
          <cell r="A986" t="str">
            <v>IKN400552</v>
          </cell>
          <cell r="B986">
            <v>552</v>
          </cell>
          <cell r="C986" t="str">
            <v>Institut Kanser Negara</v>
          </cell>
          <cell r="D986" t="str">
            <v>KKM/IKN/H/13/2988</v>
          </cell>
          <cell r="E986" t="str">
            <v>17-148</v>
          </cell>
          <cell r="F986" t="str">
            <v>Oximeters, Pulse</v>
          </cell>
          <cell r="G986" t="str">
            <v>NM</v>
          </cell>
          <cell r="H986" t="str">
            <v>NUCLEAR MED (DIAGNOSTIC)</v>
          </cell>
          <cell r="I986" t="str">
            <v>03NM155</v>
          </cell>
          <cell r="J986" t="str">
            <v>STRESS LAB</v>
          </cell>
          <cell r="K986" t="str">
            <v>BMED</v>
          </cell>
          <cell r="L986" t="str">
            <v>Critical</v>
          </cell>
          <cell r="M986" t="str">
            <v>Finland</v>
          </cell>
          <cell r="N986" t="str">
            <v>Trusat</v>
          </cell>
          <cell r="O986" t="str">
            <v>Trusat</v>
          </cell>
          <cell r="P986" t="str">
            <v>FCC12430072SA</v>
          </cell>
          <cell r="Q986" t="str">
            <v>Not Applicable</v>
          </cell>
          <cell r="R986" t="str">
            <v>GE Healthcare Systems</v>
          </cell>
          <cell r="S986" t="str">
            <v>GE Healthcare Technologies</v>
          </cell>
          <cell r="T986" t="str">
            <v>Functioning</v>
          </cell>
          <cell r="U986" t="str">
            <v>Asset</v>
          </cell>
          <cell r="V986">
            <v>11120</v>
          </cell>
          <cell r="W986" t="str">
            <v>KEW</v>
          </cell>
          <cell r="X986" t="str">
            <v>01/09/2010</v>
          </cell>
          <cell r="Y986" t="str">
            <v>KEW</v>
          </cell>
          <cell r="Z986" t="str">
            <v>16/08/2013</v>
          </cell>
          <cell r="AA986" t="str">
            <v>15/08/2015</v>
          </cell>
          <cell r="AB986" t="str">
            <v>No</v>
          </cell>
          <cell r="AC986" t="str">
            <v>31/08/2013</v>
          </cell>
          <cell r="AD986" t="str">
            <v>Good</v>
          </cell>
          <cell r="AE986" t="str">
            <v>V1 - Existing / No Claim</v>
          </cell>
          <cell r="AF986">
            <v>42706</v>
          </cell>
          <cell r="AG986">
            <v>9.17</v>
          </cell>
          <cell r="AH986" t="str">
            <v>PPM</v>
          </cell>
          <cell r="AI986" t="str">
            <v>Strands</v>
          </cell>
          <cell r="AJ986" t="str">
            <v>Strands PW</v>
          </cell>
        </row>
        <row r="987">
          <cell r="A987" t="str">
            <v>IKN400553</v>
          </cell>
          <cell r="B987">
            <v>553</v>
          </cell>
          <cell r="C987" t="str">
            <v>Institut Kanser Negara</v>
          </cell>
          <cell r="D987" t="str">
            <v>KKM/IKN/H/13/2989</v>
          </cell>
          <cell r="E987" t="str">
            <v>17-148</v>
          </cell>
          <cell r="F987" t="str">
            <v>Oximeters, Pulse</v>
          </cell>
          <cell r="G987" t="str">
            <v>NM</v>
          </cell>
          <cell r="H987" t="str">
            <v>NUCLEAR MED (DIAGNOSTIC)</v>
          </cell>
          <cell r="I987" t="str">
            <v>03NM124</v>
          </cell>
          <cell r="J987" t="str">
            <v>EQUIPMENT ROOM</v>
          </cell>
          <cell r="K987" t="str">
            <v>BMED</v>
          </cell>
          <cell r="L987" t="str">
            <v>Normal</v>
          </cell>
          <cell r="M987" t="str">
            <v>Finland</v>
          </cell>
          <cell r="N987" t="str">
            <v>Trusat</v>
          </cell>
          <cell r="O987" t="str">
            <v>Trusat</v>
          </cell>
          <cell r="P987" t="str">
            <v>FCC12430059SA</v>
          </cell>
          <cell r="Q987" t="str">
            <v>Not Applicable</v>
          </cell>
          <cell r="R987" t="str">
            <v>GE Healthcare Systems</v>
          </cell>
          <cell r="S987" t="str">
            <v>GE Healthcare Technologies</v>
          </cell>
          <cell r="T987" t="str">
            <v>Functioning</v>
          </cell>
          <cell r="U987" t="str">
            <v>Asset</v>
          </cell>
          <cell r="V987">
            <v>11120</v>
          </cell>
          <cell r="W987" t="str">
            <v>KEW</v>
          </cell>
          <cell r="X987" t="str">
            <v>01/09/2010</v>
          </cell>
          <cell r="Y987" t="str">
            <v>KEW</v>
          </cell>
          <cell r="Z987" t="str">
            <v>16/08/2013</v>
          </cell>
          <cell r="AA987" t="str">
            <v>15/08/2015</v>
          </cell>
          <cell r="AB987" t="str">
            <v>No</v>
          </cell>
          <cell r="AC987" t="str">
            <v>31/08/2013</v>
          </cell>
          <cell r="AD987" t="str">
            <v>Good</v>
          </cell>
          <cell r="AE987" t="str">
            <v>V1 - Existing / No Claim</v>
          </cell>
          <cell r="AF987">
            <v>42235</v>
          </cell>
          <cell r="AG987">
            <v>9.17</v>
          </cell>
          <cell r="AH987" t="str">
            <v>PPM</v>
          </cell>
          <cell r="AI987" t="str">
            <v>Strands</v>
          </cell>
          <cell r="AJ987" t="str">
            <v>Strands PW</v>
          </cell>
        </row>
        <row r="988">
          <cell r="A988" t="str">
            <v>IKN400560</v>
          </cell>
          <cell r="B988">
            <v>560</v>
          </cell>
          <cell r="C988" t="str">
            <v>Institut Kanser Negara</v>
          </cell>
          <cell r="D988" t="str">
            <v>KKM/IKN/H/13/2982</v>
          </cell>
          <cell r="E988" t="str">
            <v>16-173</v>
          </cell>
          <cell r="F988" t="str">
            <v>Sphygmomanometers, Electronic, Automatic</v>
          </cell>
          <cell r="G988" t="str">
            <v>NM</v>
          </cell>
          <cell r="H988" t="str">
            <v>NUCLEAR MED (DIAGNOSTIC)</v>
          </cell>
          <cell r="I988" t="str">
            <v>03NM152</v>
          </cell>
          <cell r="J988" t="str">
            <v>NURSE STATION</v>
          </cell>
          <cell r="K988" t="str">
            <v>BMED</v>
          </cell>
          <cell r="L988" t="str">
            <v>Critical</v>
          </cell>
          <cell r="M988" t="str">
            <v>USA</v>
          </cell>
          <cell r="N988" t="str">
            <v>Connex</v>
          </cell>
          <cell r="O988" t="str">
            <v>Connex ProBP 3400</v>
          </cell>
          <cell r="P988" t="str">
            <v>100001580613</v>
          </cell>
          <cell r="Q988" t="str">
            <v>Not Applicable</v>
          </cell>
          <cell r="R988" t="str">
            <v>Welch Allyn Inc</v>
          </cell>
          <cell r="S988" t="str">
            <v>Welch Allyn Malaysia Sdn Bhd</v>
          </cell>
          <cell r="T988" t="str">
            <v>Functioning</v>
          </cell>
          <cell r="U988" t="str">
            <v>Asset</v>
          </cell>
          <cell r="V988">
            <v>4510</v>
          </cell>
          <cell r="W988" t="str">
            <v>KEW</v>
          </cell>
          <cell r="X988" t="str">
            <v>01/09/2010</v>
          </cell>
          <cell r="Y988" t="str">
            <v>KEW</v>
          </cell>
          <cell r="Z988" t="str">
            <v>16/08/2013</v>
          </cell>
          <cell r="AA988" t="str">
            <v>15/08/2015</v>
          </cell>
          <cell r="AB988" t="str">
            <v>No</v>
          </cell>
          <cell r="AC988" t="str">
            <v>31/08/2013</v>
          </cell>
          <cell r="AD988" t="str">
            <v>Good</v>
          </cell>
          <cell r="AE988" t="str">
            <v>V1 - Existing / No Claim</v>
          </cell>
          <cell r="AF988">
            <v>42796</v>
          </cell>
          <cell r="AG988">
            <v>9.17</v>
          </cell>
          <cell r="AH988" t="str">
            <v>PPM</v>
          </cell>
          <cell r="AI988" t="str">
            <v>Strands</v>
          </cell>
          <cell r="AJ988" t="str">
            <v>Strands PW</v>
          </cell>
        </row>
        <row r="989">
          <cell r="A989" t="str">
            <v>IKN400561</v>
          </cell>
          <cell r="B989">
            <v>561</v>
          </cell>
          <cell r="C989" t="str">
            <v>Institut Kanser Negara</v>
          </cell>
          <cell r="D989" t="str">
            <v>KKM/IKN/H/13/3022</v>
          </cell>
          <cell r="E989" t="str">
            <v>10-780</v>
          </cell>
          <cell r="F989" t="str">
            <v>Centrifuges, Tabletop</v>
          </cell>
          <cell r="G989" t="str">
            <v>NM</v>
          </cell>
          <cell r="H989" t="str">
            <v>NUCLEAR MED (DIAGNOSTIC)</v>
          </cell>
          <cell r="I989" t="str">
            <v>03NM154</v>
          </cell>
          <cell r="J989" t="str">
            <v>RIA LAB</v>
          </cell>
          <cell r="K989" t="str">
            <v>BMED</v>
          </cell>
          <cell r="L989" t="str">
            <v>Normal</v>
          </cell>
          <cell r="M989" t="str">
            <v>Germany</v>
          </cell>
          <cell r="N989" t="str">
            <v>Rotofix</v>
          </cell>
          <cell r="O989" t="str">
            <v>Rotofix 32A</v>
          </cell>
          <cell r="P989" t="str">
            <v>18401</v>
          </cell>
          <cell r="Q989" t="str">
            <v>Not Applicable</v>
          </cell>
          <cell r="R989" t="str">
            <v>Hettich-Zentrifugen GmbH</v>
          </cell>
          <cell r="S989" t="str">
            <v>Biomarketing Services (M) Sdn Bhd</v>
          </cell>
          <cell r="T989" t="str">
            <v>Functioning</v>
          </cell>
          <cell r="U989" t="str">
            <v>Asset</v>
          </cell>
          <cell r="V989">
            <v>24060</v>
          </cell>
          <cell r="W989" t="str">
            <v>KEW</v>
          </cell>
          <cell r="X989" t="str">
            <v>01/09/2010</v>
          </cell>
          <cell r="Y989" t="str">
            <v>KEW</v>
          </cell>
          <cell r="Z989" t="str">
            <v>16/08/2013</v>
          </cell>
          <cell r="AA989" t="str">
            <v>15/08/2015</v>
          </cell>
          <cell r="AB989" t="str">
            <v>No</v>
          </cell>
          <cell r="AC989" t="str">
            <v>31/08/2013</v>
          </cell>
          <cell r="AD989" t="str">
            <v>Good</v>
          </cell>
          <cell r="AE989" t="str">
            <v>V1 - Existing / No Claim</v>
          </cell>
          <cell r="AF989">
            <v>42235</v>
          </cell>
          <cell r="AG989">
            <v>9.17</v>
          </cell>
          <cell r="AH989" t="str">
            <v>PPM</v>
          </cell>
          <cell r="AI989" t="str">
            <v>Strands</v>
          </cell>
          <cell r="AJ989" t="str">
            <v>Strands PW</v>
          </cell>
        </row>
        <row r="990">
          <cell r="A990" t="str">
            <v>IKN400562</v>
          </cell>
          <cell r="B990">
            <v>562</v>
          </cell>
          <cell r="C990" t="str">
            <v>Institut Kanser Negara</v>
          </cell>
          <cell r="D990" t="e">
            <v>#N/A</v>
          </cell>
          <cell r="E990" t="str">
            <v>11-134</v>
          </cell>
          <cell r="F990" t="str">
            <v>Defibrillators, External, Manual</v>
          </cell>
          <cell r="G990" t="str">
            <v>NM</v>
          </cell>
          <cell r="H990" t="str">
            <v>NUCLEAR MED (DIAGNOSTIC)</v>
          </cell>
          <cell r="I990" t="str">
            <v>03NM155</v>
          </cell>
          <cell r="J990" t="str">
            <v>STRESS LAB</v>
          </cell>
          <cell r="K990" t="str">
            <v>BMED</v>
          </cell>
          <cell r="L990" t="str">
            <v>Critical</v>
          </cell>
          <cell r="M990" t="str">
            <v>USA</v>
          </cell>
          <cell r="N990" t="str">
            <v>Responder</v>
          </cell>
          <cell r="O990" t="str">
            <v>Responder 2000</v>
          </cell>
          <cell r="P990" t="str">
            <v>3206690</v>
          </cell>
          <cell r="Q990" t="str">
            <v>Not Applicable</v>
          </cell>
          <cell r="R990" t="str">
            <v>GE Medical Systems</v>
          </cell>
          <cell r="S990" t="str">
            <v>Antah Sir Radin Sdn. Bhd.</v>
          </cell>
          <cell r="T990" t="str">
            <v>Functioning</v>
          </cell>
          <cell r="U990" t="str">
            <v>Asset</v>
          </cell>
          <cell r="V990">
            <v>45000</v>
          </cell>
          <cell r="W990" t="str">
            <v>Estimate</v>
          </cell>
          <cell r="X990" t="str">
            <v>01/09/2010</v>
          </cell>
          <cell r="Y990" t="str">
            <v>KEW</v>
          </cell>
          <cell r="Z990" t="str">
            <v>16/08/2013</v>
          </cell>
          <cell r="AA990" t="str">
            <v>15/08/2015</v>
          </cell>
          <cell r="AB990" t="str">
            <v>No</v>
          </cell>
          <cell r="AC990" t="str">
            <v>31/08/2013</v>
          </cell>
          <cell r="AD990" t="str">
            <v>Good</v>
          </cell>
          <cell r="AE990" t="str">
            <v>V1 - Existing / No Claim</v>
          </cell>
          <cell r="AF990">
            <v>42601</v>
          </cell>
          <cell r="AG990">
            <v>9.17</v>
          </cell>
          <cell r="AH990" t="str">
            <v>PPM</v>
          </cell>
          <cell r="AI990" t="str">
            <v>Strands</v>
          </cell>
          <cell r="AJ990" t="str">
            <v>Strands PW</v>
          </cell>
          <cell r="AK990" t="str">
            <v>Crash Trolley (FEMS)</v>
          </cell>
        </row>
        <row r="991">
          <cell r="A991" t="str">
            <v>IKN400563</v>
          </cell>
          <cell r="B991">
            <v>563</v>
          </cell>
          <cell r="C991" t="str">
            <v>Institut Kanser Negara</v>
          </cell>
          <cell r="D991" t="str">
            <v>KKM/IKN/H/13/2993</v>
          </cell>
          <cell r="E991" t="str">
            <v>12-660</v>
          </cell>
          <cell r="F991" t="str">
            <v>Radiation Monitors</v>
          </cell>
          <cell r="G991" t="str">
            <v>NW</v>
          </cell>
          <cell r="H991" t="str">
            <v>NUCLEAR WASTE HOLDING</v>
          </cell>
          <cell r="I991" t="str">
            <v>01NW106</v>
          </cell>
          <cell r="J991" t="str">
            <v>WASTE MEASUREMENT</v>
          </cell>
          <cell r="K991" t="str">
            <v>BMED</v>
          </cell>
          <cell r="L991" t="str">
            <v>Normal</v>
          </cell>
          <cell r="M991" t="str">
            <v>Germany</v>
          </cell>
          <cell r="N991" t="str">
            <v>MED HFC</v>
          </cell>
          <cell r="O991" t="str">
            <v>MED HFC</v>
          </cell>
          <cell r="P991" t="str">
            <v>738</v>
          </cell>
          <cell r="Q991" t="str">
            <v>Not Applicable</v>
          </cell>
          <cell r="R991" t="str">
            <v>MED Nuklear-Medizintechnik Dresden GmbH</v>
          </cell>
          <cell r="S991" t="str">
            <v/>
          </cell>
          <cell r="T991" t="str">
            <v>Functioning</v>
          </cell>
          <cell r="U991" t="str">
            <v>Asset</v>
          </cell>
          <cell r="V991">
            <v>112855</v>
          </cell>
          <cell r="W991" t="str">
            <v>KEW</v>
          </cell>
          <cell r="X991" t="str">
            <v>01/09/2010</v>
          </cell>
          <cell r="Y991" t="str">
            <v>KEW</v>
          </cell>
          <cell r="Z991" t="str">
            <v>16/08/2013</v>
          </cell>
          <cell r="AA991" t="str">
            <v>15/08/2015</v>
          </cell>
          <cell r="AB991" t="str">
            <v>No</v>
          </cell>
          <cell r="AC991" t="str">
            <v>31/08/2013</v>
          </cell>
          <cell r="AD991" t="str">
            <v>Good</v>
          </cell>
          <cell r="AE991" t="str">
            <v>V1 - Existing / No Claim</v>
          </cell>
          <cell r="AF991">
            <v>42235</v>
          </cell>
          <cell r="AG991">
            <v>9.17</v>
          </cell>
          <cell r="AH991" t="str">
            <v>PPM</v>
          </cell>
          <cell r="AI991" t="str">
            <v>package</v>
          </cell>
          <cell r="AJ991" t="str">
            <v>Proposed for V3 P1.24</v>
          </cell>
          <cell r="AK991" t="str">
            <v>Detector SN: 0753L, 0738R, 0738R, 0738L</v>
          </cell>
        </row>
        <row r="992">
          <cell r="A992" t="str">
            <v>IKN400564</v>
          </cell>
          <cell r="B992">
            <v>564</v>
          </cell>
          <cell r="C992" t="str">
            <v>Institut Kanser Negara</v>
          </cell>
          <cell r="D992" t="str">
            <v>KKM/IKN/H/13/2991</v>
          </cell>
          <cell r="E992" t="str">
            <v>12-647</v>
          </cell>
          <cell r="F992" t="str">
            <v>Physiologic Monitoring Systems, Acute Care</v>
          </cell>
          <cell r="G992" t="str">
            <v>NM</v>
          </cell>
          <cell r="H992" t="str">
            <v>NUCLEAR MED (DIAGNOSTIC)</v>
          </cell>
          <cell r="I992" t="str">
            <v>03NM155</v>
          </cell>
          <cell r="J992" t="str">
            <v>STRESS LAB</v>
          </cell>
          <cell r="K992" t="str">
            <v>BMED</v>
          </cell>
          <cell r="L992" t="str">
            <v>Normal</v>
          </cell>
          <cell r="M992" t="str">
            <v>USA</v>
          </cell>
          <cell r="N992" t="str">
            <v>Tram</v>
          </cell>
          <cell r="O992" t="str">
            <v>Transport Pro</v>
          </cell>
          <cell r="P992" t="str">
            <v>SCS12367503GA</v>
          </cell>
          <cell r="Q992" t="str">
            <v>Not Applicable</v>
          </cell>
          <cell r="R992" t="str">
            <v>GE Medical Systems</v>
          </cell>
          <cell r="S992" t="str">
            <v>GE Healthcare Technologies</v>
          </cell>
          <cell r="T992" t="str">
            <v>Functioning</v>
          </cell>
          <cell r="U992" t="str">
            <v>Asset</v>
          </cell>
          <cell r="V992">
            <v>54100</v>
          </cell>
          <cell r="W992" t="str">
            <v>KEW</v>
          </cell>
          <cell r="X992" t="str">
            <v>01/09/2010</v>
          </cell>
          <cell r="Y992" t="str">
            <v>KEW</v>
          </cell>
          <cell r="Z992" t="str">
            <v>16/08/2013</v>
          </cell>
          <cell r="AA992" t="str">
            <v>15/08/2015</v>
          </cell>
          <cell r="AB992" t="str">
            <v>No</v>
          </cell>
          <cell r="AC992" t="str">
            <v>31/08/2013</v>
          </cell>
          <cell r="AD992" t="str">
            <v>Good</v>
          </cell>
          <cell r="AE992" t="str">
            <v>V1 - Existing / No Claim</v>
          </cell>
          <cell r="AF992">
            <v>42235</v>
          </cell>
          <cell r="AG992">
            <v>9.17</v>
          </cell>
          <cell r="AH992" t="str">
            <v>PPM</v>
          </cell>
          <cell r="AI992" t="str">
            <v>Strands</v>
          </cell>
          <cell r="AJ992" t="str">
            <v>Strands PW</v>
          </cell>
        </row>
        <row r="993">
          <cell r="A993" t="str">
            <v>IKN400565</v>
          </cell>
          <cell r="B993">
            <v>565</v>
          </cell>
          <cell r="C993" t="str">
            <v>Institut Kanser Negara</v>
          </cell>
          <cell r="D993" t="str">
            <v>KKM/IKN/H/13/2990</v>
          </cell>
          <cell r="E993" t="str">
            <v>12-649</v>
          </cell>
          <cell r="F993" t="str">
            <v>Physiologic Monitoring Systems, Stress Exercise</v>
          </cell>
          <cell r="G993" t="str">
            <v>NM</v>
          </cell>
          <cell r="H993" t="str">
            <v>NUCLEAR MED (DIAGNOSTIC)</v>
          </cell>
          <cell r="I993" t="str">
            <v>03NM155</v>
          </cell>
          <cell r="J993" t="str">
            <v>STRESS LAB</v>
          </cell>
          <cell r="K993" t="str">
            <v>BMED</v>
          </cell>
          <cell r="L993" t="str">
            <v>Critical</v>
          </cell>
          <cell r="M993" t="str">
            <v>Mexico</v>
          </cell>
          <cell r="N993" t="str">
            <v>GE</v>
          </cell>
          <cell r="O993" t="str">
            <v>Case Stress Test System</v>
          </cell>
          <cell r="P993" t="str">
            <v>SHS 12331143 SA</v>
          </cell>
          <cell r="Q993" t="str">
            <v>Not Applicable</v>
          </cell>
          <cell r="R993" t="str">
            <v>GE Healthcare Systems</v>
          </cell>
          <cell r="S993" t="str">
            <v>GE Healthcare Technologies</v>
          </cell>
          <cell r="T993" t="str">
            <v>Functioning</v>
          </cell>
          <cell r="U993" t="str">
            <v>Asset</v>
          </cell>
          <cell r="V993">
            <v>138350</v>
          </cell>
          <cell r="W993" t="str">
            <v>KEW</v>
          </cell>
          <cell r="X993" t="str">
            <v>01/09/2010</v>
          </cell>
          <cell r="Y993" t="str">
            <v>KEW</v>
          </cell>
          <cell r="Z993" t="str">
            <v>16/08/2013</v>
          </cell>
          <cell r="AA993" t="str">
            <v>15/08/2015</v>
          </cell>
          <cell r="AB993" t="str">
            <v>No</v>
          </cell>
          <cell r="AC993" t="str">
            <v>31/08/2013</v>
          </cell>
          <cell r="AD993" t="str">
            <v>Good</v>
          </cell>
          <cell r="AE993" t="str">
            <v>V1 - Existing / No Claim</v>
          </cell>
          <cell r="AF993">
            <v>42796</v>
          </cell>
          <cell r="AG993">
            <v>9.17</v>
          </cell>
          <cell r="AH993" t="str">
            <v>PPM</v>
          </cell>
          <cell r="AI993" t="str">
            <v>Strands</v>
          </cell>
          <cell r="AJ993" t="str">
            <v>Strands Package</v>
          </cell>
          <cell r="AK993" t="str">
            <v>Package Code MN0013</v>
          </cell>
        </row>
        <row r="994">
          <cell r="A994" t="str">
            <v>IKN400567</v>
          </cell>
          <cell r="B994">
            <v>567</v>
          </cell>
          <cell r="C994" t="str">
            <v>Institut Kanser Negara</v>
          </cell>
          <cell r="D994" t="str">
            <v>KKM/IKN/H/13/3796</v>
          </cell>
          <cell r="E994" t="str">
            <v>15-944</v>
          </cell>
          <cell r="F994" t="str">
            <v>Cameras, Gamma</v>
          </cell>
          <cell r="G994" t="str">
            <v>NM</v>
          </cell>
          <cell r="H994" t="str">
            <v>NUCLEAR MED (DIAGNOSTIC)</v>
          </cell>
          <cell r="I994" t="str">
            <v>03NM164</v>
          </cell>
          <cell r="J994" t="str">
            <v>GAMMA CAMERA 2 (-VE)</v>
          </cell>
          <cell r="K994" t="str">
            <v>BMED</v>
          </cell>
          <cell r="L994" t="str">
            <v>Normal</v>
          </cell>
          <cell r="M994" t="str">
            <v>The Netherlands</v>
          </cell>
          <cell r="N994" t="str">
            <v>Brightview</v>
          </cell>
          <cell r="O994" t="str">
            <v>Brightview</v>
          </cell>
          <cell r="P994" t="str">
            <v>11340004</v>
          </cell>
          <cell r="Q994" t="str">
            <v>Not Applicable</v>
          </cell>
          <cell r="R994" t="str">
            <v>Philips Medical Systems</v>
          </cell>
          <cell r="S994" t="str">
            <v>Advance Altimas Sdn Bhd</v>
          </cell>
          <cell r="T994" t="str">
            <v>Functioning</v>
          </cell>
          <cell r="U994" t="str">
            <v>Asset</v>
          </cell>
          <cell r="V994">
            <v>3191750</v>
          </cell>
          <cell r="W994" t="str">
            <v>KEW</v>
          </cell>
          <cell r="X994" t="str">
            <v>01/09/2010</v>
          </cell>
          <cell r="Y994" t="str">
            <v>KEW</v>
          </cell>
          <cell r="Z994" t="str">
            <v>16/08/2013</v>
          </cell>
          <cell r="AA994" t="str">
            <v>15/08/2015</v>
          </cell>
          <cell r="AB994" t="str">
            <v>No</v>
          </cell>
          <cell r="AC994" t="str">
            <v>31/08/2013</v>
          </cell>
          <cell r="AD994" t="str">
            <v>Good</v>
          </cell>
          <cell r="AE994" t="str">
            <v>V1 - Existing / No Claim</v>
          </cell>
          <cell r="AF994">
            <v>42235</v>
          </cell>
          <cell r="AG994">
            <v>9.17</v>
          </cell>
          <cell r="AH994" t="str">
            <v>PPM</v>
          </cell>
          <cell r="AI994" t="str">
            <v>Strands</v>
          </cell>
          <cell r="AJ994" t="str">
            <v>Strands Package</v>
          </cell>
          <cell r="AK994" t="str">
            <v>Package Code XK0001B</v>
          </cell>
        </row>
        <row r="995">
          <cell r="A995" t="str">
            <v>IKN400568</v>
          </cell>
          <cell r="B995">
            <v>568</v>
          </cell>
          <cell r="C995" t="str">
            <v>Institut Kanser Negara</v>
          </cell>
          <cell r="D995" t="str">
            <v>KKM/IKN/H/13/2962</v>
          </cell>
          <cell r="E995" t="str">
            <v>12-282</v>
          </cell>
          <cell r="F995" t="str">
            <v>Lights, Surgical</v>
          </cell>
          <cell r="G995" t="str">
            <v>NM</v>
          </cell>
          <cell r="H995" t="str">
            <v>NUCLEAR MED (DIAGNOSTIC)</v>
          </cell>
          <cell r="I995" t="str">
            <v>03NM182</v>
          </cell>
          <cell r="J995" t="str">
            <v>C/E 5 (VE)</v>
          </cell>
          <cell r="K995" t="str">
            <v>BMED</v>
          </cell>
          <cell r="L995" t="str">
            <v>Normal</v>
          </cell>
          <cell r="M995" t="str">
            <v>USA</v>
          </cell>
          <cell r="N995" t="str">
            <v>Welch Allyn</v>
          </cell>
          <cell r="O995" t="str">
            <v>Welch Allyn GS600</v>
          </cell>
          <cell r="P995" t="str">
            <v>GS-600-14</v>
          </cell>
          <cell r="Q995" t="str">
            <v>Not Applicable</v>
          </cell>
          <cell r="R995" t="str">
            <v>Welch Allyn Inc</v>
          </cell>
          <cell r="S995" t="str">
            <v>Welch Allyn Malaysia Sdn Bhd</v>
          </cell>
          <cell r="T995" t="str">
            <v>Functioning</v>
          </cell>
          <cell r="U995" t="str">
            <v>Asset</v>
          </cell>
          <cell r="V995">
            <v>5050</v>
          </cell>
          <cell r="W995" t="str">
            <v>KEW</v>
          </cell>
          <cell r="X995" t="str">
            <v>01/09/2010</v>
          </cell>
          <cell r="Y995" t="str">
            <v>KEW</v>
          </cell>
          <cell r="Z995" t="str">
            <v>16/08/2013</v>
          </cell>
          <cell r="AA995" t="str">
            <v>15/08/2015</v>
          </cell>
          <cell r="AB995" t="str">
            <v>No</v>
          </cell>
          <cell r="AC995" t="str">
            <v>31/08/2013</v>
          </cell>
          <cell r="AD995" t="str">
            <v>Good</v>
          </cell>
          <cell r="AE995" t="str">
            <v>V1 - Existing / No Claim</v>
          </cell>
          <cell r="AF995">
            <v>42235</v>
          </cell>
          <cell r="AG995">
            <v>9.17</v>
          </cell>
          <cell r="AH995" t="str">
            <v>PPM</v>
          </cell>
          <cell r="AI995" t="str">
            <v>Strands</v>
          </cell>
          <cell r="AJ995" t="str">
            <v>Strands PW</v>
          </cell>
        </row>
        <row r="996">
          <cell r="A996" t="str">
            <v>IKN400570</v>
          </cell>
          <cell r="B996">
            <v>570</v>
          </cell>
          <cell r="C996" t="str">
            <v>Institut Kanser Negara</v>
          </cell>
          <cell r="D996" t="str">
            <v>KKM/IKN/H/13/2963</v>
          </cell>
          <cell r="E996" t="str">
            <v>12-282</v>
          </cell>
          <cell r="F996" t="str">
            <v>Lights, Surgical</v>
          </cell>
          <cell r="G996" t="str">
            <v>NM</v>
          </cell>
          <cell r="H996" t="str">
            <v>NUCLEAR MED (DIAGNOSTIC)</v>
          </cell>
          <cell r="I996" t="str">
            <v>03NM183</v>
          </cell>
          <cell r="J996" t="str">
            <v>C/E 4 (VE)</v>
          </cell>
          <cell r="K996" t="str">
            <v>BMED</v>
          </cell>
          <cell r="L996" t="str">
            <v>Normal</v>
          </cell>
          <cell r="M996" t="str">
            <v>USA</v>
          </cell>
          <cell r="N996" t="str">
            <v>Welch Allyn</v>
          </cell>
          <cell r="O996" t="str">
            <v>Welch Allyn GS600</v>
          </cell>
          <cell r="P996" t="str">
            <v>GS-600-15</v>
          </cell>
          <cell r="Q996" t="str">
            <v>Not Applicable</v>
          </cell>
          <cell r="R996" t="str">
            <v>Welch Allyn Inc</v>
          </cell>
          <cell r="S996" t="str">
            <v>Welch Allyn Malaysia Sdn Bhd</v>
          </cell>
          <cell r="T996" t="str">
            <v>Functioning</v>
          </cell>
          <cell r="U996" t="str">
            <v>Asset</v>
          </cell>
          <cell r="V996">
            <v>5050</v>
          </cell>
          <cell r="W996" t="str">
            <v>KEW</v>
          </cell>
          <cell r="X996" t="str">
            <v>01/09/2010</v>
          </cell>
          <cell r="Y996" t="str">
            <v>KEW</v>
          </cell>
          <cell r="Z996" t="str">
            <v>16/08/2013</v>
          </cell>
          <cell r="AA996" t="str">
            <v>15/08/2015</v>
          </cell>
          <cell r="AB996" t="str">
            <v>No</v>
          </cell>
          <cell r="AC996" t="str">
            <v>31/08/2013</v>
          </cell>
          <cell r="AD996" t="str">
            <v>Good</v>
          </cell>
          <cell r="AE996" t="str">
            <v>V1 - Existing / No Claim</v>
          </cell>
          <cell r="AF996">
            <v>42235</v>
          </cell>
          <cell r="AG996">
            <v>9.17</v>
          </cell>
          <cell r="AH996" t="str">
            <v>PPM</v>
          </cell>
          <cell r="AI996" t="str">
            <v>Strands</v>
          </cell>
          <cell r="AJ996" t="str">
            <v>Strands PW</v>
          </cell>
        </row>
        <row r="997">
          <cell r="A997" t="str">
            <v>IKN400571</v>
          </cell>
          <cell r="B997">
            <v>571</v>
          </cell>
          <cell r="C997" t="str">
            <v>Institut Kanser Negara</v>
          </cell>
          <cell r="D997" t="str">
            <v>KKM/IKN/H/13/3013</v>
          </cell>
          <cell r="E997" t="str">
            <v>16-173</v>
          </cell>
          <cell r="F997" t="str">
            <v>Sphygmomanometers, Electronic, Automatic</v>
          </cell>
          <cell r="G997" t="str">
            <v>NM</v>
          </cell>
          <cell r="H997" t="str">
            <v>NUCLEAR MED (DIAGNOSTIC)</v>
          </cell>
          <cell r="I997" t="str">
            <v>03NM183</v>
          </cell>
          <cell r="J997" t="str">
            <v>C/E 4 (VE)</v>
          </cell>
          <cell r="K997" t="str">
            <v>BMED</v>
          </cell>
          <cell r="L997" t="str">
            <v>Normal</v>
          </cell>
          <cell r="M997" t="str">
            <v>USA</v>
          </cell>
          <cell r="N997" t="str">
            <v>Connex</v>
          </cell>
          <cell r="O997" t="str">
            <v>Connex ProBP 3400</v>
          </cell>
          <cell r="P997" t="str">
            <v>100001920213</v>
          </cell>
          <cell r="Q997" t="str">
            <v>Not Applicable</v>
          </cell>
          <cell r="R997" t="str">
            <v>Welch Allyn Inc</v>
          </cell>
          <cell r="S997" t="str">
            <v>Welch Allyn Malaysia Sdn Bhd</v>
          </cell>
          <cell r="T997" t="str">
            <v>Functioning</v>
          </cell>
          <cell r="U997" t="str">
            <v>Asset</v>
          </cell>
          <cell r="V997">
            <v>336</v>
          </cell>
          <cell r="W997" t="str">
            <v>KEW</v>
          </cell>
          <cell r="X997" t="str">
            <v>01/09/2010</v>
          </cell>
          <cell r="Y997" t="str">
            <v>KEW</v>
          </cell>
          <cell r="Z997" t="str">
            <v>16/08/2013</v>
          </cell>
          <cell r="AA997" t="str">
            <v>15/08/2015</v>
          </cell>
          <cell r="AB997" t="str">
            <v>No</v>
          </cell>
          <cell r="AC997" t="str">
            <v>31/08/2013</v>
          </cell>
          <cell r="AD997" t="str">
            <v>Good</v>
          </cell>
          <cell r="AE997" t="str">
            <v>V1 - Existing / No Claim</v>
          </cell>
          <cell r="AF997">
            <v>42235</v>
          </cell>
          <cell r="AG997">
            <v>9.17</v>
          </cell>
          <cell r="AH997" t="str">
            <v>PPM</v>
          </cell>
          <cell r="AI997" t="str">
            <v>Strands</v>
          </cell>
          <cell r="AJ997" t="str">
            <v>Strands PW</v>
          </cell>
        </row>
        <row r="998">
          <cell r="A998" t="str">
            <v>IKN400573</v>
          </cell>
          <cell r="B998">
            <v>573</v>
          </cell>
          <cell r="C998" t="str">
            <v>Institut Kanser Negara</v>
          </cell>
          <cell r="D998" t="str">
            <v>KKM/IKN/H/13/3014</v>
          </cell>
          <cell r="E998" t="str">
            <v>16-173</v>
          </cell>
          <cell r="F998" t="str">
            <v>Sphygmomanometers, Electronic, Automatic</v>
          </cell>
          <cell r="G998" t="str">
            <v>NM</v>
          </cell>
          <cell r="H998" t="str">
            <v>NUCLEAR MED (DIAGNOSTIC)</v>
          </cell>
          <cell r="I998" t="str">
            <v>03NM184</v>
          </cell>
          <cell r="J998" t="str">
            <v>C/E 3 (VE)</v>
          </cell>
          <cell r="K998" t="str">
            <v>BMED</v>
          </cell>
          <cell r="L998" t="str">
            <v>Normal</v>
          </cell>
          <cell r="M998" t="str">
            <v>USA</v>
          </cell>
          <cell r="N998" t="str">
            <v>Connex</v>
          </cell>
          <cell r="O998" t="str">
            <v>Connex ProBP 3400</v>
          </cell>
          <cell r="P998" t="str">
            <v>100003410213</v>
          </cell>
          <cell r="Q998" t="str">
            <v>Not Applicable</v>
          </cell>
          <cell r="R998" t="str">
            <v>Welch Allyn Inc</v>
          </cell>
          <cell r="S998" t="str">
            <v>Welch Allyn Malaysia Sdn Bhd</v>
          </cell>
          <cell r="T998" t="str">
            <v>Functioning</v>
          </cell>
          <cell r="U998" t="str">
            <v>Asset</v>
          </cell>
          <cell r="V998">
            <v>336</v>
          </cell>
          <cell r="W998" t="str">
            <v>KEW</v>
          </cell>
          <cell r="X998" t="str">
            <v>01/09/2010</v>
          </cell>
          <cell r="Y998" t="str">
            <v>KEW</v>
          </cell>
          <cell r="Z998" t="str">
            <v>16/08/2013</v>
          </cell>
          <cell r="AA998" t="str">
            <v>15/08/2015</v>
          </cell>
          <cell r="AB998" t="str">
            <v>No</v>
          </cell>
          <cell r="AC998" t="str">
            <v>31/08/2013</v>
          </cell>
          <cell r="AD998" t="str">
            <v>Good</v>
          </cell>
          <cell r="AE998" t="str">
            <v>V1 - Existing / No Claim</v>
          </cell>
          <cell r="AF998">
            <v>42235</v>
          </cell>
          <cell r="AG998">
            <v>9.17</v>
          </cell>
          <cell r="AH998" t="str">
            <v>PPM</v>
          </cell>
          <cell r="AI998" t="str">
            <v>Strands</v>
          </cell>
          <cell r="AJ998" t="str">
            <v>Strands PW</v>
          </cell>
        </row>
        <row r="999">
          <cell r="A999" t="str">
            <v>IKN400575</v>
          </cell>
          <cell r="B999">
            <v>575</v>
          </cell>
          <cell r="C999" t="str">
            <v>Institut Kanser Negara</v>
          </cell>
          <cell r="D999" t="str">
            <v>KKM/IKN/H/13/3856</v>
          </cell>
          <cell r="E999" t="str">
            <v>16-173</v>
          </cell>
          <cell r="F999" t="str">
            <v>Sphygmomanometers, Electronic, Automatic</v>
          </cell>
          <cell r="G999" t="str">
            <v>NM</v>
          </cell>
          <cell r="H999" t="str">
            <v>NUCLEAR MED (DIAGNOSTIC)</v>
          </cell>
          <cell r="I999" t="str">
            <v>03NM185</v>
          </cell>
          <cell r="J999" t="str">
            <v>C/E 2 (VE)</v>
          </cell>
          <cell r="K999" t="str">
            <v>BMED</v>
          </cell>
          <cell r="L999" t="str">
            <v>Normal</v>
          </cell>
          <cell r="M999" t="str">
            <v>USA</v>
          </cell>
          <cell r="N999" t="str">
            <v>Connex</v>
          </cell>
          <cell r="O999" t="str">
            <v>Connex ProBP 3400</v>
          </cell>
          <cell r="P999" t="str">
            <v>100043722314</v>
          </cell>
          <cell r="Q999" t="str">
            <v>Not Applicable</v>
          </cell>
          <cell r="R999" t="str">
            <v>Welch Allyn Inc</v>
          </cell>
          <cell r="S999" t="str">
            <v>Welch Allyn Malaysia Sdn Bhd</v>
          </cell>
          <cell r="T999" t="str">
            <v>Functioning</v>
          </cell>
          <cell r="U999" t="str">
            <v>Asset</v>
          </cell>
          <cell r="V999">
            <v>336</v>
          </cell>
          <cell r="W999" t="str">
            <v>KEW</v>
          </cell>
          <cell r="X999" t="str">
            <v>01/09/2010</v>
          </cell>
          <cell r="Y999" t="str">
            <v>KEW</v>
          </cell>
          <cell r="Z999" t="str">
            <v>16/08/2013</v>
          </cell>
          <cell r="AA999" t="str">
            <v>15/08/2015</v>
          </cell>
          <cell r="AB999" t="str">
            <v>No</v>
          </cell>
          <cell r="AC999" t="str">
            <v>31/08/2013</v>
          </cell>
          <cell r="AD999" t="str">
            <v>Good</v>
          </cell>
          <cell r="AE999" t="str">
            <v>V1 - Existing / No Claim</v>
          </cell>
          <cell r="AF999">
            <v>42235</v>
          </cell>
          <cell r="AG999">
            <v>9.17</v>
          </cell>
          <cell r="AH999" t="str">
            <v>PPM</v>
          </cell>
          <cell r="AI999" t="str">
            <v>Strands</v>
          </cell>
          <cell r="AJ999" t="str">
            <v>Strands PW</v>
          </cell>
        </row>
        <row r="1000">
          <cell r="A1000" t="str">
            <v>IKN400577</v>
          </cell>
          <cell r="B1000">
            <v>577</v>
          </cell>
          <cell r="C1000" t="str">
            <v>Institut Kanser Negara</v>
          </cell>
          <cell r="D1000" t="str">
            <v>KKM/IKN/H/13/3015</v>
          </cell>
          <cell r="E1000" t="str">
            <v>16-173</v>
          </cell>
          <cell r="F1000" t="str">
            <v>Sphygmomanometers, Electronic, Automatic</v>
          </cell>
          <cell r="G1000" t="str">
            <v>NM</v>
          </cell>
          <cell r="H1000" t="str">
            <v>NUCLEAR MED (DIAGNOSTIC)</v>
          </cell>
          <cell r="I1000" t="str">
            <v>03NM186</v>
          </cell>
          <cell r="J1000" t="str">
            <v>C/E 1 (VE)</v>
          </cell>
          <cell r="K1000" t="str">
            <v>BMED</v>
          </cell>
          <cell r="L1000" t="str">
            <v>Normal</v>
          </cell>
          <cell r="M1000" t="str">
            <v>USA</v>
          </cell>
          <cell r="N1000" t="str">
            <v>Connex</v>
          </cell>
          <cell r="O1000" t="str">
            <v>Connex ProBP 3400</v>
          </cell>
          <cell r="P1000" t="str">
            <v>100001880413</v>
          </cell>
          <cell r="Q1000" t="str">
            <v>Not Applicable</v>
          </cell>
          <cell r="R1000" t="str">
            <v>Welch Allyn Inc</v>
          </cell>
          <cell r="S1000" t="str">
            <v>Welch Allyn Malaysia Sdn Bhd</v>
          </cell>
          <cell r="T1000" t="str">
            <v>Functioning</v>
          </cell>
          <cell r="U1000" t="str">
            <v>Asset</v>
          </cell>
          <cell r="V1000">
            <v>336</v>
          </cell>
          <cell r="W1000" t="str">
            <v>KEW</v>
          </cell>
          <cell r="X1000" t="str">
            <v>01/09/2010</v>
          </cell>
          <cell r="Y1000" t="str">
            <v>KEW</v>
          </cell>
          <cell r="Z1000" t="str">
            <v>16/08/2013</v>
          </cell>
          <cell r="AA1000" t="str">
            <v>15/08/2015</v>
          </cell>
          <cell r="AB1000" t="str">
            <v>No</v>
          </cell>
          <cell r="AC1000" t="str">
            <v>31/08/2013</v>
          </cell>
          <cell r="AD1000" t="str">
            <v>Good</v>
          </cell>
          <cell r="AE1000" t="str">
            <v>V1 - Existing / No Claim</v>
          </cell>
          <cell r="AF1000">
            <v>42235</v>
          </cell>
          <cell r="AG1000">
            <v>9.17</v>
          </cell>
          <cell r="AH1000" t="str">
            <v>PPM</v>
          </cell>
          <cell r="AI1000" t="str">
            <v>Strands</v>
          </cell>
          <cell r="AJ1000" t="str">
            <v>Strands PW</v>
          </cell>
        </row>
        <row r="1001">
          <cell r="A1001" t="str">
            <v>IKN400579</v>
          </cell>
          <cell r="B1001">
            <v>579</v>
          </cell>
          <cell r="C1001" t="str">
            <v>Institut Kanser Negara</v>
          </cell>
          <cell r="D1001" t="str">
            <v>KKM/IKN/H/13/2768</v>
          </cell>
          <cell r="E1001" t="str">
            <v>12-660</v>
          </cell>
          <cell r="F1001" t="str">
            <v>Radiation Monitors</v>
          </cell>
          <cell r="G1001" t="str">
            <v>NW</v>
          </cell>
          <cell r="H1001" t="str">
            <v>NUCLEAR WASTE HOLDING</v>
          </cell>
          <cell r="I1001" t="str">
            <v>01NW105</v>
          </cell>
          <cell r="J1001" t="str">
            <v>SHORT LIFE WASTE STORAGE</v>
          </cell>
          <cell r="K1001" t="str">
            <v>BMED</v>
          </cell>
          <cell r="L1001" t="str">
            <v>Normal</v>
          </cell>
          <cell r="M1001" t="str">
            <v>Germany</v>
          </cell>
          <cell r="N1001" t="str">
            <v>CoMo</v>
          </cell>
          <cell r="O1001" t="str">
            <v>CoMo 170</v>
          </cell>
          <cell r="P1001" t="str">
            <v>5062DL</v>
          </cell>
          <cell r="Q1001" t="str">
            <v>Not Applicable</v>
          </cell>
          <cell r="R1001" t="str">
            <v>MED Nuklear-Medizintechnik Dresden GmbH</v>
          </cell>
          <cell r="S1001" t="str">
            <v>Bell Comm Technologies Sdn Bhd</v>
          </cell>
          <cell r="T1001" t="str">
            <v>Functioning</v>
          </cell>
          <cell r="U1001" t="str">
            <v>Asset</v>
          </cell>
          <cell r="V1001">
            <v>23270</v>
          </cell>
          <cell r="W1001" t="str">
            <v>KEW</v>
          </cell>
          <cell r="X1001" t="str">
            <v>01/09/2010</v>
          </cell>
          <cell r="Y1001" t="str">
            <v>KEW</v>
          </cell>
          <cell r="Z1001" t="str">
            <v>16/08/2013</v>
          </cell>
          <cell r="AA1001" t="str">
            <v>15/08/2015</v>
          </cell>
          <cell r="AB1001" t="str">
            <v>No</v>
          </cell>
          <cell r="AC1001" t="str">
            <v>31/08/2013</v>
          </cell>
          <cell r="AD1001" t="str">
            <v>Good</v>
          </cell>
          <cell r="AE1001" t="str">
            <v>V1 - Existing / No Claim</v>
          </cell>
          <cell r="AF1001">
            <v>43496</v>
          </cell>
          <cell r="AG1001">
            <v>9.17</v>
          </cell>
          <cell r="AH1001" t="str">
            <v>PPM</v>
          </cell>
          <cell r="AI1001" t="str">
            <v>Strands</v>
          </cell>
          <cell r="AJ1001" t="str">
            <v>Strands PW</v>
          </cell>
        </row>
        <row r="1002">
          <cell r="A1002" t="str">
            <v>IKN400580</v>
          </cell>
          <cell r="B1002">
            <v>580</v>
          </cell>
          <cell r="C1002" t="str">
            <v>Institut Kanser Negara</v>
          </cell>
          <cell r="D1002" t="str">
            <v>KKM/IKN/H/13/2966</v>
          </cell>
          <cell r="E1002" t="str">
            <v>12-282</v>
          </cell>
          <cell r="F1002" t="str">
            <v>Lights, Surgical</v>
          </cell>
          <cell r="G1002" t="str">
            <v>NM</v>
          </cell>
          <cell r="H1002" t="str">
            <v>NUCLEAR MED (DIAGNOSTIC)</v>
          </cell>
          <cell r="I1002" t="str">
            <v>03NM186</v>
          </cell>
          <cell r="J1002" t="str">
            <v>C/E 1 (VE)</v>
          </cell>
          <cell r="K1002" t="str">
            <v>BMED</v>
          </cell>
          <cell r="L1002" t="str">
            <v>Normal</v>
          </cell>
          <cell r="M1002" t="str">
            <v>USA</v>
          </cell>
          <cell r="N1002" t="str">
            <v>Welch Allyn</v>
          </cell>
          <cell r="O1002" t="str">
            <v>Welch Allyn GS600</v>
          </cell>
          <cell r="P1002" t="str">
            <v>GS-600-18</v>
          </cell>
          <cell r="Q1002" t="str">
            <v>Not Applicable</v>
          </cell>
          <cell r="R1002" t="str">
            <v>Welch Allyn Inc</v>
          </cell>
          <cell r="S1002" t="str">
            <v>Welch Allyn Malaysia Sdn Bhd</v>
          </cell>
          <cell r="T1002" t="str">
            <v>Functioning</v>
          </cell>
          <cell r="U1002" t="str">
            <v>Asset</v>
          </cell>
          <cell r="V1002">
            <v>5050</v>
          </cell>
          <cell r="W1002" t="str">
            <v>KEW</v>
          </cell>
          <cell r="X1002" t="str">
            <v>01/09/2010</v>
          </cell>
          <cell r="Y1002" t="str">
            <v>KEW</v>
          </cell>
          <cell r="Z1002" t="str">
            <v>16/08/2013</v>
          </cell>
          <cell r="AA1002" t="str">
            <v>15/08/2015</v>
          </cell>
          <cell r="AB1002" t="str">
            <v>No</v>
          </cell>
          <cell r="AC1002" t="str">
            <v>31/08/2013</v>
          </cell>
          <cell r="AD1002" t="str">
            <v>Good</v>
          </cell>
          <cell r="AE1002" t="str">
            <v>V1 - Existing / No Claim</v>
          </cell>
          <cell r="AF1002">
            <v>42235</v>
          </cell>
          <cell r="AG1002">
            <v>9.17</v>
          </cell>
          <cell r="AH1002" t="str">
            <v>PPM</v>
          </cell>
          <cell r="AI1002" t="str">
            <v>Strands</v>
          </cell>
          <cell r="AJ1002" t="str">
            <v>Strands PW</v>
          </cell>
        </row>
        <row r="1003">
          <cell r="A1003" t="str">
            <v>IKN400581</v>
          </cell>
          <cell r="B1003">
            <v>581</v>
          </cell>
          <cell r="C1003" t="str">
            <v>Institut Kanser Negara</v>
          </cell>
          <cell r="D1003" t="str">
            <v>KKM/IKN/H/13/2965</v>
          </cell>
          <cell r="E1003" t="str">
            <v>12-282</v>
          </cell>
          <cell r="F1003" t="str">
            <v>Lights, Surgical</v>
          </cell>
          <cell r="G1003" t="str">
            <v>NM</v>
          </cell>
          <cell r="H1003" t="str">
            <v>NUCLEAR MED (DIAGNOSTIC)</v>
          </cell>
          <cell r="I1003" t="str">
            <v>03NM185</v>
          </cell>
          <cell r="J1003" t="str">
            <v>C/E 2 (VE)</v>
          </cell>
          <cell r="K1003" t="str">
            <v>BMED</v>
          </cell>
          <cell r="L1003" t="str">
            <v>Normal</v>
          </cell>
          <cell r="M1003" t="str">
            <v>USA</v>
          </cell>
          <cell r="N1003" t="str">
            <v>Welch Allyn</v>
          </cell>
          <cell r="O1003" t="str">
            <v>Welch Allyn GS600</v>
          </cell>
          <cell r="P1003" t="str">
            <v>GS-600-17</v>
          </cell>
          <cell r="Q1003" t="str">
            <v>Not Applicable</v>
          </cell>
          <cell r="R1003" t="str">
            <v>Welch Allyn Inc</v>
          </cell>
          <cell r="S1003" t="str">
            <v>Welch Allyn Malaysia Sdn Bhd</v>
          </cell>
          <cell r="T1003" t="str">
            <v>Functioning</v>
          </cell>
          <cell r="U1003" t="str">
            <v>Asset</v>
          </cell>
          <cell r="V1003">
            <v>5050</v>
          </cell>
          <cell r="W1003" t="str">
            <v>KEW</v>
          </cell>
          <cell r="X1003" t="str">
            <v>01/09/2010</v>
          </cell>
          <cell r="Y1003" t="str">
            <v>KEW</v>
          </cell>
          <cell r="Z1003" t="str">
            <v>16/08/2013</v>
          </cell>
          <cell r="AA1003" t="str">
            <v>15/08/2015</v>
          </cell>
          <cell r="AB1003" t="str">
            <v>No</v>
          </cell>
          <cell r="AC1003" t="str">
            <v>31/08/2013</v>
          </cell>
          <cell r="AD1003" t="str">
            <v>Good</v>
          </cell>
          <cell r="AE1003" t="str">
            <v>V1 - Existing / No Claim</v>
          </cell>
          <cell r="AF1003">
            <v>42235</v>
          </cell>
          <cell r="AG1003">
            <v>9.17</v>
          </cell>
          <cell r="AH1003" t="str">
            <v>PPM</v>
          </cell>
          <cell r="AI1003" t="str">
            <v>Strands</v>
          </cell>
          <cell r="AJ1003" t="str">
            <v>Strands PW</v>
          </cell>
        </row>
        <row r="1004">
          <cell r="A1004" t="str">
            <v>IKN400582</v>
          </cell>
          <cell r="B1004">
            <v>582</v>
          </cell>
          <cell r="C1004" t="str">
            <v>Institut Kanser Negara</v>
          </cell>
          <cell r="D1004" t="str">
            <v>KKM/IKN/H/13/2964</v>
          </cell>
          <cell r="E1004" t="str">
            <v>12-282</v>
          </cell>
          <cell r="F1004" t="str">
            <v>Lights, Surgical</v>
          </cell>
          <cell r="G1004" t="str">
            <v>NM</v>
          </cell>
          <cell r="H1004" t="str">
            <v>NUCLEAR MED (DIAGNOSTIC)</v>
          </cell>
          <cell r="I1004" t="str">
            <v>03NM184</v>
          </cell>
          <cell r="J1004" t="str">
            <v>C/E 3 (VE)</v>
          </cell>
          <cell r="K1004" t="str">
            <v>BMED</v>
          </cell>
          <cell r="L1004" t="str">
            <v>Normal</v>
          </cell>
          <cell r="M1004" t="str">
            <v>USA</v>
          </cell>
          <cell r="N1004" t="str">
            <v>Welch Allyn</v>
          </cell>
          <cell r="O1004" t="str">
            <v>Welch Allyn GS600</v>
          </cell>
          <cell r="P1004" t="str">
            <v>GS-600-16</v>
          </cell>
          <cell r="Q1004" t="str">
            <v>Not Applicable</v>
          </cell>
          <cell r="R1004" t="str">
            <v>Welch Allyn Inc</v>
          </cell>
          <cell r="S1004" t="str">
            <v>Welch Allyn Malaysia Sdn Bhd</v>
          </cell>
          <cell r="T1004" t="str">
            <v>Functioning</v>
          </cell>
          <cell r="U1004" t="str">
            <v>Asset</v>
          </cell>
          <cell r="V1004">
            <v>5050</v>
          </cell>
          <cell r="W1004" t="str">
            <v>KEW</v>
          </cell>
          <cell r="X1004" t="str">
            <v>01/09/2010</v>
          </cell>
          <cell r="Y1004" t="str">
            <v>KEW</v>
          </cell>
          <cell r="Z1004" t="str">
            <v>16/08/2013</v>
          </cell>
          <cell r="AA1004" t="str">
            <v>15/08/2015</v>
          </cell>
          <cell r="AB1004" t="str">
            <v>No</v>
          </cell>
          <cell r="AC1004" t="str">
            <v>31/08/2013</v>
          </cell>
          <cell r="AD1004" t="str">
            <v>Good</v>
          </cell>
          <cell r="AE1004" t="str">
            <v>V1 - Existing / No Claim</v>
          </cell>
          <cell r="AF1004">
            <v>42235</v>
          </cell>
          <cell r="AG1004">
            <v>9.17</v>
          </cell>
          <cell r="AH1004" t="str">
            <v>PPM</v>
          </cell>
          <cell r="AI1004" t="str">
            <v>Strands</v>
          </cell>
          <cell r="AJ1004" t="str">
            <v>Strands PW</v>
          </cell>
        </row>
        <row r="1005">
          <cell r="A1005" t="str">
            <v>IKN400583</v>
          </cell>
          <cell r="B1005">
            <v>583</v>
          </cell>
          <cell r="C1005" t="str">
            <v>Institut Kanser Negara</v>
          </cell>
          <cell r="D1005" t="str">
            <v>KKM/IKN/H/13/2959</v>
          </cell>
          <cell r="E1005" t="str">
            <v>12-282</v>
          </cell>
          <cell r="F1005" t="str">
            <v>Lights, Surgical</v>
          </cell>
          <cell r="G1005" t="str">
            <v>NM</v>
          </cell>
          <cell r="H1005" t="str">
            <v>NUCLEAR MED (DIAGNOSTIC)</v>
          </cell>
          <cell r="I1005" t="str">
            <v>03NM110</v>
          </cell>
          <cell r="J1005" t="str">
            <v>VENEPUNCTURE</v>
          </cell>
          <cell r="K1005" t="str">
            <v>BMED</v>
          </cell>
          <cell r="L1005" t="str">
            <v>Normal</v>
          </cell>
          <cell r="M1005" t="str">
            <v>USA</v>
          </cell>
          <cell r="N1005" t="str">
            <v>Welch Allyn</v>
          </cell>
          <cell r="O1005" t="str">
            <v>Welch Allyn GS600</v>
          </cell>
          <cell r="P1005" t="str">
            <v>GS-600-11</v>
          </cell>
          <cell r="Q1005" t="str">
            <v>Not Applicable</v>
          </cell>
          <cell r="R1005" t="str">
            <v>Welch Allyn Inc</v>
          </cell>
          <cell r="S1005" t="str">
            <v>Welch Allyn Malaysia Sdn Bhd</v>
          </cell>
          <cell r="T1005" t="str">
            <v>Functioning</v>
          </cell>
          <cell r="U1005" t="str">
            <v>Asset</v>
          </cell>
          <cell r="V1005">
            <v>5050</v>
          </cell>
          <cell r="W1005" t="str">
            <v>KEW</v>
          </cell>
          <cell r="X1005" t="str">
            <v>01/09/2010</v>
          </cell>
          <cell r="Y1005" t="str">
            <v>KEW</v>
          </cell>
          <cell r="Z1005" t="str">
            <v>16/08/2013</v>
          </cell>
          <cell r="AA1005" t="str">
            <v>15/08/2015</v>
          </cell>
          <cell r="AB1005" t="str">
            <v>No</v>
          </cell>
          <cell r="AC1005" t="str">
            <v>31/08/2013</v>
          </cell>
          <cell r="AD1005" t="str">
            <v>Good</v>
          </cell>
          <cell r="AE1005" t="str">
            <v>V1 - Existing / No Claim</v>
          </cell>
          <cell r="AF1005">
            <v>42235</v>
          </cell>
          <cell r="AG1005">
            <v>9.17</v>
          </cell>
          <cell r="AH1005" t="str">
            <v>PPM</v>
          </cell>
          <cell r="AI1005" t="str">
            <v>Strands</v>
          </cell>
          <cell r="AJ1005" t="str">
            <v>Strands PW</v>
          </cell>
        </row>
        <row r="1006">
          <cell r="A1006" t="str">
            <v>IKN400585</v>
          </cell>
          <cell r="B1006">
            <v>585</v>
          </cell>
          <cell r="C1006" t="str">
            <v>Institut Kanser Negara</v>
          </cell>
          <cell r="D1006" t="str">
            <v>KKM/IKN/H/13/2985</v>
          </cell>
          <cell r="E1006" t="str">
            <v>25-209</v>
          </cell>
          <cell r="F1006" t="str">
            <v>Monitors, Physiologic, Vital Signs</v>
          </cell>
          <cell r="G1006" t="str">
            <v>NM</v>
          </cell>
          <cell r="H1006" t="str">
            <v>NUCLEAR MED (DIAGNOSTIC)</v>
          </cell>
          <cell r="I1006" t="str">
            <v>03NM189</v>
          </cell>
          <cell r="J1006" t="str">
            <v>GEN.STORE</v>
          </cell>
          <cell r="K1006" t="str">
            <v>BMED</v>
          </cell>
          <cell r="L1006" t="str">
            <v>Critical</v>
          </cell>
          <cell r="M1006" t="str">
            <v>Mexico</v>
          </cell>
          <cell r="N1006" t="str">
            <v>Carespace</v>
          </cell>
          <cell r="O1006" t="str">
            <v>Carescape V100</v>
          </cell>
          <cell r="P1006" t="str">
            <v>SH612450580SA</v>
          </cell>
          <cell r="Q1006" t="str">
            <v>Not Applicable</v>
          </cell>
          <cell r="R1006" t="str">
            <v>GE Healthcare Systems</v>
          </cell>
          <cell r="S1006" t="str">
            <v>GE Healthcare Technologies</v>
          </cell>
          <cell r="T1006" t="str">
            <v>Functioning</v>
          </cell>
          <cell r="U1006" t="str">
            <v>Asset</v>
          </cell>
          <cell r="V1006">
            <v>18765</v>
          </cell>
          <cell r="W1006" t="str">
            <v>KEW</v>
          </cell>
          <cell r="X1006" t="str">
            <v>01/09/2010</v>
          </cell>
          <cell r="Y1006" t="str">
            <v>KEW</v>
          </cell>
          <cell r="Z1006" t="str">
            <v>16/08/2013</v>
          </cell>
          <cell r="AA1006" t="str">
            <v>15/08/2015</v>
          </cell>
          <cell r="AB1006" t="str">
            <v>No</v>
          </cell>
          <cell r="AC1006" t="str">
            <v>31/08/2013</v>
          </cell>
          <cell r="AD1006" t="str">
            <v>Good</v>
          </cell>
          <cell r="AE1006" t="str">
            <v>V1 - Existing / No Claim</v>
          </cell>
          <cell r="AF1006">
            <v>42706</v>
          </cell>
          <cell r="AG1006">
            <v>9.17</v>
          </cell>
          <cell r="AH1006" t="str">
            <v>PPM</v>
          </cell>
          <cell r="AI1006" t="str">
            <v>Strands</v>
          </cell>
          <cell r="AJ1006" t="str">
            <v>Strands PW</v>
          </cell>
        </row>
        <row r="1007">
          <cell r="A1007" t="str">
            <v>IKN400586</v>
          </cell>
          <cell r="B1007">
            <v>586</v>
          </cell>
          <cell r="C1007" t="str">
            <v>Institut Kanser Negara</v>
          </cell>
          <cell r="D1007" t="str">
            <v>KKM/IKN/H/13/2986</v>
          </cell>
          <cell r="E1007" t="str">
            <v>17-148</v>
          </cell>
          <cell r="F1007" t="str">
            <v>Oximeters, Pulse</v>
          </cell>
          <cell r="G1007" t="str">
            <v>NM</v>
          </cell>
          <cell r="H1007" t="str">
            <v>NUCLEAR MED (DIAGNOSTIC)</v>
          </cell>
          <cell r="I1007" t="str">
            <v>03NM108</v>
          </cell>
          <cell r="J1007" t="str">
            <v>TREATMENT 1 (RAI)(VE)</v>
          </cell>
          <cell r="K1007" t="str">
            <v>BMED</v>
          </cell>
          <cell r="L1007" t="str">
            <v>Normal</v>
          </cell>
          <cell r="M1007" t="str">
            <v>Finland</v>
          </cell>
          <cell r="N1007" t="str">
            <v>Trusat</v>
          </cell>
          <cell r="O1007" t="str">
            <v>Trusat</v>
          </cell>
          <cell r="P1007" t="str">
            <v>FCC12430023Sa</v>
          </cell>
          <cell r="Q1007" t="str">
            <v>Not Applicable</v>
          </cell>
          <cell r="R1007" t="str">
            <v>GE Healthcare Systems</v>
          </cell>
          <cell r="S1007" t="str">
            <v>GE Healthcare Technologies</v>
          </cell>
          <cell r="T1007" t="str">
            <v>Functioning</v>
          </cell>
          <cell r="U1007" t="str">
            <v>Asset</v>
          </cell>
          <cell r="V1007">
            <v>11120</v>
          </cell>
          <cell r="W1007" t="str">
            <v>KEW</v>
          </cell>
          <cell r="X1007" t="str">
            <v>01/09/2010</v>
          </cell>
          <cell r="Y1007" t="str">
            <v>KEW</v>
          </cell>
          <cell r="Z1007" t="str">
            <v>16/08/2013</v>
          </cell>
          <cell r="AA1007" t="str">
            <v>15/08/2015</v>
          </cell>
          <cell r="AB1007" t="str">
            <v>No</v>
          </cell>
          <cell r="AC1007" t="str">
            <v>31/08/2013</v>
          </cell>
          <cell r="AD1007" t="str">
            <v>Good</v>
          </cell>
          <cell r="AE1007" t="str">
            <v>V1 - Existing / No Claim</v>
          </cell>
          <cell r="AF1007">
            <v>42235</v>
          </cell>
          <cell r="AG1007">
            <v>9.17</v>
          </cell>
          <cell r="AH1007" t="str">
            <v>PPM</v>
          </cell>
          <cell r="AI1007" t="str">
            <v>Strands</v>
          </cell>
          <cell r="AJ1007" t="str">
            <v>Strands PW</v>
          </cell>
        </row>
        <row r="1008">
          <cell r="A1008" t="str">
            <v>IKN400587</v>
          </cell>
          <cell r="B1008">
            <v>587</v>
          </cell>
          <cell r="C1008" t="str">
            <v>Institut Kanser Negara</v>
          </cell>
          <cell r="D1008" t="str">
            <v>KKM/IKN/H/13/3105</v>
          </cell>
          <cell r="E1008" t="str">
            <v>17-882</v>
          </cell>
          <cell r="F1008" t="str">
            <v>Defibrillator/Pacemakers, External</v>
          </cell>
          <cell r="G1008" t="str">
            <v>NM</v>
          </cell>
          <cell r="H1008" t="str">
            <v>NUCLEAR MED (DIAGNOSTIC)</v>
          </cell>
          <cell r="I1008" t="str">
            <v>03NM164</v>
          </cell>
          <cell r="J1008" t="str">
            <v>GAMMA CAMERA 2 (-VE)</v>
          </cell>
          <cell r="K1008" t="str">
            <v>BMED</v>
          </cell>
          <cell r="L1008" t="str">
            <v>Critical</v>
          </cell>
          <cell r="M1008" t="str">
            <v>Germany</v>
          </cell>
          <cell r="N1008" t="str">
            <v>HeartStart</v>
          </cell>
          <cell r="O1008" t="str">
            <v>HeartStart XL+</v>
          </cell>
          <cell r="P1008" t="str">
            <v>US91202397</v>
          </cell>
          <cell r="Q1008" t="str">
            <v>Not Applicable</v>
          </cell>
          <cell r="R1008" t="str">
            <v>Philips Medical System</v>
          </cell>
          <cell r="S1008" t="str">
            <v>Advance Altimas Sdn Bhd</v>
          </cell>
          <cell r="T1008" t="str">
            <v>Functioning</v>
          </cell>
          <cell r="U1008" t="str">
            <v>Asset</v>
          </cell>
          <cell r="V1008">
            <v>45000</v>
          </cell>
          <cell r="W1008" t="str">
            <v>Estimate</v>
          </cell>
          <cell r="X1008" t="str">
            <v>01/09/2010</v>
          </cell>
          <cell r="Y1008" t="str">
            <v>KEW</v>
          </cell>
          <cell r="Z1008" t="str">
            <v>16/08/2013</v>
          </cell>
          <cell r="AA1008" t="str">
            <v>15/08/2015</v>
          </cell>
          <cell r="AB1008" t="str">
            <v>No</v>
          </cell>
          <cell r="AC1008" t="str">
            <v>31/08/2013</v>
          </cell>
          <cell r="AD1008" t="str">
            <v>Good</v>
          </cell>
          <cell r="AE1008" t="str">
            <v>V1 - Existing / No Claim</v>
          </cell>
          <cell r="AF1008">
            <v>42601</v>
          </cell>
          <cell r="AG1008">
            <v>9.17</v>
          </cell>
          <cell r="AH1008" t="str">
            <v>PPM</v>
          </cell>
          <cell r="AI1008" t="str">
            <v>Strands</v>
          </cell>
          <cell r="AJ1008" t="str">
            <v>Strands Package</v>
          </cell>
          <cell r="AK1008" t="str">
            <v>Package Code XK0001B</v>
          </cell>
        </row>
        <row r="1009">
          <cell r="A1009" t="str">
            <v>IKN400588</v>
          </cell>
          <cell r="B1009">
            <v>588</v>
          </cell>
          <cell r="C1009" t="str">
            <v>Institut Kanser Negara</v>
          </cell>
          <cell r="D1009" t="str">
            <v>KKM/IKN/H/13/5434</v>
          </cell>
          <cell r="E1009" t="str">
            <v>12-647</v>
          </cell>
          <cell r="F1009" t="str">
            <v>Physiologic Monitoring Systems, Acute Care</v>
          </cell>
          <cell r="G1009" t="str">
            <v>NM</v>
          </cell>
          <cell r="H1009" t="str">
            <v>NUCLEAR MED (DIAGNOSTIC)</v>
          </cell>
          <cell r="I1009" t="str">
            <v>03NM164</v>
          </cell>
          <cell r="J1009" t="str">
            <v>GAMMA CAMERA 2 (-VE)</v>
          </cell>
          <cell r="K1009" t="str">
            <v>BMED</v>
          </cell>
          <cell r="L1009" t="str">
            <v>Critical</v>
          </cell>
          <cell r="M1009" t="str">
            <v>USA</v>
          </cell>
          <cell r="N1009" t="str">
            <v>Cardiac Trigger</v>
          </cell>
          <cell r="O1009" t="str">
            <v>Cardiac Trigger Monitor 3000</v>
          </cell>
          <cell r="P1009" t="str">
            <v>1109251</v>
          </cell>
          <cell r="Q1009" t="str">
            <v>Not Applicable</v>
          </cell>
          <cell r="R1009" t="str">
            <v>Ivy Biomedical Systems Inc</v>
          </cell>
          <cell r="S1009" t="str">
            <v>Advance Altimas Sdn Bhd</v>
          </cell>
          <cell r="T1009" t="str">
            <v>Functioning</v>
          </cell>
          <cell r="U1009" t="str">
            <v>Asset</v>
          </cell>
          <cell r="V1009">
            <v>20000</v>
          </cell>
          <cell r="W1009" t="str">
            <v>Estimate</v>
          </cell>
          <cell r="X1009" t="str">
            <v>01/09/2010</v>
          </cell>
          <cell r="Y1009" t="str">
            <v>KEW</v>
          </cell>
          <cell r="Z1009" t="str">
            <v>16/08/2013</v>
          </cell>
          <cell r="AA1009" t="str">
            <v>15/08/2015</v>
          </cell>
          <cell r="AB1009" t="str">
            <v>No</v>
          </cell>
          <cell r="AC1009" t="str">
            <v>31/08/2013</v>
          </cell>
          <cell r="AD1009" t="str">
            <v>Good</v>
          </cell>
          <cell r="AE1009" t="str">
            <v>V4 - Decommissioned Installed Facility</v>
          </cell>
          <cell r="AF1009">
            <v>42601</v>
          </cell>
          <cell r="AG1009">
            <v>9.17</v>
          </cell>
          <cell r="AH1009" t="str">
            <v>PPM</v>
          </cell>
          <cell r="AI1009" t="str">
            <v>Strands</v>
          </cell>
          <cell r="AJ1009" t="str">
            <v>Strands Package</v>
          </cell>
          <cell r="AK1009" t="str">
            <v>23/10/2024:tapi boleh digunakan lagiPackage Code XK0001B [22/9/2023, SHARIFAH]: PEP ON NOV 2020, BER/BEMS/AWSB/20/007 - Asset masih boleh digunakan namun asset tidak ekonomik diperbaiki lagi sekiranya rosak.</v>
          </cell>
        </row>
        <row r="1010">
          <cell r="A1010" t="str">
            <v>IKN400589</v>
          </cell>
          <cell r="B1010">
            <v>589</v>
          </cell>
          <cell r="C1010" t="str">
            <v>Institut Kanser Negara</v>
          </cell>
          <cell r="D1010" t="str">
            <v>KKM/IKN/H/13/3148</v>
          </cell>
          <cell r="E1010" t="str">
            <v>16-381</v>
          </cell>
          <cell r="F1010" t="str">
            <v>Counters, Gamma</v>
          </cell>
          <cell r="G1010" t="str">
            <v>NM</v>
          </cell>
          <cell r="H1010" t="str">
            <v>NUCLEAR MED (DIAGNOSTIC)</v>
          </cell>
          <cell r="I1010" t="str">
            <v>03NM154</v>
          </cell>
          <cell r="J1010" t="str">
            <v>RIA LAB</v>
          </cell>
          <cell r="K1010" t="str">
            <v>BMED</v>
          </cell>
          <cell r="L1010" t="str">
            <v>Normal</v>
          </cell>
          <cell r="M1010" t="str">
            <v>USA</v>
          </cell>
          <cell r="N1010" t="str">
            <v>Wizard 2</v>
          </cell>
          <cell r="O1010" t="str">
            <v>Wizard 2, 2470</v>
          </cell>
          <cell r="P1010" t="str">
            <v>DG08129516</v>
          </cell>
          <cell r="Q1010" t="str">
            <v>Not Applicable</v>
          </cell>
          <cell r="R1010" t="str">
            <v>Perkin Elmer Inc</v>
          </cell>
          <cell r="S1010" t="str">
            <v>Perkin Elmer Sdn Bhd</v>
          </cell>
          <cell r="T1010" t="str">
            <v>Functioning</v>
          </cell>
          <cell r="U1010" t="str">
            <v>Asset</v>
          </cell>
          <cell r="V1010">
            <v>144820</v>
          </cell>
          <cell r="W1010" t="str">
            <v>KEW</v>
          </cell>
          <cell r="X1010" t="str">
            <v>01/09/2010</v>
          </cell>
          <cell r="Y1010" t="str">
            <v>KEW</v>
          </cell>
          <cell r="Z1010" t="str">
            <v>16/08/2013</v>
          </cell>
          <cell r="AA1010" t="str">
            <v>15/08/2015</v>
          </cell>
          <cell r="AB1010" t="str">
            <v>No</v>
          </cell>
          <cell r="AC1010" t="str">
            <v>31/08/2013</v>
          </cell>
          <cell r="AD1010" t="str">
            <v>Good</v>
          </cell>
          <cell r="AE1010" t="str">
            <v>V1 - Existing / No Claim</v>
          </cell>
          <cell r="AF1010">
            <v>42235</v>
          </cell>
          <cell r="AG1010">
            <v>9.17</v>
          </cell>
          <cell r="AH1010" t="str">
            <v>PPM</v>
          </cell>
          <cell r="AI1010" t="str">
            <v>Strands</v>
          </cell>
          <cell r="AJ1010" t="str">
            <v>Strands PW</v>
          </cell>
        </row>
        <row r="1011">
          <cell r="A1011" t="str">
            <v>IKN400590</v>
          </cell>
          <cell r="B1011">
            <v>590</v>
          </cell>
          <cell r="C1011" t="str">
            <v>Institut Kanser Negara</v>
          </cell>
          <cell r="D1011" t="str">
            <v>KKM/IKN/H/13/3136</v>
          </cell>
          <cell r="E1011" t="str">
            <v>15-651</v>
          </cell>
          <cell r="F1011" t="str">
            <v>Stirrers</v>
          </cell>
          <cell r="G1011" t="str">
            <v>NM</v>
          </cell>
          <cell r="H1011" t="str">
            <v>NUCLEAR MED (DIAGNOSTIC)</v>
          </cell>
          <cell r="I1011" t="str">
            <v>03NM154</v>
          </cell>
          <cell r="J1011" t="str">
            <v>RIA LAB</v>
          </cell>
          <cell r="K1011" t="str">
            <v>BMED</v>
          </cell>
          <cell r="L1011" t="str">
            <v>Normal</v>
          </cell>
          <cell r="M1011" t="str">
            <v>UK</v>
          </cell>
          <cell r="N1011" t="str">
            <v>Stuart</v>
          </cell>
          <cell r="O1011" t="str">
            <v>Stuart UC152</v>
          </cell>
          <cell r="P1011" t="str">
            <v>R630000566</v>
          </cell>
          <cell r="Q1011" t="str">
            <v>Not Applicable</v>
          </cell>
          <cell r="R1011" t="str">
            <v>Stuart Scientific Co Ltd</v>
          </cell>
          <cell r="S1011" t="str">
            <v>Bumi Sains Sdn. Bhd.</v>
          </cell>
          <cell r="T1011" t="str">
            <v>Functioning</v>
          </cell>
          <cell r="U1011" t="str">
            <v>Asset</v>
          </cell>
          <cell r="V1011">
            <v>2170</v>
          </cell>
          <cell r="W1011" t="str">
            <v>KEW</v>
          </cell>
          <cell r="X1011" t="str">
            <v>01/09/2010</v>
          </cell>
          <cell r="Y1011" t="str">
            <v>KEW</v>
          </cell>
          <cell r="Z1011" t="str">
            <v>16/08/2013</v>
          </cell>
          <cell r="AA1011" t="str">
            <v>15/08/2015</v>
          </cell>
          <cell r="AB1011" t="str">
            <v>No</v>
          </cell>
          <cell r="AC1011" t="str">
            <v>31/08/2013</v>
          </cell>
          <cell r="AD1011" t="str">
            <v>Good</v>
          </cell>
          <cell r="AE1011" t="str">
            <v>V1 - Existing / No Claim</v>
          </cell>
          <cell r="AF1011">
            <v>42235</v>
          </cell>
          <cell r="AG1011">
            <v>9.17</v>
          </cell>
          <cell r="AH1011" t="str">
            <v>PPM</v>
          </cell>
          <cell r="AI1011" t="str">
            <v>Strands</v>
          </cell>
          <cell r="AJ1011" t="str">
            <v>Strands PW</v>
          </cell>
        </row>
        <row r="1012">
          <cell r="A1012" t="str">
            <v>IKN400591</v>
          </cell>
          <cell r="B1012">
            <v>591</v>
          </cell>
          <cell r="C1012" t="str">
            <v>Institut Kanser Negara</v>
          </cell>
          <cell r="D1012" t="str">
            <v>KKM/IKN/H/13/3149</v>
          </cell>
          <cell r="E1012" t="str">
            <v>16-772</v>
          </cell>
          <cell r="F1012" t="str">
            <v>Baths, Water, Shaker</v>
          </cell>
          <cell r="G1012" t="str">
            <v>NM</v>
          </cell>
          <cell r="H1012" t="str">
            <v>NUCLEAR MED (DIAGNOSTIC)</v>
          </cell>
          <cell r="I1012" t="str">
            <v>03NM154</v>
          </cell>
          <cell r="J1012" t="str">
            <v>RIA LAB</v>
          </cell>
          <cell r="K1012" t="str">
            <v>BMED</v>
          </cell>
          <cell r="L1012" t="str">
            <v>Normal</v>
          </cell>
          <cell r="M1012" t="str">
            <v>UK</v>
          </cell>
          <cell r="N1012" t="str">
            <v>Grant</v>
          </cell>
          <cell r="O1012" t="str">
            <v>Grant OLS-200</v>
          </cell>
          <cell r="P1012" t="str">
            <v>8Q1245001</v>
          </cell>
          <cell r="Q1012" t="str">
            <v>Not Applicable</v>
          </cell>
          <cell r="R1012" t="str">
            <v>Grant Instruments Ltd</v>
          </cell>
          <cell r="S1012" t="str">
            <v>Bumi Sains Sdn. Bhd.</v>
          </cell>
          <cell r="T1012" t="str">
            <v>Functioning</v>
          </cell>
          <cell r="U1012" t="str">
            <v>Asset</v>
          </cell>
          <cell r="V1012">
            <v>5900</v>
          </cell>
          <cell r="W1012" t="str">
            <v>KEW</v>
          </cell>
          <cell r="X1012" t="str">
            <v>01/09/2010</v>
          </cell>
          <cell r="Y1012" t="str">
            <v>KEW</v>
          </cell>
          <cell r="Z1012" t="str">
            <v>16/08/2013</v>
          </cell>
          <cell r="AA1012" t="str">
            <v>15/08/2015</v>
          </cell>
          <cell r="AB1012" t="str">
            <v>No</v>
          </cell>
          <cell r="AC1012" t="str">
            <v>31/08/2013</v>
          </cell>
          <cell r="AD1012" t="str">
            <v>Good</v>
          </cell>
          <cell r="AE1012" t="str">
            <v>V1 - Existing / No Claim</v>
          </cell>
          <cell r="AF1012">
            <v>42235</v>
          </cell>
          <cell r="AG1012">
            <v>9.17</v>
          </cell>
          <cell r="AH1012" t="str">
            <v>PPM</v>
          </cell>
          <cell r="AI1012" t="str">
            <v>Strands</v>
          </cell>
          <cell r="AJ1012" t="str">
            <v>Strands PW</v>
          </cell>
        </row>
        <row r="1013">
          <cell r="A1013" t="str">
            <v>IKN400592</v>
          </cell>
          <cell r="B1013">
            <v>592</v>
          </cell>
          <cell r="C1013" t="str">
            <v>Institut Kanser Negara</v>
          </cell>
          <cell r="D1013" t="str">
            <v>N/A</v>
          </cell>
          <cell r="E1013" t="str">
            <v>12-660</v>
          </cell>
          <cell r="F1013" t="str">
            <v>Radiation Monitors</v>
          </cell>
          <cell r="G1013" t="str">
            <v>NM</v>
          </cell>
          <cell r="H1013" t="str">
            <v>NUCLEAR MED (DIAGNOSTIC)</v>
          </cell>
          <cell r="I1013" t="str">
            <v>03NM166</v>
          </cell>
          <cell r="J1013" t="str">
            <v>REPORTING</v>
          </cell>
          <cell r="K1013" t="str">
            <v>BMED</v>
          </cell>
          <cell r="L1013" t="str">
            <v>Normal</v>
          </cell>
          <cell r="M1013" t="str">
            <v>USA</v>
          </cell>
          <cell r="N1013" t="str">
            <v>Ludlum</v>
          </cell>
          <cell r="O1013" t="str">
            <v>Ludlum 375P</v>
          </cell>
          <cell r="P1013" t="str">
            <v>297069</v>
          </cell>
          <cell r="Q1013" t="str">
            <v>Not Applicable</v>
          </cell>
          <cell r="R1013" t="str">
            <v>Ludlum Measurements Inc</v>
          </cell>
          <cell r="S1013" t="str">
            <v>Not Available</v>
          </cell>
          <cell r="T1013" t="str">
            <v>Functioning</v>
          </cell>
          <cell r="U1013" t="str">
            <v>Asset</v>
          </cell>
          <cell r="V1013">
            <v>25000</v>
          </cell>
          <cell r="W1013" t="str">
            <v>Estimate</v>
          </cell>
          <cell r="X1013" t="str">
            <v>01/09/2010</v>
          </cell>
          <cell r="Y1013" t="str">
            <v>KEW</v>
          </cell>
          <cell r="Z1013" t="str">
            <v>16/08/2013</v>
          </cell>
          <cell r="AA1013" t="str">
            <v>15/08/2015</v>
          </cell>
          <cell r="AB1013" t="str">
            <v>No</v>
          </cell>
          <cell r="AC1013" t="str">
            <v>31/08/2013</v>
          </cell>
          <cell r="AD1013" t="str">
            <v>Good</v>
          </cell>
          <cell r="AE1013" t="str">
            <v>V1 - Existing / No Claim</v>
          </cell>
          <cell r="AF1013">
            <v>42601</v>
          </cell>
          <cell r="AG1013">
            <v>9.17</v>
          </cell>
          <cell r="AH1013" t="str">
            <v>PPM</v>
          </cell>
          <cell r="AI1013" t="str">
            <v>Not in contract</v>
          </cell>
          <cell r="AJ1013" t="str">
            <v>CA 26/8/2024</v>
          </cell>
        </row>
        <row r="1014">
          <cell r="A1014" t="str">
            <v>IKN400593</v>
          </cell>
          <cell r="B1014">
            <v>593</v>
          </cell>
          <cell r="C1014" t="str">
            <v>Institut Kanser Negara</v>
          </cell>
          <cell r="D1014" t="str">
            <v>KKM/IKN/H/13/78</v>
          </cell>
          <cell r="E1014" t="str">
            <v>12-282</v>
          </cell>
          <cell r="F1014" t="str">
            <v>Lights, Surgical</v>
          </cell>
          <cell r="G1014" t="str">
            <v>DO</v>
          </cell>
          <cell r="H1014" t="str">
            <v>DAY ONCOLOGY UNIT</v>
          </cell>
          <cell r="I1014" t="str">
            <v>04DO105</v>
          </cell>
          <cell r="J1014" t="str">
            <v>C/E</v>
          </cell>
          <cell r="K1014" t="str">
            <v>BMED</v>
          </cell>
          <cell r="L1014" t="str">
            <v>Critical</v>
          </cell>
          <cell r="M1014" t="str">
            <v>USA</v>
          </cell>
          <cell r="N1014" t="str">
            <v>Welch Allyn</v>
          </cell>
          <cell r="O1014" t="str">
            <v>Welch Allyn GS600</v>
          </cell>
          <cell r="P1014" t="str">
            <v>GS-600-31</v>
          </cell>
          <cell r="Q1014" t="str">
            <v>Not Applicable</v>
          </cell>
          <cell r="R1014" t="str">
            <v>Welch Allyn Inc</v>
          </cell>
          <cell r="S1014" t="str">
            <v>Welch Allyn Malaysia Sdn Bhd</v>
          </cell>
          <cell r="T1014" t="str">
            <v>Functioning</v>
          </cell>
          <cell r="U1014" t="str">
            <v>Asset</v>
          </cell>
          <cell r="V1014">
            <v>5050</v>
          </cell>
          <cell r="W1014" t="str">
            <v>KEW</v>
          </cell>
          <cell r="X1014" t="str">
            <v>01/09/2010</v>
          </cell>
          <cell r="Y1014" t="str">
            <v>KEW</v>
          </cell>
          <cell r="Z1014" t="str">
            <v>16/08/2013</v>
          </cell>
          <cell r="AA1014" t="str">
            <v>15/08/2015</v>
          </cell>
          <cell r="AB1014" t="str">
            <v>No</v>
          </cell>
          <cell r="AC1014" t="str">
            <v>31/08/2013</v>
          </cell>
          <cell r="AD1014" t="str">
            <v>Good</v>
          </cell>
          <cell r="AE1014" t="str">
            <v>V1 - Existing / No Claim</v>
          </cell>
          <cell r="AF1014">
            <v>42793</v>
          </cell>
          <cell r="AG1014">
            <v>9.17</v>
          </cell>
          <cell r="AH1014" t="str">
            <v>PPM</v>
          </cell>
          <cell r="AI1014" t="str">
            <v>Strands</v>
          </cell>
          <cell r="AJ1014" t="str">
            <v>Strands PW</v>
          </cell>
        </row>
        <row r="1015">
          <cell r="A1015" t="str">
            <v>IKN400594</v>
          </cell>
          <cell r="B1015">
            <v>594</v>
          </cell>
          <cell r="C1015" t="str">
            <v>Institut Kanser Negara</v>
          </cell>
          <cell r="D1015" t="str">
            <v>KKM/IKN/H/13/1374</v>
          </cell>
          <cell r="E1015" t="str">
            <v>10-447</v>
          </cell>
          <cell r="F1015" t="str">
            <v>Warming Units, Blood/Solution</v>
          </cell>
          <cell r="G1015" t="str">
            <v>DO</v>
          </cell>
          <cell r="H1015" t="str">
            <v>DAY ONCOLOGY UNIT</v>
          </cell>
          <cell r="I1015" t="str">
            <v>04DO111</v>
          </cell>
          <cell r="J1015" t="str">
            <v>EQUIP. ROOM</v>
          </cell>
          <cell r="K1015" t="str">
            <v>BMED</v>
          </cell>
          <cell r="L1015" t="str">
            <v>Normal</v>
          </cell>
          <cell r="M1015" t="str">
            <v>Japan</v>
          </cell>
          <cell r="N1015" t="str">
            <v>Animec</v>
          </cell>
          <cell r="O1015" t="str">
            <v>Animec AM-301</v>
          </cell>
          <cell r="P1015" t="str">
            <v>2012D0056</v>
          </cell>
          <cell r="Q1015" t="str">
            <v>Not Applicable</v>
          </cell>
          <cell r="R1015" t="str">
            <v>Elltec Co Ltd</v>
          </cell>
          <cell r="S1015" t="str">
            <v>IDS Services (Malaysia) Sdn Bhd</v>
          </cell>
          <cell r="T1015" t="str">
            <v>Functioning</v>
          </cell>
          <cell r="U1015" t="str">
            <v>Asset</v>
          </cell>
          <cell r="V1015">
            <v>4990</v>
          </cell>
          <cell r="W1015" t="str">
            <v>KEW</v>
          </cell>
          <cell r="X1015" t="str">
            <v>01/09/2010</v>
          </cell>
          <cell r="Y1015" t="str">
            <v>KEW</v>
          </cell>
          <cell r="Z1015" t="str">
            <v>16/08/2013</v>
          </cell>
          <cell r="AA1015" t="str">
            <v>15/08/2015</v>
          </cell>
          <cell r="AB1015" t="str">
            <v>No</v>
          </cell>
          <cell r="AC1015" t="str">
            <v>31/08/2013</v>
          </cell>
          <cell r="AD1015" t="str">
            <v>Good</v>
          </cell>
          <cell r="AE1015" t="str">
            <v>V1 - Existing / No Claim</v>
          </cell>
          <cell r="AF1015">
            <v>42793</v>
          </cell>
          <cell r="AG1015">
            <v>9.17</v>
          </cell>
          <cell r="AH1015" t="str">
            <v>PPM</v>
          </cell>
          <cell r="AI1015" t="str">
            <v>Strands</v>
          </cell>
          <cell r="AJ1015" t="str">
            <v>Strands PW</v>
          </cell>
        </row>
        <row r="1016">
          <cell r="A1016" t="str">
            <v>IKN400595</v>
          </cell>
          <cell r="B1016">
            <v>595</v>
          </cell>
          <cell r="C1016" t="str">
            <v>Institut Kanser Negara</v>
          </cell>
          <cell r="D1016" t="str">
            <v>KKM/IKN/H/13/1372</v>
          </cell>
          <cell r="E1016" t="str">
            <v>10-447</v>
          </cell>
          <cell r="F1016" t="str">
            <v>Warming Units, Blood/Solution</v>
          </cell>
          <cell r="G1016" t="str">
            <v>DO</v>
          </cell>
          <cell r="H1016" t="str">
            <v>DAY ONCOLOGY UNIT</v>
          </cell>
          <cell r="I1016" t="str">
            <v>04DO111</v>
          </cell>
          <cell r="J1016" t="str">
            <v>EQUIP. ROOM</v>
          </cell>
          <cell r="K1016" t="str">
            <v>BMED</v>
          </cell>
          <cell r="L1016" t="str">
            <v>Normal</v>
          </cell>
          <cell r="M1016" t="str">
            <v>Japan</v>
          </cell>
          <cell r="N1016" t="str">
            <v>Animec</v>
          </cell>
          <cell r="O1016" t="str">
            <v>Animec AM-301</v>
          </cell>
          <cell r="P1016" t="str">
            <v>2013D0243</v>
          </cell>
          <cell r="Q1016" t="str">
            <v>Not Applicable</v>
          </cell>
          <cell r="R1016" t="str">
            <v>Elltec Co Ltd</v>
          </cell>
          <cell r="S1016" t="str">
            <v>IDS Services (Malaysia) Sdn Bhd</v>
          </cell>
          <cell r="T1016" t="str">
            <v>Functioning</v>
          </cell>
          <cell r="U1016" t="str">
            <v>Asset</v>
          </cell>
          <cell r="V1016">
            <v>4990</v>
          </cell>
          <cell r="W1016" t="str">
            <v>KEW</v>
          </cell>
          <cell r="X1016" t="str">
            <v>01/09/2010</v>
          </cell>
          <cell r="Y1016" t="str">
            <v>KEW</v>
          </cell>
          <cell r="Z1016" t="str">
            <v>16/08/2013</v>
          </cell>
          <cell r="AA1016" t="str">
            <v>15/08/2015</v>
          </cell>
          <cell r="AB1016" t="str">
            <v>No</v>
          </cell>
          <cell r="AC1016" t="str">
            <v>31/08/2013</v>
          </cell>
          <cell r="AD1016" t="str">
            <v>Good</v>
          </cell>
          <cell r="AE1016" t="str">
            <v>V1 - Existing / No Claim</v>
          </cell>
          <cell r="AF1016">
            <v>42793</v>
          </cell>
          <cell r="AG1016">
            <v>9.17</v>
          </cell>
          <cell r="AH1016" t="str">
            <v>PPM</v>
          </cell>
          <cell r="AI1016" t="str">
            <v>Strands</v>
          </cell>
          <cell r="AJ1016" t="str">
            <v>Strands PW</v>
          </cell>
        </row>
        <row r="1017">
          <cell r="A1017" t="str">
            <v>IKN400596</v>
          </cell>
          <cell r="B1017">
            <v>596</v>
          </cell>
          <cell r="C1017" t="str">
            <v>Institut Kanser Negara</v>
          </cell>
          <cell r="D1017" t="str">
            <v>KKM/IKN/H/13/1376</v>
          </cell>
          <cell r="E1017" t="str">
            <v>10-447</v>
          </cell>
          <cell r="F1017" t="str">
            <v>Warming Units, Blood/Solution</v>
          </cell>
          <cell r="G1017" t="str">
            <v>DO</v>
          </cell>
          <cell r="H1017" t="str">
            <v>DAY ONCOLOGY UNIT</v>
          </cell>
          <cell r="I1017" t="str">
            <v>04DO111</v>
          </cell>
          <cell r="J1017" t="str">
            <v>EQUIP. ROOM</v>
          </cell>
          <cell r="K1017" t="str">
            <v>BMED</v>
          </cell>
          <cell r="L1017" t="str">
            <v>Normal</v>
          </cell>
          <cell r="M1017" t="str">
            <v>Japan</v>
          </cell>
          <cell r="N1017" t="str">
            <v>Animec</v>
          </cell>
          <cell r="O1017" t="str">
            <v>Animec AM-301</v>
          </cell>
          <cell r="P1017" t="str">
            <v>2012D0055</v>
          </cell>
          <cell r="Q1017" t="str">
            <v>Not Applicable</v>
          </cell>
          <cell r="R1017" t="str">
            <v>Elltec Co Ltd</v>
          </cell>
          <cell r="S1017" t="str">
            <v>IDS Services (Malaysia) Sdn Bhd</v>
          </cell>
          <cell r="T1017" t="str">
            <v>Functioning</v>
          </cell>
          <cell r="U1017" t="str">
            <v>Asset</v>
          </cell>
          <cell r="V1017">
            <v>4990</v>
          </cell>
          <cell r="W1017" t="str">
            <v>KEW</v>
          </cell>
          <cell r="X1017" t="str">
            <v>01/09/2010</v>
          </cell>
          <cell r="Y1017" t="str">
            <v>KEW</v>
          </cell>
          <cell r="Z1017" t="str">
            <v>16/08/2013</v>
          </cell>
          <cell r="AA1017" t="str">
            <v>15/08/2015</v>
          </cell>
          <cell r="AB1017" t="str">
            <v>No</v>
          </cell>
          <cell r="AC1017" t="str">
            <v>31/08/2013</v>
          </cell>
          <cell r="AD1017" t="str">
            <v>Good</v>
          </cell>
          <cell r="AE1017" t="str">
            <v>V1 - Existing / No Claim</v>
          </cell>
          <cell r="AF1017">
            <v>42793</v>
          </cell>
          <cell r="AG1017">
            <v>9.17</v>
          </cell>
          <cell r="AH1017" t="str">
            <v>PPM</v>
          </cell>
          <cell r="AI1017" t="str">
            <v>Strands</v>
          </cell>
          <cell r="AJ1017" t="str">
            <v>Strands PW</v>
          </cell>
        </row>
        <row r="1018">
          <cell r="A1018" t="str">
            <v>IKN400598</v>
          </cell>
          <cell r="B1018">
            <v>598</v>
          </cell>
          <cell r="C1018" t="str">
            <v>Institut Kanser Negara</v>
          </cell>
          <cell r="D1018" t="str">
            <v>KKM/IKN/H/13/79</v>
          </cell>
          <cell r="E1018" t="str">
            <v>12-282</v>
          </cell>
          <cell r="F1018" t="str">
            <v>Lights, Surgical</v>
          </cell>
          <cell r="G1018" t="str">
            <v>DO</v>
          </cell>
          <cell r="H1018" t="str">
            <v>DAY ONCOLOGY UNIT</v>
          </cell>
          <cell r="I1018" t="str">
            <v>04DO111</v>
          </cell>
          <cell r="J1018" t="str">
            <v>EQUIP. ROOM</v>
          </cell>
          <cell r="K1018" t="str">
            <v>BMED</v>
          </cell>
          <cell r="L1018" t="str">
            <v>Critical</v>
          </cell>
          <cell r="M1018" t="str">
            <v>USA</v>
          </cell>
          <cell r="N1018" t="str">
            <v>Welch Allyn</v>
          </cell>
          <cell r="O1018" t="str">
            <v>Welch Allyn GS600</v>
          </cell>
          <cell r="P1018" t="str">
            <v>GS-600-32</v>
          </cell>
          <cell r="Q1018" t="str">
            <v>Not Applicable</v>
          </cell>
          <cell r="R1018" t="str">
            <v>Welch Allyn Inc</v>
          </cell>
          <cell r="S1018" t="str">
            <v>Welch Allyn Malaysia Sdn Bhd</v>
          </cell>
          <cell r="T1018" t="str">
            <v>Functioning</v>
          </cell>
          <cell r="U1018" t="str">
            <v>Asset</v>
          </cell>
          <cell r="V1018">
            <v>5050</v>
          </cell>
          <cell r="W1018" t="str">
            <v>KEW</v>
          </cell>
          <cell r="X1018" t="str">
            <v>01/09/2010</v>
          </cell>
          <cell r="Y1018" t="str">
            <v>KEW</v>
          </cell>
          <cell r="Z1018" t="str">
            <v>16/08/2013</v>
          </cell>
          <cell r="AA1018" t="str">
            <v>15/08/2015</v>
          </cell>
          <cell r="AB1018" t="str">
            <v>No</v>
          </cell>
          <cell r="AC1018" t="str">
            <v>31/08/2013</v>
          </cell>
          <cell r="AD1018" t="str">
            <v>Good</v>
          </cell>
          <cell r="AE1018" t="str">
            <v>V1 - Existing / No Claim</v>
          </cell>
          <cell r="AF1018">
            <v>42793</v>
          </cell>
          <cell r="AG1018">
            <v>9.17</v>
          </cell>
          <cell r="AH1018" t="str">
            <v>PPM</v>
          </cell>
          <cell r="AI1018" t="str">
            <v>Strands</v>
          </cell>
          <cell r="AJ1018" t="str">
            <v>Strands PW</v>
          </cell>
        </row>
        <row r="1019">
          <cell r="A1019" t="str">
            <v>IKN400599</v>
          </cell>
          <cell r="B1019">
            <v>599</v>
          </cell>
          <cell r="C1019" t="str">
            <v>Institut Kanser Negara</v>
          </cell>
          <cell r="D1019" t="str">
            <v>KKM/IKN/H/13/80</v>
          </cell>
          <cell r="E1019" t="str">
            <v>12-282</v>
          </cell>
          <cell r="F1019" t="str">
            <v>Lights, Surgical</v>
          </cell>
          <cell r="G1019" t="str">
            <v>DO</v>
          </cell>
          <cell r="H1019" t="str">
            <v>DAY ONCOLOGY UNIT</v>
          </cell>
          <cell r="I1019" t="str">
            <v>04DO111</v>
          </cell>
          <cell r="J1019" t="str">
            <v>EQUIP. ROOM</v>
          </cell>
          <cell r="K1019" t="str">
            <v>BMED</v>
          </cell>
          <cell r="L1019" t="str">
            <v>Critical</v>
          </cell>
          <cell r="M1019" t="str">
            <v>USA</v>
          </cell>
          <cell r="N1019" t="str">
            <v>Welch Allyn</v>
          </cell>
          <cell r="O1019" t="str">
            <v>Welch Allyn GS600</v>
          </cell>
          <cell r="P1019" t="str">
            <v>GS-600-49</v>
          </cell>
          <cell r="Q1019" t="str">
            <v>Not Applicable</v>
          </cell>
          <cell r="R1019" t="str">
            <v>Welch Allyn Inc</v>
          </cell>
          <cell r="S1019" t="str">
            <v>Welch Allyn Malaysia Sdn Bhd</v>
          </cell>
          <cell r="T1019" t="str">
            <v>Functioning</v>
          </cell>
          <cell r="U1019" t="str">
            <v>Asset</v>
          </cell>
          <cell r="V1019">
            <v>5050</v>
          </cell>
          <cell r="W1019" t="str">
            <v>KEW</v>
          </cell>
          <cell r="X1019" t="str">
            <v>01/09/2010</v>
          </cell>
          <cell r="Y1019" t="str">
            <v>KEW</v>
          </cell>
          <cell r="Z1019" t="str">
            <v>16/08/2013</v>
          </cell>
          <cell r="AA1019" t="str">
            <v>15/08/2015</v>
          </cell>
          <cell r="AB1019" t="str">
            <v>No</v>
          </cell>
          <cell r="AC1019" t="str">
            <v>31/08/2013</v>
          </cell>
          <cell r="AD1019" t="str">
            <v>Good</v>
          </cell>
          <cell r="AE1019" t="str">
            <v>V1 - Existing / No Claim</v>
          </cell>
          <cell r="AF1019">
            <v>42793</v>
          </cell>
          <cell r="AG1019">
            <v>9.17</v>
          </cell>
          <cell r="AH1019" t="str">
            <v>PPM</v>
          </cell>
          <cell r="AI1019" t="str">
            <v>Strands</v>
          </cell>
          <cell r="AJ1019" t="str">
            <v>Strands PW</v>
          </cell>
        </row>
        <row r="1020">
          <cell r="A1020" t="str">
            <v>IKN400600</v>
          </cell>
          <cell r="B1020">
            <v>600</v>
          </cell>
          <cell r="C1020" t="str">
            <v>Institut Kanser Negara</v>
          </cell>
          <cell r="D1020" t="str">
            <v>KKM/IKN/H/13/1683</v>
          </cell>
          <cell r="E1020" t="str">
            <v>15-045</v>
          </cell>
          <cell r="F1020" t="str">
            <v>Nebulizers, Nonheated</v>
          </cell>
          <cell r="G1020" t="str">
            <v>DO</v>
          </cell>
          <cell r="H1020" t="str">
            <v>DAY ONCOLOGY UNIT</v>
          </cell>
          <cell r="I1020" t="str">
            <v>04DO111</v>
          </cell>
          <cell r="J1020" t="str">
            <v>EQUIP. ROOM</v>
          </cell>
          <cell r="K1020" t="str">
            <v>BMED</v>
          </cell>
          <cell r="L1020" t="str">
            <v>Normal</v>
          </cell>
          <cell r="M1020" t="str">
            <v>Germany</v>
          </cell>
          <cell r="N1020" t="str">
            <v>Pari Boy</v>
          </cell>
          <cell r="O1020" t="str">
            <v>Pari Boy SX 085</v>
          </cell>
          <cell r="P1020" t="str">
            <v>2W12F13726</v>
          </cell>
          <cell r="Q1020" t="str">
            <v>Not Applicable</v>
          </cell>
          <cell r="R1020" t="str">
            <v>Pari GmbH</v>
          </cell>
          <cell r="S1020" t="str">
            <v>Welch Allyn Malaysia Sdn Bhd</v>
          </cell>
          <cell r="T1020" t="str">
            <v>Functioning</v>
          </cell>
          <cell r="U1020" t="str">
            <v>Asset</v>
          </cell>
          <cell r="V1020">
            <v>1140</v>
          </cell>
          <cell r="W1020" t="str">
            <v>KEW</v>
          </cell>
          <cell r="X1020" t="str">
            <v>01/09/2010</v>
          </cell>
          <cell r="Y1020" t="str">
            <v>KEW</v>
          </cell>
          <cell r="Z1020" t="str">
            <v>16/08/2013</v>
          </cell>
          <cell r="AA1020" t="str">
            <v>15/08/2015</v>
          </cell>
          <cell r="AB1020" t="str">
            <v>No</v>
          </cell>
          <cell r="AC1020" t="str">
            <v>31/08/2013</v>
          </cell>
          <cell r="AD1020" t="str">
            <v>Good</v>
          </cell>
          <cell r="AE1020" t="str">
            <v>V1 - Existing / No Claim</v>
          </cell>
          <cell r="AF1020">
            <v>42235</v>
          </cell>
          <cell r="AG1020">
            <v>9.17</v>
          </cell>
          <cell r="AH1020" t="str">
            <v>PPM</v>
          </cell>
          <cell r="AI1020" t="str">
            <v>Strands</v>
          </cell>
          <cell r="AJ1020" t="str">
            <v>Strands PW</v>
          </cell>
        </row>
        <row r="1021">
          <cell r="A1021" t="str">
            <v>IKN400601</v>
          </cell>
          <cell r="B1021">
            <v>601</v>
          </cell>
          <cell r="C1021" t="str">
            <v>Institut Kanser Negara</v>
          </cell>
          <cell r="D1021" t="str">
            <v>KKM/IKN/H/13/2619</v>
          </cell>
          <cell r="E1021" t="str">
            <v>16-173</v>
          </cell>
          <cell r="F1021" t="str">
            <v>Sphygmomanometers, Electronic, Automatic</v>
          </cell>
          <cell r="G1021" t="str">
            <v>DO</v>
          </cell>
          <cell r="H1021" t="str">
            <v>DAY ONCOLOGY UNIT</v>
          </cell>
          <cell r="I1021" t="str">
            <v>04DO111</v>
          </cell>
          <cell r="J1021" t="str">
            <v>EQUIP. ROOM</v>
          </cell>
          <cell r="K1021" t="str">
            <v>BMED</v>
          </cell>
          <cell r="L1021" t="str">
            <v>Normal</v>
          </cell>
          <cell r="M1021" t="str">
            <v>USA</v>
          </cell>
          <cell r="N1021" t="str">
            <v>Connex</v>
          </cell>
          <cell r="O1021" t="str">
            <v>Connex ProBP 3400</v>
          </cell>
          <cell r="P1021" t="str">
            <v>100001430613</v>
          </cell>
          <cell r="Q1021" t="str">
            <v>Not Applicable</v>
          </cell>
          <cell r="R1021" t="str">
            <v>Welch Allyn Inc</v>
          </cell>
          <cell r="S1021" t="str">
            <v>Welch Allyn Malaysia Sdn Bhd</v>
          </cell>
          <cell r="T1021" t="str">
            <v>Functioning</v>
          </cell>
          <cell r="U1021" t="str">
            <v>Asset</v>
          </cell>
          <cell r="V1021">
            <v>4510</v>
          </cell>
          <cell r="W1021" t="str">
            <v>KEW</v>
          </cell>
          <cell r="X1021" t="str">
            <v>01/09/2010</v>
          </cell>
          <cell r="Y1021" t="str">
            <v>KEW</v>
          </cell>
          <cell r="Z1021" t="str">
            <v>16/08/2013</v>
          </cell>
          <cell r="AA1021" t="str">
            <v>15/08/2015</v>
          </cell>
          <cell r="AB1021" t="str">
            <v>No</v>
          </cell>
          <cell r="AC1021" t="str">
            <v>31/08/2013</v>
          </cell>
          <cell r="AD1021" t="str">
            <v>Good</v>
          </cell>
          <cell r="AE1021" t="str">
            <v>V1 - Existing / No Claim</v>
          </cell>
          <cell r="AF1021">
            <v>42235</v>
          </cell>
          <cell r="AG1021">
            <v>9.17</v>
          </cell>
          <cell r="AH1021" t="str">
            <v>PPM</v>
          </cell>
          <cell r="AI1021" t="str">
            <v>Strands</v>
          </cell>
          <cell r="AJ1021" t="str">
            <v>Strands PW</v>
          </cell>
        </row>
        <row r="1022">
          <cell r="A1022" t="str">
            <v>IKN400602</v>
          </cell>
          <cell r="B1022">
            <v>602</v>
          </cell>
          <cell r="C1022" t="str">
            <v>Institut Kanser Negara</v>
          </cell>
          <cell r="D1022" t="str">
            <v>KKM/IKN/H/13/2429</v>
          </cell>
          <cell r="E1022" t="str">
            <v>16-173</v>
          </cell>
          <cell r="F1022" t="str">
            <v>Sphygmomanometers, Electronic, Automatic</v>
          </cell>
          <cell r="G1022" t="str">
            <v>DO</v>
          </cell>
          <cell r="H1022" t="str">
            <v>DAY ONCOLOGY UNIT</v>
          </cell>
          <cell r="I1022" t="str">
            <v>04DO111</v>
          </cell>
          <cell r="J1022" t="str">
            <v>EQUIP. ROOM</v>
          </cell>
          <cell r="K1022" t="str">
            <v>BMED</v>
          </cell>
          <cell r="L1022" t="str">
            <v>Critical</v>
          </cell>
          <cell r="M1022" t="str">
            <v>USA</v>
          </cell>
          <cell r="N1022" t="str">
            <v>Connex</v>
          </cell>
          <cell r="O1022" t="str">
            <v>Connex ProBP 3400</v>
          </cell>
          <cell r="P1022" t="str">
            <v>100001630613</v>
          </cell>
          <cell r="Q1022" t="str">
            <v>Not Applicable</v>
          </cell>
          <cell r="R1022" t="str">
            <v>Welch Allyn Inc</v>
          </cell>
          <cell r="S1022" t="str">
            <v>Welch Allyn Malaysia Sdn Bhd</v>
          </cell>
          <cell r="T1022" t="str">
            <v>Functioning</v>
          </cell>
          <cell r="U1022" t="str">
            <v>Asset</v>
          </cell>
          <cell r="V1022">
            <v>4510</v>
          </cell>
          <cell r="W1022" t="str">
            <v>KEW</v>
          </cell>
          <cell r="X1022" t="str">
            <v>01/09/2010</v>
          </cell>
          <cell r="Y1022" t="str">
            <v>KEW</v>
          </cell>
          <cell r="Z1022" t="str">
            <v>16/08/2013</v>
          </cell>
          <cell r="AA1022" t="str">
            <v>15/08/2015</v>
          </cell>
          <cell r="AB1022" t="str">
            <v>No</v>
          </cell>
          <cell r="AC1022" t="str">
            <v>31/08/2013</v>
          </cell>
          <cell r="AD1022" t="str">
            <v>Good</v>
          </cell>
          <cell r="AE1022" t="str">
            <v>V1 - Existing / No Claim</v>
          </cell>
          <cell r="AF1022">
            <v>42793</v>
          </cell>
          <cell r="AG1022">
            <v>9.17</v>
          </cell>
          <cell r="AH1022" t="str">
            <v>PPM</v>
          </cell>
          <cell r="AI1022" t="str">
            <v>Strands</v>
          </cell>
          <cell r="AJ1022" t="str">
            <v>Strands PW</v>
          </cell>
        </row>
        <row r="1023">
          <cell r="A1023" t="str">
            <v>IKN400603</v>
          </cell>
          <cell r="B1023">
            <v>603</v>
          </cell>
          <cell r="C1023" t="str">
            <v>Institut Kanser Negara</v>
          </cell>
          <cell r="D1023" t="str">
            <v>KKM/IKN/H/13/1388</v>
          </cell>
          <cell r="E1023" t="str">
            <v>13-215</v>
          </cell>
          <cell r="F1023" t="str">
            <v>Infusion Pumps, General-Purpose</v>
          </cell>
          <cell r="G1023" t="str">
            <v>DO</v>
          </cell>
          <cell r="H1023" t="str">
            <v>DAY ONCOLOGY UNIT</v>
          </cell>
          <cell r="I1023" t="str">
            <v>04DO111</v>
          </cell>
          <cell r="J1023" t="str">
            <v>EQUIP. ROOM</v>
          </cell>
          <cell r="K1023" t="str">
            <v>BMED</v>
          </cell>
          <cell r="L1023" t="str">
            <v>Critical</v>
          </cell>
          <cell r="M1023" t="str">
            <v>Germany</v>
          </cell>
          <cell r="N1023" t="str">
            <v>Infusomat</v>
          </cell>
          <cell r="O1023" t="str">
            <v>Infusomat Space</v>
          </cell>
          <cell r="P1023" t="str">
            <v>200187</v>
          </cell>
          <cell r="Q1023" t="str">
            <v>Not Applicable</v>
          </cell>
          <cell r="R1023" t="str">
            <v>B Braun Melsungen AG</v>
          </cell>
          <cell r="S1023" t="str">
            <v>B Braun Medical Supplies Sdn. Bhd.</v>
          </cell>
          <cell r="T1023" t="str">
            <v>Functioning</v>
          </cell>
          <cell r="U1023" t="str">
            <v>Asset</v>
          </cell>
          <cell r="V1023">
            <v>10825</v>
          </cell>
          <cell r="W1023" t="str">
            <v>KEW</v>
          </cell>
          <cell r="X1023" t="str">
            <v>01/09/2010</v>
          </cell>
          <cell r="Y1023" t="str">
            <v>KEW</v>
          </cell>
          <cell r="Z1023" t="str">
            <v>16/08/2013</v>
          </cell>
          <cell r="AA1023" t="str">
            <v>15/08/2015</v>
          </cell>
          <cell r="AB1023" t="str">
            <v>No</v>
          </cell>
          <cell r="AC1023" t="str">
            <v>31/08/2013</v>
          </cell>
          <cell r="AD1023" t="str">
            <v>Good</v>
          </cell>
          <cell r="AE1023" t="str">
            <v>V1 - Existing / No Claim</v>
          </cell>
          <cell r="AF1023">
            <v>42793</v>
          </cell>
          <cell r="AG1023">
            <v>9.17</v>
          </cell>
          <cell r="AH1023" t="str">
            <v>PPM</v>
          </cell>
          <cell r="AI1023" t="str">
            <v>Strands</v>
          </cell>
          <cell r="AJ1023" t="str">
            <v>Strands PW</v>
          </cell>
        </row>
        <row r="1024">
          <cell r="A1024" t="str">
            <v>IKN400604</v>
          </cell>
          <cell r="B1024">
            <v>604</v>
          </cell>
          <cell r="C1024" t="str">
            <v>Institut Kanser Negara</v>
          </cell>
          <cell r="D1024" t="str">
            <v>KKM/IKN/H/13/1391</v>
          </cell>
          <cell r="E1024" t="str">
            <v>13-215</v>
          </cell>
          <cell r="F1024" t="str">
            <v>Infusion Pumps, General-Purpose</v>
          </cell>
          <cell r="G1024" t="str">
            <v>DO</v>
          </cell>
          <cell r="H1024" t="str">
            <v>DAY ONCOLOGY UNIT</v>
          </cell>
          <cell r="I1024" t="str">
            <v>04DO111</v>
          </cell>
          <cell r="J1024" t="str">
            <v>EQUIP. ROOM</v>
          </cell>
          <cell r="K1024" t="str">
            <v>BMED</v>
          </cell>
          <cell r="L1024" t="str">
            <v>Critical</v>
          </cell>
          <cell r="M1024" t="str">
            <v>Germany</v>
          </cell>
          <cell r="N1024" t="str">
            <v>Infusomat</v>
          </cell>
          <cell r="O1024" t="str">
            <v>Infusomat Space</v>
          </cell>
          <cell r="P1024" t="str">
            <v>200127</v>
          </cell>
          <cell r="Q1024" t="str">
            <v>Not Applicable</v>
          </cell>
          <cell r="R1024" t="str">
            <v>B Braun Melsungen AG</v>
          </cell>
          <cell r="S1024" t="str">
            <v>B Braun Medical Supplies Sdn. Bhd.</v>
          </cell>
          <cell r="T1024" t="str">
            <v>Functioning</v>
          </cell>
          <cell r="U1024" t="str">
            <v>Asset</v>
          </cell>
          <cell r="V1024">
            <v>10825</v>
          </cell>
          <cell r="W1024" t="str">
            <v>KEW</v>
          </cell>
          <cell r="X1024" t="str">
            <v>01/09/2010</v>
          </cell>
          <cell r="Y1024" t="str">
            <v>KEW</v>
          </cell>
          <cell r="Z1024" t="str">
            <v>16/08/2013</v>
          </cell>
          <cell r="AA1024" t="str">
            <v>15/08/2015</v>
          </cell>
          <cell r="AB1024" t="str">
            <v>No</v>
          </cell>
          <cell r="AC1024" t="str">
            <v>31/08/2013</v>
          </cell>
          <cell r="AD1024" t="str">
            <v>Good</v>
          </cell>
          <cell r="AE1024" t="str">
            <v>V1 - Existing / No Claim</v>
          </cell>
          <cell r="AF1024">
            <v>42793</v>
          </cell>
          <cell r="AG1024">
            <v>9.17</v>
          </cell>
          <cell r="AH1024" t="str">
            <v>PPM</v>
          </cell>
          <cell r="AI1024" t="str">
            <v>Strands</v>
          </cell>
          <cell r="AJ1024" t="str">
            <v>Strands PW</v>
          </cell>
        </row>
        <row r="1025">
          <cell r="A1025" t="str">
            <v>IKN400605</v>
          </cell>
          <cell r="B1025">
            <v>605</v>
          </cell>
          <cell r="C1025" t="str">
            <v>Institut Kanser Negara</v>
          </cell>
          <cell r="D1025" t="str">
            <v>KKM/IKN/H/13/1392</v>
          </cell>
          <cell r="E1025" t="str">
            <v>13-215</v>
          </cell>
          <cell r="F1025" t="str">
            <v>Infusion Pumps, General-Purpose</v>
          </cell>
          <cell r="G1025" t="str">
            <v>DO</v>
          </cell>
          <cell r="H1025" t="str">
            <v>DAY ONCOLOGY UNIT</v>
          </cell>
          <cell r="I1025" t="str">
            <v>04DO111</v>
          </cell>
          <cell r="J1025" t="str">
            <v>EQUIP. ROOM</v>
          </cell>
          <cell r="K1025" t="str">
            <v>BMED</v>
          </cell>
          <cell r="L1025" t="str">
            <v>Critical</v>
          </cell>
          <cell r="M1025" t="str">
            <v>Germany</v>
          </cell>
          <cell r="N1025" t="str">
            <v>Infusomat</v>
          </cell>
          <cell r="O1025" t="str">
            <v>Infusomat Space</v>
          </cell>
          <cell r="P1025" t="str">
            <v>211747</v>
          </cell>
          <cell r="Q1025" t="str">
            <v>Not Applicable</v>
          </cell>
          <cell r="R1025" t="str">
            <v>B Braun Melsungen AG</v>
          </cell>
          <cell r="S1025" t="str">
            <v>B Braun Medical Supplies Sdn. Bhd.</v>
          </cell>
          <cell r="T1025" t="str">
            <v>Functioning</v>
          </cell>
          <cell r="U1025" t="str">
            <v>Asset</v>
          </cell>
          <cell r="V1025">
            <v>10825</v>
          </cell>
          <cell r="W1025" t="str">
            <v>KEW</v>
          </cell>
          <cell r="X1025" t="str">
            <v>01/09/2010</v>
          </cell>
          <cell r="Y1025" t="str">
            <v>KEW</v>
          </cell>
          <cell r="Z1025" t="str">
            <v>16/08/2013</v>
          </cell>
          <cell r="AA1025" t="str">
            <v>15/08/2015</v>
          </cell>
          <cell r="AB1025" t="str">
            <v>No</v>
          </cell>
          <cell r="AC1025" t="str">
            <v>31/08/2013</v>
          </cell>
          <cell r="AD1025" t="str">
            <v>Good</v>
          </cell>
          <cell r="AE1025" t="str">
            <v>V1 - Existing / No Claim</v>
          </cell>
          <cell r="AF1025">
            <v>42793</v>
          </cell>
          <cell r="AG1025">
            <v>9.17</v>
          </cell>
          <cell r="AH1025" t="str">
            <v>PPM</v>
          </cell>
          <cell r="AI1025" t="str">
            <v>Strands</v>
          </cell>
          <cell r="AJ1025" t="str">
            <v>Strands PW</v>
          </cell>
        </row>
        <row r="1026">
          <cell r="A1026" t="str">
            <v>IKN400606</v>
          </cell>
          <cell r="B1026">
            <v>606</v>
          </cell>
          <cell r="C1026" t="str">
            <v>Institut Kanser Negara</v>
          </cell>
          <cell r="D1026" t="str">
            <v>KKM/IKN/H/13/1393</v>
          </cell>
          <cell r="E1026" t="str">
            <v>13-215</v>
          </cell>
          <cell r="F1026" t="str">
            <v>Infusion Pumps, General-Purpose</v>
          </cell>
          <cell r="G1026" t="str">
            <v>DO</v>
          </cell>
          <cell r="H1026" t="str">
            <v>DAY ONCOLOGY UNIT</v>
          </cell>
          <cell r="I1026" t="str">
            <v>04DO111</v>
          </cell>
          <cell r="J1026" t="str">
            <v>EQUIP. ROOM</v>
          </cell>
          <cell r="K1026" t="str">
            <v>BMED</v>
          </cell>
          <cell r="L1026" t="str">
            <v>Critical</v>
          </cell>
          <cell r="M1026" t="str">
            <v>Germany</v>
          </cell>
          <cell r="N1026" t="str">
            <v>Infusomat</v>
          </cell>
          <cell r="O1026" t="str">
            <v>Infusomat Space</v>
          </cell>
          <cell r="P1026" t="str">
            <v>211745</v>
          </cell>
          <cell r="Q1026" t="str">
            <v>Not Applicable</v>
          </cell>
          <cell r="R1026" t="str">
            <v>B Braun Melsungen AG</v>
          </cell>
          <cell r="S1026" t="str">
            <v>B Braun Medical Supplies Sdn. Bhd.</v>
          </cell>
          <cell r="T1026" t="str">
            <v>Functioning</v>
          </cell>
          <cell r="U1026" t="str">
            <v>Asset</v>
          </cell>
          <cell r="V1026">
            <v>10825</v>
          </cell>
          <cell r="W1026" t="str">
            <v>KEW</v>
          </cell>
          <cell r="X1026" t="str">
            <v>01/09/2010</v>
          </cell>
          <cell r="Y1026" t="str">
            <v>KEW</v>
          </cell>
          <cell r="Z1026" t="str">
            <v>16/08/2013</v>
          </cell>
          <cell r="AA1026" t="str">
            <v>15/08/2015</v>
          </cell>
          <cell r="AB1026" t="str">
            <v>No</v>
          </cell>
          <cell r="AC1026" t="str">
            <v>31/08/2013</v>
          </cell>
          <cell r="AD1026" t="str">
            <v>Good</v>
          </cell>
          <cell r="AE1026" t="str">
            <v>V1 - Existing / No Claim</v>
          </cell>
          <cell r="AF1026">
            <v>42793</v>
          </cell>
          <cell r="AG1026">
            <v>9.17</v>
          </cell>
          <cell r="AH1026" t="str">
            <v>PPM</v>
          </cell>
          <cell r="AI1026" t="str">
            <v>Strands</v>
          </cell>
          <cell r="AJ1026" t="str">
            <v>Strands PW</v>
          </cell>
        </row>
        <row r="1027">
          <cell r="A1027" t="str">
            <v>IKN400607</v>
          </cell>
          <cell r="B1027">
            <v>607</v>
          </cell>
          <cell r="C1027" t="str">
            <v>Institut Kanser Negara</v>
          </cell>
          <cell r="D1027" t="str">
            <v>KKM/IKN/H/13/1394</v>
          </cell>
          <cell r="E1027" t="str">
            <v>13-215</v>
          </cell>
          <cell r="F1027" t="str">
            <v>Infusion Pumps, General-Purpose</v>
          </cell>
          <cell r="G1027" t="str">
            <v>DO</v>
          </cell>
          <cell r="H1027" t="str">
            <v>DAY ONCOLOGY UNIT</v>
          </cell>
          <cell r="I1027" t="str">
            <v>04DO111</v>
          </cell>
          <cell r="J1027" t="str">
            <v>EQUIP. ROOM</v>
          </cell>
          <cell r="K1027" t="str">
            <v>BMED</v>
          </cell>
          <cell r="L1027" t="str">
            <v>Critical</v>
          </cell>
          <cell r="M1027" t="str">
            <v>Germany</v>
          </cell>
          <cell r="N1027" t="str">
            <v>Infusomat</v>
          </cell>
          <cell r="O1027" t="str">
            <v>Infusomat Space</v>
          </cell>
          <cell r="P1027" t="str">
            <v>212215</v>
          </cell>
          <cell r="Q1027" t="str">
            <v>Not Applicable</v>
          </cell>
          <cell r="R1027" t="str">
            <v>B Braun Melsungen AG</v>
          </cell>
          <cell r="S1027" t="str">
            <v>B Braun Medical Supplies Sdn. Bhd.</v>
          </cell>
          <cell r="T1027" t="str">
            <v>Functioning</v>
          </cell>
          <cell r="U1027" t="str">
            <v>Asset</v>
          </cell>
          <cell r="V1027">
            <v>10825</v>
          </cell>
          <cell r="W1027" t="str">
            <v>KEW</v>
          </cell>
          <cell r="X1027" t="str">
            <v>01/09/2010</v>
          </cell>
          <cell r="Y1027" t="str">
            <v>KEW</v>
          </cell>
          <cell r="Z1027" t="str">
            <v>16/08/2013</v>
          </cell>
          <cell r="AA1027" t="str">
            <v>15/08/2015</v>
          </cell>
          <cell r="AB1027" t="str">
            <v>No</v>
          </cell>
          <cell r="AC1027" t="str">
            <v>31/08/2013</v>
          </cell>
          <cell r="AD1027" t="str">
            <v>Good</v>
          </cell>
          <cell r="AE1027" t="str">
            <v>V1 - Existing / No Claim</v>
          </cell>
          <cell r="AF1027">
            <v>42793</v>
          </cell>
          <cell r="AG1027">
            <v>9.17</v>
          </cell>
          <cell r="AH1027" t="str">
            <v>PPM</v>
          </cell>
          <cell r="AI1027" t="str">
            <v>Strands</v>
          </cell>
          <cell r="AJ1027" t="str">
            <v>Strands PW</v>
          </cell>
        </row>
        <row r="1028">
          <cell r="A1028" t="str">
            <v>IKN400608</v>
          </cell>
          <cell r="B1028">
            <v>608</v>
          </cell>
          <cell r="C1028" t="str">
            <v>Institut Kanser Negara</v>
          </cell>
          <cell r="D1028" t="str">
            <v>KKM/IKN/H/14/101</v>
          </cell>
          <cell r="E1028" t="str">
            <v>21-897</v>
          </cell>
          <cell r="F1028" t="str">
            <v>Seal Crimpers, Bottle/Vial/Tube</v>
          </cell>
          <cell r="G1028" t="str">
            <v>LA</v>
          </cell>
          <cell r="H1028" t="str">
            <v>PATHOLOGY</v>
          </cell>
          <cell r="I1028" t="str">
            <v>04LA114</v>
          </cell>
          <cell r="J1028" t="str">
            <v>DARK MICROSCOPY</v>
          </cell>
          <cell r="K1028" t="str">
            <v>BMED</v>
          </cell>
          <cell r="L1028" t="str">
            <v>Normal</v>
          </cell>
          <cell r="M1028" t="str">
            <v>South Korea</v>
          </cell>
          <cell r="N1028" t="str">
            <v>Sure Seal</v>
          </cell>
          <cell r="O1028" t="str">
            <v>Sure Seal SE260</v>
          </cell>
          <cell r="P1028" t="str">
            <v>2620091</v>
          </cell>
          <cell r="Q1028" t="str">
            <v>Not Applicable</v>
          </cell>
          <cell r="R1028" t="str">
            <v>Centron Technologies Corp</v>
          </cell>
          <cell r="S1028" t="str">
            <v>Biomarketing Services(M) Sdn. Bhd</v>
          </cell>
          <cell r="T1028" t="str">
            <v>Functioning</v>
          </cell>
          <cell r="U1028" t="str">
            <v>Asset</v>
          </cell>
          <cell r="V1028">
            <v>7000</v>
          </cell>
          <cell r="W1028" t="str">
            <v>KEW</v>
          </cell>
          <cell r="X1028" t="str">
            <v>25/09/2014</v>
          </cell>
          <cell r="Y1028" t="str">
            <v>KEW</v>
          </cell>
          <cell r="Z1028" t="str">
            <v>08/12/2014</v>
          </cell>
          <cell r="AA1028" t="str">
            <v>07/12/2015</v>
          </cell>
          <cell r="AB1028" t="str">
            <v>No</v>
          </cell>
          <cell r="AC1028" t="str">
            <v>08/12/2014</v>
          </cell>
          <cell r="AD1028" t="str">
            <v>Good</v>
          </cell>
          <cell r="AE1028" t="str">
            <v>V3 - Added Installed Facilities (New)</v>
          </cell>
          <cell r="AF1028">
            <v>42677</v>
          </cell>
          <cell r="AG1028">
            <v>5.17</v>
          </cell>
          <cell r="AH1028" t="str">
            <v>PPM</v>
          </cell>
          <cell r="AI1028" t="str">
            <v>Strands</v>
          </cell>
          <cell r="AJ1028" t="str">
            <v>Strands PW</v>
          </cell>
          <cell r="AK1028" t="str">
            <v>SNF received. 1st batch of V3 asset (December 2020)</v>
          </cell>
        </row>
        <row r="1029">
          <cell r="A1029" t="str">
            <v>IKN400609</v>
          </cell>
          <cell r="B1029">
            <v>609</v>
          </cell>
          <cell r="C1029" t="str">
            <v>Institut Kanser Negara</v>
          </cell>
          <cell r="D1029" t="str">
            <v>KKM/IKN/H/14/99</v>
          </cell>
          <cell r="E1029" t="str">
            <v>18-449</v>
          </cell>
          <cell r="F1029" t="str">
            <v>Balances, Electronic, Analytical</v>
          </cell>
          <cell r="G1029" t="str">
            <v>DO</v>
          </cell>
          <cell r="H1029" t="str">
            <v>DAY ONCOLOGY UNIT</v>
          </cell>
          <cell r="I1029" t="str">
            <v>04DO114</v>
          </cell>
          <cell r="J1029" t="str">
            <v>RESEARCH</v>
          </cell>
          <cell r="K1029" t="str">
            <v>BMED</v>
          </cell>
          <cell r="L1029" t="str">
            <v>Normal</v>
          </cell>
          <cell r="M1029" t="str">
            <v>Japan</v>
          </cell>
          <cell r="N1029" t="str">
            <v>A&amp;D</v>
          </cell>
          <cell r="O1029" t="str">
            <v>A&amp;D HR-250AZ</v>
          </cell>
          <cell r="P1029" t="str">
            <v>6A7702353</v>
          </cell>
          <cell r="Q1029" t="str">
            <v>Not Applicable</v>
          </cell>
          <cell r="R1029" t="str">
            <v>A&amp;D Co Ltd</v>
          </cell>
          <cell r="S1029" t="str">
            <v>Bumi Jiwa Sdn. Bhd.</v>
          </cell>
          <cell r="T1029" t="str">
            <v>Functioning</v>
          </cell>
          <cell r="U1029" t="str">
            <v>Asset</v>
          </cell>
          <cell r="V1029">
            <v>4000</v>
          </cell>
          <cell r="W1029" t="str">
            <v>KEW</v>
          </cell>
          <cell r="X1029" t="str">
            <v>03/10/2014</v>
          </cell>
          <cell r="Y1029" t="str">
            <v>KEW</v>
          </cell>
          <cell r="Z1029" t="str">
            <v>27/11/2014</v>
          </cell>
          <cell r="AA1029" t="str">
            <v>26/11/2015</v>
          </cell>
          <cell r="AB1029" t="str">
            <v>No</v>
          </cell>
          <cell r="AC1029" t="str">
            <v>27/11/2014</v>
          </cell>
          <cell r="AD1029" t="str">
            <v>Good</v>
          </cell>
          <cell r="AE1029" t="str">
            <v>V3 - Added Installed Facilities (New)</v>
          </cell>
          <cell r="AF1029">
            <v>42908</v>
          </cell>
          <cell r="AG1029">
            <v>5.08</v>
          </cell>
          <cell r="AH1029" t="str">
            <v>PPM</v>
          </cell>
          <cell r="AI1029" t="str">
            <v>Strands</v>
          </cell>
          <cell r="AJ1029" t="str">
            <v>Strands PW</v>
          </cell>
          <cell r="AK1029" t="str">
            <v>SNF received. 1st batch of V3 asset (December 2020)</v>
          </cell>
        </row>
        <row r="1030">
          <cell r="A1030" t="str">
            <v>IKN400610</v>
          </cell>
          <cell r="B1030">
            <v>610</v>
          </cell>
          <cell r="C1030" t="str">
            <v>Institut Kanser Negara</v>
          </cell>
          <cell r="D1030" t="str">
            <v>KKM/IKN/H/13/1395</v>
          </cell>
          <cell r="E1030" t="str">
            <v>13-215</v>
          </cell>
          <cell r="F1030" t="str">
            <v>Infusion Pumps, General-Purpose</v>
          </cell>
          <cell r="G1030" t="str">
            <v>DO</v>
          </cell>
          <cell r="H1030" t="str">
            <v>DAY ONCOLOGY UNIT</v>
          </cell>
          <cell r="I1030" t="str">
            <v>04DO118</v>
          </cell>
          <cell r="J1030" t="str">
            <v>TREATMENT BAY 1</v>
          </cell>
          <cell r="K1030" t="str">
            <v>BMED</v>
          </cell>
          <cell r="L1030" t="str">
            <v>Critical</v>
          </cell>
          <cell r="M1030" t="str">
            <v>Germany</v>
          </cell>
          <cell r="N1030" t="str">
            <v>Infusomat</v>
          </cell>
          <cell r="O1030" t="str">
            <v>Infusomat Space</v>
          </cell>
          <cell r="P1030" t="str">
            <v>211746</v>
          </cell>
          <cell r="Q1030" t="str">
            <v>Not Applicable</v>
          </cell>
          <cell r="R1030" t="str">
            <v>B Braun Melsungen AG</v>
          </cell>
          <cell r="S1030" t="str">
            <v>B Braun Medical Supplies Sdn. Bhd.</v>
          </cell>
          <cell r="T1030" t="str">
            <v>Functioning</v>
          </cell>
          <cell r="U1030" t="str">
            <v>Asset</v>
          </cell>
          <cell r="V1030">
            <v>10825</v>
          </cell>
          <cell r="W1030" t="str">
            <v>KEW</v>
          </cell>
          <cell r="X1030" t="str">
            <v>01/09/2010</v>
          </cell>
          <cell r="Y1030" t="str">
            <v>KEW</v>
          </cell>
          <cell r="Z1030" t="str">
            <v>16/08/2013</v>
          </cell>
          <cell r="AA1030" t="str">
            <v>15/08/2015</v>
          </cell>
          <cell r="AB1030" t="str">
            <v>No</v>
          </cell>
          <cell r="AC1030" t="str">
            <v>31/08/2013</v>
          </cell>
          <cell r="AD1030" t="str">
            <v>Good</v>
          </cell>
          <cell r="AE1030" t="str">
            <v>V1 - Existing / No Claim</v>
          </cell>
          <cell r="AF1030">
            <v>42793</v>
          </cell>
          <cell r="AG1030">
            <v>9.17</v>
          </cell>
          <cell r="AH1030" t="str">
            <v>PPM</v>
          </cell>
          <cell r="AI1030" t="str">
            <v>Strands</v>
          </cell>
          <cell r="AJ1030" t="str">
            <v>Strands PW</v>
          </cell>
        </row>
        <row r="1031">
          <cell r="A1031" t="str">
            <v>IKN400611</v>
          </cell>
          <cell r="B1031">
            <v>611</v>
          </cell>
          <cell r="C1031" t="str">
            <v>Institut Kanser Negara</v>
          </cell>
          <cell r="D1031" t="str">
            <v>KKM/IKN/H/13/1396</v>
          </cell>
          <cell r="E1031" t="str">
            <v>13-215</v>
          </cell>
          <cell r="F1031" t="str">
            <v>Infusion Pumps, General-Purpose</v>
          </cell>
          <cell r="G1031" t="str">
            <v>DO</v>
          </cell>
          <cell r="H1031" t="str">
            <v>DAY ONCOLOGY UNIT</v>
          </cell>
          <cell r="I1031" t="str">
            <v>04DO118</v>
          </cell>
          <cell r="J1031" t="str">
            <v>TREATMENT BAY 1</v>
          </cell>
          <cell r="K1031" t="str">
            <v>BMED</v>
          </cell>
          <cell r="L1031" t="str">
            <v>Critical</v>
          </cell>
          <cell r="M1031" t="str">
            <v>Germany</v>
          </cell>
          <cell r="N1031" t="str">
            <v>Infusomat</v>
          </cell>
          <cell r="O1031" t="str">
            <v>Infusomat Space</v>
          </cell>
          <cell r="P1031" t="str">
            <v>200175</v>
          </cell>
          <cell r="Q1031" t="str">
            <v>Not Applicable</v>
          </cell>
          <cell r="R1031" t="str">
            <v>B Braun Melsungen AG</v>
          </cell>
          <cell r="S1031" t="str">
            <v>B Braun Medical Supplies Sdn. Bhd.</v>
          </cell>
          <cell r="T1031" t="str">
            <v>Functioning</v>
          </cell>
          <cell r="U1031" t="str">
            <v>Asset</v>
          </cell>
          <cell r="V1031">
            <v>10825</v>
          </cell>
          <cell r="W1031" t="str">
            <v>KEW</v>
          </cell>
          <cell r="X1031" t="str">
            <v>01/09/2010</v>
          </cell>
          <cell r="Y1031" t="str">
            <v>KEW</v>
          </cell>
          <cell r="Z1031" t="str">
            <v>16/08/2013</v>
          </cell>
          <cell r="AA1031" t="str">
            <v>15/08/2015</v>
          </cell>
          <cell r="AB1031" t="str">
            <v>No</v>
          </cell>
          <cell r="AC1031" t="str">
            <v>31/08/2013</v>
          </cell>
          <cell r="AD1031" t="str">
            <v>Good</v>
          </cell>
          <cell r="AE1031" t="str">
            <v>V1 - Existing / No Claim</v>
          </cell>
          <cell r="AF1031">
            <v>42793</v>
          </cell>
          <cell r="AG1031">
            <v>9.17</v>
          </cell>
          <cell r="AH1031" t="str">
            <v>PPM</v>
          </cell>
          <cell r="AI1031" t="str">
            <v>Strands</v>
          </cell>
          <cell r="AJ1031" t="str">
            <v>Strands PW</v>
          </cell>
        </row>
        <row r="1032">
          <cell r="A1032" t="str">
            <v>IKN400612</v>
          </cell>
          <cell r="B1032">
            <v>612</v>
          </cell>
          <cell r="C1032" t="str">
            <v>Institut Kanser Negara</v>
          </cell>
          <cell r="D1032" t="str">
            <v>KKM/IKN/H/13/1397</v>
          </cell>
          <cell r="E1032" t="str">
            <v>13-215</v>
          </cell>
          <cell r="F1032" t="str">
            <v>Infusion Pumps, General-Purpose</v>
          </cell>
          <cell r="G1032" t="str">
            <v>DO</v>
          </cell>
          <cell r="H1032" t="str">
            <v>DAY ONCOLOGY UNIT</v>
          </cell>
          <cell r="I1032" t="str">
            <v>04DO118</v>
          </cell>
          <cell r="J1032" t="str">
            <v>TREATMENT BAY 1</v>
          </cell>
          <cell r="K1032" t="str">
            <v>BMED</v>
          </cell>
          <cell r="L1032" t="str">
            <v>Critical</v>
          </cell>
          <cell r="M1032" t="str">
            <v>Germany</v>
          </cell>
          <cell r="N1032" t="str">
            <v>Infusomat</v>
          </cell>
          <cell r="O1032" t="str">
            <v>Infusomat Space</v>
          </cell>
          <cell r="P1032" t="str">
            <v>212055</v>
          </cell>
          <cell r="Q1032" t="str">
            <v>Not Applicable</v>
          </cell>
          <cell r="R1032" t="str">
            <v>B Braun Melsungen AG</v>
          </cell>
          <cell r="S1032" t="str">
            <v>B Braun Medical Supplies Sdn. Bhd.</v>
          </cell>
          <cell r="T1032" t="str">
            <v>Functioning</v>
          </cell>
          <cell r="U1032" t="str">
            <v>Asset</v>
          </cell>
          <cell r="V1032">
            <v>10825</v>
          </cell>
          <cell r="W1032" t="str">
            <v>KEW</v>
          </cell>
          <cell r="X1032" t="str">
            <v>01/09/2010</v>
          </cell>
          <cell r="Y1032" t="str">
            <v>KEW</v>
          </cell>
          <cell r="Z1032" t="str">
            <v>16/08/2013</v>
          </cell>
          <cell r="AA1032" t="str">
            <v>15/08/2015</v>
          </cell>
          <cell r="AB1032" t="str">
            <v>No</v>
          </cell>
          <cell r="AC1032" t="str">
            <v>31/08/2013</v>
          </cell>
          <cell r="AD1032" t="str">
            <v>Good</v>
          </cell>
          <cell r="AE1032" t="str">
            <v>V1 - Existing / No Claim</v>
          </cell>
          <cell r="AF1032">
            <v>42793</v>
          </cell>
          <cell r="AG1032">
            <v>9.17</v>
          </cell>
          <cell r="AH1032" t="str">
            <v>PPM</v>
          </cell>
          <cell r="AI1032" t="str">
            <v>Strands</v>
          </cell>
          <cell r="AJ1032" t="str">
            <v>Strands PW</v>
          </cell>
        </row>
        <row r="1033">
          <cell r="A1033" t="str">
            <v>IKN400613</v>
          </cell>
          <cell r="B1033">
            <v>613</v>
          </cell>
          <cell r="C1033" t="str">
            <v>Institut Kanser Negara</v>
          </cell>
          <cell r="D1033" t="str">
            <v>KKM/IKN/H/13/1398</v>
          </cell>
          <cell r="E1033" t="str">
            <v>13-215</v>
          </cell>
          <cell r="F1033" t="str">
            <v>Infusion Pumps, General-Purpose</v>
          </cell>
          <cell r="G1033" t="str">
            <v>DO</v>
          </cell>
          <cell r="H1033" t="str">
            <v>DAY ONCOLOGY UNIT</v>
          </cell>
          <cell r="I1033" t="str">
            <v>04DO118</v>
          </cell>
          <cell r="J1033" t="str">
            <v>TREATMENT BAY 1</v>
          </cell>
          <cell r="K1033" t="str">
            <v>BMED</v>
          </cell>
          <cell r="L1033" t="str">
            <v>Critical</v>
          </cell>
          <cell r="M1033" t="str">
            <v>Germany</v>
          </cell>
          <cell r="N1033" t="str">
            <v>Infusomat</v>
          </cell>
          <cell r="O1033" t="str">
            <v>Infusomat Space</v>
          </cell>
          <cell r="P1033" t="str">
            <v>200163</v>
          </cell>
          <cell r="Q1033" t="str">
            <v>Not Applicable</v>
          </cell>
          <cell r="R1033" t="str">
            <v>B Braun Melsungen AG</v>
          </cell>
          <cell r="S1033" t="str">
            <v>B Braun Medical Supplies Sdn. Bhd.</v>
          </cell>
          <cell r="T1033" t="str">
            <v>Functioning</v>
          </cell>
          <cell r="U1033" t="str">
            <v>Asset</v>
          </cell>
          <cell r="V1033">
            <v>10825</v>
          </cell>
          <cell r="W1033" t="str">
            <v>KEW</v>
          </cell>
          <cell r="X1033" t="str">
            <v>01/09/2010</v>
          </cell>
          <cell r="Y1033" t="str">
            <v>KEW</v>
          </cell>
          <cell r="Z1033" t="str">
            <v>16/08/2013</v>
          </cell>
          <cell r="AA1033" t="str">
            <v>15/08/2015</v>
          </cell>
          <cell r="AB1033" t="str">
            <v>No</v>
          </cell>
          <cell r="AC1033" t="str">
            <v>31/08/2013</v>
          </cell>
          <cell r="AD1033" t="str">
            <v>Good</v>
          </cell>
          <cell r="AE1033" t="str">
            <v>V1 - Existing / No Claim</v>
          </cell>
          <cell r="AF1033">
            <v>42793</v>
          </cell>
          <cell r="AG1033">
            <v>9.17</v>
          </cell>
          <cell r="AH1033" t="str">
            <v>PPM</v>
          </cell>
          <cell r="AI1033" t="str">
            <v>Strands</v>
          </cell>
          <cell r="AJ1033" t="str">
            <v>Strands PW</v>
          </cell>
        </row>
        <row r="1034">
          <cell r="A1034" t="str">
            <v>IKN400614</v>
          </cell>
          <cell r="B1034">
            <v>614</v>
          </cell>
          <cell r="C1034" t="str">
            <v>Institut Kanser Negara</v>
          </cell>
          <cell r="D1034" t="str">
            <v>KKM/IKN/H/13/1399</v>
          </cell>
          <cell r="E1034" t="str">
            <v>13-215</v>
          </cell>
          <cell r="F1034" t="str">
            <v>Infusion Pumps, General-Purpose</v>
          </cell>
          <cell r="G1034" t="str">
            <v>DO</v>
          </cell>
          <cell r="H1034" t="str">
            <v>DAY ONCOLOGY UNIT</v>
          </cell>
          <cell r="I1034" t="str">
            <v>04DO118</v>
          </cell>
          <cell r="J1034" t="str">
            <v>TREATMENT BAY 1</v>
          </cell>
          <cell r="K1034" t="str">
            <v>BMED</v>
          </cell>
          <cell r="L1034" t="str">
            <v>Critical</v>
          </cell>
          <cell r="M1034" t="str">
            <v>Germany</v>
          </cell>
          <cell r="N1034" t="str">
            <v>Infusomat</v>
          </cell>
          <cell r="O1034" t="str">
            <v>Infusomat Space</v>
          </cell>
          <cell r="P1034" t="str">
            <v>200155</v>
          </cell>
          <cell r="Q1034" t="str">
            <v>Not Applicable</v>
          </cell>
          <cell r="R1034" t="str">
            <v>B Braun Melsungen AG</v>
          </cell>
          <cell r="S1034" t="str">
            <v>B Braun Medical Supplies Sdn. Bhd.</v>
          </cell>
          <cell r="T1034" t="str">
            <v>Functioning</v>
          </cell>
          <cell r="U1034" t="str">
            <v>Asset</v>
          </cell>
          <cell r="V1034">
            <v>10825</v>
          </cell>
          <cell r="W1034" t="str">
            <v>KEW</v>
          </cell>
          <cell r="X1034" t="str">
            <v>01/09/2010</v>
          </cell>
          <cell r="Y1034" t="str">
            <v>KEW</v>
          </cell>
          <cell r="Z1034" t="str">
            <v>16/08/2013</v>
          </cell>
          <cell r="AA1034" t="str">
            <v>15/08/2015</v>
          </cell>
          <cell r="AB1034" t="str">
            <v>No</v>
          </cell>
          <cell r="AC1034" t="str">
            <v>31/08/2013</v>
          </cell>
          <cell r="AD1034" t="str">
            <v>Good</v>
          </cell>
          <cell r="AE1034" t="str">
            <v>V1 - Existing / No Claim</v>
          </cell>
          <cell r="AF1034">
            <v>42793</v>
          </cell>
          <cell r="AG1034">
            <v>9.17</v>
          </cell>
          <cell r="AH1034" t="str">
            <v>PPM</v>
          </cell>
          <cell r="AI1034" t="str">
            <v>Strands</v>
          </cell>
          <cell r="AJ1034" t="str">
            <v>Strands PW</v>
          </cell>
        </row>
        <row r="1035">
          <cell r="A1035" t="str">
            <v>IKN400615</v>
          </cell>
          <cell r="B1035">
            <v>615</v>
          </cell>
          <cell r="C1035" t="str">
            <v>Institut Kanser Negara</v>
          </cell>
          <cell r="D1035" t="str">
            <v>KKM/IKN/H/13/1578</v>
          </cell>
          <cell r="E1035" t="str">
            <v>13-215</v>
          </cell>
          <cell r="F1035" t="str">
            <v>Infusion Pumps, General-Purpose</v>
          </cell>
          <cell r="G1035" t="str">
            <v>DO</v>
          </cell>
          <cell r="H1035" t="str">
            <v>DAY ONCOLOGY UNIT</v>
          </cell>
          <cell r="I1035" t="str">
            <v>04DO118</v>
          </cell>
          <cell r="J1035" t="str">
            <v>TREATMENT BAY 1</v>
          </cell>
          <cell r="K1035" t="str">
            <v>BMED</v>
          </cell>
          <cell r="L1035" t="str">
            <v>Critical</v>
          </cell>
          <cell r="M1035" t="str">
            <v>Germany</v>
          </cell>
          <cell r="N1035" t="str">
            <v>Infusomat</v>
          </cell>
          <cell r="O1035" t="str">
            <v>Infusomat Space</v>
          </cell>
          <cell r="P1035" t="str">
            <v>212157</v>
          </cell>
          <cell r="Q1035" t="str">
            <v>Not Applicable</v>
          </cell>
          <cell r="R1035" t="str">
            <v>B Braun Melsungen AG</v>
          </cell>
          <cell r="S1035" t="str">
            <v>B Braun Medical Supplies Sdn. Bhd.</v>
          </cell>
          <cell r="T1035" t="str">
            <v>Functioning</v>
          </cell>
          <cell r="U1035" t="str">
            <v>Asset</v>
          </cell>
          <cell r="V1035">
            <v>10825</v>
          </cell>
          <cell r="W1035" t="str">
            <v>KEW</v>
          </cell>
          <cell r="X1035" t="str">
            <v>01/09/2010</v>
          </cell>
          <cell r="Y1035" t="str">
            <v>KEW</v>
          </cell>
          <cell r="Z1035" t="str">
            <v>16/08/2013</v>
          </cell>
          <cell r="AA1035" t="str">
            <v>15/08/2015</v>
          </cell>
          <cell r="AB1035" t="str">
            <v>No</v>
          </cell>
          <cell r="AC1035" t="str">
            <v>31/08/2013</v>
          </cell>
          <cell r="AD1035" t="str">
            <v>Good</v>
          </cell>
          <cell r="AE1035" t="str">
            <v>V1 - Existing / No Claim</v>
          </cell>
          <cell r="AF1035">
            <v>42793</v>
          </cell>
          <cell r="AG1035">
            <v>9.17</v>
          </cell>
          <cell r="AH1035" t="str">
            <v>PPM</v>
          </cell>
          <cell r="AI1035" t="str">
            <v>Strands</v>
          </cell>
          <cell r="AJ1035" t="str">
            <v>Strands PW</v>
          </cell>
        </row>
        <row r="1036">
          <cell r="A1036" t="str">
            <v>IKN400616</v>
          </cell>
          <cell r="B1036">
            <v>616</v>
          </cell>
          <cell r="C1036" t="str">
            <v>Institut Kanser Negara</v>
          </cell>
          <cell r="D1036" t="str">
            <v>KKM/IKN/H/13/2416</v>
          </cell>
          <cell r="E1036" t="str">
            <v>12-647</v>
          </cell>
          <cell r="F1036" t="str">
            <v>Physiologic Monitoring Systems, Acute Care</v>
          </cell>
          <cell r="G1036" t="str">
            <v>DO</v>
          </cell>
          <cell r="H1036" t="str">
            <v>DAY ONCOLOGY UNIT</v>
          </cell>
          <cell r="I1036" t="str">
            <v>04DO118</v>
          </cell>
          <cell r="J1036" t="str">
            <v>TREATMENT BAY 1</v>
          </cell>
          <cell r="K1036" t="str">
            <v>BMED</v>
          </cell>
          <cell r="L1036" t="str">
            <v>Critical</v>
          </cell>
          <cell r="M1036" t="str">
            <v>USA</v>
          </cell>
          <cell r="N1036" t="str">
            <v>GE</v>
          </cell>
          <cell r="O1036" t="str">
            <v>GE B30</v>
          </cell>
          <cell r="P1036" t="str">
            <v>SF312315864WA</v>
          </cell>
          <cell r="Q1036" t="str">
            <v>Not Applicable</v>
          </cell>
          <cell r="R1036" t="str">
            <v>GE Healthcare Systems</v>
          </cell>
          <cell r="S1036" t="str">
            <v>GE Healthcare Technologies</v>
          </cell>
          <cell r="T1036" t="str">
            <v>Functioning</v>
          </cell>
          <cell r="U1036" t="str">
            <v>Asset</v>
          </cell>
          <cell r="V1036">
            <v>44510</v>
          </cell>
          <cell r="W1036" t="str">
            <v>KEW</v>
          </cell>
          <cell r="X1036" t="str">
            <v>01/09/2010</v>
          </cell>
          <cell r="Y1036" t="str">
            <v>KEW</v>
          </cell>
          <cell r="Z1036" t="str">
            <v>16/08/2013</v>
          </cell>
          <cell r="AA1036" t="str">
            <v>15/08/2015</v>
          </cell>
          <cell r="AB1036" t="str">
            <v>No</v>
          </cell>
          <cell r="AC1036" t="str">
            <v>31/08/2013</v>
          </cell>
          <cell r="AD1036" t="str">
            <v>Good</v>
          </cell>
          <cell r="AE1036" t="str">
            <v>V1 - Existing / No Claim</v>
          </cell>
          <cell r="AF1036">
            <v>42793</v>
          </cell>
          <cell r="AG1036">
            <v>9.17</v>
          </cell>
          <cell r="AH1036" t="str">
            <v>PPM</v>
          </cell>
          <cell r="AI1036" t="str">
            <v>Strands</v>
          </cell>
          <cell r="AJ1036" t="str">
            <v>Strands PW</v>
          </cell>
        </row>
        <row r="1037">
          <cell r="A1037" t="str">
            <v>IKN400617</v>
          </cell>
          <cell r="B1037">
            <v>617</v>
          </cell>
          <cell r="C1037" t="str">
            <v>Institut Kanser Negara</v>
          </cell>
          <cell r="D1037" t="str">
            <v>KKM/IKN/H/13/1601</v>
          </cell>
          <cell r="E1037" t="str">
            <v>17-950</v>
          </cell>
          <cell r="F1037" t="str">
            <v>Warming Units, Patient, Forced-Air</v>
          </cell>
          <cell r="G1037" t="str">
            <v>DO</v>
          </cell>
          <cell r="H1037" t="str">
            <v>DAY ONCOLOGY UNIT</v>
          </cell>
          <cell r="I1037" t="str">
            <v>04DO118</v>
          </cell>
          <cell r="J1037" t="str">
            <v>TREATMENT BAY 1</v>
          </cell>
          <cell r="K1037" t="str">
            <v>BMED</v>
          </cell>
          <cell r="L1037" t="str">
            <v>Normal</v>
          </cell>
          <cell r="M1037" t="str">
            <v>USA</v>
          </cell>
          <cell r="N1037" t="str">
            <v>Bair Hugger</v>
          </cell>
          <cell r="O1037" t="str">
            <v>Bair Hugger 775</v>
          </cell>
          <cell r="P1037" t="str">
            <v>35935</v>
          </cell>
          <cell r="Q1037" t="str">
            <v>Not Applicable</v>
          </cell>
          <cell r="R1037" t="str">
            <v>Arizant Healthcare Inc</v>
          </cell>
          <cell r="S1037" t="str">
            <v>Calmed Healthcare Sdn Bhd</v>
          </cell>
          <cell r="T1037" t="str">
            <v>Functioning</v>
          </cell>
          <cell r="U1037" t="str">
            <v>Asset</v>
          </cell>
          <cell r="V1037">
            <v>15515</v>
          </cell>
          <cell r="W1037" t="str">
            <v>KEW</v>
          </cell>
          <cell r="X1037" t="str">
            <v>01/09/2010</v>
          </cell>
          <cell r="Y1037" t="str">
            <v>KEW</v>
          </cell>
          <cell r="Z1037" t="str">
            <v>16/08/2013</v>
          </cell>
          <cell r="AA1037" t="str">
            <v>15/08/2015</v>
          </cell>
          <cell r="AB1037" t="str">
            <v>No</v>
          </cell>
          <cell r="AC1037" t="str">
            <v>31/08/2013</v>
          </cell>
          <cell r="AD1037" t="str">
            <v>Good</v>
          </cell>
          <cell r="AE1037" t="str">
            <v>V1 - Existing / No Claim</v>
          </cell>
          <cell r="AF1037">
            <v>42793</v>
          </cell>
          <cell r="AG1037">
            <v>9.17</v>
          </cell>
          <cell r="AH1037" t="str">
            <v>PPM</v>
          </cell>
          <cell r="AI1037" t="str">
            <v>Strands</v>
          </cell>
          <cell r="AJ1037" t="str">
            <v>Strands PW</v>
          </cell>
        </row>
        <row r="1038">
          <cell r="A1038" t="str">
            <v>IKN400618</v>
          </cell>
          <cell r="B1038">
            <v>618</v>
          </cell>
          <cell r="C1038" t="str">
            <v>Institut Kanser Negara</v>
          </cell>
          <cell r="D1038" t="str">
            <v>KKM/IKN/H/13/1602</v>
          </cell>
          <cell r="E1038" t="str">
            <v>17-950</v>
          </cell>
          <cell r="F1038" t="str">
            <v>Warming Units, Patient, Forced-Air</v>
          </cell>
          <cell r="G1038" t="str">
            <v>DO</v>
          </cell>
          <cell r="H1038" t="str">
            <v>DAY ONCOLOGY UNIT</v>
          </cell>
          <cell r="I1038" t="str">
            <v>04DO118</v>
          </cell>
          <cell r="J1038" t="str">
            <v>TREATMENT BAY 1</v>
          </cell>
          <cell r="K1038" t="str">
            <v>BMED</v>
          </cell>
          <cell r="L1038" t="str">
            <v>Normal</v>
          </cell>
          <cell r="M1038" t="str">
            <v>USA</v>
          </cell>
          <cell r="N1038" t="str">
            <v>Bair Hugger</v>
          </cell>
          <cell r="O1038" t="str">
            <v>Bair Hugger 775</v>
          </cell>
          <cell r="P1038" t="str">
            <v>35936</v>
          </cell>
          <cell r="Q1038" t="str">
            <v>Not Applicable</v>
          </cell>
          <cell r="R1038" t="str">
            <v>Arizant Healthcare Inc</v>
          </cell>
          <cell r="S1038" t="str">
            <v>Calmed Healthcare Sdn Bhd</v>
          </cell>
          <cell r="T1038" t="str">
            <v>Functioning</v>
          </cell>
          <cell r="U1038" t="str">
            <v>Asset</v>
          </cell>
          <cell r="V1038">
            <v>15515</v>
          </cell>
          <cell r="W1038" t="str">
            <v>KEW</v>
          </cell>
          <cell r="X1038" t="str">
            <v>01/09/2010</v>
          </cell>
          <cell r="Y1038" t="str">
            <v>KEW</v>
          </cell>
          <cell r="Z1038" t="str">
            <v>16/08/2013</v>
          </cell>
          <cell r="AA1038" t="str">
            <v>15/08/2015</v>
          </cell>
          <cell r="AB1038" t="str">
            <v>No</v>
          </cell>
          <cell r="AC1038" t="str">
            <v>31/08/2013</v>
          </cell>
          <cell r="AD1038" t="str">
            <v>Good</v>
          </cell>
          <cell r="AE1038" t="str">
            <v>V1 - Existing / No Claim</v>
          </cell>
          <cell r="AF1038">
            <v>42793</v>
          </cell>
          <cell r="AG1038">
            <v>9.17</v>
          </cell>
          <cell r="AH1038" t="str">
            <v>PPM</v>
          </cell>
          <cell r="AI1038" t="str">
            <v>Strands</v>
          </cell>
          <cell r="AJ1038" t="str">
            <v>Strands PW</v>
          </cell>
        </row>
        <row r="1039">
          <cell r="A1039" t="str">
            <v>IKN400619</v>
          </cell>
          <cell r="B1039">
            <v>619</v>
          </cell>
          <cell r="C1039" t="str">
            <v>Institut Kanser Negara</v>
          </cell>
          <cell r="D1039" t="e">
            <v>#N/A</v>
          </cell>
          <cell r="E1039" t="str">
            <v>13-215</v>
          </cell>
          <cell r="F1039" t="str">
            <v>Infusion Pumps, General-Purpose</v>
          </cell>
          <cell r="G1039" t="str">
            <v>DO</v>
          </cell>
          <cell r="H1039" t="str">
            <v>DAY ONCOLOGY UNIT</v>
          </cell>
          <cell r="I1039" t="str">
            <v>04DO119</v>
          </cell>
          <cell r="J1039" t="str">
            <v>TREATMENT BAY 2</v>
          </cell>
          <cell r="K1039" t="str">
            <v>BMED</v>
          </cell>
          <cell r="L1039" t="str">
            <v>Critical</v>
          </cell>
          <cell r="M1039" t="str">
            <v>Germany</v>
          </cell>
          <cell r="N1039" t="str">
            <v>Infusomat</v>
          </cell>
          <cell r="O1039" t="str">
            <v>Infusomat Space</v>
          </cell>
          <cell r="P1039" t="str">
            <v>200157</v>
          </cell>
          <cell r="Q1039" t="str">
            <v>Not Applicable</v>
          </cell>
          <cell r="R1039" t="str">
            <v>B Braun Melsungen AG</v>
          </cell>
          <cell r="S1039" t="str">
            <v>B Braun Medical Supplies Sdn. Bhd.</v>
          </cell>
          <cell r="T1039" t="str">
            <v>Functioning</v>
          </cell>
          <cell r="U1039" t="str">
            <v>Asset</v>
          </cell>
          <cell r="V1039">
            <v>10825</v>
          </cell>
          <cell r="W1039" t="str">
            <v>KEW</v>
          </cell>
          <cell r="X1039" t="str">
            <v>01/09/2010</v>
          </cell>
          <cell r="Y1039" t="str">
            <v>KEW</v>
          </cell>
          <cell r="Z1039" t="str">
            <v>16/08/2013</v>
          </cell>
          <cell r="AA1039" t="str">
            <v>15/08/2015</v>
          </cell>
          <cell r="AB1039" t="str">
            <v>No</v>
          </cell>
          <cell r="AC1039" t="str">
            <v>31/08/2013</v>
          </cell>
          <cell r="AD1039" t="str">
            <v>Good</v>
          </cell>
          <cell r="AE1039" t="str">
            <v>V1 - Existing / No Claim</v>
          </cell>
          <cell r="AF1039">
            <v>42793</v>
          </cell>
          <cell r="AG1039">
            <v>9.17</v>
          </cell>
          <cell r="AH1039" t="str">
            <v>PPM</v>
          </cell>
          <cell r="AI1039" t="str">
            <v>Propose P1.24</v>
          </cell>
        </row>
        <row r="1040">
          <cell r="A1040" t="str">
            <v>IKN400620</v>
          </cell>
          <cell r="B1040">
            <v>620</v>
          </cell>
          <cell r="C1040" t="str">
            <v>Institut Kanser Negara</v>
          </cell>
          <cell r="D1040" t="str">
            <v>KKM/IKN/H/13/1580</v>
          </cell>
          <cell r="E1040" t="str">
            <v>13-215</v>
          </cell>
          <cell r="F1040" t="str">
            <v>Infusion Pumps, General-Purpose</v>
          </cell>
          <cell r="G1040" t="str">
            <v>DO</v>
          </cell>
          <cell r="H1040" t="str">
            <v>DAY ONCOLOGY UNIT</v>
          </cell>
          <cell r="I1040" t="str">
            <v>04DO119</v>
          </cell>
          <cell r="J1040" t="str">
            <v>TREATMENT BAY 2</v>
          </cell>
          <cell r="K1040" t="str">
            <v>BMED</v>
          </cell>
          <cell r="L1040" t="str">
            <v>Critical</v>
          </cell>
          <cell r="M1040" t="str">
            <v>Germany</v>
          </cell>
          <cell r="N1040" t="str">
            <v>Infusomat</v>
          </cell>
          <cell r="O1040" t="str">
            <v>Infusomat Space</v>
          </cell>
          <cell r="P1040" t="str">
            <v>212077</v>
          </cell>
          <cell r="Q1040" t="str">
            <v>Not Applicable</v>
          </cell>
          <cell r="R1040" t="str">
            <v>B Braun Melsungen AG</v>
          </cell>
          <cell r="S1040" t="str">
            <v>B Braun Medical Supplies Sdn. Bhd.</v>
          </cell>
          <cell r="T1040" t="str">
            <v>Functioning</v>
          </cell>
          <cell r="U1040" t="str">
            <v>Asset</v>
          </cell>
          <cell r="V1040">
            <v>10825</v>
          </cell>
          <cell r="W1040" t="str">
            <v>KEW</v>
          </cell>
          <cell r="X1040" t="str">
            <v>01/09/2010</v>
          </cell>
          <cell r="Y1040" t="str">
            <v>KEW</v>
          </cell>
          <cell r="Z1040" t="str">
            <v>16/08/2013</v>
          </cell>
          <cell r="AA1040" t="str">
            <v>15/08/2015</v>
          </cell>
          <cell r="AB1040" t="str">
            <v>No</v>
          </cell>
          <cell r="AC1040" t="str">
            <v>31/08/2013</v>
          </cell>
          <cell r="AD1040" t="str">
            <v>Good</v>
          </cell>
          <cell r="AE1040" t="str">
            <v>V1 - Existing / No Claim</v>
          </cell>
          <cell r="AF1040">
            <v>42793</v>
          </cell>
          <cell r="AG1040">
            <v>9.17</v>
          </cell>
          <cell r="AH1040" t="str">
            <v>PPM</v>
          </cell>
          <cell r="AI1040" t="str">
            <v>Strands</v>
          </cell>
          <cell r="AJ1040" t="str">
            <v>Strands PW</v>
          </cell>
        </row>
        <row r="1041">
          <cell r="A1041" t="str">
            <v>IKN400621</v>
          </cell>
          <cell r="B1041">
            <v>621</v>
          </cell>
          <cell r="C1041" t="str">
            <v>Institut Kanser Negara</v>
          </cell>
          <cell r="D1041" t="str">
            <v>KKM/IKN/H/13/1581</v>
          </cell>
          <cell r="E1041" t="str">
            <v>13-215</v>
          </cell>
          <cell r="F1041" t="str">
            <v>Infusion Pumps, General-Purpose</v>
          </cell>
          <cell r="G1041" t="str">
            <v>DO</v>
          </cell>
          <cell r="H1041" t="str">
            <v>DAY ONCOLOGY UNIT</v>
          </cell>
          <cell r="I1041" t="str">
            <v>04DO119</v>
          </cell>
          <cell r="J1041" t="str">
            <v>TREATMENT BAY 2</v>
          </cell>
          <cell r="K1041" t="str">
            <v>BMED</v>
          </cell>
          <cell r="L1041" t="str">
            <v>Critical</v>
          </cell>
          <cell r="M1041" t="str">
            <v>Germany</v>
          </cell>
          <cell r="N1041" t="str">
            <v>Infusomat</v>
          </cell>
          <cell r="O1041" t="str">
            <v>Infusomat Space</v>
          </cell>
          <cell r="P1041" t="str">
            <v>212092</v>
          </cell>
          <cell r="Q1041" t="str">
            <v>Not Applicable</v>
          </cell>
          <cell r="R1041" t="str">
            <v>B Braun Melsungen AG</v>
          </cell>
          <cell r="S1041" t="str">
            <v>B Braun Medical Supplies Sdn. Bhd.</v>
          </cell>
          <cell r="T1041" t="str">
            <v>Functioning</v>
          </cell>
          <cell r="U1041" t="str">
            <v>Asset</v>
          </cell>
          <cell r="V1041">
            <v>10825</v>
          </cell>
          <cell r="W1041" t="str">
            <v>KEW</v>
          </cell>
          <cell r="X1041" t="str">
            <v>01/09/2010</v>
          </cell>
          <cell r="Y1041" t="str">
            <v>KEW</v>
          </cell>
          <cell r="Z1041" t="str">
            <v>16/08/2013</v>
          </cell>
          <cell r="AA1041" t="str">
            <v>15/08/2015</v>
          </cell>
          <cell r="AB1041" t="str">
            <v>No</v>
          </cell>
          <cell r="AC1041" t="str">
            <v>31/08/2013</v>
          </cell>
          <cell r="AD1041" t="str">
            <v>Good</v>
          </cell>
          <cell r="AE1041" t="str">
            <v>V1 - Existing / No Claim</v>
          </cell>
          <cell r="AF1041">
            <v>42793</v>
          </cell>
          <cell r="AG1041">
            <v>9.17</v>
          </cell>
          <cell r="AH1041" t="str">
            <v>PPM</v>
          </cell>
          <cell r="AI1041" t="str">
            <v>Strands</v>
          </cell>
          <cell r="AJ1041" t="str">
            <v>Strands PW</v>
          </cell>
        </row>
        <row r="1042">
          <cell r="A1042" t="str">
            <v>IKN400622</v>
          </cell>
          <cell r="B1042">
            <v>622</v>
          </cell>
          <cell r="C1042" t="str">
            <v>Institut Kanser Negara</v>
          </cell>
          <cell r="D1042" t="str">
            <v>KKM/IKN/H/13/1582</v>
          </cell>
          <cell r="E1042" t="str">
            <v>13-215</v>
          </cell>
          <cell r="F1042" t="str">
            <v>Infusion Pumps, General-Purpose</v>
          </cell>
          <cell r="G1042" t="str">
            <v>DO</v>
          </cell>
          <cell r="H1042" t="str">
            <v>DAY ONCOLOGY UNIT</v>
          </cell>
          <cell r="I1042" t="str">
            <v>04DO119</v>
          </cell>
          <cell r="J1042" t="str">
            <v>TREATMENT BAY 2</v>
          </cell>
          <cell r="K1042" t="str">
            <v>BMED</v>
          </cell>
          <cell r="L1042" t="str">
            <v>Critical</v>
          </cell>
          <cell r="M1042" t="str">
            <v>Germany</v>
          </cell>
          <cell r="N1042" t="str">
            <v>Infusomat</v>
          </cell>
          <cell r="O1042" t="str">
            <v>Infusomat Space</v>
          </cell>
          <cell r="P1042" t="str">
            <v>212110</v>
          </cell>
          <cell r="Q1042" t="str">
            <v>Not Applicable</v>
          </cell>
          <cell r="R1042" t="str">
            <v>B Braun Melsungen AG</v>
          </cell>
          <cell r="S1042" t="str">
            <v>B Braun Medical Supplies Sdn. Bhd.</v>
          </cell>
          <cell r="T1042" t="str">
            <v>Functioning</v>
          </cell>
          <cell r="U1042" t="str">
            <v>Asset</v>
          </cell>
          <cell r="V1042">
            <v>10825</v>
          </cell>
          <cell r="W1042" t="str">
            <v>KEW</v>
          </cell>
          <cell r="X1042" t="str">
            <v>01/09/2010</v>
          </cell>
          <cell r="Y1042" t="str">
            <v>KEW</v>
          </cell>
          <cell r="Z1042" t="str">
            <v>16/08/2013</v>
          </cell>
          <cell r="AA1042" t="str">
            <v>15/08/2015</v>
          </cell>
          <cell r="AB1042" t="str">
            <v>No</v>
          </cell>
          <cell r="AC1042" t="str">
            <v>31/08/2013</v>
          </cell>
          <cell r="AD1042" t="str">
            <v>Good</v>
          </cell>
          <cell r="AE1042" t="str">
            <v>V1 - Existing / No Claim</v>
          </cell>
          <cell r="AF1042">
            <v>42793</v>
          </cell>
          <cell r="AG1042">
            <v>9.17</v>
          </cell>
          <cell r="AH1042" t="str">
            <v>PPM</v>
          </cell>
          <cell r="AI1042" t="str">
            <v>Strands</v>
          </cell>
          <cell r="AJ1042" t="str">
            <v>Strands PW</v>
          </cell>
        </row>
        <row r="1043">
          <cell r="A1043" t="str">
            <v>IKN400623</v>
          </cell>
          <cell r="B1043">
            <v>623</v>
          </cell>
          <cell r="C1043" t="str">
            <v>Institut Kanser Negara</v>
          </cell>
          <cell r="D1043" t="str">
            <v>KKM/IKN/H/13/1583</v>
          </cell>
          <cell r="E1043" t="str">
            <v>13-215</v>
          </cell>
          <cell r="F1043" t="str">
            <v>Infusion Pumps, General-Purpose</v>
          </cell>
          <cell r="G1043" t="str">
            <v>DO</v>
          </cell>
          <cell r="H1043" t="str">
            <v>DAY ONCOLOGY UNIT</v>
          </cell>
          <cell r="I1043" t="str">
            <v>04DO119</v>
          </cell>
          <cell r="J1043" t="str">
            <v>TREATMENT BAY 2</v>
          </cell>
          <cell r="K1043" t="str">
            <v>BMED</v>
          </cell>
          <cell r="L1043" t="str">
            <v>Critical</v>
          </cell>
          <cell r="M1043" t="str">
            <v>Germany</v>
          </cell>
          <cell r="N1043" t="str">
            <v>Infusomat</v>
          </cell>
          <cell r="O1043" t="str">
            <v>Infusomat Space</v>
          </cell>
          <cell r="P1043" t="str">
            <v>212255</v>
          </cell>
          <cell r="Q1043" t="str">
            <v>Not Applicable</v>
          </cell>
          <cell r="R1043" t="str">
            <v>B Braun Melsungen AG</v>
          </cell>
          <cell r="S1043" t="str">
            <v>B Braun Medical Supplies Sdn. Bhd.</v>
          </cell>
          <cell r="T1043" t="str">
            <v>Functioning</v>
          </cell>
          <cell r="U1043" t="str">
            <v>Asset</v>
          </cell>
          <cell r="V1043">
            <v>10825</v>
          </cell>
          <cell r="W1043" t="str">
            <v>KEW</v>
          </cell>
          <cell r="X1043" t="str">
            <v>01/09/2010</v>
          </cell>
          <cell r="Y1043" t="str">
            <v>KEW</v>
          </cell>
          <cell r="Z1043" t="str">
            <v>16/08/2013</v>
          </cell>
          <cell r="AA1043" t="str">
            <v>15/08/2015</v>
          </cell>
          <cell r="AB1043" t="str">
            <v>No</v>
          </cell>
          <cell r="AC1043" t="str">
            <v>31/08/2013</v>
          </cell>
          <cell r="AD1043" t="str">
            <v>Good</v>
          </cell>
          <cell r="AE1043" t="str">
            <v>V1 - Existing / No Claim</v>
          </cell>
          <cell r="AF1043">
            <v>42793</v>
          </cell>
          <cell r="AG1043">
            <v>9.17</v>
          </cell>
          <cell r="AH1043" t="str">
            <v>PPM</v>
          </cell>
          <cell r="AI1043" t="str">
            <v>Strands</v>
          </cell>
          <cell r="AJ1043" t="str">
            <v>Strands PW</v>
          </cell>
        </row>
        <row r="1044">
          <cell r="A1044" t="str">
            <v>IKN400624</v>
          </cell>
          <cell r="B1044">
            <v>624</v>
          </cell>
          <cell r="C1044" t="str">
            <v>Institut Kanser Negara</v>
          </cell>
          <cell r="D1044" t="str">
            <v>KKM/IKN/H/13/1584</v>
          </cell>
          <cell r="E1044" t="str">
            <v>13-215</v>
          </cell>
          <cell r="F1044" t="str">
            <v>Infusion Pumps, General-Purpose</v>
          </cell>
          <cell r="G1044" t="str">
            <v>DO</v>
          </cell>
          <cell r="H1044" t="str">
            <v>DAY ONCOLOGY UNIT</v>
          </cell>
          <cell r="I1044" t="str">
            <v>04DO119</v>
          </cell>
          <cell r="J1044" t="str">
            <v>TREATMENT BAY 2</v>
          </cell>
          <cell r="K1044" t="str">
            <v>BMED</v>
          </cell>
          <cell r="L1044" t="str">
            <v>Critical</v>
          </cell>
          <cell r="M1044" t="str">
            <v>Germany</v>
          </cell>
          <cell r="N1044" t="str">
            <v>Infusomat</v>
          </cell>
          <cell r="O1044" t="str">
            <v>Infusomat Space</v>
          </cell>
          <cell r="P1044" t="str">
            <v>212005</v>
          </cell>
          <cell r="Q1044" t="str">
            <v>Not Applicable</v>
          </cell>
          <cell r="R1044" t="str">
            <v>B Braun Melsungen AG</v>
          </cell>
          <cell r="S1044" t="str">
            <v>B Braun Medical Supplies Sdn. Bhd.</v>
          </cell>
          <cell r="T1044" t="str">
            <v>Functioning</v>
          </cell>
          <cell r="U1044" t="str">
            <v>Asset</v>
          </cell>
          <cell r="V1044">
            <v>10825</v>
          </cell>
          <cell r="W1044" t="str">
            <v>KEW</v>
          </cell>
          <cell r="X1044" t="str">
            <v>01/09/2010</v>
          </cell>
          <cell r="Y1044" t="str">
            <v>KEW</v>
          </cell>
          <cell r="Z1044" t="str">
            <v>16/08/2013</v>
          </cell>
          <cell r="AA1044" t="str">
            <v>15/08/2015</v>
          </cell>
          <cell r="AB1044" t="str">
            <v>No</v>
          </cell>
          <cell r="AC1044" t="str">
            <v>31/08/2013</v>
          </cell>
          <cell r="AD1044" t="str">
            <v>Good</v>
          </cell>
          <cell r="AE1044" t="str">
            <v>V1 - Existing / No Claim</v>
          </cell>
          <cell r="AF1044">
            <v>42793</v>
          </cell>
          <cell r="AG1044">
            <v>9.17</v>
          </cell>
          <cell r="AH1044" t="str">
            <v>PPM</v>
          </cell>
          <cell r="AI1044" t="str">
            <v>Strands</v>
          </cell>
          <cell r="AJ1044" t="str">
            <v>Strands PW</v>
          </cell>
        </row>
        <row r="1045">
          <cell r="A1045" t="str">
            <v>IKN400625</v>
          </cell>
          <cell r="B1045">
            <v>625</v>
          </cell>
          <cell r="C1045" t="str">
            <v>Institut Kanser Negara</v>
          </cell>
          <cell r="D1045" t="str">
            <v>KKM/IKN/H/13/5132</v>
          </cell>
          <cell r="E1045" t="str">
            <v>12-647</v>
          </cell>
          <cell r="F1045" t="str">
            <v>Physiologic Monitoring Systems, Acute Care</v>
          </cell>
          <cell r="G1045" t="str">
            <v>DO</v>
          </cell>
          <cell r="H1045" t="str">
            <v>DAY ONCOLOGY UNIT</v>
          </cell>
          <cell r="I1045" t="str">
            <v>04DO119</v>
          </cell>
          <cell r="J1045" t="str">
            <v>TREATMENT BAY 2</v>
          </cell>
          <cell r="K1045" t="str">
            <v>BMED</v>
          </cell>
          <cell r="L1045" t="str">
            <v>Normal</v>
          </cell>
          <cell r="M1045" t="str">
            <v>USA</v>
          </cell>
          <cell r="N1045" t="str">
            <v>GE</v>
          </cell>
          <cell r="O1045" t="str">
            <v>GE B30</v>
          </cell>
          <cell r="P1045" t="str">
            <v>SF312325901WA</v>
          </cell>
          <cell r="Q1045" t="str">
            <v>Not Applicable</v>
          </cell>
          <cell r="R1045" t="str">
            <v>GE Healthcare Systems</v>
          </cell>
          <cell r="S1045" t="str">
            <v>GE Healthcare Technologies</v>
          </cell>
          <cell r="T1045" t="str">
            <v>Functioning</v>
          </cell>
          <cell r="U1045" t="str">
            <v>Asset</v>
          </cell>
          <cell r="V1045">
            <v>44510</v>
          </cell>
          <cell r="W1045" t="str">
            <v>KEW</v>
          </cell>
          <cell r="X1045" t="str">
            <v>01/09/2010</v>
          </cell>
          <cell r="Y1045" t="str">
            <v>KEW</v>
          </cell>
          <cell r="Z1045" t="str">
            <v>16/08/2013</v>
          </cell>
          <cell r="AA1045" t="str">
            <v>15/08/2015</v>
          </cell>
          <cell r="AB1045" t="str">
            <v>No</v>
          </cell>
          <cell r="AC1045" t="str">
            <v>31/08/2013</v>
          </cell>
          <cell r="AD1045" t="str">
            <v>Good</v>
          </cell>
          <cell r="AE1045" t="str">
            <v>V1 - Existing / No Claim</v>
          </cell>
          <cell r="AF1045">
            <v>42235</v>
          </cell>
          <cell r="AG1045">
            <v>9.17</v>
          </cell>
          <cell r="AH1045" t="str">
            <v>PPM</v>
          </cell>
          <cell r="AI1045" t="str">
            <v>Strands</v>
          </cell>
          <cell r="AJ1045" t="str">
            <v>Strands PW</v>
          </cell>
        </row>
        <row r="1046">
          <cell r="A1046" t="str">
            <v>IKN400626</v>
          </cell>
          <cell r="B1046">
            <v>626</v>
          </cell>
          <cell r="C1046" t="str">
            <v>Institut Kanser Negara</v>
          </cell>
          <cell r="D1046" t="str">
            <v>KKM/IKN/H/13/1603</v>
          </cell>
          <cell r="E1046" t="str">
            <v>17-950</v>
          </cell>
          <cell r="F1046" t="str">
            <v>Warming Units, Patient, Forced-Air</v>
          </cell>
          <cell r="G1046" t="str">
            <v>RT</v>
          </cell>
          <cell r="H1046" t="str">
            <v>RADIATION TREATMENT UNIT</v>
          </cell>
          <cell r="I1046" t="str">
            <v>01RT243</v>
          </cell>
          <cell r="J1046" t="str">
            <v>NURSE STATION</v>
          </cell>
          <cell r="K1046" t="str">
            <v>BMED</v>
          </cell>
          <cell r="L1046" t="str">
            <v>Normal</v>
          </cell>
          <cell r="M1046" t="str">
            <v>USA</v>
          </cell>
          <cell r="N1046" t="str">
            <v>Bair Hugger</v>
          </cell>
          <cell r="O1046" t="str">
            <v>Bair Hugger 775</v>
          </cell>
          <cell r="P1046" t="str">
            <v>35938</v>
          </cell>
          <cell r="Q1046" t="str">
            <v>Not Applicable</v>
          </cell>
          <cell r="R1046" t="str">
            <v>Arizant Healthcare Inc</v>
          </cell>
          <cell r="S1046" t="str">
            <v>Calmed Healthcare Sdn Bhd</v>
          </cell>
          <cell r="T1046" t="str">
            <v>Functioning</v>
          </cell>
          <cell r="U1046" t="str">
            <v>Asset</v>
          </cell>
          <cell r="V1046">
            <v>15515</v>
          </cell>
          <cell r="W1046" t="str">
            <v>KEW</v>
          </cell>
          <cell r="X1046" t="str">
            <v>01/09/2010</v>
          </cell>
          <cell r="Y1046" t="str">
            <v>KEW</v>
          </cell>
          <cell r="Z1046" t="str">
            <v>16/08/2013</v>
          </cell>
          <cell r="AA1046" t="str">
            <v>15/08/2015</v>
          </cell>
          <cell r="AB1046" t="str">
            <v>No</v>
          </cell>
          <cell r="AC1046" t="str">
            <v>31/08/2013</v>
          </cell>
          <cell r="AD1046" t="str">
            <v>Good</v>
          </cell>
          <cell r="AE1046" t="str">
            <v>V1 - Existing / No Claim</v>
          </cell>
          <cell r="AF1046">
            <v>42871</v>
          </cell>
          <cell r="AG1046">
            <v>9.17</v>
          </cell>
          <cell r="AH1046" t="str">
            <v>PPM</v>
          </cell>
          <cell r="AI1046" t="str">
            <v>Strands</v>
          </cell>
          <cell r="AJ1046" t="str">
            <v>Strands PW</v>
          </cell>
        </row>
        <row r="1047">
          <cell r="A1047" t="str">
            <v>IKN400627</v>
          </cell>
          <cell r="B1047">
            <v>627</v>
          </cell>
          <cell r="C1047" t="str">
            <v>Institut Kanser Negara</v>
          </cell>
          <cell r="D1047" t="str">
            <v>KKM/IKN/H/13/1604</v>
          </cell>
          <cell r="E1047" t="str">
            <v>17-950</v>
          </cell>
          <cell r="F1047" t="str">
            <v>Warming Units, Patient, Forced-Air</v>
          </cell>
          <cell r="G1047" t="str">
            <v>DO</v>
          </cell>
          <cell r="H1047" t="str">
            <v>DAY ONCOLOGY UNIT</v>
          </cell>
          <cell r="I1047" t="str">
            <v>04DO119</v>
          </cell>
          <cell r="J1047" t="str">
            <v>TREATMENT BAY 2</v>
          </cell>
          <cell r="K1047" t="str">
            <v>BMED</v>
          </cell>
          <cell r="L1047" t="str">
            <v>Normal</v>
          </cell>
          <cell r="M1047" t="str">
            <v>USA</v>
          </cell>
          <cell r="N1047" t="str">
            <v>Bair Hugger</v>
          </cell>
          <cell r="O1047" t="str">
            <v>Bair Hugger 775</v>
          </cell>
          <cell r="P1047" t="str">
            <v>35937</v>
          </cell>
          <cell r="Q1047" t="str">
            <v>Not Applicable</v>
          </cell>
          <cell r="R1047" t="str">
            <v>Arizant Healthcare Inc</v>
          </cell>
          <cell r="S1047" t="str">
            <v>Calmed Healthcare Sdn Bhd</v>
          </cell>
          <cell r="T1047" t="str">
            <v>Functioning</v>
          </cell>
          <cell r="U1047" t="str">
            <v>Asset</v>
          </cell>
          <cell r="V1047">
            <v>15515</v>
          </cell>
          <cell r="W1047" t="str">
            <v>KEW</v>
          </cell>
          <cell r="X1047" t="str">
            <v>01/09/2010</v>
          </cell>
          <cell r="Y1047" t="str">
            <v>KEW</v>
          </cell>
          <cell r="Z1047" t="str">
            <v>16/08/2013</v>
          </cell>
          <cell r="AA1047" t="str">
            <v>15/08/2015</v>
          </cell>
          <cell r="AB1047" t="str">
            <v>No</v>
          </cell>
          <cell r="AC1047" t="str">
            <v>31/08/2013</v>
          </cell>
          <cell r="AD1047" t="str">
            <v>Good</v>
          </cell>
          <cell r="AE1047" t="str">
            <v>V1 - Existing / No Claim</v>
          </cell>
          <cell r="AF1047">
            <v>42793</v>
          </cell>
          <cell r="AG1047">
            <v>9.17</v>
          </cell>
          <cell r="AH1047" t="str">
            <v>PPM</v>
          </cell>
          <cell r="AI1047" t="str">
            <v>Strands</v>
          </cell>
          <cell r="AJ1047" t="str">
            <v>Strands PW</v>
          </cell>
        </row>
        <row r="1048">
          <cell r="A1048" t="str">
            <v>IKN400628</v>
          </cell>
          <cell r="B1048">
            <v>628</v>
          </cell>
          <cell r="C1048" t="str">
            <v>Institut Kanser Negara</v>
          </cell>
          <cell r="D1048" t="str">
            <v>KKM/IKN/H/13/1585</v>
          </cell>
          <cell r="E1048" t="str">
            <v>13-215</v>
          </cell>
          <cell r="F1048" t="str">
            <v>Infusion Pumps, General-Purpose</v>
          </cell>
          <cell r="G1048" t="str">
            <v>DO</v>
          </cell>
          <cell r="H1048" t="str">
            <v>DAY ONCOLOGY UNIT</v>
          </cell>
          <cell r="I1048" t="str">
            <v>04DO120</v>
          </cell>
          <cell r="J1048" t="str">
            <v>TREATMENT BAY 3</v>
          </cell>
          <cell r="K1048" t="str">
            <v>BMED</v>
          </cell>
          <cell r="L1048" t="str">
            <v>Critical</v>
          </cell>
          <cell r="M1048" t="str">
            <v>Germany</v>
          </cell>
          <cell r="N1048" t="str">
            <v>Infusomat</v>
          </cell>
          <cell r="O1048" t="str">
            <v>Infusomat Space</v>
          </cell>
          <cell r="P1048" t="str">
            <v>212037</v>
          </cell>
          <cell r="Q1048" t="str">
            <v>Not Applicable</v>
          </cell>
          <cell r="R1048" t="str">
            <v>B Braun Melsungen AG</v>
          </cell>
          <cell r="S1048" t="str">
            <v>B Braun Medical Supplies Sdn. Bhd.</v>
          </cell>
          <cell r="T1048" t="str">
            <v>Functioning</v>
          </cell>
          <cell r="U1048" t="str">
            <v>Asset</v>
          </cell>
          <cell r="V1048">
            <v>10825</v>
          </cell>
          <cell r="W1048" t="str">
            <v>KEW</v>
          </cell>
          <cell r="X1048" t="str">
            <v>01/09/2010</v>
          </cell>
          <cell r="Y1048" t="str">
            <v>KEW</v>
          </cell>
          <cell r="Z1048" t="str">
            <v>16/08/2013</v>
          </cell>
          <cell r="AA1048" t="str">
            <v>15/08/2015</v>
          </cell>
          <cell r="AB1048" t="str">
            <v>No</v>
          </cell>
          <cell r="AC1048" t="str">
            <v>31/08/2013</v>
          </cell>
          <cell r="AD1048" t="str">
            <v>Good</v>
          </cell>
          <cell r="AE1048" t="str">
            <v>V1 - Existing / No Claim</v>
          </cell>
          <cell r="AF1048">
            <v>42793</v>
          </cell>
          <cell r="AG1048">
            <v>9.17</v>
          </cell>
          <cell r="AH1048" t="str">
            <v>PPM</v>
          </cell>
          <cell r="AI1048" t="str">
            <v>Strands</v>
          </cell>
          <cell r="AJ1048" t="str">
            <v>Strands PW</v>
          </cell>
        </row>
        <row r="1049">
          <cell r="A1049" t="str">
            <v>IKN400629</v>
          </cell>
          <cell r="B1049">
            <v>629</v>
          </cell>
          <cell r="C1049" t="str">
            <v>Institut Kanser Negara</v>
          </cell>
          <cell r="D1049" t="str">
            <v>KKM/IKN/H/13/1586</v>
          </cell>
          <cell r="E1049" t="str">
            <v>13-215</v>
          </cell>
          <cell r="F1049" t="str">
            <v>Infusion Pumps, General-Purpose</v>
          </cell>
          <cell r="G1049" t="str">
            <v>DO</v>
          </cell>
          <cell r="H1049" t="str">
            <v>DAY ONCOLOGY UNIT</v>
          </cell>
          <cell r="I1049" t="str">
            <v>04DO120</v>
          </cell>
          <cell r="J1049" t="str">
            <v>TREATMENT BAY 3</v>
          </cell>
          <cell r="K1049" t="str">
            <v>BMED</v>
          </cell>
          <cell r="L1049" t="str">
            <v>Critical</v>
          </cell>
          <cell r="M1049" t="str">
            <v>Germany</v>
          </cell>
          <cell r="N1049" t="str">
            <v>Infusomat</v>
          </cell>
          <cell r="O1049" t="str">
            <v>Infusomat Space</v>
          </cell>
          <cell r="P1049" t="str">
            <v>212104</v>
          </cell>
          <cell r="Q1049" t="str">
            <v>Not Applicable</v>
          </cell>
          <cell r="R1049" t="str">
            <v>B Braun Melsungen AG</v>
          </cell>
          <cell r="S1049" t="str">
            <v>B Braun Medical Supplies Sdn. Bhd.</v>
          </cell>
          <cell r="T1049" t="str">
            <v>Functioning</v>
          </cell>
          <cell r="U1049" t="str">
            <v>Asset</v>
          </cell>
          <cell r="V1049">
            <v>10825</v>
          </cell>
          <cell r="W1049" t="str">
            <v>KEW</v>
          </cell>
          <cell r="X1049" t="str">
            <v>01/09/2010</v>
          </cell>
          <cell r="Y1049" t="str">
            <v>KEW</v>
          </cell>
          <cell r="Z1049" t="str">
            <v>16/08/2013</v>
          </cell>
          <cell r="AA1049" t="str">
            <v>15/08/2015</v>
          </cell>
          <cell r="AB1049" t="str">
            <v>No</v>
          </cell>
          <cell r="AC1049" t="str">
            <v>31/08/2013</v>
          </cell>
          <cell r="AD1049" t="str">
            <v>Good</v>
          </cell>
          <cell r="AE1049" t="str">
            <v>V1 - Existing / No Claim</v>
          </cell>
          <cell r="AF1049">
            <v>42793</v>
          </cell>
          <cell r="AG1049">
            <v>9.17</v>
          </cell>
          <cell r="AH1049" t="str">
            <v>PPM</v>
          </cell>
          <cell r="AI1049" t="str">
            <v>Strands</v>
          </cell>
          <cell r="AJ1049" t="str">
            <v>Strands PW</v>
          </cell>
        </row>
        <row r="1050">
          <cell r="A1050" t="str">
            <v>IKN400630</v>
          </cell>
          <cell r="B1050">
            <v>630</v>
          </cell>
          <cell r="C1050" t="str">
            <v>Institut Kanser Negara</v>
          </cell>
          <cell r="D1050" t="str">
            <v>KKM/IKN/H/13/1587</v>
          </cell>
          <cell r="E1050" t="str">
            <v>13-215</v>
          </cell>
          <cell r="F1050" t="str">
            <v>Infusion Pumps, General-Purpose</v>
          </cell>
          <cell r="G1050" t="str">
            <v>DO</v>
          </cell>
          <cell r="H1050" t="str">
            <v>DAY ONCOLOGY UNIT</v>
          </cell>
          <cell r="I1050" t="str">
            <v>04DO120</v>
          </cell>
          <cell r="J1050" t="str">
            <v>TREATMENT BAY 3</v>
          </cell>
          <cell r="K1050" t="str">
            <v>BMED</v>
          </cell>
          <cell r="L1050" t="str">
            <v>Critical</v>
          </cell>
          <cell r="M1050" t="str">
            <v>Germany</v>
          </cell>
          <cell r="N1050" t="str">
            <v>Infusomat</v>
          </cell>
          <cell r="O1050" t="str">
            <v>Infusomat Space</v>
          </cell>
          <cell r="P1050" t="str">
            <v>212062</v>
          </cell>
          <cell r="Q1050" t="str">
            <v>Not Applicable</v>
          </cell>
          <cell r="R1050" t="str">
            <v>B Braun Melsungen AG</v>
          </cell>
          <cell r="S1050" t="str">
            <v>B Braun Medical Supplies Sdn. Bhd.</v>
          </cell>
          <cell r="T1050" t="str">
            <v>Functioning</v>
          </cell>
          <cell r="U1050" t="str">
            <v>Asset</v>
          </cell>
          <cell r="V1050">
            <v>10825</v>
          </cell>
          <cell r="W1050" t="str">
            <v>KEW</v>
          </cell>
          <cell r="X1050" t="str">
            <v>01/09/2010</v>
          </cell>
          <cell r="Y1050" t="str">
            <v>KEW</v>
          </cell>
          <cell r="Z1050" t="str">
            <v>16/08/2013</v>
          </cell>
          <cell r="AA1050" t="str">
            <v>15/08/2015</v>
          </cell>
          <cell r="AB1050" t="str">
            <v>No</v>
          </cell>
          <cell r="AC1050" t="str">
            <v>31/08/2013</v>
          </cell>
          <cell r="AD1050" t="str">
            <v>Good</v>
          </cell>
          <cell r="AE1050" t="str">
            <v>V1 - Existing / No Claim</v>
          </cell>
          <cell r="AF1050">
            <v>42793</v>
          </cell>
          <cell r="AG1050">
            <v>9.17</v>
          </cell>
          <cell r="AH1050" t="str">
            <v>PPM</v>
          </cell>
          <cell r="AI1050" t="str">
            <v>Strands</v>
          </cell>
          <cell r="AJ1050" t="str">
            <v>Strands PW</v>
          </cell>
        </row>
        <row r="1051">
          <cell r="A1051" t="str">
            <v>IKN400631</v>
          </cell>
          <cell r="B1051">
            <v>631</v>
          </cell>
          <cell r="C1051" t="str">
            <v>Institut Kanser Negara</v>
          </cell>
          <cell r="D1051" t="str">
            <v>KKM/IKN/H/13/1588</v>
          </cell>
          <cell r="E1051" t="str">
            <v>13-215</v>
          </cell>
          <cell r="F1051" t="str">
            <v>Infusion Pumps, General-Purpose</v>
          </cell>
          <cell r="G1051" t="str">
            <v>DO</v>
          </cell>
          <cell r="H1051" t="str">
            <v>DAY ONCOLOGY UNIT</v>
          </cell>
          <cell r="I1051" t="str">
            <v>04DO120</v>
          </cell>
          <cell r="J1051" t="str">
            <v>TREATMENT BAY 3</v>
          </cell>
          <cell r="K1051" t="str">
            <v>BMED</v>
          </cell>
          <cell r="L1051" t="str">
            <v>Critical</v>
          </cell>
          <cell r="M1051" t="str">
            <v>Germany</v>
          </cell>
          <cell r="N1051" t="str">
            <v>Infusomat</v>
          </cell>
          <cell r="O1051" t="str">
            <v>Infusomat Space</v>
          </cell>
          <cell r="P1051" t="str">
            <v>212106</v>
          </cell>
          <cell r="Q1051" t="str">
            <v>Not Applicable</v>
          </cell>
          <cell r="R1051" t="str">
            <v>B Braun Melsungen AG</v>
          </cell>
          <cell r="S1051" t="str">
            <v>B Braun Medical Supplies Sdn. Bhd.</v>
          </cell>
          <cell r="T1051" t="str">
            <v>Functioning</v>
          </cell>
          <cell r="U1051" t="str">
            <v>Asset</v>
          </cell>
          <cell r="V1051">
            <v>10825</v>
          </cell>
          <cell r="W1051" t="str">
            <v>KEW</v>
          </cell>
          <cell r="X1051" t="str">
            <v>01/09/2010</v>
          </cell>
          <cell r="Y1051" t="str">
            <v>KEW</v>
          </cell>
          <cell r="Z1051" t="str">
            <v>16/08/2013</v>
          </cell>
          <cell r="AA1051" t="str">
            <v>15/08/2015</v>
          </cell>
          <cell r="AB1051" t="str">
            <v>No</v>
          </cell>
          <cell r="AC1051" t="str">
            <v>31/08/2013</v>
          </cell>
          <cell r="AD1051" t="str">
            <v>Good</v>
          </cell>
          <cell r="AE1051" t="str">
            <v>V1 - Existing / No Claim</v>
          </cell>
          <cell r="AF1051">
            <v>42793</v>
          </cell>
          <cell r="AG1051">
            <v>9.17</v>
          </cell>
          <cell r="AH1051" t="str">
            <v>PPM</v>
          </cell>
          <cell r="AI1051" t="str">
            <v>Strands</v>
          </cell>
          <cell r="AJ1051" t="str">
            <v>Strands PW</v>
          </cell>
        </row>
        <row r="1052">
          <cell r="A1052" t="str">
            <v>IKN400632</v>
          </cell>
          <cell r="B1052">
            <v>632</v>
          </cell>
          <cell r="C1052" t="str">
            <v>Institut Kanser Negara</v>
          </cell>
          <cell r="D1052" t="str">
            <v>KKM/IKN/H/13/1589</v>
          </cell>
          <cell r="E1052" t="str">
            <v>13-215</v>
          </cell>
          <cell r="F1052" t="str">
            <v>Infusion Pumps, General-Purpose</v>
          </cell>
          <cell r="G1052" t="str">
            <v>DO</v>
          </cell>
          <cell r="H1052" t="str">
            <v>DAY ONCOLOGY UNIT</v>
          </cell>
          <cell r="I1052" t="str">
            <v>04DO120</v>
          </cell>
          <cell r="J1052" t="str">
            <v>TREATMENT BAY 3</v>
          </cell>
          <cell r="K1052" t="str">
            <v>BMED</v>
          </cell>
          <cell r="L1052" t="str">
            <v>Critical</v>
          </cell>
          <cell r="M1052" t="str">
            <v>Germany</v>
          </cell>
          <cell r="N1052" t="str">
            <v>Infusomat</v>
          </cell>
          <cell r="O1052" t="str">
            <v>Infusomat Space</v>
          </cell>
          <cell r="P1052" t="str">
            <v>211634</v>
          </cell>
          <cell r="Q1052" t="str">
            <v>Not Applicable</v>
          </cell>
          <cell r="R1052" t="str">
            <v>B Braun Melsungen AG</v>
          </cell>
          <cell r="S1052" t="str">
            <v>B Braun Medical Supplies Sdn. Bhd.</v>
          </cell>
          <cell r="T1052" t="str">
            <v>Functioning</v>
          </cell>
          <cell r="U1052" t="str">
            <v>Asset</v>
          </cell>
          <cell r="V1052">
            <v>10825</v>
          </cell>
          <cell r="W1052" t="str">
            <v>KEW</v>
          </cell>
          <cell r="X1052" t="str">
            <v>01/09/2010</v>
          </cell>
          <cell r="Y1052" t="str">
            <v>KEW</v>
          </cell>
          <cell r="Z1052" t="str">
            <v>16/08/2013</v>
          </cell>
          <cell r="AA1052" t="str">
            <v>15/08/2015</v>
          </cell>
          <cell r="AB1052" t="str">
            <v>No</v>
          </cell>
          <cell r="AC1052" t="str">
            <v>31/08/2013</v>
          </cell>
          <cell r="AD1052" t="str">
            <v>Good</v>
          </cell>
          <cell r="AE1052" t="str">
            <v>V1 - Existing / No Claim</v>
          </cell>
          <cell r="AF1052">
            <v>42793</v>
          </cell>
          <cell r="AG1052">
            <v>9.17</v>
          </cell>
          <cell r="AH1052" t="str">
            <v>PPM</v>
          </cell>
          <cell r="AI1052" t="str">
            <v>Strands</v>
          </cell>
          <cell r="AJ1052" t="str">
            <v>Strands PW</v>
          </cell>
        </row>
        <row r="1053">
          <cell r="A1053" t="str">
            <v>IKN400633</v>
          </cell>
          <cell r="B1053">
            <v>633</v>
          </cell>
          <cell r="C1053" t="str">
            <v>Institut Kanser Negara</v>
          </cell>
          <cell r="D1053" t="str">
            <v>KKM/IKN/H/13/1590</v>
          </cell>
          <cell r="E1053" t="str">
            <v>13-215</v>
          </cell>
          <cell r="F1053" t="str">
            <v>Infusion Pumps, General-Purpose</v>
          </cell>
          <cell r="G1053" t="str">
            <v>DO</v>
          </cell>
          <cell r="H1053" t="str">
            <v>DAY ONCOLOGY UNIT</v>
          </cell>
          <cell r="I1053" t="str">
            <v>04DO120</v>
          </cell>
          <cell r="J1053" t="str">
            <v>TREATMENT BAY 3</v>
          </cell>
          <cell r="K1053" t="str">
            <v>BMED</v>
          </cell>
          <cell r="L1053" t="str">
            <v>Critical</v>
          </cell>
          <cell r="M1053" t="str">
            <v>Germany</v>
          </cell>
          <cell r="N1053" t="str">
            <v>Infusomat</v>
          </cell>
          <cell r="O1053" t="str">
            <v>Infusomat Space</v>
          </cell>
          <cell r="P1053" t="str">
            <v>212061</v>
          </cell>
          <cell r="Q1053" t="str">
            <v>Not Applicable</v>
          </cell>
          <cell r="R1053" t="str">
            <v>B Braun Melsungen AG</v>
          </cell>
          <cell r="S1053" t="str">
            <v>B Braun Medical Supplies Sdn. Bhd.</v>
          </cell>
          <cell r="T1053" t="str">
            <v>Functioning</v>
          </cell>
          <cell r="U1053" t="str">
            <v>Asset</v>
          </cell>
          <cell r="V1053">
            <v>10825</v>
          </cell>
          <cell r="W1053" t="str">
            <v>KEW</v>
          </cell>
          <cell r="X1053" t="str">
            <v>01/09/2010</v>
          </cell>
          <cell r="Y1053" t="str">
            <v>KEW</v>
          </cell>
          <cell r="Z1053" t="str">
            <v>16/08/2013</v>
          </cell>
          <cell r="AA1053" t="str">
            <v>15/08/2015</v>
          </cell>
          <cell r="AB1053" t="str">
            <v>No</v>
          </cell>
          <cell r="AC1053" t="str">
            <v>31/08/2013</v>
          </cell>
          <cell r="AD1053" t="str">
            <v>Good</v>
          </cell>
          <cell r="AE1053" t="str">
            <v>V1 - Existing / No Claim</v>
          </cell>
          <cell r="AF1053">
            <v>42793</v>
          </cell>
          <cell r="AG1053">
            <v>9.17</v>
          </cell>
          <cell r="AH1053" t="str">
            <v>PPM</v>
          </cell>
          <cell r="AI1053" t="str">
            <v>Strands</v>
          </cell>
          <cell r="AJ1053" t="str">
            <v>Strands PW</v>
          </cell>
        </row>
        <row r="1054">
          <cell r="A1054" t="str">
            <v>IKN400634</v>
          </cell>
          <cell r="B1054">
            <v>634</v>
          </cell>
          <cell r="C1054" t="str">
            <v>Institut Kanser Negara</v>
          </cell>
          <cell r="D1054" t="str">
            <v>KKM/IKN/H/13/1605</v>
          </cell>
          <cell r="E1054" t="str">
            <v>17-950</v>
          </cell>
          <cell r="F1054" t="str">
            <v>Warming Units, Patient, Forced-Air</v>
          </cell>
          <cell r="G1054" t="str">
            <v>DO</v>
          </cell>
          <cell r="H1054" t="str">
            <v>DAY ONCOLOGY UNIT</v>
          </cell>
          <cell r="I1054" t="str">
            <v>04DO120</v>
          </cell>
          <cell r="J1054" t="str">
            <v>TREATMENT BAY 3</v>
          </cell>
          <cell r="K1054" t="str">
            <v>BMED</v>
          </cell>
          <cell r="L1054" t="str">
            <v>Normal</v>
          </cell>
          <cell r="M1054" t="str">
            <v>USA</v>
          </cell>
          <cell r="N1054" t="str">
            <v>Bair Hugger</v>
          </cell>
          <cell r="O1054" t="str">
            <v>Bair Hugger 775</v>
          </cell>
          <cell r="P1054" t="str">
            <v>35939</v>
          </cell>
          <cell r="Q1054" t="str">
            <v>Not Applicable</v>
          </cell>
          <cell r="R1054" t="str">
            <v>Arizant Healthcare Inc</v>
          </cell>
          <cell r="S1054" t="str">
            <v>Calmed Healthcare Sdn Bhd</v>
          </cell>
          <cell r="T1054" t="str">
            <v>Functioning</v>
          </cell>
          <cell r="U1054" t="str">
            <v>Asset</v>
          </cell>
          <cell r="V1054">
            <v>15515</v>
          </cell>
          <cell r="W1054" t="str">
            <v>KEW</v>
          </cell>
          <cell r="X1054" t="str">
            <v>01/09/2010</v>
          </cell>
          <cell r="Y1054" t="str">
            <v>KEW</v>
          </cell>
          <cell r="Z1054" t="str">
            <v>16/08/2013</v>
          </cell>
          <cell r="AA1054" t="str">
            <v>15/08/2015</v>
          </cell>
          <cell r="AB1054" t="str">
            <v>No</v>
          </cell>
          <cell r="AC1054" t="str">
            <v>31/08/2013</v>
          </cell>
          <cell r="AD1054" t="str">
            <v>Good</v>
          </cell>
          <cell r="AE1054" t="str">
            <v>V1 - Existing / No Claim</v>
          </cell>
          <cell r="AF1054">
            <v>42235</v>
          </cell>
          <cell r="AG1054">
            <v>9.17</v>
          </cell>
          <cell r="AH1054" t="str">
            <v>PPM</v>
          </cell>
          <cell r="AI1054" t="str">
            <v>Strands</v>
          </cell>
          <cell r="AJ1054" t="str">
            <v>Strands PW</v>
          </cell>
        </row>
        <row r="1055">
          <cell r="A1055" t="str">
            <v>IKN400635</v>
          </cell>
          <cell r="B1055">
            <v>635</v>
          </cell>
          <cell r="C1055" t="str">
            <v>Institut Kanser Negara</v>
          </cell>
          <cell r="D1055" t="str">
            <v>KKM/IKN/H/13/1606</v>
          </cell>
          <cell r="E1055" t="str">
            <v>17-950</v>
          </cell>
          <cell r="F1055" t="str">
            <v>Warming Units, Patient, Forced-Air</v>
          </cell>
          <cell r="G1055" t="str">
            <v>DO</v>
          </cell>
          <cell r="H1055" t="str">
            <v>DAY ONCOLOGY UNIT</v>
          </cell>
          <cell r="I1055" t="str">
            <v>04DO120</v>
          </cell>
          <cell r="J1055" t="str">
            <v>TREATMENT BAY 3</v>
          </cell>
          <cell r="K1055" t="str">
            <v>BMED</v>
          </cell>
          <cell r="L1055" t="str">
            <v>Normal</v>
          </cell>
          <cell r="M1055" t="str">
            <v>USA</v>
          </cell>
          <cell r="N1055" t="str">
            <v>Bair Hugger</v>
          </cell>
          <cell r="O1055" t="str">
            <v>Bair Hugger 775</v>
          </cell>
          <cell r="P1055" t="str">
            <v>35940</v>
          </cell>
          <cell r="Q1055" t="str">
            <v>Not Applicable</v>
          </cell>
          <cell r="R1055" t="str">
            <v>Arizant Healthcare Inc</v>
          </cell>
          <cell r="S1055" t="str">
            <v>Calmed Healthcare Sdn Bhd</v>
          </cell>
          <cell r="T1055" t="str">
            <v>Functioning</v>
          </cell>
          <cell r="U1055" t="str">
            <v>Asset</v>
          </cell>
          <cell r="V1055">
            <v>15515</v>
          </cell>
          <cell r="W1055" t="str">
            <v>KEW</v>
          </cell>
          <cell r="X1055" t="str">
            <v>01/09/2010</v>
          </cell>
          <cell r="Y1055" t="str">
            <v>KEW</v>
          </cell>
          <cell r="Z1055" t="str">
            <v>16/08/2013</v>
          </cell>
          <cell r="AA1055" t="str">
            <v>15/08/2015</v>
          </cell>
          <cell r="AB1055" t="str">
            <v>No</v>
          </cell>
          <cell r="AC1055" t="str">
            <v>31/08/2013</v>
          </cell>
          <cell r="AD1055" t="str">
            <v>Good</v>
          </cell>
          <cell r="AE1055" t="str">
            <v>V1 - Existing / No Claim</v>
          </cell>
          <cell r="AF1055">
            <v>42871</v>
          </cell>
          <cell r="AG1055">
            <v>9.17</v>
          </cell>
          <cell r="AH1055" t="str">
            <v>PPM</v>
          </cell>
          <cell r="AI1055" t="str">
            <v>Strands</v>
          </cell>
          <cell r="AJ1055" t="str">
            <v>Strands PW</v>
          </cell>
        </row>
        <row r="1056">
          <cell r="A1056" t="str">
            <v>IKN400636</v>
          </cell>
          <cell r="B1056">
            <v>636</v>
          </cell>
          <cell r="C1056" t="str">
            <v>Institut Kanser Negara</v>
          </cell>
          <cell r="D1056" t="str">
            <v>KKM/IKN/H/13/1381</v>
          </cell>
          <cell r="E1056" t="str">
            <v>13-217</v>
          </cell>
          <cell r="F1056" t="str">
            <v>Infusion Pumps, Syringe</v>
          </cell>
          <cell r="G1056" t="str">
            <v>DO</v>
          </cell>
          <cell r="H1056" t="str">
            <v>DAY ONCOLOGY UNIT</v>
          </cell>
          <cell r="I1056" t="str">
            <v>04DO121</v>
          </cell>
          <cell r="J1056" t="str">
            <v>TREATMENT BAY 4</v>
          </cell>
          <cell r="K1056" t="str">
            <v>BMED</v>
          </cell>
          <cell r="L1056" t="str">
            <v>Critical</v>
          </cell>
          <cell r="M1056" t="str">
            <v>Germany</v>
          </cell>
          <cell r="N1056" t="str">
            <v>Perfusor</v>
          </cell>
          <cell r="O1056" t="str">
            <v>Perfusor Space</v>
          </cell>
          <cell r="P1056" t="str">
            <v>187011</v>
          </cell>
          <cell r="Q1056" t="str">
            <v>Not Applicable</v>
          </cell>
          <cell r="R1056" t="str">
            <v>B Braun Melsungen AG</v>
          </cell>
          <cell r="S1056" t="str">
            <v>B Braun Medical Supplies Sdn. Bhd.</v>
          </cell>
          <cell r="T1056" t="str">
            <v>Functioning</v>
          </cell>
          <cell r="U1056" t="str">
            <v>Asset</v>
          </cell>
          <cell r="V1056">
            <v>10225</v>
          </cell>
          <cell r="W1056" t="str">
            <v>KEW</v>
          </cell>
          <cell r="X1056" t="str">
            <v>01/09/2010</v>
          </cell>
          <cell r="Y1056" t="str">
            <v>KEW</v>
          </cell>
          <cell r="Z1056" t="str">
            <v>16/08/2013</v>
          </cell>
          <cell r="AA1056" t="str">
            <v>15/08/2015</v>
          </cell>
          <cell r="AB1056" t="str">
            <v>No</v>
          </cell>
          <cell r="AC1056" t="str">
            <v>31/08/2013</v>
          </cell>
          <cell r="AD1056" t="str">
            <v>Good</v>
          </cell>
          <cell r="AE1056" t="str">
            <v>V1 - Existing / No Claim</v>
          </cell>
          <cell r="AF1056">
            <v>42793</v>
          </cell>
          <cell r="AG1056">
            <v>9.17</v>
          </cell>
          <cell r="AH1056" t="str">
            <v>PPM</v>
          </cell>
          <cell r="AI1056" t="str">
            <v>Strands</v>
          </cell>
          <cell r="AJ1056" t="str">
            <v>Strands PW</v>
          </cell>
        </row>
        <row r="1057">
          <cell r="A1057" t="str">
            <v>IKN400637</v>
          </cell>
          <cell r="B1057">
            <v>637</v>
          </cell>
          <cell r="C1057" t="str">
            <v>Institut Kanser Negara</v>
          </cell>
          <cell r="D1057" t="str">
            <v>KKM/IKN/H/13/1382</v>
          </cell>
          <cell r="E1057" t="str">
            <v>13-217</v>
          </cell>
          <cell r="F1057" t="str">
            <v>Infusion Pumps, Syringe</v>
          </cell>
          <cell r="G1057" t="str">
            <v>DO</v>
          </cell>
          <cell r="H1057" t="str">
            <v>DAY ONCOLOGY UNIT</v>
          </cell>
          <cell r="I1057" t="str">
            <v>04DO121</v>
          </cell>
          <cell r="J1057" t="str">
            <v>TREATMENT BAY 4</v>
          </cell>
          <cell r="K1057" t="str">
            <v>BMED</v>
          </cell>
          <cell r="L1057" t="str">
            <v>Critical</v>
          </cell>
          <cell r="M1057" t="str">
            <v>Germany</v>
          </cell>
          <cell r="N1057" t="str">
            <v>Perfusor</v>
          </cell>
          <cell r="O1057" t="str">
            <v>Perfusor Space</v>
          </cell>
          <cell r="P1057" t="str">
            <v>187030</v>
          </cell>
          <cell r="Q1057" t="str">
            <v>Not Applicable</v>
          </cell>
          <cell r="R1057" t="str">
            <v>B Braun Melsungen AG</v>
          </cell>
          <cell r="S1057" t="str">
            <v>B Braun Medical Supplies Sdn. Bhd.</v>
          </cell>
          <cell r="T1057" t="str">
            <v>Functioning</v>
          </cell>
          <cell r="U1057" t="str">
            <v>Asset</v>
          </cell>
          <cell r="V1057">
            <v>10225</v>
          </cell>
          <cell r="W1057" t="str">
            <v>KEW</v>
          </cell>
          <cell r="X1057" t="str">
            <v>01/09/2010</v>
          </cell>
          <cell r="Y1057" t="str">
            <v>KEW</v>
          </cell>
          <cell r="Z1057" t="str">
            <v>16/08/2013</v>
          </cell>
          <cell r="AA1057" t="str">
            <v>15/08/2015</v>
          </cell>
          <cell r="AB1057" t="str">
            <v>No</v>
          </cell>
          <cell r="AC1057" t="str">
            <v>31/08/2013</v>
          </cell>
          <cell r="AD1057" t="str">
            <v>Good</v>
          </cell>
          <cell r="AE1057" t="str">
            <v>V1 - Existing / No Claim</v>
          </cell>
          <cell r="AF1057">
            <v>42793</v>
          </cell>
          <cell r="AG1057">
            <v>9.17</v>
          </cell>
          <cell r="AH1057" t="str">
            <v>PPM</v>
          </cell>
          <cell r="AI1057" t="str">
            <v>Strands</v>
          </cell>
          <cell r="AJ1057" t="str">
            <v>Strands PW</v>
          </cell>
        </row>
        <row r="1058">
          <cell r="A1058" t="str">
            <v>IKN400638</v>
          </cell>
          <cell r="B1058">
            <v>638</v>
          </cell>
          <cell r="C1058" t="str">
            <v>Institut Kanser Negara</v>
          </cell>
          <cell r="D1058" t="str">
            <v>KKM/IKN/H/13/1383</v>
          </cell>
          <cell r="E1058" t="str">
            <v>13-217</v>
          </cell>
          <cell r="F1058" t="str">
            <v>Infusion Pumps, Syringe</v>
          </cell>
          <cell r="G1058" t="str">
            <v>DO</v>
          </cell>
          <cell r="H1058" t="str">
            <v>DAY ONCOLOGY UNIT</v>
          </cell>
          <cell r="I1058" t="str">
            <v>04DO121</v>
          </cell>
          <cell r="J1058" t="str">
            <v>TREATMENT BAY 4</v>
          </cell>
          <cell r="K1058" t="str">
            <v>BMED</v>
          </cell>
          <cell r="L1058" t="str">
            <v>Critical</v>
          </cell>
          <cell r="M1058" t="str">
            <v>Germany</v>
          </cell>
          <cell r="N1058" t="str">
            <v>Perfusor</v>
          </cell>
          <cell r="O1058" t="str">
            <v>Perfusor Space</v>
          </cell>
          <cell r="P1058" t="str">
            <v>187042</v>
          </cell>
          <cell r="Q1058" t="str">
            <v>Not Applicable</v>
          </cell>
          <cell r="R1058" t="str">
            <v>B Braun Melsungen AG</v>
          </cell>
          <cell r="S1058" t="str">
            <v>B Braun Medical Supplies Sdn. Bhd.</v>
          </cell>
          <cell r="T1058" t="str">
            <v>Functioning</v>
          </cell>
          <cell r="U1058" t="str">
            <v>Asset</v>
          </cell>
          <cell r="V1058">
            <v>10225</v>
          </cell>
          <cell r="W1058" t="str">
            <v>KEW</v>
          </cell>
          <cell r="X1058" t="str">
            <v>01/09/2010</v>
          </cell>
          <cell r="Y1058" t="str">
            <v>KEW</v>
          </cell>
          <cell r="Z1058" t="str">
            <v>16/08/2013</v>
          </cell>
          <cell r="AA1058" t="str">
            <v>15/08/2015</v>
          </cell>
          <cell r="AB1058" t="str">
            <v>No</v>
          </cell>
          <cell r="AC1058" t="str">
            <v>31/08/2013</v>
          </cell>
          <cell r="AD1058" t="str">
            <v>Good</v>
          </cell>
          <cell r="AE1058" t="str">
            <v>V1 - Existing / No Claim</v>
          </cell>
          <cell r="AF1058">
            <v>42793</v>
          </cell>
          <cell r="AG1058">
            <v>9.17</v>
          </cell>
          <cell r="AH1058" t="str">
            <v>PPM</v>
          </cell>
          <cell r="AI1058" t="str">
            <v>Strands</v>
          </cell>
          <cell r="AJ1058" t="str">
            <v>Strands PW</v>
          </cell>
        </row>
        <row r="1059">
          <cell r="A1059" t="str">
            <v>IKN400639</v>
          </cell>
          <cell r="B1059">
            <v>639</v>
          </cell>
          <cell r="C1059" t="str">
            <v>Institut Kanser Negara</v>
          </cell>
          <cell r="D1059" t="str">
            <v>KKM/IKN/H/13/1384</v>
          </cell>
          <cell r="E1059" t="str">
            <v>13-217</v>
          </cell>
          <cell r="F1059" t="str">
            <v>Infusion Pumps, Syringe</v>
          </cell>
          <cell r="G1059" t="str">
            <v>DO</v>
          </cell>
          <cell r="H1059" t="str">
            <v>DAY ONCOLOGY UNIT</v>
          </cell>
          <cell r="I1059" t="str">
            <v>04DO121</v>
          </cell>
          <cell r="J1059" t="str">
            <v>TREATMENT BAY 4</v>
          </cell>
          <cell r="K1059" t="str">
            <v>BMED</v>
          </cell>
          <cell r="L1059" t="str">
            <v>Critical</v>
          </cell>
          <cell r="M1059" t="str">
            <v>Germany</v>
          </cell>
          <cell r="N1059" t="str">
            <v>Perfusor</v>
          </cell>
          <cell r="O1059" t="str">
            <v>Perfusor Space</v>
          </cell>
          <cell r="P1059" t="str">
            <v>187045</v>
          </cell>
          <cell r="Q1059" t="str">
            <v>Not Applicable</v>
          </cell>
          <cell r="R1059" t="str">
            <v>B Braun Melsungen AG</v>
          </cell>
          <cell r="S1059" t="str">
            <v>B Braun Medical Supplies Sdn. Bhd.</v>
          </cell>
          <cell r="T1059" t="str">
            <v>Functioning</v>
          </cell>
          <cell r="U1059" t="str">
            <v>Asset</v>
          </cell>
          <cell r="V1059">
            <v>10225</v>
          </cell>
          <cell r="W1059" t="str">
            <v>KEW</v>
          </cell>
          <cell r="X1059" t="str">
            <v>01/09/2010</v>
          </cell>
          <cell r="Y1059" t="str">
            <v>KEW</v>
          </cell>
          <cell r="Z1059" t="str">
            <v>16/08/2013</v>
          </cell>
          <cell r="AA1059" t="str">
            <v>15/08/2015</v>
          </cell>
          <cell r="AB1059" t="str">
            <v>No</v>
          </cell>
          <cell r="AC1059" t="str">
            <v>31/08/2013</v>
          </cell>
          <cell r="AD1059" t="str">
            <v>Good</v>
          </cell>
          <cell r="AE1059" t="str">
            <v>V1 - Existing / No Claim</v>
          </cell>
          <cell r="AF1059">
            <v>42793</v>
          </cell>
          <cell r="AG1059">
            <v>9.17</v>
          </cell>
          <cell r="AH1059" t="str">
            <v>PPM</v>
          </cell>
          <cell r="AI1059" t="str">
            <v>Strands</v>
          </cell>
          <cell r="AJ1059" t="str">
            <v>Strands PW</v>
          </cell>
        </row>
        <row r="1060">
          <cell r="A1060" t="str">
            <v>IKN400640</v>
          </cell>
          <cell r="B1060">
            <v>640</v>
          </cell>
          <cell r="C1060" t="str">
            <v>Institut Kanser Negara</v>
          </cell>
          <cell r="D1060" t="str">
            <v>KKM/IKN/H/13/1385</v>
          </cell>
          <cell r="E1060" t="str">
            <v>13-217</v>
          </cell>
          <cell r="F1060" t="str">
            <v>Infusion Pumps, Syringe</v>
          </cell>
          <cell r="G1060" t="str">
            <v>DO</v>
          </cell>
          <cell r="H1060" t="str">
            <v>DAY ONCOLOGY UNIT</v>
          </cell>
          <cell r="I1060" t="str">
            <v>04DO121</v>
          </cell>
          <cell r="J1060" t="str">
            <v>TREATMENT BAY 4</v>
          </cell>
          <cell r="K1060" t="str">
            <v>BMED</v>
          </cell>
          <cell r="L1060" t="str">
            <v>Critical</v>
          </cell>
          <cell r="M1060" t="str">
            <v>Germany</v>
          </cell>
          <cell r="N1060" t="str">
            <v>Perfusor</v>
          </cell>
          <cell r="O1060" t="str">
            <v>Perfusor Space</v>
          </cell>
          <cell r="P1060" t="str">
            <v>178269</v>
          </cell>
          <cell r="Q1060" t="str">
            <v>Not Applicable</v>
          </cell>
          <cell r="R1060" t="str">
            <v>B Braun Melsungen AG</v>
          </cell>
          <cell r="S1060" t="str">
            <v>B Braun Medical Supplies Sdn. Bhd.</v>
          </cell>
          <cell r="T1060" t="str">
            <v>Functioning</v>
          </cell>
          <cell r="U1060" t="str">
            <v>Asset</v>
          </cell>
          <cell r="V1060">
            <v>10225</v>
          </cell>
          <cell r="W1060" t="str">
            <v>KEW</v>
          </cell>
          <cell r="X1060" t="str">
            <v>01/09/2010</v>
          </cell>
          <cell r="Y1060" t="str">
            <v>KEW</v>
          </cell>
          <cell r="Z1060" t="str">
            <v>16/08/2013</v>
          </cell>
          <cell r="AA1060" t="str">
            <v>15/08/2015</v>
          </cell>
          <cell r="AB1060" t="str">
            <v>No</v>
          </cell>
          <cell r="AC1060" t="str">
            <v>31/08/2013</v>
          </cell>
          <cell r="AD1060" t="str">
            <v>Good</v>
          </cell>
          <cell r="AE1060" t="str">
            <v>V1 - Existing / No Claim</v>
          </cell>
          <cell r="AF1060">
            <v>42793</v>
          </cell>
          <cell r="AG1060">
            <v>9.17</v>
          </cell>
          <cell r="AH1060" t="str">
            <v>PPM</v>
          </cell>
          <cell r="AI1060" t="str">
            <v>Strands</v>
          </cell>
          <cell r="AJ1060" t="str">
            <v>Strands PW</v>
          </cell>
        </row>
        <row r="1061">
          <cell r="A1061" t="str">
            <v>IKN400641</v>
          </cell>
          <cell r="B1061">
            <v>641</v>
          </cell>
          <cell r="C1061" t="str">
            <v>Institut Kanser Negara</v>
          </cell>
          <cell r="D1061" t="str">
            <v>KKM/IKN/H/13/1386</v>
          </cell>
          <cell r="E1061" t="str">
            <v>13-217</v>
          </cell>
          <cell r="F1061" t="str">
            <v>Infusion Pumps, Syringe</v>
          </cell>
          <cell r="G1061" t="str">
            <v>DO</v>
          </cell>
          <cell r="H1061" t="str">
            <v>DAY ONCOLOGY UNIT</v>
          </cell>
          <cell r="I1061" t="str">
            <v>04DO121</v>
          </cell>
          <cell r="J1061" t="str">
            <v>TREATMENT BAY 4</v>
          </cell>
          <cell r="K1061" t="str">
            <v>BMED</v>
          </cell>
          <cell r="L1061" t="str">
            <v>Critical</v>
          </cell>
          <cell r="M1061" t="str">
            <v>Germany</v>
          </cell>
          <cell r="N1061" t="str">
            <v>Perfusor</v>
          </cell>
          <cell r="O1061" t="str">
            <v>Perfusor Space</v>
          </cell>
          <cell r="P1061" t="str">
            <v>181597</v>
          </cell>
          <cell r="Q1061" t="str">
            <v>Not Applicable</v>
          </cell>
          <cell r="R1061" t="str">
            <v>B Braun Melsungen AG</v>
          </cell>
          <cell r="S1061" t="str">
            <v>B Braun Medical Supplies Sdn. Bhd.</v>
          </cell>
          <cell r="T1061" t="str">
            <v>Functioning</v>
          </cell>
          <cell r="U1061" t="str">
            <v>Asset</v>
          </cell>
          <cell r="V1061">
            <v>10225</v>
          </cell>
          <cell r="W1061" t="str">
            <v>KEW</v>
          </cell>
          <cell r="X1061" t="str">
            <v>01/09/2010</v>
          </cell>
          <cell r="Y1061" t="str">
            <v>KEW</v>
          </cell>
          <cell r="Z1061" t="str">
            <v>16/08/2013</v>
          </cell>
          <cell r="AA1061" t="str">
            <v>15/08/2015</v>
          </cell>
          <cell r="AB1061" t="str">
            <v>No</v>
          </cell>
          <cell r="AC1061" t="str">
            <v>31/08/2013</v>
          </cell>
          <cell r="AD1061" t="str">
            <v>Good</v>
          </cell>
          <cell r="AE1061" t="str">
            <v>V1 - Existing / No Claim</v>
          </cell>
          <cell r="AF1061">
            <v>42793</v>
          </cell>
          <cell r="AG1061">
            <v>9.17</v>
          </cell>
          <cell r="AH1061" t="str">
            <v>PPM</v>
          </cell>
          <cell r="AI1061" t="str">
            <v>Strands</v>
          </cell>
          <cell r="AJ1061" t="str">
            <v>Strands PW</v>
          </cell>
        </row>
        <row r="1062">
          <cell r="A1062" t="str">
            <v>IKN400642</v>
          </cell>
          <cell r="B1062">
            <v>642</v>
          </cell>
          <cell r="C1062" t="str">
            <v>Institut Kanser Negara</v>
          </cell>
          <cell r="D1062" t="str">
            <v>KKM/IKN/H/13/1591</v>
          </cell>
          <cell r="E1062" t="str">
            <v>13-215</v>
          </cell>
          <cell r="F1062" t="str">
            <v>Infusion Pumps, General-Purpose</v>
          </cell>
          <cell r="G1062" t="str">
            <v>DO</v>
          </cell>
          <cell r="H1062" t="str">
            <v>DAY ONCOLOGY UNIT</v>
          </cell>
          <cell r="I1062" t="str">
            <v>04DO121</v>
          </cell>
          <cell r="J1062" t="str">
            <v>TREATMENT BAY 4</v>
          </cell>
          <cell r="K1062" t="str">
            <v>BMED</v>
          </cell>
          <cell r="L1062" t="str">
            <v>Critical</v>
          </cell>
          <cell r="M1062" t="str">
            <v>Germany</v>
          </cell>
          <cell r="N1062" t="str">
            <v>Infusomat</v>
          </cell>
          <cell r="O1062" t="str">
            <v>Infusomat Space</v>
          </cell>
          <cell r="P1062" t="str">
            <v>211645</v>
          </cell>
          <cell r="Q1062" t="str">
            <v>Not Applicable</v>
          </cell>
          <cell r="R1062" t="str">
            <v>B Braun Melsungen AG</v>
          </cell>
          <cell r="S1062" t="str">
            <v>B Braun Medical Supplies Sdn. Bhd.</v>
          </cell>
          <cell r="T1062" t="str">
            <v>Functioning</v>
          </cell>
          <cell r="U1062" t="str">
            <v>Asset</v>
          </cell>
          <cell r="V1062">
            <v>10825</v>
          </cell>
          <cell r="W1062" t="str">
            <v>KEW</v>
          </cell>
          <cell r="X1062" t="str">
            <v>01/09/2010</v>
          </cell>
          <cell r="Y1062" t="str">
            <v>KEW</v>
          </cell>
          <cell r="Z1062" t="str">
            <v>16/08/2013</v>
          </cell>
          <cell r="AA1062" t="str">
            <v>15/08/2015</v>
          </cell>
          <cell r="AB1062" t="str">
            <v>No</v>
          </cell>
          <cell r="AC1062" t="str">
            <v>31/08/2013</v>
          </cell>
          <cell r="AD1062" t="str">
            <v>Good</v>
          </cell>
          <cell r="AE1062" t="str">
            <v>V1 - Existing / No Claim</v>
          </cell>
          <cell r="AF1062">
            <v>42793</v>
          </cell>
          <cell r="AG1062">
            <v>9.17</v>
          </cell>
          <cell r="AH1062" t="str">
            <v>PPM</v>
          </cell>
          <cell r="AI1062" t="str">
            <v>Strands</v>
          </cell>
          <cell r="AJ1062" t="str">
            <v>Strands PW</v>
          </cell>
        </row>
        <row r="1063">
          <cell r="A1063" t="str">
            <v>IKN400643</v>
          </cell>
          <cell r="B1063">
            <v>643</v>
          </cell>
          <cell r="C1063" t="str">
            <v>Institut Kanser Negara</v>
          </cell>
          <cell r="D1063" t="str">
            <v>KKM/IKN/H/13/1593</v>
          </cell>
          <cell r="E1063" t="str">
            <v>13-215</v>
          </cell>
          <cell r="F1063" t="str">
            <v>Infusion Pumps, General-Purpose</v>
          </cell>
          <cell r="G1063" t="str">
            <v>DO</v>
          </cell>
          <cell r="H1063" t="str">
            <v>DAY ONCOLOGY UNIT</v>
          </cell>
          <cell r="I1063" t="str">
            <v>04DO121</v>
          </cell>
          <cell r="J1063" t="str">
            <v>TREATMENT BAY 4</v>
          </cell>
          <cell r="K1063" t="str">
            <v>BMED</v>
          </cell>
          <cell r="L1063" t="str">
            <v>Critical</v>
          </cell>
          <cell r="M1063" t="str">
            <v>Germany</v>
          </cell>
          <cell r="N1063" t="str">
            <v>Infusomat</v>
          </cell>
          <cell r="O1063" t="str">
            <v>Infusomat Space</v>
          </cell>
          <cell r="P1063" t="str">
            <v>211785</v>
          </cell>
          <cell r="Q1063" t="str">
            <v>Not Applicable</v>
          </cell>
          <cell r="R1063" t="str">
            <v>B Braun Melsungen AG</v>
          </cell>
          <cell r="S1063" t="str">
            <v>B Braun Medical Supplies Sdn. Bhd.</v>
          </cell>
          <cell r="T1063" t="str">
            <v>Functioning</v>
          </cell>
          <cell r="U1063" t="str">
            <v>Asset</v>
          </cell>
          <cell r="V1063">
            <v>10825</v>
          </cell>
          <cell r="W1063" t="str">
            <v>KEW</v>
          </cell>
          <cell r="X1063" t="str">
            <v>01/09/2010</v>
          </cell>
          <cell r="Y1063" t="str">
            <v>KEW</v>
          </cell>
          <cell r="Z1063" t="str">
            <v>16/08/2013</v>
          </cell>
          <cell r="AA1063" t="str">
            <v>15/08/2015</v>
          </cell>
          <cell r="AB1063" t="str">
            <v>No</v>
          </cell>
          <cell r="AC1063" t="str">
            <v>31/08/2013</v>
          </cell>
          <cell r="AD1063" t="str">
            <v>Good</v>
          </cell>
          <cell r="AE1063" t="str">
            <v>V1 - Existing / No Claim</v>
          </cell>
          <cell r="AF1063">
            <v>42793</v>
          </cell>
          <cell r="AG1063">
            <v>9.17</v>
          </cell>
          <cell r="AH1063" t="str">
            <v>PPM</v>
          </cell>
          <cell r="AI1063" t="str">
            <v>Strands</v>
          </cell>
          <cell r="AJ1063" t="str">
            <v>Strands PW</v>
          </cell>
        </row>
        <row r="1064">
          <cell r="A1064" t="str">
            <v>IKN400644</v>
          </cell>
          <cell r="B1064">
            <v>644</v>
          </cell>
          <cell r="C1064" t="str">
            <v>Institut Kanser Negara</v>
          </cell>
          <cell r="D1064" t="str">
            <v>KKM/IKN/H/13/1594</v>
          </cell>
          <cell r="E1064" t="str">
            <v>13-215</v>
          </cell>
          <cell r="F1064" t="str">
            <v>Infusion Pumps, General-Purpose</v>
          </cell>
          <cell r="G1064" t="str">
            <v>DO</v>
          </cell>
          <cell r="H1064" t="str">
            <v>DAY ONCOLOGY UNIT</v>
          </cell>
          <cell r="I1064" t="str">
            <v>04DO121</v>
          </cell>
          <cell r="J1064" t="str">
            <v>TREATMENT BAY 4</v>
          </cell>
          <cell r="K1064" t="str">
            <v>BMED</v>
          </cell>
          <cell r="L1064" t="str">
            <v>Critical</v>
          </cell>
          <cell r="M1064" t="str">
            <v>Germany</v>
          </cell>
          <cell r="N1064" t="str">
            <v>Infusomat</v>
          </cell>
          <cell r="O1064" t="str">
            <v>Infusomat Space</v>
          </cell>
          <cell r="P1064" t="str">
            <v>212067</v>
          </cell>
          <cell r="Q1064" t="str">
            <v>Not Applicable</v>
          </cell>
          <cell r="R1064" t="str">
            <v>B Braun Melsungen AG</v>
          </cell>
          <cell r="S1064" t="str">
            <v>B Braun Medical Supplies Sdn. Bhd.</v>
          </cell>
          <cell r="T1064" t="str">
            <v>Functioning</v>
          </cell>
          <cell r="U1064" t="str">
            <v>Asset</v>
          </cell>
          <cell r="V1064">
            <v>10825</v>
          </cell>
          <cell r="W1064" t="str">
            <v>KEW</v>
          </cell>
          <cell r="X1064" t="str">
            <v>01/09/2010</v>
          </cell>
          <cell r="Y1064" t="str">
            <v>KEW</v>
          </cell>
          <cell r="Z1064" t="str">
            <v>16/08/2013</v>
          </cell>
          <cell r="AA1064" t="str">
            <v>15/08/2015</v>
          </cell>
          <cell r="AB1064" t="str">
            <v>No</v>
          </cell>
          <cell r="AC1064" t="str">
            <v>31/08/2013</v>
          </cell>
          <cell r="AD1064" t="str">
            <v>Good</v>
          </cell>
          <cell r="AE1064" t="str">
            <v>V1 - Existing / No Claim</v>
          </cell>
          <cell r="AF1064">
            <v>42793</v>
          </cell>
          <cell r="AG1064">
            <v>9.17</v>
          </cell>
          <cell r="AH1064" t="str">
            <v>PPM</v>
          </cell>
          <cell r="AI1064" t="str">
            <v>Strands</v>
          </cell>
          <cell r="AJ1064" t="str">
            <v>Strands PW</v>
          </cell>
        </row>
        <row r="1065">
          <cell r="A1065" t="str">
            <v>IKN400645</v>
          </cell>
          <cell r="B1065">
            <v>645</v>
          </cell>
          <cell r="C1065" t="str">
            <v>Institut Kanser Negara</v>
          </cell>
          <cell r="D1065" t="str">
            <v>KKM/IKN/H/13/1595</v>
          </cell>
          <cell r="E1065" t="str">
            <v>13-215</v>
          </cell>
          <cell r="F1065" t="str">
            <v>Infusion Pumps, General-Purpose</v>
          </cell>
          <cell r="G1065" t="str">
            <v>DO</v>
          </cell>
          <cell r="H1065" t="str">
            <v>DAY ONCOLOGY UNIT</v>
          </cell>
          <cell r="I1065" t="str">
            <v>04DO121</v>
          </cell>
          <cell r="J1065" t="str">
            <v>TREATMENT BAY 4</v>
          </cell>
          <cell r="K1065" t="str">
            <v>BMED</v>
          </cell>
          <cell r="L1065" t="str">
            <v>Critical</v>
          </cell>
          <cell r="M1065" t="str">
            <v>Germany</v>
          </cell>
          <cell r="N1065" t="str">
            <v>Infusomat</v>
          </cell>
          <cell r="O1065" t="str">
            <v>Infusomat Space</v>
          </cell>
          <cell r="P1065" t="str">
            <v>212003</v>
          </cell>
          <cell r="Q1065" t="str">
            <v>Not Applicable</v>
          </cell>
          <cell r="R1065" t="str">
            <v>B Braun Melsungen AG</v>
          </cell>
          <cell r="S1065" t="str">
            <v>B Braun Medical Supplies Sdn. Bhd.</v>
          </cell>
          <cell r="T1065" t="str">
            <v>Functioning</v>
          </cell>
          <cell r="U1065" t="str">
            <v>Asset</v>
          </cell>
          <cell r="V1065">
            <v>10825</v>
          </cell>
          <cell r="W1065" t="str">
            <v>KEW</v>
          </cell>
          <cell r="X1065" t="str">
            <v>01/09/2010</v>
          </cell>
          <cell r="Y1065" t="str">
            <v>KEW</v>
          </cell>
          <cell r="Z1065" t="str">
            <v>16/08/2013</v>
          </cell>
          <cell r="AA1065" t="str">
            <v>15/08/2015</v>
          </cell>
          <cell r="AB1065" t="str">
            <v>No</v>
          </cell>
          <cell r="AC1065" t="str">
            <v>31/08/2013</v>
          </cell>
          <cell r="AD1065" t="str">
            <v>Good</v>
          </cell>
          <cell r="AE1065" t="str">
            <v>V1 - Existing / No Claim</v>
          </cell>
          <cell r="AF1065">
            <v>42793</v>
          </cell>
          <cell r="AG1065">
            <v>9.17</v>
          </cell>
          <cell r="AH1065" t="str">
            <v>PPM</v>
          </cell>
          <cell r="AI1065" t="str">
            <v>Strands</v>
          </cell>
          <cell r="AJ1065" t="str">
            <v>Strands PW</v>
          </cell>
        </row>
        <row r="1066">
          <cell r="A1066" t="str">
            <v>IKN400646</v>
          </cell>
          <cell r="B1066">
            <v>646</v>
          </cell>
          <cell r="C1066" t="str">
            <v>Institut Kanser Negara</v>
          </cell>
          <cell r="D1066" t="str">
            <v>KKM/IKN/H/13/1596</v>
          </cell>
          <cell r="E1066" t="str">
            <v>13-215</v>
          </cell>
          <cell r="F1066" t="str">
            <v>Infusion Pumps, General-Purpose</v>
          </cell>
          <cell r="G1066" t="str">
            <v>DO</v>
          </cell>
          <cell r="H1066" t="str">
            <v>DAY ONCOLOGY UNIT</v>
          </cell>
          <cell r="I1066" t="str">
            <v>04DO121</v>
          </cell>
          <cell r="J1066" t="str">
            <v>TREATMENT BAY 4</v>
          </cell>
          <cell r="K1066" t="str">
            <v>BMED</v>
          </cell>
          <cell r="L1066" t="str">
            <v>Critical</v>
          </cell>
          <cell r="M1066" t="str">
            <v>Germany</v>
          </cell>
          <cell r="N1066" t="str">
            <v>Infusomat</v>
          </cell>
          <cell r="O1066" t="str">
            <v>Infusomat Space</v>
          </cell>
          <cell r="P1066" t="str">
            <v>211993</v>
          </cell>
          <cell r="Q1066" t="str">
            <v>Not Applicable</v>
          </cell>
          <cell r="R1066" t="str">
            <v>B Braun Melsungen AG</v>
          </cell>
          <cell r="S1066" t="str">
            <v>B Braun Medical Supplies Sdn. Bhd.</v>
          </cell>
          <cell r="T1066" t="str">
            <v>Functioning</v>
          </cell>
          <cell r="U1066" t="str">
            <v>Asset</v>
          </cell>
          <cell r="V1066">
            <v>10825</v>
          </cell>
          <cell r="W1066" t="str">
            <v>KEW</v>
          </cell>
          <cell r="X1066" t="str">
            <v>01/09/2010</v>
          </cell>
          <cell r="Y1066" t="str">
            <v>KEW</v>
          </cell>
          <cell r="Z1066" t="str">
            <v>16/08/2013</v>
          </cell>
          <cell r="AA1066" t="str">
            <v>15/08/2015</v>
          </cell>
          <cell r="AB1066" t="str">
            <v>No</v>
          </cell>
          <cell r="AC1066" t="str">
            <v>31/08/2013</v>
          </cell>
          <cell r="AD1066" t="str">
            <v>Good</v>
          </cell>
          <cell r="AE1066" t="str">
            <v>V1 - Existing / No Claim</v>
          </cell>
          <cell r="AF1066">
            <v>42793</v>
          </cell>
          <cell r="AG1066">
            <v>9.17</v>
          </cell>
          <cell r="AH1066" t="str">
            <v>PPM</v>
          </cell>
          <cell r="AI1066" t="str">
            <v>Strands</v>
          </cell>
          <cell r="AJ1066" t="str">
            <v>Strands PW</v>
          </cell>
        </row>
        <row r="1067">
          <cell r="A1067" t="str">
            <v>IKN400647</v>
          </cell>
          <cell r="B1067">
            <v>647</v>
          </cell>
          <cell r="C1067" t="str">
            <v>Institut Kanser Negara</v>
          </cell>
          <cell r="D1067" t="str">
            <v>KKM/IKN/H/13/1597</v>
          </cell>
          <cell r="E1067" t="str">
            <v>13-215</v>
          </cell>
          <cell r="F1067" t="str">
            <v>Infusion Pumps, General-Purpose</v>
          </cell>
          <cell r="G1067" t="str">
            <v>DO</v>
          </cell>
          <cell r="H1067" t="str">
            <v>DAY ONCOLOGY UNIT</v>
          </cell>
          <cell r="I1067" t="str">
            <v>04DO121</v>
          </cell>
          <cell r="J1067" t="str">
            <v>TREATMENT BAY 4</v>
          </cell>
          <cell r="K1067" t="str">
            <v>BMED</v>
          </cell>
          <cell r="L1067" t="str">
            <v>Critical</v>
          </cell>
          <cell r="M1067" t="str">
            <v>Germany</v>
          </cell>
          <cell r="N1067" t="str">
            <v>Infusomat</v>
          </cell>
          <cell r="O1067" t="str">
            <v>Infusomat Space</v>
          </cell>
          <cell r="P1067" t="str">
            <v>212090</v>
          </cell>
          <cell r="Q1067" t="str">
            <v>Not Applicable</v>
          </cell>
          <cell r="R1067" t="str">
            <v>B Braun Melsungen AG</v>
          </cell>
          <cell r="S1067" t="str">
            <v>B Braun Medical Supplies Sdn. Bhd.</v>
          </cell>
          <cell r="T1067" t="str">
            <v>Functioning</v>
          </cell>
          <cell r="U1067" t="str">
            <v>Asset</v>
          </cell>
          <cell r="V1067">
            <v>10825</v>
          </cell>
          <cell r="W1067" t="str">
            <v>KEW</v>
          </cell>
          <cell r="X1067" t="str">
            <v>01/09/2010</v>
          </cell>
          <cell r="Y1067" t="str">
            <v>KEW</v>
          </cell>
          <cell r="Z1067" t="str">
            <v>16/08/2013</v>
          </cell>
          <cell r="AA1067" t="str">
            <v>15/08/2015</v>
          </cell>
          <cell r="AB1067" t="str">
            <v>No</v>
          </cell>
          <cell r="AC1067" t="str">
            <v>31/08/2013</v>
          </cell>
          <cell r="AD1067" t="str">
            <v>Good</v>
          </cell>
          <cell r="AE1067" t="str">
            <v>V1 - Existing / No Claim</v>
          </cell>
          <cell r="AF1067">
            <v>42793</v>
          </cell>
          <cell r="AG1067">
            <v>9.17</v>
          </cell>
          <cell r="AH1067" t="str">
            <v>PPM</v>
          </cell>
          <cell r="AI1067" t="str">
            <v>Strands</v>
          </cell>
          <cell r="AJ1067" t="str">
            <v>Strands PW</v>
          </cell>
        </row>
        <row r="1068">
          <cell r="A1068" t="str">
            <v>IKN400648</v>
          </cell>
          <cell r="B1068">
            <v>648</v>
          </cell>
          <cell r="C1068" t="str">
            <v>Institut Kanser Negara</v>
          </cell>
          <cell r="D1068" t="str">
            <v>KKM/IKN/H/13/1607</v>
          </cell>
          <cell r="E1068" t="str">
            <v>17-950</v>
          </cell>
          <cell r="F1068" t="str">
            <v>Warming Units, Patient, Forced-Air</v>
          </cell>
          <cell r="G1068" t="str">
            <v>RT</v>
          </cell>
          <cell r="H1068" t="str">
            <v>RADIATION TREATMENT UNIT</v>
          </cell>
          <cell r="I1068" t="str">
            <v>01RT243</v>
          </cell>
          <cell r="J1068" t="str">
            <v>NURSE STATION</v>
          </cell>
          <cell r="K1068" t="str">
            <v>BMED</v>
          </cell>
          <cell r="L1068" t="str">
            <v>Normal</v>
          </cell>
          <cell r="M1068" t="str">
            <v>USA</v>
          </cell>
          <cell r="N1068" t="str">
            <v>Bair Hugger</v>
          </cell>
          <cell r="O1068" t="str">
            <v>Bair Hugger 775</v>
          </cell>
          <cell r="P1068" t="str">
            <v>35941</v>
          </cell>
          <cell r="Q1068" t="str">
            <v>Not Applicable</v>
          </cell>
          <cell r="R1068" t="str">
            <v>Arizant Healthcare Inc</v>
          </cell>
          <cell r="S1068" t="str">
            <v>Calmed Healthcare Sdn Bhd</v>
          </cell>
          <cell r="T1068" t="str">
            <v>Functioning</v>
          </cell>
          <cell r="U1068" t="str">
            <v>Asset</v>
          </cell>
          <cell r="V1068">
            <v>15515</v>
          </cell>
          <cell r="W1068" t="str">
            <v>KEW</v>
          </cell>
          <cell r="X1068" t="str">
            <v>01/09/2010</v>
          </cell>
          <cell r="Y1068" t="str">
            <v>KEW</v>
          </cell>
          <cell r="Z1068" t="str">
            <v>16/08/2013</v>
          </cell>
          <cell r="AA1068" t="str">
            <v>15/08/2015</v>
          </cell>
          <cell r="AB1068" t="str">
            <v>No</v>
          </cell>
          <cell r="AC1068" t="str">
            <v>31/08/2013</v>
          </cell>
          <cell r="AD1068" t="str">
            <v>Good</v>
          </cell>
          <cell r="AE1068" t="str">
            <v>V1 - Existing / No Claim</v>
          </cell>
          <cell r="AF1068">
            <v>42871</v>
          </cell>
          <cell r="AG1068">
            <v>9.17</v>
          </cell>
          <cell r="AH1068" t="str">
            <v>PPM</v>
          </cell>
          <cell r="AI1068" t="str">
            <v>Strands</v>
          </cell>
          <cell r="AJ1068" t="str">
            <v>Strands PW</v>
          </cell>
        </row>
        <row r="1069">
          <cell r="A1069" t="str">
            <v>IKN400649</v>
          </cell>
          <cell r="B1069">
            <v>649</v>
          </cell>
          <cell r="C1069" t="str">
            <v>Institut Kanser Negara</v>
          </cell>
          <cell r="D1069" t="str">
            <v>KKM/IKN/H/13/1608</v>
          </cell>
          <cell r="E1069" t="str">
            <v>17-950</v>
          </cell>
          <cell r="F1069" t="str">
            <v>Warming Units, Patient, Forced-Air</v>
          </cell>
          <cell r="G1069" t="str">
            <v>DO</v>
          </cell>
          <cell r="H1069" t="str">
            <v>DAY ONCOLOGY UNIT</v>
          </cell>
          <cell r="I1069" t="str">
            <v>04DO121</v>
          </cell>
          <cell r="J1069" t="str">
            <v>TREATMENT BAY 4</v>
          </cell>
          <cell r="K1069" t="str">
            <v>BMED</v>
          </cell>
          <cell r="L1069" t="str">
            <v>Normal</v>
          </cell>
          <cell r="M1069" t="str">
            <v>USA</v>
          </cell>
          <cell r="N1069" t="str">
            <v>Bair Hugger</v>
          </cell>
          <cell r="O1069" t="str">
            <v>Bair Hugger 775</v>
          </cell>
          <cell r="P1069" t="str">
            <v>35942</v>
          </cell>
          <cell r="Q1069" t="str">
            <v>Not Applicable</v>
          </cell>
          <cell r="R1069" t="str">
            <v>Arizant Healthcare Inc</v>
          </cell>
          <cell r="S1069" t="str">
            <v>Calmed Healthcare Sdn Bhd</v>
          </cell>
          <cell r="T1069" t="str">
            <v>Functioning</v>
          </cell>
          <cell r="U1069" t="str">
            <v>Asset</v>
          </cell>
          <cell r="V1069">
            <v>15515</v>
          </cell>
          <cell r="W1069" t="str">
            <v>KEW</v>
          </cell>
          <cell r="X1069" t="str">
            <v>01/09/2010</v>
          </cell>
          <cell r="Y1069" t="str">
            <v>KEW</v>
          </cell>
          <cell r="Z1069" t="str">
            <v>16/08/2013</v>
          </cell>
          <cell r="AA1069" t="str">
            <v>15/08/2015</v>
          </cell>
          <cell r="AB1069" t="str">
            <v>No</v>
          </cell>
          <cell r="AC1069" t="str">
            <v>31/08/2013</v>
          </cell>
          <cell r="AD1069" t="str">
            <v>Good</v>
          </cell>
          <cell r="AE1069" t="str">
            <v>V1 - Existing / No Claim</v>
          </cell>
          <cell r="AF1069">
            <v>42235</v>
          </cell>
          <cell r="AG1069">
            <v>9.17</v>
          </cell>
          <cell r="AH1069" t="str">
            <v>PPM</v>
          </cell>
          <cell r="AI1069" t="str">
            <v>Strands</v>
          </cell>
          <cell r="AJ1069" t="str">
            <v>Strands PW</v>
          </cell>
        </row>
        <row r="1070">
          <cell r="A1070" t="str">
            <v>IKN400650</v>
          </cell>
          <cell r="B1070">
            <v>650</v>
          </cell>
          <cell r="C1070" t="str">
            <v>Institut Kanser Negara</v>
          </cell>
          <cell r="D1070" t="str">
            <v>KKM/IKN/H/13/1598</v>
          </cell>
          <cell r="E1070" t="str">
            <v>13-215</v>
          </cell>
          <cell r="F1070" t="str">
            <v>Infusion Pumps, General-Purpose</v>
          </cell>
          <cell r="G1070" t="str">
            <v>DO</v>
          </cell>
          <cell r="H1070" t="str">
            <v>DAY ONCOLOGY UNIT</v>
          </cell>
          <cell r="I1070" t="str">
            <v>04DO124</v>
          </cell>
          <cell r="J1070" t="str">
            <v>TREATMENT ROOM</v>
          </cell>
          <cell r="K1070" t="str">
            <v>BMED</v>
          </cell>
          <cell r="L1070" t="str">
            <v>Critical</v>
          </cell>
          <cell r="M1070" t="str">
            <v>Germany</v>
          </cell>
          <cell r="N1070" t="str">
            <v>Infusomat</v>
          </cell>
          <cell r="O1070" t="str">
            <v>Infusomat Space</v>
          </cell>
          <cell r="P1070" t="str">
            <v>212098</v>
          </cell>
          <cell r="Q1070" t="str">
            <v>Not Applicable</v>
          </cell>
          <cell r="R1070" t="str">
            <v>B Braun Melsungen AG</v>
          </cell>
          <cell r="S1070" t="str">
            <v>B Braun Medical Supplies Sdn. Bhd.</v>
          </cell>
          <cell r="T1070" t="str">
            <v>Functioning</v>
          </cell>
          <cell r="U1070" t="str">
            <v>Asset</v>
          </cell>
          <cell r="V1070">
            <v>10825</v>
          </cell>
          <cell r="W1070" t="str">
            <v>KEW</v>
          </cell>
          <cell r="X1070" t="str">
            <v>01/09/2010</v>
          </cell>
          <cell r="Y1070" t="str">
            <v>KEW</v>
          </cell>
          <cell r="Z1070" t="str">
            <v>16/08/2013</v>
          </cell>
          <cell r="AA1070" t="str">
            <v>15/08/2015</v>
          </cell>
          <cell r="AB1070" t="str">
            <v>No</v>
          </cell>
          <cell r="AC1070" t="str">
            <v>31/08/2013</v>
          </cell>
          <cell r="AD1070" t="str">
            <v>Good</v>
          </cell>
          <cell r="AE1070" t="str">
            <v>V1 - Existing / No Claim</v>
          </cell>
          <cell r="AF1070">
            <v>42793</v>
          </cell>
          <cell r="AG1070">
            <v>9.17</v>
          </cell>
          <cell r="AH1070" t="str">
            <v>PPM</v>
          </cell>
          <cell r="AI1070" t="str">
            <v>Strands</v>
          </cell>
          <cell r="AJ1070" t="str">
            <v>Strands PW</v>
          </cell>
        </row>
        <row r="1071">
          <cell r="A1071" t="str">
            <v>IKN400651</v>
          </cell>
          <cell r="B1071">
            <v>651</v>
          </cell>
          <cell r="C1071" t="str">
            <v>Institut Kanser Negara</v>
          </cell>
          <cell r="D1071" t="str">
            <v>KKM/IKN/H/13/1599</v>
          </cell>
          <cell r="E1071" t="str">
            <v>16-231</v>
          </cell>
          <cell r="F1071" t="str">
            <v>Electrocardiographs, Multichannel, Interpretative</v>
          </cell>
          <cell r="G1071" t="str">
            <v>DO</v>
          </cell>
          <cell r="H1071" t="str">
            <v>DAY ONCOLOGY UNIT</v>
          </cell>
          <cell r="I1071" t="str">
            <v>04DO124</v>
          </cell>
          <cell r="J1071" t="str">
            <v>TREATMENT ROOM</v>
          </cell>
          <cell r="K1071" t="str">
            <v>BMED</v>
          </cell>
          <cell r="L1071" t="str">
            <v>Critical</v>
          </cell>
          <cell r="M1071" t="str">
            <v>China</v>
          </cell>
          <cell r="N1071" t="str">
            <v>Mac</v>
          </cell>
          <cell r="O1071" t="str">
            <v>MAC 800</v>
          </cell>
          <cell r="P1071" t="str">
            <v>SJ412450377 WA</v>
          </cell>
          <cell r="Q1071" t="str">
            <v>Not Applicable</v>
          </cell>
          <cell r="R1071" t="str">
            <v>GE Healthcare Systems</v>
          </cell>
          <cell r="S1071" t="str">
            <v>GE Healthcare Technologies</v>
          </cell>
          <cell r="T1071" t="str">
            <v>Functioning</v>
          </cell>
          <cell r="U1071" t="str">
            <v>Asset</v>
          </cell>
          <cell r="V1071">
            <v>25260</v>
          </cell>
          <cell r="W1071" t="str">
            <v>KEW</v>
          </cell>
          <cell r="X1071" t="str">
            <v>01/09/2010</v>
          </cell>
          <cell r="Y1071" t="str">
            <v>KEW</v>
          </cell>
          <cell r="Z1071" t="str">
            <v>16/08/2013</v>
          </cell>
          <cell r="AA1071" t="str">
            <v>15/08/2015</v>
          </cell>
          <cell r="AB1071" t="str">
            <v>No</v>
          </cell>
          <cell r="AC1071" t="str">
            <v>31/08/2013</v>
          </cell>
          <cell r="AD1071" t="str">
            <v>Good</v>
          </cell>
          <cell r="AE1071" t="str">
            <v>V1 - Existing / No Claim</v>
          </cell>
          <cell r="AF1071">
            <v>42793</v>
          </cell>
          <cell r="AG1071">
            <v>9.17</v>
          </cell>
          <cell r="AH1071" t="str">
            <v>PPM</v>
          </cell>
          <cell r="AI1071" t="str">
            <v>Strands</v>
          </cell>
          <cell r="AJ1071" t="str">
            <v>Strands PW</v>
          </cell>
        </row>
        <row r="1072">
          <cell r="A1072" t="str">
            <v>IKN400652</v>
          </cell>
          <cell r="B1072">
            <v>652</v>
          </cell>
          <cell r="C1072" t="str">
            <v>Institut Kanser Negara</v>
          </cell>
          <cell r="D1072" t="str">
            <v>KKM/IKN/H/13/2620</v>
          </cell>
          <cell r="E1072" t="str">
            <v>16-173</v>
          </cell>
          <cell r="F1072" t="str">
            <v>Sphygmomanometers, Electronic, Automatic</v>
          </cell>
          <cell r="G1072" t="str">
            <v>DO</v>
          </cell>
          <cell r="H1072" t="str">
            <v>DAY ONCOLOGY UNIT</v>
          </cell>
          <cell r="I1072" t="str">
            <v>04DO131</v>
          </cell>
          <cell r="J1072" t="str">
            <v>NURSE STATION</v>
          </cell>
          <cell r="K1072" t="str">
            <v>BMED</v>
          </cell>
          <cell r="L1072" t="str">
            <v>Critical</v>
          </cell>
          <cell r="M1072" t="str">
            <v>USA</v>
          </cell>
          <cell r="N1072" t="str">
            <v>Connex</v>
          </cell>
          <cell r="O1072" t="str">
            <v>Connex ProBP 3400</v>
          </cell>
          <cell r="P1072" t="str">
            <v>100001520613</v>
          </cell>
          <cell r="Q1072" t="str">
            <v>Not Applicable</v>
          </cell>
          <cell r="R1072" t="str">
            <v>Welch Allyn Inc</v>
          </cell>
          <cell r="S1072" t="str">
            <v>Welch Allyn Malaysia Sdn Bhd</v>
          </cell>
          <cell r="T1072" t="str">
            <v>Functioning</v>
          </cell>
          <cell r="U1072" t="str">
            <v>Asset</v>
          </cell>
          <cell r="V1072">
            <v>4510</v>
          </cell>
          <cell r="W1072" t="str">
            <v>KEW</v>
          </cell>
          <cell r="X1072" t="str">
            <v>01/09/2010</v>
          </cell>
          <cell r="Y1072" t="str">
            <v>KEW</v>
          </cell>
          <cell r="Z1072" t="str">
            <v>16/08/2013</v>
          </cell>
          <cell r="AA1072" t="str">
            <v>15/08/2015</v>
          </cell>
          <cell r="AB1072" t="str">
            <v>No</v>
          </cell>
          <cell r="AC1072" t="str">
            <v>31/08/2013</v>
          </cell>
          <cell r="AD1072" t="str">
            <v>Good</v>
          </cell>
          <cell r="AE1072" t="str">
            <v>V1 - Existing / No Claim</v>
          </cell>
          <cell r="AF1072">
            <v>42793</v>
          </cell>
          <cell r="AG1072">
            <v>9.17</v>
          </cell>
          <cell r="AH1072" t="str">
            <v>PPM</v>
          </cell>
          <cell r="AI1072" t="str">
            <v>Strands</v>
          </cell>
          <cell r="AJ1072" t="str">
            <v>Strands PW</v>
          </cell>
        </row>
        <row r="1073">
          <cell r="A1073" t="str">
            <v>IKN400653</v>
          </cell>
          <cell r="B1073">
            <v>653</v>
          </cell>
          <cell r="C1073" t="str">
            <v>Institut Kanser Negara</v>
          </cell>
          <cell r="D1073" t="str">
            <v>KKM/IKN/H/13/2618</v>
          </cell>
          <cell r="E1073" t="str">
            <v>16-173</v>
          </cell>
          <cell r="F1073" t="str">
            <v>Sphygmomanometers, Electronic, Automatic</v>
          </cell>
          <cell r="G1073" t="str">
            <v>DO</v>
          </cell>
          <cell r="H1073" t="str">
            <v>DAY ONCOLOGY UNIT</v>
          </cell>
          <cell r="I1073" t="str">
            <v>04DO131</v>
          </cell>
          <cell r="J1073" t="str">
            <v>NURSE STATION</v>
          </cell>
          <cell r="K1073" t="str">
            <v>BMED</v>
          </cell>
          <cell r="L1073" t="str">
            <v>Critical</v>
          </cell>
          <cell r="M1073" t="str">
            <v>USA</v>
          </cell>
          <cell r="N1073" t="str">
            <v>Connex</v>
          </cell>
          <cell r="O1073" t="str">
            <v>Connex ProBP 3400</v>
          </cell>
          <cell r="P1073" t="str">
            <v>100001730613</v>
          </cell>
          <cell r="Q1073" t="str">
            <v>Not Applicable</v>
          </cell>
          <cell r="R1073" t="str">
            <v>Welch Allyn Inc</v>
          </cell>
          <cell r="S1073" t="str">
            <v>Welch Allyn Malaysia Sdn Bhd</v>
          </cell>
          <cell r="T1073" t="str">
            <v>Functioning</v>
          </cell>
          <cell r="U1073" t="str">
            <v>Asset</v>
          </cell>
          <cell r="V1073">
            <v>4510</v>
          </cell>
          <cell r="W1073" t="str">
            <v>KEW</v>
          </cell>
          <cell r="X1073" t="str">
            <v>01/09/2010</v>
          </cell>
          <cell r="Y1073" t="str">
            <v>KEW</v>
          </cell>
          <cell r="Z1073" t="str">
            <v>16/08/2013</v>
          </cell>
          <cell r="AA1073" t="str">
            <v>15/08/2015</v>
          </cell>
          <cell r="AB1073" t="str">
            <v>No</v>
          </cell>
          <cell r="AC1073" t="str">
            <v>31/08/2013</v>
          </cell>
          <cell r="AD1073" t="str">
            <v>Good</v>
          </cell>
          <cell r="AE1073" t="str">
            <v>V1 - Existing / No Claim</v>
          </cell>
          <cell r="AF1073">
            <v>42793</v>
          </cell>
          <cell r="AG1073">
            <v>9.17</v>
          </cell>
          <cell r="AH1073" t="str">
            <v>PPM</v>
          </cell>
          <cell r="AI1073" t="str">
            <v>Strands</v>
          </cell>
          <cell r="AJ1073" t="str">
            <v>Strands PW</v>
          </cell>
        </row>
        <row r="1074">
          <cell r="A1074" t="str">
            <v>IKN400654</v>
          </cell>
          <cell r="B1074">
            <v>654</v>
          </cell>
          <cell r="C1074" t="str">
            <v>Institut Kanser Negara</v>
          </cell>
          <cell r="D1074" t="str">
            <v>KKM/IKN/H/13/1592</v>
          </cell>
          <cell r="E1074" t="str">
            <v>10-208</v>
          </cell>
          <cell r="F1074" t="str">
            <v>Aspirators</v>
          </cell>
          <cell r="G1074" t="str">
            <v>DO</v>
          </cell>
          <cell r="H1074" t="str">
            <v>DAY ONCOLOGY UNIT</v>
          </cell>
          <cell r="I1074" t="str">
            <v>04DO125</v>
          </cell>
          <cell r="J1074" t="str">
            <v>PROCEDURE ROOM</v>
          </cell>
          <cell r="K1074" t="str">
            <v>BMED</v>
          </cell>
          <cell r="L1074" t="str">
            <v>Critical</v>
          </cell>
          <cell r="M1074" t="str">
            <v>Switzerland</v>
          </cell>
          <cell r="N1074" t="str">
            <v>Senator</v>
          </cell>
          <cell r="O1074" t="str">
            <v>Senator</v>
          </cell>
          <cell r="P1074" t="str">
            <v>1220759</v>
          </cell>
          <cell r="Q1074" t="str">
            <v>Not Applicable</v>
          </cell>
          <cell r="R1074" t="str">
            <v>Ardo Medical AG</v>
          </cell>
          <cell r="S1074" t="str">
            <v>Histopoint</v>
          </cell>
          <cell r="T1074" t="str">
            <v>Functioning</v>
          </cell>
          <cell r="U1074" t="str">
            <v>Asset</v>
          </cell>
          <cell r="V1074">
            <v>7580</v>
          </cell>
          <cell r="W1074" t="str">
            <v>KEW</v>
          </cell>
          <cell r="X1074" t="str">
            <v>01/09/2010</v>
          </cell>
          <cell r="Y1074" t="str">
            <v>KEW</v>
          </cell>
          <cell r="Z1074" t="str">
            <v>16/08/2013</v>
          </cell>
          <cell r="AA1074" t="str">
            <v>15/08/2015</v>
          </cell>
          <cell r="AB1074" t="str">
            <v>No</v>
          </cell>
          <cell r="AC1074" t="str">
            <v>31/08/2013</v>
          </cell>
          <cell r="AD1074" t="str">
            <v>Good</v>
          </cell>
          <cell r="AE1074" t="str">
            <v>V1 - Existing / No Claim</v>
          </cell>
          <cell r="AF1074">
            <v>42793</v>
          </cell>
          <cell r="AG1074">
            <v>9.17</v>
          </cell>
          <cell r="AH1074" t="str">
            <v>PPM</v>
          </cell>
          <cell r="AI1074" t="str">
            <v>Strands</v>
          </cell>
          <cell r="AJ1074" t="str">
            <v>Strands PW</v>
          </cell>
        </row>
        <row r="1075">
          <cell r="A1075" t="str">
            <v>IKN400656</v>
          </cell>
          <cell r="B1075">
            <v>656</v>
          </cell>
          <cell r="C1075" t="str">
            <v>Institut Kanser Negara</v>
          </cell>
          <cell r="D1075" t="str">
            <v>KKM/IKN/H/13/1387</v>
          </cell>
          <cell r="E1075" t="str">
            <v>13-217</v>
          </cell>
          <cell r="F1075" t="str">
            <v>Infusion Pumps, Syringe</v>
          </cell>
          <cell r="G1075" t="str">
            <v>DO</v>
          </cell>
          <cell r="H1075" t="str">
            <v>DAY ONCOLOGY UNIT</v>
          </cell>
          <cell r="I1075" t="str">
            <v>04DO138</v>
          </cell>
          <cell r="J1075" t="str">
            <v>CHEMOTHERAPY BAY (4 BEDS)</v>
          </cell>
          <cell r="K1075" t="str">
            <v>BMED</v>
          </cell>
          <cell r="L1075" t="str">
            <v>Critical</v>
          </cell>
          <cell r="M1075" t="str">
            <v>Germany</v>
          </cell>
          <cell r="N1075" t="str">
            <v>Perfusor</v>
          </cell>
          <cell r="O1075" t="str">
            <v>Perfusor Space</v>
          </cell>
          <cell r="P1075" t="str">
            <v>143313</v>
          </cell>
          <cell r="Q1075" t="str">
            <v>Not Applicable</v>
          </cell>
          <cell r="R1075" t="str">
            <v>B Braun Melsungen AG</v>
          </cell>
          <cell r="S1075" t="str">
            <v>B Braun Medical Supplies Sdn. Bhd.</v>
          </cell>
          <cell r="T1075" t="str">
            <v>Functioning</v>
          </cell>
          <cell r="U1075" t="str">
            <v>Asset</v>
          </cell>
          <cell r="V1075">
            <v>10225</v>
          </cell>
          <cell r="W1075" t="str">
            <v>KEW</v>
          </cell>
          <cell r="X1075" t="str">
            <v>01/09/2010</v>
          </cell>
          <cell r="Y1075" t="str">
            <v>KEW</v>
          </cell>
          <cell r="Z1075" t="str">
            <v>16/08/2013</v>
          </cell>
          <cell r="AA1075" t="str">
            <v>15/08/2015</v>
          </cell>
          <cell r="AB1075" t="str">
            <v>No</v>
          </cell>
          <cell r="AC1075" t="str">
            <v>31/08/2013</v>
          </cell>
          <cell r="AD1075" t="str">
            <v>Good</v>
          </cell>
          <cell r="AE1075" t="str">
            <v>V1 - Existing / No Claim</v>
          </cell>
          <cell r="AF1075">
            <v>42793</v>
          </cell>
          <cell r="AG1075">
            <v>9.17</v>
          </cell>
          <cell r="AH1075" t="str">
            <v>PPM</v>
          </cell>
          <cell r="AI1075" t="str">
            <v>Strands</v>
          </cell>
          <cell r="AJ1075" t="str">
            <v>Strands PW</v>
          </cell>
        </row>
        <row r="1076">
          <cell r="A1076" t="str">
            <v>IKN400657</v>
          </cell>
          <cell r="B1076">
            <v>657</v>
          </cell>
          <cell r="C1076" t="str">
            <v>Institut Kanser Negara</v>
          </cell>
          <cell r="D1076" t="str">
            <v>KKM/IKN/H/13/1600</v>
          </cell>
          <cell r="E1076" t="str">
            <v>13-215</v>
          </cell>
          <cell r="F1076" t="str">
            <v>Infusion Pumps, General-Purpose</v>
          </cell>
          <cell r="G1076" t="str">
            <v>DO</v>
          </cell>
          <cell r="H1076" t="str">
            <v>DAY ONCOLOGY UNIT</v>
          </cell>
          <cell r="I1076" t="str">
            <v>04DO138</v>
          </cell>
          <cell r="J1076" t="str">
            <v>CHEMOTHERAPY BAY (4 BEDS)</v>
          </cell>
          <cell r="K1076" t="str">
            <v>BMED</v>
          </cell>
          <cell r="L1076" t="str">
            <v>Critical</v>
          </cell>
          <cell r="M1076" t="str">
            <v>Germany</v>
          </cell>
          <cell r="N1076" t="str">
            <v>Infusomat</v>
          </cell>
          <cell r="O1076" t="str">
            <v>Infusomat Space</v>
          </cell>
          <cell r="P1076" t="str">
            <v>212068</v>
          </cell>
          <cell r="Q1076" t="str">
            <v>Not Applicable</v>
          </cell>
          <cell r="R1076" t="str">
            <v>B Braun Melsungen AG</v>
          </cell>
          <cell r="S1076" t="str">
            <v>B Braun Medical Supplies Sdn. Bhd.</v>
          </cell>
          <cell r="T1076" t="str">
            <v>Functioning</v>
          </cell>
          <cell r="U1076" t="str">
            <v>Asset</v>
          </cell>
          <cell r="V1076">
            <v>10825</v>
          </cell>
          <cell r="W1076" t="str">
            <v>KEW</v>
          </cell>
          <cell r="X1076" t="str">
            <v>01/09/2010</v>
          </cell>
          <cell r="Y1076" t="str">
            <v>KEW</v>
          </cell>
          <cell r="Z1076" t="str">
            <v>16/08/2013</v>
          </cell>
          <cell r="AA1076" t="str">
            <v>15/08/2015</v>
          </cell>
          <cell r="AB1076" t="str">
            <v>No</v>
          </cell>
          <cell r="AC1076" t="str">
            <v>31/08/2013</v>
          </cell>
          <cell r="AD1076" t="str">
            <v>Good</v>
          </cell>
          <cell r="AE1076" t="str">
            <v>V1 - Existing / No Claim</v>
          </cell>
          <cell r="AF1076">
            <v>42793</v>
          </cell>
          <cell r="AG1076">
            <v>9.17</v>
          </cell>
          <cell r="AH1076" t="str">
            <v>PPM</v>
          </cell>
          <cell r="AI1076" t="str">
            <v>Strands</v>
          </cell>
          <cell r="AJ1076" t="str">
            <v>Strands PW</v>
          </cell>
        </row>
        <row r="1077">
          <cell r="A1077" t="str">
            <v>IKN400658</v>
          </cell>
          <cell r="B1077">
            <v>658</v>
          </cell>
          <cell r="C1077" t="str">
            <v>Institut Kanser Negara</v>
          </cell>
          <cell r="D1077" t="str">
            <v>KKM/IKN/H/13/765</v>
          </cell>
          <cell r="E1077" t="str">
            <v>13-215</v>
          </cell>
          <cell r="F1077" t="str">
            <v>Infusion Pumps, General-Purpose</v>
          </cell>
          <cell r="G1077" t="str">
            <v>DO</v>
          </cell>
          <cell r="H1077" t="str">
            <v>DAY ONCOLOGY UNIT</v>
          </cell>
          <cell r="I1077" t="str">
            <v>04DO138</v>
          </cell>
          <cell r="J1077" t="str">
            <v>CHEMOTHERAPY BAY (4 BEDS)</v>
          </cell>
          <cell r="K1077" t="str">
            <v>BMED</v>
          </cell>
          <cell r="L1077" t="str">
            <v>Critical</v>
          </cell>
          <cell r="M1077" t="str">
            <v>Germany</v>
          </cell>
          <cell r="N1077" t="str">
            <v>Infusomat</v>
          </cell>
          <cell r="O1077" t="str">
            <v>Infusomat Space</v>
          </cell>
          <cell r="P1077" t="str">
            <v>211641</v>
          </cell>
          <cell r="Q1077" t="str">
            <v>Not Applicable</v>
          </cell>
          <cell r="R1077" t="str">
            <v>B Braun Melsungen AG</v>
          </cell>
          <cell r="S1077" t="str">
            <v>B Braun Medical Supplies Sdn. Bhd.</v>
          </cell>
          <cell r="T1077" t="str">
            <v>Functioning</v>
          </cell>
          <cell r="U1077" t="str">
            <v>Asset</v>
          </cell>
          <cell r="V1077">
            <v>10825</v>
          </cell>
          <cell r="W1077" t="str">
            <v>KEW</v>
          </cell>
          <cell r="X1077" t="str">
            <v>01/09/2010</v>
          </cell>
          <cell r="Y1077" t="str">
            <v>KEW</v>
          </cell>
          <cell r="Z1077" t="str">
            <v>16/08/2013</v>
          </cell>
          <cell r="AA1077" t="str">
            <v>15/08/2015</v>
          </cell>
          <cell r="AB1077" t="str">
            <v>No</v>
          </cell>
          <cell r="AC1077" t="str">
            <v>31/08/2013</v>
          </cell>
          <cell r="AD1077" t="str">
            <v>Good</v>
          </cell>
          <cell r="AE1077" t="str">
            <v>V1 - Existing / No Claim</v>
          </cell>
          <cell r="AF1077">
            <v>42793</v>
          </cell>
          <cell r="AG1077">
            <v>9.17</v>
          </cell>
          <cell r="AH1077" t="str">
            <v>PPM</v>
          </cell>
          <cell r="AI1077" t="str">
            <v>Strands</v>
          </cell>
          <cell r="AJ1077" t="str">
            <v>Strands PW</v>
          </cell>
        </row>
        <row r="1078">
          <cell r="A1078" t="str">
            <v>IKN400659</v>
          </cell>
          <cell r="B1078">
            <v>659</v>
          </cell>
          <cell r="C1078" t="str">
            <v>Institut Kanser Negara</v>
          </cell>
          <cell r="D1078" t="str">
            <v>KKM/IKN/H/13/1389</v>
          </cell>
          <cell r="E1078" t="str">
            <v>13-215</v>
          </cell>
          <cell r="F1078" t="str">
            <v>Infusion Pumps, General-Purpose</v>
          </cell>
          <cell r="G1078" t="str">
            <v>DO</v>
          </cell>
          <cell r="H1078" t="str">
            <v>DAY ONCOLOGY UNIT</v>
          </cell>
          <cell r="I1078" t="str">
            <v>04DO138</v>
          </cell>
          <cell r="J1078" t="str">
            <v>CHEMOTHERAPY BAY (4 BEDS)</v>
          </cell>
          <cell r="K1078" t="str">
            <v>BMED</v>
          </cell>
          <cell r="L1078" t="str">
            <v>Critical</v>
          </cell>
          <cell r="M1078" t="str">
            <v>Germany</v>
          </cell>
          <cell r="N1078" t="str">
            <v>Infusomat</v>
          </cell>
          <cell r="O1078" t="str">
            <v>Infusomat Space</v>
          </cell>
          <cell r="P1078" t="str">
            <v>212024</v>
          </cell>
          <cell r="Q1078" t="str">
            <v>Not Applicable</v>
          </cell>
          <cell r="R1078" t="str">
            <v>B Braun Melsungen AG</v>
          </cell>
          <cell r="S1078" t="str">
            <v>B Braun Medical Supplies Sdn. Bhd.</v>
          </cell>
          <cell r="T1078" t="str">
            <v>Functioning</v>
          </cell>
          <cell r="U1078" t="str">
            <v>Asset</v>
          </cell>
          <cell r="V1078">
            <v>10825</v>
          </cell>
          <cell r="W1078" t="str">
            <v>KEW</v>
          </cell>
          <cell r="X1078" t="str">
            <v>01/09/2010</v>
          </cell>
          <cell r="Y1078" t="str">
            <v>KEW</v>
          </cell>
          <cell r="Z1078" t="str">
            <v>16/08/2013</v>
          </cell>
          <cell r="AA1078" t="str">
            <v>15/08/2015</v>
          </cell>
          <cell r="AB1078" t="str">
            <v>No</v>
          </cell>
          <cell r="AC1078" t="str">
            <v>31/08/2013</v>
          </cell>
          <cell r="AD1078" t="str">
            <v>Good</v>
          </cell>
          <cell r="AE1078" t="str">
            <v>V1 - Existing / No Claim</v>
          </cell>
          <cell r="AF1078">
            <v>42793</v>
          </cell>
          <cell r="AG1078">
            <v>9.17</v>
          </cell>
          <cell r="AH1078" t="str">
            <v>PPM</v>
          </cell>
          <cell r="AI1078" t="str">
            <v>Strands</v>
          </cell>
          <cell r="AJ1078" t="str">
            <v>Strands PW</v>
          </cell>
        </row>
        <row r="1079">
          <cell r="A1079" t="str">
            <v>IKN400660</v>
          </cell>
          <cell r="B1079">
            <v>660</v>
          </cell>
          <cell r="C1079" t="str">
            <v>Institut Kanser Negara</v>
          </cell>
          <cell r="D1079" t="str">
            <v>KKM/IKN/H/13/1390</v>
          </cell>
          <cell r="E1079" t="str">
            <v>13-215</v>
          </cell>
          <cell r="F1079" t="str">
            <v>Infusion Pumps, General-Purpose</v>
          </cell>
          <cell r="G1079" t="str">
            <v>DO</v>
          </cell>
          <cell r="H1079" t="str">
            <v>DAY ONCOLOGY UNIT</v>
          </cell>
          <cell r="I1079" t="str">
            <v>04DO138</v>
          </cell>
          <cell r="J1079" t="str">
            <v>CHEMOTHERAPY BAY (4 BEDS)</v>
          </cell>
          <cell r="K1079" t="str">
            <v>BMED</v>
          </cell>
          <cell r="L1079" t="str">
            <v>Critical</v>
          </cell>
          <cell r="M1079" t="str">
            <v>Germany</v>
          </cell>
          <cell r="N1079" t="str">
            <v>Infusomat</v>
          </cell>
          <cell r="O1079" t="str">
            <v>Infusomat Space</v>
          </cell>
          <cell r="P1079" t="str">
            <v>211995</v>
          </cell>
          <cell r="Q1079" t="str">
            <v>Not Applicable</v>
          </cell>
          <cell r="R1079" t="str">
            <v>B Braun Melsungen AG</v>
          </cell>
          <cell r="S1079" t="str">
            <v>B Braun Medical Supplies Sdn. Bhd.</v>
          </cell>
          <cell r="T1079" t="str">
            <v>Functioning</v>
          </cell>
          <cell r="U1079" t="str">
            <v>Asset</v>
          </cell>
          <cell r="V1079">
            <v>10825</v>
          </cell>
          <cell r="W1079" t="str">
            <v>KEW</v>
          </cell>
          <cell r="X1079" t="str">
            <v>01/09/2010</v>
          </cell>
          <cell r="Y1079" t="str">
            <v>KEW</v>
          </cell>
          <cell r="Z1079" t="str">
            <v>16/08/2013</v>
          </cell>
          <cell r="AA1079" t="str">
            <v>15/08/2015</v>
          </cell>
          <cell r="AB1079" t="str">
            <v>No</v>
          </cell>
          <cell r="AC1079" t="str">
            <v>31/08/2013</v>
          </cell>
          <cell r="AD1079" t="str">
            <v>Good</v>
          </cell>
          <cell r="AE1079" t="str">
            <v>V1 - Existing / No Claim</v>
          </cell>
          <cell r="AF1079">
            <v>42793</v>
          </cell>
          <cell r="AG1079">
            <v>9.17</v>
          </cell>
          <cell r="AH1079" t="str">
            <v>PPM</v>
          </cell>
          <cell r="AI1079" t="str">
            <v>Strands</v>
          </cell>
          <cell r="AJ1079" t="str">
            <v>Strands PW</v>
          </cell>
        </row>
        <row r="1080">
          <cell r="A1080" t="str">
            <v>IKN400661</v>
          </cell>
          <cell r="B1080">
            <v>661</v>
          </cell>
          <cell r="C1080" t="str">
            <v>Institut Kanser Negara</v>
          </cell>
          <cell r="D1080" t="str">
            <v>KKM/IKN/H/13/1609</v>
          </cell>
          <cell r="E1080" t="str">
            <v>17-950</v>
          </cell>
          <cell r="F1080" t="str">
            <v>Warming Units, Patient, Forced-Air</v>
          </cell>
          <cell r="G1080" t="str">
            <v>DO</v>
          </cell>
          <cell r="H1080" t="str">
            <v>DAY ONCOLOGY UNIT</v>
          </cell>
          <cell r="I1080" t="str">
            <v>04DO138</v>
          </cell>
          <cell r="J1080" t="str">
            <v>CHEMOTHERAPY BAY (4 BEDS)</v>
          </cell>
          <cell r="K1080" t="str">
            <v>BMED</v>
          </cell>
          <cell r="L1080" t="str">
            <v>Normal</v>
          </cell>
          <cell r="M1080" t="str">
            <v>USA</v>
          </cell>
          <cell r="N1080" t="str">
            <v>Bair Hugger</v>
          </cell>
          <cell r="O1080" t="str">
            <v>Bair Hugger 775</v>
          </cell>
          <cell r="P1080" t="str">
            <v>35943</v>
          </cell>
          <cell r="Q1080" t="str">
            <v>Not Applicable</v>
          </cell>
          <cell r="R1080" t="str">
            <v>Arizant Healthcare Inc</v>
          </cell>
          <cell r="S1080" t="str">
            <v>Calmed Healthcare Sdn Bhd</v>
          </cell>
          <cell r="T1080" t="str">
            <v>Functioning</v>
          </cell>
          <cell r="U1080" t="str">
            <v>Asset</v>
          </cell>
          <cell r="V1080">
            <v>15515</v>
          </cell>
          <cell r="W1080" t="str">
            <v>KEW</v>
          </cell>
          <cell r="X1080" t="str">
            <v>01/09/2010</v>
          </cell>
          <cell r="Y1080" t="str">
            <v>KEW</v>
          </cell>
          <cell r="Z1080" t="str">
            <v>16/08/2013</v>
          </cell>
          <cell r="AA1080" t="str">
            <v>15/08/2015</v>
          </cell>
          <cell r="AB1080" t="str">
            <v>No</v>
          </cell>
          <cell r="AC1080" t="str">
            <v>31/08/2013</v>
          </cell>
          <cell r="AD1080" t="str">
            <v>Good</v>
          </cell>
          <cell r="AE1080" t="str">
            <v>V1 - Existing / No Claim</v>
          </cell>
          <cell r="AF1080">
            <v>42793</v>
          </cell>
          <cell r="AG1080">
            <v>9.17</v>
          </cell>
          <cell r="AH1080" t="str">
            <v>PPM</v>
          </cell>
          <cell r="AI1080" t="str">
            <v>Strands</v>
          </cell>
          <cell r="AJ1080" t="str">
            <v>Strands PW</v>
          </cell>
        </row>
        <row r="1081">
          <cell r="A1081" t="str">
            <v>IKN400663</v>
          </cell>
          <cell r="B1081">
            <v>663</v>
          </cell>
          <cell r="C1081" t="str">
            <v>Institut Kanser Negara</v>
          </cell>
          <cell r="D1081" t="str">
            <v>KKM/IKN/H/13/378</v>
          </cell>
          <cell r="E1081" t="str">
            <v>16-173</v>
          </cell>
          <cell r="F1081" t="str">
            <v>Sphygmomanometers, Electronic, Automatic</v>
          </cell>
          <cell r="G1081" t="str">
            <v>DO</v>
          </cell>
          <cell r="H1081" t="str">
            <v>DAY ONCOLOGY UNIT</v>
          </cell>
          <cell r="I1081" t="str">
            <v>04DO138</v>
          </cell>
          <cell r="J1081" t="str">
            <v>CHEMOTHERAPY BAY (4 BEDS)</v>
          </cell>
          <cell r="K1081" t="str">
            <v>BMED</v>
          </cell>
          <cell r="L1081" t="str">
            <v>Critical</v>
          </cell>
          <cell r="M1081" t="str">
            <v>Mexico</v>
          </cell>
          <cell r="N1081" t="str">
            <v>Carespace</v>
          </cell>
          <cell r="O1081" t="str">
            <v>Carescape V100</v>
          </cell>
          <cell r="P1081" t="str">
            <v>SH612430154SA</v>
          </cell>
          <cell r="Q1081" t="str">
            <v>Not Applicable</v>
          </cell>
          <cell r="R1081" t="str">
            <v>GE Healthcare Systems</v>
          </cell>
          <cell r="S1081" t="str">
            <v>GE Healthcare Technologies</v>
          </cell>
          <cell r="T1081" t="str">
            <v>Functioning</v>
          </cell>
          <cell r="U1081" t="str">
            <v>Asset</v>
          </cell>
          <cell r="V1081">
            <v>7770</v>
          </cell>
          <cell r="W1081" t="str">
            <v>KEW</v>
          </cell>
          <cell r="X1081" t="str">
            <v>01/09/2010</v>
          </cell>
          <cell r="Y1081" t="str">
            <v>KEW</v>
          </cell>
          <cell r="Z1081" t="str">
            <v>16/08/2013</v>
          </cell>
          <cell r="AA1081" t="str">
            <v>15/08/2015</v>
          </cell>
          <cell r="AB1081" t="str">
            <v>No</v>
          </cell>
          <cell r="AC1081" t="str">
            <v>31/08/2013</v>
          </cell>
          <cell r="AD1081" t="str">
            <v>Good</v>
          </cell>
          <cell r="AE1081" t="str">
            <v>V1 - Existing / No Claim</v>
          </cell>
          <cell r="AF1081">
            <v>42793</v>
          </cell>
          <cell r="AG1081">
            <v>9.17</v>
          </cell>
          <cell r="AH1081" t="str">
            <v>PPM</v>
          </cell>
          <cell r="AI1081" t="str">
            <v>Strands</v>
          </cell>
          <cell r="AJ1081" t="str">
            <v>Strands PW</v>
          </cell>
        </row>
        <row r="1082">
          <cell r="A1082" t="str">
            <v>IKN400664</v>
          </cell>
          <cell r="B1082">
            <v>664</v>
          </cell>
          <cell r="C1082" t="str">
            <v>Institut Kanser Negara</v>
          </cell>
          <cell r="D1082" t="str">
            <v>KKM/IKN/H/14/119</v>
          </cell>
          <cell r="E1082" t="str">
            <v>13-217</v>
          </cell>
          <cell r="F1082" t="str">
            <v>Infusion Pumps, Syringe</v>
          </cell>
          <cell r="G1082" t="str">
            <v>NM</v>
          </cell>
          <cell r="H1082" t="str">
            <v>NUCLEAR MED (DIAGNOSTIC)</v>
          </cell>
          <cell r="I1082" t="str">
            <v>03NM155</v>
          </cell>
          <cell r="J1082" t="str">
            <v>STRESS LAB</v>
          </cell>
          <cell r="K1082" t="str">
            <v>BMED</v>
          </cell>
          <cell r="L1082" t="str">
            <v>Critical</v>
          </cell>
          <cell r="M1082" t="str">
            <v>Germany</v>
          </cell>
          <cell r="N1082" t="str">
            <v>Perfusor</v>
          </cell>
          <cell r="O1082" t="str">
            <v>Perfusor Space</v>
          </cell>
          <cell r="P1082" t="str">
            <v>268312</v>
          </cell>
          <cell r="Q1082" t="str">
            <v>Not Applicable</v>
          </cell>
          <cell r="R1082" t="str">
            <v>B Braun Melsungen AG</v>
          </cell>
          <cell r="S1082" t="str">
            <v>Pharmaserv Alliances Sdn. Bhd.</v>
          </cell>
          <cell r="T1082" t="str">
            <v>Functioning</v>
          </cell>
          <cell r="U1082" t="str">
            <v>Asset</v>
          </cell>
          <cell r="V1082">
            <v>5800</v>
          </cell>
          <cell r="W1082" t="str">
            <v>KEW</v>
          </cell>
          <cell r="X1082" t="str">
            <v>07/11/2014</v>
          </cell>
          <cell r="Y1082" t="str">
            <v>KEW</v>
          </cell>
          <cell r="Z1082" t="str">
            <v>16/12/2014</v>
          </cell>
          <cell r="AA1082" t="str">
            <v>15/12/2016</v>
          </cell>
          <cell r="AB1082" t="str">
            <v>No</v>
          </cell>
          <cell r="AC1082" t="str">
            <v>16/12/2014</v>
          </cell>
          <cell r="AD1082" t="str">
            <v>Good</v>
          </cell>
          <cell r="AE1082" t="str">
            <v>V3 - Added Installed Facilities (New)</v>
          </cell>
          <cell r="AF1082">
            <v>43078</v>
          </cell>
          <cell r="AG1082">
            <v>5</v>
          </cell>
          <cell r="AH1082" t="str">
            <v>PPM</v>
          </cell>
          <cell r="AI1082" t="str">
            <v>Strands</v>
          </cell>
          <cell r="AJ1082" t="str">
            <v>Strands PW</v>
          </cell>
          <cell r="AK1082" t="str">
            <v>SNF received. 1st batch of V3 asset (December 2020)</v>
          </cell>
        </row>
        <row r="1083">
          <cell r="A1083" t="str">
            <v>IKN400665</v>
          </cell>
          <cell r="B1083">
            <v>665</v>
          </cell>
          <cell r="C1083" t="str">
            <v>Institut Kanser Negara</v>
          </cell>
          <cell r="D1083" t="str">
            <v>KKM/IKN/H/14/94</v>
          </cell>
          <cell r="E1083" t="str">
            <v>15-178</v>
          </cell>
          <cell r="F1083" t="str">
            <v>Shakers, Laboratory</v>
          </cell>
          <cell r="G1083" t="str">
            <v>LA</v>
          </cell>
          <cell r="H1083" t="str">
            <v>PATHOLOGY</v>
          </cell>
          <cell r="I1083" t="str">
            <v>04LA130</v>
          </cell>
          <cell r="J1083" t="str">
            <v>SEROLOGY</v>
          </cell>
          <cell r="K1083" t="str">
            <v>BMED</v>
          </cell>
          <cell r="L1083" t="str">
            <v>Normal</v>
          </cell>
          <cell r="M1083" t="str">
            <v>USA</v>
          </cell>
          <cell r="N1083" t="str">
            <v>Latvia</v>
          </cell>
          <cell r="O1083" t="str">
            <v>Latvia OS-20</v>
          </cell>
          <cell r="P1083" t="str">
            <v>01010814090248</v>
          </cell>
          <cell r="Q1083" t="str">
            <v>Not Applicable</v>
          </cell>
          <cell r="R1083" t="str">
            <v>Biosan</v>
          </cell>
          <cell r="S1083" t="str">
            <v>Bumi Sains Sdn. Bhd.</v>
          </cell>
          <cell r="T1083" t="str">
            <v>Functioning</v>
          </cell>
          <cell r="U1083" t="str">
            <v>Asset</v>
          </cell>
          <cell r="V1083">
            <v>2700</v>
          </cell>
          <cell r="W1083" t="str">
            <v>KEW</v>
          </cell>
          <cell r="X1083" t="str">
            <v>25/09/2014</v>
          </cell>
          <cell r="Y1083" t="str">
            <v>KEW</v>
          </cell>
          <cell r="Z1083" t="str">
            <v>20/11/2014</v>
          </cell>
          <cell r="AA1083" t="str">
            <v>19/11/2015</v>
          </cell>
          <cell r="AB1083" t="str">
            <v>No</v>
          </cell>
          <cell r="AC1083" t="str">
            <v>20/11/2014</v>
          </cell>
          <cell r="AD1083" t="str">
            <v>Good</v>
          </cell>
          <cell r="AE1083" t="str">
            <v>V3 - Added Installed Facilities (New)</v>
          </cell>
          <cell r="AF1083">
            <v>42677</v>
          </cell>
          <cell r="AG1083">
            <v>5.17</v>
          </cell>
          <cell r="AH1083" t="str">
            <v>PPM</v>
          </cell>
          <cell r="AI1083" t="str">
            <v>Strands</v>
          </cell>
          <cell r="AJ1083" t="str">
            <v>Strands PW</v>
          </cell>
          <cell r="AK1083" t="str">
            <v>SNF received. 1st batch of V3 asset (December 2020)</v>
          </cell>
        </row>
        <row r="1084">
          <cell r="A1084" t="str">
            <v>IKN400666</v>
          </cell>
          <cell r="B1084">
            <v>666</v>
          </cell>
          <cell r="C1084" t="str">
            <v>Institut Kanser Negara</v>
          </cell>
          <cell r="D1084" t="str">
            <v>KKM/IKN/H/13/3747</v>
          </cell>
          <cell r="E1084" t="str">
            <v>25-209</v>
          </cell>
          <cell r="F1084" t="str">
            <v>Monitors, Physiologic, Vital Signs</v>
          </cell>
          <cell r="G1084" t="str">
            <v>DO</v>
          </cell>
          <cell r="H1084" t="str">
            <v>DAY ONCOLOGY UNIT</v>
          </cell>
          <cell r="I1084" t="str">
            <v>04DO138</v>
          </cell>
          <cell r="J1084" t="str">
            <v>CHEMOTHERAPY BAY (4 BEDS)</v>
          </cell>
          <cell r="K1084" t="str">
            <v>BMED</v>
          </cell>
          <cell r="L1084" t="str">
            <v>Critical</v>
          </cell>
          <cell r="M1084" t="str">
            <v>Mexico</v>
          </cell>
          <cell r="N1084" t="str">
            <v>Carespace</v>
          </cell>
          <cell r="O1084" t="str">
            <v>Carescape V100</v>
          </cell>
          <cell r="P1084" t="str">
            <v>SH613280312SA</v>
          </cell>
          <cell r="Q1084" t="str">
            <v>Not Applicable</v>
          </cell>
          <cell r="R1084" t="str">
            <v>GE Healthcare Systems</v>
          </cell>
          <cell r="S1084" t="str">
            <v>GE Healthcare Technologies</v>
          </cell>
          <cell r="T1084" t="str">
            <v>Functioning</v>
          </cell>
          <cell r="U1084" t="str">
            <v>Asset</v>
          </cell>
          <cell r="V1084">
            <v>18765</v>
          </cell>
          <cell r="W1084" t="str">
            <v>KEW</v>
          </cell>
          <cell r="X1084" t="str">
            <v>01/09/2010</v>
          </cell>
          <cell r="Y1084" t="str">
            <v>KEW</v>
          </cell>
          <cell r="Z1084" t="str">
            <v>16/08/2013</v>
          </cell>
          <cell r="AA1084" t="str">
            <v>15/08/2015</v>
          </cell>
          <cell r="AB1084" t="str">
            <v>No</v>
          </cell>
          <cell r="AC1084" t="str">
            <v>31/08/2013</v>
          </cell>
          <cell r="AD1084" t="str">
            <v>Good</v>
          </cell>
          <cell r="AE1084" t="str">
            <v>V1 - Existing / No Claim</v>
          </cell>
          <cell r="AF1084">
            <v>42793</v>
          </cell>
          <cell r="AG1084">
            <v>9.17</v>
          </cell>
          <cell r="AH1084" t="str">
            <v>PPM</v>
          </cell>
          <cell r="AI1084" t="str">
            <v>Strands</v>
          </cell>
          <cell r="AJ1084" t="str">
            <v>Strands PW</v>
          </cell>
        </row>
        <row r="1085">
          <cell r="A1085" t="str">
            <v>IKN400667</v>
          </cell>
          <cell r="B1085">
            <v>667</v>
          </cell>
          <cell r="C1085" t="str">
            <v>Institut Kanser Negara</v>
          </cell>
          <cell r="D1085" t="str">
            <v>KKM/IKN/H/13/3452</v>
          </cell>
          <cell r="E1085" t="str">
            <v>13-763</v>
          </cell>
          <cell r="F1085" t="str">
            <v>Stimulators, Electrical, Peripheral Nerve, Acupuncture</v>
          </cell>
          <cell r="G1085" t="str">
            <v>TC</v>
          </cell>
          <cell r="H1085" t="str">
            <v>TRADITIONAL COMPLEMENTARY MEDICINE</v>
          </cell>
          <cell r="I1085" t="str">
            <v>04TC108</v>
          </cell>
          <cell r="J1085" t="str">
            <v>TREATMENT 3 (MOXISBUSTION</v>
          </cell>
          <cell r="K1085" t="str">
            <v>BMED</v>
          </cell>
          <cell r="L1085" t="str">
            <v>Normal</v>
          </cell>
          <cell r="M1085" t="str">
            <v>China</v>
          </cell>
          <cell r="N1085" t="str">
            <v>Shantou</v>
          </cell>
          <cell r="O1085" t="str">
            <v>Shantou Itpg-6805-D</v>
          </cell>
          <cell r="P1085" t="str">
            <v>AD1007071</v>
          </cell>
          <cell r="Q1085" t="str">
            <v>Not Applicable</v>
          </cell>
          <cell r="R1085" t="str">
            <v>Shantou Medical</v>
          </cell>
          <cell r="S1085" t="str">
            <v>ITP Academy Malaysia</v>
          </cell>
          <cell r="T1085" t="str">
            <v>Functioning</v>
          </cell>
          <cell r="U1085" t="str">
            <v>Asset</v>
          </cell>
          <cell r="V1085">
            <v>10725</v>
          </cell>
          <cell r="W1085" t="str">
            <v>KEW</v>
          </cell>
          <cell r="X1085" t="str">
            <v>01/09/2010</v>
          </cell>
          <cell r="Y1085" t="str">
            <v>KEW</v>
          </cell>
          <cell r="Z1085" t="str">
            <v>16/08/2013</v>
          </cell>
          <cell r="AA1085" t="str">
            <v>15/08/2015</v>
          </cell>
          <cell r="AB1085" t="str">
            <v>No</v>
          </cell>
          <cell r="AC1085" t="str">
            <v>31/08/2013</v>
          </cell>
          <cell r="AD1085" t="str">
            <v>Good</v>
          </cell>
          <cell r="AE1085" t="str">
            <v>V1 - Existing / No Claim</v>
          </cell>
          <cell r="AF1085">
            <v>42794</v>
          </cell>
          <cell r="AG1085">
            <v>9.17</v>
          </cell>
          <cell r="AH1085" t="str">
            <v>PPM</v>
          </cell>
          <cell r="AI1085" t="str">
            <v>Strands</v>
          </cell>
          <cell r="AJ1085" t="str">
            <v>Strands PW</v>
          </cell>
        </row>
        <row r="1086">
          <cell r="A1086" t="str">
            <v>IKN400670</v>
          </cell>
          <cell r="B1086">
            <v>670</v>
          </cell>
          <cell r="C1086" t="str">
            <v>Institut Kanser Negara</v>
          </cell>
          <cell r="D1086" t="str">
            <v>KKM/IKN/H/13/3455</v>
          </cell>
          <cell r="E1086" t="str">
            <v>13-763</v>
          </cell>
          <cell r="F1086" t="str">
            <v>Stimulators, Electrical, Peripheral Nerve, Acupuncture</v>
          </cell>
          <cell r="G1086" t="str">
            <v>TC</v>
          </cell>
          <cell r="H1086" t="str">
            <v>TRADITIONAL COMPLEMENTARY MEDICINE</v>
          </cell>
          <cell r="I1086" t="str">
            <v>04TC129</v>
          </cell>
          <cell r="J1086" t="str">
            <v>TREATMENT 2 (ACCUPUNCTURE)</v>
          </cell>
          <cell r="K1086" t="str">
            <v>BMED</v>
          </cell>
          <cell r="L1086" t="str">
            <v>Normal</v>
          </cell>
          <cell r="M1086" t="str">
            <v>China</v>
          </cell>
          <cell r="N1086" t="str">
            <v>Shantou</v>
          </cell>
          <cell r="O1086" t="str">
            <v>Shantou Itpg-6805-D</v>
          </cell>
          <cell r="P1086" t="str">
            <v>AD1206095</v>
          </cell>
          <cell r="Q1086" t="str">
            <v>Not Applicable</v>
          </cell>
          <cell r="R1086" t="str">
            <v>Shantou Medical</v>
          </cell>
          <cell r="S1086" t="str">
            <v>ITP Academy Malaysia</v>
          </cell>
          <cell r="T1086" t="str">
            <v>Functioning</v>
          </cell>
          <cell r="U1086" t="str">
            <v>Asset</v>
          </cell>
          <cell r="V1086">
            <v>10725</v>
          </cell>
          <cell r="W1086" t="str">
            <v>KEW</v>
          </cell>
          <cell r="X1086" t="str">
            <v>01/09/2010</v>
          </cell>
          <cell r="Y1086" t="str">
            <v>KEW</v>
          </cell>
          <cell r="Z1086" t="str">
            <v>16/08/2013</v>
          </cell>
          <cell r="AA1086" t="str">
            <v>15/08/2015</v>
          </cell>
          <cell r="AB1086" t="str">
            <v>No</v>
          </cell>
          <cell r="AC1086" t="str">
            <v>31/08/2013</v>
          </cell>
          <cell r="AD1086" t="str">
            <v>Good</v>
          </cell>
          <cell r="AE1086" t="str">
            <v>V1 - Existing / No Claim</v>
          </cell>
          <cell r="AF1086">
            <v>42235</v>
          </cell>
          <cell r="AG1086">
            <v>9.17</v>
          </cell>
          <cell r="AH1086" t="str">
            <v>PPM</v>
          </cell>
          <cell r="AI1086" t="str">
            <v>Strands</v>
          </cell>
          <cell r="AJ1086" t="str">
            <v>Strands PW</v>
          </cell>
        </row>
        <row r="1087">
          <cell r="A1087" t="str">
            <v>IKN400671</v>
          </cell>
          <cell r="B1087">
            <v>671</v>
          </cell>
          <cell r="C1087" t="str">
            <v>Institut Kanser Negara</v>
          </cell>
          <cell r="D1087" t="str">
            <v>KKM/IKN/H/13/3456</v>
          </cell>
          <cell r="E1087" t="str">
            <v>13-763</v>
          </cell>
          <cell r="F1087" t="str">
            <v>Stimulators, Electrical, Peripheral Nerve, Acupuncture</v>
          </cell>
          <cell r="G1087" t="str">
            <v>TC</v>
          </cell>
          <cell r="H1087" t="str">
            <v>TRADITIONAL COMPLEMENTARY MEDICINE</v>
          </cell>
          <cell r="I1087" t="str">
            <v>04TC129</v>
          </cell>
          <cell r="J1087" t="str">
            <v>TREATMENT 2 (ACCUPUNCTURE)</v>
          </cell>
          <cell r="K1087" t="str">
            <v>BMED</v>
          </cell>
          <cell r="L1087" t="str">
            <v>Normal</v>
          </cell>
          <cell r="M1087" t="str">
            <v>China</v>
          </cell>
          <cell r="N1087" t="str">
            <v>Shantou</v>
          </cell>
          <cell r="O1087" t="str">
            <v>Shantou Itpg-6805-D</v>
          </cell>
          <cell r="P1087" t="str">
            <v>AD1206112</v>
          </cell>
          <cell r="Q1087" t="str">
            <v>Not Applicable</v>
          </cell>
          <cell r="R1087" t="str">
            <v>Shantou Medical</v>
          </cell>
          <cell r="S1087" t="str">
            <v>ITP Academy Malaysia</v>
          </cell>
          <cell r="T1087" t="str">
            <v>Functioning</v>
          </cell>
          <cell r="U1087" t="str">
            <v>Asset</v>
          </cell>
          <cell r="V1087">
            <v>10725</v>
          </cell>
          <cell r="W1087" t="str">
            <v>KEW</v>
          </cell>
          <cell r="X1087" t="str">
            <v>01/09/2010</v>
          </cell>
          <cell r="Y1087" t="str">
            <v>KEW</v>
          </cell>
          <cell r="Z1087" t="str">
            <v>16/08/2013</v>
          </cell>
          <cell r="AA1087" t="str">
            <v>15/08/2015</v>
          </cell>
          <cell r="AB1087" t="str">
            <v>No</v>
          </cell>
          <cell r="AC1087" t="str">
            <v>31/08/2013</v>
          </cell>
          <cell r="AD1087" t="str">
            <v>Good</v>
          </cell>
          <cell r="AE1087" t="str">
            <v>V1 - Existing / No Claim</v>
          </cell>
          <cell r="AF1087">
            <v>42794</v>
          </cell>
          <cell r="AG1087">
            <v>9.17</v>
          </cell>
          <cell r="AH1087" t="str">
            <v>PPM</v>
          </cell>
          <cell r="AI1087" t="str">
            <v>Strands</v>
          </cell>
          <cell r="AJ1087" t="str">
            <v>Strands PW</v>
          </cell>
        </row>
        <row r="1088">
          <cell r="A1088" t="str">
            <v>IKN400674</v>
          </cell>
          <cell r="B1088">
            <v>674</v>
          </cell>
          <cell r="C1088" t="str">
            <v>Institut Kanser Negara</v>
          </cell>
          <cell r="D1088" t="str">
            <v>KKM/IKN/H/13/1203</v>
          </cell>
          <cell r="E1088" t="str">
            <v>12-278</v>
          </cell>
          <cell r="F1088" t="str">
            <v>Lights, Infrared</v>
          </cell>
          <cell r="G1088" t="str">
            <v>TC</v>
          </cell>
          <cell r="H1088" t="str">
            <v>TRADITIONAL COMPLEMENTARY MEDICINE</v>
          </cell>
          <cell r="I1088" t="str">
            <v>04TC127</v>
          </cell>
          <cell r="J1088" t="str">
            <v>C/E</v>
          </cell>
          <cell r="K1088" t="str">
            <v>BMED</v>
          </cell>
          <cell r="L1088" t="str">
            <v>Normal</v>
          </cell>
          <cell r="M1088" t="str">
            <v>China</v>
          </cell>
          <cell r="N1088" t="str">
            <v>Chongqing</v>
          </cell>
          <cell r="O1088" t="str">
            <v>Chongqing Itp-Xf29-Tdp</v>
          </cell>
          <cell r="P1088" t="str">
            <v>12110067</v>
          </cell>
          <cell r="Q1088" t="str">
            <v>Not Applicable</v>
          </cell>
          <cell r="R1088" t="str">
            <v>Chongqing Xinfeng Me</v>
          </cell>
          <cell r="S1088" t="str">
            <v>ITP Academy Malaysia</v>
          </cell>
          <cell r="T1088" t="str">
            <v>Functioning</v>
          </cell>
          <cell r="U1088" t="str">
            <v>Asset</v>
          </cell>
          <cell r="V1088">
            <v>7050</v>
          </cell>
          <cell r="W1088" t="str">
            <v>KEW</v>
          </cell>
          <cell r="X1088" t="str">
            <v>01/09/2010</v>
          </cell>
          <cell r="Y1088" t="str">
            <v>KEW</v>
          </cell>
          <cell r="Z1088" t="str">
            <v>16/08/2013</v>
          </cell>
          <cell r="AA1088" t="str">
            <v>15/08/2015</v>
          </cell>
          <cell r="AB1088" t="str">
            <v>No</v>
          </cell>
          <cell r="AC1088" t="str">
            <v>31/08/2013</v>
          </cell>
          <cell r="AD1088" t="str">
            <v>Good</v>
          </cell>
          <cell r="AE1088" t="str">
            <v>V1 - Existing / No Claim</v>
          </cell>
          <cell r="AF1088">
            <v>42235</v>
          </cell>
          <cell r="AG1088">
            <v>9.17</v>
          </cell>
          <cell r="AH1088" t="str">
            <v>PPM</v>
          </cell>
          <cell r="AI1088" t="str">
            <v>Strands</v>
          </cell>
          <cell r="AJ1088" t="str">
            <v>Strands PW</v>
          </cell>
          <cell r="AK1088" t="str">
            <v>[INDIRA, 17/10/2023]: Update KKM No. [27/12/2023, SHARIFAH]: PEP ON 22/12/2023, BER/BEMS/IKN/23/025 - Komponen aset telah longgar, mineral plat berkarat, namun masih boleh digunakan dan hendaklah diselenggarakan sehingga dilupuskan.</v>
          </cell>
        </row>
        <row r="1089">
          <cell r="A1089" t="str">
            <v>IKN400677</v>
          </cell>
          <cell r="B1089">
            <v>677</v>
          </cell>
          <cell r="C1089" t="str">
            <v>Institut Kanser Negara</v>
          </cell>
          <cell r="D1089" t="str">
            <v>KKM/IKN/H/13/1206</v>
          </cell>
          <cell r="E1089" t="str">
            <v>12-278</v>
          </cell>
          <cell r="F1089" t="str">
            <v>Lights, Infrared</v>
          </cell>
          <cell r="G1089" t="str">
            <v>TC</v>
          </cell>
          <cell r="H1089" t="str">
            <v>TRADITIONAL COMPLEMENTARY MEDICINE</v>
          </cell>
          <cell r="I1089" t="str">
            <v>04TC129</v>
          </cell>
          <cell r="J1089" t="str">
            <v>TREATMENT 2 (ACCUPUNCTURE)</v>
          </cell>
          <cell r="K1089" t="str">
            <v>BMED</v>
          </cell>
          <cell r="L1089" t="str">
            <v>Normal</v>
          </cell>
          <cell r="M1089" t="str">
            <v>China</v>
          </cell>
          <cell r="N1089" t="str">
            <v>Chongqing</v>
          </cell>
          <cell r="O1089" t="str">
            <v>Chongqing Itp-Xf29-Tdp</v>
          </cell>
          <cell r="P1089" t="str">
            <v>12050603</v>
          </cell>
          <cell r="Q1089" t="str">
            <v>Not Applicable</v>
          </cell>
          <cell r="R1089" t="str">
            <v>Chongqing Xinfeng Me</v>
          </cell>
          <cell r="S1089" t="str">
            <v>ITP Academy Malaysia</v>
          </cell>
          <cell r="T1089" t="str">
            <v>Functioning</v>
          </cell>
          <cell r="U1089" t="str">
            <v>Asset</v>
          </cell>
          <cell r="V1089">
            <v>7050</v>
          </cell>
          <cell r="W1089" t="str">
            <v>KEW</v>
          </cell>
          <cell r="X1089" t="str">
            <v>01/09/2010</v>
          </cell>
          <cell r="Y1089" t="str">
            <v>KEW</v>
          </cell>
          <cell r="Z1089" t="str">
            <v>16/08/2013</v>
          </cell>
          <cell r="AA1089" t="str">
            <v>15/08/2015</v>
          </cell>
          <cell r="AB1089" t="str">
            <v>No</v>
          </cell>
          <cell r="AC1089" t="str">
            <v>31/08/2013</v>
          </cell>
          <cell r="AD1089" t="str">
            <v>Good</v>
          </cell>
          <cell r="AE1089" t="str">
            <v>V1 - Existing / No Claim</v>
          </cell>
          <cell r="AF1089">
            <v>42235</v>
          </cell>
          <cell r="AG1089">
            <v>9.17</v>
          </cell>
          <cell r="AH1089" t="str">
            <v>PPM</v>
          </cell>
          <cell r="AI1089" t="str">
            <v>Strands</v>
          </cell>
          <cell r="AJ1089" t="str">
            <v>Strands PW</v>
          </cell>
          <cell r="AK1089" t="str">
            <v>[INDIRA, 17/10/2023]: Update KKM No. [27/12/2023, SHARIFAH]: PEP ON 22/12/2023, BER/BEMS/IKN/23/027 - Komponen aset telah longgar, mineral plat berkarat, namun masih boleh digunakan dan hendaklah diselenggarakan sehingga dilupuskan.</v>
          </cell>
        </row>
        <row r="1090">
          <cell r="A1090" t="str">
            <v>IKN400678</v>
          </cell>
          <cell r="B1090">
            <v>678</v>
          </cell>
          <cell r="C1090" t="str">
            <v>Institut Kanser Negara</v>
          </cell>
          <cell r="D1090" t="str">
            <v>KKM/IKN/H/13/1251</v>
          </cell>
          <cell r="E1090" t="str">
            <v>10-208</v>
          </cell>
          <cell r="F1090" t="str">
            <v>Aspirators</v>
          </cell>
          <cell r="G1090" t="str">
            <v>TC</v>
          </cell>
          <cell r="H1090" t="str">
            <v>TRADITIONAL COMPLEMENTARY MEDICINE</v>
          </cell>
          <cell r="I1090" t="str">
            <v>04TC119</v>
          </cell>
          <cell r="J1090" t="str">
            <v>GEN.STORE</v>
          </cell>
          <cell r="K1090" t="str">
            <v>BMED</v>
          </cell>
          <cell r="L1090" t="str">
            <v>Normal</v>
          </cell>
          <cell r="M1090" t="str">
            <v>Switzerland</v>
          </cell>
          <cell r="N1090" t="str">
            <v>Senator</v>
          </cell>
          <cell r="O1090" t="str">
            <v>Senator</v>
          </cell>
          <cell r="P1090" t="str">
            <v>1220745</v>
          </cell>
          <cell r="Q1090" t="str">
            <v>Not Applicable</v>
          </cell>
          <cell r="R1090" t="str">
            <v>Ardo Medical AG</v>
          </cell>
          <cell r="S1090" t="str">
            <v>Histopoint</v>
          </cell>
          <cell r="T1090" t="str">
            <v>Functioning</v>
          </cell>
          <cell r="U1090" t="str">
            <v>Asset</v>
          </cell>
          <cell r="V1090">
            <v>5052</v>
          </cell>
          <cell r="W1090" t="str">
            <v>KEW</v>
          </cell>
          <cell r="X1090" t="str">
            <v>01/09/2010</v>
          </cell>
          <cell r="Y1090" t="str">
            <v>KEW</v>
          </cell>
          <cell r="Z1090" t="str">
            <v>16/08/2013</v>
          </cell>
          <cell r="AA1090" t="str">
            <v>15/08/2015</v>
          </cell>
          <cell r="AB1090" t="str">
            <v>No</v>
          </cell>
          <cell r="AC1090" t="str">
            <v>31/08/2013</v>
          </cell>
          <cell r="AD1090" t="str">
            <v>Good</v>
          </cell>
          <cell r="AE1090" t="str">
            <v>V1 - Existing / No Claim</v>
          </cell>
          <cell r="AF1090">
            <v>42235</v>
          </cell>
          <cell r="AG1090">
            <v>9.17</v>
          </cell>
          <cell r="AH1090" t="str">
            <v>PPM</v>
          </cell>
          <cell r="AI1090" t="str">
            <v>Strands</v>
          </cell>
          <cell r="AJ1090" t="str">
            <v>Strands PW</v>
          </cell>
        </row>
        <row r="1091">
          <cell r="A1091" t="str">
            <v>IKN400679</v>
          </cell>
          <cell r="B1091">
            <v>679</v>
          </cell>
          <cell r="C1091" t="str">
            <v>Institut Kanser Negara</v>
          </cell>
          <cell r="D1091" t="str">
            <v>KKM/IKN/H/13/1247</v>
          </cell>
          <cell r="E1091" t="str">
            <v>16-173</v>
          </cell>
          <cell r="F1091" t="str">
            <v>Sphygmomanometers, Electronic, Automatic</v>
          </cell>
          <cell r="G1091" t="str">
            <v>TC</v>
          </cell>
          <cell r="H1091" t="str">
            <v>TRADITIONAL COMPLEMENTARY MEDICINE</v>
          </cell>
          <cell r="I1091" t="str">
            <v>04TC125</v>
          </cell>
          <cell r="J1091" t="str">
            <v>ASSESSMENT</v>
          </cell>
          <cell r="K1091" t="str">
            <v>BMED</v>
          </cell>
          <cell r="L1091" t="str">
            <v>Critical</v>
          </cell>
          <cell r="M1091" t="str">
            <v>Mexico</v>
          </cell>
          <cell r="N1091" t="str">
            <v>Carespace</v>
          </cell>
          <cell r="O1091" t="str">
            <v>Carescape V100</v>
          </cell>
          <cell r="P1091" t="str">
            <v>SH612430119SA</v>
          </cell>
          <cell r="Q1091" t="str">
            <v>Not Applicable</v>
          </cell>
          <cell r="R1091" t="str">
            <v>GE Healthcare Systems</v>
          </cell>
          <cell r="S1091" t="str">
            <v>GE Healthcare Technologies</v>
          </cell>
          <cell r="T1091" t="str">
            <v>Functioning</v>
          </cell>
          <cell r="U1091" t="str">
            <v>Asset</v>
          </cell>
          <cell r="V1091">
            <v>7770</v>
          </cell>
          <cell r="W1091" t="str">
            <v>KEW</v>
          </cell>
          <cell r="X1091" t="str">
            <v>01/09/2010</v>
          </cell>
          <cell r="Y1091" t="str">
            <v>KEW</v>
          </cell>
          <cell r="Z1091" t="str">
            <v>16/08/2013</v>
          </cell>
          <cell r="AA1091" t="str">
            <v>15/08/2015</v>
          </cell>
          <cell r="AB1091" t="str">
            <v>No</v>
          </cell>
          <cell r="AC1091" t="str">
            <v>31/08/2013</v>
          </cell>
          <cell r="AD1091" t="str">
            <v>Good</v>
          </cell>
          <cell r="AE1091" t="str">
            <v>V1 - Existing / No Claim</v>
          </cell>
          <cell r="AF1091">
            <v>42794</v>
          </cell>
          <cell r="AG1091">
            <v>9.17</v>
          </cell>
          <cell r="AH1091" t="str">
            <v>PPM</v>
          </cell>
          <cell r="AI1091" t="str">
            <v>Strands</v>
          </cell>
          <cell r="AJ1091" t="str">
            <v>Strands PW</v>
          </cell>
        </row>
        <row r="1092">
          <cell r="A1092" t="str">
            <v>IKN400680</v>
          </cell>
          <cell r="B1092">
            <v>680</v>
          </cell>
          <cell r="C1092" t="str">
            <v>Institut Kanser Negara</v>
          </cell>
          <cell r="D1092" t="str">
            <v>KKM/IKN/I/13/867</v>
          </cell>
          <cell r="E1092" t="str">
            <v>16-173</v>
          </cell>
          <cell r="F1092" t="str">
            <v>Sphygmomanometers, Electronic, Automatic</v>
          </cell>
          <cell r="G1092" t="str">
            <v>TC</v>
          </cell>
          <cell r="H1092" t="str">
            <v>TRADITIONAL COMPLEMENTARY MEDICINE</v>
          </cell>
          <cell r="I1092" t="str">
            <v>04TC109</v>
          </cell>
          <cell r="J1092" t="str">
            <v>C/E 1 (HERBAL ONCOLOGY</v>
          </cell>
          <cell r="K1092" t="str">
            <v>BMED</v>
          </cell>
          <cell r="L1092" t="str">
            <v>Critical</v>
          </cell>
          <cell r="M1092" t="str">
            <v>USA</v>
          </cell>
          <cell r="N1092" t="str">
            <v>Connex</v>
          </cell>
          <cell r="O1092" t="str">
            <v>Connex ProBP 3400</v>
          </cell>
          <cell r="P1092" t="str">
            <v>100001470413</v>
          </cell>
          <cell r="Q1092" t="str">
            <v>Not Applicable</v>
          </cell>
          <cell r="R1092" t="str">
            <v>Welch Allyn Inc</v>
          </cell>
          <cell r="S1092" t="str">
            <v>Welch Allyn Malaysia Sdn Bhd</v>
          </cell>
          <cell r="T1092" t="str">
            <v>Functioning</v>
          </cell>
          <cell r="U1092" t="str">
            <v>Asset</v>
          </cell>
          <cell r="V1092">
            <v>336</v>
          </cell>
          <cell r="W1092" t="str">
            <v>KEW</v>
          </cell>
          <cell r="X1092" t="str">
            <v>01/09/2010</v>
          </cell>
          <cell r="Y1092" t="str">
            <v>KEW</v>
          </cell>
          <cell r="Z1092" t="str">
            <v>16/08/2013</v>
          </cell>
          <cell r="AA1092" t="str">
            <v>15/08/2015</v>
          </cell>
          <cell r="AB1092" t="str">
            <v>No</v>
          </cell>
          <cell r="AC1092" t="str">
            <v>31/08/2013</v>
          </cell>
          <cell r="AD1092" t="str">
            <v>Good</v>
          </cell>
          <cell r="AE1092" t="str">
            <v>V1 - Existing / No Claim</v>
          </cell>
          <cell r="AF1092">
            <v>42794</v>
          </cell>
          <cell r="AG1092">
            <v>9.17</v>
          </cell>
          <cell r="AH1092" t="str">
            <v>PPM</v>
          </cell>
          <cell r="AI1092" t="str">
            <v>Strands</v>
          </cell>
          <cell r="AJ1092" t="str">
            <v>Strands PW</v>
          </cell>
        </row>
        <row r="1093">
          <cell r="A1093" t="str">
            <v>IKN400681</v>
          </cell>
          <cell r="B1093">
            <v>681</v>
          </cell>
          <cell r="C1093" t="str">
            <v>Institut Kanser Negara</v>
          </cell>
          <cell r="D1093" t="str">
            <v>KKM/IKN/I/13/868</v>
          </cell>
          <cell r="E1093" t="str">
            <v>16-173</v>
          </cell>
          <cell r="F1093" t="str">
            <v>Sphygmomanometers, Electronic, Automatic</v>
          </cell>
          <cell r="G1093" t="str">
            <v>TC</v>
          </cell>
          <cell r="H1093" t="str">
            <v>TRADITIONAL COMPLEMENTARY MEDICINE</v>
          </cell>
          <cell r="I1093" t="str">
            <v>04TC127</v>
          </cell>
          <cell r="J1093" t="str">
            <v>C/E</v>
          </cell>
          <cell r="K1093" t="str">
            <v>BMED</v>
          </cell>
          <cell r="L1093" t="str">
            <v>Critical</v>
          </cell>
          <cell r="M1093" t="str">
            <v>USA</v>
          </cell>
          <cell r="N1093" t="str">
            <v>Connex</v>
          </cell>
          <cell r="O1093" t="str">
            <v>Connex ProBP 3400</v>
          </cell>
          <cell r="P1093" t="str">
            <v>100004891213</v>
          </cell>
          <cell r="Q1093" t="str">
            <v>Not Applicable</v>
          </cell>
          <cell r="R1093" t="str">
            <v>Welch Allyn Inc</v>
          </cell>
          <cell r="S1093" t="str">
            <v>Welch Allyn Malaysia Sdn Bhd</v>
          </cell>
          <cell r="T1093" t="str">
            <v>Functioning</v>
          </cell>
          <cell r="U1093" t="str">
            <v>Asset</v>
          </cell>
          <cell r="V1093">
            <v>336</v>
          </cell>
          <cell r="W1093" t="str">
            <v>KEW</v>
          </cell>
          <cell r="X1093" t="str">
            <v>01/09/2010</v>
          </cell>
          <cell r="Y1093" t="str">
            <v>KEW</v>
          </cell>
          <cell r="Z1093" t="str">
            <v>16/08/2013</v>
          </cell>
          <cell r="AA1093" t="str">
            <v>15/08/2015</v>
          </cell>
          <cell r="AB1093" t="str">
            <v>No</v>
          </cell>
          <cell r="AC1093" t="str">
            <v>31/08/2013</v>
          </cell>
          <cell r="AD1093" t="str">
            <v>Good</v>
          </cell>
          <cell r="AE1093" t="str">
            <v>V1 - Existing / No Claim</v>
          </cell>
          <cell r="AF1093">
            <v>42794</v>
          </cell>
          <cell r="AG1093">
            <v>9.17</v>
          </cell>
          <cell r="AH1093" t="str">
            <v>PPM</v>
          </cell>
          <cell r="AI1093" t="str">
            <v>Strands</v>
          </cell>
          <cell r="AJ1093" t="str">
            <v>Strands PW</v>
          </cell>
        </row>
        <row r="1094">
          <cell r="A1094" t="str">
            <v>IKN400684</v>
          </cell>
          <cell r="B1094">
            <v>684</v>
          </cell>
          <cell r="C1094" t="str">
            <v>Institut Kanser Negara</v>
          </cell>
          <cell r="D1094" t="str">
            <v>KKM/IKN/H/13/3448</v>
          </cell>
          <cell r="E1094" t="str">
            <v>13-763</v>
          </cell>
          <cell r="F1094" t="str">
            <v>Stimulators, Electrical, Peripheral Nerve, Acupuncture</v>
          </cell>
          <cell r="G1094" t="str">
            <v>TC</v>
          </cell>
          <cell r="H1094" t="str">
            <v>TRADITIONAL COMPLEMENTARY MEDICINE</v>
          </cell>
          <cell r="I1094" t="str">
            <v>04TC119</v>
          </cell>
          <cell r="J1094" t="str">
            <v>GEN.STORE</v>
          </cell>
          <cell r="K1094" t="str">
            <v>BMED</v>
          </cell>
          <cell r="L1094" t="str">
            <v>Normal</v>
          </cell>
          <cell r="M1094" t="str">
            <v>China</v>
          </cell>
          <cell r="N1094" t="str">
            <v>Shantou</v>
          </cell>
          <cell r="O1094" t="str">
            <v>Shantou Itpg-6805-D</v>
          </cell>
          <cell r="P1094" t="str">
            <v>AD1206103</v>
          </cell>
          <cell r="Q1094" t="str">
            <v>Not Applicable</v>
          </cell>
          <cell r="R1094" t="str">
            <v>Shantou Medical</v>
          </cell>
          <cell r="S1094" t="str">
            <v>ITP Academy Malaysia</v>
          </cell>
          <cell r="T1094" t="str">
            <v>Functioning</v>
          </cell>
          <cell r="U1094" t="str">
            <v>Asset</v>
          </cell>
          <cell r="V1094">
            <v>10725</v>
          </cell>
          <cell r="W1094" t="str">
            <v>KEW</v>
          </cell>
          <cell r="X1094" t="str">
            <v>01/09/2010</v>
          </cell>
          <cell r="Y1094" t="str">
            <v>KEW</v>
          </cell>
          <cell r="Z1094" t="str">
            <v>16/08/2013</v>
          </cell>
          <cell r="AA1094" t="str">
            <v>15/08/2015</v>
          </cell>
          <cell r="AB1094" t="str">
            <v>No</v>
          </cell>
          <cell r="AC1094" t="str">
            <v>31/08/2013</v>
          </cell>
          <cell r="AD1094" t="str">
            <v>Good</v>
          </cell>
          <cell r="AE1094" t="str">
            <v>V1 - Existing / No Claim</v>
          </cell>
          <cell r="AF1094">
            <v>42794</v>
          </cell>
          <cell r="AG1094">
            <v>9.17</v>
          </cell>
          <cell r="AH1094" t="str">
            <v>PPM</v>
          </cell>
          <cell r="AI1094" t="str">
            <v>Strands</v>
          </cell>
          <cell r="AJ1094" t="str">
            <v>Strands PW</v>
          </cell>
        </row>
        <row r="1095">
          <cell r="A1095" t="str">
            <v>IKN400685</v>
          </cell>
          <cell r="B1095">
            <v>685</v>
          </cell>
          <cell r="C1095" t="str">
            <v>Institut Kanser Negara</v>
          </cell>
          <cell r="D1095" t="str">
            <v>KKM/IKN/H/13/3457</v>
          </cell>
          <cell r="E1095" t="str">
            <v>13-763</v>
          </cell>
          <cell r="F1095" t="str">
            <v>Stimulators, Electrical, Peripheral Nerve, Acupuncture</v>
          </cell>
          <cell r="G1095" t="str">
            <v>TC</v>
          </cell>
          <cell r="H1095" t="str">
            <v>TRADITIONAL COMPLEMENTARY MEDICINE</v>
          </cell>
          <cell r="I1095" t="str">
            <v>04TC119</v>
          </cell>
          <cell r="J1095" t="str">
            <v>GEN.STORE</v>
          </cell>
          <cell r="K1095" t="str">
            <v>BMED</v>
          </cell>
          <cell r="L1095" t="str">
            <v>Normal</v>
          </cell>
          <cell r="M1095" t="str">
            <v>China</v>
          </cell>
          <cell r="N1095" t="str">
            <v>Shantou</v>
          </cell>
          <cell r="O1095" t="str">
            <v>Shantou Itpg-6805-D</v>
          </cell>
          <cell r="P1095" t="str">
            <v>AD1206093</v>
          </cell>
          <cell r="Q1095" t="str">
            <v>Not Applicable</v>
          </cell>
          <cell r="R1095" t="str">
            <v>Shantou Medical</v>
          </cell>
          <cell r="S1095" t="str">
            <v>ITP Academy Malaysia</v>
          </cell>
          <cell r="T1095" t="str">
            <v>Functioning</v>
          </cell>
          <cell r="U1095" t="str">
            <v>Asset</v>
          </cell>
          <cell r="V1095">
            <v>10725</v>
          </cell>
          <cell r="W1095" t="str">
            <v>KEW</v>
          </cell>
          <cell r="X1095" t="str">
            <v>01/09/2010</v>
          </cell>
          <cell r="Y1095" t="str">
            <v>KEW</v>
          </cell>
          <cell r="Z1095" t="str">
            <v>16/08/2013</v>
          </cell>
          <cell r="AA1095" t="str">
            <v>15/08/2015</v>
          </cell>
          <cell r="AB1095" t="str">
            <v>No</v>
          </cell>
          <cell r="AC1095" t="str">
            <v>31/08/2013</v>
          </cell>
          <cell r="AD1095" t="str">
            <v>Good</v>
          </cell>
          <cell r="AE1095" t="str">
            <v>V1 - Existing / No Claim</v>
          </cell>
          <cell r="AF1095">
            <v>42794</v>
          </cell>
          <cell r="AG1095">
            <v>9.17</v>
          </cell>
          <cell r="AH1095" t="str">
            <v>PPM</v>
          </cell>
          <cell r="AI1095" t="str">
            <v>Strands</v>
          </cell>
          <cell r="AJ1095" t="str">
            <v>Strands PW</v>
          </cell>
        </row>
        <row r="1096">
          <cell r="A1096" t="str">
            <v>IKN400686</v>
          </cell>
          <cell r="B1096">
            <v>686</v>
          </cell>
          <cell r="C1096" t="str">
            <v>Institut Kanser Negara</v>
          </cell>
          <cell r="D1096" t="str">
            <v>KKM/IKN/H/13/3449</v>
          </cell>
          <cell r="E1096" t="str">
            <v>13-763</v>
          </cell>
          <cell r="F1096" t="str">
            <v>Stimulators, Electrical, Peripheral Nerve, Acupuncture</v>
          </cell>
          <cell r="G1096" t="str">
            <v>TC</v>
          </cell>
          <cell r="H1096" t="str">
            <v>TRADITIONAL COMPLEMENTARY MEDICINE</v>
          </cell>
          <cell r="I1096" t="str">
            <v>04TC119</v>
          </cell>
          <cell r="J1096" t="str">
            <v>GEN.STORE</v>
          </cell>
          <cell r="K1096" t="str">
            <v>BMED</v>
          </cell>
          <cell r="L1096" t="str">
            <v>Normal</v>
          </cell>
          <cell r="M1096" t="str">
            <v>China</v>
          </cell>
          <cell r="N1096" t="str">
            <v>Shantou</v>
          </cell>
          <cell r="O1096" t="str">
            <v>Shantou Itpg-6805-D</v>
          </cell>
          <cell r="P1096" t="str">
            <v>AD1206110</v>
          </cell>
          <cell r="Q1096" t="str">
            <v>Not Applicable</v>
          </cell>
          <cell r="R1096" t="str">
            <v>Shantou Medical</v>
          </cell>
          <cell r="S1096" t="str">
            <v>ITP Academy Malaysia</v>
          </cell>
          <cell r="T1096" t="str">
            <v>Functioning</v>
          </cell>
          <cell r="U1096" t="str">
            <v>Asset</v>
          </cell>
          <cell r="V1096">
            <v>10725</v>
          </cell>
          <cell r="W1096" t="str">
            <v>KEW</v>
          </cell>
          <cell r="X1096" t="str">
            <v>01/09/2010</v>
          </cell>
          <cell r="Y1096" t="str">
            <v>KEW</v>
          </cell>
          <cell r="Z1096" t="str">
            <v>16/08/2013</v>
          </cell>
          <cell r="AA1096" t="str">
            <v>15/08/2015</v>
          </cell>
          <cell r="AB1096" t="str">
            <v>No</v>
          </cell>
          <cell r="AC1096" t="str">
            <v>31/08/2013</v>
          </cell>
          <cell r="AD1096" t="str">
            <v>Good</v>
          </cell>
          <cell r="AE1096" t="str">
            <v>V1 - Existing / No Claim</v>
          </cell>
          <cell r="AF1096">
            <v>42794</v>
          </cell>
          <cell r="AG1096">
            <v>9.17</v>
          </cell>
          <cell r="AH1096" t="str">
            <v>PPM</v>
          </cell>
          <cell r="AI1096" t="str">
            <v>Strands</v>
          </cell>
          <cell r="AJ1096" t="str">
            <v>Strands PW</v>
          </cell>
        </row>
        <row r="1097">
          <cell r="A1097" t="str">
            <v>IKN400687</v>
          </cell>
          <cell r="B1097">
            <v>687</v>
          </cell>
          <cell r="C1097" t="str">
            <v>Institut Kanser Negara</v>
          </cell>
          <cell r="D1097" t="str">
            <v>KKM/IKN/H/13/3451</v>
          </cell>
          <cell r="E1097" t="str">
            <v>13-763</v>
          </cell>
          <cell r="F1097" t="str">
            <v>Stimulators, Electrical, Peripheral Nerve, Acupuncture</v>
          </cell>
          <cell r="G1097" t="str">
            <v>TC</v>
          </cell>
          <cell r="H1097" t="str">
            <v>TRADITIONAL COMPLEMENTARY MEDICINE</v>
          </cell>
          <cell r="I1097" t="str">
            <v>04TC119</v>
          </cell>
          <cell r="J1097" t="str">
            <v>GEN.STORE</v>
          </cell>
          <cell r="K1097" t="str">
            <v>BMED</v>
          </cell>
          <cell r="L1097" t="str">
            <v>Normal</v>
          </cell>
          <cell r="M1097" t="str">
            <v>China</v>
          </cell>
          <cell r="N1097" t="str">
            <v>Shantou</v>
          </cell>
          <cell r="O1097" t="str">
            <v>Shantou Itpg-6805-D</v>
          </cell>
          <cell r="P1097" t="str">
            <v>AD1206111</v>
          </cell>
          <cell r="Q1097" t="str">
            <v>Not Applicable</v>
          </cell>
          <cell r="R1097" t="str">
            <v>Shantou Medical</v>
          </cell>
          <cell r="S1097" t="str">
            <v>ITP Academy Malaysia</v>
          </cell>
          <cell r="T1097" t="str">
            <v>Functioning</v>
          </cell>
          <cell r="U1097" t="str">
            <v>Asset</v>
          </cell>
          <cell r="V1097">
            <v>10725</v>
          </cell>
          <cell r="W1097" t="str">
            <v>KEW</v>
          </cell>
          <cell r="X1097" t="str">
            <v>01/09/2010</v>
          </cell>
          <cell r="Y1097" t="str">
            <v>KEW</v>
          </cell>
          <cell r="Z1097" t="str">
            <v>16/08/2013</v>
          </cell>
          <cell r="AA1097" t="str">
            <v>15/08/2015</v>
          </cell>
          <cell r="AB1097" t="str">
            <v>No</v>
          </cell>
          <cell r="AC1097" t="str">
            <v>31/08/2013</v>
          </cell>
          <cell r="AD1097" t="str">
            <v>Good</v>
          </cell>
          <cell r="AE1097" t="str">
            <v>V1 - Existing / No Claim</v>
          </cell>
          <cell r="AF1097">
            <v>42794</v>
          </cell>
          <cell r="AG1097">
            <v>9.17</v>
          </cell>
          <cell r="AH1097" t="str">
            <v>PPM</v>
          </cell>
          <cell r="AI1097" t="str">
            <v>Strands</v>
          </cell>
          <cell r="AJ1097" t="str">
            <v>Strands PW</v>
          </cell>
        </row>
        <row r="1098">
          <cell r="A1098" t="str">
            <v>IKN400688</v>
          </cell>
          <cell r="B1098">
            <v>688</v>
          </cell>
          <cell r="C1098" t="str">
            <v>Institut Kanser Negara</v>
          </cell>
          <cell r="D1098" t="str">
            <v>KKM/IKN/H/13/1201</v>
          </cell>
          <cell r="E1098" t="str">
            <v>12-282</v>
          </cell>
          <cell r="F1098" t="str">
            <v>Lights, Surgical</v>
          </cell>
          <cell r="G1098" t="str">
            <v>TC</v>
          </cell>
          <cell r="H1098" t="str">
            <v>TRADITIONAL COMPLEMENTARY MEDICINE</v>
          </cell>
          <cell r="I1098" t="str">
            <v>04TC109</v>
          </cell>
          <cell r="J1098" t="str">
            <v>C/E 1 (HERBAL ONCOLOGY</v>
          </cell>
          <cell r="K1098" t="str">
            <v>BMED</v>
          </cell>
          <cell r="L1098" t="str">
            <v>Critical</v>
          </cell>
          <cell r="M1098" t="str">
            <v>USA</v>
          </cell>
          <cell r="N1098" t="str">
            <v>Welch Allyn</v>
          </cell>
          <cell r="O1098" t="str">
            <v>Welch Allyn GS600</v>
          </cell>
          <cell r="P1098" t="str">
            <v>GS-600-34</v>
          </cell>
          <cell r="Q1098" t="str">
            <v>Not Applicable</v>
          </cell>
          <cell r="R1098" t="str">
            <v>Welch Allyn Inc</v>
          </cell>
          <cell r="S1098" t="str">
            <v>Welch Allyn Malaysia Sdn Bhd</v>
          </cell>
          <cell r="T1098" t="str">
            <v>Functioning</v>
          </cell>
          <cell r="U1098" t="str">
            <v>Asset</v>
          </cell>
          <cell r="V1098">
            <v>5050</v>
          </cell>
          <cell r="W1098" t="str">
            <v>KEW</v>
          </cell>
          <cell r="X1098" t="str">
            <v>01/09/2010</v>
          </cell>
          <cell r="Y1098" t="str">
            <v>KEW</v>
          </cell>
          <cell r="Z1098" t="str">
            <v>16/08/2013</v>
          </cell>
          <cell r="AA1098" t="str">
            <v>15/08/2015</v>
          </cell>
          <cell r="AB1098" t="str">
            <v>No</v>
          </cell>
          <cell r="AC1098" t="str">
            <v>31/08/2013</v>
          </cell>
          <cell r="AD1098" t="str">
            <v>Good</v>
          </cell>
          <cell r="AE1098" t="str">
            <v>V1 - Existing / No Claim</v>
          </cell>
          <cell r="AF1098">
            <v>42794</v>
          </cell>
          <cell r="AG1098">
            <v>9.17</v>
          </cell>
          <cell r="AH1098" t="str">
            <v>PPM</v>
          </cell>
          <cell r="AI1098" t="str">
            <v>Strands</v>
          </cell>
          <cell r="AJ1098" t="str">
            <v>Strands PW</v>
          </cell>
        </row>
        <row r="1099">
          <cell r="A1099" t="str">
            <v>IKN400689</v>
          </cell>
          <cell r="B1099">
            <v>689</v>
          </cell>
          <cell r="C1099" t="str">
            <v>Institut Kanser Negara</v>
          </cell>
          <cell r="D1099" t="str">
            <v>KKM/IKN/H/14/123</v>
          </cell>
          <cell r="E1099" t="str">
            <v>11-067</v>
          </cell>
          <cell r="F1099" t="str">
            <v>Cryosurgical Units, General-Purpose</v>
          </cell>
          <cell r="G1099" t="str">
            <v>ID</v>
          </cell>
          <cell r="H1099" t="str">
            <v>IMAGING DEPARTMENT</v>
          </cell>
          <cell r="I1099" t="str">
            <v>03ID164</v>
          </cell>
          <cell r="J1099" t="str">
            <v>ANGIO(VE)</v>
          </cell>
          <cell r="K1099" t="str">
            <v>BMED</v>
          </cell>
          <cell r="L1099" t="str">
            <v>Normal</v>
          </cell>
          <cell r="M1099" t="str">
            <v>USA</v>
          </cell>
          <cell r="N1099" t="str">
            <v>Cryo</v>
          </cell>
          <cell r="O1099" t="str">
            <v>Cryo-SL</v>
          </cell>
          <cell r="P1099" t="str">
            <v>1109</v>
          </cell>
          <cell r="Q1099" t="str">
            <v>Not Applicable</v>
          </cell>
          <cell r="R1099" t="str">
            <v>Endocare Healthtronics</v>
          </cell>
          <cell r="S1099" t="str">
            <v>Ilham Medicare Sdn. Bhd.</v>
          </cell>
          <cell r="T1099" t="str">
            <v>Functioning</v>
          </cell>
          <cell r="U1099" t="str">
            <v>Asset</v>
          </cell>
          <cell r="V1099">
            <v>968448</v>
          </cell>
          <cell r="W1099" t="str">
            <v>KEW</v>
          </cell>
          <cell r="X1099" t="str">
            <v>04/12/2014</v>
          </cell>
          <cell r="Y1099" t="str">
            <v>KEW</v>
          </cell>
          <cell r="Z1099" t="str">
            <v>17/12/2014</v>
          </cell>
          <cell r="AA1099" t="str">
            <v>16/12/2016</v>
          </cell>
          <cell r="AB1099" t="str">
            <v>No</v>
          </cell>
          <cell r="AC1099" t="str">
            <v>17/12/2014</v>
          </cell>
          <cell r="AD1099" t="str">
            <v>Good</v>
          </cell>
          <cell r="AE1099" t="str">
            <v>V3 - Added Installed Facilities (New)</v>
          </cell>
          <cell r="AF1099">
            <v>42791</v>
          </cell>
          <cell r="AG1099">
            <v>4.92</v>
          </cell>
          <cell r="AH1099" t="str">
            <v>PPM</v>
          </cell>
          <cell r="AI1099" t="str">
            <v>Strands</v>
          </cell>
          <cell r="AJ1099" t="str">
            <v>Strands PW</v>
          </cell>
          <cell r="AK1099" t="str">
            <v>SNF received. 1st batch of V3 asset (December 2020). SN PRESSURE GAUGE C4778G, C4779G, C4780G.</v>
          </cell>
        </row>
        <row r="1100">
          <cell r="A1100" t="str">
            <v>IKN400690</v>
          </cell>
          <cell r="B1100">
            <v>690</v>
          </cell>
          <cell r="C1100" t="str">
            <v>Institut Kanser Negara</v>
          </cell>
          <cell r="D1100" t="str">
            <v>KKM/IKN/H/13/956</v>
          </cell>
          <cell r="E1100" t="str">
            <v>13-209</v>
          </cell>
          <cell r="F1100" t="str">
            <v>Pumps, Enteral Feeding</v>
          </cell>
          <cell r="G1100" t="str">
            <v>IC</v>
          </cell>
          <cell r="H1100" t="str">
            <v>INTENSIVE CARE UNIT</v>
          </cell>
          <cell r="I1100" t="str">
            <v>05IC113</v>
          </cell>
          <cell r="J1100" t="str">
            <v>ICU RM 2</v>
          </cell>
          <cell r="K1100" t="str">
            <v>BMED</v>
          </cell>
          <cell r="L1100" t="str">
            <v>Normal</v>
          </cell>
          <cell r="M1100" t="str">
            <v>USA</v>
          </cell>
          <cell r="N1100" t="str">
            <v>Kangaroo</v>
          </cell>
          <cell r="O1100" t="str">
            <v>Kangaroo ePump</v>
          </cell>
          <cell r="P1100" t="str">
            <v>C1166056</v>
          </cell>
          <cell r="Q1100" t="str">
            <v>Not Applicable</v>
          </cell>
          <cell r="R1100" t="str">
            <v>Covidien</v>
          </cell>
          <cell r="S1100" t="str">
            <v>Schmidt Biomedtech Sdn. Bhd.</v>
          </cell>
          <cell r="T1100" t="str">
            <v>Functioning</v>
          </cell>
          <cell r="U1100" t="str">
            <v>Asset</v>
          </cell>
          <cell r="V1100">
            <v>6615</v>
          </cell>
          <cell r="W1100" t="str">
            <v>KEW</v>
          </cell>
          <cell r="X1100" t="str">
            <v>01/09/2010</v>
          </cell>
          <cell r="Y1100" t="str">
            <v>KEW</v>
          </cell>
          <cell r="Z1100" t="str">
            <v>16/08/2013</v>
          </cell>
          <cell r="AA1100" t="str">
            <v>15/08/2015</v>
          </cell>
          <cell r="AB1100" t="str">
            <v>No</v>
          </cell>
          <cell r="AC1100" t="str">
            <v>31/08/2013</v>
          </cell>
          <cell r="AD1100" t="str">
            <v>Good</v>
          </cell>
          <cell r="AE1100" t="str">
            <v>V1 - Existing / No Claim</v>
          </cell>
          <cell r="AF1100">
            <v>42633</v>
          </cell>
          <cell r="AG1100">
            <v>9.17</v>
          </cell>
          <cell r="AH1100" t="str">
            <v>PPM</v>
          </cell>
          <cell r="AI1100" t="str">
            <v>Strands</v>
          </cell>
          <cell r="AJ1100" t="str">
            <v>Strands PW</v>
          </cell>
        </row>
        <row r="1101">
          <cell r="A1101" t="str">
            <v>IKN400691</v>
          </cell>
          <cell r="B1101">
            <v>691</v>
          </cell>
          <cell r="C1101" t="str">
            <v>Institut Kanser Negara</v>
          </cell>
          <cell r="D1101" t="str">
            <v>KKM/IKN/H/13/1541</v>
          </cell>
          <cell r="E1101" t="str">
            <v>11-134</v>
          </cell>
          <cell r="F1101" t="str">
            <v>Defibrillators, External, Manual</v>
          </cell>
          <cell r="G1101" t="str">
            <v>QA</v>
          </cell>
          <cell r="H1101" t="str">
            <v>INFECTION , RESEARCH AND QA UNIT</v>
          </cell>
          <cell r="I1101" t="str">
            <v>04QA118</v>
          </cell>
          <cell r="J1101" t="str">
            <v>MEETING (12 PAX)</v>
          </cell>
          <cell r="K1101" t="str">
            <v>BMED</v>
          </cell>
          <cell r="L1101" t="str">
            <v>Critical</v>
          </cell>
          <cell r="M1101" t="str">
            <v>USA</v>
          </cell>
          <cell r="N1101" t="str">
            <v>Responder</v>
          </cell>
          <cell r="O1101" t="str">
            <v>Responder 2000</v>
          </cell>
          <cell r="P1101" t="str">
            <v>3206685</v>
          </cell>
          <cell r="Q1101" t="str">
            <v>Not Applicable</v>
          </cell>
          <cell r="R1101" t="str">
            <v>GE Medical Systems</v>
          </cell>
          <cell r="S1101" t="str">
            <v>Antah Sir Radin Sdn. Bhd.</v>
          </cell>
          <cell r="T1101" t="str">
            <v>Functioning</v>
          </cell>
          <cell r="U1101" t="str">
            <v>Asset</v>
          </cell>
          <cell r="V1101">
            <v>45000</v>
          </cell>
          <cell r="W1101" t="str">
            <v>Estimate</v>
          </cell>
          <cell r="X1101" t="str">
            <v>01/09/2010</v>
          </cell>
          <cell r="Y1101" t="str">
            <v>KEW</v>
          </cell>
          <cell r="Z1101" t="str">
            <v>16/08/2013</v>
          </cell>
          <cell r="AA1101" t="str">
            <v>15/08/2015</v>
          </cell>
          <cell r="AB1101" t="str">
            <v>No</v>
          </cell>
          <cell r="AC1101" t="str">
            <v>31/08/2013</v>
          </cell>
          <cell r="AD1101" t="str">
            <v>Good</v>
          </cell>
          <cell r="AE1101" t="str">
            <v>V1 - Existing / No Claim</v>
          </cell>
          <cell r="AF1101">
            <v>43068</v>
          </cell>
          <cell r="AG1101">
            <v>9.17</v>
          </cell>
          <cell r="AH1101" t="str">
            <v>PPM</v>
          </cell>
          <cell r="AI1101" t="str">
            <v>Strands</v>
          </cell>
          <cell r="AJ1101" t="str">
            <v>Strands PW</v>
          </cell>
          <cell r="AK1101" t="str">
            <v>Crash Trolley (FEMS). [15/4/2024]: TUKAR DEPARTMENT PY TO UNIT KUALITI.</v>
          </cell>
        </row>
        <row r="1102">
          <cell r="A1102" t="str">
            <v>IKN400692</v>
          </cell>
          <cell r="B1102">
            <v>692</v>
          </cell>
          <cell r="C1102" t="str">
            <v>Institut Kanser Negara</v>
          </cell>
          <cell r="D1102" t="str">
            <v>KKM/IKN/H/13/1556</v>
          </cell>
          <cell r="E1102" t="str">
            <v>12-282</v>
          </cell>
          <cell r="F1102" t="str">
            <v>Lights, Surgical</v>
          </cell>
          <cell r="G1102" t="str">
            <v>PY</v>
          </cell>
          <cell r="H1102" t="str">
            <v>PHYSIOTHERAPY</v>
          </cell>
          <cell r="I1102" t="str">
            <v>04PY109</v>
          </cell>
          <cell r="J1102" t="str">
            <v>ASSESSMENT / TREATMENT</v>
          </cell>
          <cell r="K1102" t="str">
            <v>BMED</v>
          </cell>
          <cell r="L1102" t="str">
            <v>Critical</v>
          </cell>
          <cell r="M1102" t="str">
            <v>USA</v>
          </cell>
          <cell r="N1102" t="str">
            <v>Welch Allyn</v>
          </cell>
          <cell r="O1102" t="str">
            <v>Welch Allyn GS600</v>
          </cell>
          <cell r="P1102" t="str">
            <v>GS-600-33</v>
          </cell>
          <cell r="Q1102" t="str">
            <v>Not Applicable</v>
          </cell>
          <cell r="R1102" t="str">
            <v>Welch Allyn Inc</v>
          </cell>
          <cell r="S1102" t="str">
            <v>Welch Allyn Malaysia Sdn Bhd</v>
          </cell>
          <cell r="T1102" t="str">
            <v>Functioning</v>
          </cell>
          <cell r="U1102" t="str">
            <v>Asset</v>
          </cell>
          <cell r="V1102">
            <v>5050</v>
          </cell>
          <cell r="W1102" t="str">
            <v>KEW</v>
          </cell>
          <cell r="X1102" t="str">
            <v>01/09/2010</v>
          </cell>
          <cell r="Y1102" t="str">
            <v>KEW</v>
          </cell>
          <cell r="Z1102" t="str">
            <v>16/08/2013</v>
          </cell>
          <cell r="AA1102" t="str">
            <v>15/08/2015</v>
          </cell>
          <cell r="AB1102" t="str">
            <v>No</v>
          </cell>
          <cell r="AC1102" t="str">
            <v>31/08/2013</v>
          </cell>
          <cell r="AD1102" t="str">
            <v>Good</v>
          </cell>
          <cell r="AE1102" t="str">
            <v>V1 - Existing / No Claim</v>
          </cell>
          <cell r="AF1102">
            <v>42801</v>
          </cell>
          <cell r="AG1102">
            <v>9.17</v>
          </cell>
          <cell r="AH1102" t="str">
            <v>PPM</v>
          </cell>
          <cell r="AI1102" t="str">
            <v>Strands</v>
          </cell>
          <cell r="AJ1102" t="str">
            <v>Strands PW</v>
          </cell>
        </row>
        <row r="1103">
          <cell r="A1103" t="str">
            <v>IKN400693</v>
          </cell>
          <cell r="B1103">
            <v>693</v>
          </cell>
          <cell r="C1103" t="str">
            <v>Institut Kanser Negara</v>
          </cell>
          <cell r="D1103" t="str">
            <v>KKM/IKN/H/13/1414</v>
          </cell>
          <cell r="E1103" t="str">
            <v>14-141</v>
          </cell>
          <cell r="F1103" t="str">
            <v>Treadmills</v>
          </cell>
          <cell r="G1103" t="str">
            <v>PY</v>
          </cell>
          <cell r="H1103" t="str">
            <v>PHYSIOTHERAPY</v>
          </cell>
          <cell r="I1103" t="str">
            <v>04PY115</v>
          </cell>
          <cell r="J1103" t="str">
            <v>GYMNASIUM</v>
          </cell>
          <cell r="K1103" t="str">
            <v>BMED</v>
          </cell>
          <cell r="L1103" t="str">
            <v>Normal</v>
          </cell>
          <cell r="M1103" t="str">
            <v>USA</v>
          </cell>
          <cell r="N1103" t="str">
            <v>Horizonfitness</v>
          </cell>
          <cell r="O1103" t="str">
            <v>Horizonfitness Ti52</v>
          </cell>
          <cell r="P1103" t="str">
            <v>TM2231202BC00012</v>
          </cell>
          <cell r="Q1103" t="str">
            <v>Not Applicable</v>
          </cell>
          <cell r="R1103" t="str">
            <v>Horizon Fitness</v>
          </cell>
          <cell r="S1103" t="str">
            <v>Maycare (M) Sdn. Bhd.</v>
          </cell>
          <cell r="T1103" t="str">
            <v>Functioning</v>
          </cell>
          <cell r="U1103" t="str">
            <v>Asset</v>
          </cell>
          <cell r="V1103">
            <v>10220</v>
          </cell>
          <cell r="W1103" t="str">
            <v>KEW</v>
          </cell>
          <cell r="X1103" t="str">
            <v>01/09/2010</v>
          </cell>
          <cell r="Y1103" t="str">
            <v>KEW</v>
          </cell>
          <cell r="Z1103" t="str">
            <v>16/08/2013</v>
          </cell>
          <cell r="AA1103" t="str">
            <v>15/08/2015</v>
          </cell>
          <cell r="AB1103" t="str">
            <v>No</v>
          </cell>
          <cell r="AC1103" t="str">
            <v>31/08/2013</v>
          </cell>
          <cell r="AD1103" t="str">
            <v>Good</v>
          </cell>
          <cell r="AE1103" t="str">
            <v>V1 - Existing / No Claim</v>
          </cell>
          <cell r="AF1103">
            <v>42802</v>
          </cell>
          <cell r="AG1103">
            <v>9.17</v>
          </cell>
          <cell r="AH1103" t="str">
            <v>RI</v>
          </cell>
          <cell r="AI1103" t="str">
            <v>Strands</v>
          </cell>
          <cell r="AJ1103" t="str">
            <v>Strands PW</v>
          </cell>
        </row>
        <row r="1104">
          <cell r="A1104" t="str">
            <v>IKN400694</v>
          </cell>
          <cell r="B1104">
            <v>694</v>
          </cell>
          <cell r="C1104" t="str">
            <v>Institut Kanser Negara</v>
          </cell>
          <cell r="D1104" t="str">
            <v>KKM/IKN/H/13/2050</v>
          </cell>
          <cell r="E1104" t="str">
            <v>13-775</v>
          </cell>
          <cell r="F1104" t="str">
            <v>Stimulators, Electrical, Neuromuscular</v>
          </cell>
          <cell r="G1104" t="str">
            <v>PY</v>
          </cell>
          <cell r="H1104" t="str">
            <v>PHYSIOTHERAPY</v>
          </cell>
          <cell r="I1104" t="str">
            <v>04PY109</v>
          </cell>
          <cell r="J1104" t="str">
            <v>ASSESSMENT / TREATMENT</v>
          </cell>
          <cell r="K1104" t="str">
            <v>BMED</v>
          </cell>
          <cell r="L1104" t="str">
            <v>Normal</v>
          </cell>
          <cell r="M1104" t="str">
            <v>Denmark</v>
          </cell>
          <cell r="N1104" t="str">
            <v>Danmeter</v>
          </cell>
          <cell r="O1104" t="str">
            <v>Elpha II 3000</v>
          </cell>
          <cell r="P1104" t="str">
            <v>2013080053</v>
          </cell>
          <cell r="Q1104" t="str">
            <v>Not Applicable</v>
          </cell>
          <cell r="R1104" t="str">
            <v>Danmeter AS</v>
          </cell>
          <cell r="S1104" t="str">
            <v>Maycare (M) Sdn. Bhd.</v>
          </cell>
          <cell r="T1104" t="str">
            <v>Functioning</v>
          </cell>
          <cell r="U1104" t="str">
            <v>Asset</v>
          </cell>
          <cell r="V1104">
            <v>420</v>
          </cell>
          <cell r="W1104" t="str">
            <v>KEW</v>
          </cell>
          <cell r="X1104" t="str">
            <v>01/09/2010</v>
          </cell>
          <cell r="Y1104" t="str">
            <v>KEW</v>
          </cell>
          <cell r="Z1104" t="str">
            <v>16/08/2013</v>
          </cell>
          <cell r="AA1104" t="str">
            <v>15/08/2015</v>
          </cell>
          <cell r="AB1104" t="str">
            <v>No</v>
          </cell>
          <cell r="AC1104" t="str">
            <v>31/08/2013</v>
          </cell>
          <cell r="AD1104" t="str">
            <v>Good</v>
          </cell>
          <cell r="AE1104" t="str">
            <v>V1 - Existing / No Claim</v>
          </cell>
          <cell r="AF1104">
            <v>43068</v>
          </cell>
          <cell r="AG1104">
            <v>9.17</v>
          </cell>
          <cell r="AH1104" t="str">
            <v>PPM</v>
          </cell>
          <cell r="AI1104" t="str">
            <v>Strands</v>
          </cell>
          <cell r="AJ1104" t="str">
            <v>Strands PW</v>
          </cell>
        </row>
        <row r="1105">
          <cell r="A1105" t="str">
            <v>IKN400695</v>
          </cell>
          <cell r="B1105">
            <v>695</v>
          </cell>
          <cell r="C1105" t="str">
            <v>Institut Kanser Negara</v>
          </cell>
          <cell r="D1105" t="str">
            <v>KKM/IKN/H/13/2051</v>
          </cell>
          <cell r="E1105" t="str">
            <v>13-775</v>
          </cell>
          <cell r="F1105" t="str">
            <v>Stimulators, Electrical, Neuromuscular</v>
          </cell>
          <cell r="G1105" t="str">
            <v>PY</v>
          </cell>
          <cell r="H1105" t="str">
            <v>PHYSIOTHERAPY</v>
          </cell>
          <cell r="I1105" t="str">
            <v>04PY119</v>
          </cell>
          <cell r="J1105" t="str">
            <v>EQ.ROOM</v>
          </cell>
          <cell r="K1105" t="str">
            <v>BMED</v>
          </cell>
          <cell r="L1105" t="str">
            <v>Normal</v>
          </cell>
          <cell r="M1105" t="str">
            <v>Denmark</v>
          </cell>
          <cell r="N1105" t="str">
            <v>Danmeter</v>
          </cell>
          <cell r="O1105" t="str">
            <v>Elpha II 3000</v>
          </cell>
          <cell r="P1105" t="str">
            <v>2013080055</v>
          </cell>
          <cell r="Q1105" t="str">
            <v>Not Applicable</v>
          </cell>
          <cell r="R1105" t="str">
            <v>Danmeter AS</v>
          </cell>
          <cell r="S1105" t="str">
            <v>Maycare (M) Sdn. Bhd.</v>
          </cell>
          <cell r="T1105" t="str">
            <v>Functioning</v>
          </cell>
          <cell r="U1105" t="str">
            <v>Asset</v>
          </cell>
          <cell r="V1105">
            <v>420</v>
          </cell>
          <cell r="W1105" t="str">
            <v>KEW</v>
          </cell>
          <cell r="X1105" t="str">
            <v>01/09/2010</v>
          </cell>
          <cell r="Y1105" t="str">
            <v>KEW</v>
          </cell>
          <cell r="Z1105" t="str">
            <v>16/08/2013</v>
          </cell>
          <cell r="AA1105" t="str">
            <v>15/08/2015</v>
          </cell>
          <cell r="AB1105" t="str">
            <v>No</v>
          </cell>
          <cell r="AC1105" t="str">
            <v>31/08/2013</v>
          </cell>
          <cell r="AD1105" t="str">
            <v>Good</v>
          </cell>
          <cell r="AE1105" t="str">
            <v>V1 - Existing / No Claim</v>
          </cell>
          <cell r="AF1105">
            <v>42235</v>
          </cell>
          <cell r="AG1105">
            <v>9.17</v>
          </cell>
          <cell r="AH1105" t="str">
            <v>PPM</v>
          </cell>
          <cell r="AI1105" t="str">
            <v>Strands</v>
          </cell>
          <cell r="AJ1105" t="str">
            <v>Strands PW</v>
          </cell>
        </row>
        <row r="1106">
          <cell r="A1106" t="str">
            <v>IKN400696</v>
          </cell>
          <cell r="B1106">
            <v>696</v>
          </cell>
          <cell r="C1106" t="str">
            <v>Institut Kanser Negara</v>
          </cell>
          <cell r="D1106" t="str">
            <v>KKM/IKN/H/13/2052</v>
          </cell>
          <cell r="E1106" t="str">
            <v>13-775</v>
          </cell>
          <cell r="F1106" t="str">
            <v>Stimulators, Electrical, Neuromuscular</v>
          </cell>
          <cell r="G1106" t="str">
            <v>PY</v>
          </cell>
          <cell r="H1106" t="str">
            <v>PHYSIOTHERAPY</v>
          </cell>
          <cell r="I1106" t="str">
            <v>04PY119</v>
          </cell>
          <cell r="J1106" t="str">
            <v>EQ.ROOM</v>
          </cell>
          <cell r="K1106" t="str">
            <v>BMED</v>
          </cell>
          <cell r="L1106" t="str">
            <v>Normal</v>
          </cell>
          <cell r="M1106" t="str">
            <v>Denmark</v>
          </cell>
          <cell r="N1106" t="str">
            <v>Danmeter</v>
          </cell>
          <cell r="O1106" t="str">
            <v>Elpha II 3000</v>
          </cell>
          <cell r="P1106" t="str">
            <v>2013080058</v>
          </cell>
          <cell r="Q1106" t="str">
            <v>Not Applicable</v>
          </cell>
          <cell r="R1106" t="str">
            <v>Danmeter AS</v>
          </cell>
          <cell r="S1106" t="str">
            <v>Maycare (M) Sdn. Bhd.</v>
          </cell>
          <cell r="T1106" t="str">
            <v>Functioning</v>
          </cell>
          <cell r="U1106" t="str">
            <v>Asset</v>
          </cell>
          <cell r="V1106">
            <v>420</v>
          </cell>
          <cell r="W1106" t="str">
            <v>KEW</v>
          </cell>
          <cell r="X1106" t="str">
            <v>01/09/2010</v>
          </cell>
          <cell r="Y1106" t="str">
            <v>KEW</v>
          </cell>
          <cell r="Z1106" t="str">
            <v>16/08/2013</v>
          </cell>
          <cell r="AA1106" t="str">
            <v>15/08/2015</v>
          </cell>
          <cell r="AB1106" t="str">
            <v>No</v>
          </cell>
          <cell r="AC1106" t="str">
            <v>31/08/2013</v>
          </cell>
          <cell r="AD1106" t="str">
            <v>Good</v>
          </cell>
          <cell r="AE1106" t="str">
            <v>V1 - Existing / No Claim</v>
          </cell>
          <cell r="AF1106">
            <v>42235</v>
          </cell>
          <cell r="AG1106">
            <v>9.17</v>
          </cell>
          <cell r="AH1106" t="str">
            <v>PPM</v>
          </cell>
          <cell r="AI1106" t="str">
            <v>Strands</v>
          </cell>
          <cell r="AJ1106" t="str">
            <v>Strands PW</v>
          </cell>
        </row>
        <row r="1107">
          <cell r="A1107" t="str">
            <v>IKN400697</v>
          </cell>
          <cell r="B1107">
            <v>697</v>
          </cell>
          <cell r="C1107" t="str">
            <v>Institut Kanser Negara</v>
          </cell>
          <cell r="D1107" t="str">
            <v>KKM/IKN/I/13/9508</v>
          </cell>
          <cell r="E1107" t="str">
            <v>13-775</v>
          </cell>
          <cell r="F1107" t="str">
            <v>Stimulators, Electrical, Neuromuscular</v>
          </cell>
          <cell r="G1107" t="str">
            <v>PY</v>
          </cell>
          <cell r="H1107" t="str">
            <v>PHYSIOTHERAPY</v>
          </cell>
          <cell r="I1107" t="str">
            <v>04PY119</v>
          </cell>
          <cell r="J1107" t="str">
            <v>EQ.ROOM</v>
          </cell>
          <cell r="K1107" t="str">
            <v>BMED</v>
          </cell>
          <cell r="L1107" t="str">
            <v>Normal</v>
          </cell>
          <cell r="M1107" t="str">
            <v>Denmark</v>
          </cell>
          <cell r="N1107" t="str">
            <v>Danmeter</v>
          </cell>
          <cell r="O1107" t="str">
            <v>Elpha II 3000</v>
          </cell>
          <cell r="P1107" t="str">
            <v>2011080571</v>
          </cell>
          <cell r="Q1107" t="str">
            <v>Not Applicable</v>
          </cell>
          <cell r="R1107" t="str">
            <v>Danmeter AS</v>
          </cell>
          <cell r="S1107" t="str">
            <v>Maycare (M) Sdn. Bhd.</v>
          </cell>
          <cell r="T1107" t="str">
            <v>Functioning</v>
          </cell>
          <cell r="U1107" t="str">
            <v>Asset</v>
          </cell>
          <cell r="V1107">
            <v>420</v>
          </cell>
          <cell r="W1107" t="str">
            <v>KEW</v>
          </cell>
          <cell r="X1107" t="str">
            <v>01/09/2010</v>
          </cell>
          <cell r="Y1107" t="str">
            <v>KEW</v>
          </cell>
          <cell r="Z1107" t="str">
            <v>16/08/2013</v>
          </cell>
          <cell r="AA1107" t="str">
            <v>15/08/2015</v>
          </cell>
          <cell r="AB1107" t="str">
            <v>No</v>
          </cell>
          <cell r="AC1107" t="str">
            <v>31/08/2013</v>
          </cell>
          <cell r="AD1107" t="str">
            <v>Good</v>
          </cell>
          <cell r="AE1107" t="str">
            <v>V3 - Added Installed Facilities (New)</v>
          </cell>
          <cell r="AF1107">
            <v>42235</v>
          </cell>
          <cell r="AG1107">
            <v>9.17</v>
          </cell>
          <cell r="AH1107" t="str">
            <v>PPM</v>
          </cell>
          <cell r="AI1107" t="str">
            <v>Strands</v>
          </cell>
          <cell r="AJ1107" t="str">
            <v>Strands PW</v>
          </cell>
          <cell r="AK1107" t="str">
            <v>SNF received. 1st batch of V3 asset (December 2020)</v>
          </cell>
        </row>
        <row r="1108">
          <cell r="A1108" t="str">
            <v>IKN400698</v>
          </cell>
          <cell r="B1108">
            <v>698</v>
          </cell>
          <cell r="C1108" t="str">
            <v>Institut Kanser Negara</v>
          </cell>
          <cell r="D1108" t="str">
            <v>KKM/IKN/H/13/1810</v>
          </cell>
          <cell r="E1108" t="str">
            <v>17-908</v>
          </cell>
          <cell r="F1108" t="str">
            <v>Ultrasound Therapy/Neuromuscular Stimulation Systems, Physic</v>
          </cell>
          <cell r="G1108" t="str">
            <v>PY</v>
          </cell>
          <cell r="H1108" t="str">
            <v>PHYSIOTHERAPY</v>
          </cell>
          <cell r="I1108" t="str">
            <v>04PY119</v>
          </cell>
          <cell r="J1108" t="str">
            <v>EQ.ROOM</v>
          </cell>
          <cell r="K1108" t="str">
            <v>BMED</v>
          </cell>
          <cell r="L1108" t="str">
            <v>Normal</v>
          </cell>
          <cell r="M1108" t="str">
            <v>Belgium</v>
          </cell>
          <cell r="N1108" t="str">
            <v>Gymna</v>
          </cell>
          <cell r="O1108" t="str">
            <v>Gymna Combi 200</v>
          </cell>
          <cell r="P1108" t="str">
            <v>65973</v>
          </cell>
          <cell r="Q1108" t="str">
            <v>Not Applicable</v>
          </cell>
          <cell r="R1108" t="str">
            <v>GymnaUniphy NV</v>
          </cell>
          <cell r="S1108" t="str">
            <v>Maycare (M) Sdn. Bhd.</v>
          </cell>
          <cell r="T1108" t="str">
            <v>Functioning</v>
          </cell>
          <cell r="U1108" t="str">
            <v>Asset</v>
          </cell>
          <cell r="V1108">
            <v>18640</v>
          </cell>
          <cell r="W1108" t="str">
            <v>KEW</v>
          </cell>
          <cell r="X1108" t="str">
            <v>01/09/2010</v>
          </cell>
          <cell r="Y1108" t="str">
            <v>KEW</v>
          </cell>
          <cell r="Z1108" t="str">
            <v>16/08/2013</v>
          </cell>
          <cell r="AA1108" t="str">
            <v>15/08/2015</v>
          </cell>
          <cell r="AB1108" t="str">
            <v>No</v>
          </cell>
          <cell r="AC1108" t="str">
            <v>31/08/2013</v>
          </cell>
          <cell r="AD1108" t="str">
            <v>Good</v>
          </cell>
          <cell r="AE1108" t="str">
            <v>V1 - Existing / No Claim</v>
          </cell>
          <cell r="AF1108">
            <v>42802</v>
          </cell>
          <cell r="AG1108">
            <v>9.17</v>
          </cell>
          <cell r="AH1108" t="str">
            <v>PPM</v>
          </cell>
          <cell r="AI1108" t="str">
            <v>Strands</v>
          </cell>
          <cell r="AJ1108" t="str">
            <v>Strands PW</v>
          </cell>
          <cell r="AK1108" t="str">
            <v>[27/12/2023, SHARIFAH]: PEP ON 22/12/2023, BER/BEMS/IKN/23/023 - Aset mengalami kerosakan pada US probe, namun masih boleh digunakan dan hendaklah diselenggarakan sehingga dilupuskan.</v>
          </cell>
        </row>
        <row r="1109">
          <cell r="A1109" t="str">
            <v>IKN400700</v>
          </cell>
          <cell r="B1109">
            <v>700</v>
          </cell>
          <cell r="C1109" t="str">
            <v>Institut Kanser Negara</v>
          </cell>
          <cell r="D1109" t="str">
            <v>KKM/IKN/H/13/5103</v>
          </cell>
          <cell r="E1109" t="str">
            <v>15-045</v>
          </cell>
          <cell r="F1109" t="str">
            <v>Nebulizers, Nonheated</v>
          </cell>
          <cell r="G1109" t="str">
            <v>PY</v>
          </cell>
          <cell r="H1109" t="str">
            <v>PHYSIOTHERAPY</v>
          </cell>
          <cell r="I1109" t="str">
            <v>04PY130</v>
          </cell>
          <cell r="J1109" t="str">
            <v>RESPIRATORY</v>
          </cell>
          <cell r="K1109" t="str">
            <v>BMED</v>
          </cell>
          <cell r="L1109" t="str">
            <v>Normal</v>
          </cell>
          <cell r="M1109" t="str">
            <v>Germany</v>
          </cell>
          <cell r="N1109" t="str">
            <v>Pari Boy</v>
          </cell>
          <cell r="O1109" t="str">
            <v>Pari Boy SX 085</v>
          </cell>
          <cell r="P1109" t="str">
            <v>2W12F13732</v>
          </cell>
          <cell r="Q1109" t="str">
            <v>Not Applicable</v>
          </cell>
          <cell r="R1109" t="str">
            <v>Pari GmbH</v>
          </cell>
          <cell r="S1109" t="str">
            <v>Welch Allyn Malaysia Sdn Bhd</v>
          </cell>
          <cell r="T1109" t="str">
            <v>Functioning</v>
          </cell>
          <cell r="U1109" t="str">
            <v>Asset</v>
          </cell>
          <cell r="V1109">
            <v>1140</v>
          </cell>
          <cell r="W1109" t="str">
            <v>KEW</v>
          </cell>
          <cell r="X1109" t="str">
            <v>01/09/2010</v>
          </cell>
          <cell r="Y1109" t="str">
            <v>KEW</v>
          </cell>
          <cell r="Z1109" t="str">
            <v>16/08/2013</v>
          </cell>
          <cell r="AA1109" t="str">
            <v>15/08/2015</v>
          </cell>
          <cell r="AB1109" t="str">
            <v>No</v>
          </cell>
          <cell r="AC1109" t="str">
            <v>31/08/2013</v>
          </cell>
          <cell r="AD1109" t="str">
            <v>Good</v>
          </cell>
          <cell r="AE1109" t="str">
            <v>V3 - Added Installed Facilities (New)</v>
          </cell>
          <cell r="AF1109">
            <v>42802</v>
          </cell>
          <cell r="AG1109">
            <v>9.17</v>
          </cell>
          <cell r="AH1109" t="str">
            <v>PPM</v>
          </cell>
          <cell r="AI1109" t="str">
            <v>Strands</v>
          </cell>
          <cell r="AJ1109" t="str">
            <v>Strands PW</v>
          </cell>
          <cell r="AK1109" t="str">
            <v>SNF received. 1st batch of V3 asset (December 2020)</v>
          </cell>
        </row>
        <row r="1110">
          <cell r="A1110" t="str">
            <v>IKN400701</v>
          </cell>
          <cell r="B1110">
            <v>701</v>
          </cell>
          <cell r="C1110" t="str">
            <v>Institut Kanser Negara</v>
          </cell>
          <cell r="D1110" t="str">
            <v>KKM/IKN/H/13/1421</v>
          </cell>
          <cell r="E1110" t="str">
            <v>10-208</v>
          </cell>
          <cell r="F1110" t="str">
            <v>Aspirators</v>
          </cell>
          <cell r="G1110" t="str">
            <v>PY</v>
          </cell>
          <cell r="H1110" t="str">
            <v>PHYSIOTHERAPY</v>
          </cell>
          <cell r="I1110" t="str">
            <v>04PY130</v>
          </cell>
          <cell r="J1110" t="str">
            <v>RESPIRATORY</v>
          </cell>
          <cell r="K1110" t="str">
            <v>BMED</v>
          </cell>
          <cell r="L1110" t="str">
            <v>Critical</v>
          </cell>
          <cell r="M1110" t="str">
            <v>Italy</v>
          </cell>
          <cell r="N1110" t="str">
            <v>Askir</v>
          </cell>
          <cell r="O1110" t="str">
            <v>Askir 36-BR</v>
          </cell>
          <cell r="P1110" t="str">
            <v>1394</v>
          </cell>
          <cell r="Q1110" t="str">
            <v>Not Applicable</v>
          </cell>
          <cell r="R1110" t="str">
            <v>Ca-Mi Snc</v>
          </cell>
          <cell r="S1110" t="str">
            <v>Antah Sir Radin Sdn. Bhd.</v>
          </cell>
          <cell r="T1110" t="str">
            <v>Functioning</v>
          </cell>
          <cell r="U1110" t="str">
            <v>Asset</v>
          </cell>
          <cell r="V1110">
            <v>2165</v>
          </cell>
          <cell r="W1110" t="str">
            <v>KEW</v>
          </cell>
          <cell r="X1110" t="str">
            <v>01/09/2010</v>
          </cell>
          <cell r="Y1110" t="str">
            <v>KEW</v>
          </cell>
          <cell r="Z1110" t="str">
            <v>16/08/2013</v>
          </cell>
          <cell r="AA1110" t="str">
            <v>15/08/2015</v>
          </cell>
          <cell r="AB1110" t="str">
            <v>No</v>
          </cell>
          <cell r="AC1110" t="str">
            <v>31/08/2013</v>
          </cell>
          <cell r="AD1110" t="str">
            <v>Good</v>
          </cell>
          <cell r="AE1110" t="str">
            <v>V1 - Existing / No Claim</v>
          </cell>
          <cell r="AF1110">
            <v>42802</v>
          </cell>
          <cell r="AG1110">
            <v>9.17</v>
          </cell>
          <cell r="AH1110" t="str">
            <v>PPM</v>
          </cell>
          <cell r="AI1110" t="str">
            <v>Strands</v>
          </cell>
          <cell r="AJ1110" t="str">
            <v>Strands PW</v>
          </cell>
        </row>
        <row r="1111">
          <cell r="A1111" t="str">
            <v>IKN400702</v>
          </cell>
          <cell r="B1111">
            <v>702</v>
          </cell>
          <cell r="C1111" t="str">
            <v>Institut Kanser Negara</v>
          </cell>
          <cell r="D1111" t="str">
            <v>KKM/IKN/H/13/1420</v>
          </cell>
          <cell r="E1111" t="str">
            <v>13-680</v>
          </cell>
          <cell r="F1111" t="str">
            <v>Spirometers, Diagnostic</v>
          </cell>
          <cell r="G1111" t="str">
            <v>PY</v>
          </cell>
          <cell r="H1111" t="str">
            <v>PHYSIOTHERAPY</v>
          </cell>
          <cell r="I1111" t="str">
            <v>04PY130</v>
          </cell>
          <cell r="J1111" t="str">
            <v>RESPIRATORY</v>
          </cell>
          <cell r="K1111" t="str">
            <v>BMED</v>
          </cell>
          <cell r="L1111" t="str">
            <v>Normal</v>
          </cell>
          <cell r="M1111" t="str">
            <v>USA</v>
          </cell>
          <cell r="N1111" t="str">
            <v>SpiroPerfect</v>
          </cell>
          <cell r="O1111" t="str">
            <v>SpiroPerfect</v>
          </cell>
          <cell r="P1111" t="str">
            <v>M946800121331</v>
          </cell>
          <cell r="Q1111" t="str">
            <v>Not Applicable</v>
          </cell>
          <cell r="R1111" t="str">
            <v>Welch Allyn Inc</v>
          </cell>
          <cell r="S1111" t="str">
            <v>Welch Allyn Malaysia Sdn Bhd</v>
          </cell>
          <cell r="T1111" t="str">
            <v>Functioning</v>
          </cell>
          <cell r="U1111" t="str">
            <v>Asset</v>
          </cell>
          <cell r="V1111">
            <v>10230</v>
          </cell>
          <cell r="W1111" t="str">
            <v>KEW</v>
          </cell>
          <cell r="X1111" t="str">
            <v>01/09/2010</v>
          </cell>
          <cell r="Y1111" t="str">
            <v>KEW</v>
          </cell>
          <cell r="Z1111" t="str">
            <v>16/08/2013</v>
          </cell>
          <cell r="AA1111" t="str">
            <v>15/08/2015</v>
          </cell>
          <cell r="AB1111" t="str">
            <v>No</v>
          </cell>
          <cell r="AC1111" t="str">
            <v>31/08/2013</v>
          </cell>
          <cell r="AD1111" t="str">
            <v>Good</v>
          </cell>
          <cell r="AE1111" t="str">
            <v>V1 - Existing / No Claim</v>
          </cell>
          <cell r="AF1111">
            <v>42802</v>
          </cell>
          <cell r="AG1111">
            <v>9.17</v>
          </cell>
          <cell r="AH1111" t="str">
            <v>PPM</v>
          </cell>
          <cell r="AI1111" t="str">
            <v>Strands</v>
          </cell>
          <cell r="AJ1111" t="str">
            <v>Strands Package</v>
          </cell>
          <cell r="AK1111" t="str">
            <v>Package Code MS0002</v>
          </cell>
        </row>
        <row r="1112">
          <cell r="A1112" t="str">
            <v>IKN400703</v>
          </cell>
          <cell r="B1112">
            <v>703</v>
          </cell>
          <cell r="C1112" t="str">
            <v>Institut Kanser Negara</v>
          </cell>
          <cell r="D1112" t="str">
            <v>KKM/IKN/H/13/1415</v>
          </cell>
          <cell r="E1112" t="str">
            <v>10-383</v>
          </cell>
          <cell r="F1112" t="str">
            <v>Ergometers, Bicycle</v>
          </cell>
          <cell r="G1112" t="str">
            <v>PY</v>
          </cell>
          <cell r="H1112" t="str">
            <v>PHYSIOTHERAPY</v>
          </cell>
          <cell r="I1112" t="str">
            <v>04PY115</v>
          </cell>
          <cell r="J1112" t="str">
            <v>GYMNASIUM</v>
          </cell>
          <cell r="K1112" t="str">
            <v>BMED</v>
          </cell>
          <cell r="L1112" t="str">
            <v>Normal</v>
          </cell>
          <cell r="M1112" t="str">
            <v>Germany</v>
          </cell>
          <cell r="N1112" t="str">
            <v>Ergometer</v>
          </cell>
          <cell r="O1112" t="str">
            <v>Ergometer E5</v>
          </cell>
          <cell r="P1112" t="str">
            <v>E5-W00620</v>
          </cell>
          <cell r="Q1112" t="str">
            <v>Not Applicable</v>
          </cell>
          <cell r="R1112" t="str">
            <v>Heinz Kettler GmbH &amp; Co KG</v>
          </cell>
          <cell r="S1112" t="str">
            <v>Rehamed (Malaysia) Sdn Bhd</v>
          </cell>
          <cell r="T1112" t="str">
            <v>Functioning</v>
          </cell>
          <cell r="U1112" t="str">
            <v>Asset</v>
          </cell>
          <cell r="V1112">
            <v>6610</v>
          </cell>
          <cell r="W1112" t="str">
            <v>KEW</v>
          </cell>
          <cell r="X1112" t="str">
            <v>01/09/2010</v>
          </cell>
          <cell r="Y1112" t="str">
            <v>KEW</v>
          </cell>
          <cell r="Z1112" t="str">
            <v>16/08/2013</v>
          </cell>
          <cell r="AA1112" t="str">
            <v>15/08/2015</v>
          </cell>
          <cell r="AB1112" t="str">
            <v>No</v>
          </cell>
          <cell r="AC1112" t="str">
            <v>31/08/2013</v>
          </cell>
          <cell r="AD1112" t="str">
            <v>Good</v>
          </cell>
          <cell r="AE1112" t="str">
            <v>V1 - Existing / No Claim</v>
          </cell>
          <cell r="AF1112">
            <v>42802</v>
          </cell>
          <cell r="AG1112">
            <v>9.17</v>
          </cell>
          <cell r="AH1112" t="str">
            <v>PPM</v>
          </cell>
          <cell r="AI1112" t="str">
            <v>Strands</v>
          </cell>
          <cell r="AJ1112" t="str">
            <v>Strands PW F</v>
          </cell>
        </row>
        <row r="1113">
          <cell r="A1113" t="str">
            <v>IKN400704</v>
          </cell>
          <cell r="B1113">
            <v>704</v>
          </cell>
          <cell r="C1113" t="str">
            <v>Institut Kanser Negara</v>
          </cell>
          <cell r="D1113" t="str">
            <v>KKM/IKN/H/13/1858</v>
          </cell>
          <cell r="E1113" t="str">
            <v>10-780</v>
          </cell>
          <cell r="F1113" t="str">
            <v>Centrifuges, Tabletop</v>
          </cell>
          <cell r="G1113" t="str">
            <v>LA</v>
          </cell>
          <cell r="H1113" t="str">
            <v>PATHOLOGY</v>
          </cell>
          <cell r="I1113" t="str">
            <v>04LA137</v>
          </cell>
          <cell r="J1113" t="str">
            <v>PRE-ANALYTICAL 1</v>
          </cell>
          <cell r="K1113" t="str">
            <v>BMED</v>
          </cell>
          <cell r="L1113" t="str">
            <v>Normal</v>
          </cell>
          <cell r="M1113" t="str">
            <v>Germany</v>
          </cell>
          <cell r="N1113" t="str">
            <v>Rotofix</v>
          </cell>
          <cell r="O1113" t="str">
            <v>Rotofix 32A</v>
          </cell>
          <cell r="P1113" t="str">
            <v>20367</v>
          </cell>
          <cell r="Q1113" t="str">
            <v>Not Applicable</v>
          </cell>
          <cell r="R1113" t="str">
            <v>Hettich-Zentrifugen GmbH</v>
          </cell>
          <cell r="S1113" t="str">
            <v>Biomarketing Services (M) Sdn Bhd</v>
          </cell>
          <cell r="T1113" t="str">
            <v>Functioning</v>
          </cell>
          <cell r="U1113" t="str">
            <v>Asset</v>
          </cell>
          <cell r="V1113">
            <v>24060</v>
          </cell>
          <cell r="W1113" t="str">
            <v>KEW</v>
          </cell>
          <cell r="X1113" t="str">
            <v>01/09/2010</v>
          </cell>
          <cell r="Y1113" t="str">
            <v>KEW</v>
          </cell>
          <cell r="Z1113" t="str">
            <v>16/08/2013</v>
          </cell>
          <cell r="AA1113" t="str">
            <v>15/08/2015</v>
          </cell>
          <cell r="AB1113" t="str">
            <v>No</v>
          </cell>
          <cell r="AC1113" t="str">
            <v>31/08/2013</v>
          </cell>
          <cell r="AD1113" t="str">
            <v>Good</v>
          </cell>
          <cell r="AE1113" t="str">
            <v>V1 - Existing / No Claim</v>
          </cell>
          <cell r="AF1113">
            <v>42790</v>
          </cell>
          <cell r="AG1113">
            <v>9.17</v>
          </cell>
          <cell r="AH1113" t="str">
            <v>PPM</v>
          </cell>
          <cell r="AI1113" t="str">
            <v>Strands</v>
          </cell>
          <cell r="AJ1113" t="str">
            <v>Strands PW</v>
          </cell>
        </row>
        <row r="1114">
          <cell r="A1114" t="str">
            <v>IKN400705</v>
          </cell>
          <cell r="B1114">
            <v>705</v>
          </cell>
          <cell r="C1114" t="str">
            <v>Institut Kanser Negara</v>
          </cell>
          <cell r="D1114" t="str">
            <v>KKM/IKN/H/13/1861</v>
          </cell>
          <cell r="E1114" t="str">
            <v>10-780</v>
          </cell>
          <cell r="F1114" t="str">
            <v>Centrifuges, Tabletop</v>
          </cell>
          <cell r="G1114" t="str">
            <v>LA</v>
          </cell>
          <cell r="H1114" t="str">
            <v>PATHOLOGY</v>
          </cell>
          <cell r="I1114" t="str">
            <v>04LA138</v>
          </cell>
          <cell r="J1114" t="str">
            <v>PRE-ANALYTICAL 2</v>
          </cell>
          <cell r="K1114" t="str">
            <v>BMED</v>
          </cell>
          <cell r="L1114" t="str">
            <v>Normal</v>
          </cell>
          <cell r="M1114" t="str">
            <v>Germany</v>
          </cell>
          <cell r="N1114" t="str">
            <v>Rotofix</v>
          </cell>
          <cell r="O1114" t="str">
            <v>Rotofix 32A</v>
          </cell>
          <cell r="P1114" t="str">
            <v>18608</v>
          </cell>
          <cell r="Q1114" t="str">
            <v>Not Applicable</v>
          </cell>
          <cell r="R1114" t="str">
            <v>Hettich-Zentrifugen GmbH</v>
          </cell>
          <cell r="S1114" t="str">
            <v>Biomarketing Services (M) Sdn Bhd</v>
          </cell>
          <cell r="T1114" t="str">
            <v>Functioning</v>
          </cell>
          <cell r="U1114" t="str">
            <v>Asset</v>
          </cell>
          <cell r="V1114">
            <v>24060</v>
          </cell>
          <cell r="W1114" t="str">
            <v>KEW</v>
          </cell>
          <cell r="X1114" t="str">
            <v>01/09/2010</v>
          </cell>
          <cell r="Y1114" t="str">
            <v>KEW</v>
          </cell>
          <cell r="Z1114" t="str">
            <v>16/08/2013</v>
          </cell>
          <cell r="AA1114" t="str">
            <v>15/08/2015</v>
          </cell>
          <cell r="AB1114" t="str">
            <v>No</v>
          </cell>
          <cell r="AC1114" t="str">
            <v>31/08/2013</v>
          </cell>
          <cell r="AD1114" t="str">
            <v>Good</v>
          </cell>
          <cell r="AE1114" t="str">
            <v>V1 - Existing / No Claim</v>
          </cell>
          <cell r="AF1114">
            <v>42790</v>
          </cell>
          <cell r="AG1114">
            <v>9.17</v>
          </cell>
          <cell r="AH1114" t="str">
            <v>PPM</v>
          </cell>
          <cell r="AI1114" t="str">
            <v>Strands</v>
          </cell>
          <cell r="AJ1114" t="str">
            <v>Strands PW</v>
          </cell>
        </row>
        <row r="1115">
          <cell r="A1115" t="str">
            <v>IKN400706</v>
          </cell>
          <cell r="B1115">
            <v>706</v>
          </cell>
          <cell r="C1115" t="str">
            <v>Institut Kanser Negara</v>
          </cell>
          <cell r="D1115" t="str">
            <v>KKM/IKN/H/13/1857</v>
          </cell>
          <cell r="E1115" t="str">
            <v>10-780</v>
          </cell>
          <cell r="F1115" t="str">
            <v>Centrifuges, Tabletop</v>
          </cell>
          <cell r="G1115" t="str">
            <v>LA</v>
          </cell>
          <cell r="H1115" t="str">
            <v>PATHOLOGY</v>
          </cell>
          <cell r="I1115" t="str">
            <v>04LA137</v>
          </cell>
          <cell r="J1115" t="str">
            <v>PRE-ANALYTICAL 1</v>
          </cell>
          <cell r="K1115" t="str">
            <v>BMED</v>
          </cell>
          <cell r="L1115" t="str">
            <v>Normal</v>
          </cell>
          <cell r="M1115" t="str">
            <v>Germany</v>
          </cell>
          <cell r="N1115" t="str">
            <v>Rotofix</v>
          </cell>
          <cell r="O1115" t="str">
            <v>Rotofix 32A</v>
          </cell>
          <cell r="P1115" t="str">
            <v>18398</v>
          </cell>
          <cell r="Q1115" t="str">
            <v>Not Applicable</v>
          </cell>
          <cell r="R1115" t="str">
            <v>Hettich-Zentrifugen GmbH</v>
          </cell>
          <cell r="S1115" t="str">
            <v>Biomarketing Services (M) Sdn Bhd</v>
          </cell>
          <cell r="T1115" t="str">
            <v>Functioning</v>
          </cell>
          <cell r="U1115" t="str">
            <v>Asset</v>
          </cell>
          <cell r="V1115">
            <v>24060</v>
          </cell>
          <cell r="W1115" t="str">
            <v>KEW</v>
          </cell>
          <cell r="X1115" t="str">
            <v>01/09/2010</v>
          </cell>
          <cell r="Y1115" t="str">
            <v>KEW</v>
          </cell>
          <cell r="Z1115" t="str">
            <v>16/08/2013</v>
          </cell>
          <cell r="AA1115" t="str">
            <v>15/08/2015</v>
          </cell>
          <cell r="AB1115" t="str">
            <v>No</v>
          </cell>
          <cell r="AC1115" t="str">
            <v>31/08/2013</v>
          </cell>
          <cell r="AD1115" t="str">
            <v>Good</v>
          </cell>
          <cell r="AE1115" t="str">
            <v>V1 - Existing / No Claim</v>
          </cell>
          <cell r="AF1115">
            <v>42790</v>
          </cell>
          <cell r="AG1115">
            <v>9.17</v>
          </cell>
          <cell r="AH1115" t="str">
            <v>PPM</v>
          </cell>
          <cell r="AI1115" t="str">
            <v>Strands</v>
          </cell>
          <cell r="AJ1115" t="str">
            <v>Strands PW</v>
          </cell>
        </row>
        <row r="1116">
          <cell r="A1116" t="str">
            <v>IKN400707</v>
          </cell>
          <cell r="B1116">
            <v>707</v>
          </cell>
          <cell r="C1116" t="str">
            <v>Institut Kanser Negara</v>
          </cell>
          <cell r="D1116" t="str">
            <v>KKM/IKN/H/13/4683</v>
          </cell>
          <cell r="E1116" t="str">
            <v>10-780</v>
          </cell>
          <cell r="F1116" t="str">
            <v>Centrifuges, Tabletop</v>
          </cell>
          <cell r="G1116" t="str">
            <v>LA</v>
          </cell>
          <cell r="H1116" t="str">
            <v>PATHOLOGY</v>
          </cell>
          <cell r="I1116" t="str">
            <v>04LA137</v>
          </cell>
          <cell r="J1116" t="str">
            <v>PRE-ANALYTICAL 1</v>
          </cell>
          <cell r="K1116" t="str">
            <v>BMED</v>
          </cell>
          <cell r="L1116" t="str">
            <v>Normal</v>
          </cell>
          <cell r="M1116" t="str">
            <v>Germany</v>
          </cell>
          <cell r="N1116" t="str">
            <v>Rotofix</v>
          </cell>
          <cell r="O1116" t="str">
            <v>Rotofix 32A</v>
          </cell>
          <cell r="P1116" t="str">
            <v>20089</v>
          </cell>
          <cell r="Q1116" t="str">
            <v>Not Applicable</v>
          </cell>
          <cell r="R1116" t="str">
            <v>Hettich-Zentrifugen GmbH</v>
          </cell>
          <cell r="S1116" t="str">
            <v>Biomarketing Services (M) Sdn Bhd</v>
          </cell>
          <cell r="T1116" t="str">
            <v>Functioning</v>
          </cell>
          <cell r="U1116" t="str">
            <v>Asset</v>
          </cell>
          <cell r="V1116">
            <v>24060</v>
          </cell>
          <cell r="W1116" t="str">
            <v>KEW</v>
          </cell>
          <cell r="X1116" t="str">
            <v>01/09/2010</v>
          </cell>
          <cell r="Y1116" t="str">
            <v>KEW</v>
          </cell>
          <cell r="Z1116" t="str">
            <v>16/08/2013</v>
          </cell>
          <cell r="AA1116" t="str">
            <v>15/08/2015</v>
          </cell>
          <cell r="AB1116" t="str">
            <v>No</v>
          </cell>
          <cell r="AC1116" t="str">
            <v>31/08/2013</v>
          </cell>
          <cell r="AD1116" t="str">
            <v>Good</v>
          </cell>
          <cell r="AE1116" t="str">
            <v>V1 - Existing / No Claim</v>
          </cell>
          <cell r="AF1116">
            <v>42235</v>
          </cell>
          <cell r="AG1116">
            <v>9.17</v>
          </cell>
          <cell r="AH1116" t="str">
            <v>PPM</v>
          </cell>
          <cell r="AI1116" t="str">
            <v>Strands</v>
          </cell>
          <cell r="AJ1116" t="str">
            <v>Strands PW</v>
          </cell>
        </row>
        <row r="1117">
          <cell r="A1117" t="str">
            <v>IKN400708</v>
          </cell>
          <cell r="B1117">
            <v>708</v>
          </cell>
          <cell r="C1117" t="str">
            <v>Institut Kanser Negara</v>
          </cell>
          <cell r="D1117" t="str">
            <v>KKM/IKN/H/13/1859</v>
          </cell>
          <cell r="E1117" t="str">
            <v>10-780</v>
          </cell>
          <cell r="F1117" t="str">
            <v>Centrifuges, Tabletop</v>
          </cell>
          <cell r="G1117" t="str">
            <v>LA</v>
          </cell>
          <cell r="H1117" t="str">
            <v>PATHOLOGY</v>
          </cell>
          <cell r="I1117" t="str">
            <v>04LA138</v>
          </cell>
          <cell r="J1117" t="str">
            <v>PRE-ANALYTICAL 2</v>
          </cell>
          <cell r="K1117" t="str">
            <v>BMED</v>
          </cell>
          <cell r="L1117" t="str">
            <v>Normal</v>
          </cell>
          <cell r="M1117" t="str">
            <v>Germany</v>
          </cell>
          <cell r="N1117" t="str">
            <v>Rotofix</v>
          </cell>
          <cell r="O1117" t="str">
            <v>Rotofix 32A</v>
          </cell>
          <cell r="P1117" t="str">
            <v>18609</v>
          </cell>
          <cell r="Q1117" t="str">
            <v>Not Applicable</v>
          </cell>
          <cell r="R1117" t="str">
            <v>Hettich-Zentrifugen GmbH</v>
          </cell>
          <cell r="S1117" t="str">
            <v>Biomarketing Services (M) Sdn Bhd</v>
          </cell>
          <cell r="T1117" t="str">
            <v>Functioning</v>
          </cell>
          <cell r="U1117" t="str">
            <v>Asset</v>
          </cell>
          <cell r="V1117">
            <v>24060</v>
          </cell>
          <cell r="W1117" t="str">
            <v>KEW</v>
          </cell>
          <cell r="X1117" t="str">
            <v>01/09/2010</v>
          </cell>
          <cell r="Y1117" t="str">
            <v>KEW</v>
          </cell>
          <cell r="Z1117" t="str">
            <v>16/08/2013</v>
          </cell>
          <cell r="AA1117" t="str">
            <v>15/08/2015</v>
          </cell>
          <cell r="AB1117" t="str">
            <v>No</v>
          </cell>
          <cell r="AC1117" t="str">
            <v>31/08/2013</v>
          </cell>
          <cell r="AD1117" t="str">
            <v>Good</v>
          </cell>
          <cell r="AE1117" t="str">
            <v>V1 - Existing / No Claim</v>
          </cell>
          <cell r="AF1117">
            <v>42790</v>
          </cell>
          <cell r="AG1117">
            <v>9.17</v>
          </cell>
          <cell r="AH1117" t="str">
            <v>PPM</v>
          </cell>
          <cell r="AI1117" t="str">
            <v>Strands</v>
          </cell>
          <cell r="AJ1117" t="str">
            <v>Strands PW</v>
          </cell>
        </row>
        <row r="1118">
          <cell r="A1118" t="str">
            <v>IKN400709</v>
          </cell>
          <cell r="B1118">
            <v>709</v>
          </cell>
          <cell r="C1118" t="str">
            <v>Institut Kanser Negara</v>
          </cell>
          <cell r="D1118" t="str">
            <v>KKM/IKN/H/13/1862</v>
          </cell>
          <cell r="E1118" t="str">
            <v>10-780</v>
          </cell>
          <cell r="F1118" t="str">
            <v>Centrifuges, Tabletop</v>
          </cell>
          <cell r="G1118" t="str">
            <v>LA</v>
          </cell>
          <cell r="H1118" t="str">
            <v>PATHOLOGY</v>
          </cell>
          <cell r="I1118" t="str">
            <v>04LA138</v>
          </cell>
          <cell r="J1118" t="str">
            <v>PRE-ANALYTICAL 2</v>
          </cell>
          <cell r="K1118" t="str">
            <v>BMED</v>
          </cell>
          <cell r="L1118" t="str">
            <v>Normal</v>
          </cell>
          <cell r="M1118" t="str">
            <v>Germany</v>
          </cell>
          <cell r="N1118" t="str">
            <v>Rotofix</v>
          </cell>
          <cell r="O1118" t="str">
            <v>Rotofix 32A</v>
          </cell>
          <cell r="P1118" t="str">
            <v>19342</v>
          </cell>
          <cell r="Q1118" t="str">
            <v>Not Applicable</v>
          </cell>
          <cell r="R1118" t="str">
            <v>Hettich-Zentrifugen GmbH</v>
          </cell>
          <cell r="S1118" t="str">
            <v>Biomarketing Services (M) Sdn Bhd</v>
          </cell>
          <cell r="T1118" t="str">
            <v>Functioning</v>
          </cell>
          <cell r="U1118" t="str">
            <v>Asset</v>
          </cell>
          <cell r="V1118">
            <v>24060</v>
          </cell>
          <cell r="W1118" t="str">
            <v>KEW</v>
          </cell>
          <cell r="X1118" t="str">
            <v>01/09/2010</v>
          </cell>
          <cell r="Y1118" t="str">
            <v>KEW</v>
          </cell>
          <cell r="Z1118" t="str">
            <v>16/08/2013</v>
          </cell>
          <cell r="AA1118" t="str">
            <v>15/08/2015</v>
          </cell>
          <cell r="AB1118" t="str">
            <v>No</v>
          </cell>
          <cell r="AC1118" t="str">
            <v>31/08/2013</v>
          </cell>
          <cell r="AD1118" t="str">
            <v>Good</v>
          </cell>
          <cell r="AE1118" t="str">
            <v>V1 - Existing / No Claim</v>
          </cell>
          <cell r="AF1118">
            <v>42790</v>
          </cell>
          <cell r="AG1118">
            <v>9.17</v>
          </cell>
          <cell r="AH1118" t="str">
            <v>PPM</v>
          </cell>
          <cell r="AI1118" t="str">
            <v>Strands</v>
          </cell>
          <cell r="AJ1118" t="str">
            <v>Strands PW</v>
          </cell>
        </row>
        <row r="1119">
          <cell r="A1119" t="str">
            <v>IKN400710</v>
          </cell>
          <cell r="B1119">
            <v>710</v>
          </cell>
          <cell r="C1119" t="str">
            <v>Institut Kanser Negara</v>
          </cell>
          <cell r="D1119" t="str">
            <v>KKM/IKN/H/13/1853</v>
          </cell>
          <cell r="E1119" t="str">
            <v>18-267</v>
          </cell>
          <cell r="F1119" t="str">
            <v>Centrifuges, Tabletop, Low-Speed, Nonrefrigerated, Blood Bank</v>
          </cell>
          <cell r="G1119" t="str">
            <v>LA</v>
          </cell>
          <cell r="H1119" t="str">
            <v>PATHOLOGY</v>
          </cell>
          <cell r="I1119" t="str">
            <v>04LA140</v>
          </cell>
          <cell r="J1119" t="str">
            <v>BLOOD BANK</v>
          </cell>
          <cell r="K1119" t="str">
            <v>BMED</v>
          </cell>
          <cell r="L1119" t="str">
            <v>Normal</v>
          </cell>
          <cell r="M1119" t="str">
            <v>Switzerland</v>
          </cell>
          <cell r="N1119" t="str">
            <v>Diacent</v>
          </cell>
          <cell r="O1119" t="str">
            <v>Diacent-12</v>
          </cell>
          <cell r="P1119" t="str">
            <v>2001197</v>
          </cell>
          <cell r="Q1119" t="str">
            <v>Not Applicable</v>
          </cell>
          <cell r="R1119" t="str">
            <v>Diamed AG</v>
          </cell>
          <cell r="S1119" t="str">
            <v>Biomarketing Services (M) Sdn Bhd</v>
          </cell>
          <cell r="T1119" t="str">
            <v>Functioning</v>
          </cell>
          <cell r="U1119" t="str">
            <v>Asset</v>
          </cell>
          <cell r="V1119">
            <v>5170</v>
          </cell>
          <cell r="W1119" t="str">
            <v>Estimate</v>
          </cell>
          <cell r="X1119" t="str">
            <v>01/09/2010</v>
          </cell>
          <cell r="Y1119" t="str">
            <v>KEW</v>
          </cell>
          <cell r="Z1119" t="str">
            <v>16/08/2013</v>
          </cell>
          <cell r="AA1119" t="str">
            <v>15/08/2015</v>
          </cell>
          <cell r="AB1119" t="str">
            <v>No</v>
          </cell>
          <cell r="AC1119" t="str">
            <v>31/08/2013</v>
          </cell>
          <cell r="AD1119" t="str">
            <v>Good</v>
          </cell>
          <cell r="AE1119" t="str">
            <v>V1 - Existing / No Claim</v>
          </cell>
          <cell r="AF1119">
            <v>42790</v>
          </cell>
          <cell r="AG1119">
            <v>9.17</v>
          </cell>
          <cell r="AH1119" t="str">
            <v>PPM</v>
          </cell>
          <cell r="AI1119" t="str">
            <v>Strands</v>
          </cell>
          <cell r="AJ1119" t="str">
            <v>Strands PW</v>
          </cell>
        </row>
        <row r="1120">
          <cell r="A1120" t="str">
            <v>IKN400711</v>
          </cell>
          <cell r="B1120">
            <v>711</v>
          </cell>
          <cell r="C1120" t="str">
            <v>Institut Kanser Negara</v>
          </cell>
          <cell r="D1120" t="str">
            <v>KKM/IKN/H/13/1850</v>
          </cell>
          <cell r="E1120" t="str">
            <v>18-267</v>
          </cell>
          <cell r="F1120" t="str">
            <v>Centrifuges, Tabletop, Low-Speed, Nonrefrigerated, Blood Bank</v>
          </cell>
          <cell r="G1120" t="str">
            <v>LA</v>
          </cell>
          <cell r="H1120" t="str">
            <v>PATHOLOGY</v>
          </cell>
          <cell r="I1120" t="str">
            <v>04LA140</v>
          </cell>
          <cell r="J1120" t="str">
            <v>BLOOD BANK</v>
          </cell>
          <cell r="K1120" t="str">
            <v>BMED</v>
          </cell>
          <cell r="L1120" t="str">
            <v>Normal</v>
          </cell>
          <cell r="M1120" t="str">
            <v>Switzerland</v>
          </cell>
          <cell r="N1120" t="str">
            <v>Diacent</v>
          </cell>
          <cell r="O1120" t="str">
            <v>Diacent-12</v>
          </cell>
          <cell r="P1120" t="str">
            <v>2001246</v>
          </cell>
          <cell r="Q1120" t="str">
            <v>Not Applicable</v>
          </cell>
          <cell r="R1120" t="str">
            <v>Diamed AG</v>
          </cell>
          <cell r="S1120" t="str">
            <v>Biomarketing Services (M) Sdn Bhd</v>
          </cell>
          <cell r="T1120" t="str">
            <v>Functioning</v>
          </cell>
          <cell r="U1120" t="str">
            <v>Asset</v>
          </cell>
          <cell r="V1120">
            <v>5170</v>
          </cell>
          <cell r="W1120" t="str">
            <v>Estimate</v>
          </cell>
          <cell r="X1120" t="str">
            <v>01/09/2010</v>
          </cell>
          <cell r="Y1120" t="str">
            <v>KEW</v>
          </cell>
          <cell r="Z1120" t="str">
            <v>16/08/2013</v>
          </cell>
          <cell r="AA1120" t="str">
            <v>15/08/2015</v>
          </cell>
          <cell r="AB1120" t="str">
            <v>No</v>
          </cell>
          <cell r="AC1120" t="str">
            <v>31/08/2013</v>
          </cell>
          <cell r="AD1120" t="str">
            <v>Good</v>
          </cell>
          <cell r="AE1120" t="str">
            <v>V1 - Existing / No Claim</v>
          </cell>
          <cell r="AF1120">
            <v>42790</v>
          </cell>
          <cell r="AG1120">
            <v>9.17</v>
          </cell>
          <cell r="AH1120" t="str">
            <v>PPM</v>
          </cell>
          <cell r="AI1120" t="str">
            <v>Strands</v>
          </cell>
          <cell r="AJ1120" t="str">
            <v>Strands PW</v>
          </cell>
        </row>
        <row r="1121">
          <cell r="A1121" t="str">
            <v>IKN400712</v>
          </cell>
          <cell r="B1121">
            <v>712</v>
          </cell>
          <cell r="C1121" t="str">
            <v>Institut Kanser Negara</v>
          </cell>
          <cell r="D1121" t="str">
            <v>KKM/IKN/H/13/1852</v>
          </cell>
          <cell r="E1121" t="str">
            <v>18-267</v>
          </cell>
          <cell r="F1121" t="str">
            <v>Centrifuges, Tabletop, Low-Speed, Nonrefrigerated, Blood Bank</v>
          </cell>
          <cell r="G1121" t="str">
            <v>LA</v>
          </cell>
          <cell r="H1121" t="str">
            <v>PATHOLOGY</v>
          </cell>
          <cell r="I1121" t="str">
            <v>04LA140</v>
          </cell>
          <cell r="J1121" t="str">
            <v>BLOOD BANK</v>
          </cell>
          <cell r="K1121" t="str">
            <v>BMED</v>
          </cell>
          <cell r="L1121" t="str">
            <v>Normal</v>
          </cell>
          <cell r="M1121" t="str">
            <v>Switzerland</v>
          </cell>
          <cell r="N1121" t="str">
            <v>Diacent</v>
          </cell>
          <cell r="O1121" t="str">
            <v>Diacent-12</v>
          </cell>
          <cell r="P1121" t="str">
            <v>2001196</v>
          </cell>
          <cell r="Q1121" t="str">
            <v>Not Applicable</v>
          </cell>
          <cell r="R1121" t="str">
            <v>Diamed AG</v>
          </cell>
          <cell r="S1121" t="str">
            <v>Biomarketing Services (M) Sdn Bhd</v>
          </cell>
          <cell r="T1121" t="str">
            <v>Functioning</v>
          </cell>
          <cell r="U1121" t="str">
            <v>Asset</v>
          </cell>
          <cell r="V1121">
            <v>5170</v>
          </cell>
          <cell r="W1121" t="str">
            <v>Estimate</v>
          </cell>
          <cell r="X1121" t="str">
            <v>01/09/2010</v>
          </cell>
          <cell r="Y1121" t="str">
            <v>KEW</v>
          </cell>
          <cell r="Z1121" t="str">
            <v>16/08/2013</v>
          </cell>
          <cell r="AA1121" t="str">
            <v>15/08/2015</v>
          </cell>
          <cell r="AB1121" t="str">
            <v>No</v>
          </cell>
          <cell r="AC1121" t="str">
            <v>31/08/2013</v>
          </cell>
          <cell r="AD1121" t="str">
            <v>Good</v>
          </cell>
          <cell r="AE1121" t="str">
            <v>V1 - Existing / No Claim</v>
          </cell>
          <cell r="AF1121">
            <v>42790</v>
          </cell>
          <cell r="AG1121">
            <v>9.17</v>
          </cell>
          <cell r="AH1121" t="str">
            <v>PPM</v>
          </cell>
          <cell r="AI1121" t="str">
            <v>Strands</v>
          </cell>
          <cell r="AJ1121" t="str">
            <v>Strands PW</v>
          </cell>
        </row>
        <row r="1122">
          <cell r="A1122" t="str">
            <v>IKN400713</v>
          </cell>
          <cell r="B1122">
            <v>713</v>
          </cell>
          <cell r="C1122" t="str">
            <v>Institut Kanser Negara</v>
          </cell>
          <cell r="D1122" t="str">
            <v>KKM/IKN/H/13/2145</v>
          </cell>
          <cell r="E1122" t="str">
            <v>10-780</v>
          </cell>
          <cell r="F1122" t="str">
            <v>Centrifuges, Tabletop</v>
          </cell>
          <cell r="G1122" t="str">
            <v>LA</v>
          </cell>
          <cell r="H1122" t="str">
            <v>PATHOLOGY</v>
          </cell>
          <cell r="I1122" t="str">
            <v>04LA140</v>
          </cell>
          <cell r="J1122" t="str">
            <v>BLOOD BANK</v>
          </cell>
          <cell r="K1122" t="str">
            <v>BMED</v>
          </cell>
          <cell r="L1122" t="str">
            <v>Normal</v>
          </cell>
          <cell r="M1122" t="str">
            <v>Switzerland</v>
          </cell>
          <cell r="N1122" t="str">
            <v>DiaMed-ID</v>
          </cell>
          <cell r="O1122" t="str">
            <v>ID-Centrifuge 12 SII</v>
          </cell>
          <cell r="P1122" t="str">
            <v>1003644</v>
          </cell>
          <cell r="Q1122" t="str">
            <v>Not Applicable</v>
          </cell>
          <cell r="R1122" t="str">
            <v>Diamed AG</v>
          </cell>
          <cell r="S1122" t="str">
            <v>Biomarketing Services (M) Sdn Bhd</v>
          </cell>
          <cell r="T1122" t="str">
            <v>Functioning</v>
          </cell>
          <cell r="U1122" t="str">
            <v>Asset</v>
          </cell>
          <cell r="V1122">
            <v>14435</v>
          </cell>
          <cell r="W1122" t="str">
            <v>Estimate</v>
          </cell>
          <cell r="X1122" t="str">
            <v>01/09/2010</v>
          </cell>
          <cell r="Y1122" t="str">
            <v>KEW</v>
          </cell>
          <cell r="Z1122" t="str">
            <v>16/08/2013</v>
          </cell>
          <cell r="AA1122" t="str">
            <v>15/08/2015</v>
          </cell>
          <cell r="AB1122" t="str">
            <v>No</v>
          </cell>
          <cell r="AC1122" t="str">
            <v>31/08/2013</v>
          </cell>
          <cell r="AD1122" t="str">
            <v>Good</v>
          </cell>
          <cell r="AE1122" t="str">
            <v>V1 - Existing / No Claim</v>
          </cell>
          <cell r="AF1122">
            <v>43592</v>
          </cell>
          <cell r="AG1122">
            <v>9.17</v>
          </cell>
          <cell r="AH1122" t="str">
            <v>PPM</v>
          </cell>
          <cell r="AI1122" t="str">
            <v>Strands</v>
          </cell>
          <cell r="AJ1122" t="str">
            <v>Strands PW</v>
          </cell>
          <cell r="AK1122" t="str">
            <v>KEWPA WITH IKN400714. [2/4/2024]: TUKAR ASSET DESCRIPTION (Centrifuges, Tabletop, Low-Speed, Nonrefrigerated, Blood Bank), TYPE CODE.</v>
          </cell>
        </row>
        <row r="1123">
          <cell r="A1123" t="str">
            <v>IKN400714</v>
          </cell>
          <cell r="B1123">
            <v>714</v>
          </cell>
          <cell r="C1123" t="str">
            <v>Institut Kanser Negara</v>
          </cell>
          <cell r="D1123" t="str">
            <v>KKM/IKN/H/13/2145</v>
          </cell>
          <cell r="E1123" t="str">
            <v>15-272</v>
          </cell>
          <cell r="F1123" t="str">
            <v>Incubators, Test Tube, Portable</v>
          </cell>
          <cell r="G1123" t="str">
            <v>LA</v>
          </cell>
          <cell r="H1123" t="str">
            <v>PATHOLOGY</v>
          </cell>
          <cell r="I1123" t="str">
            <v>04LA140</v>
          </cell>
          <cell r="J1123" t="str">
            <v>BLOOD BANK</v>
          </cell>
          <cell r="K1123" t="str">
            <v>BMED</v>
          </cell>
          <cell r="L1123" t="str">
            <v>Normal</v>
          </cell>
          <cell r="M1123" t="str">
            <v>Germany</v>
          </cell>
          <cell r="N1123" t="str">
            <v>Diamed</v>
          </cell>
          <cell r="O1123" t="str">
            <v>Diamed ID-Incubator 37 SI</v>
          </cell>
          <cell r="P1123" t="str">
            <v>2001776</v>
          </cell>
          <cell r="Q1123" t="str">
            <v>Not Applicable</v>
          </cell>
          <cell r="R1123" t="str">
            <v>Diamed AG</v>
          </cell>
          <cell r="S1123" t="str">
            <v>Biomarketing Services (M) Sdn Bhd</v>
          </cell>
          <cell r="T1123" t="str">
            <v>Functioning</v>
          </cell>
          <cell r="U1123" t="str">
            <v>Asset</v>
          </cell>
          <cell r="V1123">
            <v>14435</v>
          </cell>
          <cell r="W1123" t="str">
            <v>Estimate</v>
          </cell>
          <cell r="X1123" t="str">
            <v>01/09/2010</v>
          </cell>
          <cell r="Y1123" t="str">
            <v>KEW</v>
          </cell>
          <cell r="Z1123" t="str">
            <v>16/08/2013</v>
          </cell>
          <cell r="AA1123" t="str">
            <v>15/08/2015</v>
          </cell>
          <cell r="AB1123" t="str">
            <v>No</v>
          </cell>
          <cell r="AC1123" t="str">
            <v>31/08/2013</v>
          </cell>
          <cell r="AD1123" t="str">
            <v>Good</v>
          </cell>
          <cell r="AE1123" t="str">
            <v>V1 - Existing / No Claim</v>
          </cell>
          <cell r="AF1123">
            <v>42857</v>
          </cell>
          <cell r="AG1123">
            <v>9.17</v>
          </cell>
          <cell r="AH1123" t="str">
            <v>PPM</v>
          </cell>
          <cell r="AI1123" t="str">
            <v>Strands-accessories</v>
          </cell>
          <cell r="AJ1123" t="str">
            <v>Strands PW</v>
          </cell>
          <cell r="AK1123" t="str">
            <v>KEWPA WITH IKN400713</v>
          </cell>
        </row>
        <row r="1124">
          <cell r="A1124" t="str">
            <v>IKN400715</v>
          </cell>
          <cell r="B1124">
            <v>715</v>
          </cell>
          <cell r="C1124" t="str">
            <v>Institut Kanser Negara</v>
          </cell>
          <cell r="D1124" t="str">
            <v>KKM/IKN/H/13/1851</v>
          </cell>
          <cell r="E1124" t="str">
            <v>18-267</v>
          </cell>
          <cell r="F1124" t="str">
            <v>Centrifuges, Tabletop, Low-Speed, Nonrefrigerated, Blood Bank</v>
          </cell>
          <cell r="G1124" t="str">
            <v>LA</v>
          </cell>
          <cell r="H1124" t="str">
            <v>PATHOLOGY</v>
          </cell>
          <cell r="I1124" t="str">
            <v>04LA140</v>
          </cell>
          <cell r="J1124" t="str">
            <v>BLOOD BANK</v>
          </cell>
          <cell r="K1124" t="str">
            <v>BMED</v>
          </cell>
          <cell r="L1124" t="str">
            <v>Normal</v>
          </cell>
          <cell r="M1124" t="str">
            <v>Switzerland</v>
          </cell>
          <cell r="N1124" t="str">
            <v>Diacent</v>
          </cell>
          <cell r="O1124" t="str">
            <v>Diacent-12</v>
          </cell>
          <cell r="P1124" t="str">
            <v>2001245</v>
          </cell>
          <cell r="Q1124" t="str">
            <v>Not Applicable</v>
          </cell>
          <cell r="R1124" t="str">
            <v>Diamed AG</v>
          </cell>
          <cell r="S1124" t="str">
            <v>Biomarketing Services (M) Sdn Bhd</v>
          </cell>
          <cell r="T1124" t="str">
            <v>Functioning</v>
          </cell>
          <cell r="U1124" t="str">
            <v>Asset</v>
          </cell>
          <cell r="V1124">
            <v>5170</v>
          </cell>
          <cell r="W1124" t="str">
            <v>Estimate</v>
          </cell>
          <cell r="X1124" t="str">
            <v>01/09/2010</v>
          </cell>
          <cell r="Y1124" t="str">
            <v>KEW</v>
          </cell>
          <cell r="Z1124" t="str">
            <v>16/08/2013</v>
          </cell>
          <cell r="AA1124" t="str">
            <v>15/08/2015</v>
          </cell>
          <cell r="AB1124" t="str">
            <v>No</v>
          </cell>
          <cell r="AC1124" t="str">
            <v>31/08/2013</v>
          </cell>
          <cell r="AD1124" t="str">
            <v>Good</v>
          </cell>
          <cell r="AE1124" t="str">
            <v>V1 - Existing / No Claim</v>
          </cell>
          <cell r="AF1124">
            <v>42790</v>
          </cell>
          <cell r="AG1124">
            <v>9.17</v>
          </cell>
          <cell r="AH1124" t="str">
            <v>PPM</v>
          </cell>
          <cell r="AI1124" t="str">
            <v>Strands</v>
          </cell>
          <cell r="AJ1124" t="str">
            <v>Strands PW</v>
          </cell>
        </row>
        <row r="1125">
          <cell r="A1125" t="str">
            <v>IKN400716</v>
          </cell>
          <cell r="B1125">
            <v>716</v>
          </cell>
          <cell r="C1125" t="str">
            <v>Institut Kanser Negara</v>
          </cell>
          <cell r="D1125" t="str">
            <v>KKM/IKN/H/13/2146</v>
          </cell>
          <cell r="E1125" t="str">
            <v>10-780</v>
          </cell>
          <cell r="F1125" t="str">
            <v>Centrifuges, Tabletop</v>
          </cell>
          <cell r="G1125" t="str">
            <v>LA</v>
          </cell>
          <cell r="H1125" t="str">
            <v>PATHOLOGY</v>
          </cell>
          <cell r="I1125" t="str">
            <v>04LA140</v>
          </cell>
          <cell r="J1125" t="str">
            <v>BLOOD BANK</v>
          </cell>
          <cell r="K1125" t="str">
            <v>BMED</v>
          </cell>
          <cell r="L1125" t="str">
            <v>Normal</v>
          </cell>
          <cell r="M1125" t="str">
            <v>Switzerland</v>
          </cell>
          <cell r="N1125" t="str">
            <v>DiaMed-ID</v>
          </cell>
          <cell r="O1125" t="str">
            <v>ID-Centrifuge 12 SII</v>
          </cell>
          <cell r="P1125" t="str">
            <v>1003645</v>
          </cell>
          <cell r="Q1125" t="str">
            <v>Not Applicable</v>
          </cell>
          <cell r="R1125" t="str">
            <v>Diamed AG</v>
          </cell>
          <cell r="S1125" t="str">
            <v>Biomarketing Services (M) Sdn Bhd</v>
          </cell>
          <cell r="T1125" t="str">
            <v>Functioning</v>
          </cell>
          <cell r="U1125" t="str">
            <v>Asset</v>
          </cell>
          <cell r="V1125">
            <v>14435</v>
          </cell>
          <cell r="W1125" t="str">
            <v>Estimate</v>
          </cell>
          <cell r="X1125" t="str">
            <v>01/09/2010</v>
          </cell>
          <cell r="Y1125" t="str">
            <v>KEW</v>
          </cell>
          <cell r="Z1125" t="str">
            <v>16/08/2013</v>
          </cell>
          <cell r="AA1125" t="str">
            <v>15/08/2015</v>
          </cell>
          <cell r="AB1125" t="str">
            <v>No</v>
          </cell>
          <cell r="AC1125" t="str">
            <v>31/08/2013</v>
          </cell>
          <cell r="AD1125" t="str">
            <v>Good</v>
          </cell>
          <cell r="AE1125" t="str">
            <v>V1 - Existing / No Claim</v>
          </cell>
          <cell r="AF1125">
            <v>42790</v>
          </cell>
          <cell r="AG1125">
            <v>9.17</v>
          </cell>
          <cell r="AH1125" t="str">
            <v>PPM</v>
          </cell>
          <cell r="AI1125" t="str">
            <v>Strands</v>
          </cell>
          <cell r="AJ1125" t="str">
            <v>Strands PW</v>
          </cell>
          <cell r="AK1125" t="str">
            <v>KEWPA WITH IKN400717. TUKAR ASSET DESCRIPTION (Centrifuges, Tabletop, Low-Speed, Nonrefrigerated, Blood Bank), TYPE CODE.</v>
          </cell>
        </row>
        <row r="1126">
          <cell r="A1126" t="str">
            <v>IKN400717</v>
          </cell>
          <cell r="B1126">
            <v>717</v>
          </cell>
          <cell r="C1126" t="str">
            <v>Institut Kanser Negara</v>
          </cell>
          <cell r="D1126" t="str">
            <v>KKM/IKN/H/13/2146</v>
          </cell>
          <cell r="E1126" t="str">
            <v>15-272</v>
          </cell>
          <cell r="F1126" t="str">
            <v>Incubators, Test Tube, Portable</v>
          </cell>
          <cell r="G1126" t="str">
            <v>LA</v>
          </cell>
          <cell r="H1126" t="str">
            <v>PATHOLOGY</v>
          </cell>
          <cell r="I1126" t="str">
            <v>04LA140</v>
          </cell>
          <cell r="J1126" t="str">
            <v>BLOOD BANK</v>
          </cell>
          <cell r="K1126" t="str">
            <v>BMED</v>
          </cell>
          <cell r="L1126" t="str">
            <v>Normal</v>
          </cell>
          <cell r="M1126" t="str">
            <v>Germany</v>
          </cell>
          <cell r="N1126" t="str">
            <v>Diamed</v>
          </cell>
          <cell r="O1126" t="str">
            <v>Diamed ID-Incubator 37 SI</v>
          </cell>
          <cell r="P1126" t="str">
            <v>2001840</v>
          </cell>
          <cell r="Q1126" t="str">
            <v>Not Applicable</v>
          </cell>
          <cell r="R1126" t="str">
            <v>Diamed AG</v>
          </cell>
          <cell r="S1126" t="str">
            <v>Biomarketing Services (M) Sdn Bhd</v>
          </cell>
          <cell r="T1126" t="str">
            <v>Functioning</v>
          </cell>
          <cell r="U1126" t="str">
            <v>Asset</v>
          </cell>
          <cell r="V1126">
            <v>14435</v>
          </cell>
          <cell r="W1126" t="str">
            <v>Estimate</v>
          </cell>
          <cell r="X1126" t="str">
            <v>01/09/2010</v>
          </cell>
          <cell r="Y1126" t="str">
            <v>KEW</v>
          </cell>
          <cell r="Z1126" t="str">
            <v>16/08/2013</v>
          </cell>
          <cell r="AA1126" t="str">
            <v>15/08/2015</v>
          </cell>
          <cell r="AB1126" t="str">
            <v>No</v>
          </cell>
          <cell r="AC1126" t="str">
            <v>31/08/2013</v>
          </cell>
          <cell r="AD1126" t="str">
            <v>Good</v>
          </cell>
          <cell r="AE1126" t="str">
            <v>V1 - Existing / No Claim</v>
          </cell>
          <cell r="AF1126">
            <v>42857</v>
          </cell>
          <cell r="AG1126">
            <v>9.17</v>
          </cell>
          <cell r="AH1126" t="str">
            <v>PPM</v>
          </cell>
          <cell r="AI1126" t="str">
            <v>Strands-accessories</v>
          </cell>
          <cell r="AJ1126" t="str">
            <v>Strands PW</v>
          </cell>
          <cell r="AK1126" t="str">
            <v>KEWPA WITH IKN400716</v>
          </cell>
        </row>
        <row r="1127">
          <cell r="A1127" t="str">
            <v>IKN400718</v>
          </cell>
          <cell r="B1127">
            <v>718</v>
          </cell>
          <cell r="C1127" t="str">
            <v>Institut Kanser Negara</v>
          </cell>
          <cell r="D1127" t="str">
            <v>KKM/IKN/H/13/1800</v>
          </cell>
          <cell r="E1127" t="str">
            <v>16-861</v>
          </cell>
          <cell r="F1127" t="str">
            <v>Baths, Water, Laboratory</v>
          </cell>
          <cell r="G1127" t="str">
            <v>LA</v>
          </cell>
          <cell r="H1127" t="str">
            <v>PATHOLOGY</v>
          </cell>
          <cell r="I1127" t="str">
            <v>04LA140</v>
          </cell>
          <cell r="J1127" t="str">
            <v>BLOOD BANK</v>
          </cell>
          <cell r="K1127" t="str">
            <v>BMED</v>
          </cell>
          <cell r="L1127" t="str">
            <v>Normal</v>
          </cell>
          <cell r="M1127" t="str">
            <v>Germany</v>
          </cell>
          <cell r="N1127" t="str">
            <v>Memmert</v>
          </cell>
          <cell r="O1127" t="str">
            <v>Memmert WNB14</v>
          </cell>
          <cell r="P1127" t="str">
            <v>L412.0327</v>
          </cell>
          <cell r="Q1127" t="str">
            <v>Not Applicable</v>
          </cell>
          <cell r="R1127" t="str">
            <v>Memmert GmbH</v>
          </cell>
          <cell r="S1127" t="str">
            <v>Saujana Saintifik Sdn Bhd</v>
          </cell>
          <cell r="T1127" t="str">
            <v>Functioning</v>
          </cell>
          <cell r="U1127" t="str">
            <v>Asset</v>
          </cell>
          <cell r="V1127">
            <v>4210</v>
          </cell>
          <cell r="W1127" t="str">
            <v>KEW</v>
          </cell>
          <cell r="X1127" t="str">
            <v>01/09/2010</v>
          </cell>
          <cell r="Y1127" t="str">
            <v>KEW</v>
          </cell>
          <cell r="Z1127" t="str">
            <v>16/08/2013</v>
          </cell>
          <cell r="AA1127" t="str">
            <v>15/08/2015</v>
          </cell>
          <cell r="AB1127" t="str">
            <v>No</v>
          </cell>
          <cell r="AC1127" t="str">
            <v>31/08/2013</v>
          </cell>
          <cell r="AD1127" t="str">
            <v>Good</v>
          </cell>
          <cell r="AE1127" t="str">
            <v>V1 - Existing / No Claim</v>
          </cell>
          <cell r="AF1127">
            <v>42790</v>
          </cell>
          <cell r="AG1127">
            <v>9.17</v>
          </cell>
          <cell r="AH1127" t="str">
            <v>PPM</v>
          </cell>
          <cell r="AI1127" t="str">
            <v>Strands</v>
          </cell>
          <cell r="AJ1127" t="str">
            <v>Strands PW</v>
          </cell>
        </row>
        <row r="1128">
          <cell r="A1128" t="str">
            <v>IKN400719</v>
          </cell>
          <cell r="B1128">
            <v>719</v>
          </cell>
          <cell r="C1128" t="str">
            <v>Institut Kanser Negara</v>
          </cell>
          <cell r="D1128" t="str">
            <v>KKM/IKN/H/13/2133</v>
          </cell>
          <cell r="E1128" t="str">
            <v>16-795</v>
          </cell>
          <cell r="F1128" t="str">
            <v>Bath, Water, Plasma-Thawing</v>
          </cell>
          <cell r="G1128" t="str">
            <v>LA</v>
          </cell>
          <cell r="H1128" t="str">
            <v>PATHOLOGY</v>
          </cell>
          <cell r="I1128" t="str">
            <v>04LA140</v>
          </cell>
          <cell r="J1128" t="str">
            <v>BLOOD BANK</v>
          </cell>
          <cell r="K1128" t="str">
            <v>BMED</v>
          </cell>
          <cell r="L1128" t="str">
            <v>Normal</v>
          </cell>
          <cell r="M1128" t="str">
            <v>USA</v>
          </cell>
          <cell r="N1128" t="str">
            <v>QuickThaw</v>
          </cell>
          <cell r="O1128" t="str">
            <v>QuickThaw DH4</v>
          </cell>
          <cell r="P1128" t="str">
            <v>1008349</v>
          </cell>
          <cell r="Q1128" t="str">
            <v>Not Applicable</v>
          </cell>
          <cell r="R1128" t="str">
            <v>Helmer Labs Inc</v>
          </cell>
          <cell r="S1128" t="str">
            <v>Biomarketing Services (M) Sdn Bhd</v>
          </cell>
          <cell r="T1128" t="str">
            <v>Functioning</v>
          </cell>
          <cell r="U1128" t="str">
            <v>Asset</v>
          </cell>
          <cell r="V1128">
            <v>26460</v>
          </cell>
          <cell r="W1128" t="str">
            <v>KEW</v>
          </cell>
          <cell r="X1128" t="str">
            <v>01/09/2010</v>
          </cell>
          <cell r="Y1128" t="str">
            <v>KEW</v>
          </cell>
          <cell r="Z1128" t="str">
            <v>16/08/2013</v>
          </cell>
          <cell r="AA1128" t="str">
            <v>15/08/2015</v>
          </cell>
          <cell r="AB1128" t="str">
            <v>No</v>
          </cell>
          <cell r="AC1128" t="str">
            <v>31/08/2013</v>
          </cell>
          <cell r="AD1128" t="str">
            <v>Good</v>
          </cell>
          <cell r="AE1128" t="str">
            <v>V1 - Existing / No Claim</v>
          </cell>
          <cell r="AF1128">
            <v>42790</v>
          </cell>
          <cell r="AG1128">
            <v>9.17</v>
          </cell>
          <cell r="AH1128" t="str">
            <v>PPM</v>
          </cell>
          <cell r="AI1128" t="str">
            <v>Strands</v>
          </cell>
          <cell r="AJ1128" t="str">
            <v>Strands PW</v>
          </cell>
        </row>
        <row r="1129">
          <cell r="A1129" t="str">
            <v>IKN400720</v>
          </cell>
          <cell r="B1129">
            <v>720</v>
          </cell>
          <cell r="C1129" t="str">
            <v>Institut Kanser Negara</v>
          </cell>
          <cell r="D1129" t="str">
            <v>KKM/IKN/H/13/4725</v>
          </cell>
          <cell r="E1129" t="str">
            <v>16-795</v>
          </cell>
          <cell r="F1129" t="str">
            <v>Bath, Water, Plasma-Thawing</v>
          </cell>
          <cell r="G1129" t="str">
            <v>LA</v>
          </cell>
          <cell r="H1129" t="str">
            <v>PATHOLOGY</v>
          </cell>
          <cell r="I1129" t="str">
            <v>04LA140</v>
          </cell>
          <cell r="J1129" t="str">
            <v>BLOOD BANK</v>
          </cell>
          <cell r="K1129" t="str">
            <v>BMED</v>
          </cell>
          <cell r="L1129" t="str">
            <v>Normal</v>
          </cell>
          <cell r="M1129" t="str">
            <v>USA</v>
          </cell>
          <cell r="N1129" t="str">
            <v>QuickThaw</v>
          </cell>
          <cell r="O1129" t="str">
            <v>QuickThaw DH4</v>
          </cell>
          <cell r="P1129" t="str">
            <v>1009481</v>
          </cell>
          <cell r="Q1129" t="str">
            <v>Not Applicable</v>
          </cell>
          <cell r="R1129" t="str">
            <v>Helmer Labs Inc</v>
          </cell>
          <cell r="S1129" t="str">
            <v>Biomarketing Services (M) Sdn Bhd</v>
          </cell>
          <cell r="T1129" t="str">
            <v>Functioning</v>
          </cell>
          <cell r="U1129" t="str">
            <v>Asset</v>
          </cell>
          <cell r="V1129">
            <v>26240</v>
          </cell>
          <cell r="W1129" t="str">
            <v>KEW</v>
          </cell>
          <cell r="X1129" t="str">
            <v>01/09/2010</v>
          </cell>
          <cell r="Y1129" t="str">
            <v>KEW</v>
          </cell>
          <cell r="Z1129" t="str">
            <v>16/08/2013</v>
          </cell>
          <cell r="AA1129" t="str">
            <v>15/08/2015</v>
          </cell>
          <cell r="AB1129" t="str">
            <v>No</v>
          </cell>
          <cell r="AC1129" t="str">
            <v>31/08/2013</v>
          </cell>
          <cell r="AD1129" t="str">
            <v>Good</v>
          </cell>
          <cell r="AE1129" t="str">
            <v>V1 - Existing / No Claim</v>
          </cell>
          <cell r="AF1129">
            <v>42790</v>
          </cell>
          <cell r="AG1129">
            <v>9.17</v>
          </cell>
          <cell r="AH1129" t="str">
            <v>PPM</v>
          </cell>
          <cell r="AI1129" t="str">
            <v>Strands</v>
          </cell>
          <cell r="AJ1129" t="str">
            <v>Strands PW</v>
          </cell>
        </row>
        <row r="1130">
          <cell r="A1130" t="str">
            <v>IKN400721</v>
          </cell>
          <cell r="B1130">
            <v>721</v>
          </cell>
          <cell r="C1130" t="str">
            <v>Institut Kanser Negara</v>
          </cell>
          <cell r="D1130" t="str">
            <v>KKM/IKN/H/13/2124</v>
          </cell>
          <cell r="E1130" t="str">
            <v>15-104</v>
          </cell>
          <cell r="F1130" t="str">
            <v>Analyzers, Laboratory, Hematology, Platelet Aggregation</v>
          </cell>
          <cell r="G1130" t="str">
            <v>LA</v>
          </cell>
          <cell r="H1130" t="str">
            <v>PATHOLOGY</v>
          </cell>
          <cell r="I1130" t="str">
            <v>04LA140</v>
          </cell>
          <cell r="J1130" t="str">
            <v>BLOOD BANK</v>
          </cell>
          <cell r="K1130" t="str">
            <v>BMED</v>
          </cell>
          <cell r="L1130" t="str">
            <v>Normal</v>
          </cell>
          <cell r="M1130" t="str">
            <v>USA</v>
          </cell>
          <cell r="N1130" t="str">
            <v>Helmer</v>
          </cell>
          <cell r="O1130" t="str">
            <v>Pf48i</v>
          </cell>
          <cell r="P1130" t="str">
            <v>1008381</v>
          </cell>
          <cell r="Q1130" t="str">
            <v>Not Applicable</v>
          </cell>
          <cell r="R1130" t="str">
            <v>Helmer</v>
          </cell>
          <cell r="S1130" t="str">
            <v>Biomarketing Services (M) Sdn Bhd</v>
          </cell>
          <cell r="T1130" t="str">
            <v>Functioning</v>
          </cell>
          <cell r="U1130" t="str">
            <v>Asset</v>
          </cell>
          <cell r="V1130">
            <v>42100</v>
          </cell>
          <cell r="W1130" t="str">
            <v>KEW</v>
          </cell>
          <cell r="X1130" t="str">
            <v>01/09/2010</v>
          </cell>
          <cell r="Y1130" t="str">
            <v>KEW</v>
          </cell>
          <cell r="Z1130" t="str">
            <v>16/08/2013</v>
          </cell>
          <cell r="AA1130" t="str">
            <v>15/08/2015</v>
          </cell>
          <cell r="AB1130" t="str">
            <v>No</v>
          </cell>
          <cell r="AC1130" t="str">
            <v>31/08/2013</v>
          </cell>
          <cell r="AD1130" t="str">
            <v>Good</v>
          </cell>
          <cell r="AE1130" t="str">
            <v>V1 - Existing / No Claim</v>
          </cell>
          <cell r="AF1130">
            <v>42790</v>
          </cell>
          <cell r="AG1130">
            <v>9.17</v>
          </cell>
          <cell r="AH1130" t="str">
            <v>PPM</v>
          </cell>
          <cell r="AI1130" t="str">
            <v>Strands</v>
          </cell>
          <cell r="AJ1130" t="str">
            <v>Strands PW</v>
          </cell>
          <cell r="AK1130" t="str">
            <v>KEWPA WIYH IKN400722</v>
          </cell>
        </row>
        <row r="1131">
          <cell r="A1131" t="str">
            <v>IKN400722</v>
          </cell>
          <cell r="B1131">
            <v>722</v>
          </cell>
          <cell r="C1131" t="str">
            <v>Institut Kanser Negara</v>
          </cell>
          <cell r="D1131" t="str">
            <v>KKM/IKN/H/13/2124</v>
          </cell>
          <cell r="E1131" t="str">
            <v>15-104</v>
          </cell>
          <cell r="F1131" t="str">
            <v>Analyzers, Laboratory, Hematology, Platelet Aggregation</v>
          </cell>
          <cell r="G1131" t="str">
            <v>LA</v>
          </cell>
          <cell r="H1131" t="str">
            <v>PATHOLOGY</v>
          </cell>
          <cell r="I1131" t="str">
            <v>04LA141</v>
          </cell>
          <cell r="J1131" t="str">
            <v>REPORTING (8PAX)</v>
          </cell>
          <cell r="K1131" t="str">
            <v>BMED</v>
          </cell>
          <cell r="L1131" t="str">
            <v>Normal</v>
          </cell>
          <cell r="M1131" t="str">
            <v>USA</v>
          </cell>
          <cell r="N1131" t="str">
            <v>Helmer</v>
          </cell>
          <cell r="O1131" t="str">
            <v>Pc900i</v>
          </cell>
          <cell r="P1131" t="str">
            <v>1008449</v>
          </cell>
          <cell r="Q1131" t="str">
            <v>Not Applicable</v>
          </cell>
          <cell r="R1131" t="str">
            <v>Helmer</v>
          </cell>
          <cell r="S1131" t="str">
            <v>Biomarketing Services (M) Sdn Bhd</v>
          </cell>
          <cell r="T1131" t="str">
            <v>Functioning</v>
          </cell>
          <cell r="U1131" t="str">
            <v>Asset</v>
          </cell>
          <cell r="V1131">
            <v>42100</v>
          </cell>
          <cell r="W1131" t="str">
            <v>KEW</v>
          </cell>
          <cell r="X1131" t="str">
            <v>01/09/2010</v>
          </cell>
          <cell r="Y1131" t="str">
            <v>KEW</v>
          </cell>
          <cell r="Z1131" t="str">
            <v>16/08/2013</v>
          </cell>
          <cell r="AA1131" t="str">
            <v>15/08/2015</v>
          </cell>
          <cell r="AB1131" t="str">
            <v>No</v>
          </cell>
          <cell r="AC1131" t="str">
            <v>31/08/2013</v>
          </cell>
          <cell r="AD1131" t="str">
            <v>Good</v>
          </cell>
          <cell r="AE1131" t="str">
            <v>V1 - Existing / No Claim</v>
          </cell>
          <cell r="AF1131">
            <v>42235</v>
          </cell>
          <cell r="AG1131">
            <v>9.17</v>
          </cell>
          <cell r="AH1131" t="str">
            <v>PPM</v>
          </cell>
          <cell r="AI1131" t="str">
            <v>Strands-accessories</v>
          </cell>
          <cell r="AJ1131" t="str">
            <v>Strands PW</v>
          </cell>
          <cell r="AK1131" t="str">
            <v>KEWPA WITH IKN400721</v>
          </cell>
        </row>
        <row r="1132">
          <cell r="A1132" t="str">
            <v>IKN400723</v>
          </cell>
          <cell r="B1132">
            <v>723</v>
          </cell>
          <cell r="C1132" t="str">
            <v>Institut Kanser Negara</v>
          </cell>
          <cell r="D1132" t="str">
            <v>KKM/IKN/H/13/1909</v>
          </cell>
          <cell r="E1132" t="str">
            <v>16-439</v>
          </cell>
          <cell r="F1132" t="str">
            <v>Microscopes, Light, Laboratory, Fluorescence</v>
          </cell>
          <cell r="G1132" t="str">
            <v>LA</v>
          </cell>
          <cell r="H1132" t="str">
            <v>PATHOLOGY</v>
          </cell>
          <cell r="I1132" t="str">
            <v>04LA114</v>
          </cell>
          <cell r="J1132" t="str">
            <v>DARK MICROSCOPY</v>
          </cell>
          <cell r="K1132" t="str">
            <v>BMED</v>
          </cell>
          <cell r="L1132" t="str">
            <v>Normal</v>
          </cell>
          <cell r="M1132" t="str">
            <v>Japan</v>
          </cell>
          <cell r="N1132" t="str">
            <v>Olympus</v>
          </cell>
          <cell r="O1132" t="str">
            <v>Olympus BX 43F</v>
          </cell>
          <cell r="P1132" t="str">
            <v>2J49091</v>
          </cell>
          <cell r="Q1132" t="str">
            <v>Not Applicable</v>
          </cell>
          <cell r="R1132" t="str">
            <v>Olympus Optical Co Ltd</v>
          </cell>
          <cell r="S1132" t="str">
            <v>Matrix Optics (M) Sdn Bhd</v>
          </cell>
          <cell r="T1132" t="str">
            <v>Functioning</v>
          </cell>
          <cell r="U1132" t="str">
            <v>Asset</v>
          </cell>
          <cell r="V1132">
            <v>169530</v>
          </cell>
          <cell r="W1132" t="str">
            <v>KEW</v>
          </cell>
          <cell r="X1132" t="str">
            <v>01/09/2010</v>
          </cell>
          <cell r="Y1132" t="str">
            <v>KEW</v>
          </cell>
          <cell r="Z1132" t="str">
            <v>16/08/2013</v>
          </cell>
          <cell r="AA1132" t="str">
            <v>15/08/2015</v>
          </cell>
          <cell r="AB1132" t="str">
            <v>No</v>
          </cell>
          <cell r="AC1132" t="str">
            <v>31/08/2013</v>
          </cell>
          <cell r="AD1132" t="str">
            <v>Good</v>
          </cell>
          <cell r="AE1132" t="str">
            <v>V1 - Existing / No Claim</v>
          </cell>
          <cell r="AF1132">
            <v>42235</v>
          </cell>
          <cell r="AG1132">
            <v>9.17</v>
          </cell>
          <cell r="AH1132" t="str">
            <v>PPM</v>
          </cell>
          <cell r="AI1132" t="str">
            <v>Strands</v>
          </cell>
          <cell r="AJ1132" t="str">
            <v>Strands PW</v>
          </cell>
          <cell r="AK1132" t="str">
            <v>KEWPA WITH IKN400721</v>
          </cell>
        </row>
        <row r="1133">
          <cell r="A1133" t="str">
            <v>IKN400724</v>
          </cell>
          <cell r="B1133">
            <v>724</v>
          </cell>
          <cell r="C1133" t="str">
            <v>Institut Kanser Negara</v>
          </cell>
          <cell r="D1133" t="str">
            <v>KKM/IKN/H/13/1893</v>
          </cell>
          <cell r="E1133" t="str">
            <v>15-156</v>
          </cell>
          <cell r="F1133" t="str">
            <v>Microscopes, Light, Laboratory</v>
          </cell>
          <cell r="G1133" t="str">
            <v>LA</v>
          </cell>
          <cell r="H1133" t="str">
            <v>PATHOLOGY</v>
          </cell>
          <cell r="I1133" t="str">
            <v>04LA131</v>
          </cell>
          <cell r="J1133" t="str">
            <v>HAEMATOLOGY LAB 1</v>
          </cell>
          <cell r="K1133" t="str">
            <v>BMED</v>
          </cell>
          <cell r="L1133" t="str">
            <v>Normal</v>
          </cell>
          <cell r="M1133" t="str">
            <v>Japan</v>
          </cell>
          <cell r="N1133" t="str">
            <v>Olympus</v>
          </cell>
          <cell r="O1133" t="str">
            <v>Olympus CX31</v>
          </cell>
          <cell r="P1133" t="str">
            <v>2H11266</v>
          </cell>
          <cell r="Q1133" t="str">
            <v>Not Applicable</v>
          </cell>
          <cell r="R1133" t="str">
            <v>Olympus Corp Ltd</v>
          </cell>
          <cell r="S1133" t="str">
            <v>Matrix Optics (M) Sdn Bhd</v>
          </cell>
          <cell r="T1133" t="str">
            <v>Functioning</v>
          </cell>
          <cell r="U1133" t="str">
            <v>Asset</v>
          </cell>
          <cell r="V1133">
            <v>14740</v>
          </cell>
          <cell r="W1133" t="str">
            <v>KEW</v>
          </cell>
          <cell r="X1133" t="str">
            <v>01/09/2010</v>
          </cell>
          <cell r="Y1133" t="str">
            <v>KEW</v>
          </cell>
          <cell r="Z1133" t="str">
            <v>16/08/2013</v>
          </cell>
          <cell r="AA1133" t="str">
            <v>15/08/2015</v>
          </cell>
          <cell r="AB1133" t="str">
            <v>No</v>
          </cell>
          <cell r="AC1133" t="str">
            <v>31/08/2013</v>
          </cell>
          <cell r="AD1133" t="str">
            <v>Good</v>
          </cell>
          <cell r="AE1133" t="str">
            <v>V1 - Existing / No Claim</v>
          </cell>
          <cell r="AF1133">
            <v>42790</v>
          </cell>
          <cell r="AG1133">
            <v>9.17</v>
          </cell>
          <cell r="AH1133" t="str">
            <v>PPM</v>
          </cell>
          <cell r="AI1133" t="str">
            <v>Strands</v>
          </cell>
          <cell r="AJ1133" t="str">
            <v>Strands PW</v>
          </cell>
        </row>
        <row r="1134">
          <cell r="A1134" t="str">
            <v>IKN400725</v>
          </cell>
          <cell r="B1134">
            <v>725</v>
          </cell>
          <cell r="C1134" t="str">
            <v>Institut Kanser Negara</v>
          </cell>
          <cell r="D1134" t="str">
            <v>KKM/IKN/H/13/1896</v>
          </cell>
          <cell r="E1134" t="str">
            <v>15-156</v>
          </cell>
          <cell r="F1134" t="str">
            <v>Microscopes, Light, Laboratory</v>
          </cell>
          <cell r="G1134" t="str">
            <v>LA</v>
          </cell>
          <cell r="H1134" t="str">
            <v>PATHOLOGY</v>
          </cell>
          <cell r="I1134" t="str">
            <v>04LA131</v>
          </cell>
          <cell r="J1134" t="str">
            <v>HAEMATOLOGY LAB 1</v>
          </cell>
          <cell r="K1134" t="str">
            <v>BMED</v>
          </cell>
          <cell r="L1134" t="str">
            <v>Normal</v>
          </cell>
          <cell r="M1134" t="str">
            <v>Japan</v>
          </cell>
          <cell r="N1134" t="str">
            <v>Olympus</v>
          </cell>
          <cell r="O1134" t="str">
            <v>Olympus CX31</v>
          </cell>
          <cell r="P1134" t="str">
            <v>2H11113</v>
          </cell>
          <cell r="Q1134" t="str">
            <v>Not Applicable</v>
          </cell>
          <cell r="R1134" t="str">
            <v>Olympus Corp Ltd</v>
          </cell>
          <cell r="S1134" t="str">
            <v>Matrix Optics (M) Sdn Bhd</v>
          </cell>
          <cell r="T1134" t="str">
            <v>Functioning</v>
          </cell>
          <cell r="U1134" t="str">
            <v>Asset</v>
          </cell>
          <cell r="V1134">
            <v>14740</v>
          </cell>
          <cell r="W1134" t="str">
            <v>KEW</v>
          </cell>
          <cell r="X1134" t="str">
            <v>01/09/2010</v>
          </cell>
          <cell r="Y1134" t="str">
            <v>KEW</v>
          </cell>
          <cell r="Z1134" t="str">
            <v>16/08/2013</v>
          </cell>
          <cell r="AA1134" t="str">
            <v>15/08/2015</v>
          </cell>
          <cell r="AB1134" t="str">
            <v>No</v>
          </cell>
          <cell r="AC1134" t="str">
            <v>31/08/2013</v>
          </cell>
          <cell r="AD1134" t="str">
            <v>Good</v>
          </cell>
          <cell r="AE1134" t="str">
            <v>V1 - Existing / No Claim</v>
          </cell>
          <cell r="AF1134">
            <v>42790</v>
          </cell>
          <cell r="AG1134">
            <v>9.17</v>
          </cell>
          <cell r="AH1134" t="str">
            <v>PPM</v>
          </cell>
          <cell r="AI1134" t="str">
            <v>Strands</v>
          </cell>
          <cell r="AJ1134" t="str">
            <v>Strands PW</v>
          </cell>
        </row>
        <row r="1135">
          <cell r="A1135" t="str">
            <v>IKN400726</v>
          </cell>
          <cell r="B1135">
            <v>726</v>
          </cell>
          <cell r="C1135" t="str">
            <v>Institut Kanser Negara</v>
          </cell>
          <cell r="D1135" t="str">
            <v>KKM/IKN/H/13/1889</v>
          </cell>
          <cell r="E1135" t="str">
            <v>15-156</v>
          </cell>
          <cell r="F1135" t="str">
            <v>Microscopes, Light, Laboratory</v>
          </cell>
          <cell r="G1135" t="str">
            <v>LA</v>
          </cell>
          <cell r="H1135" t="str">
            <v>PATHOLOGY</v>
          </cell>
          <cell r="I1135" t="str">
            <v>04LA130</v>
          </cell>
          <cell r="J1135" t="str">
            <v>SEROLOGY</v>
          </cell>
          <cell r="K1135" t="str">
            <v>BMED</v>
          </cell>
          <cell r="L1135" t="str">
            <v>Normal</v>
          </cell>
          <cell r="M1135" t="str">
            <v>Japan</v>
          </cell>
          <cell r="N1135" t="str">
            <v>Olympus</v>
          </cell>
          <cell r="O1135" t="str">
            <v>Olympus CX31</v>
          </cell>
          <cell r="P1135" t="str">
            <v>2H10697</v>
          </cell>
          <cell r="Q1135" t="str">
            <v>Not Applicable</v>
          </cell>
          <cell r="R1135" t="str">
            <v>Olympus Corp Ltd</v>
          </cell>
          <cell r="S1135" t="str">
            <v>Matrix Optics (M) Sdn Bhd</v>
          </cell>
          <cell r="T1135" t="str">
            <v>Functioning</v>
          </cell>
          <cell r="U1135" t="str">
            <v>Asset</v>
          </cell>
          <cell r="V1135">
            <v>14740</v>
          </cell>
          <cell r="W1135" t="str">
            <v>KEW</v>
          </cell>
          <cell r="X1135" t="str">
            <v>01/09/2010</v>
          </cell>
          <cell r="Y1135" t="str">
            <v>KEW</v>
          </cell>
          <cell r="Z1135" t="str">
            <v>16/08/2013</v>
          </cell>
          <cell r="AA1135" t="str">
            <v>15/08/2015</v>
          </cell>
          <cell r="AB1135" t="str">
            <v>No</v>
          </cell>
          <cell r="AC1135" t="str">
            <v>31/08/2013</v>
          </cell>
          <cell r="AD1135" t="str">
            <v>Good</v>
          </cell>
          <cell r="AE1135" t="str">
            <v>V1 - Existing / No Claim</v>
          </cell>
          <cell r="AF1135">
            <v>42790</v>
          </cell>
          <cell r="AG1135">
            <v>9.17</v>
          </cell>
          <cell r="AH1135" t="str">
            <v>PPM</v>
          </cell>
          <cell r="AI1135" t="str">
            <v>Strands</v>
          </cell>
          <cell r="AJ1135" t="str">
            <v>Strands PW</v>
          </cell>
        </row>
        <row r="1136">
          <cell r="A1136" t="str">
            <v>IKN400727</v>
          </cell>
          <cell r="B1136">
            <v>727</v>
          </cell>
          <cell r="C1136" t="str">
            <v>Institut Kanser Negara</v>
          </cell>
          <cell r="D1136" t="str">
            <v>KKM/IKN/H/13/1884</v>
          </cell>
          <cell r="E1136" t="str">
            <v>15-156</v>
          </cell>
          <cell r="F1136" t="str">
            <v>Microscopes, Light, Laboratory</v>
          </cell>
          <cell r="G1136" t="str">
            <v>LA</v>
          </cell>
          <cell r="H1136" t="str">
            <v>PATHOLOGY</v>
          </cell>
          <cell r="I1136" t="str">
            <v>04LA126</v>
          </cell>
          <cell r="J1136" t="str">
            <v>MICROBIOLOGY UNIT</v>
          </cell>
          <cell r="K1136" t="str">
            <v>BMED</v>
          </cell>
          <cell r="L1136" t="str">
            <v>Normal</v>
          </cell>
          <cell r="M1136" t="str">
            <v>Japan</v>
          </cell>
          <cell r="N1136" t="str">
            <v>Olympus</v>
          </cell>
          <cell r="O1136" t="str">
            <v>Olympus CX31</v>
          </cell>
          <cell r="P1136" t="str">
            <v>2H11174</v>
          </cell>
          <cell r="Q1136" t="str">
            <v>Not Applicable</v>
          </cell>
          <cell r="R1136" t="str">
            <v>Olympus Corp Ltd</v>
          </cell>
          <cell r="S1136" t="str">
            <v>Matrix Optics (M) Sdn Bhd</v>
          </cell>
          <cell r="T1136" t="str">
            <v>Functioning</v>
          </cell>
          <cell r="U1136" t="str">
            <v>Asset</v>
          </cell>
          <cell r="V1136">
            <v>14740</v>
          </cell>
          <cell r="W1136" t="str">
            <v>KEW</v>
          </cell>
          <cell r="X1136" t="str">
            <v>01/09/2010</v>
          </cell>
          <cell r="Y1136" t="str">
            <v>KEW</v>
          </cell>
          <cell r="Z1136" t="str">
            <v>16/08/2013</v>
          </cell>
          <cell r="AA1136" t="str">
            <v>15/08/2015</v>
          </cell>
          <cell r="AB1136" t="str">
            <v>No</v>
          </cell>
          <cell r="AC1136" t="str">
            <v>31/08/2013</v>
          </cell>
          <cell r="AD1136" t="str">
            <v>Good</v>
          </cell>
          <cell r="AE1136" t="str">
            <v>V1 - Existing / No Claim</v>
          </cell>
          <cell r="AF1136">
            <v>42790</v>
          </cell>
          <cell r="AG1136">
            <v>9.17</v>
          </cell>
          <cell r="AH1136" t="str">
            <v>PPM</v>
          </cell>
          <cell r="AI1136" t="str">
            <v>Strands</v>
          </cell>
          <cell r="AJ1136" t="str">
            <v>Strands PW</v>
          </cell>
        </row>
        <row r="1137">
          <cell r="A1137" t="str">
            <v>IKN400732</v>
          </cell>
          <cell r="B1137">
            <v>732</v>
          </cell>
          <cell r="C1137" t="str">
            <v>Institut Kanser Negara</v>
          </cell>
          <cell r="D1137" t="str">
            <v>KKM/IKN/H/13/5283</v>
          </cell>
          <cell r="E1137" t="str">
            <v>15-164</v>
          </cell>
          <cell r="F1137" t="str">
            <v>pH Meters</v>
          </cell>
          <cell r="G1137" t="str">
            <v>LA</v>
          </cell>
          <cell r="H1137" t="str">
            <v>PATHOLOGY</v>
          </cell>
          <cell r="I1137" t="str">
            <v>04LA127</v>
          </cell>
          <cell r="J1137" t="str">
            <v>INNOCULATION/STAINING</v>
          </cell>
          <cell r="K1137" t="str">
            <v>BMED</v>
          </cell>
          <cell r="L1137" t="str">
            <v>Normal</v>
          </cell>
          <cell r="M1137" t="str">
            <v>USA</v>
          </cell>
          <cell r="N1137" t="str">
            <v>Fisher Scientific</v>
          </cell>
          <cell r="O1137" t="str">
            <v>Fisher Scientific AB150</v>
          </cell>
          <cell r="P1137" t="str">
            <v>AB92341945</v>
          </cell>
          <cell r="Q1137" t="str">
            <v>Not Applicable</v>
          </cell>
          <cell r="R1137" t="str">
            <v>Fisher Scientific Co</v>
          </cell>
          <cell r="S1137" t="str">
            <v>Advance Altimas Sdn Bhd</v>
          </cell>
          <cell r="T1137" t="str">
            <v>Functioning</v>
          </cell>
          <cell r="U1137" t="str">
            <v>Asset</v>
          </cell>
          <cell r="V1137">
            <v>8000</v>
          </cell>
          <cell r="W1137" t="str">
            <v>Estimate</v>
          </cell>
          <cell r="X1137" t="str">
            <v>01/09/2010</v>
          </cell>
          <cell r="Y1137" t="str">
            <v>KEW</v>
          </cell>
          <cell r="Z1137" t="str">
            <v>16/08/2013</v>
          </cell>
          <cell r="AA1137" t="str">
            <v>15/08/2015</v>
          </cell>
          <cell r="AB1137" t="str">
            <v>No</v>
          </cell>
          <cell r="AC1137" t="str">
            <v>31/08/2013</v>
          </cell>
          <cell r="AD1137" t="str">
            <v>Good</v>
          </cell>
          <cell r="AE1137" t="str">
            <v>V1 - Existing / No Claim</v>
          </cell>
          <cell r="AF1137">
            <v>42601</v>
          </cell>
          <cell r="AG1137">
            <v>9.17</v>
          </cell>
          <cell r="AH1137" t="str">
            <v>PPM</v>
          </cell>
          <cell r="AI1137" t="str">
            <v>Strands</v>
          </cell>
          <cell r="AJ1137" t="str">
            <v>Strands PW</v>
          </cell>
        </row>
        <row r="1138">
          <cell r="A1138" t="str">
            <v>IKN400733</v>
          </cell>
          <cell r="B1138">
            <v>733</v>
          </cell>
          <cell r="C1138" t="str">
            <v>Institut Kanser Negara</v>
          </cell>
          <cell r="D1138" t="str">
            <v>KKM/IKN/H/13/5253</v>
          </cell>
          <cell r="E1138" t="str">
            <v>16-287</v>
          </cell>
          <cell r="F1138" t="str">
            <v>Hot Plates</v>
          </cell>
          <cell r="G1138" t="str">
            <v>LA</v>
          </cell>
          <cell r="H1138" t="str">
            <v>PATHOLOGY</v>
          </cell>
          <cell r="I1138" t="str">
            <v>04LA127</v>
          </cell>
          <cell r="J1138" t="str">
            <v>INNOCULATION/STAINING</v>
          </cell>
          <cell r="K1138" t="str">
            <v>BMED</v>
          </cell>
          <cell r="L1138" t="str">
            <v>Normal</v>
          </cell>
          <cell r="M1138" t="str">
            <v>UK</v>
          </cell>
          <cell r="N1138" t="str">
            <v>Stuart</v>
          </cell>
          <cell r="O1138" t="str">
            <v>Stuart US150</v>
          </cell>
          <cell r="P1138" t="str">
            <v>R610000243</v>
          </cell>
          <cell r="Q1138" t="str">
            <v>Not Applicable</v>
          </cell>
          <cell r="R1138" t="str">
            <v>Stuart Scientific Co Ltd</v>
          </cell>
          <cell r="S1138" t="str">
            <v>Bumi Sains Sdn. Bhd.</v>
          </cell>
          <cell r="T1138" t="str">
            <v>Functioning</v>
          </cell>
          <cell r="U1138" t="str">
            <v>Asset</v>
          </cell>
          <cell r="V1138">
            <v>2170</v>
          </cell>
          <cell r="W1138" t="str">
            <v>KEW</v>
          </cell>
          <cell r="X1138" t="str">
            <v>01/09/2010</v>
          </cell>
          <cell r="Y1138" t="str">
            <v>KEW</v>
          </cell>
          <cell r="Z1138" t="str">
            <v>16/08/2013</v>
          </cell>
          <cell r="AA1138" t="str">
            <v>15/08/2015</v>
          </cell>
          <cell r="AB1138" t="str">
            <v>No</v>
          </cell>
          <cell r="AC1138" t="str">
            <v>31/08/2013</v>
          </cell>
          <cell r="AD1138" t="str">
            <v>Good</v>
          </cell>
          <cell r="AE1138" t="str">
            <v>V1 - Existing / No Claim</v>
          </cell>
          <cell r="AF1138">
            <v>42235</v>
          </cell>
          <cell r="AG1138">
            <v>9.17</v>
          </cell>
          <cell r="AH1138" t="str">
            <v>RI</v>
          </cell>
          <cell r="AI1138" t="str">
            <v>Strands</v>
          </cell>
          <cell r="AJ1138" t="str">
            <v>Strands PW</v>
          </cell>
          <cell r="AK1138" t="str">
            <v>IKNB04LA127</v>
          </cell>
        </row>
        <row r="1139">
          <cell r="A1139" t="str">
            <v>IKN400734</v>
          </cell>
          <cell r="B1139">
            <v>734</v>
          </cell>
          <cell r="C1139" t="str">
            <v>Institut Kanser Negara</v>
          </cell>
          <cell r="D1139" t="str">
            <v>KKM/IKN/I/13/2911</v>
          </cell>
          <cell r="E1139" t="str">
            <v>15-161</v>
          </cell>
          <cell r="F1139" t="str">
            <v>Mixers, Clinical Laboratory</v>
          </cell>
          <cell r="G1139" t="str">
            <v>LA</v>
          </cell>
          <cell r="H1139" t="str">
            <v>PATHOLOGY</v>
          </cell>
          <cell r="I1139" t="str">
            <v>04LA126</v>
          </cell>
          <cell r="J1139" t="str">
            <v>MICROBIOLOGY UNIT</v>
          </cell>
          <cell r="K1139" t="str">
            <v>BMED</v>
          </cell>
          <cell r="L1139" t="str">
            <v>Normal</v>
          </cell>
          <cell r="M1139" t="str">
            <v>UK</v>
          </cell>
          <cell r="N1139" t="str">
            <v>Stuart</v>
          </cell>
          <cell r="O1139" t="str">
            <v>Stuart SA8</v>
          </cell>
          <cell r="P1139" t="str">
            <v>R800004730</v>
          </cell>
          <cell r="Q1139" t="str">
            <v>Not Applicable</v>
          </cell>
          <cell r="R1139" t="str">
            <v>Stuart Scientific Co Ltd</v>
          </cell>
          <cell r="S1139" t="str">
            <v>Bumi Sains Sdn. Bhd.</v>
          </cell>
          <cell r="T1139" t="str">
            <v>Functioning</v>
          </cell>
          <cell r="U1139" t="str">
            <v>Asset</v>
          </cell>
          <cell r="V1139">
            <v>1200</v>
          </cell>
          <cell r="W1139" t="str">
            <v>KEW</v>
          </cell>
          <cell r="X1139" t="str">
            <v>01/09/2010</v>
          </cell>
          <cell r="Y1139" t="str">
            <v>KEW</v>
          </cell>
          <cell r="Z1139" t="str">
            <v>16/08/2013</v>
          </cell>
          <cell r="AA1139" t="str">
            <v>15/08/2015</v>
          </cell>
          <cell r="AB1139" t="str">
            <v>No</v>
          </cell>
          <cell r="AC1139" t="str">
            <v>31/08/2013</v>
          </cell>
          <cell r="AD1139" t="str">
            <v>Good</v>
          </cell>
          <cell r="AE1139" t="str">
            <v>V1 - Existing / No Claim</v>
          </cell>
          <cell r="AF1139">
            <v>42235</v>
          </cell>
          <cell r="AG1139">
            <v>9.17</v>
          </cell>
          <cell r="AH1139" t="str">
            <v>PPM</v>
          </cell>
          <cell r="AI1139" t="str">
            <v>Strands</v>
          </cell>
          <cell r="AJ1139" t="str">
            <v>Strands PW</v>
          </cell>
        </row>
        <row r="1140">
          <cell r="A1140" t="str">
            <v>IKN400735</v>
          </cell>
          <cell r="B1140" t="str">
            <v>Institut Kanser Negara</v>
          </cell>
          <cell r="C1140" t="str">
            <v>Institut Kanser Negara</v>
          </cell>
          <cell r="D1140" t="str">
            <v>KKM/IKN/H/13/5252</v>
          </cell>
          <cell r="E1140" t="str">
            <v>16-287</v>
          </cell>
          <cell r="F1140" t="str">
            <v>Hot Plates</v>
          </cell>
          <cell r="G1140" t="str">
            <v>LA</v>
          </cell>
          <cell r="H1140" t="str">
            <v>PATHOLOGY</v>
          </cell>
          <cell r="I1140" t="str">
            <v>04LA127</v>
          </cell>
          <cell r="J1140" t="str">
            <v>INNOCULATION/STAINING</v>
          </cell>
          <cell r="K1140" t="str">
            <v>BMED</v>
          </cell>
          <cell r="L1140" t="str">
            <v>Normal</v>
          </cell>
          <cell r="M1140" t="str">
            <v>UK</v>
          </cell>
          <cell r="N1140" t="str">
            <v>Stuart</v>
          </cell>
          <cell r="O1140" t="str">
            <v>Stuart US150</v>
          </cell>
          <cell r="P1140" t="str">
            <v>R610000238</v>
          </cell>
          <cell r="Q1140" t="str">
            <v>Bumi Sains Sdn. Bhd.</v>
          </cell>
          <cell r="R1140" t="str">
            <v>Stuart Scientific Co Ltd</v>
          </cell>
          <cell r="S1140" t="str">
            <v>Bumi Sains Sdn. Bhd.</v>
          </cell>
          <cell r="T1140" t="str">
            <v>Functioning</v>
          </cell>
          <cell r="U1140" t="str">
            <v>01/09/2010</v>
          </cell>
          <cell r="V1140">
            <v>2170</v>
          </cell>
          <cell r="W1140" t="str">
            <v>KEW</v>
          </cell>
          <cell r="X1140" t="str">
            <v>01/09/2010</v>
          </cell>
          <cell r="Y1140" t="str">
            <v>KEW</v>
          </cell>
          <cell r="Z1140" t="str">
            <v>31/08/2013</v>
          </cell>
          <cell r="AA1140" t="str">
            <v>15/08/2015</v>
          </cell>
          <cell r="AB1140" t="str">
            <v>No</v>
          </cell>
          <cell r="AC1140" t="str">
            <v>31/08/2013</v>
          </cell>
          <cell r="AD1140" t="str">
            <v>Good</v>
          </cell>
          <cell r="AE1140" t="str">
            <v>V1 - Existing / No Claim</v>
          </cell>
          <cell r="AF1140">
            <v>42235</v>
          </cell>
          <cell r="AG1140">
            <v>9.17</v>
          </cell>
          <cell r="AH1140" t="str">
            <v>RI</v>
          </cell>
          <cell r="AI1140" t="str">
            <v>Strands</v>
          </cell>
          <cell r="AJ1140" t="str">
            <v>Strands PW</v>
          </cell>
          <cell r="AK1140" t="str">
            <v>IKNB04LA127</v>
          </cell>
        </row>
        <row r="1141">
          <cell r="A1141" t="str">
            <v>IKN400736</v>
          </cell>
          <cell r="B1141">
            <v>736</v>
          </cell>
          <cell r="C1141" t="str">
            <v>Institut Kanser Negara</v>
          </cell>
          <cell r="D1141" t="str">
            <v>KKM/IKN/H/13/4681</v>
          </cell>
          <cell r="E1141" t="str">
            <v>18-013</v>
          </cell>
          <cell r="F1141" t="str">
            <v>Incubators, Laboratory, Thermocycling</v>
          </cell>
          <cell r="G1141" t="str">
            <v>LA</v>
          </cell>
          <cell r="H1141" t="str">
            <v>PATHOLOGY</v>
          </cell>
          <cell r="I1141" t="str">
            <v>04LA126</v>
          </cell>
          <cell r="J1141" t="str">
            <v>MICROBIOLOGY UNIT</v>
          </cell>
          <cell r="K1141" t="str">
            <v>BMED</v>
          </cell>
          <cell r="L1141" t="str">
            <v>Normal</v>
          </cell>
          <cell r="M1141" t="str">
            <v>Germany</v>
          </cell>
          <cell r="N1141" t="str">
            <v>Binder</v>
          </cell>
          <cell r="O1141" t="str">
            <v>Binder BD 115</v>
          </cell>
          <cell r="P1141" t="str">
            <v>1308717</v>
          </cell>
          <cell r="Q1141" t="str">
            <v>Not Applicable</v>
          </cell>
          <cell r="R1141" t="str">
            <v>Binder GmbH &amp; Co</v>
          </cell>
          <cell r="S1141" t="str">
            <v>Bumi Sains Sdn. Bhd.</v>
          </cell>
          <cell r="T1141" t="str">
            <v>Functioning</v>
          </cell>
          <cell r="U1141" t="str">
            <v>Asset</v>
          </cell>
          <cell r="V1141">
            <v>16240</v>
          </cell>
          <cell r="W1141" t="str">
            <v>KEW</v>
          </cell>
          <cell r="X1141" t="str">
            <v>01/09/2010</v>
          </cell>
          <cell r="Y1141" t="str">
            <v>KEW</v>
          </cell>
          <cell r="Z1141" t="str">
            <v>16/08/2013</v>
          </cell>
          <cell r="AA1141" t="str">
            <v>15/08/2015</v>
          </cell>
          <cell r="AB1141" t="str">
            <v>No</v>
          </cell>
          <cell r="AC1141" t="str">
            <v>31/08/2013</v>
          </cell>
          <cell r="AD1141" t="str">
            <v>Good</v>
          </cell>
          <cell r="AE1141" t="str">
            <v>V1 - Existing / No Claim</v>
          </cell>
          <cell r="AF1141">
            <v>42235</v>
          </cell>
          <cell r="AG1141">
            <v>9.17</v>
          </cell>
          <cell r="AH1141" t="str">
            <v>PPM</v>
          </cell>
          <cell r="AI1141" t="str">
            <v>Strands</v>
          </cell>
          <cell r="AJ1141" t="str">
            <v>Strands PW</v>
          </cell>
        </row>
        <row r="1142">
          <cell r="A1142" t="str">
            <v>IKN400737</v>
          </cell>
          <cell r="B1142">
            <v>737</v>
          </cell>
          <cell r="C1142" t="str">
            <v>Institut Kanser Negara</v>
          </cell>
          <cell r="D1142" t="str">
            <v>KKM/IKN/H/13/4682</v>
          </cell>
          <cell r="E1142" t="str">
            <v>18-013</v>
          </cell>
          <cell r="F1142" t="str">
            <v>Incubators, Laboratory, Thermocycling</v>
          </cell>
          <cell r="G1142" t="str">
            <v>LA</v>
          </cell>
          <cell r="H1142" t="str">
            <v>PATHOLOGY</v>
          </cell>
          <cell r="I1142" t="str">
            <v>04LA126</v>
          </cell>
          <cell r="J1142" t="str">
            <v>MICROBIOLOGY UNIT</v>
          </cell>
          <cell r="K1142" t="str">
            <v>BMED</v>
          </cell>
          <cell r="L1142" t="str">
            <v>Normal</v>
          </cell>
          <cell r="M1142" t="str">
            <v>Germany</v>
          </cell>
          <cell r="N1142" t="str">
            <v>Binder</v>
          </cell>
          <cell r="O1142" t="str">
            <v>Binder BD 115</v>
          </cell>
          <cell r="P1142" t="str">
            <v>1308710</v>
          </cell>
          <cell r="Q1142" t="str">
            <v>Not Applicable</v>
          </cell>
          <cell r="R1142" t="str">
            <v>Binder GmbH &amp; Co</v>
          </cell>
          <cell r="S1142" t="str">
            <v>Bumi Sains Sdn. Bhd.</v>
          </cell>
          <cell r="T1142" t="str">
            <v>Functioning</v>
          </cell>
          <cell r="U1142" t="str">
            <v>Asset</v>
          </cell>
          <cell r="V1142">
            <v>16240</v>
          </cell>
          <cell r="W1142" t="str">
            <v>KEW</v>
          </cell>
          <cell r="X1142" t="str">
            <v>01/09/2010</v>
          </cell>
          <cell r="Y1142" t="str">
            <v>KEW</v>
          </cell>
          <cell r="Z1142" t="str">
            <v>16/08/2013</v>
          </cell>
          <cell r="AA1142" t="str">
            <v>15/08/2015</v>
          </cell>
          <cell r="AB1142" t="str">
            <v>No</v>
          </cell>
          <cell r="AC1142" t="str">
            <v>31/08/2013</v>
          </cell>
          <cell r="AD1142" t="str">
            <v>Good</v>
          </cell>
          <cell r="AE1142" t="str">
            <v>V1 - Existing / No Claim</v>
          </cell>
          <cell r="AF1142">
            <v>42235</v>
          </cell>
          <cell r="AG1142">
            <v>9.17</v>
          </cell>
          <cell r="AH1142" t="str">
            <v>PPM</v>
          </cell>
          <cell r="AI1142" t="str">
            <v>Strands</v>
          </cell>
          <cell r="AJ1142" t="str">
            <v>Strands PW</v>
          </cell>
        </row>
        <row r="1143">
          <cell r="A1143" t="str">
            <v>IKN400739</v>
          </cell>
          <cell r="B1143">
            <v>739</v>
          </cell>
          <cell r="C1143" t="str">
            <v>Institut Kanser Negara</v>
          </cell>
          <cell r="D1143" t="str">
            <v>KKM/IKN/H/13/1856</v>
          </cell>
          <cell r="E1143" t="str">
            <v>10-780</v>
          </cell>
          <cell r="F1143" t="str">
            <v>Centrifuges, Tabletop</v>
          </cell>
          <cell r="G1143" t="str">
            <v>LA</v>
          </cell>
          <cell r="H1143" t="str">
            <v>PATHOLOGY</v>
          </cell>
          <cell r="I1143" t="str">
            <v>04LA127</v>
          </cell>
          <cell r="J1143" t="str">
            <v>INNOCULATION/STAINING</v>
          </cell>
          <cell r="K1143" t="str">
            <v>BMED</v>
          </cell>
          <cell r="L1143" t="str">
            <v>Normal</v>
          </cell>
          <cell r="M1143" t="str">
            <v>Germany</v>
          </cell>
          <cell r="N1143" t="str">
            <v>Rotofix</v>
          </cell>
          <cell r="O1143" t="str">
            <v>Rotofix 32A</v>
          </cell>
          <cell r="P1143" t="str">
            <v>18604</v>
          </cell>
          <cell r="Q1143" t="str">
            <v>Not Applicable</v>
          </cell>
          <cell r="R1143" t="str">
            <v>Hettich-Zentrifugen GmbH</v>
          </cell>
          <cell r="S1143" t="str">
            <v>Biomarketing Services (M) Sdn Bhd</v>
          </cell>
          <cell r="T1143" t="str">
            <v>Functioning</v>
          </cell>
          <cell r="U1143" t="str">
            <v>Asset</v>
          </cell>
          <cell r="V1143">
            <v>24060</v>
          </cell>
          <cell r="W1143" t="str">
            <v>KEW</v>
          </cell>
          <cell r="X1143" t="str">
            <v>01/09/2010</v>
          </cell>
          <cell r="Y1143" t="str">
            <v>KEW</v>
          </cell>
          <cell r="Z1143" t="str">
            <v>16/08/2013</v>
          </cell>
          <cell r="AA1143" t="str">
            <v>15/08/2015</v>
          </cell>
          <cell r="AB1143" t="str">
            <v>No</v>
          </cell>
          <cell r="AC1143" t="str">
            <v>31/08/2013</v>
          </cell>
          <cell r="AD1143" t="str">
            <v>Good</v>
          </cell>
          <cell r="AE1143" t="str">
            <v>V1 - Existing / No Claim</v>
          </cell>
          <cell r="AF1143">
            <v>42790</v>
          </cell>
          <cell r="AG1143">
            <v>9.17</v>
          </cell>
          <cell r="AH1143" t="str">
            <v>PPM</v>
          </cell>
          <cell r="AI1143" t="str">
            <v>Strands</v>
          </cell>
          <cell r="AJ1143" t="str">
            <v>Strands PW</v>
          </cell>
        </row>
        <row r="1144">
          <cell r="A1144" t="str">
            <v>IKN400741</v>
          </cell>
          <cell r="B1144">
            <v>741</v>
          </cell>
          <cell r="C1144" t="str">
            <v>Institut Kanser Negara</v>
          </cell>
          <cell r="D1144" t="str">
            <v>KKM/IKN/H/13/2125</v>
          </cell>
          <cell r="E1144" t="str">
            <v>15-973</v>
          </cell>
          <cell r="F1144" t="str">
            <v>Analyzers, Laboratory, Microbiology, Blood Culture, Automate</v>
          </cell>
          <cell r="G1144" t="str">
            <v>LA</v>
          </cell>
          <cell r="H1144" t="str">
            <v>PATHOLOGY</v>
          </cell>
          <cell r="I1144" t="str">
            <v>04LA126</v>
          </cell>
          <cell r="J1144" t="str">
            <v>MICROBIOLOGY UNIT</v>
          </cell>
          <cell r="K1144" t="str">
            <v>BMED</v>
          </cell>
          <cell r="L1144" t="str">
            <v>Normal</v>
          </cell>
          <cell r="M1144" t="str">
            <v>USA</v>
          </cell>
          <cell r="N1144" t="str">
            <v>Bactec</v>
          </cell>
          <cell r="O1144" t="str">
            <v>Bactec FX</v>
          </cell>
          <cell r="P1144" t="str">
            <v>FT2159</v>
          </cell>
          <cell r="Q1144" t="str">
            <v>Not Applicable</v>
          </cell>
          <cell r="R1144" t="str">
            <v>Becton Dickinson &amp; Co</v>
          </cell>
          <cell r="S1144" t="str">
            <v>Biomarketing Services (M) Sdn Bhd</v>
          </cell>
          <cell r="T1144" t="str">
            <v>Functioning</v>
          </cell>
          <cell r="U1144" t="str">
            <v>Asset</v>
          </cell>
          <cell r="V1144">
            <v>342820</v>
          </cell>
          <cell r="W1144" t="str">
            <v>KEW</v>
          </cell>
          <cell r="X1144" t="str">
            <v>01/09/2010</v>
          </cell>
          <cell r="Y1144" t="str">
            <v>KEW</v>
          </cell>
          <cell r="Z1144" t="str">
            <v>16/08/2013</v>
          </cell>
          <cell r="AA1144" t="str">
            <v>15/08/2015</v>
          </cell>
          <cell r="AB1144" t="str">
            <v>No</v>
          </cell>
          <cell r="AC1144" t="str">
            <v>31/08/2013</v>
          </cell>
          <cell r="AD1144" t="str">
            <v>Good</v>
          </cell>
          <cell r="AE1144" t="str">
            <v>V1 - Existing / No Claim</v>
          </cell>
          <cell r="AF1144">
            <v>42790</v>
          </cell>
          <cell r="AG1144">
            <v>9.17</v>
          </cell>
          <cell r="AH1144" t="str">
            <v>PPM</v>
          </cell>
          <cell r="AI1144" t="str">
            <v>Strands</v>
          </cell>
          <cell r="AJ1144" t="str">
            <v>Strands Package</v>
          </cell>
          <cell r="AK1144" t="str">
            <v>Package Code LR0015</v>
          </cell>
        </row>
        <row r="1145">
          <cell r="A1145" t="str">
            <v>IKN400742</v>
          </cell>
          <cell r="B1145">
            <v>742</v>
          </cell>
          <cell r="C1145" t="str">
            <v>Institut Kanser Negara</v>
          </cell>
          <cell r="D1145" t="str">
            <v>KKM/IKN/H/13/1880</v>
          </cell>
          <cell r="E1145" t="str">
            <v>14-410</v>
          </cell>
          <cell r="F1145" t="str">
            <v>Ovens, Drying</v>
          </cell>
          <cell r="G1145" t="str">
            <v>LA</v>
          </cell>
          <cell r="H1145" t="str">
            <v>PATHOLOGY</v>
          </cell>
          <cell r="I1145" t="str">
            <v>04LA132</v>
          </cell>
          <cell r="J1145" t="str">
            <v>HAEMATOLOGY LAB 2</v>
          </cell>
          <cell r="K1145" t="str">
            <v>BMED</v>
          </cell>
          <cell r="L1145" t="str">
            <v>Normal</v>
          </cell>
          <cell r="M1145" t="str">
            <v>Germany</v>
          </cell>
          <cell r="N1145" t="str">
            <v>Heratherm</v>
          </cell>
          <cell r="O1145" t="str">
            <v>Heratherm OGS 100</v>
          </cell>
          <cell r="P1145" t="str">
            <v>41419440</v>
          </cell>
          <cell r="Q1145" t="str">
            <v>Not Applicable</v>
          </cell>
          <cell r="R1145" t="str">
            <v>Thermo Scientific Inc</v>
          </cell>
          <cell r="S1145" t="str">
            <v>Bumi Sains Sdn. Bhd.</v>
          </cell>
          <cell r="T1145" t="str">
            <v>Functioning</v>
          </cell>
          <cell r="U1145" t="str">
            <v>Asset</v>
          </cell>
          <cell r="V1145">
            <v>6620</v>
          </cell>
          <cell r="W1145" t="str">
            <v>KEW</v>
          </cell>
          <cell r="X1145" t="str">
            <v>01/09/2010</v>
          </cell>
          <cell r="Y1145" t="str">
            <v>KEW</v>
          </cell>
          <cell r="Z1145" t="str">
            <v>16/08/2013</v>
          </cell>
          <cell r="AA1145" t="str">
            <v>15/08/2015</v>
          </cell>
          <cell r="AB1145" t="str">
            <v>No</v>
          </cell>
          <cell r="AC1145" t="str">
            <v>31/08/2013</v>
          </cell>
          <cell r="AD1145" t="str">
            <v>Good</v>
          </cell>
          <cell r="AE1145" t="str">
            <v>V1 - Existing / No Claim</v>
          </cell>
          <cell r="AF1145">
            <v>42235</v>
          </cell>
          <cell r="AG1145">
            <v>9.17</v>
          </cell>
          <cell r="AH1145" t="str">
            <v>PPM</v>
          </cell>
          <cell r="AI1145" t="str">
            <v>Strands</v>
          </cell>
          <cell r="AJ1145" t="str">
            <v>Strands PW</v>
          </cell>
        </row>
        <row r="1146">
          <cell r="A1146" t="str">
            <v>IKN400743</v>
          </cell>
          <cell r="B1146">
            <v>743</v>
          </cell>
          <cell r="C1146" t="str">
            <v>Institut Kanser Negara</v>
          </cell>
          <cell r="D1146" t="str">
            <v>KKM/IKN/H/13/1882</v>
          </cell>
          <cell r="E1146" t="str">
            <v>16-855</v>
          </cell>
          <cell r="F1146" t="str">
            <v>Carbon Dioxide Monitors, Laboratory Incubator</v>
          </cell>
          <cell r="G1146" t="str">
            <v>LA</v>
          </cell>
          <cell r="H1146" t="str">
            <v>PATHOLOGY</v>
          </cell>
          <cell r="I1146" t="str">
            <v>04LA126</v>
          </cell>
          <cell r="J1146" t="str">
            <v>MICROBIOLOGY UNIT</v>
          </cell>
          <cell r="K1146" t="str">
            <v>BMED</v>
          </cell>
          <cell r="L1146" t="str">
            <v>Normal</v>
          </cell>
          <cell r="M1146" t="str">
            <v>Germany</v>
          </cell>
          <cell r="N1146" t="str">
            <v>Heracell</v>
          </cell>
          <cell r="O1146" t="str">
            <v>Heracell 150i</v>
          </cell>
          <cell r="P1146" t="str">
            <v>41423244</v>
          </cell>
          <cell r="Q1146" t="str">
            <v>Not Applicable</v>
          </cell>
          <cell r="R1146" t="str">
            <v>Thermo electron LED GmbH</v>
          </cell>
          <cell r="S1146" t="str">
            <v>Bumi Sains Sdn. Bhd.</v>
          </cell>
          <cell r="T1146" t="str">
            <v>Functioning</v>
          </cell>
          <cell r="U1146" t="str">
            <v>Asset</v>
          </cell>
          <cell r="V1146">
            <v>56180</v>
          </cell>
          <cell r="W1146" t="str">
            <v>KEW</v>
          </cell>
          <cell r="X1146" t="str">
            <v>01/09/2010</v>
          </cell>
          <cell r="Y1146" t="str">
            <v>KEW</v>
          </cell>
          <cell r="Z1146" t="str">
            <v>16/08/2013</v>
          </cell>
          <cell r="AA1146" t="str">
            <v>15/08/2015</v>
          </cell>
          <cell r="AB1146" t="str">
            <v>No</v>
          </cell>
          <cell r="AC1146" t="str">
            <v>31/08/2013</v>
          </cell>
          <cell r="AD1146" t="str">
            <v>Good</v>
          </cell>
          <cell r="AE1146" t="str">
            <v>V1 - Existing / No Claim</v>
          </cell>
          <cell r="AF1146">
            <v>42790</v>
          </cell>
          <cell r="AG1146">
            <v>9.17</v>
          </cell>
          <cell r="AH1146" t="str">
            <v>PPM</v>
          </cell>
          <cell r="AI1146" t="str">
            <v>Strands</v>
          </cell>
          <cell r="AJ1146" t="str">
            <v>Strands PW</v>
          </cell>
        </row>
        <row r="1147">
          <cell r="A1147" t="str">
            <v>IKN400744</v>
          </cell>
          <cell r="B1147">
            <v>744</v>
          </cell>
          <cell r="C1147" t="str">
            <v>Institut Kanser Negara</v>
          </cell>
          <cell r="D1147" t="str">
            <v>KKM/IKN/H/13/1883</v>
          </cell>
          <cell r="E1147" t="str">
            <v>15-156</v>
          </cell>
          <cell r="F1147" t="str">
            <v>Microscopes, Light, Laboratory</v>
          </cell>
          <cell r="G1147" t="str">
            <v>LA</v>
          </cell>
          <cell r="H1147" t="str">
            <v>PATHOLOGY</v>
          </cell>
          <cell r="I1147" t="str">
            <v>04LA126</v>
          </cell>
          <cell r="J1147" t="str">
            <v>MICROBIOLOGY UNIT</v>
          </cell>
          <cell r="K1147" t="str">
            <v>BMED</v>
          </cell>
          <cell r="L1147" t="str">
            <v>Normal</v>
          </cell>
          <cell r="M1147" t="str">
            <v>Japan</v>
          </cell>
          <cell r="N1147" t="str">
            <v>Olympus</v>
          </cell>
          <cell r="O1147" t="str">
            <v>Olympus CX31</v>
          </cell>
          <cell r="P1147" t="str">
            <v>2H08971</v>
          </cell>
          <cell r="Q1147" t="str">
            <v>Not Applicable</v>
          </cell>
          <cell r="R1147" t="str">
            <v>Olympus Corp Ltd</v>
          </cell>
          <cell r="S1147" t="str">
            <v>Matrix Optics (M) Sdn Bhd</v>
          </cell>
          <cell r="T1147" t="str">
            <v>Functioning</v>
          </cell>
          <cell r="U1147" t="str">
            <v>Asset</v>
          </cell>
          <cell r="V1147">
            <v>14740</v>
          </cell>
          <cell r="W1147" t="str">
            <v>KEW</v>
          </cell>
          <cell r="X1147" t="str">
            <v>01/09/2010</v>
          </cell>
          <cell r="Y1147" t="str">
            <v>KEW</v>
          </cell>
          <cell r="Z1147" t="str">
            <v>16/08/2013</v>
          </cell>
          <cell r="AA1147" t="str">
            <v>15/08/2015</v>
          </cell>
          <cell r="AB1147" t="str">
            <v>No</v>
          </cell>
          <cell r="AC1147" t="str">
            <v>31/08/2013</v>
          </cell>
          <cell r="AD1147" t="str">
            <v>Good</v>
          </cell>
          <cell r="AE1147" t="str">
            <v>V1 - Existing / No Claim</v>
          </cell>
          <cell r="AF1147">
            <v>42235</v>
          </cell>
          <cell r="AG1147">
            <v>9.17</v>
          </cell>
          <cell r="AH1147" t="str">
            <v>PPM</v>
          </cell>
          <cell r="AI1147" t="str">
            <v>Strands</v>
          </cell>
          <cell r="AJ1147" t="str">
            <v>Strands PW</v>
          </cell>
        </row>
        <row r="1148">
          <cell r="A1148" t="str">
            <v>IKN400745</v>
          </cell>
          <cell r="B1148">
            <v>745</v>
          </cell>
          <cell r="C1148" t="str">
            <v>Institut Kanser Negara</v>
          </cell>
          <cell r="D1148" t="str">
            <v>KKM/IKN/H/13/2148</v>
          </cell>
          <cell r="E1148" t="str">
            <v>15-161</v>
          </cell>
          <cell r="F1148" t="str">
            <v>Mixers, Clinical Laboratory</v>
          </cell>
          <cell r="G1148" t="str">
            <v>LA</v>
          </cell>
          <cell r="H1148" t="str">
            <v>PATHOLOGY</v>
          </cell>
          <cell r="I1148" t="str">
            <v>04LA132</v>
          </cell>
          <cell r="J1148" t="str">
            <v>HAEMATOLOGY LAB 2</v>
          </cell>
          <cell r="K1148" t="str">
            <v>BMED</v>
          </cell>
          <cell r="L1148" t="str">
            <v>Normal</v>
          </cell>
          <cell r="M1148" t="str">
            <v>UK</v>
          </cell>
          <cell r="N1148" t="str">
            <v>Stuart</v>
          </cell>
          <cell r="O1148" t="str">
            <v>Stuart SRT 6D</v>
          </cell>
          <cell r="P1148" t="str">
            <v>RO00101627</v>
          </cell>
          <cell r="Q1148" t="str">
            <v>Not Applicable</v>
          </cell>
          <cell r="R1148" t="str">
            <v>Stuart Scientific Co Ltd</v>
          </cell>
          <cell r="S1148" t="str">
            <v>Bumi Sains Sdn. Bhd.</v>
          </cell>
          <cell r="T1148" t="str">
            <v>Functioning</v>
          </cell>
          <cell r="U1148" t="str">
            <v>Asset</v>
          </cell>
          <cell r="V1148">
            <v>4570</v>
          </cell>
          <cell r="W1148" t="str">
            <v>KEW</v>
          </cell>
          <cell r="X1148" t="str">
            <v>01/09/2010</v>
          </cell>
          <cell r="Y1148" t="str">
            <v>KEW</v>
          </cell>
          <cell r="Z1148" t="str">
            <v>16/08/2013</v>
          </cell>
          <cell r="AA1148" t="str">
            <v>15/08/2015</v>
          </cell>
          <cell r="AB1148" t="str">
            <v>No</v>
          </cell>
          <cell r="AC1148" t="str">
            <v>31/08/2013</v>
          </cell>
          <cell r="AD1148" t="str">
            <v>Good</v>
          </cell>
          <cell r="AE1148" t="str">
            <v>V1 - Existing / No Claim</v>
          </cell>
          <cell r="AF1148">
            <v>42790</v>
          </cell>
          <cell r="AG1148">
            <v>9.17</v>
          </cell>
          <cell r="AH1148" t="str">
            <v>PPM</v>
          </cell>
          <cell r="AI1148" t="str">
            <v>Strands</v>
          </cell>
          <cell r="AJ1148" t="str">
            <v>Strands PW</v>
          </cell>
        </row>
        <row r="1149">
          <cell r="A1149" t="str">
            <v>IKN400746</v>
          </cell>
          <cell r="B1149">
            <v>746</v>
          </cell>
          <cell r="C1149" t="str">
            <v>Institut Kanser Negara</v>
          </cell>
          <cell r="D1149" t="str">
            <v>KKM/IKN/H/13/4677</v>
          </cell>
          <cell r="E1149" t="str">
            <v>17-741</v>
          </cell>
          <cell r="F1149" t="str">
            <v>Analyzers, Laboratory, Hematology, Cell Counting, Automated</v>
          </cell>
          <cell r="G1149" t="str">
            <v>LA</v>
          </cell>
          <cell r="H1149" t="str">
            <v>PATHOLOGY</v>
          </cell>
          <cell r="I1149" t="str">
            <v>04LA131</v>
          </cell>
          <cell r="J1149" t="str">
            <v>HAEMATOLOGY LAB 1</v>
          </cell>
          <cell r="K1149" t="str">
            <v>BMED</v>
          </cell>
          <cell r="L1149" t="str">
            <v>Normal</v>
          </cell>
          <cell r="M1149" t="str">
            <v>USA</v>
          </cell>
          <cell r="N1149" t="str">
            <v>Beckman</v>
          </cell>
          <cell r="O1149" t="str">
            <v>Beckman DXH800</v>
          </cell>
          <cell r="P1149" t="str">
            <v>AT23285</v>
          </cell>
          <cell r="Q1149" t="str">
            <v>Not Applicable</v>
          </cell>
          <cell r="R1149" t="str">
            <v>Beckman Coulter Inc</v>
          </cell>
          <cell r="S1149" t="str">
            <v>Straits Scientific (M) Sdn Bhd</v>
          </cell>
          <cell r="T1149" t="str">
            <v>Functioning</v>
          </cell>
          <cell r="U1149" t="str">
            <v>Asset</v>
          </cell>
          <cell r="V1149">
            <v>416200</v>
          </cell>
          <cell r="W1149" t="str">
            <v>KEW</v>
          </cell>
          <cell r="X1149" t="str">
            <v>01/09/2010</v>
          </cell>
          <cell r="Y1149" t="str">
            <v>KEW</v>
          </cell>
          <cell r="Z1149" t="str">
            <v>16/08/2013</v>
          </cell>
          <cell r="AA1149" t="str">
            <v>15/08/2015</v>
          </cell>
          <cell r="AB1149" t="str">
            <v>No</v>
          </cell>
          <cell r="AC1149" t="str">
            <v>31/08/2013</v>
          </cell>
          <cell r="AD1149" t="str">
            <v>Good</v>
          </cell>
          <cell r="AE1149" t="str">
            <v>V1 - Existing / No Claim</v>
          </cell>
          <cell r="AF1149">
            <v>42235</v>
          </cell>
          <cell r="AG1149">
            <v>9.17</v>
          </cell>
          <cell r="AH1149" t="str">
            <v>PPM</v>
          </cell>
          <cell r="AI1149" t="str">
            <v>Strands</v>
          </cell>
          <cell r="AJ1149" t="str">
            <v>Strands Package</v>
          </cell>
          <cell r="AK1149" t="str">
            <v>Package Code LH0007</v>
          </cell>
        </row>
        <row r="1150">
          <cell r="A1150" t="str">
            <v>IKN400747</v>
          </cell>
          <cell r="B1150">
            <v>747</v>
          </cell>
          <cell r="C1150" t="str">
            <v>Institut Kanser Negara</v>
          </cell>
          <cell r="D1150" t="str">
            <v>KKM/IKN/H/13/4684</v>
          </cell>
          <cell r="E1150" t="str">
            <v>15-161</v>
          </cell>
          <cell r="F1150" t="str">
            <v>Mixers, Clinical Laboratory</v>
          </cell>
          <cell r="G1150" t="str">
            <v>LA</v>
          </cell>
          <cell r="H1150" t="str">
            <v>PATHOLOGY</v>
          </cell>
          <cell r="I1150" t="str">
            <v>04LA132</v>
          </cell>
          <cell r="J1150" t="str">
            <v>HAEMATOLOGY LAB 2</v>
          </cell>
          <cell r="K1150" t="str">
            <v>BMED</v>
          </cell>
          <cell r="L1150" t="str">
            <v>Normal</v>
          </cell>
          <cell r="M1150" t="str">
            <v>UK</v>
          </cell>
          <cell r="N1150" t="str">
            <v>Stuart</v>
          </cell>
          <cell r="O1150" t="str">
            <v>Stuart SRT 6D</v>
          </cell>
          <cell r="P1150" t="str">
            <v>R87000006</v>
          </cell>
          <cell r="Q1150" t="str">
            <v>Not Applicable</v>
          </cell>
          <cell r="R1150" t="str">
            <v>Stuart Scientific Co Ltd</v>
          </cell>
          <cell r="S1150" t="str">
            <v>Bumi Sains Sdn. Bhd.</v>
          </cell>
          <cell r="T1150" t="str">
            <v>Functioning</v>
          </cell>
          <cell r="U1150" t="str">
            <v>Asset</v>
          </cell>
          <cell r="V1150">
            <v>4570</v>
          </cell>
          <cell r="W1150" t="str">
            <v>KEW</v>
          </cell>
          <cell r="X1150" t="str">
            <v>01/09/2010</v>
          </cell>
          <cell r="Y1150" t="str">
            <v>KEW</v>
          </cell>
          <cell r="Z1150" t="str">
            <v>16/08/2013</v>
          </cell>
          <cell r="AA1150" t="str">
            <v>15/08/2015</v>
          </cell>
          <cell r="AB1150" t="str">
            <v>No</v>
          </cell>
          <cell r="AC1150" t="str">
            <v>31/08/2013</v>
          </cell>
          <cell r="AD1150" t="str">
            <v>Good</v>
          </cell>
          <cell r="AE1150" t="str">
            <v>V1 - Existing / No Claim</v>
          </cell>
          <cell r="AF1150">
            <v>42235</v>
          </cell>
          <cell r="AG1150">
            <v>9.17</v>
          </cell>
          <cell r="AH1150" t="str">
            <v>PPM</v>
          </cell>
          <cell r="AI1150" t="str">
            <v>Strands</v>
          </cell>
          <cell r="AJ1150" t="str">
            <v>Strands PW</v>
          </cell>
        </row>
        <row r="1151">
          <cell r="A1151" t="str">
            <v>IKN400748</v>
          </cell>
          <cell r="B1151">
            <v>748</v>
          </cell>
          <cell r="C1151" t="str">
            <v>Institut Kanser Negara</v>
          </cell>
          <cell r="D1151" t="str">
            <v>KKM/IKN/H/13/1866</v>
          </cell>
          <cell r="E1151" t="str">
            <v>10-263</v>
          </cell>
          <cell r="F1151" t="str">
            <v>Balances, Electronic</v>
          </cell>
          <cell r="G1151" t="str">
            <v>LA</v>
          </cell>
          <cell r="H1151" t="str">
            <v>PATHOLOGY</v>
          </cell>
          <cell r="I1151" t="str">
            <v>04LA134</v>
          </cell>
          <cell r="J1151" t="str">
            <v>CHEMICAL PATHOLOGY 2</v>
          </cell>
          <cell r="K1151" t="str">
            <v>BMED</v>
          </cell>
          <cell r="L1151" t="str">
            <v>Normal</v>
          </cell>
          <cell r="M1151" t="str">
            <v>Germany</v>
          </cell>
          <cell r="N1151" t="str">
            <v>Sartorius</v>
          </cell>
          <cell r="O1151" t="str">
            <v>Sartorius TE412</v>
          </cell>
          <cell r="P1151" t="str">
            <v>28103585</v>
          </cell>
          <cell r="Q1151" t="str">
            <v>Not Applicable</v>
          </cell>
          <cell r="R1151" t="str">
            <v>Sartorius AG</v>
          </cell>
          <cell r="S1151" t="str">
            <v>Chemopharm Sd. Bhd.</v>
          </cell>
          <cell r="T1151" t="str">
            <v>Functioning</v>
          </cell>
          <cell r="U1151" t="str">
            <v>Asset</v>
          </cell>
          <cell r="V1151">
            <v>5490</v>
          </cell>
          <cell r="W1151" t="str">
            <v>KEW</v>
          </cell>
          <cell r="X1151" t="str">
            <v>01/09/2010</v>
          </cell>
          <cell r="Y1151" t="str">
            <v>KEW</v>
          </cell>
          <cell r="Z1151" t="str">
            <v>16/08/2013</v>
          </cell>
          <cell r="AA1151" t="str">
            <v>15/08/2015</v>
          </cell>
          <cell r="AB1151" t="str">
            <v>No</v>
          </cell>
          <cell r="AC1151" t="str">
            <v>31/08/2013</v>
          </cell>
          <cell r="AD1151" t="str">
            <v>Good</v>
          </cell>
          <cell r="AE1151" t="str">
            <v>V1 - Existing / No Claim</v>
          </cell>
          <cell r="AF1151">
            <v>42235</v>
          </cell>
          <cell r="AG1151">
            <v>9.17</v>
          </cell>
          <cell r="AH1151" t="str">
            <v>PPM</v>
          </cell>
          <cell r="AI1151" t="str">
            <v>Strands</v>
          </cell>
          <cell r="AJ1151" t="str">
            <v>Strands PW</v>
          </cell>
        </row>
        <row r="1152">
          <cell r="A1152" t="str">
            <v>IKN400749</v>
          </cell>
          <cell r="B1152">
            <v>749</v>
          </cell>
          <cell r="C1152" t="str">
            <v>Institut Kanser Negara</v>
          </cell>
          <cell r="D1152" t="str">
            <v>KKM/IKN/H/13/3942 (NEW KKM/IKN/R/13/1121)</v>
          </cell>
          <cell r="E1152" t="str">
            <v>10-263</v>
          </cell>
          <cell r="F1152" t="str">
            <v>Balances, Electronic</v>
          </cell>
          <cell r="G1152" t="str">
            <v>LA</v>
          </cell>
          <cell r="H1152" t="str">
            <v>PATHOLOGY</v>
          </cell>
          <cell r="I1152" t="str">
            <v>04LA134</v>
          </cell>
          <cell r="J1152" t="str">
            <v>CHEMICAL PATHOLOGY 2</v>
          </cell>
          <cell r="K1152" t="str">
            <v>BMED</v>
          </cell>
          <cell r="L1152" t="str">
            <v>Normal</v>
          </cell>
          <cell r="M1152" t="str">
            <v>Germany</v>
          </cell>
          <cell r="N1152" t="str">
            <v>Sartorius</v>
          </cell>
          <cell r="O1152" t="str">
            <v>Sartorius TE612</v>
          </cell>
          <cell r="P1152" t="str">
            <v>28103586</v>
          </cell>
          <cell r="Q1152" t="str">
            <v>Not Applicable</v>
          </cell>
          <cell r="R1152" t="str">
            <v>Sartorius AG</v>
          </cell>
          <cell r="S1152" t="str">
            <v>Chemopharm Sd. Bhd.</v>
          </cell>
          <cell r="T1152" t="str">
            <v>Functioning</v>
          </cell>
          <cell r="U1152" t="str">
            <v>Asset</v>
          </cell>
          <cell r="V1152">
            <v>1560</v>
          </cell>
          <cell r="W1152" t="str">
            <v>KEW</v>
          </cell>
          <cell r="X1152" t="str">
            <v>01/09/2010</v>
          </cell>
          <cell r="Y1152" t="str">
            <v>KEW</v>
          </cell>
          <cell r="Z1152" t="str">
            <v>16/08/2013</v>
          </cell>
          <cell r="AA1152" t="str">
            <v>15/08/2015</v>
          </cell>
          <cell r="AB1152" t="str">
            <v>No</v>
          </cell>
          <cell r="AC1152" t="str">
            <v>31/08/2013</v>
          </cell>
          <cell r="AD1152" t="str">
            <v>Good</v>
          </cell>
          <cell r="AE1152" t="str">
            <v>V1 - Existing / No Claim</v>
          </cell>
          <cell r="AF1152">
            <v>42235</v>
          </cell>
          <cell r="AG1152">
            <v>9.17</v>
          </cell>
          <cell r="AH1152" t="str">
            <v>PPM</v>
          </cell>
          <cell r="AI1152" t="str">
            <v>Strands</v>
          </cell>
          <cell r="AJ1152" t="str">
            <v>Strands PW</v>
          </cell>
          <cell r="AK1152" t="str">
            <v>kkm no dah tukar pada10/9/2024</v>
          </cell>
        </row>
        <row r="1153">
          <cell r="A1153" t="str">
            <v>IKN400750</v>
          </cell>
          <cell r="B1153">
            <v>750</v>
          </cell>
          <cell r="C1153" t="str">
            <v>Institut Kanser Negara</v>
          </cell>
          <cell r="D1153" t="str">
            <v>KKM/IKN/H/13/3943 (NEW KKM/IKN/R/13/1122)</v>
          </cell>
          <cell r="E1153" t="str">
            <v>10-263</v>
          </cell>
          <cell r="F1153" t="str">
            <v>Balances, Electronic</v>
          </cell>
          <cell r="G1153" t="str">
            <v>LA</v>
          </cell>
          <cell r="H1153" t="str">
            <v>PATHOLOGY</v>
          </cell>
          <cell r="I1153" t="str">
            <v>04LA133</v>
          </cell>
          <cell r="J1153" t="str">
            <v>CHEMICAL PATHOLOGY 1</v>
          </cell>
          <cell r="K1153" t="str">
            <v>BMED</v>
          </cell>
          <cell r="L1153" t="str">
            <v>Normal</v>
          </cell>
          <cell r="M1153" t="str">
            <v>Germany</v>
          </cell>
          <cell r="N1153" t="str">
            <v>Sartorius</v>
          </cell>
          <cell r="O1153" t="str">
            <v>Sartorius TE612</v>
          </cell>
          <cell r="P1153" t="str">
            <v>28103587</v>
          </cell>
          <cell r="Q1153" t="str">
            <v>Not Applicable</v>
          </cell>
          <cell r="R1153" t="str">
            <v>Sartorius AG</v>
          </cell>
          <cell r="S1153" t="str">
            <v>Chemopharm Sd. Bhd.</v>
          </cell>
          <cell r="T1153" t="str">
            <v>Functioning</v>
          </cell>
          <cell r="U1153" t="str">
            <v>Asset</v>
          </cell>
          <cell r="V1153">
            <v>1560</v>
          </cell>
          <cell r="W1153" t="str">
            <v>KEW</v>
          </cell>
          <cell r="X1153" t="str">
            <v>01/09/2010</v>
          </cell>
          <cell r="Y1153" t="str">
            <v>KEW</v>
          </cell>
          <cell r="Z1153" t="str">
            <v>16/08/2013</v>
          </cell>
          <cell r="AA1153" t="str">
            <v>15/08/2015</v>
          </cell>
          <cell r="AB1153" t="str">
            <v>No</v>
          </cell>
          <cell r="AC1153" t="str">
            <v>31/08/2013</v>
          </cell>
          <cell r="AD1153" t="str">
            <v>Good</v>
          </cell>
          <cell r="AE1153" t="str">
            <v>V1 - Existing / No Claim</v>
          </cell>
          <cell r="AF1153">
            <v>42235</v>
          </cell>
          <cell r="AG1153">
            <v>9.17</v>
          </cell>
          <cell r="AH1153" t="str">
            <v>PPM</v>
          </cell>
          <cell r="AI1153" t="str">
            <v>Strands</v>
          </cell>
          <cell r="AJ1153" t="str">
            <v>Strands PW</v>
          </cell>
          <cell r="AK1153" t="str">
            <v>CUBA CHECK IKN400749 PUNYA KEWPA 
KKM/IKN/H/13/3943 (NEW KKM/IKN/R/13/1122)</v>
          </cell>
        </row>
        <row r="1154">
          <cell r="A1154" t="str">
            <v>IKN400753</v>
          </cell>
          <cell r="B1154">
            <v>753</v>
          </cell>
          <cell r="C1154" t="str">
            <v>Institut Kanser Negara</v>
          </cell>
          <cell r="D1154" t="str">
            <v>KKM/IKN/I/13/2912</v>
          </cell>
          <cell r="E1154" t="str">
            <v>15-161</v>
          </cell>
          <cell r="F1154" t="str">
            <v>Mixers, Clinical Laboratory</v>
          </cell>
          <cell r="G1154" t="str">
            <v>LA</v>
          </cell>
          <cell r="H1154" t="str">
            <v>PATHOLOGY</v>
          </cell>
          <cell r="I1154" t="str">
            <v>04LA126</v>
          </cell>
          <cell r="J1154" t="str">
            <v>MICROBIOLOGY UNIT</v>
          </cell>
          <cell r="K1154" t="str">
            <v>BMED</v>
          </cell>
          <cell r="L1154" t="str">
            <v>Normal</v>
          </cell>
          <cell r="M1154" t="str">
            <v>UK</v>
          </cell>
          <cell r="N1154" t="str">
            <v>Stuart</v>
          </cell>
          <cell r="O1154" t="str">
            <v>Stuart SA8</v>
          </cell>
          <cell r="P1154" t="str">
            <v>R800004645</v>
          </cell>
          <cell r="Q1154" t="str">
            <v>Not Applicable</v>
          </cell>
          <cell r="R1154" t="str">
            <v>Stuart Scientific Co Ltd</v>
          </cell>
          <cell r="S1154" t="str">
            <v>Bumi Sains Sdn. Bhd.</v>
          </cell>
          <cell r="T1154" t="str">
            <v>Functioning</v>
          </cell>
          <cell r="U1154" t="str">
            <v>Asset</v>
          </cell>
          <cell r="V1154">
            <v>1200</v>
          </cell>
          <cell r="W1154" t="str">
            <v>KEW</v>
          </cell>
          <cell r="X1154" t="str">
            <v>01/09/2010</v>
          </cell>
          <cell r="Y1154" t="str">
            <v>KEW</v>
          </cell>
          <cell r="Z1154" t="str">
            <v>16/08/2013</v>
          </cell>
          <cell r="AA1154" t="str">
            <v>15/08/2015</v>
          </cell>
          <cell r="AB1154" t="str">
            <v>No</v>
          </cell>
          <cell r="AC1154" t="str">
            <v>31/08/2013</v>
          </cell>
          <cell r="AD1154" t="str">
            <v>Good</v>
          </cell>
          <cell r="AE1154" t="str">
            <v>V1 - Existing / No Claim</v>
          </cell>
          <cell r="AF1154">
            <v>42235</v>
          </cell>
          <cell r="AG1154">
            <v>9.17</v>
          </cell>
          <cell r="AH1154" t="str">
            <v>PPM</v>
          </cell>
          <cell r="AI1154" t="str">
            <v>Strands</v>
          </cell>
          <cell r="AJ1154" t="str">
            <v>Strands PW</v>
          </cell>
        </row>
        <row r="1155">
          <cell r="A1155" t="str">
            <v>IKN400754</v>
          </cell>
          <cell r="B1155">
            <v>754</v>
          </cell>
          <cell r="C1155" t="str">
            <v>Institut Kanser Negara</v>
          </cell>
          <cell r="D1155" t="str">
            <v>KKM/IKN/H/13/1869</v>
          </cell>
          <cell r="E1155" t="str">
            <v>18-449</v>
          </cell>
          <cell r="F1155" t="str">
            <v>Balances, Electronic, Analytical</v>
          </cell>
          <cell r="G1155" t="str">
            <v>LA</v>
          </cell>
          <cell r="H1155" t="str">
            <v>PATHOLOGY</v>
          </cell>
          <cell r="I1155" t="str">
            <v>04LA133</v>
          </cell>
          <cell r="J1155" t="str">
            <v>CHEMICAL PATHOLOGY 1</v>
          </cell>
          <cell r="K1155" t="str">
            <v>BMED</v>
          </cell>
          <cell r="L1155" t="str">
            <v>Normal</v>
          </cell>
          <cell r="M1155" t="str">
            <v>Germany</v>
          </cell>
          <cell r="N1155" t="str">
            <v>Sartorius</v>
          </cell>
          <cell r="O1155" t="str">
            <v>Sartorius AZ1502</v>
          </cell>
          <cell r="P1155" t="str">
            <v>28891663</v>
          </cell>
          <cell r="Q1155" t="str">
            <v>Not Applicable</v>
          </cell>
          <cell r="R1155" t="str">
            <v>Sartorius AG</v>
          </cell>
          <cell r="S1155" t="str">
            <v>Chemopharm Sd. Bhd.</v>
          </cell>
          <cell r="T1155" t="str">
            <v>Functioning</v>
          </cell>
          <cell r="U1155" t="str">
            <v>Asset</v>
          </cell>
          <cell r="V1155">
            <v>1560</v>
          </cell>
          <cell r="W1155" t="str">
            <v>KEW</v>
          </cell>
          <cell r="X1155" t="str">
            <v>01/09/2010</v>
          </cell>
          <cell r="Y1155" t="str">
            <v>KEW</v>
          </cell>
          <cell r="Z1155" t="str">
            <v>16/08/2013</v>
          </cell>
          <cell r="AA1155" t="str">
            <v>15/08/2015</v>
          </cell>
          <cell r="AB1155" t="str">
            <v>No</v>
          </cell>
          <cell r="AC1155" t="str">
            <v>31/08/2013</v>
          </cell>
          <cell r="AD1155" t="str">
            <v>Good</v>
          </cell>
          <cell r="AE1155" t="str">
            <v>V1 - Existing / No Claim</v>
          </cell>
          <cell r="AF1155">
            <v>42235</v>
          </cell>
          <cell r="AG1155">
            <v>9.17</v>
          </cell>
          <cell r="AH1155" t="str">
            <v>PPM</v>
          </cell>
          <cell r="AI1155" t="str">
            <v>Strands</v>
          </cell>
          <cell r="AJ1155" t="str">
            <v>Strands PW</v>
          </cell>
          <cell r="AK1155" t="str">
            <v>5/5/23: UPDATE MODEL (INDIRA). [2/4/2024]: TUKAR ASSET DESCRIPTION (Balances, Electronic, Analytical) DAN TASK CODE.</v>
          </cell>
        </row>
        <row r="1156">
          <cell r="A1156" t="str">
            <v>IKN400755</v>
          </cell>
          <cell r="B1156">
            <v>755</v>
          </cell>
          <cell r="C1156" t="str">
            <v>Institut Kanser Negara</v>
          </cell>
          <cell r="D1156" t="str">
            <v>KKM/IKN/H/13/4672</v>
          </cell>
          <cell r="E1156" t="str">
            <v>15-098</v>
          </cell>
          <cell r="F1156" t="str">
            <v>Analyzers, Laboratory, Hematology, Coagulation, Automated</v>
          </cell>
          <cell r="G1156" t="str">
            <v>LA</v>
          </cell>
          <cell r="H1156" t="str">
            <v>PATHOLOGY</v>
          </cell>
          <cell r="I1156" t="str">
            <v>04LA132</v>
          </cell>
          <cell r="J1156" t="str">
            <v>HAEMATOLOGY LAB 2</v>
          </cell>
          <cell r="K1156" t="str">
            <v>BMED</v>
          </cell>
          <cell r="L1156" t="str">
            <v>Normal</v>
          </cell>
          <cell r="M1156" t="str">
            <v>Italy</v>
          </cell>
          <cell r="N1156" t="str">
            <v>ACL Elite</v>
          </cell>
          <cell r="O1156" t="str">
            <v>ACL Elite Pro</v>
          </cell>
          <cell r="P1156" t="str">
            <v>12072358</v>
          </cell>
          <cell r="Q1156" t="str">
            <v>Not Applicable</v>
          </cell>
          <cell r="R1156" t="str">
            <v>Insturmentation laboratory inc</v>
          </cell>
          <cell r="S1156" t="str">
            <v>Straits Scientific (M) Sdn Bhd</v>
          </cell>
          <cell r="T1156" t="str">
            <v>Functioning</v>
          </cell>
          <cell r="U1156" t="str">
            <v>Asset</v>
          </cell>
          <cell r="V1156">
            <v>105860</v>
          </cell>
          <cell r="W1156" t="str">
            <v>KEW</v>
          </cell>
          <cell r="X1156" t="str">
            <v>01/09/2010</v>
          </cell>
          <cell r="Y1156" t="str">
            <v>KEW</v>
          </cell>
          <cell r="Z1156" t="str">
            <v>16/08/2013</v>
          </cell>
          <cell r="AA1156" t="str">
            <v>15/08/2015</v>
          </cell>
          <cell r="AB1156" t="str">
            <v>No</v>
          </cell>
          <cell r="AC1156" t="str">
            <v>31/08/2013</v>
          </cell>
          <cell r="AD1156" t="str">
            <v>Good</v>
          </cell>
          <cell r="AE1156" t="str">
            <v>V1 - Existing / No Claim</v>
          </cell>
          <cell r="AF1156">
            <v>42790</v>
          </cell>
          <cell r="AG1156">
            <v>9.17</v>
          </cell>
          <cell r="AH1156" t="str">
            <v>PPM</v>
          </cell>
          <cell r="AI1156" t="str">
            <v>Strands</v>
          </cell>
          <cell r="AJ1156" t="str">
            <v>Strands Package</v>
          </cell>
          <cell r="AK1156" t="str">
            <v>Package Code LH0009-S</v>
          </cell>
        </row>
        <row r="1157">
          <cell r="A1157" t="str">
            <v>IKN400756</v>
          </cell>
          <cell r="B1157">
            <v>756</v>
          </cell>
          <cell r="C1157" t="str">
            <v>Institut Kanser Negara</v>
          </cell>
          <cell r="D1157" t="str">
            <v>KKM/IKN/H/13/4673</v>
          </cell>
          <cell r="E1157" t="str">
            <v>15-098</v>
          </cell>
          <cell r="F1157" t="str">
            <v>Analyzers, Laboratory, Hematology, Coagulation, Automated</v>
          </cell>
          <cell r="G1157" t="str">
            <v>LA</v>
          </cell>
          <cell r="H1157" t="str">
            <v>PATHOLOGY</v>
          </cell>
          <cell r="I1157" t="str">
            <v>04LA132</v>
          </cell>
          <cell r="J1157" t="str">
            <v>HAEMATOLOGY LAB 2</v>
          </cell>
          <cell r="K1157" t="str">
            <v>BMED</v>
          </cell>
          <cell r="L1157" t="str">
            <v>Normal</v>
          </cell>
          <cell r="M1157" t="str">
            <v>Italy</v>
          </cell>
          <cell r="N1157" t="str">
            <v>ACL TOP 300</v>
          </cell>
          <cell r="O1157" t="str">
            <v>ACL TOP 300</v>
          </cell>
          <cell r="P1157" t="str">
            <v>12090346</v>
          </cell>
          <cell r="Q1157" t="str">
            <v>Not Applicable</v>
          </cell>
          <cell r="R1157" t="str">
            <v>Insturmentation laboratory inc</v>
          </cell>
          <cell r="S1157" t="str">
            <v>Straits Scientific (M) Sdn Bhd</v>
          </cell>
          <cell r="T1157" t="str">
            <v>Functioning</v>
          </cell>
          <cell r="U1157" t="str">
            <v>Asset</v>
          </cell>
          <cell r="V1157">
            <v>105860</v>
          </cell>
          <cell r="W1157" t="str">
            <v>KEW</v>
          </cell>
          <cell r="X1157" t="str">
            <v>01/09/2010</v>
          </cell>
          <cell r="Y1157" t="str">
            <v>KEW</v>
          </cell>
          <cell r="Z1157" t="str">
            <v>16/08/2013</v>
          </cell>
          <cell r="AA1157" t="str">
            <v>15/08/2015</v>
          </cell>
          <cell r="AB1157" t="str">
            <v>No</v>
          </cell>
          <cell r="AC1157" t="str">
            <v>31/08/2013</v>
          </cell>
          <cell r="AD1157" t="str">
            <v>Good</v>
          </cell>
          <cell r="AE1157" t="str">
            <v>V1 - Existing / No Claim</v>
          </cell>
          <cell r="AF1157">
            <v>42790</v>
          </cell>
          <cell r="AG1157">
            <v>9.17</v>
          </cell>
          <cell r="AH1157" t="str">
            <v>PPM</v>
          </cell>
          <cell r="AI1157" t="str">
            <v>Strands</v>
          </cell>
          <cell r="AJ1157" t="str">
            <v>Strands Package</v>
          </cell>
          <cell r="AK1157" t="str">
            <v>Package Code LH0009-S</v>
          </cell>
        </row>
        <row r="1158">
          <cell r="A1158" t="str">
            <v>IKN400757</v>
          </cell>
          <cell r="B1158">
            <v>757</v>
          </cell>
          <cell r="C1158" t="str">
            <v>Institut Kanser Negara</v>
          </cell>
          <cell r="D1158" t="str">
            <v>KKM/IKN/H/13/1863</v>
          </cell>
          <cell r="E1158" t="str">
            <v>17-741</v>
          </cell>
          <cell r="F1158" t="str">
            <v>Analyzers, Laboratory, Hematology, Cell Counting, Automated</v>
          </cell>
          <cell r="G1158" t="str">
            <v>LA</v>
          </cell>
          <cell r="H1158" t="str">
            <v>PATHOLOGY</v>
          </cell>
          <cell r="I1158" t="str">
            <v>04LA131</v>
          </cell>
          <cell r="J1158" t="str">
            <v>HAEMATOLOGY LAB 1</v>
          </cell>
          <cell r="K1158" t="str">
            <v>BMED</v>
          </cell>
          <cell r="L1158" t="str">
            <v>Normal</v>
          </cell>
          <cell r="M1158" t="str">
            <v>Japan</v>
          </cell>
          <cell r="N1158" t="str">
            <v>Sysmex</v>
          </cell>
          <cell r="O1158" t="str">
            <v>Sysmex XN-3111</v>
          </cell>
          <cell r="P1158" t="str">
            <v>11465</v>
          </cell>
          <cell r="Q1158" t="str">
            <v>Not Applicable</v>
          </cell>
          <cell r="R1158" t="str">
            <v>Sysmex Corp</v>
          </cell>
          <cell r="S1158" t="str">
            <v>Metrojendela</v>
          </cell>
          <cell r="T1158" t="str">
            <v>Functioning</v>
          </cell>
          <cell r="U1158" t="str">
            <v>Asset</v>
          </cell>
          <cell r="V1158">
            <v>565350</v>
          </cell>
          <cell r="W1158" t="str">
            <v>KEW</v>
          </cell>
          <cell r="X1158" t="str">
            <v>01/09/2010</v>
          </cell>
          <cell r="Y1158" t="str">
            <v>KEW</v>
          </cell>
          <cell r="Z1158" t="str">
            <v>16/08/2013</v>
          </cell>
          <cell r="AA1158" t="str">
            <v>15/08/2015</v>
          </cell>
          <cell r="AB1158" t="str">
            <v>No</v>
          </cell>
          <cell r="AC1158" t="str">
            <v>31/08/2013</v>
          </cell>
          <cell r="AD1158" t="str">
            <v>Good</v>
          </cell>
          <cell r="AE1158" t="str">
            <v>V1 - Existing / No Claim</v>
          </cell>
          <cell r="AF1158">
            <v>42235</v>
          </cell>
          <cell r="AG1158">
            <v>9.17</v>
          </cell>
          <cell r="AH1158" t="str">
            <v>PPM</v>
          </cell>
          <cell r="AI1158" t="str">
            <v>Strands</v>
          </cell>
          <cell r="AJ1158" t="str">
            <v>Strands Package</v>
          </cell>
          <cell r="AK1158" t="str">
            <v>Package Code LH0006</v>
          </cell>
        </row>
        <row r="1159">
          <cell r="A1159" t="str">
            <v>IKN400758</v>
          </cell>
          <cell r="B1159">
            <v>758</v>
          </cell>
          <cell r="C1159" t="str">
            <v>Institut Kanser Negara</v>
          </cell>
          <cell r="D1159" t="str">
            <v>KKM/IKN/H/13/4685</v>
          </cell>
          <cell r="E1159" t="str">
            <v>16-378</v>
          </cell>
          <cell r="F1159" t="str">
            <v>Analyzers, Laboratory, Urine, Automated</v>
          </cell>
          <cell r="G1159" t="str">
            <v>LA</v>
          </cell>
          <cell r="H1159" t="str">
            <v>PATHOLOGY</v>
          </cell>
          <cell r="I1159" t="str">
            <v>04LA132</v>
          </cell>
          <cell r="J1159" t="str">
            <v>HAEMATOLOGY LAB 2</v>
          </cell>
          <cell r="K1159" t="str">
            <v>BMED</v>
          </cell>
          <cell r="L1159" t="str">
            <v>Critical</v>
          </cell>
          <cell r="M1159" t="str">
            <v>USA</v>
          </cell>
          <cell r="N1159" t="str">
            <v>Ichem</v>
          </cell>
          <cell r="O1159" t="str">
            <v>Ichem Velocity</v>
          </cell>
          <cell r="P1159" t="str">
            <v>V01473</v>
          </cell>
          <cell r="Q1159" t="str">
            <v>Not Applicable</v>
          </cell>
          <cell r="R1159" t="str">
            <v>Iris Medical Instruments Inc</v>
          </cell>
          <cell r="S1159" t="str">
            <v>Diagnostic Systems (M) Sdn Bhd</v>
          </cell>
          <cell r="T1159" t="str">
            <v>Functioning</v>
          </cell>
          <cell r="U1159" t="str">
            <v>Asset</v>
          </cell>
          <cell r="V1159">
            <v>36080</v>
          </cell>
          <cell r="W1159" t="str">
            <v>KEW</v>
          </cell>
          <cell r="X1159" t="str">
            <v>01/09/2010</v>
          </cell>
          <cell r="Y1159" t="str">
            <v>KEW</v>
          </cell>
          <cell r="Z1159" t="str">
            <v>16/08/2013</v>
          </cell>
          <cell r="AA1159" t="str">
            <v>15/08/2015</v>
          </cell>
          <cell r="AB1159" t="str">
            <v>No</v>
          </cell>
          <cell r="AC1159" t="str">
            <v>31/08/2013</v>
          </cell>
          <cell r="AD1159" t="str">
            <v>Good</v>
          </cell>
          <cell r="AE1159" t="str">
            <v>V1 - Existing / No Claim</v>
          </cell>
          <cell r="AF1159">
            <v>42790</v>
          </cell>
          <cell r="AG1159">
            <v>9.17</v>
          </cell>
          <cell r="AH1159" t="str">
            <v>PPM</v>
          </cell>
          <cell r="AI1159" t="str">
            <v>Strands</v>
          </cell>
          <cell r="AJ1159" t="str">
            <v>Strands Package</v>
          </cell>
          <cell r="AK1159" t="str">
            <v>Package Code LC0054</v>
          </cell>
        </row>
        <row r="1160">
          <cell r="A1160" t="str">
            <v>IKN400760</v>
          </cell>
          <cell r="B1160">
            <v>760</v>
          </cell>
          <cell r="C1160" t="str">
            <v>Institut Kanser Negara</v>
          </cell>
          <cell r="D1160" t="str">
            <v>KKM/IKN/H/13/1847</v>
          </cell>
          <cell r="E1160" t="str">
            <v>17-916</v>
          </cell>
          <cell r="F1160" t="str">
            <v>Analyzers, Laboratory, Immunoassay, Chemiluminescent</v>
          </cell>
          <cell r="G1160" t="str">
            <v>LA</v>
          </cell>
          <cell r="H1160" t="str">
            <v>PATHOLOGY</v>
          </cell>
          <cell r="I1160" t="str">
            <v>04LA133</v>
          </cell>
          <cell r="J1160" t="str">
            <v>CHEMICAL PATHOLOGY 1</v>
          </cell>
          <cell r="K1160" t="str">
            <v>BMED</v>
          </cell>
          <cell r="L1160" t="str">
            <v>Normal</v>
          </cell>
          <cell r="M1160" t="str">
            <v>USA</v>
          </cell>
          <cell r="N1160" t="str">
            <v>Advia Centaur</v>
          </cell>
          <cell r="O1160" t="str">
            <v>Advia Centaur CP</v>
          </cell>
          <cell r="P1160" t="str">
            <v>ROB300000252</v>
          </cell>
          <cell r="Q1160" t="str">
            <v>Not Applicable</v>
          </cell>
          <cell r="R1160" t="str">
            <v>Siemens Healthcare Diagnostics Inc</v>
          </cell>
          <cell r="S1160" t="str">
            <v>Siemens Malaysia Sdn. Bhd.</v>
          </cell>
          <cell r="T1160" t="str">
            <v>Functioning</v>
          </cell>
          <cell r="U1160" t="str">
            <v>Asset</v>
          </cell>
          <cell r="V1160">
            <v>505200</v>
          </cell>
          <cell r="W1160" t="str">
            <v>KEW</v>
          </cell>
          <cell r="X1160" t="str">
            <v>01/09/2010</v>
          </cell>
          <cell r="Y1160" t="str">
            <v>KEW</v>
          </cell>
          <cell r="Z1160" t="str">
            <v>16/08/2013</v>
          </cell>
          <cell r="AA1160" t="str">
            <v>15/08/2015</v>
          </cell>
          <cell r="AB1160" t="str">
            <v>No</v>
          </cell>
          <cell r="AC1160" t="str">
            <v>31/08/2013</v>
          </cell>
          <cell r="AD1160" t="str">
            <v>Good</v>
          </cell>
          <cell r="AE1160" t="str">
            <v>V1 - Existing / No Claim</v>
          </cell>
          <cell r="AF1160">
            <v>42235</v>
          </cell>
          <cell r="AG1160">
            <v>9.17</v>
          </cell>
          <cell r="AH1160" t="str">
            <v>PPM</v>
          </cell>
          <cell r="AI1160" t="str">
            <v>Strands</v>
          </cell>
          <cell r="AJ1160" t="str">
            <v>Strands Package</v>
          </cell>
          <cell r="AK1160" t="str">
            <v>Package Code LA0001</v>
          </cell>
        </row>
        <row r="1161">
          <cell r="A1161" t="str">
            <v>IKN400761</v>
          </cell>
          <cell r="B1161">
            <v>761</v>
          </cell>
          <cell r="C1161" t="str">
            <v>Institut Kanser Negara</v>
          </cell>
          <cell r="D1161" t="str">
            <v>KKM/IKN/H/13/1855</v>
          </cell>
          <cell r="E1161" t="str">
            <v>16-298</v>
          </cell>
          <cell r="F1161" t="str">
            <v>Analyzers, Laboratory, Clinical Chemistry, Automated</v>
          </cell>
          <cell r="G1161" t="str">
            <v>LA</v>
          </cell>
          <cell r="H1161" t="str">
            <v>PATHOLOGY</v>
          </cell>
          <cell r="I1161" t="str">
            <v>04LA133</v>
          </cell>
          <cell r="J1161" t="str">
            <v>CHEMICAL PATHOLOGY 1</v>
          </cell>
          <cell r="K1161" t="str">
            <v>BMED</v>
          </cell>
          <cell r="L1161" t="str">
            <v>Normal</v>
          </cell>
          <cell r="M1161" t="str">
            <v>Switzerland</v>
          </cell>
          <cell r="N1161" t="str">
            <v>Cobas</v>
          </cell>
          <cell r="O1161" t="str">
            <v>Cobas 6000</v>
          </cell>
          <cell r="P1161" t="str">
            <v>1296-14 &amp; 1206-09</v>
          </cell>
          <cell r="Q1161" t="str">
            <v>Not Applicable</v>
          </cell>
          <cell r="R1161" t="str">
            <v>Roche Diagnostics Corp</v>
          </cell>
          <cell r="S1161" t="str">
            <v>KL Scientific</v>
          </cell>
          <cell r="T1161" t="str">
            <v>Functioning</v>
          </cell>
          <cell r="U1161" t="str">
            <v>Asset</v>
          </cell>
          <cell r="V1161">
            <v>421005</v>
          </cell>
          <cell r="W1161" t="str">
            <v>KEW</v>
          </cell>
          <cell r="X1161" t="str">
            <v>01/09/2010</v>
          </cell>
          <cell r="Y1161" t="str">
            <v>KEW</v>
          </cell>
          <cell r="Z1161" t="str">
            <v>16/08/2013</v>
          </cell>
          <cell r="AA1161" t="str">
            <v>15/08/2015</v>
          </cell>
          <cell r="AB1161" t="str">
            <v>No</v>
          </cell>
          <cell r="AC1161" t="str">
            <v>31/08/2013</v>
          </cell>
          <cell r="AD1161" t="str">
            <v>Good</v>
          </cell>
          <cell r="AE1161" t="str">
            <v>V1 - Existing / No Claim</v>
          </cell>
          <cell r="AF1161">
            <v>42235</v>
          </cell>
          <cell r="AG1161">
            <v>9.17</v>
          </cell>
          <cell r="AH1161" t="str">
            <v>PPM</v>
          </cell>
          <cell r="AI1161" t="str">
            <v>Strands</v>
          </cell>
          <cell r="AJ1161" t="str">
            <v>Strands Package</v>
          </cell>
          <cell r="AK1161" t="str">
            <v>Package Code LC0035</v>
          </cell>
        </row>
        <row r="1162">
          <cell r="A1162" t="str">
            <v>IKN400762</v>
          </cell>
          <cell r="B1162">
            <v>762</v>
          </cell>
          <cell r="C1162" t="str">
            <v>Institut Kanser Negara</v>
          </cell>
          <cell r="D1162" t="str">
            <v>KKM/IKN/H/13/1854</v>
          </cell>
          <cell r="E1162" t="str">
            <v>17-916</v>
          </cell>
          <cell r="F1162" t="str">
            <v>Analyzers, Laboratory, Immunoassay, Chemiluminescent</v>
          </cell>
          <cell r="G1162" t="str">
            <v>LA</v>
          </cell>
          <cell r="H1162" t="str">
            <v>PATHOLOGY</v>
          </cell>
          <cell r="I1162" t="str">
            <v>04LA133</v>
          </cell>
          <cell r="J1162" t="str">
            <v>CHEMICAL PATHOLOGY 1</v>
          </cell>
          <cell r="K1162" t="str">
            <v>BMED</v>
          </cell>
          <cell r="L1162" t="str">
            <v>Normal</v>
          </cell>
          <cell r="M1162" t="str">
            <v>Germany</v>
          </cell>
          <cell r="N1162" t="str">
            <v>Abbott</v>
          </cell>
          <cell r="O1162" t="str">
            <v>Abbott Ci 4100</v>
          </cell>
          <cell r="P1162" t="str">
            <v>C400959/ I1SR52613</v>
          </cell>
          <cell r="Q1162" t="str">
            <v>Not Applicable</v>
          </cell>
          <cell r="R1162" t="str">
            <v>Abbott Laboratories</v>
          </cell>
          <cell r="S1162" t="str">
            <v>Abbott Laboratories (M) Sdn Bhd</v>
          </cell>
          <cell r="T1162" t="str">
            <v>Functioning</v>
          </cell>
          <cell r="U1162" t="str">
            <v>Asset</v>
          </cell>
          <cell r="V1162">
            <v>1443450</v>
          </cell>
          <cell r="W1162" t="str">
            <v>KEW</v>
          </cell>
          <cell r="X1162" t="str">
            <v>01/09/2010</v>
          </cell>
          <cell r="Y1162" t="str">
            <v>KEW</v>
          </cell>
          <cell r="Z1162" t="str">
            <v>16/08/2013</v>
          </cell>
          <cell r="AA1162" t="str">
            <v>15/08/2015</v>
          </cell>
          <cell r="AB1162" t="str">
            <v>No</v>
          </cell>
          <cell r="AC1162" t="str">
            <v>31/08/2013</v>
          </cell>
          <cell r="AD1162" t="str">
            <v>Good</v>
          </cell>
          <cell r="AE1162" t="str">
            <v>V1 - Existing / No Claim</v>
          </cell>
          <cell r="AF1162">
            <v>42235</v>
          </cell>
          <cell r="AG1162">
            <v>9.17</v>
          </cell>
          <cell r="AH1162" t="str">
            <v>PPM</v>
          </cell>
          <cell r="AI1162" t="str">
            <v>Strands</v>
          </cell>
          <cell r="AJ1162" t="str">
            <v>Strands Package</v>
          </cell>
          <cell r="AK1162" t="str">
            <v>Package Code LC0040</v>
          </cell>
        </row>
        <row r="1163">
          <cell r="A1163" t="str">
            <v>IKN400763</v>
          </cell>
          <cell r="B1163">
            <v>763</v>
          </cell>
          <cell r="C1163" t="str">
            <v>Institut Kanser Negara</v>
          </cell>
          <cell r="D1163" t="str">
            <v>KKM/IKN/I/13/2910</v>
          </cell>
          <cell r="E1163" t="str">
            <v>15-161</v>
          </cell>
          <cell r="F1163" t="str">
            <v>Mixers, Clinical Laboratory</v>
          </cell>
          <cell r="G1163" t="str">
            <v>LA</v>
          </cell>
          <cell r="H1163" t="str">
            <v>PATHOLOGY</v>
          </cell>
          <cell r="I1163" t="str">
            <v>04LA126</v>
          </cell>
          <cell r="J1163" t="str">
            <v>MICROBIOLOGY UNIT</v>
          </cell>
          <cell r="K1163" t="str">
            <v>BMED</v>
          </cell>
          <cell r="L1163" t="str">
            <v>Normal</v>
          </cell>
          <cell r="M1163" t="str">
            <v>UK</v>
          </cell>
          <cell r="N1163" t="str">
            <v>Stuart</v>
          </cell>
          <cell r="O1163" t="str">
            <v>Stuart SA8</v>
          </cell>
          <cell r="P1163" t="str">
            <v>R800004725</v>
          </cell>
          <cell r="Q1163" t="str">
            <v>Not Applicable</v>
          </cell>
          <cell r="R1163" t="str">
            <v>Stuart Scientific Co Ltd</v>
          </cell>
          <cell r="S1163" t="str">
            <v>Bumi Sains Sdn. Bhd.</v>
          </cell>
          <cell r="T1163" t="str">
            <v>Functioning</v>
          </cell>
          <cell r="U1163" t="str">
            <v>Asset</v>
          </cell>
          <cell r="V1163">
            <v>1200</v>
          </cell>
          <cell r="W1163" t="str">
            <v>KEW</v>
          </cell>
          <cell r="X1163" t="str">
            <v>01/09/2010</v>
          </cell>
          <cell r="Y1163" t="str">
            <v>KEW</v>
          </cell>
          <cell r="Z1163" t="str">
            <v>16/08/2013</v>
          </cell>
          <cell r="AA1163" t="str">
            <v>15/08/2015</v>
          </cell>
          <cell r="AB1163" t="str">
            <v>No</v>
          </cell>
          <cell r="AC1163" t="str">
            <v>31/08/2013</v>
          </cell>
          <cell r="AD1163" t="str">
            <v>Good</v>
          </cell>
          <cell r="AE1163" t="str">
            <v>V1 - Existing / No Claim</v>
          </cell>
          <cell r="AF1163">
            <v>42790</v>
          </cell>
          <cell r="AG1163">
            <v>9.17</v>
          </cell>
          <cell r="AH1163" t="str">
            <v>PPM</v>
          </cell>
          <cell r="AI1163" t="str">
            <v>Strands</v>
          </cell>
          <cell r="AJ1163" t="str">
            <v>Strands PW</v>
          </cell>
        </row>
        <row r="1164">
          <cell r="A1164" t="str">
            <v>IKN400764</v>
          </cell>
          <cell r="B1164">
            <v>764</v>
          </cell>
          <cell r="C1164" t="str">
            <v>Institut Kanser Negara</v>
          </cell>
          <cell r="D1164" t="str">
            <v>KKM/IKN/H/13/1868</v>
          </cell>
          <cell r="E1164" t="str">
            <v>10-263</v>
          </cell>
          <cell r="F1164" t="str">
            <v>Balances, Electronic</v>
          </cell>
          <cell r="G1164" t="str">
            <v>LA</v>
          </cell>
          <cell r="H1164" t="str">
            <v>PATHOLOGY</v>
          </cell>
          <cell r="I1164" t="str">
            <v>04LA126</v>
          </cell>
          <cell r="J1164" t="str">
            <v>MICROBIOLOGY UNIT</v>
          </cell>
          <cell r="K1164" t="str">
            <v>BMED</v>
          </cell>
          <cell r="L1164" t="str">
            <v>Normal</v>
          </cell>
          <cell r="M1164" t="str">
            <v>Germany</v>
          </cell>
          <cell r="N1164" t="str">
            <v>Sartorius</v>
          </cell>
          <cell r="O1164" t="str">
            <v>Sartorius TE12000</v>
          </cell>
          <cell r="P1164" t="str">
            <v>28103394</v>
          </cell>
          <cell r="Q1164" t="str">
            <v>Not Applicable</v>
          </cell>
          <cell r="R1164" t="str">
            <v>Sartorius AG</v>
          </cell>
          <cell r="S1164" t="str">
            <v>Chemopharm Sd. Bhd.</v>
          </cell>
          <cell r="T1164" t="str">
            <v>Functioning</v>
          </cell>
          <cell r="U1164" t="str">
            <v>Asset</v>
          </cell>
          <cell r="V1164">
            <v>6260</v>
          </cell>
          <cell r="W1164" t="str">
            <v>KEW</v>
          </cell>
          <cell r="X1164" t="str">
            <v>01/09/2010</v>
          </cell>
          <cell r="Y1164" t="str">
            <v>KEW</v>
          </cell>
          <cell r="Z1164" t="str">
            <v>16/08/2013</v>
          </cell>
          <cell r="AA1164" t="str">
            <v>15/08/2015</v>
          </cell>
          <cell r="AB1164" t="str">
            <v>No</v>
          </cell>
          <cell r="AC1164" t="str">
            <v>31/08/2013</v>
          </cell>
          <cell r="AD1164" t="str">
            <v>Good</v>
          </cell>
          <cell r="AE1164" t="str">
            <v>V1 - Existing / No Claim</v>
          </cell>
          <cell r="AF1164">
            <v>42790</v>
          </cell>
          <cell r="AG1164">
            <v>9.17</v>
          </cell>
          <cell r="AH1164" t="str">
            <v>PPM</v>
          </cell>
          <cell r="AI1164" t="str">
            <v>Strands</v>
          </cell>
          <cell r="AJ1164" t="str">
            <v>Strands PW</v>
          </cell>
        </row>
        <row r="1165">
          <cell r="A1165" t="str">
            <v>IKN400766</v>
          </cell>
          <cell r="B1165">
            <v>766</v>
          </cell>
          <cell r="C1165" t="str">
            <v>Institut Kanser Negara</v>
          </cell>
          <cell r="D1165" t="str">
            <v>KKM/IKN/H/13/2742</v>
          </cell>
          <cell r="E1165" t="str">
            <v>13-272</v>
          </cell>
          <cell r="F1165" t="str">
            <v>Radiographic Units, Mobile</v>
          </cell>
          <cell r="G1165" t="str">
            <v>ID</v>
          </cell>
          <cell r="H1165" t="str">
            <v>IMAGING DEPARTMENT</v>
          </cell>
          <cell r="I1165" t="str">
            <v>03ID106</v>
          </cell>
          <cell r="J1165" t="str">
            <v>MOBILE X-RAY</v>
          </cell>
          <cell r="K1165" t="str">
            <v>BMED</v>
          </cell>
          <cell r="L1165" t="str">
            <v>Normal</v>
          </cell>
          <cell r="M1165" t="str">
            <v>USA</v>
          </cell>
          <cell r="N1165" t="str">
            <v>Carestream</v>
          </cell>
          <cell r="O1165" t="str">
            <v>Carestream DRX-Revolution</v>
          </cell>
          <cell r="P1165" t="str">
            <v>0252</v>
          </cell>
          <cell r="Q1165" t="str">
            <v>Not Applicable</v>
          </cell>
          <cell r="R1165" t="str">
            <v>Carestream Health Inc</v>
          </cell>
          <cell r="S1165" t="str">
            <v>Best Contact (M) Sdn Bhd</v>
          </cell>
          <cell r="T1165" t="str">
            <v>Functioning</v>
          </cell>
          <cell r="U1165" t="str">
            <v>Asset</v>
          </cell>
          <cell r="V1165">
            <v>1149550</v>
          </cell>
          <cell r="W1165" t="str">
            <v>KEW</v>
          </cell>
          <cell r="X1165" t="str">
            <v>01/09/2010</v>
          </cell>
          <cell r="Y1165" t="str">
            <v>KEW</v>
          </cell>
          <cell r="Z1165" t="str">
            <v>16/08/2013</v>
          </cell>
          <cell r="AA1165" t="str">
            <v>15/08/2015</v>
          </cell>
          <cell r="AB1165" t="str">
            <v>No</v>
          </cell>
          <cell r="AC1165" t="str">
            <v>31/08/2013</v>
          </cell>
          <cell r="AD1165" t="str">
            <v>Good</v>
          </cell>
          <cell r="AE1165" t="str">
            <v>V1 - Existing / No Claim</v>
          </cell>
          <cell r="AF1165">
            <v>42235</v>
          </cell>
          <cell r="AG1165">
            <v>9.17</v>
          </cell>
          <cell r="AH1165" t="str">
            <v>PPM</v>
          </cell>
          <cell r="AI1165" t="str">
            <v>Strands</v>
          </cell>
          <cell r="AJ1165" t="str">
            <v>Strands PW</v>
          </cell>
        </row>
        <row r="1166">
          <cell r="A1166" t="str">
            <v>IKN400767</v>
          </cell>
          <cell r="B1166">
            <v>767</v>
          </cell>
          <cell r="C1166" t="str">
            <v>Institut Kanser Negara</v>
          </cell>
          <cell r="D1166" t="e">
            <v>#N/A</v>
          </cell>
          <cell r="E1166" t="str">
            <v>11-134</v>
          </cell>
          <cell r="F1166" t="str">
            <v>Defibrillators, External, Manual</v>
          </cell>
          <cell r="G1166" t="str">
            <v>ID</v>
          </cell>
          <cell r="H1166" t="str">
            <v>IMAGING DEPARTMENT</v>
          </cell>
          <cell r="I1166" t="str">
            <v>03ID107</v>
          </cell>
          <cell r="J1166" t="str">
            <v>RESUS EQ.BAY</v>
          </cell>
          <cell r="K1166" t="str">
            <v>BMED</v>
          </cell>
          <cell r="L1166" t="str">
            <v>Critical</v>
          </cell>
          <cell r="M1166" t="str">
            <v>USA</v>
          </cell>
          <cell r="N1166" t="str">
            <v>Responder</v>
          </cell>
          <cell r="O1166" t="str">
            <v>Responder 2000</v>
          </cell>
          <cell r="P1166" t="str">
            <v>3206649</v>
          </cell>
          <cell r="Q1166" t="str">
            <v>Not Applicable</v>
          </cell>
          <cell r="R1166" t="str">
            <v>GE Medical Systems</v>
          </cell>
          <cell r="S1166" t="str">
            <v>Antah Sir Radin Sdn. Bhd.</v>
          </cell>
          <cell r="T1166" t="str">
            <v>Functioning</v>
          </cell>
          <cell r="U1166" t="str">
            <v>Asset</v>
          </cell>
          <cell r="V1166">
            <v>45000</v>
          </cell>
          <cell r="W1166" t="str">
            <v>Estimate</v>
          </cell>
          <cell r="X1166" t="str">
            <v>01/09/2010</v>
          </cell>
          <cell r="Y1166" t="str">
            <v>KEW</v>
          </cell>
          <cell r="Z1166" t="str">
            <v>16/08/2013</v>
          </cell>
          <cell r="AA1166" t="str">
            <v>15/08/2015</v>
          </cell>
          <cell r="AB1166" t="str">
            <v>No</v>
          </cell>
          <cell r="AC1166" t="str">
            <v>31/08/2013</v>
          </cell>
          <cell r="AD1166" t="str">
            <v>Good</v>
          </cell>
          <cell r="AE1166" t="str">
            <v>V1 - Existing / No Claim</v>
          </cell>
          <cell r="AF1166">
            <v>42601</v>
          </cell>
          <cell r="AG1166">
            <v>9.17</v>
          </cell>
          <cell r="AH1166" t="str">
            <v>PPM</v>
          </cell>
          <cell r="AI1166" t="str">
            <v>Strands</v>
          </cell>
          <cell r="AJ1166" t="str">
            <v>Strands PW</v>
          </cell>
          <cell r="AK1166" t="str">
            <v>Crash Trolley (FEMS)</v>
          </cell>
        </row>
        <row r="1167">
          <cell r="A1167" t="str">
            <v>IKN400768</v>
          </cell>
          <cell r="B1167">
            <v>768</v>
          </cell>
          <cell r="C1167" t="str">
            <v>Institut Kanser Negara</v>
          </cell>
          <cell r="D1167" t="str">
            <v>KKM/IKN/H/13/2748</v>
          </cell>
          <cell r="E1167" t="str">
            <v>12-647</v>
          </cell>
          <cell r="F1167" t="str">
            <v>Physiologic Monitoring Systems, Acute Care</v>
          </cell>
          <cell r="G1167" t="str">
            <v>ID</v>
          </cell>
          <cell r="H1167" t="str">
            <v>IMAGING DEPARTMENT</v>
          </cell>
          <cell r="I1167" t="str">
            <v>03ID108</v>
          </cell>
          <cell r="J1167" t="str">
            <v>RECOVERY/ BED WAIT</v>
          </cell>
          <cell r="K1167" t="str">
            <v>BMED</v>
          </cell>
          <cell r="L1167" t="str">
            <v>Critical</v>
          </cell>
          <cell r="M1167" t="str">
            <v>Finland</v>
          </cell>
          <cell r="N1167" t="str">
            <v>Carespace</v>
          </cell>
          <cell r="O1167" t="str">
            <v>Carespace B850</v>
          </cell>
          <cell r="P1167" t="str">
            <v>SED12370784GA</v>
          </cell>
          <cell r="Q1167" t="str">
            <v>Not Applicable</v>
          </cell>
          <cell r="R1167" t="str">
            <v>GE Healthcare Systems</v>
          </cell>
          <cell r="S1167" t="str">
            <v>GE Healthcare Technologies</v>
          </cell>
          <cell r="T1167" t="str">
            <v>Functioning</v>
          </cell>
          <cell r="U1167" t="str">
            <v>Asset</v>
          </cell>
          <cell r="V1167">
            <v>87400</v>
          </cell>
          <cell r="W1167" t="str">
            <v>KEW</v>
          </cell>
          <cell r="X1167" t="str">
            <v>01/09/2010</v>
          </cell>
          <cell r="Y1167" t="str">
            <v>KEW</v>
          </cell>
          <cell r="Z1167" t="str">
            <v>16/08/2013</v>
          </cell>
          <cell r="AA1167" t="str">
            <v>15/08/2015</v>
          </cell>
          <cell r="AB1167" t="str">
            <v>No</v>
          </cell>
          <cell r="AC1167" t="str">
            <v>31/08/2013</v>
          </cell>
          <cell r="AD1167" t="str">
            <v>Good</v>
          </cell>
          <cell r="AE1167" t="str">
            <v>V1 - Existing / No Claim</v>
          </cell>
          <cell r="AF1167">
            <v>42791</v>
          </cell>
          <cell r="AG1167">
            <v>9.17</v>
          </cell>
          <cell r="AH1167" t="str">
            <v>PPM</v>
          </cell>
          <cell r="AI1167" t="str">
            <v>Strands</v>
          </cell>
          <cell r="AJ1167" t="str">
            <v>Strands PW</v>
          </cell>
        </row>
        <row r="1168">
          <cell r="A1168" t="str">
            <v>IKN400769</v>
          </cell>
          <cell r="B1168">
            <v>769</v>
          </cell>
          <cell r="C1168" t="str">
            <v>Institut Kanser Negara</v>
          </cell>
          <cell r="D1168" t="str">
            <v>KKM/IKN/H/13/2749</v>
          </cell>
          <cell r="E1168" t="str">
            <v>12-647</v>
          </cell>
          <cell r="F1168" t="str">
            <v>Physiologic Monitoring Systems, Acute Care</v>
          </cell>
          <cell r="G1168" t="str">
            <v>ID</v>
          </cell>
          <cell r="H1168" t="str">
            <v>IMAGING DEPARTMENT</v>
          </cell>
          <cell r="I1168" t="str">
            <v>03ID108</v>
          </cell>
          <cell r="J1168" t="str">
            <v>RECOVERY/ BED WAIT</v>
          </cell>
          <cell r="K1168" t="str">
            <v>BMED</v>
          </cell>
          <cell r="L1168" t="str">
            <v>Normal</v>
          </cell>
          <cell r="M1168" t="str">
            <v>Finland</v>
          </cell>
          <cell r="N1168" t="str">
            <v>CareScape</v>
          </cell>
          <cell r="O1168" t="str">
            <v>CareScape B650</v>
          </cell>
          <cell r="P1168" t="str">
            <v>SEW12357356HA</v>
          </cell>
          <cell r="Q1168" t="str">
            <v>Not Applicable</v>
          </cell>
          <cell r="R1168" t="str">
            <v>GE Medical Systems</v>
          </cell>
          <cell r="S1168" t="str">
            <v>GE Healthcare Technologies</v>
          </cell>
          <cell r="T1168" t="str">
            <v>Functioning</v>
          </cell>
          <cell r="U1168" t="str">
            <v>Asset</v>
          </cell>
          <cell r="V1168">
            <v>87400</v>
          </cell>
          <cell r="W1168" t="str">
            <v>KEW</v>
          </cell>
          <cell r="X1168" t="str">
            <v>01/09/2010</v>
          </cell>
          <cell r="Y1168" t="str">
            <v>KEW</v>
          </cell>
          <cell r="Z1168" t="str">
            <v>16/08/2013</v>
          </cell>
          <cell r="AA1168" t="str">
            <v>15/08/2015</v>
          </cell>
          <cell r="AB1168" t="str">
            <v>No</v>
          </cell>
          <cell r="AC1168" t="str">
            <v>31/08/2013</v>
          </cell>
          <cell r="AD1168" t="str">
            <v>Good</v>
          </cell>
          <cell r="AE1168" t="str">
            <v>V1 - Existing / No Claim</v>
          </cell>
          <cell r="AF1168">
            <v>42235</v>
          </cell>
          <cell r="AG1168">
            <v>9.17</v>
          </cell>
          <cell r="AH1168" t="str">
            <v>PPM</v>
          </cell>
          <cell r="AI1168" t="str">
            <v>Strands</v>
          </cell>
          <cell r="AJ1168" t="str">
            <v>Strands PW</v>
          </cell>
        </row>
        <row r="1169">
          <cell r="A1169" t="str">
            <v>IKN400770</v>
          </cell>
          <cell r="B1169">
            <v>770</v>
          </cell>
          <cell r="C1169" t="str">
            <v>Institut Kanser Negara</v>
          </cell>
          <cell r="D1169" t="str">
            <v>KKM/IKN/H/13/4773</v>
          </cell>
          <cell r="E1169" t="str">
            <v>17-968</v>
          </cell>
          <cell r="F1169" t="str">
            <v>Injectors, Contrast Media</v>
          </cell>
          <cell r="G1169" t="str">
            <v>ID</v>
          </cell>
          <cell r="H1169" t="str">
            <v>IMAGING DEPARTMENT</v>
          </cell>
          <cell r="I1169" t="str">
            <v>03ID164</v>
          </cell>
          <cell r="J1169" t="str">
            <v>ANGIO(VE)</v>
          </cell>
          <cell r="K1169" t="str">
            <v>BMED</v>
          </cell>
          <cell r="L1169" t="str">
            <v>Critical</v>
          </cell>
          <cell r="M1169" t="str">
            <v>USA</v>
          </cell>
          <cell r="N1169" t="str">
            <v>Mark</v>
          </cell>
          <cell r="O1169" t="str">
            <v>Mark V Provis</v>
          </cell>
          <cell r="P1169" t="str">
            <v>200014</v>
          </cell>
          <cell r="Q1169" t="str">
            <v>Not Applicable</v>
          </cell>
          <cell r="R1169" t="str">
            <v>Medrad</v>
          </cell>
          <cell r="S1169" t="str">
            <v>Advance Altimas Sdn Bhd</v>
          </cell>
          <cell r="T1169" t="str">
            <v>Functioning</v>
          </cell>
          <cell r="U1169" t="str">
            <v>Asset</v>
          </cell>
          <cell r="V1169">
            <v>100000</v>
          </cell>
          <cell r="W1169" t="str">
            <v>Estimate</v>
          </cell>
          <cell r="X1169" t="str">
            <v>01/09/2010</v>
          </cell>
          <cell r="Y1169" t="str">
            <v>KEW</v>
          </cell>
          <cell r="Z1169" t="str">
            <v>16/08/2013</v>
          </cell>
          <cell r="AA1169" t="str">
            <v>15/08/2015</v>
          </cell>
          <cell r="AB1169" t="str">
            <v>No</v>
          </cell>
          <cell r="AC1169" t="str">
            <v>31/08/2013</v>
          </cell>
          <cell r="AD1169" t="str">
            <v>Good</v>
          </cell>
          <cell r="AE1169" t="str">
            <v>V1 - Existing / No Claim</v>
          </cell>
          <cell r="AF1169">
            <v>42601</v>
          </cell>
          <cell r="AG1169">
            <v>9.17</v>
          </cell>
          <cell r="AH1169" t="str">
            <v>PPM</v>
          </cell>
          <cell r="AI1169" t="str">
            <v>Strands</v>
          </cell>
          <cell r="AJ1169" t="str">
            <v>Strands Package</v>
          </cell>
          <cell r="AK1169" t="str">
            <v>Package Code XE0004. [4/6/2024, ANIS]: UPDATE NO. KKM</v>
          </cell>
        </row>
        <row r="1170">
          <cell r="A1170" t="str">
            <v>IKN400771</v>
          </cell>
          <cell r="B1170">
            <v>771</v>
          </cell>
          <cell r="C1170" t="str">
            <v>Institut Kanser Negara</v>
          </cell>
          <cell r="D1170" t="str">
            <v>KKM/IKN/H/14/57</v>
          </cell>
          <cell r="E1170" t="str">
            <v>15-976</v>
          </cell>
          <cell r="F1170" t="str">
            <v>Scanning Systems, Ultrasonic, General-Purpose</v>
          </cell>
          <cell r="G1170" t="str">
            <v>IC</v>
          </cell>
          <cell r="H1170" t="str">
            <v>INTENSIVE CARE UNIT</v>
          </cell>
          <cell r="I1170" t="str">
            <v>05IC106</v>
          </cell>
          <cell r="J1170" t="str">
            <v>ANGIO(VE)</v>
          </cell>
          <cell r="K1170" t="str">
            <v>BMED</v>
          </cell>
          <cell r="L1170" t="str">
            <v>Normal</v>
          </cell>
          <cell r="M1170" t="str">
            <v>China</v>
          </cell>
          <cell r="N1170" t="str">
            <v>Mindray</v>
          </cell>
          <cell r="O1170" t="str">
            <v>Mindray M7</v>
          </cell>
          <cell r="P1170" t="str">
            <v>NW-49004328</v>
          </cell>
          <cell r="Q1170" t="str">
            <v>Not Applicable</v>
          </cell>
          <cell r="R1170" t="str">
            <v>Shenzhen Mindray Bio-Medical Electronics Co Ltd</v>
          </cell>
          <cell r="S1170" t="str">
            <v>Mediliance (M) Sdn. Bhd.</v>
          </cell>
          <cell r="T1170" t="str">
            <v>Functioning</v>
          </cell>
          <cell r="U1170" t="str">
            <v>Asset</v>
          </cell>
          <cell r="V1170">
            <v>155000</v>
          </cell>
          <cell r="W1170" t="str">
            <v>KEW</v>
          </cell>
          <cell r="X1170" t="str">
            <v>05/09/2014</v>
          </cell>
          <cell r="Y1170" t="str">
            <v>KEW</v>
          </cell>
          <cell r="Z1170" t="str">
            <v>23/10/2014</v>
          </cell>
          <cell r="AA1170" t="str">
            <v>22/10/2018</v>
          </cell>
          <cell r="AB1170" t="str">
            <v>No</v>
          </cell>
          <cell r="AC1170" t="str">
            <v>23/10/2014</v>
          </cell>
          <cell r="AD1170" t="str">
            <v>Good</v>
          </cell>
          <cell r="AE1170" t="str">
            <v>V3 - Added Installed Facilities (New)</v>
          </cell>
          <cell r="AF1170">
            <v>42678</v>
          </cell>
          <cell r="AG1170">
            <v>5.17</v>
          </cell>
          <cell r="AH1170" t="str">
            <v>PPM</v>
          </cell>
          <cell r="AI1170" t="str">
            <v>Strands</v>
          </cell>
          <cell r="AJ1170" t="str">
            <v>Strands PW</v>
          </cell>
          <cell r="AK1170" t="str">
            <v>SNF received on 22.6.2020. [8/2/2024]: CHANGE LOC ID TO ICU.</v>
          </cell>
        </row>
        <row r="1171">
          <cell r="A1171" t="str">
            <v>IKN400772</v>
          </cell>
          <cell r="B1171">
            <v>772</v>
          </cell>
          <cell r="C1171" t="str">
            <v>Institut Kanser Negara</v>
          </cell>
          <cell r="D1171" t="str">
            <v>KKM/IKN/H/13/4288</v>
          </cell>
          <cell r="E1171" t="str">
            <v>13-249</v>
          </cell>
          <cell r="F1171" t="str">
            <v>Warming Units, Patient, Radiant, Adult</v>
          </cell>
          <cell r="G1171" t="str">
            <v>ID</v>
          </cell>
          <cell r="H1171" t="str">
            <v>IMAGING DEPARTMENT</v>
          </cell>
          <cell r="I1171" t="str">
            <v>03ID109</v>
          </cell>
          <cell r="J1171" t="str">
            <v>INDUCTION</v>
          </cell>
          <cell r="K1171" t="str">
            <v>BMED</v>
          </cell>
          <cell r="L1171" t="str">
            <v>Normal</v>
          </cell>
          <cell r="M1171" t="str">
            <v>Sweden</v>
          </cell>
          <cell r="N1171" t="str">
            <v>Aragona</v>
          </cell>
          <cell r="O1171" t="str">
            <v>Aragona MTC-410</v>
          </cell>
          <cell r="P1171" t="str">
            <v>1201</v>
          </cell>
          <cell r="Q1171" t="str">
            <v>Not Applicable</v>
          </cell>
          <cell r="R1171" t="str">
            <v>Aspira Medical AB</v>
          </cell>
          <cell r="S1171" t="str">
            <v>Perniagaan Med Tech</v>
          </cell>
          <cell r="T1171" t="str">
            <v>Functioning</v>
          </cell>
          <cell r="U1171" t="str">
            <v>Asset</v>
          </cell>
          <cell r="V1171">
            <v>12630</v>
          </cell>
          <cell r="W1171" t="str">
            <v>KEW</v>
          </cell>
          <cell r="X1171" t="str">
            <v>01/09/2010</v>
          </cell>
          <cell r="Y1171" t="str">
            <v>KEW</v>
          </cell>
          <cell r="Z1171" t="str">
            <v>16/08/2013</v>
          </cell>
          <cell r="AA1171" t="str">
            <v>15/08/2015</v>
          </cell>
          <cell r="AB1171" t="str">
            <v>No</v>
          </cell>
          <cell r="AC1171" t="str">
            <v>31/08/2013</v>
          </cell>
          <cell r="AD1171" t="str">
            <v>Good</v>
          </cell>
          <cell r="AE1171" t="str">
            <v>V1 - Existing / No Claim</v>
          </cell>
          <cell r="AF1171">
            <v>42235</v>
          </cell>
          <cell r="AG1171">
            <v>9.17</v>
          </cell>
          <cell r="AH1171" t="str">
            <v>PPM</v>
          </cell>
          <cell r="AI1171" t="str">
            <v>Strands</v>
          </cell>
          <cell r="AJ1171" t="str">
            <v>Strands PW</v>
          </cell>
        </row>
        <row r="1172">
          <cell r="A1172" t="str">
            <v>IKN400773</v>
          </cell>
          <cell r="B1172">
            <v>773</v>
          </cell>
          <cell r="C1172" t="str">
            <v>Institut Kanser Negara</v>
          </cell>
          <cell r="D1172" t="str">
            <v>KKM/IKN/H/14/52</v>
          </cell>
          <cell r="E1172" t="str">
            <v>15-976</v>
          </cell>
          <cell r="F1172" t="str">
            <v>Scanning Systems, Ultrasonic, General-Purpose</v>
          </cell>
          <cell r="G1172" t="str">
            <v>ID</v>
          </cell>
          <cell r="H1172" t="str">
            <v>IMAGING DEPARTMENT</v>
          </cell>
          <cell r="I1172" t="str">
            <v>03ID164</v>
          </cell>
          <cell r="J1172" t="str">
            <v>ANGIO(VE)</v>
          </cell>
          <cell r="K1172" t="str">
            <v>BMED</v>
          </cell>
          <cell r="L1172" t="str">
            <v>Normal</v>
          </cell>
          <cell r="M1172" t="str">
            <v>USA</v>
          </cell>
          <cell r="N1172" t="str">
            <v>Accuson</v>
          </cell>
          <cell r="O1172" t="str">
            <v>Accuson Freestyle</v>
          </cell>
          <cell r="P1172" t="str">
            <v>1275</v>
          </cell>
          <cell r="Q1172" t="str">
            <v>Not Applicable</v>
          </cell>
          <cell r="R1172" t="str">
            <v>Siemens Medical Systems</v>
          </cell>
          <cell r="S1172" t="str">
            <v>Ayzek Venture Ent</v>
          </cell>
          <cell r="T1172" t="str">
            <v>Functioning</v>
          </cell>
          <cell r="U1172" t="str">
            <v>Asset</v>
          </cell>
          <cell r="V1172">
            <v>335000</v>
          </cell>
          <cell r="W1172" t="str">
            <v>KEW</v>
          </cell>
          <cell r="X1172" t="str">
            <v>15/09/2014</v>
          </cell>
          <cell r="Y1172" t="str">
            <v>KEW</v>
          </cell>
          <cell r="Z1172" t="str">
            <v>16/10/2014</v>
          </cell>
          <cell r="AA1172" t="str">
            <v>15/10/2016</v>
          </cell>
          <cell r="AB1172" t="str">
            <v>No</v>
          </cell>
          <cell r="AC1172" t="str">
            <v>16/10/2014</v>
          </cell>
          <cell r="AD1172" t="str">
            <v>Good</v>
          </cell>
          <cell r="AE1172" t="str">
            <v>V3 - Added Installed Facilities (New)</v>
          </cell>
          <cell r="AF1172">
            <v>42678</v>
          </cell>
          <cell r="AG1172">
            <v>5.17</v>
          </cell>
          <cell r="AH1172" t="str">
            <v>PPM</v>
          </cell>
          <cell r="AI1172" t="str">
            <v>Strands</v>
          </cell>
          <cell r="AJ1172" t="str">
            <v>Strands PW</v>
          </cell>
          <cell r="AK1172" t="str">
            <v>SNF received on 22.6.2020</v>
          </cell>
        </row>
        <row r="1173">
          <cell r="A1173" t="str">
            <v>IKN400774</v>
          </cell>
          <cell r="B1173">
            <v>774</v>
          </cell>
          <cell r="C1173" t="str">
            <v>Institut Kanser Negara</v>
          </cell>
          <cell r="D1173" t="str">
            <v>KKM/IKN/H/13/5433</v>
          </cell>
          <cell r="E1173" t="str">
            <v>13-469</v>
          </cell>
          <cell r="F1173" t="str">
            <v>Scanning Systems, Computed Tomography</v>
          </cell>
          <cell r="G1173" t="str">
            <v>ID</v>
          </cell>
          <cell r="H1173" t="str">
            <v>IMAGING DEPARTMENT</v>
          </cell>
          <cell r="I1173" t="str">
            <v>03ID156</v>
          </cell>
          <cell r="J1173" t="str">
            <v>C.T. SCAN 1 (+VE)</v>
          </cell>
          <cell r="K1173" t="str">
            <v>BMED</v>
          </cell>
          <cell r="L1173" t="str">
            <v>Normal</v>
          </cell>
          <cell r="M1173" t="str">
            <v>Japan</v>
          </cell>
          <cell r="N1173" t="str">
            <v>Aquilion</v>
          </cell>
          <cell r="O1173" t="str">
            <v>Aquilion CXL</v>
          </cell>
          <cell r="P1173" t="str">
            <v>TCA1282022</v>
          </cell>
          <cell r="Q1173" t="str">
            <v>Not Applicable</v>
          </cell>
          <cell r="R1173" t="str">
            <v>Toshiba Corp</v>
          </cell>
          <cell r="S1173" t="str">
            <v>Meditek Equipment</v>
          </cell>
          <cell r="T1173" t="str">
            <v>Functioning</v>
          </cell>
          <cell r="U1173" t="str">
            <v>Asset</v>
          </cell>
          <cell r="V1173">
            <v>4605710</v>
          </cell>
          <cell r="W1173" t="str">
            <v>KEW</v>
          </cell>
          <cell r="X1173" t="str">
            <v>01/09/2010</v>
          </cell>
          <cell r="Y1173" t="str">
            <v>KEW</v>
          </cell>
          <cell r="Z1173" t="str">
            <v>16/08/2013</v>
          </cell>
          <cell r="AA1173" t="str">
            <v>15/08/2015</v>
          </cell>
          <cell r="AB1173" t="str">
            <v>No</v>
          </cell>
          <cell r="AC1173" t="str">
            <v>31/08/2013</v>
          </cell>
          <cell r="AD1173" t="str">
            <v>Good</v>
          </cell>
          <cell r="AE1173" t="str">
            <v>V1 - Existing / No Claim</v>
          </cell>
          <cell r="AF1173">
            <v>42235</v>
          </cell>
          <cell r="AG1173">
            <v>9.17</v>
          </cell>
          <cell r="AH1173" t="str">
            <v>PPM</v>
          </cell>
          <cell r="AI1173" t="str">
            <v>Strands</v>
          </cell>
          <cell r="AJ1173" t="str">
            <v>Strands Package</v>
          </cell>
          <cell r="AK1173" t="str">
            <v>Package Code XC0004-N [20/9/2023, ANIS]: UPDATED NO. KEWPA</v>
          </cell>
        </row>
        <row r="1174">
          <cell r="A1174" t="str">
            <v>IKN400775</v>
          </cell>
          <cell r="B1174">
            <v>775</v>
          </cell>
          <cell r="C1174" t="str">
            <v>Institut Kanser Negara</v>
          </cell>
          <cell r="D1174" t="str">
            <v>KKM/IKN/H/13/1657</v>
          </cell>
          <cell r="E1174" t="str">
            <v>15-976</v>
          </cell>
          <cell r="F1174" t="str">
            <v>Scanning Systems, Ultrasonic, General-Purpose</v>
          </cell>
          <cell r="G1174" t="str">
            <v>ID</v>
          </cell>
          <cell r="H1174" t="str">
            <v>IMAGING DEPARTMENT</v>
          </cell>
          <cell r="I1174" t="str">
            <v>03ID162</v>
          </cell>
          <cell r="J1174" t="str">
            <v>ULTRA SOUND</v>
          </cell>
          <cell r="K1174" t="str">
            <v>BMED</v>
          </cell>
          <cell r="L1174" t="str">
            <v>Normal</v>
          </cell>
          <cell r="M1174" t="str">
            <v>USA</v>
          </cell>
          <cell r="N1174" t="str">
            <v>Logiq</v>
          </cell>
          <cell r="O1174" t="str">
            <v>Logiq E9</v>
          </cell>
          <cell r="P1174" t="str">
            <v>112460US1</v>
          </cell>
          <cell r="Q1174" t="str">
            <v>Not Applicable</v>
          </cell>
          <cell r="R1174" t="str">
            <v>GE Healthcare Systems</v>
          </cell>
          <cell r="S1174" t="str">
            <v>GE Healthcare Technologies</v>
          </cell>
          <cell r="T1174" t="str">
            <v>Functioning</v>
          </cell>
          <cell r="U1174" t="str">
            <v>Asset</v>
          </cell>
          <cell r="V1174">
            <v>1044560</v>
          </cell>
          <cell r="W1174" t="str">
            <v>KEW</v>
          </cell>
          <cell r="X1174" t="str">
            <v>01/09/2010</v>
          </cell>
          <cell r="Y1174" t="str">
            <v>KEW</v>
          </cell>
          <cell r="Z1174" t="str">
            <v>16/08/2013</v>
          </cell>
          <cell r="AA1174" t="str">
            <v>15/08/2015</v>
          </cell>
          <cell r="AB1174" t="str">
            <v>No</v>
          </cell>
          <cell r="AC1174" t="str">
            <v>31/08/2013</v>
          </cell>
          <cell r="AD1174" t="str">
            <v>Good</v>
          </cell>
          <cell r="AE1174" t="str">
            <v>V1 - Existing / No Claim</v>
          </cell>
          <cell r="AF1174">
            <v>42791</v>
          </cell>
          <cell r="AG1174">
            <v>9.17</v>
          </cell>
          <cell r="AH1174" t="str">
            <v>PPM</v>
          </cell>
          <cell r="AI1174" t="str">
            <v>Strands</v>
          </cell>
          <cell r="AJ1174" t="str">
            <v>Strands Package</v>
          </cell>
          <cell r="AK1174" t="str">
            <v>Package Code XU0019-S</v>
          </cell>
        </row>
        <row r="1175">
          <cell r="A1175" t="str">
            <v>IKN400776</v>
          </cell>
          <cell r="B1175">
            <v>776</v>
          </cell>
          <cell r="C1175" t="str">
            <v>Institut Kanser Negara</v>
          </cell>
          <cell r="D1175" t="str">
            <v>KKM/IKN/H/13/1656</v>
          </cell>
          <cell r="E1175" t="str">
            <v>15-976</v>
          </cell>
          <cell r="F1175" t="str">
            <v>Scanning Systems, Ultrasonic, General-Purpose</v>
          </cell>
          <cell r="G1175" t="str">
            <v>ID</v>
          </cell>
          <cell r="H1175" t="str">
            <v>IMAGING DEPARTMENT</v>
          </cell>
          <cell r="I1175" t="str">
            <v>03ID162</v>
          </cell>
          <cell r="J1175" t="str">
            <v>ULTRA SOUND</v>
          </cell>
          <cell r="K1175" t="str">
            <v>BMED</v>
          </cell>
          <cell r="L1175" t="str">
            <v>Normal</v>
          </cell>
          <cell r="M1175" t="str">
            <v>USA</v>
          </cell>
          <cell r="N1175" t="str">
            <v>Logiq</v>
          </cell>
          <cell r="O1175" t="str">
            <v>Logiq E9</v>
          </cell>
          <cell r="P1175" t="str">
            <v>112456US9</v>
          </cell>
          <cell r="Q1175" t="str">
            <v>Not Applicable</v>
          </cell>
          <cell r="R1175" t="str">
            <v>GE Healthcare Systems</v>
          </cell>
          <cell r="S1175" t="str">
            <v>GE Healthcare Technologies</v>
          </cell>
          <cell r="T1175" t="str">
            <v>Functioning</v>
          </cell>
          <cell r="U1175" t="str">
            <v>Asset</v>
          </cell>
          <cell r="V1175">
            <v>1044560</v>
          </cell>
          <cell r="W1175" t="str">
            <v>KEW</v>
          </cell>
          <cell r="X1175" t="str">
            <v>01/09/2010</v>
          </cell>
          <cell r="Y1175" t="str">
            <v>KEW</v>
          </cell>
          <cell r="Z1175" t="str">
            <v>16/08/2013</v>
          </cell>
          <cell r="AA1175" t="str">
            <v>15/08/2015</v>
          </cell>
          <cell r="AB1175" t="str">
            <v>No</v>
          </cell>
          <cell r="AC1175" t="str">
            <v>31/08/2013</v>
          </cell>
          <cell r="AD1175" t="str">
            <v>Good</v>
          </cell>
          <cell r="AE1175" t="str">
            <v>V1 - Existing / No Claim</v>
          </cell>
          <cell r="AF1175">
            <v>42791</v>
          </cell>
          <cell r="AG1175">
            <v>9.17</v>
          </cell>
          <cell r="AH1175" t="str">
            <v>PPM</v>
          </cell>
          <cell r="AI1175" t="str">
            <v>Strands</v>
          </cell>
          <cell r="AJ1175" t="str">
            <v>Strands Package</v>
          </cell>
          <cell r="AK1175" t="str">
            <v>Package Code XU0019-S</v>
          </cell>
        </row>
        <row r="1176">
          <cell r="A1176" t="str">
            <v>IKN400777</v>
          </cell>
          <cell r="B1176">
            <v>777</v>
          </cell>
          <cell r="C1176" t="str">
            <v>Institut Kanser Negara</v>
          </cell>
          <cell r="D1176" t="str">
            <v>KKM/IKN/H/13/2655</v>
          </cell>
          <cell r="E1176" t="str">
            <v>10-134</v>
          </cell>
          <cell r="F1176" t="str">
            <v>Anesthesia Units</v>
          </cell>
          <cell r="G1176" t="str">
            <v>IC</v>
          </cell>
          <cell r="H1176" t="str">
            <v>INTENSIVE CARE UNIT</v>
          </cell>
          <cell r="I1176" t="str">
            <v>03ID167</v>
          </cell>
          <cell r="J1176" t="str">
            <v>EQ.STORE</v>
          </cell>
          <cell r="K1176" t="str">
            <v>BMED</v>
          </cell>
          <cell r="L1176" t="str">
            <v>Critical</v>
          </cell>
          <cell r="M1176" t="str">
            <v>Germany</v>
          </cell>
          <cell r="N1176" t="str">
            <v>Primus</v>
          </cell>
          <cell r="O1176" t="str">
            <v>Primus</v>
          </cell>
          <cell r="P1176" t="str">
            <v>ASDJ-0237</v>
          </cell>
          <cell r="Q1176" t="str">
            <v>Not Applicable</v>
          </cell>
          <cell r="R1176" t="str">
            <v>Drager medical GmbH</v>
          </cell>
          <cell r="S1176" t="str">
            <v>Beau Consortium Sdn Bhd</v>
          </cell>
          <cell r="T1176" t="str">
            <v>Functioning</v>
          </cell>
          <cell r="U1176" t="str">
            <v>Asset</v>
          </cell>
          <cell r="V1176">
            <v>144345</v>
          </cell>
          <cell r="W1176" t="str">
            <v>KEW</v>
          </cell>
          <cell r="X1176" t="str">
            <v>01/09/2010</v>
          </cell>
          <cell r="Y1176" t="str">
            <v>KEW</v>
          </cell>
          <cell r="Z1176" t="str">
            <v>16/08/2013</v>
          </cell>
          <cell r="AA1176" t="str">
            <v>15/08/2015</v>
          </cell>
          <cell r="AB1176" t="str">
            <v>No</v>
          </cell>
          <cell r="AC1176" t="str">
            <v>31/08/2013</v>
          </cell>
          <cell r="AD1176" t="str">
            <v>Good</v>
          </cell>
          <cell r="AE1176" t="str">
            <v>V1 - Existing / No Claim</v>
          </cell>
          <cell r="AF1176">
            <v>42791</v>
          </cell>
          <cell r="AG1176">
            <v>9.17</v>
          </cell>
          <cell r="AH1176" t="str">
            <v>PPM</v>
          </cell>
          <cell r="AI1176" t="str">
            <v>Strands</v>
          </cell>
          <cell r="AJ1176" t="str">
            <v>Strands PW</v>
          </cell>
          <cell r="AK1176" t="str">
            <v>[5/3/2024, ANIS]: UNDER ICU, BARANG DI RADIOLOGY.</v>
          </cell>
        </row>
        <row r="1177">
          <cell r="A1177" t="str">
            <v>IKN400778</v>
          </cell>
          <cell r="B1177">
            <v>778</v>
          </cell>
          <cell r="C1177" t="str">
            <v>Institut Kanser Negara</v>
          </cell>
          <cell r="D1177" t="str">
            <v>KKM/IKN/H/13/2750</v>
          </cell>
          <cell r="E1177" t="str">
            <v>12-647</v>
          </cell>
          <cell r="F1177" t="str">
            <v>Physiologic Monitoring Systems, Acute Care</v>
          </cell>
          <cell r="G1177" t="str">
            <v>ID</v>
          </cell>
          <cell r="H1177" t="str">
            <v>IMAGING DEPARTMENT</v>
          </cell>
          <cell r="I1177" t="str">
            <v>03ID167</v>
          </cell>
          <cell r="J1177" t="str">
            <v>EQ.STORE</v>
          </cell>
          <cell r="K1177" t="str">
            <v>BMED</v>
          </cell>
          <cell r="L1177" t="str">
            <v>Critical</v>
          </cell>
          <cell r="M1177" t="str">
            <v>USA</v>
          </cell>
          <cell r="N1177" t="str">
            <v>GE</v>
          </cell>
          <cell r="O1177" t="str">
            <v>GE B30</v>
          </cell>
          <cell r="P1177" t="str">
            <v>SF312325922WA</v>
          </cell>
          <cell r="Q1177" t="str">
            <v>Not Applicable</v>
          </cell>
          <cell r="R1177" t="str">
            <v>GE Healthcare Systems</v>
          </cell>
          <cell r="S1177" t="str">
            <v>GE Healthcare Technologies</v>
          </cell>
          <cell r="T1177" t="str">
            <v>Functioning</v>
          </cell>
          <cell r="U1177" t="str">
            <v>Asset</v>
          </cell>
          <cell r="V1177">
            <v>44510</v>
          </cell>
          <cell r="W1177" t="str">
            <v>KEW</v>
          </cell>
          <cell r="X1177" t="str">
            <v>01/09/2010</v>
          </cell>
          <cell r="Y1177" t="str">
            <v>KEW</v>
          </cell>
          <cell r="Z1177" t="str">
            <v>16/08/2013</v>
          </cell>
          <cell r="AA1177" t="str">
            <v>15/08/2015</v>
          </cell>
          <cell r="AB1177" t="str">
            <v>No</v>
          </cell>
          <cell r="AC1177" t="str">
            <v>31/08/2013</v>
          </cell>
          <cell r="AD1177" t="str">
            <v>Good</v>
          </cell>
          <cell r="AE1177" t="str">
            <v>V1 - Existing / No Claim</v>
          </cell>
          <cell r="AF1177">
            <v>42791</v>
          </cell>
          <cell r="AG1177">
            <v>9.17</v>
          </cell>
          <cell r="AH1177" t="str">
            <v>PPM</v>
          </cell>
          <cell r="AI1177" t="str">
            <v>Strands</v>
          </cell>
          <cell r="AJ1177" t="str">
            <v>Strands PW</v>
          </cell>
        </row>
        <row r="1178">
          <cell r="A1178" t="str">
            <v>IKN400779</v>
          </cell>
          <cell r="B1178">
            <v>779</v>
          </cell>
          <cell r="C1178" t="str">
            <v>Institut Kanser Negara</v>
          </cell>
          <cell r="D1178" t="str">
            <v>KKM/IKN/H/13/4774</v>
          </cell>
          <cell r="E1178" t="str">
            <v>12-647</v>
          </cell>
          <cell r="F1178" t="str">
            <v>Physiologic Monitoring Systems, Acute Care</v>
          </cell>
          <cell r="G1178" t="str">
            <v>ID</v>
          </cell>
          <cell r="H1178" t="str">
            <v>IMAGING DEPARTMENT</v>
          </cell>
          <cell r="I1178" t="str">
            <v>03ID164</v>
          </cell>
          <cell r="J1178" t="str">
            <v>ANGIO(VE)</v>
          </cell>
          <cell r="K1178" t="str">
            <v>BMED</v>
          </cell>
          <cell r="L1178" t="str">
            <v>Critical</v>
          </cell>
          <cell r="M1178" t="str">
            <v>Germany</v>
          </cell>
          <cell r="N1178" t="str">
            <v>IntelliVue</v>
          </cell>
          <cell r="O1178" t="str">
            <v>IntelliVue MP5</v>
          </cell>
          <cell r="P1178" t="str">
            <v>DE70404757</v>
          </cell>
          <cell r="Q1178" t="str">
            <v>Not Applicable</v>
          </cell>
          <cell r="R1178" t="str">
            <v>Philips Medical Systems</v>
          </cell>
          <cell r="S1178" t="str">
            <v>Advance Altimas Sdn Bhd</v>
          </cell>
          <cell r="T1178" t="str">
            <v>Functioning</v>
          </cell>
          <cell r="U1178" t="str">
            <v>Asset</v>
          </cell>
          <cell r="V1178">
            <v>20000</v>
          </cell>
          <cell r="W1178" t="str">
            <v>Estimate</v>
          </cell>
          <cell r="X1178" t="str">
            <v>01/09/2010</v>
          </cell>
          <cell r="Y1178" t="str">
            <v>KEW</v>
          </cell>
          <cell r="Z1178" t="str">
            <v>16/08/2013</v>
          </cell>
          <cell r="AA1178" t="str">
            <v>15/08/2015</v>
          </cell>
          <cell r="AB1178" t="str">
            <v>No</v>
          </cell>
          <cell r="AC1178" t="str">
            <v>31/08/2013</v>
          </cell>
          <cell r="AD1178" t="str">
            <v>Good</v>
          </cell>
          <cell r="AE1178" t="str">
            <v>V1 - Existing / No Claim</v>
          </cell>
          <cell r="AF1178">
            <v>42601</v>
          </cell>
          <cell r="AG1178">
            <v>9.17</v>
          </cell>
          <cell r="AH1178" t="str">
            <v>PPM</v>
          </cell>
          <cell r="AI1178" t="str">
            <v>Strands</v>
          </cell>
          <cell r="AJ1178" t="str">
            <v>Strands PW</v>
          </cell>
        </row>
        <row r="1179">
          <cell r="A1179" t="str">
            <v>IKN400780</v>
          </cell>
          <cell r="B1179">
            <v>780</v>
          </cell>
          <cell r="C1179" t="str">
            <v>Institut Kanser Negara</v>
          </cell>
          <cell r="D1179" t="str">
            <v>KKM/IKN/H/13/2662</v>
          </cell>
          <cell r="E1179" t="str">
            <v>17-950</v>
          </cell>
          <cell r="F1179" t="str">
            <v>Warming Units, Patient, Forced-Air</v>
          </cell>
          <cell r="G1179" t="str">
            <v>ID</v>
          </cell>
          <cell r="H1179" t="str">
            <v>IMAGING DEPARTMENT</v>
          </cell>
          <cell r="I1179" t="str">
            <v>03ID167</v>
          </cell>
          <cell r="J1179" t="str">
            <v>EQ.STORE</v>
          </cell>
          <cell r="K1179" t="str">
            <v>BMED</v>
          </cell>
          <cell r="L1179" t="str">
            <v>Normal</v>
          </cell>
          <cell r="M1179" t="str">
            <v>USA</v>
          </cell>
          <cell r="N1179" t="str">
            <v>Bair Hugger</v>
          </cell>
          <cell r="O1179" t="str">
            <v>Bair Hugger 775</v>
          </cell>
          <cell r="P1179" t="str">
            <v>35934</v>
          </cell>
          <cell r="Q1179" t="str">
            <v>Not Applicable</v>
          </cell>
          <cell r="R1179" t="str">
            <v>Arizant Healthcare Inc</v>
          </cell>
          <cell r="S1179" t="str">
            <v>Calmed Healthcare Sdn Bhd</v>
          </cell>
          <cell r="T1179" t="str">
            <v>Functioning</v>
          </cell>
          <cell r="U1179" t="str">
            <v>Asset</v>
          </cell>
          <cell r="V1179">
            <v>15515</v>
          </cell>
          <cell r="W1179" t="str">
            <v>KEW</v>
          </cell>
          <cell r="X1179" t="str">
            <v>01/09/2010</v>
          </cell>
          <cell r="Y1179" t="str">
            <v>KEW</v>
          </cell>
          <cell r="Z1179" t="str">
            <v>16/08/2013</v>
          </cell>
          <cell r="AA1179" t="str">
            <v>15/08/2015</v>
          </cell>
          <cell r="AB1179" t="str">
            <v>No</v>
          </cell>
          <cell r="AC1179" t="str">
            <v>31/08/2013</v>
          </cell>
          <cell r="AD1179" t="str">
            <v>Good</v>
          </cell>
          <cell r="AE1179" t="str">
            <v>V1 - Existing / No Claim</v>
          </cell>
          <cell r="AF1179">
            <v>42235</v>
          </cell>
          <cell r="AG1179">
            <v>9.17</v>
          </cell>
          <cell r="AH1179" t="str">
            <v>PPM</v>
          </cell>
          <cell r="AI1179" t="str">
            <v>Strands</v>
          </cell>
          <cell r="AJ1179" t="str">
            <v>Strands PW</v>
          </cell>
        </row>
        <row r="1180">
          <cell r="A1180" t="str">
            <v>IKN400781</v>
          </cell>
          <cell r="B1180">
            <v>781</v>
          </cell>
          <cell r="C1180" t="str">
            <v>Institut Kanser Negara</v>
          </cell>
          <cell r="D1180" t="str">
            <v>KKM/IKN/H/13/2682</v>
          </cell>
          <cell r="E1180" t="str">
            <v>17-950</v>
          </cell>
          <cell r="F1180" t="str">
            <v>Warming Units, Patient, Forced-Air</v>
          </cell>
          <cell r="G1180" t="str">
            <v>ID</v>
          </cell>
          <cell r="H1180" t="str">
            <v>IMAGING DEPARTMENT</v>
          </cell>
          <cell r="I1180" t="str">
            <v>03ID167</v>
          </cell>
          <cell r="J1180" t="str">
            <v>EQ.STORE</v>
          </cell>
          <cell r="K1180" t="str">
            <v>BMED</v>
          </cell>
          <cell r="L1180" t="str">
            <v>Normal</v>
          </cell>
          <cell r="M1180" t="str">
            <v>USA</v>
          </cell>
          <cell r="N1180" t="str">
            <v>Bair Hugger</v>
          </cell>
          <cell r="O1180" t="str">
            <v>Bair Hugger 775</v>
          </cell>
          <cell r="P1180" t="str">
            <v>35933</v>
          </cell>
          <cell r="Q1180" t="str">
            <v>Not Applicable</v>
          </cell>
          <cell r="R1180" t="str">
            <v>Arizant Healthcare Inc</v>
          </cell>
          <cell r="S1180" t="str">
            <v>Calmed Healthcare Sdn Bhd</v>
          </cell>
          <cell r="T1180" t="str">
            <v>Functioning</v>
          </cell>
          <cell r="U1180" t="str">
            <v>Asset</v>
          </cell>
          <cell r="V1180">
            <v>15515</v>
          </cell>
          <cell r="W1180" t="str">
            <v>KEW</v>
          </cell>
          <cell r="X1180" t="str">
            <v>01/09/2010</v>
          </cell>
          <cell r="Y1180" t="str">
            <v>KEW</v>
          </cell>
          <cell r="Z1180" t="str">
            <v>16/08/2013</v>
          </cell>
          <cell r="AA1180" t="str">
            <v>15/08/2015</v>
          </cell>
          <cell r="AB1180" t="str">
            <v>No</v>
          </cell>
          <cell r="AC1180" t="str">
            <v>31/08/2013</v>
          </cell>
          <cell r="AD1180" t="str">
            <v>Good</v>
          </cell>
          <cell r="AE1180" t="str">
            <v>V1 - Existing / No Claim</v>
          </cell>
          <cell r="AF1180">
            <v>42235</v>
          </cell>
          <cell r="AG1180">
            <v>9.17</v>
          </cell>
          <cell r="AH1180" t="str">
            <v>PPM</v>
          </cell>
          <cell r="AI1180" t="str">
            <v>Strands</v>
          </cell>
          <cell r="AJ1180" t="str">
            <v>Strands PW</v>
          </cell>
        </row>
        <row r="1181">
          <cell r="A1181" t="str">
            <v>IKN400782</v>
          </cell>
          <cell r="B1181">
            <v>782</v>
          </cell>
          <cell r="C1181" t="str">
            <v>Institut Kanser Negara</v>
          </cell>
          <cell r="D1181" t="str">
            <v>KKM/IKN/H/13/5433 - 17</v>
          </cell>
          <cell r="E1181" t="str">
            <v>17-679</v>
          </cell>
          <cell r="F1181" t="str">
            <v>Laser Imagers</v>
          </cell>
          <cell r="G1181" t="str">
            <v>ID</v>
          </cell>
          <cell r="H1181" t="str">
            <v>IMAGING DEPARTMENT</v>
          </cell>
          <cell r="I1181" t="str">
            <v>03ID178</v>
          </cell>
          <cell r="J1181" t="str">
            <v>PACS BAY</v>
          </cell>
          <cell r="K1181" t="str">
            <v>BMED</v>
          </cell>
          <cell r="L1181" t="str">
            <v>Normal</v>
          </cell>
          <cell r="M1181" t="str">
            <v>USA</v>
          </cell>
          <cell r="N1181" t="str">
            <v>DryView</v>
          </cell>
          <cell r="O1181" t="str">
            <v>DryView 6850</v>
          </cell>
          <cell r="P1181" t="str">
            <v>68503673</v>
          </cell>
          <cell r="Q1181" t="str">
            <v>Not Applicable</v>
          </cell>
          <cell r="R1181" t="str">
            <v>Carestream Health Inc</v>
          </cell>
          <cell r="S1181" t="str">
            <v>Best Contact (M) Sdn Bhd</v>
          </cell>
          <cell r="T1181" t="str">
            <v>Functioning</v>
          </cell>
          <cell r="U1181" t="str">
            <v>Asset</v>
          </cell>
          <cell r="V1181">
            <v>83100</v>
          </cell>
          <cell r="W1181" t="str">
            <v>KEW</v>
          </cell>
          <cell r="X1181" t="str">
            <v>01/09/2010</v>
          </cell>
          <cell r="Y1181" t="str">
            <v>KEW</v>
          </cell>
          <cell r="Z1181" t="str">
            <v>16/08/2013</v>
          </cell>
          <cell r="AA1181" t="str">
            <v>15/08/2015</v>
          </cell>
          <cell r="AB1181" t="str">
            <v>No</v>
          </cell>
          <cell r="AC1181" t="str">
            <v>31/08/2013</v>
          </cell>
          <cell r="AD1181" t="str">
            <v>Good</v>
          </cell>
          <cell r="AE1181" t="str">
            <v>V1 - Existing / No Claim</v>
          </cell>
          <cell r="AF1181">
            <v>42235</v>
          </cell>
          <cell r="AG1181">
            <v>9.17</v>
          </cell>
          <cell r="AH1181" t="str">
            <v>PPM</v>
          </cell>
          <cell r="AI1181" t="str">
            <v>Strands</v>
          </cell>
          <cell r="AJ1181" t="str">
            <v>Strands Package</v>
          </cell>
          <cell r="AK1181" t="str">
            <v>[21/9/2023, Anis]: Package CT Scan. Package Code XC0004-N</v>
          </cell>
        </row>
        <row r="1182">
          <cell r="A1182" t="str">
            <v>IKN400784</v>
          </cell>
          <cell r="B1182">
            <v>784</v>
          </cell>
          <cell r="C1182" t="str">
            <v>Institut Kanser Negara</v>
          </cell>
          <cell r="D1182" t="str">
            <v>KKM/IKN/H/13/3947</v>
          </cell>
          <cell r="E1182" t="str">
            <v>12-282</v>
          </cell>
          <cell r="F1182" t="str">
            <v>Lights, Surgical</v>
          </cell>
          <cell r="G1182" t="str">
            <v>AE</v>
          </cell>
          <cell r="H1182" t="str">
            <v>EMERGENCY UNIT</v>
          </cell>
          <cell r="I1182" t="str">
            <v>01AE118</v>
          </cell>
          <cell r="J1182" t="str">
            <v>RESUSCITATION TREATMENT 1</v>
          </cell>
          <cell r="K1182" t="str">
            <v>BMED</v>
          </cell>
          <cell r="L1182" t="str">
            <v>Critical</v>
          </cell>
          <cell r="M1182" t="str">
            <v>USA</v>
          </cell>
          <cell r="N1182" t="str">
            <v>Welch Allyn</v>
          </cell>
          <cell r="O1182" t="str">
            <v>Welch Allyn GS900</v>
          </cell>
          <cell r="P1182" t="str">
            <v>10043011102376</v>
          </cell>
          <cell r="Q1182" t="str">
            <v>Not Applicable</v>
          </cell>
          <cell r="R1182" t="str">
            <v>Welch Allyn Inc</v>
          </cell>
          <cell r="S1182" t="str">
            <v>Welch Allyn Malaysia Sdn Bhd</v>
          </cell>
          <cell r="T1182" t="str">
            <v>Functioning</v>
          </cell>
          <cell r="U1182" t="str">
            <v>Asset</v>
          </cell>
          <cell r="V1182">
            <v>10585</v>
          </cell>
          <cell r="W1182" t="str">
            <v>KEW</v>
          </cell>
          <cell r="X1182" t="str">
            <v>01/09/2010</v>
          </cell>
          <cell r="Y1182" t="str">
            <v>KEW</v>
          </cell>
          <cell r="Z1182" t="str">
            <v>16/08/2013</v>
          </cell>
          <cell r="AA1182" t="str">
            <v>15/08/2015</v>
          </cell>
          <cell r="AB1182" t="str">
            <v>No</v>
          </cell>
          <cell r="AC1182" t="str">
            <v>31/08/2013</v>
          </cell>
          <cell r="AD1182" t="str">
            <v>Good</v>
          </cell>
          <cell r="AE1182" t="str">
            <v>V1 - Existing / No Claim</v>
          </cell>
          <cell r="AF1182">
            <v>42800</v>
          </cell>
          <cell r="AG1182">
            <v>9.17</v>
          </cell>
          <cell r="AH1182" t="str">
            <v>PPM</v>
          </cell>
          <cell r="AI1182" t="str">
            <v>Strands</v>
          </cell>
          <cell r="AJ1182" t="str">
            <v>Strands PW</v>
          </cell>
        </row>
        <row r="1183">
          <cell r="A1183" t="str">
            <v>IKN400785</v>
          </cell>
          <cell r="B1183">
            <v>785</v>
          </cell>
          <cell r="C1183" t="str">
            <v>Institut Kanser Negara</v>
          </cell>
          <cell r="D1183" t="str">
            <v>KKM/IKN/H/13/3946</v>
          </cell>
          <cell r="E1183" t="str">
            <v>12-282</v>
          </cell>
          <cell r="F1183" t="str">
            <v>Lights, Surgical</v>
          </cell>
          <cell r="G1183" t="str">
            <v>AE</v>
          </cell>
          <cell r="H1183" t="str">
            <v>EMERGENCY UNIT</v>
          </cell>
          <cell r="I1183" t="str">
            <v>01AE119</v>
          </cell>
          <cell r="J1183" t="str">
            <v>RESUSCITATION/TREATMENT</v>
          </cell>
          <cell r="K1183" t="str">
            <v>BMED</v>
          </cell>
          <cell r="L1183" t="str">
            <v>Critical</v>
          </cell>
          <cell r="M1183" t="str">
            <v>USA</v>
          </cell>
          <cell r="N1183" t="str">
            <v>Welch Allyn</v>
          </cell>
          <cell r="O1183" t="str">
            <v>Welch Allyn GS900</v>
          </cell>
          <cell r="P1183" t="str">
            <v>10033711107113</v>
          </cell>
          <cell r="Q1183" t="str">
            <v>Not Applicable</v>
          </cell>
          <cell r="R1183" t="str">
            <v>Welch Allyn Inc</v>
          </cell>
          <cell r="S1183" t="str">
            <v>Welch Allyn Malaysia Sdn Bhd</v>
          </cell>
          <cell r="T1183" t="str">
            <v>Functioning</v>
          </cell>
          <cell r="U1183" t="str">
            <v>Asset</v>
          </cell>
          <cell r="V1183">
            <v>10585</v>
          </cell>
          <cell r="W1183" t="str">
            <v>KEW</v>
          </cell>
          <cell r="X1183" t="str">
            <v>01/09/2010</v>
          </cell>
          <cell r="Y1183" t="str">
            <v>KEW</v>
          </cell>
          <cell r="Z1183" t="str">
            <v>16/08/2013</v>
          </cell>
          <cell r="AA1183" t="str">
            <v>15/08/2015</v>
          </cell>
          <cell r="AB1183" t="str">
            <v>No</v>
          </cell>
          <cell r="AC1183" t="str">
            <v>31/08/2013</v>
          </cell>
          <cell r="AD1183" t="str">
            <v>Good</v>
          </cell>
          <cell r="AE1183" t="str">
            <v>V1 - Existing / No Claim</v>
          </cell>
          <cell r="AF1183">
            <v>42800</v>
          </cell>
          <cell r="AG1183">
            <v>9.17</v>
          </cell>
          <cell r="AH1183" t="str">
            <v>PPM</v>
          </cell>
          <cell r="AI1183" t="str">
            <v>Strands</v>
          </cell>
          <cell r="AJ1183" t="str">
            <v>Strands PW</v>
          </cell>
        </row>
        <row r="1184">
          <cell r="A1184" t="str">
            <v>IKN400786</v>
          </cell>
          <cell r="B1184">
            <v>786</v>
          </cell>
          <cell r="C1184" t="str">
            <v>Institut Kanser Negara</v>
          </cell>
          <cell r="D1184" t="str">
            <v>KKM/IKN/H/13/3163</v>
          </cell>
          <cell r="E1184" t="str">
            <v>16-597</v>
          </cell>
          <cell r="F1184" t="str">
            <v>Radiographic/Fluoroscopic Systems, Angiographic/Intervention</v>
          </cell>
          <cell r="G1184" t="str">
            <v>ID</v>
          </cell>
          <cell r="H1184" t="str">
            <v>IMAGING DEPARTMENT</v>
          </cell>
          <cell r="I1184" t="str">
            <v>03ID164</v>
          </cell>
          <cell r="J1184" t="str">
            <v>ANGIO(VE)</v>
          </cell>
          <cell r="K1184" t="str">
            <v>BMED</v>
          </cell>
          <cell r="L1184" t="str">
            <v>Normal</v>
          </cell>
          <cell r="M1184" t="str">
            <v>The Netherlands</v>
          </cell>
          <cell r="N1184" t="str">
            <v>Allura</v>
          </cell>
          <cell r="O1184" t="str">
            <v>Allura Xper Fd 20/20</v>
          </cell>
          <cell r="P1184" t="str">
            <v>325</v>
          </cell>
          <cell r="Q1184" t="str">
            <v>Not Applicable</v>
          </cell>
          <cell r="R1184" t="str">
            <v>Philips Medical Systems</v>
          </cell>
          <cell r="S1184" t="str">
            <v>Advance Altimas Sdn Bhd</v>
          </cell>
          <cell r="T1184" t="str">
            <v>Functioning</v>
          </cell>
          <cell r="U1184" t="str">
            <v>Asset</v>
          </cell>
          <cell r="V1184">
            <v>0</v>
          </cell>
          <cell r="W1184" t="str">
            <v>KEW</v>
          </cell>
          <cell r="X1184" t="str">
            <v>01/09/2010</v>
          </cell>
          <cell r="Y1184" t="str">
            <v>KEW</v>
          </cell>
          <cell r="Z1184" t="str">
            <v>16/08/2013</v>
          </cell>
          <cell r="AA1184" t="str">
            <v>15/08/2015</v>
          </cell>
          <cell r="AB1184" t="str">
            <v>No</v>
          </cell>
          <cell r="AC1184" t="str">
            <v>31/08/2013</v>
          </cell>
          <cell r="AD1184" t="str">
            <v>Good</v>
          </cell>
          <cell r="AE1184" t="str">
            <v>V1 - Existing / No Claim</v>
          </cell>
          <cell r="AF1184">
            <v>42235</v>
          </cell>
          <cell r="AG1184">
            <v>9.17</v>
          </cell>
          <cell r="AH1184" t="str">
            <v>PPM</v>
          </cell>
          <cell r="AI1184" t="str">
            <v>Strands</v>
          </cell>
          <cell r="AJ1184" t="str">
            <v>Strands Package</v>
          </cell>
          <cell r="AK1184" t="str">
            <v>Package Code XE0004</v>
          </cell>
        </row>
        <row r="1185">
          <cell r="A1185" t="str">
            <v>IKN400787</v>
          </cell>
          <cell r="B1185">
            <v>787</v>
          </cell>
          <cell r="C1185" t="str">
            <v>Institut Kanser Negara</v>
          </cell>
          <cell r="D1185" t="str">
            <v>KKM/IKN/H/13/2743</v>
          </cell>
          <cell r="E1185" t="str">
            <v>13-272</v>
          </cell>
          <cell r="F1185" t="str">
            <v>Radiographic Units, Mobile</v>
          </cell>
          <cell r="G1185" t="str">
            <v>ID</v>
          </cell>
          <cell r="H1185" t="str">
            <v>IMAGING DEPARTMENT</v>
          </cell>
          <cell r="I1185" t="str">
            <v>03ID106</v>
          </cell>
          <cell r="J1185" t="str">
            <v>MOBILE X-RAY</v>
          </cell>
          <cell r="K1185" t="str">
            <v>BMED</v>
          </cell>
          <cell r="L1185" t="str">
            <v>Normal</v>
          </cell>
          <cell r="M1185" t="str">
            <v>USA</v>
          </cell>
          <cell r="N1185" t="str">
            <v>Carestream</v>
          </cell>
          <cell r="O1185" t="str">
            <v>Carestream DRX-Revolution</v>
          </cell>
          <cell r="P1185" t="str">
            <v>0253</v>
          </cell>
          <cell r="Q1185" t="str">
            <v>Not Applicable</v>
          </cell>
          <cell r="R1185" t="str">
            <v>Carestream Health Inc</v>
          </cell>
          <cell r="S1185" t="str">
            <v>Best Contact (M) Sdn Bhd</v>
          </cell>
          <cell r="T1185" t="str">
            <v>Functioning</v>
          </cell>
          <cell r="U1185" t="str">
            <v>Asset</v>
          </cell>
          <cell r="V1185">
            <v>1149550</v>
          </cell>
          <cell r="W1185" t="str">
            <v>KEW</v>
          </cell>
          <cell r="X1185" t="str">
            <v>01/09/2010</v>
          </cell>
          <cell r="Y1185" t="str">
            <v>KEW</v>
          </cell>
          <cell r="Z1185" t="str">
            <v>16/08/2013</v>
          </cell>
          <cell r="AA1185" t="str">
            <v>15/08/2015</v>
          </cell>
          <cell r="AB1185" t="str">
            <v>No</v>
          </cell>
          <cell r="AC1185" t="str">
            <v>31/08/2013</v>
          </cell>
          <cell r="AD1185" t="str">
            <v>Good</v>
          </cell>
          <cell r="AE1185" t="str">
            <v>V1 - Existing / No Claim</v>
          </cell>
          <cell r="AF1185">
            <v>42235</v>
          </cell>
          <cell r="AG1185">
            <v>9.17</v>
          </cell>
          <cell r="AH1185" t="str">
            <v>PPM</v>
          </cell>
          <cell r="AI1185" t="str">
            <v>Strands</v>
          </cell>
          <cell r="AJ1185" t="str">
            <v>Strands PW</v>
          </cell>
        </row>
        <row r="1186">
          <cell r="A1186" t="str">
            <v>IKN400788</v>
          </cell>
          <cell r="B1186">
            <v>788</v>
          </cell>
          <cell r="C1186" t="str">
            <v>Institut Kanser Negara</v>
          </cell>
          <cell r="D1186" t="str">
            <v>KKM/IKN/H/13/4332</v>
          </cell>
          <cell r="E1186" t="str">
            <v>17-968</v>
          </cell>
          <cell r="F1186" t="str">
            <v>Injectors, Contrast Media</v>
          </cell>
          <cell r="G1186" t="str">
            <v>ID</v>
          </cell>
          <cell r="H1186" t="str">
            <v>IMAGING DEPARTMENT</v>
          </cell>
          <cell r="I1186" t="str">
            <v>03ID156</v>
          </cell>
          <cell r="J1186" t="str">
            <v>C.T. SCAN 1 (+VE)</v>
          </cell>
          <cell r="K1186" t="str">
            <v>BMED</v>
          </cell>
          <cell r="L1186" t="str">
            <v>Critical</v>
          </cell>
          <cell r="M1186" t="str">
            <v>USA</v>
          </cell>
          <cell r="N1186" t="str">
            <v>Medrad</v>
          </cell>
          <cell r="O1186" t="str">
            <v>Medrad Stellant</v>
          </cell>
          <cell r="P1186" t="str">
            <v>301422660551</v>
          </cell>
          <cell r="Q1186" t="str">
            <v>Not Applicable</v>
          </cell>
          <cell r="R1186" t="str">
            <v>Medrad Inc</v>
          </cell>
          <cell r="S1186" t="str">
            <v>Advance Altimas Sdn Bhd</v>
          </cell>
          <cell r="T1186" t="str">
            <v>Functioning</v>
          </cell>
          <cell r="U1186" t="str">
            <v>Asset</v>
          </cell>
          <cell r="V1186">
            <v>100000</v>
          </cell>
          <cell r="W1186" t="str">
            <v>Estimate</v>
          </cell>
          <cell r="X1186" t="str">
            <v>01/09/2010</v>
          </cell>
          <cell r="Y1186" t="str">
            <v>KEW</v>
          </cell>
          <cell r="Z1186" t="str">
            <v>16/08/2013</v>
          </cell>
          <cell r="AA1186" t="str">
            <v>15/08/2015</v>
          </cell>
          <cell r="AB1186" t="str">
            <v>No</v>
          </cell>
          <cell r="AC1186" t="str">
            <v>31/08/2013</v>
          </cell>
          <cell r="AD1186" t="str">
            <v>Good</v>
          </cell>
          <cell r="AE1186" t="str">
            <v>V1 - Existing / No Claim</v>
          </cell>
          <cell r="AF1186">
            <v>42605</v>
          </cell>
          <cell r="AG1186">
            <v>9.17</v>
          </cell>
          <cell r="AH1186" t="str">
            <v>PPM</v>
          </cell>
          <cell r="AI1186" t="str">
            <v>Strands</v>
          </cell>
          <cell r="AJ1186" t="str">
            <v>Strands Package</v>
          </cell>
          <cell r="AK1186" t="str">
            <v>Package Code XC0004-N</v>
          </cell>
        </row>
        <row r="1187">
          <cell r="A1187" t="str">
            <v>IKN400789</v>
          </cell>
          <cell r="B1187">
            <v>789</v>
          </cell>
          <cell r="C1187" t="str">
            <v>Institut Kanser Negara</v>
          </cell>
          <cell r="D1187" t="str">
            <v>KKM/IKN/H/13/2741-9</v>
          </cell>
          <cell r="E1187" t="str">
            <v>12-647</v>
          </cell>
          <cell r="F1187" t="str">
            <v>Physiologic Monitoring Systems, Acute Care</v>
          </cell>
          <cell r="G1187" t="str">
            <v>ID</v>
          </cell>
          <cell r="H1187" t="str">
            <v>IMAGING DEPARTMENT</v>
          </cell>
          <cell r="I1187" t="str">
            <v>03ID156</v>
          </cell>
          <cell r="J1187" t="str">
            <v>C.T. SCAN 1 (+VE)</v>
          </cell>
          <cell r="K1187" t="str">
            <v>BMED</v>
          </cell>
          <cell r="L1187" t="str">
            <v>Critical</v>
          </cell>
          <cell r="M1187" t="str">
            <v>USA</v>
          </cell>
          <cell r="N1187" t="str">
            <v>Cardiac Trigger</v>
          </cell>
          <cell r="O1187" t="str">
            <v>Cardiac Trigger Monitor 3000</v>
          </cell>
          <cell r="P1187" t="str">
            <v>12070029</v>
          </cell>
          <cell r="Q1187" t="str">
            <v>Not Applicable</v>
          </cell>
          <cell r="R1187" t="str">
            <v>Ivy Biomedical Systems Inc</v>
          </cell>
          <cell r="S1187" t="str">
            <v>Advance Altimas Sdn Bhd</v>
          </cell>
          <cell r="T1187" t="str">
            <v>Functioning</v>
          </cell>
          <cell r="U1187" t="str">
            <v>Asset</v>
          </cell>
          <cell r="V1187">
            <v>20000</v>
          </cell>
          <cell r="W1187" t="str">
            <v>Estimate</v>
          </cell>
          <cell r="X1187" t="str">
            <v>01/09/2010</v>
          </cell>
          <cell r="Y1187" t="str">
            <v>KEW</v>
          </cell>
          <cell r="Z1187" t="str">
            <v>16/08/2013</v>
          </cell>
          <cell r="AA1187" t="str">
            <v>15/08/2015</v>
          </cell>
          <cell r="AB1187" t="str">
            <v>No</v>
          </cell>
          <cell r="AC1187" t="str">
            <v>31/08/2013</v>
          </cell>
          <cell r="AD1187" t="str">
            <v>Good</v>
          </cell>
          <cell r="AE1187" t="str">
            <v>V4 - Decommissioned Installed Facility</v>
          </cell>
          <cell r="AF1187">
            <v>42605</v>
          </cell>
          <cell r="AG1187">
            <v>9.17</v>
          </cell>
          <cell r="AH1187" t="str">
            <v>PPM</v>
          </cell>
          <cell r="AI1187" t="str">
            <v>Strands</v>
          </cell>
          <cell r="AJ1187" t="str">
            <v>Strands Package</v>
          </cell>
          <cell r="AK1187" t="str">
            <v>[22/9/2023, SHARIFAH]: Update KKM No. ikut Asset Tiger. PEP ON NOV 2020, BER/BEMS/AWSB/20/008 - Asset masih boleh digunakan namun asset tidak ekonomik diperbaiki lagi sekiranya rosak. Package Code XC0004-N</v>
          </cell>
        </row>
        <row r="1188">
          <cell r="A1188" t="str">
            <v>IKN400790</v>
          </cell>
          <cell r="B1188">
            <v>790</v>
          </cell>
          <cell r="C1188" t="str">
            <v>Institut Kanser Negara</v>
          </cell>
          <cell r="D1188" t="str">
            <v>KKM/IKN/H/14/47</v>
          </cell>
          <cell r="E1188" t="str">
            <v>11-246</v>
          </cell>
          <cell r="F1188" t="str">
            <v>Radiofrequency Therapy Systems, Diathermy</v>
          </cell>
          <cell r="G1188" t="str">
            <v>ID</v>
          </cell>
          <cell r="H1188" t="str">
            <v>IMAGING DEPARTMENT</v>
          </cell>
          <cell r="I1188" t="str">
            <v>03ID164</v>
          </cell>
          <cell r="J1188" t="str">
            <v>ANGIO(VE)</v>
          </cell>
          <cell r="K1188" t="str">
            <v>BMED</v>
          </cell>
          <cell r="L1188" t="str">
            <v>Critical</v>
          </cell>
          <cell r="M1188" t="str">
            <v>USA</v>
          </cell>
          <cell r="N1188" t="str">
            <v>Covedien</v>
          </cell>
          <cell r="O1188" t="str">
            <v>Covedien E-Series</v>
          </cell>
          <cell r="P1188" t="str">
            <v>P4D05877X</v>
          </cell>
          <cell r="Q1188" t="str">
            <v>Not Applicable</v>
          </cell>
          <cell r="R1188" t="str">
            <v>Covidien Co</v>
          </cell>
          <cell r="S1188" t="str">
            <v>Mediliance (M) Sdn. Bhd.</v>
          </cell>
          <cell r="T1188" t="str">
            <v>Functioning</v>
          </cell>
          <cell r="U1188" t="str">
            <v>Asset</v>
          </cell>
          <cell r="V1188">
            <v>304684</v>
          </cell>
          <cell r="W1188" t="str">
            <v>KEW</v>
          </cell>
          <cell r="X1188" t="str">
            <v>05/09/2014</v>
          </cell>
          <cell r="Y1188" t="str">
            <v>KEW</v>
          </cell>
          <cell r="Z1188" t="str">
            <v>24/09/2014</v>
          </cell>
          <cell r="AA1188" t="str">
            <v>23/09/2016</v>
          </cell>
          <cell r="AB1188" t="str">
            <v>No</v>
          </cell>
          <cell r="AC1188" t="str">
            <v>24/09/2014</v>
          </cell>
          <cell r="AD1188" t="str">
            <v>Good</v>
          </cell>
          <cell r="AE1188" t="str">
            <v>V3 - Added Installed Facilities (New)</v>
          </cell>
          <cell r="AF1188">
            <v>42791</v>
          </cell>
          <cell r="AG1188">
            <v>5.17</v>
          </cell>
          <cell r="AH1188" t="str">
            <v>PPM</v>
          </cell>
          <cell r="AI1188" t="str">
            <v>Strands</v>
          </cell>
          <cell r="AJ1188" t="str">
            <v>Strands PW</v>
          </cell>
          <cell r="AK1188" t="str">
            <v>SNF received on 25.2.2020</v>
          </cell>
        </row>
        <row r="1189">
          <cell r="A1189" t="str">
            <v>IKN400791</v>
          </cell>
          <cell r="B1189">
            <v>791</v>
          </cell>
          <cell r="C1189" t="str">
            <v>Institut Kanser Negara</v>
          </cell>
          <cell r="D1189" t="str">
            <v>KKM/IKN/H/13/4293</v>
          </cell>
          <cell r="E1189" t="str">
            <v>11-134</v>
          </cell>
          <cell r="F1189" t="str">
            <v>Defibrillators, External, Manual</v>
          </cell>
          <cell r="G1189" t="str">
            <v>ID</v>
          </cell>
          <cell r="H1189" t="str">
            <v>IMAGING DEPARTMENT</v>
          </cell>
          <cell r="I1189" t="str">
            <v>03ID111</v>
          </cell>
          <cell r="J1189" t="str">
            <v>M.R.I (VE)</v>
          </cell>
          <cell r="K1189" t="str">
            <v>BMED</v>
          </cell>
          <cell r="L1189" t="str">
            <v>Critical</v>
          </cell>
          <cell r="M1189" t="str">
            <v>JAPAN</v>
          </cell>
          <cell r="N1189" t="str">
            <v>CardioLife</v>
          </cell>
          <cell r="O1189" t="str">
            <v>CardioLife TEC-5521K</v>
          </cell>
          <cell r="P1189" t="str">
            <v>12576</v>
          </cell>
          <cell r="Q1189" t="str">
            <v>Not Applicable</v>
          </cell>
          <cell r="R1189" t="str">
            <v>Nihon Kohden Corp</v>
          </cell>
          <cell r="S1189" t="str">
            <v>Metro Jendela Sdn Bhd</v>
          </cell>
          <cell r="T1189" t="str">
            <v>Functioning</v>
          </cell>
          <cell r="U1189" t="str">
            <v>Asset</v>
          </cell>
          <cell r="V1189">
            <v>30000</v>
          </cell>
          <cell r="W1189" t="str">
            <v>Estimate</v>
          </cell>
          <cell r="X1189" t="str">
            <v>01/09/2010</v>
          </cell>
          <cell r="Y1189" t="str">
            <v>KEW</v>
          </cell>
          <cell r="Z1189" t="str">
            <v>16/08/2013</v>
          </cell>
          <cell r="AA1189" t="str">
            <v>15/08/2015</v>
          </cell>
          <cell r="AB1189" t="str">
            <v>No</v>
          </cell>
          <cell r="AC1189" t="str">
            <v>31/08/2013</v>
          </cell>
          <cell r="AD1189" t="str">
            <v>Good</v>
          </cell>
          <cell r="AE1189" t="str">
            <v>V1 - Existing / No Claim</v>
          </cell>
          <cell r="AF1189">
            <v>42605</v>
          </cell>
          <cell r="AG1189">
            <v>9.17</v>
          </cell>
          <cell r="AH1189" t="str">
            <v>PPM</v>
          </cell>
          <cell r="AI1189" t="str">
            <v>Strands</v>
          </cell>
          <cell r="AJ1189" t="str">
            <v>Strands Package</v>
          </cell>
          <cell r="AK1189" t="str">
            <v>Package Code XJ0007</v>
          </cell>
        </row>
        <row r="1190">
          <cell r="A1190" t="str">
            <v>IKN400795</v>
          </cell>
          <cell r="B1190">
            <v>795</v>
          </cell>
          <cell r="C1190" t="str">
            <v>Institut Kanser Negara</v>
          </cell>
          <cell r="D1190" t="str">
            <v>KKM/IKN/H/13/4576</v>
          </cell>
          <cell r="E1190" t="str">
            <v>18-158</v>
          </cell>
          <cell r="F1190" t="str">
            <v>Injectors, Contrast Media, Magnetic Resonance Imaging</v>
          </cell>
          <cell r="G1190" t="str">
            <v>ID</v>
          </cell>
          <cell r="H1190" t="str">
            <v>IMAGING DEPARTMENT</v>
          </cell>
          <cell r="I1190" t="str">
            <v>03ID111</v>
          </cell>
          <cell r="J1190" t="str">
            <v>M.R.I (VE)</v>
          </cell>
          <cell r="K1190" t="str">
            <v>BMED</v>
          </cell>
          <cell r="L1190" t="str">
            <v>Normal</v>
          </cell>
          <cell r="M1190" t="str">
            <v>USA</v>
          </cell>
          <cell r="N1190" t="str">
            <v>Spectris</v>
          </cell>
          <cell r="O1190" t="str">
            <v>Spectris Solaris EP</v>
          </cell>
          <cell r="P1190" t="str">
            <v>301201248212</v>
          </cell>
          <cell r="Q1190" t="str">
            <v>Not Applicable</v>
          </cell>
          <cell r="R1190" t="str">
            <v>Medrad Inc</v>
          </cell>
          <cell r="S1190" t="str">
            <v>Advance Altimas Sdn Bhd</v>
          </cell>
          <cell r="T1190" t="str">
            <v>Functioning</v>
          </cell>
          <cell r="U1190" t="str">
            <v>Asset</v>
          </cell>
          <cell r="V1190">
            <v>172500</v>
          </cell>
          <cell r="W1190" t="str">
            <v>KEW</v>
          </cell>
          <cell r="X1190" t="str">
            <v>01/09/2010</v>
          </cell>
          <cell r="Y1190" t="str">
            <v>KEW</v>
          </cell>
          <cell r="Z1190" t="str">
            <v>16/08/2013</v>
          </cell>
          <cell r="AA1190" t="str">
            <v>15/08/2015</v>
          </cell>
          <cell r="AB1190" t="str">
            <v>No</v>
          </cell>
          <cell r="AC1190" t="str">
            <v>31/08/2013</v>
          </cell>
          <cell r="AD1190" t="str">
            <v>Good</v>
          </cell>
          <cell r="AE1190" t="str">
            <v>V1 - Existing / No Claim</v>
          </cell>
          <cell r="AF1190">
            <v>42605</v>
          </cell>
          <cell r="AG1190">
            <v>9.17</v>
          </cell>
          <cell r="AH1190" t="str">
            <v>PPM</v>
          </cell>
          <cell r="AI1190" t="str">
            <v>package</v>
          </cell>
          <cell r="AJ1190" t="e">
            <v>#REF!</v>
          </cell>
          <cell r="AK1190" t="str">
            <v>27/10/2023: KEWPA, SN: 48212.</v>
          </cell>
        </row>
        <row r="1191">
          <cell r="A1191" t="str">
            <v>IKN400796</v>
          </cell>
          <cell r="B1191">
            <v>796</v>
          </cell>
          <cell r="C1191" t="str">
            <v>Institut Kanser Negara</v>
          </cell>
          <cell r="D1191" t="str">
            <v>KKM/IKN/H/13/4292</v>
          </cell>
          <cell r="E1191" t="str">
            <v>13-215</v>
          </cell>
          <cell r="F1191" t="str">
            <v>Infusion Pumps, General-Purpose</v>
          </cell>
          <cell r="G1191" t="str">
            <v>ID</v>
          </cell>
          <cell r="H1191" t="str">
            <v>IMAGING DEPARTMENT</v>
          </cell>
          <cell r="I1191" t="str">
            <v>03ID111</v>
          </cell>
          <cell r="J1191" t="str">
            <v>M.R.I (VE)</v>
          </cell>
          <cell r="K1191" t="str">
            <v>BMED</v>
          </cell>
          <cell r="L1191" t="str">
            <v>Critical</v>
          </cell>
          <cell r="M1191" t="str">
            <v>USA</v>
          </cell>
          <cell r="N1191" t="str">
            <v>Mridium</v>
          </cell>
          <cell r="O1191" t="str">
            <v>MRidium 3851</v>
          </cell>
          <cell r="P1191" t="str">
            <v>IR5110595/IR5011214</v>
          </cell>
          <cell r="Q1191" t="str">
            <v>Not Applicable</v>
          </cell>
          <cell r="R1191" t="str">
            <v>Iradimed Corp</v>
          </cell>
          <cell r="S1191" t="str">
            <v>APPLIED MEDICAL SYSTEMS SDN BHD</v>
          </cell>
          <cell r="T1191" t="str">
            <v>Functioning</v>
          </cell>
          <cell r="U1191" t="str">
            <v>Asset</v>
          </cell>
          <cell r="V1191">
            <v>1400</v>
          </cell>
          <cell r="W1191" t="str">
            <v>Estimate</v>
          </cell>
          <cell r="X1191" t="str">
            <v>01/09/2010</v>
          </cell>
          <cell r="Y1191" t="str">
            <v>KEW</v>
          </cell>
          <cell r="Z1191" t="str">
            <v>16/08/2013</v>
          </cell>
          <cell r="AA1191" t="str">
            <v>15/08/2015</v>
          </cell>
          <cell r="AB1191" t="str">
            <v>No</v>
          </cell>
          <cell r="AC1191" t="str">
            <v>31/08/2013</v>
          </cell>
          <cell r="AD1191" t="str">
            <v>Good</v>
          </cell>
          <cell r="AE1191" t="str">
            <v>V1 - Existing / No Claim</v>
          </cell>
          <cell r="AF1191">
            <v>42791</v>
          </cell>
          <cell r="AG1191">
            <v>9.17</v>
          </cell>
          <cell r="AH1191" t="str">
            <v>PPM</v>
          </cell>
          <cell r="AI1191" t="str">
            <v>Strands</v>
          </cell>
          <cell r="AJ1191" t="str">
            <v>Strands PW</v>
          </cell>
        </row>
        <row r="1192">
          <cell r="A1192" t="str">
            <v>IKN400797</v>
          </cell>
          <cell r="B1192">
            <v>797</v>
          </cell>
          <cell r="C1192" t="str">
            <v>Institut Kanser Negara</v>
          </cell>
          <cell r="D1192" t="str">
            <v>KKM/IKN/H/13/2663</v>
          </cell>
          <cell r="E1192" t="str">
            <v>17-950</v>
          </cell>
          <cell r="F1192" t="str">
            <v>Warming Units, Patient, Forced-Air</v>
          </cell>
          <cell r="G1192" t="str">
            <v>ID</v>
          </cell>
          <cell r="H1192" t="str">
            <v>IMAGING DEPARTMENT</v>
          </cell>
          <cell r="I1192" t="str">
            <v>03ID109</v>
          </cell>
          <cell r="J1192" t="str">
            <v>INDUCTION</v>
          </cell>
          <cell r="K1192" t="str">
            <v>BMED</v>
          </cell>
          <cell r="L1192" t="str">
            <v>Normal</v>
          </cell>
          <cell r="M1192" t="str">
            <v>USA</v>
          </cell>
          <cell r="N1192" t="str">
            <v>Bair Hugger</v>
          </cell>
          <cell r="O1192" t="str">
            <v>Bair Hugger 775</v>
          </cell>
          <cell r="P1192" t="str">
            <v>36865</v>
          </cell>
          <cell r="Q1192" t="str">
            <v>Not Applicable</v>
          </cell>
          <cell r="R1192" t="str">
            <v>Arizant Healthcare Inc</v>
          </cell>
          <cell r="S1192" t="str">
            <v>Calmed Healthcare Sdn Bhd</v>
          </cell>
          <cell r="T1192" t="str">
            <v>Functioning</v>
          </cell>
          <cell r="U1192" t="str">
            <v>Asset</v>
          </cell>
          <cell r="V1192">
            <v>15515</v>
          </cell>
          <cell r="W1192" t="str">
            <v>KEW</v>
          </cell>
          <cell r="X1192" t="str">
            <v>01/09/2010</v>
          </cell>
          <cell r="Y1192" t="str">
            <v>KEW</v>
          </cell>
          <cell r="Z1192" t="str">
            <v>16/08/2013</v>
          </cell>
          <cell r="AA1192" t="str">
            <v>15/08/2015</v>
          </cell>
          <cell r="AB1192" t="str">
            <v>No</v>
          </cell>
          <cell r="AC1192" t="str">
            <v>31/08/2013</v>
          </cell>
          <cell r="AD1192" t="str">
            <v>Good</v>
          </cell>
          <cell r="AE1192" t="str">
            <v>V1 - Existing / No Claim</v>
          </cell>
          <cell r="AF1192">
            <v>42235</v>
          </cell>
          <cell r="AG1192">
            <v>9.17</v>
          </cell>
          <cell r="AH1192" t="str">
            <v>PPM</v>
          </cell>
          <cell r="AI1192" t="str">
            <v>Strands</v>
          </cell>
          <cell r="AJ1192" t="str">
            <v>Strands PW</v>
          </cell>
        </row>
        <row r="1193">
          <cell r="A1193" t="str">
            <v>IKN400798</v>
          </cell>
          <cell r="B1193">
            <v>798</v>
          </cell>
          <cell r="C1193" t="str">
            <v>Institut Kanser Negara</v>
          </cell>
          <cell r="D1193" t="str">
            <v>KKM/IKN/H/13/1351</v>
          </cell>
          <cell r="E1193" t="str">
            <v>18-430</v>
          </cell>
          <cell r="F1193" t="str">
            <v>Radiographic Systems, Digital</v>
          </cell>
          <cell r="G1193" t="str">
            <v>ID</v>
          </cell>
          <cell r="H1193" t="str">
            <v>IMAGING DEPARTMENT</v>
          </cell>
          <cell r="I1193" t="str">
            <v>03ID181</v>
          </cell>
          <cell r="J1193" t="str">
            <v>X-RAY 2(GENERAL)</v>
          </cell>
          <cell r="K1193" t="str">
            <v>BMED</v>
          </cell>
          <cell r="L1193" t="str">
            <v>Normal</v>
          </cell>
          <cell r="M1193" t="str">
            <v>USA</v>
          </cell>
          <cell r="N1193" t="str">
            <v>Discovery</v>
          </cell>
          <cell r="O1193" t="str">
            <v>Discovery XR656</v>
          </cell>
          <cell r="P1193" t="str">
            <v>87634HL2</v>
          </cell>
          <cell r="Q1193" t="str">
            <v>Not Applicable</v>
          </cell>
          <cell r="R1193" t="str">
            <v>GE Healthcare</v>
          </cell>
          <cell r="S1193" t="str">
            <v>GE Healthcare Technologies</v>
          </cell>
          <cell r="T1193" t="str">
            <v>Functioning</v>
          </cell>
          <cell r="U1193" t="str">
            <v>Asset</v>
          </cell>
          <cell r="V1193">
            <v>1958605</v>
          </cell>
          <cell r="W1193" t="str">
            <v>KEW</v>
          </cell>
          <cell r="X1193" t="str">
            <v>01/09/2010</v>
          </cell>
          <cell r="Y1193" t="str">
            <v>KEW</v>
          </cell>
          <cell r="Z1193" t="str">
            <v>16/08/2013</v>
          </cell>
          <cell r="AA1193" t="str">
            <v>15/08/2015</v>
          </cell>
          <cell r="AB1193" t="str">
            <v>No</v>
          </cell>
          <cell r="AC1193" t="str">
            <v>31/08/2013</v>
          </cell>
          <cell r="AD1193" t="str">
            <v>Good</v>
          </cell>
          <cell r="AE1193" t="str">
            <v>V1 - Existing / No Claim</v>
          </cell>
          <cell r="AF1193">
            <v>42791</v>
          </cell>
          <cell r="AG1193">
            <v>9.17</v>
          </cell>
          <cell r="AH1193" t="str">
            <v>PPM</v>
          </cell>
          <cell r="AI1193" t="str">
            <v>Strands</v>
          </cell>
          <cell r="AJ1193" t="str">
            <v>Strands Package</v>
          </cell>
          <cell r="AK1193" t="str">
            <v>Package Code XR0007-D</v>
          </cell>
        </row>
        <row r="1194">
          <cell r="A1194" t="str">
            <v>IKN400799</v>
          </cell>
          <cell r="B1194">
            <v>799</v>
          </cell>
          <cell r="C1194" t="str">
            <v>Institut Kanser Negara</v>
          </cell>
          <cell r="D1194" t="str">
            <v>KKM/IKN/H/13/1241</v>
          </cell>
          <cell r="E1194" t="str">
            <v>18-430</v>
          </cell>
          <cell r="F1194" t="str">
            <v>Radiographic Systems, Digital</v>
          </cell>
          <cell r="G1194" t="str">
            <v>ID</v>
          </cell>
          <cell r="H1194" t="str">
            <v>IMAGING DEPARTMENT</v>
          </cell>
          <cell r="I1194" t="str">
            <v>03ID186</v>
          </cell>
          <cell r="J1194" t="str">
            <v>X-RAY 1 (GENERAL)</v>
          </cell>
          <cell r="K1194" t="str">
            <v>BMED</v>
          </cell>
          <cell r="L1194" t="str">
            <v>Normal</v>
          </cell>
          <cell r="M1194" t="str">
            <v>USA</v>
          </cell>
          <cell r="N1194" t="str">
            <v>Discovery</v>
          </cell>
          <cell r="O1194" t="str">
            <v>Discovery XR656</v>
          </cell>
          <cell r="P1194" t="str">
            <v>87996HL5</v>
          </cell>
          <cell r="Q1194" t="str">
            <v>Not Applicable</v>
          </cell>
          <cell r="R1194" t="str">
            <v>GE Healthcare</v>
          </cell>
          <cell r="S1194" t="str">
            <v>GE Healthcare Technologies</v>
          </cell>
          <cell r="T1194" t="str">
            <v>Functioning</v>
          </cell>
          <cell r="U1194" t="str">
            <v>Asset</v>
          </cell>
          <cell r="V1194">
            <v>1958605</v>
          </cell>
          <cell r="W1194" t="str">
            <v>KEW</v>
          </cell>
          <cell r="X1194" t="str">
            <v>01/09/2010</v>
          </cell>
          <cell r="Y1194" t="str">
            <v>KEW</v>
          </cell>
          <cell r="Z1194" t="str">
            <v>16/08/2013</v>
          </cell>
          <cell r="AA1194" t="str">
            <v>15/08/2015</v>
          </cell>
          <cell r="AB1194" t="str">
            <v>No</v>
          </cell>
          <cell r="AC1194" t="str">
            <v>31/08/2013</v>
          </cell>
          <cell r="AD1194" t="str">
            <v>Good</v>
          </cell>
          <cell r="AE1194" t="str">
            <v>V1 - Existing / No Claim</v>
          </cell>
          <cell r="AF1194">
            <v>42791</v>
          </cell>
          <cell r="AG1194">
            <v>9.17</v>
          </cell>
          <cell r="AH1194" t="str">
            <v>PPM</v>
          </cell>
          <cell r="AI1194" t="str">
            <v>Strands</v>
          </cell>
          <cell r="AJ1194" t="str">
            <v>Strands Package</v>
          </cell>
          <cell r="AK1194" t="str">
            <v>Package Code XR0007-D</v>
          </cell>
        </row>
        <row r="1195">
          <cell r="A1195" t="str">
            <v>IKN400800</v>
          </cell>
          <cell r="B1195">
            <v>800</v>
          </cell>
          <cell r="C1195" t="str">
            <v>Institut Kanser Negara</v>
          </cell>
          <cell r="D1195" t="str">
            <v>KKM/IKN/H/13/2751</v>
          </cell>
          <cell r="E1195" t="str">
            <v>12-647</v>
          </cell>
          <cell r="F1195" t="str">
            <v>Physiologic Monitoring Systems, Acute Care</v>
          </cell>
          <cell r="G1195" t="str">
            <v>ID</v>
          </cell>
          <cell r="H1195" t="str">
            <v>IMAGING DEPARTMENT</v>
          </cell>
          <cell r="I1195" t="str">
            <v>03ID167</v>
          </cell>
          <cell r="J1195" t="str">
            <v>EQ.STORE</v>
          </cell>
          <cell r="K1195" t="str">
            <v>BMED</v>
          </cell>
          <cell r="L1195" t="str">
            <v>Critical</v>
          </cell>
          <cell r="M1195" t="str">
            <v>USA</v>
          </cell>
          <cell r="N1195" t="str">
            <v>GE</v>
          </cell>
          <cell r="O1195" t="str">
            <v>GE B30</v>
          </cell>
          <cell r="P1195" t="str">
            <v>SF312325904WA</v>
          </cell>
          <cell r="Q1195" t="str">
            <v>Not Applicable</v>
          </cell>
          <cell r="R1195" t="str">
            <v>GE Healthcare Systems</v>
          </cell>
          <cell r="S1195" t="str">
            <v>GE Healthcare Technologies</v>
          </cell>
          <cell r="T1195" t="str">
            <v>Functioning</v>
          </cell>
          <cell r="U1195" t="str">
            <v>Asset</v>
          </cell>
          <cell r="V1195">
            <v>44510</v>
          </cell>
          <cell r="W1195" t="str">
            <v>KEW</v>
          </cell>
          <cell r="X1195" t="str">
            <v>01/09/2010</v>
          </cell>
          <cell r="Y1195" t="str">
            <v>KEW</v>
          </cell>
          <cell r="Z1195" t="str">
            <v>16/08/2013</v>
          </cell>
          <cell r="AA1195" t="str">
            <v>15/08/2015</v>
          </cell>
          <cell r="AB1195" t="str">
            <v>No</v>
          </cell>
          <cell r="AC1195" t="str">
            <v>31/08/2013</v>
          </cell>
          <cell r="AD1195" t="str">
            <v>Good</v>
          </cell>
          <cell r="AE1195" t="str">
            <v>V1 - Existing / No Claim</v>
          </cell>
          <cell r="AF1195">
            <v>42791</v>
          </cell>
          <cell r="AG1195">
            <v>9.17</v>
          </cell>
          <cell r="AH1195" t="str">
            <v>PPM</v>
          </cell>
          <cell r="AI1195" t="str">
            <v>Strands</v>
          </cell>
          <cell r="AJ1195" t="str">
            <v>Strands PW</v>
          </cell>
        </row>
        <row r="1196">
          <cell r="A1196" t="str">
            <v>IKN400801</v>
          </cell>
          <cell r="B1196">
            <v>801</v>
          </cell>
          <cell r="C1196" t="str">
            <v>Institut Kanser Negara</v>
          </cell>
          <cell r="D1196" t="str">
            <v>KKM/IKN/H/13/2560</v>
          </cell>
          <cell r="E1196" t="str">
            <v>10-447</v>
          </cell>
          <cell r="F1196" t="str">
            <v>Warming Units, Blood/Solution</v>
          </cell>
          <cell r="G1196" t="str">
            <v>RT</v>
          </cell>
          <cell r="H1196" t="str">
            <v>RADIATION TREATMENT UNIT</v>
          </cell>
          <cell r="I1196" t="str">
            <v>01RT233</v>
          </cell>
          <cell r="J1196" t="str">
            <v>EQ ROOM</v>
          </cell>
          <cell r="K1196" t="str">
            <v>BMED</v>
          </cell>
          <cell r="L1196" t="str">
            <v>Normal</v>
          </cell>
          <cell r="M1196" t="str">
            <v>Japan</v>
          </cell>
          <cell r="N1196" t="str">
            <v>Animec</v>
          </cell>
          <cell r="O1196" t="str">
            <v>Animec AM-301</v>
          </cell>
          <cell r="P1196" t="str">
            <v>2013D0254</v>
          </cell>
          <cell r="Q1196" t="str">
            <v>Not Applicable</v>
          </cell>
          <cell r="R1196" t="str">
            <v>Elltec Co Ltd</v>
          </cell>
          <cell r="S1196" t="str">
            <v>IDS Services (Malaysia) Sdn Bhd</v>
          </cell>
          <cell r="T1196" t="str">
            <v>Functioning</v>
          </cell>
          <cell r="U1196" t="str">
            <v>Asset</v>
          </cell>
          <cell r="V1196">
            <v>4990</v>
          </cell>
          <cell r="W1196" t="str">
            <v>KEW</v>
          </cell>
          <cell r="X1196" t="str">
            <v>01/09/2010</v>
          </cell>
          <cell r="Y1196" t="str">
            <v>KEW</v>
          </cell>
          <cell r="Z1196" t="str">
            <v>16/08/2013</v>
          </cell>
          <cell r="AA1196" t="str">
            <v>15/08/2015</v>
          </cell>
          <cell r="AB1196" t="str">
            <v>No</v>
          </cell>
          <cell r="AC1196" t="str">
            <v>31/08/2013</v>
          </cell>
          <cell r="AD1196" t="str">
            <v>Good</v>
          </cell>
          <cell r="AE1196" t="str">
            <v>V1 - Existing / No Claim</v>
          </cell>
          <cell r="AF1196">
            <v>42235</v>
          </cell>
          <cell r="AG1196">
            <v>9.17</v>
          </cell>
          <cell r="AH1196" t="str">
            <v>PPM</v>
          </cell>
          <cell r="AI1196" t="str">
            <v>Strands</v>
          </cell>
          <cell r="AJ1196" t="str">
            <v>Strands PW</v>
          </cell>
        </row>
        <row r="1197">
          <cell r="A1197" t="str">
            <v>IKN400802</v>
          </cell>
          <cell r="B1197">
            <v>802</v>
          </cell>
          <cell r="C1197" t="str">
            <v>Institut Kanser Negara</v>
          </cell>
          <cell r="D1197" t="str">
            <v>KKM/IKN/H/13/2563</v>
          </cell>
          <cell r="E1197" t="str">
            <v>10-447</v>
          </cell>
          <cell r="F1197" t="str">
            <v>Warming Units, Blood/Solution</v>
          </cell>
          <cell r="G1197" t="str">
            <v>RT</v>
          </cell>
          <cell r="H1197" t="str">
            <v>RADIATION TREATMENT UNIT</v>
          </cell>
          <cell r="I1197" t="str">
            <v>01RT233</v>
          </cell>
          <cell r="J1197" t="str">
            <v>EQ ROOM</v>
          </cell>
          <cell r="K1197" t="str">
            <v>BMED</v>
          </cell>
          <cell r="L1197" t="str">
            <v>Normal</v>
          </cell>
          <cell r="M1197" t="str">
            <v>Japan</v>
          </cell>
          <cell r="N1197" t="str">
            <v>Animec</v>
          </cell>
          <cell r="O1197" t="str">
            <v>Animec AM-301</v>
          </cell>
          <cell r="P1197" t="str">
            <v>2013D0253</v>
          </cell>
          <cell r="Q1197" t="str">
            <v>Not Applicable</v>
          </cell>
          <cell r="R1197" t="str">
            <v>Elltec Co Ltd</v>
          </cell>
          <cell r="S1197" t="str">
            <v>IDS Services (Malaysia) Sdn Bhd</v>
          </cell>
          <cell r="T1197" t="str">
            <v>Functioning</v>
          </cell>
          <cell r="U1197" t="str">
            <v>Asset</v>
          </cell>
          <cell r="V1197">
            <v>4990</v>
          </cell>
          <cell r="W1197" t="str">
            <v>KEW</v>
          </cell>
          <cell r="X1197" t="str">
            <v>01/09/2010</v>
          </cell>
          <cell r="Y1197" t="str">
            <v>KEW</v>
          </cell>
          <cell r="Z1197" t="str">
            <v>16/08/2013</v>
          </cell>
          <cell r="AA1197" t="str">
            <v>15/08/2015</v>
          </cell>
          <cell r="AB1197" t="str">
            <v>No</v>
          </cell>
          <cell r="AC1197" t="str">
            <v>31/08/2013</v>
          </cell>
          <cell r="AD1197" t="str">
            <v>Good</v>
          </cell>
          <cell r="AE1197" t="str">
            <v>V1 - Existing / No Claim</v>
          </cell>
          <cell r="AF1197">
            <v>42235</v>
          </cell>
          <cell r="AG1197">
            <v>9.17</v>
          </cell>
          <cell r="AH1197" t="str">
            <v>PPM</v>
          </cell>
          <cell r="AI1197" t="str">
            <v>Strands</v>
          </cell>
          <cell r="AJ1197" t="str">
            <v>Strands PW</v>
          </cell>
        </row>
        <row r="1198">
          <cell r="A1198" t="str">
            <v>IKN400803</v>
          </cell>
          <cell r="B1198">
            <v>803</v>
          </cell>
          <cell r="C1198" t="str">
            <v>Institut Kanser Negara</v>
          </cell>
          <cell r="D1198" t="str">
            <v>KKM/IKN/H/13/3844</v>
          </cell>
          <cell r="E1198" t="str">
            <v>18-098</v>
          </cell>
          <cell r="F1198" t="str">
            <v>Ventilators, Transport</v>
          </cell>
          <cell r="G1198" t="str">
            <v>OT</v>
          </cell>
          <cell r="H1198" t="str">
            <v>OPERATING THEATRE</v>
          </cell>
          <cell r="I1198" t="str">
            <v>05OT169</v>
          </cell>
          <cell r="J1198" t="str">
            <v>EQ. ROOM</v>
          </cell>
          <cell r="K1198" t="str">
            <v>BMED</v>
          </cell>
          <cell r="L1198" t="str">
            <v>Normal</v>
          </cell>
          <cell r="M1198" t="str">
            <v>Germany</v>
          </cell>
          <cell r="N1198" t="str">
            <v>Oxylog</v>
          </cell>
          <cell r="O1198" t="str">
            <v>Oxylog 3000 Plus</v>
          </cell>
          <cell r="P1198" t="str">
            <v>ASDJ-0136</v>
          </cell>
          <cell r="Q1198" t="str">
            <v>Not Applicable</v>
          </cell>
          <cell r="R1198" t="str">
            <v>Draegerwerk Ag</v>
          </cell>
          <cell r="S1198" t="str">
            <v>Beau Consortium Sdn Bhd</v>
          </cell>
          <cell r="T1198" t="str">
            <v>Functioning</v>
          </cell>
          <cell r="U1198" t="str">
            <v>Asset</v>
          </cell>
          <cell r="V1198">
            <v>60150</v>
          </cell>
          <cell r="W1198" t="str">
            <v>KEW</v>
          </cell>
          <cell r="X1198" t="str">
            <v>01/09/2010</v>
          </cell>
          <cell r="Y1198" t="str">
            <v>KEW</v>
          </cell>
          <cell r="Z1198" t="str">
            <v>16/08/2013</v>
          </cell>
          <cell r="AA1198" t="str">
            <v>15/08/2015</v>
          </cell>
          <cell r="AB1198" t="str">
            <v>No</v>
          </cell>
          <cell r="AC1198" t="str">
            <v>31/08/2013</v>
          </cell>
          <cell r="AD1198" t="str">
            <v>Good</v>
          </cell>
          <cell r="AE1198" t="str">
            <v>V1 - Existing / No Claim</v>
          </cell>
          <cell r="AF1198">
            <v>42235</v>
          </cell>
          <cell r="AG1198">
            <v>9.17</v>
          </cell>
          <cell r="AH1198" t="str">
            <v>PPM</v>
          </cell>
          <cell r="AI1198" t="str">
            <v>Strands</v>
          </cell>
          <cell r="AJ1198" t="str">
            <v>Strands PW</v>
          </cell>
        </row>
        <row r="1199">
          <cell r="A1199" t="str">
            <v>IKN400804</v>
          </cell>
          <cell r="B1199">
            <v>804</v>
          </cell>
          <cell r="C1199" t="str">
            <v>Institut Kanser Negara</v>
          </cell>
          <cell r="D1199" t="str">
            <v>KKM/IKN/H/13/2505</v>
          </cell>
          <cell r="E1199" t="str">
            <v>16-331</v>
          </cell>
          <cell r="F1199" t="str">
            <v>Intubation Scopes, Flexible Fiberoptic</v>
          </cell>
          <cell r="G1199" t="str">
            <v>OT</v>
          </cell>
          <cell r="H1199" t="str">
            <v>OPERATING THEATRE</v>
          </cell>
          <cell r="I1199" t="str">
            <v>05OT169</v>
          </cell>
          <cell r="J1199" t="str">
            <v>EQ. ROOM</v>
          </cell>
          <cell r="K1199" t="str">
            <v>BMED</v>
          </cell>
          <cell r="L1199" t="str">
            <v>Normal</v>
          </cell>
          <cell r="M1199" t="str">
            <v>Japan</v>
          </cell>
          <cell r="N1199" t="str">
            <v>Olympus</v>
          </cell>
          <cell r="O1199" t="str">
            <v>Olympus LF-GP</v>
          </cell>
          <cell r="P1199" t="str">
            <v>2219460/7233400</v>
          </cell>
          <cell r="Q1199" t="str">
            <v>Not Applicable</v>
          </cell>
          <cell r="R1199" t="str">
            <v>Olympus Optical Co Ltd</v>
          </cell>
          <cell r="S1199" t="str">
            <v>Endodynamics</v>
          </cell>
          <cell r="T1199" t="str">
            <v>Functioning</v>
          </cell>
          <cell r="U1199" t="str">
            <v>Asset</v>
          </cell>
          <cell r="V1199">
            <v>38360</v>
          </cell>
          <cell r="W1199" t="str">
            <v>KEW</v>
          </cell>
          <cell r="X1199" t="str">
            <v>01/09/2010</v>
          </cell>
          <cell r="Y1199" t="str">
            <v>KEW</v>
          </cell>
          <cell r="Z1199" t="str">
            <v>16/08/2013</v>
          </cell>
          <cell r="AA1199" t="str">
            <v>15/08/2015</v>
          </cell>
          <cell r="AB1199" t="str">
            <v>No</v>
          </cell>
          <cell r="AC1199" t="str">
            <v>31/08/2013</v>
          </cell>
          <cell r="AD1199" t="str">
            <v>Good</v>
          </cell>
          <cell r="AE1199" t="str">
            <v>V1 - Existing / No Claim</v>
          </cell>
          <cell r="AF1199">
            <v>42803</v>
          </cell>
          <cell r="AG1199">
            <v>9.17</v>
          </cell>
          <cell r="AH1199" t="str">
            <v>PPM</v>
          </cell>
          <cell r="AI1199" t="str">
            <v>Strands</v>
          </cell>
          <cell r="AJ1199" t="str">
            <v>Strands PW</v>
          </cell>
        </row>
        <row r="1200">
          <cell r="A1200" t="str">
            <v>IKN400805</v>
          </cell>
          <cell r="B1200">
            <v>805</v>
          </cell>
          <cell r="C1200" t="str">
            <v>Institut Kanser Negara</v>
          </cell>
          <cell r="D1200" t="str">
            <v>KKM/IKN/H/13/2500</v>
          </cell>
          <cell r="E1200" t="str">
            <v>16-331</v>
          </cell>
          <cell r="F1200" t="str">
            <v>Intubation Scopes, Flexible Fiberoptic</v>
          </cell>
          <cell r="G1200" t="str">
            <v>OT</v>
          </cell>
          <cell r="H1200" t="str">
            <v>OPERATING THEATRE</v>
          </cell>
          <cell r="I1200" t="str">
            <v>05OT169</v>
          </cell>
          <cell r="J1200" t="str">
            <v>EQ. ROOM</v>
          </cell>
          <cell r="K1200" t="str">
            <v>BMED</v>
          </cell>
          <cell r="L1200" t="str">
            <v>Normal</v>
          </cell>
          <cell r="M1200" t="str">
            <v>Japan</v>
          </cell>
          <cell r="N1200" t="str">
            <v>Olympus Jap</v>
          </cell>
          <cell r="O1200" t="str">
            <v>Lf-P/Clh-Sc</v>
          </cell>
          <cell r="P1200" t="str">
            <v>2221815/7233402</v>
          </cell>
          <cell r="Q1200" t="str">
            <v>Not Applicable</v>
          </cell>
          <cell r="R1200" t="str">
            <v>Olympus Jap</v>
          </cell>
          <cell r="S1200" t="str">
            <v>Endodynamics</v>
          </cell>
          <cell r="T1200" t="str">
            <v>Functioning</v>
          </cell>
          <cell r="U1200" t="str">
            <v>Asset</v>
          </cell>
          <cell r="V1200">
            <v>38575</v>
          </cell>
          <cell r="W1200" t="str">
            <v>KEW</v>
          </cell>
          <cell r="X1200" t="str">
            <v>01/09/2010</v>
          </cell>
          <cell r="Y1200" t="str">
            <v>KEW</v>
          </cell>
          <cell r="Z1200" t="str">
            <v>16/08/2013</v>
          </cell>
          <cell r="AA1200" t="str">
            <v>15/08/2015</v>
          </cell>
          <cell r="AB1200" t="str">
            <v>No</v>
          </cell>
          <cell r="AC1200" t="str">
            <v>31/08/2013</v>
          </cell>
          <cell r="AD1200" t="str">
            <v>Good</v>
          </cell>
          <cell r="AE1200" t="str">
            <v>V1 - Existing / No Claim</v>
          </cell>
          <cell r="AF1200">
            <v>42422</v>
          </cell>
          <cell r="AG1200">
            <v>9.17</v>
          </cell>
          <cell r="AH1200" t="str">
            <v>PPM</v>
          </cell>
          <cell r="AI1200" t="str">
            <v>Strands</v>
          </cell>
          <cell r="AJ1200" t="str">
            <v>Strands PW</v>
          </cell>
        </row>
        <row r="1201">
          <cell r="A1201" t="str">
            <v>IKN400806</v>
          </cell>
          <cell r="B1201">
            <v>806</v>
          </cell>
          <cell r="C1201" t="str">
            <v>Institut Kanser Negara</v>
          </cell>
          <cell r="D1201" t="str">
            <v>KKM/IKN/H/13/2489</v>
          </cell>
          <cell r="E1201" t="str">
            <v>17-144</v>
          </cell>
          <cell r="F1201" t="str">
            <v>Cystoscopes, Flexible</v>
          </cell>
          <cell r="G1201" t="str">
            <v>RT</v>
          </cell>
          <cell r="H1201" t="str">
            <v>RADIATION TREATMENT UNIT</v>
          </cell>
          <cell r="I1201" t="str">
            <v>01RT233</v>
          </cell>
          <cell r="J1201" t="str">
            <v>EQ ROOM</v>
          </cell>
          <cell r="K1201" t="str">
            <v>BMED</v>
          </cell>
          <cell r="L1201" t="str">
            <v>Critical</v>
          </cell>
          <cell r="M1201" t="str">
            <v>Germany</v>
          </cell>
          <cell r="N1201" t="str">
            <v>Karl Storz</v>
          </cell>
          <cell r="O1201" t="str">
            <v>Karl Storz 11272C1</v>
          </cell>
          <cell r="P1201" t="str">
            <v>12085</v>
          </cell>
          <cell r="Q1201" t="str">
            <v>Not Applicable</v>
          </cell>
          <cell r="R1201" t="str">
            <v>Karl Storz GmbH</v>
          </cell>
          <cell r="S1201" t="str">
            <v>UMMI Surgical Sdn Bhd</v>
          </cell>
          <cell r="T1201" t="str">
            <v>Functioning</v>
          </cell>
          <cell r="U1201" t="str">
            <v>Asset</v>
          </cell>
          <cell r="V1201">
            <v>37408</v>
          </cell>
          <cell r="W1201" t="str">
            <v>KEW</v>
          </cell>
          <cell r="X1201" t="str">
            <v>01/09/2010</v>
          </cell>
          <cell r="Y1201" t="str">
            <v>KEW</v>
          </cell>
          <cell r="Z1201" t="str">
            <v>16/08/2013</v>
          </cell>
          <cell r="AA1201" t="str">
            <v>15/08/2015</v>
          </cell>
          <cell r="AB1201" t="str">
            <v>No</v>
          </cell>
          <cell r="AC1201" t="str">
            <v>31/08/2013</v>
          </cell>
          <cell r="AD1201" t="str">
            <v>Good</v>
          </cell>
          <cell r="AE1201" t="str">
            <v>V1 - Existing / No Claim</v>
          </cell>
          <cell r="AF1201">
            <v>42697</v>
          </cell>
          <cell r="AG1201">
            <v>9.17</v>
          </cell>
          <cell r="AH1201" t="str">
            <v>PPM</v>
          </cell>
          <cell r="AI1201" t="str">
            <v>Strands</v>
          </cell>
          <cell r="AJ1201" t="str">
            <v>Strands PW</v>
          </cell>
        </row>
        <row r="1202">
          <cell r="A1202" t="str">
            <v>IKN400807</v>
          </cell>
          <cell r="B1202">
            <v>807</v>
          </cell>
          <cell r="C1202" t="str">
            <v>Institut Kanser Negara</v>
          </cell>
          <cell r="D1202" t="str">
            <v>KKM/IKN/H/13/5294</v>
          </cell>
          <cell r="E1202" t="str">
            <v>12-282</v>
          </cell>
          <cell r="F1202" t="str">
            <v>Lights, Surgical</v>
          </cell>
          <cell r="G1202" t="str">
            <v>RT</v>
          </cell>
          <cell r="H1202" t="str">
            <v>RADIATION TREATMENT UNIT</v>
          </cell>
          <cell r="I1202" t="str">
            <v>01RT275</v>
          </cell>
          <cell r="J1202" t="str">
            <v>BRACHY OT 1</v>
          </cell>
          <cell r="K1202" t="str">
            <v>BMED</v>
          </cell>
          <cell r="L1202" t="str">
            <v>Normal</v>
          </cell>
          <cell r="M1202" t="str">
            <v>Germany</v>
          </cell>
          <cell r="N1202" t="str">
            <v>Trumpf</v>
          </cell>
          <cell r="O1202" t="str">
            <v>Trumpf iLED</v>
          </cell>
          <cell r="P1202" t="str">
            <v>101600553/101608461</v>
          </cell>
          <cell r="Q1202" t="str">
            <v>Not Applicable</v>
          </cell>
          <cell r="R1202" t="str">
            <v>Trumpf</v>
          </cell>
          <cell r="S1202" t="str">
            <v>MALAYSIAN HEALTHCARE SDN BHD</v>
          </cell>
          <cell r="T1202" t="str">
            <v>Functioning</v>
          </cell>
          <cell r="U1202" t="str">
            <v>Asset</v>
          </cell>
          <cell r="V1202">
            <v>165550</v>
          </cell>
          <cell r="W1202" t="str">
            <v>KEW</v>
          </cell>
          <cell r="X1202" t="str">
            <v>01/09/2010</v>
          </cell>
          <cell r="Y1202" t="str">
            <v>KEW</v>
          </cell>
          <cell r="Z1202" t="str">
            <v>16/08/2013</v>
          </cell>
          <cell r="AA1202" t="str">
            <v>15/08/2015</v>
          </cell>
          <cell r="AB1202" t="str">
            <v>No</v>
          </cell>
          <cell r="AC1202" t="str">
            <v>31/08/2013</v>
          </cell>
          <cell r="AD1202" t="str">
            <v>Good</v>
          </cell>
          <cell r="AE1202" t="str">
            <v>V1 - Existing / No Claim</v>
          </cell>
          <cell r="AF1202">
            <v>42235</v>
          </cell>
          <cell r="AG1202">
            <v>9.17</v>
          </cell>
          <cell r="AH1202" t="str">
            <v>PPM</v>
          </cell>
          <cell r="AI1202" t="str">
            <v>Strands</v>
          </cell>
          <cell r="AJ1202" t="str">
            <v>Strands PW</v>
          </cell>
        </row>
        <row r="1203">
          <cell r="A1203" t="str">
            <v>IKN400808</v>
          </cell>
          <cell r="B1203">
            <v>808</v>
          </cell>
          <cell r="C1203" t="str">
            <v>Institut Kanser Negara</v>
          </cell>
          <cell r="D1203" t="str">
            <v>KKM/IKN/H/13/5293</v>
          </cell>
          <cell r="E1203" t="str">
            <v>12-282</v>
          </cell>
          <cell r="F1203" t="str">
            <v>Lights, Surgical</v>
          </cell>
          <cell r="G1203" t="str">
            <v>RT</v>
          </cell>
          <cell r="H1203" t="str">
            <v>RADIATION TREATMENT UNIT</v>
          </cell>
          <cell r="I1203" t="str">
            <v>01RT278</v>
          </cell>
          <cell r="J1203" t="str">
            <v>BRACHY OT 2</v>
          </cell>
          <cell r="K1203" t="str">
            <v>BMED</v>
          </cell>
          <cell r="L1203" t="str">
            <v>Normal</v>
          </cell>
          <cell r="M1203" t="str">
            <v>Germany</v>
          </cell>
          <cell r="N1203" t="str">
            <v>Trumpf</v>
          </cell>
          <cell r="O1203" t="str">
            <v>Trumpf iLED</v>
          </cell>
          <cell r="P1203" t="str">
            <v>101608463/101608460</v>
          </cell>
          <cell r="Q1203" t="str">
            <v>Not Applicable</v>
          </cell>
          <cell r="R1203" t="str">
            <v>Trumpf</v>
          </cell>
          <cell r="S1203" t="str">
            <v>MALAYSIAN HEALTHCARE SDN BHD</v>
          </cell>
          <cell r="T1203" t="str">
            <v>Functioning</v>
          </cell>
          <cell r="U1203" t="str">
            <v>Asset</v>
          </cell>
          <cell r="V1203">
            <v>165550</v>
          </cell>
          <cell r="W1203" t="str">
            <v>KEW</v>
          </cell>
          <cell r="X1203" t="str">
            <v>01/09/2010</v>
          </cell>
          <cell r="Y1203" t="str">
            <v>KEW</v>
          </cell>
          <cell r="Z1203" t="str">
            <v>16/08/2013</v>
          </cell>
          <cell r="AA1203" t="str">
            <v>15/08/2015</v>
          </cell>
          <cell r="AB1203" t="str">
            <v>No</v>
          </cell>
          <cell r="AC1203" t="str">
            <v>31/08/2013</v>
          </cell>
          <cell r="AD1203" t="str">
            <v>Good</v>
          </cell>
          <cell r="AE1203" t="str">
            <v>V1 - Existing / No Claim</v>
          </cell>
          <cell r="AF1203">
            <v>42235</v>
          </cell>
          <cell r="AG1203">
            <v>9.17</v>
          </cell>
          <cell r="AH1203" t="str">
            <v>PPM</v>
          </cell>
          <cell r="AI1203" t="str">
            <v>Strands</v>
          </cell>
          <cell r="AJ1203" t="str">
            <v>Strands PW</v>
          </cell>
        </row>
        <row r="1204">
          <cell r="A1204" t="str">
            <v>IKN400809</v>
          </cell>
          <cell r="B1204">
            <v>809</v>
          </cell>
          <cell r="C1204" t="str">
            <v>Institut Kanser Negara</v>
          </cell>
          <cell r="D1204" t="str">
            <v>KKM/IKN/H/13/2636</v>
          </cell>
          <cell r="E1204" t="str">
            <v>12-282</v>
          </cell>
          <cell r="F1204" t="str">
            <v>Lights, Surgical</v>
          </cell>
          <cell r="G1204" t="str">
            <v>RT</v>
          </cell>
          <cell r="H1204" t="str">
            <v>RADIATION TREATMENT UNIT</v>
          </cell>
          <cell r="I1204" t="str">
            <v>01RT233</v>
          </cell>
          <cell r="J1204" t="str">
            <v>EQ ROOM</v>
          </cell>
          <cell r="K1204" t="str">
            <v>BMED</v>
          </cell>
          <cell r="L1204" t="str">
            <v>Normal</v>
          </cell>
          <cell r="M1204" t="str">
            <v>USA</v>
          </cell>
          <cell r="N1204" t="str">
            <v>Welch Allyn</v>
          </cell>
          <cell r="O1204" t="str">
            <v>Welch Allyn GS600</v>
          </cell>
          <cell r="P1204" t="str">
            <v>GS-600-05</v>
          </cell>
          <cell r="Q1204" t="str">
            <v>Not Applicable</v>
          </cell>
          <cell r="R1204" t="str">
            <v>Welch Allyn Inc</v>
          </cell>
          <cell r="S1204" t="str">
            <v>Welch Allyn Malaysia Sdn Bhd</v>
          </cell>
          <cell r="T1204" t="str">
            <v>Functioning</v>
          </cell>
          <cell r="U1204" t="str">
            <v>Asset</v>
          </cell>
          <cell r="V1204">
            <v>5050</v>
          </cell>
          <cell r="W1204" t="str">
            <v>KEW</v>
          </cell>
          <cell r="X1204" t="str">
            <v>01/09/2010</v>
          </cell>
          <cell r="Y1204" t="str">
            <v>KEW</v>
          </cell>
          <cell r="Z1204" t="str">
            <v>16/08/2013</v>
          </cell>
          <cell r="AA1204" t="str">
            <v>15/08/2015</v>
          </cell>
          <cell r="AB1204" t="str">
            <v>No</v>
          </cell>
          <cell r="AC1204" t="str">
            <v>31/08/2013</v>
          </cell>
          <cell r="AD1204" t="str">
            <v>Good</v>
          </cell>
          <cell r="AE1204" t="str">
            <v>V1 - Existing / No Claim</v>
          </cell>
          <cell r="AF1204">
            <v>42235</v>
          </cell>
          <cell r="AG1204">
            <v>9.17</v>
          </cell>
          <cell r="AH1204" t="str">
            <v>PPM</v>
          </cell>
          <cell r="AI1204" t="str">
            <v>Strands</v>
          </cell>
          <cell r="AJ1204" t="str">
            <v>Strands PW</v>
          </cell>
        </row>
        <row r="1205">
          <cell r="A1205" t="str">
            <v>IKN400810</v>
          </cell>
          <cell r="B1205">
            <v>810</v>
          </cell>
          <cell r="C1205" t="str">
            <v>Institut Kanser Negara</v>
          </cell>
          <cell r="D1205" t="str">
            <v>KKM/IKN/H/13/2635</v>
          </cell>
          <cell r="E1205" t="str">
            <v>10-208</v>
          </cell>
          <cell r="F1205" t="str">
            <v>Aspirators</v>
          </cell>
          <cell r="G1205" t="str">
            <v>RT</v>
          </cell>
          <cell r="H1205" t="str">
            <v>RADIATION TREATMENT UNIT</v>
          </cell>
          <cell r="I1205" t="str">
            <v>01RT233</v>
          </cell>
          <cell r="J1205" t="str">
            <v>EQ ROOM</v>
          </cell>
          <cell r="K1205" t="str">
            <v>BMED</v>
          </cell>
          <cell r="L1205" t="str">
            <v>Normal</v>
          </cell>
          <cell r="M1205" t="str">
            <v>Switzerland</v>
          </cell>
          <cell r="N1205" t="str">
            <v>Senator</v>
          </cell>
          <cell r="O1205" t="str">
            <v>Senator</v>
          </cell>
          <cell r="P1205" t="str">
            <v>1220748</v>
          </cell>
          <cell r="Q1205" t="str">
            <v>Not Applicable</v>
          </cell>
          <cell r="R1205" t="str">
            <v>Ardo Medical AG</v>
          </cell>
          <cell r="S1205" t="str">
            <v>Histopoint</v>
          </cell>
          <cell r="T1205" t="str">
            <v>Functioning</v>
          </cell>
          <cell r="U1205" t="str">
            <v>Asset</v>
          </cell>
          <cell r="V1205">
            <v>7580</v>
          </cell>
          <cell r="W1205" t="str">
            <v>KEW</v>
          </cell>
          <cell r="X1205" t="str">
            <v>01/09/2010</v>
          </cell>
          <cell r="Y1205" t="str">
            <v>KEW</v>
          </cell>
          <cell r="Z1205" t="str">
            <v>16/08/2013</v>
          </cell>
          <cell r="AA1205" t="str">
            <v>15/08/2015</v>
          </cell>
          <cell r="AB1205" t="str">
            <v>No</v>
          </cell>
          <cell r="AC1205" t="str">
            <v>31/08/2013</v>
          </cell>
          <cell r="AD1205" t="str">
            <v>Good</v>
          </cell>
          <cell r="AE1205" t="str">
            <v>V1 - Existing / No Claim</v>
          </cell>
          <cell r="AF1205">
            <v>42235</v>
          </cell>
          <cell r="AG1205">
            <v>9.17</v>
          </cell>
          <cell r="AH1205" t="str">
            <v>PPM</v>
          </cell>
          <cell r="AI1205" t="str">
            <v>Strands</v>
          </cell>
          <cell r="AJ1205" t="str">
            <v>Strands PW</v>
          </cell>
        </row>
        <row r="1206">
          <cell r="A1206" t="str">
            <v>IKN400813</v>
          </cell>
          <cell r="B1206">
            <v>813</v>
          </cell>
          <cell r="C1206" t="str">
            <v>Institut Kanser Negara</v>
          </cell>
          <cell r="D1206" t="str">
            <v>KKM/IKN/H/13/2201</v>
          </cell>
          <cell r="E1206" t="str">
            <v>12-647</v>
          </cell>
          <cell r="F1206" t="str">
            <v>Physiologic Monitoring Systems, Acute Care</v>
          </cell>
          <cell r="G1206" t="str">
            <v>RT</v>
          </cell>
          <cell r="H1206" t="str">
            <v>RADIATION TREATMENT UNIT</v>
          </cell>
          <cell r="I1206" t="str">
            <v>01RT238</v>
          </cell>
          <cell r="J1206" t="str">
            <v>PRE-OP</v>
          </cell>
          <cell r="K1206" t="str">
            <v>BMED</v>
          </cell>
          <cell r="L1206" t="str">
            <v>Normal</v>
          </cell>
          <cell r="M1206" t="str">
            <v>USA</v>
          </cell>
          <cell r="N1206" t="str">
            <v>GE</v>
          </cell>
          <cell r="O1206" t="str">
            <v>GE B30</v>
          </cell>
          <cell r="P1206" t="str">
            <v>SF312325912WA</v>
          </cell>
          <cell r="Q1206" t="str">
            <v>Not Applicable</v>
          </cell>
          <cell r="R1206" t="str">
            <v>GE Healthcare Systems</v>
          </cell>
          <cell r="S1206" t="str">
            <v>GE Healthcare Technologies</v>
          </cell>
          <cell r="T1206" t="str">
            <v>Functioning</v>
          </cell>
          <cell r="U1206" t="str">
            <v>Asset</v>
          </cell>
          <cell r="V1206">
            <v>44510</v>
          </cell>
          <cell r="W1206" t="str">
            <v>KEW</v>
          </cell>
          <cell r="X1206" t="str">
            <v>01/09/2010</v>
          </cell>
          <cell r="Y1206" t="str">
            <v>KEW</v>
          </cell>
          <cell r="Z1206" t="str">
            <v>16/08/2013</v>
          </cell>
          <cell r="AA1206" t="str">
            <v>15/08/2015</v>
          </cell>
          <cell r="AB1206" t="str">
            <v>No</v>
          </cell>
          <cell r="AC1206" t="str">
            <v>31/08/2013</v>
          </cell>
          <cell r="AD1206" t="str">
            <v>Good</v>
          </cell>
          <cell r="AE1206" t="str">
            <v>V1 - Existing / No Claim</v>
          </cell>
          <cell r="AF1206">
            <v>42235</v>
          </cell>
          <cell r="AG1206">
            <v>9.17</v>
          </cell>
          <cell r="AH1206" t="str">
            <v>PPM</v>
          </cell>
          <cell r="AI1206" t="str">
            <v>Strands</v>
          </cell>
          <cell r="AJ1206" t="str">
            <v>Strands PW</v>
          </cell>
        </row>
        <row r="1207">
          <cell r="A1207" t="str">
            <v>IKN400814</v>
          </cell>
          <cell r="B1207">
            <v>814</v>
          </cell>
          <cell r="C1207" t="str">
            <v>Institut Kanser Negara</v>
          </cell>
          <cell r="D1207" t="str">
            <v>KKM/IKN/H/13/2202</v>
          </cell>
          <cell r="E1207" t="str">
            <v>12-647</v>
          </cell>
          <cell r="F1207" t="str">
            <v>Physiologic Monitoring Systems, Acute Care</v>
          </cell>
          <cell r="G1207" t="str">
            <v>RT</v>
          </cell>
          <cell r="H1207" t="str">
            <v>RADIATION TREATMENT UNIT</v>
          </cell>
          <cell r="I1207" t="str">
            <v>01RT238</v>
          </cell>
          <cell r="J1207" t="str">
            <v>PRE-OP</v>
          </cell>
          <cell r="K1207" t="str">
            <v>BMED</v>
          </cell>
          <cell r="L1207" t="str">
            <v>Normal</v>
          </cell>
          <cell r="M1207" t="str">
            <v>USA</v>
          </cell>
          <cell r="N1207" t="str">
            <v>GE</v>
          </cell>
          <cell r="O1207" t="str">
            <v>GE B30</v>
          </cell>
          <cell r="P1207" t="str">
            <v>SF312325906WA</v>
          </cell>
          <cell r="Q1207" t="str">
            <v>Not Applicable</v>
          </cell>
          <cell r="R1207" t="str">
            <v>GE Healthcare Systems</v>
          </cell>
          <cell r="S1207" t="str">
            <v>GE Healthcare Technologies</v>
          </cell>
          <cell r="T1207" t="str">
            <v>Functioning</v>
          </cell>
          <cell r="U1207" t="str">
            <v>Asset</v>
          </cell>
          <cell r="V1207">
            <v>44510</v>
          </cell>
          <cell r="W1207" t="str">
            <v>KEW</v>
          </cell>
          <cell r="X1207" t="str">
            <v>01/09/2010</v>
          </cell>
          <cell r="Y1207" t="str">
            <v>KEW</v>
          </cell>
          <cell r="Z1207" t="str">
            <v>16/08/2013</v>
          </cell>
          <cell r="AA1207" t="str">
            <v>15/08/2015</v>
          </cell>
          <cell r="AB1207" t="str">
            <v>No</v>
          </cell>
          <cell r="AC1207" t="str">
            <v>31/08/2013</v>
          </cell>
          <cell r="AD1207" t="str">
            <v>Good</v>
          </cell>
          <cell r="AE1207" t="str">
            <v>V1 - Existing / No Claim</v>
          </cell>
          <cell r="AF1207">
            <v>42235</v>
          </cell>
          <cell r="AG1207">
            <v>9.17</v>
          </cell>
          <cell r="AH1207" t="str">
            <v>PPM</v>
          </cell>
          <cell r="AI1207" t="str">
            <v>Strands</v>
          </cell>
          <cell r="AJ1207" t="str">
            <v>Strands PW</v>
          </cell>
        </row>
        <row r="1208">
          <cell r="A1208" t="str">
            <v>IKN400815</v>
          </cell>
          <cell r="B1208">
            <v>815</v>
          </cell>
          <cell r="C1208" t="str">
            <v>Institut Kanser Negara</v>
          </cell>
          <cell r="D1208" t="str">
            <v>KKM/IKN/H/13/2474</v>
          </cell>
          <cell r="E1208" t="str">
            <v>12-647</v>
          </cell>
          <cell r="F1208" t="str">
            <v>Physiologic Monitoring Systems, Acute Care</v>
          </cell>
          <cell r="G1208" t="str">
            <v>RT</v>
          </cell>
          <cell r="H1208" t="str">
            <v>RADIATION TREATMENT UNIT</v>
          </cell>
          <cell r="I1208" t="str">
            <v>01RT238</v>
          </cell>
          <cell r="J1208" t="str">
            <v>PRE-OP</v>
          </cell>
          <cell r="K1208" t="str">
            <v>BMED</v>
          </cell>
          <cell r="L1208" t="str">
            <v>Normal</v>
          </cell>
          <cell r="M1208" t="str">
            <v>USA</v>
          </cell>
          <cell r="N1208" t="str">
            <v>GE</v>
          </cell>
          <cell r="O1208" t="str">
            <v>GE B30</v>
          </cell>
          <cell r="P1208" t="str">
            <v>SF312325897WA</v>
          </cell>
          <cell r="Q1208" t="str">
            <v>Not Applicable</v>
          </cell>
          <cell r="R1208" t="str">
            <v>GE Healthcare Systems</v>
          </cell>
          <cell r="S1208" t="str">
            <v>GE Healthcare Technologies</v>
          </cell>
          <cell r="T1208" t="str">
            <v>Functioning</v>
          </cell>
          <cell r="U1208" t="str">
            <v>Asset</v>
          </cell>
          <cell r="V1208">
            <v>44510</v>
          </cell>
          <cell r="W1208" t="str">
            <v>KEW</v>
          </cell>
          <cell r="X1208" t="str">
            <v>01/09/2010</v>
          </cell>
          <cell r="Y1208" t="str">
            <v>KEW</v>
          </cell>
          <cell r="Z1208" t="str">
            <v>16/08/2013</v>
          </cell>
          <cell r="AA1208" t="str">
            <v>15/08/2015</v>
          </cell>
          <cell r="AB1208" t="str">
            <v>No</v>
          </cell>
          <cell r="AC1208" t="str">
            <v>31/08/2013</v>
          </cell>
          <cell r="AD1208" t="str">
            <v>Good</v>
          </cell>
          <cell r="AE1208" t="str">
            <v>V1 - Existing / No Claim</v>
          </cell>
          <cell r="AF1208">
            <v>42235</v>
          </cell>
          <cell r="AG1208">
            <v>9.17</v>
          </cell>
          <cell r="AH1208" t="str">
            <v>PPM</v>
          </cell>
          <cell r="AI1208" t="str">
            <v>Strands</v>
          </cell>
          <cell r="AJ1208" t="str">
            <v>Strands PW</v>
          </cell>
        </row>
        <row r="1209">
          <cell r="A1209" t="str">
            <v>IKN400816</v>
          </cell>
          <cell r="B1209">
            <v>816</v>
          </cell>
          <cell r="C1209" t="str">
            <v>Institut Kanser Negara</v>
          </cell>
          <cell r="D1209" t="str">
            <v>KKM/IKN/H/13/2597</v>
          </cell>
          <cell r="E1209" t="str">
            <v>12-647</v>
          </cell>
          <cell r="F1209" t="str">
            <v>Physiologic Monitoring Systems, Acute Care</v>
          </cell>
          <cell r="G1209" t="str">
            <v>RT</v>
          </cell>
          <cell r="H1209" t="str">
            <v>RADIATION TREATMENT UNIT</v>
          </cell>
          <cell r="I1209" t="str">
            <v>01RT238</v>
          </cell>
          <cell r="J1209" t="str">
            <v>PRE-OP</v>
          </cell>
          <cell r="K1209" t="str">
            <v>BMED</v>
          </cell>
          <cell r="L1209" t="str">
            <v>Normal</v>
          </cell>
          <cell r="M1209" t="str">
            <v>USA</v>
          </cell>
          <cell r="N1209" t="str">
            <v>GE</v>
          </cell>
          <cell r="O1209" t="str">
            <v>GE B30</v>
          </cell>
          <cell r="P1209" t="str">
            <v>SF312325899WA</v>
          </cell>
          <cell r="Q1209" t="str">
            <v>Not Applicable</v>
          </cell>
          <cell r="R1209" t="str">
            <v>GE Healthcare Systems</v>
          </cell>
          <cell r="S1209" t="str">
            <v>GE Healthcare Technologies</v>
          </cell>
          <cell r="T1209" t="str">
            <v>Functioning</v>
          </cell>
          <cell r="U1209" t="str">
            <v>Asset</v>
          </cell>
          <cell r="V1209">
            <v>44510</v>
          </cell>
          <cell r="W1209" t="str">
            <v>KEW</v>
          </cell>
          <cell r="X1209" t="str">
            <v>01/09/2010</v>
          </cell>
          <cell r="Y1209" t="str">
            <v>KEW</v>
          </cell>
          <cell r="Z1209" t="str">
            <v>16/08/2013</v>
          </cell>
          <cell r="AA1209" t="str">
            <v>15/08/2015</v>
          </cell>
          <cell r="AB1209" t="str">
            <v>No</v>
          </cell>
          <cell r="AC1209" t="str">
            <v>31/08/2013</v>
          </cell>
          <cell r="AD1209" t="str">
            <v>Good</v>
          </cell>
          <cell r="AE1209" t="str">
            <v>V1 - Existing / No Claim</v>
          </cell>
          <cell r="AF1209">
            <v>42235</v>
          </cell>
          <cell r="AG1209">
            <v>9.17</v>
          </cell>
          <cell r="AH1209" t="str">
            <v>PPM</v>
          </cell>
          <cell r="AI1209" t="str">
            <v>Strands</v>
          </cell>
          <cell r="AJ1209" t="str">
            <v>Strands PW</v>
          </cell>
        </row>
        <row r="1210">
          <cell r="A1210" t="str">
            <v>IKN400817</v>
          </cell>
          <cell r="B1210">
            <v>817</v>
          </cell>
          <cell r="C1210" t="str">
            <v>Institut Kanser Negara</v>
          </cell>
          <cell r="D1210" t="str">
            <v>KKM/IKN/H/13/2534</v>
          </cell>
          <cell r="E1210" t="str">
            <v>17-950</v>
          </cell>
          <cell r="F1210" t="str">
            <v>Warming Units, Patient, Forced-Air</v>
          </cell>
          <cell r="G1210" t="str">
            <v>RT</v>
          </cell>
          <cell r="H1210" t="str">
            <v>RADIATION TREATMENT UNIT</v>
          </cell>
          <cell r="I1210" t="str">
            <v>01RT238</v>
          </cell>
          <cell r="J1210" t="str">
            <v>PRE-OP</v>
          </cell>
          <cell r="K1210" t="str">
            <v>BMED</v>
          </cell>
          <cell r="L1210" t="str">
            <v>Normal</v>
          </cell>
          <cell r="M1210" t="str">
            <v>USA</v>
          </cell>
          <cell r="N1210" t="str">
            <v>Bair Hugger</v>
          </cell>
          <cell r="O1210" t="str">
            <v>Bair Hugger 775</v>
          </cell>
          <cell r="P1210" t="str">
            <v>35927</v>
          </cell>
          <cell r="Q1210" t="str">
            <v>Not Applicable</v>
          </cell>
          <cell r="R1210" t="str">
            <v>Arizant Healthcare Inc</v>
          </cell>
          <cell r="S1210" t="str">
            <v>Calmed Healthcare Sdn Bhd</v>
          </cell>
          <cell r="T1210" t="str">
            <v>Functioning</v>
          </cell>
          <cell r="U1210" t="str">
            <v>Asset</v>
          </cell>
          <cell r="V1210">
            <v>15515</v>
          </cell>
          <cell r="W1210" t="str">
            <v>KEW</v>
          </cell>
          <cell r="X1210" t="str">
            <v>01/09/2010</v>
          </cell>
          <cell r="Y1210" t="str">
            <v>KEW</v>
          </cell>
          <cell r="Z1210" t="str">
            <v>16/08/2013</v>
          </cell>
          <cell r="AA1210" t="str">
            <v>15/08/2015</v>
          </cell>
          <cell r="AB1210" t="str">
            <v>No</v>
          </cell>
          <cell r="AC1210" t="str">
            <v>31/08/2013</v>
          </cell>
          <cell r="AD1210" t="str">
            <v>Good</v>
          </cell>
          <cell r="AE1210" t="str">
            <v>V1 - Existing / No Claim</v>
          </cell>
          <cell r="AF1210">
            <v>42235</v>
          </cell>
          <cell r="AG1210">
            <v>9.17</v>
          </cell>
          <cell r="AH1210" t="str">
            <v>PPM</v>
          </cell>
          <cell r="AI1210" t="str">
            <v>Strands</v>
          </cell>
          <cell r="AJ1210" t="str">
            <v>Strands PW</v>
          </cell>
        </row>
        <row r="1211">
          <cell r="A1211" t="str">
            <v>IKN400818</v>
          </cell>
          <cell r="B1211">
            <v>818</v>
          </cell>
          <cell r="C1211" t="str">
            <v>Institut Kanser Negara</v>
          </cell>
          <cell r="D1211" t="str">
            <v>KKM/IKN/H/13/2535</v>
          </cell>
          <cell r="E1211" t="str">
            <v>17-950</v>
          </cell>
          <cell r="F1211" t="str">
            <v>Warming Units, Patient, Forced-Air</v>
          </cell>
          <cell r="G1211" t="str">
            <v>RT</v>
          </cell>
          <cell r="H1211" t="str">
            <v>RADIATION TREATMENT UNIT</v>
          </cell>
          <cell r="I1211" t="str">
            <v>01RT238</v>
          </cell>
          <cell r="J1211" t="str">
            <v>PRE-OP</v>
          </cell>
          <cell r="K1211" t="str">
            <v>BMED</v>
          </cell>
          <cell r="L1211" t="str">
            <v>Normal</v>
          </cell>
          <cell r="M1211" t="str">
            <v>USA</v>
          </cell>
          <cell r="N1211" t="str">
            <v>Bair Hugger</v>
          </cell>
          <cell r="O1211" t="str">
            <v>Bair Hugger 775</v>
          </cell>
          <cell r="P1211" t="str">
            <v>35928</v>
          </cell>
          <cell r="Q1211" t="str">
            <v>Not Applicable</v>
          </cell>
          <cell r="R1211" t="str">
            <v>Arizant Healthcare Inc</v>
          </cell>
          <cell r="S1211" t="str">
            <v>Calmed Healthcare Sdn Bhd</v>
          </cell>
          <cell r="T1211" t="str">
            <v>Functioning</v>
          </cell>
          <cell r="U1211" t="str">
            <v>Asset</v>
          </cell>
          <cell r="V1211">
            <v>15515</v>
          </cell>
          <cell r="W1211" t="str">
            <v>KEW</v>
          </cell>
          <cell r="X1211" t="str">
            <v>01/09/2010</v>
          </cell>
          <cell r="Y1211" t="str">
            <v>KEW</v>
          </cell>
          <cell r="Z1211" t="str">
            <v>16/08/2013</v>
          </cell>
          <cell r="AA1211" t="str">
            <v>15/08/2015</v>
          </cell>
          <cell r="AB1211" t="str">
            <v>No</v>
          </cell>
          <cell r="AC1211" t="str">
            <v>31/08/2013</v>
          </cell>
          <cell r="AD1211" t="str">
            <v>Good</v>
          </cell>
          <cell r="AE1211" t="str">
            <v>V1 - Existing / No Claim</v>
          </cell>
          <cell r="AF1211">
            <v>42235</v>
          </cell>
          <cell r="AG1211">
            <v>9.17</v>
          </cell>
          <cell r="AH1211" t="str">
            <v>PPM</v>
          </cell>
          <cell r="AI1211" t="str">
            <v>Strands</v>
          </cell>
          <cell r="AJ1211" t="str">
            <v>Strands PW</v>
          </cell>
        </row>
        <row r="1212">
          <cell r="A1212" t="str">
            <v>IKN400819</v>
          </cell>
          <cell r="B1212">
            <v>819</v>
          </cell>
          <cell r="C1212" t="str">
            <v>Institut Kanser Negara</v>
          </cell>
          <cell r="D1212" t="str">
            <v>KKM/IKN/H/13/2598</v>
          </cell>
          <cell r="E1212" t="str">
            <v>12-647</v>
          </cell>
          <cell r="F1212" t="str">
            <v>Physiologic Monitoring Systems, Acute Care</v>
          </cell>
          <cell r="G1212" t="str">
            <v>RT</v>
          </cell>
          <cell r="H1212" t="str">
            <v>RADIATION TREATMENT UNIT</v>
          </cell>
          <cell r="I1212" t="str">
            <v>01RT239</v>
          </cell>
          <cell r="J1212" t="str">
            <v>POST-OP</v>
          </cell>
          <cell r="K1212" t="str">
            <v>BMED</v>
          </cell>
          <cell r="L1212" t="str">
            <v>Normal</v>
          </cell>
          <cell r="M1212" t="str">
            <v>Finland</v>
          </cell>
          <cell r="N1212" t="str">
            <v>CareScape</v>
          </cell>
          <cell r="O1212" t="str">
            <v>CareScape B650</v>
          </cell>
          <cell r="P1212" t="str">
            <v>SEW12357513HA</v>
          </cell>
          <cell r="Q1212" t="str">
            <v>Not Applicable</v>
          </cell>
          <cell r="R1212" t="str">
            <v>GE Medical Systems</v>
          </cell>
          <cell r="S1212" t="str">
            <v>GE Healthcare Technologies</v>
          </cell>
          <cell r="T1212" t="str">
            <v>Functioning</v>
          </cell>
          <cell r="U1212" t="str">
            <v>Asset</v>
          </cell>
          <cell r="V1212">
            <v>87400</v>
          </cell>
          <cell r="W1212" t="str">
            <v>KEW</v>
          </cell>
          <cell r="X1212" t="str">
            <v>01/09/2010</v>
          </cell>
          <cell r="Y1212" t="str">
            <v>KEW</v>
          </cell>
          <cell r="Z1212" t="str">
            <v>16/08/2013</v>
          </cell>
          <cell r="AA1212" t="str">
            <v>15/08/2015</v>
          </cell>
          <cell r="AB1212" t="str">
            <v>No</v>
          </cell>
          <cell r="AC1212" t="str">
            <v>31/08/2013</v>
          </cell>
          <cell r="AD1212" t="str">
            <v>Good</v>
          </cell>
          <cell r="AE1212" t="str">
            <v>V1 - Existing / No Claim</v>
          </cell>
          <cell r="AF1212">
            <v>42235</v>
          </cell>
          <cell r="AG1212">
            <v>9.17</v>
          </cell>
          <cell r="AH1212" t="str">
            <v>PPM</v>
          </cell>
          <cell r="AI1212" t="str">
            <v>Strands</v>
          </cell>
          <cell r="AJ1212" t="str">
            <v>Strands PW</v>
          </cell>
        </row>
        <row r="1213">
          <cell r="A1213" t="str">
            <v>IKN400820</v>
          </cell>
          <cell r="B1213">
            <v>820</v>
          </cell>
          <cell r="C1213" t="str">
            <v>Institut Kanser Negara</v>
          </cell>
          <cell r="D1213" t="str">
            <v>KKM/IKN/H/13/2599</v>
          </cell>
          <cell r="E1213" t="str">
            <v>12-647</v>
          </cell>
          <cell r="F1213" t="str">
            <v>Physiologic Monitoring Systems, Acute Care</v>
          </cell>
          <cell r="G1213" t="str">
            <v>RT</v>
          </cell>
          <cell r="H1213" t="str">
            <v>RADIATION TREATMENT UNIT</v>
          </cell>
          <cell r="I1213" t="str">
            <v>01RT239</v>
          </cell>
          <cell r="J1213" t="str">
            <v>POST-OP</v>
          </cell>
          <cell r="K1213" t="str">
            <v>BMED</v>
          </cell>
          <cell r="L1213" t="str">
            <v>Normal</v>
          </cell>
          <cell r="M1213" t="str">
            <v>Finland</v>
          </cell>
          <cell r="N1213" t="str">
            <v>CareScape</v>
          </cell>
          <cell r="O1213" t="str">
            <v>CareScape B650</v>
          </cell>
          <cell r="P1213" t="str">
            <v>SEW12357503HA</v>
          </cell>
          <cell r="Q1213" t="str">
            <v>Not Applicable</v>
          </cell>
          <cell r="R1213" t="str">
            <v>GE Medical Systems</v>
          </cell>
          <cell r="S1213" t="str">
            <v>GE Healthcare Technologies</v>
          </cell>
          <cell r="T1213" t="str">
            <v>Functioning</v>
          </cell>
          <cell r="U1213" t="str">
            <v>Asset</v>
          </cell>
          <cell r="V1213">
            <v>87400</v>
          </cell>
          <cell r="W1213" t="str">
            <v>KEW</v>
          </cell>
          <cell r="X1213" t="str">
            <v>01/09/2010</v>
          </cell>
          <cell r="Y1213" t="str">
            <v>KEW</v>
          </cell>
          <cell r="Z1213" t="str">
            <v>16/08/2013</v>
          </cell>
          <cell r="AA1213" t="str">
            <v>15/08/2015</v>
          </cell>
          <cell r="AB1213" t="str">
            <v>No</v>
          </cell>
          <cell r="AC1213" t="str">
            <v>31/08/2013</v>
          </cell>
          <cell r="AD1213" t="str">
            <v>Good</v>
          </cell>
          <cell r="AE1213" t="str">
            <v>V1 - Existing / No Claim</v>
          </cell>
          <cell r="AF1213">
            <v>42235</v>
          </cell>
          <cell r="AG1213">
            <v>9.17</v>
          </cell>
          <cell r="AH1213" t="str">
            <v>PPM</v>
          </cell>
          <cell r="AI1213" t="str">
            <v>Strands</v>
          </cell>
          <cell r="AJ1213" t="str">
            <v>Strands PW</v>
          </cell>
        </row>
        <row r="1214">
          <cell r="A1214" t="str">
            <v>IKN400821</v>
          </cell>
          <cell r="B1214">
            <v>821</v>
          </cell>
          <cell r="C1214" t="str">
            <v>Institut Kanser Negara</v>
          </cell>
          <cell r="D1214" t="str">
            <v>KKM/IKN/H/13/2600</v>
          </cell>
          <cell r="E1214" t="str">
            <v>12-647</v>
          </cell>
          <cell r="F1214" t="str">
            <v>Physiologic Monitoring Systems, Acute Care</v>
          </cell>
          <cell r="G1214" t="str">
            <v>RT</v>
          </cell>
          <cell r="H1214" t="str">
            <v>RADIATION TREATMENT UNIT</v>
          </cell>
          <cell r="I1214" t="str">
            <v>01RT239</v>
          </cell>
          <cell r="J1214" t="str">
            <v>POST-OP</v>
          </cell>
          <cell r="K1214" t="str">
            <v>BMED</v>
          </cell>
          <cell r="L1214" t="str">
            <v>Normal</v>
          </cell>
          <cell r="M1214" t="str">
            <v>Finland</v>
          </cell>
          <cell r="N1214" t="str">
            <v>CareScape</v>
          </cell>
          <cell r="O1214" t="str">
            <v>CareScape B650</v>
          </cell>
          <cell r="P1214" t="str">
            <v>SEW12357502HA</v>
          </cell>
          <cell r="Q1214" t="str">
            <v>Not Applicable</v>
          </cell>
          <cell r="R1214" t="str">
            <v>GE Medical Systems</v>
          </cell>
          <cell r="S1214" t="str">
            <v>GE Healthcare Technologies</v>
          </cell>
          <cell r="T1214" t="str">
            <v>Functioning</v>
          </cell>
          <cell r="U1214" t="str">
            <v>Asset</v>
          </cell>
          <cell r="V1214">
            <v>87400</v>
          </cell>
          <cell r="W1214" t="str">
            <v>KEW</v>
          </cell>
          <cell r="X1214" t="str">
            <v>01/09/2010</v>
          </cell>
          <cell r="Y1214" t="str">
            <v>KEW</v>
          </cell>
          <cell r="Z1214" t="str">
            <v>16/08/2013</v>
          </cell>
          <cell r="AA1214" t="str">
            <v>15/08/2015</v>
          </cell>
          <cell r="AB1214" t="str">
            <v>No</v>
          </cell>
          <cell r="AC1214" t="str">
            <v>31/08/2013</v>
          </cell>
          <cell r="AD1214" t="str">
            <v>Good</v>
          </cell>
          <cell r="AE1214" t="str">
            <v>V1 - Existing / No Claim</v>
          </cell>
          <cell r="AF1214">
            <v>42235</v>
          </cell>
          <cell r="AG1214">
            <v>9.17</v>
          </cell>
          <cell r="AH1214" t="str">
            <v>PPM</v>
          </cell>
          <cell r="AI1214" t="str">
            <v>Strands</v>
          </cell>
          <cell r="AJ1214" t="str">
            <v>Strands PW</v>
          </cell>
        </row>
        <row r="1215">
          <cell r="A1215" t="str">
            <v>IKN400822</v>
          </cell>
          <cell r="B1215">
            <v>822</v>
          </cell>
          <cell r="C1215" t="str">
            <v>Institut Kanser Negara</v>
          </cell>
          <cell r="D1215" t="str">
            <v>KKM/IKN/H/13/2601</v>
          </cell>
          <cell r="E1215" t="str">
            <v>12-647</v>
          </cell>
          <cell r="F1215" t="str">
            <v>Physiologic Monitoring Systems, Acute Care</v>
          </cell>
          <cell r="G1215" t="str">
            <v>RT</v>
          </cell>
          <cell r="H1215" t="str">
            <v>RADIATION TREATMENT UNIT</v>
          </cell>
          <cell r="I1215" t="str">
            <v>01RT239</v>
          </cell>
          <cell r="J1215" t="str">
            <v>POST-OP</v>
          </cell>
          <cell r="K1215" t="str">
            <v>BMED</v>
          </cell>
          <cell r="L1215" t="str">
            <v>Normal</v>
          </cell>
          <cell r="M1215" t="str">
            <v>Finland</v>
          </cell>
          <cell r="N1215" t="str">
            <v>CareScape</v>
          </cell>
          <cell r="O1215" t="str">
            <v>CareScape B650</v>
          </cell>
          <cell r="P1215" t="str">
            <v>SEW12357512HA</v>
          </cell>
          <cell r="Q1215" t="str">
            <v>Not Applicable</v>
          </cell>
          <cell r="R1215" t="str">
            <v>GE Medical Systems</v>
          </cell>
          <cell r="S1215" t="str">
            <v>GE Healthcare Technologies</v>
          </cell>
          <cell r="T1215" t="str">
            <v>Functioning</v>
          </cell>
          <cell r="U1215" t="str">
            <v>Asset</v>
          </cell>
          <cell r="V1215">
            <v>87400</v>
          </cell>
          <cell r="W1215" t="str">
            <v>KEW</v>
          </cell>
          <cell r="X1215" t="str">
            <v>01/09/2010</v>
          </cell>
          <cell r="Y1215" t="str">
            <v>KEW</v>
          </cell>
          <cell r="Z1215" t="str">
            <v>16/08/2013</v>
          </cell>
          <cell r="AA1215" t="str">
            <v>15/08/2015</v>
          </cell>
          <cell r="AB1215" t="str">
            <v>No</v>
          </cell>
          <cell r="AC1215" t="str">
            <v>31/08/2013</v>
          </cell>
          <cell r="AD1215" t="str">
            <v>Good</v>
          </cell>
          <cell r="AE1215" t="str">
            <v>V1 - Existing / No Claim</v>
          </cell>
          <cell r="AF1215">
            <v>42235</v>
          </cell>
          <cell r="AG1215">
            <v>9.17</v>
          </cell>
          <cell r="AH1215" t="str">
            <v>PPM</v>
          </cell>
          <cell r="AI1215" t="str">
            <v>Strands</v>
          </cell>
          <cell r="AJ1215" t="str">
            <v>Strands PW</v>
          </cell>
        </row>
        <row r="1216">
          <cell r="A1216" t="str">
            <v>IKN400823</v>
          </cell>
          <cell r="B1216">
            <v>823</v>
          </cell>
          <cell r="C1216" t="str">
            <v>Institut Kanser Negara</v>
          </cell>
          <cell r="D1216" t="str">
            <v>KKM/IKN/H/13/2625</v>
          </cell>
          <cell r="E1216" t="str">
            <v>13-249</v>
          </cell>
          <cell r="F1216" t="str">
            <v>Warming Units, Patient, Radiant, Adult</v>
          </cell>
          <cell r="G1216" t="str">
            <v>RT</v>
          </cell>
          <cell r="H1216" t="str">
            <v>RADIATION TREATMENT UNIT</v>
          </cell>
          <cell r="I1216" t="str">
            <v>01RT239</v>
          </cell>
          <cell r="J1216" t="str">
            <v>POST-OP</v>
          </cell>
          <cell r="K1216" t="str">
            <v>BMED</v>
          </cell>
          <cell r="L1216" t="str">
            <v>Normal</v>
          </cell>
          <cell r="M1216" t="str">
            <v>Sweden</v>
          </cell>
          <cell r="N1216" t="str">
            <v>Aragona</v>
          </cell>
          <cell r="O1216" t="str">
            <v>Aragona MTC-410</v>
          </cell>
          <cell r="P1216" t="str">
            <v>1202</v>
          </cell>
          <cell r="Q1216" t="str">
            <v>Not Applicable</v>
          </cell>
          <cell r="R1216" t="str">
            <v>Aspira Medical AB</v>
          </cell>
          <cell r="S1216" t="str">
            <v>Perniagaan Med Tech</v>
          </cell>
          <cell r="T1216" t="str">
            <v>Functioning</v>
          </cell>
          <cell r="U1216" t="str">
            <v>Asset</v>
          </cell>
          <cell r="V1216">
            <v>12630</v>
          </cell>
          <cell r="W1216" t="str">
            <v>KEW</v>
          </cell>
          <cell r="X1216" t="str">
            <v>01/09/2010</v>
          </cell>
          <cell r="Y1216" t="str">
            <v>KEW</v>
          </cell>
          <cell r="Z1216" t="str">
            <v>16/08/2013</v>
          </cell>
          <cell r="AA1216" t="str">
            <v>15/08/2015</v>
          </cell>
          <cell r="AB1216" t="str">
            <v>No</v>
          </cell>
          <cell r="AC1216" t="str">
            <v>31/08/2013</v>
          </cell>
          <cell r="AD1216" t="str">
            <v>Good</v>
          </cell>
          <cell r="AE1216" t="str">
            <v>V1 - Existing / No Claim</v>
          </cell>
          <cell r="AF1216">
            <v>42235</v>
          </cell>
          <cell r="AG1216">
            <v>9.17</v>
          </cell>
          <cell r="AH1216" t="str">
            <v>PPM</v>
          </cell>
          <cell r="AI1216" t="str">
            <v>Strands</v>
          </cell>
          <cell r="AJ1216" t="str">
            <v>Strands PW</v>
          </cell>
        </row>
        <row r="1217">
          <cell r="A1217" t="str">
            <v>IKN400824</v>
          </cell>
          <cell r="B1217">
            <v>824</v>
          </cell>
          <cell r="C1217" t="str">
            <v>Institut Kanser Negara</v>
          </cell>
          <cell r="D1217" t="str">
            <v>KKM/IKN/H/13/3376</v>
          </cell>
          <cell r="E1217" t="str">
            <v>16-173</v>
          </cell>
          <cell r="F1217" t="str">
            <v>Sphygmomanometers, Electronic, Automatic</v>
          </cell>
          <cell r="G1217" t="str">
            <v>RT</v>
          </cell>
          <cell r="H1217" t="str">
            <v>RADIATION TREATMENT UNIT</v>
          </cell>
          <cell r="I1217" t="str">
            <v>01RT243</v>
          </cell>
          <cell r="J1217" t="str">
            <v>NURSE STATION</v>
          </cell>
          <cell r="K1217" t="str">
            <v>BMED</v>
          </cell>
          <cell r="L1217" t="str">
            <v>Normal</v>
          </cell>
          <cell r="M1217" t="str">
            <v>USA</v>
          </cell>
          <cell r="N1217" t="str">
            <v>Connex</v>
          </cell>
          <cell r="O1217" t="str">
            <v>Connex ProBP 3400</v>
          </cell>
          <cell r="P1217" t="str">
            <v>100001450613</v>
          </cell>
          <cell r="Q1217" t="str">
            <v>Not Applicable</v>
          </cell>
          <cell r="R1217" t="str">
            <v>Welch Allyn Inc</v>
          </cell>
          <cell r="S1217" t="str">
            <v>Welch Allyn Malaysia Sdn Bhd</v>
          </cell>
          <cell r="T1217" t="str">
            <v>Functioning</v>
          </cell>
          <cell r="U1217" t="str">
            <v>Asset</v>
          </cell>
          <cell r="V1217">
            <v>4510</v>
          </cell>
          <cell r="W1217" t="str">
            <v>KEW</v>
          </cell>
          <cell r="X1217" t="str">
            <v>01/09/2010</v>
          </cell>
          <cell r="Y1217" t="str">
            <v>KEW</v>
          </cell>
          <cell r="Z1217" t="str">
            <v>16/08/2013</v>
          </cell>
          <cell r="AA1217" t="str">
            <v>15/08/2015</v>
          </cell>
          <cell r="AB1217" t="str">
            <v>No</v>
          </cell>
          <cell r="AC1217" t="str">
            <v>31/08/2013</v>
          </cell>
          <cell r="AD1217" t="str">
            <v>Good</v>
          </cell>
          <cell r="AE1217" t="str">
            <v>V1 - Existing / No Claim</v>
          </cell>
          <cell r="AF1217">
            <v>42235</v>
          </cell>
          <cell r="AG1217">
            <v>9.17</v>
          </cell>
          <cell r="AH1217" t="str">
            <v>PPM</v>
          </cell>
          <cell r="AI1217" t="str">
            <v>Strands</v>
          </cell>
          <cell r="AJ1217" t="str">
            <v>Strands PW</v>
          </cell>
        </row>
        <row r="1218">
          <cell r="A1218" t="str">
            <v>IKN400825</v>
          </cell>
          <cell r="B1218">
            <v>825</v>
          </cell>
          <cell r="C1218" t="str">
            <v>Institut Kanser Negara</v>
          </cell>
          <cell r="D1218" t="str">
            <v>KKM/IKN/H/13/3377</v>
          </cell>
          <cell r="E1218" t="str">
            <v>16-173</v>
          </cell>
          <cell r="F1218" t="str">
            <v>Sphygmomanometers, Electronic, Automatic</v>
          </cell>
          <cell r="G1218" t="str">
            <v>RT</v>
          </cell>
          <cell r="H1218" t="str">
            <v>RADIATION TREATMENT UNIT</v>
          </cell>
          <cell r="I1218" t="str">
            <v>01RT243</v>
          </cell>
          <cell r="J1218" t="str">
            <v>NURSE STATION</v>
          </cell>
          <cell r="K1218" t="str">
            <v>BMED</v>
          </cell>
          <cell r="L1218" t="str">
            <v>Normal</v>
          </cell>
          <cell r="M1218" t="str">
            <v>USA</v>
          </cell>
          <cell r="N1218" t="str">
            <v>Connex</v>
          </cell>
          <cell r="O1218" t="str">
            <v>Connex ProBP 3400</v>
          </cell>
          <cell r="P1218" t="str">
            <v>100002153912</v>
          </cell>
          <cell r="Q1218" t="str">
            <v>Not Applicable</v>
          </cell>
          <cell r="R1218" t="str">
            <v>Welch Allyn Inc</v>
          </cell>
          <cell r="S1218" t="str">
            <v>Welch Allyn Malaysia Sdn Bhd</v>
          </cell>
          <cell r="T1218" t="str">
            <v>Functioning</v>
          </cell>
          <cell r="U1218" t="str">
            <v>Asset</v>
          </cell>
          <cell r="V1218">
            <v>4510</v>
          </cell>
          <cell r="W1218" t="str">
            <v>KEW</v>
          </cell>
          <cell r="X1218" t="str">
            <v>01/09/2010</v>
          </cell>
          <cell r="Y1218" t="str">
            <v>KEW</v>
          </cell>
          <cell r="Z1218" t="str">
            <v>16/08/2013</v>
          </cell>
          <cell r="AA1218" t="str">
            <v>15/08/2015</v>
          </cell>
          <cell r="AB1218" t="str">
            <v>No</v>
          </cell>
          <cell r="AC1218" t="str">
            <v>31/08/2013</v>
          </cell>
          <cell r="AD1218" t="str">
            <v>Good</v>
          </cell>
          <cell r="AE1218" t="str">
            <v>V1 - Existing / No Claim</v>
          </cell>
          <cell r="AF1218">
            <v>42235</v>
          </cell>
          <cell r="AG1218">
            <v>9.17</v>
          </cell>
          <cell r="AH1218" t="str">
            <v>PPM</v>
          </cell>
          <cell r="AI1218" t="str">
            <v>Strands</v>
          </cell>
          <cell r="AJ1218" t="str">
            <v>Strands PW</v>
          </cell>
        </row>
        <row r="1219">
          <cell r="A1219" t="str">
            <v>IKN400826</v>
          </cell>
          <cell r="B1219">
            <v>826</v>
          </cell>
          <cell r="C1219" t="str">
            <v>Institut Kanser Negara</v>
          </cell>
          <cell r="D1219" t="str">
            <v>KKM/IKN/H/13/2543</v>
          </cell>
          <cell r="E1219" t="str">
            <v>17-950</v>
          </cell>
          <cell r="F1219" t="str">
            <v>Warming Units, Patient, Forced-Air</v>
          </cell>
          <cell r="G1219" t="str">
            <v>RT</v>
          </cell>
          <cell r="H1219" t="str">
            <v>RADIATION TREATMENT UNIT</v>
          </cell>
          <cell r="I1219" t="str">
            <v>01RT239</v>
          </cell>
          <cell r="J1219" t="str">
            <v>POST-OP</v>
          </cell>
          <cell r="K1219" t="str">
            <v>BMED</v>
          </cell>
          <cell r="L1219" t="str">
            <v>Normal</v>
          </cell>
          <cell r="M1219" t="str">
            <v>USA</v>
          </cell>
          <cell r="N1219" t="str">
            <v>Bair Hugger</v>
          </cell>
          <cell r="O1219" t="str">
            <v>Bair Hugger 775</v>
          </cell>
          <cell r="P1219" t="str">
            <v>36863</v>
          </cell>
          <cell r="Q1219" t="str">
            <v>Not Applicable</v>
          </cell>
          <cell r="R1219" t="str">
            <v>Arizant Healthcare Inc</v>
          </cell>
          <cell r="S1219" t="str">
            <v>Calmed Healthcare Sdn Bhd</v>
          </cell>
          <cell r="T1219" t="str">
            <v>Functioning</v>
          </cell>
          <cell r="U1219" t="str">
            <v>Asset</v>
          </cell>
          <cell r="V1219">
            <v>15515</v>
          </cell>
          <cell r="W1219" t="str">
            <v>KEW</v>
          </cell>
          <cell r="X1219" t="str">
            <v>01/09/2010</v>
          </cell>
          <cell r="Y1219" t="str">
            <v>KEW</v>
          </cell>
          <cell r="Z1219" t="str">
            <v>16/08/2013</v>
          </cell>
          <cell r="AA1219" t="str">
            <v>15/08/2015</v>
          </cell>
          <cell r="AB1219" t="str">
            <v>No</v>
          </cell>
          <cell r="AC1219" t="str">
            <v>31/08/2013</v>
          </cell>
          <cell r="AD1219" t="str">
            <v>Good</v>
          </cell>
          <cell r="AE1219" t="str">
            <v>V1 - Existing / No Claim</v>
          </cell>
          <cell r="AF1219">
            <v>42235</v>
          </cell>
          <cell r="AG1219">
            <v>9.17</v>
          </cell>
          <cell r="AH1219" t="str">
            <v>PPM</v>
          </cell>
          <cell r="AI1219" t="str">
            <v>Strands</v>
          </cell>
          <cell r="AJ1219" t="str">
            <v>Strands PW</v>
          </cell>
        </row>
        <row r="1220">
          <cell r="A1220" t="str">
            <v>IKN400827</v>
          </cell>
          <cell r="B1220">
            <v>827</v>
          </cell>
          <cell r="C1220" t="str">
            <v>Institut Kanser Negara</v>
          </cell>
          <cell r="D1220" t="str">
            <v>KKM/IKN/H/13/3249</v>
          </cell>
          <cell r="E1220" t="str">
            <v>10-447</v>
          </cell>
          <cell r="F1220" t="str">
            <v>Warming Units, Blood/Solution</v>
          </cell>
          <cell r="G1220" t="str">
            <v>RT</v>
          </cell>
          <cell r="H1220" t="str">
            <v>RADIATION TREATMENT UNIT</v>
          </cell>
          <cell r="I1220" t="str">
            <v>01RT275</v>
          </cell>
          <cell r="J1220" t="str">
            <v>BRACHY OT 1</v>
          </cell>
          <cell r="K1220" t="str">
            <v>BMED</v>
          </cell>
          <cell r="L1220" t="str">
            <v>Normal</v>
          </cell>
          <cell r="M1220" t="str">
            <v>USA</v>
          </cell>
          <cell r="N1220" t="str">
            <v>Hotline</v>
          </cell>
          <cell r="O1220" t="str">
            <v>Hotline HL-90</v>
          </cell>
          <cell r="P1220" t="str">
            <v>S101B00813</v>
          </cell>
          <cell r="Q1220" t="str">
            <v>Not Applicable</v>
          </cell>
          <cell r="R1220" t="str">
            <v>Level 1 Technologies Inc</v>
          </cell>
          <cell r="S1220" t="str">
            <v>Primed Medical Services Sdn Bhd</v>
          </cell>
          <cell r="T1220" t="str">
            <v>Functioning</v>
          </cell>
          <cell r="U1220" t="str">
            <v>Asset</v>
          </cell>
          <cell r="V1220">
            <v>15395</v>
          </cell>
          <cell r="W1220" t="str">
            <v>KEW</v>
          </cell>
          <cell r="X1220" t="str">
            <v>01/09/2010</v>
          </cell>
          <cell r="Y1220" t="str">
            <v>KEW</v>
          </cell>
          <cell r="Z1220" t="str">
            <v>16/08/2013</v>
          </cell>
          <cell r="AA1220" t="str">
            <v>15/08/2015</v>
          </cell>
          <cell r="AB1220" t="str">
            <v>No</v>
          </cell>
          <cell r="AC1220" t="str">
            <v>31/08/2013</v>
          </cell>
          <cell r="AD1220" t="str">
            <v>Good</v>
          </cell>
          <cell r="AE1220" t="str">
            <v>V1 - Existing / No Claim</v>
          </cell>
          <cell r="AF1220">
            <v>42235</v>
          </cell>
          <cell r="AG1220">
            <v>9.17</v>
          </cell>
          <cell r="AH1220" t="str">
            <v>PPM</v>
          </cell>
          <cell r="AI1220" t="str">
            <v>Strands</v>
          </cell>
          <cell r="AJ1220" t="str">
            <v>Strands PW</v>
          </cell>
        </row>
        <row r="1221">
          <cell r="A1221" t="str">
            <v>IKN400828</v>
          </cell>
          <cell r="B1221">
            <v>828</v>
          </cell>
          <cell r="C1221" t="str">
            <v>Institut Kanser Negara</v>
          </cell>
          <cell r="D1221" t="str">
            <v>KKM/IKN/H/13/2643</v>
          </cell>
          <cell r="E1221" t="str">
            <v>10-134</v>
          </cell>
          <cell r="F1221" t="str">
            <v>Anesthesia Units</v>
          </cell>
          <cell r="G1221" t="str">
            <v>RT</v>
          </cell>
          <cell r="H1221" t="str">
            <v>RADIATION TREATMENT UNIT</v>
          </cell>
          <cell r="I1221" t="str">
            <v>01RT275</v>
          </cell>
          <cell r="J1221" t="str">
            <v>BRACHY OT 1</v>
          </cell>
          <cell r="K1221" t="str">
            <v>BMED</v>
          </cell>
          <cell r="L1221" t="str">
            <v>Normal</v>
          </cell>
          <cell r="M1221" t="str">
            <v>Germany</v>
          </cell>
          <cell r="N1221" t="str">
            <v>Primus</v>
          </cell>
          <cell r="O1221" t="str">
            <v>Primus</v>
          </cell>
          <cell r="P1221" t="str">
            <v>ASDJ-0239</v>
          </cell>
          <cell r="Q1221" t="str">
            <v>Not Applicable</v>
          </cell>
          <cell r="R1221" t="str">
            <v>Drager medical GmbH</v>
          </cell>
          <cell r="S1221" t="str">
            <v>Beau Consortium Sdn Bhd</v>
          </cell>
          <cell r="T1221" t="str">
            <v>Functioning</v>
          </cell>
          <cell r="U1221" t="str">
            <v>Asset</v>
          </cell>
          <cell r="V1221">
            <v>144345</v>
          </cell>
          <cell r="W1221" t="str">
            <v>KEW</v>
          </cell>
          <cell r="X1221" t="str">
            <v>01/09/2010</v>
          </cell>
          <cell r="Y1221" t="str">
            <v>KEW</v>
          </cell>
          <cell r="Z1221" t="str">
            <v>16/08/2013</v>
          </cell>
          <cell r="AA1221" t="str">
            <v>15/08/2015</v>
          </cell>
          <cell r="AB1221" t="str">
            <v>No</v>
          </cell>
          <cell r="AC1221" t="str">
            <v>31/08/2013</v>
          </cell>
          <cell r="AD1221" t="str">
            <v>Good</v>
          </cell>
          <cell r="AE1221" t="str">
            <v>V1 - Existing / No Claim</v>
          </cell>
          <cell r="AF1221">
            <v>42235</v>
          </cell>
          <cell r="AG1221">
            <v>9.17</v>
          </cell>
          <cell r="AH1221" t="str">
            <v>PPM</v>
          </cell>
          <cell r="AI1221" t="str">
            <v>Strands</v>
          </cell>
          <cell r="AJ1221" t="str">
            <v>Strands PW</v>
          </cell>
        </row>
        <row r="1222">
          <cell r="A1222" t="str">
            <v>IKN400829</v>
          </cell>
          <cell r="B1222">
            <v>829</v>
          </cell>
          <cell r="C1222" t="str">
            <v>Institut Kanser Negara</v>
          </cell>
          <cell r="D1222" t="str">
            <v>KKM/IKN/H/13/2606</v>
          </cell>
          <cell r="E1222" t="str">
            <v>13-217</v>
          </cell>
          <cell r="F1222" t="str">
            <v>Infusion Pumps, Syringe</v>
          </cell>
          <cell r="G1222" t="str">
            <v>RT</v>
          </cell>
          <cell r="H1222" t="str">
            <v>RADIATION TREATMENT UNIT</v>
          </cell>
          <cell r="I1222" t="str">
            <v>01RT275</v>
          </cell>
          <cell r="J1222" t="str">
            <v>BRACHY OT 1</v>
          </cell>
          <cell r="K1222" t="str">
            <v>BMED</v>
          </cell>
          <cell r="L1222" t="str">
            <v>Normal</v>
          </cell>
          <cell r="M1222" t="str">
            <v>Germany</v>
          </cell>
          <cell r="N1222" t="str">
            <v>Perfusor</v>
          </cell>
          <cell r="O1222" t="str">
            <v>Perfusor Space</v>
          </cell>
          <cell r="P1222" t="str">
            <v>143308</v>
          </cell>
          <cell r="Q1222" t="str">
            <v>Not Applicable</v>
          </cell>
          <cell r="R1222" t="str">
            <v>B Braun Melsungen AG</v>
          </cell>
          <cell r="S1222" t="str">
            <v>B Braun Medical Supplies Sdn. Bhd.</v>
          </cell>
          <cell r="T1222" t="str">
            <v>Functioning</v>
          </cell>
          <cell r="U1222" t="str">
            <v>Asset</v>
          </cell>
          <cell r="V1222">
            <v>10225</v>
          </cell>
          <cell r="W1222" t="str">
            <v>KEW</v>
          </cell>
          <cell r="X1222" t="str">
            <v>01/09/2010</v>
          </cell>
          <cell r="Y1222" t="str">
            <v>KEW</v>
          </cell>
          <cell r="Z1222" t="str">
            <v>16/08/2013</v>
          </cell>
          <cell r="AA1222" t="str">
            <v>15/08/2015</v>
          </cell>
          <cell r="AB1222" t="str">
            <v>No</v>
          </cell>
          <cell r="AC1222" t="str">
            <v>31/08/2013</v>
          </cell>
          <cell r="AD1222" t="str">
            <v>Good</v>
          </cell>
          <cell r="AE1222" t="str">
            <v>V1 - Existing / No Claim</v>
          </cell>
          <cell r="AF1222">
            <v>42235</v>
          </cell>
          <cell r="AG1222">
            <v>9.17</v>
          </cell>
          <cell r="AH1222" t="str">
            <v>PPM</v>
          </cell>
          <cell r="AI1222" t="str">
            <v>Strands</v>
          </cell>
          <cell r="AJ1222" t="str">
            <v>Strands PW</v>
          </cell>
        </row>
        <row r="1223">
          <cell r="A1223" t="str">
            <v>IKN400830</v>
          </cell>
          <cell r="B1223">
            <v>830</v>
          </cell>
          <cell r="C1223" t="str">
            <v>Institut Kanser Negara</v>
          </cell>
          <cell r="D1223" t="str">
            <v>KKM/IKN/H/13/2607</v>
          </cell>
          <cell r="E1223" t="str">
            <v>13-217</v>
          </cell>
          <cell r="F1223" t="str">
            <v>Infusion Pumps, Syringe</v>
          </cell>
          <cell r="G1223" t="str">
            <v>RT</v>
          </cell>
          <cell r="H1223" t="str">
            <v>RADIATION TREATMENT UNIT</v>
          </cell>
          <cell r="I1223" t="str">
            <v>01RT275</v>
          </cell>
          <cell r="J1223" t="str">
            <v>BRACHY OT 1</v>
          </cell>
          <cell r="K1223" t="str">
            <v>BMED</v>
          </cell>
          <cell r="L1223" t="str">
            <v>Normal</v>
          </cell>
          <cell r="M1223" t="str">
            <v>Germany</v>
          </cell>
          <cell r="N1223" t="str">
            <v>Perfusor</v>
          </cell>
          <cell r="O1223" t="str">
            <v>Perfusor Space</v>
          </cell>
          <cell r="P1223" t="str">
            <v>187001</v>
          </cell>
          <cell r="Q1223" t="str">
            <v>Not Applicable</v>
          </cell>
          <cell r="R1223" t="str">
            <v>B Braun Melsungen AG</v>
          </cell>
          <cell r="S1223" t="str">
            <v>B Braun Medical Supplies Sdn. Bhd.</v>
          </cell>
          <cell r="T1223" t="str">
            <v>Functioning</v>
          </cell>
          <cell r="U1223" t="str">
            <v>Asset</v>
          </cell>
          <cell r="V1223">
            <v>10225</v>
          </cell>
          <cell r="W1223" t="str">
            <v>KEW</v>
          </cell>
          <cell r="X1223" t="str">
            <v>01/09/2010</v>
          </cell>
          <cell r="Y1223" t="str">
            <v>KEW</v>
          </cell>
          <cell r="Z1223" t="str">
            <v>16/08/2013</v>
          </cell>
          <cell r="AA1223" t="str">
            <v>15/08/2015</v>
          </cell>
          <cell r="AB1223" t="str">
            <v>No</v>
          </cell>
          <cell r="AC1223" t="str">
            <v>31/08/2013</v>
          </cell>
          <cell r="AD1223" t="str">
            <v>Good</v>
          </cell>
          <cell r="AE1223" t="str">
            <v>V1 - Existing / No Claim</v>
          </cell>
          <cell r="AF1223">
            <v>42235</v>
          </cell>
          <cell r="AG1223">
            <v>9.17</v>
          </cell>
          <cell r="AH1223" t="str">
            <v>PPM</v>
          </cell>
          <cell r="AI1223" t="str">
            <v>Strands</v>
          </cell>
          <cell r="AJ1223" t="str">
            <v>Strands PW</v>
          </cell>
        </row>
        <row r="1224">
          <cell r="A1224" t="str">
            <v>IKN400831</v>
          </cell>
          <cell r="B1224">
            <v>831</v>
          </cell>
          <cell r="C1224" t="str">
            <v>Institut Kanser Negara</v>
          </cell>
          <cell r="D1224" t="str">
            <v>KKM/IKN/H/13/2611</v>
          </cell>
          <cell r="E1224" t="str">
            <v>16-924</v>
          </cell>
          <cell r="F1224" t="str">
            <v>Infusion Pumps, Patient-Controlled Analgesic</v>
          </cell>
          <cell r="G1224" t="str">
            <v>RT</v>
          </cell>
          <cell r="H1224" t="str">
            <v>RADIATION TREATMENT UNIT</v>
          </cell>
          <cell r="I1224" t="str">
            <v>01RT275</v>
          </cell>
          <cell r="J1224" t="str">
            <v>BRACHY OT 1</v>
          </cell>
          <cell r="K1224" t="str">
            <v>BMED</v>
          </cell>
          <cell r="L1224" t="str">
            <v>Normal</v>
          </cell>
          <cell r="M1224" t="str">
            <v>Germany</v>
          </cell>
          <cell r="N1224" t="str">
            <v>Perfusor</v>
          </cell>
          <cell r="O1224" t="str">
            <v>Perfusor Space PCA</v>
          </cell>
          <cell r="P1224" t="str">
            <v>186980</v>
          </cell>
          <cell r="Q1224" t="str">
            <v>Not Applicable</v>
          </cell>
          <cell r="R1224" t="str">
            <v>B Braun Melsungen AG</v>
          </cell>
          <cell r="S1224" t="str">
            <v>B Braun Medical Supplies Sdn. Bhd.</v>
          </cell>
          <cell r="T1224" t="str">
            <v>Functioning</v>
          </cell>
          <cell r="U1224" t="str">
            <v>Asset</v>
          </cell>
          <cell r="V1224">
            <v>9622</v>
          </cell>
          <cell r="W1224" t="str">
            <v>KEW</v>
          </cell>
          <cell r="X1224" t="str">
            <v>01/09/2010</v>
          </cell>
          <cell r="Y1224" t="str">
            <v>KEW</v>
          </cell>
          <cell r="Z1224" t="str">
            <v>16/08/2013</v>
          </cell>
          <cell r="AA1224" t="str">
            <v>15/08/2015</v>
          </cell>
          <cell r="AB1224" t="str">
            <v>No</v>
          </cell>
          <cell r="AC1224" t="str">
            <v>31/08/2013</v>
          </cell>
          <cell r="AD1224" t="str">
            <v>Good</v>
          </cell>
          <cell r="AE1224" t="str">
            <v>V1 - Existing / No Claim</v>
          </cell>
          <cell r="AF1224">
            <v>42235</v>
          </cell>
          <cell r="AG1224">
            <v>9.17</v>
          </cell>
          <cell r="AH1224" t="str">
            <v>PPM</v>
          </cell>
          <cell r="AI1224" t="str">
            <v>Strands</v>
          </cell>
          <cell r="AJ1224" t="str">
            <v>Strands PW</v>
          </cell>
        </row>
        <row r="1225">
          <cell r="A1225" t="str">
            <v>IKN400832</v>
          </cell>
          <cell r="B1225">
            <v>832</v>
          </cell>
          <cell r="C1225" t="str">
            <v>Institut Kanser Negara</v>
          </cell>
          <cell r="D1225" t="str">
            <v>KKM/IKN/H/13/2612</v>
          </cell>
          <cell r="E1225" t="str">
            <v>13-215</v>
          </cell>
          <cell r="F1225" t="str">
            <v>Infusion Pumps, General-Purpose</v>
          </cell>
          <cell r="G1225" t="str">
            <v>RT</v>
          </cell>
          <cell r="H1225" t="str">
            <v>RADIATION TREATMENT UNIT</v>
          </cell>
          <cell r="I1225" t="str">
            <v>01RT275</v>
          </cell>
          <cell r="J1225" t="str">
            <v>BRACHY OT 1</v>
          </cell>
          <cell r="K1225" t="str">
            <v>BMED</v>
          </cell>
          <cell r="L1225" t="str">
            <v>Normal</v>
          </cell>
          <cell r="M1225" t="str">
            <v>Germany</v>
          </cell>
          <cell r="N1225" t="str">
            <v>Infusomat</v>
          </cell>
          <cell r="O1225" t="str">
            <v>Infusomat Space</v>
          </cell>
          <cell r="P1225" t="str">
            <v>212040</v>
          </cell>
          <cell r="Q1225" t="str">
            <v>Not Applicable</v>
          </cell>
          <cell r="R1225" t="str">
            <v>B Braun Melsungen AG</v>
          </cell>
          <cell r="S1225" t="str">
            <v>B Braun Medical Supplies Sdn. Bhd.</v>
          </cell>
          <cell r="T1225" t="str">
            <v>Functioning</v>
          </cell>
          <cell r="U1225" t="str">
            <v>Asset</v>
          </cell>
          <cell r="V1225">
            <v>10825</v>
          </cell>
          <cell r="W1225" t="str">
            <v>KEW</v>
          </cell>
          <cell r="X1225" t="str">
            <v>01/09/2010</v>
          </cell>
          <cell r="Y1225" t="str">
            <v>KEW</v>
          </cell>
          <cell r="Z1225" t="str">
            <v>16/08/2013</v>
          </cell>
          <cell r="AA1225" t="str">
            <v>15/08/2015</v>
          </cell>
          <cell r="AB1225" t="str">
            <v>No</v>
          </cell>
          <cell r="AC1225" t="str">
            <v>31/08/2013</v>
          </cell>
          <cell r="AD1225" t="str">
            <v>Good</v>
          </cell>
          <cell r="AE1225" t="str">
            <v>V1 - Existing / No Claim</v>
          </cell>
          <cell r="AF1225">
            <v>42235</v>
          </cell>
          <cell r="AG1225">
            <v>9.17</v>
          </cell>
          <cell r="AH1225" t="str">
            <v>PPM</v>
          </cell>
          <cell r="AI1225" t="str">
            <v>Strands</v>
          </cell>
          <cell r="AJ1225" t="str">
            <v>Strands PW</v>
          </cell>
        </row>
        <row r="1226">
          <cell r="A1226" t="str">
            <v>IKN400833</v>
          </cell>
          <cell r="B1226">
            <v>833</v>
          </cell>
          <cell r="C1226" t="str">
            <v>Institut Kanser Negara</v>
          </cell>
          <cell r="D1226" t="str">
            <v>KKM/IKN/H/13/4476</v>
          </cell>
          <cell r="E1226" t="str">
            <v>11-758</v>
          </cell>
          <cell r="F1226" t="str">
            <v>Radiographic/Fluoroscopic Units, Mobile</v>
          </cell>
          <cell r="G1226" t="str">
            <v>RT</v>
          </cell>
          <cell r="H1226" t="str">
            <v>RADIATION TREATMENT UNIT</v>
          </cell>
          <cell r="I1226" t="str">
            <v>01RT233</v>
          </cell>
          <cell r="J1226" t="str">
            <v>EQ ROOM</v>
          </cell>
          <cell r="K1226" t="str">
            <v>BMED</v>
          </cell>
          <cell r="L1226" t="str">
            <v>Normal</v>
          </cell>
          <cell r="M1226" t="str">
            <v>The Netherlands</v>
          </cell>
          <cell r="N1226" t="str">
            <v>Veradius</v>
          </cell>
          <cell r="O1226" t="str">
            <v>Veradius</v>
          </cell>
          <cell r="P1226" t="str">
            <v>01J0FT518(578)</v>
          </cell>
          <cell r="Q1226" t="str">
            <v>Not Applicable</v>
          </cell>
          <cell r="R1226" t="str">
            <v>Philips Medical Systems</v>
          </cell>
          <cell r="S1226" t="str">
            <v>Advance Altimas Sdn Bhd</v>
          </cell>
          <cell r="T1226" t="str">
            <v>Functioning</v>
          </cell>
          <cell r="U1226" t="str">
            <v>Asset</v>
          </cell>
          <cell r="V1226">
            <v>1163300</v>
          </cell>
          <cell r="W1226" t="str">
            <v>KEW</v>
          </cell>
          <cell r="X1226" t="str">
            <v>01/09/2010</v>
          </cell>
          <cell r="Y1226" t="str">
            <v>KEW</v>
          </cell>
          <cell r="Z1226" t="str">
            <v>16/08/2013</v>
          </cell>
          <cell r="AA1226" t="str">
            <v>15/08/2015</v>
          </cell>
          <cell r="AB1226" t="str">
            <v>No</v>
          </cell>
          <cell r="AC1226" t="str">
            <v>31/08/2013</v>
          </cell>
          <cell r="AD1226" t="str">
            <v>Good</v>
          </cell>
          <cell r="AE1226" t="str">
            <v>V1 - Existing / No Claim</v>
          </cell>
          <cell r="AF1226">
            <v>42235</v>
          </cell>
          <cell r="AG1226">
            <v>9.17</v>
          </cell>
          <cell r="AH1226" t="str">
            <v>PPM</v>
          </cell>
          <cell r="AI1226" t="str">
            <v>Strands</v>
          </cell>
          <cell r="AJ1226" t="str">
            <v>Strands PW</v>
          </cell>
        </row>
        <row r="1227">
          <cell r="A1227" t="str">
            <v>IKN400834</v>
          </cell>
          <cell r="B1227">
            <v>834</v>
          </cell>
          <cell r="C1227" t="str">
            <v>Institut Kanser Negara</v>
          </cell>
          <cell r="D1227" t="str">
            <v>KKM/IKN/H/13/3845</v>
          </cell>
          <cell r="E1227" t="str">
            <v>12-647</v>
          </cell>
          <cell r="F1227" t="str">
            <v>Physiologic Monitoring Systems, Acute Care</v>
          </cell>
          <cell r="G1227" t="str">
            <v>RT</v>
          </cell>
          <cell r="H1227" t="str">
            <v>RADIATION TREATMENT UNIT</v>
          </cell>
          <cell r="I1227" t="str">
            <v>01RT275</v>
          </cell>
          <cell r="J1227" t="str">
            <v>BRACHY OT 1</v>
          </cell>
          <cell r="K1227" t="str">
            <v>BMED</v>
          </cell>
          <cell r="L1227" t="str">
            <v>Normal</v>
          </cell>
          <cell r="M1227" t="str">
            <v>Finland</v>
          </cell>
          <cell r="N1227" t="str">
            <v>Carespace</v>
          </cell>
          <cell r="O1227" t="str">
            <v>Carespace B850</v>
          </cell>
          <cell r="P1227" t="str">
            <v>SED12370821GA</v>
          </cell>
          <cell r="Q1227" t="str">
            <v>Not Applicable</v>
          </cell>
          <cell r="R1227" t="str">
            <v>GE Healthcare Systems</v>
          </cell>
          <cell r="S1227" t="str">
            <v>GE Healthcare Technologies</v>
          </cell>
          <cell r="T1227" t="str">
            <v>Functioning</v>
          </cell>
          <cell r="U1227" t="str">
            <v>Asset</v>
          </cell>
          <cell r="V1227">
            <v>119690</v>
          </cell>
          <cell r="W1227" t="str">
            <v>KEW</v>
          </cell>
          <cell r="X1227" t="str">
            <v>01/09/2010</v>
          </cell>
          <cell r="Y1227" t="str">
            <v>KEW</v>
          </cell>
          <cell r="Z1227" t="str">
            <v>16/08/2013</v>
          </cell>
          <cell r="AA1227" t="str">
            <v>15/08/2015</v>
          </cell>
          <cell r="AB1227" t="str">
            <v>No</v>
          </cell>
          <cell r="AC1227" t="str">
            <v>31/08/2013</v>
          </cell>
          <cell r="AD1227" t="str">
            <v>Good</v>
          </cell>
          <cell r="AE1227" t="str">
            <v>V1 - Existing / No Claim</v>
          </cell>
          <cell r="AF1227">
            <v>42235</v>
          </cell>
          <cell r="AG1227">
            <v>9.17</v>
          </cell>
          <cell r="AH1227" t="str">
            <v>PPM</v>
          </cell>
          <cell r="AI1227" t="str">
            <v>Strands</v>
          </cell>
          <cell r="AJ1227" t="str">
            <v>Strands PW</v>
          </cell>
        </row>
        <row r="1228">
          <cell r="A1228" t="str">
            <v>IKN400835</v>
          </cell>
          <cell r="B1228">
            <v>835</v>
          </cell>
          <cell r="C1228" t="str">
            <v>Institut Kanser Negara</v>
          </cell>
          <cell r="D1228" t="str">
            <v>KKM/IKN/H/13/2581</v>
          </cell>
          <cell r="E1228" t="str">
            <v>18-231</v>
          </cell>
          <cell r="F1228" t="str">
            <v>Electrosurgical Units, Monopolar/Bipolar</v>
          </cell>
          <cell r="G1228" t="str">
            <v>RT</v>
          </cell>
          <cell r="H1228" t="str">
            <v>RADIATION TREATMENT UNIT</v>
          </cell>
          <cell r="I1228" t="str">
            <v>01RT275</v>
          </cell>
          <cell r="J1228" t="str">
            <v>BRACHY OT 1</v>
          </cell>
          <cell r="K1228" t="str">
            <v>BMED</v>
          </cell>
          <cell r="L1228" t="str">
            <v>Normal</v>
          </cell>
          <cell r="M1228" t="str">
            <v>USA</v>
          </cell>
          <cell r="N1228" t="str">
            <v>Force</v>
          </cell>
          <cell r="O1228" t="str">
            <v>Force FX-8C</v>
          </cell>
          <cell r="P1228" t="str">
            <v>F2H70450AX</v>
          </cell>
          <cell r="Q1228" t="str">
            <v>Not Applicable</v>
          </cell>
          <cell r="R1228" t="str">
            <v>Valleylab</v>
          </cell>
          <cell r="S1228" t="str">
            <v>United States of America</v>
          </cell>
          <cell r="T1228" t="str">
            <v>Functioning</v>
          </cell>
          <cell r="U1228" t="str">
            <v>Asset</v>
          </cell>
          <cell r="V1228">
            <v>97190</v>
          </cell>
          <cell r="W1228" t="str">
            <v>KEW</v>
          </cell>
          <cell r="X1228" t="str">
            <v>01/09/2010</v>
          </cell>
          <cell r="Y1228" t="str">
            <v>KEW</v>
          </cell>
          <cell r="Z1228" t="str">
            <v>16/08/2013</v>
          </cell>
          <cell r="AA1228" t="str">
            <v>15/08/2015</v>
          </cell>
          <cell r="AB1228" t="str">
            <v>No</v>
          </cell>
          <cell r="AC1228" t="str">
            <v>31/08/2013</v>
          </cell>
          <cell r="AD1228" t="str">
            <v>Good</v>
          </cell>
          <cell r="AE1228" t="str">
            <v>V1 - Existing / No Claim</v>
          </cell>
          <cell r="AF1228">
            <v>42235</v>
          </cell>
          <cell r="AG1228">
            <v>9.17</v>
          </cell>
          <cell r="AH1228" t="str">
            <v>PPM</v>
          </cell>
          <cell r="AI1228" t="str">
            <v>Strands</v>
          </cell>
          <cell r="AJ1228" t="str">
            <v>Strands PW</v>
          </cell>
        </row>
        <row r="1229">
          <cell r="A1229" t="str">
            <v>IKN400836</v>
          </cell>
          <cell r="B1229">
            <v>836</v>
          </cell>
          <cell r="C1229" t="str">
            <v>Institut Kanser Negara</v>
          </cell>
          <cell r="D1229" t="str">
            <v>KKM/IKN/H/13/2626</v>
          </cell>
          <cell r="E1229" t="str">
            <v>10-414</v>
          </cell>
          <cell r="F1229" t="str">
            <v>Warming Units, Blanket</v>
          </cell>
          <cell r="G1229" t="str">
            <v>RT</v>
          </cell>
          <cell r="H1229" t="str">
            <v>RADIATION TREATMENT UNIT</v>
          </cell>
          <cell r="I1229" t="str">
            <v>01RT275</v>
          </cell>
          <cell r="J1229" t="str">
            <v>BRACHY OT 1</v>
          </cell>
          <cell r="K1229" t="str">
            <v>BMED</v>
          </cell>
          <cell r="L1229" t="str">
            <v>Normal</v>
          </cell>
          <cell r="M1229" t="str">
            <v>Sweden</v>
          </cell>
          <cell r="N1229" t="str">
            <v>Operatherm</v>
          </cell>
          <cell r="O1229" t="str">
            <v>Operatherm 303</v>
          </cell>
          <cell r="P1229" t="str">
            <v>00679-11</v>
          </cell>
          <cell r="Q1229" t="str">
            <v>Not Applicable</v>
          </cell>
          <cell r="R1229" t="str">
            <v>Kanmed</v>
          </cell>
          <cell r="S1229" t="str">
            <v>Perniagaan Med Tech</v>
          </cell>
          <cell r="T1229" t="str">
            <v>Functioning</v>
          </cell>
          <cell r="U1229" t="str">
            <v>Asset</v>
          </cell>
          <cell r="V1229">
            <v>15515</v>
          </cell>
          <cell r="W1229" t="str">
            <v>KEW</v>
          </cell>
          <cell r="X1229" t="str">
            <v>01/09/2010</v>
          </cell>
          <cell r="Y1229" t="str">
            <v>KEW</v>
          </cell>
          <cell r="Z1229" t="str">
            <v>16/08/2013</v>
          </cell>
          <cell r="AA1229" t="str">
            <v>15/08/2015</v>
          </cell>
          <cell r="AB1229" t="str">
            <v>No</v>
          </cell>
          <cell r="AC1229" t="str">
            <v>31/08/2013</v>
          </cell>
          <cell r="AD1229" t="str">
            <v>Good</v>
          </cell>
          <cell r="AE1229" t="str">
            <v>V1 - Existing / No Claim</v>
          </cell>
          <cell r="AF1229">
            <v>42235</v>
          </cell>
          <cell r="AG1229">
            <v>9.17</v>
          </cell>
          <cell r="AH1229" t="str">
            <v>PPM</v>
          </cell>
          <cell r="AI1229" t="str">
            <v>Strands</v>
          </cell>
          <cell r="AJ1229" t="str">
            <v>Strands PW</v>
          </cell>
        </row>
        <row r="1230">
          <cell r="A1230" t="str">
            <v>IKN400838</v>
          </cell>
          <cell r="B1230">
            <v>838</v>
          </cell>
          <cell r="C1230" t="str">
            <v>Institut Kanser Negara</v>
          </cell>
          <cell r="D1230" t="str">
            <v>KKM/IKN/H/13/2558</v>
          </cell>
          <cell r="E1230" t="str">
            <v>13-961</v>
          </cell>
          <cell r="F1230" t="str">
            <v>Tables, Operating</v>
          </cell>
          <cell r="G1230" t="str">
            <v>RT</v>
          </cell>
          <cell r="H1230" t="str">
            <v>RADIATION TREATMENT UNIT</v>
          </cell>
          <cell r="I1230" t="str">
            <v>01RT275</v>
          </cell>
          <cell r="J1230" t="str">
            <v>BRACHY OT 1</v>
          </cell>
          <cell r="K1230" t="str">
            <v>BMED</v>
          </cell>
          <cell r="L1230" t="str">
            <v>Normal</v>
          </cell>
          <cell r="M1230" t="str">
            <v>UK</v>
          </cell>
          <cell r="N1230" t="str">
            <v>Eschmann</v>
          </cell>
          <cell r="O1230" t="str">
            <v>Eschmann T20-a+</v>
          </cell>
          <cell r="P1230" t="str">
            <v>T2AD-2A-3366</v>
          </cell>
          <cell r="Q1230" t="str">
            <v>Not Applicable</v>
          </cell>
          <cell r="R1230" t="str">
            <v>Eschmann Holding Limited</v>
          </cell>
          <cell r="S1230" t="str">
            <v>Antah Sir Radin Sdn. Bhd.</v>
          </cell>
          <cell r="T1230" t="str">
            <v>Functioning</v>
          </cell>
          <cell r="U1230" t="str">
            <v>Asset</v>
          </cell>
          <cell r="V1230">
            <v>240330</v>
          </cell>
          <cell r="W1230" t="str">
            <v>KEW</v>
          </cell>
          <cell r="X1230" t="str">
            <v>01/09/2010</v>
          </cell>
          <cell r="Y1230" t="str">
            <v>KEW</v>
          </cell>
          <cell r="Z1230" t="str">
            <v>16/08/2013</v>
          </cell>
          <cell r="AA1230" t="str">
            <v>15/08/2015</v>
          </cell>
          <cell r="AB1230" t="str">
            <v>No</v>
          </cell>
          <cell r="AC1230" t="str">
            <v>31/08/2013</v>
          </cell>
          <cell r="AD1230" t="str">
            <v>Good</v>
          </cell>
          <cell r="AE1230" t="str">
            <v>V1 - Existing / No Claim</v>
          </cell>
          <cell r="AF1230">
            <v>42235</v>
          </cell>
          <cell r="AG1230">
            <v>9.17</v>
          </cell>
          <cell r="AH1230" t="str">
            <v>PPM</v>
          </cell>
          <cell r="AI1230" t="str">
            <v>Strands</v>
          </cell>
          <cell r="AJ1230" t="str">
            <v>Strands PW</v>
          </cell>
        </row>
        <row r="1231">
          <cell r="A1231" t="str">
            <v>IKN400839</v>
          </cell>
          <cell r="B1231">
            <v>839</v>
          </cell>
          <cell r="C1231" t="str">
            <v>Institut Kanser Negara</v>
          </cell>
          <cell r="D1231" t="str">
            <v>KKM/IKN/H/13/2983</v>
          </cell>
          <cell r="E1231" t="str">
            <v>16-173</v>
          </cell>
          <cell r="F1231" t="str">
            <v>Sphygmomanometers, Electronic, Automatic</v>
          </cell>
          <cell r="G1231" t="str">
            <v>NM</v>
          </cell>
          <cell r="H1231" t="str">
            <v>NUCLEAR MED (DIAGNOSTIC)</v>
          </cell>
          <cell r="I1231" t="str">
            <v>03NM152</v>
          </cell>
          <cell r="J1231" t="str">
            <v>NURSE STATION</v>
          </cell>
          <cell r="K1231" t="str">
            <v>BMED</v>
          </cell>
          <cell r="L1231" t="str">
            <v>Normal</v>
          </cell>
          <cell r="M1231" t="str">
            <v>Mexico</v>
          </cell>
          <cell r="N1231" t="str">
            <v>Carespace</v>
          </cell>
          <cell r="O1231" t="str">
            <v>Carescape V100</v>
          </cell>
          <cell r="P1231" t="str">
            <v>SH613280422SA</v>
          </cell>
          <cell r="Q1231" t="str">
            <v>Not Applicable</v>
          </cell>
          <cell r="R1231" t="str">
            <v>GE Healthcare Systems</v>
          </cell>
          <cell r="S1231" t="str">
            <v>GE Healthcare Technologies</v>
          </cell>
          <cell r="T1231" t="str">
            <v>Functioning</v>
          </cell>
          <cell r="U1231" t="str">
            <v>Asset</v>
          </cell>
          <cell r="V1231">
            <v>7770</v>
          </cell>
          <cell r="W1231" t="str">
            <v>KEW</v>
          </cell>
          <cell r="X1231" t="str">
            <v>01/09/2010</v>
          </cell>
          <cell r="Y1231" t="str">
            <v>KEW</v>
          </cell>
          <cell r="Z1231" t="str">
            <v>16/08/2013</v>
          </cell>
          <cell r="AA1231" t="str">
            <v>15/08/2015</v>
          </cell>
          <cell r="AB1231" t="str">
            <v>No</v>
          </cell>
          <cell r="AC1231" t="str">
            <v>31/08/2013</v>
          </cell>
          <cell r="AD1231" t="str">
            <v>Good</v>
          </cell>
          <cell r="AE1231" t="str">
            <v>V1 - Existing / No Claim</v>
          </cell>
          <cell r="AF1231">
            <v>42235</v>
          </cell>
          <cell r="AG1231">
            <v>9.17</v>
          </cell>
          <cell r="AH1231" t="str">
            <v>PPM</v>
          </cell>
          <cell r="AI1231" t="str">
            <v>Strands</v>
          </cell>
          <cell r="AJ1231" t="str">
            <v>Strands PW</v>
          </cell>
        </row>
        <row r="1232">
          <cell r="A1232" t="str">
            <v>IKN400840</v>
          </cell>
          <cell r="B1232">
            <v>840</v>
          </cell>
          <cell r="C1232" t="str">
            <v>Institut Kanser Negara</v>
          </cell>
          <cell r="D1232" t="str">
            <v>KKM/IKN/H/13/4956 - 01</v>
          </cell>
          <cell r="E1232" t="str">
            <v>15-976</v>
          </cell>
          <cell r="F1232" t="str">
            <v>Scanning Systems, Ultrasonic, General-Purpose</v>
          </cell>
          <cell r="G1232" t="str">
            <v>RT</v>
          </cell>
          <cell r="H1232" t="str">
            <v>RADIATION TREATMENT UNIT</v>
          </cell>
          <cell r="I1232" t="str">
            <v>01RT275</v>
          </cell>
          <cell r="J1232" t="str">
            <v>BRACHY OT 1</v>
          </cell>
          <cell r="K1232" t="str">
            <v>BMED</v>
          </cell>
          <cell r="L1232" t="str">
            <v>Normal</v>
          </cell>
          <cell r="M1232" t="str">
            <v>USA</v>
          </cell>
          <cell r="N1232" t="str">
            <v>Variseed</v>
          </cell>
          <cell r="O1232" t="str">
            <v>Variseed 8.0</v>
          </cell>
          <cell r="P1232" t="str">
            <v>5001255</v>
          </cell>
          <cell r="Q1232" t="str">
            <v>Not Applicable</v>
          </cell>
          <cell r="R1232" t="str">
            <v>Varian Medical System</v>
          </cell>
          <cell r="S1232" t="str">
            <v>V Medical Services</v>
          </cell>
          <cell r="T1232" t="str">
            <v>Functioning</v>
          </cell>
          <cell r="U1232" t="str">
            <v>Asset</v>
          </cell>
          <cell r="V1232">
            <v>1644170</v>
          </cell>
          <cell r="W1232" t="str">
            <v>KEW</v>
          </cell>
          <cell r="X1232" t="str">
            <v>01/09/2010</v>
          </cell>
          <cell r="Y1232" t="str">
            <v>KEW</v>
          </cell>
          <cell r="Z1232" t="str">
            <v>16/08/2013</v>
          </cell>
          <cell r="AA1232" t="str">
            <v>15/08/2015</v>
          </cell>
          <cell r="AB1232" t="str">
            <v>No</v>
          </cell>
          <cell r="AC1232" t="str">
            <v>31/08/2013</v>
          </cell>
          <cell r="AD1232" t="str">
            <v>Good</v>
          </cell>
          <cell r="AE1232" t="str">
            <v>V1 - Existing / No Claim</v>
          </cell>
          <cell r="AF1232">
            <v>42235</v>
          </cell>
          <cell r="AG1232">
            <v>9.17</v>
          </cell>
          <cell r="AH1232" t="str">
            <v>PPM</v>
          </cell>
          <cell r="AI1232" t="str">
            <v>Strands</v>
          </cell>
          <cell r="AJ1232" t="str">
            <v>Strands Package</v>
          </cell>
          <cell r="AK1232" t="str">
            <v>Package Code XM0012</v>
          </cell>
        </row>
        <row r="1233">
          <cell r="A1233" t="str">
            <v>IKN400841</v>
          </cell>
          <cell r="B1233">
            <v>841</v>
          </cell>
          <cell r="C1233" t="str">
            <v>Institut Kanser Negara</v>
          </cell>
          <cell r="D1233" t="str">
            <v>KKM/IKN/H/13/2642</v>
          </cell>
          <cell r="E1233" t="str">
            <v>10-134</v>
          </cell>
          <cell r="F1233" t="str">
            <v>Anesthesia Units</v>
          </cell>
          <cell r="G1233" t="str">
            <v>RT</v>
          </cell>
          <cell r="H1233" t="str">
            <v>RADIATION TREATMENT UNIT</v>
          </cell>
          <cell r="I1233" t="str">
            <v>01RT278</v>
          </cell>
          <cell r="J1233" t="str">
            <v>BRACHY OT 2</v>
          </cell>
          <cell r="K1233" t="str">
            <v>BMED</v>
          </cell>
          <cell r="L1233" t="str">
            <v>Normal</v>
          </cell>
          <cell r="M1233" t="str">
            <v>Germany</v>
          </cell>
          <cell r="N1233" t="str">
            <v>Primus</v>
          </cell>
          <cell r="O1233" t="str">
            <v>Primus</v>
          </cell>
          <cell r="P1233" t="str">
            <v>ASDJ-0232</v>
          </cell>
          <cell r="Q1233" t="str">
            <v>Not Applicable</v>
          </cell>
          <cell r="R1233" t="str">
            <v>Drager medical GmbH</v>
          </cell>
          <cell r="S1233" t="str">
            <v>Beau Consortium Sdn Bhd</v>
          </cell>
          <cell r="T1233" t="str">
            <v>Functioning</v>
          </cell>
          <cell r="U1233" t="str">
            <v>Asset</v>
          </cell>
          <cell r="V1233">
            <v>144345</v>
          </cell>
          <cell r="W1233" t="str">
            <v>KEW</v>
          </cell>
          <cell r="X1233" t="str">
            <v>01/09/2010</v>
          </cell>
          <cell r="Y1233" t="str">
            <v>KEW</v>
          </cell>
          <cell r="Z1233" t="str">
            <v>16/08/2013</v>
          </cell>
          <cell r="AA1233" t="str">
            <v>15/08/2015</v>
          </cell>
          <cell r="AB1233" t="str">
            <v>No</v>
          </cell>
          <cell r="AC1233" t="str">
            <v>31/08/2013</v>
          </cell>
          <cell r="AD1233" t="str">
            <v>Good</v>
          </cell>
          <cell r="AE1233" t="str">
            <v>V1 - Existing / No Claim</v>
          </cell>
          <cell r="AF1233">
            <v>42235</v>
          </cell>
          <cell r="AG1233">
            <v>9.17</v>
          </cell>
          <cell r="AH1233" t="str">
            <v>PPM</v>
          </cell>
          <cell r="AI1233" t="str">
            <v>Strands</v>
          </cell>
          <cell r="AJ1233" t="str">
            <v>Strands PW</v>
          </cell>
        </row>
        <row r="1234">
          <cell r="A1234" t="str">
            <v>IKN400842</v>
          </cell>
          <cell r="B1234">
            <v>842</v>
          </cell>
          <cell r="C1234" t="str">
            <v>Institut Kanser Negara</v>
          </cell>
          <cell r="D1234" t="str">
            <v>KKM/IKN/H/13/2984</v>
          </cell>
          <cell r="E1234" t="str">
            <v>16-173</v>
          </cell>
          <cell r="F1234" t="str">
            <v>Sphygmomanometers, Electronic, Automatic</v>
          </cell>
          <cell r="G1234" t="str">
            <v>NM</v>
          </cell>
          <cell r="H1234" t="str">
            <v>NUCLEAR MED (DIAGNOSTIC)</v>
          </cell>
          <cell r="I1234" t="str">
            <v>03NM155</v>
          </cell>
          <cell r="J1234" t="str">
            <v>STRESS LAB</v>
          </cell>
          <cell r="K1234" t="str">
            <v>BMED</v>
          </cell>
          <cell r="L1234" t="str">
            <v>Critical</v>
          </cell>
          <cell r="M1234" t="str">
            <v>Mexico</v>
          </cell>
          <cell r="N1234" t="str">
            <v>Carespace</v>
          </cell>
          <cell r="O1234" t="str">
            <v>Carescape V100</v>
          </cell>
          <cell r="P1234" t="str">
            <v>SH612430109SA</v>
          </cell>
          <cell r="Q1234" t="str">
            <v>Not Applicable</v>
          </cell>
          <cell r="R1234" t="str">
            <v>GE Healthcare Systems</v>
          </cell>
          <cell r="S1234" t="str">
            <v>GE Healthcare Technologies</v>
          </cell>
          <cell r="T1234" t="str">
            <v>Functioning</v>
          </cell>
          <cell r="U1234" t="str">
            <v>Asset</v>
          </cell>
          <cell r="V1234">
            <v>7770</v>
          </cell>
          <cell r="W1234" t="str">
            <v>KEW</v>
          </cell>
          <cell r="X1234" t="str">
            <v>01/09/2010</v>
          </cell>
          <cell r="Y1234" t="str">
            <v>KEW</v>
          </cell>
          <cell r="Z1234" t="str">
            <v>16/08/2013</v>
          </cell>
          <cell r="AA1234" t="str">
            <v>15/08/2015</v>
          </cell>
          <cell r="AB1234" t="str">
            <v>No</v>
          </cell>
          <cell r="AC1234" t="str">
            <v>31/08/2013</v>
          </cell>
          <cell r="AD1234" t="str">
            <v>Good</v>
          </cell>
          <cell r="AE1234" t="str">
            <v>V1 - Existing / No Claim</v>
          </cell>
          <cell r="AF1234">
            <v>42796</v>
          </cell>
          <cell r="AG1234">
            <v>9.17</v>
          </cell>
          <cell r="AH1234" t="str">
            <v>PPM</v>
          </cell>
          <cell r="AI1234" t="str">
            <v>Strands</v>
          </cell>
          <cell r="AJ1234" t="str">
            <v>Strands PW</v>
          </cell>
        </row>
        <row r="1235">
          <cell r="A1235" t="str">
            <v>IKN400843</v>
          </cell>
          <cell r="B1235">
            <v>843</v>
          </cell>
          <cell r="C1235" t="str">
            <v>Institut Kanser Negara</v>
          </cell>
          <cell r="D1235" t="str">
            <v>KKM/IKN/H/13/2961</v>
          </cell>
          <cell r="E1235" t="str">
            <v>12-282</v>
          </cell>
          <cell r="F1235" t="str">
            <v>Lights, Surgical</v>
          </cell>
          <cell r="G1235" t="str">
            <v>NM</v>
          </cell>
          <cell r="H1235" t="str">
            <v>NUCLEAR MED (DIAGNOSTIC)</v>
          </cell>
          <cell r="I1235" t="str">
            <v>03NM143</v>
          </cell>
          <cell r="J1235" t="str">
            <v>INJECTION ROOM 1 (-VE)</v>
          </cell>
          <cell r="K1235" t="str">
            <v>BMED</v>
          </cell>
          <cell r="L1235" t="str">
            <v>Normal</v>
          </cell>
          <cell r="M1235" t="str">
            <v>USA</v>
          </cell>
          <cell r="N1235" t="str">
            <v>Welch Allyn</v>
          </cell>
          <cell r="O1235" t="str">
            <v>Welch Allyn GS600</v>
          </cell>
          <cell r="P1235" t="str">
            <v>GS600-13</v>
          </cell>
          <cell r="Q1235" t="str">
            <v>Not Applicable</v>
          </cell>
          <cell r="R1235" t="str">
            <v>Welch Allyn Inc</v>
          </cell>
          <cell r="S1235" t="str">
            <v>Welch Allyn Malaysia Sdn Bhd</v>
          </cell>
          <cell r="T1235" t="str">
            <v>Functioning</v>
          </cell>
          <cell r="U1235" t="str">
            <v>Asset</v>
          </cell>
          <cell r="V1235">
            <v>5050</v>
          </cell>
          <cell r="W1235" t="str">
            <v>KEW</v>
          </cell>
          <cell r="X1235" t="str">
            <v>01/09/2010</v>
          </cell>
          <cell r="Y1235" t="str">
            <v>KEW</v>
          </cell>
          <cell r="Z1235" t="str">
            <v>16/08/2013</v>
          </cell>
          <cell r="AA1235" t="str">
            <v>15/08/2015</v>
          </cell>
          <cell r="AB1235" t="str">
            <v>No</v>
          </cell>
          <cell r="AC1235" t="str">
            <v>31/08/2013</v>
          </cell>
          <cell r="AD1235" t="str">
            <v>Good</v>
          </cell>
          <cell r="AE1235" t="str">
            <v>V1 - Existing / No Claim</v>
          </cell>
          <cell r="AF1235">
            <v>42235</v>
          </cell>
          <cell r="AG1235">
            <v>9.17</v>
          </cell>
          <cell r="AH1235" t="str">
            <v>PPM</v>
          </cell>
          <cell r="AI1235" t="str">
            <v>Strands</v>
          </cell>
          <cell r="AJ1235" t="str">
            <v>Strands PW</v>
          </cell>
        </row>
        <row r="1236">
          <cell r="A1236" t="str">
            <v>IKN400844</v>
          </cell>
          <cell r="B1236">
            <v>844</v>
          </cell>
          <cell r="C1236" t="str">
            <v>Institut Kanser Negara</v>
          </cell>
          <cell r="D1236" t="str">
            <v>KKM/IKN/H/13/2996</v>
          </cell>
          <cell r="E1236" t="str">
            <v>12-660</v>
          </cell>
          <cell r="F1236" t="str">
            <v>Radiation Monitors</v>
          </cell>
          <cell r="G1236" t="str">
            <v>NM</v>
          </cell>
          <cell r="H1236" t="str">
            <v>NUCLEAR MED (DIAGNOSTIC)</v>
          </cell>
          <cell r="I1236" t="str">
            <v>03NM166</v>
          </cell>
          <cell r="J1236" t="str">
            <v>REPORTING</v>
          </cell>
          <cell r="K1236" t="str">
            <v>BMED</v>
          </cell>
          <cell r="L1236" t="str">
            <v>Normal</v>
          </cell>
          <cell r="M1236" t="str">
            <v>Germany</v>
          </cell>
          <cell r="N1236" t="str">
            <v>CoMo</v>
          </cell>
          <cell r="O1236" t="str">
            <v>CoMo 170</v>
          </cell>
          <cell r="P1236" t="str">
            <v>5063DL</v>
          </cell>
          <cell r="Q1236" t="str">
            <v>Not Applicable</v>
          </cell>
          <cell r="R1236" t="str">
            <v>MED Nuklear-Medizintechnik Dresden GmbH</v>
          </cell>
          <cell r="S1236" t="str">
            <v/>
          </cell>
          <cell r="T1236" t="str">
            <v>Functioning</v>
          </cell>
          <cell r="U1236" t="str">
            <v>Asset</v>
          </cell>
          <cell r="V1236">
            <v>23270</v>
          </cell>
          <cell r="W1236" t="str">
            <v>KEW</v>
          </cell>
          <cell r="X1236" t="str">
            <v>01/09/2010</v>
          </cell>
          <cell r="Y1236" t="str">
            <v>KEW</v>
          </cell>
          <cell r="Z1236" t="str">
            <v>16/08/2013</v>
          </cell>
          <cell r="AA1236" t="str">
            <v>15/08/2015</v>
          </cell>
          <cell r="AB1236" t="str">
            <v>No</v>
          </cell>
          <cell r="AC1236" t="str">
            <v>31/08/2013</v>
          </cell>
          <cell r="AD1236" t="str">
            <v>Good</v>
          </cell>
          <cell r="AE1236" t="str">
            <v>V1 - Existing / No Claim</v>
          </cell>
          <cell r="AF1236">
            <v>42235</v>
          </cell>
          <cell r="AG1236">
            <v>9.17</v>
          </cell>
          <cell r="AH1236" t="str">
            <v>PPM</v>
          </cell>
          <cell r="AI1236" t="str">
            <v>Strands</v>
          </cell>
          <cell r="AJ1236" t="str">
            <v>Strands PW</v>
          </cell>
        </row>
        <row r="1237">
          <cell r="A1237" t="str">
            <v>IKN400845</v>
          </cell>
          <cell r="B1237">
            <v>845</v>
          </cell>
          <cell r="C1237" t="str">
            <v>Institut Kanser Negara</v>
          </cell>
          <cell r="D1237" t="str">
            <v>KKM/IKN/H/13/2609</v>
          </cell>
          <cell r="E1237" t="str">
            <v>13-217</v>
          </cell>
          <cell r="F1237" t="str">
            <v>Infusion Pumps, Syringe</v>
          </cell>
          <cell r="G1237" t="str">
            <v>RT</v>
          </cell>
          <cell r="H1237" t="str">
            <v>RADIATION TREATMENT UNIT</v>
          </cell>
          <cell r="I1237" t="str">
            <v>01RT278</v>
          </cell>
          <cell r="J1237" t="str">
            <v>BRACHY OT 2</v>
          </cell>
          <cell r="K1237" t="str">
            <v>BMED</v>
          </cell>
          <cell r="L1237" t="str">
            <v>Normal</v>
          </cell>
          <cell r="M1237" t="str">
            <v>Germany</v>
          </cell>
          <cell r="N1237" t="str">
            <v>Perfusor</v>
          </cell>
          <cell r="O1237" t="str">
            <v>Perfusor Space</v>
          </cell>
          <cell r="P1237" t="str">
            <v>143335</v>
          </cell>
          <cell r="Q1237" t="str">
            <v>Not Applicable</v>
          </cell>
          <cell r="R1237" t="str">
            <v>B Braun Melsungen AG</v>
          </cell>
          <cell r="S1237" t="str">
            <v>B Braun Medical Supplies Sdn. Bhd.</v>
          </cell>
          <cell r="T1237" t="str">
            <v>Functioning</v>
          </cell>
          <cell r="U1237" t="str">
            <v>Asset</v>
          </cell>
          <cell r="V1237">
            <v>10225</v>
          </cell>
          <cell r="W1237" t="str">
            <v>KEW</v>
          </cell>
          <cell r="X1237" t="str">
            <v>01/09/2010</v>
          </cell>
          <cell r="Y1237" t="str">
            <v>KEW</v>
          </cell>
          <cell r="Z1237" t="str">
            <v>16/08/2013</v>
          </cell>
          <cell r="AA1237" t="str">
            <v>15/08/2015</v>
          </cell>
          <cell r="AB1237" t="str">
            <v>No</v>
          </cell>
          <cell r="AC1237" t="str">
            <v>31/08/2013</v>
          </cell>
          <cell r="AD1237" t="str">
            <v>Good</v>
          </cell>
          <cell r="AE1237" t="str">
            <v>V1 - Existing / No Claim</v>
          </cell>
          <cell r="AF1237">
            <v>42235</v>
          </cell>
          <cell r="AG1237">
            <v>9.17</v>
          </cell>
          <cell r="AH1237" t="str">
            <v>PPM</v>
          </cell>
          <cell r="AI1237" t="str">
            <v>Strands</v>
          </cell>
          <cell r="AJ1237" t="str">
            <v>Strands PW</v>
          </cell>
        </row>
        <row r="1238">
          <cell r="A1238" t="str">
            <v>IKN400846</v>
          </cell>
          <cell r="B1238">
            <v>846</v>
          </cell>
          <cell r="C1238" t="str">
            <v>Institut Kanser Negara</v>
          </cell>
          <cell r="D1238" t="str">
            <v>KKM/IKN/H/13/2608</v>
          </cell>
          <cell r="E1238" t="str">
            <v>13-217</v>
          </cell>
          <cell r="F1238" t="str">
            <v>Infusion Pumps, Syringe</v>
          </cell>
          <cell r="G1238" t="str">
            <v>RT</v>
          </cell>
          <cell r="H1238" t="str">
            <v>RADIATION TREATMENT UNIT</v>
          </cell>
          <cell r="I1238" t="str">
            <v>01RT278</v>
          </cell>
          <cell r="J1238" t="str">
            <v>BRACHY OT 2</v>
          </cell>
          <cell r="K1238" t="str">
            <v>BMED</v>
          </cell>
          <cell r="L1238" t="str">
            <v>Normal</v>
          </cell>
          <cell r="M1238" t="str">
            <v>Germany</v>
          </cell>
          <cell r="N1238" t="str">
            <v>Perfusor</v>
          </cell>
          <cell r="O1238" t="str">
            <v>Perfusor Space</v>
          </cell>
          <cell r="P1238" t="str">
            <v>186631</v>
          </cell>
          <cell r="Q1238" t="str">
            <v>Not Applicable</v>
          </cell>
          <cell r="R1238" t="str">
            <v>B Braun Melsungen AG</v>
          </cell>
          <cell r="S1238" t="str">
            <v>B Braun Medical Supplies Sdn. Bhd.</v>
          </cell>
          <cell r="T1238" t="str">
            <v>Functioning</v>
          </cell>
          <cell r="U1238" t="str">
            <v>Asset</v>
          </cell>
          <cell r="V1238">
            <v>10225</v>
          </cell>
          <cell r="W1238" t="str">
            <v>KEW</v>
          </cell>
          <cell r="X1238" t="str">
            <v>01/09/2010</v>
          </cell>
          <cell r="Y1238" t="str">
            <v>KEW</v>
          </cell>
          <cell r="Z1238" t="str">
            <v>16/08/2013</v>
          </cell>
          <cell r="AA1238" t="str">
            <v>15/08/2015</v>
          </cell>
          <cell r="AB1238" t="str">
            <v>No</v>
          </cell>
          <cell r="AC1238" t="str">
            <v>31/08/2013</v>
          </cell>
          <cell r="AD1238" t="str">
            <v>Good</v>
          </cell>
          <cell r="AE1238" t="str">
            <v>V1 - Existing / No Claim</v>
          </cell>
          <cell r="AF1238">
            <v>42235</v>
          </cell>
          <cell r="AG1238">
            <v>9.17</v>
          </cell>
          <cell r="AH1238" t="str">
            <v>PPM</v>
          </cell>
          <cell r="AI1238" t="str">
            <v>Strands</v>
          </cell>
          <cell r="AJ1238" t="str">
            <v>Strands PW</v>
          </cell>
        </row>
        <row r="1239">
          <cell r="A1239" t="str">
            <v>IKN400847</v>
          </cell>
          <cell r="B1239">
            <v>847</v>
          </cell>
          <cell r="C1239" t="str">
            <v>Institut Kanser Negara</v>
          </cell>
          <cell r="D1239" t="str">
            <v>KKM/IKN/H/13/2610</v>
          </cell>
          <cell r="E1239" t="str">
            <v>16-924</v>
          </cell>
          <cell r="F1239" t="str">
            <v>Infusion Pumps, Patient-Controlled Analgesic</v>
          </cell>
          <cell r="G1239" t="str">
            <v>RT</v>
          </cell>
          <cell r="H1239" t="str">
            <v>RADIATION TREATMENT UNIT</v>
          </cell>
          <cell r="I1239" t="str">
            <v>01RT278</v>
          </cell>
          <cell r="J1239" t="str">
            <v>BRACHY OT 2</v>
          </cell>
          <cell r="K1239" t="str">
            <v>BMED</v>
          </cell>
          <cell r="L1239" t="str">
            <v>Normal</v>
          </cell>
          <cell r="M1239" t="str">
            <v>Germany</v>
          </cell>
          <cell r="N1239" t="str">
            <v>Perfusor</v>
          </cell>
          <cell r="O1239" t="str">
            <v>Perfusor Space PCA</v>
          </cell>
          <cell r="P1239" t="str">
            <v>187006</v>
          </cell>
          <cell r="Q1239" t="str">
            <v>Not Applicable</v>
          </cell>
          <cell r="R1239" t="str">
            <v>B Braun Melsungen AG</v>
          </cell>
          <cell r="S1239" t="str">
            <v>B Braun Medical Supplies Sdn. Bhd.</v>
          </cell>
          <cell r="T1239" t="str">
            <v>Functioning</v>
          </cell>
          <cell r="U1239" t="str">
            <v>Asset</v>
          </cell>
          <cell r="V1239">
            <v>9622</v>
          </cell>
          <cell r="W1239" t="str">
            <v>KEW</v>
          </cell>
          <cell r="X1239" t="str">
            <v>01/09/2010</v>
          </cell>
          <cell r="Y1239" t="str">
            <v>KEW</v>
          </cell>
          <cell r="Z1239" t="str">
            <v>16/08/2013</v>
          </cell>
          <cell r="AA1239" t="str">
            <v>15/08/2015</v>
          </cell>
          <cell r="AB1239" t="str">
            <v>No</v>
          </cell>
          <cell r="AC1239" t="str">
            <v>31/08/2013</v>
          </cell>
          <cell r="AD1239" t="str">
            <v>Good</v>
          </cell>
          <cell r="AE1239" t="str">
            <v>V1 - Existing / No Claim</v>
          </cell>
          <cell r="AF1239">
            <v>42235</v>
          </cell>
          <cell r="AG1239">
            <v>9.17</v>
          </cell>
          <cell r="AH1239" t="str">
            <v>PPM</v>
          </cell>
          <cell r="AI1239" t="str">
            <v>Strands</v>
          </cell>
          <cell r="AJ1239" t="str">
            <v>Strands PW</v>
          </cell>
        </row>
        <row r="1240">
          <cell r="A1240" t="str">
            <v>IKN400848</v>
          </cell>
          <cell r="B1240">
            <v>848</v>
          </cell>
          <cell r="C1240" t="str">
            <v>Institut Kanser Negara</v>
          </cell>
          <cell r="D1240" t="str">
            <v>KKM/IKN/H/13/2613</v>
          </cell>
          <cell r="E1240" t="str">
            <v>13-215</v>
          </cell>
          <cell r="F1240" t="str">
            <v>Infusion Pumps, General-Purpose</v>
          </cell>
          <cell r="G1240" t="str">
            <v>RT</v>
          </cell>
          <cell r="H1240" t="str">
            <v>RADIATION TREATMENT UNIT</v>
          </cell>
          <cell r="I1240" t="str">
            <v>01RT278</v>
          </cell>
          <cell r="J1240" t="str">
            <v>BRACHY OT 2</v>
          </cell>
          <cell r="K1240" t="str">
            <v>BMED</v>
          </cell>
          <cell r="L1240" t="str">
            <v>Normal</v>
          </cell>
          <cell r="M1240" t="str">
            <v>Germany</v>
          </cell>
          <cell r="N1240" t="str">
            <v>Infusomat</v>
          </cell>
          <cell r="O1240" t="str">
            <v>Infusomat Space</v>
          </cell>
          <cell r="P1240" t="str">
            <v>211908</v>
          </cell>
          <cell r="Q1240" t="str">
            <v>Not Applicable</v>
          </cell>
          <cell r="R1240" t="str">
            <v>B Braun Melsungen AG</v>
          </cell>
          <cell r="S1240" t="str">
            <v>B Braun Medical Supplies Sdn. Bhd.</v>
          </cell>
          <cell r="T1240" t="str">
            <v>Functioning</v>
          </cell>
          <cell r="U1240" t="str">
            <v>Asset</v>
          </cell>
          <cell r="V1240">
            <v>10825</v>
          </cell>
          <cell r="W1240" t="str">
            <v>KEW</v>
          </cell>
          <cell r="X1240" t="str">
            <v>01/09/2010</v>
          </cell>
          <cell r="Y1240" t="str">
            <v>KEW</v>
          </cell>
          <cell r="Z1240" t="str">
            <v>16/08/2013</v>
          </cell>
          <cell r="AA1240" t="str">
            <v>15/08/2015</v>
          </cell>
          <cell r="AB1240" t="str">
            <v>No</v>
          </cell>
          <cell r="AC1240" t="str">
            <v>31/08/2013</v>
          </cell>
          <cell r="AD1240" t="str">
            <v>Good</v>
          </cell>
          <cell r="AE1240" t="str">
            <v>V1 - Existing / No Claim</v>
          </cell>
          <cell r="AF1240">
            <v>42235</v>
          </cell>
          <cell r="AG1240">
            <v>9.17</v>
          </cell>
          <cell r="AH1240" t="str">
            <v>PPM</v>
          </cell>
          <cell r="AI1240" t="str">
            <v>Strands</v>
          </cell>
          <cell r="AJ1240" t="str">
            <v>Strands PW</v>
          </cell>
        </row>
        <row r="1241">
          <cell r="A1241" t="str">
            <v>IKN400849</v>
          </cell>
          <cell r="B1241">
            <v>849</v>
          </cell>
          <cell r="C1241" t="str">
            <v>Institut Kanser Negara</v>
          </cell>
          <cell r="D1241" t="str">
            <v>KKM/IKN/H/13/2196</v>
          </cell>
          <cell r="E1241" t="str">
            <v>12-647</v>
          </cell>
          <cell r="F1241" t="str">
            <v>Physiologic Monitoring Systems, Acute Care</v>
          </cell>
          <cell r="G1241" t="str">
            <v>RT</v>
          </cell>
          <cell r="H1241" t="str">
            <v>RADIATION TREATMENT UNIT</v>
          </cell>
          <cell r="I1241" t="str">
            <v>01RT278</v>
          </cell>
          <cell r="J1241" t="str">
            <v>BRACHY OT 2</v>
          </cell>
          <cell r="K1241" t="str">
            <v>BMED</v>
          </cell>
          <cell r="L1241" t="str">
            <v>Normal</v>
          </cell>
          <cell r="M1241" t="str">
            <v>Finland</v>
          </cell>
          <cell r="N1241" t="str">
            <v>Carespace</v>
          </cell>
          <cell r="O1241" t="str">
            <v>Carespace B850</v>
          </cell>
          <cell r="P1241" t="str">
            <v>SED12370679GA</v>
          </cell>
          <cell r="Q1241" t="str">
            <v>Not Applicable</v>
          </cell>
          <cell r="R1241" t="str">
            <v>GE Healthcare Systems</v>
          </cell>
          <cell r="S1241" t="str">
            <v>GE Healthcare Technologies</v>
          </cell>
          <cell r="T1241" t="str">
            <v>Functioning</v>
          </cell>
          <cell r="U1241" t="str">
            <v>Asset</v>
          </cell>
          <cell r="V1241">
            <v>119690</v>
          </cell>
          <cell r="W1241" t="str">
            <v>KEW</v>
          </cell>
          <cell r="X1241" t="str">
            <v>01/09/2010</v>
          </cell>
          <cell r="Y1241" t="str">
            <v>KEW</v>
          </cell>
          <cell r="Z1241" t="str">
            <v>16/08/2013</v>
          </cell>
          <cell r="AA1241" t="str">
            <v>15/08/2015</v>
          </cell>
          <cell r="AB1241" t="str">
            <v>No</v>
          </cell>
          <cell r="AC1241" t="str">
            <v>31/08/2013</v>
          </cell>
          <cell r="AD1241" t="str">
            <v>Good</v>
          </cell>
          <cell r="AE1241" t="str">
            <v>V1 - Existing / No Claim</v>
          </cell>
          <cell r="AF1241">
            <v>42235</v>
          </cell>
          <cell r="AG1241">
            <v>9.17</v>
          </cell>
          <cell r="AH1241" t="str">
            <v>PPM</v>
          </cell>
          <cell r="AI1241" t="str">
            <v>Strands</v>
          </cell>
          <cell r="AJ1241" t="str">
            <v>Strands PW</v>
          </cell>
        </row>
        <row r="1242">
          <cell r="A1242" t="str">
            <v>IKN400850</v>
          </cell>
          <cell r="B1242">
            <v>850</v>
          </cell>
          <cell r="C1242" t="str">
            <v>Institut Kanser Negara</v>
          </cell>
          <cell r="D1242" t="str">
            <v>N/A</v>
          </cell>
          <cell r="E1242" t="str">
            <v>17-732</v>
          </cell>
          <cell r="F1242" t="str">
            <v>Brachytherapy Applicators, Afterloading</v>
          </cell>
          <cell r="G1242" t="str">
            <v>RT</v>
          </cell>
          <cell r="H1242" t="str">
            <v>RADIATION TREATMENT UNIT</v>
          </cell>
          <cell r="I1242" t="str">
            <v>01RT243</v>
          </cell>
          <cell r="J1242" t="str">
            <v>NURSE STATION</v>
          </cell>
          <cell r="K1242" t="str">
            <v>BMED</v>
          </cell>
          <cell r="L1242" t="str">
            <v>Normal</v>
          </cell>
          <cell r="M1242" t="str">
            <v>Germany</v>
          </cell>
          <cell r="N1242" t="str">
            <v>MultiSource</v>
          </cell>
          <cell r="O1242" t="str">
            <v>MultiSource HDR Afterloader</v>
          </cell>
          <cell r="P1242" t="str">
            <v>445</v>
          </cell>
          <cell r="Q1242" t="str">
            <v>Not Applicable</v>
          </cell>
          <cell r="R1242" t="str">
            <v>IBt Bebig Group</v>
          </cell>
          <cell r="S1242" t="str">
            <v>Oncoray Sdn Bhd</v>
          </cell>
          <cell r="T1242" t="str">
            <v>Functioning</v>
          </cell>
          <cell r="U1242" t="str">
            <v>Asset</v>
          </cell>
          <cell r="V1242">
            <v>3420120</v>
          </cell>
          <cell r="W1242" t="str">
            <v>KEW</v>
          </cell>
          <cell r="X1242" t="str">
            <v>01/09/2010</v>
          </cell>
          <cell r="Y1242" t="str">
            <v>KEW</v>
          </cell>
          <cell r="Z1242" t="str">
            <v>16/08/2013</v>
          </cell>
          <cell r="AA1242" t="str">
            <v>15/08/2015</v>
          </cell>
          <cell r="AB1242" t="str">
            <v>No</v>
          </cell>
          <cell r="AC1242" t="str">
            <v>31/08/2013</v>
          </cell>
          <cell r="AD1242" t="str">
            <v>Good</v>
          </cell>
          <cell r="AE1242" t="str">
            <v>V1 - Existing / No Claim</v>
          </cell>
          <cell r="AF1242">
            <v>42801</v>
          </cell>
          <cell r="AG1242">
            <v>9.17</v>
          </cell>
          <cell r="AH1242" t="str">
            <v>PPM</v>
          </cell>
          <cell r="AI1242" t="str">
            <v>Strands</v>
          </cell>
          <cell r="AJ1242" t="str">
            <v>Strands Package</v>
          </cell>
          <cell r="AK1242" t="str">
            <v>Package Code XM0011</v>
          </cell>
        </row>
        <row r="1243">
          <cell r="A1243" t="str">
            <v>IKN400851</v>
          </cell>
          <cell r="B1243">
            <v>851</v>
          </cell>
          <cell r="C1243" t="str">
            <v>Institut Kanser Negara</v>
          </cell>
          <cell r="D1243" t="str">
            <v>KKM/IKN/H/13/5299</v>
          </cell>
          <cell r="E1243" t="str">
            <v>17-848</v>
          </cell>
          <cell r="F1243" t="str">
            <v>Biopsy Guns</v>
          </cell>
          <cell r="G1243" t="str">
            <v>RT</v>
          </cell>
          <cell r="H1243" t="str">
            <v>RADIATION TREATMENT UNIT</v>
          </cell>
          <cell r="I1243" t="str">
            <v>01RT278</v>
          </cell>
          <cell r="J1243" t="str">
            <v>BRACHY OT 2</v>
          </cell>
          <cell r="K1243" t="str">
            <v>BMED</v>
          </cell>
          <cell r="L1243" t="str">
            <v>Normal</v>
          </cell>
          <cell r="M1243" t="str">
            <v>USA</v>
          </cell>
          <cell r="N1243" t="str">
            <v>Magnum</v>
          </cell>
          <cell r="O1243" t="str">
            <v>Magnum MG1522</v>
          </cell>
          <cell r="P1243" t="str">
            <v>51JV254</v>
          </cell>
          <cell r="Q1243" t="str">
            <v>Not Applicable</v>
          </cell>
          <cell r="R1243" t="str">
            <v>Bard Peripheral Vascular Inc</v>
          </cell>
          <cell r="S1243" t="str">
            <v>Healthcare Solution</v>
          </cell>
          <cell r="T1243" t="str">
            <v>Functioning</v>
          </cell>
          <cell r="U1243" t="str">
            <v>Asset</v>
          </cell>
          <cell r="V1243">
            <v>8510</v>
          </cell>
          <cell r="W1243" t="str">
            <v>KEW</v>
          </cell>
          <cell r="X1243" t="str">
            <v>01/09/2010</v>
          </cell>
          <cell r="Y1243" t="str">
            <v>KEW</v>
          </cell>
          <cell r="Z1243" t="str">
            <v>16/08/2013</v>
          </cell>
          <cell r="AA1243" t="str">
            <v>15/08/2015</v>
          </cell>
          <cell r="AB1243" t="str">
            <v>No</v>
          </cell>
          <cell r="AC1243" t="str">
            <v>31/08/2013</v>
          </cell>
          <cell r="AD1243" t="str">
            <v>Good</v>
          </cell>
          <cell r="AE1243" t="str">
            <v>V1 - Existing / No Claim</v>
          </cell>
          <cell r="AF1243">
            <v>42235</v>
          </cell>
          <cell r="AG1243">
            <v>9.17</v>
          </cell>
          <cell r="AH1243" t="str">
            <v>PPM</v>
          </cell>
          <cell r="AI1243" t="str">
            <v>Strands</v>
          </cell>
          <cell r="AJ1243" t="str">
            <v>Strands PW</v>
          </cell>
        </row>
        <row r="1244">
          <cell r="A1244" t="str">
            <v>IKN400853</v>
          </cell>
          <cell r="B1244">
            <v>853</v>
          </cell>
          <cell r="C1244" t="str">
            <v>Institut Kanser Negara</v>
          </cell>
          <cell r="D1244" t="str">
            <v>KKM/IKN/H/13/2627</v>
          </cell>
          <cell r="E1244" t="str">
            <v>10-414</v>
          </cell>
          <cell r="F1244" t="str">
            <v>Warming Units, Blanket</v>
          </cell>
          <cell r="G1244" t="str">
            <v>RT</v>
          </cell>
          <cell r="H1244" t="str">
            <v>RADIATION TREATMENT UNIT</v>
          </cell>
          <cell r="I1244" t="str">
            <v>01RT278</v>
          </cell>
          <cell r="J1244" t="str">
            <v>BRACHY OT 2</v>
          </cell>
          <cell r="K1244" t="str">
            <v>BMED</v>
          </cell>
          <cell r="L1244" t="str">
            <v>Normal</v>
          </cell>
          <cell r="M1244" t="str">
            <v>Sweden</v>
          </cell>
          <cell r="N1244" t="str">
            <v>Operatherm</v>
          </cell>
          <cell r="O1244" t="str">
            <v>Operatherm 303</v>
          </cell>
          <cell r="P1244" t="str">
            <v>00792-12</v>
          </cell>
          <cell r="Q1244" t="str">
            <v>Not Applicable</v>
          </cell>
          <cell r="R1244" t="str">
            <v>Kanmed</v>
          </cell>
          <cell r="S1244" t="str">
            <v>Perniagaan Med Tech</v>
          </cell>
          <cell r="T1244" t="str">
            <v>Functioning</v>
          </cell>
          <cell r="U1244" t="str">
            <v>Asset</v>
          </cell>
          <cell r="V1244">
            <v>15515</v>
          </cell>
          <cell r="W1244" t="str">
            <v>KEW</v>
          </cell>
          <cell r="X1244" t="str">
            <v>01/09/2010</v>
          </cell>
          <cell r="Y1244" t="str">
            <v>KEW</v>
          </cell>
          <cell r="Z1244" t="str">
            <v>16/08/2013</v>
          </cell>
          <cell r="AA1244" t="str">
            <v>15/08/2015</v>
          </cell>
          <cell r="AB1244" t="str">
            <v>No</v>
          </cell>
          <cell r="AC1244" t="str">
            <v>31/08/2013</v>
          </cell>
          <cell r="AD1244" t="str">
            <v>Good</v>
          </cell>
          <cell r="AE1244" t="str">
            <v>V1 - Existing / No Claim</v>
          </cell>
          <cell r="AF1244">
            <v>42235</v>
          </cell>
          <cell r="AG1244">
            <v>9.17</v>
          </cell>
          <cell r="AH1244" t="str">
            <v>PPM</v>
          </cell>
          <cell r="AI1244" t="str">
            <v>Strands</v>
          </cell>
          <cell r="AJ1244" t="str">
            <v>Strands PW</v>
          </cell>
        </row>
        <row r="1245">
          <cell r="A1245" t="str">
            <v>IKN400863</v>
          </cell>
          <cell r="B1245">
            <v>862</v>
          </cell>
          <cell r="C1245" t="str">
            <v>Institut Kanser Negara</v>
          </cell>
          <cell r="D1245" t="str">
            <v>KKM/IKN/H/13/2483-13</v>
          </cell>
          <cell r="E1245" t="str">
            <v>15-967</v>
          </cell>
          <cell r="F1245" t="str">
            <v>Television Systems, Endoscope</v>
          </cell>
          <cell r="G1245" t="str">
            <v>OT</v>
          </cell>
          <cell r="H1245" t="str">
            <v>OPERATING THEATRE</v>
          </cell>
          <cell r="I1245" t="str">
            <v>05OT167</v>
          </cell>
          <cell r="J1245" t="str">
            <v>SCOPE WASH</v>
          </cell>
          <cell r="K1245" t="str">
            <v>BMED</v>
          </cell>
          <cell r="L1245" t="str">
            <v>Normal</v>
          </cell>
          <cell r="M1245" t="str">
            <v>GERMANY</v>
          </cell>
          <cell r="N1245" t="str">
            <v>Karl Storz Gmbh &amp; Co</v>
          </cell>
          <cell r="O1245" t="str">
            <v>9626.NB/KS-26</v>
          </cell>
          <cell r="P1245" t="str">
            <v>51303180PW009</v>
          </cell>
          <cell r="Q1245" t="str">
            <v>Not Applicable</v>
          </cell>
          <cell r="R1245" t="str">
            <v>Karl Storz Gmbh &amp; Co</v>
          </cell>
          <cell r="S1245" t="str">
            <v>UMMI Surgical Sdn Bhd</v>
          </cell>
          <cell r="T1245" t="str">
            <v>Functioning</v>
          </cell>
          <cell r="U1245" t="str">
            <v>Asset</v>
          </cell>
          <cell r="V1245">
            <v>10000</v>
          </cell>
          <cell r="W1245" t="str">
            <v>Replacement</v>
          </cell>
          <cell r="X1245" t="str">
            <v>01/09/2010</v>
          </cell>
          <cell r="Y1245" t="str">
            <v>KEW</v>
          </cell>
          <cell r="Z1245" t="str">
            <v>16/08/2013</v>
          </cell>
          <cell r="AA1245" t="str">
            <v>15/08/2015</v>
          </cell>
          <cell r="AB1245" t="str">
            <v>No</v>
          </cell>
          <cell r="AC1245" t="str">
            <v>31/08/2013</v>
          </cell>
          <cell r="AD1245" t="str">
            <v>Good</v>
          </cell>
          <cell r="AE1245" t="str">
            <v>V1 - Existing / No Claim</v>
          </cell>
          <cell r="AF1245">
            <v>42958</v>
          </cell>
          <cell r="AG1245">
            <v>9.17</v>
          </cell>
          <cell r="AH1245" t="str">
            <v>RI</v>
          </cell>
          <cell r="AI1245" t="str">
            <v>Strands</v>
          </cell>
          <cell r="AJ1245" t="str">
            <v>Strands Package</v>
          </cell>
          <cell r="AK1245" t="str">
            <v>Package Code EP0127A</v>
          </cell>
        </row>
        <row r="1246">
          <cell r="A1246" t="str">
            <v>IKN400864</v>
          </cell>
          <cell r="B1246">
            <v>863</v>
          </cell>
          <cell r="C1246" t="str">
            <v>Institut Kanser Negara</v>
          </cell>
          <cell r="D1246" t="str">
            <v>KKM/IKN/H/13/2483-20</v>
          </cell>
          <cell r="E1246" t="str">
            <v>12-345</v>
          </cell>
          <cell r="F1246" t="str">
            <v>Light Sources, Fiberoptic</v>
          </cell>
          <cell r="G1246" t="str">
            <v>OT</v>
          </cell>
          <cell r="H1246" t="str">
            <v>OPERATING THEATRE</v>
          </cell>
          <cell r="I1246" t="str">
            <v>05OT167</v>
          </cell>
          <cell r="J1246" t="str">
            <v>SCOPE WASH</v>
          </cell>
          <cell r="K1246" t="str">
            <v>BMED</v>
          </cell>
          <cell r="L1246" t="str">
            <v>Normal</v>
          </cell>
          <cell r="M1246" t="str">
            <v>Germany</v>
          </cell>
          <cell r="N1246" t="str">
            <v>Xenon Nova</v>
          </cell>
          <cell r="O1246" t="str">
            <v>Xenon Nova 300, 201340 20</v>
          </cell>
          <cell r="P1246" t="str">
            <v>PW0687519</v>
          </cell>
          <cell r="Q1246" t="str">
            <v>Not Applicable</v>
          </cell>
          <cell r="R1246" t="str">
            <v>Karl Storz GmbH</v>
          </cell>
          <cell r="S1246" t="str">
            <v>UMMI Surgical Sdn Bhd</v>
          </cell>
          <cell r="T1246" t="str">
            <v>Functioning</v>
          </cell>
          <cell r="U1246" t="str">
            <v>Asset</v>
          </cell>
          <cell r="V1246">
            <v>100000</v>
          </cell>
          <cell r="W1246" t="str">
            <v>Estimate</v>
          </cell>
          <cell r="X1246" t="str">
            <v>01/09/2010</v>
          </cell>
          <cell r="Y1246" t="str">
            <v>KEW</v>
          </cell>
          <cell r="Z1246" t="str">
            <v>16/08/2013</v>
          </cell>
          <cell r="AA1246" t="str">
            <v>15/08/2015</v>
          </cell>
          <cell r="AB1246" t="str">
            <v>No</v>
          </cell>
          <cell r="AC1246" t="str">
            <v>31/08/2013</v>
          </cell>
          <cell r="AD1246" t="str">
            <v>Good</v>
          </cell>
          <cell r="AE1246" t="str">
            <v>V1 - Existing / No Claim</v>
          </cell>
          <cell r="AF1246">
            <v>42616</v>
          </cell>
          <cell r="AG1246">
            <v>9.17</v>
          </cell>
          <cell r="AH1246" t="str">
            <v>PPM</v>
          </cell>
          <cell r="AI1246" t="str">
            <v>Strands</v>
          </cell>
          <cell r="AJ1246" t="str">
            <v>Strands Package</v>
          </cell>
          <cell r="AK1246" t="str">
            <v>Package Code EP0127A</v>
          </cell>
        </row>
        <row r="1247">
          <cell r="A1247" t="str">
            <v>IKN400865</v>
          </cell>
          <cell r="B1247">
            <v>864</v>
          </cell>
          <cell r="C1247" t="str">
            <v>Institut Kanser Negara</v>
          </cell>
          <cell r="D1247" t="str">
            <v>KKM/IKN/H/13/2483-01</v>
          </cell>
          <cell r="E1247" t="str">
            <v>17-002</v>
          </cell>
          <cell r="F1247" t="str">
            <v>Cameras, Video, Endoscope</v>
          </cell>
          <cell r="G1247" t="str">
            <v>OT</v>
          </cell>
          <cell r="H1247" t="str">
            <v>OPERATING THEATRE</v>
          </cell>
          <cell r="I1247" t="str">
            <v>05OT167</v>
          </cell>
          <cell r="J1247" t="str">
            <v>SCOPE WASH</v>
          </cell>
          <cell r="K1247" t="str">
            <v>BMED</v>
          </cell>
          <cell r="L1247" t="str">
            <v>Normal</v>
          </cell>
          <cell r="M1247" t="str">
            <v>Germany</v>
          </cell>
          <cell r="N1247" t="str">
            <v>Image 1</v>
          </cell>
          <cell r="O1247" t="str">
            <v>Image 1 HUB 22201020</v>
          </cell>
          <cell r="P1247" t="str">
            <v>NW701882-P</v>
          </cell>
          <cell r="Q1247" t="str">
            <v>Not Applicable</v>
          </cell>
          <cell r="R1247" t="str">
            <v>Karl Storz-Endoskope</v>
          </cell>
          <cell r="S1247" t="str">
            <v>UMMI Surgical Sdn Bhd</v>
          </cell>
          <cell r="T1247" t="str">
            <v>Functioning</v>
          </cell>
          <cell r="U1247" t="str">
            <v>Asset</v>
          </cell>
          <cell r="V1247">
            <v>100000</v>
          </cell>
          <cell r="W1247" t="str">
            <v>Estimate</v>
          </cell>
          <cell r="X1247" t="str">
            <v>01/09/2010</v>
          </cell>
          <cell r="Y1247" t="str">
            <v>KEW</v>
          </cell>
          <cell r="Z1247" t="str">
            <v>16/08/2013</v>
          </cell>
          <cell r="AA1247" t="str">
            <v>15/08/2015</v>
          </cell>
          <cell r="AB1247" t="str">
            <v>No</v>
          </cell>
          <cell r="AC1247" t="str">
            <v>31/08/2013</v>
          </cell>
          <cell r="AD1247" t="str">
            <v>Good</v>
          </cell>
          <cell r="AE1247" t="str">
            <v>V1 - Existing / No Claim</v>
          </cell>
          <cell r="AF1247">
            <v>42958</v>
          </cell>
          <cell r="AG1247">
            <v>9.17</v>
          </cell>
          <cell r="AH1247" t="str">
            <v>PPM</v>
          </cell>
          <cell r="AI1247" t="str">
            <v>Strands</v>
          </cell>
          <cell r="AJ1247" t="str">
            <v>Strands Package</v>
          </cell>
          <cell r="AK1247" t="str">
            <v>[Indira] Camera Head (Serial No: YX805370-H), CAT No: 22220055 (Cable: ). [18/9/2023, SHARIFAH]: PEP ON 27/7/2023, BER/BEMS/IKN/23/014 - Asset masih berfungsi namun tidak dapat dibaiki sekiranya berlaku kerosakan pada komponen utama. Package Code EP0127A</v>
          </cell>
        </row>
        <row r="1248">
          <cell r="A1248" t="str">
            <v>IKN400866</v>
          </cell>
          <cell r="B1248">
            <v>865</v>
          </cell>
          <cell r="C1248" t="str">
            <v>Institut Kanser Negara</v>
          </cell>
          <cell r="D1248" t="str">
            <v>KKM/IKN/H/13/2483-36</v>
          </cell>
          <cell r="E1248" t="str">
            <v>16-849</v>
          </cell>
          <cell r="F1248" t="str">
            <v>Insufflators, Laparoscopic</v>
          </cell>
          <cell r="G1248" t="str">
            <v>OT</v>
          </cell>
          <cell r="H1248" t="str">
            <v>OPERATING THEATRE</v>
          </cell>
          <cell r="I1248" t="str">
            <v>05OT167</v>
          </cell>
          <cell r="J1248" t="str">
            <v>SCOPE WASH</v>
          </cell>
          <cell r="K1248" t="str">
            <v>BMED</v>
          </cell>
          <cell r="L1248" t="str">
            <v>Critical</v>
          </cell>
          <cell r="M1248" t="str">
            <v>Germany</v>
          </cell>
          <cell r="N1248" t="str">
            <v>Thermoflator</v>
          </cell>
          <cell r="O1248" t="str">
            <v>Thermoflator</v>
          </cell>
          <cell r="P1248" t="str">
            <v>RW15883-B</v>
          </cell>
          <cell r="Q1248" t="str">
            <v>Not Applicable</v>
          </cell>
          <cell r="R1248" t="str">
            <v>Karl Storz GmbH &amp; Co KG</v>
          </cell>
          <cell r="S1248" t="str">
            <v>UMMI Surgical Sdn Bhd</v>
          </cell>
          <cell r="T1248" t="str">
            <v>Functioning</v>
          </cell>
          <cell r="U1248" t="str">
            <v>Asset</v>
          </cell>
          <cell r="V1248">
            <v>120000</v>
          </cell>
          <cell r="W1248" t="str">
            <v>KEW</v>
          </cell>
          <cell r="X1248" t="str">
            <v>01/09/2010</v>
          </cell>
          <cell r="Y1248" t="str">
            <v>KEW</v>
          </cell>
          <cell r="Z1248" t="str">
            <v>16/08/2013</v>
          </cell>
          <cell r="AA1248" t="str">
            <v>15/08/2015</v>
          </cell>
          <cell r="AB1248" t="str">
            <v>No</v>
          </cell>
          <cell r="AC1248" t="str">
            <v>31/08/2013</v>
          </cell>
          <cell r="AD1248" t="str">
            <v>Good</v>
          </cell>
          <cell r="AE1248" t="str">
            <v>V1 - Existing / No Claim</v>
          </cell>
          <cell r="AF1248">
            <v>42958</v>
          </cell>
          <cell r="AG1248">
            <v>9.17</v>
          </cell>
          <cell r="AH1248" t="str">
            <v>PPM</v>
          </cell>
          <cell r="AI1248" t="str">
            <v>Strands</v>
          </cell>
          <cell r="AJ1248" t="str">
            <v>Strands Package</v>
          </cell>
          <cell r="AK1248" t="str">
            <v>Package Code EP0127A</v>
          </cell>
        </row>
        <row r="1249">
          <cell r="A1249" t="str">
            <v>IKN400867</v>
          </cell>
          <cell r="B1249">
            <v>866</v>
          </cell>
          <cell r="C1249" t="str">
            <v>Institut Kanser Negara</v>
          </cell>
          <cell r="D1249" t="str">
            <v>KKM/IKN/H/13/2483-24</v>
          </cell>
          <cell r="E1249" t="str">
            <v>13-274</v>
          </cell>
          <cell r="F1249" t="str">
            <v>Recorders, Tape, Video</v>
          </cell>
          <cell r="G1249" t="str">
            <v>OT</v>
          </cell>
          <cell r="H1249" t="str">
            <v>OPERATING THEATRE</v>
          </cell>
          <cell r="I1249" t="str">
            <v>05OT167</v>
          </cell>
          <cell r="J1249" t="str">
            <v>SCOPE WASH</v>
          </cell>
          <cell r="K1249" t="str">
            <v>BMED</v>
          </cell>
          <cell r="L1249" t="str">
            <v>Normal</v>
          </cell>
          <cell r="M1249" t="str">
            <v>Germany</v>
          </cell>
          <cell r="N1249" t="str">
            <v>Aoda</v>
          </cell>
          <cell r="O1249" t="str">
            <v>Aoda Control Neo</v>
          </cell>
          <cell r="P1249" t="str">
            <v>KSB13263</v>
          </cell>
          <cell r="Q1249" t="str">
            <v>Not Applicable</v>
          </cell>
          <cell r="R1249" t="str">
            <v>Karl Storz GmbH &amp; Co KG</v>
          </cell>
          <cell r="S1249" t="str">
            <v>UMMI Surgical Sdn Bhd</v>
          </cell>
          <cell r="T1249" t="str">
            <v>Functioning</v>
          </cell>
          <cell r="U1249" t="str">
            <v>Asset</v>
          </cell>
          <cell r="V1249">
            <v>50000</v>
          </cell>
          <cell r="W1249" t="str">
            <v>KEW</v>
          </cell>
          <cell r="X1249" t="str">
            <v>01/09/2010</v>
          </cell>
          <cell r="Y1249" t="str">
            <v>KEW</v>
          </cell>
          <cell r="Z1249" t="str">
            <v>16/08/2013</v>
          </cell>
          <cell r="AA1249" t="str">
            <v>15/08/2015</v>
          </cell>
          <cell r="AB1249" t="str">
            <v>No</v>
          </cell>
          <cell r="AC1249" t="str">
            <v>31/08/2013</v>
          </cell>
          <cell r="AD1249" t="str">
            <v>Good</v>
          </cell>
          <cell r="AE1249" t="str">
            <v>V1 - Existing / No Claim</v>
          </cell>
          <cell r="AF1249">
            <v>42958</v>
          </cell>
          <cell r="AG1249">
            <v>9.17</v>
          </cell>
          <cell r="AH1249" t="str">
            <v>RI</v>
          </cell>
          <cell r="AI1249" t="str">
            <v>Strands</v>
          </cell>
          <cell r="AJ1249" t="str">
            <v>Strands Package</v>
          </cell>
          <cell r="AK1249" t="str">
            <v>Package Code EP0127A</v>
          </cell>
        </row>
        <row r="1250">
          <cell r="A1250" t="str">
            <v>IKN400868</v>
          </cell>
          <cell r="B1250">
            <v>867</v>
          </cell>
          <cell r="C1250" t="str">
            <v>Institut Kanser Negara</v>
          </cell>
          <cell r="D1250" t="e">
            <v>#N/A</v>
          </cell>
          <cell r="E1250" t="str">
            <v>16-603</v>
          </cell>
          <cell r="F1250" t="str">
            <v>Television Monitors</v>
          </cell>
          <cell r="G1250" t="str">
            <v>OT</v>
          </cell>
          <cell r="H1250" t="str">
            <v>OPERATING THEATRE</v>
          </cell>
          <cell r="I1250" t="str">
            <v>05OT167</v>
          </cell>
          <cell r="J1250" t="str">
            <v>SCOPE WASH</v>
          </cell>
          <cell r="K1250" t="str">
            <v>BMED</v>
          </cell>
          <cell r="L1250" t="str">
            <v>Normal</v>
          </cell>
          <cell r="M1250" t="str">
            <v>China</v>
          </cell>
          <cell r="N1250" t="str">
            <v>BenQ</v>
          </cell>
          <cell r="O1250" t="str">
            <v>BenQ GL2050</v>
          </cell>
          <cell r="P1250" t="str">
            <v>ETMBC8626SLO</v>
          </cell>
          <cell r="Q1250" t="str">
            <v>Not Applicable</v>
          </cell>
          <cell r="R1250" t="str">
            <v>BenQ Corp</v>
          </cell>
          <cell r="S1250" t="str">
            <v>UMMI Surgical Sdn Bhd</v>
          </cell>
          <cell r="T1250" t="str">
            <v>Functioning</v>
          </cell>
          <cell r="U1250" t="str">
            <v>Asset</v>
          </cell>
          <cell r="V1250">
            <v>7000</v>
          </cell>
          <cell r="W1250" t="str">
            <v>Estimate</v>
          </cell>
          <cell r="X1250" t="str">
            <v>01/09/2010</v>
          </cell>
          <cell r="Y1250" t="str">
            <v>KEW</v>
          </cell>
          <cell r="Z1250" t="str">
            <v>16/08/2013</v>
          </cell>
          <cell r="AA1250" t="str">
            <v>15/08/2015</v>
          </cell>
          <cell r="AB1250" t="str">
            <v>No</v>
          </cell>
          <cell r="AC1250" t="str">
            <v>31/08/2013</v>
          </cell>
          <cell r="AD1250" t="str">
            <v>Good</v>
          </cell>
          <cell r="AE1250" t="str">
            <v>V1 - Existing / No Claim</v>
          </cell>
          <cell r="AF1250">
            <v>42958</v>
          </cell>
          <cell r="AG1250">
            <v>9.17</v>
          </cell>
          <cell r="AH1250" t="str">
            <v>RI</v>
          </cell>
          <cell r="AI1250" t="str">
            <v>Strands-accessories</v>
          </cell>
          <cell r="AJ1250" t="e">
            <v>#REF!</v>
          </cell>
          <cell r="AK1250" t="e">
            <v>#N/A</v>
          </cell>
        </row>
        <row r="1251">
          <cell r="A1251" t="str">
            <v>IKN400869</v>
          </cell>
          <cell r="B1251">
            <v>868</v>
          </cell>
          <cell r="C1251" t="str">
            <v>Institut Kanser Negara</v>
          </cell>
          <cell r="D1251" t="str">
            <v>KKM/IKN/H/14/86</v>
          </cell>
          <cell r="E1251" t="str">
            <v>17-950</v>
          </cell>
          <cell r="F1251" t="str">
            <v>Warming Units, Patient, Forced-Air</v>
          </cell>
          <cell r="G1251" t="str">
            <v>RT</v>
          </cell>
          <cell r="H1251" t="str">
            <v>RADIATION TREATMENT UNIT</v>
          </cell>
          <cell r="I1251" t="str">
            <v>01RT116</v>
          </cell>
          <cell r="J1251" t="str">
            <v>CT SIMULATOR 1</v>
          </cell>
          <cell r="K1251" t="str">
            <v>BMED</v>
          </cell>
          <cell r="L1251" t="str">
            <v>Normal</v>
          </cell>
          <cell r="M1251" t="str">
            <v>USA</v>
          </cell>
          <cell r="N1251" t="str">
            <v>Bair Hugger</v>
          </cell>
          <cell r="O1251" t="str">
            <v>Bair Hugger 775</v>
          </cell>
          <cell r="P1251" t="str">
            <v>46693</v>
          </cell>
          <cell r="Q1251" t="str">
            <v>Not Applicable</v>
          </cell>
          <cell r="R1251" t="str">
            <v>Arizant Healthcare Inc</v>
          </cell>
          <cell r="S1251" t="str">
            <v>Alam Medik Sdn. Bhd</v>
          </cell>
          <cell r="T1251" t="str">
            <v>Functioning</v>
          </cell>
          <cell r="U1251" t="str">
            <v>Asset</v>
          </cell>
          <cell r="V1251">
            <v>4950</v>
          </cell>
          <cell r="W1251" t="str">
            <v>KEW</v>
          </cell>
          <cell r="X1251" t="str">
            <v>26/09/2014</v>
          </cell>
          <cell r="Y1251" t="str">
            <v>KEW</v>
          </cell>
          <cell r="Z1251" t="str">
            <v>12/11/2014</v>
          </cell>
          <cell r="AA1251" t="str">
            <v>11/11/2015</v>
          </cell>
          <cell r="AB1251" t="str">
            <v>No</v>
          </cell>
          <cell r="AC1251" t="str">
            <v>12/11/2014</v>
          </cell>
          <cell r="AD1251" t="str">
            <v>Good</v>
          </cell>
          <cell r="AE1251" t="str">
            <v>V3 - Added Installed Facilities (New)</v>
          </cell>
          <cell r="AF1251">
            <v>42801</v>
          </cell>
          <cell r="AG1251">
            <v>5.17</v>
          </cell>
          <cell r="AH1251" t="str">
            <v>PPM</v>
          </cell>
          <cell r="AI1251" t="str">
            <v>Strands</v>
          </cell>
          <cell r="AJ1251" t="str">
            <v>Strands PW</v>
          </cell>
          <cell r="AK1251" t="str">
            <v>SNF received. 1st batch of V3 asset (December 2020)</v>
          </cell>
        </row>
        <row r="1252">
          <cell r="A1252" t="str">
            <v>IKN400870</v>
          </cell>
          <cell r="B1252">
            <v>869</v>
          </cell>
          <cell r="C1252" t="str">
            <v>Institut Kanser Negara</v>
          </cell>
          <cell r="D1252" t="str">
            <v>KKM/IKN/H/14/87</v>
          </cell>
          <cell r="E1252" t="str">
            <v>17-950</v>
          </cell>
          <cell r="F1252" t="str">
            <v>Warming Units, Patient, Forced-Air</v>
          </cell>
          <cell r="G1252" t="str">
            <v>RT</v>
          </cell>
          <cell r="H1252" t="str">
            <v>RADIATION TREATMENT UNIT</v>
          </cell>
          <cell r="I1252" t="str">
            <v>01RT118</v>
          </cell>
          <cell r="J1252" t="str">
            <v>CT SIMULATOR 2</v>
          </cell>
          <cell r="K1252" t="str">
            <v>BMED</v>
          </cell>
          <cell r="L1252" t="str">
            <v>Normal</v>
          </cell>
          <cell r="M1252" t="str">
            <v>USA</v>
          </cell>
          <cell r="N1252" t="str">
            <v>Bair Hugger</v>
          </cell>
          <cell r="O1252" t="str">
            <v>Bair Hugger 775</v>
          </cell>
          <cell r="P1252" t="str">
            <v>46697</v>
          </cell>
          <cell r="Q1252" t="str">
            <v>Not Applicable</v>
          </cell>
          <cell r="R1252" t="str">
            <v>Arizant Healthcare Inc</v>
          </cell>
          <cell r="S1252" t="str">
            <v>Alam Medik Sdn. Bhd</v>
          </cell>
          <cell r="T1252" t="str">
            <v>Functioning</v>
          </cell>
          <cell r="U1252" t="str">
            <v>Asset</v>
          </cell>
          <cell r="V1252">
            <v>4950</v>
          </cell>
          <cell r="W1252" t="str">
            <v>KEW</v>
          </cell>
          <cell r="X1252" t="str">
            <v>26/09/2014</v>
          </cell>
          <cell r="Y1252" t="str">
            <v>KEW</v>
          </cell>
          <cell r="Z1252" t="str">
            <v>12/11/2014</v>
          </cell>
          <cell r="AA1252" t="str">
            <v>11/11/2015</v>
          </cell>
          <cell r="AB1252" t="str">
            <v>No</v>
          </cell>
          <cell r="AC1252" t="str">
            <v>12/11/2014</v>
          </cell>
          <cell r="AD1252" t="str">
            <v>Good</v>
          </cell>
          <cell r="AE1252" t="str">
            <v>V3 - Added Installed Facilities (New)</v>
          </cell>
          <cell r="AF1252">
            <v>42801</v>
          </cell>
          <cell r="AG1252">
            <v>5.17</v>
          </cell>
          <cell r="AH1252" t="str">
            <v>PPM</v>
          </cell>
          <cell r="AI1252" t="str">
            <v>Strands</v>
          </cell>
          <cell r="AJ1252" t="str">
            <v>Strands PW</v>
          </cell>
          <cell r="AK1252" t="str">
            <v>SNF received. 1st batch of V3 asset (December 2020)</v>
          </cell>
        </row>
        <row r="1253">
          <cell r="A1253" t="str">
            <v>IKN400871</v>
          </cell>
          <cell r="B1253">
            <v>870</v>
          </cell>
          <cell r="C1253" t="str">
            <v>Institut Kanser Negara</v>
          </cell>
          <cell r="D1253" t="str">
            <v>KKM/IKN/H/14/88</v>
          </cell>
          <cell r="E1253" t="str">
            <v>17-950</v>
          </cell>
          <cell r="F1253" t="str">
            <v>Warming Units, Patient, Forced-Air</v>
          </cell>
          <cell r="G1253" t="str">
            <v>RT</v>
          </cell>
          <cell r="H1253" t="str">
            <v>RADIATION TREATMENT UNIT</v>
          </cell>
          <cell r="I1253" t="str">
            <v>01RT159</v>
          </cell>
          <cell r="J1253" t="str">
            <v>LINAC ROOM 1 (TBI)</v>
          </cell>
          <cell r="K1253" t="str">
            <v>BMED</v>
          </cell>
          <cell r="L1253" t="str">
            <v>Normal</v>
          </cell>
          <cell r="M1253" t="str">
            <v>USA</v>
          </cell>
          <cell r="N1253" t="str">
            <v>Bair Hugger</v>
          </cell>
          <cell r="O1253" t="str">
            <v>Bair Hugger 775</v>
          </cell>
          <cell r="P1253" t="str">
            <v>57896</v>
          </cell>
          <cell r="Q1253" t="str">
            <v>Not Applicable</v>
          </cell>
          <cell r="R1253" t="str">
            <v>Arizant Healthcare Inc</v>
          </cell>
          <cell r="S1253" t="str">
            <v>Alam Medik Sdn. Bhd</v>
          </cell>
          <cell r="T1253" t="str">
            <v>Functioning</v>
          </cell>
          <cell r="U1253" t="str">
            <v>Asset</v>
          </cell>
          <cell r="V1253">
            <v>4950</v>
          </cell>
          <cell r="W1253" t="str">
            <v>KEW</v>
          </cell>
          <cell r="X1253" t="str">
            <v>26/09/2014</v>
          </cell>
          <cell r="Y1253" t="str">
            <v>KEW</v>
          </cell>
          <cell r="Z1253" t="str">
            <v>12/11/2014</v>
          </cell>
          <cell r="AA1253" t="str">
            <v>11/11/2015</v>
          </cell>
          <cell r="AB1253" t="str">
            <v>No</v>
          </cell>
          <cell r="AC1253" t="str">
            <v>12/11/2014</v>
          </cell>
          <cell r="AD1253" t="str">
            <v>Good</v>
          </cell>
          <cell r="AE1253" t="str">
            <v>V3 - Added Installed Facilities (New)</v>
          </cell>
          <cell r="AF1253">
            <v>42678</v>
          </cell>
          <cell r="AG1253">
            <v>5.17</v>
          </cell>
          <cell r="AH1253" t="str">
            <v>PPM</v>
          </cell>
          <cell r="AI1253" t="str">
            <v>Strands</v>
          </cell>
          <cell r="AJ1253" t="str">
            <v>Strands PW</v>
          </cell>
          <cell r="AK1253" t="str">
            <v>SNF received. 1st batch of V3 asset (December 2020)</v>
          </cell>
        </row>
        <row r="1254">
          <cell r="A1254" t="str">
            <v>IKN400872</v>
          </cell>
          <cell r="B1254">
            <v>871</v>
          </cell>
          <cell r="C1254" t="str">
            <v>Institut Kanser Negara</v>
          </cell>
          <cell r="D1254" t="str">
            <v>KKM/IKN/H/14/89</v>
          </cell>
          <cell r="E1254" t="str">
            <v>17-950</v>
          </cell>
          <cell r="F1254" t="str">
            <v>Warming Units, Patient, Forced-Air</v>
          </cell>
          <cell r="G1254" t="str">
            <v>RT</v>
          </cell>
          <cell r="H1254" t="str">
            <v>RADIATION TREATMENT UNIT</v>
          </cell>
          <cell r="I1254" t="str">
            <v>01RT165</v>
          </cell>
          <cell r="J1254" t="str">
            <v>LINAC ROOM 2 (TBI)</v>
          </cell>
          <cell r="K1254" t="str">
            <v>BMED</v>
          </cell>
          <cell r="L1254" t="str">
            <v>Normal</v>
          </cell>
          <cell r="M1254" t="str">
            <v>USA</v>
          </cell>
          <cell r="N1254" t="str">
            <v>Bair Hugger</v>
          </cell>
          <cell r="O1254" t="str">
            <v>Bair Hugger 775</v>
          </cell>
          <cell r="P1254" t="str">
            <v>57897</v>
          </cell>
          <cell r="Q1254" t="str">
            <v>Not Applicable</v>
          </cell>
          <cell r="R1254" t="str">
            <v>Arizant Healthcare Inc</v>
          </cell>
          <cell r="S1254" t="str">
            <v>Alam Medik Sdn. Bhd</v>
          </cell>
          <cell r="T1254" t="str">
            <v>Functioning</v>
          </cell>
          <cell r="U1254" t="str">
            <v>Asset</v>
          </cell>
          <cell r="V1254">
            <v>4950</v>
          </cell>
          <cell r="W1254" t="str">
            <v>KEW</v>
          </cell>
          <cell r="X1254" t="str">
            <v>26/09/2014</v>
          </cell>
          <cell r="Y1254" t="str">
            <v>KEW</v>
          </cell>
          <cell r="Z1254" t="str">
            <v>12/11/2014</v>
          </cell>
          <cell r="AA1254" t="str">
            <v>11/11/2015</v>
          </cell>
          <cell r="AB1254" t="str">
            <v>No</v>
          </cell>
          <cell r="AC1254" t="str">
            <v>12/11/2014</v>
          </cell>
          <cell r="AD1254" t="str">
            <v>Good</v>
          </cell>
          <cell r="AE1254" t="str">
            <v>V3 - Added Installed Facilities (New)</v>
          </cell>
          <cell r="AF1254">
            <v>42678</v>
          </cell>
          <cell r="AG1254">
            <v>5.17</v>
          </cell>
          <cell r="AH1254" t="str">
            <v>PPM</v>
          </cell>
          <cell r="AI1254" t="str">
            <v>Strands</v>
          </cell>
          <cell r="AJ1254" t="str">
            <v>Strands PW</v>
          </cell>
          <cell r="AK1254" t="str">
            <v>SNF received. 1st batch of V3 asset (December 2020)</v>
          </cell>
        </row>
        <row r="1255">
          <cell r="A1255" t="str">
            <v>IKN400873</v>
          </cell>
          <cell r="B1255">
            <v>872</v>
          </cell>
          <cell r="C1255" t="str">
            <v>Institut Kanser Negara</v>
          </cell>
          <cell r="D1255" t="str">
            <v>KKM/IKN/H/14/90</v>
          </cell>
          <cell r="E1255" t="str">
            <v>17-950</v>
          </cell>
          <cell r="F1255" t="str">
            <v>Warming Units, Patient, Forced-Air</v>
          </cell>
          <cell r="G1255" t="str">
            <v>RT</v>
          </cell>
          <cell r="H1255" t="str">
            <v>RADIATION TREATMENT UNIT</v>
          </cell>
          <cell r="I1255" t="str">
            <v>01RT172</v>
          </cell>
          <cell r="J1255" t="str">
            <v>LINAC ROOM 3</v>
          </cell>
          <cell r="K1255" t="str">
            <v>BMED</v>
          </cell>
          <cell r="L1255" t="str">
            <v>Normal</v>
          </cell>
          <cell r="M1255" t="str">
            <v>USA</v>
          </cell>
          <cell r="N1255" t="str">
            <v>Bair Hugger</v>
          </cell>
          <cell r="O1255" t="str">
            <v>Bair Hugger 775</v>
          </cell>
          <cell r="P1255" t="str">
            <v>57899</v>
          </cell>
          <cell r="Q1255" t="str">
            <v>Not Applicable</v>
          </cell>
          <cell r="R1255" t="str">
            <v>Arizant Healthcare Inc</v>
          </cell>
          <cell r="S1255" t="str">
            <v>Alam Medik Sdn. Bhd</v>
          </cell>
          <cell r="T1255" t="str">
            <v>Functioning</v>
          </cell>
          <cell r="U1255" t="str">
            <v>Asset</v>
          </cell>
          <cell r="V1255">
            <v>4950</v>
          </cell>
          <cell r="W1255" t="str">
            <v>KEW</v>
          </cell>
          <cell r="X1255" t="str">
            <v>26/09/2014</v>
          </cell>
          <cell r="Y1255" t="str">
            <v>KEW</v>
          </cell>
          <cell r="Z1255" t="str">
            <v>12/11/2014</v>
          </cell>
          <cell r="AA1255" t="str">
            <v>11/11/2015</v>
          </cell>
          <cell r="AB1255" t="str">
            <v>No</v>
          </cell>
          <cell r="AC1255" t="str">
            <v>12/11/2014</v>
          </cell>
          <cell r="AD1255" t="str">
            <v>Good</v>
          </cell>
          <cell r="AE1255" t="str">
            <v>V3 - Added Installed Facilities (New)</v>
          </cell>
          <cell r="AF1255">
            <v>42801</v>
          </cell>
          <cell r="AG1255">
            <v>5.17</v>
          </cell>
          <cell r="AH1255" t="str">
            <v>PPM</v>
          </cell>
          <cell r="AI1255" t="str">
            <v>Strands</v>
          </cell>
          <cell r="AJ1255" t="str">
            <v>Strands PW</v>
          </cell>
          <cell r="AK1255" t="str">
            <v>SNF received. 1st batch of V3 asset (December 2020)</v>
          </cell>
        </row>
        <row r="1256">
          <cell r="A1256" t="str">
            <v>IKN400874</v>
          </cell>
          <cell r="B1256">
            <v>873</v>
          </cell>
          <cell r="C1256" t="str">
            <v>Institut Kanser Negara</v>
          </cell>
          <cell r="D1256" t="str">
            <v>KKM/IKN/H/14/91</v>
          </cell>
          <cell r="E1256" t="str">
            <v>17-950</v>
          </cell>
          <cell r="F1256" t="str">
            <v>Warming Units, Patient, Forced-Air</v>
          </cell>
          <cell r="G1256" t="str">
            <v>RT</v>
          </cell>
          <cell r="H1256" t="str">
            <v>RADIATION TREATMENT UNIT</v>
          </cell>
          <cell r="I1256" t="str">
            <v>01RT177</v>
          </cell>
          <cell r="J1256" t="str">
            <v>LINAC ROOM 4 (TOMO)</v>
          </cell>
          <cell r="K1256" t="str">
            <v>BMED</v>
          </cell>
          <cell r="L1256" t="str">
            <v>Normal</v>
          </cell>
          <cell r="M1256" t="str">
            <v>USA</v>
          </cell>
          <cell r="N1256" t="str">
            <v>Bair Hugger</v>
          </cell>
          <cell r="O1256" t="str">
            <v>Bair Hugger 775</v>
          </cell>
          <cell r="P1256" t="str">
            <v>57900</v>
          </cell>
          <cell r="Q1256" t="str">
            <v>Not Applicable</v>
          </cell>
          <cell r="R1256" t="str">
            <v>Arizant Healthcare Inc</v>
          </cell>
          <cell r="S1256" t="str">
            <v>Alam Medik Sdn. Bhd</v>
          </cell>
          <cell r="T1256" t="str">
            <v>Functioning</v>
          </cell>
          <cell r="U1256" t="str">
            <v>Asset</v>
          </cell>
          <cell r="V1256">
            <v>4950</v>
          </cell>
          <cell r="W1256" t="str">
            <v>KEW</v>
          </cell>
          <cell r="X1256" t="str">
            <v>26/09/2014</v>
          </cell>
          <cell r="Y1256" t="str">
            <v>KEW</v>
          </cell>
          <cell r="Z1256" t="str">
            <v>12/11/2014</v>
          </cell>
          <cell r="AA1256" t="str">
            <v>11/11/2015</v>
          </cell>
          <cell r="AB1256" t="str">
            <v>No</v>
          </cell>
          <cell r="AC1256" t="str">
            <v>12/11/2014</v>
          </cell>
          <cell r="AD1256" t="str">
            <v>Good</v>
          </cell>
          <cell r="AE1256" t="str">
            <v>V3 - Added Installed Facilities (New)</v>
          </cell>
          <cell r="AF1256">
            <v>42801</v>
          </cell>
          <cell r="AG1256">
            <v>5.17</v>
          </cell>
          <cell r="AH1256" t="str">
            <v>PPM</v>
          </cell>
          <cell r="AI1256" t="str">
            <v>Strands</v>
          </cell>
          <cell r="AJ1256" t="str">
            <v>Strands PW</v>
          </cell>
          <cell r="AK1256" t="str">
            <v>SNF received. 1st batch of V3 asset (December 2020)</v>
          </cell>
        </row>
        <row r="1257">
          <cell r="A1257" t="str">
            <v>IKN400875</v>
          </cell>
          <cell r="B1257">
            <v>874</v>
          </cell>
          <cell r="C1257" t="str">
            <v>Institut Kanser Negara</v>
          </cell>
          <cell r="D1257" t="str">
            <v>KKM/IKN/H/13/341</v>
          </cell>
          <cell r="E1257" t="str">
            <v>12-873</v>
          </cell>
          <cell r="F1257" t="str">
            <v>Concentrators, Oxygen</v>
          </cell>
          <cell r="G1257" t="str">
            <v>PC</v>
          </cell>
          <cell r="H1257" t="str">
            <v>PALLIATIVE CARE UNIT</v>
          </cell>
          <cell r="I1257" t="str">
            <v>04PC109</v>
          </cell>
          <cell r="J1257" t="str">
            <v>GEN. STORE</v>
          </cell>
          <cell r="K1257" t="str">
            <v>BMED</v>
          </cell>
          <cell r="L1257" t="str">
            <v>Critical</v>
          </cell>
          <cell r="M1257" t="str">
            <v>USA</v>
          </cell>
          <cell r="N1257" t="str">
            <v>EverFlo</v>
          </cell>
          <cell r="O1257" t="str">
            <v>EverFlo</v>
          </cell>
          <cell r="P1257" t="str">
            <v>0015557</v>
          </cell>
          <cell r="Q1257" t="str">
            <v>Not Applicable</v>
          </cell>
          <cell r="R1257" t="str">
            <v>Respironics</v>
          </cell>
          <cell r="S1257" t="str">
            <v>TDC Ent</v>
          </cell>
          <cell r="T1257" t="str">
            <v>Functioning</v>
          </cell>
          <cell r="U1257" t="str">
            <v>Asset</v>
          </cell>
          <cell r="V1257">
            <v>5000</v>
          </cell>
          <cell r="W1257" t="str">
            <v>KEW</v>
          </cell>
          <cell r="X1257" t="str">
            <v>11/12/2013</v>
          </cell>
          <cell r="Y1257" t="str">
            <v>KEW</v>
          </cell>
          <cell r="Z1257" t="str">
            <v>19/12/2013</v>
          </cell>
          <cell r="AA1257" t="str">
            <v>18/12/2015</v>
          </cell>
          <cell r="AB1257" t="str">
            <v>No</v>
          </cell>
          <cell r="AC1257" t="str">
            <v>19/12/2013</v>
          </cell>
          <cell r="AD1257" t="str">
            <v>Good</v>
          </cell>
          <cell r="AE1257" t="str">
            <v>V3 - Added Installed Facilities (New)</v>
          </cell>
          <cell r="AF1257">
            <v>42797</v>
          </cell>
          <cell r="AG1257">
            <v>5.92</v>
          </cell>
          <cell r="AH1257" t="str">
            <v>PPM</v>
          </cell>
          <cell r="AI1257" t="str">
            <v>Strands</v>
          </cell>
          <cell r="AJ1257" t="str">
            <v>Strands PW</v>
          </cell>
        </row>
        <row r="1258">
          <cell r="A1258" t="str">
            <v>IKN400876</v>
          </cell>
          <cell r="B1258">
            <v>875</v>
          </cell>
          <cell r="C1258" t="str">
            <v>Institut Kanser Negara</v>
          </cell>
          <cell r="D1258" t="str">
            <v>KKM/IKN/H/13/339</v>
          </cell>
          <cell r="E1258" t="str">
            <v>12-873</v>
          </cell>
          <cell r="F1258" t="str">
            <v>Concentrators, Oxygen</v>
          </cell>
          <cell r="G1258" t="str">
            <v>PC</v>
          </cell>
          <cell r="H1258" t="str">
            <v>PALLIATIVE CARE UNIT</v>
          </cell>
          <cell r="I1258" t="str">
            <v>04PC109</v>
          </cell>
          <cell r="J1258" t="str">
            <v>GEN. STORE</v>
          </cell>
          <cell r="K1258" t="str">
            <v>BMED</v>
          </cell>
          <cell r="L1258" t="str">
            <v>Critical</v>
          </cell>
          <cell r="M1258" t="str">
            <v>USA</v>
          </cell>
          <cell r="N1258" t="str">
            <v>EverFlo</v>
          </cell>
          <cell r="O1258" t="str">
            <v>EverFlo</v>
          </cell>
          <cell r="P1258" t="str">
            <v>0015517</v>
          </cell>
          <cell r="Q1258" t="str">
            <v>Not Applicable</v>
          </cell>
          <cell r="R1258" t="str">
            <v>Respironics</v>
          </cell>
          <cell r="S1258" t="str">
            <v>TDC Ent</v>
          </cell>
          <cell r="T1258" t="str">
            <v>Functioning</v>
          </cell>
          <cell r="U1258" t="str">
            <v>Asset</v>
          </cell>
          <cell r="V1258">
            <v>5000</v>
          </cell>
          <cell r="W1258" t="str">
            <v>KEW</v>
          </cell>
          <cell r="X1258" t="str">
            <v>11/12/2013</v>
          </cell>
          <cell r="Y1258" t="str">
            <v>KEW</v>
          </cell>
          <cell r="Z1258" t="str">
            <v>19/12/2013</v>
          </cell>
          <cell r="AA1258" t="str">
            <v>18/12/2015</v>
          </cell>
          <cell r="AB1258" t="str">
            <v>No</v>
          </cell>
          <cell r="AC1258" t="str">
            <v>19/12/2013</v>
          </cell>
          <cell r="AD1258" t="str">
            <v>Good</v>
          </cell>
          <cell r="AE1258" t="str">
            <v>V3 - Added Installed Facilities (New)</v>
          </cell>
          <cell r="AF1258">
            <v>42797</v>
          </cell>
          <cell r="AG1258">
            <v>5.92</v>
          </cell>
          <cell r="AH1258" t="str">
            <v>PPM</v>
          </cell>
          <cell r="AI1258" t="str">
            <v>Strands</v>
          </cell>
          <cell r="AJ1258" t="str">
            <v>Strands PW</v>
          </cell>
        </row>
        <row r="1259">
          <cell r="A1259" t="str">
            <v>IKN400877</v>
          </cell>
          <cell r="B1259">
            <v>876</v>
          </cell>
          <cell r="C1259" t="str">
            <v>Institut Kanser Negara</v>
          </cell>
          <cell r="D1259" t="str">
            <v>KKM/IKN/H/13/338</v>
          </cell>
          <cell r="E1259" t="str">
            <v>12-873</v>
          </cell>
          <cell r="F1259" t="str">
            <v>Concentrators, Oxygen</v>
          </cell>
          <cell r="G1259" t="str">
            <v>PC</v>
          </cell>
          <cell r="H1259" t="str">
            <v>PALLIATIVE CARE UNIT</v>
          </cell>
          <cell r="I1259" t="str">
            <v>04PC109</v>
          </cell>
          <cell r="J1259" t="str">
            <v>GEN. STORE</v>
          </cell>
          <cell r="K1259" t="str">
            <v>BMED</v>
          </cell>
          <cell r="L1259" t="str">
            <v>Critical</v>
          </cell>
          <cell r="M1259" t="str">
            <v>USA</v>
          </cell>
          <cell r="N1259" t="str">
            <v>EverFlo</v>
          </cell>
          <cell r="O1259" t="str">
            <v>EverFlo</v>
          </cell>
          <cell r="P1259" t="str">
            <v>0015511</v>
          </cell>
          <cell r="Q1259" t="str">
            <v>Not Applicable</v>
          </cell>
          <cell r="R1259" t="str">
            <v>Respironics</v>
          </cell>
          <cell r="S1259" t="str">
            <v>TDC Ent</v>
          </cell>
          <cell r="T1259" t="str">
            <v>Functioning</v>
          </cell>
          <cell r="U1259" t="str">
            <v>Asset</v>
          </cell>
          <cell r="V1259">
            <v>5000</v>
          </cell>
          <cell r="W1259" t="str">
            <v>KEW</v>
          </cell>
          <cell r="X1259" t="str">
            <v>11/12/2013</v>
          </cell>
          <cell r="Y1259" t="str">
            <v>KEW</v>
          </cell>
          <cell r="Z1259" t="str">
            <v>19/12/2013</v>
          </cell>
          <cell r="AA1259" t="str">
            <v>18/12/2015</v>
          </cell>
          <cell r="AB1259" t="str">
            <v>No</v>
          </cell>
          <cell r="AC1259" t="str">
            <v>19/12/2013</v>
          </cell>
          <cell r="AD1259" t="str">
            <v>Good</v>
          </cell>
          <cell r="AE1259" t="str">
            <v>V3 - Added Installed Facilities (New)</v>
          </cell>
          <cell r="AF1259">
            <v>42797</v>
          </cell>
          <cell r="AG1259">
            <v>5.92</v>
          </cell>
          <cell r="AH1259" t="str">
            <v>PPM</v>
          </cell>
          <cell r="AI1259" t="str">
            <v>Strands</v>
          </cell>
          <cell r="AJ1259" t="str">
            <v>Strands PW</v>
          </cell>
        </row>
        <row r="1260">
          <cell r="A1260" t="str">
            <v>IKN400878</v>
          </cell>
          <cell r="B1260">
            <v>877</v>
          </cell>
          <cell r="C1260" t="str">
            <v>Institut Kanser Negara</v>
          </cell>
          <cell r="D1260" t="str">
            <v>KKM/IKN/H/13/340</v>
          </cell>
          <cell r="E1260" t="str">
            <v>12-873</v>
          </cell>
          <cell r="F1260" t="str">
            <v>Concentrators, Oxygen</v>
          </cell>
          <cell r="G1260" t="str">
            <v>PC</v>
          </cell>
          <cell r="H1260" t="str">
            <v>PALLIATIVE CARE UNIT</v>
          </cell>
          <cell r="I1260" t="str">
            <v>04PC109</v>
          </cell>
          <cell r="J1260" t="str">
            <v>GEN. STORE</v>
          </cell>
          <cell r="K1260" t="str">
            <v>BMED</v>
          </cell>
          <cell r="L1260" t="str">
            <v>Critical</v>
          </cell>
          <cell r="M1260" t="str">
            <v>USA</v>
          </cell>
          <cell r="N1260" t="str">
            <v>EverFlo</v>
          </cell>
          <cell r="O1260" t="str">
            <v>EverFlo</v>
          </cell>
          <cell r="P1260" t="str">
            <v>0015553</v>
          </cell>
          <cell r="Q1260" t="str">
            <v>Not Applicable</v>
          </cell>
          <cell r="R1260" t="str">
            <v>Respironics</v>
          </cell>
          <cell r="S1260" t="str">
            <v>TDC Ent</v>
          </cell>
          <cell r="T1260" t="str">
            <v>Functioning</v>
          </cell>
          <cell r="U1260" t="str">
            <v>Asset</v>
          </cell>
          <cell r="V1260">
            <v>5000</v>
          </cell>
          <cell r="W1260" t="str">
            <v>KEW</v>
          </cell>
          <cell r="X1260" t="str">
            <v>11/12/2013</v>
          </cell>
          <cell r="Y1260" t="str">
            <v>KEW</v>
          </cell>
          <cell r="Z1260" t="str">
            <v>19/12/2013</v>
          </cell>
          <cell r="AA1260" t="str">
            <v>18/12/2015</v>
          </cell>
          <cell r="AB1260" t="str">
            <v>No</v>
          </cell>
          <cell r="AC1260" t="str">
            <v>19/12/2014</v>
          </cell>
          <cell r="AD1260" t="str">
            <v>Good</v>
          </cell>
          <cell r="AE1260" t="str">
            <v>V3 - Added Installed Facilities (New)</v>
          </cell>
          <cell r="AF1260">
            <v>42797</v>
          </cell>
          <cell r="AG1260">
            <v>5.92</v>
          </cell>
          <cell r="AH1260" t="str">
            <v>PPM</v>
          </cell>
          <cell r="AI1260" t="str">
            <v>Strands</v>
          </cell>
          <cell r="AJ1260" t="str">
            <v>Strands PW</v>
          </cell>
        </row>
        <row r="1261">
          <cell r="A1261" t="str">
            <v>IKN400879</v>
          </cell>
          <cell r="B1261">
            <v>878</v>
          </cell>
          <cell r="C1261" t="str">
            <v>Institut Kanser Negara</v>
          </cell>
          <cell r="D1261" t="str">
            <v>KKM/IKN/H/13/342</v>
          </cell>
          <cell r="E1261" t="str">
            <v>12-873</v>
          </cell>
          <cell r="F1261" t="str">
            <v>Concentrators, Oxygen</v>
          </cell>
          <cell r="G1261" t="str">
            <v>PC</v>
          </cell>
          <cell r="H1261" t="str">
            <v>PALLIATIVE CARE UNIT</v>
          </cell>
          <cell r="I1261" t="str">
            <v>04PC109</v>
          </cell>
          <cell r="J1261" t="str">
            <v>GEN. STORE</v>
          </cell>
          <cell r="K1261" t="str">
            <v>BMED</v>
          </cell>
          <cell r="L1261" t="str">
            <v>Critical</v>
          </cell>
          <cell r="M1261" t="str">
            <v>USA</v>
          </cell>
          <cell r="N1261" t="str">
            <v>EverFlo</v>
          </cell>
          <cell r="O1261" t="str">
            <v>EverFlo</v>
          </cell>
          <cell r="P1261" t="str">
            <v>0018690</v>
          </cell>
          <cell r="Q1261" t="str">
            <v>Not Applicable</v>
          </cell>
          <cell r="R1261" t="str">
            <v>Respironics</v>
          </cell>
          <cell r="S1261" t="str">
            <v>TDC Ent</v>
          </cell>
          <cell r="T1261" t="str">
            <v>Functioning</v>
          </cell>
          <cell r="U1261" t="str">
            <v>Asset</v>
          </cell>
          <cell r="V1261">
            <v>5000</v>
          </cell>
          <cell r="W1261" t="str">
            <v>KEW</v>
          </cell>
          <cell r="X1261" t="str">
            <v>11/12/2013</v>
          </cell>
          <cell r="Y1261" t="str">
            <v>KEW</v>
          </cell>
          <cell r="Z1261" t="str">
            <v>19/12/2013</v>
          </cell>
          <cell r="AA1261" t="str">
            <v>18/12/2015</v>
          </cell>
          <cell r="AB1261" t="str">
            <v>No</v>
          </cell>
          <cell r="AC1261" t="str">
            <v>19/12/2013</v>
          </cell>
          <cell r="AD1261" t="str">
            <v>Good</v>
          </cell>
          <cell r="AE1261" t="str">
            <v>V3 - Added Installed Facilities (New)</v>
          </cell>
          <cell r="AF1261">
            <v>42678</v>
          </cell>
          <cell r="AG1261">
            <v>5.92</v>
          </cell>
          <cell r="AH1261" t="str">
            <v>PPM</v>
          </cell>
          <cell r="AI1261" t="str">
            <v>Strands</v>
          </cell>
          <cell r="AJ1261" t="str">
            <v>Strands PW</v>
          </cell>
        </row>
        <row r="1262">
          <cell r="A1262" t="str">
            <v>IKN400880</v>
          </cell>
          <cell r="B1262">
            <v>879</v>
          </cell>
          <cell r="C1262" t="str">
            <v>Institut Kanser Negara</v>
          </cell>
          <cell r="D1262" t="str">
            <v>KKM/IKN/H/14/98</v>
          </cell>
          <cell r="E1262" t="str">
            <v>18-265</v>
          </cell>
          <cell r="F1262" t="str">
            <v>Centrifuges, Tabletop, Low-Speed, Refrigerated</v>
          </cell>
          <cell r="G1262" t="str">
            <v>DO</v>
          </cell>
          <cell r="H1262" t="str">
            <v>DAY ONCOLOGY UNIT</v>
          </cell>
          <cell r="I1262" t="str">
            <v>04DO114</v>
          </cell>
          <cell r="J1262" t="str">
            <v>RESEARCH</v>
          </cell>
          <cell r="K1262" t="str">
            <v>BMED</v>
          </cell>
          <cell r="L1262" t="str">
            <v>Critical</v>
          </cell>
          <cell r="M1262" t="str">
            <v>Japan</v>
          </cell>
          <cell r="N1262" t="str">
            <v>Kubota</v>
          </cell>
          <cell r="O1262" t="str">
            <v>Kubota 5500</v>
          </cell>
          <cell r="P1262" t="str">
            <v>Q60325</v>
          </cell>
          <cell r="Q1262" t="str">
            <v>Not Applicable</v>
          </cell>
          <cell r="R1262" t="str">
            <v>Kubota Corp</v>
          </cell>
          <cell r="S1262" t="str">
            <v>Bumi Jiwa Sdn. Bhd.</v>
          </cell>
          <cell r="T1262" t="str">
            <v>Functioning</v>
          </cell>
          <cell r="U1262" t="str">
            <v>Asset</v>
          </cell>
          <cell r="V1262">
            <v>35000</v>
          </cell>
          <cell r="W1262" t="str">
            <v>KEW</v>
          </cell>
          <cell r="X1262" t="str">
            <v>03/10/2014</v>
          </cell>
          <cell r="Y1262" t="str">
            <v>KEW</v>
          </cell>
          <cell r="Z1262" t="str">
            <v>27/11/2014</v>
          </cell>
          <cell r="AA1262" t="str">
            <v>26/11/2015</v>
          </cell>
          <cell r="AB1262" t="str">
            <v>No</v>
          </cell>
          <cell r="AC1262" t="str">
            <v>27/11/2014</v>
          </cell>
          <cell r="AD1262" t="str">
            <v>Good</v>
          </cell>
          <cell r="AE1262" t="str">
            <v>V3 - Added Installed Facilities (New)</v>
          </cell>
          <cell r="AF1262">
            <v>43060</v>
          </cell>
          <cell r="AG1262">
            <v>5.08</v>
          </cell>
          <cell r="AH1262" t="str">
            <v>PPM</v>
          </cell>
          <cell r="AI1262" t="str">
            <v>Strands</v>
          </cell>
          <cell r="AJ1262" t="str">
            <v>Strands PW</v>
          </cell>
          <cell r="AK1262" t="str">
            <v>SNF received. 1st batch of V3 asset (December 2020)</v>
          </cell>
        </row>
        <row r="1263">
          <cell r="A1263" t="str">
            <v>IKN400881</v>
          </cell>
          <cell r="B1263">
            <v>880</v>
          </cell>
          <cell r="C1263" t="str">
            <v>Institut Kanser Negara</v>
          </cell>
          <cell r="D1263" t="str">
            <v>KKM/IKN/H/13/1611</v>
          </cell>
          <cell r="E1263" t="str">
            <v>16-173</v>
          </cell>
          <cell r="F1263" t="str">
            <v>Sphygmomanometers, Electronic, Automatic</v>
          </cell>
          <cell r="G1263" t="str">
            <v>OC</v>
          </cell>
          <cell r="H1263" t="str">
            <v>ONCOLOGY CLINIC</v>
          </cell>
          <cell r="I1263" t="str">
            <v>03OC133</v>
          </cell>
          <cell r="J1263" t="str">
            <v>ASSESSMENT</v>
          </cell>
          <cell r="K1263" t="str">
            <v>BMED</v>
          </cell>
          <cell r="L1263" t="str">
            <v>Normal</v>
          </cell>
          <cell r="M1263" t="str">
            <v>USA</v>
          </cell>
          <cell r="N1263" t="str">
            <v>Connex</v>
          </cell>
          <cell r="O1263" t="str">
            <v>Connex ProBP 3400</v>
          </cell>
          <cell r="P1263" t="str">
            <v>100001700613</v>
          </cell>
          <cell r="Q1263" t="str">
            <v>Not Applicable</v>
          </cell>
          <cell r="R1263" t="str">
            <v>Welch Allyn Inc</v>
          </cell>
          <cell r="S1263" t="str">
            <v>Welch Allyn Malaysia Sdn Bhd</v>
          </cell>
          <cell r="T1263" t="str">
            <v>Functioning</v>
          </cell>
          <cell r="U1263" t="str">
            <v>Asset</v>
          </cell>
          <cell r="V1263">
            <v>4510</v>
          </cell>
          <cell r="W1263" t="str">
            <v>KEW</v>
          </cell>
          <cell r="X1263" t="str">
            <v>01/09/2010</v>
          </cell>
          <cell r="Y1263" t="str">
            <v>KEW</v>
          </cell>
          <cell r="Z1263" t="str">
            <v>16/08/2013</v>
          </cell>
          <cell r="AA1263" t="str">
            <v>15/08/2015</v>
          </cell>
          <cell r="AB1263" t="str">
            <v>No</v>
          </cell>
          <cell r="AC1263" t="str">
            <v>31/08/2013</v>
          </cell>
          <cell r="AD1263" t="str">
            <v>Good</v>
          </cell>
          <cell r="AE1263" t="str">
            <v>V1 - Existing / No Claim</v>
          </cell>
          <cell r="AF1263">
            <v>42235</v>
          </cell>
          <cell r="AG1263">
            <v>9.17</v>
          </cell>
          <cell r="AH1263" t="str">
            <v>PPM</v>
          </cell>
          <cell r="AI1263" t="str">
            <v>Strands</v>
          </cell>
          <cell r="AJ1263" t="str">
            <v>Strands PW</v>
          </cell>
        </row>
        <row r="1264">
          <cell r="A1264" t="str">
            <v>IKN400882</v>
          </cell>
          <cell r="B1264">
            <v>881</v>
          </cell>
          <cell r="C1264" t="str">
            <v>Institut Kanser Negara</v>
          </cell>
          <cell r="D1264" t="str">
            <v>KKM/IKN/H/13/558</v>
          </cell>
          <cell r="E1264" t="str">
            <v>16-173</v>
          </cell>
          <cell r="F1264" t="str">
            <v>Sphygmomanometers, Electronic, Automatic</v>
          </cell>
          <cell r="G1264" t="str">
            <v>OC</v>
          </cell>
          <cell r="H1264" t="str">
            <v>ONCOLOGY CLINIC</v>
          </cell>
          <cell r="I1264" t="str">
            <v>03OC133</v>
          </cell>
          <cell r="J1264" t="str">
            <v>ASSESSMENT</v>
          </cell>
          <cell r="K1264" t="str">
            <v>BMED</v>
          </cell>
          <cell r="L1264" t="str">
            <v>Critical</v>
          </cell>
          <cell r="M1264" t="str">
            <v>Mexico</v>
          </cell>
          <cell r="N1264" t="str">
            <v>Carespace</v>
          </cell>
          <cell r="O1264" t="str">
            <v>Carescape V100</v>
          </cell>
          <cell r="P1264" t="str">
            <v>SH612390055SA</v>
          </cell>
          <cell r="Q1264" t="str">
            <v>Not Applicable</v>
          </cell>
          <cell r="R1264" t="str">
            <v>GE Healthcare Systems</v>
          </cell>
          <cell r="S1264" t="str">
            <v>GE Healthcare Technologies</v>
          </cell>
          <cell r="T1264" t="str">
            <v>Functioning</v>
          </cell>
          <cell r="U1264" t="str">
            <v>Asset</v>
          </cell>
          <cell r="V1264">
            <v>7770</v>
          </cell>
          <cell r="W1264" t="str">
            <v>KEW</v>
          </cell>
          <cell r="X1264" t="str">
            <v>01/09/2010</v>
          </cell>
          <cell r="Y1264" t="str">
            <v>KEW</v>
          </cell>
          <cell r="Z1264" t="str">
            <v>16/08/2013</v>
          </cell>
          <cell r="AA1264" t="str">
            <v>15/08/2015</v>
          </cell>
          <cell r="AB1264" t="str">
            <v>No</v>
          </cell>
          <cell r="AC1264" t="str">
            <v>31/08/2013</v>
          </cell>
          <cell r="AD1264" t="str">
            <v>Good</v>
          </cell>
          <cell r="AE1264" t="str">
            <v>V1 - Existing / No Claim</v>
          </cell>
          <cell r="AF1264">
            <v>42802</v>
          </cell>
          <cell r="AG1264">
            <v>9.17</v>
          </cell>
          <cell r="AH1264" t="str">
            <v>PPM</v>
          </cell>
          <cell r="AI1264" t="str">
            <v>Strands</v>
          </cell>
          <cell r="AJ1264" t="str">
            <v>Strands PW</v>
          </cell>
        </row>
        <row r="1265">
          <cell r="A1265" t="str">
            <v>IKN400883</v>
          </cell>
          <cell r="B1265">
            <v>882</v>
          </cell>
          <cell r="C1265" t="str">
            <v>Institut Kanser Negara</v>
          </cell>
          <cell r="D1265" t="e">
            <v>#N/A</v>
          </cell>
          <cell r="E1265" t="str">
            <v>11-134</v>
          </cell>
          <cell r="F1265" t="str">
            <v>Defibrillators, External, Manual</v>
          </cell>
          <cell r="G1265" t="str">
            <v>OC</v>
          </cell>
          <cell r="H1265" t="str">
            <v>ONCOLOGY CLINIC</v>
          </cell>
          <cell r="I1265" t="str">
            <v>03OC133</v>
          </cell>
          <cell r="J1265" t="str">
            <v>ASSESSMENT</v>
          </cell>
          <cell r="K1265" t="str">
            <v>BMED</v>
          </cell>
          <cell r="L1265" t="str">
            <v>Critical</v>
          </cell>
          <cell r="M1265" t="str">
            <v>USA</v>
          </cell>
          <cell r="N1265" t="str">
            <v>Responder</v>
          </cell>
          <cell r="O1265" t="str">
            <v>Responder 2000</v>
          </cell>
          <cell r="P1265" t="str">
            <v>3206727</v>
          </cell>
          <cell r="Q1265" t="str">
            <v>Not Applicable</v>
          </cell>
          <cell r="R1265" t="str">
            <v>GE Medical Systems</v>
          </cell>
          <cell r="S1265" t="str">
            <v>Antah Sir Radin Sdn. Bhd.</v>
          </cell>
          <cell r="T1265" t="str">
            <v>Functioning</v>
          </cell>
          <cell r="U1265" t="str">
            <v>Asset</v>
          </cell>
          <cell r="V1265">
            <v>45000</v>
          </cell>
          <cell r="W1265" t="str">
            <v>Estimate</v>
          </cell>
          <cell r="X1265" t="str">
            <v>01/09/2010</v>
          </cell>
          <cell r="Y1265" t="str">
            <v>KEW</v>
          </cell>
          <cell r="Z1265" t="str">
            <v>16/08/2013</v>
          </cell>
          <cell r="AA1265" t="str">
            <v>15/08/2015</v>
          </cell>
          <cell r="AB1265" t="str">
            <v>No</v>
          </cell>
          <cell r="AC1265" t="str">
            <v>31/08/2013</v>
          </cell>
          <cell r="AD1265" t="str">
            <v>Good</v>
          </cell>
          <cell r="AE1265" t="str">
            <v>V1 - Existing / No Claim</v>
          </cell>
          <cell r="AF1265">
            <v>42605</v>
          </cell>
          <cell r="AG1265">
            <v>9.17</v>
          </cell>
          <cell r="AH1265" t="str">
            <v>PPM</v>
          </cell>
          <cell r="AI1265" t="str">
            <v>Strands</v>
          </cell>
          <cell r="AJ1265" t="str">
            <v>Strands PW</v>
          </cell>
          <cell r="AK1265" t="str">
            <v>Crash Trolley (FEMS)</v>
          </cell>
        </row>
        <row r="1266">
          <cell r="A1266" t="str">
            <v>IKN400890</v>
          </cell>
          <cell r="B1266">
            <v>889</v>
          </cell>
          <cell r="C1266" t="str">
            <v>Institut Kanser Negara</v>
          </cell>
          <cell r="D1266" t="str">
            <v>KKM/IKN/H/13/1576</v>
          </cell>
          <cell r="E1266" t="str">
            <v>12-282</v>
          </cell>
          <cell r="F1266" t="str">
            <v>Lights, Surgical</v>
          </cell>
          <cell r="G1266" t="str">
            <v>OC</v>
          </cell>
          <cell r="H1266" t="str">
            <v>ONCOLOGY CLINIC</v>
          </cell>
          <cell r="I1266" t="str">
            <v>03OC104</v>
          </cell>
          <cell r="J1266" t="str">
            <v>C/E 7</v>
          </cell>
          <cell r="K1266" t="str">
            <v>BMED</v>
          </cell>
          <cell r="L1266" t="str">
            <v>Critical</v>
          </cell>
          <cell r="M1266" t="str">
            <v>USA</v>
          </cell>
          <cell r="N1266" t="str">
            <v>Welch Allyn</v>
          </cell>
          <cell r="O1266" t="str">
            <v>Welch Allyn GS600</v>
          </cell>
          <cell r="P1266" t="str">
            <v>GS-600-19</v>
          </cell>
          <cell r="Q1266" t="str">
            <v>Not Applicable</v>
          </cell>
          <cell r="R1266" t="str">
            <v>Welch Allyn Inc</v>
          </cell>
          <cell r="S1266" t="str">
            <v>Welch Allyn Malaysia Sdn Bhd</v>
          </cell>
          <cell r="T1266" t="str">
            <v>Functioning</v>
          </cell>
          <cell r="U1266" t="str">
            <v>Asset</v>
          </cell>
          <cell r="V1266">
            <v>5050</v>
          </cell>
          <cell r="W1266" t="str">
            <v>KEW</v>
          </cell>
          <cell r="X1266" t="str">
            <v>01/09/2010</v>
          </cell>
          <cell r="Y1266" t="str">
            <v>KEW</v>
          </cell>
          <cell r="Z1266" t="str">
            <v>16/08/2013</v>
          </cell>
          <cell r="AA1266" t="str">
            <v>15/08/2015</v>
          </cell>
          <cell r="AB1266" t="str">
            <v>No</v>
          </cell>
          <cell r="AC1266" t="str">
            <v>31/08/2013</v>
          </cell>
          <cell r="AD1266" t="str">
            <v>Good</v>
          </cell>
          <cell r="AE1266" t="str">
            <v>V1 - Existing / No Claim</v>
          </cell>
          <cell r="AF1266">
            <v>42797</v>
          </cell>
          <cell r="AG1266">
            <v>9.17</v>
          </cell>
          <cell r="AH1266" t="str">
            <v>PPM</v>
          </cell>
          <cell r="AI1266" t="str">
            <v>Strands</v>
          </cell>
          <cell r="AJ1266" t="str">
            <v>Strands PW</v>
          </cell>
        </row>
        <row r="1267">
          <cell r="A1267" t="str">
            <v>IKN400891</v>
          </cell>
          <cell r="B1267">
            <v>890</v>
          </cell>
          <cell r="C1267" t="str">
            <v>Institut Kanser Negara</v>
          </cell>
          <cell r="D1267" t="str">
            <v>KKM/IKN/H/13/1359</v>
          </cell>
          <cell r="E1267" t="str">
            <v>12-282</v>
          </cell>
          <cell r="F1267" t="str">
            <v>Lights, Surgical</v>
          </cell>
          <cell r="G1267" t="str">
            <v>OC</v>
          </cell>
          <cell r="H1267" t="str">
            <v>ONCOLOGY CLINIC</v>
          </cell>
          <cell r="I1267" t="str">
            <v>03OC105</v>
          </cell>
          <cell r="J1267" t="str">
            <v>C/E 8</v>
          </cell>
          <cell r="K1267" t="str">
            <v>BMED</v>
          </cell>
          <cell r="L1267" t="str">
            <v>Critical</v>
          </cell>
          <cell r="M1267" t="str">
            <v>USA</v>
          </cell>
          <cell r="N1267" t="str">
            <v>Welch Allyn</v>
          </cell>
          <cell r="O1267" t="str">
            <v>Welch Allyn GS600</v>
          </cell>
          <cell r="P1267" t="str">
            <v>GS-600-20</v>
          </cell>
          <cell r="Q1267" t="str">
            <v>Not Applicable</v>
          </cell>
          <cell r="R1267" t="str">
            <v>Welch Allyn Inc</v>
          </cell>
          <cell r="S1267" t="str">
            <v>Welch Allyn Malaysia Sdn Bhd</v>
          </cell>
          <cell r="T1267" t="str">
            <v>Functioning</v>
          </cell>
          <cell r="U1267" t="str">
            <v>Asset</v>
          </cell>
          <cell r="V1267">
            <v>5050</v>
          </cell>
          <cell r="W1267" t="str">
            <v>KEW</v>
          </cell>
          <cell r="X1267" t="str">
            <v>01/09/2010</v>
          </cell>
          <cell r="Y1267" t="str">
            <v>KEW</v>
          </cell>
          <cell r="Z1267" t="str">
            <v>16/08/2013</v>
          </cell>
          <cell r="AA1267" t="str">
            <v>15/08/2015</v>
          </cell>
          <cell r="AB1267" t="str">
            <v>No</v>
          </cell>
          <cell r="AC1267" t="str">
            <v>31/08/2013</v>
          </cell>
          <cell r="AD1267" t="str">
            <v>Good</v>
          </cell>
          <cell r="AE1267" t="str">
            <v>V1 - Existing / No Claim</v>
          </cell>
          <cell r="AF1267">
            <v>42802</v>
          </cell>
          <cell r="AG1267">
            <v>9.17</v>
          </cell>
          <cell r="AH1267" t="str">
            <v>PPM</v>
          </cell>
          <cell r="AI1267" t="str">
            <v>Strands</v>
          </cell>
          <cell r="AJ1267" t="str">
            <v>Strands PW</v>
          </cell>
        </row>
        <row r="1268">
          <cell r="A1268" t="str">
            <v>IKN400892</v>
          </cell>
          <cell r="B1268">
            <v>891</v>
          </cell>
          <cell r="C1268" t="str">
            <v>Institut Kanser Negara</v>
          </cell>
          <cell r="D1268" t="str">
            <v>KKM/IKN/H/13/754</v>
          </cell>
          <cell r="E1268" t="str">
            <v>12-282</v>
          </cell>
          <cell r="F1268" t="str">
            <v>Lights, Surgical</v>
          </cell>
          <cell r="G1268" t="str">
            <v>OC</v>
          </cell>
          <cell r="H1268" t="str">
            <v>ONCOLOGY CLINIC</v>
          </cell>
          <cell r="I1268" t="str">
            <v>03OC106</v>
          </cell>
          <cell r="J1268" t="str">
            <v>C/E 9</v>
          </cell>
          <cell r="K1268" t="str">
            <v>BMED</v>
          </cell>
          <cell r="L1268" t="str">
            <v>Critical</v>
          </cell>
          <cell r="M1268" t="str">
            <v>USA</v>
          </cell>
          <cell r="N1268" t="str">
            <v>Welch Allyn</v>
          </cell>
          <cell r="O1268" t="str">
            <v>Welch Allyn GS600</v>
          </cell>
          <cell r="P1268" t="str">
            <v>GS-600-21</v>
          </cell>
          <cell r="Q1268" t="str">
            <v>Not Applicable</v>
          </cell>
          <cell r="R1268" t="str">
            <v>Welch Allyn Inc</v>
          </cell>
          <cell r="S1268" t="str">
            <v>Welch Allyn Malaysia Sdn Bhd</v>
          </cell>
          <cell r="T1268" t="str">
            <v>Functioning</v>
          </cell>
          <cell r="U1268" t="str">
            <v>Asset</v>
          </cell>
          <cell r="V1268">
            <v>5050</v>
          </cell>
          <cell r="W1268" t="str">
            <v>KEW</v>
          </cell>
          <cell r="X1268" t="str">
            <v>01/09/2010</v>
          </cell>
          <cell r="Y1268" t="str">
            <v>KEW</v>
          </cell>
          <cell r="Z1268" t="str">
            <v>16/08/2013</v>
          </cell>
          <cell r="AA1268" t="str">
            <v>15/08/2015</v>
          </cell>
          <cell r="AB1268" t="str">
            <v>No</v>
          </cell>
          <cell r="AC1268" t="str">
            <v>31/08/2013</v>
          </cell>
          <cell r="AD1268" t="str">
            <v>Good</v>
          </cell>
          <cell r="AE1268" t="str">
            <v>V1 - Existing / No Claim</v>
          </cell>
          <cell r="AF1268">
            <v>42802</v>
          </cell>
          <cell r="AG1268">
            <v>9.17</v>
          </cell>
          <cell r="AH1268" t="str">
            <v>PPM</v>
          </cell>
          <cell r="AI1268" t="str">
            <v>Strands</v>
          </cell>
          <cell r="AJ1268" t="str">
            <v>Strands PW</v>
          </cell>
        </row>
        <row r="1269">
          <cell r="A1269" t="str">
            <v>IKN400893</v>
          </cell>
          <cell r="B1269">
            <v>892</v>
          </cell>
          <cell r="C1269" t="str">
            <v>Institut Kanser Negara</v>
          </cell>
          <cell r="D1269" t="str">
            <v>KKM/IKN/H/13/755</v>
          </cell>
          <cell r="E1269" t="str">
            <v>12-282</v>
          </cell>
          <cell r="F1269" t="str">
            <v>Lights, Surgical</v>
          </cell>
          <cell r="G1269" t="str">
            <v>OC</v>
          </cell>
          <cell r="H1269" t="str">
            <v>ONCOLOGY CLINIC</v>
          </cell>
          <cell r="I1269" t="str">
            <v>03OC107</v>
          </cell>
          <cell r="J1269" t="str">
            <v>C/E 10</v>
          </cell>
          <cell r="K1269" t="str">
            <v>BMED</v>
          </cell>
          <cell r="L1269" t="str">
            <v>Critical</v>
          </cell>
          <cell r="M1269" t="str">
            <v>USA</v>
          </cell>
          <cell r="N1269" t="str">
            <v>Welch Allyn</v>
          </cell>
          <cell r="O1269" t="str">
            <v>Welch Allyn GS600</v>
          </cell>
          <cell r="P1269" t="str">
            <v>GS-600-22</v>
          </cell>
          <cell r="Q1269" t="str">
            <v>Not Applicable</v>
          </cell>
          <cell r="R1269" t="str">
            <v>Welch Allyn Inc</v>
          </cell>
          <cell r="S1269" t="str">
            <v>Welch Allyn Malaysia Sdn Bhd</v>
          </cell>
          <cell r="T1269" t="str">
            <v>Functioning</v>
          </cell>
          <cell r="U1269" t="str">
            <v>Asset</v>
          </cell>
          <cell r="V1269">
            <v>5050</v>
          </cell>
          <cell r="W1269" t="str">
            <v>KEW</v>
          </cell>
          <cell r="X1269" t="str">
            <v>01/09/2010</v>
          </cell>
          <cell r="Y1269" t="str">
            <v>KEW</v>
          </cell>
          <cell r="Z1269" t="str">
            <v>16/08/2013</v>
          </cell>
          <cell r="AA1269" t="str">
            <v>15/08/2015</v>
          </cell>
          <cell r="AB1269" t="str">
            <v>No</v>
          </cell>
          <cell r="AC1269" t="str">
            <v>31/08/2013</v>
          </cell>
          <cell r="AD1269" t="str">
            <v>Good</v>
          </cell>
          <cell r="AE1269" t="str">
            <v>V1 - Existing / No Claim</v>
          </cell>
          <cell r="AF1269">
            <v>42802</v>
          </cell>
          <cell r="AG1269">
            <v>9.17</v>
          </cell>
          <cell r="AH1269" t="str">
            <v>PPM</v>
          </cell>
          <cell r="AI1269" t="str">
            <v>Strands</v>
          </cell>
          <cell r="AJ1269" t="str">
            <v>Strands PW</v>
          </cell>
        </row>
        <row r="1270">
          <cell r="A1270" t="str">
            <v>IKN400894</v>
          </cell>
          <cell r="B1270">
            <v>893</v>
          </cell>
          <cell r="C1270" t="str">
            <v>Institut Kanser Negara</v>
          </cell>
          <cell r="D1270" t="str">
            <v>KKM/IKN/H/13/791</v>
          </cell>
          <cell r="E1270" t="str">
            <v>12-282</v>
          </cell>
          <cell r="F1270" t="str">
            <v>Lights, Surgical</v>
          </cell>
          <cell r="G1270" t="str">
            <v>OC</v>
          </cell>
          <cell r="H1270" t="str">
            <v>ONCOLOGY CLINIC</v>
          </cell>
          <cell r="I1270" t="str">
            <v>03OC108</v>
          </cell>
          <cell r="J1270" t="str">
            <v>C/E 11</v>
          </cell>
          <cell r="K1270" t="str">
            <v>BMED</v>
          </cell>
          <cell r="L1270" t="str">
            <v>Normal</v>
          </cell>
          <cell r="M1270" t="str">
            <v>USA</v>
          </cell>
          <cell r="N1270" t="str">
            <v>Welch Allyn</v>
          </cell>
          <cell r="O1270" t="str">
            <v>Welch Allyn GS600</v>
          </cell>
          <cell r="P1270" t="str">
            <v>GS-600-23</v>
          </cell>
          <cell r="Q1270" t="str">
            <v>Not Applicable</v>
          </cell>
          <cell r="R1270" t="str">
            <v>Welch Allyn Inc</v>
          </cell>
          <cell r="S1270" t="str">
            <v>Welch Allyn Malaysia Sdn Bhd</v>
          </cell>
          <cell r="T1270" t="str">
            <v>Functioning</v>
          </cell>
          <cell r="U1270" t="str">
            <v>Asset</v>
          </cell>
          <cell r="V1270">
            <v>5050</v>
          </cell>
          <cell r="W1270" t="str">
            <v>KEW</v>
          </cell>
          <cell r="X1270" t="str">
            <v>01/09/2010</v>
          </cell>
          <cell r="Y1270" t="str">
            <v>KEW</v>
          </cell>
          <cell r="Z1270" t="str">
            <v>16/08/2013</v>
          </cell>
          <cell r="AA1270" t="str">
            <v>15/08/2015</v>
          </cell>
          <cell r="AB1270" t="str">
            <v>No</v>
          </cell>
          <cell r="AC1270" t="str">
            <v>31/08/2013</v>
          </cell>
          <cell r="AD1270" t="str">
            <v>Good</v>
          </cell>
          <cell r="AE1270" t="str">
            <v>V1 - Existing / No Claim</v>
          </cell>
          <cell r="AF1270">
            <v>42235</v>
          </cell>
          <cell r="AG1270">
            <v>9.17</v>
          </cell>
          <cell r="AH1270" t="str">
            <v>PPM</v>
          </cell>
          <cell r="AI1270" t="str">
            <v>Strands</v>
          </cell>
          <cell r="AJ1270" t="str">
            <v>Strands PW</v>
          </cell>
        </row>
        <row r="1271">
          <cell r="A1271" t="str">
            <v>IKN400895</v>
          </cell>
          <cell r="B1271">
            <v>894</v>
          </cell>
          <cell r="C1271" t="str">
            <v>Institut Kanser Negara</v>
          </cell>
          <cell r="D1271" t="str">
            <v>KKM/IKN/H/13/756</v>
          </cell>
          <cell r="E1271" t="str">
            <v>12-282</v>
          </cell>
          <cell r="F1271" t="str">
            <v>Lights, Surgical</v>
          </cell>
          <cell r="G1271" t="str">
            <v>OC</v>
          </cell>
          <cell r="H1271" t="str">
            <v>ONCOLOGY CLINIC</v>
          </cell>
          <cell r="I1271" t="str">
            <v>03OC109</v>
          </cell>
          <cell r="J1271" t="str">
            <v>C/E 1 (VIP)</v>
          </cell>
          <cell r="K1271" t="str">
            <v>BMED</v>
          </cell>
          <cell r="L1271" t="str">
            <v>Normal</v>
          </cell>
          <cell r="M1271" t="str">
            <v>USA</v>
          </cell>
          <cell r="N1271" t="str">
            <v>Welch Allyn</v>
          </cell>
          <cell r="O1271" t="str">
            <v>Welch Allyn GS600</v>
          </cell>
          <cell r="P1271" t="str">
            <v>GS-600-24</v>
          </cell>
          <cell r="Q1271" t="str">
            <v>Not Applicable</v>
          </cell>
          <cell r="R1271" t="str">
            <v>Welch Allyn Inc</v>
          </cell>
          <cell r="S1271" t="str">
            <v>Welch Allyn Malaysia Sdn Bhd</v>
          </cell>
          <cell r="T1271" t="str">
            <v>Functioning</v>
          </cell>
          <cell r="U1271" t="str">
            <v>Asset</v>
          </cell>
          <cell r="V1271">
            <v>5050</v>
          </cell>
          <cell r="W1271" t="str">
            <v>KEW</v>
          </cell>
          <cell r="X1271" t="str">
            <v>01/09/2010</v>
          </cell>
          <cell r="Y1271" t="str">
            <v>KEW</v>
          </cell>
          <cell r="Z1271" t="str">
            <v>16/08/2013</v>
          </cell>
          <cell r="AA1271" t="str">
            <v>15/08/2015</v>
          </cell>
          <cell r="AB1271" t="str">
            <v>No</v>
          </cell>
          <cell r="AC1271" t="str">
            <v>31/08/2013</v>
          </cell>
          <cell r="AD1271" t="str">
            <v>Good</v>
          </cell>
          <cell r="AE1271" t="str">
            <v>V1 - Existing / No Claim</v>
          </cell>
          <cell r="AF1271">
            <v>42235</v>
          </cell>
          <cell r="AG1271">
            <v>9.17</v>
          </cell>
          <cell r="AH1271" t="str">
            <v>PPM</v>
          </cell>
          <cell r="AI1271" t="str">
            <v>Strands</v>
          </cell>
          <cell r="AJ1271" t="str">
            <v>Strands PW</v>
          </cell>
        </row>
        <row r="1272">
          <cell r="A1272" t="str">
            <v>IKN400896</v>
          </cell>
          <cell r="B1272">
            <v>895</v>
          </cell>
          <cell r="C1272" t="str">
            <v>Institut Kanser Negara</v>
          </cell>
          <cell r="D1272" t="str">
            <v>KKM/IKN/H/13/1361</v>
          </cell>
          <cell r="E1272" t="str">
            <v>12-282</v>
          </cell>
          <cell r="F1272" t="str">
            <v>Lights, Surgical</v>
          </cell>
          <cell r="G1272" t="str">
            <v>OC</v>
          </cell>
          <cell r="H1272" t="str">
            <v>ONCOLOGY CLINIC</v>
          </cell>
          <cell r="I1272" t="str">
            <v>03OC117</v>
          </cell>
          <cell r="J1272" t="str">
            <v>C/E 6</v>
          </cell>
          <cell r="K1272" t="str">
            <v>BMED</v>
          </cell>
          <cell r="L1272" t="str">
            <v>Critical</v>
          </cell>
          <cell r="M1272" t="str">
            <v>USA</v>
          </cell>
          <cell r="N1272" t="str">
            <v>Welch Allyn</v>
          </cell>
          <cell r="O1272" t="str">
            <v>Welch Allyn GS600</v>
          </cell>
          <cell r="P1272" t="str">
            <v>GS-600-25</v>
          </cell>
          <cell r="Q1272" t="str">
            <v>Not Applicable</v>
          </cell>
          <cell r="R1272" t="str">
            <v>Welch Allyn Inc</v>
          </cell>
          <cell r="S1272" t="str">
            <v>Welch Allyn Malaysia Sdn Bhd</v>
          </cell>
          <cell r="T1272" t="str">
            <v>Functioning</v>
          </cell>
          <cell r="U1272" t="str">
            <v>Asset</v>
          </cell>
          <cell r="V1272">
            <v>5050</v>
          </cell>
          <cell r="W1272" t="str">
            <v>KEW</v>
          </cell>
          <cell r="X1272" t="str">
            <v>01/09/2010</v>
          </cell>
          <cell r="Y1272" t="str">
            <v>KEW</v>
          </cell>
          <cell r="Z1272" t="str">
            <v>16/08/2013</v>
          </cell>
          <cell r="AA1272" t="str">
            <v>15/08/2015</v>
          </cell>
          <cell r="AB1272" t="str">
            <v>No</v>
          </cell>
          <cell r="AC1272" t="str">
            <v>31/08/2013</v>
          </cell>
          <cell r="AD1272" t="str">
            <v>Good</v>
          </cell>
          <cell r="AE1272" t="str">
            <v>V1 - Existing / No Claim</v>
          </cell>
          <cell r="AF1272">
            <v>42802</v>
          </cell>
          <cell r="AG1272">
            <v>9.17</v>
          </cell>
          <cell r="AH1272" t="str">
            <v>PPM</v>
          </cell>
          <cell r="AI1272" t="str">
            <v>Strands</v>
          </cell>
          <cell r="AJ1272" t="str">
            <v>Strands PW</v>
          </cell>
        </row>
        <row r="1273">
          <cell r="A1273" t="str">
            <v>IKN400897</v>
          </cell>
          <cell r="B1273">
            <v>896</v>
          </cell>
          <cell r="C1273" t="str">
            <v>Institut Kanser Negara</v>
          </cell>
          <cell r="D1273" t="str">
            <v>KKM/IKN/H/13/757</v>
          </cell>
          <cell r="E1273" t="str">
            <v>12-282</v>
          </cell>
          <cell r="F1273" t="str">
            <v>Lights, Surgical</v>
          </cell>
          <cell r="G1273" t="str">
            <v>OC</v>
          </cell>
          <cell r="H1273" t="str">
            <v>ONCOLOGY CLINIC</v>
          </cell>
          <cell r="I1273" t="str">
            <v>03OC118</v>
          </cell>
          <cell r="J1273" t="str">
            <v>C/E 5</v>
          </cell>
          <cell r="K1273" t="str">
            <v>BMED</v>
          </cell>
          <cell r="L1273" t="str">
            <v>Critical</v>
          </cell>
          <cell r="M1273" t="str">
            <v>USA</v>
          </cell>
          <cell r="N1273" t="str">
            <v>Welch Allyn</v>
          </cell>
          <cell r="O1273" t="str">
            <v>Welch Allyn GS600</v>
          </cell>
          <cell r="P1273" t="str">
            <v>GS-600-26</v>
          </cell>
          <cell r="Q1273" t="str">
            <v>Not Applicable</v>
          </cell>
          <cell r="R1273" t="str">
            <v>Welch Allyn Inc</v>
          </cell>
          <cell r="S1273" t="str">
            <v>Welch Allyn Malaysia Sdn Bhd</v>
          </cell>
          <cell r="T1273" t="str">
            <v>Functioning</v>
          </cell>
          <cell r="U1273" t="str">
            <v>Asset</v>
          </cell>
          <cell r="V1273">
            <v>5050</v>
          </cell>
          <cell r="W1273" t="str">
            <v>KEW</v>
          </cell>
          <cell r="X1273" t="str">
            <v>01/09/2010</v>
          </cell>
          <cell r="Y1273" t="str">
            <v>KEW</v>
          </cell>
          <cell r="Z1273" t="str">
            <v>16/08/2013</v>
          </cell>
          <cell r="AA1273" t="str">
            <v>15/08/2015</v>
          </cell>
          <cell r="AB1273" t="str">
            <v>No</v>
          </cell>
          <cell r="AC1273" t="str">
            <v>31/08/2013</v>
          </cell>
          <cell r="AD1273" t="str">
            <v>Good</v>
          </cell>
          <cell r="AE1273" t="str">
            <v>V1 - Existing / No Claim</v>
          </cell>
          <cell r="AF1273">
            <v>42802</v>
          </cell>
          <cell r="AG1273">
            <v>9.17</v>
          </cell>
          <cell r="AH1273" t="str">
            <v>PPM</v>
          </cell>
          <cell r="AI1273" t="str">
            <v>Strands</v>
          </cell>
          <cell r="AJ1273" t="str">
            <v>Strands PW</v>
          </cell>
        </row>
        <row r="1274">
          <cell r="A1274" t="str">
            <v>IKN400898</v>
          </cell>
          <cell r="B1274">
            <v>897</v>
          </cell>
          <cell r="C1274" t="str">
            <v>Institut Kanser Negara</v>
          </cell>
          <cell r="D1274" t="str">
            <v>KKM/IKN/H/13/1362</v>
          </cell>
          <cell r="E1274" t="str">
            <v>12-282</v>
          </cell>
          <cell r="F1274" t="str">
            <v>Lights, Surgical</v>
          </cell>
          <cell r="G1274" t="str">
            <v>OC</v>
          </cell>
          <cell r="H1274" t="str">
            <v>ONCOLOGY CLINIC</v>
          </cell>
          <cell r="I1274" t="str">
            <v>03OC119</v>
          </cell>
          <cell r="J1274" t="str">
            <v>C/E 4</v>
          </cell>
          <cell r="K1274" t="str">
            <v>BMED</v>
          </cell>
          <cell r="L1274" t="str">
            <v>Critical</v>
          </cell>
          <cell r="M1274" t="str">
            <v>USA</v>
          </cell>
          <cell r="N1274" t="str">
            <v>Welch Allyn</v>
          </cell>
          <cell r="O1274" t="str">
            <v>Welch Allyn GS600</v>
          </cell>
          <cell r="P1274" t="str">
            <v>GS-600-27</v>
          </cell>
          <cell r="Q1274" t="str">
            <v>Not Applicable</v>
          </cell>
          <cell r="R1274" t="str">
            <v>Welch Allyn Inc</v>
          </cell>
          <cell r="S1274" t="str">
            <v>Welch Allyn Malaysia Sdn Bhd</v>
          </cell>
          <cell r="T1274" t="str">
            <v>Functioning</v>
          </cell>
          <cell r="U1274" t="str">
            <v>Asset</v>
          </cell>
          <cell r="V1274">
            <v>5050</v>
          </cell>
          <cell r="W1274" t="str">
            <v>KEW</v>
          </cell>
          <cell r="X1274" t="str">
            <v>01/09/2010</v>
          </cell>
          <cell r="Y1274" t="str">
            <v>KEW</v>
          </cell>
          <cell r="Z1274" t="str">
            <v>16/08/2013</v>
          </cell>
          <cell r="AA1274" t="str">
            <v>15/08/2015</v>
          </cell>
          <cell r="AB1274" t="str">
            <v>No</v>
          </cell>
          <cell r="AC1274" t="str">
            <v>31/08/2013</v>
          </cell>
          <cell r="AD1274" t="str">
            <v>Good</v>
          </cell>
          <cell r="AE1274" t="str">
            <v>V1 - Existing / No Claim</v>
          </cell>
          <cell r="AF1274">
            <v>42802</v>
          </cell>
          <cell r="AG1274">
            <v>9.17</v>
          </cell>
          <cell r="AH1274" t="str">
            <v>PPM</v>
          </cell>
          <cell r="AI1274" t="str">
            <v>Strands</v>
          </cell>
          <cell r="AJ1274" t="str">
            <v>Strands PW</v>
          </cell>
        </row>
        <row r="1275">
          <cell r="A1275" t="str">
            <v>IKN400899</v>
          </cell>
          <cell r="B1275">
            <v>898</v>
          </cell>
          <cell r="C1275" t="str">
            <v>Institut Kanser Negara</v>
          </cell>
          <cell r="D1275" t="str">
            <v>KKM/IKN/H/13/758</v>
          </cell>
          <cell r="E1275" t="str">
            <v>12-282</v>
          </cell>
          <cell r="F1275" t="str">
            <v>Lights, Surgical</v>
          </cell>
          <cell r="G1275" t="str">
            <v>OC</v>
          </cell>
          <cell r="H1275" t="str">
            <v>ONCOLOGY CLINIC</v>
          </cell>
          <cell r="I1275" t="str">
            <v>03OC120</v>
          </cell>
          <cell r="J1275" t="str">
            <v>C/E 3</v>
          </cell>
          <cell r="K1275" t="str">
            <v>BMED</v>
          </cell>
          <cell r="L1275" t="str">
            <v>Critical</v>
          </cell>
          <cell r="M1275" t="str">
            <v>USA</v>
          </cell>
          <cell r="N1275" t="str">
            <v>Welch Allyn</v>
          </cell>
          <cell r="O1275" t="str">
            <v>Welch Allyn GS600</v>
          </cell>
          <cell r="P1275" t="str">
            <v>GS-600-28</v>
          </cell>
          <cell r="Q1275" t="str">
            <v>Not Applicable</v>
          </cell>
          <cell r="R1275" t="str">
            <v>Welch Allyn Inc</v>
          </cell>
          <cell r="S1275" t="str">
            <v>Welch Allyn Malaysia Sdn Bhd</v>
          </cell>
          <cell r="T1275" t="str">
            <v>Functioning</v>
          </cell>
          <cell r="U1275" t="str">
            <v>Asset</v>
          </cell>
          <cell r="V1275">
            <v>5050</v>
          </cell>
          <cell r="W1275" t="str">
            <v>KEW</v>
          </cell>
          <cell r="X1275" t="str">
            <v>01/09/2010</v>
          </cell>
          <cell r="Y1275" t="str">
            <v>KEW</v>
          </cell>
          <cell r="Z1275" t="str">
            <v>16/08/2013</v>
          </cell>
          <cell r="AA1275" t="str">
            <v>15/08/2015</v>
          </cell>
          <cell r="AB1275" t="str">
            <v>No</v>
          </cell>
          <cell r="AC1275" t="str">
            <v>31/08/2013</v>
          </cell>
          <cell r="AD1275" t="str">
            <v>Good</v>
          </cell>
          <cell r="AE1275" t="str">
            <v>V1 - Existing / No Claim</v>
          </cell>
          <cell r="AF1275">
            <v>42802</v>
          </cell>
          <cell r="AG1275">
            <v>9.17</v>
          </cell>
          <cell r="AH1275" t="str">
            <v>PPM</v>
          </cell>
          <cell r="AI1275" t="str">
            <v>Strands</v>
          </cell>
          <cell r="AJ1275" t="str">
            <v>Strands PW</v>
          </cell>
        </row>
        <row r="1276">
          <cell r="A1276" t="str">
            <v>IKN400900</v>
          </cell>
          <cell r="B1276">
            <v>899</v>
          </cell>
          <cell r="C1276" t="str">
            <v>Institut Kanser Negara</v>
          </cell>
          <cell r="D1276" t="str">
            <v>KKM/IKN/H/13/759</v>
          </cell>
          <cell r="E1276" t="str">
            <v>12-282</v>
          </cell>
          <cell r="F1276" t="str">
            <v>Lights, Surgical</v>
          </cell>
          <cell r="G1276" t="str">
            <v>OC</v>
          </cell>
          <cell r="H1276" t="str">
            <v>ONCOLOGY CLINIC</v>
          </cell>
          <cell r="I1276" t="str">
            <v>03OC121</v>
          </cell>
          <cell r="J1276" t="str">
            <v>C/E2</v>
          </cell>
          <cell r="K1276" t="str">
            <v>BMED</v>
          </cell>
          <cell r="L1276" t="str">
            <v>Critical</v>
          </cell>
          <cell r="M1276" t="str">
            <v>USA</v>
          </cell>
          <cell r="N1276" t="str">
            <v>Welch Allyn</v>
          </cell>
          <cell r="O1276" t="str">
            <v>Welch Allyn GS600</v>
          </cell>
          <cell r="P1276" t="str">
            <v>GS-600-29</v>
          </cell>
          <cell r="Q1276" t="str">
            <v>Not Applicable</v>
          </cell>
          <cell r="R1276" t="str">
            <v>Welch Allyn Inc</v>
          </cell>
          <cell r="S1276" t="str">
            <v>Welch Allyn Malaysia Sdn Bhd</v>
          </cell>
          <cell r="T1276" t="str">
            <v>Functioning</v>
          </cell>
          <cell r="U1276" t="str">
            <v>Asset</v>
          </cell>
          <cell r="V1276">
            <v>5050</v>
          </cell>
          <cell r="W1276" t="str">
            <v>KEW</v>
          </cell>
          <cell r="X1276" t="str">
            <v>01/09/2010</v>
          </cell>
          <cell r="Y1276" t="str">
            <v>KEW</v>
          </cell>
          <cell r="Z1276" t="str">
            <v>16/08/2013</v>
          </cell>
          <cell r="AA1276" t="str">
            <v>15/08/2015</v>
          </cell>
          <cell r="AB1276" t="str">
            <v>No</v>
          </cell>
          <cell r="AC1276" t="str">
            <v>31/08/2013</v>
          </cell>
          <cell r="AD1276" t="str">
            <v>Good</v>
          </cell>
          <cell r="AE1276" t="str">
            <v>V1 - Existing / No Claim</v>
          </cell>
          <cell r="AF1276">
            <v>42802</v>
          </cell>
          <cell r="AG1276">
            <v>9.17</v>
          </cell>
          <cell r="AH1276" t="str">
            <v>PPM</v>
          </cell>
          <cell r="AI1276" t="str">
            <v>Strands</v>
          </cell>
          <cell r="AJ1276" t="str">
            <v>Strands PW</v>
          </cell>
        </row>
        <row r="1277">
          <cell r="A1277" t="str">
            <v>IKN400901</v>
          </cell>
          <cell r="B1277">
            <v>900</v>
          </cell>
          <cell r="C1277" t="str">
            <v>Institut Kanser Negara</v>
          </cell>
          <cell r="D1277" t="str">
            <v>KKM/IKN/H/13/1610</v>
          </cell>
          <cell r="E1277" t="str">
            <v>15-045</v>
          </cell>
          <cell r="F1277" t="str">
            <v>Nebulizers, Nonheated</v>
          </cell>
          <cell r="G1277" t="str">
            <v>OC</v>
          </cell>
          <cell r="H1277" t="str">
            <v>ONCOLOGY CLINIC</v>
          </cell>
          <cell r="I1277" t="str">
            <v>03OC143</v>
          </cell>
          <cell r="J1277" t="str">
            <v>EQ. STORE</v>
          </cell>
          <cell r="K1277" t="str">
            <v>BMED</v>
          </cell>
          <cell r="L1277" t="str">
            <v>Normal</v>
          </cell>
          <cell r="M1277" t="str">
            <v>Germany</v>
          </cell>
          <cell r="N1277" t="str">
            <v>Pari Boy</v>
          </cell>
          <cell r="O1277" t="str">
            <v>Pari Boy SX 085</v>
          </cell>
          <cell r="P1277" t="str">
            <v>2W12F13722</v>
          </cell>
          <cell r="Q1277" t="str">
            <v>Not Applicable</v>
          </cell>
          <cell r="R1277" t="str">
            <v>Pari GmbH</v>
          </cell>
          <cell r="S1277" t="str">
            <v>Welch Allyn Malaysia Sdn Bhd</v>
          </cell>
          <cell r="T1277" t="str">
            <v>Functioning</v>
          </cell>
          <cell r="U1277" t="str">
            <v>Asset</v>
          </cell>
          <cell r="V1277">
            <v>1140</v>
          </cell>
          <cell r="W1277" t="str">
            <v>KEW</v>
          </cell>
          <cell r="X1277" t="str">
            <v>01/09/2010</v>
          </cell>
          <cell r="Y1277" t="str">
            <v>KEW</v>
          </cell>
          <cell r="Z1277" t="str">
            <v>16/08/2013</v>
          </cell>
          <cell r="AA1277" t="str">
            <v>15/08/2015</v>
          </cell>
          <cell r="AB1277" t="str">
            <v>No</v>
          </cell>
          <cell r="AC1277" t="str">
            <v>31/08/2013</v>
          </cell>
          <cell r="AD1277" t="str">
            <v>Good</v>
          </cell>
          <cell r="AE1277" t="str">
            <v>V3 - Added Installed Facilities (New)</v>
          </cell>
          <cell r="AF1277">
            <v>42802</v>
          </cell>
          <cell r="AG1277">
            <v>9.17</v>
          </cell>
          <cell r="AH1277" t="str">
            <v>PPM</v>
          </cell>
          <cell r="AI1277" t="str">
            <v>Strands</v>
          </cell>
          <cell r="AJ1277" t="str">
            <v>Strands PW</v>
          </cell>
          <cell r="AK1277" t="str">
            <v>SNF received. 1st batch of V3 asset (December 2020)</v>
          </cell>
        </row>
        <row r="1278">
          <cell r="A1278" t="str">
            <v>IKN400902</v>
          </cell>
          <cell r="B1278">
            <v>901</v>
          </cell>
          <cell r="C1278" t="str">
            <v>Institut Kanser Negara</v>
          </cell>
          <cell r="D1278" t="str">
            <v>KKM/IKN/R/13/1784</v>
          </cell>
          <cell r="E1278" t="str">
            <v>16-173</v>
          </cell>
          <cell r="F1278" t="str">
            <v>Sphygmomanometers, Electronic, Automatic</v>
          </cell>
          <cell r="G1278" t="str">
            <v>OC</v>
          </cell>
          <cell r="H1278" t="str">
            <v>ONCOLOGY CLINIC</v>
          </cell>
          <cell r="I1278" t="str">
            <v>03OC106</v>
          </cell>
          <cell r="J1278" t="str">
            <v>C/E 9</v>
          </cell>
          <cell r="K1278" t="str">
            <v>BMED</v>
          </cell>
          <cell r="L1278" t="str">
            <v>Normal</v>
          </cell>
          <cell r="M1278" t="str">
            <v>USA</v>
          </cell>
          <cell r="N1278" t="str">
            <v>Connex</v>
          </cell>
          <cell r="O1278" t="str">
            <v>Connex ProBP 3400</v>
          </cell>
          <cell r="P1278" t="str">
            <v>100003390213</v>
          </cell>
          <cell r="Q1278" t="str">
            <v>Not Applicable</v>
          </cell>
          <cell r="R1278" t="str">
            <v>Welch Allyn Inc</v>
          </cell>
          <cell r="S1278" t="str">
            <v>Welch Allyn Malaysia Sdn Bhd</v>
          </cell>
          <cell r="T1278" t="str">
            <v>Functioning</v>
          </cell>
          <cell r="U1278" t="str">
            <v>Asset</v>
          </cell>
          <cell r="V1278">
            <v>336</v>
          </cell>
          <cell r="W1278" t="str">
            <v>KEW</v>
          </cell>
          <cell r="X1278" t="str">
            <v>01/09/2010</v>
          </cell>
          <cell r="Y1278" t="str">
            <v>KEW</v>
          </cell>
          <cell r="Z1278" t="str">
            <v>16/08/2013</v>
          </cell>
          <cell r="AA1278" t="str">
            <v>15/08/2015</v>
          </cell>
          <cell r="AB1278" t="str">
            <v>No</v>
          </cell>
          <cell r="AC1278" t="str">
            <v>31/08/2013</v>
          </cell>
          <cell r="AD1278" t="str">
            <v>Good</v>
          </cell>
          <cell r="AE1278" t="str">
            <v>V3 - Added Installed Facilities (New)</v>
          </cell>
          <cell r="AF1278">
            <v>42235</v>
          </cell>
          <cell r="AG1278">
            <v>9.17</v>
          </cell>
          <cell r="AH1278" t="str">
            <v>PPM</v>
          </cell>
          <cell r="AI1278" t="str">
            <v>Not in contract</v>
          </cell>
          <cell r="AJ1278" t="str">
            <v>Proposed for V3 P2.23</v>
          </cell>
          <cell r="AK1278" t="e">
            <v>#N/A</v>
          </cell>
        </row>
        <row r="1279">
          <cell r="A1279" t="str">
            <v>IKN400903</v>
          </cell>
          <cell r="B1279">
            <v>902</v>
          </cell>
          <cell r="C1279" t="str">
            <v>Institut Kanser Negara</v>
          </cell>
          <cell r="D1279" t="str">
            <v>KKM/IKN/R/13/1783</v>
          </cell>
          <cell r="E1279" t="str">
            <v>16-173</v>
          </cell>
          <cell r="F1279" t="str">
            <v>Sphygmomanometers, Electronic, Automatic</v>
          </cell>
          <cell r="G1279" t="str">
            <v>OC</v>
          </cell>
          <cell r="H1279" t="str">
            <v>ONCOLOGY CLINIC</v>
          </cell>
          <cell r="I1279" t="str">
            <v>03OC107</v>
          </cell>
          <cell r="J1279" t="str">
            <v>C/E 10</v>
          </cell>
          <cell r="K1279" t="str">
            <v>BMED</v>
          </cell>
          <cell r="L1279" t="str">
            <v>Normal</v>
          </cell>
          <cell r="M1279" t="str">
            <v>USA</v>
          </cell>
          <cell r="N1279" t="str">
            <v>Connex</v>
          </cell>
          <cell r="O1279" t="str">
            <v>Connex ProBP 3400</v>
          </cell>
          <cell r="P1279" t="str">
            <v>100001230413</v>
          </cell>
          <cell r="Q1279" t="str">
            <v>Not Applicable</v>
          </cell>
          <cell r="R1279" t="str">
            <v>Welch Allyn Inc</v>
          </cell>
          <cell r="S1279" t="str">
            <v>Welch Allyn Malaysia Sdn Bhd</v>
          </cell>
          <cell r="T1279" t="str">
            <v>Functioning</v>
          </cell>
          <cell r="U1279" t="str">
            <v>Asset</v>
          </cell>
          <cell r="V1279">
            <v>336</v>
          </cell>
          <cell r="W1279" t="str">
            <v>KEW</v>
          </cell>
          <cell r="X1279" t="str">
            <v>01/09/2010</v>
          </cell>
          <cell r="Y1279" t="str">
            <v>KEW</v>
          </cell>
          <cell r="Z1279" t="str">
            <v>16/08/2013</v>
          </cell>
          <cell r="AA1279" t="str">
            <v>15/08/2015</v>
          </cell>
          <cell r="AB1279" t="str">
            <v>No</v>
          </cell>
          <cell r="AC1279" t="str">
            <v>31/08/2013</v>
          </cell>
          <cell r="AD1279" t="str">
            <v>Good</v>
          </cell>
          <cell r="AE1279" t="str">
            <v>V3 - Added Installed Facilities (New)</v>
          </cell>
          <cell r="AF1279">
            <v>42235</v>
          </cell>
          <cell r="AG1279">
            <v>9.17</v>
          </cell>
          <cell r="AH1279" t="str">
            <v>PPM</v>
          </cell>
          <cell r="AI1279" t="str">
            <v>Not in contract</v>
          </cell>
          <cell r="AJ1279" t="str">
            <v>Proposed for V3 P2.23</v>
          </cell>
          <cell r="AK1279" t="e">
            <v>#N/A</v>
          </cell>
        </row>
        <row r="1280">
          <cell r="A1280" t="str">
            <v>IKN400904</v>
          </cell>
          <cell r="B1280">
            <v>903</v>
          </cell>
          <cell r="C1280" t="str">
            <v>Institut Kanser Negara</v>
          </cell>
          <cell r="D1280" t="str">
            <v>KKM/IKN/R/13/1782</v>
          </cell>
          <cell r="E1280" t="str">
            <v>16-173</v>
          </cell>
          <cell r="F1280" t="str">
            <v>Sphygmomanometers, Electronic, Automatic</v>
          </cell>
          <cell r="G1280" t="str">
            <v>OC</v>
          </cell>
          <cell r="H1280" t="str">
            <v>ONCOLOGY CLINIC</v>
          </cell>
          <cell r="I1280" t="str">
            <v>03OC108</v>
          </cell>
          <cell r="J1280" t="str">
            <v>C/E 11</v>
          </cell>
          <cell r="K1280" t="str">
            <v>BMED</v>
          </cell>
          <cell r="L1280" t="str">
            <v>Normal</v>
          </cell>
          <cell r="M1280" t="str">
            <v>USA</v>
          </cell>
          <cell r="N1280" t="str">
            <v>Connex</v>
          </cell>
          <cell r="O1280" t="str">
            <v>Connex ProBP 3400</v>
          </cell>
          <cell r="P1280" t="str">
            <v>100003240213</v>
          </cell>
          <cell r="Q1280" t="str">
            <v>Not Applicable</v>
          </cell>
          <cell r="R1280" t="str">
            <v>Welch Allyn Inc</v>
          </cell>
          <cell r="S1280" t="str">
            <v>Welch Allyn Malaysia Sdn Bhd</v>
          </cell>
          <cell r="T1280" t="str">
            <v>Functioning</v>
          </cell>
          <cell r="U1280" t="str">
            <v>Asset</v>
          </cell>
          <cell r="V1280">
            <v>336</v>
          </cell>
          <cell r="W1280" t="str">
            <v>KEW</v>
          </cell>
          <cell r="X1280" t="str">
            <v>01/09/2010</v>
          </cell>
          <cell r="Y1280" t="str">
            <v>KEW</v>
          </cell>
          <cell r="Z1280" t="str">
            <v>16/08/2013</v>
          </cell>
          <cell r="AA1280" t="str">
            <v>15/08/2015</v>
          </cell>
          <cell r="AB1280" t="str">
            <v>No</v>
          </cell>
          <cell r="AC1280" t="str">
            <v>31/08/2013</v>
          </cell>
          <cell r="AD1280" t="str">
            <v>Good</v>
          </cell>
          <cell r="AE1280" t="str">
            <v>V3 - Added Installed Facilities (New)</v>
          </cell>
          <cell r="AF1280">
            <v>42235</v>
          </cell>
          <cell r="AG1280">
            <v>9.17</v>
          </cell>
          <cell r="AH1280" t="str">
            <v>PPM</v>
          </cell>
          <cell r="AI1280" t="str">
            <v>Not in contract</v>
          </cell>
          <cell r="AJ1280" t="str">
            <v>Proposed for V3 P2.23</v>
          </cell>
          <cell r="AK1280" t="e">
            <v>#N/A</v>
          </cell>
        </row>
        <row r="1281">
          <cell r="A1281" t="str">
            <v>IKN400905</v>
          </cell>
          <cell r="B1281">
            <v>904</v>
          </cell>
          <cell r="C1281" t="str">
            <v>Institut Kanser Negara</v>
          </cell>
          <cell r="D1281" t="str">
            <v>KKM/IKN/R/13/1781</v>
          </cell>
          <cell r="E1281" t="str">
            <v>16-173</v>
          </cell>
          <cell r="F1281" t="str">
            <v>Sphygmomanometers, Electronic, Automatic</v>
          </cell>
          <cell r="G1281" t="str">
            <v>OC</v>
          </cell>
          <cell r="H1281" t="str">
            <v>ONCOLOGY CLINIC</v>
          </cell>
          <cell r="I1281" t="str">
            <v>03OC109</v>
          </cell>
          <cell r="J1281" t="str">
            <v>C/E 1 (VIP)</v>
          </cell>
          <cell r="K1281" t="str">
            <v>BMED</v>
          </cell>
          <cell r="L1281" t="str">
            <v>Normal</v>
          </cell>
          <cell r="M1281" t="str">
            <v>USA</v>
          </cell>
          <cell r="N1281" t="str">
            <v>Connex</v>
          </cell>
          <cell r="O1281" t="str">
            <v>Connex ProBP 3400</v>
          </cell>
          <cell r="P1281" t="str">
            <v>100003400213</v>
          </cell>
          <cell r="Q1281" t="str">
            <v>Not Applicable</v>
          </cell>
          <cell r="R1281" t="str">
            <v>Welch Allyn Inc</v>
          </cell>
          <cell r="S1281" t="str">
            <v>Welch Allyn Malaysia Sdn Bhd</v>
          </cell>
          <cell r="T1281" t="str">
            <v>Functioning</v>
          </cell>
          <cell r="U1281" t="str">
            <v>Asset</v>
          </cell>
          <cell r="V1281">
            <v>336</v>
          </cell>
          <cell r="W1281" t="str">
            <v>KEW</v>
          </cell>
          <cell r="X1281" t="str">
            <v>01/09/2010</v>
          </cell>
          <cell r="Y1281" t="str">
            <v>KEW</v>
          </cell>
          <cell r="Z1281" t="str">
            <v>16/08/2013</v>
          </cell>
          <cell r="AA1281" t="str">
            <v>15/08/2015</v>
          </cell>
          <cell r="AB1281" t="str">
            <v>No</v>
          </cell>
          <cell r="AC1281" t="str">
            <v>31/08/2013</v>
          </cell>
          <cell r="AD1281" t="str">
            <v>Good</v>
          </cell>
          <cell r="AE1281" t="str">
            <v>V3 - Added Installed Facilities (New)</v>
          </cell>
          <cell r="AF1281">
            <v>42235</v>
          </cell>
          <cell r="AG1281">
            <v>9.17</v>
          </cell>
          <cell r="AH1281" t="str">
            <v>PPM</v>
          </cell>
          <cell r="AI1281" t="str">
            <v>Not in contract</v>
          </cell>
          <cell r="AJ1281" t="str">
            <v>Proposed for V3 P2.23</v>
          </cell>
          <cell r="AK1281" t="e">
            <v>#N/A</v>
          </cell>
        </row>
        <row r="1282">
          <cell r="A1282" t="str">
            <v>IKN400906</v>
          </cell>
          <cell r="B1282">
            <v>905</v>
          </cell>
          <cell r="C1282" t="str">
            <v>Institut Kanser Negara</v>
          </cell>
          <cell r="D1282" t="str">
            <v>KKM/IKN/R/13/1780</v>
          </cell>
          <cell r="E1282" t="str">
            <v>16-173</v>
          </cell>
          <cell r="F1282" t="str">
            <v>Sphygmomanometers, Electronic, Automatic</v>
          </cell>
          <cell r="G1282" t="str">
            <v>OC</v>
          </cell>
          <cell r="H1282" t="str">
            <v>ONCOLOGY CLINIC</v>
          </cell>
          <cell r="I1282" t="str">
            <v>03OC117</v>
          </cell>
          <cell r="J1282" t="str">
            <v>C/E 6</v>
          </cell>
          <cell r="K1282" t="str">
            <v>BMED</v>
          </cell>
          <cell r="L1282" t="str">
            <v>Normal</v>
          </cell>
          <cell r="M1282" t="str">
            <v>USA</v>
          </cell>
          <cell r="N1282" t="str">
            <v>Connex</v>
          </cell>
          <cell r="O1282" t="str">
            <v>Connex ProBP 3400</v>
          </cell>
          <cell r="P1282" t="str">
            <v>100004621213</v>
          </cell>
          <cell r="Q1282" t="str">
            <v>Not Applicable</v>
          </cell>
          <cell r="R1282" t="str">
            <v>Welch Allyn Inc</v>
          </cell>
          <cell r="S1282" t="str">
            <v>Welch Allyn Malaysia Sdn Bhd</v>
          </cell>
          <cell r="T1282" t="str">
            <v>Functioning</v>
          </cell>
          <cell r="U1282" t="str">
            <v>Asset</v>
          </cell>
          <cell r="V1282">
            <v>336</v>
          </cell>
          <cell r="W1282" t="str">
            <v>KEW</v>
          </cell>
          <cell r="X1282" t="str">
            <v>01/09/2010</v>
          </cell>
          <cell r="Y1282" t="str">
            <v>KEW</v>
          </cell>
          <cell r="Z1282" t="str">
            <v>16/08/2013</v>
          </cell>
          <cell r="AA1282" t="str">
            <v>15/08/2015</v>
          </cell>
          <cell r="AB1282" t="str">
            <v>No</v>
          </cell>
          <cell r="AC1282" t="str">
            <v>31/08/2013</v>
          </cell>
          <cell r="AD1282" t="str">
            <v>Good</v>
          </cell>
          <cell r="AE1282" t="str">
            <v>V3 - Added Installed Facilities (New)</v>
          </cell>
          <cell r="AF1282">
            <v>42235</v>
          </cell>
          <cell r="AG1282">
            <v>9.17</v>
          </cell>
          <cell r="AH1282" t="str">
            <v>PPM</v>
          </cell>
          <cell r="AI1282" t="str">
            <v>Not in contract</v>
          </cell>
          <cell r="AJ1282" t="str">
            <v>Proposed for V3 P2.23</v>
          </cell>
          <cell r="AK1282" t="e">
            <v>#N/A</v>
          </cell>
        </row>
        <row r="1283">
          <cell r="A1283" t="str">
            <v>IKN400907</v>
          </cell>
          <cell r="B1283">
            <v>906</v>
          </cell>
          <cell r="C1283" t="str">
            <v>Institut Kanser Negara</v>
          </cell>
          <cell r="D1283" t="str">
            <v>KKM/IKN/R/13/1779</v>
          </cell>
          <cell r="E1283" t="str">
            <v>16-173</v>
          </cell>
          <cell r="F1283" t="str">
            <v>Sphygmomanometers, Electronic, Automatic</v>
          </cell>
          <cell r="G1283" t="str">
            <v>OC</v>
          </cell>
          <cell r="H1283" t="str">
            <v>ONCOLOGY CLINIC</v>
          </cell>
          <cell r="I1283" t="str">
            <v>03OC118</v>
          </cell>
          <cell r="J1283" t="str">
            <v>C/E 5</v>
          </cell>
          <cell r="K1283" t="str">
            <v>BMED</v>
          </cell>
          <cell r="L1283" t="str">
            <v>Normal</v>
          </cell>
          <cell r="M1283" t="str">
            <v>USA</v>
          </cell>
          <cell r="N1283" t="str">
            <v>Connex</v>
          </cell>
          <cell r="O1283" t="str">
            <v>Connex ProBP 3400</v>
          </cell>
          <cell r="P1283" t="str">
            <v>100003030213</v>
          </cell>
          <cell r="Q1283" t="str">
            <v>Not Applicable</v>
          </cell>
          <cell r="R1283" t="str">
            <v>Welch Allyn Inc</v>
          </cell>
          <cell r="S1283" t="str">
            <v>Welch Allyn Malaysia Sdn Bhd</v>
          </cell>
          <cell r="T1283" t="str">
            <v>Functioning</v>
          </cell>
          <cell r="U1283" t="str">
            <v>Asset</v>
          </cell>
          <cell r="V1283">
            <v>336</v>
          </cell>
          <cell r="W1283" t="str">
            <v>KEW</v>
          </cell>
          <cell r="X1283" t="str">
            <v>01/09/2010</v>
          </cell>
          <cell r="Y1283" t="str">
            <v>KEW</v>
          </cell>
          <cell r="Z1283" t="str">
            <v>16/08/2013</v>
          </cell>
          <cell r="AA1283" t="str">
            <v>15/08/2015</v>
          </cell>
          <cell r="AB1283" t="str">
            <v>No</v>
          </cell>
          <cell r="AC1283" t="str">
            <v>31/08/2013</v>
          </cell>
          <cell r="AD1283" t="str">
            <v>Good</v>
          </cell>
          <cell r="AE1283" t="str">
            <v>V3 - Added Installed Facilities (New)</v>
          </cell>
          <cell r="AF1283">
            <v>42235</v>
          </cell>
          <cell r="AG1283">
            <v>9.17</v>
          </cell>
          <cell r="AH1283" t="str">
            <v>PPM</v>
          </cell>
          <cell r="AI1283" t="str">
            <v>Not in contract</v>
          </cell>
          <cell r="AJ1283" t="str">
            <v>Proposed for V3 P2.23</v>
          </cell>
          <cell r="AK1283" t="e">
            <v>#N/A</v>
          </cell>
        </row>
        <row r="1284">
          <cell r="A1284" t="str">
            <v>IKN400908</v>
          </cell>
          <cell r="B1284">
            <v>907</v>
          </cell>
          <cell r="C1284" t="str">
            <v>Institut Kanser Negara</v>
          </cell>
          <cell r="D1284" t="str">
            <v>KKM/IKN/R/13/1778</v>
          </cell>
          <cell r="E1284" t="str">
            <v>16-173</v>
          </cell>
          <cell r="F1284" t="str">
            <v>Sphygmomanometers, Electronic, Automatic</v>
          </cell>
          <cell r="G1284" t="str">
            <v>OC</v>
          </cell>
          <cell r="H1284" t="str">
            <v>ONCOLOGY CLINIC</v>
          </cell>
          <cell r="I1284" t="str">
            <v>03OC119</v>
          </cell>
          <cell r="J1284" t="str">
            <v>C/E 4</v>
          </cell>
          <cell r="K1284" t="str">
            <v>BMED</v>
          </cell>
          <cell r="L1284" t="str">
            <v>Normal</v>
          </cell>
          <cell r="M1284" t="str">
            <v>USA</v>
          </cell>
          <cell r="N1284" t="str">
            <v>Connex</v>
          </cell>
          <cell r="O1284" t="str">
            <v>Connex ProBP 3400</v>
          </cell>
          <cell r="P1284" t="str">
            <v>100000120413</v>
          </cell>
          <cell r="Q1284" t="str">
            <v>Not Applicable</v>
          </cell>
          <cell r="R1284" t="str">
            <v>Welch Allyn Inc</v>
          </cell>
          <cell r="S1284" t="str">
            <v>Welch Allyn Malaysia Sdn Bhd</v>
          </cell>
          <cell r="T1284" t="str">
            <v>Functioning</v>
          </cell>
          <cell r="U1284" t="str">
            <v>Asset</v>
          </cell>
          <cell r="V1284">
            <v>336</v>
          </cell>
          <cell r="W1284" t="str">
            <v>KEW</v>
          </cell>
          <cell r="X1284" t="str">
            <v>01/09/2010</v>
          </cell>
          <cell r="Y1284" t="str">
            <v>KEW</v>
          </cell>
          <cell r="Z1284" t="str">
            <v>16/08/2013</v>
          </cell>
          <cell r="AA1284" t="str">
            <v>15/08/2015</v>
          </cell>
          <cell r="AB1284" t="str">
            <v>No</v>
          </cell>
          <cell r="AC1284" t="str">
            <v>31/08/2013</v>
          </cell>
          <cell r="AD1284" t="str">
            <v>Good</v>
          </cell>
          <cell r="AE1284" t="str">
            <v>V3 - Added Installed Facilities (New)</v>
          </cell>
          <cell r="AF1284">
            <v>42235</v>
          </cell>
          <cell r="AG1284">
            <v>9.17</v>
          </cell>
          <cell r="AH1284" t="str">
            <v>PPM</v>
          </cell>
          <cell r="AI1284" t="str">
            <v>Not in contract</v>
          </cell>
          <cell r="AJ1284" t="str">
            <v>Proposed for V3 P2.23</v>
          </cell>
          <cell r="AK1284" t="e">
            <v>#N/A</v>
          </cell>
        </row>
        <row r="1285">
          <cell r="A1285" t="str">
            <v>IKN400909</v>
          </cell>
          <cell r="B1285">
            <v>908</v>
          </cell>
          <cell r="C1285" t="str">
            <v>Institut Kanser Negara</v>
          </cell>
          <cell r="D1285" t="str">
            <v>KKM/IKN/R/13/1777</v>
          </cell>
          <cell r="E1285" t="str">
            <v>16-173</v>
          </cell>
          <cell r="F1285" t="str">
            <v>Sphygmomanometers, Electronic, Automatic</v>
          </cell>
          <cell r="G1285" t="str">
            <v>OC</v>
          </cell>
          <cell r="H1285" t="str">
            <v>ONCOLOGY CLINIC</v>
          </cell>
          <cell r="I1285" t="str">
            <v>03OC120</v>
          </cell>
          <cell r="J1285" t="str">
            <v>C/E 3</v>
          </cell>
          <cell r="K1285" t="str">
            <v>BMED</v>
          </cell>
          <cell r="L1285" t="str">
            <v>Normal</v>
          </cell>
          <cell r="M1285" t="str">
            <v>USA</v>
          </cell>
          <cell r="N1285" t="str">
            <v>Connex</v>
          </cell>
          <cell r="O1285" t="str">
            <v>Connex ProBP 3400</v>
          </cell>
          <cell r="P1285" t="str">
            <v>100001530413</v>
          </cell>
          <cell r="Q1285" t="str">
            <v>Not Applicable</v>
          </cell>
          <cell r="R1285" t="str">
            <v>Welch Allyn Inc</v>
          </cell>
          <cell r="S1285" t="str">
            <v>Welch Allyn Malaysia Sdn Bhd</v>
          </cell>
          <cell r="T1285" t="str">
            <v>Functioning</v>
          </cell>
          <cell r="U1285" t="str">
            <v>Asset</v>
          </cell>
          <cell r="V1285">
            <v>336</v>
          </cell>
          <cell r="W1285" t="str">
            <v>KEW</v>
          </cell>
          <cell r="X1285" t="str">
            <v>01/09/2010</v>
          </cell>
          <cell r="Y1285" t="str">
            <v>KEW</v>
          </cell>
          <cell r="Z1285" t="str">
            <v>16/08/2013</v>
          </cell>
          <cell r="AA1285" t="str">
            <v>15/08/2015</v>
          </cell>
          <cell r="AB1285" t="str">
            <v>No</v>
          </cell>
          <cell r="AC1285" t="str">
            <v>31/08/2013</v>
          </cell>
          <cell r="AD1285" t="str">
            <v>Good</v>
          </cell>
          <cell r="AE1285" t="str">
            <v>V3 - Added Installed Facilities (New)</v>
          </cell>
          <cell r="AF1285">
            <v>42235</v>
          </cell>
          <cell r="AG1285">
            <v>9.17</v>
          </cell>
          <cell r="AH1285" t="str">
            <v>PPM</v>
          </cell>
          <cell r="AI1285" t="str">
            <v>Not in contract</v>
          </cell>
          <cell r="AJ1285" t="str">
            <v>Proposed for V3 P2.23</v>
          </cell>
          <cell r="AK1285" t="e">
            <v>#N/A</v>
          </cell>
        </row>
        <row r="1286">
          <cell r="A1286" t="str">
            <v>IKN400910</v>
          </cell>
          <cell r="B1286">
            <v>909</v>
          </cell>
          <cell r="C1286" t="str">
            <v>Institut Kanser Negara</v>
          </cell>
          <cell r="D1286" t="str">
            <v>KKM/IKN/R/13/1776</v>
          </cell>
          <cell r="E1286" t="str">
            <v>16-173</v>
          </cell>
          <cell r="F1286" t="str">
            <v>Sphygmomanometers, Electronic, Automatic</v>
          </cell>
          <cell r="G1286" t="str">
            <v>OC</v>
          </cell>
          <cell r="H1286" t="str">
            <v>ONCOLOGY CLINIC</v>
          </cell>
          <cell r="I1286" t="str">
            <v>03OC121</v>
          </cell>
          <cell r="J1286" t="str">
            <v>C/E2</v>
          </cell>
          <cell r="K1286" t="str">
            <v>BMED</v>
          </cell>
          <cell r="L1286" t="str">
            <v>Normal</v>
          </cell>
          <cell r="M1286" t="str">
            <v>USA</v>
          </cell>
          <cell r="N1286" t="str">
            <v>Connex</v>
          </cell>
          <cell r="O1286" t="str">
            <v>Connex ProBP 3400</v>
          </cell>
          <cell r="P1286" t="str">
            <v>100002940213</v>
          </cell>
          <cell r="Q1286" t="str">
            <v>Not Applicable</v>
          </cell>
          <cell r="R1286" t="str">
            <v>Welch Allyn Inc</v>
          </cell>
          <cell r="S1286" t="str">
            <v>Welch Allyn Malaysia Sdn Bhd</v>
          </cell>
          <cell r="T1286" t="str">
            <v>Functioning</v>
          </cell>
          <cell r="U1286" t="str">
            <v>Asset</v>
          </cell>
          <cell r="V1286">
            <v>336</v>
          </cell>
          <cell r="W1286" t="str">
            <v>KEW</v>
          </cell>
          <cell r="X1286" t="str">
            <v>01/09/2010</v>
          </cell>
          <cell r="Y1286" t="str">
            <v>KEW</v>
          </cell>
          <cell r="Z1286" t="str">
            <v>16/08/2013</v>
          </cell>
          <cell r="AA1286" t="str">
            <v>15/08/2015</v>
          </cell>
          <cell r="AB1286" t="str">
            <v>No</v>
          </cell>
          <cell r="AC1286" t="str">
            <v>31/08/2013</v>
          </cell>
          <cell r="AD1286" t="str">
            <v>Good</v>
          </cell>
          <cell r="AE1286" t="str">
            <v>V3 - Added Installed Facilities (New)</v>
          </cell>
          <cell r="AF1286">
            <v>42235</v>
          </cell>
          <cell r="AG1286">
            <v>9.17</v>
          </cell>
          <cell r="AH1286" t="str">
            <v>PPM</v>
          </cell>
          <cell r="AI1286" t="str">
            <v>Not in contract</v>
          </cell>
          <cell r="AJ1286" t="str">
            <v>Proposed for V3 P2.23</v>
          </cell>
          <cell r="AK1286" t="e">
            <v>#N/A</v>
          </cell>
        </row>
        <row r="1287">
          <cell r="A1287" t="str">
            <v>IKN400914</v>
          </cell>
          <cell r="B1287">
            <v>913</v>
          </cell>
          <cell r="C1287" t="str">
            <v>Institut Kanser Negara</v>
          </cell>
          <cell r="D1287" t="str">
            <v>KKM/IKN/H/13/560</v>
          </cell>
          <cell r="E1287" t="str">
            <v>10-208</v>
          </cell>
          <cell r="F1287" t="str">
            <v>Aspirators</v>
          </cell>
          <cell r="G1287" t="str">
            <v>OC</v>
          </cell>
          <cell r="H1287" t="str">
            <v>ONCOLOGY CLINIC</v>
          </cell>
          <cell r="I1287" t="str">
            <v>03OC135</v>
          </cell>
          <cell r="J1287" t="str">
            <v>TREATMENT 1</v>
          </cell>
          <cell r="K1287" t="str">
            <v>BMED</v>
          </cell>
          <cell r="L1287" t="str">
            <v>Critical</v>
          </cell>
          <cell r="M1287" t="str">
            <v>Switzerland</v>
          </cell>
          <cell r="N1287" t="str">
            <v>Senator</v>
          </cell>
          <cell r="O1287" t="str">
            <v>Senator</v>
          </cell>
          <cell r="P1287" t="str">
            <v>1220744</v>
          </cell>
          <cell r="Q1287" t="str">
            <v>Not Applicable</v>
          </cell>
          <cell r="R1287" t="str">
            <v>Ardo Medical AG</v>
          </cell>
          <cell r="S1287" t="str">
            <v>Histopoint</v>
          </cell>
          <cell r="T1287" t="str">
            <v>Functioning</v>
          </cell>
          <cell r="U1287" t="str">
            <v>Asset</v>
          </cell>
          <cell r="V1287">
            <v>5052</v>
          </cell>
          <cell r="W1287" t="str">
            <v>KEW</v>
          </cell>
          <cell r="X1287" t="str">
            <v>01/09/2010</v>
          </cell>
          <cell r="Y1287" t="str">
            <v>KEW</v>
          </cell>
          <cell r="Z1287" t="str">
            <v>16/08/2013</v>
          </cell>
          <cell r="AA1287" t="str">
            <v>15/08/2015</v>
          </cell>
          <cell r="AB1287" t="str">
            <v>No</v>
          </cell>
          <cell r="AC1287" t="str">
            <v>31/08/2013</v>
          </cell>
          <cell r="AD1287" t="str">
            <v>Good</v>
          </cell>
          <cell r="AE1287" t="str">
            <v>V1 - Existing / No Claim</v>
          </cell>
          <cell r="AF1287">
            <v>42802</v>
          </cell>
          <cell r="AG1287">
            <v>9.17</v>
          </cell>
          <cell r="AH1287" t="str">
            <v>PPM</v>
          </cell>
          <cell r="AI1287" t="str">
            <v>Strands</v>
          </cell>
          <cell r="AJ1287" t="str">
            <v>Strands PW</v>
          </cell>
        </row>
        <row r="1288">
          <cell r="A1288" t="str">
            <v>IKN400915</v>
          </cell>
          <cell r="B1288">
            <v>914</v>
          </cell>
          <cell r="C1288" t="str">
            <v>Institut Kanser Negara</v>
          </cell>
          <cell r="D1288" t="str">
            <v>KKM/IKN/H/13/798</v>
          </cell>
          <cell r="E1288" t="str">
            <v>10-208</v>
          </cell>
          <cell r="F1288" t="str">
            <v>Aspirators</v>
          </cell>
          <cell r="G1288" t="str">
            <v>OC</v>
          </cell>
          <cell r="H1288" t="str">
            <v>ONCOLOGY CLINIC</v>
          </cell>
          <cell r="I1288" t="str">
            <v>03OC136</v>
          </cell>
          <cell r="J1288" t="str">
            <v>TREATMENT 2</v>
          </cell>
          <cell r="K1288" t="str">
            <v>BMED</v>
          </cell>
          <cell r="L1288" t="str">
            <v>Critical</v>
          </cell>
          <cell r="M1288" t="str">
            <v>Switzerland</v>
          </cell>
          <cell r="N1288" t="str">
            <v>Senator</v>
          </cell>
          <cell r="O1288" t="str">
            <v>Senator</v>
          </cell>
          <cell r="P1288" t="str">
            <v>1320188</v>
          </cell>
          <cell r="Q1288" t="str">
            <v>Not Applicable</v>
          </cell>
          <cell r="R1288" t="str">
            <v>Ardo Medical AG</v>
          </cell>
          <cell r="S1288" t="str">
            <v>Histopoint</v>
          </cell>
          <cell r="T1288" t="str">
            <v>Functioning</v>
          </cell>
          <cell r="U1288" t="str">
            <v>Asset</v>
          </cell>
          <cell r="V1288">
            <v>5052</v>
          </cell>
          <cell r="W1288" t="str">
            <v>KEW</v>
          </cell>
          <cell r="X1288" t="str">
            <v>01/09/2010</v>
          </cell>
          <cell r="Y1288" t="str">
            <v>KEW</v>
          </cell>
          <cell r="Z1288" t="str">
            <v>16/08/2013</v>
          </cell>
          <cell r="AA1288" t="str">
            <v>15/08/2015</v>
          </cell>
          <cell r="AB1288" t="str">
            <v>No</v>
          </cell>
          <cell r="AC1288" t="str">
            <v>31/08/2013</v>
          </cell>
          <cell r="AD1288" t="str">
            <v>Good</v>
          </cell>
          <cell r="AE1288" t="str">
            <v>V1 - Existing / No Claim</v>
          </cell>
          <cell r="AF1288">
            <v>42802</v>
          </cell>
          <cell r="AG1288">
            <v>9.17</v>
          </cell>
          <cell r="AH1288" t="str">
            <v>PPM</v>
          </cell>
          <cell r="AI1288" t="str">
            <v>Strands</v>
          </cell>
          <cell r="AJ1288" t="str">
            <v>Strands PW</v>
          </cell>
        </row>
        <row r="1289">
          <cell r="A1289" t="str">
            <v>IKN400916</v>
          </cell>
          <cell r="B1289">
            <v>915</v>
          </cell>
          <cell r="C1289" t="str">
            <v>Institut Kanser Negara</v>
          </cell>
          <cell r="D1289" t="str">
            <v>KKM/IKN/I/13/7267</v>
          </cell>
          <cell r="E1289" t="str">
            <v>17-148</v>
          </cell>
          <cell r="F1289" t="str">
            <v>Oximeters, Pulse</v>
          </cell>
          <cell r="G1289" t="str">
            <v>OC</v>
          </cell>
          <cell r="H1289" t="str">
            <v>ONCOLOGY CLINIC</v>
          </cell>
          <cell r="I1289" t="str">
            <v>03OC133</v>
          </cell>
          <cell r="J1289" t="str">
            <v>ASSESSMENT</v>
          </cell>
          <cell r="K1289" t="str">
            <v>BMED</v>
          </cell>
          <cell r="L1289" t="str">
            <v>Critical</v>
          </cell>
          <cell r="M1289" t="str">
            <v>Finland</v>
          </cell>
          <cell r="N1289" t="str">
            <v>Trusat</v>
          </cell>
          <cell r="O1289" t="str">
            <v>Trusat</v>
          </cell>
          <cell r="P1289" t="str">
            <v>FCC12430004SA</v>
          </cell>
          <cell r="Q1289" t="str">
            <v>Not Applicable</v>
          </cell>
          <cell r="R1289" t="str">
            <v>GE Healthcare Systems</v>
          </cell>
          <cell r="S1289" t="str">
            <v>GE Healthcare Technologies</v>
          </cell>
          <cell r="T1289" t="str">
            <v>Functioning</v>
          </cell>
          <cell r="U1289" t="str">
            <v>Asset</v>
          </cell>
          <cell r="V1289">
            <v>280</v>
          </cell>
          <cell r="W1289" t="str">
            <v>KEW</v>
          </cell>
          <cell r="X1289" t="str">
            <v>01/09/2010</v>
          </cell>
          <cell r="Y1289" t="str">
            <v>KEW</v>
          </cell>
          <cell r="Z1289" t="str">
            <v>16/08/2013</v>
          </cell>
          <cell r="AA1289" t="str">
            <v>15/08/2015</v>
          </cell>
          <cell r="AB1289" t="str">
            <v>No</v>
          </cell>
          <cell r="AC1289" t="str">
            <v>31/08/2013</v>
          </cell>
          <cell r="AD1289" t="str">
            <v>Good</v>
          </cell>
          <cell r="AE1289" t="str">
            <v>V1 - Existing / No Claim</v>
          </cell>
          <cell r="AF1289">
            <v>42633</v>
          </cell>
          <cell r="AG1289">
            <v>9.17</v>
          </cell>
          <cell r="AH1289" t="str">
            <v>PPM</v>
          </cell>
          <cell r="AI1289" t="str">
            <v>Not in contract</v>
          </cell>
          <cell r="AJ1289" t="e">
            <v>#REF!</v>
          </cell>
          <cell r="AK1289" t="e">
            <v>#N/A</v>
          </cell>
        </row>
        <row r="1290">
          <cell r="A1290" t="str">
            <v>IKN400917</v>
          </cell>
          <cell r="B1290">
            <v>916</v>
          </cell>
          <cell r="C1290" t="str">
            <v>Institut Kanser Negara</v>
          </cell>
          <cell r="D1290" t="str">
            <v>KKM/IKN/H/13/481</v>
          </cell>
          <cell r="E1290" t="str">
            <v>16-231</v>
          </cell>
          <cell r="F1290" t="str">
            <v>Electrocardiographs, Multichannel, Interpretative</v>
          </cell>
          <cell r="G1290" t="str">
            <v>OC</v>
          </cell>
          <cell r="H1290" t="str">
            <v>ONCOLOGY CLINIC</v>
          </cell>
          <cell r="I1290" t="str">
            <v>03OC135</v>
          </cell>
          <cell r="J1290" t="str">
            <v>TREATMENT 1</v>
          </cell>
          <cell r="K1290" t="str">
            <v>BMED</v>
          </cell>
          <cell r="L1290" t="str">
            <v>Critical</v>
          </cell>
          <cell r="M1290" t="str">
            <v>China</v>
          </cell>
          <cell r="N1290" t="str">
            <v>Mac</v>
          </cell>
          <cell r="O1290" t="str">
            <v>MAC 800</v>
          </cell>
          <cell r="P1290" t="str">
            <v>SJ412450362 WA</v>
          </cell>
          <cell r="Q1290" t="str">
            <v>Not Applicable</v>
          </cell>
          <cell r="R1290" t="str">
            <v>GE Healthcare Systems</v>
          </cell>
          <cell r="S1290" t="str">
            <v>GE Healthcare Technologies</v>
          </cell>
          <cell r="T1290" t="str">
            <v>Functioning</v>
          </cell>
          <cell r="U1290" t="str">
            <v>Asset</v>
          </cell>
          <cell r="V1290">
            <v>25260</v>
          </cell>
          <cell r="W1290" t="str">
            <v>KEW</v>
          </cell>
          <cell r="X1290" t="str">
            <v>01/09/2010</v>
          </cell>
          <cell r="Y1290" t="str">
            <v>KEW</v>
          </cell>
          <cell r="Z1290" t="str">
            <v>16/08/2013</v>
          </cell>
          <cell r="AA1290" t="str">
            <v>15/08/2015</v>
          </cell>
          <cell r="AB1290" t="str">
            <v>No</v>
          </cell>
          <cell r="AC1290" t="str">
            <v>31/08/2013</v>
          </cell>
          <cell r="AD1290" t="str">
            <v>Good</v>
          </cell>
          <cell r="AE1290" t="str">
            <v>V1 - Existing / No Claim</v>
          </cell>
          <cell r="AF1290">
            <v>42802</v>
          </cell>
          <cell r="AG1290">
            <v>9.17</v>
          </cell>
          <cell r="AH1290" t="str">
            <v>PPM</v>
          </cell>
          <cell r="AI1290" t="str">
            <v>Strands</v>
          </cell>
          <cell r="AJ1290" t="str">
            <v>Strands PW</v>
          </cell>
        </row>
        <row r="1291">
          <cell r="A1291" t="str">
            <v>IKN400951</v>
          </cell>
          <cell r="B1291">
            <v>950</v>
          </cell>
          <cell r="C1291" t="str">
            <v>Institut Kanser Negara</v>
          </cell>
          <cell r="D1291" t="str">
            <v>KKM/IKN/H/13/3382</v>
          </cell>
          <cell r="E1291" t="str">
            <v>12-282</v>
          </cell>
          <cell r="F1291" t="str">
            <v>Lights, Surgical</v>
          </cell>
          <cell r="G1291" t="str">
            <v>RT</v>
          </cell>
          <cell r="H1291" t="str">
            <v>RADIATION TREATMENT UNIT</v>
          </cell>
          <cell r="I1291" t="str">
            <v>01RT109</v>
          </cell>
          <cell r="J1291" t="str">
            <v>C/L 1</v>
          </cell>
          <cell r="K1291" t="str">
            <v>BMED</v>
          </cell>
          <cell r="L1291" t="str">
            <v>Normal</v>
          </cell>
          <cell r="M1291" t="str">
            <v>USA</v>
          </cell>
          <cell r="N1291" t="str">
            <v>Welch Allyn</v>
          </cell>
          <cell r="O1291" t="str">
            <v>Welch Allyn GS600</v>
          </cell>
          <cell r="P1291" t="str">
            <v>GS-600-02</v>
          </cell>
          <cell r="Q1291" t="str">
            <v>Not Applicable</v>
          </cell>
          <cell r="R1291" t="str">
            <v>Welch Allyn Inc</v>
          </cell>
          <cell r="S1291" t="str">
            <v>Welch Allyn Malaysia Sdn Bhd</v>
          </cell>
          <cell r="T1291" t="str">
            <v>Functioning</v>
          </cell>
          <cell r="U1291" t="str">
            <v>Asset</v>
          </cell>
          <cell r="V1291">
            <v>5050</v>
          </cell>
          <cell r="W1291" t="str">
            <v>KEW</v>
          </cell>
          <cell r="X1291" t="str">
            <v>01/09/2010</v>
          </cell>
          <cell r="Y1291" t="str">
            <v>KEW</v>
          </cell>
          <cell r="Z1291" t="str">
            <v>16/08/2013</v>
          </cell>
          <cell r="AA1291" t="str">
            <v>15/08/2015</v>
          </cell>
          <cell r="AB1291" t="str">
            <v>No</v>
          </cell>
          <cell r="AC1291" t="str">
            <v>31/08/2013</v>
          </cell>
          <cell r="AD1291" t="str">
            <v>Good</v>
          </cell>
          <cell r="AE1291" t="str">
            <v>V1 - Existing / No Claim</v>
          </cell>
          <cell r="AF1291">
            <v>42235</v>
          </cell>
          <cell r="AG1291">
            <v>9.17</v>
          </cell>
          <cell r="AH1291" t="str">
            <v>PPM</v>
          </cell>
          <cell r="AI1291" t="str">
            <v>Strands</v>
          </cell>
          <cell r="AJ1291" t="str">
            <v>Strands PW</v>
          </cell>
        </row>
        <row r="1292">
          <cell r="A1292" t="str">
            <v>IKN400952</v>
          </cell>
          <cell r="B1292">
            <v>951</v>
          </cell>
          <cell r="C1292" t="str">
            <v>Institut Kanser Negara</v>
          </cell>
          <cell r="D1292" t="str">
            <v>KKM/IKN/H/13/5376</v>
          </cell>
          <cell r="E1292" t="str">
            <v>12-282</v>
          </cell>
          <cell r="F1292" t="str">
            <v>Lights, Surgical</v>
          </cell>
          <cell r="G1292" t="str">
            <v>RT</v>
          </cell>
          <cell r="H1292" t="str">
            <v>RADIATION TREATMENT UNIT</v>
          </cell>
          <cell r="I1292" t="str">
            <v>01RT109</v>
          </cell>
          <cell r="J1292" t="str">
            <v>C/L 1</v>
          </cell>
          <cell r="K1292" t="str">
            <v>BMED</v>
          </cell>
          <cell r="L1292" t="str">
            <v>Normal</v>
          </cell>
          <cell r="M1292" t="str">
            <v>USA</v>
          </cell>
          <cell r="N1292" t="str">
            <v>Welch Allyn</v>
          </cell>
          <cell r="O1292" t="str">
            <v>Welch Allyn GS600</v>
          </cell>
          <cell r="P1292" t="str">
            <v>GS-600-03</v>
          </cell>
          <cell r="Q1292" t="str">
            <v>Not Applicable</v>
          </cell>
          <cell r="R1292" t="str">
            <v>Welch Allyn Inc</v>
          </cell>
          <cell r="S1292" t="str">
            <v>Welch Allyn Malaysia Sdn Bhd</v>
          </cell>
          <cell r="T1292" t="str">
            <v>Functioning</v>
          </cell>
          <cell r="U1292" t="str">
            <v>Asset</v>
          </cell>
          <cell r="V1292">
            <v>5050</v>
          </cell>
          <cell r="W1292" t="str">
            <v>KEW</v>
          </cell>
          <cell r="X1292" t="str">
            <v>01/09/2010</v>
          </cell>
          <cell r="Y1292" t="str">
            <v>KEW</v>
          </cell>
          <cell r="Z1292" t="str">
            <v>16/08/2013</v>
          </cell>
          <cell r="AA1292" t="str">
            <v>15/08/2015</v>
          </cell>
          <cell r="AB1292" t="str">
            <v>No</v>
          </cell>
          <cell r="AC1292" t="str">
            <v>31/08/2013</v>
          </cell>
          <cell r="AD1292" t="str">
            <v>Good</v>
          </cell>
          <cell r="AE1292" t="str">
            <v>V1 - Existing / No Claim</v>
          </cell>
          <cell r="AF1292">
            <v>42235</v>
          </cell>
          <cell r="AG1292">
            <v>9.17</v>
          </cell>
          <cell r="AH1292" t="str">
            <v>PPM</v>
          </cell>
          <cell r="AI1292" t="str">
            <v>Strands</v>
          </cell>
          <cell r="AJ1292" t="str">
            <v>Strands PW</v>
          </cell>
        </row>
        <row r="1293">
          <cell r="A1293" t="str">
            <v>IKN400954</v>
          </cell>
          <cell r="B1293">
            <v>953</v>
          </cell>
          <cell r="C1293" t="str">
            <v>Institut Kanser Negara</v>
          </cell>
          <cell r="D1293" t="str">
            <v>KKM/IKN/H/13/5377</v>
          </cell>
          <cell r="E1293" t="str">
            <v>12-282</v>
          </cell>
          <cell r="F1293" t="str">
            <v>Lights, Surgical</v>
          </cell>
          <cell r="G1293" t="str">
            <v>RT</v>
          </cell>
          <cell r="H1293" t="str">
            <v>RADIATION TREATMENT UNIT</v>
          </cell>
          <cell r="I1293" t="str">
            <v>01RT111</v>
          </cell>
          <cell r="J1293" t="str">
            <v>C/E 3</v>
          </cell>
          <cell r="K1293" t="str">
            <v>BMED</v>
          </cell>
          <cell r="L1293" t="str">
            <v>Normal</v>
          </cell>
          <cell r="M1293" t="str">
            <v>USA</v>
          </cell>
          <cell r="N1293" t="str">
            <v>Welch Allyn</v>
          </cell>
          <cell r="O1293" t="str">
            <v>Welch Allyn GS600</v>
          </cell>
          <cell r="P1293" t="str">
            <v>GS-600-04</v>
          </cell>
          <cell r="Q1293" t="str">
            <v>Not Applicable</v>
          </cell>
          <cell r="R1293" t="str">
            <v>Welch Allyn Inc</v>
          </cell>
          <cell r="S1293" t="str">
            <v>Welch Allyn Malaysia Sdn Bhd</v>
          </cell>
          <cell r="T1293" t="str">
            <v>Functioning</v>
          </cell>
          <cell r="U1293" t="str">
            <v>Asset</v>
          </cell>
          <cell r="V1293">
            <v>5050</v>
          </cell>
          <cell r="W1293" t="str">
            <v>KEW</v>
          </cell>
          <cell r="X1293" t="str">
            <v>01/09/2010</v>
          </cell>
          <cell r="Y1293" t="str">
            <v>KEW</v>
          </cell>
          <cell r="Z1293" t="str">
            <v>16/08/2013</v>
          </cell>
          <cell r="AA1293" t="str">
            <v>15/08/2015</v>
          </cell>
          <cell r="AB1293" t="str">
            <v>No</v>
          </cell>
          <cell r="AC1293" t="str">
            <v>31/08/2013</v>
          </cell>
          <cell r="AD1293" t="str">
            <v>Good</v>
          </cell>
          <cell r="AE1293" t="str">
            <v>V1 - Existing / No Claim</v>
          </cell>
          <cell r="AF1293">
            <v>42235</v>
          </cell>
          <cell r="AG1293">
            <v>9.17</v>
          </cell>
          <cell r="AH1293" t="str">
            <v>PPM</v>
          </cell>
          <cell r="AI1293" t="str">
            <v>Strands</v>
          </cell>
          <cell r="AJ1293" t="str">
            <v>Strands PW</v>
          </cell>
        </row>
        <row r="1294">
          <cell r="A1294" t="str">
            <v>IKN400955</v>
          </cell>
          <cell r="B1294">
            <v>954</v>
          </cell>
          <cell r="C1294" t="str">
            <v>Institut Kanser Negara</v>
          </cell>
          <cell r="E1294" t="str">
            <v>16-173</v>
          </cell>
          <cell r="F1294" t="str">
            <v>Sphygmomanometers, Electronic, Automatic</v>
          </cell>
          <cell r="G1294" t="str">
            <v>RT</v>
          </cell>
          <cell r="H1294" t="str">
            <v>RADIATION TREATMENT UNIT</v>
          </cell>
          <cell r="I1294" t="str">
            <v>01RT111</v>
          </cell>
          <cell r="J1294" t="str">
            <v>C/E 3</v>
          </cell>
          <cell r="K1294" t="str">
            <v>BMED</v>
          </cell>
          <cell r="L1294" t="str">
            <v>Normal</v>
          </cell>
          <cell r="M1294" t="str">
            <v>USA</v>
          </cell>
          <cell r="N1294" t="str">
            <v>Connex</v>
          </cell>
          <cell r="O1294" t="str">
            <v>Connex ProBP 3400</v>
          </cell>
          <cell r="P1294" t="str">
            <v>100001450413</v>
          </cell>
          <cell r="Q1294" t="str">
            <v>Not Applicable</v>
          </cell>
          <cell r="R1294" t="str">
            <v>Welch Allyn Inc</v>
          </cell>
          <cell r="S1294" t="str">
            <v>Welch Allyn Malaysia Sdn Bhd</v>
          </cell>
          <cell r="T1294" t="str">
            <v>Functioning</v>
          </cell>
          <cell r="U1294" t="str">
            <v>Asset</v>
          </cell>
          <cell r="V1294">
            <v>336</v>
          </cell>
          <cell r="W1294" t="str">
            <v>KEW</v>
          </cell>
          <cell r="X1294" t="str">
            <v>01/09/2010</v>
          </cell>
          <cell r="Y1294" t="str">
            <v>KEW</v>
          </cell>
          <cell r="Z1294" t="str">
            <v>16/08/2013</v>
          </cell>
          <cell r="AA1294" t="str">
            <v>15/08/2015</v>
          </cell>
          <cell r="AB1294" t="str">
            <v>No</v>
          </cell>
          <cell r="AC1294" t="str">
            <v>31/08/2013</v>
          </cell>
          <cell r="AD1294" t="str">
            <v>Good</v>
          </cell>
          <cell r="AE1294" t="str">
            <v>V3 - Added Installed Facilities (New)</v>
          </cell>
          <cell r="AF1294">
            <v>42235</v>
          </cell>
          <cell r="AG1294">
            <v>9.17</v>
          </cell>
          <cell r="AH1294" t="str">
            <v>PPM</v>
          </cell>
          <cell r="AI1294" t="str">
            <v>strands</v>
          </cell>
        </row>
        <row r="1295">
          <cell r="A1295" t="str">
            <v>IKN400956</v>
          </cell>
          <cell r="B1295">
            <v>955</v>
          </cell>
          <cell r="C1295" t="str">
            <v>Institut Kanser Negara</v>
          </cell>
          <cell r="D1295" t="str">
            <v>KKM/IKN/H/13/4472</v>
          </cell>
          <cell r="E1295" t="str">
            <v>12-364</v>
          </cell>
          <cell r="F1295" t="str">
            <v>Linear Accelerators</v>
          </cell>
          <cell r="G1295" t="str">
            <v>RT</v>
          </cell>
          <cell r="H1295" t="str">
            <v>RADIATION TREATMENT UNIT</v>
          </cell>
          <cell r="I1295" t="str">
            <v>01RT172</v>
          </cell>
          <cell r="J1295" t="str">
            <v>LINAC ROOM 3</v>
          </cell>
          <cell r="K1295" t="str">
            <v>BMED</v>
          </cell>
          <cell r="L1295" t="str">
            <v>Normal</v>
          </cell>
          <cell r="M1295" t="str">
            <v>USA</v>
          </cell>
          <cell r="N1295" t="str">
            <v>Novalis</v>
          </cell>
          <cell r="O1295" t="str">
            <v>Novalis Tx</v>
          </cell>
          <cell r="P1295" t="str">
            <v>5426</v>
          </cell>
          <cell r="Q1295" t="str">
            <v>Not Applicable</v>
          </cell>
          <cell r="R1295" t="str">
            <v>Varian Medical System</v>
          </cell>
          <cell r="S1295" t="str">
            <v>V Medical Services</v>
          </cell>
          <cell r="T1295" t="str">
            <v>Functioning</v>
          </cell>
          <cell r="U1295" t="str">
            <v>Asset</v>
          </cell>
          <cell r="V1295">
            <v>21961900</v>
          </cell>
          <cell r="W1295" t="str">
            <v>KEW</v>
          </cell>
          <cell r="X1295" t="str">
            <v>01/09/2010</v>
          </cell>
          <cell r="Y1295" t="str">
            <v>KEW</v>
          </cell>
          <cell r="Z1295" t="str">
            <v>16/08/2013</v>
          </cell>
          <cell r="AA1295" t="str">
            <v>15/08/2015</v>
          </cell>
          <cell r="AB1295" t="str">
            <v>No</v>
          </cell>
          <cell r="AC1295" t="str">
            <v>31/08/2013</v>
          </cell>
          <cell r="AD1295" t="str">
            <v>Good</v>
          </cell>
          <cell r="AE1295" t="str">
            <v>V1 - Existing / No Claim</v>
          </cell>
          <cell r="AF1295">
            <v>42235</v>
          </cell>
          <cell r="AG1295">
            <v>9.17</v>
          </cell>
          <cell r="AH1295" t="str">
            <v>PPM</v>
          </cell>
          <cell r="AI1295" t="str">
            <v>Strands</v>
          </cell>
          <cell r="AJ1295" t="str">
            <v>Strands Package</v>
          </cell>
          <cell r="AK1295" t="str">
            <v>Package Code XM0003(A)</v>
          </cell>
        </row>
        <row r="1296">
          <cell r="A1296" t="str">
            <v>IKN400957</v>
          </cell>
          <cell r="B1296">
            <v>956</v>
          </cell>
          <cell r="C1296" t="str">
            <v>Institut Kanser Negara</v>
          </cell>
          <cell r="D1296" t="str">
            <v>KKM/IKN/H/13/5022</v>
          </cell>
          <cell r="E1296" t="str">
            <v>12-647</v>
          </cell>
          <cell r="F1296" t="str">
            <v>Physiologic Monitoring Systems, Acute Care</v>
          </cell>
          <cell r="G1296" t="str">
            <v>RT</v>
          </cell>
          <cell r="H1296" t="str">
            <v>RADIATION TREATMENT UNIT</v>
          </cell>
          <cell r="I1296" t="str">
            <v>01RT165</v>
          </cell>
          <cell r="J1296" t="str">
            <v>LINAC ROOM 2 (TBI)</v>
          </cell>
          <cell r="K1296" t="str">
            <v>BMED</v>
          </cell>
          <cell r="L1296" t="str">
            <v>Normal</v>
          </cell>
          <cell r="M1296" t="str">
            <v>Finland</v>
          </cell>
          <cell r="N1296" t="str">
            <v>Carespace</v>
          </cell>
          <cell r="O1296" t="str">
            <v>Carespace B850</v>
          </cell>
          <cell r="P1296" t="str">
            <v>SED12370672GA</v>
          </cell>
          <cell r="Q1296" t="str">
            <v>Not Applicable</v>
          </cell>
          <cell r="R1296" t="str">
            <v>GE Healthcare Systems</v>
          </cell>
          <cell r="S1296" t="str">
            <v>GE Healthcare Technologies</v>
          </cell>
          <cell r="T1296" t="str">
            <v>Functioning</v>
          </cell>
          <cell r="U1296" t="str">
            <v>Asset</v>
          </cell>
          <cell r="V1296">
            <v>119690</v>
          </cell>
          <cell r="W1296" t="str">
            <v>KEW</v>
          </cell>
          <cell r="X1296" t="str">
            <v>01/09/2010</v>
          </cell>
          <cell r="Y1296" t="str">
            <v>KEW</v>
          </cell>
          <cell r="Z1296" t="str">
            <v>16/08/2013</v>
          </cell>
          <cell r="AA1296" t="str">
            <v>15/08/2015</v>
          </cell>
          <cell r="AB1296" t="str">
            <v>No</v>
          </cell>
          <cell r="AC1296" t="str">
            <v>31/08/2013</v>
          </cell>
          <cell r="AD1296" t="str">
            <v>Good</v>
          </cell>
          <cell r="AE1296" t="str">
            <v>V1 - Existing / No Claim</v>
          </cell>
          <cell r="AF1296">
            <v>42235</v>
          </cell>
          <cell r="AG1296">
            <v>9.17</v>
          </cell>
          <cell r="AH1296" t="str">
            <v>PPM</v>
          </cell>
          <cell r="AI1296" t="str">
            <v>Strands</v>
          </cell>
          <cell r="AJ1296" t="str">
            <v>Strands PW</v>
          </cell>
        </row>
        <row r="1297">
          <cell r="A1297" t="str">
            <v>IKN400958</v>
          </cell>
          <cell r="B1297">
            <v>957</v>
          </cell>
          <cell r="C1297" t="str">
            <v>Institut Kanser Negara</v>
          </cell>
          <cell r="E1297" t="str">
            <v>11-134</v>
          </cell>
          <cell r="F1297" t="str">
            <v>Defibrillators, External, Manual</v>
          </cell>
          <cell r="G1297" t="str">
            <v>RT</v>
          </cell>
          <cell r="H1297" t="str">
            <v>RADIATION TREATMENT UNIT</v>
          </cell>
          <cell r="I1297" t="str">
            <v>01RT116</v>
          </cell>
          <cell r="J1297" t="str">
            <v>CT SIMULATOR 1</v>
          </cell>
          <cell r="K1297" t="str">
            <v>BMED</v>
          </cell>
          <cell r="L1297" t="str">
            <v>Critical</v>
          </cell>
          <cell r="M1297" t="str">
            <v>USA</v>
          </cell>
          <cell r="N1297" t="str">
            <v>Responder</v>
          </cell>
          <cell r="O1297" t="str">
            <v>Responder 2000</v>
          </cell>
          <cell r="P1297" t="str">
            <v>3206736</v>
          </cell>
          <cell r="Q1297" t="str">
            <v>Not Applicable</v>
          </cell>
          <cell r="R1297" t="str">
            <v>GE Medical Systems</v>
          </cell>
          <cell r="S1297" t="str">
            <v>Antah Sir Radin Sdn. Bhd.</v>
          </cell>
          <cell r="T1297" t="str">
            <v>Functioning</v>
          </cell>
          <cell r="U1297" t="str">
            <v>Asset</v>
          </cell>
          <cell r="V1297">
            <v>45000</v>
          </cell>
          <cell r="W1297" t="str">
            <v>Estimate</v>
          </cell>
          <cell r="X1297" t="str">
            <v>01/09/2010</v>
          </cell>
          <cell r="Y1297" t="str">
            <v>KEW</v>
          </cell>
          <cell r="Z1297" t="str">
            <v>16/08/2013</v>
          </cell>
          <cell r="AA1297" t="str">
            <v>15/08/2015</v>
          </cell>
          <cell r="AB1297" t="str">
            <v>No</v>
          </cell>
          <cell r="AC1297" t="str">
            <v>31/08/2013</v>
          </cell>
          <cell r="AD1297" t="str">
            <v>Good</v>
          </cell>
          <cell r="AE1297" t="str">
            <v>V1 - Existing / No Claim</v>
          </cell>
          <cell r="AF1297">
            <v>42605</v>
          </cell>
          <cell r="AG1297">
            <v>9.17</v>
          </cell>
          <cell r="AH1297" t="str">
            <v>PPM</v>
          </cell>
          <cell r="AI1297" t="str">
            <v>Strands</v>
          </cell>
          <cell r="AJ1297" t="str">
            <v>Strands PW</v>
          </cell>
          <cell r="AK1297" t="str">
            <v>Crash Trolley (FEMS)</v>
          </cell>
        </row>
        <row r="1298">
          <cell r="A1298" t="str">
            <v>IKN400959</v>
          </cell>
          <cell r="B1298">
            <v>958</v>
          </cell>
          <cell r="C1298" t="str">
            <v>Institut Kanser Negara</v>
          </cell>
          <cell r="D1298" t="str">
            <v>KKM/IKN/H/13/5034</v>
          </cell>
          <cell r="E1298" t="str">
            <v>10-134</v>
          </cell>
          <cell r="F1298" t="str">
            <v>Anesthesia Units</v>
          </cell>
          <cell r="G1298" t="str">
            <v>RT</v>
          </cell>
          <cell r="H1298" t="str">
            <v>RADIATION TREATMENT UNIT</v>
          </cell>
          <cell r="I1298" t="str">
            <v>01RT212</v>
          </cell>
          <cell r="J1298" t="str">
            <v>RECOVERY</v>
          </cell>
          <cell r="K1298" t="str">
            <v>BMED</v>
          </cell>
          <cell r="L1298" t="str">
            <v>Normal</v>
          </cell>
          <cell r="M1298" t="str">
            <v>Germany</v>
          </cell>
          <cell r="N1298" t="str">
            <v>Primus</v>
          </cell>
          <cell r="O1298" t="str">
            <v>Primus</v>
          </cell>
          <cell r="P1298" t="str">
            <v>ASDJ-0234</v>
          </cell>
          <cell r="Q1298" t="str">
            <v>Not Applicable</v>
          </cell>
          <cell r="R1298" t="str">
            <v>Drager medical GmbH</v>
          </cell>
          <cell r="S1298" t="str">
            <v>Beau Consortium Sdn Bhd</v>
          </cell>
          <cell r="T1298" t="str">
            <v>Functioning</v>
          </cell>
          <cell r="U1298" t="str">
            <v>Asset</v>
          </cell>
          <cell r="V1298">
            <v>144345</v>
          </cell>
          <cell r="W1298" t="str">
            <v>KEW</v>
          </cell>
          <cell r="X1298" t="str">
            <v>01/09/2010</v>
          </cell>
          <cell r="Y1298" t="str">
            <v>KEW</v>
          </cell>
          <cell r="Z1298" t="str">
            <v>16/08/2013</v>
          </cell>
          <cell r="AA1298" t="str">
            <v>15/08/2015</v>
          </cell>
          <cell r="AB1298" t="str">
            <v>No</v>
          </cell>
          <cell r="AC1298" t="str">
            <v>31/08/2013</v>
          </cell>
          <cell r="AD1298" t="str">
            <v>Good</v>
          </cell>
          <cell r="AE1298" t="str">
            <v>V1 - Existing / No Claim</v>
          </cell>
          <cell r="AF1298">
            <v>42235</v>
          </cell>
          <cell r="AG1298">
            <v>9.17</v>
          </cell>
          <cell r="AH1298" t="str">
            <v>PPM</v>
          </cell>
          <cell r="AI1298" t="str">
            <v>Strands</v>
          </cell>
          <cell r="AJ1298" t="str">
            <v>Strands PW</v>
          </cell>
        </row>
        <row r="1299">
          <cell r="A1299" t="str">
            <v>IKN400961</v>
          </cell>
          <cell r="B1299">
            <v>960</v>
          </cell>
          <cell r="C1299" t="str">
            <v>Institut Kanser Negara</v>
          </cell>
          <cell r="D1299" t="str">
            <v>KKM/IKN/H/13/4944</v>
          </cell>
          <cell r="E1299" t="str">
            <v>12-647</v>
          </cell>
          <cell r="F1299" t="str">
            <v>Physiologic Monitoring Systems, Acute Care</v>
          </cell>
          <cell r="G1299" t="str">
            <v>RT</v>
          </cell>
          <cell r="H1299" t="str">
            <v>RADIATION TREATMENT UNIT</v>
          </cell>
          <cell r="I1299" t="str">
            <v>01RT212</v>
          </cell>
          <cell r="J1299" t="str">
            <v>RECOVERY</v>
          </cell>
          <cell r="K1299" t="str">
            <v>BMED</v>
          </cell>
          <cell r="L1299" t="str">
            <v>Critical</v>
          </cell>
          <cell r="M1299" t="str">
            <v>Finland</v>
          </cell>
          <cell r="N1299" t="str">
            <v>CareScape</v>
          </cell>
          <cell r="O1299" t="str">
            <v>CareScape B650</v>
          </cell>
          <cell r="P1299" t="str">
            <v>SEW12357511HA</v>
          </cell>
          <cell r="Q1299" t="str">
            <v>Not Applicable</v>
          </cell>
          <cell r="R1299" t="str">
            <v>GE Medical Systems</v>
          </cell>
          <cell r="S1299" t="str">
            <v>GE Healthcare Technologies</v>
          </cell>
          <cell r="T1299" t="str">
            <v>Functioning</v>
          </cell>
          <cell r="U1299" t="str">
            <v>Asset</v>
          </cell>
          <cell r="V1299">
            <v>87400</v>
          </cell>
          <cell r="W1299" t="str">
            <v>KEW</v>
          </cell>
          <cell r="X1299" t="str">
            <v>01/09/2010</v>
          </cell>
          <cell r="Y1299" t="str">
            <v>KEW</v>
          </cell>
          <cell r="Z1299" t="str">
            <v>16/08/2013</v>
          </cell>
          <cell r="AA1299" t="str">
            <v>15/08/2015</v>
          </cell>
          <cell r="AB1299" t="str">
            <v>No</v>
          </cell>
          <cell r="AC1299" t="str">
            <v>31/08/2013</v>
          </cell>
          <cell r="AD1299" t="str">
            <v>Good</v>
          </cell>
          <cell r="AE1299" t="str">
            <v>V1 - Existing / No Claim</v>
          </cell>
          <cell r="AF1299">
            <v>42801</v>
          </cell>
          <cell r="AG1299">
            <v>9.17</v>
          </cell>
          <cell r="AH1299" t="str">
            <v>PPM</v>
          </cell>
          <cell r="AI1299" t="str">
            <v>Strands</v>
          </cell>
          <cell r="AJ1299" t="str">
            <v>Strands PW</v>
          </cell>
        </row>
        <row r="1300">
          <cell r="A1300" t="str">
            <v>IKN400962</v>
          </cell>
          <cell r="B1300">
            <v>961</v>
          </cell>
          <cell r="C1300" t="str">
            <v>Institut Kanser Negara</v>
          </cell>
          <cell r="D1300" t="str">
            <v>KKM/IKN/H/13/4945</v>
          </cell>
          <cell r="E1300" t="str">
            <v>12-647</v>
          </cell>
          <cell r="F1300" t="str">
            <v>Physiologic Monitoring Systems, Acute Care</v>
          </cell>
          <cell r="G1300" t="str">
            <v>RT</v>
          </cell>
          <cell r="H1300" t="str">
            <v>RADIATION TREATMENT UNIT</v>
          </cell>
          <cell r="I1300" t="str">
            <v>01RT212</v>
          </cell>
          <cell r="J1300" t="str">
            <v>RECOVERY</v>
          </cell>
          <cell r="K1300" t="str">
            <v>BMED</v>
          </cell>
          <cell r="L1300" t="str">
            <v>Critical</v>
          </cell>
          <cell r="M1300" t="str">
            <v>Finland</v>
          </cell>
          <cell r="N1300" t="str">
            <v>CareScape</v>
          </cell>
          <cell r="O1300" t="str">
            <v>CareScape B650</v>
          </cell>
          <cell r="P1300" t="str">
            <v>SEW12357353HA</v>
          </cell>
          <cell r="Q1300" t="str">
            <v>Not Applicable</v>
          </cell>
          <cell r="R1300" t="str">
            <v>GE Medical Systems</v>
          </cell>
          <cell r="S1300" t="str">
            <v>GE Healthcare Technologies</v>
          </cell>
          <cell r="T1300" t="str">
            <v>Functioning</v>
          </cell>
          <cell r="U1300" t="str">
            <v>Asset</v>
          </cell>
          <cell r="V1300">
            <v>87400</v>
          </cell>
          <cell r="W1300" t="str">
            <v>KEW</v>
          </cell>
          <cell r="X1300" t="str">
            <v>01/09/2010</v>
          </cell>
          <cell r="Y1300" t="str">
            <v>KEW</v>
          </cell>
          <cell r="Z1300" t="str">
            <v>16/08/2013</v>
          </cell>
          <cell r="AA1300" t="str">
            <v>15/08/2015</v>
          </cell>
          <cell r="AB1300" t="str">
            <v>No</v>
          </cell>
          <cell r="AC1300" t="str">
            <v>31/08/2013</v>
          </cell>
          <cell r="AD1300" t="str">
            <v>Good</v>
          </cell>
          <cell r="AE1300" t="str">
            <v>V1 - Existing / No Claim</v>
          </cell>
          <cell r="AF1300">
            <v>42801</v>
          </cell>
          <cell r="AG1300">
            <v>9.17</v>
          </cell>
          <cell r="AH1300" t="str">
            <v>PPM</v>
          </cell>
          <cell r="AI1300" t="str">
            <v>Strands</v>
          </cell>
          <cell r="AJ1300" t="str">
            <v>Strands PW</v>
          </cell>
        </row>
        <row r="1301">
          <cell r="A1301" t="str">
            <v>IKN400963</v>
          </cell>
          <cell r="B1301">
            <v>962</v>
          </cell>
          <cell r="C1301" t="str">
            <v>Institut Kanser Negara</v>
          </cell>
          <cell r="D1301" t="str">
            <v>KKM/IKN/H/13/4972</v>
          </cell>
          <cell r="E1301" t="str">
            <v>13-249</v>
          </cell>
          <cell r="F1301" t="str">
            <v>Warming Units, Patient, Radiant, Adult</v>
          </cell>
          <cell r="G1301" t="str">
            <v>RT</v>
          </cell>
          <cell r="H1301" t="str">
            <v>RADIATION TREATMENT UNIT</v>
          </cell>
          <cell r="I1301" t="str">
            <v>01RT212</v>
          </cell>
          <cell r="J1301" t="str">
            <v>RECOVERY</v>
          </cell>
          <cell r="K1301" t="str">
            <v>BMED</v>
          </cell>
          <cell r="L1301" t="str">
            <v>Normal</v>
          </cell>
          <cell r="M1301" t="str">
            <v>Sweden</v>
          </cell>
          <cell r="N1301" t="str">
            <v>Aragona</v>
          </cell>
          <cell r="O1301" t="str">
            <v>Aragona MTC-410</v>
          </cell>
          <cell r="P1301" t="str">
            <v>1204</v>
          </cell>
          <cell r="Q1301" t="str">
            <v>Not Applicable</v>
          </cell>
          <cell r="R1301" t="str">
            <v>Aspira Medical AB</v>
          </cell>
          <cell r="S1301" t="str">
            <v>Perniagaan Med Tech</v>
          </cell>
          <cell r="T1301" t="str">
            <v>Functioning</v>
          </cell>
          <cell r="U1301" t="str">
            <v>Asset</v>
          </cell>
          <cell r="V1301">
            <v>12630</v>
          </cell>
          <cell r="W1301" t="str">
            <v>KEW</v>
          </cell>
          <cell r="X1301" t="str">
            <v>01/09/2010</v>
          </cell>
          <cell r="Y1301" t="str">
            <v>KEW</v>
          </cell>
          <cell r="Z1301" t="str">
            <v>16/08/2013</v>
          </cell>
          <cell r="AA1301" t="str">
            <v>15/08/2015</v>
          </cell>
          <cell r="AB1301" t="str">
            <v>No</v>
          </cell>
          <cell r="AC1301" t="str">
            <v>31/08/2013</v>
          </cell>
          <cell r="AD1301" t="str">
            <v>Good</v>
          </cell>
          <cell r="AE1301" t="str">
            <v>V3 - Added Installed Facilities (New)</v>
          </cell>
          <cell r="AF1301">
            <v>42801</v>
          </cell>
          <cell r="AG1301">
            <v>9.17</v>
          </cell>
          <cell r="AH1301" t="str">
            <v>PPM</v>
          </cell>
          <cell r="AI1301" t="str">
            <v>Not in contract</v>
          </cell>
          <cell r="AJ1301" t="str">
            <v>Proposed for V3 P2.23</v>
          </cell>
          <cell r="AK1301" t="str">
            <v>KKM follow P2.23 list.</v>
          </cell>
        </row>
        <row r="1302">
          <cell r="A1302" t="str">
            <v>IKN400965</v>
          </cell>
          <cell r="B1302">
            <v>963</v>
          </cell>
          <cell r="C1302" t="str">
            <v>Institut Kanser Negara</v>
          </cell>
          <cell r="D1302" t="str">
            <v>KKM/IKN/H/13/4473</v>
          </cell>
          <cell r="E1302" t="str">
            <v>12-364</v>
          </cell>
          <cell r="F1302" t="str">
            <v>Linear Accelerators</v>
          </cell>
          <cell r="G1302" t="str">
            <v>RT</v>
          </cell>
          <cell r="H1302" t="str">
            <v>RADIATION TREATMENT UNIT</v>
          </cell>
          <cell r="I1302" t="str">
            <v>01RT177</v>
          </cell>
          <cell r="J1302" t="str">
            <v>LINAC ROOM 4 (TOMO)</v>
          </cell>
          <cell r="K1302" t="str">
            <v>BMED</v>
          </cell>
          <cell r="L1302" t="str">
            <v>Normal</v>
          </cell>
          <cell r="M1302" t="str">
            <v>USA</v>
          </cell>
          <cell r="N1302" t="str">
            <v>TomoHD</v>
          </cell>
          <cell r="O1302" t="str">
            <v>TomoHD</v>
          </cell>
          <cell r="P1302" t="str">
            <v>0110436</v>
          </cell>
          <cell r="Q1302" t="str">
            <v>Not Applicable</v>
          </cell>
          <cell r="R1302" t="str">
            <v>TomoTherapy</v>
          </cell>
          <cell r="S1302" t="str">
            <v>Transmedic Healthcare Sdn Bhd</v>
          </cell>
          <cell r="T1302" t="str">
            <v>Functioning</v>
          </cell>
          <cell r="U1302" t="str">
            <v>Asset</v>
          </cell>
          <cell r="V1302">
            <v>19351760</v>
          </cell>
          <cell r="W1302" t="str">
            <v>KEW</v>
          </cell>
          <cell r="X1302" t="str">
            <v>01/09/2010</v>
          </cell>
          <cell r="Y1302" t="str">
            <v>KEW</v>
          </cell>
          <cell r="Z1302" t="str">
            <v>16/08/2013</v>
          </cell>
          <cell r="AA1302" t="str">
            <v>15/08/2015</v>
          </cell>
          <cell r="AB1302" t="str">
            <v>No</v>
          </cell>
          <cell r="AC1302" t="str">
            <v>31/08/2013</v>
          </cell>
          <cell r="AD1302" t="str">
            <v>Good</v>
          </cell>
          <cell r="AE1302" t="str">
            <v>V1 - Existing / No Claim</v>
          </cell>
          <cell r="AF1302">
            <v>42235</v>
          </cell>
          <cell r="AG1302">
            <v>9.17</v>
          </cell>
          <cell r="AH1302" t="str">
            <v>PPM</v>
          </cell>
          <cell r="AI1302" t="str">
            <v>Strands</v>
          </cell>
          <cell r="AJ1302" t="str">
            <v>Strands Package</v>
          </cell>
          <cell r="AK1302" t="str">
            <v>Package Code XM0003(B)</v>
          </cell>
        </row>
        <row r="1303">
          <cell r="A1303" t="str">
            <v>IKN400966</v>
          </cell>
          <cell r="B1303">
            <v>964</v>
          </cell>
          <cell r="C1303" t="str">
            <v>Institut Kanser Negara</v>
          </cell>
          <cell r="D1303" t="str">
            <v>KKM/IKN/H/13/4470</v>
          </cell>
          <cell r="E1303" t="str">
            <v>12-364</v>
          </cell>
          <cell r="F1303" t="str">
            <v>Linear Accelerators</v>
          </cell>
          <cell r="G1303" t="str">
            <v>RT</v>
          </cell>
          <cell r="H1303" t="str">
            <v>RADIATION TREATMENT UNIT</v>
          </cell>
          <cell r="I1303" t="str">
            <v>01RT159</v>
          </cell>
          <cell r="J1303" t="str">
            <v>LINAC ROOM 1 (TBI)</v>
          </cell>
          <cell r="K1303" t="str">
            <v>BMED</v>
          </cell>
          <cell r="L1303" t="str">
            <v>Normal</v>
          </cell>
          <cell r="M1303" t="str">
            <v>Sweden</v>
          </cell>
          <cell r="N1303" t="str">
            <v>Synergy</v>
          </cell>
          <cell r="O1303" t="str">
            <v>Synergy</v>
          </cell>
          <cell r="P1303" t="str">
            <v>152710</v>
          </cell>
          <cell r="Q1303" t="str">
            <v>Not Applicable</v>
          </cell>
          <cell r="R1303" t="str">
            <v>Elekta</v>
          </cell>
          <cell r="S1303" t="str">
            <v>Meditek Equipment</v>
          </cell>
          <cell r="T1303" t="str">
            <v>Functioning</v>
          </cell>
          <cell r="U1303" t="str">
            <v>Asset</v>
          </cell>
          <cell r="V1303">
            <v>12049370</v>
          </cell>
          <cell r="W1303" t="str">
            <v>KEW</v>
          </cell>
          <cell r="X1303" t="str">
            <v>01/09/2010</v>
          </cell>
          <cell r="Y1303" t="str">
            <v>KEW</v>
          </cell>
          <cell r="Z1303" t="str">
            <v>16/08/2013</v>
          </cell>
          <cell r="AA1303" t="str">
            <v>15/08/2015</v>
          </cell>
          <cell r="AB1303" t="str">
            <v>No</v>
          </cell>
          <cell r="AC1303" t="str">
            <v>31/08/2013</v>
          </cell>
          <cell r="AD1303" t="str">
            <v>Good</v>
          </cell>
          <cell r="AE1303" t="str">
            <v>V1 - Existing / No Claim</v>
          </cell>
          <cell r="AF1303">
            <v>42235</v>
          </cell>
          <cell r="AG1303">
            <v>9.17</v>
          </cell>
          <cell r="AH1303" t="str">
            <v>PPM</v>
          </cell>
          <cell r="AI1303" t="str">
            <v>Strands</v>
          </cell>
          <cell r="AJ1303" t="str">
            <v>Strands Package</v>
          </cell>
          <cell r="AK1303" t="str">
            <v>Package Code XM0002</v>
          </cell>
        </row>
        <row r="1304">
          <cell r="A1304" t="str">
            <v>IKN400967</v>
          </cell>
          <cell r="B1304">
            <v>965</v>
          </cell>
          <cell r="C1304" t="str">
            <v>Institut Kanser Negara</v>
          </cell>
          <cell r="D1304" t="str">
            <v>KKM/IKN/H/13/4471</v>
          </cell>
          <cell r="E1304" t="str">
            <v>12-364</v>
          </cell>
          <cell r="F1304" t="str">
            <v>Linear Accelerators</v>
          </cell>
          <cell r="G1304" t="str">
            <v>RT</v>
          </cell>
          <cell r="H1304" t="str">
            <v>RADIATION TREATMENT UNIT</v>
          </cell>
          <cell r="I1304" t="str">
            <v>01RT165</v>
          </cell>
          <cell r="J1304" t="str">
            <v>LINAC ROOM 2 (TBI)</v>
          </cell>
          <cell r="K1304" t="str">
            <v>BMED</v>
          </cell>
          <cell r="L1304" t="str">
            <v>Normal</v>
          </cell>
          <cell r="M1304" t="str">
            <v>Sweden</v>
          </cell>
          <cell r="N1304" t="str">
            <v>Synergy</v>
          </cell>
          <cell r="O1304" t="str">
            <v>Synergy</v>
          </cell>
          <cell r="P1304" t="str">
            <v>152711</v>
          </cell>
          <cell r="Q1304" t="str">
            <v>Not Applicable</v>
          </cell>
          <cell r="R1304" t="str">
            <v>Elekta</v>
          </cell>
          <cell r="S1304" t="str">
            <v>Meditek Equipment</v>
          </cell>
          <cell r="T1304" t="str">
            <v>Functioning</v>
          </cell>
          <cell r="U1304" t="str">
            <v>Asset</v>
          </cell>
          <cell r="V1304">
            <v>12049370</v>
          </cell>
          <cell r="W1304" t="str">
            <v>KEW</v>
          </cell>
          <cell r="X1304" t="str">
            <v>01/09/2010</v>
          </cell>
          <cell r="Y1304" t="str">
            <v>KEW</v>
          </cell>
          <cell r="Z1304" t="str">
            <v>16/08/2013</v>
          </cell>
          <cell r="AA1304" t="str">
            <v>15/08/2015</v>
          </cell>
          <cell r="AB1304" t="str">
            <v>No</v>
          </cell>
          <cell r="AC1304" t="str">
            <v>31/08/2013</v>
          </cell>
          <cell r="AD1304" t="str">
            <v>Good</v>
          </cell>
          <cell r="AE1304" t="str">
            <v>V1 - Existing / No Claim</v>
          </cell>
          <cell r="AF1304">
            <v>42235</v>
          </cell>
          <cell r="AG1304">
            <v>9.17</v>
          </cell>
          <cell r="AH1304" t="str">
            <v>PPM</v>
          </cell>
          <cell r="AI1304" t="str">
            <v>Strands</v>
          </cell>
          <cell r="AJ1304" t="str">
            <v>Strands Package</v>
          </cell>
          <cell r="AK1304" t="str">
            <v>Package Code XM0002</v>
          </cell>
        </row>
        <row r="1305">
          <cell r="A1305" t="str">
            <v>IKN400968</v>
          </cell>
          <cell r="B1305">
            <v>966</v>
          </cell>
          <cell r="C1305" t="str">
            <v>Institut Kanser Negara</v>
          </cell>
          <cell r="D1305" t="str">
            <v>KKM/IKN/H/13/2540</v>
          </cell>
          <cell r="E1305" t="str">
            <v>17-950</v>
          </cell>
          <cell r="F1305" t="str">
            <v>Warming Units, Patient, Forced-Air</v>
          </cell>
          <cell r="G1305" t="str">
            <v>RT</v>
          </cell>
          <cell r="H1305" t="str">
            <v>RADIATION TREATMENT UNIT</v>
          </cell>
          <cell r="I1305" t="str">
            <v>01RT238</v>
          </cell>
          <cell r="J1305" t="str">
            <v>PRE-OP</v>
          </cell>
          <cell r="K1305" t="str">
            <v>BMED</v>
          </cell>
          <cell r="L1305" t="str">
            <v>Normal</v>
          </cell>
          <cell r="M1305" t="str">
            <v>USA</v>
          </cell>
          <cell r="N1305" t="str">
            <v>Bair Hugger</v>
          </cell>
          <cell r="O1305" t="str">
            <v>Bair Hugger 775</v>
          </cell>
          <cell r="P1305" t="str">
            <v>36862</v>
          </cell>
          <cell r="Q1305" t="str">
            <v>Not Applicable</v>
          </cell>
          <cell r="R1305" t="str">
            <v>Arizant Healthcare Inc</v>
          </cell>
          <cell r="S1305" t="str">
            <v>Calmed Healthcare Sdn Bhd</v>
          </cell>
          <cell r="T1305" t="str">
            <v>Functioning</v>
          </cell>
          <cell r="U1305" t="str">
            <v>Asset</v>
          </cell>
          <cell r="V1305">
            <v>15515</v>
          </cell>
          <cell r="W1305" t="str">
            <v>KEW</v>
          </cell>
          <cell r="X1305" t="str">
            <v>01/09/2010</v>
          </cell>
          <cell r="Y1305" t="str">
            <v>KEW</v>
          </cell>
          <cell r="Z1305" t="str">
            <v>16/08/2013</v>
          </cell>
          <cell r="AA1305" t="str">
            <v>15/08/2015</v>
          </cell>
          <cell r="AB1305" t="str">
            <v>No</v>
          </cell>
          <cell r="AC1305" t="str">
            <v>31/08/2013</v>
          </cell>
          <cell r="AD1305" t="str">
            <v>Good</v>
          </cell>
          <cell r="AE1305" t="str">
            <v>V1 - Existing / No Claim</v>
          </cell>
          <cell r="AF1305">
            <v>42235</v>
          </cell>
          <cell r="AG1305">
            <v>9.17</v>
          </cell>
          <cell r="AH1305" t="str">
            <v>PPM</v>
          </cell>
          <cell r="AI1305" t="str">
            <v>Strands</v>
          </cell>
          <cell r="AJ1305" t="str">
            <v>Strands PW</v>
          </cell>
        </row>
        <row r="1306">
          <cell r="A1306" t="str">
            <v>IKN400969</v>
          </cell>
          <cell r="B1306">
            <v>967</v>
          </cell>
          <cell r="C1306" t="str">
            <v>Institut Kanser Negara</v>
          </cell>
          <cell r="D1306" t="str">
            <v>KKM/IKN/H/13/5054</v>
          </cell>
          <cell r="E1306" t="str">
            <v>17-950</v>
          </cell>
          <cell r="F1306" t="str">
            <v>Warming Units, Patient, Forced-Air</v>
          </cell>
          <cell r="G1306" t="str">
            <v>RT</v>
          </cell>
          <cell r="H1306" t="str">
            <v>RADIATION TREATMENT UNIT</v>
          </cell>
          <cell r="I1306" t="str">
            <v>01RT116</v>
          </cell>
          <cell r="J1306" t="str">
            <v>CT SIMULATOR 1</v>
          </cell>
          <cell r="K1306" t="str">
            <v>BMED</v>
          </cell>
          <cell r="L1306" t="str">
            <v>Normal</v>
          </cell>
          <cell r="M1306" t="str">
            <v>USA</v>
          </cell>
          <cell r="N1306" t="str">
            <v>Bair Hugger</v>
          </cell>
          <cell r="O1306" t="str">
            <v>Bair Hugger 775</v>
          </cell>
          <cell r="P1306" t="str">
            <v>36861</v>
          </cell>
          <cell r="Q1306" t="str">
            <v>Not Applicable</v>
          </cell>
          <cell r="R1306" t="str">
            <v>Arizant Healthcare Inc</v>
          </cell>
          <cell r="S1306" t="str">
            <v>Calmed Healthcare Sdn Bhd</v>
          </cell>
          <cell r="T1306" t="str">
            <v>Functioning</v>
          </cell>
          <cell r="U1306" t="str">
            <v>Asset</v>
          </cell>
          <cell r="V1306">
            <v>15515</v>
          </cell>
          <cell r="W1306" t="str">
            <v>KEW</v>
          </cell>
          <cell r="X1306" t="str">
            <v>01/09/2010</v>
          </cell>
          <cell r="Y1306" t="str">
            <v>KEW</v>
          </cell>
          <cell r="Z1306" t="str">
            <v>16/08/2013</v>
          </cell>
          <cell r="AA1306" t="str">
            <v>15/08/2015</v>
          </cell>
          <cell r="AB1306" t="str">
            <v>No</v>
          </cell>
          <cell r="AC1306" t="str">
            <v>31/08/2013</v>
          </cell>
          <cell r="AD1306" t="str">
            <v>Good</v>
          </cell>
          <cell r="AE1306" t="str">
            <v>V1 - Existing / No Claim</v>
          </cell>
          <cell r="AF1306">
            <v>42235</v>
          </cell>
          <cell r="AG1306">
            <v>9.17</v>
          </cell>
          <cell r="AH1306" t="str">
            <v>PPM</v>
          </cell>
          <cell r="AI1306" t="str">
            <v>Strands</v>
          </cell>
          <cell r="AJ1306" t="str">
            <v>Strands PW</v>
          </cell>
        </row>
        <row r="1307">
          <cell r="A1307" t="str">
            <v>IKN400973</v>
          </cell>
          <cell r="B1307">
            <v>971</v>
          </cell>
          <cell r="C1307" t="str">
            <v>Institut Kanser Negara</v>
          </cell>
          <cell r="D1307" t="str">
            <v>KKM/IKN/H/13/4475</v>
          </cell>
          <cell r="E1307" t="str">
            <v>13-469</v>
          </cell>
          <cell r="F1307" t="str">
            <v>Scanning Systems, Computed Tomography</v>
          </cell>
          <cell r="G1307" t="str">
            <v>RT</v>
          </cell>
          <cell r="H1307" t="str">
            <v>RADIATION TREATMENT UNIT</v>
          </cell>
          <cell r="I1307" t="str">
            <v>01RT118</v>
          </cell>
          <cell r="J1307" t="str">
            <v>CT SIMULATOR 2</v>
          </cell>
          <cell r="K1307" t="str">
            <v>BMED</v>
          </cell>
          <cell r="L1307" t="str">
            <v>Normal</v>
          </cell>
          <cell r="M1307" t="str">
            <v>Germany</v>
          </cell>
          <cell r="N1307" t="str">
            <v>Somatom</v>
          </cell>
          <cell r="O1307" t="str">
            <v>Somatom Definition</v>
          </cell>
          <cell r="P1307" t="str">
            <v>65979</v>
          </cell>
          <cell r="Q1307" t="str">
            <v>Not Applicable</v>
          </cell>
          <cell r="R1307" t="str">
            <v>Siemens Medical System</v>
          </cell>
          <cell r="S1307" t="str">
            <v>Metrojendela</v>
          </cell>
          <cell r="T1307" t="str">
            <v>Functioning</v>
          </cell>
          <cell r="U1307" t="str">
            <v>Asset</v>
          </cell>
          <cell r="V1307">
            <v>3557530</v>
          </cell>
          <cell r="W1307" t="str">
            <v>KEW</v>
          </cell>
          <cell r="X1307" t="str">
            <v>01/09/2010</v>
          </cell>
          <cell r="Y1307" t="str">
            <v>KEW</v>
          </cell>
          <cell r="Z1307" t="str">
            <v>16/08/2013</v>
          </cell>
          <cell r="AA1307" t="str">
            <v>15/08/2015</v>
          </cell>
          <cell r="AB1307" t="str">
            <v>No</v>
          </cell>
          <cell r="AC1307" t="str">
            <v>31/08/2013</v>
          </cell>
          <cell r="AD1307" t="str">
            <v>Good</v>
          </cell>
          <cell r="AE1307" t="str">
            <v>V1 - Existing / No Claim</v>
          </cell>
          <cell r="AF1307">
            <v>42235</v>
          </cell>
          <cell r="AG1307">
            <v>9.17</v>
          </cell>
          <cell r="AH1307" t="str">
            <v>PPM</v>
          </cell>
          <cell r="AI1307" t="str">
            <v>Strands</v>
          </cell>
          <cell r="AJ1307" t="str">
            <v>Strands Package</v>
          </cell>
          <cell r="AK1307" t="str">
            <v>Package Code XM0004</v>
          </cell>
        </row>
        <row r="1308">
          <cell r="A1308" t="str">
            <v>IKN400974</v>
          </cell>
          <cell r="B1308">
            <v>972</v>
          </cell>
          <cell r="C1308" t="str">
            <v>Institut Kanser Negara</v>
          </cell>
          <cell r="D1308" t="str">
            <v>N/A</v>
          </cell>
          <cell r="E1308" t="str">
            <v>16-223</v>
          </cell>
          <cell r="F1308" t="str">
            <v>Positioning Aids</v>
          </cell>
          <cell r="G1308" t="str">
            <v>RT</v>
          </cell>
          <cell r="H1308" t="str">
            <v>RADIATION TREATMENT UNIT</v>
          </cell>
          <cell r="I1308" t="str">
            <v>01RT118</v>
          </cell>
          <cell r="J1308" t="str">
            <v>CT SIMULATOR 2</v>
          </cell>
          <cell r="K1308" t="str">
            <v>BMED</v>
          </cell>
          <cell r="L1308" t="str">
            <v>Normal</v>
          </cell>
          <cell r="M1308" t="str">
            <v>Germany</v>
          </cell>
          <cell r="N1308" t="str">
            <v>Dorado</v>
          </cell>
          <cell r="O1308" t="str">
            <v>Dorado</v>
          </cell>
          <cell r="P1308" t="str">
            <v>YEHT118686</v>
          </cell>
          <cell r="Q1308" t="str">
            <v>Not Applicable</v>
          </cell>
          <cell r="R1308" t="str">
            <v>LAP GmbH</v>
          </cell>
          <cell r="S1308" t="str">
            <v>BRAINLAB</v>
          </cell>
          <cell r="T1308" t="str">
            <v>Functioning</v>
          </cell>
          <cell r="U1308" t="str">
            <v>Asset</v>
          </cell>
          <cell r="V1308">
            <v>100000</v>
          </cell>
          <cell r="W1308" t="str">
            <v>Estimate</v>
          </cell>
          <cell r="X1308" t="str">
            <v>01/09/2010</v>
          </cell>
          <cell r="Y1308" t="str">
            <v>KEW</v>
          </cell>
          <cell r="Z1308" t="str">
            <v>16/08/2013</v>
          </cell>
          <cell r="AA1308" t="str">
            <v>15/08/2015</v>
          </cell>
          <cell r="AB1308" t="str">
            <v>No</v>
          </cell>
          <cell r="AC1308" t="str">
            <v>31/08/2013</v>
          </cell>
          <cell r="AD1308" t="str">
            <v>Good</v>
          </cell>
          <cell r="AE1308" t="str">
            <v>V1 - Existing / No Claim</v>
          </cell>
          <cell r="AF1308">
            <v>42643</v>
          </cell>
          <cell r="AG1308">
            <v>9.17</v>
          </cell>
          <cell r="AH1308" t="str">
            <v>RI</v>
          </cell>
          <cell r="AI1308" t="str">
            <v>Strands</v>
          </cell>
          <cell r="AJ1308" t="str">
            <v>Strands Package</v>
          </cell>
          <cell r="AK1308" t="str">
            <v>Package Code XM0004</v>
          </cell>
        </row>
        <row r="1309">
          <cell r="A1309" t="str">
            <v>IKN400975</v>
          </cell>
          <cell r="B1309">
            <v>973</v>
          </cell>
          <cell r="C1309" t="str">
            <v>Institut Kanser Negara</v>
          </cell>
          <cell r="D1309" t="str">
            <v>N/A</v>
          </cell>
          <cell r="E1309" t="str">
            <v>17-968</v>
          </cell>
          <cell r="F1309" t="str">
            <v>Injectors, Contrast Media</v>
          </cell>
          <cell r="G1309" t="str">
            <v>RT</v>
          </cell>
          <cell r="H1309" t="str">
            <v>RADIATION TREATMENT UNIT</v>
          </cell>
          <cell r="I1309" t="str">
            <v>01RT116</v>
          </cell>
          <cell r="J1309" t="str">
            <v>CT SIMULATOR 1</v>
          </cell>
          <cell r="K1309" t="str">
            <v>BMED</v>
          </cell>
          <cell r="L1309" t="str">
            <v>Critical</v>
          </cell>
          <cell r="M1309" t="str">
            <v>USA</v>
          </cell>
          <cell r="N1309" t="str">
            <v>Optivantage</v>
          </cell>
          <cell r="O1309" t="str">
            <v>Optivantage Dual-Head CT</v>
          </cell>
          <cell r="P1309" t="str">
            <v>C1114B514R</v>
          </cell>
          <cell r="Q1309" t="str">
            <v>Not Applicable</v>
          </cell>
          <cell r="R1309" t="str">
            <v>Mallinckrodt</v>
          </cell>
          <cell r="S1309" t="str">
            <v>Schmidt Biomedtech Sdn. Bhd.</v>
          </cell>
          <cell r="T1309" t="str">
            <v>Functioning</v>
          </cell>
          <cell r="U1309" t="str">
            <v>Asset</v>
          </cell>
          <cell r="V1309">
            <v>100000</v>
          </cell>
          <cell r="W1309" t="str">
            <v>Estimate</v>
          </cell>
          <cell r="X1309" t="str">
            <v>01/09/2010</v>
          </cell>
          <cell r="Y1309" t="str">
            <v>KEW</v>
          </cell>
          <cell r="Z1309" t="str">
            <v>16/08/2013</v>
          </cell>
          <cell r="AA1309" t="str">
            <v>15/08/2015</v>
          </cell>
          <cell r="AB1309" t="str">
            <v>No</v>
          </cell>
          <cell r="AC1309" t="str">
            <v>31/08/2013</v>
          </cell>
          <cell r="AD1309" t="str">
            <v>Good</v>
          </cell>
          <cell r="AE1309" t="str">
            <v>V1 - Existing / No Claim</v>
          </cell>
          <cell r="AF1309">
            <v>43370</v>
          </cell>
          <cell r="AG1309">
            <v>9.17</v>
          </cell>
          <cell r="AH1309" t="str">
            <v>PPM</v>
          </cell>
          <cell r="AI1309" t="str">
            <v>Strands</v>
          </cell>
          <cell r="AJ1309" t="str">
            <v>Strands Package</v>
          </cell>
          <cell r="AK1309" t="str">
            <v>Package Code XM0004</v>
          </cell>
        </row>
        <row r="1310">
          <cell r="A1310" t="str">
            <v>IKN400976</v>
          </cell>
          <cell r="B1310">
            <v>974</v>
          </cell>
          <cell r="C1310" t="str">
            <v>Institut Kanser Negara</v>
          </cell>
          <cell r="D1310" t="str">
            <v>KKM/IKN/H/13/4840</v>
          </cell>
          <cell r="E1310" t="str">
            <v>17-679</v>
          </cell>
          <cell r="F1310" t="str">
            <v>Laser Imagers</v>
          </cell>
          <cell r="G1310" t="str">
            <v>RT</v>
          </cell>
          <cell r="H1310" t="str">
            <v>RADIATION TREATMENT UNIT</v>
          </cell>
          <cell r="I1310" t="str">
            <v>01RT117</v>
          </cell>
          <cell r="J1310" t="str">
            <v>CONTROL ROOM</v>
          </cell>
          <cell r="K1310" t="str">
            <v>BMED</v>
          </cell>
          <cell r="L1310" t="str">
            <v>Normal</v>
          </cell>
          <cell r="M1310" t="str">
            <v>USA</v>
          </cell>
          <cell r="N1310" t="str">
            <v>DryView</v>
          </cell>
          <cell r="O1310" t="str">
            <v>DryView 6850</v>
          </cell>
          <cell r="P1310" t="str">
            <v>68504062</v>
          </cell>
          <cell r="Q1310" t="str">
            <v>Not Applicable</v>
          </cell>
          <cell r="R1310" t="str">
            <v>Carestream Health Inc</v>
          </cell>
          <cell r="S1310" t="str">
            <v>Best Contact (M) Sdn Bhd</v>
          </cell>
          <cell r="T1310" t="str">
            <v>Functioning</v>
          </cell>
          <cell r="U1310" t="str">
            <v>Asset</v>
          </cell>
          <cell r="V1310">
            <v>83100</v>
          </cell>
          <cell r="W1310" t="str">
            <v>KEW</v>
          </cell>
          <cell r="X1310" t="str">
            <v>01/09/2010</v>
          </cell>
          <cell r="Y1310" t="str">
            <v>KEW</v>
          </cell>
          <cell r="Z1310" t="str">
            <v>16/08/2013</v>
          </cell>
          <cell r="AA1310" t="str">
            <v>15/08/2015</v>
          </cell>
          <cell r="AB1310" t="str">
            <v>No</v>
          </cell>
          <cell r="AC1310" t="str">
            <v>31/08/2013</v>
          </cell>
          <cell r="AD1310" t="str">
            <v>Good</v>
          </cell>
          <cell r="AE1310" t="str">
            <v>V1 - Existing / No Claim</v>
          </cell>
          <cell r="AF1310">
            <v>42235</v>
          </cell>
          <cell r="AG1310">
            <v>9.17</v>
          </cell>
          <cell r="AH1310" t="str">
            <v>PPM</v>
          </cell>
          <cell r="AI1310" t="str">
            <v>Strands</v>
          </cell>
          <cell r="AJ1310" t="str">
            <v>Strands PW</v>
          </cell>
        </row>
        <row r="1311">
          <cell r="A1311" t="str">
            <v>IKN400977</v>
          </cell>
          <cell r="B1311">
            <v>975</v>
          </cell>
          <cell r="C1311" t="str">
            <v>Institut Kanser Negara</v>
          </cell>
          <cell r="D1311" t="str">
            <v>KKM/IKN/H/13/2537</v>
          </cell>
          <cell r="E1311" t="str">
            <v>17-950</v>
          </cell>
          <cell r="F1311" t="str">
            <v>Warming Units, Patient, Forced-Air</v>
          </cell>
          <cell r="G1311" t="str">
            <v>RT</v>
          </cell>
          <cell r="H1311" t="str">
            <v>RADIATION TREATMENT UNIT</v>
          </cell>
          <cell r="I1311" t="str">
            <v>01RT238</v>
          </cell>
          <cell r="J1311" t="str">
            <v>PRE-OP</v>
          </cell>
          <cell r="K1311" t="str">
            <v>BMED</v>
          </cell>
          <cell r="L1311" t="str">
            <v>Normal</v>
          </cell>
          <cell r="M1311" t="str">
            <v>USA</v>
          </cell>
          <cell r="N1311" t="str">
            <v>Bair Hugger</v>
          </cell>
          <cell r="O1311" t="str">
            <v>Bair Hugger 775</v>
          </cell>
          <cell r="P1311" t="str">
            <v>36864</v>
          </cell>
          <cell r="Q1311" t="str">
            <v>Not Applicable</v>
          </cell>
          <cell r="R1311" t="str">
            <v>Arizant Healthcare Inc</v>
          </cell>
          <cell r="S1311" t="str">
            <v>Calmed Healthcare Sdn Bhd</v>
          </cell>
          <cell r="T1311" t="str">
            <v>Functioning</v>
          </cell>
          <cell r="U1311" t="str">
            <v>Asset</v>
          </cell>
          <cell r="V1311">
            <v>15515</v>
          </cell>
          <cell r="W1311" t="str">
            <v>KEW</v>
          </cell>
          <cell r="X1311" t="str">
            <v>01/09/2010</v>
          </cell>
          <cell r="Y1311" t="str">
            <v>KEW</v>
          </cell>
          <cell r="Z1311" t="str">
            <v>16/08/2013</v>
          </cell>
          <cell r="AA1311" t="str">
            <v>15/08/2015</v>
          </cell>
          <cell r="AB1311" t="str">
            <v>No</v>
          </cell>
          <cell r="AC1311" t="str">
            <v>31/08/2013</v>
          </cell>
          <cell r="AD1311" t="str">
            <v>Good</v>
          </cell>
          <cell r="AE1311" t="str">
            <v>V1 - Existing / No Claim</v>
          </cell>
          <cell r="AF1311">
            <v>42235</v>
          </cell>
          <cell r="AG1311">
            <v>9.17</v>
          </cell>
          <cell r="AH1311" t="str">
            <v>PPM</v>
          </cell>
          <cell r="AI1311" t="str">
            <v>Strands</v>
          </cell>
          <cell r="AJ1311" t="str">
            <v>Strands PW</v>
          </cell>
        </row>
        <row r="1312">
          <cell r="A1312" t="str">
            <v>IKN400978</v>
          </cell>
          <cell r="B1312">
            <v>976</v>
          </cell>
          <cell r="C1312" t="str">
            <v>Institut Kanser Negara</v>
          </cell>
          <cell r="D1312" t="str">
            <v>KKM/IKN/H/13/4474</v>
          </cell>
          <cell r="E1312" t="str">
            <v>13-469</v>
          </cell>
          <cell r="F1312" t="str">
            <v>Scanning Systems, Computed Tomography</v>
          </cell>
          <cell r="G1312" t="str">
            <v>RT</v>
          </cell>
          <cell r="H1312" t="str">
            <v>RADIATION TREATMENT UNIT</v>
          </cell>
          <cell r="I1312" t="str">
            <v>01RT116</v>
          </cell>
          <cell r="J1312" t="str">
            <v>CT SIMULATOR 1</v>
          </cell>
          <cell r="K1312" t="str">
            <v>BMED</v>
          </cell>
          <cell r="L1312" t="str">
            <v>Normal</v>
          </cell>
          <cell r="M1312" t="str">
            <v>Germany</v>
          </cell>
          <cell r="N1312" t="str">
            <v>Somatom</v>
          </cell>
          <cell r="O1312" t="str">
            <v>Somatom Definition</v>
          </cell>
          <cell r="P1312" t="str">
            <v>65981</v>
          </cell>
          <cell r="Q1312" t="str">
            <v>Not Applicable</v>
          </cell>
          <cell r="R1312" t="str">
            <v>Siemens Medical System</v>
          </cell>
          <cell r="S1312" t="str">
            <v>Metrojendela</v>
          </cell>
          <cell r="T1312" t="str">
            <v>Functioning</v>
          </cell>
          <cell r="U1312" t="str">
            <v>Asset</v>
          </cell>
          <cell r="V1312">
            <v>3557530</v>
          </cell>
          <cell r="W1312" t="str">
            <v>KEW</v>
          </cell>
          <cell r="X1312" t="str">
            <v>01/09/2010</v>
          </cell>
          <cell r="Y1312" t="str">
            <v>KEW</v>
          </cell>
          <cell r="Z1312" t="str">
            <v>16/08/2013</v>
          </cell>
          <cell r="AA1312" t="str">
            <v>15/08/2015</v>
          </cell>
          <cell r="AB1312" t="str">
            <v>No</v>
          </cell>
          <cell r="AC1312" t="str">
            <v>31/08/2013</v>
          </cell>
          <cell r="AD1312" t="str">
            <v>Good</v>
          </cell>
          <cell r="AE1312" t="str">
            <v>V1 - Existing / No Claim</v>
          </cell>
          <cell r="AF1312">
            <v>42235</v>
          </cell>
          <cell r="AG1312">
            <v>9.17</v>
          </cell>
          <cell r="AH1312" t="str">
            <v>PPM</v>
          </cell>
          <cell r="AI1312" t="str">
            <v>Strands</v>
          </cell>
          <cell r="AJ1312" t="str">
            <v>Strands Package</v>
          </cell>
          <cell r="AK1312" t="str">
            <v>Package Code XM0004</v>
          </cell>
        </row>
        <row r="1313">
          <cell r="A1313" t="str">
            <v>IKN400979</v>
          </cell>
          <cell r="B1313">
            <v>977</v>
          </cell>
          <cell r="C1313" t="str">
            <v>Institut Kanser Negara</v>
          </cell>
          <cell r="D1313" t="str">
            <v>N/A</v>
          </cell>
          <cell r="E1313" t="str">
            <v>16-223</v>
          </cell>
          <cell r="F1313" t="str">
            <v>Positioning Aids</v>
          </cell>
          <cell r="G1313" t="str">
            <v>RT</v>
          </cell>
          <cell r="H1313" t="str">
            <v>RADIATION TREATMENT UNIT</v>
          </cell>
          <cell r="I1313" t="str">
            <v>01RT116</v>
          </cell>
          <cell r="J1313" t="str">
            <v>CT SIMULATOR 1</v>
          </cell>
          <cell r="K1313" t="str">
            <v>BMED</v>
          </cell>
          <cell r="L1313" t="str">
            <v>Normal</v>
          </cell>
          <cell r="M1313" t="str">
            <v>Germany</v>
          </cell>
          <cell r="N1313" t="str">
            <v>Dorado</v>
          </cell>
          <cell r="O1313" t="str">
            <v>Dorado</v>
          </cell>
          <cell r="P1313" t="str">
            <v>YEHT236952</v>
          </cell>
          <cell r="Q1313" t="str">
            <v>Not Applicable</v>
          </cell>
          <cell r="R1313" t="str">
            <v>LAP GmbH</v>
          </cell>
          <cell r="S1313" t="str">
            <v>BRAINLAB</v>
          </cell>
          <cell r="T1313" t="str">
            <v>Functioning</v>
          </cell>
          <cell r="U1313" t="str">
            <v>Asset</v>
          </cell>
          <cell r="V1313">
            <v>100000</v>
          </cell>
          <cell r="W1313" t="str">
            <v>Estimate</v>
          </cell>
          <cell r="X1313" t="str">
            <v>01/09/2010</v>
          </cell>
          <cell r="Y1313" t="str">
            <v>KEW</v>
          </cell>
          <cell r="Z1313" t="str">
            <v>16/08/2013</v>
          </cell>
          <cell r="AA1313" t="str">
            <v>15/08/2015</v>
          </cell>
          <cell r="AB1313" t="str">
            <v>No</v>
          </cell>
          <cell r="AC1313" t="str">
            <v>31/08/2013</v>
          </cell>
          <cell r="AD1313" t="str">
            <v>Good</v>
          </cell>
          <cell r="AE1313" t="str">
            <v>V1 - Existing / No Claim</v>
          </cell>
          <cell r="AF1313">
            <v>42605</v>
          </cell>
          <cell r="AG1313">
            <v>9.17</v>
          </cell>
          <cell r="AH1313" t="str">
            <v>RI</v>
          </cell>
          <cell r="AI1313" t="str">
            <v>Strands</v>
          </cell>
          <cell r="AJ1313" t="str">
            <v>Strands Package</v>
          </cell>
          <cell r="AK1313" t="str">
            <v>Package Code XM0004</v>
          </cell>
        </row>
        <row r="1314">
          <cell r="A1314" t="str">
            <v>IKN400980</v>
          </cell>
          <cell r="B1314">
            <v>978</v>
          </cell>
          <cell r="C1314" t="str">
            <v>Institut Kanser Negara</v>
          </cell>
          <cell r="D1314" t="str">
            <v>N/A</v>
          </cell>
          <cell r="E1314" t="str">
            <v>17-968</v>
          </cell>
          <cell r="F1314" t="str">
            <v>Injectors, Contrast Media</v>
          </cell>
          <cell r="G1314" t="str">
            <v>RT</v>
          </cell>
          <cell r="H1314" t="str">
            <v>RADIATION TREATMENT UNIT</v>
          </cell>
          <cell r="I1314" t="str">
            <v>01RT118</v>
          </cell>
          <cell r="J1314" t="str">
            <v>CT SIMULATOR 2</v>
          </cell>
          <cell r="K1314" t="str">
            <v>BMED</v>
          </cell>
          <cell r="L1314" t="str">
            <v>Critical</v>
          </cell>
          <cell r="M1314" t="str">
            <v>USA</v>
          </cell>
          <cell r="N1314" t="str">
            <v>Optivantage</v>
          </cell>
          <cell r="O1314" t="str">
            <v>Optivantage Dual-Head CT</v>
          </cell>
          <cell r="P1314" t="str">
            <v>C1213B515X</v>
          </cell>
          <cell r="Q1314" t="str">
            <v>Not Applicable</v>
          </cell>
          <cell r="R1314" t="str">
            <v>Mallinckrodt</v>
          </cell>
          <cell r="S1314" t="str">
            <v>Schmidt Biomedtech Sdn. Bhd.</v>
          </cell>
          <cell r="T1314" t="str">
            <v>Functioning</v>
          </cell>
          <cell r="U1314" t="str">
            <v>Asset</v>
          </cell>
          <cell r="V1314">
            <v>100000</v>
          </cell>
          <cell r="W1314" t="str">
            <v>Estimate</v>
          </cell>
          <cell r="X1314" t="str">
            <v>01/09/2010</v>
          </cell>
          <cell r="Y1314" t="str">
            <v>KEW</v>
          </cell>
          <cell r="Z1314" t="str">
            <v>16/08/2013</v>
          </cell>
          <cell r="AA1314" t="str">
            <v>15/08/2015</v>
          </cell>
          <cell r="AB1314" t="str">
            <v>No</v>
          </cell>
          <cell r="AC1314" t="str">
            <v>31/08/2013</v>
          </cell>
          <cell r="AD1314" t="str">
            <v>Good</v>
          </cell>
          <cell r="AE1314" t="str">
            <v>V1 - Existing / No Claim</v>
          </cell>
          <cell r="AF1314">
            <v>43370</v>
          </cell>
          <cell r="AG1314">
            <v>9.17</v>
          </cell>
          <cell r="AH1314" t="str">
            <v>PPM</v>
          </cell>
          <cell r="AI1314" t="str">
            <v>Strands</v>
          </cell>
          <cell r="AJ1314" t="str">
            <v>Strands Package</v>
          </cell>
          <cell r="AK1314" t="str">
            <v>Package Code XM0004</v>
          </cell>
        </row>
        <row r="1315">
          <cell r="A1315" t="str">
            <v>IKN400981</v>
          </cell>
          <cell r="B1315">
            <v>979</v>
          </cell>
          <cell r="C1315" t="str">
            <v>Institut Kanser Negara</v>
          </cell>
          <cell r="D1315" t="str">
            <v>KKM/IKN/H/14/83</v>
          </cell>
          <cell r="E1315" t="str">
            <v>18-449</v>
          </cell>
          <cell r="F1315" t="str">
            <v>Balances, Electronic, Analytical</v>
          </cell>
          <cell r="G1315" t="str">
            <v>LA</v>
          </cell>
          <cell r="H1315" t="str">
            <v>PATHOLOGY</v>
          </cell>
          <cell r="I1315" t="str">
            <v>04LA114</v>
          </cell>
          <cell r="J1315" t="str">
            <v>DARK MICROSCOPY</v>
          </cell>
          <cell r="K1315" t="str">
            <v>BMED</v>
          </cell>
          <cell r="L1315" t="str">
            <v>Normal</v>
          </cell>
          <cell r="M1315" t="str">
            <v>Switzerland</v>
          </cell>
          <cell r="N1315" t="str">
            <v>Mettler Toledo</v>
          </cell>
          <cell r="O1315" t="str">
            <v>Mettler Toledo ML204/02</v>
          </cell>
          <cell r="P1315" t="str">
            <v>B434952155</v>
          </cell>
          <cell r="Q1315" t="str">
            <v>Not Applicable</v>
          </cell>
          <cell r="R1315" t="str">
            <v>Mettler-Toledo AG</v>
          </cell>
          <cell r="S1315" t="str">
            <v>Chemopharm S/B</v>
          </cell>
          <cell r="T1315" t="str">
            <v>Functioning</v>
          </cell>
          <cell r="U1315" t="str">
            <v>Asset</v>
          </cell>
          <cell r="V1315">
            <v>5500</v>
          </cell>
          <cell r="W1315" t="str">
            <v>KEW</v>
          </cell>
          <cell r="X1315" t="str">
            <v>26/09/2014</v>
          </cell>
          <cell r="Y1315" t="str">
            <v>KEW</v>
          </cell>
          <cell r="Z1315" t="str">
            <v>10/11/2014</v>
          </cell>
          <cell r="AA1315" t="str">
            <v>09/11/2015</v>
          </cell>
          <cell r="AB1315" t="str">
            <v>No</v>
          </cell>
          <cell r="AC1315" t="str">
            <v>10/11/2014</v>
          </cell>
          <cell r="AD1315" t="str">
            <v>Good</v>
          </cell>
          <cell r="AE1315" t="str">
            <v>V3 - Added Installed Facilities (New)</v>
          </cell>
          <cell r="AF1315">
            <v>42678</v>
          </cell>
          <cell r="AG1315">
            <v>5.17</v>
          </cell>
          <cell r="AH1315" t="str">
            <v>PPM</v>
          </cell>
          <cell r="AI1315" t="str">
            <v>Strands</v>
          </cell>
          <cell r="AJ1315" t="str">
            <v>Strands PW</v>
          </cell>
          <cell r="AK1315" t="str">
            <v>SNF received. 1st batch of V3 asset (December 2020)</v>
          </cell>
        </row>
        <row r="1316">
          <cell r="A1316" t="str">
            <v>IKN400982</v>
          </cell>
          <cell r="B1316">
            <v>980</v>
          </cell>
          <cell r="C1316" t="str">
            <v>Institut Kanser Negara</v>
          </cell>
          <cell r="D1316" t="str">
            <v>KKM/IKN/H/13/2999</v>
          </cell>
          <cell r="E1316" t="str">
            <v>12-660</v>
          </cell>
          <cell r="F1316" t="str">
            <v>Radiation Monitors</v>
          </cell>
          <cell r="G1316" t="str">
            <v>WA</v>
          </cell>
          <cell r="H1316" t="str">
            <v>NUCLEAR MED WARD (THERAPY)</v>
          </cell>
          <cell r="I1316" t="str">
            <v>03WA125</v>
          </cell>
          <cell r="J1316" t="str">
            <v>RADIOIODIN PREP (100% F.A.)</v>
          </cell>
          <cell r="K1316" t="str">
            <v>BMED</v>
          </cell>
          <cell r="L1316" t="str">
            <v>Normal</v>
          </cell>
          <cell r="M1316" t="str">
            <v>Germany</v>
          </cell>
          <cell r="N1316" t="str">
            <v>CoMo</v>
          </cell>
          <cell r="O1316" t="str">
            <v>CoMo 170</v>
          </cell>
          <cell r="P1316" t="str">
            <v>5390</v>
          </cell>
          <cell r="Q1316" t="str">
            <v>Not Applicable</v>
          </cell>
          <cell r="R1316" t="str">
            <v>MED Nuklear-Medizintechnik Dresden GmbH</v>
          </cell>
          <cell r="S1316" t="str">
            <v/>
          </cell>
          <cell r="T1316" t="str">
            <v>Functioning</v>
          </cell>
          <cell r="U1316" t="str">
            <v>Asset</v>
          </cell>
          <cell r="V1316">
            <v>6810</v>
          </cell>
          <cell r="W1316" t="str">
            <v>KEW</v>
          </cell>
          <cell r="X1316" t="str">
            <v>01/09/2010</v>
          </cell>
          <cell r="Y1316" t="str">
            <v>KEW</v>
          </cell>
          <cell r="Z1316" t="str">
            <v>16/08/2013</v>
          </cell>
          <cell r="AA1316" t="str">
            <v>15/08/2015</v>
          </cell>
          <cell r="AB1316" t="str">
            <v>No</v>
          </cell>
          <cell r="AC1316" t="str">
            <v>31/08/2013</v>
          </cell>
          <cell r="AD1316" t="str">
            <v>Good</v>
          </cell>
          <cell r="AE1316" t="str">
            <v>V1 - Existing / No Claim</v>
          </cell>
          <cell r="AF1316">
            <v>42235</v>
          </cell>
          <cell r="AG1316">
            <v>9.17</v>
          </cell>
          <cell r="AH1316" t="str">
            <v>PPM</v>
          </cell>
          <cell r="AI1316" t="str">
            <v>Strands</v>
          </cell>
          <cell r="AJ1316" t="str">
            <v>Strands PW</v>
          </cell>
          <cell r="AK1316" t="str">
            <v>SNF received. 1st batch of V3 asset (December 2020)</v>
          </cell>
        </row>
        <row r="1317">
          <cell r="A1317" t="str">
            <v>IKN400983</v>
          </cell>
          <cell r="B1317">
            <v>981</v>
          </cell>
          <cell r="C1317" t="str">
            <v>Institut Kanser Negara</v>
          </cell>
          <cell r="D1317" t="str">
            <v>KKM/IKN/H/13/2767</v>
          </cell>
          <cell r="E1317" t="str">
            <v>12-660</v>
          </cell>
          <cell r="F1317" t="str">
            <v>Radiation Monitors</v>
          </cell>
          <cell r="G1317" t="str">
            <v>NM</v>
          </cell>
          <cell r="H1317" t="str">
            <v>NUCLEAR MED (DIAGNOSTIC)</v>
          </cell>
          <cell r="I1317" t="str">
            <v>03NM138</v>
          </cell>
          <cell r="J1317" t="str">
            <v>RADIOIODINE PREP. (100% F.A)</v>
          </cell>
          <cell r="K1317" t="str">
            <v>BMED</v>
          </cell>
          <cell r="L1317" t="str">
            <v>Normal</v>
          </cell>
          <cell r="M1317" t="str">
            <v>Germany</v>
          </cell>
          <cell r="N1317" t="str">
            <v>CoMo</v>
          </cell>
          <cell r="O1317" t="str">
            <v>CoMo 170</v>
          </cell>
          <cell r="P1317" t="str">
            <v>5064DL</v>
          </cell>
          <cell r="Q1317" t="str">
            <v>Not Applicable</v>
          </cell>
          <cell r="R1317" t="str">
            <v>MED Nuklear-Medizintechnik Dresden GmbH</v>
          </cell>
          <cell r="S1317" t="str">
            <v/>
          </cell>
          <cell r="T1317" t="str">
            <v>Functioning</v>
          </cell>
          <cell r="U1317" t="str">
            <v>Asset</v>
          </cell>
          <cell r="V1317">
            <v>23270</v>
          </cell>
          <cell r="W1317" t="str">
            <v>KEW</v>
          </cell>
          <cell r="X1317" t="str">
            <v>01/09/2010</v>
          </cell>
          <cell r="Y1317" t="str">
            <v>KEW</v>
          </cell>
          <cell r="Z1317" t="str">
            <v>16/08/2013</v>
          </cell>
          <cell r="AA1317" t="str">
            <v>15/08/2015</v>
          </cell>
          <cell r="AB1317" t="str">
            <v>No</v>
          </cell>
          <cell r="AC1317" t="str">
            <v>31/08/2013</v>
          </cell>
          <cell r="AD1317" t="str">
            <v>Good</v>
          </cell>
          <cell r="AE1317" t="str">
            <v>V1 - Existing / No Claim</v>
          </cell>
          <cell r="AF1317">
            <v>42235</v>
          </cell>
          <cell r="AG1317">
            <v>9.17</v>
          </cell>
          <cell r="AH1317" t="str">
            <v>PPM</v>
          </cell>
          <cell r="AI1317" t="str">
            <v>Strands</v>
          </cell>
          <cell r="AJ1317" t="str">
            <v>Strands PW</v>
          </cell>
        </row>
        <row r="1318">
          <cell r="A1318" t="str">
            <v>IKN400984</v>
          </cell>
          <cell r="B1318">
            <v>982</v>
          </cell>
          <cell r="C1318" t="str">
            <v>Institut Kanser Negara</v>
          </cell>
          <cell r="D1318" t="e">
            <v>#N/A</v>
          </cell>
          <cell r="E1318" t="str">
            <v>17-211</v>
          </cell>
          <cell r="F1318" t="str">
            <v>Radiation Survey Meters, Geiger-Muller</v>
          </cell>
          <cell r="G1318" t="str">
            <v>NM</v>
          </cell>
          <cell r="H1318" t="str">
            <v>NUCLEAR MED (DIAGNOSTIC)</v>
          </cell>
          <cell r="I1318" t="str">
            <v>03NM133</v>
          </cell>
          <cell r="J1318" t="str">
            <v>RADIODINE DISPENSING (-VE)</v>
          </cell>
          <cell r="K1318" t="str">
            <v>BMED</v>
          </cell>
          <cell r="L1318" t="str">
            <v>Normal</v>
          </cell>
          <cell r="M1318" t="str">
            <v>USA</v>
          </cell>
          <cell r="N1318" t="str">
            <v>Ludlum</v>
          </cell>
          <cell r="O1318" t="str">
            <v>Ludlum 14C</v>
          </cell>
          <cell r="P1318" t="str">
            <v>295080</v>
          </cell>
          <cell r="Q1318" t="str">
            <v>Not Applicable</v>
          </cell>
          <cell r="R1318" t="str">
            <v>Ludlum Measurements Inc</v>
          </cell>
          <cell r="S1318" t="str">
            <v>Not Available</v>
          </cell>
          <cell r="T1318" t="str">
            <v>Functioning</v>
          </cell>
          <cell r="U1318" t="str">
            <v>Asset</v>
          </cell>
          <cell r="V1318">
            <v>10000</v>
          </cell>
          <cell r="W1318" t="str">
            <v>Estimate</v>
          </cell>
          <cell r="X1318" t="str">
            <v>01/09/2010</v>
          </cell>
          <cell r="Y1318" t="str">
            <v>KEW</v>
          </cell>
          <cell r="Z1318" t="str">
            <v>16/08/2013</v>
          </cell>
          <cell r="AA1318" t="str">
            <v>15/08/2015</v>
          </cell>
          <cell r="AB1318" t="str">
            <v>No</v>
          </cell>
          <cell r="AC1318" t="str">
            <v>31/08/2013</v>
          </cell>
          <cell r="AD1318" t="str">
            <v>Good</v>
          </cell>
          <cell r="AE1318" t="str">
            <v>V1 - Existing / No Claim</v>
          </cell>
          <cell r="AF1318">
            <v>42605</v>
          </cell>
          <cell r="AG1318">
            <v>9.17</v>
          </cell>
          <cell r="AH1318" t="str">
            <v>PPM</v>
          </cell>
          <cell r="AI1318" t="str">
            <v>Not in contract</v>
          </cell>
        </row>
        <row r="1319">
          <cell r="A1319" t="str">
            <v>IKN400985</v>
          </cell>
          <cell r="B1319">
            <v>983</v>
          </cell>
          <cell r="C1319" t="str">
            <v>Institut Kanser Negara</v>
          </cell>
          <cell r="D1319" t="e">
            <v>#N/A</v>
          </cell>
          <cell r="E1319" t="str">
            <v>13-275</v>
          </cell>
          <cell r="F1319" t="str">
            <v>Calibrators, Radioisotope</v>
          </cell>
          <cell r="G1319" t="str">
            <v>NM</v>
          </cell>
          <cell r="H1319" t="str">
            <v>NUCLEAR MED (DIAGNOSTIC)</v>
          </cell>
          <cell r="I1319" t="str">
            <v>03NM138</v>
          </cell>
          <cell r="J1319" t="str">
            <v>RADIOIODINE PREP. (100% F.A)</v>
          </cell>
          <cell r="K1319" t="str">
            <v>BMED</v>
          </cell>
          <cell r="L1319" t="str">
            <v>Normal</v>
          </cell>
          <cell r="M1319" t="str">
            <v>USA</v>
          </cell>
          <cell r="N1319" t="str">
            <v>Atomlab</v>
          </cell>
          <cell r="O1319" t="str">
            <v>Atomlab 500</v>
          </cell>
          <cell r="P1319" t="str">
            <v>13040806</v>
          </cell>
          <cell r="Q1319" t="str">
            <v>Not Applicable</v>
          </cell>
          <cell r="R1319" t="str">
            <v>Biodex Medical Systems Inc</v>
          </cell>
          <cell r="S1319" t="str">
            <v>Not Available</v>
          </cell>
          <cell r="T1319" t="str">
            <v>Functioning</v>
          </cell>
          <cell r="U1319" t="str">
            <v>Asset</v>
          </cell>
          <cell r="V1319">
            <v>20000</v>
          </cell>
          <cell r="W1319" t="str">
            <v>Estimate</v>
          </cell>
          <cell r="X1319" t="str">
            <v>01/09/2010</v>
          </cell>
          <cell r="Y1319" t="str">
            <v>KEW</v>
          </cell>
          <cell r="Z1319" t="str">
            <v>16/08/2013</v>
          </cell>
          <cell r="AA1319" t="str">
            <v>15/08/2015</v>
          </cell>
          <cell r="AB1319" t="str">
            <v>No</v>
          </cell>
          <cell r="AC1319" t="str">
            <v>31/08/2013</v>
          </cell>
          <cell r="AD1319" t="str">
            <v>Good</v>
          </cell>
          <cell r="AE1319" t="str">
            <v>V1 - Existing / No Claim</v>
          </cell>
          <cell r="AF1319">
            <v>42605</v>
          </cell>
          <cell r="AG1319">
            <v>9.17</v>
          </cell>
          <cell r="AH1319" t="str">
            <v>PPM</v>
          </cell>
          <cell r="AI1319" t="str">
            <v>package</v>
          </cell>
          <cell r="AJ1319" t="e">
            <v>#REF!</v>
          </cell>
          <cell r="AK1319" t="e">
            <v>#N/A</v>
          </cell>
        </row>
        <row r="1320">
          <cell r="A1320" t="str">
            <v>IKN400986</v>
          </cell>
          <cell r="B1320">
            <v>984</v>
          </cell>
          <cell r="C1320" t="str">
            <v>Institut Kanser Negara</v>
          </cell>
          <cell r="D1320" t="str">
            <v>KKM/IKN/H/13/3000</v>
          </cell>
          <cell r="E1320" t="str">
            <v>13-275</v>
          </cell>
          <cell r="F1320" t="str">
            <v>Calibrators, Radioisotope</v>
          </cell>
          <cell r="G1320" t="str">
            <v>NM</v>
          </cell>
          <cell r="H1320" t="str">
            <v>NUCLEAR MED (DIAGNOSTIC)</v>
          </cell>
          <cell r="I1320" t="str">
            <v>03NM139</v>
          </cell>
          <cell r="J1320" t="str">
            <v>QC</v>
          </cell>
          <cell r="K1320" t="str">
            <v>BMED</v>
          </cell>
          <cell r="L1320" t="str">
            <v>Normal</v>
          </cell>
          <cell r="M1320" t="str">
            <v>USA</v>
          </cell>
          <cell r="N1320" t="str">
            <v>Atomlab</v>
          </cell>
          <cell r="O1320" t="str">
            <v>Atomlab 500 Plus</v>
          </cell>
          <cell r="P1320" t="str">
            <v>12100248</v>
          </cell>
          <cell r="Q1320" t="str">
            <v>Not Applicable</v>
          </cell>
          <cell r="R1320" t="str">
            <v>Biodex Medical Systems Inc</v>
          </cell>
          <cell r="S1320" t="str">
            <v>Not Available</v>
          </cell>
          <cell r="T1320" t="str">
            <v>Functioning</v>
          </cell>
          <cell r="U1320" t="str">
            <v>Asset</v>
          </cell>
          <cell r="V1320">
            <v>60390</v>
          </cell>
          <cell r="W1320" t="str">
            <v>Estimate</v>
          </cell>
          <cell r="X1320" t="str">
            <v>01/09/2010</v>
          </cell>
          <cell r="Y1320" t="str">
            <v>KEW</v>
          </cell>
          <cell r="Z1320" t="str">
            <v>16/08/2013</v>
          </cell>
          <cell r="AA1320" t="str">
            <v>15/08/2015</v>
          </cell>
          <cell r="AB1320" t="str">
            <v>No</v>
          </cell>
          <cell r="AC1320" t="str">
            <v>31/08/2013</v>
          </cell>
          <cell r="AD1320" t="str">
            <v>Good</v>
          </cell>
          <cell r="AE1320" t="str">
            <v>V1 - Existing / No Claim</v>
          </cell>
          <cell r="AF1320">
            <v>43375</v>
          </cell>
          <cell r="AG1320">
            <v>9.17</v>
          </cell>
          <cell r="AH1320" t="str">
            <v>PPM</v>
          </cell>
          <cell r="AI1320" t="str">
            <v>Strands</v>
          </cell>
          <cell r="AJ1320" t="str">
            <v>Strands PW</v>
          </cell>
        </row>
        <row r="1321">
          <cell r="A1321" t="str">
            <v>IKN400987</v>
          </cell>
          <cell r="B1321">
            <v>985</v>
          </cell>
          <cell r="C1321" t="str">
            <v>Institut Kanser Negara</v>
          </cell>
          <cell r="D1321" t="str">
            <v>KKM/IKN/H/13/2997</v>
          </cell>
          <cell r="E1321" t="str">
            <v>12-660</v>
          </cell>
          <cell r="F1321" t="str">
            <v>Radiation Monitors</v>
          </cell>
          <cell r="G1321" t="str">
            <v>NM</v>
          </cell>
          <cell r="H1321" t="str">
            <v>NUCLEAR MED (DIAGNOSTIC)</v>
          </cell>
          <cell r="I1321" t="str">
            <v>03NM141</v>
          </cell>
          <cell r="J1321" t="str">
            <v>STERILE RADIO PHARMACEUTICAL PREPARATION</v>
          </cell>
          <cell r="K1321" t="str">
            <v>BMED</v>
          </cell>
          <cell r="L1321" t="str">
            <v>Normal</v>
          </cell>
          <cell r="M1321" t="str">
            <v>Germany</v>
          </cell>
          <cell r="N1321" t="str">
            <v>CoMo</v>
          </cell>
          <cell r="O1321" t="str">
            <v>CoMo 170</v>
          </cell>
          <cell r="P1321" t="str">
            <v>5065DL</v>
          </cell>
          <cell r="Q1321" t="str">
            <v>Not Applicable</v>
          </cell>
          <cell r="R1321" t="str">
            <v>MED Nuklear-Medizintechnik Dresden GmbH</v>
          </cell>
          <cell r="S1321" t="str">
            <v/>
          </cell>
          <cell r="T1321" t="str">
            <v>Functioning</v>
          </cell>
          <cell r="U1321" t="str">
            <v>Asset</v>
          </cell>
          <cell r="V1321">
            <v>23270</v>
          </cell>
          <cell r="W1321" t="str">
            <v>KEW</v>
          </cell>
          <cell r="X1321" t="str">
            <v>01/09/2010</v>
          </cell>
          <cell r="Y1321" t="str">
            <v>KEW</v>
          </cell>
          <cell r="Z1321" t="str">
            <v>16/08/2013</v>
          </cell>
          <cell r="AA1321" t="str">
            <v>15/08/2015</v>
          </cell>
          <cell r="AB1321" t="str">
            <v>No</v>
          </cell>
          <cell r="AC1321" t="str">
            <v>31/08/2013</v>
          </cell>
          <cell r="AD1321" t="str">
            <v>Good</v>
          </cell>
          <cell r="AE1321" t="str">
            <v>V1 - Existing / No Claim</v>
          </cell>
          <cell r="AF1321">
            <v>42235</v>
          </cell>
          <cell r="AG1321">
            <v>9.17</v>
          </cell>
          <cell r="AH1321" t="str">
            <v>PPM</v>
          </cell>
          <cell r="AI1321" t="str">
            <v>Strands</v>
          </cell>
          <cell r="AJ1321" t="str">
            <v>Strands PW</v>
          </cell>
        </row>
        <row r="1322">
          <cell r="A1322" t="str">
            <v>IKN400988</v>
          </cell>
          <cell r="B1322">
            <v>986</v>
          </cell>
          <cell r="C1322" t="str">
            <v>Institut Kanser Negara</v>
          </cell>
          <cell r="D1322" t="str">
            <v>KKM/IKN/H/13/5152</v>
          </cell>
          <cell r="E1322" t="str">
            <v>13-275</v>
          </cell>
          <cell r="F1322" t="str">
            <v>Calibrators, Radioisotope</v>
          </cell>
          <cell r="G1322" t="str">
            <v>NM</v>
          </cell>
          <cell r="H1322" t="str">
            <v>NUCLEAR MED (DIAGNOSTIC)</v>
          </cell>
          <cell r="I1322" t="str">
            <v>03NM141</v>
          </cell>
          <cell r="J1322" t="str">
            <v>STERILE RADIO PHARMACEUTICAL PREPARATION</v>
          </cell>
          <cell r="K1322" t="str">
            <v>BMED</v>
          </cell>
          <cell r="L1322" t="str">
            <v>Normal</v>
          </cell>
          <cell r="M1322" t="str">
            <v>USA</v>
          </cell>
          <cell r="N1322" t="str">
            <v>Atomlab</v>
          </cell>
          <cell r="O1322" t="str">
            <v>Atomlab 500</v>
          </cell>
          <cell r="P1322" t="str">
            <v>12100728</v>
          </cell>
          <cell r="Q1322" t="str">
            <v>Not Applicable</v>
          </cell>
          <cell r="R1322" t="str">
            <v>Biodex Medical Systems Inc</v>
          </cell>
          <cell r="S1322" t="str">
            <v>Not Available</v>
          </cell>
          <cell r="T1322" t="str">
            <v>Functioning</v>
          </cell>
          <cell r="U1322" t="str">
            <v>Asset</v>
          </cell>
          <cell r="V1322">
            <v>60390</v>
          </cell>
          <cell r="W1322" t="str">
            <v>Estimate</v>
          </cell>
          <cell r="X1322" t="str">
            <v>01/09/2010</v>
          </cell>
          <cell r="Y1322" t="str">
            <v>KEW</v>
          </cell>
          <cell r="Z1322" t="str">
            <v>16/08/2013</v>
          </cell>
          <cell r="AA1322" t="str">
            <v>15/08/2015</v>
          </cell>
          <cell r="AB1322" t="str">
            <v>No</v>
          </cell>
          <cell r="AC1322" t="str">
            <v>16/08/2013</v>
          </cell>
          <cell r="AD1322" t="str">
            <v>Good</v>
          </cell>
          <cell r="AE1322" t="str">
            <v>V1 - Existing / No Claim</v>
          </cell>
          <cell r="AF1322">
            <v>42605</v>
          </cell>
          <cell r="AG1322">
            <v>9.17</v>
          </cell>
          <cell r="AH1322" t="str">
            <v>PPM</v>
          </cell>
          <cell r="AI1322" t="str">
            <v>Strands</v>
          </cell>
          <cell r="AJ1322" t="str">
            <v>Strands PW</v>
          </cell>
        </row>
        <row r="1323">
          <cell r="A1323" t="str">
            <v>IKN400989</v>
          </cell>
          <cell r="B1323">
            <v>987</v>
          </cell>
          <cell r="C1323" t="str">
            <v>Institut Kanser Negara</v>
          </cell>
          <cell r="D1323" t="str">
            <v>KKM/IKN/H/13/5150</v>
          </cell>
          <cell r="E1323" t="str">
            <v>13-275</v>
          </cell>
          <cell r="F1323" t="str">
            <v>Calibrators, Radioisotope</v>
          </cell>
          <cell r="G1323" t="str">
            <v>NM</v>
          </cell>
          <cell r="H1323" t="str">
            <v>NUCLEAR MED (DIAGNOSTIC)</v>
          </cell>
          <cell r="I1323" t="str">
            <v>03NM141</v>
          </cell>
          <cell r="J1323" t="str">
            <v>STERILE RADIO PHARMACEUTICAL PREPARATION</v>
          </cell>
          <cell r="K1323" t="str">
            <v>BMED</v>
          </cell>
          <cell r="L1323" t="str">
            <v>Normal</v>
          </cell>
          <cell r="M1323" t="str">
            <v>Germany</v>
          </cell>
          <cell r="N1323" t="str">
            <v>Isomed</v>
          </cell>
          <cell r="O1323" t="str">
            <v>Isomed</v>
          </cell>
          <cell r="P1323" t="str">
            <v>NA</v>
          </cell>
          <cell r="Q1323" t="str">
            <v>Not Applicable</v>
          </cell>
          <cell r="R1323" t="str">
            <v>MED Nuklear-Medizintechnik Dresden GmbH</v>
          </cell>
          <cell r="S1323" t="str">
            <v>Not Available</v>
          </cell>
          <cell r="T1323" t="str">
            <v>Functioning</v>
          </cell>
          <cell r="U1323" t="str">
            <v>Asset</v>
          </cell>
          <cell r="V1323">
            <v>50000</v>
          </cell>
          <cell r="W1323" t="str">
            <v>Estimate</v>
          </cell>
          <cell r="X1323" t="str">
            <v>01/09/2010</v>
          </cell>
          <cell r="Y1323" t="str">
            <v>KEW</v>
          </cell>
          <cell r="Z1323" t="str">
            <v>16/08/2013</v>
          </cell>
          <cell r="AA1323" t="str">
            <v>15/08/2015</v>
          </cell>
          <cell r="AB1323" t="str">
            <v>No</v>
          </cell>
          <cell r="AC1323" t="str">
            <v>31/08/2013</v>
          </cell>
          <cell r="AD1323" t="str">
            <v>Good</v>
          </cell>
          <cell r="AE1323" t="str">
            <v>V1 - Existing / No Claim</v>
          </cell>
          <cell r="AF1323">
            <v>42605</v>
          </cell>
          <cell r="AG1323">
            <v>9.17</v>
          </cell>
          <cell r="AH1323" t="str">
            <v>PPM</v>
          </cell>
          <cell r="AI1323" t="str">
            <v>Strands</v>
          </cell>
          <cell r="AJ1323" t="str">
            <v>Strands PW</v>
          </cell>
          <cell r="AK1323" t="str">
            <v>Replace new unit during UEM. (Capintec Inc. Model:CRC-55tR _S/N:552341H)</v>
          </cell>
        </row>
        <row r="1324">
          <cell r="A1324" t="str">
            <v>IKN400990</v>
          </cell>
          <cell r="B1324">
            <v>988</v>
          </cell>
          <cell r="C1324" t="str">
            <v>Institut Kanser Negara</v>
          </cell>
          <cell r="D1324" t="str">
            <v>KKM/IKN/H/13/2998</v>
          </cell>
          <cell r="E1324" t="str">
            <v>12-660</v>
          </cell>
          <cell r="F1324" t="str">
            <v>Radiation Monitors</v>
          </cell>
          <cell r="G1324" t="str">
            <v>NM</v>
          </cell>
          <cell r="H1324" t="str">
            <v>NUCLEAR MED (DIAGNOSTIC)</v>
          </cell>
          <cell r="I1324" t="str">
            <v>03NM143</v>
          </cell>
          <cell r="J1324" t="str">
            <v>INJECTION ROOM 1 (-VE)</v>
          </cell>
          <cell r="K1324" t="str">
            <v>BMED</v>
          </cell>
          <cell r="L1324" t="str">
            <v>Normal</v>
          </cell>
          <cell r="M1324" t="str">
            <v>Germany</v>
          </cell>
          <cell r="N1324" t="str">
            <v>CoMo</v>
          </cell>
          <cell r="O1324" t="str">
            <v>CoMo 170</v>
          </cell>
          <cell r="P1324" t="str">
            <v>5066DL</v>
          </cell>
          <cell r="Q1324" t="str">
            <v>Not Applicable</v>
          </cell>
          <cell r="R1324" t="str">
            <v>MED Nuklear-Medizintechnik Dresden GmbH</v>
          </cell>
          <cell r="S1324" t="str">
            <v/>
          </cell>
          <cell r="T1324" t="str">
            <v>Functioning</v>
          </cell>
          <cell r="U1324" t="str">
            <v>Asset</v>
          </cell>
          <cell r="V1324">
            <v>23270</v>
          </cell>
          <cell r="W1324" t="str">
            <v>KEW</v>
          </cell>
          <cell r="X1324" t="str">
            <v>01/09/2010</v>
          </cell>
          <cell r="Y1324" t="str">
            <v>KEW</v>
          </cell>
          <cell r="Z1324" t="str">
            <v>16/08/2013</v>
          </cell>
          <cell r="AA1324" t="str">
            <v>15/08/2015</v>
          </cell>
          <cell r="AB1324" t="str">
            <v>No</v>
          </cell>
          <cell r="AC1324" t="str">
            <v>31/08/2013</v>
          </cell>
          <cell r="AD1324" t="str">
            <v>Good</v>
          </cell>
          <cell r="AE1324" t="str">
            <v>V1 - Existing / No Claim</v>
          </cell>
          <cell r="AF1324">
            <v>42235</v>
          </cell>
          <cell r="AG1324">
            <v>9.17</v>
          </cell>
          <cell r="AH1324" t="str">
            <v>PPM</v>
          </cell>
          <cell r="AI1324" t="str">
            <v>Strands</v>
          </cell>
          <cell r="AJ1324" t="str">
            <v>Strands PW</v>
          </cell>
        </row>
        <row r="1325">
          <cell r="A1325" t="str">
            <v>IKN400993</v>
          </cell>
          <cell r="B1325">
            <v>991</v>
          </cell>
          <cell r="C1325" t="str">
            <v>Institut Kanser Negara</v>
          </cell>
          <cell r="D1325" t="str">
            <v>TAKDE KEWPA</v>
          </cell>
          <cell r="E1325" t="str">
            <v>17-211</v>
          </cell>
          <cell r="F1325" t="str">
            <v>Radiation Survey Meters, Geiger-Muller</v>
          </cell>
          <cell r="G1325" t="str">
            <v>WA</v>
          </cell>
          <cell r="H1325" t="str">
            <v>NUCLEAR MED WARD (THERAPY)</v>
          </cell>
          <cell r="I1325" t="str">
            <v>03WA125</v>
          </cell>
          <cell r="J1325" t="str">
            <v>RADIOIODIN PREP (100% F.A.)</v>
          </cell>
          <cell r="K1325" t="str">
            <v>BMED</v>
          </cell>
          <cell r="L1325" t="str">
            <v>Normal</v>
          </cell>
          <cell r="M1325" t="str">
            <v>USA</v>
          </cell>
          <cell r="N1325" t="str">
            <v>Ludlum</v>
          </cell>
          <cell r="O1325" t="str">
            <v>Ludlum 14C</v>
          </cell>
          <cell r="P1325" t="str">
            <v>295020</v>
          </cell>
          <cell r="Q1325" t="str">
            <v>Not Applicable</v>
          </cell>
          <cell r="R1325" t="str">
            <v>Ludlum Measurements Inc</v>
          </cell>
          <cell r="S1325" t="str">
            <v>Not Available</v>
          </cell>
          <cell r="T1325" t="str">
            <v>Functioning</v>
          </cell>
          <cell r="U1325" t="str">
            <v>Asset</v>
          </cell>
          <cell r="V1325">
            <v>10000</v>
          </cell>
          <cell r="W1325" t="str">
            <v>Estimate</v>
          </cell>
          <cell r="X1325" t="str">
            <v>01/09/2010</v>
          </cell>
          <cell r="Y1325" t="str">
            <v>KEW</v>
          </cell>
          <cell r="Z1325" t="str">
            <v>16/08/2013</v>
          </cell>
          <cell r="AA1325" t="str">
            <v>15/08/2015</v>
          </cell>
          <cell r="AB1325" t="str">
            <v>No</v>
          </cell>
          <cell r="AC1325" t="str">
            <v>31/08/2013</v>
          </cell>
          <cell r="AD1325" t="str">
            <v>Good</v>
          </cell>
          <cell r="AE1325" t="str">
            <v>V1 - Existing / No Claim</v>
          </cell>
          <cell r="AF1325">
            <v>42605</v>
          </cell>
          <cell r="AG1325">
            <v>9.17</v>
          </cell>
          <cell r="AH1325" t="str">
            <v>PPM</v>
          </cell>
          <cell r="AI1325" t="str">
            <v>Not in contract</v>
          </cell>
        </row>
        <row r="1326">
          <cell r="A1326" t="str">
            <v>IKN400994</v>
          </cell>
          <cell r="B1326">
            <v>992</v>
          </cell>
          <cell r="C1326" t="str">
            <v>Institut Kanser Negara</v>
          </cell>
          <cell r="D1326" t="e">
            <v>#N/A</v>
          </cell>
          <cell r="E1326" t="str">
            <v>12-660</v>
          </cell>
          <cell r="F1326" t="str">
            <v>Radiation Monitors</v>
          </cell>
          <cell r="G1326" t="str">
            <v>WA</v>
          </cell>
          <cell r="H1326" t="str">
            <v>NUCLEAR MED WARD (THERAPY)</v>
          </cell>
          <cell r="I1326" t="str">
            <v>03WA125</v>
          </cell>
          <cell r="J1326" t="str">
            <v>RADIOIODIN PREP (100% F.A.)</v>
          </cell>
          <cell r="K1326" t="str">
            <v>BMED</v>
          </cell>
          <cell r="L1326" t="str">
            <v>Normal</v>
          </cell>
          <cell r="M1326" t="str">
            <v>Germany</v>
          </cell>
          <cell r="N1326" t="str">
            <v>Almo</v>
          </cell>
          <cell r="O1326" t="str">
            <v>Almo 1</v>
          </cell>
          <cell r="P1326" t="str">
            <v>559</v>
          </cell>
          <cell r="Q1326" t="str">
            <v>Not Applicable</v>
          </cell>
          <cell r="R1326" t="str">
            <v>MED Nuklear-Medizintechnik Dresden GmbH</v>
          </cell>
          <cell r="S1326" t="str">
            <v>.</v>
          </cell>
          <cell r="T1326" t="str">
            <v>Functioning</v>
          </cell>
          <cell r="U1326" t="str">
            <v>Asset</v>
          </cell>
          <cell r="V1326">
            <v>54570</v>
          </cell>
          <cell r="W1326" t="str">
            <v>KEW</v>
          </cell>
          <cell r="X1326" t="str">
            <v>01/09/2010</v>
          </cell>
          <cell r="Y1326" t="str">
            <v>KEW</v>
          </cell>
          <cell r="Z1326" t="str">
            <v>16/08/2013</v>
          </cell>
          <cell r="AA1326" t="str">
            <v>15/08/2015</v>
          </cell>
          <cell r="AB1326" t="str">
            <v>No</v>
          </cell>
          <cell r="AC1326" t="str">
            <v>31/08/2013</v>
          </cell>
          <cell r="AD1326" t="str">
            <v>Good</v>
          </cell>
          <cell r="AE1326" t="str">
            <v>V1 - Existing / No Claim</v>
          </cell>
          <cell r="AF1326">
            <v>42369</v>
          </cell>
          <cell r="AG1326">
            <v>9.17</v>
          </cell>
          <cell r="AH1326" t="str">
            <v>PPM</v>
          </cell>
          <cell r="AI1326" t="str">
            <v>package</v>
          </cell>
          <cell r="AK1326" t="str">
            <v>[25/11/2024]: SN Detector: 311197</v>
          </cell>
        </row>
        <row r="1327">
          <cell r="A1327" t="str">
            <v>IKN400995</v>
          </cell>
          <cell r="B1327">
            <v>993</v>
          </cell>
          <cell r="C1327" t="str">
            <v>Institut Kanser Negara</v>
          </cell>
          <cell r="D1327" t="str">
            <v>KKM/IKN/H/13/3098</v>
          </cell>
          <cell r="E1327" t="str">
            <v>16-567</v>
          </cell>
          <cell r="F1327" t="str">
            <v>Thyroid Uptake Systems</v>
          </cell>
          <cell r="G1327" t="str">
            <v>NM</v>
          </cell>
          <cell r="H1327" t="str">
            <v>NUCLEAR MED (DIAGNOSTIC)</v>
          </cell>
          <cell r="I1327" t="str">
            <v>03NM123</v>
          </cell>
          <cell r="J1327" t="str">
            <v>NON-IMAGING EQ.ROOM</v>
          </cell>
          <cell r="K1327" t="str">
            <v>BMED</v>
          </cell>
          <cell r="L1327" t="str">
            <v>Normal</v>
          </cell>
          <cell r="M1327" t="str">
            <v>USA</v>
          </cell>
          <cell r="N1327" t="str">
            <v>Atomlab</v>
          </cell>
          <cell r="O1327" t="str">
            <v>Atomlab 950C</v>
          </cell>
          <cell r="P1327" t="str">
            <v>766101401660001</v>
          </cell>
          <cell r="Q1327" t="str">
            <v>NA</v>
          </cell>
          <cell r="R1327" t="str">
            <v>Biodex Medical Systems Inc</v>
          </cell>
          <cell r="S1327" t="str">
            <v>Kwint International BN</v>
          </cell>
          <cell r="T1327" t="str">
            <v>Functioning</v>
          </cell>
          <cell r="U1327" t="str">
            <v>Asset</v>
          </cell>
          <cell r="V1327">
            <v>85120</v>
          </cell>
          <cell r="W1327" t="str">
            <v>Estimate</v>
          </cell>
          <cell r="X1327" t="str">
            <v>16/08/2013</v>
          </cell>
          <cell r="Y1327" t="str">
            <v>Estimate</v>
          </cell>
          <cell r="Z1327" t="str">
            <v>16/08/2013</v>
          </cell>
          <cell r="AA1327" t="str">
            <v>15/08/2015</v>
          </cell>
          <cell r="AB1327" t="str">
            <v>No</v>
          </cell>
          <cell r="AC1327" t="str">
            <v>16/08/2013</v>
          </cell>
          <cell r="AD1327" t="str">
            <v>Good</v>
          </cell>
          <cell r="AE1327" t="str">
            <v>V1 - Existing / No Claim</v>
          </cell>
          <cell r="AF1327">
            <v>42605</v>
          </cell>
          <cell r="AG1327">
            <v>6.25</v>
          </cell>
          <cell r="AH1327" t="str">
            <v>PPM</v>
          </cell>
          <cell r="AI1327" t="str">
            <v>Strands</v>
          </cell>
          <cell r="AJ1327" t="str">
            <v>Strands PW</v>
          </cell>
        </row>
        <row r="1328">
          <cell r="A1328" t="str">
            <v>IKN400996</v>
          </cell>
          <cell r="B1328">
            <v>994</v>
          </cell>
          <cell r="C1328" t="str">
            <v>Institut Kanser Negara</v>
          </cell>
          <cell r="D1328" t="str">
            <v>KKM/IKN/H/13/3009</v>
          </cell>
          <cell r="E1328" t="str">
            <v>12-660</v>
          </cell>
          <cell r="F1328" t="str">
            <v>Radiation Monitors</v>
          </cell>
          <cell r="G1328" t="str">
            <v>NM</v>
          </cell>
          <cell r="H1328" t="str">
            <v>NUCLEAR MED (DIAGNOSTIC)</v>
          </cell>
          <cell r="I1328" t="str">
            <v>03NM138</v>
          </cell>
          <cell r="J1328" t="str">
            <v>RADIOIODINE PREP. (100% F.A)</v>
          </cell>
          <cell r="K1328" t="str">
            <v>BMED</v>
          </cell>
          <cell r="L1328" t="str">
            <v>Normal</v>
          </cell>
          <cell r="M1328" t="str">
            <v>Germany</v>
          </cell>
          <cell r="N1328" t="str">
            <v>Almo</v>
          </cell>
          <cell r="O1328" t="str">
            <v>Almo 6</v>
          </cell>
          <cell r="P1328" t="str">
            <v>0072</v>
          </cell>
          <cell r="Q1328" t="str">
            <v>Not Applicable</v>
          </cell>
          <cell r="R1328" t="str">
            <v>MED Nuklear-Medizintechnik Dresden GmbH</v>
          </cell>
          <cell r="S1328" t="str">
            <v/>
          </cell>
          <cell r="T1328" t="str">
            <v>Functioning</v>
          </cell>
          <cell r="U1328" t="str">
            <v>Asset</v>
          </cell>
          <cell r="V1328">
            <v>54570</v>
          </cell>
          <cell r="W1328" t="str">
            <v>KEW</v>
          </cell>
          <cell r="X1328" t="str">
            <v>01/09/2010</v>
          </cell>
          <cell r="Y1328" t="str">
            <v>KEW</v>
          </cell>
          <cell r="Z1328" t="str">
            <v>16/08/2013</v>
          </cell>
          <cell r="AA1328" t="str">
            <v>15/08/2015</v>
          </cell>
          <cell r="AB1328" t="str">
            <v>No</v>
          </cell>
          <cell r="AC1328" t="str">
            <v>31/08/2013</v>
          </cell>
          <cell r="AD1328" t="str">
            <v>Good</v>
          </cell>
          <cell r="AE1328" t="str">
            <v>V1 - Existing / No Claim</v>
          </cell>
          <cell r="AF1328">
            <v>45449</v>
          </cell>
          <cell r="AG1328">
            <v>9.17</v>
          </cell>
          <cell r="AH1328" t="str">
            <v>PPM</v>
          </cell>
          <cell r="AI1328" t="str">
            <v>package</v>
          </cell>
          <cell r="AJ1328" t="str">
            <v>Proposed for V3 P1.24</v>
          </cell>
          <cell r="AK1328" t="str">
            <v>DETECTOR SN: 311197,311316,311275</v>
          </cell>
        </row>
        <row r="1329">
          <cell r="A1329" t="str">
            <v>IKN400997</v>
          </cell>
          <cell r="B1329">
            <v>995</v>
          </cell>
          <cell r="C1329" t="str">
            <v>Institut Kanser Negara</v>
          </cell>
          <cell r="D1329" t="str">
            <v>KKM/IKN/H/13/2992</v>
          </cell>
          <cell r="E1329" t="str">
            <v>12-660</v>
          </cell>
          <cell r="F1329" t="str">
            <v>Radiation Monitors</v>
          </cell>
          <cell r="G1329" t="str">
            <v>NM</v>
          </cell>
          <cell r="H1329" t="str">
            <v>NUCLEAR MED (DIAGNOSTIC)</v>
          </cell>
          <cell r="I1329" t="str">
            <v>03NM132</v>
          </cell>
          <cell r="J1329" t="str">
            <v>CORRIDOR 5</v>
          </cell>
          <cell r="K1329" t="str">
            <v>BMED</v>
          </cell>
          <cell r="L1329" t="str">
            <v>Normal</v>
          </cell>
          <cell r="M1329" t="str">
            <v>Germany</v>
          </cell>
          <cell r="N1329" t="str">
            <v>MED HFC</v>
          </cell>
          <cell r="O1329" t="str">
            <v>MED HFC</v>
          </cell>
          <cell r="P1329" t="str">
            <v>753</v>
          </cell>
          <cell r="Q1329" t="str">
            <v>Not Applicable</v>
          </cell>
          <cell r="R1329" t="str">
            <v>MED Nuklear-Medizintechnik Dresden GmbH</v>
          </cell>
          <cell r="S1329" t="str">
            <v/>
          </cell>
          <cell r="T1329" t="str">
            <v>Functioning</v>
          </cell>
          <cell r="U1329" t="str">
            <v>Asset</v>
          </cell>
          <cell r="V1329">
            <v>112855</v>
          </cell>
          <cell r="W1329" t="str">
            <v>KEW</v>
          </cell>
          <cell r="X1329" t="str">
            <v>01/09/2010</v>
          </cell>
          <cell r="Y1329" t="str">
            <v>KEW</v>
          </cell>
          <cell r="Z1329" t="str">
            <v>16/08/2013</v>
          </cell>
          <cell r="AA1329" t="str">
            <v>15/08/2015</v>
          </cell>
          <cell r="AB1329" t="str">
            <v>No</v>
          </cell>
          <cell r="AC1329" t="str">
            <v>31/08/2013</v>
          </cell>
          <cell r="AD1329" t="str">
            <v>Good</v>
          </cell>
          <cell r="AE1329" t="str">
            <v>V1 - Existing / No Claim</v>
          </cell>
          <cell r="AF1329">
            <v>42235</v>
          </cell>
          <cell r="AG1329">
            <v>9.17</v>
          </cell>
          <cell r="AH1329" t="str">
            <v>PPM</v>
          </cell>
          <cell r="AI1329" t="str">
            <v>Strands</v>
          </cell>
          <cell r="AJ1329" t="str">
            <v>Strands PW</v>
          </cell>
        </row>
        <row r="1330">
          <cell r="A1330" t="str">
            <v>IKN400998</v>
          </cell>
          <cell r="B1330">
            <v>996</v>
          </cell>
          <cell r="C1330" t="str">
            <v>Institut Kanser Negara</v>
          </cell>
          <cell r="D1330" t="str">
            <v>KKM/IKN/H/13/5380</v>
          </cell>
          <cell r="E1330" t="str">
            <v>12-660</v>
          </cell>
          <cell r="F1330" t="str">
            <v>Radiation Monitors</v>
          </cell>
          <cell r="G1330" t="str">
            <v>NW</v>
          </cell>
          <cell r="H1330" t="str">
            <v>NUCLEAR WASTE HOLDING</v>
          </cell>
          <cell r="I1330" t="str">
            <v>01NW106</v>
          </cell>
          <cell r="J1330" t="str">
            <v>WASTE MEASUREMENT</v>
          </cell>
          <cell r="K1330" t="str">
            <v>BMED</v>
          </cell>
          <cell r="L1330" t="str">
            <v>Normal</v>
          </cell>
          <cell r="M1330" t="str">
            <v>Germany</v>
          </cell>
          <cell r="N1330" t="str">
            <v>CoMo</v>
          </cell>
          <cell r="O1330" t="str">
            <v>CoMo 170</v>
          </cell>
          <cell r="P1330">
            <v>4937</v>
          </cell>
          <cell r="Q1330" t="str">
            <v>Not Applicable</v>
          </cell>
          <cell r="R1330" t="str">
            <v>MED Nuklear-Medizintechnik Dresden GmbH</v>
          </cell>
          <cell r="S1330" t="str">
            <v>Delta Advantech (M) Sdn. Bhd.</v>
          </cell>
          <cell r="T1330" t="str">
            <v>Functioning</v>
          </cell>
          <cell r="U1330" t="str">
            <v>Asset</v>
          </cell>
          <cell r="V1330">
            <v>6810</v>
          </cell>
          <cell r="W1330" t="str">
            <v>KEW</v>
          </cell>
          <cell r="X1330" t="str">
            <v>01/09/2010</v>
          </cell>
          <cell r="Y1330" t="str">
            <v>KEW</v>
          </cell>
          <cell r="Z1330" t="str">
            <v>16/08/2013</v>
          </cell>
          <cell r="AA1330" t="str">
            <v>15/08/2015</v>
          </cell>
          <cell r="AB1330" t="str">
            <v>No</v>
          </cell>
          <cell r="AC1330" t="str">
            <v>31/08/2013</v>
          </cell>
          <cell r="AD1330" t="str">
            <v>Good</v>
          </cell>
          <cell r="AE1330" t="str">
            <v>V1 - Existing / No Claim</v>
          </cell>
          <cell r="AF1330">
            <v>42545</v>
          </cell>
          <cell r="AG1330">
            <v>9.17</v>
          </cell>
          <cell r="AH1330" t="str">
            <v>PPM</v>
          </cell>
          <cell r="AI1330" t="str">
            <v>Strands</v>
          </cell>
          <cell r="AJ1330" t="str">
            <v>Strands PW</v>
          </cell>
        </row>
        <row r="1331">
          <cell r="A1331" t="str">
            <v>IKN401001</v>
          </cell>
          <cell r="B1331">
            <v>999</v>
          </cell>
          <cell r="C1331" t="str">
            <v>Institut Kanser Negara</v>
          </cell>
          <cell r="D1331" t="str">
            <v>KKM/IKN/H/13/192</v>
          </cell>
          <cell r="E1331" t="str">
            <v>10-208</v>
          </cell>
          <cell r="F1331" t="str">
            <v>Aspirators</v>
          </cell>
          <cell r="G1331" t="str">
            <v>OT</v>
          </cell>
          <cell r="H1331" t="str">
            <v>OPERATING THEATRE</v>
          </cell>
          <cell r="I1331" t="str">
            <v>05OT169</v>
          </cell>
          <cell r="J1331" t="str">
            <v>EQ. ROOM</v>
          </cell>
          <cell r="K1331" t="str">
            <v>BMED</v>
          </cell>
          <cell r="L1331" t="str">
            <v>Normal</v>
          </cell>
          <cell r="M1331" t="str">
            <v>Switzerland</v>
          </cell>
          <cell r="N1331" t="str">
            <v>Senator</v>
          </cell>
          <cell r="O1331" t="str">
            <v>Senator</v>
          </cell>
          <cell r="P1331" t="str">
            <v>1220760</v>
          </cell>
          <cell r="Q1331" t="str">
            <v>Not Applicable</v>
          </cell>
          <cell r="R1331" t="str">
            <v>Ardo Medical AG</v>
          </cell>
          <cell r="S1331" t="str">
            <v>Histopoint</v>
          </cell>
          <cell r="T1331" t="str">
            <v>Functioning</v>
          </cell>
          <cell r="U1331" t="str">
            <v>Asset</v>
          </cell>
          <cell r="V1331">
            <v>7580</v>
          </cell>
          <cell r="W1331" t="str">
            <v>KEW</v>
          </cell>
          <cell r="X1331" t="str">
            <v>01/09/2010</v>
          </cell>
          <cell r="Y1331" t="str">
            <v>KEW</v>
          </cell>
          <cell r="Z1331" t="str">
            <v>16/08/2013</v>
          </cell>
          <cell r="AA1331" t="str">
            <v>15/08/2015</v>
          </cell>
          <cell r="AB1331" t="str">
            <v>No</v>
          </cell>
          <cell r="AC1331" t="str">
            <v>31/08/2013</v>
          </cell>
          <cell r="AD1331" t="str">
            <v>Good</v>
          </cell>
          <cell r="AE1331" t="str">
            <v>V1 - Existing / No Claim</v>
          </cell>
          <cell r="AF1331">
            <v>42235</v>
          </cell>
          <cell r="AG1331">
            <v>9.17</v>
          </cell>
          <cell r="AH1331" t="str">
            <v>PPM</v>
          </cell>
          <cell r="AI1331" t="str">
            <v>Strands</v>
          </cell>
          <cell r="AJ1331" t="str">
            <v>Strands PW</v>
          </cell>
        </row>
        <row r="1332">
          <cell r="A1332" t="str">
            <v>IKN401003</v>
          </cell>
          <cell r="B1332">
            <v>1001</v>
          </cell>
          <cell r="C1332" t="str">
            <v>Institut Kanser Negara</v>
          </cell>
          <cell r="D1332" t="str">
            <v>KKM/IKN/H/13/3938</v>
          </cell>
          <cell r="E1332" t="str">
            <v>16-763</v>
          </cell>
          <cell r="F1332" t="str">
            <v>Monitors, Bedside, Intracranial Pressure</v>
          </cell>
          <cell r="G1332" t="str">
            <v>OT</v>
          </cell>
          <cell r="H1332" t="str">
            <v>OPERATING THEATRE</v>
          </cell>
          <cell r="I1332" t="str">
            <v>05OT169</v>
          </cell>
          <cell r="J1332" t="str">
            <v>EQ. ROOM</v>
          </cell>
          <cell r="K1332" t="str">
            <v>BMED</v>
          </cell>
          <cell r="L1332" t="str">
            <v>Normal</v>
          </cell>
          <cell r="M1332" t="str">
            <v>Germany</v>
          </cell>
          <cell r="N1332" t="str">
            <v>Spiegelberg</v>
          </cell>
          <cell r="O1332" t="str">
            <v>Spiegelberg</v>
          </cell>
          <cell r="P1332" t="str">
            <v>214/12</v>
          </cell>
          <cell r="Q1332" t="str">
            <v>Not Applicable</v>
          </cell>
          <cell r="R1332" t="str">
            <v>Aesculap AG</v>
          </cell>
          <cell r="S1332" t="str">
            <v>B Braun Medical Supplies Sdn. Bhd.</v>
          </cell>
          <cell r="T1332" t="str">
            <v>Functioning</v>
          </cell>
          <cell r="U1332" t="str">
            <v>Asset</v>
          </cell>
          <cell r="V1332">
            <v>62550</v>
          </cell>
          <cell r="W1332" t="str">
            <v>KEW</v>
          </cell>
          <cell r="X1332" t="str">
            <v>01/09/2010</v>
          </cell>
          <cell r="Y1332" t="str">
            <v>KEW</v>
          </cell>
          <cell r="Z1332" t="str">
            <v>16/08/2013</v>
          </cell>
          <cell r="AA1332" t="str">
            <v>15/08/2015</v>
          </cell>
          <cell r="AB1332" t="str">
            <v>No</v>
          </cell>
          <cell r="AC1332" t="str">
            <v>31/08/2013</v>
          </cell>
          <cell r="AD1332" t="str">
            <v>Good</v>
          </cell>
          <cell r="AE1332" t="str">
            <v>V1 - Existing / No Claim</v>
          </cell>
          <cell r="AF1332">
            <v>42235</v>
          </cell>
          <cell r="AG1332">
            <v>9.17</v>
          </cell>
          <cell r="AH1332" t="str">
            <v>PPM</v>
          </cell>
          <cell r="AI1332" t="str">
            <v>Strands</v>
          </cell>
          <cell r="AJ1332" t="str">
            <v>Strands PW SET C</v>
          </cell>
          <cell r="AK1332" t="str">
            <v>CUBA CHECK IKN401030 PUNYA KEWPA</v>
          </cell>
        </row>
        <row r="1333">
          <cell r="A1333" t="str">
            <v>IKN401004</v>
          </cell>
          <cell r="B1333">
            <v>1002</v>
          </cell>
          <cell r="C1333" t="str">
            <v>Institut Kanser Negara</v>
          </cell>
          <cell r="D1333" t="str">
            <v>KKM/IKN/H/13/3939</v>
          </cell>
          <cell r="E1333" t="str">
            <v>17-954</v>
          </cell>
          <cell r="F1333" t="str">
            <v>Hand Drills, Surgical</v>
          </cell>
          <cell r="G1333" t="str">
            <v>OT</v>
          </cell>
          <cell r="H1333" t="str">
            <v>OPERATING THEATRE</v>
          </cell>
          <cell r="I1333" t="str">
            <v>05OT169</v>
          </cell>
          <cell r="J1333" t="str">
            <v>EQ. ROOM</v>
          </cell>
          <cell r="K1333" t="str">
            <v>BMED</v>
          </cell>
          <cell r="L1333" t="str">
            <v>Normal</v>
          </cell>
          <cell r="M1333" t="str">
            <v>USA</v>
          </cell>
          <cell r="N1333" t="str">
            <v>Midas</v>
          </cell>
          <cell r="O1333" t="str">
            <v>Midas Rex</v>
          </cell>
          <cell r="P1333" t="str">
            <v>57218</v>
          </cell>
          <cell r="Q1333" t="str">
            <v>Not Applicable</v>
          </cell>
          <cell r="R1333" t="str">
            <v>Medtronic Inc</v>
          </cell>
          <cell r="S1333" t="str">
            <v>H&amp;A</v>
          </cell>
          <cell r="T1333" t="str">
            <v>Functioning</v>
          </cell>
          <cell r="U1333" t="str">
            <v>Asset</v>
          </cell>
          <cell r="V1333">
            <v>227540</v>
          </cell>
          <cell r="W1333" t="str">
            <v>KEW</v>
          </cell>
          <cell r="X1333" t="str">
            <v>01/09/2010</v>
          </cell>
          <cell r="Y1333" t="str">
            <v>KEW</v>
          </cell>
          <cell r="Z1333" t="str">
            <v>16/08/2013</v>
          </cell>
          <cell r="AA1333" t="str">
            <v>15/08/2015</v>
          </cell>
          <cell r="AB1333" t="str">
            <v>No</v>
          </cell>
          <cell r="AC1333" t="str">
            <v>31/08/2013</v>
          </cell>
          <cell r="AD1333" t="str">
            <v>Good</v>
          </cell>
          <cell r="AE1333" t="str">
            <v>V1 - Existing / No Claim</v>
          </cell>
          <cell r="AF1333">
            <v>42235</v>
          </cell>
          <cell r="AG1333">
            <v>9.17</v>
          </cell>
          <cell r="AH1333" t="str">
            <v>PPM</v>
          </cell>
          <cell r="AI1333" t="str">
            <v>Strands</v>
          </cell>
          <cell r="AJ1333" t="str">
            <v>Strands PW</v>
          </cell>
        </row>
        <row r="1334">
          <cell r="A1334" t="str">
            <v>IKN401005</v>
          </cell>
          <cell r="B1334">
            <v>1003</v>
          </cell>
          <cell r="C1334" t="str">
            <v>Institut Kanser Negara</v>
          </cell>
          <cell r="D1334" t="str">
            <v>KKM/IKN/H/13/174</v>
          </cell>
          <cell r="E1334" t="str">
            <v>12-863</v>
          </cell>
          <cell r="F1334" t="str">
            <v>Oxygen Monitors</v>
          </cell>
          <cell r="G1334" t="str">
            <v>OT</v>
          </cell>
          <cell r="H1334" t="str">
            <v>OPERATING THEATRE</v>
          </cell>
          <cell r="I1334" t="str">
            <v>05OT165</v>
          </cell>
          <cell r="J1334" t="str">
            <v>RHU</v>
          </cell>
          <cell r="K1334" t="str">
            <v>BMED</v>
          </cell>
          <cell r="L1334" t="str">
            <v>Critical</v>
          </cell>
          <cell r="M1334" t="str">
            <v>Germany</v>
          </cell>
          <cell r="N1334" t="str">
            <v>Mysign</v>
          </cell>
          <cell r="O1334" t="str">
            <v>Mysign O</v>
          </cell>
          <cell r="P1334" t="str">
            <v>100397</v>
          </cell>
          <cell r="Q1334" t="str">
            <v>Not Applicable</v>
          </cell>
          <cell r="R1334" t="str">
            <v>EnviteC-Wismar GmbH</v>
          </cell>
          <cell r="S1334" t="str">
            <v>Respimedic</v>
          </cell>
          <cell r="T1334" t="str">
            <v>Functioning</v>
          </cell>
          <cell r="U1334" t="str">
            <v>Asset</v>
          </cell>
          <cell r="V1334">
            <v>3079</v>
          </cell>
          <cell r="W1334" t="str">
            <v>KEW</v>
          </cell>
          <cell r="X1334" t="str">
            <v>01/09/2010</v>
          </cell>
          <cell r="Y1334" t="str">
            <v>KEW</v>
          </cell>
          <cell r="Z1334" t="str">
            <v>16/08/2013</v>
          </cell>
          <cell r="AA1334" t="str">
            <v>15/08/2015</v>
          </cell>
          <cell r="AB1334" t="str">
            <v>No</v>
          </cell>
          <cell r="AC1334" t="str">
            <v>31/08/2013</v>
          </cell>
          <cell r="AD1334" t="str">
            <v>Good</v>
          </cell>
          <cell r="AE1334" t="str">
            <v>V1 - Existing / No Claim</v>
          </cell>
          <cell r="AF1334">
            <v>42803</v>
          </cell>
          <cell r="AG1334">
            <v>9.17</v>
          </cell>
          <cell r="AH1334" t="str">
            <v>PPM</v>
          </cell>
          <cell r="AI1334" t="str">
            <v>Strands</v>
          </cell>
          <cell r="AJ1334" t="str">
            <v>Strands PW</v>
          </cell>
        </row>
        <row r="1335">
          <cell r="A1335" t="str">
            <v>IKN401011</v>
          </cell>
          <cell r="B1335">
            <v>1009</v>
          </cell>
          <cell r="C1335" t="str">
            <v>Institut Kanser Negara</v>
          </cell>
          <cell r="D1335" t="str">
            <v>KKM/IKN/H/13/3936</v>
          </cell>
          <cell r="E1335" t="str">
            <v>12-709</v>
          </cell>
          <cell r="F1335" t="str">
            <v>Nasopharyngoscopes</v>
          </cell>
          <cell r="G1335" t="str">
            <v>OT</v>
          </cell>
          <cell r="H1335" t="str">
            <v>OPERATING THEATRE</v>
          </cell>
          <cell r="I1335" t="str">
            <v>05OT167</v>
          </cell>
          <cell r="J1335" t="str">
            <v>SCOPE WASH</v>
          </cell>
          <cell r="K1335" t="str">
            <v>BMED</v>
          </cell>
          <cell r="L1335" t="str">
            <v>Normal</v>
          </cell>
          <cell r="M1335" t="str">
            <v>Japan</v>
          </cell>
          <cell r="N1335" t="str">
            <v>Olympus</v>
          </cell>
          <cell r="O1335" t="str">
            <v>Olympus ENF-T3</v>
          </cell>
          <cell r="P1335" t="str">
            <v>2224945/7211418</v>
          </cell>
          <cell r="Q1335" t="str">
            <v>Not Applicable</v>
          </cell>
          <cell r="R1335" t="str">
            <v>Olympus Optical Co Ltd</v>
          </cell>
          <cell r="S1335" t="str">
            <v>Endodynamics</v>
          </cell>
          <cell r="T1335" t="str">
            <v>Functioning</v>
          </cell>
          <cell r="U1335" t="str">
            <v>Asset</v>
          </cell>
          <cell r="V1335">
            <v>59362</v>
          </cell>
          <cell r="W1335" t="str">
            <v>KEW</v>
          </cell>
          <cell r="X1335" t="str">
            <v>01/09/2010</v>
          </cell>
          <cell r="Y1335" t="str">
            <v>KEW</v>
          </cell>
          <cell r="Z1335" t="str">
            <v>16/08/2013</v>
          </cell>
          <cell r="AA1335" t="str">
            <v>15/08/2015</v>
          </cell>
          <cell r="AB1335" t="str">
            <v>No</v>
          </cell>
          <cell r="AC1335" t="str">
            <v>31/08/2013</v>
          </cell>
          <cell r="AD1335" t="str">
            <v>Good</v>
          </cell>
          <cell r="AE1335" t="str">
            <v>V1 - Existing / No Claim</v>
          </cell>
          <cell r="AF1335">
            <v>42235</v>
          </cell>
          <cell r="AG1335">
            <v>9.17</v>
          </cell>
          <cell r="AH1335" t="str">
            <v>PPM</v>
          </cell>
          <cell r="AI1335" t="str">
            <v>Strands</v>
          </cell>
          <cell r="AJ1335" t="str">
            <v>Strands PW</v>
          </cell>
        </row>
        <row r="1336">
          <cell r="A1336" t="str">
            <v>IKN401013</v>
          </cell>
          <cell r="B1336">
            <v>1011</v>
          </cell>
          <cell r="C1336" t="str">
            <v>Institut Kanser Negara</v>
          </cell>
          <cell r="D1336" t="str">
            <v>KKM/IKN/H/13/3934-03</v>
          </cell>
          <cell r="E1336" t="str">
            <v>15-967</v>
          </cell>
          <cell r="F1336" t="str">
            <v>Television Systems, Endoscope</v>
          </cell>
          <cell r="G1336" t="str">
            <v>OT</v>
          </cell>
          <cell r="H1336" t="str">
            <v>OPERATING THEATRE</v>
          </cell>
          <cell r="I1336" t="str">
            <v>05OT167</v>
          </cell>
          <cell r="J1336" t="str">
            <v>SCOPE WASH</v>
          </cell>
          <cell r="K1336" t="str">
            <v>BMED</v>
          </cell>
          <cell r="L1336" t="str">
            <v>Normal</v>
          </cell>
          <cell r="M1336" t="str">
            <v>GERMANY</v>
          </cell>
          <cell r="N1336" t="str">
            <v>Karl Storz Gmbh &amp; Co</v>
          </cell>
          <cell r="O1336" t="str">
            <v>9626.NB/KS-26</v>
          </cell>
          <cell r="P1336" t="str">
            <v>51210038XX008</v>
          </cell>
          <cell r="Q1336" t="str">
            <v>Not Applicable</v>
          </cell>
          <cell r="R1336" t="str">
            <v>Karl Storz Gmbh &amp; Co</v>
          </cell>
          <cell r="S1336" t="str">
            <v>UMMI Surgical Sdn Bhd</v>
          </cell>
          <cell r="T1336" t="str">
            <v>Functioning</v>
          </cell>
          <cell r="U1336" t="str">
            <v>Asset</v>
          </cell>
          <cell r="V1336">
            <v>10000</v>
          </cell>
          <cell r="W1336" t="str">
            <v>Estimate</v>
          </cell>
          <cell r="X1336" t="str">
            <v>01/09/2010</v>
          </cell>
          <cell r="Y1336" t="str">
            <v>KEW</v>
          </cell>
          <cell r="Z1336" t="str">
            <v>16/08/2013</v>
          </cell>
          <cell r="AA1336" t="str">
            <v>15/08/2015</v>
          </cell>
          <cell r="AB1336" t="str">
            <v>No</v>
          </cell>
          <cell r="AC1336" t="str">
            <v>31/08/2013</v>
          </cell>
          <cell r="AD1336" t="str">
            <v>Good</v>
          </cell>
          <cell r="AE1336" t="str">
            <v>V1 - Existing / No Claim</v>
          </cell>
          <cell r="AF1336">
            <v>42803</v>
          </cell>
          <cell r="AG1336">
            <v>9.17</v>
          </cell>
          <cell r="AH1336" t="str">
            <v>RI</v>
          </cell>
          <cell r="AI1336" t="str">
            <v>Strands</v>
          </cell>
          <cell r="AJ1336" t="str">
            <v>Strands Package</v>
          </cell>
          <cell r="AK1336" t="str">
            <v>Package Code EP0127</v>
          </cell>
        </row>
        <row r="1337">
          <cell r="A1337" t="str">
            <v>IKN401014</v>
          </cell>
          <cell r="B1337">
            <v>1012</v>
          </cell>
          <cell r="C1337" t="str">
            <v>Institut Kanser Negara</v>
          </cell>
          <cell r="D1337" t="str">
            <v>KKM/IKN/H/13/3934-04</v>
          </cell>
          <cell r="E1337" t="str">
            <v>12-345</v>
          </cell>
          <cell r="F1337" t="str">
            <v>Light Sources, Fiberoptic</v>
          </cell>
          <cell r="G1337" t="str">
            <v>OT</v>
          </cell>
          <cell r="H1337" t="str">
            <v>OPERATING THEATRE</v>
          </cell>
          <cell r="I1337" t="str">
            <v>05OT167</v>
          </cell>
          <cell r="J1337" t="str">
            <v>SCOPE WASH</v>
          </cell>
          <cell r="K1337" t="str">
            <v>BMED</v>
          </cell>
          <cell r="L1337" t="str">
            <v>Normal</v>
          </cell>
          <cell r="M1337" t="str">
            <v>Germany</v>
          </cell>
          <cell r="N1337" t="str">
            <v>Xenon Nova</v>
          </cell>
          <cell r="O1337" t="str">
            <v>Xenon Nova 300, 201340 20</v>
          </cell>
          <cell r="P1337" t="str">
            <v>VX0682962</v>
          </cell>
          <cell r="Q1337" t="str">
            <v>Not Applicable</v>
          </cell>
          <cell r="R1337" t="str">
            <v>Karl Storz GmbH</v>
          </cell>
          <cell r="S1337" t="str">
            <v>UMMI Surgical Sdn Bhd</v>
          </cell>
          <cell r="T1337" t="str">
            <v>Functioning</v>
          </cell>
          <cell r="U1337" t="str">
            <v>Asset</v>
          </cell>
          <cell r="V1337">
            <v>50000</v>
          </cell>
          <cell r="W1337" t="str">
            <v>Estimate</v>
          </cell>
          <cell r="X1337" t="str">
            <v>01/09/2010</v>
          </cell>
          <cell r="Y1337" t="str">
            <v>KEW</v>
          </cell>
          <cell r="Z1337" t="str">
            <v>16/08/2013</v>
          </cell>
          <cell r="AA1337" t="str">
            <v>15/08/2015</v>
          </cell>
          <cell r="AB1337" t="str">
            <v>No</v>
          </cell>
          <cell r="AC1337" t="str">
            <v>31/08/2013</v>
          </cell>
          <cell r="AD1337" t="str">
            <v>Good</v>
          </cell>
          <cell r="AE1337" t="str">
            <v>V1 - Existing / No Claim</v>
          </cell>
          <cell r="AF1337">
            <v>42605</v>
          </cell>
          <cell r="AG1337">
            <v>9.17</v>
          </cell>
          <cell r="AH1337" t="str">
            <v>PPM</v>
          </cell>
          <cell r="AI1337" t="str">
            <v>Strands</v>
          </cell>
          <cell r="AJ1337" t="str">
            <v>Strands Package</v>
          </cell>
          <cell r="AK1337" t="str">
            <v>Package Code EP0127</v>
          </cell>
        </row>
        <row r="1338">
          <cell r="A1338" t="str">
            <v>IKN401016</v>
          </cell>
          <cell r="B1338">
            <v>1014</v>
          </cell>
          <cell r="C1338" t="str">
            <v>Institut Kanser Negara</v>
          </cell>
          <cell r="D1338" t="str">
            <v>KKM/IKN/H/13/3934-05</v>
          </cell>
          <cell r="E1338" t="str">
            <v>13-274</v>
          </cell>
          <cell r="F1338" t="str">
            <v>Recorders, Tape, Video</v>
          </cell>
          <cell r="G1338" t="str">
            <v>OT</v>
          </cell>
          <cell r="H1338" t="str">
            <v>OPERATING THEATRE</v>
          </cell>
          <cell r="I1338" t="str">
            <v>05OT167</v>
          </cell>
          <cell r="J1338" t="str">
            <v>SCOPE WASH</v>
          </cell>
          <cell r="K1338" t="str">
            <v>BMED</v>
          </cell>
          <cell r="L1338" t="str">
            <v>Normal</v>
          </cell>
          <cell r="M1338" t="str">
            <v>Germany</v>
          </cell>
          <cell r="N1338" t="str">
            <v>Aoda</v>
          </cell>
          <cell r="O1338" t="str">
            <v>Aoda Control Neo</v>
          </cell>
          <cell r="P1338" t="str">
            <v>KSB12558</v>
          </cell>
          <cell r="Q1338" t="str">
            <v>Not Applicable</v>
          </cell>
          <cell r="R1338" t="str">
            <v>Karl Storz GmbH &amp; Co KG</v>
          </cell>
          <cell r="S1338" t="str">
            <v>UMMI Surgical Sdn Bhd</v>
          </cell>
          <cell r="T1338" t="str">
            <v>Functioning</v>
          </cell>
          <cell r="U1338" t="str">
            <v>Asset</v>
          </cell>
          <cell r="V1338">
            <v>20000</v>
          </cell>
          <cell r="W1338" t="str">
            <v>Estimate</v>
          </cell>
          <cell r="X1338" t="str">
            <v>01/09/2010</v>
          </cell>
          <cell r="Y1338" t="str">
            <v>KEW</v>
          </cell>
          <cell r="Z1338" t="str">
            <v>16/08/2013</v>
          </cell>
          <cell r="AA1338" t="str">
            <v>15/08/2015</v>
          </cell>
          <cell r="AB1338" t="str">
            <v>No</v>
          </cell>
          <cell r="AC1338" t="str">
            <v>31/08/2013</v>
          </cell>
          <cell r="AD1338" t="str">
            <v>Good</v>
          </cell>
          <cell r="AE1338" t="str">
            <v>V1 - Existing / No Claim</v>
          </cell>
          <cell r="AF1338">
            <v>42605</v>
          </cell>
          <cell r="AG1338">
            <v>9.17</v>
          </cell>
          <cell r="AH1338" t="str">
            <v>RI</v>
          </cell>
          <cell r="AI1338" t="str">
            <v>Strands</v>
          </cell>
          <cell r="AJ1338" t="str">
            <v>Strands Package</v>
          </cell>
          <cell r="AK1338" t="str">
            <v>Package Code EP0127</v>
          </cell>
        </row>
        <row r="1339">
          <cell r="A1339" t="str">
            <v>IKN401017</v>
          </cell>
          <cell r="B1339">
            <v>1015</v>
          </cell>
          <cell r="C1339" t="str">
            <v>Institut Kanser Negara</v>
          </cell>
          <cell r="D1339" t="str">
            <v>KKM/IKN/H/13/203</v>
          </cell>
          <cell r="E1339" t="str">
            <v>10-134</v>
          </cell>
          <cell r="F1339" t="str">
            <v>Anesthesia Units</v>
          </cell>
          <cell r="G1339" t="str">
            <v>OT</v>
          </cell>
          <cell r="H1339" t="str">
            <v>OPERATING THEATRE</v>
          </cell>
          <cell r="I1339" t="str">
            <v>05OT120</v>
          </cell>
          <cell r="J1339" t="str">
            <v>OT 2</v>
          </cell>
          <cell r="K1339" t="str">
            <v>BMED</v>
          </cell>
          <cell r="L1339" t="str">
            <v>Critical</v>
          </cell>
          <cell r="M1339" t="str">
            <v>Germany</v>
          </cell>
          <cell r="N1339" t="str">
            <v>Primus</v>
          </cell>
          <cell r="O1339" t="str">
            <v>Primus</v>
          </cell>
          <cell r="P1339" t="str">
            <v>ASDJ-0236</v>
          </cell>
          <cell r="Q1339" t="str">
            <v>Not Applicable</v>
          </cell>
          <cell r="R1339" t="str">
            <v>Drager medical GmbH</v>
          </cell>
          <cell r="S1339" t="str">
            <v>Beau Consortium Sdn Bhd</v>
          </cell>
          <cell r="T1339" t="str">
            <v>Functioning</v>
          </cell>
          <cell r="U1339" t="str">
            <v>Asset</v>
          </cell>
          <cell r="V1339">
            <v>144345</v>
          </cell>
          <cell r="W1339" t="str">
            <v>KEW</v>
          </cell>
          <cell r="X1339" t="str">
            <v>01/09/2010</v>
          </cell>
          <cell r="Y1339" t="str">
            <v>KEW</v>
          </cell>
          <cell r="Z1339" t="str">
            <v>16/08/2013</v>
          </cell>
          <cell r="AA1339" t="str">
            <v>15/08/2015</v>
          </cell>
          <cell r="AB1339" t="str">
            <v>No</v>
          </cell>
          <cell r="AC1339" t="str">
            <v>31/08/2013</v>
          </cell>
          <cell r="AD1339" t="str">
            <v>Good</v>
          </cell>
          <cell r="AE1339" t="str">
            <v>V1 - Existing / No Claim</v>
          </cell>
          <cell r="AF1339">
            <v>42802</v>
          </cell>
          <cell r="AG1339">
            <v>9.17</v>
          </cell>
          <cell r="AH1339" t="str">
            <v>PPM</v>
          </cell>
          <cell r="AI1339" t="str">
            <v>Strands</v>
          </cell>
          <cell r="AJ1339" t="str">
            <v>Strands PW</v>
          </cell>
        </row>
        <row r="1340">
          <cell r="A1340" t="str">
            <v>IKN401018</v>
          </cell>
          <cell r="B1340">
            <v>1016</v>
          </cell>
          <cell r="C1340" t="str">
            <v>Institut Kanser Negara</v>
          </cell>
          <cell r="D1340" t="str">
            <v>KKM/IKN/H/13/160</v>
          </cell>
          <cell r="E1340" t="str">
            <v>12-647</v>
          </cell>
          <cell r="F1340" t="str">
            <v>Physiologic Monitoring Systems, Acute Care</v>
          </cell>
          <cell r="G1340" t="str">
            <v>OT</v>
          </cell>
          <cell r="H1340" t="str">
            <v>OPERATING THEATRE</v>
          </cell>
          <cell r="I1340" t="str">
            <v>05OT120</v>
          </cell>
          <cell r="J1340" t="str">
            <v>OT 2</v>
          </cell>
          <cell r="K1340" t="str">
            <v>BMED</v>
          </cell>
          <cell r="L1340" t="str">
            <v>Normal</v>
          </cell>
          <cell r="M1340" t="str">
            <v>Finland</v>
          </cell>
          <cell r="N1340" t="str">
            <v>Carespace</v>
          </cell>
          <cell r="O1340" t="str">
            <v>Carespace B850</v>
          </cell>
          <cell r="P1340" t="str">
            <v>SED12162940GA</v>
          </cell>
          <cell r="Q1340" t="str">
            <v>Not Applicable</v>
          </cell>
          <cell r="R1340" t="str">
            <v>GE Healthcare Systems</v>
          </cell>
          <cell r="S1340" t="str">
            <v>GE Healthcare Technologies</v>
          </cell>
          <cell r="T1340" t="str">
            <v>Functioning</v>
          </cell>
          <cell r="U1340" t="str">
            <v>Asset</v>
          </cell>
          <cell r="V1340">
            <v>119690</v>
          </cell>
          <cell r="W1340" t="str">
            <v>KEW</v>
          </cell>
          <cell r="X1340" t="str">
            <v>01/09/2010</v>
          </cell>
          <cell r="Y1340" t="str">
            <v>KEW</v>
          </cell>
          <cell r="Z1340" t="str">
            <v>16/08/2013</v>
          </cell>
          <cell r="AA1340" t="str">
            <v>15/08/2015</v>
          </cell>
          <cell r="AB1340" t="str">
            <v>No</v>
          </cell>
          <cell r="AC1340" t="str">
            <v>31/08/2013</v>
          </cell>
          <cell r="AD1340" t="str">
            <v>Good</v>
          </cell>
          <cell r="AE1340" t="str">
            <v>V3 - Added Installed Facilities (New)</v>
          </cell>
          <cell r="AF1340">
            <v>42235</v>
          </cell>
          <cell r="AG1340">
            <v>9.17</v>
          </cell>
          <cell r="AH1340" t="str">
            <v>PPM</v>
          </cell>
          <cell r="AI1340" t="str">
            <v>Strands</v>
          </cell>
          <cell r="AJ1340" t="str">
            <v>Strands PW</v>
          </cell>
          <cell r="AK1340" t="str">
            <v>SNF received. 1st batch of V3 asset (December 2020)</v>
          </cell>
        </row>
        <row r="1341">
          <cell r="A1341" t="str">
            <v>IKN401019</v>
          </cell>
          <cell r="B1341">
            <v>1017</v>
          </cell>
          <cell r="C1341" t="str">
            <v>Institut Kanser Negara</v>
          </cell>
          <cell r="D1341" t="str">
            <v>KKM/IKN/H/13/3597</v>
          </cell>
          <cell r="E1341" t="str">
            <v>10-414</v>
          </cell>
          <cell r="F1341" t="str">
            <v>Warming Units, Blanket</v>
          </cell>
          <cell r="G1341" t="str">
            <v>OT</v>
          </cell>
          <cell r="H1341" t="str">
            <v>OPERATING THEATRE</v>
          </cell>
          <cell r="I1341" t="str">
            <v>05OT120</v>
          </cell>
          <cell r="J1341" t="str">
            <v>OT 2</v>
          </cell>
          <cell r="K1341" t="str">
            <v>BMED</v>
          </cell>
          <cell r="L1341" t="str">
            <v>Normal</v>
          </cell>
          <cell r="M1341" t="str">
            <v>Sweden</v>
          </cell>
          <cell r="N1341" t="str">
            <v>Operatherm</v>
          </cell>
          <cell r="O1341" t="str">
            <v>Operatherm 303</v>
          </cell>
          <cell r="P1341" t="str">
            <v>00791-12</v>
          </cell>
          <cell r="Q1341" t="str">
            <v>Not Applicable</v>
          </cell>
          <cell r="R1341" t="str">
            <v>Kanmed</v>
          </cell>
          <cell r="S1341" t="str">
            <v>Perniagaan Med Tech</v>
          </cell>
          <cell r="T1341" t="str">
            <v>Functioning</v>
          </cell>
          <cell r="U1341" t="str">
            <v>Asset</v>
          </cell>
          <cell r="V1341">
            <v>15515</v>
          </cell>
          <cell r="W1341" t="str">
            <v>KEW</v>
          </cell>
          <cell r="X1341" t="str">
            <v>01/09/2010</v>
          </cell>
          <cell r="Y1341" t="str">
            <v>KEW</v>
          </cell>
          <cell r="Z1341" t="str">
            <v>16/08/2013</v>
          </cell>
          <cell r="AA1341" t="str">
            <v>15/08/2015</v>
          </cell>
          <cell r="AB1341" t="str">
            <v>No</v>
          </cell>
          <cell r="AC1341" t="str">
            <v>31/08/2013</v>
          </cell>
          <cell r="AD1341" t="str">
            <v>Good</v>
          </cell>
          <cell r="AE1341" t="str">
            <v>V1 - Existing / No Claim</v>
          </cell>
          <cell r="AF1341">
            <v>42802</v>
          </cell>
          <cell r="AG1341">
            <v>9.17</v>
          </cell>
          <cell r="AH1341" t="str">
            <v>PPM</v>
          </cell>
          <cell r="AI1341" t="str">
            <v>Strands</v>
          </cell>
          <cell r="AJ1341" t="str">
            <v>Strands PW</v>
          </cell>
        </row>
        <row r="1342">
          <cell r="A1342" t="str">
            <v>IKN401020</v>
          </cell>
          <cell r="B1342">
            <v>1018</v>
          </cell>
          <cell r="C1342" t="str">
            <v>Institut Kanser Negara</v>
          </cell>
          <cell r="D1342" t="str">
            <v>KKM/IKN/H/13/736</v>
          </cell>
          <cell r="E1342" t="str">
            <v>18-231</v>
          </cell>
          <cell r="F1342" t="str">
            <v>Electrosurgical Units, Monopolar/Bipolar</v>
          </cell>
          <cell r="G1342" t="str">
            <v>OT</v>
          </cell>
          <cell r="H1342" t="str">
            <v>OPERATING THEATRE</v>
          </cell>
          <cell r="I1342" t="str">
            <v>05OT120</v>
          </cell>
          <cell r="J1342" t="str">
            <v>OT 2</v>
          </cell>
          <cell r="K1342" t="str">
            <v>BMED</v>
          </cell>
          <cell r="L1342" t="str">
            <v>Normal</v>
          </cell>
          <cell r="M1342" t="str">
            <v>USA</v>
          </cell>
          <cell r="N1342" t="str">
            <v>Force</v>
          </cell>
          <cell r="O1342" t="str">
            <v>Force FX-8C</v>
          </cell>
          <cell r="P1342" t="str">
            <v>F2H71438AX</v>
          </cell>
          <cell r="Q1342" t="str">
            <v>Not Applicable</v>
          </cell>
          <cell r="R1342" t="str">
            <v>Valleylab</v>
          </cell>
          <cell r="S1342" t="str">
            <v>United States of America</v>
          </cell>
          <cell r="T1342" t="str">
            <v>Functioning</v>
          </cell>
          <cell r="U1342" t="str">
            <v>Asset</v>
          </cell>
          <cell r="V1342">
            <v>132310</v>
          </cell>
          <cell r="W1342" t="str">
            <v>KEW</v>
          </cell>
          <cell r="X1342" t="str">
            <v>01/09/2010</v>
          </cell>
          <cell r="Y1342" t="str">
            <v>KEW</v>
          </cell>
          <cell r="Z1342" t="str">
            <v>16/08/2013</v>
          </cell>
          <cell r="AA1342" t="str">
            <v>15/08/2015</v>
          </cell>
          <cell r="AB1342" t="str">
            <v>No</v>
          </cell>
          <cell r="AC1342" t="str">
            <v>31/08/2013</v>
          </cell>
          <cell r="AD1342" t="str">
            <v>Good</v>
          </cell>
          <cell r="AE1342" t="str">
            <v>V1 - Existing / No Claim</v>
          </cell>
          <cell r="AF1342">
            <v>42235</v>
          </cell>
          <cell r="AG1342">
            <v>9.17</v>
          </cell>
          <cell r="AH1342" t="str">
            <v>PPM</v>
          </cell>
          <cell r="AI1342" t="str">
            <v>Strands</v>
          </cell>
          <cell r="AJ1342" t="str">
            <v>Strands PW SET D</v>
          </cell>
          <cell r="AK1342" t="str">
            <v>CUBA CHECK IKN401021 PUNYA KEWPA</v>
          </cell>
        </row>
        <row r="1343">
          <cell r="A1343" t="str">
            <v>IKN401021</v>
          </cell>
          <cell r="B1343">
            <v>1019</v>
          </cell>
          <cell r="C1343" t="str">
            <v>Institut Kanser Negara</v>
          </cell>
          <cell r="D1343" t="str">
            <v>KKM/IKN/H/13/736</v>
          </cell>
          <cell r="E1343" t="str">
            <v>18-232</v>
          </cell>
          <cell r="F1343" t="str">
            <v>Electrosurgical Units, Monopolar/Bipolar, Argon-Enhanced Coagulation</v>
          </cell>
          <cell r="G1343" t="str">
            <v>OT</v>
          </cell>
          <cell r="H1343" t="str">
            <v>OPERATING THEATRE</v>
          </cell>
          <cell r="I1343" t="str">
            <v>05OT120</v>
          </cell>
          <cell r="J1343" t="str">
            <v>OT 2</v>
          </cell>
          <cell r="K1343" t="str">
            <v>BMED</v>
          </cell>
          <cell r="L1343" t="str">
            <v>Critical</v>
          </cell>
          <cell r="M1343" t="str">
            <v>USA</v>
          </cell>
          <cell r="N1343" t="str">
            <v>Force</v>
          </cell>
          <cell r="O1343" t="str">
            <v>Force Argon II</v>
          </cell>
          <cell r="P1343" t="str">
            <v>G212724UX</v>
          </cell>
          <cell r="Q1343" t="str">
            <v>Not Applicable</v>
          </cell>
          <cell r="R1343" t="str">
            <v>Valleylab</v>
          </cell>
          <cell r="S1343" t="str">
            <v>United States of America</v>
          </cell>
          <cell r="T1343" t="str">
            <v>Functioning</v>
          </cell>
          <cell r="U1343" t="str">
            <v>Asset</v>
          </cell>
          <cell r="V1343">
            <v>132310</v>
          </cell>
          <cell r="W1343" t="str">
            <v>Estimate</v>
          </cell>
          <cell r="X1343" t="str">
            <v>01/09/2010</v>
          </cell>
          <cell r="Y1343" t="str">
            <v>KEW</v>
          </cell>
          <cell r="Z1343" t="str">
            <v>16/08/2013</v>
          </cell>
          <cell r="AA1343" t="str">
            <v>15/08/2015</v>
          </cell>
          <cell r="AB1343" t="str">
            <v>No</v>
          </cell>
          <cell r="AC1343" t="str">
            <v>31/08/2013</v>
          </cell>
          <cell r="AD1343" t="str">
            <v>Good</v>
          </cell>
          <cell r="AE1343" t="str">
            <v>V1 - Existing / No Claim</v>
          </cell>
          <cell r="AF1343">
            <v>42802</v>
          </cell>
          <cell r="AG1343">
            <v>9.17</v>
          </cell>
          <cell r="AH1343" t="str">
            <v>PPM</v>
          </cell>
          <cell r="AI1343" t="str">
            <v>Strands</v>
          </cell>
          <cell r="AJ1343" t="str">
            <v>Strands PW SET D</v>
          </cell>
          <cell r="AK1343" t="str">
            <v>CUBA CHECK IKN401020 PUNYA KEWPA</v>
          </cell>
        </row>
        <row r="1344">
          <cell r="A1344" t="str">
            <v>IKN401022</v>
          </cell>
          <cell r="B1344">
            <v>1020</v>
          </cell>
          <cell r="C1344" t="str">
            <v>Institut Kanser Negara</v>
          </cell>
          <cell r="D1344" t="str">
            <v>KKM/IKN/H/13/4487</v>
          </cell>
          <cell r="E1344" t="str">
            <v>16-924</v>
          </cell>
          <cell r="F1344" t="str">
            <v>Infusion Pumps, Patient-Controlled Analgesic</v>
          </cell>
          <cell r="G1344" t="str">
            <v>OT</v>
          </cell>
          <cell r="H1344" t="str">
            <v>OPERATING THEATRE</v>
          </cell>
          <cell r="I1344" t="str">
            <v>05OT120</v>
          </cell>
          <cell r="J1344" t="str">
            <v>OT 2</v>
          </cell>
          <cell r="K1344" t="str">
            <v>BMED</v>
          </cell>
          <cell r="L1344" t="str">
            <v>Normal</v>
          </cell>
          <cell r="M1344" t="str">
            <v>Germany</v>
          </cell>
          <cell r="N1344" t="str">
            <v>Perfusor</v>
          </cell>
          <cell r="O1344" t="str">
            <v>Perfusor Space PCA</v>
          </cell>
          <cell r="P1344" t="str">
            <v>186640</v>
          </cell>
          <cell r="Q1344" t="str">
            <v>Not Applicable</v>
          </cell>
          <cell r="R1344" t="str">
            <v>B Braun Melsungen AG</v>
          </cell>
          <cell r="S1344" t="str">
            <v>B Braun Medical Supplies Sdn. Bhd.</v>
          </cell>
          <cell r="T1344" t="str">
            <v>Functioning</v>
          </cell>
          <cell r="U1344" t="str">
            <v>Asset</v>
          </cell>
          <cell r="V1344">
            <v>9622</v>
          </cell>
          <cell r="W1344" t="str">
            <v>KEW</v>
          </cell>
          <cell r="X1344" t="str">
            <v>01/09/2010</v>
          </cell>
          <cell r="Y1344" t="str">
            <v>KEW</v>
          </cell>
          <cell r="Z1344" t="str">
            <v>16/08/2013</v>
          </cell>
          <cell r="AA1344" t="str">
            <v>15/08/2015</v>
          </cell>
          <cell r="AB1344" t="str">
            <v>No</v>
          </cell>
          <cell r="AC1344" t="str">
            <v>31/08/2013</v>
          </cell>
          <cell r="AD1344" t="str">
            <v>Good</v>
          </cell>
          <cell r="AE1344" t="str">
            <v>V1 - Existing / No Claim</v>
          </cell>
          <cell r="AF1344">
            <v>42235</v>
          </cell>
          <cell r="AG1344">
            <v>9.17</v>
          </cell>
          <cell r="AH1344" t="str">
            <v>PPM</v>
          </cell>
          <cell r="AI1344" t="str">
            <v>Strands</v>
          </cell>
          <cell r="AJ1344" t="str">
            <v>Strands PW</v>
          </cell>
        </row>
        <row r="1345">
          <cell r="A1345" t="str">
            <v>IKN401023</v>
          </cell>
          <cell r="B1345">
            <v>1021</v>
          </cell>
          <cell r="C1345" t="str">
            <v>Institut Kanser Negara</v>
          </cell>
          <cell r="D1345" t="str">
            <v>KKM/IKN/H/13/4393</v>
          </cell>
          <cell r="E1345" t="str">
            <v>13-217</v>
          </cell>
          <cell r="F1345" t="str">
            <v>Infusion Pumps, Syringe</v>
          </cell>
          <cell r="G1345" t="str">
            <v>OT</v>
          </cell>
          <cell r="H1345" t="str">
            <v>OPERATING THEATRE</v>
          </cell>
          <cell r="I1345" t="str">
            <v>05OT120</v>
          </cell>
          <cell r="J1345" t="str">
            <v>OT 2</v>
          </cell>
          <cell r="K1345" t="str">
            <v>BMED</v>
          </cell>
          <cell r="L1345" t="str">
            <v>Critical</v>
          </cell>
          <cell r="M1345" t="str">
            <v>Germany</v>
          </cell>
          <cell r="N1345" t="str">
            <v>Perfusor</v>
          </cell>
          <cell r="O1345" t="str">
            <v>Perfusor Space</v>
          </cell>
          <cell r="P1345" t="str">
            <v>143192</v>
          </cell>
          <cell r="Q1345" t="str">
            <v>Not Applicable</v>
          </cell>
          <cell r="R1345" t="str">
            <v>B Braun Melsungen AG</v>
          </cell>
          <cell r="S1345" t="str">
            <v>B Braun Medical Supplies Sdn. Bhd.</v>
          </cell>
          <cell r="T1345" t="str">
            <v>Functioning</v>
          </cell>
          <cell r="U1345" t="str">
            <v>Asset</v>
          </cell>
          <cell r="V1345">
            <v>10225</v>
          </cell>
          <cell r="W1345" t="str">
            <v>KEW</v>
          </cell>
          <cell r="X1345" t="str">
            <v>01/09/2010</v>
          </cell>
          <cell r="Y1345" t="str">
            <v>KEW</v>
          </cell>
          <cell r="Z1345" t="str">
            <v>16/08/2013</v>
          </cell>
          <cell r="AA1345" t="str">
            <v>15/08/2015</v>
          </cell>
          <cell r="AB1345" t="str">
            <v>No</v>
          </cell>
          <cell r="AC1345" t="str">
            <v>31/08/2013</v>
          </cell>
          <cell r="AD1345" t="str">
            <v>Good</v>
          </cell>
          <cell r="AE1345" t="str">
            <v>V1 - Existing / No Claim</v>
          </cell>
          <cell r="AF1345">
            <v>42802</v>
          </cell>
          <cell r="AG1345">
            <v>9.17</v>
          </cell>
          <cell r="AH1345" t="str">
            <v>PPM</v>
          </cell>
          <cell r="AI1345" t="str">
            <v>Strands</v>
          </cell>
          <cell r="AJ1345" t="str">
            <v>Strands PW</v>
          </cell>
        </row>
        <row r="1346">
          <cell r="A1346" t="str">
            <v>IKN401024</v>
          </cell>
          <cell r="B1346">
            <v>1022</v>
          </cell>
          <cell r="C1346" t="str">
            <v>Institut Kanser Negara</v>
          </cell>
          <cell r="D1346" t="str">
            <v>KKM/IKN/H/13/4394</v>
          </cell>
          <cell r="E1346" t="str">
            <v>13-217</v>
          </cell>
          <cell r="F1346" t="str">
            <v>Infusion Pumps, Syringe</v>
          </cell>
          <cell r="G1346" t="str">
            <v>OT</v>
          </cell>
          <cell r="H1346" t="str">
            <v>OPERATING THEATRE</v>
          </cell>
          <cell r="I1346" t="str">
            <v>05OT120</v>
          </cell>
          <cell r="J1346" t="str">
            <v>OT 2</v>
          </cell>
          <cell r="K1346" t="str">
            <v>BMED</v>
          </cell>
          <cell r="L1346" t="str">
            <v>Critical</v>
          </cell>
          <cell r="M1346" t="str">
            <v>Germany</v>
          </cell>
          <cell r="N1346" t="str">
            <v>Perfusor</v>
          </cell>
          <cell r="O1346" t="str">
            <v>Perfusor Space</v>
          </cell>
          <cell r="P1346" t="str">
            <v>143333</v>
          </cell>
          <cell r="Q1346" t="str">
            <v>Not Applicable</v>
          </cell>
          <cell r="R1346" t="str">
            <v>B Braun Melsungen AG</v>
          </cell>
          <cell r="S1346" t="str">
            <v>B Braun Medical Supplies Sdn. Bhd.</v>
          </cell>
          <cell r="T1346" t="str">
            <v>Functioning</v>
          </cell>
          <cell r="U1346" t="str">
            <v>Asset</v>
          </cell>
          <cell r="V1346">
            <v>10225</v>
          </cell>
          <cell r="W1346" t="str">
            <v>KEW</v>
          </cell>
          <cell r="X1346" t="str">
            <v>01/09/2010</v>
          </cell>
          <cell r="Y1346" t="str">
            <v>KEW</v>
          </cell>
          <cell r="Z1346" t="str">
            <v>16/08/2013</v>
          </cell>
          <cell r="AA1346" t="str">
            <v>15/08/2015</v>
          </cell>
          <cell r="AB1346" t="str">
            <v>No</v>
          </cell>
          <cell r="AC1346" t="str">
            <v>31/08/2013</v>
          </cell>
          <cell r="AD1346" t="str">
            <v>Good</v>
          </cell>
          <cell r="AE1346" t="str">
            <v>V1 - Existing / No Claim</v>
          </cell>
          <cell r="AF1346">
            <v>42802</v>
          </cell>
          <cell r="AG1346">
            <v>9.17</v>
          </cell>
          <cell r="AH1346" t="str">
            <v>PPM</v>
          </cell>
          <cell r="AI1346" t="str">
            <v>Strands</v>
          </cell>
          <cell r="AJ1346" t="str">
            <v>Strands PW</v>
          </cell>
        </row>
        <row r="1347">
          <cell r="A1347" t="str">
            <v>IKN401025</v>
          </cell>
          <cell r="B1347">
            <v>1023</v>
          </cell>
          <cell r="C1347" t="str">
            <v>Institut Kanser Negara</v>
          </cell>
          <cell r="D1347" t="str">
            <v>KKM/IKN/H/13/4482</v>
          </cell>
          <cell r="E1347" t="str">
            <v>13-215</v>
          </cell>
          <cell r="F1347" t="str">
            <v>Infusion Pumps, General-Purpose</v>
          </cell>
          <cell r="G1347" t="str">
            <v>OT</v>
          </cell>
          <cell r="H1347" t="str">
            <v>OPERATING THEATRE</v>
          </cell>
          <cell r="I1347" t="str">
            <v>05OT120</v>
          </cell>
          <cell r="J1347" t="str">
            <v>OT 2</v>
          </cell>
          <cell r="K1347" t="str">
            <v>BMED</v>
          </cell>
          <cell r="L1347" t="str">
            <v>Critical</v>
          </cell>
          <cell r="M1347" t="str">
            <v>Germany</v>
          </cell>
          <cell r="N1347" t="str">
            <v>Infusomat</v>
          </cell>
          <cell r="O1347" t="str">
            <v>Infusomat Space</v>
          </cell>
          <cell r="P1347" t="str">
            <v>211447</v>
          </cell>
          <cell r="Q1347" t="str">
            <v>Not Applicable</v>
          </cell>
          <cell r="R1347" t="str">
            <v>B Braun Melsungen AG</v>
          </cell>
          <cell r="S1347" t="str">
            <v>B Braun Medical Supplies Sdn. Bhd.</v>
          </cell>
          <cell r="T1347" t="str">
            <v>Functioning</v>
          </cell>
          <cell r="U1347" t="str">
            <v>Asset</v>
          </cell>
          <cell r="V1347">
            <v>10825</v>
          </cell>
          <cell r="W1347" t="str">
            <v>KEW</v>
          </cell>
          <cell r="X1347" t="str">
            <v>01/09/2010</v>
          </cell>
          <cell r="Y1347" t="str">
            <v>KEW</v>
          </cell>
          <cell r="Z1347" t="str">
            <v>16/08/2013</v>
          </cell>
          <cell r="AA1347" t="str">
            <v>15/08/2015</v>
          </cell>
          <cell r="AB1347" t="str">
            <v>No</v>
          </cell>
          <cell r="AC1347" t="str">
            <v>31/08/2013</v>
          </cell>
          <cell r="AD1347" t="str">
            <v>Good</v>
          </cell>
          <cell r="AE1347" t="str">
            <v>V1 - Existing / No Claim</v>
          </cell>
          <cell r="AF1347">
            <v>42802</v>
          </cell>
          <cell r="AG1347">
            <v>9.17</v>
          </cell>
          <cell r="AH1347" t="str">
            <v>PPM</v>
          </cell>
          <cell r="AI1347" t="str">
            <v>Strands</v>
          </cell>
          <cell r="AJ1347" t="str">
            <v>Strands PW</v>
          </cell>
        </row>
        <row r="1348">
          <cell r="A1348" t="str">
            <v>IKN401026</v>
          </cell>
          <cell r="B1348">
            <v>1024</v>
          </cell>
          <cell r="C1348" t="str">
            <v>Institut Kanser Negara</v>
          </cell>
          <cell r="D1348" t="str">
            <v>KKM/IKN/H/13/4843</v>
          </cell>
          <cell r="E1348" t="str">
            <v>17-793</v>
          </cell>
          <cell r="F1348" t="str">
            <v>Infusion/ Monitoring Line Organizer System</v>
          </cell>
          <cell r="G1348" t="str">
            <v>OT</v>
          </cell>
          <cell r="H1348" t="str">
            <v>OPERATING THEATRE</v>
          </cell>
          <cell r="I1348" t="str">
            <v>05OT120</v>
          </cell>
          <cell r="J1348" t="str">
            <v>OT 2</v>
          </cell>
          <cell r="K1348" t="str">
            <v>BMED</v>
          </cell>
          <cell r="L1348" t="str">
            <v>Normal</v>
          </cell>
          <cell r="M1348" t="str">
            <v>Germany</v>
          </cell>
          <cell r="N1348" t="str">
            <v>Space Station</v>
          </cell>
          <cell r="O1348" t="str">
            <v>Space Station</v>
          </cell>
          <cell r="P1348" t="str">
            <v>13975</v>
          </cell>
          <cell r="Q1348" t="str">
            <v>Not Applicable</v>
          </cell>
          <cell r="R1348" t="str">
            <v>B Braun Melsungen AG</v>
          </cell>
          <cell r="S1348" t="str">
            <v>B Braun Medical Supplies Sdn. Bhd.</v>
          </cell>
          <cell r="T1348" t="str">
            <v>Functioning</v>
          </cell>
          <cell r="U1348" t="str">
            <v>Asset</v>
          </cell>
          <cell r="V1348">
            <v>84200</v>
          </cell>
          <cell r="W1348" t="str">
            <v>KEW</v>
          </cell>
          <cell r="X1348" t="str">
            <v>01/09/2010</v>
          </cell>
          <cell r="Y1348" t="str">
            <v>KEW</v>
          </cell>
          <cell r="Z1348" t="str">
            <v>16/08/2013</v>
          </cell>
          <cell r="AA1348" t="str">
            <v>15/08/2015</v>
          </cell>
          <cell r="AB1348" t="str">
            <v>No</v>
          </cell>
          <cell r="AC1348" t="str">
            <v>31/08/2013</v>
          </cell>
          <cell r="AD1348" t="str">
            <v>Good</v>
          </cell>
          <cell r="AE1348" t="str">
            <v>V1 - Existing / No Claim</v>
          </cell>
          <cell r="AF1348">
            <v>42802</v>
          </cell>
          <cell r="AG1348">
            <v>9.17</v>
          </cell>
          <cell r="AH1348" t="str">
            <v>PPM</v>
          </cell>
          <cell r="AI1348" t="str">
            <v>Strands</v>
          </cell>
          <cell r="AJ1348" t="str">
            <v>Strands PW</v>
          </cell>
        </row>
        <row r="1349">
          <cell r="A1349" t="str">
            <v>IKN401027</v>
          </cell>
          <cell r="B1349">
            <v>1025</v>
          </cell>
          <cell r="C1349" t="str">
            <v>Institut Kanser Negara</v>
          </cell>
          <cell r="D1349" t="str">
            <v>KKM/IKN/H/13/734</v>
          </cell>
          <cell r="E1349" t="str">
            <v>13-961</v>
          </cell>
          <cell r="F1349" t="str">
            <v>Tables, Operating</v>
          </cell>
          <cell r="G1349" t="str">
            <v>OT</v>
          </cell>
          <cell r="H1349" t="str">
            <v>OPERATING THEATRE</v>
          </cell>
          <cell r="I1349" t="str">
            <v>05OT120</v>
          </cell>
          <cell r="J1349" t="str">
            <v>OT 2</v>
          </cell>
          <cell r="K1349" t="str">
            <v>BMED</v>
          </cell>
          <cell r="L1349" t="str">
            <v>Normal</v>
          </cell>
          <cell r="M1349" t="str">
            <v>UK</v>
          </cell>
          <cell r="N1349" t="str">
            <v>Eschmann</v>
          </cell>
          <cell r="O1349" t="str">
            <v>Eschmann T20+</v>
          </cell>
          <cell r="P1349" t="str">
            <v>T2AD-2A-3367</v>
          </cell>
          <cell r="Q1349" t="str">
            <v>Not Applicable</v>
          </cell>
          <cell r="R1349" t="str">
            <v>Eschmann Bros &amp; Walsh Ltd</v>
          </cell>
          <cell r="S1349" t="str">
            <v>Antah Sir Radin Sdn. Bhd.</v>
          </cell>
          <cell r="T1349" t="str">
            <v>Functioning</v>
          </cell>
          <cell r="U1349" t="str">
            <v>Asset</v>
          </cell>
          <cell r="V1349">
            <v>239350</v>
          </cell>
          <cell r="W1349" t="str">
            <v>KEW</v>
          </cell>
          <cell r="X1349" t="str">
            <v>01/09/2010</v>
          </cell>
          <cell r="Y1349" t="str">
            <v>KEW</v>
          </cell>
          <cell r="Z1349" t="str">
            <v>16/08/2013</v>
          </cell>
          <cell r="AA1349" t="str">
            <v>15/08/2015</v>
          </cell>
          <cell r="AB1349" t="str">
            <v>No</v>
          </cell>
          <cell r="AC1349" t="str">
            <v>31/08/2013</v>
          </cell>
          <cell r="AD1349" t="str">
            <v>Good</v>
          </cell>
          <cell r="AE1349" t="str">
            <v>V1 - Existing / No Claim</v>
          </cell>
          <cell r="AF1349">
            <v>42235</v>
          </cell>
          <cell r="AG1349">
            <v>9.17</v>
          </cell>
          <cell r="AH1349" t="str">
            <v>PPM</v>
          </cell>
          <cell r="AI1349" t="str">
            <v>Strands</v>
          </cell>
          <cell r="AJ1349" t="str">
            <v>Strands PW</v>
          </cell>
        </row>
        <row r="1350">
          <cell r="A1350" t="str">
            <v>IKN401028</v>
          </cell>
          <cell r="B1350">
            <v>1026</v>
          </cell>
          <cell r="C1350" t="str">
            <v>Institut Kanser Negara</v>
          </cell>
          <cell r="D1350" t="str">
            <v>KKM/IKN/H/13/4483</v>
          </cell>
          <cell r="E1350" t="str">
            <v>13-215</v>
          </cell>
          <cell r="F1350" t="str">
            <v>Infusion Pumps, General-Purpose</v>
          </cell>
          <cell r="G1350" t="str">
            <v>OT</v>
          </cell>
          <cell r="H1350" t="str">
            <v>OPERATING THEATRE</v>
          </cell>
          <cell r="I1350" t="str">
            <v>05OT123</v>
          </cell>
          <cell r="J1350" t="str">
            <v>0T 1</v>
          </cell>
          <cell r="K1350" t="str">
            <v>BMED</v>
          </cell>
          <cell r="L1350" t="str">
            <v>Normal</v>
          </cell>
          <cell r="M1350" t="str">
            <v>Germany</v>
          </cell>
          <cell r="N1350" t="str">
            <v>Infusomat</v>
          </cell>
          <cell r="O1350" t="str">
            <v>Infusomat Space</v>
          </cell>
          <cell r="P1350" t="str">
            <v>212023</v>
          </cell>
          <cell r="Q1350" t="str">
            <v>Not Applicable</v>
          </cell>
          <cell r="R1350" t="str">
            <v>B Braun Melsungen AG</v>
          </cell>
          <cell r="S1350" t="str">
            <v>B Braun Medical Supplies Sdn. Bhd.</v>
          </cell>
          <cell r="T1350" t="str">
            <v>Functioning</v>
          </cell>
          <cell r="U1350" t="str">
            <v>Asset</v>
          </cell>
          <cell r="V1350">
            <v>10825</v>
          </cell>
          <cell r="W1350" t="str">
            <v>KEW</v>
          </cell>
          <cell r="X1350" t="str">
            <v>01/09/2010</v>
          </cell>
          <cell r="Y1350" t="str">
            <v>KEW</v>
          </cell>
          <cell r="Z1350" t="str">
            <v>16/08/2013</v>
          </cell>
          <cell r="AA1350" t="str">
            <v>15/08/2015</v>
          </cell>
          <cell r="AB1350" t="str">
            <v>No</v>
          </cell>
          <cell r="AC1350" t="str">
            <v>31/08/2013</v>
          </cell>
          <cell r="AD1350" t="str">
            <v>Good</v>
          </cell>
          <cell r="AE1350" t="str">
            <v>V1 - Existing / No Claim</v>
          </cell>
          <cell r="AF1350">
            <v>42235</v>
          </cell>
          <cell r="AG1350">
            <v>9.17</v>
          </cell>
          <cell r="AH1350" t="str">
            <v>PPM</v>
          </cell>
          <cell r="AI1350" t="str">
            <v>Strands</v>
          </cell>
          <cell r="AJ1350" t="str">
            <v>Strands PW</v>
          </cell>
        </row>
        <row r="1351">
          <cell r="A1351" t="str">
            <v>IKN401029</v>
          </cell>
          <cell r="B1351">
            <v>1027</v>
          </cell>
          <cell r="C1351" t="str">
            <v>Institut Kanser Negara</v>
          </cell>
          <cell r="D1351" t="str">
            <v>KKM/IKN/H/13/4396</v>
          </cell>
          <cell r="E1351" t="str">
            <v>13-217</v>
          </cell>
          <cell r="F1351" t="str">
            <v>Infusion Pumps, Syringe</v>
          </cell>
          <cell r="G1351" t="str">
            <v>OT</v>
          </cell>
          <cell r="H1351" t="str">
            <v>OPERATING THEATRE</v>
          </cell>
          <cell r="I1351" t="str">
            <v>05OT123</v>
          </cell>
          <cell r="J1351" t="str">
            <v>0T 1</v>
          </cell>
          <cell r="K1351" t="str">
            <v>BMED</v>
          </cell>
          <cell r="L1351" t="str">
            <v>Normal</v>
          </cell>
          <cell r="M1351" t="str">
            <v>Germany</v>
          </cell>
          <cell r="N1351" t="str">
            <v>Perfusor</v>
          </cell>
          <cell r="O1351" t="str">
            <v>Perfusor Space</v>
          </cell>
          <cell r="P1351" t="str">
            <v>187024</v>
          </cell>
          <cell r="Q1351" t="str">
            <v>Not Applicable</v>
          </cell>
          <cell r="R1351" t="str">
            <v>B Braun Melsungen AG</v>
          </cell>
          <cell r="S1351" t="str">
            <v>B Braun Medical Supplies Sdn. Bhd.</v>
          </cell>
          <cell r="T1351" t="str">
            <v>Functioning</v>
          </cell>
          <cell r="U1351" t="str">
            <v>Asset</v>
          </cell>
          <cell r="V1351">
            <v>10225</v>
          </cell>
          <cell r="W1351" t="str">
            <v>KEW</v>
          </cell>
          <cell r="X1351" t="str">
            <v>01/09/2010</v>
          </cell>
          <cell r="Y1351" t="str">
            <v>KEW</v>
          </cell>
          <cell r="Z1351" t="str">
            <v>16/08/2013</v>
          </cell>
          <cell r="AA1351" t="str">
            <v>15/08/2015</v>
          </cell>
          <cell r="AB1351" t="str">
            <v>No</v>
          </cell>
          <cell r="AC1351" t="str">
            <v>31/08/2013</v>
          </cell>
          <cell r="AD1351" t="str">
            <v>Good</v>
          </cell>
          <cell r="AE1351" t="str">
            <v>V1 - Existing / No Claim</v>
          </cell>
          <cell r="AF1351">
            <v>42235</v>
          </cell>
          <cell r="AG1351">
            <v>9.17</v>
          </cell>
          <cell r="AH1351" t="str">
            <v>PPM</v>
          </cell>
          <cell r="AI1351" t="str">
            <v>Strands</v>
          </cell>
          <cell r="AJ1351" t="str">
            <v>Strands PW</v>
          </cell>
        </row>
        <row r="1352">
          <cell r="A1352" t="str">
            <v>IKN401030</v>
          </cell>
          <cell r="B1352">
            <v>1028</v>
          </cell>
          <cell r="C1352" t="str">
            <v>Institut Kanser Negara</v>
          </cell>
          <cell r="D1352" t="str">
            <v>KKM/IKN/H/13/3938</v>
          </cell>
          <cell r="E1352" t="str">
            <v>13-217</v>
          </cell>
          <cell r="F1352" t="str">
            <v>Infusion Pumps, Syringe</v>
          </cell>
          <cell r="G1352" t="str">
            <v>OT</v>
          </cell>
          <cell r="H1352" t="str">
            <v>OPERATING THEATRE</v>
          </cell>
          <cell r="I1352" t="str">
            <v>05OT123</v>
          </cell>
          <cell r="J1352" t="str">
            <v>0T 1</v>
          </cell>
          <cell r="K1352" t="str">
            <v>BMED</v>
          </cell>
          <cell r="L1352" t="str">
            <v>Normal</v>
          </cell>
          <cell r="M1352" t="str">
            <v>Germany</v>
          </cell>
          <cell r="N1352" t="str">
            <v>Perfusor</v>
          </cell>
          <cell r="O1352" t="str">
            <v>Perfusor Space</v>
          </cell>
          <cell r="P1352" t="str">
            <v>187039</v>
          </cell>
          <cell r="Q1352" t="str">
            <v>Not Applicable</v>
          </cell>
          <cell r="R1352" t="str">
            <v>B Braun Melsungen AG</v>
          </cell>
          <cell r="S1352" t="str">
            <v>B Braun Medical Supplies Sdn. Bhd.</v>
          </cell>
          <cell r="T1352" t="str">
            <v>Functioning</v>
          </cell>
          <cell r="U1352" t="str">
            <v>Asset</v>
          </cell>
          <cell r="V1352">
            <v>10225</v>
          </cell>
          <cell r="W1352" t="str">
            <v>KEW</v>
          </cell>
          <cell r="X1352" t="str">
            <v>01/09/2010</v>
          </cell>
          <cell r="Y1352" t="str">
            <v>KEW</v>
          </cell>
          <cell r="Z1352" t="str">
            <v>16/08/2013</v>
          </cell>
          <cell r="AA1352" t="str">
            <v>15/08/2015</v>
          </cell>
          <cell r="AB1352" t="str">
            <v>No</v>
          </cell>
          <cell r="AC1352" t="str">
            <v>31/08/2013</v>
          </cell>
          <cell r="AD1352" t="str">
            <v>Good</v>
          </cell>
          <cell r="AE1352" t="str">
            <v>V1 - Existing / No Claim</v>
          </cell>
          <cell r="AF1352">
            <v>42235</v>
          </cell>
          <cell r="AG1352">
            <v>9.17</v>
          </cell>
          <cell r="AH1352" t="str">
            <v>PPM</v>
          </cell>
          <cell r="AI1352" t="str">
            <v>Strands</v>
          </cell>
          <cell r="AJ1352" t="str">
            <v>Strands PW SET C</v>
          </cell>
          <cell r="AK1352" t="str">
            <v>CUBA CHECK IKN401003 PUNYA KEWPA</v>
          </cell>
        </row>
        <row r="1353">
          <cell r="A1353" t="str">
            <v>IKN401031</v>
          </cell>
          <cell r="B1353">
            <v>1029</v>
          </cell>
          <cell r="C1353" t="str">
            <v>Institut Kanser Negara</v>
          </cell>
          <cell r="D1353" t="str">
            <v>KKM/IKN/H/13/3599</v>
          </cell>
          <cell r="E1353" t="str">
            <v>10-414</v>
          </cell>
          <cell r="F1353" t="str">
            <v>Warming Units, Blanket</v>
          </cell>
          <cell r="G1353" t="str">
            <v>OT</v>
          </cell>
          <cell r="H1353" t="str">
            <v>OPERATING THEATRE</v>
          </cell>
          <cell r="I1353" t="str">
            <v>05OT123</v>
          </cell>
          <cell r="J1353" t="str">
            <v>0T 1</v>
          </cell>
          <cell r="K1353" t="str">
            <v>BMED</v>
          </cell>
          <cell r="L1353" t="str">
            <v>Normal</v>
          </cell>
          <cell r="M1353" t="str">
            <v>Sweden</v>
          </cell>
          <cell r="N1353" t="str">
            <v>Operatherm</v>
          </cell>
          <cell r="O1353" t="str">
            <v>Operatherm 303</v>
          </cell>
          <cell r="P1353" t="str">
            <v>00739-11</v>
          </cell>
          <cell r="Q1353" t="str">
            <v>Not Applicable</v>
          </cell>
          <cell r="R1353" t="str">
            <v>Kanmed</v>
          </cell>
          <cell r="S1353" t="str">
            <v>Perniagaan Med Tech</v>
          </cell>
          <cell r="T1353" t="str">
            <v>Functioning</v>
          </cell>
          <cell r="U1353" t="str">
            <v>Asset</v>
          </cell>
          <cell r="V1353">
            <v>15515</v>
          </cell>
          <cell r="W1353" t="str">
            <v>KEW</v>
          </cell>
          <cell r="X1353" t="str">
            <v>01/09/2010</v>
          </cell>
          <cell r="Y1353" t="str">
            <v>KEW</v>
          </cell>
          <cell r="Z1353" t="str">
            <v>16/08/2013</v>
          </cell>
          <cell r="AA1353" t="str">
            <v>15/08/2015</v>
          </cell>
          <cell r="AB1353" t="str">
            <v>No</v>
          </cell>
          <cell r="AC1353" t="str">
            <v>31/08/2013</v>
          </cell>
          <cell r="AD1353" t="str">
            <v>Good</v>
          </cell>
          <cell r="AE1353" t="str">
            <v>V1 - Existing / No Claim</v>
          </cell>
          <cell r="AF1353">
            <v>42802</v>
          </cell>
          <cell r="AG1353">
            <v>9.17</v>
          </cell>
          <cell r="AH1353" t="str">
            <v>PPM</v>
          </cell>
          <cell r="AI1353" t="str">
            <v>Strands</v>
          </cell>
          <cell r="AJ1353" t="str">
            <v>Strands PW</v>
          </cell>
        </row>
        <row r="1354">
          <cell r="A1354" t="str">
            <v>IKN401032</v>
          </cell>
          <cell r="B1354">
            <v>1030</v>
          </cell>
          <cell r="C1354" t="str">
            <v>Institut Kanser Negara</v>
          </cell>
          <cell r="D1354" t="str">
            <v>KKM/IKN/H/13/202</v>
          </cell>
          <cell r="E1354" t="str">
            <v>10-134</v>
          </cell>
          <cell r="F1354" t="str">
            <v>Anesthesia Units</v>
          </cell>
          <cell r="G1354" t="str">
            <v>OT</v>
          </cell>
          <cell r="H1354" t="str">
            <v>OPERATING THEATRE</v>
          </cell>
          <cell r="I1354" t="str">
            <v>05OT123</v>
          </cell>
          <cell r="J1354" t="str">
            <v>0T 1</v>
          </cell>
          <cell r="K1354" t="str">
            <v>BMED</v>
          </cell>
          <cell r="L1354" t="str">
            <v>Critical</v>
          </cell>
          <cell r="M1354" t="str">
            <v>Germany</v>
          </cell>
          <cell r="N1354" t="str">
            <v>Primus</v>
          </cell>
          <cell r="O1354" t="str">
            <v>Primus</v>
          </cell>
          <cell r="P1354" t="str">
            <v>ASDJ-0233</v>
          </cell>
          <cell r="Q1354" t="str">
            <v>Not Applicable</v>
          </cell>
          <cell r="R1354" t="str">
            <v>Drager medical GmbH</v>
          </cell>
          <cell r="S1354" t="str">
            <v>Beau Consortium Sdn Bhd</v>
          </cell>
          <cell r="T1354" t="str">
            <v>Functioning</v>
          </cell>
          <cell r="U1354" t="str">
            <v>Asset</v>
          </cell>
          <cell r="V1354">
            <v>144345</v>
          </cell>
          <cell r="W1354" t="str">
            <v>KEW</v>
          </cell>
          <cell r="X1354" t="str">
            <v>01/09/2010</v>
          </cell>
          <cell r="Y1354" t="str">
            <v>KEW</v>
          </cell>
          <cell r="Z1354" t="str">
            <v>16/08/2013</v>
          </cell>
          <cell r="AA1354" t="str">
            <v>15/08/2015</v>
          </cell>
          <cell r="AB1354" t="str">
            <v>No</v>
          </cell>
          <cell r="AC1354" t="str">
            <v>31/08/2013</v>
          </cell>
          <cell r="AD1354" t="str">
            <v>Good</v>
          </cell>
          <cell r="AE1354" t="str">
            <v>V1 - Existing / No Claim</v>
          </cell>
          <cell r="AF1354">
            <v>42802</v>
          </cell>
          <cell r="AG1354">
            <v>9.17</v>
          </cell>
          <cell r="AH1354" t="str">
            <v>PPM</v>
          </cell>
          <cell r="AI1354" t="str">
            <v>Strands</v>
          </cell>
          <cell r="AJ1354" t="str">
            <v>Strands PW</v>
          </cell>
        </row>
        <row r="1355">
          <cell r="A1355" t="str">
            <v>IKN401033</v>
          </cell>
          <cell r="B1355">
            <v>1031</v>
          </cell>
          <cell r="C1355" t="str">
            <v>Institut Kanser Negara</v>
          </cell>
          <cell r="D1355" t="str">
            <v>KKM/IKN/H/13/3733</v>
          </cell>
          <cell r="E1355" t="str">
            <v>10-447</v>
          </cell>
          <cell r="F1355" t="str">
            <v>Warming Units, Blood/Solution</v>
          </cell>
          <cell r="G1355" t="str">
            <v>OT</v>
          </cell>
          <cell r="H1355" t="str">
            <v>OPERATING THEATRE</v>
          </cell>
          <cell r="I1355" t="str">
            <v>05OT123</v>
          </cell>
          <cell r="J1355" t="str">
            <v>0T 1</v>
          </cell>
          <cell r="K1355" t="str">
            <v>BMED</v>
          </cell>
          <cell r="L1355" t="str">
            <v>Normal</v>
          </cell>
          <cell r="M1355" t="str">
            <v>USA</v>
          </cell>
          <cell r="N1355" t="str">
            <v>Hotline</v>
          </cell>
          <cell r="O1355" t="str">
            <v>Hotline HL-90</v>
          </cell>
          <cell r="P1355" t="str">
            <v>S101B00818</v>
          </cell>
          <cell r="Q1355" t="str">
            <v>Not Applicable</v>
          </cell>
          <cell r="R1355" t="str">
            <v>Level 1 Technologies Inc</v>
          </cell>
          <cell r="S1355" t="str">
            <v>Primed Medical Services Sdn Bhd</v>
          </cell>
          <cell r="T1355" t="str">
            <v>Functioning</v>
          </cell>
          <cell r="U1355" t="str">
            <v>Asset</v>
          </cell>
          <cell r="V1355">
            <v>15395</v>
          </cell>
          <cell r="W1355" t="str">
            <v>KEW</v>
          </cell>
          <cell r="X1355" t="str">
            <v>01/09/2010</v>
          </cell>
          <cell r="Y1355" t="str">
            <v>KEW</v>
          </cell>
          <cell r="Z1355" t="str">
            <v>16/08/2013</v>
          </cell>
          <cell r="AA1355" t="str">
            <v>15/08/2015</v>
          </cell>
          <cell r="AB1355" t="str">
            <v>No</v>
          </cell>
          <cell r="AC1355" t="str">
            <v>31/08/2013</v>
          </cell>
          <cell r="AD1355" t="str">
            <v>Good</v>
          </cell>
          <cell r="AE1355" t="str">
            <v>V1 - Existing / No Claim</v>
          </cell>
          <cell r="AF1355">
            <v>42235</v>
          </cell>
          <cell r="AG1355">
            <v>9.17</v>
          </cell>
          <cell r="AH1355" t="str">
            <v>PPM</v>
          </cell>
          <cell r="AI1355" t="str">
            <v>Strands</v>
          </cell>
          <cell r="AJ1355" t="str">
            <v>Strands PW</v>
          </cell>
        </row>
        <row r="1356">
          <cell r="A1356" t="str">
            <v>IKN401034</v>
          </cell>
          <cell r="B1356">
            <v>1032</v>
          </cell>
          <cell r="C1356" t="str">
            <v>Institut Kanser Negara</v>
          </cell>
          <cell r="D1356" t="str">
            <v>KKM/IKN/H/13/1039</v>
          </cell>
          <cell r="E1356" t="str">
            <v>12-647</v>
          </cell>
          <cell r="F1356" t="str">
            <v>Physiologic Monitoring Systems, Acute Care</v>
          </cell>
          <cell r="G1356" t="str">
            <v>OT</v>
          </cell>
          <cell r="H1356" t="str">
            <v>OPERATING THEATRE</v>
          </cell>
          <cell r="I1356" t="str">
            <v>05OT123</v>
          </cell>
          <cell r="J1356" t="str">
            <v>0T 1</v>
          </cell>
          <cell r="K1356" t="str">
            <v>BMED</v>
          </cell>
          <cell r="L1356" t="str">
            <v>Normal</v>
          </cell>
          <cell r="M1356" t="str">
            <v>Finland</v>
          </cell>
          <cell r="N1356" t="str">
            <v>Carespace</v>
          </cell>
          <cell r="O1356" t="str">
            <v>Carespace B850</v>
          </cell>
          <cell r="P1356" t="str">
            <v>SED12370675GA</v>
          </cell>
          <cell r="Q1356" t="str">
            <v>Not Applicable</v>
          </cell>
          <cell r="R1356" t="str">
            <v>GE Healthcare Systems</v>
          </cell>
          <cell r="S1356" t="str">
            <v>GE Healthcare Technologies</v>
          </cell>
          <cell r="T1356" t="str">
            <v>Functioning</v>
          </cell>
          <cell r="U1356" t="str">
            <v>Asset</v>
          </cell>
          <cell r="V1356">
            <v>119690</v>
          </cell>
          <cell r="W1356" t="str">
            <v>KEW</v>
          </cell>
          <cell r="X1356" t="str">
            <v>01/09/2010</v>
          </cell>
          <cell r="Y1356" t="str">
            <v>KEW</v>
          </cell>
          <cell r="Z1356" t="str">
            <v>16/08/2013</v>
          </cell>
          <cell r="AA1356" t="str">
            <v>15/08/2015</v>
          </cell>
          <cell r="AB1356" t="str">
            <v>No</v>
          </cell>
          <cell r="AC1356" t="str">
            <v>31/08/2013</v>
          </cell>
          <cell r="AD1356" t="str">
            <v>Good</v>
          </cell>
          <cell r="AE1356" t="str">
            <v>V1 - Existing / No Claim</v>
          </cell>
          <cell r="AF1356">
            <v>42235</v>
          </cell>
          <cell r="AG1356">
            <v>9.17</v>
          </cell>
          <cell r="AH1356" t="str">
            <v>PPM</v>
          </cell>
          <cell r="AI1356" t="str">
            <v>Strands</v>
          </cell>
          <cell r="AJ1356" t="str">
            <v>Strands PW</v>
          </cell>
        </row>
        <row r="1357">
          <cell r="A1357" t="str">
            <v>IKN401035</v>
          </cell>
          <cell r="B1357">
            <v>1033</v>
          </cell>
          <cell r="C1357" t="str">
            <v>Institut Kanser Negara</v>
          </cell>
          <cell r="D1357" t="str">
            <v>KKM/IKN/H/13/737</v>
          </cell>
          <cell r="E1357" t="str">
            <v>18-231</v>
          </cell>
          <cell r="F1357" t="str">
            <v>Electrosurgical Units, Monopolar/Bipolar</v>
          </cell>
          <cell r="G1357" t="str">
            <v>OT</v>
          </cell>
          <cell r="H1357" t="str">
            <v>OPERATING THEATRE</v>
          </cell>
          <cell r="I1357" t="str">
            <v>05OT123</v>
          </cell>
          <cell r="J1357" t="str">
            <v>0T 1</v>
          </cell>
          <cell r="K1357" t="str">
            <v>BMED</v>
          </cell>
          <cell r="L1357" t="str">
            <v>Normal</v>
          </cell>
          <cell r="M1357" t="str">
            <v>USA</v>
          </cell>
          <cell r="N1357" t="str">
            <v>Force</v>
          </cell>
          <cell r="O1357" t="str">
            <v>Force FX-8C</v>
          </cell>
          <cell r="P1357" t="str">
            <v>F2H71444AX</v>
          </cell>
          <cell r="Q1357" t="str">
            <v>Not Applicable</v>
          </cell>
          <cell r="R1357" t="str">
            <v>Valleylab</v>
          </cell>
          <cell r="S1357" t="str">
            <v>United States of America</v>
          </cell>
          <cell r="T1357" t="str">
            <v>Functioning</v>
          </cell>
          <cell r="U1357" t="str">
            <v>Asset</v>
          </cell>
          <cell r="V1357">
            <v>132310</v>
          </cell>
          <cell r="W1357" t="str">
            <v>KEW</v>
          </cell>
          <cell r="X1357" t="str">
            <v>01/09/2010</v>
          </cell>
          <cell r="Y1357" t="str">
            <v>KEW</v>
          </cell>
          <cell r="Z1357" t="str">
            <v>16/08/2013</v>
          </cell>
          <cell r="AA1357" t="str">
            <v>15/08/2015</v>
          </cell>
          <cell r="AB1357" t="str">
            <v>No</v>
          </cell>
          <cell r="AC1357" t="str">
            <v>31/08/2013</v>
          </cell>
          <cell r="AD1357" t="str">
            <v>Good</v>
          </cell>
          <cell r="AE1357" t="str">
            <v>V1 - Existing / No Claim</v>
          </cell>
          <cell r="AF1357">
            <v>42235</v>
          </cell>
          <cell r="AG1357">
            <v>9.17</v>
          </cell>
          <cell r="AH1357" t="str">
            <v>PPM</v>
          </cell>
          <cell r="AI1357" t="str">
            <v>Strands</v>
          </cell>
          <cell r="AJ1357" t="str">
            <v>Strands PW SET E</v>
          </cell>
          <cell r="AK1357" t="str">
            <v>CUBA CHECK IKN401036 PUNYA KEWPA</v>
          </cell>
        </row>
        <row r="1358">
          <cell r="A1358" t="str">
            <v>IKN401036</v>
          </cell>
          <cell r="B1358">
            <v>1034</v>
          </cell>
          <cell r="C1358" t="str">
            <v>Institut Kanser Negara</v>
          </cell>
          <cell r="D1358" t="str">
            <v>KKM/IKN/H/13/737</v>
          </cell>
          <cell r="E1358" t="str">
            <v>18-232</v>
          </cell>
          <cell r="F1358" t="str">
            <v>Electrosurgical Units, Monopolar/Bipolar, Argon-Enhanced Coagulation</v>
          </cell>
          <cell r="G1358" t="str">
            <v>OT</v>
          </cell>
          <cell r="H1358" t="str">
            <v>OPERATING THEATRE</v>
          </cell>
          <cell r="I1358" t="str">
            <v>05OT123</v>
          </cell>
          <cell r="J1358" t="str">
            <v>0T 1</v>
          </cell>
          <cell r="K1358" t="str">
            <v>BMED</v>
          </cell>
          <cell r="L1358" t="str">
            <v>Normal</v>
          </cell>
          <cell r="M1358" t="str">
            <v>USA</v>
          </cell>
          <cell r="N1358" t="str">
            <v>Force</v>
          </cell>
          <cell r="O1358" t="str">
            <v>Force Argon II</v>
          </cell>
          <cell r="P1358" t="str">
            <v>G212725UX</v>
          </cell>
          <cell r="Q1358" t="str">
            <v>Not Applicable</v>
          </cell>
          <cell r="R1358" t="str">
            <v>Valleylab</v>
          </cell>
          <cell r="S1358" t="str">
            <v>United States of America</v>
          </cell>
          <cell r="T1358" t="str">
            <v>Functioning</v>
          </cell>
          <cell r="U1358" t="str">
            <v>Asset</v>
          </cell>
          <cell r="V1358">
            <v>132310</v>
          </cell>
          <cell r="W1358" t="str">
            <v>KEW</v>
          </cell>
          <cell r="X1358" t="str">
            <v>01/09/2010</v>
          </cell>
          <cell r="Y1358" t="str">
            <v>KEW</v>
          </cell>
          <cell r="Z1358" t="str">
            <v>16/08/2013</v>
          </cell>
          <cell r="AA1358" t="str">
            <v>15/08/2015</v>
          </cell>
          <cell r="AB1358" t="str">
            <v>No</v>
          </cell>
          <cell r="AC1358" t="str">
            <v>31/08/2013</v>
          </cell>
          <cell r="AD1358" t="str">
            <v>Good</v>
          </cell>
          <cell r="AE1358" t="str">
            <v>V1 - Existing / No Claim</v>
          </cell>
          <cell r="AF1358">
            <v>42235</v>
          </cell>
          <cell r="AG1358">
            <v>9.17</v>
          </cell>
          <cell r="AH1358" t="str">
            <v>PPM</v>
          </cell>
          <cell r="AI1358" t="str">
            <v>Strands</v>
          </cell>
          <cell r="AJ1358" t="str">
            <v>Strands PW SET E</v>
          </cell>
          <cell r="AK1358" t="str">
            <v>CUBA CHECK IKN401035 PUNYA KEWPA</v>
          </cell>
        </row>
        <row r="1359">
          <cell r="A1359" t="str">
            <v>IKN401037</v>
          </cell>
          <cell r="B1359">
            <v>1035</v>
          </cell>
          <cell r="C1359" t="str">
            <v>Institut Kanser Negara</v>
          </cell>
          <cell r="D1359" t="str">
            <v>KKM/IKN/H/13/735</v>
          </cell>
          <cell r="E1359" t="str">
            <v>13-961</v>
          </cell>
          <cell r="F1359" t="str">
            <v>Tables, Operating</v>
          </cell>
          <cell r="G1359" t="str">
            <v>OT</v>
          </cell>
          <cell r="H1359" t="str">
            <v>OPERATING THEATRE</v>
          </cell>
          <cell r="I1359" t="str">
            <v>05OT123</v>
          </cell>
          <cell r="J1359" t="str">
            <v>0T 1</v>
          </cell>
          <cell r="K1359" t="str">
            <v>BMED</v>
          </cell>
          <cell r="L1359" t="str">
            <v>Critical</v>
          </cell>
          <cell r="M1359" t="str">
            <v>UK</v>
          </cell>
          <cell r="N1359" t="str">
            <v>Eschmann</v>
          </cell>
          <cell r="O1359" t="str">
            <v>Eschmann T20+</v>
          </cell>
          <cell r="P1359" t="str">
            <v>T2AD-2A-3368</v>
          </cell>
          <cell r="Q1359" t="str">
            <v>Not Applicable</v>
          </cell>
          <cell r="R1359" t="str">
            <v>Eschmann Bros &amp; Walsh Ltd</v>
          </cell>
          <cell r="S1359" t="str">
            <v>Antah Sir Radin Sdn. Bhd.</v>
          </cell>
          <cell r="T1359" t="str">
            <v>Functioning</v>
          </cell>
          <cell r="U1359" t="str">
            <v>Asset</v>
          </cell>
          <cell r="V1359">
            <v>239350</v>
          </cell>
          <cell r="W1359" t="str">
            <v>KEW</v>
          </cell>
          <cell r="X1359" t="str">
            <v>01/09/2010</v>
          </cell>
          <cell r="Y1359" t="str">
            <v>KEW</v>
          </cell>
          <cell r="Z1359" t="str">
            <v>16/08/2013</v>
          </cell>
          <cell r="AA1359" t="str">
            <v>15/08/2015</v>
          </cell>
          <cell r="AB1359" t="str">
            <v>No</v>
          </cell>
          <cell r="AC1359" t="str">
            <v>31/08/2013</v>
          </cell>
          <cell r="AD1359" t="str">
            <v>Good</v>
          </cell>
          <cell r="AE1359" t="str">
            <v>V1 - Existing / No Claim</v>
          </cell>
          <cell r="AF1359">
            <v>42802</v>
          </cell>
          <cell r="AG1359">
            <v>9.17</v>
          </cell>
          <cell r="AH1359" t="str">
            <v>PPM</v>
          </cell>
          <cell r="AI1359" t="str">
            <v>Strands</v>
          </cell>
          <cell r="AJ1359" t="str">
            <v>Strands PW</v>
          </cell>
        </row>
        <row r="1360">
          <cell r="A1360" t="str">
            <v>IKN401038</v>
          </cell>
          <cell r="B1360">
            <v>1036</v>
          </cell>
          <cell r="C1360" t="str">
            <v>Institut Kanser Negara</v>
          </cell>
          <cell r="D1360" t="str">
            <v>KKM/IKN/H/13/152</v>
          </cell>
          <cell r="E1360" t="str">
            <v>16-173</v>
          </cell>
          <cell r="F1360" t="str">
            <v>Sphygmomanometers, Electronic, Automatic</v>
          </cell>
          <cell r="G1360" t="str">
            <v>OT</v>
          </cell>
          <cell r="H1360" t="str">
            <v>OPERATING THEATRE</v>
          </cell>
          <cell r="I1360" t="str">
            <v>05OT158</v>
          </cell>
          <cell r="J1360" t="str">
            <v>NURSE STATION</v>
          </cell>
          <cell r="K1360" t="str">
            <v>BMED</v>
          </cell>
          <cell r="L1360" t="str">
            <v>Critical</v>
          </cell>
          <cell r="M1360" t="str">
            <v>USA</v>
          </cell>
          <cell r="N1360" t="str">
            <v>Connex</v>
          </cell>
          <cell r="O1360" t="str">
            <v>Connex ProBP 3400</v>
          </cell>
          <cell r="P1360" t="str">
            <v>100001540613</v>
          </cell>
          <cell r="Q1360" t="str">
            <v>Not Applicable</v>
          </cell>
          <cell r="R1360" t="str">
            <v>Welch Allyn Inc</v>
          </cell>
          <cell r="S1360" t="str">
            <v>Welch Allyn Malaysia Sdn Bhd</v>
          </cell>
          <cell r="T1360" t="str">
            <v>Functioning</v>
          </cell>
          <cell r="U1360" t="str">
            <v>Asset</v>
          </cell>
          <cell r="V1360">
            <v>4510</v>
          </cell>
          <cell r="W1360" t="str">
            <v>KEW</v>
          </cell>
          <cell r="X1360" t="str">
            <v>01/09/2010</v>
          </cell>
          <cell r="Y1360" t="str">
            <v>KEW</v>
          </cell>
          <cell r="Z1360" t="str">
            <v>16/08/2013</v>
          </cell>
          <cell r="AA1360" t="str">
            <v>15/08/2015</v>
          </cell>
          <cell r="AB1360" t="str">
            <v>No</v>
          </cell>
          <cell r="AC1360" t="str">
            <v>31/08/2013</v>
          </cell>
          <cell r="AD1360" t="str">
            <v>Good</v>
          </cell>
          <cell r="AE1360" t="str">
            <v>V1 - Existing / No Claim</v>
          </cell>
          <cell r="AF1360">
            <v>42803</v>
          </cell>
          <cell r="AG1360">
            <v>9.17</v>
          </cell>
          <cell r="AH1360" t="str">
            <v>PPM</v>
          </cell>
          <cell r="AI1360" t="str">
            <v>Strands</v>
          </cell>
          <cell r="AJ1360" t="str">
            <v>Strands PW</v>
          </cell>
        </row>
        <row r="1361">
          <cell r="A1361" t="str">
            <v>IKN401039</v>
          </cell>
          <cell r="B1361">
            <v>1037</v>
          </cell>
          <cell r="C1361" t="str">
            <v>Institut Kanser Negara</v>
          </cell>
          <cell r="D1361" t="str">
            <v>KKM/IKN/H/13/151</v>
          </cell>
          <cell r="E1361" t="str">
            <v>16-173</v>
          </cell>
          <cell r="F1361" t="str">
            <v>Sphygmomanometers, Electronic, Automatic</v>
          </cell>
          <cell r="G1361" t="str">
            <v>OT</v>
          </cell>
          <cell r="H1361" t="str">
            <v>OPERATING THEATRE</v>
          </cell>
          <cell r="I1361" t="str">
            <v>05OT158</v>
          </cell>
          <cell r="J1361" t="str">
            <v>NURSE STATION</v>
          </cell>
          <cell r="K1361" t="str">
            <v>BMED</v>
          </cell>
          <cell r="L1361" t="str">
            <v>Critical</v>
          </cell>
          <cell r="M1361" t="str">
            <v>USA</v>
          </cell>
          <cell r="N1361" t="str">
            <v>Connex</v>
          </cell>
          <cell r="O1361" t="str">
            <v>Connex ProBP 3400</v>
          </cell>
          <cell r="P1361" t="str">
            <v>100001670613</v>
          </cell>
          <cell r="Q1361" t="str">
            <v>Not Applicable</v>
          </cell>
          <cell r="R1361" t="str">
            <v>Welch Allyn Inc</v>
          </cell>
          <cell r="S1361" t="str">
            <v>Welch Allyn Malaysia Sdn Bhd</v>
          </cell>
          <cell r="T1361" t="str">
            <v>Functioning</v>
          </cell>
          <cell r="U1361" t="str">
            <v>Asset</v>
          </cell>
          <cell r="V1361">
            <v>4510</v>
          </cell>
          <cell r="W1361" t="str">
            <v>KEW</v>
          </cell>
          <cell r="X1361" t="str">
            <v>01/09/2010</v>
          </cell>
          <cell r="Y1361" t="str">
            <v>KEW</v>
          </cell>
          <cell r="Z1361" t="str">
            <v>16/08/2013</v>
          </cell>
          <cell r="AA1361" t="str">
            <v>15/08/2015</v>
          </cell>
          <cell r="AB1361" t="str">
            <v>No</v>
          </cell>
          <cell r="AC1361" t="str">
            <v>31/08/2013</v>
          </cell>
          <cell r="AD1361" t="str">
            <v>Good</v>
          </cell>
          <cell r="AE1361" t="str">
            <v>V1 - Existing / No Claim</v>
          </cell>
          <cell r="AF1361">
            <v>42803</v>
          </cell>
          <cell r="AG1361">
            <v>9.17</v>
          </cell>
          <cell r="AH1361" t="str">
            <v>PPM</v>
          </cell>
          <cell r="AI1361" t="str">
            <v>Strands</v>
          </cell>
          <cell r="AJ1361" t="str">
            <v>Strands PW</v>
          </cell>
        </row>
        <row r="1362">
          <cell r="A1362" t="str">
            <v>IKN401040</v>
          </cell>
          <cell r="B1362">
            <v>1038</v>
          </cell>
          <cell r="C1362" t="str">
            <v>Institut Kanser Negara</v>
          </cell>
          <cell r="D1362" t="e">
            <v>#N/A</v>
          </cell>
          <cell r="E1362" t="str">
            <v>11-134</v>
          </cell>
          <cell r="F1362" t="str">
            <v>Defibrillators, External, Manual</v>
          </cell>
          <cell r="G1362" t="str">
            <v>OT</v>
          </cell>
          <cell r="H1362" t="str">
            <v>OPERATING THEATRE</v>
          </cell>
          <cell r="I1362" t="str">
            <v>05OT158</v>
          </cell>
          <cell r="J1362" t="str">
            <v>NURSE STATION</v>
          </cell>
          <cell r="K1362" t="str">
            <v>BMED</v>
          </cell>
          <cell r="L1362" t="str">
            <v>Critical</v>
          </cell>
          <cell r="M1362" t="str">
            <v>USA</v>
          </cell>
          <cell r="N1362" t="str">
            <v>Responder</v>
          </cell>
          <cell r="O1362" t="str">
            <v>Responder 2000</v>
          </cell>
          <cell r="P1362" t="str">
            <v>3206694</v>
          </cell>
          <cell r="Q1362" t="str">
            <v>Not Applicable</v>
          </cell>
          <cell r="R1362" t="str">
            <v>GE Medical Systems</v>
          </cell>
          <cell r="S1362" t="str">
            <v>Antah Sir Radin Sdn. Bhd.</v>
          </cell>
          <cell r="T1362" t="str">
            <v>Functioning</v>
          </cell>
          <cell r="U1362" t="str">
            <v>Asset</v>
          </cell>
          <cell r="V1362">
            <v>45000</v>
          </cell>
          <cell r="W1362" t="str">
            <v>Estimate</v>
          </cell>
          <cell r="X1362" t="str">
            <v>01/09/2010</v>
          </cell>
          <cell r="Y1362" t="str">
            <v>KEW</v>
          </cell>
          <cell r="Z1362" t="str">
            <v>16/08/2013</v>
          </cell>
          <cell r="AA1362" t="str">
            <v>15/08/2015</v>
          </cell>
          <cell r="AB1362" t="str">
            <v>No</v>
          </cell>
          <cell r="AC1362" t="str">
            <v>31/08/2013</v>
          </cell>
          <cell r="AD1362" t="str">
            <v>Good</v>
          </cell>
          <cell r="AE1362" t="str">
            <v>V1 - Existing / No Claim</v>
          </cell>
          <cell r="AF1362">
            <v>42605</v>
          </cell>
          <cell r="AG1362">
            <v>9.17</v>
          </cell>
          <cell r="AH1362" t="str">
            <v>PPM</v>
          </cell>
          <cell r="AI1362" t="str">
            <v>Strands</v>
          </cell>
          <cell r="AJ1362" t="str">
            <v>Strands PW</v>
          </cell>
          <cell r="AK1362" t="str">
            <v>Crash Trolley (FEMS)</v>
          </cell>
        </row>
        <row r="1363">
          <cell r="A1363" t="str">
            <v>IKN401041</v>
          </cell>
          <cell r="B1363">
            <v>1039</v>
          </cell>
          <cell r="C1363" t="str">
            <v>Institut Kanser Negara</v>
          </cell>
          <cell r="D1363" t="str">
            <v>KKM/IKN/H/13/3734</v>
          </cell>
          <cell r="E1363" t="str">
            <v>13-249</v>
          </cell>
          <cell r="F1363" t="str">
            <v>Warming Units, Patient, Radiant, Adult</v>
          </cell>
          <cell r="G1363" t="str">
            <v>OT</v>
          </cell>
          <cell r="H1363" t="str">
            <v>OPERATING THEATRE</v>
          </cell>
          <cell r="I1363" t="str">
            <v>05OT159</v>
          </cell>
          <cell r="J1363" t="str">
            <v>POST-OP/RECOVERY (FUTURE)</v>
          </cell>
          <cell r="K1363" t="str">
            <v>BMED</v>
          </cell>
          <cell r="L1363" t="str">
            <v>Normal</v>
          </cell>
          <cell r="M1363" t="str">
            <v>Sweden</v>
          </cell>
          <cell r="N1363" t="str">
            <v>Aragona</v>
          </cell>
          <cell r="O1363" t="str">
            <v>Aragona MTC-410</v>
          </cell>
          <cell r="P1363" t="str">
            <v>1206</v>
          </cell>
          <cell r="Q1363" t="str">
            <v>Not Applicable</v>
          </cell>
          <cell r="R1363" t="str">
            <v>Aspira Medical AB</v>
          </cell>
          <cell r="S1363" t="str">
            <v>Perniagaan Med Tech</v>
          </cell>
          <cell r="T1363" t="str">
            <v>Functioning</v>
          </cell>
          <cell r="U1363" t="str">
            <v>Asset</v>
          </cell>
          <cell r="V1363">
            <v>12630</v>
          </cell>
          <cell r="W1363" t="str">
            <v>KEW</v>
          </cell>
          <cell r="X1363" t="str">
            <v>01/09/2010</v>
          </cell>
          <cell r="Y1363" t="str">
            <v>KEW</v>
          </cell>
          <cell r="Z1363" t="str">
            <v>16/08/2013</v>
          </cell>
          <cell r="AA1363" t="str">
            <v>15/08/2015</v>
          </cell>
          <cell r="AB1363" t="str">
            <v>No</v>
          </cell>
          <cell r="AC1363" t="str">
            <v>31/08/2013</v>
          </cell>
          <cell r="AD1363" t="str">
            <v>Good</v>
          </cell>
          <cell r="AE1363" t="str">
            <v>V1 - Existing / No Claim</v>
          </cell>
          <cell r="AF1363">
            <v>42803</v>
          </cell>
          <cell r="AG1363">
            <v>9.17</v>
          </cell>
          <cell r="AH1363" t="str">
            <v>PPM</v>
          </cell>
          <cell r="AI1363" t="str">
            <v>Strands</v>
          </cell>
          <cell r="AJ1363" t="str">
            <v>Strands PW</v>
          </cell>
        </row>
        <row r="1364">
          <cell r="A1364" t="str">
            <v>IKN401042</v>
          </cell>
          <cell r="B1364">
            <v>1040</v>
          </cell>
          <cell r="C1364" t="str">
            <v>Institut Kanser Negara</v>
          </cell>
          <cell r="D1364" t="str">
            <v>KKM/IKN/H/13/3735</v>
          </cell>
          <cell r="E1364" t="str">
            <v>13-249</v>
          </cell>
          <cell r="F1364" t="str">
            <v>Warming Units, Patient, Radiant, Adult</v>
          </cell>
          <cell r="G1364" t="str">
            <v>OT</v>
          </cell>
          <cell r="H1364" t="str">
            <v>OPERATING THEATRE</v>
          </cell>
          <cell r="I1364" t="str">
            <v>05OT159</v>
          </cell>
          <cell r="J1364" t="str">
            <v>POST-OP/RECOVERY (FUTURE)</v>
          </cell>
          <cell r="K1364" t="str">
            <v>BMED</v>
          </cell>
          <cell r="L1364" t="str">
            <v>Normal</v>
          </cell>
          <cell r="M1364" t="str">
            <v>Sweden</v>
          </cell>
          <cell r="N1364" t="str">
            <v>Aragona</v>
          </cell>
          <cell r="O1364" t="str">
            <v>Aragona MTC-410</v>
          </cell>
          <cell r="P1364" t="str">
            <v>1208</v>
          </cell>
          <cell r="Q1364" t="str">
            <v>Not Applicable</v>
          </cell>
          <cell r="R1364" t="str">
            <v>Aspira Medical AB</v>
          </cell>
          <cell r="S1364" t="str">
            <v>Perniagaan Med Tech</v>
          </cell>
          <cell r="T1364" t="str">
            <v>Functioning</v>
          </cell>
          <cell r="U1364" t="str">
            <v>Asset</v>
          </cell>
          <cell r="V1364">
            <v>12630</v>
          </cell>
          <cell r="W1364" t="str">
            <v>KEW</v>
          </cell>
          <cell r="X1364" t="str">
            <v>01/09/2010</v>
          </cell>
          <cell r="Y1364" t="str">
            <v>KEW</v>
          </cell>
          <cell r="Z1364" t="str">
            <v>16/08/2013</v>
          </cell>
          <cell r="AA1364" t="str">
            <v>15/08/2015</v>
          </cell>
          <cell r="AB1364" t="str">
            <v>No</v>
          </cell>
          <cell r="AC1364" t="str">
            <v>31/08/2013</v>
          </cell>
          <cell r="AD1364" t="str">
            <v>Good</v>
          </cell>
          <cell r="AE1364" t="str">
            <v>V1 - Existing / No Claim</v>
          </cell>
          <cell r="AF1364">
            <v>42803</v>
          </cell>
          <cell r="AG1364">
            <v>9.17</v>
          </cell>
          <cell r="AH1364" t="str">
            <v>PPM</v>
          </cell>
          <cell r="AI1364" t="str">
            <v>Strands</v>
          </cell>
          <cell r="AJ1364" t="str">
            <v>Strands PW</v>
          </cell>
        </row>
        <row r="1365">
          <cell r="A1365" t="str">
            <v>IKN401043</v>
          </cell>
          <cell r="B1365">
            <v>1041</v>
          </cell>
          <cell r="C1365" t="str">
            <v>Institut Kanser Negara</v>
          </cell>
          <cell r="D1365" t="str">
            <v>KKM/IKN/H/13/157</v>
          </cell>
          <cell r="E1365" t="str">
            <v>12-647</v>
          </cell>
          <cell r="F1365" t="str">
            <v>Physiologic Monitoring Systems, Acute Care</v>
          </cell>
          <cell r="G1365" t="str">
            <v>OT</v>
          </cell>
          <cell r="H1365" t="str">
            <v>OPERATING THEATRE</v>
          </cell>
          <cell r="I1365" t="str">
            <v>05OT159</v>
          </cell>
          <cell r="J1365" t="str">
            <v>POST-OP/RECOVERY (FUTURE)</v>
          </cell>
          <cell r="K1365" t="str">
            <v>BMED</v>
          </cell>
          <cell r="L1365" t="str">
            <v>Critical</v>
          </cell>
          <cell r="M1365" t="str">
            <v>Finland</v>
          </cell>
          <cell r="N1365" t="str">
            <v>CareScape</v>
          </cell>
          <cell r="O1365" t="str">
            <v>CareScape B650</v>
          </cell>
          <cell r="P1365" t="str">
            <v>SEW12357514HA</v>
          </cell>
          <cell r="Q1365" t="str">
            <v>Not Applicable</v>
          </cell>
          <cell r="R1365" t="str">
            <v>GE Medical Systems</v>
          </cell>
          <cell r="S1365" t="str">
            <v>GE Healthcare Technologies</v>
          </cell>
          <cell r="T1365" t="str">
            <v>Functioning</v>
          </cell>
          <cell r="U1365" t="str">
            <v>Asset</v>
          </cell>
          <cell r="V1365">
            <v>87400</v>
          </cell>
          <cell r="W1365" t="str">
            <v>KEW</v>
          </cell>
          <cell r="X1365" t="str">
            <v>01/09/2010</v>
          </cell>
          <cell r="Y1365" t="str">
            <v>KEW</v>
          </cell>
          <cell r="Z1365" t="str">
            <v>16/08/2013</v>
          </cell>
          <cell r="AA1365" t="str">
            <v>15/08/2015</v>
          </cell>
          <cell r="AB1365" t="str">
            <v>No</v>
          </cell>
          <cell r="AC1365" t="str">
            <v>31/08/2013</v>
          </cell>
          <cell r="AD1365" t="str">
            <v>Good</v>
          </cell>
          <cell r="AE1365" t="str">
            <v>V1 - Existing / No Claim</v>
          </cell>
          <cell r="AF1365">
            <v>42803</v>
          </cell>
          <cell r="AG1365">
            <v>9.17</v>
          </cell>
          <cell r="AH1365" t="str">
            <v>PPM</v>
          </cell>
          <cell r="AI1365" t="str">
            <v>Strands</v>
          </cell>
          <cell r="AJ1365" t="str">
            <v>Strands PW</v>
          </cell>
        </row>
        <row r="1366">
          <cell r="A1366" t="str">
            <v>IKN401044</v>
          </cell>
          <cell r="B1366">
            <v>1042</v>
          </cell>
          <cell r="C1366" t="str">
            <v>Institut Kanser Negara</v>
          </cell>
          <cell r="D1366" t="str">
            <v>KKM/IKN/H/13/204</v>
          </cell>
          <cell r="E1366" t="str">
            <v>12-647</v>
          </cell>
          <cell r="F1366" t="str">
            <v>Physiologic Monitoring Systems, Acute Care</v>
          </cell>
          <cell r="G1366" t="str">
            <v>OT</v>
          </cell>
          <cell r="H1366" t="str">
            <v>OPERATING THEATRE</v>
          </cell>
          <cell r="I1366" t="str">
            <v>05OT169</v>
          </cell>
          <cell r="J1366" t="str">
            <v>EQ. ROOM</v>
          </cell>
          <cell r="K1366" t="str">
            <v>BMED</v>
          </cell>
          <cell r="L1366" t="str">
            <v>Critical</v>
          </cell>
          <cell r="M1366" t="str">
            <v>USA</v>
          </cell>
          <cell r="N1366" t="str">
            <v>Tram</v>
          </cell>
          <cell r="O1366" t="str">
            <v>Transport Pro</v>
          </cell>
          <cell r="P1366" t="str">
            <v>SCS12367505GA</v>
          </cell>
          <cell r="Q1366" t="str">
            <v>Not Applicable</v>
          </cell>
          <cell r="R1366" t="str">
            <v>GE Medical Systems</v>
          </cell>
          <cell r="S1366" t="str">
            <v>GE Healthcare Technologies</v>
          </cell>
          <cell r="T1366" t="str">
            <v>Functioning</v>
          </cell>
          <cell r="U1366" t="str">
            <v>Asset</v>
          </cell>
          <cell r="V1366">
            <v>54100</v>
          </cell>
          <cell r="W1366" t="str">
            <v>KEW</v>
          </cell>
          <cell r="X1366" t="str">
            <v>01/09/2010</v>
          </cell>
          <cell r="Y1366" t="str">
            <v>KEW</v>
          </cell>
          <cell r="Z1366" t="str">
            <v>16/08/2013</v>
          </cell>
          <cell r="AA1366" t="str">
            <v>15/08/2015</v>
          </cell>
          <cell r="AB1366" t="str">
            <v>No</v>
          </cell>
          <cell r="AC1366" t="str">
            <v>31/08/2013</v>
          </cell>
          <cell r="AD1366" t="str">
            <v>Good</v>
          </cell>
          <cell r="AE1366" t="str">
            <v>V1 - Existing / No Claim</v>
          </cell>
          <cell r="AF1366">
            <v>42803</v>
          </cell>
          <cell r="AG1366">
            <v>9.17</v>
          </cell>
          <cell r="AH1366" t="str">
            <v>PPM</v>
          </cell>
          <cell r="AI1366" t="str">
            <v>Strands</v>
          </cell>
          <cell r="AJ1366" t="str">
            <v>Strands PW</v>
          </cell>
        </row>
        <row r="1367">
          <cell r="A1367" t="str">
            <v>IKN401045</v>
          </cell>
          <cell r="B1367">
            <v>1043</v>
          </cell>
          <cell r="C1367" t="str">
            <v>Institut Kanser Negara</v>
          </cell>
          <cell r="D1367" t="str">
            <v>KKM/IKN/H/13/158</v>
          </cell>
          <cell r="E1367" t="str">
            <v>12-647</v>
          </cell>
          <cell r="F1367" t="str">
            <v>Physiologic Monitoring Systems, Acute Care</v>
          </cell>
          <cell r="G1367" t="str">
            <v>OT</v>
          </cell>
          <cell r="H1367" t="str">
            <v>OPERATING THEATRE</v>
          </cell>
          <cell r="I1367" t="str">
            <v>05OT159</v>
          </cell>
          <cell r="J1367" t="str">
            <v>POST-OP/RECOVERY (FUTURE)</v>
          </cell>
          <cell r="K1367" t="str">
            <v>BMED</v>
          </cell>
          <cell r="L1367" t="str">
            <v>Critical</v>
          </cell>
          <cell r="M1367" t="str">
            <v>Finland</v>
          </cell>
          <cell r="N1367" t="str">
            <v>CareScape</v>
          </cell>
          <cell r="O1367" t="str">
            <v>CareScape B650</v>
          </cell>
          <cell r="P1367" t="str">
            <v>SEW12357501HA</v>
          </cell>
          <cell r="Q1367" t="str">
            <v>Not Applicable</v>
          </cell>
          <cell r="R1367" t="str">
            <v>GE Medical Systems</v>
          </cell>
          <cell r="S1367" t="str">
            <v>GE Healthcare Technologies</v>
          </cell>
          <cell r="T1367" t="str">
            <v>Functioning</v>
          </cell>
          <cell r="U1367" t="str">
            <v>Asset</v>
          </cell>
          <cell r="V1367">
            <v>87400</v>
          </cell>
          <cell r="W1367" t="str">
            <v>KEW</v>
          </cell>
          <cell r="X1367" t="str">
            <v>01/09/2010</v>
          </cell>
          <cell r="Y1367" t="str">
            <v>KEW</v>
          </cell>
          <cell r="Z1367" t="str">
            <v>16/08/2013</v>
          </cell>
          <cell r="AA1367" t="str">
            <v>15/08/2015</v>
          </cell>
          <cell r="AB1367" t="str">
            <v>No</v>
          </cell>
          <cell r="AC1367" t="str">
            <v>31/08/2013</v>
          </cell>
          <cell r="AD1367" t="str">
            <v>Good</v>
          </cell>
          <cell r="AE1367" t="str">
            <v>V1 - Existing / No Claim</v>
          </cell>
          <cell r="AF1367">
            <v>42803</v>
          </cell>
          <cell r="AG1367">
            <v>9.17</v>
          </cell>
          <cell r="AH1367" t="str">
            <v>PPM</v>
          </cell>
          <cell r="AI1367" t="str">
            <v>Strands</v>
          </cell>
          <cell r="AJ1367" t="str">
            <v>Strands PW</v>
          </cell>
        </row>
        <row r="1368">
          <cell r="A1368" t="str">
            <v>IKN401046</v>
          </cell>
          <cell r="B1368">
            <v>1044</v>
          </cell>
          <cell r="C1368" t="str">
            <v>Institut Kanser Negara</v>
          </cell>
          <cell r="D1368" t="e">
            <v>#N/A</v>
          </cell>
          <cell r="E1368" t="str">
            <v>11-134</v>
          </cell>
          <cell r="F1368" t="str">
            <v>Defibrillators, External, Manual</v>
          </cell>
          <cell r="G1368" t="str">
            <v>OT</v>
          </cell>
          <cell r="H1368" t="str">
            <v>OPERATING THEATRE</v>
          </cell>
          <cell r="I1368" t="str">
            <v>05OT150</v>
          </cell>
          <cell r="J1368" t="str">
            <v>RECEPTION STAFF BASE</v>
          </cell>
          <cell r="K1368" t="str">
            <v>BMED</v>
          </cell>
          <cell r="L1368" t="str">
            <v>Critical</v>
          </cell>
          <cell r="M1368" t="str">
            <v>USA</v>
          </cell>
          <cell r="N1368" t="str">
            <v>Responder</v>
          </cell>
          <cell r="O1368" t="str">
            <v>Responder 2000</v>
          </cell>
          <cell r="P1368" t="str">
            <v>3206700</v>
          </cell>
          <cell r="Q1368" t="str">
            <v>Not Applicable</v>
          </cell>
          <cell r="R1368" t="str">
            <v>GE Medical Systems</v>
          </cell>
          <cell r="S1368" t="str">
            <v>Antah Sir Radin Sdn. Bhd.</v>
          </cell>
          <cell r="T1368" t="str">
            <v>Functioning</v>
          </cell>
          <cell r="U1368" t="str">
            <v>Asset</v>
          </cell>
          <cell r="V1368">
            <v>45000</v>
          </cell>
          <cell r="W1368" t="str">
            <v>Estimate</v>
          </cell>
          <cell r="X1368" t="str">
            <v>01/09/2010</v>
          </cell>
          <cell r="Y1368" t="str">
            <v>KEW</v>
          </cell>
          <cell r="Z1368" t="str">
            <v>16/08/2013</v>
          </cell>
          <cell r="AA1368" t="str">
            <v>15/08/2015</v>
          </cell>
          <cell r="AB1368" t="str">
            <v>No</v>
          </cell>
          <cell r="AC1368" t="str">
            <v>31/08/2013</v>
          </cell>
          <cell r="AD1368" t="str">
            <v>Good</v>
          </cell>
          <cell r="AE1368" t="str">
            <v>V1 - Existing / No Claim</v>
          </cell>
          <cell r="AF1368">
            <v>42605</v>
          </cell>
          <cell r="AG1368">
            <v>9.17</v>
          </cell>
          <cell r="AH1368" t="str">
            <v>PPM</v>
          </cell>
          <cell r="AI1368" t="str">
            <v>Strands</v>
          </cell>
          <cell r="AJ1368" t="str">
            <v>Strands PW</v>
          </cell>
          <cell r="AK1368" t="str">
            <v>Crash Trolley (FEMS)</v>
          </cell>
        </row>
        <row r="1369">
          <cell r="A1369" t="str">
            <v>IKN401047</v>
          </cell>
          <cell r="B1369">
            <v>1045</v>
          </cell>
          <cell r="C1369" t="str">
            <v>Institut Kanser Negara</v>
          </cell>
          <cell r="D1369" t="str">
            <v>KKM/IKN/H/13/3737</v>
          </cell>
          <cell r="E1369" t="str">
            <v>13-249</v>
          </cell>
          <cell r="F1369" t="str">
            <v>Warming Units, Patient, Radiant, Adult</v>
          </cell>
          <cell r="G1369" t="str">
            <v>OT</v>
          </cell>
          <cell r="H1369" t="str">
            <v>OPERATING THEATRE</v>
          </cell>
          <cell r="I1369" t="str">
            <v>05OT159</v>
          </cell>
          <cell r="J1369" t="str">
            <v>POST-OP/RECOVERY (FUTURE)</v>
          </cell>
          <cell r="K1369" t="str">
            <v>BMED</v>
          </cell>
          <cell r="L1369" t="str">
            <v>Normal</v>
          </cell>
          <cell r="M1369" t="str">
            <v>Sweden</v>
          </cell>
          <cell r="N1369" t="str">
            <v>Aragona</v>
          </cell>
          <cell r="O1369" t="str">
            <v>Aragona MTC-410</v>
          </cell>
          <cell r="P1369" t="str">
            <v>1203</v>
          </cell>
          <cell r="Q1369" t="str">
            <v>Not Applicable</v>
          </cell>
          <cell r="R1369" t="str">
            <v>Aspira Medical AB</v>
          </cell>
          <cell r="S1369" t="str">
            <v>Perniagaan Med Tech</v>
          </cell>
          <cell r="T1369" t="str">
            <v>Functioning</v>
          </cell>
          <cell r="U1369" t="str">
            <v>Asset</v>
          </cell>
          <cell r="V1369">
            <v>12630</v>
          </cell>
          <cell r="W1369" t="str">
            <v>KEW</v>
          </cell>
          <cell r="X1369" t="str">
            <v>01/09/2010</v>
          </cell>
          <cell r="Y1369" t="str">
            <v>KEW</v>
          </cell>
          <cell r="Z1369" t="str">
            <v>16/08/2013</v>
          </cell>
          <cell r="AA1369" t="str">
            <v>15/08/2015</v>
          </cell>
          <cell r="AB1369" t="str">
            <v>No</v>
          </cell>
          <cell r="AC1369" t="str">
            <v>31/08/2013</v>
          </cell>
          <cell r="AD1369" t="str">
            <v>Good</v>
          </cell>
          <cell r="AE1369" t="str">
            <v>V1 - Existing / No Claim</v>
          </cell>
          <cell r="AF1369">
            <v>42803</v>
          </cell>
          <cell r="AG1369">
            <v>9.17</v>
          </cell>
          <cell r="AH1369" t="str">
            <v>PPM</v>
          </cell>
          <cell r="AI1369" t="str">
            <v>Strands</v>
          </cell>
          <cell r="AJ1369" t="str">
            <v>Strands PW</v>
          </cell>
        </row>
        <row r="1370">
          <cell r="A1370" t="str">
            <v>IKN401048</v>
          </cell>
          <cell r="B1370">
            <v>1046</v>
          </cell>
          <cell r="C1370" t="str">
            <v>Institut Kanser Negara</v>
          </cell>
          <cell r="D1370" t="str">
            <v>KKM/IKN/H/13/3736</v>
          </cell>
          <cell r="E1370" t="str">
            <v>13-249</v>
          </cell>
          <cell r="F1370" t="str">
            <v>Warming Units, Patient, Radiant, Adult</v>
          </cell>
          <cell r="G1370" t="str">
            <v>OT</v>
          </cell>
          <cell r="H1370" t="str">
            <v>OPERATING THEATRE</v>
          </cell>
          <cell r="I1370" t="str">
            <v>05OT159</v>
          </cell>
          <cell r="J1370" t="str">
            <v>POST-OP/RECOVERY (FUTURE)</v>
          </cell>
          <cell r="K1370" t="str">
            <v>BMED</v>
          </cell>
          <cell r="L1370" t="str">
            <v>Normal</v>
          </cell>
          <cell r="M1370" t="str">
            <v>Sweden</v>
          </cell>
          <cell r="N1370" t="str">
            <v>Aragona</v>
          </cell>
          <cell r="O1370" t="str">
            <v>Aragona MTC-410</v>
          </cell>
          <cell r="P1370" t="str">
            <v>1210</v>
          </cell>
          <cell r="Q1370" t="str">
            <v>Not Applicable</v>
          </cell>
          <cell r="R1370" t="str">
            <v>Aspira Medical AB</v>
          </cell>
          <cell r="S1370" t="str">
            <v>Perniagaan Med Tech</v>
          </cell>
          <cell r="T1370" t="str">
            <v>Functioning</v>
          </cell>
          <cell r="U1370" t="str">
            <v>Asset</v>
          </cell>
          <cell r="V1370">
            <v>12630</v>
          </cell>
          <cell r="W1370" t="str">
            <v>KEW</v>
          </cell>
          <cell r="X1370" t="str">
            <v>01/09/2010</v>
          </cell>
          <cell r="Y1370" t="str">
            <v>KEW</v>
          </cell>
          <cell r="Z1370" t="str">
            <v>16/08/2013</v>
          </cell>
          <cell r="AA1370" t="str">
            <v>15/08/2015</v>
          </cell>
          <cell r="AB1370" t="str">
            <v>No</v>
          </cell>
          <cell r="AC1370" t="str">
            <v>31/08/2013</v>
          </cell>
          <cell r="AD1370" t="str">
            <v>Good</v>
          </cell>
          <cell r="AE1370" t="str">
            <v>V1 - Existing / No Claim</v>
          </cell>
          <cell r="AF1370">
            <v>42803</v>
          </cell>
          <cell r="AG1370">
            <v>9.17</v>
          </cell>
          <cell r="AH1370" t="str">
            <v>PPM</v>
          </cell>
          <cell r="AI1370" t="str">
            <v>Strands</v>
          </cell>
          <cell r="AJ1370" t="str">
            <v>Strands PW</v>
          </cell>
        </row>
        <row r="1371">
          <cell r="A1371" t="str">
            <v>IKN401049</v>
          </cell>
          <cell r="B1371">
            <v>1047</v>
          </cell>
          <cell r="C1371" t="str">
            <v>Institut Kanser Negara</v>
          </cell>
          <cell r="D1371" t="str">
            <v>KKM/IKN/H/13/156</v>
          </cell>
          <cell r="E1371" t="str">
            <v>12-647</v>
          </cell>
          <cell r="F1371" t="str">
            <v>Physiologic Monitoring Systems, Acute Care</v>
          </cell>
          <cell r="G1371" t="str">
            <v>OT</v>
          </cell>
          <cell r="H1371" t="str">
            <v>OPERATING THEATRE</v>
          </cell>
          <cell r="I1371" t="str">
            <v>05OT159</v>
          </cell>
          <cell r="J1371" t="str">
            <v>POST-OP/RECOVERY (FUTURE)</v>
          </cell>
          <cell r="K1371" t="str">
            <v>BMED</v>
          </cell>
          <cell r="L1371" t="str">
            <v>Critical</v>
          </cell>
          <cell r="M1371" t="str">
            <v>Finland</v>
          </cell>
          <cell r="N1371" t="str">
            <v>CareScape</v>
          </cell>
          <cell r="O1371" t="str">
            <v>CareScape B650</v>
          </cell>
          <cell r="P1371" t="str">
            <v>SEW12357515HA</v>
          </cell>
          <cell r="Q1371" t="str">
            <v>Not Applicable</v>
          </cell>
          <cell r="R1371" t="str">
            <v>GE Medical Systems</v>
          </cell>
          <cell r="S1371" t="str">
            <v>GE Healthcare Technologies</v>
          </cell>
          <cell r="T1371" t="str">
            <v>Functioning</v>
          </cell>
          <cell r="U1371" t="str">
            <v>Asset</v>
          </cell>
          <cell r="V1371">
            <v>87400</v>
          </cell>
          <cell r="W1371" t="str">
            <v>KEW</v>
          </cell>
          <cell r="X1371" t="str">
            <v>01/09/2010</v>
          </cell>
          <cell r="Y1371" t="str">
            <v>KEW</v>
          </cell>
          <cell r="Z1371" t="str">
            <v>16/08/2013</v>
          </cell>
          <cell r="AA1371" t="str">
            <v>15/08/2015</v>
          </cell>
          <cell r="AB1371" t="str">
            <v>No</v>
          </cell>
          <cell r="AC1371" t="str">
            <v>31/08/2013</v>
          </cell>
          <cell r="AD1371" t="str">
            <v>Good</v>
          </cell>
          <cell r="AE1371" t="str">
            <v>V1 - Existing / No Claim</v>
          </cell>
          <cell r="AF1371">
            <v>42803</v>
          </cell>
          <cell r="AG1371">
            <v>9.17</v>
          </cell>
          <cell r="AH1371" t="str">
            <v>PPM</v>
          </cell>
          <cell r="AI1371" t="str">
            <v>Strands</v>
          </cell>
          <cell r="AJ1371" t="str">
            <v>Strands PW</v>
          </cell>
        </row>
        <row r="1372">
          <cell r="A1372" t="str">
            <v>IKN401050</v>
          </cell>
          <cell r="B1372">
            <v>1048</v>
          </cell>
          <cell r="C1372" t="str">
            <v>Institut Kanser Negara</v>
          </cell>
          <cell r="D1372" t="str">
            <v>KKM/IKN/H/13/159</v>
          </cell>
          <cell r="E1372" t="str">
            <v>12-647</v>
          </cell>
          <cell r="F1372" t="str">
            <v>Physiologic Monitoring Systems, Acute Care</v>
          </cell>
          <cell r="G1372" t="str">
            <v>OT</v>
          </cell>
          <cell r="H1372" t="str">
            <v>OPERATING THEATRE</v>
          </cell>
          <cell r="I1372" t="str">
            <v>05OT159</v>
          </cell>
          <cell r="J1372" t="str">
            <v>POST-OP/RECOVERY (FUTURE)</v>
          </cell>
          <cell r="K1372" t="str">
            <v>BMED</v>
          </cell>
          <cell r="L1372" t="str">
            <v>Critical</v>
          </cell>
          <cell r="M1372" t="str">
            <v>Finland</v>
          </cell>
          <cell r="N1372" t="str">
            <v>CareScape</v>
          </cell>
          <cell r="O1372" t="str">
            <v>CareScape B650</v>
          </cell>
          <cell r="P1372" t="str">
            <v>SEW12357357HA</v>
          </cell>
          <cell r="Q1372" t="str">
            <v>Not Applicable</v>
          </cell>
          <cell r="R1372" t="str">
            <v>GE Medical Systems</v>
          </cell>
          <cell r="S1372" t="str">
            <v>GE Healthcare Technologies</v>
          </cell>
          <cell r="T1372" t="str">
            <v>Functioning</v>
          </cell>
          <cell r="U1372" t="str">
            <v>Asset</v>
          </cell>
          <cell r="V1372">
            <v>87400</v>
          </cell>
          <cell r="W1372" t="str">
            <v>KEW</v>
          </cell>
          <cell r="X1372" t="str">
            <v>01/09/2010</v>
          </cell>
          <cell r="Y1372" t="str">
            <v>KEW</v>
          </cell>
          <cell r="Z1372" t="str">
            <v>16/08/2013</v>
          </cell>
          <cell r="AA1372" t="str">
            <v>15/08/2015</v>
          </cell>
          <cell r="AB1372" t="str">
            <v>No</v>
          </cell>
          <cell r="AC1372" t="str">
            <v>31/08/2013</v>
          </cell>
          <cell r="AD1372" t="str">
            <v>Good</v>
          </cell>
          <cell r="AE1372" t="str">
            <v>V1 - Existing / No Claim</v>
          </cell>
          <cell r="AF1372">
            <v>42803</v>
          </cell>
          <cell r="AG1372">
            <v>9.17</v>
          </cell>
          <cell r="AH1372" t="str">
            <v>PPM</v>
          </cell>
          <cell r="AI1372" t="str">
            <v>Strands</v>
          </cell>
          <cell r="AJ1372" t="str">
            <v>Strands PW</v>
          </cell>
        </row>
        <row r="1373">
          <cell r="A1373" t="str">
            <v>IKN401051</v>
          </cell>
          <cell r="B1373">
            <v>1049</v>
          </cell>
          <cell r="C1373" t="str">
            <v>Institut Kanser Negara</v>
          </cell>
          <cell r="D1373" t="str">
            <v>KKM/IKN/H/13/4844</v>
          </cell>
          <cell r="E1373" t="str">
            <v>17-793</v>
          </cell>
          <cell r="F1373" t="str">
            <v>Infusion/ Monitoring Line Organizer System</v>
          </cell>
          <cell r="G1373" t="str">
            <v>OT</v>
          </cell>
          <cell r="H1373" t="str">
            <v>OPERATING THEATRE</v>
          </cell>
          <cell r="I1373" t="str">
            <v>05OT123</v>
          </cell>
          <cell r="J1373" t="str">
            <v>0T 1</v>
          </cell>
          <cell r="K1373" t="str">
            <v>BMED</v>
          </cell>
          <cell r="L1373" t="str">
            <v>Normal</v>
          </cell>
          <cell r="M1373" t="str">
            <v>Germany</v>
          </cell>
          <cell r="N1373" t="str">
            <v>Space Station</v>
          </cell>
          <cell r="O1373" t="str">
            <v>Space Station</v>
          </cell>
          <cell r="P1373" t="str">
            <v>13981</v>
          </cell>
          <cell r="Q1373" t="str">
            <v>Not Applicable</v>
          </cell>
          <cell r="R1373" t="str">
            <v>B Braun Melsungen AG</v>
          </cell>
          <cell r="S1373" t="str">
            <v>B Braun Medical Supplies Sdn. Bhd.</v>
          </cell>
          <cell r="T1373" t="str">
            <v>Functioning</v>
          </cell>
          <cell r="U1373" t="str">
            <v>Asset</v>
          </cell>
          <cell r="V1373">
            <v>84200</v>
          </cell>
          <cell r="W1373" t="str">
            <v>KEW</v>
          </cell>
          <cell r="X1373" t="str">
            <v>01/09/2010</v>
          </cell>
          <cell r="Y1373" t="str">
            <v>KEW</v>
          </cell>
          <cell r="Z1373" t="str">
            <v>16/08/2013</v>
          </cell>
          <cell r="AA1373" t="str">
            <v>15/08/2015</v>
          </cell>
          <cell r="AB1373" t="str">
            <v>No</v>
          </cell>
          <cell r="AC1373" t="str">
            <v>31/08/2013</v>
          </cell>
          <cell r="AD1373" t="str">
            <v>Good</v>
          </cell>
          <cell r="AE1373" t="str">
            <v>V1 - Existing / No Claim</v>
          </cell>
          <cell r="AF1373">
            <v>42235</v>
          </cell>
          <cell r="AG1373">
            <v>9.17</v>
          </cell>
          <cell r="AH1373" t="str">
            <v>PPM</v>
          </cell>
          <cell r="AI1373" t="str">
            <v>Strands</v>
          </cell>
          <cell r="AJ1373" t="str">
            <v>Strands PW</v>
          </cell>
        </row>
        <row r="1374">
          <cell r="A1374" t="str">
            <v>IKN401052</v>
          </cell>
          <cell r="B1374">
            <v>1050</v>
          </cell>
          <cell r="C1374" t="str">
            <v>Institut Kanser Negara</v>
          </cell>
          <cell r="D1374" t="str">
            <v>KKM/IKN/H/13/4481</v>
          </cell>
          <cell r="E1374" t="str">
            <v>16-924</v>
          </cell>
          <cell r="F1374" t="str">
            <v>Infusion Pumps, Patient-Controlled Analgesic</v>
          </cell>
          <cell r="G1374" t="str">
            <v>OT</v>
          </cell>
          <cell r="H1374" t="str">
            <v>OPERATING THEATRE</v>
          </cell>
          <cell r="I1374" t="str">
            <v>05OT123</v>
          </cell>
          <cell r="J1374" t="str">
            <v>0T 1</v>
          </cell>
          <cell r="K1374" t="str">
            <v>BMED</v>
          </cell>
          <cell r="L1374" t="str">
            <v>Normal</v>
          </cell>
          <cell r="M1374" t="str">
            <v>Germany</v>
          </cell>
          <cell r="N1374" t="str">
            <v>Perfusor</v>
          </cell>
          <cell r="O1374" t="str">
            <v>Perfusor Space PCA</v>
          </cell>
          <cell r="P1374" t="str">
            <v>187054</v>
          </cell>
          <cell r="Q1374" t="str">
            <v>Not Applicable</v>
          </cell>
          <cell r="R1374" t="str">
            <v>B Braun Melsungen AG</v>
          </cell>
          <cell r="S1374" t="str">
            <v>B Braun Medical Supplies Sdn. Bhd.</v>
          </cell>
          <cell r="T1374" t="str">
            <v>Functioning</v>
          </cell>
          <cell r="U1374" t="str">
            <v>Asset</v>
          </cell>
          <cell r="V1374">
            <v>9622</v>
          </cell>
          <cell r="W1374" t="str">
            <v>KEW</v>
          </cell>
          <cell r="X1374" t="str">
            <v>01/09/2010</v>
          </cell>
          <cell r="Y1374" t="str">
            <v>KEW</v>
          </cell>
          <cell r="Z1374" t="str">
            <v>16/08/2013</v>
          </cell>
          <cell r="AA1374" t="str">
            <v>15/08/2015</v>
          </cell>
          <cell r="AB1374" t="str">
            <v>No</v>
          </cell>
          <cell r="AC1374" t="str">
            <v>31/08/2013</v>
          </cell>
          <cell r="AD1374" t="str">
            <v>Good</v>
          </cell>
          <cell r="AE1374" t="str">
            <v>V1 - Existing / No Claim</v>
          </cell>
          <cell r="AF1374">
            <v>42235</v>
          </cell>
          <cell r="AG1374">
            <v>9.17</v>
          </cell>
          <cell r="AH1374" t="str">
            <v>PPM</v>
          </cell>
          <cell r="AI1374" t="str">
            <v>Strands</v>
          </cell>
          <cell r="AJ1374" t="str">
            <v>Strands PW</v>
          </cell>
        </row>
        <row r="1375">
          <cell r="A1375" t="str">
            <v>IKN401053</v>
          </cell>
          <cell r="B1375">
            <v>1051</v>
          </cell>
          <cell r="C1375" t="str">
            <v>Institut Kanser Negara</v>
          </cell>
          <cell r="D1375" t="str">
            <v>KKM/IKN/H/13/3883</v>
          </cell>
          <cell r="E1375" t="str">
            <v>10-447</v>
          </cell>
          <cell r="F1375" t="str">
            <v>Warming Units, Blood/Solution</v>
          </cell>
          <cell r="G1375" t="str">
            <v>OT</v>
          </cell>
          <cell r="H1375" t="str">
            <v>OPERATING THEATRE</v>
          </cell>
          <cell r="I1375" t="str">
            <v>05OT169</v>
          </cell>
          <cell r="J1375" t="str">
            <v>EQ. ROOM</v>
          </cell>
          <cell r="K1375" t="str">
            <v>BMED</v>
          </cell>
          <cell r="L1375" t="str">
            <v>Normal</v>
          </cell>
          <cell r="M1375" t="str">
            <v>Japan</v>
          </cell>
          <cell r="N1375" t="str">
            <v>Animec</v>
          </cell>
          <cell r="O1375" t="str">
            <v>Animec AM-301</v>
          </cell>
          <cell r="P1375" t="str">
            <v>2012D0057</v>
          </cell>
          <cell r="Q1375" t="str">
            <v>Not Applicable</v>
          </cell>
          <cell r="R1375" t="str">
            <v>Elltec Co Ltd</v>
          </cell>
          <cell r="S1375" t="str">
            <v>IDS Services (Malaysia) Sdn Bhd</v>
          </cell>
          <cell r="T1375" t="str">
            <v>Functioning</v>
          </cell>
          <cell r="U1375" t="str">
            <v>Asset</v>
          </cell>
          <cell r="V1375">
            <v>4990</v>
          </cell>
          <cell r="W1375" t="str">
            <v>KEW</v>
          </cell>
          <cell r="X1375" t="str">
            <v>01/09/2010</v>
          </cell>
          <cell r="Y1375" t="str">
            <v>KEW</v>
          </cell>
          <cell r="Z1375" t="str">
            <v>16/08/2013</v>
          </cell>
          <cell r="AA1375" t="str">
            <v>15/08/2015</v>
          </cell>
          <cell r="AB1375" t="str">
            <v>No</v>
          </cell>
          <cell r="AC1375" t="str">
            <v>31/08/2013</v>
          </cell>
          <cell r="AD1375" t="str">
            <v>Good</v>
          </cell>
          <cell r="AE1375" t="str">
            <v>V1 - Existing / No Claim</v>
          </cell>
          <cell r="AF1375">
            <v>42803</v>
          </cell>
          <cell r="AG1375">
            <v>9.17</v>
          </cell>
          <cell r="AH1375" t="str">
            <v>PPM</v>
          </cell>
          <cell r="AI1375" t="str">
            <v>Strands</v>
          </cell>
          <cell r="AJ1375" t="str">
            <v>Strands PW</v>
          </cell>
        </row>
        <row r="1376">
          <cell r="A1376" t="str">
            <v>IKN401054</v>
          </cell>
          <cell r="B1376">
            <v>1052</v>
          </cell>
          <cell r="C1376" t="str">
            <v>Institut Kanser Negara</v>
          </cell>
          <cell r="D1376" t="str">
            <v>KKM/IKN/H/13/3885</v>
          </cell>
          <cell r="E1376" t="str">
            <v>10-447</v>
          </cell>
          <cell r="F1376" t="str">
            <v>Warming Units, Blood/Solution</v>
          </cell>
          <cell r="G1376" t="str">
            <v>OT</v>
          </cell>
          <cell r="H1376" t="str">
            <v>OPERATING THEATRE</v>
          </cell>
          <cell r="I1376" t="str">
            <v>05OT169</v>
          </cell>
          <cell r="J1376" t="str">
            <v>EQ. ROOM</v>
          </cell>
          <cell r="K1376" t="str">
            <v>BMED</v>
          </cell>
          <cell r="L1376" t="str">
            <v>Normal</v>
          </cell>
          <cell r="M1376" t="str">
            <v>Japan</v>
          </cell>
          <cell r="N1376" t="str">
            <v>Animec</v>
          </cell>
          <cell r="O1376" t="str">
            <v>Animec AM-301</v>
          </cell>
          <cell r="P1376" t="str">
            <v>2013D0251</v>
          </cell>
          <cell r="Q1376" t="str">
            <v>Not Applicable</v>
          </cell>
          <cell r="R1376" t="str">
            <v>Elltec Co Ltd</v>
          </cell>
          <cell r="S1376" t="str">
            <v>IDS Services (Malaysia) Sdn Bhd</v>
          </cell>
          <cell r="T1376" t="str">
            <v>Functioning</v>
          </cell>
          <cell r="U1376" t="str">
            <v>Asset</v>
          </cell>
          <cell r="V1376">
            <v>4990</v>
          </cell>
          <cell r="W1376" t="str">
            <v>KEW</v>
          </cell>
          <cell r="X1376" t="str">
            <v>01/09/2010</v>
          </cell>
          <cell r="Y1376" t="str">
            <v>KEW</v>
          </cell>
          <cell r="Z1376" t="str">
            <v>16/08/2013</v>
          </cell>
          <cell r="AA1376" t="str">
            <v>15/08/2015</v>
          </cell>
          <cell r="AB1376" t="str">
            <v>No</v>
          </cell>
          <cell r="AC1376" t="str">
            <v>31/08/2013</v>
          </cell>
          <cell r="AD1376" t="str">
            <v>Good</v>
          </cell>
          <cell r="AE1376" t="str">
            <v>V1 - Existing / No Claim</v>
          </cell>
          <cell r="AF1376">
            <v>42803</v>
          </cell>
          <cell r="AG1376">
            <v>9.17</v>
          </cell>
          <cell r="AH1376" t="str">
            <v>PPM</v>
          </cell>
          <cell r="AI1376" t="str">
            <v>Strands</v>
          </cell>
          <cell r="AJ1376" t="str">
            <v>Strands PW</v>
          </cell>
        </row>
        <row r="1377">
          <cell r="A1377" t="str">
            <v>IKN401055</v>
          </cell>
          <cell r="B1377">
            <v>1053</v>
          </cell>
          <cell r="C1377" t="str">
            <v>Institut Kanser Negara</v>
          </cell>
          <cell r="D1377" t="str">
            <v>KKM/IKN/H/13/3884</v>
          </cell>
          <cell r="E1377" t="str">
            <v>10-447</v>
          </cell>
          <cell r="F1377" t="str">
            <v>Warming Units, Blood/Solution</v>
          </cell>
          <cell r="G1377" t="str">
            <v>OT</v>
          </cell>
          <cell r="H1377" t="str">
            <v>OPERATING THEATRE</v>
          </cell>
          <cell r="I1377" t="str">
            <v>05OT169</v>
          </cell>
          <cell r="J1377" t="str">
            <v>EQ. ROOM</v>
          </cell>
          <cell r="K1377" t="str">
            <v>BMED</v>
          </cell>
          <cell r="L1377" t="str">
            <v>Normal</v>
          </cell>
          <cell r="M1377" t="str">
            <v>Japan</v>
          </cell>
          <cell r="N1377" t="str">
            <v>Animec</v>
          </cell>
          <cell r="O1377" t="str">
            <v>Animec AM-301</v>
          </cell>
          <cell r="P1377" t="str">
            <v>2012D0058</v>
          </cell>
          <cell r="Q1377" t="str">
            <v>Not Applicable</v>
          </cell>
          <cell r="R1377" t="str">
            <v>Elltec Co Ltd</v>
          </cell>
          <cell r="S1377" t="str">
            <v>IDS Services (Malaysia) Sdn Bhd</v>
          </cell>
          <cell r="T1377" t="str">
            <v>Functioning</v>
          </cell>
          <cell r="U1377" t="str">
            <v>Asset</v>
          </cell>
          <cell r="V1377">
            <v>4990</v>
          </cell>
          <cell r="W1377" t="str">
            <v>KEW</v>
          </cell>
          <cell r="X1377" t="str">
            <v>01/09/2010</v>
          </cell>
          <cell r="Y1377" t="str">
            <v>KEW</v>
          </cell>
          <cell r="Z1377" t="str">
            <v>16/08/2013</v>
          </cell>
          <cell r="AA1377" t="str">
            <v>15/08/2015</v>
          </cell>
          <cell r="AB1377" t="str">
            <v>No</v>
          </cell>
          <cell r="AC1377" t="str">
            <v>31/08/2013</v>
          </cell>
          <cell r="AD1377" t="str">
            <v>Good</v>
          </cell>
          <cell r="AE1377" t="str">
            <v>V1 - Existing / No Claim</v>
          </cell>
          <cell r="AF1377">
            <v>42803</v>
          </cell>
          <cell r="AG1377">
            <v>9.17</v>
          </cell>
          <cell r="AH1377" t="str">
            <v>PPM</v>
          </cell>
          <cell r="AI1377" t="str">
            <v>Strands</v>
          </cell>
          <cell r="AJ1377" t="str">
            <v>Strands PW</v>
          </cell>
        </row>
        <row r="1378">
          <cell r="A1378" t="str">
            <v>IKN401056</v>
          </cell>
          <cell r="B1378">
            <v>1054</v>
          </cell>
          <cell r="C1378" t="str">
            <v>Institut Kanser Negara</v>
          </cell>
          <cell r="D1378" t="str">
            <v>KKM/IKN/H/13/3886</v>
          </cell>
          <cell r="E1378" t="str">
            <v>10-447</v>
          </cell>
          <cell r="F1378" t="str">
            <v>Warming Units, Blood/Solution</v>
          </cell>
          <cell r="G1378" t="str">
            <v>OT</v>
          </cell>
          <cell r="H1378" t="str">
            <v>OPERATING THEATRE</v>
          </cell>
          <cell r="I1378" t="str">
            <v>05OT169</v>
          </cell>
          <cell r="J1378" t="str">
            <v>EQ. ROOM</v>
          </cell>
          <cell r="K1378" t="str">
            <v>BMED</v>
          </cell>
          <cell r="L1378" t="str">
            <v>Normal</v>
          </cell>
          <cell r="M1378" t="str">
            <v>Japan</v>
          </cell>
          <cell r="N1378" t="str">
            <v>Animec</v>
          </cell>
          <cell r="O1378" t="str">
            <v>Animec AM-301</v>
          </cell>
          <cell r="P1378" t="str">
            <v>2013D0252</v>
          </cell>
          <cell r="Q1378" t="str">
            <v>Not Applicable</v>
          </cell>
          <cell r="R1378" t="str">
            <v>Elltec Co Ltd</v>
          </cell>
          <cell r="S1378" t="str">
            <v>IDS Services (Malaysia) Sdn Bhd</v>
          </cell>
          <cell r="T1378" t="str">
            <v>Functioning</v>
          </cell>
          <cell r="U1378" t="str">
            <v>Asset</v>
          </cell>
          <cell r="V1378">
            <v>4990</v>
          </cell>
          <cell r="W1378" t="str">
            <v>KEW</v>
          </cell>
          <cell r="X1378" t="str">
            <v>01/09/2010</v>
          </cell>
          <cell r="Y1378" t="str">
            <v>KEW</v>
          </cell>
          <cell r="Z1378" t="str">
            <v>16/08/2013</v>
          </cell>
          <cell r="AA1378" t="str">
            <v>15/08/2015</v>
          </cell>
          <cell r="AB1378" t="str">
            <v>No</v>
          </cell>
          <cell r="AC1378" t="str">
            <v>31/08/2013</v>
          </cell>
          <cell r="AD1378" t="str">
            <v>Good</v>
          </cell>
          <cell r="AE1378" t="str">
            <v>V1 - Existing / No Claim</v>
          </cell>
          <cell r="AF1378">
            <v>42803</v>
          </cell>
          <cell r="AG1378">
            <v>9.17</v>
          </cell>
          <cell r="AH1378" t="str">
            <v>PPM</v>
          </cell>
          <cell r="AI1378" t="str">
            <v>Strands</v>
          </cell>
          <cell r="AJ1378" t="str">
            <v>Strands PW</v>
          </cell>
        </row>
        <row r="1379">
          <cell r="A1379" t="str">
            <v>IKN401057</v>
          </cell>
          <cell r="B1379">
            <v>1055</v>
          </cell>
          <cell r="C1379" t="str">
            <v>Institut Kanser Negara</v>
          </cell>
          <cell r="D1379" t="str">
            <v>KKM/IKN/H/13/3601</v>
          </cell>
          <cell r="E1379" t="str">
            <v>17-950</v>
          </cell>
          <cell r="F1379" t="str">
            <v>Warming Units, Patient, Forced-Air</v>
          </cell>
          <cell r="G1379" t="str">
            <v>OT</v>
          </cell>
          <cell r="H1379" t="str">
            <v>OPERATING THEATRE</v>
          </cell>
          <cell r="I1379" t="str">
            <v>05OT128</v>
          </cell>
          <cell r="J1379" t="str">
            <v>PRE-OP / PATIENT HOLDING</v>
          </cell>
          <cell r="K1379" t="str">
            <v>BMED</v>
          </cell>
          <cell r="L1379" t="str">
            <v>Normal</v>
          </cell>
          <cell r="M1379" t="str">
            <v>USA</v>
          </cell>
          <cell r="N1379" t="str">
            <v>Bair Hugger</v>
          </cell>
          <cell r="O1379" t="str">
            <v>Bair Hugger 775</v>
          </cell>
          <cell r="P1379" t="str">
            <v>35926</v>
          </cell>
          <cell r="Q1379" t="str">
            <v>Not Applicable</v>
          </cell>
          <cell r="R1379" t="str">
            <v>Arizant Healthcare Inc</v>
          </cell>
          <cell r="S1379" t="str">
            <v>Calmed Healthcare Sdn Bhd</v>
          </cell>
          <cell r="T1379" t="str">
            <v>Functioning</v>
          </cell>
          <cell r="U1379" t="str">
            <v>Asset</v>
          </cell>
          <cell r="V1379">
            <v>15515</v>
          </cell>
          <cell r="W1379" t="str">
            <v>KEW</v>
          </cell>
          <cell r="X1379" t="str">
            <v>01/09/2010</v>
          </cell>
          <cell r="Y1379" t="str">
            <v>KEW</v>
          </cell>
          <cell r="Z1379" t="str">
            <v>16/08/2013</v>
          </cell>
          <cell r="AA1379" t="str">
            <v>15/08/2015</v>
          </cell>
          <cell r="AB1379" t="str">
            <v>No</v>
          </cell>
          <cell r="AC1379" t="str">
            <v>31/08/2013</v>
          </cell>
          <cell r="AD1379" t="str">
            <v>Good</v>
          </cell>
          <cell r="AE1379" t="str">
            <v>V1 - Existing / No Claim</v>
          </cell>
          <cell r="AF1379">
            <v>42235</v>
          </cell>
          <cell r="AG1379">
            <v>9.17</v>
          </cell>
          <cell r="AH1379" t="str">
            <v>PPM</v>
          </cell>
          <cell r="AI1379" t="str">
            <v>Strands</v>
          </cell>
          <cell r="AJ1379" t="str">
            <v>Strands PW</v>
          </cell>
        </row>
        <row r="1380">
          <cell r="A1380" t="str">
            <v>IKN401058</v>
          </cell>
          <cell r="B1380">
            <v>1056</v>
          </cell>
          <cell r="C1380" t="str">
            <v>Institut Kanser Negara</v>
          </cell>
          <cell r="D1380" t="str">
            <v>KKM/IKN/H/13/3600</v>
          </cell>
          <cell r="E1380" t="str">
            <v>17-950</v>
          </cell>
          <cell r="F1380" t="str">
            <v>Warming Units, Patient, Forced-Air</v>
          </cell>
          <cell r="G1380" t="str">
            <v>OT</v>
          </cell>
          <cell r="H1380" t="str">
            <v>OPERATING THEATRE</v>
          </cell>
          <cell r="I1380" t="str">
            <v>05OT128</v>
          </cell>
          <cell r="J1380" t="str">
            <v>PRE-OP / PATIENT HOLDING</v>
          </cell>
          <cell r="K1380" t="str">
            <v>BMED</v>
          </cell>
          <cell r="L1380" t="str">
            <v>Normal</v>
          </cell>
          <cell r="M1380" t="str">
            <v>USA</v>
          </cell>
          <cell r="N1380" t="str">
            <v>Bair Hugger</v>
          </cell>
          <cell r="O1380" t="str">
            <v>Bair Hugger 775</v>
          </cell>
          <cell r="P1380" t="str">
            <v>35929</v>
          </cell>
          <cell r="Q1380" t="str">
            <v>Not Applicable</v>
          </cell>
          <cell r="R1380" t="str">
            <v>Arizant Healthcare Inc</v>
          </cell>
          <cell r="S1380" t="str">
            <v>Calmed Healthcare Sdn Bhd</v>
          </cell>
          <cell r="T1380" t="str">
            <v>Functioning</v>
          </cell>
          <cell r="U1380" t="str">
            <v>Asset</v>
          </cell>
          <cell r="V1380">
            <v>15515</v>
          </cell>
          <cell r="W1380" t="str">
            <v>KEW</v>
          </cell>
          <cell r="X1380" t="str">
            <v>01/09/2010</v>
          </cell>
          <cell r="Y1380" t="str">
            <v>KEW</v>
          </cell>
          <cell r="Z1380" t="str">
            <v>16/08/2013</v>
          </cell>
          <cell r="AA1380" t="str">
            <v>15/08/2015</v>
          </cell>
          <cell r="AB1380" t="str">
            <v>No</v>
          </cell>
          <cell r="AC1380" t="str">
            <v>31/08/2013</v>
          </cell>
          <cell r="AD1380" t="str">
            <v>Good</v>
          </cell>
          <cell r="AE1380" t="str">
            <v>V1 - Existing / No Claim</v>
          </cell>
          <cell r="AF1380">
            <v>42802</v>
          </cell>
          <cell r="AG1380">
            <v>9.17</v>
          </cell>
          <cell r="AH1380" t="str">
            <v>PPM</v>
          </cell>
          <cell r="AI1380" t="str">
            <v>Strands</v>
          </cell>
          <cell r="AJ1380" t="str">
            <v>Strands PW</v>
          </cell>
        </row>
        <row r="1381">
          <cell r="A1381" t="str">
            <v>IKN401059</v>
          </cell>
          <cell r="B1381">
            <v>1057</v>
          </cell>
          <cell r="C1381" t="str">
            <v>Institut Kanser Negara</v>
          </cell>
          <cell r="D1381" t="str">
            <v>KKM/IKN/H/13/162</v>
          </cell>
          <cell r="E1381" t="str">
            <v>12-647</v>
          </cell>
          <cell r="F1381" t="str">
            <v>Physiologic Monitoring Systems, Acute Care</v>
          </cell>
          <cell r="G1381" t="str">
            <v>OT</v>
          </cell>
          <cell r="H1381" t="str">
            <v>OPERATING THEATRE</v>
          </cell>
          <cell r="I1381" t="str">
            <v>05OT128</v>
          </cell>
          <cell r="J1381" t="str">
            <v>PRE-OP / PATIENT HOLDING</v>
          </cell>
          <cell r="K1381" t="str">
            <v>BMED</v>
          </cell>
          <cell r="L1381" t="str">
            <v>Critical</v>
          </cell>
          <cell r="M1381" t="str">
            <v>USA</v>
          </cell>
          <cell r="N1381" t="str">
            <v>GE</v>
          </cell>
          <cell r="O1381" t="str">
            <v>GE B30</v>
          </cell>
          <cell r="P1381" t="str">
            <v>SF312325905WA</v>
          </cell>
          <cell r="Q1381" t="str">
            <v>Not Applicable</v>
          </cell>
          <cell r="R1381" t="str">
            <v>GE Healthcare Systems</v>
          </cell>
          <cell r="S1381" t="str">
            <v>GE Healthcare Technologies</v>
          </cell>
          <cell r="T1381" t="str">
            <v>Functioning</v>
          </cell>
          <cell r="U1381" t="str">
            <v>Asset</v>
          </cell>
          <cell r="V1381">
            <v>44510</v>
          </cell>
          <cell r="W1381" t="str">
            <v>KEW</v>
          </cell>
          <cell r="X1381" t="str">
            <v>01/09/2010</v>
          </cell>
          <cell r="Y1381" t="str">
            <v>KEW</v>
          </cell>
          <cell r="Z1381" t="str">
            <v>16/08/2013</v>
          </cell>
          <cell r="AA1381" t="str">
            <v>15/08/2015</v>
          </cell>
          <cell r="AB1381" t="str">
            <v>No</v>
          </cell>
          <cell r="AC1381" t="str">
            <v>31/08/2013</v>
          </cell>
          <cell r="AD1381" t="str">
            <v>Good</v>
          </cell>
          <cell r="AE1381" t="str">
            <v>V1 - Existing / No Claim</v>
          </cell>
          <cell r="AF1381">
            <v>42802</v>
          </cell>
          <cell r="AG1381">
            <v>9.17</v>
          </cell>
          <cell r="AH1381" t="str">
            <v>PPM</v>
          </cell>
          <cell r="AI1381" t="str">
            <v>Strands</v>
          </cell>
          <cell r="AJ1381" t="str">
            <v>Strands PW</v>
          </cell>
        </row>
        <row r="1382">
          <cell r="A1382" t="str">
            <v>IKN401060</v>
          </cell>
          <cell r="B1382">
            <v>1058</v>
          </cell>
          <cell r="C1382" t="str">
            <v>Institut Kanser Negara</v>
          </cell>
          <cell r="D1382" t="str">
            <v>KKM/IKN/H/13/4324</v>
          </cell>
          <cell r="E1382" t="str">
            <v>12-647</v>
          </cell>
          <cell r="F1382" t="str">
            <v>Physiologic Monitoring Systems, Acute Care</v>
          </cell>
          <cell r="G1382" t="str">
            <v>OT</v>
          </cell>
          <cell r="H1382" t="str">
            <v>OPERATING THEATRE</v>
          </cell>
          <cell r="I1382" t="str">
            <v>05OT128</v>
          </cell>
          <cell r="J1382" t="str">
            <v>PRE-OP / PATIENT HOLDING</v>
          </cell>
          <cell r="K1382" t="str">
            <v>BMED</v>
          </cell>
          <cell r="L1382" t="str">
            <v>Critical</v>
          </cell>
          <cell r="M1382" t="str">
            <v>USA</v>
          </cell>
          <cell r="N1382" t="str">
            <v>GE</v>
          </cell>
          <cell r="O1382" t="str">
            <v>GE B30</v>
          </cell>
          <cell r="P1382" t="str">
            <v>SF312325910WA</v>
          </cell>
          <cell r="Q1382" t="str">
            <v>Not Applicable</v>
          </cell>
          <cell r="R1382" t="str">
            <v>GE Healthcare Systems</v>
          </cell>
          <cell r="S1382" t="str">
            <v>GE Healthcare Technologies</v>
          </cell>
          <cell r="T1382" t="str">
            <v>Functioning</v>
          </cell>
          <cell r="U1382" t="str">
            <v>Asset</v>
          </cell>
          <cell r="V1382">
            <v>44510</v>
          </cell>
          <cell r="W1382" t="str">
            <v>KEW</v>
          </cell>
          <cell r="X1382" t="str">
            <v>01/09/2010</v>
          </cell>
          <cell r="Y1382" t="str">
            <v>KEW</v>
          </cell>
          <cell r="Z1382" t="str">
            <v>16/08/2013</v>
          </cell>
          <cell r="AA1382" t="str">
            <v>15/08/2015</v>
          </cell>
          <cell r="AB1382" t="str">
            <v>No</v>
          </cell>
          <cell r="AC1382" t="str">
            <v>31/08/2013</v>
          </cell>
          <cell r="AD1382" t="str">
            <v>Good</v>
          </cell>
          <cell r="AE1382" t="str">
            <v>V1 - Existing / No Claim</v>
          </cell>
          <cell r="AF1382">
            <v>42802</v>
          </cell>
          <cell r="AG1382">
            <v>9.17</v>
          </cell>
          <cell r="AH1382" t="str">
            <v>PPM</v>
          </cell>
          <cell r="AI1382" t="str">
            <v>Strands</v>
          </cell>
          <cell r="AJ1382" t="str">
            <v>Strands PW</v>
          </cell>
        </row>
        <row r="1383">
          <cell r="A1383" t="str">
            <v>IKN401061</v>
          </cell>
          <cell r="B1383">
            <v>1059</v>
          </cell>
          <cell r="C1383" t="str">
            <v>Institut Kanser Negara</v>
          </cell>
          <cell r="D1383" t="str">
            <v>KKM/IKN/H/13/3772</v>
          </cell>
          <cell r="E1383" t="str">
            <v>13-782</v>
          </cell>
          <cell r="F1383" t="str">
            <v>Stimulators, Electrical, Peripheral Nerve, Analgesic, Transc</v>
          </cell>
          <cell r="G1383" t="str">
            <v>OT</v>
          </cell>
          <cell r="H1383" t="str">
            <v>OPERATING THEATRE</v>
          </cell>
          <cell r="I1383" t="str">
            <v>05OT123</v>
          </cell>
          <cell r="J1383" t="str">
            <v>0T 1</v>
          </cell>
          <cell r="K1383" t="str">
            <v>BMED</v>
          </cell>
          <cell r="L1383" t="str">
            <v>Normal</v>
          </cell>
          <cell r="M1383" t="str">
            <v>Germany</v>
          </cell>
          <cell r="N1383" t="str">
            <v>Stimuplex</v>
          </cell>
          <cell r="O1383" t="str">
            <v>Stimuplex HNS 12</v>
          </cell>
          <cell r="P1383" t="str">
            <v>16/0745</v>
          </cell>
          <cell r="Q1383" t="str">
            <v>Not Applicable</v>
          </cell>
          <cell r="R1383" t="str">
            <v>B Braun Melsungen AG</v>
          </cell>
          <cell r="S1383" t="str">
            <v>B Braun Medical Supplies Sdn. Bhd.</v>
          </cell>
          <cell r="T1383" t="str">
            <v>Functioning</v>
          </cell>
          <cell r="U1383" t="str">
            <v>Asset</v>
          </cell>
          <cell r="V1383">
            <v>6570</v>
          </cell>
          <cell r="W1383" t="str">
            <v>KEW</v>
          </cell>
          <cell r="X1383" t="str">
            <v>01/09/2010</v>
          </cell>
          <cell r="Y1383" t="str">
            <v>KEW</v>
          </cell>
          <cell r="Z1383" t="str">
            <v>16/08/2013</v>
          </cell>
          <cell r="AA1383" t="str">
            <v>15/08/2015</v>
          </cell>
          <cell r="AB1383" t="str">
            <v>No</v>
          </cell>
          <cell r="AC1383" t="str">
            <v>31/08/2013</v>
          </cell>
          <cell r="AD1383" t="str">
            <v>Good</v>
          </cell>
          <cell r="AE1383" t="str">
            <v>V1 - Existing / No Claim</v>
          </cell>
          <cell r="AF1383">
            <v>42235</v>
          </cell>
          <cell r="AG1383">
            <v>9.17</v>
          </cell>
          <cell r="AH1383" t="str">
            <v>PPM</v>
          </cell>
          <cell r="AI1383" t="str">
            <v>Strands</v>
          </cell>
          <cell r="AJ1383" t="str">
            <v>Strands PW</v>
          </cell>
        </row>
        <row r="1384">
          <cell r="A1384" t="str">
            <v>IKN401068</v>
          </cell>
          <cell r="B1384">
            <v>1066</v>
          </cell>
          <cell r="C1384" t="str">
            <v>Institut Kanser Negara</v>
          </cell>
          <cell r="D1384" t="str">
            <v>KKM/IKN/H/13/3790</v>
          </cell>
          <cell r="E1384" t="str">
            <v>10-208</v>
          </cell>
          <cell r="F1384" t="str">
            <v>Aspirators</v>
          </cell>
          <cell r="G1384" t="str">
            <v>OT</v>
          </cell>
          <cell r="H1384" t="str">
            <v>OPERATING THEATRE</v>
          </cell>
          <cell r="I1384" t="str">
            <v>05OT169</v>
          </cell>
          <cell r="J1384" t="str">
            <v>EQ. ROOM</v>
          </cell>
          <cell r="K1384" t="str">
            <v>BMED</v>
          </cell>
          <cell r="L1384" t="str">
            <v>Normal</v>
          </cell>
          <cell r="M1384" t="str">
            <v>UK</v>
          </cell>
          <cell r="N1384" t="str">
            <v>SAM</v>
          </cell>
          <cell r="O1384" t="str">
            <v>SAM 427</v>
          </cell>
          <cell r="P1384" t="str">
            <v>0313-0534</v>
          </cell>
          <cell r="Q1384" t="str">
            <v>Not Applicable</v>
          </cell>
          <cell r="R1384" t="str">
            <v>MG Electric Ltd</v>
          </cell>
          <cell r="S1384" t="str">
            <v>Delta Medisains</v>
          </cell>
          <cell r="T1384" t="str">
            <v>Functioning</v>
          </cell>
          <cell r="U1384" t="str">
            <v>Asset</v>
          </cell>
          <cell r="V1384">
            <v>10705</v>
          </cell>
          <cell r="W1384" t="str">
            <v>KEW</v>
          </cell>
          <cell r="X1384" t="str">
            <v>01/09/2010</v>
          </cell>
          <cell r="Y1384" t="str">
            <v>KEW</v>
          </cell>
          <cell r="Z1384" t="str">
            <v>16/08/2013</v>
          </cell>
          <cell r="AA1384" t="str">
            <v>15/08/2015</v>
          </cell>
          <cell r="AB1384" t="str">
            <v>No</v>
          </cell>
          <cell r="AC1384" t="str">
            <v>31/08/2013</v>
          </cell>
          <cell r="AD1384" t="str">
            <v>Good</v>
          </cell>
          <cell r="AE1384" t="str">
            <v>V1 - Existing / No Claim</v>
          </cell>
          <cell r="AF1384">
            <v>42235</v>
          </cell>
          <cell r="AG1384">
            <v>9.17</v>
          </cell>
          <cell r="AH1384" t="str">
            <v>PPM</v>
          </cell>
          <cell r="AI1384" t="str">
            <v>Strands</v>
          </cell>
          <cell r="AJ1384" t="str">
            <v>Strands PW</v>
          </cell>
        </row>
        <row r="1385">
          <cell r="A1385" t="str">
            <v>IKN401069</v>
          </cell>
          <cell r="B1385">
            <v>1067</v>
          </cell>
          <cell r="C1385" t="str">
            <v>Institut Kanser Negara</v>
          </cell>
          <cell r="D1385" t="str">
            <v>KKM/IKN/H/13/5019</v>
          </cell>
          <cell r="E1385" t="str">
            <v>16-173</v>
          </cell>
          <cell r="F1385" t="str">
            <v>Sphygmomanometers, Electronic, Automatic</v>
          </cell>
          <cell r="G1385" t="str">
            <v>OT</v>
          </cell>
          <cell r="H1385" t="str">
            <v>OPERATING THEATRE</v>
          </cell>
          <cell r="I1385" t="str">
            <v>05OT150</v>
          </cell>
          <cell r="J1385" t="str">
            <v>RECEPTION STAFF BASE</v>
          </cell>
          <cell r="K1385" t="str">
            <v>BMED</v>
          </cell>
          <cell r="L1385" t="str">
            <v>Normal</v>
          </cell>
          <cell r="M1385" t="str">
            <v>USA</v>
          </cell>
          <cell r="N1385" t="str">
            <v>Connex</v>
          </cell>
          <cell r="O1385" t="str">
            <v>Connex ProBP 3400</v>
          </cell>
          <cell r="P1385" t="str">
            <v>100002010413</v>
          </cell>
          <cell r="Q1385" t="str">
            <v>Not Applicable</v>
          </cell>
          <cell r="R1385" t="str">
            <v>Welch Allyn Inc</v>
          </cell>
          <cell r="S1385" t="str">
            <v>Welch Allyn Malaysia Sdn Bhd</v>
          </cell>
          <cell r="T1385" t="str">
            <v>Functioning</v>
          </cell>
          <cell r="U1385" t="str">
            <v>Asset</v>
          </cell>
          <cell r="V1385">
            <v>336</v>
          </cell>
          <cell r="W1385" t="str">
            <v>KEW</v>
          </cell>
          <cell r="X1385" t="str">
            <v>01/09/2010</v>
          </cell>
          <cell r="Y1385" t="str">
            <v>KEW</v>
          </cell>
          <cell r="Z1385" t="str">
            <v>16/08/2013</v>
          </cell>
          <cell r="AA1385" t="str">
            <v>15/08/2015</v>
          </cell>
          <cell r="AB1385" t="str">
            <v>No</v>
          </cell>
          <cell r="AC1385" t="str">
            <v>31/08/2013</v>
          </cell>
          <cell r="AD1385" t="str">
            <v>Good</v>
          </cell>
          <cell r="AE1385" t="str">
            <v>V1 - Existing / No Claim</v>
          </cell>
          <cell r="AF1385">
            <v>42235</v>
          </cell>
          <cell r="AG1385">
            <v>9.17</v>
          </cell>
          <cell r="AH1385" t="str">
            <v>PPM</v>
          </cell>
          <cell r="AI1385" t="str">
            <v>Strands</v>
          </cell>
          <cell r="AJ1385" t="str">
            <v>Strands PW</v>
          </cell>
        </row>
        <row r="1386">
          <cell r="A1386" t="str">
            <v>IKN401078</v>
          </cell>
          <cell r="B1386">
            <v>1076</v>
          </cell>
          <cell r="C1386" t="str">
            <v>Institut Kanser Negara</v>
          </cell>
          <cell r="D1386" t="str">
            <v>KKM/IKN/H/13/5129</v>
          </cell>
          <cell r="E1386" t="str">
            <v>12-282</v>
          </cell>
          <cell r="F1386" t="str">
            <v>Lights, Surgical</v>
          </cell>
          <cell r="G1386" t="str">
            <v>OT</v>
          </cell>
          <cell r="H1386" t="str">
            <v>OPERATING THEATRE</v>
          </cell>
          <cell r="I1386" t="str">
            <v>05OT123</v>
          </cell>
          <cell r="J1386" t="str">
            <v>0T 1</v>
          </cell>
          <cell r="K1386" t="str">
            <v>BMED</v>
          </cell>
          <cell r="L1386" t="str">
            <v>Critical</v>
          </cell>
          <cell r="M1386" t="str">
            <v>Germany</v>
          </cell>
          <cell r="N1386" t="str">
            <v>Trumpf</v>
          </cell>
          <cell r="O1386" t="str">
            <v>Trumpf iLED</v>
          </cell>
          <cell r="P1386" t="str">
            <v>101613546</v>
          </cell>
          <cell r="Q1386" t="str">
            <v>Not Applicable</v>
          </cell>
          <cell r="R1386" t="str">
            <v>Trumpf</v>
          </cell>
          <cell r="S1386" t="str">
            <v>MALAYSIAN HEALTHCARE SDN BHD</v>
          </cell>
          <cell r="T1386" t="str">
            <v>Functioning</v>
          </cell>
          <cell r="U1386" t="str">
            <v>Asset</v>
          </cell>
          <cell r="V1386">
            <v>153575</v>
          </cell>
          <cell r="W1386" t="str">
            <v>Estimate</v>
          </cell>
          <cell r="X1386" t="str">
            <v>01/09/2010</v>
          </cell>
          <cell r="Y1386" t="str">
            <v>KEW</v>
          </cell>
          <cell r="Z1386" t="str">
            <v>16/08/2013</v>
          </cell>
          <cell r="AA1386" t="str">
            <v>15/08/2015</v>
          </cell>
          <cell r="AB1386" t="str">
            <v>No</v>
          </cell>
          <cell r="AC1386" t="str">
            <v>31/08/2013</v>
          </cell>
          <cell r="AD1386" t="str">
            <v>Good</v>
          </cell>
          <cell r="AE1386" t="str">
            <v>V1 - Existing / No Claim</v>
          </cell>
          <cell r="AF1386">
            <v>42795</v>
          </cell>
          <cell r="AG1386">
            <v>9.17</v>
          </cell>
          <cell r="AH1386" t="str">
            <v>PPM</v>
          </cell>
          <cell r="AI1386" t="str">
            <v>Strands</v>
          </cell>
          <cell r="AJ1386" t="str">
            <v>Strands PW F</v>
          </cell>
          <cell r="AK1386" t="str">
            <v>[1/3/2024, SHARIFAH]: Fees sekali dengan KKM/IKN/H/13/5129 (RM240,575) - IKN401079, IKN401080</v>
          </cell>
        </row>
        <row r="1387">
          <cell r="A1387" t="str">
            <v>IKN401079</v>
          </cell>
          <cell r="B1387">
            <v>1077</v>
          </cell>
          <cell r="C1387" t="str">
            <v>Institut Kanser Negara</v>
          </cell>
          <cell r="D1387" t="e">
            <v>#N/A</v>
          </cell>
          <cell r="E1387" t="str">
            <v>12-282</v>
          </cell>
          <cell r="F1387" t="str">
            <v>Lights, Surgical</v>
          </cell>
          <cell r="G1387" t="str">
            <v>OT</v>
          </cell>
          <cell r="H1387" t="str">
            <v>OPERATING THEATRE</v>
          </cell>
          <cell r="I1387" t="str">
            <v>05OT123</v>
          </cell>
          <cell r="J1387" t="str">
            <v>0T 1</v>
          </cell>
          <cell r="K1387" t="str">
            <v>BMED</v>
          </cell>
          <cell r="L1387" t="str">
            <v>Critical</v>
          </cell>
          <cell r="M1387" t="str">
            <v>Germany</v>
          </cell>
          <cell r="N1387" t="str">
            <v>Trumpf</v>
          </cell>
          <cell r="O1387" t="str">
            <v>Trumpf iLED</v>
          </cell>
          <cell r="P1387" t="str">
            <v>101608451</v>
          </cell>
          <cell r="Q1387" t="str">
            <v>Not Applicable</v>
          </cell>
          <cell r="R1387" t="str">
            <v>Trumpf</v>
          </cell>
          <cell r="S1387" t="str">
            <v>MALAYSIAN HEALTHCARE SDN BHD</v>
          </cell>
          <cell r="T1387" t="str">
            <v>Functioning</v>
          </cell>
          <cell r="U1387" t="str">
            <v>Asset</v>
          </cell>
          <cell r="V1387">
            <v>80000</v>
          </cell>
          <cell r="W1387" t="str">
            <v>Estimate</v>
          </cell>
          <cell r="X1387" t="str">
            <v>01/09/2010</v>
          </cell>
          <cell r="Y1387" t="str">
            <v>KEW</v>
          </cell>
          <cell r="Z1387" t="str">
            <v>16/08/2013</v>
          </cell>
          <cell r="AA1387" t="str">
            <v>15/08/2015</v>
          </cell>
          <cell r="AB1387" t="str">
            <v>No</v>
          </cell>
          <cell r="AC1387" t="str">
            <v>31/08/2013</v>
          </cell>
          <cell r="AD1387" t="str">
            <v>Good</v>
          </cell>
          <cell r="AE1387" t="str">
            <v>V1 - Existing / No Claim</v>
          </cell>
          <cell r="AF1387">
            <v>42795</v>
          </cell>
          <cell r="AG1387">
            <v>9.17</v>
          </cell>
          <cell r="AH1387" t="str">
            <v>PPM</v>
          </cell>
          <cell r="AI1387" t="str">
            <v>Strands-accessories</v>
          </cell>
          <cell r="AJ1387" t="str">
            <v>Strands PW F</v>
          </cell>
          <cell r="AK1387" t="str">
            <v>CUBA CHECK KEWPA. [1/3/2024, SHARIFAH]: Fees sekali dengan KKM/IKN/H/13/5129 (RM240,575) - IKN401078, IKN401080</v>
          </cell>
        </row>
        <row r="1388">
          <cell r="A1388" t="str">
            <v>IKN401080</v>
          </cell>
          <cell r="B1388">
            <v>1078</v>
          </cell>
          <cell r="C1388" t="str">
            <v>Institut Kanser Negara</v>
          </cell>
          <cell r="D1388" t="str">
            <v>KKM/IKN/H/13/5129</v>
          </cell>
          <cell r="E1388" t="str">
            <v>16-603</v>
          </cell>
          <cell r="F1388" t="str">
            <v>Television Monitors</v>
          </cell>
          <cell r="G1388" t="str">
            <v>OT</v>
          </cell>
          <cell r="H1388" t="str">
            <v>OPERATING THEATRE</v>
          </cell>
          <cell r="I1388" t="str">
            <v>05OT120</v>
          </cell>
          <cell r="J1388" t="str">
            <v>OT 2</v>
          </cell>
          <cell r="K1388" t="str">
            <v>BMED</v>
          </cell>
          <cell r="L1388" t="str">
            <v>Normal</v>
          </cell>
          <cell r="M1388" t="str">
            <v>Japan</v>
          </cell>
          <cell r="N1388" t="str">
            <v>Sony</v>
          </cell>
          <cell r="O1388" t="str">
            <v>Sony LMD-2110MD</v>
          </cell>
          <cell r="P1388" t="str">
            <v>3100846</v>
          </cell>
          <cell r="Q1388" t="str">
            <v>Not Applicable</v>
          </cell>
          <cell r="R1388" t="str">
            <v>Sony Corp</v>
          </cell>
          <cell r="S1388" t="str">
            <v>MALAYSIAN HEALTHCARE SDN BHD</v>
          </cell>
          <cell r="T1388" t="str">
            <v>Functioning</v>
          </cell>
          <cell r="U1388" t="str">
            <v>Asset</v>
          </cell>
          <cell r="V1388">
            <v>7000</v>
          </cell>
          <cell r="W1388" t="str">
            <v>KEW</v>
          </cell>
          <cell r="X1388" t="str">
            <v>01/09/2010</v>
          </cell>
          <cell r="Y1388" t="str">
            <v>KEW</v>
          </cell>
          <cell r="Z1388" t="str">
            <v>16/08/2013</v>
          </cell>
          <cell r="AA1388" t="str">
            <v>15/08/2015</v>
          </cell>
          <cell r="AB1388" t="str">
            <v>No</v>
          </cell>
          <cell r="AC1388" t="str">
            <v>31/08/2013</v>
          </cell>
          <cell r="AD1388" t="str">
            <v>Good</v>
          </cell>
          <cell r="AE1388" t="str">
            <v>V1 - Existing / No Claim</v>
          </cell>
          <cell r="AF1388">
            <v>42622</v>
          </cell>
          <cell r="AG1388">
            <v>9.17</v>
          </cell>
          <cell r="AH1388" t="str">
            <v>RI</v>
          </cell>
          <cell r="AI1388" t="str">
            <v>package</v>
          </cell>
          <cell r="AJ1388" t="str">
            <v>Strands PW F</v>
          </cell>
          <cell r="AK1388" t="str">
            <v>[1/3/2024, SHARIFAH]: Fees sekali dengan KKM/IKN/H/13/5129 (RM240,575) - IKN401079, IKN401078</v>
          </cell>
        </row>
        <row r="1389">
          <cell r="A1389" t="str">
            <v>IKN401081</v>
          </cell>
          <cell r="B1389">
            <v>1079</v>
          </cell>
          <cell r="C1389" t="str">
            <v>Institut Kanser Negara</v>
          </cell>
          <cell r="D1389" t="str">
            <v>KKM/IKN/H/13/5130</v>
          </cell>
          <cell r="E1389" t="str">
            <v>12-282</v>
          </cell>
          <cell r="F1389" t="str">
            <v>Lights, Surgical</v>
          </cell>
          <cell r="G1389" t="str">
            <v>OT</v>
          </cell>
          <cell r="H1389" t="str">
            <v>OPERATING THEATRE</v>
          </cell>
          <cell r="I1389" t="str">
            <v>05OT120</v>
          </cell>
          <cell r="J1389" t="str">
            <v>OT 2</v>
          </cell>
          <cell r="K1389" t="str">
            <v>BMED</v>
          </cell>
          <cell r="L1389" t="str">
            <v>Critical</v>
          </cell>
          <cell r="M1389" t="str">
            <v>Germany</v>
          </cell>
          <cell r="N1389" t="str">
            <v>Trumpf</v>
          </cell>
          <cell r="O1389" t="str">
            <v>Trumpf iLED</v>
          </cell>
          <cell r="P1389" t="str">
            <v>101612594</v>
          </cell>
          <cell r="Q1389" t="str">
            <v>Not Applicable</v>
          </cell>
          <cell r="R1389" t="str">
            <v>Trumpf</v>
          </cell>
          <cell r="S1389" t="str">
            <v>MALAYSIAN HEALTHCARE SDN BHD</v>
          </cell>
          <cell r="T1389" t="str">
            <v>Functioning</v>
          </cell>
          <cell r="U1389" t="str">
            <v>Asset</v>
          </cell>
          <cell r="V1389">
            <v>153575</v>
          </cell>
          <cell r="W1389" t="str">
            <v>Estimate</v>
          </cell>
          <cell r="X1389" t="str">
            <v>01/09/2010</v>
          </cell>
          <cell r="Y1389" t="str">
            <v>KEW</v>
          </cell>
          <cell r="Z1389" t="str">
            <v>16/08/2013</v>
          </cell>
          <cell r="AA1389" t="str">
            <v>15/08/2015</v>
          </cell>
          <cell r="AB1389" t="str">
            <v>No</v>
          </cell>
          <cell r="AC1389" t="str">
            <v>31/08/2013</v>
          </cell>
          <cell r="AD1389" t="str">
            <v>Good</v>
          </cell>
          <cell r="AE1389" t="str">
            <v>V1 - Existing / No Claim</v>
          </cell>
          <cell r="AF1389">
            <v>42795</v>
          </cell>
          <cell r="AG1389">
            <v>9.17</v>
          </cell>
          <cell r="AH1389" t="str">
            <v>PPM</v>
          </cell>
          <cell r="AI1389" t="str">
            <v>Strands</v>
          </cell>
          <cell r="AJ1389" t="str">
            <v>Strands PW F</v>
          </cell>
          <cell r="AK1389" t="str">
            <v>[1/3/2024, SHARIFAH]: Fees sekali dengan KKM/IKN/H/13/5130 (RM240,575) - IKN401082, IKN401083</v>
          </cell>
        </row>
        <row r="1390">
          <cell r="A1390" t="str">
            <v>IKN401082</v>
          </cell>
          <cell r="B1390">
            <v>1080</v>
          </cell>
          <cell r="C1390" t="str">
            <v>Institut Kanser Negara</v>
          </cell>
          <cell r="D1390" t="e">
            <v>#N/A</v>
          </cell>
          <cell r="E1390" t="str">
            <v>12-282</v>
          </cell>
          <cell r="F1390" t="str">
            <v>Lights, Surgical</v>
          </cell>
          <cell r="G1390" t="str">
            <v>OT</v>
          </cell>
          <cell r="H1390" t="str">
            <v>OPERATING THEATRE</v>
          </cell>
          <cell r="I1390" t="str">
            <v>05OT120</v>
          </cell>
          <cell r="J1390" t="str">
            <v>OT 2</v>
          </cell>
          <cell r="K1390" t="str">
            <v>BMED</v>
          </cell>
          <cell r="L1390" t="str">
            <v>Critical</v>
          </cell>
          <cell r="M1390" t="str">
            <v>Germany</v>
          </cell>
          <cell r="N1390" t="str">
            <v>Trumpf</v>
          </cell>
          <cell r="O1390" t="str">
            <v>Trumpf iLED</v>
          </cell>
          <cell r="P1390" t="str">
            <v>101611222</v>
          </cell>
          <cell r="Q1390" t="str">
            <v>Not Applicable</v>
          </cell>
          <cell r="R1390" t="str">
            <v>Trumpf</v>
          </cell>
          <cell r="S1390" t="str">
            <v>MALAYSIAN HEALTHCARE SDN BHD</v>
          </cell>
          <cell r="T1390" t="str">
            <v>Functioning</v>
          </cell>
          <cell r="U1390" t="str">
            <v>Asset</v>
          </cell>
          <cell r="V1390">
            <v>80000</v>
          </cell>
          <cell r="W1390" t="str">
            <v>KEW</v>
          </cell>
          <cell r="X1390" t="str">
            <v>01/09/2010</v>
          </cell>
          <cell r="Y1390" t="str">
            <v>KEW</v>
          </cell>
          <cell r="Z1390" t="str">
            <v>16/08/2013</v>
          </cell>
          <cell r="AA1390" t="str">
            <v>15/08/2015</v>
          </cell>
          <cell r="AB1390" t="str">
            <v>No</v>
          </cell>
          <cell r="AC1390" t="str">
            <v>31/08/2013</v>
          </cell>
          <cell r="AD1390" t="str">
            <v>Good</v>
          </cell>
          <cell r="AE1390" t="str">
            <v>V1 - Existing / No Claim</v>
          </cell>
          <cell r="AF1390">
            <v>42795</v>
          </cell>
          <cell r="AG1390">
            <v>9.17</v>
          </cell>
          <cell r="AH1390" t="str">
            <v>PPM</v>
          </cell>
          <cell r="AI1390" t="str">
            <v>Strands-accessories</v>
          </cell>
          <cell r="AJ1390" t="str">
            <v>Strands PW F</v>
          </cell>
          <cell r="AK1390" t="str">
            <v>CUBA CHECK KEWPA [1/3/2024, SHARIFAH]: Fees sekali dengan KKM/IKN/H/13/5130 (RM240,575) - IKN401081, IKN401083</v>
          </cell>
        </row>
        <row r="1391">
          <cell r="A1391" t="str">
            <v>IKN401083</v>
          </cell>
          <cell r="B1391">
            <v>1081</v>
          </cell>
          <cell r="C1391" t="str">
            <v>Institut Kanser Negara</v>
          </cell>
          <cell r="D1391" t="str">
            <v>KKM/IKN/H/13/5130</v>
          </cell>
          <cell r="E1391" t="str">
            <v>16-603</v>
          </cell>
          <cell r="F1391" t="str">
            <v>Television Monitors</v>
          </cell>
          <cell r="G1391" t="str">
            <v>OT</v>
          </cell>
          <cell r="H1391" t="str">
            <v>OPERATING THEATRE</v>
          </cell>
          <cell r="I1391" t="str">
            <v>05OT123</v>
          </cell>
          <cell r="J1391" t="str">
            <v>0T 1</v>
          </cell>
          <cell r="K1391" t="str">
            <v>BMED</v>
          </cell>
          <cell r="L1391" t="str">
            <v>Normal</v>
          </cell>
          <cell r="M1391" t="str">
            <v>Japan</v>
          </cell>
          <cell r="N1391" t="str">
            <v>Sony</v>
          </cell>
          <cell r="O1391" t="str">
            <v>Sony LMD-2110MD</v>
          </cell>
          <cell r="P1391" t="str">
            <v>3100832</v>
          </cell>
          <cell r="Q1391" t="str">
            <v>Not Applicable</v>
          </cell>
          <cell r="R1391" t="str">
            <v>Sony Corp</v>
          </cell>
          <cell r="S1391" t="str">
            <v>MALAYSIAN HEALTHCARE SDN BHD</v>
          </cell>
          <cell r="T1391" t="str">
            <v>Functioning</v>
          </cell>
          <cell r="U1391" t="str">
            <v>Asset</v>
          </cell>
          <cell r="V1391">
            <v>7000</v>
          </cell>
          <cell r="W1391" t="str">
            <v>Estimate</v>
          </cell>
          <cell r="X1391" t="str">
            <v>01/09/2010</v>
          </cell>
          <cell r="Y1391" t="str">
            <v>KEW</v>
          </cell>
          <cell r="Z1391" t="str">
            <v>16/08/2013</v>
          </cell>
          <cell r="AA1391" t="str">
            <v>15/08/2015</v>
          </cell>
          <cell r="AB1391" t="str">
            <v>No</v>
          </cell>
          <cell r="AC1391" t="str">
            <v>31/08/2013</v>
          </cell>
          <cell r="AD1391" t="str">
            <v>Good</v>
          </cell>
          <cell r="AE1391" t="str">
            <v>V1 - Existing / No Claim</v>
          </cell>
          <cell r="AF1391">
            <v>42622</v>
          </cell>
          <cell r="AG1391">
            <v>9.17</v>
          </cell>
          <cell r="AH1391" t="str">
            <v>RI</v>
          </cell>
          <cell r="AI1391" t="str">
            <v>Strands-accessories</v>
          </cell>
          <cell r="AJ1391" t="str">
            <v>Strands PW F</v>
          </cell>
          <cell r="AK1391" t="str">
            <v>[1/3/2024, SHARIFAH]: Fees sekali dengan KKM/IKN/H/13/5130 (RM240,575) - IKN401082, IKN401081</v>
          </cell>
        </row>
        <row r="1392">
          <cell r="A1392" t="str">
            <v>IKN401084</v>
          </cell>
          <cell r="B1392">
            <v>1082</v>
          </cell>
          <cell r="C1392" t="str">
            <v>Institut Kanser Negara</v>
          </cell>
          <cell r="D1392" t="str">
            <v>KKM/IKN/H/13/4548</v>
          </cell>
          <cell r="E1392" t="str">
            <v>10-208</v>
          </cell>
          <cell r="F1392" t="str">
            <v>Aspirators</v>
          </cell>
          <cell r="G1392" t="str">
            <v>AE</v>
          </cell>
          <cell r="H1392" t="str">
            <v>EMERGENCY UNIT</v>
          </cell>
          <cell r="I1392" t="str">
            <v>01AE108</v>
          </cell>
          <cell r="J1392" t="str">
            <v>TRIAGE</v>
          </cell>
          <cell r="K1392" t="str">
            <v>BMED</v>
          </cell>
          <cell r="L1392" t="str">
            <v>Critical</v>
          </cell>
          <cell r="M1392" t="str">
            <v>Italy</v>
          </cell>
          <cell r="N1392" t="str">
            <v>Boscarol</v>
          </cell>
          <cell r="O1392" t="str">
            <v>Boscarol OB2012</v>
          </cell>
          <cell r="P1392" t="str">
            <v>1101311488</v>
          </cell>
          <cell r="Q1392" t="str">
            <v>Not Applicable</v>
          </cell>
          <cell r="R1392" t="str">
            <v>Bascarol</v>
          </cell>
          <cell r="S1392" t="str">
            <v>Continental Top Products &amp; Engineering S</v>
          </cell>
          <cell r="T1392" t="str">
            <v>Functioning</v>
          </cell>
          <cell r="U1392" t="str">
            <v>Asset</v>
          </cell>
          <cell r="V1392">
            <v>3000</v>
          </cell>
          <cell r="W1392" t="str">
            <v>KEW</v>
          </cell>
          <cell r="X1392" t="str">
            <v>23/12/2013</v>
          </cell>
          <cell r="Y1392" t="str">
            <v>KEW</v>
          </cell>
          <cell r="Z1392" t="str">
            <v>23/12/2013</v>
          </cell>
          <cell r="AA1392" t="str">
            <v>22/12/2015</v>
          </cell>
          <cell r="AB1392" t="str">
            <v>No</v>
          </cell>
          <cell r="AC1392" t="str">
            <v>23/12/2013</v>
          </cell>
          <cell r="AD1392" t="str">
            <v>Good</v>
          </cell>
          <cell r="AE1392" t="str">
            <v>V3 - Added Installed Facilities (New)</v>
          </cell>
          <cell r="AF1392">
            <v>42800</v>
          </cell>
          <cell r="AG1392">
            <v>5.92</v>
          </cell>
          <cell r="AH1392" t="str">
            <v>PPM</v>
          </cell>
          <cell r="AI1392" t="str">
            <v>Strands</v>
          </cell>
          <cell r="AJ1392" t="str">
            <v>Strands PW</v>
          </cell>
          <cell r="AK1392" t="str">
            <v>SNF received. 1st batch of V3 asset (December 2020)</v>
          </cell>
        </row>
        <row r="1393">
          <cell r="A1393" t="str">
            <v>IKN401085</v>
          </cell>
          <cell r="B1393">
            <v>1083</v>
          </cell>
          <cell r="C1393" t="str">
            <v>Institut Kanser Negara</v>
          </cell>
          <cell r="D1393" t="str">
            <v>KKM/IKN/H/13/4546</v>
          </cell>
          <cell r="E1393" t="str">
            <v>12-647</v>
          </cell>
          <cell r="F1393" t="str">
            <v>Physiologic Monitoring Systems, Acute Care</v>
          </cell>
          <cell r="G1393" t="str">
            <v>AE</v>
          </cell>
          <cell r="H1393" t="str">
            <v>EMERGENCY UNIT</v>
          </cell>
          <cell r="I1393" t="str">
            <v>01AE108</v>
          </cell>
          <cell r="J1393" t="str">
            <v>TRIAGE</v>
          </cell>
          <cell r="K1393" t="str">
            <v>BMED</v>
          </cell>
          <cell r="L1393" t="str">
            <v>Critical</v>
          </cell>
          <cell r="M1393" t="str">
            <v>USA</v>
          </cell>
          <cell r="N1393" t="str">
            <v>Propaq</v>
          </cell>
          <cell r="O1393" t="str">
            <v>Propaq CS 242</v>
          </cell>
          <cell r="P1393" t="str">
            <v>GA117266</v>
          </cell>
          <cell r="Q1393" t="str">
            <v>Not Applicable</v>
          </cell>
          <cell r="R1393" t="str">
            <v>Welch Allyn Inc</v>
          </cell>
          <cell r="S1393" t="str">
            <v>Continental Top Products &amp; Engineering S</v>
          </cell>
          <cell r="T1393" t="str">
            <v>Functioning</v>
          </cell>
          <cell r="U1393" t="str">
            <v>Asset</v>
          </cell>
          <cell r="V1393">
            <v>22000</v>
          </cell>
          <cell r="W1393" t="str">
            <v>KEW</v>
          </cell>
          <cell r="X1393" t="str">
            <v>23/12/2013</v>
          </cell>
          <cell r="Y1393" t="str">
            <v>KEW</v>
          </cell>
          <cell r="Z1393" t="str">
            <v>23/12/2013</v>
          </cell>
          <cell r="AA1393" t="str">
            <v>22/12/2015</v>
          </cell>
          <cell r="AB1393" t="str">
            <v>No</v>
          </cell>
          <cell r="AC1393" t="str">
            <v>23/12/2013</v>
          </cell>
          <cell r="AD1393" t="str">
            <v>Good</v>
          </cell>
          <cell r="AE1393" t="str">
            <v>V3 - Added Installed Facilities (New)</v>
          </cell>
          <cell r="AF1393">
            <v>42800</v>
          </cell>
          <cell r="AG1393">
            <v>5.92</v>
          </cell>
          <cell r="AH1393" t="str">
            <v>PPM</v>
          </cell>
          <cell r="AI1393" t="str">
            <v>Strands</v>
          </cell>
          <cell r="AJ1393" t="str">
            <v>Strands PW</v>
          </cell>
          <cell r="AK1393" t="str">
            <v>SNF received. 1st batch of V3 asset (December 2020). [18/9/2023, SHARIFAH]: PEP ON 17/4/2023, BER/BEMS/IKN/23/009 - Asset masih berfungsi namun tidak dapat dibaiki sekiranya berlaku kerosakan pada komponen utama.</v>
          </cell>
        </row>
        <row r="1394">
          <cell r="A1394" t="str">
            <v>IKN401086</v>
          </cell>
          <cell r="B1394">
            <v>1084</v>
          </cell>
          <cell r="C1394" t="str">
            <v>Institut Kanser Negara</v>
          </cell>
          <cell r="D1394" t="str">
            <v>KKM/IKN/H/13/4549</v>
          </cell>
          <cell r="E1394" t="str">
            <v>10-208</v>
          </cell>
          <cell r="F1394" t="str">
            <v>Aspirators</v>
          </cell>
          <cell r="G1394" t="str">
            <v>AE</v>
          </cell>
          <cell r="H1394" t="str">
            <v>EMERGENCY UNIT</v>
          </cell>
          <cell r="I1394" t="str">
            <v>01AE108</v>
          </cell>
          <cell r="J1394" t="str">
            <v>TRIAGE</v>
          </cell>
          <cell r="K1394" t="str">
            <v>BMED</v>
          </cell>
          <cell r="L1394" t="str">
            <v>Critical</v>
          </cell>
          <cell r="M1394" t="str">
            <v>Italy</v>
          </cell>
          <cell r="N1394" t="str">
            <v>Boscarol</v>
          </cell>
          <cell r="O1394" t="str">
            <v>Boscarol OB2012</v>
          </cell>
          <cell r="P1394" t="str">
            <v>1101311473</v>
          </cell>
          <cell r="Q1394" t="str">
            <v>Not Applicable</v>
          </cell>
          <cell r="R1394" t="str">
            <v>Bascarol</v>
          </cell>
          <cell r="S1394" t="str">
            <v>Continental Top Products &amp; Engineering S</v>
          </cell>
          <cell r="T1394" t="str">
            <v>Functioning</v>
          </cell>
          <cell r="U1394" t="str">
            <v>Asset</v>
          </cell>
          <cell r="V1394">
            <v>3000</v>
          </cell>
          <cell r="W1394" t="str">
            <v>KEW</v>
          </cell>
          <cell r="X1394" t="str">
            <v>23/12/2013</v>
          </cell>
          <cell r="Y1394" t="str">
            <v>KEW</v>
          </cell>
          <cell r="Z1394" t="str">
            <v>23/12/2013</v>
          </cell>
          <cell r="AA1394" t="str">
            <v>22/12/2015</v>
          </cell>
          <cell r="AB1394" t="str">
            <v>No</v>
          </cell>
          <cell r="AC1394" t="str">
            <v>23/12/2013</v>
          </cell>
          <cell r="AD1394" t="str">
            <v>Good</v>
          </cell>
          <cell r="AE1394" t="str">
            <v>V3 - Added Installed Facilities (New)</v>
          </cell>
          <cell r="AF1394">
            <v>42800</v>
          </cell>
          <cell r="AG1394">
            <v>5.92</v>
          </cell>
          <cell r="AH1394" t="str">
            <v>PPM</v>
          </cell>
          <cell r="AI1394" t="str">
            <v>Strands</v>
          </cell>
          <cell r="AJ1394" t="str">
            <v>Strands PW</v>
          </cell>
          <cell r="AK1394" t="str">
            <v>SNF received. 1st batch of V3 asset (December 2020)</v>
          </cell>
        </row>
        <row r="1395">
          <cell r="A1395" t="str">
            <v>IKN401088</v>
          </cell>
          <cell r="B1395">
            <v>1086</v>
          </cell>
          <cell r="C1395" t="str">
            <v>Institut Kanser Negara</v>
          </cell>
          <cell r="D1395" t="str">
            <v>KKM/IKN/H/13/4547</v>
          </cell>
          <cell r="E1395" t="str">
            <v>10-208</v>
          </cell>
          <cell r="F1395" t="str">
            <v>Aspirators</v>
          </cell>
          <cell r="G1395" t="str">
            <v>AE</v>
          </cell>
          <cell r="H1395" t="str">
            <v>EMERGENCY UNIT</v>
          </cell>
          <cell r="I1395" t="str">
            <v>01AE108</v>
          </cell>
          <cell r="J1395" t="str">
            <v>TRIAGE</v>
          </cell>
          <cell r="K1395" t="str">
            <v>BMED</v>
          </cell>
          <cell r="L1395" t="str">
            <v>Critical</v>
          </cell>
          <cell r="M1395" t="str">
            <v>Italy</v>
          </cell>
          <cell r="N1395" t="str">
            <v>Boscarol</v>
          </cell>
          <cell r="O1395" t="str">
            <v>Boscarol OB2012</v>
          </cell>
          <cell r="P1395" t="str">
            <v>1101311498</v>
          </cell>
          <cell r="Q1395" t="str">
            <v>Not Applicable</v>
          </cell>
          <cell r="R1395" t="str">
            <v>Bascarol</v>
          </cell>
          <cell r="S1395" t="str">
            <v>Continental Top Products &amp; Engineering S</v>
          </cell>
          <cell r="T1395" t="str">
            <v>Functioning</v>
          </cell>
          <cell r="U1395" t="str">
            <v>Asset</v>
          </cell>
          <cell r="V1395">
            <v>3000</v>
          </cell>
          <cell r="W1395" t="str">
            <v>KEW</v>
          </cell>
          <cell r="X1395" t="str">
            <v>23/12/2013</v>
          </cell>
          <cell r="Y1395" t="str">
            <v>KEW</v>
          </cell>
          <cell r="Z1395" t="str">
            <v>23/12/2013</v>
          </cell>
          <cell r="AA1395" t="str">
            <v>22/12/2015</v>
          </cell>
          <cell r="AB1395" t="str">
            <v>No</v>
          </cell>
          <cell r="AC1395" t="str">
            <v>23/12/2013</v>
          </cell>
          <cell r="AD1395" t="str">
            <v>Good</v>
          </cell>
          <cell r="AE1395" t="str">
            <v>V3 - Added Installed Facilities (New)</v>
          </cell>
          <cell r="AF1395">
            <v>42800</v>
          </cell>
          <cell r="AG1395">
            <v>5.92</v>
          </cell>
          <cell r="AH1395" t="str">
            <v>PPM</v>
          </cell>
          <cell r="AI1395" t="str">
            <v>Strands</v>
          </cell>
          <cell r="AJ1395" t="str">
            <v>Strands PW</v>
          </cell>
          <cell r="AK1395" t="str">
            <v>SNF received. 1st batch of V3 asset (December 2020)</v>
          </cell>
        </row>
        <row r="1396">
          <cell r="A1396" t="str">
            <v>IKN401089</v>
          </cell>
          <cell r="B1396">
            <v>1087</v>
          </cell>
          <cell r="C1396" t="str">
            <v>Institut Kanser Negara</v>
          </cell>
          <cell r="D1396" t="str">
            <v>KKM/IKN/H/13/4544</v>
          </cell>
          <cell r="E1396" t="str">
            <v>12-647</v>
          </cell>
          <cell r="F1396" t="str">
            <v>Physiologic Monitoring Systems, Acute Care</v>
          </cell>
          <cell r="G1396" t="str">
            <v>AE</v>
          </cell>
          <cell r="H1396" t="str">
            <v>EMERGENCY UNIT</v>
          </cell>
          <cell r="I1396" t="str">
            <v>01AE108</v>
          </cell>
          <cell r="J1396" t="str">
            <v>TRIAGE</v>
          </cell>
          <cell r="K1396" t="str">
            <v>BMED</v>
          </cell>
          <cell r="L1396" t="str">
            <v>Critical</v>
          </cell>
          <cell r="M1396" t="str">
            <v>USA</v>
          </cell>
          <cell r="N1396" t="str">
            <v>Propaq</v>
          </cell>
          <cell r="O1396" t="str">
            <v>Propaq CS 242</v>
          </cell>
          <cell r="P1396" t="str">
            <v>GA117262</v>
          </cell>
          <cell r="Q1396" t="str">
            <v>Not Applicable</v>
          </cell>
          <cell r="R1396" t="str">
            <v>Welch Allyn Inc</v>
          </cell>
          <cell r="S1396" t="str">
            <v>Continental Top Products &amp; Engineering S</v>
          </cell>
          <cell r="T1396" t="str">
            <v>Functioning</v>
          </cell>
          <cell r="U1396" t="str">
            <v>Asset</v>
          </cell>
          <cell r="V1396">
            <v>22000</v>
          </cell>
          <cell r="W1396" t="str">
            <v>KEW</v>
          </cell>
          <cell r="X1396" t="str">
            <v>23/12/2013</v>
          </cell>
          <cell r="Y1396" t="str">
            <v>KEW</v>
          </cell>
          <cell r="Z1396" t="str">
            <v>23/12/2013</v>
          </cell>
          <cell r="AA1396" t="str">
            <v>22/12/2015</v>
          </cell>
          <cell r="AB1396" t="str">
            <v>No</v>
          </cell>
          <cell r="AC1396" t="str">
            <v>23/12/2013</v>
          </cell>
          <cell r="AD1396" t="str">
            <v>Good</v>
          </cell>
          <cell r="AE1396" t="str">
            <v>V3 - Added Installed Facilities (New)</v>
          </cell>
          <cell r="AF1396">
            <v>42800</v>
          </cell>
          <cell r="AG1396">
            <v>5.92</v>
          </cell>
          <cell r="AH1396" t="str">
            <v>PPM</v>
          </cell>
          <cell r="AI1396" t="str">
            <v>Strands</v>
          </cell>
          <cell r="AJ1396" t="str">
            <v>Strands PW</v>
          </cell>
          <cell r="AK1396" t="str">
            <v>SNF received. 1st batch of V3 asset (December 2020). [18/9/2023, SHARIFAH]: PEP ON 17/4/2023, BER/BEMS/IKN/23/011 - Asset mengalami kerosakan pada SPO2 Module, tetapi masih boleh digunakan namun tidak dapat dibaiki sekiranya berlaku kerosakan pada komponen utama.</v>
          </cell>
        </row>
        <row r="1397">
          <cell r="A1397" t="str">
            <v>IKN401091</v>
          </cell>
          <cell r="B1397">
            <v>1089</v>
          </cell>
          <cell r="C1397" t="str">
            <v>Institut Kanser Negara</v>
          </cell>
          <cell r="D1397" t="str">
            <v>KKM/IKN/H/13/3927</v>
          </cell>
          <cell r="E1397" t="str">
            <v>12-282</v>
          </cell>
          <cell r="F1397" t="str">
            <v>Lights, Surgical</v>
          </cell>
          <cell r="G1397" t="str">
            <v>NM</v>
          </cell>
          <cell r="H1397" t="str">
            <v>NUCLEAR MED (DIAGNOSTIC)</v>
          </cell>
          <cell r="I1397" t="str">
            <v>03NM108</v>
          </cell>
          <cell r="J1397" t="str">
            <v>TREATMENT 1 (RAI)(VE)</v>
          </cell>
          <cell r="K1397" t="str">
            <v>BMED</v>
          </cell>
          <cell r="L1397" t="str">
            <v>Normal</v>
          </cell>
          <cell r="M1397" t="str">
            <v>USA</v>
          </cell>
          <cell r="N1397" t="str">
            <v>Welch Allyn</v>
          </cell>
          <cell r="O1397" t="str">
            <v>Welch Allyn GS900</v>
          </cell>
          <cell r="P1397" t="str">
            <v>10043011102370</v>
          </cell>
          <cell r="Q1397" t="str">
            <v>Not Applicable</v>
          </cell>
          <cell r="R1397" t="str">
            <v>Welch Allyn Inc</v>
          </cell>
          <cell r="S1397" t="str">
            <v>Welch Allyn Malaysia Sdn Bhd</v>
          </cell>
          <cell r="T1397" t="str">
            <v>Functioning</v>
          </cell>
          <cell r="U1397" t="str">
            <v>Asset</v>
          </cell>
          <cell r="V1397">
            <v>10585</v>
          </cell>
          <cell r="W1397" t="str">
            <v>KEW</v>
          </cell>
          <cell r="X1397" t="str">
            <v>01/09/2010</v>
          </cell>
          <cell r="Y1397" t="str">
            <v>KEW</v>
          </cell>
          <cell r="Z1397" t="str">
            <v>16/08/2013</v>
          </cell>
          <cell r="AA1397" t="str">
            <v>15/08/2015</v>
          </cell>
          <cell r="AB1397" t="str">
            <v>No</v>
          </cell>
          <cell r="AC1397" t="str">
            <v>31/08/2013</v>
          </cell>
          <cell r="AD1397" t="str">
            <v>Good</v>
          </cell>
          <cell r="AE1397" t="str">
            <v>V1 - Existing / No Claim</v>
          </cell>
          <cell r="AF1397">
            <v>42235</v>
          </cell>
          <cell r="AG1397">
            <v>9.17</v>
          </cell>
          <cell r="AH1397" t="str">
            <v>PPM</v>
          </cell>
          <cell r="AI1397" t="str">
            <v>Strands</v>
          </cell>
          <cell r="AJ1397" t="str">
            <v>Strands PW</v>
          </cell>
        </row>
        <row r="1398">
          <cell r="A1398" t="str">
            <v>IKN401092</v>
          </cell>
          <cell r="B1398">
            <v>1090</v>
          </cell>
          <cell r="C1398" t="str">
            <v>Institut Kanser Negara</v>
          </cell>
          <cell r="D1398" t="str">
            <v>KKM/IKN/H/13/3928</v>
          </cell>
          <cell r="E1398" t="str">
            <v>12-282</v>
          </cell>
          <cell r="F1398" t="str">
            <v>Lights, Surgical</v>
          </cell>
          <cell r="G1398" t="str">
            <v>NM</v>
          </cell>
          <cell r="H1398" t="str">
            <v>NUCLEAR MED (DIAGNOSTIC)</v>
          </cell>
          <cell r="I1398" t="str">
            <v>03NM109</v>
          </cell>
          <cell r="J1398" t="str">
            <v>TREATMENT 2 (RAS) (-VE)</v>
          </cell>
          <cell r="K1398" t="str">
            <v>BMED</v>
          </cell>
          <cell r="L1398" t="str">
            <v>Normal</v>
          </cell>
          <cell r="M1398" t="str">
            <v>USA</v>
          </cell>
          <cell r="N1398" t="str">
            <v>Welch Allyn</v>
          </cell>
          <cell r="O1398" t="str">
            <v>Welch Allyn GS900</v>
          </cell>
          <cell r="P1398" t="str">
            <v>10032911105645</v>
          </cell>
          <cell r="Q1398" t="str">
            <v>Not Applicable</v>
          </cell>
          <cell r="R1398" t="str">
            <v>Welch Allyn Inc</v>
          </cell>
          <cell r="S1398" t="str">
            <v>Welch Allyn Malaysia Sdn Bhd</v>
          </cell>
          <cell r="T1398" t="str">
            <v>Functioning</v>
          </cell>
          <cell r="U1398" t="str">
            <v>Asset</v>
          </cell>
          <cell r="V1398">
            <v>10585</v>
          </cell>
          <cell r="W1398" t="str">
            <v>KEW</v>
          </cell>
          <cell r="X1398" t="str">
            <v>01/09/2010</v>
          </cell>
          <cell r="Y1398" t="str">
            <v>KEW</v>
          </cell>
          <cell r="Z1398" t="str">
            <v>16/08/2013</v>
          </cell>
          <cell r="AA1398" t="str">
            <v>15/08/2015</v>
          </cell>
          <cell r="AB1398" t="str">
            <v>No</v>
          </cell>
          <cell r="AC1398" t="str">
            <v>31/08/2013</v>
          </cell>
          <cell r="AD1398" t="str">
            <v>Good</v>
          </cell>
          <cell r="AE1398" t="str">
            <v>V1 - Existing / No Claim</v>
          </cell>
          <cell r="AF1398">
            <v>42235</v>
          </cell>
          <cell r="AG1398">
            <v>9.17</v>
          </cell>
          <cell r="AH1398" t="str">
            <v>PPM</v>
          </cell>
          <cell r="AI1398" t="str">
            <v>Strands</v>
          </cell>
          <cell r="AJ1398" t="str">
            <v>Strands PW</v>
          </cell>
        </row>
        <row r="1399">
          <cell r="A1399" t="str">
            <v>IKN401093</v>
          </cell>
          <cell r="B1399">
            <v>1091</v>
          </cell>
          <cell r="C1399" t="str">
            <v>Institut Kanser Negara</v>
          </cell>
          <cell r="D1399" t="str">
            <v>KKM/IKN/H/13/2854</v>
          </cell>
          <cell r="E1399" t="str">
            <v>12-282</v>
          </cell>
          <cell r="F1399" t="str">
            <v>Lights, Surgical</v>
          </cell>
          <cell r="G1399" t="str">
            <v>WA</v>
          </cell>
          <cell r="H1399" t="str">
            <v>NUCLEAR MED WARD (THERAPY)</v>
          </cell>
          <cell r="I1399" t="str">
            <v>03WA116</v>
          </cell>
          <cell r="J1399" t="str">
            <v>TREATMENT</v>
          </cell>
          <cell r="K1399" t="str">
            <v>BMED</v>
          </cell>
          <cell r="L1399" t="str">
            <v>Critical</v>
          </cell>
          <cell r="M1399" t="str">
            <v>USA</v>
          </cell>
          <cell r="N1399" t="str">
            <v>Welch Allyn</v>
          </cell>
          <cell r="O1399" t="str">
            <v>Welch Allyn GS900</v>
          </cell>
          <cell r="P1399" t="str">
            <v>10043811102570</v>
          </cell>
          <cell r="Q1399" t="str">
            <v>Not Applicable</v>
          </cell>
          <cell r="R1399" t="str">
            <v>Welch Allyn Inc</v>
          </cell>
          <cell r="S1399" t="str">
            <v>Welch Allyn Malaysia Sdn Bhd</v>
          </cell>
          <cell r="T1399" t="str">
            <v>Functioning</v>
          </cell>
          <cell r="U1399" t="str">
            <v>Asset</v>
          </cell>
          <cell r="V1399">
            <v>10585</v>
          </cell>
          <cell r="W1399" t="str">
            <v>KEW</v>
          </cell>
          <cell r="X1399" t="str">
            <v>01/09/2010</v>
          </cell>
          <cell r="Y1399" t="str">
            <v>KEW</v>
          </cell>
          <cell r="Z1399" t="str">
            <v>16/08/2013</v>
          </cell>
          <cell r="AA1399" t="str">
            <v>15/08/2015</v>
          </cell>
          <cell r="AB1399" t="str">
            <v>No</v>
          </cell>
          <cell r="AC1399" t="str">
            <v>31/08/2013</v>
          </cell>
          <cell r="AD1399" t="str">
            <v>Good</v>
          </cell>
          <cell r="AE1399" t="str">
            <v>V1 - Existing / No Claim</v>
          </cell>
          <cell r="AF1399">
            <v>42794</v>
          </cell>
          <cell r="AG1399">
            <v>9.17</v>
          </cell>
          <cell r="AH1399" t="str">
            <v>PPM</v>
          </cell>
          <cell r="AI1399" t="str">
            <v>Strands</v>
          </cell>
          <cell r="AJ1399" t="str">
            <v>Strands PW</v>
          </cell>
        </row>
        <row r="1400">
          <cell r="A1400" t="str">
            <v>IKN401094</v>
          </cell>
          <cell r="B1400">
            <v>1092</v>
          </cell>
          <cell r="C1400" t="str">
            <v>Institut Kanser Negara</v>
          </cell>
          <cell r="D1400" t="e">
            <v>#N/A</v>
          </cell>
          <cell r="E1400" t="str">
            <v>12-282</v>
          </cell>
          <cell r="F1400" t="str">
            <v>Lights, Surgical</v>
          </cell>
          <cell r="G1400" t="str">
            <v>OC</v>
          </cell>
          <cell r="H1400" t="str">
            <v>ONCOLOGY CLINIC</v>
          </cell>
          <cell r="I1400" t="str">
            <v>03OC135</v>
          </cell>
          <cell r="J1400" t="str">
            <v>TREATMENT 1</v>
          </cell>
          <cell r="K1400" t="str">
            <v>BMED</v>
          </cell>
          <cell r="L1400" t="str">
            <v>Normal</v>
          </cell>
          <cell r="M1400" t="str">
            <v>USA</v>
          </cell>
          <cell r="N1400" t="str">
            <v>Welch Allyn</v>
          </cell>
          <cell r="O1400" t="str">
            <v>Welch Allyn GS900</v>
          </cell>
          <cell r="P1400" t="str">
            <v>10032911105644</v>
          </cell>
          <cell r="Q1400" t="str">
            <v>Not Applicable</v>
          </cell>
          <cell r="R1400" t="str">
            <v>Welch Allyn Inc</v>
          </cell>
          <cell r="S1400" t="str">
            <v>Welch Allyn Malaysia Sdn Bhd</v>
          </cell>
          <cell r="T1400" t="str">
            <v>Functioning</v>
          </cell>
          <cell r="U1400" t="str">
            <v>Asset</v>
          </cell>
          <cell r="V1400">
            <v>10585</v>
          </cell>
          <cell r="W1400" t="str">
            <v>KEW</v>
          </cell>
          <cell r="X1400" t="str">
            <v>01/09/2010</v>
          </cell>
          <cell r="Y1400" t="str">
            <v>KEW</v>
          </cell>
          <cell r="Z1400" t="str">
            <v>16/08/2013</v>
          </cell>
          <cell r="AA1400" t="str">
            <v>15/08/2015</v>
          </cell>
          <cell r="AB1400" t="str">
            <v>No</v>
          </cell>
          <cell r="AC1400" t="str">
            <v>31/08/2013</v>
          </cell>
          <cell r="AD1400" t="str">
            <v>Good</v>
          </cell>
          <cell r="AE1400" t="str">
            <v>V1 - Existing / No Claim</v>
          </cell>
          <cell r="AF1400">
            <v>42235</v>
          </cell>
          <cell r="AG1400">
            <v>9.17</v>
          </cell>
          <cell r="AH1400" t="str">
            <v>PPM</v>
          </cell>
          <cell r="AI1400" t="str">
            <v>Not in contract</v>
          </cell>
          <cell r="AJ1400" t="e">
            <v>#REF!</v>
          </cell>
        </row>
        <row r="1401">
          <cell r="A1401" t="str">
            <v>IKN401095</v>
          </cell>
          <cell r="B1401">
            <v>1093</v>
          </cell>
          <cell r="C1401" t="str">
            <v>Institut Kanser Negara</v>
          </cell>
          <cell r="D1401" t="e">
            <v>#N/A</v>
          </cell>
          <cell r="E1401" t="str">
            <v>12-282</v>
          </cell>
          <cell r="F1401" t="str">
            <v>Lights, Surgical</v>
          </cell>
          <cell r="G1401" t="str">
            <v>OC</v>
          </cell>
          <cell r="H1401" t="str">
            <v>ONCOLOGY CLINIC</v>
          </cell>
          <cell r="I1401" t="str">
            <v>03OC136</v>
          </cell>
          <cell r="J1401" t="str">
            <v>TREATMENT 2</v>
          </cell>
          <cell r="K1401" t="str">
            <v>BMED</v>
          </cell>
          <cell r="L1401" t="str">
            <v>Normal</v>
          </cell>
          <cell r="M1401" t="str">
            <v>USA</v>
          </cell>
          <cell r="N1401" t="str">
            <v>Welch Allyn</v>
          </cell>
          <cell r="O1401" t="str">
            <v>Welch Allyn GS900</v>
          </cell>
          <cell r="P1401" t="str">
            <v>10033711107140</v>
          </cell>
          <cell r="Q1401" t="str">
            <v>Not Applicable</v>
          </cell>
          <cell r="R1401" t="str">
            <v>Welch Allyn Inc</v>
          </cell>
          <cell r="S1401" t="str">
            <v>Welch Allyn Malaysia Sdn Bhd</v>
          </cell>
          <cell r="T1401" t="str">
            <v>Functioning</v>
          </cell>
          <cell r="U1401" t="str">
            <v>Asset</v>
          </cell>
          <cell r="V1401">
            <v>10585</v>
          </cell>
          <cell r="W1401" t="str">
            <v>KEW</v>
          </cell>
          <cell r="X1401" t="str">
            <v>01/09/2010</v>
          </cell>
          <cell r="Y1401" t="str">
            <v>KEW</v>
          </cell>
          <cell r="Z1401" t="str">
            <v>16/08/2013</v>
          </cell>
          <cell r="AA1401" t="str">
            <v>15/08/2015</v>
          </cell>
          <cell r="AB1401" t="str">
            <v>No</v>
          </cell>
          <cell r="AC1401" t="str">
            <v>31/08/2013</v>
          </cell>
          <cell r="AD1401" t="str">
            <v>Good</v>
          </cell>
          <cell r="AE1401" t="str">
            <v>V1 - Existing / No Claim</v>
          </cell>
          <cell r="AF1401">
            <v>42235</v>
          </cell>
          <cell r="AG1401">
            <v>9.17</v>
          </cell>
          <cell r="AH1401" t="str">
            <v>PPM</v>
          </cell>
          <cell r="AI1401" t="str">
            <v>Not in contract</v>
          </cell>
          <cell r="AJ1401" t="e">
            <v>#REF!</v>
          </cell>
        </row>
        <row r="1402">
          <cell r="A1402" t="str">
            <v>IKN401096</v>
          </cell>
          <cell r="B1402">
            <v>1094</v>
          </cell>
          <cell r="C1402" t="str">
            <v>Institut Kanser Negara</v>
          </cell>
          <cell r="D1402" t="str">
            <v>KKM/IKN/H/13/4377</v>
          </cell>
          <cell r="E1402" t="str">
            <v>12-282</v>
          </cell>
          <cell r="F1402" t="str">
            <v>Lights, Surgical</v>
          </cell>
          <cell r="G1402" t="str">
            <v>IC</v>
          </cell>
          <cell r="H1402" t="str">
            <v>INTENSIVE CARE UNIT</v>
          </cell>
          <cell r="I1402" t="str">
            <v>05IC112</v>
          </cell>
          <cell r="J1402" t="str">
            <v>ICU RM 1</v>
          </cell>
          <cell r="K1402" t="str">
            <v>BMED</v>
          </cell>
          <cell r="L1402" t="str">
            <v>Normal</v>
          </cell>
          <cell r="M1402" t="str">
            <v>USA</v>
          </cell>
          <cell r="N1402" t="str">
            <v>Welch Allyn</v>
          </cell>
          <cell r="O1402" t="str">
            <v>Welch Allyn GS900</v>
          </cell>
          <cell r="P1402" t="str">
            <v>10043011102397</v>
          </cell>
          <cell r="Q1402" t="str">
            <v>Not Applicable</v>
          </cell>
          <cell r="R1402" t="str">
            <v>Welch Allyn Inc</v>
          </cell>
          <cell r="S1402" t="str">
            <v>Welch Allyn Malaysia Sdn Bhd</v>
          </cell>
          <cell r="T1402" t="str">
            <v>Functioning</v>
          </cell>
          <cell r="U1402" t="str">
            <v>Asset</v>
          </cell>
          <cell r="V1402">
            <v>10585</v>
          </cell>
          <cell r="W1402" t="str">
            <v>KEW</v>
          </cell>
          <cell r="X1402" t="str">
            <v>01/09/2010</v>
          </cell>
          <cell r="Y1402" t="str">
            <v>KEW</v>
          </cell>
          <cell r="Z1402" t="str">
            <v>16/08/2013</v>
          </cell>
          <cell r="AA1402" t="str">
            <v>15/08/2015</v>
          </cell>
          <cell r="AB1402" t="str">
            <v>No</v>
          </cell>
          <cell r="AC1402" t="str">
            <v>31/08/2013</v>
          </cell>
          <cell r="AD1402" t="str">
            <v>Good</v>
          </cell>
          <cell r="AE1402" t="str">
            <v>V1 - Existing / No Claim</v>
          </cell>
          <cell r="AF1402">
            <v>42235</v>
          </cell>
          <cell r="AG1402">
            <v>9.17</v>
          </cell>
          <cell r="AH1402" t="str">
            <v>PPM</v>
          </cell>
          <cell r="AI1402" t="str">
            <v>Strands</v>
          </cell>
          <cell r="AJ1402" t="str">
            <v>Strands PW</v>
          </cell>
        </row>
        <row r="1403">
          <cell r="A1403" t="str">
            <v>IKN401097</v>
          </cell>
          <cell r="B1403">
            <v>1095</v>
          </cell>
          <cell r="C1403" t="str">
            <v>Institut Kanser Negara</v>
          </cell>
          <cell r="D1403" t="str">
            <v>KKM/IKN/H/13/4370</v>
          </cell>
          <cell r="E1403" t="str">
            <v>12-282</v>
          </cell>
          <cell r="F1403" t="str">
            <v>Lights, Surgical</v>
          </cell>
          <cell r="G1403" t="str">
            <v>IC</v>
          </cell>
          <cell r="H1403" t="str">
            <v>INTENSIVE CARE UNIT</v>
          </cell>
          <cell r="I1403" t="str">
            <v>05IC114</v>
          </cell>
          <cell r="J1403" t="str">
            <v>ICU RM 3</v>
          </cell>
          <cell r="K1403" t="str">
            <v>BMED</v>
          </cell>
          <cell r="L1403" t="str">
            <v>Critical</v>
          </cell>
          <cell r="M1403" t="str">
            <v>USA</v>
          </cell>
          <cell r="N1403" t="str">
            <v>Welch Allyn</v>
          </cell>
          <cell r="O1403" t="str">
            <v>Welch Allyn GS900</v>
          </cell>
          <cell r="P1403" t="str">
            <v>10043811102563</v>
          </cell>
          <cell r="Q1403" t="str">
            <v>Not Applicable</v>
          </cell>
          <cell r="R1403" t="str">
            <v>Welch Allyn Inc</v>
          </cell>
          <cell r="S1403" t="str">
            <v>Welch Allyn Malaysia Sdn Bhd</v>
          </cell>
          <cell r="T1403" t="str">
            <v>Functioning</v>
          </cell>
          <cell r="U1403" t="str">
            <v>Asset</v>
          </cell>
          <cell r="V1403">
            <v>10585</v>
          </cell>
          <cell r="W1403" t="str">
            <v>KEW</v>
          </cell>
          <cell r="X1403" t="str">
            <v>01/09/2010</v>
          </cell>
          <cell r="Y1403" t="str">
            <v>KEW</v>
          </cell>
          <cell r="Z1403" t="str">
            <v>16/08/2013</v>
          </cell>
          <cell r="AA1403" t="str">
            <v>15/08/2015</v>
          </cell>
          <cell r="AB1403" t="str">
            <v>No</v>
          </cell>
          <cell r="AC1403" t="str">
            <v>31/08/2013</v>
          </cell>
          <cell r="AD1403" t="str">
            <v>Good</v>
          </cell>
          <cell r="AE1403" t="str">
            <v>V1 - Existing / No Claim</v>
          </cell>
          <cell r="AF1403">
            <v>42797</v>
          </cell>
          <cell r="AG1403">
            <v>9.17</v>
          </cell>
          <cell r="AH1403" t="str">
            <v>PPM</v>
          </cell>
          <cell r="AI1403" t="str">
            <v>Strands</v>
          </cell>
          <cell r="AJ1403" t="str">
            <v>Strands PW</v>
          </cell>
        </row>
        <row r="1404">
          <cell r="A1404" t="str">
            <v>IKN401098</v>
          </cell>
          <cell r="B1404">
            <v>1096</v>
          </cell>
          <cell r="C1404" t="str">
            <v>Institut Kanser Negara</v>
          </cell>
          <cell r="D1404" t="str">
            <v>KKM/IKN/H/13/4409</v>
          </cell>
          <cell r="E1404" t="str">
            <v>12-282</v>
          </cell>
          <cell r="F1404" t="str">
            <v>Lights, Surgical</v>
          </cell>
          <cell r="G1404" t="str">
            <v>IC</v>
          </cell>
          <cell r="H1404" t="str">
            <v>INTENSIVE CARE UNIT</v>
          </cell>
          <cell r="I1404" t="str">
            <v>05IC116</v>
          </cell>
          <cell r="J1404" t="str">
            <v>ISOL 2 (+VE)</v>
          </cell>
          <cell r="K1404" t="str">
            <v>BMED</v>
          </cell>
          <cell r="L1404" t="str">
            <v>Critical</v>
          </cell>
          <cell r="M1404" t="str">
            <v>USA</v>
          </cell>
          <cell r="N1404" t="str">
            <v>Welch Allyn</v>
          </cell>
          <cell r="O1404" t="str">
            <v>Welch Allyn GS900</v>
          </cell>
          <cell r="P1404" t="str">
            <v>10043011102396</v>
          </cell>
          <cell r="Q1404" t="str">
            <v>Not Applicable</v>
          </cell>
          <cell r="R1404" t="str">
            <v>Welch Allyn Inc</v>
          </cell>
          <cell r="S1404" t="str">
            <v>Welch Allyn Malaysia Sdn Bhd</v>
          </cell>
          <cell r="T1404" t="str">
            <v>Functioning</v>
          </cell>
          <cell r="U1404" t="str">
            <v>Asset</v>
          </cell>
          <cell r="V1404">
            <v>10585</v>
          </cell>
          <cell r="W1404" t="str">
            <v>KEW</v>
          </cell>
          <cell r="X1404" t="str">
            <v>01/09/2010</v>
          </cell>
          <cell r="Y1404" t="str">
            <v>KEW</v>
          </cell>
          <cell r="Z1404" t="str">
            <v>16/08/2013</v>
          </cell>
          <cell r="AA1404" t="str">
            <v>15/08/2015</v>
          </cell>
          <cell r="AB1404" t="str">
            <v>No</v>
          </cell>
          <cell r="AC1404" t="str">
            <v>31/08/2013</v>
          </cell>
          <cell r="AD1404" t="str">
            <v>Good</v>
          </cell>
          <cell r="AE1404" t="str">
            <v>V1 - Existing / No Claim</v>
          </cell>
          <cell r="AF1404">
            <v>42797</v>
          </cell>
          <cell r="AG1404">
            <v>9.17</v>
          </cell>
          <cell r="AH1404" t="str">
            <v>PPM</v>
          </cell>
          <cell r="AI1404" t="str">
            <v>Strands</v>
          </cell>
          <cell r="AJ1404" t="str">
            <v>Strands PW</v>
          </cell>
        </row>
        <row r="1405">
          <cell r="A1405" t="str">
            <v>IKN401099</v>
          </cell>
          <cell r="B1405">
            <v>1097</v>
          </cell>
          <cell r="C1405" t="str">
            <v>Institut Kanser Negara</v>
          </cell>
          <cell r="D1405" t="str">
            <v>KKM/IKN/H/13/4408</v>
          </cell>
          <cell r="E1405" t="str">
            <v>12-282</v>
          </cell>
          <cell r="F1405" t="str">
            <v>Lights, Surgical</v>
          </cell>
          <cell r="G1405" t="str">
            <v>IC</v>
          </cell>
          <cell r="H1405" t="str">
            <v>INTENSIVE CARE UNIT</v>
          </cell>
          <cell r="I1405" t="str">
            <v>05IC129</v>
          </cell>
          <cell r="J1405" t="str">
            <v>ISOL 4 (+VE)</v>
          </cell>
          <cell r="K1405" t="str">
            <v>BMED</v>
          </cell>
          <cell r="L1405" t="str">
            <v>Normal</v>
          </cell>
          <cell r="M1405" t="str">
            <v>USA</v>
          </cell>
          <cell r="N1405" t="str">
            <v>Welch Allyn</v>
          </cell>
          <cell r="O1405" t="str">
            <v>Welch Allyn GS900</v>
          </cell>
          <cell r="P1405" t="str">
            <v>10042511102167</v>
          </cell>
          <cell r="Q1405" t="str">
            <v>Not Applicable</v>
          </cell>
          <cell r="R1405" t="str">
            <v>Welch Allyn Inc</v>
          </cell>
          <cell r="S1405" t="str">
            <v>Welch Allyn Malaysia Sdn Bhd</v>
          </cell>
          <cell r="T1405" t="str">
            <v>Functioning</v>
          </cell>
          <cell r="U1405" t="str">
            <v>Asset</v>
          </cell>
          <cell r="V1405">
            <v>10585</v>
          </cell>
          <cell r="W1405" t="str">
            <v>KEW</v>
          </cell>
          <cell r="X1405" t="str">
            <v>01/09/2010</v>
          </cell>
          <cell r="Y1405" t="str">
            <v>KEW</v>
          </cell>
          <cell r="Z1405" t="str">
            <v>16/08/2013</v>
          </cell>
          <cell r="AA1405" t="str">
            <v>15/08/2015</v>
          </cell>
          <cell r="AB1405" t="str">
            <v>No</v>
          </cell>
          <cell r="AC1405" t="str">
            <v>31/08/2013</v>
          </cell>
          <cell r="AD1405" t="str">
            <v>Good</v>
          </cell>
          <cell r="AE1405" t="str">
            <v>V1 - Existing / No Claim</v>
          </cell>
          <cell r="AF1405">
            <v>42235</v>
          </cell>
          <cell r="AG1405">
            <v>9.17</v>
          </cell>
          <cell r="AH1405" t="str">
            <v>PPM</v>
          </cell>
          <cell r="AI1405" t="str">
            <v>Strands</v>
          </cell>
          <cell r="AJ1405" t="str">
            <v>Strands PW</v>
          </cell>
        </row>
        <row r="1406">
          <cell r="A1406" t="str">
            <v>IKN401100</v>
          </cell>
          <cell r="B1406">
            <v>1098</v>
          </cell>
          <cell r="C1406" t="str">
            <v>Institut Kanser Negara</v>
          </cell>
          <cell r="D1406" t="str">
            <v>KKM/IKN/H/13/4410</v>
          </cell>
          <cell r="E1406" t="str">
            <v>12-282</v>
          </cell>
          <cell r="F1406" t="str">
            <v>Lights, Surgical</v>
          </cell>
          <cell r="G1406" t="str">
            <v>IC</v>
          </cell>
          <cell r="H1406" t="str">
            <v>INTENSIVE CARE UNIT</v>
          </cell>
          <cell r="I1406" t="str">
            <v>05IC131</v>
          </cell>
          <cell r="J1406" t="str">
            <v>ISOL 3 (+VE)</v>
          </cell>
          <cell r="K1406" t="str">
            <v>BMED</v>
          </cell>
          <cell r="L1406" t="str">
            <v>Critical</v>
          </cell>
          <cell r="M1406" t="str">
            <v>USA</v>
          </cell>
          <cell r="N1406" t="str">
            <v>Welch Allyn</v>
          </cell>
          <cell r="O1406" t="str">
            <v>Welch Allyn GS900</v>
          </cell>
          <cell r="P1406" t="str">
            <v>10043811102567</v>
          </cell>
          <cell r="Q1406" t="str">
            <v>Not Applicable</v>
          </cell>
          <cell r="R1406" t="str">
            <v>Welch Allyn Inc</v>
          </cell>
          <cell r="S1406" t="str">
            <v>Welch Allyn Malaysia Sdn Bhd</v>
          </cell>
          <cell r="T1406" t="str">
            <v>Functioning</v>
          </cell>
          <cell r="U1406" t="str">
            <v>Asset</v>
          </cell>
          <cell r="V1406">
            <v>10585</v>
          </cell>
          <cell r="W1406" t="str">
            <v>KEW</v>
          </cell>
          <cell r="X1406" t="str">
            <v>01/09/2010</v>
          </cell>
          <cell r="Y1406" t="str">
            <v>KEW</v>
          </cell>
          <cell r="Z1406" t="str">
            <v>16/08/2013</v>
          </cell>
          <cell r="AA1406" t="str">
            <v>15/08/2015</v>
          </cell>
          <cell r="AB1406" t="str">
            <v>No</v>
          </cell>
          <cell r="AC1406" t="str">
            <v>31/08/2013</v>
          </cell>
          <cell r="AD1406" t="str">
            <v>Good</v>
          </cell>
          <cell r="AE1406" t="str">
            <v>V1 - Existing / No Claim</v>
          </cell>
          <cell r="AF1406">
            <v>42797</v>
          </cell>
          <cell r="AG1406">
            <v>9.17</v>
          </cell>
          <cell r="AH1406" t="str">
            <v>PPM</v>
          </cell>
          <cell r="AI1406" t="str">
            <v>Strands</v>
          </cell>
          <cell r="AJ1406" t="str">
            <v>Strands PW</v>
          </cell>
        </row>
        <row r="1407">
          <cell r="A1407" t="str">
            <v>IKN401101</v>
          </cell>
          <cell r="B1407">
            <v>1099</v>
          </cell>
          <cell r="C1407" t="str">
            <v>Institut Kanser Negara</v>
          </cell>
          <cell r="D1407" t="str">
            <v>KKM/IKN/H/13/4779</v>
          </cell>
          <cell r="E1407" t="str">
            <v>12-282</v>
          </cell>
          <cell r="F1407" t="str">
            <v>Lights, Surgical</v>
          </cell>
          <cell r="G1407" t="str">
            <v>WB</v>
          </cell>
          <cell r="H1407" t="str">
            <v>SURGICAL ONCO MALE WARD</v>
          </cell>
          <cell r="I1407" t="str">
            <v>05WB107</v>
          </cell>
          <cell r="J1407" t="str">
            <v>TREATMENT / PROCEDURE</v>
          </cell>
          <cell r="K1407" t="str">
            <v>BMED</v>
          </cell>
          <cell r="L1407" t="str">
            <v>Normal</v>
          </cell>
          <cell r="M1407" t="str">
            <v>USA</v>
          </cell>
          <cell r="N1407" t="str">
            <v>Welch Allyn</v>
          </cell>
          <cell r="O1407" t="str">
            <v>Welch Allyn GS900</v>
          </cell>
          <cell r="P1407" t="str">
            <v>10043011102369</v>
          </cell>
          <cell r="Q1407" t="str">
            <v>Not Applicable</v>
          </cell>
          <cell r="R1407" t="str">
            <v>Welch Allyn Inc</v>
          </cell>
          <cell r="S1407" t="str">
            <v>Welch Allyn Malaysia Sdn Bhd</v>
          </cell>
          <cell r="T1407" t="str">
            <v>Functioning</v>
          </cell>
          <cell r="U1407" t="str">
            <v>Asset</v>
          </cell>
          <cell r="V1407">
            <v>10585</v>
          </cell>
          <cell r="W1407" t="str">
            <v>KEW</v>
          </cell>
          <cell r="X1407" t="str">
            <v>01/09/2010</v>
          </cell>
          <cell r="Y1407" t="str">
            <v>KEW</v>
          </cell>
          <cell r="Z1407" t="str">
            <v>16/08/2013</v>
          </cell>
          <cell r="AA1407" t="str">
            <v>15/08/2015</v>
          </cell>
          <cell r="AB1407" t="str">
            <v>No</v>
          </cell>
          <cell r="AC1407" t="str">
            <v>31/08/2013</v>
          </cell>
          <cell r="AD1407" t="str">
            <v>Good</v>
          </cell>
          <cell r="AE1407" t="str">
            <v>V1 - Existing / No Claim</v>
          </cell>
          <cell r="AF1407">
            <v>42235</v>
          </cell>
          <cell r="AG1407">
            <v>9.17</v>
          </cell>
          <cell r="AH1407" t="str">
            <v>PPM</v>
          </cell>
          <cell r="AI1407" t="str">
            <v>Strands</v>
          </cell>
          <cell r="AJ1407" t="str">
            <v>Strands PW</v>
          </cell>
        </row>
        <row r="1408">
          <cell r="A1408" t="str">
            <v>IKN401102</v>
          </cell>
          <cell r="B1408">
            <v>1100</v>
          </cell>
          <cell r="C1408" t="str">
            <v>Institut Kanser Negara</v>
          </cell>
          <cell r="D1408" t="str">
            <v>KKM/IKN/H/13/5478</v>
          </cell>
          <cell r="E1408" t="str">
            <v>12-282</v>
          </cell>
          <cell r="F1408" t="str">
            <v>Lights, Surgical</v>
          </cell>
          <cell r="G1408" t="str">
            <v>WC</v>
          </cell>
          <cell r="H1408" t="str">
            <v>SURGICAL ONCO FEMALE WARD</v>
          </cell>
          <cell r="I1408" t="str">
            <v>06WC107</v>
          </cell>
          <cell r="J1408" t="str">
            <v>TREATMENT / PROCEDURE</v>
          </cell>
          <cell r="K1408" t="str">
            <v>BMED</v>
          </cell>
          <cell r="L1408" t="str">
            <v>Normal</v>
          </cell>
          <cell r="M1408" t="str">
            <v>USA</v>
          </cell>
          <cell r="N1408" t="str">
            <v>Welch Allyn</v>
          </cell>
          <cell r="O1408" t="str">
            <v>Welch Allyn GS900</v>
          </cell>
          <cell r="P1408" t="str">
            <v>10033711107106</v>
          </cell>
          <cell r="Q1408" t="str">
            <v>Not Applicable</v>
          </cell>
          <cell r="R1408" t="str">
            <v>Welch Allyn Inc</v>
          </cell>
          <cell r="S1408" t="str">
            <v>Welch Allyn Malaysia Sdn Bhd</v>
          </cell>
          <cell r="T1408" t="str">
            <v>Functioning</v>
          </cell>
          <cell r="U1408" t="str">
            <v>Asset</v>
          </cell>
          <cell r="V1408">
            <v>10585</v>
          </cell>
          <cell r="W1408" t="str">
            <v>KEW</v>
          </cell>
          <cell r="X1408" t="str">
            <v>01/09/2010</v>
          </cell>
          <cell r="Y1408" t="str">
            <v>KEW</v>
          </cell>
          <cell r="Z1408" t="str">
            <v>16/08/2013</v>
          </cell>
          <cell r="AA1408" t="str">
            <v>15/08/2015</v>
          </cell>
          <cell r="AB1408" t="str">
            <v>No</v>
          </cell>
          <cell r="AC1408" t="str">
            <v>31/08/2013</v>
          </cell>
          <cell r="AD1408" t="str">
            <v>Good</v>
          </cell>
          <cell r="AE1408" t="str">
            <v>V1 - Existing / No Claim</v>
          </cell>
          <cell r="AF1408">
            <v>42235</v>
          </cell>
          <cell r="AG1408">
            <v>9.17</v>
          </cell>
          <cell r="AH1408" t="str">
            <v>PPM</v>
          </cell>
          <cell r="AI1408" t="str">
            <v>Not in contract</v>
          </cell>
          <cell r="AJ1408" t="e">
            <v>#REF!</v>
          </cell>
        </row>
        <row r="1409">
          <cell r="A1409" t="str">
            <v>IKN401103</v>
          </cell>
          <cell r="B1409">
            <v>1101</v>
          </cell>
          <cell r="C1409" t="str">
            <v>Institut Kanser Negara</v>
          </cell>
          <cell r="E1409" t="str">
            <v>12-282</v>
          </cell>
          <cell r="F1409" t="str">
            <v>Lights, Surgical</v>
          </cell>
          <cell r="G1409" t="str">
            <v>WD</v>
          </cell>
          <cell r="H1409" t="str">
            <v>RT/ONCO PAED/ADOLESCENT WARD</v>
          </cell>
          <cell r="I1409" t="str">
            <v>06WD124</v>
          </cell>
          <cell r="J1409" t="str">
            <v>TREATMENT / PROCEDURE</v>
          </cell>
          <cell r="K1409" t="str">
            <v>BMED</v>
          </cell>
          <cell r="L1409" t="str">
            <v>Normal</v>
          </cell>
          <cell r="M1409" t="str">
            <v>USA</v>
          </cell>
          <cell r="N1409" t="str">
            <v>Welch Allyn</v>
          </cell>
          <cell r="O1409" t="str">
            <v>Welch Allyn GS900</v>
          </cell>
          <cell r="P1409" t="str">
            <v>10032911105638</v>
          </cell>
          <cell r="Q1409" t="str">
            <v>Not Applicable</v>
          </cell>
          <cell r="R1409" t="str">
            <v>Welch Allyn Inc</v>
          </cell>
          <cell r="S1409" t="str">
            <v>Welch Allyn Malaysia Sdn Bhd</v>
          </cell>
          <cell r="T1409" t="str">
            <v>Functioning</v>
          </cell>
          <cell r="U1409" t="str">
            <v>Asset</v>
          </cell>
          <cell r="V1409">
            <v>10585</v>
          </cell>
          <cell r="W1409" t="str">
            <v>KEW</v>
          </cell>
          <cell r="X1409" t="str">
            <v>01/09/2010</v>
          </cell>
          <cell r="Y1409" t="str">
            <v>KEW</v>
          </cell>
          <cell r="Z1409" t="str">
            <v>16/08/2013</v>
          </cell>
          <cell r="AA1409" t="str">
            <v>15/08/2015</v>
          </cell>
          <cell r="AB1409" t="str">
            <v>No</v>
          </cell>
          <cell r="AC1409" t="str">
            <v>31/08/2013</v>
          </cell>
          <cell r="AD1409" t="str">
            <v>Good</v>
          </cell>
          <cell r="AE1409" t="str">
            <v>V1 - Existing / No Claim</v>
          </cell>
          <cell r="AF1409">
            <v>42235</v>
          </cell>
          <cell r="AG1409">
            <v>9.17</v>
          </cell>
          <cell r="AH1409" t="str">
            <v>PPM</v>
          </cell>
          <cell r="AI1409" t="str">
            <v>Not in contract</v>
          </cell>
          <cell r="AJ1409" t="e">
            <v>#REF!</v>
          </cell>
        </row>
        <row r="1410">
          <cell r="A1410" t="str">
            <v>IKN401105</v>
          </cell>
          <cell r="B1410">
            <v>1103</v>
          </cell>
          <cell r="C1410" t="str">
            <v>Institut Kanser Negara</v>
          </cell>
          <cell r="D1410" t="str">
            <v>KKM/IKN/H/13/3978</v>
          </cell>
          <cell r="E1410" t="str">
            <v>12-282</v>
          </cell>
          <cell r="F1410" t="str">
            <v>Lights, Surgical</v>
          </cell>
          <cell r="G1410" t="str">
            <v>WF</v>
          </cell>
          <cell r="H1410" t="str">
            <v>RT/ONCO WARD 2 (F)</v>
          </cell>
          <cell r="I1410" t="str">
            <v>07WF107</v>
          </cell>
          <cell r="J1410" t="str">
            <v>TREATMENT / PROCEDDURE</v>
          </cell>
          <cell r="K1410" t="str">
            <v>BMED</v>
          </cell>
          <cell r="L1410" t="str">
            <v>Normal</v>
          </cell>
          <cell r="M1410" t="str">
            <v>USA</v>
          </cell>
          <cell r="N1410" t="str">
            <v>Welch Allyn</v>
          </cell>
          <cell r="O1410" t="str">
            <v>Welch Allyn GS900</v>
          </cell>
          <cell r="P1410" t="str">
            <v>10033011105774</v>
          </cell>
          <cell r="Q1410" t="str">
            <v>Not Applicable</v>
          </cell>
          <cell r="R1410" t="str">
            <v>Welch Allyn Inc</v>
          </cell>
          <cell r="S1410" t="str">
            <v>Welch Allyn Malaysia Sdn Bhd</v>
          </cell>
          <cell r="T1410" t="str">
            <v>Functioning</v>
          </cell>
          <cell r="U1410" t="str">
            <v>Asset</v>
          </cell>
          <cell r="V1410">
            <v>10585</v>
          </cell>
          <cell r="W1410" t="str">
            <v>KEW</v>
          </cell>
          <cell r="X1410" t="str">
            <v>01/09/2010</v>
          </cell>
          <cell r="Y1410" t="str">
            <v>KEW</v>
          </cell>
          <cell r="Z1410" t="str">
            <v>16/08/2013</v>
          </cell>
          <cell r="AA1410" t="str">
            <v>15/08/2015</v>
          </cell>
          <cell r="AB1410" t="str">
            <v>No</v>
          </cell>
          <cell r="AC1410" t="str">
            <v>31/08/2013</v>
          </cell>
          <cell r="AD1410" t="str">
            <v>Good</v>
          </cell>
          <cell r="AE1410" t="str">
            <v>V1 - Existing / No Claim</v>
          </cell>
          <cell r="AF1410">
            <v>42235</v>
          </cell>
          <cell r="AG1410">
            <v>9.17</v>
          </cell>
          <cell r="AH1410" t="str">
            <v>PPM</v>
          </cell>
          <cell r="AI1410" t="str">
            <v>Strands</v>
          </cell>
          <cell r="AJ1410" t="str">
            <v>Strands PW</v>
          </cell>
        </row>
        <row r="1411">
          <cell r="A1411" t="str">
            <v>IKN401106</v>
          </cell>
          <cell r="B1411">
            <v>1104</v>
          </cell>
          <cell r="C1411" t="str">
            <v>Institut Kanser Negara</v>
          </cell>
          <cell r="D1411" t="e">
            <v>#N/A</v>
          </cell>
          <cell r="E1411" t="str">
            <v>12-282</v>
          </cell>
          <cell r="F1411" t="str">
            <v>Lights, Surgical</v>
          </cell>
          <cell r="G1411" t="str">
            <v>WG</v>
          </cell>
          <cell r="H1411" t="str">
            <v>RT/ONCO WARD 1 (M)</v>
          </cell>
          <cell r="I1411" t="str">
            <v>08WG107</v>
          </cell>
          <cell r="J1411" t="str">
            <v>TREATMENT / PROCEDURE</v>
          </cell>
          <cell r="K1411" t="str">
            <v>BMED</v>
          </cell>
          <cell r="L1411" t="str">
            <v>Normal</v>
          </cell>
          <cell r="M1411" t="str">
            <v>USA</v>
          </cell>
          <cell r="N1411" t="str">
            <v>Welch Allyn</v>
          </cell>
          <cell r="O1411" t="str">
            <v>Welch Allyn GS900</v>
          </cell>
          <cell r="P1411" t="str">
            <v>10032911105655</v>
          </cell>
          <cell r="Q1411" t="str">
            <v>Not Applicable</v>
          </cell>
          <cell r="R1411" t="str">
            <v>Welch Allyn Inc</v>
          </cell>
          <cell r="S1411" t="str">
            <v>Welch Allyn Malaysia Sdn Bhd</v>
          </cell>
          <cell r="T1411" t="str">
            <v>Functioning</v>
          </cell>
          <cell r="U1411" t="str">
            <v>Asset</v>
          </cell>
          <cell r="V1411">
            <v>10585</v>
          </cell>
          <cell r="W1411" t="str">
            <v>KEW</v>
          </cell>
          <cell r="X1411" t="str">
            <v>01/09/2010</v>
          </cell>
          <cell r="Y1411" t="str">
            <v>KEW</v>
          </cell>
          <cell r="Z1411" t="str">
            <v>16/08/2013</v>
          </cell>
          <cell r="AA1411" t="str">
            <v>15/08/2015</v>
          </cell>
          <cell r="AB1411" t="str">
            <v>No</v>
          </cell>
          <cell r="AC1411" t="str">
            <v>31/08/2013</v>
          </cell>
          <cell r="AD1411" t="str">
            <v>Good</v>
          </cell>
          <cell r="AE1411" t="str">
            <v>V1 - Existing / No Claim</v>
          </cell>
          <cell r="AF1411">
            <v>42235</v>
          </cell>
          <cell r="AG1411">
            <v>9.17</v>
          </cell>
          <cell r="AH1411" t="str">
            <v>PPM</v>
          </cell>
          <cell r="AI1411" t="str">
            <v>Not in contract</v>
          </cell>
          <cell r="AJ1411" t="e">
            <v>#REF!</v>
          </cell>
        </row>
        <row r="1412">
          <cell r="A1412" t="str">
            <v>IKN401107</v>
          </cell>
          <cell r="B1412">
            <v>1105</v>
          </cell>
          <cell r="C1412" t="str">
            <v>Institut Kanser Negara</v>
          </cell>
          <cell r="D1412" t="str">
            <v>KKM/IKN/H/13/4964</v>
          </cell>
          <cell r="E1412" t="str">
            <v>12-282</v>
          </cell>
          <cell r="F1412" t="str">
            <v>Lights, Surgical</v>
          </cell>
          <cell r="G1412" t="str">
            <v>WH</v>
          </cell>
          <cell r="H1412" t="str">
            <v>RT/ONCO WARD 2 (M)</v>
          </cell>
          <cell r="I1412" t="str">
            <v>08WH107</v>
          </cell>
          <cell r="J1412" t="str">
            <v>TREATMENT / PROCEDURE</v>
          </cell>
          <cell r="K1412" t="str">
            <v>BMED</v>
          </cell>
          <cell r="L1412" t="str">
            <v>Critical</v>
          </cell>
          <cell r="M1412" t="str">
            <v>USA</v>
          </cell>
          <cell r="N1412" t="str">
            <v>Welch Allyn</v>
          </cell>
          <cell r="O1412" t="str">
            <v>Welch Allyn GS900</v>
          </cell>
          <cell r="P1412" t="str">
            <v>10033711107103</v>
          </cell>
          <cell r="Q1412" t="str">
            <v>Not Applicable</v>
          </cell>
          <cell r="R1412" t="str">
            <v>Welch Allyn Inc</v>
          </cell>
          <cell r="S1412" t="str">
            <v>Welch Allyn Malaysia Sdn Bhd</v>
          </cell>
          <cell r="T1412" t="str">
            <v>Functioning</v>
          </cell>
          <cell r="U1412" t="str">
            <v>Asset</v>
          </cell>
          <cell r="V1412">
            <v>10585</v>
          </cell>
          <cell r="W1412" t="str">
            <v>KEW</v>
          </cell>
          <cell r="X1412" t="str">
            <v>01/09/2010</v>
          </cell>
          <cell r="Y1412" t="str">
            <v>KEW</v>
          </cell>
          <cell r="Z1412" t="str">
            <v>16/08/2013</v>
          </cell>
          <cell r="AA1412" t="str">
            <v>15/08/2015</v>
          </cell>
          <cell r="AB1412" t="str">
            <v>No</v>
          </cell>
          <cell r="AC1412" t="str">
            <v>31/08/2013</v>
          </cell>
          <cell r="AD1412" t="str">
            <v>Good</v>
          </cell>
          <cell r="AE1412" t="str">
            <v>V1 - Existing / No Claim</v>
          </cell>
          <cell r="AF1412">
            <v>42787</v>
          </cell>
          <cell r="AG1412">
            <v>9.17</v>
          </cell>
          <cell r="AH1412" t="str">
            <v>PPM</v>
          </cell>
          <cell r="AI1412" t="str">
            <v>Strands</v>
          </cell>
          <cell r="AJ1412" t="str">
            <v>Strands PW</v>
          </cell>
        </row>
        <row r="1413">
          <cell r="A1413" t="str">
            <v>IKN401108</v>
          </cell>
          <cell r="B1413">
            <v>1106</v>
          </cell>
          <cell r="C1413" t="str">
            <v>Institut Kanser Negara</v>
          </cell>
          <cell r="D1413" t="e">
            <v>#N/A</v>
          </cell>
          <cell r="E1413" t="str">
            <v>12-282</v>
          </cell>
          <cell r="F1413" t="str">
            <v>Lights, Surgical</v>
          </cell>
          <cell r="G1413" t="str">
            <v>WJ</v>
          </cell>
          <cell r="H1413" t="str">
            <v>MULTIDISCIPLINE WARD 1</v>
          </cell>
          <cell r="I1413" t="str">
            <v>09WJ126</v>
          </cell>
          <cell r="J1413" t="str">
            <v>EQUIPT. ROOM</v>
          </cell>
          <cell r="K1413" t="str">
            <v>BMED</v>
          </cell>
          <cell r="L1413" t="str">
            <v>Critical</v>
          </cell>
          <cell r="M1413" t="str">
            <v>USA</v>
          </cell>
          <cell r="N1413" t="str">
            <v>Welch Allyn</v>
          </cell>
          <cell r="O1413" t="str">
            <v>Welch Allyn GS900</v>
          </cell>
          <cell r="P1413" t="str">
            <v>10034711108182</v>
          </cell>
          <cell r="Q1413" t="str">
            <v>Not Applicable</v>
          </cell>
          <cell r="R1413" t="str">
            <v>Welch Allyn Inc</v>
          </cell>
          <cell r="S1413" t="str">
            <v>Welch Allyn Malaysia Sdn Bhd</v>
          </cell>
          <cell r="T1413" t="str">
            <v>Functioning</v>
          </cell>
          <cell r="U1413" t="str">
            <v>Asset</v>
          </cell>
          <cell r="V1413">
            <v>10585</v>
          </cell>
          <cell r="W1413" t="str">
            <v>KEW</v>
          </cell>
          <cell r="X1413" t="str">
            <v>01/09/2010</v>
          </cell>
          <cell r="Y1413" t="str">
            <v>KEW</v>
          </cell>
          <cell r="Z1413" t="str">
            <v>16/08/2013</v>
          </cell>
          <cell r="AA1413" t="str">
            <v>15/08/2015</v>
          </cell>
          <cell r="AB1413" t="str">
            <v>No</v>
          </cell>
          <cell r="AC1413" t="str">
            <v>31/08/2013</v>
          </cell>
          <cell r="AD1413" t="str">
            <v>Good</v>
          </cell>
          <cell r="AE1413" t="str">
            <v>V1 - Existing / No Claim</v>
          </cell>
          <cell r="AF1413">
            <v>43063</v>
          </cell>
          <cell r="AG1413">
            <v>9.17</v>
          </cell>
          <cell r="AH1413" t="str">
            <v>PPM</v>
          </cell>
          <cell r="AI1413" t="str">
            <v>Propose P1.24</v>
          </cell>
        </row>
        <row r="1414">
          <cell r="A1414" t="str">
            <v>IKN401109</v>
          </cell>
          <cell r="B1414">
            <v>1107</v>
          </cell>
          <cell r="C1414" t="str">
            <v>Institut Kanser Negara</v>
          </cell>
          <cell r="D1414" t="e">
            <v>#N/A</v>
          </cell>
          <cell r="E1414" t="str">
            <v>12-282</v>
          </cell>
          <cell r="F1414" t="str">
            <v>Lights, Surgical</v>
          </cell>
          <cell r="G1414" t="str">
            <v>WJ</v>
          </cell>
          <cell r="H1414" t="str">
            <v>MULTIDISCIPLINE WARD 1</v>
          </cell>
          <cell r="I1414" t="str">
            <v>09WJ130</v>
          </cell>
          <cell r="J1414" t="str">
            <v>TREATMENT/ PROCEDURE</v>
          </cell>
          <cell r="K1414" t="str">
            <v>BMED</v>
          </cell>
          <cell r="L1414" t="str">
            <v>Normal</v>
          </cell>
          <cell r="M1414" t="str">
            <v>USA</v>
          </cell>
          <cell r="N1414" t="str">
            <v>Welch Allyn</v>
          </cell>
          <cell r="O1414" t="str">
            <v>Welch Allyn GS900</v>
          </cell>
          <cell r="P1414" t="str">
            <v>10033011105770</v>
          </cell>
          <cell r="Q1414" t="str">
            <v>Not Applicable</v>
          </cell>
          <cell r="R1414" t="str">
            <v>Welch Allyn Inc</v>
          </cell>
          <cell r="S1414" t="str">
            <v>Welch Allyn Malaysia Sdn Bhd</v>
          </cell>
          <cell r="T1414" t="str">
            <v>Functioning</v>
          </cell>
          <cell r="U1414" t="str">
            <v>Asset</v>
          </cell>
          <cell r="V1414">
            <v>10585</v>
          </cell>
          <cell r="W1414" t="str">
            <v>KEW</v>
          </cell>
          <cell r="X1414" t="str">
            <v>01/09/2010</v>
          </cell>
          <cell r="Y1414" t="str">
            <v>KEW</v>
          </cell>
          <cell r="Z1414" t="str">
            <v>16/08/2013</v>
          </cell>
          <cell r="AA1414" t="str">
            <v>15/08/2015</v>
          </cell>
          <cell r="AB1414" t="str">
            <v>No</v>
          </cell>
          <cell r="AC1414" t="str">
            <v>31/08/2013</v>
          </cell>
          <cell r="AD1414" t="str">
            <v>Good</v>
          </cell>
          <cell r="AE1414" t="str">
            <v>V1 - Existing / No Claim</v>
          </cell>
          <cell r="AF1414">
            <v>42235</v>
          </cell>
          <cell r="AG1414">
            <v>9.17</v>
          </cell>
          <cell r="AH1414" t="str">
            <v>PPM</v>
          </cell>
          <cell r="AI1414" t="str">
            <v>Propose P1.24</v>
          </cell>
        </row>
        <row r="1415">
          <cell r="A1415" t="str">
            <v>IKN401110</v>
          </cell>
          <cell r="B1415">
            <v>1108</v>
          </cell>
          <cell r="C1415" t="str">
            <v>Institut Kanser Negara</v>
          </cell>
          <cell r="E1415" t="str">
            <v>12-282</v>
          </cell>
          <cell r="F1415" t="str">
            <v>Lights, Surgical</v>
          </cell>
          <cell r="G1415" t="str">
            <v>MT</v>
          </cell>
          <cell r="H1415" t="str">
            <v>MORTUARY</v>
          </cell>
          <cell r="I1415" t="str">
            <v>01MT132</v>
          </cell>
          <cell r="J1415" t="str">
            <v>POST-MORTEM</v>
          </cell>
          <cell r="K1415" t="str">
            <v>BMED</v>
          </cell>
          <cell r="L1415" t="str">
            <v>Normal</v>
          </cell>
          <cell r="M1415" t="str">
            <v>USA</v>
          </cell>
          <cell r="N1415" t="str">
            <v>Welch Allyn</v>
          </cell>
          <cell r="O1415" t="str">
            <v>Welch Allyn GS900</v>
          </cell>
          <cell r="P1415" t="str">
            <v>10033711107134</v>
          </cell>
          <cell r="Q1415" t="str">
            <v>Not Applicable</v>
          </cell>
          <cell r="R1415" t="str">
            <v>Welch Allyn Inc</v>
          </cell>
          <cell r="S1415" t="str">
            <v>Welch Allyn Malaysia Sdn Bhd</v>
          </cell>
          <cell r="T1415" t="str">
            <v>Functioning</v>
          </cell>
          <cell r="U1415" t="str">
            <v>Asset</v>
          </cell>
          <cell r="V1415">
            <v>10585</v>
          </cell>
          <cell r="W1415" t="str">
            <v>KEW</v>
          </cell>
          <cell r="X1415" t="str">
            <v>01/09/2010</v>
          </cell>
          <cell r="Y1415" t="str">
            <v>KEW</v>
          </cell>
          <cell r="Z1415" t="str">
            <v>16/08/2013</v>
          </cell>
          <cell r="AA1415" t="str">
            <v>15/08/2015</v>
          </cell>
          <cell r="AB1415" t="str">
            <v>No</v>
          </cell>
          <cell r="AC1415" t="str">
            <v>31/08/2013</v>
          </cell>
          <cell r="AD1415" t="str">
            <v>Good</v>
          </cell>
          <cell r="AE1415" t="str">
            <v>V1 - Existing / No Claim</v>
          </cell>
          <cell r="AF1415">
            <v>42235</v>
          </cell>
          <cell r="AG1415">
            <v>9.17</v>
          </cell>
          <cell r="AH1415" t="str">
            <v>PPM</v>
          </cell>
          <cell r="AI1415" t="str">
            <v>Not in contract</v>
          </cell>
        </row>
        <row r="1416">
          <cell r="A1416" t="str">
            <v>IKN401111</v>
          </cell>
          <cell r="B1416">
            <v>1109</v>
          </cell>
          <cell r="C1416" t="str">
            <v>Institut Kanser Negara</v>
          </cell>
          <cell r="D1416" t="str">
            <v>KKM/IKN/H/13/4406</v>
          </cell>
          <cell r="E1416" t="str">
            <v>12-282</v>
          </cell>
          <cell r="F1416" t="str">
            <v>Lights, Surgical</v>
          </cell>
          <cell r="G1416" t="str">
            <v>IC</v>
          </cell>
          <cell r="H1416" t="str">
            <v>INTENSIVE CARE UNIT</v>
          </cell>
          <cell r="I1416" t="str">
            <v>05IC113</v>
          </cell>
          <cell r="J1416" t="str">
            <v>ICU RM 2</v>
          </cell>
          <cell r="K1416" t="str">
            <v>BMED</v>
          </cell>
          <cell r="L1416" t="str">
            <v>Critical</v>
          </cell>
          <cell r="M1416" t="str">
            <v>USA</v>
          </cell>
          <cell r="N1416" t="str">
            <v>Welch Allyn</v>
          </cell>
          <cell r="O1416" t="str">
            <v>Welch Allyn GS900</v>
          </cell>
          <cell r="P1416" t="str">
            <v>10043011102356</v>
          </cell>
          <cell r="Q1416" t="str">
            <v>Not Applicable</v>
          </cell>
          <cell r="R1416" t="str">
            <v>Welch Allyn Inc</v>
          </cell>
          <cell r="S1416" t="str">
            <v>Welch Allyn Malaysia Sdn Bhd</v>
          </cell>
          <cell r="T1416" t="str">
            <v>Functioning</v>
          </cell>
          <cell r="U1416" t="str">
            <v>Asset</v>
          </cell>
          <cell r="V1416">
            <v>10585</v>
          </cell>
          <cell r="W1416" t="str">
            <v>KEW</v>
          </cell>
          <cell r="X1416" t="str">
            <v>01/09/2010</v>
          </cell>
          <cell r="Y1416" t="str">
            <v>KEW</v>
          </cell>
          <cell r="Z1416" t="str">
            <v>16/08/2013</v>
          </cell>
          <cell r="AA1416" t="str">
            <v>15/08/2015</v>
          </cell>
          <cell r="AB1416" t="str">
            <v>No</v>
          </cell>
          <cell r="AC1416" t="str">
            <v>31/08/2013</v>
          </cell>
          <cell r="AD1416" t="str">
            <v>Good</v>
          </cell>
          <cell r="AE1416" t="str">
            <v>V1 - Existing / No Claim</v>
          </cell>
          <cell r="AF1416">
            <v>42797</v>
          </cell>
          <cell r="AG1416">
            <v>9.17</v>
          </cell>
          <cell r="AH1416" t="str">
            <v>PPM</v>
          </cell>
          <cell r="AI1416" t="str">
            <v>Strands</v>
          </cell>
          <cell r="AJ1416" t="str">
            <v>Strands PW</v>
          </cell>
        </row>
        <row r="1417">
          <cell r="A1417" t="str">
            <v>IKN401112</v>
          </cell>
          <cell r="B1417">
            <v>1110</v>
          </cell>
          <cell r="C1417" t="str">
            <v>Institut Kanser Negara</v>
          </cell>
          <cell r="D1417" t="str">
            <v>KKM/IKN/H/13/4364</v>
          </cell>
          <cell r="E1417" t="str">
            <v>12-282</v>
          </cell>
          <cell r="F1417" t="str">
            <v>Lights, Surgical</v>
          </cell>
          <cell r="G1417" t="str">
            <v>IC</v>
          </cell>
          <cell r="H1417" t="str">
            <v>INTENSIVE CARE UNIT</v>
          </cell>
          <cell r="I1417" t="str">
            <v>05IC111</v>
          </cell>
          <cell r="J1417" t="str">
            <v>ISOL 1(-VE)</v>
          </cell>
          <cell r="K1417" t="str">
            <v>BMED</v>
          </cell>
          <cell r="L1417" t="str">
            <v>Normal</v>
          </cell>
          <cell r="M1417" t="str">
            <v>USA</v>
          </cell>
          <cell r="N1417" t="str">
            <v>Welch Allyn</v>
          </cell>
          <cell r="O1417" t="str">
            <v>Welch Allyn GS900</v>
          </cell>
          <cell r="P1417" t="str">
            <v>10033711107114</v>
          </cell>
          <cell r="Q1417" t="str">
            <v>Not Applicable</v>
          </cell>
          <cell r="R1417" t="str">
            <v>Welch Allyn Inc</v>
          </cell>
          <cell r="S1417" t="str">
            <v>Welch Allyn Malaysia Sdn Bhd</v>
          </cell>
          <cell r="T1417" t="str">
            <v>Functioning</v>
          </cell>
          <cell r="U1417" t="str">
            <v>Asset</v>
          </cell>
          <cell r="V1417">
            <v>10585</v>
          </cell>
          <cell r="W1417" t="str">
            <v>KEW</v>
          </cell>
          <cell r="X1417" t="str">
            <v>01/09/2010</v>
          </cell>
          <cell r="Y1417" t="str">
            <v>KEW</v>
          </cell>
          <cell r="Z1417" t="str">
            <v>16/08/2013</v>
          </cell>
          <cell r="AA1417" t="str">
            <v>15/08/2015</v>
          </cell>
          <cell r="AB1417" t="str">
            <v>No</v>
          </cell>
          <cell r="AC1417" t="str">
            <v>31/08/2013</v>
          </cell>
          <cell r="AD1417" t="str">
            <v>Good</v>
          </cell>
          <cell r="AE1417" t="str">
            <v>V1 - Existing / No Claim</v>
          </cell>
          <cell r="AF1417">
            <v>42235</v>
          </cell>
          <cell r="AG1417">
            <v>9.17</v>
          </cell>
          <cell r="AH1417" t="str">
            <v>PPM</v>
          </cell>
          <cell r="AI1417" t="str">
            <v>Strands</v>
          </cell>
          <cell r="AJ1417" t="str">
            <v>Strands PW</v>
          </cell>
        </row>
        <row r="1418">
          <cell r="A1418" t="str">
            <v>IKN401113</v>
          </cell>
          <cell r="B1418">
            <v>1111</v>
          </cell>
          <cell r="C1418" t="str">
            <v>Institut Kanser Negara</v>
          </cell>
          <cell r="D1418" t="str">
            <v>KKM/IKN/H/13/4407</v>
          </cell>
          <cell r="E1418" t="str">
            <v>12-282</v>
          </cell>
          <cell r="F1418" t="str">
            <v>Lights, Surgical</v>
          </cell>
          <cell r="G1418" t="str">
            <v>IC</v>
          </cell>
          <cell r="H1418" t="str">
            <v>INTENSIVE CARE UNIT</v>
          </cell>
          <cell r="I1418" t="str">
            <v>05IC115</v>
          </cell>
          <cell r="J1418" t="str">
            <v>ICU RM 4</v>
          </cell>
          <cell r="K1418" t="str">
            <v>BMED</v>
          </cell>
          <cell r="L1418" t="str">
            <v>Critical</v>
          </cell>
          <cell r="M1418" t="str">
            <v>USA</v>
          </cell>
          <cell r="N1418" t="str">
            <v>Welch Allyn</v>
          </cell>
          <cell r="O1418" t="str">
            <v>Welch Allyn GS900</v>
          </cell>
          <cell r="P1418" t="str">
            <v>10043011102388</v>
          </cell>
          <cell r="Q1418" t="str">
            <v>Not Applicable</v>
          </cell>
          <cell r="R1418" t="str">
            <v>Welch Allyn Inc</v>
          </cell>
          <cell r="S1418" t="str">
            <v>Welch Allyn Malaysia Sdn Bhd</v>
          </cell>
          <cell r="T1418" t="str">
            <v>Functioning</v>
          </cell>
          <cell r="U1418" t="str">
            <v>Asset</v>
          </cell>
          <cell r="V1418">
            <v>10585</v>
          </cell>
          <cell r="W1418" t="str">
            <v>KEW</v>
          </cell>
          <cell r="X1418" t="str">
            <v>01/09/2010</v>
          </cell>
          <cell r="Y1418" t="str">
            <v>KEW</v>
          </cell>
          <cell r="Z1418" t="str">
            <v>16/08/2013</v>
          </cell>
          <cell r="AA1418" t="str">
            <v>15/08/2015</v>
          </cell>
          <cell r="AB1418" t="str">
            <v>No</v>
          </cell>
          <cell r="AC1418" t="str">
            <v>31/08/2013</v>
          </cell>
          <cell r="AD1418" t="str">
            <v>Good</v>
          </cell>
          <cell r="AE1418" t="str">
            <v>V1 - Existing / No Claim</v>
          </cell>
          <cell r="AF1418">
            <v>42797</v>
          </cell>
          <cell r="AG1418">
            <v>9.17</v>
          </cell>
          <cell r="AH1418" t="str">
            <v>PPM</v>
          </cell>
          <cell r="AI1418" t="str">
            <v>Strands</v>
          </cell>
          <cell r="AJ1418" t="str">
            <v>Strands PW</v>
          </cell>
        </row>
        <row r="1419">
          <cell r="A1419" t="str">
            <v>IKN401122</v>
          </cell>
          <cell r="B1419">
            <v>1120</v>
          </cell>
          <cell r="C1419" t="str">
            <v>Institut Kanser Negara</v>
          </cell>
          <cell r="D1419" t="str">
            <v>KKM/IKN/H/13/358</v>
          </cell>
          <cell r="E1419" t="str">
            <v>12-873</v>
          </cell>
          <cell r="F1419" t="str">
            <v>Concentrators, Oxygen</v>
          </cell>
          <cell r="G1419" t="str">
            <v>PC</v>
          </cell>
          <cell r="H1419" t="str">
            <v>PALLIATIVE CARE UNIT</v>
          </cell>
          <cell r="I1419" t="str">
            <v>04PC109</v>
          </cell>
          <cell r="J1419" t="str">
            <v>GEN. STORE</v>
          </cell>
          <cell r="K1419" t="str">
            <v>BMED</v>
          </cell>
          <cell r="L1419" t="str">
            <v>Normal</v>
          </cell>
          <cell r="M1419" t="str">
            <v>USA</v>
          </cell>
          <cell r="N1419" t="str">
            <v>EverFlo</v>
          </cell>
          <cell r="O1419" t="str">
            <v>EverFlo</v>
          </cell>
          <cell r="P1419" t="str">
            <v>14758</v>
          </cell>
          <cell r="Q1419" t="str">
            <v>Not Applicable</v>
          </cell>
          <cell r="R1419" t="str">
            <v>Respironics</v>
          </cell>
          <cell r="S1419" t="str">
            <v>Goodlabs Medical (M) Sdn. Bhd.</v>
          </cell>
          <cell r="T1419" t="str">
            <v>Functioning</v>
          </cell>
          <cell r="U1419" t="str">
            <v>Asset</v>
          </cell>
          <cell r="V1419">
            <v>5773</v>
          </cell>
          <cell r="W1419" t="str">
            <v>KEW</v>
          </cell>
          <cell r="X1419">
            <v>40422</v>
          </cell>
          <cell r="Y1419" t="str">
            <v>KEW</v>
          </cell>
          <cell r="Z1419" t="str">
            <v>16/08/2013</v>
          </cell>
          <cell r="AA1419" t="str">
            <v>15/08/2015</v>
          </cell>
          <cell r="AB1419" t="str">
            <v>No</v>
          </cell>
          <cell r="AC1419" t="str">
            <v>31/08/2013</v>
          </cell>
          <cell r="AD1419" t="str">
            <v>Good</v>
          </cell>
          <cell r="AE1419" t="str">
            <v>V1 - Existing / No Claim</v>
          </cell>
          <cell r="AF1419">
            <v>42235</v>
          </cell>
          <cell r="AG1419">
            <v>9.17</v>
          </cell>
          <cell r="AH1419" t="str">
            <v>PPM</v>
          </cell>
          <cell r="AI1419" t="str">
            <v>Strands</v>
          </cell>
          <cell r="AJ1419" t="str">
            <v>Strands PW</v>
          </cell>
        </row>
        <row r="1420">
          <cell r="A1420" t="str">
            <v>IKN401123</v>
          </cell>
          <cell r="B1420">
            <v>1121</v>
          </cell>
          <cell r="C1420" t="str">
            <v>Institut Kanser Negara</v>
          </cell>
          <cell r="D1420" t="str">
            <v>KKM/IKN/H/13/4290</v>
          </cell>
          <cell r="E1420" t="str">
            <v>13-215</v>
          </cell>
          <cell r="F1420" t="str">
            <v>Infusion Pumps, General-Purpose</v>
          </cell>
          <cell r="G1420" t="str">
            <v>WB</v>
          </cell>
          <cell r="H1420" t="str">
            <v>SURGICAL ONCO MALE WARD</v>
          </cell>
          <cell r="I1420" t="str">
            <v>05WB113</v>
          </cell>
          <cell r="J1420" t="str">
            <v>EQUIP. ROOM</v>
          </cell>
          <cell r="K1420" t="str">
            <v>BMED</v>
          </cell>
          <cell r="L1420" t="str">
            <v>Critical</v>
          </cell>
          <cell r="M1420" t="str">
            <v>Germany</v>
          </cell>
          <cell r="N1420" t="str">
            <v>Infusomat</v>
          </cell>
          <cell r="O1420" t="str">
            <v>Infusomat Space</v>
          </cell>
          <cell r="P1420" t="str">
            <v>211911</v>
          </cell>
          <cell r="Q1420" t="str">
            <v>Not Applicable</v>
          </cell>
          <cell r="R1420" t="str">
            <v>B Braun Melsungen AG</v>
          </cell>
          <cell r="S1420" t="str">
            <v>B Braun Medical Supplies Sdn. Bhd.</v>
          </cell>
          <cell r="T1420" t="str">
            <v>Functioning</v>
          </cell>
          <cell r="U1420" t="str">
            <v>Asset</v>
          </cell>
          <cell r="V1420">
            <v>10825</v>
          </cell>
          <cell r="W1420" t="str">
            <v>KEW</v>
          </cell>
          <cell r="X1420" t="str">
            <v>01/09/2010</v>
          </cell>
          <cell r="Y1420" t="str">
            <v>KEW</v>
          </cell>
          <cell r="Z1420" t="str">
            <v>16/08/2013</v>
          </cell>
          <cell r="AA1420" t="str">
            <v>15/08/2015</v>
          </cell>
          <cell r="AB1420" t="str">
            <v>No</v>
          </cell>
          <cell r="AC1420" t="str">
            <v>31/08/2013</v>
          </cell>
          <cell r="AD1420" t="str">
            <v>Good</v>
          </cell>
          <cell r="AE1420" t="str">
            <v>V1 - Existing / No Claim</v>
          </cell>
          <cell r="AF1420">
            <v>42788</v>
          </cell>
          <cell r="AG1420">
            <v>9.17</v>
          </cell>
          <cell r="AH1420" t="str">
            <v>PPM</v>
          </cell>
          <cell r="AI1420" t="str">
            <v>Strands</v>
          </cell>
          <cell r="AJ1420" t="str">
            <v>Strands PW SET B</v>
          </cell>
          <cell r="AK1420" t="str">
            <v>CUBA CHECK IKN400441 PUNYA KEWPA</v>
          </cell>
        </row>
        <row r="1421">
          <cell r="A1421" t="str">
            <v>IKN401124</v>
          </cell>
          <cell r="B1421">
            <v>1122</v>
          </cell>
          <cell r="C1421" t="str">
            <v>Institut Kanser Negara</v>
          </cell>
          <cell r="D1421" t="str">
            <v>KKM/IKN/R/15/15</v>
          </cell>
          <cell r="E1421" t="str">
            <v>15-663</v>
          </cell>
          <cell r="F1421" t="str">
            <v>Pipetters</v>
          </cell>
          <cell r="G1421" t="str">
            <v>NM</v>
          </cell>
          <cell r="H1421" t="str">
            <v>NUCLEAR MED (DIAGNOSTIC)</v>
          </cell>
          <cell r="I1421" t="str">
            <v>03NM154</v>
          </cell>
          <cell r="J1421" t="str">
            <v>RIA LAB</v>
          </cell>
          <cell r="K1421" t="str">
            <v>BMED</v>
          </cell>
          <cell r="L1421" t="str">
            <v>Normal</v>
          </cell>
          <cell r="M1421" t="str">
            <v>Germany</v>
          </cell>
          <cell r="N1421" t="str">
            <v>Eppendorf</v>
          </cell>
          <cell r="O1421" t="str">
            <v>Research Plus</v>
          </cell>
          <cell r="P1421" t="str">
            <v>J275491D</v>
          </cell>
          <cell r="Q1421" t="str">
            <v>Not Applicable</v>
          </cell>
          <cell r="R1421" t="str">
            <v>Eppendorf</v>
          </cell>
          <cell r="S1421" t="str">
            <v>Medigene sdn bhd</v>
          </cell>
          <cell r="T1421" t="str">
            <v>Functioning</v>
          </cell>
          <cell r="U1421" t="str">
            <v>Asset</v>
          </cell>
          <cell r="V1421">
            <v>596</v>
          </cell>
          <cell r="W1421" t="str">
            <v>KEW</v>
          </cell>
          <cell r="X1421" t="str">
            <v>08/05/2015</v>
          </cell>
          <cell r="Y1421" t="str">
            <v>KEW</v>
          </cell>
          <cell r="Z1421" t="str">
            <v>08/06/2015</v>
          </cell>
          <cell r="AA1421" t="str">
            <v>07/06/2018</v>
          </cell>
          <cell r="AB1421" t="str">
            <v>No</v>
          </cell>
          <cell r="AC1421" t="str">
            <v>08/06/2015</v>
          </cell>
          <cell r="AD1421" t="str">
            <v>Good</v>
          </cell>
          <cell r="AE1421" t="str">
            <v>V3 - Added Installed Facilities (New)</v>
          </cell>
          <cell r="AF1421">
            <v>42235</v>
          </cell>
          <cell r="AG1421">
            <v>4.5</v>
          </cell>
          <cell r="AH1421" t="str">
            <v>PPM</v>
          </cell>
          <cell r="AI1421" t="str">
            <v>Not in contract</v>
          </cell>
          <cell r="AJ1421" t="str">
            <v>Proposed for V3 P2.23</v>
          </cell>
          <cell r="AK1421" t="str">
            <v>KKM follow P2.23 list.</v>
          </cell>
        </row>
        <row r="1422">
          <cell r="A1422" t="str">
            <v>IKN401125</v>
          </cell>
          <cell r="B1422">
            <v>1123</v>
          </cell>
          <cell r="C1422" t="str">
            <v>Institut Kanser Negara</v>
          </cell>
          <cell r="D1422" t="str">
            <v>KKM/IKN/R/15/16</v>
          </cell>
          <cell r="E1422" t="str">
            <v>15-663</v>
          </cell>
          <cell r="F1422" t="str">
            <v>Pipetters</v>
          </cell>
          <cell r="G1422" t="str">
            <v>NM</v>
          </cell>
          <cell r="H1422" t="str">
            <v>NUCLEAR MED (DIAGNOSTIC)</v>
          </cell>
          <cell r="I1422" t="str">
            <v>03NM154</v>
          </cell>
          <cell r="J1422" t="str">
            <v>RIA LAB</v>
          </cell>
          <cell r="K1422" t="str">
            <v>BMED</v>
          </cell>
          <cell r="L1422" t="str">
            <v>Normal</v>
          </cell>
          <cell r="M1422" t="str">
            <v>Germany</v>
          </cell>
          <cell r="N1422" t="str">
            <v>Eppendorf</v>
          </cell>
          <cell r="O1422" t="str">
            <v>Research Plus</v>
          </cell>
          <cell r="P1422" t="str">
            <v>358798Z</v>
          </cell>
          <cell r="Q1422" t="str">
            <v>Not Applicable</v>
          </cell>
          <cell r="R1422" t="str">
            <v>Eppendorf</v>
          </cell>
          <cell r="S1422" t="str">
            <v>Medigene sdn bhd</v>
          </cell>
          <cell r="T1422" t="str">
            <v>Functioning</v>
          </cell>
          <cell r="U1422" t="str">
            <v>Asset</v>
          </cell>
          <cell r="V1422">
            <v>762</v>
          </cell>
          <cell r="W1422" t="str">
            <v>KEW</v>
          </cell>
          <cell r="X1422" t="str">
            <v>08/05/2015</v>
          </cell>
          <cell r="Y1422" t="str">
            <v>KEW</v>
          </cell>
          <cell r="Z1422" t="str">
            <v>08/06/2015</v>
          </cell>
          <cell r="AA1422" t="str">
            <v>07/06/2018</v>
          </cell>
          <cell r="AB1422" t="str">
            <v>No</v>
          </cell>
          <cell r="AC1422" t="str">
            <v>08/06/2015</v>
          </cell>
          <cell r="AD1422" t="str">
            <v>Good</v>
          </cell>
          <cell r="AE1422" t="str">
            <v>V3 - Added Installed Facilities (New)</v>
          </cell>
          <cell r="AF1422">
            <v>42235</v>
          </cell>
          <cell r="AG1422">
            <v>4.5</v>
          </cell>
          <cell r="AH1422" t="str">
            <v>PPM</v>
          </cell>
          <cell r="AI1422" t="str">
            <v>Not in contract</v>
          </cell>
          <cell r="AJ1422" t="str">
            <v>Proposed for V3 P2.23</v>
          </cell>
          <cell r="AK1422" t="str">
            <v>KKM follow P2.23 list.</v>
          </cell>
        </row>
        <row r="1423">
          <cell r="A1423" t="str">
            <v>IKN401126</v>
          </cell>
          <cell r="B1423">
            <v>1124</v>
          </cell>
          <cell r="C1423" t="str">
            <v>Institut Kanser Negara</v>
          </cell>
          <cell r="D1423" t="e">
            <v>#N/A</v>
          </cell>
          <cell r="E1423" t="str">
            <v>15-605</v>
          </cell>
          <cell r="F1423" t="str">
            <v>Testers</v>
          </cell>
          <cell r="G1423" t="str">
            <v>PS</v>
          </cell>
          <cell r="H1423" t="str">
            <v>SUPPORT SERVICE/PLANT</v>
          </cell>
          <cell r="I1423" t="str">
            <v>01PS105</v>
          </cell>
          <cell r="J1423" t="str">
            <v>CHIEF ENGINEER</v>
          </cell>
          <cell r="K1423" t="str">
            <v>BMED</v>
          </cell>
          <cell r="L1423" t="str">
            <v>Normal</v>
          </cell>
          <cell r="M1423" t="str">
            <v>USA</v>
          </cell>
          <cell r="N1423" t="str">
            <v>Fluke</v>
          </cell>
          <cell r="O1423" t="str">
            <v>Impulse 7000 DP</v>
          </cell>
          <cell r="P1423" t="str">
            <v>2298012</v>
          </cell>
          <cell r="Q1423" t="str">
            <v>Not Applicable</v>
          </cell>
          <cell r="R1423" t="str">
            <v>Fluke Biomedical RMS</v>
          </cell>
          <cell r="S1423" t="str">
            <v>Bell Comm Technologies Sdn Bhd</v>
          </cell>
          <cell r="T1423" t="str">
            <v>Functioning</v>
          </cell>
          <cell r="U1423" t="str">
            <v>Asset</v>
          </cell>
          <cell r="V1423">
            <v>22130</v>
          </cell>
          <cell r="W1423" t="str">
            <v>KEW</v>
          </cell>
          <cell r="X1423" t="str">
            <v>01/09/2010</v>
          </cell>
          <cell r="Y1423" t="str">
            <v>KEW</v>
          </cell>
          <cell r="Z1423" t="str">
            <v>16/08/2013</v>
          </cell>
          <cell r="AA1423" t="str">
            <v>15/08/2015</v>
          </cell>
          <cell r="AB1423" t="str">
            <v>No</v>
          </cell>
          <cell r="AC1423" t="str">
            <v>31/08/2013</v>
          </cell>
          <cell r="AD1423" t="str">
            <v>Good</v>
          </cell>
          <cell r="AE1423" t="str">
            <v>V1 - Existing / No Claim</v>
          </cell>
          <cell r="AF1423">
            <v>42235</v>
          </cell>
          <cell r="AG1423">
            <v>9.17</v>
          </cell>
          <cell r="AH1423" t="str">
            <v>PPM</v>
          </cell>
          <cell r="AI1423" t="str">
            <v>Not in contract</v>
          </cell>
          <cell r="AJ1423" t="str">
            <v>ANALYZER</v>
          </cell>
          <cell r="AK1423" t="str">
            <v>IKN agreed unit to be used by BEMS but have to calibrate.</v>
          </cell>
        </row>
        <row r="1424">
          <cell r="A1424" t="str">
            <v>IKN401127</v>
          </cell>
          <cell r="B1424">
            <v>1125</v>
          </cell>
          <cell r="C1424" t="str">
            <v>Institut Kanser Negara</v>
          </cell>
          <cell r="D1424" t="e">
            <v>#N/A</v>
          </cell>
          <cell r="E1424" t="str">
            <v>15-605</v>
          </cell>
          <cell r="F1424" t="str">
            <v>Testers</v>
          </cell>
          <cell r="G1424" t="str">
            <v>PS</v>
          </cell>
          <cell r="H1424" t="str">
            <v>SUPPORT SERVICE/PLANT</v>
          </cell>
          <cell r="I1424" t="str">
            <v>01PS105</v>
          </cell>
          <cell r="J1424" t="str">
            <v>CHIEF ENGINEER</v>
          </cell>
          <cell r="K1424" t="str">
            <v>BMED</v>
          </cell>
          <cell r="L1424" t="str">
            <v>Normal</v>
          </cell>
          <cell r="M1424" t="str">
            <v>USA</v>
          </cell>
          <cell r="N1424" t="str">
            <v>Fluke</v>
          </cell>
          <cell r="O1424" t="str">
            <v>Index 2XLFE</v>
          </cell>
          <cell r="P1424" t="str">
            <v>2324002</v>
          </cell>
          <cell r="Q1424" t="str">
            <v>Not Applicable</v>
          </cell>
          <cell r="R1424" t="str">
            <v>Fluke Biomedical RMS</v>
          </cell>
          <cell r="S1424" t="str">
            <v>Bell Comm Technologies Sdn Bhd</v>
          </cell>
          <cell r="T1424" t="str">
            <v>Functioning</v>
          </cell>
          <cell r="U1424" t="str">
            <v>Asset</v>
          </cell>
          <cell r="V1424">
            <v>30070</v>
          </cell>
          <cell r="W1424" t="str">
            <v>KEW</v>
          </cell>
          <cell r="X1424" t="str">
            <v>01/09/2010</v>
          </cell>
          <cell r="Y1424" t="str">
            <v>KEW</v>
          </cell>
          <cell r="Z1424" t="str">
            <v>16/08/2013</v>
          </cell>
          <cell r="AA1424" t="str">
            <v>15/08/2015</v>
          </cell>
          <cell r="AB1424" t="str">
            <v>No</v>
          </cell>
          <cell r="AC1424" t="str">
            <v>31/08/2013</v>
          </cell>
          <cell r="AD1424" t="str">
            <v>Good</v>
          </cell>
          <cell r="AE1424" t="str">
            <v>V1 - Existing / No Claim</v>
          </cell>
          <cell r="AF1424">
            <v>42235</v>
          </cell>
          <cell r="AG1424">
            <v>9.17</v>
          </cell>
          <cell r="AH1424" t="str">
            <v>PPM</v>
          </cell>
          <cell r="AI1424" t="str">
            <v>Not in contract</v>
          </cell>
          <cell r="AJ1424" t="str">
            <v>ANALYZER</v>
          </cell>
          <cell r="AK1424" t="str">
            <v>IKN agreed unit to be used by BEMS but have to calibrate.</v>
          </cell>
        </row>
        <row r="1425">
          <cell r="A1425" t="str">
            <v>IKN401128</v>
          </cell>
          <cell r="B1425">
            <v>1126</v>
          </cell>
          <cell r="C1425" t="str">
            <v>Institut Kanser Negara</v>
          </cell>
          <cell r="D1425" t="e">
            <v>#N/A</v>
          </cell>
          <cell r="E1425" t="str">
            <v>15-605</v>
          </cell>
          <cell r="F1425" t="str">
            <v>Testers</v>
          </cell>
          <cell r="G1425" t="str">
            <v>PS</v>
          </cell>
          <cell r="H1425" t="str">
            <v>SUPPORT SERVICE/PLANT</v>
          </cell>
          <cell r="I1425" t="str">
            <v>01PS105</v>
          </cell>
          <cell r="J1425" t="str">
            <v>CHIEF ENGINEER</v>
          </cell>
          <cell r="K1425" t="str">
            <v>BMED</v>
          </cell>
          <cell r="L1425" t="str">
            <v>Normal</v>
          </cell>
          <cell r="M1425" t="str">
            <v>USA</v>
          </cell>
          <cell r="N1425" t="str">
            <v>Fluke</v>
          </cell>
          <cell r="O1425" t="str">
            <v>BP PUMP 2L</v>
          </cell>
          <cell r="P1425" t="str">
            <v>2318007</v>
          </cell>
          <cell r="Q1425" t="str">
            <v>Not Applicable</v>
          </cell>
          <cell r="R1425" t="str">
            <v>Fluke Biomedical RMS</v>
          </cell>
          <cell r="S1425" t="str">
            <v>Bell Comm Technologies Sdn Bhd</v>
          </cell>
          <cell r="T1425" t="str">
            <v>Functioning</v>
          </cell>
          <cell r="U1425" t="str">
            <v>Asset</v>
          </cell>
          <cell r="V1425">
            <v>31034</v>
          </cell>
          <cell r="W1425" t="str">
            <v>KEW</v>
          </cell>
          <cell r="X1425" t="str">
            <v>01/09/2010</v>
          </cell>
          <cell r="Y1425" t="str">
            <v>KEW</v>
          </cell>
          <cell r="Z1425" t="str">
            <v>16/08/2013</v>
          </cell>
          <cell r="AA1425" t="str">
            <v>15/08/2015</v>
          </cell>
          <cell r="AB1425" t="str">
            <v>No</v>
          </cell>
          <cell r="AC1425" t="str">
            <v>31/08/2013</v>
          </cell>
          <cell r="AD1425" t="str">
            <v>Good</v>
          </cell>
          <cell r="AE1425" t="str">
            <v>V1 - Existing / No Claim</v>
          </cell>
          <cell r="AF1425">
            <v>42235</v>
          </cell>
          <cell r="AG1425">
            <v>9.17</v>
          </cell>
          <cell r="AH1425" t="str">
            <v>PPM</v>
          </cell>
          <cell r="AI1425" t="str">
            <v>Not in contract</v>
          </cell>
          <cell r="AJ1425" t="str">
            <v>ANALYZER</v>
          </cell>
          <cell r="AK1425" t="str">
            <v>IKN agreed unit to be used by BEMS but have to calibrate.</v>
          </cell>
        </row>
        <row r="1426">
          <cell r="A1426" t="str">
            <v>IKN401129</v>
          </cell>
          <cell r="B1426">
            <v>1127</v>
          </cell>
          <cell r="C1426" t="str">
            <v>Institut Kanser Negara</v>
          </cell>
          <cell r="D1426" t="e">
            <v>#N/A</v>
          </cell>
          <cell r="E1426" t="str">
            <v>15-605</v>
          </cell>
          <cell r="F1426" t="str">
            <v>Testers</v>
          </cell>
          <cell r="G1426" t="str">
            <v>PS</v>
          </cell>
          <cell r="H1426" t="str">
            <v>SUPPORT SERVICE/PLANT</v>
          </cell>
          <cell r="I1426" t="str">
            <v>01PS105</v>
          </cell>
          <cell r="J1426" t="str">
            <v>CHIEF ENGINEER</v>
          </cell>
          <cell r="K1426" t="str">
            <v>BMED</v>
          </cell>
          <cell r="L1426" t="str">
            <v>Normal</v>
          </cell>
          <cell r="M1426" t="str">
            <v>USA</v>
          </cell>
          <cell r="N1426" t="str">
            <v>Fluke</v>
          </cell>
          <cell r="O1426" t="str">
            <v>VT MOBILE</v>
          </cell>
          <cell r="P1426" t="str">
            <v>2322028</v>
          </cell>
          <cell r="Q1426" t="str">
            <v>Not Applicable</v>
          </cell>
          <cell r="R1426" t="str">
            <v>Fluke Biomedical RMS</v>
          </cell>
          <cell r="S1426" t="str">
            <v>Bell Comm Technologies Sdn Bhd</v>
          </cell>
          <cell r="T1426" t="str">
            <v>Functioning</v>
          </cell>
          <cell r="U1426" t="str">
            <v>Asset</v>
          </cell>
          <cell r="V1426">
            <v>56956</v>
          </cell>
          <cell r="W1426" t="str">
            <v>KEW</v>
          </cell>
          <cell r="X1426" t="str">
            <v>01/09/2010</v>
          </cell>
          <cell r="Y1426" t="str">
            <v>KEW</v>
          </cell>
          <cell r="Z1426" t="str">
            <v>16/08/2013</v>
          </cell>
          <cell r="AA1426" t="str">
            <v>15/08/2015</v>
          </cell>
          <cell r="AB1426" t="str">
            <v>No</v>
          </cell>
          <cell r="AC1426" t="str">
            <v>31/08/2013</v>
          </cell>
          <cell r="AD1426" t="str">
            <v>Good</v>
          </cell>
          <cell r="AE1426" t="str">
            <v>V1 - Existing / No Claim</v>
          </cell>
          <cell r="AF1426">
            <v>42235</v>
          </cell>
          <cell r="AG1426">
            <v>9.17</v>
          </cell>
          <cell r="AH1426" t="str">
            <v>PPM</v>
          </cell>
          <cell r="AI1426" t="str">
            <v>Not in contract</v>
          </cell>
          <cell r="AJ1426" t="str">
            <v>ANALYZER</v>
          </cell>
          <cell r="AK1426" t="str">
            <v>IKN agreed unit to be used by BEMS but have to calibrate.</v>
          </cell>
        </row>
        <row r="1427">
          <cell r="A1427" t="str">
            <v>IKN401130</v>
          </cell>
          <cell r="B1427">
            <v>1128</v>
          </cell>
          <cell r="C1427" t="str">
            <v>Institut Kanser Negara</v>
          </cell>
          <cell r="D1427" t="e">
            <v>#N/A</v>
          </cell>
          <cell r="E1427" t="str">
            <v>15-605</v>
          </cell>
          <cell r="F1427" t="str">
            <v>Testers</v>
          </cell>
          <cell r="G1427" t="str">
            <v>PS</v>
          </cell>
          <cell r="H1427" t="str">
            <v>SUPPORT SERVICE/PLANT</v>
          </cell>
          <cell r="I1427" t="str">
            <v>01PS105</v>
          </cell>
          <cell r="J1427" t="str">
            <v>CHIEF ENGINEER</v>
          </cell>
          <cell r="K1427" t="str">
            <v>BMED</v>
          </cell>
          <cell r="L1427" t="str">
            <v>Normal</v>
          </cell>
          <cell r="M1427" t="str">
            <v>USA</v>
          </cell>
          <cell r="N1427" t="str">
            <v>Fluke</v>
          </cell>
          <cell r="O1427" t="str">
            <v>VT MOBILE</v>
          </cell>
          <cell r="P1427" t="str">
            <v>2322030</v>
          </cell>
          <cell r="Q1427" t="str">
            <v>Not Applicable</v>
          </cell>
          <cell r="R1427" t="str">
            <v>Fluke Biomedical RMS</v>
          </cell>
          <cell r="S1427" t="str">
            <v>Bell Comm Technologies Sdn Bhd</v>
          </cell>
          <cell r="T1427" t="str">
            <v>Functioning</v>
          </cell>
          <cell r="U1427" t="str">
            <v>Asset</v>
          </cell>
          <cell r="V1427">
            <v>56956</v>
          </cell>
          <cell r="W1427" t="str">
            <v>KEW</v>
          </cell>
          <cell r="X1427" t="str">
            <v>01/09/2010</v>
          </cell>
          <cell r="Y1427" t="str">
            <v>KEW</v>
          </cell>
          <cell r="Z1427" t="str">
            <v>16/08/2013</v>
          </cell>
          <cell r="AA1427" t="str">
            <v>15/08/2015</v>
          </cell>
          <cell r="AB1427" t="str">
            <v>No</v>
          </cell>
          <cell r="AC1427" t="str">
            <v>31/08/2013</v>
          </cell>
          <cell r="AD1427" t="str">
            <v>Good</v>
          </cell>
          <cell r="AE1427" t="str">
            <v>V1 - Existing / No Claim</v>
          </cell>
          <cell r="AF1427">
            <v>42235</v>
          </cell>
          <cell r="AG1427">
            <v>9.17</v>
          </cell>
          <cell r="AH1427" t="str">
            <v>PPM</v>
          </cell>
          <cell r="AI1427" t="str">
            <v>Not in contract</v>
          </cell>
          <cell r="AJ1427" t="str">
            <v>ANALYZER</v>
          </cell>
          <cell r="AK1427" t="str">
            <v>IKN agreed unit to be used by BEMS but have to calibrate.</v>
          </cell>
        </row>
        <row r="1428">
          <cell r="A1428" t="str">
            <v>IKN401131</v>
          </cell>
          <cell r="B1428">
            <v>1129</v>
          </cell>
          <cell r="C1428" t="str">
            <v>Institut Kanser Negara</v>
          </cell>
          <cell r="D1428" t="str">
            <v>KKM/IKN/H/13/1188</v>
          </cell>
          <cell r="E1428" t="str">
            <v>11-295</v>
          </cell>
          <cell r="F1428" t="str">
            <v>Dosimeters, Radiation</v>
          </cell>
          <cell r="G1428" t="str">
            <v>RT</v>
          </cell>
          <cell r="H1428" t="str">
            <v>RADIATION TREATMENT UNIT</v>
          </cell>
          <cell r="I1428" t="str">
            <v>01RT213</v>
          </cell>
          <cell r="J1428" t="str">
            <v>EQUIPMENT ROOM1</v>
          </cell>
          <cell r="K1428" t="str">
            <v>BMED</v>
          </cell>
          <cell r="L1428" t="str">
            <v>Normal</v>
          </cell>
          <cell r="M1428" t="str">
            <v>Germany</v>
          </cell>
          <cell r="N1428" t="str">
            <v>Thermo Fisher</v>
          </cell>
          <cell r="O1428" t="str">
            <v>EPD MK2.5</v>
          </cell>
          <cell r="P1428" t="str">
            <v>00289454</v>
          </cell>
          <cell r="Q1428" t="str">
            <v>Not Applicable</v>
          </cell>
          <cell r="R1428" t="str">
            <v>Thermo Fisher Scientific</v>
          </cell>
          <cell r="S1428" t="str">
            <v>Delta Advantech (M) Sdn Bhd</v>
          </cell>
          <cell r="T1428" t="str">
            <v>Functioning</v>
          </cell>
          <cell r="U1428" t="str">
            <v>Asset</v>
          </cell>
          <cell r="V1428">
            <v>4370</v>
          </cell>
          <cell r="W1428" t="str">
            <v>KEW</v>
          </cell>
          <cell r="X1428" t="str">
            <v>01/09/2010</v>
          </cell>
          <cell r="Y1428" t="str">
            <v>KEW</v>
          </cell>
          <cell r="Z1428" t="str">
            <v>16/08/2013</v>
          </cell>
          <cell r="AA1428" t="str">
            <v>15/08/2015</v>
          </cell>
          <cell r="AB1428" t="str">
            <v>No</v>
          </cell>
          <cell r="AC1428" t="str">
            <v>31/08/2013</v>
          </cell>
          <cell r="AD1428" t="str">
            <v>Good</v>
          </cell>
          <cell r="AE1428" t="str">
            <v>V1 - Existing / No Claim</v>
          </cell>
          <cell r="AF1428">
            <v>42235</v>
          </cell>
          <cell r="AG1428">
            <v>9.17</v>
          </cell>
          <cell r="AH1428" t="str">
            <v>PPM</v>
          </cell>
          <cell r="AI1428" t="str">
            <v>package</v>
          </cell>
          <cell r="AJ1428" t="str">
            <v>Strands PW</v>
          </cell>
        </row>
        <row r="1429">
          <cell r="A1429" t="str">
            <v>IKN401133</v>
          </cell>
          <cell r="B1429">
            <v>1131</v>
          </cell>
          <cell r="C1429" t="str">
            <v>Institut Kanser Negara</v>
          </cell>
          <cell r="D1429" t="str">
            <v>KKM/IKN/H/13/2144</v>
          </cell>
          <cell r="E1429" t="str">
            <v>15-663</v>
          </cell>
          <cell r="F1429" t="str">
            <v>Pipetters</v>
          </cell>
          <cell r="G1429" t="str">
            <v>LA</v>
          </cell>
          <cell r="H1429" t="str">
            <v>PATHOLOGY</v>
          </cell>
          <cell r="I1429" t="str">
            <v>04LA126</v>
          </cell>
          <cell r="J1429" t="str">
            <v>MICROBIOLOGY UNIT</v>
          </cell>
          <cell r="K1429" t="str">
            <v>BMED</v>
          </cell>
          <cell r="L1429" t="str">
            <v>Normal</v>
          </cell>
          <cell r="M1429" t="str">
            <v>Germany</v>
          </cell>
          <cell r="N1429" t="str">
            <v>Eppendorf</v>
          </cell>
          <cell r="O1429" t="str">
            <v>Research Plus Multi</v>
          </cell>
          <cell r="P1429" t="str">
            <v>O22701B</v>
          </cell>
          <cell r="Q1429" t="str">
            <v>Not Applicable</v>
          </cell>
          <cell r="R1429" t="str">
            <v>Eppendorf</v>
          </cell>
          <cell r="S1429" t="str">
            <v>Medigene sdn bhd</v>
          </cell>
          <cell r="T1429" t="str">
            <v>Functioning</v>
          </cell>
          <cell r="U1429" t="str">
            <v>Asset</v>
          </cell>
          <cell r="V1429">
            <v>3250</v>
          </cell>
          <cell r="W1429" t="str">
            <v>KEW</v>
          </cell>
          <cell r="X1429" t="str">
            <v>01/09/2010</v>
          </cell>
          <cell r="Y1429" t="str">
            <v>KEW</v>
          </cell>
          <cell r="Z1429" t="str">
            <v>16/08/2013</v>
          </cell>
          <cell r="AA1429" t="str">
            <v>15/08/2015</v>
          </cell>
          <cell r="AB1429" t="str">
            <v>No</v>
          </cell>
          <cell r="AC1429" t="str">
            <v>31/08/2013</v>
          </cell>
          <cell r="AD1429" t="str">
            <v>Good</v>
          </cell>
          <cell r="AE1429" t="str">
            <v>V1 - Existing / No Claim</v>
          </cell>
          <cell r="AF1429">
            <v>42790</v>
          </cell>
          <cell r="AG1429">
            <v>9.17</v>
          </cell>
          <cell r="AH1429" t="str">
            <v>PPM</v>
          </cell>
          <cell r="AI1429" t="str">
            <v>Strands</v>
          </cell>
          <cell r="AJ1429" t="str">
            <v>Strands PW</v>
          </cell>
        </row>
        <row r="1430">
          <cell r="A1430" t="str">
            <v>IKN401134</v>
          </cell>
          <cell r="B1430">
            <v>1132</v>
          </cell>
          <cell r="C1430" t="str">
            <v>Institut Kanser Negara</v>
          </cell>
          <cell r="D1430" t="str">
            <v>KKM/IKN/H/13/2142</v>
          </cell>
          <cell r="E1430" t="str">
            <v>15-663</v>
          </cell>
          <cell r="F1430" t="str">
            <v>Pipetters</v>
          </cell>
          <cell r="G1430" t="str">
            <v>LA</v>
          </cell>
          <cell r="H1430" t="str">
            <v>PATHOLOGY</v>
          </cell>
          <cell r="I1430" t="str">
            <v>04LA126</v>
          </cell>
          <cell r="J1430" t="str">
            <v>MICROBIOLOGY UNIT</v>
          </cell>
          <cell r="K1430" t="str">
            <v>BMED</v>
          </cell>
          <cell r="L1430" t="str">
            <v>Normal</v>
          </cell>
          <cell r="M1430" t="str">
            <v>Germany</v>
          </cell>
          <cell r="N1430" t="str">
            <v>Eppendorf</v>
          </cell>
          <cell r="O1430" t="str">
            <v>Research Plus Multi</v>
          </cell>
          <cell r="P1430" t="str">
            <v>O22623B</v>
          </cell>
          <cell r="Q1430" t="str">
            <v>Not Applicable</v>
          </cell>
          <cell r="R1430" t="str">
            <v>Eppendorf</v>
          </cell>
          <cell r="S1430" t="str">
            <v>Medigene sdn bhd</v>
          </cell>
          <cell r="T1430" t="str">
            <v>Functioning</v>
          </cell>
          <cell r="U1430" t="str">
            <v>Asset</v>
          </cell>
          <cell r="V1430">
            <v>3250</v>
          </cell>
          <cell r="W1430" t="str">
            <v>KEW</v>
          </cell>
          <cell r="X1430" t="str">
            <v>01/09/2010</v>
          </cell>
          <cell r="Y1430" t="str">
            <v>KEW</v>
          </cell>
          <cell r="Z1430" t="str">
            <v>16/08/2013</v>
          </cell>
          <cell r="AA1430" t="str">
            <v>15/08/2015</v>
          </cell>
          <cell r="AB1430" t="str">
            <v>No</v>
          </cell>
          <cell r="AC1430" t="str">
            <v>31/08/2013</v>
          </cell>
          <cell r="AD1430" t="str">
            <v>Good</v>
          </cell>
          <cell r="AE1430" t="str">
            <v>V1 - Existing / No Claim</v>
          </cell>
          <cell r="AF1430">
            <v>42790</v>
          </cell>
          <cell r="AG1430">
            <v>9.17</v>
          </cell>
          <cell r="AH1430" t="str">
            <v>PPM</v>
          </cell>
          <cell r="AI1430" t="str">
            <v>Strands</v>
          </cell>
          <cell r="AJ1430" t="str">
            <v>Strands PW</v>
          </cell>
        </row>
        <row r="1431">
          <cell r="A1431" t="str">
            <v>IKN401135</v>
          </cell>
          <cell r="B1431">
            <v>1133</v>
          </cell>
          <cell r="C1431" t="str">
            <v>Institut Kanser Negara</v>
          </cell>
          <cell r="D1431" t="str">
            <v>KKM/IKN/H/13/2136</v>
          </cell>
          <cell r="E1431" t="str">
            <v>15-663</v>
          </cell>
          <cell r="F1431" t="str">
            <v>Pipetters</v>
          </cell>
          <cell r="G1431" t="str">
            <v>LA</v>
          </cell>
          <cell r="H1431" t="str">
            <v>PATHOLOGY</v>
          </cell>
          <cell r="I1431" t="str">
            <v>04LA126</v>
          </cell>
          <cell r="J1431" t="str">
            <v>MICROBIOLOGY UNIT</v>
          </cell>
          <cell r="K1431" t="str">
            <v>BMED</v>
          </cell>
          <cell r="L1431" t="str">
            <v>Normal</v>
          </cell>
          <cell r="M1431" t="str">
            <v>Germany</v>
          </cell>
          <cell r="N1431" t="str">
            <v>Eppendorf</v>
          </cell>
          <cell r="O1431" t="str">
            <v>Research Plus</v>
          </cell>
          <cell r="P1431" t="str">
            <v>O11928B</v>
          </cell>
          <cell r="Q1431" t="str">
            <v>Not Applicable</v>
          </cell>
          <cell r="R1431" t="str">
            <v>Eppendorf</v>
          </cell>
          <cell r="S1431" t="str">
            <v>Medigene sdn bhd</v>
          </cell>
          <cell r="T1431" t="str">
            <v>Functioning</v>
          </cell>
          <cell r="U1431" t="str">
            <v>Asset</v>
          </cell>
          <cell r="V1431">
            <v>1250</v>
          </cell>
          <cell r="W1431" t="str">
            <v>KEW</v>
          </cell>
          <cell r="X1431" t="str">
            <v>01/09/2010</v>
          </cell>
          <cell r="Y1431" t="str">
            <v>KEW</v>
          </cell>
          <cell r="Z1431" t="str">
            <v>16/08/2013</v>
          </cell>
          <cell r="AA1431" t="str">
            <v>15/08/2015</v>
          </cell>
          <cell r="AB1431" t="str">
            <v>No</v>
          </cell>
          <cell r="AC1431" t="str">
            <v>31/08/2013</v>
          </cell>
          <cell r="AD1431" t="str">
            <v>Good</v>
          </cell>
          <cell r="AE1431" t="str">
            <v>V3 - Added Installed Facilities (New)</v>
          </cell>
          <cell r="AF1431">
            <v>42790</v>
          </cell>
          <cell r="AG1431">
            <v>9.17</v>
          </cell>
          <cell r="AH1431" t="str">
            <v>PPM</v>
          </cell>
          <cell r="AI1431" t="str">
            <v>Strands</v>
          </cell>
          <cell r="AJ1431" t="str">
            <v>Strands PW</v>
          </cell>
          <cell r="AK1431" t="str">
            <v>SNF received. 1st batch of V3 asset (December 2020)</v>
          </cell>
        </row>
        <row r="1432">
          <cell r="A1432" t="str">
            <v>IKN401136</v>
          </cell>
          <cell r="B1432">
            <v>1134</v>
          </cell>
          <cell r="C1432" t="str">
            <v>Institut Kanser Negara</v>
          </cell>
          <cell r="D1432" t="str">
            <v>KKM/IKN/H/13/2136</v>
          </cell>
          <cell r="E1432" t="str">
            <v>15-663</v>
          </cell>
          <cell r="F1432" t="str">
            <v>Pipetters</v>
          </cell>
          <cell r="G1432" t="str">
            <v>LA</v>
          </cell>
          <cell r="H1432" t="str">
            <v>PATHOLOGY</v>
          </cell>
          <cell r="I1432" t="str">
            <v>04LA126</v>
          </cell>
          <cell r="J1432" t="str">
            <v>MICROBIOLOGY UNIT</v>
          </cell>
          <cell r="K1432" t="str">
            <v>BMED</v>
          </cell>
          <cell r="L1432" t="str">
            <v>Normal</v>
          </cell>
          <cell r="M1432" t="str">
            <v>Germany</v>
          </cell>
          <cell r="N1432" t="str">
            <v>Eppendorf</v>
          </cell>
          <cell r="O1432" t="str">
            <v>Research Plus</v>
          </cell>
          <cell r="P1432" t="str">
            <v>O17010B</v>
          </cell>
          <cell r="Q1432" t="str">
            <v>Not Applicable</v>
          </cell>
          <cell r="R1432" t="str">
            <v>Eppendorf</v>
          </cell>
          <cell r="S1432" t="str">
            <v>Medigene sdn bhd</v>
          </cell>
          <cell r="T1432" t="str">
            <v>Functioning</v>
          </cell>
          <cell r="U1432" t="str">
            <v>Asset</v>
          </cell>
          <cell r="V1432">
            <v>1250</v>
          </cell>
          <cell r="W1432" t="str">
            <v>KEW</v>
          </cell>
          <cell r="X1432" t="str">
            <v>01/09/2010</v>
          </cell>
          <cell r="Y1432" t="str">
            <v>KEW</v>
          </cell>
          <cell r="Z1432" t="str">
            <v>16/08/2013</v>
          </cell>
          <cell r="AA1432" t="str">
            <v>15/08/2015</v>
          </cell>
          <cell r="AB1432" t="str">
            <v>No</v>
          </cell>
          <cell r="AC1432" t="str">
            <v>31/08/2013</v>
          </cell>
          <cell r="AD1432" t="str">
            <v>Good</v>
          </cell>
          <cell r="AE1432" t="str">
            <v>V3 - Added Installed Facilities (New)</v>
          </cell>
          <cell r="AF1432">
            <v>42790</v>
          </cell>
          <cell r="AG1432">
            <v>9.17</v>
          </cell>
          <cell r="AH1432" t="str">
            <v>PPM</v>
          </cell>
          <cell r="AI1432" t="str">
            <v>Strands</v>
          </cell>
          <cell r="AJ1432" t="str">
            <v>Strands PW</v>
          </cell>
          <cell r="AK1432" t="str">
            <v>SNF received. 1st batch of V3 asset (December 2020)</v>
          </cell>
        </row>
        <row r="1433">
          <cell r="A1433" t="str">
            <v>IKN401137</v>
          </cell>
          <cell r="B1433">
            <v>1135</v>
          </cell>
          <cell r="C1433" t="str">
            <v>Institut Kanser Negara</v>
          </cell>
          <cell r="D1433" t="str">
            <v>KKM/IKN/H/13/2137</v>
          </cell>
          <cell r="E1433" t="str">
            <v>15-663</v>
          </cell>
          <cell r="F1433" t="str">
            <v>Pipetters</v>
          </cell>
          <cell r="G1433" t="str">
            <v>LA</v>
          </cell>
          <cell r="H1433" t="str">
            <v>PATHOLOGY</v>
          </cell>
          <cell r="I1433" t="str">
            <v>04LA126</v>
          </cell>
          <cell r="J1433" t="str">
            <v>MICROBIOLOGY UNIT</v>
          </cell>
          <cell r="K1433" t="str">
            <v>BMED</v>
          </cell>
          <cell r="L1433" t="str">
            <v>Normal</v>
          </cell>
          <cell r="M1433" t="str">
            <v>Germany</v>
          </cell>
          <cell r="N1433" t="str">
            <v>Eppendorf</v>
          </cell>
          <cell r="O1433" t="str">
            <v>Research Plus</v>
          </cell>
          <cell r="P1433" t="str">
            <v>O11876B</v>
          </cell>
          <cell r="Q1433" t="str">
            <v>Not Applicable</v>
          </cell>
          <cell r="R1433" t="str">
            <v>Eppendorf</v>
          </cell>
          <cell r="S1433" t="str">
            <v>Medigene sdn bhd</v>
          </cell>
          <cell r="T1433" t="str">
            <v>Functioning</v>
          </cell>
          <cell r="U1433" t="str">
            <v>Asset</v>
          </cell>
          <cell r="V1433">
            <v>1250</v>
          </cell>
          <cell r="W1433" t="str">
            <v>KEW</v>
          </cell>
          <cell r="X1433" t="str">
            <v>01/09/2010</v>
          </cell>
          <cell r="Y1433" t="str">
            <v>KEW</v>
          </cell>
          <cell r="Z1433" t="str">
            <v>16/08/2013</v>
          </cell>
          <cell r="AA1433" t="str">
            <v>15/08/2015</v>
          </cell>
          <cell r="AB1433" t="str">
            <v>No</v>
          </cell>
          <cell r="AC1433" t="str">
            <v>31/08/2013</v>
          </cell>
          <cell r="AD1433" t="str">
            <v>Good</v>
          </cell>
          <cell r="AE1433" t="str">
            <v>V3 - Added Installed Facilities (New)</v>
          </cell>
          <cell r="AF1433">
            <v>42790</v>
          </cell>
          <cell r="AG1433">
            <v>9.17</v>
          </cell>
          <cell r="AH1433" t="str">
            <v>PPM</v>
          </cell>
          <cell r="AI1433" t="str">
            <v>Strands</v>
          </cell>
          <cell r="AJ1433" t="str">
            <v>Strands PW</v>
          </cell>
          <cell r="AK1433" t="str">
            <v>SNF received. 1st batch of V3 asset (December 2020)</v>
          </cell>
        </row>
        <row r="1434">
          <cell r="A1434" t="str">
            <v>IKN401138</v>
          </cell>
          <cell r="B1434">
            <v>1136</v>
          </cell>
          <cell r="C1434" t="str">
            <v>Institut Kanser Negara</v>
          </cell>
          <cell r="D1434" t="str">
            <v>KKM/IKN/H/13/2137</v>
          </cell>
          <cell r="E1434" t="str">
            <v>15-663</v>
          </cell>
          <cell r="F1434" t="str">
            <v>Pipetters</v>
          </cell>
          <cell r="G1434" t="str">
            <v>LA</v>
          </cell>
          <cell r="H1434" t="str">
            <v>PATHOLOGY</v>
          </cell>
          <cell r="I1434" t="str">
            <v>04LA126</v>
          </cell>
          <cell r="J1434" t="str">
            <v>MICROBIOLOGY UNIT</v>
          </cell>
          <cell r="K1434" t="str">
            <v>BMED</v>
          </cell>
          <cell r="L1434" t="str">
            <v>Normal</v>
          </cell>
          <cell r="M1434" t="str">
            <v>Germany</v>
          </cell>
          <cell r="N1434" t="str">
            <v>Eppendorf</v>
          </cell>
          <cell r="O1434" t="str">
            <v>Research Plus</v>
          </cell>
          <cell r="P1434" t="str">
            <v>O37551B</v>
          </cell>
          <cell r="Q1434" t="str">
            <v>Not Applicable</v>
          </cell>
          <cell r="R1434" t="str">
            <v>Eppendorf</v>
          </cell>
          <cell r="S1434" t="str">
            <v>Medigene sdn bhd</v>
          </cell>
          <cell r="T1434" t="str">
            <v>Functioning</v>
          </cell>
          <cell r="U1434" t="str">
            <v>Asset</v>
          </cell>
          <cell r="V1434">
            <v>1250</v>
          </cell>
          <cell r="W1434" t="str">
            <v>KEW</v>
          </cell>
          <cell r="X1434" t="str">
            <v>01/09/2010</v>
          </cell>
          <cell r="Y1434" t="str">
            <v>KEW</v>
          </cell>
          <cell r="Z1434" t="str">
            <v>16/08/2013</v>
          </cell>
          <cell r="AA1434" t="str">
            <v>15/08/2015</v>
          </cell>
          <cell r="AB1434" t="str">
            <v>No</v>
          </cell>
          <cell r="AC1434" t="str">
            <v>31/08/2013</v>
          </cell>
          <cell r="AD1434" t="str">
            <v>Good</v>
          </cell>
          <cell r="AE1434" t="str">
            <v>V3 - Added Installed Facilities (New)</v>
          </cell>
          <cell r="AF1434">
            <v>42790</v>
          </cell>
          <cell r="AG1434">
            <v>9.17</v>
          </cell>
          <cell r="AH1434" t="str">
            <v>PPM</v>
          </cell>
          <cell r="AI1434" t="str">
            <v>Strands</v>
          </cell>
          <cell r="AJ1434" t="str">
            <v>Strands PW</v>
          </cell>
          <cell r="AK1434" t="str">
            <v>SNF received. 1st batch of V3 asset (December 2020)</v>
          </cell>
        </row>
        <row r="1435">
          <cell r="A1435" t="str">
            <v>IKN401139</v>
          </cell>
          <cell r="B1435">
            <v>1137</v>
          </cell>
          <cell r="C1435" t="str">
            <v>Institut Kanser Negara</v>
          </cell>
          <cell r="D1435" t="str">
            <v>KKM/IKN/H/13/2136</v>
          </cell>
          <cell r="E1435" t="str">
            <v>15-663</v>
          </cell>
          <cell r="F1435" t="str">
            <v>Pipetters</v>
          </cell>
          <cell r="G1435" t="str">
            <v>LA</v>
          </cell>
          <cell r="H1435" t="str">
            <v>PATHOLOGY</v>
          </cell>
          <cell r="I1435" t="str">
            <v>04LA130</v>
          </cell>
          <cell r="J1435" t="str">
            <v>SEROLOGY</v>
          </cell>
          <cell r="K1435" t="str">
            <v>BMED</v>
          </cell>
          <cell r="L1435" t="str">
            <v>Normal</v>
          </cell>
          <cell r="M1435" t="str">
            <v>Germany</v>
          </cell>
          <cell r="N1435" t="str">
            <v>Eppendorf</v>
          </cell>
          <cell r="O1435" t="str">
            <v>Research Plus</v>
          </cell>
          <cell r="P1435" t="str">
            <v>O37540B</v>
          </cell>
          <cell r="Q1435" t="str">
            <v>Not Applicable</v>
          </cell>
          <cell r="R1435" t="str">
            <v>Eppendorf</v>
          </cell>
          <cell r="S1435" t="str">
            <v>Medigene sdn bhd</v>
          </cell>
          <cell r="T1435" t="str">
            <v>Functioning</v>
          </cell>
          <cell r="U1435" t="str">
            <v>Asset</v>
          </cell>
          <cell r="V1435">
            <v>1250</v>
          </cell>
          <cell r="W1435" t="str">
            <v>KEW</v>
          </cell>
          <cell r="X1435" t="str">
            <v>01/09/2010</v>
          </cell>
          <cell r="Y1435" t="str">
            <v>KEW</v>
          </cell>
          <cell r="Z1435" t="str">
            <v>16/08/2013</v>
          </cell>
          <cell r="AA1435" t="str">
            <v>15/08/2015</v>
          </cell>
          <cell r="AB1435" t="str">
            <v>No</v>
          </cell>
          <cell r="AC1435" t="str">
            <v>31/08/2013</v>
          </cell>
          <cell r="AD1435" t="str">
            <v>Good</v>
          </cell>
          <cell r="AE1435" t="str">
            <v>V3 - Added Installed Facilities (New)</v>
          </cell>
          <cell r="AF1435">
            <v>42235</v>
          </cell>
          <cell r="AG1435">
            <v>9.17</v>
          </cell>
          <cell r="AH1435" t="str">
            <v>PPM</v>
          </cell>
          <cell r="AI1435" t="str">
            <v>Strands</v>
          </cell>
          <cell r="AJ1435" t="str">
            <v>Strands PW</v>
          </cell>
          <cell r="AK1435" t="str">
            <v>SNF received. 1st batch of V3 asset (December 2020)</v>
          </cell>
        </row>
        <row r="1436">
          <cell r="A1436" t="str">
            <v>IKN401140</v>
          </cell>
          <cell r="B1436">
            <v>1138</v>
          </cell>
          <cell r="C1436" t="str">
            <v>Institut Kanser Negara</v>
          </cell>
          <cell r="D1436" t="str">
            <v>KKM/IKN/H/13/2137</v>
          </cell>
          <cell r="E1436" t="str">
            <v>15-663</v>
          </cell>
          <cell r="F1436" t="str">
            <v>Pipetters</v>
          </cell>
          <cell r="G1436" t="str">
            <v>LA</v>
          </cell>
          <cell r="H1436" t="str">
            <v>PATHOLOGY</v>
          </cell>
          <cell r="I1436" t="str">
            <v>04LA130</v>
          </cell>
          <cell r="J1436" t="str">
            <v>SEROLOGY</v>
          </cell>
          <cell r="K1436" t="str">
            <v>BMED</v>
          </cell>
          <cell r="L1436" t="str">
            <v>Normal</v>
          </cell>
          <cell r="M1436" t="str">
            <v>Germany</v>
          </cell>
          <cell r="N1436" t="str">
            <v>Eppendorf</v>
          </cell>
          <cell r="O1436" t="str">
            <v>Research Plus</v>
          </cell>
          <cell r="P1436" t="str">
            <v>O17131B</v>
          </cell>
          <cell r="Q1436" t="str">
            <v>Not Applicable</v>
          </cell>
          <cell r="R1436" t="str">
            <v>Eppendorf</v>
          </cell>
          <cell r="S1436" t="str">
            <v>Medigene sdn bhd</v>
          </cell>
          <cell r="T1436" t="str">
            <v>Functioning</v>
          </cell>
          <cell r="U1436" t="str">
            <v>Asset</v>
          </cell>
          <cell r="V1436">
            <v>1250</v>
          </cell>
          <cell r="W1436" t="str">
            <v>KEW</v>
          </cell>
          <cell r="X1436" t="str">
            <v>01/09/2010</v>
          </cell>
          <cell r="Y1436" t="str">
            <v>KEW</v>
          </cell>
          <cell r="Z1436" t="str">
            <v>16/08/2013</v>
          </cell>
          <cell r="AA1436" t="str">
            <v>15/08/2015</v>
          </cell>
          <cell r="AB1436" t="str">
            <v>No</v>
          </cell>
          <cell r="AC1436" t="str">
            <v>31/08/2013</v>
          </cell>
          <cell r="AD1436" t="str">
            <v>Good</v>
          </cell>
          <cell r="AE1436" t="str">
            <v>V3 - Added Installed Facilities (New)</v>
          </cell>
          <cell r="AF1436">
            <v>42790</v>
          </cell>
          <cell r="AG1436">
            <v>9.17</v>
          </cell>
          <cell r="AH1436" t="str">
            <v>PPM</v>
          </cell>
          <cell r="AI1436" t="str">
            <v>Strands</v>
          </cell>
          <cell r="AJ1436" t="str">
            <v>Strands PW</v>
          </cell>
          <cell r="AK1436" t="str">
            <v>SNF received. 1st batch of V3 asset (December 2020)</v>
          </cell>
        </row>
        <row r="1437">
          <cell r="A1437" t="str">
            <v>IKN401141</v>
          </cell>
          <cell r="B1437">
            <v>1139</v>
          </cell>
          <cell r="C1437" t="str">
            <v>Institut Kanser Negara</v>
          </cell>
          <cell r="D1437" t="str">
            <v>KKM/IKN/H/14/59</v>
          </cell>
          <cell r="E1437" t="str">
            <v>15-663</v>
          </cell>
          <cell r="F1437" t="str">
            <v>Pipetters</v>
          </cell>
          <cell r="G1437" t="str">
            <v>LA</v>
          </cell>
          <cell r="H1437" t="str">
            <v>PATHOLOGY</v>
          </cell>
          <cell r="I1437" t="str">
            <v>04LA140</v>
          </cell>
          <cell r="J1437" t="str">
            <v>BLOOD BANK</v>
          </cell>
          <cell r="K1437" t="str">
            <v>BMED</v>
          </cell>
          <cell r="L1437" t="str">
            <v>Normal</v>
          </cell>
          <cell r="M1437" t="str">
            <v>Germany</v>
          </cell>
          <cell r="N1437" t="str">
            <v>Eppendorf</v>
          </cell>
          <cell r="O1437" t="str">
            <v>Eppendorf Research Plus</v>
          </cell>
          <cell r="P1437" t="str">
            <v>L26830D</v>
          </cell>
          <cell r="Q1437" t="str">
            <v>Not Applicable</v>
          </cell>
          <cell r="R1437" t="str">
            <v>Eppendorf AG</v>
          </cell>
          <cell r="S1437" t="str">
            <v>Medigene sdn bhd</v>
          </cell>
          <cell r="T1437" t="str">
            <v>Functioning</v>
          </cell>
          <cell r="U1437" t="str">
            <v>Asset</v>
          </cell>
          <cell r="V1437">
            <v>750</v>
          </cell>
          <cell r="W1437" t="str">
            <v>KEW</v>
          </cell>
          <cell r="X1437" t="str">
            <v>10/10/2014</v>
          </cell>
          <cell r="Y1437" t="str">
            <v>KEW</v>
          </cell>
          <cell r="Z1437" t="str">
            <v>31/10/2014</v>
          </cell>
          <cell r="AA1437" t="str">
            <v>30/10/2017</v>
          </cell>
          <cell r="AB1437" t="str">
            <v>No</v>
          </cell>
          <cell r="AC1437" t="str">
            <v>31/10/2014</v>
          </cell>
          <cell r="AD1437" t="str">
            <v>Good</v>
          </cell>
          <cell r="AE1437" t="str">
            <v>V3 - Added Installed Facilities (New)</v>
          </cell>
          <cell r="AF1437">
            <v>42790</v>
          </cell>
          <cell r="AG1437">
            <v>5.08</v>
          </cell>
          <cell r="AH1437" t="str">
            <v>PPM</v>
          </cell>
          <cell r="AI1437" t="str">
            <v>Strands</v>
          </cell>
          <cell r="AJ1437" t="str">
            <v>Strands PW</v>
          </cell>
          <cell r="AK1437" t="str">
            <v>SNF received. 1st batch of V3 asset (December 2020)</v>
          </cell>
        </row>
        <row r="1438">
          <cell r="A1438" t="str">
            <v>IKN401142</v>
          </cell>
          <cell r="B1438">
            <v>1140</v>
          </cell>
          <cell r="C1438" t="str">
            <v>Institut Kanser Negara</v>
          </cell>
          <cell r="D1438" t="str">
            <v>KKM/IKN/H/14/60</v>
          </cell>
          <cell r="E1438" t="str">
            <v>15-663</v>
          </cell>
          <cell r="F1438" t="str">
            <v>Pipetters</v>
          </cell>
          <cell r="G1438" t="str">
            <v>LA</v>
          </cell>
          <cell r="H1438" t="str">
            <v>PATHOLOGY</v>
          </cell>
          <cell r="I1438" t="str">
            <v>04LA140</v>
          </cell>
          <cell r="J1438" t="str">
            <v>BLOOD BANK</v>
          </cell>
          <cell r="K1438" t="str">
            <v>BMED</v>
          </cell>
          <cell r="L1438" t="str">
            <v>Normal</v>
          </cell>
          <cell r="M1438" t="str">
            <v>Germany</v>
          </cell>
          <cell r="N1438" t="str">
            <v>Eppendorf</v>
          </cell>
          <cell r="O1438" t="str">
            <v>Eppendorf Research Plus</v>
          </cell>
          <cell r="P1438" t="str">
            <v>L27081D</v>
          </cell>
          <cell r="Q1438" t="str">
            <v>Not Applicable</v>
          </cell>
          <cell r="R1438" t="str">
            <v>Eppendorf AG</v>
          </cell>
          <cell r="S1438" t="str">
            <v>Medigene sdn bhd</v>
          </cell>
          <cell r="T1438" t="str">
            <v>Functioning</v>
          </cell>
          <cell r="U1438" t="str">
            <v>Asset</v>
          </cell>
          <cell r="V1438">
            <v>750</v>
          </cell>
          <cell r="W1438" t="str">
            <v>KEW</v>
          </cell>
          <cell r="X1438" t="str">
            <v>10/10/2014</v>
          </cell>
          <cell r="Y1438" t="str">
            <v>KEW</v>
          </cell>
          <cell r="Z1438" t="str">
            <v>31/10/2014</v>
          </cell>
          <cell r="AA1438" t="str">
            <v>30/10/2017</v>
          </cell>
          <cell r="AB1438" t="str">
            <v>No</v>
          </cell>
          <cell r="AC1438" t="str">
            <v>31/10/2014</v>
          </cell>
          <cell r="AD1438" t="str">
            <v>Good</v>
          </cell>
          <cell r="AE1438" t="str">
            <v>V3 - Added Installed Facilities (New)</v>
          </cell>
          <cell r="AF1438">
            <v>42677</v>
          </cell>
          <cell r="AG1438">
            <v>5.08</v>
          </cell>
          <cell r="AH1438" t="str">
            <v>PPM</v>
          </cell>
          <cell r="AI1438" t="str">
            <v>Strands</v>
          </cell>
          <cell r="AJ1438" t="str">
            <v>Strands PW</v>
          </cell>
          <cell r="AK1438" t="str">
            <v>SNF received. 1st batch of V3 asset (December 2020)</v>
          </cell>
        </row>
        <row r="1439">
          <cell r="A1439" t="str">
            <v>IKN401143</v>
          </cell>
          <cell r="B1439">
            <v>1141</v>
          </cell>
          <cell r="C1439" t="str">
            <v>Institut Kanser Negara</v>
          </cell>
          <cell r="D1439" t="str">
            <v>KKM/IKN/H/13/2138</v>
          </cell>
          <cell r="E1439" t="str">
            <v>15-663</v>
          </cell>
          <cell r="F1439" t="str">
            <v>Pipetters</v>
          </cell>
          <cell r="G1439" t="str">
            <v>LA</v>
          </cell>
          <cell r="H1439" t="str">
            <v>PATHOLOGY</v>
          </cell>
          <cell r="I1439" t="str">
            <v>04LA132</v>
          </cell>
          <cell r="J1439" t="str">
            <v>HAEMATOLOGY LAB 2</v>
          </cell>
          <cell r="K1439" t="str">
            <v>BMED</v>
          </cell>
          <cell r="L1439" t="str">
            <v>Normal</v>
          </cell>
          <cell r="M1439" t="str">
            <v>Germany</v>
          </cell>
          <cell r="N1439" t="str">
            <v>Eppendorf</v>
          </cell>
          <cell r="O1439" t="str">
            <v>Research Plus</v>
          </cell>
          <cell r="P1439" t="str">
            <v>O17006B</v>
          </cell>
          <cell r="Q1439" t="str">
            <v>Not Applicable</v>
          </cell>
          <cell r="R1439" t="str">
            <v>Eppendorf</v>
          </cell>
          <cell r="S1439" t="str">
            <v>Medigene sdn bhd</v>
          </cell>
          <cell r="T1439" t="str">
            <v>Functioning</v>
          </cell>
          <cell r="U1439" t="str">
            <v>Asset</v>
          </cell>
          <cell r="V1439">
            <v>1250</v>
          </cell>
          <cell r="W1439" t="str">
            <v>KEW</v>
          </cell>
          <cell r="X1439" t="str">
            <v>01/09/2010</v>
          </cell>
          <cell r="Y1439" t="str">
            <v>KEW</v>
          </cell>
          <cell r="Z1439" t="str">
            <v>16/08/2013</v>
          </cell>
          <cell r="AA1439" t="str">
            <v>15/08/2015</v>
          </cell>
          <cell r="AB1439" t="str">
            <v>No</v>
          </cell>
          <cell r="AC1439" t="str">
            <v>31/08/2013</v>
          </cell>
          <cell r="AD1439" t="str">
            <v>Good</v>
          </cell>
          <cell r="AE1439" t="str">
            <v>V3 - Added Installed Facilities (New)</v>
          </cell>
          <cell r="AF1439">
            <v>42790</v>
          </cell>
          <cell r="AG1439">
            <v>9.17</v>
          </cell>
          <cell r="AH1439" t="str">
            <v>PPM</v>
          </cell>
          <cell r="AI1439" t="str">
            <v>Strands</v>
          </cell>
          <cell r="AJ1439" t="str">
            <v>Strands PW</v>
          </cell>
          <cell r="AK1439" t="str">
            <v>SNF received. 1st batch of V3 asset (December 2020)</v>
          </cell>
        </row>
        <row r="1440">
          <cell r="A1440" t="str">
            <v>IKN401144</v>
          </cell>
          <cell r="B1440">
            <v>1142</v>
          </cell>
          <cell r="C1440" t="str">
            <v>Institut Kanser Negara</v>
          </cell>
          <cell r="D1440" t="str">
            <v>KKM/IKN/H/13/2138</v>
          </cell>
          <cell r="E1440" t="str">
            <v>15-663</v>
          </cell>
          <cell r="F1440" t="str">
            <v>Pipetters</v>
          </cell>
          <cell r="G1440" t="str">
            <v>LA</v>
          </cell>
          <cell r="H1440" t="str">
            <v>PATHOLOGY</v>
          </cell>
          <cell r="I1440" t="str">
            <v>04LA132</v>
          </cell>
          <cell r="J1440" t="str">
            <v>HAEMATOLOGY LAB 2</v>
          </cell>
          <cell r="K1440" t="str">
            <v>BMED</v>
          </cell>
          <cell r="L1440" t="str">
            <v>Normal</v>
          </cell>
          <cell r="M1440" t="str">
            <v>Germany</v>
          </cell>
          <cell r="N1440" t="str">
            <v>Eppendorf</v>
          </cell>
          <cell r="O1440" t="str">
            <v>Research Plus</v>
          </cell>
          <cell r="P1440" t="str">
            <v>O11935B</v>
          </cell>
          <cell r="Q1440" t="str">
            <v>Not Applicable</v>
          </cell>
          <cell r="R1440" t="str">
            <v>Eppendorf</v>
          </cell>
          <cell r="S1440" t="str">
            <v>Medigene sdn bhd</v>
          </cell>
          <cell r="T1440" t="str">
            <v>Functioning</v>
          </cell>
          <cell r="U1440" t="str">
            <v>Asset</v>
          </cell>
          <cell r="V1440">
            <v>1250</v>
          </cell>
          <cell r="W1440" t="str">
            <v>KEW</v>
          </cell>
          <cell r="X1440" t="str">
            <v>01/09/2010</v>
          </cell>
          <cell r="Y1440" t="str">
            <v>KEW</v>
          </cell>
          <cell r="Z1440" t="str">
            <v>16/08/2013</v>
          </cell>
          <cell r="AA1440" t="str">
            <v>15/08/2015</v>
          </cell>
          <cell r="AB1440" t="str">
            <v>No</v>
          </cell>
          <cell r="AC1440" t="str">
            <v>31/08/2013</v>
          </cell>
          <cell r="AD1440" t="str">
            <v>Good</v>
          </cell>
          <cell r="AE1440" t="str">
            <v>V3 - Added Installed Facilities (New)</v>
          </cell>
          <cell r="AF1440">
            <v>42235</v>
          </cell>
          <cell r="AG1440">
            <v>9.17</v>
          </cell>
          <cell r="AH1440" t="str">
            <v>PPM</v>
          </cell>
          <cell r="AI1440" t="str">
            <v>Strands</v>
          </cell>
          <cell r="AJ1440" t="str">
            <v>Strands PW</v>
          </cell>
          <cell r="AK1440" t="str">
            <v>SNF received. 1st batch of V3 asset (December 2020)</v>
          </cell>
        </row>
        <row r="1441">
          <cell r="A1441" t="str">
            <v>IKN401145</v>
          </cell>
          <cell r="B1441">
            <v>1143</v>
          </cell>
          <cell r="C1441" t="str">
            <v>Institut Kanser Negara</v>
          </cell>
          <cell r="D1441" t="str">
            <v>KKM/IKN/H/13/2138</v>
          </cell>
          <cell r="E1441" t="str">
            <v>15-663</v>
          </cell>
          <cell r="F1441" t="str">
            <v>Pipetters</v>
          </cell>
          <cell r="G1441" t="str">
            <v>LA</v>
          </cell>
          <cell r="H1441" t="str">
            <v>PATHOLOGY</v>
          </cell>
          <cell r="I1441" t="str">
            <v>04LA132</v>
          </cell>
          <cell r="J1441" t="str">
            <v>HAEMATOLOGY LAB 2</v>
          </cell>
          <cell r="K1441" t="str">
            <v>BMED</v>
          </cell>
          <cell r="L1441" t="str">
            <v>Normal</v>
          </cell>
          <cell r="M1441" t="str">
            <v>Germany</v>
          </cell>
          <cell r="N1441" t="str">
            <v>Eppendorf</v>
          </cell>
          <cell r="O1441" t="str">
            <v>Research Plus</v>
          </cell>
          <cell r="P1441" t="str">
            <v>O37539B</v>
          </cell>
          <cell r="Q1441" t="str">
            <v>Not Applicable</v>
          </cell>
          <cell r="R1441" t="str">
            <v>Eppendorf</v>
          </cell>
          <cell r="S1441" t="str">
            <v>Medigene sdn bhd</v>
          </cell>
          <cell r="T1441" t="str">
            <v>Functioning</v>
          </cell>
          <cell r="U1441" t="str">
            <v>Asset</v>
          </cell>
          <cell r="V1441">
            <v>1250</v>
          </cell>
          <cell r="W1441" t="str">
            <v>KEW</v>
          </cell>
          <cell r="X1441" t="str">
            <v>01/09/2010</v>
          </cell>
          <cell r="Y1441" t="str">
            <v>KEW</v>
          </cell>
          <cell r="Z1441" t="str">
            <v>16/08/2013</v>
          </cell>
          <cell r="AA1441" t="str">
            <v>15/08/2015</v>
          </cell>
          <cell r="AB1441" t="str">
            <v>No</v>
          </cell>
          <cell r="AC1441" t="str">
            <v>31/08/2013</v>
          </cell>
          <cell r="AD1441" t="str">
            <v>Good</v>
          </cell>
          <cell r="AE1441" t="str">
            <v>V3 - Added Installed Facilities (New)</v>
          </cell>
          <cell r="AF1441">
            <v>42235</v>
          </cell>
          <cell r="AG1441">
            <v>9.17</v>
          </cell>
          <cell r="AH1441" t="str">
            <v>PPM</v>
          </cell>
          <cell r="AI1441" t="str">
            <v>Strands</v>
          </cell>
          <cell r="AJ1441" t="str">
            <v>Strands PW</v>
          </cell>
          <cell r="AK1441" t="str">
            <v>SNF received. 1st batch of V3 asset (December 2020)</v>
          </cell>
        </row>
        <row r="1442">
          <cell r="A1442" t="str">
            <v>IKN401146</v>
          </cell>
          <cell r="B1442">
            <v>1144</v>
          </cell>
          <cell r="C1442" t="str">
            <v>Institut Kanser Negara</v>
          </cell>
          <cell r="D1442" t="str">
            <v>KKM/IKN/H/13/2140</v>
          </cell>
          <cell r="E1442" t="str">
            <v>15-663</v>
          </cell>
          <cell r="F1442" t="str">
            <v>Pipetters</v>
          </cell>
          <cell r="G1442" t="str">
            <v>LA</v>
          </cell>
          <cell r="H1442" t="str">
            <v>PATHOLOGY</v>
          </cell>
          <cell r="I1442" t="str">
            <v>04LA133</v>
          </cell>
          <cell r="J1442" t="str">
            <v>CHEMICAL PATHOLOGY 1</v>
          </cell>
          <cell r="K1442" t="str">
            <v>BMED</v>
          </cell>
          <cell r="L1442" t="str">
            <v>Normal</v>
          </cell>
          <cell r="M1442" t="str">
            <v>Germany</v>
          </cell>
          <cell r="N1442" t="str">
            <v>Eppendorf</v>
          </cell>
          <cell r="O1442" t="str">
            <v>Research Plus</v>
          </cell>
          <cell r="P1442" t="str">
            <v>O17248B</v>
          </cell>
          <cell r="Q1442" t="str">
            <v>Not Applicable</v>
          </cell>
          <cell r="R1442" t="str">
            <v>Eppendorf</v>
          </cell>
          <cell r="S1442" t="str">
            <v>Medigene sdn bhd</v>
          </cell>
          <cell r="T1442" t="str">
            <v>Functioning</v>
          </cell>
          <cell r="U1442" t="str">
            <v>Asset</v>
          </cell>
          <cell r="V1442">
            <v>1250</v>
          </cell>
          <cell r="W1442" t="str">
            <v>KEW</v>
          </cell>
          <cell r="X1442" t="str">
            <v>01/09/2010</v>
          </cell>
          <cell r="Y1442" t="str">
            <v>KEW</v>
          </cell>
          <cell r="Z1442" t="str">
            <v>16/08/2013</v>
          </cell>
          <cell r="AA1442" t="str">
            <v>15/08/2015</v>
          </cell>
          <cell r="AB1442" t="str">
            <v>No</v>
          </cell>
          <cell r="AC1442" t="str">
            <v>31/08/2013</v>
          </cell>
          <cell r="AD1442" t="str">
            <v>Good</v>
          </cell>
          <cell r="AE1442" t="str">
            <v>V3 - Added Installed Facilities (New)</v>
          </cell>
          <cell r="AF1442">
            <v>42235</v>
          </cell>
          <cell r="AG1442">
            <v>9.17</v>
          </cell>
          <cell r="AH1442" t="str">
            <v>PPM</v>
          </cell>
          <cell r="AI1442" t="str">
            <v>Strands</v>
          </cell>
          <cell r="AJ1442" t="str">
            <v>Strands PW</v>
          </cell>
          <cell r="AK1442" t="str">
            <v>SNF received. 1st batch of V3 asset (December 2020)</v>
          </cell>
        </row>
        <row r="1443">
          <cell r="A1443" t="str">
            <v>IKN401147</v>
          </cell>
          <cell r="B1443">
            <v>1145</v>
          </cell>
          <cell r="C1443" t="str">
            <v>Institut Kanser Negara</v>
          </cell>
          <cell r="D1443" t="str">
            <v>KKM/IKN/H/13/2140</v>
          </cell>
          <cell r="E1443" t="str">
            <v>15-663</v>
          </cell>
          <cell r="F1443" t="str">
            <v>Pipetters</v>
          </cell>
          <cell r="G1443" t="str">
            <v>LA</v>
          </cell>
          <cell r="H1443" t="str">
            <v>PATHOLOGY</v>
          </cell>
          <cell r="I1443" t="str">
            <v>04LA133</v>
          </cell>
          <cell r="J1443" t="str">
            <v>CHEMICAL PATHOLOGY 1</v>
          </cell>
          <cell r="K1443" t="str">
            <v>BMED</v>
          </cell>
          <cell r="L1443" t="str">
            <v>Normal</v>
          </cell>
          <cell r="M1443" t="str">
            <v>Germany</v>
          </cell>
          <cell r="N1443" t="str">
            <v>Eppendorf</v>
          </cell>
          <cell r="O1443" t="str">
            <v>Research Plus</v>
          </cell>
          <cell r="P1443" t="str">
            <v>O37479B</v>
          </cell>
          <cell r="Q1443" t="str">
            <v>Not Applicable</v>
          </cell>
          <cell r="R1443" t="str">
            <v>Eppendorf</v>
          </cell>
          <cell r="S1443" t="str">
            <v>Medigene sdn bhd</v>
          </cell>
          <cell r="T1443" t="str">
            <v>Functioning</v>
          </cell>
          <cell r="U1443" t="str">
            <v>Asset</v>
          </cell>
          <cell r="V1443">
            <v>1250</v>
          </cell>
          <cell r="W1443" t="str">
            <v>KEW</v>
          </cell>
          <cell r="X1443" t="str">
            <v>01/09/2010</v>
          </cell>
          <cell r="Y1443" t="str">
            <v>KEW</v>
          </cell>
          <cell r="Z1443" t="str">
            <v>16/08/2013</v>
          </cell>
          <cell r="AA1443" t="str">
            <v>15/08/2015</v>
          </cell>
          <cell r="AB1443" t="str">
            <v>No</v>
          </cell>
          <cell r="AC1443" t="str">
            <v>31/08/2013</v>
          </cell>
          <cell r="AD1443" t="str">
            <v>Good</v>
          </cell>
          <cell r="AE1443" t="str">
            <v>V3 - Added Installed Facilities (New)</v>
          </cell>
          <cell r="AF1443">
            <v>42235</v>
          </cell>
          <cell r="AG1443">
            <v>9.17</v>
          </cell>
          <cell r="AH1443" t="str">
            <v>PPM</v>
          </cell>
          <cell r="AI1443" t="str">
            <v>Strands</v>
          </cell>
          <cell r="AJ1443" t="str">
            <v>Strands PW</v>
          </cell>
          <cell r="AK1443" t="str">
            <v>SNF received. 1st batch of V3 asset (December 2020)</v>
          </cell>
        </row>
        <row r="1444">
          <cell r="A1444" t="str">
            <v>IKN401148</v>
          </cell>
          <cell r="B1444">
            <v>1146</v>
          </cell>
          <cell r="C1444" t="str">
            <v>Institut Kanser Negara</v>
          </cell>
          <cell r="D1444" t="str">
            <v>KKM/IKN/H/13/2139</v>
          </cell>
          <cell r="E1444" t="str">
            <v>15-663</v>
          </cell>
          <cell r="F1444" t="str">
            <v>Pipetters</v>
          </cell>
          <cell r="G1444" t="str">
            <v>LA</v>
          </cell>
          <cell r="H1444" t="str">
            <v>PATHOLOGY</v>
          </cell>
          <cell r="I1444" t="str">
            <v>04LA133</v>
          </cell>
          <cell r="J1444" t="str">
            <v>CHEMICAL PATHOLOGY 1</v>
          </cell>
          <cell r="K1444" t="str">
            <v>BMED</v>
          </cell>
          <cell r="L1444" t="str">
            <v>Normal</v>
          </cell>
          <cell r="M1444" t="str">
            <v>Germany</v>
          </cell>
          <cell r="N1444" t="str">
            <v>Eppendorf</v>
          </cell>
          <cell r="O1444" t="str">
            <v>Research Plus</v>
          </cell>
          <cell r="P1444" t="str">
            <v>O16923B</v>
          </cell>
          <cell r="Q1444" t="str">
            <v>Not Applicable</v>
          </cell>
          <cell r="R1444" t="str">
            <v>Eppendorf</v>
          </cell>
          <cell r="S1444" t="str">
            <v>Medigene sdn bhd</v>
          </cell>
          <cell r="T1444" t="str">
            <v>Functioning</v>
          </cell>
          <cell r="U1444" t="str">
            <v>Asset</v>
          </cell>
          <cell r="V1444">
            <v>1250</v>
          </cell>
          <cell r="W1444" t="str">
            <v>KEW</v>
          </cell>
          <cell r="X1444" t="str">
            <v>01/09/2010</v>
          </cell>
          <cell r="Y1444" t="str">
            <v>KEW</v>
          </cell>
          <cell r="Z1444" t="str">
            <v>16/08/2013</v>
          </cell>
          <cell r="AA1444" t="str">
            <v>15/08/2015</v>
          </cell>
          <cell r="AB1444" t="str">
            <v>No</v>
          </cell>
          <cell r="AC1444" t="str">
            <v>31/08/2013</v>
          </cell>
          <cell r="AD1444" t="str">
            <v>Good</v>
          </cell>
          <cell r="AE1444" t="str">
            <v>V3 - Added Installed Facilities (New)</v>
          </cell>
          <cell r="AF1444">
            <v>42790</v>
          </cell>
          <cell r="AG1444">
            <v>9.17</v>
          </cell>
          <cell r="AH1444" t="str">
            <v>PPM</v>
          </cell>
          <cell r="AI1444" t="str">
            <v>Strands</v>
          </cell>
          <cell r="AJ1444" t="str">
            <v>Strands PW</v>
          </cell>
          <cell r="AK1444" t="str">
            <v>SNF received. 1st batch of V3 asset (December 2020)</v>
          </cell>
        </row>
        <row r="1445">
          <cell r="A1445" t="str">
            <v>IKN401149</v>
          </cell>
          <cell r="B1445">
            <v>1147</v>
          </cell>
          <cell r="C1445" t="str">
            <v>Institut Kanser Negara</v>
          </cell>
          <cell r="D1445" t="str">
            <v>KKM/IKN/H/13/2140</v>
          </cell>
          <cell r="E1445" t="str">
            <v>15-663</v>
          </cell>
          <cell r="F1445" t="str">
            <v>Pipetters</v>
          </cell>
          <cell r="G1445" t="str">
            <v>LA</v>
          </cell>
          <cell r="H1445" t="str">
            <v>PATHOLOGY</v>
          </cell>
          <cell r="I1445" t="str">
            <v>04LA133</v>
          </cell>
          <cell r="J1445" t="str">
            <v>CHEMICAL PATHOLOGY 1</v>
          </cell>
          <cell r="K1445" t="str">
            <v>BMED</v>
          </cell>
          <cell r="L1445" t="str">
            <v>Normal</v>
          </cell>
          <cell r="M1445" t="str">
            <v>Germany</v>
          </cell>
          <cell r="N1445" t="str">
            <v>Eppendorf</v>
          </cell>
          <cell r="O1445" t="str">
            <v>Research Plus</v>
          </cell>
          <cell r="P1445" t="str">
            <v>O11931B</v>
          </cell>
          <cell r="Q1445" t="str">
            <v>Not Applicable</v>
          </cell>
          <cell r="R1445" t="str">
            <v>Eppendorf</v>
          </cell>
          <cell r="S1445" t="str">
            <v>Medigene sdn bhd</v>
          </cell>
          <cell r="T1445" t="str">
            <v>Functioning</v>
          </cell>
          <cell r="U1445" t="str">
            <v>Asset</v>
          </cell>
          <cell r="V1445">
            <v>1250</v>
          </cell>
          <cell r="W1445" t="str">
            <v>KEW</v>
          </cell>
          <cell r="X1445" t="str">
            <v>01/09/2010</v>
          </cell>
          <cell r="Y1445" t="str">
            <v>KEW</v>
          </cell>
          <cell r="Z1445" t="str">
            <v>16/08/2013</v>
          </cell>
          <cell r="AA1445" t="str">
            <v>15/08/2015</v>
          </cell>
          <cell r="AB1445" t="str">
            <v>No</v>
          </cell>
          <cell r="AC1445" t="str">
            <v>31/08/2013</v>
          </cell>
          <cell r="AD1445" t="str">
            <v>Good</v>
          </cell>
          <cell r="AE1445" t="str">
            <v>V3 - Added Installed Facilities (New)</v>
          </cell>
          <cell r="AF1445">
            <v>42235</v>
          </cell>
          <cell r="AG1445">
            <v>9.17</v>
          </cell>
          <cell r="AH1445" t="str">
            <v>PPM</v>
          </cell>
          <cell r="AI1445" t="str">
            <v>Strands</v>
          </cell>
          <cell r="AJ1445" t="str">
            <v>Strands PW</v>
          </cell>
          <cell r="AK1445" t="str">
            <v>SNF received. 1st batch of V3 asset (December 2020)</v>
          </cell>
        </row>
        <row r="1446">
          <cell r="A1446" t="str">
            <v>IKN401150</v>
          </cell>
          <cell r="B1446">
            <v>1148</v>
          </cell>
          <cell r="C1446" t="str">
            <v>Institut Kanser Negara</v>
          </cell>
          <cell r="D1446" t="str">
            <v>KKM/IKN/H/14/49</v>
          </cell>
          <cell r="E1446" t="str">
            <v>15-663</v>
          </cell>
          <cell r="F1446" t="str">
            <v>Pipetters</v>
          </cell>
          <cell r="G1446" t="str">
            <v>LA</v>
          </cell>
          <cell r="H1446" t="str">
            <v>PATHOLOGY</v>
          </cell>
          <cell r="I1446" t="str">
            <v>04LA133</v>
          </cell>
          <cell r="J1446" t="str">
            <v>CHEMICAL PATHOLOGY 1</v>
          </cell>
          <cell r="K1446" t="str">
            <v>BMED</v>
          </cell>
          <cell r="L1446" t="str">
            <v>Normal</v>
          </cell>
          <cell r="M1446" t="str">
            <v>Germany</v>
          </cell>
          <cell r="N1446" t="str">
            <v>Eppendorf</v>
          </cell>
          <cell r="O1446" t="str">
            <v>Eppendorf Research Plus</v>
          </cell>
          <cell r="P1446" t="str">
            <v>J39319D</v>
          </cell>
          <cell r="Q1446" t="str">
            <v>Not Applicable</v>
          </cell>
          <cell r="R1446" t="str">
            <v>Eppendorf AG</v>
          </cell>
          <cell r="S1446" t="str">
            <v>Medigene sdn bhd</v>
          </cell>
          <cell r="T1446" t="str">
            <v>Functioning</v>
          </cell>
          <cell r="U1446" t="str">
            <v>Asset</v>
          </cell>
          <cell r="V1446">
            <v>750</v>
          </cell>
          <cell r="W1446" t="str">
            <v>KEW</v>
          </cell>
          <cell r="X1446" t="str">
            <v>24/09/2014</v>
          </cell>
          <cell r="Y1446" t="str">
            <v>KEW</v>
          </cell>
          <cell r="Z1446" t="str">
            <v>20/11/2014</v>
          </cell>
          <cell r="AA1446" t="str">
            <v>19/11/2017</v>
          </cell>
          <cell r="AB1446" t="str">
            <v>No</v>
          </cell>
          <cell r="AC1446" t="str">
            <v>20/11/2014</v>
          </cell>
          <cell r="AD1446" t="str">
            <v>Good</v>
          </cell>
          <cell r="AE1446" t="str">
            <v>V3 - Added Installed Facilities (New)</v>
          </cell>
          <cell r="AF1446">
            <v>42382</v>
          </cell>
          <cell r="AG1446">
            <v>5.17</v>
          </cell>
          <cell r="AH1446" t="str">
            <v>PPM</v>
          </cell>
          <cell r="AI1446" t="str">
            <v>Strands</v>
          </cell>
          <cell r="AJ1446" t="str">
            <v>Strands PW</v>
          </cell>
          <cell r="AK1446" t="str">
            <v>SNF received. 1st batch of V3 asset (December 2020)</v>
          </cell>
        </row>
        <row r="1447">
          <cell r="A1447" t="str">
            <v>IKN401151</v>
          </cell>
          <cell r="B1447">
            <v>1149</v>
          </cell>
          <cell r="C1447" t="str">
            <v>Institut Kanser Negara</v>
          </cell>
          <cell r="D1447" t="str">
            <v>KKM/IKN/H/13/2139</v>
          </cell>
          <cell r="E1447" t="str">
            <v>15-663</v>
          </cell>
          <cell r="F1447" t="str">
            <v>Pipetters</v>
          </cell>
          <cell r="G1447" t="str">
            <v>LA</v>
          </cell>
          <cell r="H1447" t="str">
            <v>PATHOLOGY</v>
          </cell>
          <cell r="I1447" t="str">
            <v>04LA133</v>
          </cell>
          <cell r="J1447" t="str">
            <v>CHEMICAL PATHOLOGY 1</v>
          </cell>
          <cell r="K1447" t="str">
            <v>BMED</v>
          </cell>
          <cell r="L1447" t="str">
            <v>Normal</v>
          </cell>
          <cell r="M1447" t="str">
            <v>Germany</v>
          </cell>
          <cell r="N1447" t="str">
            <v>Eppendorf</v>
          </cell>
          <cell r="O1447" t="str">
            <v>Research Plus</v>
          </cell>
          <cell r="P1447" t="str">
            <v>O11807B</v>
          </cell>
          <cell r="Q1447" t="str">
            <v>Not Applicable</v>
          </cell>
          <cell r="R1447" t="str">
            <v>Eppendorf</v>
          </cell>
          <cell r="S1447" t="str">
            <v>Medigene sdn bhd</v>
          </cell>
          <cell r="T1447" t="str">
            <v>Functioning</v>
          </cell>
          <cell r="U1447" t="str">
            <v>Asset</v>
          </cell>
          <cell r="V1447">
            <v>1250</v>
          </cell>
          <cell r="W1447" t="str">
            <v>KEW</v>
          </cell>
          <cell r="X1447" t="str">
            <v>01/09/2010</v>
          </cell>
          <cell r="Y1447" t="str">
            <v>KEW</v>
          </cell>
          <cell r="Z1447" t="str">
            <v>16/08/2013</v>
          </cell>
          <cell r="AA1447" t="str">
            <v>15/08/2015</v>
          </cell>
          <cell r="AB1447" t="str">
            <v>No</v>
          </cell>
          <cell r="AC1447" t="str">
            <v>31/08/2013</v>
          </cell>
          <cell r="AD1447" t="str">
            <v>Good</v>
          </cell>
          <cell r="AE1447" t="str">
            <v>V3 - Added Installed Facilities (New)</v>
          </cell>
          <cell r="AF1447">
            <v>42790</v>
          </cell>
          <cell r="AG1447">
            <v>9.17</v>
          </cell>
          <cell r="AH1447" t="str">
            <v>PPM</v>
          </cell>
          <cell r="AI1447" t="str">
            <v>Strands</v>
          </cell>
          <cell r="AJ1447" t="str">
            <v>Strands PW</v>
          </cell>
          <cell r="AK1447" t="str">
            <v>SNF received. 1st batch of V3 asset (December 2020)</v>
          </cell>
        </row>
        <row r="1448">
          <cell r="A1448" t="str">
            <v>IKN401152</v>
          </cell>
          <cell r="B1448">
            <v>1150</v>
          </cell>
          <cell r="C1448" t="str">
            <v>Institut Kanser Negara</v>
          </cell>
          <cell r="D1448" t="str">
            <v>KKM/IKN/H/13/2139</v>
          </cell>
          <cell r="E1448" t="str">
            <v>15-663</v>
          </cell>
          <cell r="F1448" t="str">
            <v>Pipetters</v>
          </cell>
          <cell r="G1448" t="str">
            <v>LA</v>
          </cell>
          <cell r="H1448" t="str">
            <v>PATHOLOGY</v>
          </cell>
          <cell r="I1448" t="str">
            <v>04LA133</v>
          </cell>
          <cell r="J1448" t="str">
            <v>CHEMICAL PATHOLOGY 1</v>
          </cell>
          <cell r="K1448" t="str">
            <v>BMED</v>
          </cell>
          <cell r="L1448" t="str">
            <v>Normal</v>
          </cell>
          <cell r="M1448" t="str">
            <v>Germany</v>
          </cell>
          <cell r="N1448" t="str">
            <v>Eppendorf</v>
          </cell>
          <cell r="O1448" t="str">
            <v>Research Plus</v>
          </cell>
          <cell r="P1448" t="str">
            <v>O37559B</v>
          </cell>
          <cell r="Q1448" t="str">
            <v>Not Applicable</v>
          </cell>
          <cell r="R1448" t="str">
            <v>Eppendorf</v>
          </cell>
          <cell r="S1448" t="str">
            <v>Medigene sdn bhd</v>
          </cell>
          <cell r="T1448" t="str">
            <v>Functioning</v>
          </cell>
          <cell r="U1448" t="str">
            <v>Asset</v>
          </cell>
          <cell r="V1448">
            <v>1250</v>
          </cell>
          <cell r="W1448" t="str">
            <v>KEW</v>
          </cell>
          <cell r="X1448" t="str">
            <v>01/09/2010</v>
          </cell>
          <cell r="Y1448" t="str">
            <v>KEW</v>
          </cell>
          <cell r="Z1448" t="str">
            <v>16/08/2013</v>
          </cell>
          <cell r="AA1448" t="str">
            <v>15/08/2015</v>
          </cell>
          <cell r="AB1448" t="str">
            <v>No</v>
          </cell>
          <cell r="AC1448" t="str">
            <v>31/08/2013</v>
          </cell>
          <cell r="AD1448" t="str">
            <v>Good</v>
          </cell>
          <cell r="AE1448" t="str">
            <v>V3 - Added Installed Facilities (New)</v>
          </cell>
          <cell r="AF1448">
            <v>42790</v>
          </cell>
          <cell r="AG1448">
            <v>9.17</v>
          </cell>
          <cell r="AH1448" t="str">
            <v>PPM</v>
          </cell>
          <cell r="AI1448" t="str">
            <v>Strands</v>
          </cell>
          <cell r="AJ1448" t="str">
            <v>Strands PW</v>
          </cell>
          <cell r="AK1448" t="str">
            <v>SNF received. 1st batch of V3 asset (December 2020)</v>
          </cell>
        </row>
        <row r="1449">
          <cell r="A1449" t="str">
            <v>IKN401159</v>
          </cell>
          <cell r="B1449">
            <v>1157</v>
          </cell>
          <cell r="C1449" t="str">
            <v>Institut Kanser Negara</v>
          </cell>
          <cell r="D1449" t="str">
            <v>KKM/IKN/H/13/2309</v>
          </cell>
          <cell r="E1449" t="str">
            <v>11-295</v>
          </cell>
          <cell r="F1449" t="str">
            <v>Dosimeters, Radiation</v>
          </cell>
          <cell r="G1449" t="str">
            <v>ID</v>
          </cell>
          <cell r="H1449" t="str">
            <v>IMAGING DEPARTMENT</v>
          </cell>
          <cell r="I1449" t="str">
            <v>03ID169</v>
          </cell>
          <cell r="J1449" t="str">
            <v>RADIOGRAPHER</v>
          </cell>
          <cell r="K1449" t="str">
            <v>BMED</v>
          </cell>
          <cell r="L1449" t="str">
            <v>Normal</v>
          </cell>
          <cell r="M1449" t="str">
            <v>Germany</v>
          </cell>
          <cell r="N1449" t="str">
            <v>Thermo Fisher</v>
          </cell>
          <cell r="O1449" t="str">
            <v>EPD MK2.5</v>
          </cell>
          <cell r="P1449" t="str">
            <v>00289475</v>
          </cell>
          <cell r="Q1449" t="str">
            <v>Not Applicable</v>
          </cell>
          <cell r="R1449" t="str">
            <v>Thermo Fisher Scientific</v>
          </cell>
          <cell r="S1449" t="str">
            <v>Delta Advantech (M) Sdn Bhd</v>
          </cell>
          <cell r="T1449" t="str">
            <v>Functioning</v>
          </cell>
          <cell r="U1449" t="str">
            <v>Asset</v>
          </cell>
          <cell r="V1449">
            <v>4370</v>
          </cell>
          <cell r="W1449" t="str">
            <v>KEW</v>
          </cell>
          <cell r="X1449" t="str">
            <v>01/09/2010</v>
          </cell>
          <cell r="Y1449" t="str">
            <v>KEW</v>
          </cell>
          <cell r="Z1449" t="str">
            <v>16/08/2013</v>
          </cell>
          <cell r="AA1449" t="str">
            <v>15/08/2015</v>
          </cell>
          <cell r="AB1449" t="str">
            <v>No</v>
          </cell>
          <cell r="AC1449" t="str">
            <v>31/08/2013</v>
          </cell>
          <cell r="AD1449" t="str">
            <v>Good</v>
          </cell>
          <cell r="AE1449" t="str">
            <v>V1 - Existing / No Claim</v>
          </cell>
          <cell r="AF1449">
            <v>42235</v>
          </cell>
          <cell r="AG1449">
            <v>9.17</v>
          </cell>
          <cell r="AH1449" t="str">
            <v>PPM</v>
          </cell>
          <cell r="AI1449" t="str">
            <v>Strands</v>
          </cell>
          <cell r="AJ1449" t="str">
            <v>Strands PW</v>
          </cell>
        </row>
        <row r="1450">
          <cell r="A1450" t="str">
            <v>IKN401160</v>
          </cell>
          <cell r="B1450">
            <v>1158</v>
          </cell>
          <cell r="C1450" t="str">
            <v>Institut Kanser Negara</v>
          </cell>
          <cell r="D1450" t="str">
            <v>KKM/IKN/H/13/2312</v>
          </cell>
          <cell r="E1450" t="str">
            <v>11-295</v>
          </cell>
          <cell r="F1450" t="str">
            <v>Dosimeters, Radiation</v>
          </cell>
          <cell r="G1450" t="str">
            <v>ID</v>
          </cell>
          <cell r="H1450" t="str">
            <v>IMAGING DEPARTMENT</v>
          </cell>
          <cell r="I1450" t="str">
            <v>03ID169</v>
          </cell>
          <cell r="J1450" t="str">
            <v>RADIOGRAPHER</v>
          </cell>
          <cell r="K1450" t="str">
            <v>BMED</v>
          </cell>
          <cell r="L1450" t="str">
            <v>Normal</v>
          </cell>
          <cell r="M1450" t="str">
            <v>Germany</v>
          </cell>
          <cell r="N1450" t="str">
            <v>Thermo Fisher</v>
          </cell>
          <cell r="O1450" t="str">
            <v>EPD MK2.5</v>
          </cell>
          <cell r="P1450" t="str">
            <v>00289463</v>
          </cell>
          <cell r="Q1450" t="str">
            <v>Not Applicable</v>
          </cell>
          <cell r="R1450" t="str">
            <v>Thermo Fisher Scientific</v>
          </cell>
          <cell r="S1450" t="str">
            <v>Delta Advantech (M) Sdn Bhd</v>
          </cell>
          <cell r="T1450" t="str">
            <v>Functioning</v>
          </cell>
          <cell r="U1450" t="str">
            <v>Asset</v>
          </cell>
          <cell r="V1450">
            <v>4370</v>
          </cell>
          <cell r="W1450" t="str">
            <v>KEW</v>
          </cell>
          <cell r="X1450" t="str">
            <v>01/09/2010</v>
          </cell>
          <cell r="Y1450" t="str">
            <v>KEW</v>
          </cell>
          <cell r="Z1450" t="str">
            <v>16/08/2013</v>
          </cell>
          <cell r="AA1450" t="str">
            <v>15/08/2015</v>
          </cell>
          <cell r="AB1450" t="str">
            <v>No</v>
          </cell>
          <cell r="AC1450" t="str">
            <v>31/08/2013</v>
          </cell>
          <cell r="AD1450" t="str">
            <v>Good</v>
          </cell>
          <cell r="AE1450" t="str">
            <v>V1 - Existing / No Claim</v>
          </cell>
          <cell r="AF1450">
            <v>42235</v>
          </cell>
          <cell r="AG1450">
            <v>9.17</v>
          </cell>
          <cell r="AH1450" t="str">
            <v>PPM</v>
          </cell>
          <cell r="AI1450" t="str">
            <v>Strands</v>
          </cell>
          <cell r="AJ1450" t="str">
            <v>Strands PW</v>
          </cell>
        </row>
        <row r="1451">
          <cell r="A1451" t="str">
            <v>IKN401161</v>
          </cell>
          <cell r="B1451">
            <v>1159</v>
          </cell>
          <cell r="C1451" t="str">
            <v>Institut Kanser Negara</v>
          </cell>
          <cell r="D1451" t="str">
            <v>KKM/IKN/H/13/2313</v>
          </cell>
          <cell r="E1451" t="str">
            <v>11-295</v>
          </cell>
          <cell r="F1451" t="str">
            <v>Dosimeters, Radiation</v>
          </cell>
          <cell r="G1451" t="str">
            <v>ID</v>
          </cell>
          <cell r="H1451" t="str">
            <v>IMAGING DEPARTMENT</v>
          </cell>
          <cell r="I1451" t="str">
            <v>03ID169</v>
          </cell>
          <cell r="J1451" t="str">
            <v>RADIOGRAPHER</v>
          </cell>
          <cell r="K1451" t="str">
            <v>BMED</v>
          </cell>
          <cell r="L1451" t="str">
            <v>Normal</v>
          </cell>
          <cell r="M1451" t="str">
            <v>Germany</v>
          </cell>
          <cell r="N1451" t="str">
            <v>Thermo Fisher</v>
          </cell>
          <cell r="O1451" t="str">
            <v>EPD MK2.5</v>
          </cell>
          <cell r="P1451" t="str">
            <v>00289465</v>
          </cell>
          <cell r="Q1451" t="str">
            <v>Not Applicable</v>
          </cell>
          <cell r="R1451" t="str">
            <v>Thermo Fisher Scientific</v>
          </cell>
          <cell r="S1451" t="str">
            <v>Delta Advantech (M) Sdn Bhd</v>
          </cell>
          <cell r="T1451" t="str">
            <v>Functioning</v>
          </cell>
          <cell r="U1451" t="str">
            <v>Asset</v>
          </cell>
          <cell r="V1451">
            <v>4370</v>
          </cell>
          <cell r="W1451" t="str">
            <v>KEW</v>
          </cell>
          <cell r="X1451" t="str">
            <v>01/09/2010</v>
          </cell>
          <cell r="Y1451" t="str">
            <v>KEW</v>
          </cell>
          <cell r="Z1451" t="str">
            <v>16/08/2013</v>
          </cell>
          <cell r="AA1451" t="str">
            <v>15/08/2015</v>
          </cell>
          <cell r="AB1451" t="str">
            <v>No</v>
          </cell>
          <cell r="AC1451" t="str">
            <v>31/08/2013</v>
          </cell>
          <cell r="AD1451" t="str">
            <v>Good</v>
          </cell>
          <cell r="AE1451" t="str">
            <v>V1 - Existing / No Claim</v>
          </cell>
          <cell r="AF1451">
            <v>42235</v>
          </cell>
          <cell r="AG1451">
            <v>9.17</v>
          </cell>
          <cell r="AH1451" t="str">
            <v>PPM</v>
          </cell>
          <cell r="AI1451" t="str">
            <v>Strands</v>
          </cell>
          <cell r="AJ1451" t="str">
            <v>Strands PW</v>
          </cell>
        </row>
        <row r="1452">
          <cell r="A1452" t="str">
            <v>IKN401162</v>
          </cell>
          <cell r="B1452">
            <v>1160</v>
          </cell>
          <cell r="C1452" t="str">
            <v>Institut Kanser Negara</v>
          </cell>
          <cell r="D1452" t="str">
            <v>KKM/IKN/H/13/2311</v>
          </cell>
          <cell r="E1452" t="str">
            <v>11-295</v>
          </cell>
          <cell r="F1452" t="str">
            <v>Dosimeters, Radiation</v>
          </cell>
          <cell r="G1452" t="str">
            <v>ID</v>
          </cell>
          <cell r="H1452" t="str">
            <v>IMAGING DEPARTMENT</v>
          </cell>
          <cell r="I1452" t="str">
            <v>03ID169</v>
          </cell>
          <cell r="J1452" t="str">
            <v>RADIOGRAPHER</v>
          </cell>
          <cell r="K1452" t="str">
            <v>BMED</v>
          </cell>
          <cell r="L1452" t="str">
            <v>Normal</v>
          </cell>
          <cell r="M1452" t="str">
            <v>Germany</v>
          </cell>
          <cell r="N1452" t="str">
            <v>Thermo Fisher</v>
          </cell>
          <cell r="O1452" t="str">
            <v>EPD MK2.5</v>
          </cell>
          <cell r="P1452" t="str">
            <v>00289466</v>
          </cell>
          <cell r="Q1452" t="str">
            <v>Not Applicable</v>
          </cell>
          <cell r="R1452" t="str">
            <v>Thermo Fisher Scientific</v>
          </cell>
          <cell r="S1452" t="str">
            <v>Delta Advantech (M) Sdn Bhd</v>
          </cell>
          <cell r="T1452" t="str">
            <v>Functioning</v>
          </cell>
          <cell r="U1452" t="str">
            <v>Asset</v>
          </cell>
          <cell r="V1452">
            <v>4370</v>
          </cell>
          <cell r="W1452" t="str">
            <v>KEW</v>
          </cell>
          <cell r="X1452" t="str">
            <v>01/09/2010</v>
          </cell>
          <cell r="Y1452" t="str">
            <v>KEW</v>
          </cell>
          <cell r="Z1452" t="str">
            <v>16/08/2013</v>
          </cell>
          <cell r="AA1452" t="str">
            <v>15/08/2015</v>
          </cell>
          <cell r="AB1452" t="str">
            <v>No</v>
          </cell>
          <cell r="AC1452" t="str">
            <v>31/08/2013</v>
          </cell>
          <cell r="AD1452" t="str">
            <v>Good</v>
          </cell>
          <cell r="AE1452" t="str">
            <v>V1 - Existing / No Claim</v>
          </cell>
          <cell r="AF1452">
            <v>42235</v>
          </cell>
          <cell r="AG1452">
            <v>9.17</v>
          </cell>
          <cell r="AH1452" t="str">
            <v>PPM</v>
          </cell>
          <cell r="AI1452" t="str">
            <v>Strands</v>
          </cell>
          <cell r="AJ1452" t="str">
            <v>Strands PW</v>
          </cell>
        </row>
        <row r="1453">
          <cell r="A1453" t="str">
            <v>IKN401164</v>
          </cell>
          <cell r="B1453">
            <v>1162</v>
          </cell>
          <cell r="C1453" t="str">
            <v>Institut Kanser Negara</v>
          </cell>
          <cell r="D1453" t="str">
            <v>KKM/IKN/H/13/2310</v>
          </cell>
          <cell r="E1453" t="str">
            <v>11-295</v>
          </cell>
          <cell r="F1453" t="str">
            <v>Dosimeters, Radiation</v>
          </cell>
          <cell r="G1453" t="str">
            <v>ID</v>
          </cell>
          <cell r="H1453" t="str">
            <v>IMAGING DEPARTMENT</v>
          </cell>
          <cell r="I1453" t="str">
            <v>03ID169</v>
          </cell>
          <cell r="J1453" t="str">
            <v>RADIOGRAPHER</v>
          </cell>
          <cell r="K1453" t="str">
            <v>BMED</v>
          </cell>
          <cell r="L1453" t="str">
            <v>Normal</v>
          </cell>
          <cell r="M1453" t="str">
            <v>Germany</v>
          </cell>
          <cell r="N1453" t="str">
            <v>Thermo Fisher</v>
          </cell>
          <cell r="O1453" t="str">
            <v>EPD MK2.5</v>
          </cell>
          <cell r="P1453" t="str">
            <v>00289474</v>
          </cell>
          <cell r="Q1453" t="str">
            <v>Not Applicable</v>
          </cell>
          <cell r="R1453" t="str">
            <v>Thermo Fisher Scientific</v>
          </cell>
          <cell r="S1453" t="str">
            <v>Delta Advantech (M) Sdn Bhd</v>
          </cell>
          <cell r="T1453" t="str">
            <v>Functioning</v>
          </cell>
          <cell r="U1453" t="str">
            <v>Asset</v>
          </cell>
          <cell r="V1453">
            <v>4370</v>
          </cell>
          <cell r="W1453" t="str">
            <v>KEW</v>
          </cell>
          <cell r="X1453" t="str">
            <v>01/09/2010</v>
          </cell>
          <cell r="Y1453" t="str">
            <v>KEW</v>
          </cell>
          <cell r="Z1453" t="str">
            <v>16/08/2013</v>
          </cell>
          <cell r="AA1453" t="str">
            <v>15/08/2015</v>
          </cell>
          <cell r="AB1453" t="str">
            <v>No</v>
          </cell>
          <cell r="AC1453" t="str">
            <v>31/08/2013</v>
          </cell>
          <cell r="AD1453" t="str">
            <v>Good</v>
          </cell>
          <cell r="AE1453" t="str">
            <v>V1 - Existing / No Claim</v>
          </cell>
          <cell r="AF1453">
            <v>42235</v>
          </cell>
          <cell r="AG1453">
            <v>9.17</v>
          </cell>
          <cell r="AH1453" t="str">
            <v>PPM</v>
          </cell>
          <cell r="AI1453" t="str">
            <v>Strands</v>
          </cell>
          <cell r="AJ1453" t="str">
            <v>Strands PW</v>
          </cell>
        </row>
        <row r="1454">
          <cell r="A1454" t="str">
            <v>IKN401165</v>
          </cell>
          <cell r="B1454">
            <v>1163</v>
          </cell>
          <cell r="C1454" t="str">
            <v>Institut Kanser Negara</v>
          </cell>
          <cell r="D1454" t="str">
            <v>KKM/IKN/H/13/2308</v>
          </cell>
          <cell r="E1454" t="str">
            <v>11-295</v>
          </cell>
          <cell r="F1454" t="str">
            <v>Dosimeters, Radiation</v>
          </cell>
          <cell r="G1454" t="str">
            <v>ID</v>
          </cell>
          <cell r="H1454" t="str">
            <v>IMAGING DEPARTMENT</v>
          </cell>
          <cell r="I1454" t="str">
            <v>03ID169</v>
          </cell>
          <cell r="J1454" t="str">
            <v>RADIOGRAPHER</v>
          </cell>
          <cell r="K1454" t="str">
            <v>BMED</v>
          </cell>
          <cell r="L1454" t="str">
            <v>Normal</v>
          </cell>
          <cell r="M1454" t="str">
            <v>Germany</v>
          </cell>
          <cell r="N1454" t="str">
            <v>Thermo Fisher</v>
          </cell>
          <cell r="O1454" t="str">
            <v>EPD MK2.5</v>
          </cell>
          <cell r="P1454" t="str">
            <v>00289476</v>
          </cell>
          <cell r="Q1454" t="str">
            <v>Not Applicable</v>
          </cell>
          <cell r="R1454" t="str">
            <v>Thermo Fisher Scientific</v>
          </cell>
          <cell r="S1454" t="str">
            <v>Delta Advantech (M) Sdn Bhd</v>
          </cell>
          <cell r="T1454" t="str">
            <v>Functioning</v>
          </cell>
          <cell r="U1454" t="str">
            <v>Asset</v>
          </cell>
          <cell r="V1454">
            <v>4370</v>
          </cell>
          <cell r="W1454" t="str">
            <v>KEW</v>
          </cell>
          <cell r="X1454" t="str">
            <v>01/09/2010</v>
          </cell>
          <cell r="Y1454" t="str">
            <v>KEW</v>
          </cell>
          <cell r="Z1454" t="str">
            <v>16/08/2013</v>
          </cell>
          <cell r="AA1454" t="str">
            <v>15/08/2015</v>
          </cell>
          <cell r="AB1454" t="str">
            <v>No</v>
          </cell>
          <cell r="AC1454" t="str">
            <v>31/08/2013</v>
          </cell>
          <cell r="AD1454" t="str">
            <v>Good</v>
          </cell>
          <cell r="AE1454" t="str">
            <v>V1 - Existing / No Claim</v>
          </cell>
          <cell r="AF1454">
            <v>42235</v>
          </cell>
          <cell r="AG1454">
            <v>9.17</v>
          </cell>
          <cell r="AH1454" t="str">
            <v>PPM</v>
          </cell>
          <cell r="AI1454" t="str">
            <v>Strands</v>
          </cell>
          <cell r="AJ1454" t="str">
            <v>Strands PW SET A</v>
          </cell>
          <cell r="AK1454" t="str">
            <v>CUBA CHECK IKN400094 PUNYA KEWPA. [21/3/2024, ANIS]: UPDATE KKM NO.</v>
          </cell>
        </row>
        <row r="1455">
          <cell r="A1455" t="str">
            <v>IKN401166</v>
          </cell>
          <cell r="B1455">
            <v>1164</v>
          </cell>
          <cell r="C1455" t="str">
            <v>Institut Kanser Negara</v>
          </cell>
          <cell r="D1455" t="str">
            <v>KKM/IKN/H/13/4862-10</v>
          </cell>
          <cell r="E1455" t="str">
            <v>11-295</v>
          </cell>
          <cell r="F1455" t="str">
            <v>Dosimeters, Radiation</v>
          </cell>
          <cell r="G1455" t="str">
            <v>ID</v>
          </cell>
          <cell r="H1455" t="str">
            <v>IMAGING DEPARTMENT</v>
          </cell>
          <cell r="I1455" t="str">
            <v>03ID169</v>
          </cell>
          <cell r="J1455" t="str">
            <v>RADIOGRAPHER</v>
          </cell>
          <cell r="K1455" t="str">
            <v>BMED</v>
          </cell>
          <cell r="L1455" t="str">
            <v>Normal</v>
          </cell>
          <cell r="M1455" t="str">
            <v>Germany</v>
          </cell>
          <cell r="N1455" t="str">
            <v>Thermo Fisher</v>
          </cell>
          <cell r="O1455" t="str">
            <v>EPD MK2.5</v>
          </cell>
          <cell r="P1455" t="str">
            <v>00293139</v>
          </cell>
          <cell r="Q1455" t="str">
            <v>Not Applicable</v>
          </cell>
          <cell r="R1455" t="str">
            <v>Thermo Fisher Scientific</v>
          </cell>
          <cell r="S1455" t="str">
            <v>Delta Advantech (M) Sdn Bhd</v>
          </cell>
          <cell r="T1455" t="str">
            <v>Functioning</v>
          </cell>
          <cell r="U1455" t="str">
            <v>Asset</v>
          </cell>
          <cell r="V1455">
            <v>4370</v>
          </cell>
          <cell r="W1455" t="str">
            <v>KEW</v>
          </cell>
          <cell r="X1455" t="str">
            <v>01/09/2010</v>
          </cell>
          <cell r="Y1455" t="str">
            <v>KEW</v>
          </cell>
          <cell r="Z1455" t="str">
            <v>16/08/2013</v>
          </cell>
          <cell r="AA1455" t="str">
            <v>15/08/2015</v>
          </cell>
          <cell r="AB1455" t="str">
            <v>No</v>
          </cell>
          <cell r="AC1455" t="str">
            <v>31/08/2013</v>
          </cell>
          <cell r="AD1455" t="str">
            <v>Good</v>
          </cell>
          <cell r="AE1455" t="str">
            <v>V1 - Existing / No Claim</v>
          </cell>
          <cell r="AF1455">
            <v>42235</v>
          </cell>
          <cell r="AG1455">
            <v>9.17</v>
          </cell>
          <cell r="AH1455" t="str">
            <v>PPM</v>
          </cell>
          <cell r="AI1455" t="str">
            <v>package</v>
          </cell>
          <cell r="AJ1455" t="e">
            <v>#REF!</v>
          </cell>
          <cell r="AK1455" t="str">
            <v>PACKAGE WITH IKN401200</v>
          </cell>
        </row>
        <row r="1456">
          <cell r="A1456" t="str">
            <v>IKN401167</v>
          </cell>
          <cell r="B1456">
            <v>1165</v>
          </cell>
          <cell r="C1456" t="str">
            <v>Institut Kanser Negara</v>
          </cell>
          <cell r="D1456" t="str">
            <v>KKM/IKN/H/13/1187</v>
          </cell>
          <cell r="E1456" t="str">
            <v>11-295</v>
          </cell>
          <cell r="F1456" t="str">
            <v>Dosimeters, Radiation</v>
          </cell>
          <cell r="G1456" t="str">
            <v>RT</v>
          </cell>
          <cell r="H1456" t="str">
            <v>RADIATION TREATMENT UNIT</v>
          </cell>
          <cell r="I1456" t="str">
            <v>01RT213</v>
          </cell>
          <cell r="J1456" t="str">
            <v>EQUIPMENT ROOM1</v>
          </cell>
          <cell r="K1456" t="str">
            <v>BMED</v>
          </cell>
          <cell r="L1456" t="str">
            <v>Normal</v>
          </cell>
          <cell r="M1456" t="str">
            <v>Germany</v>
          </cell>
          <cell r="N1456" t="str">
            <v>Thermo Fisher</v>
          </cell>
          <cell r="O1456" t="str">
            <v>EPD MK2.5</v>
          </cell>
          <cell r="P1456" t="str">
            <v>00289455</v>
          </cell>
          <cell r="Q1456" t="str">
            <v>Not Applicable</v>
          </cell>
          <cell r="R1456" t="str">
            <v>Thermo Fisher Scientific</v>
          </cell>
          <cell r="S1456" t="str">
            <v>Delta Advantech (M) Sdn Bhd</v>
          </cell>
          <cell r="T1456" t="str">
            <v>Functioning</v>
          </cell>
          <cell r="U1456" t="str">
            <v>Asset</v>
          </cell>
          <cell r="V1456">
            <v>4370</v>
          </cell>
          <cell r="W1456" t="str">
            <v>KEW</v>
          </cell>
          <cell r="X1456" t="str">
            <v>01/09/2010</v>
          </cell>
          <cell r="Y1456" t="str">
            <v>KEW</v>
          </cell>
          <cell r="Z1456" t="str">
            <v>16/08/2013</v>
          </cell>
          <cell r="AA1456" t="str">
            <v>15/08/2015</v>
          </cell>
          <cell r="AB1456" t="str">
            <v>No</v>
          </cell>
          <cell r="AC1456" t="str">
            <v>31/08/2013</v>
          </cell>
          <cell r="AD1456" t="str">
            <v>Good</v>
          </cell>
          <cell r="AE1456" t="str">
            <v>V1 - Existing / No Claim</v>
          </cell>
          <cell r="AF1456">
            <v>42235</v>
          </cell>
          <cell r="AG1456">
            <v>9.17</v>
          </cell>
          <cell r="AH1456" t="str">
            <v>PPM</v>
          </cell>
          <cell r="AI1456" t="str">
            <v>Strands</v>
          </cell>
          <cell r="AJ1456" t="str">
            <v>Strands PW</v>
          </cell>
        </row>
        <row r="1457">
          <cell r="A1457" t="str">
            <v>IKN401168</v>
          </cell>
          <cell r="B1457">
            <v>1166</v>
          </cell>
          <cell r="C1457" t="str">
            <v>Institut Kanser Negara</v>
          </cell>
          <cell r="D1457" t="str">
            <v>KKM/IKN/H/13/1179</v>
          </cell>
          <cell r="E1457" t="str">
            <v>11-295</v>
          </cell>
          <cell r="F1457" t="str">
            <v>Dosimeters, Radiation</v>
          </cell>
          <cell r="G1457" t="str">
            <v>RT</v>
          </cell>
          <cell r="H1457" t="str">
            <v>RADIATION TREATMENT UNIT</v>
          </cell>
          <cell r="I1457" t="str">
            <v>01RT213</v>
          </cell>
          <cell r="J1457" t="str">
            <v>EQUIPMENT ROOM1</v>
          </cell>
          <cell r="K1457" t="str">
            <v>BMED</v>
          </cell>
          <cell r="L1457" t="str">
            <v>Normal</v>
          </cell>
          <cell r="M1457" t="str">
            <v>Germany</v>
          </cell>
          <cell r="N1457" t="str">
            <v>Thermo Fisher</v>
          </cell>
          <cell r="O1457" t="str">
            <v>EPD MK2.5</v>
          </cell>
          <cell r="P1457" t="str">
            <v>00289456</v>
          </cell>
          <cell r="Q1457" t="str">
            <v>Not Applicable</v>
          </cell>
          <cell r="R1457" t="str">
            <v>Thermo Fisher Scientific</v>
          </cell>
          <cell r="S1457" t="str">
            <v>Delta Advantech (M) Sdn Bhd</v>
          </cell>
          <cell r="T1457" t="str">
            <v>Functioning</v>
          </cell>
          <cell r="U1457" t="str">
            <v>Asset</v>
          </cell>
          <cell r="V1457">
            <v>4370</v>
          </cell>
          <cell r="W1457" t="str">
            <v>KEW</v>
          </cell>
          <cell r="X1457" t="str">
            <v>01/09/2010</v>
          </cell>
          <cell r="Y1457" t="str">
            <v>KEW</v>
          </cell>
          <cell r="Z1457" t="str">
            <v>16/08/2013</v>
          </cell>
          <cell r="AA1457" t="str">
            <v>15/08/2015</v>
          </cell>
          <cell r="AB1457" t="str">
            <v>No</v>
          </cell>
          <cell r="AC1457" t="str">
            <v>31/08/2013</v>
          </cell>
          <cell r="AD1457" t="str">
            <v>Good</v>
          </cell>
          <cell r="AE1457" t="str">
            <v>V1 - Existing / No Claim</v>
          </cell>
          <cell r="AF1457">
            <v>42235</v>
          </cell>
          <cell r="AG1457">
            <v>9.17</v>
          </cell>
          <cell r="AH1457" t="str">
            <v>PPM</v>
          </cell>
          <cell r="AI1457" t="str">
            <v>Strands</v>
          </cell>
          <cell r="AJ1457" t="str">
            <v>Strands PW</v>
          </cell>
        </row>
        <row r="1458">
          <cell r="A1458" t="str">
            <v>IKN401169</v>
          </cell>
          <cell r="B1458">
            <v>1167</v>
          </cell>
          <cell r="C1458" t="str">
            <v>Institut Kanser Negara</v>
          </cell>
          <cell r="D1458" t="str">
            <v>KKM/IKN/H/13/1136</v>
          </cell>
          <cell r="E1458" t="str">
            <v>11-295</v>
          </cell>
          <cell r="F1458" t="str">
            <v>Dosimeters, Radiation</v>
          </cell>
          <cell r="G1458" t="str">
            <v>RT</v>
          </cell>
          <cell r="H1458" t="str">
            <v>RADIATION TREATMENT UNIT</v>
          </cell>
          <cell r="I1458" t="str">
            <v>01RT213</v>
          </cell>
          <cell r="J1458" t="str">
            <v>EQUIPMENT ROOM1</v>
          </cell>
          <cell r="K1458" t="str">
            <v>BMED</v>
          </cell>
          <cell r="L1458" t="str">
            <v>Normal</v>
          </cell>
          <cell r="M1458" t="str">
            <v>Germany</v>
          </cell>
          <cell r="N1458" t="str">
            <v>Thermo Fisher</v>
          </cell>
          <cell r="O1458" t="str">
            <v>EPD MK2.5</v>
          </cell>
          <cell r="P1458" t="str">
            <v>00289473</v>
          </cell>
          <cell r="Q1458" t="str">
            <v>Not Applicable</v>
          </cell>
          <cell r="R1458" t="str">
            <v>Thermo Fisher Scientific</v>
          </cell>
          <cell r="S1458" t="str">
            <v>Delta Advantech (M) Sdn Bhd</v>
          </cell>
          <cell r="T1458" t="str">
            <v>Functioning</v>
          </cell>
          <cell r="U1458" t="str">
            <v>Asset</v>
          </cell>
          <cell r="V1458">
            <v>4370</v>
          </cell>
          <cell r="W1458" t="str">
            <v>KEW</v>
          </cell>
          <cell r="X1458" t="str">
            <v>01/09/2010</v>
          </cell>
          <cell r="Y1458" t="str">
            <v>KEW</v>
          </cell>
          <cell r="Z1458" t="str">
            <v>16/08/2013</v>
          </cell>
          <cell r="AA1458" t="str">
            <v>15/08/2015</v>
          </cell>
          <cell r="AB1458" t="str">
            <v>No</v>
          </cell>
          <cell r="AC1458" t="str">
            <v>31/08/2013</v>
          </cell>
          <cell r="AD1458" t="str">
            <v>Good</v>
          </cell>
          <cell r="AE1458" t="str">
            <v>V1 - Existing / No Claim</v>
          </cell>
          <cell r="AF1458">
            <v>42235</v>
          </cell>
          <cell r="AG1458">
            <v>9.17</v>
          </cell>
          <cell r="AH1458" t="str">
            <v>PPM</v>
          </cell>
          <cell r="AI1458" t="str">
            <v>Strands</v>
          </cell>
          <cell r="AJ1458" t="str">
            <v>Strands PW</v>
          </cell>
        </row>
        <row r="1459">
          <cell r="A1459" t="str">
            <v>IKN401170</v>
          </cell>
          <cell r="B1459">
            <v>1168</v>
          </cell>
          <cell r="C1459" t="str">
            <v>Institut Kanser Negara</v>
          </cell>
          <cell r="D1459" t="str">
            <v>KKM/IKN/H/13/1182</v>
          </cell>
          <cell r="E1459" t="str">
            <v>11-295</v>
          </cell>
          <cell r="F1459" t="str">
            <v>Dosimeters, Radiation</v>
          </cell>
          <cell r="G1459" t="str">
            <v>RT</v>
          </cell>
          <cell r="H1459" t="str">
            <v>RADIATION TREATMENT UNIT</v>
          </cell>
          <cell r="I1459" t="str">
            <v>01RT213</v>
          </cell>
          <cell r="J1459" t="str">
            <v>EQUIPMENT ROOM1</v>
          </cell>
          <cell r="K1459" t="str">
            <v>BMED</v>
          </cell>
          <cell r="L1459" t="str">
            <v>Normal</v>
          </cell>
          <cell r="M1459" t="str">
            <v>Germany</v>
          </cell>
          <cell r="N1459" t="str">
            <v>Thermo Fisher</v>
          </cell>
          <cell r="O1459" t="str">
            <v>EPD MK2.5</v>
          </cell>
          <cell r="P1459" t="str">
            <v>00288076</v>
          </cell>
          <cell r="Q1459" t="str">
            <v>Not Applicable</v>
          </cell>
          <cell r="R1459" t="str">
            <v>Thermo Fisher Scientific</v>
          </cell>
          <cell r="S1459" t="str">
            <v>Delta Advantech (M) Sdn Bhd</v>
          </cell>
          <cell r="T1459" t="str">
            <v>Functioning</v>
          </cell>
          <cell r="U1459" t="str">
            <v>Asset</v>
          </cell>
          <cell r="V1459">
            <v>4370</v>
          </cell>
          <cell r="W1459" t="str">
            <v>KEW</v>
          </cell>
          <cell r="X1459" t="str">
            <v>01/09/2010</v>
          </cell>
          <cell r="Y1459" t="str">
            <v>KEW</v>
          </cell>
          <cell r="Z1459" t="str">
            <v>16/08/2013</v>
          </cell>
          <cell r="AA1459" t="str">
            <v>15/08/2015</v>
          </cell>
          <cell r="AB1459" t="str">
            <v>No</v>
          </cell>
          <cell r="AC1459" t="str">
            <v>31/08/2013</v>
          </cell>
          <cell r="AD1459" t="str">
            <v>Good</v>
          </cell>
          <cell r="AE1459" t="str">
            <v>V1 - Existing / No Claim</v>
          </cell>
          <cell r="AF1459">
            <v>42235</v>
          </cell>
          <cell r="AG1459">
            <v>9.17</v>
          </cell>
          <cell r="AH1459" t="str">
            <v>PPM</v>
          </cell>
          <cell r="AI1459" t="str">
            <v>Strands</v>
          </cell>
          <cell r="AJ1459" t="str">
            <v>Strands PW</v>
          </cell>
        </row>
        <row r="1460">
          <cell r="A1460" t="str">
            <v>IKN401171</v>
          </cell>
          <cell r="B1460">
            <v>1169</v>
          </cell>
          <cell r="C1460" t="str">
            <v>Institut Kanser Negara</v>
          </cell>
          <cell r="D1460" t="str">
            <v>KKM/IKN/H/13/1180</v>
          </cell>
          <cell r="E1460" t="str">
            <v>11-295</v>
          </cell>
          <cell r="F1460" t="str">
            <v>Dosimeters, Radiation</v>
          </cell>
          <cell r="G1460" t="str">
            <v>RT</v>
          </cell>
          <cell r="H1460" t="str">
            <v>RADIATION TREATMENT UNIT</v>
          </cell>
          <cell r="I1460" t="str">
            <v>01RT213</v>
          </cell>
          <cell r="J1460" t="str">
            <v>EQUIPMENT ROOM1</v>
          </cell>
          <cell r="K1460" t="str">
            <v>BMED</v>
          </cell>
          <cell r="L1460" t="str">
            <v>Normal</v>
          </cell>
          <cell r="M1460" t="str">
            <v>Germany</v>
          </cell>
          <cell r="N1460" t="str">
            <v>Thermo Fisher</v>
          </cell>
          <cell r="O1460" t="str">
            <v>EPD MK2.5</v>
          </cell>
          <cell r="P1460" t="str">
            <v>00288078</v>
          </cell>
          <cell r="Q1460" t="str">
            <v>Not Applicable</v>
          </cell>
          <cell r="R1460" t="str">
            <v>Thermo Fisher Scientific</v>
          </cell>
          <cell r="S1460" t="str">
            <v>Delta Advantech (M) Sdn Bhd</v>
          </cell>
          <cell r="T1460" t="str">
            <v>Functioning</v>
          </cell>
          <cell r="U1460" t="str">
            <v>Asset</v>
          </cell>
          <cell r="V1460">
            <v>4370</v>
          </cell>
          <cell r="W1460" t="str">
            <v>KEW</v>
          </cell>
          <cell r="X1460" t="str">
            <v>01/09/2010</v>
          </cell>
          <cell r="Y1460" t="str">
            <v>KEW</v>
          </cell>
          <cell r="Z1460" t="str">
            <v>16/08/2013</v>
          </cell>
          <cell r="AA1460" t="str">
            <v>15/08/2015</v>
          </cell>
          <cell r="AB1460" t="str">
            <v>No</v>
          </cell>
          <cell r="AC1460" t="str">
            <v>31/08/2013</v>
          </cell>
          <cell r="AD1460" t="str">
            <v>Good</v>
          </cell>
          <cell r="AE1460" t="str">
            <v>V1 - Existing / No Claim</v>
          </cell>
          <cell r="AF1460">
            <v>42235</v>
          </cell>
          <cell r="AG1460">
            <v>9.17</v>
          </cell>
          <cell r="AH1460" t="str">
            <v>PPM</v>
          </cell>
          <cell r="AI1460" t="str">
            <v>Strands</v>
          </cell>
          <cell r="AJ1460" t="str">
            <v>Strands PW</v>
          </cell>
        </row>
        <row r="1461">
          <cell r="A1461" t="str">
            <v>IKN401172</v>
          </cell>
          <cell r="B1461">
            <v>1170</v>
          </cell>
          <cell r="C1461" t="str">
            <v>Institut Kanser Negara</v>
          </cell>
          <cell r="D1461" t="e">
            <v>#N/A</v>
          </cell>
          <cell r="E1461" t="str">
            <v>11-295</v>
          </cell>
          <cell r="F1461" t="str">
            <v>Dosimeters, Radiation</v>
          </cell>
          <cell r="G1461" t="str">
            <v>RT</v>
          </cell>
          <cell r="H1461" t="str">
            <v>RADIATION TREATMENT UNIT</v>
          </cell>
          <cell r="I1461" t="str">
            <v>01RT213</v>
          </cell>
          <cell r="J1461" t="str">
            <v>EQUIPMENT ROOM1</v>
          </cell>
          <cell r="K1461" t="str">
            <v>BMED</v>
          </cell>
          <cell r="L1461" t="str">
            <v>Normal</v>
          </cell>
          <cell r="M1461" t="str">
            <v>Germany</v>
          </cell>
          <cell r="N1461" t="str">
            <v>Thermo Fisher</v>
          </cell>
          <cell r="O1461" t="str">
            <v>EPD MK2.5</v>
          </cell>
          <cell r="P1461" t="str">
            <v>00288079</v>
          </cell>
          <cell r="Q1461" t="str">
            <v>Not Applicable</v>
          </cell>
          <cell r="R1461" t="str">
            <v>Thermo Fisher Scientific</v>
          </cell>
          <cell r="S1461" t="str">
            <v>Delta Advantech (M) Sdn Bhd</v>
          </cell>
          <cell r="T1461" t="str">
            <v>Functioning</v>
          </cell>
          <cell r="U1461" t="str">
            <v>Asset</v>
          </cell>
          <cell r="V1461">
            <v>4370</v>
          </cell>
          <cell r="W1461" t="str">
            <v>KEW</v>
          </cell>
          <cell r="X1461" t="str">
            <v>01/09/2010</v>
          </cell>
          <cell r="Y1461" t="str">
            <v>KEW</v>
          </cell>
          <cell r="Z1461" t="str">
            <v>16/08/2013</v>
          </cell>
          <cell r="AA1461" t="str">
            <v>15/08/2015</v>
          </cell>
          <cell r="AB1461" t="str">
            <v>No</v>
          </cell>
          <cell r="AC1461" t="str">
            <v>31/08/2013</v>
          </cell>
          <cell r="AD1461" t="str">
            <v>Good</v>
          </cell>
          <cell r="AE1461" t="str">
            <v>V1 - Existing / No Claim</v>
          </cell>
          <cell r="AF1461">
            <v>42235</v>
          </cell>
          <cell r="AG1461">
            <v>9.17</v>
          </cell>
          <cell r="AH1461" t="str">
            <v>PPM</v>
          </cell>
          <cell r="AI1461" t="str">
            <v>package</v>
          </cell>
        </row>
        <row r="1462">
          <cell r="A1462" t="str">
            <v>IKN401173</v>
          </cell>
          <cell r="B1462">
            <v>1171</v>
          </cell>
          <cell r="C1462" t="str">
            <v>Institut Kanser Negara</v>
          </cell>
          <cell r="D1462" t="str">
            <v>KKM/IKN/H/13/4565</v>
          </cell>
          <cell r="E1462" t="str">
            <v>13-961</v>
          </cell>
          <cell r="F1462" t="str">
            <v>Tables, Operating</v>
          </cell>
          <cell r="G1462" t="str">
            <v>RT</v>
          </cell>
          <cell r="H1462" t="str">
            <v>RADIATION TREATMENT UNIT</v>
          </cell>
          <cell r="I1462" t="str">
            <v>01RT278</v>
          </cell>
          <cell r="J1462" t="str">
            <v>BRACHY OT 2</v>
          </cell>
          <cell r="K1462" t="str">
            <v>BMED</v>
          </cell>
          <cell r="L1462" t="str">
            <v>Normal</v>
          </cell>
          <cell r="M1462" t="str">
            <v>UK</v>
          </cell>
          <cell r="N1462" t="str">
            <v>Eschmann</v>
          </cell>
          <cell r="O1462" t="str">
            <v>Eschmann T20-a+</v>
          </cell>
          <cell r="P1462" t="str">
            <v>T2AD-2A-3365</v>
          </cell>
          <cell r="Q1462" t="str">
            <v>Not Applicable</v>
          </cell>
          <cell r="R1462" t="str">
            <v>Eschmann Holding Limited</v>
          </cell>
          <cell r="S1462" t="str">
            <v>Antah Sir Radin Sdn. Bhd.</v>
          </cell>
          <cell r="T1462" t="str">
            <v>Functioning</v>
          </cell>
          <cell r="U1462" t="str">
            <v>Asset</v>
          </cell>
          <cell r="V1462">
            <v>240330</v>
          </cell>
          <cell r="W1462" t="str">
            <v>KEW</v>
          </cell>
          <cell r="X1462" t="str">
            <v>01/09/2010</v>
          </cell>
          <cell r="Y1462" t="str">
            <v>KEW</v>
          </cell>
          <cell r="Z1462" t="str">
            <v>16/08/2013</v>
          </cell>
          <cell r="AA1462" t="str">
            <v>15/08/2015</v>
          </cell>
          <cell r="AB1462" t="str">
            <v>No</v>
          </cell>
          <cell r="AC1462" t="str">
            <v>31/08/2013</v>
          </cell>
          <cell r="AD1462" t="str">
            <v>Good</v>
          </cell>
          <cell r="AE1462" t="str">
            <v>V1 - Existing / No Claim</v>
          </cell>
          <cell r="AF1462">
            <v>42235</v>
          </cell>
          <cell r="AG1462">
            <v>9.17</v>
          </cell>
          <cell r="AH1462" t="str">
            <v>PPM</v>
          </cell>
          <cell r="AI1462" t="str">
            <v>Strands</v>
          </cell>
          <cell r="AJ1462" t="str">
            <v>Strands PW</v>
          </cell>
        </row>
        <row r="1463">
          <cell r="A1463" t="str">
            <v>IKN401174</v>
          </cell>
          <cell r="B1463">
            <v>1172</v>
          </cell>
          <cell r="C1463" t="str">
            <v>Institut Kanser Negara</v>
          </cell>
          <cell r="D1463" t="str">
            <v>KKM/IKN/H/13/1185</v>
          </cell>
          <cell r="E1463" t="str">
            <v>11-295</v>
          </cell>
          <cell r="F1463" t="str">
            <v>Dosimeters, Radiation</v>
          </cell>
          <cell r="G1463" t="str">
            <v>RT</v>
          </cell>
          <cell r="H1463" t="str">
            <v>RADIATION TREATMENT UNIT</v>
          </cell>
          <cell r="I1463" t="str">
            <v>01RT213</v>
          </cell>
          <cell r="J1463" t="str">
            <v>EQUIPMENT ROOM1</v>
          </cell>
          <cell r="K1463" t="str">
            <v>BMED</v>
          </cell>
          <cell r="L1463" t="str">
            <v>Normal</v>
          </cell>
          <cell r="M1463" t="str">
            <v>Germany</v>
          </cell>
          <cell r="N1463" t="str">
            <v>Thermo Fisher</v>
          </cell>
          <cell r="O1463" t="str">
            <v>EPD MK2.5</v>
          </cell>
          <cell r="P1463" t="str">
            <v>00288081</v>
          </cell>
          <cell r="Q1463" t="str">
            <v>Not Applicable</v>
          </cell>
          <cell r="R1463" t="str">
            <v>Thermo Fisher Scientific</v>
          </cell>
          <cell r="S1463" t="str">
            <v>Delta Advantech (M) Sdn Bhd</v>
          </cell>
          <cell r="T1463" t="str">
            <v>Functioning</v>
          </cell>
          <cell r="U1463" t="str">
            <v>Asset</v>
          </cell>
          <cell r="V1463">
            <v>4370</v>
          </cell>
          <cell r="W1463" t="str">
            <v>KEW</v>
          </cell>
          <cell r="X1463" t="str">
            <v>01/09/2010</v>
          </cell>
          <cell r="Y1463" t="str">
            <v>KEW</v>
          </cell>
          <cell r="Z1463" t="str">
            <v>16/08/2013</v>
          </cell>
          <cell r="AA1463" t="str">
            <v>15/08/2015</v>
          </cell>
          <cell r="AB1463" t="str">
            <v>No</v>
          </cell>
          <cell r="AC1463" t="str">
            <v>31/08/2013</v>
          </cell>
          <cell r="AD1463" t="str">
            <v>Good</v>
          </cell>
          <cell r="AE1463" t="str">
            <v>V1 - Existing / No Claim</v>
          </cell>
          <cell r="AF1463">
            <v>42235</v>
          </cell>
          <cell r="AG1463">
            <v>9.17</v>
          </cell>
          <cell r="AH1463" t="str">
            <v>PPM</v>
          </cell>
          <cell r="AI1463" t="str">
            <v>Strands</v>
          </cell>
          <cell r="AJ1463" t="str">
            <v>Strands PW</v>
          </cell>
        </row>
        <row r="1464">
          <cell r="A1464" t="str">
            <v>IKN401175</v>
          </cell>
          <cell r="B1464">
            <v>1173</v>
          </cell>
          <cell r="C1464" t="str">
            <v>Institut Kanser Negara</v>
          </cell>
          <cell r="D1464" t="str">
            <v>KKM/IKN/H/13/1178</v>
          </cell>
          <cell r="E1464" t="str">
            <v>11-295</v>
          </cell>
          <cell r="F1464" t="str">
            <v>Dosimeters, Radiation</v>
          </cell>
          <cell r="G1464" t="str">
            <v>RT</v>
          </cell>
          <cell r="H1464" t="str">
            <v>RADIATION TREATMENT UNIT</v>
          </cell>
          <cell r="I1464" t="str">
            <v>01RT213</v>
          </cell>
          <cell r="J1464" t="str">
            <v>EQUIPMENT ROOM1</v>
          </cell>
          <cell r="K1464" t="str">
            <v>BMED</v>
          </cell>
          <cell r="L1464" t="str">
            <v>Normal</v>
          </cell>
          <cell r="M1464" t="str">
            <v>Germany</v>
          </cell>
          <cell r="N1464" t="str">
            <v>Thermo Fisher</v>
          </cell>
          <cell r="O1464" t="str">
            <v>EPD MK2.5</v>
          </cell>
          <cell r="P1464" t="str">
            <v>00288064</v>
          </cell>
          <cell r="Q1464" t="str">
            <v>Not Applicable</v>
          </cell>
          <cell r="R1464" t="str">
            <v>Thermo Fisher Scientific</v>
          </cell>
          <cell r="S1464" t="str">
            <v>Delta Advantech (M) Sdn Bhd</v>
          </cell>
          <cell r="T1464" t="str">
            <v>Functioning</v>
          </cell>
          <cell r="U1464" t="str">
            <v>Asset</v>
          </cell>
          <cell r="V1464">
            <v>4370</v>
          </cell>
          <cell r="W1464" t="str">
            <v>KEW</v>
          </cell>
          <cell r="X1464" t="str">
            <v>01/09/2010</v>
          </cell>
          <cell r="Y1464" t="str">
            <v>KEW</v>
          </cell>
          <cell r="Z1464" t="str">
            <v>16/08/2013</v>
          </cell>
          <cell r="AA1464" t="str">
            <v>15/08/2015</v>
          </cell>
          <cell r="AB1464" t="str">
            <v>No</v>
          </cell>
          <cell r="AC1464" t="str">
            <v>31/08/2013</v>
          </cell>
          <cell r="AD1464" t="str">
            <v>Good</v>
          </cell>
          <cell r="AE1464" t="str">
            <v>V1 - Existing / No Claim</v>
          </cell>
          <cell r="AF1464">
            <v>42235</v>
          </cell>
          <cell r="AG1464">
            <v>9.17</v>
          </cell>
          <cell r="AH1464" t="str">
            <v>PPM</v>
          </cell>
          <cell r="AI1464" t="str">
            <v>Strands</v>
          </cell>
          <cell r="AJ1464" t="str">
            <v>Strands PW</v>
          </cell>
        </row>
        <row r="1465">
          <cell r="A1465" t="str">
            <v>IKN401176</v>
          </cell>
          <cell r="B1465">
            <v>1174</v>
          </cell>
          <cell r="C1465" t="str">
            <v>Institut Kanser Negara</v>
          </cell>
          <cell r="D1465" t="str">
            <v>KKM/IKN/H/13/1181</v>
          </cell>
          <cell r="E1465" t="str">
            <v>11-295</v>
          </cell>
          <cell r="F1465" t="str">
            <v>Dosimeters, Radiation</v>
          </cell>
          <cell r="G1465" t="str">
            <v>RT</v>
          </cell>
          <cell r="H1465" t="str">
            <v>RADIATION TREATMENT UNIT</v>
          </cell>
          <cell r="I1465" t="str">
            <v>01RT213</v>
          </cell>
          <cell r="J1465" t="str">
            <v>EQUIPMENT ROOM1</v>
          </cell>
          <cell r="K1465" t="str">
            <v>BMED</v>
          </cell>
          <cell r="L1465" t="str">
            <v>Normal</v>
          </cell>
          <cell r="M1465" t="str">
            <v>Germany</v>
          </cell>
          <cell r="N1465" t="str">
            <v>Thermo Fisher</v>
          </cell>
          <cell r="O1465" t="str">
            <v>EPD MK2.5</v>
          </cell>
          <cell r="P1465" t="str">
            <v>00288068</v>
          </cell>
          <cell r="Q1465" t="str">
            <v>Not Applicable</v>
          </cell>
          <cell r="R1465" t="str">
            <v>Thermo Fisher Scientific</v>
          </cell>
          <cell r="S1465" t="str">
            <v>Delta Advantech (M) Sdn Bhd</v>
          </cell>
          <cell r="T1465" t="str">
            <v>Functioning</v>
          </cell>
          <cell r="U1465" t="str">
            <v>Asset</v>
          </cell>
          <cell r="V1465">
            <v>4370</v>
          </cell>
          <cell r="W1465" t="str">
            <v>KEW</v>
          </cell>
          <cell r="X1465" t="str">
            <v>01/09/2010</v>
          </cell>
          <cell r="Y1465" t="str">
            <v>KEW</v>
          </cell>
          <cell r="Z1465" t="str">
            <v>16/08/2013</v>
          </cell>
          <cell r="AA1465" t="str">
            <v>15/08/2015</v>
          </cell>
          <cell r="AB1465" t="str">
            <v>No</v>
          </cell>
          <cell r="AC1465" t="str">
            <v>31/08/2013</v>
          </cell>
          <cell r="AD1465" t="str">
            <v>Good</v>
          </cell>
          <cell r="AE1465" t="str">
            <v>V1 - Existing / No Claim</v>
          </cell>
          <cell r="AF1465">
            <v>42235</v>
          </cell>
          <cell r="AG1465">
            <v>9.17</v>
          </cell>
          <cell r="AH1465" t="str">
            <v>PPM</v>
          </cell>
          <cell r="AI1465" t="str">
            <v>Strands</v>
          </cell>
          <cell r="AJ1465" t="str">
            <v>Strands PW</v>
          </cell>
        </row>
        <row r="1466">
          <cell r="A1466" t="str">
            <v>IKN401177</v>
          </cell>
          <cell r="B1466">
            <v>1175</v>
          </cell>
          <cell r="C1466" t="str">
            <v>Institut Kanser Negara</v>
          </cell>
          <cell r="D1466" t="str">
            <v>KKM/IKN/H/13/1184</v>
          </cell>
          <cell r="E1466" t="str">
            <v>11-295</v>
          </cell>
          <cell r="F1466" t="str">
            <v>Dosimeters, Radiation</v>
          </cell>
          <cell r="G1466" t="str">
            <v>RT</v>
          </cell>
          <cell r="H1466" t="str">
            <v>RADIATION TREATMENT UNIT</v>
          </cell>
          <cell r="I1466" t="str">
            <v>01RT213</v>
          </cell>
          <cell r="J1466" t="str">
            <v>EQUIPMENT ROOM1</v>
          </cell>
          <cell r="K1466" t="str">
            <v>BMED</v>
          </cell>
          <cell r="L1466" t="str">
            <v>Normal</v>
          </cell>
          <cell r="M1466" t="str">
            <v>Germany</v>
          </cell>
          <cell r="N1466" t="str">
            <v>Thermo Fisher</v>
          </cell>
          <cell r="O1466" t="str">
            <v>EPD MK2.5</v>
          </cell>
          <cell r="P1466" t="str">
            <v>00288077</v>
          </cell>
          <cell r="Q1466" t="str">
            <v>Not Applicable</v>
          </cell>
          <cell r="R1466" t="str">
            <v>Thermo Fisher Scientific</v>
          </cell>
          <cell r="S1466" t="str">
            <v>Delta Advantech (M) Sdn Bhd</v>
          </cell>
          <cell r="T1466" t="str">
            <v>Functioning</v>
          </cell>
          <cell r="U1466" t="str">
            <v>Asset</v>
          </cell>
          <cell r="V1466">
            <v>4370</v>
          </cell>
          <cell r="W1466" t="str">
            <v>KEW</v>
          </cell>
          <cell r="X1466" t="str">
            <v>01/09/2010</v>
          </cell>
          <cell r="Y1466" t="str">
            <v>KEW</v>
          </cell>
          <cell r="Z1466" t="str">
            <v>16/08/2013</v>
          </cell>
          <cell r="AA1466" t="str">
            <v>15/08/2015</v>
          </cell>
          <cell r="AB1466" t="str">
            <v>No</v>
          </cell>
          <cell r="AC1466" t="str">
            <v>31/08/2013</v>
          </cell>
          <cell r="AD1466" t="str">
            <v>Good</v>
          </cell>
          <cell r="AE1466" t="str">
            <v>V1 - Existing / No Claim</v>
          </cell>
          <cell r="AF1466">
            <v>42235</v>
          </cell>
          <cell r="AG1466">
            <v>9.17</v>
          </cell>
          <cell r="AH1466" t="str">
            <v>PPM</v>
          </cell>
          <cell r="AI1466" t="str">
            <v>Strands</v>
          </cell>
          <cell r="AJ1466" t="str">
            <v>Strands PW</v>
          </cell>
        </row>
        <row r="1467">
          <cell r="A1467" t="str">
            <v>IKN401178</v>
          </cell>
          <cell r="B1467">
            <v>1176</v>
          </cell>
          <cell r="C1467" t="str">
            <v>Institut Kanser Negara</v>
          </cell>
          <cell r="E1467" t="str">
            <v>11-295</v>
          </cell>
          <cell r="F1467" t="str">
            <v>Dosimeters, Radiation</v>
          </cell>
          <cell r="G1467" t="str">
            <v>RT</v>
          </cell>
          <cell r="H1467" t="str">
            <v>RADIATION TREATMENT UNIT</v>
          </cell>
          <cell r="I1467" t="str">
            <v>01RT213</v>
          </cell>
          <cell r="J1467" t="str">
            <v>EQUIPMENT ROOM1</v>
          </cell>
          <cell r="K1467" t="str">
            <v>BMED</v>
          </cell>
          <cell r="L1467" t="str">
            <v>Normal</v>
          </cell>
          <cell r="M1467" t="str">
            <v>Germany</v>
          </cell>
          <cell r="N1467" t="str">
            <v>Thermo Fisher</v>
          </cell>
          <cell r="O1467" t="str">
            <v>EPD MK2.5</v>
          </cell>
          <cell r="P1467" t="str">
            <v>00288083</v>
          </cell>
          <cell r="Q1467" t="str">
            <v>Not Applicable</v>
          </cell>
          <cell r="R1467" t="str">
            <v>Thermo Fisher Scientific</v>
          </cell>
          <cell r="S1467" t="str">
            <v>Delta Advantech (M) Sdn Bhd</v>
          </cell>
          <cell r="T1467" t="str">
            <v>Functioning</v>
          </cell>
          <cell r="U1467" t="str">
            <v>Asset</v>
          </cell>
          <cell r="V1467">
            <v>4370</v>
          </cell>
          <cell r="W1467" t="str">
            <v>KEW</v>
          </cell>
          <cell r="X1467" t="str">
            <v>01/09/2010</v>
          </cell>
          <cell r="Y1467" t="str">
            <v>KEW</v>
          </cell>
          <cell r="Z1467" t="str">
            <v>16/08/2013</v>
          </cell>
          <cell r="AA1467" t="str">
            <v>15/08/2015</v>
          </cell>
          <cell r="AB1467" t="str">
            <v>No</v>
          </cell>
          <cell r="AC1467" t="str">
            <v>31/08/2013</v>
          </cell>
          <cell r="AD1467" t="str">
            <v>Good</v>
          </cell>
          <cell r="AE1467" t="str">
            <v>V1 - Existing / No Claim</v>
          </cell>
          <cell r="AF1467">
            <v>42235</v>
          </cell>
          <cell r="AG1467">
            <v>9.17</v>
          </cell>
          <cell r="AH1467" t="str">
            <v>PPM</v>
          </cell>
          <cell r="AI1467" t="str">
            <v>package</v>
          </cell>
          <cell r="AJ1467" t="str">
            <v>Not in contract</v>
          </cell>
        </row>
        <row r="1468">
          <cell r="A1468" t="str">
            <v>IKN401179</v>
          </cell>
          <cell r="B1468">
            <v>1177</v>
          </cell>
          <cell r="C1468" t="str">
            <v>Institut Kanser Negara</v>
          </cell>
          <cell r="E1468" t="str">
            <v>11-295</v>
          </cell>
          <cell r="F1468" t="str">
            <v>Dosimeters, Radiation</v>
          </cell>
          <cell r="G1468" t="str">
            <v>RT</v>
          </cell>
          <cell r="H1468" t="str">
            <v>RADIATION TREATMENT UNIT</v>
          </cell>
          <cell r="I1468" t="str">
            <v>01RT213</v>
          </cell>
          <cell r="J1468" t="str">
            <v>EQUIPMENT ROOM1</v>
          </cell>
          <cell r="K1468" t="str">
            <v>BMED</v>
          </cell>
          <cell r="L1468" t="str">
            <v>Normal</v>
          </cell>
          <cell r="M1468" t="str">
            <v>Germany</v>
          </cell>
          <cell r="N1468" t="str">
            <v>Thermo Fisher</v>
          </cell>
          <cell r="O1468" t="str">
            <v>EPD MK2.5</v>
          </cell>
          <cell r="P1468" t="str">
            <v>00289453</v>
          </cell>
          <cell r="Q1468" t="str">
            <v>Not Applicable</v>
          </cell>
          <cell r="R1468" t="str">
            <v>Thermo Fisher Scientific</v>
          </cell>
          <cell r="S1468" t="str">
            <v>Delta Advantech (M) Sdn Bhd</v>
          </cell>
          <cell r="T1468" t="str">
            <v>Functioning</v>
          </cell>
          <cell r="U1468" t="str">
            <v>Asset</v>
          </cell>
          <cell r="V1468">
            <v>4370</v>
          </cell>
          <cell r="W1468" t="str">
            <v>KEW</v>
          </cell>
          <cell r="X1468" t="str">
            <v>01/09/2010</v>
          </cell>
          <cell r="Y1468" t="str">
            <v>KEW</v>
          </cell>
          <cell r="Z1468" t="str">
            <v>16/08/2013</v>
          </cell>
          <cell r="AA1468" t="str">
            <v>15/08/2015</v>
          </cell>
          <cell r="AB1468" t="str">
            <v>No</v>
          </cell>
          <cell r="AC1468" t="str">
            <v>31/08/2013</v>
          </cell>
          <cell r="AD1468" t="str">
            <v>Good</v>
          </cell>
          <cell r="AE1468" t="str">
            <v>V1 - Existing / No Claim</v>
          </cell>
          <cell r="AF1468">
            <v>42235</v>
          </cell>
          <cell r="AG1468">
            <v>9.17</v>
          </cell>
          <cell r="AH1468" t="str">
            <v>PPM</v>
          </cell>
          <cell r="AI1468" t="str">
            <v>package</v>
          </cell>
          <cell r="AJ1468" t="str">
            <v>Not in contract</v>
          </cell>
          <cell r="AK1468" t="str">
            <v>Asset not found since 2019. Asset found 2023.</v>
          </cell>
        </row>
        <row r="1469">
          <cell r="A1469" t="str">
            <v>IKN401180</v>
          </cell>
          <cell r="B1469">
            <v>1178</v>
          </cell>
          <cell r="C1469" t="str">
            <v>Institut Kanser Negara</v>
          </cell>
          <cell r="D1469" t="str">
            <v>KKM/IKN/H/13/1183</v>
          </cell>
          <cell r="E1469" t="str">
            <v>11-295</v>
          </cell>
          <cell r="F1469" t="str">
            <v>Dosimeters, Radiation</v>
          </cell>
          <cell r="G1469" t="str">
            <v>RT</v>
          </cell>
          <cell r="H1469" t="str">
            <v>RADIATION TREATMENT UNIT</v>
          </cell>
          <cell r="I1469" t="str">
            <v>01RT213</v>
          </cell>
          <cell r="J1469" t="str">
            <v>EQUIPMENT ROOM1</v>
          </cell>
          <cell r="K1469" t="str">
            <v>BMED</v>
          </cell>
          <cell r="L1469" t="str">
            <v>Normal</v>
          </cell>
          <cell r="M1469" t="str">
            <v>Germany</v>
          </cell>
          <cell r="N1469" t="str">
            <v>Thermo Fisher</v>
          </cell>
          <cell r="O1469" t="str">
            <v>EPD MK2.5</v>
          </cell>
          <cell r="P1469" t="str">
            <v>00289457</v>
          </cell>
          <cell r="Q1469" t="str">
            <v>Not Applicable</v>
          </cell>
          <cell r="R1469" t="str">
            <v>Thermo Fisher Scientific</v>
          </cell>
          <cell r="S1469" t="str">
            <v>Delta Advantech (M) Sdn Bhd</v>
          </cell>
          <cell r="T1469" t="str">
            <v>Functioning</v>
          </cell>
          <cell r="U1469" t="str">
            <v>Asset</v>
          </cell>
          <cell r="V1469">
            <v>4370</v>
          </cell>
          <cell r="W1469" t="str">
            <v>KEW</v>
          </cell>
          <cell r="X1469" t="str">
            <v>01/09/2010</v>
          </cell>
          <cell r="Y1469" t="str">
            <v>KEW</v>
          </cell>
          <cell r="Z1469" t="str">
            <v>16/08/2013</v>
          </cell>
          <cell r="AA1469" t="str">
            <v>15/08/2015</v>
          </cell>
          <cell r="AB1469" t="str">
            <v>No</v>
          </cell>
          <cell r="AC1469" t="str">
            <v>31/08/2013</v>
          </cell>
          <cell r="AD1469" t="str">
            <v>Good</v>
          </cell>
          <cell r="AE1469" t="str">
            <v>V1 - Existing / No Claim</v>
          </cell>
          <cell r="AF1469">
            <v>42235</v>
          </cell>
          <cell r="AG1469">
            <v>9.17</v>
          </cell>
          <cell r="AH1469" t="str">
            <v>PPM</v>
          </cell>
          <cell r="AI1469" t="str">
            <v>Strands</v>
          </cell>
          <cell r="AJ1469" t="str">
            <v>Strands PW</v>
          </cell>
        </row>
        <row r="1470">
          <cell r="A1470" t="str">
            <v>IKN401181</v>
          </cell>
          <cell r="B1470">
            <v>1179</v>
          </cell>
          <cell r="C1470" t="str">
            <v>Institut Kanser Negara</v>
          </cell>
          <cell r="E1470" t="str">
            <v>11-295</v>
          </cell>
          <cell r="F1470" t="str">
            <v>Dosimeters, Radiation</v>
          </cell>
          <cell r="G1470" t="str">
            <v>RT</v>
          </cell>
          <cell r="H1470" t="str">
            <v>RADIATION TREATMENT UNIT</v>
          </cell>
          <cell r="I1470" t="str">
            <v>01RT213</v>
          </cell>
          <cell r="J1470" t="str">
            <v>EQUIPMENT ROOM1</v>
          </cell>
          <cell r="K1470" t="str">
            <v>BMED</v>
          </cell>
          <cell r="L1470" t="str">
            <v>Normal</v>
          </cell>
          <cell r="M1470" t="str">
            <v>Germany</v>
          </cell>
          <cell r="N1470" t="str">
            <v>Thermo Fisher</v>
          </cell>
          <cell r="O1470" t="str">
            <v>EPD MK2.5</v>
          </cell>
          <cell r="P1470" t="str">
            <v>00288084</v>
          </cell>
          <cell r="Q1470" t="str">
            <v>Not Applicable</v>
          </cell>
          <cell r="R1470" t="str">
            <v>Thermo Fisher Scientific</v>
          </cell>
          <cell r="S1470" t="str">
            <v>Delta Advantech (M) Sdn Bhd</v>
          </cell>
          <cell r="T1470" t="str">
            <v>Functioning</v>
          </cell>
          <cell r="U1470" t="str">
            <v>Asset</v>
          </cell>
          <cell r="V1470">
            <v>4370</v>
          </cell>
          <cell r="W1470" t="str">
            <v>KEW</v>
          </cell>
          <cell r="X1470" t="str">
            <v>01/09/2010</v>
          </cell>
          <cell r="Y1470" t="str">
            <v>KEW</v>
          </cell>
          <cell r="Z1470" t="str">
            <v>16/08/2013</v>
          </cell>
          <cell r="AA1470" t="str">
            <v>15/08/2015</v>
          </cell>
          <cell r="AB1470" t="str">
            <v>No</v>
          </cell>
          <cell r="AC1470" t="str">
            <v>31/08/2013</v>
          </cell>
          <cell r="AD1470" t="str">
            <v>Good</v>
          </cell>
          <cell r="AE1470" t="str">
            <v>V1 - Existing / No Claim</v>
          </cell>
          <cell r="AF1470">
            <v>42235</v>
          </cell>
          <cell r="AG1470">
            <v>9.17</v>
          </cell>
          <cell r="AH1470" t="str">
            <v>PPM</v>
          </cell>
          <cell r="AI1470" t="str">
            <v>package</v>
          </cell>
          <cell r="AJ1470" t="str">
            <v>Not in contract</v>
          </cell>
        </row>
        <row r="1471">
          <cell r="A1471" t="str">
            <v>IKN401182</v>
          </cell>
          <cell r="B1471">
            <v>1180</v>
          </cell>
          <cell r="C1471" t="str">
            <v>Institut Kanser Negara</v>
          </cell>
          <cell r="E1471" t="str">
            <v>11-295</v>
          </cell>
          <cell r="F1471" t="str">
            <v>Dosimeters, Radiation</v>
          </cell>
          <cell r="G1471" t="str">
            <v>RT</v>
          </cell>
          <cell r="H1471" t="str">
            <v>RADIATION TREATMENT UNIT</v>
          </cell>
          <cell r="I1471" t="str">
            <v>01RT213</v>
          </cell>
          <cell r="J1471" t="str">
            <v>EQUIPMENT ROOM1</v>
          </cell>
          <cell r="K1471" t="str">
            <v>BMED</v>
          </cell>
          <cell r="L1471" t="str">
            <v>Normal</v>
          </cell>
          <cell r="M1471" t="str">
            <v>Germany</v>
          </cell>
          <cell r="N1471" t="str">
            <v>Thermo Fisher</v>
          </cell>
          <cell r="O1471" t="str">
            <v>EPD MK2.5</v>
          </cell>
          <cell r="P1471" t="str">
            <v>00288086</v>
          </cell>
          <cell r="Q1471" t="str">
            <v>Not Applicable</v>
          </cell>
          <cell r="R1471" t="str">
            <v>Thermo Fisher Scientific</v>
          </cell>
          <cell r="S1471" t="str">
            <v>Delta Advantech (M) Sdn Bhd</v>
          </cell>
          <cell r="T1471" t="str">
            <v>Functioning</v>
          </cell>
          <cell r="U1471" t="str">
            <v>Asset</v>
          </cell>
          <cell r="V1471">
            <v>4370</v>
          </cell>
          <cell r="W1471" t="str">
            <v>KEW</v>
          </cell>
          <cell r="X1471" t="str">
            <v>01/09/2010</v>
          </cell>
          <cell r="Y1471" t="str">
            <v>KEW</v>
          </cell>
          <cell r="Z1471" t="str">
            <v>16/08/2013</v>
          </cell>
          <cell r="AA1471" t="str">
            <v>15/08/2015</v>
          </cell>
          <cell r="AB1471" t="str">
            <v>No</v>
          </cell>
          <cell r="AC1471" t="str">
            <v>31/08/2013</v>
          </cell>
          <cell r="AD1471" t="str">
            <v>Good</v>
          </cell>
          <cell r="AE1471" t="str">
            <v>V1 - Existing / No Claim</v>
          </cell>
          <cell r="AF1471">
            <v>42235</v>
          </cell>
          <cell r="AG1471">
            <v>9.17</v>
          </cell>
          <cell r="AH1471" t="str">
            <v>PPM</v>
          </cell>
          <cell r="AI1471" t="str">
            <v>package</v>
          </cell>
          <cell r="AJ1471" t="str">
            <v>Not in contract</v>
          </cell>
        </row>
        <row r="1472">
          <cell r="A1472" t="str">
            <v>IKN401183</v>
          </cell>
          <cell r="B1472">
            <v>1181</v>
          </cell>
          <cell r="C1472" t="str">
            <v>Institut Kanser Negara</v>
          </cell>
          <cell r="D1472" t="str">
            <v>KKM/IKN/H/13/1177</v>
          </cell>
          <cell r="E1472" t="str">
            <v>11-295</v>
          </cell>
          <cell r="F1472" t="str">
            <v>Dosimeters, Radiation</v>
          </cell>
          <cell r="G1472" t="str">
            <v>RT</v>
          </cell>
          <cell r="H1472" t="str">
            <v>RADIATION TREATMENT UNIT</v>
          </cell>
          <cell r="I1472" t="str">
            <v>01RT213</v>
          </cell>
          <cell r="J1472" t="str">
            <v>EQUIPMENT ROOM1</v>
          </cell>
          <cell r="K1472" t="str">
            <v>BMED</v>
          </cell>
          <cell r="L1472" t="str">
            <v>Normal</v>
          </cell>
          <cell r="M1472" t="str">
            <v>Germany</v>
          </cell>
          <cell r="N1472" t="str">
            <v>Thermo Fisher</v>
          </cell>
          <cell r="O1472" t="str">
            <v>EPD MK2.5</v>
          </cell>
          <cell r="P1472" t="str">
            <v>00289459</v>
          </cell>
          <cell r="Q1472" t="str">
            <v>Not Applicable</v>
          </cell>
          <cell r="R1472" t="str">
            <v>Thermo Fisher Scientific</v>
          </cell>
          <cell r="S1472" t="str">
            <v>Delta Advantech (M) Sdn Bhd</v>
          </cell>
          <cell r="T1472" t="str">
            <v>Functioning</v>
          </cell>
          <cell r="U1472" t="str">
            <v>Asset</v>
          </cell>
          <cell r="V1472">
            <v>4370</v>
          </cell>
          <cell r="W1472" t="str">
            <v>KEW</v>
          </cell>
          <cell r="X1472" t="str">
            <v>01/09/2010</v>
          </cell>
          <cell r="Y1472" t="str">
            <v>KEW</v>
          </cell>
          <cell r="Z1472" t="str">
            <v>16/08/2013</v>
          </cell>
          <cell r="AA1472" t="str">
            <v>15/08/2015</v>
          </cell>
          <cell r="AB1472" t="str">
            <v>No</v>
          </cell>
          <cell r="AC1472" t="str">
            <v>31/08/2013</v>
          </cell>
          <cell r="AD1472" t="str">
            <v>Good</v>
          </cell>
          <cell r="AE1472" t="str">
            <v>V1 - Existing / No Claim</v>
          </cell>
          <cell r="AF1472">
            <v>42235</v>
          </cell>
          <cell r="AG1472">
            <v>9.17</v>
          </cell>
          <cell r="AH1472" t="str">
            <v>PPM</v>
          </cell>
          <cell r="AI1472" t="str">
            <v>Strands</v>
          </cell>
          <cell r="AJ1472" t="str">
            <v>Strands PW</v>
          </cell>
        </row>
        <row r="1473">
          <cell r="A1473" t="str">
            <v>IKN401184</v>
          </cell>
          <cell r="B1473">
            <v>1182</v>
          </cell>
          <cell r="C1473" t="str">
            <v>Institut Kanser Negara</v>
          </cell>
          <cell r="D1473" t="str">
            <v>KKM/IKN/H/13/1186</v>
          </cell>
          <cell r="E1473" t="str">
            <v>11-295</v>
          </cell>
          <cell r="F1473" t="str">
            <v>Dosimeters, Radiation</v>
          </cell>
          <cell r="G1473" t="str">
            <v>NM</v>
          </cell>
          <cell r="H1473" t="str">
            <v>NUCLEAR MED (DIAGNOSTIC)</v>
          </cell>
          <cell r="I1473" t="str">
            <v>03NM170</v>
          </cell>
          <cell r="J1473" t="str">
            <v>CHIEF PHYSICIST</v>
          </cell>
          <cell r="K1473" t="str">
            <v>BMED</v>
          </cell>
          <cell r="L1473" t="str">
            <v>Normal</v>
          </cell>
          <cell r="M1473" t="str">
            <v>Germany</v>
          </cell>
          <cell r="N1473" t="str">
            <v>Thermo Fisher</v>
          </cell>
          <cell r="O1473" t="str">
            <v>EPD MK2.5</v>
          </cell>
          <cell r="P1473" t="str">
            <v>00288070</v>
          </cell>
          <cell r="Q1473" t="str">
            <v>Not Applicable</v>
          </cell>
          <cell r="R1473" t="str">
            <v>Thermo Fisher Scientific</v>
          </cell>
          <cell r="S1473" t="str">
            <v>Delta Advantech (M) Sdn Bhd</v>
          </cell>
          <cell r="T1473" t="str">
            <v>Functioning</v>
          </cell>
          <cell r="U1473" t="str">
            <v>Asset</v>
          </cell>
          <cell r="V1473">
            <v>4370</v>
          </cell>
          <cell r="W1473" t="str">
            <v>KEW</v>
          </cell>
          <cell r="X1473" t="str">
            <v>01/09/2010</v>
          </cell>
          <cell r="Y1473" t="str">
            <v>KEW</v>
          </cell>
          <cell r="Z1473" t="str">
            <v>16/08/2013</v>
          </cell>
          <cell r="AA1473" t="str">
            <v>15/08/2015</v>
          </cell>
          <cell r="AB1473" t="str">
            <v>No</v>
          </cell>
          <cell r="AC1473" t="str">
            <v>31/08/2013</v>
          </cell>
          <cell r="AD1473" t="str">
            <v>Good</v>
          </cell>
          <cell r="AE1473" t="str">
            <v>V1 - Existing / No Claim</v>
          </cell>
          <cell r="AF1473">
            <v>42235</v>
          </cell>
          <cell r="AG1473">
            <v>9.17</v>
          </cell>
          <cell r="AH1473" t="str">
            <v>PPM</v>
          </cell>
          <cell r="AI1473" t="str">
            <v>Strands</v>
          </cell>
          <cell r="AJ1473" t="str">
            <v>Strands PW</v>
          </cell>
        </row>
        <row r="1474">
          <cell r="A1474" t="str">
            <v>IKN401185</v>
          </cell>
          <cell r="B1474">
            <v>1183</v>
          </cell>
          <cell r="C1474" t="str">
            <v>Institut Kanser Negara</v>
          </cell>
          <cell r="D1474" t="str">
            <v>KKM/IKN/H/13/3210</v>
          </cell>
          <cell r="E1474" t="str">
            <v>11-295</v>
          </cell>
          <cell r="F1474" t="str">
            <v>Dosimeters, Radiation</v>
          </cell>
          <cell r="G1474" t="str">
            <v>NM</v>
          </cell>
          <cell r="H1474" t="str">
            <v>NUCLEAR MED (DIAGNOSTIC)</v>
          </cell>
          <cell r="I1474" t="str">
            <v>03NM170</v>
          </cell>
          <cell r="J1474" t="str">
            <v>CHIEF PHYSICIST</v>
          </cell>
          <cell r="K1474" t="str">
            <v>BMED</v>
          </cell>
          <cell r="L1474" t="str">
            <v>Normal</v>
          </cell>
          <cell r="M1474" t="str">
            <v>Germany</v>
          </cell>
          <cell r="N1474" t="str">
            <v>Thermo Fisher</v>
          </cell>
          <cell r="O1474" t="str">
            <v>EPD MK2.5</v>
          </cell>
          <cell r="P1474" t="str">
            <v>00288071</v>
          </cell>
          <cell r="Q1474" t="str">
            <v>Not Applicable</v>
          </cell>
          <cell r="R1474" t="str">
            <v>Thermo Fisher Scientific</v>
          </cell>
          <cell r="S1474" t="str">
            <v>Delta Advantech (M) Sdn Bhd</v>
          </cell>
          <cell r="T1474" t="str">
            <v>Functioning</v>
          </cell>
          <cell r="U1474" t="str">
            <v>Asset</v>
          </cell>
          <cell r="V1474">
            <v>4370</v>
          </cell>
          <cell r="W1474" t="str">
            <v>KEW</v>
          </cell>
          <cell r="X1474" t="str">
            <v>01/09/2010</v>
          </cell>
          <cell r="Y1474" t="str">
            <v>KEW</v>
          </cell>
          <cell r="Z1474" t="str">
            <v>16/08/2013</v>
          </cell>
          <cell r="AA1474" t="str">
            <v>15/08/2015</v>
          </cell>
          <cell r="AB1474" t="str">
            <v>No</v>
          </cell>
          <cell r="AC1474" t="str">
            <v>31/08/2013</v>
          </cell>
          <cell r="AD1474" t="str">
            <v>Good</v>
          </cell>
          <cell r="AE1474" t="str">
            <v>V1 - Existing / No Claim</v>
          </cell>
          <cell r="AF1474">
            <v>42235</v>
          </cell>
          <cell r="AG1474">
            <v>9.17</v>
          </cell>
          <cell r="AH1474" t="str">
            <v>PPM</v>
          </cell>
          <cell r="AI1474" t="str">
            <v>Strands</v>
          </cell>
          <cell r="AJ1474" t="str">
            <v>Strands PW</v>
          </cell>
        </row>
        <row r="1475">
          <cell r="A1475" t="str">
            <v>IKN401186</v>
          </cell>
          <cell r="B1475">
            <v>1184</v>
          </cell>
          <cell r="C1475" t="str">
            <v>Institut Kanser Negara</v>
          </cell>
          <cell r="D1475" t="str">
            <v>KKM/IKN/H/13/3211</v>
          </cell>
          <cell r="E1475" t="str">
            <v>11-295</v>
          </cell>
          <cell r="F1475" t="str">
            <v>Dosimeters, Radiation</v>
          </cell>
          <cell r="G1475" t="str">
            <v>NM</v>
          </cell>
          <cell r="H1475" t="str">
            <v>NUCLEAR MED (DIAGNOSTIC)</v>
          </cell>
          <cell r="I1475" t="str">
            <v>03NM170</v>
          </cell>
          <cell r="J1475" t="str">
            <v>CHIEF PHYSICIST</v>
          </cell>
          <cell r="K1475" t="str">
            <v>BMED</v>
          </cell>
          <cell r="L1475" t="str">
            <v>Normal</v>
          </cell>
          <cell r="M1475" t="str">
            <v>Germany</v>
          </cell>
          <cell r="N1475" t="str">
            <v>Thermo Fisher</v>
          </cell>
          <cell r="O1475" t="str">
            <v>EPD MK2.5</v>
          </cell>
          <cell r="P1475" t="str">
            <v>00288072</v>
          </cell>
          <cell r="Q1475" t="str">
            <v>Not Applicable</v>
          </cell>
          <cell r="R1475" t="str">
            <v>Thermo Fisher Scientific</v>
          </cell>
          <cell r="S1475" t="str">
            <v>Delta Advantech (M) Sdn Bhd</v>
          </cell>
          <cell r="T1475" t="str">
            <v>Functioning</v>
          </cell>
          <cell r="U1475" t="str">
            <v>Asset</v>
          </cell>
          <cell r="V1475">
            <v>4370</v>
          </cell>
          <cell r="W1475" t="str">
            <v>KEW</v>
          </cell>
          <cell r="X1475" t="str">
            <v>01/09/2010</v>
          </cell>
          <cell r="Y1475" t="str">
            <v>KEW</v>
          </cell>
          <cell r="Z1475" t="str">
            <v>16/08/2013</v>
          </cell>
          <cell r="AA1475" t="str">
            <v>15/08/2015</v>
          </cell>
          <cell r="AB1475" t="str">
            <v>No</v>
          </cell>
          <cell r="AC1475" t="str">
            <v>31/08/2013</v>
          </cell>
          <cell r="AD1475" t="str">
            <v>Good</v>
          </cell>
          <cell r="AE1475" t="str">
            <v>V1 - Existing / No Claim</v>
          </cell>
          <cell r="AF1475">
            <v>42235</v>
          </cell>
          <cell r="AG1475">
            <v>9.17</v>
          </cell>
          <cell r="AH1475" t="str">
            <v>PPM</v>
          </cell>
          <cell r="AI1475" t="str">
            <v>Strands</v>
          </cell>
          <cell r="AJ1475" t="str">
            <v>Strands PW</v>
          </cell>
        </row>
        <row r="1476">
          <cell r="A1476" t="str">
            <v>IKN401187</v>
          </cell>
          <cell r="B1476">
            <v>1185</v>
          </cell>
          <cell r="C1476" t="str">
            <v>Institut Kanser Negara</v>
          </cell>
          <cell r="D1476" t="str">
            <v>KKM/IKN/H/13/3214</v>
          </cell>
          <cell r="E1476" t="str">
            <v>11-295</v>
          </cell>
          <cell r="F1476" t="str">
            <v>Dosimeters, Radiation</v>
          </cell>
          <cell r="G1476" t="str">
            <v>NM</v>
          </cell>
          <cell r="H1476" t="str">
            <v>NUCLEAR MED (DIAGNOSTIC)</v>
          </cell>
          <cell r="I1476" t="str">
            <v>03NM170</v>
          </cell>
          <cell r="J1476" t="str">
            <v>CHIEF PHYSICIST</v>
          </cell>
          <cell r="K1476" t="str">
            <v>BMED</v>
          </cell>
          <cell r="L1476" t="str">
            <v>Normal</v>
          </cell>
          <cell r="M1476" t="str">
            <v>Germany</v>
          </cell>
          <cell r="N1476" t="str">
            <v>Thermo Fisher</v>
          </cell>
          <cell r="O1476" t="str">
            <v>EPD MK2.5</v>
          </cell>
          <cell r="P1476" t="str">
            <v>00288073</v>
          </cell>
          <cell r="Q1476" t="str">
            <v>Not Applicable</v>
          </cell>
          <cell r="R1476" t="str">
            <v>Thermo Fisher Scientific</v>
          </cell>
          <cell r="S1476" t="str">
            <v>Delta Advantech (M) Sdn Bhd</v>
          </cell>
          <cell r="T1476" t="str">
            <v>Functioning</v>
          </cell>
          <cell r="U1476" t="str">
            <v>Asset</v>
          </cell>
          <cell r="V1476">
            <v>4370</v>
          </cell>
          <cell r="W1476" t="str">
            <v>KEW</v>
          </cell>
          <cell r="X1476" t="str">
            <v>01/09/2010</v>
          </cell>
          <cell r="Y1476" t="str">
            <v>KEW</v>
          </cell>
          <cell r="Z1476" t="str">
            <v>16/08/2013</v>
          </cell>
          <cell r="AA1476" t="str">
            <v>15/08/2015</v>
          </cell>
          <cell r="AB1476" t="str">
            <v>No</v>
          </cell>
          <cell r="AC1476" t="str">
            <v>31/08/2013</v>
          </cell>
          <cell r="AD1476" t="str">
            <v>Good</v>
          </cell>
          <cell r="AE1476" t="str">
            <v>V1 - Existing / No Claim</v>
          </cell>
          <cell r="AF1476">
            <v>42235</v>
          </cell>
          <cell r="AG1476">
            <v>9.17</v>
          </cell>
          <cell r="AH1476" t="str">
            <v>PPM</v>
          </cell>
          <cell r="AI1476" t="str">
            <v>Strands</v>
          </cell>
          <cell r="AJ1476" t="str">
            <v>Strands PW</v>
          </cell>
        </row>
        <row r="1477">
          <cell r="A1477" t="str">
            <v>IKN401188</v>
          </cell>
          <cell r="B1477">
            <v>1186</v>
          </cell>
          <cell r="C1477" t="str">
            <v>Institut Kanser Negara</v>
          </cell>
          <cell r="D1477" t="str">
            <v>KKM/IKN/H/13/3129</v>
          </cell>
          <cell r="E1477" t="str">
            <v>11-295</v>
          </cell>
          <cell r="F1477" t="str">
            <v>Dosimeters, Radiation</v>
          </cell>
          <cell r="G1477" t="str">
            <v>NM</v>
          </cell>
          <cell r="H1477" t="str">
            <v>NUCLEAR MED (DIAGNOSTIC)</v>
          </cell>
          <cell r="I1477" t="str">
            <v>03NM170</v>
          </cell>
          <cell r="J1477" t="str">
            <v>CHIEF PHYSICIST</v>
          </cell>
          <cell r="K1477" t="str">
            <v>BMED</v>
          </cell>
          <cell r="L1477" t="str">
            <v>Normal</v>
          </cell>
          <cell r="M1477" t="str">
            <v>Germany</v>
          </cell>
          <cell r="N1477" t="str">
            <v>Thermo Fisher</v>
          </cell>
          <cell r="O1477" t="str">
            <v>EPD MK2.5</v>
          </cell>
          <cell r="P1477" t="str">
            <v>00288074</v>
          </cell>
          <cell r="Q1477" t="str">
            <v>Not Applicable</v>
          </cell>
          <cell r="R1477" t="str">
            <v>Thermo Fisher Scientific</v>
          </cell>
          <cell r="S1477" t="str">
            <v>Delta Advantech (M) Sdn Bhd</v>
          </cell>
          <cell r="T1477" t="str">
            <v>Functioning</v>
          </cell>
          <cell r="U1477" t="str">
            <v>Asset</v>
          </cell>
          <cell r="V1477">
            <v>4370</v>
          </cell>
          <cell r="W1477" t="str">
            <v>KEW</v>
          </cell>
          <cell r="X1477" t="str">
            <v>01/09/2010</v>
          </cell>
          <cell r="Y1477" t="str">
            <v>KEW</v>
          </cell>
          <cell r="Z1477" t="str">
            <v>16/08/2013</v>
          </cell>
          <cell r="AA1477" t="str">
            <v>15/08/2015</v>
          </cell>
          <cell r="AB1477" t="str">
            <v>No</v>
          </cell>
          <cell r="AC1477" t="str">
            <v>31/08/2013</v>
          </cell>
          <cell r="AD1477" t="str">
            <v>Good</v>
          </cell>
          <cell r="AE1477" t="str">
            <v>V1 - Existing / No Claim</v>
          </cell>
          <cell r="AF1477">
            <v>42235</v>
          </cell>
          <cell r="AG1477">
            <v>9.17</v>
          </cell>
          <cell r="AH1477" t="str">
            <v>PPM</v>
          </cell>
          <cell r="AI1477" t="str">
            <v>Strands</v>
          </cell>
          <cell r="AJ1477" t="str">
            <v>Strands PW</v>
          </cell>
        </row>
        <row r="1478">
          <cell r="A1478" t="str">
            <v>IKN401189</v>
          </cell>
          <cell r="B1478">
            <v>1187</v>
          </cell>
          <cell r="C1478" t="str">
            <v>Institut Kanser Negara</v>
          </cell>
          <cell r="D1478" t="str">
            <v>KKM/IKN/H/13/3213</v>
          </cell>
          <cell r="E1478" t="str">
            <v>11-295</v>
          </cell>
          <cell r="F1478" t="str">
            <v>Dosimeters, Radiation</v>
          </cell>
          <cell r="G1478" t="str">
            <v>NM</v>
          </cell>
          <cell r="H1478" t="str">
            <v>NUCLEAR MED (DIAGNOSTIC)</v>
          </cell>
          <cell r="I1478" t="str">
            <v>03NM170</v>
          </cell>
          <cell r="J1478" t="str">
            <v>CHIEF PHYSICIST</v>
          </cell>
          <cell r="K1478" t="str">
            <v>BMED</v>
          </cell>
          <cell r="L1478" t="str">
            <v>Normal</v>
          </cell>
          <cell r="M1478" t="str">
            <v>Germany</v>
          </cell>
          <cell r="N1478" t="str">
            <v>Thermo Fisher</v>
          </cell>
          <cell r="O1478" t="str">
            <v>EPD MK2.5</v>
          </cell>
          <cell r="P1478" t="str">
            <v>00288075</v>
          </cell>
          <cell r="Q1478" t="str">
            <v>Not Applicable</v>
          </cell>
          <cell r="R1478" t="str">
            <v>Thermo Fisher Scientific</v>
          </cell>
          <cell r="S1478" t="str">
            <v>Delta Advantech (M) Sdn Bhd</v>
          </cell>
          <cell r="T1478" t="str">
            <v>Functioning</v>
          </cell>
          <cell r="U1478" t="str">
            <v>Asset</v>
          </cell>
          <cell r="V1478">
            <v>4370</v>
          </cell>
          <cell r="W1478" t="str">
            <v>KEW</v>
          </cell>
          <cell r="X1478" t="str">
            <v>01/09/2010</v>
          </cell>
          <cell r="Y1478" t="str">
            <v>KEW</v>
          </cell>
          <cell r="Z1478" t="str">
            <v>16/08/2013</v>
          </cell>
          <cell r="AA1478" t="str">
            <v>15/08/2015</v>
          </cell>
          <cell r="AB1478" t="str">
            <v>No</v>
          </cell>
          <cell r="AC1478" t="str">
            <v>31/08/2013</v>
          </cell>
          <cell r="AD1478" t="str">
            <v>Good</v>
          </cell>
          <cell r="AE1478" t="str">
            <v>V1 - Existing / No Claim</v>
          </cell>
          <cell r="AF1478">
            <v>42235</v>
          </cell>
          <cell r="AG1478">
            <v>9.17</v>
          </cell>
          <cell r="AH1478" t="str">
            <v>PPM</v>
          </cell>
          <cell r="AI1478" t="str">
            <v>Strands</v>
          </cell>
          <cell r="AJ1478" t="str">
            <v>Strands PW</v>
          </cell>
        </row>
        <row r="1479">
          <cell r="A1479" t="str">
            <v>IKN401190</v>
          </cell>
          <cell r="B1479">
            <v>1188</v>
          </cell>
          <cell r="C1479" t="str">
            <v>Institut Kanser Negara</v>
          </cell>
          <cell r="D1479" t="str">
            <v>KKM/IKN/H/13/3130</v>
          </cell>
          <cell r="E1479" t="str">
            <v>11-295</v>
          </cell>
          <cell r="F1479" t="str">
            <v>Dosimeters, Radiation</v>
          </cell>
          <cell r="G1479" t="str">
            <v>NM</v>
          </cell>
          <cell r="H1479" t="str">
            <v>NUCLEAR MED (DIAGNOSTIC)</v>
          </cell>
          <cell r="I1479" t="str">
            <v>03NM170</v>
          </cell>
          <cell r="J1479" t="str">
            <v>CHIEF PHYSICIST</v>
          </cell>
          <cell r="K1479" t="str">
            <v>BMED</v>
          </cell>
          <cell r="L1479" t="str">
            <v>Normal</v>
          </cell>
          <cell r="M1479" t="str">
            <v>Germany</v>
          </cell>
          <cell r="N1479" t="str">
            <v>Thermo Fisher</v>
          </cell>
          <cell r="O1479" t="str">
            <v>EPD MK2.5</v>
          </cell>
          <cell r="P1479" t="str">
            <v>00289477</v>
          </cell>
          <cell r="Q1479" t="str">
            <v>Not Applicable</v>
          </cell>
          <cell r="R1479" t="str">
            <v>Thermo Fisher Scientific</v>
          </cell>
          <cell r="S1479" t="str">
            <v>Delta Advantech (M) Sdn Bhd</v>
          </cell>
          <cell r="T1479" t="str">
            <v>Functioning</v>
          </cell>
          <cell r="U1479" t="str">
            <v>Asset</v>
          </cell>
          <cell r="V1479">
            <v>4370</v>
          </cell>
          <cell r="W1479" t="str">
            <v>KEW</v>
          </cell>
          <cell r="X1479" t="str">
            <v>01/09/2010</v>
          </cell>
          <cell r="Y1479" t="str">
            <v>KEW</v>
          </cell>
          <cell r="Z1479" t="str">
            <v>16/08/2013</v>
          </cell>
          <cell r="AA1479" t="str">
            <v>15/08/2015</v>
          </cell>
          <cell r="AB1479" t="str">
            <v>No</v>
          </cell>
          <cell r="AC1479" t="str">
            <v>31/08/2013</v>
          </cell>
          <cell r="AD1479" t="str">
            <v>Good</v>
          </cell>
          <cell r="AE1479" t="str">
            <v>V1 - Existing / No Claim</v>
          </cell>
          <cell r="AF1479">
            <v>42235</v>
          </cell>
          <cell r="AG1479">
            <v>9.17</v>
          </cell>
          <cell r="AH1479" t="str">
            <v>PPM</v>
          </cell>
          <cell r="AI1479" t="str">
            <v>Strands</v>
          </cell>
          <cell r="AJ1479" t="str">
            <v>Strands PW</v>
          </cell>
        </row>
        <row r="1480">
          <cell r="A1480" t="str">
            <v>IKN401191</v>
          </cell>
          <cell r="B1480">
            <v>1189</v>
          </cell>
          <cell r="C1480" t="str">
            <v>Institut Kanser Negara</v>
          </cell>
          <cell r="D1480" t="str">
            <v>KKM/IKN/H/13/3131</v>
          </cell>
          <cell r="E1480" t="str">
            <v>11-295</v>
          </cell>
          <cell r="F1480" t="str">
            <v>Dosimeters, Radiation</v>
          </cell>
          <cell r="G1480" t="str">
            <v>NM</v>
          </cell>
          <cell r="H1480" t="str">
            <v>NUCLEAR MED (DIAGNOSTIC)</v>
          </cell>
          <cell r="I1480" t="str">
            <v>03NM170</v>
          </cell>
          <cell r="J1480" t="str">
            <v>CHIEF PHYSICIST</v>
          </cell>
          <cell r="K1480" t="str">
            <v>BMED</v>
          </cell>
          <cell r="L1480" t="str">
            <v>Normal</v>
          </cell>
          <cell r="M1480" t="str">
            <v>Germany</v>
          </cell>
          <cell r="N1480" t="str">
            <v>Thermo Fisher</v>
          </cell>
          <cell r="O1480" t="str">
            <v>EPD MK2.5</v>
          </cell>
          <cell r="P1480" t="str">
            <v>00289464</v>
          </cell>
          <cell r="Q1480" t="str">
            <v>Not Applicable</v>
          </cell>
          <cell r="R1480" t="str">
            <v>Thermo Fisher Scientific</v>
          </cell>
          <cell r="S1480" t="str">
            <v>Delta Advantech (M) Sdn Bhd</v>
          </cell>
          <cell r="T1480" t="str">
            <v>Functioning</v>
          </cell>
          <cell r="U1480" t="str">
            <v>Asset</v>
          </cell>
          <cell r="V1480">
            <v>4370</v>
          </cell>
          <cell r="W1480" t="str">
            <v>KEW</v>
          </cell>
          <cell r="X1480" t="str">
            <v>01/09/2010</v>
          </cell>
          <cell r="Y1480" t="str">
            <v>KEW</v>
          </cell>
          <cell r="Z1480" t="str">
            <v>16/08/2013</v>
          </cell>
          <cell r="AA1480" t="str">
            <v>15/08/2015</v>
          </cell>
          <cell r="AB1480" t="str">
            <v>No</v>
          </cell>
          <cell r="AC1480" t="str">
            <v>31/08/2013</v>
          </cell>
          <cell r="AD1480" t="str">
            <v>Good</v>
          </cell>
          <cell r="AE1480" t="str">
            <v>V1 - Existing / No Claim</v>
          </cell>
          <cell r="AF1480">
            <v>42235</v>
          </cell>
          <cell r="AG1480">
            <v>9.17</v>
          </cell>
          <cell r="AH1480" t="str">
            <v>PPM</v>
          </cell>
          <cell r="AI1480" t="str">
            <v>Strands</v>
          </cell>
          <cell r="AJ1480" t="str">
            <v>Strands PW</v>
          </cell>
        </row>
        <row r="1481">
          <cell r="A1481" t="str">
            <v>IKN401192</v>
          </cell>
          <cell r="B1481">
            <v>1190</v>
          </cell>
          <cell r="C1481" t="str">
            <v>Institut Kanser Negara</v>
          </cell>
          <cell r="D1481" t="str">
            <v>KKM/IKN/H/13/4004</v>
          </cell>
          <cell r="E1481" t="str">
            <v>11-295</v>
          </cell>
          <cell r="F1481" t="str">
            <v>Dosimeters, Radiation</v>
          </cell>
          <cell r="G1481" t="str">
            <v>NM</v>
          </cell>
          <cell r="H1481" t="str">
            <v>NUCLEAR MED (DIAGNOSTIC)</v>
          </cell>
          <cell r="I1481" t="str">
            <v>03NM170</v>
          </cell>
          <cell r="J1481" t="str">
            <v>CHIEF PHYSICIST</v>
          </cell>
          <cell r="K1481" t="str">
            <v>BMED</v>
          </cell>
          <cell r="L1481" t="str">
            <v>Normal</v>
          </cell>
          <cell r="M1481" t="str">
            <v>Germany</v>
          </cell>
          <cell r="N1481" t="str">
            <v>Thermo Fisher</v>
          </cell>
          <cell r="O1481" t="str">
            <v>EPD MK2.5</v>
          </cell>
          <cell r="P1481" t="str">
            <v>00289469</v>
          </cell>
          <cell r="Q1481" t="str">
            <v>Not Applicable</v>
          </cell>
          <cell r="R1481" t="str">
            <v>Thermo Fisher Scientific</v>
          </cell>
          <cell r="S1481" t="str">
            <v>Delta Advantech (M) Sdn Bhd</v>
          </cell>
          <cell r="T1481" t="str">
            <v>Functioning</v>
          </cell>
          <cell r="U1481" t="str">
            <v>Asset</v>
          </cell>
          <cell r="V1481">
            <v>4370</v>
          </cell>
          <cell r="W1481" t="str">
            <v>KEW</v>
          </cell>
          <cell r="X1481" t="str">
            <v>01/09/2010</v>
          </cell>
          <cell r="Y1481" t="str">
            <v>KEW</v>
          </cell>
          <cell r="Z1481" t="str">
            <v>16/08/2013</v>
          </cell>
          <cell r="AA1481" t="str">
            <v>15/08/2015</v>
          </cell>
          <cell r="AB1481" t="str">
            <v>No</v>
          </cell>
          <cell r="AC1481" t="str">
            <v>31/08/2013</v>
          </cell>
          <cell r="AD1481" t="str">
            <v>Good</v>
          </cell>
          <cell r="AE1481" t="str">
            <v>V1 - Existing / No Claim</v>
          </cell>
          <cell r="AF1481">
            <v>42235</v>
          </cell>
          <cell r="AG1481">
            <v>9.17</v>
          </cell>
          <cell r="AH1481" t="str">
            <v>PPM</v>
          </cell>
          <cell r="AI1481" t="str">
            <v>Strands</v>
          </cell>
          <cell r="AJ1481" t="str">
            <v>Strands PW</v>
          </cell>
        </row>
        <row r="1482">
          <cell r="A1482" t="str">
            <v>IKN401194</v>
          </cell>
          <cell r="B1482">
            <v>1192</v>
          </cell>
          <cell r="C1482" t="str">
            <v>Institut Kanser Negara</v>
          </cell>
          <cell r="D1482" t="str">
            <v>KKM/IKN/H/14/50</v>
          </cell>
          <cell r="E1482" t="str">
            <v>15-663</v>
          </cell>
          <cell r="F1482" t="str">
            <v>Pipetters</v>
          </cell>
          <cell r="G1482" t="str">
            <v>LA</v>
          </cell>
          <cell r="H1482" t="str">
            <v>PATHOLOGY</v>
          </cell>
          <cell r="I1482" t="str">
            <v>04LA133</v>
          </cell>
          <cell r="J1482" t="str">
            <v>CHEMICAL PATHOLOGY 1</v>
          </cell>
          <cell r="K1482" t="str">
            <v>BMED</v>
          </cell>
          <cell r="L1482" t="str">
            <v>Normal</v>
          </cell>
          <cell r="M1482" t="str">
            <v>Germany</v>
          </cell>
          <cell r="N1482" t="str">
            <v>Eppendorf</v>
          </cell>
          <cell r="O1482" t="str">
            <v>Research Plus</v>
          </cell>
          <cell r="P1482" t="str">
            <v>J39383D</v>
          </cell>
          <cell r="Q1482" t="str">
            <v>Not Applicable</v>
          </cell>
          <cell r="R1482" t="str">
            <v>Eppendorf</v>
          </cell>
          <cell r="S1482" t="str">
            <v>Medigene sdn bhd</v>
          </cell>
          <cell r="T1482" t="str">
            <v>Functioning</v>
          </cell>
          <cell r="U1482" t="str">
            <v>Asset</v>
          </cell>
          <cell r="V1482">
            <v>750</v>
          </cell>
          <cell r="W1482" t="str">
            <v>KEW</v>
          </cell>
          <cell r="X1482" t="str">
            <v>01/09/2010</v>
          </cell>
          <cell r="Y1482" t="str">
            <v>KEW</v>
          </cell>
          <cell r="Z1482" t="str">
            <v>16/08/2013</v>
          </cell>
          <cell r="AA1482" t="str">
            <v>15/08/2015</v>
          </cell>
          <cell r="AB1482" t="str">
            <v>No</v>
          </cell>
          <cell r="AC1482" t="str">
            <v>31/08/2013</v>
          </cell>
          <cell r="AD1482" t="str">
            <v>Good</v>
          </cell>
          <cell r="AE1482" t="str">
            <v>V3 - Added Installed Facilities (New)</v>
          </cell>
          <cell r="AF1482">
            <v>42235</v>
          </cell>
          <cell r="AG1482">
            <v>9.17</v>
          </cell>
          <cell r="AH1482" t="str">
            <v>PPM</v>
          </cell>
          <cell r="AI1482" t="str">
            <v>Strands</v>
          </cell>
          <cell r="AJ1482" t="str">
            <v>Strands PW</v>
          </cell>
          <cell r="AK1482" t="str">
            <v>SNF received. 1st batch of V3 asset (December 2020).</v>
          </cell>
        </row>
        <row r="1483">
          <cell r="A1483" t="str">
            <v>IKN401195</v>
          </cell>
          <cell r="B1483">
            <v>1193</v>
          </cell>
          <cell r="C1483" t="str">
            <v>Institut Kanser Negara</v>
          </cell>
          <cell r="D1483" t="str">
            <v>KKM/IKN/H/13/4858</v>
          </cell>
          <cell r="E1483" t="str">
            <v>17-212</v>
          </cell>
          <cell r="F1483" t="str">
            <v>Radiation Survey Meters, Ionization Chamber</v>
          </cell>
          <cell r="G1483" t="str">
            <v>RT</v>
          </cell>
          <cell r="H1483" t="str">
            <v>RADIATION TREATMENT UNIT</v>
          </cell>
          <cell r="I1483" t="str">
            <v>01RT213</v>
          </cell>
          <cell r="J1483" t="str">
            <v>EQUIPMENT ROOM1</v>
          </cell>
          <cell r="K1483" t="str">
            <v>BMED</v>
          </cell>
          <cell r="L1483" t="str">
            <v>Normal</v>
          </cell>
          <cell r="M1483" t="str">
            <v>USA</v>
          </cell>
          <cell r="N1483" t="str">
            <v>Fluke</v>
          </cell>
          <cell r="O1483" t="str">
            <v>Fluke 451P- DE SI</v>
          </cell>
          <cell r="P1483" t="str">
            <v>4425</v>
          </cell>
          <cell r="Q1483" t="str">
            <v>Not Applicable</v>
          </cell>
          <cell r="R1483" t="str">
            <v>Fluke Biomedical RMS</v>
          </cell>
          <cell r="S1483" t="str">
            <v>Bell Comm Technologies Sdn Bhd</v>
          </cell>
          <cell r="T1483" t="str">
            <v>Functioning</v>
          </cell>
          <cell r="U1483" t="str">
            <v>Asset</v>
          </cell>
          <cell r="V1483">
            <v>6810</v>
          </cell>
          <cell r="W1483" t="str">
            <v>KEW</v>
          </cell>
          <cell r="X1483" t="str">
            <v>01/09/2010</v>
          </cell>
          <cell r="Y1483" t="str">
            <v>KEW</v>
          </cell>
          <cell r="Z1483" t="str">
            <v>16/08/2013</v>
          </cell>
          <cell r="AA1483" t="str">
            <v>15/08/2015</v>
          </cell>
          <cell r="AB1483" t="str">
            <v>No</v>
          </cell>
          <cell r="AC1483" t="str">
            <v>31/08/2013</v>
          </cell>
          <cell r="AD1483" t="str">
            <v>Good</v>
          </cell>
          <cell r="AE1483" t="str">
            <v>V1 - Existing / No Claim</v>
          </cell>
          <cell r="AF1483">
            <v>42235</v>
          </cell>
          <cell r="AG1483">
            <v>9.17</v>
          </cell>
          <cell r="AH1483" t="str">
            <v>PPM</v>
          </cell>
          <cell r="AI1483" t="str">
            <v>Strands</v>
          </cell>
          <cell r="AJ1483" t="str">
            <v>Strands PW</v>
          </cell>
        </row>
        <row r="1484">
          <cell r="A1484" t="str">
            <v>IKN401196</v>
          </cell>
          <cell r="B1484">
            <v>1194</v>
          </cell>
          <cell r="C1484" t="str">
            <v>Institut Kanser Negara</v>
          </cell>
          <cell r="D1484" t="str">
            <v>KKM/IKN/H/13/4857</v>
          </cell>
          <cell r="E1484" t="str">
            <v>17-212</v>
          </cell>
          <cell r="F1484" t="str">
            <v>Radiation Survey Meters, Ionization Chamber</v>
          </cell>
          <cell r="G1484" t="str">
            <v>RT</v>
          </cell>
          <cell r="H1484" t="str">
            <v>RADIATION TREATMENT UNIT</v>
          </cell>
          <cell r="I1484" t="str">
            <v>01RT213</v>
          </cell>
          <cell r="J1484" t="str">
            <v>EQUIPMENT ROOM1</v>
          </cell>
          <cell r="K1484" t="str">
            <v>BMED</v>
          </cell>
          <cell r="L1484" t="str">
            <v>Normal</v>
          </cell>
          <cell r="M1484" t="str">
            <v>USA</v>
          </cell>
          <cell r="N1484" t="str">
            <v>Fluke</v>
          </cell>
          <cell r="O1484" t="str">
            <v>Fluke 451P- DE SI</v>
          </cell>
          <cell r="P1484" t="str">
            <v>4424</v>
          </cell>
          <cell r="Q1484" t="str">
            <v>Not Applicable</v>
          </cell>
          <cell r="R1484" t="str">
            <v>Fluke Biomedical RMS</v>
          </cell>
          <cell r="S1484" t="str">
            <v>Bell Comm Technologies Sdn Bhd</v>
          </cell>
          <cell r="T1484" t="str">
            <v>Functioning</v>
          </cell>
          <cell r="U1484" t="str">
            <v>Asset</v>
          </cell>
          <cell r="V1484">
            <v>6810</v>
          </cell>
          <cell r="W1484" t="str">
            <v>KEW</v>
          </cell>
          <cell r="X1484" t="str">
            <v>01/09/2010</v>
          </cell>
          <cell r="Y1484" t="str">
            <v>KEW</v>
          </cell>
          <cell r="Z1484" t="str">
            <v>16/08/2013</v>
          </cell>
          <cell r="AA1484" t="str">
            <v>15/08/2015</v>
          </cell>
          <cell r="AB1484" t="str">
            <v>No</v>
          </cell>
          <cell r="AC1484" t="str">
            <v>31/08/2013</v>
          </cell>
          <cell r="AD1484" t="str">
            <v>Good</v>
          </cell>
          <cell r="AE1484" t="str">
            <v>V1 - Existing / No Claim</v>
          </cell>
          <cell r="AF1484">
            <v>42235</v>
          </cell>
          <cell r="AG1484">
            <v>9.17</v>
          </cell>
          <cell r="AH1484" t="str">
            <v>PPM</v>
          </cell>
          <cell r="AI1484" t="str">
            <v>Strands</v>
          </cell>
          <cell r="AJ1484" t="str">
            <v>Strands PW</v>
          </cell>
        </row>
        <row r="1485">
          <cell r="A1485" t="str">
            <v>IKN401197</v>
          </cell>
          <cell r="B1485">
            <v>1195</v>
          </cell>
          <cell r="C1485" t="str">
            <v>Institut Kanser Negara</v>
          </cell>
          <cell r="D1485" t="str">
            <v>KKM/IKN/H/13/4955</v>
          </cell>
          <cell r="E1485" t="str">
            <v>17-211</v>
          </cell>
          <cell r="F1485" t="str">
            <v>Radiation Survey Meters, Geiger-Muller</v>
          </cell>
          <cell r="G1485" t="str">
            <v>RT</v>
          </cell>
          <cell r="H1485" t="str">
            <v>RADIATION TREATMENT UNIT</v>
          </cell>
          <cell r="I1485" t="str">
            <v>01RT213</v>
          </cell>
          <cell r="J1485" t="str">
            <v>EQUIPMENT ROOM1</v>
          </cell>
          <cell r="K1485" t="str">
            <v>BMED</v>
          </cell>
          <cell r="L1485" t="str">
            <v>Normal</v>
          </cell>
          <cell r="M1485" t="str">
            <v>Germany</v>
          </cell>
          <cell r="N1485" t="str">
            <v>Ludlum</v>
          </cell>
          <cell r="O1485" t="str">
            <v>M98</v>
          </cell>
          <cell r="P1485">
            <v>273034</v>
          </cell>
          <cell r="Q1485" t="str">
            <v>Not Applicable</v>
          </cell>
          <cell r="R1485" t="str">
            <v>Ludlum Measurements Inc</v>
          </cell>
          <cell r="S1485" t="str">
            <v>H&amp;A Medical Supply Sdn Bhd</v>
          </cell>
          <cell r="T1485" t="str">
            <v>Functioning</v>
          </cell>
          <cell r="U1485" t="str">
            <v>Asset</v>
          </cell>
          <cell r="V1485">
            <v>3000</v>
          </cell>
          <cell r="W1485" t="str">
            <v>KEW</v>
          </cell>
          <cell r="X1485" t="str">
            <v>01/09/2010</v>
          </cell>
          <cell r="Y1485" t="str">
            <v>KEW</v>
          </cell>
          <cell r="Z1485" t="str">
            <v>16/08/2013</v>
          </cell>
          <cell r="AA1485" t="str">
            <v>15/08/2015</v>
          </cell>
          <cell r="AB1485" t="str">
            <v>No</v>
          </cell>
          <cell r="AC1485" t="str">
            <v>31/08/2013</v>
          </cell>
          <cell r="AD1485" t="str">
            <v>Good</v>
          </cell>
          <cell r="AE1485" t="str">
            <v>V1 - Existing / No Claim</v>
          </cell>
          <cell r="AF1485">
            <v>42235</v>
          </cell>
          <cell r="AG1485">
            <v>9.17</v>
          </cell>
          <cell r="AH1485" t="str">
            <v>PPM</v>
          </cell>
          <cell r="AI1485" t="str">
            <v>package</v>
          </cell>
        </row>
        <row r="1486">
          <cell r="A1486" t="str">
            <v>IKN401198</v>
          </cell>
          <cell r="B1486">
            <v>1196</v>
          </cell>
          <cell r="C1486" t="str">
            <v>Institut Kanser Negara</v>
          </cell>
          <cell r="D1486" t="str">
            <v>KKM/IKN/H/13/4956 - 02</v>
          </cell>
          <cell r="E1486" t="str">
            <v>17-211</v>
          </cell>
          <cell r="F1486" t="str">
            <v>Radiation Survey Meters, Geiger-Muller</v>
          </cell>
          <cell r="G1486" t="str">
            <v>RT</v>
          </cell>
          <cell r="H1486" t="str">
            <v>RADIATION TREATMENT UNIT</v>
          </cell>
          <cell r="I1486" t="str">
            <v>01RT213</v>
          </cell>
          <cell r="J1486" t="str">
            <v>EQUIPMENT ROOM1</v>
          </cell>
          <cell r="K1486" t="str">
            <v>BMED</v>
          </cell>
          <cell r="L1486" t="str">
            <v>Normal</v>
          </cell>
          <cell r="M1486" t="str">
            <v>USA</v>
          </cell>
          <cell r="N1486" t="str">
            <v>Fluke</v>
          </cell>
          <cell r="O1486" t="str">
            <v>ASM 990S</v>
          </cell>
          <cell r="P1486" t="str">
            <v>199606</v>
          </cell>
          <cell r="Q1486" t="str">
            <v>Not Applicable</v>
          </cell>
          <cell r="R1486" t="str">
            <v>Fluke Biomedical RMS</v>
          </cell>
          <cell r="S1486" t="str">
            <v>Bell Comm Technologies Sdn Bhd</v>
          </cell>
          <cell r="T1486" t="str">
            <v>Functioning</v>
          </cell>
          <cell r="U1486" t="str">
            <v>Asset</v>
          </cell>
          <cell r="V1486">
            <v>13500</v>
          </cell>
          <cell r="W1486" t="str">
            <v>KEW</v>
          </cell>
          <cell r="X1486" t="str">
            <v>01/09/2010</v>
          </cell>
          <cell r="Y1486" t="str">
            <v>KEW</v>
          </cell>
          <cell r="Z1486" t="str">
            <v>16/08/2013</v>
          </cell>
          <cell r="AA1486" t="str">
            <v>15/08/2015</v>
          </cell>
          <cell r="AB1486" t="str">
            <v>No</v>
          </cell>
          <cell r="AC1486" t="str">
            <v>31/08/2013</v>
          </cell>
          <cell r="AD1486" t="str">
            <v>Good</v>
          </cell>
          <cell r="AE1486" t="str">
            <v>V1 - Existing / No Claim</v>
          </cell>
          <cell r="AF1486">
            <v>42235</v>
          </cell>
          <cell r="AG1486">
            <v>9.17</v>
          </cell>
          <cell r="AH1486" t="str">
            <v>PPM</v>
          </cell>
          <cell r="AI1486" t="str">
            <v>Strands</v>
          </cell>
          <cell r="AJ1486" t="str">
            <v>Strands Package</v>
          </cell>
          <cell r="AK1486" t="str">
            <v>Package Brachytherapy / Prostate, XM0012</v>
          </cell>
        </row>
        <row r="1487">
          <cell r="A1487" t="str">
            <v>IKN401199</v>
          </cell>
          <cell r="B1487">
            <v>1197</v>
          </cell>
          <cell r="C1487" t="str">
            <v>Institut Kanser Negara</v>
          </cell>
          <cell r="D1487" t="str">
            <v>KKM/IKN/H/13/5014</v>
          </cell>
          <cell r="E1487" t="str">
            <v>15-129</v>
          </cell>
          <cell r="F1487" t="str">
            <v>Densitometers</v>
          </cell>
          <cell r="G1487" t="str">
            <v>ID</v>
          </cell>
          <cell r="H1487" t="str">
            <v>IMAGING DEPARTMENT</v>
          </cell>
          <cell r="I1487" t="str">
            <v>03ID169</v>
          </cell>
          <cell r="J1487" t="str">
            <v>RADIOGRAPHER</v>
          </cell>
          <cell r="K1487" t="str">
            <v>BMED</v>
          </cell>
          <cell r="L1487" t="str">
            <v>Normal</v>
          </cell>
          <cell r="M1487" t="str">
            <v>Germany</v>
          </cell>
          <cell r="N1487" t="str">
            <v>IBA</v>
          </cell>
          <cell r="O1487" t="str">
            <v>Unilight D</v>
          </cell>
          <cell r="P1487" t="str">
            <v>N6767</v>
          </cell>
          <cell r="Q1487" t="str">
            <v>Not Applicable</v>
          </cell>
          <cell r="R1487" t="str">
            <v>IBA</v>
          </cell>
          <cell r="S1487" t="str">
            <v>Delta Advantech (M) Sdn Bhd</v>
          </cell>
          <cell r="T1487" t="str">
            <v>Functioning</v>
          </cell>
          <cell r="U1487" t="str">
            <v>Asset</v>
          </cell>
          <cell r="V1487">
            <v>5000</v>
          </cell>
          <cell r="W1487" t="str">
            <v>KEW</v>
          </cell>
          <cell r="X1487" t="str">
            <v>01/09/2010</v>
          </cell>
          <cell r="Y1487" t="str">
            <v>KEW</v>
          </cell>
          <cell r="Z1487" t="str">
            <v>16/08/2013</v>
          </cell>
          <cell r="AA1487" t="str">
            <v>15/08/2015</v>
          </cell>
          <cell r="AB1487" t="str">
            <v>No</v>
          </cell>
          <cell r="AC1487" t="str">
            <v>31/08/2013</v>
          </cell>
          <cell r="AD1487" t="str">
            <v>Good</v>
          </cell>
          <cell r="AE1487" t="str">
            <v>V1 - Existing / No Claim</v>
          </cell>
          <cell r="AF1487">
            <v>42791</v>
          </cell>
          <cell r="AG1487">
            <v>9.17</v>
          </cell>
          <cell r="AH1487" t="str">
            <v>PPM</v>
          </cell>
          <cell r="AI1487" t="str">
            <v>Strands</v>
          </cell>
          <cell r="AJ1487" t="str">
            <v>Strands PW</v>
          </cell>
        </row>
        <row r="1488">
          <cell r="A1488" t="str">
            <v>IKN401200</v>
          </cell>
          <cell r="B1488">
            <v>1198</v>
          </cell>
          <cell r="C1488" t="str">
            <v>Institut Kanser Negara</v>
          </cell>
          <cell r="D1488" t="str">
            <v>KKM/IKN/H/13/4862</v>
          </cell>
          <cell r="E1488" t="str">
            <v>15-605</v>
          </cell>
          <cell r="F1488" t="str">
            <v>Testers</v>
          </cell>
          <cell r="G1488" t="str">
            <v>ID</v>
          </cell>
          <cell r="H1488" t="str">
            <v>IMAGING DEPARTMENT</v>
          </cell>
          <cell r="I1488" t="str">
            <v>03ID169</v>
          </cell>
          <cell r="J1488" t="str">
            <v>RADIOGRAPHER</v>
          </cell>
          <cell r="K1488" t="str">
            <v>BMED</v>
          </cell>
          <cell r="L1488" t="str">
            <v>Normal</v>
          </cell>
          <cell r="M1488" t="str">
            <v>Germany</v>
          </cell>
          <cell r="N1488" t="str">
            <v>IBA</v>
          </cell>
          <cell r="O1488" t="str">
            <v>MagicMAX</v>
          </cell>
          <cell r="P1488" t="str">
            <v>G13-0138</v>
          </cell>
          <cell r="Q1488" t="str">
            <v>Not Applicable</v>
          </cell>
          <cell r="R1488" t="str">
            <v>IBA</v>
          </cell>
          <cell r="S1488" t="str">
            <v>Delta Advantech (M) Sdn Bhd</v>
          </cell>
          <cell r="T1488" t="str">
            <v>Functioning</v>
          </cell>
          <cell r="U1488" t="str">
            <v>Asset</v>
          </cell>
          <cell r="V1488">
            <v>117000</v>
          </cell>
          <cell r="W1488" t="str">
            <v>KEW</v>
          </cell>
          <cell r="X1488" t="str">
            <v>01/09/2010</v>
          </cell>
          <cell r="Y1488" t="str">
            <v>KEW</v>
          </cell>
          <cell r="Z1488" t="str">
            <v>16/08/2013</v>
          </cell>
          <cell r="AA1488" t="str">
            <v>15/08/2015</v>
          </cell>
          <cell r="AB1488" t="str">
            <v>No</v>
          </cell>
          <cell r="AC1488" t="str">
            <v>31/08/2013</v>
          </cell>
          <cell r="AD1488" t="str">
            <v>Good</v>
          </cell>
          <cell r="AE1488" t="str">
            <v>V1 - Existing / No Claim</v>
          </cell>
          <cell r="AF1488">
            <v>42791</v>
          </cell>
          <cell r="AG1488">
            <v>9.17</v>
          </cell>
          <cell r="AH1488" t="str">
            <v>PPM</v>
          </cell>
          <cell r="AI1488" t="str">
            <v>package</v>
          </cell>
        </row>
        <row r="1489">
          <cell r="A1489" t="str">
            <v>IKN401213</v>
          </cell>
          <cell r="B1489">
            <v>1211</v>
          </cell>
          <cell r="C1489" t="str">
            <v>Institut Kanser Negara</v>
          </cell>
          <cell r="D1489" t="str">
            <v>KKM/IKN/H/13/4473 - 13</v>
          </cell>
          <cell r="E1489" t="str">
            <v>15-605</v>
          </cell>
          <cell r="F1489" t="str">
            <v>Testers</v>
          </cell>
          <cell r="G1489" t="str">
            <v>RT</v>
          </cell>
          <cell r="H1489" t="str">
            <v>RADIATION TREATMENT UNIT</v>
          </cell>
          <cell r="I1489" t="str">
            <v>01RT213</v>
          </cell>
          <cell r="J1489" t="str">
            <v>EQUIPMENT ROOM1</v>
          </cell>
          <cell r="K1489" t="str">
            <v>BMED</v>
          </cell>
          <cell r="L1489" t="str">
            <v>Normal</v>
          </cell>
          <cell r="M1489" t="str">
            <v>USA</v>
          </cell>
          <cell r="N1489" t="str">
            <v>Various</v>
          </cell>
          <cell r="O1489" t="str">
            <v>Tomo Electrometer 90016 &amp; Various</v>
          </cell>
          <cell r="P1489" t="str">
            <v>L122003</v>
          </cell>
          <cell r="Q1489" t="str">
            <v>Not Applicable</v>
          </cell>
          <cell r="R1489" t="str">
            <v>Standard Imaging</v>
          </cell>
          <cell r="S1489" t="str">
            <v>Transmedic Healthcare Sdn Bhd</v>
          </cell>
          <cell r="T1489" t="str">
            <v>Functioning</v>
          </cell>
          <cell r="U1489" t="str">
            <v>Asset</v>
          </cell>
          <cell r="V1489">
            <v>500000</v>
          </cell>
          <cell r="W1489" t="str">
            <v>KEW</v>
          </cell>
          <cell r="X1489" t="str">
            <v>01/09/2010</v>
          </cell>
          <cell r="Y1489" t="str">
            <v>KEW</v>
          </cell>
          <cell r="Z1489" t="str">
            <v>16/08/2013</v>
          </cell>
          <cell r="AA1489" t="str">
            <v>15/08/2015</v>
          </cell>
          <cell r="AB1489" t="str">
            <v>No</v>
          </cell>
          <cell r="AC1489" t="str">
            <v>31/08/2013</v>
          </cell>
          <cell r="AD1489" t="str">
            <v>Good</v>
          </cell>
          <cell r="AE1489" t="str">
            <v>V1 - Existing / No Claim</v>
          </cell>
          <cell r="AF1489">
            <v>42235</v>
          </cell>
          <cell r="AG1489">
            <v>9.17</v>
          </cell>
          <cell r="AH1489" t="str">
            <v>PPM</v>
          </cell>
          <cell r="AI1489" t="str">
            <v>package</v>
          </cell>
          <cell r="AJ1489" t="str">
            <v>Strands Package</v>
          </cell>
          <cell r="AK1489" t="str">
            <v>Package XM003(B)</v>
          </cell>
        </row>
        <row r="1490">
          <cell r="A1490" t="str">
            <v>IKN401214</v>
          </cell>
          <cell r="B1490">
            <v>1212</v>
          </cell>
          <cell r="C1490" t="str">
            <v>Institut Kanser Negara</v>
          </cell>
          <cell r="D1490" t="str">
            <v>KKM/IKN/H/13/4952</v>
          </cell>
          <cell r="E1490" t="str">
            <v>15-605</v>
          </cell>
          <cell r="F1490" t="str">
            <v>Testers</v>
          </cell>
          <cell r="G1490" t="str">
            <v>RT</v>
          </cell>
          <cell r="H1490" t="str">
            <v>RADIATION TREATMENT UNIT</v>
          </cell>
          <cell r="I1490" t="str">
            <v>01RT213</v>
          </cell>
          <cell r="J1490" t="str">
            <v>EQUIPMENT ROOM1</v>
          </cell>
          <cell r="K1490" t="str">
            <v>BMED</v>
          </cell>
          <cell r="L1490" t="str">
            <v>Normal</v>
          </cell>
          <cell r="M1490" t="str">
            <v>Germany</v>
          </cell>
          <cell r="N1490" t="str">
            <v>Various</v>
          </cell>
          <cell r="O1490" t="str">
            <v>IBA Dosimetry GMBH</v>
          </cell>
          <cell r="P1490" t="str">
            <v>11528</v>
          </cell>
          <cell r="Q1490" t="str">
            <v>Not Applicable</v>
          </cell>
          <cell r="R1490" t="str">
            <v>IBA</v>
          </cell>
          <cell r="S1490" t="str">
            <v>Delta Advantech (M) Sdn Bhd</v>
          </cell>
          <cell r="T1490" t="str">
            <v>Functioning</v>
          </cell>
          <cell r="U1490" t="str">
            <v>Asset</v>
          </cell>
          <cell r="V1490">
            <v>1932770</v>
          </cell>
          <cell r="W1490" t="str">
            <v>KEW</v>
          </cell>
          <cell r="X1490" t="str">
            <v>01/09/2010</v>
          </cell>
          <cell r="Y1490" t="str">
            <v>KEW</v>
          </cell>
          <cell r="Z1490" t="str">
            <v>16/08/2013</v>
          </cell>
          <cell r="AA1490" t="str">
            <v>15/08/2015</v>
          </cell>
          <cell r="AB1490" t="str">
            <v>No</v>
          </cell>
          <cell r="AC1490" t="str">
            <v>31/08/2013</v>
          </cell>
          <cell r="AD1490" t="str">
            <v>Good</v>
          </cell>
          <cell r="AE1490" t="str">
            <v>V1 - Existing / No Claim</v>
          </cell>
          <cell r="AF1490">
            <v>42235</v>
          </cell>
          <cell r="AG1490">
            <v>9.17</v>
          </cell>
          <cell r="AH1490" t="str">
            <v>PPM</v>
          </cell>
          <cell r="AI1490" t="str">
            <v>package</v>
          </cell>
          <cell r="AJ1490" t="str">
            <v>Not in contract</v>
          </cell>
          <cell r="AK1490" t="str">
            <v>Unit complement with water phantom.  [31/7/2023 (Sharifah): Tak cover dalam contract.]</v>
          </cell>
        </row>
        <row r="1491">
          <cell r="A1491" t="str">
            <v>IKN401215</v>
          </cell>
          <cell r="B1491">
            <v>1213</v>
          </cell>
          <cell r="C1491" t="str">
            <v>Institut Kanser Negara</v>
          </cell>
          <cell r="D1491" t="str">
            <v>KKM/IKN/H/13/3212</v>
          </cell>
          <cell r="E1491" t="str">
            <v>18-971</v>
          </cell>
          <cell r="F1491" t="str">
            <v>Testers</v>
          </cell>
          <cell r="G1491" t="str">
            <v>RT</v>
          </cell>
          <cell r="H1491" t="str">
            <v>RADIATION TREATMENT UNIT</v>
          </cell>
          <cell r="I1491" t="str">
            <v>01RT213</v>
          </cell>
          <cell r="J1491" t="str">
            <v>EQUIPMENT ROOM1</v>
          </cell>
          <cell r="K1491" t="str">
            <v>BMED</v>
          </cell>
          <cell r="L1491" t="str">
            <v>Normal</v>
          </cell>
          <cell r="M1491" t="str">
            <v>USA</v>
          </cell>
          <cell r="N1491" t="str">
            <v>Various</v>
          </cell>
          <cell r="O1491" t="str">
            <v>HDR100Plus &amp; SuperMAX</v>
          </cell>
          <cell r="P1491" t="str">
            <v>A122971 / p12302</v>
          </cell>
          <cell r="Q1491" t="str">
            <v>Not Applicable</v>
          </cell>
          <cell r="R1491" t="str">
            <v>Standard Imaging</v>
          </cell>
          <cell r="S1491" t="str">
            <v>Delta Advantech (M) Sdn Bhd</v>
          </cell>
          <cell r="T1491" t="str">
            <v>Functioning</v>
          </cell>
          <cell r="U1491" t="str">
            <v>Asset</v>
          </cell>
          <cell r="V1491">
            <v>77670</v>
          </cell>
          <cell r="W1491" t="str">
            <v>KEW</v>
          </cell>
          <cell r="X1491" t="str">
            <v>01/09/2010</v>
          </cell>
          <cell r="Y1491" t="str">
            <v>KEW</v>
          </cell>
          <cell r="Z1491" t="str">
            <v>16/08/2013</v>
          </cell>
          <cell r="AA1491" t="str">
            <v>15/08/2015</v>
          </cell>
          <cell r="AB1491" t="str">
            <v>No</v>
          </cell>
          <cell r="AC1491" t="str">
            <v>31/08/2013</v>
          </cell>
          <cell r="AD1491" t="str">
            <v>Good</v>
          </cell>
          <cell r="AE1491" t="str">
            <v>V1 - Existing / No Claim</v>
          </cell>
          <cell r="AF1491">
            <v>42235</v>
          </cell>
          <cell r="AG1491">
            <v>9.17</v>
          </cell>
          <cell r="AH1491" t="str">
            <v>PPM</v>
          </cell>
          <cell r="AI1491" t="str">
            <v>Strands</v>
          </cell>
          <cell r="AJ1491" t="str">
            <v>Strands Package</v>
          </cell>
          <cell r="AK1491" t="str">
            <v>Package Code XL0110. [30/1/2024, SHARIFAH]: CHANGE TYPE CODE.</v>
          </cell>
        </row>
        <row r="1492">
          <cell r="A1492" t="str">
            <v>IKN401217</v>
          </cell>
          <cell r="B1492">
            <v>1215</v>
          </cell>
          <cell r="C1492" t="str">
            <v>Institut Kanser Negara</v>
          </cell>
          <cell r="D1492" t="str">
            <v>KKM/IKN/H/13/4954</v>
          </cell>
          <cell r="E1492" t="str">
            <v>14-032</v>
          </cell>
          <cell r="F1492" t="str">
            <v>Thermometers, Electronic</v>
          </cell>
          <cell r="G1492" t="str">
            <v>RT</v>
          </cell>
          <cell r="H1492" t="str">
            <v>RADIATION TREATMENT UNIT</v>
          </cell>
          <cell r="I1492" t="str">
            <v>01RT213</v>
          </cell>
          <cell r="J1492" t="str">
            <v>EQUIPMENT ROOM1</v>
          </cell>
          <cell r="K1492" t="str">
            <v>BMED</v>
          </cell>
          <cell r="L1492" t="str">
            <v>Normal</v>
          </cell>
          <cell r="M1492" t="str">
            <v>Germany</v>
          </cell>
          <cell r="N1492" t="str">
            <v>LUJJT</v>
          </cell>
          <cell r="O1492" t="str">
            <v>C100</v>
          </cell>
          <cell r="P1492" t="str">
            <v>14769</v>
          </cell>
          <cell r="Q1492" t="str">
            <v>Not Applicable</v>
          </cell>
          <cell r="R1492" t="str">
            <v>LUJJT</v>
          </cell>
          <cell r="S1492" t="str">
            <v>Delta Advantech (M) Sdn Bhd</v>
          </cell>
          <cell r="T1492" t="str">
            <v>Functioning</v>
          </cell>
          <cell r="U1492" t="str">
            <v>Asset</v>
          </cell>
          <cell r="V1492">
            <v>6920</v>
          </cell>
          <cell r="W1492" t="str">
            <v>KEW</v>
          </cell>
          <cell r="X1492" t="str">
            <v>01/09/2010</v>
          </cell>
          <cell r="Y1492" t="str">
            <v>KEW</v>
          </cell>
          <cell r="Z1492" t="str">
            <v>16/08/2013</v>
          </cell>
          <cell r="AA1492" t="str">
            <v>15/08/2015</v>
          </cell>
          <cell r="AB1492" t="str">
            <v>No</v>
          </cell>
          <cell r="AC1492" t="str">
            <v>31/08/2013</v>
          </cell>
          <cell r="AD1492" t="str">
            <v>Good</v>
          </cell>
          <cell r="AE1492" t="str">
            <v>V3 - Added Installed Facilities (New)</v>
          </cell>
          <cell r="AF1492">
            <v>43117</v>
          </cell>
          <cell r="AG1492">
            <v>9.17</v>
          </cell>
          <cell r="AH1492" t="str">
            <v>PPM</v>
          </cell>
          <cell r="AI1492" t="str">
            <v>Strands</v>
          </cell>
          <cell r="AJ1492" t="str">
            <v>Strands PW</v>
          </cell>
          <cell r="AK1492" t="str">
            <v>SNF received. 1st batch of V3 asset (December 2020).</v>
          </cell>
        </row>
        <row r="1493">
          <cell r="A1493" t="str">
            <v>IKN401220</v>
          </cell>
          <cell r="B1493">
            <v>1218</v>
          </cell>
          <cell r="C1493" t="str">
            <v>Institut Kanser Negara</v>
          </cell>
          <cell r="E1493" t="str">
            <v>11-295</v>
          </cell>
          <cell r="F1493" t="str">
            <v>Dosimeters, Radiation</v>
          </cell>
          <cell r="G1493" t="str">
            <v>WA</v>
          </cell>
          <cell r="H1493" t="str">
            <v>NUCLEAR MED WARD (THERAPY)</v>
          </cell>
          <cell r="I1493" t="str">
            <v>03WA117</v>
          </cell>
          <cell r="J1493" t="str">
            <v>N/S 1</v>
          </cell>
          <cell r="K1493" t="str">
            <v>BMED</v>
          </cell>
          <cell r="L1493" t="str">
            <v>Normal</v>
          </cell>
          <cell r="M1493" t="str">
            <v>Germany</v>
          </cell>
          <cell r="N1493" t="str">
            <v>Thermo Fisher</v>
          </cell>
          <cell r="O1493" t="str">
            <v>EPD MK2.5</v>
          </cell>
          <cell r="P1493" t="str">
            <v>00289462</v>
          </cell>
          <cell r="Q1493" t="str">
            <v>Not Applicable</v>
          </cell>
          <cell r="R1493" t="str">
            <v>Thermo Fisher Scientific</v>
          </cell>
          <cell r="S1493" t="str">
            <v>Delta Advantech (M) Sdn Bhd</v>
          </cell>
          <cell r="T1493" t="str">
            <v>Functioning</v>
          </cell>
          <cell r="U1493" t="str">
            <v>Asset</v>
          </cell>
          <cell r="V1493">
            <v>4370</v>
          </cell>
          <cell r="W1493" t="str">
            <v>KEW</v>
          </cell>
          <cell r="X1493" t="str">
            <v>01/09/2010</v>
          </cell>
          <cell r="Y1493" t="str">
            <v>KEW</v>
          </cell>
          <cell r="Z1493" t="str">
            <v>16/08/2013</v>
          </cell>
          <cell r="AA1493" t="str">
            <v>15/08/2015</v>
          </cell>
          <cell r="AB1493" t="str">
            <v>No</v>
          </cell>
          <cell r="AC1493" t="str">
            <v>31/08/2013</v>
          </cell>
          <cell r="AD1493" t="str">
            <v>Good</v>
          </cell>
          <cell r="AE1493" t="str">
            <v>V1 - Existing / No Claim</v>
          </cell>
          <cell r="AF1493">
            <v>42235</v>
          </cell>
          <cell r="AG1493">
            <v>9.17</v>
          </cell>
          <cell r="AH1493" t="str">
            <v>PPM</v>
          </cell>
          <cell r="AI1493" t="str">
            <v>package</v>
          </cell>
        </row>
        <row r="1494">
          <cell r="A1494" t="str">
            <v>IKN401221</v>
          </cell>
          <cell r="B1494">
            <v>1219</v>
          </cell>
          <cell r="C1494" t="str">
            <v>Institut Kanser Negara</v>
          </cell>
          <cell r="D1494" t="e">
            <v>#N/A</v>
          </cell>
          <cell r="E1494" t="str">
            <v>15-605</v>
          </cell>
          <cell r="F1494" t="str">
            <v>Testers</v>
          </cell>
          <cell r="G1494" t="str">
            <v>PS</v>
          </cell>
          <cell r="H1494" t="str">
            <v>SUPPORT SERVICE/PLANT</v>
          </cell>
          <cell r="I1494" t="str">
            <v>01PS105</v>
          </cell>
          <cell r="J1494" t="str">
            <v>CHIEF ENGINEER</v>
          </cell>
          <cell r="K1494" t="str">
            <v>BMED</v>
          </cell>
          <cell r="L1494" t="str">
            <v>Normal</v>
          </cell>
          <cell r="M1494" t="str">
            <v>USA</v>
          </cell>
          <cell r="N1494" t="str">
            <v>Fluke</v>
          </cell>
          <cell r="O1494" t="str">
            <v>Fluke IDA 4 Plus</v>
          </cell>
          <cell r="P1494" t="str">
            <v>15355</v>
          </cell>
          <cell r="Q1494" t="str">
            <v>Not Applicable</v>
          </cell>
          <cell r="R1494" t="str">
            <v>Fluke Biomedical RMS</v>
          </cell>
          <cell r="S1494" t="str">
            <v>Bell Comm Technologies Sdn Bhd</v>
          </cell>
          <cell r="T1494" t="str">
            <v>Functioning</v>
          </cell>
          <cell r="U1494" t="str">
            <v>Asset</v>
          </cell>
          <cell r="V1494">
            <v>45110</v>
          </cell>
          <cell r="W1494" t="str">
            <v>KEW</v>
          </cell>
          <cell r="X1494" t="str">
            <v>01/09/2010</v>
          </cell>
          <cell r="Y1494" t="str">
            <v>KEW</v>
          </cell>
          <cell r="Z1494" t="str">
            <v>16/08/2013</v>
          </cell>
          <cell r="AA1494" t="str">
            <v>15/08/2015</v>
          </cell>
          <cell r="AB1494" t="str">
            <v>No</v>
          </cell>
          <cell r="AC1494" t="str">
            <v>31/08/2013</v>
          </cell>
          <cell r="AD1494" t="str">
            <v>Good</v>
          </cell>
          <cell r="AE1494" t="str">
            <v>V1 - Existing / No Claim</v>
          </cell>
          <cell r="AF1494">
            <v>42235</v>
          </cell>
          <cell r="AG1494">
            <v>9.17</v>
          </cell>
          <cell r="AH1494" t="str">
            <v>PPM</v>
          </cell>
          <cell r="AI1494" t="str">
            <v>Not in contract</v>
          </cell>
          <cell r="AJ1494" t="str">
            <v>ANALYZER</v>
          </cell>
          <cell r="AK1494" t="str">
            <v>IKN agreed unit to be used by BEMS but have to calibrate.</v>
          </cell>
        </row>
        <row r="1495">
          <cell r="A1495" t="str">
            <v>IKN401222</v>
          </cell>
          <cell r="B1495">
            <v>1220</v>
          </cell>
          <cell r="C1495" t="str">
            <v>Institut Kanser Negara</v>
          </cell>
          <cell r="D1495" t="str">
            <v>KKM/IKN/H/13/4852</v>
          </cell>
          <cell r="E1495" t="str">
            <v>15-663</v>
          </cell>
          <cell r="F1495" t="str">
            <v>Pipetters</v>
          </cell>
          <cell r="G1495" t="str">
            <v>NM</v>
          </cell>
          <cell r="H1495" t="str">
            <v>NUCLEAR MED (DIAGNOSTIC)</v>
          </cell>
          <cell r="I1495" t="str">
            <v>03NM139</v>
          </cell>
          <cell r="J1495" t="str">
            <v>QC</v>
          </cell>
          <cell r="K1495" t="str">
            <v>BMED</v>
          </cell>
          <cell r="L1495" t="str">
            <v>Normal</v>
          </cell>
          <cell r="M1495" t="str">
            <v>Germany</v>
          </cell>
          <cell r="N1495" t="str">
            <v>Eppendorf</v>
          </cell>
          <cell r="O1495" t="str">
            <v>Research Plus</v>
          </cell>
          <cell r="P1495" t="str">
            <v>480186A</v>
          </cell>
          <cell r="Q1495" t="str">
            <v>Not Applicable</v>
          </cell>
          <cell r="R1495" t="str">
            <v>Eppendorf</v>
          </cell>
          <cell r="S1495" t="str">
            <v>Medigene sdn bhd</v>
          </cell>
          <cell r="T1495" t="str">
            <v>Functioning</v>
          </cell>
          <cell r="U1495" t="str">
            <v>Asset</v>
          </cell>
          <cell r="V1495">
            <v>1323</v>
          </cell>
          <cell r="W1495" t="str">
            <v>KEW</v>
          </cell>
          <cell r="X1495" t="str">
            <v>01/09/2010</v>
          </cell>
          <cell r="Y1495" t="str">
            <v>KEW</v>
          </cell>
          <cell r="Z1495" t="str">
            <v>16/08/2013</v>
          </cell>
          <cell r="AA1495" t="str">
            <v>15/08/2015</v>
          </cell>
          <cell r="AB1495" t="str">
            <v>No</v>
          </cell>
          <cell r="AC1495" t="str">
            <v>31/08/2013</v>
          </cell>
          <cell r="AD1495" t="str">
            <v>Good</v>
          </cell>
          <cell r="AE1495" t="str">
            <v>V3 - Added Installed Facilities (New)</v>
          </cell>
          <cell r="AF1495">
            <v>42235</v>
          </cell>
          <cell r="AG1495">
            <v>9.17</v>
          </cell>
          <cell r="AH1495" t="str">
            <v>PPM</v>
          </cell>
          <cell r="AI1495" t="str">
            <v>Strands</v>
          </cell>
          <cell r="AJ1495" t="str">
            <v>Strands PW</v>
          </cell>
          <cell r="AK1495" t="str">
            <v>SNF received. 1st batch of V3 asset (December 2020)</v>
          </cell>
        </row>
        <row r="1496">
          <cell r="A1496" t="str">
            <v>IKN401223</v>
          </cell>
          <cell r="B1496">
            <v>1221</v>
          </cell>
          <cell r="C1496" t="str">
            <v>Institut Kanser Negara</v>
          </cell>
          <cell r="D1496" t="str">
            <v>KKM/IKN/H/13/4851</v>
          </cell>
          <cell r="E1496" t="str">
            <v>15-663</v>
          </cell>
          <cell r="F1496" t="str">
            <v>Pipetters</v>
          </cell>
          <cell r="G1496" t="str">
            <v>NM</v>
          </cell>
          <cell r="H1496" t="str">
            <v>NUCLEAR MED (DIAGNOSTIC)</v>
          </cell>
          <cell r="I1496" t="str">
            <v>03NM139</v>
          </cell>
          <cell r="J1496" t="str">
            <v>QC</v>
          </cell>
          <cell r="K1496" t="str">
            <v>BMED</v>
          </cell>
          <cell r="L1496" t="str">
            <v>Normal</v>
          </cell>
          <cell r="M1496" t="str">
            <v>Germany</v>
          </cell>
          <cell r="N1496" t="str">
            <v>Eppendorf</v>
          </cell>
          <cell r="O1496" t="str">
            <v>Research Plus</v>
          </cell>
          <cell r="P1496" t="str">
            <v>341881A</v>
          </cell>
          <cell r="Q1496" t="str">
            <v>Not Applicable</v>
          </cell>
          <cell r="R1496" t="str">
            <v>Eppendorf</v>
          </cell>
          <cell r="S1496" t="str">
            <v>Medigene sdn bhd</v>
          </cell>
          <cell r="T1496" t="str">
            <v>Functioning</v>
          </cell>
          <cell r="U1496" t="str">
            <v>Asset</v>
          </cell>
          <cell r="V1496">
            <v>1323</v>
          </cell>
          <cell r="W1496" t="str">
            <v>KEW</v>
          </cell>
          <cell r="X1496" t="str">
            <v>01/09/2010</v>
          </cell>
          <cell r="Y1496" t="str">
            <v>KEW</v>
          </cell>
          <cell r="Z1496" t="str">
            <v>16/08/2013</v>
          </cell>
          <cell r="AA1496" t="str">
            <v>15/08/2015</v>
          </cell>
          <cell r="AB1496" t="str">
            <v>No</v>
          </cell>
          <cell r="AC1496" t="str">
            <v>31/08/2013</v>
          </cell>
          <cell r="AD1496" t="str">
            <v>Good</v>
          </cell>
          <cell r="AE1496" t="str">
            <v>V3 - Added Installed Facilities (New)</v>
          </cell>
          <cell r="AF1496">
            <v>42235</v>
          </cell>
          <cell r="AG1496">
            <v>9.17</v>
          </cell>
          <cell r="AH1496" t="str">
            <v>PPM</v>
          </cell>
          <cell r="AI1496" t="str">
            <v>Strands</v>
          </cell>
          <cell r="AJ1496" t="str">
            <v>Strands PW</v>
          </cell>
          <cell r="AK1496" t="str">
            <v>SNF received. 1st batch of V3 asset (December 2020)</v>
          </cell>
        </row>
        <row r="1497">
          <cell r="A1497" t="str">
            <v>IKN401224</v>
          </cell>
          <cell r="B1497">
            <v>1222</v>
          </cell>
          <cell r="C1497" t="str">
            <v>Institut Kanser Negara</v>
          </cell>
          <cell r="D1497" t="str">
            <v>KKM/IKN/H/13/4850</v>
          </cell>
          <cell r="E1497" t="str">
            <v>15-663</v>
          </cell>
          <cell r="F1497" t="str">
            <v>Pipetters</v>
          </cell>
          <cell r="G1497" t="str">
            <v>NM</v>
          </cell>
          <cell r="H1497" t="str">
            <v>NUCLEAR MED (DIAGNOSTIC)</v>
          </cell>
          <cell r="I1497" t="str">
            <v>03NM139</v>
          </cell>
          <cell r="J1497" t="str">
            <v>QC</v>
          </cell>
          <cell r="K1497" t="str">
            <v>BMED</v>
          </cell>
          <cell r="L1497" t="str">
            <v>Normal</v>
          </cell>
          <cell r="M1497" t="str">
            <v>Germany</v>
          </cell>
          <cell r="N1497" t="str">
            <v>Eppendorf</v>
          </cell>
          <cell r="O1497" t="str">
            <v>Research Plus</v>
          </cell>
          <cell r="P1497" t="str">
            <v>L238478</v>
          </cell>
          <cell r="Q1497" t="str">
            <v>Not Applicable</v>
          </cell>
          <cell r="R1497" t="str">
            <v>Eppendorf</v>
          </cell>
          <cell r="S1497" t="str">
            <v>Medigene sdn bhd</v>
          </cell>
          <cell r="T1497" t="str">
            <v>Functioning</v>
          </cell>
          <cell r="U1497" t="str">
            <v>Asset</v>
          </cell>
          <cell r="V1497">
            <v>1323</v>
          </cell>
          <cell r="W1497" t="str">
            <v>KEW</v>
          </cell>
          <cell r="X1497" t="str">
            <v>01/09/2010</v>
          </cell>
          <cell r="Y1497" t="str">
            <v>KEW</v>
          </cell>
          <cell r="Z1497" t="str">
            <v>16/08/2013</v>
          </cell>
          <cell r="AA1497" t="str">
            <v>15/08/2015</v>
          </cell>
          <cell r="AB1497" t="str">
            <v>No</v>
          </cell>
          <cell r="AC1497" t="str">
            <v>31/08/2013</v>
          </cell>
          <cell r="AD1497" t="str">
            <v>Good</v>
          </cell>
          <cell r="AE1497" t="str">
            <v>V3 - Added Installed Facilities (New)</v>
          </cell>
          <cell r="AF1497">
            <v>42235</v>
          </cell>
          <cell r="AG1497">
            <v>9.17</v>
          </cell>
          <cell r="AH1497" t="str">
            <v>PPM</v>
          </cell>
          <cell r="AI1497" t="str">
            <v>Strands</v>
          </cell>
          <cell r="AJ1497" t="str">
            <v>Strands PW</v>
          </cell>
          <cell r="AK1497" t="str">
            <v>SNF received. 1st batch of V3 asset (December 2020)</v>
          </cell>
        </row>
        <row r="1498">
          <cell r="A1498" t="str">
            <v>IKN401225</v>
          </cell>
          <cell r="B1498">
            <v>1223</v>
          </cell>
          <cell r="C1498" t="str">
            <v>Institut Kanser Negara</v>
          </cell>
          <cell r="D1498" t="str">
            <v>KKM/IKN/H/13/4849</v>
          </cell>
          <cell r="E1498" t="str">
            <v>15-663</v>
          </cell>
          <cell r="F1498" t="str">
            <v>Pipetters</v>
          </cell>
          <cell r="G1498" t="str">
            <v>NM</v>
          </cell>
          <cell r="H1498" t="str">
            <v>NUCLEAR MED (DIAGNOSTIC)</v>
          </cell>
          <cell r="I1498" t="str">
            <v>03NM139</v>
          </cell>
          <cell r="J1498" t="str">
            <v>QC</v>
          </cell>
          <cell r="K1498" t="str">
            <v>BMED</v>
          </cell>
          <cell r="L1498" t="str">
            <v>Normal</v>
          </cell>
          <cell r="M1498" t="str">
            <v>Germany</v>
          </cell>
          <cell r="N1498" t="str">
            <v>Eppendorf</v>
          </cell>
          <cell r="O1498" t="str">
            <v>Research Plus</v>
          </cell>
          <cell r="P1498" t="str">
            <v>480233A</v>
          </cell>
          <cell r="Q1498" t="str">
            <v>Not Applicable</v>
          </cell>
          <cell r="R1498" t="str">
            <v>Eppendorf</v>
          </cell>
          <cell r="S1498" t="str">
            <v>Medigene sdn bhd</v>
          </cell>
          <cell r="T1498" t="str">
            <v>Functioning</v>
          </cell>
          <cell r="U1498" t="str">
            <v>Asset</v>
          </cell>
          <cell r="V1498">
            <v>1323</v>
          </cell>
          <cell r="W1498" t="str">
            <v>KEW</v>
          </cell>
          <cell r="X1498" t="str">
            <v>01/09/2010</v>
          </cell>
          <cell r="Y1498" t="str">
            <v>KEW</v>
          </cell>
          <cell r="Z1498" t="str">
            <v>16/08/2013</v>
          </cell>
          <cell r="AA1498" t="str">
            <v>15/08/2015</v>
          </cell>
          <cell r="AB1498" t="str">
            <v>No</v>
          </cell>
          <cell r="AC1498" t="str">
            <v>31/08/2013</v>
          </cell>
          <cell r="AD1498" t="str">
            <v>Good</v>
          </cell>
          <cell r="AE1498" t="str">
            <v>V3 - Added Installed Facilities (New)</v>
          </cell>
          <cell r="AF1498">
            <v>42235</v>
          </cell>
          <cell r="AG1498">
            <v>9.17</v>
          </cell>
          <cell r="AH1498" t="str">
            <v>PPM</v>
          </cell>
          <cell r="AI1498" t="str">
            <v>Strands</v>
          </cell>
          <cell r="AJ1498" t="str">
            <v>Strands PW</v>
          </cell>
          <cell r="AK1498" t="str">
            <v>SNF received. 1st batch of V3 asset (December 2020)</v>
          </cell>
        </row>
        <row r="1499">
          <cell r="A1499" t="str">
            <v>IKN401226</v>
          </cell>
          <cell r="B1499">
            <v>1224</v>
          </cell>
          <cell r="C1499" t="str">
            <v>Institut Kanser Negara</v>
          </cell>
          <cell r="D1499" t="str">
            <v>KKM/IKN/H/13/4848</v>
          </cell>
          <cell r="E1499" t="str">
            <v>15-663</v>
          </cell>
          <cell r="F1499" t="str">
            <v>Pipetters</v>
          </cell>
          <cell r="G1499" t="str">
            <v>NM</v>
          </cell>
          <cell r="H1499" t="str">
            <v>NUCLEAR MED (DIAGNOSTIC)</v>
          </cell>
          <cell r="I1499" t="str">
            <v>03NM139</v>
          </cell>
          <cell r="J1499" t="str">
            <v>QC</v>
          </cell>
          <cell r="K1499" t="str">
            <v>BMED</v>
          </cell>
          <cell r="L1499" t="str">
            <v>Normal</v>
          </cell>
          <cell r="M1499" t="str">
            <v>Germany</v>
          </cell>
          <cell r="N1499" t="str">
            <v>Eppendorf</v>
          </cell>
          <cell r="O1499" t="str">
            <v>Research Plus</v>
          </cell>
          <cell r="P1499" t="str">
            <v>341650A</v>
          </cell>
          <cell r="Q1499" t="str">
            <v>Not Applicable</v>
          </cell>
          <cell r="R1499" t="str">
            <v>Eppendorf</v>
          </cell>
          <cell r="S1499" t="str">
            <v>Medigene sdn bhd</v>
          </cell>
          <cell r="T1499" t="str">
            <v>Functioning</v>
          </cell>
          <cell r="U1499" t="str">
            <v>Asset</v>
          </cell>
          <cell r="V1499">
            <v>1323</v>
          </cell>
          <cell r="W1499" t="str">
            <v>KEW</v>
          </cell>
          <cell r="X1499" t="str">
            <v>01/09/2010</v>
          </cell>
          <cell r="Y1499" t="str">
            <v>KEW</v>
          </cell>
          <cell r="Z1499" t="str">
            <v>16/08/2013</v>
          </cell>
          <cell r="AA1499" t="str">
            <v>15/08/2015</v>
          </cell>
          <cell r="AB1499" t="str">
            <v>No</v>
          </cell>
          <cell r="AC1499" t="str">
            <v>31/08/2013</v>
          </cell>
          <cell r="AD1499" t="str">
            <v>Good</v>
          </cell>
          <cell r="AE1499" t="str">
            <v>V3 - Added Installed Facilities (New)</v>
          </cell>
          <cell r="AF1499">
            <v>42235</v>
          </cell>
          <cell r="AG1499">
            <v>9.17</v>
          </cell>
          <cell r="AH1499" t="str">
            <v>PPM</v>
          </cell>
          <cell r="AI1499" t="str">
            <v>Strands</v>
          </cell>
          <cell r="AJ1499" t="str">
            <v>Strands PW</v>
          </cell>
          <cell r="AK1499" t="str">
            <v>SNF received. 1st batch of V3 asset (December 2020).</v>
          </cell>
        </row>
        <row r="1500">
          <cell r="A1500" t="str">
            <v>IKN401227</v>
          </cell>
          <cell r="B1500">
            <v>1225</v>
          </cell>
          <cell r="C1500" t="str">
            <v>Institut Kanser Negara</v>
          </cell>
          <cell r="D1500" t="str">
            <v>KKM/IKN/H/13/4847</v>
          </cell>
          <cell r="E1500" t="str">
            <v>15-663</v>
          </cell>
          <cell r="F1500" t="str">
            <v>Pipetters</v>
          </cell>
          <cell r="G1500" t="str">
            <v>NM</v>
          </cell>
          <cell r="H1500" t="str">
            <v>NUCLEAR MED (DIAGNOSTIC)</v>
          </cell>
          <cell r="I1500" t="str">
            <v>03NM139</v>
          </cell>
          <cell r="J1500" t="str">
            <v>QC</v>
          </cell>
          <cell r="K1500" t="str">
            <v>BMED</v>
          </cell>
          <cell r="L1500" t="str">
            <v>Normal</v>
          </cell>
          <cell r="M1500" t="str">
            <v>Germany</v>
          </cell>
          <cell r="N1500" t="str">
            <v>Eppendorf</v>
          </cell>
          <cell r="O1500" t="str">
            <v>Research Plus</v>
          </cell>
          <cell r="P1500" t="str">
            <v>L23688B</v>
          </cell>
          <cell r="Q1500" t="str">
            <v>Not Applicable</v>
          </cell>
          <cell r="R1500" t="str">
            <v>Eppendorf</v>
          </cell>
          <cell r="S1500" t="str">
            <v>Medigene sdn bhd</v>
          </cell>
          <cell r="T1500" t="str">
            <v>Functioning</v>
          </cell>
          <cell r="U1500" t="str">
            <v>Asset</v>
          </cell>
          <cell r="V1500">
            <v>1323</v>
          </cell>
          <cell r="W1500" t="str">
            <v>KEW</v>
          </cell>
          <cell r="X1500" t="str">
            <v>01/09/2010</v>
          </cell>
          <cell r="Y1500" t="str">
            <v>KEW</v>
          </cell>
          <cell r="Z1500" t="str">
            <v>16/08/2013</v>
          </cell>
          <cell r="AA1500" t="str">
            <v>15/08/2015</v>
          </cell>
          <cell r="AB1500" t="str">
            <v>No</v>
          </cell>
          <cell r="AC1500" t="str">
            <v>31/08/2013</v>
          </cell>
          <cell r="AD1500" t="str">
            <v>Good</v>
          </cell>
          <cell r="AE1500" t="str">
            <v>V3 - Added Installed Facilities (New)</v>
          </cell>
          <cell r="AF1500">
            <v>42796</v>
          </cell>
          <cell r="AG1500">
            <v>9.17</v>
          </cell>
          <cell r="AH1500" t="str">
            <v>PPM</v>
          </cell>
          <cell r="AI1500" t="str">
            <v>Strands</v>
          </cell>
          <cell r="AJ1500" t="str">
            <v>Strands PW</v>
          </cell>
          <cell r="AK1500" t="str">
            <v>SNF received. 1st batch of V3 asset (December 2020)</v>
          </cell>
        </row>
        <row r="1501">
          <cell r="A1501" t="str">
            <v>IKN401228</v>
          </cell>
          <cell r="B1501">
            <v>1226</v>
          </cell>
          <cell r="C1501" t="str">
            <v>Institut Kanser Negara</v>
          </cell>
          <cell r="D1501" t="str">
            <v>KKM/IKN/H/13/4853</v>
          </cell>
          <cell r="E1501" t="str">
            <v>15-663</v>
          </cell>
          <cell r="F1501" t="str">
            <v>Pipetters</v>
          </cell>
          <cell r="G1501" t="str">
            <v>WA</v>
          </cell>
          <cell r="H1501" t="str">
            <v>NUCLEAR MED WARD (THERAPY)</v>
          </cell>
          <cell r="I1501" t="str">
            <v>03WA125</v>
          </cell>
          <cell r="J1501" t="str">
            <v>RADIOIODIN PREP (100% F.A.)</v>
          </cell>
          <cell r="K1501" t="str">
            <v>BMED</v>
          </cell>
          <cell r="L1501" t="str">
            <v>Normal</v>
          </cell>
          <cell r="M1501" t="str">
            <v>Germany</v>
          </cell>
          <cell r="N1501" t="str">
            <v>Eppendorf</v>
          </cell>
          <cell r="O1501" t="str">
            <v>Research Plus</v>
          </cell>
          <cell r="P1501" t="str">
            <v>4914939</v>
          </cell>
          <cell r="Q1501" t="str">
            <v>Not Applicable</v>
          </cell>
          <cell r="R1501" t="str">
            <v>Eppendorf</v>
          </cell>
          <cell r="S1501" t="str">
            <v>Medigene sdn bhd</v>
          </cell>
          <cell r="T1501" t="str">
            <v>Functioning</v>
          </cell>
          <cell r="U1501" t="str">
            <v>Asset</v>
          </cell>
          <cell r="V1501">
            <v>1323</v>
          </cell>
          <cell r="W1501" t="str">
            <v>KEW</v>
          </cell>
          <cell r="X1501" t="str">
            <v>01/09/2010</v>
          </cell>
          <cell r="Y1501" t="str">
            <v>KEW</v>
          </cell>
          <cell r="Z1501" t="str">
            <v>16/08/2013</v>
          </cell>
          <cell r="AA1501" t="str">
            <v>15/08/2015</v>
          </cell>
          <cell r="AB1501" t="str">
            <v>No</v>
          </cell>
          <cell r="AC1501" t="str">
            <v>31/08/2013</v>
          </cell>
          <cell r="AD1501" t="str">
            <v>Good</v>
          </cell>
          <cell r="AE1501" t="str">
            <v>V3 - Added Installed Facilities (New)</v>
          </cell>
          <cell r="AF1501">
            <v>42235</v>
          </cell>
          <cell r="AG1501">
            <v>9.17</v>
          </cell>
          <cell r="AH1501" t="str">
            <v>PPM</v>
          </cell>
          <cell r="AI1501" t="str">
            <v>Strands</v>
          </cell>
          <cell r="AJ1501" t="str">
            <v>Strands PW</v>
          </cell>
          <cell r="AK1501" t="str">
            <v>SNF received. 1st batch of V3 asset (December 2020)</v>
          </cell>
        </row>
        <row r="1502">
          <cell r="A1502" t="str">
            <v>IKN401229</v>
          </cell>
          <cell r="B1502">
            <v>1227</v>
          </cell>
          <cell r="C1502" t="str">
            <v>Institut Kanser Negara</v>
          </cell>
          <cell r="D1502" t="str">
            <v>KKM/IKN/H/13/4854</v>
          </cell>
          <cell r="E1502" t="str">
            <v>15-663</v>
          </cell>
          <cell r="F1502" t="str">
            <v>Pipetters</v>
          </cell>
          <cell r="G1502" t="str">
            <v>WA</v>
          </cell>
          <cell r="H1502" t="str">
            <v>NUCLEAR MED WARD (THERAPY)</v>
          </cell>
          <cell r="I1502" t="str">
            <v>03WA125</v>
          </cell>
          <cell r="J1502" t="str">
            <v>RADIOIODIN PREP (100% F.A.)</v>
          </cell>
          <cell r="K1502" t="str">
            <v>BMED</v>
          </cell>
          <cell r="L1502" t="str">
            <v>Normal</v>
          </cell>
          <cell r="M1502" t="str">
            <v>Germany</v>
          </cell>
          <cell r="N1502" t="str">
            <v>Eppendorf</v>
          </cell>
          <cell r="O1502" t="str">
            <v>Research Plus</v>
          </cell>
          <cell r="P1502" t="str">
            <v>2534859</v>
          </cell>
          <cell r="Q1502" t="str">
            <v>Not Applicable</v>
          </cell>
          <cell r="R1502" t="str">
            <v>Eppendorf</v>
          </cell>
          <cell r="S1502" t="str">
            <v>Medigene sdn bhd</v>
          </cell>
          <cell r="T1502" t="str">
            <v>Functioning</v>
          </cell>
          <cell r="U1502" t="str">
            <v>Asset</v>
          </cell>
          <cell r="V1502">
            <v>1323</v>
          </cell>
          <cell r="W1502" t="str">
            <v>KEW</v>
          </cell>
          <cell r="X1502" t="str">
            <v>01/09/2010</v>
          </cell>
          <cell r="Y1502" t="str">
            <v>KEW</v>
          </cell>
          <cell r="Z1502" t="str">
            <v>16/08/2013</v>
          </cell>
          <cell r="AA1502" t="str">
            <v>15/08/2015</v>
          </cell>
          <cell r="AB1502" t="str">
            <v>No</v>
          </cell>
          <cell r="AC1502" t="str">
            <v>31/08/2013</v>
          </cell>
          <cell r="AD1502" t="str">
            <v>Good</v>
          </cell>
          <cell r="AE1502" t="str">
            <v>V3 - Added Installed Facilities (New)</v>
          </cell>
          <cell r="AF1502">
            <v>42235</v>
          </cell>
          <cell r="AG1502">
            <v>9.17</v>
          </cell>
          <cell r="AH1502" t="str">
            <v>PPM</v>
          </cell>
          <cell r="AI1502" t="str">
            <v>Strands</v>
          </cell>
          <cell r="AJ1502" t="str">
            <v>Strands PW</v>
          </cell>
          <cell r="AK1502" t="str">
            <v>SNF received. 1st batch of V3 asset (December 2020)</v>
          </cell>
        </row>
        <row r="1503">
          <cell r="A1503" t="str">
            <v>IKN401230</v>
          </cell>
          <cell r="B1503">
            <v>1228</v>
          </cell>
          <cell r="C1503" t="str">
            <v>Institut Kanser Negara</v>
          </cell>
          <cell r="D1503" t="str">
            <v>KKM/IKN/H/13/4846</v>
          </cell>
          <cell r="E1503" t="str">
            <v>15-663</v>
          </cell>
          <cell r="F1503" t="str">
            <v>Pipetters</v>
          </cell>
          <cell r="G1503" t="str">
            <v>WA</v>
          </cell>
          <cell r="H1503" t="str">
            <v>NUCLEAR MED WARD (THERAPY)</v>
          </cell>
          <cell r="I1503" t="str">
            <v>03WA125</v>
          </cell>
          <cell r="J1503" t="str">
            <v>RADIOIODIN PREP (100% F.A.)</v>
          </cell>
          <cell r="K1503" t="str">
            <v>BMED</v>
          </cell>
          <cell r="L1503" t="str">
            <v>Normal</v>
          </cell>
          <cell r="M1503" t="str">
            <v>Germany</v>
          </cell>
          <cell r="N1503" t="str">
            <v>Eppendorf</v>
          </cell>
          <cell r="O1503" t="str">
            <v>Research Plus</v>
          </cell>
          <cell r="P1503" t="str">
            <v>L23690B</v>
          </cell>
          <cell r="Q1503" t="str">
            <v>Not Applicable</v>
          </cell>
          <cell r="R1503" t="str">
            <v>Eppendorf</v>
          </cell>
          <cell r="S1503" t="str">
            <v>Medigene sdn bhd</v>
          </cell>
          <cell r="T1503" t="str">
            <v>Functioning</v>
          </cell>
          <cell r="U1503" t="str">
            <v>Asset</v>
          </cell>
          <cell r="V1503">
            <v>1323</v>
          </cell>
          <cell r="W1503" t="str">
            <v>KEW</v>
          </cell>
          <cell r="X1503" t="str">
            <v>01/09/2010</v>
          </cell>
          <cell r="Y1503" t="str">
            <v>KEW</v>
          </cell>
          <cell r="Z1503" t="str">
            <v>16/08/2013</v>
          </cell>
          <cell r="AA1503" t="str">
            <v>15/08/2015</v>
          </cell>
          <cell r="AB1503" t="str">
            <v>No</v>
          </cell>
          <cell r="AC1503" t="str">
            <v>31/08/2013</v>
          </cell>
          <cell r="AD1503" t="str">
            <v>Good</v>
          </cell>
          <cell r="AE1503" t="str">
            <v>V3 - Added Installed Facilities (New)</v>
          </cell>
          <cell r="AF1503">
            <v>42235</v>
          </cell>
          <cell r="AG1503">
            <v>9.17</v>
          </cell>
          <cell r="AH1503" t="str">
            <v>PPM</v>
          </cell>
          <cell r="AI1503" t="str">
            <v>Strands</v>
          </cell>
          <cell r="AJ1503" t="str">
            <v>Strands PW</v>
          </cell>
          <cell r="AK1503" t="str">
            <v>SNF received. 1st batch of V3 asset (December 2020)</v>
          </cell>
        </row>
        <row r="1504">
          <cell r="A1504" t="str">
            <v>IKN401231</v>
          </cell>
          <cell r="B1504">
            <v>1229</v>
          </cell>
          <cell r="C1504" t="str">
            <v>Institut Kanser Negara</v>
          </cell>
          <cell r="D1504" t="str">
            <v>KKM/IKN/H/13/4845</v>
          </cell>
          <cell r="E1504" t="str">
            <v>15-663</v>
          </cell>
          <cell r="F1504" t="str">
            <v>Pipetters</v>
          </cell>
          <cell r="G1504" t="str">
            <v>NM</v>
          </cell>
          <cell r="H1504" t="str">
            <v>NUCLEAR MED (DIAGNOSTIC)</v>
          </cell>
          <cell r="I1504" t="str">
            <v>03NM154</v>
          </cell>
          <cell r="J1504" t="str">
            <v>RIA LAB</v>
          </cell>
          <cell r="K1504" t="str">
            <v>BMED</v>
          </cell>
          <cell r="L1504" t="str">
            <v>Normal</v>
          </cell>
          <cell r="M1504" t="str">
            <v>Germany</v>
          </cell>
          <cell r="N1504" t="str">
            <v>Eppendorf</v>
          </cell>
          <cell r="O1504" t="str">
            <v>Research Plus</v>
          </cell>
          <cell r="P1504" t="str">
            <v>022812B</v>
          </cell>
          <cell r="Q1504" t="str">
            <v>Not Applicable</v>
          </cell>
          <cell r="R1504" t="str">
            <v>Eppendorf</v>
          </cell>
          <cell r="S1504" t="str">
            <v>Medigene sdn bhd</v>
          </cell>
          <cell r="T1504" t="str">
            <v>Functioning</v>
          </cell>
          <cell r="U1504" t="str">
            <v>Asset</v>
          </cell>
          <cell r="V1504">
            <v>3250</v>
          </cell>
          <cell r="W1504" t="str">
            <v>KEW</v>
          </cell>
          <cell r="X1504" t="str">
            <v>01/09/2010</v>
          </cell>
          <cell r="Y1504" t="str">
            <v>KEW</v>
          </cell>
          <cell r="Z1504" t="str">
            <v>16/08/2013</v>
          </cell>
          <cell r="AA1504" t="str">
            <v>15/08/2015</v>
          </cell>
          <cell r="AB1504" t="str">
            <v>No</v>
          </cell>
          <cell r="AC1504" t="str">
            <v>31/08/2013</v>
          </cell>
          <cell r="AD1504" t="str">
            <v>Good</v>
          </cell>
          <cell r="AE1504" t="str">
            <v>V1 - Existing / No Claim</v>
          </cell>
          <cell r="AF1504">
            <v>42235</v>
          </cell>
          <cell r="AG1504">
            <v>9.17</v>
          </cell>
          <cell r="AH1504" t="str">
            <v>PPM</v>
          </cell>
          <cell r="AI1504" t="str">
            <v>Strands</v>
          </cell>
          <cell r="AJ1504" t="str">
            <v>Strands PW</v>
          </cell>
        </row>
        <row r="1505">
          <cell r="A1505" t="str">
            <v>IKN401232</v>
          </cell>
          <cell r="B1505">
            <v>1230</v>
          </cell>
          <cell r="C1505" t="str">
            <v>Institut Kanser Negara</v>
          </cell>
          <cell r="D1505" t="str">
            <v>KKM/IKN/H/13/3102</v>
          </cell>
          <cell r="E1505" t="str">
            <v>15-105</v>
          </cell>
          <cell r="F1505" t="str">
            <v>Heating Blocks</v>
          </cell>
          <cell r="G1505" t="str">
            <v>NM</v>
          </cell>
          <cell r="H1505" t="str">
            <v>NUCLEAR MED (DIAGNOSTIC)</v>
          </cell>
          <cell r="I1505" t="str">
            <v>03NM138</v>
          </cell>
          <cell r="J1505" t="str">
            <v>RADIOIODINE PREP. (100% F.A)</v>
          </cell>
          <cell r="K1505" t="str">
            <v>BMED</v>
          </cell>
          <cell r="L1505" t="str">
            <v>Normal</v>
          </cell>
          <cell r="M1505" t="str">
            <v>France</v>
          </cell>
          <cell r="N1505" t="str">
            <v>LemerPax</v>
          </cell>
          <cell r="O1505" t="str">
            <v>BSH1001-E</v>
          </cell>
          <cell r="P1505" t="str">
            <v>AD-BSH1-1216</v>
          </cell>
          <cell r="Q1505" t="str">
            <v>Not Applicable</v>
          </cell>
          <cell r="R1505" t="str">
            <v>LemerPax Innovative</v>
          </cell>
          <cell r="S1505" t="str">
            <v>Quantarad Technologies Sdn Bhd</v>
          </cell>
          <cell r="T1505" t="str">
            <v>Functioning</v>
          </cell>
          <cell r="U1505" t="str">
            <v>Asset</v>
          </cell>
          <cell r="V1505">
            <v>34320</v>
          </cell>
          <cell r="W1505" t="str">
            <v>KEW</v>
          </cell>
          <cell r="X1505" t="str">
            <v>01/09/2010</v>
          </cell>
          <cell r="Y1505" t="str">
            <v>KEW</v>
          </cell>
          <cell r="Z1505" t="str">
            <v>16/08/2013</v>
          </cell>
          <cell r="AA1505" t="str">
            <v>15/08/2015</v>
          </cell>
          <cell r="AB1505" t="str">
            <v>No</v>
          </cell>
          <cell r="AC1505" t="str">
            <v>31/08/2013</v>
          </cell>
          <cell r="AD1505" t="str">
            <v>Good</v>
          </cell>
          <cell r="AE1505" t="str">
            <v>V1 - Existing / No Claim</v>
          </cell>
          <cell r="AF1505">
            <v>42235</v>
          </cell>
          <cell r="AG1505">
            <v>9.17</v>
          </cell>
          <cell r="AH1505" t="str">
            <v>PPM</v>
          </cell>
          <cell r="AI1505" t="str">
            <v>Strands</v>
          </cell>
          <cell r="AJ1505" t="str">
            <v>Strands PW</v>
          </cell>
        </row>
        <row r="1506">
          <cell r="A1506" t="str">
            <v>IKN401233</v>
          </cell>
          <cell r="B1506">
            <v>1231</v>
          </cell>
          <cell r="C1506" t="str">
            <v>Institut Kanser Negara</v>
          </cell>
          <cell r="D1506" t="e">
            <v>#N/A</v>
          </cell>
          <cell r="E1506" t="str">
            <v>15-178</v>
          </cell>
          <cell r="F1506" t="str">
            <v>Shakers, Laboratory</v>
          </cell>
          <cell r="G1506" t="str">
            <v>NM</v>
          </cell>
          <cell r="H1506" t="str">
            <v>NUCLEAR MED (DIAGNOSTIC)</v>
          </cell>
          <cell r="I1506" t="str">
            <v>03NM138</v>
          </cell>
          <cell r="J1506" t="str">
            <v>RADIOIODINE PREP. (100% F.A)</v>
          </cell>
          <cell r="K1506" t="str">
            <v>BMED</v>
          </cell>
          <cell r="L1506" t="str">
            <v>Normal</v>
          </cell>
          <cell r="M1506" t="str">
            <v>France</v>
          </cell>
          <cell r="N1506" t="str">
            <v>LemerPax</v>
          </cell>
          <cell r="O1506" t="str">
            <v>Reax Top</v>
          </cell>
          <cell r="P1506" t="str">
            <v>021230051</v>
          </cell>
          <cell r="Q1506" t="str">
            <v>Not Applicable</v>
          </cell>
          <cell r="R1506" t="str">
            <v>LemerPax Innovative</v>
          </cell>
          <cell r="S1506" t="str">
            <v>Quantarad Technologies Sdn Bhd</v>
          </cell>
          <cell r="T1506" t="str">
            <v>Functioning</v>
          </cell>
          <cell r="U1506" t="str">
            <v>Asset</v>
          </cell>
          <cell r="V1506">
            <v>10000</v>
          </cell>
          <cell r="W1506" t="str">
            <v>KEW</v>
          </cell>
          <cell r="X1506" t="str">
            <v>01/09/2010</v>
          </cell>
          <cell r="Y1506" t="str">
            <v>KEW</v>
          </cell>
          <cell r="Z1506" t="str">
            <v>16/08/2013</v>
          </cell>
          <cell r="AA1506" t="str">
            <v>15/08/2015</v>
          </cell>
          <cell r="AB1506" t="str">
            <v>No</v>
          </cell>
          <cell r="AC1506" t="str">
            <v>31/08/2013</v>
          </cell>
          <cell r="AD1506" t="str">
            <v>Good</v>
          </cell>
          <cell r="AE1506" t="str">
            <v>V1 - Existing / No Claim</v>
          </cell>
          <cell r="AF1506">
            <v>42235</v>
          </cell>
          <cell r="AG1506">
            <v>9.17</v>
          </cell>
          <cell r="AH1506" t="str">
            <v>PPM</v>
          </cell>
          <cell r="AI1506" t="str">
            <v>Not in contract</v>
          </cell>
          <cell r="AJ1506" t="e">
            <v>#REF!</v>
          </cell>
        </row>
        <row r="1507">
          <cell r="A1507" t="str">
            <v>IKN401234</v>
          </cell>
          <cell r="B1507">
            <v>1232</v>
          </cell>
          <cell r="C1507" t="str">
            <v>Institut Kanser Negara</v>
          </cell>
          <cell r="D1507" t="str">
            <v>KKM/IKN/H/13/3103</v>
          </cell>
          <cell r="E1507" t="str">
            <v>18-449</v>
          </cell>
          <cell r="F1507" t="str">
            <v>Balances, Electronic, Analytical</v>
          </cell>
          <cell r="G1507" t="str">
            <v>NM</v>
          </cell>
          <cell r="H1507" t="str">
            <v>NUCLEAR MED (DIAGNOSTIC)</v>
          </cell>
          <cell r="I1507" t="str">
            <v>03NM138</v>
          </cell>
          <cell r="J1507" t="str">
            <v>RADIOIODINE PREP. (100% F.A)</v>
          </cell>
          <cell r="K1507" t="str">
            <v>BMED</v>
          </cell>
          <cell r="L1507" t="str">
            <v>Normal</v>
          </cell>
          <cell r="M1507" t="str">
            <v>Germany</v>
          </cell>
          <cell r="N1507" t="str">
            <v>Sartorius</v>
          </cell>
          <cell r="O1507" t="str">
            <v>CPA225D</v>
          </cell>
          <cell r="P1507" t="str">
            <v>28103546</v>
          </cell>
          <cell r="Q1507" t="str">
            <v>Not Applicable</v>
          </cell>
          <cell r="R1507" t="str">
            <v>Sartorius AG</v>
          </cell>
          <cell r="S1507" t="str">
            <v>Chemopharm S/B</v>
          </cell>
          <cell r="T1507" t="str">
            <v>Functioning</v>
          </cell>
          <cell r="U1507" t="str">
            <v>Asset</v>
          </cell>
          <cell r="V1507">
            <v>6250</v>
          </cell>
          <cell r="W1507" t="str">
            <v>KEW</v>
          </cell>
          <cell r="X1507" t="str">
            <v>01/09/2010</v>
          </cell>
          <cell r="Y1507" t="str">
            <v>KEW</v>
          </cell>
          <cell r="Z1507" t="str">
            <v>16/08/2013</v>
          </cell>
          <cell r="AA1507" t="str">
            <v>15/08/2015</v>
          </cell>
          <cell r="AB1507" t="str">
            <v>No</v>
          </cell>
          <cell r="AC1507" t="str">
            <v>31/08/2013</v>
          </cell>
          <cell r="AD1507" t="str">
            <v>Good</v>
          </cell>
          <cell r="AE1507" t="str">
            <v>V1 - Existing / No Claim</v>
          </cell>
          <cell r="AF1507">
            <v>42235</v>
          </cell>
          <cell r="AG1507">
            <v>9.17</v>
          </cell>
          <cell r="AH1507" t="str">
            <v>PPM</v>
          </cell>
          <cell r="AI1507" t="str">
            <v>Strands</v>
          </cell>
          <cell r="AJ1507" t="str">
            <v>Strands PW</v>
          </cell>
        </row>
        <row r="1508">
          <cell r="A1508" t="str">
            <v>IKN401235</v>
          </cell>
          <cell r="B1508">
            <v>1233</v>
          </cell>
          <cell r="C1508" t="str">
            <v>Institut Kanser Negara</v>
          </cell>
          <cell r="D1508" t="str">
            <v>KKM/IKN/H/13/4506</v>
          </cell>
          <cell r="E1508" t="str">
            <v>15-161</v>
          </cell>
          <cell r="F1508" t="str">
            <v>Mixers, Clinical Laboratory</v>
          </cell>
          <cell r="G1508" t="str">
            <v>NM</v>
          </cell>
          <cell r="H1508" t="str">
            <v>NUCLEAR MED (DIAGNOSTIC)</v>
          </cell>
          <cell r="I1508" t="str">
            <v>03NM154</v>
          </cell>
          <cell r="J1508" t="str">
            <v>RIA LAB</v>
          </cell>
          <cell r="K1508" t="str">
            <v>BMED</v>
          </cell>
          <cell r="L1508" t="str">
            <v>Normal</v>
          </cell>
          <cell r="M1508" t="str">
            <v>UK</v>
          </cell>
          <cell r="N1508" t="str">
            <v>Stuart</v>
          </cell>
          <cell r="O1508" t="str">
            <v>SA8</v>
          </cell>
          <cell r="P1508" t="str">
            <v>R800004737</v>
          </cell>
          <cell r="Q1508" t="str">
            <v>Not Applicable</v>
          </cell>
          <cell r="R1508" t="str">
            <v>Stuart Scientific Co Ltd</v>
          </cell>
          <cell r="S1508" t="str">
            <v>Bumi Sains Sdn. Bhd.</v>
          </cell>
          <cell r="T1508" t="str">
            <v>Functioning</v>
          </cell>
          <cell r="U1508" t="str">
            <v>Asset</v>
          </cell>
          <cell r="V1508">
            <v>1200</v>
          </cell>
          <cell r="W1508" t="str">
            <v>KEW</v>
          </cell>
          <cell r="X1508" t="str">
            <v>01/09/2010</v>
          </cell>
          <cell r="Y1508" t="str">
            <v>KEW</v>
          </cell>
          <cell r="Z1508" t="str">
            <v>16/08/2013</v>
          </cell>
          <cell r="AA1508" t="str">
            <v>15/08/2015</v>
          </cell>
          <cell r="AB1508" t="str">
            <v>No</v>
          </cell>
          <cell r="AC1508" t="str">
            <v>31/08/2013</v>
          </cell>
          <cell r="AD1508" t="str">
            <v>Good</v>
          </cell>
          <cell r="AE1508" t="str">
            <v>V1 - Existing / No Claim</v>
          </cell>
          <cell r="AF1508">
            <v>42235</v>
          </cell>
          <cell r="AG1508">
            <v>9.17</v>
          </cell>
          <cell r="AH1508" t="str">
            <v>PPM</v>
          </cell>
          <cell r="AI1508" t="str">
            <v>Strands</v>
          </cell>
          <cell r="AJ1508" t="str">
            <v>Strands PW</v>
          </cell>
        </row>
        <row r="1509">
          <cell r="A1509" t="str">
            <v>IKN401236</v>
          </cell>
          <cell r="B1509">
            <v>1234</v>
          </cell>
          <cell r="C1509" t="str">
            <v>Institut Kanser Negara</v>
          </cell>
          <cell r="D1509" t="str">
            <v>KKM/IKN/H/15/2</v>
          </cell>
          <cell r="E1509" t="str">
            <v>16-231</v>
          </cell>
          <cell r="F1509" t="str">
            <v>Electrocardiographs, Multichannel, Interpretative</v>
          </cell>
          <cell r="G1509" t="str">
            <v>NM</v>
          </cell>
          <cell r="H1509" t="str">
            <v>NUCLEAR MED (DIAGNOSTIC)</v>
          </cell>
          <cell r="I1509" t="str">
            <v>03NM108</v>
          </cell>
          <cell r="J1509" t="str">
            <v>TREATMENT 1 (RAI)(VE)</v>
          </cell>
          <cell r="K1509" t="str">
            <v>BMED</v>
          </cell>
          <cell r="L1509" t="str">
            <v>Normal</v>
          </cell>
          <cell r="M1509" t="str">
            <v>India</v>
          </cell>
          <cell r="N1509" t="str">
            <v>GE Healthcare</v>
          </cell>
          <cell r="O1509" t="str">
            <v>MAC 600</v>
          </cell>
          <cell r="P1509" t="str">
            <v>SF715203481PA</v>
          </cell>
          <cell r="Q1509" t="str">
            <v>Not Applicable</v>
          </cell>
          <cell r="R1509" t="str">
            <v>GE Healthcare</v>
          </cell>
          <cell r="S1509" t="str">
            <v>Baco Medicare Sdn Bhd</v>
          </cell>
          <cell r="T1509" t="str">
            <v>Functioning</v>
          </cell>
          <cell r="U1509" t="str">
            <v>Asset</v>
          </cell>
          <cell r="V1509">
            <v>5590.2</v>
          </cell>
          <cell r="W1509" t="str">
            <v>KEW</v>
          </cell>
          <cell r="X1509" t="str">
            <v>15/06/2015</v>
          </cell>
          <cell r="Y1509" t="str">
            <v>KEW</v>
          </cell>
          <cell r="Z1509" t="str">
            <v>03/07/2015</v>
          </cell>
          <cell r="AA1509" t="str">
            <v>02/07/2016</v>
          </cell>
          <cell r="AB1509" t="str">
            <v>No</v>
          </cell>
          <cell r="AC1509" t="str">
            <v>03/07/2015</v>
          </cell>
          <cell r="AD1509" t="str">
            <v>Good</v>
          </cell>
          <cell r="AE1509" t="str">
            <v>V3 - Added Installed Facilities (New)</v>
          </cell>
          <cell r="AF1509">
            <v>42235</v>
          </cell>
          <cell r="AG1509">
            <v>4.42</v>
          </cell>
          <cell r="AH1509" t="str">
            <v>PPM</v>
          </cell>
          <cell r="AI1509" t="str">
            <v>Strands</v>
          </cell>
          <cell r="AJ1509" t="str">
            <v>Strands PW</v>
          </cell>
          <cell r="AK1509" t="str">
            <v>SNF received. 1st batch of V3 asset (December 2020)</v>
          </cell>
        </row>
        <row r="1510">
          <cell r="A1510" t="str">
            <v>IKN401237</v>
          </cell>
          <cell r="B1510">
            <v>1235</v>
          </cell>
          <cell r="C1510" t="str">
            <v>Institut Kanser Negara</v>
          </cell>
          <cell r="D1510" t="str">
            <v>KKM/IKN/H/15/1</v>
          </cell>
          <cell r="E1510" t="str">
            <v>16-231</v>
          </cell>
          <cell r="F1510" t="str">
            <v>Electrocardiographs, Multichannel, Interpretative</v>
          </cell>
          <cell r="G1510" t="str">
            <v>NM</v>
          </cell>
          <cell r="H1510" t="str">
            <v>NUCLEAR MED (DIAGNOSTIC)</v>
          </cell>
          <cell r="I1510" t="str">
            <v>03NM108</v>
          </cell>
          <cell r="J1510" t="str">
            <v>TREATMENT 1 (RAI)(VE)</v>
          </cell>
          <cell r="K1510" t="str">
            <v>BMED</v>
          </cell>
          <cell r="L1510" t="str">
            <v>Normal</v>
          </cell>
          <cell r="M1510" t="str">
            <v>India</v>
          </cell>
          <cell r="N1510" t="str">
            <v>GE Healthcare</v>
          </cell>
          <cell r="O1510" t="str">
            <v>MAC 600</v>
          </cell>
          <cell r="P1510" t="str">
            <v>SF713085165PA</v>
          </cell>
          <cell r="Q1510" t="str">
            <v>Not Applicable</v>
          </cell>
          <cell r="R1510" t="str">
            <v>GE Healthcare</v>
          </cell>
          <cell r="S1510" t="str">
            <v>Baco Medicare Sdn Bhd</v>
          </cell>
          <cell r="T1510" t="str">
            <v>Functioning</v>
          </cell>
          <cell r="U1510" t="str">
            <v>Asset</v>
          </cell>
          <cell r="V1510">
            <v>5590.2</v>
          </cell>
          <cell r="W1510" t="str">
            <v>KEW</v>
          </cell>
          <cell r="X1510" t="str">
            <v>15/06/2015</v>
          </cell>
          <cell r="Y1510" t="str">
            <v>KEW</v>
          </cell>
          <cell r="Z1510" t="str">
            <v>03/07/2015</v>
          </cell>
          <cell r="AA1510" t="str">
            <v>02/07/2016</v>
          </cell>
          <cell r="AB1510" t="str">
            <v>No</v>
          </cell>
          <cell r="AC1510" t="str">
            <v>03/07/2015</v>
          </cell>
          <cell r="AD1510" t="str">
            <v>Good</v>
          </cell>
          <cell r="AE1510" t="str">
            <v>V3 - Added Installed Facilities (New)</v>
          </cell>
          <cell r="AF1510">
            <v>42235</v>
          </cell>
          <cell r="AG1510">
            <v>4.42</v>
          </cell>
          <cell r="AH1510" t="str">
            <v>PPM</v>
          </cell>
          <cell r="AI1510" t="str">
            <v>Not in contract</v>
          </cell>
          <cell r="AJ1510" t="str">
            <v>Proposed for V3 P2.23</v>
          </cell>
          <cell r="AK1510" t="str">
            <v>KKM follow P2.23 list.</v>
          </cell>
        </row>
        <row r="1511">
          <cell r="A1511" t="str">
            <v>IKN401238</v>
          </cell>
          <cell r="B1511">
            <v>1236</v>
          </cell>
          <cell r="C1511" t="str">
            <v>Institut Kanser Negara</v>
          </cell>
          <cell r="D1511" t="str">
            <v>KKM/IKN/H/13/4863</v>
          </cell>
          <cell r="E1511" t="str">
            <v>17-211</v>
          </cell>
          <cell r="F1511" t="str">
            <v>Radiation Survey Meters, Geiger-Muller</v>
          </cell>
          <cell r="G1511" t="str">
            <v>ID</v>
          </cell>
          <cell r="H1511" t="str">
            <v>IMAGING DEPARTMENT</v>
          </cell>
          <cell r="I1511" t="str">
            <v>03ID169</v>
          </cell>
          <cell r="J1511" t="str">
            <v>RADIOGRAPHER</v>
          </cell>
          <cell r="K1511" t="str">
            <v>BMED</v>
          </cell>
          <cell r="L1511" t="str">
            <v>Normal</v>
          </cell>
          <cell r="M1511" t="str">
            <v>Germany</v>
          </cell>
          <cell r="N1511" t="str">
            <v>Thermo Fisher</v>
          </cell>
          <cell r="O1511" t="str">
            <v>RadEye B20</v>
          </cell>
          <cell r="P1511">
            <v>30445</v>
          </cell>
          <cell r="Q1511" t="str">
            <v>Not Applicable</v>
          </cell>
          <cell r="R1511" t="str">
            <v>Thermo Fisher Scientific</v>
          </cell>
          <cell r="S1511" t="str">
            <v>Delta Advantech (M) Sdn Bhd</v>
          </cell>
          <cell r="T1511" t="str">
            <v>Functioning</v>
          </cell>
          <cell r="U1511" t="str">
            <v>Asset</v>
          </cell>
          <cell r="V1511">
            <v>20000</v>
          </cell>
          <cell r="W1511" t="str">
            <v>KEW</v>
          </cell>
          <cell r="X1511" t="str">
            <v>01/09/2010</v>
          </cell>
          <cell r="Y1511" t="str">
            <v>KEW</v>
          </cell>
          <cell r="Z1511" t="str">
            <v>16/08/2013</v>
          </cell>
          <cell r="AA1511" t="str">
            <v>15/08/2015</v>
          </cell>
          <cell r="AB1511" t="str">
            <v>No</v>
          </cell>
          <cell r="AC1511" t="str">
            <v>31/08/2013</v>
          </cell>
          <cell r="AD1511" t="str">
            <v>Good</v>
          </cell>
          <cell r="AE1511" t="str">
            <v>V1 - Existing / No Claim</v>
          </cell>
          <cell r="AF1511">
            <v>42235</v>
          </cell>
          <cell r="AG1511">
            <v>9.17</v>
          </cell>
          <cell r="AH1511" t="str">
            <v>PPM</v>
          </cell>
          <cell r="AI1511" t="str">
            <v>Strands</v>
          </cell>
          <cell r="AJ1511" t="str">
            <v>Strands PW</v>
          </cell>
        </row>
        <row r="1512">
          <cell r="A1512" t="str">
            <v>IKN401239</v>
          </cell>
          <cell r="B1512">
            <v>1237</v>
          </cell>
          <cell r="C1512" t="str">
            <v>Institut Kanser Negara</v>
          </cell>
          <cell r="D1512" t="e">
            <v>#N/A</v>
          </cell>
          <cell r="E1512" t="str">
            <v>15-605</v>
          </cell>
          <cell r="F1512" t="str">
            <v>Testers</v>
          </cell>
          <cell r="G1512" t="str">
            <v>PS</v>
          </cell>
          <cell r="H1512" t="str">
            <v>SUPPORT SERVICE/PLANT</v>
          </cell>
          <cell r="I1512" t="str">
            <v>01PS105</v>
          </cell>
          <cell r="J1512" t="str">
            <v>CHIEF ENGINEER</v>
          </cell>
          <cell r="K1512" t="str">
            <v>BMED</v>
          </cell>
          <cell r="L1512" t="str">
            <v>Normal</v>
          </cell>
          <cell r="M1512" t="str">
            <v>USA</v>
          </cell>
          <cell r="N1512" t="str">
            <v>Fluke</v>
          </cell>
          <cell r="O1512" t="str">
            <v>Fluke 115</v>
          </cell>
          <cell r="P1512" t="str">
            <v>22462872</v>
          </cell>
          <cell r="Q1512" t="str">
            <v>Not Applicable</v>
          </cell>
          <cell r="R1512" t="str">
            <v>Fluke Biomedical RMS</v>
          </cell>
          <cell r="S1512" t="str">
            <v>Bell Comm Technologies Sdn Bhd</v>
          </cell>
          <cell r="T1512" t="str">
            <v>Functioning</v>
          </cell>
          <cell r="U1512" t="str">
            <v>Asset</v>
          </cell>
          <cell r="V1512">
            <v>700</v>
          </cell>
          <cell r="W1512" t="str">
            <v>KEW</v>
          </cell>
          <cell r="X1512" t="str">
            <v>01/09/2010</v>
          </cell>
          <cell r="Y1512" t="str">
            <v>KEW</v>
          </cell>
          <cell r="Z1512" t="str">
            <v>16/08/2013</v>
          </cell>
          <cell r="AA1512" t="str">
            <v>15/08/2015</v>
          </cell>
          <cell r="AB1512" t="str">
            <v>No</v>
          </cell>
          <cell r="AC1512" t="str">
            <v>31/08/2013</v>
          </cell>
          <cell r="AD1512" t="str">
            <v>Good</v>
          </cell>
          <cell r="AE1512" t="str">
            <v>V1 - Existing / No Claim</v>
          </cell>
          <cell r="AF1512">
            <v>42235</v>
          </cell>
          <cell r="AG1512">
            <v>9.17</v>
          </cell>
          <cell r="AH1512" t="str">
            <v>PPM</v>
          </cell>
          <cell r="AI1512" t="str">
            <v>Not in contract</v>
          </cell>
          <cell r="AJ1512" t="str">
            <v>ANALYZER</v>
          </cell>
          <cell r="AK1512" t="str">
            <v>IKN agreed unit to be used by BEMS but have to calibrate.</v>
          </cell>
        </row>
        <row r="1513">
          <cell r="A1513" t="str">
            <v>IKN401240</v>
          </cell>
          <cell r="B1513">
            <v>1238</v>
          </cell>
          <cell r="C1513" t="str">
            <v>Institut Kanser Negara</v>
          </cell>
          <cell r="D1513" t="e">
            <v>#N/A</v>
          </cell>
          <cell r="E1513" t="str">
            <v>15-605</v>
          </cell>
          <cell r="F1513" t="str">
            <v>Testers</v>
          </cell>
          <cell r="G1513" t="str">
            <v>PS</v>
          </cell>
          <cell r="H1513" t="str">
            <v>SUPPORT SERVICE/PLANT</v>
          </cell>
          <cell r="I1513" t="str">
            <v>01PS105</v>
          </cell>
          <cell r="J1513" t="str">
            <v>CHIEF ENGINEER</v>
          </cell>
          <cell r="K1513" t="str">
            <v>BMED</v>
          </cell>
          <cell r="L1513" t="str">
            <v>Normal</v>
          </cell>
          <cell r="M1513" t="str">
            <v>USA</v>
          </cell>
          <cell r="N1513" t="str">
            <v>Fluke</v>
          </cell>
          <cell r="O1513" t="str">
            <v>Fluke 115</v>
          </cell>
          <cell r="P1513" t="str">
            <v>22462790</v>
          </cell>
          <cell r="Q1513" t="str">
            <v>Not Applicable</v>
          </cell>
          <cell r="R1513" t="str">
            <v>Fluke Biomedical RMS</v>
          </cell>
          <cell r="S1513" t="str">
            <v>Bell Comm Technologies Sdn Bhd</v>
          </cell>
          <cell r="T1513" t="str">
            <v>Functioning</v>
          </cell>
          <cell r="U1513" t="str">
            <v>Asset</v>
          </cell>
          <cell r="V1513">
            <v>700</v>
          </cell>
          <cell r="W1513" t="str">
            <v>KEW</v>
          </cell>
          <cell r="X1513" t="str">
            <v>01/09/2010</v>
          </cell>
          <cell r="Y1513" t="str">
            <v>KEW</v>
          </cell>
          <cell r="Z1513" t="str">
            <v>16/08/2013</v>
          </cell>
          <cell r="AA1513" t="str">
            <v>15/08/2015</v>
          </cell>
          <cell r="AB1513" t="str">
            <v>No</v>
          </cell>
          <cell r="AC1513" t="str">
            <v>31/08/2013</v>
          </cell>
          <cell r="AD1513" t="str">
            <v>Good</v>
          </cell>
          <cell r="AE1513" t="str">
            <v>V1 - Existing / No Claim</v>
          </cell>
          <cell r="AF1513">
            <v>42235</v>
          </cell>
          <cell r="AG1513">
            <v>9.17</v>
          </cell>
          <cell r="AH1513" t="str">
            <v>PPM</v>
          </cell>
          <cell r="AI1513" t="str">
            <v>Not in contract</v>
          </cell>
          <cell r="AJ1513" t="str">
            <v>ANALYZER</v>
          </cell>
          <cell r="AK1513" t="str">
            <v>IKN agreed unit to be used by BEMS but have to calibrate.</v>
          </cell>
        </row>
        <row r="1514">
          <cell r="A1514" t="str">
            <v>IKN401246</v>
          </cell>
          <cell r="B1514">
            <v>1244</v>
          </cell>
          <cell r="C1514" t="str">
            <v>Institut Kanser Negara</v>
          </cell>
          <cell r="D1514" t="str">
            <v>N/A</v>
          </cell>
          <cell r="E1514" t="str">
            <v>13-281</v>
          </cell>
          <cell r="F1514" t="str">
            <v>Computers, Radiotherapy Planning System</v>
          </cell>
          <cell r="G1514" t="str">
            <v>RT</v>
          </cell>
          <cell r="H1514" t="str">
            <v>RADIATION TREATMENT UNIT</v>
          </cell>
          <cell r="I1514" t="str">
            <v>01RT156</v>
          </cell>
          <cell r="J1514" t="str">
            <v>CHILDREN'S PLAY AREA</v>
          </cell>
          <cell r="K1514" t="str">
            <v>BMED</v>
          </cell>
          <cell r="L1514" t="str">
            <v>Normal</v>
          </cell>
          <cell r="M1514" t="str">
            <v>USA</v>
          </cell>
          <cell r="N1514" t="str">
            <v>Elekta</v>
          </cell>
          <cell r="O1514" t="str">
            <v>Monaco</v>
          </cell>
          <cell r="P1514" t="str">
            <v>various</v>
          </cell>
          <cell r="Q1514" t="str">
            <v>Not Applicable</v>
          </cell>
          <cell r="R1514" t="str">
            <v>Elekta</v>
          </cell>
          <cell r="S1514" t="str">
            <v>Meditek Equipment</v>
          </cell>
          <cell r="T1514" t="str">
            <v>Functioning</v>
          </cell>
          <cell r="U1514" t="str">
            <v>Asset</v>
          </cell>
          <cell r="V1514">
            <v>2403940</v>
          </cell>
          <cell r="W1514" t="str">
            <v>KEW</v>
          </cell>
          <cell r="X1514" t="str">
            <v>01/09/2010</v>
          </cell>
          <cell r="Y1514" t="str">
            <v>KEW</v>
          </cell>
          <cell r="Z1514" t="str">
            <v>16/08/2013</v>
          </cell>
          <cell r="AA1514" t="str">
            <v>15/08/2015</v>
          </cell>
          <cell r="AB1514" t="str">
            <v>No</v>
          </cell>
          <cell r="AC1514" t="str">
            <v>31/08/2013</v>
          </cell>
          <cell r="AD1514" t="str">
            <v>Good</v>
          </cell>
          <cell r="AE1514" t="str">
            <v>V1 - Existing / No Claim</v>
          </cell>
          <cell r="AF1514">
            <v>42235</v>
          </cell>
          <cell r="AG1514">
            <v>9.17</v>
          </cell>
          <cell r="AH1514" t="str">
            <v>PPM</v>
          </cell>
          <cell r="AI1514" t="str">
            <v>Strands</v>
          </cell>
          <cell r="AJ1514" t="str">
            <v>Strands Package</v>
          </cell>
          <cell r="AK1514" t="str">
            <v>Package Code XM0005A, XM0005B</v>
          </cell>
        </row>
        <row r="1515">
          <cell r="A1515" t="str">
            <v>IKN401247</v>
          </cell>
          <cell r="B1515">
            <v>1245</v>
          </cell>
          <cell r="C1515" t="str">
            <v>Institut Kanser Negara</v>
          </cell>
          <cell r="D1515" t="str">
            <v>KKM/IKN/H/13/4667</v>
          </cell>
          <cell r="E1515" t="str">
            <v>10-485</v>
          </cell>
          <cell r="F1515" t="str">
            <v>Pumps, Breast</v>
          </cell>
          <cell r="G1515" t="str">
            <v>X4</v>
          </cell>
          <cell r="H1515" t="str">
            <v>COMMON FACILITIES LEVEL 4</v>
          </cell>
          <cell r="I1515" t="str">
            <v>04X4408</v>
          </cell>
          <cell r="J1515" t="str">
            <v>BREAST FEED &amp; NAPPY CHGE</v>
          </cell>
          <cell r="K1515" t="str">
            <v>BMED</v>
          </cell>
          <cell r="L1515" t="str">
            <v>Normal</v>
          </cell>
          <cell r="M1515" t="str">
            <v>Switzerland</v>
          </cell>
          <cell r="N1515" t="str">
            <v>Lactina</v>
          </cell>
          <cell r="O1515" t="str">
            <v>Lactina Electric Plus</v>
          </cell>
          <cell r="P1515" t="str">
            <v>667110</v>
          </cell>
          <cell r="Q1515" t="str">
            <v>N/A</v>
          </cell>
          <cell r="R1515" t="str">
            <v>Medela AG</v>
          </cell>
          <cell r="S1515" t="str">
            <v>Equip Medical (M) Sdn Bhd</v>
          </cell>
          <cell r="T1515" t="str">
            <v>Functioning</v>
          </cell>
          <cell r="U1515" t="str">
            <v>Asset</v>
          </cell>
          <cell r="V1515">
            <v>1178</v>
          </cell>
          <cell r="W1515" t="str">
            <v>KEW</v>
          </cell>
          <cell r="X1515" t="str">
            <v>01/09/2010</v>
          </cell>
          <cell r="Y1515" t="str">
            <v>Estimate</v>
          </cell>
          <cell r="Z1515" t="str">
            <v>16/08/2013</v>
          </cell>
          <cell r="AA1515" t="str">
            <v>15/08/2015</v>
          </cell>
          <cell r="AB1515" t="str">
            <v>No</v>
          </cell>
          <cell r="AC1515" t="str">
            <v>31/08/2013</v>
          </cell>
          <cell r="AD1515" t="str">
            <v>Good</v>
          </cell>
          <cell r="AE1515" t="str">
            <v>V1 - Existing / No Claim</v>
          </cell>
          <cell r="AF1515">
            <v>42388</v>
          </cell>
          <cell r="AG1515">
            <v>9.17</v>
          </cell>
          <cell r="AH1515" t="str">
            <v>PPM</v>
          </cell>
          <cell r="AI1515" t="str">
            <v>Strands</v>
          </cell>
          <cell r="AJ1515" t="str">
            <v>Strands PW</v>
          </cell>
        </row>
        <row r="1516">
          <cell r="A1516" t="str">
            <v>IKN401248</v>
          </cell>
          <cell r="B1516">
            <v>1246</v>
          </cell>
          <cell r="C1516" t="str">
            <v>Institut Kanser Negara</v>
          </cell>
          <cell r="D1516" t="str">
            <v>KKM/IKN/H/13/4668</v>
          </cell>
          <cell r="E1516" t="str">
            <v>10-485</v>
          </cell>
          <cell r="F1516" t="str">
            <v>Pumps, Breast</v>
          </cell>
          <cell r="G1516" t="str">
            <v>X4</v>
          </cell>
          <cell r="H1516" t="str">
            <v>COMMON FACILITIES LEVEL 4</v>
          </cell>
          <cell r="I1516" t="str">
            <v>04X4408</v>
          </cell>
          <cell r="J1516" t="str">
            <v>BREAST FEED &amp; NAPPY CHGE</v>
          </cell>
          <cell r="K1516" t="str">
            <v>BMED</v>
          </cell>
          <cell r="L1516" t="str">
            <v>Normal</v>
          </cell>
          <cell r="M1516" t="str">
            <v>Switzerland</v>
          </cell>
          <cell r="N1516" t="str">
            <v>Lactina</v>
          </cell>
          <cell r="O1516" t="str">
            <v>Lactina Electric Plus</v>
          </cell>
          <cell r="P1516" t="str">
            <v>667112</v>
          </cell>
          <cell r="Q1516" t="str">
            <v>NOT APPLICABLE</v>
          </cell>
          <cell r="R1516" t="str">
            <v>Medela AG</v>
          </cell>
          <cell r="S1516" t="str">
            <v>Equip Medical (M) Sdn Bhd</v>
          </cell>
          <cell r="T1516" t="str">
            <v>Functioning</v>
          </cell>
          <cell r="U1516" t="str">
            <v>Asset</v>
          </cell>
          <cell r="V1516">
            <v>1178</v>
          </cell>
          <cell r="W1516" t="str">
            <v>KEW</v>
          </cell>
          <cell r="X1516" t="str">
            <v>01/09/2010</v>
          </cell>
          <cell r="Y1516" t="str">
            <v>KEW</v>
          </cell>
          <cell r="Z1516" t="str">
            <v>16/08/2013</v>
          </cell>
          <cell r="AA1516" t="str">
            <v>15/08/2015</v>
          </cell>
          <cell r="AB1516" t="str">
            <v>No</v>
          </cell>
          <cell r="AC1516" t="str">
            <v>31/08/2013</v>
          </cell>
          <cell r="AD1516" t="str">
            <v>Good</v>
          </cell>
          <cell r="AE1516" t="str">
            <v>V1 - Existing / No Claim</v>
          </cell>
          <cell r="AF1516">
            <v>42397</v>
          </cell>
          <cell r="AG1516">
            <v>9.17</v>
          </cell>
          <cell r="AH1516" t="str">
            <v>PPM</v>
          </cell>
          <cell r="AI1516" t="str">
            <v>Strands</v>
          </cell>
          <cell r="AJ1516" t="str">
            <v>Strands PW</v>
          </cell>
        </row>
        <row r="1517">
          <cell r="A1517" t="str">
            <v>IKN401249</v>
          </cell>
          <cell r="B1517">
            <v>1247</v>
          </cell>
          <cell r="C1517" t="str">
            <v>Institut Kanser Negara</v>
          </cell>
          <cell r="D1517" t="e">
            <v>#N/A</v>
          </cell>
          <cell r="E1517" t="str">
            <v>15-605</v>
          </cell>
          <cell r="F1517" t="str">
            <v>Testers</v>
          </cell>
          <cell r="G1517" t="str">
            <v>PS</v>
          </cell>
          <cell r="H1517" t="str">
            <v>SUPPORT SERVICE/PLANT</v>
          </cell>
          <cell r="I1517" t="str">
            <v>01PS105</v>
          </cell>
          <cell r="J1517" t="str">
            <v>CHIEF ENGINEER</v>
          </cell>
          <cell r="K1517" t="str">
            <v>BMED</v>
          </cell>
          <cell r="L1517" t="str">
            <v>Normal</v>
          </cell>
          <cell r="M1517" t="str">
            <v>USA</v>
          </cell>
          <cell r="N1517" t="str">
            <v>Fluke</v>
          </cell>
          <cell r="O1517" t="str">
            <v>Fluke 28 II</v>
          </cell>
          <cell r="P1517" t="str">
            <v>20200058</v>
          </cell>
          <cell r="Q1517" t="str">
            <v>Not Applicable</v>
          </cell>
          <cell r="R1517" t="str">
            <v>Fluke Biomedical RMS</v>
          </cell>
          <cell r="S1517" t="str">
            <v>Bell Comm Technologies Sdn Bhd</v>
          </cell>
          <cell r="T1517" t="str">
            <v>Functioning</v>
          </cell>
          <cell r="U1517" t="str">
            <v>Asset</v>
          </cell>
          <cell r="V1517">
            <v>4700</v>
          </cell>
          <cell r="W1517" t="str">
            <v>KEW</v>
          </cell>
          <cell r="X1517" t="str">
            <v>01/09/2010</v>
          </cell>
          <cell r="Y1517" t="str">
            <v>KEW</v>
          </cell>
          <cell r="Z1517" t="str">
            <v>16/08/2013</v>
          </cell>
          <cell r="AA1517" t="str">
            <v>15/08/2015</v>
          </cell>
          <cell r="AB1517" t="str">
            <v>No</v>
          </cell>
          <cell r="AC1517" t="str">
            <v>31/08/2013</v>
          </cell>
          <cell r="AD1517" t="str">
            <v>Good</v>
          </cell>
          <cell r="AE1517" t="str">
            <v>V1 - Existing / No Claim</v>
          </cell>
          <cell r="AF1517">
            <v>42235</v>
          </cell>
          <cell r="AG1517">
            <v>9.17</v>
          </cell>
          <cell r="AH1517" t="str">
            <v>PPM</v>
          </cell>
          <cell r="AI1517" t="str">
            <v>Not in contract</v>
          </cell>
          <cell r="AJ1517" t="str">
            <v>ANALYZER</v>
          </cell>
          <cell r="AK1517" t="str">
            <v>IKN agreed unit to be used by BEMS but have to calibrate.</v>
          </cell>
        </row>
        <row r="1518">
          <cell r="A1518" t="str">
            <v>IKN401250</v>
          </cell>
          <cell r="B1518">
            <v>1248</v>
          </cell>
          <cell r="C1518" t="str">
            <v>Institut Kanser Negara</v>
          </cell>
          <cell r="D1518" t="str">
            <v>KKM/IKN/H/13/4508</v>
          </cell>
          <cell r="E1518" t="str">
            <v>15-164</v>
          </cell>
          <cell r="F1518" t="str">
            <v>pH Meters</v>
          </cell>
          <cell r="G1518" t="str">
            <v>NM</v>
          </cell>
          <cell r="H1518" t="str">
            <v>NUCLEAR MED (DIAGNOSTIC)</v>
          </cell>
          <cell r="I1518" t="str">
            <v>03NM138</v>
          </cell>
          <cell r="J1518" t="str">
            <v>RADIOIODINE PREP. (100% F.A)</v>
          </cell>
          <cell r="K1518" t="str">
            <v>BMED</v>
          </cell>
          <cell r="L1518" t="str">
            <v>Normal</v>
          </cell>
          <cell r="M1518" t="str">
            <v>Singapore</v>
          </cell>
          <cell r="N1518" t="str">
            <v>Accumet</v>
          </cell>
          <cell r="O1518" t="str">
            <v>Accumet AB150</v>
          </cell>
          <cell r="P1518" t="str">
            <v>AB92341936</v>
          </cell>
          <cell r="Q1518" t="str">
            <v>NOT APPLICABLE</v>
          </cell>
          <cell r="R1518" t="str">
            <v>Fisher Scientific Co</v>
          </cell>
          <cell r="S1518" t="str">
            <v>Bumi Sains Sdn. Bhd.</v>
          </cell>
          <cell r="T1518" t="str">
            <v>Functioning</v>
          </cell>
          <cell r="U1518" t="str">
            <v>Asset</v>
          </cell>
          <cell r="V1518">
            <v>8000</v>
          </cell>
          <cell r="W1518" t="str">
            <v>Estimate</v>
          </cell>
          <cell r="X1518" t="str">
            <v>01/09/2010</v>
          </cell>
          <cell r="Y1518" t="str">
            <v>KEW</v>
          </cell>
          <cell r="Z1518" t="str">
            <v>16/08/2013</v>
          </cell>
          <cell r="AA1518" t="str">
            <v>15/08/2015</v>
          </cell>
          <cell r="AB1518" t="str">
            <v>No</v>
          </cell>
          <cell r="AC1518" t="str">
            <v>31/08/2013</v>
          </cell>
          <cell r="AD1518" t="str">
            <v>Good</v>
          </cell>
          <cell r="AE1518" t="str">
            <v>V1 - Existing / No Claim</v>
          </cell>
          <cell r="AF1518">
            <v>42622</v>
          </cell>
          <cell r="AG1518">
            <v>9.17</v>
          </cell>
          <cell r="AH1518" t="str">
            <v>PPM</v>
          </cell>
          <cell r="AI1518" t="str">
            <v>Strands</v>
          </cell>
          <cell r="AJ1518" t="str">
            <v>Strands PW</v>
          </cell>
          <cell r="AK1518" t="str">
            <v>[14/3/2024]: UPDATE MODEL</v>
          </cell>
        </row>
        <row r="1519">
          <cell r="A1519" t="str">
            <v>IKN401251</v>
          </cell>
          <cell r="B1519">
            <v>1249</v>
          </cell>
          <cell r="C1519" t="str">
            <v>Institut Kanser Negara</v>
          </cell>
          <cell r="D1519" t="str">
            <v>KKM/IKN/H/13/4507</v>
          </cell>
          <cell r="E1519" t="str">
            <v>15-164</v>
          </cell>
          <cell r="F1519" t="str">
            <v>pH Meters</v>
          </cell>
          <cell r="G1519" t="str">
            <v>NM</v>
          </cell>
          <cell r="H1519" t="str">
            <v>NUCLEAR MED (DIAGNOSTIC)</v>
          </cell>
          <cell r="I1519" t="str">
            <v>03NM138</v>
          </cell>
          <cell r="J1519" t="str">
            <v>RADIOIODINE PREP. (100% F.A)</v>
          </cell>
          <cell r="K1519" t="str">
            <v>BMED</v>
          </cell>
          <cell r="L1519" t="str">
            <v>Normal</v>
          </cell>
          <cell r="M1519" t="str">
            <v>Singapore</v>
          </cell>
          <cell r="N1519" t="str">
            <v>Accumet</v>
          </cell>
          <cell r="O1519" t="str">
            <v>Accumet AB150</v>
          </cell>
          <cell r="P1519" t="str">
            <v>AB92341926</v>
          </cell>
          <cell r="Q1519" t="str">
            <v>NOT APPLICABLE</v>
          </cell>
          <cell r="R1519" t="str">
            <v>Fisher Scientific Co</v>
          </cell>
          <cell r="S1519" t="str">
            <v>Bumi Sains Sdn. Bhd.</v>
          </cell>
          <cell r="T1519" t="str">
            <v>Functioning</v>
          </cell>
          <cell r="U1519" t="str">
            <v>Asset</v>
          </cell>
          <cell r="V1519">
            <v>8000</v>
          </cell>
          <cell r="W1519" t="str">
            <v>Estimate</v>
          </cell>
          <cell r="X1519" t="str">
            <v>01/09/2010</v>
          </cell>
          <cell r="Y1519" t="str">
            <v>Estimate</v>
          </cell>
          <cell r="Z1519" t="str">
            <v>16/08/2013</v>
          </cell>
          <cell r="AA1519" t="str">
            <v>15/08/2015</v>
          </cell>
          <cell r="AB1519" t="str">
            <v>No</v>
          </cell>
          <cell r="AC1519" t="str">
            <v>31/08/2013</v>
          </cell>
          <cell r="AD1519" t="str">
            <v>Good</v>
          </cell>
          <cell r="AE1519" t="str">
            <v>V1 - Existing / No Claim</v>
          </cell>
          <cell r="AF1519">
            <v>42622</v>
          </cell>
          <cell r="AG1519">
            <v>9.17</v>
          </cell>
          <cell r="AH1519" t="str">
            <v>PPM</v>
          </cell>
          <cell r="AI1519" t="str">
            <v>Strands</v>
          </cell>
          <cell r="AJ1519" t="str">
            <v>Strands PW</v>
          </cell>
          <cell r="AK1519" t="str">
            <v>[14/3/2024]: UPDATE MODEL. [25/3/2024, ANIS]: UPDATE SN</v>
          </cell>
        </row>
        <row r="1520">
          <cell r="A1520" t="str">
            <v>IKN401252</v>
          </cell>
          <cell r="B1520">
            <v>1250</v>
          </cell>
          <cell r="C1520" t="str">
            <v>Institut Kanser Negara</v>
          </cell>
          <cell r="D1520" t="str">
            <v>KKM/IKN/H/15/17</v>
          </cell>
          <cell r="E1520" t="str">
            <v>17-116</v>
          </cell>
          <cell r="F1520" t="str">
            <v>Defibrillators, External, Automated</v>
          </cell>
          <cell r="G1520" t="str">
            <v>AE</v>
          </cell>
          <cell r="H1520" t="str">
            <v>EMERGENCY UNIT</v>
          </cell>
          <cell r="I1520" t="str">
            <v>01AE111</v>
          </cell>
          <cell r="J1520" t="str">
            <v>GANERAL STORE</v>
          </cell>
          <cell r="K1520" t="str">
            <v>BMED</v>
          </cell>
          <cell r="L1520" t="str">
            <v>Normal</v>
          </cell>
          <cell r="M1520" t="str">
            <v>USA</v>
          </cell>
          <cell r="N1520" t="str">
            <v>Heartstart</v>
          </cell>
          <cell r="O1520" t="str">
            <v>Heartstart FR3</v>
          </cell>
          <cell r="P1520" t="str">
            <v>C15E-00544</v>
          </cell>
          <cell r="Q1520" t="str">
            <v>NA</v>
          </cell>
          <cell r="R1520" t="str">
            <v>Philips Medical Systems</v>
          </cell>
          <cell r="S1520" t="str">
            <v>PHILIPS (M) SDN BHD</v>
          </cell>
          <cell r="T1520" t="str">
            <v>Functioning</v>
          </cell>
          <cell r="U1520" t="str">
            <v>Asset</v>
          </cell>
          <cell r="V1520">
            <v>14900</v>
          </cell>
          <cell r="W1520" t="str">
            <v>KEW</v>
          </cell>
          <cell r="X1520" t="str">
            <v>13/07/2015</v>
          </cell>
          <cell r="Y1520" t="str">
            <v>KEW</v>
          </cell>
          <cell r="Z1520" t="str">
            <v>21/08/2015</v>
          </cell>
          <cell r="AA1520" t="str">
            <v>20/08/2019</v>
          </cell>
          <cell r="AB1520" t="str">
            <v>No</v>
          </cell>
          <cell r="AC1520" t="str">
            <v>21/08/2015</v>
          </cell>
          <cell r="AD1520" t="str">
            <v>Good</v>
          </cell>
          <cell r="AE1520" t="str">
            <v>V3 - Added Installed Facilities (New)</v>
          </cell>
          <cell r="AF1520">
            <v>42389</v>
          </cell>
          <cell r="AG1520">
            <v>4.33</v>
          </cell>
          <cell r="AH1520" t="str">
            <v>PPM</v>
          </cell>
          <cell r="AI1520" t="str">
            <v>Strands</v>
          </cell>
          <cell r="AJ1520" t="str">
            <v>Strands PW</v>
          </cell>
          <cell r="AK1520" t="str">
            <v>SNF received. 1st batch of V3 asset (December 2020)</v>
          </cell>
        </row>
        <row r="1521">
          <cell r="A1521" t="str">
            <v>IKN401253</v>
          </cell>
          <cell r="B1521">
            <v>1251</v>
          </cell>
          <cell r="C1521" t="str">
            <v>Institut Kanser Negara</v>
          </cell>
          <cell r="D1521" t="str">
            <v>KKM/IKN/H/14/58</v>
          </cell>
          <cell r="E1521" t="str">
            <v>15-663</v>
          </cell>
          <cell r="F1521" t="str">
            <v>Pipetters</v>
          </cell>
          <cell r="G1521" t="str">
            <v>LA</v>
          </cell>
          <cell r="H1521" t="str">
            <v>PATHOLOGY</v>
          </cell>
          <cell r="I1521" t="str">
            <v>04LA140</v>
          </cell>
          <cell r="J1521" t="str">
            <v>BLOOD BANK</v>
          </cell>
          <cell r="K1521" t="str">
            <v>BMED</v>
          </cell>
          <cell r="L1521" t="str">
            <v>Normal</v>
          </cell>
          <cell r="M1521" t="str">
            <v>Germany</v>
          </cell>
          <cell r="N1521" t="str">
            <v>Eppendorf</v>
          </cell>
          <cell r="O1521" t="str">
            <v>Eppendorf Research Plus</v>
          </cell>
          <cell r="P1521" t="str">
            <v>L26942D</v>
          </cell>
          <cell r="Q1521" t="str">
            <v>Not Applicable</v>
          </cell>
          <cell r="R1521" t="str">
            <v>Eppendorf AG</v>
          </cell>
          <cell r="S1521" t="str">
            <v>MEDIGENE SDN BHD</v>
          </cell>
          <cell r="T1521" t="str">
            <v>Functioning</v>
          </cell>
          <cell r="U1521" t="str">
            <v>Asset</v>
          </cell>
          <cell r="V1521">
            <v>750</v>
          </cell>
          <cell r="W1521" t="str">
            <v>KEW</v>
          </cell>
          <cell r="X1521" t="str">
            <v>10/10/2014</v>
          </cell>
          <cell r="Y1521" t="str">
            <v>KEW</v>
          </cell>
          <cell r="Z1521" t="str">
            <v>31/10/2014</v>
          </cell>
          <cell r="AA1521" t="str">
            <v>30/10/2017</v>
          </cell>
          <cell r="AB1521" t="str">
            <v>No</v>
          </cell>
          <cell r="AC1521" t="str">
            <v>31/10/2014</v>
          </cell>
          <cell r="AD1521" t="str">
            <v>Good</v>
          </cell>
          <cell r="AE1521" t="str">
            <v>V3 - Added Installed Facilities (New)</v>
          </cell>
          <cell r="AF1521">
            <v>42790</v>
          </cell>
          <cell r="AG1521">
            <v>5.08</v>
          </cell>
          <cell r="AH1521" t="str">
            <v>PPM</v>
          </cell>
          <cell r="AI1521" t="str">
            <v>Strands</v>
          </cell>
          <cell r="AJ1521" t="str">
            <v>Strands PW</v>
          </cell>
          <cell r="AK1521" t="str">
            <v>SNF received. 1st batch of V3 asset (December 2020)</v>
          </cell>
        </row>
        <row r="1522">
          <cell r="A1522" t="str">
            <v>IKN401254</v>
          </cell>
          <cell r="B1522">
            <v>1252</v>
          </cell>
          <cell r="C1522" t="str">
            <v>Institut Kanser Negara</v>
          </cell>
          <cell r="D1522" t="str">
            <v>KKM/IKN/R/15/96</v>
          </cell>
          <cell r="E1522" t="str">
            <v>15-663</v>
          </cell>
          <cell r="F1522" t="str">
            <v>Pipetters</v>
          </cell>
          <cell r="G1522" t="str">
            <v>LA</v>
          </cell>
          <cell r="H1522" t="str">
            <v>PATHOLOGY</v>
          </cell>
          <cell r="I1522" t="str">
            <v>04LA140</v>
          </cell>
          <cell r="J1522" t="str">
            <v>BLOOD BANK</v>
          </cell>
          <cell r="K1522" t="str">
            <v>BMED</v>
          </cell>
          <cell r="L1522" t="str">
            <v>Normal</v>
          </cell>
          <cell r="M1522" t="str">
            <v>Germany</v>
          </cell>
          <cell r="N1522" t="str">
            <v>Eppendorf</v>
          </cell>
          <cell r="O1522" t="str">
            <v>Eppendorf Research Pro</v>
          </cell>
          <cell r="P1522" t="str">
            <v>K29814E</v>
          </cell>
          <cell r="Q1522" t="str">
            <v>Not Applicable</v>
          </cell>
          <cell r="R1522" t="str">
            <v>Eppendorf AG</v>
          </cell>
          <cell r="S1522" t="str">
            <v>MEDIGENE SDN BHD</v>
          </cell>
          <cell r="T1522" t="str">
            <v>Functioning</v>
          </cell>
          <cell r="U1522" t="str">
            <v>Asset</v>
          </cell>
          <cell r="V1522">
            <v>825</v>
          </cell>
          <cell r="W1522" t="str">
            <v>KEW</v>
          </cell>
          <cell r="X1522" t="str">
            <v>06/10/2015</v>
          </cell>
          <cell r="Y1522" t="str">
            <v>KEW</v>
          </cell>
          <cell r="Z1522" t="str">
            <v>16/10/2015</v>
          </cell>
          <cell r="AA1522" t="str">
            <v>15/10/2018</v>
          </cell>
          <cell r="AB1522" t="str">
            <v>No</v>
          </cell>
          <cell r="AC1522" t="str">
            <v>16/10/2015</v>
          </cell>
          <cell r="AD1522" t="str">
            <v>Good</v>
          </cell>
          <cell r="AE1522" t="str">
            <v>V3 - Added Installed Facilities (New)</v>
          </cell>
          <cell r="AF1522">
            <v>42677</v>
          </cell>
          <cell r="AG1522">
            <v>4.08</v>
          </cell>
          <cell r="AH1522" t="str">
            <v>PPM</v>
          </cell>
          <cell r="AI1522" t="str">
            <v>Strands</v>
          </cell>
          <cell r="AJ1522" t="str">
            <v>Strands PW</v>
          </cell>
          <cell r="AK1522" t="str">
            <v>SNF received. 1st batch of V3 asset (December 2020)</v>
          </cell>
        </row>
        <row r="1523">
          <cell r="A1523" t="str">
            <v>IKN401255</v>
          </cell>
          <cell r="B1523">
            <v>1253</v>
          </cell>
          <cell r="C1523" t="str">
            <v>Institut Kanser Negara</v>
          </cell>
          <cell r="D1523" t="str">
            <v>KKM/IKN/R/15/97</v>
          </cell>
          <cell r="E1523" t="str">
            <v>15-663</v>
          </cell>
          <cell r="F1523" t="str">
            <v>Pipetters</v>
          </cell>
          <cell r="G1523" t="str">
            <v>LA</v>
          </cell>
          <cell r="H1523" t="str">
            <v>PATHOLOGY</v>
          </cell>
          <cell r="I1523" t="str">
            <v>04LA140</v>
          </cell>
          <cell r="J1523" t="str">
            <v>BLOOD BANK</v>
          </cell>
          <cell r="K1523" t="str">
            <v>BMED</v>
          </cell>
          <cell r="L1523" t="str">
            <v>Normal</v>
          </cell>
          <cell r="M1523" t="str">
            <v>Germany</v>
          </cell>
          <cell r="N1523" t="str">
            <v>Eppendorf</v>
          </cell>
          <cell r="O1523" t="str">
            <v>Eppendorf Research Pro</v>
          </cell>
          <cell r="P1523" t="str">
            <v>K29968E</v>
          </cell>
          <cell r="Q1523" t="str">
            <v>Not Applicable</v>
          </cell>
          <cell r="R1523" t="str">
            <v>Eppendorf AG</v>
          </cell>
          <cell r="S1523" t="str">
            <v>MEDIGENE SDN BHD</v>
          </cell>
          <cell r="T1523" t="str">
            <v>Functioning</v>
          </cell>
          <cell r="U1523" t="str">
            <v>Asset</v>
          </cell>
          <cell r="V1523">
            <v>825</v>
          </cell>
          <cell r="W1523" t="str">
            <v>KEW</v>
          </cell>
          <cell r="X1523" t="str">
            <v>06/10/2015</v>
          </cell>
          <cell r="Y1523" t="str">
            <v>KEW</v>
          </cell>
          <cell r="Z1523" t="str">
            <v>16/10/2015</v>
          </cell>
          <cell r="AA1523" t="str">
            <v>15/10/2018</v>
          </cell>
          <cell r="AB1523" t="str">
            <v>No</v>
          </cell>
          <cell r="AC1523" t="str">
            <v>16/10/2015</v>
          </cell>
          <cell r="AD1523" t="str">
            <v>Good</v>
          </cell>
          <cell r="AE1523" t="str">
            <v>V3 - Added Installed Facilities (New)</v>
          </cell>
          <cell r="AF1523">
            <v>42677</v>
          </cell>
          <cell r="AG1523">
            <v>4.08</v>
          </cell>
          <cell r="AH1523" t="str">
            <v>PPM</v>
          </cell>
          <cell r="AI1523" t="str">
            <v>Strands</v>
          </cell>
          <cell r="AJ1523" t="str">
            <v>Strands PW</v>
          </cell>
          <cell r="AK1523" t="str">
            <v>SNF received. 1st batch of V3 asset (December 2020)</v>
          </cell>
        </row>
        <row r="1524">
          <cell r="A1524" t="str">
            <v>IKN401256</v>
          </cell>
          <cell r="B1524">
            <v>1254</v>
          </cell>
          <cell r="C1524" t="str">
            <v>Institut Kanser Negara</v>
          </cell>
          <cell r="D1524" t="str">
            <v>KKM/IKN/H/15/90</v>
          </cell>
          <cell r="E1524" t="str">
            <v>16-173</v>
          </cell>
          <cell r="F1524" t="str">
            <v>Sphygmomanometers, Electronic, Automatic</v>
          </cell>
          <cell r="G1524" t="str">
            <v>NM</v>
          </cell>
          <cell r="H1524" t="str">
            <v>NUCLEAR MED (DIAGNOSTIC)</v>
          </cell>
          <cell r="I1524" t="str">
            <v>03NM108</v>
          </cell>
          <cell r="J1524" t="str">
            <v>TREATMENT 1 (RAI)(VE)</v>
          </cell>
          <cell r="K1524" t="str">
            <v>BMED</v>
          </cell>
          <cell r="L1524" t="str">
            <v>Critical</v>
          </cell>
          <cell r="M1524" t="str">
            <v>USA</v>
          </cell>
          <cell r="N1524" t="str">
            <v>Welch Allyn</v>
          </cell>
          <cell r="O1524" t="str">
            <v>Connex ProBP 3400</v>
          </cell>
          <cell r="P1524" t="str">
            <v>100052552315</v>
          </cell>
          <cell r="Q1524" t="str">
            <v>N/A</v>
          </cell>
          <cell r="R1524" t="str">
            <v>Welch Allyn Inc</v>
          </cell>
          <cell r="S1524" t="str">
            <v>BACO MEDICARE SDN BHD</v>
          </cell>
          <cell r="T1524" t="str">
            <v>Functioning</v>
          </cell>
          <cell r="U1524" t="str">
            <v>Asset</v>
          </cell>
          <cell r="V1524">
            <v>1876.15</v>
          </cell>
          <cell r="W1524" t="str">
            <v>KEW</v>
          </cell>
          <cell r="X1524" t="str">
            <v>15/06/2015</v>
          </cell>
          <cell r="Y1524" t="str">
            <v>KEW</v>
          </cell>
          <cell r="Z1524" t="str">
            <v>04/09/2015</v>
          </cell>
          <cell r="AA1524" t="str">
            <v>03/09/2016</v>
          </cell>
          <cell r="AB1524" t="str">
            <v>No</v>
          </cell>
          <cell r="AC1524" t="str">
            <v>04/09/2015</v>
          </cell>
          <cell r="AD1524" t="str">
            <v>Good</v>
          </cell>
          <cell r="AE1524" t="str">
            <v>V3 - Added Installed Facilities (New)</v>
          </cell>
          <cell r="AF1524">
            <v>42706</v>
          </cell>
          <cell r="AG1524">
            <v>4.42</v>
          </cell>
          <cell r="AH1524" t="str">
            <v>PPM</v>
          </cell>
          <cell r="AI1524" t="str">
            <v>Not in contract</v>
          </cell>
          <cell r="AJ1524" t="str">
            <v>Proposed for V3 P2.23</v>
          </cell>
          <cell r="AK1524" t="str">
            <v>KKM follow P2.23 list.</v>
          </cell>
        </row>
        <row r="1525">
          <cell r="A1525" t="str">
            <v>IKN401257</v>
          </cell>
          <cell r="B1525">
            <v>1255</v>
          </cell>
          <cell r="C1525" t="str">
            <v>Institut Kanser Negara</v>
          </cell>
          <cell r="D1525" t="str">
            <v>KKM/IKN/H/15/89</v>
          </cell>
          <cell r="E1525" t="str">
            <v>16-173</v>
          </cell>
          <cell r="F1525" t="str">
            <v>Sphygmomanometers, Electronic, Automatic</v>
          </cell>
          <cell r="G1525" t="str">
            <v>NM</v>
          </cell>
          <cell r="H1525" t="str">
            <v>NUCLEAR MED (DIAGNOSTIC)</v>
          </cell>
          <cell r="I1525" t="str">
            <v>03NM109</v>
          </cell>
          <cell r="J1525" t="str">
            <v>TREATMENT 2 (RAS) (-VE)</v>
          </cell>
          <cell r="K1525" t="str">
            <v>BMED</v>
          </cell>
          <cell r="L1525" t="str">
            <v>Critical</v>
          </cell>
          <cell r="M1525" t="str">
            <v>USA</v>
          </cell>
          <cell r="N1525" t="str">
            <v>Welch Allyn</v>
          </cell>
          <cell r="O1525" t="str">
            <v>Connex ProBP 3400</v>
          </cell>
          <cell r="P1525" t="str">
            <v>100048492215</v>
          </cell>
          <cell r="Q1525" t="str">
            <v>N/A</v>
          </cell>
          <cell r="R1525" t="str">
            <v>Welch Allyn Inc</v>
          </cell>
          <cell r="S1525" t="str">
            <v>BACO MEDICARE SDN BHD</v>
          </cell>
          <cell r="T1525" t="str">
            <v>Functioning</v>
          </cell>
          <cell r="U1525" t="str">
            <v>Asset</v>
          </cell>
          <cell r="V1525">
            <v>1876.15</v>
          </cell>
          <cell r="W1525" t="str">
            <v>KEW</v>
          </cell>
          <cell r="X1525" t="str">
            <v>15/06/2015</v>
          </cell>
          <cell r="Y1525" t="str">
            <v>KEW</v>
          </cell>
          <cell r="Z1525" t="str">
            <v>04/09/2015</v>
          </cell>
          <cell r="AA1525" t="str">
            <v>03/09/2016</v>
          </cell>
          <cell r="AB1525" t="str">
            <v>No</v>
          </cell>
          <cell r="AC1525" t="str">
            <v>04/09/2015</v>
          </cell>
          <cell r="AD1525" t="str">
            <v>Good</v>
          </cell>
          <cell r="AE1525" t="str">
            <v>V3 - Added Installed Facilities (New)</v>
          </cell>
          <cell r="AF1525">
            <v>42706</v>
          </cell>
          <cell r="AG1525">
            <v>4.42</v>
          </cell>
          <cell r="AH1525" t="str">
            <v>PPM</v>
          </cell>
          <cell r="AI1525" t="str">
            <v>Not in contract</v>
          </cell>
          <cell r="AJ1525" t="str">
            <v>Proposed for V3 P2.23</v>
          </cell>
          <cell r="AK1525" t="str">
            <v>KKM follow P2.23 list.</v>
          </cell>
        </row>
        <row r="1526">
          <cell r="A1526" t="str">
            <v>IKN401258</v>
          </cell>
          <cell r="B1526">
            <v>1256</v>
          </cell>
          <cell r="C1526" t="str">
            <v>Institut Kanser Negara</v>
          </cell>
          <cell r="D1526" t="str">
            <v>KKM/IKN/H/15/91</v>
          </cell>
          <cell r="E1526" t="str">
            <v>16-173</v>
          </cell>
          <cell r="F1526" t="str">
            <v>Sphygmomanometers, Electronic, Automatic</v>
          </cell>
          <cell r="G1526" t="str">
            <v>NM</v>
          </cell>
          <cell r="H1526" t="str">
            <v>NUCLEAR MED (DIAGNOSTIC)</v>
          </cell>
          <cell r="I1526" t="str">
            <v>03NM182</v>
          </cell>
          <cell r="J1526" t="str">
            <v>C/E 5 (VE)</v>
          </cell>
          <cell r="K1526" t="str">
            <v>BMED</v>
          </cell>
          <cell r="L1526" t="str">
            <v>Critical</v>
          </cell>
          <cell r="M1526" t="str">
            <v>USA</v>
          </cell>
          <cell r="N1526" t="str">
            <v>Welch Allyn</v>
          </cell>
          <cell r="O1526" t="str">
            <v>Connex ProBP 3400</v>
          </cell>
          <cell r="P1526" t="str">
            <v>100028231215</v>
          </cell>
          <cell r="Q1526" t="str">
            <v>N/A</v>
          </cell>
          <cell r="R1526" t="str">
            <v>Welch Allyn Inc</v>
          </cell>
          <cell r="S1526" t="str">
            <v>BACO MEDICARS SDN BHD</v>
          </cell>
          <cell r="T1526" t="str">
            <v>Functioning</v>
          </cell>
          <cell r="U1526" t="str">
            <v>Asset</v>
          </cell>
          <cell r="V1526">
            <v>1876.15</v>
          </cell>
          <cell r="W1526" t="str">
            <v>KEW</v>
          </cell>
          <cell r="X1526" t="str">
            <v>15/06/2015</v>
          </cell>
          <cell r="Y1526" t="str">
            <v>KEW</v>
          </cell>
          <cell r="Z1526" t="str">
            <v>04/09/2015</v>
          </cell>
          <cell r="AA1526" t="str">
            <v>03/09/2016</v>
          </cell>
          <cell r="AB1526" t="str">
            <v>No</v>
          </cell>
          <cell r="AC1526" t="str">
            <v>04/09/2015</v>
          </cell>
          <cell r="AD1526" t="str">
            <v>Good</v>
          </cell>
          <cell r="AE1526" t="str">
            <v>V3 - Added Installed Facilities (New)</v>
          </cell>
          <cell r="AF1526">
            <v>42327</v>
          </cell>
          <cell r="AG1526">
            <v>4.42</v>
          </cell>
          <cell r="AH1526" t="str">
            <v>PPM</v>
          </cell>
          <cell r="AI1526" t="str">
            <v>Not in contract</v>
          </cell>
          <cell r="AJ1526" t="str">
            <v>Proposed for V3 P2.23</v>
          </cell>
          <cell r="AK1526" t="str">
            <v>KKM follow P2.23 list.</v>
          </cell>
        </row>
        <row r="1527">
          <cell r="A1527" t="str">
            <v>IKN401259</v>
          </cell>
          <cell r="B1527">
            <v>1257</v>
          </cell>
          <cell r="C1527" t="str">
            <v>Institut Kanser Negara</v>
          </cell>
          <cell r="D1527" t="str">
            <v>KKM/IKN/H/15/18</v>
          </cell>
          <cell r="E1527" t="str">
            <v>15-045</v>
          </cell>
          <cell r="F1527" t="str">
            <v>Nebulizers, Nonheated</v>
          </cell>
          <cell r="G1527" t="str">
            <v>NM</v>
          </cell>
          <cell r="H1527" t="str">
            <v>NUCLEAR MED (DIAGNOSTIC)</v>
          </cell>
          <cell r="I1527" t="str">
            <v>03NM108</v>
          </cell>
          <cell r="J1527" t="str">
            <v>TREATMENT 1 (RAI)(VE)</v>
          </cell>
          <cell r="K1527" t="str">
            <v>BMED</v>
          </cell>
          <cell r="L1527" t="str">
            <v>Normal</v>
          </cell>
          <cell r="M1527" t="str">
            <v>Germany</v>
          </cell>
          <cell r="N1527" t="str">
            <v>Pari Boy</v>
          </cell>
          <cell r="O1527" t="str">
            <v>Pari Boy SX 085</v>
          </cell>
          <cell r="P1527" t="str">
            <v>2W15F02845</v>
          </cell>
          <cell r="Q1527" t="str">
            <v>.</v>
          </cell>
          <cell r="R1527" t="str">
            <v>Pari GmbH</v>
          </cell>
          <cell r="S1527" t="str">
            <v>WELCH ALLYN (M) SDN BHD</v>
          </cell>
          <cell r="T1527" t="str">
            <v>Functioning</v>
          </cell>
          <cell r="U1527" t="str">
            <v>Asset</v>
          </cell>
          <cell r="V1527">
            <v>2347.1999999999998</v>
          </cell>
          <cell r="W1527" t="str">
            <v>KEW</v>
          </cell>
          <cell r="X1527" t="str">
            <v>15/06/2015</v>
          </cell>
          <cell r="Y1527" t="str">
            <v>KEW</v>
          </cell>
          <cell r="Z1527" t="str">
            <v>04/09/2015</v>
          </cell>
          <cell r="AA1527" t="str">
            <v>03/09/2016</v>
          </cell>
          <cell r="AB1527" t="str">
            <v>No</v>
          </cell>
          <cell r="AC1527" t="str">
            <v>04/09/2015</v>
          </cell>
          <cell r="AD1527" t="str">
            <v>Good</v>
          </cell>
          <cell r="AE1527" t="str">
            <v>V3 - Added Installed Facilities (New)</v>
          </cell>
          <cell r="AF1527">
            <v>42397</v>
          </cell>
          <cell r="AG1527">
            <v>4.42</v>
          </cell>
          <cell r="AH1527" t="str">
            <v>PPM</v>
          </cell>
          <cell r="AI1527" t="str">
            <v>Strands</v>
          </cell>
          <cell r="AJ1527" t="str">
            <v>Strands PW</v>
          </cell>
          <cell r="AK1527" t="str">
            <v>SNF received. 1st batch of V3 asset (December 2020)</v>
          </cell>
        </row>
        <row r="1528">
          <cell r="A1528" t="str">
            <v>IKN401260</v>
          </cell>
          <cell r="B1528">
            <v>1258</v>
          </cell>
          <cell r="C1528" t="str">
            <v>Institut Kanser Negara</v>
          </cell>
          <cell r="D1528" t="str">
            <v>KKM/IKN/H/13/439</v>
          </cell>
          <cell r="E1528" t="str">
            <v>18-147</v>
          </cell>
          <cell r="F1528" t="str">
            <v>Mattress Systems, Alternating-Pressure</v>
          </cell>
          <cell r="G1528" t="str">
            <v>WB</v>
          </cell>
          <cell r="H1528" t="str">
            <v>SURGICAL ONCO MALE WARD</v>
          </cell>
          <cell r="I1528" t="str">
            <v>05WB113</v>
          </cell>
          <cell r="J1528" t="str">
            <v>EQUIP. ROOM</v>
          </cell>
          <cell r="K1528" t="str">
            <v>BMED</v>
          </cell>
          <cell r="L1528" t="str">
            <v>Normal</v>
          </cell>
          <cell r="M1528" t="str">
            <v>Poland</v>
          </cell>
          <cell r="N1528" t="str">
            <v>Nimbus</v>
          </cell>
          <cell r="O1528" t="str">
            <v>Nimbus 3</v>
          </cell>
          <cell r="P1528" t="str">
            <v>1200005122</v>
          </cell>
          <cell r="Q1528" t="str">
            <v>NA</v>
          </cell>
          <cell r="R1528" t="str">
            <v>Arjohuntleigh</v>
          </cell>
          <cell r="S1528" t="str">
            <v>HEXAMINE SDN BHD</v>
          </cell>
          <cell r="T1528" t="str">
            <v>Functioning</v>
          </cell>
          <cell r="U1528" t="str">
            <v>Asset</v>
          </cell>
          <cell r="V1528">
            <v>28630</v>
          </cell>
          <cell r="W1528" t="str">
            <v>KEW</v>
          </cell>
          <cell r="X1528" t="str">
            <v>01/09/2010</v>
          </cell>
          <cell r="Y1528" t="str">
            <v>KEW</v>
          </cell>
          <cell r="Z1528" t="str">
            <v>16/08/2013</v>
          </cell>
          <cell r="AA1528" t="str">
            <v>15/08/2015</v>
          </cell>
          <cell r="AB1528" t="str">
            <v>No</v>
          </cell>
          <cell r="AC1528" t="str">
            <v>31/08/2013</v>
          </cell>
          <cell r="AD1528" t="str">
            <v>Good</v>
          </cell>
          <cell r="AE1528" t="str">
            <v>V1 - Existing / No Claim</v>
          </cell>
          <cell r="AF1528">
            <v>42398</v>
          </cell>
          <cell r="AG1528">
            <v>9.17</v>
          </cell>
          <cell r="AH1528" t="str">
            <v>PPM</v>
          </cell>
          <cell r="AI1528" t="str">
            <v>Strands</v>
          </cell>
          <cell r="AJ1528" t="str">
            <v>Strands PW</v>
          </cell>
          <cell r="AK1528" t="str">
            <v>SNF received. 1st batch of V3 asset (December 2020)</v>
          </cell>
        </row>
        <row r="1529">
          <cell r="A1529" t="str">
            <v>IKN401261</v>
          </cell>
          <cell r="B1529">
            <v>1259</v>
          </cell>
          <cell r="C1529" t="str">
            <v>Institut Kanser Negara</v>
          </cell>
          <cell r="D1529" t="str">
            <v>KKM/IKN/H/13/436</v>
          </cell>
          <cell r="E1529" t="str">
            <v>18-147</v>
          </cell>
          <cell r="F1529" t="str">
            <v>Mattress Systems, Alternating-Pressure</v>
          </cell>
          <cell r="G1529" t="str">
            <v>WB</v>
          </cell>
          <cell r="H1529" t="str">
            <v>SURGICAL ONCO MALE WARD</v>
          </cell>
          <cell r="I1529" t="str">
            <v>05WB113</v>
          </cell>
          <cell r="J1529" t="str">
            <v>EQUIP. ROOM</v>
          </cell>
          <cell r="K1529" t="str">
            <v>BMED</v>
          </cell>
          <cell r="L1529" t="str">
            <v>Normal</v>
          </cell>
          <cell r="M1529" t="str">
            <v>Poland</v>
          </cell>
          <cell r="N1529" t="str">
            <v>Nimbus</v>
          </cell>
          <cell r="O1529" t="str">
            <v>Nimbus 3</v>
          </cell>
          <cell r="P1529" t="str">
            <v>1200005121</v>
          </cell>
          <cell r="Q1529" t="str">
            <v>Arjohuntleigh</v>
          </cell>
          <cell r="R1529" t="str">
            <v>HEXAMINE SDN BHD</v>
          </cell>
          <cell r="S1529" t="str">
            <v>Functioning</v>
          </cell>
          <cell r="T1529" t="str">
            <v>Functioning</v>
          </cell>
          <cell r="U1529" t="str">
            <v>KEW</v>
          </cell>
          <cell r="V1529">
            <v>28630</v>
          </cell>
          <cell r="W1529" t="str">
            <v>01/09/2010</v>
          </cell>
          <cell r="X1529" t="str">
            <v>KEW</v>
          </cell>
          <cell r="Y1529">
            <v>41502</v>
          </cell>
          <cell r="Z1529" t="str">
            <v>15/08/2015</v>
          </cell>
          <cell r="AA1529" t="str">
            <v>No</v>
          </cell>
          <cell r="AB1529" t="str">
            <v>31/08/2013</v>
          </cell>
          <cell r="AC1529" t="str">
            <v>Good</v>
          </cell>
          <cell r="AD1529" t="str">
            <v>V1 - Existing / No Claim</v>
          </cell>
          <cell r="AE1529">
            <v>42788</v>
          </cell>
          <cell r="AF1529" t="str">
            <v>NA</v>
          </cell>
          <cell r="AG1529">
            <v>9.17</v>
          </cell>
          <cell r="AH1529" t="str">
            <v>PPM</v>
          </cell>
          <cell r="AI1529" t="str">
            <v>Strands</v>
          </cell>
          <cell r="AJ1529" t="str">
            <v>Strands PW</v>
          </cell>
        </row>
        <row r="1530">
          <cell r="A1530" t="str">
            <v>IKN401265</v>
          </cell>
          <cell r="B1530">
            <v>1261</v>
          </cell>
          <cell r="C1530" t="str">
            <v>Institut Kanser Negara</v>
          </cell>
          <cell r="D1530" t="str">
            <v>KKM/IKN/H/15/19</v>
          </cell>
          <cell r="E1530" t="str">
            <v>16-231</v>
          </cell>
          <cell r="F1530" t="str">
            <v>Electrocardiographs, Multichannel, Interpretative</v>
          </cell>
          <cell r="G1530" t="str">
            <v>RT</v>
          </cell>
          <cell r="H1530" t="str">
            <v>RADIATION TREATMENT UNIT</v>
          </cell>
          <cell r="I1530" t="str">
            <v>01RT202</v>
          </cell>
          <cell r="J1530" t="str">
            <v>CLEAN UTILITY</v>
          </cell>
          <cell r="K1530" t="str">
            <v>BMED</v>
          </cell>
          <cell r="L1530" t="str">
            <v>Critical</v>
          </cell>
          <cell r="M1530" t="str">
            <v>Japan</v>
          </cell>
          <cell r="N1530" t="str">
            <v>Cardimax</v>
          </cell>
          <cell r="O1530" t="str">
            <v>Cardimax FX-7202</v>
          </cell>
          <cell r="P1530" t="str">
            <v>22028866</v>
          </cell>
          <cell r="Q1530" t="str">
            <v>N/A</v>
          </cell>
          <cell r="R1530" t="str">
            <v>Fukuda Denshi Co Ltd</v>
          </cell>
          <cell r="S1530" t="str">
            <v>SURIA MEDIK SDN BHD</v>
          </cell>
          <cell r="T1530" t="str">
            <v>Functioning</v>
          </cell>
          <cell r="U1530" t="str">
            <v>Asset</v>
          </cell>
          <cell r="V1530">
            <v>6000</v>
          </cell>
          <cell r="W1530" t="str">
            <v>KEW</v>
          </cell>
          <cell r="X1530" t="str">
            <v>04/06/2015</v>
          </cell>
          <cell r="Y1530" t="str">
            <v>KEW</v>
          </cell>
          <cell r="Z1530" t="str">
            <v>21/09/2015</v>
          </cell>
          <cell r="AA1530" t="str">
            <v>20/09/2016</v>
          </cell>
          <cell r="AB1530" t="str">
            <v>No</v>
          </cell>
          <cell r="AC1530" t="str">
            <v>21/09/2015</v>
          </cell>
          <cell r="AD1530" t="str">
            <v>Good</v>
          </cell>
          <cell r="AE1530" t="str">
            <v>V3 - Added Installed Facilities (New)</v>
          </cell>
          <cell r="AF1530">
            <v>42677</v>
          </cell>
          <cell r="AG1530">
            <v>4.42</v>
          </cell>
          <cell r="AH1530" t="str">
            <v>PPM</v>
          </cell>
          <cell r="AI1530" t="str">
            <v>Strands</v>
          </cell>
          <cell r="AJ1530" t="str">
            <v>Strands PW</v>
          </cell>
          <cell r="AK1530" t="str">
            <v>SNF received. 1st batch of V3 asset (December 2020)</v>
          </cell>
        </row>
        <row r="1531">
          <cell r="A1531" t="str">
            <v>IKN401266</v>
          </cell>
          <cell r="B1531">
            <v>1262</v>
          </cell>
          <cell r="C1531" t="str">
            <v>Institut Kanser Negara</v>
          </cell>
          <cell r="D1531" t="str">
            <v>KKM/IKN/R/15/98</v>
          </cell>
          <cell r="E1531" t="str">
            <v>15-663</v>
          </cell>
          <cell r="F1531" t="str">
            <v>Pipetters</v>
          </cell>
          <cell r="G1531" t="str">
            <v>LA</v>
          </cell>
          <cell r="H1531" t="str">
            <v>PATHOLOGY</v>
          </cell>
          <cell r="I1531" t="str">
            <v>04LA140</v>
          </cell>
          <cell r="J1531" t="str">
            <v>BLOOD BANK</v>
          </cell>
          <cell r="K1531" t="str">
            <v>BMED</v>
          </cell>
          <cell r="L1531" t="str">
            <v>Normal</v>
          </cell>
          <cell r="M1531" t="str">
            <v>Germany</v>
          </cell>
          <cell r="N1531" t="str">
            <v>Eppendorf</v>
          </cell>
          <cell r="O1531" t="str">
            <v>Eppendorf Research Pro</v>
          </cell>
          <cell r="P1531" t="str">
            <v>K29921E</v>
          </cell>
          <cell r="Q1531" t="str">
            <v>Not Applicable</v>
          </cell>
          <cell r="R1531" t="str">
            <v>Eppendorf AG</v>
          </cell>
          <cell r="S1531" t="str">
            <v>MEDIGENE SDN BHD</v>
          </cell>
          <cell r="T1531" t="str">
            <v>Functioning</v>
          </cell>
          <cell r="U1531" t="str">
            <v>Asset</v>
          </cell>
          <cell r="V1531">
            <v>825</v>
          </cell>
          <cell r="W1531" t="str">
            <v>KEW</v>
          </cell>
          <cell r="X1531" t="str">
            <v>06/10/2015</v>
          </cell>
          <cell r="Y1531" t="str">
            <v>KEW</v>
          </cell>
          <cell r="Z1531" t="str">
            <v>16/10/2015</v>
          </cell>
          <cell r="AA1531" t="str">
            <v>16/10/2018</v>
          </cell>
          <cell r="AB1531" t="str">
            <v>No</v>
          </cell>
          <cell r="AC1531" t="str">
            <v>16/10/2015</v>
          </cell>
          <cell r="AD1531" t="str">
            <v>Good</v>
          </cell>
          <cell r="AE1531" t="str">
            <v>V3 - Added Installed Facilities (New)</v>
          </cell>
          <cell r="AF1531">
            <v>42327</v>
          </cell>
          <cell r="AG1531">
            <v>4.08</v>
          </cell>
          <cell r="AH1531" t="str">
            <v>PPM</v>
          </cell>
          <cell r="AI1531" t="str">
            <v>Strands</v>
          </cell>
          <cell r="AJ1531" t="str">
            <v>Strands PW</v>
          </cell>
          <cell r="AK1531" t="str">
            <v>SNF received. 1st batch of V3 asset (December 2020)</v>
          </cell>
        </row>
        <row r="1532">
          <cell r="A1532" t="str">
            <v>IKN401273</v>
          </cell>
          <cell r="B1532">
            <v>1269</v>
          </cell>
          <cell r="C1532" t="str">
            <v>Institut Kanser Negara</v>
          </cell>
          <cell r="D1532" t="str">
            <v>KKM/IKN/H/13/4952 - 04</v>
          </cell>
          <cell r="E1532" t="str">
            <v>15-605</v>
          </cell>
          <cell r="F1532" t="str">
            <v>Testers</v>
          </cell>
          <cell r="G1532" t="str">
            <v>RT</v>
          </cell>
          <cell r="H1532" t="str">
            <v>RADIATION TREATMENT UNIT</v>
          </cell>
          <cell r="I1532" t="str">
            <v>01RT213</v>
          </cell>
          <cell r="J1532" t="str">
            <v>EQUIPMENT ROOM1</v>
          </cell>
          <cell r="K1532" t="str">
            <v>BMED</v>
          </cell>
          <cell r="L1532" t="str">
            <v>Normal</v>
          </cell>
          <cell r="M1532" t="str">
            <v>Germany</v>
          </cell>
          <cell r="N1532" t="str">
            <v>Various</v>
          </cell>
          <cell r="O1532" t="str">
            <v>IBA Dosimetry GMBH</v>
          </cell>
          <cell r="P1532" t="str">
            <v>11708</v>
          </cell>
          <cell r="Q1532" t="str">
            <v>Not Available</v>
          </cell>
          <cell r="R1532" t="str">
            <v>IBA</v>
          </cell>
          <cell r="S1532" t="str">
            <v>Delta Advantech (M) Sdn. Bhd</v>
          </cell>
          <cell r="T1532" t="str">
            <v>Functioning</v>
          </cell>
          <cell r="U1532" t="str">
            <v>Asset</v>
          </cell>
          <cell r="V1532">
            <v>40000</v>
          </cell>
          <cell r="W1532" t="str">
            <v>KEW</v>
          </cell>
          <cell r="X1532" t="str">
            <v>01/09/2010</v>
          </cell>
          <cell r="Y1532" t="str">
            <v>KEW</v>
          </cell>
          <cell r="Z1532" t="str">
            <v>16/08/2013</v>
          </cell>
          <cell r="AA1532" t="str">
            <v>15/08/2015</v>
          </cell>
          <cell r="AB1532" t="str">
            <v>No</v>
          </cell>
          <cell r="AC1532" t="str">
            <v>16/08/2013</v>
          </cell>
          <cell r="AD1532" t="str">
            <v>Good</v>
          </cell>
          <cell r="AE1532" t="str">
            <v>V3 - Added Installed Facilities (New)</v>
          </cell>
          <cell r="AF1532">
            <v>42668</v>
          </cell>
          <cell r="AG1532">
            <v>9.17</v>
          </cell>
          <cell r="AH1532" t="str">
            <v>PPM</v>
          </cell>
          <cell r="AI1532" t="str">
            <v>Strands</v>
          </cell>
          <cell r="AJ1532" t="str">
            <v>Strands PW</v>
          </cell>
          <cell r="AK1532" t="str">
            <v>SNF received. 1st batch of V3 asset (December 2020)</v>
          </cell>
        </row>
        <row r="1533">
          <cell r="A1533" t="str">
            <v>IKN401274</v>
          </cell>
          <cell r="B1533">
            <v>1270</v>
          </cell>
          <cell r="C1533" t="str">
            <v>Institut Kanser Negara</v>
          </cell>
          <cell r="D1533" t="str">
            <v>KKM/IKN/H/13/4952</v>
          </cell>
          <cell r="E1533" t="str">
            <v>15-605</v>
          </cell>
          <cell r="F1533" t="str">
            <v>Testers</v>
          </cell>
          <cell r="G1533" t="str">
            <v>RT</v>
          </cell>
          <cell r="H1533" t="str">
            <v>RADIATION TREATMENT UNIT</v>
          </cell>
          <cell r="I1533" t="str">
            <v>01RT213</v>
          </cell>
          <cell r="J1533" t="str">
            <v>EQUIPMENT ROOM1</v>
          </cell>
          <cell r="K1533" t="str">
            <v>BMED</v>
          </cell>
          <cell r="L1533" t="str">
            <v>Normal</v>
          </cell>
          <cell r="M1533" t="str">
            <v>Germany</v>
          </cell>
          <cell r="N1533" t="str">
            <v>IBA</v>
          </cell>
          <cell r="O1533" t="str">
            <v>MagicMAX</v>
          </cell>
          <cell r="P1533" t="str">
            <v>11755</v>
          </cell>
          <cell r="Q1533" t="str">
            <v>Not Available</v>
          </cell>
          <cell r="R1533" t="str">
            <v>IBA</v>
          </cell>
          <cell r="S1533" t="str">
            <v>Delta Advantech (M) Sdn. Bhd</v>
          </cell>
          <cell r="T1533" t="str">
            <v>Functioning</v>
          </cell>
          <cell r="U1533" t="str">
            <v>Asset</v>
          </cell>
          <cell r="V1533">
            <v>40000</v>
          </cell>
          <cell r="W1533" t="str">
            <v>KEW</v>
          </cell>
          <cell r="X1533" t="str">
            <v>01/09/2010</v>
          </cell>
          <cell r="Y1533" t="str">
            <v>KEW</v>
          </cell>
          <cell r="Z1533" t="str">
            <v>16/08/2013</v>
          </cell>
          <cell r="AA1533" t="str">
            <v>15/08/2015</v>
          </cell>
          <cell r="AB1533" t="str">
            <v>No</v>
          </cell>
          <cell r="AC1533" t="str">
            <v>16/08/2013</v>
          </cell>
          <cell r="AD1533" t="str">
            <v>Good</v>
          </cell>
          <cell r="AE1533" t="str">
            <v>V3 - Added Installed Facilities (New)</v>
          </cell>
          <cell r="AF1533">
            <v>42668</v>
          </cell>
          <cell r="AG1533">
            <v>9.17</v>
          </cell>
          <cell r="AH1533" t="str">
            <v>PPM</v>
          </cell>
          <cell r="AI1533" t="str">
            <v>Strands</v>
          </cell>
          <cell r="AJ1533" t="str">
            <v>Strands PW</v>
          </cell>
          <cell r="AK1533" t="str">
            <v>SNF received. 1st batch of V3 asset (December 2020)</v>
          </cell>
        </row>
        <row r="1534">
          <cell r="A1534" t="str">
            <v>IKN401275</v>
          </cell>
          <cell r="B1534">
            <v>1271</v>
          </cell>
          <cell r="C1534" t="str">
            <v>Institut Kanser Negara</v>
          </cell>
          <cell r="D1534" t="str">
            <v>KKM/IKN/H/13/4952 - 9</v>
          </cell>
          <cell r="E1534" t="str">
            <v>15-605</v>
          </cell>
          <cell r="F1534" t="str">
            <v>Testers</v>
          </cell>
          <cell r="G1534" t="str">
            <v>RT</v>
          </cell>
          <cell r="H1534" t="str">
            <v>RADIATION TREATMENT UNIT</v>
          </cell>
          <cell r="I1534" t="str">
            <v>01RT213</v>
          </cell>
          <cell r="J1534" t="str">
            <v>EQUIPMENT ROOM1</v>
          </cell>
          <cell r="K1534" t="str">
            <v>BMED</v>
          </cell>
          <cell r="L1534" t="str">
            <v>Normal</v>
          </cell>
          <cell r="M1534" t="str">
            <v>Germany</v>
          </cell>
          <cell r="N1534" t="str">
            <v>Various</v>
          </cell>
          <cell r="O1534" t="str">
            <v>IBA Dosimetry GMBH</v>
          </cell>
          <cell r="P1534" t="str">
            <v>11758</v>
          </cell>
          <cell r="Q1534" t="str">
            <v>Not Available</v>
          </cell>
          <cell r="R1534" t="str">
            <v>IBA</v>
          </cell>
          <cell r="S1534" t="str">
            <v>Delta Advantech (M) Sdn. Bhd</v>
          </cell>
          <cell r="T1534" t="str">
            <v>Functioning</v>
          </cell>
          <cell r="U1534" t="str">
            <v>Asset</v>
          </cell>
          <cell r="V1534">
            <v>40000</v>
          </cell>
          <cell r="W1534" t="str">
            <v>KEW</v>
          </cell>
          <cell r="X1534" t="str">
            <v>01/09/2010</v>
          </cell>
          <cell r="Y1534" t="str">
            <v>KEW</v>
          </cell>
          <cell r="Z1534" t="str">
            <v>16/08/2013</v>
          </cell>
          <cell r="AA1534" t="str">
            <v>15/08/2015</v>
          </cell>
          <cell r="AB1534" t="str">
            <v>No</v>
          </cell>
          <cell r="AC1534" t="str">
            <v>16/08/2013</v>
          </cell>
          <cell r="AD1534" t="str">
            <v>Good</v>
          </cell>
          <cell r="AE1534" t="str">
            <v>V3 - Added Installed Facilities (New)</v>
          </cell>
          <cell r="AF1534">
            <v>42668</v>
          </cell>
          <cell r="AG1534">
            <v>9.17</v>
          </cell>
          <cell r="AH1534" t="str">
            <v>PPM</v>
          </cell>
          <cell r="AI1534" t="str">
            <v>Strands</v>
          </cell>
          <cell r="AJ1534" t="str">
            <v>Strands PW</v>
          </cell>
          <cell r="AK1534" t="str">
            <v>SNF received. 1st batch of V3 asset (December 2020)</v>
          </cell>
        </row>
        <row r="1535">
          <cell r="A1535" t="str">
            <v>IKN401276</v>
          </cell>
          <cell r="B1535">
            <v>1272</v>
          </cell>
          <cell r="C1535" t="str">
            <v>Institut Kanser Negara</v>
          </cell>
          <cell r="D1535" t="str">
            <v>KKM/IKN/H/13/4952 - 07</v>
          </cell>
          <cell r="E1535" t="str">
            <v>15-605</v>
          </cell>
          <cell r="F1535" t="str">
            <v>Testers</v>
          </cell>
          <cell r="G1535" t="str">
            <v>RT</v>
          </cell>
          <cell r="H1535" t="str">
            <v>RADIATION TREATMENT UNIT</v>
          </cell>
          <cell r="I1535" t="str">
            <v>01RT213</v>
          </cell>
          <cell r="J1535" t="str">
            <v>EQUIPMENT ROOM1</v>
          </cell>
          <cell r="K1535" t="str">
            <v>BMED</v>
          </cell>
          <cell r="L1535" t="str">
            <v>Normal</v>
          </cell>
          <cell r="M1535" t="str">
            <v>Germany</v>
          </cell>
          <cell r="N1535" t="str">
            <v>Various</v>
          </cell>
          <cell r="O1535" t="str">
            <v>IBA Dosimetry GMBH</v>
          </cell>
          <cell r="P1535" t="str">
            <v>2626</v>
          </cell>
          <cell r="Q1535" t="str">
            <v>Not Available</v>
          </cell>
          <cell r="R1535" t="str">
            <v>IBA</v>
          </cell>
          <cell r="S1535" t="str">
            <v>Delta Advantech (M) Sdn. Bhd</v>
          </cell>
          <cell r="T1535" t="str">
            <v>Functioning</v>
          </cell>
          <cell r="U1535" t="str">
            <v>Asset</v>
          </cell>
          <cell r="V1535">
            <v>40000</v>
          </cell>
          <cell r="W1535" t="str">
            <v>KEW</v>
          </cell>
          <cell r="X1535" t="str">
            <v>01/09/2010</v>
          </cell>
          <cell r="Y1535" t="str">
            <v>KEW</v>
          </cell>
          <cell r="Z1535" t="str">
            <v>16/08/2013</v>
          </cell>
          <cell r="AA1535" t="str">
            <v>15/08/2015</v>
          </cell>
          <cell r="AB1535" t="str">
            <v>No</v>
          </cell>
          <cell r="AC1535" t="str">
            <v>16/08/2013</v>
          </cell>
          <cell r="AD1535" t="str">
            <v>Good</v>
          </cell>
          <cell r="AE1535" t="str">
            <v>V3 - Added Installed Facilities (New)</v>
          </cell>
          <cell r="AF1535">
            <v>42668</v>
          </cell>
          <cell r="AG1535">
            <v>9.17</v>
          </cell>
          <cell r="AH1535" t="str">
            <v>PPM</v>
          </cell>
          <cell r="AI1535" t="str">
            <v>Strands</v>
          </cell>
          <cell r="AJ1535" t="str">
            <v>Strands PW</v>
          </cell>
          <cell r="AK1535" t="str">
            <v>SNF received. 1st batch of V3 asset (December 2020)</v>
          </cell>
        </row>
        <row r="1536">
          <cell r="A1536" t="str">
            <v>IKN401277</v>
          </cell>
          <cell r="B1536">
            <v>1273</v>
          </cell>
          <cell r="C1536" t="str">
            <v>Institut Kanser Negara</v>
          </cell>
          <cell r="D1536" t="str">
            <v>KKM/IKN/H/13/4952 - 11</v>
          </cell>
          <cell r="E1536" t="str">
            <v>15-605</v>
          </cell>
          <cell r="F1536" t="str">
            <v>Testers</v>
          </cell>
          <cell r="G1536" t="str">
            <v>RT</v>
          </cell>
          <cell r="H1536" t="str">
            <v>RADIATION TREATMENT UNIT</v>
          </cell>
          <cell r="I1536" t="str">
            <v>01RT213</v>
          </cell>
          <cell r="J1536" t="str">
            <v>EQUIPMENT ROOM1</v>
          </cell>
          <cell r="K1536" t="str">
            <v>BMED</v>
          </cell>
          <cell r="L1536" t="str">
            <v>Normal</v>
          </cell>
          <cell r="M1536" t="str">
            <v>Germany</v>
          </cell>
          <cell r="N1536" t="str">
            <v>Various</v>
          </cell>
          <cell r="O1536" t="str">
            <v>IBA Dosimetry GMBH</v>
          </cell>
          <cell r="P1536" t="str">
            <v>11713</v>
          </cell>
          <cell r="Q1536" t="str">
            <v>Not Available</v>
          </cell>
          <cell r="R1536" t="str">
            <v>IBA</v>
          </cell>
          <cell r="S1536" t="str">
            <v>Delta Advantech (M) Sdn. Bhd</v>
          </cell>
          <cell r="T1536" t="str">
            <v>Functioning</v>
          </cell>
          <cell r="U1536" t="str">
            <v>Asset</v>
          </cell>
          <cell r="V1536">
            <v>40000</v>
          </cell>
          <cell r="W1536" t="str">
            <v>KEW</v>
          </cell>
          <cell r="X1536" t="str">
            <v>01/09/2010</v>
          </cell>
          <cell r="Y1536" t="str">
            <v>KEW</v>
          </cell>
          <cell r="Z1536" t="str">
            <v>16/08/2013</v>
          </cell>
          <cell r="AA1536" t="str">
            <v>15/08/2015</v>
          </cell>
          <cell r="AB1536" t="str">
            <v>No</v>
          </cell>
          <cell r="AC1536" t="str">
            <v>16/08/2013</v>
          </cell>
          <cell r="AD1536" t="str">
            <v>Good</v>
          </cell>
          <cell r="AE1536" t="str">
            <v>V3 - Added Installed Facilities (New)</v>
          </cell>
          <cell r="AF1536">
            <v>42668</v>
          </cell>
          <cell r="AG1536">
            <v>9.17</v>
          </cell>
          <cell r="AH1536" t="str">
            <v>PPM</v>
          </cell>
          <cell r="AI1536" t="str">
            <v>Strands</v>
          </cell>
          <cell r="AJ1536" t="str">
            <v>Strands PW</v>
          </cell>
          <cell r="AK1536" t="str">
            <v>SNF received. 1st batch of V3 asset (December 2020)</v>
          </cell>
        </row>
        <row r="1537">
          <cell r="A1537" t="str">
            <v>IKN401278</v>
          </cell>
          <cell r="B1537">
            <v>1274</v>
          </cell>
          <cell r="C1537" t="str">
            <v>Institut Kanser Negara</v>
          </cell>
          <cell r="D1537" t="str">
            <v>KKM/IKN/H/13/4952 - 05</v>
          </cell>
          <cell r="E1537" t="str">
            <v>15-605</v>
          </cell>
          <cell r="F1537" t="str">
            <v>Testers</v>
          </cell>
          <cell r="G1537" t="str">
            <v>RT</v>
          </cell>
          <cell r="H1537" t="str">
            <v>RADIATION TREATMENT UNIT</v>
          </cell>
          <cell r="I1537" t="str">
            <v>01RT213</v>
          </cell>
          <cell r="J1537" t="str">
            <v>EQUIPMENT ROOM1</v>
          </cell>
          <cell r="K1537" t="str">
            <v>BMED</v>
          </cell>
          <cell r="L1537" t="str">
            <v>Normal</v>
          </cell>
          <cell r="M1537" t="str">
            <v>Germany</v>
          </cell>
          <cell r="N1537" t="str">
            <v>Various</v>
          </cell>
          <cell r="O1537" t="str">
            <v>IBA Dosimetry GMBH</v>
          </cell>
          <cell r="P1537" t="str">
            <v>11712</v>
          </cell>
          <cell r="Q1537" t="str">
            <v>Not Available</v>
          </cell>
          <cell r="R1537" t="str">
            <v>IBA</v>
          </cell>
          <cell r="S1537" t="str">
            <v>Delta Advantech (M) Sdn. Bhd</v>
          </cell>
          <cell r="T1537" t="str">
            <v>Functioning</v>
          </cell>
          <cell r="U1537" t="str">
            <v>Asset</v>
          </cell>
          <cell r="V1537">
            <v>40000</v>
          </cell>
          <cell r="W1537" t="str">
            <v>KEW</v>
          </cell>
          <cell r="X1537" t="str">
            <v>01/09/2010</v>
          </cell>
          <cell r="Y1537" t="str">
            <v>KEW</v>
          </cell>
          <cell r="Z1537" t="str">
            <v>16/08/2013</v>
          </cell>
          <cell r="AA1537" t="str">
            <v>15/08/2015</v>
          </cell>
          <cell r="AB1537" t="str">
            <v>No</v>
          </cell>
          <cell r="AC1537" t="str">
            <v>16/08/2013</v>
          </cell>
          <cell r="AD1537" t="str">
            <v>Good</v>
          </cell>
          <cell r="AE1537" t="str">
            <v>V3 - Added Installed Facilities (New)</v>
          </cell>
          <cell r="AF1537">
            <v>42668</v>
          </cell>
          <cell r="AG1537">
            <v>9.17</v>
          </cell>
          <cell r="AH1537" t="str">
            <v>PPM</v>
          </cell>
          <cell r="AI1537" t="str">
            <v>Strands</v>
          </cell>
          <cell r="AJ1537" t="str">
            <v>Strands PW</v>
          </cell>
          <cell r="AK1537" t="str">
            <v>SNF received. 1st batch of V3 asset (December 2020)</v>
          </cell>
        </row>
        <row r="1538">
          <cell r="A1538" t="str">
            <v>IKN401279</v>
          </cell>
          <cell r="B1538">
            <v>1275</v>
          </cell>
          <cell r="C1538" t="str">
            <v>Institut Kanser Negara</v>
          </cell>
          <cell r="D1538" t="str">
            <v>KKM/IKN/H/13/4952</v>
          </cell>
          <cell r="E1538" t="str">
            <v>15-605</v>
          </cell>
          <cell r="F1538" t="str">
            <v>Testers</v>
          </cell>
          <cell r="G1538" t="str">
            <v>RT</v>
          </cell>
          <cell r="H1538" t="str">
            <v>RADIATION TREATMENT UNIT</v>
          </cell>
          <cell r="I1538" t="str">
            <v>01RT213</v>
          </cell>
          <cell r="J1538" t="str">
            <v>EQUIPMENT ROOM1</v>
          </cell>
          <cell r="K1538" t="str">
            <v>BMED</v>
          </cell>
          <cell r="L1538" t="str">
            <v>Normal</v>
          </cell>
          <cell r="M1538" t="str">
            <v>Germany</v>
          </cell>
          <cell r="N1538" t="str">
            <v>Various</v>
          </cell>
          <cell r="O1538" t="str">
            <v>IBA Dosimetry GMBH</v>
          </cell>
          <cell r="P1538" t="str">
            <v>1226</v>
          </cell>
          <cell r="Q1538" t="str">
            <v>Not Available</v>
          </cell>
          <cell r="R1538" t="str">
            <v>IBA</v>
          </cell>
          <cell r="S1538" t="str">
            <v>Delta Advantech (M) Sdn. Bhd</v>
          </cell>
          <cell r="T1538" t="str">
            <v>Functioning</v>
          </cell>
          <cell r="U1538" t="str">
            <v>Asset</v>
          </cell>
          <cell r="V1538">
            <v>40000</v>
          </cell>
          <cell r="W1538" t="str">
            <v>KEW</v>
          </cell>
          <cell r="X1538" t="str">
            <v>01/09/2010</v>
          </cell>
          <cell r="Y1538" t="str">
            <v>KEW</v>
          </cell>
          <cell r="Z1538" t="str">
            <v>16/08/2013</v>
          </cell>
          <cell r="AA1538" t="str">
            <v>15/08/2015</v>
          </cell>
          <cell r="AB1538" t="str">
            <v>No</v>
          </cell>
          <cell r="AC1538" t="str">
            <v>16/08/2013</v>
          </cell>
          <cell r="AD1538" t="str">
            <v>Good</v>
          </cell>
          <cell r="AE1538" t="str">
            <v>V3 - Added Installed Facilities (New)</v>
          </cell>
          <cell r="AF1538">
            <v>42668</v>
          </cell>
          <cell r="AG1538">
            <v>9.17</v>
          </cell>
          <cell r="AH1538" t="str">
            <v>PPM</v>
          </cell>
          <cell r="AI1538" t="str">
            <v>Strands</v>
          </cell>
          <cell r="AJ1538" t="str">
            <v>Strands PW</v>
          </cell>
          <cell r="AK1538" t="str">
            <v>SNF received. 1st batch of V3 asset (December 2020)</v>
          </cell>
        </row>
        <row r="1539">
          <cell r="A1539" t="str">
            <v>IKN401280</v>
          </cell>
          <cell r="B1539">
            <v>1276</v>
          </cell>
          <cell r="C1539" t="str">
            <v>Institut Kanser Negara</v>
          </cell>
          <cell r="D1539" t="str">
            <v>KKM/IKN/H/13/4952</v>
          </cell>
          <cell r="E1539" t="str">
            <v>15-605</v>
          </cell>
          <cell r="F1539" t="str">
            <v>Testers</v>
          </cell>
          <cell r="G1539" t="str">
            <v>RT</v>
          </cell>
          <cell r="H1539" t="str">
            <v>RADIATION TREATMENT UNIT</v>
          </cell>
          <cell r="I1539" t="str">
            <v>01RT213</v>
          </cell>
          <cell r="J1539" t="str">
            <v>EQUIPMENT ROOM1</v>
          </cell>
          <cell r="K1539" t="str">
            <v>BMED</v>
          </cell>
          <cell r="L1539" t="str">
            <v>Normal</v>
          </cell>
          <cell r="M1539" t="str">
            <v>Germany</v>
          </cell>
          <cell r="N1539" t="str">
            <v>Various</v>
          </cell>
          <cell r="O1539" t="str">
            <v>IBA Dosimetry GMBH</v>
          </cell>
          <cell r="P1539" t="str">
            <v>2627</v>
          </cell>
          <cell r="Q1539" t="str">
            <v>Not Available</v>
          </cell>
          <cell r="R1539" t="str">
            <v>IBA</v>
          </cell>
          <cell r="S1539" t="str">
            <v>Delta Advantech (M) Sdn. Bhd</v>
          </cell>
          <cell r="T1539" t="str">
            <v>Functioning</v>
          </cell>
          <cell r="U1539" t="str">
            <v>Asset</v>
          </cell>
          <cell r="V1539">
            <v>40000</v>
          </cell>
          <cell r="W1539" t="str">
            <v>KEW</v>
          </cell>
          <cell r="X1539" t="str">
            <v>01/09/2010</v>
          </cell>
          <cell r="Y1539" t="str">
            <v>KEW</v>
          </cell>
          <cell r="Z1539" t="str">
            <v>16/08/2013</v>
          </cell>
          <cell r="AA1539" t="str">
            <v>15/08/2015</v>
          </cell>
          <cell r="AB1539" t="str">
            <v>No</v>
          </cell>
          <cell r="AC1539" t="str">
            <v>16/08/2013</v>
          </cell>
          <cell r="AD1539" t="str">
            <v>Good</v>
          </cell>
          <cell r="AE1539" t="str">
            <v>V3 - Added Installed Facilities (New)</v>
          </cell>
          <cell r="AF1539">
            <v>42668</v>
          </cell>
          <cell r="AG1539">
            <v>9.17</v>
          </cell>
          <cell r="AH1539" t="str">
            <v>PPM</v>
          </cell>
          <cell r="AI1539" t="str">
            <v>Strands</v>
          </cell>
          <cell r="AJ1539" t="str">
            <v>Strands PW</v>
          </cell>
          <cell r="AK1539" t="str">
            <v>SNF received. 1st batch of V3 asset (December 2020)</v>
          </cell>
        </row>
        <row r="1540">
          <cell r="A1540" t="str">
            <v>IKN401281</v>
          </cell>
          <cell r="B1540">
            <v>1277</v>
          </cell>
          <cell r="C1540" t="str">
            <v>Institut Kanser Negara</v>
          </cell>
          <cell r="D1540" t="str">
            <v>KKM/IKN/H/13/4952 - 02</v>
          </cell>
          <cell r="E1540" t="str">
            <v>15-605</v>
          </cell>
          <cell r="F1540" t="str">
            <v>Testers</v>
          </cell>
          <cell r="G1540" t="str">
            <v>RT</v>
          </cell>
          <cell r="H1540" t="str">
            <v>RADIATION TREATMENT UNIT</v>
          </cell>
          <cell r="I1540" t="str">
            <v>01RT213</v>
          </cell>
          <cell r="J1540" t="str">
            <v>EQUIPMENT ROOM1</v>
          </cell>
          <cell r="K1540" t="str">
            <v>BMED</v>
          </cell>
          <cell r="L1540" t="str">
            <v>Normal</v>
          </cell>
          <cell r="M1540" t="str">
            <v>Germany</v>
          </cell>
          <cell r="N1540" t="str">
            <v>Various</v>
          </cell>
          <cell r="O1540" t="str">
            <v>IBA Dosimetry GMBH</v>
          </cell>
          <cell r="P1540" t="str">
            <v>2625</v>
          </cell>
          <cell r="Q1540" t="str">
            <v>Not Available</v>
          </cell>
          <cell r="R1540" t="str">
            <v>IBA</v>
          </cell>
          <cell r="S1540" t="str">
            <v>Delta Advantech (M) Sdn. Bhd</v>
          </cell>
          <cell r="T1540" t="str">
            <v>Functioning</v>
          </cell>
          <cell r="U1540" t="str">
            <v>Asset</v>
          </cell>
          <cell r="V1540">
            <v>40000</v>
          </cell>
          <cell r="W1540" t="str">
            <v>KEW</v>
          </cell>
          <cell r="X1540" t="str">
            <v>01/09/2010</v>
          </cell>
          <cell r="Y1540" t="str">
            <v>KEW</v>
          </cell>
          <cell r="Z1540" t="str">
            <v>16/08/2013</v>
          </cell>
          <cell r="AA1540" t="str">
            <v>15/08/2015</v>
          </cell>
          <cell r="AB1540" t="str">
            <v>No</v>
          </cell>
          <cell r="AC1540" t="str">
            <v>16/08/2013</v>
          </cell>
          <cell r="AD1540" t="str">
            <v>Good</v>
          </cell>
          <cell r="AE1540" t="str">
            <v>V3 - Added Installed Facilities (New)</v>
          </cell>
          <cell r="AF1540">
            <v>42668</v>
          </cell>
          <cell r="AG1540">
            <v>9.17</v>
          </cell>
          <cell r="AH1540" t="str">
            <v>PPM</v>
          </cell>
          <cell r="AI1540" t="str">
            <v>Strands</v>
          </cell>
          <cell r="AJ1540" t="str">
            <v>Strands PW</v>
          </cell>
          <cell r="AK1540" t="str">
            <v>SNF received. 1st batch of V3 asset (December 2020)</v>
          </cell>
        </row>
        <row r="1541">
          <cell r="A1541" t="str">
            <v>IKN401282</v>
          </cell>
          <cell r="B1541">
            <v>1278</v>
          </cell>
          <cell r="C1541" t="str">
            <v>Institut Kanser Negara</v>
          </cell>
          <cell r="D1541" t="str">
            <v>KKM/IKN/H/13/4952</v>
          </cell>
          <cell r="E1541" t="str">
            <v>15-605</v>
          </cell>
          <cell r="F1541" t="str">
            <v>Testers</v>
          </cell>
          <cell r="G1541" t="str">
            <v>RT</v>
          </cell>
          <cell r="H1541" t="str">
            <v>RADIATION TREATMENT UNIT</v>
          </cell>
          <cell r="I1541" t="str">
            <v>01RT213</v>
          </cell>
          <cell r="J1541" t="str">
            <v>EQUIPMENT ROOM1</v>
          </cell>
          <cell r="K1541" t="str">
            <v>BMED</v>
          </cell>
          <cell r="L1541" t="str">
            <v>Normal</v>
          </cell>
          <cell r="M1541" t="str">
            <v>Germany</v>
          </cell>
          <cell r="N1541" t="str">
            <v>Various</v>
          </cell>
          <cell r="O1541" t="str">
            <v>IBA Dosimetry GMBH</v>
          </cell>
          <cell r="P1541" t="str">
            <v>11709</v>
          </cell>
          <cell r="Q1541" t="str">
            <v>Not Available</v>
          </cell>
          <cell r="R1541" t="str">
            <v>IBA</v>
          </cell>
          <cell r="S1541" t="str">
            <v>Delta Advantech (M) Sdn. Bhd</v>
          </cell>
          <cell r="T1541" t="str">
            <v>Functioning</v>
          </cell>
          <cell r="U1541" t="str">
            <v>Asset</v>
          </cell>
          <cell r="V1541">
            <v>40000</v>
          </cell>
          <cell r="W1541" t="str">
            <v>KEW</v>
          </cell>
          <cell r="X1541" t="str">
            <v>01/09/2010</v>
          </cell>
          <cell r="Y1541" t="str">
            <v>KEW</v>
          </cell>
          <cell r="Z1541" t="str">
            <v>16/08/2013</v>
          </cell>
          <cell r="AA1541" t="str">
            <v>15/08/2015</v>
          </cell>
          <cell r="AB1541" t="str">
            <v>No</v>
          </cell>
          <cell r="AC1541" t="str">
            <v>16/08/2013</v>
          </cell>
          <cell r="AD1541" t="str">
            <v>Good</v>
          </cell>
          <cell r="AE1541" t="str">
            <v>V3 - Added Installed Facilities (New)</v>
          </cell>
          <cell r="AF1541">
            <v>42668</v>
          </cell>
          <cell r="AG1541">
            <v>9.17</v>
          </cell>
          <cell r="AH1541" t="str">
            <v>PPM</v>
          </cell>
          <cell r="AI1541" t="str">
            <v>Strands</v>
          </cell>
          <cell r="AJ1541" t="str">
            <v>Strands PW</v>
          </cell>
          <cell r="AK1541" t="str">
            <v>SNF received. 1st batch of V3 asset (December 2020)</v>
          </cell>
        </row>
        <row r="1542">
          <cell r="A1542" t="str">
            <v>IKN401287</v>
          </cell>
          <cell r="B1542">
            <v>1283</v>
          </cell>
          <cell r="C1542" t="str">
            <v>Institut Kanser Negara</v>
          </cell>
          <cell r="D1542" t="str">
            <v>KKM/IKN/H/15/25</v>
          </cell>
          <cell r="E1542" t="str">
            <v>15-944</v>
          </cell>
          <cell r="F1542" t="str">
            <v>Cameras, Gamma</v>
          </cell>
          <cell r="G1542" t="str">
            <v>NM</v>
          </cell>
          <cell r="H1542" t="str">
            <v>NUCLEAR MED (DIAGNOSTIC)</v>
          </cell>
          <cell r="I1542" t="str">
            <v>03NM153</v>
          </cell>
          <cell r="J1542" t="str">
            <v>PHYSICS LAB</v>
          </cell>
          <cell r="K1542" t="str">
            <v>BMED</v>
          </cell>
          <cell r="L1542" t="str">
            <v>Normal</v>
          </cell>
          <cell r="M1542" t="str">
            <v>USA</v>
          </cell>
          <cell r="N1542" t="str">
            <v>C-TRAK</v>
          </cell>
          <cell r="O1542" t="str">
            <v>CW-3000</v>
          </cell>
          <cell r="P1542" t="str">
            <v>CW3-11200</v>
          </cell>
          <cell r="Q1542" t="str">
            <v>NA</v>
          </cell>
          <cell r="R1542" t="str">
            <v>CARE WISE MEDICAL</v>
          </cell>
          <cell r="S1542" t="str">
            <v>ALAM MEDIK SDN BHD</v>
          </cell>
          <cell r="T1542" t="str">
            <v>Functioning</v>
          </cell>
          <cell r="U1542" t="str">
            <v>Asset</v>
          </cell>
          <cell r="V1542">
            <v>133788</v>
          </cell>
          <cell r="W1542" t="str">
            <v>KEW</v>
          </cell>
          <cell r="X1542" t="str">
            <v>09/10/2015</v>
          </cell>
          <cell r="Y1542" t="str">
            <v>KEW</v>
          </cell>
          <cell r="Z1542" t="str">
            <v>26/11/2015</v>
          </cell>
          <cell r="AA1542" t="str">
            <v>25/11/2016</v>
          </cell>
          <cell r="AB1542" t="str">
            <v>No</v>
          </cell>
          <cell r="AC1542" t="str">
            <v>26/11/2015</v>
          </cell>
          <cell r="AD1542" t="str">
            <v>Good</v>
          </cell>
          <cell r="AE1542" t="str">
            <v>V3 - Added Installed Facilities (New)</v>
          </cell>
          <cell r="AF1542">
            <v>42528</v>
          </cell>
          <cell r="AG1542">
            <v>4.08</v>
          </cell>
          <cell r="AH1542" t="str">
            <v>PPM</v>
          </cell>
          <cell r="AI1542" t="str">
            <v>package</v>
          </cell>
          <cell r="AJ1542" t="str">
            <v>Proposed for V3 P2.23</v>
          </cell>
          <cell r="AK1542" t="str">
            <v>KKM follow P2.23 list.</v>
          </cell>
        </row>
        <row r="1543">
          <cell r="A1543" t="str">
            <v>IKN401288</v>
          </cell>
          <cell r="B1543">
            <v>1284</v>
          </cell>
          <cell r="C1543" t="str">
            <v>Institut Kanser Negara</v>
          </cell>
          <cell r="D1543" t="str">
            <v>KKM/IKN/H/13/4596</v>
          </cell>
          <cell r="E1543" t="str">
            <v>10-849</v>
          </cell>
          <cell r="F1543" t="str">
            <v>Circulatory Assist Units, Venous Return</v>
          </cell>
          <cell r="G1543" t="str">
            <v>PY</v>
          </cell>
          <cell r="H1543" t="str">
            <v>PHYSIOTHERAPY</v>
          </cell>
          <cell r="I1543" t="str">
            <v>04PY119</v>
          </cell>
          <cell r="J1543" t="str">
            <v>EQ.ROOM</v>
          </cell>
          <cell r="K1543" t="str">
            <v>BMED</v>
          </cell>
          <cell r="L1543" t="str">
            <v>Critical</v>
          </cell>
          <cell r="M1543" t="str">
            <v>USA</v>
          </cell>
          <cell r="N1543" t="str">
            <v>MediPress</v>
          </cell>
          <cell r="O1543" t="str">
            <v>MediPress 6101</v>
          </cell>
          <cell r="P1543" t="str">
            <v>P131203680</v>
          </cell>
          <cell r="Q1543" t="str">
            <v>Not Applicable</v>
          </cell>
          <cell r="R1543" t="str">
            <v>Meridian Medical</v>
          </cell>
          <cell r="S1543" t="str">
            <v>MEDIKA SUPPLIES SDN BHD</v>
          </cell>
          <cell r="T1543" t="str">
            <v>Functioning</v>
          </cell>
          <cell r="U1543" t="str">
            <v>Asset</v>
          </cell>
          <cell r="V1543">
            <v>3300</v>
          </cell>
          <cell r="W1543" t="str">
            <v>KEW</v>
          </cell>
          <cell r="X1543" t="str">
            <v>03/12/2013</v>
          </cell>
          <cell r="Y1543" t="str">
            <v>KEW</v>
          </cell>
          <cell r="Z1543" t="str">
            <v>03/12/2013</v>
          </cell>
          <cell r="AA1543" t="str">
            <v>02/12/2015</v>
          </cell>
          <cell r="AB1543" t="str">
            <v>No</v>
          </cell>
          <cell r="AC1543" t="str">
            <v>03/12/2013</v>
          </cell>
          <cell r="AD1543" t="str">
            <v>Good</v>
          </cell>
          <cell r="AE1543" t="str">
            <v>V3 - Added Installed Facilities (New)</v>
          </cell>
          <cell r="AF1543">
            <v>43068</v>
          </cell>
          <cell r="AG1543">
            <v>5.92</v>
          </cell>
          <cell r="AH1543" t="str">
            <v>PPM</v>
          </cell>
          <cell r="AI1543" t="str">
            <v>Strands</v>
          </cell>
          <cell r="AJ1543" t="str">
            <v>Strands PW</v>
          </cell>
          <cell r="AK1543" t="str">
            <v>SNF received. 1st batch of V3 asset (December 2020)</v>
          </cell>
        </row>
        <row r="1544">
          <cell r="A1544" t="str">
            <v>IKN401289</v>
          </cell>
          <cell r="B1544">
            <v>1285</v>
          </cell>
          <cell r="C1544" t="str">
            <v>Institut Kanser Negara</v>
          </cell>
          <cell r="D1544" t="str">
            <v>KKM/IKN/H/13/4595</v>
          </cell>
          <cell r="E1544" t="str">
            <v>10-849</v>
          </cell>
          <cell r="F1544" t="str">
            <v>Circulatory Assist Units, Venous Return</v>
          </cell>
          <cell r="G1544" t="str">
            <v>PY</v>
          </cell>
          <cell r="H1544" t="str">
            <v>PHYSIOTHERAPY</v>
          </cell>
          <cell r="I1544" t="str">
            <v>04PY128</v>
          </cell>
          <cell r="J1544" t="str">
            <v>MLD</v>
          </cell>
          <cell r="K1544" t="str">
            <v>BMED</v>
          </cell>
          <cell r="L1544" t="str">
            <v>Critical</v>
          </cell>
          <cell r="M1544" t="str">
            <v>USA</v>
          </cell>
          <cell r="N1544" t="str">
            <v>MediPress</v>
          </cell>
          <cell r="O1544" t="str">
            <v>MediPress 6101</v>
          </cell>
          <cell r="P1544" t="str">
            <v>P140200526</v>
          </cell>
          <cell r="Q1544" t="str">
            <v>Not Applicable</v>
          </cell>
          <cell r="R1544" t="str">
            <v>Meridian Medical</v>
          </cell>
          <cell r="S1544" t="str">
            <v>MEDIKA SUPPLIES SDN BHD</v>
          </cell>
          <cell r="T1544" t="str">
            <v>Functioning</v>
          </cell>
          <cell r="U1544" t="str">
            <v>Asset</v>
          </cell>
          <cell r="V1544">
            <v>3300</v>
          </cell>
          <cell r="W1544" t="str">
            <v>KEW</v>
          </cell>
          <cell r="X1544" t="str">
            <v>03/12/2013</v>
          </cell>
          <cell r="Y1544" t="str">
            <v>KEW</v>
          </cell>
          <cell r="Z1544" t="str">
            <v>03/12/2013</v>
          </cell>
          <cell r="AA1544" t="str">
            <v>02/12/2015</v>
          </cell>
          <cell r="AB1544" t="str">
            <v>No</v>
          </cell>
          <cell r="AC1544" t="str">
            <v>03/12/2013</v>
          </cell>
          <cell r="AD1544" t="str">
            <v>Good</v>
          </cell>
          <cell r="AE1544" t="str">
            <v>V3 - Added Installed Facilities (New)</v>
          </cell>
          <cell r="AF1544">
            <v>43068</v>
          </cell>
          <cell r="AG1544">
            <v>5.92</v>
          </cell>
          <cell r="AH1544" t="str">
            <v>PPM</v>
          </cell>
          <cell r="AI1544" t="str">
            <v>Strands</v>
          </cell>
          <cell r="AJ1544" t="str">
            <v>Strands PW</v>
          </cell>
          <cell r="AK1544" t="str">
            <v>SNF received. 1st batch of V3 asset (December 2020)</v>
          </cell>
        </row>
        <row r="1545">
          <cell r="A1545" t="str">
            <v>IKN401291</v>
          </cell>
          <cell r="B1545">
            <v>1287</v>
          </cell>
          <cell r="C1545" t="str">
            <v>Institut Kanser Negara</v>
          </cell>
          <cell r="D1545" t="str">
            <v>N/A</v>
          </cell>
          <cell r="E1545" t="str">
            <v>13-281</v>
          </cell>
          <cell r="F1545" t="str">
            <v>Computers, Radiotherapy Planning System</v>
          </cell>
          <cell r="G1545" t="str">
            <v>RT</v>
          </cell>
          <cell r="H1545" t="str">
            <v>RADIATION TREATMENT UNIT</v>
          </cell>
          <cell r="I1545" t="str">
            <v>01RT214</v>
          </cell>
          <cell r="J1545" t="str">
            <v>TPS 1</v>
          </cell>
          <cell r="K1545" t="str">
            <v>BMED</v>
          </cell>
          <cell r="L1545" t="str">
            <v>Normal</v>
          </cell>
          <cell r="M1545" t="str">
            <v>GERMANY</v>
          </cell>
          <cell r="N1545" t="str">
            <v>BRAINLAB</v>
          </cell>
          <cell r="O1545" t="str">
            <v>IPLAN WORKSTATION</v>
          </cell>
          <cell r="P1545" t="str">
            <v>3668615001</v>
          </cell>
          <cell r="Q1545" t="str">
            <v>NA</v>
          </cell>
          <cell r="R1545" t="str">
            <v>BRAINLAB</v>
          </cell>
          <cell r="S1545" t="str">
            <v>AYZEL VENTURE ENTERPISE</v>
          </cell>
          <cell r="T1545" t="str">
            <v>Functioning</v>
          </cell>
          <cell r="U1545" t="str">
            <v>Asset</v>
          </cell>
          <cell r="V1545">
            <v>499900</v>
          </cell>
          <cell r="W1545" t="str">
            <v>KEW</v>
          </cell>
          <cell r="X1545" t="str">
            <v>27/10/2015</v>
          </cell>
          <cell r="Y1545" t="str">
            <v>KEW</v>
          </cell>
          <cell r="Z1545" t="str">
            <v>09/12/2015</v>
          </cell>
          <cell r="AA1545" t="str">
            <v>08/12/2017</v>
          </cell>
          <cell r="AB1545" t="str">
            <v>No</v>
          </cell>
          <cell r="AC1545" t="str">
            <v>09/12/2015</v>
          </cell>
          <cell r="AD1545" t="str">
            <v>Good</v>
          </cell>
          <cell r="AE1545" t="str">
            <v>V1 - Existing / No Claim</v>
          </cell>
          <cell r="AF1545">
            <v>42473</v>
          </cell>
          <cell r="AG1545">
            <v>4.08</v>
          </cell>
          <cell r="AH1545" t="str">
            <v>PPM</v>
          </cell>
          <cell r="AI1545" t="str">
            <v>Strands</v>
          </cell>
          <cell r="AJ1545" t="str">
            <v>Strands Package</v>
          </cell>
          <cell r="AK1545" t="str">
            <v>Package Code XM0003(A)</v>
          </cell>
        </row>
        <row r="1546">
          <cell r="A1546" t="str">
            <v>IKN401292</v>
          </cell>
          <cell r="B1546">
            <v>1288</v>
          </cell>
          <cell r="C1546" t="str">
            <v>Institut Kanser Negara</v>
          </cell>
          <cell r="D1546" t="str">
            <v>KKM/IKN/H/13/4597</v>
          </cell>
          <cell r="E1546" t="str">
            <v>10-849</v>
          </cell>
          <cell r="F1546" t="str">
            <v>Circulatory Assist Units, Venous Return</v>
          </cell>
          <cell r="G1546" t="str">
            <v>PY</v>
          </cell>
          <cell r="H1546" t="str">
            <v>PHYSIOTHERAPY</v>
          </cell>
          <cell r="I1546" t="str">
            <v>04PY119</v>
          </cell>
          <cell r="J1546" t="str">
            <v>EQ.ROOM</v>
          </cell>
          <cell r="K1546" t="str">
            <v>BMED</v>
          </cell>
          <cell r="L1546" t="str">
            <v>Critical</v>
          </cell>
          <cell r="M1546" t="str">
            <v>USA</v>
          </cell>
          <cell r="N1546" t="str">
            <v>MediPress</v>
          </cell>
          <cell r="O1546" t="str">
            <v>MediPress 6101</v>
          </cell>
          <cell r="P1546" t="str">
            <v>P131203681</v>
          </cell>
          <cell r="Q1546" t="str">
            <v>Not Applicable</v>
          </cell>
          <cell r="R1546" t="str">
            <v>Meridian Medical</v>
          </cell>
          <cell r="S1546" t="str">
            <v>MEDIKA SUPPLIES SDN BHD</v>
          </cell>
          <cell r="T1546" t="str">
            <v>Functioning</v>
          </cell>
          <cell r="U1546" t="str">
            <v>Asset</v>
          </cell>
          <cell r="V1546">
            <v>3300</v>
          </cell>
          <cell r="W1546" t="str">
            <v>KEW</v>
          </cell>
          <cell r="X1546" t="str">
            <v>03/12/2013</v>
          </cell>
          <cell r="Y1546" t="str">
            <v>KEW</v>
          </cell>
          <cell r="Z1546" t="str">
            <v>03/12/2013</v>
          </cell>
          <cell r="AA1546" t="str">
            <v>02/12/2015</v>
          </cell>
          <cell r="AB1546" t="str">
            <v>No</v>
          </cell>
          <cell r="AC1546" t="str">
            <v>03/12/2013</v>
          </cell>
          <cell r="AD1546" t="str">
            <v>Good</v>
          </cell>
          <cell r="AE1546" t="str">
            <v>V3 - Added Installed Facilities (New)</v>
          </cell>
          <cell r="AF1546">
            <v>42933</v>
          </cell>
          <cell r="AG1546">
            <v>5.92</v>
          </cell>
          <cell r="AH1546" t="str">
            <v>PPM</v>
          </cell>
          <cell r="AI1546" t="str">
            <v>Strands</v>
          </cell>
          <cell r="AJ1546" t="str">
            <v>Strands PW</v>
          </cell>
          <cell r="AK1546" t="str">
            <v>SNF received. 1st batch of V3 asset (December 2020)</v>
          </cell>
        </row>
        <row r="1547">
          <cell r="A1547" t="str">
            <v>IKN401313</v>
          </cell>
          <cell r="B1547">
            <v>1308</v>
          </cell>
          <cell r="C1547" t="str">
            <v>Institut Kanser Negara</v>
          </cell>
          <cell r="D1547" t="e">
            <v>#N/A</v>
          </cell>
          <cell r="E1547" t="str">
            <v>10-447</v>
          </cell>
          <cell r="F1547" t="str">
            <v>Warming Units, Blood/Solution</v>
          </cell>
          <cell r="G1547" t="str">
            <v>RT</v>
          </cell>
          <cell r="H1547" t="str">
            <v>RADIATION TREATMENT UNIT</v>
          </cell>
          <cell r="I1547" t="str">
            <v>01RT116</v>
          </cell>
          <cell r="J1547" t="str">
            <v>CT SIMULATOR 1</v>
          </cell>
          <cell r="K1547" t="str">
            <v>BMED</v>
          </cell>
          <cell r="L1547" t="str">
            <v>Normal</v>
          </cell>
          <cell r="M1547" t="str">
            <v>USA</v>
          </cell>
          <cell r="N1547" t="str">
            <v>Warmflo</v>
          </cell>
          <cell r="O1547" t="str">
            <v>Warmflo FW558</v>
          </cell>
          <cell r="P1547" t="str">
            <v>CO716R405R</v>
          </cell>
          <cell r="Q1547" t="str">
            <v>Not Available</v>
          </cell>
          <cell r="R1547" t="str">
            <v>Mallinckrodt</v>
          </cell>
          <cell r="S1547" t="str">
            <v>Schmidt Biomedtech Sdn. Bhd.</v>
          </cell>
          <cell r="T1547" t="str">
            <v>Functioning</v>
          </cell>
          <cell r="U1547" t="str">
            <v>Asset</v>
          </cell>
          <cell r="V1547">
            <v>8500</v>
          </cell>
          <cell r="W1547" t="str">
            <v>KEW</v>
          </cell>
          <cell r="X1547" t="str">
            <v>12/08/2016</v>
          </cell>
          <cell r="Y1547" t="str">
            <v>KEW</v>
          </cell>
          <cell r="Z1547" t="str">
            <v>26/08/2016</v>
          </cell>
          <cell r="AA1547" t="str">
            <v>25/08/2017</v>
          </cell>
          <cell r="AB1547" t="str">
            <v>No</v>
          </cell>
          <cell r="AC1547" t="str">
            <v>26/08/2016</v>
          </cell>
          <cell r="AD1547" t="str">
            <v>Good</v>
          </cell>
          <cell r="AE1547" t="str">
            <v>V3 - Added Installed Facilities (New)</v>
          </cell>
          <cell r="AF1547">
            <v>42661</v>
          </cell>
          <cell r="AG1547">
            <v>3.25</v>
          </cell>
          <cell r="AH1547" t="str">
            <v>PPM</v>
          </cell>
          <cell r="AI1547" t="str">
            <v>package</v>
          </cell>
          <cell r="AK1547" t="str">
            <v>Under Injector Ct Sim</v>
          </cell>
        </row>
        <row r="1548">
          <cell r="A1548" t="str">
            <v>IKN401315</v>
          </cell>
          <cell r="B1548">
            <v>1309</v>
          </cell>
          <cell r="C1548" t="str">
            <v>Institut Kanser Negara</v>
          </cell>
          <cell r="D1548" t="str">
            <v>KKM/IKN/H/16/10</v>
          </cell>
          <cell r="E1548" t="str">
            <v>10-208</v>
          </cell>
          <cell r="F1548" t="str">
            <v>Aspirators</v>
          </cell>
          <cell r="G1548" t="str">
            <v>OT</v>
          </cell>
          <cell r="H1548" t="str">
            <v>OPERATING THEATRE</v>
          </cell>
          <cell r="I1548" t="str">
            <v>05OT127</v>
          </cell>
          <cell r="J1548" t="str">
            <v>SCRUB 1</v>
          </cell>
          <cell r="K1548" t="str">
            <v>BMED</v>
          </cell>
          <cell r="L1548" t="str">
            <v>Critical</v>
          </cell>
          <cell r="M1548" t="str">
            <v>ITALI</v>
          </cell>
          <cell r="N1548" t="str">
            <v>GIMA</v>
          </cell>
          <cell r="O1548" t="str">
            <v>HOSPI PLUS.</v>
          </cell>
          <cell r="P1548" t="str">
            <v>1194</v>
          </cell>
          <cell r="Q1548" t="str">
            <v>Not Applicable</v>
          </cell>
          <cell r="R1548" t="str">
            <v>GIMA</v>
          </cell>
          <cell r="S1548" t="str">
            <v>Teraju Delima Niaga Resources</v>
          </cell>
          <cell r="T1548" t="str">
            <v>Functioning</v>
          </cell>
          <cell r="U1548" t="str">
            <v>Asset</v>
          </cell>
          <cell r="V1548">
            <v>4800</v>
          </cell>
          <cell r="W1548" t="str">
            <v>KEW</v>
          </cell>
          <cell r="X1548" t="str">
            <v>21/09/2016</v>
          </cell>
          <cell r="Y1548" t="str">
            <v>KEW</v>
          </cell>
          <cell r="Z1548" t="str">
            <v>21/09/2016</v>
          </cell>
          <cell r="AA1548" t="str">
            <v>20/09/2017</v>
          </cell>
          <cell r="AB1548" t="str">
            <v>No</v>
          </cell>
          <cell r="AC1548" t="str">
            <v>21/09/2016</v>
          </cell>
          <cell r="AD1548" t="str">
            <v>Good</v>
          </cell>
          <cell r="AE1548" t="str">
            <v>V3 - Added Installed Facilities (New)</v>
          </cell>
          <cell r="AF1548">
            <v>42802</v>
          </cell>
          <cell r="AG1548">
            <v>3.17</v>
          </cell>
          <cell r="AH1548" t="str">
            <v>PPM</v>
          </cell>
          <cell r="AI1548" t="str">
            <v>Strands</v>
          </cell>
          <cell r="AJ1548" t="str">
            <v>Strands PW</v>
          </cell>
          <cell r="AK1548" t="str">
            <v>SNF received on 25.2.2020</v>
          </cell>
        </row>
        <row r="1549">
          <cell r="A1549" t="str">
            <v>IKN401316</v>
          </cell>
          <cell r="B1549">
            <v>1310</v>
          </cell>
          <cell r="C1549" t="str">
            <v>Institut Kanser Negara</v>
          </cell>
          <cell r="D1549" t="str">
            <v>KKM/IKN/H/13/4952</v>
          </cell>
          <cell r="E1549" t="str">
            <v>15-605</v>
          </cell>
          <cell r="F1549" t="str">
            <v>Testers</v>
          </cell>
          <cell r="G1549" t="str">
            <v>RT</v>
          </cell>
          <cell r="H1549" t="str">
            <v>RADIATION TREATMENT UNIT</v>
          </cell>
          <cell r="I1549" t="str">
            <v>01RT213</v>
          </cell>
          <cell r="J1549" t="str">
            <v>EQUIPMENT ROOM1</v>
          </cell>
          <cell r="K1549" t="str">
            <v>BMED</v>
          </cell>
          <cell r="L1549" t="str">
            <v>Normal</v>
          </cell>
          <cell r="M1549" t="str">
            <v>Germany</v>
          </cell>
          <cell r="N1549" t="str">
            <v>Various</v>
          </cell>
          <cell r="O1549" t="str">
            <v>IBA Dosimetry GMBH</v>
          </cell>
          <cell r="P1549" t="str">
            <v>1227</v>
          </cell>
          <cell r="Q1549" t="str">
            <v>Not Available</v>
          </cell>
          <cell r="R1549" t="str">
            <v>IBA</v>
          </cell>
          <cell r="S1549" t="str">
            <v>Delta Advantech (M) Sdn. Bhd</v>
          </cell>
          <cell r="T1549" t="str">
            <v>Functioning</v>
          </cell>
          <cell r="U1549" t="str">
            <v>Asset</v>
          </cell>
          <cell r="V1549">
            <v>40000</v>
          </cell>
          <cell r="W1549" t="str">
            <v>KEW</v>
          </cell>
          <cell r="X1549" t="str">
            <v>01/09/2010</v>
          </cell>
          <cell r="Y1549" t="str">
            <v>KEW</v>
          </cell>
          <cell r="Z1549" t="str">
            <v>16/08/2013</v>
          </cell>
          <cell r="AA1549" t="str">
            <v>15/08/2015</v>
          </cell>
          <cell r="AB1549" t="str">
            <v>No</v>
          </cell>
          <cell r="AC1549" t="str">
            <v>16/08/2013</v>
          </cell>
          <cell r="AD1549" t="str">
            <v>Good</v>
          </cell>
          <cell r="AE1549" t="str">
            <v>V3 - Added Installed Facilities (New)</v>
          </cell>
          <cell r="AF1549">
            <v>42668</v>
          </cell>
          <cell r="AG1549">
            <v>9.17</v>
          </cell>
          <cell r="AH1549" t="str">
            <v>PPM</v>
          </cell>
          <cell r="AI1549" t="str">
            <v>Strands</v>
          </cell>
          <cell r="AJ1549" t="str">
            <v>Strands PW</v>
          </cell>
          <cell r="AK1549" t="str">
            <v>SNF received on 25.2.2020</v>
          </cell>
        </row>
        <row r="1550">
          <cell r="A1550" t="str">
            <v>IKN401317</v>
          </cell>
          <cell r="B1550">
            <v>1311</v>
          </cell>
          <cell r="C1550" t="str">
            <v>Institut Kanser Negara</v>
          </cell>
          <cell r="D1550" t="str">
            <v>KKM/IKN/H/13/4952</v>
          </cell>
          <cell r="E1550" t="str">
            <v>15-605</v>
          </cell>
          <cell r="F1550" t="str">
            <v>Testers</v>
          </cell>
          <cell r="G1550" t="str">
            <v>RT</v>
          </cell>
          <cell r="H1550" t="str">
            <v>RADIATION TREATMENT UNIT</v>
          </cell>
          <cell r="I1550" t="str">
            <v>01RT213</v>
          </cell>
          <cell r="J1550" t="str">
            <v>EQUIPMENT ROOM1</v>
          </cell>
          <cell r="K1550" t="str">
            <v>BMED</v>
          </cell>
          <cell r="L1550" t="str">
            <v>Normal</v>
          </cell>
          <cell r="M1550" t="str">
            <v>Germany</v>
          </cell>
          <cell r="N1550" t="str">
            <v>Various</v>
          </cell>
          <cell r="O1550" t="str">
            <v>IBA Dosimetry GMBH</v>
          </cell>
          <cell r="P1550" t="str">
            <v>1233</v>
          </cell>
          <cell r="Q1550" t="str">
            <v>Not Available</v>
          </cell>
          <cell r="R1550" t="str">
            <v>IBA</v>
          </cell>
          <cell r="S1550" t="str">
            <v>Delta Advantech (M) Sdn. Bhd</v>
          </cell>
          <cell r="T1550" t="str">
            <v>Functioning</v>
          </cell>
          <cell r="U1550" t="str">
            <v>Asset</v>
          </cell>
          <cell r="V1550">
            <v>40000</v>
          </cell>
          <cell r="W1550" t="str">
            <v>KEW</v>
          </cell>
          <cell r="X1550" t="str">
            <v>01/09/2010</v>
          </cell>
          <cell r="Y1550" t="str">
            <v>KEW</v>
          </cell>
          <cell r="Z1550" t="str">
            <v>16/08/2013</v>
          </cell>
          <cell r="AA1550" t="str">
            <v>15/08/2015</v>
          </cell>
          <cell r="AB1550" t="str">
            <v>No</v>
          </cell>
          <cell r="AC1550" t="str">
            <v>16/08/2013</v>
          </cell>
          <cell r="AD1550" t="str">
            <v>Good</v>
          </cell>
          <cell r="AE1550" t="str">
            <v>V3 - Added Installed Facilities (New)</v>
          </cell>
          <cell r="AF1550">
            <v>42668</v>
          </cell>
          <cell r="AG1550">
            <v>9.17</v>
          </cell>
          <cell r="AH1550" t="str">
            <v>PPM</v>
          </cell>
          <cell r="AI1550" t="str">
            <v>Strands</v>
          </cell>
          <cell r="AJ1550" t="str">
            <v>Strands PW</v>
          </cell>
          <cell r="AK1550" t="str">
            <v>SNF received on 25.2.2020</v>
          </cell>
        </row>
        <row r="1551">
          <cell r="A1551" t="str">
            <v>IKN401318</v>
          </cell>
          <cell r="B1551">
            <v>1312</v>
          </cell>
          <cell r="C1551" t="str">
            <v>Institut Kanser Negara</v>
          </cell>
          <cell r="D1551" t="str">
            <v>KKM/IKN/H/13/4473 - 07</v>
          </cell>
          <cell r="E1551" t="str">
            <v>15-605</v>
          </cell>
          <cell r="F1551" t="str">
            <v>Testers</v>
          </cell>
          <cell r="G1551" t="str">
            <v>RT</v>
          </cell>
          <cell r="H1551" t="str">
            <v>RADIATION TREATMENT UNIT</v>
          </cell>
          <cell r="I1551" t="str">
            <v>01RT213</v>
          </cell>
          <cell r="J1551" t="str">
            <v>EQUIPMENT ROOM1</v>
          </cell>
          <cell r="K1551" t="str">
            <v>BMED</v>
          </cell>
          <cell r="L1551" t="str">
            <v>Normal</v>
          </cell>
          <cell r="M1551" t="str">
            <v>USA</v>
          </cell>
          <cell r="N1551" t="str">
            <v>Various</v>
          </cell>
          <cell r="O1551" t="str">
            <v>Tomo Electrometer 90016 &amp; Various</v>
          </cell>
          <cell r="P1551" t="str">
            <v>XAE 121449</v>
          </cell>
          <cell r="Q1551" t="str">
            <v>Not Available</v>
          </cell>
          <cell r="R1551" t="str">
            <v>Standard Imaging</v>
          </cell>
          <cell r="S1551" t="str">
            <v>Transmedic Healthcare Sdn. Bhd</v>
          </cell>
          <cell r="T1551" t="str">
            <v>Functioning</v>
          </cell>
          <cell r="U1551" t="str">
            <v>Asset</v>
          </cell>
          <cell r="V1551">
            <v>100000</v>
          </cell>
          <cell r="W1551" t="str">
            <v>KEW</v>
          </cell>
          <cell r="X1551" t="str">
            <v>01/09/2010</v>
          </cell>
          <cell r="Y1551" t="str">
            <v>KEW</v>
          </cell>
          <cell r="Z1551" t="str">
            <v>16/08/2013</v>
          </cell>
          <cell r="AA1551" t="str">
            <v>15/08/2015</v>
          </cell>
          <cell r="AB1551" t="str">
            <v>No</v>
          </cell>
          <cell r="AC1551" t="str">
            <v>16/08/2013</v>
          </cell>
          <cell r="AD1551" t="str">
            <v>Good</v>
          </cell>
          <cell r="AE1551" t="str">
            <v>V1 - Existing / No Claim</v>
          </cell>
          <cell r="AF1551">
            <v>42667</v>
          </cell>
          <cell r="AG1551">
            <v>9.17</v>
          </cell>
          <cell r="AH1551" t="str">
            <v>PPM</v>
          </cell>
          <cell r="AI1551" t="str">
            <v>package</v>
          </cell>
          <cell r="AJ1551" t="str">
            <v>Strands Package</v>
          </cell>
          <cell r="AK1551" t="str">
            <v>Package XM003(B)</v>
          </cell>
        </row>
        <row r="1552">
          <cell r="A1552" t="str">
            <v>IKN401335</v>
          </cell>
          <cell r="B1552">
            <v>1329</v>
          </cell>
          <cell r="C1552" t="str">
            <v>Institut Kanser Negara</v>
          </cell>
          <cell r="D1552" t="str">
            <v>KKM/IKN/H/13/3190</v>
          </cell>
          <cell r="E1552" t="str">
            <v>10-051</v>
          </cell>
          <cell r="F1552" t="str">
            <v>Air Samplers</v>
          </cell>
          <cell r="G1552" t="str">
            <v>QA</v>
          </cell>
          <cell r="H1552" t="str">
            <v>INFECTION , RESEARCH AND QA UNIT</v>
          </cell>
          <cell r="I1552" t="str">
            <v>04QA118</v>
          </cell>
          <cell r="J1552" t="str">
            <v>MEETING (12 PAX)</v>
          </cell>
          <cell r="K1552" t="str">
            <v>BMED</v>
          </cell>
          <cell r="L1552" t="str">
            <v>Normal</v>
          </cell>
          <cell r="M1552" t="str">
            <v>Germany</v>
          </cell>
          <cell r="N1552" t="str">
            <v>MAS</v>
          </cell>
          <cell r="O1552" t="str">
            <v>MAS-100NT</v>
          </cell>
          <cell r="P1552" t="str">
            <v>104998</v>
          </cell>
          <cell r="Q1552" t="str">
            <v>Not Available</v>
          </cell>
          <cell r="R1552" t="str">
            <v>Merck KGaA</v>
          </cell>
          <cell r="S1552" t="str">
            <v>Merck Sdn Bhd</v>
          </cell>
          <cell r="T1552" t="str">
            <v>Functioning</v>
          </cell>
          <cell r="U1552" t="str">
            <v>Asset</v>
          </cell>
          <cell r="V1552">
            <v>31410</v>
          </cell>
          <cell r="W1552" t="str">
            <v>KEW</v>
          </cell>
          <cell r="X1552" t="str">
            <v>01/09/2010</v>
          </cell>
          <cell r="Y1552" t="str">
            <v>KEW</v>
          </cell>
          <cell r="Z1552" t="str">
            <v>16/08/2013</v>
          </cell>
          <cell r="AA1552" t="str">
            <v>15/08/2015</v>
          </cell>
          <cell r="AB1552" t="str">
            <v>No</v>
          </cell>
          <cell r="AC1552" t="str">
            <v>31/08/2013</v>
          </cell>
          <cell r="AD1552" t="str">
            <v>Good</v>
          </cell>
          <cell r="AE1552" t="str">
            <v>V3 - Added Installed Facilities (New)</v>
          </cell>
          <cell r="AF1552">
            <v>43115</v>
          </cell>
          <cell r="AG1552">
            <v>9.17</v>
          </cell>
          <cell r="AH1552" t="str">
            <v>PPM</v>
          </cell>
          <cell r="AI1552" t="str">
            <v>Strands</v>
          </cell>
          <cell r="AJ1552" t="str">
            <v>Strands PW</v>
          </cell>
          <cell r="AK1552" t="str">
            <v>SNF received. 1st batch of V3 asset (December 2020)</v>
          </cell>
        </row>
        <row r="1553">
          <cell r="A1553" t="str">
            <v>IKN401336</v>
          </cell>
          <cell r="B1553">
            <v>1330</v>
          </cell>
          <cell r="C1553" t="str">
            <v>Institut Kanser Negara</v>
          </cell>
          <cell r="D1553" t="str">
            <v>KKM/IKN/H/16/27</v>
          </cell>
          <cell r="E1553" t="str">
            <v>23-532</v>
          </cell>
          <cell r="F1553" t="str">
            <v>Laryngoscopes, Rigid, Video</v>
          </cell>
          <cell r="G1553" t="str">
            <v>IC</v>
          </cell>
          <cell r="H1553" t="str">
            <v>INTENSIVE CARE UNIT</v>
          </cell>
          <cell r="I1553" t="str">
            <v>05IC106</v>
          </cell>
          <cell r="J1553" t="str">
            <v>EQ. ROOM</v>
          </cell>
          <cell r="K1553" t="str">
            <v>BMED</v>
          </cell>
          <cell r="L1553" t="str">
            <v>Critical</v>
          </cell>
          <cell r="M1553" t="str">
            <v>Germany</v>
          </cell>
          <cell r="N1553" t="str">
            <v>Storz</v>
          </cell>
          <cell r="O1553" t="str">
            <v>C-Mac 8403 ZX</v>
          </cell>
          <cell r="P1553" t="str">
            <v>UT9580</v>
          </cell>
          <cell r="Q1553" t="str">
            <v>Not Applicable</v>
          </cell>
          <cell r="R1553" t="str">
            <v>Karl Storz GmbH &amp; Co KG</v>
          </cell>
          <cell r="S1553" t="str">
            <v>MS Synergy (M) Sdn. Bhd</v>
          </cell>
          <cell r="T1553" t="str">
            <v>Functioning</v>
          </cell>
          <cell r="U1553" t="str">
            <v>Asset</v>
          </cell>
          <cell r="V1553">
            <v>49998</v>
          </cell>
          <cell r="W1553" t="str">
            <v>KEW</v>
          </cell>
          <cell r="X1553" t="str">
            <v>10/10/2016</v>
          </cell>
          <cell r="Y1553" t="str">
            <v>KEW</v>
          </cell>
          <cell r="Z1553" t="str">
            <v>01/12/2016</v>
          </cell>
          <cell r="AA1553" t="str">
            <v>30/11/2017</v>
          </cell>
          <cell r="AB1553" t="str">
            <v>No</v>
          </cell>
          <cell r="AC1553" t="str">
            <v>01/12/2016</v>
          </cell>
          <cell r="AD1553" t="str">
            <v>Good</v>
          </cell>
          <cell r="AE1553" t="str">
            <v>V3 - Added Installed Facilities (New)</v>
          </cell>
          <cell r="AF1553">
            <v>43050</v>
          </cell>
          <cell r="AG1553">
            <v>3.08</v>
          </cell>
          <cell r="AH1553" t="str">
            <v>PPM</v>
          </cell>
          <cell r="AI1553" t="str">
            <v>package</v>
          </cell>
          <cell r="AJ1553" t="str">
            <v>Proposed for V3 P2.23</v>
          </cell>
          <cell r="AK1553" t="str">
            <v>KKM follow P2.23 list.</v>
          </cell>
        </row>
        <row r="1554">
          <cell r="A1554" t="str">
            <v>IKN401337</v>
          </cell>
          <cell r="B1554">
            <v>1331</v>
          </cell>
          <cell r="C1554" t="str">
            <v>Institut Kanser Negara</v>
          </cell>
          <cell r="D1554" t="str">
            <v>KKM/IKN/H/13/3781</v>
          </cell>
          <cell r="E1554" t="str">
            <v>13-325</v>
          </cell>
          <cell r="F1554" t="str">
            <v>Regulators, Suction</v>
          </cell>
          <cell r="G1554" t="str">
            <v>OT</v>
          </cell>
          <cell r="H1554" t="str">
            <v>OPERATING THEATRE</v>
          </cell>
          <cell r="I1554" t="str">
            <v>05OT123</v>
          </cell>
          <cell r="J1554" t="str">
            <v>0T 1</v>
          </cell>
          <cell r="K1554" t="str">
            <v>BMED</v>
          </cell>
          <cell r="L1554" t="str">
            <v>Normal</v>
          </cell>
          <cell r="M1554" t="str">
            <v>United Kingdom</v>
          </cell>
          <cell r="N1554" t="str">
            <v>MGE</v>
          </cell>
          <cell r="O1554" t="str">
            <v>SAM 54</v>
          </cell>
          <cell r="P1554" t="str">
            <v>MG 013649</v>
          </cell>
          <cell r="Q1554" t="str">
            <v>Not Applicable</v>
          </cell>
          <cell r="R1554" t="str">
            <v>MGE</v>
          </cell>
          <cell r="S1554" t="str">
            <v>Delta Medisains</v>
          </cell>
          <cell r="T1554" t="str">
            <v>Functioning</v>
          </cell>
          <cell r="U1554" t="str">
            <v>Asset</v>
          </cell>
          <cell r="V1554">
            <v>4330</v>
          </cell>
          <cell r="W1554" t="str">
            <v>KEW</v>
          </cell>
          <cell r="X1554" t="str">
            <v>01/09/2010</v>
          </cell>
          <cell r="Y1554" t="str">
            <v>KEW</v>
          </cell>
          <cell r="Z1554" t="str">
            <v>16/08/2013</v>
          </cell>
          <cell r="AA1554" t="str">
            <v>15/08/2015</v>
          </cell>
          <cell r="AB1554" t="str">
            <v>No</v>
          </cell>
          <cell r="AC1554" t="str">
            <v>31/08/2013</v>
          </cell>
          <cell r="AD1554" t="str">
            <v>Good</v>
          </cell>
          <cell r="AE1554" t="str">
            <v>V1 - Existing / No Claim</v>
          </cell>
          <cell r="AF1554">
            <v>42920</v>
          </cell>
          <cell r="AG1554">
            <v>9.17</v>
          </cell>
          <cell r="AH1554" t="str">
            <v>RI</v>
          </cell>
          <cell r="AI1554" t="str">
            <v>Strands</v>
          </cell>
          <cell r="AJ1554" t="str">
            <v>Strands PW</v>
          </cell>
        </row>
        <row r="1555">
          <cell r="A1555" t="str">
            <v>IKN401339</v>
          </cell>
          <cell r="B1555">
            <v>1333</v>
          </cell>
          <cell r="C1555" t="str">
            <v>Institut Kanser Negara</v>
          </cell>
          <cell r="D1555" t="str">
            <v>KKM/IKN/H/14/113</v>
          </cell>
          <cell r="E1555" t="str">
            <v>11-295</v>
          </cell>
          <cell r="F1555" t="str">
            <v>Dosimeters, Radiation</v>
          </cell>
          <cell r="G1555" t="str">
            <v>NM</v>
          </cell>
          <cell r="H1555" t="str">
            <v>NUCLEAR MED (DIAGNOSTIC)</v>
          </cell>
          <cell r="I1555" t="str">
            <v>03NM180</v>
          </cell>
          <cell r="J1555" t="str">
            <v>GEN.OFFICE</v>
          </cell>
          <cell r="K1555" t="str">
            <v>BMED</v>
          </cell>
          <cell r="L1555" t="str">
            <v>Normal</v>
          </cell>
          <cell r="M1555" t="str">
            <v>Japan</v>
          </cell>
          <cell r="N1555" t="str">
            <v>Aloka</v>
          </cell>
          <cell r="O1555" t="str">
            <v>PDM-222C-SH</v>
          </cell>
          <cell r="P1555" t="str">
            <v>203V1528</v>
          </cell>
          <cell r="Q1555" t="str">
            <v>Not Applicable</v>
          </cell>
          <cell r="R1555" t="str">
            <v>Hitachi Aloka Medical Co Ltd</v>
          </cell>
          <cell r="S1555" t="str">
            <v>Elite</v>
          </cell>
          <cell r="T1555" t="str">
            <v>Functioning</v>
          </cell>
          <cell r="U1555" t="str">
            <v>Asset</v>
          </cell>
          <cell r="V1555">
            <v>1883</v>
          </cell>
          <cell r="W1555" t="str">
            <v>KEW</v>
          </cell>
          <cell r="X1555" t="str">
            <v>06/11/2014</v>
          </cell>
          <cell r="Y1555" t="str">
            <v>KEW</v>
          </cell>
          <cell r="Z1555" t="str">
            <v>05/12/2014</v>
          </cell>
          <cell r="AA1555" t="str">
            <v>04/12/2016</v>
          </cell>
          <cell r="AB1555" t="str">
            <v>No</v>
          </cell>
          <cell r="AC1555" t="str">
            <v>05/12/2014</v>
          </cell>
          <cell r="AD1555" t="str">
            <v>Good</v>
          </cell>
          <cell r="AE1555" t="str">
            <v>V3 - Added Installed Facilities (New)</v>
          </cell>
          <cell r="AF1555">
            <v>43404</v>
          </cell>
          <cell r="AG1555">
            <v>5</v>
          </cell>
          <cell r="AH1555" t="str">
            <v>PPM</v>
          </cell>
          <cell r="AI1555" t="str">
            <v>Strands</v>
          </cell>
          <cell r="AJ1555" t="str">
            <v>Strands PW</v>
          </cell>
          <cell r="AK1555" t="str">
            <v>SNF received. 1st batch of V3 asset (December 2020)</v>
          </cell>
        </row>
        <row r="1556">
          <cell r="A1556" t="str">
            <v>IKN401340</v>
          </cell>
          <cell r="B1556">
            <v>1334</v>
          </cell>
          <cell r="C1556" t="str">
            <v>Institut Kanser Negara</v>
          </cell>
          <cell r="D1556" t="str">
            <v>KKM/IKN/H/14/103</v>
          </cell>
          <cell r="E1556" t="str">
            <v>11-295</v>
          </cell>
          <cell r="F1556" t="str">
            <v>Dosimeters, Radiation</v>
          </cell>
          <cell r="G1556" t="str">
            <v>NM</v>
          </cell>
          <cell r="H1556" t="str">
            <v>NUCLEAR MED (DIAGNOSTIC)</v>
          </cell>
          <cell r="I1556" t="str">
            <v>03NM180</v>
          </cell>
          <cell r="J1556" t="str">
            <v>GEN.OFFICE</v>
          </cell>
          <cell r="K1556" t="str">
            <v>BMED</v>
          </cell>
          <cell r="L1556" t="str">
            <v>Normal</v>
          </cell>
          <cell r="M1556" t="str">
            <v>Japan</v>
          </cell>
          <cell r="N1556" t="str">
            <v>Aloka</v>
          </cell>
          <cell r="O1556" t="str">
            <v>PDM-222C-SH</v>
          </cell>
          <cell r="P1556" t="str">
            <v>203V1518</v>
          </cell>
          <cell r="Q1556" t="str">
            <v>Not Applicable</v>
          </cell>
          <cell r="R1556" t="str">
            <v>Hitachi Aloka Medical Co Ltd</v>
          </cell>
          <cell r="S1556" t="str">
            <v>Elite</v>
          </cell>
          <cell r="T1556" t="str">
            <v>Functioning</v>
          </cell>
          <cell r="U1556" t="str">
            <v>Asset</v>
          </cell>
          <cell r="V1556">
            <v>1883</v>
          </cell>
          <cell r="W1556" t="str">
            <v>KEW</v>
          </cell>
          <cell r="X1556" t="str">
            <v>06/11/2014</v>
          </cell>
          <cell r="Y1556" t="str">
            <v>KEW</v>
          </cell>
          <cell r="Z1556" t="str">
            <v>05/12/2014</v>
          </cell>
          <cell r="AA1556" t="str">
            <v>04/12/2016</v>
          </cell>
          <cell r="AB1556" t="str">
            <v>No</v>
          </cell>
          <cell r="AC1556" t="str">
            <v>05/12/2014</v>
          </cell>
          <cell r="AD1556" t="str">
            <v>Good</v>
          </cell>
          <cell r="AE1556" t="str">
            <v>V3 - Added Installed Facilities (New)</v>
          </cell>
          <cell r="AF1556">
            <v>43404</v>
          </cell>
          <cell r="AG1556">
            <v>5</v>
          </cell>
          <cell r="AH1556" t="str">
            <v>PPM</v>
          </cell>
          <cell r="AI1556" t="str">
            <v>Strands</v>
          </cell>
          <cell r="AJ1556" t="str">
            <v>Strands PW</v>
          </cell>
          <cell r="AK1556" t="str">
            <v>SNF received. 1st batch of V3 asset (December 2020)</v>
          </cell>
        </row>
        <row r="1557">
          <cell r="A1557" t="str">
            <v>IKN401341</v>
          </cell>
          <cell r="B1557">
            <v>1335</v>
          </cell>
          <cell r="C1557" t="str">
            <v>Institut Kanser Negara</v>
          </cell>
          <cell r="D1557" t="str">
            <v>KKM/IKN/H/14/104</v>
          </cell>
          <cell r="E1557" t="str">
            <v>11-295</v>
          </cell>
          <cell r="F1557" t="str">
            <v>Dosimeters, Radiation</v>
          </cell>
          <cell r="G1557" t="str">
            <v>NM</v>
          </cell>
          <cell r="H1557" t="str">
            <v>NUCLEAR MED (DIAGNOSTIC)</v>
          </cell>
          <cell r="I1557" t="str">
            <v>03NM180</v>
          </cell>
          <cell r="J1557" t="str">
            <v>GEN.OFFICE</v>
          </cell>
          <cell r="K1557" t="str">
            <v>BMED</v>
          </cell>
          <cell r="L1557" t="str">
            <v>Normal</v>
          </cell>
          <cell r="M1557" t="str">
            <v>Japan</v>
          </cell>
          <cell r="N1557" t="str">
            <v>Aloka</v>
          </cell>
          <cell r="O1557" t="str">
            <v>PDM-222C-SH</v>
          </cell>
          <cell r="P1557" t="str">
            <v>203V1519</v>
          </cell>
          <cell r="Q1557" t="str">
            <v>Not Applicable</v>
          </cell>
          <cell r="R1557" t="str">
            <v>Hitachi Aloka Medical Co Ltd</v>
          </cell>
          <cell r="S1557" t="str">
            <v>Elite</v>
          </cell>
          <cell r="T1557" t="str">
            <v>Functioning</v>
          </cell>
          <cell r="U1557" t="str">
            <v>Asset</v>
          </cell>
          <cell r="V1557">
            <v>1883</v>
          </cell>
          <cell r="W1557" t="str">
            <v>KEW</v>
          </cell>
          <cell r="X1557" t="str">
            <v>06/11/2014</v>
          </cell>
          <cell r="Y1557" t="str">
            <v>KEW</v>
          </cell>
          <cell r="Z1557" t="str">
            <v>05/12/2014</v>
          </cell>
          <cell r="AA1557" t="str">
            <v>04/12/2016</v>
          </cell>
          <cell r="AB1557" t="str">
            <v>No</v>
          </cell>
          <cell r="AC1557" t="str">
            <v>05/12/2014</v>
          </cell>
          <cell r="AD1557" t="str">
            <v>Good</v>
          </cell>
          <cell r="AE1557" t="str">
            <v>V3 - Added Installed Facilities (New)</v>
          </cell>
          <cell r="AF1557">
            <v>43404</v>
          </cell>
          <cell r="AG1557">
            <v>5</v>
          </cell>
          <cell r="AH1557" t="str">
            <v>PPM</v>
          </cell>
          <cell r="AI1557" t="str">
            <v>Strands</v>
          </cell>
          <cell r="AJ1557" t="str">
            <v>Strands PW</v>
          </cell>
          <cell r="AK1557" t="str">
            <v>SNF received. 1st batch of V3 asset (December 2020)</v>
          </cell>
        </row>
        <row r="1558">
          <cell r="A1558" t="str">
            <v>IKN401342</v>
          </cell>
          <cell r="B1558">
            <v>1336</v>
          </cell>
          <cell r="C1558" t="str">
            <v>Institut Kanser Negara</v>
          </cell>
          <cell r="D1558" t="str">
            <v>KKM/IKN/H/14/105</v>
          </cell>
          <cell r="E1558" t="str">
            <v>11-295</v>
          </cell>
          <cell r="F1558" t="str">
            <v>Dosimeters, Radiation</v>
          </cell>
          <cell r="G1558" t="str">
            <v>NM</v>
          </cell>
          <cell r="H1558" t="str">
            <v>NUCLEAR MED (DIAGNOSTIC)</v>
          </cell>
          <cell r="I1558" t="str">
            <v>03NM180</v>
          </cell>
          <cell r="J1558" t="str">
            <v>GEN.OFFICE</v>
          </cell>
          <cell r="K1558" t="str">
            <v>BMED</v>
          </cell>
          <cell r="L1558" t="str">
            <v>Normal</v>
          </cell>
          <cell r="M1558" t="str">
            <v>Japan</v>
          </cell>
          <cell r="N1558" t="str">
            <v>Aloka</v>
          </cell>
          <cell r="O1558" t="str">
            <v>PDM-222C-SH</v>
          </cell>
          <cell r="P1558" t="str">
            <v>203V1520</v>
          </cell>
          <cell r="Q1558" t="str">
            <v>Not Applicable</v>
          </cell>
          <cell r="R1558" t="str">
            <v>Hitachi Aloka Medical Co Ltd</v>
          </cell>
          <cell r="S1558" t="str">
            <v>Elite</v>
          </cell>
          <cell r="T1558" t="str">
            <v>Functioning</v>
          </cell>
          <cell r="U1558" t="str">
            <v>Asset</v>
          </cell>
          <cell r="V1558">
            <v>1883</v>
          </cell>
          <cell r="W1558" t="str">
            <v>KEW</v>
          </cell>
          <cell r="X1558" t="str">
            <v>06/11/2014</v>
          </cell>
          <cell r="Y1558" t="str">
            <v>KEW</v>
          </cell>
          <cell r="Z1558" t="str">
            <v>05/12/2014</v>
          </cell>
          <cell r="AA1558" t="str">
            <v>04/12/2016</v>
          </cell>
          <cell r="AB1558" t="str">
            <v>No</v>
          </cell>
          <cell r="AC1558" t="str">
            <v>05/12/2014</v>
          </cell>
          <cell r="AD1558" t="str">
            <v>Good</v>
          </cell>
          <cell r="AE1558" t="str">
            <v>V3 - Added Installed Facilities (New)</v>
          </cell>
          <cell r="AF1558">
            <v>43404</v>
          </cell>
          <cell r="AG1558">
            <v>5</v>
          </cell>
          <cell r="AH1558" t="str">
            <v>PPM</v>
          </cell>
          <cell r="AI1558" t="str">
            <v>Strands</v>
          </cell>
          <cell r="AJ1558" t="str">
            <v>Strands PW</v>
          </cell>
          <cell r="AK1558" t="str">
            <v>SNF received. 1st batch of V3 asset (December 2020). [22/4/2024, ANIS]: ASSET HILANG.</v>
          </cell>
        </row>
        <row r="1559">
          <cell r="A1559" t="str">
            <v>IKN401343</v>
          </cell>
          <cell r="B1559">
            <v>1337</v>
          </cell>
          <cell r="C1559" t="str">
            <v>Institut Kanser Negara</v>
          </cell>
          <cell r="D1559" t="str">
            <v>KKM/IKN/H/14/106</v>
          </cell>
          <cell r="E1559" t="str">
            <v>11-295</v>
          </cell>
          <cell r="F1559" t="str">
            <v>Dosimeters, Radiation</v>
          </cell>
          <cell r="G1559" t="str">
            <v>NM</v>
          </cell>
          <cell r="H1559" t="str">
            <v>NUCLEAR MED (DIAGNOSTIC)</v>
          </cell>
          <cell r="I1559" t="str">
            <v>03NM180</v>
          </cell>
          <cell r="J1559" t="str">
            <v>GEN.OFFICE</v>
          </cell>
          <cell r="K1559" t="str">
            <v>BMED</v>
          </cell>
          <cell r="L1559" t="str">
            <v>Normal</v>
          </cell>
          <cell r="M1559" t="str">
            <v>Japan</v>
          </cell>
          <cell r="N1559" t="str">
            <v>Aloka</v>
          </cell>
          <cell r="O1559" t="str">
            <v>PDM-222C-SH</v>
          </cell>
          <cell r="P1559" t="str">
            <v>203V1521</v>
          </cell>
          <cell r="Q1559" t="str">
            <v>Not Applicable</v>
          </cell>
          <cell r="R1559" t="str">
            <v>Hitachi Aloka Medical Co Ltd</v>
          </cell>
          <cell r="S1559" t="str">
            <v>Elite</v>
          </cell>
          <cell r="T1559" t="str">
            <v>Functioning</v>
          </cell>
          <cell r="U1559" t="str">
            <v>Asset</v>
          </cell>
          <cell r="V1559">
            <v>1883</v>
          </cell>
          <cell r="W1559" t="str">
            <v>KEW</v>
          </cell>
          <cell r="X1559" t="str">
            <v>06/11/2014</v>
          </cell>
          <cell r="Y1559" t="str">
            <v>KEW</v>
          </cell>
          <cell r="Z1559" t="str">
            <v>05/12/2014</v>
          </cell>
          <cell r="AA1559" t="str">
            <v>04/12/2016</v>
          </cell>
          <cell r="AB1559" t="str">
            <v>No</v>
          </cell>
          <cell r="AC1559" t="str">
            <v>05/12/2014</v>
          </cell>
          <cell r="AD1559" t="str">
            <v>Good</v>
          </cell>
          <cell r="AE1559" t="str">
            <v>V3 - Added Installed Facilities (New)</v>
          </cell>
          <cell r="AF1559">
            <v>43404</v>
          </cell>
          <cell r="AG1559">
            <v>5</v>
          </cell>
          <cell r="AH1559" t="str">
            <v>PPM</v>
          </cell>
          <cell r="AI1559" t="str">
            <v>Strands</v>
          </cell>
          <cell r="AJ1559" t="str">
            <v>Strands PW</v>
          </cell>
          <cell r="AK1559" t="str">
            <v>SNF received. 1st batch of V3 asset (December 2020)</v>
          </cell>
        </row>
        <row r="1560">
          <cell r="A1560" t="str">
            <v>IKN401344</v>
          </cell>
          <cell r="B1560">
            <v>1338</v>
          </cell>
          <cell r="C1560" t="str">
            <v>Institut Kanser Negara</v>
          </cell>
          <cell r="D1560" t="str">
            <v>KKM/IKN/H/14/108</v>
          </cell>
          <cell r="E1560" t="str">
            <v>11-295</v>
          </cell>
          <cell r="F1560" t="str">
            <v>Dosimeters, Radiation</v>
          </cell>
          <cell r="G1560" t="str">
            <v>NM</v>
          </cell>
          <cell r="H1560" t="str">
            <v>NUCLEAR MED (DIAGNOSTIC)</v>
          </cell>
          <cell r="I1560" t="str">
            <v>03NM180</v>
          </cell>
          <cell r="J1560" t="str">
            <v>GEN.OFFICE</v>
          </cell>
          <cell r="K1560" t="str">
            <v>BMED</v>
          </cell>
          <cell r="L1560" t="str">
            <v>Normal</v>
          </cell>
          <cell r="M1560" t="str">
            <v>Japan</v>
          </cell>
          <cell r="N1560" t="str">
            <v>Aloka</v>
          </cell>
          <cell r="O1560" t="str">
            <v>PDM-222C-SH</v>
          </cell>
          <cell r="P1560" t="str">
            <v>203V1523</v>
          </cell>
          <cell r="Q1560" t="str">
            <v>Not Applicable</v>
          </cell>
          <cell r="R1560" t="str">
            <v>Hitachi Aloka Medical Co Ltd</v>
          </cell>
          <cell r="S1560" t="str">
            <v>Elite</v>
          </cell>
          <cell r="T1560" t="str">
            <v>Functioning</v>
          </cell>
          <cell r="U1560" t="str">
            <v>Asset</v>
          </cell>
          <cell r="V1560">
            <v>1883</v>
          </cell>
          <cell r="W1560" t="str">
            <v>KEW</v>
          </cell>
          <cell r="X1560" t="str">
            <v>06/11/2014</v>
          </cell>
          <cell r="Y1560" t="str">
            <v>KEW</v>
          </cell>
          <cell r="Z1560" t="str">
            <v>05/12/2014</v>
          </cell>
          <cell r="AA1560" t="str">
            <v>04/12/2016</v>
          </cell>
          <cell r="AB1560" t="str">
            <v>No</v>
          </cell>
          <cell r="AC1560" t="str">
            <v>05/12/2014</v>
          </cell>
          <cell r="AD1560" t="str">
            <v>Good</v>
          </cell>
          <cell r="AE1560" t="str">
            <v>V3 - Added Installed Facilities (New)</v>
          </cell>
          <cell r="AF1560">
            <v>43404</v>
          </cell>
          <cell r="AG1560">
            <v>5</v>
          </cell>
          <cell r="AH1560" t="str">
            <v>PPM</v>
          </cell>
          <cell r="AI1560" t="str">
            <v>Strands</v>
          </cell>
          <cell r="AJ1560" t="str">
            <v>Strands PW</v>
          </cell>
          <cell r="AK1560" t="str">
            <v>SNF received. 1st batch of V3 asset (December 2020)</v>
          </cell>
        </row>
        <row r="1561">
          <cell r="A1561" t="str">
            <v>IKN401346</v>
          </cell>
          <cell r="B1561">
            <v>1340</v>
          </cell>
          <cell r="C1561" t="str">
            <v>Institut Kanser Negara</v>
          </cell>
          <cell r="D1561" t="str">
            <v>KKM/IKN/H/14/114</v>
          </cell>
          <cell r="E1561" t="str">
            <v>11-295</v>
          </cell>
          <cell r="F1561" t="str">
            <v>Dosimeters, Radiation</v>
          </cell>
          <cell r="G1561" t="str">
            <v>NM</v>
          </cell>
          <cell r="H1561" t="str">
            <v>NUCLEAR MED (DIAGNOSTIC)</v>
          </cell>
          <cell r="I1561" t="str">
            <v>03NM180</v>
          </cell>
          <cell r="J1561" t="str">
            <v>GEN.OFFICE</v>
          </cell>
          <cell r="K1561" t="str">
            <v>BMED</v>
          </cell>
          <cell r="L1561" t="str">
            <v>Normal</v>
          </cell>
          <cell r="M1561" t="str">
            <v>Japan</v>
          </cell>
          <cell r="N1561" t="str">
            <v>Aloka</v>
          </cell>
          <cell r="O1561" t="str">
            <v>PDM-222C-SH</v>
          </cell>
          <cell r="P1561" t="str">
            <v>203V1529</v>
          </cell>
          <cell r="Q1561" t="str">
            <v>Not Applicable</v>
          </cell>
          <cell r="R1561" t="str">
            <v>Hitachi Aloka Medical Co Ltd</v>
          </cell>
          <cell r="S1561" t="str">
            <v>Elite</v>
          </cell>
          <cell r="T1561" t="str">
            <v>Functioning</v>
          </cell>
          <cell r="U1561" t="str">
            <v>Asset</v>
          </cell>
          <cell r="V1561">
            <v>1883</v>
          </cell>
          <cell r="W1561" t="str">
            <v>KEW</v>
          </cell>
          <cell r="X1561" t="str">
            <v>06/11/2014</v>
          </cell>
          <cell r="Y1561" t="str">
            <v>KEW</v>
          </cell>
          <cell r="Z1561" t="str">
            <v>05/12/2014</v>
          </cell>
          <cell r="AA1561" t="str">
            <v>04/12/2016</v>
          </cell>
          <cell r="AB1561" t="str">
            <v>No</v>
          </cell>
          <cell r="AC1561" t="str">
            <v>05/12/2014</v>
          </cell>
          <cell r="AD1561" t="str">
            <v>Good</v>
          </cell>
          <cell r="AE1561" t="str">
            <v>V3 - Added Installed Facilities (New)</v>
          </cell>
          <cell r="AF1561">
            <v>43404</v>
          </cell>
          <cell r="AG1561">
            <v>5</v>
          </cell>
          <cell r="AH1561" t="str">
            <v>PPM</v>
          </cell>
          <cell r="AI1561" t="str">
            <v>Strands</v>
          </cell>
          <cell r="AJ1561" t="str">
            <v>Strands PW</v>
          </cell>
          <cell r="AK1561" t="str">
            <v>SNF received. 1st batch of V3 asset (December 2020)</v>
          </cell>
        </row>
        <row r="1562">
          <cell r="A1562" t="str">
            <v>IKN401347</v>
          </cell>
          <cell r="B1562">
            <v>1341</v>
          </cell>
          <cell r="C1562" t="str">
            <v>Institut Kanser Negara</v>
          </cell>
          <cell r="D1562" t="str">
            <v>KKM/IKN/H/14/112</v>
          </cell>
          <cell r="E1562" t="str">
            <v>11-295</v>
          </cell>
          <cell r="F1562" t="str">
            <v>Dosimeters, Radiation</v>
          </cell>
          <cell r="G1562" t="str">
            <v>NM</v>
          </cell>
          <cell r="H1562" t="str">
            <v>NUCLEAR MED (DIAGNOSTIC)</v>
          </cell>
          <cell r="I1562" t="str">
            <v>03NM180</v>
          </cell>
          <cell r="J1562" t="str">
            <v>GEN.OFFICE</v>
          </cell>
          <cell r="K1562" t="str">
            <v>BMED</v>
          </cell>
          <cell r="L1562" t="str">
            <v>Normal</v>
          </cell>
          <cell r="M1562" t="str">
            <v>Japan</v>
          </cell>
          <cell r="N1562" t="str">
            <v>Aloka</v>
          </cell>
          <cell r="O1562" t="str">
            <v>PDM-222C-SH</v>
          </cell>
          <cell r="P1562" t="str">
            <v>203V1527</v>
          </cell>
          <cell r="Q1562" t="str">
            <v>Not Applicable</v>
          </cell>
          <cell r="R1562" t="str">
            <v>Hitachi Aloka Medical Co Ltd</v>
          </cell>
          <cell r="S1562" t="str">
            <v>Elite</v>
          </cell>
          <cell r="T1562" t="str">
            <v>Functioning</v>
          </cell>
          <cell r="U1562" t="str">
            <v>Asset</v>
          </cell>
          <cell r="V1562">
            <v>1883</v>
          </cell>
          <cell r="W1562" t="str">
            <v>KEW</v>
          </cell>
          <cell r="X1562" t="str">
            <v>06/11/2014</v>
          </cell>
          <cell r="Y1562" t="str">
            <v>KEW</v>
          </cell>
          <cell r="Z1562" t="str">
            <v>05/12/2014</v>
          </cell>
          <cell r="AA1562" t="str">
            <v>04/12/2016</v>
          </cell>
          <cell r="AB1562" t="str">
            <v>No</v>
          </cell>
          <cell r="AC1562" t="str">
            <v>05/12/2014</v>
          </cell>
          <cell r="AD1562" t="str">
            <v>Good</v>
          </cell>
          <cell r="AE1562" t="str">
            <v>V3 - Added Installed Facilities (New)</v>
          </cell>
          <cell r="AF1562">
            <v>43404</v>
          </cell>
          <cell r="AG1562">
            <v>5</v>
          </cell>
          <cell r="AH1562" t="str">
            <v>PPM</v>
          </cell>
          <cell r="AI1562" t="str">
            <v>Strands</v>
          </cell>
          <cell r="AJ1562" t="str">
            <v>Strands PW</v>
          </cell>
          <cell r="AK1562" t="str">
            <v>SNF received. 1st batch of V3 asset (December 2020)</v>
          </cell>
        </row>
        <row r="1563">
          <cell r="A1563" t="str">
            <v>IKN401348</v>
          </cell>
          <cell r="B1563">
            <v>1342</v>
          </cell>
          <cell r="C1563" t="str">
            <v>Institut Kanser Negara</v>
          </cell>
          <cell r="D1563" t="str">
            <v>KKM/IKN/H/14/111</v>
          </cell>
          <cell r="E1563" t="str">
            <v>11-295</v>
          </cell>
          <cell r="F1563" t="str">
            <v>Dosimeters, Radiation</v>
          </cell>
          <cell r="G1563" t="str">
            <v>NM</v>
          </cell>
          <cell r="H1563" t="str">
            <v>NUCLEAR MED (DIAGNOSTIC)</v>
          </cell>
          <cell r="I1563" t="str">
            <v>03NM180</v>
          </cell>
          <cell r="J1563" t="str">
            <v>GEN.OFFICE</v>
          </cell>
          <cell r="K1563" t="str">
            <v>BMED</v>
          </cell>
          <cell r="L1563" t="str">
            <v>Normal</v>
          </cell>
          <cell r="M1563" t="str">
            <v>Japan</v>
          </cell>
          <cell r="N1563" t="str">
            <v>Aloka</v>
          </cell>
          <cell r="O1563" t="str">
            <v>PDM-222C-SH</v>
          </cell>
          <cell r="P1563" t="str">
            <v>203V1526</v>
          </cell>
          <cell r="Q1563" t="str">
            <v>Not Applicable</v>
          </cell>
          <cell r="R1563" t="str">
            <v>Hitachi Aloka Medical Co Ltd</v>
          </cell>
          <cell r="S1563" t="str">
            <v>Elite</v>
          </cell>
          <cell r="T1563" t="str">
            <v>Functioning</v>
          </cell>
          <cell r="U1563" t="str">
            <v>Asset</v>
          </cell>
          <cell r="V1563">
            <v>1883</v>
          </cell>
          <cell r="W1563" t="str">
            <v>KEW</v>
          </cell>
          <cell r="X1563" t="str">
            <v>06/11/2014</v>
          </cell>
          <cell r="Y1563" t="str">
            <v>KEW</v>
          </cell>
          <cell r="Z1563" t="str">
            <v>05/12/2014</v>
          </cell>
          <cell r="AA1563" t="str">
            <v>04/12/2016</v>
          </cell>
          <cell r="AB1563" t="str">
            <v>No</v>
          </cell>
          <cell r="AC1563" t="str">
            <v>05/12/2014</v>
          </cell>
          <cell r="AD1563" t="str">
            <v>Good</v>
          </cell>
          <cell r="AE1563" t="str">
            <v>V3 - Added Installed Facilities (New)</v>
          </cell>
          <cell r="AF1563">
            <v>43404</v>
          </cell>
          <cell r="AG1563">
            <v>5</v>
          </cell>
          <cell r="AH1563" t="str">
            <v>PPM</v>
          </cell>
          <cell r="AI1563" t="str">
            <v>Strands</v>
          </cell>
          <cell r="AJ1563" t="str">
            <v>Strands PW</v>
          </cell>
          <cell r="AK1563" t="str">
            <v>SNF received. 1st batch of V3 asset (December 2020)</v>
          </cell>
        </row>
        <row r="1564">
          <cell r="A1564" t="str">
            <v>IKN401349</v>
          </cell>
          <cell r="B1564">
            <v>1343</v>
          </cell>
          <cell r="C1564" t="str">
            <v>Institut Kanser Negara</v>
          </cell>
          <cell r="D1564" t="str">
            <v>KKM/IKN/H/14/110</v>
          </cell>
          <cell r="E1564" t="str">
            <v>11-295</v>
          </cell>
          <cell r="F1564" t="str">
            <v>Dosimeters, Radiation</v>
          </cell>
          <cell r="G1564" t="str">
            <v>NM</v>
          </cell>
          <cell r="H1564" t="str">
            <v>NUCLEAR MED (DIAGNOSTIC)</v>
          </cell>
          <cell r="I1564" t="str">
            <v>03NM180</v>
          </cell>
          <cell r="J1564" t="str">
            <v>GEN.OFFICE</v>
          </cell>
          <cell r="K1564" t="str">
            <v>BMED</v>
          </cell>
          <cell r="L1564" t="str">
            <v>Normal</v>
          </cell>
          <cell r="M1564" t="str">
            <v>Japan</v>
          </cell>
          <cell r="N1564" t="str">
            <v>Aloka</v>
          </cell>
          <cell r="O1564" t="str">
            <v>PDM-222C-SH</v>
          </cell>
          <cell r="P1564" t="str">
            <v>203V1525</v>
          </cell>
          <cell r="Q1564" t="str">
            <v>Not Applicable</v>
          </cell>
          <cell r="R1564" t="str">
            <v>Hitachi Aloka Medical Co Ltd</v>
          </cell>
          <cell r="S1564" t="str">
            <v>Elite</v>
          </cell>
          <cell r="T1564" t="str">
            <v>Functioning</v>
          </cell>
          <cell r="U1564" t="str">
            <v>Asset</v>
          </cell>
          <cell r="V1564">
            <v>1883</v>
          </cell>
          <cell r="W1564" t="str">
            <v>KEW</v>
          </cell>
          <cell r="X1564" t="str">
            <v>06/11/2014</v>
          </cell>
          <cell r="Y1564" t="str">
            <v>KEW</v>
          </cell>
          <cell r="Z1564" t="str">
            <v>05/12/2014</v>
          </cell>
          <cell r="AA1564" t="str">
            <v>04/12/2016</v>
          </cell>
          <cell r="AB1564" t="str">
            <v>No</v>
          </cell>
          <cell r="AC1564" t="str">
            <v>05/12/2014</v>
          </cell>
          <cell r="AD1564" t="str">
            <v>Good</v>
          </cell>
          <cell r="AE1564" t="str">
            <v>V3 - Added Installed Facilities (New)</v>
          </cell>
          <cell r="AF1564">
            <v>43404</v>
          </cell>
          <cell r="AG1564">
            <v>5</v>
          </cell>
          <cell r="AH1564" t="str">
            <v>PPM</v>
          </cell>
          <cell r="AI1564" t="str">
            <v>Strands</v>
          </cell>
          <cell r="AJ1564" t="str">
            <v>Strands PW</v>
          </cell>
          <cell r="AK1564" t="str">
            <v>SNF received. 1st batch of V3 asset (December 2020)</v>
          </cell>
        </row>
        <row r="1565">
          <cell r="A1565" t="str">
            <v>IKN401350</v>
          </cell>
          <cell r="B1565">
            <v>1344</v>
          </cell>
          <cell r="C1565" t="str">
            <v>Institut Kanser Negara</v>
          </cell>
          <cell r="D1565" t="str">
            <v>KKM/IKN/H/14/102</v>
          </cell>
          <cell r="E1565" t="str">
            <v>11-295</v>
          </cell>
          <cell r="F1565" t="str">
            <v>Dosimeters, Radiation</v>
          </cell>
          <cell r="G1565" t="str">
            <v>NM</v>
          </cell>
          <cell r="H1565" t="str">
            <v>NUCLEAR MED (DIAGNOSTIC)</v>
          </cell>
          <cell r="I1565" t="str">
            <v>03NM180</v>
          </cell>
          <cell r="J1565" t="str">
            <v>GEN.OFFICE</v>
          </cell>
          <cell r="K1565" t="str">
            <v>BMED</v>
          </cell>
          <cell r="L1565" t="str">
            <v>Normal</v>
          </cell>
          <cell r="M1565" t="str">
            <v>Japan</v>
          </cell>
          <cell r="N1565" t="str">
            <v>Aloka</v>
          </cell>
          <cell r="O1565" t="str">
            <v>PDM-222C-SH</v>
          </cell>
          <cell r="P1565" t="str">
            <v>203V1531</v>
          </cell>
          <cell r="Q1565" t="str">
            <v>Not Applicable</v>
          </cell>
          <cell r="R1565" t="str">
            <v>Hitachi Aloka Medical Co Ltd</v>
          </cell>
          <cell r="S1565" t="str">
            <v>Elite</v>
          </cell>
          <cell r="T1565" t="str">
            <v>Functioning</v>
          </cell>
          <cell r="U1565" t="str">
            <v>Asset</v>
          </cell>
          <cell r="V1565">
            <v>1883</v>
          </cell>
          <cell r="W1565" t="str">
            <v>KEW</v>
          </cell>
          <cell r="X1565" t="str">
            <v>06/11/2014</v>
          </cell>
          <cell r="Y1565" t="str">
            <v>KEW</v>
          </cell>
          <cell r="Z1565" t="str">
            <v>05/12/2014</v>
          </cell>
          <cell r="AA1565" t="str">
            <v>04/12/2016</v>
          </cell>
          <cell r="AB1565" t="str">
            <v>No</v>
          </cell>
          <cell r="AC1565" t="str">
            <v>05/12/2014</v>
          </cell>
          <cell r="AD1565" t="str">
            <v>Good</v>
          </cell>
          <cell r="AE1565" t="str">
            <v>V3 - Added Installed Facilities (New)</v>
          </cell>
          <cell r="AF1565">
            <v>43404</v>
          </cell>
          <cell r="AG1565">
            <v>5</v>
          </cell>
          <cell r="AH1565" t="str">
            <v>PPM</v>
          </cell>
          <cell r="AI1565" t="str">
            <v>Strands</v>
          </cell>
          <cell r="AJ1565" t="str">
            <v>Strands PW</v>
          </cell>
          <cell r="AK1565" t="str">
            <v>SNF received. 1st batch of V3 asset (December 2020)</v>
          </cell>
        </row>
        <row r="1566">
          <cell r="A1566" t="str">
            <v>IKN401351</v>
          </cell>
          <cell r="B1566">
            <v>1345</v>
          </cell>
          <cell r="C1566" t="str">
            <v>Institut Kanser Negara</v>
          </cell>
          <cell r="D1566" t="str">
            <v>KKM/IKN/H/14/115</v>
          </cell>
          <cell r="E1566" t="str">
            <v>11-295</v>
          </cell>
          <cell r="F1566" t="str">
            <v>Dosimeters, Radiation</v>
          </cell>
          <cell r="G1566" t="str">
            <v>NM</v>
          </cell>
          <cell r="H1566" t="str">
            <v>NUCLEAR MED (DIAGNOSTIC)</v>
          </cell>
          <cell r="I1566" t="str">
            <v>03NM180</v>
          </cell>
          <cell r="J1566" t="str">
            <v>GEN.OFFICE</v>
          </cell>
          <cell r="K1566" t="str">
            <v>BMED</v>
          </cell>
          <cell r="L1566" t="str">
            <v>Normal</v>
          </cell>
          <cell r="M1566" t="str">
            <v>Japan</v>
          </cell>
          <cell r="N1566" t="str">
            <v>Aloka</v>
          </cell>
          <cell r="O1566" t="str">
            <v>PDM-222C-SH</v>
          </cell>
          <cell r="P1566" t="str">
            <v>203V1530</v>
          </cell>
          <cell r="Q1566" t="str">
            <v>Not Applicable</v>
          </cell>
          <cell r="R1566" t="str">
            <v>Hitachi Aloka Medical Co Ltd</v>
          </cell>
          <cell r="S1566" t="str">
            <v>Elite</v>
          </cell>
          <cell r="T1566" t="str">
            <v>Functioning</v>
          </cell>
          <cell r="U1566" t="str">
            <v>Asset</v>
          </cell>
          <cell r="V1566">
            <v>1883</v>
          </cell>
          <cell r="W1566" t="str">
            <v>KEW</v>
          </cell>
          <cell r="X1566" t="str">
            <v>06/11/2014</v>
          </cell>
          <cell r="Y1566" t="str">
            <v>KEW</v>
          </cell>
          <cell r="Z1566" t="str">
            <v>05/12/2014</v>
          </cell>
          <cell r="AA1566" t="str">
            <v>04/12/2016</v>
          </cell>
          <cell r="AB1566" t="str">
            <v>No</v>
          </cell>
          <cell r="AC1566" t="str">
            <v>05/12/2014</v>
          </cell>
          <cell r="AD1566" t="str">
            <v>Good</v>
          </cell>
          <cell r="AE1566" t="str">
            <v>V3 - Added Installed Facilities (New)</v>
          </cell>
          <cell r="AF1566">
            <v>43404</v>
          </cell>
          <cell r="AG1566">
            <v>5</v>
          </cell>
          <cell r="AH1566" t="str">
            <v>PPM</v>
          </cell>
          <cell r="AI1566" t="str">
            <v>Strands</v>
          </cell>
          <cell r="AJ1566" t="str">
            <v>Strands PW</v>
          </cell>
          <cell r="AK1566" t="str">
            <v>SNF received. 1st batch of V3 asset (December 2020).</v>
          </cell>
        </row>
        <row r="1567">
          <cell r="A1567" t="str">
            <v>IKN401352</v>
          </cell>
          <cell r="B1567">
            <v>1346</v>
          </cell>
          <cell r="C1567" t="str">
            <v>Institut Kanser Negara</v>
          </cell>
          <cell r="D1567" t="str">
            <v>KKM/IKN/H/14/107</v>
          </cell>
          <cell r="E1567" t="str">
            <v>11-295</v>
          </cell>
          <cell r="F1567" t="str">
            <v>Dosimeters, Radiation</v>
          </cell>
          <cell r="G1567" t="str">
            <v>NM</v>
          </cell>
          <cell r="H1567" t="str">
            <v>NUCLEAR MED (DIAGNOSTIC)</v>
          </cell>
          <cell r="I1567" t="str">
            <v>03NM180</v>
          </cell>
          <cell r="J1567" t="str">
            <v>GEN.OFFICE</v>
          </cell>
          <cell r="K1567" t="str">
            <v>BMED</v>
          </cell>
          <cell r="L1567" t="str">
            <v>Normal</v>
          </cell>
          <cell r="M1567" t="str">
            <v>Japan</v>
          </cell>
          <cell r="N1567" t="str">
            <v>Aloka</v>
          </cell>
          <cell r="O1567" t="str">
            <v>PDM-222C-SH</v>
          </cell>
          <cell r="P1567" t="str">
            <v>203V1522</v>
          </cell>
          <cell r="Q1567" t="str">
            <v>Not Applicable</v>
          </cell>
          <cell r="R1567" t="str">
            <v>Hitachi Aloka Medical Co Ltd</v>
          </cell>
          <cell r="S1567" t="str">
            <v>Elite</v>
          </cell>
          <cell r="T1567" t="str">
            <v>Functioning</v>
          </cell>
          <cell r="U1567" t="str">
            <v>Asset</v>
          </cell>
          <cell r="V1567">
            <v>1883</v>
          </cell>
          <cell r="W1567" t="str">
            <v>KEW</v>
          </cell>
          <cell r="X1567" t="str">
            <v>06/11/2014</v>
          </cell>
          <cell r="Y1567" t="str">
            <v>KEW</v>
          </cell>
          <cell r="Z1567" t="str">
            <v>05/12/2014</v>
          </cell>
          <cell r="AA1567" t="str">
            <v>04/12/2016</v>
          </cell>
          <cell r="AB1567" t="str">
            <v>No</v>
          </cell>
          <cell r="AC1567" t="str">
            <v>05/12/2014</v>
          </cell>
          <cell r="AD1567" t="str">
            <v>Good</v>
          </cell>
          <cell r="AE1567" t="str">
            <v>V3 - Added Installed Facilities (New)</v>
          </cell>
          <cell r="AF1567">
            <v>43404</v>
          </cell>
          <cell r="AG1567">
            <v>5</v>
          </cell>
          <cell r="AH1567" t="str">
            <v>PPM</v>
          </cell>
          <cell r="AI1567" t="str">
            <v>Strands</v>
          </cell>
          <cell r="AJ1567" t="str">
            <v>Strands PW</v>
          </cell>
          <cell r="AK1567" t="str">
            <v>SNF received. 1st batch of V3 asset (December 2020) [Masukkan dalam schedule PPM Feb 2024]</v>
          </cell>
        </row>
        <row r="1568">
          <cell r="A1568" t="str">
            <v>IKN401353</v>
          </cell>
          <cell r="B1568">
            <v>1347</v>
          </cell>
          <cell r="C1568" t="str">
            <v>Institut Kanser Negara</v>
          </cell>
          <cell r="D1568" t="str">
            <v>KKM/IKN/H/16/28</v>
          </cell>
          <cell r="E1568" t="str">
            <v>11-758</v>
          </cell>
          <cell r="F1568" t="str">
            <v>Radiographic/Fluoroscopic Units, Mobile</v>
          </cell>
          <cell r="G1568" t="str">
            <v>ID</v>
          </cell>
          <cell r="H1568" t="str">
            <v>IMAGING DEPARTMENT</v>
          </cell>
          <cell r="I1568" t="str">
            <v>05OT159</v>
          </cell>
          <cell r="J1568" t="str">
            <v>POST-OP/RECOVERY (FUTURE)</v>
          </cell>
          <cell r="K1568" t="str">
            <v>BMED</v>
          </cell>
          <cell r="L1568" t="str">
            <v>Critical</v>
          </cell>
          <cell r="M1568" t="str">
            <v>Italy</v>
          </cell>
          <cell r="N1568" t="str">
            <v>Eurocolumbus</v>
          </cell>
          <cell r="O1568" t="str">
            <v>Alien 9</v>
          </cell>
          <cell r="P1568" t="str">
            <v>1717</v>
          </cell>
          <cell r="Q1568" t="str">
            <v>Not Applicable</v>
          </cell>
          <cell r="R1568" t="str">
            <v>Eurocolumbus</v>
          </cell>
          <cell r="S1568" t="str">
            <v>Alam Medik Sdn. Bhd</v>
          </cell>
          <cell r="T1568" t="str">
            <v>Functioning</v>
          </cell>
          <cell r="U1568" t="str">
            <v>Asset</v>
          </cell>
          <cell r="V1568">
            <v>399000</v>
          </cell>
          <cell r="W1568" t="str">
            <v>KEW</v>
          </cell>
          <cell r="X1568" t="str">
            <v>25/10/2016</v>
          </cell>
          <cell r="Y1568" t="str">
            <v>KEW</v>
          </cell>
          <cell r="Z1568" t="str">
            <v>19/12/2016</v>
          </cell>
          <cell r="AA1568" t="str">
            <v>18/12/2017</v>
          </cell>
          <cell r="AB1568" t="str">
            <v>No</v>
          </cell>
          <cell r="AC1568" t="str">
            <v>19/12/2016</v>
          </cell>
          <cell r="AD1568" t="str">
            <v>Good</v>
          </cell>
          <cell r="AE1568" t="str">
            <v>V3 - Added Installed Facilities (New)</v>
          </cell>
          <cell r="AF1568">
            <v>42843</v>
          </cell>
          <cell r="AG1568">
            <v>3.08</v>
          </cell>
          <cell r="AH1568" t="str">
            <v>PPM</v>
          </cell>
          <cell r="AI1568" t="str">
            <v>Strands</v>
          </cell>
          <cell r="AJ1568" t="str">
            <v>Strands PW</v>
          </cell>
          <cell r="AK1568" t="str">
            <v>SNF received on 25.2.2020. [5/3/2024, ANIS]: Under ID tapi barang dekat GOT.</v>
          </cell>
        </row>
        <row r="1569">
          <cell r="A1569" t="str">
            <v>IKN401354</v>
          </cell>
          <cell r="B1569">
            <v>1348</v>
          </cell>
          <cell r="C1569" t="str">
            <v>Institut Kanser Negara</v>
          </cell>
          <cell r="D1569" t="str">
            <v>KKM/IKN/H/13/4634</v>
          </cell>
          <cell r="E1569" t="str">
            <v>13-209</v>
          </cell>
          <cell r="F1569" t="str">
            <v>Pumps, Enteral Feeding</v>
          </cell>
          <cell r="G1569" t="str">
            <v>DU</v>
          </cell>
          <cell r="H1569" t="str">
            <v>DIETICIAN UNIT</v>
          </cell>
          <cell r="I1569" t="str">
            <v>03DU103</v>
          </cell>
          <cell r="J1569" t="str">
            <v>COUNSELLING 1</v>
          </cell>
          <cell r="K1569" t="str">
            <v>BMED</v>
          </cell>
          <cell r="L1569" t="str">
            <v>Normal</v>
          </cell>
          <cell r="M1569" t="str">
            <v>USA</v>
          </cell>
          <cell r="N1569" t="str">
            <v>Sentinel</v>
          </cell>
          <cell r="O1569" t="str">
            <v>Sentinel S-2000</v>
          </cell>
          <cell r="P1569" t="str">
            <v>18072</v>
          </cell>
          <cell r="Q1569" t="str">
            <v>KKM/IKN/H/13/4634</v>
          </cell>
          <cell r="R1569" t="str">
            <v>Alcor Scientific Inc</v>
          </cell>
          <cell r="S1569" t="str">
            <v>Insani Damai</v>
          </cell>
          <cell r="T1569" t="str">
            <v>Functioning</v>
          </cell>
          <cell r="U1569" t="str">
            <v>Asset</v>
          </cell>
          <cell r="V1569">
            <v>2500</v>
          </cell>
          <cell r="W1569" t="str">
            <v>KEW</v>
          </cell>
          <cell r="X1569" t="str">
            <v>09/12/2013</v>
          </cell>
          <cell r="Y1569" t="str">
            <v>KEW</v>
          </cell>
          <cell r="Z1569" t="str">
            <v>10/12/2013</v>
          </cell>
          <cell r="AA1569" t="str">
            <v>09/12/2014</v>
          </cell>
          <cell r="AB1569" t="str">
            <v>No</v>
          </cell>
          <cell r="AC1569" t="str">
            <v>10/12/2013</v>
          </cell>
          <cell r="AD1569" t="str">
            <v>Good</v>
          </cell>
          <cell r="AE1569" t="str">
            <v>V3 - Added Installed Facilities (New)</v>
          </cell>
          <cell r="AF1569">
            <v>42796</v>
          </cell>
          <cell r="AG1569">
            <v>5.92</v>
          </cell>
          <cell r="AH1569" t="str">
            <v>PPM</v>
          </cell>
          <cell r="AI1569" t="str">
            <v>Strands</v>
          </cell>
          <cell r="AJ1569" t="str">
            <v>Strands PW</v>
          </cell>
          <cell r="AK1569" t="str">
            <v>SNF received. 1st batch of V3 asset (December 2020)</v>
          </cell>
        </row>
        <row r="1570">
          <cell r="A1570" t="str">
            <v>IKN401355</v>
          </cell>
          <cell r="B1570">
            <v>1349</v>
          </cell>
          <cell r="C1570" t="str">
            <v>Institut Kanser Negara</v>
          </cell>
          <cell r="D1570" t="str">
            <v>KKM/IKN/H/13/4633</v>
          </cell>
          <cell r="E1570" t="str">
            <v>13-209</v>
          </cell>
          <cell r="F1570" t="str">
            <v>Pumps, Enteral Feeding</v>
          </cell>
          <cell r="G1570" t="str">
            <v>DU</v>
          </cell>
          <cell r="H1570" t="str">
            <v>DIETICIAN UNIT</v>
          </cell>
          <cell r="I1570" t="str">
            <v>03DU103</v>
          </cell>
          <cell r="J1570" t="str">
            <v>COUNSELLING 1</v>
          </cell>
          <cell r="K1570" t="str">
            <v>BMED</v>
          </cell>
          <cell r="L1570" t="str">
            <v>Normal</v>
          </cell>
          <cell r="M1570" t="str">
            <v>USA</v>
          </cell>
          <cell r="N1570" t="str">
            <v>Sentinel</v>
          </cell>
          <cell r="O1570" t="str">
            <v>Sentinel S-2000</v>
          </cell>
          <cell r="P1570" t="str">
            <v>18024</v>
          </cell>
          <cell r="Q1570" t="str">
            <v>KKM/IKN/H/13/4633</v>
          </cell>
          <cell r="R1570" t="str">
            <v>Alcor Scientific Inc</v>
          </cell>
          <cell r="S1570" t="str">
            <v>Insani Damai</v>
          </cell>
          <cell r="T1570" t="str">
            <v>Functioning</v>
          </cell>
          <cell r="U1570" t="str">
            <v>Asset</v>
          </cell>
          <cell r="V1570">
            <v>2500</v>
          </cell>
          <cell r="W1570" t="str">
            <v>KEW</v>
          </cell>
          <cell r="X1570" t="str">
            <v>09/12/2013</v>
          </cell>
          <cell r="Y1570" t="str">
            <v>KEW</v>
          </cell>
          <cell r="Z1570" t="str">
            <v>10/12/2013</v>
          </cell>
          <cell r="AA1570" t="str">
            <v>09/12/2014</v>
          </cell>
          <cell r="AB1570" t="str">
            <v>No</v>
          </cell>
          <cell r="AC1570" t="str">
            <v>10/12/2013</v>
          </cell>
          <cell r="AD1570" t="str">
            <v>Good</v>
          </cell>
          <cell r="AE1570" t="str">
            <v>V3 - Added Installed Facilities (New)</v>
          </cell>
          <cell r="AF1570">
            <v>42796</v>
          </cell>
          <cell r="AG1570">
            <v>5.92</v>
          </cell>
          <cell r="AH1570" t="str">
            <v>PPM</v>
          </cell>
          <cell r="AI1570" t="str">
            <v>Strands</v>
          </cell>
          <cell r="AJ1570" t="str">
            <v>Strands PW</v>
          </cell>
          <cell r="AK1570" t="str">
            <v>SNF received. 1st batch of V3 asset (December 2020)</v>
          </cell>
        </row>
        <row r="1571">
          <cell r="A1571" t="str">
            <v>IKN401356</v>
          </cell>
          <cell r="B1571">
            <v>1350</v>
          </cell>
          <cell r="C1571" t="str">
            <v>Institut Kanser Negara</v>
          </cell>
          <cell r="D1571" t="str">
            <v>KKM/IKN/H/13/4490</v>
          </cell>
          <cell r="E1571" t="str">
            <v>13-209</v>
          </cell>
          <cell r="F1571" t="str">
            <v>Pumps, Enteral Feeding</v>
          </cell>
          <cell r="G1571" t="str">
            <v>DU</v>
          </cell>
          <cell r="H1571" t="str">
            <v>DIETICIAN UNIT</v>
          </cell>
          <cell r="I1571" t="str">
            <v>03DU103</v>
          </cell>
          <cell r="J1571" t="str">
            <v>COUNSELLING 1</v>
          </cell>
          <cell r="K1571" t="str">
            <v>BMED</v>
          </cell>
          <cell r="L1571" t="str">
            <v>Normal</v>
          </cell>
          <cell r="M1571" t="str">
            <v>USA</v>
          </cell>
          <cell r="N1571" t="str">
            <v>Sentinel</v>
          </cell>
          <cell r="O1571" t="str">
            <v>Sentinel S-2000</v>
          </cell>
          <cell r="P1571" t="str">
            <v>18020</v>
          </cell>
          <cell r="Q1571" t="str">
            <v>KKM/IKN/H/13/4490</v>
          </cell>
          <cell r="R1571" t="str">
            <v>Alcor Scientific Inc</v>
          </cell>
          <cell r="S1571" t="str">
            <v>Insani Damai</v>
          </cell>
          <cell r="T1571" t="str">
            <v>Functioning</v>
          </cell>
          <cell r="U1571" t="str">
            <v>Asset</v>
          </cell>
          <cell r="V1571">
            <v>2500</v>
          </cell>
          <cell r="W1571" t="str">
            <v>KEW</v>
          </cell>
          <cell r="X1571" t="str">
            <v>09/12/2013</v>
          </cell>
          <cell r="Y1571" t="str">
            <v>KEW</v>
          </cell>
          <cell r="Z1571" t="str">
            <v>10/12/2013</v>
          </cell>
          <cell r="AA1571" t="str">
            <v>09/12/2014</v>
          </cell>
          <cell r="AB1571" t="str">
            <v>No</v>
          </cell>
          <cell r="AC1571" t="str">
            <v>10/12/2013</v>
          </cell>
          <cell r="AD1571" t="str">
            <v>Good</v>
          </cell>
          <cell r="AE1571" t="str">
            <v>V3 - Added Installed Facilities (New)</v>
          </cell>
          <cell r="AF1571">
            <v>42796</v>
          </cell>
          <cell r="AG1571">
            <v>5.92</v>
          </cell>
          <cell r="AH1571" t="str">
            <v>PPM</v>
          </cell>
          <cell r="AI1571" t="str">
            <v>Strands</v>
          </cell>
          <cell r="AJ1571" t="str">
            <v>Strands PW</v>
          </cell>
          <cell r="AK1571" t="str">
            <v>SNF received. 1st batch of V3 asset (December 2020)</v>
          </cell>
        </row>
        <row r="1572">
          <cell r="A1572" t="str">
            <v>IKN401357</v>
          </cell>
          <cell r="B1572">
            <v>1351</v>
          </cell>
          <cell r="C1572" t="str">
            <v>Institut Kanser Negara</v>
          </cell>
          <cell r="D1572" t="str">
            <v>KKM/IKN/H/13/4491</v>
          </cell>
          <cell r="E1572" t="str">
            <v>13-209</v>
          </cell>
          <cell r="F1572" t="str">
            <v>Pumps, Enteral Feeding</v>
          </cell>
          <cell r="G1572" t="str">
            <v>DU</v>
          </cell>
          <cell r="H1572" t="str">
            <v>DIETICIAN UNIT</v>
          </cell>
          <cell r="I1572" t="str">
            <v>03DU103</v>
          </cell>
          <cell r="J1572" t="str">
            <v>COUNSELLING 1</v>
          </cell>
          <cell r="K1572" t="str">
            <v>BMED</v>
          </cell>
          <cell r="L1572" t="str">
            <v>Normal</v>
          </cell>
          <cell r="M1572" t="str">
            <v>USA</v>
          </cell>
          <cell r="N1572" t="str">
            <v>Sentinel</v>
          </cell>
          <cell r="O1572" t="str">
            <v>Sentinel S-2000</v>
          </cell>
          <cell r="P1572" t="str">
            <v>18074</v>
          </cell>
          <cell r="Q1572" t="str">
            <v>KKM/IKN/H/13/4491</v>
          </cell>
          <cell r="R1572" t="str">
            <v>Alcor Scientific Inc</v>
          </cell>
          <cell r="S1572" t="str">
            <v>Insani Damai</v>
          </cell>
          <cell r="T1572" t="str">
            <v>Functioning</v>
          </cell>
          <cell r="U1572" t="str">
            <v>Asset</v>
          </cell>
          <cell r="V1572">
            <v>2500</v>
          </cell>
          <cell r="W1572" t="str">
            <v>KEW</v>
          </cell>
          <cell r="X1572" t="str">
            <v>09/12/2013</v>
          </cell>
          <cell r="Y1572" t="str">
            <v>KEW</v>
          </cell>
          <cell r="Z1572" t="str">
            <v>10/12/2013</v>
          </cell>
          <cell r="AA1572" t="str">
            <v>09/12/2014</v>
          </cell>
          <cell r="AB1572" t="str">
            <v>No</v>
          </cell>
          <cell r="AC1572" t="str">
            <v>10/12/2013</v>
          </cell>
          <cell r="AD1572" t="str">
            <v>Good</v>
          </cell>
          <cell r="AE1572" t="str">
            <v>V3 - Added Installed Facilities (New)</v>
          </cell>
          <cell r="AF1572">
            <v>42796</v>
          </cell>
          <cell r="AG1572">
            <v>5.92</v>
          </cell>
          <cell r="AH1572" t="str">
            <v>PPM</v>
          </cell>
          <cell r="AI1572" t="str">
            <v>Strands</v>
          </cell>
          <cell r="AJ1572" t="str">
            <v>Strands PW</v>
          </cell>
          <cell r="AK1572" t="str">
            <v>SNF received. 1st batch of V3 asset (December 2020)</v>
          </cell>
        </row>
        <row r="1573">
          <cell r="A1573" t="str">
            <v>IKN401358</v>
          </cell>
          <cell r="B1573">
            <v>1352</v>
          </cell>
          <cell r="C1573" t="str">
            <v>Institut Kanser Negara</v>
          </cell>
          <cell r="D1573" t="str">
            <v>KKM/IKN/H/13/4516</v>
          </cell>
          <cell r="E1573" t="str">
            <v>13-209</v>
          </cell>
          <cell r="F1573" t="str">
            <v>Pumps, Enteral Feeding</v>
          </cell>
          <cell r="G1573" t="str">
            <v>DU</v>
          </cell>
          <cell r="H1573" t="str">
            <v>DIETICIAN UNIT</v>
          </cell>
          <cell r="I1573" t="str">
            <v>03DU103</v>
          </cell>
          <cell r="J1573" t="str">
            <v>COUNSELLING 1</v>
          </cell>
          <cell r="K1573" t="str">
            <v>BMED</v>
          </cell>
          <cell r="L1573" t="str">
            <v>Normal</v>
          </cell>
          <cell r="M1573" t="str">
            <v>USA</v>
          </cell>
          <cell r="N1573" t="str">
            <v>Sentinel</v>
          </cell>
          <cell r="O1573" t="str">
            <v>Sentinel S-2000</v>
          </cell>
          <cell r="P1573" t="str">
            <v>18022</v>
          </cell>
          <cell r="Q1573" t="str">
            <v>KKM/IKN/H/13/4516</v>
          </cell>
          <cell r="R1573" t="str">
            <v>Alcor Scientific Inc</v>
          </cell>
          <cell r="S1573" t="str">
            <v>Insani Damai</v>
          </cell>
          <cell r="T1573" t="str">
            <v>Functioning</v>
          </cell>
          <cell r="U1573" t="str">
            <v>Asset</v>
          </cell>
          <cell r="V1573">
            <v>2500</v>
          </cell>
          <cell r="W1573" t="str">
            <v>KEW</v>
          </cell>
          <cell r="X1573" t="str">
            <v>09/12/2013</v>
          </cell>
          <cell r="Y1573" t="str">
            <v>KEW</v>
          </cell>
          <cell r="Z1573" t="str">
            <v>10/12/2013</v>
          </cell>
          <cell r="AA1573" t="str">
            <v>09/12/2014</v>
          </cell>
          <cell r="AB1573" t="str">
            <v>No</v>
          </cell>
          <cell r="AC1573" t="str">
            <v>10/12/2013</v>
          </cell>
          <cell r="AD1573" t="str">
            <v>Good</v>
          </cell>
          <cell r="AE1573" t="str">
            <v>V3 - Added Installed Facilities (New)</v>
          </cell>
          <cell r="AF1573">
            <v>42796</v>
          </cell>
          <cell r="AG1573">
            <v>5.92</v>
          </cell>
          <cell r="AH1573" t="str">
            <v>PPM</v>
          </cell>
          <cell r="AI1573" t="str">
            <v>Strands</v>
          </cell>
          <cell r="AJ1573" t="str">
            <v>Strands PW</v>
          </cell>
          <cell r="AK1573" t="str">
            <v>SNF received. 1st batch of V3 asset (December 2020)</v>
          </cell>
        </row>
        <row r="1574">
          <cell r="A1574" t="str">
            <v>IKN401359</v>
          </cell>
          <cell r="B1574">
            <v>1353</v>
          </cell>
          <cell r="C1574" t="str">
            <v>Institut Kanser Negara</v>
          </cell>
          <cell r="D1574" t="str">
            <v>KKM/IKN/H/13/4517</v>
          </cell>
          <cell r="E1574" t="str">
            <v>13-209</v>
          </cell>
          <cell r="F1574" t="str">
            <v>Pumps, Enteral Feeding</v>
          </cell>
          <cell r="G1574" t="str">
            <v>DU</v>
          </cell>
          <cell r="H1574" t="str">
            <v>DIETICIAN UNIT</v>
          </cell>
          <cell r="I1574" t="str">
            <v>03DU103</v>
          </cell>
          <cell r="J1574" t="str">
            <v>COUNSELLING 1</v>
          </cell>
          <cell r="K1574" t="str">
            <v>BMED</v>
          </cell>
          <cell r="L1574" t="str">
            <v>Normal</v>
          </cell>
          <cell r="M1574" t="str">
            <v>USA</v>
          </cell>
          <cell r="N1574" t="str">
            <v>Sentinel</v>
          </cell>
          <cell r="O1574" t="str">
            <v>Sentinel S-2000</v>
          </cell>
          <cell r="P1574" t="str">
            <v>18073</v>
          </cell>
          <cell r="Q1574" t="str">
            <v>KKM/IKN/H/13/4517</v>
          </cell>
          <cell r="R1574" t="str">
            <v>Alcor Scientific Inc</v>
          </cell>
          <cell r="S1574" t="str">
            <v>Insani Damai</v>
          </cell>
          <cell r="T1574" t="str">
            <v>Functioning</v>
          </cell>
          <cell r="U1574" t="str">
            <v>Asset</v>
          </cell>
          <cell r="V1574">
            <v>2500</v>
          </cell>
          <cell r="W1574" t="str">
            <v>Estimate</v>
          </cell>
          <cell r="X1574" t="str">
            <v>09/12/2013</v>
          </cell>
          <cell r="Y1574" t="str">
            <v>KEW</v>
          </cell>
          <cell r="Z1574" t="str">
            <v>10/12/2013</v>
          </cell>
          <cell r="AA1574" t="str">
            <v>09/12/2014</v>
          </cell>
          <cell r="AB1574" t="str">
            <v>No</v>
          </cell>
          <cell r="AC1574" t="str">
            <v>10/12/2013</v>
          </cell>
          <cell r="AD1574" t="str">
            <v>Good</v>
          </cell>
          <cell r="AE1574" t="str">
            <v>V3 - Added Installed Facilities (New)</v>
          </cell>
          <cell r="AF1574">
            <v>42796</v>
          </cell>
          <cell r="AG1574">
            <v>5.92</v>
          </cell>
          <cell r="AH1574" t="str">
            <v>PPM</v>
          </cell>
          <cell r="AI1574" t="str">
            <v>Strands</v>
          </cell>
          <cell r="AJ1574" t="str">
            <v>Strands PW</v>
          </cell>
          <cell r="AK1574" t="str">
            <v>SNF received. 1st batch of V3 asset (December 2020)</v>
          </cell>
        </row>
        <row r="1575">
          <cell r="A1575" t="str">
            <v>IKN401360</v>
          </cell>
          <cell r="B1575">
            <v>1354</v>
          </cell>
          <cell r="C1575" t="str">
            <v>Institut Kanser Negara</v>
          </cell>
          <cell r="D1575" t="str">
            <v>KKM/IKN/H/13/4631</v>
          </cell>
          <cell r="E1575" t="str">
            <v>13-209</v>
          </cell>
          <cell r="F1575" t="str">
            <v>Pumps, Enteral Feeding</v>
          </cell>
          <cell r="G1575" t="str">
            <v>DU</v>
          </cell>
          <cell r="H1575" t="str">
            <v>DIETICIAN UNIT</v>
          </cell>
          <cell r="I1575" t="str">
            <v>03DU103</v>
          </cell>
          <cell r="J1575" t="str">
            <v>COUNSELLING 1</v>
          </cell>
          <cell r="K1575" t="str">
            <v>BMED</v>
          </cell>
          <cell r="L1575" t="str">
            <v>Normal</v>
          </cell>
          <cell r="M1575" t="str">
            <v>USA</v>
          </cell>
          <cell r="N1575" t="str">
            <v>Sentinel</v>
          </cell>
          <cell r="O1575" t="str">
            <v>Sentinel S-2000</v>
          </cell>
          <cell r="P1575" t="str">
            <v>18023</v>
          </cell>
          <cell r="Q1575" t="str">
            <v>KKM/IKN/H/13/4631</v>
          </cell>
          <cell r="R1575" t="str">
            <v>Alcor Scientific Inc</v>
          </cell>
          <cell r="S1575" t="str">
            <v>Insani Damai</v>
          </cell>
          <cell r="T1575" t="str">
            <v>Functioning</v>
          </cell>
          <cell r="U1575" t="str">
            <v>Asset</v>
          </cell>
          <cell r="V1575">
            <v>2500</v>
          </cell>
          <cell r="W1575" t="str">
            <v>KEW</v>
          </cell>
          <cell r="X1575" t="str">
            <v>09/12/2013</v>
          </cell>
          <cell r="Y1575" t="str">
            <v>KEW</v>
          </cell>
          <cell r="Z1575" t="str">
            <v>10/12/2013</v>
          </cell>
          <cell r="AA1575" t="str">
            <v>09/12/2014</v>
          </cell>
          <cell r="AB1575" t="str">
            <v>No</v>
          </cell>
          <cell r="AC1575" t="str">
            <v>10/12/2013</v>
          </cell>
          <cell r="AD1575" t="str">
            <v>Good</v>
          </cell>
          <cell r="AE1575" t="str">
            <v>V3 - Added Installed Facilities (New)</v>
          </cell>
          <cell r="AF1575">
            <v>42796</v>
          </cell>
          <cell r="AG1575">
            <v>5.92</v>
          </cell>
          <cell r="AH1575" t="str">
            <v>PPM</v>
          </cell>
          <cell r="AI1575" t="str">
            <v>Strands</v>
          </cell>
          <cell r="AJ1575" t="str">
            <v>Strands PW</v>
          </cell>
          <cell r="AK1575" t="str">
            <v>SNF received. 1st batch of V3 asset (December 2020)</v>
          </cell>
        </row>
        <row r="1576">
          <cell r="A1576" t="str">
            <v>IKN401361</v>
          </cell>
          <cell r="B1576">
            <v>1355</v>
          </cell>
          <cell r="C1576" t="str">
            <v>Institut Kanser Negara</v>
          </cell>
          <cell r="D1576" t="str">
            <v>KKM/IKN/H/13/4632</v>
          </cell>
          <cell r="E1576" t="str">
            <v>13-209</v>
          </cell>
          <cell r="F1576" t="str">
            <v>Pumps, Enteral Feeding</v>
          </cell>
          <cell r="G1576" t="str">
            <v>DU</v>
          </cell>
          <cell r="H1576" t="str">
            <v>DIETICIAN UNIT</v>
          </cell>
          <cell r="I1576" t="str">
            <v>03DU103</v>
          </cell>
          <cell r="J1576" t="str">
            <v>COUNSELLING 1</v>
          </cell>
          <cell r="K1576" t="str">
            <v>BMED</v>
          </cell>
          <cell r="L1576" t="str">
            <v>Normal</v>
          </cell>
          <cell r="M1576" t="str">
            <v>USA</v>
          </cell>
          <cell r="N1576" t="str">
            <v>Sentinel</v>
          </cell>
          <cell r="O1576" t="str">
            <v>Sentinel S-2000</v>
          </cell>
          <cell r="P1576" t="str">
            <v>18071</v>
          </cell>
          <cell r="Q1576" t="str">
            <v>KKM/IKN/H/13/4632</v>
          </cell>
          <cell r="R1576" t="str">
            <v>Alcor Scientific Inc</v>
          </cell>
          <cell r="S1576" t="str">
            <v>Insani Damai</v>
          </cell>
          <cell r="T1576" t="str">
            <v>Functioning</v>
          </cell>
          <cell r="U1576" t="str">
            <v>Asset</v>
          </cell>
          <cell r="V1576">
            <v>2500</v>
          </cell>
          <cell r="W1576" t="str">
            <v>KEW</v>
          </cell>
          <cell r="X1576" t="str">
            <v>09/12/2013</v>
          </cell>
          <cell r="Y1576" t="str">
            <v>KEW</v>
          </cell>
          <cell r="Z1576" t="str">
            <v>10/12/2013</v>
          </cell>
          <cell r="AA1576" t="str">
            <v>09/12/2014</v>
          </cell>
          <cell r="AB1576" t="str">
            <v>No</v>
          </cell>
          <cell r="AC1576" t="str">
            <v>10/12/2013</v>
          </cell>
          <cell r="AD1576" t="str">
            <v>Good</v>
          </cell>
          <cell r="AE1576" t="str">
            <v>V3 - Added Installed Facilities (New)</v>
          </cell>
          <cell r="AF1576">
            <v>42796</v>
          </cell>
          <cell r="AG1576">
            <v>5.92</v>
          </cell>
          <cell r="AH1576" t="str">
            <v>PPM</v>
          </cell>
          <cell r="AI1576" t="str">
            <v>Strands</v>
          </cell>
          <cell r="AJ1576" t="str">
            <v>Strands PW</v>
          </cell>
          <cell r="AK1576" t="str">
            <v>SNF received. 1st batch of V3 asset (December 2020)</v>
          </cell>
        </row>
        <row r="1577">
          <cell r="A1577" t="str">
            <v>IKN401362</v>
          </cell>
          <cell r="B1577">
            <v>1356</v>
          </cell>
          <cell r="C1577" t="str">
            <v>Institut Kanser Negara</v>
          </cell>
          <cell r="D1577" t="str">
            <v>KKM/IKN/H/13/4629</v>
          </cell>
          <cell r="E1577" t="str">
            <v>13-209</v>
          </cell>
          <cell r="F1577" t="str">
            <v>Pumps, Enteral Feeding</v>
          </cell>
          <cell r="G1577" t="str">
            <v>DU</v>
          </cell>
          <cell r="H1577" t="str">
            <v>DIETICIAN UNIT</v>
          </cell>
          <cell r="I1577" t="str">
            <v>03DU103</v>
          </cell>
          <cell r="J1577" t="str">
            <v>COUNSELLING 1</v>
          </cell>
          <cell r="K1577" t="str">
            <v>BMED</v>
          </cell>
          <cell r="L1577" t="str">
            <v>Normal</v>
          </cell>
          <cell r="M1577" t="str">
            <v>USA</v>
          </cell>
          <cell r="N1577" t="str">
            <v>Sentinel</v>
          </cell>
          <cell r="O1577" t="str">
            <v>Sentinel S-2000</v>
          </cell>
          <cell r="P1577" t="str">
            <v>18021</v>
          </cell>
          <cell r="Q1577" t="str">
            <v>KKM/IKN/H/13/4629</v>
          </cell>
          <cell r="R1577" t="str">
            <v>Alcor Scientific Inc</v>
          </cell>
          <cell r="S1577" t="str">
            <v>Insani Damai</v>
          </cell>
          <cell r="T1577" t="str">
            <v>Functioning</v>
          </cell>
          <cell r="U1577" t="str">
            <v>Asset</v>
          </cell>
          <cell r="V1577">
            <v>2500</v>
          </cell>
          <cell r="W1577" t="str">
            <v>KEW</v>
          </cell>
          <cell r="X1577" t="str">
            <v>09/12/2013</v>
          </cell>
          <cell r="Y1577" t="str">
            <v>KEW</v>
          </cell>
          <cell r="Z1577" t="str">
            <v>10/12/2013</v>
          </cell>
          <cell r="AA1577" t="str">
            <v>09/12/2014</v>
          </cell>
          <cell r="AB1577" t="str">
            <v>No</v>
          </cell>
          <cell r="AC1577" t="str">
            <v>10/12/2013</v>
          </cell>
          <cell r="AD1577" t="str">
            <v>Good</v>
          </cell>
          <cell r="AE1577" t="str">
            <v>V3 - Added Installed Facilities (New)</v>
          </cell>
          <cell r="AF1577">
            <v>42796</v>
          </cell>
          <cell r="AG1577">
            <v>5.92</v>
          </cell>
          <cell r="AH1577" t="str">
            <v>PPM</v>
          </cell>
          <cell r="AI1577" t="str">
            <v>Strands</v>
          </cell>
          <cell r="AJ1577" t="str">
            <v>Strands PW</v>
          </cell>
          <cell r="AK1577" t="str">
            <v>SNF received. 1st batch of V3 asset (December 2020)</v>
          </cell>
        </row>
        <row r="1578">
          <cell r="A1578" t="str">
            <v>IKN401363</v>
          </cell>
          <cell r="B1578">
            <v>1357</v>
          </cell>
          <cell r="C1578" t="str">
            <v>Institut Kanser Negara</v>
          </cell>
          <cell r="D1578" t="str">
            <v>KKM/IKN/H/13/4630</v>
          </cell>
          <cell r="E1578" t="str">
            <v>13-209</v>
          </cell>
          <cell r="F1578" t="str">
            <v>Pumps, Enteral Feeding</v>
          </cell>
          <cell r="G1578" t="str">
            <v>DU</v>
          </cell>
          <cell r="H1578" t="str">
            <v>DIETICIAN UNIT</v>
          </cell>
          <cell r="I1578" t="str">
            <v>03DU103</v>
          </cell>
          <cell r="J1578" t="str">
            <v>COUNSELLING 1</v>
          </cell>
          <cell r="K1578" t="str">
            <v>BMED</v>
          </cell>
          <cell r="L1578" t="str">
            <v>Normal</v>
          </cell>
          <cell r="M1578" t="str">
            <v>USA</v>
          </cell>
          <cell r="N1578" t="str">
            <v>Sentinel</v>
          </cell>
          <cell r="O1578" t="str">
            <v>Sentinel S-2000</v>
          </cell>
          <cell r="P1578" t="str">
            <v>18018</v>
          </cell>
          <cell r="Q1578" t="str">
            <v>KKM/IKN/H/13/4630</v>
          </cell>
          <cell r="R1578" t="str">
            <v>Alcor Scientific Inc</v>
          </cell>
          <cell r="S1578" t="str">
            <v>Insani Damai</v>
          </cell>
          <cell r="T1578" t="str">
            <v>Functioning</v>
          </cell>
          <cell r="U1578" t="str">
            <v>Asset</v>
          </cell>
          <cell r="V1578">
            <v>2500</v>
          </cell>
          <cell r="W1578" t="str">
            <v>KEW</v>
          </cell>
          <cell r="X1578" t="str">
            <v>09/12/2013</v>
          </cell>
          <cell r="Y1578" t="str">
            <v>KEW</v>
          </cell>
          <cell r="Z1578" t="str">
            <v>10/12/2013</v>
          </cell>
          <cell r="AA1578" t="str">
            <v>09/12/2014</v>
          </cell>
          <cell r="AB1578" t="str">
            <v>No</v>
          </cell>
          <cell r="AC1578" t="str">
            <v>10/12/2013</v>
          </cell>
          <cell r="AD1578" t="str">
            <v>Good</v>
          </cell>
          <cell r="AE1578" t="str">
            <v>V3 - Added Installed Facilities (New)</v>
          </cell>
          <cell r="AF1578">
            <v>42796</v>
          </cell>
          <cell r="AG1578">
            <v>5.92</v>
          </cell>
          <cell r="AH1578" t="str">
            <v>PPM</v>
          </cell>
          <cell r="AI1578" t="str">
            <v>Strands</v>
          </cell>
          <cell r="AJ1578" t="str">
            <v>Strands PW</v>
          </cell>
          <cell r="AK1578" t="str">
            <v>SNF received. 1st batch of V3 asset (December 2020)</v>
          </cell>
        </row>
        <row r="1579">
          <cell r="A1579" t="str">
            <v>IKN401364</v>
          </cell>
          <cell r="B1579">
            <v>1358</v>
          </cell>
          <cell r="C1579" t="str">
            <v>Institut Kanser Negara</v>
          </cell>
          <cell r="D1579" t="str">
            <v>KKM/IKN/H/13/4473 - 9</v>
          </cell>
          <cell r="E1579" t="str">
            <v>15-605</v>
          </cell>
          <cell r="F1579" t="str">
            <v>Testers</v>
          </cell>
          <cell r="G1579" t="str">
            <v>RT</v>
          </cell>
          <cell r="H1579" t="str">
            <v>RADIATION TREATMENT UNIT</v>
          </cell>
          <cell r="I1579" t="str">
            <v>01RT213</v>
          </cell>
          <cell r="J1579" t="str">
            <v>EQUIPMENT ROOM1</v>
          </cell>
          <cell r="K1579" t="str">
            <v>BMED</v>
          </cell>
          <cell r="L1579" t="str">
            <v>Normal</v>
          </cell>
          <cell r="M1579" t="str">
            <v>USA</v>
          </cell>
          <cell r="N1579" t="str">
            <v>Various</v>
          </cell>
          <cell r="O1579" t="str">
            <v>Tomo Electrometer 90016 &amp; Various</v>
          </cell>
          <cell r="P1579" t="str">
            <v>XW 121295</v>
          </cell>
          <cell r="Q1579" t="str">
            <v>Not Available</v>
          </cell>
          <cell r="R1579" t="str">
            <v>Standard Imaging</v>
          </cell>
          <cell r="S1579" t="str">
            <v>Transmedic Healthcare Sdn. Bhd</v>
          </cell>
          <cell r="T1579" t="str">
            <v>Functioning</v>
          </cell>
          <cell r="U1579" t="str">
            <v>Asset</v>
          </cell>
          <cell r="V1579">
            <v>100000</v>
          </cell>
          <cell r="W1579" t="str">
            <v>KEW</v>
          </cell>
          <cell r="X1579" t="str">
            <v>01/09/2010</v>
          </cell>
          <cell r="Y1579" t="str">
            <v>KEW</v>
          </cell>
          <cell r="Z1579" t="str">
            <v>16/08/2013</v>
          </cell>
          <cell r="AA1579" t="str">
            <v>15/08/2015</v>
          </cell>
          <cell r="AB1579" t="str">
            <v>No</v>
          </cell>
          <cell r="AC1579" t="str">
            <v>16/08/2013</v>
          </cell>
          <cell r="AD1579" t="str">
            <v>Good</v>
          </cell>
          <cell r="AE1579" t="str">
            <v>V1 - Existing / No Claim</v>
          </cell>
          <cell r="AF1579">
            <v>42667</v>
          </cell>
          <cell r="AG1579">
            <v>9.17</v>
          </cell>
          <cell r="AH1579" t="str">
            <v>PPM</v>
          </cell>
          <cell r="AI1579" t="str">
            <v>package</v>
          </cell>
          <cell r="AJ1579" t="str">
            <v>Strands Package</v>
          </cell>
          <cell r="AK1579" t="str">
            <v>Package XM003(B)</v>
          </cell>
        </row>
        <row r="1580">
          <cell r="A1580" t="str">
            <v>IKN401365</v>
          </cell>
          <cell r="B1580">
            <v>1359</v>
          </cell>
          <cell r="C1580" t="str">
            <v>Institut Kanser Negara</v>
          </cell>
          <cell r="D1580" t="str">
            <v>KKM/IKN/H/13/4689-02 &amp; 03</v>
          </cell>
          <cell r="E1580" t="str">
            <v>15-605</v>
          </cell>
          <cell r="F1580" t="str">
            <v>Testers</v>
          </cell>
          <cell r="G1580" t="str">
            <v>RT</v>
          </cell>
          <cell r="H1580" t="str">
            <v>RADIATION TREATMENT UNIT</v>
          </cell>
          <cell r="I1580" t="str">
            <v>01RT213</v>
          </cell>
          <cell r="J1580" t="str">
            <v>EQUIPMENT ROOM1</v>
          </cell>
          <cell r="K1580" t="str">
            <v>BMED</v>
          </cell>
          <cell r="L1580" t="str">
            <v>Normal</v>
          </cell>
          <cell r="M1580" t="str">
            <v>Germany</v>
          </cell>
          <cell r="N1580" t="str">
            <v>TM3304</v>
          </cell>
          <cell r="O1580" t="str">
            <v>TM33004</v>
          </cell>
          <cell r="P1580" t="str">
            <v>TM33004</v>
          </cell>
          <cell r="Q1580" t="str">
            <v>Not Available</v>
          </cell>
          <cell r="R1580" t="str">
            <v>PTW</v>
          </cell>
          <cell r="S1580" t="str">
            <v>Eckert &amp; Ziegler BEBIG</v>
          </cell>
          <cell r="T1580" t="str">
            <v>Functioning</v>
          </cell>
          <cell r="U1580" t="str">
            <v>Asset</v>
          </cell>
          <cell r="V1580">
            <v>400000</v>
          </cell>
          <cell r="W1580" t="str">
            <v>KEW</v>
          </cell>
          <cell r="X1580" t="str">
            <v>01/09/2010</v>
          </cell>
          <cell r="Y1580" t="str">
            <v>KEW</v>
          </cell>
          <cell r="Z1580" t="str">
            <v>16/08/2013</v>
          </cell>
          <cell r="AA1580" t="str">
            <v>15/08/2015</v>
          </cell>
          <cell r="AB1580" t="str">
            <v>No</v>
          </cell>
          <cell r="AC1580" t="str">
            <v>16/08/2013</v>
          </cell>
          <cell r="AD1580" t="str">
            <v>Good</v>
          </cell>
          <cell r="AE1580" t="str">
            <v>V1 - Existing / No Claim</v>
          </cell>
          <cell r="AF1580">
            <v>42663</v>
          </cell>
          <cell r="AG1580">
            <v>9.17</v>
          </cell>
          <cell r="AH1580" t="str">
            <v>PPM</v>
          </cell>
          <cell r="AI1580" t="str">
            <v>Strands</v>
          </cell>
          <cell r="AJ1580" t="str">
            <v>Strands Package</v>
          </cell>
          <cell r="AK1580" t="str">
            <v>Package Afterloading System, XM0011</v>
          </cell>
        </row>
        <row r="1581">
          <cell r="A1581" t="str">
            <v>IKN401366</v>
          </cell>
          <cell r="B1581">
            <v>1360</v>
          </cell>
          <cell r="C1581" t="str">
            <v>Institut Kanser Negara</v>
          </cell>
          <cell r="D1581" t="str">
            <v>KKM/IKN/H/13/4473 - 08</v>
          </cell>
          <cell r="E1581" t="str">
            <v>15-605</v>
          </cell>
          <cell r="F1581" t="str">
            <v>Testers</v>
          </cell>
          <cell r="G1581" t="str">
            <v>RT</v>
          </cell>
          <cell r="H1581" t="str">
            <v>RADIATION TREATMENT UNIT</v>
          </cell>
          <cell r="I1581" t="str">
            <v>01RT213</v>
          </cell>
          <cell r="J1581" t="str">
            <v>EQUIPMENT ROOM1</v>
          </cell>
          <cell r="K1581" t="str">
            <v>BMED</v>
          </cell>
          <cell r="L1581" t="str">
            <v>Normal</v>
          </cell>
          <cell r="M1581" t="str">
            <v>USA</v>
          </cell>
          <cell r="N1581" t="str">
            <v>Various</v>
          </cell>
          <cell r="O1581" t="str">
            <v>Tomo Electrometer 90016 &amp; Various</v>
          </cell>
          <cell r="P1581" t="str">
            <v>XW 121285</v>
          </cell>
          <cell r="Q1581" t="str">
            <v>Not Available</v>
          </cell>
          <cell r="R1581" t="str">
            <v>Standard Imaging</v>
          </cell>
          <cell r="S1581" t="str">
            <v>Transmedic Healthcare Sdn. Bhd</v>
          </cell>
          <cell r="T1581" t="str">
            <v>Functioning</v>
          </cell>
          <cell r="U1581" t="str">
            <v>Asset</v>
          </cell>
          <cell r="V1581">
            <v>100000</v>
          </cell>
          <cell r="W1581" t="str">
            <v>KEW</v>
          </cell>
          <cell r="X1581" t="str">
            <v>01/09/2010</v>
          </cell>
          <cell r="Y1581" t="str">
            <v>KEW</v>
          </cell>
          <cell r="Z1581" t="str">
            <v>16/08/2013</v>
          </cell>
          <cell r="AA1581" t="str">
            <v>15/08/2015</v>
          </cell>
          <cell r="AB1581" t="str">
            <v>No</v>
          </cell>
          <cell r="AC1581" t="str">
            <v>16/08/2013</v>
          </cell>
          <cell r="AD1581" t="str">
            <v>Good</v>
          </cell>
          <cell r="AE1581" t="str">
            <v>V1 - Existing / No Claim</v>
          </cell>
          <cell r="AF1581">
            <v>42667</v>
          </cell>
          <cell r="AG1581">
            <v>9.17</v>
          </cell>
          <cell r="AH1581" t="str">
            <v>PPM</v>
          </cell>
          <cell r="AI1581" t="str">
            <v>package</v>
          </cell>
          <cell r="AJ1581" t="str">
            <v>Strands Package</v>
          </cell>
          <cell r="AK1581" t="str">
            <v>Package XM003(B)</v>
          </cell>
        </row>
        <row r="1582">
          <cell r="A1582" t="str">
            <v>IKN401367</v>
          </cell>
          <cell r="B1582">
            <v>1361</v>
          </cell>
          <cell r="C1582" t="str">
            <v>Institut Kanser Negara</v>
          </cell>
          <cell r="D1582" t="str">
            <v>KKM/IKN/H/13/4473 - 06</v>
          </cell>
          <cell r="E1582" t="str">
            <v>15-605</v>
          </cell>
          <cell r="F1582" t="str">
            <v>Testers</v>
          </cell>
          <cell r="G1582" t="str">
            <v>RT</v>
          </cell>
          <cell r="H1582" t="str">
            <v>RADIATION TREATMENT UNIT</v>
          </cell>
          <cell r="I1582" t="str">
            <v>01RT213</v>
          </cell>
          <cell r="J1582" t="str">
            <v>EQUIPMENT ROOM1</v>
          </cell>
          <cell r="K1582" t="str">
            <v>BMED</v>
          </cell>
          <cell r="L1582" t="str">
            <v>Normal</v>
          </cell>
          <cell r="M1582" t="str">
            <v>USA</v>
          </cell>
          <cell r="N1582" t="str">
            <v>Various</v>
          </cell>
          <cell r="O1582" t="str">
            <v>Tomo Electrometer 90016 &amp; Various</v>
          </cell>
          <cell r="P1582" t="str">
            <v>XAE 121448</v>
          </cell>
          <cell r="Q1582" t="str">
            <v>Not Available</v>
          </cell>
          <cell r="R1582" t="str">
            <v>Standard Imaging</v>
          </cell>
          <cell r="S1582" t="str">
            <v>Transmedic Healthcare Sdn. Bhd</v>
          </cell>
          <cell r="T1582" t="str">
            <v>Functioning</v>
          </cell>
          <cell r="U1582" t="str">
            <v>Asset</v>
          </cell>
          <cell r="V1582">
            <v>100000</v>
          </cell>
          <cell r="W1582" t="str">
            <v>KEW</v>
          </cell>
          <cell r="X1582" t="str">
            <v>01/09/2010</v>
          </cell>
          <cell r="Y1582" t="str">
            <v>KEW</v>
          </cell>
          <cell r="Z1582" t="str">
            <v>16/08/2013</v>
          </cell>
          <cell r="AA1582" t="str">
            <v>15/08/2015</v>
          </cell>
          <cell r="AB1582" t="str">
            <v>No</v>
          </cell>
          <cell r="AC1582" t="str">
            <v>16/08/2013</v>
          </cell>
          <cell r="AD1582" t="str">
            <v>Good</v>
          </cell>
          <cell r="AE1582" t="str">
            <v>V1 - Existing / No Claim</v>
          </cell>
          <cell r="AF1582">
            <v>42667</v>
          </cell>
          <cell r="AG1582">
            <v>9.17</v>
          </cell>
          <cell r="AH1582" t="str">
            <v>PPM</v>
          </cell>
          <cell r="AI1582" t="str">
            <v>package</v>
          </cell>
          <cell r="AJ1582" t="str">
            <v>Strands Package</v>
          </cell>
          <cell r="AK1582" t="str">
            <v>Package XM003(B)</v>
          </cell>
        </row>
        <row r="1583">
          <cell r="A1583" t="str">
            <v>IKN401368</v>
          </cell>
          <cell r="B1583">
            <v>1362</v>
          </cell>
          <cell r="C1583" t="str">
            <v>Institut Kanser Negara</v>
          </cell>
          <cell r="D1583" t="str">
            <v>KKM/IKN/H/16/23</v>
          </cell>
          <cell r="E1583" t="str">
            <v>12-345</v>
          </cell>
          <cell r="F1583" t="str">
            <v>Light Sources, Fiberoptic</v>
          </cell>
          <cell r="G1583" t="str">
            <v>OT</v>
          </cell>
          <cell r="H1583" t="str">
            <v>OPERATING THEATRE</v>
          </cell>
          <cell r="I1583" t="str">
            <v>05OT129</v>
          </cell>
          <cell r="J1583" t="str">
            <v>SEMINAR</v>
          </cell>
          <cell r="K1583" t="str">
            <v>BMED</v>
          </cell>
          <cell r="L1583" t="str">
            <v>Normal</v>
          </cell>
          <cell r="M1583" t="str">
            <v>Germany</v>
          </cell>
          <cell r="N1583" t="str">
            <v>Storz</v>
          </cell>
          <cell r="O1583" t="str">
            <v>Storz Power LED 175, 201614 20</v>
          </cell>
          <cell r="P1583" t="str">
            <v>TT10181</v>
          </cell>
          <cell r="Q1583" t="str">
            <v>Not Applicable</v>
          </cell>
          <cell r="R1583" t="str">
            <v>Karl Storz-Endoskope</v>
          </cell>
          <cell r="S1583" t="str">
            <v>Medi-Life (M) Sdn. Bhd.</v>
          </cell>
          <cell r="T1583" t="str">
            <v>Functioning</v>
          </cell>
          <cell r="U1583" t="str">
            <v>Asset</v>
          </cell>
          <cell r="V1583">
            <v>28000</v>
          </cell>
          <cell r="W1583" t="str">
            <v>KEW</v>
          </cell>
          <cell r="X1583" t="str">
            <v>12/08/2016</v>
          </cell>
          <cell r="Y1583" t="str">
            <v>KEW</v>
          </cell>
          <cell r="Z1583" t="str">
            <v>24/10/2016</v>
          </cell>
          <cell r="AA1583" t="str">
            <v>23/10/2018</v>
          </cell>
          <cell r="AB1583" t="str">
            <v>No</v>
          </cell>
          <cell r="AC1583" t="str">
            <v>24/10/2016</v>
          </cell>
          <cell r="AD1583" t="str">
            <v>Good</v>
          </cell>
          <cell r="AE1583" t="str">
            <v>V3 - Added Installed Facilities (New)</v>
          </cell>
          <cell r="AF1583">
            <v>42815</v>
          </cell>
          <cell r="AG1583">
            <v>3.25</v>
          </cell>
          <cell r="AH1583" t="str">
            <v>PPM</v>
          </cell>
          <cell r="AI1583" t="str">
            <v>package</v>
          </cell>
          <cell r="AJ1583" t="str">
            <v>Proposed for V3 P2.23</v>
          </cell>
          <cell r="AK1583" t="str">
            <v>KKM follow P2.23 list.</v>
          </cell>
        </row>
        <row r="1584">
          <cell r="A1584" t="str">
            <v>IKN401369</v>
          </cell>
          <cell r="B1584">
            <v>1363</v>
          </cell>
          <cell r="C1584" t="str">
            <v>Institut Kanser Negara</v>
          </cell>
          <cell r="D1584" t="str">
            <v>KKM/IKN/H/16/22</v>
          </cell>
          <cell r="E1584" t="str">
            <v>11-963</v>
          </cell>
          <cell r="F1584" t="str">
            <v>Headlights</v>
          </cell>
          <cell r="G1584" t="str">
            <v>OT</v>
          </cell>
          <cell r="H1584" t="str">
            <v>OPERATING THEATRE</v>
          </cell>
          <cell r="I1584" t="str">
            <v>05OT129</v>
          </cell>
          <cell r="J1584" t="str">
            <v>SEMINAR</v>
          </cell>
          <cell r="K1584" t="str">
            <v>BMED</v>
          </cell>
          <cell r="L1584" t="str">
            <v>Normal</v>
          </cell>
          <cell r="M1584" t="str">
            <v>Germany</v>
          </cell>
          <cell r="N1584" t="str">
            <v>Heine</v>
          </cell>
          <cell r="O1584" t="str">
            <v>C-008.32.441</v>
          </cell>
          <cell r="P1584" t="str">
            <v>1100461061</v>
          </cell>
          <cell r="Q1584" t="str">
            <v>Not Applicable</v>
          </cell>
          <cell r="R1584" t="str">
            <v>HEINE</v>
          </cell>
          <cell r="S1584" t="str">
            <v>Medi-Life (M) Sdn. Bhd.</v>
          </cell>
          <cell r="T1584" t="str">
            <v>Functioning</v>
          </cell>
          <cell r="U1584" t="str">
            <v>Asset</v>
          </cell>
          <cell r="V1584">
            <v>11868</v>
          </cell>
          <cell r="W1584" t="str">
            <v>KEW</v>
          </cell>
          <cell r="X1584" t="str">
            <v>12/08/2016</v>
          </cell>
          <cell r="Y1584" t="str">
            <v>KEW</v>
          </cell>
          <cell r="Z1584" t="str">
            <v>24/10/2016</v>
          </cell>
          <cell r="AA1584" t="str">
            <v>23/10/2021</v>
          </cell>
          <cell r="AB1584" t="str">
            <v>No</v>
          </cell>
          <cell r="AC1584" t="str">
            <v>24/10/2016</v>
          </cell>
          <cell r="AD1584" t="str">
            <v>Good</v>
          </cell>
          <cell r="AE1584" t="str">
            <v>V3 - Added Installed Facilities (New)</v>
          </cell>
          <cell r="AF1584">
            <v>42815</v>
          </cell>
          <cell r="AG1584">
            <v>3.25</v>
          </cell>
          <cell r="AH1584" t="str">
            <v>RI</v>
          </cell>
          <cell r="AI1584" t="str">
            <v>Strands</v>
          </cell>
          <cell r="AJ1584" t="str">
            <v>Strands PW</v>
          </cell>
          <cell r="AK1584" t="str">
            <v>SNF received. 1st batch of V3 asset (December 2020)</v>
          </cell>
        </row>
        <row r="1585">
          <cell r="A1585" t="str">
            <v>IKN401370</v>
          </cell>
          <cell r="B1585">
            <v>1364</v>
          </cell>
          <cell r="C1585" t="str">
            <v>Institut Kanser Negara</v>
          </cell>
          <cell r="D1585" t="str">
            <v>KKM/IKN/H/16/18</v>
          </cell>
          <cell r="E1585" t="str">
            <v>15-178</v>
          </cell>
          <cell r="F1585" t="str">
            <v>Shakers, Laboratory</v>
          </cell>
          <cell r="G1585" t="str">
            <v>NM</v>
          </cell>
          <cell r="H1585" t="str">
            <v>NUCLEAR MED (DIAGNOSTIC)</v>
          </cell>
          <cell r="I1585" t="str">
            <v>03NM154</v>
          </cell>
          <cell r="J1585" t="str">
            <v>RIA LAB</v>
          </cell>
          <cell r="K1585" t="str">
            <v>BMED</v>
          </cell>
          <cell r="L1585" t="str">
            <v>Normal</v>
          </cell>
          <cell r="M1585" t="str">
            <v>Germany</v>
          </cell>
          <cell r="N1585" t="str">
            <v>IKA-Werke</v>
          </cell>
          <cell r="O1585" t="str">
            <v>HS/KS 260 Basic</v>
          </cell>
          <cell r="P1585" t="str">
            <v>08.077679</v>
          </cell>
          <cell r="Q1585" t="str">
            <v>Not Available</v>
          </cell>
          <cell r="R1585" t="str">
            <v>IKA-Werke GmbH &amp; Co KG</v>
          </cell>
          <cell r="S1585" t="str">
            <v>IT Tech Research (M) Sdn. Bhd</v>
          </cell>
          <cell r="T1585" t="str">
            <v>Functioning</v>
          </cell>
          <cell r="U1585" t="str">
            <v>Asset</v>
          </cell>
          <cell r="V1585">
            <v>6500</v>
          </cell>
          <cell r="W1585" t="str">
            <v>KEW</v>
          </cell>
          <cell r="X1585" t="str">
            <v>12/08/2016</v>
          </cell>
          <cell r="Y1585" t="str">
            <v>KEW</v>
          </cell>
          <cell r="Z1585" t="str">
            <v>25/10/2016</v>
          </cell>
          <cell r="AA1585" t="str">
            <v>24/10/2018</v>
          </cell>
          <cell r="AB1585" t="str">
            <v>No</v>
          </cell>
          <cell r="AC1585" t="str">
            <v>25/10/2016</v>
          </cell>
          <cell r="AD1585" t="str">
            <v>Good</v>
          </cell>
          <cell r="AE1585" t="str">
            <v>V3 - Added Installed Facilities (New)</v>
          </cell>
          <cell r="AF1585">
            <v>42699</v>
          </cell>
          <cell r="AG1585">
            <v>3.25</v>
          </cell>
          <cell r="AH1585" t="str">
            <v>PPM</v>
          </cell>
          <cell r="AI1585" t="str">
            <v>Strands</v>
          </cell>
          <cell r="AJ1585" t="str">
            <v>Strands PW</v>
          </cell>
          <cell r="AK1585" t="str">
            <v>SNF received on 25.2.2020</v>
          </cell>
        </row>
        <row r="1586">
          <cell r="A1586" t="str">
            <v>IKN401371</v>
          </cell>
          <cell r="B1586">
            <v>1365</v>
          </cell>
          <cell r="C1586" t="str">
            <v>Institut Kanser Negara</v>
          </cell>
          <cell r="D1586" t="str">
            <v>KKM/IKN/H/16/19</v>
          </cell>
          <cell r="E1586" t="str">
            <v>15-173</v>
          </cell>
          <cell r="F1586" t="str">
            <v>Rotators</v>
          </cell>
          <cell r="G1586" t="str">
            <v>NM</v>
          </cell>
          <cell r="H1586" t="str">
            <v>NUCLEAR MED (DIAGNOSTIC)</v>
          </cell>
          <cell r="I1586" t="str">
            <v>03NM154</v>
          </cell>
          <cell r="J1586" t="str">
            <v>RIA LAB</v>
          </cell>
          <cell r="K1586" t="str">
            <v>BMED</v>
          </cell>
          <cell r="L1586" t="str">
            <v>Normal</v>
          </cell>
          <cell r="M1586" t="str">
            <v>Germany</v>
          </cell>
          <cell r="N1586" t="str">
            <v>IKA</v>
          </cell>
          <cell r="O1586" t="str">
            <v>HA 260 BS2</v>
          </cell>
          <cell r="P1586" t="str">
            <v>08.077679</v>
          </cell>
          <cell r="Q1586" t="str">
            <v>Not Available</v>
          </cell>
          <cell r="R1586" t="str">
            <v>IKA</v>
          </cell>
          <cell r="S1586" t="str">
            <v>IT Tech Research (M) Sdn. Bhd</v>
          </cell>
          <cell r="T1586" t="str">
            <v>Functioning</v>
          </cell>
          <cell r="U1586" t="str">
            <v>Asset</v>
          </cell>
          <cell r="V1586">
            <v>2675</v>
          </cell>
          <cell r="W1586" t="str">
            <v>KEW</v>
          </cell>
          <cell r="X1586" t="str">
            <v>12/08/2016</v>
          </cell>
          <cell r="Y1586" t="str">
            <v>KEW</v>
          </cell>
          <cell r="Z1586" t="str">
            <v>25/10/2016</v>
          </cell>
          <cell r="AA1586" t="str">
            <v>24/10/2018</v>
          </cell>
          <cell r="AB1586" t="str">
            <v>No</v>
          </cell>
          <cell r="AC1586" t="str">
            <v>25/10/2016</v>
          </cell>
          <cell r="AD1586" t="str">
            <v>Good</v>
          </cell>
          <cell r="AE1586" t="str">
            <v>V3 - Added Installed Facilities (New)</v>
          </cell>
          <cell r="AF1586">
            <v>42699</v>
          </cell>
          <cell r="AG1586">
            <v>3.25</v>
          </cell>
          <cell r="AH1586" t="str">
            <v>PPM</v>
          </cell>
          <cell r="AI1586" t="str">
            <v>Strands</v>
          </cell>
          <cell r="AJ1586" t="str">
            <v>Strands PW</v>
          </cell>
          <cell r="AK1586" t="str">
            <v>SNF received on 25.2.2020</v>
          </cell>
        </row>
        <row r="1587">
          <cell r="A1587" t="str">
            <v>IKN401387</v>
          </cell>
          <cell r="B1587">
            <v>1377</v>
          </cell>
          <cell r="C1587" t="str">
            <v>Institut Kanser Negara</v>
          </cell>
          <cell r="D1587" t="str">
            <v>KKM/IKN/H/13/1418</v>
          </cell>
          <cell r="E1587" t="str">
            <v>11-631</v>
          </cell>
          <cell r="F1587" t="str">
            <v>Exercisers, Continuous Passive Motion</v>
          </cell>
          <cell r="G1587" t="str">
            <v>PY</v>
          </cell>
          <cell r="H1587" t="str">
            <v>PHYSIOTHERAPY</v>
          </cell>
          <cell r="I1587" t="str">
            <v>04PY115</v>
          </cell>
          <cell r="J1587" t="str">
            <v>GYMNASIUM</v>
          </cell>
          <cell r="K1587" t="str">
            <v>BMED</v>
          </cell>
          <cell r="L1587" t="str">
            <v>Normal</v>
          </cell>
          <cell r="M1587" t="str">
            <v>USA</v>
          </cell>
          <cell r="N1587" t="str">
            <v>Biometrics</v>
          </cell>
          <cell r="O1587" t="str">
            <v>Biometrics E3000</v>
          </cell>
          <cell r="P1587" t="str">
            <v>Not Available</v>
          </cell>
          <cell r="Q1587" t="str">
            <v>Not Available</v>
          </cell>
          <cell r="R1587" t="str">
            <v>Biometrics Ltd</v>
          </cell>
          <cell r="S1587" t="str">
            <v>Maycare (M) Sdn Bhd</v>
          </cell>
          <cell r="T1587" t="str">
            <v>Functioning</v>
          </cell>
          <cell r="U1587" t="str">
            <v>Asset</v>
          </cell>
          <cell r="V1587">
            <v>30700</v>
          </cell>
          <cell r="W1587" t="str">
            <v>KEW</v>
          </cell>
          <cell r="X1587" t="str">
            <v>01/09/2010</v>
          </cell>
          <cell r="Y1587" t="str">
            <v>KEW</v>
          </cell>
          <cell r="Z1587" t="str">
            <v>16/08/2013</v>
          </cell>
          <cell r="AA1587" t="str">
            <v>15/08/2015</v>
          </cell>
          <cell r="AB1587" t="str">
            <v>No</v>
          </cell>
          <cell r="AC1587" t="str">
            <v>31/08/2013</v>
          </cell>
          <cell r="AD1587" t="str">
            <v>Good</v>
          </cell>
          <cell r="AE1587" t="str">
            <v>V1 - Existing / No Claim</v>
          </cell>
          <cell r="AF1587">
            <v>42776</v>
          </cell>
          <cell r="AG1587">
            <v>9.17</v>
          </cell>
          <cell r="AH1587" t="str">
            <v>PPM</v>
          </cell>
          <cell r="AI1587" t="str">
            <v>Strands</v>
          </cell>
          <cell r="AJ1587" t="str">
            <v>Strands Package F</v>
          </cell>
          <cell r="AK1587" t="str">
            <v>Package Code PE0040-N</v>
          </cell>
        </row>
        <row r="1588">
          <cell r="A1588" t="str">
            <v>IKN401388</v>
          </cell>
          <cell r="B1588">
            <v>1378</v>
          </cell>
          <cell r="C1588" t="str">
            <v>Institut Kanser Negara</v>
          </cell>
          <cell r="D1588" t="str">
            <v>KKM/IKN/H/13/1420</v>
          </cell>
          <cell r="E1588" t="str">
            <v>15-605</v>
          </cell>
          <cell r="F1588" t="str">
            <v>Testers</v>
          </cell>
          <cell r="G1588" t="str">
            <v>PY</v>
          </cell>
          <cell r="H1588" t="str">
            <v>PHYSIOTHERAPY</v>
          </cell>
          <cell r="I1588" t="str">
            <v>04PY130</v>
          </cell>
          <cell r="J1588" t="str">
            <v>RESPIRATORY</v>
          </cell>
          <cell r="K1588" t="str">
            <v>BMED</v>
          </cell>
          <cell r="L1588" t="str">
            <v>Normal</v>
          </cell>
          <cell r="M1588" t="str">
            <v>USA</v>
          </cell>
          <cell r="N1588" t="str">
            <v>Welch Allyn</v>
          </cell>
          <cell r="O1588" t="str">
            <v>Welch Allyn</v>
          </cell>
          <cell r="P1588" t="str">
            <v>101935</v>
          </cell>
          <cell r="Q1588" t="str">
            <v>Not Applicable</v>
          </cell>
          <cell r="R1588" t="str">
            <v>WELCH ALLYN</v>
          </cell>
          <cell r="S1588" t="str">
            <v>Welch Allyn Malaysia Sdn Bhd</v>
          </cell>
          <cell r="T1588" t="str">
            <v>Functioning</v>
          </cell>
          <cell r="U1588" t="str">
            <v>Asset</v>
          </cell>
          <cell r="V1588">
            <v>1</v>
          </cell>
          <cell r="W1588" t="str">
            <v>KEW</v>
          </cell>
          <cell r="X1588" t="str">
            <v>01/09/2010</v>
          </cell>
          <cell r="Y1588" t="str">
            <v>KEW</v>
          </cell>
          <cell r="Z1588" t="str">
            <v>16/08/2013</v>
          </cell>
          <cell r="AA1588" t="str">
            <v>15/08/2015</v>
          </cell>
          <cell r="AB1588" t="str">
            <v>No</v>
          </cell>
          <cell r="AC1588" t="str">
            <v>31/08/2013</v>
          </cell>
          <cell r="AD1588" t="str">
            <v>Good</v>
          </cell>
          <cell r="AE1588" t="str">
            <v>V1 - Existing / No Claim</v>
          </cell>
          <cell r="AF1588">
            <v>42935</v>
          </cell>
          <cell r="AG1588">
            <v>9.17</v>
          </cell>
          <cell r="AH1588" t="str">
            <v>PPM</v>
          </cell>
          <cell r="AI1588" t="str">
            <v>Strands</v>
          </cell>
          <cell r="AJ1588" t="str">
            <v>Strands Package</v>
          </cell>
          <cell r="AK1588" t="str">
            <v>Package Code MS0002</v>
          </cell>
        </row>
        <row r="1589">
          <cell r="A1589" t="str">
            <v>IKN401389</v>
          </cell>
          <cell r="B1589">
            <v>1379</v>
          </cell>
          <cell r="C1589" t="str">
            <v>Institut Kanser Negara</v>
          </cell>
          <cell r="D1589" t="str">
            <v>KKM/IKN/H/14/92</v>
          </cell>
          <cell r="E1589" t="str">
            <v>16-274</v>
          </cell>
          <cell r="F1589" t="str">
            <v>Dispensers, Liquid, Laboratory</v>
          </cell>
          <cell r="G1589" t="str">
            <v>LA</v>
          </cell>
          <cell r="H1589" t="str">
            <v>PATHOLOGY</v>
          </cell>
          <cell r="I1589" t="str">
            <v>04LA132</v>
          </cell>
          <cell r="J1589" t="str">
            <v>HAEMATOLOGY LAB 2</v>
          </cell>
          <cell r="K1589" t="str">
            <v>BMED</v>
          </cell>
          <cell r="L1589" t="str">
            <v>Normal</v>
          </cell>
          <cell r="M1589" t="str">
            <v>Germany</v>
          </cell>
          <cell r="N1589" t="str">
            <v>Eppendorf</v>
          </cell>
          <cell r="O1589" t="str">
            <v>Varispenser Plus</v>
          </cell>
          <cell r="P1589" t="str">
            <v>03M63204</v>
          </cell>
          <cell r="Q1589" t="str">
            <v>Not Available</v>
          </cell>
          <cell r="R1589" t="str">
            <v>Eppendorf AG</v>
          </cell>
          <cell r="S1589" t="str">
            <v>Medigene Sdn Bhd</v>
          </cell>
          <cell r="T1589" t="str">
            <v>Functioning</v>
          </cell>
          <cell r="U1589" t="str">
            <v>Asset</v>
          </cell>
          <cell r="V1589">
            <v>1612</v>
          </cell>
          <cell r="W1589" t="str">
            <v>KEW</v>
          </cell>
          <cell r="X1589" t="str">
            <v>12/11/2014</v>
          </cell>
          <cell r="Y1589" t="str">
            <v>KEW</v>
          </cell>
          <cell r="Z1589" t="str">
            <v>12/11/2014</v>
          </cell>
          <cell r="AA1589" t="str">
            <v>11/11/2015</v>
          </cell>
          <cell r="AB1589" t="str">
            <v>No</v>
          </cell>
          <cell r="AC1589" t="str">
            <v>12/11/2014</v>
          </cell>
          <cell r="AD1589" t="str">
            <v>Good</v>
          </cell>
          <cell r="AE1589" t="str">
            <v>V3 - Added Installed Facilities (New)</v>
          </cell>
          <cell r="AF1589">
            <v>42776</v>
          </cell>
          <cell r="AG1589">
            <v>5</v>
          </cell>
          <cell r="AH1589" t="str">
            <v>PPM</v>
          </cell>
          <cell r="AI1589" t="str">
            <v>Strands</v>
          </cell>
          <cell r="AJ1589" t="str">
            <v>Strands PW</v>
          </cell>
          <cell r="AK1589" t="str">
            <v>SNF received. 1st batch of V3 asset (December 2020)</v>
          </cell>
        </row>
        <row r="1590">
          <cell r="A1590" t="str">
            <v>IKN401390</v>
          </cell>
          <cell r="B1590">
            <v>1380</v>
          </cell>
          <cell r="C1590" t="str">
            <v>Institut Kanser Negara</v>
          </cell>
          <cell r="D1590" t="str">
            <v>KKM/IKN/H/14/93</v>
          </cell>
          <cell r="E1590" t="str">
            <v>16-274</v>
          </cell>
          <cell r="F1590" t="str">
            <v>Dispensers, Liquid, Laboratory</v>
          </cell>
          <cell r="G1590" t="str">
            <v>LA</v>
          </cell>
          <cell r="H1590" t="str">
            <v>PATHOLOGY</v>
          </cell>
          <cell r="I1590" t="str">
            <v>04LA132</v>
          </cell>
          <cell r="J1590" t="str">
            <v>HAEMATOLOGY LAB 2</v>
          </cell>
          <cell r="K1590" t="str">
            <v>BMED</v>
          </cell>
          <cell r="L1590" t="str">
            <v>Normal</v>
          </cell>
          <cell r="M1590" t="str">
            <v>Germany</v>
          </cell>
          <cell r="N1590" t="str">
            <v>Eppendorf</v>
          </cell>
          <cell r="O1590" t="str">
            <v>Varispenser Plus</v>
          </cell>
          <cell r="P1590" t="str">
            <v>03M63192</v>
          </cell>
          <cell r="Q1590" t="str">
            <v>Not Available</v>
          </cell>
          <cell r="R1590" t="str">
            <v>Eppendorf AG</v>
          </cell>
          <cell r="S1590" t="str">
            <v>Medigene Sdn Bhd</v>
          </cell>
          <cell r="T1590" t="str">
            <v>Functioning</v>
          </cell>
          <cell r="U1590" t="str">
            <v>Asset</v>
          </cell>
          <cell r="V1590">
            <v>1612</v>
          </cell>
          <cell r="W1590" t="str">
            <v>KEW</v>
          </cell>
          <cell r="X1590" t="str">
            <v>12/11/2014</v>
          </cell>
          <cell r="Y1590" t="str">
            <v>KEW</v>
          </cell>
          <cell r="Z1590" t="str">
            <v>12/11/2014</v>
          </cell>
          <cell r="AA1590" t="str">
            <v>11/11/2015</v>
          </cell>
          <cell r="AB1590" t="str">
            <v>No</v>
          </cell>
          <cell r="AC1590" t="str">
            <v>12/11/2014</v>
          </cell>
          <cell r="AD1590" t="str">
            <v>Good</v>
          </cell>
          <cell r="AE1590" t="str">
            <v>V3 - Added Installed Facilities (New)</v>
          </cell>
          <cell r="AF1590">
            <v>42776</v>
          </cell>
          <cell r="AG1590">
            <v>5</v>
          </cell>
          <cell r="AH1590" t="str">
            <v>PPM</v>
          </cell>
          <cell r="AI1590" t="str">
            <v>Strands</v>
          </cell>
          <cell r="AJ1590" t="str">
            <v>Strands PW</v>
          </cell>
          <cell r="AK1590" t="str">
            <v>SNF received. 1st batch of V3 asset (December 2020)</v>
          </cell>
        </row>
        <row r="1591">
          <cell r="A1591" t="str">
            <v>IKN401394</v>
          </cell>
          <cell r="B1591">
            <v>1381</v>
          </cell>
          <cell r="C1591" t="str">
            <v>Institut Kanser Negara</v>
          </cell>
          <cell r="E1591" t="str">
            <v>99-999</v>
          </cell>
          <cell r="F1591" t="str">
            <v>Inventory Asset</v>
          </cell>
          <cell r="G1591" t="str">
            <v>OT</v>
          </cell>
          <cell r="H1591" t="str">
            <v>OPERATING THEATRE</v>
          </cell>
          <cell r="I1591" t="str">
            <v>05OT129</v>
          </cell>
          <cell r="J1591" t="str">
            <v>SEMINAR</v>
          </cell>
          <cell r="K1591" t="str">
            <v>BMED</v>
          </cell>
          <cell r="L1591" t="str">
            <v>Normal</v>
          </cell>
          <cell r="M1591" t="str">
            <v>Not Available</v>
          </cell>
          <cell r="N1591" t="str">
            <v>Not Available</v>
          </cell>
          <cell r="O1591" t="str">
            <v>Not Available</v>
          </cell>
          <cell r="P1591" t="str">
            <v>Not Available</v>
          </cell>
          <cell r="Q1591" t="str">
            <v>Not Applicable</v>
          </cell>
          <cell r="R1591" t="str">
            <v>Not Available</v>
          </cell>
          <cell r="S1591" t="str">
            <v>Not Available</v>
          </cell>
          <cell r="T1591" t="str">
            <v>Functioning</v>
          </cell>
          <cell r="U1591" t="str">
            <v>Asset</v>
          </cell>
          <cell r="V1591">
            <v>4000</v>
          </cell>
          <cell r="W1591" t="str">
            <v>Estimate</v>
          </cell>
          <cell r="X1591" t="str">
            <v>31/08/2013</v>
          </cell>
          <cell r="Y1591" t="str">
            <v>Estimate</v>
          </cell>
          <cell r="Z1591" t="str">
            <v>31/08/2013</v>
          </cell>
          <cell r="AA1591" t="str">
            <v>30/08/2015</v>
          </cell>
          <cell r="AB1591" t="str">
            <v>No</v>
          </cell>
          <cell r="AC1591" t="str">
            <v>31/08/2013</v>
          </cell>
          <cell r="AD1591" t="str">
            <v>Good</v>
          </cell>
          <cell r="AE1591" t="str">
            <v>V10 - Asset in initial fee submission(new/replacement hosp)</v>
          </cell>
          <cell r="AF1591">
            <v>43193</v>
          </cell>
          <cell r="AG1591">
            <v>6.25</v>
          </cell>
          <cell r="AH1591" t="str">
            <v>RI</v>
          </cell>
          <cell r="AI1591" t="str">
            <v>Not in contract</v>
          </cell>
        </row>
        <row r="1592">
          <cell r="A1592" t="str">
            <v>IKN401395</v>
          </cell>
          <cell r="B1592">
            <v>1382</v>
          </cell>
          <cell r="C1592" t="str">
            <v>Institut Kanser Negara</v>
          </cell>
          <cell r="E1592" t="str">
            <v>99-999</v>
          </cell>
          <cell r="F1592" t="str">
            <v>Inventory Asset</v>
          </cell>
          <cell r="G1592" t="str">
            <v>OT</v>
          </cell>
          <cell r="H1592" t="str">
            <v>OPERATING THEATRE</v>
          </cell>
          <cell r="I1592" t="str">
            <v>05OT129</v>
          </cell>
          <cell r="J1592" t="str">
            <v>SEMINAR</v>
          </cell>
          <cell r="K1592" t="str">
            <v>BMED</v>
          </cell>
          <cell r="L1592" t="str">
            <v>Normal</v>
          </cell>
          <cell r="M1592" t="str">
            <v>Not Available</v>
          </cell>
          <cell r="N1592" t="str">
            <v>Not Available</v>
          </cell>
          <cell r="O1592" t="str">
            <v>Not Available</v>
          </cell>
          <cell r="P1592" t="str">
            <v>Not Available</v>
          </cell>
          <cell r="Q1592" t="str">
            <v>Not Applicable</v>
          </cell>
          <cell r="R1592" t="str">
            <v>Not Available</v>
          </cell>
          <cell r="S1592" t="str">
            <v>Not Available</v>
          </cell>
          <cell r="T1592" t="str">
            <v>Functioning</v>
          </cell>
          <cell r="U1592" t="str">
            <v>Asset</v>
          </cell>
          <cell r="V1592">
            <v>4000</v>
          </cell>
          <cell r="W1592" t="str">
            <v>Estimate</v>
          </cell>
          <cell r="X1592" t="str">
            <v>31/08/2013</v>
          </cell>
          <cell r="Y1592" t="str">
            <v>Estimate</v>
          </cell>
          <cell r="Z1592" t="str">
            <v>31/08/2013</v>
          </cell>
          <cell r="AA1592" t="str">
            <v>30/08/2015</v>
          </cell>
          <cell r="AB1592" t="str">
            <v>No</v>
          </cell>
          <cell r="AC1592" t="str">
            <v>31/08/2013</v>
          </cell>
          <cell r="AD1592" t="str">
            <v>Good</v>
          </cell>
          <cell r="AE1592" t="str">
            <v>V10 - Asset in initial fee submission(new/replacement hosp)</v>
          </cell>
          <cell r="AF1592">
            <v>43193</v>
          </cell>
          <cell r="AG1592">
            <v>6.25</v>
          </cell>
          <cell r="AH1592" t="str">
            <v>RI</v>
          </cell>
          <cell r="AI1592" t="str">
            <v>Not in contract</v>
          </cell>
        </row>
        <row r="1593">
          <cell r="A1593" t="str">
            <v>IKN401398</v>
          </cell>
          <cell r="B1593">
            <v>1383</v>
          </cell>
          <cell r="C1593" t="str">
            <v>Institut Kanser Negara</v>
          </cell>
          <cell r="D1593" t="str">
            <v>KKM/IKN/H/16/32</v>
          </cell>
          <cell r="E1593" t="str">
            <v>13-215</v>
          </cell>
          <cell r="F1593" t="str">
            <v>Infusion Pumps, General-Purpose</v>
          </cell>
          <cell r="G1593" t="str">
            <v>WA</v>
          </cell>
          <cell r="H1593" t="str">
            <v>NUCLEAR MED WARD (THERAPY)</v>
          </cell>
          <cell r="I1593" t="str">
            <v>03WA177</v>
          </cell>
          <cell r="J1593" t="str">
            <v>EQ. ROOM</v>
          </cell>
          <cell r="K1593" t="str">
            <v>BMED</v>
          </cell>
          <cell r="L1593" t="str">
            <v>Critical</v>
          </cell>
          <cell r="M1593" t="str">
            <v>Japan</v>
          </cell>
          <cell r="N1593" t="str">
            <v>TOP</v>
          </cell>
          <cell r="O1593" t="str">
            <v>TOP-2300</v>
          </cell>
          <cell r="P1593" t="str">
            <v>16 A0495</v>
          </cell>
          <cell r="Q1593" t="str">
            <v>Not Available</v>
          </cell>
          <cell r="R1593" t="str">
            <v>TOP Corp</v>
          </cell>
          <cell r="S1593" t="str">
            <v>SHRIRO (M) Sdn. Bhd</v>
          </cell>
          <cell r="T1593" t="str">
            <v>Functioning</v>
          </cell>
          <cell r="U1593" t="str">
            <v>Asset</v>
          </cell>
          <cell r="V1593">
            <v>3800</v>
          </cell>
          <cell r="W1593" t="str">
            <v>KEW</v>
          </cell>
          <cell r="X1593" t="str">
            <v>02/11/2016</v>
          </cell>
          <cell r="Y1593" t="str">
            <v>KEW</v>
          </cell>
          <cell r="Z1593" t="str">
            <v>30/12/2016</v>
          </cell>
          <cell r="AA1593" t="str">
            <v>31/12/2017</v>
          </cell>
          <cell r="AB1593" t="str">
            <v>No</v>
          </cell>
          <cell r="AC1593" t="str">
            <v>22/11/2016</v>
          </cell>
          <cell r="AD1593" t="str">
            <v>Good</v>
          </cell>
          <cell r="AE1593" t="str">
            <v>V3 - Added Installed Facilities (New)</v>
          </cell>
          <cell r="AF1593">
            <v>42759</v>
          </cell>
          <cell r="AG1593">
            <v>3</v>
          </cell>
          <cell r="AH1593" t="str">
            <v>PPM</v>
          </cell>
          <cell r="AI1593" t="str">
            <v>Strands</v>
          </cell>
          <cell r="AJ1593" t="str">
            <v>Strands PW</v>
          </cell>
          <cell r="AK1593" t="str">
            <v>SNF received. 1st batch of V3 asset (December 2020)</v>
          </cell>
        </row>
        <row r="1594">
          <cell r="A1594" t="str">
            <v>IKN401399</v>
          </cell>
          <cell r="B1594">
            <v>1384</v>
          </cell>
          <cell r="C1594" t="str">
            <v>Institut Kanser Negara</v>
          </cell>
          <cell r="D1594" t="str">
            <v>KKM/IKN/H/16/31</v>
          </cell>
          <cell r="E1594" t="str">
            <v>13-215</v>
          </cell>
          <cell r="F1594" t="str">
            <v>Infusion Pumps, General-Purpose</v>
          </cell>
          <cell r="G1594" t="str">
            <v>WA</v>
          </cell>
          <cell r="H1594" t="str">
            <v>NUCLEAR MED WARD (THERAPY)</v>
          </cell>
          <cell r="I1594" t="str">
            <v>03WA177</v>
          </cell>
          <cell r="J1594" t="str">
            <v>EQ. ROOM</v>
          </cell>
          <cell r="K1594" t="str">
            <v>BMED</v>
          </cell>
          <cell r="L1594" t="str">
            <v>Critical</v>
          </cell>
          <cell r="M1594" t="str">
            <v>Japan</v>
          </cell>
          <cell r="N1594" t="str">
            <v>TOP</v>
          </cell>
          <cell r="O1594" t="str">
            <v>TOP-2300</v>
          </cell>
          <cell r="P1594" t="str">
            <v>16A 0494</v>
          </cell>
          <cell r="Q1594" t="str">
            <v>Not Available</v>
          </cell>
          <cell r="R1594" t="str">
            <v>TOP Corp</v>
          </cell>
          <cell r="S1594" t="str">
            <v>SHRIRO (M) Sdn. Bhd</v>
          </cell>
          <cell r="T1594" t="str">
            <v>Functioning</v>
          </cell>
          <cell r="U1594" t="str">
            <v>Asset</v>
          </cell>
          <cell r="V1594">
            <v>3800</v>
          </cell>
          <cell r="W1594" t="str">
            <v>KEW</v>
          </cell>
          <cell r="X1594" t="str">
            <v>02/11/2016</v>
          </cell>
          <cell r="Y1594" t="str">
            <v>KEW</v>
          </cell>
          <cell r="Z1594" t="str">
            <v>30/12/2016</v>
          </cell>
          <cell r="AA1594" t="str">
            <v>31/12/2017</v>
          </cell>
          <cell r="AB1594" t="str">
            <v>No</v>
          </cell>
          <cell r="AC1594" t="str">
            <v>22/11/2016</v>
          </cell>
          <cell r="AD1594" t="str">
            <v>Good</v>
          </cell>
          <cell r="AE1594" t="str">
            <v>V3 - Added Installed Facilities (New)</v>
          </cell>
          <cell r="AF1594">
            <v>42759</v>
          </cell>
          <cell r="AG1594">
            <v>3</v>
          </cell>
          <cell r="AH1594" t="str">
            <v>PPM</v>
          </cell>
          <cell r="AI1594" t="str">
            <v>Strands</v>
          </cell>
          <cell r="AJ1594" t="str">
            <v>Strands PW</v>
          </cell>
          <cell r="AK1594" t="str">
            <v>SNF received. 1st batch of V3 asset (December 2020)</v>
          </cell>
        </row>
        <row r="1595">
          <cell r="A1595" t="str">
            <v>IKN401400</v>
          </cell>
          <cell r="B1595">
            <v>1385</v>
          </cell>
          <cell r="C1595" t="str">
            <v>Institut Kanser Negara</v>
          </cell>
          <cell r="D1595" t="str">
            <v>KKM/IKN/H/16/33</v>
          </cell>
          <cell r="E1595" t="str">
            <v>13-215</v>
          </cell>
          <cell r="F1595" t="str">
            <v>Infusion Pumps, General-Purpose</v>
          </cell>
          <cell r="G1595" t="str">
            <v>WA</v>
          </cell>
          <cell r="H1595" t="str">
            <v>NUCLEAR MED WARD (THERAPY)</v>
          </cell>
          <cell r="I1595" t="str">
            <v>03WA177</v>
          </cell>
          <cell r="J1595" t="str">
            <v>EQ. ROOM</v>
          </cell>
          <cell r="K1595" t="str">
            <v>BMED</v>
          </cell>
          <cell r="L1595" t="str">
            <v>Critical</v>
          </cell>
          <cell r="M1595" t="str">
            <v>Japan</v>
          </cell>
          <cell r="N1595" t="str">
            <v>TOP</v>
          </cell>
          <cell r="O1595" t="str">
            <v>TOP-2300</v>
          </cell>
          <cell r="P1595" t="str">
            <v>16A 0496</v>
          </cell>
          <cell r="Q1595" t="str">
            <v>Not Available</v>
          </cell>
          <cell r="R1595" t="str">
            <v>TOP Corp</v>
          </cell>
          <cell r="S1595" t="str">
            <v>SHRIRO (M) Sdn. Bhd</v>
          </cell>
          <cell r="T1595" t="str">
            <v>Functioning</v>
          </cell>
          <cell r="U1595" t="str">
            <v>Asset</v>
          </cell>
          <cell r="V1595">
            <v>3800</v>
          </cell>
          <cell r="W1595" t="str">
            <v>KEW</v>
          </cell>
          <cell r="X1595" t="str">
            <v>02/11/2016</v>
          </cell>
          <cell r="Y1595" t="str">
            <v>KEW</v>
          </cell>
          <cell r="Z1595" t="str">
            <v>30/12/2016</v>
          </cell>
          <cell r="AA1595" t="str">
            <v>31/12/2017</v>
          </cell>
          <cell r="AB1595" t="str">
            <v>No</v>
          </cell>
          <cell r="AC1595" t="str">
            <v>22/11/2016</v>
          </cell>
          <cell r="AD1595" t="str">
            <v>Good</v>
          </cell>
          <cell r="AE1595" t="str">
            <v>V3 - Added Installed Facilities (New)</v>
          </cell>
          <cell r="AF1595">
            <v>42759</v>
          </cell>
          <cell r="AG1595">
            <v>3</v>
          </cell>
          <cell r="AH1595" t="str">
            <v>PPM</v>
          </cell>
          <cell r="AI1595" t="str">
            <v>Strands</v>
          </cell>
          <cell r="AJ1595" t="str">
            <v>Strands PW</v>
          </cell>
          <cell r="AK1595" t="str">
            <v>SNF received. 1st batch of V3 asset (December 2020)</v>
          </cell>
        </row>
        <row r="1596">
          <cell r="A1596" t="str">
            <v>IKN401401</v>
          </cell>
          <cell r="B1596">
            <v>1386</v>
          </cell>
          <cell r="C1596" t="str">
            <v>Institut Kanser Negara</v>
          </cell>
          <cell r="D1596" t="str">
            <v>KKM/IKN/H/16/30</v>
          </cell>
          <cell r="E1596" t="str">
            <v>13-215</v>
          </cell>
          <cell r="F1596" t="str">
            <v>Infusion Pumps, General-Purpose</v>
          </cell>
          <cell r="G1596" t="str">
            <v>WA</v>
          </cell>
          <cell r="H1596" t="str">
            <v>NUCLEAR MED WARD (THERAPY)</v>
          </cell>
          <cell r="I1596" t="str">
            <v>03WA177</v>
          </cell>
          <cell r="J1596" t="str">
            <v>EQ. ROOM</v>
          </cell>
          <cell r="K1596" t="str">
            <v>BMED</v>
          </cell>
          <cell r="L1596" t="str">
            <v>Critical</v>
          </cell>
          <cell r="M1596" t="str">
            <v>Japan</v>
          </cell>
          <cell r="N1596" t="str">
            <v>TOP</v>
          </cell>
          <cell r="O1596" t="str">
            <v>TOP-2300</v>
          </cell>
          <cell r="P1596" t="str">
            <v>16A 0493</v>
          </cell>
          <cell r="Q1596" t="str">
            <v>Not Available</v>
          </cell>
          <cell r="R1596" t="str">
            <v>TOP Corp</v>
          </cell>
          <cell r="S1596" t="str">
            <v>SHRIRO (M) Sdn. Bhd</v>
          </cell>
          <cell r="T1596" t="str">
            <v>Functioning</v>
          </cell>
          <cell r="U1596" t="str">
            <v>Asset</v>
          </cell>
          <cell r="V1596">
            <v>3800</v>
          </cell>
          <cell r="W1596" t="str">
            <v>KEW</v>
          </cell>
          <cell r="X1596" t="str">
            <v>02/11/2016</v>
          </cell>
          <cell r="Y1596" t="str">
            <v>KEW</v>
          </cell>
          <cell r="Z1596" t="str">
            <v>30/12/2016</v>
          </cell>
          <cell r="AA1596" t="str">
            <v>31/12/2017</v>
          </cell>
          <cell r="AB1596" t="str">
            <v>No</v>
          </cell>
          <cell r="AC1596" t="str">
            <v>22/11/2016</v>
          </cell>
          <cell r="AD1596" t="str">
            <v>Good</v>
          </cell>
          <cell r="AE1596" t="str">
            <v>V3 - Added Installed Facilities (New)</v>
          </cell>
          <cell r="AF1596">
            <v>42759</v>
          </cell>
          <cell r="AG1596">
            <v>3</v>
          </cell>
          <cell r="AH1596" t="str">
            <v>PPM</v>
          </cell>
          <cell r="AI1596" t="str">
            <v>Strands</v>
          </cell>
          <cell r="AJ1596" t="str">
            <v>Strands PW</v>
          </cell>
          <cell r="AK1596" t="str">
            <v>SNF received. 1st batch of V3 asset (December 2020)</v>
          </cell>
        </row>
        <row r="1597">
          <cell r="A1597" t="str">
            <v>IKN401402</v>
          </cell>
          <cell r="B1597">
            <v>1387</v>
          </cell>
          <cell r="C1597" t="str">
            <v>Institut Kanser Negara</v>
          </cell>
          <cell r="D1597" t="str">
            <v>KKM/IKN/H/13/4689-04</v>
          </cell>
          <cell r="E1597" t="str">
            <v>15-605</v>
          </cell>
          <cell r="F1597" t="str">
            <v>Testers</v>
          </cell>
          <cell r="G1597" t="str">
            <v>RT</v>
          </cell>
          <cell r="H1597" t="str">
            <v>RADIATION TREATMENT UNIT</v>
          </cell>
          <cell r="I1597" t="str">
            <v>01RT213</v>
          </cell>
          <cell r="J1597" t="str">
            <v>EQUIPMENT ROOM1</v>
          </cell>
          <cell r="K1597" t="str">
            <v>BMED</v>
          </cell>
          <cell r="L1597" t="str">
            <v>Normal</v>
          </cell>
          <cell r="M1597" t="str">
            <v>Germany</v>
          </cell>
          <cell r="N1597" t="str">
            <v>GTD1100</v>
          </cell>
          <cell r="O1597" t="str">
            <v>GTD 1100</v>
          </cell>
          <cell r="P1597" t="str">
            <v>1379-0310</v>
          </cell>
          <cell r="Q1597" t="str">
            <v>Not Applicable</v>
          </cell>
          <cell r="R1597" t="str">
            <v>GREISINGER</v>
          </cell>
          <cell r="S1597" t="str">
            <v>Oncoray Sdn. Bhd</v>
          </cell>
          <cell r="T1597" t="str">
            <v>Functioning</v>
          </cell>
          <cell r="U1597" t="str">
            <v>Asset</v>
          </cell>
          <cell r="V1597">
            <v>700</v>
          </cell>
          <cell r="W1597" t="str">
            <v>KEW</v>
          </cell>
          <cell r="X1597" t="str">
            <v>01/09/2010</v>
          </cell>
          <cell r="Y1597" t="str">
            <v>KEW</v>
          </cell>
          <cell r="Z1597" t="str">
            <v>16/08/2013</v>
          </cell>
          <cell r="AA1597" t="str">
            <v>15/08/2015</v>
          </cell>
          <cell r="AB1597" t="str">
            <v>No</v>
          </cell>
          <cell r="AC1597" t="str">
            <v>16/08/2013</v>
          </cell>
          <cell r="AD1597" t="str">
            <v>Good</v>
          </cell>
          <cell r="AE1597" t="str">
            <v>V10 - Asset in initial fee submission(new/replacement hosp)</v>
          </cell>
          <cell r="AF1597">
            <v>43063</v>
          </cell>
          <cell r="AG1597">
            <v>9.17</v>
          </cell>
          <cell r="AH1597" t="str">
            <v>PPM</v>
          </cell>
          <cell r="AI1597" t="str">
            <v>strands</v>
          </cell>
          <cell r="AJ1597" t="str">
            <v>Strands Package</v>
          </cell>
          <cell r="AK1597" t="str">
            <v>Package Afterloading System, XM0011</v>
          </cell>
        </row>
        <row r="1598">
          <cell r="A1598" t="str">
            <v>IKN401403</v>
          </cell>
          <cell r="B1598">
            <v>1388</v>
          </cell>
          <cell r="C1598" t="str">
            <v>Institut Kanser Negara</v>
          </cell>
          <cell r="D1598" t="str">
            <v>KKM/IKN/H/13/</v>
          </cell>
          <cell r="E1598" t="str">
            <v>15-605</v>
          </cell>
          <cell r="F1598" t="str">
            <v>Testers</v>
          </cell>
          <cell r="G1598" t="str">
            <v>RT</v>
          </cell>
          <cell r="H1598" t="str">
            <v>RADIATION TREATMENT UNIT</v>
          </cell>
          <cell r="I1598" t="str">
            <v>01RT213</v>
          </cell>
          <cell r="J1598" t="str">
            <v>EQUIPMENT ROOM1</v>
          </cell>
          <cell r="K1598" t="str">
            <v>BMED</v>
          </cell>
          <cell r="L1598" t="str">
            <v>Normal</v>
          </cell>
          <cell r="M1598" t="str">
            <v>Germany</v>
          </cell>
          <cell r="N1598" t="str">
            <v>C300</v>
          </cell>
          <cell r="O1598" t="str">
            <v>C300</v>
          </cell>
          <cell r="P1598" t="str">
            <v>008.0812.0202.2.1.1.25</v>
          </cell>
          <cell r="Q1598" t="str">
            <v>Not Available</v>
          </cell>
          <cell r="R1598" t="str">
            <v>LUFFT</v>
          </cell>
          <cell r="S1598" t="str">
            <v>Delta Advantech (M) Sdn. Bhd</v>
          </cell>
          <cell r="T1598" t="str">
            <v>Functioning</v>
          </cell>
          <cell r="U1598" t="str">
            <v>Asset</v>
          </cell>
          <cell r="V1598">
            <v>8000</v>
          </cell>
          <cell r="W1598" t="str">
            <v>KEW</v>
          </cell>
          <cell r="X1598" t="str">
            <v>01/09/2010</v>
          </cell>
          <cell r="Y1598" t="str">
            <v>KEW</v>
          </cell>
          <cell r="Z1598" t="str">
            <v>16/08/2013</v>
          </cell>
          <cell r="AA1598" t="str">
            <v>15/08/2015</v>
          </cell>
          <cell r="AB1598" t="str">
            <v>No</v>
          </cell>
          <cell r="AC1598" t="str">
            <v>31/08/2013</v>
          </cell>
          <cell r="AD1598" t="str">
            <v>Good</v>
          </cell>
          <cell r="AE1598" t="str">
            <v>V1 - Existing / No Claim</v>
          </cell>
          <cell r="AF1598">
            <v>42755</v>
          </cell>
          <cell r="AG1598">
            <v>9.17</v>
          </cell>
          <cell r="AH1598" t="str">
            <v>PPM</v>
          </cell>
          <cell r="AI1598" t="str">
            <v>Strands</v>
          </cell>
          <cell r="AJ1598" t="str">
            <v>Strands PW</v>
          </cell>
        </row>
        <row r="1599">
          <cell r="A1599" t="str">
            <v>IKN401412</v>
          </cell>
          <cell r="B1599">
            <v>1395</v>
          </cell>
          <cell r="C1599" t="str">
            <v>Institut Kanser Negara</v>
          </cell>
          <cell r="D1599" t="str">
            <v>KKM/IKN/H/13/2554</v>
          </cell>
          <cell r="E1599" t="str">
            <v>13-461</v>
          </cell>
          <cell r="F1599" t="str">
            <v>Scales, Patient, Floor</v>
          </cell>
          <cell r="G1599" t="str">
            <v>WG</v>
          </cell>
          <cell r="H1599" t="str">
            <v>RT/ONCO WARD 1 (M)</v>
          </cell>
          <cell r="I1599" t="str">
            <v>08WG143</v>
          </cell>
          <cell r="J1599" t="str">
            <v>NURSE STATION</v>
          </cell>
          <cell r="K1599" t="str">
            <v>BMED</v>
          </cell>
          <cell r="L1599" t="str">
            <v>Normal</v>
          </cell>
          <cell r="M1599" t="str">
            <v>USA</v>
          </cell>
          <cell r="N1599" t="str">
            <v>Detecto</v>
          </cell>
          <cell r="O1599" t="str">
            <v>758 C</v>
          </cell>
          <cell r="P1599" t="str">
            <v>E34812-0041</v>
          </cell>
          <cell r="Q1599" t="str">
            <v>Not Applicable</v>
          </cell>
          <cell r="R1599" t="str">
            <v>DETECTO</v>
          </cell>
          <cell r="S1599" t="str">
            <v>Acucare System (M) Sdn. Bhd</v>
          </cell>
          <cell r="T1599" t="str">
            <v>Functioning</v>
          </cell>
          <cell r="U1599" t="str">
            <v>Asset</v>
          </cell>
          <cell r="V1599">
            <v>9380</v>
          </cell>
          <cell r="W1599" t="str">
            <v>KEW</v>
          </cell>
          <cell r="X1599" t="str">
            <v>01/09/2010</v>
          </cell>
          <cell r="Y1599" t="str">
            <v>KEW</v>
          </cell>
          <cell r="Z1599" t="str">
            <v>16/08/2013</v>
          </cell>
          <cell r="AA1599" t="str">
            <v>15/08/2015</v>
          </cell>
          <cell r="AB1599" t="str">
            <v>No</v>
          </cell>
          <cell r="AC1599" t="str">
            <v>31/08/2013</v>
          </cell>
          <cell r="AD1599" t="str">
            <v>Good</v>
          </cell>
          <cell r="AE1599" t="str">
            <v>V1 - Existing / No Claim</v>
          </cell>
          <cell r="AF1599">
            <v>42789</v>
          </cell>
          <cell r="AG1599">
            <v>9.17</v>
          </cell>
          <cell r="AH1599" t="str">
            <v>PPM</v>
          </cell>
          <cell r="AI1599" t="str">
            <v>Strands</v>
          </cell>
          <cell r="AJ1599" t="str">
            <v>Strands PW</v>
          </cell>
        </row>
        <row r="1600">
          <cell r="A1600" t="str">
            <v>IKN401415</v>
          </cell>
          <cell r="B1600">
            <v>1397</v>
          </cell>
          <cell r="C1600" t="str">
            <v>Institut Kanser Negara</v>
          </cell>
          <cell r="D1600" t="str">
            <v>KKM/IKN/H/13/2028</v>
          </cell>
          <cell r="E1600" t="str">
            <v>13-461</v>
          </cell>
          <cell r="F1600" t="str">
            <v>Scales, Patient, Floor</v>
          </cell>
          <cell r="G1600" t="str">
            <v>WH</v>
          </cell>
          <cell r="H1600" t="str">
            <v>RT/ONCO WARD 2 (M)</v>
          </cell>
          <cell r="I1600" t="str">
            <v>08WH143</v>
          </cell>
          <cell r="J1600" t="str">
            <v>NURSE STATION</v>
          </cell>
          <cell r="K1600" t="str">
            <v>BMED</v>
          </cell>
          <cell r="L1600" t="str">
            <v>Normal</v>
          </cell>
          <cell r="M1600" t="str">
            <v>USA</v>
          </cell>
          <cell r="N1600" t="str">
            <v>Detecto</v>
          </cell>
          <cell r="O1600" t="str">
            <v>758 C</v>
          </cell>
          <cell r="P1600" t="str">
            <v>E 34812-0043</v>
          </cell>
          <cell r="Q1600" t="str">
            <v>Not Available</v>
          </cell>
          <cell r="R1600" t="str">
            <v>DETECTO</v>
          </cell>
          <cell r="S1600" t="str">
            <v>Acucare System (M) Sdn. Bhd</v>
          </cell>
          <cell r="T1600" t="str">
            <v>Functioning</v>
          </cell>
          <cell r="U1600" t="str">
            <v>Asset</v>
          </cell>
          <cell r="V1600">
            <v>9380</v>
          </cell>
          <cell r="W1600" t="str">
            <v>KEW</v>
          </cell>
          <cell r="X1600" t="str">
            <v>01/09/2010</v>
          </cell>
          <cell r="Y1600" t="str">
            <v>KEW</v>
          </cell>
          <cell r="Z1600" t="str">
            <v>16/08/2013</v>
          </cell>
          <cell r="AA1600" t="str">
            <v>15/08/2015</v>
          </cell>
          <cell r="AB1600" t="str">
            <v>No</v>
          </cell>
          <cell r="AC1600" t="str">
            <v>31/08/2013</v>
          </cell>
          <cell r="AD1600" t="str">
            <v>Good</v>
          </cell>
          <cell r="AE1600" t="str">
            <v>V1 - Existing / No Claim</v>
          </cell>
          <cell r="AF1600">
            <v>42781</v>
          </cell>
          <cell r="AG1600">
            <v>9.17</v>
          </cell>
          <cell r="AH1600" t="str">
            <v>PPM</v>
          </cell>
          <cell r="AI1600" t="str">
            <v>Strands</v>
          </cell>
          <cell r="AJ1600" t="str">
            <v>Strands PW</v>
          </cell>
        </row>
        <row r="1601">
          <cell r="A1601" t="str">
            <v>IKN401419</v>
          </cell>
          <cell r="B1601">
            <v>1400</v>
          </cell>
          <cell r="C1601" t="str">
            <v>Institut Kanser Negara</v>
          </cell>
          <cell r="D1601" t="str">
            <v>KKM/IKN/H/13/2093</v>
          </cell>
          <cell r="E1601" t="str">
            <v>13-461</v>
          </cell>
          <cell r="F1601" t="str">
            <v>Scales, Patient, Floor</v>
          </cell>
          <cell r="G1601" t="str">
            <v>WE</v>
          </cell>
          <cell r="H1601" t="str">
            <v>RT/ONCO WARD 1 (F)</v>
          </cell>
          <cell r="I1601" t="str">
            <v>07WE143</v>
          </cell>
          <cell r="J1601" t="str">
            <v>NURSE STATION</v>
          </cell>
          <cell r="K1601" t="str">
            <v>BMED</v>
          </cell>
          <cell r="L1601" t="str">
            <v>Normal</v>
          </cell>
          <cell r="M1601" t="str">
            <v>USA</v>
          </cell>
          <cell r="N1601" t="str">
            <v>Detecto</v>
          </cell>
          <cell r="O1601" t="str">
            <v>758 C</v>
          </cell>
          <cell r="P1601" t="str">
            <v>E 32112-0199</v>
          </cell>
          <cell r="Q1601" t="str">
            <v>Not Applicable</v>
          </cell>
          <cell r="R1601" t="str">
            <v>DETECTO</v>
          </cell>
          <cell r="S1601" t="str">
            <v>Acucare System (M) Sdn. Bhd</v>
          </cell>
          <cell r="T1601" t="str">
            <v>Functioning</v>
          </cell>
          <cell r="U1601" t="str">
            <v>Asset</v>
          </cell>
          <cell r="V1601">
            <v>9380</v>
          </cell>
          <cell r="W1601" t="str">
            <v>KEW</v>
          </cell>
          <cell r="X1601" t="str">
            <v>01/09/2010</v>
          </cell>
          <cell r="Y1601" t="str">
            <v>KEW</v>
          </cell>
          <cell r="Z1601" t="str">
            <v>16/08/2013</v>
          </cell>
          <cell r="AA1601" t="str">
            <v>15/08/2015</v>
          </cell>
          <cell r="AB1601" t="str">
            <v>No</v>
          </cell>
          <cell r="AC1601" t="str">
            <v>31/08/2013</v>
          </cell>
          <cell r="AD1601" t="str">
            <v>Good</v>
          </cell>
          <cell r="AE1601" t="str">
            <v>V1 - Existing / No Claim</v>
          </cell>
          <cell r="AF1601">
            <v>42790</v>
          </cell>
          <cell r="AG1601">
            <v>9.17</v>
          </cell>
          <cell r="AH1601" t="str">
            <v>PPM</v>
          </cell>
          <cell r="AI1601" t="str">
            <v>Strands</v>
          </cell>
          <cell r="AJ1601" t="str">
            <v>Strands PW</v>
          </cell>
        </row>
        <row r="1602">
          <cell r="A1602" t="str">
            <v>IKN401432</v>
          </cell>
          <cell r="B1602">
            <v>1410</v>
          </cell>
          <cell r="C1602" t="str">
            <v>Institut Kanser Negara</v>
          </cell>
          <cell r="D1602" t="str">
            <v>KKM/IKN/H/13/3372</v>
          </cell>
          <cell r="E1602" t="str">
            <v>13-461</v>
          </cell>
          <cell r="F1602" t="str">
            <v>Scales, Patient, Floor</v>
          </cell>
          <cell r="G1602" t="str">
            <v>WC</v>
          </cell>
          <cell r="H1602" t="str">
            <v>SURGICAL ONCO FEMALE WARD</v>
          </cell>
          <cell r="I1602" t="str">
            <v>06WC143</v>
          </cell>
          <cell r="J1602" t="str">
            <v>NURSE STATION</v>
          </cell>
          <cell r="K1602" t="str">
            <v>BMED</v>
          </cell>
          <cell r="L1602" t="str">
            <v>Normal</v>
          </cell>
          <cell r="M1602" t="str">
            <v>USA</v>
          </cell>
          <cell r="N1602" t="str">
            <v>Detecto</v>
          </cell>
          <cell r="O1602" t="str">
            <v>758 C</v>
          </cell>
          <cell r="P1602" t="str">
            <v>E 34912-0175</v>
          </cell>
          <cell r="Q1602" t="str">
            <v>Not Available</v>
          </cell>
          <cell r="R1602" t="str">
            <v>DETECTO</v>
          </cell>
          <cell r="S1602" t="str">
            <v>Acucare System (M) Sdn. Bhd</v>
          </cell>
          <cell r="T1602" t="str">
            <v>Functioning</v>
          </cell>
          <cell r="U1602" t="str">
            <v>Asset</v>
          </cell>
          <cell r="V1602">
            <v>9380</v>
          </cell>
          <cell r="W1602" t="str">
            <v>KEW</v>
          </cell>
          <cell r="X1602" t="str">
            <v>01/09/2010</v>
          </cell>
          <cell r="Y1602" t="str">
            <v>KEW</v>
          </cell>
          <cell r="Z1602" t="str">
            <v>16/08/2013</v>
          </cell>
          <cell r="AA1602" t="str">
            <v>15/08/2015</v>
          </cell>
          <cell r="AB1602" t="str">
            <v>No</v>
          </cell>
          <cell r="AC1602" t="str">
            <v>31/08/2013</v>
          </cell>
          <cell r="AD1602" t="str">
            <v>Good</v>
          </cell>
          <cell r="AE1602" t="str">
            <v>V1 - Existing / No Claim</v>
          </cell>
          <cell r="AF1602">
            <v>42781</v>
          </cell>
          <cell r="AG1602">
            <v>9.17</v>
          </cell>
          <cell r="AH1602" t="str">
            <v>PPM</v>
          </cell>
          <cell r="AI1602" t="str">
            <v>Strands</v>
          </cell>
          <cell r="AJ1602" t="str">
            <v>Strands PW</v>
          </cell>
        </row>
        <row r="1603">
          <cell r="A1603" t="str">
            <v>IKN401436</v>
          </cell>
          <cell r="B1603">
            <v>1412</v>
          </cell>
          <cell r="C1603" t="str">
            <v>Institut Kanser Negara</v>
          </cell>
          <cell r="D1603" t="str">
            <v>KKM/IKN/I/13/1703</v>
          </cell>
          <cell r="E1603" t="str">
            <v>13-461</v>
          </cell>
          <cell r="F1603" t="str">
            <v>Scales, Patient, Floor</v>
          </cell>
          <cell r="G1603" t="str">
            <v>MC</v>
          </cell>
          <cell r="H1603" t="str">
            <v>MULTI-DISCIPLINE CLINIC</v>
          </cell>
          <cell r="I1603" t="str">
            <v>03MC106</v>
          </cell>
          <cell r="J1603" t="str">
            <v>COUNSELLING</v>
          </cell>
          <cell r="K1603" t="str">
            <v>BMED</v>
          </cell>
          <cell r="L1603" t="str">
            <v>Normal</v>
          </cell>
          <cell r="M1603" t="str">
            <v>USA</v>
          </cell>
          <cell r="N1603" t="str">
            <v>Detecto</v>
          </cell>
          <cell r="O1603" t="str">
            <v>758 C</v>
          </cell>
          <cell r="P1603" t="str">
            <v>E32112-0184</v>
          </cell>
          <cell r="Q1603" t="str">
            <v>NA</v>
          </cell>
          <cell r="R1603" t="str">
            <v>DETECTO</v>
          </cell>
          <cell r="S1603" t="str">
            <v>ACURE SYSTEM SDN BHD</v>
          </cell>
          <cell r="T1603" t="str">
            <v>Functioning</v>
          </cell>
          <cell r="U1603" t="str">
            <v>Asset</v>
          </cell>
          <cell r="V1603">
            <v>9380</v>
          </cell>
          <cell r="W1603" t="str">
            <v>KEW</v>
          </cell>
          <cell r="X1603" t="str">
            <v>01/09/2010</v>
          </cell>
          <cell r="Y1603" t="str">
            <v>Estimate</v>
          </cell>
          <cell r="Z1603" t="str">
            <v>16/08/2013</v>
          </cell>
          <cell r="AA1603" t="str">
            <v>15/08/2015</v>
          </cell>
          <cell r="AB1603" t="str">
            <v>No</v>
          </cell>
          <cell r="AC1603" t="str">
            <v>31/08/2013</v>
          </cell>
          <cell r="AD1603" t="str">
            <v>Good</v>
          </cell>
          <cell r="AE1603" t="str">
            <v>V1 - Existing / No Claim</v>
          </cell>
          <cell r="AF1603">
            <v>42781</v>
          </cell>
          <cell r="AG1603">
            <v>9.17</v>
          </cell>
          <cell r="AH1603" t="str">
            <v>PPM</v>
          </cell>
          <cell r="AI1603" t="str">
            <v>Strands</v>
          </cell>
          <cell r="AK1603" t="str">
            <v>Wrong kewpa previously by user KKM/IKN/I/13/379. [22/9/2023, SHARIFAH]: PEP ON FEB 2021, BER/BEMS/AWSB/21/002 - Asset mengalami kerosakan pada komponen Digital Height Rod, tetapi masih boleh digunakan namun asset tidak ekonomik diperbaiki lagi sekiranya rosak.</v>
          </cell>
        </row>
        <row r="1604">
          <cell r="A1604" t="str">
            <v>IKN401439</v>
          </cell>
          <cell r="B1604">
            <v>1415</v>
          </cell>
          <cell r="C1604" t="str">
            <v>Institut Kanser Negara</v>
          </cell>
          <cell r="D1604" t="str">
            <v>KKM/IKN/H/13/2232</v>
          </cell>
          <cell r="E1604" t="str">
            <v>13-461</v>
          </cell>
          <cell r="F1604" t="str">
            <v>Scales, Patient, Floor</v>
          </cell>
          <cell r="G1604" t="str">
            <v>WA</v>
          </cell>
          <cell r="H1604" t="str">
            <v>NUCLEAR MED WARD (THERAPY)</v>
          </cell>
          <cell r="I1604" t="str">
            <v>03WA117</v>
          </cell>
          <cell r="J1604" t="str">
            <v>N/S 1</v>
          </cell>
          <cell r="K1604" t="str">
            <v>BMED</v>
          </cell>
          <cell r="L1604" t="str">
            <v>Normal</v>
          </cell>
          <cell r="M1604" t="str">
            <v>USA</v>
          </cell>
          <cell r="N1604" t="str">
            <v>Detecto</v>
          </cell>
          <cell r="O1604" t="str">
            <v>758 C</v>
          </cell>
          <cell r="P1604" t="str">
            <v>E 34812-0035</v>
          </cell>
          <cell r="Q1604" t="str">
            <v>Not Applicable</v>
          </cell>
          <cell r="R1604" t="str">
            <v>DETECTO</v>
          </cell>
          <cell r="S1604" t="str">
            <v>Acucare System (M) Sdn. Bhd</v>
          </cell>
          <cell r="T1604" t="str">
            <v>Functioning</v>
          </cell>
          <cell r="U1604" t="str">
            <v>Asset</v>
          </cell>
          <cell r="V1604">
            <v>9380</v>
          </cell>
          <cell r="W1604" t="str">
            <v>KEW</v>
          </cell>
          <cell r="X1604" t="str">
            <v>01/09/2010</v>
          </cell>
          <cell r="Y1604" t="str">
            <v>KEW</v>
          </cell>
          <cell r="Z1604" t="str">
            <v>16/08/2013</v>
          </cell>
          <cell r="AA1604" t="str">
            <v>15/08/2015</v>
          </cell>
          <cell r="AB1604" t="str">
            <v>No</v>
          </cell>
          <cell r="AC1604" t="str">
            <v>31/08/2013</v>
          </cell>
          <cell r="AD1604" t="str">
            <v>Good</v>
          </cell>
          <cell r="AE1604" t="str">
            <v>V1 - Existing / No Claim</v>
          </cell>
          <cell r="AF1604">
            <v>42794</v>
          </cell>
          <cell r="AG1604">
            <v>9.17</v>
          </cell>
          <cell r="AH1604" t="str">
            <v>PPM</v>
          </cell>
          <cell r="AI1604" t="str">
            <v>Strands</v>
          </cell>
          <cell r="AJ1604" t="str">
            <v>Strands PW</v>
          </cell>
        </row>
        <row r="1605">
          <cell r="A1605" t="str">
            <v>IKN401447</v>
          </cell>
          <cell r="B1605">
            <v>1420</v>
          </cell>
          <cell r="C1605" t="str">
            <v>Institut Kanser Negara</v>
          </cell>
          <cell r="D1605" t="str">
            <v>KKM/IKN/H/13/1246</v>
          </cell>
          <cell r="E1605" t="str">
            <v>13-461</v>
          </cell>
          <cell r="F1605" t="str">
            <v>Scales, Patient, Floor</v>
          </cell>
          <cell r="G1605" t="str">
            <v>TC</v>
          </cell>
          <cell r="H1605" t="str">
            <v>TRADITIONAL COMPLEMENTARY MEDICINE</v>
          </cell>
          <cell r="I1605" t="str">
            <v>04TC125</v>
          </cell>
          <cell r="J1605" t="str">
            <v>ASSESSMENT</v>
          </cell>
          <cell r="K1605" t="str">
            <v>BMED</v>
          </cell>
          <cell r="L1605" t="str">
            <v>Normal</v>
          </cell>
          <cell r="M1605" t="str">
            <v>USA</v>
          </cell>
          <cell r="N1605" t="str">
            <v>Detecto</v>
          </cell>
          <cell r="O1605" t="str">
            <v>758 C</v>
          </cell>
          <cell r="P1605" t="str">
            <v>E 32112-0179</v>
          </cell>
          <cell r="Q1605" t="str">
            <v>Not Applicable</v>
          </cell>
          <cell r="R1605" t="str">
            <v>DETECTO</v>
          </cell>
          <cell r="S1605" t="str">
            <v>Acucare System (M) Sdn. Bhd</v>
          </cell>
          <cell r="T1605" t="str">
            <v>Functioning</v>
          </cell>
          <cell r="U1605" t="str">
            <v>Asset</v>
          </cell>
          <cell r="V1605">
            <v>9380</v>
          </cell>
          <cell r="W1605" t="str">
            <v>KEW</v>
          </cell>
          <cell r="X1605" t="str">
            <v>01/09/2010</v>
          </cell>
          <cell r="Y1605" t="str">
            <v>KEW</v>
          </cell>
          <cell r="Z1605" t="str">
            <v>16/08/2013</v>
          </cell>
          <cell r="AA1605" t="str">
            <v>15/08/2015</v>
          </cell>
          <cell r="AB1605" t="str">
            <v>No</v>
          </cell>
          <cell r="AC1605" t="str">
            <v>31/08/2013</v>
          </cell>
          <cell r="AD1605" t="str">
            <v>Good</v>
          </cell>
          <cell r="AE1605" t="str">
            <v>V1 - Existing / No Claim</v>
          </cell>
          <cell r="AF1605">
            <v>42794</v>
          </cell>
          <cell r="AG1605">
            <v>9.17</v>
          </cell>
          <cell r="AH1605" t="str">
            <v>PPM</v>
          </cell>
          <cell r="AI1605" t="str">
            <v>Strands</v>
          </cell>
          <cell r="AJ1605" t="str">
            <v>Strands PW</v>
          </cell>
        </row>
        <row r="1606">
          <cell r="A1606" t="str">
            <v>IKN401450</v>
          </cell>
          <cell r="B1606">
            <v>1422</v>
          </cell>
          <cell r="C1606" t="str">
            <v>Institut Kanser Negara</v>
          </cell>
          <cell r="D1606" t="str">
            <v>KKM/IKN/H/13/2972</v>
          </cell>
          <cell r="E1606" t="str">
            <v>13-461</v>
          </cell>
          <cell r="F1606" t="str">
            <v>Scales, Patient, Floor</v>
          </cell>
          <cell r="G1606" t="str">
            <v>NM</v>
          </cell>
          <cell r="H1606" t="str">
            <v>NUCLEAR MED (DIAGNOSTIC)</v>
          </cell>
          <cell r="I1606" t="str">
            <v>03NM108</v>
          </cell>
          <cell r="J1606" t="str">
            <v>TREATMENT 1 (RAI)(VE)</v>
          </cell>
          <cell r="K1606" t="str">
            <v>BMED</v>
          </cell>
          <cell r="L1606" t="str">
            <v>Normal</v>
          </cell>
          <cell r="M1606" t="str">
            <v>USA</v>
          </cell>
          <cell r="N1606" t="str">
            <v>Detecto</v>
          </cell>
          <cell r="O1606" t="str">
            <v>758 C</v>
          </cell>
          <cell r="P1606" t="str">
            <v>E32112-0185</v>
          </cell>
          <cell r="Q1606" t="str">
            <v>NA</v>
          </cell>
          <cell r="R1606" t="str">
            <v>DETECTO</v>
          </cell>
          <cell r="S1606" t="str">
            <v>ACUCARE SYSTEMS M SDN BHD</v>
          </cell>
          <cell r="T1606" t="str">
            <v>Functioning</v>
          </cell>
          <cell r="U1606" t="str">
            <v>Asset</v>
          </cell>
          <cell r="V1606">
            <v>9380</v>
          </cell>
          <cell r="W1606" t="str">
            <v>KEW</v>
          </cell>
          <cell r="X1606" t="str">
            <v>01/09/2010</v>
          </cell>
          <cell r="Y1606" t="str">
            <v>Estimate</v>
          </cell>
          <cell r="Z1606" t="str">
            <v>16/08/2013</v>
          </cell>
          <cell r="AA1606" t="str">
            <v>15/08/2015</v>
          </cell>
          <cell r="AB1606" t="str">
            <v>No</v>
          </cell>
          <cell r="AC1606" t="str">
            <v>31/08/2013</v>
          </cell>
          <cell r="AD1606" t="str">
            <v>Good</v>
          </cell>
          <cell r="AE1606" t="str">
            <v>V1 - Existing / No Claim</v>
          </cell>
          <cell r="AF1606">
            <v>43430</v>
          </cell>
          <cell r="AG1606">
            <v>9.17</v>
          </cell>
          <cell r="AH1606" t="str">
            <v>PPM</v>
          </cell>
          <cell r="AI1606" t="str">
            <v>Strands</v>
          </cell>
          <cell r="AJ1606" t="str">
            <v>Strands PW</v>
          </cell>
        </row>
        <row r="1607">
          <cell r="A1607" t="str">
            <v>IKN401453</v>
          </cell>
          <cell r="B1607">
            <v>1424</v>
          </cell>
          <cell r="C1607" t="str">
            <v>Institut Kanser Negara</v>
          </cell>
          <cell r="D1607" t="str">
            <v>KKM/IKN/H/13/2379</v>
          </cell>
          <cell r="E1607" t="str">
            <v>13-461</v>
          </cell>
          <cell r="F1607" t="str">
            <v>Scales, Patient, Floor</v>
          </cell>
          <cell r="G1607" t="str">
            <v>WB</v>
          </cell>
          <cell r="H1607" t="str">
            <v>SURGICAL ONCO MALE WARD</v>
          </cell>
          <cell r="I1607" t="str">
            <v>05WB143</v>
          </cell>
          <cell r="J1607" t="str">
            <v>NURSES STATION</v>
          </cell>
          <cell r="K1607" t="str">
            <v>BMED</v>
          </cell>
          <cell r="L1607" t="str">
            <v>Normal</v>
          </cell>
          <cell r="M1607" t="str">
            <v>USA</v>
          </cell>
          <cell r="N1607" t="str">
            <v>Detecto</v>
          </cell>
          <cell r="O1607" t="str">
            <v>758 C</v>
          </cell>
          <cell r="P1607" t="str">
            <v>E 32112-0200</v>
          </cell>
          <cell r="Q1607" t="str">
            <v>Not Available</v>
          </cell>
          <cell r="R1607" t="str">
            <v>DETECTO</v>
          </cell>
          <cell r="S1607" t="str">
            <v>Acucare System (M) Sdn. Bhd</v>
          </cell>
          <cell r="T1607" t="str">
            <v>Functioning</v>
          </cell>
          <cell r="U1607" t="str">
            <v>Asset</v>
          </cell>
          <cell r="V1607">
            <v>9380</v>
          </cell>
          <cell r="W1607" t="str">
            <v>KEW</v>
          </cell>
          <cell r="X1607" t="str">
            <v>01/09/2010</v>
          </cell>
          <cell r="Y1607" t="str">
            <v>KEW</v>
          </cell>
          <cell r="Z1607" t="str">
            <v>16/08/2013</v>
          </cell>
          <cell r="AA1607" t="str">
            <v>15/08/2015</v>
          </cell>
          <cell r="AB1607" t="str">
            <v>No</v>
          </cell>
          <cell r="AC1607" t="str">
            <v>31/08/2013</v>
          </cell>
          <cell r="AD1607" t="str">
            <v>Good</v>
          </cell>
          <cell r="AE1607" t="str">
            <v>V1 - Existing / No Claim</v>
          </cell>
          <cell r="AF1607">
            <v>42781</v>
          </cell>
          <cell r="AG1607">
            <v>9.17</v>
          </cell>
          <cell r="AH1607" t="str">
            <v>PPM</v>
          </cell>
          <cell r="AI1607" t="str">
            <v>Strands</v>
          </cell>
          <cell r="AJ1607" t="str">
            <v>Strands PW</v>
          </cell>
        </row>
        <row r="1608">
          <cell r="A1608" t="str">
            <v>IKN401461</v>
          </cell>
          <cell r="B1608">
            <v>1430</v>
          </cell>
          <cell r="C1608" t="str">
            <v>Institut Kanser Negara</v>
          </cell>
          <cell r="D1608" t="str">
            <v>KKM/IKN/H/13/797</v>
          </cell>
          <cell r="E1608" t="str">
            <v>13-461</v>
          </cell>
          <cell r="F1608" t="str">
            <v>Scales, Patient, Floor</v>
          </cell>
          <cell r="G1608" t="str">
            <v>OC</v>
          </cell>
          <cell r="H1608" t="str">
            <v>ONCOLOGY CLINIC</v>
          </cell>
          <cell r="I1608" t="str">
            <v>03OC133</v>
          </cell>
          <cell r="J1608" t="str">
            <v>ASSESSMENT</v>
          </cell>
          <cell r="K1608" t="str">
            <v>BMED</v>
          </cell>
          <cell r="L1608" t="str">
            <v>Normal</v>
          </cell>
          <cell r="M1608" t="str">
            <v>USA</v>
          </cell>
          <cell r="N1608" t="str">
            <v>Detecto</v>
          </cell>
          <cell r="O1608" t="str">
            <v>758 C</v>
          </cell>
          <cell r="P1608" t="str">
            <v>E 34912-0248</v>
          </cell>
          <cell r="Q1608" t="str">
            <v>Not Available</v>
          </cell>
          <cell r="R1608" t="str">
            <v>DETECTO</v>
          </cell>
          <cell r="S1608" t="str">
            <v>Acucare System (M) Sdn. Bhd</v>
          </cell>
          <cell r="T1608" t="str">
            <v>Functioning</v>
          </cell>
          <cell r="U1608" t="str">
            <v>Asset</v>
          </cell>
          <cell r="V1608">
            <v>9380</v>
          </cell>
          <cell r="W1608" t="str">
            <v>KEW</v>
          </cell>
          <cell r="X1608" t="str">
            <v>01/09/2010</v>
          </cell>
          <cell r="Y1608" t="str">
            <v>KEW</v>
          </cell>
          <cell r="Z1608" t="str">
            <v>16/08/2013</v>
          </cell>
          <cell r="AA1608" t="str">
            <v>15/08/2015</v>
          </cell>
          <cell r="AB1608" t="str">
            <v>No</v>
          </cell>
          <cell r="AC1608" t="str">
            <v>31/08/2013</v>
          </cell>
          <cell r="AD1608" t="str">
            <v>Good</v>
          </cell>
          <cell r="AE1608" t="str">
            <v>V1 - Existing / No Claim</v>
          </cell>
          <cell r="AF1608">
            <v>43430</v>
          </cell>
          <cell r="AG1608">
            <v>9.17</v>
          </cell>
          <cell r="AH1608" t="str">
            <v>PPM</v>
          </cell>
          <cell r="AI1608" t="str">
            <v>Strands</v>
          </cell>
          <cell r="AJ1608" t="str">
            <v>Strands PW</v>
          </cell>
          <cell r="AK1608" t="str">
            <v>Wrong kewpa no. previously KKM/IKN/H/13/1629</v>
          </cell>
        </row>
        <row r="1609">
          <cell r="A1609" t="str">
            <v>IKN401470</v>
          </cell>
          <cell r="B1609">
            <v>1437</v>
          </cell>
          <cell r="C1609" t="str">
            <v>Institut Kanser Negara</v>
          </cell>
          <cell r="D1609" t="str">
            <v>KKM/IKN/H/13/1786</v>
          </cell>
          <cell r="E1609" t="str">
            <v>13-461</v>
          </cell>
          <cell r="F1609" t="str">
            <v>Scales, Patient, Floor</v>
          </cell>
          <cell r="G1609" t="str">
            <v>AE</v>
          </cell>
          <cell r="H1609" t="str">
            <v>EMERGENCY UNIT</v>
          </cell>
          <cell r="I1609" t="str">
            <v>01AE111</v>
          </cell>
          <cell r="J1609" t="str">
            <v>C/E ROOM</v>
          </cell>
          <cell r="K1609" t="str">
            <v>BMED</v>
          </cell>
          <cell r="L1609" t="str">
            <v>Normal</v>
          </cell>
          <cell r="M1609" t="str">
            <v>USA</v>
          </cell>
          <cell r="N1609" t="str">
            <v>Detecto</v>
          </cell>
          <cell r="O1609" t="str">
            <v>758 C</v>
          </cell>
          <cell r="P1609" t="str">
            <v>E32112-0181</v>
          </cell>
          <cell r="Q1609" t="str">
            <v>NA</v>
          </cell>
          <cell r="R1609" t="str">
            <v>DETECTO</v>
          </cell>
          <cell r="S1609" t="str">
            <v>ACUCARE SYSTEMS SDN BHD</v>
          </cell>
          <cell r="T1609" t="str">
            <v>Functioning</v>
          </cell>
          <cell r="U1609" t="str">
            <v>Asset</v>
          </cell>
          <cell r="V1609">
            <v>9380</v>
          </cell>
          <cell r="W1609" t="str">
            <v>KEW</v>
          </cell>
          <cell r="X1609" t="str">
            <v>01/09/2010</v>
          </cell>
          <cell r="Y1609" t="str">
            <v>Estimate</v>
          </cell>
          <cell r="Z1609" t="str">
            <v>16/08/2013</v>
          </cell>
          <cell r="AA1609" t="str">
            <v>15/08/2015</v>
          </cell>
          <cell r="AB1609" t="str">
            <v>No</v>
          </cell>
          <cell r="AC1609" t="str">
            <v>31/08/2013</v>
          </cell>
          <cell r="AD1609" t="str">
            <v>Good</v>
          </cell>
          <cell r="AE1609" t="str">
            <v>V3 - Added Installed Facilities (New)</v>
          </cell>
          <cell r="AF1609">
            <v>43447</v>
          </cell>
          <cell r="AG1609">
            <v>9.17</v>
          </cell>
          <cell r="AH1609" t="str">
            <v>PPM</v>
          </cell>
          <cell r="AI1609" t="str">
            <v>Strands</v>
          </cell>
          <cell r="AJ1609" t="str">
            <v>Strands PW</v>
          </cell>
          <cell r="AK1609" t="str">
            <v>SNF received. 1st batch of V3 asset (December 2020), [18/9/2023, Indira] Tukar location.</v>
          </cell>
        </row>
        <row r="1610">
          <cell r="A1610" t="str">
            <v>IKN401472</v>
          </cell>
          <cell r="B1610">
            <v>1438</v>
          </cell>
          <cell r="C1610" t="str">
            <v>Institut Kanser Negara</v>
          </cell>
          <cell r="D1610" t="str">
            <v>KKM/IKN/H/13/1877</v>
          </cell>
          <cell r="E1610" t="str">
            <v>13-461</v>
          </cell>
          <cell r="F1610" t="str">
            <v>Scales, Patient, Floor</v>
          </cell>
          <cell r="G1610" t="str">
            <v>WJ</v>
          </cell>
          <cell r="H1610" t="str">
            <v>MULTIDISCIPLINE WARD 1</v>
          </cell>
          <cell r="I1610" t="str">
            <v>09WJ136</v>
          </cell>
          <cell r="J1610" t="str">
            <v>NURSE STATION</v>
          </cell>
          <cell r="K1610" t="str">
            <v>BMED</v>
          </cell>
          <cell r="L1610" t="str">
            <v>Normal</v>
          </cell>
          <cell r="M1610" t="str">
            <v>USA</v>
          </cell>
          <cell r="N1610" t="str">
            <v>Detecto</v>
          </cell>
          <cell r="O1610" t="str">
            <v>758 C</v>
          </cell>
          <cell r="P1610" t="str">
            <v>E-32112-0182</v>
          </cell>
          <cell r="Q1610" t="str">
            <v>Not Applicable</v>
          </cell>
          <cell r="R1610" t="str">
            <v>DETECTO</v>
          </cell>
          <cell r="S1610" t="str">
            <v>ACUCARE SYSTEM SDN BHD</v>
          </cell>
          <cell r="T1610" t="str">
            <v>Functioning</v>
          </cell>
          <cell r="U1610" t="str">
            <v>Asset</v>
          </cell>
          <cell r="V1610">
            <v>9380</v>
          </cell>
          <cell r="W1610" t="str">
            <v>KEW</v>
          </cell>
          <cell r="X1610" t="str">
            <v>01/09/2010</v>
          </cell>
          <cell r="Y1610" t="str">
            <v>Estimate</v>
          </cell>
          <cell r="Z1610" t="str">
            <v>16/08/2013</v>
          </cell>
          <cell r="AA1610" t="str">
            <v>15/08/2015</v>
          </cell>
          <cell r="AB1610" t="str">
            <v>No</v>
          </cell>
          <cell r="AC1610" t="str">
            <v>31/08/2013</v>
          </cell>
          <cell r="AD1610" t="str">
            <v>Good</v>
          </cell>
          <cell r="AE1610" t="str">
            <v>V1 - Existing / No Claim</v>
          </cell>
          <cell r="AF1610">
            <v>42809</v>
          </cell>
          <cell r="AG1610">
            <v>9.17</v>
          </cell>
          <cell r="AH1610" t="str">
            <v>PPM</v>
          </cell>
          <cell r="AI1610" t="str">
            <v>Strands</v>
          </cell>
          <cell r="AJ1610" t="str">
            <v>Strands PW</v>
          </cell>
        </row>
        <row r="1611">
          <cell r="A1611" t="str">
            <v>IKN401476</v>
          </cell>
          <cell r="B1611">
            <v>1442</v>
          </cell>
          <cell r="C1611" t="str">
            <v>Institut Kanser Negara</v>
          </cell>
          <cell r="D1611" t="str">
            <v>KKM/IKN/H/13/3381</v>
          </cell>
          <cell r="E1611" t="str">
            <v>13-461</v>
          </cell>
          <cell r="F1611" t="str">
            <v>Scales, Patient, Floor</v>
          </cell>
          <cell r="G1611" t="str">
            <v>RT</v>
          </cell>
          <cell r="H1611" t="str">
            <v>RADIATION TREATMENT UNIT</v>
          </cell>
          <cell r="I1611" t="str">
            <v>01RT109</v>
          </cell>
          <cell r="J1611" t="str">
            <v>C/L 1</v>
          </cell>
          <cell r="K1611" t="str">
            <v>BMED</v>
          </cell>
          <cell r="L1611" t="str">
            <v>Normal</v>
          </cell>
          <cell r="M1611" t="str">
            <v>USA</v>
          </cell>
          <cell r="N1611" t="str">
            <v>Detecto</v>
          </cell>
          <cell r="O1611" t="str">
            <v>758 C</v>
          </cell>
          <cell r="P1611" t="str">
            <v>E32112-0202</v>
          </cell>
          <cell r="Q1611" t="str">
            <v>Not Applicable</v>
          </cell>
          <cell r="R1611" t="str">
            <v>DETECTO</v>
          </cell>
          <cell r="S1611" t="str">
            <v>Acucare Systems (M) Sdn bhd</v>
          </cell>
          <cell r="T1611" t="str">
            <v>Functioning</v>
          </cell>
          <cell r="U1611" t="str">
            <v>Asset</v>
          </cell>
          <cell r="V1611">
            <v>9380</v>
          </cell>
          <cell r="W1611" t="str">
            <v>KEW</v>
          </cell>
          <cell r="X1611" t="str">
            <v>01/09/2010</v>
          </cell>
          <cell r="Y1611" t="str">
            <v>KEW</v>
          </cell>
          <cell r="Z1611" t="str">
            <v>16/08/2013</v>
          </cell>
          <cell r="AA1611" t="str">
            <v>15/08/2015</v>
          </cell>
          <cell r="AB1611" t="str">
            <v>No</v>
          </cell>
          <cell r="AC1611" t="str">
            <v>31/08/2013</v>
          </cell>
          <cell r="AD1611" t="str">
            <v>Good</v>
          </cell>
          <cell r="AE1611" t="str">
            <v>V1 - Existing / No Claim</v>
          </cell>
          <cell r="AF1611">
            <v>42816</v>
          </cell>
          <cell r="AG1611">
            <v>9.17</v>
          </cell>
          <cell r="AH1611" t="str">
            <v>PPM</v>
          </cell>
          <cell r="AI1611" t="str">
            <v>Strands</v>
          </cell>
        </row>
        <row r="1612">
          <cell r="A1612" t="str">
            <v>IKN401479</v>
          </cell>
          <cell r="B1612">
            <v>1444</v>
          </cell>
          <cell r="C1612" t="str">
            <v>Institut Kanser Negara</v>
          </cell>
          <cell r="D1612" t="e">
            <v>#N/A</v>
          </cell>
          <cell r="E1612" t="str">
            <v>11-631</v>
          </cell>
          <cell r="F1612" t="str">
            <v>Exercisers, Continuous Passive Motion</v>
          </cell>
          <cell r="G1612" t="str">
            <v>CX</v>
          </cell>
          <cell r="I1612" t="str">
            <v>05</v>
          </cell>
          <cell r="J1612" t="str">
            <v>FUTURE EXPANSION</v>
          </cell>
          <cell r="K1612" t="str">
            <v>BMED</v>
          </cell>
          <cell r="L1612" t="str">
            <v>Normal</v>
          </cell>
          <cell r="M1612" t="str">
            <v>China</v>
          </cell>
          <cell r="N1612" t="str">
            <v>Vision</v>
          </cell>
          <cell r="O1612" t="str">
            <v>Vision X20</v>
          </cell>
          <cell r="P1612" t="str">
            <v>EP26813121BA00005</v>
          </cell>
          <cell r="Q1612" t="str">
            <v>Not Applicable</v>
          </cell>
          <cell r="R1612" t="str">
            <v>Vision Fitnees</v>
          </cell>
          <cell r="S1612" t="str">
            <v>Vision Fitnees</v>
          </cell>
          <cell r="T1612" t="str">
            <v>Functioning</v>
          </cell>
          <cell r="U1612" t="str">
            <v>Asset</v>
          </cell>
          <cell r="V1612">
            <v>1</v>
          </cell>
          <cell r="W1612" t="str">
            <v>Estimate</v>
          </cell>
          <cell r="X1612" t="str">
            <v>01/09/2010</v>
          </cell>
          <cell r="Y1612" t="str">
            <v>Estimate</v>
          </cell>
          <cell r="Z1612" t="str">
            <v>16/08/2013</v>
          </cell>
          <cell r="AA1612" t="str">
            <v>15/08/2015</v>
          </cell>
          <cell r="AB1612" t="str">
            <v>No</v>
          </cell>
          <cell r="AC1612" t="str">
            <v>31/08/2013</v>
          </cell>
          <cell r="AD1612" t="str">
            <v>Good</v>
          </cell>
          <cell r="AE1612" t="str">
            <v>V1 - Existing / No Claim</v>
          </cell>
          <cell r="AF1612">
            <v>42868</v>
          </cell>
          <cell r="AG1612">
            <v>9.17</v>
          </cell>
          <cell r="AH1612" t="str">
            <v>PPM</v>
          </cell>
          <cell r="AI1612" t="str">
            <v>Strands</v>
          </cell>
          <cell r="AJ1612" t="str">
            <v>Strands Package F</v>
          </cell>
          <cell r="AK1612" t="str">
            <v>Unit under contract share fees with other same exact same unit. -IKN401387</v>
          </cell>
        </row>
        <row r="1613">
          <cell r="A1613" t="str">
            <v>IKN401480</v>
          </cell>
          <cell r="B1613">
            <v>1445</v>
          </cell>
          <cell r="C1613" t="str">
            <v>Institut Kanser Negara</v>
          </cell>
          <cell r="D1613" t="e">
            <v>#N/A</v>
          </cell>
          <cell r="E1613" t="str">
            <v>10-383</v>
          </cell>
          <cell r="F1613" t="str">
            <v>Ergometers, Bicycle</v>
          </cell>
          <cell r="G1613" t="str">
            <v>CX</v>
          </cell>
          <cell r="I1613" t="str">
            <v>05</v>
          </cell>
          <cell r="J1613" t="str">
            <v>FUTURE EXPANSION</v>
          </cell>
          <cell r="K1613" t="str">
            <v>BMED</v>
          </cell>
          <cell r="L1613" t="str">
            <v>Normal</v>
          </cell>
          <cell r="M1613" t="str">
            <v>Germany</v>
          </cell>
          <cell r="N1613" t="str">
            <v>Ergometer</v>
          </cell>
          <cell r="O1613" t="str">
            <v>Ergometer E5</v>
          </cell>
          <cell r="P1613" t="str">
            <v>E5-W10579</v>
          </cell>
          <cell r="Q1613" t="str">
            <v>Not Applicable</v>
          </cell>
          <cell r="R1613" t="str">
            <v>Heinz Kettler GmbH &amp; Co KG</v>
          </cell>
          <cell r="S1613" t="str">
            <v>Rehamed (M) Sdn. Bhd</v>
          </cell>
          <cell r="T1613" t="str">
            <v>Functioning</v>
          </cell>
          <cell r="U1613" t="str">
            <v>Asset</v>
          </cell>
          <cell r="V1613">
            <v>1</v>
          </cell>
          <cell r="W1613" t="str">
            <v>Estimate</v>
          </cell>
          <cell r="X1613" t="str">
            <v>01/09/2010</v>
          </cell>
          <cell r="Y1613" t="str">
            <v>Estimate</v>
          </cell>
          <cell r="Z1613" t="str">
            <v>16/08/2013</v>
          </cell>
          <cell r="AA1613" t="str">
            <v>15/08/2015</v>
          </cell>
          <cell r="AB1613" t="str">
            <v>No</v>
          </cell>
          <cell r="AC1613" t="str">
            <v>31/08/2013</v>
          </cell>
          <cell r="AD1613" t="str">
            <v>Good</v>
          </cell>
          <cell r="AE1613" t="str">
            <v>V1 - Existing / No Claim</v>
          </cell>
          <cell r="AF1613">
            <v>43675</v>
          </cell>
          <cell r="AG1613">
            <v>9.17</v>
          </cell>
          <cell r="AH1613" t="str">
            <v>PPM</v>
          </cell>
          <cell r="AI1613" t="str">
            <v>Strands</v>
          </cell>
          <cell r="AJ1613" t="str">
            <v>Strands PW F</v>
          </cell>
          <cell r="AK1613" t="str">
            <v>Unit under contract share fees with other same exact same unit. -IKN400703</v>
          </cell>
        </row>
        <row r="1614">
          <cell r="A1614" t="str">
            <v>IKN401481</v>
          </cell>
          <cell r="B1614">
            <v>1446</v>
          </cell>
          <cell r="C1614" t="str">
            <v>Institut Kanser Negara</v>
          </cell>
          <cell r="D1614" t="str">
            <v>KKM/IKN/H/13/3267</v>
          </cell>
          <cell r="E1614" t="str">
            <v>13-325</v>
          </cell>
          <cell r="F1614" t="str">
            <v>Regulators, Suction</v>
          </cell>
          <cell r="G1614" t="str">
            <v>RT</v>
          </cell>
          <cell r="H1614" t="str">
            <v>RADIATION TREATMENT UNIT</v>
          </cell>
          <cell r="I1614" t="str">
            <v>01RT275</v>
          </cell>
          <cell r="J1614" t="str">
            <v>BRACHY OT 1</v>
          </cell>
          <cell r="K1614" t="str">
            <v>BMED</v>
          </cell>
          <cell r="L1614" t="str">
            <v>Normal</v>
          </cell>
          <cell r="M1614" t="str">
            <v>United Kingdom</v>
          </cell>
          <cell r="N1614" t="str">
            <v>MGE</v>
          </cell>
          <cell r="O1614" t="str">
            <v>SAM 54</v>
          </cell>
          <cell r="P1614" t="str">
            <v>MG013557</v>
          </cell>
          <cell r="Q1614" t="str">
            <v>Not Applicable</v>
          </cell>
          <cell r="R1614" t="str">
            <v>MGE</v>
          </cell>
          <cell r="S1614" t="str">
            <v>Delta Medisains</v>
          </cell>
          <cell r="T1614" t="str">
            <v>Functioning</v>
          </cell>
          <cell r="U1614" t="str">
            <v>Asset</v>
          </cell>
          <cell r="V1614">
            <v>4330</v>
          </cell>
          <cell r="W1614" t="str">
            <v>KEW</v>
          </cell>
          <cell r="X1614" t="str">
            <v>01/09/2010</v>
          </cell>
          <cell r="Y1614" t="str">
            <v>KEW</v>
          </cell>
          <cell r="Z1614" t="str">
            <v>16/08/2013</v>
          </cell>
          <cell r="AA1614" t="str">
            <v>15/08/2015</v>
          </cell>
          <cell r="AB1614" t="str">
            <v>No</v>
          </cell>
          <cell r="AC1614" t="str">
            <v>31/08/2013</v>
          </cell>
          <cell r="AD1614" t="str">
            <v>Good</v>
          </cell>
          <cell r="AE1614" t="str">
            <v>V1 - Existing / No Claim</v>
          </cell>
          <cell r="AF1614">
            <v>42920</v>
          </cell>
          <cell r="AG1614">
            <v>9.17</v>
          </cell>
          <cell r="AH1614" t="str">
            <v>RI</v>
          </cell>
          <cell r="AI1614" t="str">
            <v>Strands</v>
          </cell>
          <cell r="AJ1614" t="str">
            <v>Strands PW</v>
          </cell>
        </row>
        <row r="1615">
          <cell r="A1615" t="str">
            <v>IKN401482</v>
          </cell>
          <cell r="B1615">
            <v>1447</v>
          </cell>
          <cell r="C1615" t="str">
            <v>Institut Kanser Negara</v>
          </cell>
          <cell r="D1615" t="str">
            <v>KKM/IKN/H/13/2623</v>
          </cell>
          <cell r="E1615" t="str">
            <v>13-325</v>
          </cell>
          <cell r="F1615" t="str">
            <v>Regulators, Suction</v>
          </cell>
          <cell r="G1615" t="str">
            <v>RT</v>
          </cell>
          <cell r="H1615" t="str">
            <v>RADIATION TREATMENT UNIT</v>
          </cell>
          <cell r="I1615" t="str">
            <v>01RT275</v>
          </cell>
          <cell r="J1615" t="str">
            <v>BRACHY OT 1</v>
          </cell>
          <cell r="K1615" t="str">
            <v>BMED</v>
          </cell>
          <cell r="L1615" t="str">
            <v>Normal</v>
          </cell>
          <cell r="M1615" t="str">
            <v>United Kingdom</v>
          </cell>
          <cell r="N1615" t="str">
            <v>MGE</v>
          </cell>
          <cell r="O1615" t="str">
            <v>SAM 54</v>
          </cell>
          <cell r="P1615" t="str">
            <v>MG013530</v>
          </cell>
          <cell r="Q1615" t="str">
            <v>Not Applicable</v>
          </cell>
          <cell r="R1615" t="str">
            <v>MGE</v>
          </cell>
          <cell r="S1615" t="str">
            <v>Delta Medisains</v>
          </cell>
          <cell r="T1615" t="str">
            <v>Functioning</v>
          </cell>
          <cell r="U1615" t="str">
            <v>Asset</v>
          </cell>
          <cell r="V1615">
            <v>4330</v>
          </cell>
          <cell r="W1615" t="str">
            <v>KEW</v>
          </cell>
          <cell r="X1615" t="str">
            <v>01/09/2010</v>
          </cell>
          <cell r="Y1615" t="str">
            <v>KEW</v>
          </cell>
          <cell r="Z1615" t="str">
            <v>16/08/2013</v>
          </cell>
          <cell r="AA1615" t="str">
            <v>15/08/2015</v>
          </cell>
          <cell r="AB1615" t="str">
            <v>No</v>
          </cell>
          <cell r="AC1615" t="str">
            <v>31/08/2013</v>
          </cell>
          <cell r="AD1615" t="str">
            <v>Good</v>
          </cell>
          <cell r="AE1615" t="str">
            <v>V1 - Existing / No Claim</v>
          </cell>
          <cell r="AF1615">
            <v>42920</v>
          </cell>
          <cell r="AG1615">
            <v>9.17</v>
          </cell>
          <cell r="AH1615" t="str">
            <v>RI</v>
          </cell>
          <cell r="AI1615" t="str">
            <v>Strands</v>
          </cell>
          <cell r="AJ1615" t="str">
            <v>Strands PW</v>
          </cell>
        </row>
        <row r="1616">
          <cell r="A1616" t="str">
            <v>IKN401483</v>
          </cell>
          <cell r="B1616">
            <v>1448</v>
          </cell>
          <cell r="C1616" t="str">
            <v>Institut Kanser Negara</v>
          </cell>
          <cell r="D1616" t="str">
            <v>KKM/IKN/H/13/2622</v>
          </cell>
          <cell r="E1616" t="str">
            <v>13-325</v>
          </cell>
          <cell r="F1616" t="str">
            <v>Regulators, Suction</v>
          </cell>
          <cell r="G1616" t="str">
            <v>RT</v>
          </cell>
          <cell r="H1616" t="str">
            <v>RADIATION TREATMENT UNIT</v>
          </cell>
          <cell r="I1616" t="str">
            <v>01RT275</v>
          </cell>
          <cell r="J1616" t="str">
            <v>BRACHY OT 1</v>
          </cell>
          <cell r="K1616" t="str">
            <v>BMED</v>
          </cell>
          <cell r="L1616" t="str">
            <v>Normal</v>
          </cell>
          <cell r="M1616" t="str">
            <v>United Kingdom</v>
          </cell>
          <cell r="N1616" t="str">
            <v>MGE</v>
          </cell>
          <cell r="O1616" t="str">
            <v>SAM 54</v>
          </cell>
          <cell r="P1616" t="str">
            <v>MG013528</v>
          </cell>
          <cell r="Q1616" t="str">
            <v>Not Applicable</v>
          </cell>
          <cell r="R1616" t="str">
            <v>MGE</v>
          </cell>
          <cell r="S1616" t="str">
            <v>Delta Medisains</v>
          </cell>
          <cell r="T1616" t="str">
            <v>Functioning</v>
          </cell>
          <cell r="U1616" t="str">
            <v>Asset</v>
          </cell>
          <cell r="V1616">
            <v>4330</v>
          </cell>
          <cell r="W1616" t="str">
            <v>KEW</v>
          </cell>
          <cell r="X1616" t="str">
            <v>01/09/2010</v>
          </cell>
          <cell r="Y1616" t="str">
            <v>KEW</v>
          </cell>
          <cell r="Z1616" t="str">
            <v>16/08/2013</v>
          </cell>
          <cell r="AA1616" t="str">
            <v>15/08/2015</v>
          </cell>
          <cell r="AB1616" t="str">
            <v>No</v>
          </cell>
          <cell r="AC1616" t="str">
            <v>31/08/2013</v>
          </cell>
          <cell r="AD1616" t="str">
            <v>Good</v>
          </cell>
          <cell r="AE1616" t="str">
            <v>V1 - Existing / No Claim</v>
          </cell>
          <cell r="AF1616">
            <v>42920</v>
          </cell>
          <cell r="AG1616">
            <v>9.17</v>
          </cell>
          <cell r="AH1616" t="str">
            <v>RI</v>
          </cell>
          <cell r="AI1616" t="str">
            <v>Strands</v>
          </cell>
          <cell r="AJ1616" t="str">
            <v>Strands PW</v>
          </cell>
        </row>
        <row r="1617">
          <cell r="A1617" t="str">
            <v>IKN401484</v>
          </cell>
          <cell r="B1617">
            <v>1449</v>
          </cell>
          <cell r="C1617" t="str">
            <v>Institut Kanser Negara</v>
          </cell>
          <cell r="D1617" t="str">
            <v>KKM/IKN/H/13/2621</v>
          </cell>
          <cell r="E1617" t="str">
            <v>13-325</v>
          </cell>
          <cell r="F1617" t="str">
            <v>Regulators, Suction</v>
          </cell>
          <cell r="G1617" t="str">
            <v>RT</v>
          </cell>
          <cell r="H1617" t="str">
            <v>RADIATION TREATMENT UNIT</v>
          </cell>
          <cell r="I1617" t="str">
            <v>01RT275</v>
          </cell>
          <cell r="J1617" t="str">
            <v>BRACHY OT 1</v>
          </cell>
          <cell r="K1617" t="str">
            <v>BMED</v>
          </cell>
          <cell r="L1617" t="str">
            <v>Normal</v>
          </cell>
          <cell r="M1617" t="str">
            <v>United Kingdom</v>
          </cell>
          <cell r="N1617" t="str">
            <v>MGE</v>
          </cell>
          <cell r="O1617" t="str">
            <v>SAM 54</v>
          </cell>
          <cell r="P1617" t="str">
            <v>MG013529</v>
          </cell>
          <cell r="Q1617" t="str">
            <v>Not Applicable</v>
          </cell>
          <cell r="R1617" t="str">
            <v>MGE</v>
          </cell>
          <cell r="S1617" t="str">
            <v>Delta Medisains</v>
          </cell>
          <cell r="T1617" t="str">
            <v>Functioning</v>
          </cell>
          <cell r="U1617" t="str">
            <v>Asset</v>
          </cell>
          <cell r="V1617">
            <v>4330</v>
          </cell>
          <cell r="W1617" t="str">
            <v>KEW</v>
          </cell>
          <cell r="X1617" t="str">
            <v>01/09/2010</v>
          </cell>
          <cell r="Y1617" t="str">
            <v>KEW</v>
          </cell>
          <cell r="Z1617" t="str">
            <v>16/08/2013</v>
          </cell>
          <cell r="AA1617" t="str">
            <v>15/08/2015</v>
          </cell>
          <cell r="AB1617" t="str">
            <v>No</v>
          </cell>
          <cell r="AC1617" t="str">
            <v>31/08/2013</v>
          </cell>
          <cell r="AD1617" t="str">
            <v>Good</v>
          </cell>
          <cell r="AE1617" t="str">
            <v>V1 - Existing / No Claim</v>
          </cell>
          <cell r="AF1617">
            <v>42920</v>
          </cell>
          <cell r="AG1617">
            <v>9.17</v>
          </cell>
          <cell r="AH1617" t="str">
            <v>RI</v>
          </cell>
          <cell r="AI1617" t="str">
            <v>Strands</v>
          </cell>
          <cell r="AJ1617" t="str">
            <v>Strands PW</v>
          </cell>
        </row>
        <row r="1618">
          <cell r="A1618" t="str">
            <v>IKN401485</v>
          </cell>
          <cell r="B1618">
            <v>1450</v>
          </cell>
          <cell r="C1618" t="str">
            <v>Institut Kanser Negara</v>
          </cell>
          <cell r="D1618" t="str">
            <v>KKM/IKN/H/13/4873</v>
          </cell>
          <cell r="E1618" t="str">
            <v>15-651</v>
          </cell>
          <cell r="F1618" t="str">
            <v>Stirrers</v>
          </cell>
          <cell r="G1618" t="str">
            <v>PF</v>
          </cell>
          <cell r="H1618" t="str">
            <v>IN-PATIENT PHARMACY</v>
          </cell>
          <cell r="I1618" t="str">
            <v>05PF110</v>
          </cell>
          <cell r="J1618" t="str">
            <v>EXTERNAL PREP</v>
          </cell>
          <cell r="K1618" t="str">
            <v>BMED</v>
          </cell>
          <cell r="L1618" t="str">
            <v>Normal</v>
          </cell>
          <cell r="M1618" t="str">
            <v>United States</v>
          </cell>
          <cell r="N1618" t="str">
            <v>SILVERSON</v>
          </cell>
          <cell r="O1618" t="str">
            <v>AX5</v>
          </cell>
          <cell r="P1618" t="str">
            <v>10055</v>
          </cell>
          <cell r="Q1618" t="str">
            <v>Not Applicable</v>
          </cell>
          <cell r="R1618" t="str">
            <v>FISHER SCIENTIFIC</v>
          </cell>
          <cell r="S1618" t="str">
            <v>FISHER SCIENTIFIC</v>
          </cell>
          <cell r="T1618" t="str">
            <v>Functioning</v>
          </cell>
          <cell r="U1618" t="str">
            <v>Asset</v>
          </cell>
          <cell r="V1618">
            <v>5520</v>
          </cell>
          <cell r="W1618" t="str">
            <v>KEW</v>
          </cell>
          <cell r="X1618" t="str">
            <v>01/09/2010</v>
          </cell>
          <cell r="Y1618" t="str">
            <v>Estimate</v>
          </cell>
          <cell r="Z1618" t="str">
            <v>16/08/2013</v>
          </cell>
          <cell r="AA1618" t="str">
            <v>15/08/2015</v>
          </cell>
          <cell r="AB1618" t="str">
            <v>No</v>
          </cell>
          <cell r="AC1618" t="str">
            <v>31/08/2013</v>
          </cell>
          <cell r="AD1618" t="str">
            <v>Good</v>
          </cell>
          <cell r="AE1618" t="str">
            <v>V1 - Existing / No Claim</v>
          </cell>
          <cell r="AF1618">
            <v>42867</v>
          </cell>
          <cell r="AG1618">
            <v>9.17</v>
          </cell>
          <cell r="AH1618" t="str">
            <v>PPM</v>
          </cell>
          <cell r="AI1618" t="str">
            <v>Strands</v>
          </cell>
          <cell r="AJ1618" t="str">
            <v>Strands PW</v>
          </cell>
        </row>
        <row r="1619">
          <cell r="A1619" t="str">
            <v>IKN401486</v>
          </cell>
          <cell r="B1619">
            <v>1451</v>
          </cell>
          <cell r="C1619" t="str">
            <v>Institut Kanser Negara</v>
          </cell>
          <cell r="D1619" t="str">
            <v>KKM/IKN/H/13/4862-11</v>
          </cell>
          <cell r="E1619" t="str">
            <v>15-605</v>
          </cell>
          <cell r="F1619" t="str">
            <v>Testers (LX Can Luminance Meter) (package IBA)</v>
          </cell>
          <cell r="G1619" t="str">
            <v>ID</v>
          </cell>
          <cell r="H1619" t="str">
            <v>IMAGING DEPARTMENT</v>
          </cell>
          <cell r="I1619" t="str">
            <v>03ID169</v>
          </cell>
          <cell r="J1619" t="str">
            <v>RADIOGRAPHER</v>
          </cell>
          <cell r="K1619" t="str">
            <v>BMED</v>
          </cell>
          <cell r="L1619" t="str">
            <v>Normal</v>
          </cell>
          <cell r="M1619" t="str">
            <v>Germany</v>
          </cell>
          <cell r="N1619" t="str">
            <v>IBA</v>
          </cell>
          <cell r="O1619" t="str">
            <v>IBA Dosimetry GMBH</v>
          </cell>
          <cell r="P1619" t="str">
            <v>13F-13520M</v>
          </cell>
          <cell r="Q1619" t="str">
            <v>Not Applicable</v>
          </cell>
          <cell r="R1619" t="str">
            <v>IBA</v>
          </cell>
          <cell r="S1619" t="str">
            <v>NA</v>
          </cell>
          <cell r="T1619" t="str">
            <v>Functioning</v>
          </cell>
          <cell r="U1619" t="str">
            <v>Asset</v>
          </cell>
          <cell r="AI1619" t="str">
            <v>2 YEARS CALIBRATION (PACKAGE)</v>
          </cell>
          <cell r="AJ1619" t="e">
            <v>#REF!</v>
          </cell>
          <cell r="AK1619" t="str">
            <v>PACKAGE WITH IKN401200</v>
          </cell>
        </row>
        <row r="1620">
          <cell r="A1620" t="str">
            <v>IKN401497</v>
          </cell>
          <cell r="B1620">
            <v>1452</v>
          </cell>
          <cell r="C1620" t="str">
            <v>Institut Kanser Negara</v>
          </cell>
          <cell r="D1620" t="str">
            <v>KKM/IKN/H/16/29</v>
          </cell>
          <cell r="E1620" t="str">
            <v>12-647</v>
          </cell>
          <cell r="F1620" t="str">
            <v>Physiologic Monitoring Systems, Acute Care</v>
          </cell>
          <cell r="G1620" t="str">
            <v>AE</v>
          </cell>
          <cell r="H1620" t="str">
            <v>EMERGENCY UNIT</v>
          </cell>
          <cell r="I1620" t="str">
            <v>01AE118</v>
          </cell>
          <cell r="J1620" t="str">
            <v>C/E ROOM</v>
          </cell>
          <cell r="K1620" t="str">
            <v>BMED</v>
          </cell>
          <cell r="L1620" t="str">
            <v>Critical</v>
          </cell>
          <cell r="M1620" t="str">
            <v>China</v>
          </cell>
          <cell r="N1620" t="str">
            <v>Imec</v>
          </cell>
          <cell r="O1620" t="str">
            <v>Imec 8</v>
          </cell>
          <cell r="P1620" t="str">
            <v>EW-6A30362</v>
          </cell>
          <cell r="Q1620" t="str">
            <v>Not Applicable</v>
          </cell>
          <cell r="R1620" t="str">
            <v>MINDRAY</v>
          </cell>
          <cell r="S1620" t="str">
            <v>Pelangi Progresif Sdn. Bhd.</v>
          </cell>
          <cell r="T1620" t="str">
            <v>Functioning</v>
          </cell>
          <cell r="U1620" t="str">
            <v>Asset</v>
          </cell>
          <cell r="V1620">
            <v>4900</v>
          </cell>
          <cell r="W1620" t="str">
            <v>KEW</v>
          </cell>
          <cell r="X1620" t="str">
            <v>20/10/2016</v>
          </cell>
          <cell r="Y1620" t="str">
            <v>KEW</v>
          </cell>
          <cell r="Z1620" t="str">
            <v>01/01/2017</v>
          </cell>
          <cell r="AA1620" t="str">
            <v>31/12/2017</v>
          </cell>
          <cell r="AB1620" t="str">
            <v>No</v>
          </cell>
          <cell r="AC1620" t="str">
            <v>08/12/2016</v>
          </cell>
          <cell r="AD1620" t="str">
            <v>Good</v>
          </cell>
          <cell r="AE1620" t="str">
            <v>V3 - Added Installed Facilities (New)</v>
          </cell>
          <cell r="AF1620">
            <v>42815</v>
          </cell>
          <cell r="AG1620">
            <v>3.08</v>
          </cell>
          <cell r="AH1620" t="str">
            <v>PPM</v>
          </cell>
          <cell r="AI1620" t="str">
            <v>Strands</v>
          </cell>
          <cell r="AJ1620" t="str">
            <v>Strands PW</v>
          </cell>
          <cell r="AK1620" t="str">
            <v>SNF received. 1st batch of V3 asset (December 2020)</v>
          </cell>
        </row>
        <row r="1621">
          <cell r="A1621" t="str">
            <v>IKN401509</v>
          </cell>
          <cell r="B1621">
            <v>1453</v>
          </cell>
          <cell r="C1621" t="str">
            <v>Institut Kanser Negara</v>
          </cell>
          <cell r="D1621" t="str">
            <v>KKM/IKN/I/13/7307</v>
          </cell>
          <cell r="E1621" t="str">
            <v>10-263</v>
          </cell>
          <cell r="F1621" t="str">
            <v>Balances, Electronic</v>
          </cell>
          <cell r="G1621" t="str">
            <v>KT</v>
          </cell>
          <cell r="H1621" t="str">
            <v>CATERING</v>
          </cell>
          <cell r="I1621" t="str">
            <v>01KT106</v>
          </cell>
          <cell r="J1621" t="str">
            <v>DIETICIAN</v>
          </cell>
          <cell r="K1621" t="str">
            <v>BMED</v>
          </cell>
          <cell r="L1621" t="str">
            <v>Normal</v>
          </cell>
          <cell r="M1621" t="str">
            <v>Spain</v>
          </cell>
          <cell r="N1621" t="str">
            <v>KD-400</v>
          </cell>
          <cell r="O1621" t="str">
            <v>KD-400</v>
          </cell>
          <cell r="P1621" t="str">
            <v>Not Available</v>
          </cell>
          <cell r="Q1621" t="str">
            <v>Not Applicable</v>
          </cell>
          <cell r="R1621" t="str">
            <v>TANITA CORPORATION</v>
          </cell>
          <cell r="S1621" t="str">
            <v>SF BUMI RESOURCES</v>
          </cell>
          <cell r="T1621" t="str">
            <v>Functioning</v>
          </cell>
          <cell r="U1621" t="str">
            <v>Asset</v>
          </cell>
          <cell r="V1621">
            <v>660</v>
          </cell>
          <cell r="W1621" t="str">
            <v>KEW</v>
          </cell>
          <cell r="X1621" t="str">
            <v>30/08/2013</v>
          </cell>
          <cell r="Y1621" t="str">
            <v>KEW</v>
          </cell>
          <cell r="Z1621" t="str">
            <v>30/08/2013</v>
          </cell>
          <cell r="AA1621" t="str">
            <v>30/08/2015</v>
          </cell>
          <cell r="AB1621" t="str">
            <v>No</v>
          </cell>
          <cell r="AC1621" t="str">
            <v>30/08/2013</v>
          </cell>
          <cell r="AD1621" t="str">
            <v>Good</v>
          </cell>
          <cell r="AE1621" t="str">
            <v>V1 - Existing / No Claim</v>
          </cell>
          <cell r="AF1621">
            <v>42951</v>
          </cell>
          <cell r="AG1621">
            <v>6.25</v>
          </cell>
          <cell r="AH1621" t="str">
            <v>PPM</v>
          </cell>
          <cell r="AI1621" t="str">
            <v>Not in contract</v>
          </cell>
          <cell r="AJ1621" t="e">
            <v>#REF!</v>
          </cell>
          <cell r="AK1621" t="str">
            <v>KEWPA WITH IKN401510</v>
          </cell>
        </row>
        <row r="1622">
          <cell r="A1622" t="str">
            <v>IKN401510</v>
          </cell>
          <cell r="B1622">
            <v>1454</v>
          </cell>
          <cell r="C1622" t="str">
            <v>Institut Kanser Negara</v>
          </cell>
          <cell r="D1622" t="str">
            <v>KKM/IKN/H/13/306</v>
          </cell>
          <cell r="E1622" t="str">
            <v>10-263</v>
          </cell>
          <cell r="F1622" t="str">
            <v>Balances, Electronic</v>
          </cell>
          <cell r="G1622" t="str">
            <v>KT</v>
          </cell>
          <cell r="H1622" t="str">
            <v>CATERING</v>
          </cell>
          <cell r="I1622" t="str">
            <v>01KT106</v>
          </cell>
          <cell r="J1622" t="str">
            <v>DIETICIAN</v>
          </cell>
          <cell r="K1622" t="str">
            <v>BMED</v>
          </cell>
          <cell r="L1622" t="str">
            <v>Normal</v>
          </cell>
          <cell r="M1622" t="str">
            <v>Spain</v>
          </cell>
          <cell r="N1622" t="str">
            <v>KD-400</v>
          </cell>
          <cell r="O1622" t="str">
            <v>KD-400</v>
          </cell>
          <cell r="P1622" t="str">
            <v>Not Available</v>
          </cell>
          <cell r="Q1622" t="str">
            <v>Not Applicable</v>
          </cell>
          <cell r="R1622" t="str">
            <v>TANITA CORPORATION</v>
          </cell>
          <cell r="S1622" t="str">
            <v>SF BUMI RESOURCES</v>
          </cell>
          <cell r="T1622" t="str">
            <v>Functioning</v>
          </cell>
          <cell r="U1622" t="str">
            <v>Asset</v>
          </cell>
          <cell r="V1622">
            <v>660</v>
          </cell>
          <cell r="W1622" t="str">
            <v>KEW</v>
          </cell>
          <cell r="X1622" t="str">
            <v>30/08/2013</v>
          </cell>
          <cell r="Y1622" t="str">
            <v>KEW</v>
          </cell>
          <cell r="Z1622" t="str">
            <v>30/08/2013</v>
          </cell>
          <cell r="AA1622" t="str">
            <v>30/08/2015</v>
          </cell>
          <cell r="AB1622" t="str">
            <v>No</v>
          </cell>
          <cell r="AC1622" t="str">
            <v>30/08/2013</v>
          </cell>
          <cell r="AD1622" t="str">
            <v>Good</v>
          </cell>
          <cell r="AE1622" t="str">
            <v>V1 - Existing / No Claim</v>
          </cell>
          <cell r="AF1622">
            <v>42951</v>
          </cell>
          <cell r="AG1622">
            <v>6.25</v>
          </cell>
          <cell r="AH1622" t="str">
            <v>PPM</v>
          </cell>
          <cell r="AI1622" t="str">
            <v>Strands</v>
          </cell>
          <cell r="AJ1622" t="str">
            <v>Strands PW</v>
          </cell>
        </row>
        <row r="1623">
          <cell r="A1623" t="str">
            <v>IKN401512</v>
          </cell>
          <cell r="B1623">
            <v>1456</v>
          </cell>
          <cell r="C1623" t="str">
            <v>Institut Kanser Negara</v>
          </cell>
          <cell r="D1623" t="str">
            <v>KKM/IKN/H/13/4859</v>
          </cell>
          <cell r="E1623" t="str">
            <v>10-051</v>
          </cell>
          <cell r="F1623" t="str">
            <v>Air Samplers</v>
          </cell>
          <cell r="G1623" t="str">
            <v>NM</v>
          </cell>
          <cell r="H1623" t="str">
            <v>NUCLEAR MED (DIAGNOSTIC)</v>
          </cell>
          <cell r="I1623" t="str">
            <v>03NM133</v>
          </cell>
          <cell r="J1623" t="str">
            <v>RADIODINE DISPENSING (-VE)</v>
          </cell>
          <cell r="K1623" t="str">
            <v>BMED</v>
          </cell>
          <cell r="L1623" t="str">
            <v>Normal</v>
          </cell>
          <cell r="M1623" t="str">
            <v>Germany</v>
          </cell>
          <cell r="N1623" t="str">
            <v>PARTICLE COUNTER-EX-STOCK</v>
          </cell>
          <cell r="O1623" t="str">
            <v>APC ErgoTouch Pro 2</v>
          </cell>
          <cell r="P1623">
            <v>93061333004</v>
          </cell>
          <cell r="Q1623" t="str">
            <v>Not Applicable</v>
          </cell>
          <cell r="R1623" t="str">
            <v>MERCK</v>
          </cell>
          <cell r="S1623" t="str">
            <v>Merck Sdn. Bhd</v>
          </cell>
          <cell r="T1623" t="str">
            <v>Functioning</v>
          </cell>
          <cell r="U1623" t="str">
            <v>Asset</v>
          </cell>
          <cell r="V1623">
            <v>34543</v>
          </cell>
          <cell r="W1623" t="str">
            <v>KEW</v>
          </cell>
          <cell r="X1623" t="str">
            <v>19/12/2013</v>
          </cell>
          <cell r="Y1623" t="str">
            <v>KEW</v>
          </cell>
          <cell r="Z1623" t="str">
            <v>19/12/2013</v>
          </cell>
          <cell r="AA1623" t="str">
            <v>19/12/2014</v>
          </cell>
          <cell r="AB1623" t="str">
            <v>No</v>
          </cell>
          <cell r="AC1623" t="str">
            <v>19/12/2013</v>
          </cell>
          <cell r="AD1623" t="str">
            <v>Good</v>
          </cell>
          <cell r="AE1623" t="str">
            <v>V3 - Added Installed Facilities (New)</v>
          </cell>
          <cell r="AF1623">
            <v>43255</v>
          </cell>
          <cell r="AG1623">
            <v>5.92</v>
          </cell>
          <cell r="AH1623" t="str">
            <v>PPM</v>
          </cell>
          <cell r="AI1623" t="str">
            <v>Strands</v>
          </cell>
          <cell r="AJ1623" t="str">
            <v>Strands PW</v>
          </cell>
          <cell r="AK1623" t="str">
            <v>SNF received. 1st batch of V3 asset (December 2020). Previously wrong S/N: 1443020001</v>
          </cell>
        </row>
        <row r="1624">
          <cell r="A1624" t="str">
            <v>IKN401518</v>
          </cell>
          <cell r="B1624">
            <v>1458</v>
          </cell>
          <cell r="C1624" t="str">
            <v>Institut Kanser Negara</v>
          </cell>
          <cell r="D1624" t="str">
            <v>KKM/IKN/H/13/4635</v>
          </cell>
          <cell r="E1624" t="str">
            <v>13-461</v>
          </cell>
          <cell r="F1624" t="str">
            <v>Scales, Patient, Floor</v>
          </cell>
          <cell r="G1624" t="str">
            <v>DU</v>
          </cell>
          <cell r="H1624" t="str">
            <v>DIETICIAN UNIT</v>
          </cell>
          <cell r="I1624" t="str">
            <v>03DU103</v>
          </cell>
          <cell r="J1624" t="str">
            <v>COUNSELLING 1</v>
          </cell>
          <cell r="K1624" t="str">
            <v>BMED</v>
          </cell>
          <cell r="L1624" t="str">
            <v>Normal</v>
          </cell>
          <cell r="M1624" t="str">
            <v>Japan</v>
          </cell>
          <cell r="N1624" t="str">
            <v>Seca</v>
          </cell>
          <cell r="O1624" t="str">
            <v>Seca 769/220</v>
          </cell>
          <cell r="P1624" t="str">
            <v>5769177136666</v>
          </cell>
          <cell r="Q1624" t="str">
            <v>Not Applicable</v>
          </cell>
          <cell r="R1624" t="str">
            <v>TANITA</v>
          </cell>
          <cell r="S1624" t="str">
            <v>Lazcorp Holding (M) Sdn Bhd</v>
          </cell>
          <cell r="T1624" t="str">
            <v>Functioning</v>
          </cell>
          <cell r="U1624" t="str">
            <v>Asset</v>
          </cell>
          <cell r="V1624">
            <v>3515</v>
          </cell>
          <cell r="W1624" t="str">
            <v>KEW</v>
          </cell>
          <cell r="X1624" t="str">
            <v>03/12/2013</v>
          </cell>
          <cell r="Y1624" t="str">
            <v>KEW</v>
          </cell>
          <cell r="Z1624" t="str">
            <v>18/12/2013</v>
          </cell>
          <cell r="AA1624" t="str">
            <v>17/12/2014</v>
          </cell>
          <cell r="AB1624" t="str">
            <v>No</v>
          </cell>
          <cell r="AC1624" t="str">
            <v>18/12/2013</v>
          </cell>
          <cell r="AD1624" t="str">
            <v>Good</v>
          </cell>
          <cell r="AE1624" t="str">
            <v>V3 - Added Installed Facilities (New)</v>
          </cell>
          <cell r="AF1624">
            <v>43033</v>
          </cell>
          <cell r="AG1624">
            <v>5.92</v>
          </cell>
          <cell r="AH1624" t="str">
            <v>PPM</v>
          </cell>
          <cell r="AI1624" t="str">
            <v>Strands</v>
          </cell>
          <cell r="AJ1624" t="str">
            <v>Strands PW</v>
          </cell>
          <cell r="AK1624" t="str">
            <v>SNF received. 1st batch of V3 asset (December 2020)</v>
          </cell>
        </row>
        <row r="1625">
          <cell r="A1625" t="str">
            <v>IKN401519</v>
          </cell>
          <cell r="B1625">
            <v>1459</v>
          </cell>
          <cell r="C1625" t="str">
            <v>Institut Kanser Negara</v>
          </cell>
          <cell r="D1625" t="str">
            <v>KKM/IKN/H/13/4636</v>
          </cell>
          <cell r="E1625" t="str">
            <v>17-417</v>
          </cell>
          <cell r="F1625" t="str">
            <v>Analyzers, Physiologic, Body Composition</v>
          </cell>
          <cell r="G1625" t="str">
            <v>DU</v>
          </cell>
          <cell r="H1625" t="str">
            <v>DIETICIAN UNIT</v>
          </cell>
          <cell r="I1625" t="str">
            <v>03DU103</v>
          </cell>
          <cell r="J1625" t="str">
            <v>COUNSELLING 1</v>
          </cell>
          <cell r="K1625" t="str">
            <v>BMED</v>
          </cell>
          <cell r="L1625" t="str">
            <v>Normal</v>
          </cell>
          <cell r="M1625" t="str">
            <v>Japan</v>
          </cell>
          <cell r="N1625" t="str">
            <v>TANITA</v>
          </cell>
          <cell r="O1625" t="str">
            <v>Tanita SC-330-S</v>
          </cell>
          <cell r="P1625" t="str">
            <v>13110023</v>
          </cell>
          <cell r="Q1625" t="str">
            <v>Not Applicable</v>
          </cell>
          <cell r="R1625" t="str">
            <v>TANITA</v>
          </cell>
          <cell r="S1625" t="str">
            <v>Lazcorp Holding (M) Sdn Bhd</v>
          </cell>
          <cell r="T1625" t="str">
            <v>Functioning</v>
          </cell>
          <cell r="U1625" t="str">
            <v>Asset</v>
          </cell>
          <cell r="V1625">
            <v>9500</v>
          </cell>
          <cell r="W1625" t="str">
            <v>KEW</v>
          </cell>
          <cell r="X1625" t="str">
            <v>03/12/2013</v>
          </cell>
          <cell r="Y1625" t="str">
            <v>KEW</v>
          </cell>
          <cell r="Z1625" t="str">
            <v>18/12/2013</v>
          </cell>
          <cell r="AA1625" t="str">
            <v>17/12/2014</v>
          </cell>
          <cell r="AB1625" t="str">
            <v>No</v>
          </cell>
          <cell r="AC1625" t="str">
            <v>18/12/2013</v>
          </cell>
          <cell r="AD1625" t="str">
            <v>Good</v>
          </cell>
          <cell r="AE1625" t="str">
            <v>V3 - Added Installed Facilities (New)</v>
          </cell>
          <cell r="AF1625">
            <v>42879</v>
          </cell>
          <cell r="AG1625">
            <v>5.92</v>
          </cell>
          <cell r="AH1625" t="str">
            <v>PPM</v>
          </cell>
          <cell r="AI1625" t="str">
            <v>Strands</v>
          </cell>
          <cell r="AJ1625" t="str">
            <v>Strands PW</v>
          </cell>
          <cell r="AK1625" t="str">
            <v>SNF received. 1st batch of V3 asset (December 2020)</v>
          </cell>
        </row>
        <row r="1626">
          <cell r="A1626" t="str">
            <v>IKN401520</v>
          </cell>
          <cell r="B1626">
            <v>1460</v>
          </cell>
          <cell r="C1626" t="str">
            <v>Institut Kanser Negara</v>
          </cell>
          <cell r="D1626" t="str">
            <v>KKM/IKN/H/13/6667</v>
          </cell>
          <cell r="E1626" t="str">
            <v>10-208</v>
          </cell>
          <cell r="F1626" t="str">
            <v>Aspirators</v>
          </cell>
          <cell r="G1626" t="str">
            <v>SS</v>
          </cell>
          <cell r="H1626" t="str">
            <v>MEDICAL SOCIAL SERVICE</v>
          </cell>
          <cell r="I1626" t="str">
            <v>03SS112</v>
          </cell>
          <cell r="J1626" t="str">
            <v>GENERAL STORE</v>
          </cell>
          <cell r="K1626" t="str">
            <v>BMED</v>
          </cell>
          <cell r="L1626" t="str">
            <v>Critical</v>
          </cell>
          <cell r="M1626" t="str">
            <v>Taiwan</v>
          </cell>
          <cell r="N1626" t="str">
            <v>Dolphin</v>
          </cell>
          <cell r="O1626" t="str">
            <v>Dolphin</v>
          </cell>
          <cell r="P1626" t="str">
            <v>12110043</v>
          </cell>
          <cell r="Q1626" t="str">
            <v>Not Applicable</v>
          </cell>
          <cell r="R1626" t="str">
            <v>Dolphin Medical</v>
          </cell>
          <cell r="S1626" t="str">
            <v>Ikatan Megah Medik</v>
          </cell>
          <cell r="T1626" t="str">
            <v>Functioning</v>
          </cell>
          <cell r="U1626" t="str">
            <v>Asset</v>
          </cell>
          <cell r="V1626">
            <v>500</v>
          </cell>
          <cell r="W1626" t="str">
            <v>KEW</v>
          </cell>
          <cell r="X1626" t="str">
            <v>26/11/2013</v>
          </cell>
          <cell r="Y1626" t="str">
            <v>Estimate</v>
          </cell>
          <cell r="Z1626" t="str">
            <v>05/12/2013</v>
          </cell>
          <cell r="AA1626" t="str">
            <v>04/12/2014</v>
          </cell>
          <cell r="AB1626" t="str">
            <v>No</v>
          </cell>
          <cell r="AC1626" t="str">
            <v>05/12/2013</v>
          </cell>
          <cell r="AD1626" t="str">
            <v>Good</v>
          </cell>
          <cell r="AE1626" t="str">
            <v>V3 - Added Installed Facilities (New)</v>
          </cell>
          <cell r="AF1626">
            <v>43124</v>
          </cell>
          <cell r="AG1626">
            <v>6</v>
          </cell>
          <cell r="AH1626" t="str">
            <v>PPM</v>
          </cell>
          <cell r="AI1626" t="str">
            <v>Strands</v>
          </cell>
          <cell r="AJ1626" t="str">
            <v>Strands PW</v>
          </cell>
          <cell r="AK1626" t="str">
            <v>SNF received. 1st batch of V3 asset (December 2020)</v>
          </cell>
        </row>
        <row r="1627">
          <cell r="A1627" t="str">
            <v>IKN401521</v>
          </cell>
          <cell r="B1627">
            <v>1461</v>
          </cell>
          <cell r="C1627" t="str">
            <v>Institut Kanser Negara</v>
          </cell>
          <cell r="D1627" t="str">
            <v>KKM/IKN/H/13/6668</v>
          </cell>
          <cell r="E1627" t="str">
            <v>10-208</v>
          </cell>
          <cell r="F1627" t="str">
            <v>Aspirators</v>
          </cell>
          <cell r="G1627" t="str">
            <v>SS</v>
          </cell>
          <cell r="H1627" t="str">
            <v>MEDICAL SOCIAL SERVICE</v>
          </cell>
          <cell r="I1627" t="str">
            <v>03SS112</v>
          </cell>
          <cell r="J1627" t="str">
            <v>GENERAL STORE</v>
          </cell>
          <cell r="K1627" t="str">
            <v>BMED</v>
          </cell>
          <cell r="L1627" t="str">
            <v>Critical</v>
          </cell>
          <cell r="M1627" t="str">
            <v>Taiwan</v>
          </cell>
          <cell r="N1627" t="str">
            <v>Dolphin</v>
          </cell>
          <cell r="O1627" t="str">
            <v>Dolphin</v>
          </cell>
          <cell r="P1627" t="str">
            <v>12110044</v>
          </cell>
          <cell r="Q1627" t="str">
            <v>Not Applicable</v>
          </cell>
          <cell r="R1627" t="str">
            <v>Dolphin Medical</v>
          </cell>
          <cell r="S1627" t="str">
            <v>Ikatan Megah Medik</v>
          </cell>
          <cell r="T1627" t="str">
            <v>Functioning</v>
          </cell>
          <cell r="U1627" t="str">
            <v>Asset</v>
          </cell>
          <cell r="V1627">
            <v>500</v>
          </cell>
          <cell r="W1627" t="str">
            <v>KEW</v>
          </cell>
          <cell r="X1627" t="str">
            <v>26/11/2013</v>
          </cell>
          <cell r="Y1627" t="str">
            <v>KEW</v>
          </cell>
          <cell r="Z1627" t="str">
            <v>05/12/2013</v>
          </cell>
          <cell r="AA1627" t="str">
            <v>04/12/2014</v>
          </cell>
          <cell r="AB1627" t="str">
            <v>No</v>
          </cell>
          <cell r="AC1627" t="str">
            <v>05/12/2013</v>
          </cell>
          <cell r="AD1627" t="str">
            <v>Good</v>
          </cell>
          <cell r="AE1627" t="str">
            <v>V3 - Added Installed Facilities (New)</v>
          </cell>
          <cell r="AF1627">
            <v>43124</v>
          </cell>
          <cell r="AG1627">
            <v>6</v>
          </cell>
          <cell r="AH1627" t="str">
            <v>PPM</v>
          </cell>
          <cell r="AI1627" t="str">
            <v>Strands</v>
          </cell>
          <cell r="AJ1627" t="str">
            <v>Strands PW</v>
          </cell>
          <cell r="AK1627" t="str">
            <v>SNF received. 1st batch of V3 asset (December 2020)</v>
          </cell>
        </row>
        <row r="1628">
          <cell r="A1628" t="str">
            <v>IKN401522</v>
          </cell>
          <cell r="B1628">
            <v>1462</v>
          </cell>
          <cell r="C1628" t="str">
            <v>Institut Kanser Negara</v>
          </cell>
          <cell r="D1628" t="str">
            <v>KKM/IKN/H/13/6669</v>
          </cell>
          <cell r="E1628" t="str">
            <v>10-208</v>
          </cell>
          <cell r="F1628" t="str">
            <v>Aspirators</v>
          </cell>
          <cell r="G1628" t="str">
            <v>SS</v>
          </cell>
          <cell r="H1628" t="str">
            <v>MEDICAL SOCIAL SERVICE</v>
          </cell>
          <cell r="I1628" t="str">
            <v>03SS112</v>
          </cell>
          <cell r="J1628" t="str">
            <v>GENERAL STORE</v>
          </cell>
          <cell r="K1628" t="str">
            <v>BMED</v>
          </cell>
          <cell r="L1628" t="str">
            <v>Critical</v>
          </cell>
          <cell r="M1628" t="str">
            <v>Taiwan</v>
          </cell>
          <cell r="N1628" t="str">
            <v>Dolphin</v>
          </cell>
          <cell r="O1628" t="str">
            <v>Dolphin</v>
          </cell>
          <cell r="P1628" t="str">
            <v>12110089</v>
          </cell>
          <cell r="Q1628" t="str">
            <v>Not Applicable</v>
          </cell>
          <cell r="R1628" t="str">
            <v>Dolphin Medical</v>
          </cell>
          <cell r="S1628" t="str">
            <v>Ikatan Megah Medik</v>
          </cell>
          <cell r="T1628" t="str">
            <v>Functioning</v>
          </cell>
          <cell r="U1628" t="str">
            <v>Asset</v>
          </cell>
          <cell r="V1628">
            <v>500</v>
          </cell>
          <cell r="W1628" t="str">
            <v>KEW</v>
          </cell>
          <cell r="X1628" t="str">
            <v>26/11/2013</v>
          </cell>
          <cell r="Y1628" t="str">
            <v>KEW</v>
          </cell>
          <cell r="Z1628" t="str">
            <v>05/12/2013</v>
          </cell>
          <cell r="AA1628" t="str">
            <v>04/12/2014</v>
          </cell>
          <cell r="AB1628" t="str">
            <v>No</v>
          </cell>
          <cell r="AC1628" t="str">
            <v>05/12/2013</v>
          </cell>
          <cell r="AD1628" t="str">
            <v>Good</v>
          </cell>
          <cell r="AE1628" t="str">
            <v>V3 - Added Installed Facilities (New)</v>
          </cell>
          <cell r="AF1628">
            <v>43124</v>
          </cell>
          <cell r="AG1628">
            <v>6</v>
          </cell>
          <cell r="AH1628" t="str">
            <v>PPM</v>
          </cell>
          <cell r="AI1628" t="str">
            <v>Strands</v>
          </cell>
          <cell r="AJ1628" t="str">
            <v>Strands PW</v>
          </cell>
          <cell r="AK1628" t="str">
            <v>SNF received. 1st batch of V3 asset (December 2020)</v>
          </cell>
        </row>
        <row r="1629">
          <cell r="A1629" t="str">
            <v>IKN401523</v>
          </cell>
          <cell r="B1629">
            <v>1463</v>
          </cell>
          <cell r="C1629" t="str">
            <v>Institut Kanser Negara</v>
          </cell>
          <cell r="D1629" t="str">
            <v>KKM/IKN/H/13/6670</v>
          </cell>
          <cell r="E1629" t="str">
            <v>10-208</v>
          </cell>
          <cell r="F1629" t="str">
            <v>Aspirators</v>
          </cell>
          <cell r="G1629" t="str">
            <v>SS</v>
          </cell>
          <cell r="H1629" t="str">
            <v>MEDICAL SOCIAL SERVICE</v>
          </cell>
          <cell r="I1629" t="str">
            <v>03SS112</v>
          </cell>
          <cell r="J1629" t="str">
            <v>GENERAL STORE</v>
          </cell>
          <cell r="K1629" t="str">
            <v>BMED</v>
          </cell>
          <cell r="L1629" t="str">
            <v>Critical</v>
          </cell>
          <cell r="M1629" t="str">
            <v>Taiwan</v>
          </cell>
          <cell r="N1629" t="str">
            <v>Dolphin</v>
          </cell>
          <cell r="O1629" t="str">
            <v>Dolphin</v>
          </cell>
          <cell r="P1629" t="str">
            <v>12110092</v>
          </cell>
          <cell r="Q1629" t="str">
            <v>Not Applicable</v>
          </cell>
          <cell r="R1629" t="str">
            <v>Dolphin Medical</v>
          </cell>
          <cell r="S1629" t="str">
            <v>Ikatan Megah Medik</v>
          </cell>
          <cell r="T1629" t="str">
            <v>Functioning</v>
          </cell>
          <cell r="U1629" t="str">
            <v>Asset</v>
          </cell>
          <cell r="V1629">
            <v>500</v>
          </cell>
          <cell r="W1629" t="str">
            <v>KEW</v>
          </cell>
          <cell r="X1629" t="str">
            <v>26/11/2013</v>
          </cell>
          <cell r="Y1629" t="str">
            <v>KEW</v>
          </cell>
          <cell r="Z1629" t="str">
            <v>05/12/2013</v>
          </cell>
          <cell r="AA1629" t="str">
            <v>04/12/2014</v>
          </cell>
          <cell r="AB1629" t="str">
            <v>No</v>
          </cell>
          <cell r="AC1629" t="str">
            <v>05/12/2013</v>
          </cell>
          <cell r="AD1629" t="str">
            <v>Good</v>
          </cell>
          <cell r="AE1629" t="str">
            <v>V3 - Added Installed Facilities (New)</v>
          </cell>
          <cell r="AF1629">
            <v>43124</v>
          </cell>
          <cell r="AG1629">
            <v>6</v>
          </cell>
          <cell r="AH1629" t="str">
            <v>PPM</v>
          </cell>
          <cell r="AI1629" t="str">
            <v>Strands</v>
          </cell>
          <cell r="AJ1629" t="str">
            <v>Strands PW</v>
          </cell>
          <cell r="AK1629" t="str">
            <v>SNF received. 1st batch of V3 asset (December 2020)</v>
          </cell>
        </row>
        <row r="1630">
          <cell r="A1630" t="str">
            <v>IKN401524</v>
          </cell>
          <cell r="B1630">
            <v>1464</v>
          </cell>
          <cell r="C1630" t="str">
            <v>Institut Kanser Negara</v>
          </cell>
          <cell r="D1630" t="str">
            <v>KKM/IKN/H/13/6671</v>
          </cell>
          <cell r="E1630" t="str">
            <v>10-208</v>
          </cell>
          <cell r="F1630" t="str">
            <v>Aspirators</v>
          </cell>
          <cell r="G1630" t="str">
            <v>SS</v>
          </cell>
          <cell r="H1630" t="str">
            <v>MEDICAL SOCIAL SERVICE</v>
          </cell>
          <cell r="I1630" t="str">
            <v>03SS112</v>
          </cell>
          <cell r="J1630" t="str">
            <v>GENERAL STORE</v>
          </cell>
          <cell r="K1630" t="str">
            <v>BMED</v>
          </cell>
          <cell r="L1630" t="str">
            <v>Critical</v>
          </cell>
          <cell r="M1630" t="str">
            <v>Taiwan</v>
          </cell>
          <cell r="N1630" t="str">
            <v>Dolphin</v>
          </cell>
          <cell r="O1630" t="str">
            <v>Dolphin</v>
          </cell>
          <cell r="P1630" t="str">
            <v>12110100</v>
          </cell>
          <cell r="Q1630" t="str">
            <v>Not Applicable</v>
          </cell>
          <cell r="R1630" t="str">
            <v>Dolphin Medical</v>
          </cell>
          <cell r="S1630" t="str">
            <v>Ikatan Megah Medik</v>
          </cell>
          <cell r="T1630" t="str">
            <v>Functioning</v>
          </cell>
          <cell r="U1630" t="str">
            <v>Asset</v>
          </cell>
          <cell r="V1630">
            <v>500</v>
          </cell>
          <cell r="W1630" t="str">
            <v>KEW</v>
          </cell>
          <cell r="X1630" t="str">
            <v>26/11/2013</v>
          </cell>
          <cell r="Y1630" t="str">
            <v>KEW</v>
          </cell>
          <cell r="Z1630" t="str">
            <v>05/12/2013</v>
          </cell>
          <cell r="AA1630" t="str">
            <v>04/12/2014</v>
          </cell>
          <cell r="AB1630" t="str">
            <v>No</v>
          </cell>
          <cell r="AC1630" t="str">
            <v>05/12/2013</v>
          </cell>
          <cell r="AD1630" t="str">
            <v>Good</v>
          </cell>
          <cell r="AE1630" t="str">
            <v>V3 - Added Installed Facilities (New)</v>
          </cell>
          <cell r="AF1630">
            <v>43124</v>
          </cell>
          <cell r="AG1630">
            <v>6</v>
          </cell>
          <cell r="AH1630" t="str">
            <v>PPM</v>
          </cell>
          <cell r="AI1630" t="str">
            <v>Strands</v>
          </cell>
          <cell r="AJ1630" t="str">
            <v>Strands PW</v>
          </cell>
          <cell r="AK1630" t="str">
            <v>SNF received. 1st batch of V3 asset (December 2020)</v>
          </cell>
        </row>
        <row r="1631">
          <cell r="A1631" t="str">
            <v>IKN401526</v>
          </cell>
          <cell r="B1631">
            <v>1466</v>
          </cell>
          <cell r="C1631" t="str">
            <v>Institut Kanser Negara</v>
          </cell>
          <cell r="D1631" t="str">
            <v>KKM/IKN/H/13/3783</v>
          </cell>
          <cell r="E1631" t="str">
            <v>13-325</v>
          </cell>
          <cell r="F1631" t="str">
            <v>Regulators, Suction</v>
          </cell>
          <cell r="G1631" t="str">
            <v>OT</v>
          </cell>
          <cell r="H1631" t="str">
            <v>OPERATING THEATRE</v>
          </cell>
          <cell r="I1631" t="str">
            <v>05OT123</v>
          </cell>
          <cell r="J1631" t="str">
            <v>0T 1</v>
          </cell>
          <cell r="K1631" t="str">
            <v>BMED</v>
          </cell>
          <cell r="L1631" t="str">
            <v>Normal</v>
          </cell>
          <cell r="M1631" t="str">
            <v>United Kingdom</v>
          </cell>
          <cell r="N1631" t="str">
            <v>MGE</v>
          </cell>
          <cell r="O1631" t="str">
            <v>SAM 54</v>
          </cell>
          <cell r="P1631" t="str">
            <v>mg 013555</v>
          </cell>
          <cell r="Q1631" t="str">
            <v>Not Applicable</v>
          </cell>
          <cell r="R1631" t="str">
            <v>MGE</v>
          </cell>
          <cell r="S1631" t="str">
            <v>Delta Medisains</v>
          </cell>
          <cell r="T1631" t="str">
            <v>Functioning</v>
          </cell>
          <cell r="U1631" t="str">
            <v>Asset</v>
          </cell>
          <cell r="V1631">
            <v>4330</v>
          </cell>
          <cell r="W1631" t="str">
            <v>KEW</v>
          </cell>
          <cell r="X1631" t="str">
            <v>01/09/2010</v>
          </cell>
          <cell r="Y1631" t="str">
            <v>KEW</v>
          </cell>
          <cell r="Z1631" t="str">
            <v>16/08/2013</v>
          </cell>
          <cell r="AA1631" t="str">
            <v>15/08/2015</v>
          </cell>
          <cell r="AB1631" t="str">
            <v>No</v>
          </cell>
          <cell r="AC1631" t="str">
            <v>31/08/2013</v>
          </cell>
          <cell r="AD1631" t="str">
            <v>Good</v>
          </cell>
          <cell r="AE1631" t="str">
            <v>V1 - Existing / No Claim</v>
          </cell>
          <cell r="AF1631">
            <v>42920</v>
          </cell>
          <cell r="AG1631">
            <v>9.17</v>
          </cell>
          <cell r="AH1631" t="str">
            <v>RI</v>
          </cell>
          <cell r="AI1631" t="str">
            <v>Strands</v>
          </cell>
          <cell r="AJ1631" t="str">
            <v>Strands PW</v>
          </cell>
        </row>
        <row r="1632">
          <cell r="A1632" t="str">
            <v>IKN401527</v>
          </cell>
          <cell r="B1632">
            <v>1467</v>
          </cell>
          <cell r="C1632" t="str">
            <v>Institut Kanser Negara</v>
          </cell>
          <cell r="D1632" t="str">
            <v>KKM/IKN/H/13/3787</v>
          </cell>
          <cell r="E1632" t="str">
            <v>13-325</v>
          </cell>
          <cell r="F1632" t="str">
            <v>Regulators, Suction</v>
          </cell>
          <cell r="G1632" t="str">
            <v>OT</v>
          </cell>
          <cell r="H1632" t="str">
            <v>OPERATING THEATRE</v>
          </cell>
          <cell r="I1632" t="str">
            <v>05OT120</v>
          </cell>
          <cell r="J1632" t="str">
            <v>OT 2</v>
          </cell>
          <cell r="K1632" t="str">
            <v>BMED</v>
          </cell>
          <cell r="L1632" t="str">
            <v>Normal</v>
          </cell>
          <cell r="M1632" t="str">
            <v>United Kingdom</v>
          </cell>
          <cell r="N1632" t="str">
            <v>MGE</v>
          </cell>
          <cell r="O1632" t="str">
            <v>SAM 54</v>
          </cell>
          <cell r="P1632" t="str">
            <v>MG 013650</v>
          </cell>
          <cell r="Q1632" t="str">
            <v>Not Applicable</v>
          </cell>
          <cell r="R1632" t="str">
            <v>MGE</v>
          </cell>
          <cell r="S1632" t="str">
            <v>Delta Medisains</v>
          </cell>
          <cell r="T1632" t="str">
            <v>Functioning</v>
          </cell>
          <cell r="U1632" t="str">
            <v>Asset</v>
          </cell>
          <cell r="V1632">
            <v>4330</v>
          </cell>
          <cell r="W1632" t="str">
            <v>KEW</v>
          </cell>
          <cell r="X1632" t="str">
            <v>01/09/2010</v>
          </cell>
          <cell r="Y1632" t="str">
            <v>KEW</v>
          </cell>
          <cell r="Z1632" t="str">
            <v>16/08/2013</v>
          </cell>
          <cell r="AA1632" t="str">
            <v>15/08/2015</v>
          </cell>
          <cell r="AB1632" t="str">
            <v>No</v>
          </cell>
          <cell r="AC1632" t="str">
            <v>31/08/2013</v>
          </cell>
          <cell r="AD1632" t="str">
            <v>Good</v>
          </cell>
          <cell r="AE1632" t="str">
            <v>V1 - Existing / No Claim</v>
          </cell>
          <cell r="AF1632">
            <v>42920</v>
          </cell>
          <cell r="AG1632">
            <v>9.17</v>
          </cell>
          <cell r="AH1632" t="str">
            <v>RI</v>
          </cell>
          <cell r="AI1632" t="str">
            <v>Strands</v>
          </cell>
          <cell r="AJ1632" t="str">
            <v>Strands PW</v>
          </cell>
        </row>
        <row r="1633">
          <cell r="A1633" t="str">
            <v>IKN401528</v>
          </cell>
          <cell r="B1633">
            <v>1468</v>
          </cell>
          <cell r="C1633" t="str">
            <v>Institut Kanser Negara</v>
          </cell>
          <cell r="D1633" t="str">
            <v>KKM/IKN/H/13/3785</v>
          </cell>
          <cell r="E1633" t="str">
            <v>13-325</v>
          </cell>
          <cell r="F1633" t="str">
            <v>Regulators, Suction</v>
          </cell>
          <cell r="G1633" t="str">
            <v>OT</v>
          </cell>
          <cell r="H1633" t="str">
            <v>OPERATING THEATRE</v>
          </cell>
          <cell r="I1633" t="str">
            <v>05OT120</v>
          </cell>
          <cell r="J1633" t="str">
            <v>OT 2</v>
          </cell>
          <cell r="K1633" t="str">
            <v>BMED</v>
          </cell>
          <cell r="L1633" t="str">
            <v>Normal</v>
          </cell>
          <cell r="M1633" t="str">
            <v>United Kingdom</v>
          </cell>
          <cell r="N1633" t="str">
            <v>MGE</v>
          </cell>
          <cell r="O1633" t="str">
            <v>SAM 54</v>
          </cell>
          <cell r="P1633" t="str">
            <v>MG013556</v>
          </cell>
          <cell r="Q1633" t="str">
            <v>Not Applicable</v>
          </cell>
          <cell r="R1633" t="str">
            <v>MGE</v>
          </cell>
          <cell r="S1633" t="str">
            <v>Delta Medisains</v>
          </cell>
          <cell r="T1633" t="str">
            <v>Functioning</v>
          </cell>
          <cell r="U1633" t="str">
            <v>Asset</v>
          </cell>
          <cell r="V1633">
            <v>4330</v>
          </cell>
          <cell r="W1633" t="str">
            <v>KEW</v>
          </cell>
          <cell r="X1633" t="str">
            <v>01/09/2010</v>
          </cell>
          <cell r="Y1633" t="str">
            <v>KEW</v>
          </cell>
          <cell r="Z1633" t="str">
            <v>16/08/2013</v>
          </cell>
          <cell r="AA1633" t="str">
            <v>15/08/2015</v>
          </cell>
          <cell r="AB1633" t="str">
            <v>No</v>
          </cell>
          <cell r="AC1633" t="str">
            <v>31/08/2013</v>
          </cell>
          <cell r="AD1633" t="str">
            <v>Good</v>
          </cell>
          <cell r="AE1633" t="str">
            <v>V1 - Existing / No Claim</v>
          </cell>
          <cell r="AF1633">
            <v>42920</v>
          </cell>
          <cell r="AG1633">
            <v>9.17</v>
          </cell>
          <cell r="AH1633" t="str">
            <v>RI</v>
          </cell>
          <cell r="AI1633" t="str">
            <v>Strands</v>
          </cell>
          <cell r="AJ1633" t="str">
            <v>Strands PW</v>
          </cell>
        </row>
        <row r="1634">
          <cell r="A1634" t="str">
            <v>IKN401529</v>
          </cell>
          <cell r="B1634">
            <v>1469</v>
          </cell>
          <cell r="C1634" t="str">
            <v>Institut Kanser Negara</v>
          </cell>
          <cell r="D1634" t="str">
            <v>KKM/IKN/H/13/5439 (new), KKM/IKN/H/13/2602 (old)</v>
          </cell>
          <cell r="E1634" t="str">
            <v>17-145</v>
          </cell>
          <cell r="F1634" t="str">
            <v>Cystoscope, Rigid</v>
          </cell>
          <cell r="G1634" t="str">
            <v>RT</v>
          </cell>
          <cell r="H1634" t="str">
            <v>RADIATION TREATMENT UNIT</v>
          </cell>
          <cell r="I1634" t="str">
            <v>01RT233</v>
          </cell>
          <cell r="J1634" t="str">
            <v>EQ ROOM</v>
          </cell>
          <cell r="K1634" t="str">
            <v>BMED</v>
          </cell>
          <cell r="L1634" t="str">
            <v>Normal</v>
          </cell>
          <cell r="M1634" t="str">
            <v>Germany</v>
          </cell>
          <cell r="N1634" t="str">
            <v>Karl Storz</v>
          </cell>
          <cell r="O1634" t="str">
            <v>27005BA</v>
          </cell>
          <cell r="P1634">
            <v>1747722</v>
          </cell>
          <cell r="Q1634" t="str">
            <v>Not Applicable</v>
          </cell>
          <cell r="R1634" t="str">
            <v>Karl Storz GmbH</v>
          </cell>
          <cell r="S1634" t="str">
            <v>UMMI Surgical Sdn Bhd</v>
          </cell>
          <cell r="T1634" t="str">
            <v>Functioning</v>
          </cell>
          <cell r="U1634" t="str">
            <v>Asset</v>
          </cell>
          <cell r="V1634">
            <v>30836</v>
          </cell>
          <cell r="W1634" t="str">
            <v>KEW</v>
          </cell>
          <cell r="X1634">
            <v>41516</v>
          </cell>
          <cell r="Y1634" t="str">
            <v>KEW</v>
          </cell>
          <cell r="Z1634">
            <v>41516</v>
          </cell>
          <cell r="AA1634">
            <v>42246</v>
          </cell>
          <cell r="AB1634" t="str">
            <v>No</v>
          </cell>
          <cell r="AC1634">
            <v>41516</v>
          </cell>
          <cell r="AD1634" t="str">
            <v>Good</v>
          </cell>
          <cell r="AE1634" t="str">
            <v>V1 - Existing / No Claim</v>
          </cell>
          <cell r="AF1634">
            <v>42246</v>
          </cell>
          <cell r="AG1634">
            <v>9.17</v>
          </cell>
          <cell r="AH1634" t="str">
            <v>PPM</v>
          </cell>
          <cell r="AI1634" t="str">
            <v>Strands</v>
          </cell>
          <cell r="AJ1634" t="str">
            <v>Strands PW F</v>
          </cell>
          <cell r="AK1634" t="str">
            <v>Pecah Kewpa original H/13/2602. 30 Degree/4mm. [1/3/2024, SHARIFAH]: Fees sekali dengan KKM/IKN/H/13/2602(RM63,366) - IKN401530. [22/8/2024, Imran]: Unit V4 since 2021. Update new KEWPA.</v>
          </cell>
        </row>
        <row r="1635">
          <cell r="A1635" t="str">
            <v>IKN401530</v>
          </cell>
          <cell r="B1635">
            <v>1470</v>
          </cell>
          <cell r="C1635" t="str">
            <v>Institut Kanser Negara</v>
          </cell>
          <cell r="D1635" t="str">
            <v>KKM/IKN/H/13/5438 (new), KKM/IKN/H/13/2602 (old)</v>
          </cell>
          <cell r="E1635" t="str">
            <v>17-145</v>
          </cell>
          <cell r="F1635" t="str">
            <v>Cystoscope, Rigid</v>
          </cell>
          <cell r="G1635" t="str">
            <v>RT</v>
          </cell>
          <cell r="H1635" t="str">
            <v>RADIATION TREATMENT UNIT</v>
          </cell>
          <cell r="I1635" t="str">
            <v>01RT233</v>
          </cell>
          <cell r="J1635" t="str">
            <v>EQ ROOM</v>
          </cell>
          <cell r="K1635" t="str">
            <v>BMED</v>
          </cell>
          <cell r="L1635" t="str">
            <v>Normal</v>
          </cell>
          <cell r="M1635" t="str">
            <v>Germany</v>
          </cell>
          <cell r="N1635" t="str">
            <v>Karl Storz</v>
          </cell>
          <cell r="O1635" t="str">
            <v>27005AA®</v>
          </cell>
          <cell r="P1635" t="str">
            <v>120MKR</v>
          </cell>
          <cell r="Q1635" t="str">
            <v>Not Applicable</v>
          </cell>
          <cell r="R1635" t="str">
            <v>Karl Storz GmbH</v>
          </cell>
          <cell r="S1635" t="str">
            <v>UMMI Surgical Sdn Bhd</v>
          </cell>
          <cell r="T1635" t="str">
            <v>Functioning</v>
          </cell>
          <cell r="U1635" t="str">
            <v>Asset</v>
          </cell>
          <cell r="V1635">
            <v>33366</v>
          </cell>
          <cell r="W1635" t="str">
            <v>KEW</v>
          </cell>
          <cell r="X1635">
            <v>41516</v>
          </cell>
          <cell r="Y1635" t="str">
            <v>KEW</v>
          </cell>
          <cell r="Z1635">
            <v>41516</v>
          </cell>
          <cell r="AA1635">
            <v>42246</v>
          </cell>
          <cell r="AB1635" t="str">
            <v>No</v>
          </cell>
          <cell r="AC1635">
            <v>41516</v>
          </cell>
          <cell r="AD1635" t="str">
            <v>Good</v>
          </cell>
          <cell r="AE1635" t="str">
            <v>V10 - Asset in initial fee submission(new/replacement hosp)</v>
          </cell>
          <cell r="AF1635">
            <v>42246</v>
          </cell>
          <cell r="AG1635">
            <v>9.17</v>
          </cell>
          <cell r="AH1635" t="str">
            <v>PPM</v>
          </cell>
          <cell r="AI1635" t="str">
            <v>Strands</v>
          </cell>
          <cell r="AJ1635" t="str">
            <v>Strands PW F</v>
          </cell>
          <cell r="AK1635" t="str">
            <v>Pecah Kewpa original H/13/2602. Replace new unit. 0 Degree/4mm. [1/3/2024, SHARIFAH]: Fees sekali dengan KKM/IKN/H/13/2602(RM63,366) - IKN401529. [22/8/2024, Imran]: Update new KEWPA.</v>
          </cell>
        </row>
        <row r="1636">
          <cell r="A1636" t="str">
            <v>IKN401533</v>
          </cell>
          <cell r="B1636">
            <v>1473</v>
          </cell>
          <cell r="C1636" t="str">
            <v>Institut Kanser Negara</v>
          </cell>
          <cell r="D1636" t="str">
            <v>KKM/IKN/H/13/2150</v>
          </cell>
          <cell r="E1636" t="str">
            <v>13-461</v>
          </cell>
          <cell r="F1636" t="str">
            <v>Scales, Patient, Floor</v>
          </cell>
          <cell r="G1636" t="str">
            <v>WD</v>
          </cell>
          <cell r="H1636" t="str">
            <v>RT/ONCO PAED/ADOLESCENT WARD</v>
          </cell>
          <cell r="I1636" t="str">
            <v>06WD146</v>
          </cell>
          <cell r="J1636" t="str">
            <v>NURSE STATION</v>
          </cell>
          <cell r="K1636" t="str">
            <v>BMED</v>
          </cell>
          <cell r="L1636" t="str">
            <v>Normal</v>
          </cell>
          <cell r="M1636" t="str">
            <v>USA</v>
          </cell>
          <cell r="N1636" t="str">
            <v>Detecto</v>
          </cell>
          <cell r="O1636" t="str">
            <v>758 C</v>
          </cell>
          <cell r="P1636" t="str">
            <v>E32112-0183</v>
          </cell>
          <cell r="Q1636" t="str">
            <v>Not Applicable</v>
          </cell>
          <cell r="R1636" t="str">
            <v>DETECTO</v>
          </cell>
          <cell r="S1636" t="str">
            <v>Acucare System (M) Sdn. Bhd</v>
          </cell>
          <cell r="T1636" t="str">
            <v>Functioning</v>
          </cell>
          <cell r="U1636" t="str">
            <v>Asset</v>
          </cell>
          <cell r="V1636">
            <v>9380</v>
          </cell>
          <cell r="W1636" t="str">
            <v>KEW</v>
          </cell>
          <cell r="X1636" t="str">
            <v>01/09/2010</v>
          </cell>
          <cell r="Y1636" t="str">
            <v>Estimate</v>
          </cell>
          <cell r="Z1636" t="str">
            <v>16/08/2013</v>
          </cell>
          <cell r="AA1636" t="str">
            <v>15/08/2015</v>
          </cell>
          <cell r="AB1636" t="str">
            <v>No</v>
          </cell>
          <cell r="AC1636" t="str">
            <v>31/08/2013</v>
          </cell>
          <cell r="AD1636" t="str">
            <v>Good</v>
          </cell>
          <cell r="AE1636" t="str">
            <v>V1 - Existing / No Claim</v>
          </cell>
          <cell r="AF1636">
            <v>42839</v>
          </cell>
          <cell r="AG1636">
            <v>9.17</v>
          </cell>
          <cell r="AH1636" t="str">
            <v>PPM</v>
          </cell>
          <cell r="AI1636" t="str">
            <v>Strands</v>
          </cell>
          <cell r="AJ1636" t="str">
            <v>Strands PW</v>
          </cell>
        </row>
        <row r="1637">
          <cell r="A1637" t="str">
            <v>IKN401534</v>
          </cell>
          <cell r="B1637">
            <v>1474</v>
          </cell>
          <cell r="C1637" t="str">
            <v>Institut Kanser Negara</v>
          </cell>
          <cell r="D1637" t="str">
            <v>N/A</v>
          </cell>
          <cell r="E1637" t="str">
            <v>13-281</v>
          </cell>
          <cell r="F1637" t="str">
            <v>Computers, Radiotherapy Planning System</v>
          </cell>
          <cell r="G1637" t="str">
            <v>RT</v>
          </cell>
          <cell r="H1637" t="str">
            <v>RADIATION TREATMENT UNIT</v>
          </cell>
          <cell r="I1637" t="str">
            <v>01RT118A</v>
          </cell>
          <cell r="J1637" t="str">
            <v>TECH ROOM</v>
          </cell>
          <cell r="K1637" t="str">
            <v>BMED</v>
          </cell>
          <cell r="L1637" t="str">
            <v>Normal</v>
          </cell>
          <cell r="M1637" t="str">
            <v>USA</v>
          </cell>
          <cell r="N1637" t="str">
            <v>HP</v>
          </cell>
          <cell r="O1637" t="str">
            <v>HP 380 G6 SERVER</v>
          </cell>
          <cell r="P1637" t="str">
            <v>Not Available</v>
          </cell>
          <cell r="Q1637" t="str">
            <v>Not Applicable</v>
          </cell>
          <cell r="R1637" t="str">
            <v>HP</v>
          </cell>
          <cell r="S1637" t="str">
            <v>VIAMED SDN. BHD.</v>
          </cell>
          <cell r="T1637" t="str">
            <v>Functioning</v>
          </cell>
          <cell r="U1637" t="str">
            <v>Asset</v>
          </cell>
          <cell r="V1637">
            <v>52500</v>
          </cell>
          <cell r="W1637" t="str">
            <v>KEW</v>
          </cell>
          <cell r="X1637" t="str">
            <v>01/09/2010</v>
          </cell>
          <cell r="Y1637" t="str">
            <v>KEW</v>
          </cell>
          <cell r="Z1637" t="str">
            <v>16/08/2013</v>
          </cell>
          <cell r="AA1637" t="str">
            <v>15/08/2015</v>
          </cell>
          <cell r="AB1637" t="str">
            <v>No</v>
          </cell>
          <cell r="AC1637" t="str">
            <v>16/08/2013</v>
          </cell>
          <cell r="AD1637" t="str">
            <v>Good</v>
          </cell>
          <cell r="AE1637" t="str">
            <v>V1 - Existing / No Claim</v>
          </cell>
          <cell r="AF1637">
            <v>42859</v>
          </cell>
          <cell r="AG1637">
            <v>9.17</v>
          </cell>
          <cell r="AH1637" t="str">
            <v>PPM</v>
          </cell>
          <cell r="AI1637" t="str">
            <v>Strands</v>
          </cell>
          <cell r="AJ1637" t="str">
            <v>Strands Package</v>
          </cell>
          <cell r="AK1637" t="str">
            <v>Package Code XM0004</v>
          </cell>
        </row>
        <row r="1638">
          <cell r="A1638" t="str">
            <v>IKN401536</v>
          </cell>
          <cell r="B1638">
            <v>1475</v>
          </cell>
          <cell r="C1638" t="str">
            <v>Institut Kanser Negara</v>
          </cell>
          <cell r="D1638" t="str">
            <v>KKM/IKN/H/13/5160</v>
          </cell>
          <cell r="E1638" t="str">
            <v>11-295</v>
          </cell>
          <cell r="F1638" t="str">
            <v>Dosimeters, Radiation</v>
          </cell>
          <cell r="G1638" t="str">
            <v>NM</v>
          </cell>
          <cell r="H1638" t="str">
            <v>NUCLEAR MED (DIAGNOSTIC)</v>
          </cell>
          <cell r="I1638" t="str">
            <v>03NM180</v>
          </cell>
          <cell r="J1638" t="str">
            <v>GEN.OFFICE</v>
          </cell>
          <cell r="K1638" t="str">
            <v>BMED</v>
          </cell>
          <cell r="L1638" t="str">
            <v>Normal</v>
          </cell>
          <cell r="M1638" t="str">
            <v>Japan</v>
          </cell>
          <cell r="N1638" t="str">
            <v>Aloka</v>
          </cell>
          <cell r="O1638" t="str">
            <v>PDM-122-SH</v>
          </cell>
          <cell r="P1638" t="str">
            <v>P1277</v>
          </cell>
          <cell r="Q1638" t="str">
            <v>Not Applicable</v>
          </cell>
          <cell r="R1638" t="str">
            <v>Hitachi Aloka Medical Ltd</v>
          </cell>
          <cell r="S1638" t="str">
            <v>Delta Advantech (M) Sdn. Bhd.</v>
          </cell>
          <cell r="T1638" t="str">
            <v>Functioning</v>
          </cell>
          <cell r="U1638" t="str">
            <v>Asset</v>
          </cell>
          <cell r="V1638">
            <v>4370</v>
          </cell>
          <cell r="W1638" t="str">
            <v>KEW</v>
          </cell>
          <cell r="X1638" t="str">
            <v>01/09/2010</v>
          </cell>
          <cell r="Y1638" t="str">
            <v>KEW</v>
          </cell>
          <cell r="Z1638" t="str">
            <v>16/08/2013</v>
          </cell>
          <cell r="AA1638" t="str">
            <v>15/08/2015</v>
          </cell>
          <cell r="AB1638" t="str">
            <v>No</v>
          </cell>
          <cell r="AC1638" t="str">
            <v>31/08/2013</v>
          </cell>
          <cell r="AD1638" t="str">
            <v>Good</v>
          </cell>
          <cell r="AE1638" t="str">
            <v>V1 - Existing / No Claim</v>
          </cell>
          <cell r="AF1638">
            <v>42923</v>
          </cell>
          <cell r="AG1638">
            <v>9.17</v>
          </cell>
          <cell r="AH1638" t="str">
            <v>PPM</v>
          </cell>
          <cell r="AI1638" t="str">
            <v>Strands</v>
          </cell>
          <cell r="AJ1638" t="str">
            <v>Strands PW</v>
          </cell>
          <cell r="AK1638" t="str">
            <v>[24/4/2024, ANIS]: TUKAR MODEL &amp; BRAND.</v>
          </cell>
        </row>
        <row r="1639">
          <cell r="A1639" t="str">
            <v>IKN401537</v>
          </cell>
          <cell r="B1639">
            <v>1476</v>
          </cell>
          <cell r="C1639" t="str">
            <v>Institut Kanser Negara</v>
          </cell>
          <cell r="D1639" t="str">
            <v>KKM/IKN/H/13/5159</v>
          </cell>
          <cell r="E1639" t="str">
            <v>11-295</v>
          </cell>
          <cell r="F1639" t="str">
            <v>Dosimeters, Radiation</v>
          </cell>
          <cell r="G1639" t="str">
            <v>NM</v>
          </cell>
          <cell r="H1639" t="str">
            <v>NUCLEAR MED (DIAGNOSTIC)</v>
          </cell>
          <cell r="I1639" t="str">
            <v>03NM180</v>
          </cell>
          <cell r="J1639" t="str">
            <v>GEN.OFFICE</v>
          </cell>
          <cell r="K1639" t="str">
            <v>BMED</v>
          </cell>
          <cell r="L1639" t="str">
            <v>Normal</v>
          </cell>
          <cell r="M1639" t="str">
            <v>Japan</v>
          </cell>
          <cell r="N1639" t="str">
            <v>Aloka</v>
          </cell>
          <cell r="O1639" t="str">
            <v>PDM-122-SH</v>
          </cell>
          <cell r="P1639" t="str">
            <v>P1278</v>
          </cell>
          <cell r="Q1639" t="str">
            <v>Not Applicable</v>
          </cell>
          <cell r="R1639" t="str">
            <v>Hitachi Aloka Medical Ltd</v>
          </cell>
          <cell r="S1639" t="str">
            <v>Delta Advantech (M) Sdn. Bhd.</v>
          </cell>
          <cell r="T1639" t="str">
            <v>Functioning</v>
          </cell>
          <cell r="U1639" t="str">
            <v>Asset</v>
          </cell>
          <cell r="V1639">
            <v>4370</v>
          </cell>
          <cell r="W1639" t="str">
            <v>KEW</v>
          </cell>
          <cell r="X1639" t="str">
            <v>01/09/2010</v>
          </cell>
          <cell r="Y1639" t="str">
            <v>KEW</v>
          </cell>
          <cell r="Z1639" t="str">
            <v>16/08/2013</v>
          </cell>
          <cell r="AA1639" t="str">
            <v>15/08/2015</v>
          </cell>
          <cell r="AB1639" t="str">
            <v>No</v>
          </cell>
          <cell r="AC1639" t="str">
            <v>31/08/2013</v>
          </cell>
          <cell r="AD1639" t="str">
            <v>Good</v>
          </cell>
          <cell r="AE1639" t="str">
            <v>V1 - Existing / No Claim</v>
          </cell>
          <cell r="AF1639">
            <v>42923</v>
          </cell>
          <cell r="AG1639">
            <v>9.17</v>
          </cell>
          <cell r="AH1639" t="str">
            <v>PPM</v>
          </cell>
          <cell r="AI1639" t="str">
            <v>Strands</v>
          </cell>
          <cell r="AJ1639" t="str">
            <v>Strands PW</v>
          </cell>
          <cell r="AK1639" t="str">
            <v>[24/4/2024, ANIS]: TUKAR MODEL &amp; BRAND.</v>
          </cell>
        </row>
        <row r="1640">
          <cell r="A1640" t="str">
            <v>IKN401538</v>
          </cell>
          <cell r="B1640">
            <v>1477</v>
          </cell>
          <cell r="C1640" t="str">
            <v>Institut Kanser Negara</v>
          </cell>
          <cell r="D1640" t="str">
            <v>KKM/IKN/H/13/5158</v>
          </cell>
          <cell r="E1640" t="str">
            <v>11-295</v>
          </cell>
          <cell r="F1640" t="str">
            <v>Dosimeters, Radiation</v>
          </cell>
          <cell r="G1640" t="str">
            <v>NM</v>
          </cell>
          <cell r="H1640" t="str">
            <v>NUCLEAR MED (DIAGNOSTIC)</v>
          </cell>
          <cell r="I1640" t="str">
            <v>03NM180</v>
          </cell>
          <cell r="J1640" t="str">
            <v>GEN.OFFICE</v>
          </cell>
          <cell r="K1640" t="str">
            <v>BMED</v>
          </cell>
          <cell r="L1640" t="str">
            <v>Normal</v>
          </cell>
          <cell r="M1640" t="str">
            <v>Japan</v>
          </cell>
          <cell r="N1640" t="str">
            <v>Aloka</v>
          </cell>
          <cell r="O1640" t="str">
            <v>PDM-122-SH</v>
          </cell>
          <cell r="P1640" t="str">
            <v>P1279</v>
          </cell>
          <cell r="Q1640" t="str">
            <v>Not Applicable</v>
          </cell>
          <cell r="R1640" t="str">
            <v>Hitachi Aloka Medical Ltd</v>
          </cell>
          <cell r="S1640" t="str">
            <v>Delta Advantech (M) Sdn. Bhd.</v>
          </cell>
          <cell r="T1640" t="str">
            <v>Functioning</v>
          </cell>
          <cell r="U1640" t="str">
            <v>Asset</v>
          </cell>
          <cell r="V1640">
            <v>4370</v>
          </cell>
          <cell r="W1640" t="str">
            <v>KEW</v>
          </cell>
          <cell r="X1640" t="str">
            <v>01/09/2010</v>
          </cell>
          <cell r="Y1640" t="str">
            <v>KEW</v>
          </cell>
          <cell r="Z1640" t="str">
            <v>16/08/2013</v>
          </cell>
          <cell r="AA1640" t="str">
            <v>15/08/2015</v>
          </cell>
          <cell r="AB1640" t="str">
            <v>No</v>
          </cell>
          <cell r="AC1640" t="str">
            <v>31/08/2013</v>
          </cell>
          <cell r="AD1640" t="str">
            <v>Good</v>
          </cell>
          <cell r="AE1640" t="str">
            <v>V1 - Existing / No Claim</v>
          </cell>
          <cell r="AF1640">
            <v>42923</v>
          </cell>
          <cell r="AG1640">
            <v>9.17</v>
          </cell>
          <cell r="AH1640" t="str">
            <v>PPM</v>
          </cell>
          <cell r="AI1640" t="str">
            <v>Strands</v>
          </cell>
          <cell r="AJ1640" t="str">
            <v>Strands PW</v>
          </cell>
          <cell r="AK1640" t="str">
            <v>[24/4/2024, ANIS]: TUKAR MODEL &amp; BRAND.</v>
          </cell>
        </row>
        <row r="1641">
          <cell r="A1641" t="str">
            <v>IKN401539</v>
          </cell>
          <cell r="B1641">
            <v>1478</v>
          </cell>
          <cell r="C1641" t="str">
            <v>Institut Kanser Negara</v>
          </cell>
          <cell r="D1641" t="str">
            <v>KKM/IKN/H/13/5157</v>
          </cell>
          <cell r="E1641" t="str">
            <v>11-295</v>
          </cell>
          <cell r="F1641" t="str">
            <v>Dosimeters, Radiation</v>
          </cell>
          <cell r="G1641" t="str">
            <v>NM</v>
          </cell>
          <cell r="H1641" t="str">
            <v>NUCLEAR MED (DIAGNOSTIC)</v>
          </cell>
          <cell r="I1641" t="str">
            <v>03NM180</v>
          </cell>
          <cell r="J1641" t="str">
            <v>GEN.OFFICE</v>
          </cell>
          <cell r="K1641" t="str">
            <v>BMED</v>
          </cell>
          <cell r="L1641" t="str">
            <v>Normal</v>
          </cell>
          <cell r="M1641" t="str">
            <v>Japan</v>
          </cell>
          <cell r="N1641" t="str">
            <v>Aloka</v>
          </cell>
          <cell r="O1641" t="str">
            <v>PDM-122-SH</v>
          </cell>
          <cell r="P1641" t="str">
            <v>P1280</v>
          </cell>
          <cell r="Q1641" t="str">
            <v>Not Applicable</v>
          </cell>
          <cell r="R1641" t="str">
            <v>Hitachi Aloka Medical Ltd</v>
          </cell>
          <cell r="S1641" t="str">
            <v>Delta Advantech (M) Sdn. Bhd.</v>
          </cell>
          <cell r="T1641" t="str">
            <v>Functioning</v>
          </cell>
          <cell r="U1641" t="str">
            <v>Asset</v>
          </cell>
          <cell r="V1641">
            <v>4370</v>
          </cell>
          <cell r="W1641" t="str">
            <v>KEW</v>
          </cell>
          <cell r="X1641" t="str">
            <v>01/09/2010</v>
          </cell>
          <cell r="Y1641" t="str">
            <v>KEW</v>
          </cell>
          <cell r="Z1641" t="str">
            <v>16/08/2013</v>
          </cell>
          <cell r="AA1641" t="str">
            <v>15/08/2015</v>
          </cell>
          <cell r="AB1641" t="str">
            <v>No</v>
          </cell>
          <cell r="AC1641" t="str">
            <v>31/08/2013</v>
          </cell>
          <cell r="AD1641" t="str">
            <v>Good</v>
          </cell>
          <cell r="AE1641" t="str">
            <v>V1 - Existing / No Claim</v>
          </cell>
          <cell r="AF1641">
            <v>42923</v>
          </cell>
          <cell r="AG1641">
            <v>9.17</v>
          </cell>
          <cell r="AH1641" t="str">
            <v>PPM</v>
          </cell>
          <cell r="AI1641" t="str">
            <v>Strands</v>
          </cell>
          <cell r="AJ1641" t="str">
            <v>Strands PW</v>
          </cell>
          <cell r="AK1641" t="str">
            <v>[24/4/2024, ANIS]: TUKAR MODEL &amp; BRAND.</v>
          </cell>
        </row>
        <row r="1642">
          <cell r="A1642" t="str">
            <v>IKN401540</v>
          </cell>
          <cell r="B1642">
            <v>1479</v>
          </cell>
          <cell r="C1642" t="str">
            <v>Institut Kanser Negara</v>
          </cell>
          <cell r="D1642" t="str">
            <v>KKM/IKN/H/13/5156</v>
          </cell>
          <cell r="E1642" t="str">
            <v>11-295</v>
          </cell>
          <cell r="F1642" t="str">
            <v>Dosimeters, Radiation</v>
          </cell>
          <cell r="G1642" t="str">
            <v>NM</v>
          </cell>
          <cell r="H1642" t="str">
            <v>NUCLEAR MED (DIAGNOSTIC)</v>
          </cell>
          <cell r="I1642" t="str">
            <v>03NM180</v>
          </cell>
          <cell r="J1642" t="str">
            <v>GEN.OFFICE</v>
          </cell>
          <cell r="K1642" t="str">
            <v>BMED</v>
          </cell>
          <cell r="L1642" t="str">
            <v>Normal</v>
          </cell>
          <cell r="M1642" t="str">
            <v>Japan</v>
          </cell>
          <cell r="N1642" t="str">
            <v>Aloka</v>
          </cell>
          <cell r="O1642" t="str">
            <v>PDM-122-SH</v>
          </cell>
          <cell r="P1642" t="str">
            <v>P1281</v>
          </cell>
          <cell r="Q1642" t="str">
            <v>Not Applicable</v>
          </cell>
          <cell r="R1642" t="str">
            <v>Hitachi Aloka Medical Ltd</v>
          </cell>
          <cell r="S1642" t="str">
            <v>Delta Advantech (M) Sdn. Bhd.</v>
          </cell>
          <cell r="T1642" t="str">
            <v>Functioning</v>
          </cell>
          <cell r="U1642" t="str">
            <v>Asset</v>
          </cell>
          <cell r="V1642">
            <v>4370</v>
          </cell>
          <cell r="W1642" t="str">
            <v>KEW</v>
          </cell>
          <cell r="X1642" t="str">
            <v>01/09/2010</v>
          </cell>
          <cell r="Y1642" t="str">
            <v>KEW</v>
          </cell>
          <cell r="Z1642" t="str">
            <v>16/08/2013</v>
          </cell>
          <cell r="AA1642" t="str">
            <v>15/08/2015</v>
          </cell>
          <cell r="AB1642" t="str">
            <v>No</v>
          </cell>
          <cell r="AC1642" t="str">
            <v>31/08/2013</v>
          </cell>
          <cell r="AD1642" t="str">
            <v>Good</v>
          </cell>
          <cell r="AE1642" t="str">
            <v>V1 - Existing / No Claim</v>
          </cell>
          <cell r="AF1642">
            <v>42923</v>
          </cell>
          <cell r="AG1642">
            <v>9.17</v>
          </cell>
          <cell r="AH1642" t="str">
            <v>PPM</v>
          </cell>
          <cell r="AI1642" t="str">
            <v>Strands</v>
          </cell>
          <cell r="AJ1642" t="str">
            <v>Strands PW</v>
          </cell>
          <cell r="AK1642" t="str">
            <v>[24/4/2024, ANIS]: TUKAR MODEL &amp; BRAND.</v>
          </cell>
        </row>
        <row r="1643">
          <cell r="A1643" t="str">
            <v>IKN401541</v>
          </cell>
          <cell r="B1643">
            <v>1480</v>
          </cell>
          <cell r="C1643" t="str">
            <v>Institut Kanser Negara</v>
          </cell>
          <cell r="D1643" t="str">
            <v>KKM/IKN/H/13/5155</v>
          </cell>
          <cell r="E1643" t="str">
            <v>11-295</v>
          </cell>
          <cell r="F1643" t="str">
            <v>Dosimeters, Radiation</v>
          </cell>
          <cell r="G1643" t="str">
            <v>NM</v>
          </cell>
          <cell r="H1643" t="str">
            <v>NUCLEAR MED (DIAGNOSTIC)</v>
          </cell>
          <cell r="I1643" t="str">
            <v>03NM180</v>
          </cell>
          <cell r="J1643" t="str">
            <v>GEN.OFFICE</v>
          </cell>
          <cell r="K1643" t="str">
            <v>BMED</v>
          </cell>
          <cell r="L1643" t="str">
            <v>Normal</v>
          </cell>
          <cell r="M1643" t="str">
            <v>Japan</v>
          </cell>
          <cell r="N1643" t="str">
            <v>Aloka</v>
          </cell>
          <cell r="O1643" t="str">
            <v>PDM-122-SH</v>
          </cell>
          <cell r="P1643" t="str">
            <v>P1282</v>
          </cell>
          <cell r="Q1643" t="str">
            <v>Not Applicable</v>
          </cell>
          <cell r="R1643" t="str">
            <v>Hitachi Aloka Medical Ltd</v>
          </cell>
          <cell r="S1643" t="str">
            <v>Delta Advantech (M) Sdn. Bhd.</v>
          </cell>
          <cell r="T1643" t="str">
            <v>Functioning</v>
          </cell>
          <cell r="U1643" t="str">
            <v>Asset</v>
          </cell>
          <cell r="V1643">
            <v>4370</v>
          </cell>
          <cell r="W1643" t="str">
            <v>KEW</v>
          </cell>
          <cell r="X1643" t="str">
            <v>01/09/2010</v>
          </cell>
          <cell r="Y1643" t="str">
            <v>KEW</v>
          </cell>
          <cell r="Z1643" t="str">
            <v>16/08/2013</v>
          </cell>
          <cell r="AA1643" t="str">
            <v>15/08/2015</v>
          </cell>
          <cell r="AB1643" t="str">
            <v>No</v>
          </cell>
          <cell r="AC1643" t="str">
            <v>31/08/2013</v>
          </cell>
          <cell r="AD1643" t="str">
            <v>Good</v>
          </cell>
          <cell r="AE1643" t="str">
            <v>V1 - Existing / No Claim</v>
          </cell>
          <cell r="AF1643">
            <v>42923</v>
          </cell>
          <cell r="AG1643">
            <v>9.17</v>
          </cell>
          <cell r="AH1643" t="str">
            <v>PPM</v>
          </cell>
          <cell r="AI1643" t="str">
            <v>Strands</v>
          </cell>
          <cell r="AJ1643" t="str">
            <v>Strands PW</v>
          </cell>
          <cell r="AK1643" t="str">
            <v>[24/4/2024, ANIS]: TUKAR MODEL &amp; BRAND.</v>
          </cell>
        </row>
        <row r="1644">
          <cell r="A1644" t="str">
            <v>IKN401542</v>
          </cell>
          <cell r="B1644">
            <v>1481</v>
          </cell>
          <cell r="C1644" t="str">
            <v>Institut Kanser Negara</v>
          </cell>
          <cell r="D1644" t="str">
            <v>KKM/IKN/H/13/5154</v>
          </cell>
          <cell r="E1644" t="str">
            <v>11-295</v>
          </cell>
          <cell r="F1644" t="str">
            <v>Dosimeters, Radiation</v>
          </cell>
          <cell r="G1644" t="str">
            <v>NM</v>
          </cell>
          <cell r="H1644" t="str">
            <v>NUCLEAR MED (DIAGNOSTIC)</v>
          </cell>
          <cell r="I1644" t="str">
            <v>03NM180</v>
          </cell>
          <cell r="J1644" t="str">
            <v>GEN.OFFICE</v>
          </cell>
          <cell r="K1644" t="str">
            <v>BMED</v>
          </cell>
          <cell r="L1644" t="str">
            <v>Normal</v>
          </cell>
          <cell r="M1644" t="str">
            <v>Japan</v>
          </cell>
          <cell r="N1644" t="str">
            <v>Aloka</v>
          </cell>
          <cell r="O1644" t="str">
            <v>PDM-122-SH</v>
          </cell>
          <cell r="P1644" t="str">
            <v>O8426</v>
          </cell>
          <cell r="Q1644" t="str">
            <v>Not Applicable</v>
          </cell>
          <cell r="R1644" t="str">
            <v>Hitachi Aloka Medical Ltd</v>
          </cell>
          <cell r="S1644" t="str">
            <v>Delta Advantech (M) Sdn. Bhd.</v>
          </cell>
          <cell r="T1644" t="str">
            <v>Functioning</v>
          </cell>
          <cell r="U1644" t="str">
            <v>Asset</v>
          </cell>
          <cell r="V1644">
            <v>4370</v>
          </cell>
          <cell r="W1644" t="str">
            <v>KEW</v>
          </cell>
          <cell r="X1644" t="str">
            <v>01/09/2010</v>
          </cell>
          <cell r="Y1644" t="str">
            <v>Estimate</v>
          </cell>
          <cell r="Z1644" t="str">
            <v>16/08/2013</v>
          </cell>
          <cell r="AA1644" t="str">
            <v>15/08/2015</v>
          </cell>
          <cell r="AB1644" t="str">
            <v>No</v>
          </cell>
          <cell r="AC1644" t="str">
            <v>31/08/2013</v>
          </cell>
          <cell r="AD1644" t="str">
            <v>Good</v>
          </cell>
          <cell r="AE1644" t="str">
            <v>V1 - Existing / No Claim</v>
          </cell>
          <cell r="AF1644">
            <v>42923</v>
          </cell>
          <cell r="AG1644">
            <v>9.17</v>
          </cell>
          <cell r="AH1644" t="str">
            <v>PPM</v>
          </cell>
          <cell r="AI1644" t="str">
            <v>Strands</v>
          </cell>
          <cell r="AJ1644" t="str">
            <v>Strands PW</v>
          </cell>
          <cell r="AK1644" t="str">
            <v>[24/4/2024, ANIS]: TUKAR MODEL &amp; BRAND.</v>
          </cell>
        </row>
        <row r="1645">
          <cell r="A1645" t="str">
            <v>IKN401543</v>
          </cell>
          <cell r="B1645">
            <v>1482</v>
          </cell>
          <cell r="C1645" t="str">
            <v>Institut Kanser Negara</v>
          </cell>
          <cell r="D1645" t="str">
            <v>KKM/IKN/H/13/5153</v>
          </cell>
          <cell r="E1645" t="str">
            <v>11-295</v>
          </cell>
          <cell r="F1645" t="str">
            <v>Dosimeters, Radiation</v>
          </cell>
          <cell r="G1645" t="str">
            <v>NM</v>
          </cell>
          <cell r="H1645" t="str">
            <v>NUCLEAR MED (DIAGNOSTIC)</v>
          </cell>
          <cell r="I1645" t="str">
            <v>03NM180</v>
          </cell>
          <cell r="J1645" t="str">
            <v>GEN.OFFICE</v>
          </cell>
          <cell r="K1645" t="str">
            <v>BMED</v>
          </cell>
          <cell r="L1645" t="str">
            <v>Normal</v>
          </cell>
          <cell r="M1645" t="str">
            <v>Japan</v>
          </cell>
          <cell r="N1645" t="str">
            <v>Aloka</v>
          </cell>
          <cell r="O1645" t="str">
            <v>PDM-122-SH</v>
          </cell>
          <cell r="P1645" t="str">
            <v>O8428</v>
          </cell>
          <cell r="Q1645" t="str">
            <v>Not Applicable</v>
          </cell>
          <cell r="R1645" t="str">
            <v>Hitachi Aloka Medical Ltd</v>
          </cell>
          <cell r="S1645" t="str">
            <v>Delta Advantech (M) Sdn. Bhd.</v>
          </cell>
          <cell r="T1645" t="str">
            <v>Functioning</v>
          </cell>
          <cell r="U1645" t="str">
            <v>Asset</v>
          </cell>
          <cell r="V1645">
            <v>4370</v>
          </cell>
          <cell r="W1645" t="str">
            <v>KEW</v>
          </cell>
          <cell r="X1645" t="str">
            <v>01/09/2010</v>
          </cell>
          <cell r="Y1645" t="str">
            <v>KEW</v>
          </cell>
          <cell r="Z1645" t="str">
            <v>16/08/2013</v>
          </cell>
          <cell r="AA1645" t="str">
            <v>15/08/2015</v>
          </cell>
          <cell r="AB1645" t="str">
            <v>No</v>
          </cell>
          <cell r="AC1645" t="str">
            <v>31/08/2013</v>
          </cell>
          <cell r="AD1645" t="str">
            <v>Good</v>
          </cell>
          <cell r="AE1645" t="str">
            <v>V1 - Existing / No Claim</v>
          </cell>
          <cell r="AF1645">
            <v>42923</v>
          </cell>
          <cell r="AG1645">
            <v>9.17</v>
          </cell>
          <cell r="AH1645" t="str">
            <v>PPM</v>
          </cell>
          <cell r="AI1645" t="str">
            <v>Strands</v>
          </cell>
          <cell r="AJ1645" t="str">
            <v>Strands PW</v>
          </cell>
          <cell r="AK1645" t="str">
            <v>[24/4/2024, ANIS]: TUKAR MODEL &amp; BRAND.</v>
          </cell>
        </row>
        <row r="1646">
          <cell r="A1646" t="str">
            <v>IKN401544</v>
          </cell>
          <cell r="B1646">
            <v>1483</v>
          </cell>
          <cell r="C1646" t="str">
            <v>Institut Kanser Negara</v>
          </cell>
          <cell r="D1646" t="str">
            <v>KKM/IKN/H/13/5177</v>
          </cell>
          <cell r="E1646" t="str">
            <v>15-175</v>
          </cell>
          <cell r="F1646" t="str">
            <v>Scales, Clinical, Laboratory</v>
          </cell>
          <cell r="G1646" t="str">
            <v>PF</v>
          </cell>
          <cell r="H1646" t="str">
            <v>IN-PATIENT PHARMACY</v>
          </cell>
          <cell r="I1646" t="str">
            <v>05PF146</v>
          </cell>
          <cell r="J1646" t="str">
            <v>RAW MATERIAL STORE</v>
          </cell>
          <cell r="K1646" t="str">
            <v>BMED</v>
          </cell>
          <cell r="L1646" t="str">
            <v>Normal</v>
          </cell>
          <cell r="M1646" t="str">
            <v>Switzerland</v>
          </cell>
          <cell r="N1646" t="str">
            <v>METTLER TOLEDO</v>
          </cell>
          <cell r="O1646" t="str">
            <v>JP32001G</v>
          </cell>
          <cell r="P1646" t="str">
            <v>B327522435</v>
          </cell>
          <cell r="Q1646" t="str">
            <v>Not Applicable</v>
          </cell>
          <cell r="R1646" t="str">
            <v>METTLER TOLEDO</v>
          </cell>
          <cell r="S1646" t="str">
            <v>Chemopharm Sdn. Bhd.</v>
          </cell>
          <cell r="T1646" t="str">
            <v>Functioning</v>
          </cell>
          <cell r="U1646" t="str">
            <v>Asset</v>
          </cell>
          <cell r="V1646">
            <v>3500</v>
          </cell>
          <cell r="W1646" t="str">
            <v>KEW</v>
          </cell>
          <cell r="X1646" t="str">
            <v>01/09/2010</v>
          </cell>
          <cell r="Y1646" t="str">
            <v>KEW</v>
          </cell>
          <cell r="Z1646" t="str">
            <v>16/08/2013</v>
          </cell>
          <cell r="AA1646" t="str">
            <v>15/08/2015</v>
          </cell>
          <cell r="AB1646" t="str">
            <v>No</v>
          </cell>
          <cell r="AC1646" t="str">
            <v>31/08/2013</v>
          </cell>
          <cell r="AD1646" t="str">
            <v>Good</v>
          </cell>
          <cell r="AE1646" t="str">
            <v>V3 - Added Installed Facilities (New)</v>
          </cell>
          <cell r="AF1646">
            <v>42873</v>
          </cell>
          <cell r="AG1646">
            <v>9.17</v>
          </cell>
          <cell r="AH1646" t="str">
            <v>PPM</v>
          </cell>
          <cell r="AI1646" t="str">
            <v>Strands</v>
          </cell>
          <cell r="AJ1646" t="str">
            <v>Strands PW</v>
          </cell>
          <cell r="AK1646" t="str">
            <v>SNF received. 1st batch of V3 asset (December 2020)</v>
          </cell>
        </row>
        <row r="1647">
          <cell r="A1647" t="str">
            <v>IKN401545</v>
          </cell>
          <cell r="B1647">
            <v>1484</v>
          </cell>
          <cell r="C1647" t="str">
            <v>Institut Kanser Negara</v>
          </cell>
          <cell r="D1647" t="str">
            <v>KKM/IKN/H/13/5302</v>
          </cell>
          <cell r="E1647" t="str">
            <v>10-263</v>
          </cell>
          <cell r="F1647" t="str">
            <v>Balances, Electronic</v>
          </cell>
          <cell r="G1647" t="str">
            <v>PF</v>
          </cell>
          <cell r="H1647" t="str">
            <v>IN-PATIENT PHARMACY</v>
          </cell>
          <cell r="I1647" t="str">
            <v>05PF112</v>
          </cell>
          <cell r="J1647" t="str">
            <v>INTERNAL PREP</v>
          </cell>
          <cell r="K1647" t="str">
            <v>BMED</v>
          </cell>
          <cell r="L1647" t="str">
            <v>Normal</v>
          </cell>
          <cell r="M1647" t="str">
            <v>Germany</v>
          </cell>
          <cell r="N1647" t="str">
            <v>Sartorius</v>
          </cell>
          <cell r="O1647" t="str">
            <v>Sartorius TE412</v>
          </cell>
          <cell r="P1647" t="str">
            <v>28103584</v>
          </cell>
          <cell r="Q1647" t="str">
            <v>Not Applicable</v>
          </cell>
          <cell r="R1647" t="str">
            <v>Sartorius AG</v>
          </cell>
          <cell r="S1647" t="str">
            <v>Chemopharm Sdn. Bhd.</v>
          </cell>
          <cell r="T1647" t="str">
            <v>Functioning</v>
          </cell>
          <cell r="U1647" t="str">
            <v>Asset</v>
          </cell>
          <cell r="V1647">
            <v>5490</v>
          </cell>
          <cell r="W1647" t="str">
            <v>KEW</v>
          </cell>
          <cell r="X1647" t="str">
            <v>01/09/2010</v>
          </cell>
          <cell r="Y1647" t="str">
            <v>KEW</v>
          </cell>
          <cell r="Z1647" t="str">
            <v>16/08/2013</v>
          </cell>
          <cell r="AA1647" t="str">
            <v>15/08/2015</v>
          </cell>
          <cell r="AB1647" t="str">
            <v>No</v>
          </cell>
          <cell r="AC1647" t="str">
            <v>31/08/2013</v>
          </cell>
          <cell r="AD1647" t="str">
            <v>Good</v>
          </cell>
          <cell r="AE1647" t="str">
            <v>V1 - Existing / No Claim</v>
          </cell>
          <cell r="AF1647">
            <v>42873</v>
          </cell>
          <cell r="AG1647">
            <v>9.17</v>
          </cell>
          <cell r="AH1647" t="str">
            <v>PPM</v>
          </cell>
          <cell r="AI1647" t="str">
            <v>Strands</v>
          </cell>
          <cell r="AJ1647" t="str">
            <v>Strands PW</v>
          </cell>
        </row>
        <row r="1648">
          <cell r="A1648" t="str">
            <v>IKN401546</v>
          </cell>
          <cell r="B1648">
            <v>1485</v>
          </cell>
          <cell r="C1648" t="str">
            <v>Institut Kanser Negara</v>
          </cell>
          <cell r="D1648" t="str">
            <v>KKM/IKN/H/13/4878</v>
          </cell>
          <cell r="E1648" t="str">
            <v>15-161</v>
          </cell>
          <cell r="F1648" t="str">
            <v>Mixers, Clinical Laboratory</v>
          </cell>
          <cell r="G1648" t="str">
            <v>PF</v>
          </cell>
          <cell r="H1648" t="str">
            <v>IN-PATIENT PHARMACY</v>
          </cell>
          <cell r="I1648" t="str">
            <v>05PF114</v>
          </cell>
          <cell r="J1648" t="str">
            <v>CDR ROOM 1</v>
          </cell>
          <cell r="K1648" t="str">
            <v>BMED</v>
          </cell>
          <cell r="L1648" t="str">
            <v>Normal</v>
          </cell>
          <cell r="M1648" t="str">
            <v>Malaysia</v>
          </cell>
          <cell r="N1648" t="str">
            <v>ASASI</v>
          </cell>
          <cell r="O1648" t="str">
            <v>LRM-30</v>
          </cell>
          <cell r="P1648" t="str">
            <v>LRM3020117/1212</v>
          </cell>
          <cell r="Q1648" t="str">
            <v>Not Applicable</v>
          </cell>
          <cell r="R1648" t="str">
            <v>ASASI</v>
          </cell>
          <cell r="S1648" t="str">
            <v>Tech-Lab Scientific Sdn Bhd</v>
          </cell>
          <cell r="T1648" t="str">
            <v>Functioning</v>
          </cell>
          <cell r="U1648" t="str">
            <v>Asset</v>
          </cell>
          <cell r="V1648">
            <v>9500</v>
          </cell>
          <cell r="W1648" t="str">
            <v>KEW</v>
          </cell>
          <cell r="X1648" t="str">
            <v>01/09/2010</v>
          </cell>
          <cell r="Y1648" t="str">
            <v>KEW</v>
          </cell>
          <cell r="Z1648" t="str">
            <v>16/08/2013</v>
          </cell>
          <cell r="AA1648" t="str">
            <v>15/08/2015</v>
          </cell>
          <cell r="AB1648" t="str">
            <v>No</v>
          </cell>
          <cell r="AC1648" t="str">
            <v>31/08/2013</v>
          </cell>
          <cell r="AD1648" t="str">
            <v>Good</v>
          </cell>
          <cell r="AE1648" t="str">
            <v>V1 - Existing / No Claim</v>
          </cell>
          <cell r="AF1648">
            <v>42873</v>
          </cell>
          <cell r="AG1648">
            <v>9.17</v>
          </cell>
          <cell r="AH1648" t="str">
            <v>PPM</v>
          </cell>
          <cell r="AI1648" t="str">
            <v>Strands</v>
          </cell>
          <cell r="AJ1648" t="str">
            <v>Strands PW</v>
          </cell>
        </row>
        <row r="1649">
          <cell r="A1649" t="str">
            <v>IKN401547</v>
          </cell>
          <cell r="B1649">
            <v>1486</v>
          </cell>
          <cell r="C1649" t="str">
            <v>Institut Kanser Negara</v>
          </cell>
          <cell r="D1649" t="str">
            <v>KKM/IKN/H/13/4879</v>
          </cell>
          <cell r="E1649" t="str">
            <v>15-161</v>
          </cell>
          <cell r="F1649" t="str">
            <v>Mixers, Clinical Laboratory</v>
          </cell>
          <cell r="G1649" t="str">
            <v>PF</v>
          </cell>
          <cell r="H1649" t="str">
            <v>IN-PATIENT PHARMACY</v>
          </cell>
          <cell r="I1649" t="str">
            <v>05PF119</v>
          </cell>
          <cell r="J1649" t="str">
            <v>CDR ROOM 2</v>
          </cell>
          <cell r="K1649" t="str">
            <v>BMED</v>
          </cell>
          <cell r="L1649" t="str">
            <v>Normal</v>
          </cell>
          <cell r="M1649" t="str">
            <v>Malaysia</v>
          </cell>
          <cell r="N1649" t="str">
            <v>ASASI</v>
          </cell>
          <cell r="O1649" t="str">
            <v>LRM-30</v>
          </cell>
          <cell r="P1649" t="str">
            <v>LRM3020116/1212</v>
          </cell>
          <cell r="Q1649" t="str">
            <v>Not Applicable</v>
          </cell>
          <cell r="R1649" t="str">
            <v>ASASI</v>
          </cell>
          <cell r="S1649" t="str">
            <v>Tech-Lab Scientific Sdn Bhd</v>
          </cell>
          <cell r="T1649" t="str">
            <v>Functioning</v>
          </cell>
          <cell r="U1649" t="str">
            <v>Asset</v>
          </cell>
          <cell r="V1649">
            <v>9500</v>
          </cell>
          <cell r="W1649" t="str">
            <v>KEW</v>
          </cell>
          <cell r="X1649" t="str">
            <v>01/09/2010</v>
          </cell>
          <cell r="Y1649" t="str">
            <v>KEW</v>
          </cell>
          <cell r="Z1649" t="str">
            <v>16/08/2013</v>
          </cell>
          <cell r="AA1649" t="str">
            <v>15/08/2015</v>
          </cell>
          <cell r="AB1649" t="str">
            <v>No</v>
          </cell>
          <cell r="AC1649" t="str">
            <v>31/08/2013</v>
          </cell>
          <cell r="AD1649" t="str">
            <v>Good</v>
          </cell>
          <cell r="AE1649" t="str">
            <v>V1 - Existing / No Claim</v>
          </cell>
          <cell r="AF1649">
            <v>42873</v>
          </cell>
          <cell r="AG1649">
            <v>9.17</v>
          </cell>
          <cell r="AH1649" t="str">
            <v>PPM</v>
          </cell>
          <cell r="AI1649" t="str">
            <v>Strands</v>
          </cell>
          <cell r="AJ1649" t="str">
            <v>Strands PW</v>
          </cell>
        </row>
        <row r="1650">
          <cell r="A1650" t="str">
            <v>IKN401581</v>
          </cell>
          <cell r="B1650">
            <v>1520</v>
          </cell>
          <cell r="C1650" t="str">
            <v>Institut Kanser Negara</v>
          </cell>
          <cell r="D1650" t="str">
            <v>KKM/IKN/H/13/714</v>
          </cell>
          <cell r="E1650" t="str">
            <v>10-263</v>
          </cell>
          <cell r="F1650" t="str">
            <v>Balances, Electronic</v>
          </cell>
          <cell r="G1650" t="str">
            <v>KT</v>
          </cell>
          <cell r="H1650" t="str">
            <v>CATERING</v>
          </cell>
          <cell r="I1650" t="str">
            <v>01KT101</v>
          </cell>
          <cell r="J1650" t="str">
            <v>RECEIVING</v>
          </cell>
          <cell r="K1650" t="str">
            <v>BMED</v>
          </cell>
          <cell r="L1650" t="str">
            <v>Normal</v>
          </cell>
          <cell r="M1650" t="str">
            <v>Malaysia</v>
          </cell>
          <cell r="N1650" t="str">
            <v>Avery</v>
          </cell>
          <cell r="O1650" t="str">
            <v>Avery E-302</v>
          </cell>
          <cell r="P1650" t="str">
            <v>A11315275</v>
          </cell>
          <cell r="Q1650" t="str">
            <v>Not Applicable</v>
          </cell>
          <cell r="R1650" t="str">
            <v>Avery Weight-Tronix</v>
          </cell>
          <cell r="S1650" t="str">
            <v>SOMERCO JAYA SDN BHD</v>
          </cell>
          <cell r="T1650" t="str">
            <v>Functioning</v>
          </cell>
          <cell r="U1650" t="str">
            <v>Asset</v>
          </cell>
          <cell r="V1650">
            <v>3380</v>
          </cell>
          <cell r="W1650" t="str">
            <v>KEW</v>
          </cell>
          <cell r="X1650" t="str">
            <v>30/08/2013</v>
          </cell>
          <cell r="Y1650" t="str">
            <v>KEW</v>
          </cell>
          <cell r="Z1650" t="str">
            <v>30/08/2013</v>
          </cell>
          <cell r="AA1650" t="str">
            <v>30/08/2015</v>
          </cell>
          <cell r="AB1650" t="str">
            <v>No</v>
          </cell>
          <cell r="AC1650" t="str">
            <v>30/08/2013</v>
          </cell>
          <cell r="AD1650" t="str">
            <v>Good</v>
          </cell>
          <cell r="AE1650" t="str">
            <v>V1 - Existing / No Claim</v>
          </cell>
          <cell r="AF1650">
            <v>42935</v>
          </cell>
          <cell r="AG1650">
            <v>6.25</v>
          </cell>
          <cell r="AH1650" t="str">
            <v>PPM</v>
          </cell>
          <cell r="AI1650" t="str">
            <v>Strands</v>
          </cell>
          <cell r="AJ1650" t="str">
            <v>Strands PW</v>
          </cell>
        </row>
        <row r="1651">
          <cell r="A1651" t="str">
            <v>IKN401630</v>
          </cell>
          <cell r="B1651">
            <v>1564</v>
          </cell>
          <cell r="C1651" t="str">
            <v>Institut Kanser Negara</v>
          </cell>
          <cell r="D1651" t="str">
            <v>KKM/IKN/H/13/4875</v>
          </cell>
          <cell r="E1651" t="str">
            <v>15-161</v>
          </cell>
          <cell r="F1651" t="str">
            <v>Mixers, Clinical Laboratory</v>
          </cell>
          <cell r="G1651" t="str">
            <v>PF</v>
          </cell>
          <cell r="H1651" t="str">
            <v>IN-PATIENT PHARMACY</v>
          </cell>
          <cell r="I1651" t="str">
            <v>05PF110</v>
          </cell>
          <cell r="J1651" t="str">
            <v>EXTERNAL PREP</v>
          </cell>
          <cell r="K1651" t="str">
            <v>BMED</v>
          </cell>
          <cell r="L1651" t="str">
            <v>Normal</v>
          </cell>
          <cell r="M1651" t="str">
            <v>Taiwan</v>
          </cell>
          <cell r="N1651" t="str">
            <v>Spar Mixer</v>
          </cell>
          <cell r="O1651" t="str">
            <v>800-C</v>
          </cell>
          <cell r="P1651" t="str">
            <v>121225N-8</v>
          </cell>
          <cell r="Q1651" t="str">
            <v>Not Applicable</v>
          </cell>
          <cell r="R1651" t="str">
            <v>SPARFOOD MACHINERY MFG. CO. LTD</v>
          </cell>
          <cell r="S1651" t="str">
            <v>Bumi Sains Sdn. Bhd</v>
          </cell>
          <cell r="T1651" t="str">
            <v>Functioning</v>
          </cell>
          <cell r="U1651" t="str">
            <v>Asset</v>
          </cell>
          <cell r="V1651">
            <v>5520</v>
          </cell>
          <cell r="W1651" t="str">
            <v>KEW</v>
          </cell>
          <cell r="X1651" t="str">
            <v>30/08/2013</v>
          </cell>
          <cell r="Y1651" t="str">
            <v>KEW</v>
          </cell>
          <cell r="Z1651" t="str">
            <v>30/08/2013</v>
          </cell>
          <cell r="AA1651" t="str">
            <v>30/08/2015</v>
          </cell>
          <cell r="AB1651" t="str">
            <v>No</v>
          </cell>
          <cell r="AC1651" t="str">
            <v>30/08/2013</v>
          </cell>
          <cell r="AD1651" t="str">
            <v>Good</v>
          </cell>
          <cell r="AE1651" t="str">
            <v>V10 - Asset in initial fee submission(new/replacement hosp)</v>
          </cell>
          <cell r="AF1651">
            <v>43013</v>
          </cell>
          <cell r="AG1651">
            <v>6.25</v>
          </cell>
          <cell r="AH1651" t="str">
            <v>PPM</v>
          </cell>
          <cell r="AI1651" t="str">
            <v>Strands</v>
          </cell>
          <cell r="AJ1651" t="str">
            <v>Strands PW</v>
          </cell>
        </row>
        <row r="1652">
          <cell r="A1652" t="str">
            <v>IKN401631</v>
          </cell>
          <cell r="B1652">
            <v>1565</v>
          </cell>
          <cell r="C1652" t="str">
            <v>Institut Kanser Negara</v>
          </cell>
          <cell r="D1652" t="str">
            <v>KKM/IKN/H/13/5300</v>
          </cell>
          <cell r="E1652" t="str">
            <v>16-262</v>
          </cell>
          <cell r="F1652" t="str">
            <v>Smoke evacuation systems, surgical</v>
          </cell>
          <cell r="G1652" t="str">
            <v>PF</v>
          </cell>
          <cell r="H1652" t="str">
            <v>IN-PATIENT PHARMACY</v>
          </cell>
          <cell r="I1652" t="str">
            <v>05PF110</v>
          </cell>
          <cell r="J1652" t="str">
            <v>EXTERNAL PREP</v>
          </cell>
          <cell r="K1652" t="str">
            <v>BMED</v>
          </cell>
          <cell r="L1652" t="str">
            <v>Normal</v>
          </cell>
          <cell r="M1652" t="str">
            <v>Canada</v>
          </cell>
          <cell r="N1652" t="str">
            <v>Enviroflex</v>
          </cell>
          <cell r="O1652" t="str">
            <v>ESE 202A-220</v>
          </cell>
          <cell r="P1652" t="str">
            <v>030613-97</v>
          </cell>
          <cell r="Q1652" t="str">
            <v>Not Applicable</v>
          </cell>
          <cell r="R1652" t="str">
            <v>ENVIROFLEX INTERNATIONAL INC</v>
          </cell>
          <cell r="S1652" t="str">
            <v>FISHER SCIENTIFIC (M) SDN. BHD.</v>
          </cell>
          <cell r="T1652" t="str">
            <v>Functioning</v>
          </cell>
          <cell r="U1652" t="str">
            <v>Asset</v>
          </cell>
          <cell r="V1652">
            <v>1450</v>
          </cell>
          <cell r="W1652" t="str">
            <v>KEW</v>
          </cell>
          <cell r="X1652" t="str">
            <v>30/08/2013</v>
          </cell>
          <cell r="Y1652" t="str">
            <v>KEW</v>
          </cell>
          <cell r="Z1652" t="str">
            <v>30/08/2013</v>
          </cell>
          <cell r="AA1652" t="str">
            <v>30/08/2015</v>
          </cell>
          <cell r="AB1652" t="str">
            <v>No</v>
          </cell>
          <cell r="AC1652" t="str">
            <v>30/08/2013</v>
          </cell>
          <cell r="AD1652" t="str">
            <v>Good</v>
          </cell>
          <cell r="AE1652" t="str">
            <v>V3 - Added Installed Facilities (New)</v>
          </cell>
          <cell r="AF1652">
            <v>43013</v>
          </cell>
          <cell r="AG1652">
            <v>6.25</v>
          </cell>
          <cell r="AH1652" t="str">
            <v>PPM</v>
          </cell>
          <cell r="AI1652" t="str">
            <v>Strands</v>
          </cell>
          <cell r="AJ1652" t="str">
            <v>Strands PW</v>
          </cell>
          <cell r="AK1652" t="str">
            <v>SNF received. 1st batch of V3 asset (December 2020)</v>
          </cell>
        </row>
        <row r="1653">
          <cell r="A1653" t="str">
            <v>IKN401632</v>
          </cell>
          <cell r="B1653">
            <v>1566</v>
          </cell>
          <cell r="C1653" t="str">
            <v>Institut Kanser Negara</v>
          </cell>
          <cell r="D1653" t="str">
            <v>KKM/IKN/H/13/5301</v>
          </cell>
          <cell r="E1653" t="str">
            <v>16-262</v>
          </cell>
          <cell r="F1653" t="str">
            <v>Smoke evacuation systems, surgical</v>
          </cell>
          <cell r="G1653" t="str">
            <v>PF</v>
          </cell>
          <cell r="H1653" t="str">
            <v>IN-PATIENT PHARMACY</v>
          </cell>
          <cell r="I1653" t="str">
            <v>05PF112</v>
          </cell>
          <cell r="J1653" t="str">
            <v>INTERNAL PREP</v>
          </cell>
          <cell r="K1653" t="str">
            <v>BMED</v>
          </cell>
          <cell r="L1653" t="str">
            <v>Normal</v>
          </cell>
          <cell r="M1653" t="str">
            <v>Canada</v>
          </cell>
          <cell r="N1653" t="str">
            <v>Enviroflex</v>
          </cell>
          <cell r="O1653" t="str">
            <v>ESE 202A-220</v>
          </cell>
          <cell r="P1653" t="str">
            <v>030613-98</v>
          </cell>
          <cell r="Q1653" t="str">
            <v>Not Applicable</v>
          </cell>
          <cell r="R1653" t="str">
            <v>ENVIROFLEX INTERNATIONAL INC</v>
          </cell>
          <cell r="S1653" t="str">
            <v>FISHER SCIENTIFIC (M) SDN. BHD.</v>
          </cell>
          <cell r="T1653" t="str">
            <v>Functioning</v>
          </cell>
          <cell r="U1653" t="str">
            <v>Asset</v>
          </cell>
          <cell r="V1653">
            <v>1450</v>
          </cell>
          <cell r="W1653" t="str">
            <v>KEW</v>
          </cell>
          <cell r="X1653" t="str">
            <v>30/08/2013</v>
          </cell>
          <cell r="Y1653" t="str">
            <v>KEW</v>
          </cell>
          <cell r="Z1653" t="str">
            <v>30/08/2013</v>
          </cell>
          <cell r="AA1653" t="str">
            <v>30/08/2015</v>
          </cell>
          <cell r="AB1653" t="str">
            <v>No</v>
          </cell>
          <cell r="AC1653" t="str">
            <v>30/08/2013</v>
          </cell>
          <cell r="AD1653" t="str">
            <v>Good</v>
          </cell>
          <cell r="AE1653" t="str">
            <v>V3 - Added Installed Facilities (New)</v>
          </cell>
          <cell r="AF1653">
            <v>43013</v>
          </cell>
          <cell r="AG1653">
            <v>6.25</v>
          </cell>
          <cell r="AH1653" t="str">
            <v>PPM</v>
          </cell>
          <cell r="AI1653" t="str">
            <v>Strands</v>
          </cell>
          <cell r="AJ1653" t="str">
            <v>Strands PW</v>
          </cell>
          <cell r="AK1653" t="str">
            <v>SNF received. 1st batch of V3 asset (December 2020)</v>
          </cell>
        </row>
        <row r="1654">
          <cell r="A1654" t="str">
            <v>IKN401656</v>
          </cell>
          <cell r="B1654">
            <v>1586</v>
          </cell>
          <cell r="C1654" t="str">
            <v>Institut Kanser Negara</v>
          </cell>
          <cell r="D1654" t="str">
            <v>KKM/IKN/H/14/82</v>
          </cell>
          <cell r="E1654" t="str">
            <v>10-263</v>
          </cell>
          <cell r="F1654" t="str">
            <v>Balances, Electronic</v>
          </cell>
          <cell r="G1654" t="str">
            <v>OT</v>
          </cell>
          <cell r="H1654" t="str">
            <v>OPERATING THEATRE</v>
          </cell>
          <cell r="I1654" t="str">
            <v>05OT120</v>
          </cell>
          <cell r="J1654" t="str">
            <v>OT 2</v>
          </cell>
          <cell r="K1654" t="str">
            <v>BMED</v>
          </cell>
          <cell r="L1654" t="str">
            <v>Normal</v>
          </cell>
          <cell r="M1654" t="str">
            <v>China</v>
          </cell>
          <cell r="N1654" t="str">
            <v>Avanue</v>
          </cell>
          <cell r="O1654" t="str">
            <v>GF-24-1200A</v>
          </cell>
          <cell r="P1654" t="str">
            <v>GR14050010</v>
          </cell>
          <cell r="Q1654" t="str">
            <v>Not Applicable</v>
          </cell>
          <cell r="R1654" t="str">
            <v>KAYING POWER SUPPLY &amp; ELECTRICAL</v>
          </cell>
          <cell r="S1654" t="str">
            <v>MNB RESOURCES</v>
          </cell>
          <cell r="T1654" t="str">
            <v>Functioning</v>
          </cell>
          <cell r="U1654" t="str">
            <v>Asset</v>
          </cell>
          <cell r="V1654">
            <v>1500</v>
          </cell>
          <cell r="W1654" t="str">
            <v>KEW</v>
          </cell>
          <cell r="X1654" t="str">
            <v>25/09/2014</v>
          </cell>
          <cell r="Y1654" t="str">
            <v>KEW</v>
          </cell>
          <cell r="Z1654" t="str">
            <v>25/09/2014</v>
          </cell>
          <cell r="AA1654" t="str">
            <v>25/09/2015</v>
          </cell>
          <cell r="AB1654" t="str">
            <v>No</v>
          </cell>
          <cell r="AC1654" t="str">
            <v>25/09/2014</v>
          </cell>
          <cell r="AD1654" t="str">
            <v>Good</v>
          </cell>
          <cell r="AE1654" t="str">
            <v>V3 - Added Installed Facilities (New)</v>
          </cell>
          <cell r="AF1654">
            <v>43405</v>
          </cell>
          <cell r="AG1654">
            <v>5.17</v>
          </cell>
          <cell r="AH1654" t="str">
            <v>PPM</v>
          </cell>
          <cell r="AI1654" t="str">
            <v>Strands</v>
          </cell>
          <cell r="AJ1654" t="str">
            <v>Strands PW</v>
          </cell>
          <cell r="AK1654" t="str">
            <v>SNF received. 1st batch of V3 asset (December 2020)</v>
          </cell>
        </row>
        <row r="1655">
          <cell r="A1655" t="str">
            <v>IKN401687</v>
          </cell>
          <cell r="B1655">
            <v>1611</v>
          </cell>
          <cell r="C1655" t="str">
            <v>Institut Kanser Negara</v>
          </cell>
          <cell r="D1655" t="e">
            <v>#N/A</v>
          </cell>
          <cell r="E1655" t="str">
            <v>15-605</v>
          </cell>
          <cell r="F1655" t="str">
            <v>Testers</v>
          </cell>
          <cell r="G1655" t="str">
            <v>RT</v>
          </cell>
          <cell r="H1655" t="str">
            <v>RADIATION TREATMENT UNIT</v>
          </cell>
          <cell r="I1655" t="str">
            <v>01RT213</v>
          </cell>
          <cell r="J1655" t="str">
            <v>EQUIPMENT ROOM1</v>
          </cell>
          <cell r="K1655" t="str">
            <v>BMED</v>
          </cell>
          <cell r="L1655" t="str">
            <v>Normal</v>
          </cell>
          <cell r="M1655" t="str">
            <v>Germany</v>
          </cell>
          <cell r="N1655" t="str">
            <v>TR300</v>
          </cell>
          <cell r="O1655" t="str">
            <v>TR300</v>
          </cell>
          <cell r="P1655" t="str">
            <v>12060008</v>
          </cell>
          <cell r="Q1655" t="str">
            <v>Not Applicable</v>
          </cell>
          <cell r="R1655" t="str">
            <v>AMPROBE</v>
          </cell>
          <cell r="S1655" t="str">
            <v>DELTA SCIENTIFIC</v>
          </cell>
          <cell r="T1655" t="str">
            <v>Functioning</v>
          </cell>
          <cell r="U1655" t="str">
            <v>Asset</v>
          </cell>
          <cell r="V1655">
            <v>1000</v>
          </cell>
          <cell r="W1655" t="str">
            <v>KEW</v>
          </cell>
          <cell r="X1655" t="str">
            <v>01/09/2010</v>
          </cell>
          <cell r="Y1655" t="str">
            <v>KEW</v>
          </cell>
          <cell r="Z1655" t="str">
            <v>16/08/2013</v>
          </cell>
          <cell r="AA1655" t="str">
            <v>15/08/2015</v>
          </cell>
          <cell r="AB1655" t="str">
            <v>No</v>
          </cell>
          <cell r="AC1655" t="str">
            <v>16/08/2013</v>
          </cell>
          <cell r="AD1655" t="str">
            <v>Good</v>
          </cell>
          <cell r="AE1655" t="str">
            <v>V10 - Asset in initial fee submission(new/replacement hosp)</v>
          </cell>
          <cell r="AF1655">
            <v>43063</v>
          </cell>
          <cell r="AG1655">
            <v>9.17</v>
          </cell>
          <cell r="AH1655" t="str">
            <v>PPM</v>
          </cell>
          <cell r="AI1655" t="str">
            <v>package</v>
          </cell>
        </row>
        <row r="1656">
          <cell r="A1656" t="str">
            <v>IKN401689</v>
          </cell>
          <cell r="B1656">
            <v>1612</v>
          </cell>
          <cell r="C1656" t="str">
            <v>Institut Kanser Negara</v>
          </cell>
          <cell r="D1656" t="str">
            <v>KKM/IKN/H/13/3212</v>
          </cell>
          <cell r="E1656" t="str">
            <v>15-605</v>
          </cell>
          <cell r="F1656" t="str">
            <v>Testers</v>
          </cell>
          <cell r="G1656" t="str">
            <v>RT</v>
          </cell>
          <cell r="H1656" t="str">
            <v>RADIATION TREATMENT UNIT</v>
          </cell>
          <cell r="I1656" t="str">
            <v>01RT213</v>
          </cell>
          <cell r="J1656" t="str">
            <v>EQUIPMENT ROOM1</v>
          </cell>
          <cell r="K1656" t="str">
            <v>BMED</v>
          </cell>
          <cell r="L1656" t="str">
            <v>Normal</v>
          </cell>
          <cell r="M1656" t="str">
            <v>USA</v>
          </cell>
          <cell r="N1656" t="str">
            <v>SUPERMAX</v>
          </cell>
          <cell r="O1656" t="str">
            <v>SUPERMAX</v>
          </cell>
          <cell r="P1656" t="str">
            <v>P123102</v>
          </cell>
          <cell r="Q1656" t="str">
            <v>Not Applicable</v>
          </cell>
          <cell r="R1656" t="str">
            <v>STANDARD IMAGING</v>
          </cell>
          <cell r="S1656" t="str">
            <v>DELTA ADVANTECH (M) SDN. BHD.</v>
          </cell>
          <cell r="T1656" t="str">
            <v>Functioning</v>
          </cell>
          <cell r="U1656" t="str">
            <v>Asset</v>
          </cell>
          <cell r="V1656">
            <v>48000</v>
          </cell>
          <cell r="W1656" t="str">
            <v>KEW</v>
          </cell>
          <cell r="X1656" t="str">
            <v>01/09/2010</v>
          </cell>
          <cell r="Y1656" t="str">
            <v>KEW</v>
          </cell>
          <cell r="Z1656" t="str">
            <v>16/08/2013</v>
          </cell>
          <cell r="AA1656" t="str">
            <v>15/08/2015</v>
          </cell>
          <cell r="AB1656" t="str">
            <v>No</v>
          </cell>
          <cell r="AC1656" t="str">
            <v>16/08/2013</v>
          </cell>
          <cell r="AD1656" t="str">
            <v>Good</v>
          </cell>
          <cell r="AE1656" t="str">
            <v>V10 - Asset in initial fee submission(new/replacement hosp)</v>
          </cell>
          <cell r="AF1656">
            <v>43109</v>
          </cell>
          <cell r="AG1656">
            <v>9.17</v>
          </cell>
          <cell r="AH1656" t="str">
            <v>PPM</v>
          </cell>
          <cell r="AI1656" t="str">
            <v>package</v>
          </cell>
          <cell r="AJ1656" t="str">
            <v>Strands Package</v>
          </cell>
          <cell r="AK1656" t="str">
            <v>KEWPA WITH IKN401215. Package Code XL0110.</v>
          </cell>
        </row>
        <row r="1657">
          <cell r="A1657" t="str">
            <v>IKN401690</v>
          </cell>
          <cell r="B1657">
            <v>1613</v>
          </cell>
          <cell r="C1657" t="str">
            <v>Institut Kanser Negara</v>
          </cell>
          <cell r="D1657" t="str">
            <v>KKM/IKN/H/13/4952</v>
          </cell>
          <cell r="E1657" t="str">
            <v>15-605</v>
          </cell>
          <cell r="F1657" t="str">
            <v>Testers</v>
          </cell>
          <cell r="G1657" t="str">
            <v>RT</v>
          </cell>
          <cell r="H1657" t="str">
            <v>RADIATION TREATMENT UNIT</v>
          </cell>
          <cell r="I1657" t="str">
            <v>01RT213</v>
          </cell>
          <cell r="J1657" t="str">
            <v>EQUIPMENT ROOM1</v>
          </cell>
          <cell r="K1657" t="str">
            <v>BMED</v>
          </cell>
          <cell r="L1657" t="str">
            <v>Normal</v>
          </cell>
          <cell r="M1657" t="str">
            <v>USA</v>
          </cell>
          <cell r="N1657" t="str">
            <v>SUPERMAX</v>
          </cell>
          <cell r="O1657" t="str">
            <v>SUPERMAX</v>
          </cell>
          <cell r="P1657" t="str">
            <v>P123101</v>
          </cell>
          <cell r="Q1657" t="str">
            <v>Not Applicable</v>
          </cell>
          <cell r="R1657" t="str">
            <v>STANDARD IMAGING</v>
          </cell>
          <cell r="S1657" t="str">
            <v>DELTA ADVANTECH (M) SDN. BHD.</v>
          </cell>
          <cell r="T1657" t="str">
            <v>Functioning</v>
          </cell>
          <cell r="U1657" t="str">
            <v>Asset</v>
          </cell>
          <cell r="V1657">
            <v>48000</v>
          </cell>
          <cell r="W1657" t="str">
            <v>KEW</v>
          </cell>
          <cell r="X1657" t="str">
            <v>01/09/2010</v>
          </cell>
          <cell r="Y1657" t="str">
            <v>KEW</v>
          </cell>
          <cell r="Z1657" t="str">
            <v>16/08/2013</v>
          </cell>
          <cell r="AA1657" t="str">
            <v>15/08/2015</v>
          </cell>
          <cell r="AB1657" t="str">
            <v>No</v>
          </cell>
          <cell r="AC1657" t="str">
            <v>16/08/2013</v>
          </cell>
          <cell r="AD1657" t="str">
            <v>Good</v>
          </cell>
          <cell r="AE1657" t="str">
            <v>V3 - Added Installed Facilities (New)</v>
          </cell>
          <cell r="AF1657">
            <v>43109</v>
          </cell>
          <cell r="AG1657">
            <v>9.17</v>
          </cell>
          <cell r="AH1657" t="str">
            <v>PPM</v>
          </cell>
          <cell r="AI1657" t="str">
            <v>Strands</v>
          </cell>
          <cell r="AJ1657" t="str">
            <v>Strands PW</v>
          </cell>
          <cell r="AK1657" t="str">
            <v>SNF received. 1st batch of V3 asset (December 2020)</v>
          </cell>
        </row>
        <row r="1658">
          <cell r="A1658" t="str">
            <v>IKN401691</v>
          </cell>
          <cell r="B1658">
            <v>1614</v>
          </cell>
          <cell r="C1658" t="str">
            <v>Institut Kanser Negara</v>
          </cell>
          <cell r="D1658" t="str">
            <v>KKM/IKN/H/13/2865</v>
          </cell>
          <cell r="E1658" t="str">
            <v>13-461</v>
          </cell>
          <cell r="F1658" t="str">
            <v>Scales, Patient, Floor</v>
          </cell>
          <cell r="G1658" t="str">
            <v>HP</v>
          </cell>
          <cell r="H1658" t="str">
            <v>HEALTH PROMO &amp; CANCER UNIT</v>
          </cell>
          <cell r="I1658" t="str">
            <v>04HP103</v>
          </cell>
          <cell r="J1658" t="str">
            <v>COUNSELLING</v>
          </cell>
          <cell r="K1658" t="str">
            <v>BMED</v>
          </cell>
          <cell r="L1658" t="str">
            <v>Normal</v>
          </cell>
          <cell r="M1658" t="str">
            <v>Japan</v>
          </cell>
          <cell r="N1658" t="str">
            <v>Seca</v>
          </cell>
          <cell r="O1658" t="str">
            <v>Seca 769/220</v>
          </cell>
          <cell r="P1658" t="str">
            <v>5769177136669</v>
          </cell>
          <cell r="Q1658" t="str">
            <v>Not Applicable</v>
          </cell>
          <cell r="R1658" t="str">
            <v>Seca Ag</v>
          </cell>
          <cell r="S1658" t="str">
            <v>JOAT RESOURCES SDN BHD</v>
          </cell>
          <cell r="T1658" t="str">
            <v>Functioning</v>
          </cell>
          <cell r="U1658" t="str">
            <v>Asset</v>
          </cell>
          <cell r="V1658">
            <v>3300</v>
          </cell>
          <cell r="W1658" t="str">
            <v>KEW</v>
          </cell>
          <cell r="X1658" t="str">
            <v>05/12/2013</v>
          </cell>
          <cell r="Y1658" t="str">
            <v>KEW</v>
          </cell>
          <cell r="Z1658" t="str">
            <v>09/06/2014</v>
          </cell>
          <cell r="AA1658" t="str">
            <v>09/06/2015</v>
          </cell>
          <cell r="AB1658" t="str">
            <v>No</v>
          </cell>
          <cell r="AC1658" t="str">
            <v>09/06/2014</v>
          </cell>
          <cell r="AD1658" t="str">
            <v>Good</v>
          </cell>
          <cell r="AE1658" t="str">
            <v>V3 - Added Installed Facilities (New)</v>
          </cell>
          <cell r="AF1658">
            <v>43447</v>
          </cell>
          <cell r="AG1658">
            <v>5.92</v>
          </cell>
          <cell r="AH1658" t="str">
            <v>PPM</v>
          </cell>
          <cell r="AI1658" t="str">
            <v>Strands</v>
          </cell>
          <cell r="AJ1658" t="str">
            <v>Strands PW</v>
          </cell>
          <cell r="AK1658" t="str">
            <v>SNF received. 1st batch of V3 asset (December 2020). In contract, IKN401470, Location: HP.</v>
          </cell>
        </row>
        <row r="1659">
          <cell r="A1659" t="str">
            <v>IKN401692</v>
          </cell>
          <cell r="B1659">
            <v>1615</v>
          </cell>
          <cell r="C1659" t="str">
            <v>Institut Kanser Negara</v>
          </cell>
          <cell r="D1659" t="str">
            <v>KKM/IKN/H/13/4470 - 07</v>
          </cell>
          <cell r="E1659" t="str">
            <v>15-605</v>
          </cell>
          <cell r="F1659" t="str">
            <v>Testers</v>
          </cell>
          <cell r="G1659" t="str">
            <v>RT</v>
          </cell>
          <cell r="H1659" t="str">
            <v>RADIATION TREATMENT UNIT</v>
          </cell>
          <cell r="I1659" t="str">
            <v>01RT213</v>
          </cell>
          <cell r="J1659" t="str">
            <v>EQUIPMENT ROOM1</v>
          </cell>
          <cell r="K1659" t="str">
            <v>BMED</v>
          </cell>
          <cell r="L1659" t="str">
            <v>Normal</v>
          </cell>
          <cell r="M1659" t="str">
            <v>Germany</v>
          </cell>
          <cell r="N1659" t="str">
            <v>PTW</v>
          </cell>
          <cell r="O1659" t="str">
            <v>OCTAVIUS DETECTOR 729</v>
          </cell>
          <cell r="P1659" t="str">
            <v>000453</v>
          </cell>
          <cell r="Q1659" t="str">
            <v>Not Applicable</v>
          </cell>
          <cell r="R1659" t="str">
            <v>PTW</v>
          </cell>
          <cell r="S1659" t="str">
            <v>ABEX MEDICAL SYSTEM SDN BHD</v>
          </cell>
          <cell r="T1659" t="str">
            <v>Functioning</v>
          </cell>
          <cell r="U1659" t="str">
            <v>Asset</v>
          </cell>
          <cell r="V1659">
            <v>30000</v>
          </cell>
          <cell r="W1659" t="str">
            <v>KEW</v>
          </cell>
          <cell r="X1659" t="str">
            <v>01/09/2010</v>
          </cell>
          <cell r="Y1659" t="str">
            <v>KEW</v>
          </cell>
          <cell r="Z1659" t="str">
            <v>16/08/2013</v>
          </cell>
          <cell r="AA1659" t="str">
            <v>15/08/2015</v>
          </cell>
          <cell r="AB1659" t="str">
            <v>No</v>
          </cell>
          <cell r="AC1659" t="str">
            <v>16/08/2013</v>
          </cell>
          <cell r="AD1659" t="str">
            <v>Good</v>
          </cell>
          <cell r="AE1659" t="str">
            <v>V10 - Asset in initial fee submission(new/replacement hosp)</v>
          </cell>
          <cell r="AF1659">
            <v>43195</v>
          </cell>
          <cell r="AG1659">
            <v>9.17</v>
          </cell>
          <cell r="AH1659" t="str">
            <v>PPM</v>
          </cell>
          <cell r="AI1659" t="str">
            <v>package</v>
          </cell>
          <cell r="AJ1659" t="str">
            <v>Strands Package</v>
          </cell>
          <cell r="AK1659" t="str">
            <v>Package XM0002. [31/5/2024, SHARIFAH]: UPDATE BRAND &amp; MODEL</v>
          </cell>
        </row>
        <row r="1660">
          <cell r="A1660" t="str">
            <v>IKN401693</v>
          </cell>
          <cell r="B1660">
            <v>1616</v>
          </cell>
          <cell r="C1660" t="str">
            <v>Institut Kanser Negara</v>
          </cell>
          <cell r="D1660" t="str">
            <v>KKM/IKN/H/13/4471 - 05</v>
          </cell>
          <cell r="E1660" t="str">
            <v>15-605</v>
          </cell>
          <cell r="F1660" t="str">
            <v>Testers</v>
          </cell>
          <cell r="G1660" t="str">
            <v>RT</v>
          </cell>
          <cell r="H1660" t="str">
            <v>RADIATION TREATMENT UNIT</v>
          </cell>
          <cell r="I1660" t="str">
            <v>01RT213</v>
          </cell>
          <cell r="J1660" t="str">
            <v>EQUIPMENT ROOM1</v>
          </cell>
          <cell r="K1660" t="str">
            <v>BMED</v>
          </cell>
          <cell r="L1660" t="str">
            <v>Normal</v>
          </cell>
          <cell r="M1660" t="str">
            <v>Germany</v>
          </cell>
          <cell r="N1660" t="str">
            <v>PTW</v>
          </cell>
          <cell r="O1660" t="str">
            <v>OCTAVIUS DETECTOR 729</v>
          </cell>
          <cell r="P1660" t="str">
            <v>000454</v>
          </cell>
          <cell r="Q1660" t="str">
            <v>Not Applicable</v>
          </cell>
          <cell r="R1660" t="str">
            <v>PTW</v>
          </cell>
          <cell r="S1660" t="str">
            <v>ABEX MEDICAL SYSTEM SDN BHD</v>
          </cell>
          <cell r="T1660" t="str">
            <v>Functioning</v>
          </cell>
          <cell r="U1660" t="str">
            <v>Asset</v>
          </cell>
          <cell r="V1660">
            <v>30000</v>
          </cell>
          <cell r="W1660" t="str">
            <v>KEW</v>
          </cell>
          <cell r="X1660" t="str">
            <v>01/09/2010</v>
          </cell>
          <cell r="Y1660" t="str">
            <v>KEW</v>
          </cell>
          <cell r="Z1660" t="str">
            <v>16/08/2013</v>
          </cell>
          <cell r="AA1660" t="str">
            <v>15/08/2015</v>
          </cell>
          <cell r="AB1660" t="str">
            <v>No</v>
          </cell>
          <cell r="AC1660" t="str">
            <v>31/08/2013</v>
          </cell>
          <cell r="AD1660" t="str">
            <v>Good</v>
          </cell>
          <cell r="AE1660" t="str">
            <v>V10 - Asset in initial fee submission(new/replacement hosp)</v>
          </cell>
          <cell r="AF1660">
            <v>43195</v>
          </cell>
          <cell r="AG1660">
            <v>9.17</v>
          </cell>
          <cell r="AH1660" t="str">
            <v>PPM</v>
          </cell>
          <cell r="AI1660" t="str">
            <v>package</v>
          </cell>
          <cell r="AJ1660" t="str">
            <v>Strands Package</v>
          </cell>
          <cell r="AK1660" t="str">
            <v>Package XM0002. [31/5/2024, SHARIFAH]: UPDATE BRAND &amp; MODEL</v>
          </cell>
        </row>
        <row r="1661">
          <cell r="A1661" t="str">
            <v>IKN401694</v>
          </cell>
          <cell r="B1661">
            <v>1617</v>
          </cell>
          <cell r="C1661" t="str">
            <v>Institut Kanser Negara</v>
          </cell>
          <cell r="D1661" t="str">
            <v>KKM/IKN/H/13/5296</v>
          </cell>
          <cell r="E1661" t="str">
            <v>16-340</v>
          </cell>
          <cell r="F1661" t="str">
            <v>Cast Cutters, Electric</v>
          </cell>
          <cell r="G1661" t="str">
            <v>RT</v>
          </cell>
          <cell r="H1661" t="str">
            <v>RADIATION TREATMENT UNIT</v>
          </cell>
          <cell r="I1661" t="str">
            <v>01RT193</v>
          </cell>
          <cell r="J1661" t="str">
            <v>MOULD ROOM 1</v>
          </cell>
          <cell r="K1661" t="str">
            <v>BMED</v>
          </cell>
          <cell r="L1661" t="str">
            <v>Normal</v>
          </cell>
          <cell r="M1661" t="str">
            <v>GERMANY</v>
          </cell>
          <cell r="N1661" t="str">
            <v>HEK-A2D</v>
          </cell>
          <cell r="O1661" t="str">
            <v>HEKA2D</v>
          </cell>
          <cell r="P1661" t="str">
            <v>200027</v>
          </cell>
          <cell r="Q1661" t="str">
            <v>Not Applicable</v>
          </cell>
          <cell r="R1661" t="str">
            <v>HEKMEDIKAL</v>
          </cell>
          <cell r="S1661" t="str">
            <v>DELTA ADVANTECH (M) SDN. BHD.</v>
          </cell>
          <cell r="T1661" t="str">
            <v>Functioning</v>
          </cell>
          <cell r="U1661" t="str">
            <v>Asset</v>
          </cell>
          <cell r="V1661">
            <v>435480</v>
          </cell>
          <cell r="W1661" t="str">
            <v>KEW</v>
          </cell>
          <cell r="X1661" t="str">
            <v>01/09/2010</v>
          </cell>
          <cell r="Y1661" t="str">
            <v>KEW</v>
          </cell>
          <cell r="Z1661" t="str">
            <v>16/08/2013</v>
          </cell>
          <cell r="AA1661" t="str">
            <v>15/08/2015</v>
          </cell>
          <cell r="AB1661" t="str">
            <v>No</v>
          </cell>
          <cell r="AC1661" t="str">
            <v>16/08/2013</v>
          </cell>
          <cell r="AD1661" t="str">
            <v>Good</v>
          </cell>
          <cell r="AE1661" t="str">
            <v>V10 - Asset in initial fee submission(new/replacement hosp)</v>
          </cell>
          <cell r="AF1661">
            <v>43284</v>
          </cell>
          <cell r="AG1661">
            <v>9.17</v>
          </cell>
          <cell r="AH1661" t="str">
            <v>PPM</v>
          </cell>
          <cell r="AI1661" t="str">
            <v>Strands</v>
          </cell>
          <cell r="AJ1661" t="str">
            <v>Strands PW</v>
          </cell>
        </row>
        <row r="1662">
          <cell r="A1662" t="str">
            <v>IKN401695</v>
          </cell>
          <cell r="B1662">
            <v>1618</v>
          </cell>
          <cell r="C1662" t="str">
            <v>Institut Kanser Negara</v>
          </cell>
          <cell r="D1662" t="str">
            <v>N/A</v>
          </cell>
          <cell r="E1662" t="str">
            <v>88-021</v>
          </cell>
          <cell r="F1662" t="str">
            <v>Radiochemistry, Dispenser, Radiopharmaceuticals</v>
          </cell>
          <cell r="G1662" t="str">
            <v>NM</v>
          </cell>
          <cell r="H1662" t="str">
            <v>NUCLEAR MED (DIAGNOSTIC)</v>
          </cell>
          <cell r="I1662" t="str">
            <v>03NM133</v>
          </cell>
          <cell r="J1662" t="str">
            <v>RADIODINE DISPENSING (-VE)</v>
          </cell>
          <cell r="K1662" t="str">
            <v>BMED</v>
          </cell>
          <cell r="L1662" t="str">
            <v>Normal</v>
          </cell>
          <cell r="M1662" t="str">
            <v>UK</v>
          </cell>
          <cell r="N1662" t="str">
            <v>Amercare</v>
          </cell>
          <cell r="O1662" t="str">
            <v>Amercare ADD Mk 3</v>
          </cell>
          <cell r="P1662" t="str">
            <v>A1038</v>
          </cell>
          <cell r="Q1662" t="str">
            <v>Not Applicable</v>
          </cell>
          <cell r="R1662" t="str">
            <v>Amercare Ltd</v>
          </cell>
          <cell r="S1662" t="str">
            <v>CLEANZONES (M) SDN BHD</v>
          </cell>
          <cell r="T1662" t="str">
            <v>Functioning</v>
          </cell>
          <cell r="U1662" t="str">
            <v>Asset</v>
          </cell>
          <cell r="V1662">
            <v>368850</v>
          </cell>
          <cell r="W1662" t="str">
            <v>KEW</v>
          </cell>
          <cell r="X1662" t="str">
            <v>01/09/2010</v>
          </cell>
          <cell r="Y1662" t="str">
            <v>KEW</v>
          </cell>
          <cell r="Z1662" t="str">
            <v>16/08/2013</v>
          </cell>
          <cell r="AA1662" t="str">
            <v>15/08/2015</v>
          </cell>
          <cell r="AB1662" t="str">
            <v>No</v>
          </cell>
          <cell r="AC1662" t="str">
            <v>16/08/2013</v>
          </cell>
          <cell r="AD1662" t="str">
            <v>Good</v>
          </cell>
          <cell r="AE1662" t="str">
            <v>V10 - Asset in initial fee submission(new/replacement hosp)</v>
          </cell>
          <cell r="AF1662">
            <v>43214</v>
          </cell>
          <cell r="AG1662">
            <v>9.17</v>
          </cell>
          <cell r="AH1662" t="str">
            <v>PPM</v>
          </cell>
          <cell r="AI1662" t="str">
            <v>Strands</v>
          </cell>
          <cell r="AJ1662" t="str">
            <v>Strands Package</v>
          </cell>
          <cell r="AK1662" t="str">
            <v>Package Code XL0008A</v>
          </cell>
        </row>
        <row r="1663">
          <cell r="A1663" t="str">
            <v>IKN401698</v>
          </cell>
          <cell r="B1663">
            <v>1620</v>
          </cell>
          <cell r="C1663" t="str">
            <v>Institut Kanser Negara</v>
          </cell>
          <cell r="D1663" t="str">
            <v>KKM/IKN/H/18/21</v>
          </cell>
          <cell r="E1663" t="str">
            <v>15-577</v>
          </cell>
          <cell r="F1663" t="str">
            <v>Dynamometers</v>
          </cell>
          <cell r="G1663" t="str">
            <v>DU</v>
          </cell>
          <cell r="H1663" t="str">
            <v>DIETICIAN UNIT</v>
          </cell>
          <cell r="I1663" t="str">
            <v>03DU102</v>
          </cell>
          <cell r="J1663" t="str">
            <v>RECEPTION</v>
          </cell>
          <cell r="K1663" t="str">
            <v>BMED</v>
          </cell>
          <cell r="L1663" t="str">
            <v>Normal</v>
          </cell>
          <cell r="M1663" t="str">
            <v>CHINA</v>
          </cell>
          <cell r="N1663" t="str">
            <v>JAMAR PLUS</v>
          </cell>
          <cell r="O1663">
            <v>563213</v>
          </cell>
          <cell r="P1663">
            <v>2016010972</v>
          </cell>
          <cell r="Q1663" t="str">
            <v>Not Applicable</v>
          </cell>
          <cell r="R1663" t="str">
            <v>PATERSON MEDICAL</v>
          </cell>
          <cell r="S1663" t="str">
            <v>SCIENFIELD EXPERTISE PLT</v>
          </cell>
          <cell r="T1663" t="str">
            <v>Functioning</v>
          </cell>
          <cell r="U1663" t="str">
            <v>Asset</v>
          </cell>
          <cell r="V1663">
            <v>2298</v>
          </cell>
          <cell r="W1663" t="str">
            <v>KEW</v>
          </cell>
          <cell r="X1663" t="str">
            <v>23/10/2018</v>
          </cell>
          <cell r="Y1663" t="str">
            <v>KEW</v>
          </cell>
          <cell r="Z1663" t="str">
            <v>28/02/2019</v>
          </cell>
          <cell r="AA1663" t="str">
            <v>27/02/2020</v>
          </cell>
          <cell r="AB1663" t="str">
            <v>No</v>
          </cell>
          <cell r="AC1663" t="str">
            <v>28/02/2019</v>
          </cell>
          <cell r="AD1663" t="str">
            <v>Good</v>
          </cell>
          <cell r="AE1663" t="str">
            <v>V3 - Added Installed Facilities (New)</v>
          </cell>
          <cell r="AF1663">
            <v>43658</v>
          </cell>
          <cell r="AG1663">
            <v>1.08</v>
          </cell>
          <cell r="AH1663" t="str">
            <v>PPM</v>
          </cell>
          <cell r="AI1663" t="str">
            <v>Strands</v>
          </cell>
          <cell r="AJ1663" t="str">
            <v>Strands PW</v>
          </cell>
          <cell r="AK1663" t="str">
            <v>SNF received. 1st batch of V3 asset (December 2020)</v>
          </cell>
        </row>
        <row r="1664">
          <cell r="A1664" t="str">
            <v>IKN401700</v>
          </cell>
          <cell r="B1664">
            <v>1621</v>
          </cell>
          <cell r="C1664" t="str">
            <v>Institut Kanser Negara</v>
          </cell>
          <cell r="D1664" t="str">
            <v>KKM/IKN/H/18/5</v>
          </cell>
          <cell r="E1664" t="str">
            <v>13-215</v>
          </cell>
          <cell r="F1664" t="str">
            <v>Infusion Pumps, General-Purpose</v>
          </cell>
          <cell r="G1664" t="str">
            <v>WE</v>
          </cell>
          <cell r="H1664" t="str">
            <v>RT/ONCO WARD 1 (F)</v>
          </cell>
          <cell r="I1664" t="str">
            <v>07WE113</v>
          </cell>
          <cell r="J1664" t="str">
            <v>EQUIPMENT ROOM</v>
          </cell>
          <cell r="K1664" t="str">
            <v>BMED</v>
          </cell>
          <cell r="L1664" t="str">
            <v>Critical</v>
          </cell>
          <cell r="M1664" t="str">
            <v>Germany</v>
          </cell>
          <cell r="N1664" t="str">
            <v>Infusomat</v>
          </cell>
          <cell r="O1664" t="str">
            <v>Infusomat Space</v>
          </cell>
          <cell r="P1664" t="str">
            <v>512835</v>
          </cell>
          <cell r="Q1664" t="str">
            <v>Not Applicable</v>
          </cell>
          <cell r="R1664" t="str">
            <v>B Braun Melsungen AG</v>
          </cell>
          <cell r="S1664" t="str">
            <v>B Braun Medical Supplies Sdn. Bhd.</v>
          </cell>
          <cell r="T1664" t="str">
            <v>Functioning</v>
          </cell>
          <cell r="U1664" t="str">
            <v>Asset</v>
          </cell>
          <cell r="V1664">
            <v>5800</v>
          </cell>
          <cell r="W1664" t="str">
            <v>KEW</v>
          </cell>
          <cell r="X1664" t="str">
            <v>31/07/2018</v>
          </cell>
          <cell r="Y1664" t="str">
            <v>KEW</v>
          </cell>
          <cell r="Z1664" t="str">
            <v>05/09/2018</v>
          </cell>
          <cell r="AA1664" t="str">
            <v>04/09/2020</v>
          </cell>
          <cell r="AB1664" t="str">
            <v>No</v>
          </cell>
          <cell r="AC1664" t="str">
            <v>05/09/2018</v>
          </cell>
          <cell r="AD1664" t="str">
            <v>Good</v>
          </cell>
          <cell r="AE1664" t="str">
            <v>V3 - Added Installed Facilities (New)</v>
          </cell>
          <cell r="AF1664">
            <v>43385</v>
          </cell>
          <cell r="AG1664">
            <v>1.33</v>
          </cell>
          <cell r="AH1664" t="str">
            <v>PPM</v>
          </cell>
          <cell r="AI1664" t="str">
            <v>Strands</v>
          </cell>
          <cell r="AJ1664" t="str">
            <v>Strands PW</v>
          </cell>
        </row>
        <row r="1665">
          <cell r="A1665" t="str">
            <v>IKN401701</v>
          </cell>
          <cell r="B1665">
            <v>1622</v>
          </cell>
          <cell r="C1665" t="str">
            <v>Institut Kanser Negara</v>
          </cell>
          <cell r="D1665" t="str">
            <v>KKM/IKN/H/18/1</v>
          </cell>
          <cell r="E1665" t="str">
            <v>13-215</v>
          </cell>
          <cell r="F1665" t="str">
            <v>Infusion Pumps, General-Purpose</v>
          </cell>
          <cell r="G1665" t="str">
            <v>WH</v>
          </cell>
          <cell r="H1665" t="str">
            <v>RT/ONCO WARD 2 (M)</v>
          </cell>
          <cell r="I1665" t="str">
            <v>08WH121</v>
          </cell>
          <cell r="J1665" t="str">
            <v>EQUIPMENT ROOM</v>
          </cell>
          <cell r="K1665" t="str">
            <v>BMED</v>
          </cell>
          <cell r="L1665" t="str">
            <v>Critical</v>
          </cell>
          <cell r="M1665" t="str">
            <v>Germany</v>
          </cell>
          <cell r="N1665" t="str">
            <v>Infusomat</v>
          </cell>
          <cell r="O1665" t="str">
            <v>Infusomat Space</v>
          </cell>
          <cell r="P1665" t="str">
            <v>512807</v>
          </cell>
          <cell r="Q1665" t="str">
            <v>Not Applicable</v>
          </cell>
          <cell r="R1665" t="str">
            <v>B Braun Melsungen AG</v>
          </cell>
          <cell r="S1665" t="str">
            <v>B Braun Medical Supplies Sdn. Bhd.</v>
          </cell>
          <cell r="T1665" t="str">
            <v>Functioning</v>
          </cell>
          <cell r="U1665" t="str">
            <v>Asset</v>
          </cell>
          <cell r="V1665">
            <v>5800</v>
          </cell>
          <cell r="W1665" t="str">
            <v>KEW</v>
          </cell>
          <cell r="X1665" t="str">
            <v>31/07/2018</v>
          </cell>
          <cell r="Y1665" t="str">
            <v>KEW</v>
          </cell>
          <cell r="Z1665" t="str">
            <v>05/09/2018</v>
          </cell>
          <cell r="AA1665" t="str">
            <v>04/09/2020</v>
          </cell>
          <cell r="AB1665" t="str">
            <v>No</v>
          </cell>
          <cell r="AC1665" t="str">
            <v>05/09/2018</v>
          </cell>
          <cell r="AD1665" t="str">
            <v>Good</v>
          </cell>
          <cell r="AE1665" t="str">
            <v>V3 - Added Installed Facilities (New)</v>
          </cell>
          <cell r="AF1665">
            <v>43385</v>
          </cell>
          <cell r="AG1665">
            <v>1.33</v>
          </cell>
          <cell r="AH1665" t="str">
            <v>PPM</v>
          </cell>
          <cell r="AI1665" t="str">
            <v>Strands</v>
          </cell>
          <cell r="AJ1665" t="str">
            <v>Strands PW</v>
          </cell>
        </row>
        <row r="1666">
          <cell r="A1666" t="str">
            <v>IKN401702</v>
          </cell>
          <cell r="B1666">
            <v>1623</v>
          </cell>
          <cell r="C1666" t="str">
            <v>Institut Kanser Negara</v>
          </cell>
          <cell r="D1666" t="str">
            <v>KKM/IKN/H/18/2</v>
          </cell>
          <cell r="E1666" t="str">
            <v>13-215</v>
          </cell>
          <cell r="F1666" t="str">
            <v>Infusion Pumps, General-Purpose</v>
          </cell>
          <cell r="G1666" t="str">
            <v>WD</v>
          </cell>
          <cell r="H1666" t="str">
            <v>RT/ONCO PAED/ADOLESCENT WARD</v>
          </cell>
          <cell r="I1666" t="str">
            <v>06WD153</v>
          </cell>
          <cell r="J1666" t="str">
            <v>EQP.ROOM</v>
          </cell>
          <cell r="K1666" t="str">
            <v>BMED</v>
          </cell>
          <cell r="L1666" t="str">
            <v>Critical</v>
          </cell>
          <cell r="M1666" t="str">
            <v>Germany</v>
          </cell>
          <cell r="N1666" t="str">
            <v>Infusomat</v>
          </cell>
          <cell r="O1666" t="str">
            <v>Infusomat Space</v>
          </cell>
          <cell r="P1666" t="str">
            <v>512814</v>
          </cell>
          <cell r="Q1666" t="str">
            <v>Not Applicable</v>
          </cell>
          <cell r="R1666" t="str">
            <v>B Braun Melsungen AG</v>
          </cell>
          <cell r="S1666" t="str">
            <v>B Braun Medical Supplies Sdn. Bhd.</v>
          </cell>
          <cell r="T1666" t="str">
            <v>Functioning</v>
          </cell>
          <cell r="U1666" t="str">
            <v>Asset</v>
          </cell>
          <cell r="V1666">
            <v>5800</v>
          </cell>
          <cell r="W1666" t="str">
            <v>KEW</v>
          </cell>
          <cell r="X1666" t="str">
            <v>31/07/2018</v>
          </cell>
          <cell r="Y1666" t="str">
            <v>KEW</v>
          </cell>
          <cell r="Z1666" t="str">
            <v>05/09/2018</v>
          </cell>
          <cell r="AA1666" t="str">
            <v>04/09/2020</v>
          </cell>
          <cell r="AB1666" t="str">
            <v>No</v>
          </cell>
          <cell r="AC1666" t="str">
            <v>05/09/2018</v>
          </cell>
          <cell r="AD1666" t="str">
            <v>Good</v>
          </cell>
          <cell r="AE1666" t="str">
            <v>V3 - Added Installed Facilities (New)</v>
          </cell>
          <cell r="AF1666">
            <v>43385</v>
          </cell>
          <cell r="AG1666">
            <v>1.33</v>
          </cell>
          <cell r="AH1666" t="str">
            <v>PPM</v>
          </cell>
          <cell r="AI1666" t="str">
            <v>Strands</v>
          </cell>
          <cell r="AJ1666" t="str">
            <v>Strands PW</v>
          </cell>
        </row>
        <row r="1667">
          <cell r="A1667" t="str">
            <v>IKN401703</v>
          </cell>
          <cell r="B1667">
            <v>1624</v>
          </cell>
          <cell r="C1667" t="str">
            <v>Institut Kanser Negara</v>
          </cell>
          <cell r="D1667" t="str">
            <v>KKM/IKN/H/18/3</v>
          </cell>
          <cell r="E1667" t="str">
            <v>13-215</v>
          </cell>
          <cell r="F1667" t="str">
            <v>Infusion Pumps, General-Purpose</v>
          </cell>
          <cell r="G1667" t="str">
            <v>WG</v>
          </cell>
          <cell r="H1667" t="str">
            <v>RT/ONCO WARD 1 (M)</v>
          </cell>
          <cell r="I1667" t="str">
            <v>08WG113</v>
          </cell>
          <cell r="J1667" t="str">
            <v>EQUIPMENT ROOM</v>
          </cell>
          <cell r="K1667" t="str">
            <v>BMED</v>
          </cell>
          <cell r="L1667" t="str">
            <v>Critical</v>
          </cell>
          <cell r="M1667" t="str">
            <v>Germany</v>
          </cell>
          <cell r="N1667" t="str">
            <v>Infusomat</v>
          </cell>
          <cell r="O1667" t="str">
            <v>Infusomat Space</v>
          </cell>
          <cell r="P1667" t="str">
            <v>512819</v>
          </cell>
          <cell r="Q1667" t="str">
            <v>Not Applicable</v>
          </cell>
          <cell r="R1667" t="str">
            <v>B Braun Melsungen AG</v>
          </cell>
          <cell r="S1667" t="str">
            <v>B Braun Medical Supplies Sdn. Bhd.</v>
          </cell>
          <cell r="T1667" t="str">
            <v>Functioning</v>
          </cell>
          <cell r="U1667" t="str">
            <v>Asset</v>
          </cell>
          <cell r="V1667">
            <v>5800</v>
          </cell>
          <cell r="W1667" t="str">
            <v>KEW</v>
          </cell>
          <cell r="X1667" t="str">
            <v>31/07/2018</v>
          </cell>
          <cell r="Y1667" t="str">
            <v>KEW</v>
          </cell>
          <cell r="Z1667" t="str">
            <v>05/09/2018</v>
          </cell>
          <cell r="AA1667" t="str">
            <v>04/09/2020</v>
          </cell>
          <cell r="AB1667" t="str">
            <v>No</v>
          </cell>
          <cell r="AC1667" t="str">
            <v>05/09/2018</v>
          </cell>
          <cell r="AD1667" t="str">
            <v>Good</v>
          </cell>
          <cell r="AE1667" t="str">
            <v>V3 - Added Installed Facilities (New)</v>
          </cell>
          <cell r="AF1667">
            <v>43385</v>
          </cell>
          <cell r="AG1667">
            <v>1.33</v>
          </cell>
          <cell r="AH1667" t="str">
            <v>PPM</v>
          </cell>
          <cell r="AI1667" t="str">
            <v>Strands</v>
          </cell>
          <cell r="AJ1667" t="str">
            <v>Strands PW</v>
          </cell>
        </row>
        <row r="1668">
          <cell r="A1668" t="str">
            <v>IKN401704</v>
          </cell>
          <cell r="B1668">
            <v>1625</v>
          </cell>
          <cell r="C1668" t="str">
            <v>Institut Kanser Negara</v>
          </cell>
          <cell r="D1668" t="str">
            <v>KKM/IKN/H/18/4</v>
          </cell>
          <cell r="E1668" t="str">
            <v>13-215</v>
          </cell>
          <cell r="F1668" t="str">
            <v>Infusion Pumps, General-Purpose</v>
          </cell>
          <cell r="G1668" t="str">
            <v>WF</v>
          </cell>
          <cell r="H1668" t="str">
            <v>RT/ONCO WARD 2 (F)</v>
          </cell>
          <cell r="I1668" t="str">
            <v>07WF121</v>
          </cell>
          <cell r="J1668" t="str">
            <v>EQUIPMENT ROOM</v>
          </cell>
          <cell r="K1668" t="str">
            <v>BMED</v>
          </cell>
          <cell r="L1668" t="str">
            <v>Critical</v>
          </cell>
          <cell r="M1668" t="str">
            <v>Germany</v>
          </cell>
          <cell r="N1668" t="str">
            <v>Infusomat</v>
          </cell>
          <cell r="O1668" t="str">
            <v>Infusomat Space</v>
          </cell>
          <cell r="P1668" t="str">
            <v>512833</v>
          </cell>
          <cell r="Q1668" t="str">
            <v>Not Applicable</v>
          </cell>
          <cell r="R1668" t="str">
            <v>B Braun Melsungen AG</v>
          </cell>
          <cell r="S1668" t="str">
            <v>B Braun Medical Supplies Sdn. Bhd.</v>
          </cell>
          <cell r="T1668" t="str">
            <v>Functioning</v>
          </cell>
          <cell r="U1668" t="str">
            <v>Asset</v>
          </cell>
          <cell r="V1668">
            <v>5800</v>
          </cell>
          <cell r="W1668" t="str">
            <v>KEW</v>
          </cell>
          <cell r="X1668" t="str">
            <v>31/07/2018</v>
          </cell>
          <cell r="Y1668" t="str">
            <v>KEW</v>
          </cell>
          <cell r="Z1668" t="str">
            <v>05/09/2018</v>
          </cell>
          <cell r="AA1668" t="str">
            <v>04/09/2020</v>
          </cell>
          <cell r="AB1668" t="str">
            <v>No</v>
          </cell>
          <cell r="AC1668" t="str">
            <v>05/09/2018</v>
          </cell>
          <cell r="AD1668" t="str">
            <v>Good</v>
          </cell>
          <cell r="AE1668" t="str">
            <v>V3 - Added Installed Facilities (New)</v>
          </cell>
          <cell r="AF1668">
            <v>43385</v>
          </cell>
          <cell r="AG1668">
            <v>1.33</v>
          </cell>
          <cell r="AH1668" t="str">
            <v>PPM</v>
          </cell>
          <cell r="AI1668" t="str">
            <v>Strands</v>
          </cell>
          <cell r="AJ1668" t="str">
            <v>Strands PW</v>
          </cell>
        </row>
        <row r="1669">
          <cell r="A1669" t="str">
            <v>IKN401708</v>
          </cell>
          <cell r="B1669">
            <v>1626</v>
          </cell>
          <cell r="C1669" t="str">
            <v>Institut Kanser Negara</v>
          </cell>
          <cell r="D1669" t="str">
            <v>KKM/IKN/H/13/4473 - 10</v>
          </cell>
          <cell r="E1669" t="str">
            <v>15-605</v>
          </cell>
          <cell r="F1669" t="str">
            <v>Testers</v>
          </cell>
          <cell r="G1669" t="str">
            <v>RT</v>
          </cell>
          <cell r="H1669" t="str">
            <v>RADIATION TREATMENT UNIT</v>
          </cell>
          <cell r="I1669" t="str">
            <v>01RT213</v>
          </cell>
          <cell r="J1669" t="str">
            <v>EQUIPMENT ROOM1</v>
          </cell>
          <cell r="K1669" t="str">
            <v>BMED</v>
          </cell>
          <cell r="L1669" t="str">
            <v>Normal</v>
          </cell>
          <cell r="M1669" t="str">
            <v>USA</v>
          </cell>
          <cell r="N1669" t="str">
            <v>Various</v>
          </cell>
          <cell r="O1669" t="str">
            <v>Tomo Electrometer 90016 &amp; Various</v>
          </cell>
          <cell r="P1669" t="str">
            <v>XW 121706</v>
          </cell>
          <cell r="Q1669" t="str">
            <v>Not Available</v>
          </cell>
          <cell r="R1669" t="str">
            <v>Standard Imaging</v>
          </cell>
          <cell r="S1669" t="str">
            <v>Transmedic Healthcare Sdn. Bhd</v>
          </cell>
          <cell r="T1669" t="str">
            <v>Functioning</v>
          </cell>
          <cell r="U1669" t="str">
            <v>Asset</v>
          </cell>
          <cell r="V1669">
            <v>100000</v>
          </cell>
          <cell r="W1669" t="str">
            <v>KEW</v>
          </cell>
          <cell r="X1669" t="str">
            <v>01/09/2010</v>
          </cell>
          <cell r="Y1669" t="str">
            <v>KEW</v>
          </cell>
          <cell r="Z1669" t="str">
            <v>16/08/2013</v>
          </cell>
          <cell r="AA1669" t="str">
            <v>15/08/2015</v>
          </cell>
          <cell r="AB1669" t="str">
            <v>No</v>
          </cell>
          <cell r="AC1669" t="str">
            <v>16/08/2013</v>
          </cell>
          <cell r="AD1669" t="str">
            <v>Good</v>
          </cell>
          <cell r="AE1669" t="str">
            <v>V1 - Existing / No Claim</v>
          </cell>
          <cell r="AF1669">
            <v>42667</v>
          </cell>
          <cell r="AG1669">
            <v>9.17</v>
          </cell>
          <cell r="AH1669" t="str">
            <v>PPM</v>
          </cell>
          <cell r="AI1669" t="str">
            <v>package</v>
          </cell>
          <cell r="AJ1669" t="str">
            <v>Strands Package</v>
          </cell>
          <cell r="AK1669" t="str">
            <v>Unit A1S Ion Chamber for Tomotherapy. Package XM003(B).</v>
          </cell>
        </row>
        <row r="1670">
          <cell r="A1670" t="str">
            <v>IKN401713</v>
          </cell>
          <cell r="B1670">
            <v>1627</v>
          </cell>
          <cell r="C1670" t="str">
            <v>Institut Kanser Negara</v>
          </cell>
          <cell r="D1670" t="str">
            <v>KKM/IKN/H/18/16</v>
          </cell>
          <cell r="E1670" t="str">
            <v>13-215</v>
          </cell>
          <cell r="F1670" t="str">
            <v>Infusion Pumps, General-Purpose</v>
          </cell>
          <cell r="G1670" t="str">
            <v>DO</v>
          </cell>
          <cell r="H1670" t="str">
            <v>DAY ONCOLOGY UNIT</v>
          </cell>
          <cell r="I1670" t="str">
            <v>04DO111</v>
          </cell>
          <cell r="J1670" t="str">
            <v>EQUIP. ROOM</v>
          </cell>
          <cell r="K1670" t="str">
            <v>BMED</v>
          </cell>
          <cell r="L1670" t="str">
            <v>Critical</v>
          </cell>
          <cell r="M1670" t="str">
            <v>Germany</v>
          </cell>
          <cell r="N1670" t="str">
            <v>Infusomat</v>
          </cell>
          <cell r="O1670" t="str">
            <v>Infusomat Space</v>
          </cell>
          <cell r="P1670" t="str">
            <v>523723</v>
          </cell>
          <cell r="Q1670" t="str">
            <v>Not Applicable</v>
          </cell>
          <cell r="R1670" t="str">
            <v>B Braun Melsungen AG</v>
          </cell>
          <cell r="S1670" t="str">
            <v>TERAJU FARMA SDN BHD</v>
          </cell>
          <cell r="T1670" t="str">
            <v>Functioning</v>
          </cell>
          <cell r="U1670" t="str">
            <v>Asset</v>
          </cell>
          <cell r="V1670">
            <v>5800</v>
          </cell>
          <cell r="W1670" t="str">
            <v>KEW</v>
          </cell>
          <cell r="X1670" t="str">
            <v>26/09/2018</v>
          </cell>
          <cell r="Y1670" t="str">
            <v>KEW</v>
          </cell>
          <cell r="Z1670" t="str">
            <v>22/10/2018</v>
          </cell>
          <cell r="AA1670" t="str">
            <v>21/10/2020</v>
          </cell>
          <cell r="AB1670" t="str">
            <v>No</v>
          </cell>
          <cell r="AC1670" t="str">
            <v>22/10/2018</v>
          </cell>
          <cell r="AD1670" t="str">
            <v>Good</v>
          </cell>
          <cell r="AE1670" t="str">
            <v>V3 - Added Installed Facilities (New)</v>
          </cell>
          <cell r="AF1670">
            <v>43430</v>
          </cell>
          <cell r="AG1670">
            <v>1.17</v>
          </cell>
          <cell r="AH1670" t="str">
            <v>PPM</v>
          </cell>
          <cell r="AI1670" t="str">
            <v>Strands</v>
          </cell>
          <cell r="AJ1670" t="str">
            <v>Strands PW</v>
          </cell>
        </row>
        <row r="1671">
          <cell r="A1671" t="str">
            <v>IKN401714</v>
          </cell>
          <cell r="B1671">
            <v>1628</v>
          </cell>
          <cell r="C1671" t="str">
            <v>Institut Kanser Negara</v>
          </cell>
          <cell r="D1671" t="str">
            <v>KKM/IKN/H/18/17</v>
          </cell>
          <cell r="E1671" t="str">
            <v>13-215</v>
          </cell>
          <cell r="F1671" t="str">
            <v>Infusion Pumps, General-Purpose</v>
          </cell>
          <cell r="G1671" t="str">
            <v>DO</v>
          </cell>
          <cell r="H1671" t="str">
            <v>DAY ONCOLOGY UNIT</v>
          </cell>
          <cell r="I1671" t="str">
            <v>04DO111</v>
          </cell>
          <cell r="J1671" t="str">
            <v>EQUIP. ROOM</v>
          </cell>
          <cell r="K1671" t="str">
            <v>BMED</v>
          </cell>
          <cell r="L1671" t="str">
            <v>Critical</v>
          </cell>
          <cell r="M1671" t="str">
            <v>Germany</v>
          </cell>
          <cell r="N1671" t="str">
            <v>Infusomat</v>
          </cell>
          <cell r="O1671" t="str">
            <v>Infusomat Space</v>
          </cell>
          <cell r="P1671" t="str">
            <v>523748</v>
          </cell>
          <cell r="Q1671" t="str">
            <v>Not Applicable</v>
          </cell>
          <cell r="R1671" t="str">
            <v>B Braun Melsungen AG</v>
          </cell>
          <cell r="S1671" t="str">
            <v>TERAJU FARMA SDN BHD</v>
          </cell>
          <cell r="T1671" t="str">
            <v>Functioning</v>
          </cell>
          <cell r="U1671" t="str">
            <v>Asset</v>
          </cell>
          <cell r="V1671">
            <v>5800</v>
          </cell>
          <cell r="W1671" t="str">
            <v>KEW</v>
          </cell>
          <cell r="X1671" t="str">
            <v>26/09/2018</v>
          </cell>
          <cell r="Y1671" t="str">
            <v>KEW</v>
          </cell>
          <cell r="Z1671" t="str">
            <v>22/10/2018</v>
          </cell>
          <cell r="AA1671" t="str">
            <v>21/10/2020</v>
          </cell>
          <cell r="AB1671" t="str">
            <v>No</v>
          </cell>
          <cell r="AC1671" t="str">
            <v>22/10/2018</v>
          </cell>
          <cell r="AD1671" t="str">
            <v>Good</v>
          </cell>
          <cell r="AE1671" t="str">
            <v>V3 - Added Installed Facilities (New)</v>
          </cell>
          <cell r="AF1671">
            <v>43430</v>
          </cell>
          <cell r="AG1671">
            <v>1.17</v>
          </cell>
          <cell r="AH1671" t="str">
            <v>PPM</v>
          </cell>
          <cell r="AI1671" t="str">
            <v>Strands</v>
          </cell>
          <cell r="AJ1671" t="str">
            <v>Strands PW</v>
          </cell>
        </row>
        <row r="1672">
          <cell r="A1672" t="str">
            <v>IKN401715</v>
          </cell>
          <cell r="B1672">
            <v>1629</v>
          </cell>
          <cell r="C1672" t="str">
            <v>Institut Kanser Negara</v>
          </cell>
          <cell r="D1672" t="str">
            <v>KKM/IKN/H/18/18</v>
          </cell>
          <cell r="E1672" t="str">
            <v>11-381</v>
          </cell>
          <cell r="F1672" t="str">
            <v>Simulators, Cardiac, Electrocardiography</v>
          </cell>
          <cell r="G1672" t="str">
            <v>AD</v>
          </cell>
          <cell r="H1672" t="str">
            <v>ADMINISTRATION</v>
          </cell>
          <cell r="I1672" t="str">
            <v>06AD122</v>
          </cell>
          <cell r="J1672" t="str">
            <v>SUPERVISOR 1</v>
          </cell>
          <cell r="K1672" t="str">
            <v>BMED</v>
          </cell>
          <cell r="L1672" t="str">
            <v>Normal</v>
          </cell>
          <cell r="M1672" t="str">
            <v>China</v>
          </cell>
          <cell r="N1672" t="str">
            <v>Laerdal</v>
          </cell>
          <cell r="O1672" t="str">
            <v>Laerdal AED Trainer 2</v>
          </cell>
          <cell r="P1672" t="str">
            <v>170731</v>
          </cell>
          <cell r="Q1672" t="str">
            <v>Not Applicable</v>
          </cell>
          <cell r="R1672" t="str">
            <v>Laerdal Medical Corp</v>
          </cell>
          <cell r="S1672" t="str">
            <v>LAERDAL MALAYSIA SDN BHD</v>
          </cell>
          <cell r="T1672" t="str">
            <v>Functioning</v>
          </cell>
          <cell r="U1672" t="str">
            <v>Asset</v>
          </cell>
          <cell r="V1672">
            <v>3113</v>
          </cell>
          <cell r="W1672" t="str">
            <v>KEW</v>
          </cell>
          <cell r="X1672" t="str">
            <v>21/09/2018</v>
          </cell>
          <cell r="Y1672" t="str">
            <v>KEW</v>
          </cell>
          <cell r="Z1672" t="str">
            <v>29/10/2018</v>
          </cell>
          <cell r="AA1672" t="str">
            <v>30/10/2019</v>
          </cell>
          <cell r="AB1672" t="str">
            <v>No</v>
          </cell>
          <cell r="AC1672" t="str">
            <v>31/10/2018</v>
          </cell>
          <cell r="AD1672" t="str">
            <v>Good</v>
          </cell>
          <cell r="AE1672" t="str">
            <v>V3 - Added Installed Facilities (New)</v>
          </cell>
          <cell r="AF1672">
            <v>43444</v>
          </cell>
          <cell r="AG1672">
            <v>1.17</v>
          </cell>
          <cell r="AH1672" t="str">
            <v>RI</v>
          </cell>
          <cell r="AI1672" t="str">
            <v>Strands</v>
          </cell>
          <cell r="AJ1672" t="str">
            <v>Strands PW</v>
          </cell>
        </row>
        <row r="1673">
          <cell r="A1673" t="str">
            <v>IKN401716</v>
          </cell>
          <cell r="B1673">
            <v>1630</v>
          </cell>
          <cell r="C1673" t="str">
            <v>Institut Kanser Negara</v>
          </cell>
          <cell r="D1673" t="str">
            <v>KKM/IKN/R/18/40</v>
          </cell>
          <cell r="E1673" t="str">
            <v>15-309</v>
          </cell>
          <cell r="F1673" t="str">
            <v>Training Manikins, Cardiopulmonary Resuscitation</v>
          </cell>
          <cell r="G1673" t="str">
            <v>AD</v>
          </cell>
          <cell r="H1673" t="str">
            <v>ADMINISTRATION</v>
          </cell>
          <cell r="I1673" t="str">
            <v>06AD122</v>
          </cell>
          <cell r="J1673" t="str">
            <v>SUPERVISOR 1</v>
          </cell>
          <cell r="K1673" t="str">
            <v>BMED</v>
          </cell>
          <cell r="L1673" t="str">
            <v>Normal</v>
          </cell>
          <cell r="M1673" t="str">
            <v>USA</v>
          </cell>
          <cell r="N1673" t="str">
            <v>Laerdal</v>
          </cell>
          <cell r="O1673" t="str">
            <v>Little Anne Torso</v>
          </cell>
          <cell r="P1673" t="str">
            <v>Not Available</v>
          </cell>
          <cell r="Q1673" t="str">
            <v>Not Applicable</v>
          </cell>
          <cell r="R1673" t="str">
            <v>Laerdal Medical Corp</v>
          </cell>
          <cell r="S1673" t="str">
            <v>LAERDAL MALAYSIA SDN BHD</v>
          </cell>
          <cell r="T1673" t="str">
            <v>Functioning</v>
          </cell>
          <cell r="U1673" t="str">
            <v>Asset</v>
          </cell>
          <cell r="V1673">
            <v>1312.5</v>
          </cell>
          <cell r="W1673" t="str">
            <v>KEW</v>
          </cell>
          <cell r="X1673" t="str">
            <v>21/09/2018</v>
          </cell>
          <cell r="Y1673" t="str">
            <v>KEW</v>
          </cell>
          <cell r="Z1673" t="str">
            <v>31/10/2018</v>
          </cell>
          <cell r="AA1673" t="str">
            <v>30/10/2019</v>
          </cell>
          <cell r="AB1673" t="str">
            <v>No</v>
          </cell>
          <cell r="AC1673" t="str">
            <v>31/10/2018</v>
          </cell>
          <cell r="AD1673" t="str">
            <v>Good</v>
          </cell>
          <cell r="AE1673" t="str">
            <v>V3 - Added Installed Facilities (New)</v>
          </cell>
          <cell r="AF1673">
            <v>43444</v>
          </cell>
          <cell r="AG1673">
            <v>1.17</v>
          </cell>
          <cell r="AH1673" t="str">
            <v>RI</v>
          </cell>
          <cell r="AI1673" t="str">
            <v>Strands</v>
          </cell>
          <cell r="AJ1673" t="str">
            <v>Strands PW</v>
          </cell>
        </row>
        <row r="1674">
          <cell r="A1674" t="str">
            <v>IKN401717</v>
          </cell>
          <cell r="B1674">
            <v>1631</v>
          </cell>
          <cell r="C1674" t="str">
            <v>Institut Kanser Negara</v>
          </cell>
          <cell r="D1674" t="str">
            <v>KKM/IKN/R/18/41</v>
          </cell>
          <cell r="E1674" t="str">
            <v>15-309</v>
          </cell>
          <cell r="F1674" t="str">
            <v>Training Manikins, Cardiopulmonary Resuscitation</v>
          </cell>
          <cell r="G1674" t="str">
            <v>AD</v>
          </cell>
          <cell r="H1674" t="str">
            <v>ADMINISTRATION</v>
          </cell>
          <cell r="I1674" t="str">
            <v>06AD122</v>
          </cell>
          <cell r="J1674" t="str">
            <v>SUPERVISOR 1</v>
          </cell>
          <cell r="K1674" t="str">
            <v>BMED</v>
          </cell>
          <cell r="L1674" t="str">
            <v>Normal</v>
          </cell>
          <cell r="M1674" t="str">
            <v>USA</v>
          </cell>
          <cell r="N1674" t="str">
            <v>Laerdal</v>
          </cell>
          <cell r="O1674" t="str">
            <v>Little Anne Torso</v>
          </cell>
          <cell r="P1674" t="str">
            <v>Not Available</v>
          </cell>
          <cell r="Q1674" t="str">
            <v>Not Applicable</v>
          </cell>
          <cell r="R1674" t="str">
            <v>Laerdal Medical Corp</v>
          </cell>
          <cell r="S1674" t="str">
            <v>LAERDAL MALAYSIA SDN BHD</v>
          </cell>
          <cell r="T1674" t="str">
            <v>Functioning</v>
          </cell>
          <cell r="U1674" t="str">
            <v>Asset</v>
          </cell>
          <cell r="V1674">
            <v>1312.5</v>
          </cell>
          <cell r="W1674" t="str">
            <v>KEW</v>
          </cell>
          <cell r="X1674" t="str">
            <v>21/09/2018</v>
          </cell>
          <cell r="Y1674" t="str">
            <v>KEW</v>
          </cell>
          <cell r="Z1674" t="str">
            <v>31/10/2018</v>
          </cell>
          <cell r="AA1674" t="str">
            <v>30/10/2019</v>
          </cell>
          <cell r="AB1674" t="str">
            <v>No</v>
          </cell>
          <cell r="AC1674" t="str">
            <v>31/10/2018</v>
          </cell>
          <cell r="AD1674" t="str">
            <v>Good</v>
          </cell>
          <cell r="AE1674" t="str">
            <v>V3 - Added Installed Facilities (New)</v>
          </cell>
          <cell r="AF1674">
            <v>43444</v>
          </cell>
          <cell r="AG1674">
            <v>1.17</v>
          </cell>
          <cell r="AH1674" t="str">
            <v>RI</v>
          </cell>
          <cell r="AI1674" t="str">
            <v>Strands</v>
          </cell>
          <cell r="AJ1674" t="str">
            <v>Strands PW</v>
          </cell>
        </row>
        <row r="1675">
          <cell r="A1675" t="str">
            <v>IKN401718</v>
          </cell>
          <cell r="B1675">
            <v>1632</v>
          </cell>
          <cell r="C1675" t="str">
            <v>Institut Kanser Negara</v>
          </cell>
          <cell r="D1675" t="str">
            <v>KKM/IKN/R/18/42</v>
          </cell>
          <cell r="E1675" t="str">
            <v>15-309</v>
          </cell>
          <cell r="F1675" t="str">
            <v>Training Manikins, Cardiopulmonary Resuscitation</v>
          </cell>
          <cell r="G1675" t="str">
            <v>AD</v>
          </cell>
          <cell r="H1675" t="str">
            <v>ADMINISTRATION</v>
          </cell>
          <cell r="I1675" t="str">
            <v>06AD122</v>
          </cell>
          <cell r="J1675" t="str">
            <v>SUPERVISOR 1</v>
          </cell>
          <cell r="K1675" t="str">
            <v>BMED</v>
          </cell>
          <cell r="L1675" t="str">
            <v>Normal</v>
          </cell>
          <cell r="M1675" t="str">
            <v>USA</v>
          </cell>
          <cell r="N1675" t="str">
            <v>Laerdal</v>
          </cell>
          <cell r="O1675" t="str">
            <v>Little Anne Torso</v>
          </cell>
          <cell r="P1675" t="str">
            <v>Not Available</v>
          </cell>
          <cell r="Q1675" t="str">
            <v>Not Applicable</v>
          </cell>
          <cell r="R1675" t="str">
            <v>Laerdal Medical Corp</v>
          </cell>
          <cell r="S1675" t="str">
            <v>LAERDAL MALAYSIA SDN BHD</v>
          </cell>
          <cell r="T1675" t="str">
            <v>Functioning</v>
          </cell>
          <cell r="U1675" t="str">
            <v>Asset</v>
          </cell>
          <cell r="V1675">
            <v>1312.5</v>
          </cell>
          <cell r="W1675" t="str">
            <v>KEW</v>
          </cell>
          <cell r="X1675" t="str">
            <v>21/09/2018</v>
          </cell>
          <cell r="Y1675" t="str">
            <v>KEW</v>
          </cell>
          <cell r="Z1675" t="str">
            <v>31/10/2018</v>
          </cell>
          <cell r="AA1675" t="str">
            <v>30/10/2019</v>
          </cell>
          <cell r="AB1675" t="str">
            <v>No</v>
          </cell>
          <cell r="AC1675" t="str">
            <v>31/10/2018</v>
          </cell>
          <cell r="AD1675" t="str">
            <v>Good</v>
          </cell>
          <cell r="AE1675" t="str">
            <v>V3 - Added Installed Facilities (New)</v>
          </cell>
          <cell r="AF1675">
            <v>43444</v>
          </cell>
          <cell r="AG1675">
            <v>1.17</v>
          </cell>
          <cell r="AH1675" t="str">
            <v>RI</v>
          </cell>
          <cell r="AI1675" t="str">
            <v>Strands</v>
          </cell>
          <cell r="AJ1675" t="str">
            <v>Strands PW</v>
          </cell>
        </row>
        <row r="1676">
          <cell r="A1676" t="str">
            <v>IKN401719</v>
          </cell>
          <cell r="B1676">
            <v>1633</v>
          </cell>
          <cell r="C1676" t="str">
            <v>Institut Kanser Negara</v>
          </cell>
          <cell r="D1676" t="str">
            <v>KKM/IKN/R/18/43</v>
          </cell>
          <cell r="E1676" t="str">
            <v>15-309</v>
          </cell>
          <cell r="F1676" t="str">
            <v>Training Manikins, Cardiopulmonary Resuscitation</v>
          </cell>
          <cell r="G1676" t="str">
            <v>AD</v>
          </cell>
          <cell r="H1676" t="str">
            <v>ADMINISTRATION</v>
          </cell>
          <cell r="I1676" t="str">
            <v>06AD122</v>
          </cell>
          <cell r="J1676" t="str">
            <v>SUPERVISOR 1</v>
          </cell>
          <cell r="K1676" t="str">
            <v>BMED</v>
          </cell>
          <cell r="L1676" t="str">
            <v>Normal</v>
          </cell>
          <cell r="M1676" t="str">
            <v>USA</v>
          </cell>
          <cell r="N1676" t="str">
            <v>Laerdal</v>
          </cell>
          <cell r="O1676" t="str">
            <v>Little Anne Torso</v>
          </cell>
          <cell r="P1676" t="str">
            <v>Not Available</v>
          </cell>
          <cell r="Q1676" t="str">
            <v>Not Applicable</v>
          </cell>
          <cell r="R1676" t="str">
            <v>Laerdal Medical Corp</v>
          </cell>
          <cell r="S1676" t="str">
            <v>LAERDAL MALAYSIA SDN BHD</v>
          </cell>
          <cell r="T1676" t="str">
            <v>Functioning</v>
          </cell>
          <cell r="U1676" t="str">
            <v>Asset</v>
          </cell>
          <cell r="V1676">
            <v>1312.5</v>
          </cell>
          <cell r="W1676" t="str">
            <v>KEW</v>
          </cell>
          <cell r="X1676" t="str">
            <v>21/09/2018</v>
          </cell>
          <cell r="Y1676" t="str">
            <v>KEW</v>
          </cell>
          <cell r="Z1676" t="str">
            <v>31/10/2018</v>
          </cell>
          <cell r="AA1676" t="str">
            <v>30/10/2019</v>
          </cell>
          <cell r="AB1676" t="str">
            <v>No</v>
          </cell>
          <cell r="AC1676" t="str">
            <v>31/10/2018</v>
          </cell>
          <cell r="AD1676" t="str">
            <v>Good</v>
          </cell>
          <cell r="AE1676" t="str">
            <v>V3 - Added Installed Facilities (New)</v>
          </cell>
          <cell r="AF1676">
            <v>43444</v>
          </cell>
          <cell r="AG1676">
            <v>1.17</v>
          </cell>
          <cell r="AH1676" t="str">
            <v>RI</v>
          </cell>
          <cell r="AI1676" t="str">
            <v>Strands</v>
          </cell>
          <cell r="AJ1676" t="str">
            <v>Strands PW</v>
          </cell>
        </row>
        <row r="1677">
          <cell r="A1677" t="str">
            <v>IKN401720</v>
          </cell>
          <cell r="B1677">
            <v>1634</v>
          </cell>
          <cell r="C1677" t="str">
            <v>Institut Kanser Negara</v>
          </cell>
          <cell r="D1677" t="str">
            <v>KKM/IKN/H/18/19</v>
          </cell>
          <cell r="E1677" t="str">
            <v>15-309</v>
          </cell>
          <cell r="F1677" t="str">
            <v>Training Manikins, Cardiopulmonary Resuscitation</v>
          </cell>
          <cell r="G1677" t="str">
            <v>AD</v>
          </cell>
          <cell r="H1677" t="str">
            <v>ADMINISTRATION</v>
          </cell>
          <cell r="I1677" t="str">
            <v>06AD122</v>
          </cell>
          <cell r="J1677" t="str">
            <v>SUPERVISOR 1</v>
          </cell>
          <cell r="K1677" t="str">
            <v>BMED</v>
          </cell>
          <cell r="L1677" t="str">
            <v>Normal</v>
          </cell>
          <cell r="M1677" t="str">
            <v>USA</v>
          </cell>
          <cell r="N1677" t="str">
            <v>Laerdal</v>
          </cell>
          <cell r="O1677" t="str">
            <v>Laerdal Airway Management Trainer</v>
          </cell>
          <cell r="P1677" t="str">
            <v>Not Available</v>
          </cell>
          <cell r="Q1677" t="str">
            <v>Not Applicable</v>
          </cell>
          <cell r="R1677" t="str">
            <v>Laerdal Medical Corp</v>
          </cell>
          <cell r="S1677" t="str">
            <v>LAERDAL MALAYSIA SDN BHD</v>
          </cell>
          <cell r="T1677" t="str">
            <v>Functioning</v>
          </cell>
          <cell r="U1677" t="str">
            <v>Asset</v>
          </cell>
          <cell r="V1677">
            <v>13397.35</v>
          </cell>
          <cell r="W1677" t="str">
            <v>KEW</v>
          </cell>
          <cell r="X1677" t="str">
            <v>21/09/2018</v>
          </cell>
          <cell r="Y1677" t="str">
            <v>KEW</v>
          </cell>
          <cell r="Z1677" t="str">
            <v>31/10/2018</v>
          </cell>
          <cell r="AA1677" t="str">
            <v>30/10/2019</v>
          </cell>
          <cell r="AB1677" t="str">
            <v>No</v>
          </cell>
          <cell r="AC1677" t="str">
            <v>31/10/2018</v>
          </cell>
          <cell r="AD1677" t="str">
            <v>Good</v>
          </cell>
          <cell r="AE1677" t="str">
            <v>V3 - Added Installed Facilities (New)</v>
          </cell>
          <cell r="AF1677">
            <v>43444</v>
          </cell>
          <cell r="AG1677">
            <v>1.17</v>
          </cell>
          <cell r="AH1677" t="str">
            <v>RI</v>
          </cell>
          <cell r="AI1677" t="str">
            <v>Strands</v>
          </cell>
          <cell r="AJ1677" t="str">
            <v>Strands PW</v>
          </cell>
        </row>
        <row r="1678">
          <cell r="A1678" t="str">
            <v>IKN401721</v>
          </cell>
          <cell r="B1678">
            <v>1635</v>
          </cell>
          <cell r="C1678" t="str">
            <v>Institut Kanser Negara</v>
          </cell>
          <cell r="D1678" t="str">
            <v>KKM/IKN/R/18/44</v>
          </cell>
          <cell r="E1678" t="str">
            <v>15-309</v>
          </cell>
          <cell r="F1678" t="str">
            <v>Training Manikins, Cardiopulmonary Resuscitation</v>
          </cell>
          <cell r="G1678" t="str">
            <v>AD</v>
          </cell>
          <cell r="H1678" t="str">
            <v>ADMINISTRATION</v>
          </cell>
          <cell r="I1678" t="str">
            <v>06AD122</v>
          </cell>
          <cell r="J1678" t="str">
            <v>SUPERVISOR 1</v>
          </cell>
          <cell r="K1678" t="str">
            <v>BMED</v>
          </cell>
          <cell r="L1678" t="str">
            <v>Normal</v>
          </cell>
          <cell r="M1678" t="str">
            <v>USA</v>
          </cell>
          <cell r="N1678" t="str">
            <v>Laerdal</v>
          </cell>
          <cell r="O1678" t="str">
            <v>Little Anne Torso</v>
          </cell>
          <cell r="P1678" t="str">
            <v>Not Available</v>
          </cell>
          <cell r="Q1678" t="str">
            <v>Not Applicable</v>
          </cell>
          <cell r="R1678" t="str">
            <v>Laerdal Medical Corp</v>
          </cell>
          <cell r="S1678" t="str">
            <v>LAERDAL MALAYSIA SDN BHD</v>
          </cell>
          <cell r="T1678" t="str">
            <v>Functioning</v>
          </cell>
          <cell r="U1678" t="str">
            <v>Asset</v>
          </cell>
          <cell r="V1678">
            <v>1312.5</v>
          </cell>
          <cell r="W1678" t="str">
            <v>KEW</v>
          </cell>
          <cell r="X1678" t="str">
            <v>21/09/2018</v>
          </cell>
          <cell r="Y1678" t="str">
            <v>KEW</v>
          </cell>
          <cell r="Z1678" t="str">
            <v>31/10/2018</v>
          </cell>
          <cell r="AA1678" t="str">
            <v>30/10/2019</v>
          </cell>
          <cell r="AB1678" t="str">
            <v>No</v>
          </cell>
          <cell r="AC1678" t="str">
            <v>31/10/2018</v>
          </cell>
          <cell r="AD1678" t="str">
            <v>Good</v>
          </cell>
          <cell r="AE1678" t="str">
            <v>V3 - Added Installed Facilities (New)</v>
          </cell>
          <cell r="AF1678">
            <v>43444</v>
          </cell>
          <cell r="AG1678">
            <v>1.17</v>
          </cell>
          <cell r="AH1678" t="str">
            <v>RI</v>
          </cell>
          <cell r="AI1678" t="str">
            <v>Strands</v>
          </cell>
          <cell r="AJ1678" t="str">
            <v>Strands PW</v>
          </cell>
        </row>
        <row r="1679">
          <cell r="A1679" t="str">
            <v>IKN401722</v>
          </cell>
          <cell r="B1679">
            <v>1636</v>
          </cell>
          <cell r="C1679" t="str">
            <v>Institut Kanser Negara</v>
          </cell>
          <cell r="D1679" t="str">
            <v>KKM/IKN/R/18/45</v>
          </cell>
          <cell r="E1679" t="str">
            <v>15-309</v>
          </cell>
          <cell r="F1679" t="str">
            <v>Training Manikins, Cardiopulmonary Resuscitation</v>
          </cell>
          <cell r="G1679" t="str">
            <v>AD</v>
          </cell>
          <cell r="H1679" t="str">
            <v>ADMINISTRATION</v>
          </cell>
          <cell r="I1679" t="str">
            <v>06AD122</v>
          </cell>
          <cell r="J1679" t="str">
            <v>SUPERVISOR 1</v>
          </cell>
          <cell r="K1679" t="str">
            <v>BMED</v>
          </cell>
          <cell r="L1679" t="str">
            <v>Normal</v>
          </cell>
          <cell r="M1679" t="str">
            <v>USA</v>
          </cell>
          <cell r="N1679" t="str">
            <v>Laerdal</v>
          </cell>
          <cell r="O1679" t="str">
            <v>Little Anne Torso</v>
          </cell>
          <cell r="P1679" t="str">
            <v>Not Available</v>
          </cell>
          <cell r="Q1679" t="str">
            <v>Not Applicable</v>
          </cell>
          <cell r="R1679" t="str">
            <v>Laerdal Medical Corp</v>
          </cell>
          <cell r="S1679" t="str">
            <v>LAERDAL MALAYSIA SDN BHD</v>
          </cell>
          <cell r="T1679" t="str">
            <v>Functioning</v>
          </cell>
          <cell r="U1679" t="str">
            <v>Asset</v>
          </cell>
          <cell r="V1679">
            <v>1312.5</v>
          </cell>
          <cell r="W1679" t="str">
            <v>KEW</v>
          </cell>
          <cell r="X1679" t="str">
            <v>21/09/2018</v>
          </cell>
          <cell r="Y1679" t="str">
            <v>KEW</v>
          </cell>
          <cell r="Z1679" t="str">
            <v>31/10/2018</v>
          </cell>
          <cell r="AA1679" t="str">
            <v>30/10/2019</v>
          </cell>
          <cell r="AB1679" t="str">
            <v>No</v>
          </cell>
          <cell r="AC1679" t="str">
            <v>31/10/2018</v>
          </cell>
          <cell r="AD1679" t="str">
            <v>Good</v>
          </cell>
          <cell r="AE1679" t="str">
            <v>V3 - Added Installed Facilities (New)</v>
          </cell>
          <cell r="AF1679">
            <v>43444</v>
          </cell>
          <cell r="AG1679">
            <v>1.17</v>
          </cell>
          <cell r="AH1679" t="str">
            <v>RI</v>
          </cell>
          <cell r="AI1679" t="str">
            <v>Strands</v>
          </cell>
          <cell r="AJ1679" t="str">
            <v>Strands PW</v>
          </cell>
        </row>
        <row r="1680">
          <cell r="A1680" t="str">
            <v>IKN401723</v>
          </cell>
          <cell r="B1680">
            <v>1637</v>
          </cell>
          <cell r="C1680" t="str">
            <v>Institut Kanser Negara</v>
          </cell>
          <cell r="D1680" t="str">
            <v>KKM/IKN/R/18/46</v>
          </cell>
          <cell r="E1680" t="str">
            <v>15-309</v>
          </cell>
          <cell r="F1680" t="str">
            <v>Training Manikins, Cardiopulmonary Resuscitation</v>
          </cell>
          <cell r="G1680" t="str">
            <v>AD</v>
          </cell>
          <cell r="H1680" t="str">
            <v>ADMINISTRATION</v>
          </cell>
          <cell r="I1680" t="str">
            <v>06AD122</v>
          </cell>
          <cell r="J1680" t="str">
            <v>SUPERVISOR 1</v>
          </cell>
          <cell r="K1680" t="str">
            <v>BMED</v>
          </cell>
          <cell r="L1680" t="str">
            <v>Normal</v>
          </cell>
          <cell r="M1680" t="str">
            <v>USA</v>
          </cell>
          <cell r="N1680" t="str">
            <v>Laerdal</v>
          </cell>
          <cell r="O1680" t="str">
            <v>Little Anne Torso</v>
          </cell>
          <cell r="P1680" t="str">
            <v>Not Available</v>
          </cell>
          <cell r="Q1680" t="str">
            <v>Not Applicable</v>
          </cell>
          <cell r="R1680" t="str">
            <v>Laerdal Medical Corp</v>
          </cell>
          <cell r="S1680" t="str">
            <v>LAERDAL MALAYSIA SDN BHD</v>
          </cell>
          <cell r="T1680" t="str">
            <v>Functioning</v>
          </cell>
          <cell r="U1680" t="str">
            <v>Asset</v>
          </cell>
          <cell r="V1680">
            <v>1312.5</v>
          </cell>
          <cell r="W1680" t="str">
            <v>KEW</v>
          </cell>
          <cell r="X1680" t="str">
            <v>21/09/2018</v>
          </cell>
          <cell r="Y1680" t="str">
            <v>KEW</v>
          </cell>
          <cell r="Z1680" t="str">
            <v>31/10/2018</v>
          </cell>
          <cell r="AA1680" t="str">
            <v>30/10/2019</v>
          </cell>
          <cell r="AB1680" t="str">
            <v>No</v>
          </cell>
          <cell r="AC1680" t="str">
            <v>31/10/2018</v>
          </cell>
          <cell r="AD1680" t="str">
            <v>Good</v>
          </cell>
          <cell r="AE1680" t="str">
            <v>V3 - Added Installed Facilities (New)</v>
          </cell>
          <cell r="AF1680">
            <v>43444</v>
          </cell>
          <cell r="AG1680">
            <v>1.17</v>
          </cell>
          <cell r="AH1680" t="str">
            <v>RI</v>
          </cell>
          <cell r="AI1680" t="str">
            <v>Strands</v>
          </cell>
          <cell r="AJ1680" t="str">
            <v>Strands PW</v>
          </cell>
        </row>
        <row r="1681">
          <cell r="A1681" t="str">
            <v>IKN401724</v>
          </cell>
          <cell r="B1681">
            <v>1638</v>
          </cell>
          <cell r="C1681" t="str">
            <v>Institut Kanser Negara</v>
          </cell>
          <cell r="D1681" t="str">
            <v>KKM/IKN/R/18/47</v>
          </cell>
          <cell r="E1681" t="str">
            <v>15-309</v>
          </cell>
          <cell r="F1681" t="str">
            <v>Training Manikins, Cardiopulmonary Resuscitation</v>
          </cell>
          <cell r="G1681" t="str">
            <v>AD</v>
          </cell>
          <cell r="H1681" t="str">
            <v>ADMINISTRATION</v>
          </cell>
          <cell r="I1681" t="str">
            <v>06AD122</v>
          </cell>
          <cell r="J1681" t="str">
            <v>SUPERVISOR 1</v>
          </cell>
          <cell r="K1681" t="str">
            <v>BMED</v>
          </cell>
          <cell r="L1681" t="str">
            <v>Normal</v>
          </cell>
          <cell r="M1681" t="str">
            <v>USA</v>
          </cell>
          <cell r="N1681" t="str">
            <v>Laerdal</v>
          </cell>
          <cell r="O1681" t="str">
            <v>Little Anne Torso</v>
          </cell>
          <cell r="P1681" t="str">
            <v>Not Available</v>
          </cell>
          <cell r="Q1681" t="str">
            <v>Not Applicable</v>
          </cell>
          <cell r="R1681" t="str">
            <v>Laerdal Medical Corp</v>
          </cell>
          <cell r="S1681" t="str">
            <v>LAERDAL MALAYSIA SDN BHD</v>
          </cell>
          <cell r="T1681" t="str">
            <v>Functioning</v>
          </cell>
          <cell r="U1681" t="str">
            <v>Asset</v>
          </cell>
          <cell r="V1681">
            <v>1312.5</v>
          </cell>
          <cell r="W1681" t="str">
            <v>KEW</v>
          </cell>
          <cell r="X1681" t="str">
            <v>21/09/2018</v>
          </cell>
          <cell r="Y1681" t="str">
            <v>KEW</v>
          </cell>
          <cell r="Z1681" t="str">
            <v>31/10/2018</v>
          </cell>
          <cell r="AA1681" t="str">
            <v>30/10/2019</v>
          </cell>
          <cell r="AB1681" t="str">
            <v>No</v>
          </cell>
          <cell r="AC1681" t="str">
            <v>31/10/2018</v>
          </cell>
          <cell r="AD1681" t="str">
            <v>Good</v>
          </cell>
          <cell r="AE1681" t="str">
            <v>V3 - Added Installed Facilities (New)</v>
          </cell>
          <cell r="AF1681">
            <v>43444</v>
          </cell>
          <cell r="AG1681">
            <v>1.17</v>
          </cell>
          <cell r="AH1681" t="str">
            <v>RI</v>
          </cell>
          <cell r="AI1681" t="str">
            <v>Strands</v>
          </cell>
          <cell r="AJ1681" t="str">
            <v>Strands PW</v>
          </cell>
        </row>
        <row r="1682">
          <cell r="A1682" t="str">
            <v>IKN401725</v>
          </cell>
          <cell r="B1682">
            <v>1639</v>
          </cell>
          <cell r="C1682" t="str">
            <v>Institut Kanser Negara</v>
          </cell>
          <cell r="D1682" t="str">
            <v>KKM/IKN/R/18/48</v>
          </cell>
          <cell r="E1682" t="str">
            <v>15-309</v>
          </cell>
          <cell r="F1682" t="str">
            <v>Training Manikins, Cardiopulmonary Resuscitation</v>
          </cell>
          <cell r="G1682" t="str">
            <v>AD</v>
          </cell>
          <cell r="H1682" t="str">
            <v>ADMINISTRATION</v>
          </cell>
          <cell r="I1682" t="str">
            <v>06AD122</v>
          </cell>
          <cell r="J1682" t="str">
            <v>SUPERVISOR 1</v>
          </cell>
          <cell r="K1682" t="str">
            <v>BMED</v>
          </cell>
          <cell r="L1682" t="str">
            <v>Normal</v>
          </cell>
          <cell r="M1682" t="str">
            <v>USA</v>
          </cell>
          <cell r="N1682" t="str">
            <v>Laerdal</v>
          </cell>
          <cell r="O1682" t="str">
            <v>Baby Anne</v>
          </cell>
          <cell r="P1682" t="str">
            <v>Not Available</v>
          </cell>
          <cell r="Q1682" t="str">
            <v>Not Applicable</v>
          </cell>
          <cell r="R1682" t="str">
            <v>Laerdal Medical Corp</v>
          </cell>
          <cell r="S1682" t="str">
            <v>LAERDAL MALAYSIA SDN BHD</v>
          </cell>
          <cell r="T1682" t="str">
            <v>Functioning</v>
          </cell>
          <cell r="U1682" t="str">
            <v>Asset</v>
          </cell>
          <cell r="V1682">
            <v>875</v>
          </cell>
          <cell r="W1682" t="str">
            <v>KEW</v>
          </cell>
          <cell r="X1682" t="str">
            <v>21/09/2018</v>
          </cell>
          <cell r="Y1682" t="str">
            <v>KEW</v>
          </cell>
          <cell r="Z1682" t="str">
            <v>31/10/2018</v>
          </cell>
          <cell r="AA1682" t="str">
            <v>30/10/2019</v>
          </cell>
          <cell r="AB1682" t="str">
            <v>No</v>
          </cell>
          <cell r="AC1682" t="str">
            <v>31/10/2018</v>
          </cell>
          <cell r="AD1682" t="str">
            <v>Good</v>
          </cell>
          <cell r="AE1682" t="str">
            <v>V3 - Added Installed Facilities (New)</v>
          </cell>
          <cell r="AF1682">
            <v>43507</v>
          </cell>
          <cell r="AG1682">
            <v>1.17</v>
          </cell>
          <cell r="AH1682" t="str">
            <v>RI</v>
          </cell>
          <cell r="AI1682" t="str">
            <v>Strands</v>
          </cell>
          <cell r="AJ1682" t="str">
            <v>Strands PW</v>
          </cell>
        </row>
        <row r="1683">
          <cell r="A1683" t="str">
            <v>IKN401726</v>
          </cell>
          <cell r="B1683">
            <v>1640</v>
          </cell>
          <cell r="C1683" t="str">
            <v>Institut Kanser Negara</v>
          </cell>
          <cell r="D1683" t="str">
            <v>KKM/IKN/R/18/49</v>
          </cell>
          <cell r="E1683" t="str">
            <v>15-309</v>
          </cell>
          <cell r="F1683" t="str">
            <v>Training Manikins, Cardiopulmonary Resuscitation</v>
          </cell>
          <cell r="G1683" t="str">
            <v>AD</v>
          </cell>
          <cell r="H1683" t="str">
            <v>ADMINISTRATION</v>
          </cell>
          <cell r="I1683" t="str">
            <v>06AD122</v>
          </cell>
          <cell r="J1683" t="str">
            <v>SUPERVISOR 1</v>
          </cell>
          <cell r="K1683" t="str">
            <v>BMED</v>
          </cell>
          <cell r="L1683" t="str">
            <v>Normal</v>
          </cell>
          <cell r="M1683" t="str">
            <v>USA</v>
          </cell>
          <cell r="N1683" t="str">
            <v>Laerdal</v>
          </cell>
          <cell r="O1683" t="str">
            <v>Baby Anne</v>
          </cell>
          <cell r="P1683" t="str">
            <v>Not Available</v>
          </cell>
          <cell r="Q1683" t="str">
            <v>Not Applicable</v>
          </cell>
          <cell r="R1683" t="str">
            <v>Laerdal Medical Corp</v>
          </cell>
          <cell r="S1683" t="str">
            <v>LAERDAL MALAYSIA SDN BHD</v>
          </cell>
          <cell r="T1683" t="str">
            <v>Functioning</v>
          </cell>
          <cell r="U1683" t="str">
            <v>Asset</v>
          </cell>
          <cell r="V1683">
            <v>875</v>
          </cell>
          <cell r="W1683" t="str">
            <v>KEW</v>
          </cell>
          <cell r="X1683" t="str">
            <v>21/09/2018</v>
          </cell>
          <cell r="Y1683" t="str">
            <v>KEW</v>
          </cell>
          <cell r="Z1683" t="str">
            <v>31/10/2018</v>
          </cell>
          <cell r="AA1683" t="str">
            <v>30/10/2019</v>
          </cell>
          <cell r="AB1683" t="str">
            <v>No</v>
          </cell>
          <cell r="AC1683" t="str">
            <v>31/10/2018</v>
          </cell>
          <cell r="AD1683" t="str">
            <v>Good</v>
          </cell>
          <cell r="AE1683" t="str">
            <v>V3 - Added Installed Facilities (New)</v>
          </cell>
          <cell r="AF1683">
            <v>43507</v>
          </cell>
          <cell r="AG1683">
            <v>1.17</v>
          </cell>
          <cell r="AH1683" t="str">
            <v>RI</v>
          </cell>
          <cell r="AI1683" t="str">
            <v>Strands</v>
          </cell>
          <cell r="AJ1683" t="str">
            <v>Strands PW</v>
          </cell>
        </row>
        <row r="1684">
          <cell r="A1684" t="str">
            <v>IKN401727</v>
          </cell>
          <cell r="B1684">
            <v>1641</v>
          </cell>
          <cell r="C1684" t="str">
            <v>Institut Kanser Negara</v>
          </cell>
          <cell r="D1684" t="str">
            <v>KKM/IKN/R/18/50</v>
          </cell>
          <cell r="E1684" t="str">
            <v>15-309</v>
          </cell>
          <cell r="F1684" t="str">
            <v>Training Manikins, Cardiopulmonary Resuscitation</v>
          </cell>
          <cell r="G1684" t="str">
            <v>AD</v>
          </cell>
          <cell r="H1684" t="str">
            <v>ADMINISTRATION</v>
          </cell>
          <cell r="I1684" t="str">
            <v>06AD122</v>
          </cell>
          <cell r="J1684" t="str">
            <v>SUPERVISOR 1</v>
          </cell>
          <cell r="K1684" t="str">
            <v>BMED</v>
          </cell>
          <cell r="L1684" t="str">
            <v>Normal</v>
          </cell>
          <cell r="M1684" t="str">
            <v>USA</v>
          </cell>
          <cell r="N1684" t="str">
            <v>Laerdal</v>
          </cell>
          <cell r="O1684" t="str">
            <v>Baby Anne</v>
          </cell>
          <cell r="P1684" t="str">
            <v>Not Available</v>
          </cell>
          <cell r="Q1684" t="str">
            <v>Not Applicable</v>
          </cell>
          <cell r="R1684" t="str">
            <v>Laerdal Medical Corp</v>
          </cell>
          <cell r="S1684" t="str">
            <v>LAERDAL MALAYSIA SDN BHD</v>
          </cell>
          <cell r="T1684" t="str">
            <v>Functioning</v>
          </cell>
          <cell r="U1684" t="str">
            <v>Asset</v>
          </cell>
          <cell r="V1684">
            <v>875</v>
          </cell>
          <cell r="W1684" t="str">
            <v>KEW</v>
          </cell>
          <cell r="X1684" t="str">
            <v>21/09/2018</v>
          </cell>
          <cell r="Y1684" t="str">
            <v>KEW</v>
          </cell>
          <cell r="Z1684" t="str">
            <v>31/10/2018</v>
          </cell>
          <cell r="AA1684" t="str">
            <v>30/10/2019</v>
          </cell>
          <cell r="AB1684" t="str">
            <v>No</v>
          </cell>
          <cell r="AC1684" t="str">
            <v>31/10/2018</v>
          </cell>
          <cell r="AD1684" t="str">
            <v>Good</v>
          </cell>
          <cell r="AE1684" t="str">
            <v>V3 - Added Installed Facilities (New)</v>
          </cell>
          <cell r="AF1684">
            <v>43507</v>
          </cell>
          <cell r="AG1684">
            <v>1.17</v>
          </cell>
          <cell r="AH1684" t="str">
            <v>RI</v>
          </cell>
          <cell r="AI1684" t="str">
            <v>Strands</v>
          </cell>
          <cell r="AJ1684" t="str">
            <v>Strands PW</v>
          </cell>
        </row>
        <row r="1685">
          <cell r="A1685" t="str">
            <v>IKN401728</v>
          </cell>
          <cell r="B1685">
            <v>1642</v>
          </cell>
          <cell r="C1685" t="str">
            <v>Institut Kanser Negara</v>
          </cell>
          <cell r="D1685" t="str">
            <v>KKM/IKN/R/18/51</v>
          </cell>
          <cell r="E1685" t="str">
            <v>15-309</v>
          </cell>
          <cell r="F1685" t="str">
            <v>Training Manikins, Cardiopulmonary Resuscitation</v>
          </cell>
          <cell r="G1685" t="str">
            <v>AD</v>
          </cell>
          <cell r="H1685" t="str">
            <v>ADMINISTRATION</v>
          </cell>
          <cell r="I1685" t="str">
            <v>06AD122</v>
          </cell>
          <cell r="J1685" t="str">
            <v>SUPERVISOR 1</v>
          </cell>
          <cell r="K1685" t="str">
            <v>BMED</v>
          </cell>
          <cell r="L1685" t="str">
            <v>Normal</v>
          </cell>
          <cell r="M1685" t="str">
            <v>USA</v>
          </cell>
          <cell r="N1685" t="str">
            <v>Laerdal</v>
          </cell>
          <cell r="O1685" t="str">
            <v>Baby Anne</v>
          </cell>
          <cell r="P1685" t="str">
            <v>Not Available</v>
          </cell>
          <cell r="Q1685" t="str">
            <v>Not Applicable</v>
          </cell>
          <cell r="R1685" t="str">
            <v>Laerdal Medical Corp</v>
          </cell>
          <cell r="S1685" t="str">
            <v>LAERDAL MALAYSIA SDN BHD</v>
          </cell>
          <cell r="T1685" t="str">
            <v>Functioning</v>
          </cell>
          <cell r="U1685" t="str">
            <v>Asset</v>
          </cell>
          <cell r="V1685">
            <v>875</v>
          </cell>
          <cell r="W1685" t="str">
            <v>KEW</v>
          </cell>
          <cell r="X1685" t="str">
            <v>21/09/2018</v>
          </cell>
          <cell r="Y1685" t="str">
            <v>KEW</v>
          </cell>
          <cell r="Z1685" t="str">
            <v>31/10/2018</v>
          </cell>
          <cell r="AA1685" t="str">
            <v>30/10/2019</v>
          </cell>
          <cell r="AB1685" t="str">
            <v>No</v>
          </cell>
          <cell r="AC1685" t="str">
            <v>31/10/2018</v>
          </cell>
          <cell r="AD1685" t="str">
            <v>Good</v>
          </cell>
          <cell r="AE1685" t="str">
            <v>V3 - Added Installed Facilities (New)</v>
          </cell>
          <cell r="AF1685">
            <v>43507</v>
          </cell>
          <cell r="AG1685">
            <v>1.17</v>
          </cell>
          <cell r="AH1685" t="str">
            <v>RI</v>
          </cell>
          <cell r="AI1685" t="str">
            <v>Strands</v>
          </cell>
          <cell r="AJ1685" t="str">
            <v>Strands PW</v>
          </cell>
        </row>
        <row r="1686">
          <cell r="A1686" t="str">
            <v>IKN401729</v>
          </cell>
          <cell r="B1686">
            <v>1643</v>
          </cell>
          <cell r="C1686" t="str">
            <v>Institut Kanser Negara</v>
          </cell>
          <cell r="D1686" t="str">
            <v>KKM/IKN/R/18/52</v>
          </cell>
          <cell r="E1686" t="str">
            <v>15-309</v>
          </cell>
          <cell r="F1686" t="str">
            <v>Training Manikins, Cardiopulmonary Resuscitation</v>
          </cell>
          <cell r="G1686" t="str">
            <v>AD</v>
          </cell>
          <cell r="H1686" t="str">
            <v>ADMINISTRATION</v>
          </cell>
          <cell r="I1686" t="str">
            <v>06AD122</v>
          </cell>
          <cell r="J1686" t="str">
            <v>SUPERVISOR 1</v>
          </cell>
          <cell r="K1686" t="str">
            <v>BMED</v>
          </cell>
          <cell r="L1686" t="str">
            <v>Normal</v>
          </cell>
          <cell r="M1686" t="str">
            <v>USA</v>
          </cell>
          <cell r="N1686" t="str">
            <v>Laerdal</v>
          </cell>
          <cell r="O1686" t="str">
            <v>Baby Anne</v>
          </cell>
          <cell r="P1686" t="str">
            <v>Not Available</v>
          </cell>
          <cell r="Q1686" t="str">
            <v>Not Applicable</v>
          </cell>
          <cell r="R1686" t="str">
            <v>Laerdal Medical Corp</v>
          </cell>
          <cell r="S1686" t="str">
            <v>LAERDAL MALAYSIA SDN BHD</v>
          </cell>
          <cell r="T1686" t="str">
            <v>Functioning</v>
          </cell>
          <cell r="U1686" t="str">
            <v>Asset</v>
          </cell>
          <cell r="V1686">
            <v>875</v>
          </cell>
          <cell r="W1686" t="str">
            <v>KEW</v>
          </cell>
          <cell r="X1686" t="str">
            <v>21/09/2018</v>
          </cell>
          <cell r="Y1686" t="str">
            <v>KEW</v>
          </cell>
          <cell r="Z1686" t="str">
            <v>31/10/2018</v>
          </cell>
          <cell r="AA1686" t="str">
            <v>30/10/2019</v>
          </cell>
          <cell r="AB1686" t="str">
            <v>No</v>
          </cell>
          <cell r="AC1686" t="str">
            <v>31/10/2018</v>
          </cell>
          <cell r="AD1686" t="str">
            <v>Good</v>
          </cell>
          <cell r="AE1686" t="str">
            <v>V3 - Added Installed Facilities (New)</v>
          </cell>
          <cell r="AF1686">
            <v>43507</v>
          </cell>
          <cell r="AG1686">
            <v>1.17</v>
          </cell>
          <cell r="AH1686" t="str">
            <v>RI</v>
          </cell>
          <cell r="AI1686" t="str">
            <v>Strands</v>
          </cell>
          <cell r="AJ1686" t="str">
            <v>Strands PW</v>
          </cell>
        </row>
        <row r="1687">
          <cell r="A1687" t="str">
            <v>IKN401730</v>
          </cell>
          <cell r="B1687">
            <v>1644</v>
          </cell>
          <cell r="C1687" t="str">
            <v>Institut Kanser Negara</v>
          </cell>
          <cell r="D1687" t="str">
            <v>KKM/IKN/R/18/53</v>
          </cell>
          <cell r="E1687" t="str">
            <v>15-309</v>
          </cell>
          <cell r="F1687" t="str">
            <v>Training Manikins, Cardiopulmonary Resuscitation</v>
          </cell>
          <cell r="G1687" t="str">
            <v>AD</v>
          </cell>
          <cell r="H1687" t="str">
            <v>ADMINISTRATION</v>
          </cell>
          <cell r="I1687" t="str">
            <v>06AD122</v>
          </cell>
          <cell r="J1687" t="str">
            <v>SUPERVISOR 1</v>
          </cell>
          <cell r="K1687" t="str">
            <v>BMED</v>
          </cell>
          <cell r="L1687" t="str">
            <v>Normal</v>
          </cell>
          <cell r="M1687" t="str">
            <v>USA</v>
          </cell>
          <cell r="N1687" t="str">
            <v>Laerdal</v>
          </cell>
          <cell r="O1687" t="str">
            <v>Baby Anne</v>
          </cell>
          <cell r="P1687" t="str">
            <v>Not Available</v>
          </cell>
          <cell r="Q1687" t="str">
            <v>Not Applicable</v>
          </cell>
          <cell r="R1687" t="str">
            <v>Laerdal Medical Corp</v>
          </cell>
          <cell r="S1687" t="str">
            <v>LAERDAL MALAYSIA SDN BHD</v>
          </cell>
          <cell r="T1687" t="str">
            <v>Functioning</v>
          </cell>
          <cell r="U1687" t="str">
            <v>Asset</v>
          </cell>
          <cell r="V1687">
            <v>875</v>
          </cell>
          <cell r="W1687" t="str">
            <v>KEW</v>
          </cell>
          <cell r="X1687" t="str">
            <v>21/09/2018</v>
          </cell>
          <cell r="Y1687" t="str">
            <v>KEW</v>
          </cell>
          <cell r="Z1687" t="str">
            <v>31/10/2018</v>
          </cell>
          <cell r="AA1687" t="str">
            <v>30/10/2019</v>
          </cell>
          <cell r="AB1687" t="str">
            <v>No</v>
          </cell>
          <cell r="AC1687" t="str">
            <v>31/10/2018</v>
          </cell>
          <cell r="AD1687" t="str">
            <v>Good</v>
          </cell>
          <cell r="AE1687" t="str">
            <v>V3 - Added Installed Facilities (New)</v>
          </cell>
          <cell r="AF1687">
            <v>43507</v>
          </cell>
          <cell r="AG1687">
            <v>1.17</v>
          </cell>
          <cell r="AH1687" t="str">
            <v>RI</v>
          </cell>
          <cell r="AI1687" t="str">
            <v>Strands</v>
          </cell>
          <cell r="AJ1687" t="str">
            <v>Strands PW</v>
          </cell>
        </row>
        <row r="1688">
          <cell r="A1688" t="str">
            <v>IKN401731</v>
          </cell>
          <cell r="B1688">
            <v>1645</v>
          </cell>
          <cell r="C1688" t="str">
            <v>Institut Kanser Negara</v>
          </cell>
          <cell r="D1688" t="str">
            <v>KKM/IKN/R/18/54</v>
          </cell>
          <cell r="E1688" t="str">
            <v>15-309</v>
          </cell>
          <cell r="F1688" t="str">
            <v>Training Manikins, Cardiopulmonary Resuscitation</v>
          </cell>
          <cell r="G1688" t="str">
            <v>AD</v>
          </cell>
          <cell r="H1688" t="str">
            <v>ADMINISTRATION</v>
          </cell>
          <cell r="I1688" t="str">
            <v>06AD122</v>
          </cell>
          <cell r="J1688" t="str">
            <v>SUPERVISOR 1</v>
          </cell>
          <cell r="K1688" t="str">
            <v>BMED</v>
          </cell>
          <cell r="L1688" t="str">
            <v>Normal</v>
          </cell>
          <cell r="M1688" t="str">
            <v>USA</v>
          </cell>
          <cell r="N1688" t="str">
            <v>Laerdal</v>
          </cell>
          <cell r="O1688" t="str">
            <v>Baby Anne</v>
          </cell>
          <cell r="P1688" t="str">
            <v>Not Available</v>
          </cell>
          <cell r="Q1688" t="str">
            <v>Not Applicable</v>
          </cell>
          <cell r="R1688" t="str">
            <v>Laerdal Medical Corp</v>
          </cell>
          <cell r="S1688" t="str">
            <v>LAERDAL MALAYSIA SDN BHD</v>
          </cell>
          <cell r="T1688" t="str">
            <v>Functioning</v>
          </cell>
          <cell r="U1688" t="str">
            <v>Asset</v>
          </cell>
          <cell r="V1688">
            <v>875</v>
          </cell>
          <cell r="W1688" t="str">
            <v>KEW</v>
          </cell>
          <cell r="X1688" t="str">
            <v>21/09/2018</v>
          </cell>
          <cell r="Y1688" t="str">
            <v>KEW</v>
          </cell>
          <cell r="Z1688" t="str">
            <v>31/10/2018</v>
          </cell>
          <cell r="AA1688" t="str">
            <v>30/10/2019</v>
          </cell>
          <cell r="AB1688" t="str">
            <v>No</v>
          </cell>
          <cell r="AC1688" t="str">
            <v>31/10/2018</v>
          </cell>
          <cell r="AD1688" t="str">
            <v>Good</v>
          </cell>
          <cell r="AE1688" t="str">
            <v>V3 - Added Installed Facilities (New)</v>
          </cell>
          <cell r="AF1688">
            <v>43507</v>
          </cell>
          <cell r="AG1688">
            <v>1.17</v>
          </cell>
          <cell r="AH1688" t="str">
            <v>RI</v>
          </cell>
          <cell r="AI1688" t="str">
            <v>Strands</v>
          </cell>
          <cell r="AJ1688" t="str">
            <v>Strands PW</v>
          </cell>
        </row>
        <row r="1689">
          <cell r="A1689" t="str">
            <v>IKN401732</v>
          </cell>
          <cell r="B1689">
            <v>1646</v>
          </cell>
          <cell r="C1689" t="str">
            <v>Institut Kanser Negara</v>
          </cell>
          <cell r="D1689" t="str">
            <v>KKM/IKN/R/18/55</v>
          </cell>
          <cell r="E1689" t="str">
            <v>15-309</v>
          </cell>
          <cell r="F1689" t="str">
            <v>Training Manikins, Cardiopulmonary Resuscitation</v>
          </cell>
          <cell r="G1689" t="str">
            <v>AD</v>
          </cell>
          <cell r="H1689" t="str">
            <v>ADMINISTRATION</v>
          </cell>
          <cell r="I1689" t="str">
            <v>06AD122</v>
          </cell>
          <cell r="J1689" t="str">
            <v>SUPERVISOR 1</v>
          </cell>
          <cell r="K1689" t="str">
            <v>BMED</v>
          </cell>
          <cell r="L1689" t="str">
            <v>Normal</v>
          </cell>
          <cell r="M1689" t="str">
            <v>USA</v>
          </cell>
          <cell r="N1689" t="str">
            <v>Laerdal</v>
          </cell>
          <cell r="O1689" t="str">
            <v>Baby Anne</v>
          </cell>
          <cell r="P1689" t="str">
            <v>Not Available</v>
          </cell>
          <cell r="Q1689" t="str">
            <v>Not Applicable</v>
          </cell>
          <cell r="R1689" t="str">
            <v>Laerdal Medical Corp</v>
          </cell>
          <cell r="S1689" t="str">
            <v>LAERDAL MALAYSIA SDN BHD</v>
          </cell>
          <cell r="T1689" t="str">
            <v>Functioning</v>
          </cell>
          <cell r="U1689" t="str">
            <v>Asset</v>
          </cell>
          <cell r="V1689">
            <v>875</v>
          </cell>
          <cell r="W1689" t="str">
            <v>KEW</v>
          </cell>
          <cell r="X1689" t="str">
            <v>21/09/2018</v>
          </cell>
          <cell r="Y1689" t="str">
            <v>KEW</v>
          </cell>
          <cell r="Z1689" t="str">
            <v>31/10/2018</v>
          </cell>
          <cell r="AA1689" t="str">
            <v>30/10/2019</v>
          </cell>
          <cell r="AB1689" t="str">
            <v>No</v>
          </cell>
          <cell r="AC1689" t="str">
            <v>31/10/2018</v>
          </cell>
          <cell r="AD1689" t="str">
            <v>Good</v>
          </cell>
          <cell r="AE1689" t="str">
            <v>V3 - Added Installed Facilities (New)</v>
          </cell>
          <cell r="AF1689">
            <v>43507</v>
          </cell>
          <cell r="AG1689">
            <v>1.17</v>
          </cell>
          <cell r="AH1689" t="str">
            <v>RI</v>
          </cell>
          <cell r="AI1689" t="str">
            <v>Strands</v>
          </cell>
          <cell r="AJ1689" t="str">
            <v>Strands PW</v>
          </cell>
        </row>
        <row r="1690">
          <cell r="A1690" t="str">
            <v>IKN401733</v>
          </cell>
          <cell r="B1690">
            <v>1647</v>
          </cell>
          <cell r="C1690" t="str">
            <v>Institut Kanser Negara</v>
          </cell>
          <cell r="D1690" t="str">
            <v>KKM/IKN/H/18/20</v>
          </cell>
          <cell r="E1690" t="str">
            <v>15-309</v>
          </cell>
          <cell r="F1690" t="str">
            <v>Training Manikins, Cardiopulmonary Resuscitation</v>
          </cell>
          <cell r="G1690" t="str">
            <v>AD</v>
          </cell>
          <cell r="H1690" t="str">
            <v>ADMINISTRATION</v>
          </cell>
          <cell r="I1690" t="str">
            <v>06AD122</v>
          </cell>
          <cell r="J1690" t="str">
            <v>SUPERVISOR 1</v>
          </cell>
          <cell r="K1690" t="str">
            <v>BMED</v>
          </cell>
          <cell r="L1690" t="str">
            <v>Normal</v>
          </cell>
          <cell r="M1690" t="str">
            <v>USA</v>
          </cell>
          <cell r="N1690" t="str">
            <v>Laerdal</v>
          </cell>
          <cell r="O1690" t="str">
            <v>Choking Charlie</v>
          </cell>
          <cell r="P1690" t="str">
            <v>Not Available</v>
          </cell>
          <cell r="Q1690" t="str">
            <v>Not Applicable</v>
          </cell>
          <cell r="R1690" t="str">
            <v>Laerdal Medical Corp</v>
          </cell>
          <cell r="S1690" t="str">
            <v>LAERDAL MALAYSIA SDN BHD</v>
          </cell>
          <cell r="T1690" t="str">
            <v>Functioning</v>
          </cell>
          <cell r="U1690" t="str">
            <v>Asset</v>
          </cell>
          <cell r="V1690">
            <v>4482</v>
          </cell>
          <cell r="W1690" t="str">
            <v>KEW</v>
          </cell>
          <cell r="X1690" t="str">
            <v>20/09/2018</v>
          </cell>
          <cell r="Y1690" t="str">
            <v>KEW</v>
          </cell>
          <cell r="Z1690" t="str">
            <v>31/10/2018</v>
          </cell>
          <cell r="AA1690" t="str">
            <v>31/10/2018</v>
          </cell>
          <cell r="AB1690" t="str">
            <v>No</v>
          </cell>
          <cell r="AC1690" t="str">
            <v>31/10/2018</v>
          </cell>
          <cell r="AD1690" t="str">
            <v>Good</v>
          </cell>
          <cell r="AE1690" t="str">
            <v>V3 - Added Installed Facilities (New)</v>
          </cell>
          <cell r="AF1690">
            <v>43482</v>
          </cell>
          <cell r="AG1690">
            <v>1.17</v>
          </cell>
          <cell r="AH1690" t="str">
            <v>RI</v>
          </cell>
          <cell r="AI1690" t="str">
            <v>Strands</v>
          </cell>
          <cell r="AJ1690" t="str">
            <v>Strands PW</v>
          </cell>
        </row>
        <row r="1691">
          <cell r="A1691" t="str">
            <v>IKN401734</v>
          </cell>
          <cell r="B1691">
            <v>1648</v>
          </cell>
          <cell r="C1691" t="str">
            <v>Institut Kanser Negara</v>
          </cell>
          <cell r="D1691" t="str">
            <v>KKM/IKN/H/00/1</v>
          </cell>
          <cell r="E1691" t="str">
            <v>18-449</v>
          </cell>
          <cell r="F1691" t="str">
            <v>Balances, Electronic, Analytical</v>
          </cell>
          <cell r="G1691" t="str">
            <v>NM</v>
          </cell>
          <cell r="H1691" t="str">
            <v>NUCLEAR MED (DIAGNOSTIC)</v>
          </cell>
          <cell r="I1691" t="str">
            <v>03NM153</v>
          </cell>
          <cell r="J1691" t="str">
            <v>PHYSICS LAB</v>
          </cell>
          <cell r="K1691" t="str">
            <v>BMED</v>
          </cell>
          <cell r="L1691" t="str">
            <v>Normal</v>
          </cell>
          <cell r="M1691" t="str">
            <v>Switzerland</v>
          </cell>
          <cell r="N1691" t="str">
            <v>Precisa Instrument AG</v>
          </cell>
          <cell r="O1691" t="str">
            <v>125 A SCS</v>
          </cell>
          <cell r="P1691" t="str">
            <v>41705</v>
          </cell>
          <cell r="Q1691" t="str">
            <v>Not Applicable</v>
          </cell>
          <cell r="R1691" t="str">
            <v>PRECISA</v>
          </cell>
          <cell r="S1691" t="str">
            <v>Bumi Jiwa Sdn. Bhd.</v>
          </cell>
          <cell r="T1691" t="str">
            <v>Functioning</v>
          </cell>
          <cell r="U1691" t="str">
            <v>Asset</v>
          </cell>
          <cell r="V1691">
            <v>6617</v>
          </cell>
          <cell r="W1691" t="str">
            <v>KEW</v>
          </cell>
          <cell r="X1691" t="str">
            <v>05/05/2000</v>
          </cell>
          <cell r="Y1691" t="str">
            <v>KEW</v>
          </cell>
          <cell r="Z1691" t="str">
            <v>05/05/2000</v>
          </cell>
          <cell r="AA1691" t="str">
            <v>04/05/2001</v>
          </cell>
          <cell r="AB1691" t="str">
            <v>No</v>
          </cell>
          <cell r="AC1691" t="str">
            <v>08/02/2019</v>
          </cell>
          <cell r="AD1691" t="str">
            <v>Good</v>
          </cell>
          <cell r="AE1691" t="str">
            <v>V3 - Added Installed Facilities (New)</v>
          </cell>
          <cell r="AF1691">
            <v>43663</v>
          </cell>
          <cell r="AG1691">
            <v>19.5</v>
          </cell>
          <cell r="AH1691" t="str">
            <v>PPM</v>
          </cell>
          <cell r="AI1691" t="str">
            <v>Strands</v>
          </cell>
          <cell r="AJ1691" t="str">
            <v>Strands PW</v>
          </cell>
          <cell r="AK1691" t="str">
            <v>SNF received. 1st batch of V3 asset (December 2020)</v>
          </cell>
        </row>
        <row r="1692">
          <cell r="A1692" t="str">
            <v>IKN401735</v>
          </cell>
          <cell r="B1692">
            <v>1649</v>
          </cell>
          <cell r="C1692" t="str">
            <v>Institut Kanser Negara</v>
          </cell>
          <cell r="D1692" t="str">
            <v>KKM/IKN/H/13/3988</v>
          </cell>
          <cell r="E1692" t="str">
            <v>13-275</v>
          </cell>
          <cell r="F1692" t="str">
            <v>Calibrators, Radioisotope</v>
          </cell>
          <cell r="G1692" t="str">
            <v>NM</v>
          </cell>
          <cell r="H1692" t="str">
            <v>NUCLEAR MED (DIAGNOSTIC)</v>
          </cell>
          <cell r="I1692" t="str">
            <v>03NM153A</v>
          </cell>
          <cell r="J1692" t="str">
            <v>PET CT, HPJ</v>
          </cell>
          <cell r="K1692" t="str">
            <v>BMED</v>
          </cell>
          <cell r="L1692" t="str">
            <v>Normal</v>
          </cell>
          <cell r="M1692" t="str">
            <v>USA</v>
          </cell>
          <cell r="N1692" t="str">
            <v>Atomlab</v>
          </cell>
          <cell r="O1692" t="str">
            <v>Atomlab 500</v>
          </cell>
          <cell r="P1692">
            <v>12080700</v>
          </cell>
          <cell r="Q1692" t="str">
            <v>Not Applicable</v>
          </cell>
          <cell r="R1692" t="str">
            <v>Biodex Medical Systems Inc</v>
          </cell>
          <cell r="S1692" t="str">
            <v>Biodex Medical Systems Inc</v>
          </cell>
          <cell r="T1692" t="str">
            <v>Functioning</v>
          </cell>
          <cell r="U1692" t="str">
            <v>Asset</v>
          </cell>
          <cell r="V1692">
            <v>60390</v>
          </cell>
          <cell r="W1692" t="str">
            <v>KEW</v>
          </cell>
          <cell r="X1692" t="str">
            <v>01/09/2010</v>
          </cell>
          <cell r="Y1692" t="str">
            <v>KEW</v>
          </cell>
          <cell r="Z1692" t="str">
            <v>16/08/2013</v>
          </cell>
          <cell r="AA1692" t="str">
            <v>15/08/2015</v>
          </cell>
          <cell r="AB1692" t="str">
            <v>No</v>
          </cell>
          <cell r="AC1692" t="str">
            <v>16/08/2013</v>
          </cell>
          <cell r="AD1692" t="str">
            <v>Good</v>
          </cell>
          <cell r="AE1692" t="str">
            <v>V10 - Asset in initial fee submission(new/replacement hosp)</v>
          </cell>
          <cell r="AF1692">
            <v>43669</v>
          </cell>
          <cell r="AG1692">
            <v>9.17</v>
          </cell>
          <cell r="AH1692" t="str">
            <v>PPM</v>
          </cell>
          <cell r="AI1692" t="str">
            <v>package</v>
          </cell>
          <cell r="AJ1692" t="str">
            <v>Proposed for V3 P2.24</v>
          </cell>
          <cell r="AK1692" t="str">
            <v>[28/2/2024] ANIS: UPDATE KKM NO., PRICE, TYPE CODE: 13275-001.</v>
          </cell>
        </row>
        <row r="1693">
          <cell r="A1693" t="str">
            <v>IKN401736</v>
          </cell>
          <cell r="B1693">
            <v>1650</v>
          </cell>
          <cell r="C1693" t="str">
            <v>Institut Kanser Negara</v>
          </cell>
          <cell r="D1693" t="str">
            <v>KKM/IKN/H/13/3989</v>
          </cell>
          <cell r="E1693" t="str">
            <v>13-275</v>
          </cell>
          <cell r="F1693" t="str">
            <v>Calibrators, Radioisotope</v>
          </cell>
          <cell r="G1693" t="str">
            <v>NM</v>
          </cell>
          <cell r="H1693" t="str">
            <v>NUCLEAR MED (DIAGNOSTIC)</v>
          </cell>
          <cell r="I1693" t="str">
            <v>03NM153A</v>
          </cell>
          <cell r="J1693" t="str">
            <v>PET CT, HPJ</v>
          </cell>
          <cell r="K1693" t="str">
            <v>BMED</v>
          </cell>
          <cell r="L1693" t="str">
            <v>Normal</v>
          </cell>
          <cell r="M1693" t="str">
            <v>USA</v>
          </cell>
          <cell r="N1693" t="str">
            <v>Atomlab</v>
          </cell>
          <cell r="O1693" t="str">
            <v>Atomlab 500</v>
          </cell>
          <cell r="P1693" t="str">
            <v>12080702</v>
          </cell>
          <cell r="Q1693" t="str">
            <v>Not Applicable</v>
          </cell>
          <cell r="R1693" t="str">
            <v>Biodex Medical Systems Inc</v>
          </cell>
          <cell r="S1693" t="str">
            <v>Biodex Medical Systems Inc</v>
          </cell>
          <cell r="T1693" t="str">
            <v>Functioning</v>
          </cell>
          <cell r="U1693" t="str">
            <v>Asset</v>
          </cell>
          <cell r="V1693">
            <v>20000</v>
          </cell>
          <cell r="W1693" t="str">
            <v>KEW</v>
          </cell>
          <cell r="X1693" t="str">
            <v>01/09/2010</v>
          </cell>
          <cell r="Y1693" t="str">
            <v>KEW</v>
          </cell>
          <cell r="Z1693" t="str">
            <v>16/08/2013</v>
          </cell>
          <cell r="AA1693" t="str">
            <v>15/08/2015</v>
          </cell>
          <cell r="AB1693" t="str">
            <v>No</v>
          </cell>
          <cell r="AC1693" t="str">
            <v>16/08/2013</v>
          </cell>
          <cell r="AD1693" t="str">
            <v>Good</v>
          </cell>
          <cell r="AE1693" t="str">
            <v>V10 - Asset in initial fee submission(new/replacement hosp)</v>
          </cell>
          <cell r="AF1693">
            <v>43669</v>
          </cell>
          <cell r="AG1693">
            <v>9.17</v>
          </cell>
          <cell r="AH1693" t="str">
            <v>PPM</v>
          </cell>
          <cell r="AI1693" t="str">
            <v>package</v>
          </cell>
        </row>
        <row r="1694">
          <cell r="A1694" t="str">
            <v>IKN401991</v>
          </cell>
          <cell r="B1694">
            <v>1651</v>
          </cell>
          <cell r="C1694" t="str">
            <v>Institut Kanser Negara</v>
          </cell>
          <cell r="D1694" t="e">
            <v>#N/A</v>
          </cell>
          <cell r="E1694" t="str">
            <v>12-956</v>
          </cell>
          <cell r="F1694" t="str">
            <v>Baths, Paraffin, Physical Therapy</v>
          </cell>
          <cell r="G1694" t="str">
            <v>RT</v>
          </cell>
          <cell r="H1694" t="str">
            <v>RADIATION TREATMENT UNIT</v>
          </cell>
          <cell r="I1694" t="str">
            <v>01RT118</v>
          </cell>
          <cell r="J1694" t="str">
            <v>CT SIMULATOR 2</v>
          </cell>
          <cell r="K1694" t="str">
            <v>BMED</v>
          </cell>
          <cell r="L1694" t="str">
            <v>Normal</v>
          </cell>
          <cell r="M1694" t="str">
            <v>USA</v>
          </cell>
          <cell r="N1694" t="str">
            <v>Civco</v>
          </cell>
          <cell r="O1694" t="str">
            <v>MTRH 1500 EX</v>
          </cell>
          <cell r="P1694" t="str">
            <v>5848</v>
          </cell>
          <cell r="Q1694" t="str">
            <v>Not Applicable</v>
          </cell>
          <cell r="R1694" t="str">
            <v>Civco</v>
          </cell>
          <cell r="S1694" t="str">
            <v>Civco</v>
          </cell>
          <cell r="T1694" t="str">
            <v>Functioning</v>
          </cell>
          <cell r="U1694" t="str">
            <v>Asset</v>
          </cell>
          <cell r="V1694">
            <v>1</v>
          </cell>
          <cell r="W1694" t="str">
            <v>KEW</v>
          </cell>
          <cell r="X1694" t="str">
            <v>01/09/2010</v>
          </cell>
          <cell r="Y1694" t="str">
            <v>KEW</v>
          </cell>
          <cell r="Z1694" t="str">
            <v>16/08/2013</v>
          </cell>
          <cell r="AA1694" t="str">
            <v>15/08/2015</v>
          </cell>
          <cell r="AB1694" t="str">
            <v>No</v>
          </cell>
          <cell r="AC1694" t="str">
            <v>31/08/2013</v>
          </cell>
          <cell r="AD1694" t="str">
            <v>Good</v>
          </cell>
          <cell r="AE1694" t="str">
            <v>V1 - Existing / No Claim</v>
          </cell>
          <cell r="AF1694">
            <v>43455</v>
          </cell>
          <cell r="AG1694">
            <v>9.17</v>
          </cell>
          <cell r="AH1694" t="str">
            <v>PPM</v>
          </cell>
          <cell r="AI1694" t="str">
            <v>package</v>
          </cell>
        </row>
        <row r="1695">
          <cell r="A1695" t="str">
            <v>IKN401993</v>
          </cell>
          <cell r="B1695">
            <v>1652</v>
          </cell>
          <cell r="C1695" t="str">
            <v>Institut Kanser Negara</v>
          </cell>
          <cell r="D1695" t="e">
            <v>#N/A</v>
          </cell>
          <cell r="E1695" t="str">
            <v>12-956</v>
          </cell>
          <cell r="F1695" t="str">
            <v>Baths, Paraffin, Physical Therapy</v>
          </cell>
          <cell r="G1695" t="str">
            <v>RT</v>
          </cell>
          <cell r="H1695" t="str">
            <v>RADIATION TREATMENT UNIT</v>
          </cell>
          <cell r="I1695" t="str">
            <v>01RT116</v>
          </cell>
          <cell r="J1695" t="str">
            <v>CT SIMULATOR 1</v>
          </cell>
          <cell r="K1695" t="str">
            <v>BMED</v>
          </cell>
          <cell r="L1695" t="str">
            <v>Normal</v>
          </cell>
          <cell r="M1695" t="str">
            <v>USA</v>
          </cell>
          <cell r="N1695" t="str">
            <v>Civco</v>
          </cell>
          <cell r="O1695" t="str">
            <v>MTRH 1500 EX</v>
          </cell>
          <cell r="P1695" t="str">
            <v>5866</v>
          </cell>
          <cell r="Q1695" t="str">
            <v>Not Applicable</v>
          </cell>
          <cell r="R1695" t="str">
            <v>Civco</v>
          </cell>
          <cell r="S1695" t="str">
            <v>Civco</v>
          </cell>
          <cell r="T1695" t="str">
            <v>Functioning</v>
          </cell>
          <cell r="U1695" t="str">
            <v>Asset</v>
          </cell>
          <cell r="V1695">
            <v>1</v>
          </cell>
          <cell r="W1695" t="str">
            <v>KEW</v>
          </cell>
          <cell r="X1695" t="str">
            <v>01/09/2010</v>
          </cell>
          <cell r="Y1695" t="str">
            <v>KEW</v>
          </cell>
          <cell r="Z1695" t="str">
            <v>16/08/2013</v>
          </cell>
          <cell r="AA1695" t="str">
            <v>15/08/2015</v>
          </cell>
          <cell r="AB1695" t="str">
            <v>No</v>
          </cell>
          <cell r="AC1695" t="str">
            <v>31/08/2013</v>
          </cell>
          <cell r="AD1695" t="str">
            <v>Good</v>
          </cell>
          <cell r="AE1695" t="str">
            <v>V1 - Existing / No Claim</v>
          </cell>
          <cell r="AF1695">
            <v>43455</v>
          </cell>
          <cell r="AG1695">
            <v>9.17</v>
          </cell>
          <cell r="AH1695" t="str">
            <v>PPM</v>
          </cell>
          <cell r="AI1695" t="str">
            <v>package</v>
          </cell>
        </row>
        <row r="1696">
          <cell r="A1696" t="str">
            <v>IKN401998</v>
          </cell>
          <cell r="B1696">
            <v>1653</v>
          </cell>
          <cell r="C1696" t="str">
            <v>Institut Kanser Negara</v>
          </cell>
          <cell r="D1696" t="e">
            <v>#N/A</v>
          </cell>
          <cell r="E1696" t="str">
            <v>16-287</v>
          </cell>
          <cell r="F1696" t="str">
            <v>Hot Plates</v>
          </cell>
          <cell r="G1696" t="str">
            <v>PF</v>
          </cell>
          <cell r="H1696" t="str">
            <v>IN-PATIENT PHARMACY</v>
          </cell>
          <cell r="I1696" t="str">
            <v>05PF110</v>
          </cell>
          <cell r="J1696" t="str">
            <v>EXTERNAL PREP</v>
          </cell>
          <cell r="K1696" t="str">
            <v>BMED</v>
          </cell>
          <cell r="L1696" t="str">
            <v>Normal</v>
          </cell>
          <cell r="M1696" t="str">
            <v>UK</v>
          </cell>
          <cell r="N1696" t="str">
            <v>STUART</v>
          </cell>
          <cell r="O1696" t="str">
            <v>SB160</v>
          </cell>
          <cell r="P1696" t="str">
            <v>R400000338</v>
          </cell>
          <cell r="Q1696" t="str">
            <v>Not Applicable</v>
          </cell>
          <cell r="R1696" t="str">
            <v>STUART</v>
          </cell>
          <cell r="S1696" t="str">
            <v>STUART</v>
          </cell>
          <cell r="T1696" t="str">
            <v>Functioning</v>
          </cell>
          <cell r="U1696" t="str">
            <v>Asset</v>
          </cell>
          <cell r="V1696">
            <v>2170</v>
          </cell>
          <cell r="W1696" t="str">
            <v>Estimate</v>
          </cell>
          <cell r="X1696" t="str">
            <v>01/09/2010</v>
          </cell>
          <cell r="Y1696" t="str">
            <v>Estimate</v>
          </cell>
          <cell r="Z1696" t="str">
            <v>16/08/2013</v>
          </cell>
          <cell r="AA1696" t="str">
            <v>15/08/2015</v>
          </cell>
          <cell r="AB1696" t="str">
            <v>No</v>
          </cell>
          <cell r="AC1696" t="str">
            <v>31/08/2013</v>
          </cell>
          <cell r="AD1696" t="str">
            <v>Good</v>
          </cell>
          <cell r="AE1696" t="str">
            <v>V1 - Existing / No Claim</v>
          </cell>
          <cell r="AF1696">
            <v>42867</v>
          </cell>
          <cell r="AG1696">
            <v>9.17</v>
          </cell>
          <cell r="AH1696" t="str">
            <v>RI</v>
          </cell>
          <cell r="AI1696" t="str">
            <v>Not in contract</v>
          </cell>
        </row>
        <row r="1697">
          <cell r="A1697" t="str">
            <v>IKN401999</v>
          </cell>
          <cell r="B1697">
            <v>1654</v>
          </cell>
          <cell r="C1697" t="str">
            <v>Institut Kanser Negara</v>
          </cell>
          <cell r="D1697" t="str">
            <v>KKM/IKN/H/13/4881</v>
          </cell>
          <cell r="E1697" t="str">
            <v>10-263</v>
          </cell>
          <cell r="F1697" t="str">
            <v>Balances, Electronic</v>
          </cell>
          <cell r="G1697" t="str">
            <v>PF</v>
          </cell>
          <cell r="H1697" t="str">
            <v>IN-PATIENT PHARMACY</v>
          </cell>
          <cell r="I1697" t="str">
            <v>05PF110</v>
          </cell>
          <cell r="J1697" t="str">
            <v>EXTERNAL PREP</v>
          </cell>
          <cell r="K1697" t="str">
            <v>BMED</v>
          </cell>
          <cell r="L1697" t="str">
            <v>Normal</v>
          </cell>
          <cell r="M1697" t="str">
            <v>Germany</v>
          </cell>
          <cell r="N1697" t="str">
            <v>Sartorius</v>
          </cell>
          <cell r="O1697" t="str">
            <v>Sartorius</v>
          </cell>
          <cell r="P1697" t="str">
            <v>Not Available</v>
          </cell>
          <cell r="Q1697" t="str">
            <v>Not Applicable</v>
          </cell>
          <cell r="R1697" t="str">
            <v>Sartorius AG</v>
          </cell>
          <cell r="S1697" t="str">
            <v>Sartorius AG</v>
          </cell>
          <cell r="T1697" t="str">
            <v>Functioning</v>
          </cell>
          <cell r="U1697" t="str">
            <v>Asset</v>
          </cell>
          <cell r="V1697">
            <v>3850</v>
          </cell>
          <cell r="W1697" t="str">
            <v>KEW</v>
          </cell>
          <cell r="X1697" t="str">
            <v>01/09/2010</v>
          </cell>
          <cell r="Y1697" t="str">
            <v>Estimate</v>
          </cell>
          <cell r="Z1697" t="str">
            <v>16/08/2013</v>
          </cell>
          <cell r="AA1697" t="str">
            <v>15/08/2015</v>
          </cell>
          <cell r="AB1697" t="str">
            <v>No</v>
          </cell>
          <cell r="AC1697" t="str">
            <v>31/08/2013</v>
          </cell>
          <cell r="AD1697" t="str">
            <v>Good</v>
          </cell>
          <cell r="AE1697" t="str">
            <v>V1 - Existing / No Claim</v>
          </cell>
          <cell r="AF1697">
            <v>42867</v>
          </cell>
          <cell r="AG1697">
            <v>9.17</v>
          </cell>
          <cell r="AH1697" t="str">
            <v>PPM</v>
          </cell>
          <cell r="AI1697" t="str">
            <v>Strands</v>
          </cell>
          <cell r="AJ1697" t="str">
            <v>Strands PW</v>
          </cell>
        </row>
        <row r="1698">
          <cell r="A1698" t="str">
            <v>IKN402000</v>
          </cell>
          <cell r="B1698">
            <v>1655</v>
          </cell>
          <cell r="C1698" t="str">
            <v>Institut Kanser Negara</v>
          </cell>
          <cell r="D1698" t="str">
            <v>KKM/IKN/H/13/4874</v>
          </cell>
          <cell r="E1698" t="str">
            <v>15-651</v>
          </cell>
          <cell r="F1698" t="str">
            <v>Stirrers</v>
          </cell>
          <cell r="G1698" t="str">
            <v>PF</v>
          </cell>
          <cell r="H1698" t="str">
            <v>IN-PATIENT PHARMACY</v>
          </cell>
          <cell r="I1698" t="str">
            <v>05PF110</v>
          </cell>
          <cell r="J1698" t="str">
            <v>EXTERNAL PREP</v>
          </cell>
          <cell r="K1698" t="str">
            <v>BMED</v>
          </cell>
          <cell r="L1698" t="str">
            <v>Normal</v>
          </cell>
          <cell r="M1698" t="str">
            <v>United States</v>
          </cell>
          <cell r="N1698" t="str">
            <v>SILVERSON</v>
          </cell>
          <cell r="O1698" t="str">
            <v>AX5</v>
          </cell>
          <cell r="P1698" t="str">
            <v>10082</v>
          </cell>
          <cell r="Q1698" t="str">
            <v>Not Applicable</v>
          </cell>
          <cell r="R1698" t="str">
            <v>FISHER SCIENTIFIC</v>
          </cell>
          <cell r="S1698" t="str">
            <v>FISHER SCIENTIFIC</v>
          </cell>
          <cell r="T1698" t="str">
            <v>Functioning</v>
          </cell>
          <cell r="U1698" t="str">
            <v>Asset</v>
          </cell>
          <cell r="V1698">
            <v>5520</v>
          </cell>
          <cell r="W1698" t="str">
            <v>KEW</v>
          </cell>
          <cell r="X1698" t="str">
            <v>01/09/2010</v>
          </cell>
          <cell r="Y1698" t="str">
            <v>Estimate</v>
          </cell>
          <cell r="Z1698" t="str">
            <v>16/08/2013</v>
          </cell>
          <cell r="AA1698" t="str">
            <v>15/08/2015</v>
          </cell>
          <cell r="AB1698" t="str">
            <v>No</v>
          </cell>
          <cell r="AC1698" t="str">
            <v>31/08/2013</v>
          </cell>
          <cell r="AD1698" t="str">
            <v>Good</v>
          </cell>
          <cell r="AE1698" t="str">
            <v>V1 - Existing / No Claim</v>
          </cell>
          <cell r="AF1698">
            <v>42867</v>
          </cell>
          <cell r="AG1698">
            <v>9.17</v>
          </cell>
          <cell r="AH1698" t="str">
            <v>PPM</v>
          </cell>
          <cell r="AI1698" t="str">
            <v>Strands</v>
          </cell>
          <cell r="AJ1698" t="str">
            <v>Strands PW</v>
          </cell>
        </row>
        <row r="1699">
          <cell r="A1699" t="str">
            <v>IKN402004</v>
          </cell>
          <cell r="B1699">
            <v>1659</v>
          </cell>
          <cell r="C1699" t="str">
            <v>Institut Kanser Negara</v>
          </cell>
          <cell r="D1699" t="str">
            <v>KKM/IKN/H/19/25</v>
          </cell>
          <cell r="E1699" t="str">
            <v>18-191</v>
          </cell>
          <cell r="F1699" t="str">
            <v>Scanning Systems, Laser, Optical Tomography</v>
          </cell>
          <cell r="G1699" t="str">
            <v>RT</v>
          </cell>
          <cell r="H1699" t="str">
            <v>RADIATION TREATMENT UNIT</v>
          </cell>
          <cell r="I1699" t="str">
            <v>01RT172</v>
          </cell>
          <cell r="J1699" t="str">
            <v>LINAC ROOM 3</v>
          </cell>
          <cell r="K1699" t="str">
            <v>BMED</v>
          </cell>
          <cell r="L1699" t="str">
            <v>Normal</v>
          </cell>
          <cell r="M1699" t="str">
            <v>Sweden</v>
          </cell>
          <cell r="N1699" t="str">
            <v>CATALYST/SENTINEL 4DCT</v>
          </cell>
          <cell r="O1699" t="str">
            <v>SENTINEL 4DCT/LS200</v>
          </cell>
          <cell r="P1699" t="str">
            <v>HY-003.04-0446</v>
          </cell>
          <cell r="Q1699" t="str">
            <v>Not Applicable</v>
          </cell>
          <cell r="R1699" t="str">
            <v>C-RAD</v>
          </cell>
          <cell r="S1699" t="str">
            <v>ABEX MEDICAL SYSTEM SDN BHD</v>
          </cell>
          <cell r="T1699" t="str">
            <v>Functioning</v>
          </cell>
          <cell r="U1699" t="str">
            <v>Asset</v>
          </cell>
          <cell r="V1699">
            <v>2185000</v>
          </cell>
          <cell r="W1699" t="str">
            <v>KEW</v>
          </cell>
          <cell r="X1699">
            <v>43749</v>
          </cell>
          <cell r="Y1699" t="str">
            <v>KEW</v>
          </cell>
          <cell r="Z1699">
            <v>43768</v>
          </cell>
          <cell r="AA1699">
            <v>44499</v>
          </cell>
          <cell r="AB1699" t="str">
            <v>No</v>
          </cell>
          <cell r="AC1699">
            <v>43768</v>
          </cell>
          <cell r="AD1699" t="str">
            <v>Good</v>
          </cell>
          <cell r="AE1699" t="str">
            <v>V3 - Added Installed Facilities (New)</v>
          </cell>
          <cell r="AH1699" t="str">
            <v>PPM</v>
          </cell>
          <cell r="AI1699" t="str">
            <v>Strands</v>
          </cell>
          <cell r="AJ1699" t="str">
            <v>Strands PW</v>
          </cell>
          <cell r="AK1699" t="str">
            <v>SNF received for P2.19</v>
          </cell>
        </row>
        <row r="1700">
          <cell r="A1700" t="str">
            <v>IKN402005</v>
          </cell>
          <cell r="B1700">
            <v>1660</v>
          </cell>
          <cell r="C1700" t="str">
            <v>Institut Kanser Negara</v>
          </cell>
          <cell r="D1700" t="str">
            <v>KKM/IKN/H/19/26</v>
          </cell>
          <cell r="E1700" t="str">
            <v>12-093</v>
          </cell>
          <cell r="F1700" t="str">
            <v>Immobilizers</v>
          </cell>
          <cell r="G1700" t="str">
            <v>RT</v>
          </cell>
          <cell r="H1700" t="str">
            <v>RADIATION TREATMENT UNIT</v>
          </cell>
          <cell r="I1700" t="str">
            <v>01RT118</v>
          </cell>
          <cell r="J1700" t="str">
            <v>CT SIMULATOR 2</v>
          </cell>
          <cell r="K1700" t="str">
            <v>BMED</v>
          </cell>
          <cell r="L1700" t="str">
            <v>Normal</v>
          </cell>
          <cell r="P1700" t="str">
            <v>271S1132G008</v>
          </cell>
          <cell r="Q1700" t="str">
            <v>Not Applicable</v>
          </cell>
          <cell r="R1700" t="str">
            <v>ORFIT INDUSTRIES</v>
          </cell>
          <cell r="S1700" t="str">
            <v>ABEX MEDICAL SYSTEM SDN BHD</v>
          </cell>
          <cell r="T1700" t="str">
            <v>Functioning</v>
          </cell>
          <cell r="U1700" t="str">
            <v>Asset</v>
          </cell>
          <cell r="V1700">
            <v>115000</v>
          </cell>
          <cell r="W1700" t="str">
            <v>KEW</v>
          </cell>
          <cell r="X1700">
            <v>43749</v>
          </cell>
          <cell r="Y1700" t="str">
            <v>KEW</v>
          </cell>
          <cell r="Z1700">
            <v>43768</v>
          </cell>
          <cell r="AA1700">
            <v>44499</v>
          </cell>
          <cell r="AB1700" t="str">
            <v>No</v>
          </cell>
          <cell r="AC1700">
            <v>43768</v>
          </cell>
          <cell r="AD1700" t="str">
            <v>Good</v>
          </cell>
          <cell r="AE1700" t="str">
            <v>V3 - Added Installed Facilities (New)</v>
          </cell>
          <cell r="AH1700" t="str">
            <v>PPM</v>
          </cell>
          <cell r="AI1700" t="str">
            <v>Strands</v>
          </cell>
          <cell r="AJ1700" t="str">
            <v>Strands PW</v>
          </cell>
          <cell r="AK1700" t="str">
            <v>SNF received for P2.19. Vendor/User inform no maintenance.</v>
          </cell>
        </row>
        <row r="1701">
          <cell r="A1701" t="str">
            <v>IKN402006</v>
          </cell>
          <cell r="B1701">
            <v>1661</v>
          </cell>
          <cell r="C1701" t="str">
            <v>Institut Kanser Negara</v>
          </cell>
          <cell r="D1701" t="str">
            <v>KKM/IKN/H/20/4</v>
          </cell>
          <cell r="E1701" t="str">
            <v>12-873</v>
          </cell>
          <cell r="F1701" t="str">
            <v>Concentrators, Oxygen</v>
          </cell>
          <cell r="G1701" t="str">
            <v>PC</v>
          </cell>
          <cell r="H1701" t="str">
            <v>PALLIATIVE CARE UNIT</v>
          </cell>
          <cell r="I1701" t="str">
            <v>04PC109</v>
          </cell>
          <cell r="J1701" t="str">
            <v>GEN. STORE</v>
          </cell>
          <cell r="K1701" t="str">
            <v>BMED</v>
          </cell>
          <cell r="L1701" t="str">
            <v>Normal</v>
          </cell>
          <cell r="M1701" t="str">
            <v>USA</v>
          </cell>
          <cell r="N1701" t="str">
            <v>EverFlo</v>
          </cell>
          <cell r="O1701" t="str">
            <v>EverFlo 5 LPM</v>
          </cell>
          <cell r="P1701" t="str">
            <v>0048251</v>
          </cell>
          <cell r="Q1701" t="str">
            <v>Not Applicable</v>
          </cell>
          <cell r="R1701" t="str">
            <v>Respironics</v>
          </cell>
          <cell r="S1701" t="str">
            <v>Philips</v>
          </cell>
          <cell r="T1701" t="str">
            <v>Functioning</v>
          </cell>
          <cell r="U1701" t="str">
            <v>Asset</v>
          </cell>
          <cell r="V1701">
            <v>3333.33</v>
          </cell>
          <cell r="W1701" t="str">
            <v>KEW</v>
          </cell>
          <cell r="X1701">
            <v>43866</v>
          </cell>
          <cell r="Y1701" t="str">
            <v>KEW</v>
          </cell>
          <cell r="Z1701">
            <v>43892</v>
          </cell>
          <cell r="AA1701">
            <v>44257</v>
          </cell>
          <cell r="AB1701" t="str">
            <v>No</v>
          </cell>
          <cell r="AC1701">
            <v>43955</v>
          </cell>
          <cell r="AD1701" t="str">
            <v>Good</v>
          </cell>
          <cell r="AE1701" t="str">
            <v>V3 - Added Installed Facilities (New)</v>
          </cell>
          <cell r="AH1701" t="str">
            <v>PPM</v>
          </cell>
          <cell r="AI1701" t="str">
            <v>Strands</v>
          </cell>
          <cell r="AJ1701" t="str">
            <v>Strands PW</v>
          </cell>
          <cell r="AK1701" t="str">
            <v>SNF received on 10.3.2020</v>
          </cell>
        </row>
        <row r="1702">
          <cell r="A1702" t="str">
            <v>IKN402007</v>
          </cell>
          <cell r="B1702">
            <v>1662</v>
          </cell>
          <cell r="C1702" t="str">
            <v>Institut Kanser Negara</v>
          </cell>
          <cell r="D1702" t="str">
            <v>KKM/IKN/H/20/6</v>
          </cell>
          <cell r="E1702" t="str">
            <v>12-873</v>
          </cell>
          <cell r="F1702" t="str">
            <v>Concentrators, Oxygen</v>
          </cell>
          <cell r="G1702" t="str">
            <v>PC</v>
          </cell>
          <cell r="H1702" t="str">
            <v>PALLIATIVE CARE UNIT</v>
          </cell>
          <cell r="I1702" t="str">
            <v>04PC109</v>
          </cell>
          <cell r="J1702" t="str">
            <v>GEN. STORE</v>
          </cell>
          <cell r="K1702" t="str">
            <v>BMED</v>
          </cell>
          <cell r="L1702" t="str">
            <v>Normal</v>
          </cell>
          <cell r="M1702" t="str">
            <v>USA</v>
          </cell>
          <cell r="N1702" t="str">
            <v>EverFlo</v>
          </cell>
          <cell r="O1702" t="str">
            <v>EverFlo 5 LPM</v>
          </cell>
          <cell r="P1702" t="str">
            <v>0048108</v>
          </cell>
          <cell r="Q1702" t="str">
            <v>Not Applicable</v>
          </cell>
          <cell r="R1702" t="str">
            <v>Respironics</v>
          </cell>
          <cell r="S1702" t="str">
            <v>Philips</v>
          </cell>
          <cell r="T1702" t="str">
            <v>Functioning</v>
          </cell>
          <cell r="U1702" t="str">
            <v>Asset</v>
          </cell>
          <cell r="V1702">
            <v>3333.33</v>
          </cell>
          <cell r="W1702" t="str">
            <v>KEW</v>
          </cell>
          <cell r="X1702">
            <v>43866</v>
          </cell>
          <cell r="Y1702" t="str">
            <v>KEW</v>
          </cell>
          <cell r="Z1702">
            <v>43892</v>
          </cell>
          <cell r="AA1702">
            <v>44257</v>
          </cell>
          <cell r="AB1702" t="str">
            <v>No</v>
          </cell>
          <cell r="AC1702">
            <v>43955</v>
          </cell>
          <cell r="AD1702" t="str">
            <v>Good</v>
          </cell>
          <cell r="AE1702" t="str">
            <v>V3 - Added Installed Facilities (New)</v>
          </cell>
          <cell r="AH1702" t="str">
            <v>PPM</v>
          </cell>
          <cell r="AI1702" t="str">
            <v>Strands</v>
          </cell>
          <cell r="AJ1702" t="str">
            <v>Strands PW</v>
          </cell>
          <cell r="AK1702" t="str">
            <v>SNF received on 10.3.2020</v>
          </cell>
        </row>
        <row r="1703">
          <cell r="A1703" t="str">
            <v>IKN402008</v>
          </cell>
          <cell r="B1703">
            <v>1663</v>
          </cell>
          <cell r="C1703" t="str">
            <v>Institut Kanser Negara</v>
          </cell>
          <cell r="D1703" t="str">
            <v>KKM/IKN/H/20/5</v>
          </cell>
          <cell r="E1703" t="str">
            <v>12-873</v>
          </cell>
          <cell r="F1703" t="str">
            <v>Concentrators, Oxygen</v>
          </cell>
          <cell r="G1703" t="str">
            <v>PC</v>
          </cell>
          <cell r="H1703" t="str">
            <v>PALLIATIVE CARE UNIT</v>
          </cell>
          <cell r="I1703" t="str">
            <v>04PC109</v>
          </cell>
          <cell r="J1703" t="str">
            <v>GEN. STORE</v>
          </cell>
          <cell r="K1703" t="str">
            <v>BMED</v>
          </cell>
          <cell r="L1703" t="str">
            <v>Normal</v>
          </cell>
          <cell r="M1703" t="str">
            <v>USA</v>
          </cell>
          <cell r="N1703" t="str">
            <v>EverFlo</v>
          </cell>
          <cell r="O1703" t="str">
            <v>EverFlo 5 LPM</v>
          </cell>
          <cell r="P1703" t="str">
            <v>0048258</v>
          </cell>
          <cell r="Q1703" t="str">
            <v>Not Applicable</v>
          </cell>
          <cell r="R1703" t="str">
            <v>Respironics</v>
          </cell>
          <cell r="S1703" t="str">
            <v>Philips</v>
          </cell>
          <cell r="T1703" t="str">
            <v>Functioning</v>
          </cell>
          <cell r="U1703" t="str">
            <v>Asset</v>
          </cell>
          <cell r="V1703">
            <v>3333.33</v>
          </cell>
          <cell r="W1703" t="str">
            <v>KEW</v>
          </cell>
          <cell r="X1703">
            <v>43866</v>
          </cell>
          <cell r="Y1703" t="str">
            <v>KEW</v>
          </cell>
          <cell r="Z1703">
            <v>43892</v>
          </cell>
          <cell r="AA1703">
            <v>44257</v>
          </cell>
          <cell r="AB1703" t="str">
            <v>No</v>
          </cell>
          <cell r="AC1703">
            <v>43955</v>
          </cell>
          <cell r="AD1703" t="str">
            <v>Good</v>
          </cell>
          <cell r="AE1703" t="str">
            <v>V3 - Added Installed Facilities (New)</v>
          </cell>
          <cell r="AH1703" t="str">
            <v>PPM</v>
          </cell>
          <cell r="AI1703" t="str">
            <v>Strands</v>
          </cell>
          <cell r="AJ1703" t="str">
            <v>Strands PW</v>
          </cell>
          <cell r="AK1703" t="str">
            <v>SNF received on 10.3.2020</v>
          </cell>
        </row>
        <row r="1704">
          <cell r="A1704" t="str">
            <v>IKN402009</v>
          </cell>
          <cell r="B1704">
            <v>1664</v>
          </cell>
          <cell r="C1704" t="str">
            <v>Institut Kanser Negara</v>
          </cell>
          <cell r="D1704" t="str">
            <v>KKM/IKN/H/20/7</v>
          </cell>
          <cell r="E1704" t="str">
            <v>12-873</v>
          </cell>
          <cell r="F1704" t="str">
            <v>Concentrators, Oxygen</v>
          </cell>
          <cell r="G1704" t="str">
            <v>PC</v>
          </cell>
          <cell r="H1704" t="str">
            <v>PALLIATIVE CARE UNIT</v>
          </cell>
          <cell r="I1704" t="str">
            <v>04PC109</v>
          </cell>
          <cell r="J1704" t="str">
            <v>GEN. STORE</v>
          </cell>
          <cell r="K1704" t="str">
            <v>BMED</v>
          </cell>
          <cell r="L1704" t="str">
            <v>Normal</v>
          </cell>
          <cell r="M1704" t="str">
            <v>USA</v>
          </cell>
          <cell r="N1704" t="str">
            <v>EverFlo</v>
          </cell>
          <cell r="O1704" t="str">
            <v>EverFlo</v>
          </cell>
          <cell r="P1704" t="str">
            <v>0049759</v>
          </cell>
          <cell r="Q1704" t="str">
            <v>Not Applicable</v>
          </cell>
          <cell r="R1704" t="str">
            <v>Respironics</v>
          </cell>
          <cell r="S1704" t="str">
            <v>Philips</v>
          </cell>
          <cell r="T1704" t="str">
            <v>Functioning</v>
          </cell>
          <cell r="U1704" t="str">
            <v>Asset</v>
          </cell>
          <cell r="V1704">
            <v>3400</v>
          </cell>
          <cell r="W1704" t="str">
            <v>KEW</v>
          </cell>
          <cell r="X1704">
            <v>43866</v>
          </cell>
          <cell r="Y1704" t="str">
            <v>KEW</v>
          </cell>
          <cell r="Z1704">
            <v>43892</v>
          </cell>
          <cell r="AA1704">
            <v>44257</v>
          </cell>
          <cell r="AB1704" t="str">
            <v>No</v>
          </cell>
          <cell r="AC1704">
            <v>43955</v>
          </cell>
          <cell r="AD1704" t="str">
            <v>Good</v>
          </cell>
          <cell r="AE1704" t="str">
            <v>V3 - Added Installed Facilities (New)</v>
          </cell>
          <cell r="AH1704" t="str">
            <v>PPM</v>
          </cell>
          <cell r="AI1704" t="str">
            <v>Strands</v>
          </cell>
          <cell r="AJ1704" t="str">
            <v>Strands PW</v>
          </cell>
          <cell r="AK1704" t="str">
            <v>SNF received on 10.3.2020</v>
          </cell>
        </row>
        <row r="1705">
          <cell r="A1705" t="str">
            <v>IKN402010</v>
          </cell>
          <cell r="B1705">
            <v>1665</v>
          </cell>
          <cell r="C1705" t="str">
            <v>Institut Kanser Negara</v>
          </cell>
          <cell r="D1705" t="str">
            <v>KKM/IKN/H/20/3</v>
          </cell>
          <cell r="E1705" t="str">
            <v>12-873</v>
          </cell>
          <cell r="F1705" t="str">
            <v>Concentrators, Oxygen</v>
          </cell>
          <cell r="G1705" t="str">
            <v>PC</v>
          </cell>
          <cell r="H1705" t="str">
            <v>PALLIATIVE CARE UNIT</v>
          </cell>
          <cell r="I1705" t="str">
            <v>04PC109</v>
          </cell>
          <cell r="J1705" t="str">
            <v>GEN. STORE</v>
          </cell>
          <cell r="K1705" t="str">
            <v>BMED</v>
          </cell>
          <cell r="L1705" t="str">
            <v>Normal</v>
          </cell>
          <cell r="M1705" t="str">
            <v>USA</v>
          </cell>
          <cell r="N1705" t="str">
            <v>EverFlo</v>
          </cell>
          <cell r="O1705" t="str">
            <v>EverFlo</v>
          </cell>
          <cell r="P1705" t="str">
            <v>0050005</v>
          </cell>
          <cell r="Q1705" t="str">
            <v>Not Applicable</v>
          </cell>
          <cell r="R1705" t="str">
            <v>Respironics</v>
          </cell>
          <cell r="S1705" t="str">
            <v>Philips</v>
          </cell>
          <cell r="T1705" t="str">
            <v>Functioning</v>
          </cell>
          <cell r="U1705" t="str">
            <v>Asset</v>
          </cell>
          <cell r="V1705">
            <v>3400</v>
          </cell>
          <cell r="W1705" t="str">
            <v>KEW</v>
          </cell>
          <cell r="X1705">
            <v>43866</v>
          </cell>
          <cell r="Y1705" t="str">
            <v>KEW</v>
          </cell>
          <cell r="Z1705">
            <v>43892</v>
          </cell>
          <cell r="AA1705">
            <v>44257</v>
          </cell>
          <cell r="AB1705" t="str">
            <v>No</v>
          </cell>
          <cell r="AC1705">
            <v>43955</v>
          </cell>
          <cell r="AD1705" t="str">
            <v>Good</v>
          </cell>
          <cell r="AE1705" t="str">
            <v>V3 - Added Installed Facilities (New)</v>
          </cell>
          <cell r="AH1705" t="str">
            <v>PPM</v>
          </cell>
          <cell r="AI1705" t="str">
            <v>Strands</v>
          </cell>
          <cell r="AJ1705" t="str">
            <v>Strands PW</v>
          </cell>
          <cell r="AK1705" t="str">
            <v>SNF received on 10.3.2020</v>
          </cell>
        </row>
        <row r="1706">
          <cell r="A1706" t="str">
            <v>IKN402011</v>
          </cell>
          <cell r="B1706">
            <v>1666</v>
          </cell>
          <cell r="C1706" t="str">
            <v>Institut Kanser Negara</v>
          </cell>
          <cell r="D1706" t="str">
            <v>KKM/IKN/R/20/21</v>
          </cell>
          <cell r="E1706" t="str">
            <v>15-663</v>
          </cell>
          <cell r="F1706" t="str">
            <v>Pipetters</v>
          </cell>
          <cell r="G1706" t="str">
            <v>LA</v>
          </cell>
          <cell r="H1706" t="str">
            <v>PATHOLOGY</v>
          </cell>
          <cell r="I1706" t="str">
            <v>04LA127</v>
          </cell>
          <cell r="J1706" t="str">
            <v>INNOCULATION/STAINING</v>
          </cell>
          <cell r="K1706" t="str">
            <v>BMED</v>
          </cell>
          <cell r="L1706" t="str">
            <v>Normal</v>
          </cell>
          <cell r="M1706" t="str">
            <v>Germany</v>
          </cell>
          <cell r="N1706" t="str">
            <v>Eppendorf</v>
          </cell>
          <cell r="O1706" t="str">
            <v>Eppendorf Research</v>
          </cell>
          <cell r="P1706" t="str">
            <v>186349Z</v>
          </cell>
          <cell r="Q1706" t="str">
            <v>Not Applicable</v>
          </cell>
          <cell r="R1706" t="str">
            <v>Eppendorf</v>
          </cell>
          <cell r="S1706" t="str">
            <v>MEDIGENE SDN BHD</v>
          </cell>
          <cell r="T1706" t="str">
            <v>Functioning</v>
          </cell>
          <cell r="U1706" t="str">
            <v>Asset</v>
          </cell>
          <cell r="V1706">
            <v>1000</v>
          </cell>
          <cell r="W1706" t="str">
            <v>KEW</v>
          </cell>
          <cell r="X1706">
            <v>43944</v>
          </cell>
          <cell r="Y1706" t="str">
            <v>KEW</v>
          </cell>
          <cell r="Z1706">
            <v>43950</v>
          </cell>
          <cell r="AA1706">
            <v>44315</v>
          </cell>
          <cell r="AB1706" t="str">
            <v>No</v>
          </cell>
          <cell r="AC1706">
            <v>43950</v>
          </cell>
          <cell r="AD1706" t="str">
            <v>Good</v>
          </cell>
          <cell r="AE1706" t="str">
            <v>V3 - Added Installed Facilities (New)</v>
          </cell>
          <cell r="AH1706" t="str">
            <v>PPM</v>
          </cell>
          <cell r="AI1706" t="str">
            <v>Strands</v>
          </cell>
          <cell r="AJ1706" t="str">
            <v>Strands PW</v>
          </cell>
          <cell r="AK1706" t="str">
            <v>SNF received on 29.5.2020</v>
          </cell>
        </row>
        <row r="1707">
          <cell r="A1707" t="str">
            <v>IKN402012</v>
          </cell>
          <cell r="B1707">
            <v>1667</v>
          </cell>
          <cell r="C1707" t="str">
            <v>Institut Kanser Negara</v>
          </cell>
          <cell r="D1707" t="str">
            <v>KKM/IKN/R/20/22</v>
          </cell>
          <cell r="E1707" t="str">
            <v>15-663</v>
          </cell>
          <cell r="F1707" t="str">
            <v>Pipetters</v>
          </cell>
          <cell r="G1707" t="str">
            <v>LA</v>
          </cell>
          <cell r="H1707" t="str">
            <v>PATHOLOGY</v>
          </cell>
          <cell r="I1707" t="str">
            <v>04LA127</v>
          </cell>
          <cell r="J1707" t="str">
            <v>INNOCULATION/STAINING</v>
          </cell>
          <cell r="K1707" t="str">
            <v>BMED</v>
          </cell>
          <cell r="L1707" t="str">
            <v>Normal</v>
          </cell>
          <cell r="M1707" t="str">
            <v>Germany</v>
          </cell>
          <cell r="N1707" t="str">
            <v>Eppendorf</v>
          </cell>
          <cell r="O1707" t="str">
            <v>Eppendorf Research</v>
          </cell>
          <cell r="P1707" t="str">
            <v>L31563I</v>
          </cell>
          <cell r="Q1707" t="str">
            <v>Not Applicable</v>
          </cell>
          <cell r="R1707" t="str">
            <v>Eppendorf</v>
          </cell>
          <cell r="S1707" t="str">
            <v>MEDIGENE SDN BHD</v>
          </cell>
          <cell r="T1707" t="str">
            <v>Functioning</v>
          </cell>
          <cell r="U1707" t="str">
            <v>Asset</v>
          </cell>
          <cell r="V1707">
            <v>1000</v>
          </cell>
          <cell r="W1707" t="str">
            <v>KEW</v>
          </cell>
          <cell r="X1707">
            <v>43944</v>
          </cell>
          <cell r="Y1707" t="str">
            <v>KEW</v>
          </cell>
          <cell r="Z1707">
            <v>43950</v>
          </cell>
          <cell r="AA1707">
            <v>44315</v>
          </cell>
          <cell r="AB1707" t="str">
            <v>No</v>
          </cell>
          <cell r="AC1707">
            <v>43950</v>
          </cell>
          <cell r="AD1707" t="str">
            <v>Good</v>
          </cell>
          <cell r="AE1707" t="str">
            <v>V3 - Added Installed Facilities (New)</v>
          </cell>
          <cell r="AH1707" t="str">
            <v>PPM</v>
          </cell>
          <cell r="AI1707" t="str">
            <v>Strands</v>
          </cell>
          <cell r="AJ1707" t="str">
            <v>Strands PW</v>
          </cell>
          <cell r="AK1707" t="str">
            <v>SNF received on 29.5.2020. [17/5/2024, INDIRA]: Update SN.</v>
          </cell>
        </row>
        <row r="1708">
          <cell r="A1708" t="str">
            <v>IKN402013</v>
          </cell>
          <cell r="B1708">
            <v>1668</v>
          </cell>
          <cell r="C1708" t="str">
            <v>Institut Kanser Negara</v>
          </cell>
          <cell r="D1708" t="str">
            <v>KKM/IKN/H/20/23</v>
          </cell>
          <cell r="E1708" t="str">
            <v>15-663</v>
          </cell>
          <cell r="F1708" t="str">
            <v>Pipetters</v>
          </cell>
          <cell r="G1708" t="str">
            <v>LA</v>
          </cell>
          <cell r="H1708" t="str">
            <v>PATHOLOGY</v>
          </cell>
          <cell r="I1708" t="str">
            <v>04LA127</v>
          </cell>
          <cell r="J1708" t="str">
            <v>INNOCULATION/STAINING</v>
          </cell>
          <cell r="K1708" t="str">
            <v>BMED</v>
          </cell>
          <cell r="L1708" t="str">
            <v>Normal</v>
          </cell>
          <cell r="M1708" t="str">
            <v>Germany</v>
          </cell>
          <cell r="N1708" t="str">
            <v>Eppendorf</v>
          </cell>
          <cell r="O1708" t="str">
            <v>Eppendorf Research Plus</v>
          </cell>
          <cell r="P1708" t="str">
            <v>R26347I</v>
          </cell>
          <cell r="Q1708" t="str">
            <v>Not Applicable</v>
          </cell>
          <cell r="R1708" t="str">
            <v>Eppendorf</v>
          </cell>
          <cell r="S1708" t="str">
            <v>MEDIGENE SDN BHD</v>
          </cell>
          <cell r="T1708" t="str">
            <v>Functioning</v>
          </cell>
          <cell r="U1708" t="str">
            <v>Asset</v>
          </cell>
          <cell r="V1708">
            <v>1000</v>
          </cell>
          <cell r="W1708" t="str">
            <v>KEW</v>
          </cell>
          <cell r="X1708">
            <v>43944</v>
          </cell>
          <cell r="Y1708" t="str">
            <v>KEW</v>
          </cell>
          <cell r="Z1708">
            <v>43950</v>
          </cell>
          <cell r="AA1708">
            <v>44315</v>
          </cell>
          <cell r="AB1708" t="str">
            <v>No</v>
          </cell>
          <cell r="AC1708">
            <v>43950</v>
          </cell>
          <cell r="AD1708" t="str">
            <v>Good</v>
          </cell>
          <cell r="AE1708" t="str">
            <v>V3 - Added Installed Facilities (New)</v>
          </cell>
          <cell r="AH1708" t="str">
            <v>PPM</v>
          </cell>
          <cell r="AI1708" t="str">
            <v>Strands</v>
          </cell>
          <cell r="AJ1708" t="str">
            <v>Strands PW SET</v>
          </cell>
          <cell r="AK1708" t="str">
            <v>SNF received on 29.5.2020. CUBA CHECK KEWPA IKN402032. [17/5/2024, INDIRA]: Update SN.</v>
          </cell>
        </row>
        <row r="1709">
          <cell r="A1709" t="str">
            <v>IKN402014</v>
          </cell>
          <cell r="B1709">
            <v>1669</v>
          </cell>
          <cell r="C1709" t="str">
            <v>Institut Kanser Negara</v>
          </cell>
          <cell r="D1709" t="str">
            <v>KKM/IKN/H/20/14</v>
          </cell>
          <cell r="E1709" t="str">
            <v>15-663</v>
          </cell>
          <cell r="F1709" t="str">
            <v>Pipetters</v>
          </cell>
          <cell r="G1709" t="str">
            <v>LA</v>
          </cell>
          <cell r="H1709" t="str">
            <v>PATHOLOGY</v>
          </cell>
          <cell r="I1709" t="str">
            <v>04LA127</v>
          </cell>
          <cell r="J1709" t="str">
            <v>INNOCULATION/STAINING</v>
          </cell>
          <cell r="K1709" t="str">
            <v>BMED</v>
          </cell>
          <cell r="L1709" t="str">
            <v>Normal</v>
          </cell>
          <cell r="M1709" t="str">
            <v>Germany</v>
          </cell>
          <cell r="N1709" t="str">
            <v>Eppendorf</v>
          </cell>
          <cell r="O1709" t="str">
            <v>Eppendorf Research Plus</v>
          </cell>
          <cell r="P1709" t="str">
            <v>R25079I</v>
          </cell>
          <cell r="Q1709" t="str">
            <v>Not Applicable</v>
          </cell>
          <cell r="R1709" t="str">
            <v>Eppendorf</v>
          </cell>
          <cell r="S1709" t="str">
            <v>MEDIGENE SDN BHD</v>
          </cell>
          <cell r="T1709" t="str">
            <v>Functioning</v>
          </cell>
          <cell r="U1709" t="str">
            <v>Asset</v>
          </cell>
          <cell r="V1709">
            <v>3883</v>
          </cell>
          <cell r="W1709" t="str">
            <v>KEW</v>
          </cell>
          <cell r="X1709">
            <v>43944</v>
          </cell>
          <cell r="Y1709" t="str">
            <v>KEW</v>
          </cell>
          <cell r="Z1709">
            <v>43950</v>
          </cell>
          <cell r="AA1709">
            <v>44315</v>
          </cell>
          <cell r="AB1709" t="str">
            <v>No</v>
          </cell>
          <cell r="AC1709">
            <v>43950</v>
          </cell>
          <cell r="AD1709" t="str">
            <v>Good</v>
          </cell>
          <cell r="AE1709" t="str">
            <v>V3 - Added Installed Facilities (New)</v>
          </cell>
          <cell r="AH1709" t="str">
            <v>PPM</v>
          </cell>
          <cell r="AI1709" t="str">
            <v>Strands</v>
          </cell>
          <cell r="AJ1709" t="str">
            <v>Strands PW</v>
          </cell>
          <cell r="AK1709" t="str">
            <v>SNF received on 29.5.2020. [17/5/2024, INDIRA]: Update SN.</v>
          </cell>
        </row>
        <row r="1710">
          <cell r="A1710" t="str">
            <v>IKN402015</v>
          </cell>
          <cell r="B1710">
            <v>1670</v>
          </cell>
          <cell r="C1710" t="str">
            <v>Institut Kanser Negara</v>
          </cell>
          <cell r="D1710" t="str">
            <v>KKM/IKN/R/20/19</v>
          </cell>
          <cell r="E1710" t="str">
            <v>15-663</v>
          </cell>
          <cell r="F1710" t="str">
            <v>Pipetters</v>
          </cell>
          <cell r="G1710" t="str">
            <v>LA</v>
          </cell>
          <cell r="H1710" t="str">
            <v>PATHOLOGY</v>
          </cell>
          <cell r="I1710" t="str">
            <v>04LA127</v>
          </cell>
          <cell r="J1710" t="str">
            <v>INNOCULATION/STAINING</v>
          </cell>
          <cell r="K1710" t="str">
            <v>BMED</v>
          </cell>
          <cell r="L1710" t="str">
            <v>Normal</v>
          </cell>
          <cell r="M1710" t="str">
            <v>Germany</v>
          </cell>
          <cell r="N1710" t="str">
            <v>Eppendorf</v>
          </cell>
          <cell r="O1710" t="str">
            <v>Eppendorf Research Plus</v>
          </cell>
          <cell r="P1710" t="str">
            <v>R25612I</v>
          </cell>
          <cell r="Q1710" t="str">
            <v>Not Applicable</v>
          </cell>
          <cell r="R1710" t="str">
            <v>Eppendorf</v>
          </cell>
          <cell r="S1710" t="str">
            <v>MEDIGENE SDN BHD</v>
          </cell>
          <cell r="T1710" t="str">
            <v>Functioning</v>
          </cell>
          <cell r="U1710" t="str">
            <v>Asset</v>
          </cell>
          <cell r="V1710">
            <v>1000</v>
          </cell>
          <cell r="W1710" t="str">
            <v>KEW</v>
          </cell>
          <cell r="X1710">
            <v>43944</v>
          </cell>
          <cell r="Y1710" t="str">
            <v>KEW</v>
          </cell>
          <cell r="Z1710">
            <v>43950</v>
          </cell>
          <cell r="AA1710">
            <v>44315</v>
          </cell>
          <cell r="AB1710" t="str">
            <v>No</v>
          </cell>
          <cell r="AC1710">
            <v>43950</v>
          </cell>
          <cell r="AD1710" t="str">
            <v>Good</v>
          </cell>
          <cell r="AE1710" t="str">
            <v>V3 - Added Installed Facilities (New)</v>
          </cell>
          <cell r="AH1710" t="str">
            <v>PPM</v>
          </cell>
          <cell r="AI1710" t="str">
            <v>Strands</v>
          </cell>
          <cell r="AJ1710" t="str">
            <v>Strands PW</v>
          </cell>
          <cell r="AK1710" t="str">
            <v>SNF received on 29.5.2020. [17/5/2024, INDIRA]: Update SN.</v>
          </cell>
        </row>
        <row r="1711">
          <cell r="A1711" t="str">
            <v>IKN402016</v>
          </cell>
          <cell r="B1711">
            <v>1671</v>
          </cell>
          <cell r="C1711" t="str">
            <v>Institut Kanser Negara</v>
          </cell>
          <cell r="D1711" t="str">
            <v>KKM/IKN/R/20/20</v>
          </cell>
          <cell r="E1711" t="str">
            <v>15-663</v>
          </cell>
          <cell r="F1711" t="str">
            <v>Pipetters</v>
          </cell>
          <cell r="G1711" t="str">
            <v>LA</v>
          </cell>
          <cell r="H1711" t="str">
            <v>PATHOLOGY</v>
          </cell>
          <cell r="I1711" t="str">
            <v>04LA127</v>
          </cell>
          <cell r="J1711" t="str">
            <v>INNOCULATION/STAINING</v>
          </cell>
          <cell r="K1711" t="str">
            <v>BMED</v>
          </cell>
          <cell r="L1711" t="str">
            <v>Normal</v>
          </cell>
          <cell r="M1711" t="str">
            <v>Germany</v>
          </cell>
          <cell r="N1711" t="str">
            <v>Eppendorf</v>
          </cell>
          <cell r="O1711" t="str">
            <v>Eppendorf Research Plus</v>
          </cell>
          <cell r="P1711" t="str">
            <v>R10153I</v>
          </cell>
          <cell r="Q1711" t="str">
            <v>Not Applicable</v>
          </cell>
          <cell r="R1711" t="str">
            <v>Eppendorf</v>
          </cell>
          <cell r="S1711" t="str">
            <v>MEDIGENE SDN BHD</v>
          </cell>
          <cell r="T1711" t="str">
            <v>Functioning</v>
          </cell>
          <cell r="U1711" t="str">
            <v>Asset</v>
          </cell>
          <cell r="V1711">
            <v>1000</v>
          </cell>
          <cell r="W1711" t="str">
            <v>KEW</v>
          </cell>
          <cell r="X1711">
            <v>43944</v>
          </cell>
          <cell r="Y1711" t="str">
            <v>KEW</v>
          </cell>
          <cell r="Z1711">
            <v>43950</v>
          </cell>
          <cell r="AA1711">
            <v>44315</v>
          </cell>
          <cell r="AB1711" t="str">
            <v>No</v>
          </cell>
          <cell r="AC1711">
            <v>43950</v>
          </cell>
          <cell r="AD1711" t="str">
            <v>Good</v>
          </cell>
          <cell r="AE1711" t="str">
            <v>V3 - Added Installed Facilities (New)</v>
          </cell>
          <cell r="AH1711" t="str">
            <v>PPM</v>
          </cell>
          <cell r="AI1711" t="str">
            <v>Strands</v>
          </cell>
          <cell r="AJ1711" t="str">
            <v>Strands PW</v>
          </cell>
          <cell r="AK1711" t="str">
            <v>SNF received on 29.5.2020. [17/5/2024, INDIRA]: Update SN.</v>
          </cell>
        </row>
        <row r="1712">
          <cell r="A1712" t="str">
            <v>IKN402017</v>
          </cell>
          <cell r="B1712">
            <v>1672</v>
          </cell>
          <cell r="C1712" t="str">
            <v>Institut Kanser Negara</v>
          </cell>
          <cell r="D1712" t="str">
            <v>KKM/IKN/H/20/10</v>
          </cell>
          <cell r="E1712" t="str">
            <v>15-161</v>
          </cell>
          <cell r="F1712" t="str">
            <v>Mixers, Clinical Laboratory</v>
          </cell>
          <cell r="G1712" t="str">
            <v>LA</v>
          </cell>
          <cell r="H1712" t="str">
            <v>PATHOLOGY</v>
          </cell>
          <cell r="I1712" t="str">
            <v>04LA120</v>
          </cell>
          <cell r="J1712" t="str">
            <v>INNOCULATION/STAINING</v>
          </cell>
          <cell r="K1712" t="str">
            <v>BMED</v>
          </cell>
          <cell r="L1712" t="str">
            <v>Normal</v>
          </cell>
          <cell r="M1712" t="str">
            <v>Germany</v>
          </cell>
          <cell r="N1712" t="str">
            <v>Vortex Mixer</v>
          </cell>
          <cell r="O1712" t="str">
            <v>Vortex Mixer BBV 1000</v>
          </cell>
          <cell r="P1712">
            <v>18041045</v>
          </cell>
          <cell r="Q1712" t="str">
            <v>Not Applicable</v>
          </cell>
          <cell r="R1712" t="str">
            <v>Greiner Bio-One</v>
          </cell>
          <cell r="S1712" t="str">
            <v>MEDIGENE SDN BHD</v>
          </cell>
          <cell r="T1712" t="str">
            <v>Functioning</v>
          </cell>
          <cell r="U1712" t="str">
            <v>Asset</v>
          </cell>
          <cell r="V1712">
            <v>3022</v>
          </cell>
          <cell r="W1712" t="str">
            <v>KEW</v>
          </cell>
          <cell r="X1712">
            <v>43944</v>
          </cell>
          <cell r="Y1712" t="str">
            <v>KEW</v>
          </cell>
          <cell r="Z1712">
            <v>43950</v>
          </cell>
          <cell r="AA1712">
            <v>44315</v>
          </cell>
          <cell r="AB1712" t="str">
            <v>No</v>
          </cell>
          <cell r="AC1712">
            <v>44315</v>
          </cell>
          <cell r="AD1712" t="str">
            <v>Good</v>
          </cell>
          <cell r="AE1712" t="str">
            <v>V3 - Added Installed Facilities (New)</v>
          </cell>
          <cell r="AH1712" t="str">
            <v>PPM</v>
          </cell>
          <cell r="AI1712" t="str">
            <v>Strands</v>
          </cell>
          <cell r="AJ1712" t="str">
            <v>Strands PW</v>
          </cell>
          <cell r="AK1712" t="str">
            <v>SNF received on 29.5.2020</v>
          </cell>
        </row>
        <row r="1713">
          <cell r="A1713" t="str">
            <v>IKN402018</v>
          </cell>
          <cell r="B1713">
            <v>1673</v>
          </cell>
          <cell r="C1713" t="str">
            <v>Institut Kanser Negara</v>
          </cell>
          <cell r="D1713" t="str">
            <v>KKM/IKN/H/20/13</v>
          </cell>
          <cell r="E1713" t="str">
            <v>15-161</v>
          </cell>
          <cell r="F1713" t="str">
            <v>Mixers, Clinical Laboratory</v>
          </cell>
          <cell r="G1713" t="str">
            <v>LA</v>
          </cell>
          <cell r="H1713" t="str">
            <v>PATHOLOGY</v>
          </cell>
          <cell r="I1713" t="str">
            <v>04LA120</v>
          </cell>
          <cell r="J1713" t="str">
            <v>INNOCULATION/STAINING</v>
          </cell>
          <cell r="K1713" t="str">
            <v>BMED</v>
          </cell>
          <cell r="L1713" t="str">
            <v>Normal</v>
          </cell>
          <cell r="M1713" t="str">
            <v>Germany</v>
          </cell>
          <cell r="N1713" t="str">
            <v>Vortex Mixer</v>
          </cell>
          <cell r="O1713" t="str">
            <v>Vortex Mixer BV 1000</v>
          </cell>
          <cell r="P1713">
            <v>18041049</v>
          </cell>
          <cell r="Q1713" t="str">
            <v>Not Applicable</v>
          </cell>
          <cell r="R1713" t="str">
            <v>Greiner Bio-One</v>
          </cell>
          <cell r="S1713" t="str">
            <v>MEDIGENE SDN BHD</v>
          </cell>
          <cell r="T1713" t="str">
            <v>Functioning</v>
          </cell>
          <cell r="U1713" t="str">
            <v>Asset</v>
          </cell>
          <cell r="V1713">
            <v>3022</v>
          </cell>
          <cell r="W1713" t="str">
            <v>KEW</v>
          </cell>
          <cell r="X1713">
            <v>43944</v>
          </cell>
          <cell r="Y1713" t="str">
            <v>KEW</v>
          </cell>
          <cell r="Z1713">
            <v>43950</v>
          </cell>
          <cell r="AA1713">
            <v>44315</v>
          </cell>
          <cell r="AB1713" t="str">
            <v>No</v>
          </cell>
          <cell r="AC1713">
            <v>44315</v>
          </cell>
          <cell r="AD1713" t="str">
            <v>Good</v>
          </cell>
          <cell r="AE1713" t="str">
            <v>V3 - Added Installed Facilities (New)</v>
          </cell>
          <cell r="AH1713" t="str">
            <v>PPM</v>
          </cell>
          <cell r="AI1713" t="str">
            <v>Strands</v>
          </cell>
          <cell r="AJ1713" t="str">
            <v>Strands PW</v>
          </cell>
          <cell r="AK1713" t="str">
            <v>SNF received on 29.5.2020</v>
          </cell>
        </row>
        <row r="1714">
          <cell r="A1714" t="str">
            <v>IKN402019</v>
          </cell>
          <cell r="B1714">
            <v>1674</v>
          </cell>
          <cell r="C1714" t="str">
            <v>Institut Kanser Negara</v>
          </cell>
          <cell r="D1714" t="str">
            <v>KKM/IKN/H/20/11</v>
          </cell>
          <cell r="E1714" t="str">
            <v>18-013</v>
          </cell>
          <cell r="F1714" t="str">
            <v>Incubators, Laboratory, Thermocycling</v>
          </cell>
          <cell r="G1714" t="str">
            <v>LA</v>
          </cell>
          <cell r="H1714" t="str">
            <v>PATHOLOGY</v>
          </cell>
          <cell r="I1714" t="str">
            <v>04LA127</v>
          </cell>
          <cell r="J1714" t="str">
            <v>INNOCULATION/STAINING</v>
          </cell>
          <cell r="K1714" t="str">
            <v>BMED</v>
          </cell>
          <cell r="L1714" t="str">
            <v>Normal</v>
          </cell>
          <cell r="M1714" t="str">
            <v>Taiwan</v>
          </cell>
          <cell r="O1714" t="str">
            <v>Elite Dry Bath Incubator</v>
          </cell>
          <cell r="P1714" t="str">
            <v>191121A050</v>
          </cell>
          <cell r="Q1714" t="str">
            <v>Not Applicable</v>
          </cell>
          <cell r="R1714" t="str">
            <v>Major Sci</v>
          </cell>
          <cell r="S1714" t="str">
            <v>MEDIGENE SDN BHD</v>
          </cell>
          <cell r="T1714" t="str">
            <v>Functioning</v>
          </cell>
          <cell r="U1714" t="str">
            <v>Asset</v>
          </cell>
          <cell r="V1714">
            <v>3742</v>
          </cell>
          <cell r="W1714" t="str">
            <v>KEW</v>
          </cell>
          <cell r="X1714">
            <v>43944</v>
          </cell>
          <cell r="Y1714" t="str">
            <v>KEW</v>
          </cell>
          <cell r="Z1714">
            <v>43950</v>
          </cell>
          <cell r="AA1714">
            <v>44315</v>
          </cell>
          <cell r="AB1714" t="str">
            <v>No</v>
          </cell>
          <cell r="AC1714">
            <v>44315</v>
          </cell>
          <cell r="AD1714" t="str">
            <v>Good</v>
          </cell>
          <cell r="AE1714" t="str">
            <v>V3 - Added Installed Facilities (New)</v>
          </cell>
          <cell r="AH1714" t="str">
            <v>PPM</v>
          </cell>
          <cell r="AI1714" t="str">
            <v>Strands</v>
          </cell>
          <cell r="AJ1714" t="str">
            <v>Strands PW</v>
          </cell>
          <cell r="AK1714" t="str">
            <v>SNF received on 29.5.2020</v>
          </cell>
        </row>
        <row r="1715">
          <cell r="A1715" t="str">
            <v>IKN402020</v>
          </cell>
          <cell r="B1715">
            <v>1675</v>
          </cell>
          <cell r="C1715" t="str">
            <v>Institut Kanser Negara</v>
          </cell>
          <cell r="D1715" t="str">
            <v>KKM/IKN/H/20/12</v>
          </cell>
          <cell r="E1715" t="str">
            <v>18-013</v>
          </cell>
          <cell r="F1715" t="str">
            <v>Incubators, Laboratory, Thermocycling</v>
          </cell>
          <cell r="G1715" t="str">
            <v>LA</v>
          </cell>
          <cell r="H1715" t="str">
            <v>PATHOLOGY</v>
          </cell>
          <cell r="I1715" t="str">
            <v>04LA120</v>
          </cell>
          <cell r="J1715" t="str">
            <v>INNOCULATION/STAINING</v>
          </cell>
          <cell r="K1715" t="str">
            <v>BMED</v>
          </cell>
          <cell r="L1715" t="str">
            <v>Normal</v>
          </cell>
          <cell r="M1715" t="str">
            <v>Taiwan</v>
          </cell>
          <cell r="O1715" t="str">
            <v>EL-02 Dry Bath Incubator</v>
          </cell>
          <cell r="P1715" t="str">
            <v>191121A031</v>
          </cell>
          <cell r="Q1715" t="str">
            <v>Not Applicable</v>
          </cell>
          <cell r="R1715" t="str">
            <v>Major Sci</v>
          </cell>
          <cell r="S1715" t="str">
            <v>MEDIGENE SDN BHD</v>
          </cell>
          <cell r="T1715" t="str">
            <v>Functioning</v>
          </cell>
          <cell r="U1715" t="str">
            <v>Asset</v>
          </cell>
          <cell r="V1715">
            <v>3742</v>
          </cell>
          <cell r="W1715" t="str">
            <v>KEW</v>
          </cell>
          <cell r="X1715">
            <v>43944</v>
          </cell>
          <cell r="Y1715" t="str">
            <v>KEW</v>
          </cell>
          <cell r="Z1715">
            <v>43950</v>
          </cell>
          <cell r="AA1715">
            <v>44315</v>
          </cell>
          <cell r="AB1715" t="str">
            <v>No</v>
          </cell>
          <cell r="AC1715">
            <v>44315</v>
          </cell>
          <cell r="AD1715" t="str">
            <v>Good</v>
          </cell>
          <cell r="AE1715" t="str">
            <v>V3 - Added Installed Facilities (New)</v>
          </cell>
          <cell r="AH1715" t="str">
            <v>PPM</v>
          </cell>
          <cell r="AI1715" t="str">
            <v>Strands</v>
          </cell>
          <cell r="AJ1715" t="str">
            <v>Strands PW</v>
          </cell>
          <cell r="AK1715" t="str">
            <v>SNF received on 29.5.2020</v>
          </cell>
        </row>
        <row r="1716">
          <cell r="A1716" t="str">
            <v>IKN402025</v>
          </cell>
          <cell r="B1716">
            <v>1680</v>
          </cell>
          <cell r="C1716" t="str">
            <v>Institut Kanser Negara</v>
          </cell>
          <cell r="D1716" t="str">
            <v>KKM/IKN/H/20/17</v>
          </cell>
          <cell r="E1716" t="str">
            <v>15-976</v>
          </cell>
          <cell r="F1716" t="str">
            <v>Scanning Systems, Ultrasonic, General-Purpose</v>
          </cell>
          <cell r="G1716" t="str">
            <v>ID</v>
          </cell>
          <cell r="H1716" t="str">
            <v>IMAGING DEPARTMENT</v>
          </cell>
          <cell r="I1716" t="str">
            <v>03ID157</v>
          </cell>
          <cell r="J1716" t="str">
            <v>FUTURE CT</v>
          </cell>
          <cell r="K1716" t="str">
            <v>BMED</v>
          </cell>
          <cell r="L1716" t="str">
            <v>Normal</v>
          </cell>
          <cell r="M1716" t="str">
            <v>USA</v>
          </cell>
          <cell r="N1716" t="str">
            <v>Logiq</v>
          </cell>
          <cell r="O1716" t="str">
            <v>Logiq E Pro</v>
          </cell>
          <cell r="P1716" t="str">
            <v>6076785wxo</v>
          </cell>
          <cell r="Q1716" t="str">
            <v>Not Applicable</v>
          </cell>
          <cell r="R1716" t="str">
            <v>GE Healthcare Systems</v>
          </cell>
          <cell r="S1716" t="str">
            <v>Tropicana Corporation Berhad</v>
          </cell>
          <cell r="T1716" t="str">
            <v>Functioning</v>
          </cell>
          <cell r="U1716" t="str">
            <v>Asset</v>
          </cell>
          <cell r="V1716">
            <v>125000</v>
          </cell>
          <cell r="W1716" t="str">
            <v>KEW</v>
          </cell>
          <cell r="X1716">
            <v>43938</v>
          </cell>
          <cell r="Y1716" t="str">
            <v>KEW</v>
          </cell>
          <cell r="Z1716">
            <v>43957</v>
          </cell>
          <cell r="AA1716">
            <v>45783</v>
          </cell>
          <cell r="AB1716" t="str">
            <v>YES</v>
          </cell>
          <cell r="AC1716">
            <v>45783</v>
          </cell>
          <cell r="AD1716" t="str">
            <v>Good</v>
          </cell>
          <cell r="AE1716" t="str">
            <v>V3 - Added Installed Facilities (New)</v>
          </cell>
          <cell r="AH1716" t="str">
            <v>PPM</v>
          </cell>
          <cell r="AI1716" t="str">
            <v>Strands</v>
          </cell>
          <cell r="AJ1716" t="str">
            <v>Strands DW</v>
          </cell>
          <cell r="AK1716" t="str">
            <v>SNF received on 29.5.2020</v>
          </cell>
        </row>
        <row r="1717">
          <cell r="A1717" t="str">
            <v>IKN402032</v>
          </cell>
          <cell r="B1717">
            <v>1687</v>
          </cell>
          <cell r="C1717" t="str">
            <v>Institut Kanser Negara</v>
          </cell>
          <cell r="D1717" t="str">
            <v>KKM/IKN/H/20/23</v>
          </cell>
          <cell r="E1717" t="str">
            <v>13-281</v>
          </cell>
          <cell r="F1717" t="str">
            <v>Computers, Radiotherapy Planning System</v>
          </cell>
          <cell r="G1717" t="str">
            <v>ID</v>
          </cell>
          <cell r="H1717" t="str">
            <v>IMAGING DEPARTMENT</v>
          </cell>
          <cell r="I1717" t="str">
            <v>03ID157</v>
          </cell>
          <cell r="J1717" t="str">
            <v>FUTURE CT</v>
          </cell>
          <cell r="K1717" t="str">
            <v>BMED</v>
          </cell>
          <cell r="L1717" t="str">
            <v>Normal</v>
          </cell>
          <cell r="M1717" t="str">
            <v>USA</v>
          </cell>
          <cell r="N1717" t="str">
            <v>BAYER</v>
          </cell>
          <cell r="O1717" t="str">
            <v>HPE PROLIANT DL380 GEN9 SERVER</v>
          </cell>
          <cell r="P1717" t="str">
            <v>SGH618YBBW</v>
          </cell>
          <cell r="Q1717" t="str">
            <v>Not Applicable</v>
          </cell>
          <cell r="R1717" t="str">
            <v>BAYER</v>
          </cell>
          <cell r="S1717" t="str">
            <v>DELTA MEDISAINS</v>
          </cell>
          <cell r="T1717" t="str">
            <v>Functioning</v>
          </cell>
          <cell r="U1717" t="str">
            <v>Asset</v>
          </cell>
          <cell r="V1717">
            <v>400000</v>
          </cell>
          <cell r="W1717" t="str">
            <v>KEW</v>
          </cell>
          <cell r="X1717">
            <v>43833</v>
          </cell>
          <cell r="Y1717" t="str">
            <v>KEW</v>
          </cell>
          <cell r="Z1717" t="str">
            <v>Demo Unit</v>
          </cell>
          <cell r="AA1717" t="str">
            <v>Demo Unit</v>
          </cell>
          <cell r="AB1717" t="str">
            <v>No</v>
          </cell>
          <cell r="AC1717">
            <v>43965</v>
          </cell>
          <cell r="AD1717" t="str">
            <v>Good</v>
          </cell>
          <cell r="AE1717" t="str">
            <v>V3 - Added Installed Facilities (New)</v>
          </cell>
          <cell r="AH1717" t="str">
            <v>PPM</v>
          </cell>
          <cell r="AI1717" t="str">
            <v>Strands</v>
          </cell>
          <cell r="AJ1717" t="str">
            <v>Strands PW</v>
          </cell>
          <cell r="AK1717" t="str">
            <v>SNF received on 3.2.2020</v>
          </cell>
        </row>
        <row r="1718">
          <cell r="A1718" t="str">
            <v>IKN402033</v>
          </cell>
          <cell r="B1718">
            <v>1688</v>
          </cell>
          <cell r="C1718" t="str">
            <v>Institut Kanser Negara</v>
          </cell>
          <cell r="D1718" t="str">
            <v>KKM/IKN/H/20/25</v>
          </cell>
          <cell r="E1718" t="str">
            <v>10-780-000</v>
          </cell>
          <cell r="F1718" t="str">
            <v>Centrifuges, Tabletop</v>
          </cell>
          <cell r="G1718" t="str">
            <v>LA</v>
          </cell>
          <cell r="H1718" t="str">
            <v>PATHOLOGY</v>
          </cell>
          <cell r="I1718" t="str">
            <v>04LA127</v>
          </cell>
          <cell r="J1718" t="str">
            <v>INNOCULATION/STAINING</v>
          </cell>
          <cell r="K1718" t="str">
            <v>BMED</v>
          </cell>
          <cell r="L1718" t="str">
            <v>Normal</v>
          </cell>
          <cell r="M1718" t="str">
            <v>Germany</v>
          </cell>
          <cell r="N1718" t="str">
            <v>Eppendorf</v>
          </cell>
          <cell r="O1718" t="str">
            <v>Centrifuge 5425</v>
          </cell>
          <cell r="P1718" t="str">
            <v>54051Q214666</v>
          </cell>
          <cell r="Q1718" t="str">
            <v>Not Applicable</v>
          </cell>
          <cell r="R1718" t="str">
            <v>Eppendorf</v>
          </cell>
          <cell r="S1718" t="str">
            <v>MEDIGENE SDN BHD</v>
          </cell>
          <cell r="T1718" t="str">
            <v>Functioning</v>
          </cell>
          <cell r="U1718" t="str">
            <v>Asset</v>
          </cell>
          <cell r="V1718">
            <v>15000</v>
          </cell>
          <cell r="W1718" t="str">
            <v>KEW</v>
          </cell>
          <cell r="X1718">
            <v>43944</v>
          </cell>
          <cell r="Y1718" t="str">
            <v>KEW</v>
          </cell>
          <cell r="Z1718">
            <v>43998</v>
          </cell>
          <cell r="AA1718">
            <v>44728</v>
          </cell>
          <cell r="AB1718" t="str">
            <v>No</v>
          </cell>
          <cell r="AC1718">
            <v>43998</v>
          </cell>
          <cell r="AD1718" t="str">
            <v>Good</v>
          </cell>
          <cell r="AE1718" t="str">
            <v>V3 - Added Installed Facilities (New)</v>
          </cell>
          <cell r="AH1718" t="str">
            <v>PPM</v>
          </cell>
          <cell r="AI1718" t="str">
            <v>Strands</v>
          </cell>
          <cell r="AJ1718" t="str">
            <v>Strands PW</v>
          </cell>
          <cell r="AK1718" t="str">
            <v>SNF received</v>
          </cell>
        </row>
        <row r="1719">
          <cell r="A1719" t="str">
            <v>IKN402035</v>
          </cell>
          <cell r="B1719">
            <v>1690</v>
          </cell>
          <cell r="C1719" t="str">
            <v>Institut Kanser Negara</v>
          </cell>
          <cell r="D1719" t="str">
            <v>KKM/IKN/H/20/29</v>
          </cell>
          <cell r="E1719" t="str">
            <v>16-861</v>
          </cell>
          <cell r="F1719" t="str">
            <v>Baths, Water, Laboratory</v>
          </cell>
          <cell r="G1719" t="str">
            <v>NM</v>
          </cell>
          <cell r="H1719" t="str">
            <v>NUCLEAR MED (DIAGNOSTIC)</v>
          </cell>
          <cell r="I1719" t="str">
            <v>03NM133</v>
          </cell>
          <cell r="J1719" t="str">
            <v>RADIODINE DISPENSING (-VE)</v>
          </cell>
          <cell r="K1719" t="str">
            <v>BMED</v>
          </cell>
          <cell r="L1719" t="str">
            <v>Normal</v>
          </cell>
          <cell r="O1719" t="str">
            <v>D1302-230V</v>
          </cell>
          <cell r="P1719" t="str">
            <v>BD186AJ0000190</v>
          </cell>
          <cell r="Q1719" t="str">
            <v>Not Applicable</v>
          </cell>
          <cell r="S1719" t="str">
            <v>UWAIS MEDIC SDN BHD</v>
          </cell>
          <cell r="T1719" t="str">
            <v>Functioning</v>
          </cell>
          <cell r="U1719" t="str">
            <v>Asset</v>
          </cell>
          <cell r="V1719">
            <v>8700</v>
          </cell>
          <cell r="W1719" t="str">
            <v>KEW</v>
          </cell>
          <cell r="X1719">
            <v>43941</v>
          </cell>
          <cell r="Y1719" t="str">
            <v>KEW</v>
          </cell>
          <cell r="Z1719">
            <v>44021</v>
          </cell>
          <cell r="AA1719">
            <v>44385</v>
          </cell>
          <cell r="AB1719" t="str">
            <v>No</v>
          </cell>
          <cell r="AC1719">
            <v>44021</v>
          </cell>
          <cell r="AD1719" t="str">
            <v>Good</v>
          </cell>
          <cell r="AE1719" t="str">
            <v>V3 - Added Installed Facilities (New)</v>
          </cell>
          <cell r="AH1719" t="str">
            <v>PPM</v>
          </cell>
          <cell r="AI1719" t="str">
            <v>Strands</v>
          </cell>
          <cell r="AJ1719" t="str">
            <v>Strands PW</v>
          </cell>
          <cell r="AK1719" t="str">
            <v>SNF received. Temperature probe SN:294123.</v>
          </cell>
        </row>
        <row r="1720">
          <cell r="A1720" t="str">
            <v>IKN402035</v>
          </cell>
          <cell r="B1720" t="str">
            <v>Baths, Water, Laboratory</v>
          </cell>
          <cell r="C1720" t="str">
            <v>Institut Kanser Negara</v>
          </cell>
          <cell r="E1720" t="str">
            <v>16861-000</v>
          </cell>
          <cell r="F1720" t="str">
            <v>Baths, Water, Laboratory</v>
          </cell>
          <cell r="G1720" t="str">
            <v>NM</v>
          </cell>
          <cell r="H1720" t="str">
            <v>NUCLEAR MED (DIAGNOSTIC)</v>
          </cell>
          <cell r="I1720" t="str">
            <v>03NM133</v>
          </cell>
          <cell r="K1720" t="str">
            <v>BMED</v>
          </cell>
          <cell r="L1720" t="str">
            <v>Normal</v>
          </cell>
          <cell r="P1720" t="str">
            <v>D1302-230V</v>
          </cell>
        </row>
        <row r="1721">
          <cell r="A1721" t="str">
            <v>IKN402036</v>
          </cell>
          <cell r="B1721">
            <v>1691</v>
          </cell>
          <cell r="C1721" t="str">
            <v>Institut Kanser Negara</v>
          </cell>
          <cell r="D1721" t="str">
            <v>KKM/IKN/H/20/28</v>
          </cell>
          <cell r="E1721" t="str">
            <v>16-861</v>
          </cell>
          <cell r="F1721" t="str">
            <v>Baths, Water, Laboratory</v>
          </cell>
          <cell r="G1721" t="str">
            <v>NM</v>
          </cell>
          <cell r="H1721" t="str">
            <v>NUCLEAR MED (DIAGNOSTIC)</v>
          </cell>
          <cell r="I1721" t="str">
            <v>03NM133</v>
          </cell>
          <cell r="J1721" t="str">
            <v>RADIODINE DISPENSING (-VE)</v>
          </cell>
          <cell r="K1721" t="str">
            <v>BMED</v>
          </cell>
          <cell r="L1721" t="str">
            <v>Normal</v>
          </cell>
          <cell r="O1721" t="str">
            <v>D1302-230V</v>
          </cell>
          <cell r="P1721" t="str">
            <v>BD194AJ0000782</v>
          </cell>
          <cell r="Q1721" t="str">
            <v>Not Applicable</v>
          </cell>
          <cell r="S1721" t="str">
            <v>UWAIS MEDIC SDN BHD</v>
          </cell>
          <cell r="T1721" t="str">
            <v>Functioning</v>
          </cell>
          <cell r="U1721" t="str">
            <v>Asset</v>
          </cell>
          <cell r="V1721">
            <v>8700</v>
          </cell>
          <cell r="W1721" t="str">
            <v>KEW</v>
          </cell>
          <cell r="X1721">
            <v>43941</v>
          </cell>
          <cell r="Y1721" t="str">
            <v>KEW</v>
          </cell>
          <cell r="Z1721">
            <v>44021</v>
          </cell>
          <cell r="AA1721">
            <v>44385</v>
          </cell>
          <cell r="AB1721" t="str">
            <v>No</v>
          </cell>
          <cell r="AC1721">
            <v>44021</v>
          </cell>
          <cell r="AD1721" t="str">
            <v>Good</v>
          </cell>
          <cell r="AE1721" t="str">
            <v>V3 - Added Installed Facilities (New)</v>
          </cell>
          <cell r="AH1721" t="str">
            <v>PPM</v>
          </cell>
          <cell r="AI1721" t="str">
            <v>Strands</v>
          </cell>
          <cell r="AJ1721" t="str">
            <v>Strands PW</v>
          </cell>
          <cell r="AK1721" t="str">
            <v>SNF received. Temperature probe SN: 2926BF.</v>
          </cell>
        </row>
        <row r="1722">
          <cell r="A1722" t="str">
            <v>IKN402043</v>
          </cell>
          <cell r="B1722">
            <v>1698</v>
          </cell>
          <cell r="C1722" t="str">
            <v>Institut Kanser Negara</v>
          </cell>
          <cell r="D1722" t="str">
            <v>KKM/IKN/H/20/46</v>
          </cell>
          <cell r="E1722" t="str">
            <v>13-215</v>
          </cell>
          <cell r="F1722" t="str">
            <v>Infusion Pumps, General-Purpose</v>
          </cell>
          <cell r="G1722" t="str">
            <v>DO</v>
          </cell>
          <cell r="H1722" t="str">
            <v>DAY ONCOLOGY UNIT</v>
          </cell>
          <cell r="I1722" t="str">
            <v>04DO111</v>
          </cell>
          <cell r="J1722" t="str">
            <v>EQUIP. ROOM</v>
          </cell>
          <cell r="K1722" t="str">
            <v>BMED</v>
          </cell>
          <cell r="L1722" t="str">
            <v>Critical</v>
          </cell>
          <cell r="M1722" t="str">
            <v>CHINA</v>
          </cell>
          <cell r="N1722" t="str">
            <v>HAWKMED</v>
          </cell>
          <cell r="O1722" t="str">
            <v>HAWK-i1</v>
          </cell>
          <cell r="P1722" t="str">
            <v>04007906</v>
          </cell>
          <cell r="Q1722" t="str">
            <v>Not Applicable</v>
          </cell>
          <cell r="R1722" t="str">
            <v>Shenzhen Hawk Medical Instrument Co., Ltd</v>
          </cell>
          <cell r="S1722" t="str">
            <v>Edge Cares Sdn. Bhd.</v>
          </cell>
          <cell r="T1722" t="str">
            <v>Functioning</v>
          </cell>
          <cell r="U1722" t="str">
            <v>Asset</v>
          </cell>
          <cell r="V1722">
            <v>3500</v>
          </cell>
          <cell r="W1722" t="str">
            <v>KEW</v>
          </cell>
          <cell r="X1722">
            <v>44155</v>
          </cell>
          <cell r="Y1722" t="str">
            <v>KEW</v>
          </cell>
          <cell r="Z1722">
            <v>44161</v>
          </cell>
          <cell r="AA1722">
            <v>44526</v>
          </cell>
          <cell r="AB1722" t="str">
            <v>No</v>
          </cell>
          <cell r="AC1722">
            <v>44161</v>
          </cell>
          <cell r="AD1722" t="str">
            <v>Good</v>
          </cell>
          <cell r="AE1722" t="str">
            <v>V3 - Added Installed Facilities (New)</v>
          </cell>
          <cell r="AF1722">
            <v>44161</v>
          </cell>
          <cell r="AH1722" t="str">
            <v>PPM</v>
          </cell>
          <cell r="AI1722" t="str">
            <v>Strands</v>
          </cell>
          <cell r="AJ1722" t="str">
            <v>Strands PW</v>
          </cell>
          <cell r="AK1722" t="str">
            <v>SNF received on 7.12.2020</v>
          </cell>
        </row>
        <row r="1723">
          <cell r="A1723" t="str">
            <v>IKN402044</v>
          </cell>
          <cell r="B1723">
            <v>1699</v>
          </cell>
          <cell r="C1723" t="str">
            <v>Institut Kanser Negara</v>
          </cell>
          <cell r="D1723" t="str">
            <v>KKM/IKN/H/20/48</v>
          </cell>
          <cell r="E1723" t="str">
            <v>13-215</v>
          </cell>
          <cell r="F1723" t="str">
            <v>Infusion Pumps, General-Purpose</v>
          </cell>
          <cell r="G1723" t="str">
            <v>DO</v>
          </cell>
          <cell r="H1723" t="str">
            <v>DAY ONCOLOGY UNIT</v>
          </cell>
          <cell r="I1723" t="str">
            <v>04DO111</v>
          </cell>
          <cell r="J1723" t="str">
            <v>EQUIP. ROOM</v>
          </cell>
          <cell r="K1723" t="str">
            <v>BMED</v>
          </cell>
          <cell r="L1723" t="str">
            <v>Critical</v>
          </cell>
          <cell r="M1723" t="str">
            <v>CHINA</v>
          </cell>
          <cell r="N1723" t="str">
            <v>HAWKMED</v>
          </cell>
          <cell r="O1723" t="str">
            <v>HAWK-i1</v>
          </cell>
          <cell r="P1723" t="str">
            <v>04007585</v>
          </cell>
          <cell r="Q1723" t="str">
            <v>Not Applicable</v>
          </cell>
          <cell r="R1723" t="str">
            <v>Shenzhen Hawk Medical Instrument Co., Ltd</v>
          </cell>
          <cell r="S1723" t="str">
            <v>Edge Cares Sdn. Bhd.</v>
          </cell>
          <cell r="T1723" t="str">
            <v>Functioning</v>
          </cell>
          <cell r="U1723" t="str">
            <v>Asset</v>
          </cell>
          <cell r="V1723">
            <v>3500</v>
          </cell>
          <cell r="W1723" t="str">
            <v>KEW</v>
          </cell>
          <cell r="X1723">
            <v>44155</v>
          </cell>
          <cell r="Y1723" t="str">
            <v>KEW</v>
          </cell>
          <cell r="Z1723">
            <v>44161</v>
          </cell>
          <cell r="AA1723">
            <v>44526</v>
          </cell>
          <cell r="AB1723" t="str">
            <v>No</v>
          </cell>
          <cell r="AC1723">
            <v>44161</v>
          </cell>
          <cell r="AD1723" t="str">
            <v>Good</v>
          </cell>
          <cell r="AE1723" t="str">
            <v>V3 - Added Installed Facilities (New)</v>
          </cell>
          <cell r="AF1723">
            <v>44161</v>
          </cell>
          <cell r="AH1723" t="str">
            <v>PPM</v>
          </cell>
          <cell r="AI1723" t="str">
            <v>Strands</v>
          </cell>
          <cell r="AJ1723" t="str">
            <v>Strands PW</v>
          </cell>
          <cell r="AK1723" t="str">
            <v>SNF received on 7.12.2020</v>
          </cell>
        </row>
        <row r="1724">
          <cell r="A1724" t="str">
            <v>IKN402045</v>
          </cell>
          <cell r="B1724">
            <v>1700</v>
          </cell>
          <cell r="C1724" t="str">
            <v>Institut Kanser Negara</v>
          </cell>
          <cell r="D1724" t="str">
            <v>KKM/IKN/H/20/47</v>
          </cell>
          <cell r="E1724" t="str">
            <v>13-215</v>
          </cell>
          <cell r="F1724" t="str">
            <v>Infusion Pumps, General-Purpose</v>
          </cell>
          <cell r="G1724" t="str">
            <v>DO</v>
          </cell>
          <cell r="H1724" t="str">
            <v>DAY ONCOLOGY UNIT</v>
          </cell>
          <cell r="I1724" t="str">
            <v>04DO111</v>
          </cell>
          <cell r="J1724" t="str">
            <v>EQUIP. ROOM</v>
          </cell>
          <cell r="K1724" t="str">
            <v>BMED</v>
          </cell>
          <cell r="L1724" t="str">
            <v>Critical</v>
          </cell>
          <cell r="M1724" t="str">
            <v>CHINA</v>
          </cell>
          <cell r="N1724" t="str">
            <v>HAWKMED</v>
          </cell>
          <cell r="O1724" t="str">
            <v>HAWK-i1</v>
          </cell>
          <cell r="P1724" t="str">
            <v>04007584</v>
          </cell>
          <cell r="Q1724" t="str">
            <v>Not Applicable</v>
          </cell>
          <cell r="R1724" t="str">
            <v>Shenzhen Hawk Medical Instrument Co., Ltd</v>
          </cell>
          <cell r="S1724" t="str">
            <v>Edge Cares Sdn. Bhd.</v>
          </cell>
          <cell r="T1724" t="str">
            <v>Functioning</v>
          </cell>
          <cell r="U1724" t="str">
            <v>Asset</v>
          </cell>
          <cell r="V1724">
            <v>3500</v>
          </cell>
          <cell r="W1724" t="str">
            <v>KEW</v>
          </cell>
          <cell r="X1724">
            <v>44155</v>
          </cell>
          <cell r="Y1724" t="str">
            <v>KEW</v>
          </cell>
          <cell r="Z1724">
            <v>44161</v>
          </cell>
          <cell r="AA1724">
            <v>44526</v>
          </cell>
          <cell r="AB1724" t="str">
            <v>No</v>
          </cell>
          <cell r="AC1724">
            <v>44161</v>
          </cell>
          <cell r="AD1724" t="str">
            <v>Good</v>
          </cell>
          <cell r="AE1724" t="str">
            <v>V3 - Added Installed Facilities (New)</v>
          </cell>
          <cell r="AF1724">
            <v>44161</v>
          </cell>
          <cell r="AH1724" t="str">
            <v>PPM</v>
          </cell>
          <cell r="AI1724" t="str">
            <v>Strands</v>
          </cell>
          <cell r="AJ1724" t="str">
            <v>Strands PW</v>
          </cell>
          <cell r="AK1724" t="str">
            <v>SNF received on 7.12.2020</v>
          </cell>
        </row>
        <row r="1725">
          <cell r="A1725" t="str">
            <v>IKN402046</v>
          </cell>
          <cell r="B1725">
            <v>1701</v>
          </cell>
          <cell r="C1725" t="str">
            <v>Institut Kanser Negara</v>
          </cell>
          <cell r="D1725" t="str">
            <v>KKM/IKN/H/20/45</v>
          </cell>
          <cell r="E1725" t="str">
            <v>13-215</v>
          </cell>
          <cell r="F1725" t="str">
            <v>Infusion Pumps, General-Purpose</v>
          </cell>
          <cell r="G1725" t="str">
            <v>DO</v>
          </cell>
          <cell r="H1725" t="str">
            <v>DAY ONCOLOGY UNIT</v>
          </cell>
          <cell r="I1725" t="str">
            <v>04DO111</v>
          </cell>
          <cell r="J1725" t="str">
            <v>EQUIP. ROOM</v>
          </cell>
          <cell r="K1725" t="str">
            <v>BMED</v>
          </cell>
          <cell r="L1725" t="str">
            <v>Critical</v>
          </cell>
          <cell r="M1725" t="str">
            <v>CHINA</v>
          </cell>
          <cell r="N1725" t="str">
            <v>HAWKMED</v>
          </cell>
          <cell r="O1725" t="str">
            <v>HAWK-i1</v>
          </cell>
          <cell r="P1725" t="str">
            <v>04007987</v>
          </cell>
          <cell r="Q1725" t="str">
            <v>Not Applicable</v>
          </cell>
          <cell r="R1725" t="str">
            <v>Shenzhen Hawk Medical Instrument Co., Ltd</v>
          </cell>
          <cell r="S1725" t="str">
            <v>Edge Cares Sdn. Bhd.</v>
          </cell>
          <cell r="T1725" t="str">
            <v>Functioning</v>
          </cell>
          <cell r="U1725" t="str">
            <v>Asset</v>
          </cell>
          <cell r="V1725">
            <v>3500</v>
          </cell>
          <cell r="W1725" t="str">
            <v>KEW</v>
          </cell>
          <cell r="X1725">
            <v>44155</v>
          </cell>
          <cell r="Y1725" t="str">
            <v>KEW</v>
          </cell>
          <cell r="Z1725">
            <v>44161</v>
          </cell>
          <cell r="AA1725">
            <v>44526</v>
          </cell>
          <cell r="AB1725" t="str">
            <v>No</v>
          </cell>
          <cell r="AC1725">
            <v>44161</v>
          </cell>
          <cell r="AD1725" t="str">
            <v>Good</v>
          </cell>
          <cell r="AE1725" t="str">
            <v>V3 - Added Installed Facilities (New)</v>
          </cell>
          <cell r="AF1725">
            <v>44161</v>
          </cell>
          <cell r="AH1725" t="str">
            <v>PPM</v>
          </cell>
          <cell r="AI1725" t="str">
            <v>Strands</v>
          </cell>
          <cell r="AJ1725" t="str">
            <v>Strands PW</v>
          </cell>
          <cell r="AK1725" t="str">
            <v>SNF received on 7.12.2020</v>
          </cell>
        </row>
        <row r="1726">
          <cell r="A1726" t="str">
            <v>IKN402048</v>
          </cell>
          <cell r="B1726">
            <v>1703</v>
          </cell>
          <cell r="C1726" t="str">
            <v>Institut Kanser Negara</v>
          </cell>
          <cell r="D1726" t="str">
            <v>KKM/IKN/R/20/320</v>
          </cell>
          <cell r="E1726" t="str">
            <v>182-67</v>
          </cell>
          <cell r="F1726" t="str">
            <v>Centrifuges, Tabletop, Low-Speed, Nonrefrigerated, Blood Bank</v>
          </cell>
          <cell r="G1726" t="str">
            <v>LA</v>
          </cell>
          <cell r="H1726" t="str">
            <v>PATHOLOGY</v>
          </cell>
          <cell r="I1726" t="str">
            <v>04LA127</v>
          </cell>
          <cell r="J1726" t="str">
            <v>INNOCULATION/STAINING</v>
          </cell>
          <cell r="K1726" t="str">
            <v>BMED</v>
          </cell>
          <cell r="L1726" t="str">
            <v>Normal</v>
          </cell>
          <cell r="M1726" t="str">
            <v>CHINA</v>
          </cell>
          <cell r="N1726" t="str">
            <v>BIOLOGIX</v>
          </cell>
          <cell r="O1726" t="str">
            <v>D1008</v>
          </cell>
          <cell r="P1726" t="str">
            <v>HG19BAK0001335</v>
          </cell>
          <cell r="Q1726" t="str">
            <v>Not Applicable</v>
          </cell>
          <cell r="R1726" t="str">
            <v>Biologix Group Limited</v>
          </cell>
          <cell r="S1726" t="str">
            <v>Tree Med Sdn. Bhd</v>
          </cell>
          <cell r="T1726" t="str">
            <v>Functioning</v>
          </cell>
          <cell r="U1726" t="str">
            <v>Asset</v>
          </cell>
          <cell r="V1726">
            <v>950</v>
          </cell>
          <cell r="W1726" t="str">
            <v>KEW</v>
          </cell>
          <cell r="X1726">
            <v>43935</v>
          </cell>
          <cell r="Y1726" t="str">
            <v>KEW</v>
          </cell>
          <cell r="Z1726">
            <v>44167</v>
          </cell>
          <cell r="AA1726">
            <v>44532</v>
          </cell>
          <cell r="AB1726" t="str">
            <v>No</v>
          </cell>
          <cell r="AC1726">
            <v>44167</v>
          </cell>
          <cell r="AD1726" t="str">
            <v>Good</v>
          </cell>
          <cell r="AE1726" t="str">
            <v>V3 - Added Installed Facilities (New)</v>
          </cell>
          <cell r="AF1726">
            <v>44167</v>
          </cell>
          <cell r="AH1726" t="str">
            <v>PPM</v>
          </cell>
          <cell r="AI1726" t="str">
            <v>Strands</v>
          </cell>
          <cell r="AJ1726" t="str">
            <v>Strands PW</v>
          </cell>
          <cell r="AK1726" t="str">
            <v>SNF received on 15.1.2021</v>
          </cell>
        </row>
        <row r="1727">
          <cell r="A1727" t="str">
            <v>IKN402050</v>
          </cell>
          <cell r="B1727">
            <v>1705</v>
          </cell>
          <cell r="C1727" t="str">
            <v>Institut Kanser Negara</v>
          </cell>
          <cell r="D1727" t="str">
            <v>KKM/IKN/H/21/9</v>
          </cell>
          <cell r="E1727" t="str">
            <v>18-329</v>
          </cell>
          <cell r="F1727" t="str">
            <v>Electrocardiographs, Multichannel, Non-Interpretative</v>
          </cell>
          <cell r="G1727" t="str">
            <v>AE</v>
          </cell>
          <cell r="H1727" t="str">
            <v>EMERGENCY UNIT</v>
          </cell>
          <cell r="I1727" t="str">
            <v>01AE106</v>
          </cell>
          <cell r="J1727" t="str">
            <v>C/E ROOM</v>
          </cell>
          <cell r="K1727" t="str">
            <v>BMED</v>
          </cell>
          <cell r="L1727" t="str">
            <v>Normal</v>
          </cell>
          <cell r="M1727" t="str">
            <v>United Kingdom</v>
          </cell>
          <cell r="N1727" t="str">
            <v>BTL</v>
          </cell>
          <cell r="O1727" t="str">
            <v>BTL-08 SD3</v>
          </cell>
          <cell r="P1727" t="str">
            <v>071DOB009854</v>
          </cell>
          <cell r="Q1727" t="str">
            <v>Not Applicable</v>
          </cell>
          <cell r="R1727" t="str">
            <v>BTL Industries Ltd</v>
          </cell>
          <cell r="S1727" t="str">
            <v>MEDIXELL SDN BHD</v>
          </cell>
          <cell r="T1727" t="str">
            <v>Functioning</v>
          </cell>
          <cell r="U1727" t="str">
            <v>Asset</v>
          </cell>
          <cell r="V1727">
            <v>12900</v>
          </cell>
          <cell r="W1727" t="str">
            <v>KEW</v>
          </cell>
          <cell r="X1727">
            <v>44139</v>
          </cell>
          <cell r="Y1727" t="str">
            <v>KEW</v>
          </cell>
          <cell r="Z1727">
            <v>44196</v>
          </cell>
          <cell r="AA1727">
            <v>44561</v>
          </cell>
          <cell r="AB1727" t="str">
            <v>No</v>
          </cell>
          <cell r="AC1727">
            <v>44186</v>
          </cell>
          <cell r="AD1727" t="str">
            <v>Good</v>
          </cell>
          <cell r="AE1727" t="str">
            <v>V3 - Added Installed Facilities (New)</v>
          </cell>
          <cell r="AH1727" t="str">
            <v>PPM</v>
          </cell>
          <cell r="AI1727" t="str">
            <v>Strands</v>
          </cell>
          <cell r="AJ1727" t="str">
            <v>Strands PW</v>
          </cell>
          <cell r="AK1727" t="str">
            <v>SNF received on 24.6.2021. [19/1/2024, Indira]: Update Model and SN.</v>
          </cell>
        </row>
        <row r="1728">
          <cell r="A1728" t="str">
            <v>IKN402051</v>
          </cell>
          <cell r="B1728">
            <v>1706</v>
          </cell>
          <cell r="C1728" t="str">
            <v>Institut Kanser Negara</v>
          </cell>
          <cell r="D1728" t="str">
            <v>KKM/IKN/H/21/4</v>
          </cell>
          <cell r="E1728" t="str">
            <v>14-032</v>
          </cell>
          <cell r="F1728" t="str">
            <v>Thermometers, Electronic</v>
          </cell>
          <cell r="G1728" t="str">
            <v>HP</v>
          </cell>
          <cell r="H1728" t="str">
            <v>HEALTH PROMO &amp; CANCER UNIT</v>
          </cell>
          <cell r="I1728" t="str">
            <v>04HP104</v>
          </cell>
          <cell r="J1728" t="str">
            <v>DISPLAY</v>
          </cell>
          <cell r="K1728" t="str">
            <v>BMED</v>
          </cell>
          <cell r="L1728" t="str">
            <v>Normal</v>
          </cell>
          <cell r="M1728" t="str">
            <v>CHINA</v>
          </cell>
          <cell r="N1728" t="str">
            <v>NUVEQ</v>
          </cell>
          <cell r="O1728" t="str">
            <v>FK02GYW</v>
          </cell>
          <cell r="P1728" t="str">
            <v>7101803027957</v>
          </cell>
          <cell r="Q1728" t="str">
            <v>Not Applicable</v>
          </cell>
          <cell r="R1728" t="str">
            <v>N/A</v>
          </cell>
          <cell r="S1728" t="str">
            <v>Cara Solution Sdn Bhd</v>
          </cell>
          <cell r="T1728" t="str">
            <v>Functioning</v>
          </cell>
          <cell r="U1728" t="str">
            <v>Asset</v>
          </cell>
          <cell r="V1728">
            <v>5800</v>
          </cell>
          <cell r="W1728" t="str">
            <v>KEW</v>
          </cell>
          <cell r="X1728">
            <v>44225</v>
          </cell>
          <cell r="Y1728" t="str">
            <v>KEW</v>
          </cell>
          <cell r="Z1728">
            <v>44225</v>
          </cell>
          <cell r="AA1728">
            <v>44590</v>
          </cell>
          <cell r="AB1728" t="str">
            <v>No</v>
          </cell>
          <cell r="AC1728">
            <v>44225</v>
          </cell>
          <cell r="AD1728" t="str">
            <v>Good</v>
          </cell>
          <cell r="AE1728" t="str">
            <v>V3 - Added Installed Facilities (New)</v>
          </cell>
          <cell r="AH1728" t="str">
            <v>PPM</v>
          </cell>
          <cell r="AI1728" t="str">
            <v>Not in contract</v>
          </cell>
          <cell r="AJ1728" t="str">
            <v>Strands PW</v>
          </cell>
          <cell r="AK1728" t="str">
            <v>Asset Sumbangan</v>
          </cell>
        </row>
        <row r="1729">
          <cell r="A1729" t="str">
            <v>IKN402052</v>
          </cell>
          <cell r="B1729">
            <v>1707</v>
          </cell>
          <cell r="C1729" t="str">
            <v>Institut Kanser Negara</v>
          </cell>
          <cell r="D1729" t="str">
            <v>KKM/IKN/H/21/3</v>
          </cell>
          <cell r="E1729" t="str">
            <v>14-032</v>
          </cell>
          <cell r="F1729" t="str">
            <v>Thermometers, Electronic</v>
          </cell>
          <cell r="G1729" t="str">
            <v>HP</v>
          </cell>
          <cell r="H1729" t="str">
            <v>HEALTH PROMO &amp; CANCER UNIT</v>
          </cell>
          <cell r="I1729" t="str">
            <v>04HP104</v>
          </cell>
          <cell r="J1729" t="str">
            <v>DISPLAY</v>
          </cell>
          <cell r="K1729" t="str">
            <v>BMED</v>
          </cell>
          <cell r="L1729" t="str">
            <v>Normal</v>
          </cell>
          <cell r="M1729" t="str">
            <v>CHINA</v>
          </cell>
          <cell r="N1729" t="str">
            <v>NUVEQ</v>
          </cell>
          <cell r="O1729" t="str">
            <v>FK02GYW</v>
          </cell>
          <cell r="P1729" t="str">
            <v>7101166493742</v>
          </cell>
          <cell r="Q1729" t="str">
            <v>Not Applicable</v>
          </cell>
          <cell r="R1729" t="str">
            <v>N/A</v>
          </cell>
          <cell r="S1729" t="str">
            <v>Cara Solution Sdn Bhd</v>
          </cell>
          <cell r="T1729" t="str">
            <v>Functioning</v>
          </cell>
          <cell r="U1729" t="str">
            <v>Asset</v>
          </cell>
          <cell r="V1729">
            <v>5800</v>
          </cell>
          <cell r="W1729" t="str">
            <v>KEW</v>
          </cell>
          <cell r="X1729">
            <v>44225</v>
          </cell>
          <cell r="Y1729" t="str">
            <v>KEW</v>
          </cell>
          <cell r="Z1729">
            <v>44225</v>
          </cell>
          <cell r="AA1729">
            <v>44590</v>
          </cell>
          <cell r="AB1729" t="str">
            <v>No</v>
          </cell>
          <cell r="AC1729">
            <v>44225</v>
          </cell>
          <cell r="AD1729" t="str">
            <v>Good</v>
          </cell>
          <cell r="AE1729" t="str">
            <v>V3 - Added Installed Facilities (New)</v>
          </cell>
          <cell r="AH1729" t="str">
            <v>PPM</v>
          </cell>
          <cell r="AI1729" t="str">
            <v>Not in contract</v>
          </cell>
          <cell r="AJ1729" t="str">
            <v>Strands PW</v>
          </cell>
          <cell r="AK1729" t="str">
            <v>Asset Sumbangan</v>
          </cell>
        </row>
        <row r="1730">
          <cell r="A1730" t="str">
            <v>IKN402055</v>
          </cell>
          <cell r="B1730">
            <v>1710</v>
          </cell>
          <cell r="C1730" t="str">
            <v>Institut Kanser Negara</v>
          </cell>
          <cell r="D1730" t="str">
            <v>KKM/IKN/H/21/20</v>
          </cell>
          <cell r="E1730" t="str">
            <v>15-141</v>
          </cell>
          <cell r="F1730" t="str">
            <v>Fluorometers</v>
          </cell>
          <cell r="G1730" t="str">
            <v>LA</v>
          </cell>
          <cell r="H1730" t="str">
            <v>PATHOLOGY</v>
          </cell>
          <cell r="I1730" t="str">
            <v>04LA130</v>
          </cell>
          <cell r="J1730" t="str">
            <v>SEROLOGY</v>
          </cell>
          <cell r="K1730" t="str">
            <v>BMED</v>
          </cell>
          <cell r="L1730" t="str">
            <v>Normal</v>
          </cell>
          <cell r="M1730" t="str">
            <v>Singapore</v>
          </cell>
          <cell r="N1730" t="str">
            <v>Invitrogen Thermo Fisher Scientific</v>
          </cell>
          <cell r="O1730" t="str">
            <v>Qubit 4 Flourometer</v>
          </cell>
          <cell r="P1730" t="str">
            <v>2322619100216</v>
          </cell>
          <cell r="Q1730" t="str">
            <v>Not Applicable</v>
          </cell>
          <cell r="R1730" t="str">
            <v>Life Technologies Holding Pte Ltd</v>
          </cell>
          <cell r="S1730" t="str">
            <v>Bio-Diagnostic Sdn Bhd</v>
          </cell>
          <cell r="T1730" t="str">
            <v>Functioning</v>
          </cell>
          <cell r="U1730" t="str">
            <v>Asset</v>
          </cell>
          <cell r="V1730">
            <v>16800</v>
          </cell>
          <cell r="W1730" t="str">
            <v>KEW</v>
          </cell>
          <cell r="X1730">
            <v>44298</v>
          </cell>
          <cell r="Y1730" t="str">
            <v>KEW</v>
          </cell>
          <cell r="Z1730">
            <v>44301</v>
          </cell>
          <cell r="AA1730">
            <v>44666</v>
          </cell>
          <cell r="AB1730" t="str">
            <v>No</v>
          </cell>
          <cell r="AC1730">
            <v>44306</v>
          </cell>
          <cell r="AD1730" t="str">
            <v>Good</v>
          </cell>
          <cell r="AE1730" t="str">
            <v>V3 - Added Installed Facilities (New)</v>
          </cell>
          <cell r="AF1730">
            <v>44301</v>
          </cell>
          <cell r="AH1730" t="str">
            <v>PPM</v>
          </cell>
          <cell r="AI1730" t="str">
            <v>Strands</v>
          </cell>
          <cell r="AJ1730" t="str">
            <v>Strands PW</v>
          </cell>
          <cell r="AK1730" t="str">
            <v>SNF received on 30.6.2021</v>
          </cell>
        </row>
        <row r="1731">
          <cell r="A1731" t="str">
            <v>IKN402056</v>
          </cell>
          <cell r="B1731">
            <v>1711</v>
          </cell>
          <cell r="C1731" t="str">
            <v>Institut Kanser Negara</v>
          </cell>
          <cell r="D1731" t="str">
            <v>KKM/IKN/R/21/94</v>
          </cell>
          <cell r="E1731" t="str">
            <v>15-663</v>
          </cell>
          <cell r="F1731" t="str">
            <v>Pipetters</v>
          </cell>
          <cell r="G1731" t="str">
            <v>LA</v>
          </cell>
          <cell r="H1731" t="str">
            <v>PATHOLOGY</v>
          </cell>
          <cell r="I1731" t="str">
            <v>04LA130</v>
          </cell>
          <cell r="J1731" t="str">
            <v>SEROLOGY</v>
          </cell>
          <cell r="K1731" t="str">
            <v>BMED</v>
          </cell>
          <cell r="L1731" t="str">
            <v>Normal</v>
          </cell>
          <cell r="M1731" t="str">
            <v>Germany</v>
          </cell>
          <cell r="N1731" t="str">
            <v>Eppendorf</v>
          </cell>
          <cell r="O1731" t="str">
            <v>Eppendorf Research Plus</v>
          </cell>
          <cell r="P1731" t="str">
            <v>N45411J</v>
          </cell>
          <cell r="Q1731" t="str">
            <v>Not Applicable</v>
          </cell>
          <cell r="R1731" t="str">
            <v>Eppendorf</v>
          </cell>
          <cell r="S1731" t="str">
            <v>MEDIGENE SDN BHD</v>
          </cell>
          <cell r="T1731" t="str">
            <v>Functioning</v>
          </cell>
          <cell r="U1731" t="str">
            <v>Asset</v>
          </cell>
          <cell r="V1731">
            <v>1000</v>
          </cell>
          <cell r="W1731" t="str">
            <v>KEW</v>
          </cell>
          <cell r="X1731">
            <v>44291</v>
          </cell>
          <cell r="Y1731" t="str">
            <v>KEW</v>
          </cell>
          <cell r="Z1731">
            <v>44307</v>
          </cell>
          <cell r="AA1731">
            <v>44672</v>
          </cell>
          <cell r="AB1731" t="str">
            <v>No</v>
          </cell>
          <cell r="AC1731">
            <v>44307</v>
          </cell>
          <cell r="AD1731" t="str">
            <v>Good</v>
          </cell>
          <cell r="AE1731" t="str">
            <v>V3 - Added Installed Facilities (New)</v>
          </cell>
          <cell r="AH1731" t="str">
            <v>PPM</v>
          </cell>
          <cell r="AI1731" t="str">
            <v>Strands</v>
          </cell>
          <cell r="AJ1731" t="str">
            <v>Strands PW</v>
          </cell>
          <cell r="AK1731" t="str">
            <v>SNF received on 30.6.2021</v>
          </cell>
        </row>
        <row r="1732">
          <cell r="A1732" t="str">
            <v>IKN402057</v>
          </cell>
          <cell r="B1732">
            <v>1712</v>
          </cell>
          <cell r="C1732" t="str">
            <v>Institut Kanser Negara</v>
          </cell>
          <cell r="D1732" t="str">
            <v>KKM/IKN/R/21/95</v>
          </cell>
          <cell r="E1732" t="str">
            <v>15-663</v>
          </cell>
          <cell r="F1732" t="str">
            <v>Pipetters</v>
          </cell>
          <cell r="G1732" t="str">
            <v>LA</v>
          </cell>
          <cell r="H1732" t="str">
            <v>PATHOLOGY</v>
          </cell>
          <cell r="I1732" t="str">
            <v>04LA130</v>
          </cell>
          <cell r="J1732" t="str">
            <v>SEROLOGY</v>
          </cell>
          <cell r="K1732" t="str">
            <v>BMED</v>
          </cell>
          <cell r="L1732" t="str">
            <v>Normal</v>
          </cell>
          <cell r="M1732" t="str">
            <v>Germany</v>
          </cell>
          <cell r="N1732" t="str">
            <v>Eppendorf</v>
          </cell>
          <cell r="O1732" t="str">
            <v>Eppendorf Research Plus</v>
          </cell>
          <cell r="P1732" t="str">
            <v>N45813J</v>
          </cell>
          <cell r="Q1732" t="str">
            <v>Not Applicable</v>
          </cell>
          <cell r="R1732" t="str">
            <v>Eppendorf</v>
          </cell>
          <cell r="S1732" t="str">
            <v>MEDIGENE SDN BHD</v>
          </cell>
          <cell r="T1732" t="str">
            <v>Functioning</v>
          </cell>
          <cell r="U1732" t="str">
            <v>Asset</v>
          </cell>
          <cell r="V1732">
            <v>1000</v>
          </cell>
          <cell r="W1732" t="str">
            <v>KEW</v>
          </cell>
          <cell r="X1732">
            <v>44291</v>
          </cell>
          <cell r="Y1732" t="str">
            <v>KEW</v>
          </cell>
          <cell r="Z1732">
            <v>44307</v>
          </cell>
          <cell r="AA1732">
            <v>44672</v>
          </cell>
          <cell r="AB1732" t="str">
            <v>No</v>
          </cell>
          <cell r="AC1732">
            <v>44307</v>
          </cell>
          <cell r="AD1732" t="str">
            <v>Good</v>
          </cell>
          <cell r="AE1732" t="str">
            <v>V3 - Added Installed Facilities (New)</v>
          </cell>
          <cell r="AH1732" t="str">
            <v>PPM</v>
          </cell>
          <cell r="AI1732" t="str">
            <v>Strands</v>
          </cell>
          <cell r="AJ1732" t="str">
            <v>Strands PW</v>
          </cell>
          <cell r="AK1732" t="str">
            <v>SNF received on 30.6.2021</v>
          </cell>
        </row>
        <row r="1733">
          <cell r="A1733" t="str">
            <v>IKN402058</v>
          </cell>
          <cell r="B1733">
            <v>1713</v>
          </cell>
          <cell r="C1733" t="str">
            <v>Institut Kanser Negara</v>
          </cell>
          <cell r="D1733" t="str">
            <v>KKM/IKN/R/21/97</v>
          </cell>
          <cell r="E1733" t="str">
            <v>15-663</v>
          </cell>
          <cell r="F1733" t="str">
            <v>Pipetters</v>
          </cell>
          <cell r="G1733" t="str">
            <v>LA</v>
          </cell>
          <cell r="H1733" t="str">
            <v>PATHOLOGY</v>
          </cell>
          <cell r="I1733" t="str">
            <v>04LA130</v>
          </cell>
          <cell r="J1733" t="str">
            <v>SEROLOGY</v>
          </cell>
          <cell r="K1733" t="str">
            <v>BMED</v>
          </cell>
          <cell r="L1733" t="str">
            <v>Normal</v>
          </cell>
          <cell r="M1733" t="str">
            <v>Germany</v>
          </cell>
          <cell r="N1733" t="str">
            <v>Eppendorf</v>
          </cell>
          <cell r="O1733" t="str">
            <v>Eppendorf Research Plus</v>
          </cell>
          <cell r="P1733" t="str">
            <v>M38198J</v>
          </cell>
          <cell r="Q1733" t="str">
            <v>Not Applicable</v>
          </cell>
          <cell r="R1733" t="str">
            <v>Eppendorf</v>
          </cell>
          <cell r="S1733" t="str">
            <v>MEDIGENE SDN BHD</v>
          </cell>
          <cell r="T1733" t="str">
            <v>Functioning</v>
          </cell>
          <cell r="U1733" t="str">
            <v>Asset</v>
          </cell>
          <cell r="V1733">
            <v>1000</v>
          </cell>
          <cell r="W1733" t="str">
            <v>KEW</v>
          </cell>
          <cell r="X1733">
            <v>44291</v>
          </cell>
          <cell r="Y1733" t="str">
            <v>KEW</v>
          </cell>
          <cell r="Z1733">
            <v>44307</v>
          </cell>
          <cell r="AA1733">
            <v>44672</v>
          </cell>
          <cell r="AB1733" t="str">
            <v>No</v>
          </cell>
          <cell r="AC1733">
            <v>44307</v>
          </cell>
          <cell r="AD1733" t="str">
            <v>Good</v>
          </cell>
          <cell r="AE1733" t="str">
            <v>V3 - Added Installed Facilities (New)</v>
          </cell>
          <cell r="AH1733" t="str">
            <v>PPM</v>
          </cell>
          <cell r="AI1733" t="str">
            <v>Strands</v>
          </cell>
          <cell r="AJ1733" t="str">
            <v>Strands PW</v>
          </cell>
          <cell r="AK1733" t="str">
            <v>SNF received on 30.6.2021</v>
          </cell>
        </row>
        <row r="1734">
          <cell r="A1734" t="str">
            <v>IKN402059</v>
          </cell>
          <cell r="B1734">
            <v>1714</v>
          </cell>
          <cell r="C1734" t="str">
            <v>Institut Kanser Negara</v>
          </cell>
          <cell r="D1734" t="str">
            <v>KKM/IKN/R/21/96</v>
          </cell>
          <cell r="E1734" t="str">
            <v>15-663</v>
          </cell>
          <cell r="F1734" t="str">
            <v>Pipetters</v>
          </cell>
          <cell r="G1734" t="str">
            <v>LA</v>
          </cell>
          <cell r="H1734" t="str">
            <v>PATHOLOGY</v>
          </cell>
          <cell r="I1734" t="str">
            <v>04LA130</v>
          </cell>
          <cell r="J1734" t="str">
            <v>SEROLOGY</v>
          </cell>
          <cell r="K1734" t="str">
            <v>BMED</v>
          </cell>
          <cell r="L1734" t="str">
            <v>Normal</v>
          </cell>
          <cell r="M1734" t="str">
            <v>Germany</v>
          </cell>
          <cell r="N1734" t="str">
            <v>Eppendorf</v>
          </cell>
          <cell r="O1734" t="str">
            <v>Eppendorf Research Plus</v>
          </cell>
          <cell r="P1734" t="str">
            <v>M38212J</v>
          </cell>
          <cell r="Q1734" t="str">
            <v>Not Applicable</v>
          </cell>
          <cell r="R1734" t="str">
            <v>Eppendorf</v>
          </cell>
          <cell r="S1734" t="str">
            <v>MEDIGENE SDN BHD</v>
          </cell>
          <cell r="T1734" t="str">
            <v>Functioning</v>
          </cell>
          <cell r="U1734" t="str">
            <v>Asset</v>
          </cell>
          <cell r="V1734">
            <v>1000</v>
          </cell>
          <cell r="W1734" t="str">
            <v>KEW</v>
          </cell>
          <cell r="X1734">
            <v>44291</v>
          </cell>
          <cell r="Y1734" t="str">
            <v>KEW</v>
          </cell>
          <cell r="Z1734">
            <v>44307</v>
          </cell>
          <cell r="AA1734">
            <v>44672</v>
          </cell>
          <cell r="AB1734" t="str">
            <v>No</v>
          </cell>
          <cell r="AC1734">
            <v>44307</v>
          </cell>
          <cell r="AD1734" t="str">
            <v>Good</v>
          </cell>
          <cell r="AE1734" t="str">
            <v>V3 - Added Installed Facilities (New)</v>
          </cell>
          <cell r="AH1734" t="str">
            <v>PPM</v>
          </cell>
          <cell r="AI1734" t="str">
            <v>Strands</v>
          </cell>
          <cell r="AJ1734" t="str">
            <v>Strands PW</v>
          </cell>
          <cell r="AK1734" t="str">
            <v>SNF received on 30.6.2021</v>
          </cell>
        </row>
        <row r="1735">
          <cell r="A1735" t="str">
            <v>IKN402060</v>
          </cell>
          <cell r="B1735">
            <v>1715</v>
          </cell>
          <cell r="C1735" t="str">
            <v>Institut Kanser Negara</v>
          </cell>
          <cell r="D1735" t="str">
            <v>KKM/IKN/R/21/98</v>
          </cell>
          <cell r="E1735" t="str">
            <v>15-663</v>
          </cell>
          <cell r="F1735" t="str">
            <v>Pipetters</v>
          </cell>
          <cell r="G1735" t="str">
            <v>LA</v>
          </cell>
          <cell r="H1735" t="str">
            <v>PATHOLOGY</v>
          </cell>
          <cell r="I1735" t="str">
            <v>04LA130</v>
          </cell>
          <cell r="J1735" t="str">
            <v>SEROLOGY</v>
          </cell>
          <cell r="K1735" t="str">
            <v>BMED</v>
          </cell>
          <cell r="L1735" t="str">
            <v>Normal</v>
          </cell>
          <cell r="M1735" t="str">
            <v>Germany</v>
          </cell>
          <cell r="N1735" t="str">
            <v>Eppendorf</v>
          </cell>
          <cell r="O1735" t="str">
            <v>Eppendorf Research Plus</v>
          </cell>
          <cell r="P1735" t="str">
            <v>N45177J</v>
          </cell>
          <cell r="Q1735" t="str">
            <v>Not Applicable</v>
          </cell>
          <cell r="R1735" t="str">
            <v>Eppendorf</v>
          </cell>
          <cell r="S1735" t="str">
            <v>MEDIGENE SDN BHD</v>
          </cell>
          <cell r="T1735" t="str">
            <v>Functioning</v>
          </cell>
          <cell r="U1735" t="str">
            <v>Asset</v>
          </cell>
          <cell r="V1735">
            <v>1000</v>
          </cell>
          <cell r="W1735" t="str">
            <v>KEW</v>
          </cell>
          <cell r="X1735">
            <v>44291</v>
          </cell>
          <cell r="Y1735" t="str">
            <v>KEW</v>
          </cell>
          <cell r="Z1735">
            <v>44307</v>
          </cell>
          <cell r="AA1735">
            <v>44672</v>
          </cell>
          <cell r="AB1735" t="str">
            <v>No</v>
          </cell>
          <cell r="AC1735">
            <v>44307</v>
          </cell>
          <cell r="AD1735" t="str">
            <v>Good</v>
          </cell>
          <cell r="AE1735" t="str">
            <v>V3 - Added Installed Facilities (New)</v>
          </cell>
          <cell r="AH1735" t="str">
            <v>PPM</v>
          </cell>
          <cell r="AI1735" t="str">
            <v>Strands</v>
          </cell>
          <cell r="AJ1735" t="str">
            <v>Strands PW</v>
          </cell>
          <cell r="AK1735" t="str">
            <v>SNF received on 30.6.2021</v>
          </cell>
        </row>
        <row r="1736">
          <cell r="A1736" t="str">
            <v>IKN402061</v>
          </cell>
          <cell r="B1736">
            <v>1716</v>
          </cell>
          <cell r="C1736" t="str">
            <v>Institut Kanser Negara</v>
          </cell>
          <cell r="D1736" t="str">
            <v>KKM/IKN/R/21/99</v>
          </cell>
          <cell r="E1736" t="str">
            <v>15-663</v>
          </cell>
          <cell r="F1736" t="str">
            <v>Pipetters</v>
          </cell>
          <cell r="G1736" t="str">
            <v>LA</v>
          </cell>
          <cell r="H1736" t="str">
            <v>PATHOLOGY</v>
          </cell>
          <cell r="I1736" t="str">
            <v>04LA130</v>
          </cell>
          <cell r="J1736" t="str">
            <v>SEROLOGY</v>
          </cell>
          <cell r="K1736" t="str">
            <v>BMED</v>
          </cell>
          <cell r="L1736" t="str">
            <v>Normal</v>
          </cell>
          <cell r="M1736" t="str">
            <v>Germany</v>
          </cell>
          <cell r="N1736" t="str">
            <v>Eppendorf</v>
          </cell>
          <cell r="O1736" t="str">
            <v>Eppendorf Research Plus</v>
          </cell>
          <cell r="P1736" t="str">
            <v>N45183J</v>
          </cell>
          <cell r="Q1736" t="str">
            <v>Not Applicable</v>
          </cell>
          <cell r="R1736" t="str">
            <v>Eppendorf</v>
          </cell>
          <cell r="S1736" t="str">
            <v>MEDIGENE SDN BHD</v>
          </cell>
          <cell r="T1736" t="str">
            <v>Functioning</v>
          </cell>
          <cell r="U1736" t="str">
            <v>Asset</v>
          </cell>
          <cell r="V1736">
            <v>1000</v>
          </cell>
          <cell r="W1736" t="str">
            <v>KEW</v>
          </cell>
          <cell r="X1736">
            <v>44291</v>
          </cell>
          <cell r="Y1736" t="str">
            <v>KEW</v>
          </cell>
          <cell r="Z1736">
            <v>44307</v>
          </cell>
          <cell r="AA1736">
            <v>44672</v>
          </cell>
          <cell r="AB1736" t="str">
            <v>No</v>
          </cell>
          <cell r="AC1736">
            <v>44307</v>
          </cell>
          <cell r="AD1736" t="str">
            <v>Good</v>
          </cell>
          <cell r="AE1736" t="str">
            <v>V3 - Added Installed Facilities (New)</v>
          </cell>
          <cell r="AH1736" t="str">
            <v>PPM</v>
          </cell>
          <cell r="AI1736" t="str">
            <v>Strands</v>
          </cell>
          <cell r="AJ1736" t="str">
            <v>Strands PW</v>
          </cell>
          <cell r="AK1736" t="str">
            <v>SNF received on 30.6.2021</v>
          </cell>
        </row>
        <row r="1737">
          <cell r="A1737" t="str">
            <v>IKN402062</v>
          </cell>
          <cell r="B1737">
            <v>1717</v>
          </cell>
          <cell r="C1737" t="str">
            <v>Institut Kanser Negara</v>
          </cell>
          <cell r="D1737" t="str">
            <v>KKM/IKN/R/21/88</v>
          </cell>
          <cell r="E1737" t="str">
            <v>15-663</v>
          </cell>
          <cell r="F1737" t="str">
            <v>Pipetters</v>
          </cell>
          <cell r="G1737" t="str">
            <v>LA</v>
          </cell>
          <cell r="H1737" t="str">
            <v>PATHOLOGY</v>
          </cell>
          <cell r="I1737" t="str">
            <v>04LA130</v>
          </cell>
          <cell r="J1737" t="str">
            <v>SEROLOGY</v>
          </cell>
          <cell r="K1737" t="str">
            <v>BMED</v>
          </cell>
          <cell r="L1737" t="str">
            <v>Normal</v>
          </cell>
          <cell r="M1737" t="str">
            <v>Germany</v>
          </cell>
          <cell r="N1737" t="str">
            <v>Eppendorf</v>
          </cell>
          <cell r="O1737" t="str">
            <v>Eppendorf Research Plus</v>
          </cell>
          <cell r="P1737" t="str">
            <v>N34187J</v>
          </cell>
          <cell r="Q1737" t="str">
            <v>Not Applicable</v>
          </cell>
          <cell r="R1737" t="str">
            <v>Eppendorf</v>
          </cell>
          <cell r="S1737" t="str">
            <v>MEDIGENE SDN BHD</v>
          </cell>
          <cell r="T1737" t="str">
            <v>Functioning</v>
          </cell>
          <cell r="U1737" t="str">
            <v>Asset</v>
          </cell>
          <cell r="V1737">
            <v>1000</v>
          </cell>
          <cell r="W1737" t="str">
            <v>KEW</v>
          </cell>
          <cell r="X1737">
            <v>44291</v>
          </cell>
          <cell r="Y1737" t="str">
            <v>KEW</v>
          </cell>
          <cell r="Z1737">
            <v>44307</v>
          </cell>
          <cell r="AA1737">
            <v>44672</v>
          </cell>
          <cell r="AB1737" t="str">
            <v>No</v>
          </cell>
          <cell r="AC1737">
            <v>44307</v>
          </cell>
          <cell r="AD1737" t="str">
            <v>Good</v>
          </cell>
          <cell r="AE1737" t="str">
            <v>V3 - Added Installed Facilities (New)</v>
          </cell>
          <cell r="AH1737" t="str">
            <v>PPM</v>
          </cell>
          <cell r="AI1737" t="str">
            <v>Strands</v>
          </cell>
          <cell r="AJ1737" t="str">
            <v>Strands PW</v>
          </cell>
          <cell r="AK1737" t="str">
            <v>SNF received on 30.6.2021</v>
          </cell>
        </row>
        <row r="1738">
          <cell r="A1738" t="str">
            <v>IKN402063</v>
          </cell>
          <cell r="B1738">
            <v>1718</v>
          </cell>
          <cell r="C1738" t="str">
            <v>Institut Kanser Negara</v>
          </cell>
          <cell r="D1738" t="str">
            <v>KKM/IKN/R/21/89</v>
          </cell>
          <cell r="E1738" t="str">
            <v>15-663</v>
          </cell>
          <cell r="F1738" t="str">
            <v>Pipetters</v>
          </cell>
          <cell r="G1738" t="str">
            <v>LA</v>
          </cell>
          <cell r="H1738" t="str">
            <v>PATHOLOGY</v>
          </cell>
          <cell r="I1738" t="str">
            <v>04LA130</v>
          </cell>
          <cell r="J1738" t="str">
            <v>SEROLOGY</v>
          </cell>
          <cell r="K1738" t="str">
            <v>BMED</v>
          </cell>
          <cell r="L1738" t="str">
            <v>Normal</v>
          </cell>
          <cell r="M1738" t="str">
            <v>Germany</v>
          </cell>
          <cell r="N1738" t="str">
            <v>Eppendorf</v>
          </cell>
          <cell r="O1738" t="str">
            <v>Eppendorf Research Plus</v>
          </cell>
          <cell r="P1738" t="str">
            <v>N34260J</v>
          </cell>
          <cell r="Q1738" t="str">
            <v>Not Applicable</v>
          </cell>
          <cell r="R1738" t="str">
            <v>Eppendorf</v>
          </cell>
          <cell r="S1738" t="str">
            <v>MEDIGENE SDN BHD</v>
          </cell>
          <cell r="T1738" t="str">
            <v>Functioning</v>
          </cell>
          <cell r="U1738" t="str">
            <v>Asset</v>
          </cell>
          <cell r="V1738">
            <v>1000</v>
          </cell>
          <cell r="W1738" t="str">
            <v>KEW</v>
          </cell>
          <cell r="X1738">
            <v>44291</v>
          </cell>
          <cell r="Y1738" t="str">
            <v>KEW</v>
          </cell>
          <cell r="Z1738">
            <v>44307</v>
          </cell>
          <cell r="AA1738">
            <v>44672</v>
          </cell>
          <cell r="AB1738" t="str">
            <v>No</v>
          </cell>
          <cell r="AC1738">
            <v>44307</v>
          </cell>
          <cell r="AD1738" t="str">
            <v>Good</v>
          </cell>
          <cell r="AE1738" t="str">
            <v>V3 - Added Installed Facilities (New)</v>
          </cell>
          <cell r="AH1738" t="str">
            <v>PPM</v>
          </cell>
          <cell r="AI1738" t="str">
            <v>Strands</v>
          </cell>
          <cell r="AJ1738" t="str">
            <v>Strands PW</v>
          </cell>
          <cell r="AK1738" t="str">
            <v>SNF received on 30.6.2021</v>
          </cell>
        </row>
        <row r="1739">
          <cell r="A1739" t="str">
            <v>IKN402064</v>
          </cell>
          <cell r="B1739">
            <v>1719</v>
          </cell>
          <cell r="C1739" t="str">
            <v>Institut Kanser Negara</v>
          </cell>
          <cell r="D1739" t="str">
            <v>KKM/IKN/R/21/92</v>
          </cell>
          <cell r="E1739" t="str">
            <v>15-663</v>
          </cell>
          <cell r="F1739" t="str">
            <v>Pipetters</v>
          </cell>
          <cell r="G1739" t="str">
            <v>LA</v>
          </cell>
          <cell r="H1739" t="str">
            <v>PATHOLOGY</v>
          </cell>
          <cell r="I1739" t="str">
            <v>04LA130</v>
          </cell>
          <cell r="J1739" t="str">
            <v>SEROLOGY</v>
          </cell>
          <cell r="K1739" t="str">
            <v>BMED</v>
          </cell>
          <cell r="L1739" t="str">
            <v>Normal</v>
          </cell>
          <cell r="M1739" t="str">
            <v>Germany</v>
          </cell>
          <cell r="N1739" t="str">
            <v>Eppendorf</v>
          </cell>
          <cell r="O1739" t="str">
            <v>Eppendorf Research Plus</v>
          </cell>
          <cell r="P1739" t="str">
            <v>O28891J</v>
          </cell>
          <cell r="Q1739" t="str">
            <v>Not Applicable</v>
          </cell>
          <cell r="R1739" t="str">
            <v>Eppendorf</v>
          </cell>
          <cell r="S1739" t="str">
            <v>MEDIGENE SDN BHD</v>
          </cell>
          <cell r="T1739" t="str">
            <v>Functioning</v>
          </cell>
          <cell r="U1739" t="str">
            <v>Asset</v>
          </cell>
          <cell r="V1739">
            <v>1000</v>
          </cell>
          <cell r="W1739" t="str">
            <v>KEW</v>
          </cell>
          <cell r="X1739">
            <v>44291</v>
          </cell>
          <cell r="Y1739" t="str">
            <v>KEW</v>
          </cell>
          <cell r="Z1739">
            <v>44307</v>
          </cell>
          <cell r="AA1739">
            <v>44672</v>
          </cell>
          <cell r="AB1739" t="str">
            <v>No</v>
          </cell>
          <cell r="AC1739">
            <v>44307</v>
          </cell>
          <cell r="AD1739" t="str">
            <v>Good</v>
          </cell>
          <cell r="AE1739" t="str">
            <v>V3 - Added Installed Facilities (New)</v>
          </cell>
          <cell r="AH1739" t="str">
            <v>PPM</v>
          </cell>
          <cell r="AI1739" t="str">
            <v>Strands</v>
          </cell>
          <cell r="AJ1739" t="str">
            <v>Strands PW</v>
          </cell>
          <cell r="AK1739" t="str">
            <v>SNF received on 30.6.2021</v>
          </cell>
        </row>
        <row r="1740">
          <cell r="A1740" t="str">
            <v>IKN402065</v>
          </cell>
          <cell r="B1740">
            <v>1720</v>
          </cell>
          <cell r="C1740" t="str">
            <v>Institut Kanser Negara</v>
          </cell>
          <cell r="D1740" t="str">
            <v>KKM/IKN/R/21/93</v>
          </cell>
          <cell r="E1740" t="str">
            <v>15-663</v>
          </cell>
          <cell r="F1740" t="str">
            <v>Pipetters</v>
          </cell>
          <cell r="G1740" t="str">
            <v>LA</v>
          </cell>
          <cell r="H1740" t="str">
            <v>PATHOLOGY</v>
          </cell>
          <cell r="I1740" t="str">
            <v>04LA130</v>
          </cell>
          <cell r="J1740" t="str">
            <v>SEROLOGY</v>
          </cell>
          <cell r="K1740" t="str">
            <v>BMED</v>
          </cell>
          <cell r="L1740" t="str">
            <v>Normal</v>
          </cell>
          <cell r="M1740" t="str">
            <v>Germany</v>
          </cell>
          <cell r="N1740" t="str">
            <v>Eppendorf</v>
          </cell>
          <cell r="O1740" t="str">
            <v>Eppendorf Research Plus</v>
          </cell>
          <cell r="P1740" t="str">
            <v>O28883J</v>
          </cell>
          <cell r="Q1740" t="str">
            <v>Not Applicable</v>
          </cell>
          <cell r="R1740" t="str">
            <v>Eppendorf</v>
          </cell>
          <cell r="S1740" t="str">
            <v>MEDIGENE SDN BHD</v>
          </cell>
          <cell r="T1740" t="str">
            <v>Functioning</v>
          </cell>
          <cell r="U1740" t="str">
            <v>Asset</v>
          </cell>
          <cell r="V1740">
            <v>1000</v>
          </cell>
          <cell r="W1740" t="str">
            <v>KEW</v>
          </cell>
          <cell r="X1740">
            <v>44291</v>
          </cell>
          <cell r="Y1740" t="str">
            <v>KEW</v>
          </cell>
          <cell r="Z1740">
            <v>44307</v>
          </cell>
          <cell r="AA1740">
            <v>44672</v>
          </cell>
          <cell r="AB1740" t="str">
            <v>No</v>
          </cell>
          <cell r="AC1740">
            <v>44307</v>
          </cell>
          <cell r="AD1740" t="str">
            <v>Good</v>
          </cell>
          <cell r="AE1740" t="str">
            <v>V3 - Added Installed Facilities (New)</v>
          </cell>
          <cell r="AH1740" t="str">
            <v>PPM</v>
          </cell>
          <cell r="AI1740" t="str">
            <v>Strands</v>
          </cell>
          <cell r="AJ1740" t="str">
            <v>Strands PW</v>
          </cell>
          <cell r="AK1740" t="str">
            <v>SNF received on 30.6.2021</v>
          </cell>
        </row>
        <row r="1741">
          <cell r="A1741" t="str">
            <v>IKN402068</v>
          </cell>
          <cell r="B1741">
            <v>1723</v>
          </cell>
          <cell r="C1741" t="str">
            <v>Institut Kanser Negara</v>
          </cell>
          <cell r="D1741" t="str">
            <v>KKM/IKN/H/21/8</v>
          </cell>
          <cell r="E1741" t="str">
            <v>18-267</v>
          </cell>
          <cell r="F1741" t="str">
            <v>Centrifuges, Tabletop, Low-Speed, Nonrefrigerated, Blood Bank</v>
          </cell>
          <cell r="G1741" t="str">
            <v>LA</v>
          </cell>
          <cell r="H1741" t="str">
            <v>PATHOLOGY</v>
          </cell>
          <cell r="I1741" t="str">
            <v>04LA140</v>
          </cell>
          <cell r="J1741" t="str">
            <v>BLOOD BANK</v>
          </cell>
          <cell r="K1741" t="str">
            <v>BMED</v>
          </cell>
          <cell r="L1741" t="str">
            <v>Normal</v>
          </cell>
          <cell r="M1741" t="str">
            <v>CHINA</v>
          </cell>
          <cell r="N1741" t="str">
            <v>Greiner</v>
          </cell>
          <cell r="O1741" t="str">
            <v>Mini Centrifuge UK Plug</v>
          </cell>
          <cell r="P1741" t="str">
            <v>A043-27508</v>
          </cell>
          <cell r="Q1741" t="str">
            <v>Not Applicable</v>
          </cell>
          <cell r="R1741" t="str">
            <v>Greiner Bio-One</v>
          </cell>
          <cell r="S1741" t="str">
            <v>MEDIGENE SDN BHD</v>
          </cell>
          <cell r="T1741" t="str">
            <v>Functioning</v>
          </cell>
          <cell r="U1741" t="str">
            <v>Asset</v>
          </cell>
          <cell r="V1741">
            <v>2185</v>
          </cell>
          <cell r="W1741" t="str">
            <v>KEW</v>
          </cell>
          <cell r="X1741">
            <v>44291</v>
          </cell>
          <cell r="Y1741" t="str">
            <v>KEW</v>
          </cell>
          <cell r="Z1741">
            <v>44307</v>
          </cell>
          <cell r="AA1741">
            <v>44672</v>
          </cell>
          <cell r="AB1741" t="str">
            <v>No</v>
          </cell>
          <cell r="AC1741">
            <v>44307</v>
          </cell>
          <cell r="AD1741" t="str">
            <v>Good</v>
          </cell>
          <cell r="AE1741" t="str">
            <v>V3 - Added Installed Facilities (New)</v>
          </cell>
          <cell r="AF1741">
            <v>44307</v>
          </cell>
          <cell r="AH1741" t="str">
            <v>PPM</v>
          </cell>
          <cell r="AI1741" t="str">
            <v>Strands</v>
          </cell>
          <cell r="AJ1741" t="str">
            <v>Strands PW</v>
          </cell>
          <cell r="AK1741" t="str">
            <v>SNF received on 30.6.2021</v>
          </cell>
        </row>
        <row r="1742">
          <cell r="A1742" t="str">
            <v>IKN402069</v>
          </cell>
          <cell r="B1742">
            <v>1724</v>
          </cell>
          <cell r="C1742" t="str">
            <v>Institut Kanser Negara</v>
          </cell>
          <cell r="D1742" t="str">
            <v>KKM/IKN/H/21/16</v>
          </cell>
          <cell r="E1742" t="str">
            <v>18-013</v>
          </cell>
          <cell r="F1742" t="str">
            <v>Incubators, Laboratory, Thermocycling</v>
          </cell>
          <cell r="G1742" t="str">
            <v>LA</v>
          </cell>
          <cell r="H1742" t="str">
            <v>PATHOLOGY</v>
          </cell>
          <cell r="I1742" t="str">
            <v>04LA114</v>
          </cell>
          <cell r="J1742" t="str">
            <v>DARK MICROSCOPY</v>
          </cell>
          <cell r="K1742" t="str">
            <v>BMED</v>
          </cell>
          <cell r="L1742" t="str">
            <v>Normal</v>
          </cell>
          <cell r="M1742" t="str">
            <v>USA</v>
          </cell>
          <cell r="N1742" t="str">
            <v>BIO-RAD</v>
          </cell>
          <cell r="O1742" t="str">
            <v>CFX96 Touch</v>
          </cell>
          <cell r="P1742" t="str">
            <v>CT053520</v>
          </cell>
          <cell r="Q1742" t="str">
            <v>Not Applicable</v>
          </cell>
          <cell r="R1742" t="str">
            <v>Bio-Rad Laboratories</v>
          </cell>
          <cell r="S1742" t="str">
            <v>CANVIO SDN BHD</v>
          </cell>
          <cell r="T1742" t="str">
            <v>Functioning</v>
          </cell>
          <cell r="U1742" t="str">
            <v>Asset</v>
          </cell>
          <cell r="V1742">
            <v>155000</v>
          </cell>
          <cell r="W1742" t="str">
            <v>KEW</v>
          </cell>
          <cell r="X1742">
            <v>44307</v>
          </cell>
          <cell r="Y1742" t="str">
            <v>KEW</v>
          </cell>
          <cell r="Z1742">
            <v>44308</v>
          </cell>
          <cell r="AA1742">
            <v>44673</v>
          </cell>
          <cell r="AB1742" t="str">
            <v>No</v>
          </cell>
          <cell r="AC1742">
            <v>44308</v>
          </cell>
          <cell r="AD1742" t="str">
            <v>Good</v>
          </cell>
          <cell r="AE1742" t="str">
            <v>V3 - Added Installed Facilities (New)</v>
          </cell>
          <cell r="AH1742" t="str">
            <v>PPM</v>
          </cell>
          <cell r="AI1742" t="str">
            <v>Strands</v>
          </cell>
          <cell r="AJ1742" t="str">
            <v>Strands PW</v>
          </cell>
          <cell r="AK1742" t="str">
            <v>SNF received on 30.6.2021</v>
          </cell>
        </row>
        <row r="1743">
          <cell r="A1743" t="str">
            <v>IKN402070</v>
          </cell>
          <cell r="B1743">
            <v>1725</v>
          </cell>
          <cell r="C1743" t="str">
            <v>Institut Kanser Negara</v>
          </cell>
          <cell r="D1743" t="str">
            <v>KKM/IKN/H/21/16 - 05</v>
          </cell>
          <cell r="E1743" t="str">
            <v>15-663</v>
          </cell>
          <cell r="F1743" t="str">
            <v>Pipetters</v>
          </cell>
          <cell r="G1743" t="str">
            <v>LA</v>
          </cell>
          <cell r="H1743" t="str">
            <v>PATHOLOGY</v>
          </cell>
          <cell r="I1743" t="str">
            <v>04LA114</v>
          </cell>
          <cell r="J1743" t="str">
            <v>DARK MICROSCOPY</v>
          </cell>
          <cell r="K1743" t="str">
            <v>BMED</v>
          </cell>
          <cell r="L1743" t="str">
            <v>Normal</v>
          </cell>
          <cell r="M1743" t="str">
            <v>Germany</v>
          </cell>
          <cell r="N1743" t="str">
            <v>Eppendorf</v>
          </cell>
          <cell r="O1743" t="str">
            <v>Eppendorf Miltipette M4</v>
          </cell>
          <cell r="P1743" t="str">
            <v>G30978K</v>
          </cell>
          <cell r="Q1743" t="str">
            <v>Not Applicable</v>
          </cell>
          <cell r="R1743" t="str">
            <v>Eppendorf</v>
          </cell>
          <cell r="S1743" t="str">
            <v>CANVIO SDN BHD</v>
          </cell>
          <cell r="T1743" t="str">
            <v>Functioning</v>
          </cell>
          <cell r="U1743" t="str">
            <v>Asset</v>
          </cell>
          <cell r="V1743">
            <v>2204</v>
          </cell>
          <cell r="W1743" t="str">
            <v>KEW</v>
          </cell>
          <cell r="X1743">
            <v>44307</v>
          </cell>
          <cell r="Y1743" t="str">
            <v>KEW</v>
          </cell>
          <cell r="Z1743">
            <v>44308</v>
          </cell>
          <cell r="AA1743">
            <v>44673</v>
          </cell>
          <cell r="AB1743" t="str">
            <v>NO</v>
          </cell>
          <cell r="AC1743">
            <v>44308</v>
          </cell>
          <cell r="AD1743" t="str">
            <v>Good</v>
          </cell>
          <cell r="AE1743" t="str">
            <v>V3 - Added Installed Facilities (New)</v>
          </cell>
          <cell r="AH1743" t="str">
            <v>PPM</v>
          </cell>
          <cell r="AI1743" t="str">
            <v>Strands</v>
          </cell>
          <cell r="AJ1743" t="str">
            <v>Strands PW</v>
          </cell>
          <cell r="AK1743" t="str">
            <v>SNF received on 30.6.2021. Come with Thermocycler IKN402069.</v>
          </cell>
        </row>
        <row r="1744">
          <cell r="A1744" t="str">
            <v>IKN402071</v>
          </cell>
          <cell r="B1744">
            <v>1726</v>
          </cell>
          <cell r="C1744" t="str">
            <v>Institut Kanser Negara</v>
          </cell>
          <cell r="D1744" t="str">
            <v>KKM/IKN/H/21/15</v>
          </cell>
          <cell r="E1744" t="str">
            <v>15-167</v>
          </cell>
          <cell r="F1744" t="str">
            <v>Extractors, Plasma</v>
          </cell>
          <cell r="G1744" t="str">
            <v>LA</v>
          </cell>
          <cell r="H1744" t="str">
            <v>PATHOLOGY</v>
          </cell>
          <cell r="I1744" t="str">
            <v>04LA131</v>
          </cell>
          <cell r="J1744" t="str">
            <v>HAEMATOLOGY LAB 1</v>
          </cell>
          <cell r="K1744" t="str">
            <v>BMED</v>
          </cell>
          <cell r="L1744" t="str">
            <v>Normal</v>
          </cell>
          <cell r="M1744" t="str">
            <v>South Korea</v>
          </cell>
          <cell r="N1744" t="str">
            <v>GENEALL</v>
          </cell>
          <cell r="O1744" t="str">
            <v>GENTI 32 ADVANCED</v>
          </cell>
          <cell r="P1744" t="str">
            <v>GTI032ABAB011</v>
          </cell>
          <cell r="Q1744" t="str">
            <v>Not Applicable</v>
          </cell>
          <cell r="R1744" t="str">
            <v>GENEALL</v>
          </cell>
          <cell r="S1744" t="str">
            <v>Neoscience Sdn Bhd</v>
          </cell>
          <cell r="T1744" t="str">
            <v>Functioning</v>
          </cell>
          <cell r="U1744" t="str">
            <v>Asset</v>
          </cell>
          <cell r="V1744">
            <v>77500</v>
          </cell>
          <cell r="W1744" t="str">
            <v>KEW</v>
          </cell>
          <cell r="X1744">
            <v>44307</v>
          </cell>
          <cell r="Y1744" t="str">
            <v>KEW</v>
          </cell>
          <cell r="Z1744">
            <v>44312</v>
          </cell>
          <cell r="AA1744">
            <v>44677</v>
          </cell>
          <cell r="AB1744" t="str">
            <v>No</v>
          </cell>
          <cell r="AC1744">
            <v>44312</v>
          </cell>
          <cell r="AD1744" t="str">
            <v>Good</v>
          </cell>
          <cell r="AE1744" t="str">
            <v>V3 - Added Installed Facilities (New)</v>
          </cell>
          <cell r="AH1744" t="str">
            <v>PPM</v>
          </cell>
          <cell r="AI1744" t="str">
            <v>Strands</v>
          </cell>
          <cell r="AJ1744" t="str">
            <v>Strands PW</v>
          </cell>
          <cell r="AK1744" t="str">
            <v>SNF received on 30.6.2021</v>
          </cell>
        </row>
        <row r="1745">
          <cell r="A1745" t="str">
            <v>IKN402072</v>
          </cell>
          <cell r="B1745">
            <v>1727</v>
          </cell>
          <cell r="C1745" t="str">
            <v>Institut Kanser Negara</v>
          </cell>
          <cell r="D1745" t="str">
            <v>KKM/IKN/H/21/17</v>
          </cell>
          <cell r="E1745" t="str">
            <v>16-274</v>
          </cell>
          <cell r="F1745" t="str">
            <v>Dispensers, Liquid, Laboratory</v>
          </cell>
          <cell r="G1745" t="str">
            <v>LA</v>
          </cell>
          <cell r="H1745" t="str">
            <v>PATHOLOGY</v>
          </cell>
          <cell r="I1745" t="str">
            <v>04LA131</v>
          </cell>
          <cell r="J1745" t="str">
            <v>HAEMATOLOGY LAB 1</v>
          </cell>
          <cell r="K1745" t="str">
            <v>BMED</v>
          </cell>
          <cell r="L1745" t="str">
            <v>Normal</v>
          </cell>
          <cell r="M1745" t="str">
            <v>Australia</v>
          </cell>
          <cell r="N1745" t="str">
            <v>Bio Molecular Systems</v>
          </cell>
          <cell r="O1745" t="str">
            <v>MYRA-LHS50</v>
          </cell>
          <cell r="P1745" t="str">
            <v>R0000158</v>
          </cell>
          <cell r="Q1745" t="str">
            <v>Not Applicable</v>
          </cell>
          <cell r="R1745" t="str">
            <v>Bio Molecular System Pty. Ltd</v>
          </cell>
          <cell r="S1745" t="str">
            <v>ADT MOLECULAR SDN BHD</v>
          </cell>
          <cell r="T1745" t="str">
            <v>Functioning</v>
          </cell>
          <cell r="U1745" t="str">
            <v>Asset</v>
          </cell>
          <cell r="V1745">
            <v>148000</v>
          </cell>
          <cell r="W1745" t="str">
            <v>KEW</v>
          </cell>
          <cell r="X1745">
            <v>44307</v>
          </cell>
          <cell r="Y1745" t="str">
            <v>KEW</v>
          </cell>
          <cell r="Z1745">
            <v>44312</v>
          </cell>
          <cell r="AA1745">
            <v>45042</v>
          </cell>
          <cell r="AB1745" t="str">
            <v>No</v>
          </cell>
          <cell r="AC1745">
            <v>44312</v>
          </cell>
          <cell r="AD1745" t="str">
            <v>Good</v>
          </cell>
          <cell r="AE1745" t="str">
            <v>V3 - Added Installed Facilities (New)</v>
          </cell>
          <cell r="AH1745" t="str">
            <v>PPM</v>
          </cell>
          <cell r="AI1745" t="str">
            <v>Strands</v>
          </cell>
          <cell r="AJ1745" t="str">
            <v>Strands DW</v>
          </cell>
          <cell r="AK1745" t="str">
            <v>SNF received on 30.6.2021</v>
          </cell>
        </row>
        <row r="1746">
          <cell r="A1746" t="str">
            <v>IKN402074</v>
          </cell>
          <cell r="B1746">
            <v>1729</v>
          </cell>
          <cell r="C1746" t="str">
            <v>Institut Kanser Negara</v>
          </cell>
          <cell r="D1746" t="str">
            <v>KKM//IKN/H/21/11</v>
          </cell>
          <cell r="E1746" t="str">
            <v>25-209</v>
          </cell>
          <cell r="F1746" t="str">
            <v>Monitors, Physiologic, Vital Signs</v>
          </cell>
          <cell r="G1746" t="str">
            <v>AE</v>
          </cell>
          <cell r="H1746" t="str">
            <v>EMERGENCY UNIT</v>
          </cell>
          <cell r="I1746" t="str">
            <v>01AE112</v>
          </cell>
          <cell r="J1746" t="str">
            <v>EMERGENCY TROLLEY BAY</v>
          </cell>
          <cell r="K1746" t="str">
            <v>BMED</v>
          </cell>
          <cell r="L1746" t="str">
            <v>Normal</v>
          </cell>
          <cell r="M1746" t="str">
            <v>CHINA</v>
          </cell>
          <cell r="N1746" t="str">
            <v>COMEN</v>
          </cell>
          <cell r="O1746" t="str">
            <v>NC3A</v>
          </cell>
          <cell r="P1746" t="str">
            <v>N4191221002</v>
          </cell>
          <cell r="Q1746" t="str">
            <v>Not Applicable</v>
          </cell>
          <cell r="R1746" t="str">
            <v>Shenzhen Comen Medical Instruments Co., Ltd</v>
          </cell>
          <cell r="S1746" t="str">
            <v>Ikatan Megah Medik</v>
          </cell>
          <cell r="T1746" t="str">
            <v>Functioning</v>
          </cell>
          <cell r="U1746" t="str">
            <v>Asset</v>
          </cell>
          <cell r="V1746">
            <v>5500</v>
          </cell>
          <cell r="W1746" t="str">
            <v>KEW</v>
          </cell>
          <cell r="X1746">
            <v>44291</v>
          </cell>
          <cell r="Y1746" t="str">
            <v>KEW</v>
          </cell>
          <cell r="Z1746">
            <v>43952</v>
          </cell>
          <cell r="AA1746">
            <v>44317</v>
          </cell>
          <cell r="AB1746" t="str">
            <v>No</v>
          </cell>
          <cell r="AC1746">
            <v>44358</v>
          </cell>
          <cell r="AD1746" t="str">
            <v>Good</v>
          </cell>
          <cell r="AE1746" t="str">
            <v>V3 - Added Installed Facilities (New)</v>
          </cell>
          <cell r="AF1746">
            <v>44358</v>
          </cell>
          <cell r="AH1746" t="str">
            <v>PPM</v>
          </cell>
          <cell r="AI1746" t="str">
            <v>Strands</v>
          </cell>
          <cell r="AJ1746" t="str">
            <v>Strands PW</v>
          </cell>
          <cell r="AK1746" t="str">
            <v>SNF received on 24.6.2021. Unit re-do T&amp;C after replace new unit under warranty.</v>
          </cell>
        </row>
        <row r="1747">
          <cell r="A1747" t="str">
            <v>IKN402077</v>
          </cell>
          <cell r="B1747">
            <v>1732</v>
          </cell>
          <cell r="C1747" t="str">
            <v>Institut Kanser Negara</v>
          </cell>
          <cell r="E1747" t="str">
            <v>12-050</v>
          </cell>
          <cell r="F1747" t="str">
            <v>AIRVO 2 HUMIDIFIER WITH INTERGRATED FLOW GENERATOR</v>
          </cell>
          <cell r="G1747" t="str">
            <v>IC</v>
          </cell>
          <cell r="H1747" t="str">
            <v>INTENSIVE CARE UNIT</v>
          </cell>
          <cell r="I1747" t="str">
            <v>IC</v>
          </cell>
          <cell r="K1747" t="str">
            <v>BMED</v>
          </cell>
          <cell r="L1747" t="str">
            <v>Normal</v>
          </cell>
          <cell r="M1747" t="str">
            <v>NA</v>
          </cell>
          <cell r="N1747" t="str">
            <v>FISHER PAYKEL</v>
          </cell>
          <cell r="O1747" t="str">
            <v>AIRVO2</v>
          </cell>
          <cell r="P1747">
            <v>210517273292</v>
          </cell>
          <cell r="Q1747" t="str">
            <v>Not Applicable</v>
          </cell>
          <cell r="R1747" t="str">
            <v>FISHER &amp; PAYKEL</v>
          </cell>
          <cell r="S1747" t="str">
            <v>DAYA CERGAS M SDN BHD</v>
          </cell>
          <cell r="T1747" t="str">
            <v>Functioning</v>
          </cell>
          <cell r="U1747" t="str">
            <v>Asset</v>
          </cell>
          <cell r="V1747">
            <v>25000</v>
          </cell>
          <cell r="W1747" t="str">
            <v>KEW</v>
          </cell>
          <cell r="X1747">
            <v>44372</v>
          </cell>
          <cell r="Y1747" t="str">
            <v>KEW</v>
          </cell>
          <cell r="Z1747">
            <v>44372</v>
          </cell>
          <cell r="AA1747">
            <v>44736</v>
          </cell>
          <cell r="AB1747" t="str">
            <v>NO</v>
          </cell>
          <cell r="AC1747">
            <v>44372</v>
          </cell>
          <cell r="AD1747" t="str">
            <v>Good</v>
          </cell>
          <cell r="AE1747" t="str">
            <v>V3 - Added Installed Facilities (New)</v>
          </cell>
          <cell r="AF1747">
            <v>44372</v>
          </cell>
          <cell r="AH1747" t="str">
            <v>PPM</v>
          </cell>
          <cell r="AJ1747" t="str">
            <v>Not in contract</v>
          </cell>
        </row>
        <row r="1748">
          <cell r="A1748" t="str">
            <v>IKN402078</v>
          </cell>
          <cell r="B1748">
            <v>1733</v>
          </cell>
          <cell r="C1748" t="str">
            <v>Institut Kanser Negara</v>
          </cell>
          <cell r="D1748" t="str">
            <v>KKM/IKN/H/21/36</v>
          </cell>
          <cell r="E1748" t="str">
            <v>12-647</v>
          </cell>
          <cell r="F1748" t="str">
            <v>Physiologic Monitoring Systems, Acute Care</v>
          </cell>
          <cell r="G1748" t="str">
            <v>IC</v>
          </cell>
          <cell r="H1748" t="str">
            <v>INTENSIVE CARE UNIT</v>
          </cell>
          <cell r="I1748" t="str">
            <v>05IC102</v>
          </cell>
          <cell r="K1748" t="str">
            <v>BMED</v>
          </cell>
          <cell r="L1748" t="str">
            <v>Normal</v>
          </cell>
          <cell r="M1748" t="str">
            <v>NA</v>
          </cell>
          <cell r="N1748" t="str">
            <v>GE CARESCAPE</v>
          </cell>
          <cell r="O1748" t="str">
            <v>B650</v>
          </cell>
          <cell r="P1748" t="str">
            <v>STF21220110HA</v>
          </cell>
          <cell r="Q1748" t="str">
            <v>Not Applicable</v>
          </cell>
          <cell r="R1748" t="str">
            <v>GE HEALTHCARE SDN BHD</v>
          </cell>
          <cell r="S1748" t="str">
            <v>INSAN BAKTI SDN BHD</v>
          </cell>
          <cell r="T1748" t="str">
            <v>FUNCTIONING</v>
          </cell>
          <cell r="U1748" t="str">
            <v>ASSET</v>
          </cell>
          <cell r="V1748">
            <v>62000</v>
          </cell>
          <cell r="W1748" t="str">
            <v>KEW</v>
          </cell>
          <cell r="X1748">
            <v>44393</v>
          </cell>
          <cell r="Y1748" t="str">
            <v>KEW</v>
          </cell>
          <cell r="Z1748">
            <v>44393</v>
          </cell>
          <cell r="AA1748">
            <v>44758</v>
          </cell>
          <cell r="AB1748" t="str">
            <v>NO</v>
          </cell>
          <cell r="AC1748">
            <v>44393</v>
          </cell>
          <cell r="AD1748" t="str">
            <v>GOOD</v>
          </cell>
          <cell r="AE1748" t="str">
            <v>V3 - Added Installed Facilities (New)</v>
          </cell>
          <cell r="AF1748">
            <v>44393</v>
          </cell>
          <cell r="AH1748" t="str">
            <v>PPM</v>
          </cell>
          <cell r="AJ1748" t="str">
            <v>Proposed for V3 P2.23</v>
          </cell>
          <cell r="AK1748" t="str">
            <v>Sharifah: Price follow HASIS. KKM follow P2.23.</v>
          </cell>
        </row>
        <row r="1749">
          <cell r="A1749" t="str">
            <v>IKN402079</v>
          </cell>
          <cell r="B1749">
            <v>1734</v>
          </cell>
          <cell r="C1749" t="str">
            <v>Institut Kanser Negara</v>
          </cell>
          <cell r="D1749" t="str">
            <v>KKM/IKN/H/21/35</v>
          </cell>
          <cell r="E1749" t="str">
            <v>12-647</v>
          </cell>
          <cell r="F1749" t="str">
            <v>Physiologic Monitoring Systems, Acute Care</v>
          </cell>
          <cell r="G1749" t="str">
            <v>IC</v>
          </cell>
          <cell r="H1749" t="str">
            <v>INTENSIVE CARE UNIT</v>
          </cell>
          <cell r="I1749" t="str">
            <v>05IC102</v>
          </cell>
          <cell r="K1749" t="str">
            <v>BMED</v>
          </cell>
          <cell r="L1749" t="str">
            <v>Normal</v>
          </cell>
          <cell r="M1749" t="str">
            <v>NA</v>
          </cell>
          <cell r="N1749" t="str">
            <v>GE CARESCAPE</v>
          </cell>
          <cell r="O1749" t="str">
            <v>B650</v>
          </cell>
          <cell r="P1749" t="str">
            <v>STF21220109HA</v>
          </cell>
          <cell r="Q1749" t="str">
            <v>Not Applicable</v>
          </cell>
          <cell r="R1749" t="str">
            <v>GE HEALTHCARE SDN BHD</v>
          </cell>
          <cell r="S1749" t="str">
            <v>INSAN BAKTI SDN BHD</v>
          </cell>
          <cell r="T1749" t="str">
            <v>FUNCTIONING</v>
          </cell>
          <cell r="U1749" t="str">
            <v>ASSET</v>
          </cell>
          <cell r="V1749">
            <v>62000</v>
          </cell>
          <cell r="W1749" t="str">
            <v>KEW</v>
          </cell>
          <cell r="X1749">
            <v>44393</v>
          </cell>
          <cell r="Y1749" t="str">
            <v>KEW</v>
          </cell>
          <cell r="Z1749">
            <v>44393</v>
          </cell>
          <cell r="AA1749">
            <v>44758</v>
          </cell>
          <cell r="AB1749" t="str">
            <v>NO</v>
          </cell>
          <cell r="AC1749">
            <v>44393</v>
          </cell>
          <cell r="AD1749" t="str">
            <v>GOOD</v>
          </cell>
          <cell r="AE1749" t="str">
            <v>V3 - Added Installed Facilities (New)</v>
          </cell>
          <cell r="AF1749">
            <v>44393</v>
          </cell>
          <cell r="AH1749" t="str">
            <v>PPM</v>
          </cell>
          <cell r="AJ1749" t="str">
            <v>Proposed for V3 P2.23</v>
          </cell>
          <cell r="AK1749" t="str">
            <v>Sharifah: SN and price follow HASIS. KKM follow P2.23.</v>
          </cell>
        </row>
        <row r="1750">
          <cell r="A1750" t="str">
            <v>IKN402081</v>
          </cell>
          <cell r="B1750">
            <v>1736</v>
          </cell>
          <cell r="C1750" t="str">
            <v>Institut Kanser Negara</v>
          </cell>
          <cell r="D1750" t="str">
            <v>KKM/IKN/H/21/38</v>
          </cell>
          <cell r="E1750" t="str">
            <v>13-215</v>
          </cell>
          <cell r="F1750" t="str">
            <v>Infusion Pumps, General-Purpose</v>
          </cell>
          <cell r="G1750" t="str">
            <v>DO</v>
          </cell>
          <cell r="H1750" t="str">
            <v>DAY ONCOLOGY UNIT</v>
          </cell>
          <cell r="I1750" t="str">
            <v>04DO111</v>
          </cell>
          <cell r="J1750" t="str">
            <v>EQUIP. ROOM</v>
          </cell>
          <cell r="K1750" t="str">
            <v>BMED</v>
          </cell>
          <cell r="L1750" t="str">
            <v>Critical</v>
          </cell>
          <cell r="M1750" t="str">
            <v>CHINA</v>
          </cell>
          <cell r="N1750" t="str">
            <v>MedCaptian</v>
          </cell>
          <cell r="O1750" t="str">
            <v>HP-60</v>
          </cell>
          <cell r="P1750" t="str">
            <v>9024022106711</v>
          </cell>
          <cell r="Q1750" t="str">
            <v>Not Applicable</v>
          </cell>
          <cell r="R1750" t="str">
            <v>MedCaptain Medical Technology</v>
          </cell>
          <cell r="S1750" t="str">
            <v>Alam Medik Sdn Bhd</v>
          </cell>
          <cell r="T1750" t="str">
            <v>Functioning</v>
          </cell>
          <cell r="U1750" t="str">
            <v>Asset</v>
          </cell>
          <cell r="V1750">
            <v>3500</v>
          </cell>
          <cell r="W1750" t="str">
            <v>KEW</v>
          </cell>
          <cell r="X1750">
            <v>44421</v>
          </cell>
          <cell r="Y1750" t="str">
            <v>KEW</v>
          </cell>
          <cell r="Z1750">
            <v>44432</v>
          </cell>
          <cell r="AA1750">
            <v>44797</v>
          </cell>
          <cell r="AB1750" t="str">
            <v>No</v>
          </cell>
          <cell r="AC1750">
            <v>44432</v>
          </cell>
          <cell r="AD1750" t="str">
            <v>Good</v>
          </cell>
          <cell r="AE1750" t="str">
            <v>V3 - Added Installed Facilities (New)</v>
          </cell>
          <cell r="AF1750">
            <v>44432</v>
          </cell>
          <cell r="AH1750" t="str">
            <v>PPM</v>
          </cell>
          <cell r="AI1750" t="str">
            <v>Strands</v>
          </cell>
          <cell r="AJ1750" t="str">
            <v>Strands PW</v>
          </cell>
          <cell r="AK1750" t="str">
            <v>SNF received on 28.9.2021</v>
          </cell>
        </row>
        <row r="1751">
          <cell r="A1751" t="str">
            <v>IKN402082</v>
          </cell>
          <cell r="B1751">
            <v>1737</v>
          </cell>
          <cell r="C1751" t="str">
            <v>Institut Kanser Negara</v>
          </cell>
          <cell r="D1751" t="str">
            <v>KKM/IKN/H/21/39</v>
          </cell>
          <cell r="E1751" t="str">
            <v>13-215</v>
          </cell>
          <cell r="F1751" t="str">
            <v>Infusion Pumps, General-Purpose</v>
          </cell>
          <cell r="G1751" t="str">
            <v>DO</v>
          </cell>
          <cell r="H1751" t="str">
            <v>DAY ONCOLOGY UNIT</v>
          </cell>
          <cell r="I1751" t="str">
            <v>04DO111</v>
          </cell>
          <cell r="J1751" t="str">
            <v>EQUIP. ROOM</v>
          </cell>
          <cell r="K1751" t="str">
            <v>BMED</v>
          </cell>
          <cell r="L1751" t="str">
            <v>Critical</v>
          </cell>
          <cell r="M1751" t="str">
            <v>CHINA</v>
          </cell>
          <cell r="N1751" t="str">
            <v>MedCaptian</v>
          </cell>
          <cell r="O1751" t="str">
            <v>HP-60</v>
          </cell>
          <cell r="P1751" t="str">
            <v>9024022106725</v>
          </cell>
          <cell r="Q1751" t="str">
            <v>Not Applicable</v>
          </cell>
          <cell r="R1751" t="str">
            <v>MedCaptain Medical Technology</v>
          </cell>
          <cell r="S1751" t="str">
            <v>Alam Medik Sdn Bhd</v>
          </cell>
          <cell r="T1751" t="str">
            <v>Functioning</v>
          </cell>
          <cell r="U1751" t="str">
            <v>Asset</v>
          </cell>
          <cell r="V1751">
            <v>3500</v>
          </cell>
          <cell r="W1751" t="str">
            <v>KEW</v>
          </cell>
          <cell r="X1751">
            <v>44421</v>
          </cell>
          <cell r="Y1751" t="str">
            <v>KEW</v>
          </cell>
          <cell r="Z1751">
            <v>44432</v>
          </cell>
          <cell r="AA1751">
            <v>44797</v>
          </cell>
          <cell r="AB1751" t="str">
            <v>No</v>
          </cell>
          <cell r="AC1751">
            <v>44432</v>
          </cell>
          <cell r="AD1751" t="str">
            <v>Good</v>
          </cell>
          <cell r="AE1751" t="str">
            <v>V3 - Added Installed Facilities (New)</v>
          </cell>
          <cell r="AF1751">
            <v>44432</v>
          </cell>
          <cell r="AH1751" t="str">
            <v>PPM</v>
          </cell>
          <cell r="AI1751" t="str">
            <v>Strands</v>
          </cell>
          <cell r="AJ1751" t="str">
            <v>Strands PW</v>
          </cell>
          <cell r="AK1751" t="str">
            <v>SNF received on 28.9.2021</v>
          </cell>
        </row>
        <row r="1752">
          <cell r="A1752" t="str">
            <v>IKN402083</v>
          </cell>
          <cell r="B1752">
            <v>1738</v>
          </cell>
          <cell r="C1752" t="str">
            <v>Institut Kanser Negara</v>
          </cell>
          <cell r="D1752" t="str">
            <v>KKM/IKN/H/21/40</v>
          </cell>
          <cell r="E1752" t="str">
            <v>13-215</v>
          </cell>
          <cell r="F1752" t="str">
            <v>Infusion Pumps, General-Purpose</v>
          </cell>
          <cell r="G1752" t="str">
            <v>DO</v>
          </cell>
          <cell r="H1752" t="str">
            <v>DAY ONCOLOGY UNIT</v>
          </cell>
          <cell r="I1752" t="str">
            <v>04DO111</v>
          </cell>
          <cell r="J1752" t="str">
            <v>EQUIP. ROOM</v>
          </cell>
          <cell r="K1752" t="str">
            <v>BMED</v>
          </cell>
          <cell r="L1752" t="str">
            <v>Critical</v>
          </cell>
          <cell r="M1752" t="str">
            <v>CHINA</v>
          </cell>
          <cell r="N1752" t="str">
            <v>MedCaptian</v>
          </cell>
          <cell r="O1752" t="str">
            <v>HP-60</v>
          </cell>
          <cell r="P1752" t="str">
            <v>9024022106688</v>
          </cell>
          <cell r="Q1752" t="str">
            <v>Not Applicable</v>
          </cell>
          <cell r="R1752" t="str">
            <v>MedCaptain Medical Technology</v>
          </cell>
          <cell r="S1752" t="str">
            <v>Alam Medik Sdn Bhd</v>
          </cell>
          <cell r="T1752" t="str">
            <v>Functioning</v>
          </cell>
          <cell r="U1752" t="str">
            <v>Asset</v>
          </cell>
          <cell r="V1752">
            <v>3500</v>
          </cell>
          <cell r="W1752" t="str">
            <v>KEW</v>
          </cell>
          <cell r="X1752">
            <v>44421</v>
          </cell>
          <cell r="Y1752" t="str">
            <v>KEW</v>
          </cell>
          <cell r="Z1752">
            <v>44432</v>
          </cell>
          <cell r="AA1752">
            <v>44797</v>
          </cell>
          <cell r="AB1752" t="str">
            <v>No</v>
          </cell>
          <cell r="AC1752">
            <v>44432</v>
          </cell>
          <cell r="AD1752" t="str">
            <v>Good</v>
          </cell>
          <cell r="AE1752" t="str">
            <v>V3 - Added Installed Facilities (New)</v>
          </cell>
          <cell r="AF1752">
            <v>44432</v>
          </cell>
          <cell r="AH1752" t="str">
            <v>PPM</v>
          </cell>
          <cell r="AI1752" t="str">
            <v>Strands</v>
          </cell>
          <cell r="AJ1752" t="str">
            <v>Strands PW</v>
          </cell>
          <cell r="AK1752" t="str">
            <v>SNF received on 28.9.2021</v>
          </cell>
        </row>
        <row r="1753">
          <cell r="A1753" t="str">
            <v>IKN402084</v>
          </cell>
          <cell r="B1753">
            <v>1739</v>
          </cell>
          <cell r="C1753" t="str">
            <v>Institut Kanser Negara</v>
          </cell>
          <cell r="D1753" t="str">
            <v>KKM/IKN/H/21/41</v>
          </cell>
          <cell r="E1753" t="str">
            <v>13-215</v>
          </cell>
          <cell r="F1753" t="str">
            <v>Infusion Pumps, General-Purpose</v>
          </cell>
          <cell r="G1753" t="str">
            <v>DO</v>
          </cell>
          <cell r="H1753" t="str">
            <v>DAY ONCOLOGY UNIT</v>
          </cell>
          <cell r="I1753" t="str">
            <v>04DO111</v>
          </cell>
          <cell r="J1753" t="str">
            <v>EQUIP. ROOM</v>
          </cell>
          <cell r="K1753" t="str">
            <v>BMED</v>
          </cell>
          <cell r="L1753" t="str">
            <v>Critical</v>
          </cell>
          <cell r="M1753" t="str">
            <v>CHINA</v>
          </cell>
          <cell r="N1753" t="str">
            <v>MedCaptian</v>
          </cell>
          <cell r="O1753" t="str">
            <v>HP-60</v>
          </cell>
          <cell r="P1753" t="str">
            <v>9024022107047</v>
          </cell>
          <cell r="Q1753" t="str">
            <v>Not Applicable</v>
          </cell>
          <cell r="R1753" t="str">
            <v>MedCaptain Medical Technology</v>
          </cell>
          <cell r="S1753" t="str">
            <v>Alam Medik Sdn Bhd</v>
          </cell>
          <cell r="T1753" t="str">
            <v>Functioning</v>
          </cell>
          <cell r="U1753" t="str">
            <v>Asset</v>
          </cell>
          <cell r="V1753">
            <v>3500</v>
          </cell>
          <cell r="W1753" t="str">
            <v>KEW</v>
          </cell>
          <cell r="X1753">
            <v>44421</v>
          </cell>
          <cell r="Y1753" t="str">
            <v>KEW</v>
          </cell>
          <cell r="Z1753">
            <v>44432</v>
          </cell>
          <cell r="AA1753">
            <v>44797</v>
          </cell>
          <cell r="AB1753" t="str">
            <v>No</v>
          </cell>
          <cell r="AC1753">
            <v>44432</v>
          </cell>
          <cell r="AD1753" t="str">
            <v>Good</v>
          </cell>
          <cell r="AE1753" t="str">
            <v>V3 - Added Installed Facilities (New)</v>
          </cell>
          <cell r="AF1753">
            <v>44432</v>
          </cell>
          <cell r="AH1753" t="str">
            <v>PPM</v>
          </cell>
          <cell r="AI1753" t="str">
            <v>Strands</v>
          </cell>
          <cell r="AJ1753" t="str">
            <v>Strands PW</v>
          </cell>
          <cell r="AK1753" t="str">
            <v>SNF received on 28.9.2021</v>
          </cell>
        </row>
        <row r="1754">
          <cell r="A1754" t="str">
            <v>IKN402085</v>
          </cell>
          <cell r="B1754">
            <v>1740</v>
          </cell>
          <cell r="C1754" t="str">
            <v>Institut Kanser Negara</v>
          </cell>
          <cell r="D1754" t="str">
            <v>KKM/IKN/H/21/42</v>
          </cell>
          <cell r="E1754" t="str">
            <v>13-215</v>
          </cell>
          <cell r="F1754" t="str">
            <v>Infusion Pumps, General-Purpose</v>
          </cell>
          <cell r="G1754" t="str">
            <v>DO</v>
          </cell>
          <cell r="H1754" t="str">
            <v>DAY ONCOLOGY UNIT</v>
          </cell>
          <cell r="I1754" t="str">
            <v>04DO111</v>
          </cell>
          <cell r="J1754" t="str">
            <v>EQUIP. ROOM</v>
          </cell>
          <cell r="K1754" t="str">
            <v>BMED</v>
          </cell>
          <cell r="L1754" t="str">
            <v>Critical</v>
          </cell>
          <cell r="M1754" t="str">
            <v>CHINA</v>
          </cell>
          <cell r="N1754" t="str">
            <v>MedCaptian</v>
          </cell>
          <cell r="O1754" t="str">
            <v>HP-60</v>
          </cell>
          <cell r="P1754" t="str">
            <v>9024022106741</v>
          </cell>
          <cell r="Q1754" t="str">
            <v>Not Applicable</v>
          </cell>
          <cell r="R1754" t="str">
            <v>MedCaptain Medical Technology</v>
          </cell>
          <cell r="S1754" t="str">
            <v>Alam Medik Sdn Bhd</v>
          </cell>
          <cell r="T1754" t="str">
            <v>Functioning</v>
          </cell>
          <cell r="U1754" t="str">
            <v>Asset</v>
          </cell>
          <cell r="V1754">
            <v>3500</v>
          </cell>
          <cell r="W1754" t="str">
            <v>KEW</v>
          </cell>
          <cell r="X1754">
            <v>44421</v>
          </cell>
          <cell r="Y1754" t="str">
            <v>KEW</v>
          </cell>
          <cell r="Z1754">
            <v>44432</v>
          </cell>
          <cell r="AA1754">
            <v>44797</v>
          </cell>
          <cell r="AB1754" t="str">
            <v>No</v>
          </cell>
          <cell r="AC1754">
            <v>44432</v>
          </cell>
          <cell r="AD1754" t="str">
            <v>Good</v>
          </cell>
          <cell r="AE1754" t="str">
            <v>V3 - Added Installed Facilities (New)</v>
          </cell>
          <cell r="AF1754">
            <v>44432</v>
          </cell>
          <cell r="AH1754" t="str">
            <v>PPM</v>
          </cell>
          <cell r="AI1754" t="str">
            <v>Strands</v>
          </cell>
          <cell r="AJ1754" t="str">
            <v>Strands PW</v>
          </cell>
          <cell r="AK1754" t="str">
            <v>SNF received on 28.9.2021</v>
          </cell>
        </row>
        <row r="1755">
          <cell r="A1755" t="str">
            <v>IKN402086</v>
          </cell>
          <cell r="B1755">
            <v>1741</v>
          </cell>
          <cell r="C1755" t="str">
            <v>Institut Kanser Negara</v>
          </cell>
          <cell r="D1755" t="str">
            <v>KKM/IKN/H/21/43</v>
          </cell>
          <cell r="E1755" t="str">
            <v>13-215</v>
          </cell>
          <cell r="F1755" t="str">
            <v>Infusion Pumps, General-Purpose</v>
          </cell>
          <cell r="G1755" t="str">
            <v>DO</v>
          </cell>
          <cell r="H1755" t="str">
            <v>DAY ONCOLOGY UNIT</v>
          </cell>
          <cell r="I1755" t="str">
            <v>04DO111</v>
          </cell>
          <cell r="J1755" t="str">
            <v>EQUIP. ROOM</v>
          </cell>
          <cell r="K1755" t="str">
            <v>BMED</v>
          </cell>
          <cell r="L1755" t="str">
            <v>Critical</v>
          </cell>
          <cell r="M1755" t="str">
            <v>CHINA</v>
          </cell>
          <cell r="N1755" t="str">
            <v>MedCaptian</v>
          </cell>
          <cell r="O1755" t="str">
            <v>HP-60</v>
          </cell>
          <cell r="P1755" t="str">
            <v>9024022106690</v>
          </cell>
          <cell r="Q1755" t="str">
            <v>Not Applicable</v>
          </cell>
          <cell r="R1755" t="str">
            <v>MedCaptain Medical Technology</v>
          </cell>
          <cell r="S1755" t="str">
            <v>Alam Medik Sdn Bhd</v>
          </cell>
          <cell r="T1755" t="str">
            <v>Functioning</v>
          </cell>
          <cell r="U1755" t="str">
            <v>Asset</v>
          </cell>
          <cell r="V1755">
            <v>3500</v>
          </cell>
          <cell r="W1755" t="str">
            <v>KEW</v>
          </cell>
          <cell r="X1755">
            <v>44421</v>
          </cell>
          <cell r="Y1755" t="str">
            <v>KEW</v>
          </cell>
          <cell r="Z1755">
            <v>44432</v>
          </cell>
          <cell r="AA1755">
            <v>44797</v>
          </cell>
          <cell r="AB1755" t="str">
            <v>No</v>
          </cell>
          <cell r="AC1755">
            <v>44432</v>
          </cell>
          <cell r="AD1755" t="str">
            <v>Good</v>
          </cell>
          <cell r="AE1755" t="str">
            <v>V3 - Added Installed Facilities (New)</v>
          </cell>
          <cell r="AF1755">
            <v>44432</v>
          </cell>
          <cell r="AH1755" t="str">
            <v>PPM</v>
          </cell>
          <cell r="AI1755" t="str">
            <v>Strands</v>
          </cell>
          <cell r="AJ1755" t="str">
            <v>Strands PW</v>
          </cell>
          <cell r="AK1755" t="str">
            <v>SNF received on 28.9.2021</v>
          </cell>
        </row>
        <row r="1756">
          <cell r="A1756" t="str">
            <v>IKN402087</v>
          </cell>
          <cell r="B1756">
            <v>1742</v>
          </cell>
          <cell r="C1756" t="str">
            <v>Institut Kanser Negara</v>
          </cell>
          <cell r="D1756" t="str">
            <v>KKM/IKN/H/21/44</v>
          </cell>
          <cell r="E1756" t="str">
            <v>13-215</v>
          </cell>
          <cell r="F1756" t="str">
            <v>Infusion Pumps, General-Purpose</v>
          </cell>
          <cell r="G1756" t="str">
            <v>DO</v>
          </cell>
          <cell r="H1756" t="str">
            <v>DAY ONCOLOGY UNIT</v>
          </cell>
          <cell r="I1756" t="str">
            <v>04DO111</v>
          </cell>
          <cell r="J1756" t="str">
            <v>EQUIP. ROOM</v>
          </cell>
          <cell r="K1756" t="str">
            <v>BMED</v>
          </cell>
          <cell r="L1756" t="str">
            <v>Critical</v>
          </cell>
          <cell r="M1756" t="str">
            <v>CHINA</v>
          </cell>
          <cell r="N1756" t="str">
            <v>MedCaptian</v>
          </cell>
          <cell r="O1756" t="str">
            <v>HP-60</v>
          </cell>
          <cell r="P1756" t="str">
            <v>9024022106724</v>
          </cell>
          <cell r="Q1756" t="str">
            <v>Not Applicable</v>
          </cell>
          <cell r="R1756" t="str">
            <v>MedCaptain Medical Technology</v>
          </cell>
          <cell r="S1756" t="str">
            <v>Alam Medik Sdn Bhd</v>
          </cell>
          <cell r="T1756" t="str">
            <v>Functioning</v>
          </cell>
          <cell r="U1756" t="str">
            <v>Asset</v>
          </cell>
          <cell r="V1756">
            <v>3500</v>
          </cell>
          <cell r="W1756" t="str">
            <v>KEW</v>
          </cell>
          <cell r="X1756">
            <v>44421</v>
          </cell>
          <cell r="Y1756" t="str">
            <v>KEW</v>
          </cell>
          <cell r="Z1756">
            <v>44432</v>
          </cell>
          <cell r="AA1756">
            <v>44797</v>
          </cell>
          <cell r="AB1756" t="str">
            <v>No</v>
          </cell>
          <cell r="AC1756">
            <v>44432</v>
          </cell>
          <cell r="AD1756" t="str">
            <v>Good</v>
          </cell>
          <cell r="AE1756" t="str">
            <v>V3 - Added Installed Facilities (New)</v>
          </cell>
          <cell r="AF1756">
            <v>44432</v>
          </cell>
          <cell r="AH1756" t="str">
            <v>PPM</v>
          </cell>
          <cell r="AI1756" t="str">
            <v>Strands</v>
          </cell>
          <cell r="AJ1756" t="str">
            <v>Strands PW</v>
          </cell>
          <cell r="AK1756" t="str">
            <v>SNF received on 28.9.2021</v>
          </cell>
        </row>
        <row r="1757">
          <cell r="A1757" t="str">
            <v>IKN402088</v>
          </cell>
          <cell r="B1757">
            <v>1743</v>
          </cell>
          <cell r="C1757" t="str">
            <v>Institut Kanser Negara</v>
          </cell>
          <cell r="D1757" t="str">
            <v>KKM/IKN/H/21/124</v>
          </cell>
          <cell r="E1757" t="str">
            <v>13-215</v>
          </cell>
          <cell r="F1757" t="str">
            <v>Infusion Pumps, General-Purpose</v>
          </cell>
          <cell r="G1757" t="str">
            <v>DO</v>
          </cell>
          <cell r="H1757" t="str">
            <v>DAY ONCOLOGY UNIT</v>
          </cell>
          <cell r="I1757" t="str">
            <v>04DO111</v>
          </cell>
          <cell r="J1757" t="str">
            <v>EQUIP. ROOM</v>
          </cell>
          <cell r="K1757" t="str">
            <v>BMED</v>
          </cell>
          <cell r="L1757" t="str">
            <v>Critical</v>
          </cell>
          <cell r="M1757" t="str">
            <v>CHINA</v>
          </cell>
          <cell r="N1757" t="str">
            <v>MedCaptian</v>
          </cell>
          <cell r="O1757" t="str">
            <v>HP-60</v>
          </cell>
          <cell r="P1757" t="str">
            <v>9024022107123</v>
          </cell>
          <cell r="Q1757" t="str">
            <v>Not Applicable</v>
          </cell>
          <cell r="R1757" t="str">
            <v>MedCaptain Medical Technology</v>
          </cell>
          <cell r="S1757" t="str">
            <v>Alam Medik Sdn Bhd</v>
          </cell>
          <cell r="T1757" t="str">
            <v>Functioning</v>
          </cell>
          <cell r="U1757" t="str">
            <v>Asset</v>
          </cell>
          <cell r="V1757">
            <v>3500</v>
          </cell>
          <cell r="W1757" t="str">
            <v>KEW</v>
          </cell>
          <cell r="X1757">
            <v>44421</v>
          </cell>
          <cell r="Y1757" t="str">
            <v>KEW</v>
          </cell>
          <cell r="Z1757">
            <v>44432</v>
          </cell>
          <cell r="AA1757">
            <v>44797</v>
          </cell>
          <cell r="AB1757" t="str">
            <v>No</v>
          </cell>
          <cell r="AC1757">
            <v>44432</v>
          </cell>
          <cell r="AD1757" t="str">
            <v>Good</v>
          </cell>
          <cell r="AE1757" t="str">
            <v>V3 - Added Installed Facilities (New)</v>
          </cell>
          <cell r="AF1757">
            <v>44432</v>
          </cell>
          <cell r="AH1757" t="str">
            <v>PPM</v>
          </cell>
          <cell r="AI1757" t="str">
            <v>Not in Contract</v>
          </cell>
          <cell r="AJ1757" t="str">
            <v>Strands DW</v>
          </cell>
          <cell r="AK1757" t="str">
            <v>Donation 1 unit from vendor so cannot register for now. (PIC: FAREEZ)</v>
          </cell>
        </row>
        <row r="1758">
          <cell r="A1758" t="str">
            <v>IKN402089</v>
          </cell>
          <cell r="B1758">
            <v>1744</v>
          </cell>
          <cell r="C1758" t="str">
            <v>Institut Kanser Negara</v>
          </cell>
          <cell r="D1758" t="str">
            <v>KKM/IKN/H/20/44</v>
          </cell>
          <cell r="E1758" t="str">
            <v>10-656</v>
          </cell>
          <cell r="F1758" t="str">
            <v>Cast Cutters, Electric</v>
          </cell>
          <cell r="G1758" t="str">
            <v>AE</v>
          </cell>
          <cell r="H1758" t="str">
            <v>EMERGENCY UNIT</v>
          </cell>
          <cell r="I1758" t="str">
            <v>01AE112</v>
          </cell>
          <cell r="K1758" t="str">
            <v>BMED</v>
          </cell>
          <cell r="L1758" t="str">
            <v>Normal</v>
          </cell>
          <cell r="Q1758" t="str">
            <v>Not Applicable</v>
          </cell>
          <cell r="V1758">
            <v>12000</v>
          </cell>
          <cell r="W1758" t="str">
            <v>KEW</v>
          </cell>
          <cell r="AD1758" t="str">
            <v>Good</v>
          </cell>
          <cell r="AE1758" t="str">
            <v>V3 - Added Installed Facilities (New)</v>
          </cell>
          <cell r="AH1758" t="str">
            <v>PPM</v>
          </cell>
          <cell r="AI1758" t="str">
            <v>Strands</v>
          </cell>
          <cell r="AJ1758" t="str">
            <v>Strands PW</v>
          </cell>
          <cell r="AK1758" t="str">
            <v>SNF received on 7.12.2020 but BEMS only know on Sept 2021. Unit received from HPJ.   Cast Cutter Vacuum. CA progress</v>
          </cell>
        </row>
        <row r="1759">
          <cell r="A1759" t="str">
            <v>IKN402092</v>
          </cell>
          <cell r="B1759">
            <v>1747</v>
          </cell>
          <cell r="C1759" t="str">
            <v>Institut Kanser Negara</v>
          </cell>
          <cell r="D1759" t="str">
            <v>KKM/IKN/H/21/122</v>
          </cell>
          <cell r="E1759" t="str">
            <v>13-217</v>
          </cell>
          <cell r="F1759" t="str">
            <v>Infusion Pumps, General-Purpose</v>
          </cell>
          <cell r="G1759" t="str">
            <v>DO</v>
          </cell>
          <cell r="H1759" t="str">
            <v>DAY ONCOLOGY UNIT</v>
          </cell>
          <cell r="I1759" t="str">
            <v>04DO119</v>
          </cell>
          <cell r="J1759" t="str">
            <v>TREATMENT BAY 2</v>
          </cell>
          <cell r="K1759" t="str">
            <v>BMED</v>
          </cell>
          <cell r="L1759" t="str">
            <v>Normal</v>
          </cell>
          <cell r="M1759" t="str">
            <v>CHINA</v>
          </cell>
          <cell r="N1759" t="str">
            <v>MedCaptian</v>
          </cell>
          <cell r="O1759" t="str">
            <v>HP-60</v>
          </cell>
          <cell r="P1759" t="str">
            <v>9024022107499</v>
          </cell>
          <cell r="Q1759" t="str">
            <v>Not Applicable</v>
          </cell>
          <cell r="R1759" t="str">
            <v>MedCaptain Medical Technology</v>
          </cell>
          <cell r="S1759" t="str">
            <v>Alam Medik Sdn Bhd</v>
          </cell>
          <cell r="T1759" t="str">
            <v>Functioning</v>
          </cell>
          <cell r="U1759" t="str">
            <v>Asset</v>
          </cell>
          <cell r="V1759">
            <v>3500</v>
          </cell>
          <cell r="W1759" t="str">
            <v>KEW</v>
          </cell>
          <cell r="X1759">
            <v>44432</v>
          </cell>
          <cell r="Y1759" t="str">
            <v>KEW</v>
          </cell>
          <cell r="Z1759">
            <v>44468</v>
          </cell>
          <cell r="AA1759">
            <v>44833</v>
          </cell>
          <cell r="AB1759" t="str">
            <v>NO</v>
          </cell>
          <cell r="AC1759">
            <v>44468</v>
          </cell>
          <cell r="AD1759" t="str">
            <v>Good</v>
          </cell>
          <cell r="AE1759" t="str">
            <v>V3 - Added Installed Facilities (New)</v>
          </cell>
          <cell r="AF1759">
            <v>44468</v>
          </cell>
          <cell r="AG1759" t="str">
            <v>NA</v>
          </cell>
          <cell r="AH1759" t="str">
            <v>PPM</v>
          </cell>
          <cell r="AI1759" t="str">
            <v>Not in Contract</v>
          </cell>
          <cell r="AJ1759" t="str">
            <v>Strands DW</v>
          </cell>
        </row>
        <row r="1760">
          <cell r="A1760" t="str">
            <v>IKN402093</v>
          </cell>
          <cell r="B1760">
            <v>1748</v>
          </cell>
          <cell r="C1760" t="str">
            <v>Institut Kanser Negara</v>
          </cell>
          <cell r="D1760" t="str">
            <v>KKM/IKN/H/21/123</v>
          </cell>
          <cell r="E1760" t="str">
            <v>13-217</v>
          </cell>
          <cell r="F1760" t="str">
            <v>Infusion Pumps, General-Purpose</v>
          </cell>
          <cell r="G1760" t="str">
            <v>DO</v>
          </cell>
          <cell r="H1760" t="str">
            <v>DAY ONCOLOGY UNIT</v>
          </cell>
          <cell r="I1760" t="str">
            <v>04DO119</v>
          </cell>
          <cell r="J1760" t="str">
            <v>TREATMENT BAY 2</v>
          </cell>
          <cell r="K1760" t="str">
            <v>BMED</v>
          </cell>
          <cell r="L1760" t="str">
            <v>Normal</v>
          </cell>
          <cell r="M1760" t="str">
            <v>CHINA</v>
          </cell>
          <cell r="N1760" t="str">
            <v>MedCaptian</v>
          </cell>
          <cell r="O1760" t="str">
            <v>HP-60</v>
          </cell>
          <cell r="P1760" t="str">
            <v>9024022106333</v>
          </cell>
          <cell r="Q1760" t="str">
            <v>Not Applicable</v>
          </cell>
          <cell r="R1760" t="str">
            <v>MedCaptain Medical Technology</v>
          </cell>
          <cell r="S1760" t="str">
            <v>Alam Medik Sdn Bhd</v>
          </cell>
          <cell r="T1760" t="str">
            <v>Functioning</v>
          </cell>
          <cell r="U1760" t="str">
            <v>Asset</v>
          </cell>
          <cell r="V1760">
            <v>3500</v>
          </cell>
          <cell r="W1760" t="str">
            <v>KEW</v>
          </cell>
          <cell r="X1760">
            <v>44432</v>
          </cell>
          <cell r="Y1760" t="str">
            <v>KEW</v>
          </cell>
          <cell r="Z1760">
            <v>44468</v>
          </cell>
          <cell r="AA1760">
            <v>44833</v>
          </cell>
          <cell r="AB1760" t="str">
            <v>NO</v>
          </cell>
          <cell r="AC1760">
            <v>44468</v>
          </cell>
          <cell r="AD1760" t="str">
            <v>Good</v>
          </cell>
          <cell r="AE1760" t="str">
            <v>V3 - Added Installed Facilities (New)</v>
          </cell>
          <cell r="AF1760">
            <v>44468</v>
          </cell>
          <cell r="AG1760" t="str">
            <v>NA</v>
          </cell>
          <cell r="AH1760" t="str">
            <v>PPM</v>
          </cell>
          <cell r="AI1760" t="str">
            <v>Not in Contract</v>
          </cell>
          <cell r="AJ1760" t="str">
            <v>Strands DW</v>
          </cell>
        </row>
        <row r="1761">
          <cell r="A1761" t="str">
            <v>IKN402095</v>
          </cell>
          <cell r="B1761">
            <v>1750</v>
          </cell>
          <cell r="C1761" t="str">
            <v>(PIC: ATIQA)</v>
          </cell>
          <cell r="D1761" t="str">
            <v>KKM/IKN/H/21/138-01</v>
          </cell>
          <cell r="E1761" t="str">
            <v>10-960</v>
          </cell>
          <cell r="F1761" t="str">
            <v>Colposcopes</v>
          </cell>
          <cell r="G1761" t="str">
            <v>OT</v>
          </cell>
          <cell r="H1761" t="str">
            <v>OPERATING THEATRE</v>
          </cell>
          <cell r="I1761" t="str">
            <v>05OT161</v>
          </cell>
          <cell r="J1761" t="str">
            <v>OT</v>
          </cell>
          <cell r="K1761" t="str">
            <v>BMED</v>
          </cell>
          <cell r="L1761" t="str">
            <v>Normal</v>
          </cell>
          <cell r="M1761" t="str">
            <v>Japan</v>
          </cell>
          <cell r="N1761" t="str">
            <v>OLYMPUS</v>
          </cell>
          <cell r="O1761" t="str">
            <v>OCS-500</v>
          </cell>
          <cell r="P1761" t="str">
            <v>106045</v>
          </cell>
          <cell r="Q1761" t="str">
            <v>Not Applicable</v>
          </cell>
          <cell r="R1761" t="str">
            <v>Olympus Optical Co Ltd</v>
          </cell>
          <cell r="S1761" t="str">
            <v>MEDICLINK SYSTEMS (M) SDN BHD</v>
          </cell>
          <cell r="T1761" t="str">
            <v>Functioning</v>
          </cell>
          <cell r="U1761" t="str">
            <v>Asset</v>
          </cell>
          <cell r="V1761">
            <v>43410</v>
          </cell>
          <cell r="W1761" t="str">
            <v>KEW</v>
          </cell>
          <cell r="X1761">
            <v>40869</v>
          </cell>
          <cell r="Y1761" t="str">
            <v>KEW</v>
          </cell>
          <cell r="Z1761">
            <v>40889</v>
          </cell>
          <cell r="AA1761">
            <v>41255</v>
          </cell>
          <cell r="AB1761" t="str">
            <v>NO</v>
          </cell>
          <cell r="AC1761">
            <v>44405</v>
          </cell>
          <cell r="AD1761" t="str">
            <v>Good</v>
          </cell>
          <cell r="AE1761" t="str">
            <v>V3 - Added Installed Facilities (New)</v>
          </cell>
          <cell r="AF1761">
            <v>45259</v>
          </cell>
          <cell r="AG1761" t="str">
            <v>NA</v>
          </cell>
          <cell r="AH1761" t="str">
            <v>PPM</v>
          </cell>
          <cell r="AI1761" t="str">
            <v>Not in Contract</v>
          </cell>
          <cell r="AJ1761" t="str">
            <v>Proposed for V3 P2.23 (SET)</v>
          </cell>
          <cell r="AK1761" t="str">
            <v>ASSET TRANSFER FROM HPJ.</v>
          </cell>
        </row>
        <row r="1762">
          <cell r="A1762" t="str">
            <v>IKN402096</v>
          </cell>
          <cell r="B1762">
            <v>1751</v>
          </cell>
          <cell r="C1762" t="str">
            <v>(PIC: ATIQA)</v>
          </cell>
          <cell r="D1762" t="str">
            <v>KKM/IKN/H/21/138-02</v>
          </cell>
          <cell r="E1762" t="str">
            <v>12-343</v>
          </cell>
          <cell r="F1762" t="str">
            <v>Light Sources, Fibreoptic, Flexible Endoscopic</v>
          </cell>
          <cell r="G1762" t="str">
            <v>OT</v>
          </cell>
          <cell r="H1762" t="str">
            <v>OPERATING THEATRE</v>
          </cell>
          <cell r="I1762" t="str">
            <v>05OT161</v>
          </cell>
          <cell r="J1762" t="str">
            <v>OT</v>
          </cell>
          <cell r="K1762" t="str">
            <v>BMED</v>
          </cell>
          <cell r="L1762" t="str">
            <v>Normal</v>
          </cell>
          <cell r="M1762" t="str">
            <v>Japan</v>
          </cell>
          <cell r="N1762" t="str">
            <v>OLYMPUS</v>
          </cell>
          <cell r="O1762" t="str">
            <v>CLH-SC</v>
          </cell>
          <cell r="P1762" t="str">
            <v>7132878</v>
          </cell>
          <cell r="Q1762" t="str">
            <v>Not Applicable</v>
          </cell>
          <cell r="R1762" t="str">
            <v>Olympus Optical Co Ltd</v>
          </cell>
          <cell r="S1762" t="str">
            <v>MEDICLINK SYSTEMS (M) SDN BHD</v>
          </cell>
          <cell r="T1762" t="str">
            <v>Functioning</v>
          </cell>
          <cell r="U1762" t="str">
            <v>Asset</v>
          </cell>
          <cell r="V1762">
            <v>5390</v>
          </cell>
          <cell r="W1762" t="str">
            <v>KEW</v>
          </cell>
          <cell r="X1762">
            <v>40869</v>
          </cell>
          <cell r="Y1762" t="str">
            <v>KEW</v>
          </cell>
          <cell r="Z1762">
            <v>40889</v>
          </cell>
          <cell r="AA1762">
            <v>41255</v>
          </cell>
          <cell r="AB1762" t="str">
            <v>NO</v>
          </cell>
          <cell r="AC1762">
            <v>44405</v>
          </cell>
          <cell r="AD1762" t="str">
            <v>Good</v>
          </cell>
          <cell r="AE1762" t="str">
            <v>V3 - Added Installed Facilities (New)</v>
          </cell>
          <cell r="AF1762">
            <v>45259</v>
          </cell>
          <cell r="AG1762" t="str">
            <v>NA</v>
          </cell>
          <cell r="AH1762" t="str">
            <v>PPM</v>
          </cell>
          <cell r="AI1762" t="str">
            <v>Not in Contract</v>
          </cell>
          <cell r="AJ1762" t="str">
            <v>Proposed for V3 P2.23 (SET)</v>
          </cell>
          <cell r="AK1762" t="str">
            <v>ASSET TRANSFER FROM HPJ. Light Cable &amp; 3-pin Power Cord</v>
          </cell>
        </row>
        <row r="1763">
          <cell r="A1763" t="str">
            <v>IKN402097</v>
          </cell>
          <cell r="B1763">
            <v>1752</v>
          </cell>
          <cell r="C1763" t="str">
            <v>(PIC: ATIQA)</v>
          </cell>
          <cell r="D1763" t="str">
            <v>KKM/IKN/H/21/138-03</v>
          </cell>
          <cell r="E1763" t="str">
            <v>17-002</v>
          </cell>
          <cell r="F1763" t="str">
            <v>Cameras, Video, Endoscope</v>
          </cell>
          <cell r="G1763" t="str">
            <v>OT</v>
          </cell>
          <cell r="H1763" t="str">
            <v>OPERATING THEATRE</v>
          </cell>
          <cell r="I1763" t="str">
            <v>05OT161</v>
          </cell>
          <cell r="J1763" t="str">
            <v>OT</v>
          </cell>
          <cell r="K1763" t="str">
            <v>BMED</v>
          </cell>
          <cell r="L1763" t="str">
            <v>Normal</v>
          </cell>
          <cell r="M1763" t="str">
            <v>Japan</v>
          </cell>
          <cell r="N1763" t="str">
            <v>OLYMPUS</v>
          </cell>
          <cell r="O1763" t="str">
            <v>OTV-S7V(A)</v>
          </cell>
          <cell r="P1763" t="str">
            <v>7110457</v>
          </cell>
          <cell r="Q1763" t="str">
            <v>Not Applicable</v>
          </cell>
          <cell r="R1763" t="str">
            <v>Olympus Optical Co Ltd</v>
          </cell>
          <cell r="S1763" t="str">
            <v>MEDICLINK SYSTEMS (M) SDN BHD</v>
          </cell>
          <cell r="T1763" t="str">
            <v>Functioning</v>
          </cell>
          <cell r="U1763" t="str">
            <v>Asset</v>
          </cell>
          <cell r="V1763">
            <v>45200</v>
          </cell>
          <cell r="W1763" t="str">
            <v>KEW</v>
          </cell>
          <cell r="X1763">
            <v>40869</v>
          </cell>
          <cell r="Y1763" t="str">
            <v>KEW</v>
          </cell>
          <cell r="Z1763">
            <v>40889</v>
          </cell>
          <cell r="AA1763">
            <v>41255</v>
          </cell>
          <cell r="AB1763" t="str">
            <v>NO</v>
          </cell>
          <cell r="AC1763">
            <v>44405</v>
          </cell>
          <cell r="AD1763" t="str">
            <v>Good</v>
          </cell>
          <cell r="AE1763" t="str">
            <v>V3 - Added Installed Facilities (New)</v>
          </cell>
          <cell r="AF1763">
            <v>45259</v>
          </cell>
          <cell r="AG1763" t="str">
            <v>NA</v>
          </cell>
          <cell r="AH1763" t="str">
            <v>PPM</v>
          </cell>
          <cell r="AI1763" t="str">
            <v>Not in Contract</v>
          </cell>
          <cell r="AJ1763" t="str">
            <v>Proposed for V3 P2.23 (SET)</v>
          </cell>
          <cell r="AK1763" t="str">
            <v>ASSET TRANSFER FROM HPJ. Camera Head (Olympus Visera OTV-S7H-10, SN: 7123341)</v>
          </cell>
        </row>
        <row r="1764">
          <cell r="A1764" t="str">
            <v>IKN402098</v>
          </cell>
          <cell r="B1764">
            <v>1753</v>
          </cell>
          <cell r="C1764" t="str">
            <v>Institut Kanser Negara</v>
          </cell>
          <cell r="E1764" t="str">
            <v>NA</v>
          </cell>
          <cell r="F1764" t="str">
            <v>Colposcope Set</v>
          </cell>
          <cell r="G1764" t="str">
            <v>OT</v>
          </cell>
          <cell r="H1764" t="str">
            <v>OPERATING THEATRE</v>
          </cell>
          <cell r="I1764" t="str">
            <v>05OT161</v>
          </cell>
          <cell r="J1764" t="str">
            <v>OT</v>
          </cell>
          <cell r="K1764" t="str">
            <v>BMED</v>
          </cell>
          <cell r="L1764" t="str">
            <v>Normal</v>
          </cell>
          <cell r="M1764" t="str">
            <v>Japan</v>
          </cell>
          <cell r="N1764" t="str">
            <v>OLYMPUS</v>
          </cell>
          <cell r="O1764" t="str">
            <v>OTV-S7H-1D</v>
          </cell>
          <cell r="P1764" t="str">
            <v>7123341</v>
          </cell>
          <cell r="Q1764" t="str">
            <v>Not Applicable</v>
          </cell>
          <cell r="R1764" t="str">
            <v>Olympus Optical Co Ltd</v>
          </cell>
          <cell r="S1764" t="str">
            <v>MEDICLINK SYSTEMS (M) SDN BHD</v>
          </cell>
          <cell r="T1764" t="str">
            <v>Functioning</v>
          </cell>
          <cell r="U1764" t="str">
            <v>Asset</v>
          </cell>
          <cell r="V1764">
            <v>107000</v>
          </cell>
          <cell r="W1764" t="str">
            <v>KEW</v>
          </cell>
          <cell r="X1764" t="str">
            <v>NA</v>
          </cell>
          <cell r="Y1764" t="str">
            <v>KEW</v>
          </cell>
          <cell r="Z1764" t="str">
            <v>NA</v>
          </cell>
          <cell r="AA1764" t="str">
            <v>NA</v>
          </cell>
          <cell r="AB1764" t="str">
            <v>NO</v>
          </cell>
          <cell r="AC1764">
            <v>44658</v>
          </cell>
          <cell r="AD1764" t="str">
            <v>Good</v>
          </cell>
          <cell r="AE1764" t="str">
            <v>V6</v>
          </cell>
          <cell r="AF1764">
            <v>44658</v>
          </cell>
          <cell r="AG1764">
            <v>5.17</v>
          </cell>
          <cell r="AH1764" t="str">
            <v>PPM</v>
          </cell>
          <cell r="AI1764" t="str">
            <v>Not in Contract</v>
          </cell>
          <cell r="AJ1764" t="str">
            <v>Strands PW</v>
          </cell>
          <cell r="AK1764" t="str">
            <v>ASSET TRANSFER FROM HPJ. Asset No. IKN402098 substitute in IKN402097. (PIC: ATIQA)</v>
          </cell>
        </row>
        <row r="1765">
          <cell r="A1765" t="str">
            <v>IKN402099</v>
          </cell>
          <cell r="B1765">
            <v>1754</v>
          </cell>
          <cell r="C1765" t="str">
            <v>(PIC: ATIQA)</v>
          </cell>
          <cell r="D1765" t="str">
            <v>KKM/IKN/H/21/138-04</v>
          </cell>
          <cell r="E1765" t="str">
            <v>16-603</v>
          </cell>
          <cell r="F1765" t="str">
            <v>Television Monitors</v>
          </cell>
          <cell r="G1765" t="str">
            <v>OT</v>
          </cell>
          <cell r="H1765" t="str">
            <v>OPERATING THEATRE</v>
          </cell>
          <cell r="I1765" t="str">
            <v>05OT161</v>
          </cell>
          <cell r="J1765" t="str">
            <v>OT</v>
          </cell>
          <cell r="K1765" t="str">
            <v>BMED</v>
          </cell>
          <cell r="L1765" t="str">
            <v>Normal</v>
          </cell>
          <cell r="M1765" t="str">
            <v>Japan</v>
          </cell>
          <cell r="N1765" t="str">
            <v>SONY</v>
          </cell>
          <cell r="O1765" t="str">
            <v>LMD-2110MD</v>
          </cell>
          <cell r="P1765" t="str">
            <v>3100280</v>
          </cell>
          <cell r="Q1765" t="str">
            <v>Not Applicable</v>
          </cell>
          <cell r="R1765" t="str">
            <v>SONY</v>
          </cell>
          <cell r="S1765" t="str">
            <v>MEDICLINK SYSTEMS (M) SDN BHD</v>
          </cell>
          <cell r="T1765" t="str">
            <v>Functioning</v>
          </cell>
          <cell r="U1765" t="str">
            <v>Asset</v>
          </cell>
          <cell r="V1765">
            <v>8000</v>
          </cell>
          <cell r="W1765" t="str">
            <v>KEW</v>
          </cell>
          <cell r="X1765">
            <v>40869</v>
          </cell>
          <cell r="Y1765" t="str">
            <v>KEW</v>
          </cell>
          <cell r="Z1765">
            <v>40889</v>
          </cell>
          <cell r="AA1765">
            <v>41255</v>
          </cell>
          <cell r="AB1765" t="str">
            <v>NO</v>
          </cell>
          <cell r="AC1765">
            <v>44405</v>
          </cell>
          <cell r="AD1765" t="str">
            <v>Good</v>
          </cell>
          <cell r="AE1765" t="str">
            <v>V3 - Added Installed Facilities (New)</v>
          </cell>
          <cell r="AF1765">
            <v>45259</v>
          </cell>
          <cell r="AG1765" t="str">
            <v>NA</v>
          </cell>
          <cell r="AH1765" t="str">
            <v>PPM</v>
          </cell>
          <cell r="AI1765" t="str">
            <v>Not in Contract</v>
          </cell>
          <cell r="AJ1765" t="str">
            <v>Proposed for V3 P2.23 (SET)</v>
          </cell>
          <cell r="AK1765" t="str">
            <v>ASSET TRANSFER FROM HPJ. Power Cord</v>
          </cell>
        </row>
        <row r="1766">
          <cell r="A1766" t="str">
            <v>IKN402100</v>
          </cell>
          <cell r="B1766">
            <v>1755</v>
          </cell>
          <cell r="C1766" t="str">
            <v>(PIC: ATIQA)</v>
          </cell>
          <cell r="D1766" t="str">
            <v>KKM/IKN/H/21/138-06</v>
          </cell>
          <cell r="E1766" t="str">
            <v>16-603</v>
          </cell>
          <cell r="F1766" t="str">
            <v>Television Monitors</v>
          </cell>
          <cell r="G1766" t="str">
            <v>OT</v>
          </cell>
          <cell r="H1766" t="str">
            <v>OPERATING THEATRE</v>
          </cell>
          <cell r="I1766" t="str">
            <v>05OT161</v>
          </cell>
          <cell r="J1766" t="str">
            <v>OT</v>
          </cell>
          <cell r="K1766" t="str">
            <v>BMED</v>
          </cell>
          <cell r="L1766" t="str">
            <v>Normal</v>
          </cell>
          <cell r="M1766" t="str">
            <v>Japan</v>
          </cell>
          <cell r="N1766" t="str">
            <v>SONY</v>
          </cell>
          <cell r="O1766" t="str">
            <v>KLV-32BX320</v>
          </cell>
          <cell r="P1766" t="str">
            <v>3253869</v>
          </cell>
          <cell r="Q1766" t="str">
            <v>Not Applicable</v>
          </cell>
          <cell r="R1766" t="str">
            <v>SONY</v>
          </cell>
          <cell r="S1766" t="str">
            <v>MEDICLINK SYSTEMS (M) SDN BHD</v>
          </cell>
          <cell r="T1766" t="str">
            <v>Functioning</v>
          </cell>
          <cell r="U1766" t="str">
            <v>Asset</v>
          </cell>
          <cell r="V1766">
            <v>3000</v>
          </cell>
          <cell r="W1766" t="str">
            <v>KEW</v>
          </cell>
          <cell r="X1766">
            <v>40869</v>
          </cell>
          <cell r="Y1766" t="str">
            <v>KEW</v>
          </cell>
          <cell r="Z1766">
            <v>40889</v>
          </cell>
          <cell r="AA1766">
            <v>41255</v>
          </cell>
          <cell r="AB1766" t="str">
            <v>NO</v>
          </cell>
          <cell r="AC1766">
            <v>44405</v>
          </cell>
          <cell r="AD1766" t="str">
            <v>Good</v>
          </cell>
          <cell r="AE1766" t="str">
            <v>V3 - Added Installed Facilities (New)</v>
          </cell>
          <cell r="AF1766">
            <v>45259</v>
          </cell>
          <cell r="AG1766" t="str">
            <v>NA</v>
          </cell>
          <cell r="AH1766" t="str">
            <v>PPM</v>
          </cell>
          <cell r="AI1766" t="str">
            <v>Not in Contract</v>
          </cell>
          <cell r="AJ1766" t="str">
            <v>Proposed for V3 P2.23 (SET)</v>
          </cell>
          <cell r="AK1766" t="str">
            <v>ASSET TRANSFER FROM HPJ. Power Cord</v>
          </cell>
        </row>
        <row r="1767">
          <cell r="A1767" t="str">
            <v>IKN402101</v>
          </cell>
          <cell r="B1767">
            <v>1756</v>
          </cell>
          <cell r="C1767" t="str">
            <v>(PIC: ATIQA)</v>
          </cell>
          <cell r="D1767" t="str">
            <v>KKM/IKN/H/21/138-05</v>
          </cell>
          <cell r="E1767" t="str">
            <v>13-274</v>
          </cell>
          <cell r="F1767" t="str">
            <v>Recorders, Tape, Video</v>
          </cell>
          <cell r="G1767" t="str">
            <v>OT</v>
          </cell>
          <cell r="H1767" t="str">
            <v>OPERATING THEATRE</v>
          </cell>
          <cell r="I1767" t="str">
            <v>05OT161</v>
          </cell>
          <cell r="J1767" t="str">
            <v>OT</v>
          </cell>
          <cell r="K1767" t="str">
            <v>BMED</v>
          </cell>
          <cell r="L1767" t="str">
            <v>Normal</v>
          </cell>
          <cell r="M1767" t="str">
            <v>Japan</v>
          </cell>
          <cell r="N1767" t="str">
            <v>SONY</v>
          </cell>
          <cell r="O1767" t="str">
            <v>RDR-HX780</v>
          </cell>
          <cell r="P1767" t="str">
            <v>1015241</v>
          </cell>
          <cell r="Q1767" t="str">
            <v>Not Applicable</v>
          </cell>
          <cell r="R1767" t="str">
            <v>SONY</v>
          </cell>
          <cell r="S1767" t="str">
            <v>MEDICLINK SYSTEMS (M) SDN BHD</v>
          </cell>
          <cell r="T1767" t="str">
            <v>Functioning</v>
          </cell>
          <cell r="U1767" t="str">
            <v>Asset</v>
          </cell>
          <cell r="V1767">
            <v>2000</v>
          </cell>
          <cell r="W1767" t="str">
            <v>KEW</v>
          </cell>
          <cell r="X1767">
            <v>40869</v>
          </cell>
          <cell r="Y1767" t="str">
            <v>KEW</v>
          </cell>
          <cell r="Z1767">
            <v>40889</v>
          </cell>
          <cell r="AA1767">
            <v>41255</v>
          </cell>
          <cell r="AB1767" t="str">
            <v>NO</v>
          </cell>
          <cell r="AC1767">
            <v>44405</v>
          </cell>
          <cell r="AD1767" t="str">
            <v>Good</v>
          </cell>
          <cell r="AE1767" t="str">
            <v>V3 - Added Installed Facilities (New)</v>
          </cell>
          <cell r="AF1767">
            <v>45259</v>
          </cell>
          <cell r="AG1767" t="str">
            <v>NA</v>
          </cell>
          <cell r="AH1767" t="str">
            <v>PPM</v>
          </cell>
          <cell r="AI1767" t="str">
            <v>Not in Contract</v>
          </cell>
          <cell r="AJ1767" t="str">
            <v>Proposed for V3 P2.23 (SET)</v>
          </cell>
          <cell r="AK1767" t="str">
            <v>ASSET TRANSFER FROM HPJ. Power Cord</v>
          </cell>
        </row>
        <row r="1768">
          <cell r="A1768" t="str">
            <v>IKN402102</v>
          </cell>
          <cell r="B1768">
            <v>1757</v>
          </cell>
          <cell r="C1768" t="str">
            <v>Institut Kanser Negara</v>
          </cell>
          <cell r="D1768" t="str">
            <v>KKM/IKN/H/21/125</v>
          </cell>
          <cell r="E1768" t="str">
            <v>13-215</v>
          </cell>
          <cell r="F1768" t="str">
            <v>Infusion Pumps, General-Purpose</v>
          </cell>
          <cell r="G1768" t="str">
            <v>DO</v>
          </cell>
          <cell r="H1768" t="str">
            <v>DAY ONCOLOGY UNIT</v>
          </cell>
          <cell r="I1768" t="str">
            <v>04DO111</v>
          </cell>
          <cell r="J1768" t="str">
            <v>EQUIP. ROOM</v>
          </cell>
          <cell r="K1768" t="str">
            <v>BMED</v>
          </cell>
          <cell r="L1768" t="str">
            <v>Critical</v>
          </cell>
          <cell r="M1768" t="str">
            <v>CHINA</v>
          </cell>
          <cell r="N1768" t="str">
            <v>MedCaptian</v>
          </cell>
          <cell r="O1768" t="str">
            <v>HP-60</v>
          </cell>
          <cell r="P1768">
            <v>9024422108380</v>
          </cell>
          <cell r="Q1768" t="str">
            <v>Not Applicable</v>
          </cell>
          <cell r="R1768" t="str">
            <v>MedCaptain Medical Technology</v>
          </cell>
          <cell r="S1768" t="str">
            <v>Alam Medik Sdn Bhd</v>
          </cell>
          <cell r="T1768" t="str">
            <v>Functioning</v>
          </cell>
          <cell r="U1768" t="str">
            <v>Asset</v>
          </cell>
          <cell r="V1768">
            <v>3500</v>
          </cell>
          <cell r="W1768" t="str">
            <v>KEW</v>
          </cell>
          <cell r="X1768">
            <v>44643</v>
          </cell>
          <cell r="Y1768" t="str">
            <v>KEW</v>
          </cell>
          <cell r="Z1768">
            <v>44658</v>
          </cell>
          <cell r="AA1768">
            <v>45023</v>
          </cell>
          <cell r="AB1768" t="str">
            <v>NO</v>
          </cell>
          <cell r="AC1768">
            <v>44658</v>
          </cell>
          <cell r="AD1768" t="str">
            <v>Good</v>
          </cell>
          <cell r="AE1768" t="str">
            <v>V3 - Added Installed Facilities (New)</v>
          </cell>
          <cell r="AF1768">
            <v>45195</v>
          </cell>
          <cell r="AG1768" t="str">
            <v>NA</v>
          </cell>
          <cell r="AH1768" t="str">
            <v>PPM</v>
          </cell>
          <cell r="AI1768" t="str">
            <v>Not in Contract</v>
          </cell>
          <cell r="AJ1768" t="str">
            <v>Proposed for V3 P2.23</v>
          </cell>
          <cell r="AK1768" t="str">
            <v>(PIC: ATIQA). KKM follow P2.23.</v>
          </cell>
        </row>
        <row r="1769">
          <cell r="A1769" t="str">
            <v>IKN402103</v>
          </cell>
          <cell r="B1769">
            <v>1758</v>
          </cell>
          <cell r="C1769" t="str">
            <v>Institut Kanser Negara</v>
          </cell>
          <cell r="D1769" t="str">
            <v>KKM/IKN/H/22/6</v>
          </cell>
          <cell r="E1769" t="str">
            <v>13-215</v>
          </cell>
          <cell r="F1769" t="str">
            <v>Infusion Pumps, General-Purpose</v>
          </cell>
          <cell r="G1769" t="str">
            <v>WG</v>
          </cell>
          <cell r="H1769" t="str">
            <v>RT/ONCO WARD 1 (M)</v>
          </cell>
          <cell r="I1769" t="str">
            <v>08WG113</v>
          </cell>
          <cell r="J1769" t="str">
            <v>EQUIPMENT ROOM</v>
          </cell>
          <cell r="K1769" t="str">
            <v>BMED</v>
          </cell>
          <cell r="L1769" t="str">
            <v>Critical</v>
          </cell>
          <cell r="M1769" t="str">
            <v>CHINA</v>
          </cell>
          <cell r="N1769" t="str">
            <v>MedCaptian</v>
          </cell>
          <cell r="O1769" t="str">
            <v>HP-60</v>
          </cell>
          <cell r="P1769">
            <v>9024022106353</v>
          </cell>
          <cell r="Q1769" t="str">
            <v>Not Applicable</v>
          </cell>
          <cell r="R1769" t="str">
            <v>MedCaptain Medical Technology</v>
          </cell>
          <cell r="S1769" t="str">
            <v>Alam Medik Sdn Bhd</v>
          </cell>
          <cell r="T1769" t="str">
            <v>Functioning</v>
          </cell>
          <cell r="U1769" t="str">
            <v>Asset</v>
          </cell>
          <cell r="V1769">
            <v>3500</v>
          </cell>
          <cell r="W1769" t="str">
            <v>KEW</v>
          </cell>
          <cell r="X1769">
            <v>44643</v>
          </cell>
          <cell r="Y1769" t="str">
            <v>KEW</v>
          </cell>
          <cell r="Z1769">
            <v>44658</v>
          </cell>
          <cell r="AA1769">
            <v>45023</v>
          </cell>
          <cell r="AB1769" t="str">
            <v>NO</v>
          </cell>
          <cell r="AC1769">
            <v>44658</v>
          </cell>
          <cell r="AD1769" t="str">
            <v>Good</v>
          </cell>
          <cell r="AE1769" t="str">
            <v>V3 - Added Installed Facilities (New)</v>
          </cell>
          <cell r="AF1769">
            <v>45195</v>
          </cell>
          <cell r="AG1769" t="str">
            <v>NA</v>
          </cell>
          <cell r="AH1769" t="str">
            <v>PPM</v>
          </cell>
          <cell r="AI1769" t="str">
            <v>Not in Contract</v>
          </cell>
          <cell r="AJ1769" t="str">
            <v>Proposed for V3 P2.23</v>
          </cell>
          <cell r="AK1769" t="str">
            <v>(PIC: ATIQA). KKM follow P2.23.</v>
          </cell>
        </row>
        <row r="1770">
          <cell r="A1770" t="str">
            <v>IKN402104</v>
          </cell>
          <cell r="B1770">
            <v>1759</v>
          </cell>
          <cell r="C1770" t="str">
            <v>Institut Kanser Negara</v>
          </cell>
          <cell r="D1770" t="str">
            <v>KKM/IKN/H/22/9</v>
          </cell>
          <cell r="E1770" t="str">
            <v>13-215</v>
          </cell>
          <cell r="F1770" t="str">
            <v>Infusion Pumps, General-Purpose</v>
          </cell>
          <cell r="G1770" t="str">
            <v>WE</v>
          </cell>
          <cell r="H1770" t="str">
            <v>RT/ONCO WARD 1 (F)</v>
          </cell>
          <cell r="I1770" t="str">
            <v>07WE113</v>
          </cell>
          <cell r="J1770" t="str">
            <v>EQUIPMENT ROOM</v>
          </cell>
          <cell r="K1770" t="str">
            <v>BMED</v>
          </cell>
          <cell r="L1770" t="str">
            <v>Critical</v>
          </cell>
          <cell r="M1770" t="str">
            <v>CHINA</v>
          </cell>
          <cell r="N1770" t="str">
            <v>MedCaptian</v>
          </cell>
          <cell r="O1770" t="str">
            <v>HP-60</v>
          </cell>
          <cell r="P1770">
            <v>9024022106378</v>
          </cell>
          <cell r="Q1770" t="str">
            <v>Not Applicable</v>
          </cell>
          <cell r="R1770" t="str">
            <v>MedCaptain Medical Technology</v>
          </cell>
          <cell r="S1770" t="str">
            <v>Alam Medik Sdn Bhd</v>
          </cell>
          <cell r="T1770" t="str">
            <v>Functioning</v>
          </cell>
          <cell r="U1770" t="str">
            <v>Asset</v>
          </cell>
          <cell r="V1770">
            <v>3500</v>
          </cell>
          <cell r="W1770" t="str">
            <v>KEW</v>
          </cell>
          <cell r="X1770">
            <v>44643</v>
          </cell>
          <cell r="Y1770" t="str">
            <v>KEW</v>
          </cell>
          <cell r="Z1770">
            <v>44658</v>
          </cell>
          <cell r="AA1770">
            <v>45023</v>
          </cell>
          <cell r="AB1770" t="str">
            <v>NO</v>
          </cell>
          <cell r="AC1770">
            <v>44658</v>
          </cell>
          <cell r="AD1770" t="str">
            <v>Good</v>
          </cell>
          <cell r="AE1770" t="str">
            <v>V3 - Added Installed Facilities (New)</v>
          </cell>
          <cell r="AF1770">
            <v>45195</v>
          </cell>
          <cell r="AG1770" t="str">
            <v>NA</v>
          </cell>
          <cell r="AH1770" t="str">
            <v>PPM</v>
          </cell>
          <cell r="AI1770" t="str">
            <v>Strands</v>
          </cell>
          <cell r="AJ1770" t="str">
            <v>Proposed for V3 P2.23</v>
          </cell>
          <cell r="AK1770" t="str">
            <v>(PIC: ATIQA). KKM follow P2.23.</v>
          </cell>
        </row>
        <row r="1771">
          <cell r="A1771" t="str">
            <v>IKN402105</v>
          </cell>
          <cell r="B1771">
            <v>1760</v>
          </cell>
          <cell r="C1771" t="str">
            <v>Institut Kanser Negara</v>
          </cell>
          <cell r="D1771" t="str">
            <v>KKM/IKN/H/22/8</v>
          </cell>
          <cell r="E1771" t="str">
            <v>13-215</v>
          </cell>
          <cell r="F1771" t="str">
            <v>Infusion Pumps, General-Purpose</v>
          </cell>
          <cell r="G1771" t="str">
            <v>WH</v>
          </cell>
          <cell r="H1771" t="str">
            <v>RT/ONCO WARD 2 (M)</v>
          </cell>
          <cell r="I1771" t="str">
            <v>08WH121</v>
          </cell>
          <cell r="J1771" t="str">
            <v>EQUIPMENT ROOM</v>
          </cell>
          <cell r="K1771" t="str">
            <v>BMED</v>
          </cell>
          <cell r="L1771" t="str">
            <v>Critical</v>
          </cell>
          <cell r="M1771" t="str">
            <v>CHINA</v>
          </cell>
          <cell r="N1771" t="str">
            <v>MedCaptian</v>
          </cell>
          <cell r="O1771" t="str">
            <v>HP-60</v>
          </cell>
          <cell r="P1771">
            <v>9024022108142</v>
          </cell>
          <cell r="Q1771" t="str">
            <v>Not Applicable</v>
          </cell>
          <cell r="R1771" t="str">
            <v>MedCaptain Medical Technology</v>
          </cell>
          <cell r="S1771" t="str">
            <v>Alam Medik Sdn Bhd</v>
          </cell>
          <cell r="T1771" t="str">
            <v>Functioning</v>
          </cell>
          <cell r="U1771" t="str">
            <v>Asset</v>
          </cell>
          <cell r="V1771">
            <v>3500</v>
          </cell>
          <cell r="W1771" t="str">
            <v>KEW</v>
          </cell>
          <cell r="X1771">
            <v>44643</v>
          </cell>
          <cell r="Y1771" t="str">
            <v>KEW</v>
          </cell>
          <cell r="Z1771">
            <v>44658</v>
          </cell>
          <cell r="AA1771">
            <v>45023</v>
          </cell>
          <cell r="AB1771" t="str">
            <v>NO</v>
          </cell>
          <cell r="AC1771">
            <v>44658</v>
          </cell>
          <cell r="AD1771" t="str">
            <v>Good</v>
          </cell>
          <cell r="AE1771" t="str">
            <v>V3 - Added Installed Facilities (New)</v>
          </cell>
          <cell r="AF1771">
            <v>45195</v>
          </cell>
          <cell r="AG1771" t="str">
            <v>NA</v>
          </cell>
          <cell r="AH1771" t="str">
            <v>PPM</v>
          </cell>
          <cell r="AI1771" t="str">
            <v>Not in Contract</v>
          </cell>
          <cell r="AJ1771" t="str">
            <v>Proposed for V3 P2.23</v>
          </cell>
          <cell r="AK1771" t="str">
            <v>(PIC: ATIQA). KKM follow P2.23.</v>
          </cell>
        </row>
        <row r="1772">
          <cell r="A1772" t="str">
            <v>IKN402106</v>
          </cell>
          <cell r="B1772">
            <v>1761</v>
          </cell>
          <cell r="C1772" t="str">
            <v>Institut Kanser Negara</v>
          </cell>
          <cell r="D1772" t="str">
            <v>KKM/IKN/H/22/12</v>
          </cell>
          <cell r="E1772" t="str">
            <v>13-215</v>
          </cell>
          <cell r="F1772" t="str">
            <v>Infusion Pumps, General-Purpose</v>
          </cell>
          <cell r="G1772" t="str">
            <v>WC</v>
          </cell>
          <cell r="H1772" t="str">
            <v>WAD 6A</v>
          </cell>
          <cell r="I1772" t="str">
            <v>06WC113</v>
          </cell>
          <cell r="J1772" t="str">
            <v>WC</v>
          </cell>
          <cell r="K1772" t="str">
            <v>BMED</v>
          </cell>
          <cell r="L1772" t="str">
            <v>Critical</v>
          </cell>
          <cell r="M1772" t="str">
            <v>CHINA</v>
          </cell>
          <cell r="N1772" t="str">
            <v>MedCaptian</v>
          </cell>
          <cell r="O1772" t="str">
            <v>HP-60</v>
          </cell>
          <cell r="P1772">
            <v>9024022108423</v>
          </cell>
          <cell r="Q1772" t="str">
            <v>Not Applicable</v>
          </cell>
          <cell r="R1772" t="str">
            <v>MedCaptain Medical Technology</v>
          </cell>
          <cell r="S1772" t="str">
            <v>Alam Medik Sdn Bhd</v>
          </cell>
          <cell r="T1772" t="str">
            <v>Functioning</v>
          </cell>
          <cell r="U1772" t="str">
            <v>Asset</v>
          </cell>
          <cell r="V1772">
            <v>3500</v>
          </cell>
          <cell r="W1772" t="str">
            <v>KEW</v>
          </cell>
          <cell r="X1772">
            <v>44643</v>
          </cell>
          <cell r="Y1772" t="str">
            <v>KEW</v>
          </cell>
          <cell r="Z1772">
            <v>44658</v>
          </cell>
          <cell r="AA1772">
            <v>45023</v>
          </cell>
          <cell r="AB1772" t="str">
            <v>NO</v>
          </cell>
          <cell r="AC1772">
            <v>44658</v>
          </cell>
          <cell r="AD1772" t="str">
            <v>Good</v>
          </cell>
          <cell r="AE1772" t="str">
            <v>V3 - Added Installed Facilities (New)</v>
          </cell>
          <cell r="AF1772">
            <v>45195</v>
          </cell>
          <cell r="AG1772" t="str">
            <v>NA</v>
          </cell>
          <cell r="AH1772" t="str">
            <v>PPM</v>
          </cell>
          <cell r="AI1772" t="str">
            <v>Not in Contract</v>
          </cell>
          <cell r="AJ1772" t="str">
            <v>Proposed for V3 P2.23</v>
          </cell>
          <cell r="AK1772" t="str">
            <v>(PIC: ATIQA)</v>
          </cell>
        </row>
        <row r="1773">
          <cell r="A1773" t="str">
            <v>IKN402107</v>
          </cell>
          <cell r="B1773">
            <v>1762</v>
          </cell>
          <cell r="C1773" t="str">
            <v>Institut Kanser Negara</v>
          </cell>
          <cell r="D1773" t="str">
            <v>KKM/IKN/H/22/10</v>
          </cell>
          <cell r="E1773" t="str">
            <v>13-215</v>
          </cell>
          <cell r="F1773" t="str">
            <v>Infusion Pumps, General-Purpose</v>
          </cell>
          <cell r="G1773" t="str">
            <v>DO</v>
          </cell>
          <cell r="H1773" t="str">
            <v>DAY ONCOLOGY UNIT</v>
          </cell>
          <cell r="I1773" t="str">
            <v>04DO109</v>
          </cell>
          <cell r="J1773" t="str">
            <v>DO</v>
          </cell>
          <cell r="K1773" t="str">
            <v>BMED</v>
          </cell>
          <cell r="L1773" t="str">
            <v>Critical</v>
          </cell>
          <cell r="M1773" t="str">
            <v>CHINA</v>
          </cell>
          <cell r="N1773" t="str">
            <v>MedCaptian</v>
          </cell>
          <cell r="O1773" t="str">
            <v>HP-60</v>
          </cell>
          <cell r="P1773">
            <v>9024022108486</v>
          </cell>
          <cell r="Q1773" t="str">
            <v>Not Applicable</v>
          </cell>
          <cell r="R1773" t="str">
            <v>MedCaptain Medical Technology</v>
          </cell>
          <cell r="S1773" t="str">
            <v>Alam Medik Sdn Bhd</v>
          </cell>
          <cell r="T1773" t="str">
            <v>Functioning</v>
          </cell>
          <cell r="U1773" t="str">
            <v>Asset</v>
          </cell>
          <cell r="V1773">
            <v>3500</v>
          </cell>
          <cell r="W1773" t="str">
            <v>KEW</v>
          </cell>
          <cell r="X1773">
            <v>44643</v>
          </cell>
          <cell r="Y1773" t="str">
            <v>KEW</v>
          </cell>
          <cell r="Z1773">
            <v>44658</v>
          </cell>
          <cell r="AA1773">
            <v>45023</v>
          </cell>
          <cell r="AB1773" t="str">
            <v>NO</v>
          </cell>
          <cell r="AC1773">
            <v>44658</v>
          </cell>
          <cell r="AD1773" t="str">
            <v>Good</v>
          </cell>
          <cell r="AE1773" t="str">
            <v>V3 - Added Installed Facilities (New)</v>
          </cell>
          <cell r="AF1773">
            <v>45195</v>
          </cell>
          <cell r="AG1773" t="str">
            <v>NA</v>
          </cell>
          <cell r="AH1773" t="str">
            <v>PPM</v>
          </cell>
          <cell r="AI1773" t="str">
            <v>Not in Contract</v>
          </cell>
          <cell r="AJ1773" t="str">
            <v>Proposed for V3 P2.23</v>
          </cell>
          <cell r="AK1773" t="str">
            <v>(PIC: ATIQA). KKM follow P2.23.</v>
          </cell>
        </row>
        <row r="1774">
          <cell r="A1774" t="str">
            <v>IKN402108</v>
          </cell>
          <cell r="B1774">
            <v>1763</v>
          </cell>
          <cell r="C1774" t="str">
            <v>Institut Kanser Negara</v>
          </cell>
          <cell r="D1774" t="str">
            <v>KKM/IKN/H/22/11</v>
          </cell>
          <cell r="E1774" t="str">
            <v>13-215</v>
          </cell>
          <cell r="F1774" t="str">
            <v>Infusion Pumps, General-Purpose</v>
          </cell>
          <cell r="G1774" t="str">
            <v>DO</v>
          </cell>
          <cell r="H1774" t="str">
            <v>DAY ONCOLOGY UNIT</v>
          </cell>
          <cell r="I1774" t="str">
            <v>04DO109</v>
          </cell>
          <cell r="J1774" t="str">
            <v>DO</v>
          </cell>
          <cell r="K1774" t="str">
            <v>BMED</v>
          </cell>
          <cell r="L1774" t="str">
            <v>Critical</v>
          </cell>
          <cell r="M1774" t="str">
            <v>CHINA</v>
          </cell>
          <cell r="N1774" t="str">
            <v>MedCaptian</v>
          </cell>
          <cell r="O1774" t="str">
            <v>HP-60</v>
          </cell>
          <cell r="P1774">
            <v>9024022108456</v>
          </cell>
          <cell r="Q1774" t="str">
            <v>Not Applicable</v>
          </cell>
          <cell r="R1774" t="str">
            <v>MedCaptain Medical Technology</v>
          </cell>
          <cell r="S1774" t="str">
            <v>Alam Medik Sdn Bhd</v>
          </cell>
          <cell r="T1774" t="str">
            <v>Functioning</v>
          </cell>
          <cell r="U1774" t="str">
            <v>Asset</v>
          </cell>
          <cell r="V1774">
            <v>3500</v>
          </cell>
          <cell r="W1774" t="str">
            <v>KEW</v>
          </cell>
          <cell r="X1774">
            <v>44643</v>
          </cell>
          <cell r="Y1774" t="str">
            <v>KEW</v>
          </cell>
          <cell r="Z1774">
            <v>44658</v>
          </cell>
          <cell r="AA1774">
            <v>45023</v>
          </cell>
          <cell r="AB1774" t="str">
            <v>NO</v>
          </cell>
          <cell r="AC1774">
            <v>44658</v>
          </cell>
          <cell r="AD1774" t="str">
            <v>Good</v>
          </cell>
          <cell r="AE1774" t="str">
            <v>V3 - Added Installed Facilities (New)</v>
          </cell>
          <cell r="AF1774">
            <v>45195</v>
          </cell>
          <cell r="AG1774" t="str">
            <v>NA</v>
          </cell>
          <cell r="AH1774" t="str">
            <v>PPM</v>
          </cell>
          <cell r="AI1774" t="str">
            <v>Not in Contract</v>
          </cell>
          <cell r="AJ1774" t="str">
            <v>Proposed for V3 P2.23</v>
          </cell>
          <cell r="AK1774" t="str">
            <v>New location: 07WF121 (PIC: ATIQA). KKM follow P2.23.</v>
          </cell>
        </row>
        <row r="1775">
          <cell r="A1775" t="str">
            <v>IKN402109</v>
          </cell>
          <cell r="B1775">
            <v>1764</v>
          </cell>
          <cell r="C1775" t="str">
            <v>Institut Kanser Negara</v>
          </cell>
          <cell r="D1775" t="str">
            <v>KKM/IKN/H/22/7</v>
          </cell>
          <cell r="E1775" t="str">
            <v>13-215</v>
          </cell>
          <cell r="F1775" t="str">
            <v>Infusion Pumps, General-Purpose</v>
          </cell>
          <cell r="G1775" t="str">
            <v>WH</v>
          </cell>
          <cell r="H1775" t="str">
            <v>RT/ONCO WARD 2 (M)</v>
          </cell>
          <cell r="I1775" t="str">
            <v>08WH121</v>
          </cell>
          <cell r="J1775" t="str">
            <v>EQUIPMENT ROOM</v>
          </cell>
          <cell r="K1775" t="str">
            <v>BMED</v>
          </cell>
          <cell r="L1775" t="str">
            <v>Critical</v>
          </cell>
          <cell r="M1775" t="str">
            <v>CHINA</v>
          </cell>
          <cell r="N1775" t="str">
            <v>MedCaptian</v>
          </cell>
          <cell r="O1775" t="str">
            <v>HP-60</v>
          </cell>
          <cell r="P1775">
            <v>9024022108480</v>
          </cell>
          <cell r="Q1775" t="str">
            <v>Not Applicable</v>
          </cell>
          <cell r="R1775" t="str">
            <v>MedCaptain Medical Technology</v>
          </cell>
          <cell r="S1775" t="str">
            <v>Alam Medik Sdn Bhd</v>
          </cell>
          <cell r="T1775" t="str">
            <v>Functioning</v>
          </cell>
          <cell r="U1775" t="str">
            <v>Asset</v>
          </cell>
          <cell r="V1775">
            <v>3500</v>
          </cell>
          <cell r="W1775" t="str">
            <v>KEW</v>
          </cell>
          <cell r="X1775">
            <v>44643</v>
          </cell>
          <cell r="Y1775" t="str">
            <v>KEW</v>
          </cell>
          <cell r="Z1775">
            <v>44658</v>
          </cell>
          <cell r="AA1775">
            <v>45023</v>
          </cell>
          <cell r="AB1775" t="str">
            <v>NO</v>
          </cell>
          <cell r="AC1775">
            <v>44658</v>
          </cell>
          <cell r="AD1775" t="str">
            <v>Good</v>
          </cell>
          <cell r="AE1775" t="str">
            <v>V3 - Added Installed Facilities (New)</v>
          </cell>
          <cell r="AF1775">
            <v>45195</v>
          </cell>
          <cell r="AG1775" t="str">
            <v>NA</v>
          </cell>
          <cell r="AH1775" t="str">
            <v>PPM</v>
          </cell>
          <cell r="AI1775" t="str">
            <v>Not in Contract</v>
          </cell>
          <cell r="AJ1775" t="str">
            <v>Proposed for V3 P2.23</v>
          </cell>
          <cell r="AK1775" t="str">
            <v>(PIC: ATIQA). KKM follow P2.23.</v>
          </cell>
        </row>
        <row r="1776">
          <cell r="A1776" t="str">
            <v>IKN402111</v>
          </cell>
          <cell r="B1776">
            <v>1767</v>
          </cell>
          <cell r="C1776" t="str">
            <v>Institut Kanser Negara</v>
          </cell>
          <cell r="D1776" t="str">
            <v>KKM/IKN/H/22/14</v>
          </cell>
          <cell r="E1776" t="str">
            <v>13-215</v>
          </cell>
          <cell r="F1776" t="str">
            <v>Infusion Pumps, General-Purpose</v>
          </cell>
          <cell r="G1776" t="str">
            <v>WB</v>
          </cell>
          <cell r="H1776" t="str">
            <v>SURGICAL ONCO MALE WARD</v>
          </cell>
          <cell r="I1776" t="str">
            <v>05WB113</v>
          </cell>
          <cell r="J1776" t="str">
            <v>EQUIP. ROOM</v>
          </cell>
          <cell r="K1776" t="str">
            <v>BMED</v>
          </cell>
          <cell r="L1776" t="str">
            <v>Critical</v>
          </cell>
          <cell r="M1776" t="str">
            <v>CHINA</v>
          </cell>
          <cell r="N1776" t="str">
            <v>MedCaptian</v>
          </cell>
          <cell r="O1776" t="str">
            <v>HP-60</v>
          </cell>
          <cell r="P1776">
            <v>9024022108459</v>
          </cell>
          <cell r="Q1776" t="str">
            <v>Alam Medik Sdn Bhd</v>
          </cell>
          <cell r="R1776" t="str">
            <v>Functioning</v>
          </cell>
          <cell r="S1776" t="str">
            <v>Functioning</v>
          </cell>
          <cell r="T1776" t="str">
            <v>Functioning</v>
          </cell>
          <cell r="U1776" t="str">
            <v>KEW</v>
          </cell>
          <cell r="V1776">
            <v>3500</v>
          </cell>
          <cell r="W1776">
            <v>44643</v>
          </cell>
          <cell r="X1776" t="str">
            <v>KEW</v>
          </cell>
          <cell r="Y1776">
            <v>44658</v>
          </cell>
          <cell r="Z1776">
            <v>45023</v>
          </cell>
          <cell r="AA1776" t="str">
            <v>No</v>
          </cell>
          <cell r="AB1776">
            <v>44658</v>
          </cell>
          <cell r="AC1776" t="str">
            <v>Good</v>
          </cell>
          <cell r="AD1776" t="str">
            <v>V3 - Added Installed Facilities (New)</v>
          </cell>
          <cell r="AE1776">
            <v>45195</v>
          </cell>
          <cell r="AF1776" t="str">
            <v>NA</v>
          </cell>
          <cell r="AG1776">
            <v>9.17</v>
          </cell>
          <cell r="AH1776" t="str">
            <v>PPM</v>
          </cell>
          <cell r="AI1776" t="str">
            <v>Strands</v>
          </cell>
          <cell r="AJ1776" t="str">
            <v>Proposed for V3 P2.23</v>
          </cell>
        </row>
        <row r="1777">
          <cell r="A1777" t="str">
            <v>IKN402111</v>
          </cell>
          <cell r="B1777">
            <v>1766</v>
          </cell>
          <cell r="C1777" t="str">
            <v>Institut Kanser Negara</v>
          </cell>
          <cell r="D1777" t="str">
            <v>KKM/IKN/H/22/14</v>
          </cell>
          <cell r="E1777" t="str">
            <v>13-215</v>
          </cell>
          <cell r="F1777" t="str">
            <v>Infusion Pumps, General-Purpose</v>
          </cell>
          <cell r="G1777" t="str">
            <v>WB</v>
          </cell>
          <cell r="H1777" t="str">
            <v>WAD 5A</v>
          </cell>
          <cell r="I1777" t="str">
            <v>05WB113</v>
          </cell>
          <cell r="J1777" t="str">
            <v>WB</v>
          </cell>
          <cell r="K1777" t="str">
            <v>BMED</v>
          </cell>
          <cell r="L1777" t="str">
            <v>Critical</v>
          </cell>
          <cell r="M1777" t="str">
            <v>CHINA</v>
          </cell>
          <cell r="N1777" t="str">
            <v>MedCaptian</v>
          </cell>
          <cell r="O1777" t="str">
            <v>HP-60</v>
          </cell>
          <cell r="P1777">
            <v>9024022108459</v>
          </cell>
          <cell r="Q1777" t="str">
            <v>Not Applicable</v>
          </cell>
          <cell r="R1777" t="str">
            <v>MedCaptain Medical Technology</v>
          </cell>
          <cell r="S1777" t="str">
            <v>Alam Medik Sdn Bhd</v>
          </cell>
          <cell r="T1777" t="str">
            <v>Functioning</v>
          </cell>
          <cell r="U1777" t="str">
            <v>Asset</v>
          </cell>
          <cell r="V1777">
            <v>3500</v>
          </cell>
          <cell r="W1777" t="str">
            <v>KEW</v>
          </cell>
          <cell r="X1777">
            <v>44643</v>
          </cell>
          <cell r="Y1777" t="str">
            <v>KEW</v>
          </cell>
          <cell r="Z1777">
            <v>44658</v>
          </cell>
          <cell r="AA1777">
            <v>45023</v>
          </cell>
          <cell r="AB1777" t="str">
            <v>No</v>
          </cell>
          <cell r="AC1777">
            <v>44658</v>
          </cell>
          <cell r="AD1777" t="str">
            <v>Good</v>
          </cell>
          <cell r="AE1777" t="str">
            <v>V3 - Added Installed Facilities (New)</v>
          </cell>
          <cell r="AF1777">
            <v>45195</v>
          </cell>
          <cell r="AG1777" t="str">
            <v>NA</v>
          </cell>
          <cell r="AH1777" t="str">
            <v>PPM</v>
          </cell>
          <cell r="AI1777" t="str">
            <v>Not in Contract</v>
          </cell>
          <cell r="AJ1777" t="str">
            <v>Proposed for V3 P2.23</v>
          </cell>
          <cell r="AK1777" t="str">
            <v>(PIC: ATIQA)</v>
          </cell>
        </row>
        <row r="1778">
          <cell r="A1778" t="str">
            <v>IKN402112</v>
          </cell>
          <cell r="B1778">
            <v>1767</v>
          </cell>
          <cell r="C1778" t="str">
            <v>Institut Kanser Negara</v>
          </cell>
          <cell r="D1778" t="str">
            <v>KKM/IKN/H/22/15</v>
          </cell>
          <cell r="E1778" t="str">
            <v>13-215</v>
          </cell>
          <cell r="F1778" t="str">
            <v>Infusion Pumps, General-Purpose</v>
          </cell>
          <cell r="G1778" t="str">
            <v>WB</v>
          </cell>
          <cell r="H1778" t="str">
            <v>SURGICAL ONCO MALE WARD</v>
          </cell>
          <cell r="I1778" t="str">
            <v>05WB113</v>
          </cell>
          <cell r="J1778" t="str">
            <v>EQUIP. ROOM</v>
          </cell>
          <cell r="K1778" t="str">
            <v>BMED</v>
          </cell>
          <cell r="L1778" t="str">
            <v>Critical</v>
          </cell>
          <cell r="M1778" t="str">
            <v>CHINA</v>
          </cell>
          <cell r="N1778" t="str">
            <v>MedCaptian</v>
          </cell>
          <cell r="O1778" t="str">
            <v>HP-60</v>
          </cell>
          <cell r="P1778">
            <v>9024022108470</v>
          </cell>
          <cell r="Q1778" t="str">
            <v>MedCaptain Medical Technology</v>
          </cell>
          <cell r="R1778" t="str">
            <v>Alam Medik Sdn Bhd</v>
          </cell>
          <cell r="S1778" t="str">
            <v>Functioning</v>
          </cell>
          <cell r="T1778" t="str">
            <v>Functioning</v>
          </cell>
          <cell r="U1778" t="str">
            <v>KEW</v>
          </cell>
          <cell r="V1778">
            <v>3500</v>
          </cell>
          <cell r="W1778">
            <v>44643</v>
          </cell>
          <cell r="X1778" t="str">
            <v>KEW</v>
          </cell>
          <cell r="Y1778">
            <v>44658</v>
          </cell>
          <cell r="Z1778">
            <v>45023</v>
          </cell>
          <cell r="AA1778" t="str">
            <v>No</v>
          </cell>
          <cell r="AB1778">
            <v>44658</v>
          </cell>
          <cell r="AC1778" t="str">
            <v>Good</v>
          </cell>
          <cell r="AD1778" t="str">
            <v>V3 - Added Installed Facilities (New)</v>
          </cell>
          <cell r="AE1778">
            <v>45195</v>
          </cell>
          <cell r="AF1778" t="str">
            <v>NA</v>
          </cell>
          <cell r="AG1778">
            <v>9.17</v>
          </cell>
          <cell r="AH1778" t="str">
            <v>PPM</v>
          </cell>
          <cell r="AI1778" t="str">
            <v>Strands</v>
          </cell>
          <cell r="AJ1778" t="str">
            <v>Proposed for V3 P2.23</v>
          </cell>
        </row>
        <row r="1779">
          <cell r="A1779" t="str">
            <v>IKN402113</v>
          </cell>
          <cell r="B1779">
            <v>1768</v>
          </cell>
          <cell r="C1779" t="str">
            <v>Institut Kanser Negara</v>
          </cell>
          <cell r="D1779" t="str">
            <v>KKM/IKN/H/22/20</v>
          </cell>
          <cell r="E1779" t="str">
            <v>RI-DO1</v>
          </cell>
          <cell r="F1779" t="str">
            <v>TELESCOPE 4MM 30DEGREE</v>
          </cell>
          <cell r="G1779" t="str">
            <v>OT</v>
          </cell>
          <cell r="H1779" t="str">
            <v>OPERATION THEATRE</v>
          </cell>
          <cell r="I1779" t="str">
            <v>05OT130</v>
          </cell>
          <cell r="J1779" t="str">
            <v>OPERATION THEATRE</v>
          </cell>
          <cell r="K1779" t="str">
            <v>BMED</v>
          </cell>
          <cell r="L1779" t="str">
            <v>Critical</v>
          </cell>
          <cell r="M1779" t="str">
            <v>Germany</v>
          </cell>
          <cell r="N1779" t="str">
            <v>KARL STORZ</v>
          </cell>
          <cell r="O1779" t="str">
            <v>HOPKINS 27005BA</v>
          </cell>
          <cell r="P1779" t="str">
            <v>1257D3</v>
          </cell>
          <cell r="Q1779" t="str">
            <v>Not Applicable</v>
          </cell>
          <cell r="R1779" t="str">
            <v>KARLS STORZ</v>
          </cell>
          <cell r="S1779" t="str">
            <v>UMMI Surgical Sdn Bhd</v>
          </cell>
          <cell r="T1779" t="str">
            <v>Functioning</v>
          </cell>
          <cell r="U1779" t="str">
            <v>Asset</v>
          </cell>
          <cell r="V1779">
            <v>21350</v>
          </cell>
          <cell r="W1779" t="str">
            <v>KEW</v>
          </cell>
          <cell r="X1779">
            <v>44637</v>
          </cell>
          <cell r="Y1779" t="str">
            <v>KEW</v>
          </cell>
          <cell r="Z1779">
            <v>44665</v>
          </cell>
          <cell r="AA1779">
            <v>45029</v>
          </cell>
          <cell r="AB1779" t="str">
            <v>NO</v>
          </cell>
          <cell r="AC1779">
            <v>44665</v>
          </cell>
          <cell r="AD1779" t="str">
            <v>Good</v>
          </cell>
          <cell r="AE1779" t="str">
            <v>V3 - Added Installed Facilities (New)</v>
          </cell>
          <cell r="AF1779">
            <v>45195</v>
          </cell>
          <cell r="AG1779" t="str">
            <v>NA</v>
          </cell>
          <cell r="AH1779" t="str">
            <v>RI</v>
          </cell>
          <cell r="AI1779" t="str">
            <v>Not in Contract</v>
          </cell>
          <cell r="AJ1779" t="str">
            <v>Proposed for V3 P2.23</v>
          </cell>
          <cell r="AK1779" t="str">
            <v>(PIC: ATIQA). KKM follow P2.23.</v>
          </cell>
        </row>
        <row r="1780">
          <cell r="A1780" t="str">
            <v>IKN402114</v>
          </cell>
          <cell r="B1780">
            <v>1769</v>
          </cell>
          <cell r="C1780" t="str">
            <v>Institut Kanser Negara</v>
          </cell>
          <cell r="D1780" t="str">
            <v>KKM/IKN/H/22/19</v>
          </cell>
          <cell r="E1780" t="str">
            <v>RI-DO1</v>
          </cell>
          <cell r="F1780" t="str">
            <v>TELESCOPE 5MM 30DEGREE</v>
          </cell>
          <cell r="G1780" t="str">
            <v>OT</v>
          </cell>
          <cell r="H1780" t="str">
            <v>OPERATION THEATRE</v>
          </cell>
          <cell r="I1780" t="str">
            <v>05OT130</v>
          </cell>
          <cell r="J1780" t="str">
            <v>OPERATION THEATRE</v>
          </cell>
          <cell r="K1780" t="str">
            <v>BMED</v>
          </cell>
          <cell r="L1780" t="str">
            <v>Critical</v>
          </cell>
          <cell r="M1780" t="str">
            <v>Germany</v>
          </cell>
          <cell r="N1780" t="str">
            <v>KARL STORZ</v>
          </cell>
          <cell r="O1780" t="str">
            <v>HOPKINS 26046BA</v>
          </cell>
          <cell r="P1780" t="str">
            <v>1226A4</v>
          </cell>
          <cell r="Q1780" t="str">
            <v>Not Applicable</v>
          </cell>
          <cell r="R1780" t="str">
            <v>KARLS STORZ</v>
          </cell>
          <cell r="S1780" t="str">
            <v>UMMI Surgical Sdn Bhd</v>
          </cell>
          <cell r="T1780" t="str">
            <v>Functioning</v>
          </cell>
          <cell r="U1780" t="str">
            <v>Asset</v>
          </cell>
          <cell r="V1780">
            <v>17700</v>
          </cell>
          <cell r="W1780" t="str">
            <v>KEW</v>
          </cell>
          <cell r="X1780">
            <v>44637</v>
          </cell>
          <cell r="Y1780" t="str">
            <v>KEW</v>
          </cell>
          <cell r="Z1780">
            <v>44665</v>
          </cell>
          <cell r="AA1780">
            <v>45029</v>
          </cell>
          <cell r="AB1780" t="str">
            <v>NO</v>
          </cell>
          <cell r="AC1780">
            <v>44666</v>
          </cell>
          <cell r="AD1780" t="str">
            <v>Good</v>
          </cell>
          <cell r="AE1780" t="str">
            <v>V3 - Added Installed Facilities (New)</v>
          </cell>
          <cell r="AF1780">
            <v>45195</v>
          </cell>
          <cell r="AG1780" t="str">
            <v>NA</v>
          </cell>
          <cell r="AH1780" t="str">
            <v>RI</v>
          </cell>
          <cell r="AI1780" t="str">
            <v>Not in Contract</v>
          </cell>
          <cell r="AJ1780" t="str">
            <v>Proposed for V3 P2.23</v>
          </cell>
          <cell r="AK1780" t="str">
            <v>(PIC: ATIQA)</v>
          </cell>
        </row>
        <row r="1781">
          <cell r="A1781" t="str">
            <v>IKN402115</v>
          </cell>
          <cell r="B1781">
            <v>1770</v>
          </cell>
          <cell r="C1781" t="str">
            <v>Institut Kanser Negara</v>
          </cell>
          <cell r="D1781" t="str">
            <v>KKM/IKN/H/22/18</v>
          </cell>
          <cell r="E1781" t="str">
            <v>RI-DO1</v>
          </cell>
          <cell r="F1781" t="str">
            <v>TELESCOPE 10MM 30DEGREE</v>
          </cell>
          <cell r="G1781" t="str">
            <v>OT</v>
          </cell>
          <cell r="H1781" t="str">
            <v>OPERATION THEATRE</v>
          </cell>
          <cell r="I1781" t="str">
            <v>05OT130</v>
          </cell>
          <cell r="J1781" t="str">
            <v>OPERATION THEATRE</v>
          </cell>
          <cell r="K1781" t="str">
            <v>BMED</v>
          </cell>
          <cell r="L1781" t="str">
            <v>Critical</v>
          </cell>
          <cell r="M1781" t="str">
            <v>Germany</v>
          </cell>
          <cell r="N1781" t="str">
            <v>KARL STORZ</v>
          </cell>
          <cell r="O1781" t="str">
            <v>HOPKINS 26003BA</v>
          </cell>
          <cell r="P1781" t="str">
            <v>123Q5T</v>
          </cell>
          <cell r="Q1781" t="str">
            <v>Not Applicable</v>
          </cell>
          <cell r="R1781" t="str">
            <v>KARLS STORZ</v>
          </cell>
          <cell r="S1781" t="str">
            <v>UMMI Surgical Sdn Bhd</v>
          </cell>
          <cell r="T1781" t="str">
            <v>Functioning</v>
          </cell>
          <cell r="U1781" t="str">
            <v>Asset</v>
          </cell>
          <cell r="V1781">
            <v>20860</v>
          </cell>
          <cell r="W1781" t="str">
            <v>KEW</v>
          </cell>
          <cell r="X1781">
            <v>44637</v>
          </cell>
          <cell r="Y1781" t="str">
            <v>KEW</v>
          </cell>
          <cell r="Z1781">
            <v>44665</v>
          </cell>
          <cell r="AA1781">
            <v>45029</v>
          </cell>
          <cell r="AB1781" t="str">
            <v>NO</v>
          </cell>
          <cell r="AC1781">
            <v>44667</v>
          </cell>
          <cell r="AD1781" t="str">
            <v>Good</v>
          </cell>
          <cell r="AE1781" t="str">
            <v>V3 - Added Installed Facilities (New)</v>
          </cell>
          <cell r="AF1781">
            <v>45195</v>
          </cell>
          <cell r="AG1781" t="str">
            <v>NA</v>
          </cell>
          <cell r="AH1781" t="str">
            <v>RI</v>
          </cell>
          <cell r="AI1781" t="str">
            <v>Not in Contract</v>
          </cell>
          <cell r="AJ1781" t="str">
            <v>Proposed for V3 P2.23</v>
          </cell>
          <cell r="AK1781" t="str">
            <v>(PIC: ATIQA)</v>
          </cell>
        </row>
        <row r="1782">
          <cell r="A1782" t="str">
            <v>IKN402116</v>
          </cell>
          <cell r="B1782">
            <v>1771</v>
          </cell>
          <cell r="C1782" t="str">
            <v>Institut Kanser Negara</v>
          </cell>
          <cell r="D1782" t="str">
            <v>KKM/IKN/H/22/17</v>
          </cell>
          <cell r="E1782" t="str">
            <v>20-198</v>
          </cell>
          <cell r="F1782" t="str">
            <v>Analyzers,Point of care,Breath ,Carbon monoxide</v>
          </cell>
          <cell r="G1782" t="str">
            <v>PY</v>
          </cell>
          <cell r="H1782" t="str">
            <v>PHYSIOTHERAPY</v>
          </cell>
          <cell r="I1782" t="str">
            <v>04PY115</v>
          </cell>
          <cell r="J1782" t="str">
            <v>GYMNASIUM</v>
          </cell>
          <cell r="K1782" t="str">
            <v>BMED</v>
          </cell>
          <cell r="L1782" t="str">
            <v>Normal</v>
          </cell>
          <cell r="M1782" t="str">
            <v>BEDFRONT SCIENTIFIC</v>
          </cell>
          <cell r="N1782" t="str">
            <v>BEDFRONT</v>
          </cell>
          <cell r="O1782" t="str">
            <v>PICO</v>
          </cell>
          <cell r="P1782" t="str">
            <v>CP729246</v>
          </cell>
          <cell r="Q1782" t="str">
            <v>Not Applicable</v>
          </cell>
          <cell r="R1782" t="str">
            <v>BEDFRONT,UK</v>
          </cell>
          <cell r="S1782" t="str">
            <v>TARAF SYNERGY</v>
          </cell>
          <cell r="T1782" t="str">
            <v>Functioning</v>
          </cell>
          <cell r="U1782" t="str">
            <v>Asset</v>
          </cell>
          <cell r="V1782">
            <v>3950</v>
          </cell>
          <cell r="W1782" t="str">
            <v>KEW</v>
          </cell>
          <cell r="X1782">
            <v>44655</v>
          </cell>
          <cell r="Y1782" t="str">
            <v>KEW</v>
          </cell>
          <cell r="Z1782">
            <v>44673</v>
          </cell>
          <cell r="AA1782">
            <v>45037</v>
          </cell>
          <cell r="AB1782" t="str">
            <v>NO</v>
          </cell>
          <cell r="AC1782">
            <v>44673</v>
          </cell>
          <cell r="AD1782" t="str">
            <v>Good</v>
          </cell>
          <cell r="AE1782" t="str">
            <v>V3 - Added Installed Facilities (New)</v>
          </cell>
          <cell r="AF1782">
            <v>45195</v>
          </cell>
          <cell r="AG1782" t="str">
            <v>NA</v>
          </cell>
          <cell r="AH1782" t="str">
            <v>RI</v>
          </cell>
          <cell r="AI1782" t="str">
            <v>Not in Contract</v>
          </cell>
          <cell r="AJ1782" t="str">
            <v>Proposed for V3 P2.23</v>
          </cell>
          <cell r="AK1782" t="str">
            <v>(PIC: NORA). KKM follow P2.23.</v>
          </cell>
        </row>
        <row r="1783">
          <cell r="A1783" t="str">
            <v>IKN402117</v>
          </cell>
          <cell r="B1783">
            <v>1772</v>
          </cell>
          <cell r="C1783" t="str">
            <v>Institut Kanser Negara</v>
          </cell>
          <cell r="D1783" t="str">
            <v>Nora</v>
          </cell>
          <cell r="E1783" t="str">
            <v>15-076</v>
          </cell>
          <cell r="F1783" t="str">
            <v>Laryngoscopes, Rigid</v>
          </cell>
          <cell r="G1783" t="str">
            <v>AD</v>
          </cell>
          <cell r="H1783" t="str">
            <v>ADMINISTRATION</v>
          </cell>
          <cell r="I1783" t="str">
            <v>06AD122</v>
          </cell>
          <cell r="J1783" t="str">
            <v>SUPERVISOR 1</v>
          </cell>
          <cell r="K1783" t="str">
            <v>BMED</v>
          </cell>
          <cell r="L1783" t="str">
            <v>Normal</v>
          </cell>
          <cell r="M1783" t="str">
            <v>Germany</v>
          </cell>
          <cell r="N1783" t="str">
            <v>MACINTOSH</v>
          </cell>
          <cell r="O1783" t="str">
            <v>KAWE</v>
          </cell>
          <cell r="P1783" t="str">
            <v>Not Available</v>
          </cell>
          <cell r="Q1783" t="str">
            <v>Not Applicable</v>
          </cell>
          <cell r="R1783" t="str">
            <v>GERMANY</v>
          </cell>
          <cell r="S1783" t="str">
            <v>INSAN BAKTI</v>
          </cell>
          <cell r="T1783" t="str">
            <v>Functioning</v>
          </cell>
          <cell r="U1783" t="str">
            <v>Asset</v>
          </cell>
          <cell r="V1783">
            <v>1100</v>
          </cell>
          <cell r="W1783" t="str">
            <v>KEW</v>
          </cell>
          <cell r="X1783">
            <v>44643</v>
          </cell>
          <cell r="Y1783" t="str">
            <v>KEW</v>
          </cell>
          <cell r="Z1783">
            <v>44676</v>
          </cell>
          <cell r="AA1783">
            <v>44676</v>
          </cell>
          <cell r="AB1783" t="str">
            <v>NO</v>
          </cell>
          <cell r="AC1783">
            <v>44676</v>
          </cell>
          <cell r="AD1783" t="str">
            <v>Good</v>
          </cell>
          <cell r="AE1783" t="str">
            <v>V3 - Added Installed Facilities (New)</v>
          </cell>
          <cell r="AF1783">
            <v>44676</v>
          </cell>
          <cell r="AG1783" t="str">
            <v>NA</v>
          </cell>
          <cell r="AH1783" t="str">
            <v>RI</v>
          </cell>
          <cell r="AI1783" t="str">
            <v>Not in Contract</v>
          </cell>
          <cell r="AJ1783" t="e">
            <v>#REF!</v>
          </cell>
          <cell r="AK1783" t="str">
            <v>(PIC: NORA)</v>
          </cell>
        </row>
        <row r="1784">
          <cell r="A1784" t="str">
            <v>IKN402119</v>
          </cell>
          <cell r="B1784">
            <v>1774</v>
          </cell>
          <cell r="C1784" t="str">
            <v>Institut Kanser Negara</v>
          </cell>
          <cell r="D1784" t="str">
            <v>KKM/IKN/H/22/45</v>
          </cell>
          <cell r="E1784" t="str">
            <v>16-231</v>
          </cell>
          <cell r="F1784" t="str">
            <v>Electrocardiographs, Multichannel, Interpretative</v>
          </cell>
          <cell r="G1784" t="str">
            <v>HP</v>
          </cell>
          <cell r="H1784" t="str">
            <v>UNIT KESIHATAN AWAM (UKA)</v>
          </cell>
          <cell r="I1784" t="str">
            <v>04HP104</v>
          </cell>
          <cell r="J1784" t="str">
            <v>DISPLAY</v>
          </cell>
          <cell r="K1784" t="str">
            <v>BMED</v>
          </cell>
          <cell r="L1784" t="str">
            <v>Normal</v>
          </cell>
          <cell r="N1784" t="str">
            <v>COMEN</v>
          </cell>
          <cell r="O1784" t="str">
            <v>COMEN H3-01</v>
          </cell>
          <cell r="P1784" t="str">
            <v>H3220409031</v>
          </cell>
          <cell r="Q1784" t="str">
            <v>Not Applicable</v>
          </cell>
          <cell r="R1784" t="str">
            <v>SHENZEN COMEN MEDICAL INSTURMENT</v>
          </cell>
          <cell r="S1784" t="str">
            <v>IDS MEDICAL SYSTEM SDN BHD</v>
          </cell>
          <cell r="T1784" t="str">
            <v>Functioning</v>
          </cell>
          <cell r="U1784" t="str">
            <v>Asset</v>
          </cell>
          <cell r="V1784">
            <v>8000</v>
          </cell>
          <cell r="W1784" t="str">
            <v>KEW</v>
          </cell>
          <cell r="X1784" t="str">
            <v>NA</v>
          </cell>
          <cell r="Y1784" t="str">
            <v>KEW</v>
          </cell>
          <cell r="Z1784">
            <v>44701</v>
          </cell>
          <cell r="AA1784">
            <v>46161</v>
          </cell>
          <cell r="AB1784" t="str">
            <v>YES</v>
          </cell>
          <cell r="AC1784">
            <v>44701</v>
          </cell>
          <cell r="AD1784" t="str">
            <v>Good</v>
          </cell>
          <cell r="AE1784" t="str">
            <v>V3 - Added Installed Facilities (New)</v>
          </cell>
          <cell r="AF1784">
            <v>45008</v>
          </cell>
          <cell r="AG1784" t="str">
            <v>NA</v>
          </cell>
          <cell r="AH1784" t="str">
            <v>PPM</v>
          </cell>
          <cell r="AI1784" t="str">
            <v>Not in contract</v>
          </cell>
          <cell r="AJ1784" t="str">
            <v>Strands V3 P1.23</v>
          </cell>
          <cell r="AK1784" t="str">
            <v>(PIC: NORA) [23/8/2023, Sharifah]: V3 P1.23, add KKM No.. Warranty twice a year., [15/5/2024, Indira]: Edit Warranty Date.</v>
          </cell>
        </row>
        <row r="1785">
          <cell r="A1785" t="str">
            <v>IKN402120</v>
          </cell>
          <cell r="B1785">
            <v>1775</v>
          </cell>
          <cell r="C1785" t="str">
            <v>Institut Kanser Negara</v>
          </cell>
          <cell r="D1785" t="str">
            <v>KKM/IKN/H/22/25</v>
          </cell>
          <cell r="E1785" t="str">
            <v>15-177</v>
          </cell>
          <cell r="F1785" t="str">
            <v>Sedimentation Rate Units</v>
          </cell>
          <cell r="G1785" t="str">
            <v>LA</v>
          </cell>
          <cell r="H1785" t="str">
            <v>PATHOLOGY</v>
          </cell>
          <cell r="I1785" t="str">
            <v>04LA135</v>
          </cell>
          <cell r="J1785" t="str">
            <v>PATHOLOGY</v>
          </cell>
          <cell r="K1785" t="str">
            <v>BMED</v>
          </cell>
          <cell r="L1785" t="str">
            <v>Normal</v>
          </cell>
          <cell r="M1785" t="str">
            <v>NA</v>
          </cell>
          <cell r="N1785" t="str">
            <v>JOKOH</v>
          </cell>
          <cell r="O1785" t="str">
            <v>SMART RATE 10</v>
          </cell>
          <cell r="P1785" t="str">
            <v>1SA12000081</v>
          </cell>
          <cell r="Q1785" t="str">
            <v>Not Applicable</v>
          </cell>
          <cell r="R1785" t="str">
            <v>JOKOH CO LTD</v>
          </cell>
          <cell r="S1785" t="str">
            <v>UC BIOSCIENCES SDN BHD</v>
          </cell>
          <cell r="T1785" t="str">
            <v>Functioning</v>
          </cell>
          <cell r="U1785" t="str">
            <v>Asset</v>
          </cell>
          <cell r="V1785">
            <v>10000</v>
          </cell>
          <cell r="W1785" t="str">
            <v>KEW</v>
          </cell>
          <cell r="X1785" t="str">
            <v>NA</v>
          </cell>
          <cell r="Y1785" t="str">
            <v>KEW</v>
          </cell>
          <cell r="Z1785">
            <v>44699</v>
          </cell>
          <cell r="AA1785">
            <v>45063</v>
          </cell>
          <cell r="AB1785" t="str">
            <v>NO</v>
          </cell>
          <cell r="AC1785">
            <v>44699</v>
          </cell>
          <cell r="AD1785" t="str">
            <v>Good</v>
          </cell>
          <cell r="AE1785" t="str">
            <v>V3 - Added Installed Facilities (New)</v>
          </cell>
          <cell r="AF1785">
            <v>45195</v>
          </cell>
          <cell r="AG1785" t="str">
            <v>NA</v>
          </cell>
          <cell r="AH1785" t="str">
            <v>PPM</v>
          </cell>
          <cell r="AI1785" t="str">
            <v>Not in Contract</v>
          </cell>
          <cell r="AJ1785" t="str">
            <v>Proposed for V3 P2.23</v>
          </cell>
          <cell r="AK1785" t="str">
            <v>(PIC: INDIRA)</v>
          </cell>
        </row>
        <row r="1786">
          <cell r="A1786" t="str">
            <v>IKN402121</v>
          </cell>
          <cell r="B1786">
            <v>1776</v>
          </cell>
          <cell r="C1786" t="str">
            <v>Institut Kanser Negara</v>
          </cell>
          <cell r="D1786" t="str">
            <v>KKM/IKN/H/22/44</v>
          </cell>
          <cell r="E1786" t="str">
            <v>12-291</v>
          </cell>
          <cell r="F1786" t="str">
            <v>LAPAROSCOPIC SET</v>
          </cell>
          <cell r="G1786" t="str">
            <v>OT</v>
          </cell>
          <cell r="H1786" t="str">
            <v>OPERATING THEATRE</v>
          </cell>
          <cell r="I1786" t="str">
            <v>05OT126</v>
          </cell>
          <cell r="J1786" t="str">
            <v>OPERATING THEATRE</v>
          </cell>
          <cell r="K1786" t="str">
            <v>BMED</v>
          </cell>
          <cell r="L1786" t="str">
            <v>Normal</v>
          </cell>
          <cell r="M1786" t="str">
            <v>Germany</v>
          </cell>
          <cell r="N1786" t="str">
            <v>KARL STORZ</v>
          </cell>
          <cell r="O1786" t="str">
            <v>NA</v>
          </cell>
          <cell r="P1786" t="str">
            <v>NA</v>
          </cell>
          <cell r="Q1786" t="str">
            <v>Not Applicable</v>
          </cell>
          <cell r="R1786" t="str">
            <v>KARLS STORZ</v>
          </cell>
          <cell r="S1786" t="str">
            <v>UMMI Surgical Sdn Bhd</v>
          </cell>
          <cell r="T1786" t="str">
            <v>Functioning</v>
          </cell>
          <cell r="U1786" t="str">
            <v>Asset</v>
          </cell>
          <cell r="V1786">
            <v>49000</v>
          </cell>
          <cell r="W1786" t="str">
            <v>KEW</v>
          </cell>
          <cell r="X1786">
            <v>44664</v>
          </cell>
          <cell r="Y1786" t="str">
            <v>KEW</v>
          </cell>
          <cell r="Z1786">
            <v>44701</v>
          </cell>
          <cell r="AA1786">
            <v>45066</v>
          </cell>
          <cell r="AB1786" t="str">
            <v>No</v>
          </cell>
          <cell r="AC1786">
            <v>44701</v>
          </cell>
          <cell r="AD1786" t="str">
            <v>Good</v>
          </cell>
          <cell r="AE1786" t="str">
            <v>V3 - Added Installed Facilities (New)</v>
          </cell>
          <cell r="AF1786">
            <v>45195</v>
          </cell>
          <cell r="AG1786" t="str">
            <v>NA</v>
          </cell>
          <cell r="AH1786" t="str">
            <v>PPM</v>
          </cell>
          <cell r="AI1786" t="str">
            <v>Not in contract</v>
          </cell>
          <cell r="AJ1786" t="str">
            <v>Proposed for V3 P2.23</v>
          </cell>
          <cell r="AK1786" t="str">
            <v>(PIC: SHAHIRA) [19/1/2023, Sharifah]: Add KKM No. SNF received on 26/9/2023.</v>
          </cell>
        </row>
        <row r="1787">
          <cell r="A1787" t="str">
            <v>IKN402122</v>
          </cell>
          <cell r="B1787">
            <v>1777</v>
          </cell>
          <cell r="C1787" t="str">
            <v>Institut Kanser Negara</v>
          </cell>
          <cell r="D1787" t="str">
            <v>KKM/IKN/H/22/65</v>
          </cell>
          <cell r="E1787" t="str">
            <v>17-445</v>
          </cell>
          <cell r="F1787" t="str">
            <v>Multiple Medical Gas Monitors Respired/Anesthetic</v>
          </cell>
          <cell r="G1787" t="str">
            <v>OT</v>
          </cell>
          <cell r="H1787" t="str">
            <v>OPERATING THEATRE</v>
          </cell>
          <cell r="I1787" t="str">
            <v>05OT129</v>
          </cell>
          <cell r="J1787" t="str">
            <v>SEMINAR</v>
          </cell>
          <cell r="K1787" t="str">
            <v>BMED</v>
          </cell>
          <cell r="L1787" t="str">
            <v>Normal</v>
          </cell>
          <cell r="M1787" t="str">
            <v>Finland</v>
          </cell>
          <cell r="N1787" t="str">
            <v>GE HEALTHCARE</v>
          </cell>
          <cell r="O1787" t="str">
            <v>E-SCAIO</v>
          </cell>
          <cell r="P1787" t="str">
            <v>SGV21360090HA</v>
          </cell>
          <cell r="Q1787" t="str">
            <v>Not Applicable</v>
          </cell>
          <cell r="R1787" t="str">
            <v>GE HEALTHCARE</v>
          </cell>
          <cell r="S1787" t="str">
            <v>INSAN BAKTI SDN BHD</v>
          </cell>
          <cell r="T1787" t="str">
            <v>Functioning</v>
          </cell>
          <cell r="U1787" t="str">
            <v>Asset</v>
          </cell>
          <cell r="V1787">
            <v>28000</v>
          </cell>
          <cell r="W1787" t="str">
            <v>KEW</v>
          </cell>
          <cell r="X1787">
            <v>44641</v>
          </cell>
          <cell r="Y1787" t="str">
            <v>KEW</v>
          </cell>
          <cell r="Z1787">
            <v>44712</v>
          </cell>
          <cell r="AA1787">
            <v>45076</v>
          </cell>
          <cell r="AB1787" t="str">
            <v>No</v>
          </cell>
          <cell r="AC1787">
            <v>44712</v>
          </cell>
          <cell r="AD1787" t="str">
            <v>Good</v>
          </cell>
          <cell r="AE1787" t="str">
            <v>V3 - Added Installed Facilities (New)</v>
          </cell>
          <cell r="AF1787">
            <v>45008</v>
          </cell>
          <cell r="AG1787" t="str">
            <v>NA</v>
          </cell>
          <cell r="AH1787" t="str">
            <v>PPM</v>
          </cell>
          <cell r="AI1787" t="str">
            <v>Not in Contract</v>
          </cell>
          <cell r="AJ1787" t="str">
            <v>Strands V3 P1.23</v>
          </cell>
          <cell r="AK1787" t="str">
            <v>SNF RECEIVED MARCH, SEPT 2023.</v>
          </cell>
        </row>
        <row r="1788">
          <cell r="A1788" t="str">
            <v>IKN402123</v>
          </cell>
          <cell r="B1788">
            <v>1778</v>
          </cell>
          <cell r="C1788" t="str">
            <v>Institut Kanser Negara</v>
          </cell>
          <cell r="D1788" t="str">
            <v>KKM/IKN/H/22/30</v>
          </cell>
          <cell r="E1788" t="str">
            <v>12647-000</v>
          </cell>
          <cell r="F1788" t="str">
            <v>Physiologic Monitoring Systems, Acute Care</v>
          </cell>
          <cell r="G1788" t="str">
            <v>WB</v>
          </cell>
          <cell r="H1788" t="str">
            <v>SURGICAL ONCO MALE WARD</v>
          </cell>
          <cell r="I1788" t="str">
            <v>05WB107</v>
          </cell>
          <cell r="J1788" t="str">
            <v>TREATMENT / PROCEDURE</v>
          </cell>
          <cell r="K1788" t="str">
            <v>BMED</v>
          </cell>
          <cell r="L1788" t="str">
            <v>NORMAL</v>
          </cell>
          <cell r="M1788" t="str">
            <v>WHO</v>
          </cell>
          <cell r="N1788" t="str">
            <v>EDAN</v>
          </cell>
          <cell r="O1788" t="str">
            <v>IM60</v>
          </cell>
          <cell r="P1788" t="str">
            <v>360079-M20609750005</v>
          </cell>
          <cell r="Q1788" t="str">
            <v>EDAN INSTRUMENT INC</v>
          </cell>
          <cell r="R1788" t="str">
            <v>PHARMANIAGA LOGISTIC SDN BHD</v>
          </cell>
          <cell r="S1788" t="str">
            <v>Functioning</v>
          </cell>
          <cell r="T1788" t="str">
            <v>Functioning</v>
          </cell>
          <cell r="U1788" t="str">
            <v>KEW</v>
          </cell>
          <cell r="V1788">
            <v>8778.69</v>
          </cell>
          <cell r="W1788" t="str">
            <v>NA</v>
          </cell>
          <cell r="X1788" t="str">
            <v>NA</v>
          </cell>
          <cell r="Y1788">
            <v>45008</v>
          </cell>
          <cell r="Z1788">
            <v>45532</v>
          </cell>
          <cell r="AA1788" t="str">
            <v>YES</v>
          </cell>
          <cell r="AB1788">
            <v>44719</v>
          </cell>
          <cell r="AC1788" t="str">
            <v>Good</v>
          </cell>
          <cell r="AD1788" t="str">
            <v>V3 - Added Installed Facilities (New)</v>
          </cell>
          <cell r="AE1788">
            <v>45008</v>
          </cell>
          <cell r="AF1788" t="str">
            <v>NA</v>
          </cell>
          <cell r="AG1788">
            <v>9.17</v>
          </cell>
          <cell r="AH1788" t="str">
            <v>PPM</v>
          </cell>
          <cell r="AI1788" t="str">
            <v>Strands</v>
          </cell>
          <cell r="AJ1788" t="str">
            <v>Strands V3 P1.23</v>
          </cell>
          <cell r="AK1788" t="str">
            <v>[23/8/2023, Sharifah]: V3 P1.23</v>
          </cell>
        </row>
        <row r="1789">
          <cell r="A1789" t="str">
            <v>IKN402124</v>
          </cell>
          <cell r="B1789">
            <v>1779</v>
          </cell>
          <cell r="C1789" t="str">
            <v>Institut Kanser Negara</v>
          </cell>
          <cell r="D1789" t="str">
            <v>KKM/IKN/H/22/29</v>
          </cell>
          <cell r="E1789" t="str">
            <v>12647-000</v>
          </cell>
          <cell r="F1789" t="str">
            <v>Physiologic Monitoring Systems, Acute Care</v>
          </cell>
          <cell r="G1789" t="str">
            <v>AE</v>
          </cell>
          <cell r="H1789" t="str">
            <v>EMERGENCY UNIT</v>
          </cell>
          <cell r="I1789" t="str">
            <v>01AE106</v>
          </cell>
          <cell r="J1789" t="str">
            <v>C/E ROOM</v>
          </cell>
          <cell r="K1789" t="str">
            <v>BMED</v>
          </cell>
          <cell r="L1789" t="str">
            <v>NORMAL</v>
          </cell>
          <cell r="M1789" t="str">
            <v>WHO</v>
          </cell>
          <cell r="N1789" t="str">
            <v>EDAN</v>
          </cell>
          <cell r="O1789" t="str">
            <v>IM60</v>
          </cell>
          <cell r="P1789" t="str">
            <v>360079-M20609750126</v>
          </cell>
          <cell r="Q1789" t="str">
            <v>Not Applicable</v>
          </cell>
          <cell r="R1789" t="str">
            <v>EDAN INSTRUMENT INC</v>
          </cell>
          <cell r="S1789" t="str">
            <v>PHARMANIAGA LOGISTIC SDN BHD</v>
          </cell>
          <cell r="T1789" t="str">
            <v>Functioning</v>
          </cell>
          <cell r="U1789" t="str">
            <v>Asset</v>
          </cell>
          <cell r="V1789">
            <v>8778.69</v>
          </cell>
          <cell r="W1789" t="str">
            <v>KEW</v>
          </cell>
          <cell r="X1789" t="str">
            <v>NA</v>
          </cell>
          <cell r="Y1789" t="str">
            <v>NA</v>
          </cell>
          <cell r="Z1789">
            <v>45008</v>
          </cell>
          <cell r="AA1789">
            <v>45532</v>
          </cell>
          <cell r="AB1789" t="str">
            <v>YES</v>
          </cell>
          <cell r="AC1789">
            <v>44719</v>
          </cell>
          <cell r="AD1789" t="str">
            <v>Good</v>
          </cell>
          <cell r="AE1789" t="str">
            <v>V3 - Added Installed Facilities (New)</v>
          </cell>
          <cell r="AF1789">
            <v>45008</v>
          </cell>
          <cell r="AG1789" t="str">
            <v>NA</v>
          </cell>
          <cell r="AH1789" t="str">
            <v>PPM</v>
          </cell>
          <cell r="AI1789" t="str">
            <v>Not in contract</v>
          </cell>
          <cell r="AJ1789" t="str">
            <v>Strands V3 P1.23</v>
          </cell>
          <cell r="AK1789" t="str">
            <v>[23/8/2023, Sharifah]: V3 P1.23</v>
          </cell>
        </row>
        <row r="1790">
          <cell r="A1790" t="str">
            <v>IKN402129</v>
          </cell>
          <cell r="B1790">
            <v>1784</v>
          </cell>
          <cell r="C1790" t="str">
            <v>Institut Kanser Negara</v>
          </cell>
          <cell r="D1790" t="str">
            <v>KKM/IKN/H/22/86</v>
          </cell>
          <cell r="E1790" t="str">
            <v>15-108</v>
          </cell>
          <cell r="F1790" t="str">
            <v>RELIEF PAK HEATING UNIT</v>
          </cell>
          <cell r="G1790" t="str">
            <v>PY</v>
          </cell>
          <cell r="H1790" t="str">
            <v>PHYSIOTHERAPY</v>
          </cell>
          <cell r="I1790" t="str">
            <v>04PY115</v>
          </cell>
          <cell r="J1790" t="str">
            <v>GYMNASIUM</v>
          </cell>
          <cell r="K1790" t="str">
            <v>BMED</v>
          </cell>
          <cell r="L1790" t="str">
            <v>Normal</v>
          </cell>
          <cell r="M1790" t="str">
            <v>Fabrication Enterprises Inc,USA</v>
          </cell>
          <cell r="N1790" t="str">
            <v>RELIEF PAK</v>
          </cell>
          <cell r="O1790">
            <v>33909</v>
          </cell>
          <cell r="P1790" t="str">
            <v>RP6S0299</v>
          </cell>
          <cell r="Q1790" t="str">
            <v>Not Applicable</v>
          </cell>
          <cell r="R1790" t="str">
            <v>Fabrication Enterprises Inc,USA</v>
          </cell>
          <cell r="S1790" t="str">
            <v>Profile Technology Sdn Bhd</v>
          </cell>
          <cell r="T1790" t="str">
            <v>Functioning</v>
          </cell>
          <cell r="U1790" t="str">
            <v>Asset</v>
          </cell>
          <cell r="V1790">
            <v>4000</v>
          </cell>
          <cell r="W1790" t="str">
            <v>KEW</v>
          </cell>
          <cell r="X1790">
            <v>44644</v>
          </cell>
          <cell r="Y1790" t="str">
            <v>NA</v>
          </cell>
          <cell r="Z1790">
            <v>44748</v>
          </cell>
          <cell r="AA1790">
            <v>45112</v>
          </cell>
          <cell r="AB1790" t="str">
            <v>No</v>
          </cell>
          <cell r="AC1790">
            <v>44748</v>
          </cell>
          <cell r="AD1790" t="str">
            <v>Good</v>
          </cell>
          <cell r="AE1790" t="str">
            <v>V3 - Added Installed Facilities (New)</v>
          </cell>
          <cell r="AF1790">
            <v>45008</v>
          </cell>
          <cell r="AG1790" t="str">
            <v>NA</v>
          </cell>
          <cell r="AH1790" t="str">
            <v>PPM</v>
          </cell>
          <cell r="AI1790" t="str">
            <v>Not in contract</v>
          </cell>
          <cell r="AJ1790" t="str">
            <v>Strands V3 P1.23</v>
          </cell>
          <cell r="AK1790" t="str">
            <v>(PIC: INDIRA) [23/8/2023, Sharifah]: V3 P1.23, add KKM No.</v>
          </cell>
        </row>
        <row r="1791">
          <cell r="A1791" t="str">
            <v>IKN402130</v>
          </cell>
          <cell r="B1791">
            <v>1785</v>
          </cell>
          <cell r="C1791" t="str">
            <v>Institut Kanser Negara</v>
          </cell>
          <cell r="D1791" t="str">
            <v>KKM/IKN/H/22/41</v>
          </cell>
          <cell r="E1791" t="str">
            <v>18-618</v>
          </cell>
          <cell r="F1791" t="str">
            <v>ANALYZER,LABORATORY,BLOOD GAS/PH/ELECTROLYTE</v>
          </cell>
          <cell r="G1791" t="str">
            <v>LA</v>
          </cell>
          <cell r="H1791" t="str">
            <v>PATHOLOGY</v>
          </cell>
          <cell r="I1791" t="str">
            <v>04LA138</v>
          </cell>
          <cell r="J1791" t="str">
            <v>PRE-ANALYTICAL 2</v>
          </cell>
          <cell r="K1791" t="str">
            <v>BMED</v>
          </cell>
          <cell r="L1791" t="str">
            <v>Normal</v>
          </cell>
          <cell r="M1791" t="str">
            <v>INSTRUMENTATION LABORATORY,USA</v>
          </cell>
          <cell r="N1791" t="str">
            <v>GEM PREMEIER</v>
          </cell>
          <cell r="O1791">
            <v>3500</v>
          </cell>
          <cell r="P1791" t="str">
            <v>21076174</v>
          </cell>
          <cell r="Q1791" t="str">
            <v>Not Applicable</v>
          </cell>
          <cell r="R1791" t="str">
            <v>INSTRUMENTATION LABORATORY,USA</v>
          </cell>
          <cell r="S1791" t="str">
            <v>Straits Scientific (M) Sdn Bhd</v>
          </cell>
          <cell r="T1791" t="str">
            <v>Functioning</v>
          </cell>
          <cell r="U1791" t="str">
            <v>Asset</v>
          </cell>
          <cell r="V1791">
            <v>79500</v>
          </cell>
          <cell r="W1791" t="str">
            <v>KEW</v>
          </cell>
          <cell r="X1791">
            <v>44742</v>
          </cell>
          <cell r="Y1791" t="str">
            <v>KEW</v>
          </cell>
          <cell r="Z1791">
            <v>44767</v>
          </cell>
          <cell r="AA1791">
            <v>45497</v>
          </cell>
          <cell r="AB1791" t="str">
            <v>No</v>
          </cell>
          <cell r="AC1791">
            <v>44767</v>
          </cell>
          <cell r="AD1791" t="str">
            <v>Good</v>
          </cell>
          <cell r="AE1791" t="str">
            <v>V3 - Added Installed Facilities (New)</v>
          </cell>
          <cell r="AF1791">
            <v>45008</v>
          </cell>
          <cell r="AG1791" t="str">
            <v>NA</v>
          </cell>
          <cell r="AH1791" t="str">
            <v>PPM</v>
          </cell>
          <cell r="AI1791" t="str">
            <v>Not in contract</v>
          </cell>
          <cell r="AJ1791" t="str">
            <v>Strands V3 P1.23</v>
          </cell>
          <cell r="AK1791" t="str">
            <v>(PIC: INDIRA) [23/8/2023, Sharifah]: V3 P1.23, add KKM No.</v>
          </cell>
        </row>
        <row r="1792">
          <cell r="A1792" t="str">
            <v>IKN402131</v>
          </cell>
          <cell r="B1792">
            <v>1786</v>
          </cell>
          <cell r="C1792" t="str">
            <v>Institut Kanser Negara</v>
          </cell>
          <cell r="D1792" t="str">
            <v>KKM/IKN/H/22/89</v>
          </cell>
          <cell r="E1792" t="str">
            <v>13-461</v>
          </cell>
          <cell r="F1792" t="str">
            <v>Scales, Patient, Floor</v>
          </cell>
          <cell r="G1792" t="str">
            <v>ID</v>
          </cell>
          <cell r="H1792" t="str">
            <v>IMAGING DEPARTMENT</v>
          </cell>
          <cell r="I1792" t="str">
            <v>03ID107</v>
          </cell>
          <cell r="J1792" t="str">
            <v>RESUS EQ.BAY</v>
          </cell>
          <cell r="K1792" t="str">
            <v>BMED</v>
          </cell>
          <cell r="L1792" t="str">
            <v>Normal</v>
          </cell>
          <cell r="M1792" t="str">
            <v>CHINA</v>
          </cell>
          <cell r="N1792" t="str">
            <v>SECA</v>
          </cell>
          <cell r="O1792" t="str">
            <v>SECA 777</v>
          </cell>
          <cell r="P1792" t="str">
            <v>10000000939552</v>
          </cell>
          <cell r="Q1792" t="str">
            <v>Not Applicable</v>
          </cell>
          <cell r="R1792" t="str">
            <v>SECA GMBH &amp;CO</v>
          </cell>
          <cell r="S1792" t="str">
            <v>AUREUMAX MEDICARE MARKETING (M) SDN BHD</v>
          </cell>
          <cell r="T1792" t="str">
            <v>Functioning</v>
          </cell>
          <cell r="U1792" t="str">
            <v>ASSET</v>
          </cell>
          <cell r="V1792">
            <v>2900</v>
          </cell>
          <cell r="W1792" t="str">
            <v>KEW</v>
          </cell>
          <cell r="X1792">
            <v>44644</v>
          </cell>
          <cell r="Y1792" t="str">
            <v>KEW</v>
          </cell>
          <cell r="Z1792">
            <v>44778</v>
          </cell>
          <cell r="AA1792">
            <v>45142</v>
          </cell>
          <cell r="AB1792" t="str">
            <v>No</v>
          </cell>
          <cell r="AC1792">
            <v>44778</v>
          </cell>
          <cell r="AD1792" t="str">
            <v>GOOD</v>
          </cell>
          <cell r="AE1792" t="str">
            <v>V3 - Added Installed Facilities (New)</v>
          </cell>
          <cell r="AF1792">
            <v>45008</v>
          </cell>
          <cell r="AG1792" t="str">
            <v>NA</v>
          </cell>
          <cell r="AH1792" t="str">
            <v>PPM</v>
          </cell>
          <cell r="AI1792" t="str">
            <v>Not in contract</v>
          </cell>
          <cell r="AJ1792" t="str">
            <v>Strands V3 P1.23</v>
          </cell>
          <cell r="AK1792" t="str">
            <v>(PIC: ANIS, WEIGHTING SCALE) [23/8/2023, Sharifah]: V3 P1.23, add KKM No.</v>
          </cell>
        </row>
        <row r="1793">
          <cell r="A1793" t="str">
            <v>IKN402132</v>
          </cell>
          <cell r="B1793">
            <v>1787</v>
          </cell>
          <cell r="C1793" t="str">
            <v>Institut Kanser Negara</v>
          </cell>
          <cell r="D1793" t="str">
            <v>KKM/IKN/H/22/58</v>
          </cell>
          <cell r="E1793" t="str">
            <v>12-647</v>
          </cell>
          <cell r="F1793" t="str">
            <v>Physiologic Monitoring Systems, Acute Care</v>
          </cell>
          <cell r="G1793" t="str">
            <v>RT</v>
          </cell>
          <cell r="H1793" t="str">
            <v>RADIATION TREATMENT UNIT</v>
          </cell>
          <cell r="I1793" t="str">
            <v>01RT118</v>
          </cell>
          <cell r="J1793" t="str">
            <v>CT SIMULATOR 2</v>
          </cell>
          <cell r="K1793" t="str">
            <v>BMED</v>
          </cell>
          <cell r="L1793" t="str">
            <v>Normal</v>
          </cell>
          <cell r="M1793" t="str">
            <v>CHINA</v>
          </cell>
          <cell r="N1793" t="str">
            <v>COMEN</v>
          </cell>
          <cell r="O1793" t="str">
            <v>NC3</v>
          </cell>
          <cell r="P1793" t="str">
            <v>N 5211120008</v>
          </cell>
          <cell r="Q1793" t="str">
            <v>Not Applicable</v>
          </cell>
          <cell r="R1793" t="str">
            <v>CHINA</v>
          </cell>
          <cell r="S1793" t="str">
            <v>Biometrix Meditronixs Global</v>
          </cell>
          <cell r="T1793" t="str">
            <v>Functioning</v>
          </cell>
          <cell r="U1793" t="str">
            <v>ASSET</v>
          </cell>
          <cell r="V1793">
            <v>4500</v>
          </cell>
          <cell r="W1793" t="str">
            <v>KEW</v>
          </cell>
          <cell r="X1793">
            <v>44790</v>
          </cell>
          <cell r="Y1793" t="str">
            <v>KEW</v>
          </cell>
          <cell r="Z1793">
            <v>44797</v>
          </cell>
          <cell r="AA1793">
            <v>45162</v>
          </cell>
          <cell r="AB1793" t="str">
            <v>No</v>
          </cell>
          <cell r="AC1793">
            <v>44797</v>
          </cell>
          <cell r="AD1793" t="str">
            <v>GOOD</v>
          </cell>
          <cell r="AE1793" t="str">
            <v>V3 - Added Installed Facilities (New)</v>
          </cell>
          <cell r="AF1793">
            <v>45008</v>
          </cell>
          <cell r="AG1793" t="str">
            <v>NA</v>
          </cell>
          <cell r="AH1793" t="str">
            <v>PPM</v>
          </cell>
          <cell r="AI1793" t="str">
            <v>Not in contract</v>
          </cell>
          <cell r="AJ1793" t="str">
            <v>Strands V3 P1.23</v>
          </cell>
          <cell r="AK1793" t="str">
            <v>(PIC: SOLEHA, PATIENT MONITOR) [23/8/2023, Sharifah]: V3 P1.23, add KKM No.</v>
          </cell>
        </row>
        <row r="1794">
          <cell r="A1794" t="str">
            <v>IKN402133</v>
          </cell>
          <cell r="B1794">
            <v>1788</v>
          </cell>
          <cell r="C1794" t="str">
            <v>Institut Kanser Negara</v>
          </cell>
          <cell r="D1794" t="str">
            <v>KKM/IKN/H/22/69</v>
          </cell>
          <cell r="E1794" t="str">
            <v>18-034</v>
          </cell>
          <cell r="F1794" t="str">
            <v>Video Image Processors, Endoscopic</v>
          </cell>
          <cell r="G1794" t="str">
            <v>OT</v>
          </cell>
          <cell r="H1794" t="str">
            <v>OPERATION THEATRE</v>
          </cell>
          <cell r="I1794" t="str">
            <v>05OT167</v>
          </cell>
          <cell r="J1794" t="str">
            <v>OPERATION THEATRE</v>
          </cell>
          <cell r="K1794" t="str">
            <v>BMED</v>
          </cell>
          <cell r="L1794" t="str">
            <v>NORMAL</v>
          </cell>
          <cell r="M1794" t="str">
            <v>USA</v>
          </cell>
          <cell r="N1794" t="str">
            <v>STRYKER</v>
          </cell>
          <cell r="O1794" t="str">
            <v>SPY PHI</v>
          </cell>
          <cell r="P1794" t="str">
            <v>P121243409/HH21302259</v>
          </cell>
          <cell r="Q1794" t="str">
            <v>Not Applicable</v>
          </cell>
          <cell r="R1794" t="str">
            <v>STRYKER ENDSOCOPY USA</v>
          </cell>
          <cell r="S1794" t="str">
            <v>EASMED SDN BHD</v>
          </cell>
          <cell r="T1794" t="str">
            <v>FUNCTIONING</v>
          </cell>
          <cell r="U1794" t="str">
            <v>ASSET</v>
          </cell>
          <cell r="V1794">
            <v>139000</v>
          </cell>
          <cell r="W1794" t="str">
            <v>KEW</v>
          </cell>
          <cell r="X1794">
            <v>44811</v>
          </cell>
          <cell r="Y1794" t="str">
            <v>KEW</v>
          </cell>
          <cell r="Z1794">
            <v>44827</v>
          </cell>
          <cell r="AA1794">
            <v>45191</v>
          </cell>
          <cell r="AB1794" t="str">
            <v>No</v>
          </cell>
          <cell r="AC1794">
            <v>44827</v>
          </cell>
          <cell r="AD1794" t="str">
            <v>GOOD</v>
          </cell>
          <cell r="AE1794" t="str">
            <v>V3 - Added Installed Facilities (New)</v>
          </cell>
          <cell r="AF1794">
            <v>45008</v>
          </cell>
          <cell r="AG1794" t="str">
            <v>NA</v>
          </cell>
          <cell r="AH1794" t="str">
            <v>PPM</v>
          </cell>
          <cell r="AI1794" t="str">
            <v>Not in contract</v>
          </cell>
          <cell r="AJ1794" t="str">
            <v>Strands V3 P1.23</v>
          </cell>
          <cell r="AK1794" t="str">
            <v>(PIC: IMRAN, HANDHELD) [23/8/2023, Sharifah]: V3 P1.23</v>
          </cell>
        </row>
        <row r="1795">
          <cell r="A1795" t="str">
            <v>IKN402134</v>
          </cell>
          <cell r="B1795">
            <v>1789</v>
          </cell>
          <cell r="C1795" t="str">
            <v>Institut Kanser Negara</v>
          </cell>
          <cell r="D1795" t="str">
            <v>KKM/IKN/H/22/66</v>
          </cell>
          <cell r="E1795" t="str">
            <v>13-274</v>
          </cell>
          <cell r="F1795" t="str">
            <v>Recorders, Tape, Video</v>
          </cell>
          <cell r="G1795" t="str">
            <v>OT</v>
          </cell>
          <cell r="H1795" t="str">
            <v>OPERATION THEATRE</v>
          </cell>
          <cell r="I1795" t="str">
            <v>05OT167</v>
          </cell>
          <cell r="J1795" t="str">
            <v>OPERATION THEATRE</v>
          </cell>
          <cell r="K1795" t="str">
            <v>BMED</v>
          </cell>
          <cell r="L1795" t="str">
            <v>NORMAL</v>
          </cell>
          <cell r="M1795" t="str">
            <v>JAPAN</v>
          </cell>
          <cell r="N1795" t="str">
            <v>SDNV</v>
          </cell>
          <cell r="O1795" t="str">
            <v>HVO-550MD</v>
          </cell>
          <cell r="P1795" t="str">
            <v>120359</v>
          </cell>
          <cell r="Q1795" t="str">
            <v>Not Applicable</v>
          </cell>
          <cell r="R1795" t="str">
            <v>SONY VIDDEO RECORDER</v>
          </cell>
          <cell r="S1795" t="str">
            <v>EASMED SDN BHD</v>
          </cell>
          <cell r="T1795" t="str">
            <v>FUNCTIONING</v>
          </cell>
          <cell r="U1795" t="str">
            <v>ASSET</v>
          </cell>
          <cell r="V1795">
            <v>16000</v>
          </cell>
          <cell r="W1795" t="str">
            <v>KEW</v>
          </cell>
          <cell r="X1795">
            <v>44811</v>
          </cell>
          <cell r="Y1795" t="str">
            <v>KEW</v>
          </cell>
          <cell r="Z1795">
            <v>44827</v>
          </cell>
          <cell r="AA1795">
            <v>45191</v>
          </cell>
          <cell r="AB1795" t="str">
            <v>No</v>
          </cell>
          <cell r="AC1795">
            <v>44827</v>
          </cell>
          <cell r="AD1795" t="str">
            <v>GOOD</v>
          </cell>
          <cell r="AE1795" t="str">
            <v>V3 - Added Installed Facilities (New)</v>
          </cell>
          <cell r="AF1795">
            <v>45008</v>
          </cell>
          <cell r="AG1795" t="str">
            <v>NA</v>
          </cell>
          <cell r="AH1795" t="str">
            <v>PPM</v>
          </cell>
          <cell r="AI1795" t="str">
            <v>Not in contract</v>
          </cell>
          <cell r="AJ1795" t="str">
            <v>Strands V3 P1.23</v>
          </cell>
          <cell r="AK1795" t="str">
            <v>(PIC: IMRAN, HANDHELD) [23/8/2023, Sharifah]: V3 P1.23</v>
          </cell>
        </row>
        <row r="1796">
          <cell r="A1796" t="str">
            <v>IKN402135</v>
          </cell>
          <cell r="B1796">
            <v>1790</v>
          </cell>
          <cell r="C1796" t="str">
            <v>Institut Kanser Negara</v>
          </cell>
          <cell r="D1796" t="str">
            <v>KKM/IKN/H/22/67</v>
          </cell>
          <cell r="E1796" t="str">
            <v>16-603</v>
          </cell>
          <cell r="F1796" t="str">
            <v>Television, Monitors</v>
          </cell>
          <cell r="G1796" t="str">
            <v>OT</v>
          </cell>
          <cell r="H1796" t="str">
            <v>OPERATION THEATRE</v>
          </cell>
          <cell r="I1796" t="str">
            <v>05OT167</v>
          </cell>
          <cell r="J1796" t="str">
            <v>OPERATION THEATRE</v>
          </cell>
          <cell r="K1796" t="str">
            <v>BMED</v>
          </cell>
          <cell r="L1796" t="str">
            <v>NORMAL</v>
          </cell>
          <cell r="M1796" t="str">
            <v>KOREA</v>
          </cell>
          <cell r="N1796" t="str">
            <v>STRYKER</v>
          </cell>
          <cell r="O1796" t="str">
            <v>32 IN 4K MONITOR</v>
          </cell>
          <cell r="P1796" t="str">
            <v>SV7321G0237</v>
          </cell>
          <cell r="Q1796" t="str">
            <v>Not Applicable</v>
          </cell>
          <cell r="R1796" t="str">
            <v>STRYKER ENDSOCOPY USA</v>
          </cell>
          <cell r="S1796" t="str">
            <v>EASMED SDN BHD</v>
          </cell>
          <cell r="T1796" t="str">
            <v>FUNCTIONING</v>
          </cell>
          <cell r="U1796" t="str">
            <v>ASSET</v>
          </cell>
          <cell r="V1796">
            <v>46500</v>
          </cell>
          <cell r="W1796" t="str">
            <v>KEW</v>
          </cell>
          <cell r="X1796">
            <v>44811</v>
          </cell>
          <cell r="Y1796" t="str">
            <v>KEW</v>
          </cell>
          <cell r="Z1796">
            <v>44827</v>
          </cell>
          <cell r="AA1796">
            <v>45191</v>
          </cell>
          <cell r="AB1796" t="str">
            <v>No</v>
          </cell>
          <cell r="AC1796">
            <v>44827</v>
          </cell>
          <cell r="AD1796" t="str">
            <v>GOOD</v>
          </cell>
          <cell r="AE1796" t="str">
            <v>V3 - Added Installed Facilities (New)</v>
          </cell>
          <cell r="AF1796">
            <v>45008</v>
          </cell>
          <cell r="AG1796" t="str">
            <v>NA</v>
          </cell>
          <cell r="AH1796" t="str">
            <v>PPM</v>
          </cell>
          <cell r="AI1796" t="str">
            <v>Not in contract</v>
          </cell>
          <cell r="AJ1796" t="str">
            <v>Strands V3 P1.23</v>
          </cell>
          <cell r="AK1796" t="str">
            <v>(PIC: IMRAN, HANDHELD) [23/8/2023, Sharifah]: V3 P1.23</v>
          </cell>
        </row>
        <row r="1797">
          <cell r="A1797" t="str">
            <v>IKN402136</v>
          </cell>
          <cell r="B1797">
            <v>1791</v>
          </cell>
          <cell r="C1797" t="str">
            <v>Institut Kanser Negara</v>
          </cell>
          <cell r="D1797" t="str">
            <v>KKM/IKN/H/22/90</v>
          </cell>
          <cell r="E1797" t="str">
            <v>13-215</v>
          </cell>
          <cell r="F1797" t="str">
            <v>Infusion Pumps, General-Purpose</v>
          </cell>
          <cell r="G1797" t="str">
            <v>WA</v>
          </cell>
          <cell r="H1797" t="str">
            <v>NUCLEAR MED WARD (THERAPY)</v>
          </cell>
          <cell r="I1797" t="str">
            <v>03WA107</v>
          </cell>
          <cell r="J1797" t="str">
            <v>NUCLEAR MED WARD (THERAPY)</v>
          </cell>
          <cell r="K1797" t="str">
            <v>BMED</v>
          </cell>
          <cell r="L1797" t="str">
            <v>NORMAL</v>
          </cell>
          <cell r="M1797" t="str">
            <v>GERMANY</v>
          </cell>
          <cell r="N1797" t="str">
            <v>INFUSOMAT</v>
          </cell>
          <cell r="O1797" t="str">
            <v>INFUSOMAT SPACE</v>
          </cell>
          <cell r="P1797" t="str">
            <v>863127</v>
          </cell>
          <cell r="Q1797" t="str">
            <v>Not Applicable</v>
          </cell>
          <cell r="R1797" t="str">
            <v>BBRAUN MELSUNGEN AG</v>
          </cell>
          <cell r="S1797" t="str">
            <v>Bbraun Medical Supplies Sdn Bhd</v>
          </cell>
          <cell r="T1797" t="str">
            <v>FUNCTIONING</v>
          </cell>
          <cell r="U1797" t="str">
            <v>Asset</v>
          </cell>
          <cell r="V1797">
            <v>6000</v>
          </cell>
          <cell r="W1797" t="str">
            <v>KEW</v>
          </cell>
          <cell r="X1797">
            <v>44818</v>
          </cell>
          <cell r="Y1797" t="str">
            <v>KEW</v>
          </cell>
          <cell r="Z1797">
            <v>44832</v>
          </cell>
          <cell r="AA1797">
            <v>45563</v>
          </cell>
          <cell r="AB1797" t="str">
            <v>YES</v>
          </cell>
          <cell r="AC1797">
            <v>44832</v>
          </cell>
          <cell r="AD1797" t="str">
            <v>Good</v>
          </cell>
          <cell r="AE1797" t="str">
            <v>V3 - Added Installed Facilities (New)</v>
          </cell>
          <cell r="AF1797">
            <v>45008</v>
          </cell>
          <cell r="AG1797" t="str">
            <v>NA</v>
          </cell>
          <cell r="AH1797" t="str">
            <v>PPM</v>
          </cell>
          <cell r="AI1797" t="str">
            <v>Not in contract</v>
          </cell>
          <cell r="AJ1797" t="str">
            <v>Strands V3 P1.23</v>
          </cell>
          <cell r="AK1797" t="str">
            <v>(PIC: IMRAN, INFUSION PUMP) [23/8/2023, Sharifah]: V3 P1.23, add KKM No.</v>
          </cell>
        </row>
        <row r="1798">
          <cell r="A1798" t="str">
            <v>IKN402137</v>
          </cell>
          <cell r="B1798">
            <v>1792</v>
          </cell>
          <cell r="C1798" t="str">
            <v>Institut Kanser Negara</v>
          </cell>
          <cell r="D1798" t="str">
            <v>KKM/IKN/H/22/63</v>
          </cell>
          <cell r="E1798" t="str">
            <v>15-748</v>
          </cell>
          <cell r="F1798" t="str">
            <v>Cameras, Endoscopic</v>
          </cell>
          <cell r="G1798" t="str">
            <v>OT</v>
          </cell>
          <cell r="H1798" t="str">
            <v>OPERATING THEATRE</v>
          </cell>
          <cell r="I1798" t="str">
            <v>OT</v>
          </cell>
          <cell r="J1798" t="str">
            <v>OPERATION THEATRE</v>
          </cell>
          <cell r="K1798" t="str">
            <v>BMED</v>
          </cell>
          <cell r="L1798" t="str">
            <v>Normal</v>
          </cell>
          <cell r="M1798" t="str">
            <v>Germany</v>
          </cell>
          <cell r="N1798" t="str">
            <v>KARL STORZ</v>
          </cell>
          <cell r="O1798" t="str">
            <v>TH100</v>
          </cell>
          <cell r="P1798" t="str">
            <v>0N051370-K</v>
          </cell>
          <cell r="Q1798" t="str">
            <v>Not Applicable</v>
          </cell>
          <cell r="R1798" t="str">
            <v>BBRAUN MELSUNGEN AG</v>
          </cell>
          <cell r="S1798" t="str">
            <v>UMMI Surgical Sdn Bhd</v>
          </cell>
          <cell r="T1798" t="str">
            <v>FUNCTIONING</v>
          </cell>
          <cell r="U1798" t="str">
            <v>Asset</v>
          </cell>
          <cell r="V1798">
            <v>106500</v>
          </cell>
          <cell r="W1798" t="str">
            <v>KEW</v>
          </cell>
          <cell r="X1798">
            <v>44833</v>
          </cell>
          <cell r="Y1798" t="str">
            <v>KEW</v>
          </cell>
          <cell r="Z1798">
            <v>44833</v>
          </cell>
          <cell r="AA1798">
            <v>45197</v>
          </cell>
          <cell r="AB1798" t="str">
            <v>NO</v>
          </cell>
          <cell r="AC1798">
            <v>44833</v>
          </cell>
          <cell r="AD1798" t="str">
            <v>GOOD</v>
          </cell>
          <cell r="AE1798" t="str">
            <v>V3 - Added Installed Facilities (New)</v>
          </cell>
          <cell r="AF1798">
            <v>45008</v>
          </cell>
          <cell r="AG1798" t="str">
            <v>NA</v>
          </cell>
          <cell r="AH1798" t="str">
            <v>PPM</v>
          </cell>
          <cell r="AI1798" t="str">
            <v>Not in contract</v>
          </cell>
          <cell r="AJ1798" t="str">
            <v>Strands V3 P1.23</v>
          </cell>
          <cell r="AK1798" t="str">
            <v>(PIC: IMRAN) [23/8/2023, Sharifah]: V3 P1.23, add KKM No.</v>
          </cell>
        </row>
        <row r="1799">
          <cell r="A1799" t="str">
            <v>IKN402138</v>
          </cell>
          <cell r="B1799">
            <v>1793</v>
          </cell>
          <cell r="C1799" t="str">
            <v>Institut Kanser Negara</v>
          </cell>
          <cell r="D1799" t="str">
            <v>KKM/IKN/H/22/43</v>
          </cell>
          <cell r="E1799" t="str">
            <v>16-930</v>
          </cell>
          <cell r="F1799" t="str">
            <v>Calibrators, Mass Spectrometer</v>
          </cell>
          <cell r="G1799" t="str">
            <v>NM</v>
          </cell>
          <cell r="H1799" t="str">
            <v>NUCLEAR MED</v>
          </cell>
          <cell r="I1799" t="str">
            <v>03NM139</v>
          </cell>
          <cell r="J1799" t="str">
            <v>NUCLEAR MED</v>
          </cell>
          <cell r="K1799" t="str">
            <v>BMED</v>
          </cell>
          <cell r="L1799" t="str">
            <v>Normal</v>
          </cell>
          <cell r="M1799" t="str">
            <v>USA</v>
          </cell>
          <cell r="N1799" t="str">
            <v>LAB LOGIC</v>
          </cell>
          <cell r="O1799" t="str">
            <v>SCAN-RAM</v>
          </cell>
          <cell r="P1799" t="str">
            <v>SR1A/1121/828</v>
          </cell>
          <cell r="Q1799" t="str">
            <v>Not Applicable</v>
          </cell>
          <cell r="R1799" t="str">
            <v>LAB LOGIC</v>
          </cell>
          <cell r="S1799" t="str">
            <v>SPD SCIENTIFIC M SDN BHD</v>
          </cell>
          <cell r="T1799" t="str">
            <v>FUNCTIONING</v>
          </cell>
          <cell r="U1799" t="str">
            <v>Asset</v>
          </cell>
          <cell r="V1799">
            <v>79310.75</v>
          </cell>
          <cell r="W1799" t="str">
            <v>KEW</v>
          </cell>
          <cell r="X1799" t="str">
            <v>NA</v>
          </cell>
          <cell r="Y1799" t="str">
            <v>KEW</v>
          </cell>
          <cell r="Z1799">
            <v>44774</v>
          </cell>
          <cell r="AA1799">
            <v>45138</v>
          </cell>
          <cell r="AB1799" t="str">
            <v>No</v>
          </cell>
          <cell r="AC1799">
            <v>44776</v>
          </cell>
          <cell r="AD1799" t="str">
            <v>GOOD</v>
          </cell>
          <cell r="AE1799" t="str">
            <v>V3 - Added Installed Facilities (New)</v>
          </cell>
          <cell r="AF1799">
            <v>45008</v>
          </cell>
          <cell r="AG1799" t="str">
            <v>NA</v>
          </cell>
          <cell r="AH1799" t="str">
            <v>PPM</v>
          </cell>
          <cell r="AI1799" t="str">
            <v>Not in contract</v>
          </cell>
          <cell r="AJ1799" t="str">
            <v>Strands V3 P1.23</v>
          </cell>
          <cell r="AK1799" t="str">
            <v>Unit donated by IAEA. (PIC: LABLOGIC SCAN-RAM RADIO -TLC SCAM) [23/8/2023, Sharifah]: V3 P1.23, add KKM No.</v>
          </cell>
        </row>
        <row r="1800">
          <cell r="A1800" t="str">
            <v>IKN402140</v>
          </cell>
          <cell r="B1800">
            <v>1795</v>
          </cell>
          <cell r="C1800" t="str">
            <v>Institut Kanser Negara</v>
          </cell>
          <cell r="D1800" t="str">
            <v>KKM/IKN/H/22/57</v>
          </cell>
          <cell r="E1800" t="str">
            <v>12-647</v>
          </cell>
          <cell r="F1800" t="str">
            <v>Physiologic Monitoring Systems, Acute Care</v>
          </cell>
          <cell r="G1800" t="str">
            <v>RT</v>
          </cell>
          <cell r="H1800" t="str">
            <v>RADIATION TREATMENT UNIT</v>
          </cell>
          <cell r="I1800" t="str">
            <v>01RT176</v>
          </cell>
          <cell r="K1800" t="str">
            <v>BMED</v>
          </cell>
          <cell r="L1800" t="str">
            <v>NORMAL</v>
          </cell>
          <cell r="M1800" t="str">
            <v>GERMANY</v>
          </cell>
          <cell r="N1800" t="str">
            <v>COMEN</v>
          </cell>
          <cell r="O1800" t="str">
            <v>NC3</v>
          </cell>
          <cell r="P1800" t="str">
            <v>N 5211118002</v>
          </cell>
          <cell r="Q1800" t="str">
            <v>Not Available</v>
          </cell>
          <cell r="R1800" t="str">
            <v>Comen</v>
          </cell>
          <cell r="S1800" t="str">
            <v>Biometrix Meditronixs Global</v>
          </cell>
          <cell r="T1800" t="str">
            <v>Functioning</v>
          </cell>
          <cell r="U1800" t="str">
            <v>Asset</v>
          </cell>
          <cell r="V1800">
            <v>4500</v>
          </cell>
          <cell r="W1800" t="str">
            <v>KEW</v>
          </cell>
          <cell r="X1800">
            <v>44831</v>
          </cell>
          <cell r="Y1800" t="str">
            <v>KEW</v>
          </cell>
          <cell r="Z1800">
            <v>44839</v>
          </cell>
          <cell r="AA1800">
            <v>45203</v>
          </cell>
          <cell r="AB1800" t="str">
            <v>NO</v>
          </cell>
          <cell r="AC1800">
            <v>44839</v>
          </cell>
          <cell r="AD1800" t="str">
            <v>Good</v>
          </cell>
          <cell r="AE1800" t="str">
            <v>V3 - Added Installed Facilities (New)</v>
          </cell>
          <cell r="AF1800">
            <v>45008</v>
          </cell>
          <cell r="AG1800" t="str">
            <v>NA</v>
          </cell>
          <cell r="AH1800" t="str">
            <v>PPM</v>
          </cell>
          <cell r="AI1800" t="str">
            <v>Not in contract</v>
          </cell>
          <cell r="AJ1800" t="str">
            <v>Strands V3 P1.23</v>
          </cell>
          <cell r="AK1800" t="str">
            <v>(PIC: SOLEHA, VITAL SIGN) [23/8/2023, Sharifah]: V3 P1.23, add KKM No.</v>
          </cell>
        </row>
        <row r="1801">
          <cell r="A1801" t="str">
            <v>IKN402141</v>
          </cell>
          <cell r="B1801">
            <v>1796</v>
          </cell>
          <cell r="C1801" t="str">
            <v>Institut Kanser Negara</v>
          </cell>
          <cell r="D1801" t="str">
            <v>KKM/IKN/H/22/91</v>
          </cell>
          <cell r="E1801" t="str">
            <v>13-275</v>
          </cell>
          <cell r="F1801" t="str">
            <v>Calibrators, Radioisotope</v>
          </cell>
          <cell r="G1801" t="str">
            <v>NM</v>
          </cell>
          <cell r="H1801" t="str">
            <v>NUCLEAR MED</v>
          </cell>
          <cell r="I1801" t="str">
            <v>NM153</v>
          </cell>
          <cell r="J1801" t="str">
            <v>NUCLEAR MED</v>
          </cell>
          <cell r="K1801" t="str">
            <v>BMED</v>
          </cell>
          <cell r="L1801" t="str">
            <v>NORMAL</v>
          </cell>
          <cell r="M1801" t="str">
            <v>USA</v>
          </cell>
          <cell r="N1801" t="str">
            <v>CAPINTEX</v>
          </cell>
          <cell r="O1801" t="str">
            <v>CRC55TR</v>
          </cell>
          <cell r="P1801" t="str">
            <v>555358H</v>
          </cell>
          <cell r="Q1801" t="str">
            <v>Not Available</v>
          </cell>
          <cell r="R1801" t="str">
            <v>USA,CAPINTEX</v>
          </cell>
          <cell r="S1801" t="str">
            <v>H&amp;A MEDICAL SUPPLY SDN BHD</v>
          </cell>
          <cell r="T1801" t="str">
            <v>Functioning</v>
          </cell>
          <cell r="U1801" t="str">
            <v>Asset</v>
          </cell>
          <cell r="V1801">
            <v>58988</v>
          </cell>
          <cell r="W1801" t="str">
            <v>KEW</v>
          </cell>
          <cell r="X1801">
            <v>44847</v>
          </cell>
          <cell r="Y1801" t="str">
            <v>KEW</v>
          </cell>
          <cell r="Z1801">
            <v>44847</v>
          </cell>
          <cell r="AA1801">
            <v>45577</v>
          </cell>
          <cell r="AB1801" t="str">
            <v>YES</v>
          </cell>
          <cell r="AC1801">
            <v>44847</v>
          </cell>
          <cell r="AD1801" t="str">
            <v>GOOD</v>
          </cell>
          <cell r="AE1801" t="str">
            <v>V3 - Added Installed Facilities (New)</v>
          </cell>
          <cell r="AF1801">
            <v>45008</v>
          </cell>
          <cell r="AG1801" t="str">
            <v>NA</v>
          </cell>
          <cell r="AH1801" t="str">
            <v>PPM</v>
          </cell>
          <cell r="AI1801" t="str">
            <v>Not in contract</v>
          </cell>
          <cell r="AJ1801" t="str">
            <v>Strands V3 P1.23</v>
          </cell>
          <cell r="AK1801" t="str">
            <v>(DOSE CALIBRATOR) [23/8/2023, Sharifah]: V3 P1.23, add KKM No. [20/8/2024, Anis]: Calibration 2023 not done, 2024 done. Pending one more calibration 2025.</v>
          </cell>
        </row>
        <row r="1802">
          <cell r="A1802" t="str">
            <v>IKN402142</v>
          </cell>
          <cell r="B1802">
            <v>1797</v>
          </cell>
          <cell r="C1802" t="str">
            <v>Institut Kanser Negara</v>
          </cell>
          <cell r="D1802" t="str">
            <v>KKM/IKN/H/22/83</v>
          </cell>
          <cell r="E1802" t="str">
            <v>13-275</v>
          </cell>
          <cell r="F1802" t="str">
            <v>Calibrators, Radioisotope</v>
          </cell>
          <cell r="G1802" t="str">
            <v>PET-CT</v>
          </cell>
          <cell r="H1802" t="str">
            <v>NUCLEAR MED</v>
          </cell>
          <cell r="I1802" t="str">
            <v>PET-CT</v>
          </cell>
          <cell r="J1802" t="str">
            <v>PET CT, HPJ</v>
          </cell>
          <cell r="K1802" t="str">
            <v>BMED</v>
          </cell>
          <cell r="L1802" t="str">
            <v>NORMAL</v>
          </cell>
          <cell r="M1802" t="str">
            <v>USA</v>
          </cell>
          <cell r="N1802" t="str">
            <v>CAPINTEX</v>
          </cell>
          <cell r="O1802" t="str">
            <v>5130-3235</v>
          </cell>
          <cell r="P1802" t="str">
            <v>571073H</v>
          </cell>
          <cell r="Q1802" t="str">
            <v>Not Available</v>
          </cell>
          <cell r="R1802" t="str">
            <v>USA,CAPINTEX</v>
          </cell>
          <cell r="S1802" t="str">
            <v>H&amp;A MEDICAL SUPPLY SDN BHD</v>
          </cell>
          <cell r="T1802" t="str">
            <v>Functioning</v>
          </cell>
          <cell r="U1802" t="str">
            <v>Asset</v>
          </cell>
          <cell r="V1802">
            <v>90188</v>
          </cell>
          <cell r="W1802" t="str">
            <v>KEW</v>
          </cell>
          <cell r="X1802">
            <v>44859</v>
          </cell>
          <cell r="Y1802" t="str">
            <v>KEW</v>
          </cell>
          <cell r="Z1802">
            <v>44859</v>
          </cell>
          <cell r="AA1802">
            <v>45589</v>
          </cell>
          <cell r="AB1802" t="str">
            <v>YES</v>
          </cell>
          <cell r="AC1802">
            <v>44859</v>
          </cell>
          <cell r="AD1802" t="str">
            <v>GOOD</v>
          </cell>
          <cell r="AE1802" t="str">
            <v>V3 - Added Installed Facilities (New)</v>
          </cell>
          <cell r="AF1802">
            <v>45008</v>
          </cell>
          <cell r="AG1802" t="str">
            <v>NA</v>
          </cell>
          <cell r="AH1802" t="str">
            <v>PPM</v>
          </cell>
          <cell r="AI1802" t="str">
            <v>Not in contract</v>
          </cell>
          <cell r="AJ1802" t="str">
            <v>Strands V3 P1.23</v>
          </cell>
          <cell r="AK1802" t="str">
            <v>(DOSE CALIBRATOR) [23/8/2023, Sharifah]: V3 P1.23, add KKM No. [20/8/2024, Anis]: Calibration 2023 not done, 2024 done. Pending one more calibration 2025.</v>
          </cell>
        </row>
        <row r="1803">
          <cell r="A1803" t="str">
            <v>IKN402142</v>
          </cell>
          <cell r="B1803" t="str">
            <v>NA</v>
          </cell>
          <cell r="C1803" t="str">
            <v>Calibrators, Radioisotope</v>
          </cell>
          <cell r="D1803" t="str">
            <v>PET-CT</v>
          </cell>
          <cell r="E1803" t="str">
            <v>5130-3235</v>
          </cell>
          <cell r="F1803" t="str">
            <v>571073H</v>
          </cell>
          <cell r="G1803" t="str">
            <v>Functioning</v>
          </cell>
          <cell r="P1803" t="str">
            <v>571073H</v>
          </cell>
          <cell r="Q1803" t="str">
            <v>Functioning</v>
          </cell>
          <cell r="T1803" t="str">
            <v>Functioning</v>
          </cell>
          <cell r="V1803">
            <v>90188</v>
          </cell>
          <cell r="Y1803" t="str">
            <v>KEW</v>
          </cell>
          <cell r="AH1803" t="str">
            <v>PPM</v>
          </cell>
          <cell r="AI1803" t="str">
            <v>PROPOSE P2.23</v>
          </cell>
        </row>
        <row r="1804">
          <cell r="A1804" t="str">
            <v>IKN402143</v>
          </cell>
          <cell r="B1804">
            <v>1798</v>
          </cell>
          <cell r="C1804" t="str">
            <v>Institut Kanser Negara</v>
          </cell>
          <cell r="D1804" t="str">
            <v>KKM/IKN/H/22/96</v>
          </cell>
          <cell r="E1804" t="str">
            <v>16-439</v>
          </cell>
          <cell r="F1804" t="str">
            <v>Microscopes, Light, Laboratory, Fluorescence</v>
          </cell>
          <cell r="G1804" t="str">
            <v>LA</v>
          </cell>
          <cell r="H1804" t="str">
            <v>PATHOLOGY</v>
          </cell>
          <cell r="I1804" t="str">
            <v>04LA127</v>
          </cell>
          <cell r="J1804" t="str">
            <v>PATHOLOGY</v>
          </cell>
          <cell r="K1804" t="str">
            <v>BMED</v>
          </cell>
          <cell r="L1804" t="str">
            <v>NORMAL</v>
          </cell>
          <cell r="M1804" t="str">
            <v>JAPAN</v>
          </cell>
          <cell r="N1804" t="str">
            <v>OLYMPUS</v>
          </cell>
          <cell r="O1804" t="str">
            <v>CX43RF</v>
          </cell>
          <cell r="P1804" t="str">
            <v>2F45731</v>
          </cell>
          <cell r="Q1804" t="str">
            <v>Not Available</v>
          </cell>
          <cell r="R1804" t="str">
            <v>EVIDENT CORPORATION NAGARA</v>
          </cell>
          <cell r="S1804" t="str">
            <v>Matrix Optics (M) Sdn Bhd</v>
          </cell>
          <cell r="T1804" t="str">
            <v>Functioning</v>
          </cell>
          <cell r="U1804" t="str">
            <v>ASSET</v>
          </cell>
          <cell r="V1804">
            <v>19500</v>
          </cell>
          <cell r="W1804" t="str">
            <v>KEW</v>
          </cell>
          <cell r="X1804">
            <v>44831</v>
          </cell>
          <cell r="Y1804" t="str">
            <v>KEW</v>
          </cell>
          <cell r="Z1804">
            <v>44865</v>
          </cell>
          <cell r="AA1804">
            <v>45230</v>
          </cell>
          <cell r="AB1804" t="str">
            <v>NO</v>
          </cell>
          <cell r="AC1804">
            <v>44860</v>
          </cell>
          <cell r="AD1804" t="str">
            <v>GOOD</v>
          </cell>
          <cell r="AE1804" t="str">
            <v>V3 - Added Installed Facilities (New)</v>
          </cell>
          <cell r="AF1804">
            <v>45008</v>
          </cell>
          <cell r="AG1804" t="str">
            <v>NA</v>
          </cell>
          <cell r="AH1804" t="str">
            <v>PPM</v>
          </cell>
          <cell r="AI1804" t="str">
            <v>Not in contract</v>
          </cell>
          <cell r="AJ1804" t="str">
            <v>Strands V3 P1.23</v>
          </cell>
          <cell r="AK1804" t="str">
            <v>(MICROSCOPE) [23/8/2023, Sharifah]: V3 P1.23, add KKM No.</v>
          </cell>
        </row>
        <row r="1805">
          <cell r="A1805" t="str">
            <v>IKN402144</v>
          </cell>
          <cell r="B1805">
            <v>1799</v>
          </cell>
          <cell r="C1805" t="str">
            <v>Institut Kanser Negara</v>
          </cell>
          <cell r="D1805" t="str">
            <v>KKM/IKN/H/22/95</v>
          </cell>
          <cell r="E1805" t="str">
            <v>15-156</v>
          </cell>
          <cell r="F1805" t="str">
            <v>Microscopes, Light, Laboratory</v>
          </cell>
          <cell r="G1805" t="str">
            <v>LA</v>
          </cell>
          <cell r="H1805" t="str">
            <v>PATHOLOGY</v>
          </cell>
          <cell r="I1805" t="str">
            <v>04LA127</v>
          </cell>
          <cell r="J1805" t="str">
            <v>PATHOLOGY</v>
          </cell>
          <cell r="K1805" t="str">
            <v>BMED</v>
          </cell>
          <cell r="L1805" t="str">
            <v>NORMAL</v>
          </cell>
          <cell r="M1805" t="str">
            <v>JAPAN</v>
          </cell>
          <cell r="N1805" t="str">
            <v>OLYMPUS</v>
          </cell>
          <cell r="O1805" t="str">
            <v>CX33RTFS2</v>
          </cell>
          <cell r="P1805" t="str">
            <v>2E51049</v>
          </cell>
          <cell r="Q1805" t="str">
            <v>Not Available</v>
          </cell>
          <cell r="R1805" t="str">
            <v>EVIDENT CORPORATION NAGARA</v>
          </cell>
          <cell r="S1805" t="str">
            <v>Matrix Optics (M) Sdn Bhd</v>
          </cell>
          <cell r="T1805" t="str">
            <v>Functioning</v>
          </cell>
          <cell r="U1805" t="str">
            <v>ASSET</v>
          </cell>
          <cell r="V1805">
            <v>8000</v>
          </cell>
          <cell r="W1805" t="str">
            <v>KEW</v>
          </cell>
          <cell r="X1805">
            <v>44831</v>
          </cell>
          <cell r="Y1805" t="str">
            <v>KEW</v>
          </cell>
          <cell r="Z1805">
            <v>44865</v>
          </cell>
          <cell r="AA1805">
            <v>45230</v>
          </cell>
          <cell r="AB1805" t="str">
            <v>NO</v>
          </cell>
          <cell r="AC1805">
            <v>44860</v>
          </cell>
          <cell r="AD1805" t="str">
            <v>GOOD</v>
          </cell>
          <cell r="AE1805" t="str">
            <v>V3 - Added Installed Facilities (New)</v>
          </cell>
          <cell r="AF1805">
            <v>45008</v>
          </cell>
          <cell r="AG1805" t="str">
            <v>NA</v>
          </cell>
          <cell r="AH1805" t="str">
            <v>PPM</v>
          </cell>
          <cell r="AI1805" t="str">
            <v>Not in contract</v>
          </cell>
          <cell r="AJ1805" t="str">
            <v>Strands V3 P1.23</v>
          </cell>
          <cell r="AK1805" t="str">
            <v>(MICROSCOPE) [23/8/2023, Sharifah]: V3 P1.23, add KKM No.</v>
          </cell>
        </row>
        <row r="1806">
          <cell r="A1806" t="str">
            <v>IKN402145</v>
          </cell>
          <cell r="B1806">
            <v>1800</v>
          </cell>
          <cell r="C1806" t="str">
            <v>Institut Kanser Negara</v>
          </cell>
          <cell r="D1806" t="str">
            <v>KKM/IKN/H/22/92</v>
          </cell>
          <cell r="E1806" t="str">
            <v>15-976</v>
          </cell>
          <cell r="F1806" t="str">
            <v>Scanning Systems, Ultrasonic, General-Purpose</v>
          </cell>
          <cell r="G1806" t="str">
            <v>WC</v>
          </cell>
          <cell r="H1806" t="str">
            <v>SURGICAL ONCO FEMALE WARD</v>
          </cell>
          <cell r="I1806" t="str">
            <v>06WC143</v>
          </cell>
          <cell r="J1806" t="str">
            <v>NURSE STATION</v>
          </cell>
          <cell r="K1806" t="str">
            <v>BMED</v>
          </cell>
          <cell r="L1806" t="str">
            <v>NORMAL</v>
          </cell>
          <cell r="M1806" t="str">
            <v>NA</v>
          </cell>
          <cell r="N1806" t="str">
            <v>MINDRAY</v>
          </cell>
          <cell r="O1806" t="str">
            <v>DC-4DHD</v>
          </cell>
          <cell r="P1806" t="str">
            <v>CT7-26005747</v>
          </cell>
          <cell r="Q1806" t="str">
            <v>Not Available</v>
          </cell>
          <cell r="R1806" t="str">
            <v>SHENZEN MINDRAY BIO-MEDICAL</v>
          </cell>
          <cell r="S1806" t="str">
            <v>Mediliance (M) Sdn. Bhd.</v>
          </cell>
          <cell r="T1806" t="str">
            <v>Functioning</v>
          </cell>
          <cell r="U1806" t="str">
            <v>Asset</v>
          </cell>
          <cell r="V1806">
            <v>68500</v>
          </cell>
          <cell r="W1806" t="str">
            <v>KEW</v>
          </cell>
          <cell r="X1806">
            <v>44869</v>
          </cell>
          <cell r="Y1806" t="str">
            <v>KEW</v>
          </cell>
          <cell r="Z1806">
            <v>44880</v>
          </cell>
          <cell r="AA1806">
            <v>45975</v>
          </cell>
          <cell r="AB1806" t="str">
            <v>YES</v>
          </cell>
          <cell r="AC1806">
            <v>44880</v>
          </cell>
          <cell r="AD1806" t="str">
            <v>Good</v>
          </cell>
          <cell r="AE1806" t="str">
            <v>V3 - Added Installed Facilities (New)</v>
          </cell>
          <cell r="AF1806">
            <v>45008</v>
          </cell>
          <cell r="AG1806" t="str">
            <v>NA</v>
          </cell>
          <cell r="AH1806" t="str">
            <v>PPM</v>
          </cell>
          <cell r="AI1806" t="str">
            <v>Not in contract</v>
          </cell>
          <cell r="AJ1806" t="str">
            <v>Strands V3 P1.23</v>
          </cell>
          <cell r="AK1806" t="str">
            <v>[23/8/2023, Sharifah]: V3 P1.23, add KKM No.</v>
          </cell>
        </row>
        <row r="1807">
          <cell r="A1807" t="str">
            <v>IKN402146</v>
          </cell>
          <cell r="B1807">
            <v>1801</v>
          </cell>
          <cell r="C1807" t="str">
            <v>Institut Kanser Negara</v>
          </cell>
          <cell r="D1807" t="str">
            <v>KKM/IKN/H/22/97</v>
          </cell>
          <cell r="E1807" t="str">
            <v>12-647</v>
          </cell>
          <cell r="F1807" t="str">
            <v>Physiologic Monitoring Systems, Acute Care</v>
          </cell>
          <cell r="G1807" t="str">
            <v>ID</v>
          </cell>
          <cell r="H1807" t="str">
            <v>IMAGING DEPARTMENT</v>
          </cell>
          <cell r="I1807" t="str">
            <v>03ID111</v>
          </cell>
          <cell r="J1807" t="str">
            <v>M.R.I (VE)</v>
          </cell>
          <cell r="K1807" t="str">
            <v>BMED</v>
          </cell>
          <cell r="L1807" t="str">
            <v>Normal</v>
          </cell>
          <cell r="M1807" t="str">
            <v>MIPM</v>
          </cell>
          <cell r="N1807" t="str">
            <v>NA</v>
          </cell>
          <cell r="O1807" t="str">
            <v>TESLA M3</v>
          </cell>
          <cell r="P1807" t="str">
            <v>TM3M1490</v>
          </cell>
          <cell r="Q1807" t="str">
            <v>Not Available</v>
          </cell>
          <cell r="R1807" t="str">
            <v>MIPM</v>
          </cell>
          <cell r="S1807" t="str">
            <v>AVANT-MED SDN BHD</v>
          </cell>
          <cell r="T1807" t="str">
            <v>Functioning</v>
          </cell>
          <cell r="U1807" t="str">
            <v>ASSET</v>
          </cell>
          <cell r="V1807">
            <v>199000</v>
          </cell>
          <cell r="W1807" t="str">
            <v>KEW</v>
          </cell>
          <cell r="X1807">
            <v>44895</v>
          </cell>
          <cell r="Y1807" t="str">
            <v>KEW</v>
          </cell>
          <cell r="Z1807">
            <v>44895</v>
          </cell>
          <cell r="AA1807">
            <v>45260</v>
          </cell>
          <cell r="AB1807" t="str">
            <v>No</v>
          </cell>
          <cell r="AC1807">
            <v>44895</v>
          </cell>
          <cell r="AD1807" t="str">
            <v>Good</v>
          </cell>
          <cell r="AE1807" t="str">
            <v>V3 - Added Installed Facilities (New)</v>
          </cell>
          <cell r="AF1807">
            <v>45211</v>
          </cell>
          <cell r="AG1807" t="str">
            <v>NA</v>
          </cell>
          <cell r="AH1807" t="str">
            <v>PPM</v>
          </cell>
          <cell r="AI1807" t="str">
            <v>NA</v>
          </cell>
          <cell r="AJ1807" t="str">
            <v>Proposed for V3 P2.23</v>
          </cell>
          <cell r="AK1807" t="str">
            <v>COME WITH TESLA M3 REMOTE MONITOR (SN:TM3R0947), 2 SPO2 SENSOR, 2 ECG SENSOR. SNF received on 12/10/2023.TRANSFER TO HOSPITAL IPOH</v>
          </cell>
        </row>
        <row r="1808">
          <cell r="A1808" t="str">
            <v>IKN402147</v>
          </cell>
          <cell r="B1808">
            <v>1802</v>
          </cell>
          <cell r="C1808" t="str">
            <v>ION CHAMBER RT - SHARIFAH, PUAN SALIANA</v>
          </cell>
          <cell r="D1808" t="str">
            <v>KKM/IKN/H/22/94</v>
          </cell>
          <cell r="E1808" t="str">
            <v>15-605</v>
          </cell>
          <cell r="F1808" t="str">
            <v>Testers (Ion Chamber Set)</v>
          </cell>
          <cell r="G1808" t="str">
            <v>RT</v>
          </cell>
          <cell r="H1808" t="str">
            <v>RADIATION TREATMENT UNIT</v>
          </cell>
          <cell r="I1808" t="str">
            <v>01RT131</v>
          </cell>
          <cell r="J1808" t="str">
            <v>EQUIPMENT ROOM</v>
          </cell>
          <cell r="K1808" t="str">
            <v>BMED</v>
          </cell>
          <cell r="L1808" t="str">
            <v>Normal</v>
          </cell>
          <cell r="M1808" t="str">
            <v>Germany</v>
          </cell>
          <cell r="N1808" t="str">
            <v>IBA</v>
          </cell>
          <cell r="O1808" t="str">
            <v>DOSE 1</v>
          </cell>
          <cell r="P1808">
            <v>34597</v>
          </cell>
          <cell r="Q1808" t="str">
            <v>Not Available</v>
          </cell>
          <cell r="R1808" t="str">
            <v>IBA Dosimetry Gmbh</v>
          </cell>
          <cell r="S1808" t="str">
            <v>Meditek Equipment</v>
          </cell>
          <cell r="T1808" t="str">
            <v>Functioning</v>
          </cell>
          <cell r="U1808" t="str">
            <v>Asset</v>
          </cell>
          <cell r="V1808">
            <v>142000</v>
          </cell>
          <cell r="W1808" t="str">
            <v>KEW</v>
          </cell>
          <cell r="X1808">
            <v>44831</v>
          </cell>
          <cell r="Y1808" t="str">
            <v>KEW</v>
          </cell>
          <cell r="Z1808">
            <v>44866</v>
          </cell>
          <cell r="AA1808">
            <v>45231</v>
          </cell>
          <cell r="AB1808" t="str">
            <v>No</v>
          </cell>
          <cell r="AC1808">
            <v>44866</v>
          </cell>
          <cell r="AD1808" t="str">
            <v>Good</v>
          </cell>
          <cell r="AE1808" t="str">
            <v>V3 - Added Installed Facilities (New)</v>
          </cell>
          <cell r="AF1808">
            <v>45008</v>
          </cell>
          <cell r="AG1808" t="str">
            <v>NA</v>
          </cell>
          <cell r="AH1808" t="str">
            <v>PPM</v>
          </cell>
          <cell r="AI1808" t="str">
            <v>NA</v>
          </cell>
          <cell r="AJ1808" t="str">
            <v>Strands V3 P1.23</v>
          </cell>
          <cell r="AK1808" t="str">
            <v>1 Electrometer and 3 Ion Chamber [FC65-G SN:6033, PPC40 SN:2373, CC04 SN:19930]</v>
          </cell>
        </row>
        <row r="1809">
          <cell r="A1809" t="str">
            <v>IKN402148</v>
          </cell>
          <cell r="B1809">
            <v>1803</v>
          </cell>
          <cell r="C1809" t="str">
            <v>LAPAROSCOPE: KKM/IKN/H/22/68; SEKALI DENGAN SPY PHI - FAEZAH, PUAN SALIANA</v>
          </cell>
          <cell r="D1809" t="str">
            <v>KKM/IKN/H/22/68</v>
          </cell>
          <cell r="G1809" t="str">
            <v>OT</v>
          </cell>
          <cell r="I1809" t="str">
            <v>05OT105</v>
          </cell>
          <cell r="K1809" t="str">
            <v>BMED</v>
          </cell>
          <cell r="L1809" t="str">
            <v>Normal</v>
          </cell>
          <cell r="P1809" t="str">
            <v>HH1001/HH1002/HH1003</v>
          </cell>
          <cell r="S1809" t="str">
            <v>EASMED SDN BHD</v>
          </cell>
          <cell r="V1809">
            <v>198500</v>
          </cell>
          <cell r="X1809">
            <v>45542</v>
          </cell>
          <cell r="Z1809">
            <v>44827</v>
          </cell>
          <cell r="AA1809">
            <v>45192</v>
          </cell>
          <cell r="AB1809" t="str">
            <v>NO</v>
          </cell>
          <cell r="AC1809">
            <v>44827</v>
          </cell>
          <cell r="AF1809">
            <v>45008</v>
          </cell>
          <cell r="AI1809" t="str">
            <v>Strands</v>
          </cell>
          <cell r="AJ1809" t="str">
            <v>Strands V3 P1.23</v>
          </cell>
        </row>
        <row r="1810">
          <cell r="A1810" t="str">
            <v>IKN402149</v>
          </cell>
          <cell r="B1810">
            <v>1804</v>
          </cell>
          <cell r="C1810" t="str">
            <v>Institut Kanser Negara</v>
          </cell>
          <cell r="D1810" t="str">
            <v>KKM/IKN/H/23/28</v>
          </cell>
          <cell r="E1810" t="str">
            <v>18-229</v>
          </cell>
          <cell r="F1810" t="str">
            <v>Electrosurgical Units, Monopolar</v>
          </cell>
          <cell r="G1810" t="str">
            <v>OT</v>
          </cell>
          <cell r="H1810" t="str">
            <v>OPERATING THEATRE</v>
          </cell>
          <cell r="I1810" t="str">
            <v>05OT161</v>
          </cell>
          <cell r="J1810" t="str">
            <v>OPERATION THEATRE</v>
          </cell>
          <cell r="K1810" t="str">
            <v>BMED</v>
          </cell>
          <cell r="L1810" t="str">
            <v>Normal</v>
          </cell>
          <cell r="M1810" t="str">
            <v>USA</v>
          </cell>
          <cell r="N1810" t="str">
            <v>COVIDIEN</v>
          </cell>
          <cell r="O1810" t="str">
            <v>VLLS10GEN</v>
          </cell>
          <cell r="P1810" t="str">
            <v>L22K0502GX</v>
          </cell>
          <cell r="Q1810" t="str">
            <v>Not Applicable</v>
          </cell>
          <cell r="R1810" t="str">
            <v>Covidien LLC</v>
          </cell>
          <cell r="S1810" t="str">
            <v>J&amp;J MURNI SDN BHD</v>
          </cell>
          <cell r="T1810" t="str">
            <v>Functioning</v>
          </cell>
          <cell r="U1810" t="str">
            <v>Asset</v>
          </cell>
          <cell r="V1810">
            <v>111330</v>
          </cell>
          <cell r="W1810" t="str">
            <v>KEW</v>
          </cell>
          <cell r="X1810">
            <v>45090</v>
          </cell>
          <cell r="Y1810" t="str">
            <v>KEW</v>
          </cell>
          <cell r="Z1810">
            <v>45125</v>
          </cell>
          <cell r="AA1810" t="str">
            <v>31/4/2024</v>
          </cell>
          <cell r="AB1810" t="str">
            <v>No</v>
          </cell>
          <cell r="AC1810">
            <v>45125</v>
          </cell>
          <cell r="AD1810" t="str">
            <v>Good</v>
          </cell>
          <cell r="AE1810" t="str">
            <v>V3 - Added Installed Facilities (New)</v>
          </cell>
          <cell r="AF1810">
            <v>45245</v>
          </cell>
          <cell r="AG1810" t="str">
            <v>NA</v>
          </cell>
          <cell r="AH1810" t="str">
            <v>PPM</v>
          </cell>
          <cell r="AI1810" t="str">
            <v>Strands</v>
          </cell>
          <cell r="AJ1810" t="str">
            <v>Proposed for V3 P2.23</v>
          </cell>
          <cell r="AK1810" t="str">
            <v>SNF received on 15/11/2023. PIC: Hidayah, Asset Donation.</v>
          </cell>
        </row>
        <row r="1811">
          <cell r="A1811" t="str">
            <v>IKN402152</v>
          </cell>
          <cell r="B1811">
            <v>1807</v>
          </cell>
          <cell r="C1811" t="str">
            <v>Institut Kanser Negara</v>
          </cell>
          <cell r="D1811" t="str">
            <v>KKM/IKN/H/23/51</v>
          </cell>
          <cell r="E1811" t="str">
            <v>13-215</v>
          </cell>
          <cell r="F1811" t="str">
            <v>Infusion Pumps, General-Purpose</v>
          </cell>
          <cell r="G1811" t="str">
            <v>WJ</v>
          </cell>
          <cell r="H1811" t="str">
            <v>MULTIDISCIPLINE WARD 1</v>
          </cell>
          <cell r="I1811" t="str">
            <v>09WJ130</v>
          </cell>
          <cell r="J1811" t="str">
            <v>TREATMENT/ PROCEDURE</v>
          </cell>
          <cell r="K1811" t="str">
            <v>BMED</v>
          </cell>
          <cell r="M1811" t="str">
            <v>China</v>
          </cell>
          <cell r="N1811" t="str">
            <v>Medcaptain</v>
          </cell>
          <cell r="O1811" t="str">
            <v>HP 60</v>
          </cell>
          <cell r="P1811">
            <v>6012310000152</v>
          </cell>
          <cell r="Q1811" t="str">
            <v>Not Applicable</v>
          </cell>
          <cell r="R1811" t="str">
            <v>MedCaptain Medical Technology</v>
          </cell>
          <cell r="S1811" t="str">
            <v>Atalis Healthcare Sdn Bhd</v>
          </cell>
          <cell r="T1811" t="str">
            <v>Functioning</v>
          </cell>
          <cell r="U1811" t="str">
            <v>Asset</v>
          </cell>
          <cell r="V1811">
            <v>3500</v>
          </cell>
          <cell r="W1811" t="str">
            <v>KEW</v>
          </cell>
          <cell r="X1811">
            <v>45268</v>
          </cell>
          <cell r="Y1811" t="str">
            <v>KEW</v>
          </cell>
          <cell r="Z1811">
            <v>45272</v>
          </cell>
          <cell r="AA1811">
            <v>45637</v>
          </cell>
          <cell r="AB1811" t="str">
            <v>YES</v>
          </cell>
          <cell r="AC1811">
            <v>45272</v>
          </cell>
          <cell r="AD1811" t="str">
            <v>Good</v>
          </cell>
          <cell r="AE1811" t="str">
            <v>V3 - Added Installed Facilities (New)</v>
          </cell>
          <cell r="AF1811">
            <v>45272</v>
          </cell>
          <cell r="AG1811" t="str">
            <v>NA</v>
          </cell>
          <cell r="AH1811" t="str">
            <v>PPM</v>
          </cell>
          <cell r="AI1811" t="str">
            <v>NA</v>
          </cell>
          <cell r="AJ1811" t="str">
            <v>Proposed for V3 P1.24</v>
          </cell>
          <cell r="AK1811" t="str">
            <v>PIC: Anis, TnC on 12/12/2023</v>
          </cell>
        </row>
        <row r="1812">
          <cell r="A1812" t="str">
            <v>IKN402153</v>
          </cell>
          <cell r="B1812">
            <v>1808</v>
          </cell>
          <cell r="C1812" t="str">
            <v>Institut Kanser Negara</v>
          </cell>
          <cell r="D1812" t="str">
            <v>KKM/IKN/H/23/50</v>
          </cell>
          <cell r="E1812" t="str">
            <v>13-215</v>
          </cell>
          <cell r="F1812" t="str">
            <v>Infusion Pumps, General-Purpose</v>
          </cell>
          <cell r="G1812" t="str">
            <v>WJ</v>
          </cell>
          <cell r="H1812" t="str">
            <v>MULTIDISCIPLINE WARD 1</v>
          </cell>
          <cell r="I1812" t="str">
            <v>09WJ130</v>
          </cell>
          <cell r="J1812" t="str">
            <v>TREATMENT/ PROCEDURE</v>
          </cell>
          <cell r="K1812" t="str">
            <v>BMED</v>
          </cell>
          <cell r="M1812" t="str">
            <v>China</v>
          </cell>
          <cell r="N1812" t="str">
            <v>Medcaptain</v>
          </cell>
          <cell r="O1812" t="str">
            <v>HP 60</v>
          </cell>
          <cell r="P1812">
            <v>6012310000125</v>
          </cell>
          <cell r="Q1812" t="str">
            <v>Not Applicable</v>
          </cell>
          <cell r="R1812" t="str">
            <v>MedCaptain Medical Technology</v>
          </cell>
          <cell r="S1812" t="str">
            <v>Atalis Healthcare Sdn Bhd</v>
          </cell>
          <cell r="T1812" t="str">
            <v>Functioning</v>
          </cell>
          <cell r="U1812" t="str">
            <v>Asset</v>
          </cell>
          <cell r="V1812">
            <v>3500</v>
          </cell>
          <cell r="W1812" t="str">
            <v>KEW</v>
          </cell>
          <cell r="X1812">
            <v>45268</v>
          </cell>
          <cell r="Y1812" t="str">
            <v>KEW</v>
          </cell>
          <cell r="Z1812">
            <v>45272</v>
          </cell>
          <cell r="AA1812">
            <v>45637</v>
          </cell>
          <cell r="AB1812" t="str">
            <v>YES</v>
          </cell>
          <cell r="AC1812">
            <v>45272</v>
          </cell>
          <cell r="AD1812" t="str">
            <v>Good</v>
          </cell>
          <cell r="AE1812" t="str">
            <v>V3 - Added Installed Facilities (New)</v>
          </cell>
          <cell r="AF1812">
            <v>45272</v>
          </cell>
          <cell r="AG1812" t="str">
            <v>NA</v>
          </cell>
          <cell r="AH1812" t="str">
            <v>PPM</v>
          </cell>
          <cell r="AI1812" t="str">
            <v>NA</v>
          </cell>
          <cell r="AJ1812" t="str">
            <v>Proposed for V3 P1.24</v>
          </cell>
          <cell r="AK1812" t="str">
            <v>PIC: Anis, TnC on 12/12/2023</v>
          </cell>
        </row>
        <row r="1813">
          <cell r="A1813" t="str">
            <v>IKN402154</v>
          </cell>
          <cell r="B1813">
            <v>1809</v>
          </cell>
          <cell r="C1813" t="str">
            <v>Institut Kanser Negara</v>
          </cell>
          <cell r="D1813" t="str">
            <v>KKM/IKN/H/23/48</v>
          </cell>
          <cell r="E1813" t="str">
            <v>13-215</v>
          </cell>
          <cell r="F1813" t="str">
            <v>Infusion Pumps, General-Purpose</v>
          </cell>
          <cell r="G1813" t="str">
            <v>WG</v>
          </cell>
          <cell r="H1813" t="str">
            <v>RT/ONCO WARD 1 (M)</v>
          </cell>
          <cell r="I1813" t="str">
            <v>08WG107</v>
          </cell>
          <cell r="J1813" t="str">
            <v>TREATMENT / PROCEDURE</v>
          </cell>
          <cell r="K1813" t="str">
            <v>BMED</v>
          </cell>
          <cell r="M1813" t="str">
            <v>China</v>
          </cell>
          <cell r="N1813" t="str">
            <v>Medcaptain</v>
          </cell>
          <cell r="O1813" t="str">
            <v>HP 60</v>
          </cell>
          <cell r="P1813">
            <v>6012310000116</v>
          </cell>
          <cell r="Q1813" t="str">
            <v>Not Applicable</v>
          </cell>
          <cell r="R1813" t="str">
            <v>MedCaptain Medical Technology</v>
          </cell>
          <cell r="S1813" t="str">
            <v>Atalis Healthcare Sdn Bhd</v>
          </cell>
          <cell r="T1813" t="str">
            <v>Functioning</v>
          </cell>
          <cell r="U1813" t="str">
            <v>Asset</v>
          </cell>
          <cell r="V1813">
            <v>3500</v>
          </cell>
          <cell r="W1813" t="str">
            <v>KEW</v>
          </cell>
          <cell r="X1813">
            <v>45268</v>
          </cell>
          <cell r="Y1813" t="str">
            <v>KEW</v>
          </cell>
          <cell r="Z1813">
            <v>45272</v>
          </cell>
          <cell r="AA1813">
            <v>45637</v>
          </cell>
          <cell r="AB1813" t="str">
            <v>YES</v>
          </cell>
          <cell r="AC1813">
            <v>45272</v>
          </cell>
          <cell r="AD1813" t="str">
            <v>Good</v>
          </cell>
          <cell r="AE1813" t="str">
            <v>V3 - Added Installed Facilities (New)</v>
          </cell>
          <cell r="AF1813">
            <v>45272</v>
          </cell>
          <cell r="AG1813" t="str">
            <v>NA</v>
          </cell>
          <cell r="AH1813" t="str">
            <v>PPM</v>
          </cell>
          <cell r="AI1813" t="str">
            <v>NA</v>
          </cell>
          <cell r="AJ1813" t="str">
            <v>Proposed for V3 P1.24</v>
          </cell>
          <cell r="AK1813" t="str">
            <v>PIC: Anis, TnC on 12/12/2023</v>
          </cell>
        </row>
        <row r="1814">
          <cell r="A1814" t="str">
            <v>IKN402155</v>
          </cell>
          <cell r="B1814">
            <v>1810</v>
          </cell>
          <cell r="C1814" t="str">
            <v>Institut Kanser Negara</v>
          </cell>
          <cell r="D1814" t="str">
            <v>KKM/IKN/H/23/49</v>
          </cell>
          <cell r="E1814" t="str">
            <v>13-215</v>
          </cell>
          <cell r="F1814" t="str">
            <v>Infusion Pumps, General-Purpose</v>
          </cell>
          <cell r="G1814" t="str">
            <v>WG</v>
          </cell>
          <cell r="H1814" t="str">
            <v>RT/ONCO WARD 1 (M)</v>
          </cell>
          <cell r="I1814" t="str">
            <v>08WG107</v>
          </cell>
          <cell r="J1814" t="str">
            <v>TREATMENT / PROCEDURE</v>
          </cell>
          <cell r="K1814" t="str">
            <v>BMED</v>
          </cell>
          <cell r="M1814" t="str">
            <v>China</v>
          </cell>
          <cell r="N1814" t="str">
            <v>Medcaptain</v>
          </cell>
          <cell r="O1814" t="str">
            <v>HP 60</v>
          </cell>
          <cell r="P1814">
            <v>6012310000119</v>
          </cell>
          <cell r="Q1814" t="str">
            <v>Not Applicable</v>
          </cell>
          <cell r="R1814" t="str">
            <v>MedCaptain Medical Technology</v>
          </cell>
          <cell r="S1814" t="str">
            <v>Atalis Healthcare Sdn Bhd</v>
          </cell>
          <cell r="T1814" t="str">
            <v>Functioning</v>
          </cell>
          <cell r="U1814" t="str">
            <v>Asset</v>
          </cell>
          <cell r="V1814">
            <v>3500</v>
          </cell>
          <cell r="W1814" t="str">
            <v>KEW</v>
          </cell>
          <cell r="X1814">
            <v>45268</v>
          </cell>
          <cell r="Y1814" t="str">
            <v>KEW</v>
          </cell>
          <cell r="Z1814">
            <v>45272</v>
          </cell>
          <cell r="AA1814">
            <v>45637</v>
          </cell>
          <cell r="AB1814" t="str">
            <v>YES</v>
          </cell>
          <cell r="AC1814">
            <v>45272</v>
          </cell>
          <cell r="AD1814" t="str">
            <v>Good</v>
          </cell>
          <cell r="AE1814" t="str">
            <v>V3 - Added Installed Facilities (New)</v>
          </cell>
          <cell r="AF1814">
            <v>45272</v>
          </cell>
          <cell r="AG1814" t="str">
            <v>NA</v>
          </cell>
          <cell r="AH1814" t="str">
            <v>PPM</v>
          </cell>
          <cell r="AI1814" t="str">
            <v>NA</v>
          </cell>
          <cell r="AJ1814" t="str">
            <v>Proposed for V3 P1.24</v>
          </cell>
          <cell r="AK1814" t="str">
            <v>PIC: Anis, TnC on 12/12/2023</v>
          </cell>
        </row>
        <row r="1815">
          <cell r="A1815" t="str">
            <v>IKN402156</v>
          </cell>
          <cell r="B1815">
            <v>1811</v>
          </cell>
          <cell r="C1815" t="str">
            <v>Institut Kanser Negara</v>
          </cell>
          <cell r="D1815" t="str">
            <v>KKM/IKN/H/23/47</v>
          </cell>
          <cell r="E1815" t="str">
            <v>13-215</v>
          </cell>
          <cell r="F1815" t="str">
            <v>Infusion Pumps, General-Purpose</v>
          </cell>
          <cell r="G1815" t="str">
            <v>WH</v>
          </cell>
          <cell r="H1815" t="str">
            <v>RT/ONCO WARD 2 (M)</v>
          </cell>
          <cell r="I1815" t="str">
            <v>08WH107</v>
          </cell>
          <cell r="J1815" t="str">
            <v>TREATMENT / PROCEDURE</v>
          </cell>
          <cell r="K1815" t="str">
            <v>BMED</v>
          </cell>
          <cell r="M1815" t="str">
            <v>China</v>
          </cell>
          <cell r="N1815" t="str">
            <v>Medcaptain</v>
          </cell>
          <cell r="O1815" t="str">
            <v>HP 60</v>
          </cell>
          <cell r="P1815">
            <v>6012310000098</v>
          </cell>
          <cell r="Q1815" t="str">
            <v>Not Applicable</v>
          </cell>
          <cell r="R1815" t="str">
            <v>MedCaptain Medical Technology</v>
          </cell>
          <cell r="S1815" t="str">
            <v>Atalis Healthcare Sdn Bhd</v>
          </cell>
          <cell r="T1815" t="str">
            <v>Functioning</v>
          </cell>
          <cell r="U1815" t="str">
            <v>Asset</v>
          </cell>
          <cell r="V1815">
            <v>3500</v>
          </cell>
          <cell r="W1815" t="str">
            <v>KEW</v>
          </cell>
          <cell r="X1815">
            <v>45268</v>
          </cell>
          <cell r="Y1815" t="str">
            <v>KEW</v>
          </cell>
          <cell r="Z1815">
            <v>45272</v>
          </cell>
          <cell r="AA1815">
            <v>45637</v>
          </cell>
          <cell r="AB1815" t="str">
            <v>YES</v>
          </cell>
          <cell r="AC1815">
            <v>45272</v>
          </cell>
          <cell r="AD1815" t="str">
            <v>Good</v>
          </cell>
          <cell r="AE1815" t="str">
            <v>V3 - Added Installed Facilities (New)</v>
          </cell>
          <cell r="AF1815">
            <v>45272</v>
          </cell>
          <cell r="AG1815" t="str">
            <v>NA</v>
          </cell>
          <cell r="AH1815" t="str">
            <v>PPM</v>
          </cell>
          <cell r="AI1815" t="str">
            <v>NA</v>
          </cell>
          <cell r="AJ1815" t="str">
            <v>Proposed for V3 P1.24</v>
          </cell>
          <cell r="AK1815" t="str">
            <v>PIC: Anis, TnC on 12/12/2023</v>
          </cell>
        </row>
        <row r="1816">
          <cell r="A1816" t="str">
            <v>IKN402157</v>
          </cell>
          <cell r="B1816">
            <v>1812</v>
          </cell>
          <cell r="C1816" t="str">
            <v>Institut Kanser Negara</v>
          </cell>
          <cell r="D1816" t="str">
            <v>KKM/IKN/H/23/46</v>
          </cell>
          <cell r="E1816" t="str">
            <v>13-215</v>
          </cell>
          <cell r="F1816" t="str">
            <v>Infusion Pumps, General-Purpose</v>
          </cell>
          <cell r="G1816" t="str">
            <v>WH</v>
          </cell>
          <cell r="H1816" t="str">
            <v>RT/ONCO WARD 2 (M)</v>
          </cell>
          <cell r="I1816" t="str">
            <v>08WH107</v>
          </cell>
          <cell r="J1816" t="str">
            <v>TREATMENT / PROCEDURE</v>
          </cell>
          <cell r="K1816" t="str">
            <v>BMED</v>
          </cell>
          <cell r="M1816" t="str">
            <v>China</v>
          </cell>
          <cell r="N1816" t="str">
            <v>Medcaptain</v>
          </cell>
          <cell r="O1816" t="str">
            <v>HP 60</v>
          </cell>
          <cell r="P1816">
            <v>6012310000046</v>
          </cell>
          <cell r="Q1816" t="str">
            <v>Not Applicable</v>
          </cell>
          <cell r="R1816" t="str">
            <v>MedCaptain Medical Technology</v>
          </cell>
          <cell r="S1816" t="str">
            <v>Atalis Healthcare Sdn Bhd</v>
          </cell>
          <cell r="T1816" t="str">
            <v>Functioning</v>
          </cell>
          <cell r="U1816" t="str">
            <v>Asset</v>
          </cell>
          <cell r="V1816">
            <v>3500</v>
          </cell>
          <cell r="W1816" t="str">
            <v>KEW</v>
          </cell>
          <cell r="X1816">
            <v>45268</v>
          </cell>
          <cell r="Y1816" t="str">
            <v>KEW</v>
          </cell>
          <cell r="Z1816">
            <v>45272</v>
          </cell>
          <cell r="AA1816">
            <v>45637</v>
          </cell>
          <cell r="AB1816" t="str">
            <v>YES</v>
          </cell>
          <cell r="AC1816">
            <v>45272</v>
          </cell>
          <cell r="AD1816" t="str">
            <v>Good</v>
          </cell>
          <cell r="AE1816" t="str">
            <v>V3 - Added Installed Facilities (New)</v>
          </cell>
          <cell r="AF1816">
            <v>45272</v>
          </cell>
          <cell r="AG1816" t="str">
            <v>NA</v>
          </cell>
          <cell r="AH1816" t="str">
            <v>PPM</v>
          </cell>
          <cell r="AI1816" t="str">
            <v>NA</v>
          </cell>
          <cell r="AJ1816" t="str">
            <v>Proposed for V3 P1.24</v>
          </cell>
          <cell r="AK1816" t="str">
            <v>PIC: Anis, TnC on 12/12/2023</v>
          </cell>
        </row>
        <row r="1817">
          <cell r="A1817" t="str">
            <v>IKN402158</v>
          </cell>
          <cell r="B1817">
            <v>1813</v>
          </cell>
          <cell r="C1817" t="str">
            <v>Institut Kanser Negara</v>
          </cell>
          <cell r="D1817" t="str">
            <v>KKM/IKN/H/23/45</v>
          </cell>
          <cell r="E1817" t="str">
            <v>13-215</v>
          </cell>
          <cell r="F1817" t="str">
            <v>Infusion Pumps, General-Purpose</v>
          </cell>
          <cell r="G1817" t="str">
            <v>WE</v>
          </cell>
          <cell r="H1817" t="str">
            <v>RT/ONCO WARD 1 (F)</v>
          </cell>
          <cell r="I1817" t="str">
            <v>07WE107</v>
          </cell>
          <cell r="J1817" t="str">
            <v>TREATMENT / PROCESURE</v>
          </cell>
          <cell r="K1817" t="str">
            <v>BMED</v>
          </cell>
          <cell r="M1817" t="str">
            <v>China</v>
          </cell>
          <cell r="N1817" t="str">
            <v>Medcaptain</v>
          </cell>
          <cell r="O1817" t="str">
            <v>HP 60</v>
          </cell>
          <cell r="P1817">
            <v>6012309000192</v>
          </cell>
          <cell r="Q1817" t="str">
            <v>Not Applicable</v>
          </cell>
          <cell r="R1817" t="str">
            <v>MedCaptain Medical Technology</v>
          </cell>
          <cell r="S1817" t="str">
            <v>Atalis Healthcare Sdn Bhd</v>
          </cell>
          <cell r="T1817" t="str">
            <v>Functioning</v>
          </cell>
          <cell r="U1817" t="str">
            <v>Asset</v>
          </cell>
          <cell r="V1817">
            <v>3500</v>
          </cell>
          <cell r="W1817" t="str">
            <v>KEW</v>
          </cell>
          <cell r="X1817">
            <v>45268</v>
          </cell>
          <cell r="Y1817" t="str">
            <v>KEW</v>
          </cell>
          <cell r="Z1817">
            <v>45272</v>
          </cell>
          <cell r="AA1817">
            <v>45637</v>
          </cell>
          <cell r="AB1817" t="str">
            <v>YES</v>
          </cell>
          <cell r="AC1817">
            <v>45272</v>
          </cell>
          <cell r="AD1817" t="str">
            <v>Good</v>
          </cell>
          <cell r="AE1817" t="str">
            <v>V3 - Added Installed Facilities (New)</v>
          </cell>
          <cell r="AF1817">
            <v>45272</v>
          </cell>
          <cell r="AG1817" t="str">
            <v>NA</v>
          </cell>
          <cell r="AH1817" t="str">
            <v>PPM</v>
          </cell>
          <cell r="AI1817" t="str">
            <v>NA</v>
          </cell>
          <cell r="AJ1817" t="str">
            <v>Proposed for V3 P1.24</v>
          </cell>
          <cell r="AK1817" t="str">
            <v>PIC: Anis, TnC on 12/12/2023</v>
          </cell>
        </row>
        <row r="1818">
          <cell r="A1818" t="str">
            <v>IKN402159</v>
          </cell>
          <cell r="B1818">
            <v>1814</v>
          </cell>
          <cell r="C1818" t="str">
            <v>Institut Kanser Negara</v>
          </cell>
          <cell r="D1818" t="str">
            <v>KKM/IKN/H/23/44</v>
          </cell>
          <cell r="E1818" t="str">
            <v>13-215</v>
          </cell>
          <cell r="F1818" t="str">
            <v>Infusion Pumps, General-Purpose</v>
          </cell>
          <cell r="G1818" t="str">
            <v>WE</v>
          </cell>
          <cell r="H1818" t="str">
            <v>RT/ONCO WARD 1 (F)</v>
          </cell>
          <cell r="I1818" t="str">
            <v>07WE107</v>
          </cell>
          <cell r="J1818" t="str">
            <v>TREATMENT / PROCESURE</v>
          </cell>
          <cell r="K1818" t="str">
            <v>BMED</v>
          </cell>
          <cell r="M1818" t="str">
            <v>China</v>
          </cell>
          <cell r="N1818" t="str">
            <v>Medcaptain</v>
          </cell>
          <cell r="O1818" t="str">
            <v>HP 60</v>
          </cell>
          <cell r="P1818">
            <v>6012309000178</v>
          </cell>
          <cell r="Q1818" t="str">
            <v>Not Applicable</v>
          </cell>
          <cell r="R1818" t="str">
            <v>MedCaptain Medical Technology</v>
          </cell>
          <cell r="S1818" t="str">
            <v>Atalis Healthcare Sdn Bhd</v>
          </cell>
          <cell r="T1818" t="str">
            <v>Functioning</v>
          </cell>
          <cell r="U1818" t="str">
            <v>Asset</v>
          </cell>
          <cell r="V1818">
            <v>3500</v>
          </cell>
          <cell r="W1818" t="str">
            <v>KEW</v>
          </cell>
          <cell r="X1818">
            <v>45268</v>
          </cell>
          <cell r="Y1818" t="str">
            <v>KEW</v>
          </cell>
          <cell r="Z1818">
            <v>45272</v>
          </cell>
          <cell r="AA1818">
            <v>45637</v>
          </cell>
          <cell r="AB1818" t="str">
            <v>YES</v>
          </cell>
          <cell r="AC1818">
            <v>45272</v>
          </cell>
          <cell r="AD1818" t="str">
            <v>Good</v>
          </cell>
          <cell r="AE1818" t="str">
            <v>V3 - Added Installed Facilities (New)</v>
          </cell>
          <cell r="AF1818">
            <v>45272</v>
          </cell>
          <cell r="AG1818" t="str">
            <v>NA</v>
          </cell>
          <cell r="AH1818" t="str">
            <v>PPM</v>
          </cell>
          <cell r="AI1818" t="str">
            <v>NA</v>
          </cell>
          <cell r="AJ1818" t="str">
            <v>Proposed for V3 P1.24</v>
          </cell>
          <cell r="AK1818" t="str">
            <v>PIC: Anis, TnC on 12/12/2023</v>
          </cell>
        </row>
        <row r="1819">
          <cell r="A1819" t="str">
            <v>IKN402160</v>
          </cell>
          <cell r="B1819">
            <v>1815</v>
          </cell>
          <cell r="C1819" t="str">
            <v>Institut Kanser Negara</v>
          </cell>
          <cell r="D1819" t="str">
            <v>KKM/IKN/H/23/43</v>
          </cell>
          <cell r="E1819" t="str">
            <v>13-215</v>
          </cell>
          <cell r="F1819" t="str">
            <v>Infusion Pumps, General-Purpose</v>
          </cell>
          <cell r="G1819" t="str">
            <v>WF</v>
          </cell>
          <cell r="H1819" t="str">
            <v>RT/ONCO WARD 2 (F)</v>
          </cell>
          <cell r="I1819" t="str">
            <v>07WF107</v>
          </cell>
          <cell r="J1819" t="str">
            <v>TREATMENT / PROCEDDURE</v>
          </cell>
          <cell r="K1819" t="str">
            <v>BMED</v>
          </cell>
          <cell r="M1819" t="str">
            <v>China</v>
          </cell>
          <cell r="N1819" t="str">
            <v>Medcaptain</v>
          </cell>
          <cell r="O1819" t="str">
            <v>HP 60</v>
          </cell>
          <cell r="P1819">
            <v>6012309000154</v>
          </cell>
          <cell r="Q1819" t="str">
            <v>Not Applicable</v>
          </cell>
          <cell r="R1819" t="str">
            <v>MedCaptain Medical Technology</v>
          </cell>
          <cell r="S1819" t="str">
            <v>Atalis Healthcare Sdn Bhd</v>
          </cell>
          <cell r="T1819" t="str">
            <v>Functioning</v>
          </cell>
          <cell r="U1819" t="str">
            <v>Asset</v>
          </cell>
          <cell r="V1819">
            <v>3500</v>
          </cell>
          <cell r="W1819" t="str">
            <v>KEW</v>
          </cell>
          <cell r="X1819">
            <v>45268</v>
          </cell>
          <cell r="Y1819" t="str">
            <v>KEW</v>
          </cell>
          <cell r="Z1819">
            <v>45272</v>
          </cell>
          <cell r="AA1819">
            <v>45637</v>
          </cell>
          <cell r="AB1819" t="str">
            <v>YES</v>
          </cell>
          <cell r="AC1819">
            <v>45272</v>
          </cell>
          <cell r="AD1819" t="str">
            <v>Good</v>
          </cell>
          <cell r="AE1819" t="str">
            <v>V3 - Added Installed Facilities (New)</v>
          </cell>
          <cell r="AF1819">
            <v>45272</v>
          </cell>
          <cell r="AG1819" t="str">
            <v>NA</v>
          </cell>
          <cell r="AH1819" t="str">
            <v>PPM</v>
          </cell>
          <cell r="AI1819" t="str">
            <v>NA</v>
          </cell>
          <cell r="AJ1819" t="str">
            <v>Proposed for V3 P1.24</v>
          </cell>
          <cell r="AK1819" t="str">
            <v>PIC: Anis, TnC on 12/12/2023</v>
          </cell>
        </row>
        <row r="1820">
          <cell r="A1820" t="str">
            <v>IKN402161</v>
          </cell>
          <cell r="B1820">
            <v>1816</v>
          </cell>
          <cell r="C1820" t="str">
            <v>Institut Kanser Negara</v>
          </cell>
          <cell r="D1820" t="str">
            <v>KKM/IKN/H/23/42</v>
          </cell>
          <cell r="E1820" t="str">
            <v>13-215</v>
          </cell>
          <cell r="F1820" t="str">
            <v>Infusion Pumps, General-Purpose</v>
          </cell>
          <cell r="G1820" t="str">
            <v>WF</v>
          </cell>
          <cell r="H1820" t="str">
            <v>RT/ONCO WARD 2 (F)</v>
          </cell>
          <cell r="I1820" t="str">
            <v>07WF107</v>
          </cell>
          <cell r="J1820" t="str">
            <v>TREATMENT / PROCEDDURE</v>
          </cell>
          <cell r="K1820" t="str">
            <v>BMED</v>
          </cell>
          <cell r="M1820" t="str">
            <v>China</v>
          </cell>
          <cell r="N1820" t="str">
            <v>Medcaptain</v>
          </cell>
          <cell r="O1820" t="str">
            <v>HP 60</v>
          </cell>
          <cell r="P1820">
            <v>6012211000111</v>
          </cell>
          <cell r="Q1820" t="str">
            <v>Not Applicable</v>
          </cell>
          <cell r="R1820" t="str">
            <v>MedCaptain Medical Technology</v>
          </cell>
          <cell r="S1820" t="str">
            <v>Atalis Healthcare Sdn Bhd</v>
          </cell>
          <cell r="T1820" t="str">
            <v>Functioning</v>
          </cell>
          <cell r="U1820" t="str">
            <v>Asset</v>
          </cell>
          <cell r="V1820">
            <v>3500</v>
          </cell>
          <cell r="W1820" t="str">
            <v>KEW</v>
          </cell>
          <cell r="X1820">
            <v>45268</v>
          </cell>
          <cell r="Y1820" t="str">
            <v>KEW</v>
          </cell>
          <cell r="Z1820">
            <v>45272</v>
          </cell>
          <cell r="AA1820">
            <v>45637</v>
          </cell>
          <cell r="AB1820" t="str">
            <v>YES</v>
          </cell>
          <cell r="AC1820">
            <v>45272</v>
          </cell>
          <cell r="AD1820" t="str">
            <v>Good</v>
          </cell>
          <cell r="AE1820" t="str">
            <v>V3 - Added Installed Facilities (New)</v>
          </cell>
          <cell r="AF1820">
            <v>45272</v>
          </cell>
          <cell r="AG1820" t="str">
            <v>NA</v>
          </cell>
          <cell r="AH1820" t="str">
            <v>PPM</v>
          </cell>
          <cell r="AI1820" t="str">
            <v>NA</v>
          </cell>
          <cell r="AJ1820" t="str">
            <v>Proposed for V3 P1.24</v>
          </cell>
          <cell r="AK1820" t="str">
            <v>PIC: Anis, TnC on 12/12/2023</v>
          </cell>
        </row>
        <row r="1821">
          <cell r="A1821" t="str">
            <v>IKN402162</v>
          </cell>
          <cell r="B1821">
            <v>1817</v>
          </cell>
          <cell r="C1821" t="str">
            <v>Institut Kanser Negara</v>
          </cell>
          <cell r="D1821" t="str">
            <v>KKM/IKN/H/23/41</v>
          </cell>
          <cell r="E1821" t="str">
            <v>13-215</v>
          </cell>
          <cell r="F1821" t="str">
            <v>Infusion Pumps, General-Purpose</v>
          </cell>
          <cell r="G1821" t="str">
            <v>WC</v>
          </cell>
          <cell r="H1821" t="str">
            <v>SURGICAL ONCO FEMALE WARD</v>
          </cell>
          <cell r="I1821" t="str">
            <v>06WC107</v>
          </cell>
          <cell r="J1821" t="str">
            <v>TREATMENT / PROCEDURE</v>
          </cell>
          <cell r="K1821" t="str">
            <v>BMED</v>
          </cell>
          <cell r="M1821" t="str">
            <v>China</v>
          </cell>
          <cell r="N1821" t="str">
            <v>Medcaptain</v>
          </cell>
          <cell r="O1821" t="str">
            <v>HP 60</v>
          </cell>
          <cell r="P1821">
            <v>6012211000104</v>
          </cell>
          <cell r="Q1821" t="str">
            <v>Not Applicable</v>
          </cell>
          <cell r="R1821" t="str">
            <v>MedCaptain Medical Technology</v>
          </cell>
          <cell r="S1821" t="str">
            <v>Atalis Healthcare Sdn Bhd</v>
          </cell>
          <cell r="T1821" t="str">
            <v>Functioning</v>
          </cell>
          <cell r="U1821" t="str">
            <v>Asset</v>
          </cell>
          <cell r="V1821">
            <v>3500</v>
          </cell>
          <cell r="W1821" t="str">
            <v>KEW</v>
          </cell>
          <cell r="X1821">
            <v>45268</v>
          </cell>
          <cell r="Y1821" t="str">
            <v>KEW</v>
          </cell>
          <cell r="Z1821">
            <v>45272</v>
          </cell>
          <cell r="AA1821">
            <v>45637</v>
          </cell>
          <cell r="AB1821" t="str">
            <v>YES</v>
          </cell>
          <cell r="AC1821">
            <v>45272</v>
          </cell>
          <cell r="AD1821" t="str">
            <v>Good</v>
          </cell>
          <cell r="AE1821" t="str">
            <v>V3 - Added Installed Facilities (New)</v>
          </cell>
          <cell r="AF1821">
            <v>45272</v>
          </cell>
          <cell r="AG1821" t="str">
            <v>NA</v>
          </cell>
          <cell r="AH1821" t="str">
            <v>PPM</v>
          </cell>
          <cell r="AI1821" t="str">
            <v>NA</v>
          </cell>
          <cell r="AJ1821" t="str">
            <v>Proposed for V3 P1.24</v>
          </cell>
          <cell r="AK1821" t="str">
            <v>PIC: Anis, TnC on 12/12/2023</v>
          </cell>
        </row>
        <row r="1822">
          <cell r="A1822" t="str">
            <v>IKN402163</v>
          </cell>
          <cell r="B1822">
            <v>1818</v>
          </cell>
          <cell r="C1822" t="str">
            <v>Institut Kanser Negara</v>
          </cell>
          <cell r="D1822" t="str">
            <v>KKM/IKN/H/23/40</v>
          </cell>
          <cell r="E1822" t="str">
            <v>13-215</v>
          </cell>
          <cell r="F1822" t="str">
            <v>Infusion Pumps, General-Purpose</v>
          </cell>
          <cell r="G1822" t="str">
            <v>WC</v>
          </cell>
          <cell r="H1822" t="str">
            <v>SURGICAL ONCO FEMALE WARD</v>
          </cell>
          <cell r="I1822" t="str">
            <v>06WC107</v>
          </cell>
          <cell r="J1822" t="str">
            <v>TREATMENT / PROCEDURE</v>
          </cell>
          <cell r="K1822" t="str">
            <v>BMED</v>
          </cell>
          <cell r="M1822" t="str">
            <v>China</v>
          </cell>
          <cell r="N1822" t="str">
            <v>Medcaptain</v>
          </cell>
          <cell r="O1822" t="str">
            <v>HP 60</v>
          </cell>
          <cell r="P1822">
            <v>6012211000036</v>
          </cell>
          <cell r="Q1822" t="str">
            <v>Not Applicable</v>
          </cell>
          <cell r="R1822" t="str">
            <v>MedCaptain Medical Technology</v>
          </cell>
          <cell r="S1822" t="str">
            <v>Atalis Healthcare Sdn Bhd</v>
          </cell>
          <cell r="T1822" t="str">
            <v>Functioning</v>
          </cell>
          <cell r="U1822" t="str">
            <v>Asset</v>
          </cell>
          <cell r="V1822">
            <v>3500</v>
          </cell>
          <cell r="W1822" t="str">
            <v>KEW</v>
          </cell>
          <cell r="X1822">
            <v>45268</v>
          </cell>
          <cell r="Y1822" t="str">
            <v>KEW</v>
          </cell>
          <cell r="Z1822">
            <v>45272</v>
          </cell>
          <cell r="AA1822">
            <v>45637</v>
          </cell>
          <cell r="AB1822" t="str">
            <v>YES</v>
          </cell>
          <cell r="AC1822">
            <v>45272</v>
          </cell>
          <cell r="AD1822" t="str">
            <v>Good</v>
          </cell>
          <cell r="AE1822" t="str">
            <v>V3 - Added Installed Facilities (New)</v>
          </cell>
          <cell r="AF1822">
            <v>45272</v>
          </cell>
          <cell r="AG1822" t="str">
            <v>NA</v>
          </cell>
          <cell r="AH1822" t="str">
            <v>PPM</v>
          </cell>
          <cell r="AI1822" t="str">
            <v>NA</v>
          </cell>
          <cell r="AJ1822" t="str">
            <v>Proposed for V3 P1.24</v>
          </cell>
          <cell r="AK1822" t="str">
            <v>PIC: Anis, TnC on 12/12/2023</v>
          </cell>
        </row>
        <row r="1823">
          <cell r="A1823" t="str">
            <v>IKN402164</v>
          </cell>
          <cell r="B1823">
            <v>1819</v>
          </cell>
          <cell r="C1823" t="str">
            <v>Institut Kanser Negara</v>
          </cell>
          <cell r="D1823" t="str">
            <v>KKM/IKN/H/23/39</v>
          </cell>
          <cell r="E1823" t="str">
            <v>13-215</v>
          </cell>
          <cell r="F1823" t="str">
            <v>Infusion Pumps, General-Purpose</v>
          </cell>
          <cell r="G1823" t="str">
            <v>WC</v>
          </cell>
          <cell r="H1823" t="str">
            <v>SURGICAL ONCO FEMALE WARD</v>
          </cell>
          <cell r="I1823" t="str">
            <v>06WC107</v>
          </cell>
          <cell r="J1823" t="str">
            <v>TREATMENT / PROCEDURE</v>
          </cell>
          <cell r="K1823" t="str">
            <v>BMED</v>
          </cell>
          <cell r="M1823" t="str">
            <v>China</v>
          </cell>
          <cell r="N1823" t="str">
            <v>Medcaptain</v>
          </cell>
          <cell r="O1823" t="str">
            <v>HP 60</v>
          </cell>
          <cell r="P1823">
            <v>6012211000036</v>
          </cell>
          <cell r="Q1823" t="str">
            <v>Not Applicable</v>
          </cell>
          <cell r="R1823" t="str">
            <v>MedCaptain Medical Technology</v>
          </cell>
          <cell r="S1823" t="str">
            <v>Atalis Healthcare Sdn Bhd</v>
          </cell>
          <cell r="T1823" t="str">
            <v>Functioning</v>
          </cell>
          <cell r="U1823" t="str">
            <v>Asset</v>
          </cell>
          <cell r="V1823">
            <v>3500</v>
          </cell>
          <cell r="W1823" t="str">
            <v>KEW</v>
          </cell>
          <cell r="X1823">
            <v>45268</v>
          </cell>
          <cell r="Y1823" t="str">
            <v>KEW</v>
          </cell>
          <cell r="Z1823">
            <v>45272</v>
          </cell>
          <cell r="AA1823">
            <v>45637</v>
          </cell>
          <cell r="AB1823" t="str">
            <v>YES</v>
          </cell>
          <cell r="AC1823">
            <v>45272</v>
          </cell>
          <cell r="AD1823" t="str">
            <v>Good</v>
          </cell>
          <cell r="AE1823" t="str">
            <v>V3 - Added Installed Facilities (New)</v>
          </cell>
          <cell r="AF1823">
            <v>45272</v>
          </cell>
          <cell r="AG1823" t="str">
            <v>NA</v>
          </cell>
          <cell r="AH1823" t="str">
            <v>PPM</v>
          </cell>
          <cell r="AI1823" t="str">
            <v>NA</v>
          </cell>
          <cell r="AJ1823" t="str">
            <v>Proposed for V3 P1.24</v>
          </cell>
          <cell r="AK1823" t="str">
            <v>PIC: Anis, TnC on 12/12/2023</v>
          </cell>
        </row>
        <row r="1824">
          <cell r="A1824" t="str">
            <v>IKN402165</v>
          </cell>
          <cell r="B1824">
            <v>1820</v>
          </cell>
          <cell r="C1824" t="str">
            <v>Institut Kanser Negara</v>
          </cell>
          <cell r="D1824" t="str">
            <v>KKM/IKN/H/23/38</v>
          </cell>
          <cell r="E1824" t="str">
            <v>13-215</v>
          </cell>
          <cell r="F1824" t="str">
            <v>Infusion Pumps, General-Purpose</v>
          </cell>
          <cell r="G1824" t="str">
            <v>WB</v>
          </cell>
          <cell r="H1824" t="str">
            <v>SURGICAL ONCO MALE WARD</v>
          </cell>
          <cell r="I1824" t="str">
            <v>05WB107</v>
          </cell>
          <cell r="J1824" t="str">
            <v>TREATMENT / PROCEDURE</v>
          </cell>
          <cell r="K1824" t="str">
            <v>BMED</v>
          </cell>
          <cell r="L1824" t="str">
            <v>NORMAL</v>
          </cell>
          <cell r="M1824" t="str">
            <v>China</v>
          </cell>
          <cell r="N1824" t="str">
            <v>Medcaptain</v>
          </cell>
          <cell r="O1824" t="str">
            <v>HP 60</v>
          </cell>
          <cell r="P1824">
            <v>6012210000048</v>
          </cell>
          <cell r="Q1824" t="str">
            <v>MedCaptain Medical Technology</v>
          </cell>
          <cell r="R1824" t="str">
            <v>Atalis Healthcare Sdn Bhd</v>
          </cell>
          <cell r="S1824" t="str">
            <v>Functioning</v>
          </cell>
          <cell r="T1824" t="str">
            <v>Functioning</v>
          </cell>
          <cell r="U1824" t="str">
            <v>KEW</v>
          </cell>
          <cell r="V1824">
            <v>3500</v>
          </cell>
          <cell r="W1824">
            <v>45268</v>
          </cell>
          <cell r="X1824" t="str">
            <v>KEW</v>
          </cell>
          <cell r="Y1824">
            <v>45272</v>
          </cell>
          <cell r="Z1824">
            <v>45637</v>
          </cell>
          <cell r="AA1824" t="str">
            <v>YES</v>
          </cell>
          <cell r="AB1824">
            <v>45272</v>
          </cell>
          <cell r="AC1824" t="str">
            <v>Good</v>
          </cell>
          <cell r="AD1824" t="str">
            <v>V3 - Added Installed Facilities (New)</v>
          </cell>
          <cell r="AE1824">
            <v>45272</v>
          </cell>
          <cell r="AF1824" t="str">
            <v>NA</v>
          </cell>
          <cell r="AG1824">
            <v>9.17</v>
          </cell>
          <cell r="AH1824" t="str">
            <v>PPM</v>
          </cell>
          <cell r="AI1824" t="str">
            <v>Strands</v>
          </cell>
          <cell r="AJ1824" t="str">
            <v>Proposed for V3 P1.24</v>
          </cell>
          <cell r="AK1824" t="str">
            <v>PIC: Anis, TnC on 12/12/2023</v>
          </cell>
        </row>
        <row r="1825">
          <cell r="A1825" t="str">
            <v>IKN402166</v>
          </cell>
          <cell r="B1825">
            <v>1821</v>
          </cell>
          <cell r="C1825" t="str">
            <v>Institut Kanser Negara</v>
          </cell>
          <cell r="D1825" t="str">
            <v>KKM/IKN/H/23/37</v>
          </cell>
          <cell r="E1825" t="str">
            <v>18-147</v>
          </cell>
          <cell r="F1825" t="str">
            <v>Mattress Systems, Alternating-Pressure</v>
          </cell>
          <cell r="G1825" t="str">
            <v>WB</v>
          </cell>
          <cell r="H1825" t="str">
            <v>SURGICAL ONCO MALE WARD</v>
          </cell>
          <cell r="I1825" t="str">
            <v>05WB149</v>
          </cell>
          <cell r="J1825" t="str">
            <v>TREATMENT / PROCEDURE</v>
          </cell>
          <cell r="K1825" t="str">
            <v>BMED</v>
          </cell>
          <cell r="L1825" t="str">
            <v>NORMAL</v>
          </cell>
          <cell r="M1825" t="str">
            <v>Taiwan</v>
          </cell>
          <cell r="N1825" t="str">
            <v>Mediaire</v>
          </cell>
          <cell r="O1825" t="str">
            <v>Mediaire (QUANTO 3)</v>
          </cell>
          <cell r="P1825" t="str">
            <v>P180702528</v>
          </cell>
          <cell r="Q1825" t="str">
            <v>Eezcare Medical Corp</v>
          </cell>
          <cell r="R1825" t="str">
            <v>Medika Supplies Sdn Bhd</v>
          </cell>
          <cell r="S1825" t="str">
            <v>Functioning</v>
          </cell>
          <cell r="T1825" t="str">
            <v>Functioning</v>
          </cell>
          <cell r="U1825" t="str">
            <v>KEW</v>
          </cell>
          <cell r="V1825">
            <v>4000</v>
          </cell>
          <cell r="W1825">
            <v>45268</v>
          </cell>
          <cell r="X1825" t="str">
            <v>KEW</v>
          </cell>
          <cell r="Y1825">
            <v>45272</v>
          </cell>
          <cell r="Z1825">
            <v>45637</v>
          </cell>
          <cell r="AA1825" t="str">
            <v>YES</v>
          </cell>
          <cell r="AB1825">
            <v>45272</v>
          </cell>
          <cell r="AC1825" t="str">
            <v>Good</v>
          </cell>
          <cell r="AD1825" t="str">
            <v>V3 - Added Installed Facilities (New)</v>
          </cell>
          <cell r="AE1825">
            <v>45272</v>
          </cell>
          <cell r="AF1825" t="str">
            <v>NA</v>
          </cell>
          <cell r="AG1825">
            <v>9.17</v>
          </cell>
          <cell r="AH1825" t="str">
            <v>PPM</v>
          </cell>
          <cell r="AI1825" t="str">
            <v>Strands</v>
          </cell>
          <cell r="AJ1825" t="str">
            <v>Proposed for V3 P1.24</v>
          </cell>
          <cell r="AK1825" t="str">
            <v>PIC: Anis, TnC on 12/12/2023</v>
          </cell>
        </row>
        <row r="1826">
          <cell r="A1826" t="str">
            <v>IKN402167</v>
          </cell>
          <cell r="B1826">
            <v>1822</v>
          </cell>
          <cell r="C1826" t="str">
            <v>Institut Kanser Negara</v>
          </cell>
          <cell r="D1826" t="str">
            <v>KKM/IKN/H/24/32-15</v>
          </cell>
          <cell r="E1826" t="str">
            <v>13-215</v>
          </cell>
          <cell r="F1826" t="str">
            <v>Infusion Pumps, General-Purpose</v>
          </cell>
          <cell r="G1826" t="str">
            <v>NM</v>
          </cell>
          <cell r="H1826" t="str">
            <v>NUCLEAR MED (DIAGNOSTIC)</v>
          </cell>
          <cell r="I1826" t="str">
            <v>03WA107</v>
          </cell>
          <cell r="J1826" t="str">
            <v>NUCLEAR MED WARD (THERAPY)</v>
          </cell>
          <cell r="K1826" t="str">
            <v>BMED</v>
          </cell>
          <cell r="L1826" t="str">
            <v>Normal</v>
          </cell>
          <cell r="N1826" t="str">
            <v>B Braun</v>
          </cell>
          <cell r="O1826" t="str">
            <v>Infusomat Space</v>
          </cell>
          <cell r="P1826">
            <v>927030</v>
          </cell>
          <cell r="Q1826" t="str">
            <v>Functioning</v>
          </cell>
          <cell r="R1826" t="str">
            <v>B Braun Melsungen AG</v>
          </cell>
          <cell r="S1826" t="str">
            <v>B Braun Medical Supplies Sdn. Bhd.</v>
          </cell>
          <cell r="T1826" t="str">
            <v>Functioning</v>
          </cell>
          <cell r="V1826">
            <v>6400</v>
          </cell>
          <cell r="W1826" t="str">
            <v>KEW</v>
          </cell>
          <cell r="X1826">
            <v>45120</v>
          </cell>
          <cell r="Y1826" t="str">
            <v>KEW</v>
          </cell>
          <cell r="Z1826">
            <v>45324</v>
          </cell>
          <cell r="AA1826">
            <v>45689</v>
          </cell>
          <cell r="AB1826" t="str">
            <v>YES</v>
          </cell>
          <cell r="AC1826">
            <v>45303</v>
          </cell>
          <cell r="AD1826" t="str">
            <v>Good</v>
          </cell>
          <cell r="AE1826" t="str">
            <v>V3 - Added Installed Facilities (New)</v>
          </cell>
          <cell r="AF1826">
            <v>45508</v>
          </cell>
          <cell r="AG1826" t="str">
            <v>NA</v>
          </cell>
          <cell r="AH1826" t="str">
            <v>PPM</v>
          </cell>
          <cell r="AJ1826" t="str">
            <v>Strands V3 P2.24</v>
          </cell>
        </row>
        <row r="1827">
          <cell r="A1827" t="str">
            <v>IKN402168</v>
          </cell>
          <cell r="B1827">
            <v>1823</v>
          </cell>
          <cell r="C1827" t="str">
            <v>Institut Kanser Negara</v>
          </cell>
          <cell r="D1827" t="str">
            <v>KKM/IKN/H/24/33-10</v>
          </cell>
          <cell r="E1827" t="str">
            <v>13-215</v>
          </cell>
          <cell r="F1827" t="str">
            <v>Infusion Pumps, General-Purpose</v>
          </cell>
          <cell r="G1827" t="str">
            <v>NM</v>
          </cell>
          <cell r="H1827" t="str">
            <v>NUCLEAR MED (DIAGNOSTIC)</v>
          </cell>
          <cell r="I1827" t="str">
            <v>03WA107</v>
          </cell>
          <cell r="J1827" t="str">
            <v>NUCLEAR MED WARD (THERAPY)</v>
          </cell>
          <cell r="K1827" t="str">
            <v>BMED</v>
          </cell>
          <cell r="L1827" t="str">
            <v>Normal</v>
          </cell>
          <cell r="N1827" t="str">
            <v>B Braun</v>
          </cell>
          <cell r="O1827" t="str">
            <v>Infusomat Space</v>
          </cell>
          <cell r="P1827">
            <v>927147</v>
          </cell>
          <cell r="Q1827" t="str">
            <v>Functioning</v>
          </cell>
          <cell r="R1827" t="str">
            <v>B Braun Melsungen AG</v>
          </cell>
          <cell r="S1827" t="str">
            <v>B Braun Medical Supplies Sdn. Bhd.</v>
          </cell>
          <cell r="T1827" t="str">
            <v>Functioning</v>
          </cell>
          <cell r="V1827">
            <v>6400</v>
          </cell>
          <cell r="W1827" t="str">
            <v>KEW</v>
          </cell>
          <cell r="X1827">
            <v>45120</v>
          </cell>
          <cell r="Y1827" t="str">
            <v>KEW</v>
          </cell>
          <cell r="Z1827">
            <v>45324</v>
          </cell>
          <cell r="AA1827">
            <v>45689</v>
          </cell>
          <cell r="AB1827" t="str">
            <v>YES</v>
          </cell>
          <cell r="AC1827">
            <v>45303</v>
          </cell>
          <cell r="AD1827" t="str">
            <v>Good</v>
          </cell>
          <cell r="AE1827" t="str">
            <v>V3 - Added Installed Facilities (New)</v>
          </cell>
          <cell r="AF1827">
            <v>45508</v>
          </cell>
          <cell r="AJ1827" t="str">
            <v>Strands V3 P2.24</v>
          </cell>
        </row>
        <row r="1828">
          <cell r="A1828" t="str">
            <v>IKN402169</v>
          </cell>
          <cell r="B1828">
            <v>1824</v>
          </cell>
          <cell r="C1828" t="str">
            <v>Institut Kanser Negara</v>
          </cell>
          <cell r="D1828" t="str">
            <v>KKM/IKN/H/23/23</v>
          </cell>
          <cell r="E1828" t="str">
            <v>17-211</v>
          </cell>
          <cell r="F1828" t="str">
            <v>Radiation Survey Meters, Geiger-Muller</v>
          </cell>
          <cell r="G1828" t="str">
            <v>NM</v>
          </cell>
          <cell r="H1828" t="str">
            <v>NUCLEAR MED (DIAGNOSTIC)</v>
          </cell>
          <cell r="I1828" t="str">
            <v>03NM153</v>
          </cell>
          <cell r="J1828" t="str">
            <v>PHYSICS LAB</v>
          </cell>
          <cell r="K1828" t="str">
            <v>BMED</v>
          </cell>
          <cell r="L1828" t="str">
            <v>Normal</v>
          </cell>
          <cell r="N1828" t="str">
            <v>Thermo Scientific</v>
          </cell>
          <cell r="O1828" t="str">
            <v>RADEYE B20 ER Survey Meter</v>
          </cell>
          <cell r="P1828">
            <v>35436</v>
          </cell>
          <cell r="Q1828" t="str">
            <v>Not Applicable</v>
          </cell>
          <cell r="R1828" t="str">
            <v>Thermo Fisher Scientific</v>
          </cell>
          <cell r="S1828" t="str">
            <v>Intech Scientific Sdn Bhd</v>
          </cell>
          <cell r="T1828" t="str">
            <v>Functioning</v>
          </cell>
          <cell r="U1828" t="str">
            <v>Asset</v>
          </cell>
          <cell r="V1828">
            <v>8412.09</v>
          </cell>
          <cell r="W1828" t="str">
            <v>KEW</v>
          </cell>
          <cell r="X1828">
            <v>45124</v>
          </cell>
          <cell r="Y1828" t="str">
            <v>KEW</v>
          </cell>
          <cell r="Z1828">
            <v>45124</v>
          </cell>
          <cell r="AA1828">
            <v>45490</v>
          </cell>
          <cell r="AB1828" t="str">
            <v>No</v>
          </cell>
          <cell r="AC1828">
            <v>45124</v>
          </cell>
          <cell r="AD1828" t="str">
            <v>Good</v>
          </cell>
          <cell r="AE1828" t="str">
            <v>V3 - Added Installed Facilities (New)</v>
          </cell>
          <cell r="AG1828" t="str">
            <v>NA</v>
          </cell>
          <cell r="AH1828" t="str">
            <v>PPM</v>
          </cell>
          <cell r="AI1828" t="str">
            <v>NA</v>
          </cell>
          <cell r="AJ1828" t="str">
            <v>Proposed for V3 P2.23</v>
          </cell>
          <cell r="AK1828" t="str">
            <v>PIC: Hidayah, Asset Donation.</v>
          </cell>
        </row>
        <row r="1829">
          <cell r="A1829" t="str">
            <v>IKN402170</v>
          </cell>
          <cell r="B1829">
            <v>1825</v>
          </cell>
          <cell r="C1829" t="str">
            <v>Institut Kanser Negara</v>
          </cell>
          <cell r="D1829" t="str">
            <v>KKM/IKN/H/23/22</v>
          </cell>
          <cell r="E1829" t="str">
            <v>17-211</v>
          </cell>
          <cell r="F1829" t="str">
            <v>Radiation Survey Meters, Geiger-Muller</v>
          </cell>
          <cell r="G1829" t="str">
            <v>NM</v>
          </cell>
          <cell r="H1829" t="str">
            <v>NUCLEAR MED (DIAGNOSTIC)</v>
          </cell>
          <cell r="I1829" t="str">
            <v>03NM153</v>
          </cell>
          <cell r="J1829" t="str">
            <v>PHYSICS LAB</v>
          </cell>
          <cell r="K1829" t="str">
            <v>BMED</v>
          </cell>
          <cell r="L1829" t="str">
            <v>Normal</v>
          </cell>
          <cell r="N1829" t="str">
            <v>Thermo Scientific</v>
          </cell>
          <cell r="O1829" t="str">
            <v>RADEYE B20 ER Survey Meter</v>
          </cell>
          <cell r="P1829">
            <v>35458</v>
          </cell>
          <cell r="Q1829" t="str">
            <v>Not Applicable</v>
          </cell>
          <cell r="R1829" t="str">
            <v>Thermo Fisher Scientific</v>
          </cell>
          <cell r="S1829" t="str">
            <v>Intech Scientific Sdn Bhd</v>
          </cell>
          <cell r="T1829" t="str">
            <v>Functioning</v>
          </cell>
          <cell r="U1829" t="str">
            <v>Asset</v>
          </cell>
          <cell r="V1829">
            <v>8412.09</v>
          </cell>
          <cell r="W1829" t="str">
            <v>KEW</v>
          </cell>
          <cell r="X1829">
            <v>45124</v>
          </cell>
          <cell r="Y1829" t="str">
            <v>KEW</v>
          </cell>
          <cell r="Z1829">
            <v>45124</v>
          </cell>
          <cell r="AA1829">
            <v>45490</v>
          </cell>
          <cell r="AB1829" t="str">
            <v>No</v>
          </cell>
          <cell r="AC1829">
            <v>45124</v>
          </cell>
          <cell r="AD1829" t="str">
            <v>Good</v>
          </cell>
          <cell r="AE1829" t="str">
            <v>V3 - Added Installed Facilities (New)</v>
          </cell>
          <cell r="AG1829" t="str">
            <v>NA</v>
          </cell>
          <cell r="AH1829" t="str">
            <v>PPM</v>
          </cell>
          <cell r="AI1829" t="str">
            <v>NA</v>
          </cell>
          <cell r="AJ1829" t="str">
            <v>Proposed for V3 P2.23</v>
          </cell>
          <cell r="AK1829" t="str">
            <v>PIC: Hidayah, Asset Donation.</v>
          </cell>
        </row>
        <row r="1830">
          <cell r="A1830" t="str">
            <v>IKN402171</v>
          </cell>
          <cell r="B1830">
            <v>1825</v>
          </cell>
          <cell r="C1830" t="str">
            <v>Institut Kanser Negara</v>
          </cell>
          <cell r="D1830" t="str">
            <v>KKM/IKN/H/23/67</v>
          </cell>
          <cell r="E1830" t="str">
            <v>17-440</v>
          </cell>
          <cell r="F1830" t="str">
            <v>Microscope / Inverted Phase Microscope</v>
          </cell>
          <cell r="G1830" t="str">
            <v>LA</v>
          </cell>
          <cell r="H1830" t="str">
            <v>PATHOLOGY</v>
          </cell>
          <cell r="I1830" t="str">
            <v>04LA127</v>
          </cell>
          <cell r="J1830" t="str">
            <v>PATHOLOGY</v>
          </cell>
          <cell r="K1830" t="str">
            <v>BMED</v>
          </cell>
          <cell r="L1830" t="str">
            <v>NORMAL</v>
          </cell>
          <cell r="M1830" t="str">
            <v>JAPAN</v>
          </cell>
          <cell r="N1830" t="str">
            <v>OLYMPUS</v>
          </cell>
          <cell r="O1830" t="str">
            <v>CK X31SF</v>
          </cell>
          <cell r="P1830" t="str">
            <v>2K65163</v>
          </cell>
          <cell r="R1830" t="str">
            <v>EVIDENT CORPORATION NAGARA</v>
          </cell>
          <cell r="S1830" t="str">
            <v>Matrix Optics (M) Sdn Bhd</v>
          </cell>
          <cell r="T1830" t="str">
            <v>Functioning</v>
          </cell>
          <cell r="U1830" t="str">
            <v>Asset</v>
          </cell>
          <cell r="V1830">
            <v>15864</v>
          </cell>
          <cell r="W1830" t="str">
            <v>KEW</v>
          </cell>
          <cell r="X1830">
            <v>41375</v>
          </cell>
          <cell r="Y1830" t="str">
            <v>KEW</v>
          </cell>
          <cell r="Z1830" t="str">
            <v>NA</v>
          </cell>
          <cell r="AA1830" t="str">
            <v>NA</v>
          </cell>
          <cell r="AB1830" t="str">
            <v>NO</v>
          </cell>
          <cell r="AC1830">
            <v>45027</v>
          </cell>
          <cell r="AD1830" t="str">
            <v>GOOD</v>
          </cell>
          <cell r="AE1830" t="str">
            <v>V3 - Added Installed Facilities (New)</v>
          </cell>
          <cell r="AF1830">
            <v>45370</v>
          </cell>
          <cell r="AG1830" t="str">
            <v>NA</v>
          </cell>
          <cell r="AH1830" t="str">
            <v>PPM</v>
          </cell>
          <cell r="AI1830" t="str">
            <v>NA</v>
          </cell>
          <cell r="AJ1830" t="str">
            <v>Proposed for V3 P1.24</v>
          </cell>
          <cell r="AK1830" t="str">
            <v>ASSET TRANSFER FROM HOSPITAL TUNKU AZIZAH</v>
          </cell>
        </row>
        <row r="1831">
          <cell r="A1831" t="str">
            <v>IKN402172</v>
          </cell>
          <cell r="B1831">
            <v>1825</v>
          </cell>
          <cell r="C1831" t="str">
            <v>TnC Asset Donation Radiology Faezah &amp; Indira 16/5/2024</v>
          </cell>
          <cell r="D1831" t="str">
            <v>KKM/IKN/H/24/10
KKM/BKRP09/H19/6</v>
          </cell>
          <cell r="E1831" t="str">
            <v>15-129</v>
          </cell>
          <cell r="F1831" t="str">
            <v>Densitometers</v>
          </cell>
          <cell r="G1831" t="str">
            <v>ID</v>
          </cell>
          <cell r="H1831" t="str">
            <v>IMAGING DEPARTMENT</v>
          </cell>
          <cell r="I1831" t="str">
            <v>03ID169</v>
          </cell>
          <cell r="J1831" t="str">
            <v>RADIOGRAPHER</v>
          </cell>
          <cell r="K1831" t="str">
            <v>BMED</v>
          </cell>
          <cell r="L1831" t="str">
            <v>Normal</v>
          </cell>
          <cell r="M1831" t="str">
            <v>NA</v>
          </cell>
          <cell r="N1831" t="str">
            <v>IBA Dosimetry</v>
          </cell>
          <cell r="O1831" t="str">
            <v>Unilight D</v>
          </cell>
          <cell r="P1831" t="str">
            <v>N6960</v>
          </cell>
          <cell r="Q1831" t="str">
            <v>Not Applicable</v>
          </cell>
          <cell r="R1831" t="str">
            <v>IBA</v>
          </cell>
          <cell r="S1831" t="str">
            <v>NA</v>
          </cell>
          <cell r="T1831" t="str">
            <v>Functioning</v>
          </cell>
          <cell r="U1831" t="str">
            <v>Asset</v>
          </cell>
          <cell r="V1831">
            <v>3432.12</v>
          </cell>
          <cell r="W1831" t="str">
            <v>KEW</v>
          </cell>
          <cell r="X1831">
            <v>43347</v>
          </cell>
          <cell r="Y1831" t="str">
            <v>KEW</v>
          </cell>
          <cell r="Z1831" t="str">
            <v>NA</v>
          </cell>
          <cell r="AA1831" t="str">
            <v>NA</v>
          </cell>
          <cell r="AB1831" t="str">
            <v>No</v>
          </cell>
          <cell r="AC1831">
            <v>45428</v>
          </cell>
          <cell r="AD1831" t="str">
            <v>Good</v>
          </cell>
          <cell r="AE1831" t="str">
            <v>V3 - Added Installed Facilities (New)</v>
          </cell>
          <cell r="AF1831">
            <v>45449</v>
          </cell>
          <cell r="AG1831" t="str">
            <v>NA</v>
          </cell>
          <cell r="AH1831" t="str">
            <v>PPM</v>
          </cell>
          <cell r="AI1831" t="str">
            <v>NA</v>
          </cell>
          <cell r="AJ1831" t="str">
            <v>Proposed for V3 P1.24</v>
          </cell>
          <cell r="AK1831" t="str">
            <v>From BKRP. Accessories: Adaptor; DC: 9.0V, 500mA. Calibration to ANM.</v>
          </cell>
        </row>
        <row r="1832">
          <cell r="A1832" t="str">
            <v>IKN402173</v>
          </cell>
          <cell r="B1832">
            <v>1825</v>
          </cell>
          <cell r="C1832" t="str">
            <v>TnC Asset Donation Radiology Faezah &amp; Indira 16/5/2024</v>
          </cell>
          <cell r="D1832" t="str">
            <v>KKM/BKRP09/H19/7
KKM/IKN/H/24/9</v>
          </cell>
          <cell r="E1832" t="str">
            <v>16-563</v>
          </cell>
          <cell r="F1832" t="str">
            <v>Sensitometer, Radiographic</v>
          </cell>
          <cell r="G1832" t="str">
            <v>ID</v>
          </cell>
          <cell r="H1832" t="str">
            <v>IMAGING DEPARTMENT</v>
          </cell>
          <cell r="I1832" t="str">
            <v>03ID169</v>
          </cell>
          <cell r="J1832" t="str">
            <v>RADIOGRAPHER</v>
          </cell>
          <cell r="K1832" t="str">
            <v>BMED</v>
          </cell>
          <cell r="L1832" t="str">
            <v>Normal</v>
          </cell>
          <cell r="M1832" t="str">
            <v>Germany/Poland</v>
          </cell>
          <cell r="N1832" t="str">
            <v>IBA Dosimetry</v>
          </cell>
          <cell r="O1832" t="str">
            <v>Unilight S</v>
          </cell>
          <cell r="P1832">
            <v>5882</v>
          </cell>
          <cell r="Q1832" t="str">
            <v>Not Applicable</v>
          </cell>
          <cell r="R1832" t="str">
            <v>IBA</v>
          </cell>
          <cell r="S1832" t="str">
            <v>NA</v>
          </cell>
          <cell r="T1832" t="str">
            <v>Functioning</v>
          </cell>
          <cell r="U1832" t="str">
            <v>Asset</v>
          </cell>
          <cell r="V1832">
            <v>3177.65</v>
          </cell>
          <cell r="W1832" t="str">
            <v>KEW</v>
          </cell>
          <cell r="X1832">
            <v>43347</v>
          </cell>
          <cell r="Y1832" t="str">
            <v>KEW</v>
          </cell>
          <cell r="Z1832" t="str">
            <v>NA</v>
          </cell>
          <cell r="AA1832" t="str">
            <v>NA</v>
          </cell>
          <cell r="AB1832" t="str">
            <v>No</v>
          </cell>
          <cell r="AC1832">
            <v>45428</v>
          </cell>
          <cell r="AD1832" t="str">
            <v>Good</v>
          </cell>
          <cell r="AE1832" t="str">
            <v>V3 - Added Installed Facilities (New)</v>
          </cell>
          <cell r="AF1832">
            <v>45449</v>
          </cell>
          <cell r="AG1832" t="str">
            <v>NA</v>
          </cell>
          <cell r="AH1832" t="str">
            <v>PPM</v>
          </cell>
          <cell r="AI1832" t="str">
            <v>NA</v>
          </cell>
          <cell r="AJ1832" t="str">
            <v>Proposed for V3 P1.24</v>
          </cell>
          <cell r="AK1832" t="str">
            <v>From BKRP. Accessories: Adaptor; DC: 9.6V, 500mA. Battery: ENERGIZER 9V.</v>
          </cell>
        </row>
        <row r="1833">
          <cell r="A1833" t="str">
            <v>IKN402174</v>
          </cell>
          <cell r="B1833">
            <v>1825</v>
          </cell>
          <cell r="C1833" t="str">
            <v>TnC Asset Donation Radiology Faezah &amp; Indira 16/5/2024</v>
          </cell>
          <cell r="D1833" t="str">
            <v>KKM/IKN/H/24/8
KKM/BKRP09/H19/8</v>
          </cell>
          <cell r="E1833" t="str">
            <v>15-605</v>
          </cell>
          <cell r="F1833" t="str">
            <v>Testers (LX Can Luminance Meter)</v>
          </cell>
          <cell r="G1833" t="str">
            <v>ID</v>
          </cell>
          <cell r="H1833" t="str">
            <v>IMAGING DEPARTMENT</v>
          </cell>
          <cell r="I1833" t="str">
            <v>03ID169</v>
          </cell>
          <cell r="J1833" t="str">
            <v>RADIOGRAPHER</v>
          </cell>
          <cell r="K1833" t="str">
            <v>BMED</v>
          </cell>
          <cell r="L1833" t="str">
            <v>Normal</v>
          </cell>
          <cell r="M1833" t="str">
            <v>Germany/Poland</v>
          </cell>
          <cell r="N1833" t="str">
            <v>IBA Dosimetry</v>
          </cell>
          <cell r="O1833" t="str">
            <v>LXCAN</v>
          </cell>
          <cell r="P1833">
            <v>39639</v>
          </cell>
          <cell r="Q1833" t="str">
            <v>Not Applicable</v>
          </cell>
          <cell r="R1833" t="str">
            <v>IBA</v>
          </cell>
          <cell r="S1833" t="str">
            <v>NA</v>
          </cell>
          <cell r="T1833" t="str">
            <v>Functioning</v>
          </cell>
          <cell r="U1833" t="str">
            <v>Asset</v>
          </cell>
          <cell r="V1833">
            <v>8295.6</v>
          </cell>
          <cell r="W1833" t="str">
            <v>KEW</v>
          </cell>
          <cell r="X1833">
            <v>43347</v>
          </cell>
          <cell r="Y1833" t="str">
            <v>KEW</v>
          </cell>
          <cell r="Z1833" t="str">
            <v>NA</v>
          </cell>
          <cell r="AA1833" t="str">
            <v>NA</v>
          </cell>
          <cell r="AB1833" t="str">
            <v>No</v>
          </cell>
          <cell r="AC1833">
            <v>45428</v>
          </cell>
          <cell r="AD1833" t="str">
            <v>Good</v>
          </cell>
          <cell r="AE1833" t="str">
            <v>V3 - Added Installed Facilities (New)</v>
          </cell>
          <cell r="AF1833">
            <v>45449</v>
          </cell>
          <cell r="AG1833" t="str">
            <v>NA</v>
          </cell>
          <cell r="AH1833" t="str">
            <v>PPM</v>
          </cell>
          <cell r="AI1833" t="str">
            <v>NA</v>
          </cell>
          <cell r="AJ1833" t="str">
            <v>Proposed for V3 P1.24</v>
          </cell>
          <cell r="AK1833" t="str">
            <v>From BKRP. Accessories: USB Cable, Illuminance Detector LXLS [SN;37874], Power Supply with 4 Adapters, Mask cover, Carrying case. Calibration to Delta Analyst (Shim).</v>
          </cell>
        </row>
        <row r="1834">
          <cell r="A1834" t="str">
            <v>IKN402175</v>
          </cell>
          <cell r="B1834">
            <v>1825</v>
          </cell>
          <cell r="C1834" t="str">
            <v>TnC Asset Donation Radiology Faezah &amp; Indira 16/5/2024</v>
          </cell>
          <cell r="D1834" t="str">
            <v>KKM/IKN/H/24/1
KKM/BKRP09/H/19/11</v>
          </cell>
          <cell r="E1834" t="str">
            <v>12-660</v>
          </cell>
          <cell r="F1834" t="str">
            <v>Radiation Monitors</v>
          </cell>
          <cell r="G1834" t="str">
            <v>ID</v>
          </cell>
          <cell r="H1834" t="str">
            <v>IMAGING DEPARTMENT</v>
          </cell>
          <cell r="I1834" t="str">
            <v>03ID169</v>
          </cell>
          <cell r="J1834" t="str">
            <v>RADIOGRAPHER</v>
          </cell>
          <cell r="K1834" t="str">
            <v>BMED</v>
          </cell>
          <cell r="L1834" t="str">
            <v>Normal</v>
          </cell>
          <cell r="M1834" t="str">
            <v>Germany/Poland</v>
          </cell>
          <cell r="N1834" t="str">
            <v>IBA Dosimetry</v>
          </cell>
          <cell r="O1834" t="str">
            <v>120-TINO DDP</v>
          </cell>
          <cell r="P1834" t="str">
            <v>01E01683</v>
          </cell>
          <cell r="Q1834" t="str">
            <v>Not Applicable</v>
          </cell>
          <cell r="R1834" t="str">
            <v>IBA</v>
          </cell>
          <cell r="S1834" t="str">
            <v>NA</v>
          </cell>
          <cell r="T1834" t="str">
            <v>Functioning</v>
          </cell>
          <cell r="U1834" t="str">
            <v>Asset</v>
          </cell>
          <cell r="V1834">
            <v>8906.27</v>
          </cell>
          <cell r="W1834" t="str">
            <v>KEW</v>
          </cell>
          <cell r="X1834">
            <v>43347</v>
          </cell>
          <cell r="Y1834" t="str">
            <v>KEW</v>
          </cell>
          <cell r="Z1834" t="str">
            <v>NA</v>
          </cell>
          <cell r="AA1834" t="str">
            <v>NA</v>
          </cell>
          <cell r="AB1834" t="str">
            <v>No</v>
          </cell>
          <cell r="AC1834">
            <v>45428</v>
          </cell>
          <cell r="AD1834" t="str">
            <v>Good</v>
          </cell>
          <cell r="AE1834" t="str">
            <v>V3 - Added Installed Facilities (New)</v>
          </cell>
          <cell r="AF1834">
            <v>45449</v>
          </cell>
          <cell r="AG1834" t="str">
            <v>NA</v>
          </cell>
          <cell r="AH1834" t="str">
            <v>PPM</v>
          </cell>
          <cell r="AI1834" t="str">
            <v>NA</v>
          </cell>
          <cell r="AJ1834" t="str">
            <v>Proposed for V3 P1.24</v>
          </cell>
          <cell r="AK1834" t="str">
            <v>From BKRP. Accessories: Collimator Stand, Alignment tool, Network cable, Printer cable network, switching power supply, Detector (KIV)</v>
          </cell>
        </row>
        <row r="1835">
          <cell r="A1835" t="str">
            <v>IKN402176</v>
          </cell>
          <cell r="B1835">
            <v>1825</v>
          </cell>
          <cell r="C1835" t="str">
            <v>TnC Asset Donation Radiology Faezah &amp; Indira 16/5/2024</v>
          </cell>
          <cell r="D1835" t="str">
            <v>KKM/IKN/H/24/5
KKM/BKRP09/H19/13 &amp; KKM/BKRP09/H19/14
KKM/IKN/H/24/5</v>
          </cell>
          <cell r="E1835" t="str">
            <v>15-605</v>
          </cell>
          <cell r="F1835" t="str">
            <v>Testers</v>
          </cell>
          <cell r="G1835" t="str">
            <v>ID</v>
          </cell>
          <cell r="H1835" t="str">
            <v>IMAGING DEPARTMENT</v>
          </cell>
          <cell r="I1835" t="str">
            <v>03ID169</v>
          </cell>
          <cell r="J1835" t="str">
            <v>RADIOGRAPHER</v>
          </cell>
          <cell r="K1835" t="str">
            <v>BMED</v>
          </cell>
          <cell r="L1835" t="str">
            <v>Normal</v>
          </cell>
          <cell r="M1835" t="str">
            <v>Germany/Poland</v>
          </cell>
          <cell r="N1835" t="str">
            <v>IBA Densitometry</v>
          </cell>
          <cell r="O1835" t="str">
            <v>MAGICMAX UNIVERSAL</v>
          </cell>
          <cell r="P1835" t="str">
            <v>G18-0608</v>
          </cell>
          <cell r="Q1835" t="str">
            <v>Not Applicable</v>
          </cell>
          <cell r="R1835" t="str">
            <v>IBA</v>
          </cell>
          <cell r="S1835" t="str">
            <v>NA</v>
          </cell>
          <cell r="T1835" t="str">
            <v>Functioning</v>
          </cell>
          <cell r="U1835" t="str">
            <v>Asset</v>
          </cell>
          <cell r="V1835">
            <v>29164.880000000001</v>
          </cell>
          <cell r="W1835" t="str">
            <v>KEW</v>
          </cell>
          <cell r="X1835">
            <v>43347</v>
          </cell>
          <cell r="Y1835" t="str">
            <v>KEW</v>
          </cell>
          <cell r="Z1835" t="str">
            <v>NA</v>
          </cell>
          <cell r="AA1835" t="str">
            <v>NA</v>
          </cell>
          <cell r="AB1835" t="str">
            <v>No</v>
          </cell>
          <cell r="AC1835">
            <v>45428</v>
          </cell>
          <cell r="AD1835" t="str">
            <v>Good</v>
          </cell>
          <cell r="AE1835" t="str">
            <v>V3 - Added Installed Facilities (New)</v>
          </cell>
          <cell r="AF1835">
            <v>45449</v>
          </cell>
          <cell r="AG1835" t="str">
            <v>NA</v>
          </cell>
          <cell r="AH1835" t="str">
            <v>PPM</v>
          </cell>
          <cell r="AI1835" t="str">
            <v>NA</v>
          </cell>
          <cell r="AJ1835" t="str">
            <v>Proposed for V3 P1.24</v>
          </cell>
          <cell r="AK1835" t="str">
            <v>From BKRP. Accessories: XR Detector, XM Detector, CT Pencil Dosimeter/Ionisation Chamber, USB Adapter, Pendrive, Microsoft Surface (Laptop). Calibration to ANM &amp; VNA Engineering.</v>
          </cell>
        </row>
        <row r="1836">
          <cell r="A1836" t="str">
            <v>IKN402177</v>
          </cell>
          <cell r="B1836">
            <v>1825</v>
          </cell>
          <cell r="C1836" t="str">
            <v>TnC Asset Donation Radiology Faezah &amp; Indira 16/5/2024</v>
          </cell>
          <cell r="D1836" t="str">
            <v>KKM/IKN/H/24/3
KKM/BKRP09/H19/15 
KKM/IKN/H/24/3</v>
          </cell>
          <cell r="E1836" t="str">
            <v>17-212</v>
          </cell>
          <cell r="F1836" t="str">
            <v>Radiation Survey Meters, Ionization Chamber</v>
          </cell>
          <cell r="G1836" t="str">
            <v>ID</v>
          </cell>
          <cell r="H1836" t="str">
            <v>IMAGING DEPARTMENT</v>
          </cell>
          <cell r="I1836" t="str">
            <v>03ID169</v>
          </cell>
          <cell r="J1836" t="str">
            <v>RADIOGRAPHER</v>
          </cell>
          <cell r="K1836" t="str">
            <v>BMED</v>
          </cell>
          <cell r="L1836" t="str">
            <v>Normal</v>
          </cell>
          <cell r="M1836" t="str">
            <v>Germany/Poland</v>
          </cell>
          <cell r="N1836" t="str">
            <v>STEP</v>
          </cell>
          <cell r="O1836" t="str">
            <v>OD-02</v>
          </cell>
          <cell r="P1836" t="str">
            <v>OD-021-81615</v>
          </cell>
          <cell r="Q1836" t="str">
            <v>Not Applicable</v>
          </cell>
          <cell r="R1836" t="str">
            <v>STEP</v>
          </cell>
          <cell r="S1836" t="str">
            <v>NA</v>
          </cell>
          <cell r="T1836" t="str">
            <v>Functioning</v>
          </cell>
          <cell r="U1836" t="str">
            <v>Asset</v>
          </cell>
          <cell r="V1836">
            <v>26699.73</v>
          </cell>
          <cell r="W1836" t="str">
            <v>KEW</v>
          </cell>
          <cell r="X1836">
            <v>43347</v>
          </cell>
          <cell r="Y1836" t="str">
            <v>KEW</v>
          </cell>
          <cell r="Z1836" t="str">
            <v>NA</v>
          </cell>
          <cell r="AA1836" t="str">
            <v>NA</v>
          </cell>
          <cell r="AB1836" t="str">
            <v>No</v>
          </cell>
          <cell r="AC1836">
            <v>45428</v>
          </cell>
          <cell r="AD1836" t="str">
            <v>Good</v>
          </cell>
          <cell r="AE1836" t="str">
            <v>V3 - Added Installed Facilities (New)</v>
          </cell>
          <cell r="AF1836">
            <v>45449</v>
          </cell>
          <cell r="AG1836" t="str">
            <v>NA</v>
          </cell>
          <cell r="AH1836" t="str">
            <v>PPM</v>
          </cell>
          <cell r="AI1836" t="str">
            <v>NA</v>
          </cell>
          <cell r="AJ1836" t="str">
            <v>Proposed for V3 P1.24</v>
          </cell>
          <cell r="AK1836" t="str">
            <v>From BKRP. Accessories: Detector Probe, Stand, Battery 1.5V AAA.</v>
          </cell>
        </row>
        <row r="1837">
          <cell r="A1837" t="str">
            <v>IKN402178</v>
          </cell>
          <cell r="B1837">
            <v>1825</v>
          </cell>
          <cell r="C1837" t="str">
            <v>Air Samplers PET CT TnC 2023</v>
          </cell>
          <cell r="D1837" t="str">
            <v>KKM/IKN/H/23/14</v>
          </cell>
          <cell r="E1837" t="str">
            <v>10-051</v>
          </cell>
          <cell r="F1837" t="str">
            <v>Air Samplers</v>
          </cell>
          <cell r="G1837" t="str">
            <v>NM</v>
          </cell>
          <cell r="H1837" t="str">
            <v>NUCLEAR MED (DIAGNOSTIC)</v>
          </cell>
          <cell r="I1837" t="str">
            <v>PET CT</v>
          </cell>
          <cell r="J1837" t="str">
            <v>PET CT, HPJ</v>
          </cell>
          <cell r="K1837" t="str">
            <v>BMED</v>
          </cell>
          <cell r="L1837" t="str">
            <v>Normal</v>
          </cell>
          <cell r="N1837" t="str">
            <v>MAS</v>
          </cell>
          <cell r="O1837" t="str">
            <v>MAS-100 NT</v>
          </cell>
          <cell r="P1837">
            <v>124071</v>
          </cell>
          <cell r="Q1837" t="str">
            <v>Not Applicable</v>
          </cell>
          <cell r="R1837" t="str">
            <v>MERCK KGAA</v>
          </cell>
          <cell r="S1837" t="str">
            <v>MERCK SDN BHD</v>
          </cell>
          <cell r="T1837" t="str">
            <v>Functioning</v>
          </cell>
          <cell r="U1837" t="str">
            <v>Asset</v>
          </cell>
          <cell r="V1837">
            <v>52568.56</v>
          </cell>
          <cell r="W1837" t="str">
            <v>KEW</v>
          </cell>
          <cell r="X1837">
            <v>44984</v>
          </cell>
          <cell r="Y1837" t="str">
            <v>KEW</v>
          </cell>
          <cell r="Z1837">
            <v>44984</v>
          </cell>
          <cell r="AA1837">
            <v>45348</v>
          </cell>
          <cell r="AB1837" t="str">
            <v>No</v>
          </cell>
          <cell r="AC1837">
            <v>44984</v>
          </cell>
          <cell r="AD1837" t="str">
            <v>Good</v>
          </cell>
          <cell r="AE1837" t="str">
            <v>V3 - Added Installed Facilities (New)</v>
          </cell>
          <cell r="AF1837">
            <v>45222</v>
          </cell>
          <cell r="AG1837" t="str">
            <v>NA</v>
          </cell>
          <cell r="AH1837" t="str">
            <v>PPM</v>
          </cell>
          <cell r="AI1837" t="str">
            <v>NA</v>
          </cell>
          <cell r="AJ1837" t="str">
            <v>Proposed for V3 P2.23</v>
          </cell>
          <cell r="AK1837" t="str">
            <v>Power Cord</v>
          </cell>
        </row>
        <row r="1838">
          <cell r="A1838" t="str">
            <v>IKN402179</v>
          </cell>
          <cell r="B1838">
            <v>1825</v>
          </cell>
          <cell r="C1838" t="str">
            <v>Institut Kanser Negara</v>
          </cell>
          <cell r="D1838" t="str">
            <v>KKM/IKN/H/24/33</v>
          </cell>
          <cell r="E1838" t="str">
            <v>20-161</v>
          </cell>
          <cell r="F1838" t="str">
            <v>Scanning Systems, Computed Tomography/ Positron Emission Tomography</v>
          </cell>
          <cell r="G1838" t="str">
            <v>NM</v>
          </cell>
          <cell r="H1838" t="str">
            <v>NUCLEAR MED (DIAGNOSTIC)</v>
          </cell>
          <cell r="I1838" t="str">
            <v>03NM161</v>
          </cell>
          <cell r="J1838" t="str">
            <v>BILIK SPECT-CT</v>
          </cell>
          <cell r="K1838" t="str">
            <v>BMED</v>
          </cell>
          <cell r="L1838" t="str">
            <v>Normal</v>
          </cell>
          <cell r="M1838" t="str">
            <v>CHINA</v>
          </cell>
          <cell r="N1838" t="str">
            <v>GE HEALTHCARE</v>
          </cell>
          <cell r="O1838" t="str">
            <v>NM/CT870DR</v>
          </cell>
          <cell r="P1838" t="str">
            <v>237855HL2</v>
          </cell>
          <cell r="R1838" t="str">
            <v>GE HEALTHCARE</v>
          </cell>
          <cell r="S1838" t="str">
            <v>GE HEALTHCARE SDN BHD</v>
          </cell>
          <cell r="T1838" t="str">
            <v>Functioning</v>
          </cell>
          <cell r="U1838" t="str">
            <v>Asset</v>
          </cell>
          <cell r="V1838">
            <v>3410390</v>
          </cell>
          <cell r="W1838" t="str">
            <v>KEW</v>
          </cell>
          <cell r="X1838">
            <v>45120</v>
          </cell>
          <cell r="Y1838" t="str">
            <v>KEW</v>
          </cell>
          <cell r="Z1838">
            <v>45315</v>
          </cell>
          <cell r="AA1838">
            <v>45681</v>
          </cell>
          <cell r="AB1838" t="str">
            <v>YES</v>
          </cell>
          <cell r="AC1838">
            <v>45315</v>
          </cell>
          <cell r="AD1838" t="str">
            <v>Good</v>
          </cell>
          <cell r="AE1838" t="str">
            <v>V3 - Added Installed Facilities (New)</v>
          </cell>
          <cell r="AF1838">
            <v>45508</v>
          </cell>
          <cell r="AJ1838" t="str">
            <v>Strands V3 P2.24</v>
          </cell>
        </row>
        <row r="1839">
          <cell r="A1839" t="str">
            <v>IKN402180</v>
          </cell>
          <cell r="B1839">
            <v>1826</v>
          </cell>
          <cell r="C1839" t="str">
            <v>Institut Kanser Negara</v>
          </cell>
          <cell r="D1839" t="str">
            <v>KKM/IKN/H/24/32</v>
          </cell>
          <cell r="E1839" t="str">
            <v>20-161</v>
          </cell>
          <cell r="F1839" t="str">
            <v>Scanning Systems, Computed Tomography/ Positron Emission Tomography</v>
          </cell>
          <cell r="G1839" t="str">
            <v>NM</v>
          </cell>
          <cell r="H1839" t="str">
            <v>NUCLEAR MED (DIAGNOSTIC)</v>
          </cell>
          <cell r="I1839" t="str">
            <v>03NM158</v>
          </cell>
          <cell r="J1839" t="str">
            <v>BILIK SPECT-CT</v>
          </cell>
          <cell r="K1839" t="str">
            <v>BMED</v>
          </cell>
          <cell r="L1839" t="str">
            <v>Normal</v>
          </cell>
          <cell r="M1839" t="str">
            <v>CHINA</v>
          </cell>
          <cell r="N1839" t="str">
            <v>GE HEALTHCARE</v>
          </cell>
          <cell r="O1839" t="str">
            <v>NM/CT870DR</v>
          </cell>
          <cell r="P1839" t="str">
            <v>238155HL6</v>
          </cell>
          <cell r="R1839" t="str">
            <v>GE HEALTHCARE</v>
          </cell>
          <cell r="S1839" t="str">
            <v>GE HEALTHCARE SDN BHD</v>
          </cell>
          <cell r="T1839" t="str">
            <v>Functioning</v>
          </cell>
          <cell r="U1839" t="str">
            <v>Asset</v>
          </cell>
          <cell r="V1839">
            <v>3413750</v>
          </cell>
          <cell r="W1839" t="str">
            <v>KEW</v>
          </cell>
          <cell r="X1839">
            <v>45120</v>
          </cell>
          <cell r="Y1839" t="str">
            <v>KEW</v>
          </cell>
          <cell r="Z1839">
            <v>45315</v>
          </cell>
          <cell r="AA1839">
            <v>45681</v>
          </cell>
          <cell r="AB1839" t="str">
            <v>YES</v>
          </cell>
          <cell r="AC1839">
            <v>45315</v>
          </cell>
          <cell r="AD1839" t="str">
            <v>Good</v>
          </cell>
          <cell r="AE1839" t="str">
            <v>V3 - Added Installed Facilities (New)</v>
          </cell>
          <cell r="AF1839">
            <v>45508</v>
          </cell>
          <cell r="AJ1839" t="str">
            <v>Strands V3 P2.24</v>
          </cell>
        </row>
        <row r="1840">
          <cell r="A1840" t="str">
            <v>IKN402183</v>
          </cell>
          <cell r="B1840">
            <v>1829</v>
          </cell>
          <cell r="C1840" t="str">
            <v>Institut Kanser Negara</v>
          </cell>
          <cell r="D1840" t="str">
            <v>KKM/IKN/H/24/32-28</v>
          </cell>
          <cell r="F1840" t="str">
            <v>Physiologic Monitoring Systems, Acute Care</v>
          </cell>
          <cell r="G1840" t="str">
            <v>NM</v>
          </cell>
          <cell r="H1840" t="str">
            <v>NUCLEAR MED (DIAGNOSTIC)</v>
          </cell>
          <cell r="I1840" t="str">
            <v>03NM158</v>
          </cell>
          <cell r="J1840" t="str">
            <v>BILIK SPECT-CT</v>
          </cell>
          <cell r="K1840" t="str">
            <v>BMED</v>
          </cell>
          <cell r="L1840" t="str">
            <v>Normal</v>
          </cell>
          <cell r="M1840" t="str">
            <v>CHINA</v>
          </cell>
          <cell r="N1840" t="str">
            <v>GE HEALTHCARE</v>
          </cell>
          <cell r="O1840" t="str">
            <v>IVY CARDIAC TRIGGER MONITOR 7600</v>
          </cell>
          <cell r="P1840">
            <v>23091071</v>
          </cell>
          <cell r="R1840" t="str">
            <v>GE HEALTHCARE SDN BHD</v>
          </cell>
          <cell r="S1840" t="str">
            <v>TRUST ELECTRONIC ENGINEERING</v>
          </cell>
          <cell r="T1840" t="str">
            <v>Functioning</v>
          </cell>
          <cell r="U1840" t="str">
            <v>ASSET</v>
          </cell>
          <cell r="V1840" t="str">
            <v>RM100,00.00</v>
          </cell>
          <cell r="W1840" t="str">
            <v>KEW</v>
          </cell>
          <cell r="X1840">
            <v>45486</v>
          </cell>
          <cell r="Y1840" t="str">
            <v>KEW</v>
          </cell>
          <cell r="Z1840">
            <v>45579</v>
          </cell>
          <cell r="AA1840">
            <v>45681</v>
          </cell>
          <cell r="AB1840" t="str">
            <v>YES</v>
          </cell>
          <cell r="AC1840">
            <v>45315</v>
          </cell>
          <cell r="AD1840" t="str">
            <v>Good</v>
          </cell>
          <cell r="AE1840" t="str">
            <v>V3 - Added Installed Facilities (New)</v>
          </cell>
          <cell r="AF1840">
            <v>45579</v>
          </cell>
          <cell r="AG1840" t="str">
            <v>NA</v>
          </cell>
          <cell r="AH1840" t="str">
            <v>PPM</v>
          </cell>
          <cell r="AI1840" t="str">
            <v>NA</v>
          </cell>
          <cell r="AJ1840" t="str">
            <v>Strands V3 P2.24</v>
          </cell>
        </row>
        <row r="1841">
          <cell r="A1841" t="str">
            <v>IKN402184</v>
          </cell>
          <cell r="B1841">
            <v>1830</v>
          </cell>
          <cell r="C1841" t="str">
            <v>Institut Kanser Negara</v>
          </cell>
          <cell r="D1841" t="str">
            <v>KKM/IKN/H/24/32-29</v>
          </cell>
          <cell r="F1841" t="str">
            <v>Physiologic Monitoring Systems, Acute Care</v>
          </cell>
          <cell r="G1841" t="str">
            <v>NM</v>
          </cell>
          <cell r="H1841" t="str">
            <v>NUCLEAR MED (DIAGNOSTIC)</v>
          </cell>
          <cell r="I1841" t="str">
            <v>03NM162</v>
          </cell>
          <cell r="J1841" t="str">
            <v>BILIK SPECT-CT</v>
          </cell>
          <cell r="K1841" t="str">
            <v>BMED</v>
          </cell>
          <cell r="L1841" t="str">
            <v>Normal</v>
          </cell>
          <cell r="M1841" t="str">
            <v>CHINA</v>
          </cell>
          <cell r="N1841" t="str">
            <v>GE HEALTHCARE</v>
          </cell>
          <cell r="O1841" t="str">
            <v>IVY CARDIAC TRIGGER MONITOR 7601</v>
          </cell>
          <cell r="P1841">
            <v>23070049</v>
          </cell>
          <cell r="R1841" t="str">
            <v>GE HEALTHCARE SDN BHD</v>
          </cell>
          <cell r="S1841" t="str">
            <v>TRUST ELECTRONIC ENGINEERING</v>
          </cell>
          <cell r="T1841" t="str">
            <v>Functioning</v>
          </cell>
          <cell r="U1841" t="str">
            <v>ASSET</v>
          </cell>
          <cell r="V1841" t="str">
            <v>RM100,00.00</v>
          </cell>
          <cell r="W1841" t="str">
            <v>KEW</v>
          </cell>
          <cell r="X1841">
            <v>45120</v>
          </cell>
          <cell r="Y1841" t="str">
            <v>KEW</v>
          </cell>
          <cell r="Z1841">
            <v>45579</v>
          </cell>
          <cell r="AA1841">
            <v>45681</v>
          </cell>
          <cell r="AB1841" t="str">
            <v>YES</v>
          </cell>
          <cell r="AC1841">
            <v>45315</v>
          </cell>
          <cell r="AD1841" t="str">
            <v>Good</v>
          </cell>
          <cell r="AE1841" t="str">
            <v>V3 - Added Installed Facilities (New)</v>
          </cell>
          <cell r="AF1841">
            <v>45579</v>
          </cell>
          <cell r="AG1841" t="str">
            <v>NA</v>
          </cell>
          <cell r="AH1841" t="str">
            <v>PPM</v>
          </cell>
          <cell r="AI1841" t="str">
            <v>NA</v>
          </cell>
          <cell r="AJ1841" t="str">
            <v>Strands V3 P2.24</v>
          </cell>
        </row>
        <row r="1842">
          <cell r="A1842" t="str">
            <v>IKN402188</v>
          </cell>
          <cell r="C1842" t="str">
            <v>Institut Kanser Negara</v>
          </cell>
          <cell r="D1842" t="str">
            <v>KKM/IKN/H/24/33-09</v>
          </cell>
          <cell r="E1842" t="str">
            <v>12-716</v>
          </cell>
          <cell r="F1842" t="str">
            <v>Nebulizers, Nonheated</v>
          </cell>
          <cell r="G1842" t="str">
            <v>NM</v>
          </cell>
          <cell r="H1842" t="str">
            <v>NUCLEAR MED (DIAGNOSTIC)</v>
          </cell>
          <cell r="I1842" t="str">
            <v>03NM150</v>
          </cell>
          <cell r="J1842" t="str">
            <v>BILIK PROSEDUR VENTILASI</v>
          </cell>
          <cell r="M1842" t="str">
            <v>USA</v>
          </cell>
          <cell r="O1842" t="str">
            <v>TECHNEGAS PLUS</v>
          </cell>
          <cell r="P1842" t="str">
            <v>TP 232312</v>
          </cell>
          <cell r="Q1842" t="str">
            <v>Not Applicable</v>
          </cell>
          <cell r="R1842" t="str">
            <v>CYCLOMEDICA AUSTRALIA PTY LTD</v>
          </cell>
          <cell r="T1842" t="str">
            <v>Functioning</v>
          </cell>
          <cell r="U1842" t="str">
            <v>ASSET</v>
          </cell>
          <cell r="V1842">
            <v>277509</v>
          </cell>
          <cell r="W1842" t="str">
            <v>KEW</v>
          </cell>
          <cell r="X1842">
            <v>45120</v>
          </cell>
          <cell r="Y1842" t="str">
            <v>KEW</v>
          </cell>
          <cell r="Z1842">
            <v>45579</v>
          </cell>
          <cell r="AA1842">
            <v>45681</v>
          </cell>
          <cell r="AB1842" t="str">
            <v>YES</v>
          </cell>
          <cell r="AC1842">
            <v>45315</v>
          </cell>
          <cell r="AD1842" t="str">
            <v>Good</v>
          </cell>
          <cell r="AE1842" t="str">
            <v>V3 - Added Installed Facilities (New)</v>
          </cell>
          <cell r="AF1842">
            <v>45508</v>
          </cell>
          <cell r="AG1842" t="str">
            <v>NA</v>
          </cell>
          <cell r="AH1842" t="str">
            <v>PPM</v>
          </cell>
          <cell r="AI1842" t="str">
            <v>NA</v>
          </cell>
          <cell r="AJ1842" t="str">
            <v>Strands V3 P2.24</v>
          </cell>
        </row>
        <row r="1843">
          <cell r="A1843" t="str">
            <v>IKN402189</v>
          </cell>
          <cell r="C1843" t="str">
            <v>TnC indira bacti incenarator 7/11/2024</v>
          </cell>
          <cell r="F1843" t="str">
            <v>Bacti Incinerator/Infared Sterilizer</v>
          </cell>
          <cell r="G1843" t="str">
            <v>LA</v>
          </cell>
          <cell r="H1843" t="str">
            <v>PATHOLOGY</v>
          </cell>
          <cell r="AH1843" t="str">
            <v>PPM</v>
          </cell>
          <cell r="AI1843" t="str">
            <v>NA</v>
          </cell>
          <cell r="AJ1843" t="str">
            <v>Strands V3 P2.24</v>
          </cell>
        </row>
        <row r="1844">
          <cell r="A1844" t="str">
            <v>IKN402190</v>
          </cell>
          <cell r="C1844" t="str">
            <v>TnC indira bacti incenarator 7/11/2024</v>
          </cell>
          <cell r="F1844" t="str">
            <v>Bacti Incinerator/Infared Sterilizer</v>
          </cell>
          <cell r="G1844" t="str">
            <v>LA</v>
          </cell>
          <cell r="H1844" t="str">
            <v>PATHOLOGY</v>
          </cell>
        </row>
        <row r="1845">
          <cell r="A1845" t="str">
            <v>IKN402191</v>
          </cell>
          <cell r="C1845" t="str">
            <v>TnC indira bacti incenarator 7/11/2024</v>
          </cell>
          <cell r="F1845" t="str">
            <v>Bacti Incinerator/Infared Sterilizer</v>
          </cell>
          <cell r="G1845" t="str">
            <v>LA</v>
          </cell>
          <cell r="H1845" t="str">
            <v>PATHOLOGY</v>
          </cell>
        </row>
        <row r="1846">
          <cell r="A1846" t="str">
            <v>IKN402192</v>
          </cell>
          <cell r="C1846" t="str">
            <v>TnC fareez 19/11/2024</v>
          </cell>
          <cell r="F1846" t="str">
            <v>Defibrillator Machine</v>
          </cell>
          <cell r="G1846" t="str">
            <v>ED</v>
          </cell>
          <cell r="H1846" t="str">
            <v>EMERGENCY UNIT</v>
          </cell>
        </row>
        <row r="1847">
          <cell r="A1847" t="str">
            <v>IKN402193</v>
          </cell>
          <cell r="C1847" t="str">
            <v>TnC fareez 19/11/2024</v>
          </cell>
          <cell r="F1847" t="str">
            <v>Automated External Defibrillator (AED) Machine</v>
          </cell>
          <cell r="G1847" t="str">
            <v>ED</v>
          </cell>
          <cell r="H1847" t="str">
            <v>EMERGENCY UNIT</v>
          </cell>
        </row>
        <row r="1848">
          <cell r="A1848" t="str">
            <v>IKN402193</v>
          </cell>
          <cell r="C1848" t="str">
            <v>TnC fareez 19/11/2024</v>
          </cell>
          <cell r="F1848" t="str">
            <v>Automated External Defibrillator (AED) Machine</v>
          </cell>
          <cell r="G1848" t="str">
            <v>ED</v>
          </cell>
          <cell r="H1848" t="str">
            <v>EMERGENCY UNIT</v>
          </cell>
        </row>
        <row r="1849">
          <cell r="A1849" t="str">
            <v>IKN402194</v>
          </cell>
          <cell r="C1849" t="str">
            <v>TnC Anis 23/1/2025</v>
          </cell>
          <cell r="D1849" t="str">
            <v>KKM/IKN/H/25/14</v>
          </cell>
          <cell r="F1849" t="str">
            <v>Ultrasound Echo</v>
          </cell>
          <cell r="G1849" t="str">
            <v>OC</v>
          </cell>
          <cell r="H1849" t="str">
            <v>ONCOLOGY CLINIC</v>
          </cell>
          <cell r="I1849" t="str">
            <v>03OC136</v>
          </cell>
          <cell r="K1849" t="str">
            <v>BMED</v>
          </cell>
          <cell r="L1849" t="str">
            <v>NORMAL</v>
          </cell>
          <cell r="O1849" t="str">
            <v>IE 33</v>
          </cell>
          <cell r="P1849" t="str">
            <v>B009BF</v>
          </cell>
          <cell r="R1849" t="str">
            <v>PHILIPS</v>
          </cell>
          <cell r="T1849" t="str">
            <v>FUNCTIONING</v>
          </cell>
          <cell r="U1849" t="str">
            <v>ASSET</v>
          </cell>
          <cell r="V1849">
            <v>1454500</v>
          </cell>
          <cell r="AC1849">
            <v>45680</v>
          </cell>
          <cell r="AD1849" t="str">
            <v>GOOD</v>
          </cell>
        </row>
      </sheetData>
      <sheetData sheetId="1" refreshError="1"/>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DI"/>
      <sheetName val="Public Holiday"/>
      <sheetName val="BEMSdar"/>
      <sheetName val="B1&amp; B2 UNSCHEDULED"/>
      <sheetName val="B3-SCHEDULED  "/>
      <sheetName val="B4-UPTIME"/>
      <sheetName val="B5-T&amp;C"/>
      <sheetName val="Sheet1"/>
      <sheetName val="Sheet2"/>
    </sheetNames>
    <sheetDataSet>
      <sheetData sheetId="0" refreshError="1"/>
      <sheetData sheetId="1" refreshError="1"/>
      <sheetData sheetId="2" refreshError="1"/>
      <sheetData sheetId="3" refreshError="1">
        <row r="24">
          <cell r="O24">
            <v>0</v>
          </cell>
        </row>
      </sheetData>
      <sheetData sheetId="4" refreshError="1"/>
      <sheetData sheetId="5" refreshError="1"/>
      <sheetData sheetId="6" refreshError="1"/>
      <sheetData sheetId="7" refreshError="1"/>
      <sheetData sheetId="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DI"/>
      <sheetName val="Public Holiday"/>
      <sheetName val="BEMSdar"/>
      <sheetName val="B1&amp; B2 UNSCHEDULED"/>
      <sheetName val="B3-SCHEDULED (AUGUST)"/>
      <sheetName val="B3-SCHEDULED (SEPTEMBER)"/>
      <sheetName val="B4-UPTIME "/>
      <sheetName val="B5-T&amp;C"/>
      <sheetName val="Sheet1"/>
      <sheetName val="Sheet2"/>
    </sheetNames>
    <sheetDataSet>
      <sheetData sheetId="0"/>
      <sheetData sheetId="1"/>
      <sheetData sheetId="2">
        <row r="11">
          <cell r="E11">
            <v>1437864.7725</v>
          </cell>
        </row>
        <row r="13">
          <cell r="E13">
            <v>36868.327499999999</v>
          </cell>
        </row>
      </sheetData>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O11"/>
  <sheetViews>
    <sheetView showGridLines="0" zoomScale="70" zoomScaleNormal="70" workbookViewId="0">
      <selection activeCell="M4" sqref="M4"/>
    </sheetView>
  </sheetViews>
  <sheetFormatPr defaultColWidth="9.1796875" defaultRowHeight="14"/>
  <cols>
    <col min="1" max="1" width="15.54296875" style="443" customWidth="1"/>
    <col min="2" max="2" width="21.26953125" style="443" customWidth="1"/>
    <col min="3" max="3" width="23" style="443" customWidth="1"/>
    <col min="4" max="4" width="3" style="443" customWidth="1"/>
    <col min="5" max="5" width="15.81640625" style="443" customWidth="1"/>
    <col min="6" max="6" width="17.1796875" style="443" customWidth="1"/>
    <col min="7" max="7" width="17.54296875" style="443" customWidth="1"/>
    <col min="8" max="8" width="13" style="443" customWidth="1"/>
    <col min="9" max="9" width="12.54296875" style="443" customWidth="1"/>
    <col min="10" max="10" width="15.81640625" style="443" customWidth="1"/>
    <col min="11" max="14" width="20" style="443" customWidth="1"/>
    <col min="15" max="16384" width="9.1796875" style="443"/>
  </cols>
  <sheetData>
    <row r="1" spans="1:15" s="442" customFormat="1" ht="31.5" customHeight="1">
      <c r="A1" s="670" t="s">
        <v>0</v>
      </c>
      <c r="B1" s="641" t="s">
        <v>1</v>
      </c>
      <c r="C1" s="642"/>
      <c r="D1" s="643"/>
      <c r="E1" s="635" t="s">
        <v>2</v>
      </c>
      <c r="F1" s="635" t="s">
        <v>3</v>
      </c>
      <c r="G1" s="635"/>
      <c r="H1" s="641" t="s">
        <v>4</v>
      </c>
      <c r="I1" s="643"/>
      <c r="J1" s="635" t="s">
        <v>5</v>
      </c>
    </row>
    <row r="2" spans="1:15" s="442" customFormat="1" ht="26.25" customHeight="1">
      <c r="A2" s="671"/>
      <c r="B2" s="644"/>
      <c r="C2" s="645"/>
      <c r="D2" s="646"/>
      <c r="E2" s="636"/>
      <c r="F2" s="446" t="s">
        <v>6</v>
      </c>
      <c r="G2" s="446" t="s">
        <v>7</v>
      </c>
      <c r="H2" s="647"/>
      <c r="I2" s="648"/>
      <c r="J2" s="636"/>
    </row>
    <row r="3" spans="1:15" ht="140">
      <c r="A3" s="444" t="s">
        <v>8</v>
      </c>
      <c r="B3" s="678" t="s">
        <v>9</v>
      </c>
      <c r="C3" s="679"/>
      <c r="D3" s="680"/>
      <c r="E3" s="447" t="s">
        <v>10</v>
      </c>
      <c r="F3" s="447" t="s">
        <v>11</v>
      </c>
      <c r="G3" s="447" t="s">
        <v>12</v>
      </c>
      <c r="H3" s="666" t="s">
        <v>13</v>
      </c>
      <c r="I3" s="667"/>
      <c r="J3" s="447">
        <v>1</v>
      </c>
    </row>
    <row r="4" spans="1:15" ht="140">
      <c r="A4" s="445" t="s">
        <v>14</v>
      </c>
      <c r="B4" s="678" t="s">
        <v>15</v>
      </c>
      <c r="C4" s="679"/>
      <c r="D4" s="680"/>
      <c r="E4" s="447" t="s">
        <v>16</v>
      </c>
      <c r="F4" s="448" t="s">
        <v>11</v>
      </c>
      <c r="G4" s="448" t="s">
        <v>12</v>
      </c>
      <c r="H4" s="668" t="s">
        <v>13</v>
      </c>
      <c r="I4" s="669"/>
      <c r="J4" s="447" t="s">
        <v>17</v>
      </c>
    </row>
    <row r="5" spans="1:15" ht="140">
      <c r="A5" s="672" t="s">
        <v>18</v>
      </c>
      <c r="B5" s="649" t="s">
        <v>19</v>
      </c>
      <c r="C5" s="650"/>
      <c r="D5" s="651"/>
      <c r="E5" s="637" t="s">
        <v>10</v>
      </c>
      <c r="F5" s="450" t="s">
        <v>20</v>
      </c>
      <c r="G5" s="450" t="s">
        <v>21</v>
      </c>
      <c r="H5" s="637" t="s">
        <v>13</v>
      </c>
      <c r="I5" s="637"/>
      <c r="J5" s="637">
        <v>1</v>
      </c>
    </row>
    <row r="6" spans="1:15" ht="35.25" customHeight="1">
      <c r="A6" s="673"/>
      <c r="B6" s="652"/>
      <c r="C6" s="653"/>
      <c r="D6" s="654"/>
      <c r="E6" s="638"/>
      <c r="F6" s="638" t="s">
        <v>22</v>
      </c>
      <c r="G6" s="638"/>
      <c r="H6" s="638"/>
      <c r="I6" s="638"/>
      <c r="J6" s="638"/>
    </row>
    <row r="7" spans="1:15" ht="58">
      <c r="A7" s="674" t="s">
        <v>23</v>
      </c>
      <c r="B7" s="655" t="s">
        <v>24</v>
      </c>
      <c r="C7" s="656"/>
      <c r="D7" s="657"/>
      <c r="E7" s="639" t="s">
        <v>10</v>
      </c>
      <c r="F7" s="451"/>
      <c r="G7" s="452"/>
      <c r="H7" s="453" t="s">
        <v>25</v>
      </c>
      <c r="I7" s="456" t="s">
        <v>26</v>
      </c>
      <c r="J7" s="639">
        <v>2</v>
      </c>
    </row>
    <row r="8" spans="1:15" ht="144.75" customHeight="1">
      <c r="A8" s="675"/>
      <c r="B8" s="652"/>
      <c r="C8" s="653"/>
      <c r="D8" s="654"/>
      <c r="E8" s="639"/>
      <c r="F8" s="449" t="s">
        <v>20</v>
      </c>
      <c r="G8" s="454" t="s">
        <v>21</v>
      </c>
      <c r="H8" s="448" t="s">
        <v>13</v>
      </c>
      <c r="I8" s="448" t="s">
        <v>27</v>
      </c>
      <c r="J8" s="639"/>
      <c r="K8" s="457"/>
      <c r="L8" s="457"/>
      <c r="M8" s="457"/>
      <c r="N8" s="457"/>
      <c r="O8" s="458"/>
    </row>
    <row r="9" spans="1:15" ht="55.5" customHeight="1">
      <c r="A9" s="676"/>
      <c r="B9" s="658"/>
      <c r="C9" s="659"/>
      <c r="D9" s="660"/>
      <c r="E9" s="639"/>
      <c r="F9" s="661" t="s">
        <v>28</v>
      </c>
      <c r="G9" s="662"/>
      <c r="H9" s="662"/>
      <c r="I9" s="663"/>
      <c r="J9" s="639"/>
    </row>
    <row r="10" spans="1:15" ht="140">
      <c r="A10" s="677" t="s">
        <v>29</v>
      </c>
      <c r="B10" s="655" t="s">
        <v>30</v>
      </c>
      <c r="C10" s="656"/>
      <c r="D10" s="657"/>
      <c r="E10" s="638" t="s">
        <v>10</v>
      </c>
      <c r="F10" s="451" t="s">
        <v>20</v>
      </c>
      <c r="G10" s="455" t="s">
        <v>21</v>
      </c>
      <c r="H10" s="664" t="s">
        <v>13</v>
      </c>
      <c r="I10" s="665"/>
      <c r="J10" s="638">
        <v>1</v>
      </c>
    </row>
    <row r="11" spans="1:15" ht="36.75" customHeight="1">
      <c r="A11" s="677"/>
      <c r="B11" s="658"/>
      <c r="C11" s="659"/>
      <c r="D11" s="660"/>
      <c r="E11" s="640"/>
      <c r="F11" s="639" t="s">
        <v>22</v>
      </c>
      <c r="G11" s="639"/>
      <c r="H11" s="639"/>
      <c r="I11" s="639"/>
      <c r="J11" s="640"/>
    </row>
  </sheetData>
  <mergeCells count="27">
    <mergeCell ref="H4:I4"/>
    <mergeCell ref="A1:A2"/>
    <mergeCell ref="A5:A6"/>
    <mergeCell ref="A7:A9"/>
    <mergeCell ref="A10:A11"/>
    <mergeCell ref="E1:E2"/>
    <mergeCell ref="E5:E6"/>
    <mergeCell ref="E7:E9"/>
    <mergeCell ref="E10:E11"/>
    <mergeCell ref="B3:D3"/>
    <mergeCell ref="B4:D4"/>
    <mergeCell ref="J1:J2"/>
    <mergeCell ref="J5:J6"/>
    <mergeCell ref="J7:J9"/>
    <mergeCell ref="J10:J11"/>
    <mergeCell ref="B1:D2"/>
    <mergeCell ref="H1:I2"/>
    <mergeCell ref="B5:D6"/>
    <mergeCell ref="B7:D9"/>
    <mergeCell ref="B10:D11"/>
    <mergeCell ref="H5:I5"/>
    <mergeCell ref="F6:I6"/>
    <mergeCell ref="F9:I9"/>
    <mergeCell ref="H10:I10"/>
    <mergeCell ref="F11:I11"/>
    <mergeCell ref="F1:G1"/>
    <mergeCell ref="H3:I3"/>
  </mergeCells>
  <pageMargins left="0.61" right="0.38" top="0.85" bottom="0.28000000000000003" header="0.71" footer="0.23"/>
  <pageSetup paperSize="9" scale="55" orientation="portrait"/>
  <drawing r:id="rId1"/>
  <legacyDrawing r:id="rId2"/>
  <oleObjects>
    <mc:AlternateContent xmlns:mc="http://schemas.openxmlformats.org/markup-compatibility/2006">
      <mc:Choice Requires="x14">
        <oleObject progId="PBrush" shapeId="1025" r:id="rId3">
          <objectPr defaultSize="0" altText="" r:id="rId4">
            <anchor moveWithCells="1" sizeWithCells="1">
              <from>
                <xdr:col>0</xdr:col>
                <xdr:colOff>31750</xdr:colOff>
                <xdr:row>0</xdr:row>
                <xdr:rowOff>0</xdr:rowOff>
              </from>
              <to>
                <xdr:col>1</xdr:col>
                <xdr:colOff>876300</xdr:colOff>
                <xdr:row>0</xdr:row>
                <xdr:rowOff>0</xdr:rowOff>
              </to>
            </anchor>
          </objectPr>
        </oleObject>
      </mc:Choice>
      <mc:Fallback>
        <oleObject progId="PBrush" shapeId="1025" r:id="rId3"/>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D45"/>
  <sheetViews>
    <sheetView workbookViewId="0">
      <selection activeCell="C9" sqref="C9"/>
    </sheetView>
  </sheetViews>
  <sheetFormatPr defaultColWidth="9.54296875" defaultRowHeight="12.5"/>
  <cols>
    <col min="1" max="1" width="17.54296875" style="437" customWidth="1"/>
    <col min="2" max="2" width="8.7265625" style="438" customWidth="1"/>
    <col min="3" max="3" width="51" style="438" customWidth="1"/>
    <col min="4" max="4" width="33.26953125" style="438" customWidth="1"/>
    <col min="5" max="16384" width="9.54296875" style="438"/>
  </cols>
  <sheetData>
    <row r="1" spans="1:4">
      <c r="A1" s="437" t="s">
        <v>31</v>
      </c>
    </row>
    <row r="2" spans="1:4">
      <c r="A2" s="439" t="s">
        <v>32</v>
      </c>
      <c r="B2" s="440" t="s">
        <v>33</v>
      </c>
      <c r="C2" s="440" t="s">
        <v>34</v>
      </c>
      <c r="D2" s="440" t="s">
        <v>35</v>
      </c>
    </row>
    <row r="3" spans="1:4">
      <c r="A3" s="439"/>
      <c r="B3" s="440"/>
      <c r="C3" s="440"/>
      <c r="D3" s="440"/>
    </row>
    <row r="4" spans="1:4">
      <c r="A4" s="439">
        <v>45658</v>
      </c>
      <c r="B4" s="440" t="s">
        <v>36</v>
      </c>
      <c r="C4" s="440" t="s">
        <v>37</v>
      </c>
      <c r="D4" s="440" t="s">
        <v>38</v>
      </c>
    </row>
    <row r="5" spans="1:4">
      <c r="A5" s="439"/>
      <c r="B5" s="440"/>
      <c r="C5" s="440"/>
      <c r="D5" s="440"/>
    </row>
    <row r="6" spans="1:4">
      <c r="A6" s="439">
        <v>45686</v>
      </c>
      <c r="B6" s="440" t="s">
        <v>36</v>
      </c>
      <c r="C6" s="440" t="s">
        <v>39</v>
      </c>
      <c r="D6" s="440" t="s">
        <v>38</v>
      </c>
    </row>
    <row r="7" spans="1:4">
      <c r="A7" s="439"/>
      <c r="B7" s="440"/>
      <c r="C7" s="440"/>
      <c r="D7" s="440"/>
    </row>
    <row r="8" spans="1:4">
      <c r="A8" s="439">
        <v>45687</v>
      </c>
      <c r="B8" s="440" t="s">
        <v>40</v>
      </c>
      <c r="C8" s="440" t="s">
        <v>41</v>
      </c>
      <c r="D8" s="440" t="s">
        <v>38</v>
      </c>
    </row>
    <row r="9" spans="1:4">
      <c r="A9" s="439"/>
      <c r="B9" s="440"/>
      <c r="C9" s="440"/>
      <c r="D9" s="440"/>
    </row>
    <row r="10" spans="1:4">
      <c r="A10" s="439">
        <v>45689</v>
      </c>
      <c r="B10" s="440" t="s">
        <v>42</v>
      </c>
      <c r="C10" s="440" t="s">
        <v>43</v>
      </c>
      <c r="D10" s="440" t="s">
        <v>38</v>
      </c>
    </row>
    <row r="11" spans="1:4">
      <c r="A11" s="439"/>
      <c r="B11" s="440"/>
      <c r="C11" s="440"/>
      <c r="D11" s="440"/>
    </row>
    <row r="12" spans="1:4">
      <c r="A12" s="439">
        <v>45699</v>
      </c>
      <c r="B12" s="440" t="s">
        <v>44</v>
      </c>
      <c r="C12" s="440" t="s">
        <v>45</v>
      </c>
      <c r="D12" s="440" t="s">
        <v>38</v>
      </c>
    </row>
    <row r="13" spans="1:4">
      <c r="A13" s="439"/>
      <c r="B13" s="440"/>
      <c r="C13" s="440"/>
      <c r="D13" s="440"/>
    </row>
    <row r="14" spans="1:4">
      <c r="A14" s="439">
        <v>45734</v>
      </c>
      <c r="B14" s="440" t="s">
        <v>44</v>
      </c>
      <c r="C14" s="440" t="s">
        <v>46</v>
      </c>
      <c r="D14" s="440" t="s">
        <v>38</v>
      </c>
    </row>
    <row r="15" spans="1:4">
      <c r="A15" s="439"/>
      <c r="B15" s="440"/>
      <c r="C15" s="440"/>
      <c r="D15" s="440"/>
    </row>
    <row r="16" spans="1:4">
      <c r="A16" s="439">
        <v>45748</v>
      </c>
      <c r="B16" s="440" t="s">
        <v>44</v>
      </c>
      <c r="C16" s="440" t="s">
        <v>47</v>
      </c>
      <c r="D16" s="440" t="s">
        <v>38</v>
      </c>
    </row>
    <row r="17" spans="1:4">
      <c r="A17" s="439"/>
      <c r="B17" s="440"/>
      <c r="C17" s="440"/>
      <c r="D17" s="440"/>
    </row>
    <row r="18" spans="1:4">
      <c r="A18" s="439">
        <v>45749</v>
      </c>
      <c r="B18" s="440" t="s">
        <v>36</v>
      </c>
      <c r="C18" s="440" t="s">
        <v>48</v>
      </c>
      <c r="D18" s="440" t="s">
        <v>38</v>
      </c>
    </row>
    <row r="19" spans="1:4">
      <c r="A19" s="439"/>
      <c r="B19" s="440"/>
      <c r="C19" s="440"/>
      <c r="D19" s="440"/>
    </row>
    <row r="20" spans="1:4">
      <c r="A20" s="439">
        <v>45778</v>
      </c>
      <c r="B20" s="440" t="s">
        <v>40</v>
      </c>
      <c r="C20" s="440" t="s">
        <v>49</v>
      </c>
      <c r="D20" s="440" t="s">
        <v>38</v>
      </c>
    </row>
    <row r="21" spans="1:4">
      <c r="A21" s="439"/>
      <c r="B21" s="440"/>
      <c r="C21" s="440"/>
      <c r="D21" s="440"/>
    </row>
    <row r="22" spans="1:4">
      <c r="A22" s="439">
        <v>45789</v>
      </c>
      <c r="B22" s="440" t="s">
        <v>50</v>
      </c>
      <c r="C22" s="440" t="s">
        <v>51</v>
      </c>
      <c r="D22" s="440" t="s">
        <v>38</v>
      </c>
    </row>
    <row r="23" spans="1:4">
      <c r="A23" s="439"/>
      <c r="B23" s="440"/>
      <c r="C23" s="440"/>
      <c r="D23" s="440"/>
    </row>
    <row r="24" spans="1:4">
      <c r="A24" s="439">
        <v>45810</v>
      </c>
      <c r="B24" s="440" t="s">
        <v>50</v>
      </c>
      <c r="C24" s="440" t="s">
        <v>52</v>
      </c>
      <c r="D24" s="440" t="s">
        <v>38</v>
      </c>
    </row>
    <row r="25" spans="1:4">
      <c r="A25" s="439"/>
      <c r="B25" s="440"/>
      <c r="C25" s="440"/>
      <c r="D25" s="440"/>
    </row>
    <row r="26" spans="1:4">
      <c r="A26" s="439">
        <v>45815</v>
      </c>
      <c r="B26" s="440" t="s">
        <v>42</v>
      </c>
      <c r="C26" s="440" t="s">
        <v>53</v>
      </c>
      <c r="D26" s="440" t="s">
        <v>38</v>
      </c>
    </row>
    <row r="27" spans="1:4">
      <c r="A27" s="439"/>
      <c r="B27" s="440"/>
      <c r="C27" s="440"/>
      <c r="D27" s="440"/>
    </row>
    <row r="28" spans="1:4">
      <c r="A28" s="439">
        <v>45816</v>
      </c>
      <c r="B28" s="440" t="s">
        <v>54</v>
      </c>
      <c r="C28" s="440" t="s">
        <v>55</v>
      </c>
      <c r="D28" s="440" t="s">
        <v>38</v>
      </c>
    </row>
    <row r="29" spans="1:4">
      <c r="A29" s="439"/>
      <c r="B29" s="440"/>
      <c r="C29" s="440"/>
      <c r="D29" s="440"/>
    </row>
    <row r="30" spans="1:4">
      <c r="A30" s="439">
        <v>45835</v>
      </c>
      <c r="B30" s="440" t="s">
        <v>56</v>
      </c>
      <c r="C30" s="440" t="s">
        <v>57</v>
      </c>
      <c r="D30" s="440" t="s">
        <v>38</v>
      </c>
    </row>
    <row r="31" spans="1:4">
      <c r="A31" s="439"/>
      <c r="B31" s="440"/>
      <c r="C31" s="440"/>
      <c r="D31" s="440"/>
    </row>
    <row r="32" spans="1:4">
      <c r="A32" s="439">
        <v>45900</v>
      </c>
      <c r="B32" s="440" t="s">
        <v>54</v>
      </c>
      <c r="C32" s="440" t="s">
        <v>58</v>
      </c>
      <c r="D32" s="440" t="s">
        <v>38</v>
      </c>
    </row>
    <row r="33" spans="1:4">
      <c r="A33" s="439"/>
      <c r="B33" s="440"/>
      <c r="C33" s="440"/>
      <c r="D33" s="440"/>
    </row>
    <row r="34" spans="1:4">
      <c r="A34" s="439">
        <v>45901</v>
      </c>
      <c r="B34" s="440" t="s">
        <v>50</v>
      </c>
      <c r="C34" s="440" t="s">
        <v>59</v>
      </c>
      <c r="D34" s="440" t="s">
        <v>38</v>
      </c>
    </row>
    <row r="35" spans="1:4">
      <c r="A35" s="439"/>
      <c r="B35" s="440"/>
      <c r="C35" s="440"/>
      <c r="D35" s="440"/>
    </row>
    <row r="36" spans="1:4">
      <c r="A36" s="439">
        <v>45905</v>
      </c>
      <c r="B36" s="440" t="s">
        <v>56</v>
      </c>
      <c r="C36" s="440" t="s">
        <v>60</v>
      </c>
      <c r="D36" s="440" t="s">
        <v>38</v>
      </c>
    </row>
    <row r="37" spans="1:4">
      <c r="A37" s="439"/>
      <c r="B37" s="440"/>
      <c r="C37" s="440"/>
      <c r="D37" s="440"/>
    </row>
    <row r="38" spans="1:4">
      <c r="A38" s="439">
        <v>45916</v>
      </c>
      <c r="B38" s="440" t="s">
        <v>44</v>
      </c>
      <c r="C38" s="440" t="s">
        <v>61</v>
      </c>
      <c r="D38" s="440" t="s">
        <v>38</v>
      </c>
    </row>
    <row r="39" spans="1:4">
      <c r="A39" s="439"/>
      <c r="B39" s="440"/>
      <c r="C39" s="440"/>
      <c r="D39" s="440"/>
    </row>
    <row r="40" spans="1:4">
      <c r="A40" s="439">
        <v>45950</v>
      </c>
      <c r="B40" s="440" t="s">
        <v>44</v>
      </c>
      <c r="C40" s="440" t="s">
        <v>62</v>
      </c>
      <c r="D40" s="440" t="s">
        <v>38</v>
      </c>
    </row>
    <row r="41" spans="1:4">
      <c r="A41" s="439"/>
      <c r="B41" s="440"/>
      <c r="C41" s="440"/>
      <c r="D41" s="440"/>
    </row>
    <row r="42" spans="1:4">
      <c r="A42" s="439">
        <v>46016</v>
      </c>
      <c r="B42" s="440" t="s">
        <v>40</v>
      </c>
      <c r="C42" s="440" t="s">
        <v>63</v>
      </c>
      <c r="D42" s="440" t="s">
        <v>38</v>
      </c>
    </row>
    <row r="43" spans="1:4">
      <c r="A43" s="439"/>
      <c r="B43" s="440"/>
      <c r="C43" s="440"/>
      <c r="D43" s="440"/>
    </row>
    <row r="45" spans="1:4">
      <c r="A45" s="441" t="s">
        <v>64</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V34"/>
  <sheetViews>
    <sheetView tabSelected="1" zoomScale="90" zoomScaleNormal="90" zoomScaleSheetLayoutView="70" workbookViewId="0">
      <selection activeCell="E11" sqref="E11:F11"/>
    </sheetView>
  </sheetViews>
  <sheetFormatPr defaultColWidth="9.1796875" defaultRowHeight="12.5"/>
  <cols>
    <col min="1" max="1" width="5.453125" style="401" customWidth="1"/>
    <col min="2" max="2" width="3.26953125" style="401" customWidth="1"/>
    <col min="3" max="3" width="12.81640625" style="401" customWidth="1"/>
    <col min="4" max="4" width="16.7265625" style="401" customWidth="1"/>
    <col min="5" max="5" width="23.26953125" style="401" customWidth="1"/>
    <col min="6" max="6" width="13.1796875" style="401" customWidth="1"/>
    <col min="7" max="7" width="15.54296875" style="401" customWidth="1"/>
    <col min="8" max="8" width="14.1796875" style="401" customWidth="1"/>
    <col min="9" max="11" width="5.81640625" style="401" customWidth="1"/>
    <col min="12" max="13" width="10.81640625" style="401" customWidth="1"/>
    <col min="14" max="14" width="12.81640625" style="401" customWidth="1"/>
    <col min="15" max="15" width="12.26953125" style="401" customWidth="1"/>
    <col min="16" max="16384" width="9.1796875" style="401"/>
  </cols>
  <sheetData>
    <row r="1" spans="1:22" s="397" customFormat="1" ht="66" customHeight="1">
      <c r="A1" s="705" t="s">
        <v>65</v>
      </c>
      <c r="B1" s="705"/>
      <c r="C1" s="705"/>
      <c r="D1" s="705"/>
      <c r="E1" s="705"/>
      <c r="F1" s="705"/>
      <c r="G1" s="705"/>
      <c r="H1" s="705"/>
      <c r="I1" s="705"/>
      <c r="J1" s="705"/>
      <c r="K1" s="705"/>
      <c r="L1" s="705"/>
      <c r="M1" s="705"/>
      <c r="N1" s="705"/>
      <c r="O1" s="705"/>
      <c r="P1" s="425"/>
      <c r="Q1" s="425"/>
      <c r="R1" s="425"/>
      <c r="S1" s="425"/>
      <c r="T1" s="425"/>
      <c r="U1" s="425"/>
      <c r="V1" s="425"/>
    </row>
    <row r="2" spans="1:22" s="397" customFormat="1" ht="38.25" customHeight="1">
      <c r="A2" s="706" t="s">
        <v>66</v>
      </c>
      <c r="B2" s="706"/>
      <c r="C2" s="706"/>
      <c r="D2" s="706"/>
      <c r="E2" s="706"/>
      <c r="F2" s="706"/>
      <c r="G2" s="706"/>
      <c r="H2" s="706"/>
      <c r="I2" s="706"/>
      <c r="J2" s="706"/>
      <c r="K2" s="706"/>
      <c r="L2" s="706"/>
      <c r="M2" s="706"/>
      <c r="N2" s="706"/>
      <c r="O2" s="706"/>
      <c r="P2" s="426"/>
      <c r="Q2" s="426"/>
      <c r="R2" s="426"/>
      <c r="S2" s="426"/>
      <c r="T2" s="426"/>
      <c r="U2" s="426"/>
      <c r="V2" s="426"/>
    </row>
    <row r="3" spans="1:22" s="397" customFormat="1" ht="11.25" customHeight="1">
      <c r="A3" s="707"/>
      <c r="B3" s="707"/>
      <c r="C3" s="707"/>
      <c r="D3" s="707"/>
      <c r="E3" s="707"/>
      <c r="F3" s="707"/>
      <c r="G3" s="707"/>
      <c r="H3" s="707"/>
      <c r="I3" s="707"/>
      <c r="J3" s="707"/>
      <c r="K3" s="707"/>
      <c r="L3" s="707"/>
      <c r="M3" s="707"/>
      <c r="N3" s="707"/>
      <c r="O3" s="707"/>
      <c r="P3" s="425"/>
      <c r="Q3" s="425"/>
      <c r="R3" s="425"/>
      <c r="S3" s="425"/>
      <c r="T3" s="425"/>
      <c r="U3" s="425"/>
      <c r="V3" s="425"/>
    </row>
    <row r="4" spans="1:22" s="111" customFormat="1" ht="10.5" customHeight="1">
      <c r="A4" s="112"/>
      <c r="B4" s="71"/>
      <c r="C4" s="71"/>
      <c r="D4" s="71"/>
      <c r="E4" s="411"/>
      <c r="F4" s="411"/>
      <c r="G4" s="71"/>
      <c r="H4" s="71"/>
      <c r="I4" s="71"/>
      <c r="J4" s="71"/>
      <c r="K4" s="71"/>
      <c r="L4" s="71"/>
      <c r="M4" s="71"/>
      <c r="N4" s="71"/>
      <c r="O4" s="71"/>
      <c r="P4" s="71"/>
      <c r="Q4" s="71"/>
      <c r="R4" s="71"/>
      <c r="S4" s="71"/>
      <c r="T4" s="71"/>
      <c r="U4" s="71"/>
      <c r="V4" s="71"/>
    </row>
    <row r="5" spans="1:22" s="398" customFormat="1" ht="13" customHeight="1">
      <c r="B5" s="402"/>
      <c r="C5" s="402"/>
      <c r="D5" s="402" t="s">
        <v>67</v>
      </c>
      <c r="E5" s="708" t="s">
        <v>68</v>
      </c>
      <c r="F5" s="708"/>
      <c r="G5" s="412"/>
      <c r="H5" s="402"/>
      <c r="I5" s="402" t="s">
        <v>69</v>
      </c>
      <c r="J5" s="699" t="s">
        <v>70</v>
      </c>
      <c r="K5" s="700"/>
      <c r="L5" s="700"/>
      <c r="M5" s="701"/>
      <c r="N5" s="412"/>
      <c r="O5" s="422"/>
      <c r="P5" s="427"/>
      <c r="V5" s="435"/>
    </row>
    <row r="6" spans="1:22" s="398" customFormat="1" ht="8.15" customHeight="1">
      <c r="B6" s="402"/>
      <c r="C6" s="402"/>
      <c r="D6" s="402"/>
      <c r="E6" s="402"/>
      <c r="F6" s="402"/>
      <c r="G6" s="413"/>
      <c r="I6" s="402"/>
      <c r="J6" s="402"/>
      <c r="K6" s="402"/>
      <c r="L6" s="402"/>
      <c r="M6" s="402"/>
      <c r="N6" s="428"/>
      <c r="O6" s="428"/>
      <c r="P6" s="429"/>
      <c r="V6" s="435"/>
    </row>
    <row r="7" spans="1:22" s="398" customFormat="1" ht="13" customHeight="1">
      <c r="B7" s="402"/>
      <c r="C7" s="402"/>
      <c r="D7" s="402" t="s">
        <v>71</v>
      </c>
      <c r="E7" s="697">
        <v>46023</v>
      </c>
      <c r="F7" s="698"/>
      <c r="G7" s="412"/>
      <c r="I7" s="402" t="s">
        <v>72</v>
      </c>
      <c r="J7" s="699" t="s">
        <v>73</v>
      </c>
      <c r="K7" s="700"/>
      <c r="L7" s="700"/>
      <c r="M7" s="701"/>
      <c r="N7" s="412"/>
      <c r="O7" s="430"/>
      <c r="P7" s="427"/>
      <c r="V7" s="435"/>
    </row>
    <row r="8" spans="1:22" s="398" customFormat="1" ht="8.15" customHeight="1">
      <c r="B8" s="402"/>
      <c r="C8" s="402"/>
      <c r="D8" s="402"/>
      <c r="E8" s="459" t="s">
        <v>74</v>
      </c>
      <c r="F8" s="402"/>
      <c r="G8" s="413"/>
      <c r="I8" s="402"/>
      <c r="J8" s="402"/>
      <c r="K8" s="402"/>
      <c r="L8" s="402"/>
      <c r="M8" s="402"/>
      <c r="N8" s="431"/>
      <c r="O8" s="431"/>
      <c r="P8" s="431"/>
      <c r="V8" s="435"/>
    </row>
    <row r="9" spans="1:22" s="398" customFormat="1" ht="13" customHeight="1">
      <c r="A9" s="692" t="s">
        <v>75</v>
      </c>
      <c r="B9" s="692"/>
      <c r="C9" s="692"/>
      <c r="D9" s="693"/>
      <c r="E9" s="702">
        <v>1474733.1</v>
      </c>
      <c r="F9" s="703"/>
      <c r="G9" s="412"/>
      <c r="I9" s="402"/>
      <c r="J9" s="422"/>
      <c r="K9" s="422"/>
      <c r="L9" s="422"/>
      <c r="M9" s="422"/>
      <c r="N9" s="431"/>
      <c r="O9" s="431"/>
      <c r="P9" s="431"/>
      <c r="V9" s="435"/>
    </row>
    <row r="10" spans="1:22" s="398" customFormat="1" ht="8.15" customHeight="1">
      <c r="B10" s="402"/>
      <c r="C10" s="402"/>
      <c r="D10" s="402"/>
      <c r="E10" s="414"/>
      <c r="F10" s="414"/>
      <c r="G10" s="413"/>
      <c r="I10" s="402"/>
      <c r="J10" s="402"/>
      <c r="K10" s="402"/>
      <c r="L10" s="402"/>
      <c r="M10" s="402"/>
      <c r="N10" s="431"/>
      <c r="O10" s="431"/>
      <c r="P10" s="431"/>
      <c r="V10" s="435"/>
    </row>
    <row r="11" spans="1:22" s="398" customFormat="1" ht="13" customHeight="1">
      <c r="A11" s="691" t="s">
        <v>76</v>
      </c>
      <c r="B11" s="691"/>
      <c r="C11" s="691"/>
      <c r="D11" s="704"/>
      <c r="E11" s="702">
        <f>97.5%*E9</f>
        <v>1437864.7725</v>
      </c>
      <c r="F11" s="703"/>
      <c r="G11" s="415"/>
      <c r="I11" s="402"/>
      <c r="J11" s="422"/>
      <c r="K11" s="422"/>
      <c r="L11" s="422"/>
      <c r="M11" s="422"/>
      <c r="N11" s="431"/>
      <c r="O11" s="431"/>
      <c r="P11" s="431"/>
      <c r="V11" s="435"/>
    </row>
    <row r="12" spans="1:22" s="398" customFormat="1" ht="8.15" customHeight="1">
      <c r="B12" s="402"/>
      <c r="C12" s="404"/>
      <c r="D12" s="404"/>
      <c r="E12" s="416"/>
      <c r="F12" s="416"/>
      <c r="G12" s="417"/>
      <c r="H12" s="403"/>
      <c r="I12" s="403"/>
      <c r="J12" s="403"/>
      <c r="K12" s="403"/>
      <c r="L12" s="423"/>
      <c r="M12" s="431"/>
      <c r="N12" s="431"/>
      <c r="O12" s="431"/>
      <c r="P12" s="431"/>
      <c r="V12" s="435"/>
    </row>
    <row r="13" spans="1:22" s="398" customFormat="1" ht="13" customHeight="1">
      <c r="A13" s="691" t="s">
        <v>77</v>
      </c>
      <c r="B13" s="692"/>
      <c r="C13" s="692"/>
      <c r="D13" s="693"/>
      <c r="E13" s="694">
        <f>2.5%*E9</f>
        <v>36868.327499999999</v>
      </c>
      <c r="F13" s="695"/>
      <c r="G13" s="412"/>
      <c r="I13" s="402"/>
      <c r="J13" s="422"/>
      <c r="K13" s="422"/>
      <c r="L13" s="422"/>
      <c r="M13" s="422"/>
      <c r="N13" s="431"/>
      <c r="O13" s="431"/>
      <c r="P13" s="431"/>
      <c r="V13" s="435"/>
    </row>
    <row r="14" spans="1:22" s="399" customFormat="1" ht="8.15" customHeight="1">
      <c r="B14" s="405"/>
      <c r="C14" s="405"/>
      <c r="D14" s="405"/>
      <c r="E14" s="405"/>
      <c r="F14" s="405"/>
      <c r="G14" s="418"/>
      <c r="I14" s="405"/>
      <c r="J14" s="405"/>
      <c r="K14" s="405"/>
      <c r="L14" s="405"/>
      <c r="M14" s="405"/>
      <c r="N14" s="432"/>
      <c r="O14" s="432"/>
      <c r="P14" s="432"/>
      <c r="V14" s="436"/>
    </row>
    <row r="15" spans="1:22">
      <c r="A15" s="406"/>
      <c r="B15" s="406"/>
      <c r="C15" s="406"/>
      <c r="D15" s="406"/>
      <c r="E15" s="419"/>
      <c r="F15" s="419"/>
      <c r="G15" s="420"/>
      <c r="H15" s="421"/>
      <c r="I15" s="424"/>
      <c r="J15" s="424"/>
      <c r="K15" s="424"/>
      <c r="L15" s="424"/>
      <c r="M15" s="424"/>
      <c r="N15" s="424"/>
      <c r="O15" s="424"/>
    </row>
    <row r="16" spans="1:22">
      <c r="A16" s="406"/>
      <c r="B16" s="406"/>
      <c r="C16" s="406"/>
      <c r="D16" s="406"/>
      <c r="E16" s="419"/>
      <c r="F16" s="419"/>
      <c r="G16" s="420"/>
      <c r="H16" s="421"/>
      <c r="I16" s="424"/>
      <c r="J16" s="424"/>
      <c r="K16" s="424"/>
      <c r="L16" s="424"/>
      <c r="M16" s="424"/>
      <c r="N16" s="424"/>
      <c r="O16" s="424"/>
    </row>
    <row r="17" spans="1:15" ht="25.5" customHeight="1">
      <c r="A17" s="681" t="s">
        <v>78</v>
      </c>
      <c r="B17" s="681" t="s">
        <v>79</v>
      </c>
      <c r="C17" s="681"/>
      <c r="D17" s="681"/>
      <c r="E17" s="681"/>
      <c r="F17" s="681"/>
      <c r="G17" s="681"/>
      <c r="H17" s="681"/>
      <c r="I17" s="681" t="s">
        <v>80</v>
      </c>
      <c r="J17" s="681"/>
      <c r="K17" s="681"/>
      <c r="L17" s="681" t="s">
        <v>81</v>
      </c>
      <c r="M17" s="683"/>
      <c r="N17" s="685" t="s">
        <v>82</v>
      </c>
      <c r="O17" s="681" t="s">
        <v>83</v>
      </c>
    </row>
    <row r="18" spans="1:15" ht="12" customHeight="1">
      <c r="A18" s="684"/>
      <c r="B18" s="681"/>
      <c r="C18" s="681"/>
      <c r="D18" s="681"/>
      <c r="E18" s="681"/>
      <c r="F18" s="681"/>
      <c r="G18" s="681"/>
      <c r="H18" s="681"/>
      <c r="I18" s="681"/>
      <c r="J18" s="681"/>
      <c r="K18" s="681"/>
      <c r="L18" s="683"/>
      <c r="M18" s="683"/>
      <c r="N18" s="685"/>
      <c r="O18" s="681"/>
    </row>
    <row r="19" spans="1:15" ht="35.25" customHeight="1">
      <c r="A19" s="407" t="s">
        <v>8</v>
      </c>
      <c r="B19" s="696" t="s">
        <v>84</v>
      </c>
      <c r="C19" s="696"/>
      <c r="D19" s="696"/>
      <c r="E19" s="696"/>
      <c r="F19" s="696"/>
      <c r="G19" s="696"/>
      <c r="H19" s="696"/>
      <c r="I19" s="687" t="s">
        <v>10</v>
      </c>
      <c r="J19" s="687"/>
      <c r="K19" s="687"/>
      <c r="L19" s="688">
        <f>'B1&amp;B2 UNSCHEDULED'!O122</f>
        <v>40</v>
      </c>
      <c r="M19" s="688"/>
      <c r="N19" s="433">
        <v>0</v>
      </c>
      <c r="O19" s="433">
        <f t="shared" ref="O19:O24" si="0">100-N19</f>
        <v>100</v>
      </c>
    </row>
    <row r="20" spans="1:15" ht="35.25" customHeight="1">
      <c r="A20" s="408" t="s">
        <v>14</v>
      </c>
      <c r="B20" s="686" t="s">
        <v>85</v>
      </c>
      <c r="C20" s="686"/>
      <c r="D20" s="686"/>
      <c r="E20" s="686"/>
      <c r="F20" s="686"/>
      <c r="G20" s="686"/>
      <c r="H20" s="686"/>
      <c r="I20" s="687" t="s">
        <v>16</v>
      </c>
      <c r="J20" s="687"/>
      <c r="K20" s="687"/>
      <c r="L20" s="689">
        <f>'B1&amp;B2 UNSCHEDULED'!U122</f>
        <v>2850</v>
      </c>
      <c r="M20" s="690"/>
      <c r="N20" s="433">
        <f t="shared" ref="N20:N23" si="1">L20/$E$11%</f>
        <v>0.19821057268443512</v>
      </c>
      <c r="O20" s="433">
        <f t="shared" si="0"/>
        <v>99.801789427315569</v>
      </c>
    </row>
    <row r="21" spans="1:15" ht="35.25" customHeight="1">
      <c r="A21" s="407" t="s">
        <v>18</v>
      </c>
      <c r="B21" s="686" t="s">
        <v>86</v>
      </c>
      <c r="C21" s="686"/>
      <c r="D21" s="686"/>
      <c r="E21" s="686"/>
      <c r="F21" s="686"/>
      <c r="G21" s="686"/>
      <c r="H21" s="686"/>
      <c r="I21" s="687" t="s">
        <v>10</v>
      </c>
      <c r="J21" s="687"/>
      <c r="K21" s="687"/>
      <c r="L21" s="689">
        <f>'B3-SCHEDULED'!L131</f>
        <v>800</v>
      </c>
      <c r="M21" s="690"/>
      <c r="N21" s="433">
        <f t="shared" si="1"/>
        <v>5.5638055490367752E-2</v>
      </c>
      <c r="O21" s="433">
        <f t="shared" si="0"/>
        <v>99.944361944509637</v>
      </c>
    </row>
    <row r="22" spans="1:15" ht="35.25" customHeight="1">
      <c r="A22" s="407" t="s">
        <v>23</v>
      </c>
      <c r="B22" s="686" t="s">
        <v>87</v>
      </c>
      <c r="C22" s="686"/>
      <c r="D22" s="686"/>
      <c r="E22" s="686"/>
      <c r="F22" s="686"/>
      <c r="G22" s="686"/>
      <c r="H22" s="686"/>
      <c r="I22" s="687" t="s">
        <v>10</v>
      </c>
      <c r="J22" s="687"/>
      <c r="K22" s="687"/>
      <c r="L22" s="688">
        <f>'B4-UPTIME '!AA35</f>
        <v>0</v>
      </c>
      <c r="M22" s="688"/>
      <c r="N22" s="433">
        <f t="shared" si="1"/>
        <v>0</v>
      </c>
      <c r="O22" s="433">
        <f t="shared" si="0"/>
        <v>100</v>
      </c>
    </row>
    <row r="23" spans="1:15" ht="35.25" customHeight="1">
      <c r="A23" s="407" t="s">
        <v>29</v>
      </c>
      <c r="B23" s="686" t="s">
        <v>88</v>
      </c>
      <c r="C23" s="686"/>
      <c r="D23" s="686"/>
      <c r="E23" s="686"/>
      <c r="F23" s="686"/>
      <c r="G23" s="686"/>
      <c r="H23" s="686"/>
      <c r="I23" s="687" t="s">
        <v>10</v>
      </c>
      <c r="J23" s="687"/>
      <c r="K23" s="687"/>
      <c r="L23" s="688">
        <f>'B5-T&amp;C'!O21</f>
        <v>0</v>
      </c>
      <c r="M23" s="688"/>
      <c r="N23" s="433">
        <f t="shared" si="1"/>
        <v>0</v>
      </c>
      <c r="O23" s="433">
        <f t="shared" si="0"/>
        <v>100</v>
      </c>
    </row>
    <row r="24" spans="1:15" ht="35.25" customHeight="1">
      <c r="A24" s="681" t="s">
        <v>89</v>
      </c>
      <c r="B24" s="681"/>
      <c r="C24" s="681"/>
      <c r="D24" s="681"/>
      <c r="E24" s="681"/>
      <c r="F24" s="681"/>
      <c r="G24" s="681"/>
      <c r="H24" s="681"/>
      <c r="I24" s="681"/>
      <c r="J24" s="681"/>
      <c r="K24" s="681"/>
      <c r="L24" s="682">
        <f>SUM(L19:M23)</f>
        <v>3690</v>
      </c>
      <c r="M24" s="683"/>
      <c r="N24" s="433">
        <f>SUM(N19:N23)</f>
        <v>0.25384862817480286</v>
      </c>
      <c r="O24" s="433">
        <f t="shared" si="0"/>
        <v>99.746151371825192</v>
      </c>
    </row>
    <row r="25" spans="1:15" ht="7.5" customHeight="1">
      <c r="N25" s="434"/>
    </row>
    <row r="26" spans="1:15" ht="9.65" customHeight="1"/>
    <row r="27" spans="1:15" s="400" customFormat="1" ht="11.5">
      <c r="C27" s="400" t="s">
        <v>90</v>
      </c>
      <c r="I27" s="400" t="s">
        <v>91</v>
      </c>
    </row>
    <row r="28" spans="1:15" s="400" customFormat="1" ht="11.5"/>
    <row r="29" spans="1:15" s="400" customFormat="1" ht="11.5"/>
    <row r="30" spans="1:15" s="400" customFormat="1" ht="11.5">
      <c r="C30" s="409"/>
      <c r="D30" s="409"/>
      <c r="I30" s="409"/>
      <c r="J30" s="409"/>
      <c r="K30" s="409"/>
      <c r="L30" s="409"/>
    </row>
    <row r="31" spans="1:15" s="400" customFormat="1" ht="17.25" customHeight="1">
      <c r="C31" s="410" t="s">
        <v>92</v>
      </c>
      <c r="I31" s="410" t="s">
        <v>93</v>
      </c>
    </row>
    <row r="32" spans="1:15" s="400" customFormat="1" ht="15.65" customHeight="1">
      <c r="C32" s="400" t="s">
        <v>94</v>
      </c>
      <c r="I32" s="400" t="s">
        <v>95</v>
      </c>
    </row>
    <row r="33" spans="3:9" s="400" customFormat="1" ht="13.5" customHeight="1">
      <c r="C33" s="400" t="s">
        <v>96</v>
      </c>
      <c r="I33" s="400" t="s">
        <v>96</v>
      </c>
    </row>
    <row r="34" spans="3:9" s="400" customFormat="1" ht="13.5" customHeight="1">
      <c r="C34" s="400" t="s">
        <v>97</v>
      </c>
      <c r="I34" s="400" t="s">
        <v>97</v>
      </c>
    </row>
  </sheetData>
  <mergeCells count="36">
    <mergeCell ref="A1:O1"/>
    <mergeCell ref="A2:O2"/>
    <mergeCell ref="A3:O3"/>
    <mergeCell ref="E5:F5"/>
    <mergeCell ref="J5:M5"/>
    <mergeCell ref="E7:F7"/>
    <mergeCell ref="J7:M7"/>
    <mergeCell ref="A9:D9"/>
    <mergeCell ref="E9:F9"/>
    <mergeCell ref="A11:D11"/>
    <mergeCell ref="E11:F11"/>
    <mergeCell ref="L20:M20"/>
    <mergeCell ref="B21:H21"/>
    <mergeCell ref="I21:K21"/>
    <mergeCell ref="L21:M21"/>
    <mergeCell ref="A13:D13"/>
    <mergeCell ref="E13:F13"/>
    <mergeCell ref="B19:H19"/>
    <mergeCell ref="I19:K19"/>
    <mergeCell ref="L19:M19"/>
    <mergeCell ref="A24:K24"/>
    <mergeCell ref="L24:M24"/>
    <mergeCell ref="A17:A18"/>
    <mergeCell ref="N17:N18"/>
    <mergeCell ref="O17:O18"/>
    <mergeCell ref="B17:H18"/>
    <mergeCell ref="I17:K18"/>
    <mergeCell ref="L17:M18"/>
    <mergeCell ref="B22:H22"/>
    <mergeCell ref="I22:K22"/>
    <mergeCell ref="L22:M22"/>
    <mergeCell ref="B23:H23"/>
    <mergeCell ref="I23:K23"/>
    <mergeCell ref="L23:M23"/>
    <mergeCell ref="B20:H20"/>
    <mergeCell ref="I20:K20"/>
  </mergeCells>
  <pageMargins left="0.70866141732283505" right="0.31496062992126" top="0.70866141732283505" bottom="0.55118110236220497" header="0.31496062992126" footer="0.31496062992126"/>
  <pageSetup paperSize="9" scale="79"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209"/>
  <sheetViews>
    <sheetView topLeftCell="A107" zoomScale="20" zoomScaleNormal="20" zoomScaleSheetLayoutView="26" zoomScalePageLayoutView="60" workbookViewId="0">
      <selection activeCell="V118" sqref="V118"/>
    </sheetView>
  </sheetViews>
  <sheetFormatPr defaultColWidth="9.1796875" defaultRowHeight="36"/>
  <cols>
    <col min="1" max="1" width="21" style="223" customWidth="1"/>
    <col min="2" max="2" width="58.81640625" style="224" customWidth="1"/>
    <col min="3" max="3" width="78.54296875" style="225" customWidth="1"/>
    <col min="4" max="4" width="65.54296875" style="226" customWidth="1"/>
    <col min="5" max="5" width="77.1796875" style="224" customWidth="1"/>
    <col min="6" max="6" width="54.81640625" style="224" customWidth="1"/>
    <col min="7" max="7" width="94.453125" style="225" customWidth="1"/>
    <col min="8" max="8" width="38.54296875" style="223" hidden="1" customWidth="1"/>
    <col min="9" max="9" width="40.1796875" style="227" hidden="1" customWidth="1"/>
    <col min="10" max="10" width="93" style="228" hidden="1" customWidth="1"/>
    <col min="11" max="11" width="82.453125" style="229" hidden="1" customWidth="1"/>
    <col min="12" max="12" width="82.26953125" style="230" hidden="1" customWidth="1"/>
    <col min="13" max="13" width="42.453125" style="231" hidden="1" customWidth="1"/>
    <col min="14" max="14" width="21" style="223" hidden="1" customWidth="1"/>
    <col min="15" max="15" width="29.1796875" style="223" customWidth="1"/>
    <col min="16" max="16" width="15.453125" style="224" customWidth="1"/>
    <col min="17" max="17" width="19.453125" style="223" customWidth="1"/>
    <col min="18" max="18" width="17" style="223" customWidth="1"/>
    <col min="19" max="19" width="41.81640625" style="232" customWidth="1"/>
    <col min="20" max="20" width="20" style="233" customWidth="1"/>
    <col min="21" max="21" width="47.7265625" style="223" customWidth="1"/>
    <col min="22" max="22" width="108.54296875" style="234" customWidth="1"/>
    <col min="23" max="23" width="53.7265625" style="235" customWidth="1"/>
    <col min="24" max="16381" width="9.1796875" style="235"/>
    <col min="16382" max="16382" width="57.26953125" style="235" customWidth="1"/>
    <col min="16383" max="16384" width="9.1796875" style="235"/>
  </cols>
  <sheetData>
    <row r="1" spans="1:22" s="213" customFormat="1" ht="93.75" customHeight="1">
      <c r="A1" s="632"/>
      <c r="B1" s="632"/>
      <c r="C1" s="632"/>
      <c r="D1" s="632"/>
      <c r="E1" s="632"/>
      <c r="F1" s="632"/>
      <c r="G1" s="632"/>
      <c r="H1" s="632"/>
      <c r="I1" s="632"/>
      <c r="J1" s="632"/>
      <c r="K1" s="632"/>
      <c r="L1" s="632"/>
      <c r="M1" s="632"/>
      <c r="N1" s="632"/>
      <c r="O1" s="632"/>
      <c r="P1" s="632"/>
      <c r="Q1" s="632"/>
      <c r="R1" s="632"/>
      <c r="S1" s="632"/>
      <c r="T1" s="632"/>
      <c r="U1" s="632"/>
      <c r="V1" s="633"/>
    </row>
    <row r="2" spans="1:22" ht="40" customHeight="1">
      <c r="A2" s="634" t="s">
        <v>65</v>
      </c>
      <c r="B2" s="634"/>
      <c r="C2" s="634"/>
      <c r="D2" s="634"/>
      <c r="E2" s="634"/>
      <c r="F2" s="634"/>
      <c r="G2" s="634"/>
      <c r="H2" s="634"/>
      <c r="I2" s="634"/>
      <c r="J2" s="634"/>
      <c r="K2" s="634"/>
      <c r="L2" s="634"/>
      <c r="M2" s="634"/>
      <c r="N2" s="634"/>
      <c r="O2" s="634"/>
      <c r="P2" s="634"/>
      <c r="Q2" s="634"/>
      <c r="R2" s="634"/>
      <c r="S2" s="634"/>
      <c r="T2" s="634"/>
      <c r="U2" s="634"/>
      <c r="V2" s="634"/>
    </row>
    <row r="3" spans="1:22" ht="70" customHeight="1">
      <c r="A3" s="634" t="s">
        <v>98</v>
      </c>
      <c r="B3" s="634"/>
      <c r="C3" s="634"/>
      <c r="D3" s="634"/>
      <c r="E3" s="634"/>
      <c r="F3" s="634"/>
      <c r="G3" s="634"/>
      <c r="H3" s="634"/>
      <c r="I3" s="634"/>
      <c r="J3" s="634"/>
      <c r="K3" s="634"/>
      <c r="L3" s="634"/>
      <c r="M3" s="634"/>
      <c r="N3" s="634"/>
      <c r="O3" s="634"/>
      <c r="P3" s="634"/>
      <c r="Q3" s="634"/>
      <c r="R3" s="634"/>
      <c r="S3" s="634"/>
      <c r="T3" s="634"/>
      <c r="U3" s="634"/>
      <c r="V3" s="634"/>
    </row>
    <row r="4" spans="1:22" ht="40" customHeight="1">
      <c r="A4" s="634" t="s">
        <v>99</v>
      </c>
      <c r="B4" s="634"/>
      <c r="C4" s="634"/>
      <c r="D4" s="634"/>
      <c r="E4" s="634"/>
      <c r="F4" s="634"/>
      <c r="G4" s="634"/>
      <c r="H4" s="634"/>
      <c r="I4" s="634"/>
      <c r="J4" s="634"/>
      <c r="K4" s="634"/>
      <c r="L4" s="634"/>
      <c r="M4" s="634"/>
      <c r="N4" s="634"/>
      <c r="O4" s="634"/>
      <c r="P4" s="634"/>
      <c r="Q4" s="634"/>
      <c r="R4" s="634"/>
      <c r="S4" s="634"/>
      <c r="T4" s="634"/>
      <c r="U4" s="634"/>
      <c r="V4" s="634"/>
    </row>
    <row r="5" spans="1:22">
      <c r="A5" s="238"/>
      <c r="B5" s="237"/>
      <c r="C5" s="239"/>
      <c r="D5" s="240"/>
      <c r="E5" s="237"/>
      <c r="F5" s="237"/>
      <c r="G5" s="239"/>
      <c r="H5" s="237"/>
      <c r="I5" s="272"/>
      <c r="J5" s="273"/>
      <c r="K5" s="274"/>
      <c r="L5" s="274"/>
      <c r="M5" s="297"/>
      <c r="N5" s="298"/>
      <c r="O5" s="298"/>
      <c r="P5" s="298"/>
      <c r="Q5" s="298"/>
      <c r="R5" s="298"/>
      <c r="S5" s="315"/>
      <c r="T5" s="316"/>
      <c r="U5" s="298"/>
      <c r="V5" s="324"/>
    </row>
    <row r="6" spans="1:22" ht="68.25" customHeight="1">
      <c r="A6" s="614" t="s">
        <v>100</v>
      </c>
      <c r="B6" s="615"/>
      <c r="C6" s="616" t="s">
        <v>101</v>
      </c>
      <c r="D6" s="617"/>
      <c r="E6" s="617"/>
      <c r="F6" s="617"/>
      <c r="G6" s="618"/>
      <c r="H6" s="236"/>
      <c r="I6" s="626" t="s">
        <v>102</v>
      </c>
      <c r="J6" s="626"/>
      <c r="K6" s="626"/>
      <c r="L6" s="627"/>
      <c r="M6" s="628">
        <v>46023</v>
      </c>
      <c r="N6" s="629"/>
      <c r="O6" s="629"/>
      <c r="P6" s="299"/>
      <c r="Q6" s="630" t="s">
        <v>103</v>
      </c>
      <c r="R6" s="630"/>
      <c r="S6" s="631"/>
    </row>
    <row r="7" spans="1:22" ht="68.25" customHeight="1">
      <c r="A7" s="236"/>
      <c r="B7" s="242"/>
      <c r="C7" s="243"/>
      <c r="D7" s="241"/>
      <c r="E7" s="242"/>
      <c r="F7" s="242"/>
      <c r="G7" s="243"/>
      <c r="H7" s="236"/>
      <c r="I7" s="275"/>
      <c r="J7" s="276"/>
      <c r="K7" s="277"/>
      <c r="L7" s="278"/>
      <c r="M7" s="300"/>
      <c r="N7" s="301"/>
      <c r="O7" s="301"/>
      <c r="P7" s="301"/>
      <c r="Q7" s="317"/>
    </row>
    <row r="8" spans="1:22" ht="68.25" customHeight="1">
      <c r="A8" s="614" t="s">
        <v>104</v>
      </c>
      <c r="B8" s="615"/>
      <c r="C8" s="616" t="s">
        <v>105</v>
      </c>
      <c r="D8" s="617"/>
      <c r="E8" s="617"/>
      <c r="F8" s="617"/>
      <c r="G8" s="618"/>
      <c r="H8" s="236"/>
      <c r="I8" s="626" t="s">
        <v>106</v>
      </c>
      <c r="J8" s="626"/>
      <c r="K8" s="626"/>
      <c r="L8" s="627"/>
      <c r="M8" s="628">
        <v>46053</v>
      </c>
      <c r="N8" s="629"/>
      <c r="O8" s="629"/>
      <c r="P8" s="302"/>
      <c r="Q8" s="630" t="s">
        <v>103</v>
      </c>
      <c r="R8" s="630"/>
      <c r="S8" s="631"/>
    </row>
    <row r="9" spans="1:22" ht="68.25" customHeight="1">
      <c r="A9" s="236"/>
      <c r="B9" s="242"/>
      <c r="C9" s="243"/>
      <c r="D9" s="241"/>
      <c r="E9" s="242"/>
      <c r="F9" s="242"/>
      <c r="G9" s="243"/>
      <c r="H9" s="236"/>
      <c r="I9" s="275"/>
      <c r="J9" s="276"/>
      <c r="K9" s="277"/>
      <c r="L9" s="278"/>
      <c r="M9" s="303"/>
      <c r="N9" s="304"/>
      <c r="O9" s="304"/>
      <c r="P9" s="304"/>
      <c r="Q9" s="304"/>
    </row>
    <row r="10" spans="1:22" ht="68.25" customHeight="1">
      <c r="A10" s="614" t="s">
        <v>107</v>
      </c>
      <c r="B10" s="615"/>
      <c r="C10" s="616" t="s">
        <v>108</v>
      </c>
      <c r="D10" s="617"/>
      <c r="E10" s="617"/>
      <c r="F10" s="617"/>
      <c r="G10" s="618"/>
      <c r="H10" s="258"/>
      <c r="I10" s="619" t="s">
        <v>109</v>
      </c>
      <c r="J10" s="619"/>
      <c r="K10" s="619"/>
      <c r="L10" s="620"/>
      <c r="M10" s="621">
        <f>BEMSdar!E11</f>
        <v>1437864.7725</v>
      </c>
      <c r="N10" s="622"/>
      <c r="O10" s="305"/>
      <c r="P10" s="305"/>
      <c r="Q10" s="318"/>
    </row>
    <row r="11" spans="1:22" ht="68.25" customHeight="1">
      <c r="A11" s="236"/>
      <c r="B11" s="242"/>
      <c r="C11" s="243"/>
      <c r="D11" s="241"/>
      <c r="E11" s="242"/>
      <c r="F11" s="242"/>
      <c r="G11" s="243"/>
      <c r="H11" s="236"/>
      <c r="I11" s="275"/>
      <c r="J11" s="276"/>
      <c r="K11" s="277"/>
      <c r="L11" s="278"/>
      <c r="M11" s="303"/>
      <c r="N11" s="304"/>
      <c r="O11" s="304"/>
      <c r="P11" s="304"/>
      <c r="Q11" s="304"/>
    </row>
    <row r="12" spans="1:22" ht="68.25" customHeight="1">
      <c r="A12" s="614" t="s">
        <v>110</v>
      </c>
      <c r="B12" s="615"/>
      <c r="C12" s="623">
        <v>46023</v>
      </c>
      <c r="D12" s="624"/>
      <c r="E12" s="624"/>
      <c r="F12" s="624"/>
      <c r="G12" s="625"/>
      <c r="H12" s="258"/>
      <c r="I12" s="619" t="s">
        <v>111</v>
      </c>
      <c r="J12" s="619"/>
      <c r="K12" s="619"/>
      <c r="L12" s="620"/>
      <c r="M12" s="621">
        <f>BEMSdar!E13</f>
        <v>36868.327499999999</v>
      </c>
      <c r="N12" s="622"/>
      <c r="O12" s="305"/>
      <c r="P12" s="305"/>
      <c r="Q12" s="318"/>
    </row>
    <row r="13" spans="1:22">
      <c r="A13" s="236"/>
      <c r="B13" s="242"/>
      <c r="C13" s="243"/>
      <c r="D13" s="241"/>
      <c r="E13" s="242"/>
      <c r="F13" s="242"/>
      <c r="G13" s="243"/>
      <c r="H13" s="236"/>
      <c r="I13" s="275"/>
      <c r="J13" s="276"/>
      <c r="K13" s="277"/>
      <c r="L13" s="278"/>
    </row>
    <row r="14" spans="1:22" s="214" customFormat="1">
      <c r="A14" s="244" t="s">
        <v>112</v>
      </c>
      <c r="B14" s="243"/>
      <c r="C14" s="243"/>
      <c r="D14" s="241"/>
      <c r="E14" s="242"/>
      <c r="F14" s="242"/>
      <c r="G14" s="243"/>
      <c r="H14" s="236"/>
      <c r="I14" s="275"/>
      <c r="J14" s="276"/>
      <c r="K14" s="277"/>
      <c r="L14" s="278"/>
      <c r="M14" s="231"/>
      <c r="N14" s="223"/>
      <c r="O14" s="223"/>
      <c r="P14" s="224"/>
      <c r="Q14" s="223"/>
      <c r="R14" s="223"/>
      <c r="S14" s="232"/>
      <c r="T14" s="233"/>
      <c r="U14" s="223"/>
      <c r="V14" s="234"/>
    </row>
    <row r="15" spans="1:22" s="214" customFormat="1">
      <c r="A15" s="244" t="s">
        <v>113</v>
      </c>
      <c r="B15" s="243"/>
      <c r="C15" s="243"/>
      <c r="D15" s="241"/>
      <c r="E15" s="242"/>
      <c r="F15" s="242"/>
      <c r="G15" s="243"/>
      <c r="H15" s="236"/>
      <c r="I15" s="275"/>
      <c r="J15" s="276"/>
      <c r="K15" s="277"/>
      <c r="L15" s="278"/>
      <c r="M15" s="231"/>
      <c r="N15" s="223"/>
      <c r="O15" s="223"/>
      <c r="P15" s="224"/>
      <c r="Q15" s="223"/>
      <c r="R15" s="223"/>
      <c r="S15" s="232"/>
      <c r="T15" s="233"/>
      <c r="U15" s="223"/>
      <c r="V15" s="234"/>
    </row>
    <row r="16" spans="1:22" s="214" customFormat="1">
      <c r="A16" s="244" t="s">
        <v>114</v>
      </c>
      <c r="B16" s="243"/>
      <c r="C16" s="243"/>
      <c r="D16" s="241"/>
      <c r="E16" s="242"/>
      <c r="F16" s="242"/>
      <c r="G16" s="243"/>
      <c r="H16" s="236"/>
      <c r="I16" s="275"/>
      <c r="J16" s="276"/>
      <c r="K16" s="277"/>
      <c r="L16" s="278"/>
      <c r="M16" s="231"/>
      <c r="N16" s="223"/>
      <c r="O16" s="223"/>
      <c r="P16" s="224"/>
      <c r="Q16" s="223"/>
      <c r="R16" s="223"/>
      <c r="S16" s="232"/>
      <c r="T16" s="233"/>
      <c r="U16" s="223"/>
      <c r="V16" s="234"/>
    </row>
    <row r="17" spans="1:23" s="214" customFormat="1">
      <c r="A17" s="244" t="s">
        <v>115</v>
      </c>
      <c r="B17" s="243"/>
      <c r="C17" s="243"/>
      <c r="D17" s="241"/>
      <c r="E17" s="242"/>
      <c r="F17" s="242"/>
      <c r="G17" s="243"/>
      <c r="H17" s="236"/>
      <c r="I17" s="275"/>
      <c r="J17" s="276"/>
      <c r="K17" s="277"/>
      <c r="L17" s="278"/>
      <c r="M17" s="231"/>
      <c r="N17" s="223"/>
      <c r="O17" s="223"/>
      <c r="P17" s="224"/>
      <c r="Q17" s="223"/>
      <c r="R17" s="223"/>
      <c r="S17" s="232"/>
      <c r="T17" s="233"/>
      <c r="U17" s="223"/>
      <c r="V17" s="234"/>
    </row>
    <row r="18" spans="1:23" s="214" customFormat="1">
      <c r="A18" s="244" t="s">
        <v>116</v>
      </c>
      <c r="B18" s="243"/>
      <c r="C18" s="243"/>
      <c r="D18" s="241"/>
      <c r="E18" s="242"/>
      <c r="F18" s="242"/>
      <c r="G18" s="243"/>
      <c r="H18" s="236"/>
      <c r="I18" s="275"/>
      <c r="J18" s="276"/>
      <c r="K18" s="277"/>
      <c r="L18" s="278"/>
      <c r="M18" s="231"/>
      <c r="N18" s="223"/>
      <c r="O18" s="223"/>
      <c r="P18" s="224"/>
      <c r="Q18" s="223"/>
      <c r="R18" s="223"/>
      <c r="S18" s="232"/>
      <c r="T18" s="233"/>
      <c r="U18" s="223"/>
      <c r="V18" s="234"/>
    </row>
    <row r="19" spans="1:23" s="214" customFormat="1">
      <c r="A19" s="244" t="s">
        <v>117</v>
      </c>
      <c r="B19" s="243"/>
      <c r="C19" s="243"/>
      <c r="D19" s="241"/>
      <c r="E19" s="242"/>
      <c r="F19" s="242"/>
      <c r="G19" s="243"/>
      <c r="H19" s="236"/>
      <c r="I19" s="275"/>
      <c r="J19" s="276"/>
      <c r="K19" s="277"/>
      <c r="L19" s="278"/>
      <c r="M19" s="231"/>
      <c r="N19" s="223"/>
      <c r="O19" s="223"/>
      <c r="P19" s="224"/>
      <c r="Q19" s="223"/>
      <c r="R19" s="223"/>
      <c r="S19" s="232"/>
      <c r="T19" s="233"/>
      <c r="U19" s="223"/>
      <c r="V19" s="234"/>
    </row>
    <row r="20" spans="1:23">
      <c r="A20" s="236"/>
      <c r="B20" s="242"/>
      <c r="C20" s="243"/>
      <c r="D20" s="241"/>
      <c r="E20" s="259"/>
      <c r="F20" s="260"/>
      <c r="G20" s="261"/>
      <c r="H20" s="262"/>
      <c r="I20" s="279"/>
      <c r="J20" s="280"/>
      <c r="K20" s="281"/>
      <c r="L20" s="274"/>
    </row>
    <row r="21" spans="1:23" s="215" customFormat="1" ht="60" customHeight="1">
      <c r="A21" s="589" t="s">
        <v>78</v>
      </c>
      <c r="B21" s="590" t="s">
        <v>118</v>
      </c>
      <c r="C21" s="591" t="s">
        <v>119</v>
      </c>
      <c r="D21" s="593" t="s">
        <v>120</v>
      </c>
      <c r="E21" s="590" t="s">
        <v>121</v>
      </c>
      <c r="F21" s="589" t="s">
        <v>122</v>
      </c>
      <c r="G21" s="607" t="s">
        <v>123</v>
      </c>
      <c r="H21" s="608" t="s">
        <v>124</v>
      </c>
      <c r="I21" s="609" t="s">
        <v>125</v>
      </c>
      <c r="J21" s="610" t="s">
        <v>126</v>
      </c>
      <c r="K21" s="611" t="s">
        <v>127</v>
      </c>
      <c r="L21" s="612" t="s">
        <v>128</v>
      </c>
      <c r="M21" s="613" t="s">
        <v>129</v>
      </c>
      <c r="N21" s="595" t="s">
        <v>130</v>
      </c>
      <c r="O21" s="596"/>
      <c r="P21" s="597"/>
      <c r="Q21" s="595" t="s">
        <v>131</v>
      </c>
      <c r="R21" s="596"/>
      <c r="S21" s="598"/>
      <c r="T21" s="596"/>
      <c r="U21" s="596"/>
      <c r="V21" s="599"/>
      <c r="W21" s="325"/>
    </row>
    <row r="22" spans="1:23" s="216" customFormat="1" ht="262.5" customHeight="1">
      <c r="A22" s="589"/>
      <c r="B22" s="590"/>
      <c r="C22" s="592"/>
      <c r="D22" s="594"/>
      <c r="E22" s="590"/>
      <c r="F22" s="589"/>
      <c r="G22" s="607"/>
      <c r="H22" s="608"/>
      <c r="I22" s="609"/>
      <c r="J22" s="610"/>
      <c r="K22" s="611"/>
      <c r="L22" s="612"/>
      <c r="M22" s="613"/>
      <c r="N22" s="245" t="s">
        <v>132</v>
      </c>
      <c r="O22" s="245" t="s">
        <v>133</v>
      </c>
      <c r="P22" s="245" t="s">
        <v>134</v>
      </c>
      <c r="Q22" s="245" t="s">
        <v>132</v>
      </c>
      <c r="R22" s="245" t="s">
        <v>135</v>
      </c>
      <c r="S22" s="263" t="s">
        <v>136</v>
      </c>
      <c r="T22" s="306" t="s">
        <v>137</v>
      </c>
      <c r="U22" s="307" t="s">
        <v>133</v>
      </c>
      <c r="V22" s="326" t="s">
        <v>134</v>
      </c>
      <c r="W22" s="325"/>
    </row>
    <row r="23" spans="1:23" s="217" customFormat="1" ht="170.25" customHeight="1">
      <c r="A23" s="246" t="s">
        <v>138</v>
      </c>
      <c r="B23" s="247"/>
      <c r="C23" s="248"/>
      <c r="D23" s="249"/>
      <c r="E23" s="264"/>
      <c r="F23" s="247"/>
      <c r="G23" s="248"/>
      <c r="H23" s="247"/>
      <c r="I23" s="282"/>
      <c r="J23" s="283"/>
      <c r="K23" s="284"/>
      <c r="L23" s="284"/>
      <c r="M23" s="249"/>
      <c r="N23" s="247"/>
      <c r="O23" s="247"/>
      <c r="P23" s="247"/>
      <c r="Q23" s="247"/>
      <c r="R23" s="247"/>
      <c r="S23" s="319"/>
      <c r="T23" s="247"/>
      <c r="U23" s="247"/>
      <c r="V23" s="327"/>
      <c r="W23" s="328"/>
    </row>
    <row r="24" spans="1:23" s="218" customFormat="1" ht="236.5" customHeight="1">
      <c r="A24" s="250">
        <v>1</v>
      </c>
      <c r="B24" s="251" t="s">
        <v>139</v>
      </c>
      <c r="C24" s="252" t="str">
        <f>VLOOKUP(B24,[13]AssetDetails_UEM!$A$3:$AH$1849,6,FALSE)</f>
        <v>Sphygmomanometers, Electronic, Automatic</v>
      </c>
      <c r="D24" s="253">
        <f>VLOOKUP(B24,[13]AssetDetails_UEM!$A$3:$AK$1849,22,FALSE)</f>
        <v>4510</v>
      </c>
      <c r="E24" s="251" t="s">
        <v>140</v>
      </c>
      <c r="F24" s="251" t="s">
        <v>141</v>
      </c>
      <c r="G24" s="265" t="s">
        <v>142</v>
      </c>
      <c r="H24" s="266" t="s">
        <v>143</v>
      </c>
      <c r="I24" s="285" t="s">
        <v>144</v>
      </c>
      <c r="J24" s="286" t="s">
        <v>145</v>
      </c>
      <c r="K24" s="287" t="s">
        <v>146</v>
      </c>
      <c r="L24" s="288" t="s">
        <v>147</v>
      </c>
      <c r="M24" s="308">
        <f t="shared" ref="M24:M87" si="0">IF(D24&gt;44999.99,100,ROUNDUP((D24/4999.99)*10,-1))</f>
        <v>10</v>
      </c>
      <c r="N24" s="309" t="s">
        <v>148</v>
      </c>
      <c r="O24" s="310">
        <f>'[14]B1&amp; B2 UNSCHEDULED'!$O$24</f>
        <v>0</v>
      </c>
      <c r="P24" s="309"/>
      <c r="Q24" s="309" t="s">
        <v>148</v>
      </c>
      <c r="R24" s="320">
        <f t="shared" ref="R24:R59" si="1">IF(L24="",AKHIR-J24,L24-J24+1)</f>
        <v>7.1201388888948713</v>
      </c>
      <c r="S24" s="321">
        <f>WORKDAY(J24,6,AKHIR)</f>
        <v>46034</v>
      </c>
      <c r="T24" s="250">
        <v>0</v>
      </c>
      <c r="U24" s="329">
        <f t="shared" ref="U24:U87" si="2">IF(Q24="N",0,M24*T24)</f>
        <v>0</v>
      </c>
      <c r="V24" s="330" t="s">
        <v>149</v>
      </c>
      <c r="W24" s="328"/>
    </row>
    <row r="25" spans="1:23" s="218" customFormat="1" ht="227.15" customHeight="1">
      <c r="A25" s="250">
        <v>2</v>
      </c>
      <c r="B25" s="251" t="s">
        <v>150</v>
      </c>
      <c r="C25" s="252" t="str">
        <f>VLOOKUP(B25,[13]AssetDetails_UEM!$A$3:$AH$1849,6,FALSE)</f>
        <v>Analyzers, Laboratory, Microbiology, Blood Culture, Automate</v>
      </c>
      <c r="D25" s="253">
        <f>VLOOKUP(B25,[13]AssetDetails_UEM!$A$3:$AK$1849,22,FALSE)</f>
        <v>342820</v>
      </c>
      <c r="E25" s="251" t="s">
        <v>151</v>
      </c>
      <c r="F25" s="251" t="s">
        <v>152</v>
      </c>
      <c r="G25" s="265" t="s">
        <v>153</v>
      </c>
      <c r="H25" s="266" t="s">
        <v>143</v>
      </c>
      <c r="I25" s="285" t="s">
        <v>154</v>
      </c>
      <c r="J25" s="286" t="s">
        <v>155</v>
      </c>
      <c r="K25" s="287" t="s">
        <v>156</v>
      </c>
      <c r="L25" s="288" t="s">
        <v>157</v>
      </c>
      <c r="M25" s="308">
        <f t="shared" si="0"/>
        <v>100</v>
      </c>
      <c r="N25" s="309" t="s">
        <v>148</v>
      </c>
      <c r="O25" s="310">
        <f>'[14]B1&amp; B2 UNSCHEDULED'!$O$24</f>
        <v>0</v>
      </c>
      <c r="P25" s="309"/>
      <c r="Q25" s="309" t="s">
        <v>148</v>
      </c>
      <c r="R25" s="320">
        <f t="shared" si="1"/>
        <v>1.2270833333313931</v>
      </c>
      <c r="S25" s="321">
        <f>WORKDAY(J25,6,AKHIR)</f>
        <v>46034</v>
      </c>
      <c r="T25" s="250">
        <v>0</v>
      </c>
      <c r="U25" s="329">
        <f t="shared" si="2"/>
        <v>0</v>
      </c>
      <c r="V25" s="330" t="s">
        <v>158</v>
      </c>
      <c r="W25" s="328"/>
    </row>
    <row r="26" spans="1:23" s="219" customFormat="1" ht="261.64999999999998" customHeight="1">
      <c r="A26" s="250">
        <v>3</v>
      </c>
      <c r="B26" s="251" t="s">
        <v>159</v>
      </c>
      <c r="C26" s="252" t="str">
        <f>VLOOKUP(B26,[13]AssetDetails_UEM!$A$3:$AH$1849,6,FALSE)</f>
        <v>Sphygmomanometers, Electronic, Automatic</v>
      </c>
      <c r="D26" s="253">
        <f>VLOOKUP(B26,[13]AssetDetails_UEM!$A$3:$AK$1849,22,FALSE)</f>
        <v>4510</v>
      </c>
      <c r="E26" s="251" t="s">
        <v>160</v>
      </c>
      <c r="F26" s="251" t="s">
        <v>141</v>
      </c>
      <c r="G26" s="466" t="s">
        <v>1374</v>
      </c>
      <c r="H26" s="266" t="s">
        <v>143</v>
      </c>
      <c r="I26" s="561" t="s">
        <v>162</v>
      </c>
      <c r="J26" s="563" t="s">
        <v>163</v>
      </c>
      <c r="K26" s="564" t="s">
        <v>163</v>
      </c>
      <c r="L26" s="288" t="s">
        <v>164</v>
      </c>
      <c r="M26" s="308">
        <f t="shared" si="0"/>
        <v>10</v>
      </c>
      <c r="N26" s="309" t="s">
        <v>148</v>
      </c>
      <c r="O26" s="310">
        <f>'[14]B1&amp; B2 UNSCHEDULED'!$O$24</f>
        <v>0</v>
      </c>
      <c r="P26" s="250"/>
      <c r="Q26" s="309" t="s">
        <v>148</v>
      </c>
      <c r="R26" s="320">
        <f t="shared" si="1"/>
        <v>1.0208333333357587</v>
      </c>
      <c r="S26" s="321">
        <f>WORKDAY(J26,6,AKHIR)</f>
        <v>46034</v>
      </c>
      <c r="T26" s="250">
        <v>0</v>
      </c>
      <c r="U26" s="329">
        <f t="shared" si="2"/>
        <v>0</v>
      </c>
      <c r="V26" s="330" t="s">
        <v>165</v>
      </c>
      <c r="W26" s="328"/>
    </row>
    <row r="27" spans="1:23" s="219" customFormat="1" ht="223" customHeight="1">
      <c r="A27" s="250">
        <v>4</v>
      </c>
      <c r="B27" s="251" t="s">
        <v>166</v>
      </c>
      <c r="C27" s="252" t="str">
        <f>VLOOKUP(B27,[13]AssetDetails_UEM!$A$3:$AH$1849,6,FALSE)</f>
        <v>Oximeters, Pulse</v>
      </c>
      <c r="D27" s="253">
        <f>VLOOKUP(B27,[13]AssetDetails_UEM!$A$3:$AK$1849,22,FALSE)</f>
        <v>5410</v>
      </c>
      <c r="E27" s="251" t="s">
        <v>167</v>
      </c>
      <c r="F27" s="251" t="s">
        <v>168</v>
      </c>
      <c r="G27" s="265" t="s">
        <v>169</v>
      </c>
      <c r="H27" s="266" t="s">
        <v>143</v>
      </c>
      <c r="I27" s="285" t="s">
        <v>170</v>
      </c>
      <c r="J27" s="286" t="s">
        <v>171</v>
      </c>
      <c r="K27" s="287" t="s">
        <v>172</v>
      </c>
      <c r="L27" s="288" t="s">
        <v>173</v>
      </c>
      <c r="M27" s="308">
        <f t="shared" si="0"/>
        <v>20</v>
      </c>
      <c r="N27" s="309" t="s">
        <v>148</v>
      </c>
      <c r="O27" s="310">
        <f>'[14]B1&amp; B2 UNSCHEDULED'!$O$24</f>
        <v>0</v>
      </c>
      <c r="P27" s="309"/>
      <c r="Q27" s="309" t="s">
        <v>148</v>
      </c>
      <c r="R27" s="320">
        <f t="shared" si="1"/>
        <v>1.0729166666642413</v>
      </c>
      <c r="S27" s="321">
        <f>WORKDAY(J27,7,AKHIR)</f>
        <v>46035</v>
      </c>
      <c r="T27" s="250">
        <v>0</v>
      </c>
      <c r="U27" s="329">
        <f t="shared" si="2"/>
        <v>0</v>
      </c>
      <c r="V27" s="330" t="s">
        <v>174</v>
      </c>
      <c r="W27" s="328"/>
    </row>
    <row r="28" spans="1:23" s="220" customFormat="1" ht="231.65" customHeight="1">
      <c r="A28" s="250">
        <v>5</v>
      </c>
      <c r="B28" s="251" t="s">
        <v>175</v>
      </c>
      <c r="C28" s="252" t="str">
        <f>VLOOKUP(B28,[13]AssetDetails_UEM!$A$3:$AH$1849,6,FALSE)</f>
        <v>Scanning Systems, Computed Tomography</v>
      </c>
      <c r="D28" s="253">
        <f>VLOOKUP(B28,[13]AssetDetails_UEM!$A$3:$AK$1849,22,FALSE)</f>
        <v>4605710</v>
      </c>
      <c r="E28" s="251" t="s">
        <v>176</v>
      </c>
      <c r="F28" s="251" t="s">
        <v>177</v>
      </c>
      <c r="G28" s="265" t="s">
        <v>178</v>
      </c>
      <c r="H28" s="266" t="s">
        <v>143</v>
      </c>
      <c r="I28" s="465" t="s">
        <v>386</v>
      </c>
      <c r="J28" s="286" t="s">
        <v>179</v>
      </c>
      <c r="K28" s="464">
        <v>46027.489594907405</v>
      </c>
      <c r="L28" s="288" t="s">
        <v>180</v>
      </c>
      <c r="M28" s="308">
        <f t="shared" si="0"/>
        <v>100</v>
      </c>
      <c r="N28" s="309" t="s">
        <v>148</v>
      </c>
      <c r="O28" s="310">
        <f>'[14]B1&amp; B2 UNSCHEDULED'!$O$24</f>
        <v>0</v>
      </c>
      <c r="P28" s="309"/>
      <c r="Q28" s="309" t="s">
        <v>148</v>
      </c>
      <c r="R28" s="320">
        <f t="shared" si="1"/>
        <v>1.0187500000029104</v>
      </c>
      <c r="S28" s="321">
        <f t="shared" ref="S28:S48" si="3">WORKDAY(J28,6,AKHIR)</f>
        <v>46035</v>
      </c>
      <c r="T28" s="250">
        <v>0</v>
      </c>
      <c r="U28" s="329">
        <f t="shared" si="2"/>
        <v>0</v>
      </c>
      <c r="V28" s="330" t="s">
        <v>181</v>
      </c>
      <c r="W28" s="328"/>
    </row>
    <row r="29" spans="1:23" s="218" customFormat="1" ht="181.5" customHeight="1">
      <c r="A29" s="250">
        <v>6</v>
      </c>
      <c r="B29" s="251" t="s">
        <v>182</v>
      </c>
      <c r="C29" s="252" t="str">
        <f>VLOOKUP(B29,[13]AssetDetails_UEM!$A$3:$AH$1849,6,FALSE)</f>
        <v>Sphygmomanometers, Electronic, Automatic</v>
      </c>
      <c r="D29" s="253">
        <f>VLOOKUP(B29,[13]AssetDetails_UEM!$A$3:$AK$1849,22,FALSE)</f>
        <v>336</v>
      </c>
      <c r="E29" s="251" t="s">
        <v>183</v>
      </c>
      <c r="F29" s="251" t="s">
        <v>184</v>
      </c>
      <c r="G29" s="265" t="s">
        <v>185</v>
      </c>
      <c r="H29" s="266" t="s">
        <v>143</v>
      </c>
      <c r="I29" s="285" t="s">
        <v>186</v>
      </c>
      <c r="J29" s="286" t="s">
        <v>187</v>
      </c>
      <c r="K29" s="287" t="s">
        <v>188</v>
      </c>
      <c r="L29" s="288" t="s">
        <v>189</v>
      </c>
      <c r="M29" s="308">
        <f t="shared" si="0"/>
        <v>10</v>
      </c>
      <c r="N29" s="309" t="s">
        <v>148</v>
      </c>
      <c r="O29" s="310">
        <f>'[14]B1&amp; B2 UNSCHEDULED'!$O$24</f>
        <v>0</v>
      </c>
      <c r="P29" s="309"/>
      <c r="Q29" s="309" t="s">
        <v>148</v>
      </c>
      <c r="R29" s="320">
        <f t="shared" si="1"/>
        <v>8.0374999999985448</v>
      </c>
      <c r="S29" s="321">
        <f t="shared" si="3"/>
        <v>46035</v>
      </c>
      <c r="T29" s="250">
        <v>0</v>
      </c>
      <c r="U29" s="329">
        <f t="shared" si="2"/>
        <v>0</v>
      </c>
      <c r="V29" s="330" t="s">
        <v>190</v>
      </c>
      <c r="W29" s="328"/>
    </row>
    <row r="30" spans="1:23" s="218" customFormat="1" ht="181.5" customHeight="1">
      <c r="A30" s="250">
        <v>7</v>
      </c>
      <c r="B30" s="251" t="s">
        <v>191</v>
      </c>
      <c r="C30" s="252" t="str">
        <f>VLOOKUP(B30,[13]AssetDetails_UEM!$A$3:$AH$1849,6,FALSE)</f>
        <v>Analyzers, Laboratory, Urine, Automated</v>
      </c>
      <c r="D30" s="253">
        <f>VLOOKUP(B30,[13]AssetDetails_UEM!$A$3:$AK$1849,22,FALSE)</f>
        <v>36080</v>
      </c>
      <c r="E30" s="251" t="s">
        <v>192</v>
      </c>
      <c r="F30" s="251" t="s">
        <v>193</v>
      </c>
      <c r="G30" s="565" t="s">
        <v>194</v>
      </c>
      <c r="H30" s="266" t="s">
        <v>143</v>
      </c>
      <c r="I30" s="561" t="s">
        <v>195</v>
      </c>
      <c r="J30" s="563" t="s">
        <v>196</v>
      </c>
      <c r="K30" s="564" t="s">
        <v>197</v>
      </c>
      <c r="L30" s="288" t="s">
        <v>198</v>
      </c>
      <c r="M30" s="308">
        <f t="shared" si="0"/>
        <v>80</v>
      </c>
      <c r="N30" s="309" t="s">
        <v>148</v>
      </c>
      <c r="O30" s="310">
        <f>'[14]B1&amp; B2 UNSCHEDULED'!$O$24</f>
        <v>0</v>
      </c>
      <c r="P30" s="250"/>
      <c r="Q30" s="309" t="s">
        <v>148</v>
      </c>
      <c r="R30" s="320">
        <f t="shared" si="1"/>
        <v>1.0631944444467081</v>
      </c>
      <c r="S30" s="321">
        <f t="shared" si="3"/>
        <v>46036</v>
      </c>
      <c r="T30" s="250">
        <v>0</v>
      </c>
      <c r="U30" s="329">
        <f t="shared" si="2"/>
        <v>0</v>
      </c>
      <c r="V30" s="330" t="s">
        <v>199</v>
      </c>
      <c r="W30" s="328"/>
    </row>
    <row r="31" spans="1:23" s="220" customFormat="1" ht="269.14999999999998" customHeight="1">
      <c r="A31" s="250">
        <v>8</v>
      </c>
      <c r="B31" s="251" t="s">
        <v>200</v>
      </c>
      <c r="C31" s="252" t="str">
        <f>VLOOKUP(B31,[13]AssetDetails_UEM!$A$3:$AH$1849,6,FALSE)</f>
        <v>Analyzers, Laboratory, Hematology, Coagulation, Automated</v>
      </c>
      <c r="D31" s="253">
        <f>VLOOKUP(B31,[13]AssetDetails_UEM!$A$3:$AK$1849,22,FALSE)</f>
        <v>105860</v>
      </c>
      <c r="E31" s="251" t="s">
        <v>201</v>
      </c>
      <c r="F31" s="251" t="s">
        <v>193</v>
      </c>
      <c r="G31" s="265" t="s">
        <v>202</v>
      </c>
      <c r="H31" s="266" t="s">
        <v>143</v>
      </c>
      <c r="I31" s="285" t="s">
        <v>203</v>
      </c>
      <c r="J31" s="286" t="s">
        <v>204</v>
      </c>
      <c r="K31" s="287" t="s">
        <v>197</v>
      </c>
      <c r="L31" s="288" t="s">
        <v>205</v>
      </c>
      <c r="M31" s="308">
        <f t="shared" si="0"/>
        <v>100</v>
      </c>
      <c r="N31" s="309" t="s">
        <v>148</v>
      </c>
      <c r="O31" s="310">
        <f>'[14]B1&amp; B2 UNSCHEDULED'!$O$24</f>
        <v>0</v>
      </c>
      <c r="P31" s="309"/>
      <c r="Q31" s="309" t="s">
        <v>148</v>
      </c>
      <c r="R31" s="320">
        <f t="shared" si="1"/>
        <v>1.272916666661331</v>
      </c>
      <c r="S31" s="321">
        <f t="shared" si="3"/>
        <v>46036</v>
      </c>
      <c r="T31" s="250">
        <v>0</v>
      </c>
      <c r="U31" s="329">
        <f t="shared" si="2"/>
        <v>0</v>
      </c>
      <c r="V31" s="330" t="s">
        <v>206</v>
      </c>
      <c r="W31" s="328"/>
    </row>
    <row r="32" spans="1:23" s="218" customFormat="1" ht="265">
      <c r="A32" s="250">
        <v>9</v>
      </c>
      <c r="B32" s="251" t="s">
        <v>207</v>
      </c>
      <c r="C32" s="252" t="str">
        <f>VLOOKUP(B32,[13]AssetDetails_UEM!$A$3:$AH$1849,6,FALSE)</f>
        <v>Analyzers, Physiologic, Body Composition</v>
      </c>
      <c r="D32" s="253">
        <f>VLOOKUP(B32,[13]AssetDetails_UEM!$A$3:$AK$1849,22,FALSE)</f>
        <v>9500</v>
      </c>
      <c r="E32" s="251" t="s">
        <v>208</v>
      </c>
      <c r="F32" s="251" t="s">
        <v>209</v>
      </c>
      <c r="G32" s="265" t="s">
        <v>210</v>
      </c>
      <c r="H32" s="266" t="s">
        <v>143</v>
      </c>
      <c r="I32" s="465" t="s">
        <v>247</v>
      </c>
      <c r="J32" s="286" t="s">
        <v>211</v>
      </c>
      <c r="K32" s="464">
        <v>46029.423611111109</v>
      </c>
      <c r="L32" s="288" t="s">
        <v>212</v>
      </c>
      <c r="M32" s="308">
        <f t="shared" si="0"/>
        <v>20</v>
      </c>
      <c r="N32" s="309" t="s">
        <v>148</v>
      </c>
      <c r="O32" s="310">
        <f>'[14]B1&amp; B2 UNSCHEDULED'!$O$24</f>
        <v>0</v>
      </c>
      <c r="P32" s="309"/>
      <c r="Q32" s="309" t="s">
        <v>148</v>
      </c>
      <c r="R32" s="320">
        <f t="shared" si="1"/>
        <v>1.0694444444452529</v>
      </c>
      <c r="S32" s="321">
        <f t="shared" si="3"/>
        <v>46037</v>
      </c>
      <c r="T32" s="250">
        <v>0</v>
      </c>
      <c r="U32" s="329">
        <f t="shared" si="2"/>
        <v>0</v>
      </c>
      <c r="V32" s="330" t="s">
        <v>213</v>
      </c>
      <c r="W32" s="328"/>
    </row>
    <row r="33" spans="1:23" s="218" customFormat="1" ht="226.5" customHeight="1">
      <c r="A33" s="250">
        <v>10</v>
      </c>
      <c r="B33" s="251" t="s">
        <v>214</v>
      </c>
      <c r="C33" s="252" t="str">
        <f>VLOOKUP(B33,[13]AssetDetails_UEM!$A$3:$AH$1849,6,FALSE)</f>
        <v>Concentrators, Oxygen</v>
      </c>
      <c r="D33" s="253">
        <f>VLOOKUP(B33,[13]AssetDetails_UEM!$A$3:$AK$1849,22,FALSE)</f>
        <v>5000</v>
      </c>
      <c r="E33" s="251" t="s">
        <v>215</v>
      </c>
      <c r="F33" s="251" t="s">
        <v>216</v>
      </c>
      <c r="G33" s="265" t="s">
        <v>217</v>
      </c>
      <c r="H33" s="266" t="s">
        <v>143</v>
      </c>
      <c r="I33" s="285" t="s">
        <v>218</v>
      </c>
      <c r="J33" s="286" t="s">
        <v>219</v>
      </c>
      <c r="K33" s="287" t="s">
        <v>220</v>
      </c>
      <c r="L33" s="288" t="s">
        <v>221</v>
      </c>
      <c r="M33" s="308">
        <f t="shared" si="0"/>
        <v>20</v>
      </c>
      <c r="N33" s="309" t="s">
        <v>148</v>
      </c>
      <c r="O33" s="310">
        <f>'[14]B1&amp; B2 UNSCHEDULED'!$O$24</f>
        <v>0</v>
      </c>
      <c r="P33" s="309"/>
      <c r="Q33" s="309" t="s">
        <v>148</v>
      </c>
      <c r="R33" s="320">
        <f t="shared" si="1"/>
        <v>1.0416666666642413</v>
      </c>
      <c r="S33" s="321">
        <f t="shared" si="3"/>
        <v>46037</v>
      </c>
      <c r="T33" s="250">
        <v>0</v>
      </c>
      <c r="U33" s="329">
        <f t="shared" si="2"/>
        <v>0</v>
      </c>
      <c r="V33" s="330" t="s">
        <v>222</v>
      </c>
      <c r="W33" s="328"/>
    </row>
    <row r="34" spans="1:23" s="218" customFormat="1" ht="265">
      <c r="A34" s="250">
        <v>11</v>
      </c>
      <c r="B34" s="251" t="s">
        <v>223</v>
      </c>
      <c r="C34" s="252" t="str">
        <f>VLOOKUP(B34,[13]AssetDetails_UEM!$A$3:$AH$1849,6,FALSE)</f>
        <v>Concentrators, Oxygen</v>
      </c>
      <c r="D34" s="253">
        <f>VLOOKUP(B34,[13]AssetDetails_UEM!$A$3:$AK$1849,22,FALSE)</f>
        <v>3400</v>
      </c>
      <c r="E34" s="251" t="s">
        <v>224</v>
      </c>
      <c r="F34" s="251" t="s">
        <v>216</v>
      </c>
      <c r="G34" s="265" t="s">
        <v>217</v>
      </c>
      <c r="H34" s="266" t="s">
        <v>143</v>
      </c>
      <c r="I34" s="285" t="s">
        <v>218</v>
      </c>
      <c r="J34" s="286" t="s">
        <v>219</v>
      </c>
      <c r="K34" s="287" t="s">
        <v>220</v>
      </c>
      <c r="L34" s="288" t="s">
        <v>221</v>
      </c>
      <c r="M34" s="308">
        <f t="shared" si="0"/>
        <v>10</v>
      </c>
      <c r="N34" s="309" t="s">
        <v>148</v>
      </c>
      <c r="O34" s="310">
        <f>'[14]B1&amp; B2 UNSCHEDULED'!$O$24</f>
        <v>0</v>
      </c>
      <c r="P34" s="309"/>
      <c r="Q34" s="309" t="s">
        <v>148</v>
      </c>
      <c r="R34" s="320">
        <f t="shared" si="1"/>
        <v>1.0416666666642413</v>
      </c>
      <c r="S34" s="321">
        <f t="shared" si="3"/>
        <v>46037</v>
      </c>
      <c r="T34" s="250">
        <v>0</v>
      </c>
      <c r="U34" s="329">
        <f t="shared" si="2"/>
        <v>0</v>
      </c>
      <c r="V34" s="330" t="s">
        <v>225</v>
      </c>
      <c r="W34" s="328"/>
    </row>
    <row r="35" spans="1:23" s="218" customFormat="1" ht="181.5" customHeight="1">
      <c r="A35" s="250">
        <v>12</v>
      </c>
      <c r="B35" s="251" t="s">
        <v>226</v>
      </c>
      <c r="C35" s="252" t="str">
        <f>VLOOKUP(B35,[13]AssetDetails_UEM!$A$3:$AH$1849,6,FALSE)</f>
        <v>Monitors, Physiologic, Vital Signs</v>
      </c>
      <c r="D35" s="253">
        <f>VLOOKUP(B35,[13]AssetDetails_UEM!$A$3:$AK$1849,22,FALSE)</f>
        <v>18765</v>
      </c>
      <c r="E35" s="251" t="s">
        <v>227</v>
      </c>
      <c r="F35" s="251" t="s">
        <v>228</v>
      </c>
      <c r="G35" s="267" t="s">
        <v>229</v>
      </c>
      <c r="H35" s="266" t="s">
        <v>143</v>
      </c>
      <c r="I35" s="561" t="s">
        <v>230</v>
      </c>
      <c r="J35" s="286" t="s">
        <v>231</v>
      </c>
      <c r="K35" s="287" t="s">
        <v>232</v>
      </c>
      <c r="L35" s="288" t="s">
        <v>233</v>
      </c>
      <c r="M35" s="308">
        <f t="shared" si="0"/>
        <v>40</v>
      </c>
      <c r="N35" s="562" t="s">
        <v>683</v>
      </c>
      <c r="O35" s="310">
        <f>M35</f>
        <v>40</v>
      </c>
      <c r="P35" s="309"/>
      <c r="Q35" s="309" t="s">
        <v>148</v>
      </c>
      <c r="R35" s="320">
        <f t="shared" si="1"/>
        <v>1.2083333333284827</v>
      </c>
      <c r="S35" s="321">
        <f t="shared" si="3"/>
        <v>46038</v>
      </c>
      <c r="T35" s="250">
        <v>0</v>
      </c>
      <c r="U35" s="329">
        <f t="shared" si="2"/>
        <v>0</v>
      </c>
      <c r="V35" s="330" t="s">
        <v>234</v>
      </c>
      <c r="W35" s="328"/>
    </row>
    <row r="36" spans="1:23" s="218" customFormat="1" ht="318">
      <c r="A36" s="250">
        <v>13</v>
      </c>
      <c r="B36" s="251" t="s">
        <v>235</v>
      </c>
      <c r="C36" s="252" t="str">
        <f>VLOOKUP(B36,[13]AssetDetails_UEM!$A$3:$AH$1849,6,FALSE)</f>
        <v>Infusion Pumps, General-Purpose</v>
      </c>
      <c r="D36" s="253">
        <f>VLOOKUP(B36,[13]AssetDetails_UEM!$A$3:$AK$1849,22,FALSE)</f>
        <v>10825</v>
      </c>
      <c r="E36" s="251" t="s">
        <v>236</v>
      </c>
      <c r="F36" s="251" t="s">
        <v>237</v>
      </c>
      <c r="G36" s="265" t="s">
        <v>238</v>
      </c>
      <c r="H36" s="266" t="s">
        <v>143</v>
      </c>
      <c r="I36" s="285" t="s">
        <v>239</v>
      </c>
      <c r="J36" s="286" t="s">
        <v>240</v>
      </c>
      <c r="K36" s="287" t="s">
        <v>241</v>
      </c>
      <c r="L36" s="288" t="s">
        <v>242</v>
      </c>
      <c r="M36" s="308">
        <f t="shared" si="0"/>
        <v>30</v>
      </c>
      <c r="N36" s="309" t="s">
        <v>148</v>
      </c>
      <c r="O36" s="310">
        <f>'[14]B1&amp; B2 UNSCHEDULED'!$O$24</f>
        <v>0</v>
      </c>
      <c r="P36" s="309"/>
      <c r="Q36" s="309" t="s">
        <v>148</v>
      </c>
      <c r="R36" s="320">
        <f t="shared" si="1"/>
        <v>7.9986111111065838</v>
      </c>
      <c r="S36" s="321">
        <f t="shared" si="3"/>
        <v>46038</v>
      </c>
      <c r="T36" s="250">
        <v>0</v>
      </c>
      <c r="U36" s="329">
        <f t="shared" si="2"/>
        <v>0</v>
      </c>
      <c r="V36" s="330" t="s">
        <v>243</v>
      </c>
      <c r="W36" s="328"/>
    </row>
    <row r="37" spans="1:23" s="221" customFormat="1" ht="264.64999999999998" customHeight="1">
      <c r="A37" s="250">
        <v>14</v>
      </c>
      <c r="B37" s="254" t="s">
        <v>244</v>
      </c>
      <c r="C37" s="255" t="str">
        <f>VLOOKUP(B37,[13]AssetDetails_UEM!$A$3:$AH$1849,6,FALSE)</f>
        <v>Gastroscopes, Flexible, Video</v>
      </c>
      <c r="D37" s="256">
        <f>VLOOKUP(B37,[13]AssetDetails_UEM!$A$3:$AK$1849,22,FALSE)</f>
        <v>118230</v>
      </c>
      <c r="E37" s="268" t="s">
        <v>245</v>
      </c>
      <c r="F37" s="268" t="s">
        <v>244</v>
      </c>
      <c r="G37" s="255" t="s">
        <v>246</v>
      </c>
      <c r="H37" s="269" t="s">
        <v>143</v>
      </c>
      <c r="I37" s="289" t="s">
        <v>247</v>
      </c>
      <c r="J37" s="290" t="s">
        <v>248</v>
      </c>
      <c r="K37" s="291">
        <v>46031.423611111102</v>
      </c>
      <c r="L37" s="291">
        <v>46035.625</v>
      </c>
      <c r="M37" s="311">
        <f t="shared" si="0"/>
        <v>100</v>
      </c>
      <c r="N37" s="312" t="s">
        <v>148</v>
      </c>
      <c r="O37" s="313">
        <f>'[14]B1&amp; B2 UNSCHEDULED'!$O$24</f>
        <v>0</v>
      </c>
      <c r="P37" s="314"/>
      <c r="Q37" s="312" t="s">
        <v>148</v>
      </c>
      <c r="R37" s="322">
        <f>IF(L37="",AKHIR-J37,L37-J37+1)</f>
        <v>5.2083333333357587</v>
      </c>
      <c r="S37" s="323">
        <f>WORKDAY(J37,6,AKHIR)</f>
        <v>46041</v>
      </c>
      <c r="T37" s="314">
        <v>13</v>
      </c>
      <c r="U37" s="268">
        <f t="shared" si="2"/>
        <v>0</v>
      </c>
      <c r="V37" s="331" t="s">
        <v>249</v>
      </c>
      <c r="W37" s="332"/>
    </row>
    <row r="38" spans="1:23" s="218" customFormat="1" ht="265">
      <c r="A38" s="250">
        <v>15</v>
      </c>
      <c r="B38" s="251" t="s">
        <v>250</v>
      </c>
      <c r="C38" s="252" t="str">
        <f>VLOOKUP(B38,[13]AssetDetails_UEM!$A$3:$AH$1849,6,FALSE)</f>
        <v>Linear Accelerators</v>
      </c>
      <c r="D38" s="253">
        <f>VLOOKUP(B38,[13]AssetDetails_UEM!$A$3:$AK$1849,22,FALSE)</f>
        <v>12049370</v>
      </c>
      <c r="E38" s="251" t="s">
        <v>251</v>
      </c>
      <c r="F38" s="251" t="s">
        <v>252</v>
      </c>
      <c r="G38" s="265" t="s">
        <v>253</v>
      </c>
      <c r="H38" s="266" t="s">
        <v>143</v>
      </c>
      <c r="I38" s="285" t="s">
        <v>254</v>
      </c>
      <c r="J38" s="286" t="s">
        <v>255</v>
      </c>
      <c r="K38" s="287" t="s">
        <v>256</v>
      </c>
      <c r="L38" s="288" t="s">
        <v>257</v>
      </c>
      <c r="M38" s="308">
        <f t="shared" si="0"/>
        <v>100</v>
      </c>
      <c r="N38" s="309" t="s">
        <v>148</v>
      </c>
      <c r="O38" s="310">
        <f>'[14]B1&amp; B2 UNSCHEDULED'!$O$24</f>
        <v>0</v>
      </c>
      <c r="P38" s="309"/>
      <c r="Q38" s="309" t="s">
        <v>148</v>
      </c>
      <c r="R38" s="320">
        <f t="shared" si="1"/>
        <v>2.0451388888832298</v>
      </c>
      <c r="S38" s="321">
        <f t="shared" si="3"/>
        <v>46042</v>
      </c>
      <c r="T38" s="250">
        <v>0</v>
      </c>
      <c r="U38" s="329">
        <f t="shared" si="2"/>
        <v>0</v>
      </c>
      <c r="V38" s="330" t="s">
        <v>258</v>
      </c>
      <c r="W38" s="328"/>
    </row>
    <row r="39" spans="1:23" s="218" customFormat="1" ht="318">
      <c r="A39" s="250">
        <v>16</v>
      </c>
      <c r="B39" s="251" t="s">
        <v>259</v>
      </c>
      <c r="C39" s="252" t="str">
        <f>VLOOKUP(B39,[13]AssetDetails_UEM!$A$3:$AH$1849,6,FALSE)</f>
        <v>Brachytherapy Applicators, Afterloading</v>
      </c>
      <c r="D39" s="253">
        <f>VLOOKUP(B39,[13]AssetDetails_UEM!$A$3:$AK$1849,22,FALSE)</f>
        <v>3420120</v>
      </c>
      <c r="E39" s="251" t="s">
        <v>260</v>
      </c>
      <c r="F39" s="251" t="s">
        <v>261</v>
      </c>
      <c r="G39" s="265" t="s">
        <v>262</v>
      </c>
      <c r="H39" s="266" t="s">
        <v>143</v>
      </c>
      <c r="I39" s="285" t="s">
        <v>254</v>
      </c>
      <c r="J39" s="286" t="s">
        <v>263</v>
      </c>
      <c r="K39" s="287" t="s">
        <v>264</v>
      </c>
      <c r="L39" s="288" t="s">
        <v>265</v>
      </c>
      <c r="M39" s="308">
        <f t="shared" si="0"/>
        <v>100</v>
      </c>
      <c r="N39" s="309" t="s">
        <v>148</v>
      </c>
      <c r="O39" s="310">
        <f>'[14]B1&amp; B2 UNSCHEDULED'!$O$24</f>
        <v>0</v>
      </c>
      <c r="P39" s="309"/>
      <c r="Q39" s="309" t="s">
        <v>148</v>
      </c>
      <c r="R39" s="320">
        <f t="shared" si="1"/>
        <v>1.0277777777810115</v>
      </c>
      <c r="S39" s="321">
        <f t="shared" si="3"/>
        <v>46042</v>
      </c>
      <c r="T39" s="250">
        <v>0</v>
      </c>
      <c r="U39" s="329">
        <f t="shared" si="2"/>
        <v>0</v>
      </c>
      <c r="V39" s="330" t="s">
        <v>266</v>
      </c>
      <c r="W39" s="328"/>
    </row>
    <row r="40" spans="1:23" s="218" customFormat="1" ht="266.5" customHeight="1">
      <c r="A40" s="250">
        <v>17</v>
      </c>
      <c r="B40" s="251" t="s">
        <v>267</v>
      </c>
      <c r="C40" s="252" t="str">
        <f>VLOOKUP(B40,[13]AssetDetails_UEM!$A$3:$AH$1849,6,FALSE)</f>
        <v>Defibrillators, External, Manual</v>
      </c>
      <c r="D40" s="253">
        <f>VLOOKUP(B40,[13]AssetDetails_UEM!$A$3:$AK$1849,22,FALSE)</f>
        <v>45000</v>
      </c>
      <c r="E40" s="251" t="s">
        <v>268</v>
      </c>
      <c r="F40" s="251" t="s">
        <v>269</v>
      </c>
      <c r="G40" s="267" t="s">
        <v>270</v>
      </c>
      <c r="H40" s="266" t="s">
        <v>143</v>
      </c>
      <c r="I40" s="285" t="s">
        <v>271</v>
      </c>
      <c r="J40" s="286" t="s">
        <v>272</v>
      </c>
      <c r="K40" s="287" t="s">
        <v>273</v>
      </c>
      <c r="L40" s="288" t="s">
        <v>274</v>
      </c>
      <c r="M40" s="308">
        <f t="shared" si="0"/>
        <v>100</v>
      </c>
      <c r="N40" s="309" t="s">
        <v>148</v>
      </c>
      <c r="O40" s="310">
        <f>'[14]B1&amp; B2 UNSCHEDULED'!$O$24</f>
        <v>0</v>
      </c>
      <c r="P40" s="250"/>
      <c r="Q40" s="309" t="s">
        <v>148</v>
      </c>
      <c r="R40" s="320">
        <f t="shared" si="1"/>
        <v>1.0361111111051287</v>
      </c>
      <c r="S40" s="321">
        <f t="shared" si="3"/>
        <v>46042</v>
      </c>
      <c r="T40" s="250">
        <v>0</v>
      </c>
      <c r="U40" s="329">
        <f t="shared" si="2"/>
        <v>0</v>
      </c>
      <c r="V40" s="330" t="s">
        <v>275</v>
      </c>
      <c r="W40" s="328"/>
    </row>
    <row r="41" spans="1:23" s="218" customFormat="1" ht="265">
      <c r="A41" s="250">
        <v>18</v>
      </c>
      <c r="B41" s="251" t="s">
        <v>276</v>
      </c>
      <c r="C41" s="252" t="str">
        <f>VLOOKUP(B41,[13]AssetDetails_UEM!$A$3:$AH$1849,6,FALSE)</f>
        <v>Sphygmomanometers, Electronic, Automatic</v>
      </c>
      <c r="D41" s="253">
        <f>VLOOKUP(B41,[13]AssetDetails_UEM!$A$3:$AK$1849,22,FALSE)</f>
        <v>4510</v>
      </c>
      <c r="E41" s="251" t="s">
        <v>277</v>
      </c>
      <c r="F41" s="251" t="s">
        <v>278</v>
      </c>
      <c r="G41" s="265" t="s">
        <v>279</v>
      </c>
      <c r="H41" s="266" t="s">
        <v>143</v>
      </c>
      <c r="I41" s="285" t="s">
        <v>162</v>
      </c>
      <c r="J41" s="286" t="s">
        <v>280</v>
      </c>
      <c r="K41" s="287" t="s">
        <v>280</v>
      </c>
      <c r="L41" s="288" t="s">
        <v>281</v>
      </c>
      <c r="M41" s="308">
        <f t="shared" si="0"/>
        <v>10</v>
      </c>
      <c r="N41" s="309" t="s">
        <v>148</v>
      </c>
      <c r="O41" s="310">
        <f>'[14]B1&amp; B2 UNSCHEDULED'!$O$24</f>
        <v>0</v>
      </c>
      <c r="P41" s="309"/>
      <c r="Q41" s="309" t="s">
        <v>148</v>
      </c>
      <c r="R41" s="320">
        <f t="shared" si="1"/>
        <v>1.0486111111094942</v>
      </c>
      <c r="S41" s="321">
        <f t="shared" si="3"/>
        <v>46044</v>
      </c>
      <c r="T41" s="250">
        <v>0</v>
      </c>
      <c r="U41" s="329">
        <f t="shared" si="2"/>
        <v>0</v>
      </c>
      <c r="V41" s="330" t="s">
        <v>282</v>
      </c>
      <c r="W41" s="328"/>
    </row>
    <row r="42" spans="1:23" s="218" customFormat="1" ht="181.5" customHeight="1">
      <c r="A42" s="250">
        <v>19</v>
      </c>
      <c r="B42" s="251" t="s">
        <v>250</v>
      </c>
      <c r="C42" s="252" t="str">
        <f>VLOOKUP(B42,[13]AssetDetails_UEM!$A$3:$AH$1849,6,FALSE)</f>
        <v>Linear Accelerators</v>
      </c>
      <c r="D42" s="253">
        <f>VLOOKUP(B42,[13]AssetDetails_UEM!$A$3:$AK$1849,22,FALSE)</f>
        <v>12049370</v>
      </c>
      <c r="E42" s="251" t="s">
        <v>283</v>
      </c>
      <c r="F42" s="251" t="s">
        <v>252</v>
      </c>
      <c r="G42" s="265" t="s">
        <v>284</v>
      </c>
      <c r="H42" s="266" t="s">
        <v>143</v>
      </c>
      <c r="I42" s="285" t="s">
        <v>285</v>
      </c>
      <c r="J42" s="286" t="s">
        <v>286</v>
      </c>
      <c r="K42" s="287" t="s">
        <v>287</v>
      </c>
      <c r="L42" s="288" t="s">
        <v>288</v>
      </c>
      <c r="M42" s="308">
        <f t="shared" si="0"/>
        <v>100</v>
      </c>
      <c r="N42" s="309" t="s">
        <v>148</v>
      </c>
      <c r="O42" s="310">
        <f>'[14]B1&amp; B2 UNSCHEDULED'!$O$24</f>
        <v>0</v>
      </c>
      <c r="P42" s="250"/>
      <c r="Q42" s="309" t="s">
        <v>148</v>
      </c>
      <c r="R42" s="320">
        <f t="shared" si="1"/>
        <v>5.9812499999970896</v>
      </c>
      <c r="S42" s="321">
        <f t="shared" si="3"/>
        <v>46044</v>
      </c>
      <c r="T42" s="250">
        <v>0</v>
      </c>
      <c r="U42" s="329">
        <f t="shared" si="2"/>
        <v>0</v>
      </c>
      <c r="V42" s="330" t="s">
        <v>289</v>
      </c>
      <c r="W42" s="328"/>
    </row>
    <row r="43" spans="1:23" s="218" customFormat="1" ht="212.25" customHeight="1">
      <c r="A43" s="250">
        <v>20</v>
      </c>
      <c r="B43" s="251" t="s">
        <v>290</v>
      </c>
      <c r="C43" s="252" t="str">
        <f>VLOOKUP(B43,[13]AssetDetails_UEM!$A$3:$AH$1849,6,FALSE)</f>
        <v>Defibrillators, External, Manual</v>
      </c>
      <c r="D43" s="253">
        <f>VLOOKUP(B43,[13]AssetDetails_UEM!$A$3:$AK$1849,22,FALSE)</f>
        <v>45000</v>
      </c>
      <c r="E43" s="251" t="s">
        <v>291</v>
      </c>
      <c r="F43" s="251" t="s">
        <v>292</v>
      </c>
      <c r="G43" s="265" t="s">
        <v>293</v>
      </c>
      <c r="H43" s="266" t="s">
        <v>143</v>
      </c>
      <c r="I43" s="285" t="s">
        <v>239</v>
      </c>
      <c r="J43" s="286" t="s">
        <v>294</v>
      </c>
      <c r="K43" s="287" t="s">
        <v>295</v>
      </c>
      <c r="L43" s="288" t="s">
        <v>296</v>
      </c>
      <c r="M43" s="308">
        <f t="shared" si="0"/>
        <v>100</v>
      </c>
      <c r="N43" s="309" t="s">
        <v>148</v>
      </c>
      <c r="O43" s="310">
        <f>'[14]B1&amp; B2 UNSCHEDULED'!$O$24</f>
        <v>0</v>
      </c>
      <c r="P43" s="250"/>
      <c r="Q43" s="309" t="s">
        <v>148</v>
      </c>
      <c r="R43" s="320">
        <f t="shared" si="1"/>
        <v>1.0993055555518367</v>
      </c>
      <c r="S43" s="321">
        <f t="shared" si="3"/>
        <v>46044</v>
      </c>
      <c r="T43" s="250">
        <v>0</v>
      </c>
      <c r="U43" s="329">
        <f t="shared" si="2"/>
        <v>0</v>
      </c>
      <c r="V43" s="330" t="s">
        <v>297</v>
      </c>
      <c r="W43" s="328"/>
    </row>
    <row r="44" spans="1:23" s="220" customFormat="1" ht="293.25" customHeight="1">
      <c r="A44" s="250">
        <v>21</v>
      </c>
      <c r="B44" s="251" t="s">
        <v>298</v>
      </c>
      <c r="C44" s="252" t="str">
        <f>VLOOKUP(B44,[13]AssetDetails_UEM!$A$3:$AH$1849,6,FALSE)</f>
        <v>Linear Accelerators</v>
      </c>
      <c r="D44" s="253">
        <f>VLOOKUP(B44,[13]AssetDetails_UEM!$A$3:$AK$1849,22,FALSE)</f>
        <v>19351760</v>
      </c>
      <c r="E44" s="251" t="s">
        <v>299</v>
      </c>
      <c r="F44" s="251" t="s">
        <v>300</v>
      </c>
      <c r="G44" s="265" t="s">
        <v>301</v>
      </c>
      <c r="H44" s="266" t="s">
        <v>143</v>
      </c>
      <c r="I44" s="285" t="s">
        <v>302</v>
      </c>
      <c r="J44" s="286" t="s">
        <v>303</v>
      </c>
      <c r="K44" s="287" t="s">
        <v>304</v>
      </c>
      <c r="L44" s="288" t="s">
        <v>305</v>
      </c>
      <c r="M44" s="308">
        <f t="shared" si="0"/>
        <v>100</v>
      </c>
      <c r="N44" s="309" t="s">
        <v>148</v>
      </c>
      <c r="O44" s="310">
        <f>'[14]B1&amp; B2 UNSCHEDULED'!$O$24</f>
        <v>0</v>
      </c>
      <c r="P44" s="250"/>
      <c r="Q44" s="309" t="s">
        <v>148</v>
      </c>
      <c r="R44" s="320">
        <f t="shared" si="1"/>
        <v>1.9208333333299379</v>
      </c>
      <c r="S44" s="321">
        <f t="shared" si="3"/>
        <v>46044</v>
      </c>
      <c r="T44" s="250">
        <v>0</v>
      </c>
      <c r="U44" s="329">
        <f t="shared" si="2"/>
        <v>0</v>
      </c>
      <c r="V44" s="330" t="s">
        <v>306</v>
      </c>
      <c r="W44" s="328"/>
    </row>
    <row r="45" spans="1:23" s="218" customFormat="1" ht="226" customHeight="1">
      <c r="A45" s="250">
        <v>22</v>
      </c>
      <c r="B45" s="251" t="s">
        <v>307</v>
      </c>
      <c r="C45" s="252" t="str">
        <f>VLOOKUP(B45,[13]AssetDetails_UEM!$A$3:$AH$1849,6,FALSE)</f>
        <v>Physiologic Monitoring Systems, Acute Care</v>
      </c>
      <c r="D45" s="253">
        <f>VLOOKUP(B45,[13]AssetDetails_UEM!$A$3:$AK$1849,22,FALSE)</f>
        <v>119690</v>
      </c>
      <c r="E45" s="251" t="s">
        <v>308</v>
      </c>
      <c r="F45" s="251" t="s">
        <v>309</v>
      </c>
      <c r="G45" s="467" t="s">
        <v>1375</v>
      </c>
      <c r="H45" s="266" t="s">
        <v>143</v>
      </c>
      <c r="I45" s="285" t="s">
        <v>162</v>
      </c>
      <c r="J45" s="286" t="s">
        <v>304</v>
      </c>
      <c r="K45" s="287" t="s">
        <v>304</v>
      </c>
      <c r="L45" s="288" t="s">
        <v>310</v>
      </c>
      <c r="M45" s="308">
        <f t="shared" si="0"/>
        <v>100</v>
      </c>
      <c r="N45" s="309" t="s">
        <v>148</v>
      </c>
      <c r="O45" s="310">
        <f>'[14]B1&amp; B2 UNSCHEDULED'!$O$24</f>
        <v>0</v>
      </c>
      <c r="P45" s="250"/>
      <c r="Q45" s="309" t="s">
        <v>148</v>
      </c>
      <c r="R45" s="320">
        <f t="shared" si="1"/>
        <v>1.0208333333357587</v>
      </c>
      <c r="S45" s="321">
        <f t="shared" si="3"/>
        <v>46044</v>
      </c>
      <c r="T45" s="250">
        <v>0</v>
      </c>
      <c r="U45" s="329">
        <f t="shared" si="2"/>
        <v>0</v>
      </c>
      <c r="V45" s="330" t="s">
        <v>311</v>
      </c>
      <c r="W45" s="328"/>
    </row>
    <row r="46" spans="1:23" s="218" customFormat="1" ht="212">
      <c r="A46" s="250">
        <v>23</v>
      </c>
      <c r="B46" s="251" t="s">
        <v>139</v>
      </c>
      <c r="C46" s="252" t="str">
        <f>VLOOKUP(B46,[13]AssetDetails_UEM!$A$3:$AH$1849,6,FALSE)</f>
        <v>Sphygmomanometers, Electronic, Automatic</v>
      </c>
      <c r="D46" s="253">
        <f>VLOOKUP(B46,[13]AssetDetails_UEM!$A$3:$AK$1849,22,FALSE)</f>
        <v>4510</v>
      </c>
      <c r="E46" s="251" t="s">
        <v>312</v>
      </c>
      <c r="F46" s="251" t="s">
        <v>141</v>
      </c>
      <c r="G46" s="267" t="s">
        <v>313</v>
      </c>
      <c r="H46" s="266" t="s">
        <v>143</v>
      </c>
      <c r="I46" s="285" t="s">
        <v>314</v>
      </c>
      <c r="J46" s="286" t="s">
        <v>315</v>
      </c>
      <c r="K46" s="287" t="s">
        <v>296</v>
      </c>
      <c r="L46" s="288" t="s">
        <v>316</v>
      </c>
      <c r="M46" s="308">
        <f t="shared" si="0"/>
        <v>10</v>
      </c>
      <c r="N46" s="309" t="s">
        <v>148</v>
      </c>
      <c r="O46" s="310">
        <f>'[14]B1&amp; B2 UNSCHEDULED'!$O$24</f>
        <v>0</v>
      </c>
      <c r="P46" s="250"/>
      <c r="Q46" s="309" t="s">
        <v>148</v>
      </c>
      <c r="R46" s="320">
        <f t="shared" si="1"/>
        <v>1.1027777777781012</v>
      </c>
      <c r="S46" s="321">
        <f t="shared" si="3"/>
        <v>46044</v>
      </c>
      <c r="T46" s="250">
        <v>0</v>
      </c>
      <c r="U46" s="329">
        <f t="shared" si="2"/>
        <v>0</v>
      </c>
      <c r="V46" s="330" t="s">
        <v>317</v>
      </c>
      <c r="W46" s="328"/>
    </row>
    <row r="47" spans="1:23" s="221" customFormat="1" ht="409.5">
      <c r="A47" s="250">
        <v>24</v>
      </c>
      <c r="B47" s="257" t="s">
        <v>318</v>
      </c>
      <c r="C47" s="468" t="s">
        <v>914</v>
      </c>
      <c r="D47" s="256">
        <v>10200</v>
      </c>
      <c r="E47" s="257" t="s">
        <v>319</v>
      </c>
      <c r="F47" s="257" t="s">
        <v>320</v>
      </c>
      <c r="G47" s="469" t="s">
        <v>1376</v>
      </c>
      <c r="H47" s="269" t="s">
        <v>143</v>
      </c>
      <c r="I47" s="561" t="s">
        <v>162</v>
      </c>
      <c r="J47" s="563" t="s">
        <v>321</v>
      </c>
      <c r="K47" s="564" t="s">
        <v>321</v>
      </c>
      <c r="L47" s="294" t="s">
        <v>322</v>
      </c>
      <c r="M47" s="311">
        <f t="shared" si="0"/>
        <v>30</v>
      </c>
      <c r="N47" s="312" t="s">
        <v>148</v>
      </c>
      <c r="O47" s="313">
        <f>'[14]B1&amp; B2 UNSCHEDULED'!$O$24</f>
        <v>0</v>
      </c>
      <c r="P47" s="314"/>
      <c r="Q47" s="312" t="s">
        <v>148</v>
      </c>
      <c r="R47" s="322">
        <f t="shared" si="1"/>
        <v>1.0833333333357587</v>
      </c>
      <c r="S47" s="321">
        <f t="shared" si="3"/>
        <v>46044</v>
      </c>
      <c r="T47" s="314">
        <v>0</v>
      </c>
      <c r="U47" s="268">
        <f t="shared" si="2"/>
        <v>0</v>
      </c>
      <c r="V47" s="331" t="s">
        <v>323</v>
      </c>
      <c r="W47" s="332"/>
    </row>
    <row r="48" spans="1:23" s="218" customFormat="1" ht="318">
      <c r="A48" s="250">
        <v>25</v>
      </c>
      <c r="B48" s="251" t="s">
        <v>324</v>
      </c>
      <c r="C48" s="252" t="str">
        <f>VLOOKUP(B48,[13]AssetDetails_UEM!$A$3:$AH$1849,6,FALSE)</f>
        <v>Aspirators</v>
      </c>
      <c r="D48" s="253">
        <f>VLOOKUP(B48,[13]AssetDetails_UEM!$A$3:$AK$1849,22,FALSE)</f>
        <v>2165</v>
      </c>
      <c r="E48" s="251" t="s">
        <v>325</v>
      </c>
      <c r="F48" s="251" t="s">
        <v>216</v>
      </c>
      <c r="G48" s="265" t="s">
        <v>326</v>
      </c>
      <c r="H48" s="266" t="s">
        <v>143</v>
      </c>
      <c r="I48" s="285" t="s">
        <v>218</v>
      </c>
      <c r="J48" s="286" t="s">
        <v>327</v>
      </c>
      <c r="K48" s="287" t="s">
        <v>328</v>
      </c>
      <c r="L48" s="288" t="s">
        <v>329</v>
      </c>
      <c r="M48" s="308">
        <f t="shared" si="0"/>
        <v>10</v>
      </c>
      <c r="N48" s="309" t="s">
        <v>148</v>
      </c>
      <c r="O48" s="310">
        <f>'[14]B1&amp; B2 UNSCHEDULED'!$O$24</f>
        <v>0</v>
      </c>
      <c r="P48" s="250"/>
      <c r="Q48" s="309" t="s">
        <v>148</v>
      </c>
      <c r="R48" s="320">
        <f t="shared" si="1"/>
        <v>1.03125</v>
      </c>
      <c r="S48" s="321">
        <f t="shared" si="3"/>
        <v>46045</v>
      </c>
      <c r="T48" s="250">
        <v>0</v>
      </c>
      <c r="U48" s="329">
        <f t="shared" si="2"/>
        <v>0</v>
      </c>
      <c r="V48" s="330" t="s">
        <v>330</v>
      </c>
      <c r="W48" s="328"/>
    </row>
    <row r="49" spans="1:23" s="218" customFormat="1" ht="409.5">
      <c r="A49" s="250">
        <v>26</v>
      </c>
      <c r="B49" s="251" t="s">
        <v>250</v>
      </c>
      <c r="C49" s="252" t="str">
        <f>VLOOKUP(B49,[13]AssetDetails_UEM!$A$3:$AH$1849,6,FALSE)</f>
        <v>Linear Accelerators</v>
      </c>
      <c r="D49" s="253">
        <f>VLOOKUP(B49,[13]AssetDetails_UEM!$A$3:$AK$1849,22,FALSE)</f>
        <v>12049370</v>
      </c>
      <c r="E49" s="251" t="s">
        <v>331</v>
      </c>
      <c r="F49" s="251" t="s">
        <v>252</v>
      </c>
      <c r="G49" s="265" t="s">
        <v>332</v>
      </c>
      <c r="H49" s="266" t="s">
        <v>143</v>
      </c>
      <c r="I49" s="285" t="s">
        <v>333</v>
      </c>
      <c r="J49" s="286" t="s">
        <v>334</v>
      </c>
      <c r="K49" s="287" t="s">
        <v>335</v>
      </c>
      <c r="L49" s="288" t="s">
        <v>288</v>
      </c>
      <c r="M49" s="308">
        <f t="shared" si="0"/>
        <v>100</v>
      </c>
      <c r="N49" s="309" t="s">
        <v>148</v>
      </c>
      <c r="O49" s="310">
        <f>'[14]B1&amp; B2 UNSCHEDULED'!$O$24</f>
        <v>0</v>
      </c>
      <c r="P49" s="250"/>
      <c r="Q49" s="309" t="s">
        <v>148</v>
      </c>
      <c r="R49" s="320">
        <f t="shared" si="1"/>
        <v>3.9895833333284827</v>
      </c>
      <c r="S49" s="321">
        <f t="shared" ref="S49:S75" si="4">WORKDAY(J49,6,AKHIR)</f>
        <v>46048</v>
      </c>
      <c r="T49" s="250">
        <v>0</v>
      </c>
      <c r="U49" s="329">
        <f t="shared" si="2"/>
        <v>0</v>
      </c>
      <c r="V49" s="330" t="s">
        <v>336</v>
      </c>
      <c r="W49" s="328"/>
    </row>
    <row r="50" spans="1:23" s="218" customFormat="1" ht="371">
      <c r="A50" s="250">
        <v>27</v>
      </c>
      <c r="B50" s="251" t="s">
        <v>259</v>
      </c>
      <c r="C50" s="252" t="str">
        <f>VLOOKUP(B50,[13]AssetDetails_UEM!$A$3:$AH$1849,6,FALSE)</f>
        <v>Brachytherapy Applicators, Afterloading</v>
      </c>
      <c r="D50" s="253">
        <f>VLOOKUP(B50,[13]AssetDetails_UEM!$A$3:$AK$1849,22,FALSE)</f>
        <v>3420120</v>
      </c>
      <c r="E50" s="251" t="s">
        <v>337</v>
      </c>
      <c r="F50" s="251" t="s">
        <v>261</v>
      </c>
      <c r="G50" s="265" t="s">
        <v>338</v>
      </c>
      <c r="H50" s="266" t="s">
        <v>143</v>
      </c>
      <c r="I50" s="285" t="s">
        <v>314</v>
      </c>
      <c r="J50" s="286" t="s">
        <v>339</v>
      </c>
      <c r="K50" s="287" t="s">
        <v>340</v>
      </c>
      <c r="L50" s="288" t="s">
        <v>341</v>
      </c>
      <c r="M50" s="308">
        <f t="shared" si="0"/>
        <v>100</v>
      </c>
      <c r="N50" s="309" t="s">
        <v>148</v>
      </c>
      <c r="O50" s="310">
        <f>'[14]B1&amp; B2 UNSCHEDULED'!$O$24</f>
        <v>0</v>
      </c>
      <c r="P50" s="250"/>
      <c r="Q50" s="309" t="s">
        <v>148</v>
      </c>
      <c r="R50" s="320">
        <f t="shared" si="1"/>
        <v>1.1930555555518367</v>
      </c>
      <c r="S50" s="321">
        <f t="shared" si="4"/>
        <v>46048</v>
      </c>
      <c r="T50" s="250">
        <v>0</v>
      </c>
      <c r="U50" s="329">
        <f t="shared" si="2"/>
        <v>0</v>
      </c>
      <c r="V50" s="330" t="s">
        <v>342</v>
      </c>
      <c r="W50" s="328"/>
    </row>
    <row r="51" spans="1:23" s="218" customFormat="1" ht="318">
      <c r="A51" s="250">
        <v>28</v>
      </c>
      <c r="B51" s="251" t="s">
        <v>343</v>
      </c>
      <c r="C51" s="252" t="str">
        <f>VLOOKUP(B51,[13]AssetDetails_UEM!$A$3:$AH$1849,6,FALSE)</f>
        <v>Sphygmomanometers, Electronic, Automatic</v>
      </c>
      <c r="D51" s="253">
        <f>VLOOKUP(B51,[13]AssetDetails_UEM!$A$3:$AK$1849,22,FALSE)</f>
        <v>4510</v>
      </c>
      <c r="E51" s="251" t="s">
        <v>344</v>
      </c>
      <c r="F51" s="251" t="s">
        <v>345</v>
      </c>
      <c r="G51" s="265" t="s">
        <v>346</v>
      </c>
      <c r="H51" s="266" t="s">
        <v>143</v>
      </c>
      <c r="I51" s="285" t="s">
        <v>347</v>
      </c>
      <c r="J51" s="286" t="s">
        <v>348</v>
      </c>
      <c r="K51" s="287" t="s">
        <v>349</v>
      </c>
      <c r="L51" s="288" t="s">
        <v>350</v>
      </c>
      <c r="M51" s="308">
        <f t="shared" si="0"/>
        <v>10</v>
      </c>
      <c r="N51" s="309" t="s">
        <v>148</v>
      </c>
      <c r="O51" s="310">
        <f>'[14]B1&amp; B2 UNSCHEDULED'!$O$24</f>
        <v>0</v>
      </c>
      <c r="P51" s="250"/>
      <c r="Q51" s="309" t="s">
        <v>148</v>
      </c>
      <c r="R51" s="320">
        <f t="shared" si="1"/>
        <v>4.5854166666686069</v>
      </c>
      <c r="S51" s="321">
        <f t="shared" si="4"/>
        <v>46048</v>
      </c>
      <c r="T51" s="250">
        <v>0</v>
      </c>
      <c r="U51" s="329">
        <f t="shared" si="2"/>
        <v>0</v>
      </c>
      <c r="V51" s="330" t="s">
        <v>351</v>
      </c>
      <c r="W51" s="328"/>
    </row>
    <row r="52" spans="1:23" s="220" customFormat="1" ht="291.64999999999998" customHeight="1">
      <c r="A52" s="250">
        <v>29</v>
      </c>
      <c r="B52" s="251" t="s">
        <v>352</v>
      </c>
      <c r="C52" s="252" t="str">
        <f>VLOOKUP(B52,[13]AssetDetails_UEM!$A$3:$AH$1849,6,FALSE)</f>
        <v>Sphygmomanometers, Electronic, Automatic</v>
      </c>
      <c r="D52" s="253">
        <f>VLOOKUP(B52,[13]AssetDetails_UEM!$A$3:$AK$1849,22,FALSE)</f>
        <v>7770</v>
      </c>
      <c r="E52" s="251" t="s">
        <v>353</v>
      </c>
      <c r="F52" s="251" t="s">
        <v>354</v>
      </c>
      <c r="G52" s="265" t="s">
        <v>355</v>
      </c>
      <c r="H52" s="266" t="s">
        <v>143</v>
      </c>
      <c r="I52" s="285" t="s">
        <v>356</v>
      </c>
      <c r="J52" s="286" t="s">
        <v>357</v>
      </c>
      <c r="K52" s="287" t="s">
        <v>358</v>
      </c>
      <c r="L52" s="288" t="s">
        <v>359</v>
      </c>
      <c r="M52" s="308">
        <f t="shared" si="0"/>
        <v>20</v>
      </c>
      <c r="N52" s="309" t="s">
        <v>148</v>
      </c>
      <c r="O52" s="310">
        <f>'[14]B1&amp; B2 UNSCHEDULED'!$O$24</f>
        <v>0</v>
      </c>
      <c r="P52" s="250"/>
      <c r="Q52" s="309" t="s">
        <v>148</v>
      </c>
      <c r="R52" s="320">
        <f t="shared" si="1"/>
        <v>3.9430555555518367</v>
      </c>
      <c r="S52" s="321">
        <f t="shared" si="4"/>
        <v>46048</v>
      </c>
      <c r="T52" s="250">
        <v>0</v>
      </c>
      <c r="U52" s="329">
        <f t="shared" si="2"/>
        <v>0</v>
      </c>
      <c r="V52" s="330" t="s">
        <v>360</v>
      </c>
      <c r="W52" s="328"/>
    </row>
    <row r="53" spans="1:23" s="220" customFormat="1" ht="212">
      <c r="A53" s="250">
        <v>30</v>
      </c>
      <c r="B53" s="251" t="s">
        <v>361</v>
      </c>
      <c r="C53" s="252" t="str">
        <f>VLOOKUP(B53,[13]AssetDetails_UEM!$A$3:$AH$1849,6,FALSE)</f>
        <v>Physiologic Monitoring Systems, Acute Care</v>
      </c>
      <c r="D53" s="253">
        <f>VLOOKUP(B53,[13]AssetDetails_UEM!$A$3:$AK$1849,22,FALSE)</f>
        <v>44510</v>
      </c>
      <c r="E53" s="251" t="s">
        <v>362</v>
      </c>
      <c r="F53" s="251" t="s">
        <v>363</v>
      </c>
      <c r="G53" s="267" t="s">
        <v>364</v>
      </c>
      <c r="H53" s="266" t="s">
        <v>143</v>
      </c>
      <c r="I53" s="285" t="s">
        <v>254</v>
      </c>
      <c r="J53" s="286" t="s">
        <v>365</v>
      </c>
      <c r="K53" s="287" t="s">
        <v>366</v>
      </c>
      <c r="L53" s="288" t="s">
        <v>367</v>
      </c>
      <c r="M53" s="308">
        <f t="shared" si="0"/>
        <v>90</v>
      </c>
      <c r="N53" s="309" t="s">
        <v>148</v>
      </c>
      <c r="O53" s="310">
        <f>'[14]B1&amp; B2 UNSCHEDULED'!$O$24</f>
        <v>0</v>
      </c>
      <c r="P53" s="250"/>
      <c r="Q53" s="309" t="s">
        <v>148</v>
      </c>
      <c r="R53" s="320">
        <f t="shared" si="1"/>
        <v>2.8055555555547471</v>
      </c>
      <c r="S53" s="321">
        <f t="shared" si="4"/>
        <v>46048</v>
      </c>
      <c r="T53" s="250">
        <v>0</v>
      </c>
      <c r="U53" s="329">
        <f t="shared" si="2"/>
        <v>0</v>
      </c>
      <c r="V53" s="330" t="s">
        <v>368</v>
      </c>
      <c r="W53" s="328"/>
    </row>
    <row r="54" spans="1:23" s="221" customFormat="1" ht="212">
      <c r="A54" s="250">
        <v>31</v>
      </c>
      <c r="B54" s="257" t="s">
        <v>369</v>
      </c>
      <c r="C54" s="255" t="e">
        <f>VLOOKUP(B54,[13]AssetDetails_UEM!$A$3:$AH$1849,6,FALSE)</f>
        <v>#N/A</v>
      </c>
      <c r="D54" s="256" t="e">
        <f>VLOOKUP(B54,[13]AssetDetails_UEM!$A$3:$AK$1849,22,FALSE)</f>
        <v>#N/A</v>
      </c>
      <c r="E54" s="257" t="s">
        <v>370</v>
      </c>
      <c r="F54" s="257" t="s">
        <v>371</v>
      </c>
      <c r="G54" s="271" t="s">
        <v>372</v>
      </c>
      <c r="H54" s="269" t="s">
        <v>143</v>
      </c>
      <c r="I54" s="285" t="s">
        <v>247</v>
      </c>
      <c r="J54" s="292" t="s">
        <v>373</v>
      </c>
      <c r="K54" s="295">
        <v>46040.625</v>
      </c>
      <c r="L54" s="294" t="s">
        <v>374</v>
      </c>
      <c r="M54" s="311" t="e">
        <f t="shared" si="0"/>
        <v>#N/A</v>
      </c>
      <c r="N54" s="312" t="s">
        <v>148</v>
      </c>
      <c r="O54" s="313">
        <f>'[14]B1&amp; B2 UNSCHEDULED'!$O$24</f>
        <v>0</v>
      </c>
      <c r="P54" s="314"/>
      <c r="Q54" s="312" t="s">
        <v>148</v>
      </c>
      <c r="R54" s="322">
        <f t="shared" si="1"/>
        <v>1.1736111111094942</v>
      </c>
      <c r="S54" s="321">
        <f t="shared" si="4"/>
        <v>46048</v>
      </c>
      <c r="T54" s="314">
        <v>0</v>
      </c>
      <c r="U54" s="268">
        <f t="shared" si="2"/>
        <v>0</v>
      </c>
      <c r="V54" s="331" t="s">
        <v>375</v>
      </c>
      <c r="W54" s="332"/>
    </row>
    <row r="55" spans="1:23" s="218" customFormat="1" ht="286.5" customHeight="1">
      <c r="A55" s="250">
        <v>32</v>
      </c>
      <c r="B55" s="251" t="s">
        <v>250</v>
      </c>
      <c r="C55" s="252" t="str">
        <f>VLOOKUP(B55,[13]AssetDetails_UEM!$A$3:$AH$1849,6,FALSE)</f>
        <v>Linear Accelerators</v>
      </c>
      <c r="D55" s="253">
        <f>VLOOKUP(B55,[13]AssetDetails_UEM!$A$3:$AK$1849,22,FALSE)</f>
        <v>12049370</v>
      </c>
      <c r="E55" s="251" t="s">
        <v>376</v>
      </c>
      <c r="F55" s="251" t="s">
        <v>252</v>
      </c>
      <c r="G55" s="265" t="s">
        <v>377</v>
      </c>
      <c r="H55" s="266" t="s">
        <v>143</v>
      </c>
      <c r="I55" s="285" t="s">
        <v>239</v>
      </c>
      <c r="J55" s="286" t="s">
        <v>378</v>
      </c>
      <c r="K55" s="287" t="s">
        <v>379</v>
      </c>
      <c r="L55" s="288" t="s">
        <v>380</v>
      </c>
      <c r="M55" s="308">
        <f t="shared" si="0"/>
        <v>100</v>
      </c>
      <c r="N55" s="309" t="s">
        <v>148</v>
      </c>
      <c r="O55" s="310">
        <f>'[14]B1&amp; B2 UNSCHEDULED'!$O$24</f>
        <v>0</v>
      </c>
      <c r="P55" s="250"/>
      <c r="Q55" s="309" t="s">
        <v>148</v>
      </c>
      <c r="R55" s="320">
        <f t="shared" si="1"/>
        <v>1.0888888888875954</v>
      </c>
      <c r="S55" s="321">
        <f t="shared" si="4"/>
        <v>46049</v>
      </c>
      <c r="T55" s="250">
        <v>0</v>
      </c>
      <c r="U55" s="329">
        <f t="shared" si="2"/>
        <v>0</v>
      </c>
      <c r="V55" s="330" t="s">
        <v>381</v>
      </c>
      <c r="W55" s="328"/>
    </row>
    <row r="56" spans="1:23" s="218" customFormat="1" ht="266.5" customHeight="1">
      <c r="A56" s="250">
        <v>33</v>
      </c>
      <c r="B56" s="251" t="s">
        <v>382</v>
      </c>
      <c r="C56" s="252" t="str">
        <f>VLOOKUP(B56,[13]AssetDetails_UEM!$A$3:$AH$1849,6,FALSE)</f>
        <v>Electrocardiographs, Multichannel, Interpretative</v>
      </c>
      <c r="D56" s="253">
        <f>VLOOKUP(B56,[13]AssetDetails_UEM!$A$3:$AK$1849,22,FALSE)</f>
        <v>31270</v>
      </c>
      <c r="E56" s="251" t="s">
        <v>383</v>
      </c>
      <c r="F56" s="251" t="s">
        <v>384</v>
      </c>
      <c r="G56" s="267" t="s">
        <v>385</v>
      </c>
      <c r="H56" s="266" t="s">
        <v>143</v>
      </c>
      <c r="I56" s="285" t="s">
        <v>386</v>
      </c>
      <c r="J56" s="286" t="s">
        <v>387</v>
      </c>
      <c r="K56" s="287" t="s">
        <v>388</v>
      </c>
      <c r="L56" s="288" t="s">
        <v>389</v>
      </c>
      <c r="M56" s="308">
        <f t="shared" si="0"/>
        <v>70</v>
      </c>
      <c r="N56" s="309" t="s">
        <v>148</v>
      </c>
      <c r="O56" s="310">
        <f>'[14]B1&amp; B2 UNSCHEDULED'!$O$24</f>
        <v>0</v>
      </c>
      <c r="P56" s="250"/>
      <c r="Q56" s="309" t="s">
        <v>148</v>
      </c>
      <c r="R56" s="320">
        <f t="shared" si="1"/>
        <v>1.0208333333284827</v>
      </c>
      <c r="S56" s="321">
        <f t="shared" si="4"/>
        <v>46049</v>
      </c>
      <c r="T56" s="250">
        <v>0</v>
      </c>
      <c r="U56" s="329">
        <f t="shared" si="2"/>
        <v>0</v>
      </c>
      <c r="V56" s="330" t="s">
        <v>390</v>
      </c>
      <c r="W56" s="328"/>
    </row>
    <row r="57" spans="1:23" s="218" customFormat="1" ht="249" customHeight="1">
      <c r="A57" s="250">
        <v>34</v>
      </c>
      <c r="B57" s="251" t="s">
        <v>391</v>
      </c>
      <c r="C57" s="252" t="str">
        <f>VLOOKUP(B57,[13]AssetDetails_UEM!$A$3:$AH$1849,6,FALSE)</f>
        <v>Physiologic Monitoring Systems, Acute Care</v>
      </c>
      <c r="D57" s="253">
        <f>VLOOKUP(B57,[13]AssetDetails_UEM!$A$3:$AK$1849,22,FALSE)</f>
        <v>44510</v>
      </c>
      <c r="E57" s="251" t="s">
        <v>392</v>
      </c>
      <c r="F57" s="251" t="s">
        <v>393</v>
      </c>
      <c r="G57" s="267" t="s">
        <v>313</v>
      </c>
      <c r="H57" s="266" t="s">
        <v>143</v>
      </c>
      <c r="I57" s="285" t="s">
        <v>394</v>
      </c>
      <c r="J57" s="286" t="s">
        <v>395</v>
      </c>
      <c r="K57" s="287" t="s">
        <v>396</v>
      </c>
      <c r="L57" s="288" t="s">
        <v>397</v>
      </c>
      <c r="M57" s="308">
        <f t="shared" si="0"/>
        <v>90</v>
      </c>
      <c r="N57" s="309" t="s">
        <v>148</v>
      </c>
      <c r="O57" s="310">
        <f>'[14]B1&amp; B2 UNSCHEDULED'!$O$24</f>
        <v>0</v>
      </c>
      <c r="P57" s="250"/>
      <c r="Q57" s="309" t="s">
        <v>148</v>
      </c>
      <c r="R57" s="320">
        <f t="shared" si="1"/>
        <v>1.0506944444496185</v>
      </c>
      <c r="S57" s="321">
        <f t="shared" si="4"/>
        <v>46049</v>
      </c>
      <c r="T57" s="250">
        <v>0</v>
      </c>
      <c r="U57" s="329">
        <f t="shared" si="2"/>
        <v>0</v>
      </c>
      <c r="V57" s="330" t="s">
        <v>398</v>
      </c>
      <c r="W57" s="328"/>
    </row>
    <row r="58" spans="1:23" s="218" customFormat="1" ht="289" customHeight="1">
      <c r="A58" s="250">
        <v>35</v>
      </c>
      <c r="B58" s="251" t="s">
        <v>399</v>
      </c>
      <c r="C58" s="252" t="str">
        <f>VLOOKUP(B58,[13]AssetDetails_UEM!$A$3:$AH$1849,6,FALSE)</f>
        <v>Mattress Systems, Alternating-Pressure</v>
      </c>
      <c r="D58" s="253">
        <f>VLOOKUP(B58,[13]AssetDetails_UEM!$A$3:$AK$1849,22,FALSE)</f>
        <v>28630</v>
      </c>
      <c r="E58" s="251" t="s">
        <v>400</v>
      </c>
      <c r="F58" s="251" t="s">
        <v>363</v>
      </c>
      <c r="G58" s="265" t="s">
        <v>401</v>
      </c>
      <c r="H58" s="266" t="s">
        <v>143</v>
      </c>
      <c r="I58" s="285" t="s">
        <v>402</v>
      </c>
      <c r="J58" s="286" t="s">
        <v>403</v>
      </c>
      <c r="K58" s="287" t="s">
        <v>404</v>
      </c>
      <c r="L58" s="288" t="s">
        <v>405</v>
      </c>
      <c r="M58" s="308">
        <f t="shared" si="0"/>
        <v>60</v>
      </c>
      <c r="N58" s="309" t="s">
        <v>148</v>
      </c>
      <c r="O58" s="310">
        <f>'[14]B1&amp; B2 UNSCHEDULED'!$O$24</f>
        <v>0</v>
      </c>
      <c r="P58" s="250"/>
      <c r="Q58" s="309" t="s">
        <v>148</v>
      </c>
      <c r="R58" s="320">
        <f t="shared" si="1"/>
        <v>1.054861111115315</v>
      </c>
      <c r="S58" s="321">
        <f t="shared" si="4"/>
        <v>46049</v>
      </c>
      <c r="T58" s="250">
        <v>0</v>
      </c>
      <c r="U58" s="329">
        <f t="shared" si="2"/>
        <v>0</v>
      </c>
      <c r="V58" s="330" t="s">
        <v>406</v>
      </c>
      <c r="W58" s="328"/>
    </row>
    <row r="59" spans="1:23" s="221" customFormat="1" ht="265">
      <c r="A59" s="250">
        <v>36</v>
      </c>
      <c r="B59" s="257" t="s">
        <v>407</v>
      </c>
      <c r="C59" s="255" t="e">
        <f>VLOOKUP(B59,[13]AssetDetails_UEM!$A$3:$AH$1849,6,FALSE)</f>
        <v>#N/A</v>
      </c>
      <c r="D59" s="256" t="e">
        <f>VLOOKUP(B59,[13]AssetDetails_UEM!$A$3:$AK$1849,22,FALSE)</f>
        <v>#N/A</v>
      </c>
      <c r="E59" s="257" t="s">
        <v>408</v>
      </c>
      <c r="F59" s="257" t="s">
        <v>409</v>
      </c>
      <c r="G59" s="270" t="s">
        <v>364</v>
      </c>
      <c r="H59" s="269" t="s">
        <v>143</v>
      </c>
      <c r="I59" s="289" t="s">
        <v>247</v>
      </c>
      <c r="J59" s="292" t="s">
        <v>410</v>
      </c>
      <c r="K59" s="293" t="s">
        <v>411</v>
      </c>
      <c r="L59" s="294" t="s">
        <v>412</v>
      </c>
      <c r="M59" s="311" t="e">
        <f t="shared" si="0"/>
        <v>#N/A</v>
      </c>
      <c r="N59" s="312" t="s">
        <v>148</v>
      </c>
      <c r="O59" s="313">
        <f>'[14]B1&amp; B2 UNSCHEDULED'!$O$24</f>
        <v>0</v>
      </c>
      <c r="P59" s="314"/>
      <c r="Q59" s="312" t="s">
        <v>148</v>
      </c>
      <c r="R59" s="322">
        <f t="shared" si="1"/>
        <v>1.0486111111167702</v>
      </c>
      <c r="S59" s="321">
        <f t="shared" si="4"/>
        <v>46049</v>
      </c>
      <c r="T59" s="314">
        <v>0</v>
      </c>
      <c r="U59" s="268">
        <f t="shared" si="2"/>
        <v>0</v>
      </c>
      <c r="V59" s="331" t="s">
        <v>413</v>
      </c>
      <c r="W59" s="332"/>
    </row>
    <row r="60" spans="1:23" s="221" customFormat="1" ht="303" customHeight="1">
      <c r="A60" s="250">
        <v>37</v>
      </c>
      <c r="B60" s="254" t="s">
        <v>407</v>
      </c>
      <c r="C60" s="255" t="s">
        <v>414</v>
      </c>
      <c r="D60" s="256" t="e">
        <f>VLOOKUP(B60,[13]AssetDetails_UEM!$A$3:$AK$1849,22,FALSE)</f>
        <v>#N/A</v>
      </c>
      <c r="E60" s="268" t="s">
        <v>415</v>
      </c>
      <c r="F60" s="268" t="s">
        <v>416</v>
      </c>
      <c r="G60" s="255" t="s">
        <v>417</v>
      </c>
      <c r="H60" s="269" t="s">
        <v>143</v>
      </c>
      <c r="I60" s="289" t="s">
        <v>285</v>
      </c>
      <c r="J60" s="290" t="s">
        <v>418</v>
      </c>
      <c r="K60" s="296" t="s">
        <v>418</v>
      </c>
      <c r="L60" s="296">
        <v>46043.340277777803</v>
      </c>
      <c r="M60" s="311" t="e">
        <f t="shared" si="0"/>
        <v>#N/A</v>
      </c>
      <c r="N60" s="312" t="s">
        <v>148</v>
      </c>
      <c r="O60" s="313">
        <f>'[14]B1&amp; B2 UNSCHEDULED'!$O$24</f>
        <v>0</v>
      </c>
      <c r="P60" s="314"/>
      <c r="Q60" s="312" t="s">
        <v>148</v>
      </c>
      <c r="R60" s="322">
        <f t="shared" ref="R60:R72" si="5">IF(L60="",AKHIR-J60,L60-J60+1)</f>
        <v>2.0118055555794854</v>
      </c>
      <c r="S60" s="321">
        <f t="shared" si="4"/>
        <v>46050</v>
      </c>
      <c r="T60" s="314">
        <v>2</v>
      </c>
      <c r="U60" s="268">
        <f t="shared" si="2"/>
        <v>0</v>
      </c>
      <c r="V60" s="331" t="s">
        <v>419</v>
      </c>
      <c r="W60" s="332"/>
    </row>
    <row r="61" spans="1:23" s="218" customFormat="1" ht="269.14999999999998" customHeight="1">
      <c r="A61" s="250">
        <v>38</v>
      </c>
      <c r="B61" s="251" t="s">
        <v>290</v>
      </c>
      <c r="C61" s="252" t="str">
        <f>VLOOKUP(B61,[13]AssetDetails_UEM!$A$3:$AH$1849,6,FALSE)</f>
        <v>Defibrillators, External, Manual</v>
      </c>
      <c r="D61" s="253">
        <f>VLOOKUP(B61,[13]AssetDetails_UEM!$A$3:$AK$1849,22,FALSE)</f>
        <v>45000</v>
      </c>
      <c r="E61" s="251" t="s">
        <v>420</v>
      </c>
      <c r="F61" s="251" t="s">
        <v>292</v>
      </c>
      <c r="G61" s="265" t="s">
        <v>421</v>
      </c>
      <c r="H61" s="266" t="s">
        <v>143</v>
      </c>
      <c r="I61" s="285" t="s">
        <v>422</v>
      </c>
      <c r="J61" s="286" t="s">
        <v>423</v>
      </c>
      <c r="K61" s="287" t="s">
        <v>424</v>
      </c>
      <c r="L61" s="288" t="s">
        <v>425</v>
      </c>
      <c r="M61" s="308">
        <f t="shared" si="0"/>
        <v>100</v>
      </c>
      <c r="N61" s="309" t="s">
        <v>148</v>
      </c>
      <c r="O61" s="310">
        <f>'[14]B1&amp; B2 UNSCHEDULED'!$O$24</f>
        <v>0</v>
      </c>
      <c r="P61" s="250"/>
      <c r="Q61" s="309" t="s">
        <v>148</v>
      </c>
      <c r="R61" s="320">
        <f t="shared" si="5"/>
        <v>1.0534722222218988</v>
      </c>
      <c r="S61" s="321">
        <f t="shared" si="4"/>
        <v>46051</v>
      </c>
      <c r="T61" s="250">
        <v>0</v>
      </c>
      <c r="U61" s="329">
        <f t="shared" si="2"/>
        <v>0</v>
      </c>
      <c r="V61" s="330" t="s">
        <v>426</v>
      </c>
      <c r="W61" s="328"/>
    </row>
    <row r="62" spans="1:23" s="220" customFormat="1" ht="240" customHeight="1">
      <c r="A62" s="250">
        <v>39</v>
      </c>
      <c r="B62" s="251" t="s">
        <v>427</v>
      </c>
      <c r="C62" s="252" t="str">
        <f>VLOOKUP(B62,[13]AssetDetails_UEM!$A$3:$AH$1849,6,FALSE)</f>
        <v>Infusion Pumps, General-Purpose</v>
      </c>
      <c r="D62" s="253">
        <f>VLOOKUP(B62,[13]AssetDetails_UEM!$A$3:$AK$1849,22,FALSE)</f>
        <v>3500</v>
      </c>
      <c r="E62" s="251" t="s">
        <v>428</v>
      </c>
      <c r="F62" s="251" t="s">
        <v>363</v>
      </c>
      <c r="G62" s="265" t="s">
        <v>429</v>
      </c>
      <c r="H62" s="266" t="s">
        <v>143</v>
      </c>
      <c r="I62" s="285" t="s">
        <v>386</v>
      </c>
      <c r="J62" s="286" t="s">
        <v>430</v>
      </c>
      <c r="K62" s="287" t="s">
        <v>431</v>
      </c>
      <c r="L62" s="288" t="s">
        <v>432</v>
      </c>
      <c r="M62" s="308">
        <f t="shared" si="0"/>
        <v>10</v>
      </c>
      <c r="N62" s="309" t="s">
        <v>148</v>
      </c>
      <c r="O62" s="310">
        <f>'[14]B1&amp; B2 UNSCHEDULED'!$O$24</f>
        <v>0</v>
      </c>
      <c r="P62" s="250"/>
      <c r="Q62" s="309" t="s">
        <v>148</v>
      </c>
      <c r="R62" s="320">
        <f t="shared" si="5"/>
        <v>1.0520833333284827</v>
      </c>
      <c r="S62" s="321">
        <f t="shared" si="4"/>
        <v>46051</v>
      </c>
      <c r="T62" s="250">
        <v>0</v>
      </c>
      <c r="U62" s="329">
        <f t="shared" si="2"/>
        <v>0</v>
      </c>
      <c r="V62" s="330" t="s">
        <v>433</v>
      </c>
      <c r="W62" s="328"/>
    </row>
    <row r="63" spans="1:23" s="219" customFormat="1" ht="212">
      <c r="A63" s="250">
        <v>40</v>
      </c>
      <c r="B63" s="251" t="s">
        <v>434</v>
      </c>
      <c r="C63" s="252" t="str">
        <f>VLOOKUP(B63,[13]AssetDetails_UEM!$A$3:$AH$1849,6,FALSE)</f>
        <v>Oximeters, Pulse</v>
      </c>
      <c r="D63" s="253">
        <f>VLOOKUP(B63,[13]AssetDetails_UEM!$A$3:$AK$1849,22,FALSE)</f>
        <v>5410</v>
      </c>
      <c r="E63" s="251" t="s">
        <v>435</v>
      </c>
      <c r="F63" s="251" t="s">
        <v>237</v>
      </c>
      <c r="G63" s="267" t="s">
        <v>436</v>
      </c>
      <c r="H63" s="266" t="s">
        <v>143</v>
      </c>
      <c r="I63" s="285" t="s">
        <v>170</v>
      </c>
      <c r="J63" s="286" t="s">
        <v>437</v>
      </c>
      <c r="K63" s="287" t="s">
        <v>438</v>
      </c>
      <c r="L63" s="288" t="s">
        <v>439</v>
      </c>
      <c r="M63" s="308">
        <f t="shared" si="0"/>
        <v>20</v>
      </c>
      <c r="N63" s="309" t="s">
        <v>148</v>
      </c>
      <c r="O63" s="310">
        <f>'[14]B1&amp; B2 UNSCHEDULED'!$O$24</f>
        <v>0</v>
      </c>
      <c r="P63" s="250"/>
      <c r="Q63" s="309" t="s">
        <v>148</v>
      </c>
      <c r="R63" s="320">
        <f t="shared" si="5"/>
        <v>8.0520833333284827</v>
      </c>
      <c r="S63" s="321">
        <f t="shared" si="4"/>
        <v>46051</v>
      </c>
      <c r="T63" s="250">
        <v>0</v>
      </c>
      <c r="U63" s="329">
        <f t="shared" si="2"/>
        <v>0</v>
      </c>
      <c r="V63" s="330" t="s">
        <v>440</v>
      </c>
      <c r="W63" s="328"/>
    </row>
    <row r="64" spans="1:23" s="219" customFormat="1" ht="257.5" customHeight="1">
      <c r="A64" s="250">
        <v>41</v>
      </c>
      <c r="B64" s="251" t="s">
        <v>441</v>
      </c>
      <c r="C64" s="252" t="str">
        <f>VLOOKUP(B64,[13]AssetDetails_UEM!$A$3:$AH$1849,6,FALSE)</f>
        <v>Sphygmomanometers, Electronic, Automatic</v>
      </c>
      <c r="D64" s="253">
        <f>VLOOKUP(B64,[13]AssetDetails_UEM!$A$3:$AK$1849,22,FALSE)</f>
        <v>336</v>
      </c>
      <c r="E64" s="251" t="s">
        <v>442</v>
      </c>
      <c r="F64" s="251" t="s">
        <v>443</v>
      </c>
      <c r="G64" s="265" t="s">
        <v>444</v>
      </c>
      <c r="H64" s="266" t="s">
        <v>143</v>
      </c>
      <c r="I64" s="285" t="s">
        <v>247</v>
      </c>
      <c r="J64" s="286" t="s">
        <v>445</v>
      </c>
      <c r="K64" s="287" t="s">
        <v>446</v>
      </c>
      <c r="L64" s="288" t="s">
        <v>438</v>
      </c>
      <c r="M64" s="308">
        <f t="shared" si="0"/>
        <v>10</v>
      </c>
      <c r="N64" s="309" t="s">
        <v>148</v>
      </c>
      <c r="O64" s="310">
        <f>'[14]B1&amp; B2 UNSCHEDULED'!$O$24</f>
        <v>0</v>
      </c>
      <c r="P64" s="250"/>
      <c r="Q64" s="309" t="s">
        <v>148</v>
      </c>
      <c r="R64" s="320">
        <f t="shared" si="5"/>
        <v>1.0208333333357587</v>
      </c>
      <c r="S64" s="321">
        <f t="shared" si="4"/>
        <v>46051</v>
      </c>
      <c r="T64" s="250">
        <v>0</v>
      </c>
      <c r="U64" s="329">
        <f t="shared" si="2"/>
        <v>0</v>
      </c>
      <c r="V64" s="330" t="s">
        <v>447</v>
      </c>
      <c r="W64" s="328"/>
    </row>
    <row r="65" spans="1:23" s="219" customFormat="1" ht="371">
      <c r="A65" s="250">
        <v>42</v>
      </c>
      <c r="B65" s="251" t="s">
        <v>448</v>
      </c>
      <c r="C65" s="252" t="str">
        <f>VLOOKUP(B65,[13]AssetDetails_UEM!$A$3:$AH$1849,6,FALSE)</f>
        <v>Electrocardiographs, Multichannel, Interpretative</v>
      </c>
      <c r="D65" s="253">
        <f>VLOOKUP(B65,[13]AssetDetails_UEM!$A$3:$AK$1849,22,FALSE)</f>
        <v>5590.2</v>
      </c>
      <c r="E65" s="251" t="s">
        <v>449</v>
      </c>
      <c r="F65" s="251" t="s">
        <v>450</v>
      </c>
      <c r="G65" s="265" t="s">
        <v>451</v>
      </c>
      <c r="H65" s="266" t="s">
        <v>143</v>
      </c>
      <c r="I65" s="285" t="s">
        <v>452</v>
      </c>
      <c r="J65" s="286" t="s">
        <v>453</v>
      </c>
      <c r="K65" s="287" t="s">
        <v>454</v>
      </c>
      <c r="L65" s="288" t="s">
        <v>455</v>
      </c>
      <c r="M65" s="308">
        <f t="shared" si="0"/>
        <v>20</v>
      </c>
      <c r="N65" s="309" t="s">
        <v>148</v>
      </c>
      <c r="O65" s="310">
        <f>'[14]B1&amp; B2 UNSCHEDULED'!$O$24</f>
        <v>0</v>
      </c>
      <c r="P65" s="250"/>
      <c r="Q65" s="309" t="s">
        <v>148</v>
      </c>
      <c r="R65" s="320">
        <f t="shared" si="5"/>
        <v>6.9479166666642413</v>
      </c>
      <c r="S65" s="321">
        <f t="shared" si="4"/>
        <v>46051</v>
      </c>
      <c r="T65" s="250">
        <v>0</v>
      </c>
      <c r="U65" s="329">
        <f t="shared" si="2"/>
        <v>0</v>
      </c>
      <c r="V65" s="330" t="s">
        <v>456</v>
      </c>
      <c r="W65" s="328"/>
    </row>
    <row r="66" spans="1:23" s="221" customFormat="1" ht="337" customHeight="1">
      <c r="A66" s="250">
        <v>43</v>
      </c>
      <c r="B66" s="254" t="s">
        <v>250</v>
      </c>
      <c r="C66" s="333" t="str">
        <f>VLOOKUP(B66,[13]AssetDetails_UEM!$A$3:$AH$1849,6,FALSE)</f>
        <v>Linear Accelerators</v>
      </c>
      <c r="D66" s="334">
        <f>VLOOKUP(B66,[13]AssetDetails_UEM!$A$3:$AK$1849,22,FALSE)</f>
        <v>12049370</v>
      </c>
      <c r="E66" s="254" t="s">
        <v>457</v>
      </c>
      <c r="F66" s="329" t="s">
        <v>252</v>
      </c>
      <c r="G66" s="333" t="s">
        <v>458</v>
      </c>
      <c r="H66" s="349" t="s">
        <v>143</v>
      </c>
      <c r="I66" s="285" t="s">
        <v>459</v>
      </c>
      <c r="J66" s="290" t="s">
        <v>460</v>
      </c>
      <c r="K66" s="296">
        <v>46044.333333333299</v>
      </c>
      <c r="L66" s="296">
        <v>46044.604166666701</v>
      </c>
      <c r="M66" s="311">
        <f t="shared" si="0"/>
        <v>100</v>
      </c>
      <c r="N66" s="312" t="s">
        <v>148</v>
      </c>
      <c r="O66" s="313">
        <f>'[14]B1&amp; B2 UNSCHEDULED'!$O$24</f>
        <v>0</v>
      </c>
      <c r="P66" s="314"/>
      <c r="Q66" s="312" t="s">
        <v>148</v>
      </c>
      <c r="R66" s="322">
        <f t="shared" si="5"/>
        <v>1.2805555555896717</v>
      </c>
      <c r="S66" s="321">
        <f t="shared" si="4"/>
        <v>46052</v>
      </c>
      <c r="T66" s="314">
        <v>0</v>
      </c>
      <c r="U66" s="268">
        <f t="shared" si="2"/>
        <v>0</v>
      </c>
      <c r="V66" s="331" t="s">
        <v>461</v>
      </c>
      <c r="W66" s="332"/>
    </row>
    <row r="67" spans="1:23" s="221" customFormat="1" ht="352" customHeight="1">
      <c r="A67" s="250">
        <v>44</v>
      </c>
      <c r="B67" s="254" t="s">
        <v>462</v>
      </c>
      <c r="C67" s="333" t="str">
        <f>VLOOKUP(B67,[13]AssetDetails_UEM!$A$3:$AH$1849,6,FALSE)</f>
        <v>Linear Accelerators</v>
      </c>
      <c r="D67" s="334">
        <f>VLOOKUP(B67,[13]AssetDetails_UEM!$A$3:$AK$1849,22,FALSE)</f>
        <v>21961900</v>
      </c>
      <c r="E67" s="254" t="s">
        <v>463</v>
      </c>
      <c r="F67" s="329" t="s">
        <v>464</v>
      </c>
      <c r="G67" s="350" t="s">
        <v>465</v>
      </c>
      <c r="H67" s="349" t="s">
        <v>143</v>
      </c>
      <c r="I67" s="285" t="s">
        <v>466</v>
      </c>
      <c r="J67" s="290" t="s">
        <v>467</v>
      </c>
      <c r="K67" s="296">
        <v>46044.34375</v>
      </c>
      <c r="L67" s="296">
        <v>46044.444444444402</v>
      </c>
      <c r="M67" s="311">
        <f t="shared" si="0"/>
        <v>100</v>
      </c>
      <c r="N67" s="312" t="s">
        <v>148</v>
      </c>
      <c r="O67" s="313">
        <f>'[14]B1&amp; B2 UNSCHEDULED'!$O$24</f>
        <v>0</v>
      </c>
      <c r="P67" s="314"/>
      <c r="Q67" s="312" t="s">
        <v>148</v>
      </c>
      <c r="R67" s="322">
        <f t="shared" si="5"/>
        <v>1.1027777777344454</v>
      </c>
      <c r="S67" s="321">
        <f t="shared" si="4"/>
        <v>46052</v>
      </c>
      <c r="T67" s="314"/>
      <c r="U67" s="268">
        <f t="shared" si="2"/>
        <v>0</v>
      </c>
      <c r="V67" s="331" t="s">
        <v>468</v>
      </c>
      <c r="W67" s="332"/>
    </row>
    <row r="68" spans="1:23" s="218" customFormat="1" ht="264.64999999999998" customHeight="1">
      <c r="A68" s="250">
        <v>45</v>
      </c>
      <c r="B68" s="251" t="s">
        <v>469</v>
      </c>
      <c r="C68" s="252" t="str">
        <f>VLOOKUP(B68,[13]AssetDetails_UEM!$A$3:$AH$1849,6,FALSE)</f>
        <v>Circulatory Assist Units, Venous Return</v>
      </c>
      <c r="D68" s="253">
        <f>VLOOKUP(B68,[13]AssetDetails_UEM!$A$3:$AK$1849,22,FALSE)</f>
        <v>13470</v>
      </c>
      <c r="E68" s="251" t="s">
        <v>470</v>
      </c>
      <c r="F68" s="251" t="s">
        <v>471</v>
      </c>
      <c r="G68" s="265" t="s">
        <v>472</v>
      </c>
      <c r="H68" s="266" t="s">
        <v>143</v>
      </c>
      <c r="I68" s="285" t="s">
        <v>473</v>
      </c>
      <c r="J68" s="286" t="s">
        <v>474</v>
      </c>
      <c r="K68" s="287" t="s">
        <v>475</v>
      </c>
      <c r="L68" s="288" t="s">
        <v>476</v>
      </c>
      <c r="M68" s="308">
        <f t="shared" si="0"/>
        <v>30</v>
      </c>
      <c r="N68" s="309" t="s">
        <v>148</v>
      </c>
      <c r="O68" s="310">
        <f>'[14]B1&amp; B2 UNSCHEDULED'!$O$24</f>
        <v>0</v>
      </c>
      <c r="P68" s="250"/>
      <c r="Q68" s="309" t="s">
        <v>148</v>
      </c>
      <c r="R68" s="320">
        <f t="shared" si="5"/>
        <v>1.0715277777781012</v>
      </c>
      <c r="S68" s="321">
        <f t="shared" si="4"/>
        <v>46052</v>
      </c>
      <c r="T68" s="250">
        <v>0</v>
      </c>
      <c r="U68" s="329">
        <f t="shared" si="2"/>
        <v>0</v>
      </c>
      <c r="V68" s="330" t="s">
        <v>477</v>
      </c>
      <c r="W68" s="379"/>
    </row>
    <row r="69" spans="1:23" s="220" customFormat="1" ht="264.64999999999998" customHeight="1">
      <c r="A69" s="250">
        <v>46</v>
      </c>
      <c r="B69" s="251" t="s">
        <v>478</v>
      </c>
      <c r="C69" s="252" t="str">
        <f>VLOOKUP(B69,[13]AssetDetails_UEM!$A$3:$AH$1849,6,FALSE)</f>
        <v>Physiologic Monitoring Systems, Acute Care</v>
      </c>
      <c r="D69" s="253">
        <f>VLOOKUP(B69,[13]AssetDetails_UEM!$A$3:$AK$1849,22,FALSE)</f>
        <v>44510</v>
      </c>
      <c r="E69" s="251" t="s">
        <v>479</v>
      </c>
      <c r="F69" s="251" t="s">
        <v>480</v>
      </c>
      <c r="G69" s="265" t="s">
        <v>481</v>
      </c>
      <c r="H69" s="266" t="s">
        <v>143</v>
      </c>
      <c r="I69" s="285" t="s">
        <v>333</v>
      </c>
      <c r="J69" s="286" t="s">
        <v>482</v>
      </c>
      <c r="K69" s="287" t="s">
        <v>483</v>
      </c>
      <c r="L69" s="288" t="s">
        <v>484</v>
      </c>
      <c r="M69" s="308">
        <f t="shared" si="0"/>
        <v>90</v>
      </c>
      <c r="N69" s="309" t="s">
        <v>148</v>
      </c>
      <c r="O69" s="310">
        <f>'[14]B1&amp; B2 UNSCHEDULED'!$O$24</f>
        <v>0</v>
      </c>
      <c r="P69" s="250"/>
      <c r="Q69" s="309" t="s">
        <v>148</v>
      </c>
      <c r="R69" s="320">
        <f t="shared" si="5"/>
        <v>5.0868055555547471</v>
      </c>
      <c r="S69" s="321">
        <f t="shared" si="4"/>
        <v>46052</v>
      </c>
      <c r="T69" s="250">
        <v>0</v>
      </c>
      <c r="U69" s="329">
        <f t="shared" si="2"/>
        <v>0</v>
      </c>
      <c r="V69" s="330" t="s">
        <v>485</v>
      </c>
      <c r="W69" s="328"/>
    </row>
    <row r="70" spans="1:23" s="220" customFormat="1" ht="212">
      <c r="A70" s="250">
        <v>47</v>
      </c>
      <c r="B70" s="251" t="s">
        <v>486</v>
      </c>
      <c r="C70" s="252" t="str">
        <f>VLOOKUP(B70,[13]AssetDetails_UEM!$A$3:$AH$1849,6,FALSE)</f>
        <v>Electrocardiographs, Multichannel, Interpretative</v>
      </c>
      <c r="D70" s="253">
        <f>VLOOKUP(B70,[13]AssetDetails_UEM!$A$3:$AK$1849,22,FALSE)</f>
        <v>25260</v>
      </c>
      <c r="E70" s="251" t="s">
        <v>487</v>
      </c>
      <c r="F70" s="251" t="s">
        <v>488</v>
      </c>
      <c r="G70" s="265" t="s">
        <v>489</v>
      </c>
      <c r="H70" s="266" t="s">
        <v>143</v>
      </c>
      <c r="I70" s="285" t="s">
        <v>490</v>
      </c>
      <c r="J70" s="286" t="s">
        <v>491</v>
      </c>
      <c r="K70" s="287" t="s">
        <v>492</v>
      </c>
      <c r="L70" s="288" t="s">
        <v>493</v>
      </c>
      <c r="M70" s="308">
        <f t="shared" si="0"/>
        <v>60</v>
      </c>
      <c r="N70" s="309" t="s">
        <v>148</v>
      </c>
      <c r="O70" s="310">
        <f>'[14]B1&amp; B2 UNSCHEDULED'!$O$24</f>
        <v>0</v>
      </c>
      <c r="P70" s="250"/>
      <c r="Q70" s="309" t="s">
        <v>148</v>
      </c>
      <c r="R70" s="320">
        <f t="shared" si="5"/>
        <v>1.9750000000058208</v>
      </c>
      <c r="S70" s="321">
        <f t="shared" si="4"/>
        <v>46052</v>
      </c>
      <c r="T70" s="250">
        <v>0</v>
      </c>
      <c r="U70" s="329">
        <f t="shared" si="2"/>
        <v>0</v>
      </c>
      <c r="V70" s="330" t="s">
        <v>494</v>
      </c>
      <c r="W70" s="328"/>
    </row>
    <row r="71" spans="1:23" s="221" customFormat="1" ht="264.64999999999998" customHeight="1">
      <c r="A71" s="250">
        <v>48</v>
      </c>
      <c r="B71" s="471" t="s">
        <v>139</v>
      </c>
      <c r="C71" s="255" t="s">
        <v>1213</v>
      </c>
      <c r="D71" s="256">
        <v>4510</v>
      </c>
      <c r="E71" s="470" t="s">
        <v>495</v>
      </c>
      <c r="F71" s="257" t="s">
        <v>496</v>
      </c>
      <c r="G71" s="270" t="s">
        <v>497</v>
      </c>
      <c r="H71" s="269" t="s">
        <v>143</v>
      </c>
      <c r="I71" s="289" t="s">
        <v>498</v>
      </c>
      <c r="J71" s="292" t="s">
        <v>499</v>
      </c>
      <c r="K71" s="293" t="s">
        <v>500</v>
      </c>
      <c r="L71" s="294" t="s">
        <v>501</v>
      </c>
      <c r="M71" s="311">
        <f t="shared" si="0"/>
        <v>10</v>
      </c>
      <c r="N71" s="312" t="s">
        <v>148</v>
      </c>
      <c r="O71" s="313">
        <f>'[14]B1&amp; B2 UNSCHEDULED'!$O$24</f>
        <v>0</v>
      </c>
      <c r="P71" s="314"/>
      <c r="Q71" s="312" t="s">
        <v>148</v>
      </c>
      <c r="R71" s="322">
        <f t="shared" si="5"/>
        <v>3.6784722222218988</v>
      </c>
      <c r="S71" s="321">
        <f t="shared" si="4"/>
        <v>46055</v>
      </c>
      <c r="T71" s="314">
        <v>0</v>
      </c>
      <c r="U71" s="268">
        <f t="shared" si="2"/>
        <v>0</v>
      </c>
      <c r="V71" s="331" t="s">
        <v>502</v>
      </c>
      <c r="W71" s="332"/>
    </row>
    <row r="72" spans="1:23" s="220" customFormat="1" ht="409" customHeight="1">
      <c r="A72" s="250">
        <v>49</v>
      </c>
      <c r="B72" s="335" t="s">
        <v>298</v>
      </c>
      <c r="C72" s="336" t="str">
        <f>VLOOKUP(B72,[13]AssetDetails_UEM!$A$3:$AH$1849,6,FALSE)</f>
        <v>Linear Accelerators</v>
      </c>
      <c r="D72" s="337">
        <f>VLOOKUP(B72,[13]AssetDetails_UEM!$A$3:$AK$1849,22,FALSE)</f>
        <v>19351760</v>
      </c>
      <c r="E72" s="335" t="s">
        <v>503</v>
      </c>
      <c r="F72" s="329" t="s">
        <v>300</v>
      </c>
      <c r="G72" s="336" t="s">
        <v>504</v>
      </c>
      <c r="H72" s="351" t="s">
        <v>143</v>
      </c>
      <c r="I72" s="285" t="s">
        <v>271</v>
      </c>
      <c r="J72" s="356" t="s">
        <v>505</v>
      </c>
      <c r="K72" s="357">
        <v>46045.6875</v>
      </c>
      <c r="L72" s="357">
        <v>46046.310416666704</v>
      </c>
      <c r="M72" s="308">
        <f t="shared" si="0"/>
        <v>100</v>
      </c>
      <c r="N72" s="309" t="s">
        <v>148</v>
      </c>
      <c r="O72" s="310">
        <f>'[14]B1&amp; B2 UNSCHEDULED'!$O$24</f>
        <v>0</v>
      </c>
      <c r="P72" s="250"/>
      <c r="Q72" s="309" t="s">
        <v>148</v>
      </c>
      <c r="R72" s="322">
        <f t="shared" si="5"/>
        <v>1.6312500000349246</v>
      </c>
      <c r="S72" s="321">
        <f t="shared" si="4"/>
        <v>46055</v>
      </c>
      <c r="T72" s="250">
        <v>0</v>
      </c>
      <c r="U72" s="329">
        <f t="shared" si="2"/>
        <v>0</v>
      </c>
      <c r="V72" s="330" t="s">
        <v>506</v>
      </c>
      <c r="W72" s="328"/>
    </row>
    <row r="73" spans="1:23" s="220" customFormat="1" ht="281.25" customHeight="1">
      <c r="A73" s="250">
        <v>50</v>
      </c>
      <c r="B73" s="251" t="s">
        <v>507</v>
      </c>
      <c r="C73" s="252" t="str">
        <f>VLOOKUP(B73,[13]AssetDetails_UEM!$A$3:$AH$1849,6,FALSE)</f>
        <v>Analyzers, Laboratory, Immunoassay, Chemiluminescent</v>
      </c>
      <c r="D73" s="253">
        <f>VLOOKUP(B73,[13]AssetDetails_UEM!$A$3:$AK$1849,22,FALSE)</f>
        <v>1443450</v>
      </c>
      <c r="E73" s="251" t="s">
        <v>508</v>
      </c>
      <c r="F73" s="251" t="s">
        <v>509</v>
      </c>
      <c r="G73" s="265" t="s">
        <v>510</v>
      </c>
      <c r="H73" s="266" t="s">
        <v>143</v>
      </c>
      <c r="I73" s="285" t="s">
        <v>511</v>
      </c>
      <c r="J73" s="286" t="s">
        <v>512</v>
      </c>
      <c r="K73" s="287" t="s">
        <v>513</v>
      </c>
      <c r="L73" s="288" t="s">
        <v>514</v>
      </c>
      <c r="M73" s="308">
        <f t="shared" si="0"/>
        <v>100</v>
      </c>
      <c r="N73" s="309" t="s">
        <v>148</v>
      </c>
      <c r="O73" s="310">
        <f>'[14]B1&amp; B2 UNSCHEDULED'!$O$24</f>
        <v>0</v>
      </c>
      <c r="P73" s="250"/>
      <c r="Q73" s="309" t="s">
        <v>148</v>
      </c>
      <c r="R73" s="320">
        <f t="shared" ref="R73:R95" si="6">IF(L73="",AKHIR-J73,L73-J73+1)</f>
        <v>1.0909722222204437</v>
      </c>
      <c r="S73" s="321">
        <f t="shared" si="4"/>
        <v>46055</v>
      </c>
      <c r="T73" s="250">
        <v>0</v>
      </c>
      <c r="U73" s="329">
        <f t="shared" si="2"/>
        <v>0</v>
      </c>
      <c r="V73" s="330" t="s">
        <v>515</v>
      </c>
      <c r="W73" s="328"/>
    </row>
    <row r="74" spans="1:23" s="219" customFormat="1" ht="264.64999999999998" customHeight="1">
      <c r="A74" s="250">
        <v>51</v>
      </c>
      <c r="B74" s="251" t="s">
        <v>434</v>
      </c>
      <c r="C74" s="252" t="str">
        <f>VLOOKUP(B74,[13]AssetDetails_UEM!$A$3:$AH$1849,6,FALSE)</f>
        <v>Oximeters, Pulse</v>
      </c>
      <c r="D74" s="253">
        <f>VLOOKUP(B74,[13]AssetDetails_UEM!$A$3:$AK$1849,22,FALSE)</f>
        <v>5410</v>
      </c>
      <c r="E74" s="251" t="s">
        <v>516</v>
      </c>
      <c r="F74" s="251" t="s">
        <v>237</v>
      </c>
      <c r="G74" s="265" t="s">
        <v>517</v>
      </c>
      <c r="H74" s="266" t="s">
        <v>143</v>
      </c>
      <c r="I74" s="285" t="s">
        <v>518</v>
      </c>
      <c r="J74" s="286" t="s">
        <v>519</v>
      </c>
      <c r="K74" s="287" t="s">
        <v>520</v>
      </c>
      <c r="L74" s="288" t="s">
        <v>521</v>
      </c>
      <c r="M74" s="308">
        <f t="shared" si="0"/>
        <v>20</v>
      </c>
      <c r="N74" s="309" t="s">
        <v>148</v>
      </c>
      <c r="O74" s="310">
        <f>'[14]B1&amp; B2 UNSCHEDULED'!$O$24</f>
        <v>0</v>
      </c>
      <c r="P74" s="250"/>
      <c r="Q74" s="309" t="s">
        <v>148</v>
      </c>
      <c r="R74" s="320">
        <f t="shared" si="6"/>
        <v>2.0819444444423425</v>
      </c>
      <c r="S74" s="321">
        <f t="shared" si="4"/>
        <v>46055</v>
      </c>
      <c r="T74" s="250">
        <v>0</v>
      </c>
      <c r="U74" s="329">
        <f t="shared" si="2"/>
        <v>0</v>
      </c>
      <c r="V74" s="330" t="s">
        <v>522</v>
      </c>
      <c r="W74" s="328"/>
    </row>
    <row r="75" spans="1:23" s="219" customFormat="1" ht="264.64999999999998" customHeight="1">
      <c r="A75" s="250">
        <v>52</v>
      </c>
      <c r="B75" s="251" t="s">
        <v>523</v>
      </c>
      <c r="C75" s="252" t="str">
        <f>VLOOKUP(B75,[13]AssetDetails_UEM!$A$3:$AH$1849,6,FALSE)</f>
        <v>Mattress Systems, Alternating-Pressure</v>
      </c>
      <c r="D75" s="253">
        <f>VLOOKUP(B75,[13]AssetDetails_UEM!$A$3:$AK$1849,22,FALSE)</f>
        <v>28630</v>
      </c>
      <c r="E75" s="251" t="s">
        <v>524</v>
      </c>
      <c r="F75" s="251" t="s">
        <v>525</v>
      </c>
      <c r="G75" s="265" t="s">
        <v>526</v>
      </c>
      <c r="H75" s="266" t="s">
        <v>143</v>
      </c>
      <c r="I75" s="285" t="s">
        <v>247</v>
      </c>
      <c r="J75" s="286" t="s">
        <v>527</v>
      </c>
      <c r="K75" s="287" t="s">
        <v>528</v>
      </c>
      <c r="L75" s="288" t="s">
        <v>521</v>
      </c>
      <c r="M75" s="308">
        <f t="shared" si="0"/>
        <v>60</v>
      </c>
      <c r="N75" s="309" t="s">
        <v>148</v>
      </c>
      <c r="O75" s="310">
        <f>'[14]B1&amp; B2 UNSCHEDULED'!$O$24</f>
        <v>0</v>
      </c>
      <c r="P75" s="250"/>
      <c r="Q75" s="309" t="s">
        <v>148</v>
      </c>
      <c r="R75" s="320">
        <f t="shared" si="6"/>
        <v>1.9027777777737356</v>
      </c>
      <c r="S75" s="321">
        <f t="shared" si="4"/>
        <v>46055</v>
      </c>
      <c r="T75" s="250">
        <v>0</v>
      </c>
      <c r="U75" s="329">
        <f t="shared" si="2"/>
        <v>0</v>
      </c>
      <c r="V75" s="330" t="s">
        <v>529</v>
      </c>
      <c r="W75" s="328"/>
    </row>
    <row r="76" spans="1:23" s="222" customFormat="1" ht="386" customHeight="1">
      <c r="A76" s="250">
        <v>53</v>
      </c>
      <c r="B76" s="335" t="s">
        <v>250</v>
      </c>
      <c r="C76" s="336" t="str">
        <f>VLOOKUP(B76,[13]AssetDetails_UEM!$A$3:$AH$1849,6,FALSE)</f>
        <v>Linear Accelerators</v>
      </c>
      <c r="D76" s="337">
        <f>VLOOKUP(B76,[13]AssetDetails_UEM!$A$3:$AK$1849,22,FALSE)</f>
        <v>12049370</v>
      </c>
      <c r="E76" s="335" t="s">
        <v>530</v>
      </c>
      <c r="F76" s="329" t="s">
        <v>252</v>
      </c>
      <c r="G76" s="336" t="s">
        <v>531</v>
      </c>
      <c r="H76" s="351" t="s">
        <v>143</v>
      </c>
      <c r="I76" s="285" t="s">
        <v>247</v>
      </c>
      <c r="J76" s="356" t="s">
        <v>532</v>
      </c>
      <c r="K76" s="357">
        <v>46048.34375</v>
      </c>
      <c r="L76" s="358">
        <v>46048.440972222197</v>
      </c>
      <c r="M76" s="308">
        <f t="shared" si="0"/>
        <v>100</v>
      </c>
      <c r="N76" s="309" t="s">
        <v>148</v>
      </c>
      <c r="O76" s="310">
        <f>'[14]B1&amp; B2 UNSCHEDULED'!$O$24</f>
        <v>0</v>
      </c>
      <c r="P76" s="250"/>
      <c r="Q76" s="309" t="s">
        <v>148</v>
      </c>
      <c r="R76" s="320">
        <f t="shared" si="6"/>
        <v>1.1041666666424135</v>
      </c>
      <c r="S76" s="321">
        <f t="shared" ref="S76:S93" si="7">WORKDAY(J76,6,AKHIR)+1</f>
        <v>46057</v>
      </c>
      <c r="T76" s="250">
        <v>0</v>
      </c>
      <c r="U76" s="329">
        <f t="shared" si="2"/>
        <v>0</v>
      </c>
      <c r="V76" s="330" t="s">
        <v>533</v>
      </c>
      <c r="W76" s="380"/>
    </row>
    <row r="77" spans="1:23" s="220" customFormat="1" ht="264.64999999999998" customHeight="1">
      <c r="A77" s="250">
        <v>54</v>
      </c>
      <c r="B77" s="251" t="s">
        <v>150</v>
      </c>
      <c r="C77" s="252" t="str">
        <f>VLOOKUP(B77,[13]AssetDetails_UEM!$A$3:$AH$1849,6,FALSE)</f>
        <v>Analyzers, Laboratory, Microbiology, Blood Culture, Automate</v>
      </c>
      <c r="D77" s="253">
        <f>VLOOKUP(B77,[13]AssetDetails_UEM!$A$3:$AK$1849,22,FALSE)</f>
        <v>342820</v>
      </c>
      <c r="E77" s="251" t="s">
        <v>534</v>
      </c>
      <c r="F77" s="251" t="s">
        <v>152</v>
      </c>
      <c r="G77" s="467" t="s">
        <v>1377</v>
      </c>
      <c r="H77" s="266" t="s">
        <v>143</v>
      </c>
      <c r="I77" s="285" t="s">
        <v>314</v>
      </c>
      <c r="J77" s="286" t="s">
        <v>535</v>
      </c>
      <c r="K77" s="287" t="s">
        <v>536</v>
      </c>
      <c r="L77" s="288" t="s">
        <v>537</v>
      </c>
      <c r="M77" s="308">
        <f t="shared" si="0"/>
        <v>100</v>
      </c>
      <c r="N77" s="309" t="s">
        <v>148</v>
      </c>
      <c r="O77" s="310">
        <f>'[14]B1&amp; B2 UNSCHEDULED'!$O$24</f>
        <v>0</v>
      </c>
      <c r="P77" s="250"/>
      <c r="Q77" s="309" t="s">
        <v>148</v>
      </c>
      <c r="R77" s="320">
        <f t="shared" si="6"/>
        <v>2.047222222223354</v>
      </c>
      <c r="S77" s="321">
        <f t="shared" si="7"/>
        <v>46057</v>
      </c>
      <c r="T77" s="250">
        <v>0</v>
      </c>
      <c r="U77" s="329">
        <f t="shared" si="2"/>
        <v>0</v>
      </c>
      <c r="V77" s="330" t="s">
        <v>538</v>
      </c>
      <c r="W77" s="328"/>
    </row>
    <row r="78" spans="1:23" s="222" customFormat="1" ht="307" customHeight="1">
      <c r="A78" s="250">
        <v>55</v>
      </c>
      <c r="B78" s="335" t="s">
        <v>539</v>
      </c>
      <c r="C78" s="336" t="str">
        <f>VLOOKUP(B78,[13]AssetDetails_UEM!$A$3:$AH$1849,6,FALSE)</f>
        <v>Scanning Systems, Laser, Optical Tomography</v>
      </c>
      <c r="D78" s="337">
        <f>VLOOKUP(B78,[13]AssetDetails_UEM!$A$3:$AK$1849,22,FALSE)</f>
        <v>2185000</v>
      </c>
      <c r="E78" s="335" t="s">
        <v>540</v>
      </c>
      <c r="F78" s="460" t="s">
        <v>464</v>
      </c>
      <c r="G78" s="336" t="s">
        <v>541</v>
      </c>
      <c r="H78" s="351" t="s">
        <v>143</v>
      </c>
      <c r="I78" s="285" t="s">
        <v>542</v>
      </c>
      <c r="J78" s="356" t="s">
        <v>543</v>
      </c>
      <c r="K78" s="357">
        <v>46048.409722222197</v>
      </c>
      <c r="L78" s="358">
        <v>46049.697916666701</v>
      </c>
      <c r="M78" s="308">
        <f t="shared" si="0"/>
        <v>100</v>
      </c>
      <c r="N78" s="309" t="s">
        <v>148</v>
      </c>
      <c r="O78" s="310">
        <f>'[14]B1&amp; B2 UNSCHEDULED'!$O$24</f>
        <v>0</v>
      </c>
      <c r="P78" s="250"/>
      <c r="Q78" s="309" t="s">
        <v>148</v>
      </c>
      <c r="R78" s="320">
        <f t="shared" si="6"/>
        <v>2.3486111111415084</v>
      </c>
      <c r="S78" s="321">
        <f t="shared" si="7"/>
        <v>46057</v>
      </c>
      <c r="T78" s="250">
        <v>0</v>
      </c>
      <c r="U78" s="329">
        <f t="shared" si="2"/>
        <v>0</v>
      </c>
      <c r="V78" s="330" t="s">
        <v>544</v>
      </c>
      <c r="W78" s="380"/>
    </row>
    <row r="79" spans="1:23" s="220" customFormat="1" ht="370" customHeight="1">
      <c r="A79" s="250">
        <v>56</v>
      </c>
      <c r="B79" s="335" t="s">
        <v>298</v>
      </c>
      <c r="C79" s="336" t="str">
        <f>VLOOKUP(B79,[13]AssetDetails_UEM!$A$3:$AH$1849,6,FALSE)</f>
        <v>Linear Accelerators</v>
      </c>
      <c r="D79" s="337">
        <f>VLOOKUP(B79,[13]AssetDetails_UEM!$A$3:$AK$1849,22,FALSE)</f>
        <v>19351760</v>
      </c>
      <c r="E79" s="335" t="s">
        <v>545</v>
      </c>
      <c r="F79" s="329" t="s">
        <v>300</v>
      </c>
      <c r="G79" s="336" t="s">
        <v>546</v>
      </c>
      <c r="H79" s="351" t="s">
        <v>143</v>
      </c>
      <c r="I79" s="285" t="s">
        <v>547</v>
      </c>
      <c r="J79" s="356" t="s">
        <v>548</v>
      </c>
      <c r="K79" s="357">
        <v>46048.625</v>
      </c>
      <c r="L79" s="357">
        <v>46048.708333333299</v>
      </c>
      <c r="M79" s="308">
        <f t="shared" si="0"/>
        <v>100</v>
      </c>
      <c r="N79" s="309" t="s">
        <v>148</v>
      </c>
      <c r="O79" s="310">
        <f>'[14]B1&amp; B2 UNSCHEDULED'!$O$24</f>
        <v>0</v>
      </c>
      <c r="P79" s="250"/>
      <c r="Q79" s="309" t="s">
        <v>148</v>
      </c>
      <c r="R79" s="320">
        <f t="shared" si="6"/>
        <v>1.0944444444103283</v>
      </c>
      <c r="S79" s="321">
        <f t="shared" si="7"/>
        <v>46057</v>
      </c>
      <c r="T79" s="250">
        <v>0</v>
      </c>
      <c r="U79" s="329">
        <f t="shared" si="2"/>
        <v>0</v>
      </c>
      <c r="V79" s="381" t="s">
        <v>549</v>
      </c>
      <c r="W79" s="328"/>
    </row>
    <row r="80" spans="1:23" s="219" customFormat="1" ht="409.5">
      <c r="A80" s="250">
        <v>57</v>
      </c>
      <c r="B80" s="251" t="s">
        <v>550</v>
      </c>
      <c r="C80" s="252" t="str">
        <f>VLOOKUP(B80,[13]AssetDetails_UEM!$A$3:$AH$1849,6,FALSE)</f>
        <v>Scales, Patient, Floor</v>
      </c>
      <c r="D80" s="253">
        <f>VLOOKUP(B80,[13]AssetDetails_UEM!$A$3:$AK$1849,22,FALSE)</f>
        <v>9380</v>
      </c>
      <c r="E80" s="251" t="s">
        <v>551</v>
      </c>
      <c r="F80" s="251" t="s">
        <v>552</v>
      </c>
      <c r="G80" s="265" t="s">
        <v>553</v>
      </c>
      <c r="H80" s="266" t="s">
        <v>143</v>
      </c>
      <c r="I80" s="285" t="s">
        <v>386</v>
      </c>
      <c r="J80" s="286" t="s">
        <v>554</v>
      </c>
      <c r="K80" s="287" t="s">
        <v>555</v>
      </c>
      <c r="L80" s="288" t="s">
        <v>556</v>
      </c>
      <c r="M80" s="308">
        <f t="shared" si="0"/>
        <v>20</v>
      </c>
      <c r="N80" s="309" t="s">
        <v>148</v>
      </c>
      <c r="O80" s="310">
        <f>'[14]B1&amp; B2 UNSCHEDULED'!$O$24</f>
        <v>0</v>
      </c>
      <c r="P80" s="250"/>
      <c r="Q80" s="309" t="s">
        <v>148</v>
      </c>
      <c r="R80" s="320">
        <f t="shared" si="6"/>
        <v>3.6979166666642413</v>
      </c>
      <c r="S80" s="321">
        <f t="shared" si="7"/>
        <v>46057</v>
      </c>
      <c r="T80" s="250">
        <v>0</v>
      </c>
      <c r="U80" s="329">
        <f t="shared" si="2"/>
        <v>0</v>
      </c>
      <c r="V80" s="330" t="s">
        <v>557</v>
      </c>
      <c r="W80" s="328"/>
    </row>
    <row r="81" spans="1:23" s="220" customFormat="1" ht="265">
      <c r="A81" s="250">
        <v>58</v>
      </c>
      <c r="B81" s="251" t="s">
        <v>558</v>
      </c>
      <c r="C81" s="336" t="str">
        <f>VLOOKUP(B81,[13]AssetDetails_UEM!$A$3:$AH$1849,6,FALSE)</f>
        <v>Analyzers, Laboratory, Hematology, Cell Counting, Automated</v>
      </c>
      <c r="D81" s="253">
        <f>VLOOKUP(B81,[13]AssetDetails_UEM!$A$3:$AK$1849,22,FALSE)</f>
        <v>565350</v>
      </c>
      <c r="E81" s="251" t="s">
        <v>559</v>
      </c>
      <c r="F81" s="251" t="s">
        <v>560</v>
      </c>
      <c r="G81" s="265" t="s">
        <v>561</v>
      </c>
      <c r="H81" s="266" t="s">
        <v>143</v>
      </c>
      <c r="I81" s="285" t="s">
        <v>562</v>
      </c>
      <c r="J81" s="286" t="s">
        <v>563</v>
      </c>
      <c r="K81" s="287" t="s">
        <v>564</v>
      </c>
      <c r="L81" s="288" t="s">
        <v>565</v>
      </c>
      <c r="M81" s="308">
        <f t="shared" si="0"/>
        <v>100</v>
      </c>
      <c r="N81" s="309" t="s">
        <v>148</v>
      </c>
      <c r="O81" s="310">
        <f>'[14]B1&amp; B2 UNSCHEDULED'!$O$24</f>
        <v>0</v>
      </c>
      <c r="P81" s="250"/>
      <c r="Q81" s="309" t="s">
        <v>148</v>
      </c>
      <c r="R81" s="320">
        <f t="shared" si="6"/>
        <v>2.015277777776646</v>
      </c>
      <c r="S81" s="321">
        <f t="shared" si="7"/>
        <v>46058</v>
      </c>
      <c r="T81" s="250">
        <v>0</v>
      </c>
      <c r="U81" s="329">
        <f t="shared" si="2"/>
        <v>0</v>
      </c>
      <c r="V81" s="330" t="s">
        <v>566</v>
      </c>
      <c r="W81" s="328"/>
    </row>
    <row r="82" spans="1:23" s="220" customFormat="1" ht="264.64999999999998" customHeight="1">
      <c r="A82" s="250">
        <v>59</v>
      </c>
      <c r="B82" s="251" t="s">
        <v>567</v>
      </c>
      <c r="C82" s="252" t="str">
        <f>VLOOKUP(B82,[13]AssetDetails_UEM!$A$3:$AH$1849,6,FALSE)</f>
        <v>Sphygmomanometers, Electronic, Automatic</v>
      </c>
      <c r="D82" s="253">
        <f>VLOOKUP(B82,[13]AssetDetails_UEM!$A$3:$AK$1849,22,FALSE)</f>
        <v>4510</v>
      </c>
      <c r="E82" s="251" t="s">
        <v>568</v>
      </c>
      <c r="F82" s="251" t="s">
        <v>569</v>
      </c>
      <c r="G82" s="267" t="s">
        <v>570</v>
      </c>
      <c r="H82" s="266" t="s">
        <v>143</v>
      </c>
      <c r="I82" s="285" t="s">
        <v>333</v>
      </c>
      <c r="J82" s="286" t="s">
        <v>571</v>
      </c>
      <c r="K82" s="287" t="s">
        <v>572</v>
      </c>
      <c r="L82" s="288" t="s">
        <v>573</v>
      </c>
      <c r="M82" s="308">
        <f t="shared" si="0"/>
        <v>10</v>
      </c>
      <c r="N82" s="309" t="s">
        <v>148</v>
      </c>
      <c r="O82" s="310">
        <f>'[14]B1&amp; B2 UNSCHEDULED'!$O$24</f>
        <v>0</v>
      </c>
      <c r="P82" s="250"/>
      <c r="Q82" s="309" t="s">
        <v>148</v>
      </c>
      <c r="R82" s="320">
        <f t="shared" si="6"/>
        <v>1.0381944444452529</v>
      </c>
      <c r="S82" s="321">
        <f t="shared" si="7"/>
        <v>46058</v>
      </c>
      <c r="T82" s="250">
        <v>0</v>
      </c>
      <c r="U82" s="329">
        <f t="shared" si="2"/>
        <v>0</v>
      </c>
      <c r="V82" s="330" t="s">
        <v>574</v>
      </c>
      <c r="W82" s="328"/>
    </row>
    <row r="83" spans="1:23" s="219" customFormat="1" ht="264.64999999999998" customHeight="1">
      <c r="A83" s="250">
        <v>60</v>
      </c>
      <c r="B83" s="251" t="s">
        <v>575</v>
      </c>
      <c r="C83" s="252" t="str">
        <f>VLOOKUP(B83,[13]AssetDetails_UEM!$A$3:$AH$1849,6,FALSE)</f>
        <v>Ventilators, Intensive Care</v>
      </c>
      <c r="D83" s="253">
        <f>VLOOKUP(B83,[13]AssetDetails_UEM!$A$3:$AK$1849,22,FALSE)</f>
        <v>151560</v>
      </c>
      <c r="E83" s="251" t="s">
        <v>576</v>
      </c>
      <c r="F83" s="251" t="s">
        <v>577</v>
      </c>
      <c r="G83" s="265" t="s">
        <v>578</v>
      </c>
      <c r="H83" s="266" t="s">
        <v>143</v>
      </c>
      <c r="I83" s="285" t="s">
        <v>314</v>
      </c>
      <c r="J83" s="286" t="s">
        <v>579</v>
      </c>
      <c r="K83" s="287" t="s">
        <v>580</v>
      </c>
      <c r="L83" s="288" t="s">
        <v>581</v>
      </c>
      <c r="M83" s="308">
        <f t="shared" si="0"/>
        <v>100</v>
      </c>
      <c r="N83" s="309" t="s">
        <v>148</v>
      </c>
      <c r="O83" s="310">
        <f>'[14]B1&amp; B2 UNSCHEDULED'!$O$24</f>
        <v>0</v>
      </c>
      <c r="P83" s="250"/>
      <c r="Q83" s="309" t="s">
        <v>148</v>
      </c>
      <c r="R83" s="320">
        <f t="shared" si="6"/>
        <v>1.0368055555591127</v>
      </c>
      <c r="S83" s="321">
        <f t="shared" si="7"/>
        <v>46058</v>
      </c>
      <c r="T83" s="250">
        <v>0</v>
      </c>
      <c r="U83" s="329">
        <f t="shared" si="2"/>
        <v>0</v>
      </c>
      <c r="V83" s="330" t="s">
        <v>582</v>
      </c>
      <c r="W83" s="328"/>
    </row>
    <row r="84" spans="1:23" s="219" customFormat="1" ht="264.64999999999998" customHeight="1">
      <c r="A84" s="250">
        <v>61</v>
      </c>
      <c r="B84" s="251" t="s">
        <v>175</v>
      </c>
      <c r="C84" s="252" t="str">
        <f>VLOOKUP(B84,[13]AssetDetails_UEM!$A$3:$AH$1849,6,FALSE)</f>
        <v>Scanning Systems, Computed Tomography</v>
      </c>
      <c r="D84" s="253">
        <f>VLOOKUP(B84,[13]AssetDetails_UEM!$A$3:$AK$1849,22,FALSE)</f>
        <v>4605710</v>
      </c>
      <c r="E84" s="251" t="s">
        <v>583</v>
      </c>
      <c r="F84" s="251" t="s">
        <v>177</v>
      </c>
      <c r="G84" s="265" t="s">
        <v>584</v>
      </c>
      <c r="H84" s="266" t="s">
        <v>143</v>
      </c>
      <c r="I84" s="285" t="s">
        <v>386</v>
      </c>
      <c r="J84" s="286" t="s">
        <v>585</v>
      </c>
      <c r="K84" s="287" t="s">
        <v>580</v>
      </c>
      <c r="L84" s="288" t="s">
        <v>586</v>
      </c>
      <c r="M84" s="308">
        <f t="shared" si="0"/>
        <v>100</v>
      </c>
      <c r="N84" s="309" t="s">
        <v>148</v>
      </c>
      <c r="O84" s="310">
        <f>'[14]B1&amp; B2 UNSCHEDULED'!$O$24</f>
        <v>0</v>
      </c>
      <c r="P84" s="250"/>
      <c r="Q84" s="309" t="s">
        <v>148</v>
      </c>
      <c r="R84" s="320">
        <f t="shared" si="6"/>
        <v>1.0833333333284827</v>
      </c>
      <c r="S84" s="321">
        <f t="shared" si="7"/>
        <v>46058</v>
      </c>
      <c r="T84" s="250">
        <v>0</v>
      </c>
      <c r="U84" s="329">
        <f t="shared" si="2"/>
        <v>0</v>
      </c>
      <c r="V84" s="330" t="s">
        <v>587</v>
      </c>
      <c r="W84" s="328"/>
    </row>
    <row r="85" spans="1:23" s="219" customFormat="1" ht="318">
      <c r="A85" s="250">
        <v>62</v>
      </c>
      <c r="B85" s="251" t="s">
        <v>588</v>
      </c>
      <c r="C85" s="252" t="str">
        <f>VLOOKUP(B85,[13]AssetDetails_UEM!$A$3:$AH$1849,6,FALSE)</f>
        <v>Nebulizers, Nonheated</v>
      </c>
      <c r="D85" s="253">
        <f>VLOOKUP(B85,[13]AssetDetails_UEM!$A$3:$AK$1849,22,FALSE)</f>
        <v>277509</v>
      </c>
      <c r="E85" s="251" t="s">
        <v>589</v>
      </c>
      <c r="F85" s="251" t="s">
        <v>590</v>
      </c>
      <c r="G85" s="265" t="s">
        <v>591</v>
      </c>
      <c r="H85" s="266" t="s">
        <v>143</v>
      </c>
      <c r="I85" s="285" t="s">
        <v>247</v>
      </c>
      <c r="J85" s="286" t="s">
        <v>592</v>
      </c>
      <c r="K85" s="287" t="s">
        <v>593</v>
      </c>
      <c r="L85" s="288" t="s">
        <v>594</v>
      </c>
      <c r="M85" s="308">
        <f t="shared" si="0"/>
        <v>100</v>
      </c>
      <c r="N85" s="309" t="s">
        <v>148</v>
      </c>
      <c r="O85" s="310">
        <f>'[14]B1&amp; B2 UNSCHEDULED'!$O$24</f>
        <v>0</v>
      </c>
      <c r="P85" s="250"/>
      <c r="Q85" s="309" t="s">
        <v>148</v>
      </c>
      <c r="R85" s="320">
        <f t="shared" si="6"/>
        <v>1.2708333333357587</v>
      </c>
      <c r="S85" s="321">
        <f t="shared" si="7"/>
        <v>46058</v>
      </c>
      <c r="T85" s="250">
        <v>0</v>
      </c>
      <c r="U85" s="329">
        <f t="shared" si="2"/>
        <v>0</v>
      </c>
      <c r="V85" s="330" t="s">
        <v>595</v>
      </c>
      <c r="W85" s="328"/>
    </row>
    <row r="86" spans="1:23" s="219" customFormat="1" ht="371">
      <c r="A86" s="250">
        <v>63</v>
      </c>
      <c r="B86" s="251" t="s">
        <v>596</v>
      </c>
      <c r="C86" s="252" t="str">
        <f>VLOOKUP(B86,[13]AssetDetails_UEM!$A$3:$AH$1849,6,FALSE)</f>
        <v>Scanning Systems, Computed Tomography/ Positron Emission Tomography</v>
      </c>
      <c r="D86" s="253">
        <f>VLOOKUP(B86,[13]AssetDetails_UEM!$A$3:$AK$1849,22,FALSE)</f>
        <v>3413750</v>
      </c>
      <c r="E86" s="251" t="s">
        <v>597</v>
      </c>
      <c r="F86" s="251" t="s">
        <v>598</v>
      </c>
      <c r="G86" s="265" t="s">
        <v>599</v>
      </c>
      <c r="H86" s="266" t="s">
        <v>143</v>
      </c>
      <c r="I86" s="285" t="s">
        <v>247</v>
      </c>
      <c r="J86" s="286" t="s">
        <v>600</v>
      </c>
      <c r="K86" s="287" t="s">
        <v>601</v>
      </c>
      <c r="L86" s="288" t="s">
        <v>602</v>
      </c>
      <c r="M86" s="308">
        <f t="shared" si="0"/>
        <v>100</v>
      </c>
      <c r="N86" s="309" t="s">
        <v>148</v>
      </c>
      <c r="O86" s="310">
        <f>'[14]B1&amp; B2 UNSCHEDULED'!$O$24</f>
        <v>0</v>
      </c>
      <c r="P86" s="250"/>
      <c r="Q86" s="309" t="s">
        <v>148</v>
      </c>
      <c r="R86" s="320">
        <f t="shared" si="6"/>
        <v>1.7152777777737356</v>
      </c>
      <c r="S86" s="321">
        <f t="shared" si="7"/>
        <v>46058</v>
      </c>
      <c r="T86" s="250">
        <v>0</v>
      </c>
      <c r="U86" s="329">
        <f t="shared" si="2"/>
        <v>0</v>
      </c>
      <c r="V86" s="330" t="s">
        <v>603</v>
      </c>
      <c r="W86" s="328"/>
    </row>
    <row r="87" spans="1:23" s="221" customFormat="1" ht="264.64999999999998" customHeight="1">
      <c r="A87" s="250">
        <v>64</v>
      </c>
      <c r="B87" s="257" t="s">
        <v>369</v>
      </c>
      <c r="C87" s="255" t="s">
        <v>1378</v>
      </c>
      <c r="D87" s="256">
        <v>10494120</v>
      </c>
      <c r="E87" s="257" t="s">
        <v>604</v>
      </c>
      <c r="F87" s="257" t="s">
        <v>371</v>
      </c>
      <c r="G87" s="270" t="s">
        <v>605</v>
      </c>
      <c r="H87" s="269" t="s">
        <v>143</v>
      </c>
      <c r="I87" s="289" t="s">
        <v>247</v>
      </c>
      <c r="J87" s="292" t="s">
        <v>594</v>
      </c>
      <c r="K87" s="293" t="s">
        <v>606</v>
      </c>
      <c r="L87" s="294" t="s">
        <v>607</v>
      </c>
      <c r="M87" s="311">
        <f t="shared" si="0"/>
        <v>100</v>
      </c>
      <c r="N87" s="312" t="s">
        <v>148</v>
      </c>
      <c r="O87" s="313">
        <f>'[14]B1&amp; B2 UNSCHEDULED'!$O$24</f>
        <v>0</v>
      </c>
      <c r="P87" s="314"/>
      <c r="Q87" s="312" t="s">
        <v>148</v>
      </c>
      <c r="R87" s="322">
        <f t="shared" si="6"/>
        <v>1.1875</v>
      </c>
      <c r="S87" s="321">
        <f t="shared" si="7"/>
        <v>46058</v>
      </c>
      <c r="T87" s="314">
        <v>0</v>
      </c>
      <c r="U87" s="268">
        <f t="shared" si="2"/>
        <v>0</v>
      </c>
      <c r="V87" s="331" t="s">
        <v>608</v>
      </c>
      <c r="W87" s="332"/>
    </row>
    <row r="88" spans="1:23" s="219" customFormat="1" ht="264.64999999999998" customHeight="1">
      <c r="A88" s="250">
        <v>65</v>
      </c>
      <c r="B88" s="251" t="s">
        <v>434</v>
      </c>
      <c r="C88" s="252" t="str">
        <f>VLOOKUP(B88,[13]AssetDetails_UEM!$A$3:$AH$1849,6,FALSE)</f>
        <v>Oximeters, Pulse</v>
      </c>
      <c r="D88" s="253">
        <f>VLOOKUP(B88,[13]AssetDetails_UEM!$A$3:$AK$1849,22,FALSE)</f>
        <v>5410</v>
      </c>
      <c r="E88" s="251" t="s">
        <v>609</v>
      </c>
      <c r="F88" s="251" t="s">
        <v>237</v>
      </c>
      <c r="G88" s="265" t="s">
        <v>610</v>
      </c>
      <c r="H88" s="266" t="s">
        <v>143</v>
      </c>
      <c r="I88" s="285" t="s">
        <v>239</v>
      </c>
      <c r="J88" s="567" t="s">
        <v>611</v>
      </c>
      <c r="K88" s="568" t="s">
        <v>602</v>
      </c>
      <c r="L88" s="569" t="s">
        <v>612</v>
      </c>
      <c r="M88" s="308">
        <f t="shared" ref="M88:M95" si="8">IF(D88&gt;44999.99,100,ROUNDUP((D88/4999.99)*10,-1))</f>
        <v>20</v>
      </c>
      <c r="N88" s="309" t="s">
        <v>148</v>
      </c>
      <c r="O88" s="310">
        <f>'[14]B1&amp; B2 UNSCHEDULED'!$O$24</f>
        <v>0</v>
      </c>
      <c r="P88" s="250"/>
      <c r="Q88" s="309" t="s">
        <v>148</v>
      </c>
      <c r="R88" s="320">
        <f t="shared" si="6"/>
        <v>-5.9423611111051287</v>
      </c>
      <c r="S88" s="321">
        <f t="shared" si="7"/>
        <v>46059</v>
      </c>
      <c r="T88" s="250">
        <v>0</v>
      </c>
      <c r="U88" s="329">
        <f t="shared" ref="U88:U95" si="9">IF(Q88="N",0,M88*T88)</f>
        <v>0</v>
      </c>
      <c r="V88" s="330" t="s">
        <v>613</v>
      </c>
      <c r="W88" s="328"/>
    </row>
    <row r="89" spans="1:23" s="221" customFormat="1" ht="264.64999999999998" customHeight="1">
      <c r="A89" s="250">
        <v>66</v>
      </c>
      <c r="B89" s="257" t="s">
        <v>369</v>
      </c>
      <c r="C89" s="255" t="s">
        <v>1378</v>
      </c>
      <c r="D89" s="256">
        <v>10494120</v>
      </c>
      <c r="E89" s="257" t="s">
        <v>614</v>
      </c>
      <c r="F89" s="257" t="s">
        <v>371</v>
      </c>
      <c r="G89" s="271" t="s">
        <v>615</v>
      </c>
      <c r="H89" s="269" t="s">
        <v>143</v>
      </c>
      <c r="I89" s="289" t="s">
        <v>386</v>
      </c>
      <c r="J89" s="292" t="s">
        <v>616</v>
      </c>
      <c r="K89" s="293" t="s">
        <v>617</v>
      </c>
      <c r="L89" s="294" t="s">
        <v>618</v>
      </c>
      <c r="M89" s="311">
        <f t="shared" si="8"/>
        <v>100</v>
      </c>
      <c r="N89" s="312" t="s">
        <v>148</v>
      </c>
      <c r="O89" s="313">
        <f>'[14]B1&amp; B2 UNSCHEDULED'!$O$24</f>
        <v>0</v>
      </c>
      <c r="P89" s="314"/>
      <c r="Q89" s="312" t="s">
        <v>148</v>
      </c>
      <c r="R89" s="322">
        <f t="shared" si="6"/>
        <v>1.0347222222189885</v>
      </c>
      <c r="S89" s="321">
        <f t="shared" si="7"/>
        <v>46059</v>
      </c>
      <c r="T89" s="314">
        <v>0</v>
      </c>
      <c r="U89" s="268">
        <f t="shared" si="9"/>
        <v>0</v>
      </c>
      <c r="V89" s="331" t="s">
        <v>619</v>
      </c>
      <c r="W89" s="332"/>
    </row>
    <row r="90" spans="1:23" s="219" customFormat="1" ht="264" customHeight="1">
      <c r="A90" s="250">
        <v>67</v>
      </c>
      <c r="B90" s="251" t="s">
        <v>620</v>
      </c>
      <c r="C90" s="252" t="str">
        <f>VLOOKUP(B90,[13]AssetDetails_UEM!$A$3:$AH$1849,6,FALSE)</f>
        <v>Infusion Pumps, General-Purpose</v>
      </c>
      <c r="D90" s="253">
        <f>VLOOKUP(B90,[13]AssetDetails_UEM!$A$3:$AK$1849,22,FALSE)</f>
        <v>10825</v>
      </c>
      <c r="E90" s="251" t="s">
        <v>621</v>
      </c>
      <c r="F90" s="251" t="s">
        <v>622</v>
      </c>
      <c r="G90" s="267" t="s">
        <v>623</v>
      </c>
      <c r="H90" s="266" t="s">
        <v>143</v>
      </c>
      <c r="I90" s="285" t="s">
        <v>144</v>
      </c>
      <c r="J90" s="286" t="s">
        <v>624</v>
      </c>
      <c r="K90" s="287" t="s">
        <v>439</v>
      </c>
      <c r="L90" s="288" t="s">
        <v>625</v>
      </c>
      <c r="M90" s="308">
        <f t="shared" si="8"/>
        <v>30</v>
      </c>
      <c r="N90" s="309" t="s">
        <v>148</v>
      </c>
      <c r="O90" s="310">
        <f>'[14]B1&amp; B2 UNSCHEDULED'!$O$24</f>
        <v>0</v>
      </c>
      <c r="P90" s="250"/>
      <c r="Q90" s="309" t="s">
        <v>148</v>
      </c>
      <c r="R90" s="320">
        <f t="shared" si="6"/>
        <v>1.0194444444496185</v>
      </c>
      <c r="S90" s="321">
        <f t="shared" si="7"/>
        <v>46059</v>
      </c>
      <c r="T90" s="250">
        <v>0</v>
      </c>
      <c r="U90" s="329">
        <f t="shared" si="9"/>
        <v>0</v>
      </c>
      <c r="V90" s="330" t="s">
        <v>626</v>
      </c>
      <c r="W90" s="328"/>
    </row>
    <row r="91" spans="1:23" s="219" customFormat="1" ht="264.64999999999998" customHeight="1">
      <c r="A91" s="250">
        <v>68</v>
      </c>
      <c r="B91" s="251" t="s">
        <v>627</v>
      </c>
      <c r="C91" s="252" t="str">
        <f>VLOOKUP(B91,[13]AssetDetails_UEM!$A$3:$AH$1849,6,FALSE)</f>
        <v>Infusion Pumps, General-Purpose</v>
      </c>
      <c r="D91" s="253">
        <f>VLOOKUP(B91,[13]AssetDetails_UEM!$A$3:$AK$1849,22,FALSE)</f>
        <v>10825</v>
      </c>
      <c r="E91" s="251" t="s">
        <v>628</v>
      </c>
      <c r="F91" s="251" t="s">
        <v>629</v>
      </c>
      <c r="G91" s="267" t="s">
        <v>630</v>
      </c>
      <c r="H91" s="266" t="s">
        <v>143</v>
      </c>
      <c r="I91" s="285" t="s">
        <v>239</v>
      </c>
      <c r="J91" s="286" t="s">
        <v>631</v>
      </c>
      <c r="K91" s="287" t="s">
        <v>632</v>
      </c>
      <c r="L91" s="288" t="s">
        <v>633</v>
      </c>
      <c r="M91" s="308">
        <f t="shared" si="8"/>
        <v>30</v>
      </c>
      <c r="N91" s="309" t="s">
        <v>148</v>
      </c>
      <c r="O91" s="310">
        <f>'[14]B1&amp; B2 UNSCHEDULED'!$O$24</f>
        <v>0</v>
      </c>
      <c r="P91" s="250"/>
      <c r="Q91" s="309" t="s">
        <v>148</v>
      </c>
      <c r="R91" s="320">
        <f t="shared" si="6"/>
        <v>1.0333333333328483</v>
      </c>
      <c r="S91" s="321">
        <f t="shared" si="7"/>
        <v>46059</v>
      </c>
      <c r="T91" s="250">
        <v>0</v>
      </c>
      <c r="U91" s="329">
        <f t="shared" si="9"/>
        <v>0</v>
      </c>
      <c r="V91" s="330" t="s">
        <v>634</v>
      </c>
      <c r="W91" s="328"/>
    </row>
    <row r="92" spans="1:23" s="219" customFormat="1" ht="264.64999999999998" customHeight="1">
      <c r="A92" s="250">
        <v>69</v>
      </c>
      <c r="B92" s="251" t="s">
        <v>635</v>
      </c>
      <c r="C92" s="252" t="str">
        <f>VLOOKUP(B92,[13]AssetDetails_UEM!$A$3:$AH$1849,6,FALSE)</f>
        <v>Infusion Pumps, General-Purpose</v>
      </c>
      <c r="D92" s="253">
        <f>VLOOKUP(B92,[13]AssetDetails_UEM!$A$3:$AK$1849,22,FALSE)</f>
        <v>10825</v>
      </c>
      <c r="E92" s="251" t="s">
        <v>636</v>
      </c>
      <c r="F92" s="251" t="s">
        <v>637</v>
      </c>
      <c r="G92" s="267" t="s">
        <v>623</v>
      </c>
      <c r="H92" s="266" t="s">
        <v>143</v>
      </c>
      <c r="I92" s="285" t="s">
        <v>547</v>
      </c>
      <c r="J92" s="286" t="s">
        <v>638</v>
      </c>
      <c r="K92" s="287" t="s">
        <v>632</v>
      </c>
      <c r="L92" s="288" t="s">
        <v>639</v>
      </c>
      <c r="M92" s="308">
        <f t="shared" si="8"/>
        <v>30</v>
      </c>
      <c r="N92" s="309" t="s">
        <v>148</v>
      </c>
      <c r="O92" s="310">
        <f>'[14]B1&amp; B2 UNSCHEDULED'!$O$24</f>
        <v>0</v>
      </c>
      <c r="P92" s="250"/>
      <c r="Q92" s="309" t="s">
        <v>148</v>
      </c>
      <c r="R92" s="320">
        <f t="shared" si="6"/>
        <v>1.0215277777751908</v>
      </c>
      <c r="S92" s="321">
        <f t="shared" si="7"/>
        <v>46059</v>
      </c>
      <c r="T92" s="250">
        <v>0</v>
      </c>
      <c r="U92" s="329">
        <f t="shared" si="9"/>
        <v>0</v>
      </c>
      <c r="V92" s="330" t="s">
        <v>640</v>
      </c>
      <c r="W92" s="328"/>
    </row>
    <row r="93" spans="1:23" s="219" customFormat="1" ht="371">
      <c r="A93" s="250">
        <v>70</v>
      </c>
      <c r="B93" s="251" t="s">
        <v>641</v>
      </c>
      <c r="C93" s="252" t="str">
        <f>VLOOKUP(B93,[13]AssetDetails_UEM!$A$3:$AH$1849,6,FALSE)</f>
        <v>Mattress Systems, Alternating-Pressure</v>
      </c>
      <c r="D93" s="253">
        <f>VLOOKUP(B93,[13]AssetDetails_UEM!$A$3:$AK$1849,22,FALSE)</f>
        <v>28630</v>
      </c>
      <c r="E93" s="251" t="s">
        <v>642</v>
      </c>
      <c r="F93" s="251" t="s">
        <v>237</v>
      </c>
      <c r="G93" s="265" t="s">
        <v>643</v>
      </c>
      <c r="H93" s="266" t="s">
        <v>143</v>
      </c>
      <c r="I93" s="285" t="s">
        <v>644</v>
      </c>
      <c r="J93" s="286" t="s">
        <v>645</v>
      </c>
      <c r="K93" s="287" t="s">
        <v>646</v>
      </c>
      <c r="L93" s="288" t="s">
        <v>647</v>
      </c>
      <c r="M93" s="308">
        <f t="shared" si="8"/>
        <v>60</v>
      </c>
      <c r="N93" s="309" t="s">
        <v>148</v>
      </c>
      <c r="O93" s="310">
        <f>'[14]B1&amp; B2 UNSCHEDULED'!$O$24</f>
        <v>0</v>
      </c>
      <c r="P93" s="250"/>
      <c r="Q93" s="309" t="s">
        <v>148</v>
      </c>
      <c r="R93" s="320">
        <f t="shared" si="6"/>
        <v>1.1368055555576575</v>
      </c>
      <c r="S93" s="321">
        <f t="shared" si="7"/>
        <v>46059</v>
      </c>
      <c r="T93" s="250">
        <v>0</v>
      </c>
      <c r="U93" s="329">
        <f t="shared" si="9"/>
        <v>0</v>
      </c>
      <c r="V93" s="330" t="s">
        <v>648</v>
      </c>
      <c r="W93" s="328"/>
    </row>
    <row r="94" spans="1:23" s="219" customFormat="1" ht="264.64999999999998" customHeight="1">
      <c r="A94" s="250">
        <v>71</v>
      </c>
      <c r="B94" s="251" t="s">
        <v>150</v>
      </c>
      <c r="C94" s="252" t="str">
        <f>VLOOKUP(B94,[13]AssetDetails_UEM!$A$3:$AH$1849,6,FALSE)</f>
        <v>Analyzers, Laboratory, Microbiology, Blood Culture, Automate</v>
      </c>
      <c r="D94" s="253">
        <f>VLOOKUP(B94,[13]AssetDetails_UEM!$A$3:$AK$1849,22,FALSE)</f>
        <v>342820</v>
      </c>
      <c r="E94" s="251" t="s">
        <v>649</v>
      </c>
      <c r="F94" s="251" t="s">
        <v>152</v>
      </c>
      <c r="G94" s="265" t="s">
        <v>650</v>
      </c>
      <c r="H94" s="266" t="s">
        <v>143</v>
      </c>
      <c r="I94" s="285" t="s">
        <v>511</v>
      </c>
      <c r="J94" s="286" t="s">
        <v>651</v>
      </c>
      <c r="K94" s="287" t="s">
        <v>652</v>
      </c>
      <c r="L94" s="288" t="s">
        <v>653</v>
      </c>
      <c r="M94" s="308">
        <f t="shared" si="8"/>
        <v>100</v>
      </c>
      <c r="N94" s="309" t="s">
        <v>148</v>
      </c>
      <c r="O94" s="310">
        <f>'[14]B1&amp; B2 UNSCHEDULED'!$O$24</f>
        <v>0</v>
      </c>
      <c r="P94" s="250"/>
      <c r="Q94" s="309" t="s">
        <v>148</v>
      </c>
      <c r="R94" s="320">
        <f t="shared" si="6"/>
        <v>2.1743055555562023</v>
      </c>
      <c r="S94" s="321">
        <f>WORKDAY(J94,6,AKHIR)+3</f>
        <v>46062</v>
      </c>
      <c r="T94" s="250">
        <v>0</v>
      </c>
      <c r="U94" s="329">
        <f t="shared" si="9"/>
        <v>0</v>
      </c>
      <c r="V94" s="330" t="s">
        <v>654</v>
      </c>
      <c r="W94" s="328"/>
    </row>
    <row r="95" spans="1:23" s="220" customFormat="1" ht="185.25" customHeight="1">
      <c r="A95" s="250">
        <v>72</v>
      </c>
      <c r="B95" s="335" t="s">
        <v>655</v>
      </c>
      <c r="C95" s="252" t="str">
        <f>VLOOKUP(B95,[13]AssetDetails_UEM!$A$3:$AH$1849,6,FALSE)</f>
        <v>Recorders, Tape, Video</v>
      </c>
      <c r="D95" s="253">
        <f>VLOOKUP(B95,[13]AssetDetails_UEM!$A$3:$AK$1849,22,FALSE)</f>
        <v>4000</v>
      </c>
      <c r="E95" s="329" t="s">
        <v>656</v>
      </c>
      <c r="F95" s="329" t="s">
        <v>657</v>
      </c>
      <c r="G95" s="252" t="s">
        <v>658</v>
      </c>
      <c r="H95" s="266" t="s">
        <v>143</v>
      </c>
      <c r="I95" s="285" t="s">
        <v>659</v>
      </c>
      <c r="J95" s="356" t="s">
        <v>660</v>
      </c>
      <c r="K95" s="359">
        <v>46052.399305555598</v>
      </c>
      <c r="L95" s="359">
        <v>46059.635416666701</v>
      </c>
      <c r="M95" s="308">
        <f t="shared" si="8"/>
        <v>10</v>
      </c>
      <c r="N95" s="309" t="s">
        <v>148</v>
      </c>
      <c r="O95" s="310">
        <f>'[14]B1&amp; B2 UNSCHEDULED'!$O$24</f>
        <v>0</v>
      </c>
      <c r="P95" s="250"/>
      <c r="Q95" s="309" t="s">
        <v>148</v>
      </c>
      <c r="R95" s="320">
        <f t="shared" si="6"/>
        <v>8.2423611111444188</v>
      </c>
      <c r="S95" s="321">
        <f>WORKDAY(J95,6,AKHIR)+1</f>
        <v>46063</v>
      </c>
      <c r="T95" s="250">
        <v>0</v>
      </c>
      <c r="U95" s="329">
        <f t="shared" si="9"/>
        <v>0</v>
      </c>
      <c r="V95" s="330" t="s">
        <v>661</v>
      </c>
      <c r="W95" s="328"/>
    </row>
    <row r="96" spans="1:23" s="220" customFormat="1" ht="174" customHeight="1">
      <c r="A96" s="338" t="s">
        <v>662</v>
      </c>
      <c r="B96" s="339"/>
      <c r="C96" s="339"/>
      <c r="D96" s="339"/>
      <c r="E96" s="339"/>
      <c r="F96" s="339"/>
      <c r="G96" s="352"/>
      <c r="H96" s="352"/>
      <c r="I96" s="352"/>
      <c r="J96" s="600"/>
      <c r="K96" s="600"/>
      <c r="L96" s="600"/>
      <c r="M96" s="600"/>
      <c r="N96" s="600"/>
      <c r="O96" s="600"/>
      <c r="P96" s="600"/>
      <c r="Q96" s="284"/>
      <c r="R96" s="284"/>
      <c r="S96" s="284"/>
      <c r="T96" s="284"/>
      <c r="U96" s="284"/>
      <c r="V96" s="382"/>
      <c r="W96" s="328"/>
    </row>
    <row r="97" spans="1:23" s="219" customFormat="1" ht="264.64999999999998" customHeight="1">
      <c r="A97" s="250">
        <v>1</v>
      </c>
      <c r="B97" s="335" t="s">
        <v>663</v>
      </c>
      <c r="C97" s="252" t="str">
        <f>VLOOKUP(B97,[13]AssetDetails_UEM!$A$3:$AH$1849,6,FALSE)</f>
        <v>Sphygmomanometers, Electronic, Automatic</v>
      </c>
      <c r="D97" s="253">
        <f>VLOOKUP(B97,[13]AssetDetails_UEM!$A$3:$AK$1849,22,FALSE)</f>
        <v>4510</v>
      </c>
      <c r="E97" s="329" t="s">
        <v>664</v>
      </c>
      <c r="F97" s="329" t="s">
        <v>665</v>
      </c>
      <c r="G97" s="252" t="s">
        <v>666</v>
      </c>
      <c r="H97" s="266" t="s">
        <v>143</v>
      </c>
      <c r="I97" s="285" t="s">
        <v>667</v>
      </c>
      <c r="J97" s="356" t="s">
        <v>668</v>
      </c>
      <c r="K97" s="359">
        <v>46038.895833333299</v>
      </c>
      <c r="L97" s="360"/>
      <c r="M97" s="308">
        <f>IF(D97&gt;44999.99,100,ROUNDUP((D97/4999.99)*10,-1))</f>
        <v>10</v>
      </c>
      <c r="N97" s="309" t="s">
        <v>148</v>
      </c>
      <c r="O97" s="310">
        <f>'[14]B1&amp; B2 UNSCHEDULED'!$O$24</f>
        <v>0</v>
      </c>
      <c r="P97" s="250"/>
      <c r="Q97" s="474" t="s">
        <v>683</v>
      </c>
      <c r="R97" s="320">
        <f>IF(L97="",AKHIR-J97,L97-J97+1)</f>
        <v>14.152777777781012</v>
      </c>
      <c r="S97" s="321">
        <f>WORKDAY(J97,6,AKHIR)</f>
        <v>46048</v>
      </c>
      <c r="T97" s="250">
        <v>7</v>
      </c>
      <c r="U97" s="329">
        <v>0</v>
      </c>
      <c r="V97" s="330" t="s">
        <v>1445</v>
      </c>
      <c r="W97" s="328"/>
    </row>
    <row r="98" spans="1:23" s="220" customFormat="1" ht="264.64999999999998" customHeight="1">
      <c r="A98" s="250">
        <v>2</v>
      </c>
      <c r="B98" s="335" t="s">
        <v>669</v>
      </c>
      <c r="C98" s="252" t="str">
        <f>VLOOKUP(B98,[13]AssetDetails_UEM!$A$3:$AH$1849,6,FALSE)</f>
        <v>Infusion Pumps, General-Purpose</v>
      </c>
      <c r="D98" s="253">
        <f>VLOOKUP(B98,[13]AssetDetails_UEM!$A$3:$AK$1849,22,FALSE)</f>
        <v>10825</v>
      </c>
      <c r="E98" s="329" t="s">
        <v>670</v>
      </c>
      <c r="F98" s="329" t="s">
        <v>671</v>
      </c>
      <c r="G98" s="252" t="s">
        <v>672</v>
      </c>
      <c r="H98" s="266" t="s">
        <v>143</v>
      </c>
      <c r="I98" s="285" t="s">
        <v>218</v>
      </c>
      <c r="J98" s="356" t="s">
        <v>439</v>
      </c>
      <c r="K98" s="359">
        <v>46050.6875</v>
      </c>
      <c r="L98" s="358"/>
      <c r="M98" s="308">
        <f>IF(D98&gt;44999.99,100,ROUNDUP((D98/4999.99)*10,-1))</f>
        <v>30</v>
      </c>
      <c r="N98" s="309" t="s">
        <v>148</v>
      </c>
      <c r="O98" s="310">
        <f>'[14]B1&amp; B2 UNSCHEDULED'!$O$24</f>
        <v>0</v>
      </c>
      <c r="P98" s="250"/>
      <c r="Q98" s="309" t="s">
        <v>148</v>
      </c>
      <c r="R98" s="320">
        <f>IF(L98="",AKHIR-J98,L98-J98+1)</f>
        <v>2.3333333333357587</v>
      </c>
      <c r="S98" s="321">
        <f>WORKDAY(J98,6,AKHIR)+1</f>
        <v>46059</v>
      </c>
      <c r="T98" s="250">
        <v>0</v>
      </c>
      <c r="U98" s="329">
        <f>IF(Q98="N",0,M98*T98)</f>
        <v>0</v>
      </c>
      <c r="V98" s="381" t="s">
        <v>1379</v>
      </c>
      <c r="W98" s="328"/>
    </row>
    <row r="99" spans="1:23" s="220" customFormat="1" ht="226.5" customHeight="1">
      <c r="A99" s="250">
        <v>3</v>
      </c>
      <c r="B99" s="335" t="s">
        <v>673</v>
      </c>
      <c r="C99" s="252" t="str">
        <f>VLOOKUP(B99,[13]AssetDetails_UEM!$A$3:$AH$1849,6,FALSE)</f>
        <v>Infusion Pumps, General-Purpose</v>
      </c>
      <c r="D99" s="253">
        <f>VLOOKUP(B99,[13]AssetDetails_UEM!$A$3:$AK$1849,22,FALSE)</f>
        <v>5800</v>
      </c>
      <c r="E99" s="329" t="s">
        <v>674</v>
      </c>
      <c r="F99" s="329" t="s">
        <v>569</v>
      </c>
      <c r="G99" s="252" t="s">
        <v>672</v>
      </c>
      <c r="H99" s="266" t="s">
        <v>143</v>
      </c>
      <c r="I99" s="285" t="s">
        <v>562</v>
      </c>
      <c r="J99" s="356" t="s">
        <v>675</v>
      </c>
      <c r="K99" s="359">
        <v>46050.6875</v>
      </c>
      <c r="L99" s="358"/>
      <c r="M99" s="308">
        <f>IF(D99&gt;44999.99,100,ROUNDUP((D99/4999.99)*10,-1))</f>
        <v>20</v>
      </c>
      <c r="N99" s="309" t="s">
        <v>148</v>
      </c>
      <c r="O99" s="310">
        <f>'[14]B1&amp; B2 UNSCHEDULED'!$O$24</f>
        <v>0</v>
      </c>
      <c r="P99" s="250"/>
      <c r="Q99" s="309" t="s">
        <v>148</v>
      </c>
      <c r="R99" s="320">
        <f>IF(L99="",AKHIR-J99,L99-J99+1)</f>
        <v>2.327777777776646</v>
      </c>
      <c r="S99" s="321">
        <f>WORKDAY(J99,6,AKHIR)+1</f>
        <v>46059</v>
      </c>
      <c r="T99" s="250">
        <v>0</v>
      </c>
      <c r="U99" s="329">
        <f>IF(Q99="N",0,M99*T99)</f>
        <v>0</v>
      </c>
      <c r="V99" s="473" t="s">
        <v>1379</v>
      </c>
      <c r="W99" s="328"/>
    </row>
    <row r="100" spans="1:23" s="220" customFormat="1" ht="195" customHeight="1">
      <c r="A100" s="340" t="s">
        <v>676</v>
      </c>
      <c r="B100" s="341"/>
      <c r="C100" s="341"/>
      <c r="D100" s="341"/>
      <c r="E100" s="341"/>
      <c r="F100" s="341"/>
      <c r="G100" s="353"/>
      <c r="H100" s="353"/>
      <c r="I100" s="353"/>
      <c r="J100" s="361"/>
      <c r="K100" s="362"/>
      <c r="L100" s="362"/>
      <c r="M100" s="362"/>
      <c r="N100" s="362"/>
      <c r="O100" s="362"/>
      <c r="P100" s="362"/>
      <c r="Q100" s="362"/>
      <c r="R100" s="362"/>
      <c r="S100" s="362"/>
      <c r="T100" s="362"/>
      <c r="U100" s="362"/>
      <c r="V100" s="383"/>
      <c r="W100" s="328"/>
    </row>
    <row r="101" spans="1:23" s="220" customFormat="1" ht="181.5" customHeight="1">
      <c r="A101" s="250">
        <v>1</v>
      </c>
      <c r="B101" s="342" t="s">
        <v>382</v>
      </c>
      <c r="C101" s="252" t="str">
        <f>VLOOKUP(B101,[13]AssetDetails_UEM!$A$3:$AH$1849,6,FALSE)</f>
        <v>Electrocardiographs, Multichannel, Interpretative</v>
      </c>
      <c r="D101" s="253">
        <f>VLOOKUP(B101,[13]AssetDetails_UEM!$A$3:$AK$1849,22,FALSE)</f>
        <v>31270</v>
      </c>
      <c r="E101" s="329" t="s">
        <v>677</v>
      </c>
      <c r="F101" s="329" t="s">
        <v>384</v>
      </c>
      <c r="G101" s="354" t="s">
        <v>678</v>
      </c>
      <c r="H101" s="266" t="s">
        <v>679</v>
      </c>
      <c r="I101" s="285" t="s">
        <v>680</v>
      </c>
      <c r="J101" s="363" t="s">
        <v>681</v>
      </c>
      <c r="K101" s="360">
        <v>45976.395844907398</v>
      </c>
      <c r="L101" s="360" t="s">
        <v>682</v>
      </c>
      <c r="M101" s="308">
        <f t="shared" ref="M101:M106" si="10">IF(D101&gt;44999.99,100,ROUNDUP((D101/4999.99)*10,-1))</f>
        <v>70</v>
      </c>
      <c r="N101" s="309" t="s">
        <v>148</v>
      </c>
      <c r="O101" s="310">
        <f>'[14]B1&amp; B2 UNSCHEDULED'!$O$24</f>
        <v>0</v>
      </c>
      <c r="P101" s="250"/>
      <c r="Q101" s="309" t="s">
        <v>683</v>
      </c>
      <c r="R101" s="376">
        <f t="shared" ref="R101:R106" si="11">IF(L101="",AKHIR-J101,L101-J101+1)</f>
        <v>56.320833333331393</v>
      </c>
      <c r="S101" s="321">
        <f>WORKDAY(J101,6,AKHIR)+1</f>
        <v>45986</v>
      </c>
      <c r="T101" s="250">
        <v>9</v>
      </c>
      <c r="U101" s="335">
        <v>0</v>
      </c>
      <c r="V101" s="472" t="s">
        <v>1380</v>
      </c>
      <c r="W101" s="328"/>
    </row>
    <row r="102" spans="1:23" s="220" customFormat="1" ht="181.5" customHeight="1">
      <c r="A102" s="250">
        <v>2</v>
      </c>
      <c r="B102" s="342" t="s">
        <v>684</v>
      </c>
      <c r="C102" s="252" t="str">
        <f>VLOOKUP(B102,[13]AssetDetails_UEM!$A$3:$AH$1849,6,FALSE)</f>
        <v>Monitors, Physiologic, Vital Signs</v>
      </c>
      <c r="D102" s="253">
        <f>VLOOKUP(B102,[13]AssetDetails_UEM!$A$3:$AK$1849,22,FALSE)</f>
        <v>7770</v>
      </c>
      <c r="E102" s="329" t="s">
        <v>685</v>
      </c>
      <c r="F102" s="329" t="s">
        <v>686</v>
      </c>
      <c r="G102" s="354" t="s">
        <v>687</v>
      </c>
      <c r="H102" s="266" t="s">
        <v>679</v>
      </c>
      <c r="I102" s="285" t="s">
        <v>688</v>
      </c>
      <c r="J102" s="363" t="s">
        <v>689</v>
      </c>
      <c r="K102" s="360">
        <v>45980.770844907398</v>
      </c>
      <c r="L102" s="360" t="s">
        <v>690</v>
      </c>
      <c r="M102" s="308">
        <f t="shared" si="10"/>
        <v>20</v>
      </c>
      <c r="N102" s="309" t="s">
        <v>148</v>
      </c>
      <c r="O102" s="310">
        <f>'[14]B1&amp; B2 UNSCHEDULED'!$O$24</f>
        <v>0</v>
      </c>
      <c r="P102" s="250"/>
      <c r="Q102" s="309" t="s">
        <v>683</v>
      </c>
      <c r="R102" s="376">
        <f t="shared" si="11"/>
        <v>47.72152777777228</v>
      </c>
      <c r="S102" s="321">
        <f t="shared" ref="S102:S107" si="12">WORKDAY(J102,6,AKHIR)</f>
        <v>45988</v>
      </c>
      <c r="T102" s="250">
        <v>5</v>
      </c>
      <c r="U102" s="335">
        <v>0</v>
      </c>
      <c r="V102" s="384" t="s">
        <v>691</v>
      </c>
      <c r="W102" s="328"/>
    </row>
    <row r="103" spans="1:23" s="220" customFormat="1" ht="212">
      <c r="A103" s="250">
        <v>3</v>
      </c>
      <c r="B103" s="566" t="s">
        <v>692</v>
      </c>
      <c r="C103" s="571" t="str">
        <f>VLOOKUP(B103,[13]AssetDetails_UEM!$A$3:$AH$1849,6,FALSE)</f>
        <v>Sphygmomanometers, Electronic, Automatic</v>
      </c>
      <c r="D103" s="572">
        <f>VLOOKUP(B103,[13]AssetDetails_UEM!$A$3:$AK$1849,22,FALSE)</f>
        <v>7770</v>
      </c>
      <c r="E103" s="566" t="s">
        <v>693</v>
      </c>
      <c r="F103" s="566" t="s">
        <v>694</v>
      </c>
      <c r="G103" s="571" t="s">
        <v>695</v>
      </c>
      <c r="H103" s="583" t="s">
        <v>679</v>
      </c>
      <c r="I103" s="584" t="s">
        <v>218</v>
      </c>
      <c r="J103" s="574" t="s">
        <v>696</v>
      </c>
      <c r="K103" s="576">
        <v>45987.552094907398</v>
      </c>
      <c r="L103" s="585" t="s">
        <v>697</v>
      </c>
      <c r="M103" s="308">
        <f t="shared" si="10"/>
        <v>20</v>
      </c>
      <c r="N103" s="309" t="s">
        <v>148</v>
      </c>
      <c r="O103" s="310">
        <f>'[14]B1&amp; B2 UNSCHEDULED'!$O$24</f>
        <v>0</v>
      </c>
      <c r="P103" s="250"/>
      <c r="Q103" s="309" t="s">
        <v>683</v>
      </c>
      <c r="R103" s="376">
        <f t="shared" si="11"/>
        <v>20.052083333335759</v>
      </c>
      <c r="S103" s="321">
        <f t="shared" si="12"/>
        <v>45995</v>
      </c>
      <c r="T103" s="250">
        <v>15</v>
      </c>
      <c r="U103" s="335">
        <v>0</v>
      </c>
      <c r="V103" s="381" t="s">
        <v>698</v>
      </c>
      <c r="W103" s="328"/>
    </row>
    <row r="104" spans="1:23" s="220" customFormat="1" ht="181.5" customHeight="1">
      <c r="A104" s="250">
        <v>4</v>
      </c>
      <c r="B104" s="329" t="s">
        <v>699</v>
      </c>
      <c r="C104" s="252" t="str">
        <f>VLOOKUP(B104,[13]AssetDetails_UEM!$A$3:$AH$1849,6,FALSE)</f>
        <v>Infusion Pumps, Syringe</v>
      </c>
      <c r="D104" s="253">
        <f>VLOOKUP(B104,[13]AssetDetails_UEM!$A$3:$AK$1849,22,FALSE)</f>
        <v>10225</v>
      </c>
      <c r="E104" s="329" t="s">
        <v>700</v>
      </c>
      <c r="F104" s="329" t="s">
        <v>701</v>
      </c>
      <c r="G104" s="252" t="s">
        <v>702</v>
      </c>
      <c r="H104" s="266" t="s">
        <v>679</v>
      </c>
      <c r="I104" s="364" t="s">
        <v>218</v>
      </c>
      <c r="J104" s="365" t="s">
        <v>703</v>
      </c>
      <c r="K104" s="358">
        <v>45989.452094907399</v>
      </c>
      <c r="L104" s="358">
        <v>46052.625</v>
      </c>
      <c r="M104" s="308">
        <f t="shared" si="10"/>
        <v>30</v>
      </c>
      <c r="N104" s="309" t="s">
        <v>148</v>
      </c>
      <c r="O104" s="310">
        <f>'[14]B1&amp; B2 UNSCHEDULED'!$O$24</f>
        <v>0</v>
      </c>
      <c r="P104" s="250"/>
      <c r="Q104" s="309" t="s">
        <v>683</v>
      </c>
      <c r="R104" s="376">
        <f>IF(L104="",AKHIR-J104,L104-J104+1)</f>
        <v>64.193749999998545</v>
      </c>
      <c r="S104" s="321">
        <f>WORKDAY(J104,6,AKHIR)</f>
        <v>45999</v>
      </c>
      <c r="T104" s="250">
        <v>30</v>
      </c>
      <c r="U104" s="329">
        <v>0</v>
      </c>
      <c r="V104" s="385" t="s">
        <v>704</v>
      </c>
      <c r="W104" s="328"/>
    </row>
    <row r="105" spans="1:23" s="221" customFormat="1" ht="212">
      <c r="A105" s="250">
        <v>5</v>
      </c>
      <c r="B105" s="329" t="s">
        <v>705</v>
      </c>
      <c r="C105" s="252" t="str">
        <f>VLOOKUP(B105,[13]AssetDetails_UEM!$A$3:$AH$1849,6,FALSE)</f>
        <v>Physiologic Monitoring Systems, Acute Care</v>
      </c>
      <c r="D105" s="253">
        <f>VLOOKUP(B105,[13]AssetDetails_UEM!$A$3:$AK$1849,22,FALSE)</f>
        <v>87400</v>
      </c>
      <c r="E105" s="329" t="s">
        <v>706</v>
      </c>
      <c r="F105" s="329" t="s">
        <v>707</v>
      </c>
      <c r="G105" s="252" t="s">
        <v>708</v>
      </c>
      <c r="H105" s="329" t="s">
        <v>679</v>
      </c>
      <c r="I105" s="366" t="s">
        <v>247</v>
      </c>
      <c r="J105" s="365" t="s">
        <v>709</v>
      </c>
      <c r="K105" s="367" t="s">
        <v>710</v>
      </c>
      <c r="L105" s="358" t="s">
        <v>711</v>
      </c>
      <c r="M105" s="308">
        <f t="shared" si="10"/>
        <v>100</v>
      </c>
      <c r="N105" s="250" t="s">
        <v>148</v>
      </c>
      <c r="O105" s="310">
        <f>'[14]B1&amp; B2 UNSCHEDULED'!$O$24</f>
        <v>0</v>
      </c>
      <c r="P105" s="250"/>
      <c r="Q105" s="474" t="s">
        <v>683</v>
      </c>
      <c r="R105" s="376">
        <f t="shared" si="11"/>
        <v>10.934027777781012</v>
      </c>
      <c r="S105" s="321">
        <f t="shared" si="12"/>
        <v>46022</v>
      </c>
      <c r="T105" s="377">
        <v>2</v>
      </c>
      <c r="U105" s="329">
        <v>0</v>
      </c>
      <c r="V105" s="386" t="s">
        <v>712</v>
      </c>
      <c r="W105" s="328"/>
    </row>
    <row r="106" spans="1:23" s="222" customFormat="1" ht="226.5" customHeight="1">
      <c r="A106" s="250">
        <v>7</v>
      </c>
      <c r="B106" s="329" t="s">
        <v>716</v>
      </c>
      <c r="C106" s="252" t="str">
        <f>VLOOKUP(B106,[13]AssetDetails_UEM!$A$3:$AH$1849,6,FALSE)</f>
        <v>Light Sources, Fiberoptic, Flexible Endoscopic</v>
      </c>
      <c r="D106" s="253">
        <f>VLOOKUP(B106,[13]AssetDetails_UEM!$A$3:$AK$1849,22,FALSE)</f>
        <v>52460</v>
      </c>
      <c r="E106" s="329" t="s">
        <v>717</v>
      </c>
      <c r="F106" s="329" t="s">
        <v>718</v>
      </c>
      <c r="G106" s="252" t="s">
        <v>719</v>
      </c>
      <c r="H106" s="329" t="s">
        <v>679</v>
      </c>
      <c r="I106" s="366" t="s">
        <v>247</v>
      </c>
      <c r="J106" s="365" t="s">
        <v>720</v>
      </c>
      <c r="K106" s="367" t="s">
        <v>721</v>
      </c>
      <c r="L106" s="358" t="s">
        <v>722</v>
      </c>
      <c r="M106" s="308">
        <f t="shared" si="10"/>
        <v>100</v>
      </c>
      <c r="N106" s="250" t="s">
        <v>148</v>
      </c>
      <c r="O106" s="310">
        <f>'[14]B1&amp; B2 UNSCHEDULED'!$O$24</f>
        <v>0</v>
      </c>
      <c r="P106" s="250"/>
      <c r="Q106" s="309" t="s">
        <v>148</v>
      </c>
      <c r="R106" s="376">
        <f t="shared" si="11"/>
        <v>9</v>
      </c>
      <c r="S106" s="321">
        <f t="shared" si="12"/>
        <v>46028</v>
      </c>
      <c r="T106" s="377">
        <v>0</v>
      </c>
      <c r="U106" s="329">
        <f t="shared" ref="U106:U107" si="13">IF(Q106="N",0,M106*T106)</f>
        <v>0</v>
      </c>
      <c r="V106" s="386" t="s">
        <v>723</v>
      </c>
      <c r="W106" s="328"/>
    </row>
    <row r="107" spans="1:23" s="222" customFormat="1" ht="317.5" customHeight="1">
      <c r="A107" s="570">
        <v>8</v>
      </c>
      <c r="B107" s="566" t="s">
        <v>724</v>
      </c>
      <c r="C107" s="571" t="s">
        <v>725</v>
      </c>
      <c r="D107" s="572">
        <v>10825</v>
      </c>
      <c r="E107" s="566" t="s">
        <v>726</v>
      </c>
      <c r="F107" s="566" t="s">
        <v>727</v>
      </c>
      <c r="G107" s="571" t="s">
        <v>728</v>
      </c>
      <c r="H107" s="566" t="s">
        <v>679</v>
      </c>
      <c r="I107" s="573" t="s">
        <v>247</v>
      </c>
      <c r="J107" s="574" t="s">
        <v>715</v>
      </c>
      <c r="K107" s="575" t="s">
        <v>729</v>
      </c>
      <c r="L107" s="576" t="s">
        <v>730</v>
      </c>
      <c r="M107" s="577">
        <v>30</v>
      </c>
      <c r="N107" s="570" t="s">
        <v>148</v>
      </c>
      <c r="O107" s="578">
        <v>0</v>
      </c>
      <c r="P107" s="570"/>
      <c r="Q107" s="570" t="s">
        <v>148</v>
      </c>
      <c r="R107" s="579">
        <f>IF(L107="",AKHIR-J107,L107-J107+1)</f>
        <v>37.270833333335759</v>
      </c>
      <c r="S107" s="580">
        <f t="shared" si="12"/>
        <v>46028</v>
      </c>
      <c r="T107" s="581">
        <v>0</v>
      </c>
      <c r="U107" s="566">
        <f t="shared" si="13"/>
        <v>0</v>
      </c>
      <c r="V107" s="582" t="s">
        <v>731</v>
      </c>
      <c r="W107" s="380"/>
    </row>
    <row r="108" spans="1:23" s="222" customFormat="1" ht="226.5" customHeight="1">
      <c r="A108" s="246" t="s">
        <v>732</v>
      </c>
      <c r="B108" s="247"/>
      <c r="C108" s="247"/>
      <c r="D108" s="247"/>
      <c r="E108" s="247"/>
      <c r="F108" s="247"/>
      <c r="G108" s="248"/>
      <c r="H108" s="247"/>
      <c r="I108" s="247"/>
      <c r="J108" s="601"/>
      <c r="K108" s="601"/>
      <c r="L108" s="601"/>
      <c r="M108" s="284"/>
      <c r="N108" s="284"/>
      <c r="O108" s="284"/>
      <c r="P108" s="284"/>
      <c r="Q108" s="284"/>
      <c r="R108" s="284"/>
      <c r="S108" s="284"/>
      <c r="T108" s="284"/>
      <c r="U108" s="284"/>
      <c r="V108" s="284"/>
      <c r="W108" s="328"/>
    </row>
    <row r="109" spans="1:23" s="222" customFormat="1" ht="226.5" customHeight="1">
      <c r="A109" s="250">
        <v>1</v>
      </c>
      <c r="B109" s="342" t="s">
        <v>733</v>
      </c>
      <c r="C109" s="252" t="str">
        <f>VLOOKUP(B109,[13]AssetDetails_UEM!$A$3:$AH$1849,6,FALSE)</f>
        <v>Infusion Pumps, General-Purpose</v>
      </c>
      <c r="D109" s="253">
        <f>VLOOKUP(B109,[13]AssetDetails_UEM!$A$3:$AK$1849,22,FALSE)</f>
        <v>10825</v>
      </c>
      <c r="E109" s="329" t="s">
        <v>734</v>
      </c>
      <c r="F109" s="329" t="s">
        <v>393</v>
      </c>
      <c r="G109" s="354" t="s">
        <v>735</v>
      </c>
      <c r="H109" s="266" t="s">
        <v>679</v>
      </c>
      <c r="I109" s="285" t="s">
        <v>736</v>
      </c>
      <c r="J109" s="363" t="s">
        <v>737</v>
      </c>
      <c r="K109" s="360">
        <v>45970.861122685201</v>
      </c>
      <c r="L109" s="360"/>
      <c r="M109" s="308">
        <f t="shared" ref="M109:M121" si="14">IF(D109&gt;44999.99,100,ROUNDUP((D109/4999.99)*10,-1))</f>
        <v>30</v>
      </c>
      <c r="N109" s="309" t="s">
        <v>148</v>
      </c>
      <c r="O109" s="310">
        <f>'[14]B1&amp; B2 UNSCHEDULED'!$O$24</f>
        <v>0</v>
      </c>
      <c r="P109" s="250"/>
      <c r="Q109" s="309" t="s">
        <v>683</v>
      </c>
      <c r="R109" s="376">
        <f t="shared" ref="R109:R121" si="15">IF(L109="",AKHIR-J109,L109-J109+1)</f>
        <v>82.165277777778101</v>
      </c>
      <c r="S109" s="321">
        <f>WORKDAY(J109,6,AKHIR)+1</f>
        <v>45979</v>
      </c>
      <c r="T109" s="250">
        <v>4</v>
      </c>
      <c r="U109" s="335">
        <v>0</v>
      </c>
      <c r="V109" s="330" t="s">
        <v>738</v>
      </c>
      <c r="W109" s="328"/>
    </row>
    <row r="110" spans="1:23" s="222" customFormat="1" ht="226.5" customHeight="1">
      <c r="A110" s="250">
        <v>2</v>
      </c>
      <c r="B110" s="342" t="s">
        <v>739</v>
      </c>
      <c r="C110" s="252" t="str">
        <f>VLOOKUP(B110,[13]AssetDetails_UEM!$A$3:$AH$1849,6,FALSE)</f>
        <v>Infusion Pumps, General-Purpose</v>
      </c>
      <c r="D110" s="253">
        <f>VLOOKUP(B110,[13]AssetDetails_UEM!$A$3:$AK$1849,22,FALSE)</f>
        <v>10825</v>
      </c>
      <c r="E110" s="329" t="s">
        <v>740</v>
      </c>
      <c r="F110" s="329" t="s">
        <v>525</v>
      </c>
      <c r="G110" s="354" t="s">
        <v>741</v>
      </c>
      <c r="H110" s="266" t="s">
        <v>679</v>
      </c>
      <c r="I110" s="285" t="s">
        <v>218</v>
      </c>
      <c r="J110" s="363" t="s">
        <v>742</v>
      </c>
      <c r="K110" s="360">
        <v>45972.875011574099</v>
      </c>
      <c r="L110" s="360"/>
      <c r="M110" s="308">
        <f t="shared" si="14"/>
        <v>30</v>
      </c>
      <c r="N110" s="309" t="s">
        <v>148</v>
      </c>
      <c r="O110" s="310">
        <f>'[14]B1&amp; B2 UNSCHEDULED'!$O$24</f>
        <v>0</v>
      </c>
      <c r="P110" s="250"/>
      <c r="Q110" s="309" t="s">
        <v>683</v>
      </c>
      <c r="R110" s="376">
        <f t="shared" si="15"/>
        <v>80.145833333335759</v>
      </c>
      <c r="S110" s="321">
        <f>WORKDAY(J110,6,AKHIR)</f>
        <v>45980</v>
      </c>
      <c r="T110" s="250">
        <v>5</v>
      </c>
      <c r="U110" s="335">
        <v>0</v>
      </c>
      <c r="V110" s="330" t="s">
        <v>1444</v>
      </c>
      <c r="W110" s="328"/>
    </row>
    <row r="111" spans="1:23" s="222" customFormat="1" ht="181.5" customHeight="1">
      <c r="A111" s="250">
        <v>3</v>
      </c>
      <c r="B111" s="342" t="s">
        <v>743</v>
      </c>
      <c r="C111" s="252" t="str">
        <f>VLOOKUP(B111,[13]AssetDetails_UEM!$A$3:$AH$1849,6,FALSE)</f>
        <v>Infusion Pumps, General-Purpose</v>
      </c>
      <c r="D111" s="253">
        <f>VLOOKUP(B111,[13]AssetDetails_UEM!$A$3:$AK$1849,22,FALSE)</f>
        <v>3500</v>
      </c>
      <c r="E111" s="329" t="s">
        <v>744</v>
      </c>
      <c r="F111" s="329" t="s">
        <v>745</v>
      </c>
      <c r="G111" s="354" t="s">
        <v>746</v>
      </c>
      <c r="H111" s="266" t="s">
        <v>679</v>
      </c>
      <c r="I111" s="285" t="s">
        <v>747</v>
      </c>
      <c r="J111" s="363" t="s">
        <v>748</v>
      </c>
      <c r="K111" s="360">
        <v>45977.947928240697</v>
      </c>
      <c r="L111" s="360"/>
      <c r="M111" s="308">
        <f t="shared" si="14"/>
        <v>10</v>
      </c>
      <c r="N111" s="309" t="s">
        <v>148</v>
      </c>
      <c r="O111" s="310">
        <f>'[14]B1&amp; B2 UNSCHEDULED'!$O$24</f>
        <v>0</v>
      </c>
      <c r="P111" s="250"/>
      <c r="Q111" s="309" t="s">
        <v>148</v>
      </c>
      <c r="R111" s="376">
        <f t="shared" si="15"/>
        <v>75.054166666668607</v>
      </c>
      <c r="S111" s="321">
        <f>WORKDAY(J111,6,AKHIR)+1</f>
        <v>45986</v>
      </c>
      <c r="T111" s="250">
        <v>31</v>
      </c>
      <c r="U111" s="335">
        <f t="shared" ref="U111" si="16">IF(Q111="N",0,M111*T111)</f>
        <v>0</v>
      </c>
      <c r="V111" s="330" t="s">
        <v>1446</v>
      </c>
      <c r="W111" s="380"/>
    </row>
    <row r="112" spans="1:23" s="220" customFormat="1" ht="212">
      <c r="A112" s="250">
        <v>4</v>
      </c>
      <c r="B112" s="342" t="s">
        <v>749</v>
      </c>
      <c r="C112" s="252" t="str">
        <f>VLOOKUP(B112,[13]AssetDetails_UEM!$A$3:$AH$1849,6,FALSE)</f>
        <v>Physiologic Monitoring Systems, Stress Exercise</v>
      </c>
      <c r="D112" s="253">
        <f>VLOOKUP(B112,[13]AssetDetails_UEM!$A$3:$AK$1849,22,FALSE)</f>
        <v>138350</v>
      </c>
      <c r="E112" s="329" t="s">
        <v>750</v>
      </c>
      <c r="F112" s="329" t="s">
        <v>751</v>
      </c>
      <c r="G112" s="354" t="s">
        <v>752</v>
      </c>
      <c r="H112" s="266" t="s">
        <v>679</v>
      </c>
      <c r="I112" s="285" t="s">
        <v>386</v>
      </c>
      <c r="J112" s="363" t="s">
        <v>753</v>
      </c>
      <c r="K112" s="360">
        <v>45981.427094907398</v>
      </c>
      <c r="L112" s="360"/>
      <c r="M112" s="308">
        <f t="shared" si="14"/>
        <v>100</v>
      </c>
      <c r="N112" s="309" t="s">
        <v>148</v>
      </c>
      <c r="O112" s="310">
        <f>'[14]B1&amp; B2 UNSCHEDULED'!$O$24</f>
        <v>0</v>
      </c>
      <c r="P112" s="250"/>
      <c r="Q112" s="309" t="s">
        <v>683</v>
      </c>
      <c r="R112" s="376">
        <f t="shared" si="15"/>
        <v>71.583333333335759</v>
      </c>
      <c r="S112" s="321">
        <f t="shared" ref="S112:S114" si="17">WORKDAY(J112,6,AKHIR)</f>
        <v>45989</v>
      </c>
      <c r="T112" s="250">
        <v>31</v>
      </c>
      <c r="U112" s="329">
        <v>0</v>
      </c>
      <c r="V112" s="384" t="s">
        <v>1381</v>
      </c>
      <c r="W112" s="328"/>
    </row>
    <row r="113" spans="1:23" s="220" customFormat="1" ht="212">
      <c r="A113" s="250">
        <v>5</v>
      </c>
      <c r="B113" s="329" t="s">
        <v>754</v>
      </c>
      <c r="C113" s="252" t="str">
        <f>VLOOKUP(B113,[13]AssetDetails_UEM!$A$3:$AH$1849,6,FALSE)</f>
        <v>Sphygmomanometers, Electronic, Automatic</v>
      </c>
      <c r="D113" s="253">
        <f>VLOOKUP(B113,[13]AssetDetails_UEM!$A$3:$AK$1849,22,FALSE)</f>
        <v>4510</v>
      </c>
      <c r="E113" s="329" t="s">
        <v>755</v>
      </c>
      <c r="F113" s="329" t="s">
        <v>665</v>
      </c>
      <c r="G113" s="252" t="s">
        <v>756</v>
      </c>
      <c r="H113" s="266" t="s">
        <v>679</v>
      </c>
      <c r="I113" s="285" t="s">
        <v>247</v>
      </c>
      <c r="J113" s="359" t="s">
        <v>757</v>
      </c>
      <c r="K113" s="359">
        <v>45982.343761574099</v>
      </c>
      <c r="L113" s="359"/>
      <c r="M113" s="308">
        <f t="shared" si="14"/>
        <v>10</v>
      </c>
      <c r="N113" s="309" t="s">
        <v>148</v>
      </c>
      <c r="O113" s="310">
        <f>'[14]B1&amp; B2 UNSCHEDULED'!$O$24</f>
        <v>0</v>
      </c>
      <c r="P113" s="250"/>
      <c r="Q113" s="309" t="s">
        <v>683</v>
      </c>
      <c r="R113" s="376">
        <f t="shared" si="15"/>
        <v>70.663194444445253</v>
      </c>
      <c r="S113" s="321">
        <f t="shared" si="17"/>
        <v>45992</v>
      </c>
      <c r="T113" s="250">
        <v>26</v>
      </c>
      <c r="U113" s="329">
        <f t="shared" ref="U113:U120" si="18">IF(Q113="N",0,M113*T113)</f>
        <v>260</v>
      </c>
      <c r="V113" s="330" t="s">
        <v>1447</v>
      </c>
      <c r="W113" s="328" t="s">
        <v>1455</v>
      </c>
    </row>
    <row r="114" spans="1:23" s="220" customFormat="1" ht="229" customHeight="1">
      <c r="A114" s="250">
        <v>6</v>
      </c>
      <c r="B114" s="329" t="s">
        <v>758</v>
      </c>
      <c r="C114" s="252" t="str">
        <f>VLOOKUP(B114,[13]AssetDetails_UEM!$A$3:$AH$1849,6,FALSE)</f>
        <v>Lavage Units, Surgical</v>
      </c>
      <c r="D114" s="253">
        <f>VLOOKUP(B114,[13]AssetDetails_UEM!$A$3:$AK$1849,22,FALSE)</f>
        <v>5000</v>
      </c>
      <c r="E114" s="329" t="s">
        <v>759</v>
      </c>
      <c r="F114" s="329" t="s">
        <v>718</v>
      </c>
      <c r="G114" s="252" t="s">
        <v>760</v>
      </c>
      <c r="H114" s="266" t="s">
        <v>679</v>
      </c>
      <c r="I114" s="364" t="s">
        <v>254</v>
      </c>
      <c r="J114" s="365" t="s">
        <v>761</v>
      </c>
      <c r="K114" s="358">
        <v>45987.680567129602</v>
      </c>
      <c r="L114" s="358"/>
      <c r="M114" s="308">
        <f t="shared" si="14"/>
        <v>20</v>
      </c>
      <c r="N114" s="309" t="s">
        <v>148</v>
      </c>
      <c r="O114" s="310">
        <f>'[14]B1&amp; B2 UNSCHEDULED'!$O$24</f>
        <v>0</v>
      </c>
      <c r="P114" s="250"/>
      <c r="Q114" s="309" t="s">
        <v>683</v>
      </c>
      <c r="R114" s="376">
        <f t="shared" si="15"/>
        <v>65.333333333335759</v>
      </c>
      <c r="S114" s="321">
        <f t="shared" si="17"/>
        <v>45995</v>
      </c>
      <c r="T114" s="250">
        <v>31</v>
      </c>
      <c r="U114" s="329">
        <v>0</v>
      </c>
      <c r="V114" s="385" t="s">
        <v>1448</v>
      </c>
      <c r="W114" s="328" t="s">
        <v>1449</v>
      </c>
    </row>
    <row r="115" spans="1:23" s="220" customFormat="1" ht="371">
      <c r="A115" s="250">
        <v>7</v>
      </c>
      <c r="B115" s="343" t="s">
        <v>762</v>
      </c>
      <c r="C115" s="344" t="str">
        <f>VLOOKUP(B115,[13]AssetDetails_UEM!$A$3:$AH$1849,6,FALSE)</f>
        <v>Testers (Ion Chamber Set)</v>
      </c>
      <c r="D115" s="345">
        <f>VLOOKUP(B115,[13]AssetDetails_UEM!$A$3:$AK$1849,22,FALSE)</f>
        <v>142000</v>
      </c>
      <c r="E115" s="343" t="s">
        <v>763</v>
      </c>
      <c r="F115" s="343" t="s">
        <v>764</v>
      </c>
      <c r="G115" s="355" t="s">
        <v>765</v>
      </c>
      <c r="H115" s="343" t="s">
        <v>679</v>
      </c>
      <c r="I115" s="368" t="s">
        <v>766</v>
      </c>
      <c r="J115" s="369" t="s">
        <v>767</v>
      </c>
      <c r="K115" s="370">
        <v>45852.583333333299</v>
      </c>
      <c r="L115" s="371"/>
      <c r="M115" s="308">
        <f t="shared" si="14"/>
        <v>100</v>
      </c>
      <c r="N115" s="250" t="s">
        <v>148</v>
      </c>
      <c r="O115" s="310">
        <f>'[14]B1&amp; B2 UNSCHEDULED'!$O$24</f>
        <v>0</v>
      </c>
      <c r="P115" s="250"/>
      <c r="Q115" s="309" t="s">
        <v>148</v>
      </c>
      <c r="R115" s="376">
        <f t="shared" si="15"/>
        <v>200.46319444444089</v>
      </c>
      <c r="S115" s="378">
        <f>WORKDAY(J115,6,AKHIR)</f>
        <v>45860</v>
      </c>
      <c r="T115" s="377">
        <v>31</v>
      </c>
      <c r="U115" s="329">
        <f t="shared" si="18"/>
        <v>0</v>
      </c>
      <c r="V115" s="387" t="s">
        <v>1450</v>
      </c>
      <c r="W115" s="328"/>
    </row>
    <row r="116" spans="1:23" s="220" customFormat="1" ht="181.5" customHeight="1">
      <c r="A116" s="250">
        <v>8</v>
      </c>
      <c r="B116" s="329" t="s">
        <v>768</v>
      </c>
      <c r="C116" s="252" t="s">
        <v>769</v>
      </c>
      <c r="D116" s="253">
        <v>80000</v>
      </c>
      <c r="E116" s="329" t="s">
        <v>770</v>
      </c>
      <c r="F116" s="329" t="s">
        <v>718</v>
      </c>
      <c r="G116" s="252" t="s">
        <v>771</v>
      </c>
      <c r="H116" s="329" t="s">
        <v>679</v>
      </c>
      <c r="I116" s="366" t="s">
        <v>247</v>
      </c>
      <c r="J116" s="365" t="s">
        <v>772</v>
      </c>
      <c r="K116" s="367" t="s">
        <v>773</v>
      </c>
      <c r="L116" s="358"/>
      <c r="M116" s="308">
        <f t="shared" si="14"/>
        <v>100</v>
      </c>
      <c r="N116" s="250" t="s">
        <v>148</v>
      </c>
      <c r="O116" s="310">
        <f>'[14]B1&amp; B2 UNSCHEDULED'!$O$24</f>
        <v>0</v>
      </c>
      <c r="P116" s="250"/>
      <c r="Q116" s="309" t="s">
        <v>683</v>
      </c>
      <c r="R116" s="376">
        <f t="shared" si="15"/>
        <v>45.333333333335759</v>
      </c>
      <c r="S116" s="378">
        <v>46015</v>
      </c>
      <c r="T116" s="377">
        <v>13</v>
      </c>
      <c r="U116" s="329">
        <f t="shared" si="18"/>
        <v>1300</v>
      </c>
      <c r="V116" s="386" t="s">
        <v>1456</v>
      </c>
      <c r="W116" s="328"/>
    </row>
    <row r="117" spans="1:23" s="220" customFormat="1" ht="181.5" customHeight="1">
      <c r="A117" s="250">
        <v>9</v>
      </c>
      <c r="B117" s="329" t="s">
        <v>774</v>
      </c>
      <c r="C117" s="252" t="s">
        <v>725</v>
      </c>
      <c r="D117" s="253">
        <v>3500</v>
      </c>
      <c r="E117" s="329" t="s">
        <v>775</v>
      </c>
      <c r="F117" s="329" t="s">
        <v>569</v>
      </c>
      <c r="G117" s="252" t="s">
        <v>776</v>
      </c>
      <c r="H117" s="329" t="s">
        <v>679</v>
      </c>
      <c r="I117" s="366" t="s">
        <v>271</v>
      </c>
      <c r="J117" s="365">
        <v>46009.720833333296</v>
      </c>
      <c r="K117" s="367" t="s">
        <v>777</v>
      </c>
      <c r="L117" s="358"/>
      <c r="M117" s="308">
        <f t="shared" si="14"/>
        <v>10</v>
      </c>
      <c r="N117" s="250" t="s">
        <v>148</v>
      </c>
      <c r="O117" s="310">
        <f>'[14]B1&amp; B2 UNSCHEDULED'!$O$24</f>
        <v>0</v>
      </c>
      <c r="P117" s="250"/>
      <c r="Q117" s="309" t="s">
        <v>683</v>
      </c>
      <c r="R117" s="376">
        <f t="shared" si="15"/>
        <v>43.279166666703532</v>
      </c>
      <c r="S117" s="378">
        <v>46020</v>
      </c>
      <c r="T117" s="377">
        <v>5</v>
      </c>
      <c r="U117" s="329">
        <f t="shared" si="18"/>
        <v>50</v>
      </c>
      <c r="V117" s="386" t="s">
        <v>1442</v>
      </c>
      <c r="W117" s="328" t="s">
        <v>1451</v>
      </c>
    </row>
    <row r="118" spans="1:23" s="220" customFormat="1" ht="181.5" customHeight="1">
      <c r="A118" s="250">
        <v>10</v>
      </c>
      <c r="B118" s="335" t="s">
        <v>778</v>
      </c>
      <c r="C118" s="336" t="s">
        <v>779</v>
      </c>
      <c r="D118" s="337">
        <v>399000</v>
      </c>
      <c r="E118" s="335" t="s">
        <v>780</v>
      </c>
      <c r="F118" s="335" t="s">
        <v>707</v>
      </c>
      <c r="G118" s="336" t="s">
        <v>781</v>
      </c>
      <c r="H118" s="329" t="s">
        <v>679</v>
      </c>
      <c r="I118" s="366" t="s">
        <v>782</v>
      </c>
      <c r="J118" s="365" t="s">
        <v>783</v>
      </c>
      <c r="K118" s="367" t="s">
        <v>784</v>
      </c>
      <c r="L118" s="560">
        <v>46029.625</v>
      </c>
      <c r="M118" s="308">
        <f t="shared" si="14"/>
        <v>100</v>
      </c>
      <c r="N118" s="250" t="s">
        <v>148</v>
      </c>
      <c r="O118" s="310">
        <f>'[14]B1&amp; B2 UNSCHEDULED'!$O$24</f>
        <v>0</v>
      </c>
      <c r="P118" s="250"/>
      <c r="Q118" s="309" t="s">
        <v>683</v>
      </c>
      <c r="R118" s="376">
        <f t="shared" si="15"/>
        <v>14.960416666668607</v>
      </c>
      <c r="S118" s="378">
        <v>46026</v>
      </c>
      <c r="T118" s="377">
        <v>1</v>
      </c>
      <c r="U118" s="329">
        <f t="shared" si="18"/>
        <v>100</v>
      </c>
      <c r="V118" s="559" t="s">
        <v>1443</v>
      </c>
      <c r="W118" s="328" t="s">
        <v>1452</v>
      </c>
    </row>
    <row r="119" spans="1:23" s="220" customFormat="1" ht="181.5" customHeight="1">
      <c r="A119" s="250">
        <v>11</v>
      </c>
      <c r="B119" s="335" t="s">
        <v>785</v>
      </c>
      <c r="C119" s="336" t="s">
        <v>725</v>
      </c>
      <c r="D119" s="337">
        <v>10825</v>
      </c>
      <c r="E119" s="335" t="s">
        <v>786</v>
      </c>
      <c r="F119" s="335" t="s">
        <v>787</v>
      </c>
      <c r="G119" s="336" t="s">
        <v>788</v>
      </c>
      <c r="H119" s="329" t="s">
        <v>679</v>
      </c>
      <c r="I119" s="366" t="s">
        <v>789</v>
      </c>
      <c r="J119" s="365" t="s">
        <v>790</v>
      </c>
      <c r="K119" s="367" t="s">
        <v>791</v>
      </c>
      <c r="L119" s="358"/>
      <c r="M119" s="308">
        <f t="shared" si="14"/>
        <v>30</v>
      </c>
      <c r="N119" s="250" t="s">
        <v>148</v>
      </c>
      <c r="O119" s="310">
        <f>'[14]B1&amp; B2 UNSCHEDULED'!$O$24</f>
        <v>0</v>
      </c>
      <c r="P119" s="250"/>
      <c r="Q119" s="309" t="s">
        <v>683</v>
      </c>
      <c r="R119" s="376">
        <f t="shared" si="15"/>
        <v>34.419444444443798</v>
      </c>
      <c r="S119" s="378">
        <v>46028</v>
      </c>
      <c r="T119" s="377">
        <v>25</v>
      </c>
      <c r="U119" s="329">
        <f t="shared" si="18"/>
        <v>750</v>
      </c>
      <c r="V119" s="586" t="s">
        <v>1453</v>
      </c>
      <c r="W119" s="328"/>
    </row>
    <row r="120" spans="1:23" s="220" customFormat="1" ht="159">
      <c r="A120" s="250">
        <v>12</v>
      </c>
      <c r="B120" s="335" t="s">
        <v>792</v>
      </c>
      <c r="C120" s="336" t="s">
        <v>725</v>
      </c>
      <c r="D120" s="337">
        <v>10825</v>
      </c>
      <c r="E120" s="335" t="s">
        <v>793</v>
      </c>
      <c r="F120" s="335" t="s">
        <v>363</v>
      </c>
      <c r="G120" s="336" t="s">
        <v>794</v>
      </c>
      <c r="H120" s="329" t="s">
        <v>679</v>
      </c>
      <c r="I120" s="366" t="s">
        <v>247</v>
      </c>
      <c r="J120" s="365" t="s">
        <v>795</v>
      </c>
      <c r="K120" s="367" t="s">
        <v>796</v>
      </c>
      <c r="L120" s="358"/>
      <c r="M120" s="308">
        <f t="shared" si="14"/>
        <v>30</v>
      </c>
      <c r="N120" s="250" t="s">
        <v>148</v>
      </c>
      <c r="O120" s="310">
        <f>'[14]B1&amp; B2 UNSCHEDULED'!$O$24</f>
        <v>0</v>
      </c>
      <c r="P120" s="250"/>
      <c r="Q120" s="309" t="s">
        <v>683</v>
      </c>
      <c r="R120" s="376">
        <f t="shared" si="15"/>
        <v>31.576388888890506</v>
      </c>
      <c r="S120" s="378">
        <v>46029</v>
      </c>
      <c r="T120" s="377">
        <v>13</v>
      </c>
      <c r="U120" s="329">
        <f t="shared" si="18"/>
        <v>390</v>
      </c>
      <c r="V120" s="586" t="s">
        <v>1382</v>
      </c>
      <c r="W120" s="328"/>
    </row>
    <row r="121" spans="1:23" s="222" customFormat="1" ht="240" customHeight="1">
      <c r="A121" s="250">
        <v>13</v>
      </c>
      <c r="B121" s="329" t="s">
        <v>797</v>
      </c>
      <c r="C121" s="252" t="s">
        <v>798</v>
      </c>
      <c r="D121" s="253">
        <v>83100</v>
      </c>
      <c r="E121" s="329" t="s">
        <v>799</v>
      </c>
      <c r="F121" s="329" t="s">
        <v>800</v>
      </c>
      <c r="G121" s="252" t="s">
        <v>801</v>
      </c>
      <c r="H121" s="329" t="s">
        <v>679</v>
      </c>
      <c r="I121" s="366" t="s">
        <v>386</v>
      </c>
      <c r="J121" s="365" t="s">
        <v>802</v>
      </c>
      <c r="K121" s="367" t="s">
        <v>803</v>
      </c>
      <c r="L121" s="358"/>
      <c r="M121" s="308">
        <f t="shared" si="14"/>
        <v>100</v>
      </c>
      <c r="N121" s="250" t="s">
        <v>148</v>
      </c>
      <c r="O121" s="310">
        <f>'[14]B1&amp; B2 UNSCHEDULED'!$O$24</f>
        <v>0</v>
      </c>
      <c r="P121" s="250"/>
      <c r="Q121" s="309" t="s">
        <v>683</v>
      </c>
      <c r="R121" s="376">
        <f t="shared" si="15"/>
        <v>30.625</v>
      </c>
      <c r="S121" s="378">
        <v>46031</v>
      </c>
      <c r="T121" s="377">
        <v>22</v>
      </c>
      <c r="U121" s="329">
        <v>0</v>
      </c>
      <c r="V121" s="586" t="s">
        <v>1382</v>
      </c>
      <c r="W121" s="380" t="s">
        <v>1454</v>
      </c>
    </row>
    <row r="122" spans="1:23" s="222" customFormat="1" ht="240" customHeight="1">
      <c r="A122" s="346"/>
      <c r="B122" s="347"/>
      <c r="C122" s="347"/>
      <c r="D122" s="348"/>
      <c r="E122" s="347"/>
      <c r="F122" s="602"/>
      <c r="G122" s="602"/>
      <c r="H122" s="602"/>
      <c r="I122" s="372"/>
      <c r="J122" s="373"/>
      <c r="K122" s="374"/>
      <c r="L122" s="603" t="s">
        <v>1461</v>
      </c>
      <c r="M122" s="604"/>
      <c r="N122" s="604"/>
      <c r="O122" s="375">
        <f>O35</f>
        <v>40</v>
      </c>
      <c r="P122" s="605" t="s">
        <v>805</v>
      </c>
      <c r="Q122" s="605"/>
      <c r="R122" s="605"/>
      <c r="S122" s="606"/>
      <c r="T122" s="605"/>
      <c r="U122" s="310">
        <f>SUM(U24:U121)</f>
        <v>2850</v>
      </c>
      <c r="V122" s="388"/>
      <c r="W122" s="380"/>
    </row>
    <row r="123" spans="1:23" s="222" customFormat="1" ht="234" customHeight="1">
      <c r="A123" s="223"/>
      <c r="B123" s="224"/>
      <c r="C123" s="225"/>
      <c r="D123" s="226"/>
      <c r="E123" s="224"/>
      <c r="F123" s="224"/>
      <c r="G123" s="225"/>
      <c r="H123" s="223"/>
      <c r="I123" s="227"/>
      <c r="J123" s="228"/>
      <c r="K123" s="374"/>
      <c r="L123" s="230"/>
      <c r="M123" s="231"/>
      <c r="N123" s="223"/>
      <c r="O123" s="223"/>
      <c r="P123" s="224"/>
      <c r="Q123" s="223"/>
      <c r="R123" s="223"/>
      <c r="S123" s="232"/>
      <c r="T123" s="233"/>
      <c r="U123" s="223"/>
      <c r="V123" s="234"/>
      <c r="W123" s="380"/>
    </row>
    <row r="124" spans="1:23" s="220" customFormat="1" ht="293.5" customHeight="1">
      <c r="A124" s="223"/>
      <c r="B124" s="224"/>
      <c r="C124" s="225"/>
      <c r="D124" s="226"/>
      <c r="E124" s="224"/>
      <c r="F124" s="224"/>
      <c r="G124" s="225"/>
      <c r="H124" s="223"/>
      <c r="I124" s="227"/>
      <c r="J124" s="228"/>
      <c r="K124" s="374"/>
      <c r="L124" s="230"/>
      <c r="M124" s="231"/>
      <c r="N124" s="223"/>
      <c r="O124" s="223"/>
      <c r="P124" s="224"/>
      <c r="Q124" s="223"/>
      <c r="R124" s="223"/>
      <c r="S124" s="232"/>
      <c r="T124" s="233"/>
      <c r="U124" s="223"/>
      <c r="V124" s="234"/>
      <c r="W124" s="328"/>
    </row>
    <row r="125" spans="1:23" s="221" customFormat="1" ht="110.25" customHeight="1">
      <c r="A125" s="223"/>
      <c r="B125" s="224"/>
      <c r="C125" s="225"/>
      <c r="D125" s="226"/>
      <c r="E125" s="224"/>
      <c r="F125" s="224"/>
      <c r="G125" s="225"/>
      <c r="H125" s="223"/>
      <c r="I125" s="227"/>
      <c r="J125" s="228"/>
      <c r="K125" s="374"/>
      <c r="L125" s="230"/>
      <c r="M125" s="231"/>
      <c r="N125" s="223"/>
      <c r="O125" s="223"/>
      <c r="P125" s="224"/>
      <c r="Q125" s="223"/>
      <c r="R125" s="223"/>
      <c r="S125" s="232"/>
      <c r="T125" s="233"/>
      <c r="U125" s="223"/>
      <c r="V125" s="234"/>
      <c r="W125" s="328"/>
    </row>
    <row r="126" spans="1:23" s="222" customFormat="1" ht="181.5" customHeight="1">
      <c r="A126" s="223"/>
      <c r="B126" s="224"/>
      <c r="C126" s="225"/>
      <c r="D126" s="226"/>
      <c r="E126" s="224"/>
      <c r="F126" s="224"/>
      <c r="G126" s="225"/>
      <c r="H126" s="223"/>
      <c r="I126" s="227"/>
      <c r="J126" s="228"/>
      <c r="K126" s="374"/>
      <c r="L126" s="230"/>
      <c r="M126" s="231"/>
      <c r="N126" s="223"/>
      <c r="O126" s="223"/>
      <c r="P126" s="224"/>
      <c r="Q126" s="223"/>
      <c r="R126" s="223"/>
      <c r="S126" s="232"/>
      <c r="T126" s="233"/>
      <c r="U126" s="223"/>
      <c r="V126" s="234"/>
      <c r="W126" s="380"/>
    </row>
    <row r="127" spans="1:23" s="222" customFormat="1" ht="239.15" customHeight="1">
      <c r="A127" s="223"/>
      <c r="B127" s="224"/>
      <c r="C127" s="225"/>
      <c r="D127" s="226"/>
      <c r="E127" s="224" t="s">
        <v>806</v>
      </c>
      <c r="F127" s="224"/>
      <c r="G127" s="225"/>
      <c r="H127" s="223"/>
      <c r="I127" s="227"/>
      <c r="J127" s="228"/>
      <c r="K127" s="374"/>
      <c r="L127" s="230"/>
      <c r="M127" s="231"/>
      <c r="N127" s="223"/>
      <c r="O127" s="223"/>
      <c r="P127" s="224"/>
      <c r="Q127" s="223"/>
      <c r="R127" s="223"/>
      <c r="S127" s="232"/>
      <c r="T127" s="233"/>
      <c r="U127" s="223"/>
      <c r="V127" s="234"/>
      <c r="W127" s="380"/>
    </row>
    <row r="128" spans="1:23" s="222" customFormat="1" ht="181.5" customHeight="1">
      <c r="A128" s="223"/>
      <c r="B128" s="224"/>
      <c r="C128" s="225"/>
      <c r="D128" s="226"/>
      <c r="E128" s="224"/>
      <c r="F128" s="224"/>
      <c r="G128" s="225"/>
      <c r="H128" s="223"/>
      <c r="I128" s="227"/>
      <c r="J128" s="228"/>
      <c r="K128" s="389"/>
      <c r="L128" s="230"/>
      <c r="M128" s="231"/>
      <c r="N128" s="223"/>
      <c r="O128" s="223"/>
      <c r="P128" s="224"/>
      <c r="Q128" s="223"/>
      <c r="R128" s="223"/>
      <c r="S128" s="232"/>
      <c r="T128" s="233"/>
      <c r="U128" s="223"/>
      <c r="V128" s="234"/>
      <c r="W128" s="380"/>
    </row>
    <row r="129" spans="1:23" s="220" customFormat="1" ht="181.5" customHeight="1">
      <c r="A129" s="223"/>
      <c r="B129" s="224"/>
      <c r="C129" s="225"/>
      <c r="D129" s="226"/>
      <c r="E129" s="224"/>
      <c r="F129" s="224"/>
      <c r="G129" s="225"/>
      <c r="H129" s="223"/>
      <c r="I129" s="227"/>
      <c r="J129" s="228"/>
      <c r="K129" s="390"/>
      <c r="L129" s="230"/>
      <c r="M129" s="231"/>
      <c r="N129" s="223"/>
      <c r="O129" s="223"/>
      <c r="P129" s="224"/>
      <c r="Q129" s="223"/>
      <c r="R129" s="223"/>
      <c r="S129" s="232"/>
      <c r="T129" s="233"/>
      <c r="U129" s="223"/>
      <c r="V129" s="234"/>
      <c r="W129" s="380"/>
    </row>
    <row r="130" spans="1:23" s="220" customFormat="1" ht="214" customHeight="1">
      <c r="A130" s="223"/>
      <c r="B130" s="224"/>
      <c r="C130" s="225"/>
      <c r="D130" s="226"/>
      <c r="E130" s="224"/>
      <c r="F130" s="224"/>
      <c r="G130" s="225"/>
      <c r="H130" s="223"/>
      <c r="I130" s="227"/>
      <c r="J130" s="228"/>
      <c r="K130" s="391"/>
      <c r="L130" s="230"/>
      <c r="M130" s="231"/>
      <c r="N130" s="223"/>
      <c r="O130" s="223"/>
      <c r="P130" s="224"/>
      <c r="Q130" s="223"/>
      <c r="R130" s="223"/>
      <c r="S130" s="232"/>
      <c r="T130" s="233"/>
      <c r="U130" s="223"/>
      <c r="V130" s="234"/>
      <c r="W130" s="380"/>
    </row>
    <row r="131" spans="1:23" s="218" customFormat="1" ht="239.15" customHeight="1">
      <c r="A131" s="223"/>
      <c r="B131" s="224"/>
      <c r="C131" s="225"/>
      <c r="D131" s="226"/>
      <c r="E131" s="224"/>
      <c r="F131" s="224"/>
      <c r="G131" s="225"/>
      <c r="H131" s="223"/>
      <c r="I131" s="227"/>
      <c r="J131" s="228"/>
      <c r="K131" s="392"/>
      <c r="L131" s="230"/>
      <c r="M131" s="231"/>
      <c r="N131" s="223"/>
      <c r="O131" s="223"/>
      <c r="P131" s="224"/>
      <c r="Q131" s="223"/>
      <c r="R131" s="223"/>
      <c r="S131" s="232"/>
      <c r="T131" s="233"/>
      <c r="U131" s="223"/>
      <c r="V131" s="234"/>
      <c r="W131" s="380"/>
    </row>
    <row r="132" spans="1:23" s="220" customFormat="1" ht="240" customHeight="1">
      <c r="A132" s="223"/>
      <c r="B132" s="224"/>
      <c r="C132" s="225"/>
      <c r="D132" s="226"/>
      <c r="E132" s="224"/>
      <c r="F132" s="224"/>
      <c r="G132" s="225"/>
      <c r="H132" s="223"/>
      <c r="I132" s="227"/>
      <c r="J132" s="228"/>
      <c r="K132" s="392"/>
      <c r="L132" s="230"/>
      <c r="M132" s="231"/>
      <c r="N132" s="223"/>
      <c r="O132" s="223"/>
      <c r="P132" s="224"/>
      <c r="Q132" s="223"/>
      <c r="R132" s="223"/>
      <c r="S132" s="232"/>
      <c r="T132" s="233"/>
      <c r="U132" s="223"/>
      <c r="V132" s="234"/>
      <c r="W132" s="380"/>
    </row>
    <row r="133" spans="1:23" s="219" customFormat="1" ht="264.64999999999998" customHeight="1">
      <c r="A133" s="223"/>
      <c r="B133" s="224"/>
      <c r="C133" s="225"/>
      <c r="D133" s="226"/>
      <c r="E133" s="224"/>
      <c r="F133" s="224"/>
      <c r="G133" s="225"/>
      <c r="H133" s="223"/>
      <c r="I133" s="227"/>
      <c r="J133" s="228"/>
      <c r="K133" s="392"/>
      <c r="L133" s="230"/>
      <c r="M133" s="231"/>
      <c r="N133" s="223"/>
      <c r="O133" s="223"/>
      <c r="P133" s="224"/>
      <c r="Q133" s="223"/>
      <c r="R133" s="223"/>
      <c r="S133" s="232"/>
      <c r="T133" s="233"/>
      <c r="U133" s="223"/>
      <c r="V133" s="234"/>
      <c r="W133" s="380"/>
    </row>
    <row r="134" spans="1:23" s="219" customFormat="1" ht="201.65" customHeight="1">
      <c r="A134" s="223"/>
      <c r="B134" s="224"/>
      <c r="C134" s="225"/>
      <c r="D134" s="226"/>
      <c r="E134" s="224"/>
      <c r="F134" s="224"/>
      <c r="G134" s="225"/>
      <c r="H134" s="223"/>
      <c r="I134" s="227"/>
      <c r="J134" s="228"/>
      <c r="K134" s="390"/>
      <c r="L134" s="230"/>
      <c r="M134" s="231"/>
      <c r="N134" s="223"/>
      <c r="O134" s="223"/>
      <c r="P134" s="224"/>
      <c r="Q134" s="223"/>
      <c r="R134" s="223"/>
      <c r="S134" s="232"/>
      <c r="T134" s="233"/>
      <c r="U134" s="223"/>
      <c r="V134" s="234"/>
      <c r="W134" s="328"/>
    </row>
    <row r="135" spans="1:23" s="220" customFormat="1" ht="181.5" customHeight="1">
      <c r="A135" s="223"/>
      <c r="B135" s="224"/>
      <c r="C135" s="225"/>
      <c r="D135" s="226"/>
      <c r="E135" s="224"/>
      <c r="F135" s="224"/>
      <c r="G135" s="225"/>
      <c r="H135" s="223"/>
      <c r="I135" s="227"/>
      <c r="J135" s="228"/>
      <c r="K135" s="390"/>
      <c r="L135" s="230"/>
      <c r="M135" s="231"/>
      <c r="N135" s="223"/>
      <c r="O135" s="223"/>
      <c r="P135" s="224"/>
      <c r="Q135" s="223"/>
      <c r="R135" s="223"/>
      <c r="S135" s="232"/>
      <c r="T135" s="233"/>
      <c r="U135" s="223"/>
      <c r="V135" s="234"/>
      <c r="W135" s="328"/>
    </row>
    <row r="136" spans="1:23" s="222" customFormat="1" ht="279" customHeight="1">
      <c r="A136" s="223"/>
      <c r="B136" s="224"/>
      <c r="C136" s="225"/>
      <c r="D136" s="226"/>
      <c r="E136" s="224"/>
      <c r="F136" s="224"/>
      <c r="G136" s="225"/>
      <c r="H136" s="223"/>
      <c r="I136" s="227"/>
      <c r="J136" s="228"/>
      <c r="K136" s="392"/>
      <c r="L136" s="230"/>
      <c r="M136" s="231"/>
      <c r="N136" s="223"/>
      <c r="O136" s="223"/>
      <c r="P136" s="224"/>
      <c r="Q136" s="223"/>
      <c r="R136" s="223"/>
      <c r="S136" s="232"/>
      <c r="T136" s="233"/>
      <c r="U136" s="223"/>
      <c r="V136" s="234"/>
      <c r="W136" s="394"/>
    </row>
    <row r="137" spans="1:23" s="222" customFormat="1" ht="279" customHeight="1">
      <c r="A137" s="223"/>
      <c r="B137" s="224"/>
      <c r="C137" s="225"/>
      <c r="D137" s="226"/>
      <c r="E137" s="224"/>
      <c r="F137" s="224"/>
      <c r="G137" s="225"/>
      <c r="H137" s="223"/>
      <c r="I137" s="227"/>
      <c r="J137" s="228"/>
      <c r="K137" s="374"/>
      <c r="L137" s="230"/>
      <c r="M137" s="231"/>
      <c r="N137" s="223"/>
      <c r="O137" s="223"/>
      <c r="P137" s="224"/>
      <c r="Q137" s="223"/>
      <c r="R137" s="223"/>
      <c r="S137" s="232"/>
      <c r="T137" s="233"/>
      <c r="U137" s="223"/>
      <c r="V137" s="234"/>
      <c r="W137" s="394"/>
    </row>
    <row r="138" spans="1:23" s="222" customFormat="1" ht="279" customHeight="1">
      <c r="A138" s="223"/>
      <c r="B138" s="224"/>
      <c r="C138" s="225"/>
      <c r="D138" s="226"/>
      <c r="E138" s="224"/>
      <c r="F138" s="224"/>
      <c r="G138" s="225"/>
      <c r="H138" s="223"/>
      <c r="I138" s="227"/>
      <c r="J138" s="228"/>
      <c r="K138" s="392"/>
      <c r="L138" s="230"/>
      <c r="M138" s="231"/>
      <c r="N138" s="223"/>
      <c r="O138" s="223"/>
      <c r="P138" s="224"/>
      <c r="Q138" s="223"/>
      <c r="R138" s="223"/>
      <c r="S138" s="232"/>
      <c r="T138" s="233"/>
      <c r="U138" s="223"/>
      <c r="V138" s="234"/>
      <c r="W138" s="394"/>
    </row>
    <row r="139" spans="1:23" s="222" customFormat="1" ht="279" customHeight="1">
      <c r="A139" s="223"/>
      <c r="B139" s="224"/>
      <c r="C139" s="225"/>
      <c r="D139" s="226"/>
      <c r="E139" s="224"/>
      <c r="F139" s="224"/>
      <c r="G139" s="225"/>
      <c r="H139" s="223"/>
      <c r="I139" s="227"/>
      <c r="J139" s="228"/>
      <c r="K139" s="390"/>
      <c r="L139" s="230"/>
      <c r="M139" s="231"/>
      <c r="N139" s="223"/>
      <c r="O139" s="223"/>
      <c r="P139" s="224"/>
      <c r="Q139" s="223"/>
      <c r="R139" s="223"/>
      <c r="S139" s="232"/>
      <c r="T139" s="233"/>
      <c r="U139" s="223"/>
      <c r="V139" s="234"/>
      <c r="W139" s="394"/>
    </row>
    <row r="140" spans="1:23" s="222" customFormat="1" ht="279" customHeight="1">
      <c r="A140" s="223"/>
      <c r="B140" s="224"/>
      <c r="C140" s="225"/>
      <c r="D140" s="226"/>
      <c r="E140" s="224"/>
      <c r="F140" s="224"/>
      <c r="G140" s="225"/>
      <c r="H140" s="223"/>
      <c r="I140" s="227"/>
      <c r="J140" s="228"/>
      <c r="K140" s="390"/>
      <c r="L140" s="230"/>
      <c r="M140" s="231"/>
      <c r="N140" s="223"/>
      <c r="O140" s="223"/>
      <c r="P140" s="224"/>
      <c r="Q140" s="223"/>
      <c r="R140" s="223"/>
      <c r="S140" s="232"/>
      <c r="T140" s="233"/>
      <c r="U140" s="223"/>
      <c r="V140" s="234"/>
      <c r="W140" s="394"/>
    </row>
    <row r="141" spans="1:23" s="222" customFormat="1" ht="279" customHeight="1">
      <c r="A141" s="223"/>
      <c r="B141" s="224"/>
      <c r="C141" s="225"/>
      <c r="D141" s="226"/>
      <c r="E141" s="224"/>
      <c r="F141" s="224"/>
      <c r="G141" s="225"/>
      <c r="H141" s="223"/>
      <c r="I141" s="227"/>
      <c r="J141" s="228"/>
      <c r="K141" s="390"/>
      <c r="L141" s="230"/>
      <c r="M141" s="231"/>
      <c r="N141" s="223"/>
      <c r="O141" s="223"/>
      <c r="P141" s="224"/>
      <c r="Q141" s="223"/>
      <c r="R141" s="223"/>
      <c r="S141" s="232"/>
      <c r="T141" s="233"/>
      <c r="U141" s="223"/>
      <c r="V141" s="234"/>
      <c r="W141" s="394"/>
    </row>
    <row r="142" spans="1:23" s="222" customFormat="1" ht="279" customHeight="1">
      <c r="A142" s="223"/>
      <c r="B142" s="224"/>
      <c r="C142" s="225"/>
      <c r="D142" s="226"/>
      <c r="E142" s="224"/>
      <c r="F142" s="224"/>
      <c r="G142" s="225"/>
      <c r="H142" s="223"/>
      <c r="I142" s="227"/>
      <c r="J142" s="228"/>
      <c r="K142" s="390"/>
      <c r="L142" s="230"/>
      <c r="M142" s="231"/>
      <c r="N142" s="223"/>
      <c r="O142" s="223"/>
      <c r="P142" s="224"/>
      <c r="Q142" s="223"/>
      <c r="R142" s="223"/>
      <c r="S142" s="232"/>
      <c r="T142" s="233"/>
      <c r="U142" s="223"/>
      <c r="V142" s="234"/>
      <c r="W142" s="394"/>
    </row>
    <row r="143" spans="1:23" s="222" customFormat="1" ht="279" customHeight="1">
      <c r="A143" s="223"/>
      <c r="B143" s="224"/>
      <c r="C143" s="225"/>
      <c r="D143" s="226"/>
      <c r="E143" s="224"/>
      <c r="F143" s="224"/>
      <c r="G143" s="225"/>
      <c r="H143" s="223"/>
      <c r="I143" s="227"/>
      <c r="J143" s="228"/>
      <c r="K143" s="391"/>
      <c r="L143" s="230"/>
      <c r="M143" s="231"/>
      <c r="N143" s="223"/>
      <c r="O143" s="223"/>
      <c r="P143" s="224"/>
      <c r="Q143" s="223"/>
      <c r="R143" s="223"/>
      <c r="S143" s="232"/>
      <c r="T143" s="233"/>
      <c r="U143" s="223"/>
      <c r="V143" s="234"/>
      <c r="W143" s="394"/>
    </row>
    <row r="144" spans="1:23" s="222" customFormat="1" ht="279" customHeight="1">
      <c r="A144" s="223"/>
      <c r="B144" s="224"/>
      <c r="C144" s="225"/>
      <c r="D144" s="226"/>
      <c r="E144" s="224"/>
      <c r="F144" s="224"/>
      <c r="G144" s="225"/>
      <c r="H144" s="223"/>
      <c r="I144" s="227"/>
      <c r="J144" s="228"/>
      <c r="K144" s="390"/>
      <c r="L144" s="230"/>
      <c r="M144" s="231"/>
      <c r="N144" s="223"/>
      <c r="O144" s="223"/>
      <c r="P144" s="224"/>
      <c r="Q144" s="223"/>
      <c r="R144" s="223"/>
      <c r="S144" s="232"/>
      <c r="T144" s="233"/>
      <c r="U144" s="223"/>
      <c r="V144" s="234"/>
      <c r="W144" s="394"/>
    </row>
    <row r="145" spans="1:23" s="222" customFormat="1" ht="279" customHeight="1">
      <c r="A145" s="223"/>
      <c r="B145" s="224"/>
      <c r="C145" s="225"/>
      <c r="D145" s="226"/>
      <c r="E145" s="224"/>
      <c r="F145" s="224"/>
      <c r="G145" s="225"/>
      <c r="H145" s="223"/>
      <c r="I145" s="227"/>
      <c r="J145" s="228"/>
      <c r="K145" s="390"/>
      <c r="L145" s="230"/>
      <c r="M145" s="231"/>
      <c r="N145" s="223"/>
      <c r="O145" s="223"/>
      <c r="P145" s="224"/>
      <c r="Q145" s="223"/>
      <c r="R145" s="223"/>
      <c r="S145" s="232"/>
      <c r="T145" s="233"/>
      <c r="U145" s="223"/>
      <c r="V145" s="234"/>
      <c r="W145" s="394"/>
    </row>
    <row r="146" spans="1:23" s="222" customFormat="1" ht="279" customHeight="1">
      <c r="A146" s="223"/>
      <c r="B146" s="224"/>
      <c r="C146" s="225"/>
      <c r="D146" s="226"/>
      <c r="E146" s="224"/>
      <c r="F146" s="224"/>
      <c r="G146" s="225"/>
      <c r="H146" s="223"/>
      <c r="I146" s="227"/>
      <c r="J146" s="228"/>
      <c r="K146" s="391"/>
      <c r="L146" s="230"/>
      <c r="M146" s="231"/>
      <c r="N146" s="223"/>
      <c r="O146" s="223"/>
      <c r="P146" s="224"/>
      <c r="Q146" s="223"/>
      <c r="R146" s="223"/>
      <c r="S146" s="232"/>
      <c r="T146" s="233"/>
      <c r="U146" s="223"/>
      <c r="V146" s="234"/>
      <c r="W146" s="394"/>
    </row>
    <row r="147" spans="1:23" s="222" customFormat="1" ht="279" customHeight="1">
      <c r="A147" s="223"/>
      <c r="B147" s="224"/>
      <c r="C147" s="225"/>
      <c r="D147" s="226"/>
      <c r="E147" s="224"/>
      <c r="F147" s="224"/>
      <c r="G147" s="225"/>
      <c r="H147" s="223"/>
      <c r="I147" s="227"/>
      <c r="J147" s="228"/>
      <c r="K147" s="391"/>
      <c r="L147" s="230"/>
      <c r="M147" s="231"/>
      <c r="N147" s="223"/>
      <c r="O147" s="223"/>
      <c r="P147" s="224"/>
      <c r="Q147" s="223"/>
      <c r="R147" s="223"/>
      <c r="S147" s="232"/>
      <c r="T147" s="233"/>
      <c r="U147" s="223"/>
      <c r="V147" s="234"/>
      <c r="W147" s="394"/>
    </row>
    <row r="148" spans="1:23" ht="100" customHeight="1">
      <c r="K148" s="391"/>
      <c r="W148" s="395"/>
    </row>
    <row r="149" spans="1:23" ht="53">
      <c r="K149" s="391"/>
    </row>
    <row r="150" spans="1:23" ht="53">
      <c r="K150" s="391"/>
    </row>
    <row r="151" spans="1:23" ht="53">
      <c r="K151" s="391"/>
    </row>
    <row r="152" spans="1:23" ht="53">
      <c r="K152" s="391"/>
    </row>
    <row r="153" spans="1:23" ht="53">
      <c r="K153" s="391"/>
    </row>
    <row r="154" spans="1:23" ht="53">
      <c r="K154" s="391"/>
    </row>
    <row r="155" spans="1:23" ht="53">
      <c r="K155" s="391"/>
    </row>
    <row r="156" spans="1:23" ht="53">
      <c r="K156" s="391"/>
    </row>
    <row r="157" spans="1:23" ht="53">
      <c r="K157" s="391"/>
    </row>
    <row r="158" spans="1:23" ht="53">
      <c r="K158" s="391"/>
    </row>
    <row r="159" spans="1:23" ht="53">
      <c r="K159" s="391"/>
    </row>
    <row r="160" spans="1:23" ht="53">
      <c r="K160" s="391"/>
    </row>
    <row r="161" spans="11:11" ht="53">
      <c r="K161" s="391"/>
    </row>
    <row r="162" spans="11:11" ht="53">
      <c r="K162" s="391"/>
    </row>
    <row r="163" spans="11:11" ht="53">
      <c r="K163" s="391"/>
    </row>
    <row r="164" spans="11:11" ht="53">
      <c r="K164" s="391"/>
    </row>
    <row r="165" spans="11:11" ht="53">
      <c r="K165" s="391"/>
    </row>
    <row r="166" spans="11:11" ht="53">
      <c r="K166" s="391"/>
    </row>
    <row r="167" spans="11:11" ht="53">
      <c r="K167" s="391"/>
    </row>
    <row r="168" spans="11:11" ht="53">
      <c r="K168" s="391"/>
    </row>
    <row r="169" spans="11:11" ht="53">
      <c r="K169" s="391"/>
    </row>
    <row r="170" spans="11:11" ht="53">
      <c r="K170" s="391"/>
    </row>
    <row r="171" spans="11:11" ht="53">
      <c r="K171" s="391"/>
    </row>
    <row r="172" spans="11:11" ht="53">
      <c r="K172" s="391"/>
    </row>
    <row r="173" spans="11:11" ht="53">
      <c r="K173" s="391"/>
    </row>
    <row r="174" spans="11:11" ht="53">
      <c r="K174" s="391"/>
    </row>
    <row r="175" spans="11:11" ht="53">
      <c r="K175" s="391"/>
    </row>
    <row r="176" spans="11:11" ht="53">
      <c r="K176" s="391"/>
    </row>
    <row r="177" spans="11:11" ht="53">
      <c r="K177" s="393"/>
    </row>
    <row r="178" spans="11:11" ht="53">
      <c r="K178" s="374"/>
    </row>
    <row r="179" spans="11:11" ht="53">
      <c r="K179" s="390"/>
    </row>
    <row r="180" spans="11:11" ht="53">
      <c r="K180" s="390"/>
    </row>
    <row r="181" spans="11:11" ht="53">
      <c r="K181" s="390"/>
    </row>
    <row r="182" spans="11:11" ht="53">
      <c r="K182" s="390"/>
    </row>
    <row r="183" spans="11:11" ht="53">
      <c r="K183" s="390"/>
    </row>
    <row r="184" spans="11:11" ht="53">
      <c r="K184" s="390"/>
    </row>
    <row r="185" spans="11:11" ht="53">
      <c r="K185" s="393"/>
    </row>
    <row r="186" spans="11:11" ht="53">
      <c r="K186" s="390"/>
    </row>
    <row r="187" spans="11:11" ht="53">
      <c r="K187" s="390"/>
    </row>
    <row r="188" spans="11:11" ht="53">
      <c r="K188" s="390"/>
    </row>
    <row r="189" spans="11:11" ht="53">
      <c r="K189" s="390"/>
    </row>
    <row r="190" spans="11:11" ht="53">
      <c r="K190" s="390"/>
    </row>
    <row r="191" spans="11:11" ht="53">
      <c r="K191" s="390"/>
    </row>
    <row r="192" spans="11:11" ht="53">
      <c r="K192" s="390"/>
    </row>
    <row r="193" spans="11:11" ht="53">
      <c r="K193" s="390"/>
    </row>
    <row r="194" spans="11:11" ht="53">
      <c r="K194" s="390"/>
    </row>
    <row r="195" spans="11:11" ht="53">
      <c r="K195" s="390"/>
    </row>
    <row r="196" spans="11:11" ht="53">
      <c r="K196" s="390"/>
    </row>
    <row r="197" spans="11:11" ht="53">
      <c r="K197" s="390"/>
    </row>
    <row r="198" spans="11:11" ht="53">
      <c r="K198" s="390"/>
    </row>
    <row r="199" spans="11:11" ht="53">
      <c r="K199" s="390"/>
    </row>
    <row r="200" spans="11:11" ht="53">
      <c r="K200" s="393"/>
    </row>
    <row r="201" spans="11:11" ht="53">
      <c r="K201" s="392"/>
    </row>
    <row r="202" spans="11:11" ht="53">
      <c r="K202" s="390"/>
    </row>
    <row r="203" spans="11:11" ht="53">
      <c r="K203" s="390"/>
    </row>
    <row r="204" spans="11:11" ht="53">
      <c r="K204" s="390"/>
    </row>
    <row r="205" spans="11:11" ht="53">
      <c r="K205" s="390"/>
    </row>
    <row r="206" spans="11:11" ht="53">
      <c r="K206" s="390"/>
    </row>
    <row r="207" spans="11:11" ht="53">
      <c r="K207" s="390"/>
    </row>
    <row r="208" spans="11:11" ht="53">
      <c r="K208" s="390"/>
    </row>
    <row r="209" spans="11:11" ht="53">
      <c r="K209" s="396"/>
    </row>
  </sheetData>
  <autoFilter ref="A22:W148" xr:uid="{00000000-0009-0000-0000-000003000000}"/>
  <mergeCells count="42">
    <mergeCell ref="A1:V1"/>
    <mergeCell ref="A2:V2"/>
    <mergeCell ref="A3:V3"/>
    <mergeCell ref="A4:V4"/>
    <mergeCell ref="A6:B6"/>
    <mergeCell ref="C6:G6"/>
    <mergeCell ref="I6:L6"/>
    <mergeCell ref="M6:O6"/>
    <mergeCell ref="Q6:S6"/>
    <mergeCell ref="A8:B8"/>
    <mergeCell ref="C8:G8"/>
    <mergeCell ref="I8:L8"/>
    <mergeCell ref="M8:O8"/>
    <mergeCell ref="Q8:S8"/>
    <mergeCell ref="A10:B10"/>
    <mergeCell ref="C10:G10"/>
    <mergeCell ref="I10:L10"/>
    <mergeCell ref="M10:N10"/>
    <mergeCell ref="A12:B12"/>
    <mergeCell ref="C12:G12"/>
    <mergeCell ref="I12:L12"/>
    <mergeCell ref="M12:N12"/>
    <mergeCell ref="N21:P21"/>
    <mergeCell ref="Q21:V21"/>
    <mergeCell ref="J96:P96"/>
    <mergeCell ref="J108:L108"/>
    <mergeCell ref="F122:H122"/>
    <mergeCell ref="L122:N122"/>
    <mergeCell ref="P122:T122"/>
    <mergeCell ref="F21:F22"/>
    <mergeCell ref="G21:G22"/>
    <mergeCell ref="H21:H22"/>
    <mergeCell ref="I21:I22"/>
    <mergeCell ref="J21:J22"/>
    <mergeCell ref="K21:K22"/>
    <mergeCell ref="L21:L22"/>
    <mergeCell ref="M21:M22"/>
    <mergeCell ref="A21:A22"/>
    <mergeCell ref="B21:B22"/>
    <mergeCell ref="C21:C22"/>
    <mergeCell ref="D21:D22"/>
    <mergeCell ref="E21:E22"/>
  </mergeCells>
  <phoneticPr fontId="114" type="noConversion"/>
  <printOptions horizontalCentered="1"/>
  <pageMargins left="0.25" right="0.25" top="0.75" bottom="0.75" header="0.3" footer="0.3"/>
  <pageSetup paperSize="9" scale="12" fitToHeight="0" orientation="landscape" r:id="rId1"/>
  <drawing r:id="rId2"/>
  <legacyDrawing r:id="rId3"/>
  <oleObjects>
    <mc:AlternateContent xmlns:mc="http://schemas.openxmlformats.org/markup-compatibility/2006">
      <mc:Choice Requires="x14">
        <oleObject progId="PBrush" shapeId="56321" r:id="rId4">
          <objectPr defaultSize="0" altText="" r:id="rId5">
            <anchor moveWithCells="1" sizeWithCells="1">
              <from>
                <xdr:col>4</xdr:col>
                <xdr:colOff>0</xdr:colOff>
                <xdr:row>1</xdr:row>
                <xdr:rowOff>0</xdr:rowOff>
              </from>
              <to>
                <xdr:col>4</xdr:col>
                <xdr:colOff>0</xdr:colOff>
                <xdr:row>1</xdr:row>
                <xdr:rowOff>0</xdr:rowOff>
              </to>
            </anchor>
          </objectPr>
        </oleObject>
      </mc:Choice>
      <mc:Fallback>
        <oleObject progId="PBrush" shapeId="56321"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A7B0E-F6A2-4D6D-A0FC-2C82E7939114}">
  <sheetPr>
    <pageSetUpPr fitToPage="1"/>
  </sheetPr>
  <dimension ref="A1:N351"/>
  <sheetViews>
    <sheetView view="pageBreakPreview" topLeftCell="E107" zoomScale="50" zoomScaleNormal="10" zoomScaleSheetLayoutView="50" workbookViewId="0">
      <selection activeCell="B106" sqref="B106:C130"/>
    </sheetView>
  </sheetViews>
  <sheetFormatPr defaultColWidth="9.1796875" defaultRowHeight="59.25" customHeight="1"/>
  <cols>
    <col min="1" max="1" width="13.7265625" style="475" customWidth="1"/>
    <col min="2" max="2" width="37.81640625" style="548" customWidth="1"/>
    <col min="3" max="3" width="43.54296875" style="549" customWidth="1"/>
    <col min="4" max="4" width="43.453125" style="508" customWidth="1"/>
    <col min="5" max="5" width="49.26953125" style="508" bestFit="1" customWidth="1"/>
    <col min="6" max="6" width="27.26953125" style="508" customWidth="1"/>
    <col min="7" max="7" width="47.6328125" style="550" customWidth="1"/>
    <col min="8" max="8" width="53.54296875" style="551" customWidth="1"/>
    <col min="9" max="9" width="26.54296875" style="551" customWidth="1"/>
    <col min="10" max="10" width="22.54296875" style="551" customWidth="1"/>
    <col min="11" max="11" width="25.81640625" style="552" customWidth="1"/>
    <col min="12" max="12" width="26.26953125" style="552" customWidth="1"/>
    <col min="13" max="13" width="57" style="553" customWidth="1"/>
    <col min="14" max="14" width="22.7265625" style="475" customWidth="1"/>
    <col min="15" max="16384" width="9.1796875" style="475"/>
  </cols>
  <sheetData>
    <row r="1" spans="1:13" ht="27" customHeight="1">
      <c r="A1" s="175"/>
      <c r="B1" s="737"/>
      <c r="C1" s="737"/>
      <c r="D1" s="738"/>
      <c r="E1" s="737"/>
      <c r="F1" s="737"/>
      <c r="G1" s="737"/>
      <c r="H1" s="737"/>
      <c r="I1" s="737"/>
      <c r="J1" s="737"/>
      <c r="K1" s="737"/>
      <c r="L1" s="737"/>
      <c r="M1" s="194"/>
    </row>
    <row r="2" spans="1:13" ht="69" customHeight="1">
      <c r="A2" s="737"/>
      <c r="B2" s="737"/>
      <c r="C2" s="737"/>
      <c r="D2" s="737"/>
      <c r="E2" s="737"/>
      <c r="F2" s="737"/>
      <c r="G2" s="737"/>
      <c r="H2" s="737"/>
      <c r="I2" s="737"/>
      <c r="J2" s="737"/>
      <c r="K2" s="737"/>
      <c r="L2" s="737"/>
      <c r="M2" s="737"/>
    </row>
    <row r="3" spans="1:13" ht="27" customHeight="1">
      <c r="A3" s="737" t="s">
        <v>65</v>
      </c>
      <c r="B3" s="737"/>
      <c r="C3" s="737"/>
      <c r="D3" s="738"/>
      <c r="E3" s="737"/>
      <c r="F3" s="737"/>
      <c r="G3" s="737"/>
      <c r="H3" s="737"/>
      <c r="I3" s="737"/>
      <c r="J3" s="737"/>
      <c r="K3" s="737"/>
      <c r="L3" s="737"/>
      <c r="M3" s="737"/>
    </row>
    <row r="4" spans="1:13" ht="38.25" customHeight="1">
      <c r="A4" s="739" t="s">
        <v>807</v>
      </c>
      <c r="B4" s="739"/>
      <c r="C4" s="739"/>
      <c r="D4" s="740"/>
      <c r="E4" s="739"/>
      <c r="F4" s="739"/>
      <c r="G4" s="739"/>
      <c r="H4" s="739"/>
      <c r="I4" s="739"/>
      <c r="J4" s="739"/>
      <c r="K4" s="739"/>
      <c r="L4" s="739"/>
      <c r="M4" s="739"/>
    </row>
    <row r="5" spans="1:13" ht="27" customHeight="1">
      <c r="A5" s="737" t="s">
        <v>808</v>
      </c>
      <c r="B5" s="737"/>
      <c r="C5" s="737"/>
      <c r="D5" s="737"/>
      <c r="E5" s="737"/>
      <c r="F5" s="737"/>
      <c r="G5" s="737"/>
      <c r="H5" s="737"/>
      <c r="I5" s="737"/>
      <c r="J5" s="737"/>
      <c r="K5" s="737"/>
      <c r="L5" s="737"/>
      <c r="M5" s="737"/>
    </row>
    <row r="6" spans="1:13" ht="27" customHeight="1">
      <c r="A6" s="176"/>
      <c r="B6" s="177"/>
      <c r="C6" s="177"/>
      <c r="D6" s="178"/>
      <c r="E6" s="183"/>
      <c r="F6" s="183"/>
      <c r="G6" s="184"/>
      <c r="H6" s="185"/>
      <c r="I6" s="185"/>
      <c r="J6" s="185"/>
      <c r="K6" s="189"/>
      <c r="L6" s="110"/>
      <c r="M6" s="194"/>
    </row>
    <row r="7" spans="1:13" ht="27" customHeight="1">
      <c r="A7" s="733" t="s">
        <v>67</v>
      </c>
      <c r="B7" s="734"/>
      <c r="C7" s="726" t="s">
        <v>101</v>
      </c>
      <c r="D7" s="727"/>
      <c r="E7" s="728"/>
      <c r="F7" s="183"/>
      <c r="G7" s="184"/>
      <c r="H7" s="729" t="s">
        <v>71</v>
      </c>
      <c r="I7" s="729"/>
      <c r="J7" s="735">
        <v>46023</v>
      </c>
      <c r="K7" s="736"/>
      <c r="L7" s="477"/>
      <c r="M7" s="478"/>
    </row>
    <row r="8" spans="1:13" ht="12.75" customHeight="1">
      <c r="A8" s="479"/>
      <c r="B8" s="480"/>
      <c r="C8" s="481"/>
      <c r="D8" s="482"/>
      <c r="E8" s="483"/>
      <c r="F8" s="483"/>
      <c r="G8" s="484"/>
      <c r="H8" s="485"/>
      <c r="I8" s="485"/>
      <c r="J8" s="486"/>
      <c r="K8" s="487"/>
      <c r="L8" s="488"/>
      <c r="M8" s="489"/>
    </row>
    <row r="9" spans="1:13" ht="48.65" customHeight="1">
      <c r="A9" s="479"/>
      <c r="B9" s="476" t="s">
        <v>809</v>
      </c>
      <c r="C9" s="726" t="s">
        <v>105</v>
      </c>
      <c r="D9" s="727"/>
      <c r="E9" s="728"/>
      <c r="F9" s="183"/>
      <c r="G9" s="729" t="s">
        <v>109</v>
      </c>
      <c r="H9" s="729"/>
      <c r="I9" s="730"/>
      <c r="J9" s="731">
        <f>[15]BEMSdar!E11</f>
        <v>1437864.7725</v>
      </c>
      <c r="K9" s="732"/>
      <c r="L9" s="490"/>
      <c r="M9" s="491"/>
    </row>
    <row r="10" spans="1:13" ht="15" customHeight="1">
      <c r="A10" s="479"/>
      <c r="B10" s="480"/>
      <c r="C10" s="481"/>
      <c r="D10" s="482"/>
      <c r="E10" s="483"/>
      <c r="F10" s="483"/>
      <c r="G10" s="484"/>
      <c r="H10" s="485"/>
      <c r="I10" s="485"/>
      <c r="J10" s="486"/>
      <c r="K10" s="487"/>
      <c r="L10" s="488"/>
      <c r="M10" s="489"/>
    </row>
    <row r="11" spans="1:13" ht="46.5" customHeight="1">
      <c r="A11" s="479"/>
      <c r="B11" s="476" t="s">
        <v>810</v>
      </c>
      <c r="C11" s="726" t="s">
        <v>108</v>
      </c>
      <c r="D11" s="727"/>
      <c r="E11" s="728"/>
      <c r="F11" s="183"/>
      <c r="G11" s="729" t="s">
        <v>111</v>
      </c>
      <c r="H11" s="729"/>
      <c r="I11" s="730"/>
      <c r="J11" s="731">
        <f>[15]BEMSdar!E13</f>
        <v>36868.327499999999</v>
      </c>
      <c r="K11" s="732"/>
      <c r="L11" s="490"/>
      <c r="M11" s="491"/>
    </row>
    <row r="12" spans="1:13" s="500" customFormat="1" ht="27" customHeight="1">
      <c r="A12" s="492"/>
      <c r="B12" s="493"/>
      <c r="C12" s="481"/>
      <c r="D12" s="482"/>
      <c r="E12" s="483"/>
      <c r="F12" s="483"/>
      <c r="G12" s="484"/>
      <c r="H12" s="494"/>
      <c r="I12" s="495"/>
      <c r="J12" s="496"/>
      <c r="K12" s="497"/>
      <c r="L12" s="498"/>
      <c r="M12" s="499"/>
    </row>
    <row r="13" spans="1:13" s="506" customFormat="1" ht="17.25" customHeight="1">
      <c r="A13" s="501" t="s">
        <v>112</v>
      </c>
      <c r="B13" s="493"/>
      <c r="C13" s="480"/>
      <c r="D13" s="502"/>
      <c r="E13" s="502"/>
      <c r="F13" s="502"/>
      <c r="G13" s="503"/>
      <c r="H13" s="485"/>
      <c r="I13" s="485"/>
      <c r="J13" s="485"/>
      <c r="K13" s="504"/>
      <c r="L13" s="504"/>
      <c r="M13" s="505"/>
    </row>
    <row r="14" spans="1:13" s="506" customFormat="1" ht="17.25" customHeight="1">
      <c r="A14" s="501" t="s">
        <v>113</v>
      </c>
      <c r="B14" s="493"/>
      <c r="C14" s="480"/>
      <c r="D14" s="502"/>
      <c r="E14" s="502"/>
      <c r="F14" s="502"/>
      <c r="G14" s="503"/>
      <c r="H14" s="485"/>
      <c r="I14" s="485"/>
      <c r="J14" s="485"/>
      <c r="K14" s="504"/>
      <c r="L14" s="504"/>
      <c r="M14" s="505"/>
    </row>
    <row r="15" spans="1:13" s="506" customFormat="1" ht="17.25" customHeight="1">
      <c r="A15" s="501" t="s">
        <v>811</v>
      </c>
      <c r="B15" s="493"/>
      <c r="C15" s="480"/>
      <c r="D15" s="502"/>
      <c r="E15" s="502"/>
      <c r="F15" s="502"/>
      <c r="G15" s="503"/>
      <c r="H15" s="485"/>
      <c r="I15" s="485"/>
      <c r="J15" s="485"/>
      <c r="K15" s="504"/>
      <c r="L15" s="504"/>
      <c r="M15" s="505"/>
    </row>
    <row r="16" spans="1:13" s="506" customFormat="1" ht="17.25" customHeight="1">
      <c r="A16" s="501" t="s">
        <v>812</v>
      </c>
      <c r="B16" s="493"/>
      <c r="C16" s="480"/>
      <c r="D16" s="502"/>
      <c r="E16" s="502"/>
      <c r="F16" s="502"/>
      <c r="G16" s="503"/>
      <c r="H16" s="485"/>
      <c r="I16" s="485"/>
      <c r="J16" s="485"/>
      <c r="K16" s="504"/>
      <c r="L16" s="504"/>
      <c r="M16" s="505"/>
    </row>
    <row r="17" spans="1:14" s="506" customFormat="1" ht="17.25" customHeight="1">
      <c r="A17" s="501" t="s">
        <v>813</v>
      </c>
      <c r="B17" s="493"/>
      <c r="C17" s="480"/>
      <c r="D17" s="502"/>
      <c r="E17" s="502"/>
      <c r="F17" s="502"/>
      <c r="G17" s="503"/>
      <c r="H17" s="485"/>
      <c r="I17" s="485"/>
      <c r="J17" s="485"/>
      <c r="K17" s="504"/>
      <c r="L17" s="504"/>
      <c r="M17" s="505"/>
    </row>
    <row r="18" spans="1:14" ht="17.25" customHeight="1">
      <c r="A18" s="507"/>
      <c r="B18" s="493"/>
      <c r="C18" s="480"/>
      <c r="E18" s="509"/>
      <c r="F18" s="186"/>
      <c r="G18" s="510"/>
      <c r="H18" s="511"/>
      <c r="I18" s="511"/>
      <c r="J18" s="485"/>
      <c r="K18" s="497"/>
      <c r="L18" s="497"/>
      <c r="M18" s="505"/>
    </row>
    <row r="19" spans="1:14" s="169" customFormat="1" ht="36" customHeight="1">
      <c r="A19" s="716" t="s">
        <v>78</v>
      </c>
      <c r="B19" s="717" t="s">
        <v>118</v>
      </c>
      <c r="C19" s="718" t="s">
        <v>119</v>
      </c>
      <c r="D19" s="719" t="s">
        <v>120</v>
      </c>
      <c r="E19" s="721" t="s">
        <v>121</v>
      </c>
      <c r="F19" s="716" t="s">
        <v>122</v>
      </c>
      <c r="G19" s="722" t="s">
        <v>814</v>
      </c>
      <c r="H19" s="723" t="s">
        <v>815</v>
      </c>
      <c r="I19" s="723" t="s">
        <v>816</v>
      </c>
      <c r="J19" s="724" t="s">
        <v>132</v>
      </c>
      <c r="K19" s="725" t="s">
        <v>129</v>
      </c>
      <c r="L19" s="716" t="s">
        <v>817</v>
      </c>
      <c r="M19" s="716"/>
      <c r="N19" s="195"/>
    </row>
    <row r="20" spans="1:14" s="169" customFormat="1" ht="64.5" customHeight="1">
      <c r="A20" s="716"/>
      <c r="B20" s="717"/>
      <c r="C20" s="718"/>
      <c r="D20" s="720"/>
      <c r="E20" s="721"/>
      <c r="F20" s="716"/>
      <c r="G20" s="722"/>
      <c r="H20" s="723"/>
      <c r="I20" s="723"/>
      <c r="J20" s="724"/>
      <c r="K20" s="725"/>
      <c r="L20" s="179" t="s">
        <v>133</v>
      </c>
      <c r="M20" s="179" t="s">
        <v>134</v>
      </c>
      <c r="N20" s="195"/>
    </row>
    <row r="21" spans="1:14" s="170" customFormat="1" ht="78" customHeight="1">
      <c r="A21" s="709" t="s">
        <v>818</v>
      </c>
      <c r="B21" s="710"/>
      <c r="C21" s="710"/>
      <c r="D21" s="710"/>
      <c r="E21" s="710"/>
      <c r="F21" s="187"/>
      <c r="G21" s="188"/>
      <c r="H21" s="512"/>
      <c r="I21" s="512"/>
      <c r="J21" s="190"/>
      <c r="K21" s="191"/>
      <c r="L21" s="191"/>
      <c r="M21" s="513" t="e">
        <f>PROPER(#REF!)</f>
        <v>#REF!</v>
      </c>
      <c r="N21" s="196"/>
    </row>
    <row r="22" spans="1:14" s="171" customFormat="1" ht="108">
      <c r="A22" s="514">
        <v>1</v>
      </c>
      <c r="B22" s="515" t="s">
        <v>819</v>
      </c>
      <c r="C22" s="515" t="s">
        <v>820</v>
      </c>
      <c r="D22" s="180">
        <f>VLOOKUP(B22,[13]AssetDetails_UEM!$A$3:$X$1848,22,FALSE)</f>
        <v>60150</v>
      </c>
      <c r="E22" s="514" t="s">
        <v>821</v>
      </c>
      <c r="F22" s="514" t="s">
        <v>822</v>
      </c>
      <c r="G22" s="516" t="s">
        <v>823</v>
      </c>
      <c r="H22" s="517" t="s">
        <v>824</v>
      </c>
      <c r="I22" s="517" t="s">
        <v>161</v>
      </c>
      <c r="J22" s="192" t="s">
        <v>148</v>
      </c>
      <c r="K22" s="518">
        <f t="shared" ref="K22:K85" si="0">ROUNDUP((D22/4999.99)*10,-1)</f>
        <v>130</v>
      </c>
      <c r="L22" s="519">
        <f t="shared" ref="L22:L85" si="1">IF(J22="N",0,K22)</f>
        <v>0</v>
      </c>
      <c r="M22" s="515" t="s">
        <v>825</v>
      </c>
      <c r="N22" s="197"/>
    </row>
    <row r="23" spans="1:14" s="171" customFormat="1" ht="144">
      <c r="A23" s="514">
        <v>2</v>
      </c>
      <c r="B23" s="515" t="s">
        <v>826</v>
      </c>
      <c r="C23" s="515" t="s">
        <v>827</v>
      </c>
      <c r="D23" s="180">
        <f>VLOOKUP(B23,[13]AssetDetails_UEM!$A$3:$X$1848,22,FALSE)</f>
        <v>38360</v>
      </c>
      <c r="E23" s="514" t="s">
        <v>828</v>
      </c>
      <c r="F23" s="514" t="s">
        <v>829</v>
      </c>
      <c r="G23" s="516" t="s">
        <v>823</v>
      </c>
      <c r="H23" s="517" t="s">
        <v>830</v>
      </c>
      <c r="I23" s="517" t="s">
        <v>161</v>
      </c>
      <c r="J23" s="192" t="s">
        <v>148</v>
      </c>
      <c r="K23" s="518">
        <f t="shared" si="0"/>
        <v>80</v>
      </c>
      <c r="L23" s="519">
        <f t="shared" si="1"/>
        <v>0</v>
      </c>
      <c r="M23" s="515" t="s">
        <v>831</v>
      </c>
      <c r="N23" s="197"/>
    </row>
    <row r="24" spans="1:14" s="171" customFormat="1" ht="130" customHeight="1">
      <c r="A24" s="514">
        <v>3</v>
      </c>
      <c r="B24" s="515" t="s">
        <v>832</v>
      </c>
      <c r="C24" s="515" t="s">
        <v>827</v>
      </c>
      <c r="D24" s="180">
        <f>VLOOKUP(B24,[13]AssetDetails_UEM!$A$3:$X$1848,22,FALSE)</f>
        <v>38575</v>
      </c>
      <c r="E24" s="514" t="s">
        <v>833</v>
      </c>
      <c r="F24" s="514" t="s">
        <v>829</v>
      </c>
      <c r="G24" s="516" t="s">
        <v>823</v>
      </c>
      <c r="H24" s="517" t="s">
        <v>834</v>
      </c>
      <c r="I24" s="517" t="s">
        <v>161</v>
      </c>
      <c r="J24" s="192" t="s">
        <v>148</v>
      </c>
      <c r="K24" s="518">
        <f t="shared" si="0"/>
        <v>80</v>
      </c>
      <c r="L24" s="519">
        <f t="shared" si="1"/>
        <v>0</v>
      </c>
      <c r="M24" s="515" t="s">
        <v>831</v>
      </c>
      <c r="N24" s="197"/>
    </row>
    <row r="25" spans="1:14" s="171" customFormat="1" ht="150" customHeight="1">
      <c r="A25" s="514">
        <v>4</v>
      </c>
      <c r="B25" s="515" t="s">
        <v>835</v>
      </c>
      <c r="C25" s="515" t="s">
        <v>836</v>
      </c>
      <c r="D25" s="180">
        <f>VLOOKUP(B25,[13]AssetDetails_UEM!$A$3:$X$1848,22,FALSE)</f>
        <v>10000</v>
      </c>
      <c r="E25" s="514" t="s">
        <v>837</v>
      </c>
      <c r="F25" s="514" t="s">
        <v>838</v>
      </c>
      <c r="G25" s="516" t="s">
        <v>823</v>
      </c>
      <c r="H25" s="517" t="s">
        <v>839</v>
      </c>
      <c r="I25" s="517" t="s">
        <v>161</v>
      </c>
      <c r="J25" s="192" t="s">
        <v>148</v>
      </c>
      <c r="K25" s="518">
        <f t="shared" si="0"/>
        <v>30</v>
      </c>
      <c r="L25" s="519">
        <f t="shared" si="1"/>
        <v>0</v>
      </c>
      <c r="M25" s="515" t="s">
        <v>840</v>
      </c>
      <c r="N25" s="197"/>
    </row>
    <row r="26" spans="1:14" s="520" customFormat="1" ht="130.5" customHeight="1">
      <c r="A26" s="514">
        <v>5</v>
      </c>
      <c r="B26" s="515" t="s">
        <v>841</v>
      </c>
      <c r="C26" s="515" t="s">
        <v>842</v>
      </c>
      <c r="D26" s="180">
        <f>VLOOKUP(B26,[13]AssetDetails_UEM!$A$3:$X$1848,22,FALSE)</f>
        <v>50000</v>
      </c>
      <c r="E26" s="514" t="s">
        <v>843</v>
      </c>
      <c r="F26" s="514" t="s">
        <v>838</v>
      </c>
      <c r="G26" s="516" t="s">
        <v>823</v>
      </c>
      <c r="H26" s="517" t="s">
        <v>844</v>
      </c>
      <c r="I26" s="517" t="s">
        <v>161</v>
      </c>
      <c r="J26" s="192" t="s">
        <v>148</v>
      </c>
      <c r="K26" s="518">
        <f t="shared" si="0"/>
        <v>110</v>
      </c>
      <c r="L26" s="519">
        <f t="shared" si="1"/>
        <v>0</v>
      </c>
      <c r="M26" s="515" t="s">
        <v>825</v>
      </c>
    </row>
    <row r="27" spans="1:14" s="171" customFormat="1" ht="130.5" customHeight="1">
      <c r="A27" s="514">
        <v>6</v>
      </c>
      <c r="B27" s="515" t="s">
        <v>845</v>
      </c>
      <c r="C27" s="515" t="s">
        <v>846</v>
      </c>
      <c r="D27" s="180">
        <f>VLOOKUP(B27,[13]AssetDetails_UEM!$A$3:$X$1848,22,FALSE)</f>
        <v>45000</v>
      </c>
      <c r="E27" s="514" t="s">
        <v>847</v>
      </c>
      <c r="F27" s="514" t="s">
        <v>848</v>
      </c>
      <c r="G27" s="516" t="s">
        <v>823</v>
      </c>
      <c r="H27" s="517" t="s">
        <v>849</v>
      </c>
      <c r="I27" s="517" t="s">
        <v>161</v>
      </c>
      <c r="J27" s="192" t="s">
        <v>148</v>
      </c>
      <c r="K27" s="518">
        <f t="shared" si="0"/>
        <v>100</v>
      </c>
      <c r="L27" s="519">
        <f t="shared" si="1"/>
        <v>0</v>
      </c>
      <c r="M27" s="515" t="s">
        <v>850</v>
      </c>
      <c r="N27" s="197"/>
    </row>
    <row r="28" spans="1:14" s="171" customFormat="1" ht="137.15" customHeight="1">
      <c r="A28" s="514">
        <v>7</v>
      </c>
      <c r="B28" s="515" t="s">
        <v>851</v>
      </c>
      <c r="C28" s="515" t="s">
        <v>852</v>
      </c>
      <c r="D28" s="180">
        <f>VLOOKUP(B28,[13]AssetDetails_UEM!$A$3:$X$1848,22,FALSE)</f>
        <v>144345</v>
      </c>
      <c r="E28" s="514" t="s">
        <v>853</v>
      </c>
      <c r="F28" s="514" t="s">
        <v>854</v>
      </c>
      <c r="G28" s="516" t="s">
        <v>823</v>
      </c>
      <c r="H28" s="517" t="s">
        <v>855</v>
      </c>
      <c r="I28" s="517" t="s">
        <v>161</v>
      </c>
      <c r="J28" s="192" t="s">
        <v>148</v>
      </c>
      <c r="K28" s="518">
        <f t="shared" si="0"/>
        <v>290</v>
      </c>
      <c r="L28" s="519">
        <f t="shared" si="1"/>
        <v>0</v>
      </c>
      <c r="M28" s="515" t="s">
        <v>825</v>
      </c>
      <c r="N28" s="197"/>
    </row>
    <row r="29" spans="1:14" s="171" customFormat="1" ht="117" customHeight="1">
      <c r="A29" s="514">
        <v>8</v>
      </c>
      <c r="B29" s="515" t="s">
        <v>856</v>
      </c>
      <c r="C29" s="515" t="s">
        <v>852</v>
      </c>
      <c r="D29" s="180">
        <f>VLOOKUP(B29,[13]AssetDetails_UEM!$A$3:$X$1848,22,FALSE)</f>
        <v>144345</v>
      </c>
      <c r="E29" s="514" t="s">
        <v>857</v>
      </c>
      <c r="F29" s="514" t="s">
        <v>858</v>
      </c>
      <c r="G29" s="516" t="s">
        <v>823</v>
      </c>
      <c r="H29" s="517" t="s">
        <v>824</v>
      </c>
      <c r="I29" s="517" t="s">
        <v>161</v>
      </c>
      <c r="J29" s="192" t="s">
        <v>148</v>
      </c>
      <c r="K29" s="518">
        <f t="shared" si="0"/>
        <v>290</v>
      </c>
      <c r="L29" s="519">
        <f t="shared" si="1"/>
        <v>0</v>
      </c>
      <c r="M29" s="515" t="s">
        <v>831</v>
      </c>
      <c r="N29" s="197"/>
    </row>
    <row r="30" spans="1:14" s="171" customFormat="1" ht="123" customHeight="1">
      <c r="A30" s="514">
        <v>9</v>
      </c>
      <c r="B30" s="515" t="s">
        <v>859</v>
      </c>
      <c r="C30" s="515" t="s">
        <v>860</v>
      </c>
      <c r="D30" s="180">
        <f>VLOOKUP(B30,[13]AssetDetails_UEM!$A$3:$X$1848,22,FALSE)</f>
        <v>45000</v>
      </c>
      <c r="E30" s="514" t="s">
        <v>861</v>
      </c>
      <c r="F30" s="514" t="s">
        <v>714</v>
      </c>
      <c r="G30" s="516" t="s">
        <v>862</v>
      </c>
      <c r="H30" s="517" t="s">
        <v>863</v>
      </c>
      <c r="I30" s="517" t="s">
        <v>161</v>
      </c>
      <c r="J30" s="192" t="s">
        <v>148</v>
      </c>
      <c r="K30" s="518">
        <f t="shared" si="0"/>
        <v>100</v>
      </c>
      <c r="L30" s="519">
        <f t="shared" si="1"/>
        <v>0</v>
      </c>
      <c r="M30" s="515" t="s">
        <v>864</v>
      </c>
      <c r="N30" s="197"/>
    </row>
    <row r="31" spans="1:14" s="171" customFormat="1" ht="124" customHeight="1">
      <c r="A31" s="514">
        <v>10</v>
      </c>
      <c r="B31" s="515" t="s">
        <v>865</v>
      </c>
      <c r="C31" s="515" t="s">
        <v>852</v>
      </c>
      <c r="D31" s="180">
        <f>VLOOKUP(B31,[13]AssetDetails_UEM!$A$3:$X$1848,22,FALSE)</f>
        <v>144345</v>
      </c>
      <c r="E31" s="514" t="s">
        <v>866</v>
      </c>
      <c r="F31" s="514" t="s">
        <v>867</v>
      </c>
      <c r="G31" s="516" t="s">
        <v>862</v>
      </c>
      <c r="H31" s="517" t="s">
        <v>868</v>
      </c>
      <c r="I31" s="517" t="s">
        <v>161</v>
      </c>
      <c r="J31" s="192" t="s">
        <v>148</v>
      </c>
      <c r="K31" s="518">
        <f t="shared" si="0"/>
        <v>290</v>
      </c>
      <c r="L31" s="519">
        <f t="shared" si="1"/>
        <v>0</v>
      </c>
      <c r="M31" s="521" t="s">
        <v>831</v>
      </c>
      <c r="N31" s="197"/>
    </row>
    <row r="32" spans="1:14" s="171" customFormat="1" ht="127.5" customHeight="1">
      <c r="A32" s="514">
        <v>11</v>
      </c>
      <c r="B32" s="515" t="s">
        <v>869</v>
      </c>
      <c r="C32" s="515" t="s">
        <v>870</v>
      </c>
      <c r="D32" s="180">
        <f>VLOOKUP(B32,[13]AssetDetails_UEM!$A$3:$X$1848,22,FALSE)</f>
        <v>59362</v>
      </c>
      <c r="E32" s="514" t="s">
        <v>871</v>
      </c>
      <c r="F32" s="514" t="s">
        <v>838</v>
      </c>
      <c r="G32" s="516" t="s">
        <v>862</v>
      </c>
      <c r="H32" s="517" t="s">
        <v>872</v>
      </c>
      <c r="I32" s="517" t="s">
        <v>161</v>
      </c>
      <c r="J32" s="192" t="s">
        <v>148</v>
      </c>
      <c r="K32" s="518">
        <f t="shared" si="0"/>
        <v>120</v>
      </c>
      <c r="L32" s="519">
        <f t="shared" si="1"/>
        <v>0</v>
      </c>
      <c r="M32" s="521" t="s">
        <v>831</v>
      </c>
      <c r="N32" s="197"/>
    </row>
    <row r="33" spans="1:14" s="171" customFormat="1" ht="143.15" customHeight="1">
      <c r="A33" s="514">
        <v>12</v>
      </c>
      <c r="B33" s="522" t="s">
        <v>873</v>
      </c>
      <c r="C33" s="522" t="s">
        <v>874</v>
      </c>
      <c r="D33" s="181">
        <f>VLOOKUP(B33,[13]AssetDetails_UEM!$A$3:$X$1848,22,FALSE)</f>
        <v>25260</v>
      </c>
      <c r="E33" s="523" t="s">
        <v>875</v>
      </c>
      <c r="F33" s="523" t="s">
        <v>876</v>
      </c>
      <c r="G33" s="523" t="s">
        <v>877</v>
      </c>
      <c r="H33" s="524">
        <v>46038.6875</v>
      </c>
      <c r="I33" s="517" t="s">
        <v>161</v>
      </c>
      <c r="J33" s="192" t="s">
        <v>148</v>
      </c>
      <c r="K33" s="518">
        <f t="shared" si="0"/>
        <v>60</v>
      </c>
      <c r="L33" s="519">
        <f t="shared" si="1"/>
        <v>0</v>
      </c>
      <c r="M33" s="515" t="s">
        <v>878</v>
      </c>
      <c r="N33" s="197"/>
    </row>
    <row r="34" spans="1:14" s="171" customFormat="1" ht="134.15" customHeight="1">
      <c r="A34" s="514">
        <v>13</v>
      </c>
      <c r="B34" s="515" t="s">
        <v>267</v>
      </c>
      <c r="C34" s="515" t="s">
        <v>846</v>
      </c>
      <c r="D34" s="180">
        <f>VLOOKUP(B34,[13]AssetDetails_UEM!$A$3:$X$1848,22,FALSE)</f>
        <v>45000</v>
      </c>
      <c r="E34" s="514" t="s">
        <v>879</v>
      </c>
      <c r="F34" s="514" t="s">
        <v>269</v>
      </c>
      <c r="G34" s="516" t="s">
        <v>877</v>
      </c>
      <c r="H34" s="517" t="s">
        <v>341</v>
      </c>
      <c r="I34" s="517" t="s">
        <v>161</v>
      </c>
      <c r="J34" s="192" t="s">
        <v>148</v>
      </c>
      <c r="K34" s="518">
        <f t="shared" si="0"/>
        <v>100</v>
      </c>
      <c r="L34" s="519">
        <f t="shared" si="1"/>
        <v>0</v>
      </c>
      <c r="M34" s="515" t="s">
        <v>831</v>
      </c>
      <c r="N34" s="197"/>
    </row>
    <row r="35" spans="1:14" s="171" customFormat="1" ht="115.5" customHeight="1">
      <c r="A35" s="514">
        <v>14</v>
      </c>
      <c r="B35" s="515" t="s">
        <v>880</v>
      </c>
      <c r="C35" s="515" t="s">
        <v>852</v>
      </c>
      <c r="D35" s="180">
        <f>VLOOKUP(B35,[13]AssetDetails_UEM!$A$3:$X$1848,22,FALSE)</f>
        <v>144345</v>
      </c>
      <c r="E35" s="514" t="s">
        <v>881</v>
      </c>
      <c r="F35" s="514" t="s">
        <v>882</v>
      </c>
      <c r="G35" s="516" t="s">
        <v>877</v>
      </c>
      <c r="H35" s="517" t="s">
        <v>883</v>
      </c>
      <c r="I35" s="517" t="s">
        <v>161</v>
      </c>
      <c r="J35" s="192" t="s">
        <v>148</v>
      </c>
      <c r="K35" s="518">
        <f t="shared" si="0"/>
        <v>290</v>
      </c>
      <c r="L35" s="519">
        <f t="shared" si="1"/>
        <v>0</v>
      </c>
      <c r="M35" s="525" t="s">
        <v>884</v>
      </c>
      <c r="N35" s="197"/>
    </row>
    <row r="36" spans="1:14" s="171" customFormat="1" ht="142" customHeight="1">
      <c r="A36" s="514">
        <v>15</v>
      </c>
      <c r="B36" s="515" t="s">
        <v>885</v>
      </c>
      <c r="C36" s="515" t="s">
        <v>886</v>
      </c>
      <c r="D36" s="180">
        <f>VLOOKUP(B36,[13]AssetDetails_UEM!$A$3:$X$1848,22,FALSE)</f>
        <v>97190</v>
      </c>
      <c r="E36" s="514" t="s">
        <v>887</v>
      </c>
      <c r="F36" s="514" t="s">
        <v>882</v>
      </c>
      <c r="G36" s="516" t="s">
        <v>877</v>
      </c>
      <c r="H36" s="517" t="s">
        <v>340</v>
      </c>
      <c r="I36" s="517" t="s">
        <v>161</v>
      </c>
      <c r="J36" s="192" t="s">
        <v>148</v>
      </c>
      <c r="K36" s="518">
        <f t="shared" si="0"/>
        <v>200</v>
      </c>
      <c r="L36" s="519">
        <f t="shared" si="1"/>
        <v>0</v>
      </c>
      <c r="M36" s="525" t="s">
        <v>884</v>
      </c>
      <c r="N36" s="197"/>
    </row>
    <row r="37" spans="1:14" s="171" customFormat="1" ht="147" customHeight="1">
      <c r="A37" s="514">
        <v>16</v>
      </c>
      <c r="B37" s="515" t="s">
        <v>888</v>
      </c>
      <c r="C37" s="515" t="s">
        <v>889</v>
      </c>
      <c r="D37" s="180">
        <f>VLOOKUP(B37,[13]AssetDetails_UEM!$A$3:$X$1848,22,FALSE)</f>
        <v>12900</v>
      </c>
      <c r="E37" s="514" t="s">
        <v>890</v>
      </c>
      <c r="F37" s="514" t="s">
        <v>891</v>
      </c>
      <c r="G37" s="516" t="s">
        <v>877</v>
      </c>
      <c r="H37" s="517" t="s">
        <v>892</v>
      </c>
      <c r="I37" s="517" t="s">
        <v>161</v>
      </c>
      <c r="J37" s="192" t="s">
        <v>148</v>
      </c>
      <c r="K37" s="518">
        <f t="shared" si="0"/>
        <v>30</v>
      </c>
      <c r="L37" s="519">
        <f t="shared" si="1"/>
        <v>0</v>
      </c>
      <c r="M37" s="525" t="s">
        <v>893</v>
      </c>
      <c r="N37" s="197"/>
    </row>
    <row r="38" spans="1:14" s="171" customFormat="1" ht="147" customHeight="1">
      <c r="A38" s="514">
        <v>17</v>
      </c>
      <c r="B38" s="515" t="s">
        <v>1383</v>
      </c>
      <c r="C38" s="515" t="s">
        <v>1384</v>
      </c>
      <c r="D38" s="180">
        <f>VLOOKUP(B38,[13]AssetDetails_UEM!$A$3:$X$1848,22,FALSE)</f>
        <v>1958605</v>
      </c>
      <c r="E38" s="514" t="s">
        <v>1385</v>
      </c>
      <c r="F38" s="514" t="s">
        <v>1386</v>
      </c>
      <c r="G38" s="587">
        <v>46045</v>
      </c>
      <c r="H38" s="517" t="s">
        <v>572</v>
      </c>
      <c r="I38" s="517">
        <v>46052</v>
      </c>
      <c r="J38" s="192" t="s">
        <v>148</v>
      </c>
      <c r="K38" s="518">
        <f t="shared" si="0"/>
        <v>3920</v>
      </c>
      <c r="L38" s="519">
        <f t="shared" si="1"/>
        <v>0</v>
      </c>
      <c r="M38" s="525" t="s">
        <v>1387</v>
      </c>
      <c r="N38" s="197"/>
    </row>
    <row r="39" spans="1:14" s="171" customFormat="1" ht="147" customHeight="1">
      <c r="A39" s="514">
        <v>18</v>
      </c>
      <c r="B39" s="515" t="s">
        <v>1388</v>
      </c>
      <c r="C39" s="515" t="s">
        <v>1384</v>
      </c>
      <c r="D39" s="180">
        <f>VLOOKUP(B39,[13]AssetDetails_UEM!$A$3:$X$1848,22,FALSE)</f>
        <v>1958605</v>
      </c>
      <c r="E39" s="514" t="s">
        <v>1389</v>
      </c>
      <c r="F39" s="514" t="s">
        <v>1390</v>
      </c>
      <c r="G39" s="587">
        <v>46046</v>
      </c>
      <c r="H39" s="517" t="s">
        <v>521</v>
      </c>
      <c r="I39" s="517">
        <v>46052</v>
      </c>
      <c r="J39" s="192" t="s">
        <v>148</v>
      </c>
      <c r="K39" s="518">
        <f t="shared" si="0"/>
        <v>3920</v>
      </c>
      <c r="L39" s="519">
        <f t="shared" si="1"/>
        <v>0</v>
      </c>
      <c r="M39" s="525" t="s">
        <v>1391</v>
      </c>
      <c r="N39" s="197"/>
    </row>
    <row r="40" spans="1:14" s="171" customFormat="1" ht="114" customHeight="1">
      <c r="A40" s="514">
        <v>19</v>
      </c>
      <c r="B40" s="515" t="s">
        <v>894</v>
      </c>
      <c r="C40" s="515" t="s">
        <v>895</v>
      </c>
      <c r="D40" s="180">
        <f>VLOOKUP(B40,[13]AssetDetails_UEM!$A$3:$X$1848,22,FALSE)</f>
        <v>3079</v>
      </c>
      <c r="E40" s="514" t="s">
        <v>896</v>
      </c>
      <c r="F40" s="514" t="s">
        <v>897</v>
      </c>
      <c r="G40" s="516" t="s">
        <v>898</v>
      </c>
      <c r="H40" s="517" t="s">
        <v>379</v>
      </c>
      <c r="I40" s="517" t="s">
        <v>161</v>
      </c>
      <c r="J40" s="192" t="s">
        <v>148</v>
      </c>
      <c r="K40" s="518">
        <f t="shared" si="0"/>
        <v>10</v>
      </c>
      <c r="L40" s="519">
        <f t="shared" si="1"/>
        <v>0</v>
      </c>
      <c r="M40" s="515" t="s">
        <v>899</v>
      </c>
      <c r="N40" s="197"/>
    </row>
    <row r="41" spans="1:14" s="171" customFormat="1" ht="137.15" customHeight="1">
      <c r="A41" s="514">
        <v>20</v>
      </c>
      <c r="B41" s="522" t="s">
        <v>900</v>
      </c>
      <c r="C41" s="522" t="s">
        <v>846</v>
      </c>
      <c r="D41" s="181">
        <f>VLOOKUP(B41,[13]AssetDetails_UEM!$A$3:$X$1848,22,FALSE)</f>
        <v>45000</v>
      </c>
      <c r="E41" s="523" t="s">
        <v>901</v>
      </c>
      <c r="F41" s="523" t="s">
        <v>902</v>
      </c>
      <c r="G41" s="523" t="s">
        <v>903</v>
      </c>
      <c r="H41" s="524">
        <v>46042.541666666701</v>
      </c>
      <c r="I41" s="517" t="s">
        <v>161</v>
      </c>
      <c r="J41" s="192" t="s">
        <v>148</v>
      </c>
      <c r="K41" s="518">
        <f t="shared" si="0"/>
        <v>100</v>
      </c>
      <c r="L41" s="519">
        <f t="shared" si="1"/>
        <v>0</v>
      </c>
      <c r="M41" s="515" t="s">
        <v>878</v>
      </c>
      <c r="N41" s="197"/>
    </row>
    <row r="42" spans="1:14" s="171" customFormat="1" ht="123" customHeight="1">
      <c r="A42" s="514">
        <v>21</v>
      </c>
      <c r="B42" s="515" t="s">
        <v>904</v>
      </c>
      <c r="C42" s="515" t="s">
        <v>846</v>
      </c>
      <c r="D42" s="180">
        <f>VLOOKUP(B42,[13]AssetDetails_UEM!$A$3:$X$1848,22,FALSE)</f>
        <v>45000</v>
      </c>
      <c r="E42" s="514" t="s">
        <v>905</v>
      </c>
      <c r="F42" s="514" t="s">
        <v>751</v>
      </c>
      <c r="G42" s="516" t="s">
        <v>903</v>
      </c>
      <c r="H42" s="517" t="s">
        <v>906</v>
      </c>
      <c r="I42" s="517" t="s">
        <v>161</v>
      </c>
      <c r="J42" s="192" t="s">
        <v>148</v>
      </c>
      <c r="K42" s="518">
        <f t="shared" si="0"/>
        <v>100</v>
      </c>
      <c r="L42" s="519">
        <f t="shared" si="1"/>
        <v>0</v>
      </c>
      <c r="M42" s="515" t="s">
        <v>907</v>
      </c>
      <c r="N42" s="197"/>
    </row>
    <row r="43" spans="1:14" s="171" customFormat="1" ht="133.5" customHeight="1">
      <c r="A43" s="514">
        <v>22</v>
      </c>
      <c r="B43" s="515" t="s">
        <v>908</v>
      </c>
      <c r="C43" s="515" t="s">
        <v>909</v>
      </c>
      <c r="D43" s="180">
        <f>VLOOKUP(B43,[13]AssetDetails_UEM!$A$3:$X$1848,22,FALSE)</f>
        <v>169530</v>
      </c>
      <c r="E43" s="514" t="s">
        <v>910</v>
      </c>
      <c r="F43" s="514" t="s">
        <v>911</v>
      </c>
      <c r="G43" s="516" t="s">
        <v>903</v>
      </c>
      <c r="H43" s="517" t="s">
        <v>912</v>
      </c>
      <c r="I43" s="517" t="s">
        <v>161</v>
      </c>
      <c r="J43" s="192" t="s">
        <v>148</v>
      </c>
      <c r="K43" s="518">
        <f t="shared" si="0"/>
        <v>340</v>
      </c>
      <c r="L43" s="519">
        <f t="shared" si="1"/>
        <v>0</v>
      </c>
      <c r="M43" s="515" t="s">
        <v>825</v>
      </c>
      <c r="N43" s="197"/>
    </row>
    <row r="44" spans="1:14" s="171" customFormat="1" ht="172" customHeight="1">
      <c r="A44" s="514">
        <v>23</v>
      </c>
      <c r="B44" s="515" t="s">
        <v>913</v>
      </c>
      <c r="C44" s="515" t="s">
        <v>914</v>
      </c>
      <c r="D44" s="180" t="str">
        <f>VLOOKUP(B44,[13]AssetDetails_UEM!$A$3:$X$1848,22,FALSE)</f>
        <v>RM100,00.00</v>
      </c>
      <c r="E44" s="514" t="s">
        <v>915</v>
      </c>
      <c r="F44" s="514" t="s">
        <v>598</v>
      </c>
      <c r="G44" s="516" t="s">
        <v>903</v>
      </c>
      <c r="H44" s="517" t="s">
        <v>916</v>
      </c>
      <c r="I44" s="517" t="s">
        <v>161</v>
      </c>
      <c r="J44" s="192" t="s">
        <v>148</v>
      </c>
      <c r="K44" s="518" t="e">
        <f>ROUNDUP((D44/4999.99)*10,-1)</f>
        <v>#VALUE!</v>
      </c>
      <c r="L44" s="519">
        <f t="shared" si="1"/>
        <v>0</v>
      </c>
      <c r="M44" s="515" t="s">
        <v>917</v>
      </c>
      <c r="N44" s="197"/>
    </row>
    <row r="45" spans="1:14" s="171" customFormat="1" ht="177" customHeight="1">
      <c r="A45" s="514">
        <v>24</v>
      </c>
      <c r="B45" s="515" t="s">
        <v>918</v>
      </c>
      <c r="C45" s="515" t="s">
        <v>914</v>
      </c>
      <c r="D45" s="180" t="str">
        <f>VLOOKUP(B45,[13]AssetDetails_UEM!$A$3:$X$1848,22,FALSE)</f>
        <v>RM100,00.00</v>
      </c>
      <c r="E45" s="514" t="s">
        <v>919</v>
      </c>
      <c r="F45" s="514" t="s">
        <v>920</v>
      </c>
      <c r="G45" s="516" t="s">
        <v>903</v>
      </c>
      <c r="H45" s="517" t="s">
        <v>921</v>
      </c>
      <c r="I45" s="517" t="s">
        <v>161</v>
      </c>
      <c r="J45" s="192" t="s">
        <v>148</v>
      </c>
      <c r="K45" s="518" t="e">
        <f t="shared" ref="K45" si="2">ROUNDUP((D45/4999.99)*10,-1)</f>
        <v>#VALUE!</v>
      </c>
      <c r="L45" s="519">
        <f t="shared" si="1"/>
        <v>0</v>
      </c>
      <c r="M45" s="515" t="s">
        <v>922</v>
      </c>
      <c r="N45" s="197"/>
    </row>
    <row r="46" spans="1:14" s="171" customFormat="1" ht="130.5" customHeight="1">
      <c r="A46" s="514">
        <v>25</v>
      </c>
      <c r="B46" s="515" t="s">
        <v>923</v>
      </c>
      <c r="C46" s="515" t="s">
        <v>924</v>
      </c>
      <c r="D46" s="180">
        <f>VLOOKUP(B46,[13]AssetDetails_UEM!$A$3:$X$1848,22,FALSE)</f>
        <v>4990</v>
      </c>
      <c r="E46" s="514" t="s">
        <v>925</v>
      </c>
      <c r="F46" s="514" t="s">
        <v>876</v>
      </c>
      <c r="G46" s="516" t="s">
        <v>926</v>
      </c>
      <c r="H46" s="517" t="s">
        <v>445</v>
      </c>
      <c r="I46" s="517" t="s">
        <v>161</v>
      </c>
      <c r="J46" s="192" t="s">
        <v>148</v>
      </c>
      <c r="K46" s="518">
        <f t="shared" si="0"/>
        <v>10</v>
      </c>
      <c r="L46" s="519">
        <f t="shared" si="1"/>
        <v>0</v>
      </c>
      <c r="M46" s="515" t="s">
        <v>927</v>
      </c>
      <c r="N46" s="197"/>
    </row>
    <row r="47" spans="1:14" s="171" customFormat="1" ht="171" customHeight="1">
      <c r="A47" s="514">
        <v>26</v>
      </c>
      <c r="B47" s="515" t="s">
        <v>928</v>
      </c>
      <c r="C47" s="515" t="s">
        <v>924</v>
      </c>
      <c r="D47" s="180">
        <f>VLOOKUP(B47,[13]AssetDetails_UEM!$A$3:$X$1848,22,FALSE)</f>
        <v>4990</v>
      </c>
      <c r="E47" s="514" t="s">
        <v>929</v>
      </c>
      <c r="F47" s="514" t="s">
        <v>876</v>
      </c>
      <c r="G47" s="516" t="s">
        <v>926</v>
      </c>
      <c r="H47" s="517" t="s">
        <v>930</v>
      </c>
      <c r="I47" s="517" t="s">
        <v>161</v>
      </c>
      <c r="J47" s="192" t="s">
        <v>148</v>
      </c>
      <c r="K47" s="518">
        <f t="shared" si="0"/>
        <v>10</v>
      </c>
      <c r="L47" s="519">
        <f t="shared" si="1"/>
        <v>0</v>
      </c>
      <c r="M47" s="515" t="s">
        <v>931</v>
      </c>
      <c r="N47" s="197"/>
    </row>
    <row r="48" spans="1:14" s="171" customFormat="1" ht="147" customHeight="1">
      <c r="A48" s="514">
        <v>27</v>
      </c>
      <c r="B48" s="515" t="s">
        <v>932</v>
      </c>
      <c r="C48" s="515" t="s">
        <v>846</v>
      </c>
      <c r="D48" s="180">
        <f>VLOOKUP(B48,[13]AssetDetails_UEM!$A$3:$X$1848,22,FALSE)</f>
        <v>45000</v>
      </c>
      <c r="E48" s="514" t="s">
        <v>933</v>
      </c>
      <c r="F48" s="514" t="s">
        <v>552</v>
      </c>
      <c r="G48" s="516" t="s">
        <v>926</v>
      </c>
      <c r="H48" s="517" t="s">
        <v>934</v>
      </c>
      <c r="I48" s="517" t="s">
        <v>161</v>
      </c>
      <c r="J48" s="192" t="s">
        <v>148</v>
      </c>
      <c r="K48" s="518">
        <f t="shared" si="0"/>
        <v>100</v>
      </c>
      <c r="L48" s="519">
        <f t="shared" si="1"/>
        <v>0</v>
      </c>
      <c r="M48" s="515" t="s">
        <v>935</v>
      </c>
      <c r="N48" s="197"/>
    </row>
    <row r="49" spans="1:14" s="171" customFormat="1" ht="121" customHeight="1">
      <c r="A49" s="514">
        <v>28</v>
      </c>
      <c r="B49" s="515" t="s">
        <v>936</v>
      </c>
      <c r="C49" s="515" t="s">
        <v>725</v>
      </c>
      <c r="D49" s="180">
        <f>VLOOKUP(B49,[13]AssetDetails_UEM!$A$3:$X$1848,22,FALSE)</f>
        <v>10825</v>
      </c>
      <c r="E49" s="514" t="s">
        <v>937</v>
      </c>
      <c r="F49" s="514" t="s">
        <v>637</v>
      </c>
      <c r="G49" s="516" t="s">
        <v>926</v>
      </c>
      <c r="H49" s="517" t="s">
        <v>445</v>
      </c>
      <c r="I49" s="517" t="s">
        <v>161</v>
      </c>
      <c r="J49" s="192" t="s">
        <v>148</v>
      </c>
      <c r="K49" s="518">
        <f t="shared" si="0"/>
        <v>30</v>
      </c>
      <c r="L49" s="519">
        <f t="shared" si="1"/>
        <v>0</v>
      </c>
      <c r="M49" s="515" t="s">
        <v>938</v>
      </c>
      <c r="N49" s="197"/>
    </row>
    <row r="50" spans="1:14" s="171" customFormat="1" ht="127" customHeight="1">
      <c r="A50" s="514">
        <v>29</v>
      </c>
      <c r="B50" s="515" t="s">
        <v>939</v>
      </c>
      <c r="C50" s="515" t="s">
        <v>940</v>
      </c>
      <c r="D50" s="180">
        <f>VLOOKUP(B50,[13]AssetDetails_UEM!$A$3:$X$1848,22,FALSE)</f>
        <v>143382</v>
      </c>
      <c r="E50" s="514" t="s">
        <v>941</v>
      </c>
      <c r="F50" s="514" t="s">
        <v>718</v>
      </c>
      <c r="G50" s="516" t="s">
        <v>926</v>
      </c>
      <c r="H50" s="517" t="s">
        <v>445</v>
      </c>
      <c r="I50" s="517" t="s">
        <v>161</v>
      </c>
      <c r="J50" s="192" t="s">
        <v>148</v>
      </c>
      <c r="K50" s="518">
        <f t="shared" si="0"/>
        <v>290</v>
      </c>
      <c r="L50" s="519">
        <f t="shared" si="1"/>
        <v>0</v>
      </c>
      <c r="M50" s="515" t="s">
        <v>942</v>
      </c>
      <c r="N50" s="197"/>
    </row>
    <row r="51" spans="1:14" s="171" customFormat="1" ht="132" customHeight="1">
      <c r="A51" s="514">
        <v>30</v>
      </c>
      <c r="B51" s="515" t="s">
        <v>716</v>
      </c>
      <c r="C51" s="515" t="s">
        <v>943</v>
      </c>
      <c r="D51" s="180">
        <f>VLOOKUP(B51,[13]AssetDetails_UEM!$A$3:$X$1848,22,FALSE)</f>
        <v>52460</v>
      </c>
      <c r="E51" s="514" t="s">
        <v>944</v>
      </c>
      <c r="F51" s="514" t="s">
        <v>718</v>
      </c>
      <c r="G51" s="516" t="s">
        <v>926</v>
      </c>
      <c r="H51" s="517" t="s">
        <v>445</v>
      </c>
      <c r="I51" s="517" t="s">
        <v>161</v>
      </c>
      <c r="J51" s="192" t="s">
        <v>148</v>
      </c>
      <c r="K51" s="518">
        <f t="shared" si="0"/>
        <v>110</v>
      </c>
      <c r="L51" s="519">
        <f t="shared" si="1"/>
        <v>0</v>
      </c>
      <c r="M51" s="515" t="s">
        <v>942</v>
      </c>
      <c r="N51" s="197"/>
    </row>
    <row r="52" spans="1:14" s="171" customFormat="1" ht="123" customHeight="1">
      <c r="A52" s="514">
        <v>31</v>
      </c>
      <c r="B52" s="515" t="s">
        <v>945</v>
      </c>
      <c r="C52" s="515" t="s">
        <v>886</v>
      </c>
      <c r="D52" s="180">
        <f>VLOOKUP(B52,[13]AssetDetails_UEM!$A$3:$X$1848,22,FALSE)</f>
        <v>20000</v>
      </c>
      <c r="E52" s="514" t="s">
        <v>946</v>
      </c>
      <c r="F52" s="514" t="s">
        <v>718</v>
      </c>
      <c r="G52" s="516" t="s">
        <v>926</v>
      </c>
      <c r="H52" s="517" t="s">
        <v>445</v>
      </c>
      <c r="I52" s="517" t="s">
        <v>161</v>
      </c>
      <c r="J52" s="192" t="s">
        <v>148</v>
      </c>
      <c r="K52" s="518">
        <f t="shared" si="0"/>
        <v>50</v>
      </c>
      <c r="L52" s="519">
        <f t="shared" si="1"/>
        <v>0</v>
      </c>
      <c r="M52" s="515" t="s">
        <v>947</v>
      </c>
      <c r="N52" s="197"/>
    </row>
    <row r="53" spans="1:14" s="171" customFormat="1" ht="135" customHeight="1">
      <c r="A53" s="514">
        <v>32</v>
      </c>
      <c r="B53" s="515" t="s">
        <v>948</v>
      </c>
      <c r="C53" s="515" t="s">
        <v>949</v>
      </c>
      <c r="D53" s="180">
        <f>VLOOKUP(B53,[13]AssetDetails_UEM!$A$3:$X$1848,22,FALSE)</f>
        <v>79500</v>
      </c>
      <c r="E53" s="514" t="s">
        <v>950</v>
      </c>
      <c r="F53" s="514" t="s">
        <v>951</v>
      </c>
      <c r="G53" s="516" t="s">
        <v>926</v>
      </c>
      <c r="H53" s="517" t="s">
        <v>445</v>
      </c>
      <c r="I53" s="517" t="s">
        <v>161</v>
      </c>
      <c r="J53" s="192" t="s">
        <v>148</v>
      </c>
      <c r="K53" s="518">
        <f t="shared" si="0"/>
        <v>160</v>
      </c>
      <c r="L53" s="519">
        <f t="shared" si="1"/>
        <v>0</v>
      </c>
      <c r="M53" s="515" t="s">
        <v>952</v>
      </c>
      <c r="N53" s="197"/>
    </row>
    <row r="54" spans="1:14" s="171" customFormat="1" ht="144">
      <c r="A54" s="514">
        <v>33</v>
      </c>
      <c r="B54" s="515" t="s">
        <v>1392</v>
      </c>
      <c r="C54" s="515" t="s">
        <v>1393</v>
      </c>
      <c r="D54" s="180">
        <f>VLOOKUP(B54,[13]AssetDetails_UEM!$A$3:$X$1848,22,FALSE)</f>
        <v>1149550</v>
      </c>
      <c r="E54" s="514" t="s">
        <v>1394</v>
      </c>
      <c r="F54" s="514" t="s">
        <v>1395</v>
      </c>
      <c r="G54" s="516" t="s">
        <v>926</v>
      </c>
      <c r="H54" s="517" t="s">
        <v>431</v>
      </c>
      <c r="I54" s="517" t="s">
        <v>161</v>
      </c>
      <c r="J54" s="192" t="s">
        <v>148</v>
      </c>
      <c r="K54" s="518">
        <f t="shared" si="0"/>
        <v>2300</v>
      </c>
      <c r="L54" s="519">
        <f t="shared" si="1"/>
        <v>0</v>
      </c>
      <c r="M54" s="515" t="s">
        <v>1387</v>
      </c>
      <c r="N54" s="197"/>
    </row>
    <row r="55" spans="1:14" s="171" customFormat="1" ht="144">
      <c r="A55" s="514">
        <v>34</v>
      </c>
      <c r="B55" s="515" t="s">
        <v>1396</v>
      </c>
      <c r="C55" s="515" t="s">
        <v>1397</v>
      </c>
      <c r="D55" s="180">
        <f>VLOOKUP(B55,[13]AssetDetails_UEM!$A$3:$X$1848,22,FALSE)</f>
        <v>1149550</v>
      </c>
      <c r="E55" s="514" t="s">
        <v>1398</v>
      </c>
      <c r="F55" s="514" t="s">
        <v>1395</v>
      </c>
      <c r="G55" s="516" t="s">
        <v>926</v>
      </c>
      <c r="H55" s="517" t="s">
        <v>431</v>
      </c>
      <c r="I55" s="517" t="s">
        <v>161</v>
      </c>
      <c r="J55" s="192" t="s">
        <v>148</v>
      </c>
      <c r="K55" s="518">
        <f t="shared" si="0"/>
        <v>2300</v>
      </c>
      <c r="L55" s="519">
        <f t="shared" si="1"/>
        <v>0</v>
      </c>
      <c r="M55" s="515" t="s">
        <v>1399</v>
      </c>
      <c r="N55" s="197"/>
    </row>
    <row r="56" spans="1:14" s="171" customFormat="1" ht="180">
      <c r="A56" s="514">
        <v>35</v>
      </c>
      <c r="B56" s="515" t="s">
        <v>953</v>
      </c>
      <c r="C56" s="515" t="s">
        <v>846</v>
      </c>
      <c r="D56" s="180">
        <f>VLOOKUP(B56,[13]AssetDetails_UEM!$A$3:$X$1848,22,FALSE)</f>
        <v>45000</v>
      </c>
      <c r="E56" s="514" t="s">
        <v>954</v>
      </c>
      <c r="F56" s="514" t="s">
        <v>955</v>
      </c>
      <c r="G56" s="516" t="s">
        <v>956</v>
      </c>
      <c r="H56" s="517" t="s">
        <v>957</v>
      </c>
      <c r="I56" s="517" t="s">
        <v>161</v>
      </c>
      <c r="J56" s="192" t="s">
        <v>148</v>
      </c>
      <c r="K56" s="518">
        <f t="shared" si="0"/>
        <v>100</v>
      </c>
      <c r="L56" s="519">
        <f t="shared" si="1"/>
        <v>0</v>
      </c>
      <c r="M56" s="515" t="s">
        <v>958</v>
      </c>
      <c r="N56" s="197"/>
    </row>
    <row r="57" spans="1:14" s="171" customFormat="1" ht="168" customHeight="1">
      <c r="A57" s="514">
        <v>36</v>
      </c>
      <c r="B57" s="515" t="s">
        <v>959</v>
      </c>
      <c r="C57" s="515" t="s">
        <v>960</v>
      </c>
      <c r="D57" s="180">
        <f>VLOOKUP(B57,[13]AssetDetails_UEM!$A$3:$X$1848,22,FALSE)</f>
        <v>60000</v>
      </c>
      <c r="E57" s="514" t="s">
        <v>961</v>
      </c>
      <c r="F57" s="514" t="s">
        <v>384</v>
      </c>
      <c r="G57" s="516" t="s">
        <v>956</v>
      </c>
      <c r="H57" s="517" t="s">
        <v>962</v>
      </c>
      <c r="I57" s="517" t="s">
        <v>161</v>
      </c>
      <c r="J57" s="192" t="s">
        <v>148</v>
      </c>
      <c r="K57" s="518">
        <f t="shared" si="0"/>
        <v>130</v>
      </c>
      <c r="L57" s="519">
        <f t="shared" si="1"/>
        <v>0</v>
      </c>
      <c r="M57" s="515" t="s">
        <v>963</v>
      </c>
      <c r="N57" s="197"/>
    </row>
    <row r="58" spans="1:14" s="171" customFormat="1" ht="90.65" customHeight="1">
      <c r="A58" s="514">
        <v>37</v>
      </c>
      <c r="B58" s="515" t="s">
        <v>635</v>
      </c>
      <c r="C58" s="515" t="s">
        <v>725</v>
      </c>
      <c r="D58" s="180">
        <f>VLOOKUP(B58,[13]AssetDetails_UEM!$A$3:$X$1848,22,FALSE)</f>
        <v>10825</v>
      </c>
      <c r="E58" s="514" t="s">
        <v>964</v>
      </c>
      <c r="F58" s="514" t="s">
        <v>637</v>
      </c>
      <c r="G58" s="516" t="s">
        <v>956</v>
      </c>
      <c r="H58" s="517" t="s">
        <v>475</v>
      </c>
      <c r="I58" s="517" t="s">
        <v>161</v>
      </c>
      <c r="J58" s="192" t="s">
        <v>148</v>
      </c>
      <c r="K58" s="518">
        <f t="shared" si="0"/>
        <v>30</v>
      </c>
      <c r="L58" s="519">
        <f t="shared" si="1"/>
        <v>0</v>
      </c>
      <c r="M58" s="515" t="s">
        <v>965</v>
      </c>
      <c r="N58" s="197"/>
    </row>
    <row r="59" spans="1:14" s="171" customFormat="1" ht="104.15" customHeight="1">
      <c r="A59" s="514">
        <v>38</v>
      </c>
      <c r="B59" s="515" t="s">
        <v>966</v>
      </c>
      <c r="C59" s="515" t="s">
        <v>725</v>
      </c>
      <c r="D59" s="180">
        <f>VLOOKUP(B59,[13]AssetDetails_UEM!$A$3:$X$1848,22,FALSE)</f>
        <v>10825</v>
      </c>
      <c r="E59" s="514" t="s">
        <v>967</v>
      </c>
      <c r="F59" s="514" t="s">
        <v>637</v>
      </c>
      <c r="G59" s="516" t="s">
        <v>956</v>
      </c>
      <c r="H59" s="517" t="s">
        <v>968</v>
      </c>
      <c r="I59" s="517" t="s">
        <v>161</v>
      </c>
      <c r="J59" s="192" t="s">
        <v>148</v>
      </c>
      <c r="K59" s="518">
        <f t="shared" si="0"/>
        <v>30</v>
      </c>
      <c r="L59" s="519">
        <f t="shared" si="1"/>
        <v>0</v>
      </c>
      <c r="M59" s="515" t="s">
        <v>969</v>
      </c>
      <c r="N59" s="197"/>
    </row>
    <row r="60" spans="1:14" s="171" customFormat="1" ht="216">
      <c r="A60" s="514">
        <v>39</v>
      </c>
      <c r="B60" s="515" t="s">
        <v>970</v>
      </c>
      <c r="C60" s="515" t="s">
        <v>971</v>
      </c>
      <c r="D60" s="180">
        <f>VLOOKUP(B60,[13]AssetDetails_UEM!$A$3:$X$1848,22,FALSE)</f>
        <v>3410390</v>
      </c>
      <c r="E60" s="514" t="s">
        <v>972</v>
      </c>
      <c r="F60" s="514" t="s">
        <v>920</v>
      </c>
      <c r="G60" s="587" t="s">
        <v>956</v>
      </c>
      <c r="H60" s="588" t="s">
        <v>281</v>
      </c>
      <c r="I60" s="517" t="s">
        <v>161</v>
      </c>
      <c r="J60" s="192" t="s">
        <v>148</v>
      </c>
      <c r="K60" s="518">
        <f t="shared" si="0"/>
        <v>6830</v>
      </c>
      <c r="L60" s="519">
        <f t="shared" si="1"/>
        <v>0</v>
      </c>
      <c r="M60" s="515" t="s">
        <v>1457</v>
      </c>
      <c r="N60" s="197"/>
    </row>
    <row r="61" spans="1:14" s="171" customFormat="1" ht="216">
      <c r="A61" s="514">
        <v>40</v>
      </c>
      <c r="B61" s="515" t="s">
        <v>596</v>
      </c>
      <c r="C61" s="515" t="s">
        <v>971</v>
      </c>
      <c r="D61" s="180">
        <f>VLOOKUP(B61,[13]AssetDetails_UEM!$A$3:$X$1848,22,FALSE)</f>
        <v>3413750</v>
      </c>
      <c r="E61" s="514" t="s">
        <v>973</v>
      </c>
      <c r="F61" s="514" t="s">
        <v>974</v>
      </c>
      <c r="G61" s="587" t="s">
        <v>956</v>
      </c>
      <c r="H61" s="588" t="s">
        <v>975</v>
      </c>
      <c r="I61" s="517" t="s">
        <v>161</v>
      </c>
      <c r="J61" s="192" t="s">
        <v>148</v>
      </c>
      <c r="K61" s="518">
        <f t="shared" si="0"/>
        <v>6830</v>
      </c>
      <c r="L61" s="519">
        <f t="shared" si="1"/>
        <v>0</v>
      </c>
      <c r="M61" s="515" t="s">
        <v>1457</v>
      </c>
      <c r="N61" s="197"/>
    </row>
    <row r="62" spans="1:14" s="171" customFormat="1" ht="108">
      <c r="A62" s="514">
        <v>41</v>
      </c>
      <c r="B62" s="515" t="s">
        <v>1400</v>
      </c>
      <c r="C62" s="515" t="s">
        <v>820</v>
      </c>
      <c r="D62" s="180">
        <f>VLOOKUP(B62,[13]AssetDetails_UEM!$A$3:$X$1848,22,FALSE)</f>
        <v>60150</v>
      </c>
      <c r="E62" s="514" t="s">
        <v>1401</v>
      </c>
      <c r="F62" s="514" t="s">
        <v>876</v>
      </c>
      <c r="G62" s="516" t="s">
        <v>980</v>
      </c>
      <c r="H62" s="517" t="s">
        <v>1402</v>
      </c>
      <c r="I62" s="517" t="s">
        <v>161</v>
      </c>
      <c r="J62" s="192" t="s">
        <v>148</v>
      </c>
      <c r="K62" s="518">
        <f t="shared" si="0"/>
        <v>130</v>
      </c>
      <c r="L62" s="519">
        <f t="shared" si="1"/>
        <v>0</v>
      </c>
      <c r="M62" s="515" t="s">
        <v>1403</v>
      </c>
      <c r="N62" s="197"/>
    </row>
    <row r="63" spans="1:14" s="171" customFormat="1" ht="191.25" customHeight="1">
      <c r="A63" s="514">
        <v>42</v>
      </c>
      <c r="B63" s="515" t="s">
        <v>976</v>
      </c>
      <c r="C63" s="515" t="s">
        <v>977</v>
      </c>
      <c r="D63" s="180">
        <f>VLOOKUP(B63,[13]AssetDetails_UEM!$A$3:$X$1848,22,FALSE)</f>
        <v>3557530</v>
      </c>
      <c r="E63" s="514" t="s">
        <v>978</v>
      </c>
      <c r="F63" s="514" t="s">
        <v>979</v>
      </c>
      <c r="G63" s="516" t="s">
        <v>980</v>
      </c>
      <c r="H63" s="517" t="s">
        <v>981</v>
      </c>
      <c r="I63" s="517" t="s">
        <v>161</v>
      </c>
      <c r="J63" s="192" t="s">
        <v>148</v>
      </c>
      <c r="K63" s="518">
        <f t="shared" si="0"/>
        <v>7120</v>
      </c>
      <c r="L63" s="519">
        <f t="shared" si="1"/>
        <v>0</v>
      </c>
      <c r="M63" s="515" t="s">
        <v>982</v>
      </c>
      <c r="N63" s="197"/>
    </row>
    <row r="64" spans="1:14" s="171" customFormat="1" ht="213" customHeight="1">
      <c r="A64" s="514">
        <v>43</v>
      </c>
      <c r="B64" s="515" t="s">
        <v>983</v>
      </c>
      <c r="C64" s="515" t="s">
        <v>977</v>
      </c>
      <c r="D64" s="180">
        <f>VLOOKUP(B64,[13]AssetDetails_UEM!$A$3:$X$1848,22,FALSE)</f>
        <v>3557530</v>
      </c>
      <c r="E64" s="514" t="s">
        <v>984</v>
      </c>
      <c r="F64" s="514" t="s">
        <v>985</v>
      </c>
      <c r="G64" s="516" t="s">
        <v>980</v>
      </c>
      <c r="H64" s="517" t="s">
        <v>986</v>
      </c>
      <c r="I64" s="517" t="s">
        <v>161</v>
      </c>
      <c r="J64" s="192" t="s">
        <v>148</v>
      </c>
      <c r="K64" s="518">
        <f t="shared" si="0"/>
        <v>7120</v>
      </c>
      <c r="L64" s="519">
        <f t="shared" si="1"/>
        <v>0</v>
      </c>
      <c r="M64" s="515" t="s">
        <v>987</v>
      </c>
      <c r="N64" s="197"/>
    </row>
    <row r="65" spans="1:14" s="171" customFormat="1" ht="124.5" customHeight="1">
      <c r="A65" s="514">
        <v>44</v>
      </c>
      <c r="B65" s="515" t="s">
        <v>988</v>
      </c>
      <c r="C65" s="515" t="s">
        <v>989</v>
      </c>
      <c r="D65" s="180">
        <f>VLOOKUP(B65,[13]AssetDetails_UEM!$A$3:$X$1848,22,FALSE)</f>
        <v>20000</v>
      </c>
      <c r="E65" s="514" t="s">
        <v>990</v>
      </c>
      <c r="F65" s="514" t="s">
        <v>991</v>
      </c>
      <c r="G65" s="516" t="s">
        <v>980</v>
      </c>
      <c r="H65" s="517" t="s">
        <v>992</v>
      </c>
      <c r="I65" s="517" t="s">
        <v>161</v>
      </c>
      <c r="J65" s="192" t="s">
        <v>148</v>
      </c>
      <c r="K65" s="518">
        <f t="shared" si="0"/>
        <v>50</v>
      </c>
      <c r="L65" s="519">
        <f t="shared" si="1"/>
        <v>0</v>
      </c>
      <c r="M65" s="515" t="s">
        <v>993</v>
      </c>
      <c r="N65" s="197"/>
    </row>
    <row r="66" spans="1:14" s="171" customFormat="1" ht="142" customHeight="1">
      <c r="A66" s="514">
        <v>45</v>
      </c>
      <c r="B66" s="515" t="s">
        <v>994</v>
      </c>
      <c r="C66" s="515" t="s">
        <v>995</v>
      </c>
      <c r="D66" s="180">
        <f>VLOOKUP(B66,[13]AssetDetails_UEM!$A$3:$X$1848,22,FALSE)</f>
        <v>2403940</v>
      </c>
      <c r="E66" s="514" t="s">
        <v>996</v>
      </c>
      <c r="F66" s="514" t="s">
        <v>997</v>
      </c>
      <c r="G66" s="514" t="s">
        <v>980</v>
      </c>
      <c r="H66" s="526">
        <v>46045.375</v>
      </c>
      <c r="I66" s="517" t="s">
        <v>161</v>
      </c>
      <c r="J66" s="192" t="s">
        <v>148</v>
      </c>
      <c r="K66" s="518">
        <f t="shared" si="0"/>
        <v>4810</v>
      </c>
      <c r="L66" s="519">
        <f t="shared" si="1"/>
        <v>0</v>
      </c>
      <c r="M66" s="515" t="s">
        <v>878</v>
      </c>
      <c r="N66" s="197"/>
    </row>
    <row r="67" spans="1:14" s="172" customFormat="1" ht="160" customHeight="1">
      <c r="A67" s="514">
        <v>46</v>
      </c>
      <c r="B67" s="527"/>
      <c r="C67" s="527"/>
      <c r="D67" s="182" t="e">
        <f>VLOOKUP(B67,[13]AssetDetails_UEM!$A$3:$X$1848,22,FALSE)</f>
        <v>#N/A</v>
      </c>
      <c r="E67" s="528" t="s">
        <v>998</v>
      </c>
      <c r="F67" s="528" t="s">
        <v>384</v>
      </c>
      <c r="G67" s="529">
        <v>46042</v>
      </c>
      <c r="H67" s="529" t="s">
        <v>999</v>
      </c>
      <c r="I67" s="529" t="s">
        <v>161</v>
      </c>
      <c r="J67" s="193" t="s">
        <v>148</v>
      </c>
      <c r="K67" s="530" t="e">
        <f t="shared" si="0"/>
        <v>#N/A</v>
      </c>
      <c r="L67" s="531">
        <f t="shared" si="1"/>
        <v>0</v>
      </c>
      <c r="M67" s="527" t="s">
        <v>1000</v>
      </c>
      <c r="N67" s="198"/>
    </row>
    <row r="68" spans="1:14" s="171" customFormat="1" ht="103" customHeight="1">
      <c r="A68" s="514">
        <v>47</v>
      </c>
      <c r="B68" s="515" t="s">
        <v>1001</v>
      </c>
      <c r="C68" s="515" t="s">
        <v>846</v>
      </c>
      <c r="D68" s="180">
        <f>VLOOKUP(B68,[13]AssetDetails_UEM!$A$3:$X$1848,22,FALSE)</f>
        <v>45000</v>
      </c>
      <c r="E68" s="514" t="s">
        <v>1002</v>
      </c>
      <c r="F68" s="514" t="s">
        <v>1003</v>
      </c>
      <c r="G68" s="516" t="s">
        <v>1004</v>
      </c>
      <c r="H68" s="517" t="s">
        <v>1005</v>
      </c>
      <c r="I68" s="517" t="s">
        <v>161</v>
      </c>
      <c r="J68" s="192" t="s">
        <v>148</v>
      </c>
      <c r="K68" s="518">
        <f t="shared" si="0"/>
        <v>100</v>
      </c>
      <c r="L68" s="519">
        <f t="shared" si="1"/>
        <v>0</v>
      </c>
      <c r="M68" s="515" t="s">
        <v>1006</v>
      </c>
      <c r="N68" s="197"/>
    </row>
    <row r="69" spans="1:14" s="171" customFormat="1" ht="108">
      <c r="A69" s="514">
        <v>48</v>
      </c>
      <c r="B69" s="515" t="s">
        <v>1404</v>
      </c>
      <c r="C69" s="515" t="s">
        <v>1023</v>
      </c>
      <c r="D69" s="180">
        <f>VLOOKUP(B69,[13]AssetDetails_UEM!$A$3:$X$1848,22,FALSE)</f>
        <v>7580</v>
      </c>
      <c r="E69" s="514" t="s">
        <v>1405</v>
      </c>
      <c r="F69" s="514" t="s">
        <v>822</v>
      </c>
      <c r="G69" s="516" t="s">
        <v>1004</v>
      </c>
      <c r="H69" s="517" t="s">
        <v>1406</v>
      </c>
      <c r="I69" s="517" t="s">
        <v>161</v>
      </c>
      <c r="J69" s="192" t="s">
        <v>148</v>
      </c>
      <c r="K69" s="518">
        <f t="shared" si="0"/>
        <v>20</v>
      </c>
      <c r="L69" s="519">
        <f t="shared" si="1"/>
        <v>0</v>
      </c>
      <c r="M69" s="515" t="s">
        <v>1407</v>
      </c>
      <c r="N69" s="197"/>
    </row>
    <row r="70" spans="1:14" s="171" customFormat="1" ht="144">
      <c r="A70" s="514">
        <v>49</v>
      </c>
      <c r="B70" s="515" t="s">
        <v>1408</v>
      </c>
      <c r="C70" s="515" t="s">
        <v>846</v>
      </c>
      <c r="D70" s="180">
        <f>VLOOKUP(B70,[13]AssetDetails_UEM!$A$3:$X$1848,22,FALSE)</f>
        <v>45000</v>
      </c>
      <c r="E70" s="514" t="s">
        <v>1409</v>
      </c>
      <c r="F70" s="514" t="s">
        <v>1410</v>
      </c>
      <c r="G70" s="516" t="s">
        <v>1004</v>
      </c>
      <c r="H70" s="517" t="s">
        <v>592</v>
      </c>
      <c r="I70" s="517" t="s">
        <v>161</v>
      </c>
      <c r="J70" s="192" t="s">
        <v>148</v>
      </c>
      <c r="K70" s="518">
        <f t="shared" si="0"/>
        <v>100</v>
      </c>
      <c r="L70" s="519">
        <f t="shared" si="1"/>
        <v>0</v>
      </c>
      <c r="M70" s="515" t="s">
        <v>1411</v>
      </c>
      <c r="N70" s="197"/>
    </row>
    <row r="71" spans="1:14" s="171" customFormat="1" ht="144">
      <c r="A71" s="514">
        <v>50</v>
      </c>
      <c r="B71" s="515" t="s">
        <v>1412</v>
      </c>
      <c r="C71" s="515" t="s">
        <v>1413</v>
      </c>
      <c r="D71" s="180">
        <f>VLOOKUP(B71,[13]AssetDetails_UEM!$A$3:$X$1848,22,FALSE)</f>
        <v>15515</v>
      </c>
      <c r="E71" s="514" t="s">
        <v>1414</v>
      </c>
      <c r="F71" s="514" t="s">
        <v>1415</v>
      </c>
      <c r="G71" s="516" t="s">
        <v>1004</v>
      </c>
      <c r="H71" s="517" t="s">
        <v>572</v>
      </c>
      <c r="I71" s="517" t="s">
        <v>161</v>
      </c>
      <c r="J71" s="192" t="s">
        <v>148</v>
      </c>
      <c r="K71" s="518">
        <f t="shared" si="0"/>
        <v>40</v>
      </c>
      <c r="L71" s="519">
        <f t="shared" si="1"/>
        <v>0</v>
      </c>
      <c r="M71" s="515" t="s">
        <v>1416</v>
      </c>
      <c r="N71" s="197"/>
    </row>
    <row r="72" spans="1:14" s="171" customFormat="1" ht="104.25" customHeight="1">
      <c r="A72" s="514">
        <v>51</v>
      </c>
      <c r="B72" s="515" t="s">
        <v>1417</v>
      </c>
      <c r="C72" s="515" t="s">
        <v>924</v>
      </c>
      <c r="D72" s="180">
        <f>VLOOKUP(B72,[13]AssetDetails_UEM!$A$3:$X$1848,22,FALSE)</f>
        <v>15395</v>
      </c>
      <c r="E72" s="514" t="s">
        <v>1418</v>
      </c>
      <c r="F72" s="514" t="s">
        <v>882</v>
      </c>
      <c r="G72" s="516" t="s">
        <v>1004</v>
      </c>
      <c r="H72" s="517" t="s">
        <v>585</v>
      </c>
      <c r="I72" s="517" t="s">
        <v>161</v>
      </c>
      <c r="J72" s="192" t="s">
        <v>148</v>
      </c>
      <c r="K72" s="518">
        <f t="shared" si="0"/>
        <v>40</v>
      </c>
      <c r="L72" s="519">
        <f t="shared" si="1"/>
        <v>0</v>
      </c>
      <c r="M72" s="515" t="s">
        <v>1411</v>
      </c>
      <c r="N72" s="197"/>
    </row>
    <row r="73" spans="1:14" s="171" customFormat="1" ht="144">
      <c r="A73" s="514">
        <v>52</v>
      </c>
      <c r="B73" s="515" t="s">
        <v>1419</v>
      </c>
      <c r="C73" s="515" t="s">
        <v>1420</v>
      </c>
      <c r="D73" s="180">
        <f>VLOOKUP(B73,[13]AssetDetails_UEM!$A$3:$X$1848,22,FALSE)</f>
        <v>15515</v>
      </c>
      <c r="E73" s="514" t="s">
        <v>1421</v>
      </c>
      <c r="F73" s="514" t="s">
        <v>882</v>
      </c>
      <c r="G73" s="516" t="s">
        <v>1004</v>
      </c>
      <c r="H73" s="517" t="s">
        <v>581</v>
      </c>
      <c r="I73" s="517" t="s">
        <v>161</v>
      </c>
      <c r="J73" s="192" t="s">
        <v>148</v>
      </c>
      <c r="K73" s="518">
        <f t="shared" si="0"/>
        <v>40</v>
      </c>
      <c r="L73" s="519">
        <f t="shared" si="1"/>
        <v>0</v>
      </c>
      <c r="M73" s="515" t="s">
        <v>1422</v>
      </c>
      <c r="N73" s="197"/>
    </row>
    <row r="74" spans="1:14" s="171" customFormat="1" ht="144">
      <c r="A74" s="514">
        <v>53</v>
      </c>
      <c r="B74" s="515" t="s">
        <v>1423</v>
      </c>
      <c r="C74" s="515" t="s">
        <v>1420</v>
      </c>
      <c r="D74" s="180">
        <f>VLOOKUP(B74,[13]AssetDetails_UEM!$A$3:$X$1848,22,FALSE)</f>
        <v>15515</v>
      </c>
      <c r="E74" s="514" t="s">
        <v>1424</v>
      </c>
      <c r="F74" s="514" t="s">
        <v>854</v>
      </c>
      <c r="G74" s="516" t="s">
        <v>1004</v>
      </c>
      <c r="H74" s="517" t="s">
        <v>1425</v>
      </c>
      <c r="I74" s="517" t="s">
        <v>161</v>
      </c>
      <c r="J74" s="192" t="s">
        <v>148</v>
      </c>
      <c r="K74" s="518">
        <f t="shared" si="0"/>
        <v>40</v>
      </c>
      <c r="L74" s="519">
        <f t="shared" si="1"/>
        <v>0</v>
      </c>
      <c r="M74" s="515" t="s">
        <v>1411</v>
      </c>
      <c r="N74" s="197"/>
    </row>
    <row r="75" spans="1:14" s="171" customFormat="1" ht="128.15" customHeight="1">
      <c r="A75" s="514">
        <v>54</v>
      </c>
      <c r="B75" s="515" t="s">
        <v>1007</v>
      </c>
      <c r="C75" s="515" t="s">
        <v>1008</v>
      </c>
      <c r="D75" s="180">
        <f>VLOOKUP(B75,[13]AssetDetails_UEM!$A$3:$X$1848,22,FALSE)</f>
        <v>2700</v>
      </c>
      <c r="E75" s="514" t="s">
        <v>1009</v>
      </c>
      <c r="F75" s="514" t="s">
        <v>1010</v>
      </c>
      <c r="G75" s="514" t="s">
        <v>1011</v>
      </c>
      <c r="H75" s="532">
        <v>46050.340277777803</v>
      </c>
      <c r="I75" s="517" t="s">
        <v>161</v>
      </c>
      <c r="J75" s="192" t="s">
        <v>148</v>
      </c>
      <c r="K75" s="518">
        <f t="shared" si="0"/>
        <v>10</v>
      </c>
      <c r="L75" s="519">
        <f t="shared" si="1"/>
        <v>0</v>
      </c>
      <c r="M75" s="515" t="s">
        <v>1012</v>
      </c>
      <c r="N75" s="197"/>
    </row>
    <row r="76" spans="1:14" s="171" customFormat="1" ht="108" customHeight="1">
      <c r="A76" s="514">
        <v>55</v>
      </c>
      <c r="B76" s="515" t="s">
        <v>1013</v>
      </c>
      <c r="C76" s="515" t="s">
        <v>1008</v>
      </c>
      <c r="D76" s="180">
        <f>VLOOKUP(B76,[13]AssetDetails_UEM!$A$3:$X$1848,22,FALSE)</f>
        <v>2700</v>
      </c>
      <c r="E76" s="514" t="s">
        <v>1014</v>
      </c>
      <c r="F76" s="514" t="s">
        <v>1015</v>
      </c>
      <c r="G76" s="514" t="s">
        <v>1011</v>
      </c>
      <c r="H76" s="532">
        <v>46050.361111111102</v>
      </c>
      <c r="I76" s="517" t="s">
        <v>161</v>
      </c>
      <c r="J76" s="192" t="s">
        <v>148</v>
      </c>
      <c r="K76" s="518">
        <f t="shared" si="0"/>
        <v>10</v>
      </c>
      <c r="L76" s="519">
        <f t="shared" si="1"/>
        <v>0</v>
      </c>
      <c r="M76" s="515" t="s">
        <v>1012</v>
      </c>
      <c r="N76" s="197"/>
    </row>
    <row r="77" spans="1:14" s="171" customFormat="1" ht="129" customHeight="1">
      <c r="A77" s="514">
        <v>56</v>
      </c>
      <c r="B77" s="515" t="s">
        <v>1016</v>
      </c>
      <c r="C77" s="515" t="s">
        <v>1008</v>
      </c>
      <c r="D77" s="180">
        <f>VLOOKUP(B77,[13]AssetDetails_UEM!$A$3:$X$1848,22,FALSE)</f>
        <v>2700</v>
      </c>
      <c r="E77" s="514" t="s">
        <v>1017</v>
      </c>
      <c r="F77" s="514" t="s">
        <v>1018</v>
      </c>
      <c r="G77" s="514" t="s">
        <v>1011</v>
      </c>
      <c r="H77" s="532">
        <v>46050.368055555598</v>
      </c>
      <c r="I77" s="517" t="s">
        <v>161</v>
      </c>
      <c r="J77" s="192" t="s">
        <v>148</v>
      </c>
      <c r="K77" s="518">
        <f t="shared" si="0"/>
        <v>10</v>
      </c>
      <c r="L77" s="519">
        <f t="shared" si="1"/>
        <v>0</v>
      </c>
      <c r="M77" s="515" t="s">
        <v>1012</v>
      </c>
      <c r="N77" s="197"/>
    </row>
    <row r="78" spans="1:14" s="171" customFormat="1" ht="117" customHeight="1">
      <c r="A78" s="514">
        <v>57</v>
      </c>
      <c r="B78" s="515" t="s">
        <v>1019</v>
      </c>
      <c r="C78" s="515" t="s">
        <v>1008</v>
      </c>
      <c r="D78" s="180">
        <f>VLOOKUP(B78,[13]AssetDetails_UEM!$A$3:$X$1848,22,FALSE)</f>
        <v>2700</v>
      </c>
      <c r="E78" s="514" t="s">
        <v>1020</v>
      </c>
      <c r="F78" s="514" t="s">
        <v>1021</v>
      </c>
      <c r="G78" s="514" t="s">
        <v>1011</v>
      </c>
      <c r="H78" s="532">
        <v>46050.375</v>
      </c>
      <c r="I78" s="517" t="s">
        <v>161</v>
      </c>
      <c r="J78" s="192" t="s">
        <v>148</v>
      </c>
      <c r="K78" s="518">
        <f t="shared" si="0"/>
        <v>10</v>
      </c>
      <c r="L78" s="519">
        <f t="shared" si="1"/>
        <v>0</v>
      </c>
      <c r="M78" s="515" t="s">
        <v>1012</v>
      </c>
      <c r="N78" s="197"/>
    </row>
    <row r="79" spans="1:14" s="171" customFormat="1" ht="112.5" customHeight="1">
      <c r="A79" s="514">
        <v>58</v>
      </c>
      <c r="B79" s="515" t="s">
        <v>1022</v>
      </c>
      <c r="C79" s="515" t="s">
        <v>1023</v>
      </c>
      <c r="D79" s="180">
        <f>VLOOKUP(B79,[13]AssetDetails_UEM!$A$3:$X$1848,22,FALSE)</f>
        <v>10705</v>
      </c>
      <c r="E79" s="514" t="s">
        <v>1024</v>
      </c>
      <c r="F79" s="514" t="s">
        <v>384</v>
      </c>
      <c r="G79" s="514" t="s">
        <v>1011</v>
      </c>
      <c r="H79" s="532">
        <v>46050.381944444402</v>
      </c>
      <c r="I79" s="517" t="s">
        <v>161</v>
      </c>
      <c r="J79" s="192" t="s">
        <v>148</v>
      </c>
      <c r="K79" s="518">
        <f t="shared" si="0"/>
        <v>30</v>
      </c>
      <c r="L79" s="519">
        <f t="shared" si="1"/>
        <v>0</v>
      </c>
      <c r="M79" s="515" t="s">
        <v>878</v>
      </c>
      <c r="N79" s="197"/>
    </row>
    <row r="80" spans="1:14" s="171" customFormat="1" ht="108" customHeight="1">
      <c r="A80" s="514">
        <v>59</v>
      </c>
      <c r="B80" s="515" t="s">
        <v>1025</v>
      </c>
      <c r="C80" s="515" t="s">
        <v>1023</v>
      </c>
      <c r="D80" s="180">
        <f>VLOOKUP(B80,[13]AssetDetails_UEM!$A$3:$X$1848,22,FALSE)</f>
        <v>10705</v>
      </c>
      <c r="E80" s="514" t="s">
        <v>1026</v>
      </c>
      <c r="F80" s="514" t="s">
        <v>384</v>
      </c>
      <c r="G80" s="514" t="s">
        <v>1011</v>
      </c>
      <c r="H80" s="532">
        <v>46050.416666666701</v>
      </c>
      <c r="I80" s="517" t="s">
        <v>161</v>
      </c>
      <c r="J80" s="192" t="s">
        <v>148</v>
      </c>
      <c r="K80" s="518">
        <f t="shared" si="0"/>
        <v>30</v>
      </c>
      <c r="L80" s="519">
        <f t="shared" si="1"/>
        <v>0</v>
      </c>
      <c r="M80" s="515" t="s">
        <v>878</v>
      </c>
      <c r="N80" s="197"/>
    </row>
    <row r="81" spans="1:14" s="171" customFormat="1" ht="144">
      <c r="A81" s="514">
        <v>60</v>
      </c>
      <c r="B81" s="515" t="s">
        <v>1426</v>
      </c>
      <c r="C81" s="515" t="s">
        <v>874</v>
      </c>
      <c r="D81" s="180">
        <f>VLOOKUP(B81,[13]AssetDetails_UEM!$A$3:$X$1848,22,FALSE)</f>
        <v>25260</v>
      </c>
      <c r="E81" s="514" t="s">
        <v>1427</v>
      </c>
      <c r="F81" s="514" t="s">
        <v>1428</v>
      </c>
      <c r="G81" s="514" t="s">
        <v>1011</v>
      </c>
      <c r="H81" s="532" t="s">
        <v>1429</v>
      </c>
      <c r="I81" s="517" t="s">
        <v>161</v>
      </c>
      <c r="J81" s="192" t="s">
        <v>148</v>
      </c>
      <c r="K81" s="518">
        <f t="shared" si="0"/>
        <v>60</v>
      </c>
      <c r="L81" s="519">
        <f t="shared" si="1"/>
        <v>0</v>
      </c>
      <c r="M81" s="515" t="s">
        <v>1430</v>
      </c>
      <c r="N81" s="197"/>
    </row>
    <row r="82" spans="1:14" s="171" customFormat="1" ht="144">
      <c r="A82" s="514">
        <v>61</v>
      </c>
      <c r="B82" s="515" t="s">
        <v>1431</v>
      </c>
      <c r="C82" s="515" t="s">
        <v>846</v>
      </c>
      <c r="D82" s="180">
        <f>VLOOKUP(B82,[13]AssetDetails_UEM!$A$3:$X$1848,22,FALSE)</f>
        <v>45000</v>
      </c>
      <c r="E82" s="514" t="s">
        <v>1432</v>
      </c>
      <c r="F82" s="514" t="s">
        <v>1433</v>
      </c>
      <c r="G82" s="514" t="s">
        <v>1011</v>
      </c>
      <c r="H82" s="532" t="s">
        <v>565</v>
      </c>
      <c r="I82" s="517" t="s">
        <v>161</v>
      </c>
      <c r="J82" s="192" t="s">
        <v>148</v>
      </c>
      <c r="K82" s="518">
        <f t="shared" si="0"/>
        <v>100</v>
      </c>
      <c r="L82" s="519">
        <f t="shared" si="1"/>
        <v>0</v>
      </c>
      <c r="M82" s="515" t="s">
        <v>1434</v>
      </c>
      <c r="N82" s="197"/>
    </row>
    <row r="83" spans="1:14" s="171" customFormat="1" ht="250" customHeight="1">
      <c r="A83" s="514">
        <v>62</v>
      </c>
      <c r="B83" s="522" t="s">
        <v>1027</v>
      </c>
      <c r="C83" s="522" t="s">
        <v>914</v>
      </c>
      <c r="D83" s="181">
        <f>VLOOKUP(B83,[13]AssetDetails_UEM!$A$3:$X$1848,22,FALSE)</f>
        <v>22000</v>
      </c>
      <c r="E83" s="523" t="s">
        <v>1028</v>
      </c>
      <c r="F83" s="523" t="s">
        <v>1029</v>
      </c>
      <c r="G83" s="523" t="s">
        <v>1011</v>
      </c>
      <c r="H83" s="524">
        <v>46050.458333333299</v>
      </c>
      <c r="I83" s="517" t="s">
        <v>161</v>
      </c>
      <c r="J83" s="192" t="s">
        <v>148</v>
      </c>
      <c r="K83" s="518">
        <f t="shared" si="0"/>
        <v>50</v>
      </c>
      <c r="L83" s="519">
        <f t="shared" si="1"/>
        <v>0</v>
      </c>
      <c r="M83" s="515" t="s">
        <v>1030</v>
      </c>
      <c r="N83" s="197"/>
    </row>
    <row r="84" spans="1:14" s="171" customFormat="1" ht="107.5" customHeight="1">
      <c r="A84" s="514">
        <v>63</v>
      </c>
      <c r="B84" s="515" t="s">
        <v>1031</v>
      </c>
      <c r="C84" s="515" t="s">
        <v>1023</v>
      </c>
      <c r="D84" s="180">
        <f>VLOOKUP(B84,[13]AssetDetails_UEM!$A$3:$X$1848,22,FALSE)</f>
        <v>5052</v>
      </c>
      <c r="E84" s="514" t="s">
        <v>1032</v>
      </c>
      <c r="F84" s="514" t="s">
        <v>488</v>
      </c>
      <c r="G84" s="516" t="s">
        <v>1033</v>
      </c>
      <c r="H84" s="517" t="s">
        <v>1034</v>
      </c>
      <c r="I84" s="517" t="s">
        <v>161</v>
      </c>
      <c r="J84" s="192" t="s">
        <v>148</v>
      </c>
      <c r="K84" s="518">
        <f t="shared" si="0"/>
        <v>20</v>
      </c>
      <c r="L84" s="519">
        <f t="shared" si="1"/>
        <v>0</v>
      </c>
      <c r="M84" s="515" t="s">
        <v>969</v>
      </c>
      <c r="N84" s="197"/>
    </row>
    <row r="85" spans="1:14" s="171" customFormat="1" ht="107.5" customHeight="1">
      <c r="A85" s="514">
        <v>64</v>
      </c>
      <c r="B85" s="515" t="s">
        <v>1035</v>
      </c>
      <c r="C85" s="515" t="s">
        <v>725</v>
      </c>
      <c r="D85" s="180">
        <f>VLOOKUP(B85,[13]AssetDetails_UEM!$A$3:$X$1848,22,FALSE)</f>
        <v>10825</v>
      </c>
      <c r="E85" s="514" t="s">
        <v>1036</v>
      </c>
      <c r="F85" s="514" t="s">
        <v>637</v>
      </c>
      <c r="G85" s="516" t="s">
        <v>1033</v>
      </c>
      <c r="H85" s="517" t="s">
        <v>1037</v>
      </c>
      <c r="I85" s="517" t="s">
        <v>161</v>
      </c>
      <c r="J85" s="192" t="s">
        <v>148</v>
      </c>
      <c r="K85" s="518">
        <f t="shared" si="0"/>
        <v>30</v>
      </c>
      <c r="L85" s="519">
        <f t="shared" si="1"/>
        <v>0</v>
      </c>
      <c r="M85" s="515" t="s">
        <v>1038</v>
      </c>
      <c r="N85" s="197"/>
    </row>
    <row r="86" spans="1:14" s="171" customFormat="1" ht="107.5" customHeight="1">
      <c r="A86" s="514">
        <v>65</v>
      </c>
      <c r="B86" s="515" t="s">
        <v>1039</v>
      </c>
      <c r="C86" s="515" t="s">
        <v>725</v>
      </c>
      <c r="D86" s="180">
        <f>VLOOKUP(B86,[13]AssetDetails_UEM!$A$3:$X$1848,22,FALSE)</f>
        <v>10825</v>
      </c>
      <c r="E86" s="514" t="s">
        <v>1040</v>
      </c>
      <c r="F86" s="514" t="s">
        <v>637</v>
      </c>
      <c r="G86" s="516" t="s">
        <v>1033</v>
      </c>
      <c r="H86" s="517" t="s">
        <v>556</v>
      </c>
      <c r="I86" s="517" t="s">
        <v>161</v>
      </c>
      <c r="J86" s="192" t="s">
        <v>148</v>
      </c>
      <c r="K86" s="518">
        <f t="shared" ref="K86:K93" si="3">ROUNDUP((D86/4999.99)*10,-1)</f>
        <v>30</v>
      </c>
      <c r="L86" s="519">
        <f t="shared" ref="L86:L93" si="4">IF(J86="N",0,K86)</f>
        <v>0</v>
      </c>
      <c r="M86" s="515" t="s">
        <v>1041</v>
      </c>
      <c r="N86" s="197"/>
    </row>
    <row r="87" spans="1:14" s="171" customFormat="1" ht="107.5" customHeight="1">
      <c r="A87" s="514">
        <v>66</v>
      </c>
      <c r="B87" s="515" t="s">
        <v>1435</v>
      </c>
      <c r="C87" s="515" t="s">
        <v>874</v>
      </c>
      <c r="D87" s="180">
        <f>VLOOKUP(B87,[13]AssetDetails_UEM!$A$3:$X$1848,22,FALSE)</f>
        <v>25260</v>
      </c>
      <c r="E87" s="514" t="s">
        <v>1436</v>
      </c>
      <c r="F87" s="514" t="s">
        <v>1437</v>
      </c>
      <c r="G87" s="516" t="s">
        <v>1044</v>
      </c>
      <c r="H87" s="517" t="s">
        <v>1438</v>
      </c>
      <c r="I87" s="517" t="s">
        <v>161</v>
      </c>
      <c r="J87" s="192" t="s">
        <v>148</v>
      </c>
      <c r="K87" s="518">
        <f t="shared" si="3"/>
        <v>60</v>
      </c>
      <c r="L87" s="519">
        <f t="shared" si="4"/>
        <v>0</v>
      </c>
      <c r="M87" s="515" t="s">
        <v>1439</v>
      </c>
      <c r="N87" s="197"/>
    </row>
    <row r="88" spans="1:14" s="171" customFormat="1" ht="107.5" customHeight="1">
      <c r="A88" s="514">
        <v>67</v>
      </c>
      <c r="B88" s="515" t="s">
        <v>1042</v>
      </c>
      <c r="C88" s="515" t="s">
        <v>725</v>
      </c>
      <c r="D88" s="180">
        <f>VLOOKUP(B88,[13]AssetDetails_UEM!$A$3:$X$1848,22,FALSE)</f>
        <v>10825</v>
      </c>
      <c r="E88" s="514" t="s">
        <v>1043</v>
      </c>
      <c r="F88" s="514" t="s">
        <v>637</v>
      </c>
      <c r="G88" s="516" t="s">
        <v>1044</v>
      </c>
      <c r="H88" s="517" t="s">
        <v>1045</v>
      </c>
      <c r="I88" s="517" t="s">
        <v>161</v>
      </c>
      <c r="J88" s="192" t="s">
        <v>148</v>
      </c>
      <c r="K88" s="518">
        <f t="shared" si="3"/>
        <v>30</v>
      </c>
      <c r="L88" s="519">
        <f t="shared" si="4"/>
        <v>0</v>
      </c>
      <c r="M88" s="515" t="s">
        <v>969</v>
      </c>
      <c r="N88" s="197"/>
    </row>
    <row r="89" spans="1:14" s="533" customFormat="1" ht="107.5" customHeight="1">
      <c r="A89" s="514">
        <v>68</v>
      </c>
      <c r="B89" s="515" t="s">
        <v>1046</v>
      </c>
      <c r="C89" s="515" t="s">
        <v>1047</v>
      </c>
      <c r="D89" s="180">
        <f>VLOOKUP(B89,[13]AssetDetails_UEM!$A$3:$X$1848,22,FALSE)</f>
        <v>111330</v>
      </c>
      <c r="E89" s="514" t="s">
        <v>1048</v>
      </c>
      <c r="F89" s="514" t="s">
        <v>1049</v>
      </c>
      <c r="G89" s="514" t="s">
        <v>1044</v>
      </c>
      <c r="H89" s="532">
        <v>46052.583333333299</v>
      </c>
      <c r="I89" s="517" t="s">
        <v>161</v>
      </c>
      <c r="J89" s="192" t="s">
        <v>148</v>
      </c>
      <c r="K89" s="518">
        <f t="shared" si="3"/>
        <v>230</v>
      </c>
      <c r="L89" s="519">
        <f t="shared" si="4"/>
        <v>0</v>
      </c>
      <c r="M89" s="515" t="s">
        <v>878</v>
      </c>
    </row>
    <row r="90" spans="1:14" s="533" customFormat="1" ht="142.5" customHeight="1">
      <c r="A90" s="514">
        <v>69</v>
      </c>
      <c r="B90" s="515" t="s">
        <v>1050</v>
      </c>
      <c r="C90" s="515" t="s">
        <v>1051</v>
      </c>
      <c r="D90" s="180">
        <f>VLOOKUP(B90,[13]AssetDetails_UEM!$A$3:$X$1848,22,FALSE)</f>
        <v>12000</v>
      </c>
      <c r="E90" s="514" t="s">
        <v>1052</v>
      </c>
      <c r="F90" s="514" t="s">
        <v>1053</v>
      </c>
      <c r="G90" s="514" t="s">
        <v>1044</v>
      </c>
      <c r="H90" s="532">
        <v>46052.333333333299</v>
      </c>
      <c r="I90" s="517" t="s">
        <v>161</v>
      </c>
      <c r="J90" s="192" t="s">
        <v>148</v>
      </c>
      <c r="K90" s="518">
        <f t="shared" si="3"/>
        <v>30</v>
      </c>
      <c r="L90" s="519">
        <f t="shared" si="4"/>
        <v>0</v>
      </c>
      <c r="M90" s="515" t="s">
        <v>878</v>
      </c>
    </row>
    <row r="91" spans="1:14" s="533" customFormat="1" ht="172.5" customHeight="1">
      <c r="A91" s="514">
        <v>70</v>
      </c>
      <c r="B91" s="515" t="s">
        <v>1054</v>
      </c>
      <c r="C91" s="515" t="s">
        <v>1055</v>
      </c>
      <c r="D91" s="180">
        <f>VLOOKUP(B91,[13]AssetDetails_UEM!$A$3:$X$1848,22,FALSE)</f>
        <v>49000</v>
      </c>
      <c r="E91" s="514" t="s">
        <v>1056</v>
      </c>
      <c r="F91" s="514" t="s">
        <v>1057</v>
      </c>
      <c r="G91" s="514" t="s">
        <v>1044</v>
      </c>
      <c r="H91" s="532">
        <v>46052.375</v>
      </c>
      <c r="I91" s="517" t="s">
        <v>161</v>
      </c>
      <c r="J91" s="192" t="s">
        <v>148</v>
      </c>
      <c r="K91" s="518">
        <f t="shared" si="3"/>
        <v>100</v>
      </c>
      <c r="L91" s="519">
        <f t="shared" si="4"/>
        <v>0</v>
      </c>
      <c r="M91" s="515" t="s">
        <v>878</v>
      </c>
    </row>
    <row r="92" spans="1:14" s="533" customFormat="1" ht="172.5" customHeight="1">
      <c r="A92" s="514">
        <v>71</v>
      </c>
      <c r="B92" s="515" t="s">
        <v>749</v>
      </c>
      <c r="C92" s="515" t="s">
        <v>1216</v>
      </c>
      <c r="D92" s="180">
        <v>138350</v>
      </c>
      <c r="E92" s="514" t="s">
        <v>1440</v>
      </c>
      <c r="F92" s="514" t="s">
        <v>751</v>
      </c>
      <c r="G92" s="532">
        <v>46051</v>
      </c>
      <c r="H92" s="532" t="s">
        <v>1441</v>
      </c>
      <c r="I92" s="517" t="s">
        <v>161</v>
      </c>
      <c r="J92" s="192" t="s">
        <v>148</v>
      </c>
      <c r="K92" s="518">
        <f t="shared" si="3"/>
        <v>280</v>
      </c>
      <c r="L92" s="519">
        <f t="shared" si="4"/>
        <v>0</v>
      </c>
      <c r="M92" s="515" t="s">
        <v>878</v>
      </c>
    </row>
    <row r="93" spans="1:14" s="171" customFormat="1" ht="138" customHeight="1">
      <c r="A93" s="514">
        <v>72</v>
      </c>
      <c r="B93" s="522" t="s">
        <v>1058</v>
      </c>
      <c r="C93" s="522" t="s">
        <v>846</v>
      </c>
      <c r="D93" s="181">
        <f>VLOOKUP(B93,[13]AssetDetails_UEM!$A$3:$X$1848,22,FALSE)</f>
        <v>45000</v>
      </c>
      <c r="E93" s="523" t="s">
        <v>1059</v>
      </c>
      <c r="F93" s="523" t="s">
        <v>1060</v>
      </c>
      <c r="G93" s="523" t="s">
        <v>1061</v>
      </c>
      <c r="H93" s="524">
        <v>46031.375</v>
      </c>
      <c r="I93" s="517" t="s">
        <v>161</v>
      </c>
      <c r="J93" s="192" t="s">
        <v>148</v>
      </c>
      <c r="K93" s="518">
        <f t="shared" si="3"/>
        <v>100</v>
      </c>
      <c r="L93" s="519">
        <f t="shared" si="4"/>
        <v>0</v>
      </c>
      <c r="M93" s="515" t="s">
        <v>878</v>
      </c>
      <c r="N93" s="197"/>
    </row>
    <row r="94" spans="1:14" s="171" customFormat="1" ht="74.150000000000006" customHeight="1">
      <c r="A94" s="711" t="s">
        <v>1062</v>
      </c>
      <c r="B94" s="711"/>
      <c r="C94" s="711"/>
      <c r="D94" s="199"/>
      <c r="E94" s="199"/>
      <c r="F94" s="199"/>
      <c r="G94" s="199"/>
      <c r="H94" s="202"/>
      <c r="I94" s="202"/>
      <c r="J94" s="202"/>
      <c r="K94" s="202"/>
      <c r="L94" s="202"/>
      <c r="M94" s="202"/>
      <c r="N94" s="197"/>
    </row>
    <row r="95" spans="1:14" s="171" customFormat="1" ht="138" customHeight="1">
      <c r="A95" s="514">
        <v>1</v>
      </c>
      <c r="B95" s="515" t="s">
        <v>768</v>
      </c>
      <c r="C95" s="515" t="s">
        <v>769</v>
      </c>
      <c r="D95" s="180">
        <f>VLOOKUP(B95,[13]AssetDetails_UEM!$A$3:$X$1848,22,FALSE)</f>
        <v>80000</v>
      </c>
      <c r="E95" s="514" t="s">
        <v>1063</v>
      </c>
      <c r="F95" s="514" t="s">
        <v>718</v>
      </c>
      <c r="G95" s="514" t="s">
        <v>926</v>
      </c>
      <c r="H95" s="534" t="s">
        <v>804</v>
      </c>
      <c r="I95" s="517"/>
      <c r="J95" s="192" t="s">
        <v>148</v>
      </c>
      <c r="K95" s="518">
        <f>ROUNDUP((D95/4999.99)*10,-1)</f>
        <v>170</v>
      </c>
      <c r="L95" s="519">
        <f>IF(J95="N",0,K95)</f>
        <v>0</v>
      </c>
      <c r="M95" s="515" t="s">
        <v>1458</v>
      </c>
      <c r="N95" s="197"/>
    </row>
    <row r="96" spans="1:14" s="171" customFormat="1" ht="130" customHeight="1">
      <c r="A96" s="514">
        <v>2</v>
      </c>
      <c r="B96" s="515" t="s">
        <v>1064</v>
      </c>
      <c r="C96" s="515" t="s">
        <v>1065</v>
      </c>
      <c r="D96" s="180">
        <f>VLOOKUP(B96,[13]AssetDetails_UEM!$A$3:$X$1848,22,FALSE)</f>
        <v>968448</v>
      </c>
      <c r="E96" s="514" t="s">
        <v>1066</v>
      </c>
      <c r="F96" s="514" t="s">
        <v>1067</v>
      </c>
      <c r="G96" s="514" t="s">
        <v>1044</v>
      </c>
      <c r="H96" s="534" t="s">
        <v>804</v>
      </c>
      <c r="I96" s="517"/>
      <c r="J96" s="192" t="s">
        <v>148</v>
      </c>
      <c r="K96" s="518">
        <f>ROUNDUP((D96/4999.99)*10,-1)</f>
        <v>1940</v>
      </c>
      <c r="L96" s="519">
        <f>IF(J96="N",0,K96)</f>
        <v>0</v>
      </c>
      <c r="M96" s="515" t="s">
        <v>1459</v>
      </c>
      <c r="N96" s="197"/>
    </row>
    <row r="97" spans="1:14" s="533" customFormat="1" ht="111" customHeight="1">
      <c r="A97" s="712" t="s">
        <v>1068</v>
      </c>
      <c r="B97" s="713"/>
      <c r="C97" s="713"/>
      <c r="D97" s="713"/>
      <c r="E97" s="713"/>
      <c r="F97" s="535"/>
      <c r="G97" s="536"/>
      <c r="H97" s="537"/>
      <c r="I97" s="538"/>
      <c r="J97" s="538"/>
      <c r="K97" s="204"/>
      <c r="L97" s="204"/>
      <c r="M97" s="210"/>
    </row>
    <row r="98" spans="1:14" s="171" customFormat="1" ht="288" customHeight="1">
      <c r="A98" s="514">
        <v>1</v>
      </c>
      <c r="B98" s="515" t="s">
        <v>1069</v>
      </c>
      <c r="C98" s="539" t="s">
        <v>1070</v>
      </c>
      <c r="D98" s="200">
        <f>VLOOKUP(B98,[13]AssetDetails_UEM!$A$3:$X$1848,22,FALSE)</f>
        <v>1323</v>
      </c>
      <c r="E98" s="540" t="s">
        <v>1071</v>
      </c>
      <c r="F98" s="540" t="s">
        <v>1072</v>
      </c>
      <c r="G98" s="516">
        <v>46003</v>
      </c>
      <c r="H98" s="203" t="s">
        <v>1073</v>
      </c>
      <c r="I98" s="541">
        <v>46038</v>
      </c>
      <c r="J98" s="207" t="s">
        <v>148</v>
      </c>
      <c r="K98" s="518">
        <f t="shared" ref="K98:K104" si="5">ROUNDUP((D98/4999.99)*10,-1)</f>
        <v>10</v>
      </c>
      <c r="L98" s="519">
        <f t="shared" ref="L98:L104" si="6">IF(J98="N",0,K98)</f>
        <v>0</v>
      </c>
      <c r="M98" s="515" t="s">
        <v>1074</v>
      </c>
      <c r="N98" s="197"/>
    </row>
    <row r="99" spans="1:14" s="171" customFormat="1" ht="377.5" customHeight="1">
      <c r="A99" s="514">
        <v>2</v>
      </c>
      <c r="B99" s="515" t="s">
        <v>1075</v>
      </c>
      <c r="C99" s="539" t="s">
        <v>1070</v>
      </c>
      <c r="D99" s="200">
        <f>VLOOKUP(B99,[13]AssetDetails_UEM!$A$3:$X$1848,22,FALSE)</f>
        <v>1323</v>
      </c>
      <c r="E99" s="540" t="s">
        <v>1076</v>
      </c>
      <c r="F99" s="540" t="s">
        <v>1072</v>
      </c>
      <c r="G99" s="516" t="s">
        <v>1077</v>
      </c>
      <c r="H99" s="203" t="s">
        <v>281</v>
      </c>
      <c r="I99" s="541">
        <v>46038</v>
      </c>
      <c r="J99" s="207" t="s">
        <v>148</v>
      </c>
      <c r="K99" s="518">
        <f t="shared" si="5"/>
        <v>10</v>
      </c>
      <c r="L99" s="519">
        <f t="shared" si="6"/>
        <v>0</v>
      </c>
      <c r="M99" s="515" t="s">
        <v>1078</v>
      </c>
      <c r="N99" s="197"/>
    </row>
    <row r="100" spans="1:14" s="171" customFormat="1" ht="324">
      <c r="A100" s="514">
        <v>3</v>
      </c>
      <c r="B100" s="515" t="s">
        <v>1079</v>
      </c>
      <c r="C100" s="539" t="s">
        <v>1070</v>
      </c>
      <c r="D100" s="200">
        <f>VLOOKUP(B100,[13]AssetDetails_UEM!$A$3:$X$1848,22,FALSE)</f>
        <v>1323</v>
      </c>
      <c r="E100" s="540" t="s">
        <v>1080</v>
      </c>
      <c r="F100" s="540" t="s">
        <v>1072</v>
      </c>
      <c r="G100" s="516">
        <v>46003</v>
      </c>
      <c r="H100" s="203" t="s">
        <v>1081</v>
      </c>
      <c r="I100" s="541">
        <v>46038</v>
      </c>
      <c r="J100" s="207" t="s">
        <v>148</v>
      </c>
      <c r="K100" s="518">
        <f t="shared" si="5"/>
        <v>10</v>
      </c>
      <c r="L100" s="519">
        <f t="shared" si="6"/>
        <v>0</v>
      </c>
      <c r="M100" s="515" t="s">
        <v>1082</v>
      </c>
      <c r="N100" s="197"/>
    </row>
    <row r="101" spans="1:14" s="171" customFormat="1" ht="288">
      <c r="A101" s="514">
        <v>4</v>
      </c>
      <c r="B101" s="515" t="s">
        <v>1083</v>
      </c>
      <c r="C101" s="539" t="s">
        <v>1070</v>
      </c>
      <c r="D101" s="200">
        <f>VLOOKUP(B101,[13]AssetDetails_UEM!$A$3:$X$1848,22,FALSE)</f>
        <v>596</v>
      </c>
      <c r="E101" s="540" t="s">
        <v>1084</v>
      </c>
      <c r="F101" s="540" t="s">
        <v>1085</v>
      </c>
      <c r="G101" s="516">
        <v>46003</v>
      </c>
      <c r="H101" s="203" t="s">
        <v>310</v>
      </c>
      <c r="I101" s="541">
        <v>46038</v>
      </c>
      <c r="J101" s="207" t="s">
        <v>148</v>
      </c>
      <c r="K101" s="518">
        <f t="shared" si="5"/>
        <v>10</v>
      </c>
      <c r="L101" s="519">
        <f t="shared" si="6"/>
        <v>0</v>
      </c>
      <c r="M101" s="515" t="s">
        <v>1086</v>
      </c>
      <c r="N101" s="197"/>
    </row>
    <row r="102" spans="1:14" s="171" customFormat="1" ht="253.5" customHeight="1">
      <c r="A102" s="514">
        <v>5</v>
      </c>
      <c r="B102" s="515" t="s">
        <v>1087</v>
      </c>
      <c r="C102" s="539" t="s">
        <v>1070</v>
      </c>
      <c r="D102" s="200">
        <f>VLOOKUP(B102,[13]AssetDetails_UEM!$A$3:$X$1848,22,FALSE)</f>
        <v>762</v>
      </c>
      <c r="E102" s="540" t="s">
        <v>1088</v>
      </c>
      <c r="F102" s="540" t="s">
        <v>1085</v>
      </c>
      <c r="G102" s="516">
        <v>46003</v>
      </c>
      <c r="H102" s="203" t="s">
        <v>1089</v>
      </c>
      <c r="I102" s="541">
        <v>46038</v>
      </c>
      <c r="J102" s="207" t="s">
        <v>148</v>
      </c>
      <c r="K102" s="518">
        <f t="shared" si="5"/>
        <v>10</v>
      </c>
      <c r="L102" s="519">
        <f t="shared" si="6"/>
        <v>0</v>
      </c>
      <c r="M102" s="515" t="s">
        <v>1090</v>
      </c>
      <c r="N102" s="197"/>
    </row>
    <row r="103" spans="1:14" s="171" customFormat="1" ht="252" customHeight="1">
      <c r="A103" s="514">
        <v>6</v>
      </c>
      <c r="B103" s="515" t="s">
        <v>1091</v>
      </c>
      <c r="C103" s="539" t="s">
        <v>1092</v>
      </c>
      <c r="D103" s="200">
        <f>VLOOKUP(B103,[13]AssetDetails_UEM!$A$3:$X$1848,22,FALSE)</f>
        <v>23270</v>
      </c>
      <c r="E103" s="540" t="s">
        <v>1093</v>
      </c>
      <c r="F103" s="540" t="s">
        <v>1094</v>
      </c>
      <c r="G103" s="516" t="s">
        <v>1095</v>
      </c>
      <c r="H103" s="203" t="s">
        <v>1096</v>
      </c>
      <c r="I103" s="541">
        <v>46031</v>
      </c>
      <c r="J103" s="207" t="s">
        <v>148</v>
      </c>
      <c r="K103" s="518">
        <f t="shared" si="5"/>
        <v>50</v>
      </c>
      <c r="L103" s="519">
        <f t="shared" si="6"/>
        <v>0</v>
      </c>
      <c r="M103" s="515" t="s">
        <v>1097</v>
      </c>
      <c r="N103" s="197"/>
    </row>
    <row r="104" spans="1:14" s="171" customFormat="1" ht="337.5" customHeight="1">
      <c r="A104" s="514">
        <v>7</v>
      </c>
      <c r="B104" s="515" t="s">
        <v>1098</v>
      </c>
      <c r="C104" s="539" t="s">
        <v>1099</v>
      </c>
      <c r="D104" s="180">
        <f>VLOOKUP(B104,[13]AssetDetails_UEM!$A$3:$X$1848,22,FALSE)</f>
        <v>2298</v>
      </c>
      <c r="E104" s="540" t="s">
        <v>1100</v>
      </c>
      <c r="F104" s="540" t="s">
        <v>1101</v>
      </c>
      <c r="G104" s="516" t="s">
        <v>1102</v>
      </c>
      <c r="H104" s="203" t="s">
        <v>1103</v>
      </c>
      <c r="I104" s="541">
        <v>46029</v>
      </c>
      <c r="J104" s="207" t="s">
        <v>148</v>
      </c>
      <c r="K104" s="518">
        <f t="shared" si="5"/>
        <v>10</v>
      </c>
      <c r="L104" s="519">
        <f t="shared" si="6"/>
        <v>0</v>
      </c>
      <c r="M104" s="515" t="s">
        <v>1104</v>
      </c>
      <c r="N104" s="197"/>
    </row>
    <row r="105" spans="1:14" s="533" customFormat="1" ht="111" customHeight="1">
      <c r="A105" s="712" t="s">
        <v>1105</v>
      </c>
      <c r="B105" s="713"/>
      <c r="C105" s="713"/>
      <c r="D105" s="713"/>
      <c r="E105" s="713"/>
      <c r="F105" s="204"/>
      <c r="G105" s="205"/>
      <c r="H105" s="206"/>
      <c r="I105" s="537"/>
      <c r="J105" s="537"/>
      <c r="K105" s="204"/>
      <c r="L105" s="204"/>
      <c r="M105" s="204"/>
    </row>
    <row r="106" spans="1:14" s="533" customFormat="1" ht="152.25" customHeight="1">
      <c r="A106" s="514">
        <v>1</v>
      </c>
      <c r="B106" s="515" t="s">
        <v>1106</v>
      </c>
      <c r="C106" s="521" t="s">
        <v>1092</v>
      </c>
      <c r="D106" s="200">
        <f>VLOOKUP(B106,[13]AssetDetails_UEM!$A$3:$X$1848,22,FALSE)</f>
        <v>54570</v>
      </c>
      <c r="E106" s="542" t="s">
        <v>1107</v>
      </c>
      <c r="F106" s="542" t="s">
        <v>1108</v>
      </c>
      <c r="G106" s="516">
        <v>45982.446759259299</v>
      </c>
      <c r="H106" s="517" t="s">
        <v>804</v>
      </c>
      <c r="I106" s="517">
        <v>46031</v>
      </c>
      <c r="J106" s="208" t="s">
        <v>148</v>
      </c>
      <c r="K106" s="518">
        <f>ROUNDUP((D106/4999.99)*10,-1)</f>
        <v>110</v>
      </c>
      <c r="L106" s="519">
        <f>IF(J106="N",0,K106)</f>
        <v>0</v>
      </c>
      <c r="M106" s="527" t="s">
        <v>1109</v>
      </c>
    </row>
    <row r="107" spans="1:14" s="171" customFormat="1" ht="123.65" customHeight="1">
      <c r="A107" s="514">
        <v>2</v>
      </c>
      <c r="B107" s="515" t="s">
        <v>1110</v>
      </c>
      <c r="C107" s="521" t="s">
        <v>1111</v>
      </c>
      <c r="D107" s="200">
        <f>VLOOKUP(B107,[13]AssetDetails_UEM!$A$3:$X$1848,22,FALSE)</f>
        <v>6810</v>
      </c>
      <c r="E107" s="542" t="s">
        <v>1112</v>
      </c>
      <c r="F107" s="542" t="s">
        <v>1113</v>
      </c>
      <c r="G107" s="516">
        <v>45952</v>
      </c>
      <c r="H107" s="203" t="s">
        <v>804</v>
      </c>
      <c r="I107" s="517">
        <v>46029</v>
      </c>
      <c r="J107" s="192" t="s">
        <v>148</v>
      </c>
      <c r="K107" s="518">
        <f t="shared" ref="K107:K130" si="7">ROUNDUP((D107/4999.99)*10,-1)</f>
        <v>20</v>
      </c>
      <c r="L107" s="519">
        <f t="shared" ref="L107:L130" si="8">IF(J107="N",0,K107)</f>
        <v>0</v>
      </c>
      <c r="M107" s="527" t="s">
        <v>1114</v>
      </c>
      <c r="N107" s="197"/>
    </row>
    <row r="108" spans="1:14" s="533" customFormat="1" ht="193.5" customHeight="1">
      <c r="A108" s="514">
        <v>3</v>
      </c>
      <c r="B108" s="515" t="s">
        <v>762</v>
      </c>
      <c r="C108" s="521" t="s">
        <v>1115</v>
      </c>
      <c r="D108" s="200">
        <f>VLOOKUP(B108,[13]AssetDetails_UEM!$A$3:$X$1848,22,FALSE)</f>
        <v>142000</v>
      </c>
      <c r="E108" s="542" t="s">
        <v>1116</v>
      </c>
      <c r="F108" s="542" t="s">
        <v>764</v>
      </c>
      <c r="G108" s="516">
        <v>45939</v>
      </c>
      <c r="H108" s="543" t="s">
        <v>804</v>
      </c>
      <c r="I108" s="517">
        <v>46030</v>
      </c>
      <c r="J108" s="209" t="s">
        <v>148</v>
      </c>
      <c r="K108" s="518">
        <f t="shared" si="7"/>
        <v>290</v>
      </c>
      <c r="L108" s="519">
        <f t="shared" si="8"/>
        <v>0</v>
      </c>
      <c r="M108" s="527" t="s">
        <v>1117</v>
      </c>
    </row>
    <row r="109" spans="1:14" s="533" customFormat="1" ht="111" customHeight="1">
      <c r="A109" s="514">
        <v>4</v>
      </c>
      <c r="B109" s="515" t="s">
        <v>1118</v>
      </c>
      <c r="C109" s="521" t="s">
        <v>1115</v>
      </c>
      <c r="D109" s="200">
        <f>VLOOKUP(B109,[13]AssetDetails_UEM!$A$3:$X$1848,22,FALSE)</f>
        <v>40000</v>
      </c>
      <c r="E109" s="542" t="s">
        <v>1119</v>
      </c>
      <c r="F109" s="542" t="s">
        <v>1113</v>
      </c>
      <c r="G109" s="516">
        <v>45707</v>
      </c>
      <c r="H109" s="517" t="s">
        <v>804</v>
      </c>
      <c r="I109" s="517">
        <v>46037</v>
      </c>
      <c r="J109" s="192" t="s">
        <v>148</v>
      </c>
      <c r="K109" s="518">
        <f t="shared" si="7"/>
        <v>90</v>
      </c>
      <c r="L109" s="519">
        <f t="shared" si="8"/>
        <v>0</v>
      </c>
      <c r="M109" s="527" t="s">
        <v>1120</v>
      </c>
    </row>
    <row r="110" spans="1:14" s="171" customFormat="1" ht="74.150000000000006" customHeight="1">
      <c r="A110" s="514">
        <v>5</v>
      </c>
      <c r="B110" s="515" t="s">
        <v>1121</v>
      </c>
      <c r="C110" s="521" t="s">
        <v>1115</v>
      </c>
      <c r="D110" s="200">
        <f>VLOOKUP(B110,[13]AssetDetails_UEM!$A$3:$X$1848,22,FALSE)</f>
        <v>30000</v>
      </c>
      <c r="E110" s="542" t="s">
        <v>1122</v>
      </c>
      <c r="F110" s="542" t="s">
        <v>1113</v>
      </c>
      <c r="G110" s="516">
        <v>45807</v>
      </c>
      <c r="H110" s="203" t="s">
        <v>804</v>
      </c>
      <c r="I110" s="517">
        <v>46030</v>
      </c>
      <c r="J110" s="192" t="s">
        <v>148</v>
      </c>
      <c r="K110" s="518">
        <f t="shared" si="7"/>
        <v>70</v>
      </c>
      <c r="L110" s="519">
        <f t="shared" si="8"/>
        <v>0</v>
      </c>
      <c r="M110" s="527" t="s">
        <v>1123</v>
      </c>
      <c r="N110" s="197"/>
    </row>
    <row r="111" spans="1:14" s="533" customFormat="1" ht="111" customHeight="1">
      <c r="A111" s="514">
        <v>6</v>
      </c>
      <c r="B111" s="515" t="s">
        <v>1124</v>
      </c>
      <c r="C111" s="521" t="s">
        <v>1115</v>
      </c>
      <c r="D111" s="200">
        <f>VLOOKUP(B111,[13]AssetDetails_UEM!$A$3:$X$1848,22,FALSE)</f>
        <v>400000</v>
      </c>
      <c r="E111" s="542" t="s">
        <v>1125</v>
      </c>
      <c r="F111" s="542" t="s">
        <v>1113</v>
      </c>
      <c r="G111" s="516">
        <v>45841</v>
      </c>
      <c r="H111" s="203" t="s">
        <v>804</v>
      </c>
      <c r="I111" s="517">
        <v>46031.000011574099</v>
      </c>
      <c r="J111" s="192" t="s">
        <v>148</v>
      </c>
      <c r="K111" s="518">
        <f t="shared" si="7"/>
        <v>810</v>
      </c>
      <c r="L111" s="519">
        <f t="shared" si="8"/>
        <v>0</v>
      </c>
      <c r="M111" s="527" t="s">
        <v>1126</v>
      </c>
    </row>
    <row r="112" spans="1:14" s="171" customFormat="1" ht="146.5" customHeight="1">
      <c r="A112" s="514">
        <v>7</v>
      </c>
      <c r="B112" s="515" t="s">
        <v>1127</v>
      </c>
      <c r="C112" s="521" t="s">
        <v>1115</v>
      </c>
      <c r="D112" s="200">
        <f>VLOOKUP(B112,[13]AssetDetails_UEM!$A$3:$X$1848,22,FALSE)</f>
        <v>40000</v>
      </c>
      <c r="E112" s="542" t="s">
        <v>1128</v>
      </c>
      <c r="F112" s="542" t="s">
        <v>1113</v>
      </c>
      <c r="G112" s="516">
        <v>45898</v>
      </c>
      <c r="H112" s="203" t="s">
        <v>804</v>
      </c>
      <c r="I112" s="517">
        <v>46031</v>
      </c>
      <c r="J112" s="192" t="s">
        <v>148</v>
      </c>
      <c r="K112" s="518">
        <f t="shared" si="7"/>
        <v>90</v>
      </c>
      <c r="L112" s="519">
        <f t="shared" si="8"/>
        <v>0</v>
      </c>
      <c r="M112" s="527" t="s">
        <v>1120</v>
      </c>
      <c r="N112" s="197"/>
    </row>
    <row r="113" spans="1:14" s="171" customFormat="1" ht="142.5" customHeight="1">
      <c r="A113" s="514">
        <v>8</v>
      </c>
      <c r="B113" s="515" t="s">
        <v>1129</v>
      </c>
      <c r="C113" s="521" t="s">
        <v>1115</v>
      </c>
      <c r="D113" s="200">
        <f>VLOOKUP(B113,[13]AssetDetails_UEM!$A$3:$X$1848,22,FALSE)</f>
        <v>40000</v>
      </c>
      <c r="E113" s="542" t="s">
        <v>1130</v>
      </c>
      <c r="F113" s="542" t="s">
        <v>1113</v>
      </c>
      <c r="G113" s="516">
        <v>45898</v>
      </c>
      <c r="H113" s="203" t="s">
        <v>804</v>
      </c>
      <c r="I113" s="517">
        <v>46031</v>
      </c>
      <c r="J113" s="207" t="s">
        <v>148</v>
      </c>
      <c r="K113" s="518">
        <f t="shared" si="7"/>
        <v>90</v>
      </c>
      <c r="L113" s="519">
        <f t="shared" si="8"/>
        <v>0</v>
      </c>
      <c r="M113" s="527" t="s">
        <v>1120</v>
      </c>
      <c r="N113" s="197"/>
    </row>
    <row r="114" spans="1:14" s="171" customFormat="1" ht="101.5" customHeight="1">
      <c r="A114" s="514">
        <v>9</v>
      </c>
      <c r="B114" s="515" t="s">
        <v>1131</v>
      </c>
      <c r="C114" s="521" t="s">
        <v>1115</v>
      </c>
      <c r="D114" s="200">
        <f>VLOOKUP(B114,[13]AssetDetails_UEM!$A$3:$X$1848,22,FALSE)</f>
        <v>40000</v>
      </c>
      <c r="E114" s="542" t="s">
        <v>1132</v>
      </c>
      <c r="F114" s="542" t="s">
        <v>1113</v>
      </c>
      <c r="G114" s="516">
        <v>45898</v>
      </c>
      <c r="H114" s="203" t="s">
        <v>804</v>
      </c>
      <c r="I114" s="517">
        <v>46031</v>
      </c>
      <c r="J114" s="207" t="s">
        <v>148</v>
      </c>
      <c r="K114" s="518">
        <f t="shared" si="7"/>
        <v>90</v>
      </c>
      <c r="L114" s="519">
        <f t="shared" si="8"/>
        <v>0</v>
      </c>
      <c r="M114" s="527" t="s">
        <v>1120</v>
      </c>
      <c r="N114" s="197"/>
    </row>
    <row r="115" spans="1:14" s="171" customFormat="1" ht="126" customHeight="1">
      <c r="A115" s="514">
        <v>10</v>
      </c>
      <c r="B115" s="515" t="s">
        <v>1133</v>
      </c>
      <c r="C115" s="521" t="s">
        <v>1115</v>
      </c>
      <c r="D115" s="200">
        <f>VLOOKUP(B115,[13]AssetDetails_UEM!$A$3:$X$1848,22,FALSE)</f>
        <v>40000</v>
      </c>
      <c r="E115" s="542" t="s">
        <v>1134</v>
      </c>
      <c r="F115" s="542" t="s">
        <v>1113</v>
      </c>
      <c r="G115" s="516">
        <v>45665</v>
      </c>
      <c r="H115" s="203" t="s">
        <v>804</v>
      </c>
      <c r="I115" s="517">
        <v>46036</v>
      </c>
      <c r="J115" s="207" t="s">
        <v>148</v>
      </c>
      <c r="K115" s="518">
        <f t="shared" si="7"/>
        <v>90</v>
      </c>
      <c r="L115" s="519">
        <f t="shared" si="8"/>
        <v>0</v>
      </c>
      <c r="M115" s="527" t="s">
        <v>1120</v>
      </c>
      <c r="N115" s="197"/>
    </row>
    <row r="116" spans="1:14" s="171" customFormat="1" ht="146.5" customHeight="1">
      <c r="A116" s="514">
        <v>11</v>
      </c>
      <c r="B116" s="515" t="s">
        <v>1135</v>
      </c>
      <c r="C116" s="521" t="s">
        <v>1115</v>
      </c>
      <c r="D116" s="200">
        <f>VLOOKUP(B116,[13]AssetDetails_UEM!$A$3:$X$1848,22,FALSE)</f>
        <v>100000</v>
      </c>
      <c r="E116" s="542" t="s">
        <v>1136</v>
      </c>
      <c r="F116" s="542" t="s">
        <v>1113</v>
      </c>
      <c r="G116" s="516">
        <v>45911</v>
      </c>
      <c r="H116" s="203" t="s">
        <v>804</v>
      </c>
      <c r="I116" s="517">
        <v>46030</v>
      </c>
      <c r="J116" s="207" t="s">
        <v>148</v>
      </c>
      <c r="K116" s="518">
        <f t="shared" si="7"/>
        <v>210</v>
      </c>
      <c r="L116" s="519">
        <f t="shared" si="8"/>
        <v>0</v>
      </c>
      <c r="M116" s="527" t="s">
        <v>1120</v>
      </c>
      <c r="N116" s="197"/>
    </row>
    <row r="117" spans="1:14" s="171" customFormat="1" ht="116.25" customHeight="1">
      <c r="A117" s="514">
        <v>12</v>
      </c>
      <c r="B117" s="515" t="s">
        <v>1137</v>
      </c>
      <c r="C117" s="521" t="s">
        <v>1115</v>
      </c>
      <c r="D117" s="200">
        <f>VLOOKUP(B117,[13]AssetDetails_UEM!$A$3:$X$1848,22,FALSE)</f>
        <v>100000</v>
      </c>
      <c r="E117" s="542" t="s">
        <v>1138</v>
      </c>
      <c r="F117" s="542" t="s">
        <v>1113</v>
      </c>
      <c r="G117" s="516">
        <v>45918</v>
      </c>
      <c r="H117" s="203" t="s">
        <v>804</v>
      </c>
      <c r="I117" s="517">
        <v>46030</v>
      </c>
      <c r="J117" s="207" t="s">
        <v>148</v>
      </c>
      <c r="K117" s="518">
        <f t="shared" si="7"/>
        <v>210</v>
      </c>
      <c r="L117" s="519">
        <f t="shared" si="8"/>
        <v>0</v>
      </c>
      <c r="M117" s="544" t="s">
        <v>1120</v>
      </c>
      <c r="N117" s="197"/>
    </row>
    <row r="118" spans="1:14" s="171" customFormat="1" ht="130.5" customHeight="1">
      <c r="A118" s="514">
        <v>13</v>
      </c>
      <c r="B118" s="515" t="s">
        <v>1139</v>
      </c>
      <c r="C118" s="539" t="s">
        <v>1115</v>
      </c>
      <c r="D118" s="200">
        <f>VLOOKUP(B118,[13]AssetDetails_UEM!$A$3:$X$1848,22,FALSE)</f>
        <v>500000</v>
      </c>
      <c r="E118" s="540" t="s">
        <v>1140</v>
      </c>
      <c r="F118" s="540" t="s">
        <v>1113</v>
      </c>
      <c r="G118" s="516">
        <v>45918</v>
      </c>
      <c r="H118" s="203" t="s">
        <v>804</v>
      </c>
      <c r="I118" s="541">
        <v>46030</v>
      </c>
      <c r="J118" s="207" t="s">
        <v>148</v>
      </c>
      <c r="K118" s="518">
        <f t="shared" si="7"/>
        <v>1010</v>
      </c>
      <c r="L118" s="519">
        <f t="shared" si="8"/>
        <v>0</v>
      </c>
      <c r="M118" s="515" t="s">
        <v>1141</v>
      </c>
      <c r="N118" s="197"/>
    </row>
    <row r="119" spans="1:14" s="171" customFormat="1" ht="121.5" customHeight="1">
      <c r="A119" s="514">
        <v>14</v>
      </c>
      <c r="B119" s="515" t="s">
        <v>1142</v>
      </c>
      <c r="C119" s="539" t="s">
        <v>1115</v>
      </c>
      <c r="D119" s="200">
        <f>VLOOKUP(B119,[13]AssetDetails_UEM!$A$3:$X$1848,22,FALSE)</f>
        <v>100000</v>
      </c>
      <c r="E119" s="540" t="s">
        <v>1143</v>
      </c>
      <c r="F119" s="540" t="s">
        <v>1113</v>
      </c>
      <c r="G119" s="516">
        <v>45918</v>
      </c>
      <c r="H119" s="203" t="s">
        <v>804</v>
      </c>
      <c r="I119" s="541">
        <v>46030</v>
      </c>
      <c r="J119" s="207" t="s">
        <v>148</v>
      </c>
      <c r="K119" s="518">
        <f t="shared" si="7"/>
        <v>210</v>
      </c>
      <c r="L119" s="519">
        <f t="shared" si="8"/>
        <v>0</v>
      </c>
      <c r="M119" s="515" t="s">
        <v>1141</v>
      </c>
      <c r="N119" s="197"/>
    </row>
    <row r="120" spans="1:14" s="171" customFormat="1" ht="169.5" customHeight="1">
      <c r="A120" s="514">
        <v>15</v>
      </c>
      <c r="B120" s="515" t="s">
        <v>1144</v>
      </c>
      <c r="C120" s="539" t="s">
        <v>1145</v>
      </c>
      <c r="D120" s="200">
        <f>VLOOKUP(B120,[13]AssetDetails_UEM!$A$3:$X$1848,22,FALSE)</f>
        <v>5000</v>
      </c>
      <c r="E120" s="540" t="s">
        <v>1146</v>
      </c>
      <c r="F120" s="540" t="s">
        <v>1147</v>
      </c>
      <c r="G120" s="516">
        <v>45933</v>
      </c>
      <c r="H120" s="203" t="s">
        <v>804</v>
      </c>
      <c r="I120" s="541">
        <v>46038</v>
      </c>
      <c r="J120" s="207" t="s">
        <v>148</v>
      </c>
      <c r="K120" s="518">
        <f t="shared" si="7"/>
        <v>20</v>
      </c>
      <c r="L120" s="519">
        <f t="shared" si="8"/>
        <v>0</v>
      </c>
      <c r="M120" s="515" t="s">
        <v>1148</v>
      </c>
      <c r="N120" s="197"/>
    </row>
    <row r="121" spans="1:14" s="171" customFormat="1" ht="144" customHeight="1">
      <c r="A121" s="514">
        <v>16</v>
      </c>
      <c r="B121" s="515" t="s">
        <v>1149</v>
      </c>
      <c r="C121" s="539" t="s">
        <v>1092</v>
      </c>
      <c r="D121" s="200">
        <f>VLOOKUP(B121,[13]AssetDetails_UEM!$A$3:$X$1848,22,FALSE)</f>
        <v>23270</v>
      </c>
      <c r="E121" s="540" t="s">
        <v>1150</v>
      </c>
      <c r="F121" s="540" t="s">
        <v>1151</v>
      </c>
      <c r="G121" s="516" t="s">
        <v>1152</v>
      </c>
      <c r="H121" s="203" t="s">
        <v>804</v>
      </c>
      <c r="I121" s="541">
        <v>46031</v>
      </c>
      <c r="J121" s="207" t="s">
        <v>148</v>
      </c>
      <c r="K121" s="518">
        <f t="shared" si="7"/>
        <v>50</v>
      </c>
      <c r="L121" s="519">
        <f t="shared" si="8"/>
        <v>0</v>
      </c>
      <c r="M121" s="515" t="s">
        <v>1153</v>
      </c>
      <c r="N121" s="197"/>
    </row>
    <row r="122" spans="1:14" s="171" customFormat="1" ht="140.25" customHeight="1">
      <c r="A122" s="514">
        <v>17</v>
      </c>
      <c r="B122" s="515" t="s">
        <v>1154</v>
      </c>
      <c r="C122" s="539" t="s">
        <v>1155</v>
      </c>
      <c r="D122" s="200">
        <f>VLOOKUP(B122,[13]AssetDetails_UEM!$A$3:$X$1848,22,FALSE)</f>
        <v>4370</v>
      </c>
      <c r="E122" s="540" t="s">
        <v>1156</v>
      </c>
      <c r="F122" s="540" t="s">
        <v>1157</v>
      </c>
      <c r="G122" s="516">
        <v>45996</v>
      </c>
      <c r="H122" s="203" t="s">
        <v>804</v>
      </c>
      <c r="I122" s="541">
        <v>46031</v>
      </c>
      <c r="J122" s="207" t="s">
        <v>148</v>
      </c>
      <c r="K122" s="518">
        <f t="shared" si="7"/>
        <v>10</v>
      </c>
      <c r="L122" s="519">
        <f t="shared" si="8"/>
        <v>0</v>
      </c>
      <c r="M122" s="515" t="s">
        <v>1158</v>
      </c>
      <c r="N122" s="197"/>
    </row>
    <row r="123" spans="1:14" s="171" customFormat="1" ht="127.5" customHeight="1">
      <c r="A123" s="514">
        <v>18</v>
      </c>
      <c r="B123" s="515" t="s">
        <v>1159</v>
      </c>
      <c r="C123" s="539" t="s">
        <v>1115</v>
      </c>
      <c r="D123" s="200">
        <f>VLOOKUP(B123,[13]AssetDetails_UEM!$A$3:$X$1848,22,FALSE)</f>
        <v>117000</v>
      </c>
      <c r="E123" s="540" t="s">
        <v>1160</v>
      </c>
      <c r="F123" s="540" t="s">
        <v>991</v>
      </c>
      <c r="G123" s="516">
        <v>45996</v>
      </c>
      <c r="H123" s="203" t="s">
        <v>804</v>
      </c>
      <c r="I123" s="541">
        <v>46031</v>
      </c>
      <c r="J123" s="207" t="s">
        <v>148</v>
      </c>
      <c r="K123" s="518">
        <f t="shared" si="7"/>
        <v>240</v>
      </c>
      <c r="L123" s="519">
        <f t="shared" si="8"/>
        <v>0</v>
      </c>
      <c r="M123" s="515" t="s">
        <v>1161</v>
      </c>
      <c r="N123" s="197"/>
    </row>
    <row r="124" spans="1:14" s="171" customFormat="1" ht="144" customHeight="1">
      <c r="A124" s="514">
        <v>19</v>
      </c>
      <c r="B124" s="515" t="s">
        <v>1162</v>
      </c>
      <c r="C124" s="539" t="s">
        <v>1155</v>
      </c>
      <c r="D124" s="200">
        <f>VLOOKUP(B124,[13]AssetDetails_UEM!$A$3:$X$1848,22,FALSE)</f>
        <v>4370</v>
      </c>
      <c r="E124" s="540" t="s">
        <v>1163</v>
      </c>
      <c r="F124" s="540" t="s">
        <v>1157</v>
      </c>
      <c r="G124" s="516">
        <v>45996</v>
      </c>
      <c r="H124" s="203" t="s">
        <v>804</v>
      </c>
      <c r="I124" s="541">
        <v>46031</v>
      </c>
      <c r="J124" s="207" t="s">
        <v>148</v>
      </c>
      <c r="K124" s="518">
        <f t="shared" si="7"/>
        <v>10</v>
      </c>
      <c r="L124" s="519">
        <f t="shared" si="8"/>
        <v>0</v>
      </c>
      <c r="M124" s="515" t="s">
        <v>1164</v>
      </c>
      <c r="N124" s="197"/>
    </row>
    <row r="125" spans="1:14" s="171" customFormat="1" ht="140.25" customHeight="1">
      <c r="A125" s="514">
        <v>20</v>
      </c>
      <c r="B125" s="515" t="s">
        <v>1165</v>
      </c>
      <c r="C125" s="539" t="s">
        <v>1155</v>
      </c>
      <c r="D125" s="200">
        <f>VLOOKUP(B125,[13]AssetDetails_UEM!$A$3:$X$1848,22,FALSE)</f>
        <v>4370</v>
      </c>
      <c r="E125" s="540" t="s">
        <v>1166</v>
      </c>
      <c r="F125" s="540" t="s">
        <v>1157</v>
      </c>
      <c r="G125" s="516">
        <v>45996</v>
      </c>
      <c r="H125" s="203" t="s">
        <v>804</v>
      </c>
      <c r="I125" s="541">
        <v>46031</v>
      </c>
      <c r="J125" s="207" t="s">
        <v>148</v>
      </c>
      <c r="K125" s="518">
        <f t="shared" si="7"/>
        <v>10</v>
      </c>
      <c r="L125" s="519">
        <f t="shared" si="8"/>
        <v>0</v>
      </c>
      <c r="M125" s="515" t="s">
        <v>1164</v>
      </c>
      <c r="N125" s="197"/>
    </row>
    <row r="126" spans="1:14" s="171" customFormat="1" ht="151.5" customHeight="1">
      <c r="A126" s="514">
        <v>21</v>
      </c>
      <c r="B126" s="515" t="s">
        <v>1167</v>
      </c>
      <c r="C126" s="539" t="s">
        <v>1155</v>
      </c>
      <c r="D126" s="200">
        <f>VLOOKUP(B126,[13]AssetDetails_UEM!$A$3:$X$1848,22,FALSE)</f>
        <v>4370</v>
      </c>
      <c r="E126" s="540" t="s">
        <v>1168</v>
      </c>
      <c r="F126" s="540" t="s">
        <v>1157</v>
      </c>
      <c r="G126" s="516">
        <v>45996</v>
      </c>
      <c r="H126" s="203" t="s">
        <v>804</v>
      </c>
      <c r="I126" s="541">
        <v>46031</v>
      </c>
      <c r="J126" s="207" t="s">
        <v>148</v>
      </c>
      <c r="K126" s="518">
        <f t="shared" si="7"/>
        <v>10</v>
      </c>
      <c r="L126" s="519">
        <f t="shared" si="8"/>
        <v>0</v>
      </c>
      <c r="M126" s="515" t="s">
        <v>1164</v>
      </c>
      <c r="N126" s="197"/>
    </row>
    <row r="127" spans="1:14" s="171" customFormat="1" ht="138.75" customHeight="1">
      <c r="A127" s="514">
        <v>22</v>
      </c>
      <c r="B127" s="515" t="s">
        <v>1169</v>
      </c>
      <c r="C127" s="539" t="s">
        <v>1155</v>
      </c>
      <c r="D127" s="200">
        <f>VLOOKUP(B127,[13]AssetDetails_UEM!$A$3:$X$1848,22,FALSE)</f>
        <v>4370</v>
      </c>
      <c r="E127" s="540" t="s">
        <v>1170</v>
      </c>
      <c r="F127" s="540" t="s">
        <v>1157</v>
      </c>
      <c r="G127" s="516">
        <v>45996</v>
      </c>
      <c r="H127" s="203" t="s">
        <v>804</v>
      </c>
      <c r="I127" s="541">
        <v>46031</v>
      </c>
      <c r="J127" s="207" t="s">
        <v>148</v>
      </c>
      <c r="K127" s="518">
        <f t="shared" si="7"/>
        <v>10</v>
      </c>
      <c r="L127" s="519">
        <f t="shared" si="8"/>
        <v>0</v>
      </c>
      <c r="M127" s="515" t="s">
        <v>1164</v>
      </c>
      <c r="N127" s="197"/>
    </row>
    <row r="128" spans="1:14" s="171" customFormat="1" ht="151.5" customHeight="1">
      <c r="A128" s="514">
        <v>23</v>
      </c>
      <c r="B128" s="515" t="s">
        <v>1171</v>
      </c>
      <c r="C128" s="539" t="s">
        <v>1155</v>
      </c>
      <c r="D128" s="200">
        <f>VLOOKUP(B128,[13]AssetDetails_UEM!$A$3:$X$1848,22,FALSE)</f>
        <v>4370</v>
      </c>
      <c r="E128" s="540" t="s">
        <v>1172</v>
      </c>
      <c r="F128" s="540" t="s">
        <v>1157</v>
      </c>
      <c r="G128" s="516">
        <v>45996</v>
      </c>
      <c r="H128" s="203" t="s">
        <v>804</v>
      </c>
      <c r="I128" s="541">
        <v>46031</v>
      </c>
      <c r="J128" s="207" t="s">
        <v>148</v>
      </c>
      <c r="K128" s="518">
        <f t="shared" si="7"/>
        <v>10</v>
      </c>
      <c r="L128" s="519">
        <f t="shared" si="8"/>
        <v>0</v>
      </c>
      <c r="M128" s="515" t="s">
        <v>1164</v>
      </c>
      <c r="N128" s="197"/>
    </row>
    <row r="129" spans="1:14" s="171" customFormat="1" ht="135" customHeight="1">
      <c r="A129" s="514">
        <v>24</v>
      </c>
      <c r="B129" s="515" t="s">
        <v>1173</v>
      </c>
      <c r="C129" s="539" t="s">
        <v>1155</v>
      </c>
      <c r="D129" s="200">
        <f>VLOOKUP(B129,[13]AssetDetails_UEM!$A$3:$X$1848,22,FALSE)</f>
        <v>4370</v>
      </c>
      <c r="E129" s="540" t="s">
        <v>1174</v>
      </c>
      <c r="F129" s="540" t="s">
        <v>1157</v>
      </c>
      <c r="G129" s="516" t="s">
        <v>1175</v>
      </c>
      <c r="H129" s="203" t="s">
        <v>804</v>
      </c>
      <c r="I129" s="541">
        <v>46031</v>
      </c>
      <c r="J129" s="207" t="s">
        <v>148</v>
      </c>
      <c r="K129" s="518">
        <f t="shared" si="7"/>
        <v>10</v>
      </c>
      <c r="L129" s="519">
        <f t="shared" si="8"/>
        <v>0</v>
      </c>
      <c r="M129" s="515" t="s">
        <v>1164</v>
      </c>
      <c r="N129" s="197"/>
    </row>
    <row r="130" spans="1:14" s="171" customFormat="1" ht="112.5" customHeight="1">
      <c r="A130" s="514">
        <v>25</v>
      </c>
      <c r="B130" s="515" t="s">
        <v>778</v>
      </c>
      <c r="C130" s="539" t="s">
        <v>779</v>
      </c>
      <c r="D130" s="180">
        <f>VLOOKUP(B130,[13]AssetDetails_UEM!$A$3:$X$1848,22,FALSE)</f>
        <v>399000</v>
      </c>
      <c r="E130" s="540" t="s">
        <v>1176</v>
      </c>
      <c r="F130" s="540" t="s">
        <v>707</v>
      </c>
      <c r="G130" s="516" t="s">
        <v>1177</v>
      </c>
      <c r="H130" s="203" t="s">
        <v>804</v>
      </c>
      <c r="I130" s="541">
        <v>46029</v>
      </c>
      <c r="J130" s="207" t="s">
        <v>683</v>
      </c>
      <c r="K130" s="518">
        <f t="shared" si="7"/>
        <v>800</v>
      </c>
      <c r="L130" s="519">
        <f t="shared" si="8"/>
        <v>800</v>
      </c>
      <c r="M130" s="515" t="s">
        <v>1460</v>
      </c>
      <c r="N130" s="197"/>
    </row>
    <row r="131" spans="1:14" s="171" customFormat="1" ht="87.75" customHeight="1">
      <c r="A131" s="545"/>
      <c r="B131" s="546"/>
      <c r="C131" s="546"/>
      <c r="D131" s="201"/>
      <c r="E131" s="545"/>
      <c r="F131" s="545"/>
      <c r="G131" s="714" t="s">
        <v>1178</v>
      </c>
      <c r="H131" s="714"/>
      <c r="I131" s="714"/>
      <c r="J131" s="714"/>
      <c r="K131" s="715"/>
      <c r="L131" s="547">
        <f>SUM(L106:L130)</f>
        <v>800</v>
      </c>
      <c r="M131" s="546"/>
      <c r="N131" s="197"/>
    </row>
    <row r="132" spans="1:14" s="171" customFormat="1" ht="74.150000000000006" customHeight="1">
      <c r="A132" s="475"/>
      <c r="B132" s="548"/>
      <c r="C132" s="549"/>
      <c r="D132" s="508"/>
      <c r="E132" s="508"/>
      <c r="F132" s="508"/>
      <c r="G132" s="550"/>
      <c r="H132" s="551"/>
      <c r="I132" s="551"/>
      <c r="J132" s="551"/>
      <c r="K132" s="552"/>
      <c r="L132" s="552"/>
      <c r="M132" s="553"/>
      <c r="N132" s="211"/>
    </row>
    <row r="133" spans="1:14" s="171" customFormat="1" ht="74.150000000000006" customHeight="1">
      <c r="A133" s="475"/>
      <c r="B133" s="548"/>
      <c r="C133" s="549"/>
      <c r="D133" s="508"/>
      <c r="E133" s="508"/>
      <c r="F133" s="508"/>
      <c r="G133" s="550"/>
      <c r="H133" s="551"/>
      <c r="I133" s="551"/>
      <c r="J133" s="551"/>
      <c r="K133" s="552"/>
      <c r="L133" s="552"/>
      <c r="M133" s="553"/>
      <c r="N133" s="211"/>
    </row>
    <row r="134" spans="1:14" s="173" customFormat="1" ht="74.150000000000006" customHeight="1">
      <c r="A134" s="475"/>
      <c r="B134" s="548"/>
      <c r="C134" s="549"/>
      <c r="D134" s="508"/>
      <c r="E134" s="508"/>
      <c r="F134" s="508"/>
      <c r="G134" s="550"/>
      <c r="H134" s="551"/>
      <c r="I134" s="551"/>
      <c r="J134" s="551"/>
      <c r="K134" s="552"/>
      <c r="L134" s="552"/>
      <c r="M134" s="553"/>
      <c r="N134" s="211"/>
    </row>
    <row r="135" spans="1:14" s="171" customFormat="1" ht="74.150000000000006" customHeight="1">
      <c r="A135" s="475"/>
      <c r="B135" s="548"/>
      <c r="C135" s="549"/>
      <c r="D135" s="508"/>
      <c r="E135" s="508"/>
      <c r="F135" s="508"/>
      <c r="G135" s="550"/>
      <c r="H135" s="551"/>
      <c r="I135" s="551"/>
      <c r="J135" s="551"/>
      <c r="K135" s="552"/>
      <c r="L135" s="552"/>
      <c r="M135" s="553"/>
      <c r="N135" s="211"/>
    </row>
    <row r="136" spans="1:14" s="171" customFormat="1" ht="74.150000000000006" customHeight="1">
      <c r="A136" s="475"/>
      <c r="B136" s="548"/>
      <c r="C136" s="549"/>
      <c r="D136" s="508"/>
      <c r="E136" s="508"/>
      <c r="F136" s="508"/>
      <c r="G136" s="550"/>
      <c r="H136" s="551"/>
      <c r="I136" s="551"/>
      <c r="J136" s="551"/>
      <c r="K136" s="552"/>
      <c r="L136" s="552"/>
      <c r="M136" s="553"/>
      <c r="N136" s="211"/>
    </row>
    <row r="137" spans="1:14" s="171" customFormat="1" ht="74.150000000000006" customHeight="1">
      <c r="A137" s="475"/>
      <c r="B137" s="548"/>
      <c r="C137" s="549"/>
      <c r="D137" s="508"/>
      <c r="E137" s="508"/>
      <c r="F137" s="508"/>
      <c r="G137" s="550"/>
      <c r="H137" s="551"/>
      <c r="I137" s="551"/>
      <c r="J137" s="551"/>
      <c r="K137" s="552"/>
      <c r="L137" s="552"/>
      <c r="M137" s="553"/>
      <c r="N137" s="211"/>
    </row>
    <row r="138" spans="1:14" s="171" customFormat="1" ht="104.15" customHeight="1">
      <c r="A138" s="475"/>
      <c r="B138" s="548"/>
      <c r="C138" s="549"/>
      <c r="D138" s="508"/>
      <c r="E138" s="508"/>
      <c r="F138" s="508"/>
      <c r="G138" s="550"/>
      <c r="H138" s="551"/>
      <c r="I138" s="551"/>
      <c r="J138" s="551"/>
      <c r="K138" s="552"/>
      <c r="L138" s="552"/>
      <c r="M138" s="553"/>
      <c r="N138" s="211"/>
    </row>
    <row r="139" spans="1:14" s="171" customFormat="1" ht="74.150000000000006" customHeight="1">
      <c r="A139" s="475"/>
      <c r="B139" s="548"/>
      <c r="C139" s="549"/>
      <c r="D139" s="508"/>
      <c r="E139" s="508"/>
      <c r="F139" s="508"/>
      <c r="G139" s="550"/>
      <c r="H139" s="551"/>
      <c r="I139" s="551"/>
      <c r="J139" s="551"/>
      <c r="K139" s="552"/>
      <c r="L139" s="552"/>
      <c r="M139" s="553"/>
      <c r="N139" s="211"/>
    </row>
    <row r="140" spans="1:14" s="171" customFormat="1" ht="74.150000000000006" customHeight="1">
      <c r="A140" s="475"/>
      <c r="B140" s="548"/>
      <c r="C140" s="549"/>
      <c r="D140" s="508"/>
      <c r="E140" s="508"/>
      <c r="F140" s="508"/>
      <c r="G140" s="550"/>
      <c r="H140" s="551"/>
      <c r="I140" s="551"/>
      <c r="J140" s="551"/>
      <c r="K140" s="552"/>
      <c r="L140" s="552"/>
      <c r="M140" s="553"/>
      <c r="N140" s="211"/>
    </row>
    <row r="141" spans="1:14" s="171" customFormat="1" ht="74.150000000000006" customHeight="1">
      <c r="A141" s="475"/>
      <c r="B141" s="548"/>
      <c r="C141" s="549"/>
      <c r="D141" s="508"/>
      <c r="E141" s="508"/>
      <c r="F141" s="508"/>
      <c r="G141" s="550"/>
      <c r="H141" s="551"/>
      <c r="I141" s="551"/>
      <c r="J141" s="551"/>
      <c r="K141" s="552"/>
      <c r="L141" s="552"/>
      <c r="M141" s="553"/>
      <c r="N141" s="211"/>
    </row>
    <row r="142" spans="1:14" s="171" customFormat="1" ht="74.150000000000006" customHeight="1">
      <c r="A142" s="475"/>
      <c r="B142" s="548"/>
      <c r="C142" s="549"/>
      <c r="D142" s="508"/>
      <c r="E142" s="508"/>
      <c r="F142" s="508"/>
      <c r="G142" s="550"/>
      <c r="H142" s="551"/>
      <c r="I142" s="551"/>
      <c r="J142" s="551"/>
      <c r="K142" s="552"/>
      <c r="L142" s="552"/>
      <c r="M142" s="553"/>
      <c r="N142" s="211"/>
    </row>
    <row r="143" spans="1:14" s="171" customFormat="1" ht="125.15" customHeight="1">
      <c r="A143" s="475"/>
      <c r="B143" s="548"/>
      <c r="C143" s="549"/>
      <c r="D143" s="508"/>
      <c r="E143" s="508"/>
      <c r="F143" s="508"/>
      <c r="G143" s="550"/>
      <c r="H143" s="551"/>
      <c r="I143" s="551"/>
      <c r="J143" s="551"/>
      <c r="K143" s="552"/>
      <c r="L143" s="552"/>
      <c r="M143" s="553"/>
      <c r="N143" s="197"/>
    </row>
    <row r="144" spans="1:14" s="171" customFormat="1" ht="74.150000000000006" customHeight="1">
      <c r="A144" s="475"/>
      <c r="B144" s="548"/>
      <c r="C144" s="549"/>
      <c r="D144" s="508"/>
      <c r="E144" s="508"/>
      <c r="F144" s="508"/>
      <c r="G144" s="550"/>
      <c r="H144" s="551"/>
      <c r="I144" s="551"/>
      <c r="J144" s="551"/>
      <c r="K144" s="552"/>
      <c r="L144" s="552"/>
      <c r="M144" s="553"/>
      <c r="N144" s="197"/>
    </row>
    <row r="145" spans="1:13" s="170" customFormat="1" ht="74.150000000000006" customHeight="1">
      <c r="A145" s="475"/>
      <c r="B145" s="548"/>
      <c r="C145" s="549"/>
      <c r="D145" s="508"/>
      <c r="E145" s="508"/>
      <c r="F145" s="508"/>
      <c r="G145" s="550"/>
      <c r="H145" s="551"/>
      <c r="I145" s="551"/>
      <c r="J145" s="551"/>
      <c r="K145" s="552"/>
      <c r="L145" s="552"/>
      <c r="M145" s="553"/>
    </row>
    <row r="146" spans="1:13" s="170" customFormat="1" ht="74.150000000000006" customHeight="1">
      <c r="A146" s="475"/>
      <c r="B146" s="548"/>
      <c r="C146" s="549"/>
      <c r="D146" s="508"/>
      <c r="E146" s="508"/>
      <c r="F146" s="508"/>
      <c r="G146" s="550"/>
      <c r="H146" s="551"/>
      <c r="I146" s="551"/>
      <c r="J146" s="551"/>
      <c r="K146" s="552"/>
      <c r="L146" s="552"/>
      <c r="M146" s="553"/>
    </row>
    <row r="147" spans="1:13" s="170" customFormat="1" ht="74.150000000000006" customHeight="1">
      <c r="A147" s="475"/>
      <c r="B147" s="548"/>
      <c r="C147" s="549"/>
      <c r="D147" s="508"/>
      <c r="E147" s="508"/>
      <c r="F147" s="508"/>
      <c r="G147" s="550"/>
      <c r="H147" s="551"/>
      <c r="I147" s="551"/>
      <c r="J147" s="551"/>
      <c r="K147" s="552"/>
      <c r="L147" s="552"/>
      <c r="M147" s="553"/>
    </row>
    <row r="148" spans="1:13" s="170" customFormat="1" ht="74.150000000000006" customHeight="1">
      <c r="A148" s="475"/>
      <c r="B148" s="548"/>
      <c r="C148" s="549"/>
      <c r="D148" s="508"/>
      <c r="E148" s="508"/>
      <c r="F148" s="508"/>
      <c r="G148" s="550"/>
      <c r="H148" s="551"/>
      <c r="I148" s="551"/>
      <c r="J148" s="551"/>
      <c r="K148" s="552"/>
      <c r="L148" s="552"/>
      <c r="M148" s="553"/>
    </row>
    <row r="149" spans="1:13" s="170" customFormat="1" ht="74.150000000000006" customHeight="1">
      <c r="A149" s="475"/>
      <c r="B149" s="548"/>
      <c r="C149" s="549"/>
      <c r="D149" s="508"/>
      <c r="E149" s="508"/>
      <c r="F149" s="508"/>
      <c r="G149" s="550"/>
      <c r="H149" s="551"/>
      <c r="I149" s="551"/>
      <c r="J149" s="551"/>
      <c r="K149" s="552"/>
      <c r="L149" s="552"/>
      <c r="M149" s="553"/>
    </row>
    <row r="150" spans="1:13" s="170" customFormat="1" ht="74.150000000000006" customHeight="1">
      <c r="A150" s="475"/>
      <c r="B150" s="548"/>
      <c r="C150" s="549"/>
      <c r="D150" s="508"/>
      <c r="E150" s="508"/>
      <c r="F150" s="508"/>
      <c r="G150" s="550"/>
      <c r="H150" s="551"/>
      <c r="I150" s="551"/>
      <c r="J150" s="551"/>
      <c r="K150" s="552"/>
      <c r="L150" s="552"/>
      <c r="M150" s="553"/>
    </row>
    <row r="151" spans="1:13" s="170" customFormat="1" ht="74.150000000000006" customHeight="1">
      <c r="A151" s="475"/>
      <c r="B151" s="548"/>
      <c r="C151" s="549"/>
      <c r="D151" s="508"/>
      <c r="E151" s="508"/>
      <c r="F151" s="508"/>
      <c r="G151" s="550"/>
      <c r="H151" s="551"/>
      <c r="I151" s="551"/>
      <c r="J151" s="551"/>
      <c r="K151" s="552"/>
      <c r="L151" s="552"/>
      <c r="M151" s="553"/>
    </row>
    <row r="152" spans="1:13" s="170" customFormat="1" ht="74.150000000000006" customHeight="1">
      <c r="A152" s="475"/>
      <c r="B152" s="548"/>
      <c r="C152" s="549"/>
      <c r="D152" s="508"/>
      <c r="E152" s="508"/>
      <c r="F152" s="508"/>
      <c r="G152" s="550"/>
      <c r="H152" s="551"/>
      <c r="I152" s="551"/>
      <c r="J152" s="551"/>
      <c r="K152" s="552"/>
      <c r="L152" s="552"/>
      <c r="M152" s="553"/>
    </row>
    <row r="153" spans="1:13" s="170" customFormat="1" ht="74.150000000000006" customHeight="1">
      <c r="A153" s="475"/>
      <c r="B153" s="548"/>
      <c r="C153" s="549"/>
      <c r="D153" s="508"/>
      <c r="E153" s="508"/>
      <c r="F153" s="508"/>
      <c r="G153" s="550"/>
      <c r="H153" s="551"/>
      <c r="I153" s="551"/>
      <c r="J153" s="551"/>
      <c r="K153" s="552"/>
      <c r="L153" s="552"/>
      <c r="M153" s="553"/>
    </row>
    <row r="154" spans="1:13" s="170" customFormat="1" ht="74.150000000000006" customHeight="1">
      <c r="A154" s="475"/>
      <c r="B154" s="548"/>
      <c r="C154" s="549"/>
      <c r="D154" s="508"/>
      <c r="E154" s="508"/>
      <c r="F154" s="508"/>
      <c r="G154" s="550"/>
      <c r="H154" s="551"/>
      <c r="I154" s="551"/>
      <c r="J154" s="551"/>
      <c r="K154" s="552"/>
      <c r="L154" s="552"/>
      <c r="M154" s="553"/>
    </row>
    <row r="155" spans="1:13" s="170" customFormat="1" ht="74.150000000000006" customHeight="1">
      <c r="A155" s="475"/>
      <c r="B155" s="548"/>
      <c r="C155" s="549"/>
      <c r="D155" s="508"/>
      <c r="E155" s="508"/>
      <c r="F155" s="508"/>
      <c r="G155" s="550"/>
      <c r="H155" s="551"/>
      <c r="I155" s="551"/>
      <c r="J155" s="551"/>
      <c r="K155" s="552"/>
      <c r="L155" s="552"/>
      <c r="M155" s="553"/>
    </row>
    <row r="156" spans="1:13" s="170" customFormat="1" ht="74.150000000000006" customHeight="1">
      <c r="A156" s="475"/>
      <c r="B156" s="548"/>
      <c r="C156" s="549"/>
      <c r="D156" s="508"/>
      <c r="E156" s="508"/>
      <c r="F156" s="508"/>
      <c r="G156" s="550"/>
      <c r="H156" s="551"/>
      <c r="I156" s="551"/>
      <c r="J156" s="551"/>
      <c r="K156" s="552"/>
      <c r="L156" s="552"/>
      <c r="M156" s="553"/>
    </row>
    <row r="157" spans="1:13" s="170" customFormat="1" ht="74.150000000000006" customHeight="1">
      <c r="A157" s="475"/>
      <c r="B157" s="548"/>
      <c r="C157" s="549"/>
      <c r="D157" s="508"/>
      <c r="E157" s="508"/>
      <c r="F157" s="508"/>
      <c r="G157" s="550"/>
      <c r="H157" s="551"/>
      <c r="I157" s="551"/>
      <c r="J157" s="551"/>
      <c r="K157" s="552"/>
      <c r="L157" s="552"/>
      <c r="M157" s="553"/>
    </row>
    <row r="158" spans="1:13" s="170" customFormat="1" ht="74.150000000000006" customHeight="1">
      <c r="A158" s="475"/>
      <c r="B158" s="548"/>
      <c r="C158" s="549"/>
      <c r="D158" s="508"/>
      <c r="E158" s="508"/>
      <c r="F158" s="508"/>
      <c r="G158" s="550"/>
      <c r="H158" s="551"/>
      <c r="I158" s="551"/>
      <c r="J158" s="551"/>
      <c r="K158" s="552"/>
      <c r="L158" s="552"/>
      <c r="M158" s="553"/>
    </row>
    <row r="159" spans="1:13" s="170" customFormat="1" ht="74.150000000000006" customHeight="1">
      <c r="A159" s="475"/>
      <c r="B159" s="548"/>
      <c r="C159" s="549"/>
      <c r="D159" s="508"/>
      <c r="E159" s="508"/>
      <c r="F159" s="508"/>
      <c r="G159" s="550"/>
      <c r="H159" s="551"/>
      <c r="I159" s="551"/>
      <c r="J159" s="551"/>
      <c r="K159" s="552"/>
      <c r="L159" s="552"/>
      <c r="M159" s="553"/>
    </row>
    <row r="160" spans="1:13" s="170" customFormat="1" ht="74.150000000000006" customHeight="1">
      <c r="A160" s="475"/>
      <c r="B160" s="548"/>
      <c r="C160" s="549"/>
      <c r="D160" s="508"/>
      <c r="E160" s="508"/>
      <c r="F160" s="508"/>
      <c r="G160" s="550"/>
      <c r="H160" s="551"/>
      <c r="I160" s="551"/>
      <c r="J160" s="551"/>
      <c r="K160" s="552"/>
      <c r="L160" s="552"/>
      <c r="M160" s="553"/>
    </row>
    <row r="161" spans="1:13" s="170" customFormat="1" ht="74.150000000000006" customHeight="1">
      <c r="A161" s="475"/>
      <c r="B161" s="548"/>
      <c r="C161" s="549"/>
      <c r="D161" s="508"/>
      <c r="E161" s="508"/>
      <c r="F161" s="508"/>
      <c r="G161" s="550"/>
      <c r="H161" s="551"/>
      <c r="I161" s="551"/>
      <c r="J161" s="551"/>
      <c r="K161" s="552"/>
      <c r="L161" s="552"/>
      <c r="M161" s="553"/>
    </row>
    <row r="162" spans="1:13" s="170" customFormat="1" ht="74.150000000000006" customHeight="1">
      <c r="A162" s="475"/>
      <c r="B162" s="548"/>
      <c r="C162" s="549"/>
      <c r="D162" s="508"/>
      <c r="E162" s="508"/>
      <c r="F162" s="508"/>
      <c r="G162" s="550"/>
      <c r="H162" s="551"/>
      <c r="I162" s="551"/>
      <c r="J162" s="551"/>
      <c r="K162" s="552"/>
      <c r="L162" s="552"/>
      <c r="M162" s="553"/>
    </row>
    <row r="163" spans="1:13" s="170" customFormat="1" ht="74.150000000000006" customHeight="1">
      <c r="A163" s="475"/>
      <c r="B163" s="548"/>
      <c r="C163" s="549"/>
      <c r="D163" s="508"/>
      <c r="E163" s="508"/>
      <c r="F163" s="508"/>
      <c r="G163" s="550"/>
      <c r="H163" s="551"/>
      <c r="I163" s="551"/>
      <c r="J163" s="551"/>
      <c r="K163" s="552"/>
      <c r="L163" s="552"/>
      <c r="M163" s="553"/>
    </row>
    <row r="164" spans="1:13" s="170" customFormat="1" ht="74.150000000000006" customHeight="1">
      <c r="A164" s="475"/>
      <c r="B164" s="548"/>
      <c r="C164" s="549"/>
      <c r="D164" s="508"/>
      <c r="E164" s="508"/>
      <c r="F164" s="508"/>
      <c r="G164" s="550"/>
      <c r="H164" s="551"/>
      <c r="I164" s="551"/>
      <c r="J164" s="551"/>
      <c r="K164" s="552"/>
      <c r="L164" s="552"/>
      <c r="M164" s="553"/>
    </row>
    <row r="165" spans="1:13" s="170" customFormat="1" ht="74.150000000000006" customHeight="1">
      <c r="A165" s="475"/>
      <c r="B165" s="548"/>
      <c r="C165" s="549"/>
      <c r="D165" s="508"/>
      <c r="E165" s="508"/>
      <c r="F165" s="508"/>
      <c r="G165" s="550"/>
      <c r="H165" s="551"/>
      <c r="I165" s="551"/>
      <c r="J165" s="551"/>
      <c r="K165" s="552"/>
      <c r="L165" s="552"/>
      <c r="M165" s="553"/>
    </row>
    <row r="166" spans="1:13" s="170" customFormat="1" ht="74.150000000000006" customHeight="1">
      <c r="A166" s="475"/>
      <c r="B166" s="548"/>
      <c r="C166" s="549"/>
      <c r="D166" s="508"/>
      <c r="E166" s="508"/>
      <c r="F166" s="508"/>
      <c r="G166" s="550"/>
      <c r="H166" s="551"/>
      <c r="I166" s="551"/>
      <c r="J166" s="551"/>
      <c r="K166" s="552"/>
      <c r="L166" s="552"/>
      <c r="M166" s="553"/>
    </row>
    <row r="167" spans="1:13" s="170" customFormat="1" ht="74.150000000000006" customHeight="1">
      <c r="A167" s="475"/>
      <c r="B167" s="548"/>
      <c r="C167" s="549"/>
      <c r="D167" s="508"/>
      <c r="E167" s="508"/>
      <c r="F167" s="508"/>
      <c r="G167" s="550"/>
      <c r="H167" s="551"/>
      <c r="I167" s="551"/>
      <c r="J167" s="551"/>
      <c r="K167" s="552"/>
      <c r="L167" s="552"/>
      <c r="M167" s="553"/>
    </row>
    <row r="168" spans="1:13" s="170" customFormat="1" ht="74.150000000000006" customHeight="1">
      <c r="A168" s="475"/>
      <c r="B168" s="548"/>
      <c r="C168" s="549"/>
      <c r="D168" s="508"/>
      <c r="E168" s="508"/>
      <c r="F168" s="508"/>
      <c r="G168" s="550"/>
      <c r="H168" s="551"/>
      <c r="I168" s="551"/>
      <c r="J168" s="551"/>
      <c r="K168" s="552"/>
      <c r="L168" s="552"/>
      <c r="M168" s="553"/>
    </row>
    <row r="169" spans="1:13" s="170" customFormat="1" ht="74.150000000000006" customHeight="1">
      <c r="A169" s="475"/>
      <c r="B169" s="548"/>
      <c r="C169" s="549"/>
      <c r="D169" s="508"/>
      <c r="E169" s="508"/>
      <c r="F169" s="508"/>
      <c r="G169" s="550"/>
      <c r="H169" s="551"/>
      <c r="I169" s="551"/>
      <c r="J169" s="551"/>
      <c r="K169" s="552"/>
      <c r="L169" s="552"/>
      <c r="M169" s="553"/>
    </row>
    <row r="170" spans="1:13" s="170" customFormat="1" ht="74.150000000000006" customHeight="1">
      <c r="A170" s="475"/>
      <c r="B170" s="548"/>
      <c r="C170" s="549"/>
      <c r="D170" s="508"/>
      <c r="E170" s="508"/>
      <c r="F170" s="508"/>
      <c r="G170" s="550"/>
      <c r="H170" s="551"/>
      <c r="I170" s="551"/>
      <c r="J170" s="551"/>
      <c r="K170" s="552"/>
      <c r="L170" s="552"/>
      <c r="M170" s="553"/>
    </row>
    <row r="171" spans="1:13" s="170" customFormat="1" ht="74.150000000000006" customHeight="1">
      <c r="A171" s="475"/>
      <c r="B171" s="548"/>
      <c r="C171" s="549"/>
      <c r="D171" s="508"/>
      <c r="E171" s="508"/>
      <c r="F171" s="508"/>
      <c r="G171" s="550"/>
      <c r="H171" s="551"/>
      <c r="I171" s="551"/>
      <c r="J171" s="551"/>
      <c r="K171" s="552"/>
      <c r="L171" s="552"/>
      <c r="M171" s="553"/>
    </row>
    <row r="172" spans="1:13" s="170" customFormat="1" ht="74.150000000000006" customHeight="1">
      <c r="A172" s="475"/>
      <c r="B172" s="548"/>
      <c r="C172" s="549"/>
      <c r="D172" s="508"/>
      <c r="E172" s="508"/>
      <c r="F172" s="508"/>
      <c r="G172" s="550"/>
      <c r="H172" s="551"/>
      <c r="I172" s="551"/>
      <c r="J172" s="551"/>
      <c r="K172" s="552"/>
      <c r="L172" s="552"/>
      <c r="M172" s="553"/>
    </row>
    <row r="173" spans="1:13" s="170" customFormat="1" ht="74.150000000000006" customHeight="1">
      <c r="A173" s="475"/>
      <c r="B173" s="548"/>
      <c r="C173" s="549"/>
      <c r="D173" s="508"/>
      <c r="E173" s="508"/>
      <c r="F173" s="508"/>
      <c r="G173" s="550"/>
      <c r="H173" s="551"/>
      <c r="I173" s="551"/>
      <c r="J173" s="551"/>
      <c r="K173" s="552"/>
      <c r="L173" s="552"/>
      <c r="M173" s="553"/>
    </row>
    <row r="174" spans="1:13" s="170" customFormat="1" ht="74.150000000000006" customHeight="1">
      <c r="A174" s="475"/>
      <c r="B174" s="548"/>
      <c r="C174" s="549"/>
      <c r="D174" s="508"/>
      <c r="E174" s="508"/>
      <c r="F174" s="508"/>
      <c r="G174" s="550"/>
      <c r="H174" s="551"/>
      <c r="I174" s="551"/>
      <c r="J174" s="551"/>
      <c r="K174" s="552"/>
      <c r="L174" s="552"/>
      <c r="M174" s="553"/>
    </row>
    <row r="175" spans="1:13" s="170" customFormat="1" ht="74.150000000000006" customHeight="1">
      <c r="A175" s="475"/>
      <c r="B175" s="548"/>
      <c r="C175" s="549"/>
      <c r="D175" s="508"/>
      <c r="E175" s="508"/>
      <c r="F175" s="508"/>
      <c r="G175" s="550"/>
      <c r="H175" s="551"/>
      <c r="I175" s="551"/>
      <c r="J175" s="551"/>
      <c r="K175" s="552"/>
      <c r="L175" s="552"/>
      <c r="M175" s="553"/>
    </row>
    <row r="176" spans="1:13" s="170" customFormat="1" ht="74.150000000000006" customHeight="1">
      <c r="A176" s="475"/>
      <c r="B176" s="548"/>
      <c r="C176" s="549"/>
      <c r="D176" s="508"/>
      <c r="E176" s="508"/>
      <c r="F176" s="508"/>
      <c r="G176" s="550"/>
      <c r="H176" s="551"/>
      <c r="I176" s="551"/>
      <c r="J176" s="551"/>
      <c r="K176" s="552"/>
      <c r="L176" s="552"/>
      <c r="M176" s="553"/>
    </row>
    <row r="177" spans="1:14" s="170" customFormat="1" ht="74.150000000000006" customHeight="1">
      <c r="A177" s="475"/>
      <c r="B177" s="548"/>
      <c r="C177" s="549"/>
      <c r="D177" s="508"/>
      <c r="E177" s="508"/>
      <c r="F177" s="508"/>
      <c r="G177" s="550"/>
      <c r="H177" s="551"/>
      <c r="I177" s="551"/>
      <c r="J177" s="551"/>
      <c r="K177" s="552"/>
      <c r="L177" s="552"/>
      <c r="M177" s="553"/>
    </row>
    <row r="178" spans="1:14" s="553" customFormat="1" ht="74.150000000000006" customHeight="1">
      <c r="A178" s="475"/>
      <c r="B178" s="548"/>
      <c r="C178" s="549"/>
      <c r="D178" s="508"/>
      <c r="E178" s="508"/>
      <c r="F178" s="508"/>
      <c r="G178" s="550"/>
      <c r="H178" s="551"/>
      <c r="I178" s="551"/>
      <c r="J178" s="551"/>
      <c r="K178" s="552"/>
      <c r="L178" s="552"/>
      <c r="N178" s="475"/>
    </row>
    <row r="179" spans="1:14" s="553" customFormat="1" ht="74.150000000000006" customHeight="1">
      <c r="A179" s="475"/>
      <c r="B179" s="548"/>
      <c r="C179" s="549"/>
      <c r="D179" s="508"/>
      <c r="E179" s="508"/>
      <c r="F179" s="508"/>
      <c r="G179" s="550"/>
      <c r="H179" s="551"/>
      <c r="I179" s="551"/>
      <c r="J179" s="551"/>
      <c r="K179" s="552"/>
      <c r="L179" s="552"/>
      <c r="N179" s="475"/>
    </row>
    <row r="180" spans="1:14" s="553" customFormat="1" ht="74.150000000000006" customHeight="1">
      <c r="A180" s="475"/>
      <c r="B180" s="548"/>
      <c r="C180" s="549"/>
      <c r="D180" s="508"/>
      <c r="E180" s="508"/>
      <c r="F180" s="508"/>
      <c r="G180" s="550"/>
      <c r="H180" s="551"/>
      <c r="I180" s="551"/>
      <c r="J180" s="551"/>
      <c r="K180" s="552"/>
      <c r="L180" s="552"/>
      <c r="N180" s="475"/>
    </row>
    <row r="181" spans="1:14" s="553" customFormat="1" ht="74.150000000000006" customHeight="1">
      <c r="A181" s="475"/>
      <c r="B181" s="548"/>
      <c r="C181" s="549"/>
      <c r="D181" s="508"/>
      <c r="E181" s="508"/>
      <c r="F181" s="508"/>
      <c r="G181" s="550"/>
      <c r="H181" s="551"/>
      <c r="I181" s="551"/>
      <c r="J181" s="551"/>
      <c r="K181" s="552"/>
      <c r="L181" s="552"/>
      <c r="N181" s="475"/>
    </row>
    <row r="182" spans="1:14" s="553" customFormat="1" ht="74.150000000000006" customHeight="1">
      <c r="A182" s="475"/>
      <c r="B182" s="548"/>
      <c r="C182" s="549"/>
      <c r="D182" s="508"/>
      <c r="E182" s="508"/>
      <c r="F182" s="508"/>
      <c r="G182" s="550"/>
      <c r="H182" s="551"/>
      <c r="I182" s="551"/>
      <c r="J182" s="551"/>
      <c r="K182" s="552"/>
      <c r="L182" s="552"/>
      <c r="N182" s="475"/>
    </row>
    <row r="183" spans="1:14" s="553" customFormat="1" ht="74.150000000000006" customHeight="1">
      <c r="A183" s="475"/>
      <c r="B183" s="548"/>
      <c r="C183" s="549"/>
      <c r="D183" s="508"/>
      <c r="E183" s="508"/>
      <c r="F183" s="508"/>
      <c r="G183" s="550"/>
      <c r="H183" s="551"/>
      <c r="I183" s="551"/>
      <c r="J183" s="551"/>
      <c r="K183" s="552"/>
      <c r="L183" s="552"/>
      <c r="N183" s="475"/>
    </row>
    <row r="184" spans="1:14" s="533" customFormat="1" ht="74.150000000000006" customHeight="1">
      <c r="A184" s="475"/>
      <c r="B184" s="548"/>
      <c r="C184" s="549"/>
      <c r="D184" s="508"/>
      <c r="E184" s="508"/>
      <c r="F184" s="508"/>
      <c r="G184" s="550"/>
      <c r="H184" s="551"/>
      <c r="I184" s="551"/>
      <c r="J184" s="551"/>
      <c r="K184" s="552"/>
      <c r="L184" s="552"/>
      <c r="M184" s="553"/>
    </row>
    <row r="185" spans="1:14" ht="74.150000000000006" customHeight="1"/>
    <row r="186" spans="1:14" s="170" customFormat="1" ht="78" customHeight="1">
      <c r="A186" s="475"/>
      <c r="B186" s="548"/>
      <c r="C186" s="549"/>
      <c r="D186" s="508"/>
      <c r="E186" s="508"/>
      <c r="F186" s="508"/>
      <c r="G186" s="550"/>
      <c r="H186" s="551"/>
      <c r="I186" s="551"/>
      <c r="J186" s="551"/>
      <c r="K186" s="552"/>
      <c r="L186" s="552"/>
      <c r="M186" s="553"/>
    </row>
    <row r="187" spans="1:14" s="170" customFormat="1" ht="75" customHeight="1">
      <c r="A187" s="475"/>
      <c r="B187" s="548"/>
      <c r="C187" s="549"/>
      <c r="D187" s="508"/>
      <c r="E187" s="508"/>
      <c r="F187" s="508"/>
      <c r="G187" s="550"/>
      <c r="H187" s="551"/>
      <c r="I187" s="551"/>
      <c r="J187" s="551"/>
      <c r="K187" s="552"/>
      <c r="L187" s="552"/>
      <c r="M187" s="553"/>
    </row>
    <row r="188" spans="1:14" s="170" customFormat="1" ht="75" customHeight="1">
      <c r="A188" s="475"/>
      <c r="B188" s="548"/>
      <c r="C188" s="549"/>
      <c r="D188" s="508"/>
      <c r="E188" s="508"/>
      <c r="F188" s="508"/>
      <c r="G188" s="550"/>
      <c r="H188" s="551"/>
      <c r="I188" s="551"/>
      <c r="J188" s="551"/>
      <c r="K188" s="552"/>
      <c r="L188" s="552"/>
      <c r="M188" s="553"/>
    </row>
    <row r="189" spans="1:14" s="170" customFormat="1" ht="75" customHeight="1">
      <c r="A189" s="475"/>
      <c r="B189" s="548"/>
      <c r="C189" s="549"/>
      <c r="D189" s="508"/>
      <c r="E189" s="508"/>
      <c r="F189" s="508"/>
      <c r="G189" s="550"/>
      <c r="H189" s="551"/>
      <c r="I189" s="551"/>
      <c r="J189" s="551"/>
      <c r="K189" s="552"/>
      <c r="L189" s="552"/>
      <c r="M189" s="553"/>
    </row>
    <row r="190" spans="1:14" s="170" customFormat="1" ht="75" customHeight="1">
      <c r="A190" s="475"/>
      <c r="B190" s="548"/>
      <c r="C190" s="549"/>
      <c r="D190" s="508"/>
      <c r="E190" s="508"/>
      <c r="F190" s="508"/>
      <c r="G190" s="550"/>
      <c r="H190" s="551"/>
      <c r="I190" s="551"/>
      <c r="J190" s="551"/>
      <c r="K190" s="552"/>
      <c r="L190" s="552"/>
      <c r="M190" s="553"/>
    </row>
    <row r="191" spans="1:14" s="170" customFormat="1" ht="75" customHeight="1">
      <c r="A191" s="475"/>
      <c r="B191" s="548"/>
      <c r="C191" s="549"/>
      <c r="D191" s="508"/>
      <c r="E191" s="508"/>
      <c r="F191" s="508"/>
      <c r="G191" s="550"/>
      <c r="H191" s="551"/>
      <c r="I191" s="551"/>
      <c r="J191" s="551"/>
      <c r="K191" s="552"/>
      <c r="L191" s="552"/>
      <c r="M191" s="553"/>
    </row>
    <row r="192" spans="1:14" s="170" customFormat="1" ht="75" customHeight="1">
      <c r="A192" s="475"/>
      <c r="B192" s="548"/>
      <c r="C192" s="549"/>
      <c r="D192" s="508"/>
      <c r="E192" s="508"/>
      <c r="F192" s="508"/>
      <c r="G192" s="550"/>
      <c r="H192" s="551"/>
      <c r="I192" s="551"/>
      <c r="J192" s="551"/>
      <c r="K192" s="552"/>
      <c r="L192" s="552"/>
      <c r="M192" s="553"/>
    </row>
    <row r="193" spans="1:13" s="170" customFormat="1" ht="75" customHeight="1">
      <c r="A193" s="475"/>
      <c r="B193" s="548"/>
      <c r="C193" s="549"/>
      <c r="D193" s="508"/>
      <c r="E193" s="508"/>
      <c r="F193" s="508"/>
      <c r="G193" s="550"/>
      <c r="H193" s="551"/>
      <c r="I193" s="551"/>
      <c r="J193" s="551"/>
      <c r="K193" s="552"/>
      <c r="L193" s="552"/>
      <c r="M193" s="553"/>
    </row>
    <row r="194" spans="1:13" s="170" customFormat="1" ht="75" customHeight="1">
      <c r="A194" s="475"/>
      <c r="B194" s="548"/>
      <c r="C194" s="549"/>
      <c r="D194" s="508"/>
      <c r="E194" s="508"/>
      <c r="F194" s="508"/>
      <c r="G194" s="550"/>
      <c r="H194" s="551"/>
      <c r="I194" s="551"/>
      <c r="J194" s="551"/>
      <c r="K194" s="552"/>
      <c r="L194" s="552"/>
      <c r="M194" s="553"/>
    </row>
    <row r="195" spans="1:13" s="170" customFormat="1" ht="75" customHeight="1">
      <c r="A195" s="475"/>
      <c r="B195" s="548"/>
      <c r="C195" s="549"/>
      <c r="D195" s="508"/>
      <c r="E195" s="508"/>
      <c r="F195" s="508"/>
      <c r="G195" s="550"/>
      <c r="H195" s="551"/>
      <c r="I195" s="551"/>
      <c r="J195" s="551"/>
      <c r="K195" s="552"/>
      <c r="L195" s="552"/>
      <c r="M195" s="553"/>
    </row>
    <row r="196" spans="1:13" s="170" customFormat="1" ht="75" customHeight="1">
      <c r="A196" s="475"/>
      <c r="B196" s="548"/>
      <c r="C196" s="549"/>
      <c r="D196" s="508"/>
      <c r="E196" s="508"/>
      <c r="F196" s="508"/>
      <c r="G196" s="550"/>
      <c r="H196" s="551"/>
      <c r="I196" s="551"/>
      <c r="J196" s="551"/>
      <c r="K196" s="552"/>
      <c r="L196" s="552"/>
      <c r="M196" s="553"/>
    </row>
    <row r="197" spans="1:13" s="170" customFormat="1" ht="75" customHeight="1">
      <c r="A197" s="475"/>
      <c r="B197" s="548"/>
      <c r="C197" s="549"/>
      <c r="D197" s="508"/>
      <c r="E197" s="508"/>
      <c r="F197" s="508"/>
      <c r="G197" s="550"/>
      <c r="H197" s="551"/>
      <c r="I197" s="551"/>
      <c r="J197" s="551"/>
      <c r="K197" s="552"/>
      <c r="L197" s="552"/>
      <c r="M197" s="553"/>
    </row>
    <row r="198" spans="1:13" s="170" customFormat="1" ht="75" customHeight="1">
      <c r="A198" s="475"/>
      <c r="B198" s="548"/>
      <c r="C198" s="549"/>
      <c r="D198" s="508"/>
      <c r="E198" s="508"/>
      <c r="F198" s="508"/>
      <c r="G198" s="550"/>
      <c r="H198" s="551"/>
      <c r="I198" s="551"/>
      <c r="J198" s="551"/>
      <c r="K198" s="552"/>
      <c r="L198" s="552"/>
      <c r="M198" s="553"/>
    </row>
    <row r="199" spans="1:13" s="170" customFormat="1" ht="75" customHeight="1">
      <c r="A199" s="475"/>
      <c r="B199" s="548"/>
      <c r="C199" s="549"/>
      <c r="D199" s="508"/>
      <c r="E199" s="508"/>
      <c r="F199" s="508"/>
      <c r="G199" s="550"/>
      <c r="H199" s="551"/>
      <c r="I199" s="551"/>
      <c r="J199" s="551"/>
      <c r="K199" s="552"/>
      <c r="L199" s="552"/>
      <c r="M199" s="553"/>
    </row>
    <row r="200" spans="1:13" s="170" customFormat="1" ht="75" customHeight="1">
      <c r="A200" s="475"/>
      <c r="B200" s="548"/>
      <c r="C200" s="549"/>
      <c r="D200" s="508"/>
      <c r="E200" s="508"/>
      <c r="F200" s="508"/>
      <c r="G200" s="550"/>
      <c r="H200" s="551"/>
      <c r="I200" s="551"/>
      <c r="J200" s="551"/>
      <c r="K200" s="552"/>
      <c r="L200" s="552"/>
      <c r="M200" s="553"/>
    </row>
    <row r="201" spans="1:13" s="170" customFormat="1" ht="75" customHeight="1">
      <c r="A201" s="475"/>
      <c r="B201" s="548"/>
      <c r="C201" s="549"/>
      <c r="D201" s="508"/>
      <c r="E201" s="508"/>
      <c r="F201" s="508"/>
      <c r="G201" s="550"/>
      <c r="H201" s="551"/>
      <c r="I201" s="551"/>
      <c r="J201" s="551"/>
      <c r="K201" s="552"/>
      <c r="L201" s="552"/>
      <c r="M201" s="553"/>
    </row>
    <row r="202" spans="1:13" s="170" customFormat="1" ht="75" customHeight="1">
      <c r="A202" s="475"/>
      <c r="B202" s="548"/>
      <c r="C202" s="549"/>
      <c r="D202" s="508"/>
      <c r="E202" s="508"/>
      <c r="F202" s="508"/>
      <c r="G202" s="550"/>
      <c r="H202" s="551"/>
      <c r="I202" s="551"/>
      <c r="J202" s="551"/>
      <c r="K202" s="552"/>
      <c r="L202" s="552"/>
      <c r="M202" s="553"/>
    </row>
    <row r="203" spans="1:13" s="170" customFormat="1" ht="75" customHeight="1">
      <c r="A203" s="475"/>
      <c r="B203" s="548"/>
      <c r="C203" s="549"/>
      <c r="D203" s="508"/>
      <c r="E203" s="508"/>
      <c r="F203" s="508"/>
      <c r="G203" s="550"/>
      <c r="H203" s="551"/>
      <c r="I203" s="551"/>
      <c r="J203" s="551"/>
      <c r="K203" s="552"/>
      <c r="L203" s="552"/>
      <c r="M203" s="553"/>
    </row>
    <row r="204" spans="1:13" s="170" customFormat="1" ht="75" customHeight="1">
      <c r="A204" s="475"/>
      <c r="B204" s="548"/>
      <c r="C204" s="549"/>
      <c r="D204" s="508"/>
      <c r="E204" s="508"/>
      <c r="F204" s="508"/>
      <c r="G204" s="550"/>
      <c r="H204" s="551"/>
      <c r="I204" s="551"/>
      <c r="J204" s="551"/>
      <c r="K204" s="552"/>
      <c r="L204" s="552"/>
      <c r="M204" s="553"/>
    </row>
    <row r="205" spans="1:13" s="170" customFormat="1" ht="75" customHeight="1">
      <c r="A205" s="475"/>
      <c r="B205" s="548"/>
      <c r="C205" s="549"/>
      <c r="D205" s="508"/>
      <c r="E205" s="508"/>
      <c r="F205" s="508"/>
      <c r="G205" s="550"/>
      <c r="H205" s="551"/>
      <c r="I205" s="551"/>
      <c r="J205" s="551"/>
      <c r="K205" s="552"/>
      <c r="L205" s="552"/>
      <c r="M205" s="553"/>
    </row>
    <row r="206" spans="1:13" s="170" customFormat="1" ht="75" customHeight="1">
      <c r="A206" s="475"/>
      <c r="B206" s="548"/>
      <c r="C206" s="549"/>
      <c r="D206" s="508"/>
      <c r="E206" s="508"/>
      <c r="F206" s="508"/>
      <c r="G206" s="550"/>
      <c r="H206" s="551"/>
      <c r="I206" s="551"/>
      <c r="J206" s="551"/>
      <c r="K206" s="552"/>
      <c r="L206" s="552"/>
      <c r="M206" s="553"/>
    </row>
    <row r="207" spans="1:13" s="170" customFormat="1" ht="78" customHeight="1">
      <c r="A207" s="475"/>
      <c r="B207" s="548"/>
      <c r="C207" s="549"/>
      <c r="D207" s="508"/>
      <c r="E207" s="508"/>
      <c r="F207" s="508"/>
      <c r="G207" s="550"/>
      <c r="H207" s="551"/>
      <c r="I207" s="551"/>
      <c r="J207" s="551"/>
      <c r="K207" s="552"/>
      <c r="L207" s="552"/>
      <c r="M207" s="553"/>
    </row>
    <row r="208" spans="1:13" s="170" customFormat="1" ht="76" customHeight="1">
      <c r="A208" s="475"/>
      <c r="B208" s="548"/>
      <c r="C208" s="549"/>
      <c r="D208" s="508"/>
      <c r="E208" s="508"/>
      <c r="F208" s="508"/>
      <c r="G208" s="550"/>
      <c r="H208" s="551"/>
      <c r="I208" s="551"/>
      <c r="J208" s="551"/>
      <c r="K208" s="552"/>
      <c r="L208" s="552"/>
      <c r="M208" s="553"/>
    </row>
    <row r="209" spans="1:13" s="170" customFormat="1" ht="76" customHeight="1">
      <c r="A209" s="475"/>
      <c r="B209" s="548"/>
      <c r="C209" s="549"/>
      <c r="D209" s="508"/>
      <c r="E209" s="508"/>
      <c r="F209" s="508"/>
      <c r="G209" s="550"/>
      <c r="H209" s="551"/>
      <c r="I209" s="551"/>
      <c r="J209" s="551"/>
      <c r="K209" s="552"/>
      <c r="L209" s="552"/>
      <c r="M209" s="553"/>
    </row>
    <row r="210" spans="1:13" s="170" customFormat="1" ht="76" customHeight="1">
      <c r="A210" s="475"/>
      <c r="B210" s="548"/>
      <c r="C210" s="549"/>
      <c r="D210" s="508"/>
      <c r="E210" s="508"/>
      <c r="F210" s="508"/>
      <c r="G210" s="550"/>
      <c r="H210" s="551"/>
      <c r="I210" s="551"/>
      <c r="J210" s="551"/>
      <c r="K210" s="552"/>
      <c r="L210" s="552"/>
      <c r="M210" s="553"/>
    </row>
    <row r="211" spans="1:13" s="170" customFormat="1" ht="76" customHeight="1">
      <c r="A211" s="475"/>
      <c r="B211" s="548"/>
      <c r="C211" s="549"/>
      <c r="D211" s="508"/>
      <c r="E211" s="508"/>
      <c r="F211" s="508"/>
      <c r="G211" s="550"/>
      <c r="H211" s="551"/>
      <c r="I211" s="551"/>
      <c r="J211" s="551"/>
      <c r="K211" s="552"/>
      <c r="L211" s="552"/>
      <c r="M211" s="553"/>
    </row>
    <row r="212" spans="1:13" s="170" customFormat="1" ht="76" customHeight="1">
      <c r="A212" s="475"/>
      <c r="B212" s="548"/>
      <c r="C212" s="549"/>
      <c r="D212" s="508"/>
      <c r="E212" s="508"/>
      <c r="F212" s="508"/>
      <c r="G212" s="550"/>
      <c r="H212" s="551"/>
      <c r="I212" s="551"/>
      <c r="J212" s="551"/>
      <c r="K212" s="552"/>
      <c r="L212" s="552"/>
      <c r="M212" s="553"/>
    </row>
    <row r="213" spans="1:13" s="170" customFormat="1" ht="76" customHeight="1">
      <c r="A213" s="475"/>
      <c r="B213" s="548"/>
      <c r="C213" s="549"/>
      <c r="D213" s="508"/>
      <c r="E213" s="508"/>
      <c r="F213" s="508"/>
      <c r="G213" s="550"/>
      <c r="H213" s="551"/>
      <c r="I213" s="551"/>
      <c r="J213" s="551"/>
      <c r="K213" s="552"/>
      <c r="L213" s="552"/>
      <c r="M213" s="553"/>
    </row>
    <row r="214" spans="1:13" s="170" customFormat="1" ht="76" customHeight="1">
      <c r="A214" s="475"/>
      <c r="B214" s="548"/>
      <c r="C214" s="549"/>
      <c r="D214" s="508"/>
      <c r="E214" s="508"/>
      <c r="F214" s="508"/>
      <c r="G214" s="550"/>
      <c r="H214" s="551"/>
      <c r="I214" s="551"/>
      <c r="J214" s="551"/>
      <c r="K214" s="552"/>
      <c r="L214" s="552"/>
      <c r="M214" s="553"/>
    </row>
    <row r="215" spans="1:13" s="170" customFormat="1" ht="76" customHeight="1">
      <c r="A215" s="475"/>
      <c r="B215" s="548"/>
      <c r="C215" s="549"/>
      <c r="D215" s="508"/>
      <c r="E215" s="508"/>
      <c r="F215" s="508"/>
      <c r="G215" s="550"/>
      <c r="H215" s="551"/>
      <c r="I215" s="551"/>
      <c r="J215" s="551"/>
      <c r="K215" s="552"/>
      <c r="L215" s="552"/>
      <c r="M215" s="553"/>
    </row>
    <row r="216" spans="1:13" s="170" customFormat="1" ht="76" customHeight="1">
      <c r="A216" s="475"/>
      <c r="B216" s="548"/>
      <c r="C216" s="549"/>
      <c r="D216" s="508"/>
      <c r="E216" s="508"/>
      <c r="F216" s="508"/>
      <c r="G216" s="550"/>
      <c r="H216" s="551"/>
      <c r="I216" s="551"/>
      <c r="J216" s="551"/>
      <c r="K216" s="552"/>
      <c r="L216" s="552"/>
      <c r="M216" s="553"/>
    </row>
    <row r="217" spans="1:13" s="170" customFormat="1" ht="76" customHeight="1">
      <c r="A217" s="475"/>
      <c r="B217" s="548"/>
      <c r="C217" s="549"/>
      <c r="D217" s="508"/>
      <c r="E217" s="508"/>
      <c r="F217" s="508"/>
      <c r="G217" s="550"/>
      <c r="H217" s="551"/>
      <c r="I217" s="551"/>
      <c r="J217" s="551"/>
      <c r="K217" s="552"/>
      <c r="L217" s="552"/>
      <c r="M217" s="553"/>
    </row>
    <row r="218" spans="1:13" s="170" customFormat="1" ht="76" customHeight="1">
      <c r="A218" s="475"/>
      <c r="B218" s="548"/>
      <c r="C218" s="549"/>
      <c r="D218" s="508"/>
      <c r="E218" s="508"/>
      <c r="F218" s="508"/>
      <c r="G218" s="550"/>
      <c r="H218" s="551"/>
      <c r="I218" s="551"/>
      <c r="J218" s="551"/>
      <c r="K218" s="552"/>
      <c r="L218" s="552"/>
      <c r="M218" s="553"/>
    </row>
    <row r="219" spans="1:13" s="170" customFormat="1" ht="76" customHeight="1">
      <c r="A219" s="475"/>
      <c r="B219" s="548"/>
      <c r="C219" s="549"/>
      <c r="D219" s="508"/>
      <c r="E219" s="508"/>
      <c r="F219" s="508"/>
      <c r="G219" s="550"/>
      <c r="H219" s="551"/>
      <c r="I219" s="551"/>
      <c r="J219" s="551"/>
      <c r="K219" s="552"/>
      <c r="L219" s="552"/>
      <c r="M219" s="553"/>
    </row>
    <row r="220" spans="1:13" s="170" customFormat="1" ht="76" customHeight="1">
      <c r="A220" s="475"/>
      <c r="B220" s="548"/>
      <c r="C220" s="549"/>
      <c r="D220" s="508"/>
      <c r="E220" s="508"/>
      <c r="F220" s="508"/>
      <c r="G220" s="550"/>
      <c r="H220" s="551"/>
      <c r="I220" s="551"/>
      <c r="J220" s="551"/>
      <c r="K220" s="552"/>
      <c r="L220" s="552"/>
      <c r="M220" s="553"/>
    </row>
    <row r="221" spans="1:13" s="170" customFormat="1" ht="76" customHeight="1">
      <c r="A221" s="475"/>
      <c r="B221" s="548"/>
      <c r="C221" s="549"/>
      <c r="D221" s="508"/>
      <c r="E221" s="508"/>
      <c r="F221" s="508"/>
      <c r="G221" s="550"/>
      <c r="H221" s="551"/>
      <c r="I221" s="551"/>
      <c r="J221" s="551"/>
      <c r="K221" s="552"/>
      <c r="L221" s="552"/>
      <c r="M221" s="553"/>
    </row>
    <row r="222" spans="1:13" s="170" customFormat="1" ht="76" customHeight="1">
      <c r="A222" s="475"/>
      <c r="B222" s="548"/>
      <c r="C222" s="549"/>
      <c r="D222" s="508"/>
      <c r="E222" s="508"/>
      <c r="F222" s="508"/>
      <c r="G222" s="550"/>
      <c r="H222" s="551"/>
      <c r="I222" s="551"/>
      <c r="J222" s="551"/>
      <c r="K222" s="552"/>
      <c r="L222" s="552"/>
      <c r="M222" s="553"/>
    </row>
    <row r="223" spans="1:13" s="170" customFormat="1" ht="76" customHeight="1">
      <c r="A223" s="475"/>
      <c r="B223" s="548"/>
      <c r="C223" s="549"/>
      <c r="D223" s="508"/>
      <c r="E223" s="508"/>
      <c r="F223" s="508"/>
      <c r="G223" s="550"/>
      <c r="H223" s="551"/>
      <c r="I223" s="551"/>
      <c r="J223" s="551"/>
      <c r="K223" s="552"/>
      <c r="L223" s="552"/>
      <c r="M223" s="553"/>
    </row>
    <row r="224" spans="1:13" s="170" customFormat="1" ht="76" customHeight="1">
      <c r="A224" s="475"/>
      <c r="B224" s="548"/>
      <c r="C224" s="549"/>
      <c r="D224" s="508"/>
      <c r="E224" s="508"/>
      <c r="F224" s="508"/>
      <c r="G224" s="550"/>
      <c r="H224" s="551"/>
      <c r="I224" s="551"/>
      <c r="J224" s="551"/>
      <c r="K224" s="552"/>
      <c r="L224" s="552"/>
      <c r="M224" s="553"/>
    </row>
    <row r="225" spans="1:13" s="170" customFormat="1" ht="78" customHeight="1">
      <c r="A225" s="475"/>
      <c r="B225" s="548"/>
      <c r="C225" s="549"/>
      <c r="D225" s="508"/>
      <c r="E225" s="508"/>
      <c r="F225" s="508"/>
      <c r="G225" s="550"/>
      <c r="H225" s="551"/>
      <c r="I225" s="551"/>
      <c r="J225" s="551"/>
      <c r="K225" s="552"/>
      <c r="L225" s="552"/>
      <c r="M225" s="553"/>
    </row>
    <row r="226" spans="1:13" s="170" customFormat="1" ht="90" customHeight="1">
      <c r="A226" s="475"/>
      <c r="B226" s="548"/>
      <c r="C226" s="549"/>
      <c r="D226" s="508"/>
      <c r="E226" s="508"/>
      <c r="F226" s="508"/>
      <c r="G226" s="550"/>
      <c r="H226" s="551"/>
      <c r="I226" s="551"/>
      <c r="J226" s="551"/>
      <c r="K226" s="552"/>
      <c r="L226" s="552"/>
      <c r="M226" s="553"/>
    </row>
    <row r="227" spans="1:13" s="170" customFormat="1" ht="90" customHeight="1">
      <c r="A227" s="475"/>
      <c r="B227" s="548"/>
      <c r="C227" s="549"/>
      <c r="D227" s="508"/>
      <c r="E227" s="508"/>
      <c r="F227" s="508"/>
      <c r="G227" s="550"/>
      <c r="H227" s="551"/>
      <c r="I227" s="551"/>
      <c r="J227" s="551"/>
      <c r="K227" s="552"/>
      <c r="L227" s="552"/>
      <c r="M227" s="553"/>
    </row>
    <row r="228" spans="1:13" s="170" customFormat="1" ht="90" customHeight="1">
      <c r="A228" s="475"/>
      <c r="B228" s="548"/>
      <c r="C228" s="549"/>
      <c r="D228" s="508"/>
      <c r="E228" s="508"/>
      <c r="F228" s="508"/>
      <c r="G228" s="550"/>
      <c r="H228" s="551"/>
      <c r="I228" s="551"/>
      <c r="J228" s="551"/>
      <c r="K228" s="552"/>
      <c r="L228" s="552"/>
      <c r="M228" s="553"/>
    </row>
    <row r="229" spans="1:13" s="170" customFormat="1" ht="90" customHeight="1">
      <c r="A229" s="475"/>
      <c r="B229" s="548"/>
      <c r="C229" s="549"/>
      <c r="D229" s="508"/>
      <c r="E229" s="508"/>
      <c r="F229" s="508"/>
      <c r="G229" s="550"/>
      <c r="H229" s="551"/>
      <c r="I229" s="551"/>
      <c r="J229" s="551"/>
      <c r="K229" s="552"/>
      <c r="L229" s="552"/>
      <c r="M229" s="553"/>
    </row>
    <row r="230" spans="1:13" s="170" customFormat="1" ht="90" customHeight="1">
      <c r="A230" s="475"/>
      <c r="B230" s="548"/>
      <c r="C230" s="549"/>
      <c r="D230" s="508"/>
      <c r="E230" s="508"/>
      <c r="F230" s="508"/>
      <c r="G230" s="550"/>
      <c r="H230" s="551"/>
      <c r="I230" s="551"/>
      <c r="J230" s="551"/>
      <c r="K230" s="552"/>
      <c r="L230" s="552"/>
      <c r="M230" s="553"/>
    </row>
    <row r="231" spans="1:13" s="170" customFormat="1" ht="90" customHeight="1">
      <c r="A231" s="475"/>
      <c r="B231" s="548"/>
      <c r="C231" s="549"/>
      <c r="D231" s="508"/>
      <c r="E231" s="508"/>
      <c r="F231" s="508"/>
      <c r="G231" s="550"/>
      <c r="H231" s="551"/>
      <c r="I231" s="551"/>
      <c r="J231" s="551"/>
      <c r="K231" s="552"/>
      <c r="L231" s="552"/>
      <c r="M231" s="553"/>
    </row>
    <row r="232" spans="1:13" s="170" customFormat="1" ht="90" customHeight="1">
      <c r="A232" s="475"/>
      <c r="B232" s="548"/>
      <c r="C232" s="549"/>
      <c r="D232" s="508"/>
      <c r="E232" s="508"/>
      <c r="F232" s="508"/>
      <c r="G232" s="550"/>
      <c r="H232" s="551"/>
      <c r="I232" s="551"/>
      <c r="J232" s="551"/>
      <c r="K232" s="552"/>
      <c r="L232" s="552"/>
      <c r="M232" s="553"/>
    </row>
    <row r="233" spans="1:13" s="170" customFormat="1" ht="90" customHeight="1">
      <c r="A233" s="475"/>
      <c r="B233" s="548"/>
      <c r="C233" s="549"/>
      <c r="D233" s="508"/>
      <c r="E233" s="508"/>
      <c r="F233" s="508"/>
      <c r="G233" s="550"/>
      <c r="H233" s="551"/>
      <c r="I233" s="551"/>
      <c r="J233" s="551"/>
      <c r="K233" s="552"/>
      <c r="L233" s="552"/>
      <c r="M233" s="553"/>
    </row>
    <row r="234" spans="1:13" s="170" customFormat="1" ht="155.15" customHeight="1">
      <c r="A234" s="475"/>
      <c r="B234" s="548"/>
      <c r="C234" s="549"/>
      <c r="D234" s="508"/>
      <c r="E234" s="508"/>
      <c r="F234" s="508"/>
      <c r="G234" s="550"/>
      <c r="H234" s="551"/>
      <c r="I234" s="551"/>
      <c r="J234" s="551"/>
      <c r="K234" s="552"/>
      <c r="L234" s="552"/>
      <c r="M234" s="553"/>
    </row>
    <row r="235" spans="1:13" s="174" customFormat="1" ht="208" customHeight="1">
      <c r="A235" s="475"/>
      <c r="B235" s="548"/>
      <c r="C235" s="549"/>
      <c r="D235" s="508"/>
      <c r="E235" s="508"/>
      <c r="F235" s="508"/>
      <c r="G235" s="550"/>
      <c r="H235" s="551"/>
      <c r="I235" s="551"/>
      <c r="J235" s="551"/>
      <c r="K235" s="552"/>
      <c r="L235" s="552"/>
      <c r="M235" s="553"/>
    </row>
    <row r="236" spans="1:13" s="174" customFormat="1" ht="105" customHeight="1">
      <c r="A236" s="475"/>
      <c r="B236" s="548"/>
      <c r="C236" s="549"/>
      <c r="D236" s="508"/>
      <c r="E236" s="508"/>
      <c r="F236" s="508"/>
      <c r="G236" s="550"/>
      <c r="H236" s="551"/>
      <c r="I236" s="551"/>
      <c r="J236" s="551"/>
      <c r="K236" s="552"/>
      <c r="L236" s="552"/>
      <c r="M236" s="553"/>
    </row>
    <row r="237" spans="1:13" s="170" customFormat="1" ht="136" customHeight="1">
      <c r="A237" s="475"/>
      <c r="B237" s="548"/>
      <c r="C237" s="549"/>
      <c r="D237" s="508"/>
      <c r="E237" s="508"/>
      <c r="F237" s="508"/>
      <c r="G237" s="550"/>
      <c r="H237" s="551"/>
      <c r="I237" s="551"/>
      <c r="J237" s="551"/>
      <c r="K237" s="552"/>
      <c r="L237" s="552"/>
      <c r="M237" s="553"/>
    </row>
    <row r="238" spans="1:13" s="170" customFormat="1" ht="124" customHeight="1">
      <c r="A238" s="475"/>
      <c r="B238" s="548"/>
      <c r="C238" s="549"/>
      <c r="D238" s="508"/>
      <c r="E238" s="508"/>
      <c r="F238" s="508"/>
      <c r="G238" s="550"/>
      <c r="H238" s="551"/>
      <c r="I238" s="551"/>
      <c r="J238" s="551"/>
      <c r="K238" s="552"/>
      <c r="L238" s="552"/>
      <c r="M238" s="553"/>
    </row>
    <row r="239" spans="1:13" s="170" customFormat="1" ht="129" customHeight="1">
      <c r="A239" s="475"/>
      <c r="B239" s="548"/>
      <c r="C239" s="549"/>
      <c r="D239" s="508"/>
      <c r="E239" s="508"/>
      <c r="F239" s="508"/>
      <c r="G239" s="550"/>
      <c r="H239" s="551"/>
      <c r="I239" s="551"/>
      <c r="J239" s="551"/>
      <c r="K239" s="552"/>
      <c r="L239" s="552"/>
      <c r="M239" s="553"/>
    </row>
    <row r="240" spans="1:13" s="170" customFormat="1" ht="130" customHeight="1">
      <c r="A240" s="475"/>
      <c r="B240" s="548"/>
      <c r="C240" s="549"/>
      <c r="D240" s="508"/>
      <c r="E240" s="508"/>
      <c r="F240" s="508"/>
      <c r="G240" s="550"/>
      <c r="H240" s="551"/>
      <c r="I240" s="551"/>
      <c r="J240" s="551"/>
      <c r="K240" s="552"/>
      <c r="L240" s="552"/>
      <c r="M240" s="553"/>
    </row>
    <row r="241" spans="1:14" s="170" customFormat="1" ht="167.15" customHeight="1">
      <c r="A241" s="475"/>
      <c r="B241" s="548"/>
      <c r="C241" s="549"/>
      <c r="D241" s="508"/>
      <c r="E241" s="508"/>
      <c r="F241" s="508"/>
      <c r="G241" s="550"/>
      <c r="H241" s="551"/>
      <c r="I241" s="551"/>
      <c r="J241" s="551"/>
      <c r="K241" s="552"/>
      <c r="L241" s="552"/>
      <c r="M241" s="553"/>
    </row>
    <row r="242" spans="1:14" s="170" customFormat="1" ht="90" customHeight="1">
      <c r="A242" s="475"/>
      <c r="B242" s="548"/>
      <c r="C242" s="549"/>
      <c r="D242" s="508"/>
      <c r="E242" s="508"/>
      <c r="F242" s="508"/>
      <c r="G242" s="550"/>
      <c r="H242" s="551"/>
      <c r="I242" s="551"/>
      <c r="J242" s="551"/>
      <c r="K242" s="552"/>
      <c r="L242" s="552"/>
      <c r="M242" s="553"/>
    </row>
    <row r="243" spans="1:14" s="554" customFormat="1" ht="59.25" customHeight="1">
      <c r="A243" s="475"/>
      <c r="B243" s="548"/>
      <c r="C243" s="549"/>
      <c r="D243" s="508"/>
      <c r="E243" s="508"/>
      <c r="F243" s="508"/>
      <c r="G243" s="550"/>
      <c r="H243" s="551"/>
      <c r="I243" s="551"/>
      <c r="J243" s="551"/>
      <c r="K243" s="552"/>
      <c r="L243" s="552"/>
      <c r="M243" s="553"/>
    </row>
    <row r="252" spans="1:14" s="555" customFormat="1" ht="59.25" customHeight="1">
      <c r="A252" s="475"/>
      <c r="B252" s="548"/>
      <c r="C252" s="549"/>
      <c r="D252" s="508"/>
      <c r="E252" s="508"/>
      <c r="F252" s="508"/>
      <c r="G252" s="550"/>
      <c r="H252" s="551"/>
      <c r="I252" s="551"/>
      <c r="J252" s="551"/>
      <c r="K252" s="552"/>
      <c r="L252" s="552"/>
      <c r="M252" s="553"/>
      <c r="N252" s="475"/>
    </row>
    <row r="253" spans="1:14" s="555" customFormat="1" ht="59.25" customHeight="1">
      <c r="A253" s="475"/>
      <c r="B253" s="548"/>
      <c r="C253" s="549"/>
      <c r="D253" s="508"/>
      <c r="E253" s="508"/>
      <c r="F253" s="508"/>
      <c r="G253" s="550"/>
      <c r="H253" s="551"/>
      <c r="I253" s="551"/>
      <c r="J253" s="551"/>
      <c r="K253" s="552"/>
      <c r="L253" s="552"/>
      <c r="M253" s="553"/>
      <c r="N253" s="475"/>
    </row>
    <row r="254" spans="1:14" s="555" customFormat="1" ht="59.25" customHeight="1">
      <c r="A254" s="475"/>
      <c r="B254" s="548"/>
      <c r="C254" s="549"/>
      <c r="D254" s="508"/>
      <c r="E254" s="508"/>
      <c r="F254" s="508"/>
      <c r="G254" s="550"/>
      <c r="H254" s="551"/>
      <c r="I254" s="551"/>
      <c r="J254" s="551"/>
      <c r="K254" s="552"/>
      <c r="L254" s="552"/>
      <c r="M254" s="553"/>
      <c r="N254" s="475"/>
    </row>
    <row r="255" spans="1:14" s="555" customFormat="1" ht="59.25" customHeight="1">
      <c r="A255" s="475"/>
      <c r="B255" s="548"/>
      <c r="C255" s="549"/>
      <c r="D255" s="508"/>
      <c r="E255" s="508"/>
      <c r="F255" s="508"/>
      <c r="G255" s="550"/>
      <c r="H255" s="551"/>
      <c r="I255" s="551"/>
      <c r="J255" s="551"/>
      <c r="K255" s="552"/>
      <c r="L255" s="552"/>
      <c r="M255" s="553"/>
      <c r="N255" s="475"/>
    </row>
    <row r="256" spans="1:14" s="555" customFormat="1" ht="59.25" customHeight="1">
      <c r="A256" s="475"/>
      <c r="B256" s="548"/>
      <c r="C256" s="549"/>
      <c r="D256" s="508"/>
      <c r="E256" s="508"/>
      <c r="F256" s="508"/>
      <c r="G256" s="550"/>
      <c r="H256" s="551"/>
      <c r="I256" s="551"/>
      <c r="J256" s="551"/>
      <c r="K256" s="552"/>
      <c r="L256" s="552"/>
      <c r="M256" s="553"/>
      <c r="N256" s="475"/>
    </row>
    <row r="257" spans="1:14" s="555" customFormat="1" ht="59.25" customHeight="1">
      <c r="A257" s="475"/>
      <c r="B257" s="548"/>
      <c r="C257" s="549"/>
      <c r="D257" s="508"/>
      <c r="E257" s="508"/>
      <c r="F257" s="508"/>
      <c r="G257" s="550"/>
      <c r="H257" s="551"/>
      <c r="I257" s="551"/>
      <c r="J257" s="551"/>
      <c r="K257" s="552"/>
      <c r="L257" s="552"/>
      <c r="M257" s="553"/>
      <c r="N257" s="475"/>
    </row>
    <row r="258" spans="1:14" s="555" customFormat="1" ht="59.25" customHeight="1">
      <c r="A258" s="475"/>
      <c r="B258" s="548"/>
      <c r="C258" s="549"/>
      <c r="D258" s="508"/>
      <c r="E258" s="508"/>
      <c r="F258" s="508"/>
      <c r="G258" s="550"/>
      <c r="H258" s="551"/>
      <c r="I258" s="551"/>
      <c r="J258" s="551"/>
      <c r="K258" s="552"/>
      <c r="L258" s="552"/>
      <c r="M258" s="553"/>
      <c r="N258" s="475"/>
    </row>
    <row r="259" spans="1:14" s="555" customFormat="1" ht="59.25" customHeight="1">
      <c r="A259" s="475"/>
      <c r="B259" s="548"/>
      <c r="C259" s="549"/>
      <c r="D259" s="508"/>
      <c r="E259" s="508"/>
      <c r="F259" s="508"/>
      <c r="G259" s="550"/>
      <c r="H259" s="551"/>
      <c r="I259" s="551"/>
      <c r="J259" s="551"/>
      <c r="K259" s="552"/>
      <c r="L259" s="552"/>
      <c r="M259" s="553"/>
      <c r="N259" s="475"/>
    </row>
    <row r="260" spans="1:14" s="555" customFormat="1" ht="59.25" customHeight="1">
      <c r="A260" s="475"/>
      <c r="B260" s="548"/>
      <c r="C260" s="549"/>
      <c r="D260" s="508"/>
      <c r="E260" s="508"/>
      <c r="F260" s="508"/>
      <c r="G260" s="550"/>
      <c r="H260" s="551"/>
      <c r="I260" s="551"/>
      <c r="J260" s="551"/>
      <c r="K260" s="552"/>
      <c r="L260" s="552"/>
      <c r="M260" s="553"/>
      <c r="N260" s="475"/>
    </row>
    <row r="261" spans="1:14" s="555" customFormat="1" ht="59.25" customHeight="1">
      <c r="A261" s="475"/>
      <c r="B261" s="548"/>
      <c r="C261" s="549"/>
      <c r="D261" s="508"/>
      <c r="E261" s="508"/>
      <c r="F261" s="508"/>
      <c r="G261" s="550"/>
      <c r="H261" s="551"/>
      <c r="I261" s="551"/>
      <c r="J261" s="551"/>
      <c r="K261" s="552"/>
      <c r="L261" s="552"/>
      <c r="M261" s="553"/>
      <c r="N261" s="475"/>
    </row>
    <row r="262" spans="1:14" s="555" customFormat="1" ht="59.25" customHeight="1">
      <c r="A262" s="475"/>
      <c r="B262" s="548"/>
      <c r="C262" s="549"/>
      <c r="D262" s="508"/>
      <c r="E262" s="508"/>
      <c r="F262" s="508"/>
      <c r="G262" s="550"/>
      <c r="H262" s="551"/>
      <c r="I262" s="551"/>
      <c r="J262" s="551"/>
      <c r="K262" s="552"/>
      <c r="L262" s="552"/>
      <c r="M262" s="553"/>
      <c r="N262" s="475"/>
    </row>
    <row r="263" spans="1:14" s="555" customFormat="1" ht="59.25" customHeight="1">
      <c r="A263" s="475"/>
      <c r="B263" s="548"/>
      <c r="C263" s="549"/>
      <c r="D263" s="508"/>
      <c r="E263" s="508"/>
      <c r="F263" s="508"/>
      <c r="G263" s="550"/>
      <c r="H263" s="551"/>
      <c r="I263" s="551"/>
      <c r="J263" s="551"/>
      <c r="K263" s="552"/>
      <c r="L263" s="552"/>
      <c r="M263" s="553"/>
      <c r="N263" s="475"/>
    </row>
    <row r="264" spans="1:14" s="555" customFormat="1" ht="59.25" customHeight="1">
      <c r="A264" s="475"/>
      <c r="B264" s="548"/>
      <c r="C264" s="549"/>
      <c r="D264" s="508"/>
      <c r="E264" s="508"/>
      <c r="F264" s="508"/>
      <c r="G264" s="550"/>
      <c r="H264" s="551"/>
      <c r="I264" s="551"/>
      <c r="J264" s="551"/>
      <c r="K264" s="552"/>
      <c r="L264" s="552"/>
      <c r="M264" s="553"/>
      <c r="N264" s="475"/>
    </row>
    <row r="265" spans="1:14" s="555" customFormat="1" ht="59.25" customHeight="1">
      <c r="A265" s="475"/>
      <c r="B265" s="548"/>
      <c r="C265" s="549"/>
      <c r="D265" s="508"/>
      <c r="E265" s="508"/>
      <c r="F265" s="508"/>
      <c r="G265" s="550"/>
      <c r="H265" s="551"/>
      <c r="I265" s="551"/>
      <c r="J265" s="551"/>
      <c r="K265" s="552"/>
      <c r="L265" s="552"/>
      <c r="M265" s="553"/>
      <c r="N265" s="475"/>
    </row>
    <row r="266" spans="1:14" s="555" customFormat="1" ht="59.25" customHeight="1">
      <c r="A266" s="475"/>
      <c r="B266" s="548"/>
      <c r="C266" s="549"/>
      <c r="D266" s="508"/>
      <c r="E266" s="508"/>
      <c r="F266" s="508"/>
      <c r="G266" s="550"/>
      <c r="H266" s="551"/>
      <c r="I266" s="551"/>
      <c r="J266" s="551"/>
      <c r="K266" s="552"/>
      <c r="L266" s="552"/>
      <c r="M266" s="553"/>
      <c r="N266" s="475"/>
    </row>
    <row r="267" spans="1:14" s="555" customFormat="1" ht="59.25" customHeight="1">
      <c r="A267" s="475"/>
      <c r="B267" s="548"/>
      <c r="C267" s="549"/>
      <c r="D267" s="508"/>
      <c r="E267" s="508"/>
      <c r="F267" s="508"/>
      <c r="G267" s="550"/>
      <c r="H267" s="551"/>
      <c r="I267" s="551"/>
      <c r="J267" s="551"/>
      <c r="K267" s="552"/>
      <c r="L267" s="552"/>
      <c r="M267" s="553"/>
      <c r="N267" s="475"/>
    </row>
    <row r="268" spans="1:14" s="555" customFormat="1" ht="59.25" customHeight="1">
      <c r="A268" s="475"/>
      <c r="B268" s="548"/>
      <c r="C268" s="549"/>
      <c r="D268" s="508"/>
      <c r="E268" s="508"/>
      <c r="F268" s="508"/>
      <c r="G268" s="550"/>
      <c r="H268" s="551"/>
      <c r="I268" s="551"/>
      <c r="J268" s="551"/>
      <c r="K268" s="552"/>
      <c r="L268" s="552"/>
      <c r="M268" s="553"/>
      <c r="N268" s="475"/>
    </row>
    <row r="269" spans="1:14" s="555" customFormat="1" ht="59.25" customHeight="1">
      <c r="A269" s="475"/>
      <c r="B269" s="548"/>
      <c r="C269" s="549"/>
      <c r="D269" s="508"/>
      <c r="E269" s="508"/>
      <c r="F269" s="508"/>
      <c r="G269" s="550"/>
      <c r="H269" s="551"/>
      <c r="I269" s="551"/>
      <c r="J269" s="551"/>
      <c r="K269" s="552"/>
      <c r="L269" s="552"/>
      <c r="M269" s="553"/>
      <c r="N269" s="475"/>
    </row>
    <row r="270" spans="1:14" s="555" customFormat="1" ht="59.25" customHeight="1">
      <c r="A270" s="475"/>
      <c r="B270" s="548"/>
      <c r="C270" s="549"/>
      <c r="D270" s="508"/>
      <c r="E270" s="508"/>
      <c r="F270" s="508"/>
      <c r="G270" s="550"/>
      <c r="H270" s="551"/>
      <c r="I270" s="551"/>
      <c r="J270" s="551"/>
      <c r="K270" s="552"/>
      <c r="L270" s="552"/>
      <c r="M270" s="553"/>
      <c r="N270" s="475"/>
    </row>
    <row r="271" spans="1:14" s="555" customFormat="1" ht="59.25" customHeight="1">
      <c r="A271" s="475"/>
      <c r="B271" s="548"/>
      <c r="C271" s="549"/>
      <c r="D271" s="508"/>
      <c r="E271" s="508"/>
      <c r="F271" s="508"/>
      <c r="G271" s="550"/>
      <c r="H271" s="551"/>
      <c r="I271" s="551"/>
      <c r="J271" s="551"/>
      <c r="K271" s="552"/>
      <c r="L271" s="552"/>
      <c r="M271" s="553"/>
      <c r="N271" s="475"/>
    </row>
    <row r="272" spans="1:14" s="555" customFormat="1" ht="59.25" customHeight="1">
      <c r="A272" s="475"/>
      <c r="B272" s="548"/>
      <c r="C272" s="549"/>
      <c r="D272" s="508"/>
      <c r="E272" s="508"/>
      <c r="F272" s="508"/>
      <c r="G272" s="550"/>
      <c r="H272" s="551"/>
      <c r="I272" s="551"/>
      <c r="J272" s="551"/>
      <c r="K272" s="552"/>
      <c r="L272" s="552"/>
      <c r="M272" s="553"/>
      <c r="N272" s="475"/>
    </row>
    <row r="273" spans="1:14" s="555" customFormat="1" ht="59.25" customHeight="1">
      <c r="A273" s="475"/>
      <c r="B273" s="548"/>
      <c r="C273" s="549"/>
      <c r="D273" s="508"/>
      <c r="E273" s="508"/>
      <c r="F273" s="508"/>
      <c r="G273" s="550"/>
      <c r="H273" s="551"/>
      <c r="I273" s="551"/>
      <c r="J273" s="551"/>
      <c r="K273" s="552"/>
      <c r="L273" s="552"/>
      <c r="M273" s="553"/>
      <c r="N273" s="475"/>
    </row>
    <row r="274" spans="1:14" s="555" customFormat="1" ht="59.25" customHeight="1">
      <c r="A274" s="475"/>
      <c r="B274" s="548"/>
      <c r="C274" s="549"/>
      <c r="D274" s="508"/>
      <c r="E274" s="508"/>
      <c r="F274" s="508"/>
      <c r="G274" s="550"/>
      <c r="H274" s="551"/>
      <c r="I274" s="551"/>
      <c r="J274" s="551"/>
      <c r="K274" s="552"/>
      <c r="L274" s="552"/>
      <c r="M274" s="553"/>
      <c r="N274" s="475"/>
    </row>
    <row r="275" spans="1:14" s="555" customFormat="1" ht="59.25" customHeight="1">
      <c r="A275" s="475"/>
      <c r="B275" s="548"/>
      <c r="C275" s="549"/>
      <c r="D275" s="508"/>
      <c r="E275" s="508"/>
      <c r="F275" s="508"/>
      <c r="G275" s="550"/>
      <c r="H275" s="551"/>
      <c r="I275" s="551"/>
      <c r="J275" s="551"/>
      <c r="K275" s="552"/>
      <c r="L275" s="552"/>
      <c r="M275" s="553"/>
      <c r="N275" s="475"/>
    </row>
    <row r="276" spans="1:14" s="555" customFormat="1" ht="59.25" customHeight="1">
      <c r="A276" s="475"/>
      <c r="B276" s="548"/>
      <c r="C276" s="549"/>
      <c r="D276" s="508"/>
      <c r="E276" s="508"/>
      <c r="F276" s="508"/>
      <c r="G276" s="550"/>
      <c r="H276" s="551"/>
      <c r="I276" s="551"/>
      <c r="J276" s="551"/>
      <c r="K276" s="552"/>
      <c r="L276" s="552"/>
      <c r="M276" s="553"/>
      <c r="N276" s="475"/>
    </row>
    <row r="277" spans="1:14" s="555" customFormat="1" ht="59.25" customHeight="1">
      <c r="A277" s="475"/>
      <c r="B277" s="548"/>
      <c r="C277" s="549"/>
      <c r="D277" s="508"/>
      <c r="E277" s="508"/>
      <c r="F277" s="508"/>
      <c r="G277" s="550"/>
      <c r="H277" s="551"/>
      <c r="I277" s="551"/>
      <c r="J277" s="551"/>
      <c r="K277" s="552"/>
      <c r="L277" s="552"/>
      <c r="M277" s="553"/>
      <c r="N277" s="475"/>
    </row>
    <row r="278" spans="1:14" s="555" customFormat="1" ht="59.25" customHeight="1">
      <c r="A278" s="475"/>
      <c r="B278" s="548"/>
      <c r="C278" s="549"/>
      <c r="D278" s="508"/>
      <c r="E278" s="508"/>
      <c r="F278" s="508"/>
      <c r="G278" s="550"/>
      <c r="H278" s="551"/>
      <c r="I278" s="551"/>
      <c r="J278" s="551"/>
      <c r="K278" s="552"/>
      <c r="L278" s="552"/>
      <c r="M278" s="553"/>
      <c r="N278" s="475"/>
    </row>
    <row r="279" spans="1:14" s="555" customFormat="1" ht="59.25" customHeight="1">
      <c r="A279" s="475"/>
      <c r="B279" s="548"/>
      <c r="C279" s="549"/>
      <c r="D279" s="508"/>
      <c r="E279" s="508"/>
      <c r="F279" s="508"/>
      <c r="G279" s="550"/>
      <c r="H279" s="551"/>
      <c r="I279" s="551"/>
      <c r="J279" s="551"/>
      <c r="K279" s="552"/>
      <c r="L279" s="552"/>
      <c r="M279" s="553"/>
      <c r="N279" s="475"/>
    </row>
    <row r="280" spans="1:14" s="555" customFormat="1" ht="59.25" customHeight="1">
      <c r="A280" s="475"/>
      <c r="B280" s="548"/>
      <c r="C280" s="549"/>
      <c r="D280" s="508"/>
      <c r="E280" s="508"/>
      <c r="F280" s="508"/>
      <c r="G280" s="550"/>
      <c r="H280" s="551"/>
      <c r="I280" s="551"/>
      <c r="J280" s="551"/>
      <c r="K280" s="552"/>
      <c r="L280" s="552"/>
      <c r="M280" s="553"/>
      <c r="N280" s="475"/>
    </row>
    <row r="281" spans="1:14" s="555" customFormat="1" ht="59.25" customHeight="1">
      <c r="A281" s="475"/>
      <c r="B281" s="548"/>
      <c r="C281" s="549"/>
      <c r="D281" s="508"/>
      <c r="E281" s="508"/>
      <c r="F281" s="508"/>
      <c r="G281" s="550"/>
      <c r="H281" s="551"/>
      <c r="I281" s="551"/>
      <c r="J281" s="551"/>
      <c r="K281" s="552"/>
      <c r="L281" s="552"/>
      <c r="M281" s="553"/>
      <c r="N281" s="475"/>
    </row>
    <row r="282" spans="1:14" s="555" customFormat="1" ht="59.25" customHeight="1">
      <c r="A282" s="475"/>
      <c r="B282" s="548"/>
      <c r="C282" s="549"/>
      <c r="D282" s="508"/>
      <c r="E282" s="508"/>
      <c r="F282" s="508"/>
      <c r="G282" s="550"/>
      <c r="H282" s="551"/>
      <c r="I282" s="551"/>
      <c r="J282" s="551"/>
      <c r="K282" s="552"/>
      <c r="L282" s="552"/>
      <c r="M282" s="553"/>
      <c r="N282" s="475"/>
    </row>
    <row r="283" spans="1:14" s="555" customFormat="1" ht="59.25" customHeight="1">
      <c r="A283" s="475"/>
      <c r="B283" s="548"/>
      <c r="C283" s="549"/>
      <c r="D283" s="508"/>
      <c r="E283" s="508"/>
      <c r="F283" s="508"/>
      <c r="G283" s="550"/>
      <c r="H283" s="551"/>
      <c r="I283" s="551"/>
      <c r="J283" s="551"/>
      <c r="K283" s="552"/>
      <c r="L283" s="552"/>
      <c r="M283" s="553"/>
      <c r="N283" s="475"/>
    </row>
    <row r="284" spans="1:14" s="555" customFormat="1" ht="59.25" customHeight="1">
      <c r="A284" s="475"/>
      <c r="B284" s="548"/>
      <c r="C284" s="549"/>
      <c r="D284" s="508"/>
      <c r="E284" s="508"/>
      <c r="F284" s="508"/>
      <c r="G284" s="550"/>
      <c r="H284" s="551"/>
      <c r="I284" s="551"/>
      <c r="J284" s="551"/>
      <c r="K284" s="552"/>
      <c r="L284" s="552"/>
      <c r="M284" s="553"/>
      <c r="N284" s="475"/>
    </row>
    <row r="285" spans="1:14" s="555" customFormat="1" ht="59.25" customHeight="1">
      <c r="A285" s="475"/>
      <c r="B285" s="548"/>
      <c r="C285" s="549"/>
      <c r="D285" s="508"/>
      <c r="E285" s="508"/>
      <c r="F285" s="508"/>
      <c r="G285" s="550"/>
      <c r="H285" s="551"/>
      <c r="I285" s="551"/>
      <c r="J285" s="551"/>
      <c r="K285" s="552"/>
      <c r="L285" s="552"/>
      <c r="M285" s="553"/>
      <c r="N285" s="475"/>
    </row>
    <row r="286" spans="1:14" s="555" customFormat="1" ht="59.25" customHeight="1">
      <c r="A286" s="475"/>
      <c r="B286" s="548"/>
      <c r="C286" s="549"/>
      <c r="D286" s="508"/>
      <c r="E286" s="508"/>
      <c r="F286" s="508"/>
      <c r="G286" s="550"/>
      <c r="H286" s="551"/>
      <c r="I286" s="551"/>
      <c r="J286" s="551"/>
      <c r="K286" s="552"/>
      <c r="L286" s="552"/>
      <c r="M286" s="553"/>
      <c r="N286" s="475"/>
    </row>
    <row r="287" spans="1:14" s="555" customFormat="1" ht="59.25" customHeight="1">
      <c r="A287" s="475"/>
      <c r="B287" s="548"/>
      <c r="C287" s="549"/>
      <c r="D287" s="508"/>
      <c r="E287" s="508"/>
      <c r="F287" s="508"/>
      <c r="G287" s="550"/>
      <c r="H287" s="551"/>
      <c r="I287" s="551"/>
      <c r="J287" s="551"/>
      <c r="K287" s="552"/>
      <c r="L287" s="552"/>
      <c r="M287" s="553"/>
      <c r="N287" s="475"/>
    </row>
    <row r="288" spans="1:14" s="555" customFormat="1" ht="59.25" customHeight="1">
      <c r="A288" s="475"/>
      <c r="B288" s="548"/>
      <c r="C288" s="549"/>
      <c r="D288" s="508"/>
      <c r="E288" s="508"/>
      <c r="F288" s="508"/>
      <c r="G288" s="550"/>
      <c r="H288" s="212"/>
      <c r="I288" s="551"/>
      <c r="J288" s="551"/>
      <c r="K288" s="552"/>
      <c r="L288" s="552"/>
      <c r="M288" s="553"/>
      <c r="N288" s="475"/>
    </row>
    <row r="289" spans="1:14" s="555" customFormat="1" ht="59.25" customHeight="1">
      <c r="A289" s="475"/>
      <c r="B289" s="548"/>
      <c r="C289" s="549"/>
      <c r="D289" s="508"/>
      <c r="E289" s="508"/>
      <c r="F289" s="508"/>
      <c r="G289" s="550"/>
      <c r="H289" s="551"/>
      <c r="I289" s="551"/>
      <c r="J289" s="551"/>
      <c r="K289" s="552"/>
      <c r="L289" s="552"/>
      <c r="M289" s="553"/>
      <c r="N289" s="475"/>
    </row>
    <row r="290" spans="1:14" s="555" customFormat="1" ht="59.25" customHeight="1">
      <c r="A290" s="475"/>
      <c r="B290" s="548"/>
      <c r="C290" s="549"/>
      <c r="D290" s="508"/>
      <c r="E290" s="508"/>
      <c r="F290" s="508"/>
      <c r="G290" s="550"/>
      <c r="H290" s="551"/>
      <c r="I290" s="212"/>
      <c r="J290" s="551"/>
      <c r="K290" s="552"/>
      <c r="L290" s="552"/>
      <c r="M290" s="553"/>
      <c r="N290" s="475"/>
    </row>
    <row r="291" spans="1:14" s="555" customFormat="1" ht="59.25" customHeight="1">
      <c r="A291" s="475"/>
      <c r="B291" s="548"/>
      <c r="C291" s="549"/>
      <c r="D291" s="508"/>
      <c r="E291" s="508"/>
      <c r="F291" s="508"/>
      <c r="G291" s="550"/>
      <c r="H291" s="551"/>
      <c r="I291" s="551"/>
      <c r="J291" s="551"/>
      <c r="K291" s="552"/>
      <c r="L291" s="552"/>
      <c r="M291" s="553"/>
      <c r="N291" s="475"/>
    </row>
    <row r="292" spans="1:14" s="555" customFormat="1" ht="59.25" customHeight="1">
      <c r="A292" s="475"/>
      <c r="B292" s="548"/>
      <c r="C292" s="549"/>
      <c r="D292" s="508"/>
      <c r="E292" s="508"/>
      <c r="F292" s="508"/>
      <c r="G292" s="550"/>
      <c r="H292" s="551"/>
      <c r="I292" s="551"/>
      <c r="J292" s="551"/>
      <c r="K292" s="552"/>
      <c r="L292" s="552"/>
      <c r="M292" s="553"/>
      <c r="N292" s="475"/>
    </row>
    <row r="293" spans="1:14" s="555" customFormat="1" ht="59.25" customHeight="1">
      <c r="A293" s="475"/>
      <c r="B293" s="548"/>
      <c r="C293" s="549"/>
      <c r="D293" s="508"/>
      <c r="E293" s="508"/>
      <c r="F293" s="508"/>
      <c r="G293" s="550"/>
      <c r="H293" s="551"/>
      <c r="I293" s="551"/>
      <c r="J293" s="551"/>
      <c r="K293" s="552"/>
      <c r="L293" s="552"/>
      <c r="M293" s="553"/>
      <c r="N293" s="475"/>
    </row>
    <row r="294" spans="1:14" s="555" customFormat="1" ht="59.25" customHeight="1">
      <c r="A294" s="475"/>
      <c r="B294" s="548"/>
      <c r="C294" s="549"/>
      <c r="D294" s="508"/>
      <c r="E294" s="508"/>
      <c r="F294" s="508"/>
      <c r="G294" s="550"/>
      <c r="H294" s="551"/>
      <c r="I294" s="551"/>
      <c r="J294" s="551"/>
      <c r="K294" s="552"/>
      <c r="L294" s="552"/>
      <c r="M294" s="553"/>
      <c r="N294" s="475"/>
    </row>
    <row r="295" spans="1:14" s="555" customFormat="1" ht="59.25" customHeight="1">
      <c r="A295" s="475"/>
      <c r="B295" s="548"/>
      <c r="C295" s="549"/>
      <c r="D295" s="508"/>
      <c r="E295" s="508"/>
      <c r="F295" s="508"/>
      <c r="G295" s="550"/>
      <c r="H295" s="551"/>
      <c r="I295" s="551"/>
      <c r="J295" s="551"/>
      <c r="K295" s="552"/>
      <c r="L295" s="552"/>
      <c r="M295" s="553"/>
      <c r="N295" s="475"/>
    </row>
    <row r="296" spans="1:14" s="555" customFormat="1" ht="59.25" customHeight="1">
      <c r="A296" s="475"/>
      <c r="B296" s="548"/>
      <c r="C296" s="549"/>
      <c r="D296" s="508"/>
      <c r="E296" s="508"/>
      <c r="F296" s="508"/>
      <c r="G296" s="550"/>
      <c r="H296" s="551"/>
      <c r="I296" s="551"/>
      <c r="J296" s="551"/>
      <c r="K296" s="552"/>
      <c r="L296" s="552"/>
      <c r="M296" s="553"/>
      <c r="N296" s="475"/>
    </row>
    <row r="297" spans="1:14" s="555" customFormat="1" ht="59.25" customHeight="1">
      <c r="A297" s="475"/>
      <c r="B297" s="548"/>
      <c r="C297" s="549"/>
      <c r="D297" s="508"/>
      <c r="E297" s="508"/>
      <c r="F297" s="508"/>
      <c r="G297" s="550"/>
      <c r="H297" s="551"/>
      <c r="I297" s="551"/>
      <c r="J297" s="551"/>
      <c r="K297" s="552"/>
      <c r="L297" s="552"/>
      <c r="M297" s="553"/>
      <c r="N297" s="475"/>
    </row>
    <row r="298" spans="1:14" s="555" customFormat="1" ht="59.25" customHeight="1">
      <c r="A298" s="475"/>
      <c r="B298" s="548"/>
      <c r="C298" s="549"/>
      <c r="D298" s="508"/>
      <c r="E298" s="508"/>
      <c r="F298" s="508"/>
      <c r="G298" s="550"/>
      <c r="H298" s="551"/>
      <c r="I298" s="551"/>
      <c r="J298" s="551"/>
      <c r="K298" s="552"/>
      <c r="L298" s="552"/>
      <c r="M298" s="553"/>
      <c r="N298" s="475"/>
    </row>
    <row r="299" spans="1:14" s="555" customFormat="1" ht="59.25" customHeight="1">
      <c r="A299" s="475"/>
      <c r="B299" s="548"/>
      <c r="C299" s="549"/>
      <c r="D299" s="508"/>
      <c r="E299" s="508"/>
      <c r="F299" s="508"/>
      <c r="G299" s="550"/>
      <c r="H299" s="551"/>
      <c r="I299" s="551"/>
      <c r="J299" s="551"/>
      <c r="K299" s="552"/>
      <c r="L299" s="552"/>
      <c r="M299" s="553"/>
      <c r="N299" s="475"/>
    </row>
    <row r="300" spans="1:14" s="555" customFormat="1" ht="59.25" customHeight="1">
      <c r="A300" s="475"/>
      <c r="B300" s="548"/>
      <c r="C300" s="549"/>
      <c r="D300" s="508"/>
      <c r="E300" s="508"/>
      <c r="F300" s="508"/>
      <c r="G300" s="550"/>
      <c r="H300" s="551"/>
      <c r="I300" s="551"/>
      <c r="J300" s="551"/>
      <c r="K300" s="552"/>
      <c r="L300" s="552"/>
      <c r="M300" s="553"/>
      <c r="N300" s="475"/>
    </row>
    <row r="301" spans="1:14" s="555" customFormat="1" ht="59.25" customHeight="1">
      <c r="A301" s="475"/>
      <c r="B301" s="548"/>
      <c r="C301" s="549"/>
      <c r="D301" s="508"/>
      <c r="E301" s="508"/>
      <c r="F301" s="508"/>
      <c r="G301" s="550"/>
      <c r="H301" s="551"/>
      <c r="I301" s="551"/>
      <c r="J301" s="551"/>
      <c r="K301" s="552"/>
      <c r="L301" s="552"/>
      <c r="M301" s="553"/>
      <c r="N301" s="475"/>
    </row>
    <row r="302" spans="1:14" s="555" customFormat="1" ht="59.25" customHeight="1">
      <c r="A302" s="475"/>
      <c r="B302" s="548"/>
      <c r="C302" s="549"/>
      <c r="D302" s="508"/>
      <c r="E302" s="508"/>
      <c r="F302" s="508"/>
      <c r="G302" s="550"/>
      <c r="H302" s="551"/>
      <c r="I302" s="551"/>
      <c r="J302" s="551"/>
      <c r="K302" s="552"/>
      <c r="L302" s="552"/>
      <c r="M302" s="553"/>
      <c r="N302" s="475"/>
    </row>
    <row r="303" spans="1:14" s="555" customFormat="1" ht="59.25" customHeight="1">
      <c r="A303" s="475"/>
      <c r="B303" s="548"/>
      <c r="C303" s="549"/>
      <c r="D303" s="508"/>
      <c r="E303" s="508"/>
      <c r="F303" s="508"/>
      <c r="G303" s="550"/>
      <c r="H303" s="551"/>
      <c r="I303" s="551"/>
      <c r="J303" s="551"/>
      <c r="K303" s="552"/>
      <c r="L303" s="552"/>
      <c r="M303" s="553"/>
      <c r="N303" s="475"/>
    </row>
    <row r="304" spans="1:14" s="555" customFormat="1" ht="59.25" customHeight="1">
      <c r="A304" s="475"/>
      <c r="B304" s="548"/>
      <c r="C304" s="549"/>
      <c r="D304" s="508"/>
      <c r="E304" s="508"/>
      <c r="F304" s="508"/>
      <c r="G304" s="550"/>
      <c r="H304" s="551"/>
      <c r="I304" s="551"/>
      <c r="J304" s="551"/>
      <c r="K304" s="552"/>
      <c r="L304" s="552"/>
      <c r="M304" s="553"/>
      <c r="N304" s="475"/>
    </row>
    <row r="305" spans="1:14" s="555" customFormat="1" ht="59.25" customHeight="1">
      <c r="A305" s="475"/>
      <c r="B305" s="548"/>
      <c r="C305" s="549"/>
      <c r="D305" s="508"/>
      <c r="E305" s="508"/>
      <c r="F305" s="508"/>
      <c r="G305" s="550"/>
      <c r="H305" s="551"/>
      <c r="I305" s="551"/>
      <c r="J305" s="551"/>
      <c r="K305" s="552"/>
      <c r="L305" s="552"/>
      <c r="M305" s="553"/>
      <c r="N305" s="475"/>
    </row>
    <row r="306" spans="1:14" s="555" customFormat="1" ht="59.25" customHeight="1">
      <c r="A306" s="475"/>
      <c r="B306" s="548"/>
      <c r="C306" s="549"/>
      <c r="D306" s="508"/>
      <c r="E306" s="508"/>
      <c r="F306" s="508"/>
      <c r="G306" s="550"/>
      <c r="H306" s="551"/>
      <c r="I306" s="551"/>
      <c r="J306" s="551"/>
      <c r="K306" s="552"/>
      <c r="L306" s="552"/>
      <c r="M306" s="553"/>
      <c r="N306" s="475"/>
    </row>
    <row r="307" spans="1:14" s="555" customFormat="1" ht="59.25" customHeight="1">
      <c r="A307" s="475"/>
      <c r="B307" s="548"/>
      <c r="C307" s="549"/>
      <c r="D307" s="508"/>
      <c r="E307" s="508"/>
      <c r="F307" s="508"/>
      <c r="G307" s="550"/>
      <c r="H307" s="512"/>
      <c r="I307" s="551"/>
      <c r="J307" s="551"/>
      <c r="K307" s="552"/>
      <c r="L307" s="552"/>
      <c r="M307" s="553"/>
      <c r="N307" s="475"/>
    </row>
    <row r="308" spans="1:14" s="555" customFormat="1" ht="59.25" customHeight="1">
      <c r="A308" s="475"/>
      <c r="B308" s="548"/>
      <c r="C308" s="549"/>
      <c r="D308" s="508"/>
      <c r="E308" s="508"/>
      <c r="F308" s="508"/>
      <c r="G308" s="550"/>
      <c r="H308" s="551"/>
      <c r="I308" s="551"/>
      <c r="J308" s="551"/>
      <c r="K308" s="552"/>
      <c r="L308" s="552"/>
      <c r="M308" s="553"/>
      <c r="N308" s="475"/>
    </row>
    <row r="309" spans="1:14" s="555" customFormat="1" ht="59.25" customHeight="1">
      <c r="A309" s="475"/>
      <c r="B309" s="548"/>
      <c r="C309" s="549"/>
      <c r="D309" s="508"/>
      <c r="E309" s="508"/>
      <c r="F309" s="508"/>
      <c r="G309" s="550"/>
      <c r="H309" s="556"/>
      <c r="I309" s="212"/>
      <c r="J309" s="551"/>
      <c r="K309" s="552"/>
      <c r="L309" s="552"/>
      <c r="M309" s="553"/>
      <c r="N309" s="475"/>
    </row>
    <row r="310" spans="1:14" s="555" customFormat="1" ht="59.25" customHeight="1">
      <c r="A310" s="475"/>
      <c r="B310" s="548"/>
      <c r="C310" s="549"/>
      <c r="D310" s="508"/>
      <c r="E310" s="508"/>
      <c r="F310" s="508"/>
      <c r="G310" s="550"/>
      <c r="H310" s="212"/>
      <c r="I310" s="557"/>
      <c r="J310" s="551"/>
      <c r="K310" s="552"/>
      <c r="L310" s="552"/>
      <c r="M310" s="553"/>
      <c r="N310" s="475"/>
    </row>
    <row r="311" spans="1:14" s="555" customFormat="1" ht="59.25" customHeight="1">
      <c r="A311" s="475"/>
      <c r="B311" s="548"/>
      <c r="C311" s="549"/>
      <c r="D311" s="508"/>
      <c r="E311" s="508"/>
      <c r="F311" s="508"/>
      <c r="G311" s="550"/>
      <c r="H311" s="556"/>
      <c r="I311" s="556"/>
      <c r="J311" s="551"/>
      <c r="K311" s="552"/>
      <c r="L311" s="552"/>
      <c r="M311" s="553"/>
      <c r="N311" s="475"/>
    </row>
    <row r="312" spans="1:14" s="555" customFormat="1" ht="59.25" customHeight="1">
      <c r="A312" s="475"/>
      <c r="B312" s="548"/>
      <c r="C312" s="549"/>
      <c r="D312" s="508"/>
      <c r="E312" s="508"/>
      <c r="F312" s="508"/>
      <c r="G312" s="550"/>
      <c r="H312" s="556"/>
      <c r="I312" s="212"/>
      <c r="J312" s="551"/>
      <c r="K312" s="552"/>
      <c r="L312" s="552"/>
      <c r="M312" s="553"/>
      <c r="N312" s="475"/>
    </row>
    <row r="313" spans="1:14" s="555" customFormat="1" ht="59.25" customHeight="1">
      <c r="A313" s="475"/>
      <c r="B313" s="548"/>
      <c r="C313" s="549"/>
      <c r="D313" s="508"/>
      <c r="E313" s="508"/>
      <c r="F313" s="508"/>
      <c r="G313" s="550"/>
      <c r="H313" s="556"/>
      <c r="I313" s="557"/>
      <c r="J313" s="551"/>
      <c r="K313" s="552"/>
      <c r="L313" s="552"/>
      <c r="M313" s="553"/>
      <c r="N313" s="475"/>
    </row>
    <row r="314" spans="1:14" s="555" customFormat="1" ht="59.25" customHeight="1">
      <c r="A314" s="475"/>
      <c r="B314" s="548"/>
      <c r="C314" s="549"/>
      <c r="D314" s="508"/>
      <c r="E314" s="508"/>
      <c r="F314" s="508"/>
      <c r="G314" s="550"/>
      <c r="H314" s="556"/>
      <c r="I314" s="557"/>
      <c r="J314" s="551"/>
      <c r="K314" s="552"/>
      <c r="L314" s="552"/>
      <c r="M314" s="553"/>
      <c r="N314" s="475"/>
    </row>
    <row r="315" spans="1:14" s="555" customFormat="1" ht="59.25" customHeight="1">
      <c r="A315" s="475"/>
      <c r="B315" s="548"/>
      <c r="C315" s="549"/>
      <c r="D315" s="508"/>
      <c r="E315" s="508"/>
      <c r="F315" s="508"/>
      <c r="G315" s="550"/>
      <c r="H315" s="556"/>
      <c r="I315" s="557"/>
      <c r="J315" s="551"/>
      <c r="K315" s="552"/>
      <c r="L315" s="552"/>
      <c r="M315" s="553"/>
      <c r="N315" s="475"/>
    </row>
    <row r="316" spans="1:14" s="555" customFormat="1" ht="59.25" customHeight="1">
      <c r="A316" s="475"/>
      <c r="B316" s="548"/>
      <c r="C316" s="549"/>
      <c r="D316" s="508"/>
      <c r="E316" s="508"/>
      <c r="F316" s="508"/>
      <c r="G316" s="550"/>
      <c r="H316" s="556"/>
      <c r="I316" s="557"/>
      <c r="J316" s="551"/>
      <c r="K316" s="552"/>
      <c r="L316" s="552"/>
      <c r="M316" s="553"/>
      <c r="N316" s="475"/>
    </row>
    <row r="317" spans="1:14" s="555" customFormat="1" ht="59.25" customHeight="1">
      <c r="A317" s="475"/>
      <c r="B317" s="548"/>
      <c r="C317" s="549"/>
      <c r="D317" s="508"/>
      <c r="E317" s="508"/>
      <c r="F317" s="508"/>
      <c r="G317" s="550"/>
      <c r="H317" s="556"/>
      <c r="I317" s="557"/>
      <c r="J317" s="551"/>
      <c r="K317" s="552"/>
      <c r="L317" s="552"/>
      <c r="M317" s="553"/>
      <c r="N317" s="475"/>
    </row>
    <row r="318" spans="1:14" s="555" customFormat="1" ht="59.25" customHeight="1">
      <c r="A318" s="475"/>
      <c r="B318" s="548"/>
      <c r="C318" s="549"/>
      <c r="D318" s="508"/>
      <c r="E318" s="508"/>
      <c r="F318" s="508"/>
      <c r="G318" s="550"/>
      <c r="H318" s="556"/>
      <c r="I318" s="557"/>
      <c r="J318" s="551"/>
      <c r="K318" s="552"/>
      <c r="L318" s="552"/>
      <c r="M318" s="553"/>
      <c r="N318" s="475"/>
    </row>
    <row r="319" spans="1:14" s="555" customFormat="1" ht="59.25" customHeight="1">
      <c r="A319" s="475"/>
      <c r="B319" s="548"/>
      <c r="C319" s="549"/>
      <c r="D319" s="508"/>
      <c r="E319" s="508"/>
      <c r="F319" s="508"/>
      <c r="G319" s="550"/>
      <c r="H319" s="556"/>
      <c r="I319" s="557"/>
      <c r="J319" s="551"/>
      <c r="K319" s="552"/>
      <c r="L319" s="552"/>
      <c r="M319" s="553"/>
      <c r="N319" s="475"/>
    </row>
    <row r="320" spans="1:14" s="555" customFormat="1" ht="59.25" customHeight="1">
      <c r="A320" s="475"/>
      <c r="B320" s="548"/>
      <c r="C320" s="549"/>
      <c r="D320" s="508"/>
      <c r="E320" s="508"/>
      <c r="F320" s="508"/>
      <c r="G320" s="550"/>
      <c r="H320" s="556"/>
      <c r="I320" s="557"/>
      <c r="J320" s="551"/>
      <c r="K320" s="552"/>
      <c r="L320" s="552"/>
      <c r="M320" s="553"/>
      <c r="N320" s="475"/>
    </row>
    <row r="321" spans="1:14" s="555" customFormat="1" ht="59.25" customHeight="1">
      <c r="A321" s="475"/>
      <c r="B321" s="548"/>
      <c r="C321" s="549"/>
      <c r="D321" s="508"/>
      <c r="E321" s="508"/>
      <c r="F321" s="508"/>
      <c r="G321" s="550"/>
      <c r="H321" s="556"/>
      <c r="I321" s="557"/>
      <c r="J321" s="551"/>
      <c r="K321" s="552"/>
      <c r="L321" s="552"/>
      <c r="M321" s="553"/>
      <c r="N321" s="475"/>
    </row>
    <row r="322" spans="1:14" s="555" customFormat="1" ht="59.25" customHeight="1">
      <c r="A322" s="475"/>
      <c r="B322" s="548"/>
      <c r="C322" s="549"/>
      <c r="D322" s="508"/>
      <c r="E322" s="508"/>
      <c r="F322" s="508"/>
      <c r="G322" s="550"/>
      <c r="H322" s="551"/>
      <c r="I322" s="557"/>
      <c r="J322" s="551"/>
      <c r="K322" s="552"/>
      <c r="L322" s="552"/>
      <c r="M322" s="553"/>
      <c r="N322" s="475"/>
    </row>
    <row r="323" spans="1:14" s="555" customFormat="1" ht="59.25" customHeight="1">
      <c r="A323" s="475"/>
      <c r="B323" s="548"/>
      <c r="C323" s="549"/>
      <c r="D323" s="508"/>
      <c r="E323" s="508"/>
      <c r="F323" s="508"/>
      <c r="G323" s="550"/>
      <c r="H323" s="551"/>
      <c r="I323" s="557"/>
      <c r="J323" s="551"/>
      <c r="K323" s="552"/>
      <c r="L323" s="552"/>
      <c r="M323" s="553"/>
      <c r="N323" s="475"/>
    </row>
    <row r="324" spans="1:14" s="555" customFormat="1" ht="59.25" customHeight="1">
      <c r="A324" s="475"/>
      <c r="B324" s="548"/>
      <c r="C324" s="549"/>
      <c r="D324" s="508"/>
      <c r="E324" s="508"/>
      <c r="F324" s="508"/>
      <c r="G324" s="550"/>
      <c r="H324" s="551"/>
      <c r="I324" s="557"/>
      <c r="J324" s="551"/>
      <c r="K324" s="552"/>
      <c r="L324" s="552"/>
      <c r="M324" s="553"/>
      <c r="N324" s="475"/>
    </row>
    <row r="325" spans="1:14" s="555" customFormat="1" ht="59.25" customHeight="1">
      <c r="A325" s="475"/>
      <c r="B325" s="548"/>
      <c r="C325" s="549"/>
      <c r="D325" s="508"/>
      <c r="E325" s="508"/>
      <c r="F325" s="508"/>
      <c r="G325" s="550"/>
      <c r="H325" s="551"/>
      <c r="I325" s="557"/>
      <c r="J325" s="551"/>
      <c r="K325" s="552"/>
      <c r="L325" s="552"/>
      <c r="M325" s="553"/>
      <c r="N325" s="475"/>
    </row>
    <row r="326" spans="1:14" s="555" customFormat="1" ht="59.25" customHeight="1">
      <c r="A326" s="475"/>
      <c r="B326" s="548"/>
      <c r="C326" s="549"/>
      <c r="D326" s="508"/>
      <c r="E326" s="508"/>
      <c r="F326" s="508"/>
      <c r="G326" s="550"/>
      <c r="H326" s="551"/>
      <c r="I326" s="557"/>
      <c r="J326" s="551"/>
      <c r="K326" s="552"/>
      <c r="L326" s="552"/>
      <c r="M326" s="553"/>
      <c r="N326" s="475"/>
    </row>
    <row r="327" spans="1:14" s="555" customFormat="1" ht="59.25" customHeight="1">
      <c r="A327" s="475"/>
      <c r="B327" s="548"/>
      <c r="C327" s="549"/>
      <c r="D327" s="508"/>
      <c r="E327" s="508"/>
      <c r="F327" s="508"/>
      <c r="G327" s="550"/>
      <c r="H327" s="551"/>
      <c r="I327" s="557"/>
      <c r="J327" s="551"/>
      <c r="K327" s="552"/>
      <c r="L327" s="552"/>
      <c r="M327" s="553"/>
      <c r="N327" s="475"/>
    </row>
    <row r="328" spans="1:14" s="555" customFormat="1" ht="59.25" customHeight="1">
      <c r="A328" s="475"/>
      <c r="B328" s="548"/>
      <c r="C328" s="549"/>
      <c r="D328" s="508"/>
      <c r="E328" s="508"/>
      <c r="F328" s="508"/>
      <c r="G328" s="550"/>
      <c r="H328" s="551"/>
      <c r="I328" s="557"/>
      <c r="J328" s="551"/>
      <c r="K328" s="552"/>
      <c r="L328" s="552"/>
      <c r="M328" s="553"/>
      <c r="N328" s="475"/>
    </row>
    <row r="329" spans="1:14" s="555" customFormat="1" ht="59.25" customHeight="1">
      <c r="A329" s="475"/>
      <c r="B329" s="548"/>
      <c r="C329" s="549"/>
      <c r="D329" s="508"/>
      <c r="E329" s="508"/>
      <c r="F329" s="508"/>
      <c r="G329" s="550"/>
      <c r="H329" s="551"/>
      <c r="I329" s="557"/>
      <c r="J329" s="551"/>
      <c r="K329" s="552"/>
      <c r="L329" s="552"/>
      <c r="M329" s="553"/>
      <c r="N329" s="475"/>
    </row>
    <row r="330" spans="1:14" s="555" customFormat="1" ht="59.25" customHeight="1">
      <c r="A330" s="475"/>
      <c r="B330" s="548"/>
      <c r="C330" s="549"/>
      <c r="D330" s="508"/>
      <c r="E330" s="508"/>
      <c r="F330" s="508"/>
      <c r="G330" s="550"/>
      <c r="H330" s="551"/>
      <c r="I330" s="557"/>
      <c r="J330" s="551"/>
      <c r="K330" s="552"/>
      <c r="L330" s="552"/>
      <c r="M330" s="553"/>
      <c r="N330" s="475"/>
    </row>
    <row r="331" spans="1:14" s="555" customFormat="1" ht="59.25" customHeight="1">
      <c r="A331" s="475"/>
      <c r="B331" s="548"/>
      <c r="C331" s="549"/>
      <c r="D331" s="508"/>
      <c r="E331" s="508"/>
      <c r="F331" s="508"/>
      <c r="G331" s="550"/>
      <c r="H331" s="551"/>
      <c r="I331" s="557"/>
      <c r="J331" s="551"/>
      <c r="K331" s="552"/>
      <c r="L331" s="552"/>
      <c r="M331" s="553"/>
      <c r="N331" s="475"/>
    </row>
    <row r="332" spans="1:14" s="555" customFormat="1" ht="59.25" customHeight="1">
      <c r="A332" s="475"/>
      <c r="B332" s="548"/>
      <c r="C332" s="549"/>
      <c r="D332" s="508"/>
      <c r="E332" s="508"/>
      <c r="F332" s="508"/>
      <c r="G332" s="550"/>
      <c r="H332" s="551"/>
      <c r="I332" s="557"/>
      <c r="J332" s="551"/>
      <c r="K332" s="552"/>
      <c r="L332" s="552"/>
      <c r="M332" s="553"/>
      <c r="N332" s="475"/>
    </row>
    <row r="333" spans="1:14" s="555" customFormat="1" ht="59.25" customHeight="1">
      <c r="A333" s="475"/>
      <c r="B333" s="548"/>
      <c r="C333" s="549"/>
      <c r="D333" s="508"/>
      <c r="E333" s="508"/>
      <c r="F333" s="508"/>
      <c r="G333" s="550"/>
      <c r="H333" s="551"/>
      <c r="I333" s="557"/>
      <c r="J333" s="551"/>
      <c r="K333" s="552"/>
      <c r="L333" s="552"/>
      <c r="M333" s="553"/>
      <c r="N333" s="475"/>
    </row>
    <row r="334" spans="1:14" s="555" customFormat="1" ht="59.25" customHeight="1">
      <c r="A334" s="475"/>
      <c r="B334" s="548"/>
      <c r="C334" s="549"/>
      <c r="D334" s="508"/>
      <c r="E334" s="508"/>
      <c r="F334" s="508"/>
      <c r="G334" s="550"/>
      <c r="H334" s="551"/>
      <c r="I334" s="557"/>
      <c r="J334" s="551"/>
      <c r="K334" s="552"/>
      <c r="L334" s="552"/>
      <c r="M334" s="553"/>
      <c r="N334" s="475"/>
    </row>
    <row r="335" spans="1:14" s="555" customFormat="1" ht="59.25" customHeight="1">
      <c r="A335" s="475"/>
      <c r="B335" s="548"/>
      <c r="C335" s="549"/>
      <c r="D335" s="508"/>
      <c r="E335" s="508"/>
      <c r="F335" s="508"/>
      <c r="G335" s="550"/>
      <c r="H335" s="551"/>
      <c r="I335" s="557"/>
      <c r="J335" s="551"/>
      <c r="K335" s="552"/>
      <c r="L335" s="552"/>
      <c r="M335" s="553"/>
      <c r="N335" s="475"/>
    </row>
    <row r="336" spans="1:14" s="555" customFormat="1" ht="59.25" customHeight="1">
      <c r="A336" s="475"/>
      <c r="B336" s="548"/>
      <c r="C336" s="549"/>
      <c r="D336" s="508"/>
      <c r="E336" s="508"/>
      <c r="F336" s="508"/>
      <c r="G336" s="550"/>
      <c r="H336" s="558"/>
      <c r="I336" s="557"/>
      <c r="J336" s="551"/>
      <c r="K336" s="552"/>
      <c r="L336" s="552"/>
      <c r="M336" s="553"/>
      <c r="N336" s="475"/>
    </row>
    <row r="337" spans="1:14" s="555" customFormat="1" ht="59.25" customHeight="1">
      <c r="A337" s="475"/>
      <c r="B337" s="548"/>
      <c r="C337" s="549"/>
      <c r="D337" s="508"/>
      <c r="E337" s="508"/>
      <c r="F337" s="508"/>
      <c r="G337" s="550"/>
      <c r="H337" s="551"/>
      <c r="I337" s="557"/>
      <c r="J337" s="551"/>
      <c r="K337" s="552"/>
      <c r="L337" s="552"/>
      <c r="M337" s="553"/>
      <c r="N337" s="475"/>
    </row>
    <row r="338" spans="1:14" s="555" customFormat="1" ht="59.25" customHeight="1">
      <c r="A338" s="475"/>
      <c r="B338" s="548"/>
      <c r="C338" s="549"/>
      <c r="D338" s="508"/>
      <c r="E338" s="508"/>
      <c r="F338" s="508"/>
      <c r="G338" s="550"/>
      <c r="H338" s="551"/>
      <c r="I338" s="558"/>
      <c r="J338" s="551"/>
      <c r="K338" s="552"/>
      <c r="L338" s="552"/>
      <c r="M338" s="553"/>
      <c r="N338" s="475"/>
    </row>
    <row r="339" spans="1:14" s="555" customFormat="1" ht="59.25" customHeight="1">
      <c r="A339" s="475"/>
      <c r="B339" s="548"/>
      <c r="C339" s="549"/>
      <c r="D339" s="508"/>
      <c r="E339" s="508"/>
      <c r="F339" s="508"/>
      <c r="G339" s="550"/>
      <c r="H339" s="551"/>
      <c r="I339" s="551"/>
      <c r="J339" s="551"/>
      <c r="K339" s="552"/>
      <c r="L339" s="552"/>
      <c r="M339" s="553"/>
      <c r="N339" s="475"/>
    </row>
    <row r="340" spans="1:14" s="555" customFormat="1" ht="59.25" customHeight="1">
      <c r="A340" s="475"/>
      <c r="B340" s="548"/>
      <c r="C340" s="549"/>
      <c r="D340" s="508"/>
      <c r="E340" s="508"/>
      <c r="F340" s="508"/>
      <c r="G340" s="550"/>
      <c r="H340" s="551"/>
      <c r="I340" s="551"/>
      <c r="J340" s="551"/>
      <c r="K340" s="552"/>
      <c r="L340" s="552"/>
      <c r="M340" s="553"/>
      <c r="N340" s="475"/>
    </row>
    <row r="341" spans="1:14" s="555" customFormat="1" ht="59.25" customHeight="1">
      <c r="A341" s="475"/>
      <c r="B341" s="548"/>
      <c r="C341" s="549"/>
      <c r="D341" s="508"/>
      <c r="E341" s="508"/>
      <c r="F341" s="508"/>
      <c r="G341" s="550"/>
      <c r="H341" s="551"/>
      <c r="I341" s="551"/>
      <c r="J341" s="551"/>
      <c r="K341" s="552"/>
      <c r="L341" s="552"/>
      <c r="M341" s="553"/>
      <c r="N341" s="475"/>
    </row>
    <row r="342" spans="1:14" s="555" customFormat="1" ht="59.25" customHeight="1">
      <c r="A342" s="475"/>
      <c r="B342" s="548"/>
      <c r="C342" s="549"/>
      <c r="D342" s="508"/>
      <c r="E342" s="508"/>
      <c r="F342" s="508"/>
      <c r="G342" s="550"/>
      <c r="H342" s="551"/>
      <c r="I342" s="551"/>
      <c r="J342" s="551"/>
      <c r="K342" s="552"/>
      <c r="L342" s="552"/>
      <c r="M342" s="553"/>
      <c r="N342" s="475"/>
    </row>
    <row r="343" spans="1:14" s="555" customFormat="1" ht="59.25" customHeight="1">
      <c r="A343" s="475"/>
      <c r="B343" s="548"/>
      <c r="C343" s="549"/>
      <c r="D343" s="508"/>
      <c r="E343" s="508"/>
      <c r="F343" s="508"/>
      <c r="G343" s="550"/>
      <c r="H343" s="551"/>
      <c r="I343" s="551"/>
      <c r="J343" s="551"/>
      <c r="K343" s="552"/>
      <c r="L343" s="552"/>
      <c r="M343" s="553"/>
      <c r="N343" s="475"/>
    </row>
    <row r="344" spans="1:14" s="555" customFormat="1" ht="59.25" customHeight="1">
      <c r="A344" s="475"/>
      <c r="B344" s="548"/>
      <c r="C344" s="549"/>
      <c r="D344" s="508"/>
      <c r="E344" s="508"/>
      <c r="F344" s="508"/>
      <c r="G344" s="550"/>
      <c r="H344" s="551"/>
      <c r="I344" s="551"/>
      <c r="J344" s="551"/>
      <c r="K344" s="552"/>
      <c r="L344" s="552"/>
      <c r="M344" s="553"/>
      <c r="N344" s="475"/>
    </row>
    <row r="345" spans="1:14" s="555" customFormat="1" ht="59.25" customHeight="1">
      <c r="A345" s="475"/>
      <c r="B345" s="548"/>
      <c r="C345" s="549"/>
      <c r="D345" s="508"/>
      <c r="E345" s="508"/>
      <c r="F345" s="508"/>
      <c r="G345" s="550"/>
      <c r="H345" s="551"/>
      <c r="I345" s="551"/>
      <c r="J345" s="551"/>
      <c r="K345" s="552"/>
      <c r="L345" s="552"/>
      <c r="M345" s="553"/>
      <c r="N345" s="475"/>
    </row>
    <row r="346" spans="1:14" s="555" customFormat="1" ht="59.25" customHeight="1">
      <c r="A346" s="475"/>
      <c r="B346" s="548"/>
      <c r="C346" s="549"/>
      <c r="D346" s="508"/>
      <c r="E346" s="508"/>
      <c r="F346" s="508"/>
      <c r="G346" s="550"/>
      <c r="H346" s="551"/>
      <c r="I346" s="551"/>
      <c r="J346" s="551"/>
      <c r="K346" s="552"/>
      <c r="L346" s="552"/>
      <c r="M346" s="553"/>
      <c r="N346" s="475"/>
    </row>
    <row r="347" spans="1:14" s="555" customFormat="1" ht="59.25" customHeight="1">
      <c r="A347" s="475"/>
      <c r="B347" s="548"/>
      <c r="C347" s="549"/>
      <c r="D347" s="508"/>
      <c r="E347" s="508"/>
      <c r="F347" s="508"/>
      <c r="G347" s="550"/>
      <c r="H347" s="551"/>
      <c r="I347" s="551"/>
      <c r="J347" s="551"/>
      <c r="K347" s="552"/>
      <c r="L347" s="552"/>
      <c r="M347" s="553"/>
      <c r="N347" s="475"/>
    </row>
    <row r="348" spans="1:14" s="555" customFormat="1" ht="59.25" customHeight="1">
      <c r="A348" s="475"/>
      <c r="B348" s="548"/>
      <c r="C348" s="549"/>
      <c r="D348" s="508"/>
      <c r="E348" s="508"/>
      <c r="F348" s="508"/>
      <c r="G348" s="550"/>
      <c r="H348" s="551"/>
      <c r="I348" s="551"/>
      <c r="J348" s="551"/>
      <c r="K348" s="552"/>
      <c r="L348" s="552"/>
      <c r="M348" s="553"/>
      <c r="N348" s="475"/>
    </row>
    <row r="349" spans="1:14" s="555" customFormat="1" ht="59.25" customHeight="1">
      <c r="A349" s="475"/>
      <c r="B349" s="548"/>
      <c r="C349" s="549"/>
      <c r="D349" s="508"/>
      <c r="E349" s="508"/>
      <c r="F349" s="508"/>
      <c r="G349" s="550"/>
      <c r="H349" s="551"/>
      <c r="I349" s="551"/>
      <c r="J349" s="551"/>
      <c r="K349" s="552"/>
      <c r="L349" s="552"/>
      <c r="M349" s="553"/>
      <c r="N349" s="475"/>
    </row>
    <row r="350" spans="1:14" s="555" customFormat="1" ht="59.25" customHeight="1">
      <c r="A350" s="475"/>
      <c r="B350" s="548"/>
      <c r="C350" s="549"/>
      <c r="D350" s="508"/>
      <c r="E350" s="508"/>
      <c r="F350" s="508"/>
      <c r="G350" s="550"/>
      <c r="H350" s="551"/>
      <c r="I350" s="551"/>
      <c r="J350" s="551"/>
      <c r="K350" s="552"/>
      <c r="L350" s="552"/>
      <c r="M350" s="553"/>
      <c r="N350" s="475"/>
    </row>
    <row r="351" spans="1:14" s="555" customFormat="1" ht="59.25" customHeight="1">
      <c r="A351" s="475"/>
      <c r="B351" s="548"/>
      <c r="C351" s="549"/>
      <c r="D351" s="508"/>
      <c r="E351" s="508"/>
      <c r="F351" s="508"/>
      <c r="G351" s="550"/>
      <c r="H351" s="551"/>
      <c r="I351" s="551"/>
      <c r="J351" s="551"/>
      <c r="K351" s="552"/>
      <c r="L351" s="552"/>
      <c r="M351" s="553"/>
      <c r="N351" s="475"/>
    </row>
  </sheetData>
  <autoFilter ref="A19:M131" xr:uid="{1D0A7B0E-F6A2-4D6D-A0FC-2C82E7939114}">
    <filterColumn colId="11" showButton="0"/>
  </autoFilter>
  <mergeCells count="32">
    <mergeCell ref="A7:B7"/>
    <mergeCell ref="C7:E7"/>
    <mergeCell ref="H7:I7"/>
    <mergeCell ref="J7:K7"/>
    <mergeCell ref="B1:L1"/>
    <mergeCell ref="A2:M2"/>
    <mergeCell ref="A3:M3"/>
    <mergeCell ref="A4:M4"/>
    <mergeCell ref="A5:M5"/>
    <mergeCell ref="C9:E9"/>
    <mergeCell ref="G9:I9"/>
    <mergeCell ref="J9:K9"/>
    <mergeCell ref="C11:E11"/>
    <mergeCell ref="G11:I11"/>
    <mergeCell ref="J11:K11"/>
    <mergeCell ref="L19:M19"/>
    <mergeCell ref="A19:A20"/>
    <mergeCell ref="B19:B20"/>
    <mergeCell ref="C19:C20"/>
    <mergeCell ref="D19:D20"/>
    <mergeCell ref="E19:E20"/>
    <mergeCell ref="F19:F20"/>
    <mergeCell ref="G19:G20"/>
    <mergeCell ref="H19:H20"/>
    <mergeCell ref="I19:I20"/>
    <mergeCell ref="J19:J20"/>
    <mergeCell ref="K19:K20"/>
    <mergeCell ref="A21:E21"/>
    <mergeCell ref="A94:C94"/>
    <mergeCell ref="A97:E97"/>
    <mergeCell ref="A105:E105"/>
    <mergeCell ref="G131:K131"/>
  </mergeCells>
  <printOptions horizontalCentered="1"/>
  <pageMargins left="0.4" right="0.2" top="0.40748031499999998" bottom="0.15748031496063" header="0.15748031496063" footer="0.15748031496063"/>
  <pageSetup paperSize="9" scale="29"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FD114"/>
  <sheetViews>
    <sheetView topLeftCell="A26" zoomScale="60" zoomScaleNormal="60" workbookViewId="0">
      <selection activeCell="H19" sqref="H19"/>
    </sheetView>
  </sheetViews>
  <sheetFormatPr defaultColWidth="9.1796875" defaultRowHeight="14.5"/>
  <cols>
    <col min="1" max="1" width="5.81640625" customWidth="1"/>
    <col min="2" max="2" width="20.81640625" customWidth="1"/>
    <col min="3" max="3" width="12.54296875" customWidth="1"/>
    <col min="4" max="4" width="26.26953125" customWidth="1"/>
    <col min="5" max="5" width="20.453125" style="107" customWidth="1"/>
    <col min="6" max="6" width="9.54296875" customWidth="1"/>
    <col min="7" max="7" width="8.54296875" style="107" customWidth="1"/>
    <col min="8" max="8" width="10.7265625" style="107" customWidth="1"/>
    <col min="9" max="10" width="10.7265625" style="108" customWidth="1"/>
    <col min="11" max="15" width="10.7265625" style="107" customWidth="1"/>
    <col min="16" max="19" width="9.54296875" style="107" customWidth="1"/>
    <col min="20" max="20" width="26.81640625" style="107" customWidth="1"/>
    <col min="21" max="24" width="8.453125" style="107" customWidth="1"/>
    <col min="25" max="25" width="16.54296875" style="107" customWidth="1"/>
    <col min="26" max="26" width="15.81640625" style="107" customWidth="1"/>
    <col min="27" max="27" width="16.26953125" style="109" customWidth="1"/>
    <col min="28" max="28" width="35" customWidth="1"/>
    <col min="30" max="30" width="26.54296875" customWidth="1"/>
  </cols>
  <sheetData>
    <row r="1" spans="1:28" s="62" customFormat="1" ht="96.75" customHeight="1">
      <c r="A1" s="739" t="s">
        <v>65</v>
      </c>
      <c r="B1" s="739"/>
      <c r="C1" s="739"/>
      <c r="D1" s="739"/>
      <c r="E1" s="739"/>
      <c r="F1" s="739"/>
      <c r="G1" s="739"/>
      <c r="H1" s="739"/>
      <c r="I1" s="739"/>
      <c r="J1" s="739"/>
      <c r="K1" s="739"/>
      <c r="L1" s="739"/>
      <c r="M1" s="739"/>
      <c r="N1" s="739"/>
      <c r="O1" s="739"/>
      <c r="P1" s="739"/>
      <c r="Q1" s="739"/>
      <c r="R1" s="739"/>
      <c r="S1" s="739"/>
      <c r="T1" s="739"/>
      <c r="U1" s="739"/>
      <c r="V1" s="739"/>
      <c r="W1" s="739"/>
      <c r="X1" s="739"/>
      <c r="Y1" s="739"/>
      <c r="Z1" s="739"/>
      <c r="AA1" s="739"/>
      <c r="AB1" s="739"/>
    </row>
    <row r="2" spans="1:28" s="62" customFormat="1" ht="44.25" customHeight="1">
      <c r="A2" s="739" t="s">
        <v>1179</v>
      </c>
      <c r="B2" s="739"/>
      <c r="C2" s="739"/>
      <c r="D2" s="739"/>
      <c r="E2" s="739"/>
      <c r="F2" s="739"/>
      <c r="G2" s="739"/>
      <c r="H2" s="739"/>
      <c r="I2" s="739"/>
      <c r="J2" s="739"/>
      <c r="K2" s="739"/>
      <c r="L2" s="739"/>
      <c r="M2" s="739"/>
      <c r="N2" s="739"/>
      <c r="O2" s="739"/>
      <c r="P2" s="739"/>
      <c r="Q2" s="739"/>
      <c r="R2" s="739"/>
      <c r="S2" s="739"/>
      <c r="T2" s="739"/>
      <c r="U2" s="739"/>
      <c r="V2" s="739"/>
      <c r="W2" s="739"/>
      <c r="X2" s="739"/>
      <c r="Y2" s="739"/>
      <c r="Z2" s="739"/>
      <c r="AA2" s="739"/>
      <c r="AB2" s="739"/>
    </row>
    <row r="3" spans="1:28" s="62" customFormat="1" ht="25.5" customHeight="1">
      <c r="A3" s="737" t="s">
        <v>1180</v>
      </c>
      <c r="B3" s="737"/>
      <c r="C3" s="737"/>
      <c r="D3" s="737"/>
      <c r="E3" s="737"/>
      <c r="F3" s="737"/>
      <c r="G3" s="737"/>
      <c r="H3" s="737"/>
      <c r="I3" s="737"/>
      <c r="J3" s="737"/>
      <c r="K3" s="737"/>
      <c r="L3" s="737"/>
      <c r="M3" s="737"/>
      <c r="N3" s="737"/>
      <c r="O3" s="737"/>
      <c r="P3" s="737"/>
      <c r="Q3" s="737"/>
      <c r="R3" s="737"/>
      <c r="S3" s="737"/>
      <c r="T3" s="737"/>
      <c r="U3" s="737"/>
      <c r="V3" s="737"/>
      <c r="W3" s="737"/>
      <c r="X3" s="737"/>
      <c r="Y3" s="737"/>
      <c r="Z3" s="737"/>
      <c r="AA3" s="737"/>
      <c r="AB3" s="737"/>
    </row>
    <row r="4" spans="1:28" s="62" customFormat="1" ht="17.25" customHeight="1">
      <c r="A4" s="111"/>
      <c r="B4" s="112"/>
      <c r="C4" s="71"/>
      <c r="D4" s="71"/>
      <c r="E4" s="71"/>
      <c r="F4" s="71"/>
      <c r="G4" s="71"/>
      <c r="H4" s="71"/>
      <c r="I4" s="138"/>
      <c r="J4" s="138"/>
      <c r="K4" s="71"/>
      <c r="L4" s="71"/>
      <c r="M4" s="71"/>
      <c r="N4" s="71"/>
      <c r="O4" s="71"/>
      <c r="P4" s="71"/>
      <c r="Q4" s="71"/>
      <c r="R4" s="71"/>
      <c r="S4" s="71"/>
      <c r="T4" s="149"/>
      <c r="U4" s="149"/>
      <c r="V4" s="149"/>
      <c r="W4" s="149"/>
      <c r="X4" s="149"/>
      <c r="Y4" s="149"/>
      <c r="Z4" s="149"/>
      <c r="AA4" s="149"/>
      <c r="AB4" s="111"/>
    </row>
    <row r="5" spans="1:28" s="100" customFormat="1" ht="24.75" customHeight="1">
      <c r="A5" s="113"/>
      <c r="B5" s="114" t="s">
        <v>67</v>
      </c>
      <c r="C5" s="758" t="s">
        <v>101</v>
      </c>
      <c r="D5" s="759"/>
      <c r="E5" s="760"/>
      <c r="F5" s="759"/>
      <c r="G5" s="759"/>
      <c r="H5" s="761"/>
      <c r="I5" s="139"/>
      <c r="J5" s="768"/>
      <c r="K5" s="768"/>
      <c r="L5" s="768"/>
      <c r="M5" s="768"/>
      <c r="N5" s="769" t="s">
        <v>1181</v>
      </c>
      <c r="O5" s="770"/>
      <c r="P5" s="770"/>
      <c r="Q5" s="770"/>
      <c r="R5" s="770"/>
      <c r="S5" s="770"/>
      <c r="T5" s="770"/>
      <c r="U5" s="771">
        <v>46023</v>
      </c>
      <c r="V5" s="771"/>
      <c r="W5" s="771"/>
      <c r="X5" s="771"/>
      <c r="Y5" s="771"/>
      <c r="Z5" s="771"/>
      <c r="AA5" s="771"/>
      <c r="AB5" s="113"/>
    </row>
    <row r="6" spans="1:28" s="100" customFormat="1" ht="9" customHeight="1">
      <c r="A6" s="113"/>
      <c r="B6" s="114"/>
      <c r="C6" s="115"/>
      <c r="D6" s="116"/>
      <c r="E6" s="125"/>
      <c r="F6" s="116"/>
      <c r="G6" s="116"/>
      <c r="H6" s="116"/>
      <c r="I6" s="139"/>
      <c r="J6" s="139"/>
      <c r="K6" s="129"/>
      <c r="L6" s="129"/>
      <c r="M6" s="129"/>
      <c r="N6" s="114"/>
      <c r="O6" s="114"/>
      <c r="P6" s="114"/>
      <c r="Q6" s="114"/>
      <c r="R6" s="114"/>
      <c r="S6" s="114"/>
      <c r="T6" s="114"/>
      <c r="U6" s="114"/>
      <c r="V6" s="114"/>
      <c r="W6" s="114"/>
      <c r="X6" s="114"/>
      <c r="Y6" s="114"/>
      <c r="Z6" s="114"/>
      <c r="AA6" s="114"/>
      <c r="AB6" s="113"/>
    </row>
    <row r="7" spans="1:28" s="100" customFormat="1" ht="27.75" customHeight="1">
      <c r="A7" s="113"/>
      <c r="B7" s="114" t="s">
        <v>809</v>
      </c>
      <c r="C7" s="758" t="s">
        <v>105</v>
      </c>
      <c r="D7" s="759"/>
      <c r="E7" s="760"/>
      <c r="F7" s="759"/>
      <c r="G7" s="759"/>
      <c r="H7" s="761"/>
      <c r="I7" s="139"/>
      <c r="J7" s="762"/>
      <c r="K7" s="762"/>
      <c r="L7" s="762"/>
      <c r="M7" s="762"/>
      <c r="N7" s="763" t="s">
        <v>1182</v>
      </c>
      <c r="O7" s="763"/>
      <c r="P7" s="763"/>
      <c r="Q7" s="763"/>
      <c r="R7" s="763"/>
      <c r="S7" s="763"/>
      <c r="T7" s="763"/>
      <c r="U7" s="764">
        <f>BEMSdar!E11</f>
        <v>1437864.7725</v>
      </c>
      <c r="V7" s="765"/>
      <c r="W7" s="765"/>
      <c r="X7" s="765"/>
      <c r="Y7" s="765"/>
      <c r="Z7" s="765"/>
      <c r="AA7" s="766"/>
      <c r="AB7" s="113"/>
    </row>
    <row r="8" spans="1:28" s="100" customFormat="1" ht="9" customHeight="1">
      <c r="A8" s="113"/>
      <c r="B8" s="114"/>
      <c r="C8" s="115"/>
      <c r="D8" s="116"/>
      <c r="E8" s="125"/>
      <c r="F8" s="116"/>
      <c r="G8" s="116"/>
      <c r="H8" s="116"/>
      <c r="I8" s="139"/>
      <c r="J8" s="139"/>
      <c r="K8" s="129"/>
      <c r="L8" s="129"/>
      <c r="M8" s="129"/>
      <c r="N8" s="145"/>
      <c r="O8" s="145"/>
      <c r="P8" s="145"/>
      <c r="Q8" s="145"/>
      <c r="R8" s="145"/>
      <c r="S8" s="145"/>
      <c r="T8" s="145"/>
      <c r="U8" s="114"/>
      <c r="V8" s="114"/>
      <c r="W8" s="114"/>
      <c r="X8" s="114"/>
      <c r="Y8" s="114"/>
      <c r="Z8" s="114"/>
      <c r="AA8" s="114"/>
      <c r="AB8" s="113"/>
    </row>
    <row r="9" spans="1:28" s="100" customFormat="1" ht="33" customHeight="1">
      <c r="A9" s="113"/>
      <c r="B9" s="114" t="s">
        <v>810</v>
      </c>
      <c r="C9" s="758" t="s">
        <v>108</v>
      </c>
      <c r="D9" s="759"/>
      <c r="E9" s="760"/>
      <c r="F9" s="759"/>
      <c r="G9" s="759"/>
      <c r="H9" s="761"/>
      <c r="I9" s="139"/>
      <c r="J9" s="762"/>
      <c r="K9" s="762"/>
      <c r="L9" s="762"/>
      <c r="M9" s="762"/>
      <c r="N9" s="763" t="s">
        <v>1183</v>
      </c>
      <c r="O9" s="763"/>
      <c r="P9" s="763"/>
      <c r="Q9" s="763"/>
      <c r="R9" s="763"/>
      <c r="S9" s="763"/>
      <c r="T9" s="763"/>
      <c r="U9" s="767">
        <f>BEMSdar!E13</f>
        <v>36868.327499999999</v>
      </c>
      <c r="V9" s="767"/>
      <c r="W9" s="767"/>
      <c r="X9" s="767"/>
      <c r="Y9" s="767"/>
      <c r="Z9" s="767"/>
      <c r="AA9" s="767"/>
      <c r="AB9" s="113"/>
    </row>
    <row r="10" spans="1:28" s="101" customFormat="1" ht="22.5" customHeight="1">
      <c r="A10" s="117"/>
      <c r="B10" s="117"/>
      <c r="C10" s="117"/>
      <c r="D10" s="118"/>
      <c r="E10" s="126"/>
      <c r="F10" s="127"/>
      <c r="G10" s="128"/>
      <c r="H10" s="128"/>
      <c r="I10" s="140"/>
      <c r="J10" s="141"/>
      <c r="K10" s="128"/>
      <c r="L10" s="142"/>
      <c r="M10" s="146"/>
      <c r="N10" s="128"/>
      <c r="O10" s="128"/>
      <c r="P10" s="128"/>
      <c r="Q10" s="128"/>
      <c r="R10" s="128"/>
      <c r="S10" s="128"/>
      <c r="T10" s="128"/>
      <c r="U10" s="129"/>
      <c r="V10" s="128"/>
      <c r="W10" s="128"/>
      <c r="X10" s="128"/>
      <c r="Y10" s="128"/>
      <c r="Z10" s="128"/>
      <c r="AA10" s="128"/>
      <c r="AB10" s="117"/>
    </row>
    <row r="11" spans="1:28" s="100" customFormat="1" ht="17.5">
      <c r="A11" s="756" t="s">
        <v>112</v>
      </c>
      <c r="B11" s="756"/>
      <c r="C11" s="756"/>
      <c r="D11" s="756"/>
      <c r="E11" s="757"/>
      <c r="F11" s="756"/>
      <c r="G11" s="756"/>
      <c r="H11" s="756"/>
      <c r="I11" s="756"/>
      <c r="J11" s="756"/>
      <c r="K11" s="756"/>
      <c r="L11" s="756"/>
      <c r="M11" s="756"/>
      <c r="N11" s="129"/>
      <c r="O11" s="129"/>
      <c r="P11" s="147"/>
      <c r="Q11" s="129"/>
      <c r="R11" s="129"/>
      <c r="S11" s="129"/>
      <c r="T11" s="129"/>
      <c r="U11" s="129"/>
      <c r="V11" s="129"/>
      <c r="W11" s="129"/>
      <c r="X11" s="129"/>
      <c r="Y11" s="129"/>
      <c r="Z11" s="129"/>
      <c r="AA11" s="129"/>
      <c r="AB11" s="113"/>
    </row>
    <row r="12" spans="1:28" s="100" customFormat="1" ht="17.5">
      <c r="A12" s="756" t="s">
        <v>113</v>
      </c>
      <c r="B12" s="756"/>
      <c r="C12" s="756"/>
      <c r="D12" s="756"/>
      <c r="E12" s="757"/>
      <c r="F12" s="756"/>
      <c r="G12" s="756"/>
      <c r="H12" s="756"/>
      <c r="I12" s="756"/>
      <c r="J12" s="756"/>
      <c r="K12" s="756"/>
      <c r="L12" s="756"/>
      <c r="M12" s="756"/>
      <c r="N12" s="129"/>
      <c r="O12" s="129"/>
      <c r="P12" s="147"/>
      <c r="Q12" s="129"/>
      <c r="R12" s="129"/>
      <c r="S12" s="129"/>
      <c r="T12" s="129"/>
      <c r="U12" s="129"/>
      <c r="V12" s="129"/>
      <c r="W12" s="129"/>
      <c r="X12" s="129"/>
      <c r="Y12" s="129"/>
      <c r="Z12" s="129"/>
      <c r="AA12" s="129"/>
      <c r="AB12" s="113"/>
    </row>
    <row r="13" spans="1:28" s="100" customFormat="1" ht="17.5">
      <c r="A13" s="756" t="s">
        <v>1184</v>
      </c>
      <c r="B13" s="756"/>
      <c r="C13" s="756"/>
      <c r="D13" s="756"/>
      <c r="E13" s="757"/>
      <c r="F13" s="756"/>
      <c r="G13" s="756"/>
      <c r="H13" s="756"/>
      <c r="I13" s="756"/>
      <c r="J13" s="756"/>
      <c r="K13" s="756"/>
      <c r="L13" s="756"/>
      <c r="M13" s="756"/>
      <c r="N13" s="129"/>
      <c r="O13" s="129"/>
      <c r="P13" s="147"/>
      <c r="Q13" s="129"/>
      <c r="R13" s="129"/>
      <c r="S13" s="129"/>
      <c r="T13" s="129"/>
      <c r="U13" s="129"/>
      <c r="V13" s="129"/>
      <c r="W13" s="129"/>
      <c r="X13" s="129"/>
      <c r="Y13" s="129"/>
      <c r="Z13" s="129"/>
      <c r="AA13" s="129"/>
      <c r="AB13" s="113"/>
    </row>
    <row r="14" spans="1:28" s="100" customFormat="1" ht="17.5">
      <c r="A14" s="756" t="s">
        <v>1185</v>
      </c>
      <c r="B14" s="756"/>
      <c r="C14" s="756"/>
      <c r="D14" s="756"/>
      <c r="E14" s="757"/>
      <c r="F14" s="756"/>
      <c r="G14" s="756"/>
      <c r="H14" s="756"/>
      <c r="I14" s="756"/>
      <c r="J14" s="756"/>
      <c r="K14" s="756"/>
      <c r="L14" s="756"/>
      <c r="M14" s="756"/>
      <c r="N14" s="129"/>
      <c r="O14" s="129"/>
      <c r="P14" s="147"/>
      <c r="Q14" s="129"/>
      <c r="R14" s="129"/>
      <c r="S14" s="129"/>
      <c r="T14" s="129"/>
      <c r="U14" s="129"/>
      <c r="V14" s="129"/>
      <c r="W14" s="129"/>
      <c r="X14" s="129"/>
      <c r="Y14" s="129"/>
      <c r="Z14" s="129"/>
      <c r="AA14" s="129"/>
      <c r="AB14" s="113"/>
    </row>
    <row r="15" spans="1:28" s="100" customFormat="1" ht="15" customHeight="1">
      <c r="A15" s="756" t="s">
        <v>813</v>
      </c>
      <c r="B15" s="756"/>
      <c r="C15" s="756"/>
      <c r="D15" s="756"/>
      <c r="E15" s="757"/>
      <c r="F15" s="756"/>
      <c r="G15" s="756"/>
      <c r="H15" s="756"/>
      <c r="I15" s="756"/>
      <c r="J15" s="756"/>
      <c r="K15" s="756"/>
      <c r="L15" s="756"/>
      <c r="M15" s="756"/>
      <c r="N15" s="129"/>
      <c r="O15" s="129"/>
      <c r="P15" s="147"/>
      <c r="Q15" s="129"/>
      <c r="R15" s="129"/>
      <c r="S15" s="129"/>
      <c r="T15" s="129"/>
      <c r="U15" s="129"/>
      <c r="V15" s="129"/>
      <c r="W15" s="129"/>
      <c r="X15" s="129"/>
      <c r="Y15" s="129"/>
      <c r="Z15" s="129"/>
      <c r="AA15" s="129"/>
      <c r="AB15" s="113"/>
    </row>
    <row r="16" spans="1:28" s="102" customFormat="1" ht="17.5">
      <c r="A16" s="119"/>
      <c r="C16" s="119"/>
      <c r="D16" s="119"/>
      <c r="E16" s="130"/>
      <c r="F16" s="119"/>
      <c r="G16" s="130"/>
      <c r="H16" s="130"/>
      <c r="I16" s="143"/>
      <c r="J16" s="143"/>
      <c r="K16" s="130"/>
      <c r="L16" s="130"/>
      <c r="M16" s="130"/>
      <c r="N16" s="130"/>
      <c r="O16" s="130"/>
      <c r="P16" s="130"/>
      <c r="Q16" s="130"/>
      <c r="R16" s="130"/>
      <c r="S16" s="130"/>
      <c r="T16" s="130"/>
      <c r="U16" s="130"/>
      <c r="V16" s="130"/>
      <c r="W16" s="130"/>
      <c r="X16" s="130"/>
      <c r="Y16" s="130"/>
      <c r="Z16" s="130"/>
      <c r="AA16" s="158"/>
      <c r="AB16" s="119"/>
    </row>
    <row r="17" spans="1:28" s="102" customFormat="1" ht="49" customHeight="1">
      <c r="A17" s="750" t="s">
        <v>1186</v>
      </c>
      <c r="B17" s="750" t="s">
        <v>118</v>
      </c>
      <c r="C17" s="750" t="s">
        <v>1187</v>
      </c>
      <c r="D17" s="750" t="s">
        <v>1188</v>
      </c>
      <c r="E17" s="752" t="s">
        <v>1189</v>
      </c>
      <c r="F17" s="754" t="s">
        <v>1190</v>
      </c>
      <c r="G17" s="754" t="s">
        <v>1191</v>
      </c>
      <c r="H17" s="743" t="s">
        <v>1192</v>
      </c>
      <c r="I17" s="743"/>
      <c r="J17" s="743"/>
      <c r="K17" s="743"/>
      <c r="L17" s="743"/>
      <c r="M17" s="743"/>
      <c r="N17" s="743"/>
      <c r="O17" s="743"/>
      <c r="P17" s="743"/>
      <c r="Q17" s="743"/>
      <c r="R17" s="743"/>
      <c r="S17" s="743"/>
      <c r="T17" s="744" t="s">
        <v>1193</v>
      </c>
      <c r="U17" s="744" t="s">
        <v>1194</v>
      </c>
      <c r="V17" s="744"/>
      <c r="W17" s="744" t="s">
        <v>1195</v>
      </c>
      <c r="X17" s="744"/>
      <c r="Y17" s="745" t="s">
        <v>133</v>
      </c>
      <c r="Z17" s="745"/>
      <c r="AA17" s="741" t="s">
        <v>1196</v>
      </c>
      <c r="AB17" s="742" t="s">
        <v>1197</v>
      </c>
    </row>
    <row r="18" spans="1:28" s="103" customFormat="1" ht="20.5" customHeight="1">
      <c r="A18" s="751"/>
      <c r="B18" s="751"/>
      <c r="C18" s="751"/>
      <c r="D18" s="751"/>
      <c r="E18" s="753"/>
      <c r="F18" s="755"/>
      <c r="G18" s="755"/>
      <c r="H18" s="131" t="s">
        <v>1198</v>
      </c>
      <c r="I18" s="144" t="s">
        <v>1199</v>
      </c>
      <c r="J18" s="144" t="s">
        <v>1200</v>
      </c>
      <c r="K18" s="131" t="s">
        <v>1201</v>
      </c>
      <c r="L18" s="131" t="s">
        <v>1202</v>
      </c>
      <c r="M18" s="131" t="s">
        <v>1203</v>
      </c>
      <c r="N18" s="131" t="s">
        <v>1204</v>
      </c>
      <c r="O18" s="131" t="s">
        <v>1205</v>
      </c>
      <c r="P18" s="131" t="s">
        <v>1206</v>
      </c>
      <c r="Q18" s="131" t="s">
        <v>1207</v>
      </c>
      <c r="R18" s="131" t="s">
        <v>1208</v>
      </c>
      <c r="S18" s="131" t="s">
        <v>1209</v>
      </c>
      <c r="T18" s="744"/>
      <c r="U18" s="150" t="s">
        <v>1210</v>
      </c>
      <c r="V18" s="150" t="s">
        <v>1211</v>
      </c>
      <c r="W18" s="150" t="s">
        <v>1210</v>
      </c>
      <c r="X18" s="150" t="s">
        <v>1211</v>
      </c>
      <c r="Y18" s="131" t="s">
        <v>1210</v>
      </c>
      <c r="Z18" s="159" t="s">
        <v>1211</v>
      </c>
      <c r="AA18" s="741"/>
      <c r="AB18" s="742"/>
    </row>
    <row r="19" spans="1:28" s="104" customFormat="1" ht="65.150000000000006" customHeight="1">
      <c r="A19" s="120">
        <v>1</v>
      </c>
      <c r="B19" s="121" t="s">
        <v>663</v>
      </c>
      <c r="C19" s="122" t="s">
        <v>1212</v>
      </c>
      <c r="D19" s="123" t="s">
        <v>1213</v>
      </c>
      <c r="E19" s="132">
        <v>4510</v>
      </c>
      <c r="F19" s="133">
        <v>13</v>
      </c>
      <c r="G19" s="134">
        <v>0.88</v>
      </c>
      <c r="H19" s="135">
        <v>99.8273296782843</v>
      </c>
      <c r="I19" s="135"/>
      <c r="J19" s="135"/>
      <c r="K19" s="135"/>
      <c r="L19" s="135"/>
      <c r="M19" s="148"/>
      <c r="N19" s="135"/>
      <c r="O19" s="135"/>
      <c r="P19" s="135"/>
      <c r="Q19" s="135"/>
      <c r="R19" s="135"/>
      <c r="S19" s="135"/>
      <c r="T19" s="151">
        <f>ROUNDUP((E19/4999.99)*10,-1)</f>
        <v>10</v>
      </c>
      <c r="U19" s="152" t="s">
        <v>148</v>
      </c>
      <c r="V19" s="152" t="s">
        <v>148</v>
      </c>
      <c r="W19" s="152" t="s">
        <v>148</v>
      </c>
      <c r="X19" s="152" t="s">
        <v>148</v>
      </c>
      <c r="Y19" s="160">
        <f>IF(W19="Y",T19,0)</f>
        <v>0</v>
      </c>
      <c r="Z19" s="160">
        <f>IF(X19="Y",T19*2,0)</f>
        <v>0</v>
      </c>
      <c r="AA19" s="160">
        <f>Y19+Z19</f>
        <v>0</v>
      </c>
      <c r="AB19" s="161"/>
    </row>
    <row r="20" spans="1:28" s="104" customFormat="1" ht="65.150000000000006" customHeight="1">
      <c r="A20" s="120">
        <v>2</v>
      </c>
      <c r="B20" s="121" t="s">
        <v>669</v>
      </c>
      <c r="C20" s="122" t="s">
        <v>1214</v>
      </c>
      <c r="D20" s="123" t="s">
        <v>725</v>
      </c>
      <c r="E20" s="136">
        <v>10825</v>
      </c>
      <c r="F20" s="133">
        <v>13</v>
      </c>
      <c r="G20" s="134">
        <v>0.88</v>
      </c>
      <c r="H20" s="135">
        <v>99.961970644887998</v>
      </c>
      <c r="I20" s="135"/>
      <c r="J20" s="135"/>
      <c r="K20" s="135"/>
      <c r="L20" s="135"/>
      <c r="M20" s="148"/>
      <c r="N20" s="135"/>
      <c r="O20" s="135"/>
      <c r="P20" s="135"/>
      <c r="Q20" s="135"/>
      <c r="R20" s="135"/>
      <c r="S20" s="135"/>
      <c r="T20" s="151">
        <f t="shared" ref="T20:T34" si="0">ROUNDUP((E20/4999.99)*10,-1)</f>
        <v>30</v>
      </c>
      <c r="U20" s="153" t="s">
        <v>148</v>
      </c>
      <c r="V20" s="152" t="s">
        <v>148</v>
      </c>
      <c r="W20" s="154" t="s">
        <v>148</v>
      </c>
      <c r="X20" s="154" t="s">
        <v>148</v>
      </c>
      <c r="Y20" s="160">
        <f t="shared" ref="Y20:Y34" si="1">IF(W20="Y",T20,0)</f>
        <v>0</v>
      </c>
      <c r="Z20" s="160">
        <f>IF(X20="Y",T20*2,0)</f>
        <v>0</v>
      </c>
      <c r="AA20" s="160">
        <f t="shared" ref="AA20:AA34" si="2">Y20+Z20</f>
        <v>0</v>
      </c>
      <c r="AB20" s="162"/>
    </row>
    <row r="21" spans="1:28" s="104" customFormat="1" ht="65.150000000000006" customHeight="1">
      <c r="A21" s="120">
        <v>3</v>
      </c>
      <c r="B21" s="121" t="s">
        <v>673</v>
      </c>
      <c r="C21" s="122" t="s">
        <v>1214</v>
      </c>
      <c r="D21" s="123" t="s">
        <v>725</v>
      </c>
      <c r="E21" s="136">
        <v>5800</v>
      </c>
      <c r="F21" s="121">
        <v>8</v>
      </c>
      <c r="G21" s="134">
        <v>0.95</v>
      </c>
      <c r="H21" s="135">
        <v>99.962034016285202</v>
      </c>
      <c r="I21" s="135"/>
      <c r="J21" s="135"/>
      <c r="K21" s="135"/>
      <c r="L21" s="135"/>
      <c r="M21" s="148"/>
      <c r="N21" s="135"/>
      <c r="O21" s="135"/>
      <c r="P21" s="135"/>
      <c r="Q21" s="135"/>
      <c r="R21" s="135"/>
      <c r="S21" s="135"/>
      <c r="T21" s="151">
        <f t="shared" si="0"/>
        <v>20</v>
      </c>
      <c r="U21" s="153" t="s">
        <v>683</v>
      </c>
      <c r="V21" s="152" t="s">
        <v>683</v>
      </c>
      <c r="W21" s="154" t="s">
        <v>148</v>
      </c>
      <c r="X21" s="154" t="s">
        <v>148</v>
      </c>
      <c r="Y21" s="160">
        <f t="shared" si="1"/>
        <v>0</v>
      </c>
      <c r="Z21" s="160">
        <f t="shared" ref="Z21:Z34" si="3">IF(X21="Y",T21*2,0)</f>
        <v>0</v>
      </c>
      <c r="AA21" s="160">
        <f t="shared" si="2"/>
        <v>0</v>
      </c>
      <c r="AB21" s="162"/>
    </row>
    <row r="22" spans="1:28" s="104" customFormat="1" ht="65.150000000000006" customHeight="1">
      <c r="A22" s="120">
        <v>4</v>
      </c>
      <c r="B22" s="121" t="s">
        <v>733</v>
      </c>
      <c r="C22" s="122" t="s">
        <v>1214</v>
      </c>
      <c r="D22" s="124" t="s">
        <v>725</v>
      </c>
      <c r="E22" s="136">
        <v>10825</v>
      </c>
      <c r="F22" s="133">
        <v>13</v>
      </c>
      <c r="G22" s="134">
        <v>0.88</v>
      </c>
      <c r="H22" s="135">
        <v>99.059560833119903</v>
      </c>
      <c r="I22" s="135"/>
      <c r="J22" s="135"/>
      <c r="K22" s="135"/>
      <c r="L22" s="135"/>
      <c r="M22" s="148"/>
      <c r="N22" s="135"/>
      <c r="O22" s="135"/>
      <c r="P22" s="135"/>
      <c r="Q22" s="135"/>
      <c r="R22" s="135"/>
      <c r="S22" s="135"/>
      <c r="T22" s="151">
        <f t="shared" si="0"/>
        <v>30</v>
      </c>
      <c r="U22" s="153" t="s">
        <v>148</v>
      </c>
      <c r="V22" s="152" t="s">
        <v>148</v>
      </c>
      <c r="W22" s="154" t="s">
        <v>148</v>
      </c>
      <c r="X22" s="154" t="s">
        <v>148</v>
      </c>
      <c r="Y22" s="160">
        <f t="shared" si="1"/>
        <v>0</v>
      </c>
      <c r="Z22" s="160">
        <f t="shared" si="3"/>
        <v>0</v>
      </c>
      <c r="AA22" s="160">
        <f t="shared" si="2"/>
        <v>0</v>
      </c>
      <c r="AB22" s="162"/>
    </row>
    <row r="23" spans="1:28" s="104" customFormat="1" ht="65.150000000000006" customHeight="1">
      <c r="A23" s="120">
        <v>5</v>
      </c>
      <c r="B23" s="121" t="s">
        <v>739</v>
      </c>
      <c r="C23" s="122" t="s">
        <v>1214</v>
      </c>
      <c r="D23" s="124" t="s">
        <v>725</v>
      </c>
      <c r="E23" s="136">
        <v>10825</v>
      </c>
      <c r="F23" s="133">
        <v>13</v>
      </c>
      <c r="G23" s="134">
        <v>0.88</v>
      </c>
      <c r="H23" s="135">
        <v>99.082187458591093</v>
      </c>
      <c r="I23" s="135"/>
      <c r="J23" s="135"/>
      <c r="K23" s="135"/>
      <c r="L23" s="135"/>
      <c r="M23" s="148"/>
      <c r="N23" s="135"/>
      <c r="O23" s="135"/>
      <c r="P23" s="135"/>
      <c r="Q23" s="135"/>
      <c r="R23" s="135"/>
      <c r="S23" s="135"/>
      <c r="T23" s="151">
        <f t="shared" si="0"/>
        <v>30</v>
      </c>
      <c r="U23" s="153" t="s">
        <v>148</v>
      </c>
      <c r="V23" s="152" t="s">
        <v>148</v>
      </c>
      <c r="W23" s="154" t="s">
        <v>148</v>
      </c>
      <c r="X23" s="154" t="s">
        <v>148</v>
      </c>
      <c r="Y23" s="160">
        <f t="shared" si="1"/>
        <v>0</v>
      </c>
      <c r="Z23" s="160">
        <f t="shared" si="3"/>
        <v>0</v>
      </c>
      <c r="AA23" s="160">
        <f t="shared" si="2"/>
        <v>0</v>
      </c>
      <c r="AB23" s="162"/>
    </row>
    <row r="24" spans="1:28" s="104" customFormat="1" ht="65.150000000000006" customHeight="1">
      <c r="A24" s="120">
        <v>6</v>
      </c>
      <c r="B24" s="121" t="s">
        <v>743</v>
      </c>
      <c r="C24" s="122" t="s">
        <v>1214</v>
      </c>
      <c r="D24" s="124" t="s">
        <v>725</v>
      </c>
      <c r="E24" s="136">
        <v>10825</v>
      </c>
      <c r="F24" s="133">
        <v>13</v>
      </c>
      <c r="G24" s="134">
        <v>0.88</v>
      </c>
      <c r="H24" s="135">
        <v>99.139282345208599</v>
      </c>
      <c r="I24" s="135"/>
      <c r="J24" s="135"/>
      <c r="K24" s="135"/>
      <c r="L24" s="135"/>
      <c r="M24" s="148"/>
      <c r="N24" s="135"/>
      <c r="O24" s="135"/>
      <c r="P24" s="135"/>
      <c r="Q24" s="135"/>
      <c r="R24" s="135"/>
      <c r="S24" s="135"/>
      <c r="T24" s="151">
        <f t="shared" si="0"/>
        <v>30</v>
      </c>
      <c r="U24" s="153" t="s">
        <v>148</v>
      </c>
      <c r="V24" s="152" t="s">
        <v>148</v>
      </c>
      <c r="W24" s="154" t="s">
        <v>148</v>
      </c>
      <c r="X24" s="154" t="s">
        <v>148</v>
      </c>
      <c r="Y24" s="160">
        <f t="shared" si="1"/>
        <v>0</v>
      </c>
      <c r="Z24" s="160">
        <f t="shared" si="3"/>
        <v>0</v>
      </c>
      <c r="AA24" s="160">
        <f t="shared" si="2"/>
        <v>0</v>
      </c>
      <c r="AB24" s="162"/>
    </row>
    <row r="25" spans="1:28" s="105" customFormat="1" ht="65.150000000000006" customHeight="1">
      <c r="A25" s="120">
        <v>7</v>
      </c>
      <c r="B25" s="121" t="s">
        <v>749</v>
      </c>
      <c r="C25" s="122" t="s">
        <v>1215</v>
      </c>
      <c r="D25" s="124" t="s">
        <v>1216</v>
      </c>
      <c r="E25" s="136">
        <v>138350</v>
      </c>
      <c r="F25" s="133">
        <v>13</v>
      </c>
      <c r="G25" s="137">
        <v>0.88</v>
      </c>
      <c r="H25" s="135">
        <v>99.178239911740903</v>
      </c>
      <c r="I25" s="135"/>
      <c r="J25" s="135"/>
      <c r="K25" s="135"/>
      <c r="L25" s="135"/>
      <c r="M25" s="148"/>
      <c r="N25" s="135"/>
      <c r="O25" s="135"/>
      <c r="P25" s="135"/>
      <c r="Q25" s="135"/>
      <c r="R25" s="135"/>
      <c r="S25" s="135"/>
      <c r="T25" s="151">
        <f t="shared" si="0"/>
        <v>280</v>
      </c>
      <c r="U25" s="155" t="s">
        <v>148</v>
      </c>
      <c r="V25" s="156" t="s">
        <v>148</v>
      </c>
      <c r="W25" s="157" t="s">
        <v>148</v>
      </c>
      <c r="X25" s="157" t="s">
        <v>148</v>
      </c>
      <c r="Y25" s="160">
        <f t="shared" si="1"/>
        <v>0</v>
      </c>
      <c r="Z25" s="160">
        <f t="shared" si="3"/>
        <v>0</v>
      </c>
      <c r="AA25" s="160">
        <f t="shared" si="2"/>
        <v>0</v>
      </c>
      <c r="AB25" s="162"/>
    </row>
    <row r="26" spans="1:28" s="105" customFormat="1" ht="65.150000000000006" customHeight="1">
      <c r="A26" s="120">
        <v>8</v>
      </c>
      <c r="B26" s="121" t="s">
        <v>754</v>
      </c>
      <c r="C26" s="122" t="s">
        <v>1212</v>
      </c>
      <c r="D26" s="124" t="s">
        <v>1213</v>
      </c>
      <c r="E26" s="136">
        <v>4510</v>
      </c>
      <c r="F26" s="133">
        <v>13</v>
      </c>
      <c r="G26" s="134">
        <v>0.88</v>
      </c>
      <c r="H26" s="135">
        <v>99.188572932899106</v>
      </c>
      <c r="I26" s="135"/>
      <c r="J26" s="135"/>
      <c r="K26" s="135"/>
      <c r="L26" s="135"/>
      <c r="M26" s="148"/>
      <c r="N26" s="135"/>
      <c r="O26" s="135"/>
      <c r="P26" s="135"/>
      <c r="Q26" s="135"/>
      <c r="R26" s="135"/>
      <c r="S26" s="135"/>
      <c r="T26" s="151">
        <f t="shared" si="0"/>
        <v>10</v>
      </c>
      <c r="U26" s="153" t="s">
        <v>148</v>
      </c>
      <c r="V26" s="152" t="s">
        <v>148</v>
      </c>
      <c r="W26" s="154" t="s">
        <v>148</v>
      </c>
      <c r="X26" s="154" t="s">
        <v>148</v>
      </c>
      <c r="Y26" s="160">
        <f t="shared" si="1"/>
        <v>0</v>
      </c>
      <c r="Z26" s="160">
        <f t="shared" si="3"/>
        <v>0</v>
      </c>
      <c r="AA26" s="160">
        <f t="shared" si="2"/>
        <v>0</v>
      </c>
      <c r="AB26" s="162"/>
    </row>
    <row r="27" spans="1:28" s="105" customFormat="1" ht="65.150000000000006" customHeight="1">
      <c r="A27" s="120">
        <v>9</v>
      </c>
      <c r="B27" s="121" t="s">
        <v>758</v>
      </c>
      <c r="C27" s="122" t="s">
        <v>1217</v>
      </c>
      <c r="D27" s="124" t="s">
        <v>1218</v>
      </c>
      <c r="E27" s="136">
        <v>5000</v>
      </c>
      <c r="F27" s="133">
        <v>13</v>
      </c>
      <c r="G27" s="134">
        <v>0.85</v>
      </c>
      <c r="H27" s="135">
        <v>99.248468853342004</v>
      </c>
      <c r="I27" s="135"/>
      <c r="J27" s="135"/>
      <c r="K27" s="135"/>
      <c r="L27" s="135"/>
      <c r="M27" s="148"/>
      <c r="N27" s="135"/>
      <c r="O27" s="135"/>
      <c r="P27" s="135"/>
      <c r="Q27" s="135"/>
      <c r="R27" s="135"/>
      <c r="S27" s="135"/>
      <c r="T27" s="151">
        <f t="shared" si="0"/>
        <v>20</v>
      </c>
      <c r="U27" s="153" t="s">
        <v>148</v>
      </c>
      <c r="V27" s="152" t="s">
        <v>148</v>
      </c>
      <c r="W27" s="154" t="s">
        <v>148</v>
      </c>
      <c r="X27" s="154" t="s">
        <v>148</v>
      </c>
      <c r="Y27" s="160">
        <f t="shared" si="1"/>
        <v>0</v>
      </c>
      <c r="Z27" s="160">
        <f t="shared" si="3"/>
        <v>0</v>
      </c>
      <c r="AA27" s="160">
        <f t="shared" si="2"/>
        <v>0</v>
      </c>
      <c r="AB27" s="162"/>
    </row>
    <row r="28" spans="1:28" s="105" customFormat="1" ht="65.150000000000006" customHeight="1">
      <c r="A28" s="120">
        <v>10</v>
      </c>
      <c r="B28" s="121" t="s">
        <v>762</v>
      </c>
      <c r="C28" s="122" t="s">
        <v>1219</v>
      </c>
      <c r="D28" s="124" t="s">
        <v>1220</v>
      </c>
      <c r="E28" s="136">
        <v>142000</v>
      </c>
      <c r="F28" s="133">
        <v>4</v>
      </c>
      <c r="G28" s="134">
        <v>0.96</v>
      </c>
      <c r="H28" s="135">
        <v>97.751901545088302</v>
      </c>
      <c r="I28" s="135"/>
      <c r="J28" s="135"/>
      <c r="K28" s="135"/>
      <c r="L28" s="135"/>
      <c r="M28" s="148"/>
      <c r="N28" s="135"/>
      <c r="O28" s="135"/>
      <c r="P28" s="135"/>
      <c r="Q28" s="135"/>
      <c r="R28" s="135"/>
      <c r="S28" s="135"/>
      <c r="T28" s="151">
        <f t="shared" si="0"/>
        <v>290</v>
      </c>
      <c r="U28" s="153" t="s">
        <v>148</v>
      </c>
      <c r="V28" s="152" t="s">
        <v>148</v>
      </c>
      <c r="W28" s="154" t="s">
        <v>148</v>
      </c>
      <c r="X28" s="154" t="s">
        <v>148</v>
      </c>
      <c r="Y28" s="160">
        <f t="shared" si="1"/>
        <v>0</v>
      </c>
      <c r="Z28" s="160">
        <f t="shared" si="3"/>
        <v>0</v>
      </c>
      <c r="AA28" s="160">
        <f t="shared" si="2"/>
        <v>0</v>
      </c>
      <c r="AB28" s="162"/>
    </row>
    <row r="29" spans="1:28" s="105" customFormat="1" ht="66" customHeight="1">
      <c r="A29" s="120">
        <v>11</v>
      </c>
      <c r="B29" s="121" t="s">
        <v>768</v>
      </c>
      <c r="C29" s="122" t="s">
        <v>1221</v>
      </c>
      <c r="D29" s="124" t="s">
        <v>769</v>
      </c>
      <c r="E29" s="136">
        <v>80000</v>
      </c>
      <c r="F29" s="121">
        <v>13</v>
      </c>
      <c r="G29" s="134">
        <v>0.88</v>
      </c>
      <c r="H29" s="135">
        <v>99.473871351573905</v>
      </c>
      <c r="I29" s="135"/>
      <c r="J29" s="135"/>
      <c r="K29" s="135"/>
      <c r="L29" s="135"/>
      <c r="M29" s="148"/>
      <c r="N29" s="135"/>
      <c r="O29" s="135"/>
      <c r="P29" s="135"/>
      <c r="Q29" s="135"/>
      <c r="R29" s="135"/>
      <c r="S29" s="135"/>
      <c r="T29" s="151">
        <f t="shared" si="0"/>
        <v>170</v>
      </c>
      <c r="U29" s="153" t="s">
        <v>683</v>
      </c>
      <c r="V29" s="152" t="s">
        <v>683</v>
      </c>
      <c r="W29" s="154" t="s">
        <v>148</v>
      </c>
      <c r="X29" s="154" t="s">
        <v>148</v>
      </c>
      <c r="Y29" s="160">
        <f t="shared" si="1"/>
        <v>0</v>
      </c>
      <c r="Z29" s="160">
        <f t="shared" si="3"/>
        <v>0</v>
      </c>
      <c r="AA29" s="160">
        <f t="shared" si="2"/>
        <v>0</v>
      </c>
      <c r="AB29" s="162"/>
    </row>
    <row r="30" spans="1:28" s="105" customFormat="1" ht="65.150000000000006" customHeight="1">
      <c r="A30" s="120">
        <v>12</v>
      </c>
      <c r="B30" s="121" t="s">
        <v>774</v>
      </c>
      <c r="C30" s="122" t="s">
        <v>1214</v>
      </c>
      <c r="D30" s="124" t="s">
        <v>725</v>
      </c>
      <c r="E30" s="136">
        <v>3500</v>
      </c>
      <c r="F30" s="133">
        <v>5</v>
      </c>
      <c r="G30" s="134">
        <v>0.95</v>
      </c>
      <c r="H30" s="135">
        <v>99.497080057588803</v>
      </c>
      <c r="I30" s="135"/>
      <c r="J30" s="135"/>
      <c r="K30" s="135"/>
      <c r="L30" s="135"/>
      <c r="M30" s="148"/>
      <c r="N30" s="135"/>
      <c r="O30" s="135"/>
      <c r="P30" s="135"/>
      <c r="Q30" s="135"/>
      <c r="R30" s="135"/>
      <c r="S30" s="135"/>
      <c r="T30" s="151">
        <f t="shared" si="0"/>
        <v>10</v>
      </c>
      <c r="U30" s="153" t="s">
        <v>148</v>
      </c>
      <c r="V30" s="152" t="s">
        <v>148</v>
      </c>
      <c r="W30" s="154" t="s">
        <v>148</v>
      </c>
      <c r="X30" s="154" t="s">
        <v>148</v>
      </c>
      <c r="Y30" s="160">
        <f t="shared" si="1"/>
        <v>0</v>
      </c>
      <c r="Z30" s="160">
        <f t="shared" si="3"/>
        <v>0</v>
      </c>
      <c r="AA30" s="160">
        <f t="shared" si="2"/>
        <v>0</v>
      </c>
      <c r="AB30" s="162"/>
    </row>
    <row r="31" spans="1:28" s="105" customFormat="1" ht="65.150000000000006" customHeight="1">
      <c r="A31" s="120">
        <v>13</v>
      </c>
      <c r="B31" s="121" t="s">
        <v>778</v>
      </c>
      <c r="C31" s="122" t="s">
        <v>1222</v>
      </c>
      <c r="D31" s="124" t="s">
        <v>779</v>
      </c>
      <c r="E31" s="136">
        <v>399000</v>
      </c>
      <c r="F31" s="133">
        <v>10</v>
      </c>
      <c r="G31" s="134">
        <v>0.88</v>
      </c>
      <c r="H31" s="135">
        <v>99.564295705579397</v>
      </c>
      <c r="I31" s="135"/>
      <c r="J31" s="135"/>
      <c r="K31" s="135"/>
      <c r="L31" s="135"/>
      <c r="M31" s="148"/>
      <c r="N31" s="135"/>
      <c r="O31" s="135"/>
      <c r="P31" s="135"/>
      <c r="Q31" s="135"/>
      <c r="R31" s="135"/>
      <c r="S31" s="135"/>
      <c r="T31" s="151">
        <f t="shared" si="0"/>
        <v>800</v>
      </c>
      <c r="U31" s="153" t="s">
        <v>148</v>
      </c>
      <c r="V31" s="152" t="s">
        <v>148</v>
      </c>
      <c r="W31" s="154" t="s">
        <v>148</v>
      </c>
      <c r="X31" s="154" t="s">
        <v>148</v>
      </c>
      <c r="Y31" s="160">
        <f t="shared" si="1"/>
        <v>0</v>
      </c>
      <c r="Z31" s="160">
        <f t="shared" si="3"/>
        <v>0</v>
      </c>
      <c r="AA31" s="160">
        <f t="shared" si="2"/>
        <v>0</v>
      </c>
      <c r="AB31" s="162"/>
    </row>
    <row r="32" spans="1:28" s="105" customFormat="1" ht="65.150000000000006" customHeight="1">
      <c r="A32" s="120">
        <v>14</v>
      </c>
      <c r="B32" s="121" t="s">
        <v>785</v>
      </c>
      <c r="C32" s="122" t="s">
        <v>1214</v>
      </c>
      <c r="D32" s="124" t="s">
        <v>725</v>
      </c>
      <c r="E32" s="136">
        <v>10825</v>
      </c>
      <c r="F32" s="133">
        <v>13</v>
      </c>
      <c r="G32" s="134">
        <v>0.88</v>
      </c>
      <c r="H32" s="135">
        <v>99.5973045626736</v>
      </c>
      <c r="I32" s="135"/>
      <c r="J32" s="135"/>
      <c r="K32" s="135"/>
      <c r="L32" s="135"/>
      <c r="M32" s="148"/>
      <c r="N32" s="135"/>
      <c r="O32" s="135"/>
      <c r="P32" s="135"/>
      <c r="Q32" s="135"/>
      <c r="R32" s="135"/>
      <c r="S32" s="135"/>
      <c r="T32" s="151">
        <f t="shared" si="0"/>
        <v>30</v>
      </c>
      <c r="U32" s="153" t="s">
        <v>683</v>
      </c>
      <c r="V32" s="153" t="s">
        <v>148</v>
      </c>
      <c r="W32" s="153" t="s">
        <v>148</v>
      </c>
      <c r="X32" s="153" t="s">
        <v>148</v>
      </c>
      <c r="Y32" s="160">
        <f t="shared" si="1"/>
        <v>0</v>
      </c>
      <c r="Z32" s="160">
        <f t="shared" si="3"/>
        <v>0</v>
      </c>
      <c r="AA32" s="160">
        <f t="shared" si="2"/>
        <v>0</v>
      </c>
      <c r="AB32" s="162"/>
    </row>
    <row r="33" spans="1:28" s="105" customFormat="1" ht="65.150000000000006" customHeight="1">
      <c r="A33" s="120">
        <v>15</v>
      </c>
      <c r="B33" s="121" t="s">
        <v>792</v>
      </c>
      <c r="C33" s="122" t="s">
        <v>1214</v>
      </c>
      <c r="D33" s="124" t="s">
        <v>725</v>
      </c>
      <c r="E33" s="136">
        <v>10825</v>
      </c>
      <c r="F33" s="133">
        <v>13</v>
      </c>
      <c r="G33" s="134">
        <v>0.88</v>
      </c>
      <c r="H33" s="135">
        <v>99.629509081565004</v>
      </c>
      <c r="I33" s="135"/>
      <c r="J33" s="135"/>
      <c r="K33" s="135"/>
      <c r="L33" s="135"/>
      <c r="M33" s="148"/>
      <c r="N33" s="135"/>
      <c r="O33" s="135"/>
      <c r="P33" s="135"/>
      <c r="Q33" s="135"/>
      <c r="R33" s="135"/>
      <c r="S33" s="135"/>
      <c r="T33" s="151">
        <f t="shared" si="0"/>
        <v>30</v>
      </c>
      <c r="U33" s="153" t="s">
        <v>148</v>
      </c>
      <c r="V33" s="152" t="s">
        <v>148</v>
      </c>
      <c r="W33" s="154" t="s">
        <v>148</v>
      </c>
      <c r="X33" s="154" t="s">
        <v>148</v>
      </c>
      <c r="Y33" s="160">
        <f t="shared" si="1"/>
        <v>0</v>
      </c>
      <c r="Z33" s="160">
        <f t="shared" si="3"/>
        <v>0</v>
      </c>
      <c r="AA33" s="160">
        <f t="shared" si="2"/>
        <v>0</v>
      </c>
      <c r="AB33" s="162"/>
    </row>
    <row r="34" spans="1:28" s="105" customFormat="1" ht="65.150000000000006" customHeight="1">
      <c r="A34" s="120">
        <v>16</v>
      </c>
      <c r="B34" s="121" t="s">
        <v>797</v>
      </c>
      <c r="C34" s="122" t="s">
        <v>1223</v>
      </c>
      <c r="D34" s="124" t="s">
        <v>798</v>
      </c>
      <c r="E34" s="136">
        <v>83100</v>
      </c>
      <c r="F34" s="133">
        <v>13</v>
      </c>
      <c r="G34" s="134">
        <v>0.85</v>
      </c>
      <c r="H34" s="135">
        <v>99.6402905258864</v>
      </c>
      <c r="I34" s="135"/>
      <c r="J34" s="135"/>
      <c r="K34" s="135"/>
      <c r="L34" s="135"/>
      <c r="M34" s="148"/>
      <c r="N34" s="135"/>
      <c r="O34" s="135"/>
      <c r="P34" s="135"/>
      <c r="Q34" s="135"/>
      <c r="R34" s="135"/>
      <c r="S34" s="135"/>
      <c r="T34" s="151">
        <f t="shared" si="0"/>
        <v>170</v>
      </c>
      <c r="U34" s="153" t="s">
        <v>148</v>
      </c>
      <c r="V34" s="152" t="s">
        <v>148</v>
      </c>
      <c r="W34" s="154" t="s">
        <v>148</v>
      </c>
      <c r="X34" s="154" t="s">
        <v>148</v>
      </c>
      <c r="Y34" s="160">
        <f t="shared" si="1"/>
        <v>0</v>
      </c>
      <c r="Z34" s="160">
        <f t="shared" si="3"/>
        <v>0</v>
      </c>
      <c r="AA34" s="160">
        <f t="shared" si="2"/>
        <v>0</v>
      </c>
      <c r="AB34" s="162"/>
    </row>
    <row r="35" spans="1:28" s="105" customFormat="1" ht="65.150000000000006" customHeight="1">
      <c r="A35" s="746" t="s">
        <v>1224</v>
      </c>
      <c r="B35" s="747"/>
      <c r="C35" s="747"/>
      <c r="D35" s="747"/>
      <c r="E35" s="748"/>
      <c r="F35" s="747"/>
      <c r="G35" s="747"/>
      <c r="H35" s="747"/>
      <c r="I35" s="747"/>
      <c r="J35" s="747"/>
      <c r="K35" s="747"/>
      <c r="L35" s="747"/>
      <c r="M35" s="747"/>
      <c r="N35" s="747"/>
      <c r="O35" s="747"/>
      <c r="P35" s="747"/>
      <c r="Q35" s="747"/>
      <c r="R35" s="747"/>
      <c r="S35" s="747"/>
      <c r="T35" s="747"/>
      <c r="U35" s="747"/>
      <c r="V35" s="747"/>
      <c r="W35" s="747"/>
      <c r="X35" s="747"/>
      <c r="Y35" s="747"/>
      <c r="Z35" s="749"/>
      <c r="AA35" s="163">
        <f>SUM(AA19:AA34)</f>
        <v>0</v>
      </c>
      <c r="AB35" s="164"/>
    </row>
    <row r="36" spans="1:28" s="106" customFormat="1" ht="65.150000000000006" customHeight="1">
      <c r="A36"/>
      <c r="B36"/>
      <c r="C36"/>
      <c r="D36"/>
      <c r="E36" s="107"/>
      <c r="F36"/>
      <c r="G36" s="107"/>
      <c r="H36" s="107"/>
      <c r="I36" s="108"/>
      <c r="J36" s="108"/>
      <c r="K36" s="107"/>
      <c r="L36" s="107"/>
      <c r="M36" s="107"/>
      <c r="N36" s="107"/>
      <c r="O36" s="107"/>
      <c r="P36" s="107"/>
      <c r="Q36" s="107"/>
      <c r="R36" s="107"/>
      <c r="S36" s="107"/>
      <c r="T36" s="107"/>
      <c r="U36" s="107"/>
      <c r="V36" s="107"/>
      <c r="W36" s="107"/>
      <c r="X36" s="107"/>
      <c r="Y36" s="107"/>
      <c r="Z36" s="107"/>
      <c r="AA36" s="109"/>
      <c r="AB36"/>
    </row>
    <row r="37" spans="1:28" s="106" customFormat="1" ht="65.150000000000006" customHeight="1">
      <c r="A37"/>
      <c r="B37"/>
      <c r="C37"/>
      <c r="D37"/>
      <c r="E37" s="107"/>
      <c r="F37"/>
      <c r="G37" s="107"/>
      <c r="H37" s="107"/>
      <c r="I37" s="108"/>
      <c r="J37" s="108"/>
      <c r="K37" s="107"/>
      <c r="L37" s="107"/>
      <c r="M37" s="107"/>
      <c r="N37" s="107"/>
      <c r="O37" s="107"/>
      <c r="P37" s="107"/>
      <c r="Q37" s="107"/>
      <c r="R37" s="107"/>
      <c r="S37" s="107"/>
      <c r="T37" s="107"/>
      <c r="U37" s="107"/>
      <c r="V37" s="107"/>
      <c r="W37" s="107"/>
      <c r="X37" s="107"/>
      <c r="Y37" s="107"/>
      <c r="Z37" s="107"/>
      <c r="AA37" s="109"/>
      <c r="AB37"/>
    </row>
    <row r="38" spans="1:28" s="106" customFormat="1" ht="65.150000000000006" customHeight="1">
      <c r="A38"/>
      <c r="B38"/>
      <c r="C38"/>
      <c r="D38"/>
      <c r="E38" s="107"/>
      <c r="F38"/>
      <c r="G38" s="107"/>
      <c r="H38" s="107"/>
      <c r="I38" s="108"/>
      <c r="J38" s="108"/>
      <c r="K38" s="107"/>
      <c r="L38" s="107"/>
      <c r="M38" s="107"/>
      <c r="N38" s="107"/>
      <c r="O38" s="107"/>
      <c r="P38" s="107"/>
      <c r="Q38" s="107"/>
      <c r="R38" s="107"/>
      <c r="S38" s="107"/>
      <c r="T38" s="107"/>
      <c r="U38" s="107"/>
      <c r="V38" s="107"/>
      <c r="W38" s="107"/>
      <c r="X38" s="107"/>
      <c r="Y38" s="107"/>
      <c r="Z38" s="107"/>
      <c r="AA38" s="109"/>
      <c r="AB38"/>
    </row>
    <row r="39" spans="1:28" s="106" customFormat="1" ht="65.150000000000006" customHeight="1">
      <c r="A39"/>
      <c r="B39"/>
      <c r="C39"/>
      <c r="D39"/>
      <c r="E39" s="107"/>
      <c r="F39"/>
      <c r="G39" s="107"/>
      <c r="H39" s="107"/>
      <c r="I39" s="108"/>
      <c r="J39" s="108"/>
      <c r="K39" s="107"/>
      <c r="L39" s="107"/>
      <c r="M39" s="107"/>
      <c r="N39" s="107"/>
      <c r="O39" s="107"/>
      <c r="P39" s="107"/>
      <c r="Q39" s="107"/>
      <c r="R39" s="107"/>
      <c r="S39" s="107"/>
      <c r="T39" s="107"/>
      <c r="U39" s="107"/>
      <c r="V39" s="107"/>
      <c r="W39" s="107"/>
      <c r="X39" s="107"/>
      <c r="Y39" s="107"/>
      <c r="Z39" s="107"/>
      <c r="AA39" s="109"/>
      <c r="AB39"/>
    </row>
    <row r="40" spans="1:28" s="106" customFormat="1" ht="65.150000000000006" customHeight="1">
      <c r="A40"/>
      <c r="B40"/>
      <c r="C40"/>
      <c r="D40"/>
      <c r="E40" s="107"/>
      <c r="F40"/>
      <c r="G40" s="107"/>
      <c r="H40" s="107"/>
      <c r="I40" s="108"/>
      <c r="J40" s="108"/>
      <c r="K40" s="107"/>
      <c r="L40" s="107"/>
      <c r="M40" s="107"/>
      <c r="N40" s="107"/>
      <c r="O40" s="107"/>
      <c r="P40" s="107"/>
      <c r="Q40" s="107"/>
      <c r="R40" s="107"/>
      <c r="S40" s="107"/>
      <c r="T40" s="107"/>
      <c r="U40" s="107"/>
      <c r="V40" s="107"/>
      <c r="W40" s="107"/>
      <c r="X40" s="107"/>
      <c r="Y40" s="107"/>
      <c r="Z40" s="107"/>
      <c r="AA40" s="109"/>
      <c r="AB40"/>
    </row>
    <row r="41" spans="1:28" s="106" customFormat="1" ht="65.150000000000006" customHeight="1">
      <c r="A41"/>
      <c r="B41"/>
      <c r="C41"/>
      <c r="D41"/>
      <c r="E41" s="107"/>
      <c r="F41"/>
      <c r="G41" s="107"/>
      <c r="H41" s="107"/>
      <c r="I41" s="108"/>
      <c r="J41" s="108"/>
      <c r="K41" s="107"/>
      <c r="L41" s="107"/>
      <c r="M41" s="107"/>
      <c r="N41" s="107"/>
      <c r="O41" s="107"/>
      <c r="P41" s="107"/>
      <c r="Q41" s="107"/>
      <c r="R41" s="107"/>
      <c r="S41" s="107"/>
      <c r="T41" s="107"/>
      <c r="U41" s="107"/>
      <c r="V41" s="107"/>
      <c r="W41" s="107"/>
      <c r="X41" s="107"/>
      <c r="Y41" s="107"/>
      <c r="Z41" s="107"/>
      <c r="AA41" s="109"/>
      <c r="AB41"/>
    </row>
    <row r="42" spans="1:28" s="106" customFormat="1" ht="65.150000000000006" customHeight="1">
      <c r="A42"/>
      <c r="B42"/>
      <c r="C42"/>
      <c r="D42"/>
      <c r="E42" s="107"/>
      <c r="F42"/>
      <c r="G42" s="107"/>
      <c r="H42" s="107"/>
      <c r="I42" s="108"/>
      <c r="J42" s="108"/>
      <c r="K42" s="107"/>
      <c r="L42" s="107"/>
      <c r="M42" s="107"/>
      <c r="N42" s="107"/>
      <c r="O42" s="107"/>
      <c r="P42" s="107"/>
      <c r="Q42" s="107"/>
      <c r="R42" s="107"/>
      <c r="S42" s="107"/>
      <c r="T42" s="107"/>
      <c r="U42" s="107"/>
      <c r="V42" s="107"/>
      <c r="W42" s="107"/>
      <c r="X42" s="107"/>
      <c r="Y42" s="107"/>
      <c r="Z42" s="107"/>
      <c r="AA42" s="109"/>
      <c r="AB42"/>
    </row>
    <row r="43" spans="1:28" s="105" customFormat="1" ht="65.150000000000006" customHeight="1">
      <c r="A43"/>
      <c r="B43"/>
      <c r="C43"/>
      <c r="D43"/>
      <c r="E43" s="107"/>
      <c r="F43"/>
      <c r="G43" s="107"/>
      <c r="H43" s="107"/>
      <c r="I43" s="108"/>
      <c r="J43" s="108"/>
      <c r="K43" s="107"/>
      <c r="L43" s="107"/>
      <c r="M43" s="107"/>
      <c r="N43" s="107"/>
      <c r="O43" s="107"/>
      <c r="P43" s="107"/>
      <c r="Q43" s="107"/>
      <c r="R43" s="107"/>
      <c r="S43" s="107"/>
      <c r="T43" s="107"/>
      <c r="U43" s="107"/>
      <c r="V43" s="107"/>
      <c r="W43" s="107"/>
      <c r="X43" s="107"/>
      <c r="Y43" s="107"/>
      <c r="Z43" s="107"/>
      <c r="AA43" s="109"/>
      <c r="AB43"/>
    </row>
    <row r="44" spans="1:28" s="105" customFormat="1" ht="108" customHeight="1">
      <c r="A44"/>
      <c r="B44"/>
      <c r="C44"/>
      <c r="D44"/>
      <c r="E44" s="107"/>
      <c r="F44"/>
      <c r="G44" s="107"/>
      <c r="H44" s="107"/>
      <c r="I44" s="108"/>
      <c r="J44" s="108"/>
      <c r="K44" s="107"/>
      <c r="L44" s="107"/>
      <c r="M44" s="107"/>
      <c r="N44" s="107"/>
      <c r="O44" s="107"/>
      <c r="P44" s="107"/>
      <c r="Q44" s="107"/>
      <c r="R44" s="107"/>
      <c r="S44" s="107"/>
      <c r="T44" s="107"/>
      <c r="U44" s="107"/>
      <c r="V44" s="107"/>
      <c r="W44" s="107"/>
      <c r="X44" s="107"/>
      <c r="Y44" s="107"/>
      <c r="Z44" s="107"/>
      <c r="AA44" s="109"/>
      <c r="AB44"/>
    </row>
    <row r="45" spans="1:28" s="105" customFormat="1" ht="65.150000000000006" customHeight="1">
      <c r="A45"/>
      <c r="B45"/>
      <c r="C45"/>
      <c r="D45"/>
      <c r="E45" s="107"/>
      <c r="F45"/>
      <c r="G45" s="107"/>
      <c r="H45" s="107"/>
      <c r="I45" s="108"/>
      <c r="J45" s="108"/>
      <c r="K45" s="107"/>
      <c r="L45" s="107"/>
      <c r="M45" s="107"/>
      <c r="N45" s="107"/>
      <c r="O45" s="107"/>
      <c r="P45" s="107"/>
      <c r="Q45" s="107"/>
      <c r="R45" s="107"/>
      <c r="S45" s="107"/>
      <c r="T45" s="107"/>
      <c r="U45" s="107"/>
      <c r="V45" s="107"/>
      <c r="W45" s="107"/>
      <c r="X45" s="107"/>
      <c r="Y45" s="107"/>
      <c r="Z45" s="107"/>
      <c r="AA45" s="109"/>
      <c r="AB45"/>
    </row>
    <row r="46" spans="1:28" s="105" customFormat="1" ht="112" customHeight="1">
      <c r="A46"/>
      <c r="B46"/>
      <c r="C46"/>
      <c r="D46"/>
      <c r="E46" s="107"/>
      <c r="F46"/>
      <c r="G46" s="107"/>
      <c r="H46" s="107"/>
      <c r="I46" s="108"/>
      <c r="J46" s="108"/>
      <c r="K46" s="107"/>
      <c r="L46" s="107"/>
      <c r="M46" s="107"/>
      <c r="N46" s="107"/>
      <c r="O46" s="107"/>
      <c r="P46" s="107"/>
      <c r="Q46" s="107"/>
      <c r="R46" s="107"/>
      <c r="S46" s="107"/>
      <c r="T46" s="107"/>
      <c r="U46" s="107"/>
      <c r="V46" s="107"/>
      <c r="W46" s="107"/>
      <c r="X46" s="107"/>
      <c r="Y46" s="107"/>
      <c r="Z46" s="107"/>
      <c r="AA46" s="109"/>
      <c r="AB46"/>
    </row>
    <row r="47" spans="1:28" s="105" customFormat="1" ht="100" customHeight="1">
      <c r="A47"/>
      <c r="B47"/>
      <c r="C47"/>
      <c r="D47"/>
      <c r="E47" s="107"/>
      <c r="F47"/>
      <c r="G47" s="107"/>
      <c r="H47" s="107"/>
      <c r="I47" s="108"/>
      <c r="J47" s="108"/>
      <c r="K47" s="107"/>
      <c r="L47" s="107"/>
      <c r="M47" s="107"/>
      <c r="N47" s="107"/>
      <c r="O47" s="107"/>
      <c r="P47" s="107"/>
      <c r="Q47" s="107"/>
      <c r="R47" s="107"/>
      <c r="S47" s="107"/>
      <c r="T47" s="107"/>
      <c r="U47" s="107"/>
      <c r="V47" s="107"/>
      <c r="W47" s="107"/>
      <c r="X47" s="107"/>
      <c r="Y47" s="107"/>
      <c r="Z47" s="107"/>
      <c r="AA47" s="109"/>
      <c r="AB47"/>
    </row>
    <row r="48" spans="1:28" s="105" customFormat="1" ht="108" customHeight="1">
      <c r="A48"/>
      <c r="B48"/>
      <c r="C48"/>
      <c r="D48"/>
      <c r="E48" s="107"/>
      <c r="F48"/>
      <c r="G48" s="107"/>
      <c r="H48" s="107"/>
      <c r="I48" s="108"/>
      <c r="J48" s="108"/>
      <c r="K48" s="107"/>
      <c r="L48" s="107"/>
      <c r="M48" s="107"/>
      <c r="N48" s="107"/>
      <c r="O48" s="107"/>
      <c r="P48" s="107"/>
      <c r="Q48" s="107"/>
      <c r="R48" s="107"/>
      <c r="S48" s="107"/>
      <c r="T48" s="107"/>
      <c r="U48" s="107"/>
      <c r="V48" s="107"/>
      <c r="W48" s="107"/>
      <c r="X48" s="107"/>
      <c r="Y48" s="107"/>
      <c r="Z48" s="107"/>
      <c r="AA48" s="109"/>
      <c r="AB48"/>
    </row>
    <row r="49" spans="1:28" s="105" customFormat="1" ht="102.65" customHeight="1">
      <c r="A49"/>
      <c r="B49"/>
      <c r="C49"/>
      <c r="D49"/>
      <c r="E49" s="107"/>
      <c r="F49"/>
      <c r="G49" s="107"/>
      <c r="H49" s="107"/>
      <c r="I49" s="108"/>
      <c r="J49" s="108"/>
      <c r="K49" s="107"/>
      <c r="L49" s="107"/>
      <c r="M49" s="107"/>
      <c r="N49" s="107"/>
      <c r="O49" s="107"/>
      <c r="P49" s="107"/>
      <c r="Q49" s="107"/>
      <c r="R49" s="107"/>
      <c r="S49" s="107"/>
      <c r="T49" s="107"/>
      <c r="U49" s="107"/>
      <c r="V49" s="107"/>
      <c r="W49" s="107"/>
      <c r="X49" s="107"/>
      <c r="Y49" s="107"/>
      <c r="Z49" s="107"/>
      <c r="AA49" s="109"/>
      <c r="AB49"/>
    </row>
    <row r="50" spans="1:28" s="105" customFormat="1" ht="94" customHeight="1">
      <c r="A50"/>
      <c r="B50"/>
      <c r="C50"/>
      <c r="D50"/>
      <c r="E50" s="107"/>
      <c r="F50"/>
      <c r="G50" s="107"/>
      <c r="H50" s="107"/>
      <c r="I50" s="108"/>
      <c r="J50" s="108"/>
      <c r="K50" s="107"/>
      <c r="L50" s="107"/>
      <c r="M50" s="107"/>
      <c r="N50" s="107"/>
      <c r="O50" s="107"/>
      <c r="P50" s="107"/>
      <c r="Q50" s="107"/>
      <c r="R50" s="107"/>
      <c r="S50" s="107"/>
      <c r="T50" s="107"/>
      <c r="U50" s="107"/>
      <c r="V50" s="107"/>
      <c r="W50" s="107"/>
      <c r="X50" s="107"/>
      <c r="Y50" s="107"/>
      <c r="Z50" s="107"/>
      <c r="AA50" s="109"/>
      <c r="AB50"/>
    </row>
    <row r="51" spans="1:28" s="105" customFormat="1" ht="65.150000000000006" customHeight="1">
      <c r="A51"/>
      <c r="B51"/>
      <c r="C51"/>
      <c r="D51"/>
      <c r="E51" s="107"/>
      <c r="F51"/>
      <c r="G51" s="107"/>
      <c r="H51" s="107"/>
      <c r="I51" s="108"/>
      <c r="J51" s="108"/>
      <c r="K51" s="107"/>
      <c r="L51" s="107"/>
      <c r="M51" s="107"/>
      <c r="N51" s="107"/>
      <c r="O51" s="107"/>
      <c r="P51" s="107"/>
      <c r="Q51" s="107"/>
      <c r="R51" s="107"/>
      <c r="S51" s="107"/>
      <c r="T51" s="107"/>
      <c r="U51" s="107"/>
      <c r="V51" s="107"/>
      <c r="W51" s="107"/>
      <c r="X51" s="107"/>
      <c r="Y51" s="107"/>
      <c r="Z51" s="107"/>
      <c r="AA51" s="109"/>
      <c r="AB51"/>
    </row>
    <row r="52" spans="1:28" s="105" customFormat="1" ht="65.150000000000006" customHeight="1">
      <c r="A52"/>
      <c r="B52"/>
      <c r="C52"/>
      <c r="D52"/>
      <c r="E52" s="107"/>
      <c r="F52"/>
      <c r="G52" s="107"/>
      <c r="H52" s="107"/>
      <c r="I52" s="108"/>
      <c r="J52" s="108"/>
      <c r="K52" s="107"/>
      <c r="L52" s="107"/>
      <c r="M52" s="107"/>
      <c r="N52" s="107"/>
      <c r="O52" s="107"/>
      <c r="P52" s="107"/>
      <c r="Q52" s="107"/>
      <c r="R52" s="107"/>
      <c r="S52" s="107"/>
      <c r="T52" s="107"/>
      <c r="U52" s="107"/>
      <c r="V52" s="107"/>
      <c r="W52" s="107"/>
      <c r="X52" s="107"/>
      <c r="Y52" s="107"/>
      <c r="Z52" s="107"/>
      <c r="AA52" s="109"/>
      <c r="AB52"/>
    </row>
    <row r="53" spans="1:28" s="105" customFormat="1" ht="65.150000000000006" customHeight="1">
      <c r="A53"/>
      <c r="B53"/>
      <c r="C53"/>
      <c r="D53"/>
      <c r="E53" s="107"/>
      <c r="F53"/>
      <c r="G53" s="107"/>
      <c r="H53" s="107"/>
      <c r="I53" s="108"/>
      <c r="J53" s="108"/>
      <c r="K53" s="107"/>
      <c r="L53" s="107"/>
      <c r="M53" s="107"/>
      <c r="N53" s="107"/>
      <c r="O53" s="107"/>
      <c r="P53" s="107"/>
      <c r="Q53" s="107"/>
      <c r="R53" s="107"/>
      <c r="S53" s="107"/>
      <c r="T53" s="107"/>
      <c r="U53" s="107"/>
      <c r="V53" s="107"/>
      <c r="W53" s="107"/>
      <c r="X53" s="107"/>
      <c r="Y53" s="107"/>
      <c r="Z53" s="107"/>
      <c r="AA53" s="109"/>
      <c r="AB53"/>
    </row>
    <row r="54" spans="1:28" s="105" customFormat="1" ht="65.150000000000006" customHeight="1">
      <c r="A54"/>
      <c r="B54"/>
      <c r="C54"/>
      <c r="D54"/>
      <c r="E54" s="107"/>
      <c r="F54"/>
      <c r="G54" s="107"/>
      <c r="H54" s="107"/>
      <c r="I54" s="108"/>
      <c r="J54" s="108"/>
      <c r="K54" s="107"/>
      <c r="L54" s="107"/>
      <c r="M54" s="107"/>
      <c r="N54" s="107"/>
      <c r="O54" s="107"/>
      <c r="P54" s="107"/>
      <c r="Q54" s="107"/>
      <c r="R54" s="107"/>
      <c r="S54" s="107"/>
      <c r="T54" s="107"/>
      <c r="U54" s="107"/>
      <c r="V54" s="107"/>
      <c r="W54" s="107"/>
      <c r="X54" s="107"/>
      <c r="Y54" s="107"/>
      <c r="Z54" s="107"/>
      <c r="AA54" s="109"/>
      <c r="AB54"/>
    </row>
    <row r="55" spans="1:28" s="105" customFormat="1" ht="65.150000000000006" customHeight="1">
      <c r="A55"/>
      <c r="B55"/>
      <c r="C55"/>
      <c r="D55"/>
      <c r="E55" s="107"/>
      <c r="F55"/>
      <c r="G55" s="107"/>
      <c r="H55" s="107"/>
      <c r="I55" s="108"/>
      <c r="J55" s="108"/>
      <c r="K55" s="107"/>
      <c r="L55" s="107"/>
      <c r="M55" s="107"/>
      <c r="N55" s="107"/>
      <c r="O55" s="107"/>
      <c r="P55" s="107"/>
      <c r="Q55" s="107"/>
      <c r="R55" s="107"/>
      <c r="S55" s="107"/>
      <c r="T55" s="107"/>
      <c r="U55" s="107"/>
      <c r="V55" s="107"/>
      <c r="W55" s="107"/>
      <c r="X55" s="107"/>
      <c r="Y55" s="107"/>
      <c r="Z55" s="107"/>
      <c r="AA55" s="109"/>
      <c r="AB55"/>
    </row>
    <row r="56" spans="1:28" s="105" customFormat="1" ht="65.150000000000006" customHeight="1">
      <c r="A56"/>
      <c r="B56"/>
      <c r="C56"/>
      <c r="D56"/>
      <c r="E56" s="107"/>
      <c r="F56"/>
      <c r="G56" s="107"/>
      <c r="H56" s="107"/>
      <c r="I56" s="108"/>
      <c r="J56" s="108"/>
      <c r="K56" s="107"/>
      <c r="L56" s="107"/>
      <c r="M56" s="107"/>
      <c r="N56" s="107"/>
      <c r="O56" s="107"/>
      <c r="P56" s="107"/>
      <c r="Q56" s="107"/>
      <c r="R56" s="107"/>
      <c r="S56" s="107"/>
      <c r="T56" s="107"/>
      <c r="U56" s="107"/>
      <c r="V56" s="107"/>
      <c r="W56" s="107"/>
      <c r="X56" s="107"/>
      <c r="Y56" s="107"/>
      <c r="Z56" s="107"/>
      <c r="AA56" s="109"/>
      <c r="AB56"/>
    </row>
    <row r="57" spans="1:28" s="105" customFormat="1" ht="65.150000000000006" customHeight="1">
      <c r="A57"/>
      <c r="B57"/>
      <c r="C57"/>
      <c r="D57"/>
      <c r="E57" s="107"/>
      <c r="F57"/>
      <c r="G57" s="107"/>
      <c r="H57" s="107"/>
      <c r="I57" s="108"/>
      <c r="J57" s="108"/>
      <c r="K57" s="107"/>
      <c r="L57" s="107"/>
      <c r="M57" s="107"/>
      <c r="N57" s="107"/>
      <c r="O57" s="107"/>
      <c r="P57" s="107"/>
      <c r="Q57" s="107"/>
      <c r="R57" s="107"/>
      <c r="S57" s="107"/>
      <c r="T57" s="107"/>
      <c r="U57" s="107"/>
      <c r="V57" s="107"/>
      <c r="W57" s="107"/>
      <c r="X57" s="107"/>
      <c r="Y57" s="107"/>
      <c r="Z57" s="107"/>
      <c r="AA57" s="109"/>
      <c r="AB57"/>
    </row>
    <row r="58" spans="1:28" s="105" customFormat="1" ht="65.150000000000006" customHeight="1">
      <c r="A58"/>
      <c r="B58"/>
      <c r="C58"/>
      <c r="D58"/>
      <c r="E58" s="107"/>
      <c r="F58"/>
      <c r="G58" s="107"/>
      <c r="H58" s="107"/>
      <c r="I58" s="108"/>
      <c r="J58" s="108"/>
      <c r="K58" s="107"/>
      <c r="L58" s="107"/>
      <c r="M58" s="107"/>
      <c r="N58" s="107"/>
      <c r="O58" s="107"/>
      <c r="P58" s="107"/>
      <c r="Q58" s="107"/>
      <c r="R58" s="107"/>
      <c r="S58" s="107"/>
      <c r="T58" s="107"/>
      <c r="U58" s="107"/>
      <c r="V58" s="107"/>
      <c r="W58" s="107"/>
      <c r="X58" s="107"/>
      <c r="Y58" s="107"/>
      <c r="Z58" s="107"/>
      <c r="AA58" s="109"/>
      <c r="AB58"/>
    </row>
    <row r="59" spans="1:28" s="105" customFormat="1" ht="65.150000000000006" customHeight="1">
      <c r="A59"/>
      <c r="B59"/>
      <c r="C59"/>
      <c r="D59"/>
      <c r="E59" s="107"/>
      <c r="F59"/>
      <c r="G59" s="107"/>
      <c r="H59" s="107"/>
      <c r="I59" s="108"/>
      <c r="J59" s="108"/>
      <c r="K59" s="107"/>
      <c r="L59" s="107"/>
      <c r="M59" s="107"/>
      <c r="N59" s="107"/>
      <c r="O59" s="107"/>
      <c r="P59" s="107"/>
      <c r="Q59" s="107"/>
      <c r="R59" s="107"/>
      <c r="S59" s="107"/>
      <c r="T59" s="107"/>
      <c r="U59" s="107"/>
      <c r="V59" s="107"/>
      <c r="W59" s="107"/>
      <c r="X59" s="107"/>
      <c r="Y59" s="107"/>
      <c r="Z59" s="107"/>
      <c r="AA59" s="109"/>
      <c r="AB59"/>
    </row>
    <row r="60" spans="1:28" s="105" customFormat="1" ht="65.150000000000006" customHeight="1">
      <c r="A60"/>
      <c r="B60"/>
      <c r="C60"/>
      <c r="D60"/>
      <c r="E60" s="107"/>
      <c r="F60"/>
      <c r="G60" s="107"/>
      <c r="H60" s="107"/>
      <c r="I60" s="108"/>
      <c r="J60" s="108"/>
      <c r="K60" s="107"/>
      <c r="L60" s="107"/>
      <c r="M60" s="107"/>
      <c r="N60" s="107"/>
      <c r="O60" s="107"/>
      <c r="P60" s="107"/>
      <c r="Q60" s="107"/>
      <c r="R60" s="107"/>
      <c r="S60" s="107"/>
      <c r="T60" s="107"/>
      <c r="U60" s="107"/>
      <c r="V60" s="107"/>
      <c r="W60" s="107"/>
      <c r="X60" s="107"/>
      <c r="Y60" s="107"/>
      <c r="Z60" s="107"/>
      <c r="AA60" s="109"/>
      <c r="AB60"/>
    </row>
    <row r="61" spans="1:28" s="106" customFormat="1" ht="65.150000000000006" customHeight="1">
      <c r="A61"/>
      <c r="B61"/>
      <c r="C61"/>
      <c r="D61"/>
      <c r="E61" s="107"/>
      <c r="F61"/>
      <c r="G61" s="107"/>
      <c r="H61" s="107"/>
      <c r="I61" s="108"/>
      <c r="J61" s="108"/>
      <c r="K61" s="107"/>
      <c r="L61" s="107"/>
      <c r="M61" s="107"/>
      <c r="N61" s="135"/>
      <c r="O61" s="107"/>
      <c r="P61" s="107"/>
      <c r="Q61" s="107"/>
      <c r="R61" s="107"/>
      <c r="S61" s="107"/>
      <c r="T61" s="107"/>
      <c r="U61" s="107"/>
      <c r="V61" s="107"/>
      <c r="W61" s="107"/>
      <c r="X61" s="107"/>
      <c r="Y61" s="107"/>
      <c r="Z61" s="107"/>
      <c r="AA61" s="109"/>
      <c r="AB61"/>
    </row>
    <row r="62" spans="1:28" s="106" customFormat="1" ht="65.150000000000006" customHeight="1">
      <c r="A62"/>
      <c r="B62"/>
      <c r="C62"/>
      <c r="D62"/>
      <c r="E62" s="107"/>
      <c r="F62"/>
      <c r="G62" s="107"/>
      <c r="H62" s="107"/>
      <c r="I62" s="108"/>
      <c r="J62" s="108"/>
      <c r="K62" s="107"/>
      <c r="L62" s="107"/>
      <c r="M62" s="107"/>
      <c r="N62" s="107"/>
      <c r="O62" s="107"/>
      <c r="P62" s="107"/>
      <c r="Q62" s="107"/>
      <c r="R62" s="107"/>
      <c r="S62" s="107"/>
      <c r="T62" s="107"/>
      <c r="U62" s="107"/>
      <c r="V62" s="107"/>
      <c r="W62" s="107"/>
      <c r="X62" s="107"/>
      <c r="Y62" s="107"/>
      <c r="Z62" s="107"/>
      <c r="AA62" s="109"/>
      <c r="AB62"/>
    </row>
    <row r="63" spans="1:28" s="106" customFormat="1" ht="65.150000000000006" customHeight="1">
      <c r="A63"/>
      <c r="B63"/>
      <c r="C63"/>
      <c r="D63"/>
      <c r="E63" s="107"/>
      <c r="F63"/>
      <c r="G63" s="107"/>
      <c r="H63" s="107"/>
      <c r="I63" s="108"/>
      <c r="J63" s="108"/>
      <c r="K63" s="107"/>
      <c r="L63" s="107"/>
      <c r="M63" s="107"/>
      <c r="N63" s="107"/>
      <c r="O63" s="107"/>
      <c r="P63" s="107"/>
      <c r="Q63" s="107"/>
      <c r="R63" s="107"/>
      <c r="S63" s="107"/>
      <c r="T63" s="107"/>
      <c r="U63" s="107"/>
      <c r="V63" s="107"/>
      <c r="W63" s="107"/>
      <c r="X63" s="107"/>
      <c r="Y63" s="107"/>
      <c r="Z63" s="107"/>
      <c r="AA63" s="109"/>
      <c r="AB63"/>
    </row>
    <row r="64" spans="1:28" s="106" customFormat="1" ht="65.150000000000006" customHeight="1">
      <c r="A64"/>
      <c r="B64"/>
      <c r="C64"/>
      <c r="D64"/>
      <c r="E64" s="107"/>
      <c r="F64"/>
      <c r="G64" s="107"/>
      <c r="H64" s="107"/>
      <c r="I64" s="108"/>
      <c r="J64" s="108"/>
      <c r="K64" s="107"/>
      <c r="L64" s="107"/>
      <c r="M64" s="107"/>
      <c r="N64" s="107"/>
      <c r="O64" s="107"/>
      <c r="P64" s="107"/>
      <c r="Q64" s="107"/>
      <c r="R64" s="107"/>
      <c r="S64" s="107"/>
      <c r="T64" s="107"/>
      <c r="U64" s="107"/>
      <c r="V64" s="107"/>
      <c r="W64" s="107"/>
      <c r="X64" s="107"/>
      <c r="Y64" s="107"/>
      <c r="Z64" s="107"/>
      <c r="AA64" s="109"/>
      <c r="AB64"/>
    </row>
    <row r="65" spans="1:28" s="106" customFormat="1" ht="65.150000000000006" customHeight="1">
      <c r="A65"/>
      <c r="B65"/>
      <c r="C65"/>
      <c r="D65"/>
      <c r="E65" s="107"/>
      <c r="F65"/>
      <c r="G65" s="107"/>
      <c r="H65" s="107"/>
      <c r="I65" s="108"/>
      <c r="J65" s="108"/>
      <c r="K65" s="107"/>
      <c r="L65" s="107"/>
      <c r="M65" s="107"/>
      <c r="N65" s="107"/>
      <c r="O65" s="107"/>
      <c r="P65" s="107"/>
      <c r="Q65" s="107"/>
      <c r="R65" s="107"/>
      <c r="S65" s="107"/>
      <c r="T65" s="107"/>
      <c r="U65" s="107"/>
      <c r="V65" s="107"/>
      <c r="W65" s="107"/>
      <c r="X65" s="107"/>
      <c r="Y65" s="107"/>
      <c r="Z65" s="107"/>
      <c r="AA65" s="109"/>
      <c r="AB65"/>
    </row>
    <row r="66" spans="1:28" s="105" customFormat="1" ht="65.150000000000006" customHeight="1">
      <c r="A66"/>
      <c r="B66"/>
      <c r="C66"/>
      <c r="D66"/>
      <c r="E66" s="107"/>
      <c r="F66"/>
      <c r="G66" s="107"/>
      <c r="H66" s="107"/>
      <c r="I66" s="108"/>
      <c r="J66" s="108"/>
      <c r="K66" s="107"/>
      <c r="L66" s="107"/>
      <c r="M66" s="107"/>
      <c r="N66" s="107"/>
      <c r="O66" s="107"/>
      <c r="P66" s="107"/>
      <c r="Q66" s="107"/>
      <c r="R66" s="107"/>
      <c r="S66" s="107"/>
      <c r="T66" s="107"/>
      <c r="U66" s="107"/>
      <c r="V66" s="107"/>
      <c r="W66" s="107"/>
      <c r="X66" s="107"/>
      <c r="Y66" s="107"/>
      <c r="Z66" s="107"/>
      <c r="AA66" s="109"/>
      <c r="AB66"/>
    </row>
    <row r="67" spans="1:28" s="105" customFormat="1" ht="65.150000000000006" customHeight="1">
      <c r="A67"/>
      <c r="B67"/>
      <c r="C67"/>
      <c r="D67"/>
      <c r="E67" s="107"/>
      <c r="F67"/>
      <c r="G67" s="107"/>
      <c r="H67" s="107"/>
      <c r="I67" s="108"/>
      <c r="J67" s="108"/>
      <c r="K67" s="107"/>
      <c r="L67" s="107"/>
      <c r="M67" s="107"/>
      <c r="N67" s="107"/>
      <c r="O67" s="107"/>
      <c r="P67" s="107"/>
      <c r="Q67" s="107"/>
      <c r="R67" s="107"/>
      <c r="S67" s="107"/>
      <c r="T67" s="107"/>
      <c r="U67" s="107"/>
      <c r="V67" s="107"/>
      <c r="W67" s="107"/>
      <c r="X67" s="107"/>
      <c r="Y67" s="107"/>
      <c r="Z67" s="107"/>
      <c r="AA67" s="109"/>
      <c r="AB67"/>
    </row>
    <row r="68" spans="1:28" s="105" customFormat="1" ht="65.150000000000006" customHeight="1">
      <c r="A68"/>
      <c r="B68"/>
      <c r="C68"/>
      <c r="D68"/>
      <c r="E68" s="107"/>
      <c r="F68"/>
      <c r="G68" s="107"/>
      <c r="H68" s="107"/>
      <c r="I68" s="108"/>
      <c r="J68" s="108"/>
      <c r="K68" s="107"/>
      <c r="L68" s="107"/>
      <c r="M68" s="107"/>
      <c r="N68" s="107"/>
      <c r="O68" s="107"/>
      <c r="P68" s="107"/>
      <c r="Q68" s="107"/>
      <c r="R68" s="107"/>
      <c r="S68" s="107"/>
      <c r="T68" s="107"/>
      <c r="U68" s="107"/>
      <c r="V68" s="107"/>
      <c r="W68" s="107"/>
      <c r="X68" s="107"/>
      <c r="Y68" s="107"/>
      <c r="Z68" s="107"/>
      <c r="AA68" s="109"/>
      <c r="AB68"/>
    </row>
    <row r="69" spans="1:28" s="105" customFormat="1" ht="65.150000000000006" customHeight="1">
      <c r="A69"/>
      <c r="B69"/>
      <c r="C69"/>
      <c r="D69"/>
      <c r="E69" s="107"/>
      <c r="F69"/>
      <c r="G69" s="107"/>
      <c r="H69" s="107"/>
      <c r="I69" s="108"/>
      <c r="J69" s="108"/>
      <c r="K69" s="107"/>
      <c r="L69" s="107"/>
      <c r="M69" s="107"/>
      <c r="N69" s="107"/>
      <c r="O69" s="107"/>
      <c r="P69" s="107"/>
      <c r="Q69" s="107"/>
      <c r="R69" s="107"/>
      <c r="S69" s="107"/>
      <c r="T69" s="107"/>
      <c r="U69" s="107"/>
      <c r="V69" s="107"/>
      <c r="W69" s="107"/>
      <c r="X69" s="107"/>
      <c r="Y69" s="107"/>
      <c r="Z69" s="107"/>
      <c r="AA69" s="109"/>
      <c r="AB69"/>
    </row>
    <row r="70" spans="1:28" s="105" customFormat="1" ht="65.150000000000006" customHeight="1">
      <c r="A70"/>
      <c r="B70"/>
      <c r="C70"/>
      <c r="D70"/>
      <c r="E70" s="107"/>
      <c r="F70"/>
      <c r="G70" s="107"/>
      <c r="H70" s="107"/>
      <c r="I70" s="108"/>
      <c r="J70" s="108"/>
      <c r="K70" s="107"/>
      <c r="L70" s="107"/>
      <c r="M70" s="107"/>
      <c r="N70" s="107"/>
      <c r="O70" s="107"/>
      <c r="P70" s="107"/>
      <c r="Q70" s="107"/>
      <c r="R70" s="107"/>
      <c r="S70" s="107"/>
      <c r="T70" s="107"/>
      <c r="U70" s="107"/>
      <c r="V70" s="107"/>
      <c r="W70" s="107"/>
      <c r="X70" s="107"/>
      <c r="Y70" s="107"/>
      <c r="Z70" s="107"/>
      <c r="AA70" s="109"/>
      <c r="AB70"/>
    </row>
    <row r="71" spans="1:28" s="105" customFormat="1" ht="65.150000000000006" customHeight="1">
      <c r="A71"/>
      <c r="B71"/>
      <c r="C71"/>
      <c r="D71"/>
      <c r="E71" s="107"/>
      <c r="F71"/>
      <c r="G71" s="107"/>
      <c r="H71" s="107"/>
      <c r="I71" s="108"/>
      <c r="J71" s="108"/>
      <c r="K71" s="107"/>
      <c r="L71" s="107"/>
      <c r="M71" s="107"/>
      <c r="N71" s="107"/>
      <c r="O71" s="107"/>
      <c r="P71" s="107"/>
      <c r="Q71" s="107"/>
      <c r="R71" s="107"/>
      <c r="S71" s="107"/>
      <c r="T71" s="107"/>
      <c r="U71" s="107"/>
      <c r="V71" s="107"/>
      <c r="W71" s="107"/>
      <c r="X71" s="107"/>
      <c r="Y71" s="107"/>
      <c r="Z71" s="107"/>
      <c r="AA71" s="109"/>
      <c r="AB71"/>
    </row>
    <row r="72" spans="1:28" s="105" customFormat="1" ht="65.150000000000006" customHeight="1">
      <c r="A72"/>
      <c r="B72"/>
      <c r="C72"/>
      <c r="D72"/>
      <c r="E72" s="107"/>
      <c r="F72"/>
      <c r="G72" s="107"/>
      <c r="H72" s="107"/>
      <c r="I72" s="108"/>
      <c r="J72" s="108"/>
      <c r="K72" s="107"/>
      <c r="L72" s="107"/>
      <c r="M72" s="107"/>
      <c r="N72" s="107"/>
      <c r="O72" s="107"/>
      <c r="P72" s="107"/>
      <c r="Q72" s="107"/>
      <c r="R72" s="107"/>
      <c r="S72" s="107"/>
      <c r="T72" s="107"/>
      <c r="U72" s="107"/>
      <c r="V72" s="107"/>
      <c r="W72" s="107"/>
      <c r="X72" s="107"/>
      <c r="Y72" s="107"/>
      <c r="Z72" s="107"/>
      <c r="AA72" s="109"/>
      <c r="AB72"/>
    </row>
    <row r="73" spans="1:28" s="105" customFormat="1" ht="65.150000000000006" customHeight="1">
      <c r="A73"/>
      <c r="B73"/>
      <c r="C73"/>
      <c r="D73"/>
      <c r="E73" s="107"/>
      <c r="F73"/>
      <c r="G73" s="107"/>
      <c r="H73" s="107"/>
      <c r="I73" s="108"/>
      <c r="J73" s="108"/>
      <c r="K73" s="107"/>
      <c r="L73" s="107"/>
      <c r="M73" s="107"/>
      <c r="N73" s="107"/>
      <c r="O73" s="107"/>
      <c r="P73" s="107"/>
      <c r="Q73" s="107"/>
      <c r="R73" s="107"/>
      <c r="S73" s="107"/>
      <c r="T73" s="107"/>
      <c r="U73" s="107"/>
      <c r="V73" s="107"/>
      <c r="W73" s="107"/>
      <c r="X73" s="107"/>
      <c r="Y73" s="107"/>
      <c r="Z73" s="107"/>
      <c r="AA73" s="109"/>
      <c r="AB73"/>
    </row>
    <row r="74" spans="1:28" s="105" customFormat="1" ht="65.150000000000006" customHeight="1">
      <c r="A74"/>
      <c r="B74"/>
      <c r="C74"/>
      <c r="D74"/>
      <c r="E74" s="107"/>
      <c r="F74"/>
      <c r="G74" s="107"/>
      <c r="H74" s="107"/>
      <c r="I74" s="108"/>
      <c r="J74" s="108"/>
      <c r="K74" s="107"/>
      <c r="L74" s="107"/>
      <c r="M74" s="107"/>
      <c r="N74" s="107"/>
      <c r="O74" s="107"/>
      <c r="P74" s="107"/>
      <c r="Q74" s="107"/>
      <c r="R74" s="107"/>
      <c r="S74" s="107"/>
      <c r="T74" s="107"/>
      <c r="U74" s="107"/>
      <c r="V74" s="107"/>
      <c r="W74" s="107"/>
      <c r="X74" s="107"/>
      <c r="Y74" s="107"/>
      <c r="Z74" s="107"/>
      <c r="AA74" s="109"/>
      <c r="AB74"/>
    </row>
    <row r="75" spans="1:28" s="105" customFormat="1" ht="65.150000000000006" customHeight="1">
      <c r="A75"/>
      <c r="B75"/>
      <c r="C75"/>
      <c r="D75"/>
      <c r="E75" s="107"/>
      <c r="F75"/>
      <c r="G75" s="107"/>
      <c r="H75" s="107"/>
      <c r="I75" s="108"/>
      <c r="J75" s="108"/>
      <c r="K75" s="107"/>
      <c r="L75" s="107"/>
      <c r="M75" s="107"/>
      <c r="N75" s="107"/>
      <c r="O75" s="107"/>
      <c r="P75" s="107"/>
      <c r="Q75" s="107"/>
      <c r="R75" s="107"/>
      <c r="S75" s="107"/>
      <c r="T75" s="107"/>
      <c r="U75" s="107"/>
      <c r="V75" s="107"/>
      <c r="W75" s="107"/>
      <c r="X75" s="107"/>
      <c r="Y75" s="107"/>
      <c r="Z75" s="107"/>
      <c r="AA75" s="109"/>
      <c r="AB75"/>
    </row>
    <row r="76" spans="1:28" s="105" customFormat="1" ht="65.150000000000006" customHeight="1">
      <c r="A76"/>
      <c r="B76"/>
      <c r="C76"/>
      <c r="D76"/>
      <c r="E76" s="107"/>
      <c r="F76"/>
      <c r="G76" s="107"/>
      <c r="H76" s="107"/>
      <c r="I76" s="108"/>
      <c r="J76" s="108"/>
      <c r="K76" s="107"/>
      <c r="L76" s="107"/>
      <c r="M76" s="107"/>
      <c r="N76" s="107"/>
      <c r="O76" s="107"/>
      <c r="P76" s="107"/>
      <c r="Q76" s="107"/>
      <c r="R76" s="107"/>
      <c r="S76" s="107"/>
      <c r="T76" s="107"/>
      <c r="U76" s="107"/>
      <c r="V76" s="107"/>
      <c r="W76" s="107"/>
      <c r="X76" s="107"/>
      <c r="Y76" s="107"/>
      <c r="Z76" s="107"/>
      <c r="AA76" s="109"/>
      <c r="AB76"/>
    </row>
    <row r="77" spans="1:28" s="105" customFormat="1" ht="65.150000000000006" customHeight="1">
      <c r="A77"/>
      <c r="B77"/>
      <c r="C77"/>
      <c r="D77"/>
      <c r="E77" s="107"/>
      <c r="F77"/>
      <c r="G77" s="107"/>
      <c r="H77" s="107"/>
      <c r="I77" s="108"/>
      <c r="J77" s="108"/>
      <c r="K77" s="107"/>
      <c r="L77" s="107"/>
      <c r="M77" s="107"/>
      <c r="N77" s="107"/>
      <c r="O77" s="107"/>
      <c r="P77" s="107"/>
      <c r="Q77" s="107"/>
      <c r="R77" s="107"/>
      <c r="S77" s="107"/>
      <c r="T77" s="107"/>
      <c r="U77" s="107"/>
      <c r="V77" s="107"/>
      <c r="W77" s="107"/>
      <c r="X77" s="107"/>
      <c r="Y77" s="107"/>
      <c r="Z77" s="107"/>
      <c r="AA77" s="109"/>
      <c r="AB77"/>
    </row>
    <row r="78" spans="1:28" s="105" customFormat="1" ht="65.150000000000006" customHeight="1">
      <c r="A78"/>
      <c r="B78"/>
      <c r="C78"/>
      <c r="D78"/>
      <c r="E78" s="107"/>
      <c r="F78"/>
      <c r="G78" s="107"/>
      <c r="H78" s="107"/>
      <c r="I78" s="108"/>
      <c r="J78" s="108"/>
      <c r="K78" s="107"/>
      <c r="L78" s="107"/>
      <c r="M78" s="107"/>
      <c r="N78" s="107"/>
      <c r="O78" s="107"/>
      <c r="P78" s="107"/>
      <c r="Q78" s="107"/>
      <c r="R78" s="107"/>
      <c r="S78" s="107"/>
      <c r="T78" s="107"/>
      <c r="U78" s="107"/>
      <c r="V78" s="107"/>
      <c r="W78" s="107"/>
      <c r="X78" s="107"/>
      <c r="Y78" s="107"/>
      <c r="Z78" s="107"/>
      <c r="AA78" s="109"/>
      <c r="AB78"/>
    </row>
    <row r="79" spans="1:28" s="105" customFormat="1" ht="65.150000000000006" customHeight="1">
      <c r="A79"/>
      <c r="B79"/>
      <c r="C79"/>
      <c r="D79"/>
      <c r="E79" s="107"/>
      <c r="F79"/>
      <c r="G79" s="107"/>
      <c r="H79" s="107"/>
      <c r="I79" s="108"/>
      <c r="J79" s="108"/>
      <c r="K79" s="107"/>
      <c r="L79" s="107"/>
      <c r="M79" s="107"/>
      <c r="N79" s="107"/>
      <c r="O79" s="107"/>
      <c r="P79" s="107"/>
      <c r="Q79" s="107"/>
      <c r="R79" s="107"/>
      <c r="S79" s="107"/>
      <c r="T79" s="107"/>
      <c r="U79" s="107"/>
      <c r="V79" s="107"/>
      <c r="W79" s="107"/>
      <c r="X79" s="107"/>
      <c r="Y79" s="107"/>
      <c r="Z79" s="107"/>
      <c r="AA79" s="109"/>
      <c r="AB79"/>
    </row>
    <row r="80" spans="1:28" s="105" customFormat="1" ht="63" customHeight="1">
      <c r="A80"/>
      <c r="B80"/>
      <c r="C80"/>
      <c r="D80"/>
      <c r="E80" s="107"/>
      <c r="F80"/>
      <c r="G80" s="107"/>
      <c r="H80" s="107"/>
      <c r="I80" s="108"/>
      <c r="J80" s="108"/>
      <c r="K80" s="107"/>
      <c r="L80" s="107"/>
      <c r="M80" s="107"/>
      <c r="N80" s="107"/>
      <c r="O80" s="107"/>
      <c r="P80" s="107"/>
      <c r="Q80" s="107"/>
      <c r="R80" s="107"/>
      <c r="S80" s="107"/>
      <c r="T80" s="107"/>
      <c r="U80" s="107"/>
      <c r="V80" s="107"/>
      <c r="W80" s="107"/>
      <c r="X80" s="107"/>
      <c r="Y80" s="107"/>
      <c r="Z80" s="107"/>
      <c r="AA80" s="109"/>
      <c r="AB80"/>
    </row>
    <row r="81" spans="1:16384" s="106" customFormat="1" ht="63" customHeight="1">
      <c r="A81"/>
      <c r="B81"/>
      <c r="C81"/>
      <c r="D81"/>
      <c r="E81" s="107"/>
      <c r="F81"/>
      <c r="G81" s="107"/>
      <c r="H81" s="107"/>
      <c r="I81" s="108"/>
      <c r="J81" s="108"/>
      <c r="K81" s="107"/>
      <c r="L81" s="107"/>
      <c r="M81" s="107"/>
      <c r="N81" s="107"/>
      <c r="O81" s="107"/>
      <c r="P81" s="107"/>
      <c r="Q81" s="107"/>
      <c r="R81" s="107"/>
      <c r="S81" s="107"/>
      <c r="T81" s="107"/>
      <c r="U81" s="107"/>
      <c r="V81" s="107"/>
      <c r="W81" s="107"/>
      <c r="X81" s="107"/>
      <c r="Y81" s="107"/>
      <c r="Z81" s="107"/>
      <c r="AA81" s="109"/>
      <c r="AB81"/>
    </row>
    <row r="82" spans="1:16384" s="106" customFormat="1" ht="63" customHeight="1">
      <c r="A82"/>
      <c r="B82"/>
      <c r="C82"/>
      <c r="D82"/>
      <c r="E82" s="107"/>
      <c r="F82"/>
      <c r="G82" s="107"/>
      <c r="H82" s="107"/>
      <c r="I82" s="108"/>
      <c r="J82" s="108"/>
      <c r="K82" s="107"/>
      <c r="L82" s="107"/>
      <c r="M82" s="107"/>
      <c r="N82" s="107"/>
      <c r="O82" s="107"/>
      <c r="P82" s="107"/>
      <c r="Q82" s="107"/>
      <c r="R82" s="107"/>
      <c r="S82" s="107"/>
      <c r="T82" s="107"/>
      <c r="U82" s="107"/>
      <c r="V82" s="107"/>
      <c r="W82" s="107"/>
      <c r="X82" s="107"/>
      <c r="Y82" s="107"/>
      <c r="Z82" s="107"/>
      <c r="AA82" s="109"/>
      <c r="AB82"/>
    </row>
    <row r="83" spans="1:16384" s="105" customFormat="1" ht="65.150000000000006" customHeight="1">
      <c r="A83"/>
      <c r="B83"/>
      <c r="C83"/>
      <c r="D83"/>
      <c r="E83" s="107"/>
      <c r="F83"/>
      <c r="G83" s="107"/>
      <c r="H83" s="107"/>
      <c r="I83" s="108"/>
      <c r="J83" s="108"/>
      <c r="K83" s="107"/>
      <c r="L83" s="107"/>
      <c r="M83" s="107"/>
      <c r="N83" s="107"/>
      <c r="O83" s="107"/>
      <c r="P83" s="107"/>
      <c r="Q83" s="107"/>
      <c r="R83" s="107"/>
      <c r="S83" s="107"/>
      <c r="T83" s="107"/>
      <c r="U83" s="107"/>
      <c r="V83" s="107"/>
      <c r="W83" s="107"/>
      <c r="X83" s="107"/>
      <c r="Y83" s="107"/>
      <c r="Z83" s="107"/>
      <c r="AA83" s="109"/>
      <c r="AB83"/>
    </row>
    <row r="84" spans="1:16384" s="105" customFormat="1" ht="65.150000000000006" customHeight="1">
      <c r="A84"/>
      <c r="B84"/>
      <c r="C84"/>
      <c r="D84"/>
      <c r="E84" s="107"/>
      <c r="F84"/>
      <c r="G84" s="107"/>
      <c r="H84" s="107"/>
      <c r="I84" s="108"/>
      <c r="J84" s="108"/>
      <c r="K84" s="107"/>
      <c r="L84" s="107"/>
      <c r="M84" s="107"/>
      <c r="N84" s="107"/>
      <c r="O84" s="107"/>
      <c r="P84" s="107"/>
      <c r="Q84" s="107"/>
      <c r="R84" s="107"/>
      <c r="S84" s="107"/>
      <c r="T84" s="107"/>
      <c r="U84" s="107"/>
      <c r="V84" s="107"/>
      <c r="W84" s="107"/>
      <c r="X84" s="107"/>
      <c r="Y84" s="107"/>
      <c r="Z84" s="107"/>
      <c r="AA84" s="109"/>
      <c r="AB84"/>
    </row>
    <row r="85" spans="1:16384" s="105" customFormat="1" ht="94" customHeight="1">
      <c r="A85"/>
      <c r="B85"/>
      <c r="C85"/>
      <c r="D85"/>
      <c r="E85" s="107"/>
      <c r="F85"/>
      <c r="G85" s="107"/>
      <c r="H85" s="107"/>
      <c r="I85" s="108"/>
      <c r="J85" s="108"/>
      <c r="K85" s="107"/>
      <c r="L85" s="107"/>
      <c r="M85" s="107"/>
      <c r="N85" s="107"/>
      <c r="O85" s="107"/>
      <c r="P85" s="107"/>
      <c r="Q85" s="107"/>
      <c r="R85" s="107"/>
      <c r="S85" s="107"/>
      <c r="T85" s="107"/>
      <c r="U85" s="107"/>
      <c r="V85" s="107"/>
      <c r="W85" s="107"/>
      <c r="X85" s="107"/>
      <c r="Y85" s="107"/>
      <c r="Z85" s="107"/>
      <c r="AA85" s="109"/>
      <c r="AB85"/>
    </row>
    <row r="86" spans="1:16384" s="105" customFormat="1" ht="84" customHeight="1">
      <c r="A86"/>
      <c r="B86"/>
      <c r="C86"/>
      <c r="D86"/>
      <c r="E86" s="107"/>
      <c r="F86"/>
      <c r="G86" s="107"/>
      <c r="H86" s="107"/>
      <c r="I86" s="108"/>
      <c r="J86" s="108"/>
      <c r="K86" s="107"/>
      <c r="L86" s="107"/>
      <c r="M86" s="107"/>
      <c r="N86" s="107"/>
      <c r="O86" s="107"/>
      <c r="P86" s="107"/>
      <c r="Q86" s="107"/>
      <c r="R86" s="107"/>
      <c r="S86" s="107"/>
      <c r="T86" s="107"/>
      <c r="U86" s="107"/>
      <c r="V86" s="107"/>
      <c r="W86" s="107"/>
      <c r="X86" s="107"/>
      <c r="Y86" s="107"/>
      <c r="Z86" s="107"/>
      <c r="AA86" s="109"/>
      <c r="AB86"/>
    </row>
    <row r="87" spans="1:16384" s="105" customFormat="1" ht="65.150000000000006" customHeight="1">
      <c r="A87"/>
      <c r="B87"/>
      <c r="C87"/>
      <c r="D87"/>
      <c r="E87" s="107"/>
      <c r="F87"/>
      <c r="G87" s="107"/>
      <c r="H87" s="107"/>
      <c r="I87" s="108"/>
      <c r="J87" s="108"/>
      <c r="K87" s="107"/>
      <c r="L87" s="107"/>
      <c r="M87" s="107"/>
      <c r="N87" s="107"/>
      <c r="O87" s="107"/>
      <c r="P87" s="107"/>
      <c r="Q87" s="107"/>
      <c r="R87" s="107"/>
      <c r="S87" s="107"/>
      <c r="T87" s="107"/>
      <c r="U87" s="107"/>
      <c r="V87" s="107"/>
      <c r="W87" s="107"/>
      <c r="X87" s="107"/>
      <c r="Y87" s="107"/>
      <c r="Z87" s="107"/>
      <c r="AA87" s="109"/>
      <c r="AB87"/>
    </row>
    <row r="88" spans="1:16384" s="105" customFormat="1" ht="65.150000000000006" customHeight="1">
      <c r="A88"/>
      <c r="B88"/>
      <c r="C88"/>
      <c r="D88"/>
      <c r="E88" s="107"/>
      <c r="F88"/>
      <c r="G88" s="107"/>
      <c r="H88" s="107"/>
      <c r="I88" s="108"/>
      <c r="J88" s="108"/>
      <c r="K88" s="107"/>
      <c r="L88" s="107"/>
      <c r="M88" s="107"/>
      <c r="N88" s="107"/>
      <c r="O88" s="107"/>
      <c r="P88" s="107"/>
      <c r="Q88" s="107"/>
      <c r="R88" s="107"/>
      <c r="S88" s="107"/>
      <c r="T88" s="107"/>
      <c r="U88" s="107"/>
      <c r="V88" s="107"/>
      <c r="W88" s="107"/>
      <c r="X88" s="107"/>
      <c r="Y88" s="107"/>
      <c r="Z88" s="107"/>
      <c r="AA88" s="109"/>
      <c r="AB88"/>
    </row>
    <row r="89" spans="1:16384" s="105" customFormat="1" ht="65.150000000000006" customHeight="1">
      <c r="A89"/>
      <c r="B89"/>
      <c r="C89"/>
      <c r="D89"/>
      <c r="E89" s="107"/>
      <c r="F89"/>
      <c r="G89" s="107"/>
      <c r="H89" s="107"/>
      <c r="I89" s="108"/>
      <c r="J89" s="108"/>
      <c r="K89" s="107"/>
      <c r="L89" s="107"/>
      <c r="M89" s="107"/>
      <c r="N89" s="107"/>
      <c r="O89" s="107"/>
      <c r="P89" s="107"/>
      <c r="Q89" s="107"/>
      <c r="R89" s="107"/>
      <c r="S89" s="107"/>
      <c r="T89" s="107"/>
      <c r="U89" s="107"/>
      <c r="V89" s="107"/>
      <c r="W89" s="107"/>
      <c r="X89" s="107"/>
      <c r="Y89" s="107"/>
      <c r="Z89" s="107"/>
      <c r="AA89" s="109"/>
      <c r="AB89"/>
    </row>
    <row r="90" spans="1:16384" s="105" customFormat="1" ht="65.150000000000006" customHeight="1">
      <c r="A90"/>
      <c r="B90"/>
      <c r="C90"/>
      <c r="D90"/>
      <c r="E90" s="107"/>
      <c r="F90"/>
      <c r="G90" s="107"/>
      <c r="H90" s="107"/>
      <c r="I90" s="108"/>
      <c r="J90" s="108"/>
      <c r="K90" s="107"/>
      <c r="L90" s="107"/>
      <c r="M90" s="107"/>
      <c r="N90" s="107"/>
      <c r="O90" s="107"/>
      <c r="P90" s="107"/>
      <c r="Q90" s="107"/>
      <c r="R90" s="107"/>
      <c r="S90" s="107"/>
      <c r="T90" s="107"/>
      <c r="U90" s="107"/>
      <c r="V90" s="107"/>
      <c r="W90" s="107"/>
      <c r="X90" s="107"/>
      <c r="Y90" s="107"/>
      <c r="Z90" s="107"/>
      <c r="AA90" s="109"/>
      <c r="AB90"/>
    </row>
    <row r="91" spans="1:16384" s="105" customFormat="1" ht="65.150000000000006" customHeight="1">
      <c r="A91"/>
      <c r="B91"/>
      <c r="C91"/>
      <c r="D91"/>
      <c r="E91" s="107"/>
      <c r="F91"/>
      <c r="G91" s="107"/>
      <c r="H91" s="107"/>
      <c r="I91" s="108"/>
      <c r="J91" s="108"/>
      <c r="K91" s="107"/>
      <c r="L91" s="107"/>
      <c r="M91" s="107"/>
      <c r="N91" s="107"/>
      <c r="O91" s="107"/>
      <c r="P91" s="107"/>
      <c r="Q91" s="107"/>
      <c r="R91" s="107"/>
      <c r="S91" s="107"/>
      <c r="T91" s="107"/>
      <c r="U91" s="107"/>
      <c r="V91" s="107"/>
      <c r="W91" s="107"/>
      <c r="X91" s="107"/>
      <c r="Y91" s="107"/>
      <c r="Z91" s="107"/>
      <c r="AA91" s="109"/>
      <c r="AB91"/>
    </row>
    <row r="92" spans="1:16384" s="105" customFormat="1" ht="65.150000000000006" customHeight="1">
      <c r="A92"/>
      <c r="B92"/>
      <c r="C92"/>
      <c r="D92"/>
      <c r="E92" s="107"/>
      <c r="F92"/>
      <c r="G92" s="107"/>
      <c r="H92" s="107"/>
      <c r="I92" s="108"/>
      <c r="J92" s="108"/>
      <c r="K92" s="107"/>
      <c r="L92" s="107"/>
      <c r="M92" s="107"/>
      <c r="N92" s="107"/>
      <c r="O92" s="107"/>
      <c r="P92" s="107"/>
      <c r="Q92" s="107"/>
      <c r="R92" s="107"/>
      <c r="S92" s="107"/>
      <c r="T92" s="107"/>
      <c r="U92" s="107"/>
      <c r="V92" s="107"/>
      <c r="W92" s="107"/>
      <c r="X92" s="107"/>
      <c r="Y92" s="107"/>
      <c r="Z92" s="107"/>
      <c r="AA92" s="109"/>
      <c r="AB92"/>
      <c r="AC92" s="165"/>
      <c r="AD92" s="166"/>
      <c r="AE92" s="165"/>
      <c r="AF92" s="166"/>
      <c r="AG92" s="165" t="s">
        <v>945</v>
      </c>
      <c r="AH92" s="166" t="str">
        <f>VLOOKUP(AG92,[13]AssetDetails_UEM!$A$3:$AH$1849,6,FALSE)</f>
        <v>Electrosurgical Units, Monopolar/Bipolar</v>
      </c>
      <c r="AI92" s="165" t="s">
        <v>945</v>
      </c>
      <c r="AJ92" s="166" t="str">
        <f>VLOOKUP(AI92,[13]AssetDetails_UEM!$A$3:$AH$1849,6,FALSE)</f>
        <v>Electrosurgical Units, Monopolar/Bipolar</v>
      </c>
      <c r="AK92" s="165" t="s">
        <v>945</v>
      </c>
      <c r="AL92" s="166" t="str">
        <f>VLOOKUP(AK92,[13]AssetDetails_UEM!$A$3:$AH$1849,6,FALSE)</f>
        <v>Electrosurgical Units, Monopolar/Bipolar</v>
      </c>
      <c r="AM92" s="165" t="s">
        <v>945</v>
      </c>
      <c r="AN92" s="166" t="str">
        <f>VLOOKUP(AM92,[13]AssetDetails_UEM!$A$3:$AH$1849,6,FALSE)</f>
        <v>Electrosurgical Units, Monopolar/Bipolar</v>
      </c>
      <c r="AO92" s="165" t="s">
        <v>945</v>
      </c>
      <c r="AP92" s="166" t="str">
        <f>VLOOKUP(AO92,[13]AssetDetails_UEM!$A$3:$AH$1849,6,FALSE)</f>
        <v>Electrosurgical Units, Monopolar/Bipolar</v>
      </c>
      <c r="AQ92" s="165" t="s">
        <v>945</v>
      </c>
      <c r="AR92" s="166" t="str">
        <f>VLOOKUP(AQ92,[13]AssetDetails_UEM!$A$3:$AH$1849,6,FALSE)</f>
        <v>Electrosurgical Units, Monopolar/Bipolar</v>
      </c>
      <c r="AS92" s="165" t="s">
        <v>945</v>
      </c>
      <c r="AT92" s="166" t="str">
        <f>VLOOKUP(AS92,[13]AssetDetails_UEM!$A$3:$AH$1849,6,FALSE)</f>
        <v>Electrosurgical Units, Monopolar/Bipolar</v>
      </c>
      <c r="AU92" s="165" t="s">
        <v>945</v>
      </c>
      <c r="AV92" s="166" t="str">
        <f>VLOOKUP(AU92,[13]AssetDetails_UEM!$A$3:$AH$1849,6,FALSE)</f>
        <v>Electrosurgical Units, Monopolar/Bipolar</v>
      </c>
      <c r="AW92" s="165" t="s">
        <v>945</v>
      </c>
      <c r="AX92" s="166" t="str">
        <f>VLOOKUP(AW92,[13]AssetDetails_UEM!$A$3:$AH$1849,6,FALSE)</f>
        <v>Electrosurgical Units, Monopolar/Bipolar</v>
      </c>
      <c r="AY92" s="165" t="s">
        <v>945</v>
      </c>
      <c r="AZ92" s="166" t="str">
        <f>VLOOKUP(AY92,[13]AssetDetails_UEM!$A$3:$AH$1849,6,FALSE)</f>
        <v>Electrosurgical Units, Monopolar/Bipolar</v>
      </c>
      <c r="BA92" s="165" t="s">
        <v>945</v>
      </c>
      <c r="BB92" s="166" t="str">
        <f>VLOOKUP(BA92,[13]AssetDetails_UEM!$A$3:$AH$1849,6,FALSE)</f>
        <v>Electrosurgical Units, Monopolar/Bipolar</v>
      </c>
      <c r="BC92" s="165" t="s">
        <v>945</v>
      </c>
      <c r="BD92" s="166" t="str">
        <f>VLOOKUP(BC92,[13]AssetDetails_UEM!$A$3:$AH$1849,6,FALSE)</f>
        <v>Electrosurgical Units, Monopolar/Bipolar</v>
      </c>
      <c r="BE92" s="165" t="s">
        <v>945</v>
      </c>
      <c r="BF92" s="166" t="str">
        <f>VLOOKUP(BE92,[13]AssetDetails_UEM!$A$3:$AH$1849,6,FALSE)</f>
        <v>Electrosurgical Units, Monopolar/Bipolar</v>
      </c>
      <c r="BG92" s="165" t="s">
        <v>945</v>
      </c>
      <c r="BH92" s="166" t="str">
        <f>VLOOKUP(BG92,[13]AssetDetails_UEM!$A$3:$AH$1849,6,FALSE)</f>
        <v>Electrosurgical Units, Monopolar/Bipolar</v>
      </c>
      <c r="BI92" s="165" t="s">
        <v>945</v>
      </c>
      <c r="BJ92" s="166" t="str">
        <f>VLOOKUP(BI92,[13]AssetDetails_UEM!$A$3:$AH$1849,6,FALSE)</f>
        <v>Electrosurgical Units, Monopolar/Bipolar</v>
      </c>
      <c r="BK92" s="165" t="s">
        <v>945</v>
      </c>
      <c r="BL92" s="166" t="str">
        <f>VLOOKUP(BK92,[13]AssetDetails_UEM!$A$3:$AH$1849,6,FALSE)</f>
        <v>Electrosurgical Units, Monopolar/Bipolar</v>
      </c>
      <c r="BM92" s="165" t="s">
        <v>945</v>
      </c>
      <c r="BN92" s="166" t="str">
        <f>VLOOKUP(BM92,[13]AssetDetails_UEM!$A$3:$AH$1849,6,FALSE)</f>
        <v>Electrosurgical Units, Monopolar/Bipolar</v>
      </c>
      <c r="BO92" s="165" t="s">
        <v>945</v>
      </c>
      <c r="BP92" s="166" t="str">
        <f>VLOOKUP(BO92,[13]AssetDetails_UEM!$A$3:$AH$1849,6,FALSE)</f>
        <v>Electrosurgical Units, Monopolar/Bipolar</v>
      </c>
      <c r="BQ92" s="165" t="s">
        <v>945</v>
      </c>
      <c r="BR92" s="166" t="str">
        <f>VLOOKUP(BQ92,[13]AssetDetails_UEM!$A$3:$AH$1849,6,FALSE)</f>
        <v>Electrosurgical Units, Monopolar/Bipolar</v>
      </c>
      <c r="BS92" s="165" t="s">
        <v>945</v>
      </c>
      <c r="BT92" s="166" t="str">
        <f>VLOOKUP(BS92,[13]AssetDetails_UEM!$A$3:$AH$1849,6,FALSE)</f>
        <v>Electrosurgical Units, Monopolar/Bipolar</v>
      </c>
      <c r="BU92" s="165" t="s">
        <v>945</v>
      </c>
      <c r="BV92" s="166" t="str">
        <f>VLOOKUP(BU92,[13]AssetDetails_UEM!$A$3:$AH$1849,6,FALSE)</f>
        <v>Electrosurgical Units, Monopolar/Bipolar</v>
      </c>
      <c r="BW92" s="165" t="s">
        <v>945</v>
      </c>
      <c r="BX92" s="166" t="str">
        <f>VLOOKUP(BW92,[13]AssetDetails_UEM!$A$3:$AH$1849,6,FALSE)</f>
        <v>Electrosurgical Units, Monopolar/Bipolar</v>
      </c>
      <c r="BY92" s="165" t="s">
        <v>945</v>
      </c>
      <c r="BZ92" s="166" t="str">
        <f>VLOOKUP(BY92,[13]AssetDetails_UEM!$A$3:$AH$1849,6,FALSE)</f>
        <v>Electrosurgical Units, Monopolar/Bipolar</v>
      </c>
      <c r="CA92" s="165" t="s">
        <v>945</v>
      </c>
      <c r="CB92" s="166" t="str">
        <f>VLOOKUP(CA92,[13]AssetDetails_UEM!$A$3:$AH$1849,6,FALSE)</f>
        <v>Electrosurgical Units, Monopolar/Bipolar</v>
      </c>
      <c r="CC92" s="165" t="s">
        <v>945</v>
      </c>
      <c r="CD92" s="166" t="str">
        <f>VLOOKUP(CC92,[13]AssetDetails_UEM!$A$3:$AH$1849,6,FALSE)</f>
        <v>Electrosurgical Units, Monopolar/Bipolar</v>
      </c>
      <c r="CE92" s="165" t="s">
        <v>945</v>
      </c>
      <c r="CF92" s="166" t="str">
        <f>VLOOKUP(CE92,[13]AssetDetails_UEM!$A$3:$AH$1849,6,FALSE)</f>
        <v>Electrosurgical Units, Monopolar/Bipolar</v>
      </c>
      <c r="CG92" s="165" t="s">
        <v>945</v>
      </c>
      <c r="CH92" s="166" t="str">
        <f>VLOOKUP(CG92,[13]AssetDetails_UEM!$A$3:$AH$1849,6,FALSE)</f>
        <v>Electrosurgical Units, Monopolar/Bipolar</v>
      </c>
      <c r="CI92" s="165" t="s">
        <v>945</v>
      </c>
      <c r="CJ92" s="166" t="str">
        <f>VLOOKUP(CI92,[13]AssetDetails_UEM!$A$3:$AH$1849,6,FALSE)</f>
        <v>Electrosurgical Units, Monopolar/Bipolar</v>
      </c>
      <c r="CK92" s="165" t="s">
        <v>945</v>
      </c>
      <c r="CL92" s="166" t="str">
        <f>VLOOKUP(CK92,[13]AssetDetails_UEM!$A$3:$AH$1849,6,FALSE)</f>
        <v>Electrosurgical Units, Monopolar/Bipolar</v>
      </c>
      <c r="CM92" s="165" t="s">
        <v>945</v>
      </c>
      <c r="CN92" s="166" t="str">
        <f>VLOOKUP(CM92,[13]AssetDetails_UEM!$A$3:$AH$1849,6,FALSE)</f>
        <v>Electrosurgical Units, Monopolar/Bipolar</v>
      </c>
      <c r="CO92" s="165" t="s">
        <v>945</v>
      </c>
      <c r="CP92" s="166" t="str">
        <f>VLOOKUP(CO92,[13]AssetDetails_UEM!$A$3:$AH$1849,6,FALSE)</f>
        <v>Electrosurgical Units, Monopolar/Bipolar</v>
      </c>
      <c r="CQ92" s="165" t="s">
        <v>945</v>
      </c>
      <c r="CR92" s="166" t="str">
        <f>VLOOKUP(CQ92,[13]AssetDetails_UEM!$A$3:$AH$1849,6,FALSE)</f>
        <v>Electrosurgical Units, Monopolar/Bipolar</v>
      </c>
      <c r="CS92" s="165" t="s">
        <v>945</v>
      </c>
      <c r="CT92" s="166" t="str">
        <f>VLOOKUP(CS92,[13]AssetDetails_UEM!$A$3:$AH$1849,6,FALSE)</f>
        <v>Electrosurgical Units, Monopolar/Bipolar</v>
      </c>
      <c r="CU92" s="165" t="s">
        <v>945</v>
      </c>
      <c r="CV92" s="166" t="str">
        <f>VLOOKUP(CU92,[13]AssetDetails_UEM!$A$3:$AH$1849,6,FALSE)</f>
        <v>Electrosurgical Units, Monopolar/Bipolar</v>
      </c>
      <c r="CW92" s="165" t="s">
        <v>945</v>
      </c>
      <c r="CX92" s="166" t="str">
        <f>VLOOKUP(CW92,[13]AssetDetails_UEM!$A$3:$AH$1849,6,FALSE)</f>
        <v>Electrosurgical Units, Monopolar/Bipolar</v>
      </c>
      <c r="CY92" s="165" t="s">
        <v>945</v>
      </c>
      <c r="CZ92" s="166" t="str">
        <f>VLOOKUP(CY92,[13]AssetDetails_UEM!$A$3:$AH$1849,6,FALSE)</f>
        <v>Electrosurgical Units, Monopolar/Bipolar</v>
      </c>
      <c r="DA92" s="165" t="s">
        <v>945</v>
      </c>
      <c r="DB92" s="166" t="str">
        <f>VLOOKUP(DA92,[13]AssetDetails_UEM!$A$3:$AH$1849,6,FALSE)</f>
        <v>Electrosurgical Units, Monopolar/Bipolar</v>
      </c>
      <c r="DC92" s="165" t="s">
        <v>945</v>
      </c>
      <c r="DD92" s="166" t="str">
        <f>VLOOKUP(DC92,[13]AssetDetails_UEM!$A$3:$AH$1849,6,FALSE)</f>
        <v>Electrosurgical Units, Monopolar/Bipolar</v>
      </c>
      <c r="DE92" s="165" t="s">
        <v>945</v>
      </c>
      <c r="DF92" s="166" t="str">
        <f>VLOOKUP(DE92,[13]AssetDetails_UEM!$A$3:$AH$1849,6,FALSE)</f>
        <v>Electrosurgical Units, Monopolar/Bipolar</v>
      </c>
      <c r="DG92" s="165" t="s">
        <v>945</v>
      </c>
      <c r="DH92" s="166" t="str">
        <f>VLOOKUP(DG92,[13]AssetDetails_UEM!$A$3:$AH$1849,6,FALSE)</f>
        <v>Electrosurgical Units, Monopolar/Bipolar</v>
      </c>
      <c r="DI92" s="165" t="s">
        <v>945</v>
      </c>
      <c r="DJ92" s="166" t="str">
        <f>VLOOKUP(DI92,[13]AssetDetails_UEM!$A$3:$AH$1849,6,FALSE)</f>
        <v>Electrosurgical Units, Monopolar/Bipolar</v>
      </c>
      <c r="DK92" s="165" t="s">
        <v>945</v>
      </c>
      <c r="DL92" s="166" t="str">
        <f>VLOOKUP(DK92,[13]AssetDetails_UEM!$A$3:$AH$1849,6,FALSE)</f>
        <v>Electrosurgical Units, Monopolar/Bipolar</v>
      </c>
      <c r="DM92" s="165" t="s">
        <v>945</v>
      </c>
      <c r="DN92" s="166" t="str">
        <f>VLOOKUP(DM92,[13]AssetDetails_UEM!$A$3:$AH$1849,6,FALSE)</f>
        <v>Electrosurgical Units, Monopolar/Bipolar</v>
      </c>
      <c r="DO92" s="165" t="s">
        <v>945</v>
      </c>
      <c r="DP92" s="166" t="str">
        <f>VLOOKUP(DO92,[13]AssetDetails_UEM!$A$3:$AH$1849,6,FALSE)</f>
        <v>Electrosurgical Units, Monopolar/Bipolar</v>
      </c>
      <c r="DQ92" s="165" t="s">
        <v>945</v>
      </c>
      <c r="DR92" s="166" t="str">
        <f>VLOOKUP(DQ92,[13]AssetDetails_UEM!$A$3:$AH$1849,6,FALSE)</f>
        <v>Electrosurgical Units, Monopolar/Bipolar</v>
      </c>
      <c r="DS92" s="165" t="s">
        <v>945</v>
      </c>
      <c r="DT92" s="166" t="str">
        <f>VLOOKUP(DS92,[13]AssetDetails_UEM!$A$3:$AH$1849,6,FALSE)</f>
        <v>Electrosurgical Units, Monopolar/Bipolar</v>
      </c>
      <c r="DU92" s="165" t="s">
        <v>945</v>
      </c>
      <c r="DV92" s="166" t="str">
        <f>VLOOKUP(DU92,[13]AssetDetails_UEM!$A$3:$AH$1849,6,FALSE)</f>
        <v>Electrosurgical Units, Monopolar/Bipolar</v>
      </c>
      <c r="DW92" s="165" t="s">
        <v>945</v>
      </c>
      <c r="DX92" s="166" t="str">
        <f>VLOOKUP(DW92,[13]AssetDetails_UEM!$A$3:$AH$1849,6,FALSE)</f>
        <v>Electrosurgical Units, Monopolar/Bipolar</v>
      </c>
      <c r="DY92" s="165" t="s">
        <v>945</v>
      </c>
      <c r="DZ92" s="166" t="str">
        <f>VLOOKUP(DY92,[13]AssetDetails_UEM!$A$3:$AH$1849,6,FALSE)</f>
        <v>Electrosurgical Units, Monopolar/Bipolar</v>
      </c>
      <c r="EA92" s="165" t="s">
        <v>945</v>
      </c>
      <c r="EB92" s="166" t="str">
        <f>VLOOKUP(EA92,[13]AssetDetails_UEM!$A$3:$AH$1849,6,FALSE)</f>
        <v>Electrosurgical Units, Monopolar/Bipolar</v>
      </c>
      <c r="EC92" s="165" t="s">
        <v>945</v>
      </c>
      <c r="ED92" s="166" t="str">
        <f>VLOOKUP(EC92,[13]AssetDetails_UEM!$A$3:$AH$1849,6,FALSE)</f>
        <v>Electrosurgical Units, Monopolar/Bipolar</v>
      </c>
      <c r="EE92" s="165" t="s">
        <v>945</v>
      </c>
      <c r="EF92" s="166" t="str">
        <f>VLOOKUP(EE92,[13]AssetDetails_UEM!$A$3:$AH$1849,6,FALSE)</f>
        <v>Electrosurgical Units, Monopolar/Bipolar</v>
      </c>
      <c r="EG92" s="165" t="s">
        <v>945</v>
      </c>
      <c r="EH92" s="166" t="str">
        <f>VLOOKUP(EG92,[13]AssetDetails_UEM!$A$3:$AH$1849,6,FALSE)</f>
        <v>Electrosurgical Units, Monopolar/Bipolar</v>
      </c>
      <c r="EI92" s="165" t="s">
        <v>945</v>
      </c>
      <c r="EJ92" s="166" t="str">
        <f>VLOOKUP(EI92,[13]AssetDetails_UEM!$A$3:$AH$1849,6,FALSE)</f>
        <v>Electrosurgical Units, Monopolar/Bipolar</v>
      </c>
      <c r="EK92" s="165" t="s">
        <v>945</v>
      </c>
      <c r="EL92" s="166" t="str">
        <f>VLOOKUP(EK92,[13]AssetDetails_UEM!$A$3:$AH$1849,6,FALSE)</f>
        <v>Electrosurgical Units, Monopolar/Bipolar</v>
      </c>
      <c r="EM92" s="165" t="s">
        <v>945</v>
      </c>
      <c r="EN92" s="166" t="str">
        <f>VLOOKUP(EM92,[13]AssetDetails_UEM!$A$3:$AH$1849,6,FALSE)</f>
        <v>Electrosurgical Units, Monopolar/Bipolar</v>
      </c>
      <c r="EO92" s="165" t="s">
        <v>945</v>
      </c>
      <c r="EP92" s="166" t="str">
        <f>VLOOKUP(EO92,[13]AssetDetails_UEM!$A$3:$AH$1849,6,FALSE)</f>
        <v>Electrosurgical Units, Monopolar/Bipolar</v>
      </c>
      <c r="EQ92" s="165" t="s">
        <v>945</v>
      </c>
      <c r="ER92" s="166" t="str">
        <f>VLOOKUP(EQ92,[13]AssetDetails_UEM!$A$3:$AH$1849,6,FALSE)</f>
        <v>Electrosurgical Units, Monopolar/Bipolar</v>
      </c>
      <c r="ES92" s="165" t="s">
        <v>945</v>
      </c>
      <c r="ET92" s="166" t="str">
        <f>VLOOKUP(ES92,[13]AssetDetails_UEM!$A$3:$AH$1849,6,FALSE)</f>
        <v>Electrosurgical Units, Monopolar/Bipolar</v>
      </c>
      <c r="EU92" s="165" t="s">
        <v>945</v>
      </c>
      <c r="EV92" s="166" t="str">
        <f>VLOOKUP(EU92,[13]AssetDetails_UEM!$A$3:$AH$1849,6,FALSE)</f>
        <v>Electrosurgical Units, Monopolar/Bipolar</v>
      </c>
      <c r="EW92" s="165" t="s">
        <v>945</v>
      </c>
      <c r="EX92" s="166" t="str">
        <f>VLOOKUP(EW92,[13]AssetDetails_UEM!$A$3:$AH$1849,6,FALSE)</f>
        <v>Electrosurgical Units, Monopolar/Bipolar</v>
      </c>
      <c r="EY92" s="165" t="s">
        <v>945</v>
      </c>
      <c r="EZ92" s="166" t="str">
        <f>VLOOKUP(EY92,[13]AssetDetails_UEM!$A$3:$AH$1849,6,FALSE)</f>
        <v>Electrosurgical Units, Monopolar/Bipolar</v>
      </c>
      <c r="FA92" s="165" t="s">
        <v>945</v>
      </c>
      <c r="FB92" s="166" t="str">
        <f>VLOOKUP(FA92,[13]AssetDetails_UEM!$A$3:$AH$1849,6,FALSE)</f>
        <v>Electrosurgical Units, Monopolar/Bipolar</v>
      </c>
      <c r="FC92" s="165" t="s">
        <v>945</v>
      </c>
      <c r="FD92" s="166" t="str">
        <f>VLOOKUP(FC92,[13]AssetDetails_UEM!$A$3:$AH$1849,6,FALSE)</f>
        <v>Electrosurgical Units, Monopolar/Bipolar</v>
      </c>
      <c r="FE92" s="165" t="s">
        <v>945</v>
      </c>
      <c r="FF92" s="166" t="str">
        <f>VLOOKUP(FE92,[13]AssetDetails_UEM!$A$3:$AH$1849,6,FALSE)</f>
        <v>Electrosurgical Units, Monopolar/Bipolar</v>
      </c>
      <c r="FG92" s="165" t="s">
        <v>945</v>
      </c>
      <c r="FH92" s="166" t="str">
        <f>VLOOKUP(FG92,[13]AssetDetails_UEM!$A$3:$AH$1849,6,FALSE)</f>
        <v>Electrosurgical Units, Monopolar/Bipolar</v>
      </c>
      <c r="FI92" s="165" t="s">
        <v>945</v>
      </c>
      <c r="FJ92" s="166" t="str">
        <f>VLOOKUP(FI92,[13]AssetDetails_UEM!$A$3:$AH$1849,6,FALSE)</f>
        <v>Electrosurgical Units, Monopolar/Bipolar</v>
      </c>
      <c r="FK92" s="165" t="s">
        <v>945</v>
      </c>
      <c r="FL92" s="166" t="str">
        <f>VLOOKUP(FK92,[13]AssetDetails_UEM!$A$3:$AH$1849,6,FALSE)</f>
        <v>Electrosurgical Units, Monopolar/Bipolar</v>
      </c>
      <c r="FM92" s="165" t="s">
        <v>945</v>
      </c>
      <c r="FN92" s="166" t="str">
        <f>VLOOKUP(FM92,[13]AssetDetails_UEM!$A$3:$AH$1849,6,FALSE)</f>
        <v>Electrosurgical Units, Monopolar/Bipolar</v>
      </c>
      <c r="FO92" s="165" t="s">
        <v>945</v>
      </c>
      <c r="FP92" s="166" t="str">
        <f>VLOOKUP(FO92,[13]AssetDetails_UEM!$A$3:$AH$1849,6,FALSE)</f>
        <v>Electrosurgical Units, Monopolar/Bipolar</v>
      </c>
      <c r="FQ92" s="165" t="s">
        <v>945</v>
      </c>
      <c r="FR92" s="166" t="str">
        <f>VLOOKUP(FQ92,[13]AssetDetails_UEM!$A$3:$AH$1849,6,FALSE)</f>
        <v>Electrosurgical Units, Monopolar/Bipolar</v>
      </c>
      <c r="FS92" s="165" t="s">
        <v>945</v>
      </c>
      <c r="FT92" s="166" t="str">
        <f>VLOOKUP(FS92,[13]AssetDetails_UEM!$A$3:$AH$1849,6,FALSE)</f>
        <v>Electrosurgical Units, Monopolar/Bipolar</v>
      </c>
      <c r="FU92" s="165" t="s">
        <v>945</v>
      </c>
      <c r="FV92" s="166" t="str">
        <f>VLOOKUP(FU92,[13]AssetDetails_UEM!$A$3:$AH$1849,6,FALSE)</f>
        <v>Electrosurgical Units, Monopolar/Bipolar</v>
      </c>
      <c r="FW92" s="165" t="s">
        <v>945</v>
      </c>
      <c r="FX92" s="166" t="str">
        <f>VLOOKUP(FW92,[13]AssetDetails_UEM!$A$3:$AH$1849,6,FALSE)</f>
        <v>Electrosurgical Units, Monopolar/Bipolar</v>
      </c>
      <c r="FY92" s="165" t="s">
        <v>945</v>
      </c>
      <c r="FZ92" s="166" t="str">
        <f>VLOOKUP(FY92,[13]AssetDetails_UEM!$A$3:$AH$1849,6,FALSE)</f>
        <v>Electrosurgical Units, Monopolar/Bipolar</v>
      </c>
      <c r="GA92" s="165" t="s">
        <v>945</v>
      </c>
      <c r="GB92" s="166" t="str">
        <f>VLOOKUP(GA92,[13]AssetDetails_UEM!$A$3:$AH$1849,6,FALSE)</f>
        <v>Electrosurgical Units, Monopolar/Bipolar</v>
      </c>
      <c r="GC92" s="165" t="s">
        <v>945</v>
      </c>
      <c r="GD92" s="166" t="str">
        <f>VLOOKUP(GC92,[13]AssetDetails_UEM!$A$3:$AH$1849,6,FALSE)</f>
        <v>Electrosurgical Units, Monopolar/Bipolar</v>
      </c>
      <c r="GE92" s="165" t="s">
        <v>945</v>
      </c>
      <c r="GF92" s="166" t="str">
        <f>VLOOKUP(GE92,[13]AssetDetails_UEM!$A$3:$AH$1849,6,FALSE)</f>
        <v>Electrosurgical Units, Monopolar/Bipolar</v>
      </c>
      <c r="GG92" s="165" t="s">
        <v>945</v>
      </c>
      <c r="GH92" s="166" t="str">
        <f>VLOOKUP(GG92,[13]AssetDetails_UEM!$A$3:$AH$1849,6,FALSE)</f>
        <v>Electrosurgical Units, Monopolar/Bipolar</v>
      </c>
      <c r="GI92" s="165" t="s">
        <v>945</v>
      </c>
      <c r="GJ92" s="166" t="str">
        <f>VLOOKUP(GI92,[13]AssetDetails_UEM!$A$3:$AH$1849,6,FALSE)</f>
        <v>Electrosurgical Units, Monopolar/Bipolar</v>
      </c>
      <c r="GK92" s="165" t="s">
        <v>945</v>
      </c>
      <c r="GL92" s="166" t="str">
        <f>VLOOKUP(GK92,[13]AssetDetails_UEM!$A$3:$AH$1849,6,FALSE)</f>
        <v>Electrosurgical Units, Monopolar/Bipolar</v>
      </c>
      <c r="GM92" s="165" t="s">
        <v>945</v>
      </c>
      <c r="GN92" s="166" t="str">
        <f>VLOOKUP(GM92,[13]AssetDetails_UEM!$A$3:$AH$1849,6,FALSE)</f>
        <v>Electrosurgical Units, Monopolar/Bipolar</v>
      </c>
      <c r="GO92" s="165" t="s">
        <v>945</v>
      </c>
      <c r="GP92" s="166" t="str">
        <f>VLOOKUP(GO92,[13]AssetDetails_UEM!$A$3:$AH$1849,6,FALSE)</f>
        <v>Electrosurgical Units, Monopolar/Bipolar</v>
      </c>
      <c r="GQ92" s="165" t="s">
        <v>945</v>
      </c>
      <c r="GR92" s="166" t="str">
        <f>VLOOKUP(GQ92,[13]AssetDetails_UEM!$A$3:$AH$1849,6,FALSE)</f>
        <v>Electrosurgical Units, Monopolar/Bipolar</v>
      </c>
      <c r="GS92" s="165" t="s">
        <v>945</v>
      </c>
      <c r="GT92" s="166" t="str">
        <f>VLOOKUP(GS92,[13]AssetDetails_UEM!$A$3:$AH$1849,6,FALSE)</f>
        <v>Electrosurgical Units, Monopolar/Bipolar</v>
      </c>
      <c r="GU92" s="165" t="s">
        <v>945</v>
      </c>
      <c r="GV92" s="166" t="str">
        <f>VLOOKUP(GU92,[13]AssetDetails_UEM!$A$3:$AH$1849,6,FALSE)</f>
        <v>Electrosurgical Units, Monopolar/Bipolar</v>
      </c>
      <c r="GW92" s="165" t="s">
        <v>945</v>
      </c>
      <c r="GX92" s="166" t="str">
        <f>VLOOKUP(GW92,[13]AssetDetails_UEM!$A$3:$AH$1849,6,FALSE)</f>
        <v>Electrosurgical Units, Monopolar/Bipolar</v>
      </c>
      <c r="GY92" s="165" t="s">
        <v>945</v>
      </c>
      <c r="GZ92" s="166" t="str">
        <f>VLOOKUP(GY92,[13]AssetDetails_UEM!$A$3:$AH$1849,6,FALSE)</f>
        <v>Electrosurgical Units, Monopolar/Bipolar</v>
      </c>
      <c r="HA92" s="165" t="s">
        <v>945</v>
      </c>
      <c r="HB92" s="166" t="str">
        <f>VLOOKUP(HA92,[13]AssetDetails_UEM!$A$3:$AH$1849,6,FALSE)</f>
        <v>Electrosurgical Units, Monopolar/Bipolar</v>
      </c>
      <c r="HC92" s="165" t="s">
        <v>945</v>
      </c>
      <c r="HD92" s="166" t="str">
        <f>VLOOKUP(HC92,[13]AssetDetails_UEM!$A$3:$AH$1849,6,FALSE)</f>
        <v>Electrosurgical Units, Monopolar/Bipolar</v>
      </c>
      <c r="HE92" s="165" t="s">
        <v>945</v>
      </c>
      <c r="HF92" s="166" t="str">
        <f>VLOOKUP(HE92,[13]AssetDetails_UEM!$A$3:$AH$1849,6,FALSE)</f>
        <v>Electrosurgical Units, Monopolar/Bipolar</v>
      </c>
      <c r="HG92" s="165" t="s">
        <v>945</v>
      </c>
      <c r="HH92" s="166" t="str">
        <f>VLOOKUP(HG92,[13]AssetDetails_UEM!$A$3:$AH$1849,6,FALSE)</f>
        <v>Electrosurgical Units, Monopolar/Bipolar</v>
      </c>
      <c r="HI92" s="165" t="s">
        <v>945</v>
      </c>
      <c r="HJ92" s="166" t="str">
        <f>VLOOKUP(HI92,[13]AssetDetails_UEM!$A$3:$AH$1849,6,FALSE)</f>
        <v>Electrosurgical Units, Monopolar/Bipolar</v>
      </c>
      <c r="HK92" s="165" t="s">
        <v>945</v>
      </c>
      <c r="HL92" s="166" t="str">
        <f>VLOOKUP(HK92,[13]AssetDetails_UEM!$A$3:$AH$1849,6,FALSE)</f>
        <v>Electrosurgical Units, Monopolar/Bipolar</v>
      </c>
      <c r="HM92" s="165" t="s">
        <v>945</v>
      </c>
      <c r="HN92" s="166" t="str">
        <f>VLOOKUP(HM92,[13]AssetDetails_UEM!$A$3:$AH$1849,6,FALSE)</f>
        <v>Electrosurgical Units, Monopolar/Bipolar</v>
      </c>
      <c r="HO92" s="165" t="s">
        <v>945</v>
      </c>
      <c r="HP92" s="166" t="str">
        <f>VLOOKUP(HO92,[13]AssetDetails_UEM!$A$3:$AH$1849,6,FALSE)</f>
        <v>Electrosurgical Units, Monopolar/Bipolar</v>
      </c>
      <c r="HQ92" s="165" t="s">
        <v>945</v>
      </c>
      <c r="HR92" s="166" t="str">
        <f>VLOOKUP(HQ92,[13]AssetDetails_UEM!$A$3:$AH$1849,6,FALSE)</f>
        <v>Electrosurgical Units, Monopolar/Bipolar</v>
      </c>
      <c r="HS92" s="165" t="s">
        <v>945</v>
      </c>
      <c r="HT92" s="166" t="str">
        <f>VLOOKUP(HS92,[13]AssetDetails_UEM!$A$3:$AH$1849,6,FALSE)</f>
        <v>Electrosurgical Units, Monopolar/Bipolar</v>
      </c>
      <c r="HU92" s="165" t="s">
        <v>945</v>
      </c>
      <c r="HV92" s="166" t="str">
        <f>VLOOKUP(HU92,[13]AssetDetails_UEM!$A$3:$AH$1849,6,FALSE)</f>
        <v>Electrosurgical Units, Monopolar/Bipolar</v>
      </c>
      <c r="HW92" s="165" t="s">
        <v>945</v>
      </c>
      <c r="HX92" s="166" t="str">
        <f>VLOOKUP(HW92,[13]AssetDetails_UEM!$A$3:$AH$1849,6,FALSE)</f>
        <v>Electrosurgical Units, Monopolar/Bipolar</v>
      </c>
      <c r="HY92" s="165" t="s">
        <v>945</v>
      </c>
      <c r="HZ92" s="166" t="str">
        <f>VLOOKUP(HY92,[13]AssetDetails_UEM!$A$3:$AH$1849,6,FALSE)</f>
        <v>Electrosurgical Units, Monopolar/Bipolar</v>
      </c>
      <c r="IA92" s="165" t="s">
        <v>945</v>
      </c>
      <c r="IB92" s="166" t="str">
        <f>VLOOKUP(IA92,[13]AssetDetails_UEM!$A$3:$AH$1849,6,FALSE)</f>
        <v>Electrosurgical Units, Monopolar/Bipolar</v>
      </c>
      <c r="IC92" s="165" t="s">
        <v>945</v>
      </c>
      <c r="ID92" s="166" t="str">
        <f>VLOOKUP(IC92,[13]AssetDetails_UEM!$A$3:$AH$1849,6,FALSE)</f>
        <v>Electrosurgical Units, Monopolar/Bipolar</v>
      </c>
      <c r="IE92" s="165" t="s">
        <v>945</v>
      </c>
      <c r="IF92" s="166" t="str">
        <f>VLOOKUP(IE92,[13]AssetDetails_UEM!$A$3:$AH$1849,6,FALSE)</f>
        <v>Electrosurgical Units, Monopolar/Bipolar</v>
      </c>
      <c r="IG92" s="165" t="s">
        <v>945</v>
      </c>
      <c r="IH92" s="166" t="str">
        <f>VLOOKUP(IG92,[13]AssetDetails_UEM!$A$3:$AH$1849,6,FALSE)</f>
        <v>Electrosurgical Units, Monopolar/Bipolar</v>
      </c>
      <c r="II92" s="165" t="s">
        <v>945</v>
      </c>
      <c r="IJ92" s="166" t="str">
        <f>VLOOKUP(II92,[13]AssetDetails_UEM!$A$3:$AH$1849,6,FALSE)</f>
        <v>Electrosurgical Units, Monopolar/Bipolar</v>
      </c>
      <c r="IK92" s="165" t="s">
        <v>945</v>
      </c>
      <c r="IL92" s="166" t="str">
        <f>VLOOKUP(IK92,[13]AssetDetails_UEM!$A$3:$AH$1849,6,FALSE)</f>
        <v>Electrosurgical Units, Monopolar/Bipolar</v>
      </c>
      <c r="IM92" s="165" t="s">
        <v>945</v>
      </c>
      <c r="IN92" s="166" t="str">
        <f>VLOOKUP(IM92,[13]AssetDetails_UEM!$A$3:$AH$1849,6,FALSE)</f>
        <v>Electrosurgical Units, Monopolar/Bipolar</v>
      </c>
      <c r="IO92" s="165" t="s">
        <v>945</v>
      </c>
      <c r="IP92" s="166" t="str">
        <f>VLOOKUP(IO92,[13]AssetDetails_UEM!$A$3:$AH$1849,6,FALSE)</f>
        <v>Electrosurgical Units, Monopolar/Bipolar</v>
      </c>
      <c r="IQ92" s="165" t="s">
        <v>945</v>
      </c>
      <c r="IR92" s="166" t="str">
        <f>VLOOKUP(IQ92,[13]AssetDetails_UEM!$A$3:$AH$1849,6,FALSE)</f>
        <v>Electrosurgical Units, Monopolar/Bipolar</v>
      </c>
      <c r="IS92" s="165" t="s">
        <v>945</v>
      </c>
      <c r="IT92" s="166" t="str">
        <f>VLOOKUP(IS92,[13]AssetDetails_UEM!$A$3:$AH$1849,6,FALSE)</f>
        <v>Electrosurgical Units, Monopolar/Bipolar</v>
      </c>
      <c r="IU92" s="165" t="s">
        <v>945</v>
      </c>
      <c r="IV92" s="166" t="str">
        <f>VLOOKUP(IU92,[13]AssetDetails_UEM!$A$3:$AH$1849,6,FALSE)</f>
        <v>Electrosurgical Units, Monopolar/Bipolar</v>
      </c>
      <c r="IW92" s="165" t="s">
        <v>945</v>
      </c>
      <c r="IX92" s="166" t="str">
        <f>VLOOKUP(IW92,[13]AssetDetails_UEM!$A$3:$AH$1849,6,FALSE)</f>
        <v>Electrosurgical Units, Monopolar/Bipolar</v>
      </c>
      <c r="IY92" s="165" t="s">
        <v>945</v>
      </c>
      <c r="IZ92" s="166" t="str">
        <f>VLOOKUP(IY92,[13]AssetDetails_UEM!$A$3:$AH$1849,6,FALSE)</f>
        <v>Electrosurgical Units, Monopolar/Bipolar</v>
      </c>
      <c r="JA92" s="165" t="s">
        <v>945</v>
      </c>
      <c r="JB92" s="166" t="str">
        <f>VLOOKUP(JA92,[13]AssetDetails_UEM!$A$3:$AH$1849,6,FALSE)</f>
        <v>Electrosurgical Units, Monopolar/Bipolar</v>
      </c>
      <c r="JC92" s="165" t="s">
        <v>945</v>
      </c>
      <c r="JD92" s="166" t="str">
        <f>VLOOKUP(JC92,[13]AssetDetails_UEM!$A$3:$AH$1849,6,FALSE)</f>
        <v>Electrosurgical Units, Monopolar/Bipolar</v>
      </c>
      <c r="JE92" s="165" t="s">
        <v>945</v>
      </c>
      <c r="JF92" s="166" t="str">
        <f>VLOOKUP(JE92,[13]AssetDetails_UEM!$A$3:$AH$1849,6,FALSE)</f>
        <v>Electrosurgical Units, Monopolar/Bipolar</v>
      </c>
      <c r="JG92" s="165" t="s">
        <v>945</v>
      </c>
      <c r="JH92" s="166" t="str">
        <f>VLOOKUP(JG92,[13]AssetDetails_UEM!$A$3:$AH$1849,6,FALSE)</f>
        <v>Electrosurgical Units, Monopolar/Bipolar</v>
      </c>
      <c r="JI92" s="165" t="s">
        <v>945</v>
      </c>
      <c r="JJ92" s="166" t="str">
        <f>VLOOKUP(JI92,[13]AssetDetails_UEM!$A$3:$AH$1849,6,FALSE)</f>
        <v>Electrosurgical Units, Monopolar/Bipolar</v>
      </c>
      <c r="JK92" s="165" t="s">
        <v>945</v>
      </c>
      <c r="JL92" s="166" t="str">
        <f>VLOOKUP(JK92,[13]AssetDetails_UEM!$A$3:$AH$1849,6,FALSE)</f>
        <v>Electrosurgical Units, Monopolar/Bipolar</v>
      </c>
      <c r="JM92" s="165" t="s">
        <v>945</v>
      </c>
      <c r="JN92" s="166" t="str">
        <f>VLOOKUP(JM92,[13]AssetDetails_UEM!$A$3:$AH$1849,6,FALSE)</f>
        <v>Electrosurgical Units, Monopolar/Bipolar</v>
      </c>
      <c r="JO92" s="165" t="s">
        <v>945</v>
      </c>
      <c r="JP92" s="166" t="str">
        <f>VLOOKUP(JO92,[13]AssetDetails_UEM!$A$3:$AH$1849,6,FALSE)</f>
        <v>Electrosurgical Units, Monopolar/Bipolar</v>
      </c>
      <c r="JQ92" s="165" t="s">
        <v>945</v>
      </c>
      <c r="JR92" s="166" t="str">
        <f>VLOOKUP(JQ92,[13]AssetDetails_UEM!$A$3:$AH$1849,6,FALSE)</f>
        <v>Electrosurgical Units, Monopolar/Bipolar</v>
      </c>
      <c r="JS92" s="165" t="s">
        <v>945</v>
      </c>
      <c r="JT92" s="166" t="str">
        <f>VLOOKUP(JS92,[13]AssetDetails_UEM!$A$3:$AH$1849,6,FALSE)</f>
        <v>Electrosurgical Units, Monopolar/Bipolar</v>
      </c>
      <c r="JU92" s="165" t="s">
        <v>945</v>
      </c>
      <c r="JV92" s="166" t="str">
        <f>VLOOKUP(JU92,[13]AssetDetails_UEM!$A$3:$AH$1849,6,FALSE)</f>
        <v>Electrosurgical Units, Monopolar/Bipolar</v>
      </c>
      <c r="JW92" s="165" t="s">
        <v>945</v>
      </c>
      <c r="JX92" s="166" t="str">
        <f>VLOOKUP(JW92,[13]AssetDetails_UEM!$A$3:$AH$1849,6,FALSE)</f>
        <v>Electrosurgical Units, Monopolar/Bipolar</v>
      </c>
      <c r="JY92" s="165" t="s">
        <v>945</v>
      </c>
      <c r="JZ92" s="166" t="str">
        <f>VLOOKUP(JY92,[13]AssetDetails_UEM!$A$3:$AH$1849,6,FALSE)</f>
        <v>Electrosurgical Units, Monopolar/Bipolar</v>
      </c>
      <c r="KA92" s="165" t="s">
        <v>945</v>
      </c>
      <c r="KB92" s="166" t="str">
        <f>VLOOKUP(KA92,[13]AssetDetails_UEM!$A$3:$AH$1849,6,FALSE)</f>
        <v>Electrosurgical Units, Monopolar/Bipolar</v>
      </c>
      <c r="KC92" s="165" t="s">
        <v>945</v>
      </c>
      <c r="KD92" s="166" t="str">
        <f>VLOOKUP(KC92,[13]AssetDetails_UEM!$A$3:$AH$1849,6,FALSE)</f>
        <v>Electrosurgical Units, Monopolar/Bipolar</v>
      </c>
      <c r="KE92" s="165" t="s">
        <v>945</v>
      </c>
      <c r="KF92" s="166" t="str">
        <f>VLOOKUP(KE92,[13]AssetDetails_UEM!$A$3:$AH$1849,6,FALSE)</f>
        <v>Electrosurgical Units, Monopolar/Bipolar</v>
      </c>
      <c r="KG92" s="165" t="s">
        <v>945</v>
      </c>
      <c r="KH92" s="166" t="str">
        <f>VLOOKUP(KG92,[13]AssetDetails_UEM!$A$3:$AH$1849,6,FALSE)</f>
        <v>Electrosurgical Units, Monopolar/Bipolar</v>
      </c>
      <c r="KI92" s="165" t="s">
        <v>945</v>
      </c>
      <c r="KJ92" s="166" t="str">
        <f>VLOOKUP(KI92,[13]AssetDetails_UEM!$A$3:$AH$1849,6,FALSE)</f>
        <v>Electrosurgical Units, Monopolar/Bipolar</v>
      </c>
      <c r="KK92" s="165" t="s">
        <v>945</v>
      </c>
      <c r="KL92" s="166" t="str">
        <f>VLOOKUP(KK92,[13]AssetDetails_UEM!$A$3:$AH$1849,6,FALSE)</f>
        <v>Electrosurgical Units, Monopolar/Bipolar</v>
      </c>
      <c r="KM92" s="165" t="s">
        <v>945</v>
      </c>
      <c r="KN92" s="166" t="str">
        <f>VLOOKUP(KM92,[13]AssetDetails_UEM!$A$3:$AH$1849,6,FALSE)</f>
        <v>Electrosurgical Units, Monopolar/Bipolar</v>
      </c>
      <c r="KO92" s="165" t="s">
        <v>945</v>
      </c>
      <c r="KP92" s="166" t="str">
        <f>VLOOKUP(KO92,[13]AssetDetails_UEM!$A$3:$AH$1849,6,FALSE)</f>
        <v>Electrosurgical Units, Monopolar/Bipolar</v>
      </c>
      <c r="KQ92" s="165" t="s">
        <v>945</v>
      </c>
      <c r="KR92" s="166" t="str">
        <f>VLOOKUP(KQ92,[13]AssetDetails_UEM!$A$3:$AH$1849,6,FALSE)</f>
        <v>Electrosurgical Units, Monopolar/Bipolar</v>
      </c>
      <c r="KS92" s="165" t="s">
        <v>945</v>
      </c>
      <c r="KT92" s="166" t="str">
        <f>VLOOKUP(KS92,[13]AssetDetails_UEM!$A$3:$AH$1849,6,FALSE)</f>
        <v>Electrosurgical Units, Monopolar/Bipolar</v>
      </c>
      <c r="KU92" s="165" t="s">
        <v>945</v>
      </c>
      <c r="KV92" s="166" t="str">
        <f>VLOOKUP(KU92,[13]AssetDetails_UEM!$A$3:$AH$1849,6,FALSE)</f>
        <v>Electrosurgical Units, Monopolar/Bipolar</v>
      </c>
      <c r="KW92" s="165" t="s">
        <v>945</v>
      </c>
      <c r="KX92" s="166" t="str">
        <f>VLOOKUP(KW92,[13]AssetDetails_UEM!$A$3:$AH$1849,6,FALSE)</f>
        <v>Electrosurgical Units, Monopolar/Bipolar</v>
      </c>
      <c r="KY92" s="165" t="s">
        <v>945</v>
      </c>
      <c r="KZ92" s="166" t="str">
        <f>VLOOKUP(KY92,[13]AssetDetails_UEM!$A$3:$AH$1849,6,FALSE)</f>
        <v>Electrosurgical Units, Monopolar/Bipolar</v>
      </c>
      <c r="LA92" s="165" t="s">
        <v>945</v>
      </c>
      <c r="LB92" s="166" t="str">
        <f>VLOOKUP(LA92,[13]AssetDetails_UEM!$A$3:$AH$1849,6,FALSE)</f>
        <v>Electrosurgical Units, Monopolar/Bipolar</v>
      </c>
      <c r="LC92" s="165" t="s">
        <v>945</v>
      </c>
      <c r="LD92" s="166" t="str">
        <f>VLOOKUP(LC92,[13]AssetDetails_UEM!$A$3:$AH$1849,6,FALSE)</f>
        <v>Electrosurgical Units, Monopolar/Bipolar</v>
      </c>
      <c r="LE92" s="165" t="s">
        <v>945</v>
      </c>
      <c r="LF92" s="166" t="str">
        <f>VLOOKUP(LE92,[13]AssetDetails_UEM!$A$3:$AH$1849,6,FALSE)</f>
        <v>Electrosurgical Units, Monopolar/Bipolar</v>
      </c>
      <c r="LG92" s="165" t="s">
        <v>945</v>
      </c>
      <c r="LH92" s="166" t="str">
        <f>VLOOKUP(LG92,[13]AssetDetails_UEM!$A$3:$AH$1849,6,FALSE)</f>
        <v>Electrosurgical Units, Monopolar/Bipolar</v>
      </c>
      <c r="LI92" s="165" t="s">
        <v>945</v>
      </c>
      <c r="LJ92" s="166" t="str">
        <f>VLOOKUP(LI92,[13]AssetDetails_UEM!$A$3:$AH$1849,6,FALSE)</f>
        <v>Electrosurgical Units, Monopolar/Bipolar</v>
      </c>
      <c r="LK92" s="165" t="s">
        <v>945</v>
      </c>
      <c r="LL92" s="166" t="str">
        <f>VLOOKUP(LK92,[13]AssetDetails_UEM!$A$3:$AH$1849,6,FALSE)</f>
        <v>Electrosurgical Units, Monopolar/Bipolar</v>
      </c>
      <c r="LM92" s="165" t="s">
        <v>945</v>
      </c>
      <c r="LN92" s="166" t="str">
        <f>VLOOKUP(LM92,[13]AssetDetails_UEM!$A$3:$AH$1849,6,FALSE)</f>
        <v>Electrosurgical Units, Monopolar/Bipolar</v>
      </c>
      <c r="LO92" s="165" t="s">
        <v>945</v>
      </c>
      <c r="LP92" s="166" t="str">
        <f>VLOOKUP(LO92,[13]AssetDetails_UEM!$A$3:$AH$1849,6,FALSE)</f>
        <v>Electrosurgical Units, Monopolar/Bipolar</v>
      </c>
      <c r="LQ92" s="165" t="s">
        <v>945</v>
      </c>
      <c r="LR92" s="166" t="str">
        <f>VLOOKUP(LQ92,[13]AssetDetails_UEM!$A$3:$AH$1849,6,FALSE)</f>
        <v>Electrosurgical Units, Monopolar/Bipolar</v>
      </c>
      <c r="LS92" s="165" t="s">
        <v>945</v>
      </c>
      <c r="LT92" s="166" t="str">
        <f>VLOOKUP(LS92,[13]AssetDetails_UEM!$A$3:$AH$1849,6,FALSE)</f>
        <v>Electrosurgical Units, Monopolar/Bipolar</v>
      </c>
      <c r="LU92" s="165" t="s">
        <v>945</v>
      </c>
      <c r="LV92" s="166" t="str">
        <f>VLOOKUP(LU92,[13]AssetDetails_UEM!$A$3:$AH$1849,6,FALSE)</f>
        <v>Electrosurgical Units, Monopolar/Bipolar</v>
      </c>
      <c r="LW92" s="165" t="s">
        <v>945</v>
      </c>
      <c r="LX92" s="166" t="str">
        <f>VLOOKUP(LW92,[13]AssetDetails_UEM!$A$3:$AH$1849,6,FALSE)</f>
        <v>Electrosurgical Units, Monopolar/Bipolar</v>
      </c>
      <c r="LY92" s="165" t="s">
        <v>945</v>
      </c>
      <c r="LZ92" s="166" t="str">
        <f>VLOOKUP(LY92,[13]AssetDetails_UEM!$A$3:$AH$1849,6,FALSE)</f>
        <v>Electrosurgical Units, Monopolar/Bipolar</v>
      </c>
      <c r="MA92" s="165" t="s">
        <v>945</v>
      </c>
      <c r="MB92" s="166" t="str">
        <f>VLOOKUP(MA92,[13]AssetDetails_UEM!$A$3:$AH$1849,6,FALSE)</f>
        <v>Electrosurgical Units, Monopolar/Bipolar</v>
      </c>
      <c r="MC92" s="165" t="s">
        <v>945</v>
      </c>
      <c r="MD92" s="166" t="str">
        <f>VLOOKUP(MC92,[13]AssetDetails_UEM!$A$3:$AH$1849,6,FALSE)</f>
        <v>Electrosurgical Units, Monopolar/Bipolar</v>
      </c>
      <c r="ME92" s="165" t="s">
        <v>945</v>
      </c>
      <c r="MF92" s="166" t="str">
        <f>VLOOKUP(ME92,[13]AssetDetails_UEM!$A$3:$AH$1849,6,FALSE)</f>
        <v>Electrosurgical Units, Monopolar/Bipolar</v>
      </c>
      <c r="MG92" s="165" t="s">
        <v>945</v>
      </c>
      <c r="MH92" s="166" t="str">
        <f>VLOOKUP(MG92,[13]AssetDetails_UEM!$A$3:$AH$1849,6,FALSE)</f>
        <v>Electrosurgical Units, Monopolar/Bipolar</v>
      </c>
      <c r="MI92" s="165" t="s">
        <v>945</v>
      </c>
      <c r="MJ92" s="166" t="str">
        <f>VLOOKUP(MI92,[13]AssetDetails_UEM!$A$3:$AH$1849,6,FALSE)</f>
        <v>Electrosurgical Units, Monopolar/Bipolar</v>
      </c>
      <c r="MK92" s="165" t="s">
        <v>945</v>
      </c>
      <c r="ML92" s="166" t="str">
        <f>VLOOKUP(MK92,[13]AssetDetails_UEM!$A$3:$AH$1849,6,FALSE)</f>
        <v>Electrosurgical Units, Monopolar/Bipolar</v>
      </c>
      <c r="MM92" s="165" t="s">
        <v>945</v>
      </c>
      <c r="MN92" s="166" t="str">
        <f>VLOOKUP(MM92,[13]AssetDetails_UEM!$A$3:$AH$1849,6,FALSE)</f>
        <v>Electrosurgical Units, Monopolar/Bipolar</v>
      </c>
      <c r="MO92" s="165" t="s">
        <v>945</v>
      </c>
      <c r="MP92" s="166" t="str">
        <f>VLOOKUP(MO92,[13]AssetDetails_UEM!$A$3:$AH$1849,6,FALSE)</f>
        <v>Electrosurgical Units, Monopolar/Bipolar</v>
      </c>
      <c r="MQ92" s="165" t="s">
        <v>945</v>
      </c>
      <c r="MR92" s="166" t="str">
        <f>VLOOKUP(MQ92,[13]AssetDetails_UEM!$A$3:$AH$1849,6,FALSE)</f>
        <v>Electrosurgical Units, Monopolar/Bipolar</v>
      </c>
      <c r="MS92" s="165" t="s">
        <v>945</v>
      </c>
      <c r="MT92" s="166" t="str">
        <f>VLOOKUP(MS92,[13]AssetDetails_UEM!$A$3:$AH$1849,6,FALSE)</f>
        <v>Electrosurgical Units, Monopolar/Bipolar</v>
      </c>
      <c r="MU92" s="165" t="s">
        <v>945</v>
      </c>
      <c r="MV92" s="166" t="str">
        <f>VLOOKUP(MU92,[13]AssetDetails_UEM!$A$3:$AH$1849,6,FALSE)</f>
        <v>Electrosurgical Units, Monopolar/Bipolar</v>
      </c>
      <c r="MW92" s="165" t="s">
        <v>945</v>
      </c>
      <c r="MX92" s="166" t="str">
        <f>VLOOKUP(MW92,[13]AssetDetails_UEM!$A$3:$AH$1849,6,FALSE)</f>
        <v>Electrosurgical Units, Monopolar/Bipolar</v>
      </c>
      <c r="MY92" s="165" t="s">
        <v>945</v>
      </c>
      <c r="MZ92" s="166" t="str">
        <f>VLOOKUP(MY92,[13]AssetDetails_UEM!$A$3:$AH$1849,6,FALSE)</f>
        <v>Electrosurgical Units, Monopolar/Bipolar</v>
      </c>
      <c r="NA92" s="165" t="s">
        <v>945</v>
      </c>
      <c r="NB92" s="166" t="str">
        <f>VLOOKUP(NA92,[13]AssetDetails_UEM!$A$3:$AH$1849,6,FALSE)</f>
        <v>Electrosurgical Units, Monopolar/Bipolar</v>
      </c>
      <c r="NC92" s="165" t="s">
        <v>945</v>
      </c>
      <c r="ND92" s="166" t="str">
        <f>VLOOKUP(NC92,[13]AssetDetails_UEM!$A$3:$AH$1849,6,FALSE)</f>
        <v>Electrosurgical Units, Monopolar/Bipolar</v>
      </c>
      <c r="NE92" s="165" t="s">
        <v>945</v>
      </c>
      <c r="NF92" s="166" t="str">
        <f>VLOOKUP(NE92,[13]AssetDetails_UEM!$A$3:$AH$1849,6,FALSE)</f>
        <v>Electrosurgical Units, Monopolar/Bipolar</v>
      </c>
      <c r="NG92" s="165" t="s">
        <v>945</v>
      </c>
      <c r="NH92" s="166" t="str">
        <f>VLOOKUP(NG92,[13]AssetDetails_UEM!$A$3:$AH$1849,6,FALSE)</f>
        <v>Electrosurgical Units, Monopolar/Bipolar</v>
      </c>
      <c r="NI92" s="165" t="s">
        <v>945</v>
      </c>
      <c r="NJ92" s="166" t="str">
        <f>VLOOKUP(NI92,[13]AssetDetails_UEM!$A$3:$AH$1849,6,FALSE)</f>
        <v>Electrosurgical Units, Monopolar/Bipolar</v>
      </c>
      <c r="NK92" s="165" t="s">
        <v>945</v>
      </c>
      <c r="NL92" s="166" t="str">
        <f>VLOOKUP(NK92,[13]AssetDetails_UEM!$A$3:$AH$1849,6,FALSE)</f>
        <v>Electrosurgical Units, Monopolar/Bipolar</v>
      </c>
      <c r="NM92" s="165" t="s">
        <v>945</v>
      </c>
      <c r="NN92" s="166" t="str">
        <f>VLOOKUP(NM92,[13]AssetDetails_UEM!$A$3:$AH$1849,6,FALSE)</f>
        <v>Electrosurgical Units, Monopolar/Bipolar</v>
      </c>
      <c r="NO92" s="165" t="s">
        <v>945</v>
      </c>
      <c r="NP92" s="166" t="str">
        <f>VLOOKUP(NO92,[13]AssetDetails_UEM!$A$3:$AH$1849,6,FALSE)</f>
        <v>Electrosurgical Units, Monopolar/Bipolar</v>
      </c>
      <c r="NQ92" s="165" t="s">
        <v>945</v>
      </c>
      <c r="NR92" s="166" t="str">
        <f>VLOOKUP(NQ92,[13]AssetDetails_UEM!$A$3:$AH$1849,6,FALSE)</f>
        <v>Electrosurgical Units, Monopolar/Bipolar</v>
      </c>
      <c r="NS92" s="165" t="s">
        <v>945</v>
      </c>
      <c r="NT92" s="166" t="str">
        <f>VLOOKUP(NS92,[13]AssetDetails_UEM!$A$3:$AH$1849,6,FALSE)</f>
        <v>Electrosurgical Units, Monopolar/Bipolar</v>
      </c>
      <c r="NU92" s="165" t="s">
        <v>945</v>
      </c>
      <c r="NV92" s="166" t="str">
        <f>VLOOKUP(NU92,[13]AssetDetails_UEM!$A$3:$AH$1849,6,FALSE)</f>
        <v>Electrosurgical Units, Monopolar/Bipolar</v>
      </c>
      <c r="NW92" s="165" t="s">
        <v>945</v>
      </c>
      <c r="NX92" s="166" t="str">
        <f>VLOOKUP(NW92,[13]AssetDetails_UEM!$A$3:$AH$1849,6,FALSE)</f>
        <v>Electrosurgical Units, Monopolar/Bipolar</v>
      </c>
      <c r="NY92" s="165" t="s">
        <v>945</v>
      </c>
      <c r="NZ92" s="166" t="str">
        <f>VLOOKUP(NY92,[13]AssetDetails_UEM!$A$3:$AH$1849,6,FALSE)</f>
        <v>Electrosurgical Units, Monopolar/Bipolar</v>
      </c>
      <c r="OA92" s="165" t="s">
        <v>945</v>
      </c>
      <c r="OB92" s="166" t="str">
        <f>VLOOKUP(OA92,[13]AssetDetails_UEM!$A$3:$AH$1849,6,FALSE)</f>
        <v>Electrosurgical Units, Monopolar/Bipolar</v>
      </c>
      <c r="OC92" s="165" t="s">
        <v>945</v>
      </c>
      <c r="OD92" s="166" t="str">
        <f>VLOOKUP(OC92,[13]AssetDetails_UEM!$A$3:$AH$1849,6,FALSE)</f>
        <v>Electrosurgical Units, Monopolar/Bipolar</v>
      </c>
      <c r="OE92" s="165" t="s">
        <v>945</v>
      </c>
      <c r="OF92" s="166" t="str">
        <f>VLOOKUP(OE92,[13]AssetDetails_UEM!$A$3:$AH$1849,6,FALSE)</f>
        <v>Electrosurgical Units, Monopolar/Bipolar</v>
      </c>
      <c r="OG92" s="165" t="s">
        <v>945</v>
      </c>
      <c r="OH92" s="166" t="str">
        <f>VLOOKUP(OG92,[13]AssetDetails_UEM!$A$3:$AH$1849,6,FALSE)</f>
        <v>Electrosurgical Units, Monopolar/Bipolar</v>
      </c>
      <c r="OI92" s="165" t="s">
        <v>945</v>
      </c>
      <c r="OJ92" s="166" t="str">
        <f>VLOOKUP(OI92,[13]AssetDetails_UEM!$A$3:$AH$1849,6,FALSE)</f>
        <v>Electrosurgical Units, Monopolar/Bipolar</v>
      </c>
      <c r="OK92" s="165" t="s">
        <v>945</v>
      </c>
      <c r="OL92" s="166" t="str">
        <f>VLOOKUP(OK92,[13]AssetDetails_UEM!$A$3:$AH$1849,6,FALSE)</f>
        <v>Electrosurgical Units, Monopolar/Bipolar</v>
      </c>
      <c r="OM92" s="165" t="s">
        <v>945</v>
      </c>
      <c r="ON92" s="166" t="str">
        <f>VLOOKUP(OM92,[13]AssetDetails_UEM!$A$3:$AH$1849,6,FALSE)</f>
        <v>Electrosurgical Units, Monopolar/Bipolar</v>
      </c>
      <c r="OO92" s="165" t="s">
        <v>945</v>
      </c>
      <c r="OP92" s="166" t="str">
        <f>VLOOKUP(OO92,[13]AssetDetails_UEM!$A$3:$AH$1849,6,FALSE)</f>
        <v>Electrosurgical Units, Monopolar/Bipolar</v>
      </c>
      <c r="OQ92" s="165" t="s">
        <v>945</v>
      </c>
      <c r="OR92" s="166" t="str">
        <f>VLOOKUP(OQ92,[13]AssetDetails_UEM!$A$3:$AH$1849,6,FALSE)</f>
        <v>Electrosurgical Units, Monopolar/Bipolar</v>
      </c>
      <c r="OS92" s="165" t="s">
        <v>945</v>
      </c>
      <c r="OT92" s="166" t="str">
        <f>VLOOKUP(OS92,[13]AssetDetails_UEM!$A$3:$AH$1849,6,FALSE)</f>
        <v>Electrosurgical Units, Monopolar/Bipolar</v>
      </c>
      <c r="OU92" s="165" t="s">
        <v>945</v>
      </c>
      <c r="OV92" s="166" t="str">
        <f>VLOOKUP(OU92,[13]AssetDetails_UEM!$A$3:$AH$1849,6,FALSE)</f>
        <v>Electrosurgical Units, Monopolar/Bipolar</v>
      </c>
      <c r="OW92" s="165" t="s">
        <v>945</v>
      </c>
      <c r="OX92" s="166" t="str">
        <f>VLOOKUP(OW92,[13]AssetDetails_UEM!$A$3:$AH$1849,6,FALSE)</f>
        <v>Electrosurgical Units, Monopolar/Bipolar</v>
      </c>
      <c r="OY92" s="165" t="s">
        <v>945</v>
      </c>
      <c r="OZ92" s="166" t="str">
        <f>VLOOKUP(OY92,[13]AssetDetails_UEM!$A$3:$AH$1849,6,FALSE)</f>
        <v>Electrosurgical Units, Monopolar/Bipolar</v>
      </c>
      <c r="PA92" s="165" t="s">
        <v>945</v>
      </c>
      <c r="PB92" s="166" t="str">
        <f>VLOOKUP(PA92,[13]AssetDetails_UEM!$A$3:$AH$1849,6,FALSE)</f>
        <v>Electrosurgical Units, Monopolar/Bipolar</v>
      </c>
      <c r="PC92" s="165" t="s">
        <v>945</v>
      </c>
      <c r="PD92" s="166" t="str">
        <f>VLOOKUP(PC92,[13]AssetDetails_UEM!$A$3:$AH$1849,6,FALSE)</f>
        <v>Electrosurgical Units, Monopolar/Bipolar</v>
      </c>
      <c r="PE92" s="165" t="s">
        <v>945</v>
      </c>
      <c r="PF92" s="166" t="str">
        <f>VLOOKUP(PE92,[13]AssetDetails_UEM!$A$3:$AH$1849,6,FALSE)</f>
        <v>Electrosurgical Units, Monopolar/Bipolar</v>
      </c>
      <c r="PG92" s="165" t="s">
        <v>945</v>
      </c>
      <c r="PH92" s="166" t="str">
        <f>VLOOKUP(PG92,[13]AssetDetails_UEM!$A$3:$AH$1849,6,FALSE)</f>
        <v>Electrosurgical Units, Monopolar/Bipolar</v>
      </c>
      <c r="PI92" s="165" t="s">
        <v>945</v>
      </c>
      <c r="PJ92" s="166" t="str">
        <f>VLOOKUP(PI92,[13]AssetDetails_UEM!$A$3:$AH$1849,6,FALSE)</f>
        <v>Electrosurgical Units, Monopolar/Bipolar</v>
      </c>
      <c r="PK92" s="165" t="s">
        <v>945</v>
      </c>
      <c r="PL92" s="166" t="str">
        <f>VLOOKUP(PK92,[13]AssetDetails_UEM!$A$3:$AH$1849,6,FALSE)</f>
        <v>Electrosurgical Units, Monopolar/Bipolar</v>
      </c>
      <c r="PM92" s="165" t="s">
        <v>945</v>
      </c>
      <c r="PN92" s="166" t="str">
        <f>VLOOKUP(PM92,[13]AssetDetails_UEM!$A$3:$AH$1849,6,FALSE)</f>
        <v>Electrosurgical Units, Monopolar/Bipolar</v>
      </c>
      <c r="PO92" s="165" t="s">
        <v>945</v>
      </c>
      <c r="PP92" s="166" t="str">
        <f>VLOOKUP(PO92,[13]AssetDetails_UEM!$A$3:$AH$1849,6,FALSE)</f>
        <v>Electrosurgical Units, Monopolar/Bipolar</v>
      </c>
      <c r="PQ92" s="165" t="s">
        <v>945</v>
      </c>
      <c r="PR92" s="166" t="str">
        <f>VLOOKUP(PQ92,[13]AssetDetails_UEM!$A$3:$AH$1849,6,FALSE)</f>
        <v>Electrosurgical Units, Monopolar/Bipolar</v>
      </c>
      <c r="PS92" s="165" t="s">
        <v>945</v>
      </c>
      <c r="PT92" s="166" t="str">
        <f>VLOOKUP(PS92,[13]AssetDetails_UEM!$A$3:$AH$1849,6,FALSE)</f>
        <v>Electrosurgical Units, Monopolar/Bipolar</v>
      </c>
      <c r="PU92" s="165" t="s">
        <v>945</v>
      </c>
      <c r="PV92" s="166" t="str">
        <f>VLOOKUP(PU92,[13]AssetDetails_UEM!$A$3:$AH$1849,6,FALSE)</f>
        <v>Electrosurgical Units, Monopolar/Bipolar</v>
      </c>
      <c r="PW92" s="165" t="s">
        <v>945</v>
      </c>
      <c r="PX92" s="166" t="str">
        <f>VLOOKUP(PW92,[13]AssetDetails_UEM!$A$3:$AH$1849,6,FALSE)</f>
        <v>Electrosurgical Units, Monopolar/Bipolar</v>
      </c>
      <c r="PY92" s="165" t="s">
        <v>945</v>
      </c>
      <c r="PZ92" s="166" t="str">
        <f>VLOOKUP(PY92,[13]AssetDetails_UEM!$A$3:$AH$1849,6,FALSE)</f>
        <v>Electrosurgical Units, Monopolar/Bipolar</v>
      </c>
      <c r="QA92" s="165" t="s">
        <v>945</v>
      </c>
      <c r="QB92" s="166" t="str">
        <f>VLOOKUP(QA92,[13]AssetDetails_UEM!$A$3:$AH$1849,6,FALSE)</f>
        <v>Electrosurgical Units, Monopolar/Bipolar</v>
      </c>
      <c r="QC92" s="165" t="s">
        <v>945</v>
      </c>
      <c r="QD92" s="166" t="str">
        <f>VLOOKUP(QC92,[13]AssetDetails_UEM!$A$3:$AH$1849,6,FALSE)</f>
        <v>Electrosurgical Units, Monopolar/Bipolar</v>
      </c>
      <c r="QE92" s="165" t="s">
        <v>945</v>
      </c>
      <c r="QF92" s="166" t="str">
        <f>VLOOKUP(QE92,[13]AssetDetails_UEM!$A$3:$AH$1849,6,FALSE)</f>
        <v>Electrosurgical Units, Monopolar/Bipolar</v>
      </c>
      <c r="QG92" s="165" t="s">
        <v>945</v>
      </c>
      <c r="QH92" s="166" t="str">
        <f>VLOOKUP(QG92,[13]AssetDetails_UEM!$A$3:$AH$1849,6,FALSE)</f>
        <v>Electrosurgical Units, Monopolar/Bipolar</v>
      </c>
      <c r="QI92" s="165" t="s">
        <v>945</v>
      </c>
      <c r="QJ92" s="166" t="str">
        <f>VLOOKUP(QI92,[13]AssetDetails_UEM!$A$3:$AH$1849,6,FALSE)</f>
        <v>Electrosurgical Units, Monopolar/Bipolar</v>
      </c>
      <c r="QK92" s="165" t="s">
        <v>945</v>
      </c>
      <c r="QL92" s="166" t="str">
        <f>VLOOKUP(QK92,[13]AssetDetails_UEM!$A$3:$AH$1849,6,FALSE)</f>
        <v>Electrosurgical Units, Monopolar/Bipolar</v>
      </c>
      <c r="QM92" s="165" t="s">
        <v>945</v>
      </c>
      <c r="QN92" s="166" t="str">
        <f>VLOOKUP(QM92,[13]AssetDetails_UEM!$A$3:$AH$1849,6,FALSE)</f>
        <v>Electrosurgical Units, Monopolar/Bipolar</v>
      </c>
      <c r="QO92" s="165" t="s">
        <v>945</v>
      </c>
      <c r="QP92" s="166" t="str">
        <f>VLOOKUP(QO92,[13]AssetDetails_UEM!$A$3:$AH$1849,6,FALSE)</f>
        <v>Electrosurgical Units, Monopolar/Bipolar</v>
      </c>
      <c r="QQ92" s="165" t="s">
        <v>945</v>
      </c>
      <c r="QR92" s="166" t="str">
        <f>VLOOKUP(QQ92,[13]AssetDetails_UEM!$A$3:$AH$1849,6,FALSE)</f>
        <v>Electrosurgical Units, Monopolar/Bipolar</v>
      </c>
      <c r="QS92" s="165" t="s">
        <v>945</v>
      </c>
      <c r="QT92" s="166" t="str">
        <f>VLOOKUP(QS92,[13]AssetDetails_UEM!$A$3:$AH$1849,6,FALSE)</f>
        <v>Electrosurgical Units, Monopolar/Bipolar</v>
      </c>
      <c r="QU92" s="165" t="s">
        <v>945</v>
      </c>
      <c r="QV92" s="166" t="str">
        <f>VLOOKUP(QU92,[13]AssetDetails_UEM!$A$3:$AH$1849,6,FALSE)</f>
        <v>Electrosurgical Units, Monopolar/Bipolar</v>
      </c>
      <c r="QW92" s="165" t="s">
        <v>945</v>
      </c>
      <c r="QX92" s="166" t="str">
        <f>VLOOKUP(QW92,[13]AssetDetails_UEM!$A$3:$AH$1849,6,FALSE)</f>
        <v>Electrosurgical Units, Monopolar/Bipolar</v>
      </c>
      <c r="QY92" s="165" t="s">
        <v>945</v>
      </c>
      <c r="QZ92" s="166" t="str">
        <f>VLOOKUP(QY92,[13]AssetDetails_UEM!$A$3:$AH$1849,6,FALSE)</f>
        <v>Electrosurgical Units, Monopolar/Bipolar</v>
      </c>
      <c r="RA92" s="165" t="s">
        <v>945</v>
      </c>
      <c r="RB92" s="166" t="str">
        <f>VLOOKUP(RA92,[13]AssetDetails_UEM!$A$3:$AH$1849,6,FALSE)</f>
        <v>Electrosurgical Units, Monopolar/Bipolar</v>
      </c>
      <c r="RC92" s="165" t="s">
        <v>945</v>
      </c>
      <c r="RD92" s="166" t="str">
        <f>VLOOKUP(RC92,[13]AssetDetails_UEM!$A$3:$AH$1849,6,FALSE)</f>
        <v>Electrosurgical Units, Monopolar/Bipolar</v>
      </c>
      <c r="RE92" s="165" t="s">
        <v>945</v>
      </c>
      <c r="RF92" s="166" t="str">
        <f>VLOOKUP(RE92,[13]AssetDetails_UEM!$A$3:$AH$1849,6,FALSE)</f>
        <v>Electrosurgical Units, Monopolar/Bipolar</v>
      </c>
      <c r="RG92" s="165" t="s">
        <v>945</v>
      </c>
      <c r="RH92" s="166" t="str">
        <f>VLOOKUP(RG92,[13]AssetDetails_UEM!$A$3:$AH$1849,6,FALSE)</f>
        <v>Electrosurgical Units, Monopolar/Bipolar</v>
      </c>
      <c r="RI92" s="165" t="s">
        <v>945</v>
      </c>
      <c r="RJ92" s="166" t="str">
        <f>VLOOKUP(RI92,[13]AssetDetails_UEM!$A$3:$AH$1849,6,FALSE)</f>
        <v>Electrosurgical Units, Monopolar/Bipolar</v>
      </c>
      <c r="RK92" s="165" t="s">
        <v>945</v>
      </c>
      <c r="RL92" s="166" t="str">
        <f>VLOOKUP(RK92,[13]AssetDetails_UEM!$A$3:$AH$1849,6,FALSE)</f>
        <v>Electrosurgical Units, Monopolar/Bipolar</v>
      </c>
      <c r="RM92" s="165" t="s">
        <v>945</v>
      </c>
      <c r="RN92" s="166" t="str">
        <f>VLOOKUP(RM92,[13]AssetDetails_UEM!$A$3:$AH$1849,6,FALSE)</f>
        <v>Electrosurgical Units, Monopolar/Bipolar</v>
      </c>
      <c r="RO92" s="165" t="s">
        <v>945</v>
      </c>
      <c r="RP92" s="166" t="str">
        <f>VLOOKUP(RO92,[13]AssetDetails_UEM!$A$3:$AH$1849,6,FALSE)</f>
        <v>Electrosurgical Units, Monopolar/Bipolar</v>
      </c>
      <c r="RQ92" s="165" t="s">
        <v>945</v>
      </c>
      <c r="RR92" s="166" t="str">
        <f>VLOOKUP(RQ92,[13]AssetDetails_UEM!$A$3:$AH$1849,6,FALSE)</f>
        <v>Electrosurgical Units, Monopolar/Bipolar</v>
      </c>
      <c r="RS92" s="165" t="s">
        <v>945</v>
      </c>
      <c r="RT92" s="166" t="str">
        <f>VLOOKUP(RS92,[13]AssetDetails_UEM!$A$3:$AH$1849,6,FALSE)</f>
        <v>Electrosurgical Units, Monopolar/Bipolar</v>
      </c>
      <c r="RU92" s="165" t="s">
        <v>945</v>
      </c>
      <c r="RV92" s="166" t="str">
        <f>VLOOKUP(RU92,[13]AssetDetails_UEM!$A$3:$AH$1849,6,FALSE)</f>
        <v>Electrosurgical Units, Monopolar/Bipolar</v>
      </c>
      <c r="RW92" s="165" t="s">
        <v>945</v>
      </c>
      <c r="RX92" s="166" t="str">
        <f>VLOOKUP(RW92,[13]AssetDetails_UEM!$A$3:$AH$1849,6,FALSE)</f>
        <v>Electrosurgical Units, Monopolar/Bipolar</v>
      </c>
      <c r="RY92" s="165" t="s">
        <v>945</v>
      </c>
      <c r="RZ92" s="166" t="str">
        <f>VLOOKUP(RY92,[13]AssetDetails_UEM!$A$3:$AH$1849,6,FALSE)</f>
        <v>Electrosurgical Units, Monopolar/Bipolar</v>
      </c>
      <c r="SA92" s="165" t="s">
        <v>945</v>
      </c>
      <c r="SB92" s="166" t="str">
        <f>VLOOKUP(SA92,[13]AssetDetails_UEM!$A$3:$AH$1849,6,FALSE)</f>
        <v>Electrosurgical Units, Monopolar/Bipolar</v>
      </c>
      <c r="SC92" s="165" t="s">
        <v>945</v>
      </c>
      <c r="SD92" s="166" t="str">
        <f>VLOOKUP(SC92,[13]AssetDetails_UEM!$A$3:$AH$1849,6,FALSE)</f>
        <v>Electrosurgical Units, Monopolar/Bipolar</v>
      </c>
      <c r="SE92" s="165" t="s">
        <v>945</v>
      </c>
      <c r="SF92" s="166" t="str">
        <f>VLOOKUP(SE92,[13]AssetDetails_UEM!$A$3:$AH$1849,6,FALSE)</f>
        <v>Electrosurgical Units, Monopolar/Bipolar</v>
      </c>
      <c r="SG92" s="165" t="s">
        <v>945</v>
      </c>
      <c r="SH92" s="166" t="str">
        <f>VLOOKUP(SG92,[13]AssetDetails_UEM!$A$3:$AH$1849,6,FALSE)</f>
        <v>Electrosurgical Units, Monopolar/Bipolar</v>
      </c>
      <c r="SI92" s="165" t="s">
        <v>945</v>
      </c>
      <c r="SJ92" s="166" t="str">
        <f>VLOOKUP(SI92,[13]AssetDetails_UEM!$A$3:$AH$1849,6,FALSE)</f>
        <v>Electrosurgical Units, Monopolar/Bipolar</v>
      </c>
      <c r="SK92" s="165" t="s">
        <v>945</v>
      </c>
      <c r="SL92" s="166" t="str">
        <f>VLOOKUP(SK92,[13]AssetDetails_UEM!$A$3:$AH$1849,6,FALSE)</f>
        <v>Electrosurgical Units, Monopolar/Bipolar</v>
      </c>
      <c r="SM92" s="165" t="s">
        <v>945</v>
      </c>
      <c r="SN92" s="166" t="str">
        <f>VLOOKUP(SM92,[13]AssetDetails_UEM!$A$3:$AH$1849,6,FALSE)</f>
        <v>Electrosurgical Units, Monopolar/Bipolar</v>
      </c>
      <c r="SO92" s="165" t="s">
        <v>945</v>
      </c>
      <c r="SP92" s="166" t="str">
        <f>VLOOKUP(SO92,[13]AssetDetails_UEM!$A$3:$AH$1849,6,FALSE)</f>
        <v>Electrosurgical Units, Monopolar/Bipolar</v>
      </c>
      <c r="SQ92" s="165" t="s">
        <v>945</v>
      </c>
      <c r="SR92" s="166" t="str">
        <f>VLOOKUP(SQ92,[13]AssetDetails_UEM!$A$3:$AH$1849,6,FALSE)</f>
        <v>Electrosurgical Units, Monopolar/Bipolar</v>
      </c>
      <c r="SS92" s="165" t="s">
        <v>945</v>
      </c>
      <c r="ST92" s="166" t="str">
        <f>VLOOKUP(SS92,[13]AssetDetails_UEM!$A$3:$AH$1849,6,FALSE)</f>
        <v>Electrosurgical Units, Monopolar/Bipolar</v>
      </c>
      <c r="SU92" s="165" t="s">
        <v>945</v>
      </c>
      <c r="SV92" s="166" t="str">
        <f>VLOOKUP(SU92,[13]AssetDetails_UEM!$A$3:$AH$1849,6,FALSE)</f>
        <v>Electrosurgical Units, Monopolar/Bipolar</v>
      </c>
      <c r="SW92" s="165" t="s">
        <v>945</v>
      </c>
      <c r="SX92" s="166" t="str">
        <f>VLOOKUP(SW92,[13]AssetDetails_UEM!$A$3:$AH$1849,6,FALSE)</f>
        <v>Electrosurgical Units, Monopolar/Bipolar</v>
      </c>
      <c r="SY92" s="165" t="s">
        <v>945</v>
      </c>
      <c r="SZ92" s="166" t="str">
        <f>VLOOKUP(SY92,[13]AssetDetails_UEM!$A$3:$AH$1849,6,FALSE)</f>
        <v>Electrosurgical Units, Monopolar/Bipolar</v>
      </c>
      <c r="TA92" s="165" t="s">
        <v>945</v>
      </c>
      <c r="TB92" s="166" t="str">
        <f>VLOOKUP(TA92,[13]AssetDetails_UEM!$A$3:$AH$1849,6,FALSE)</f>
        <v>Electrosurgical Units, Monopolar/Bipolar</v>
      </c>
      <c r="TC92" s="165" t="s">
        <v>945</v>
      </c>
      <c r="TD92" s="166" t="str">
        <f>VLOOKUP(TC92,[13]AssetDetails_UEM!$A$3:$AH$1849,6,FALSE)</f>
        <v>Electrosurgical Units, Monopolar/Bipolar</v>
      </c>
      <c r="TE92" s="165" t="s">
        <v>945</v>
      </c>
      <c r="TF92" s="166" t="str">
        <f>VLOOKUP(TE92,[13]AssetDetails_UEM!$A$3:$AH$1849,6,FALSE)</f>
        <v>Electrosurgical Units, Monopolar/Bipolar</v>
      </c>
      <c r="TG92" s="165" t="s">
        <v>945</v>
      </c>
      <c r="TH92" s="166" t="str">
        <f>VLOOKUP(TG92,[13]AssetDetails_UEM!$A$3:$AH$1849,6,FALSE)</f>
        <v>Electrosurgical Units, Monopolar/Bipolar</v>
      </c>
      <c r="TI92" s="165" t="s">
        <v>945</v>
      </c>
      <c r="TJ92" s="166" t="str">
        <f>VLOOKUP(TI92,[13]AssetDetails_UEM!$A$3:$AH$1849,6,FALSE)</f>
        <v>Electrosurgical Units, Monopolar/Bipolar</v>
      </c>
      <c r="TK92" s="165" t="s">
        <v>945</v>
      </c>
      <c r="TL92" s="166" t="str">
        <f>VLOOKUP(TK92,[13]AssetDetails_UEM!$A$3:$AH$1849,6,FALSE)</f>
        <v>Electrosurgical Units, Monopolar/Bipolar</v>
      </c>
      <c r="TM92" s="165" t="s">
        <v>945</v>
      </c>
      <c r="TN92" s="166" t="str">
        <f>VLOOKUP(TM92,[13]AssetDetails_UEM!$A$3:$AH$1849,6,FALSE)</f>
        <v>Electrosurgical Units, Monopolar/Bipolar</v>
      </c>
      <c r="TO92" s="165" t="s">
        <v>945</v>
      </c>
      <c r="TP92" s="166" t="str">
        <f>VLOOKUP(TO92,[13]AssetDetails_UEM!$A$3:$AH$1849,6,FALSE)</f>
        <v>Electrosurgical Units, Monopolar/Bipolar</v>
      </c>
      <c r="TQ92" s="165" t="s">
        <v>945</v>
      </c>
      <c r="TR92" s="166" t="str">
        <f>VLOOKUP(TQ92,[13]AssetDetails_UEM!$A$3:$AH$1849,6,FALSE)</f>
        <v>Electrosurgical Units, Monopolar/Bipolar</v>
      </c>
      <c r="TS92" s="165" t="s">
        <v>945</v>
      </c>
      <c r="TT92" s="166" t="str">
        <f>VLOOKUP(TS92,[13]AssetDetails_UEM!$A$3:$AH$1849,6,FALSE)</f>
        <v>Electrosurgical Units, Monopolar/Bipolar</v>
      </c>
      <c r="TU92" s="165" t="s">
        <v>945</v>
      </c>
      <c r="TV92" s="166" t="str">
        <f>VLOOKUP(TU92,[13]AssetDetails_UEM!$A$3:$AH$1849,6,FALSE)</f>
        <v>Electrosurgical Units, Monopolar/Bipolar</v>
      </c>
      <c r="TW92" s="165" t="s">
        <v>945</v>
      </c>
      <c r="TX92" s="166" t="str">
        <f>VLOOKUP(TW92,[13]AssetDetails_UEM!$A$3:$AH$1849,6,FALSE)</f>
        <v>Electrosurgical Units, Monopolar/Bipolar</v>
      </c>
      <c r="TY92" s="165" t="s">
        <v>945</v>
      </c>
      <c r="TZ92" s="166" t="str">
        <f>VLOOKUP(TY92,[13]AssetDetails_UEM!$A$3:$AH$1849,6,FALSE)</f>
        <v>Electrosurgical Units, Monopolar/Bipolar</v>
      </c>
      <c r="UA92" s="165" t="s">
        <v>945</v>
      </c>
      <c r="UB92" s="166" t="str">
        <f>VLOOKUP(UA92,[13]AssetDetails_UEM!$A$3:$AH$1849,6,FALSE)</f>
        <v>Electrosurgical Units, Monopolar/Bipolar</v>
      </c>
      <c r="UC92" s="165" t="s">
        <v>945</v>
      </c>
      <c r="UD92" s="166" t="str">
        <f>VLOOKUP(UC92,[13]AssetDetails_UEM!$A$3:$AH$1849,6,FALSE)</f>
        <v>Electrosurgical Units, Monopolar/Bipolar</v>
      </c>
      <c r="UE92" s="165" t="s">
        <v>945</v>
      </c>
      <c r="UF92" s="166" t="str">
        <f>VLOOKUP(UE92,[13]AssetDetails_UEM!$A$3:$AH$1849,6,FALSE)</f>
        <v>Electrosurgical Units, Monopolar/Bipolar</v>
      </c>
      <c r="UG92" s="165" t="s">
        <v>945</v>
      </c>
      <c r="UH92" s="166" t="str">
        <f>VLOOKUP(UG92,[13]AssetDetails_UEM!$A$3:$AH$1849,6,FALSE)</f>
        <v>Electrosurgical Units, Monopolar/Bipolar</v>
      </c>
      <c r="UI92" s="165" t="s">
        <v>945</v>
      </c>
      <c r="UJ92" s="166" t="str">
        <f>VLOOKUP(UI92,[13]AssetDetails_UEM!$A$3:$AH$1849,6,FALSE)</f>
        <v>Electrosurgical Units, Monopolar/Bipolar</v>
      </c>
      <c r="UK92" s="165" t="s">
        <v>945</v>
      </c>
      <c r="UL92" s="166" t="str">
        <f>VLOOKUP(UK92,[13]AssetDetails_UEM!$A$3:$AH$1849,6,FALSE)</f>
        <v>Electrosurgical Units, Monopolar/Bipolar</v>
      </c>
      <c r="UM92" s="165" t="s">
        <v>945</v>
      </c>
      <c r="UN92" s="166" t="str">
        <f>VLOOKUP(UM92,[13]AssetDetails_UEM!$A$3:$AH$1849,6,FALSE)</f>
        <v>Electrosurgical Units, Monopolar/Bipolar</v>
      </c>
      <c r="UO92" s="165" t="s">
        <v>945</v>
      </c>
      <c r="UP92" s="166" t="str">
        <f>VLOOKUP(UO92,[13]AssetDetails_UEM!$A$3:$AH$1849,6,FALSE)</f>
        <v>Electrosurgical Units, Monopolar/Bipolar</v>
      </c>
      <c r="UQ92" s="165" t="s">
        <v>945</v>
      </c>
      <c r="UR92" s="166" t="str">
        <f>VLOOKUP(UQ92,[13]AssetDetails_UEM!$A$3:$AH$1849,6,FALSE)</f>
        <v>Electrosurgical Units, Monopolar/Bipolar</v>
      </c>
      <c r="US92" s="165" t="s">
        <v>945</v>
      </c>
      <c r="UT92" s="166" t="str">
        <f>VLOOKUP(US92,[13]AssetDetails_UEM!$A$3:$AH$1849,6,FALSE)</f>
        <v>Electrosurgical Units, Monopolar/Bipolar</v>
      </c>
      <c r="UU92" s="165" t="s">
        <v>945</v>
      </c>
      <c r="UV92" s="166" t="str">
        <f>VLOOKUP(UU92,[13]AssetDetails_UEM!$A$3:$AH$1849,6,FALSE)</f>
        <v>Electrosurgical Units, Monopolar/Bipolar</v>
      </c>
      <c r="UW92" s="165" t="s">
        <v>945</v>
      </c>
      <c r="UX92" s="166" t="str">
        <f>VLOOKUP(UW92,[13]AssetDetails_UEM!$A$3:$AH$1849,6,FALSE)</f>
        <v>Electrosurgical Units, Monopolar/Bipolar</v>
      </c>
      <c r="UY92" s="165" t="s">
        <v>945</v>
      </c>
      <c r="UZ92" s="166" t="str">
        <f>VLOOKUP(UY92,[13]AssetDetails_UEM!$A$3:$AH$1849,6,FALSE)</f>
        <v>Electrosurgical Units, Monopolar/Bipolar</v>
      </c>
      <c r="VA92" s="165" t="s">
        <v>945</v>
      </c>
      <c r="VB92" s="166" t="str">
        <f>VLOOKUP(VA92,[13]AssetDetails_UEM!$A$3:$AH$1849,6,FALSE)</f>
        <v>Electrosurgical Units, Monopolar/Bipolar</v>
      </c>
      <c r="VC92" s="165" t="s">
        <v>945</v>
      </c>
      <c r="VD92" s="166" t="str">
        <f>VLOOKUP(VC92,[13]AssetDetails_UEM!$A$3:$AH$1849,6,FALSE)</f>
        <v>Electrosurgical Units, Monopolar/Bipolar</v>
      </c>
      <c r="VE92" s="165" t="s">
        <v>945</v>
      </c>
      <c r="VF92" s="166" t="str">
        <f>VLOOKUP(VE92,[13]AssetDetails_UEM!$A$3:$AH$1849,6,FALSE)</f>
        <v>Electrosurgical Units, Monopolar/Bipolar</v>
      </c>
      <c r="VG92" s="165" t="s">
        <v>945</v>
      </c>
      <c r="VH92" s="166" t="str">
        <f>VLOOKUP(VG92,[13]AssetDetails_UEM!$A$3:$AH$1849,6,FALSE)</f>
        <v>Electrosurgical Units, Monopolar/Bipolar</v>
      </c>
      <c r="VI92" s="165" t="s">
        <v>945</v>
      </c>
      <c r="VJ92" s="166" t="str">
        <f>VLOOKUP(VI92,[13]AssetDetails_UEM!$A$3:$AH$1849,6,FALSE)</f>
        <v>Electrosurgical Units, Monopolar/Bipolar</v>
      </c>
      <c r="VK92" s="165" t="s">
        <v>945</v>
      </c>
      <c r="VL92" s="166" t="str">
        <f>VLOOKUP(VK92,[13]AssetDetails_UEM!$A$3:$AH$1849,6,FALSE)</f>
        <v>Electrosurgical Units, Monopolar/Bipolar</v>
      </c>
      <c r="VM92" s="165" t="s">
        <v>945</v>
      </c>
      <c r="VN92" s="166" t="str">
        <f>VLOOKUP(VM92,[13]AssetDetails_UEM!$A$3:$AH$1849,6,FALSE)</f>
        <v>Electrosurgical Units, Monopolar/Bipolar</v>
      </c>
      <c r="VO92" s="165" t="s">
        <v>945</v>
      </c>
      <c r="VP92" s="166" t="str">
        <f>VLOOKUP(VO92,[13]AssetDetails_UEM!$A$3:$AH$1849,6,FALSE)</f>
        <v>Electrosurgical Units, Monopolar/Bipolar</v>
      </c>
      <c r="VQ92" s="165" t="s">
        <v>945</v>
      </c>
      <c r="VR92" s="166" t="str">
        <f>VLOOKUP(VQ92,[13]AssetDetails_UEM!$A$3:$AH$1849,6,FALSE)</f>
        <v>Electrosurgical Units, Monopolar/Bipolar</v>
      </c>
      <c r="VS92" s="165" t="s">
        <v>945</v>
      </c>
      <c r="VT92" s="166" t="str">
        <f>VLOOKUP(VS92,[13]AssetDetails_UEM!$A$3:$AH$1849,6,FALSE)</f>
        <v>Electrosurgical Units, Monopolar/Bipolar</v>
      </c>
      <c r="VU92" s="165" t="s">
        <v>945</v>
      </c>
      <c r="VV92" s="166" t="str">
        <f>VLOOKUP(VU92,[13]AssetDetails_UEM!$A$3:$AH$1849,6,FALSE)</f>
        <v>Electrosurgical Units, Monopolar/Bipolar</v>
      </c>
      <c r="VW92" s="165" t="s">
        <v>945</v>
      </c>
      <c r="VX92" s="166" t="str">
        <f>VLOOKUP(VW92,[13]AssetDetails_UEM!$A$3:$AH$1849,6,FALSE)</f>
        <v>Electrosurgical Units, Monopolar/Bipolar</v>
      </c>
      <c r="VY92" s="165" t="s">
        <v>945</v>
      </c>
      <c r="VZ92" s="166" t="str">
        <f>VLOOKUP(VY92,[13]AssetDetails_UEM!$A$3:$AH$1849,6,FALSE)</f>
        <v>Electrosurgical Units, Monopolar/Bipolar</v>
      </c>
      <c r="WA92" s="165" t="s">
        <v>945</v>
      </c>
      <c r="WB92" s="166" t="str">
        <f>VLOOKUP(WA92,[13]AssetDetails_UEM!$A$3:$AH$1849,6,FALSE)</f>
        <v>Electrosurgical Units, Monopolar/Bipolar</v>
      </c>
      <c r="WC92" s="165" t="s">
        <v>945</v>
      </c>
      <c r="WD92" s="166" t="str">
        <f>VLOOKUP(WC92,[13]AssetDetails_UEM!$A$3:$AH$1849,6,FALSE)</f>
        <v>Electrosurgical Units, Monopolar/Bipolar</v>
      </c>
      <c r="WE92" s="165" t="s">
        <v>945</v>
      </c>
      <c r="WF92" s="166" t="str">
        <f>VLOOKUP(WE92,[13]AssetDetails_UEM!$A$3:$AH$1849,6,FALSE)</f>
        <v>Electrosurgical Units, Monopolar/Bipolar</v>
      </c>
      <c r="WG92" s="165" t="s">
        <v>945</v>
      </c>
      <c r="WH92" s="166" t="str">
        <f>VLOOKUP(WG92,[13]AssetDetails_UEM!$A$3:$AH$1849,6,FALSE)</f>
        <v>Electrosurgical Units, Monopolar/Bipolar</v>
      </c>
      <c r="WI92" s="165" t="s">
        <v>945</v>
      </c>
      <c r="WJ92" s="166" t="str">
        <f>VLOOKUP(WI92,[13]AssetDetails_UEM!$A$3:$AH$1849,6,FALSE)</f>
        <v>Electrosurgical Units, Monopolar/Bipolar</v>
      </c>
      <c r="WK92" s="165" t="s">
        <v>945</v>
      </c>
      <c r="WL92" s="166" t="str">
        <f>VLOOKUP(WK92,[13]AssetDetails_UEM!$A$3:$AH$1849,6,FALSE)</f>
        <v>Electrosurgical Units, Monopolar/Bipolar</v>
      </c>
      <c r="WM92" s="165" t="s">
        <v>945</v>
      </c>
      <c r="WN92" s="166" t="str">
        <f>VLOOKUP(WM92,[13]AssetDetails_UEM!$A$3:$AH$1849,6,FALSE)</f>
        <v>Electrosurgical Units, Monopolar/Bipolar</v>
      </c>
      <c r="WO92" s="165" t="s">
        <v>945</v>
      </c>
      <c r="WP92" s="166" t="str">
        <f>VLOOKUP(WO92,[13]AssetDetails_UEM!$A$3:$AH$1849,6,FALSE)</f>
        <v>Electrosurgical Units, Monopolar/Bipolar</v>
      </c>
      <c r="WQ92" s="165" t="s">
        <v>945</v>
      </c>
      <c r="WR92" s="166" t="str">
        <f>VLOOKUP(WQ92,[13]AssetDetails_UEM!$A$3:$AH$1849,6,FALSE)</f>
        <v>Electrosurgical Units, Monopolar/Bipolar</v>
      </c>
      <c r="WS92" s="165" t="s">
        <v>945</v>
      </c>
      <c r="WT92" s="166" t="str">
        <f>VLOOKUP(WS92,[13]AssetDetails_UEM!$A$3:$AH$1849,6,FALSE)</f>
        <v>Electrosurgical Units, Monopolar/Bipolar</v>
      </c>
      <c r="WU92" s="165" t="s">
        <v>945</v>
      </c>
      <c r="WV92" s="166" t="str">
        <f>VLOOKUP(WU92,[13]AssetDetails_UEM!$A$3:$AH$1849,6,FALSE)</f>
        <v>Electrosurgical Units, Monopolar/Bipolar</v>
      </c>
      <c r="WW92" s="165" t="s">
        <v>945</v>
      </c>
      <c r="WX92" s="166" t="str">
        <f>VLOOKUP(WW92,[13]AssetDetails_UEM!$A$3:$AH$1849,6,FALSE)</f>
        <v>Electrosurgical Units, Monopolar/Bipolar</v>
      </c>
      <c r="WY92" s="165" t="s">
        <v>945</v>
      </c>
      <c r="WZ92" s="166" t="str">
        <f>VLOOKUP(WY92,[13]AssetDetails_UEM!$A$3:$AH$1849,6,FALSE)</f>
        <v>Electrosurgical Units, Monopolar/Bipolar</v>
      </c>
      <c r="XA92" s="165" t="s">
        <v>945</v>
      </c>
      <c r="XB92" s="166" t="str">
        <f>VLOOKUP(XA92,[13]AssetDetails_UEM!$A$3:$AH$1849,6,FALSE)</f>
        <v>Electrosurgical Units, Monopolar/Bipolar</v>
      </c>
      <c r="XC92" s="165" t="s">
        <v>945</v>
      </c>
      <c r="XD92" s="166" t="str">
        <f>VLOOKUP(XC92,[13]AssetDetails_UEM!$A$3:$AH$1849,6,FALSE)</f>
        <v>Electrosurgical Units, Monopolar/Bipolar</v>
      </c>
      <c r="XE92" s="165" t="s">
        <v>945</v>
      </c>
      <c r="XF92" s="166" t="str">
        <f>VLOOKUP(XE92,[13]AssetDetails_UEM!$A$3:$AH$1849,6,FALSE)</f>
        <v>Electrosurgical Units, Monopolar/Bipolar</v>
      </c>
      <c r="XG92" s="165" t="s">
        <v>945</v>
      </c>
      <c r="XH92" s="166" t="str">
        <f>VLOOKUP(XG92,[13]AssetDetails_UEM!$A$3:$AH$1849,6,FALSE)</f>
        <v>Electrosurgical Units, Monopolar/Bipolar</v>
      </c>
      <c r="XI92" s="165" t="s">
        <v>945</v>
      </c>
      <c r="XJ92" s="166" t="str">
        <f>VLOOKUP(XI92,[13]AssetDetails_UEM!$A$3:$AH$1849,6,FALSE)</f>
        <v>Electrosurgical Units, Monopolar/Bipolar</v>
      </c>
      <c r="XK92" s="165" t="s">
        <v>945</v>
      </c>
      <c r="XL92" s="166" t="str">
        <f>VLOOKUP(XK92,[13]AssetDetails_UEM!$A$3:$AH$1849,6,FALSE)</f>
        <v>Electrosurgical Units, Monopolar/Bipolar</v>
      </c>
      <c r="XM92" s="165" t="s">
        <v>945</v>
      </c>
      <c r="XN92" s="166" t="str">
        <f>VLOOKUP(XM92,[13]AssetDetails_UEM!$A$3:$AH$1849,6,FALSE)</f>
        <v>Electrosurgical Units, Monopolar/Bipolar</v>
      </c>
      <c r="XO92" s="165" t="s">
        <v>945</v>
      </c>
      <c r="XP92" s="166" t="str">
        <f>VLOOKUP(XO92,[13]AssetDetails_UEM!$A$3:$AH$1849,6,FALSE)</f>
        <v>Electrosurgical Units, Monopolar/Bipolar</v>
      </c>
      <c r="XQ92" s="165" t="s">
        <v>945</v>
      </c>
      <c r="XR92" s="166" t="str">
        <f>VLOOKUP(XQ92,[13]AssetDetails_UEM!$A$3:$AH$1849,6,FALSE)</f>
        <v>Electrosurgical Units, Monopolar/Bipolar</v>
      </c>
      <c r="XS92" s="165" t="s">
        <v>945</v>
      </c>
      <c r="XT92" s="166" t="str">
        <f>VLOOKUP(XS92,[13]AssetDetails_UEM!$A$3:$AH$1849,6,FALSE)</f>
        <v>Electrosurgical Units, Monopolar/Bipolar</v>
      </c>
      <c r="XU92" s="165" t="s">
        <v>945</v>
      </c>
      <c r="XV92" s="166" t="str">
        <f>VLOOKUP(XU92,[13]AssetDetails_UEM!$A$3:$AH$1849,6,FALSE)</f>
        <v>Electrosurgical Units, Monopolar/Bipolar</v>
      </c>
      <c r="XW92" s="165" t="s">
        <v>945</v>
      </c>
      <c r="XX92" s="166" t="str">
        <f>VLOOKUP(XW92,[13]AssetDetails_UEM!$A$3:$AH$1849,6,FALSE)</f>
        <v>Electrosurgical Units, Monopolar/Bipolar</v>
      </c>
      <c r="XY92" s="165" t="s">
        <v>945</v>
      </c>
      <c r="XZ92" s="166" t="str">
        <f>VLOOKUP(XY92,[13]AssetDetails_UEM!$A$3:$AH$1849,6,FALSE)</f>
        <v>Electrosurgical Units, Monopolar/Bipolar</v>
      </c>
      <c r="YA92" s="165" t="s">
        <v>945</v>
      </c>
      <c r="YB92" s="166" t="str">
        <f>VLOOKUP(YA92,[13]AssetDetails_UEM!$A$3:$AH$1849,6,FALSE)</f>
        <v>Electrosurgical Units, Monopolar/Bipolar</v>
      </c>
      <c r="YC92" s="165" t="s">
        <v>945</v>
      </c>
      <c r="YD92" s="166" t="str">
        <f>VLOOKUP(YC92,[13]AssetDetails_UEM!$A$3:$AH$1849,6,FALSE)</f>
        <v>Electrosurgical Units, Monopolar/Bipolar</v>
      </c>
      <c r="YE92" s="165" t="s">
        <v>945</v>
      </c>
      <c r="YF92" s="166" t="str">
        <f>VLOOKUP(YE92,[13]AssetDetails_UEM!$A$3:$AH$1849,6,FALSE)</f>
        <v>Electrosurgical Units, Monopolar/Bipolar</v>
      </c>
      <c r="YG92" s="165" t="s">
        <v>945</v>
      </c>
      <c r="YH92" s="166" t="str">
        <f>VLOOKUP(YG92,[13]AssetDetails_UEM!$A$3:$AH$1849,6,FALSE)</f>
        <v>Electrosurgical Units, Monopolar/Bipolar</v>
      </c>
      <c r="YI92" s="165" t="s">
        <v>945</v>
      </c>
      <c r="YJ92" s="166" t="str">
        <f>VLOOKUP(YI92,[13]AssetDetails_UEM!$A$3:$AH$1849,6,FALSE)</f>
        <v>Electrosurgical Units, Monopolar/Bipolar</v>
      </c>
      <c r="YK92" s="165" t="s">
        <v>945</v>
      </c>
      <c r="YL92" s="166" t="str">
        <f>VLOOKUP(YK92,[13]AssetDetails_UEM!$A$3:$AH$1849,6,FALSE)</f>
        <v>Electrosurgical Units, Monopolar/Bipolar</v>
      </c>
      <c r="YM92" s="165" t="s">
        <v>945</v>
      </c>
      <c r="YN92" s="166" t="str">
        <f>VLOOKUP(YM92,[13]AssetDetails_UEM!$A$3:$AH$1849,6,FALSE)</f>
        <v>Electrosurgical Units, Monopolar/Bipolar</v>
      </c>
      <c r="YO92" s="165" t="s">
        <v>945</v>
      </c>
      <c r="YP92" s="166" t="str">
        <f>VLOOKUP(YO92,[13]AssetDetails_UEM!$A$3:$AH$1849,6,FALSE)</f>
        <v>Electrosurgical Units, Monopolar/Bipolar</v>
      </c>
      <c r="YQ92" s="165" t="s">
        <v>945</v>
      </c>
      <c r="YR92" s="166" t="str">
        <f>VLOOKUP(YQ92,[13]AssetDetails_UEM!$A$3:$AH$1849,6,FALSE)</f>
        <v>Electrosurgical Units, Monopolar/Bipolar</v>
      </c>
      <c r="YS92" s="165" t="s">
        <v>945</v>
      </c>
      <c r="YT92" s="166" t="str">
        <f>VLOOKUP(YS92,[13]AssetDetails_UEM!$A$3:$AH$1849,6,FALSE)</f>
        <v>Electrosurgical Units, Monopolar/Bipolar</v>
      </c>
      <c r="YU92" s="165" t="s">
        <v>945</v>
      </c>
      <c r="YV92" s="166" t="str">
        <f>VLOOKUP(YU92,[13]AssetDetails_UEM!$A$3:$AH$1849,6,FALSE)</f>
        <v>Electrosurgical Units, Monopolar/Bipolar</v>
      </c>
      <c r="YW92" s="165" t="s">
        <v>945</v>
      </c>
      <c r="YX92" s="166" t="str">
        <f>VLOOKUP(YW92,[13]AssetDetails_UEM!$A$3:$AH$1849,6,FALSE)</f>
        <v>Electrosurgical Units, Monopolar/Bipolar</v>
      </c>
      <c r="YY92" s="165" t="s">
        <v>945</v>
      </c>
      <c r="YZ92" s="166" t="str">
        <f>VLOOKUP(YY92,[13]AssetDetails_UEM!$A$3:$AH$1849,6,FALSE)</f>
        <v>Electrosurgical Units, Monopolar/Bipolar</v>
      </c>
      <c r="ZA92" s="165" t="s">
        <v>945</v>
      </c>
      <c r="ZB92" s="166" t="str">
        <f>VLOOKUP(ZA92,[13]AssetDetails_UEM!$A$3:$AH$1849,6,FALSE)</f>
        <v>Electrosurgical Units, Monopolar/Bipolar</v>
      </c>
      <c r="ZC92" s="165" t="s">
        <v>945</v>
      </c>
      <c r="ZD92" s="166" t="str">
        <f>VLOOKUP(ZC92,[13]AssetDetails_UEM!$A$3:$AH$1849,6,FALSE)</f>
        <v>Electrosurgical Units, Monopolar/Bipolar</v>
      </c>
      <c r="ZE92" s="165" t="s">
        <v>945</v>
      </c>
      <c r="ZF92" s="166" t="str">
        <f>VLOOKUP(ZE92,[13]AssetDetails_UEM!$A$3:$AH$1849,6,FALSE)</f>
        <v>Electrosurgical Units, Monopolar/Bipolar</v>
      </c>
      <c r="ZG92" s="165" t="s">
        <v>945</v>
      </c>
      <c r="ZH92" s="166" t="str">
        <f>VLOOKUP(ZG92,[13]AssetDetails_UEM!$A$3:$AH$1849,6,FALSE)</f>
        <v>Electrosurgical Units, Monopolar/Bipolar</v>
      </c>
      <c r="ZI92" s="165" t="s">
        <v>945</v>
      </c>
      <c r="ZJ92" s="166" t="str">
        <f>VLOOKUP(ZI92,[13]AssetDetails_UEM!$A$3:$AH$1849,6,FALSE)</f>
        <v>Electrosurgical Units, Monopolar/Bipolar</v>
      </c>
      <c r="ZK92" s="165" t="s">
        <v>945</v>
      </c>
      <c r="ZL92" s="166" t="str">
        <f>VLOOKUP(ZK92,[13]AssetDetails_UEM!$A$3:$AH$1849,6,FALSE)</f>
        <v>Electrosurgical Units, Monopolar/Bipolar</v>
      </c>
      <c r="ZM92" s="165" t="s">
        <v>945</v>
      </c>
      <c r="ZN92" s="166" t="str">
        <f>VLOOKUP(ZM92,[13]AssetDetails_UEM!$A$3:$AH$1849,6,FALSE)</f>
        <v>Electrosurgical Units, Monopolar/Bipolar</v>
      </c>
      <c r="ZO92" s="165" t="s">
        <v>945</v>
      </c>
      <c r="ZP92" s="166" t="str">
        <f>VLOOKUP(ZO92,[13]AssetDetails_UEM!$A$3:$AH$1849,6,FALSE)</f>
        <v>Electrosurgical Units, Monopolar/Bipolar</v>
      </c>
      <c r="ZQ92" s="165" t="s">
        <v>945</v>
      </c>
      <c r="ZR92" s="166" t="str">
        <f>VLOOKUP(ZQ92,[13]AssetDetails_UEM!$A$3:$AH$1849,6,FALSE)</f>
        <v>Electrosurgical Units, Monopolar/Bipolar</v>
      </c>
      <c r="ZS92" s="165" t="s">
        <v>945</v>
      </c>
      <c r="ZT92" s="166" t="str">
        <f>VLOOKUP(ZS92,[13]AssetDetails_UEM!$A$3:$AH$1849,6,FALSE)</f>
        <v>Electrosurgical Units, Monopolar/Bipolar</v>
      </c>
      <c r="ZU92" s="165" t="s">
        <v>945</v>
      </c>
      <c r="ZV92" s="166" t="str">
        <f>VLOOKUP(ZU92,[13]AssetDetails_UEM!$A$3:$AH$1849,6,FALSE)</f>
        <v>Electrosurgical Units, Monopolar/Bipolar</v>
      </c>
      <c r="ZW92" s="165" t="s">
        <v>945</v>
      </c>
      <c r="ZX92" s="166" t="str">
        <f>VLOOKUP(ZW92,[13]AssetDetails_UEM!$A$3:$AH$1849,6,FALSE)</f>
        <v>Electrosurgical Units, Monopolar/Bipolar</v>
      </c>
      <c r="ZY92" s="165" t="s">
        <v>945</v>
      </c>
      <c r="ZZ92" s="166" t="str">
        <f>VLOOKUP(ZY92,[13]AssetDetails_UEM!$A$3:$AH$1849,6,FALSE)</f>
        <v>Electrosurgical Units, Monopolar/Bipolar</v>
      </c>
      <c r="AAA92" s="165" t="s">
        <v>945</v>
      </c>
      <c r="AAB92" s="166" t="str">
        <f>VLOOKUP(AAA92,[13]AssetDetails_UEM!$A$3:$AH$1849,6,FALSE)</f>
        <v>Electrosurgical Units, Monopolar/Bipolar</v>
      </c>
      <c r="AAC92" s="165" t="s">
        <v>945</v>
      </c>
      <c r="AAD92" s="166" t="str">
        <f>VLOOKUP(AAC92,[13]AssetDetails_UEM!$A$3:$AH$1849,6,FALSE)</f>
        <v>Electrosurgical Units, Monopolar/Bipolar</v>
      </c>
      <c r="AAE92" s="165" t="s">
        <v>945</v>
      </c>
      <c r="AAF92" s="166" t="str">
        <f>VLOOKUP(AAE92,[13]AssetDetails_UEM!$A$3:$AH$1849,6,FALSE)</f>
        <v>Electrosurgical Units, Monopolar/Bipolar</v>
      </c>
      <c r="AAG92" s="165" t="s">
        <v>945</v>
      </c>
      <c r="AAH92" s="166" t="str">
        <f>VLOOKUP(AAG92,[13]AssetDetails_UEM!$A$3:$AH$1849,6,FALSE)</f>
        <v>Electrosurgical Units, Monopolar/Bipolar</v>
      </c>
      <c r="AAI92" s="165" t="s">
        <v>945</v>
      </c>
      <c r="AAJ92" s="166" t="str">
        <f>VLOOKUP(AAI92,[13]AssetDetails_UEM!$A$3:$AH$1849,6,FALSE)</f>
        <v>Electrosurgical Units, Monopolar/Bipolar</v>
      </c>
      <c r="AAK92" s="165" t="s">
        <v>945</v>
      </c>
      <c r="AAL92" s="166" t="str">
        <f>VLOOKUP(AAK92,[13]AssetDetails_UEM!$A$3:$AH$1849,6,FALSE)</f>
        <v>Electrosurgical Units, Monopolar/Bipolar</v>
      </c>
      <c r="AAM92" s="165" t="s">
        <v>945</v>
      </c>
      <c r="AAN92" s="166" t="str">
        <f>VLOOKUP(AAM92,[13]AssetDetails_UEM!$A$3:$AH$1849,6,FALSE)</f>
        <v>Electrosurgical Units, Monopolar/Bipolar</v>
      </c>
      <c r="AAO92" s="165" t="s">
        <v>945</v>
      </c>
      <c r="AAP92" s="166" t="str">
        <f>VLOOKUP(AAO92,[13]AssetDetails_UEM!$A$3:$AH$1849,6,FALSE)</f>
        <v>Electrosurgical Units, Monopolar/Bipolar</v>
      </c>
      <c r="AAQ92" s="165" t="s">
        <v>945</v>
      </c>
      <c r="AAR92" s="166" t="str">
        <f>VLOOKUP(AAQ92,[13]AssetDetails_UEM!$A$3:$AH$1849,6,FALSE)</f>
        <v>Electrosurgical Units, Monopolar/Bipolar</v>
      </c>
      <c r="AAS92" s="165" t="s">
        <v>945</v>
      </c>
      <c r="AAT92" s="166" t="str">
        <f>VLOOKUP(AAS92,[13]AssetDetails_UEM!$A$3:$AH$1849,6,FALSE)</f>
        <v>Electrosurgical Units, Monopolar/Bipolar</v>
      </c>
      <c r="AAU92" s="165" t="s">
        <v>945</v>
      </c>
      <c r="AAV92" s="166" t="str">
        <f>VLOOKUP(AAU92,[13]AssetDetails_UEM!$A$3:$AH$1849,6,FALSE)</f>
        <v>Electrosurgical Units, Monopolar/Bipolar</v>
      </c>
      <c r="AAW92" s="165" t="s">
        <v>945</v>
      </c>
      <c r="AAX92" s="166" t="str">
        <f>VLOOKUP(AAW92,[13]AssetDetails_UEM!$A$3:$AH$1849,6,FALSE)</f>
        <v>Electrosurgical Units, Monopolar/Bipolar</v>
      </c>
      <c r="AAY92" s="165" t="s">
        <v>945</v>
      </c>
      <c r="AAZ92" s="166" t="str">
        <f>VLOOKUP(AAY92,[13]AssetDetails_UEM!$A$3:$AH$1849,6,FALSE)</f>
        <v>Electrosurgical Units, Monopolar/Bipolar</v>
      </c>
      <c r="ABA92" s="165" t="s">
        <v>945</v>
      </c>
      <c r="ABB92" s="166" t="str">
        <f>VLOOKUP(ABA92,[13]AssetDetails_UEM!$A$3:$AH$1849,6,FALSE)</f>
        <v>Electrosurgical Units, Monopolar/Bipolar</v>
      </c>
      <c r="ABC92" s="165" t="s">
        <v>945</v>
      </c>
      <c r="ABD92" s="166" t="str">
        <f>VLOOKUP(ABC92,[13]AssetDetails_UEM!$A$3:$AH$1849,6,FALSE)</f>
        <v>Electrosurgical Units, Monopolar/Bipolar</v>
      </c>
      <c r="ABE92" s="165" t="s">
        <v>945</v>
      </c>
      <c r="ABF92" s="166" t="str">
        <f>VLOOKUP(ABE92,[13]AssetDetails_UEM!$A$3:$AH$1849,6,FALSE)</f>
        <v>Electrosurgical Units, Monopolar/Bipolar</v>
      </c>
      <c r="ABG92" s="165" t="s">
        <v>945</v>
      </c>
      <c r="ABH92" s="166" t="str">
        <f>VLOOKUP(ABG92,[13]AssetDetails_UEM!$A$3:$AH$1849,6,FALSE)</f>
        <v>Electrosurgical Units, Monopolar/Bipolar</v>
      </c>
      <c r="ABI92" s="165" t="s">
        <v>945</v>
      </c>
      <c r="ABJ92" s="166" t="str">
        <f>VLOOKUP(ABI92,[13]AssetDetails_UEM!$A$3:$AH$1849,6,FALSE)</f>
        <v>Electrosurgical Units, Monopolar/Bipolar</v>
      </c>
      <c r="ABK92" s="165" t="s">
        <v>945</v>
      </c>
      <c r="ABL92" s="166" t="str">
        <f>VLOOKUP(ABK92,[13]AssetDetails_UEM!$A$3:$AH$1849,6,FALSE)</f>
        <v>Electrosurgical Units, Monopolar/Bipolar</v>
      </c>
      <c r="ABM92" s="165" t="s">
        <v>945</v>
      </c>
      <c r="ABN92" s="166" t="str">
        <f>VLOOKUP(ABM92,[13]AssetDetails_UEM!$A$3:$AH$1849,6,FALSE)</f>
        <v>Electrosurgical Units, Monopolar/Bipolar</v>
      </c>
      <c r="ABO92" s="165" t="s">
        <v>945</v>
      </c>
      <c r="ABP92" s="166" t="str">
        <f>VLOOKUP(ABO92,[13]AssetDetails_UEM!$A$3:$AH$1849,6,FALSE)</f>
        <v>Electrosurgical Units, Monopolar/Bipolar</v>
      </c>
      <c r="ABQ92" s="165" t="s">
        <v>945</v>
      </c>
      <c r="ABR92" s="166" t="str">
        <f>VLOOKUP(ABQ92,[13]AssetDetails_UEM!$A$3:$AH$1849,6,FALSE)</f>
        <v>Electrosurgical Units, Monopolar/Bipolar</v>
      </c>
      <c r="ABS92" s="165" t="s">
        <v>945</v>
      </c>
      <c r="ABT92" s="166" t="str">
        <f>VLOOKUP(ABS92,[13]AssetDetails_UEM!$A$3:$AH$1849,6,FALSE)</f>
        <v>Electrosurgical Units, Monopolar/Bipolar</v>
      </c>
      <c r="ABU92" s="165" t="s">
        <v>945</v>
      </c>
      <c r="ABV92" s="166" t="str">
        <f>VLOOKUP(ABU92,[13]AssetDetails_UEM!$A$3:$AH$1849,6,FALSE)</f>
        <v>Electrosurgical Units, Monopolar/Bipolar</v>
      </c>
      <c r="ABW92" s="165" t="s">
        <v>945</v>
      </c>
      <c r="ABX92" s="166" t="str">
        <f>VLOOKUP(ABW92,[13]AssetDetails_UEM!$A$3:$AH$1849,6,FALSE)</f>
        <v>Electrosurgical Units, Monopolar/Bipolar</v>
      </c>
      <c r="ABY92" s="165" t="s">
        <v>945</v>
      </c>
      <c r="ABZ92" s="166" t="str">
        <f>VLOOKUP(ABY92,[13]AssetDetails_UEM!$A$3:$AH$1849,6,FALSE)</f>
        <v>Electrosurgical Units, Monopolar/Bipolar</v>
      </c>
      <c r="ACA92" s="165" t="s">
        <v>945</v>
      </c>
      <c r="ACB92" s="166" t="str">
        <f>VLOOKUP(ACA92,[13]AssetDetails_UEM!$A$3:$AH$1849,6,FALSE)</f>
        <v>Electrosurgical Units, Monopolar/Bipolar</v>
      </c>
      <c r="ACC92" s="165" t="s">
        <v>945</v>
      </c>
      <c r="ACD92" s="166" t="str">
        <f>VLOOKUP(ACC92,[13]AssetDetails_UEM!$A$3:$AH$1849,6,FALSE)</f>
        <v>Electrosurgical Units, Monopolar/Bipolar</v>
      </c>
      <c r="ACE92" s="165" t="s">
        <v>945</v>
      </c>
      <c r="ACF92" s="166" t="str">
        <f>VLOOKUP(ACE92,[13]AssetDetails_UEM!$A$3:$AH$1849,6,FALSE)</f>
        <v>Electrosurgical Units, Monopolar/Bipolar</v>
      </c>
      <c r="ACG92" s="165" t="s">
        <v>945</v>
      </c>
      <c r="ACH92" s="166" t="str">
        <f>VLOOKUP(ACG92,[13]AssetDetails_UEM!$A$3:$AH$1849,6,FALSE)</f>
        <v>Electrosurgical Units, Monopolar/Bipolar</v>
      </c>
      <c r="ACI92" s="165" t="s">
        <v>945</v>
      </c>
      <c r="ACJ92" s="166" t="str">
        <f>VLOOKUP(ACI92,[13]AssetDetails_UEM!$A$3:$AH$1849,6,FALSE)</f>
        <v>Electrosurgical Units, Monopolar/Bipolar</v>
      </c>
      <c r="ACK92" s="165" t="s">
        <v>945</v>
      </c>
      <c r="ACL92" s="166" t="str">
        <f>VLOOKUP(ACK92,[13]AssetDetails_UEM!$A$3:$AH$1849,6,FALSE)</f>
        <v>Electrosurgical Units, Monopolar/Bipolar</v>
      </c>
      <c r="ACM92" s="165" t="s">
        <v>945</v>
      </c>
      <c r="ACN92" s="166" t="str">
        <f>VLOOKUP(ACM92,[13]AssetDetails_UEM!$A$3:$AH$1849,6,FALSE)</f>
        <v>Electrosurgical Units, Monopolar/Bipolar</v>
      </c>
      <c r="ACO92" s="165" t="s">
        <v>945</v>
      </c>
      <c r="ACP92" s="166" t="str">
        <f>VLOOKUP(ACO92,[13]AssetDetails_UEM!$A$3:$AH$1849,6,FALSE)</f>
        <v>Electrosurgical Units, Monopolar/Bipolar</v>
      </c>
      <c r="ACQ92" s="165" t="s">
        <v>945</v>
      </c>
      <c r="ACR92" s="166" t="str">
        <f>VLOOKUP(ACQ92,[13]AssetDetails_UEM!$A$3:$AH$1849,6,FALSE)</f>
        <v>Electrosurgical Units, Monopolar/Bipolar</v>
      </c>
      <c r="ACS92" s="165" t="s">
        <v>945</v>
      </c>
      <c r="ACT92" s="166" t="str">
        <f>VLOOKUP(ACS92,[13]AssetDetails_UEM!$A$3:$AH$1849,6,FALSE)</f>
        <v>Electrosurgical Units, Monopolar/Bipolar</v>
      </c>
      <c r="ACU92" s="165" t="s">
        <v>945</v>
      </c>
      <c r="ACV92" s="166" t="str">
        <f>VLOOKUP(ACU92,[13]AssetDetails_UEM!$A$3:$AH$1849,6,FALSE)</f>
        <v>Electrosurgical Units, Monopolar/Bipolar</v>
      </c>
      <c r="ACW92" s="165" t="s">
        <v>945</v>
      </c>
      <c r="ACX92" s="166" t="str">
        <f>VLOOKUP(ACW92,[13]AssetDetails_UEM!$A$3:$AH$1849,6,FALSE)</f>
        <v>Electrosurgical Units, Monopolar/Bipolar</v>
      </c>
      <c r="ACY92" s="165" t="s">
        <v>945</v>
      </c>
      <c r="ACZ92" s="166" t="str">
        <f>VLOOKUP(ACY92,[13]AssetDetails_UEM!$A$3:$AH$1849,6,FALSE)</f>
        <v>Electrosurgical Units, Monopolar/Bipolar</v>
      </c>
      <c r="ADA92" s="165" t="s">
        <v>945</v>
      </c>
      <c r="ADB92" s="166" t="str">
        <f>VLOOKUP(ADA92,[13]AssetDetails_UEM!$A$3:$AH$1849,6,FALSE)</f>
        <v>Electrosurgical Units, Monopolar/Bipolar</v>
      </c>
      <c r="ADC92" s="165" t="s">
        <v>945</v>
      </c>
      <c r="ADD92" s="166" t="str">
        <f>VLOOKUP(ADC92,[13]AssetDetails_UEM!$A$3:$AH$1849,6,FALSE)</f>
        <v>Electrosurgical Units, Monopolar/Bipolar</v>
      </c>
      <c r="ADE92" s="165" t="s">
        <v>945</v>
      </c>
      <c r="ADF92" s="166" t="str">
        <f>VLOOKUP(ADE92,[13]AssetDetails_UEM!$A$3:$AH$1849,6,FALSE)</f>
        <v>Electrosurgical Units, Monopolar/Bipolar</v>
      </c>
      <c r="ADG92" s="165" t="s">
        <v>945</v>
      </c>
      <c r="ADH92" s="166" t="str">
        <f>VLOOKUP(ADG92,[13]AssetDetails_UEM!$A$3:$AH$1849,6,FALSE)</f>
        <v>Electrosurgical Units, Monopolar/Bipolar</v>
      </c>
      <c r="ADI92" s="165" t="s">
        <v>945</v>
      </c>
      <c r="ADJ92" s="166" t="str">
        <f>VLOOKUP(ADI92,[13]AssetDetails_UEM!$A$3:$AH$1849,6,FALSE)</f>
        <v>Electrosurgical Units, Monopolar/Bipolar</v>
      </c>
      <c r="ADK92" s="165" t="s">
        <v>945</v>
      </c>
      <c r="ADL92" s="166" t="str">
        <f>VLOOKUP(ADK92,[13]AssetDetails_UEM!$A$3:$AH$1849,6,FALSE)</f>
        <v>Electrosurgical Units, Monopolar/Bipolar</v>
      </c>
      <c r="ADM92" s="165" t="s">
        <v>945</v>
      </c>
      <c r="ADN92" s="166" t="str">
        <f>VLOOKUP(ADM92,[13]AssetDetails_UEM!$A$3:$AH$1849,6,FALSE)</f>
        <v>Electrosurgical Units, Monopolar/Bipolar</v>
      </c>
      <c r="ADO92" s="165" t="s">
        <v>945</v>
      </c>
      <c r="ADP92" s="166" t="str">
        <f>VLOOKUP(ADO92,[13]AssetDetails_UEM!$A$3:$AH$1849,6,FALSE)</f>
        <v>Electrosurgical Units, Monopolar/Bipolar</v>
      </c>
      <c r="ADQ92" s="165" t="s">
        <v>945</v>
      </c>
      <c r="ADR92" s="166" t="str">
        <f>VLOOKUP(ADQ92,[13]AssetDetails_UEM!$A$3:$AH$1849,6,FALSE)</f>
        <v>Electrosurgical Units, Monopolar/Bipolar</v>
      </c>
      <c r="ADS92" s="165" t="s">
        <v>945</v>
      </c>
      <c r="ADT92" s="166" t="str">
        <f>VLOOKUP(ADS92,[13]AssetDetails_UEM!$A$3:$AH$1849,6,FALSE)</f>
        <v>Electrosurgical Units, Monopolar/Bipolar</v>
      </c>
      <c r="ADU92" s="165" t="s">
        <v>945</v>
      </c>
      <c r="ADV92" s="166" t="str">
        <f>VLOOKUP(ADU92,[13]AssetDetails_UEM!$A$3:$AH$1849,6,FALSE)</f>
        <v>Electrosurgical Units, Monopolar/Bipolar</v>
      </c>
      <c r="ADW92" s="165" t="s">
        <v>945</v>
      </c>
      <c r="ADX92" s="166" t="str">
        <f>VLOOKUP(ADW92,[13]AssetDetails_UEM!$A$3:$AH$1849,6,FALSE)</f>
        <v>Electrosurgical Units, Monopolar/Bipolar</v>
      </c>
      <c r="ADY92" s="165" t="s">
        <v>945</v>
      </c>
      <c r="ADZ92" s="166" t="str">
        <f>VLOOKUP(ADY92,[13]AssetDetails_UEM!$A$3:$AH$1849,6,FALSE)</f>
        <v>Electrosurgical Units, Monopolar/Bipolar</v>
      </c>
      <c r="AEA92" s="165" t="s">
        <v>945</v>
      </c>
      <c r="AEB92" s="166" t="str">
        <f>VLOOKUP(AEA92,[13]AssetDetails_UEM!$A$3:$AH$1849,6,FALSE)</f>
        <v>Electrosurgical Units, Monopolar/Bipolar</v>
      </c>
      <c r="AEC92" s="165" t="s">
        <v>945</v>
      </c>
      <c r="AED92" s="166" t="str">
        <f>VLOOKUP(AEC92,[13]AssetDetails_UEM!$A$3:$AH$1849,6,FALSE)</f>
        <v>Electrosurgical Units, Monopolar/Bipolar</v>
      </c>
      <c r="AEE92" s="165" t="s">
        <v>945</v>
      </c>
      <c r="AEF92" s="166" t="str">
        <f>VLOOKUP(AEE92,[13]AssetDetails_UEM!$A$3:$AH$1849,6,FALSE)</f>
        <v>Electrosurgical Units, Monopolar/Bipolar</v>
      </c>
      <c r="AEG92" s="165" t="s">
        <v>945</v>
      </c>
      <c r="AEH92" s="166" t="str">
        <f>VLOOKUP(AEG92,[13]AssetDetails_UEM!$A$3:$AH$1849,6,FALSE)</f>
        <v>Electrosurgical Units, Monopolar/Bipolar</v>
      </c>
      <c r="AEI92" s="165" t="s">
        <v>945</v>
      </c>
      <c r="AEJ92" s="166" t="str">
        <f>VLOOKUP(AEI92,[13]AssetDetails_UEM!$A$3:$AH$1849,6,FALSE)</f>
        <v>Electrosurgical Units, Monopolar/Bipolar</v>
      </c>
      <c r="AEK92" s="165" t="s">
        <v>945</v>
      </c>
      <c r="AEL92" s="166" t="str">
        <f>VLOOKUP(AEK92,[13]AssetDetails_UEM!$A$3:$AH$1849,6,FALSE)</f>
        <v>Electrosurgical Units, Monopolar/Bipolar</v>
      </c>
      <c r="AEM92" s="165" t="s">
        <v>945</v>
      </c>
      <c r="AEN92" s="166" t="str">
        <f>VLOOKUP(AEM92,[13]AssetDetails_UEM!$A$3:$AH$1849,6,FALSE)</f>
        <v>Electrosurgical Units, Monopolar/Bipolar</v>
      </c>
      <c r="AEO92" s="165" t="s">
        <v>945</v>
      </c>
      <c r="AEP92" s="166" t="str">
        <f>VLOOKUP(AEO92,[13]AssetDetails_UEM!$A$3:$AH$1849,6,FALSE)</f>
        <v>Electrosurgical Units, Monopolar/Bipolar</v>
      </c>
      <c r="AEQ92" s="165" t="s">
        <v>945</v>
      </c>
      <c r="AER92" s="166" t="str">
        <f>VLOOKUP(AEQ92,[13]AssetDetails_UEM!$A$3:$AH$1849,6,FALSE)</f>
        <v>Electrosurgical Units, Monopolar/Bipolar</v>
      </c>
      <c r="AES92" s="165" t="s">
        <v>945</v>
      </c>
      <c r="AET92" s="166" t="str">
        <f>VLOOKUP(AES92,[13]AssetDetails_UEM!$A$3:$AH$1849,6,FALSE)</f>
        <v>Electrosurgical Units, Monopolar/Bipolar</v>
      </c>
      <c r="AEU92" s="165" t="s">
        <v>945</v>
      </c>
      <c r="AEV92" s="166" t="str">
        <f>VLOOKUP(AEU92,[13]AssetDetails_UEM!$A$3:$AH$1849,6,FALSE)</f>
        <v>Electrosurgical Units, Monopolar/Bipolar</v>
      </c>
      <c r="AEW92" s="165" t="s">
        <v>945</v>
      </c>
      <c r="AEX92" s="166" t="str">
        <f>VLOOKUP(AEW92,[13]AssetDetails_UEM!$A$3:$AH$1849,6,FALSE)</f>
        <v>Electrosurgical Units, Monopolar/Bipolar</v>
      </c>
      <c r="AEY92" s="165" t="s">
        <v>945</v>
      </c>
      <c r="AEZ92" s="166" t="str">
        <f>VLOOKUP(AEY92,[13]AssetDetails_UEM!$A$3:$AH$1849,6,FALSE)</f>
        <v>Electrosurgical Units, Monopolar/Bipolar</v>
      </c>
      <c r="AFA92" s="165" t="s">
        <v>945</v>
      </c>
      <c r="AFB92" s="166" t="str">
        <f>VLOOKUP(AFA92,[13]AssetDetails_UEM!$A$3:$AH$1849,6,FALSE)</f>
        <v>Electrosurgical Units, Monopolar/Bipolar</v>
      </c>
      <c r="AFC92" s="165" t="s">
        <v>945</v>
      </c>
      <c r="AFD92" s="166" t="str">
        <f>VLOOKUP(AFC92,[13]AssetDetails_UEM!$A$3:$AH$1849,6,FALSE)</f>
        <v>Electrosurgical Units, Monopolar/Bipolar</v>
      </c>
      <c r="AFE92" s="165" t="s">
        <v>945</v>
      </c>
      <c r="AFF92" s="166" t="str">
        <f>VLOOKUP(AFE92,[13]AssetDetails_UEM!$A$3:$AH$1849,6,FALSE)</f>
        <v>Electrosurgical Units, Monopolar/Bipolar</v>
      </c>
      <c r="AFG92" s="165" t="s">
        <v>945</v>
      </c>
      <c r="AFH92" s="166" t="str">
        <f>VLOOKUP(AFG92,[13]AssetDetails_UEM!$A$3:$AH$1849,6,FALSE)</f>
        <v>Electrosurgical Units, Monopolar/Bipolar</v>
      </c>
      <c r="AFI92" s="165" t="s">
        <v>945</v>
      </c>
      <c r="AFJ92" s="166" t="str">
        <f>VLOOKUP(AFI92,[13]AssetDetails_UEM!$A$3:$AH$1849,6,FALSE)</f>
        <v>Electrosurgical Units, Monopolar/Bipolar</v>
      </c>
      <c r="AFK92" s="165" t="s">
        <v>945</v>
      </c>
      <c r="AFL92" s="166" t="str">
        <f>VLOOKUP(AFK92,[13]AssetDetails_UEM!$A$3:$AH$1849,6,FALSE)</f>
        <v>Electrosurgical Units, Monopolar/Bipolar</v>
      </c>
      <c r="AFM92" s="165" t="s">
        <v>945</v>
      </c>
      <c r="AFN92" s="166" t="str">
        <f>VLOOKUP(AFM92,[13]AssetDetails_UEM!$A$3:$AH$1849,6,FALSE)</f>
        <v>Electrosurgical Units, Monopolar/Bipolar</v>
      </c>
      <c r="AFO92" s="165" t="s">
        <v>945</v>
      </c>
      <c r="AFP92" s="166" t="str">
        <f>VLOOKUP(AFO92,[13]AssetDetails_UEM!$A$3:$AH$1849,6,FALSE)</f>
        <v>Electrosurgical Units, Monopolar/Bipolar</v>
      </c>
      <c r="AFQ92" s="165" t="s">
        <v>945</v>
      </c>
      <c r="AFR92" s="166" t="str">
        <f>VLOOKUP(AFQ92,[13]AssetDetails_UEM!$A$3:$AH$1849,6,FALSE)</f>
        <v>Electrosurgical Units, Monopolar/Bipolar</v>
      </c>
      <c r="AFS92" s="165" t="s">
        <v>945</v>
      </c>
      <c r="AFT92" s="166" t="str">
        <f>VLOOKUP(AFS92,[13]AssetDetails_UEM!$A$3:$AH$1849,6,FALSE)</f>
        <v>Electrosurgical Units, Monopolar/Bipolar</v>
      </c>
      <c r="AFU92" s="165" t="s">
        <v>945</v>
      </c>
      <c r="AFV92" s="166" t="str">
        <f>VLOOKUP(AFU92,[13]AssetDetails_UEM!$A$3:$AH$1849,6,FALSE)</f>
        <v>Electrosurgical Units, Monopolar/Bipolar</v>
      </c>
      <c r="AFW92" s="165" t="s">
        <v>945</v>
      </c>
      <c r="AFX92" s="166" t="str">
        <f>VLOOKUP(AFW92,[13]AssetDetails_UEM!$A$3:$AH$1849,6,FALSE)</f>
        <v>Electrosurgical Units, Monopolar/Bipolar</v>
      </c>
      <c r="AFY92" s="165" t="s">
        <v>945</v>
      </c>
      <c r="AFZ92" s="166" t="str">
        <f>VLOOKUP(AFY92,[13]AssetDetails_UEM!$A$3:$AH$1849,6,FALSE)</f>
        <v>Electrosurgical Units, Monopolar/Bipolar</v>
      </c>
      <c r="AGA92" s="165" t="s">
        <v>945</v>
      </c>
      <c r="AGB92" s="166" t="str">
        <f>VLOOKUP(AGA92,[13]AssetDetails_UEM!$A$3:$AH$1849,6,FALSE)</f>
        <v>Electrosurgical Units, Monopolar/Bipolar</v>
      </c>
      <c r="AGC92" s="165" t="s">
        <v>945</v>
      </c>
      <c r="AGD92" s="166" t="str">
        <f>VLOOKUP(AGC92,[13]AssetDetails_UEM!$A$3:$AH$1849,6,FALSE)</f>
        <v>Electrosurgical Units, Monopolar/Bipolar</v>
      </c>
      <c r="AGE92" s="165" t="s">
        <v>945</v>
      </c>
      <c r="AGF92" s="166" t="str">
        <f>VLOOKUP(AGE92,[13]AssetDetails_UEM!$A$3:$AH$1849,6,FALSE)</f>
        <v>Electrosurgical Units, Monopolar/Bipolar</v>
      </c>
      <c r="AGG92" s="165" t="s">
        <v>945</v>
      </c>
      <c r="AGH92" s="166" t="str">
        <f>VLOOKUP(AGG92,[13]AssetDetails_UEM!$A$3:$AH$1849,6,FALSE)</f>
        <v>Electrosurgical Units, Monopolar/Bipolar</v>
      </c>
      <c r="AGI92" s="165" t="s">
        <v>945</v>
      </c>
      <c r="AGJ92" s="166" t="str">
        <f>VLOOKUP(AGI92,[13]AssetDetails_UEM!$A$3:$AH$1849,6,FALSE)</f>
        <v>Electrosurgical Units, Monopolar/Bipolar</v>
      </c>
      <c r="AGK92" s="165" t="s">
        <v>945</v>
      </c>
      <c r="AGL92" s="166" t="str">
        <f>VLOOKUP(AGK92,[13]AssetDetails_UEM!$A$3:$AH$1849,6,FALSE)</f>
        <v>Electrosurgical Units, Monopolar/Bipolar</v>
      </c>
      <c r="AGM92" s="165" t="s">
        <v>945</v>
      </c>
      <c r="AGN92" s="166" t="str">
        <f>VLOOKUP(AGM92,[13]AssetDetails_UEM!$A$3:$AH$1849,6,FALSE)</f>
        <v>Electrosurgical Units, Monopolar/Bipolar</v>
      </c>
      <c r="AGO92" s="165" t="s">
        <v>945</v>
      </c>
      <c r="AGP92" s="166" t="str">
        <f>VLOOKUP(AGO92,[13]AssetDetails_UEM!$A$3:$AH$1849,6,FALSE)</f>
        <v>Electrosurgical Units, Monopolar/Bipolar</v>
      </c>
      <c r="AGQ92" s="165" t="s">
        <v>945</v>
      </c>
      <c r="AGR92" s="166" t="str">
        <f>VLOOKUP(AGQ92,[13]AssetDetails_UEM!$A$3:$AH$1849,6,FALSE)</f>
        <v>Electrosurgical Units, Monopolar/Bipolar</v>
      </c>
      <c r="AGS92" s="165" t="s">
        <v>945</v>
      </c>
      <c r="AGT92" s="166" t="str">
        <f>VLOOKUP(AGS92,[13]AssetDetails_UEM!$A$3:$AH$1849,6,FALSE)</f>
        <v>Electrosurgical Units, Monopolar/Bipolar</v>
      </c>
      <c r="AGU92" s="165" t="s">
        <v>945</v>
      </c>
      <c r="AGV92" s="166" t="str">
        <f>VLOOKUP(AGU92,[13]AssetDetails_UEM!$A$3:$AH$1849,6,FALSE)</f>
        <v>Electrosurgical Units, Monopolar/Bipolar</v>
      </c>
      <c r="AGW92" s="165" t="s">
        <v>945</v>
      </c>
      <c r="AGX92" s="166" t="str">
        <f>VLOOKUP(AGW92,[13]AssetDetails_UEM!$A$3:$AH$1849,6,FALSE)</f>
        <v>Electrosurgical Units, Monopolar/Bipolar</v>
      </c>
      <c r="AGY92" s="165" t="s">
        <v>945</v>
      </c>
      <c r="AGZ92" s="166" t="str">
        <f>VLOOKUP(AGY92,[13]AssetDetails_UEM!$A$3:$AH$1849,6,FALSE)</f>
        <v>Electrosurgical Units, Monopolar/Bipolar</v>
      </c>
      <c r="AHA92" s="165" t="s">
        <v>945</v>
      </c>
      <c r="AHB92" s="166" t="str">
        <f>VLOOKUP(AHA92,[13]AssetDetails_UEM!$A$3:$AH$1849,6,FALSE)</f>
        <v>Electrosurgical Units, Monopolar/Bipolar</v>
      </c>
      <c r="AHC92" s="165" t="s">
        <v>945</v>
      </c>
      <c r="AHD92" s="166" t="str">
        <f>VLOOKUP(AHC92,[13]AssetDetails_UEM!$A$3:$AH$1849,6,FALSE)</f>
        <v>Electrosurgical Units, Monopolar/Bipolar</v>
      </c>
      <c r="AHE92" s="165" t="s">
        <v>945</v>
      </c>
      <c r="AHF92" s="166" t="str">
        <f>VLOOKUP(AHE92,[13]AssetDetails_UEM!$A$3:$AH$1849,6,FALSE)</f>
        <v>Electrosurgical Units, Monopolar/Bipolar</v>
      </c>
      <c r="AHG92" s="165" t="s">
        <v>945</v>
      </c>
      <c r="AHH92" s="166" t="str">
        <f>VLOOKUP(AHG92,[13]AssetDetails_UEM!$A$3:$AH$1849,6,FALSE)</f>
        <v>Electrosurgical Units, Monopolar/Bipolar</v>
      </c>
      <c r="AHI92" s="165" t="s">
        <v>945</v>
      </c>
      <c r="AHJ92" s="166" t="str">
        <f>VLOOKUP(AHI92,[13]AssetDetails_UEM!$A$3:$AH$1849,6,FALSE)</f>
        <v>Electrosurgical Units, Monopolar/Bipolar</v>
      </c>
      <c r="AHK92" s="165" t="s">
        <v>945</v>
      </c>
      <c r="AHL92" s="166" t="str">
        <f>VLOOKUP(AHK92,[13]AssetDetails_UEM!$A$3:$AH$1849,6,FALSE)</f>
        <v>Electrosurgical Units, Monopolar/Bipolar</v>
      </c>
      <c r="AHM92" s="165" t="s">
        <v>945</v>
      </c>
      <c r="AHN92" s="166" t="str">
        <f>VLOOKUP(AHM92,[13]AssetDetails_UEM!$A$3:$AH$1849,6,FALSE)</f>
        <v>Electrosurgical Units, Monopolar/Bipolar</v>
      </c>
      <c r="AHO92" s="165" t="s">
        <v>945</v>
      </c>
      <c r="AHP92" s="166" t="str">
        <f>VLOOKUP(AHO92,[13]AssetDetails_UEM!$A$3:$AH$1849,6,FALSE)</f>
        <v>Electrosurgical Units, Monopolar/Bipolar</v>
      </c>
      <c r="AHQ92" s="165" t="s">
        <v>945</v>
      </c>
      <c r="AHR92" s="166" t="str">
        <f>VLOOKUP(AHQ92,[13]AssetDetails_UEM!$A$3:$AH$1849,6,FALSE)</f>
        <v>Electrosurgical Units, Monopolar/Bipolar</v>
      </c>
      <c r="AHS92" s="165" t="s">
        <v>945</v>
      </c>
      <c r="AHT92" s="166" t="str">
        <f>VLOOKUP(AHS92,[13]AssetDetails_UEM!$A$3:$AH$1849,6,FALSE)</f>
        <v>Electrosurgical Units, Monopolar/Bipolar</v>
      </c>
      <c r="AHU92" s="165" t="s">
        <v>945</v>
      </c>
      <c r="AHV92" s="166" t="str">
        <f>VLOOKUP(AHU92,[13]AssetDetails_UEM!$A$3:$AH$1849,6,FALSE)</f>
        <v>Electrosurgical Units, Monopolar/Bipolar</v>
      </c>
      <c r="AHW92" s="165" t="s">
        <v>945</v>
      </c>
      <c r="AHX92" s="166" t="str">
        <f>VLOOKUP(AHW92,[13]AssetDetails_UEM!$A$3:$AH$1849,6,FALSE)</f>
        <v>Electrosurgical Units, Monopolar/Bipolar</v>
      </c>
      <c r="AHY92" s="165" t="s">
        <v>945</v>
      </c>
      <c r="AHZ92" s="166" t="str">
        <f>VLOOKUP(AHY92,[13]AssetDetails_UEM!$A$3:$AH$1849,6,FALSE)</f>
        <v>Electrosurgical Units, Monopolar/Bipolar</v>
      </c>
      <c r="AIA92" s="165" t="s">
        <v>945</v>
      </c>
      <c r="AIB92" s="166" t="str">
        <f>VLOOKUP(AIA92,[13]AssetDetails_UEM!$A$3:$AH$1849,6,FALSE)</f>
        <v>Electrosurgical Units, Monopolar/Bipolar</v>
      </c>
      <c r="AIC92" s="165" t="s">
        <v>945</v>
      </c>
      <c r="AID92" s="166" t="str">
        <f>VLOOKUP(AIC92,[13]AssetDetails_UEM!$A$3:$AH$1849,6,FALSE)</f>
        <v>Electrosurgical Units, Monopolar/Bipolar</v>
      </c>
      <c r="AIE92" s="165" t="s">
        <v>945</v>
      </c>
      <c r="AIF92" s="166" t="str">
        <f>VLOOKUP(AIE92,[13]AssetDetails_UEM!$A$3:$AH$1849,6,FALSE)</f>
        <v>Electrosurgical Units, Monopolar/Bipolar</v>
      </c>
      <c r="AIG92" s="165" t="s">
        <v>945</v>
      </c>
      <c r="AIH92" s="166" t="str">
        <f>VLOOKUP(AIG92,[13]AssetDetails_UEM!$A$3:$AH$1849,6,FALSE)</f>
        <v>Electrosurgical Units, Monopolar/Bipolar</v>
      </c>
      <c r="AII92" s="165" t="s">
        <v>945</v>
      </c>
      <c r="AIJ92" s="166" t="str">
        <f>VLOOKUP(AII92,[13]AssetDetails_UEM!$A$3:$AH$1849,6,FALSE)</f>
        <v>Electrosurgical Units, Monopolar/Bipolar</v>
      </c>
      <c r="AIK92" s="165" t="s">
        <v>945</v>
      </c>
      <c r="AIL92" s="166" t="str">
        <f>VLOOKUP(AIK92,[13]AssetDetails_UEM!$A$3:$AH$1849,6,FALSE)</f>
        <v>Electrosurgical Units, Monopolar/Bipolar</v>
      </c>
      <c r="AIM92" s="165" t="s">
        <v>945</v>
      </c>
      <c r="AIN92" s="166" t="str">
        <f>VLOOKUP(AIM92,[13]AssetDetails_UEM!$A$3:$AH$1849,6,FALSE)</f>
        <v>Electrosurgical Units, Monopolar/Bipolar</v>
      </c>
      <c r="AIO92" s="165" t="s">
        <v>945</v>
      </c>
      <c r="AIP92" s="166" t="str">
        <f>VLOOKUP(AIO92,[13]AssetDetails_UEM!$A$3:$AH$1849,6,FALSE)</f>
        <v>Electrosurgical Units, Monopolar/Bipolar</v>
      </c>
      <c r="AIQ92" s="165" t="s">
        <v>945</v>
      </c>
      <c r="AIR92" s="166" t="str">
        <f>VLOOKUP(AIQ92,[13]AssetDetails_UEM!$A$3:$AH$1849,6,FALSE)</f>
        <v>Electrosurgical Units, Monopolar/Bipolar</v>
      </c>
      <c r="AIS92" s="165" t="s">
        <v>945</v>
      </c>
      <c r="AIT92" s="166" t="str">
        <f>VLOOKUP(AIS92,[13]AssetDetails_UEM!$A$3:$AH$1849,6,FALSE)</f>
        <v>Electrosurgical Units, Monopolar/Bipolar</v>
      </c>
      <c r="AIU92" s="165" t="s">
        <v>945</v>
      </c>
      <c r="AIV92" s="166" t="str">
        <f>VLOOKUP(AIU92,[13]AssetDetails_UEM!$A$3:$AH$1849,6,FALSE)</f>
        <v>Electrosurgical Units, Monopolar/Bipolar</v>
      </c>
      <c r="AIW92" s="165" t="s">
        <v>945</v>
      </c>
      <c r="AIX92" s="166" t="str">
        <f>VLOOKUP(AIW92,[13]AssetDetails_UEM!$A$3:$AH$1849,6,FALSE)</f>
        <v>Electrosurgical Units, Monopolar/Bipolar</v>
      </c>
      <c r="AIY92" s="165" t="s">
        <v>945</v>
      </c>
      <c r="AIZ92" s="166" t="str">
        <f>VLOOKUP(AIY92,[13]AssetDetails_UEM!$A$3:$AH$1849,6,FALSE)</f>
        <v>Electrosurgical Units, Monopolar/Bipolar</v>
      </c>
      <c r="AJA92" s="165" t="s">
        <v>945</v>
      </c>
      <c r="AJB92" s="166" t="str">
        <f>VLOOKUP(AJA92,[13]AssetDetails_UEM!$A$3:$AH$1849,6,FALSE)</f>
        <v>Electrosurgical Units, Monopolar/Bipolar</v>
      </c>
      <c r="AJC92" s="165" t="s">
        <v>945</v>
      </c>
      <c r="AJD92" s="166" t="str">
        <f>VLOOKUP(AJC92,[13]AssetDetails_UEM!$A$3:$AH$1849,6,FALSE)</f>
        <v>Electrosurgical Units, Monopolar/Bipolar</v>
      </c>
      <c r="AJE92" s="165" t="s">
        <v>945</v>
      </c>
      <c r="AJF92" s="166" t="str">
        <f>VLOOKUP(AJE92,[13]AssetDetails_UEM!$A$3:$AH$1849,6,FALSE)</f>
        <v>Electrosurgical Units, Monopolar/Bipolar</v>
      </c>
      <c r="AJG92" s="165" t="s">
        <v>945</v>
      </c>
      <c r="AJH92" s="166" t="str">
        <f>VLOOKUP(AJG92,[13]AssetDetails_UEM!$A$3:$AH$1849,6,FALSE)</f>
        <v>Electrosurgical Units, Monopolar/Bipolar</v>
      </c>
      <c r="AJI92" s="165" t="s">
        <v>945</v>
      </c>
      <c r="AJJ92" s="166" t="str">
        <f>VLOOKUP(AJI92,[13]AssetDetails_UEM!$A$3:$AH$1849,6,FALSE)</f>
        <v>Electrosurgical Units, Monopolar/Bipolar</v>
      </c>
      <c r="AJK92" s="165" t="s">
        <v>945</v>
      </c>
      <c r="AJL92" s="166" t="str">
        <f>VLOOKUP(AJK92,[13]AssetDetails_UEM!$A$3:$AH$1849,6,FALSE)</f>
        <v>Electrosurgical Units, Monopolar/Bipolar</v>
      </c>
      <c r="AJM92" s="165" t="s">
        <v>945</v>
      </c>
      <c r="AJN92" s="166" t="str">
        <f>VLOOKUP(AJM92,[13]AssetDetails_UEM!$A$3:$AH$1849,6,FALSE)</f>
        <v>Electrosurgical Units, Monopolar/Bipolar</v>
      </c>
      <c r="AJO92" s="165" t="s">
        <v>945</v>
      </c>
      <c r="AJP92" s="166" t="str">
        <f>VLOOKUP(AJO92,[13]AssetDetails_UEM!$A$3:$AH$1849,6,FALSE)</f>
        <v>Electrosurgical Units, Monopolar/Bipolar</v>
      </c>
      <c r="AJQ92" s="165" t="s">
        <v>945</v>
      </c>
      <c r="AJR92" s="166" t="str">
        <f>VLOOKUP(AJQ92,[13]AssetDetails_UEM!$A$3:$AH$1849,6,FALSE)</f>
        <v>Electrosurgical Units, Monopolar/Bipolar</v>
      </c>
      <c r="AJS92" s="165" t="s">
        <v>945</v>
      </c>
      <c r="AJT92" s="166" t="str">
        <f>VLOOKUP(AJS92,[13]AssetDetails_UEM!$A$3:$AH$1849,6,FALSE)</f>
        <v>Electrosurgical Units, Monopolar/Bipolar</v>
      </c>
      <c r="AJU92" s="165" t="s">
        <v>945</v>
      </c>
      <c r="AJV92" s="166" t="str">
        <f>VLOOKUP(AJU92,[13]AssetDetails_UEM!$A$3:$AH$1849,6,FALSE)</f>
        <v>Electrosurgical Units, Monopolar/Bipolar</v>
      </c>
      <c r="AJW92" s="165" t="s">
        <v>945</v>
      </c>
      <c r="AJX92" s="166" t="str">
        <f>VLOOKUP(AJW92,[13]AssetDetails_UEM!$A$3:$AH$1849,6,FALSE)</f>
        <v>Electrosurgical Units, Monopolar/Bipolar</v>
      </c>
      <c r="AJY92" s="165" t="s">
        <v>945</v>
      </c>
      <c r="AJZ92" s="166" t="str">
        <f>VLOOKUP(AJY92,[13]AssetDetails_UEM!$A$3:$AH$1849,6,FALSE)</f>
        <v>Electrosurgical Units, Monopolar/Bipolar</v>
      </c>
      <c r="AKA92" s="165" t="s">
        <v>945</v>
      </c>
      <c r="AKB92" s="166" t="str">
        <f>VLOOKUP(AKA92,[13]AssetDetails_UEM!$A$3:$AH$1849,6,FALSE)</f>
        <v>Electrosurgical Units, Monopolar/Bipolar</v>
      </c>
      <c r="AKC92" s="165" t="s">
        <v>945</v>
      </c>
      <c r="AKD92" s="166" t="str">
        <f>VLOOKUP(AKC92,[13]AssetDetails_UEM!$A$3:$AH$1849,6,FALSE)</f>
        <v>Electrosurgical Units, Monopolar/Bipolar</v>
      </c>
      <c r="AKE92" s="165" t="s">
        <v>945</v>
      </c>
      <c r="AKF92" s="166" t="str">
        <f>VLOOKUP(AKE92,[13]AssetDetails_UEM!$A$3:$AH$1849,6,FALSE)</f>
        <v>Electrosurgical Units, Monopolar/Bipolar</v>
      </c>
      <c r="AKG92" s="165" t="s">
        <v>945</v>
      </c>
      <c r="AKH92" s="166" t="str">
        <f>VLOOKUP(AKG92,[13]AssetDetails_UEM!$A$3:$AH$1849,6,FALSE)</f>
        <v>Electrosurgical Units, Monopolar/Bipolar</v>
      </c>
      <c r="AKI92" s="165" t="s">
        <v>945</v>
      </c>
      <c r="AKJ92" s="166" t="str">
        <f>VLOOKUP(AKI92,[13]AssetDetails_UEM!$A$3:$AH$1849,6,FALSE)</f>
        <v>Electrosurgical Units, Monopolar/Bipolar</v>
      </c>
      <c r="AKK92" s="165" t="s">
        <v>945</v>
      </c>
      <c r="AKL92" s="166" t="str">
        <f>VLOOKUP(AKK92,[13]AssetDetails_UEM!$A$3:$AH$1849,6,FALSE)</f>
        <v>Electrosurgical Units, Monopolar/Bipolar</v>
      </c>
      <c r="AKM92" s="165" t="s">
        <v>945</v>
      </c>
      <c r="AKN92" s="166" t="str">
        <f>VLOOKUP(AKM92,[13]AssetDetails_UEM!$A$3:$AH$1849,6,FALSE)</f>
        <v>Electrosurgical Units, Monopolar/Bipolar</v>
      </c>
      <c r="AKO92" s="165" t="s">
        <v>945</v>
      </c>
      <c r="AKP92" s="166" t="str">
        <f>VLOOKUP(AKO92,[13]AssetDetails_UEM!$A$3:$AH$1849,6,FALSE)</f>
        <v>Electrosurgical Units, Monopolar/Bipolar</v>
      </c>
      <c r="AKQ92" s="165" t="s">
        <v>945</v>
      </c>
      <c r="AKR92" s="166" t="str">
        <f>VLOOKUP(AKQ92,[13]AssetDetails_UEM!$A$3:$AH$1849,6,FALSE)</f>
        <v>Electrosurgical Units, Monopolar/Bipolar</v>
      </c>
      <c r="AKS92" s="165" t="s">
        <v>945</v>
      </c>
      <c r="AKT92" s="166" t="str">
        <f>VLOOKUP(AKS92,[13]AssetDetails_UEM!$A$3:$AH$1849,6,FALSE)</f>
        <v>Electrosurgical Units, Monopolar/Bipolar</v>
      </c>
      <c r="AKU92" s="165" t="s">
        <v>945</v>
      </c>
      <c r="AKV92" s="166" t="str">
        <f>VLOOKUP(AKU92,[13]AssetDetails_UEM!$A$3:$AH$1849,6,FALSE)</f>
        <v>Electrosurgical Units, Monopolar/Bipolar</v>
      </c>
      <c r="AKW92" s="165" t="s">
        <v>945</v>
      </c>
      <c r="AKX92" s="166" t="str">
        <f>VLOOKUP(AKW92,[13]AssetDetails_UEM!$A$3:$AH$1849,6,FALSE)</f>
        <v>Electrosurgical Units, Monopolar/Bipolar</v>
      </c>
      <c r="AKY92" s="165" t="s">
        <v>945</v>
      </c>
      <c r="AKZ92" s="166" t="str">
        <f>VLOOKUP(AKY92,[13]AssetDetails_UEM!$A$3:$AH$1849,6,FALSE)</f>
        <v>Electrosurgical Units, Monopolar/Bipolar</v>
      </c>
      <c r="ALA92" s="165" t="s">
        <v>945</v>
      </c>
      <c r="ALB92" s="166" t="str">
        <f>VLOOKUP(ALA92,[13]AssetDetails_UEM!$A$3:$AH$1849,6,FALSE)</f>
        <v>Electrosurgical Units, Monopolar/Bipolar</v>
      </c>
      <c r="ALC92" s="165" t="s">
        <v>945</v>
      </c>
      <c r="ALD92" s="166" t="str">
        <f>VLOOKUP(ALC92,[13]AssetDetails_UEM!$A$3:$AH$1849,6,FALSE)</f>
        <v>Electrosurgical Units, Monopolar/Bipolar</v>
      </c>
      <c r="ALE92" s="165" t="s">
        <v>945</v>
      </c>
      <c r="ALF92" s="166" t="str">
        <f>VLOOKUP(ALE92,[13]AssetDetails_UEM!$A$3:$AH$1849,6,FALSE)</f>
        <v>Electrosurgical Units, Monopolar/Bipolar</v>
      </c>
      <c r="ALG92" s="165" t="s">
        <v>945</v>
      </c>
      <c r="ALH92" s="166" t="str">
        <f>VLOOKUP(ALG92,[13]AssetDetails_UEM!$A$3:$AH$1849,6,FALSE)</f>
        <v>Electrosurgical Units, Monopolar/Bipolar</v>
      </c>
      <c r="ALI92" s="165" t="s">
        <v>945</v>
      </c>
      <c r="ALJ92" s="166" t="str">
        <f>VLOOKUP(ALI92,[13]AssetDetails_UEM!$A$3:$AH$1849,6,FALSE)</f>
        <v>Electrosurgical Units, Monopolar/Bipolar</v>
      </c>
      <c r="ALK92" s="165" t="s">
        <v>945</v>
      </c>
      <c r="ALL92" s="166" t="str">
        <f>VLOOKUP(ALK92,[13]AssetDetails_UEM!$A$3:$AH$1849,6,FALSE)</f>
        <v>Electrosurgical Units, Monopolar/Bipolar</v>
      </c>
      <c r="ALM92" s="165" t="s">
        <v>945</v>
      </c>
      <c r="ALN92" s="166" t="str">
        <f>VLOOKUP(ALM92,[13]AssetDetails_UEM!$A$3:$AH$1849,6,FALSE)</f>
        <v>Electrosurgical Units, Monopolar/Bipolar</v>
      </c>
      <c r="ALO92" s="165" t="s">
        <v>945</v>
      </c>
      <c r="ALP92" s="166" t="str">
        <f>VLOOKUP(ALO92,[13]AssetDetails_UEM!$A$3:$AH$1849,6,FALSE)</f>
        <v>Electrosurgical Units, Monopolar/Bipolar</v>
      </c>
      <c r="ALQ92" s="165" t="s">
        <v>945</v>
      </c>
      <c r="ALR92" s="166" t="str">
        <f>VLOOKUP(ALQ92,[13]AssetDetails_UEM!$A$3:$AH$1849,6,FALSE)</f>
        <v>Electrosurgical Units, Monopolar/Bipolar</v>
      </c>
      <c r="ALS92" s="165" t="s">
        <v>945</v>
      </c>
      <c r="ALT92" s="166" t="str">
        <f>VLOOKUP(ALS92,[13]AssetDetails_UEM!$A$3:$AH$1849,6,FALSE)</f>
        <v>Electrosurgical Units, Monopolar/Bipolar</v>
      </c>
      <c r="ALU92" s="165" t="s">
        <v>945</v>
      </c>
      <c r="ALV92" s="166" t="str">
        <f>VLOOKUP(ALU92,[13]AssetDetails_UEM!$A$3:$AH$1849,6,FALSE)</f>
        <v>Electrosurgical Units, Monopolar/Bipolar</v>
      </c>
      <c r="ALW92" s="165" t="s">
        <v>945</v>
      </c>
      <c r="ALX92" s="166" t="str">
        <f>VLOOKUP(ALW92,[13]AssetDetails_UEM!$A$3:$AH$1849,6,FALSE)</f>
        <v>Electrosurgical Units, Monopolar/Bipolar</v>
      </c>
      <c r="ALY92" s="165" t="s">
        <v>945</v>
      </c>
      <c r="ALZ92" s="166" t="str">
        <f>VLOOKUP(ALY92,[13]AssetDetails_UEM!$A$3:$AH$1849,6,FALSE)</f>
        <v>Electrosurgical Units, Monopolar/Bipolar</v>
      </c>
      <c r="AMA92" s="165" t="s">
        <v>945</v>
      </c>
      <c r="AMB92" s="166" t="str">
        <f>VLOOKUP(AMA92,[13]AssetDetails_UEM!$A$3:$AH$1849,6,FALSE)</f>
        <v>Electrosurgical Units, Monopolar/Bipolar</v>
      </c>
      <c r="AMC92" s="165" t="s">
        <v>945</v>
      </c>
      <c r="AMD92" s="166" t="str">
        <f>VLOOKUP(AMC92,[13]AssetDetails_UEM!$A$3:$AH$1849,6,FALSE)</f>
        <v>Electrosurgical Units, Monopolar/Bipolar</v>
      </c>
      <c r="AME92" s="165" t="s">
        <v>945</v>
      </c>
      <c r="AMF92" s="166" t="str">
        <f>VLOOKUP(AME92,[13]AssetDetails_UEM!$A$3:$AH$1849,6,FALSE)</f>
        <v>Electrosurgical Units, Monopolar/Bipolar</v>
      </c>
      <c r="AMG92" s="165" t="s">
        <v>945</v>
      </c>
      <c r="AMH92" s="166" t="str">
        <f>VLOOKUP(AMG92,[13]AssetDetails_UEM!$A$3:$AH$1849,6,FALSE)</f>
        <v>Electrosurgical Units, Monopolar/Bipolar</v>
      </c>
      <c r="AMI92" s="165" t="s">
        <v>945</v>
      </c>
      <c r="AMJ92" s="166" t="str">
        <f>VLOOKUP(AMI92,[13]AssetDetails_UEM!$A$3:$AH$1849,6,FALSE)</f>
        <v>Electrosurgical Units, Monopolar/Bipolar</v>
      </c>
      <c r="AMK92" s="165" t="s">
        <v>945</v>
      </c>
      <c r="AML92" s="166" t="str">
        <f>VLOOKUP(AMK92,[13]AssetDetails_UEM!$A$3:$AH$1849,6,FALSE)</f>
        <v>Electrosurgical Units, Monopolar/Bipolar</v>
      </c>
      <c r="AMM92" s="165" t="s">
        <v>945</v>
      </c>
      <c r="AMN92" s="166" t="str">
        <f>VLOOKUP(AMM92,[13]AssetDetails_UEM!$A$3:$AH$1849,6,FALSE)</f>
        <v>Electrosurgical Units, Monopolar/Bipolar</v>
      </c>
      <c r="AMO92" s="165" t="s">
        <v>945</v>
      </c>
      <c r="AMP92" s="166" t="str">
        <f>VLOOKUP(AMO92,[13]AssetDetails_UEM!$A$3:$AH$1849,6,FALSE)</f>
        <v>Electrosurgical Units, Monopolar/Bipolar</v>
      </c>
      <c r="AMQ92" s="165" t="s">
        <v>945</v>
      </c>
      <c r="AMR92" s="166" t="str">
        <f>VLOOKUP(AMQ92,[13]AssetDetails_UEM!$A$3:$AH$1849,6,FALSE)</f>
        <v>Electrosurgical Units, Monopolar/Bipolar</v>
      </c>
      <c r="AMS92" s="165" t="s">
        <v>945</v>
      </c>
      <c r="AMT92" s="166" t="str">
        <f>VLOOKUP(AMS92,[13]AssetDetails_UEM!$A$3:$AH$1849,6,FALSE)</f>
        <v>Electrosurgical Units, Monopolar/Bipolar</v>
      </c>
      <c r="AMU92" s="165" t="s">
        <v>945</v>
      </c>
      <c r="AMV92" s="166" t="str">
        <f>VLOOKUP(AMU92,[13]AssetDetails_UEM!$A$3:$AH$1849,6,FALSE)</f>
        <v>Electrosurgical Units, Monopolar/Bipolar</v>
      </c>
      <c r="AMW92" s="165" t="s">
        <v>945</v>
      </c>
      <c r="AMX92" s="166" t="str">
        <f>VLOOKUP(AMW92,[13]AssetDetails_UEM!$A$3:$AH$1849,6,FALSE)</f>
        <v>Electrosurgical Units, Monopolar/Bipolar</v>
      </c>
      <c r="AMY92" s="165" t="s">
        <v>945</v>
      </c>
      <c r="AMZ92" s="166" t="str">
        <f>VLOOKUP(AMY92,[13]AssetDetails_UEM!$A$3:$AH$1849,6,FALSE)</f>
        <v>Electrosurgical Units, Monopolar/Bipolar</v>
      </c>
      <c r="ANA92" s="165" t="s">
        <v>945</v>
      </c>
      <c r="ANB92" s="166" t="str">
        <f>VLOOKUP(ANA92,[13]AssetDetails_UEM!$A$3:$AH$1849,6,FALSE)</f>
        <v>Electrosurgical Units, Monopolar/Bipolar</v>
      </c>
      <c r="ANC92" s="165" t="s">
        <v>945</v>
      </c>
      <c r="AND92" s="166" t="str">
        <f>VLOOKUP(ANC92,[13]AssetDetails_UEM!$A$3:$AH$1849,6,FALSE)</f>
        <v>Electrosurgical Units, Monopolar/Bipolar</v>
      </c>
      <c r="ANE92" s="165" t="s">
        <v>945</v>
      </c>
      <c r="ANF92" s="166" t="str">
        <f>VLOOKUP(ANE92,[13]AssetDetails_UEM!$A$3:$AH$1849,6,FALSE)</f>
        <v>Electrosurgical Units, Monopolar/Bipolar</v>
      </c>
      <c r="ANG92" s="165" t="s">
        <v>945</v>
      </c>
      <c r="ANH92" s="166" t="str">
        <f>VLOOKUP(ANG92,[13]AssetDetails_UEM!$A$3:$AH$1849,6,FALSE)</f>
        <v>Electrosurgical Units, Monopolar/Bipolar</v>
      </c>
      <c r="ANI92" s="165" t="s">
        <v>945</v>
      </c>
      <c r="ANJ92" s="166" t="str">
        <f>VLOOKUP(ANI92,[13]AssetDetails_UEM!$A$3:$AH$1849,6,FALSE)</f>
        <v>Electrosurgical Units, Monopolar/Bipolar</v>
      </c>
      <c r="ANK92" s="165" t="s">
        <v>945</v>
      </c>
      <c r="ANL92" s="166" t="str">
        <f>VLOOKUP(ANK92,[13]AssetDetails_UEM!$A$3:$AH$1849,6,FALSE)</f>
        <v>Electrosurgical Units, Monopolar/Bipolar</v>
      </c>
      <c r="ANM92" s="165" t="s">
        <v>945</v>
      </c>
      <c r="ANN92" s="166" t="str">
        <f>VLOOKUP(ANM92,[13]AssetDetails_UEM!$A$3:$AH$1849,6,FALSE)</f>
        <v>Electrosurgical Units, Monopolar/Bipolar</v>
      </c>
      <c r="ANO92" s="165" t="s">
        <v>945</v>
      </c>
      <c r="ANP92" s="166" t="str">
        <f>VLOOKUP(ANO92,[13]AssetDetails_UEM!$A$3:$AH$1849,6,FALSE)</f>
        <v>Electrosurgical Units, Monopolar/Bipolar</v>
      </c>
      <c r="ANQ92" s="165" t="s">
        <v>945</v>
      </c>
      <c r="ANR92" s="166" t="str">
        <f>VLOOKUP(ANQ92,[13]AssetDetails_UEM!$A$3:$AH$1849,6,FALSE)</f>
        <v>Electrosurgical Units, Monopolar/Bipolar</v>
      </c>
      <c r="ANS92" s="165" t="s">
        <v>945</v>
      </c>
      <c r="ANT92" s="166" t="str">
        <f>VLOOKUP(ANS92,[13]AssetDetails_UEM!$A$3:$AH$1849,6,FALSE)</f>
        <v>Electrosurgical Units, Monopolar/Bipolar</v>
      </c>
      <c r="ANU92" s="165" t="s">
        <v>945</v>
      </c>
      <c r="ANV92" s="166" t="str">
        <f>VLOOKUP(ANU92,[13]AssetDetails_UEM!$A$3:$AH$1849,6,FALSE)</f>
        <v>Electrosurgical Units, Monopolar/Bipolar</v>
      </c>
      <c r="ANW92" s="165" t="s">
        <v>945</v>
      </c>
      <c r="ANX92" s="166" t="str">
        <f>VLOOKUP(ANW92,[13]AssetDetails_UEM!$A$3:$AH$1849,6,FALSE)</f>
        <v>Electrosurgical Units, Monopolar/Bipolar</v>
      </c>
      <c r="ANY92" s="165" t="s">
        <v>945</v>
      </c>
      <c r="ANZ92" s="166" t="str">
        <f>VLOOKUP(ANY92,[13]AssetDetails_UEM!$A$3:$AH$1849,6,FALSE)</f>
        <v>Electrosurgical Units, Monopolar/Bipolar</v>
      </c>
      <c r="AOA92" s="165" t="s">
        <v>945</v>
      </c>
      <c r="AOB92" s="166" t="str">
        <f>VLOOKUP(AOA92,[13]AssetDetails_UEM!$A$3:$AH$1849,6,FALSE)</f>
        <v>Electrosurgical Units, Monopolar/Bipolar</v>
      </c>
      <c r="AOC92" s="165" t="s">
        <v>945</v>
      </c>
      <c r="AOD92" s="166" t="str">
        <f>VLOOKUP(AOC92,[13]AssetDetails_UEM!$A$3:$AH$1849,6,FALSE)</f>
        <v>Electrosurgical Units, Monopolar/Bipolar</v>
      </c>
      <c r="AOE92" s="165" t="s">
        <v>945</v>
      </c>
      <c r="AOF92" s="166" t="str">
        <f>VLOOKUP(AOE92,[13]AssetDetails_UEM!$A$3:$AH$1849,6,FALSE)</f>
        <v>Electrosurgical Units, Monopolar/Bipolar</v>
      </c>
      <c r="AOG92" s="165" t="s">
        <v>945</v>
      </c>
      <c r="AOH92" s="166" t="str">
        <f>VLOOKUP(AOG92,[13]AssetDetails_UEM!$A$3:$AH$1849,6,FALSE)</f>
        <v>Electrosurgical Units, Monopolar/Bipolar</v>
      </c>
      <c r="AOI92" s="165" t="s">
        <v>945</v>
      </c>
      <c r="AOJ92" s="166" t="str">
        <f>VLOOKUP(AOI92,[13]AssetDetails_UEM!$A$3:$AH$1849,6,FALSE)</f>
        <v>Electrosurgical Units, Monopolar/Bipolar</v>
      </c>
      <c r="AOK92" s="165" t="s">
        <v>945</v>
      </c>
      <c r="AOL92" s="166" t="str">
        <f>VLOOKUP(AOK92,[13]AssetDetails_UEM!$A$3:$AH$1849,6,FALSE)</f>
        <v>Electrosurgical Units, Monopolar/Bipolar</v>
      </c>
      <c r="AOM92" s="165" t="s">
        <v>945</v>
      </c>
      <c r="AON92" s="166" t="str">
        <f>VLOOKUP(AOM92,[13]AssetDetails_UEM!$A$3:$AH$1849,6,FALSE)</f>
        <v>Electrosurgical Units, Monopolar/Bipolar</v>
      </c>
      <c r="AOO92" s="165" t="s">
        <v>945</v>
      </c>
      <c r="AOP92" s="166" t="str">
        <f>VLOOKUP(AOO92,[13]AssetDetails_UEM!$A$3:$AH$1849,6,FALSE)</f>
        <v>Electrosurgical Units, Monopolar/Bipolar</v>
      </c>
      <c r="AOQ92" s="165" t="s">
        <v>945</v>
      </c>
      <c r="AOR92" s="166" t="str">
        <f>VLOOKUP(AOQ92,[13]AssetDetails_UEM!$A$3:$AH$1849,6,FALSE)</f>
        <v>Electrosurgical Units, Monopolar/Bipolar</v>
      </c>
      <c r="AOS92" s="165" t="s">
        <v>945</v>
      </c>
      <c r="AOT92" s="166" t="str">
        <f>VLOOKUP(AOS92,[13]AssetDetails_UEM!$A$3:$AH$1849,6,FALSE)</f>
        <v>Electrosurgical Units, Monopolar/Bipolar</v>
      </c>
      <c r="AOU92" s="165" t="s">
        <v>945</v>
      </c>
      <c r="AOV92" s="166" t="str">
        <f>VLOOKUP(AOU92,[13]AssetDetails_UEM!$A$3:$AH$1849,6,FALSE)</f>
        <v>Electrosurgical Units, Monopolar/Bipolar</v>
      </c>
      <c r="AOW92" s="165" t="s">
        <v>945</v>
      </c>
      <c r="AOX92" s="166" t="str">
        <f>VLOOKUP(AOW92,[13]AssetDetails_UEM!$A$3:$AH$1849,6,FALSE)</f>
        <v>Electrosurgical Units, Monopolar/Bipolar</v>
      </c>
      <c r="AOY92" s="165" t="s">
        <v>945</v>
      </c>
      <c r="AOZ92" s="166" t="str">
        <f>VLOOKUP(AOY92,[13]AssetDetails_UEM!$A$3:$AH$1849,6,FALSE)</f>
        <v>Electrosurgical Units, Monopolar/Bipolar</v>
      </c>
      <c r="APA92" s="165" t="s">
        <v>945</v>
      </c>
      <c r="APB92" s="166" t="str">
        <f>VLOOKUP(APA92,[13]AssetDetails_UEM!$A$3:$AH$1849,6,FALSE)</f>
        <v>Electrosurgical Units, Monopolar/Bipolar</v>
      </c>
      <c r="APC92" s="165" t="s">
        <v>945</v>
      </c>
      <c r="APD92" s="166" t="str">
        <f>VLOOKUP(APC92,[13]AssetDetails_UEM!$A$3:$AH$1849,6,FALSE)</f>
        <v>Electrosurgical Units, Monopolar/Bipolar</v>
      </c>
      <c r="APE92" s="165" t="s">
        <v>945</v>
      </c>
      <c r="APF92" s="166" t="str">
        <f>VLOOKUP(APE92,[13]AssetDetails_UEM!$A$3:$AH$1849,6,FALSE)</f>
        <v>Electrosurgical Units, Monopolar/Bipolar</v>
      </c>
      <c r="APG92" s="165" t="s">
        <v>945</v>
      </c>
      <c r="APH92" s="166" t="str">
        <f>VLOOKUP(APG92,[13]AssetDetails_UEM!$A$3:$AH$1849,6,FALSE)</f>
        <v>Electrosurgical Units, Monopolar/Bipolar</v>
      </c>
      <c r="API92" s="165" t="s">
        <v>945</v>
      </c>
      <c r="APJ92" s="166" t="str">
        <f>VLOOKUP(API92,[13]AssetDetails_UEM!$A$3:$AH$1849,6,FALSE)</f>
        <v>Electrosurgical Units, Monopolar/Bipolar</v>
      </c>
      <c r="APK92" s="165" t="s">
        <v>945</v>
      </c>
      <c r="APL92" s="166" t="str">
        <f>VLOOKUP(APK92,[13]AssetDetails_UEM!$A$3:$AH$1849,6,FALSE)</f>
        <v>Electrosurgical Units, Monopolar/Bipolar</v>
      </c>
      <c r="APM92" s="165" t="s">
        <v>945</v>
      </c>
      <c r="APN92" s="166" t="str">
        <f>VLOOKUP(APM92,[13]AssetDetails_UEM!$A$3:$AH$1849,6,FALSE)</f>
        <v>Electrosurgical Units, Monopolar/Bipolar</v>
      </c>
      <c r="APO92" s="165" t="s">
        <v>945</v>
      </c>
      <c r="APP92" s="166" t="str">
        <f>VLOOKUP(APO92,[13]AssetDetails_UEM!$A$3:$AH$1849,6,FALSE)</f>
        <v>Electrosurgical Units, Monopolar/Bipolar</v>
      </c>
      <c r="APQ92" s="165" t="s">
        <v>945</v>
      </c>
      <c r="APR92" s="166" t="str">
        <f>VLOOKUP(APQ92,[13]AssetDetails_UEM!$A$3:$AH$1849,6,FALSE)</f>
        <v>Electrosurgical Units, Monopolar/Bipolar</v>
      </c>
      <c r="APS92" s="165" t="s">
        <v>945</v>
      </c>
      <c r="APT92" s="166" t="str">
        <f>VLOOKUP(APS92,[13]AssetDetails_UEM!$A$3:$AH$1849,6,FALSE)</f>
        <v>Electrosurgical Units, Monopolar/Bipolar</v>
      </c>
      <c r="APU92" s="165" t="s">
        <v>945</v>
      </c>
      <c r="APV92" s="166" t="str">
        <f>VLOOKUP(APU92,[13]AssetDetails_UEM!$A$3:$AH$1849,6,FALSE)</f>
        <v>Electrosurgical Units, Monopolar/Bipolar</v>
      </c>
      <c r="APW92" s="165" t="s">
        <v>945</v>
      </c>
      <c r="APX92" s="166" t="str">
        <f>VLOOKUP(APW92,[13]AssetDetails_UEM!$A$3:$AH$1849,6,FALSE)</f>
        <v>Electrosurgical Units, Monopolar/Bipolar</v>
      </c>
      <c r="APY92" s="165" t="s">
        <v>945</v>
      </c>
      <c r="APZ92" s="166" t="str">
        <f>VLOOKUP(APY92,[13]AssetDetails_UEM!$A$3:$AH$1849,6,FALSE)</f>
        <v>Electrosurgical Units, Monopolar/Bipolar</v>
      </c>
      <c r="AQA92" s="165" t="s">
        <v>945</v>
      </c>
      <c r="AQB92" s="166" t="str">
        <f>VLOOKUP(AQA92,[13]AssetDetails_UEM!$A$3:$AH$1849,6,FALSE)</f>
        <v>Electrosurgical Units, Monopolar/Bipolar</v>
      </c>
      <c r="AQC92" s="165" t="s">
        <v>945</v>
      </c>
      <c r="AQD92" s="166" t="str">
        <f>VLOOKUP(AQC92,[13]AssetDetails_UEM!$A$3:$AH$1849,6,FALSE)</f>
        <v>Electrosurgical Units, Monopolar/Bipolar</v>
      </c>
      <c r="AQE92" s="165" t="s">
        <v>945</v>
      </c>
      <c r="AQF92" s="166" t="str">
        <f>VLOOKUP(AQE92,[13]AssetDetails_UEM!$A$3:$AH$1849,6,FALSE)</f>
        <v>Electrosurgical Units, Monopolar/Bipolar</v>
      </c>
      <c r="AQG92" s="165" t="s">
        <v>945</v>
      </c>
      <c r="AQH92" s="166" t="str">
        <f>VLOOKUP(AQG92,[13]AssetDetails_UEM!$A$3:$AH$1849,6,FALSE)</f>
        <v>Electrosurgical Units, Monopolar/Bipolar</v>
      </c>
      <c r="AQI92" s="165" t="s">
        <v>945</v>
      </c>
      <c r="AQJ92" s="166" t="str">
        <f>VLOOKUP(AQI92,[13]AssetDetails_UEM!$A$3:$AH$1849,6,FALSE)</f>
        <v>Electrosurgical Units, Monopolar/Bipolar</v>
      </c>
      <c r="AQK92" s="165" t="s">
        <v>945</v>
      </c>
      <c r="AQL92" s="166" t="str">
        <f>VLOOKUP(AQK92,[13]AssetDetails_UEM!$A$3:$AH$1849,6,FALSE)</f>
        <v>Electrosurgical Units, Monopolar/Bipolar</v>
      </c>
      <c r="AQM92" s="165" t="s">
        <v>945</v>
      </c>
      <c r="AQN92" s="166" t="str">
        <f>VLOOKUP(AQM92,[13]AssetDetails_UEM!$A$3:$AH$1849,6,FALSE)</f>
        <v>Electrosurgical Units, Monopolar/Bipolar</v>
      </c>
      <c r="AQO92" s="165" t="s">
        <v>945</v>
      </c>
      <c r="AQP92" s="166" t="str">
        <f>VLOOKUP(AQO92,[13]AssetDetails_UEM!$A$3:$AH$1849,6,FALSE)</f>
        <v>Electrosurgical Units, Monopolar/Bipolar</v>
      </c>
      <c r="AQQ92" s="165" t="s">
        <v>945</v>
      </c>
      <c r="AQR92" s="166" t="str">
        <f>VLOOKUP(AQQ92,[13]AssetDetails_UEM!$A$3:$AH$1849,6,FALSE)</f>
        <v>Electrosurgical Units, Monopolar/Bipolar</v>
      </c>
      <c r="AQS92" s="165" t="s">
        <v>945</v>
      </c>
      <c r="AQT92" s="166" t="str">
        <f>VLOOKUP(AQS92,[13]AssetDetails_UEM!$A$3:$AH$1849,6,FALSE)</f>
        <v>Electrosurgical Units, Monopolar/Bipolar</v>
      </c>
      <c r="AQU92" s="165" t="s">
        <v>945</v>
      </c>
      <c r="AQV92" s="166" t="str">
        <f>VLOOKUP(AQU92,[13]AssetDetails_UEM!$A$3:$AH$1849,6,FALSE)</f>
        <v>Electrosurgical Units, Monopolar/Bipolar</v>
      </c>
      <c r="AQW92" s="165" t="s">
        <v>945</v>
      </c>
      <c r="AQX92" s="166" t="str">
        <f>VLOOKUP(AQW92,[13]AssetDetails_UEM!$A$3:$AH$1849,6,FALSE)</f>
        <v>Electrosurgical Units, Monopolar/Bipolar</v>
      </c>
      <c r="AQY92" s="165" t="s">
        <v>945</v>
      </c>
      <c r="AQZ92" s="166" t="str">
        <f>VLOOKUP(AQY92,[13]AssetDetails_UEM!$A$3:$AH$1849,6,FALSE)</f>
        <v>Electrosurgical Units, Monopolar/Bipolar</v>
      </c>
      <c r="ARA92" s="165" t="s">
        <v>945</v>
      </c>
      <c r="ARB92" s="166" t="str">
        <f>VLOOKUP(ARA92,[13]AssetDetails_UEM!$A$3:$AH$1849,6,FALSE)</f>
        <v>Electrosurgical Units, Monopolar/Bipolar</v>
      </c>
      <c r="ARC92" s="165" t="s">
        <v>945</v>
      </c>
      <c r="ARD92" s="166" t="str">
        <f>VLOOKUP(ARC92,[13]AssetDetails_UEM!$A$3:$AH$1849,6,FALSE)</f>
        <v>Electrosurgical Units, Monopolar/Bipolar</v>
      </c>
      <c r="ARE92" s="165" t="s">
        <v>945</v>
      </c>
      <c r="ARF92" s="166" t="str">
        <f>VLOOKUP(ARE92,[13]AssetDetails_UEM!$A$3:$AH$1849,6,FALSE)</f>
        <v>Electrosurgical Units, Monopolar/Bipolar</v>
      </c>
      <c r="ARG92" s="165" t="s">
        <v>945</v>
      </c>
      <c r="ARH92" s="166" t="str">
        <f>VLOOKUP(ARG92,[13]AssetDetails_UEM!$A$3:$AH$1849,6,FALSE)</f>
        <v>Electrosurgical Units, Monopolar/Bipolar</v>
      </c>
      <c r="ARI92" s="165" t="s">
        <v>945</v>
      </c>
      <c r="ARJ92" s="166" t="str">
        <f>VLOOKUP(ARI92,[13]AssetDetails_UEM!$A$3:$AH$1849,6,FALSE)</f>
        <v>Electrosurgical Units, Monopolar/Bipolar</v>
      </c>
      <c r="ARK92" s="165" t="s">
        <v>945</v>
      </c>
      <c r="ARL92" s="166" t="str">
        <f>VLOOKUP(ARK92,[13]AssetDetails_UEM!$A$3:$AH$1849,6,FALSE)</f>
        <v>Electrosurgical Units, Monopolar/Bipolar</v>
      </c>
      <c r="ARM92" s="165" t="s">
        <v>945</v>
      </c>
      <c r="ARN92" s="166" t="str">
        <f>VLOOKUP(ARM92,[13]AssetDetails_UEM!$A$3:$AH$1849,6,FALSE)</f>
        <v>Electrosurgical Units, Monopolar/Bipolar</v>
      </c>
      <c r="ARO92" s="165" t="s">
        <v>945</v>
      </c>
      <c r="ARP92" s="166" t="str">
        <f>VLOOKUP(ARO92,[13]AssetDetails_UEM!$A$3:$AH$1849,6,FALSE)</f>
        <v>Electrosurgical Units, Monopolar/Bipolar</v>
      </c>
      <c r="ARQ92" s="165" t="s">
        <v>945</v>
      </c>
      <c r="ARR92" s="166" t="str">
        <f>VLOOKUP(ARQ92,[13]AssetDetails_UEM!$A$3:$AH$1849,6,FALSE)</f>
        <v>Electrosurgical Units, Monopolar/Bipolar</v>
      </c>
      <c r="ARS92" s="165" t="s">
        <v>945</v>
      </c>
      <c r="ART92" s="166" t="str">
        <f>VLOOKUP(ARS92,[13]AssetDetails_UEM!$A$3:$AH$1849,6,FALSE)</f>
        <v>Electrosurgical Units, Monopolar/Bipolar</v>
      </c>
      <c r="ARU92" s="165" t="s">
        <v>945</v>
      </c>
      <c r="ARV92" s="166" t="str">
        <f>VLOOKUP(ARU92,[13]AssetDetails_UEM!$A$3:$AH$1849,6,FALSE)</f>
        <v>Electrosurgical Units, Monopolar/Bipolar</v>
      </c>
      <c r="ARW92" s="165" t="s">
        <v>945</v>
      </c>
      <c r="ARX92" s="166" t="str">
        <f>VLOOKUP(ARW92,[13]AssetDetails_UEM!$A$3:$AH$1849,6,FALSE)</f>
        <v>Electrosurgical Units, Monopolar/Bipolar</v>
      </c>
      <c r="ARY92" s="165" t="s">
        <v>945</v>
      </c>
      <c r="ARZ92" s="166" t="str">
        <f>VLOOKUP(ARY92,[13]AssetDetails_UEM!$A$3:$AH$1849,6,FALSE)</f>
        <v>Electrosurgical Units, Monopolar/Bipolar</v>
      </c>
      <c r="ASA92" s="165" t="s">
        <v>945</v>
      </c>
      <c r="ASB92" s="166" t="str">
        <f>VLOOKUP(ASA92,[13]AssetDetails_UEM!$A$3:$AH$1849,6,FALSE)</f>
        <v>Electrosurgical Units, Monopolar/Bipolar</v>
      </c>
      <c r="ASC92" s="165" t="s">
        <v>945</v>
      </c>
      <c r="ASD92" s="166" t="str">
        <f>VLOOKUP(ASC92,[13]AssetDetails_UEM!$A$3:$AH$1849,6,FALSE)</f>
        <v>Electrosurgical Units, Monopolar/Bipolar</v>
      </c>
      <c r="ASE92" s="165" t="s">
        <v>945</v>
      </c>
      <c r="ASF92" s="166" t="str">
        <f>VLOOKUP(ASE92,[13]AssetDetails_UEM!$A$3:$AH$1849,6,FALSE)</f>
        <v>Electrosurgical Units, Monopolar/Bipolar</v>
      </c>
      <c r="ASG92" s="165" t="s">
        <v>945</v>
      </c>
      <c r="ASH92" s="166" t="str">
        <f>VLOOKUP(ASG92,[13]AssetDetails_UEM!$A$3:$AH$1849,6,FALSE)</f>
        <v>Electrosurgical Units, Monopolar/Bipolar</v>
      </c>
      <c r="ASI92" s="165" t="s">
        <v>945</v>
      </c>
      <c r="ASJ92" s="166" t="str">
        <f>VLOOKUP(ASI92,[13]AssetDetails_UEM!$A$3:$AH$1849,6,FALSE)</f>
        <v>Electrosurgical Units, Monopolar/Bipolar</v>
      </c>
      <c r="ASK92" s="165" t="s">
        <v>945</v>
      </c>
      <c r="ASL92" s="166" t="str">
        <f>VLOOKUP(ASK92,[13]AssetDetails_UEM!$A$3:$AH$1849,6,FALSE)</f>
        <v>Electrosurgical Units, Monopolar/Bipolar</v>
      </c>
      <c r="ASM92" s="165" t="s">
        <v>945</v>
      </c>
      <c r="ASN92" s="166" t="str">
        <f>VLOOKUP(ASM92,[13]AssetDetails_UEM!$A$3:$AH$1849,6,FALSE)</f>
        <v>Electrosurgical Units, Monopolar/Bipolar</v>
      </c>
      <c r="ASO92" s="165" t="s">
        <v>945</v>
      </c>
      <c r="ASP92" s="166" t="str">
        <f>VLOOKUP(ASO92,[13]AssetDetails_UEM!$A$3:$AH$1849,6,FALSE)</f>
        <v>Electrosurgical Units, Monopolar/Bipolar</v>
      </c>
      <c r="ASQ92" s="165" t="s">
        <v>945</v>
      </c>
      <c r="ASR92" s="166" t="str">
        <f>VLOOKUP(ASQ92,[13]AssetDetails_UEM!$A$3:$AH$1849,6,FALSE)</f>
        <v>Electrosurgical Units, Monopolar/Bipolar</v>
      </c>
      <c r="ASS92" s="165" t="s">
        <v>945</v>
      </c>
      <c r="AST92" s="166" t="str">
        <f>VLOOKUP(ASS92,[13]AssetDetails_UEM!$A$3:$AH$1849,6,FALSE)</f>
        <v>Electrosurgical Units, Monopolar/Bipolar</v>
      </c>
      <c r="ASU92" s="165" t="s">
        <v>945</v>
      </c>
      <c r="ASV92" s="166" t="str">
        <f>VLOOKUP(ASU92,[13]AssetDetails_UEM!$A$3:$AH$1849,6,FALSE)</f>
        <v>Electrosurgical Units, Monopolar/Bipolar</v>
      </c>
      <c r="ASW92" s="165" t="s">
        <v>945</v>
      </c>
      <c r="ASX92" s="166" t="str">
        <f>VLOOKUP(ASW92,[13]AssetDetails_UEM!$A$3:$AH$1849,6,FALSE)</f>
        <v>Electrosurgical Units, Monopolar/Bipolar</v>
      </c>
      <c r="ASY92" s="165" t="s">
        <v>945</v>
      </c>
      <c r="ASZ92" s="166" t="str">
        <f>VLOOKUP(ASY92,[13]AssetDetails_UEM!$A$3:$AH$1849,6,FALSE)</f>
        <v>Electrosurgical Units, Monopolar/Bipolar</v>
      </c>
      <c r="ATA92" s="165" t="s">
        <v>945</v>
      </c>
      <c r="ATB92" s="166" t="str">
        <f>VLOOKUP(ATA92,[13]AssetDetails_UEM!$A$3:$AH$1849,6,FALSE)</f>
        <v>Electrosurgical Units, Monopolar/Bipolar</v>
      </c>
      <c r="ATC92" s="165" t="s">
        <v>945</v>
      </c>
      <c r="ATD92" s="166" t="str">
        <f>VLOOKUP(ATC92,[13]AssetDetails_UEM!$A$3:$AH$1849,6,FALSE)</f>
        <v>Electrosurgical Units, Monopolar/Bipolar</v>
      </c>
      <c r="ATE92" s="165" t="s">
        <v>945</v>
      </c>
      <c r="ATF92" s="166" t="str">
        <f>VLOOKUP(ATE92,[13]AssetDetails_UEM!$A$3:$AH$1849,6,FALSE)</f>
        <v>Electrosurgical Units, Monopolar/Bipolar</v>
      </c>
      <c r="ATG92" s="165" t="s">
        <v>945</v>
      </c>
      <c r="ATH92" s="166" t="str">
        <f>VLOOKUP(ATG92,[13]AssetDetails_UEM!$A$3:$AH$1849,6,FALSE)</f>
        <v>Electrosurgical Units, Monopolar/Bipolar</v>
      </c>
      <c r="ATI92" s="165" t="s">
        <v>945</v>
      </c>
      <c r="ATJ92" s="166" t="str">
        <f>VLOOKUP(ATI92,[13]AssetDetails_UEM!$A$3:$AH$1849,6,FALSE)</f>
        <v>Electrosurgical Units, Monopolar/Bipolar</v>
      </c>
      <c r="ATK92" s="165" t="s">
        <v>945</v>
      </c>
      <c r="ATL92" s="166" t="str">
        <f>VLOOKUP(ATK92,[13]AssetDetails_UEM!$A$3:$AH$1849,6,FALSE)</f>
        <v>Electrosurgical Units, Monopolar/Bipolar</v>
      </c>
      <c r="ATM92" s="165" t="s">
        <v>945</v>
      </c>
      <c r="ATN92" s="166" t="str">
        <f>VLOOKUP(ATM92,[13]AssetDetails_UEM!$A$3:$AH$1849,6,FALSE)</f>
        <v>Electrosurgical Units, Monopolar/Bipolar</v>
      </c>
      <c r="ATO92" s="165" t="s">
        <v>945</v>
      </c>
      <c r="ATP92" s="166" t="str">
        <f>VLOOKUP(ATO92,[13]AssetDetails_UEM!$A$3:$AH$1849,6,FALSE)</f>
        <v>Electrosurgical Units, Monopolar/Bipolar</v>
      </c>
      <c r="ATQ92" s="165" t="s">
        <v>945</v>
      </c>
      <c r="ATR92" s="166" t="str">
        <f>VLOOKUP(ATQ92,[13]AssetDetails_UEM!$A$3:$AH$1849,6,FALSE)</f>
        <v>Electrosurgical Units, Monopolar/Bipolar</v>
      </c>
      <c r="ATS92" s="165" t="s">
        <v>945</v>
      </c>
      <c r="ATT92" s="166" t="str">
        <f>VLOOKUP(ATS92,[13]AssetDetails_UEM!$A$3:$AH$1849,6,FALSE)</f>
        <v>Electrosurgical Units, Monopolar/Bipolar</v>
      </c>
      <c r="ATU92" s="165" t="s">
        <v>945</v>
      </c>
      <c r="ATV92" s="166" t="str">
        <f>VLOOKUP(ATU92,[13]AssetDetails_UEM!$A$3:$AH$1849,6,FALSE)</f>
        <v>Electrosurgical Units, Monopolar/Bipolar</v>
      </c>
      <c r="ATW92" s="165" t="s">
        <v>945</v>
      </c>
      <c r="ATX92" s="166" t="str">
        <f>VLOOKUP(ATW92,[13]AssetDetails_UEM!$A$3:$AH$1849,6,FALSE)</f>
        <v>Electrosurgical Units, Monopolar/Bipolar</v>
      </c>
      <c r="ATY92" s="165" t="s">
        <v>945</v>
      </c>
      <c r="ATZ92" s="166" t="str">
        <f>VLOOKUP(ATY92,[13]AssetDetails_UEM!$A$3:$AH$1849,6,FALSE)</f>
        <v>Electrosurgical Units, Monopolar/Bipolar</v>
      </c>
      <c r="AUA92" s="165" t="s">
        <v>945</v>
      </c>
      <c r="AUB92" s="166" t="str">
        <f>VLOOKUP(AUA92,[13]AssetDetails_UEM!$A$3:$AH$1849,6,FALSE)</f>
        <v>Electrosurgical Units, Monopolar/Bipolar</v>
      </c>
      <c r="AUC92" s="165" t="s">
        <v>945</v>
      </c>
      <c r="AUD92" s="166" t="str">
        <f>VLOOKUP(AUC92,[13]AssetDetails_UEM!$A$3:$AH$1849,6,FALSE)</f>
        <v>Electrosurgical Units, Monopolar/Bipolar</v>
      </c>
      <c r="AUE92" s="165" t="s">
        <v>945</v>
      </c>
      <c r="AUF92" s="166" t="str">
        <f>VLOOKUP(AUE92,[13]AssetDetails_UEM!$A$3:$AH$1849,6,FALSE)</f>
        <v>Electrosurgical Units, Monopolar/Bipolar</v>
      </c>
      <c r="AUG92" s="165" t="s">
        <v>945</v>
      </c>
      <c r="AUH92" s="166" t="str">
        <f>VLOOKUP(AUG92,[13]AssetDetails_UEM!$A$3:$AH$1849,6,FALSE)</f>
        <v>Electrosurgical Units, Monopolar/Bipolar</v>
      </c>
      <c r="AUI92" s="165" t="s">
        <v>945</v>
      </c>
      <c r="AUJ92" s="166" t="str">
        <f>VLOOKUP(AUI92,[13]AssetDetails_UEM!$A$3:$AH$1849,6,FALSE)</f>
        <v>Electrosurgical Units, Monopolar/Bipolar</v>
      </c>
      <c r="AUK92" s="165" t="s">
        <v>945</v>
      </c>
      <c r="AUL92" s="166" t="str">
        <f>VLOOKUP(AUK92,[13]AssetDetails_UEM!$A$3:$AH$1849,6,FALSE)</f>
        <v>Electrosurgical Units, Monopolar/Bipolar</v>
      </c>
      <c r="AUM92" s="165" t="s">
        <v>945</v>
      </c>
      <c r="AUN92" s="166" t="str">
        <f>VLOOKUP(AUM92,[13]AssetDetails_UEM!$A$3:$AH$1849,6,FALSE)</f>
        <v>Electrosurgical Units, Monopolar/Bipolar</v>
      </c>
      <c r="AUO92" s="165" t="s">
        <v>945</v>
      </c>
      <c r="AUP92" s="166" t="str">
        <f>VLOOKUP(AUO92,[13]AssetDetails_UEM!$A$3:$AH$1849,6,FALSE)</f>
        <v>Electrosurgical Units, Monopolar/Bipolar</v>
      </c>
      <c r="AUQ92" s="165" t="s">
        <v>945</v>
      </c>
      <c r="AUR92" s="166" t="str">
        <f>VLOOKUP(AUQ92,[13]AssetDetails_UEM!$A$3:$AH$1849,6,FALSE)</f>
        <v>Electrosurgical Units, Monopolar/Bipolar</v>
      </c>
      <c r="AUS92" s="165" t="s">
        <v>945</v>
      </c>
      <c r="AUT92" s="166" t="str">
        <f>VLOOKUP(AUS92,[13]AssetDetails_UEM!$A$3:$AH$1849,6,FALSE)</f>
        <v>Electrosurgical Units, Monopolar/Bipolar</v>
      </c>
      <c r="AUU92" s="165" t="s">
        <v>945</v>
      </c>
      <c r="AUV92" s="166" t="str">
        <f>VLOOKUP(AUU92,[13]AssetDetails_UEM!$A$3:$AH$1849,6,FALSE)</f>
        <v>Electrosurgical Units, Monopolar/Bipolar</v>
      </c>
      <c r="AUW92" s="165" t="s">
        <v>945</v>
      </c>
      <c r="AUX92" s="166" t="str">
        <f>VLOOKUP(AUW92,[13]AssetDetails_UEM!$A$3:$AH$1849,6,FALSE)</f>
        <v>Electrosurgical Units, Monopolar/Bipolar</v>
      </c>
      <c r="AUY92" s="165" t="s">
        <v>945</v>
      </c>
      <c r="AUZ92" s="166" t="str">
        <f>VLOOKUP(AUY92,[13]AssetDetails_UEM!$A$3:$AH$1849,6,FALSE)</f>
        <v>Electrosurgical Units, Monopolar/Bipolar</v>
      </c>
      <c r="AVA92" s="165" t="s">
        <v>945</v>
      </c>
      <c r="AVB92" s="166" t="str">
        <f>VLOOKUP(AVA92,[13]AssetDetails_UEM!$A$3:$AH$1849,6,FALSE)</f>
        <v>Electrosurgical Units, Monopolar/Bipolar</v>
      </c>
      <c r="AVC92" s="165" t="s">
        <v>945</v>
      </c>
      <c r="AVD92" s="166" t="str">
        <f>VLOOKUP(AVC92,[13]AssetDetails_UEM!$A$3:$AH$1849,6,FALSE)</f>
        <v>Electrosurgical Units, Monopolar/Bipolar</v>
      </c>
      <c r="AVE92" s="165" t="s">
        <v>945</v>
      </c>
      <c r="AVF92" s="166" t="str">
        <f>VLOOKUP(AVE92,[13]AssetDetails_UEM!$A$3:$AH$1849,6,FALSE)</f>
        <v>Electrosurgical Units, Monopolar/Bipolar</v>
      </c>
      <c r="AVG92" s="165" t="s">
        <v>945</v>
      </c>
      <c r="AVH92" s="166" t="str">
        <f>VLOOKUP(AVG92,[13]AssetDetails_UEM!$A$3:$AH$1849,6,FALSE)</f>
        <v>Electrosurgical Units, Monopolar/Bipolar</v>
      </c>
      <c r="AVI92" s="165" t="s">
        <v>945</v>
      </c>
      <c r="AVJ92" s="166" t="str">
        <f>VLOOKUP(AVI92,[13]AssetDetails_UEM!$A$3:$AH$1849,6,FALSE)</f>
        <v>Electrosurgical Units, Monopolar/Bipolar</v>
      </c>
      <c r="AVK92" s="165" t="s">
        <v>945</v>
      </c>
      <c r="AVL92" s="166" t="str">
        <f>VLOOKUP(AVK92,[13]AssetDetails_UEM!$A$3:$AH$1849,6,FALSE)</f>
        <v>Electrosurgical Units, Monopolar/Bipolar</v>
      </c>
      <c r="AVM92" s="165" t="s">
        <v>945</v>
      </c>
      <c r="AVN92" s="166" t="str">
        <f>VLOOKUP(AVM92,[13]AssetDetails_UEM!$A$3:$AH$1849,6,FALSE)</f>
        <v>Electrosurgical Units, Monopolar/Bipolar</v>
      </c>
      <c r="AVO92" s="165" t="s">
        <v>945</v>
      </c>
      <c r="AVP92" s="166" t="str">
        <f>VLOOKUP(AVO92,[13]AssetDetails_UEM!$A$3:$AH$1849,6,FALSE)</f>
        <v>Electrosurgical Units, Monopolar/Bipolar</v>
      </c>
      <c r="AVQ92" s="165" t="s">
        <v>945</v>
      </c>
      <c r="AVR92" s="166" t="str">
        <f>VLOOKUP(AVQ92,[13]AssetDetails_UEM!$A$3:$AH$1849,6,FALSE)</f>
        <v>Electrosurgical Units, Monopolar/Bipolar</v>
      </c>
      <c r="AVS92" s="165" t="s">
        <v>945</v>
      </c>
      <c r="AVT92" s="166" t="str">
        <f>VLOOKUP(AVS92,[13]AssetDetails_UEM!$A$3:$AH$1849,6,FALSE)</f>
        <v>Electrosurgical Units, Monopolar/Bipolar</v>
      </c>
      <c r="AVU92" s="165" t="s">
        <v>945</v>
      </c>
      <c r="AVV92" s="166" t="str">
        <f>VLOOKUP(AVU92,[13]AssetDetails_UEM!$A$3:$AH$1849,6,FALSE)</f>
        <v>Electrosurgical Units, Monopolar/Bipolar</v>
      </c>
      <c r="AVW92" s="165" t="s">
        <v>945</v>
      </c>
      <c r="AVX92" s="166" t="str">
        <f>VLOOKUP(AVW92,[13]AssetDetails_UEM!$A$3:$AH$1849,6,FALSE)</f>
        <v>Electrosurgical Units, Monopolar/Bipolar</v>
      </c>
      <c r="AVY92" s="165" t="s">
        <v>945</v>
      </c>
      <c r="AVZ92" s="166" t="str">
        <f>VLOOKUP(AVY92,[13]AssetDetails_UEM!$A$3:$AH$1849,6,FALSE)</f>
        <v>Electrosurgical Units, Monopolar/Bipolar</v>
      </c>
      <c r="AWA92" s="165" t="s">
        <v>945</v>
      </c>
      <c r="AWB92" s="166" t="str">
        <f>VLOOKUP(AWA92,[13]AssetDetails_UEM!$A$3:$AH$1849,6,FALSE)</f>
        <v>Electrosurgical Units, Monopolar/Bipolar</v>
      </c>
      <c r="AWC92" s="165" t="s">
        <v>945</v>
      </c>
      <c r="AWD92" s="166" t="str">
        <f>VLOOKUP(AWC92,[13]AssetDetails_UEM!$A$3:$AH$1849,6,FALSE)</f>
        <v>Electrosurgical Units, Monopolar/Bipolar</v>
      </c>
      <c r="AWE92" s="165" t="s">
        <v>945</v>
      </c>
      <c r="AWF92" s="166" t="str">
        <f>VLOOKUP(AWE92,[13]AssetDetails_UEM!$A$3:$AH$1849,6,FALSE)</f>
        <v>Electrosurgical Units, Monopolar/Bipolar</v>
      </c>
      <c r="AWG92" s="165" t="s">
        <v>945</v>
      </c>
      <c r="AWH92" s="166" t="str">
        <f>VLOOKUP(AWG92,[13]AssetDetails_UEM!$A$3:$AH$1849,6,FALSE)</f>
        <v>Electrosurgical Units, Monopolar/Bipolar</v>
      </c>
      <c r="AWI92" s="165" t="s">
        <v>945</v>
      </c>
      <c r="AWJ92" s="166" t="str">
        <f>VLOOKUP(AWI92,[13]AssetDetails_UEM!$A$3:$AH$1849,6,FALSE)</f>
        <v>Electrosurgical Units, Monopolar/Bipolar</v>
      </c>
      <c r="AWK92" s="165" t="s">
        <v>945</v>
      </c>
      <c r="AWL92" s="166" t="str">
        <f>VLOOKUP(AWK92,[13]AssetDetails_UEM!$A$3:$AH$1849,6,FALSE)</f>
        <v>Electrosurgical Units, Monopolar/Bipolar</v>
      </c>
      <c r="AWM92" s="165" t="s">
        <v>945</v>
      </c>
      <c r="AWN92" s="166" t="str">
        <f>VLOOKUP(AWM92,[13]AssetDetails_UEM!$A$3:$AH$1849,6,FALSE)</f>
        <v>Electrosurgical Units, Monopolar/Bipolar</v>
      </c>
      <c r="AWO92" s="165" t="s">
        <v>945</v>
      </c>
      <c r="AWP92" s="166" t="str">
        <f>VLOOKUP(AWO92,[13]AssetDetails_UEM!$A$3:$AH$1849,6,FALSE)</f>
        <v>Electrosurgical Units, Monopolar/Bipolar</v>
      </c>
      <c r="AWQ92" s="165" t="s">
        <v>945</v>
      </c>
      <c r="AWR92" s="166" t="str">
        <f>VLOOKUP(AWQ92,[13]AssetDetails_UEM!$A$3:$AH$1849,6,FALSE)</f>
        <v>Electrosurgical Units, Monopolar/Bipolar</v>
      </c>
      <c r="AWS92" s="165" t="s">
        <v>945</v>
      </c>
      <c r="AWT92" s="166" t="str">
        <f>VLOOKUP(AWS92,[13]AssetDetails_UEM!$A$3:$AH$1849,6,FALSE)</f>
        <v>Electrosurgical Units, Monopolar/Bipolar</v>
      </c>
      <c r="AWU92" s="165" t="s">
        <v>945</v>
      </c>
      <c r="AWV92" s="166" t="str">
        <f>VLOOKUP(AWU92,[13]AssetDetails_UEM!$A$3:$AH$1849,6,FALSE)</f>
        <v>Electrosurgical Units, Monopolar/Bipolar</v>
      </c>
      <c r="AWW92" s="165" t="s">
        <v>945</v>
      </c>
      <c r="AWX92" s="166" t="str">
        <f>VLOOKUP(AWW92,[13]AssetDetails_UEM!$A$3:$AH$1849,6,FALSE)</f>
        <v>Electrosurgical Units, Monopolar/Bipolar</v>
      </c>
      <c r="AWY92" s="165" t="s">
        <v>945</v>
      </c>
      <c r="AWZ92" s="166" t="str">
        <f>VLOOKUP(AWY92,[13]AssetDetails_UEM!$A$3:$AH$1849,6,FALSE)</f>
        <v>Electrosurgical Units, Monopolar/Bipolar</v>
      </c>
      <c r="AXA92" s="165" t="s">
        <v>945</v>
      </c>
      <c r="AXB92" s="166" t="str">
        <f>VLOOKUP(AXA92,[13]AssetDetails_UEM!$A$3:$AH$1849,6,FALSE)</f>
        <v>Electrosurgical Units, Monopolar/Bipolar</v>
      </c>
      <c r="AXC92" s="165" t="s">
        <v>945</v>
      </c>
      <c r="AXD92" s="166" t="str">
        <f>VLOOKUP(AXC92,[13]AssetDetails_UEM!$A$3:$AH$1849,6,FALSE)</f>
        <v>Electrosurgical Units, Monopolar/Bipolar</v>
      </c>
      <c r="AXE92" s="165" t="s">
        <v>945</v>
      </c>
      <c r="AXF92" s="166" t="str">
        <f>VLOOKUP(AXE92,[13]AssetDetails_UEM!$A$3:$AH$1849,6,FALSE)</f>
        <v>Electrosurgical Units, Monopolar/Bipolar</v>
      </c>
      <c r="AXG92" s="165" t="s">
        <v>945</v>
      </c>
      <c r="AXH92" s="166" t="str">
        <f>VLOOKUP(AXG92,[13]AssetDetails_UEM!$A$3:$AH$1849,6,FALSE)</f>
        <v>Electrosurgical Units, Monopolar/Bipolar</v>
      </c>
      <c r="AXI92" s="165" t="s">
        <v>945</v>
      </c>
      <c r="AXJ92" s="166" t="str">
        <f>VLOOKUP(AXI92,[13]AssetDetails_UEM!$A$3:$AH$1849,6,FALSE)</f>
        <v>Electrosurgical Units, Monopolar/Bipolar</v>
      </c>
      <c r="AXK92" s="165" t="s">
        <v>945</v>
      </c>
      <c r="AXL92" s="166" t="str">
        <f>VLOOKUP(AXK92,[13]AssetDetails_UEM!$A$3:$AH$1849,6,FALSE)</f>
        <v>Electrosurgical Units, Monopolar/Bipolar</v>
      </c>
      <c r="AXM92" s="165" t="s">
        <v>945</v>
      </c>
      <c r="AXN92" s="166" t="str">
        <f>VLOOKUP(AXM92,[13]AssetDetails_UEM!$A$3:$AH$1849,6,FALSE)</f>
        <v>Electrosurgical Units, Monopolar/Bipolar</v>
      </c>
      <c r="AXO92" s="165" t="s">
        <v>945</v>
      </c>
      <c r="AXP92" s="166" t="str">
        <f>VLOOKUP(AXO92,[13]AssetDetails_UEM!$A$3:$AH$1849,6,FALSE)</f>
        <v>Electrosurgical Units, Monopolar/Bipolar</v>
      </c>
      <c r="AXQ92" s="165" t="s">
        <v>945</v>
      </c>
      <c r="AXR92" s="166" t="str">
        <f>VLOOKUP(AXQ92,[13]AssetDetails_UEM!$A$3:$AH$1849,6,FALSE)</f>
        <v>Electrosurgical Units, Monopolar/Bipolar</v>
      </c>
      <c r="AXS92" s="165" t="s">
        <v>945</v>
      </c>
      <c r="AXT92" s="166" t="str">
        <f>VLOOKUP(AXS92,[13]AssetDetails_UEM!$A$3:$AH$1849,6,FALSE)</f>
        <v>Electrosurgical Units, Monopolar/Bipolar</v>
      </c>
      <c r="AXU92" s="165" t="s">
        <v>945</v>
      </c>
      <c r="AXV92" s="166" t="str">
        <f>VLOOKUP(AXU92,[13]AssetDetails_UEM!$A$3:$AH$1849,6,FALSE)</f>
        <v>Electrosurgical Units, Monopolar/Bipolar</v>
      </c>
      <c r="AXW92" s="165" t="s">
        <v>945</v>
      </c>
      <c r="AXX92" s="166" t="str">
        <f>VLOOKUP(AXW92,[13]AssetDetails_UEM!$A$3:$AH$1849,6,FALSE)</f>
        <v>Electrosurgical Units, Monopolar/Bipolar</v>
      </c>
      <c r="AXY92" s="165" t="s">
        <v>945</v>
      </c>
      <c r="AXZ92" s="166" t="str">
        <f>VLOOKUP(AXY92,[13]AssetDetails_UEM!$A$3:$AH$1849,6,FALSE)</f>
        <v>Electrosurgical Units, Monopolar/Bipolar</v>
      </c>
      <c r="AYA92" s="165" t="s">
        <v>945</v>
      </c>
      <c r="AYB92" s="166" t="str">
        <f>VLOOKUP(AYA92,[13]AssetDetails_UEM!$A$3:$AH$1849,6,FALSE)</f>
        <v>Electrosurgical Units, Monopolar/Bipolar</v>
      </c>
      <c r="AYC92" s="165" t="s">
        <v>945</v>
      </c>
      <c r="AYD92" s="166" t="str">
        <f>VLOOKUP(AYC92,[13]AssetDetails_UEM!$A$3:$AH$1849,6,FALSE)</f>
        <v>Electrosurgical Units, Monopolar/Bipolar</v>
      </c>
      <c r="AYE92" s="165" t="s">
        <v>945</v>
      </c>
      <c r="AYF92" s="166" t="str">
        <f>VLOOKUP(AYE92,[13]AssetDetails_UEM!$A$3:$AH$1849,6,FALSE)</f>
        <v>Electrosurgical Units, Monopolar/Bipolar</v>
      </c>
      <c r="AYG92" s="165" t="s">
        <v>945</v>
      </c>
      <c r="AYH92" s="166" t="str">
        <f>VLOOKUP(AYG92,[13]AssetDetails_UEM!$A$3:$AH$1849,6,FALSE)</f>
        <v>Electrosurgical Units, Monopolar/Bipolar</v>
      </c>
      <c r="AYI92" s="165" t="s">
        <v>945</v>
      </c>
      <c r="AYJ92" s="166" t="str">
        <f>VLOOKUP(AYI92,[13]AssetDetails_UEM!$A$3:$AH$1849,6,FALSE)</f>
        <v>Electrosurgical Units, Monopolar/Bipolar</v>
      </c>
      <c r="AYK92" s="165" t="s">
        <v>945</v>
      </c>
      <c r="AYL92" s="166" t="str">
        <f>VLOOKUP(AYK92,[13]AssetDetails_UEM!$A$3:$AH$1849,6,FALSE)</f>
        <v>Electrosurgical Units, Monopolar/Bipolar</v>
      </c>
      <c r="AYM92" s="165" t="s">
        <v>945</v>
      </c>
      <c r="AYN92" s="166" t="str">
        <f>VLOOKUP(AYM92,[13]AssetDetails_UEM!$A$3:$AH$1849,6,FALSE)</f>
        <v>Electrosurgical Units, Monopolar/Bipolar</v>
      </c>
      <c r="AYO92" s="165" t="s">
        <v>945</v>
      </c>
      <c r="AYP92" s="166" t="str">
        <f>VLOOKUP(AYO92,[13]AssetDetails_UEM!$A$3:$AH$1849,6,FALSE)</f>
        <v>Electrosurgical Units, Monopolar/Bipolar</v>
      </c>
      <c r="AYQ92" s="165" t="s">
        <v>945</v>
      </c>
      <c r="AYR92" s="166" t="str">
        <f>VLOOKUP(AYQ92,[13]AssetDetails_UEM!$A$3:$AH$1849,6,FALSE)</f>
        <v>Electrosurgical Units, Monopolar/Bipolar</v>
      </c>
      <c r="AYS92" s="165" t="s">
        <v>945</v>
      </c>
      <c r="AYT92" s="166" t="str">
        <f>VLOOKUP(AYS92,[13]AssetDetails_UEM!$A$3:$AH$1849,6,FALSE)</f>
        <v>Electrosurgical Units, Monopolar/Bipolar</v>
      </c>
      <c r="AYU92" s="165" t="s">
        <v>945</v>
      </c>
      <c r="AYV92" s="166" t="str">
        <f>VLOOKUP(AYU92,[13]AssetDetails_UEM!$A$3:$AH$1849,6,FALSE)</f>
        <v>Electrosurgical Units, Monopolar/Bipolar</v>
      </c>
      <c r="AYW92" s="165" t="s">
        <v>945</v>
      </c>
      <c r="AYX92" s="166" t="str">
        <f>VLOOKUP(AYW92,[13]AssetDetails_UEM!$A$3:$AH$1849,6,FALSE)</f>
        <v>Electrosurgical Units, Monopolar/Bipolar</v>
      </c>
      <c r="AYY92" s="165" t="s">
        <v>945</v>
      </c>
      <c r="AYZ92" s="166" t="str">
        <f>VLOOKUP(AYY92,[13]AssetDetails_UEM!$A$3:$AH$1849,6,FALSE)</f>
        <v>Electrosurgical Units, Monopolar/Bipolar</v>
      </c>
      <c r="AZA92" s="165" t="s">
        <v>945</v>
      </c>
      <c r="AZB92" s="166" t="str">
        <f>VLOOKUP(AZA92,[13]AssetDetails_UEM!$A$3:$AH$1849,6,FALSE)</f>
        <v>Electrosurgical Units, Monopolar/Bipolar</v>
      </c>
      <c r="AZC92" s="165" t="s">
        <v>945</v>
      </c>
      <c r="AZD92" s="166" t="str">
        <f>VLOOKUP(AZC92,[13]AssetDetails_UEM!$A$3:$AH$1849,6,FALSE)</f>
        <v>Electrosurgical Units, Monopolar/Bipolar</v>
      </c>
      <c r="AZE92" s="165" t="s">
        <v>945</v>
      </c>
      <c r="AZF92" s="166" t="str">
        <f>VLOOKUP(AZE92,[13]AssetDetails_UEM!$A$3:$AH$1849,6,FALSE)</f>
        <v>Electrosurgical Units, Monopolar/Bipolar</v>
      </c>
      <c r="AZG92" s="165" t="s">
        <v>945</v>
      </c>
      <c r="AZH92" s="166" t="str">
        <f>VLOOKUP(AZG92,[13]AssetDetails_UEM!$A$3:$AH$1849,6,FALSE)</f>
        <v>Electrosurgical Units, Monopolar/Bipolar</v>
      </c>
      <c r="AZI92" s="165" t="s">
        <v>945</v>
      </c>
      <c r="AZJ92" s="166" t="str">
        <f>VLOOKUP(AZI92,[13]AssetDetails_UEM!$A$3:$AH$1849,6,FALSE)</f>
        <v>Electrosurgical Units, Monopolar/Bipolar</v>
      </c>
      <c r="AZK92" s="165" t="s">
        <v>945</v>
      </c>
      <c r="AZL92" s="166" t="str">
        <f>VLOOKUP(AZK92,[13]AssetDetails_UEM!$A$3:$AH$1849,6,FALSE)</f>
        <v>Electrosurgical Units, Monopolar/Bipolar</v>
      </c>
      <c r="AZM92" s="165" t="s">
        <v>945</v>
      </c>
      <c r="AZN92" s="166" t="str">
        <f>VLOOKUP(AZM92,[13]AssetDetails_UEM!$A$3:$AH$1849,6,FALSE)</f>
        <v>Electrosurgical Units, Monopolar/Bipolar</v>
      </c>
      <c r="AZO92" s="165" t="s">
        <v>945</v>
      </c>
      <c r="AZP92" s="166" t="str">
        <f>VLOOKUP(AZO92,[13]AssetDetails_UEM!$A$3:$AH$1849,6,FALSE)</f>
        <v>Electrosurgical Units, Monopolar/Bipolar</v>
      </c>
      <c r="AZQ92" s="165" t="s">
        <v>945</v>
      </c>
      <c r="AZR92" s="166" t="str">
        <f>VLOOKUP(AZQ92,[13]AssetDetails_UEM!$A$3:$AH$1849,6,FALSE)</f>
        <v>Electrosurgical Units, Monopolar/Bipolar</v>
      </c>
      <c r="AZS92" s="165" t="s">
        <v>945</v>
      </c>
      <c r="AZT92" s="166" t="str">
        <f>VLOOKUP(AZS92,[13]AssetDetails_UEM!$A$3:$AH$1849,6,FALSE)</f>
        <v>Electrosurgical Units, Monopolar/Bipolar</v>
      </c>
      <c r="AZU92" s="165" t="s">
        <v>945</v>
      </c>
      <c r="AZV92" s="166" t="str">
        <f>VLOOKUP(AZU92,[13]AssetDetails_UEM!$A$3:$AH$1849,6,FALSE)</f>
        <v>Electrosurgical Units, Monopolar/Bipolar</v>
      </c>
      <c r="AZW92" s="165" t="s">
        <v>945</v>
      </c>
      <c r="AZX92" s="166" t="str">
        <f>VLOOKUP(AZW92,[13]AssetDetails_UEM!$A$3:$AH$1849,6,FALSE)</f>
        <v>Electrosurgical Units, Monopolar/Bipolar</v>
      </c>
      <c r="AZY92" s="165" t="s">
        <v>945</v>
      </c>
      <c r="AZZ92" s="166" t="str">
        <f>VLOOKUP(AZY92,[13]AssetDetails_UEM!$A$3:$AH$1849,6,FALSE)</f>
        <v>Electrosurgical Units, Monopolar/Bipolar</v>
      </c>
      <c r="BAA92" s="165" t="s">
        <v>945</v>
      </c>
      <c r="BAB92" s="166" t="str">
        <f>VLOOKUP(BAA92,[13]AssetDetails_UEM!$A$3:$AH$1849,6,FALSE)</f>
        <v>Electrosurgical Units, Monopolar/Bipolar</v>
      </c>
      <c r="BAC92" s="165" t="s">
        <v>945</v>
      </c>
      <c r="BAD92" s="166" t="str">
        <f>VLOOKUP(BAC92,[13]AssetDetails_UEM!$A$3:$AH$1849,6,FALSE)</f>
        <v>Electrosurgical Units, Monopolar/Bipolar</v>
      </c>
      <c r="BAE92" s="165" t="s">
        <v>945</v>
      </c>
      <c r="BAF92" s="166" t="str">
        <f>VLOOKUP(BAE92,[13]AssetDetails_UEM!$A$3:$AH$1849,6,FALSE)</f>
        <v>Electrosurgical Units, Monopolar/Bipolar</v>
      </c>
      <c r="BAG92" s="165" t="s">
        <v>945</v>
      </c>
      <c r="BAH92" s="166" t="str">
        <f>VLOOKUP(BAG92,[13]AssetDetails_UEM!$A$3:$AH$1849,6,FALSE)</f>
        <v>Electrosurgical Units, Monopolar/Bipolar</v>
      </c>
      <c r="BAI92" s="165" t="s">
        <v>945</v>
      </c>
      <c r="BAJ92" s="166" t="str">
        <f>VLOOKUP(BAI92,[13]AssetDetails_UEM!$A$3:$AH$1849,6,FALSE)</f>
        <v>Electrosurgical Units, Monopolar/Bipolar</v>
      </c>
      <c r="BAK92" s="165" t="s">
        <v>945</v>
      </c>
      <c r="BAL92" s="166" t="str">
        <f>VLOOKUP(BAK92,[13]AssetDetails_UEM!$A$3:$AH$1849,6,FALSE)</f>
        <v>Electrosurgical Units, Monopolar/Bipolar</v>
      </c>
      <c r="BAM92" s="165" t="s">
        <v>945</v>
      </c>
      <c r="BAN92" s="166" t="str">
        <f>VLOOKUP(BAM92,[13]AssetDetails_UEM!$A$3:$AH$1849,6,FALSE)</f>
        <v>Electrosurgical Units, Monopolar/Bipolar</v>
      </c>
      <c r="BAO92" s="165" t="s">
        <v>945</v>
      </c>
      <c r="BAP92" s="166" t="str">
        <f>VLOOKUP(BAO92,[13]AssetDetails_UEM!$A$3:$AH$1849,6,FALSE)</f>
        <v>Electrosurgical Units, Monopolar/Bipolar</v>
      </c>
      <c r="BAQ92" s="165" t="s">
        <v>945</v>
      </c>
      <c r="BAR92" s="166" t="str">
        <f>VLOOKUP(BAQ92,[13]AssetDetails_UEM!$A$3:$AH$1849,6,FALSE)</f>
        <v>Electrosurgical Units, Monopolar/Bipolar</v>
      </c>
      <c r="BAS92" s="165" t="s">
        <v>945</v>
      </c>
      <c r="BAT92" s="166" t="str">
        <f>VLOOKUP(BAS92,[13]AssetDetails_UEM!$A$3:$AH$1849,6,FALSE)</f>
        <v>Electrosurgical Units, Monopolar/Bipolar</v>
      </c>
      <c r="BAU92" s="165" t="s">
        <v>945</v>
      </c>
      <c r="BAV92" s="166" t="str">
        <f>VLOOKUP(BAU92,[13]AssetDetails_UEM!$A$3:$AH$1849,6,FALSE)</f>
        <v>Electrosurgical Units, Monopolar/Bipolar</v>
      </c>
      <c r="BAW92" s="165" t="s">
        <v>945</v>
      </c>
      <c r="BAX92" s="166" t="str">
        <f>VLOOKUP(BAW92,[13]AssetDetails_UEM!$A$3:$AH$1849,6,FALSE)</f>
        <v>Electrosurgical Units, Monopolar/Bipolar</v>
      </c>
      <c r="BAY92" s="165" t="s">
        <v>945</v>
      </c>
      <c r="BAZ92" s="166" t="str">
        <f>VLOOKUP(BAY92,[13]AssetDetails_UEM!$A$3:$AH$1849,6,FALSE)</f>
        <v>Electrosurgical Units, Monopolar/Bipolar</v>
      </c>
      <c r="BBA92" s="165" t="s">
        <v>945</v>
      </c>
      <c r="BBB92" s="166" t="str">
        <f>VLOOKUP(BBA92,[13]AssetDetails_UEM!$A$3:$AH$1849,6,FALSE)</f>
        <v>Electrosurgical Units, Monopolar/Bipolar</v>
      </c>
      <c r="BBC92" s="165" t="s">
        <v>945</v>
      </c>
      <c r="BBD92" s="166" t="str">
        <f>VLOOKUP(BBC92,[13]AssetDetails_UEM!$A$3:$AH$1849,6,FALSE)</f>
        <v>Electrosurgical Units, Monopolar/Bipolar</v>
      </c>
      <c r="BBE92" s="165" t="s">
        <v>945</v>
      </c>
      <c r="BBF92" s="166" t="str">
        <f>VLOOKUP(BBE92,[13]AssetDetails_UEM!$A$3:$AH$1849,6,FALSE)</f>
        <v>Electrosurgical Units, Monopolar/Bipolar</v>
      </c>
      <c r="BBG92" s="165" t="s">
        <v>945</v>
      </c>
      <c r="BBH92" s="166" t="str">
        <f>VLOOKUP(BBG92,[13]AssetDetails_UEM!$A$3:$AH$1849,6,FALSE)</f>
        <v>Electrosurgical Units, Monopolar/Bipolar</v>
      </c>
      <c r="BBI92" s="165" t="s">
        <v>945</v>
      </c>
      <c r="BBJ92" s="166" t="str">
        <f>VLOOKUP(BBI92,[13]AssetDetails_UEM!$A$3:$AH$1849,6,FALSE)</f>
        <v>Electrosurgical Units, Monopolar/Bipolar</v>
      </c>
      <c r="BBK92" s="165" t="s">
        <v>945</v>
      </c>
      <c r="BBL92" s="166" t="str">
        <f>VLOOKUP(BBK92,[13]AssetDetails_UEM!$A$3:$AH$1849,6,FALSE)</f>
        <v>Electrosurgical Units, Monopolar/Bipolar</v>
      </c>
      <c r="BBM92" s="165" t="s">
        <v>945</v>
      </c>
      <c r="BBN92" s="166" t="str">
        <f>VLOOKUP(BBM92,[13]AssetDetails_UEM!$A$3:$AH$1849,6,FALSE)</f>
        <v>Electrosurgical Units, Monopolar/Bipolar</v>
      </c>
      <c r="BBO92" s="165" t="s">
        <v>945</v>
      </c>
      <c r="BBP92" s="166" t="str">
        <f>VLOOKUP(BBO92,[13]AssetDetails_UEM!$A$3:$AH$1849,6,FALSE)</f>
        <v>Electrosurgical Units, Monopolar/Bipolar</v>
      </c>
      <c r="BBQ92" s="165" t="s">
        <v>945</v>
      </c>
      <c r="BBR92" s="166" t="str">
        <f>VLOOKUP(BBQ92,[13]AssetDetails_UEM!$A$3:$AH$1849,6,FALSE)</f>
        <v>Electrosurgical Units, Monopolar/Bipolar</v>
      </c>
      <c r="BBS92" s="165" t="s">
        <v>945</v>
      </c>
      <c r="BBT92" s="166" t="str">
        <f>VLOOKUP(BBS92,[13]AssetDetails_UEM!$A$3:$AH$1849,6,FALSE)</f>
        <v>Electrosurgical Units, Monopolar/Bipolar</v>
      </c>
      <c r="BBU92" s="165" t="s">
        <v>945</v>
      </c>
      <c r="BBV92" s="166" t="str">
        <f>VLOOKUP(BBU92,[13]AssetDetails_UEM!$A$3:$AH$1849,6,FALSE)</f>
        <v>Electrosurgical Units, Monopolar/Bipolar</v>
      </c>
      <c r="BBW92" s="165" t="s">
        <v>945</v>
      </c>
      <c r="BBX92" s="166" t="str">
        <f>VLOOKUP(BBW92,[13]AssetDetails_UEM!$A$3:$AH$1849,6,FALSE)</f>
        <v>Electrosurgical Units, Monopolar/Bipolar</v>
      </c>
      <c r="BBY92" s="165" t="s">
        <v>945</v>
      </c>
      <c r="BBZ92" s="166" t="str">
        <f>VLOOKUP(BBY92,[13]AssetDetails_UEM!$A$3:$AH$1849,6,FALSE)</f>
        <v>Electrosurgical Units, Monopolar/Bipolar</v>
      </c>
      <c r="BCA92" s="165" t="s">
        <v>945</v>
      </c>
      <c r="BCB92" s="166" t="str">
        <f>VLOOKUP(BCA92,[13]AssetDetails_UEM!$A$3:$AH$1849,6,FALSE)</f>
        <v>Electrosurgical Units, Monopolar/Bipolar</v>
      </c>
      <c r="BCC92" s="165" t="s">
        <v>945</v>
      </c>
      <c r="BCD92" s="166" t="str">
        <f>VLOOKUP(BCC92,[13]AssetDetails_UEM!$A$3:$AH$1849,6,FALSE)</f>
        <v>Electrosurgical Units, Monopolar/Bipolar</v>
      </c>
      <c r="BCE92" s="165" t="s">
        <v>945</v>
      </c>
      <c r="BCF92" s="166" t="str">
        <f>VLOOKUP(BCE92,[13]AssetDetails_UEM!$A$3:$AH$1849,6,FALSE)</f>
        <v>Electrosurgical Units, Monopolar/Bipolar</v>
      </c>
      <c r="BCG92" s="165" t="s">
        <v>945</v>
      </c>
      <c r="BCH92" s="166" t="str">
        <f>VLOOKUP(BCG92,[13]AssetDetails_UEM!$A$3:$AH$1849,6,FALSE)</f>
        <v>Electrosurgical Units, Monopolar/Bipolar</v>
      </c>
      <c r="BCI92" s="165" t="s">
        <v>945</v>
      </c>
      <c r="BCJ92" s="166" t="str">
        <f>VLOOKUP(BCI92,[13]AssetDetails_UEM!$A$3:$AH$1849,6,FALSE)</f>
        <v>Electrosurgical Units, Monopolar/Bipolar</v>
      </c>
      <c r="BCK92" s="165" t="s">
        <v>945</v>
      </c>
      <c r="BCL92" s="166" t="str">
        <f>VLOOKUP(BCK92,[13]AssetDetails_UEM!$A$3:$AH$1849,6,FALSE)</f>
        <v>Electrosurgical Units, Monopolar/Bipolar</v>
      </c>
      <c r="BCM92" s="165" t="s">
        <v>945</v>
      </c>
      <c r="BCN92" s="166" t="str">
        <f>VLOOKUP(BCM92,[13]AssetDetails_UEM!$A$3:$AH$1849,6,FALSE)</f>
        <v>Electrosurgical Units, Monopolar/Bipolar</v>
      </c>
      <c r="BCO92" s="165" t="s">
        <v>945</v>
      </c>
      <c r="BCP92" s="166" t="str">
        <f>VLOOKUP(BCO92,[13]AssetDetails_UEM!$A$3:$AH$1849,6,FALSE)</f>
        <v>Electrosurgical Units, Monopolar/Bipolar</v>
      </c>
      <c r="BCQ92" s="165" t="s">
        <v>945</v>
      </c>
      <c r="BCR92" s="166" t="str">
        <f>VLOOKUP(BCQ92,[13]AssetDetails_UEM!$A$3:$AH$1849,6,FALSE)</f>
        <v>Electrosurgical Units, Monopolar/Bipolar</v>
      </c>
      <c r="BCS92" s="165" t="s">
        <v>945</v>
      </c>
      <c r="BCT92" s="166" t="str">
        <f>VLOOKUP(BCS92,[13]AssetDetails_UEM!$A$3:$AH$1849,6,FALSE)</f>
        <v>Electrosurgical Units, Monopolar/Bipolar</v>
      </c>
      <c r="BCU92" s="165" t="s">
        <v>945</v>
      </c>
      <c r="BCV92" s="166" t="str">
        <f>VLOOKUP(BCU92,[13]AssetDetails_UEM!$A$3:$AH$1849,6,FALSE)</f>
        <v>Electrosurgical Units, Monopolar/Bipolar</v>
      </c>
      <c r="BCW92" s="165" t="s">
        <v>945</v>
      </c>
      <c r="BCX92" s="166" t="str">
        <f>VLOOKUP(BCW92,[13]AssetDetails_UEM!$A$3:$AH$1849,6,FALSE)</f>
        <v>Electrosurgical Units, Monopolar/Bipolar</v>
      </c>
      <c r="BCY92" s="165" t="s">
        <v>945</v>
      </c>
      <c r="BCZ92" s="166" t="str">
        <f>VLOOKUP(BCY92,[13]AssetDetails_UEM!$A$3:$AH$1849,6,FALSE)</f>
        <v>Electrosurgical Units, Monopolar/Bipolar</v>
      </c>
      <c r="BDA92" s="165" t="s">
        <v>945</v>
      </c>
      <c r="BDB92" s="166" t="str">
        <f>VLOOKUP(BDA92,[13]AssetDetails_UEM!$A$3:$AH$1849,6,FALSE)</f>
        <v>Electrosurgical Units, Monopolar/Bipolar</v>
      </c>
      <c r="BDC92" s="165" t="s">
        <v>945</v>
      </c>
      <c r="BDD92" s="166" t="str">
        <f>VLOOKUP(BDC92,[13]AssetDetails_UEM!$A$3:$AH$1849,6,FALSE)</f>
        <v>Electrosurgical Units, Monopolar/Bipolar</v>
      </c>
      <c r="BDE92" s="165" t="s">
        <v>945</v>
      </c>
      <c r="BDF92" s="166" t="str">
        <f>VLOOKUP(BDE92,[13]AssetDetails_UEM!$A$3:$AH$1849,6,FALSE)</f>
        <v>Electrosurgical Units, Monopolar/Bipolar</v>
      </c>
      <c r="BDG92" s="165" t="s">
        <v>945</v>
      </c>
      <c r="BDH92" s="166" t="str">
        <f>VLOOKUP(BDG92,[13]AssetDetails_UEM!$A$3:$AH$1849,6,FALSE)</f>
        <v>Electrosurgical Units, Monopolar/Bipolar</v>
      </c>
      <c r="BDI92" s="165" t="s">
        <v>945</v>
      </c>
      <c r="BDJ92" s="166" t="str">
        <f>VLOOKUP(BDI92,[13]AssetDetails_UEM!$A$3:$AH$1849,6,FALSE)</f>
        <v>Electrosurgical Units, Monopolar/Bipolar</v>
      </c>
      <c r="BDK92" s="165" t="s">
        <v>945</v>
      </c>
      <c r="BDL92" s="166" t="str">
        <f>VLOOKUP(BDK92,[13]AssetDetails_UEM!$A$3:$AH$1849,6,FALSE)</f>
        <v>Electrosurgical Units, Monopolar/Bipolar</v>
      </c>
      <c r="BDM92" s="165" t="s">
        <v>945</v>
      </c>
      <c r="BDN92" s="166" t="str">
        <f>VLOOKUP(BDM92,[13]AssetDetails_UEM!$A$3:$AH$1849,6,FALSE)</f>
        <v>Electrosurgical Units, Monopolar/Bipolar</v>
      </c>
      <c r="BDO92" s="165" t="s">
        <v>945</v>
      </c>
      <c r="BDP92" s="166" t="str">
        <f>VLOOKUP(BDO92,[13]AssetDetails_UEM!$A$3:$AH$1849,6,FALSE)</f>
        <v>Electrosurgical Units, Monopolar/Bipolar</v>
      </c>
      <c r="BDQ92" s="165" t="s">
        <v>945</v>
      </c>
      <c r="BDR92" s="166" t="str">
        <f>VLOOKUP(BDQ92,[13]AssetDetails_UEM!$A$3:$AH$1849,6,FALSE)</f>
        <v>Electrosurgical Units, Monopolar/Bipolar</v>
      </c>
      <c r="BDS92" s="165" t="s">
        <v>945</v>
      </c>
      <c r="BDT92" s="166" t="str">
        <f>VLOOKUP(BDS92,[13]AssetDetails_UEM!$A$3:$AH$1849,6,FALSE)</f>
        <v>Electrosurgical Units, Monopolar/Bipolar</v>
      </c>
      <c r="BDU92" s="165" t="s">
        <v>945</v>
      </c>
      <c r="BDV92" s="166" t="str">
        <f>VLOOKUP(BDU92,[13]AssetDetails_UEM!$A$3:$AH$1849,6,FALSE)</f>
        <v>Electrosurgical Units, Monopolar/Bipolar</v>
      </c>
      <c r="BDW92" s="165" t="s">
        <v>945</v>
      </c>
      <c r="BDX92" s="166" t="str">
        <f>VLOOKUP(BDW92,[13]AssetDetails_UEM!$A$3:$AH$1849,6,FALSE)</f>
        <v>Electrosurgical Units, Monopolar/Bipolar</v>
      </c>
      <c r="BDY92" s="165" t="s">
        <v>945</v>
      </c>
      <c r="BDZ92" s="166" t="str">
        <f>VLOOKUP(BDY92,[13]AssetDetails_UEM!$A$3:$AH$1849,6,FALSE)</f>
        <v>Electrosurgical Units, Monopolar/Bipolar</v>
      </c>
      <c r="BEA92" s="165" t="s">
        <v>945</v>
      </c>
      <c r="BEB92" s="166" t="str">
        <f>VLOOKUP(BEA92,[13]AssetDetails_UEM!$A$3:$AH$1849,6,FALSE)</f>
        <v>Electrosurgical Units, Monopolar/Bipolar</v>
      </c>
      <c r="BEC92" s="165" t="s">
        <v>945</v>
      </c>
      <c r="BED92" s="166" t="str">
        <f>VLOOKUP(BEC92,[13]AssetDetails_UEM!$A$3:$AH$1849,6,FALSE)</f>
        <v>Electrosurgical Units, Monopolar/Bipolar</v>
      </c>
      <c r="BEE92" s="165" t="s">
        <v>945</v>
      </c>
      <c r="BEF92" s="166" t="str">
        <f>VLOOKUP(BEE92,[13]AssetDetails_UEM!$A$3:$AH$1849,6,FALSE)</f>
        <v>Electrosurgical Units, Monopolar/Bipolar</v>
      </c>
      <c r="BEG92" s="165" t="s">
        <v>945</v>
      </c>
      <c r="BEH92" s="166" t="str">
        <f>VLOOKUP(BEG92,[13]AssetDetails_UEM!$A$3:$AH$1849,6,FALSE)</f>
        <v>Electrosurgical Units, Monopolar/Bipolar</v>
      </c>
      <c r="BEI92" s="165" t="s">
        <v>945</v>
      </c>
      <c r="BEJ92" s="166" t="str">
        <f>VLOOKUP(BEI92,[13]AssetDetails_UEM!$A$3:$AH$1849,6,FALSE)</f>
        <v>Electrosurgical Units, Monopolar/Bipolar</v>
      </c>
      <c r="BEK92" s="165" t="s">
        <v>945</v>
      </c>
      <c r="BEL92" s="166" t="str">
        <f>VLOOKUP(BEK92,[13]AssetDetails_UEM!$A$3:$AH$1849,6,FALSE)</f>
        <v>Electrosurgical Units, Monopolar/Bipolar</v>
      </c>
      <c r="BEM92" s="165" t="s">
        <v>945</v>
      </c>
      <c r="BEN92" s="166" t="str">
        <f>VLOOKUP(BEM92,[13]AssetDetails_UEM!$A$3:$AH$1849,6,FALSE)</f>
        <v>Electrosurgical Units, Monopolar/Bipolar</v>
      </c>
      <c r="BEO92" s="165" t="s">
        <v>945</v>
      </c>
      <c r="BEP92" s="166" t="str">
        <f>VLOOKUP(BEO92,[13]AssetDetails_UEM!$A$3:$AH$1849,6,FALSE)</f>
        <v>Electrosurgical Units, Monopolar/Bipolar</v>
      </c>
      <c r="BEQ92" s="165" t="s">
        <v>945</v>
      </c>
      <c r="BER92" s="166" t="str">
        <f>VLOOKUP(BEQ92,[13]AssetDetails_UEM!$A$3:$AH$1849,6,FALSE)</f>
        <v>Electrosurgical Units, Monopolar/Bipolar</v>
      </c>
      <c r="BES92" s="165" t="s">
        <v>945</v>
      </c>
      <c r="BET92" s="166" t="str">
        <f>VLOOKUP(BES92,[13]AssetDetails_UEM!$A$3:$AH$1849,6,FALSE)</f>
        <v>Electrosurgical Units, Monopolar/Bipolar</v>
      </c>
      <c r="BEU92" s="165" t="s">
        <v>945</v>
      </c>
      <c r="BEV92" s="166" t="str">
        <f>VLOOKUP(BEU92,[13]AssetDetails_UEM!$A$3:$AH$1849,6,FALSE)</f>
        <v>Electrosurgical Units, Monopolar/Bipolar</v>
      </c>
      <c r="BEW92" s="165" t="s">
        <v>945</v>
      </c>
      <c r="BEX92" s="166" t="str">
        <f>VLOOKUP(BEW92,[13]AssetDetails_UEM!$A$3:$AH$1849,6,FALSE)</f>
        <v>Electrosurgical Units, Monopolar/Bipolar</v>
      </c>
      <c r="BEY92" s="165" t="s">
        <v>945</v>
      </c>
      <c r="BEZ92" s="166" t="str">
        <f>VLOOKUP(BEY92,[13]AssetDetails_UEM!$A$3:$AH$1849,6,FALSE)</f>
        <v>Electrosurgical Units, Monopolar/Bipolar</v>
      </c>
      <c r="BFA92" s="165" t="s">
        <v>945</v>
      </c>
      <c r="BFB92" s="166" t="str">
        <f>VLOOKUP(BFA92,[13]AssetDetails_UEM!$A$3:$AH$1849,6,FALSE)</f>
        <v>Electrosurgical Units, Monopolar/Bipolar</v>
      </c>
      <c r="BFC92" s="165" t="s">
        <v>945</v>
      </c>
      <c r="BFD92" s="166" t="str">
        <f>VLOOKUP(BFC92,[13]AssetDetails_UEM!$A$3:$AH$1849,6,FALSE)</f>
        <v>Electrosurgical Units, Monopolar/Bipolar</v>
      </c>
      <c r="BFE92" s="165" t="s">
        <v>945</v>
      </c>
      <c r="BFF92" s="166" t="str">
        <f>VLOOKUP(BFE92,[13]AssetDetails_UEM!$A$3:$AH$1849,6,FALSE)</f>
        <v>Electrosurgical Units, Monopolar/Bipolar</v>
      </c>
      <c r="BFG92" s="165" t="s">
        <v>945</v>
      </c>
      <c r="BFH92" s="166" t="str">
        <f>VLOOKUP(BFG92,[13]AssetDetails_UEM!$A$3:$AH$1849,6,FALSE)</f>
        <v>Electrosurgical Units, Monopolar/Bipolar</v>
      </c>
      <c r="BFI92" s="165" t="s">
        <v>945</v>
      </c>
      <c r="BFJ92" s="166" t="str">
        <f>VLOOKUP(BFI92,[13]AssetDetails_UEM!$A$3:$AH$1849,6,FALSE)</f>
        <v>Electrosurgical Units, Monopolar/Bipolar</v>
      </c>
      <c r="BFK92" s="165" t="s">
        <v>945</v>
      </c>
      <c r="BFL92" s="166" t="str">
        <f>VLOOKUP(BFK92,[13]AssetDetails_UEM!$A$3:$AH$1849,6,FALSE)</f>
        <v>Electrosurgical Units, Monopolar/Bipolar</v>
      </c>
      <c r="BFM92" s="165" t="s">
        <v>945</v>
      </c>
      <c r="BFN92" s="166" t="str">
        <f>VLOOKUP(BFM92,[13]AssetDetails_UEM!$A$3:$AH$1849,6,FALSE)</f>
        <v>Electrosurgical Units, Monopolar/Bipolar</v>
      </c>
      <c r="BFO92" s="165" t="s">
        <v>945</v>
      </c>
      <c r="BFP92" s="166" t="str">
        <f>VLOOKUP(BFO92,[13]AssetDetails_UEM!$A$3:$AH$1849,6,FALSE)</f>
        <v>Electrosurgical Units, Monopolar/Bipolar</v>
      </c>
      <c r="BFQ92" s="165" t="s">
        <v>945</v>
      </c>
      <c r="BFR92" s="166" t="str">
        <f>VLOOKUP(BFQ92,[13]AssetDetails_UEM!$A$3:$AH$1849,6,FALSE)</f>
        <v>Electrosurgical Units, Monopolar/Bipolar</v>
      </c>
      <c r="BFS92" s="165" t="s">
        <v>945</v>
      </c>
      <c r="BFT92" s="166" t="str">
        <f>VLOOKUP(BFS92,[13]AssetDetails_UEM!$A$3:$AH$1849,6,FALSE)</f>
        <v>Electrosurgical Units, Monopolar/Bipolar</v>
      </c>
      <c r="BFU92" s="165" t="s">
        <v>945</v>
      </c>
      <c r="BFV92" s="166" t="str">
        <f>VLOOKUP(BFU92,[13]AssetDetails_UEM!$A$3:$AH$1849,6,FALSE)</f>
        <v>Electrosurgical Units, Monopolar/Bipolar</v>
      </c>
      <c r="BFW92" s="165" t="s">
        <v>945</v>
      </c>
      <c r="BFX92" s="166" t="str">
        <f>VLOOKUP(BFW92,[13]AssetDetails_UEM!$A$3:$AH$1849,6,FALSE)</f>
        <v>Electrosurgical Units, Monopolar/Bipolar</v>
      </c>
      <c r="BFY92" s="165" t="s">
        <v>945</v>
      </c>
      <c r="BFZ92" s="166" t="str">
        <f>VLOOKUP(BFY92,[13]AssetDetails_UEM!$A$3:$AH$1849,6,FALSE)</f>
        <v>Electrosurgical Units, Monopolar/Bipolar</v>
      </c>
      <c r="BGA92" s="165" t="s">
        <v>945</v>
      </c>
      <c r="BGB92" s="166" t="str">
        <f>VLOOKUP(BGA92,[13]AssetDetails_UEM!$A$3:$AH$1849,6,FALSE)</f>
        <v>Electrosurgical Units, Monopolar/Bipolar</v>
      </c>
      <c r="BGC92" s="165" t="s">
        <v>945</v>
      </c>
      <c r="BGD92" s="166" t="str">
        <f>VLOOKUP(BGC92,[13]AssetDetails_UEM!$A$3:$AH$1849,6,FALSE)</f>
        <v>Electrosurgical Units, Monopolar/Bipolar</v>
      </c>
      <c r="BGE92" s="165" t="s">
        <v>945</v>
      </c>
      <c r="BGF92" s="166" t="str">
        <f>VLOOKUP(BGE92,[13]AssetDetails_UEM!$A$3:$AH$1849,6,FALSE)</f>
        <v>Electrosurgical Units, Monopolar/Bipolar</v>
      </c>
      <c r="BGG92" s="165" t="s">
        <v>945</v>
      </c>
      <c r="BGH92" s="166" t="str">
        <f>VLOOKUP(BGG92,[13]AssetDetails_UEM!$A$3:$AH$1849,6,FALSE)</f>
        <v>Electrosurgical Units, Monopolar/Bipolar</v>
      </c>
      <c r="BGI92" s="165" t="s">
        <v>945</v>
      </c>
      <c r="BGJ92" s="166" t="str">
        <f>VLOOKUP(BGI92,[13]AssetDetails_UEM!$A$3:$AH$1849,6,FALSE)</f>
        <v>Electrosurgical Units, Monopolar/Bipolar</v>
      </c>
      <c r="BGK92" s="165" t="s">
        <v>945</v>
      </c>
      <c r="BGL92" s="166" t="str">
        <f>VLOOKUP(BGK92,[13]AssetDetails_UEM!$A$3:$AH$1849,6,FALSE)</f>
        <v>Electrosurgical Units, Monopolar/Bipolar</v>
      </c>
      <c r="BGM92" s="165" t="s">
        <v>945</v>
      </c>
      <c r="BGN92" s="166" t="str">
        <f>VLOOKUP(BGM92,[13]AssetDetails_UEM!$A$3:$AH$1849,6,FALSE)</f>
        <v>Electrosurgical Units, Monopolar/Bipolar</v>
      </c>
      <c r="BGO92" s="165" t="s">
        <v>945</v>
      </c>
      <c r="BGP92" s="166" t="str">
        <f>VLOOKUP(BGO92,[13]AssetDetails_UEM!$A$3:$AH$1849,6,FALSE)</f>
        <v>Electrosurgical Units, Monopolar/Bipolar</v>
      </c>
      <c r="BGQ92" s="165" t="s">
        <v>945</v>
      </c>
      <c r="BGR92" s="166" t="str">
        <f>VLOOKUP(BGQ92,[13]AssetDetails_UEM!$A$3:$AH$1849,6,FALSE)</f>
        <v>Electrosurgical Units, Monopolar/Bipolar</v>
      </c>
      <c r="BGS92" s="165" t="s">
        <v>945</v>
      </c>
      <c r="BGT92" s="166" t="str">
        <f>VLOOKUP(BGS92,[13]AssetDetails_UEM!$A$3:$AH$1849,6,FALSE)</f>
        <v>Electrosurgical Units, Monopolar/Bipolar</v>
      </c>
      <c r="BGU92" s="165" t="s">
        <v>945</v>
      </c>
      <c r="BGV92" s="166" t="str">
        <f>VLOOKUP(BGU92,[13]AssetDetails_UEM!$A$3:$AH$1849,6,FALSE)</f>
        <v>Electrosurgical Units, Monopolar/Bipolar</v>
      </c>
      <c r="BGW92" s="165" t="s">
        <v>945</v>
      </c>
      <c r="BGX92" s="166" t="str">
        <f>VLOOKUP(BGW92,[13]AssetDetails_UEM!$A$3:$AH$1849,6,FALSE)</f>
        <v>Electrosurgical Units, Monopolar/Bipolar</v>
      </c>
      <c r="BGY92" s="165" t="s">
        <v>945</v>
      </c>
      <c r="BGZ92" s="166" t="str">
        <f>VLOOKUP(BGY92,[13]AssetDetails_UEM!$A$3:$AH$1849,6,FALSE)</f>
        <v>Electrosurgical Units, Monopolar/Bipolar</v>
      </c>
      <c r="BHA92" s="165" t="s">
        <v>945</v>
      </c>
      <c r="BHB92" s="166" t="str">
        <f>VLOOKUP(BHA92,[13]AssetDetails_UEM!$A$3:$AH$1849,6,FALSE)</f>
        <v>Electrosurgical Units, Monopolar/Bipolar</v>
      </c>
      <c r="BHC92" s="165" t="s">
        <v>945</v>
      </c>
      <c r="BHD92" s="166" t="str">
        <f>VLOOKUP(BHC92,[13]AssetDetails_UEM!$A$3:$AH$1849,6,FALSE)</f>
        <v>Electrosurgical Units, Monopolar/Bipolar</v>
      </c>
      <c r="BHE92" s="165" t="s">
        <v>945</v>
      </c>
      <c r="BHF92" s="166" t="str">
        <f>VLOOKUP(BHE92,[13]AssetDetails_UEM!$A$3:$AH$1849,6,FALSE)</f>
        <v>Electrosurgical Units, Monopolar/Bipolar</v>
      </c>
      <c r="BHG92" s="165" t="s">
        <v>945</v>
      </c>
      <c r="BHH92" s="166" t="str">
        <f>VLOOKUP(BHG92,[13]AssetDetails_UEM!$A$3:$AH$1849,6,FALSE)</f>
        <v>Electrosurgical Units, Monopolar/Bipolar</v>
      </c>
      <c r="BHI92" s="165" t="s">
        <v>945</v>
      </c>
      <c r="BHJ92" s="166" t="str">
        <f>VLOOKUP(BHI92,[13]AssetDetails_UEM!$A$3:$AH$1849,6,FALSE)</f>
        <v>Electrosurgical Units, Monopolar/Bipolar</v>
      </c>
      <c r="BHK92" s="165" t="s">
        <v>945</v>
      </c>
      <c r="BHL92" s="166" t="str">
        <f>VLOOKUP(BHK92,[13]AssetDetails_UEM!$A$3:$AH$1849,6,FALSE)</f>
        <v>Electrosurgical Units, Monopolar/Bipolar</v>
      </c>
      <c r="BHM92" s="165" t="s">
        <v>945</v>
      </c>
      <c r="BHN92" s="166" t="str">
        <f>VLOOKUP(BHM92,[13]AssetDetails_UEM!$A$3:$AH$1849,6,FALSE)</f>
        <v>Electrosurgical Units, Monopolar/Bipolar</v>
      </c>
      <c r="BHO92" s="165" t="s">
        <v>945</v>
      </c>
      <c r="BHP92" s="166" t="str">
        <f>VLOOKUP(BHO92,[13]AssetDetails_UEM!$A$3:$AH$1849,6,FALSE)</f>
        <v>Electrosurgical Units, Monopolar/Bipolar</v>
      </c>
      <c r="BHQ92" s="165" t="s">
        <v>945</v>
      </c>
      <c r="BHR92" s="166" t="str">
        <f>VLOOKUP(BHQ92,[13]AssetDetails_UEM!$A$3:$AH$1849,6,FALSE)</f>
        <v>Electrosurgical Units, Monopolar/Bipolar</v>
      </c>
      <c r="BHS92" s="165" t="s">
        <v>945</v>
      </c>
      <c r="BHT92" s="166" t="str">
        <f>VLOOKUP(BHS92,[13]AssetDetails_UEM!$A$3:$AH$1849,6,FALSE)</f>
        <v>Electrosurgical Units, Monopolar/Bipolar</v>
      </c>
      <c r="BHU92" s="165" t="s">
        <v>945</v>
      </c>
      <c r="BHV92" s="166" t="str">
        <f>VLOOKUP(BHU92,[13]AssetDetails_UEM!$A$3:$AH$1849,6,FALSE)</f>
        <v>Electrosurgical Units, Monopolar/Bipolar</v>
      </c>
      <c r="BHW92" s="165" t="s">
        <v>945</v>
      </c>
      <c r="BHX92" s="166" t="str">
        <f>VLOOKUP(BHW92,[13]AssetDetails_UEM!$A$3:$AH$1849,6,FALSE)</f>
        <v>Electrosurgical Units, Monopolar/Bipolar</v>
      </c>
      <c r="BHY92" s="165" t="s">
        <v>945</v>
      </c>
      <c r="BHZ92" s="166" t="str">
        <f>VLOOKUP(BHY92,[13]AssetDetails_UEM!$A$3:$AH$1849,6,FALSE)</f>
        <v>Electrosurgical Units, Monopolar/Bipolar</v>
      </c>
      <c r="BIA92" s="165" t="s">
        <v>945</v>
      </c>
      <c r="BIB92" s="166" t="str">
        <f>VLOOKUP(BIA92,[13]AssetDetails_UEM!$A$3:$AH$1849,6,FALSE)</f>
        <v>Electrosurgical Units, Monopolar/Bipolar</v>
      </c>
      <c r="BIC92" s="165" t="s">
        <v>945</v>
      </c>
      <c r="BID92" s="166" t="str">
        <f>VLOOKUP(BIC92,[13]AssetDetails_UEM!$A$3:$AH$1849,6,FALSE)</f>
        <v>Electrosurgical Units, Monopolar/Bipolar</v>
      </c>
      <c r="BIE92" s="165" t="s">
        <v>945</v>
      </c>
      <c r="BIF92" s="166" t="str">
        <f>VLOOKUP(BIE92,[13]AssetDetails_UEM!$A$3:$AH$1849,6,FALSE)</f>
        <v>Electrosurgical Units, Monopolar/Bipolar</v>
      </c>
      <c r="BIG92" s="165" t="s">
        <v>945</v>
      </c>
      <c r="BIH92" s="166" t="str">
        <f>VLOOKUP(BIG92,[13]AssetDetails_UEM!$A$3:$AH$1849,6,FALSE)</f>
        <v>Electrosurgical Units, Monopolar/Bipolar</v>
      </c>
      <c r="BII92" s="165" t="s">
        <v>945</v>
      </c>
      <c r="BIJ92" s="166" t="str">
        <f>VLOOKUP(BII92,[13]AssetDetails_UEM!$A$3:$AH$1849,6,FALSE)</f>
        <v>Electrosurgical Units, Monopolar/Bipolar</v>
      </c>
      <c r="BIK92" s="165" t="s">
        <v>945</v>
      </c>
      <c r="BIL92" s="166" t="str">
        <f>VLOOKUP(BIK92,[13]AssetDetails_UEM!$A$3:$AH$1849,6,FALSE)</f>
        <v>Electrosurgical Units, Monopolar/Bipolar</v>
      </c>
      <c r="BIM92" s="165" t="s">
        <v>945</v>
      </c>
      <c r="BIN92" s="166" t="str">
        <f>VLOOKUP(BIM92,[13]AssetDetails_UEM!$A$3:$AH$1849,6,FALSE)</f>
        <v>Electrosurgical Units, Monopolar/Bipolar</v>
      </c>
      <c r="BIO92" s="165" t="s">
        <v>945</v>
      </c>
      <c r="BIP92" s="166" t="str">
        <f>VLOOKUP(BIO92,[13]AssetDetails_UEM!$A$3:$AH$1849,6,FALSE)</f>
        <v>Electrosurgical Units, Monopolar/Bipolar</v>
      </c>
      <c r="BIQ92" s="165" t="s">
        <v>945</v>
      </c>
      <c r="BIR92" s="166" t="str">
        <f>VLOOKUP(BIQ92,[13]AssetDetails_UEM!$A$3:$AH$1849,6,FALSE)</f>
        <v>Electrosurgical Units, Monopolar/Bipolar</v>
      </c>
      <c r="BIS92" s="165" t="s">
        <v>945</v>
      </c>
      <c r="BIT92" s="166" t="str">
        <f>VLOOKUP(BIS92,[13]AssetDetails_UEM!$A$3:$AH$1849,6,FALSE)</f>
        <v>Electrosurgical Units, Monopolar/Bipolar</v>
      </c>
      <c r="BIU92" s="165" t="s">
        <v>945</v>
      </c>
      <c r="BIV92" s="166" t="str">
        <f>VLOOKUP(BIU92,[13]AssetDetails_UEM!$A$3:$AH$1849,6,FALSE)</f>
        <v>Electrosurgical Units, Monopolar/Bipolar</v>
      </c>
      <c r="BIW92" s="165" t="s">
        <v>945</v>
      </c>
      <c r="BIX92" s="166" t="str">
        <f>VLOOKUP(BIW92,[13]AssetDetails_UEM!$A$3:$AH$1849,6,FALSE)</f>
        <v>Electrosurgical Units, Monopolar/Bipolar</v>
      </c>
      <c r="BIY92" s="165" t="s">
        <v>945</v>
      </c>
      <c r="BIZ92" s="166" t="str">
        <f>VLOOKUP(BIY92,[13]AssetDetails_UEM!$A$3:$AH$1849,6,FALSE)</f>
        <v>Electrosurgical Units, Monopolar/Bipolar</v>
      </c>
      <c r="BJA92" s="165" t="s">
        <v>945</v>
      </c>
      <c r="BJB92" s="166" t="str">
        <f>VLOOKUP(BJA92,[13]AssetDetails_UEM!$A$3:$AH$1849,6,FALSE)</f>
        <v>Electrosurgical Units, Monopolar/Bipolar</v>
      </c>
      <c r="BJC92" s="165" t="s">
        <v>945</v>
      </c>
      <c r="BJD92" s="166" t="str">
        <f>VLOOKUP(BJC92,[13]AssetDetails_UEM!$A$3:$AH$1849,6,FALSE)</f>
        <v>Electrosurgical Units, Monopolar/Bipolar</v>
      </c>
      <c r="BJE92" s="165" t="s">
        <v>945</v>
      </c>
      <c r="BJF92" s="166" t="str">
        <f>VLOOKUP(BJE92,[13]AssetDetails_UEM!$A$3:$AH$1849,6,FALSE)</f>
        <v>Electrosurgical Units, Monopolar/Bipolar</v>
      </c>
      <c r="BJG92" s="165" t="s">
        <v>945</v>
      </c>
      <c r="BJH92" s="166" t="str">
        <f>VLOOKUP(BJG92,[13]AssetDetails_UEM!$A$3:$AH$1849,6,FALSE)</f>
        <v>Electrosurgical Units, Monopolar/Bipolar</v>
      </c>
      <c r="BJI92" s="165" t="s">
        <v>945</v>
      </c>
      <c r="BJJ92" s="166" t="str">
        <f>VLOOKUP(BJI92,[13]AssetDetails_UEM!$A$3:$AH$1849,6,FALSE)</f>
        <v>Electrosurgical Units, Monopolar/Bipolar</v>
      </c>
      <c r="BJK92" s="165" t="s">
        <v>945</v>
      </c>
      <c r="BJL92" s="166" t="str">
        <f>VLOOKUP(BJK92,[13]AssetDetails_UEM!$A$3:$AH$1849,6,FALSE)</f>
        <v>Electrosurgical Units, Monopolar/Bipolar</v>
      </c>
      <c r="BJM92" s="165" t="s">
        <v>945</v>
      </c>
      <c r="BJN92" s="166" t="str">
        <f>VLOOKUP(BJM92,[13]AssetDetails_UEM!$A$3:$AH$1849,6,FALSE)</f>
        <v>Electrosurgical Units, Monopolar/Bipolar</v>
      </c>
      <c r="BJO92" s="165" t="s">
        <v>945</v>
      </c>
      <c r="BJP92" s="166" t="str">
        <f>VLOOKUP(BJO92,[13]AssetDetails_UEM!$A$3:$AH$1849,6,FALSE)</f>
        <v>Electrosurgical Units, Monopolar/Bipolar</v>
      </c>
      <c r="BJQ92" s="165" t="s">
        <v>945</v>
      </c>
      <c r="BJR92" s="166" t="str">
        <f>VLOOKUP(BJQ92,[13]AssetDetails_UEM!$A$3:$AH$1849,6,FALSE)</f>
        <v>Electrosurgical Units, Monopolar/Bipolar</v>
      </c>
      <c r="BJS92" s="165" t="s">
        <v>945</v>
      </c>
      <c r="BJT92" s="166" t="str">
        <f>VLOOKUP(BJS92,[13]AssetDetails_UEM!$A$3:$AH$1849,6,FALSE)</f>
        <v>Electrosurgical Units, Monopolar/Bipolar</v>
      </c>
      <c r="BJU92" s="165" t="s">
        <v>945</v>
      </c>
      <c r="BJV92" s="166" t="str">
        <f>VLOOKUP(BJU92,[13]AssetDetails_UEM!$A$3:$AH$1849,6,FALSE)</f>
        <v>Electrosurgical Units, Monopolar/Bipolar</v>
      </c>
      <c r="BJW92" s="165" t="s">
        <v>945</v>
      </c>
      <c r="BJX92" s="166" t="str">
        <f>VLOOKUP(BJW92,[13]AssetDetails_UEM!$A$3:$AH$1849,6,FALSE)</f>
        <v>Electrosurgical Units, Monopolar/Bipolar</v>
      </c>
      <c r="BJY92" s="165" t="s">
        <v>945</v>
      </c>
      <c r="BJZ92" s="166" t="str">
        <f>VLOOKUP(BJY92,[13]AssetDetails_UEM!$A$3:$AH$1849,6,FALSE)</f>
        <v>Electrosurgical Units, Monopolar/Bipolar</v>
      </c>
      <c r="BKA92" s="165" t="s">
        <v>945</v>
      </c>
      <c r="BKB92" s="166" t="str">
        <f>VLOOKUP(BKA92,[13]AssetDetails_UEM!$A$3:$AH$1849,6,FALSE)</f>
        <v>Electrosurgical Units, Monopolar/Bipolar</v>
      </c>
      <c r="BKC92" s="165" t="s">
        <v>945</v>
      </c>
      <c r="BKD92" s="166" t="str">
        <f>VLOOKUP(BKC92,[13]AssetDetails_UEM!$A$3:$AH$1849,6,FALSE)</f>
        <v>Electrosurgical Units, Monopolar/Bipolar</v>
      </c>
      <c r="BKE92" s="165" t="s">
        <v>945</v>
      </c>
      <c r="BKF92" s="166" t="str">
        <f>VLOOKUP(BKE92,[13]AssetDetails_UEM!$A$3:$AH$1849,6,FALSE)</f>
        <v>Electrosurgical Units, Monopolar/Bipolar</v>
      </c>
      <c r="BKG92" s="165" t="s">
        <v>945</v>
      </c>
      <c r="BKH92" s="166" t="str">
        <f>VLOOKUP(BKG92,[13]AssetDetails_UEM!$A$3:$AH$1849,6,FALSE)</f>
        <v>Electrosurgical Units, Monopolar/Bipolar</v>
      </c>
      <c r="BKI92" s="165" t="s">
        <v>945</v>
      </c>
      <c r="BKJ92" s="166" t="str">
        <f>VLOOKUP(BKI92,[13]AssetDetails_UEM!$A$3:$AH$1849,6,FALSE)</f>
        <v>Electrosurgical Units, Monopolar/Bipolar</v>
      </c>
      <c r="BKK92" s="165" t="s">
        <v>945</v>
      </c>
      <c r="BKL92" s="166" t="str">
        <f>VLOOKUP(BKK92,[13]AssetDetails_UEM!$A$3:$AH$1849,6,FALSE)</f>
        <v>Electrosurgical Units, Monopolar/Bipolar</v>
      </c>
      <c r="BKM92" s="165" t="s">
        <v>945</v>
      </c>
      <c r="BKN92" s="166" t="str">
        <f>VLOOKUP(BKM92,[13]AssetDetails_UEM!$A$3:$AH$1849,6,FALSE)</f>
        <v>Electrosurgical Units, Monopolar/Bipolar</v>
      </c>
      <c r="BKO92" s="165" t="s">
        <v>945</v>
      </c>
      <c r="BKP92" s="166" t="str">
        <f>VLOOKUP(BKO92,[13]AssetDetails_UEM!$A$3:$AH$1849,6,FALSE)</f>
        <v>Electrosurgical Units, Monopolar/Bipolar</v>
      </c>
      <c r="BKQ92" s="165" t="s">
        <v>945</v>
      </c>
      <c r="BKR92" s="166" t="str">
        <f>VLOOKUP(BKQ92,[13]AssetDetails_UEM!$A$3:$AH$1849,6,FALSE)</f>
        <v>Electrosurgical Units, Monopolar/Bipolar</v>
      </c>
      <c r="BKS92" s="165" t="s">
        <v>945</v>
      </c>
      <c r="BKT92" s="166" t="str">
        <f>VLOOKUP(BKS92,[13]AssetDetails_UEM!$A$3:$AH$1849,6,FALSE)</f>
        <v>Electrosurgical Units, Monopolar/Bipolar</v>
      </c>
      <c r="BKU92" s="165" t="s">
        <v>945</v>
      </c>
      <c r="BKV92" s="166" t="str">
        <f>VLOOKUP(BKU92,[13]AssetDetails_UEM!$A$3:$AH$1849,6,FALSE)</f>
        <v>Electrosurgical Units, Monopolar/Bipolar</v>
      </c>
      <c r="BKW92" s="165" t="s">
        <v>945</v>
      </c>
      <c r="BKX92" s="166" t="str">
        <f>VLOOKUP(BKW92,[13]AssetDetails_UEM!$A$3:$AH$1849,6,FALSE)</f>
        <v>Electrosurgical Units, Monopolar/Bipolar</v>
      </c>
      <c r="BKY92" s="165" t="s">
        <v>945</v>
      </c>
      <c r="BKZ92" s="166" t="str">
        <f>VLOOKUP(BKY92,[13]AssetDetails_UEM!$A$3:$AH$1849,6,FALSE)</f>
        <v>Electrosurgical Units, Monopolar/Bipolar</v>
      </c>
      <c r="BLA92" s="165" t="s">
        <v>945</v>
      </c>
      <c r="BLB92" s="166" t="str">
        <f>VLOOKUP(BLA92,[13]AssetDetails_UEM!$A$3:$AH$1849,6,FALSE)</f>
        <v>Electrosurgical Units, Monopolar/Bipolar</v>
      </c>
      <c r="BLC92" s="165" t="s">
        <v>945</v>
      </c>
      <c r="BLD92" s="166" t="str">
        <f>VLOOKUP(BLC92,[13]AssetDetails_UEM!$A$3:$AH$1849,6,FALSE)</f>
        <v>Electrosurgical Units, Monopolar/Bipolar</v>
      </c>
      <c r="BLE92" s="165" t="s">
        <v>945</v>
      </c>
      <c r="BLF92" s="166" t="str">
        <f>VLOOKUP(BLE92,[13]AssetDetails_UEM!$A$3:$AH$1849,6,FALSE)</f>
        <v>Electrosurgical Units, Monopolar/Bipolar</v>
      </c>
      <c r="BLG92" s="165" t="s">
        <v>945</v>
      </c>
      <c r="BLH92" s="166" t="str">
        <f>VLOOKUP(BLG92,[13]AssetDetails_UEM!$A$3:$AH$1849,6,FALSE)</f>
        <v>Electrosurgical Units, Monopolar/Bipolar</v>
      </c>
      <c r="BLI92" s="165" t="s">
        <v>945</v>
      </c>
      <c r="BLJ92" s="166" t="str">
        <f>VLOOKUP(BLI92,[13]AssetDetails_UEM!$A$3:$AH$1849,6,FALSE)</f>
        <v>Electrosurgical Units, Monopolar/Bipolar</v>
      </c>
      <c r="BLK92" s="165" t="s">
        <v>945</v>
      </c>
      <c r="BLL92" s="166" t="str">
        <f>VLOOKUP(BLK92,[13]AssetDetails_UEM!$A$3:$AH$1849,6,FALSE)</f>
        <v>Electrosurgical Units, Monopolar/Bipolar</v>
      </c>
      <c r="BLM92" s="165" t="s">
        <v>945</v>
      </c>
      <c r="BLN92" s="166" t="str">
        <f>VLOOKUP(BLM92,[13]AssetDetails_UEM!$A$3:$AH$1849,6,FALSE)</f>
        <v>Electrosurgical Units, Monopolar/Bipolar</v>
      </c>
      <c r="BLO92" s="165" t="s">
        <v>945</v>
      </c>
      <c r="BLP92" s="166" t="str">
        <f>VLOOKUP(BLO92,[13]AssetDetails_UEM!$A$3:$AH$1849,6,FALSE)</f>
        <v>Electrosurgical Units, Monopolar/Bipolar</v>
      </c>
      <c r="BLQ92" s="165" t="s">
        <v>945</v>
      </c>
      <c r="BLR92" s="166" t="str">
        <f>VLOOKUP(BLQ92,[13]AssetDetails_UEM!$A$3:$AH$1849,6,FALSE)</f>
        <v>Electrosurgical Units, Monopolar/Bipolar</v>
      </c>
      <c r="BLS92" s="165" t="s">
        <v>945</v>
      </c>
      <c r="BLT92" s="166" t="str">
        <f>VLOOKUP(BLS92,[13]AssetDetails_UEM!$A$3:$AH$1849,6,FALSE)</f>
        <v>Electrosurgical Units, Monopolar/Bipolar</v>
      </c>
      <c r="BLU92" s="165" t="s">
        <v>945</v>
      </c>
      <c r="BLV92" s="166" t="str">
        <f>VLOOKUP(BLU92,[13]AssetDetails_UEM!$A$3:$AH$1849,6,FALSE)</f>
        <v>Electrosurgical Units, Monopolar/Bipolar</v>
      </c>
      <c r="BLW92" s="165" t="s">
        <v>945</v>
      </c>
      <c r="BLX92" s="166" t="str">
        <f>VLOOKUP(BLW92,[13]AssetDetails_UEM!$A$3:$AH$1849,6,FALSE)</f>
        <v>Electrosurgical Units, Monopolar/Bipolar</v>
      </c>
      <c r="BLY92" s="165" t="s">
        <v>945</v>
      </c>
      <c r="BLZ92" s="166" t="str">
        <f>VLOOKUP(BLY92,[13]AssetDetails_UEM!$A$3:$AH$1849,6,FALSE)</f>
        <v>Electrosurgical Units, Monopolar/Bipolar</v>
      </c>
      <c r="BMA92" s="165" t="s">
        <v>945</v>
      </c>
      <c r="BMB92" s="166" t="str">
        <f>VLOOKUP(BMA92,[13]AssetDetails_UEM!$A$3:$AH$1849,6,FALSE)</f>
        <v>Electrosurgical Units, Monopolar/Bipolar</v>
      </c>
      <c r="BMC92" s="165" t="s">
        <v>945</v>
      </c>
      <c r="BMD92" s="166" t="str">
        <f>VLOOKUP(BMC92,[13]AssetDetails_UEM!$A$3:$AH$1849,6,FALSE)</f>
        <v>Electrosurgical Units, Monopolar/Bipolar</v>
      </c>
      <c r="BME92" s="165" t="s">
        <v>945</v>
      </c>
      <c r="BMF92" s="166" t="str">
        <f>VLOOKUP(BME92,[13]AssetDetails_UEM!$A$3:$AH$1849,6,FALSE)</f>
        <v>Electrosurgical Units, Monopolar/Bipolar</v>
      </c>
      <c r="BMG92" s="165" t="s">
        <v>945</v>
      </c>
      <c r="BMH92" s="166" t="str">
        <f>VLOOKUP(BMG92,[13]AssetDetails_UEM!$A$3:$AH$1849,6,FALSE)</f>
        <v>Electrosurgical Units, Monopolar/Bipolar</v>
      </c>
      <c r="BMI92" s="165" t="s">
        <v>945</v>
      </c>
      <c r="BMJ92" s="166" t="str">
        <f>VLOOKUP(BMI92,[13]AssetDetails_UEM!$A$3:$AH$1849,6,FALSE)</f>
        <v>Electrosurgical Units, Monopolar/Bipolar</v>
      </c>
      <c r="BMK92" s="165" t="s">
        <v>945</v>
      </c>
      <c r="BML92" s="166" t="str">
        <f>VLOOKUP(BMK92,[13]AssetDetails_UEM!$A$3:$AH$1849,6,FALSE)</f>
        <v>Electrosurgical Units, Monopolar/Bipolar</v>
      </c>
      <c r="BMM92" s="165" t="s">
        <v>945</v>
      </c>
      <c r="BMN92" s="166" t="str">
        <f>VLOOKUP(BMM92,[13]AssetDetails_UEM!$A$3:$AH$1849,6,FALSE)</f>
        <v>Electrosurgical Units, Monopolar/Bipolar</v>
      </c>
      <c r="BMO92" s="165" t="s">
        <v>945</v>
      </c>
      <c r="BMP92" s="166" t="str">
        <f>VLOOKUP(BMO92,[13]AssetDetails_UEM!$A$3:$AH$1849,6,FALSE)</f>
        <v>Electrosurgical Units, Monopolar/Bipolar</v>
      </c>
      <c r="BMQ92" s="165" t="s">
        <v>945</v>
      </c>
      <c r="BMR92" s="166" t="str">
        <f>VLOOKUP(BMQ92,[13]AssetDetails_UEM!$A$3:$AH$1849,6,FALSE)</f>
        <v>Electrosurgical Units, Monopolar/Bipolar</v>
      </c>
      <c r="BMS92" s="165" t="s">
        <v>945</v>
      </c>
      <c r="BMT92" s="166" t="str">
        <f>VLOOKUP(BMS92,[13]AssetDetails_UEM!$A$3:$AH$1849,6,FALSE)</f>
        <v>Electrosurgical Units, Monopolar/Bipolar</v>
      </c>
      <c r="BMU92" s="165" t="s">
        <v>945</v>
      </c>
      <c r="BMV92" s="166" t="str">
        <f>VLOOKUP(BMU92,[13]AssetDetails_UEM!$A$3:$AH$1849,6,FALSE)</f>
        <v>Electrosurgical Units, Monopolar/Bipolar</v>
      </c>
      <c r="BMW92" s="165" t="s">
        <v>945</v>
      </c>
      <c r="BMX92" s="166" t="str">
        <f>VLOOKUP(BMW92,[13]AssetDetails_UEM!$A$3:$AH$1849,6,FALSE)</f>
        <v>Electrosurgical Units, Monopolar/Bipolar</v>
      </c>
      <c r="BMY92" s="165" t="s">
        <v>945</v>
      </c>
      <c r="BMZ92" s="166" t="str">
        <f>VLOOKUP(BMY92,[13]AssetDetails_UEM!$A$3:$AH$1849,6,FALSE)</f>
        <v>Electrosurgical Units, Monopolar/Bipolar</v>
      </c>
      <c r="BNA92" s="165" t="s">
        <v>945</v>
      </c>
      <c r="BNB92" s="166" t="str">
        <f>VLOOKUP(BNA92,[13]AssetDetails_UEM!$A$3:$AH$1849,6,FALSE)</f>
        <v>Electrosurgical Units, Monopolar/Bipolar</v>
      </c>
      <c r="BNC92" s="165" t="s">
        <v>945</v>
      </c>
      <c r="BND92" s="166" t="str">
        <f>VLOOKUP(BNC92,[13]AssetDetails_UEM!$A$3:$AH$1849,6,FALSE)</f>
        <v>Electrosurgical Units, Monopolar/Bipolar</v>
      </c>
      <c r="BNE92" s="165" t="s">
        <v>945</v>
      </c>
      <c r="BNF92" s="166" t="str">
        <f>VLOOKUP(BNE92,[13]AssetDetails_UEM!$A$3:$AH$1849,6,FALSE)</f>
        <v>Electrosurgical Units, Monopolar/Bipolar</v>
      </c>
      <c r="BNG92" s="165" t="s">
        <v>945</v>
      </c>
      <c r="BNH92" s="166" t="str">
        <f>VLOOKUP(BNG92,[13]AssetDetails_UEM!$A$3:$AH$1849,6,FALSE)</f>
        <v>Electrosurgical Units, Monopolar/Bipolar</v>
      </c>
      <c r="BNI92" s="165" t="s">
        <v>945</v>
      </c>
      <c r="BNJ92" s="166" t="str">
        <f>VLOOKUP(BNI92,[13]AssetDetails_UEM!$A$3:$AH$1849,6,FALSE)</f>
        <v>Electrosurgical Units, Monopolar/Bipolar</v>
      </c>
      <c r="BNK92" s="165" t="s">
        <v>945</v>
      </c>
      <c r="BNL92" s="166" t="str">
        <f>VLOOKUP(BNK92,[13]AssetDetails_UEM!$A$3:$AH$1849,6,FALSE)</f>
        <v>Electrosurgical Units, Monopolar/Bipolar</v>
      </c>
      <c r="BNM92" s="165" t="s">
        <v>945</v>
      </c>
      <c r="BNN92" s="166" t="str">
        <f>VLOOKUP(BNM92,[13]AssetDetails_UEM!$A$3:$AH$1849,6,FALSE)</f>
        <v>Electrosurgical Units, Monopolar/Bipolar</v>
      </c>
      <c r="BNO92" s="165" t="s">
        <v>945</v>
      </c>
      <c r="BNP92" s="166" t="str">
        <f>VLOOKUP(BNO92,[13]AssetDetails_UEM!$A$3:$AH$1849,6,FALSE)</f>
        <v>Electrosurgical Units, Monopolar/Bipolar</v>
      </c>
      <c r="BNQ92" s="165" t="s">
        <v>945</v>
      </c>
      <c r="BNR92" s="166" t="str">
        <f>VLOOKUP(BNQ92,[13]AssetDetails_UEM!$A$3:$AH$1849,6,FALSE)</f>
        <v>Electrosurgical Units, Monopolar/Bipolar</v>
      </c>
      <c r="BNS92" s="165" t="s">
        <v>945</v>
      </c>
      <c r="BNT92" s="166" t="str">
        <f>VLOOKUP(BNS92,[13]AssetDetails_UEM!$A$3:$AH$1849,6,FALSE)</f>
        <v>Electrosurgical Units, Monopolar/Bipolar</v>
      </c>
      <c r="BNU92" s="165" t="s">
        <v>945</v>
      </c>
      <c r="BNV92" s="166" t="str">
        <f>VLOOKUP(BNU92,[13]AssetDetails_UEM!$A$3:$AH$1849,6,FALSE)</f>
        <v>Electrosurgical Units, Monopolar/Bipolar</v>
      </c>
      <c r="BNW92" s="165" t="s">
        <v>945</v>
      </c>
      <c r="BNX92" s="166" t="str">
        <f>VLOOKUP(BNW92,[13]AssetDetails_UEM!$A$3:$AH$1849,6,FALSE)</f>
        <v>Electrosurgical Units, Monopolar/Bipolar</v>
      </c>
      <c r="BNY92" s="165" t="s">
        <v>945</v>
      </c>
      <c r="BNZ92" s="166" t="str">
        <f>VLOOKUP(BNY92,[13]AssetDetails_UEM!$A$3:$AH$1849,6,FALSE)</f>
        <v>Electrosurgical Units, Monopolar/Bipolar</v>
      </c>
      <c r="BOA92" s="165" t="s">
        <v>945</v>
      </c>
      <c r="BOB92" s="166" t="str">
        <f>VLOOKUP(BOA92,[13]AssetDetails_UEM!$A$3:$AH$1849,6,FALSE)</f>
        <v>Electrosurgical Units, Monopolar/Bipolar</v>
      </c>
      <c r="BOC92" s="165" t="s">
        <v>945</v>
      </c>
      <c r="BOD92" s="166" t="str">
        <f>VLOOKUP(BOC92,[13]AssetDetails_UEM!$A$3:$AH$1849,6,FALSE)</f>
        <v>Electrosurgical Units, Monopolar/Bipolar</v>
      </c>
      <c r="BOE92" s="165" t="s">
        <v>945</v>
      </c>
      <c r="BOF92" s="166" t="str">
        <f>VLOOKUP(BOE92,[13]AssetDetails_UEM!$A$3:$AH$1849,6,FALSE)</f>
        <v>Electrosurgical Units, Monopolar/Bipolar</v>
      </c>
      <c r="BOG92" s="165" t="s">
        <v>945</v>
      </c>
      <c r="BOH92" s="166" t="str">
        <f>VLOOKUP(BOG92,[13]AssetDetails_UEM!$A$3:$AH$1849,6,FALSE)</f>
        <v>Electrosurgical Units, Monopolar/Bipolar</v>
      </c>
      <c r="BOI92" s="165" t="s">
        <v>945</v>
      </c>
      <c r="BOJ92" s="166" t="str">
        <f>VLOOKUP(BOI92,[13]AssetDetails_UEM!$A$3:$AH$1849,6,FALSE)</f>
        <v>Electrosurgical Units, Monopolar/Bipolar</v>
      </c>
      <c r="BOK92" s="165" t="s">
        <v>945</v>
      </c>
      <c r="BOL92" s="166" t="str">
        <f>VLOOKUP(BOK92,[13]AssetDetails_UEM!$A$3:$AH$1849,6,FALSE)</f>
        <v>Electrosurgical Units, Monopolar/Bipolar</v>
      </c>
      <c r="BOM92" s="165" t="s">
        <v>945</v>
      </c>
      <c r="BON92" s="166" t="str">
        <f>VLOOKUP(BOM92,[13]AssetDetails_UEM!$A$3:$AH$1849,6,FALSE)</f>
        <v>Electrosurgical Units, Monopolar/Bipolar</v>
      </c>
      <c r="BOO92" s="165" t="s">
        <v>945</v>
      </c>
      <c r="BOP92" s="166" t="str">
        <f>VLOOKUP(BOO92,[13]AssetDetails_UEM!$A$3:$AH$1849,6,FALSE)</f>
        <v>Electrosurgical Units, Monopolar/Bipolar</v>
      </c>
      <c r="BOQ92" s="165" t="s">
        <v>945</v>
      </c>
      <c r="BOR92" s="166" t="str">
        <f>VLOOKUP(BOQ92,[13]AssetDetails_UEM!$A$3:$AH$1849,6,FALSE)</f>
        <v>Electrosurgical Units, Monopolar/Bipolar</v>
      </c>
      <c r="BOS92" s="165" t="s">
        <v>945</v>
      </c>
      <c r="BOT92" s="166" t="str">
        <f>VLOOKUP(BOS92,[13]AssetDetails_UEM!$A$3:$AH$1849,6,FALSE)</f>
        <v>Electrosurgical Units, Monopolar/Bipolar</v>
      </c>
      <c r="BOU92" s="165" t="s">
        <v>945</v>
      </c>
      <c r="BOV92" s="166" t="str">
        <f>VLOOKUP(BOU92,[13]AssetDetails_UEM!$A$3:$AH$1849,6,FALSE)</f>
        <v>Electrosurgical Units, Monopolar/Bipolar</v>
      </c>
      <c r="BOW92" s="165" t="s">
        <v>945</v>
      </c>
      <c r="BOX92" s="166" t="str">
        <f>VLOOKUP(BOW92,[13]AssetDetails_UEM!$A$3:$AH$1849,6,FALSE)</f>
        <v>Electrosurgical Units, Monopolar/Bipolar</v>
      </c>
      <c r="BOY92" s="165" t="s">
        <v>945</v>
      </c>
      <c r="BOZ92" s="166" t="str">
        <f>VLOOKUP(BOY92,[13]AssetDetails_UEM!$A$3:$AH$1849,6,FALSE)</f>
        <v>Electrosurgical Units, Monopolar/Bipolar</v>
      </c>
      <c r="BPA92" s="165" t="s">
        <v>945</v>
      </c>
      <c r="BPB92" s="166" t="str">
        <f>VLOOKUP(BPA92,[13]AssetDetails_UEM!$A$3:$AH$1849,6,FALSE)</f>
        <v>Electrosurgical Units, Monopolar/Bipolar</v>
      </c>
      <c r="BPC92" s="165" t="s">
        <v>945</v>
      </c>
      <c r="BPD92" s="166" t="str">
        <f>VLOOKUP(BPC92,[13]AssetDetails_UEM!$A$3:$AH$1849,6,FALSE)</f>
        <v>Electrosurgical Units, Monopolar/Bipolar</v>
      </c>
      <c r="BPE92" s="165" t="s">
        <v>945</v>
      </c>
      <c r="BPF92" s="166" t="str">
        <f>VLOOKUP(BPE92,[13]AssetDetails_UEM!$A$3:$AH$1849,6,FALSE)</f>
        <v>Electrosurgical Units, Monopolar/Bipolar</v>
      </c>
      <c r="BPG92" s="165" t="s">
        <v>945</v>
      </c>
      <c r="BPH92" s="166" t="str">
        <f>VLOOKUP(BPG92,[13]AssetDetails_UEM!$A$3:$AH$1849,6,FALSE)</f>
        <v>Electrosurgical Units, Monopolar/Bipolar</v>
      </c>
      <c r="BPI92" s="165" t="s">
        <v>945</v>
      </c>
      <c r="BPJ92" s="166" t="str">
        <f>VLOOKUP(BPI92,[13]AssetDetails_UEM!$A$3:$AH$1849,6,FALSE)</f>
        <v>Electrosurgical Units, Monopolar/Bipolar</v>
      </c>
      <c r="BPK92" s="165" t="s">
        <v>945</v>
      </c>
      <c r="BPL92" s="166" t="str">
        <f>VLOOKUP(BPK92,[13]AssetDetails_UEM!$A$3:$AH$1849,6,FALSE)</f>
        <v>Electrosurgical Units, Monopolar/Bipolar</v>
      </c>
      <c r="BPM92" s="165" t="s">
        <v>945</v>
      </c>
      <c r="BPN92" s="166" t="str">
        <f>VLOOKUP(BPM92,[13]AssetDetails_UEM!$A$3:$AH$1849,6,FALSE)</f>
        <v>Electrosurgical Units, Monopolar/Bipolar</v>
      </c>
      <c r="BPO92" s="165" t="s">
        <v>945</v>
      </c>
      <c r="BPP92" s="166" t="str">
        <f>VLOOKUP(BPO92,[13]AssetDetails_UEM!$A$3:$AH$1849,6,FALSE)</f>
        <v>Electrosurgical Units, Monopolar/Bipolar</v>
      </c>
      <c r="BPQ92" s="165" t="s">
        <v>945</v>
      </c>
      <c r="BPR92" s="166" t="str">
        <f>VLOOKUP(BPQ92,[13]AssetDetails_UEM!$A$3:$AH$1849,6,FALSE)</f>
        <v>Electrosurgical Units, Monopolar/Bipolar</v>
      </c>
      <c r="BPS92" s="165" t="s">
        <v>945</v>
      </c>
      <c r="BPT92" s="166" t="str">
        <f>VLOOKUP(BPS92,[13]AssetDetails_UEM!$A$3:$AH$1849,6,FALSE)</f>
        <v>Electrosurgical Units, Monopolar/Bipolar</v>
      </c>
      <c r="BPU92" s="165" t="s">
        <v>945</v>
      </c>
      <c r="BPV92" s="166" t="str">
        <f>VLOOKUP(BPU92,[13]AssetDetails_UEM!$A$3:$AH$1849,6,FALSE)</f>
        <v>Electrosurgical Units, Monopolar/Bipolar</v>
      </c>
      <c r="BPW92" s="165" t="s">
        <v>945</v>
      </c>
      <c r="BPX92" s="166" t="str">
        <f>VLOOKUP(BPW92,[13]AssetDetails_UEM!$A$3:$AH$1849,6,FALSE)</f>
        <v>Electrosurgical Units, Monopolar/Bipolar</v>
      </c>
      <c r="BPY92" s="165" t="s">
        <v>945</v>
      </c>
      <c r="BPZ92" s="166" t="str">
        <f>VLOOKUP(BPY92,[13]AssetDetails_UEM!$A$3:$AH$1849,6,FALSE)</f>
        <v>Electrosurgical Units, Monopolar/Bipolar</v>
      </c>
      <c r="BQA92" s="165" t="s">
        <v>945</v>
      </c>
      <c r="BQB92" s="166" t="str">
        <f>VLOOKUP(BQA92,[13]AssetDetails_UEM!$A$3:$AH$1849,6,FALSE)</f>
        <v>Electrosurgical Units, Monopolar/Bipolar</v>
      </c>
      <c r="BQC92" s="165" t="s">
        <v>945</v>
      </c>
      <c r="BQD92" s="166" t="str">
        <f>VLOOKUP(BQC92,[13]AssetDetails_UEM!$A$3:$AH$1849,6,FALSE)</f>
        <v>Electrosurgical Units, Monopolar/Bipolar</v>
      </c>
      <c r="BQE92" s="165" t="s">
        <v>945</v>
      </c>
      <c r="BQF92" s="166" t="str">
        <f>VLOOKUP(BQE92,[13]AssetDetails_UEM!$A$3:$AH$1849,6,FALSE)</f>
        <v>Electrosurgical Units, Monopolar/Bipolar</v>
      </c>
      <c r="BQG92" s="165" t="s">
        <v>945</v>
      </c>
      <c r="BQH92" s="166" t="str">
        <f>VLOOKUP(BQG92,[13]AssetDetails_UEM!$A$3:$AH$1849,6,FALSE)</f>
        <v>Electrosurgical Units, Monopolar/Bipolar</v>
      </c>
      <c r="BQI92" s="165" t="s">
        <v>945</v>
      </c>
      <c r="BQJ92" s="166" t="str">
        <f>VLOOKUP(BQI92,[13]AssetDetails_UEM!$A$3:$AH$1849,6,FALSE)</f>
        <v>Electrosurgical Units, Monopolar/Bipolar</v>
      </c>
      <c r="BQK92" s="165" t="s">
        <v>945</v>
      </c>
      <c r="BQL92" s="166" t="str">
        <f>VLOOKUP(BQK92,[13]AssetDetails_UEM!$A$3:$AH$1849,6,FALSE)</f>
        <v>Electrosurgical Units, Monopolar/Bipolar</v>
      </c>
      <c r="BQM92" s="165" t="s">
        <v>945</v>
      </c>
      <c r="BQN92" s="166" t="str">
        <f>VLOOKUP(BQM92,[13]AssetDetails_UEM!$A$3:$AH$1849,6,FALSE)</f>
        <v>Electrosurgical Units, Monopolar/Bipolar</v>
      </c>
      <c r="BQO92" s="165" t="s">
        <v>945</v>
      </c>
      <c r="BQP92" s="166" t="str">
        <f>VLOOKUP(BQO92,[13]AssetDetails_UEM!$A$3:$AH$1849,6,FALSE)</f>
        <v>Electrosurgical Units, Monopolar/Bipolar</v>
      </c>
      <c r="BQQ92" s="165" t="s">
        <v>945</v>
      </c>
      <c r="BQR92" s="166" t="str">
        <f>VLOOKUP(BQQ92,[13]AssetDetails_UEM!$A$3:$AH$1849,6,FALSE)</f>
        <v>Electrosurgical Units, Monopolar/Bipolar</v>
      </c>
      <c r="BQS92" s="165" t="s">
        <v>945</v>
      </c>
      <c r="BQT92" s="166" t="str">
        <f>VLOOKUP(BQS92,[13]AssetDetails_UEM!$A$3:$AH$1849,6,FALSE)</f>
        <v>Electrosurgical Units, Monopolar/Bipolar</v>
      </c>
      <c r="BQU92" s="165" t="s">
        <v>945</v>
      </c>
      <c r="BQV92" s="166" t="str">
        <f>VLOOKUP(BQU92,[13]AssetDetails_UEM!$A$3:$AH$1849,6,FALSE)</f>
        <v>Electrosurgical Units, Monopolar/Bipolar</v>
      </c>
      <c r="BQW92" s="165" t="s">
        <v>945</v>
      </c>
      <c r="BQX92" s="166" t="str">
        <f>VLOOKUP(BQW92,[13]AssetDetails_UEM!$A$3:$AH$1849,6,FALSE)</f>
        <v>Electrosurgical Units, Monopolar/Bipolar</v>
      </c>
      <c r="BQY92" s="165" t="s">
        <v>945</v>
      </c>
      <c r="BQZ92" s="166" t="str">
        <f>VLOOKUP(BQY92,[13]AssetDetails_UEM!$A$3:$AH$1849,6,FALSE)</f>
        <v>Electrosurgical Units, Monopolar/Bipolar</v>
      </c>
      <c r="BRA92" s="165" t="s">
        <v>945</v>
      </c>
      <c r="BRB92" s="166" t="str">
        <f>VLOOKUP(BRA92,[13]AssetDetails_UEM!$A$3:$AH$1849,6,FALSE)</f>
        <v>Electrosurgical Units, Monopolar/Bipolar</v>
      </c>
      <c r="BRC92" s="165" t="s">
        <v>945</v>
      </c>
      <c r="BRD92" s="166" t="str">
        <f>VLOOKUP(BRC92,[13]AssetDetails_UEM!$A$3:$AH$1849,6,FALSE)</f>
        <v>Electrosurgical Units, Monopolar/Bipolar</v>
      </c>
      <c r="BRE92" s="165" t="s">
        <v>945</v>
      </c>
      <c r="BRF92" s="166" t="str">
        <f>VLOOKUP(BRE92,[13]AssetDetails_UEM!$A$3:$AH$1849,6,FALSE)</f>
        <v>Electrosurgical Units, Monopolar/Bipolar</v>
      </c>
      <c r="BRG92" s="165" t="s">
        <v>945</v>
      </c>
      <c r="BRH92" s="166" t="str">
        <f>VLOOKUP(BRG92,[13]AssetDetails_UEM!$A$3:$AH$1849,6,FALSE)</f>
        <v>Electrosurgical Units, Monopolar/Bipolar</v>
      </c>
      <c r="BRI92" s="165" t="s">
        <v>945</v>
      </c>
      <c r="BRJ92" s="166" t="str">
        <f>VLOOKUP(BRI92,[13]AssetDetails_UEM!$A$3:$AH$1849,6,FALSE)</f>
        <v>Electrosurgical Units, Monopolar/Bipolar</v>
      </c>
      <c r="BRK92" s="165" t="s">
        <v>945</v>
      </c>
      <c r="BRL92" s="166" t="str">
        <f>VLOOKUP(BRK92,[13]AssetDetails_UEM!$A$3:$AH$1849,6,FALSE)</f>
        <v>Electrosurgical Units, Monopolar/Bipolar</v>
      </c>
      <c r="BRM92" s="165" t="s">
        <v>945</v>
      </c>
      <c r="BRN92" s="166" t="str">
        <f>VLOOKUP(BRM92,[13]AssetDetails_UEM!$A$3:$AH$1849,6,FALSE)</f>
        <v>Electrosurgical Units, Monopolar/Bipolar</v>
      </c>
      <c r="BRO92" s="165" t="s">
        <v>945</v>
      </c>
      <c r="BRP92" s="166" t="str">
        <f>VLOOKUP(BRO92,[13]AssetDetails_UEM!$A$3:$AH$1849,6,FALSE)</f>
        <v>Electrosurgical Units, Monopolar/Bipolar</v>
      </c>
      <c r="BRQ92" s="165" t="s">
        <v>945</v>
      </c>
      <c r="BRR92" s="166" t="str">
        <f>VLOOKUP(BRQ92,[13]AssetDetails_UEM!$A$3:$AH$1849,6,FALSE)</f>
        <v>Electrosurgical Units, Monopolar/Bipolar</v>
      </c>
      <c r="BRS92" s="165" t="s">
        <v>945</v>
      </c>
      <c r="BRT92" s="166" t="str">
        <f>VLOOKUP(BRS92,[13]AssetDetails_UEM!$A$3:$AH$1849,6,FALSE)</f>
        <v>Electrosurgical Units, Monopolar/Bipolar</v>
      </c>
      <c r="BRU92" s="165" t="s">
        <v>945</v>
      </c>
      <c r="BRV92" s="166" t="str">
        <f>VLOOKUP(BRU92,[13]AssetDetails_UEM!$A$3:$AH$1849,6,FALSE)</f>
        <v>Electrosurgical Units, Monopolar/Bipolar</v>
      </c>
      <c r="BRW92" s="165" t="s">
        <v>945</v>
      </c>
      <c r="BRX92" s="166" t="str">
        <f>VLOOKUP(BRW92,[13]AssetDetails_UEM!$A$3:$AH$1849,6,FALSE)</f>
        <v>Electrosurgical Units, Monopolar/Bipolar</v>
      </c>
      <c r="BRY92" s="165" t="s">
        <v>945</v>
      </c>
      <c r="BRZ92" s="166" t="str">
        <f>VLOOKUP(BRY92,[13]AssetDetails_UEM!$A$3:$AH$1849,6,FALSE)</f>
        <v>Electrosurgical Units, Monopolar/Bipolar</v>
      </c>
      <c r="BSA92" s="165" t="s">
        <v>945</v>
      </c>
      <c r="BSB92" s="166" t="str">
        <f>VLOOKUP(BSA92,[13]AssetDetails_UEM!$A$3:$AH$1849,6,FALSE)</f>
        <v>Electrosurgical Units, Monopolar/Bipolar</v>
      </c>
      <c r="BSC92" s="165" t="s">
        <v>945</v>
      </c>
      <c r="BSD92" s="166" t="str">
        <f>VLOOKUP(BSC92,[13]AssetDetails_UEM!$A$3:$AH$1849,6,FALSE)</f>
        <v>Electrosurgical Units, Monopolar/Bipolar</v>
      </c>
      <c r="BSE92" s="165" t="s">
        <v>945</v>
      </c>
      <c r="BSF92" s="166" t="str">
        <f>VLOOKUP(BSE92,[13]AssetDetails_UEM!$A$3:$AH$1849,6,FALSE)</f>
        <v>Electrosurgical Units, Monopolar/Bipolar</v>
      </c>
      <c r="BSG92" s="165" t="s">
        <v>945</v>
      </c>
      <c r="BSH92" s="166" t="str">
        <f>VLOOKUP(BSG92,[13]AssetDetails_UEM!$A$3:$AH$1849,6,FALSE)</f>
        <v>Electrosurgical Units, Monopolar/Bipolar</v>
      </c>
      <c r="BSI92" s="165" t="s">
        <v>945</v>
      </c>
      <c r="BSJ92" s="166" t="str">
        <f>VLOOKUP(BSI92,[13]AssetDetails_UEM!$A$3:$AH$1849,6,FALSE)</f>
        <v>Electrosurgical Units, Monopolar/Bipolar</v>
      </c>
      <c r="BSK92" s="165" t="s">
        <v>945</v>
      </c>
      <c r="BSL92" s="166" t="str">
        <f>VLOOKUP(BSK92,[13]AssetDetails_UEM!$A$3:$AH$1849,6,FALSE)</f>
        <v>Electrosurgical Units, Monopolar/Bipolar</v>
      </c>
      <c r="BSM92" s="165" t="s">
        <v>945</v>
      </c>
      <c r="BSN92" s="166" t="str">
        <f>VLOOKUP(BSM92,[13]AssetDetails_UEM!$A$3:$AH$1849,6,FALSE)</f>
        <v>Electrosurgical Units, Monopolar/Bipolar</v>
      </c>
      <c r="BSO92" s="165" t="s">
        <v>945</v>
      </c>
      <c r="BSP92" s="166" t="str">
        <f>VLOOKUP(BSO92,[13]AssetDetails_UEM!$A$3:$AH$1849,6,FALSE)</f>
        <v>Electrosurgical Units, Monopolar/Bipolar</v>
      </c>
      <c r="BSQ92" s="165" t="s">
        <v>945</v>
      </c>
      <c r="BSR92" s="166" t="str">
        <f>VLOOKUP(BSQ92,[13]AssetDetails_UEM!$A$3:$AH$1849,6,FALSE)</f>
        <v>Electrosurgical Units, Monopolar/Bipolar</v>
      </c>
      <c r="BSS92" s="165" t="s">
        <v>945</v>
      </c>
      <c r="BST92" s="166" t="str">
        <f>VLOOKUP(BSS92,[13]AssetDetails_UEM!$A$3:$AH$1849,6,FALSE)</f>
        <v>Electrosurgical Units, Monopolar/Bipolar</v>
      </c>
      <c r="BSU92" s="165" t="s">
        <v>945</v>
      </c>
      <c r="BSV92" s="166" t="str">
        <f>VLOOKUP(BSU92,[13]AssetDetails_UEM!$A$3:$AH$1849,6,FALSE)</f>
        <v>Electrosurgical Units, Monopolar/Bipolar</v>
      </c>
      <c r="BSW92" s="165" t="s">
        <v>945</v>
      </c>
      <c r="BSX92" s="166" t="str">
        <f>VLOOKUP(BSW92,[13]AssetDetails_UEM!$A$3:$AH$1849,6,FALSE)</f>
        <v>Electrosurgical Units, Monopolar/Bipolar</v>
      </c>
      <c r="BSY92" s="165" t="s">
        <v>945</v>
      </c>
      <c r="BSZ92" s="166" t="str">
        <f>VLOOKUP(BSY92,[13]AssetDetails_UEM!$A$3:$AH$1849,6,FALSE)</f>
        <v>Electrosurgical Units, Monopolar/Bipolar</v>
      </c>
      <c r="BTA92" s="165" t="s">
        <v>945</v>
      </c>
      <c r="BTB92" s="166" t="str">
        <f>VLOOKUP(BTA92,[13]AssetDetails_UEM!$A$3:$AH$1849,6,FALSE)</f>
        <v>Electrosurgical Units, Monopolar/Bipolar</v>
      </c>
      <c r="BTC92" s="165" t="s">
        <v>945</v>
      </c>
      <c r="BTD92" s="166" t="str">
        <f>VLOOKUP(BTC92,[13]AssetDetails_UEM!$A$3:$AH$1849,6,FALSE)</f>
        <v>Electrosurgical Units, Monopolar/Bipolar</v>
      </c>
      <c r="BTE92" s="165" t="s">
        <v>945</v>
      </c>
      <c r="BTF92" s="166" t="str">
        <f>VLOOKUP(BTE92,[13]AssetDetails_UEM!$A$3:$AH$1849,6,FALSE)</f>
        <v>Electrosurgical Units, Monopolar/Bipolar</v>
      </c>
      <c r="BTG92" s="165" t="s">
        <v>945</v>
      </c>
      <c r="BTH92" s="166" t="str">
        <f>VLOOKUP(BTG92,[13]AssetDetails_UEM!$A$3:$AH$1849,6,FALSE)</f>
        <v>Electrosurgical Units, Monopolar/Bipolar</v>
      </c>
      <c r="BTI92" s="165" t="s">
        <v>945</v>
      </c>
      <c r="BTJ92" s="166" t="str">
        <f>VLOOKUP(BTI92,[13]AssetDetails_UEM!$A$3:$AH$1849,6,FALSE)</f>
        <v>Electrosurgical Units, Monopolar/Bipolar</v>
      </c>
      <c r="BTK92" s="165" t="s">
        <v>945</v>
      </c>
      <c r="BTL92" s="166" t="str">
        <f>VLOOKUP(BTK92,[13]AssetDetails_UEM!$A$3:$AH$1849,6,FALSE)</f>
        <v>Electrosurgical Units, Monopolar/Bipolar</v>
      </c>
      <c r="BTM92" s="165" t="s">
        <v>945</v>
      </c>
      <c r="BTN92" s="166" t="str">
        <f>VLOOKUP(BTM92,[13]AssetDetails_UEM!$A$3:$AH$1849,6,FALSE)</f>
        <v>Electrosurgical Units, Monopolar/Bipolar</v>
      </c>
      <c r="BTO92" s="165" t="s">
        <v>945</v>
      </c>
      <c r="BTP92" s="166" t="str">
        <f>VLOOKUP(BTO92,[13]AssetDetails_UEM!$A$3:$AH$1849,6,FALSE)</f>
        <v>Electrosurgical Units, Monopolar/Bipolar</v>
      </c>
      <c r="BTQ92" s="165" t="s">
        <v>945</v>
      </c>
      <c r="BTR92" s="166" t="str">
        <f>VLOOKUP(BTQ92,[13]AssetDetails_UEM!$A$3:$AH$1849,6,FALSE)</f>
        <v>Electrosurgical Units, Monopolar/Bipolar</v>
      </c>
      <c r="BTS92" s="165" t="s">
        <v>945</v>
      </c>
      <c r="BTT92" s="166" t="str">
        <f>VLOOKUP(BTS92,[13]AssetDetails_UEM!$A$3:$AH$1849,6,FALSE)</f>
        <v>Electrosurgical Units, Monopolar/Bipolar</v>
      </c>
      <c r="BTU92" s="165" t="s">
        <v>945</v>
      </c>
      <c r="BTV92" s="166" t="str">
        <f>VLOOKUP(BTU92,[13]AssetDetails_UEM!$A$3:$AH$1849,6,FALSE)</f>
        <v>Electrosurgical Units, Monopolar/Bipolar</v>
      </c>
      <c r="BTW92" s="165" t="s">
        <v>945</v>
      </c>
      <c r="BTX92" s="166" t="str">
        <f>VLOOKUP(BTW92,[13]AssetDetails_UEM!$A$3:$AH$1849,6,FALSE)</f>
        <v>Electrosurgical Units, Monopolar/Bipolar</v>
      </c>
      <c r="BTY92" s="165" t="s">
        <v>945</v>
      </c>
      <c r="BTZ92" s="166" t="str">
        <f>VLOOKUP(BTY92,[13]AssetDetails_UEM!$A$3:$AH$1849,6,FALSE)</f>
        <v>Electrosurgical Units, Monopolar/Bipolar</v>
      </c>
      <c r="BUA92" s="165" t="s">
        <v>945</v>
      </c>
      <c r="BUB92" s="166" t="str">
        <f>VLOOKUP(BUA92,[13]AssetDetails_UEM!$A$3:$AH$1849,6,FALSE)</f>
        <v>Electrosurgical Units, Monopolar/Bipolar</v>
      </c>
      <c r="BUC92" s="165" t="s">
        <v>945</v>
      </c>
      <c r="BUD92" s="166" t="str">
        <f>VLOOKUP(BUC92,[13]AssetDetails_UEM!$A$3:$AH$1849,6,FALSE)</f>
        <v>Electrosurgical Units, Monopolar/Bipolar</v>
      </c>
      <c r="BUE92" s="165" t="s">
        <v>945</v>
      </c>
      <c r="BUF92" s="166" t="str">
        <f>VLOOKUP(BUE92,[13]AssetDetails_UEM!$A$3:$AH$1849,6,FALSE)</f>
        <v>Electrosurgical Units, Monopolar/Bipolar</v>
      </c>
      <c r="BUG92" s="165" t="s">
        <v>945</v>
      </c>
      <c r="BUH92" s="166" t="str">
        <f>VLOOKUP(BUG92,[13]AssetDetails_UEM!$A$3:$AH$1849,6,FALSE)</f>
        <v>Electrosurgical Units, Monopolar/Bipolar</v>
      </c>
      <c r="BUI92" s="165" t="s">
        <v>945</v>
      </c>
      <c r="BUJ92" s="166" t="str">
        <f>VLOOKUP(BUI92,[13]AssetDetails_UEM!$A$3:$AH$1849,6,FALSE)</f>
        <v>Electrosurgical Units, Monopolar/Bipolar</v>
      </c>
      <c r="BUK92" s="165" t="s">
        <v>945</v>
      </c>
      <c r="BUL92" s="166" t="str">
        <f>VLOOKUP(BUK92,[13]AssetDetails_UEM!$A$3:$AH$1849,6,FALSE)</f>
        <v>Electrosurgical Units, Monopolar/Bipolar</v>
      </c>
      <c r="BUM92" s="165" t="s">
        <v>945</v>
      </c>
      <c r="BUN92" s="166" t="str">
        <f>VLOOKUP(BUM92,[13]AssetDetails_UEM!$A$3:$AH$1849,6,FALSE)</f>
        <v>Electrosurgical Units, Monopolar/Bipolar</v>
      </c>
      <c r="BUO92" s="165" t="s">
        <v>945</v>
      </c>
      <c r="BUP92" s="166" t="str">
        <f>VLOOKUP(BUO92,[13]AssetDetails_UEM!$A$3:$AH$1849,6,FALSE)</f>
        <v>Electrosurgical Units, Monopolar/Bipolar</v>
      </c>
      <c r="BUQ92" s="165" t="s">
        <v>945</v>
      </c>
      <c r="BUR92" s="166" t="str">
        <f>VLOOKUP(BUQ92,[13]AssetDetails_UEM!$A$3:$AH$1849,6,FALSE)</f>
        <v>Electrosurgical Units, Monopolar/Bipolar</v>
      </c>
      <c r="BUS92" s="165" t="s">
        <v>945</v>
      </c>
      <c r="BUT92" s="166" t="str">
        <f>VLOOKUP(BUS92,[13]AssetDetails_UEM!$A$3:$AH$1849,6,FALSE)</f>
        <v>Electrosurgical Units, Monopolar/Bipolar</v>
      </c>
      <c r="BUU92" s="165" t="s">
        <v>945</v>
      </c>
      <c r="BUV92" s="166" t="str">
        <f>VLOOKUP(BUU92,[13]AssetDetails_UEM!$A$3:$AH$1849,6,FALSE)</f>
        <v>Electrosurgical Units, Monopolar/Bipolar</v>
      </c>
      <c r="BUW92" s="165" t="s">
        <v>945</v>
      </c>
      <c r="BUX92" s="166" t="str">
        <f>VLOOKUP(BUW92,[13]AssetDetails_UEM!$A$3:$AH$1849,6,FALSE)</f>
        <v>Electrosurgical Units, Monopolar/Bipolar</v>
      </c>
      <c r="BUY92" s="165" t="s">
        <v>945</v>
      </c>
      <c r="BUZ92" s="166" t="str">
        <f>VLOOKUP(BUY92,[13]AssetDetails_UEM!$A$3:$AH$1849,6,FALSE)</f>
        <v>Electrosurgical Units, Monopolar/Bipolar</v>
      </c>
      <c r="BVA92" s="165" t="s">
        <v>945</v>
      </c>
      <c r="BVB92" s="166" t="str">
        <f>VLOOKUP(BVA92,[13]AssetDetails_UEM!$A$3:$AH$1849,6,FALSE)</f>
        <v>Electrosurgical Units, Monopolar/Bipolar</v>
      </c>
      <c r="BVC92" s="165" t="s">
        <v>945</v>
      </c>
      <c r="BVD92" s="166" t="str">
        <f>VLOOKUP(BVC92,[13]AssetDetails_UEM!$A$3:$AH$1849,6,FALSE)</f>
        <v>Electrosurgical Units, Monopolar/Bipolar</v>
      </c>
      <c r="BVE92" s="165" t="s">
        <v>945</v>
      </c>
      <c r="BVF92" s="166" t="str">
        <f>VLOOKUP(BVE92,[13]AssetDetails_UEM!$A$3:$AH$1849,6,FALSE)</f>
        <v>Electrosurgical Units, Monopolar/Bipolar</v>
      </c>
      <c r="BVG92" s="165" t="s">
        <v>945</v>
      </c>
      <c r="BVH92" s="166" t="str">
        <f>VLOOKUP(BVG92,[13]AssetDetails_UEM!$A$3:$AH$1849,6,FALSE)</f>
        <v>Electrosurgical Units, Monopolar/Bipolar</v>
      </c>
      <c r="BVI92" s="165" t="s">
        <v>945</v>
      </c>
      <c r="BVJ92" s="166" t="str">
        <f>VLOOKUP(BVI92,[13]AssetDetails_UEM!$A$3:$AH$1849,6,FALSE)</f>
        <v>Electrosurgical Units, Monopolar/Bipolar</v>
      </c>
      <c r="BVK92" s="165" t="s">
        <v>945</v>
      </c>
      <c r="BVL92" s="166" t="str">
        <f>VLOOKUP(BVK92,[13]AssetDetails_UEM!$A$3:$AH$1849,6,FALSE)</f>
        <v>Electrosurgical Units, Monopolar/Bipolar</v>
      </c>
      <c r="BVM92" s="165" t="s">
        <v>945</v>
      </c>
      <c r="BVN92" s="166" t="str">
        <f>VLOOKUP(BVM92,[13]AssetDetails_UEM!$A$3:$AH$1849,6,FALSE)</f>
        <v>Electrosurgical Units, Monopolar/Bipolar</v>
      </c>
      <c r="BVO92" s="165" t="s">
        <v>945</v>
      </c>
      <c r="BVP92" s="166" t="str">
        <f>VLOOKUP(BVO92,[13]AssetDetails_UEM!$A$3:$AH$1849,6,FALSE)</f>
        <v>Electrosurgical Units, Monopolar/Bipolar</v>
      </c>
      <c r="BVQ92" s="165" t="s">
        <v>945</v>
      </c>
      <c r="BVR92" s="166" t="str">
        <f>VLOOKUP(BVQ92,[13]AssetDetails_UEM!$A$3:$AH$1849,6,FALSE)</f>
        <v>Electrosurgical Units, Monopolar/Bipolar</v>
      </c>
      <c r="BVS92" s="165" t="s">
        <v>945</v>
      </c>
      <c r="BVT92" s="166" t="str">
        <f>VLOOKUP(BVS92,[13]AssetDetails_UEM!$A$3:$AH$1849,6,FALSE)</f>
        <v>Electrosurgical Units, Monopolar/Bipolar</v>
      </c>
      <c r="BVU92" s="165" t="s">
        <v>945</v>
      </c>
      <c r="BVV92" s="166" t="str">
        <f>VLOOKUP(BVU92,[13]AssetDetails_UEM!$A$3:$AH$1849,6,FALSE)</f>
        <v>Electrosurgical Units, Monopolar/Bipolar</v>
      </c>
      <c r="BVW92" s="165" t="s">
        <v>945</v>
      </c>
      <c r="BVX92" s="166" t="str">
        <f>VLOOKUP(BVW92,[13]AssetDetails_UEM!$A$3:$AH$1849,6,FALSE)</f>
        <v>Electrosurgical Units, Monopolar/Bipolar</v>
      </c>
      <c r="BVY92" s="165" t="s">
        <v>945</v>
      </c>
      <c r="BVZ92" s="166" t="str">
        <f>VLOOKUP(BVY92,[13]AssetDetails_UEM!$A$3:$AH$1849,6,FALSE)</f>
        <v>Electrosurgical Units, Monopolar/Bipolar</v>
      </c>
      <c r="BWA92" s="165" t="s">
        <v>945</v>
      </c>
      <c r="BWB92" s="166" t="str">
        <f>VLOOKUP(BWA92,[13]AssetDetails_UEM!$A$3:$AH$1849,6,FALSE)</f>
        <v>Electrosurgical Units, Monopolar/Bipolar</v>
      </c>
      <c r="BWC92" s="165" t="s">
        <v>945</v>
      </c>
      <c r="BWD92" s="166" t="str">
        <f>VLOOKUP(BWC92,[13]AssetDetails_UEM!$A$3:$AH$1849,6,FALSE)</f>
        <v>Electrosurgical Units, Monopolar/Bipolar</v>
      </c>
      <c r="BWE92" s="165" t="s">
        <v>945</v>
      </c>
      <c r="BWF92" s="166" t="str">
        <f>VLOOKUP(BWE92,[13]AssetDetails_UEM!$A$3:$AH$1849,6,FALSE)</f>
        <v>Electrosurgical Units, Monopolar/Bipolar</v>
      </c>
      <c r="BWG92" s="165" t="s">
        <v>945</v>
      </c>
      <c r="BWH92" s="166" t="str">
        <f>VLOOKUP(BWG92,[13]AssetDetails_UEM!$A$3:$AH$1849,6,FALSE)</f>
        <v>Electrosurgical Units, Monopolar/Bipolar</v>
      </c>
      <c r="BWI92" s="165" t="s">
        <v>945</v>
      </c>
      <c r="BWJ92" s="166" t="str">
        <f>VLOOKUP(BWI92,[13]AssetDetails_UEM!$A$3:$AH$1849,6,FALSE)</f>
        <v>Electrosurgical Units, Monopolar/Bipolar</v>
      </c>
      <c r="BWK92" s="165" t="s">
        <v>945</v>
      </c>
      <c r="BWL92" s="166" t="str">
        <f>VLOOKUP(BWK92,[13]AssetDetails_UEM!$A$3:$AH$1849,6,FALSE)</f>
        <v>Electrosurgical Units, Monopolar/Bipolar</v>
      </c>
      <c r="BWM92" s="165" t="s">
        <v>945</v>
      </c>
      <c r="BWN92" s="166" t="str">
        <f>VLOOKUP(BWM92,[13]AssetDetails_UEM!$A$3:$AH$1849,6,FALSE)</f>
        <v>Electrosurgical Units, Monopolar/Bipolar</v>
      </c>
      <c r="BWO92" s="165" t="s">
        <v>945</v>
      </c>
      <c r="BWP92" s="166" t="str">
        <f>VLOOKUP(BWO92,[13]AssetDetails_UEM!$A$3:$AH$1849,6,FALSE)</f>
        <v>Electrosurgical Units, Monopolar/Bipolar</v>
      </c>
      <c r="BWQ92" s="165" t="s">
        <v>945</v>
      </c>
      <c r="BWR92" s="166" t="str">
        <f>VLOOKUP(BWQ92,[13]AssetDetails_UEM!$A$3:$AH$1849,6,FALSE)</f>
        <v>Electrosurgical Units, Monopolar/Bipolar</v>
      </c>
      <c r="BWS92" s="165" t="s">
        <v>945</v>
      </c>
      <c r="BWT92" s="166" t="str">
        <f>VLOOKUP(BWS92,[13]AssetDetails_UEM!$A$3:$AH$1849,6,FALSE)</f>
        <v>Electrosurgical Units, Monopolar/Bipolar</v>
      </c>
      <c r="BWU92" s="165" t="s">
        <v>945</v>
      </c>
      <c r="BWV92" s="166" t="str">
        <f>VLOOKUP(BWU92,[13]AssetDetails_UEM!$A$3:$AH$1849,6,FALSE)</f>
        <v>Electrosurgical Units, Monopolar/Bipolar</v>
      </c>
      <c r="BWW92" s="165" t="s">
        <v>945</v>
      </c>
      <c r="BWX92" s="166" t="str">
        <f>VLOOKUP(BWW92,[13]AssetDetails_UEM!$A$3:$AH$1849,6,FALSE)</f>
        <v>Electrosurgical Units, Monopolar/Bipolar</v>
      </c>
      <c r="BWY92" s="165" t="s">
        <v>945</v>
      </c>
      <c r="BWZ92" s="166" t="str">
        <f>VLOOKUP(BWY92,[13]AssetDetails_UEM!$A$3:$AH$1849,6,FALSE)</f>
        <v>Electrosurgical Units, Monopolar/Bipolar</v>
      </c>
      <c r="BXA92" s="165" t="s">
        <v>945</v>
      </c>
      <c r="BXB92" s="166" t="str">
        <f>VLOOKUP(BXA92,[13]AssetDetails_UEM!$A$3:$AH$1849,6,FALSE)</f>
        <v>Electrosurgical Units, Monopolar/Bipolar</v>
      </c>
      <c r="BXC92" s="165" t="s">
        <v>945</v>
      </c>
      <c r="BXD92" s="166" t="str">
        <f>VLOOKUP(BXC92,[13]AssetDetails_UEM!$A$3:$AH$1849,6,FALSE)</f>
        <v>Electrosurgical Units, Monopolar/Bipolar</v>
      </c>
      <c r="BXE92" s="165" t="s">
        <v>945</v>
      </c>
      <c r="BXF92" s="166" t="str">
        <f>VLOOKUP(BXE92,[13]AssetDetails_UEM!$A$3:$AH$1849,6,FALSE)</f>
        <v>Electrosurgical Units, Monopolar/Bipolar</v>
      </c>
      <c r="BXG92" s="165" t="s">
        <v>945</v>
      </c>
      <c r="BXH92" s="166" t="str">
        <f>VLOOKUP(BXG92,[13]AssetDetails_UEM!$A$3:$AH$1849,6,FALSE)</f>
        <v>Electrosurgical Units, Monopolar/Bipolar</v>
      </c>
      <c r="BXI92" s="165" t="s">
        <v>945</v>
      </c>
      <c r="BXJ92" s="166" t="str">
        <f>VLOOKUP(BXI92,[13]AssetDetails_UEM!$A$3:$AH$1849,6,FALSE)</f>
        <v>Electrosurgical Units, Monopolar/Bipolar</v>
      </c>
      <c r="BXK92" s="165" t="s">
        <v>945</v>
      </c>
      <c r="BXL92" s="166" t="str">
        <f>VLOOKUP(BXK92,[13]AssetDetails_UEM!$A$3:$AH$1849,6,FALSE)</f>
        <v>Electrosurgical Units, Monopolar/Bipolar</v>
      </c>
      <c r="BXM92" s="165" t="s">
        <v>945</v>
      </c>
      <c r="BXN92" s="166" t="str">
        <f>VLOOKUP(BXM92,[13]AssetDetails_UEM!$A$3:$AH$1849,6,FALSE)</f>
        <v>Electrosurgical Units, Monopolar/Bipolar</v>
      </c>
      <c r="BXO92" s="165" t="s">
        <v>945</v>
      </c>
      <c r="BXP92" s="166" t="str">
        <f>VLOOKUP(BXO92,[13]AssetDetails_UEM!$A$3:$AH$1849,6,FALSE)</f>
        <v>Electrosurgical Units, Monopolar/Bipolar</v>
      </c>
      <c r="BXQ92" s="165" t="s">
        <v>945</v>
      </c>
      <c r="BXR92" s="166" t="str">
        <f>VLOOKUP(BXQ92,[13]AssetDetails_UEM!$A$3:$AH$1849,6,FALSE)</f>
        <v>Electrosurgical Units, Monopolar/Bipolar</v>
      </c>
      <c r="BXS92" s="165" t="s">
        <v>945</v>
      </c>
      <c r="BXT92" s="166" t="str">
        <f>VLOOKUP(BXS92,[13]AssetDetails_UEM!$A$3:$AH$1849,6,FALSE)</f>
        <v>Electrosurgical Units, Monopolar/Bipolar</v>
      </c>
      <c r="BXU92" s="165" t="s">
        <v>945</v>
      </c>
      <c r="BXV92" s="166" t="str">
        <f>VLOOKUP(BXU92,[13]AssetDetails_UEM!$A$3:$AH$1849,6,FALSE)</f>
        <v>Electrosurgical Units, Monopolar/Bipolar</v>
      </c>
      <c r="BXW92" s="165" t="s">
        <v>945</v>
      </c>
      <c r="BXX92" s="166" t="str">
        <f>VLOOKUP(BXW92,[13]AssetDetails_UEM!$A$3:$AH$1849,6,FALSE)</f>
        <v>Electrosurgical Units, Monopolar/Bipolar</v>
      </c>
      <c r="BXY92" s="165" t="s">
        <v>945</v>
      </c>
      <c r="BXZ92" s="166" t="str">
        <f>VLOOKUP(BXY92,[13]AssetDetails_UEM!$A$3:$AH$1849,6,FALSE)</f>
        <v>Electrosurgical Units, Monopolar/Bipolar</v>
      </c>
      <c r="BYA92" s="165" t="s">
        <v>945</v>
      </c>
      <c r="BYB92" s="166" t="str">
        <f>VLOOKUP(BYA92,[13]AssetDetails_UEM!$A$3:$AH$1849,6,FALSE)</f>
        <v>Electrosurgical Units, Monopolar/Bipolar</v>
      </c>
      <c r="BYC92" s="165" t="s">
        <v>945</v>
      </c>
      <c r="BYD92" s="166" t="str">
        <f>VLOOKUP(BYC92,[13]AssetDetails_UEM!$A$3:$AH$1849,6,FALSE)</f>
        <v>Electrosurgical Units, Monopolar/Bipolar</v>
      </c>
      <c r="BYE92" s="165" t="s">
        <v>945</v>
      </c>
      <c r="BYF92" s="166" t="str">
        <f>VLOOKUP(BYE92,[13]AssetDetails_UEM!$A$3:$AH$1849,6,FALSE)</f>
        <v>Electrosurgical Units, Monopolar/Bipolar</v>
      </c>
      <c r="BYG92" s="165" t="s">
        <v>945</v>
      </c>
      <c r="BYH92" s="166" t="str">
        <f>VLOOKUP(BYG92,[13]AssetDetails_UEM!$A$3:$AH$1849,6,FALSE)</f>
        <v>Electrosurgical Units, Monopolar/Bipolar</v>
      </c>
      <c r="BYI92" s="165" t="s">
        <v>945</v>
      </c>
      <c r="BYJ92" s="166" t="str">
        <f>VLOOKUP(BYI92,[13]AssetDetails_UEM!$A$3:$AH$1849,6,FALSE)</f>
        <v>Electrosurgical Units, Monopolar/Bipolar</v>
      </c>
      <c r="BYK92" s="165" t="s">
        <v>945</v>
      </c>
      <c r="BYL92" s="166" t="str">
        <f>VLOOKUP(BYK92,[13]AssetDetails_UEM!$A$3:$AH$1849,6,FALSE)</f>
        <v>Electrosurgical Units, Monopolar/Bipolar</v>
      </c>
      <c r="BYM92" s="165" t="s">
        <v>945</v>
      </c>
      <c r="BYN92" s="166" t="str">
        <f>VLOOKUP(BYM92,[13]AssetDetails_UEM!$A$3:$AH$1849,6,FALSE)</f>
        <v>Electrosurgical Units, Monopolar/Bipolar</v>
      </c>
      <c r="BYO92" s="165" t="s">
        <v>945</v>
      </c>
      <c r="BYP92" s="166" t="str">
        <f>VLOOKUP(BYO92,[13]AssetDetails_UEM!$A$3:$AH$1849,6,FALSE)</f>
        <v>Electrosurgical Units, Monopolar/Bipolar</v>
      </c>
      <c r="BYQ92" s="165" t="s">
        <v>945</v>
      </c>
      <c r="BYR92" s="166" t="str">
        <f>VLOOKUP(BYQ92,[13]AssetDetails_UEM!$A$3:$AH$1849,6,FALSE)</f>
        <v>Electrosurgical Units, Monopolar/Bipolar</v>
      </c>
      <c r="BYS92" s="165" t="s">
        <v>945</v>
      </c>
      <c r="BYT92" s="166" t="str">
        <f>VLOOKUP(BYS92,[13]AssetDetails_UEM!$A$3:$AH$1849,6,FALSE)</f>
        <v>Electrosurgical Units, Monopolar/Bipolar</v>
      </c>
      <c r="BYU92" s="165" t="s">
        <v>945</v>
      </c>
      <c r="BYV92" s="166" t="str">
        <f>VLOOKUP(BYU92,[13]AssetDetails_UEM!$A$3:$AH$1849,6,FALSE)</f>
        <v>Electrosurgical Units, Monopolar/Bipolar</v>
      </c>
      <c r="BYW92" s="165" t="s">
        <v>945</v>
      </c>
      <c r="BYX92" s="166" t="str">
        <f>VLOOKUP(BYW92,[13]AssetDetails_UEM!$A$3:$AH$1849,6,FALSE)</f>
        <v>Electrosurgical Units, Monopolar/Bipolar</v>
      </c>
      <c r="BYY92" s="165" t="s">
        <v>945</v>
      </c>
      <c r="BYZ92" s="166" t="str">
        <f>VLOOKUP(BYY92,[13]AssetDetails_UEM!$A$3:$AH$1849,6,FALSE)</f>
        <v>Electrosurgical Units, Monopolar/Bipolar</v>
      </c>
      <c r="BZA92" s="165" t="s">
        <v>945</v>
      </c>
      <c r="BZB92" s="166" t="str">
        <f>VLOOKUP(BZA92,[13]AssetDetails_UEM!$A$3:$AH$1849,6,FALSE)</f>
        <v>Electrosurgical Units, Monopolar/Bipolar</v>
      </c>
      <c r="BZC92" s="165" t="s">
        <v>945</v>
      </c>
      <c r="BZD92" s="166" t="str">
        <f>VLOOKUP(BZC92,[13]AssetDetails_UEM!$A$3:$AH$1849,6,FALSE)</f>
        <v>Electrosurgical Units, Monopolar/Bipolar</v>
      </c>
      <c r="BZE92" s="165" t="s">
        <v>945</v>
      </c>
      <c r="BZF92" s="166" t="str">
        <f>VLOOKUP(BZE92,[13]AssetDetails_UEM!$A$3:$AH$1849,6,FALSE)</f>
        <v>Electrosurgical Units, Monopolar/Bipolar</v>
      </c>
      <c r="BZG92" s="165" t="s">
        <v>945</v>
      </c>
      <c r="BZH92" s="166" t="str">
        <f>VLOOKUP(BZG92,[13]AssetDetails_UEM!$A$3:$AH$1849,6,FALSE)</f>
        <v>Electrosurgical Units, Monopolar/Bipolar</v>
      </c>
      <c r="BZI92" s="165" t="s">
        <v>945</v>
      </c>
      <c r="BZJ92" s="166" t="str">
        <f>VLOOKUP(BZI92,[13]AssetDetails_UEM!$A$3:$AH$1849,6,FALSE)</f>
        <v>Electrosurgical Units, Monopolar/Bipolar</v>
      </c>
      <c r="BZK92" s="165" t="s">
        <v>945</v>
      </c>
      <c r="BZL92" s="166" t="str">
        <f>VLOOKUP(BZK92,[13]AssetDetails_UEM!$A$3:$AH$1849,6,FALSE)</f>
        <v>Electrosurgical Units, Monopolar/Bipolar</v>
      </c>
      <c r="BZM92" s="165" t="s">
        <v>945</v>
      </c>
      <c r="BZN92" s="166" t="str">
        <f>VLOOKUP(BZM92,[13]AssetDetails_UEM!$A$3:$AH$1849,6,FALSE)</f>
        <v>Electrosurgical Units, Monopolar/Bipolar</v>
      </c>
      <c r="BZO92" s="165" t="s">
        <v>945</v>
      </c>
      <c r="BZP92" s="166" t="str">
        <f>VLOOKUP(BZO92,[13]AssetDetails_UEM!$A$3:$AH$1849,6,FALSE)</f>
        <v>Electrosurgical Units, Monopolar/Bipolar</v>
      </c>
      <c r="BZQ92" s="165" t="s">
        <v>945</v>
      </c>
      <c r="BZR92" s="166" t="str">
        <f>VLOOKUP(BZQ92,[13]AssetDetails_UEM!$A$3:$AH$1849,6,FALSE)</f>
        <v>Electrosurgical Units, Monopolar/Bipolar</v>
      </c>
      <c r="BZS92" s="165" t="s">
        <v>945</v>
      </c>
      <c r="BZT92" s="166" t="str">
        <f>VLOOKUP(BZS92,[13]AssetDetails_UEM!$A$3:$AH$1849,6,FALSE)</f>
        <v>Electrosurgical Units, Monopolar/Bipolar</v>
      </c>
      <c r="BZU92" s="165" t="s">
        <v>945</v>
      </c>
      <c r="BZV92" s="166" t="str">
        <f>VLOOKUP(BZU92,[13]AssetDetails_UEM!$A$3:$AH$1849,6,FALSE)</f>
        <v>Electrosurgical Units, Monopolar/Bipolar</v>
      </c>
      <c r="BZW92" s="165" t="s">
        <v>945</v>
      </c>
      <c r="BZX92" s="166" t="str">
        <f>VLOOKUP(BZW92,[13]AssetDetails_UEM!$A$3:$AH$1849,6,FALSE)</f>
        <v>Electrosurgical Units, Monopolar/Bipolar</v>
      </c>
      <c r="BZY92" s="165" t="s">
        <v>945</v>
      </c>
      <c r="BZZ92" s="166" t="str">
        <f>VLOOKUP(BZY92,[13]AssetDetails_UEM!$A$3:$AH$1849,6,FALSE)</f>
        <v>Electrosurgical Units, Monopolar/Bipolar</v>
      </c>
      <c r="CAA92" s="165" t="s">
        <v>945</v>
      </c>
      <c r="CAB92" s="166" t="str">
        <f>VLOOKUP(CAA92,[13]AssetDetails_UEM!$A$3:$AH$1849,6,FALSE)</f>
        <v>Electrosurgical Units, Monopolar/Bipolar</v>
      </c>
      <c r="CAC92" s="165" t="s">
        <v>945</v>
      </c>
      <c r="CAD92" s="166" t="str">
        <f>VLOOKUP(CAC92,[13]AssetDetails_UEM!$A$3:$AH$1849,6,FALSE)</f>
        <v>Electrosurgical Units, Monopolar/Bipolar</v>
      </c>
      <c r="CAE92" s="165" t="s">
        <v>945</v>
      </c>
      <c r="CAF92" s="166" t="str">
        <f>VLOOKUP(CAE92,[13]AssetDetails_UEM!$A$3:$AH$1849,6,FALSE)</f>
        <v>Electrosurgical Units, Monopolar/Bipolar</v>
      </c>
      <c r="CAG92" s="165" t="s">
        <v>945</v>
      </c>
      <c r="CAH92" s="166" t="str">
        <f>VLOOKUP(CAG92,[13]AssetDetails_UEM!$A$3:$AH$1849,6,FALSE)</f>
        <v>Electrosurgical Units, Monopolar/Bipolar</v>
      </c>
      <c r="CAI92" s="165" t="s">
        <v>945</v>
      </c>
      <c r="CAJ92" s="166" t="str">
        <f>VLOOKUP(CAI92,[13]AssetDetails_UEM!$A$3:$AH$1849,6,FALSE)</f>
        <v>Electrosurgical Units, Monopolar/Bipolar</v>
      </c>
      <c r="CAK92" s="165" t="s">
        <v>945</v>
      </c>
      <c r="CAL92" s="166" t="str">
        <f>VLOOKUP(CAK92,[13]AssetDetails_UEM!$A$3:$AH$1849,6,FALSE)</f>
        <v>Electrosurgical Units, Monopolar/Bipolar</v>
      </c>
      <c r="CAM92" s="165" t="s">
        <v>945</v>
      </c>
      <c r="CAN92" s="166" t="str">
        <f>VLOOKUP(CAM92,[13]AssetDetails_UEM!$A$3:$AH$1849,6,FALSE)</f>
        <v>Electrosurgical Units, Monopolar/Bipolar</v>
      </c>
      <c r="CAO92" s="165" t="s">
        <v>945</v>
      </c>
      <c r="CAP92" s="166" t="str">
        <f>VLOOKUP(CAO92,[13]AssetDetails_UEM!$A$3:$AH$1849,6,FALSE)</f>
        <v>Electrosurgical Units, Monopolar/Bipolar</v>
      </c>
      <c r="CAQ92" s="165" t="s">
        <v>945</v>
      </c>
      <c r="CAR92" s="166" t="str">
        <f>VLOOKUP(CAQ92,[13]AssetDetails_UEM!$A$3:$AH$1849,6,FALSE)</f>
        <v>Electrosurgical Units, Monopolar/Bipolar</v>
      </c>
      <c r="CAS92" s="165" t="s">
        <v>945</v>
      </c>
      <c r="CAT92" s="166" t="str">
        <f>VLOOKUP(CAS92,[13]AssetDetails_UEM!$A$3:$AH$1849,6,FALSE)</f>
        <v>Electrosurgical Units, Monopolar/Bipolar</v>
      </c>
      <c r="CAU92" s="165" t="s">
        <v>945</v>
      </c>
      <c r="CAV92" s="166" t="str">
        <f>VLOOKUP(CAU92,[13]AssetDetails_UEM!$A$3:$AH$1849,6,FALSE)</f>
        <v>Electrosurgical Units, Monopolar/Bipolar</v>
      </c>
      <c r="CAW92" s="165" t="s">
        <v>945</v>
      </c>
      <c r="CAX92" s="166" t="str">
        <f>VLOOKUP(CAW92,[13]AssetDetails_UEM!$A$3:$AH$1849,6,FALSE)</f>
        <v>Electrosurgical Units, Monopolar/Bipolar</v>
      </c>
      <c r="CAY92" s="165" t="s">
        <v>945</v>
      </c>
      <c r="CAZ92" s="166" t="str">
        <f>VLOOKUP(CAY92,[13]AssetDetails_UEM!$A$3:$AH$1849,6,FALSE)</f>
        <v>Electrosurgical Units, Monopolar/Bipolar</v>
      </c>
      <c r="CBA92" s="165" t="s">
        <v>945</v>
      </c>
      <c r="CBB92" s="166" t="str">
        <f>VLOOKUP(CBA92,[13]AssetDetails_UEM!$A$3:$AH$1849,6,FALSE)</f>
        <v>Electrosurgical Units, Monopolar/Bipolar</v>
      </c>
      <c r="CBC92" s="165" t="s">
        <v>945</v>
      </c>
      <c r="CBD92" s="166" t="str">
        <f>VLOOKUP(CBC92,[13]AssetDetails_UEM!$A$3:$AH$1849,6,FALSE)</f>
        <v>Electrosurgical Units, Monopolar/Bipolar</v>
      </c>
      <c r="CBE92" s="165" t="s">
        <v>945</v>
      </c>
      <c r="CBF92" s="166" t="str">
        <f>VLOOKUP(CBE92,[13]AssetDetails_UEM!$A$3:$AH$1849,6,FALSE)</f>
        <v>Electrosurgical Units, Monopolar/Bipolar</v>
      </c>
      <c r="CBG92" s="165" t="s">
        <v>945</v>
      </c>
      <c r="CBH92" s="166" t="str">
        <f>VLOOKUP(CBG92,[13]AssetDetails_UEM!$A$3:$AH$1849,6,FALSE)</f>
        <v>Electrosurgical Units, Monopolar/Bipolar</v>
      </c>
      <c r="CBI92" s="165" t="s">
        <v>945</v>
      </c>
      <c r="CBJ92" s="166" t="str">
        <f>VLOOKUP(CBI92,[13]AssetDetails_UEM!$A$3:$AH$1849,6,FALSE)</f>
        <v>Electrosurgical Units, Monopolar/Bipolar</v>
      </c>
      <c r="CBK92" s="165" t="s">
        <v>945</v>
      </c>
      <c r="CBL92" s="166" t="str">
        <f>VLOOKUP(CBK92,[13]AssetDetails_UEM!$A$3:$AH$1849,6,FALSE)</f>
        <v>Electrosurgical Units, Monopolar/Bipolar</v>
      </c>
      <c r="CBM92" s="165" t="s">
        <v>945</v>
      </c>
      <c r="CBN92" s="166" t="str">
        <f>VLOOKUP(CBM92,[13]AssetDetails_UEM!$A$3:$AH$1849,6,FALSE)</f>
        <v>Electrosurgical Units, Monopolar/Bipolar</v>
      </c>
      <c r="CBO92" s="165" t="s">
        <v>945</v>
      </c>
      <c r="CBP92" s="166" t="str">
        <f>VLOOKUP(CBO92,[13]AssetDetails_UEM!$A$3:$AH$1849,6,FALSE)</f>
        <v>Electrosurgical Units, Monopolar/Bipolar</v>
      </c>
      <c r="CBQ92" s="165" t="s">
        <v>945</v>
      </c>
      <c r="CBR92" s="166" t="str">
        <f>VLOOKUP(CBQ92,[13]AssetDetails_UEM!$A$3:$AH$1849,6,FALSE)</f>
        <v>Electrosurgical Units, Monopolar/Bipolar</v>
      </c>
      <c r="CBS92" s="165" t="s">
        <v>945</v>
      </c>
      <c r="CBT92" s="166" t="str">
        <f>VLOOKUP(CBS92,[13]AssetDetails_UEM!$A$3:$AH$1849,6,FALSE)</f>
        <v>Electrosurgical Units, Monopolar/Bipolar</v>
      </c>
      <c r="CBU92" s="165" t="s">
        <v>945</v>
      </c>
      <c r="CBV92" s="166" t="str">
        <f>VLOOKUP(CBU92,[13]AssetDetails_UEM!$A$3:$AH$1849,6,FALSE)</f>
        <v>Electrosurgical Units, Monopolar/Bipolar</v>
      </c>
      <c r="CBW92" s="165" t="s">
        <v>945</v>
      </c>
      <c r="CBX92" s="166" t="str">
        <f>VLOOKUP(CBW92,[13]AssetDetails_UEM!$A$3:$AH$1849,6,FALSE)</f>
        <v>Electrosurgical Units, Monopolar/Bipolar</v>
      </c>
      <c r="CBY92" s="165" t="s">
        <v>945</v>
      </c>
      <c r="CBZ92" s="166" t="str">
        <f>VLOOKUP(CBY92,[13]AssetDetails_UEM!$A$3:$AH$1849,6,FALSE)</f>
        <v>Electrosurgical Units, Monopolar/Bipolar</v>
      </c>
      <c r="CCA92" s="165" t="s">
        <v>945</v>
      </c>
      <c r="CCB92" s="166" t="str">
        <f>VLOOKUP(CCA92,[13]AssetDetails_UEM!$A$3:$AH$1849,6,FALSE)</f>
        <v>Electrosurgical Units, Monopolar/Bipolar</v>
      </c>
      <c r="CCC92" s="165" t="s">
        <v>945</v>
      </c>
      <c r="CCD92" s="166" t="str">
        <f>VLOOKUP(CCC92,[13]AssetDetails_UEM!$A$3:$AH$1849,6,FALSE)</f>
        <v>Electrosurgical Units, Monopolar/Bipolar</v>
      </c>
      <c r="CCE92" s="165" t="s">
        <v>945</v>
      </c>
      <c r="CCF92" s="166" t="str">
        <f>VLOOKUP(CCE92,[13]AssetDetails_UEM!$A$3:$AH$1849,6,FALSE)</f>
        <v>Electrosurgical Units, Monopolar/Bipolar</v>
      </c>
      <c r="CCG92" s="165" t="s">
        <v>945</v>
      </c>
      <c r="CCH92" s="166" t="str">
        <f>VLOOKUP(CCG92,[13]AssetDetails_UEM!$A$3:$AH$1849,6,FALSE)</f>
        <v>Electrosurgical Units, Monopolar/Bipolar</v>
      </c>
      <c r="CCI92" s="165" t="s">
        <v>945</v>
      </c>
      <c r="CCJ92" s="166" t="str">
        <f>VLOOKUP(CCI92,[13]AssetDetails_UEM!$A$3:$AH$1849,6,FALSE)</f>
        <v>Electrosurgical Units, Monopolar/Bipolar</v>
      </c>
      <c r="CCK92" s="165" t="s">
        <v>945</v>
      </c>
      <c r="CCL92" s="166" t="str">
        <f>VLOOKUP(CCK92,[13]AssetDetails_UEM!$A$3:$AH$1849,6,FALSE)</f>
        <v>Electrosurgical Units, Monopolar/Bipolar</v>
      </c>
      <c r="CCM92" s="165" t="s">
        <v>945</v>
      </c>
      <c r="CCN92" s="166" t="str">
        <f>VLOOKUP(CCM92,[13]AssetDetails_UEM!$A$3:$AH$1849,6,FALSE)</f>
        <v>Electrosurgical Units, Monopolar/Bipolar</v>
      </c>
      <c r="CCO92" s="165" t="s">
        <v>945</v>
      </c>
      <c r="CCP92" s="166" t="str">
        <f>VLOOKUP(CCO92,[13]AssetDetails_UEM!$A$3:$AH$1849,6,FALSE)</f>
        <v>Electrosurgical Units, Monopolar/Bipolar</v>
      </c>
      <c r="CCQ92" s="165" t="s">
        <v>945</v>
      </c>
      <c r="CCR92" s="166" t="str">
        <f>VLOOKUP(CCQ92,[13]AssetDetails_UEM!$A$3:$AH$1849,6,FALSE)</f>
        <v>Electrosurgical Units, Monopolar/Bipolar</v>
      </c>
      <c r="CCS92" s="165" t="s">
        <v>945</v>
      </c>
      <c r="CCT92" s="166" t="str">
        <f>VLOOKUP(CCS92,[13]AssetDetails_UEM!$A$3:$AH$1849,6,FALSE)</f>
        <v>Electrosurgical Units, Monopolar/Bipolar</v>
      </c>
      <c r="CCU92" s="165" t="s">
        <v>945</v>
      </c>
      <c r="CCV92" s="166" t="str">
        <f>VLOOKUP(CCU92,[13]AssetDetails_UEM!$A$3:$AH$1849,6,FALSE)</f>
        <v>Electrosurgical Units, Monopolar/Bipolar</v>
      </c>
      <c r="CCW92" s="165" t="s">
        <v>945</v>
      </c>
      <c r="CCX92" s="166" t="str">
        <f>VLOOKUP(CCW92,[13]AssetDetails_UEM!$A$3:$AH$1849,6,FALSE)</f>
        <v>Electrosurgical Units, Monopolar/Bipolar</v>
      </c>
      <c r="CCY92" s="165" t="s">
        <v>945</v>
      </c>
      <c r="CCZ92" s="166" t="str">
        <f>VLOOKUP(CCY92,[13]AssetDetails_UEM!$A$3:$AH$1849,6,FALSE)</f>
        <v>Electrosurgical Units, Monopolar/Bipolar</v>
      </c>
      <c r="CDA92" s="165" t="s">
        <v>945</v>
      </c>
      <c r="CDB92" s="166" t="str">
        <f>VLOOKUP(CDA92,[13]AssetDetails_UEM!$A$3:$AH$1849,6,FALSE)</f>
        <v>Electrosurgical Units, Monopolar/Bipolar</v>
      </c>
      <c r="CDC92" s="165" t="s">
        <v>945</v>
      </c>
      <c r="CDD92" s="166" t="str">
        <f>VLOOKUP(CDC92,[13]AssetDetails_UEM!$A$3:$AH$1849,6,FALSE)</f>
        <v>Electrosurgical Units, Monopolar/Bipolar</v>
      </c>
      <c r="CDE92" s="165" t="s">
        <v>945</v>
      </c>
      <c r="CDF92" s="166" t="str">
        <f>VLOOKUP(CDE92,[13]AssetDetails_UEM!$A$3:$AH$1849,6,FALSE)</f>
        <v>Electrosurgical Units, Monopolar/Bipolar</v>
      </c>
      <c r="CDG92" s="165" t="s">
        <v>945</v>
      </c>
      <c r="CDH92" s="166" t="str">
        <f>VLOOKUP(CDG92,[13]AssetDetails_UEM!$A$3:$AH$1849,6,FALSE)</f>
        <v>Electrosurgical Units, Monopolar/Bipolar</v>
      </c>
      <c r="CDI92" s="165" t="s">
        <v>945</v>
      </c>
      <c r="CDJ92" s="166" t="str">
        <f>VLOOKUP(CDI92,[13]AssetDetails_UEM!$A$3:$AH$1849,6,FALSE)</f>
        <v>Electrosurgical Units, Monopolar/Bipolar</v>
      </c>
      <c r="CDK92" s="165" t="s">
        <v>945</v>
      </c>
      <c r="CDL92" s="166" t="str">
        <f>VLOOKUP(CDK92,[13]AssetDetails_UEM!$A$3:$AH$1849,6,FALSE)</f>
        <v>Electrosurgical Units, Monopolar/Bipolar</v>
      </c>
      <c r="CDM92" s="165" t="s">
        <v>945</v>
      </c>
      <c r="CDN92" s="166" t="str">
        <f>VLOOKUP(CDM92,[13]AssetDetails_UEM!$A$3:$AH$1849,6,FALSE)</f>
        <v>Electrosurgical Units, Monopolar/Bipolar</v>
      </c>
      <c r="CDO92" s="165" t="s">
        <v>945</v>
      </c>
      <c r="CDP92" s="166" t="str">
        <f>VLOOKUP(CDO92,[13]AssetDetails_UEM!$A$3:$AH$1849,6,FALSE)</f>
        <v>Electrosurgical Units, Monopolar/Bipolar</v>
      </c>
      <c r="CDQ92" s="165" t="s">
        <v>945</v>
      </c>
      <c r="CDR92" s="166" t="str">
        <f>VLOOKUP(CDQ92,[13]AssetDetails_UEM!$A$3:$AH$1849,6,FALSE)</f>
        <v>Electrosurgical Units, Monopolar/Bipolar</v>
      </c>
      <c r="CDS92" s="165" t="s">
        <v>945</v>
      </c>
      <c r="CDT92" s="166" t="str">
        <f>VLOOKUP(CDS92,[13]AssetDetails_UEM!$A$3:$AH$1849,6,FALSE)</f>
        <v>Electrosurgical Units, Monopolar/Bipolar</v>
      </c>
      <c r="CDU92" s="165" t="s">
        <v>945</v>
      </c>
      <c r="CDV92" s="166" t="str">
        <f>VLOOKUP(CDU92,[13]AssetDetails_UEM!$A$3:$AH$1849,6,FALSE)</f>
        <v>Electrosurgical Units, Monopolar/Bipolar</v>
      </c>
      <c r="CDW92" s="165" t="s">
        <v>945</v>
      </c>
      <c r="CDX92" s="166" t="str">
        <f>VLOOKUP(CDW92,[13]AssetDetails_UEM!$A$3:$AH$1849,6,FALSE)</f>
        <v>Electrosurgical Units, Monopolar/Bipolar</v>
      </c>
      <c r="CDY92" s="165" t="s">
        <v>945</v>
      </c>
      <c r="CDZ92" s="166" t="str">
        <f>VLOOKUP(CDY92,[13]AssetDetails_UEM!$A$3:$AH$1849,6,FALSE)</f>
        <v>Electrosurgical Units, Monopolar/Bipolar</v>
      </c>
      <c r="CEA92" s="165" t="s">
        <v>945</v>
      </c>
      <c r="CEB92" s="166" t="str">
        <f>VLOOKUP(CEA92,[13]AssetDetails_UEM!$A$3:$AH$1849,6,FALSE)</f>
        <v>Electrosurgical Units, Monopolar/Bipolar</v>
      </c>
      <c r="CEC92" s="165" t="s">
        <v>945</v>
      </c>
      <c r="CED92" s="166" t="str">
        <f>VLOOKUP(CEC92,[13]AssetDetails_UEM!$A$3:$AH$1849,6,FALSE)</f>
        <v>Electrosurgical Units, Monopolar/Bipolar</v>
      </c>
      <c r="CEE92" s="165" t="s">
        <v>945</v>
      </c>
      <c r="CEF92" s="166" t="str">
        <f>VLOOKUP(CEE92,[13]AssetDetails_UEM!$A$3:$AH$1849,6,FALSE)</f>
        <v>Electrosurgical Units, Monopolar/Bipolar</v>
      </c>
      <c r="CEG92" s="165" t="s">
        <v>945</v>
      </c>
      <c r="CEH92" s="166" t="str">
        <f>VLOOKUP(CEG92,[13]AssetDetails_UEM!$A$3:$AH$1849,6,FALSE)</f>
        <v>Electrosurgical Units, Monopolar/Bipolar</v>
      </c>
      <c r="CEI92" s="165" t="s">
        <v>945</v>
      </c>
      <c r="CEJ92" s="166" t="str">
        <f>VLOOKUP(CEI92,[13]AssetDetails_UEM!$A$3:$AH$1849,6,FALSE)</f>
        <v>Electrosurgical Units, Monopolar/Bipolar</v>
      </c>
      <c r="CEK92" s="165" t="s">
        <v>945</v>
      </c>
      <c r="CEL92" s="166" t="str">
        <f>VLOOKUP(CEK92,[13]AssetDetails_UEM!$A$3:$AH$1849,6,FALSE)</f>
        <v>Electrosurgical Units, Monopolar/Bipolar</v>
      </c>
      <c r="CEM92" s="165" t="s">
        <v>945</v>
      </c>
      <c r="CEN92" s="166" t="str">
        <f>VLOOKUP(CEM92,[13]AssetDetails_UEM!$A$3:$AH$1849,6,FALSE)</f>
        <v>Electrosurgical Units, Monopolar/Bipolar</v>
      </c>
      <c r="CEO92" s="165" t="s">
        <v>945</v>
      </c>
      <c r="CEP92" s="166" t="str">
        <f>VLOOKUP(CEO92,[13]AssetDetails_UEM!$A$3:$AH$1849,6,FALSE)</f>
        <v>Electrosurgical Units, Monopolar/Bipolar</v>
      </c>
      <c r="CEQ92" s="165" t="s">
        <v>945</v>
      </c>
      <c r="CER92" s="166" t="str">
        <f>VLOOKUP(CEQ92,[13]AssetDetails_UEM!$A$3:$AH$1849,6,FALSE)</f>
        <v>Electrosurgical Units, Monopolar/Bipolar</v>
      </c>
      <c r="CES92" s="165" t="s">
        <v>945</v>
      </c>
      <c r="CET92" s="166" t="str">
        <f>VLOOKUP(CES92,[13]AssetDetails_UEM!$A$3:$AH$1849,6,FALSE)</f>
        <v>Electrosurgical Units, Monopolar/Bipolar</v>
      </c>
      <c r="CEU92" s="165" t="s">
        <v>945</v>
      </c>
      <c r="CEV92" s="166" t="str">
        <f>VLOOKUP(CEU92,[13]AssetDetails_UEM!$A$3:$AH$1849,6,FALSE)</f>
        <v>Electrosurgical Units, Monopolar/Bipolar</v>
      </c>
      <c r="CEW92" s="165" t="s">
        <v>945</v>
      </c>
      <c r="CEX92" s="166" t="str">
        <f>VLOOKUP(CEW92,[13]AssetDetails_UEM!$A$3:$AH$1849,6,FALSE)</f>
        <v>Electrosurgical Units, Monopolar/Bipolar</v>
      </c>
      <c r="CEY92" s="165" t="s">
        <v>945</v>
      </c>
      <c r="CEZ92" s="166" t="str">
        <f>VLOOKUP(CEY92,[13]AssetDetails_UEM!$A$3:$AH$1849,6,FALSE)</f>
        <v>Electrosurgical Units, Monopolar/Bipolar</v>
      </c>
      <c r="CFA92" s="165" t="s">
        <v>945</v>
      </c>
      <c r="CFB92" s="166" t="str">
        <f>VLOOKUP(CFA92,[13]AssetDetails_UEM!$A$3:$AH$1849,6,FALSE)</f>
        <v>Electrosurgical Units, Monopolar/Bipolar</v>
      </c>
      <c r="CFC92" s="165" t="s">
        <v>945</v>
      </c>
      <c r="CFD92" s="166" t="str">
        <f>VLOOKUP(CFC92,[13]AssetDetails_UEM!$A$3:$AH$1849,6,FALSE)</f>
        <v>Electrosurgical Units, Monopolar/Bipolar</v>
      </c>
      <c r="CFE92" s="165" t="s">
        <v>945</v>
      </c>
      <c r="CFF92" s="166" t="str">
        <f>VLOOKUP(CFE92,[13]AssetDetails_UEM!$A$3:$AH$1849,6,FALSE)</f>
        <v>Electrosurgical Units, Monopolar/Bipolar</v>
      </c>
      <c r="CFG92" s="165" t="s">
        <v>945</v>
      </c>
      <c r="CFH92" s="166" t="str">
        <f>VLOOKUP(CFG92,[13]AssetDetails_UEM!$A$3:$AH$1849,6,FALSE)</f>
        <v>Electrosurgical Units, Monopolar/Bipolar</v>
      </c>
      <c r="CFI92" s="165" t="s">
        <v>945</v>
      </c>
      <c r="CFJ92" s="166" t="str">
        <f>VLOOKUP(CFI92,[13]AssetDetails_UEM!$A$3:$AH$1849,6,FALSE)</f>
        <v>Electrosurgical Units, Monopolar/Bipolar</v>
      </c>
      <c r="CFK92" s="165" t="s">
        <v>945</v>
      </c>
      <c r="CFL92" s="166" t="str">
        <f>VLOOKUP(CFK92,[13]AssetDetails_UEM!$A$3:$AH$1849,6,FALSE)</f>
        <v>Electrosurgical Units, Monopolar/Bipolar</v>
      </c>
      <c r="CFM92" s="165" t="s">
        <v>945</v>
      </c>
      <c r="CFN92" s="166" t="str">
        <f>VLOOKUP(CFM92,[13]AssetDetails_UEM!$A$3:$AH$1849,6,FALSE)</f>
        <v>Electrosurgical Units, Monopolar/Bipolar</v>
      </c>
      <c r="CFO92" s="165" t="s">
        <v>945</v>
      </c>
      <c r="CFP92" s="166" t="str">
        <f>VLOOKUP(CFO92,[13]AssetDetails_UEM!$A$3:$AH$1849,6,FALSE)</f>
        <v>Electrosurgical Units, Monopolar/Bipolar</v>
      </c>
      <c r="CFQ92" s="165" t="s">
        <v>945</v>
      </c>
      <c r="CFR92" s="166" t="str">
        <f>VLOOKUP(CFQ92,[13]AssetDetails_UEM!$A$3:$AH$1849,6,FALSE)</f>
        <v>Electrosurgical Units, Monopolar/Bipolar</v>
      </c>
      <c r="CFS92" s="165" t="s">
        <v>945</v>
      </c>
      <c r="CFT92" s="166" t="str">
        <f>VLOOKUP(CFS92,[13]AssetDetails_UEM!$A$3:$AH$1849,6,FALSE)</f>
        <v>Electrosurgical Units, Monopolar/Bipolar</v>
      </c>
      <c r="CFU92" s="165" t="s">
        <v>945</v>
      </c>
      <c r="CFV92" s="166" t="str">
        <f>VLOOKUP(CFU92,[13]AssetDetails_UEM!$A$3:$AH$1849,6,FALSE)</f>
        <v>Electrosurgical Units, Monopolar/Bipolar</v>
      </c>
      <c r="CFW92" s="165" t="s">
        <v>945</v>
      </c>
      <c r="CFX92" s="166" t="str">
        <f>VLOOKUP(CFW92,[13]AssetDetails_UEM!$A$3:$AH$1849,6,FALSE)</f>
        <v>Electrosurgical Units, Monopolar/Bipolar</v>
      </c>
      <c r="CFY92" s="165" t="s">
        <v>945</v>
      </c>
      <c r="CFZ92" s="166" t="str">
        <f>VLOOKUP(CFY92,[13]AssetDetails_UEM!$A$3:$AH$1849,6,FALSE)</f>
        <v>Electrosurgical Units, Monopolar/Bipolar</v>
      </c>
      <c r="CGA92" s="165" t="s">
        <v>945</v>
      </c>
      <c r="CGB92" s="166" t="str">
        <f>VLOOKUP(CGA92,[13]AssetDetails_UEM!$A$3:$AH$1849,6,FALSE)</f>
        <v>Electrosurgical Units, Monopolar/Bipolar</v>
      </c>
      <c r="CGC92" s="165" t="s">
        <v>945</v>
      </c>
      <c r="CGD92" s="166" t="str">
        <f>VLOOKUP(CGC92,[13]AssetDetails_UEM!$A$3:$AH$1849,6,FALSE)</f>
        <v>Electrosurgical Units, Monopolar/Bipolar</v>
      </c>
      <c r="CGE92" s="165" t="s">
        <v>945</v>
      </c>
      <c r="CGF92" s="166" t="str">
        <f>VLOOKUP(CGE92,[13]AssetDetails_UEM!$A$3:$AH$1849,6,FALSE)</f>
        <v>Electrosurgical Units, Monopolar/Bipolar</v>
      </c>
      <c r="CGG92" s="165" t="s">
        <v>945</v>
      </c>
      <c r="CGH92" s="166" t="str">
        <f>VLOOKUP(CGG92,[13]AssetDetails_UEM!$A$3:$AH$1849,6,FALSE)</f>
        <v>Electrosurgical Units, Monopolar/Bipolar</v>
      </c>
      <c r="CGI92" s="165" t="s">
        <v>945</v>
      </c>
      <c r="CGJ92" s="166" t="str">
        <f>VLOOKUP(CGI92,[13]AssetDetails_UEM!$A$3:$AH$1849,6,FALSE)</f>
        <v>Electrosurgical Units, Monopolar/Bipolar</v>
      </c>
      <c r="CGK92" s="165" t="s">
        <v>945</v>
      </c>
      <c r="CGL92" s="166" t="str">
        <f>VLOOKUP(CGK92,[13]AssetDetails_UEM!$A$3:$AH$1849,6,FALSE)</f>
        <v>Electrosurgical Units, Monopolar/Bipolar</v>
      </c>
      <c r="CGM92" s="165" t="s">
        <v>945</v>
      </c>
      <c r="CGN92" s="166" t="str">
        <f>VLOOKUP(CGM92,[13]AssetDetails_UEM!$A$3:$AH$1849,6,FALSE)</f>
        <v>Electrosurgical Units, Monopolar/Bipolar</v>
      </c>
      <c r="CGO92" s="165" t="s">
        <v>945</v>
      </c>
      <c r="CGP92" s="166" t="str">
        <f>VLOOKUP(CGO92,[13]AssetDetails_UEM!$A$3:$AH$1849,6,FALSE)</f>
        <v>Electrosurgical Units, Monopolar/Bipolar</v>
      </c>
      <c r="CGQ92" s="165" t="s">
        <v>945</v>
      </c>
      <c r="CGR92" s="166" t="str">
        <f>VLOOKUP(CGQ92,[13]AssetDetails_UEM!$A$3:$AH$1849,6,FALSE)</f>
        <v>Electrosurgical Units, Monopolar/Bipolar</v>
      </c>
      <c r="CGS92" s="165" t="s">
        <v>945</v>
      </c>
      <c r="CGT92" s="166" t="str">
        <f>VLOOKUP(CGS92,[13]AssetDetails_UEM!$A$3:$AH$1849,6,FALSE)</f>
        <v>Electrosurgical Units, Monopolar/Bipolar</v>
      </c>
      <c r="CGU92" s="165" t="s">
        <v>945</v>
      </c>
      <c r="CGV92" s="166" t="str">
        <f>VLOOKUP(CGU92,[13]AssetDetails_UEM!$A$3:$AH$1849,6,FALSE)</f>
        <v>Electrosurgical Units, Monopolar/Bipolar</v>
      </c>
      <c r="CGW92" s="165" t="s">
        <v>945</v>
      </c>
      <c r="CGX92" s="166" t="str">
        <f>VLOOKUP(CGW92,[13]AssetDetails_UEM!$A$3:$AH$1849,6,FALSE)</f>
        <v>Electrosurgical Units, Monopolar/Bipolar</v>
      </c>
      <c r="CGY92" s="165" t="s">
        <v>945</v>
      </c>
      <c r="CGZ92" s="166" t="str">
        <f>VLOOKUP(CGY92,[13]AssetDetails_UEM!$A$3:$AH$1849,6,FALSE)</f>
        <v>Electrosurgical Units, Monopolar/Bipolar</v>
      </c>
      <c r="CHA92" s="165" t="s">
        <v>945</v>
      </c>
      <c r="CHB92" s="166" t="str">
        <f>VLOOKUP(CHA92,[13]AssetDetails_UEM!$A$3:$AH$1849,6,FALSE)</f>
        <v>Electrosurgical Units, Monopolar/Bipolar</v>
      </c>
      <c r="CHC92" s="165" t="s">
        <v>945</v>
      </c>
      <c r="CHD92" s="166" t="str">
        <f>VLOOKUP(CHC92,[13]AssetDetails_UEM!$A$3:$AH$1849,6,FALSE)</f>
        <v>Electrosurgical Units, Monopolar/Bipolar</v>
      </c>
      <c r="CHE92" s="165" t="s">
        <v>945</v>
      </c>
      <c r="CHF92" s="166" t="str">
        <f>VLOOKUP(CHE92,[13]AssetDetails_UEM!$A$3:$AH$1849,6,FALSE)</f>
        <v>Electrosurgical Units, Monopolar/Bipolar</v>
      </c>
      <c r="CHG92" s="165" t="s">
        <v>945</v>
      </c>
      <c r="CHH92" s="166" t="str">
        <f>VLOOKUP(CHG92,[13]AssetDetails_UEM!$A$3:$AH$1849,6,FALSE)</f>
        <v>Electrosurgical Units, Monopolar/Bipolar</v>
      </c>
      <c r="CHI92" s="165" t="s">
        <v>945</v>
      </c>
      <c r="CHJ92" s="166" t="str">
        <f>VLOOKUP(CHI92,[13]AssetDetails_UEM!$A$3:$AH$1849,6,FALSE)</f>
        <v>Electrosurgical Units, Monopolar/Bipolar</v>
      </c>
      <c r="CHK92" s="165" t="s">
        <v>945</v>
      </c>
      <c r="CHL92" s="166" t="str">
        <f>VLOOKUP(CHK92,[13]AssetDetails_UEM!$A$3:$AH$1849,6,FALSE)</f>
        <v>Electrosurgical Units, Monopolar/Bipolar</v>
      </c>
      <c r="CHM92" s="165" t="s">
        <v>945</v>
      </c>
      <c r="CHN92" s="166" t="str">
        <f>VLOOKUP(CHM92,[13]AssetDetails_UEM!$A$3:$AH$1849,6,FALSE)</f>
        <v>Electrosurgical Units, Monopolar/Bipolar</v>
      </c>
      <c r="CHO92" s="165" t="s">
        <v>945</v>
      </c>
      <c r="CHP92" s="166" t="str">
        <f>VLOOKUP(CHO92,[13]AssetDetails_UEM!$A$3:$AH$1849,6,FALSE)</f>
        <v>Electrosurgical Units, Monopolar/Bipolar</v>
      </c>
      <c r="CHQ92" s="165" t="s">
        <v>945</v>
      </c>
      <c r="CHR92" s="166" t="str">
        <f>VLOOKUP(CHQ92,[13]AssetDetails_UEM!$A$3:$AH$1849,6,FALSE)</f>
        <v>Electrosurgical Units, Monopolar/Bipolar</v>
      </c>
      <c r="CHS92" s="165" t="s">
        <v>945</v>
      </c>
      <c r="CHT92" s="166" t="str">
        <f>VLOOKUP(CHS92,[13]AssetDetails_UEM!$A$3:$AH$1849,6,FALSE)</f>
        <v>Electrosurgical Units, Monopolar/Bipolar</v>
      </c>
      <c r="CHU92" s="165" t="s">
        <v>945</v>
      </c>
      <c r="CHV92" s="166" t="str">
        <f>VLOOKUP(CHU92,[13]AssetDetails_UEM!$A$3:$AH$1849,6,FALSE)</f>
        <v>Electrosurgical Units, Monopolar/Bipolar</v>
      </c>
      <c r="CHW92" s="165" t="s">
        <v>945</v>
      </c>
      <c r="CHX92" s="166" t="str">
        <f>VLOOKUP(CHW92,[13]AssetDetails_UEM!$A$3:$AH$1849,6,FALSE)</f>
        <v>Electrosurgical Units, Monopolar/Bipolar</v>
      </c>
      <c r="CHY92" s="165" t="s">
        <v>945</v>
      </c>
      <c r="CHZ92" s="166" t="str">
        <f>VLOOKUP(CHY92,[13]AssetDetails_UEM!$A$3:$AH$1849,6,FALSE)</f>
        <v>Electrosurgical Units, Monopolar/Bipolar</v>
      </c>
      <c r="CIA92" s="165" t="s">
        <v>945</v>
      </c>
      <c r="CIB92" s="166" t="str">
        <f>VLOOKUP(CIA92,[13]AssetDetails_UEM!$A$3:$AH$1849,6,FALSE)</f>
        <v>Electrosurgical Units, Monopolar/Bipolar</v>
      </c>
      <c r="CIC92" s="165" t="s">
        <v>945</v>
      </c>
      <c r="CID92" s="166" t="str">
        <f>VLOOKUP(CIC92,[13]AssetDetails_UEM!$A$3:$AH$1849,6,FALSE)</f>
        <v>Electrosurgical Units, Monopolar/Bipolar</v>
      </c>
      <c r="CIE92" s="165" t="s">
        <v>945</v>
      </c>
      <c r="CIF92" s="166" t="str">
        <f>VLOOKUP(CIE92,[13]AssetDetails_UEM!$A$3:$AH$1849,6,FALSE)</f>
        <v>Electrosurgical Units, Monopolar/Bipolar</v>
      </c>
      <c r="CIG92" s="165" t="s">
        <v>945</v>
      </c>
      <c r="CIH92" s="166" t="str">
        <f>VLOOKUP(CIG92,[13]AssetDetails_UEM!$A$3:$AH$1849,6,FALSE)</f>
        <v>Electrosurgical Units, Monopolar/Bipolar</v>
      </c>
      <c r="CII92" s="165" t="s">
        <v>945</v>
      </c>
      <c r="CIJ92" s="166" t="str">
        <f>VLOOKUP(CII92,[13]AssetDetails_UEM!$A$3:$AH$1849,6,FALSE)</f>
        <v>Electrosurgical Units, Monopolar/Bipolar</v>
      </c>
      <c r="CIK92" s="165" t="s">
        <v>945</v>
      </c>
      <c r="CIL92" s="166" t="str">
        <f>VLOOKUP(CIK92,[13]AssetDetails_UEM!$A$3:$AH$1849,6,FALSE)</f>
        <v>Electrosurgical Units, Monopolar/Bipolar</v>
      </c>
      <c r="CIM92" s="165" t="s">
        <v>945</v>
      </c>
      <c r="CIN92" s="166" t="str">
        <f>VLOOKUP(CIM92,[13]AssetDetails_UEM!$A$3:$AH$1849,6,FALSE)</f>
        <v>Electrosurgical Units, Monopolar/Bipolar</v>
      </c>
      <c r="CIO92" s="165" t="s">
        <v>945</v>
      </c>
      <c r="CIP92" s="166" t="str">
        <f>VLOOKUP(CIO92,[13]AssetDetails_UEM!$A$3:$AH$1849,6,FALSE)</f>
        <v>Electrosurgical Units, Monopolar/Bipolar</v>
      </c>
      <c r="CIQ92" s="165" t="s">
        <v>945</v>
      </c>
      <c r="CIR92" s="166" t="str">
        <f>VLOOKUP(CIQ92,[13]AssetDetails_UEM!$A$3:$AH$1849,6,FALSE)</f>
        <v>Electrosurgical Units, Monopolar/Bipolar</v>
      </c>
      <c r="CIS92" s="165" t="s">
        <v>945</v>
      </c>
      <c r="CIT92" s="166" t="str">
        <f>VLOOKUP(CIS92,[13]AssetDetails_UEM!$A$3:$AH$1849,6,FALSE)</f>
        <v>Electrosurgical Units, Monopolar/Bipolar</v>
      </c>
      <c r="CIU92" s="165" t="s">
        <v>945</v>
      </c>
      <c r="CIV92" s="166" t="str">
        <f>VLOOKUP(CIU92,[13]AssetDetails_UEM!$A$3:$AH$1849,6,FALSE)</f>
        <v>Electrosurgical Units, Monopolar/Bipolar</v>
      </c>
      <c r="CIW92" s="165" t="s">
        <v>945</v>
      </c>
      <c r="CIX92" s="166" t="str">
        <f>VLOOKUP(CIW92,[13]AssetDetails_UEM!$A$3:$AH$1849,6,FALSE)</f>
        <v>Electrosurgical Units, Monopolar/Bipolar</v>
      </c>
      <c r="CIY92" s="165" t="s">
        <v>945</v>
      </c>
      <c r="CIZ92" s="166" t="str">
        <f>VLOOKUP(CIY92,[13]AssetDetails_UEM!$A$3:$AH$1849,6,FALSE)</f>
        <v>Electrosurgical Units, Monopolar/Bipolar</v>
      </c>
      <c r="CJA92" s="165" t="s">
        <v>945</v>
      </c>
      <c r="CJB92" s="166" t="str">
        <f>VLOOKUP(CJA92,[13]AssetDetails_UEM!$A$3:$AH$1849,6,FALSE)</f>
        <v>Electrosurgical Units, Monopolar/Bipolar</v>
      </c>
      <c r="CJC92" s="165" t="s">
        <v>945</v>
      </c>
      <c r="CJD92" s="166" t="str">
        <f>VLOOKUP(CJC92,[13]AssetDetails_UEM!$A$3:$AH$1849,6,FALSE)</f>
        <v>Electrosurgical Units, Monopolar/Bipolar</v>
      </c>
      <c r="CJE92" s="165" t="s">
        <v>945</v>
      </c>
      <c r="CJF92" s="166" t="str">
        <f>VLOOKUP(CJE92,[13]AssetDetails_UEM!$A$3:$AH$1849,6,FALSE)</f>
        <v>Electrosurgical Units, Monopolar/Bipolar</v>
      </c>
      <c r="CJG92" s="165" t="s">
        <v>945</v>
      </c>
      <c r="CJH92" s="166" t="str">
        <f>VLOOKUP(CJG92,[13]AssetDetails_UEM!$A$3:$AH$1849,6,FALSE)</f>
        <v>Electrosurgical Units, Monopolar/Bipolar</v>
      </c>
      <c r="CJI92" s="165" t="s">
        <v>945</v>
      </c>
      <c r="CJJ92" s="166" t="str">
        <f>VLOOKUP(CJI92,[13]AssetDetails_UEM!$A$3:$AH$1849,6,FALSE)</f>
        <v>Electrosurgical Units, Monopolar/Bipolar</v>
      </c>
      <c r="CJK92" s="165" t="s">
        <v>945</v>
      </c>
      <c r="CJL92" s="166" t="str">
        <f>VLOOKUP(CJK92,[13]AssetDetails_UEM!$A$3:$AH$1849,6,FALSE)</f>
        <v>Electrosurgical Units, Monopolar/Bipolar</v>
      </c>
      <c r="CJM92" s="165" t="s">
        <v>945</v>
      </c>
      <c r="CJN92" s="166" t="str">
        <f>VLOOKUP(CJM92,[13]AssetDetails_UEM!$A$3:$AH$1849,6,FALSE)</f>
        <v>Electrosurgical Units, Monopolar/Bipolar</v>
      </c>
      <c r="CJO92" s="165" t="s">
        <v>945</v>
      </c>
      <c r="CJP92" s="166" t="str">
        <f>VLOOKUP(CJO92,[13]AssetDetails_UEM!$A$3:$AH$1849,6,FALSE)</f>
        <v>Electrosurgical Units, Monopolar/Bipolar</v>
      </c>
      <c r="CJQ92" s="165" t="s">
        <v>945</v>
      </c>
      <c r="CJR92" s="166" t="str">
        <f>VLOOKUP(CJQ92,[13]AssetDetails_UEM!$A$3:$AH$1849,6,FALSE)</f>
        <v>Electrosurgical Units, Monopolar/Bipolar</v>
      </c>
      <c r="CJS92" s="165" t="s">
        <v>945</v>
      </c>
      <c r="CJT92" s="166" t="str">
        <f>VLOOKUP(CJS92,[13]AssetDetails_UEM!$A$3:$AH$1849,6,FALSE)</f>
        <v>Electrosurgical Units, Monopolar/Bipolar</v>
      </c>
      <c r="CJU92" s="165" t="s">
        <v>945</v>
      </c>
      <c r="CJV92" s="166" t="str">
        <f>VLOOKUP(CJU92,[13]AssetDetails_UEM!$A$3:$AH$1849,6,FALSE)</f>
        <v>Electrosurgical Units, Monopolar/Bipolar</v>
      </c>
      <c r="CJW92" s="165" t="s">
        <v>945</v>
      </c>
      <c r="CJX92" s="166" t="str">
        <f>VLOOKUP(CJW92,[13]AssetDetails_UEM!$A$3:$AH$1849,6,FALSE)</f>
        <v>Electrosurgical Units, Monopolar/Bipolar</v>
      </c>
      <c r="CJY92" s="165" t="s">
        <v>945</v>
      </c>
      <c r="CJZ92" s="166" t="str">
        <f>VLOOKUP(CJY92,[13]AssetDetails_UEM!$A$3:$AH$1849,6,FALSE)</f>
        <v>Electrosurgical Units, Monopolar/Bipolar</v>
      </c>
      <c r="CKA92" s="165" t="s">
        <v>945</v>
      </c>
      <c r="CKB92" s="166" t="str">
        <f>VLOOKUP(CKA92,[13]AssetDetails_UEM!$A$3:$AH$1849,6,FALSE)</f>
        <v>Electrosurgical Units, Monopolar/Bipolar</v>
      </c>
      <c r="CKC92" s="165" t="s">
        <v>945</v>
      </c>
      <c r="CKD92" s="166" t="str">
        <f>VLOOKUP(CKC92,[13]AssetDetails_UEM!$A$3:$AH$1849,6,FALSE)</f>
        <v>Electrosurgical Units, Monopolar/Bipolar</v>
      </c>
      <c r="CKE92" s="165" t="s">
        <v>945</v>
      </c>
      <c r="CKF92" s="166" t="str">
        <f>VLOOKUP(CKE92,[13]AssetDetails_UEM!$A$3:$AH$1849,6,FALSE)</f>
        <v>Electrosurgical Units, Monopolar/Bipolar</v>
      </c>
      <c r="CKG92" s="165" t="s">
        <v>945</v>
      </c>
      <c r="CKH92" s="166" t="str">
        <f>VLOOKUP(CKG92,[13]AssetDetails_UEM!$A$3:$AH$1849,6,FALSE)</f>
        <v>Electrosurgical Units, Monopolar/Bipolar</v>
      </c>
      <c r="CKI92" s="165" t="s">
        <v>945</v>
      </c>
      <c r="CKJ92" s="166" t="str">
        <f>VLOOKUP(CKI92,[13]AssetDetails_UEM!$A$3:$AH$1849,6,FALSE)</f>
        <v>Electrosurgical Units, Monopolar/Bipolar</v>
      </c>
      <c r="CKK92" s="165" t="s">
        <v>945</v>
      </c>
      <c r="CKL92" s="166" t="str">
        <f>VLOOKUP(CKK92,[13]AssetDetails_UEM!$A$3:$AH$1849,6,FALSE)</f>
        <v>Electrosurgical Units, Monopolar/Bipolar</v>
      </c>
      <c r="CKM92" s="165" t="s">
        <v>945</v>
      </c>
      <c r="CKN92" s="166" t="str">
        <f>VLOOKUP(CKM92,[13]AssetDetails_UEM!$A$3:$AH$1849,6,FALSE)</f>
        <v>Electrosurgical Units, Monopolar/Bipolar</v>
      </c>
      <c r="CKO92" s="165" t="s">
        <v>945</v>
      </c>
      <c r="CKP92" s="166" t="str">
        <f>VLOOKUP(CKO92,[13]AssetDetails_UEM!$A$3:$AH$1849,6,FALSE)</f>
        <v>Electrosurgical Units, Monopolar/Bipolar</v>
      </c>
      <c r="CKQ92" s="165" t="s">
        <v>945</v>
      </c>
      <c r="CKR92" s="166" t="str">
        <f>VLOOKUP(CKQ92,[13]AssetDetails_UEM!$A$3:$AH$1849,6,FALSE)</f>
        <v>Electrosurgical Units, Monopolar/Bipolar</v>
      </c>
      <c r="CKS92" s="165" t="s">
        <v>945</v>
      </c>
      <c r="CKT92" s="166" t="str">
        <f>VLOOKUP(CKS92,[13]AssetDetails_UEM!$A$3:$AH$1849,6,FALSE)</f>
        <v>Electrosurgical Units, Monopolar/Bipolar</v>
      </c>
      <c r="CKU92" s="165" t="s">
        <v>945</v>
      </c>
      <c r="CKV92" s="166" t="str">
        <f>VLOOKUP(CKU92,[13]AssetDetails_UEM!$A$3:$AH$1849,6,FALSE)</f>
        <v>Electrosurgical Units, Monopolar/Bipolar</v>
      </c>
      <c r="CKW92" s="165" t="s">
        <v>945</v>
      </c>
      <c r="CKX92" s="166" t="str">
        <f>VLOOKUP(CKW92,[13]AssetDetails_UEM!$A$3:$AH$1849,6,FALSE)</f>
        <v>Electrosurgical Units, Monopolar/Bipolar</v>
      </c>
      <c r="CKY92" s="165" t="s">
        <v>945</v>
      </c>
      <c r="CKZ92" s="166" t="str">
        <f>VLOOKUP(CKY92,[13]AssetDetails_UEM!$A$3:$AH$1849,6,FALSE)</f>
        <v>Electrosurgical Units, Monopolar/Bipolar</v>
      </c>
      <c r="CLA92" s="165" t="s">
        <v>945</v>
      </c>
      <c r="CLB92" s="166" t="str">
        <f>VLOOKUP(CLA92,[13]AssetDetails_UEM!$A$3:$AH$1849,6,FALSE)</f>
        <v>Electrosurgical Units, Monopolar/Bipolar</v>
      </c>
      <c r="CLC92" s="165" t="s">
        <v>945</v>
      </c>
      <c r="CLD92" s="166" t="str">
        <f>VLOOKUP(CLC92,[13]AssetDetails_UEM!$A$3:$AH$1849,6,FALSE)</f>
        <v>Electrosurgical Units, Monopolar/Bipolar</v>
      </c>
      <c r="CLE92" s="165" t="s">
        <v>945</v>
      </c>
      <c r="CLF92" s="166" t="str">
        <f>VLOOKUP(CLE92,[13]AssetDetails_UEM!$A$3:$AH$1849,6,FALSE)</f>
        <v>Electrosurgical Units, Monopolar/Bipolar</v>
      </c>
      <c r="CLG92" s="165" t="s">
        <v>945</v>
      </c>
      <c r="CLH92" s="166" t="str">
        <f>VLOOKUP(CLG92,[13]AssetDetails_UEM!$A$3:$AH$1849,6,FALSE)</f>
        <v>Electrosurgical Units, Monopolar/Bipolar</v>
      </c>
      <c r="CLI92" s="165" t="s">
        <v>945</v>
      </c>
      <c r="CLJ92" s="166" t="str">
        <f>VLOOKUP(CLI92,[13]AssetDetails_UEM!$A$3:$AH$1849,6,FALSE)</f>
        <v>Electrosurgical Units, Monopolar/Bipolar</v>
      </c>
      <c r="CLK92" s="165" t="s">
        <v>945</v>
      </c>
      <c r="CLL92" s="166" t="str">
        <f>VLOOKUP(CLK92,[13]AssetDetails_UEM!$A$3:$AH$1849,6,FALSE)</f>
        <v>Electrosurgical Units, Monopolar/Bipolar</v>
      </c>
      <c r="CLM92" s="165" t="s">
        <v>945</v>
      </c>
      <c r="CLN92" s="166" t="str">
        <f>VLOOKUP(CLM92,[13]AssetDetails_UEM!$A$3:$AH$1849,6,FALSE)</f>
        <v>Electrosurgical Units, Monopolar/Bipolar</v>
      </c>
      <c r="CLO92" s="165" t="s">
        <v>945</v>
      </c>
      <c r="CLP92" s="166" t="str">
        <f>VLOOKUP(CLO92,[13]AssetDetails_UEM!$A$3:$AH$1849,6,FALSE)</f>
        <v>Electrosurgical Units, Monopolar/Bipolar</v>
      </c>
      <c r="CLQ92" s="165" t="s">
        <v>945</v>
      </c>
      <c r="CLR92" s="166" t="str">
        <f>VLOOKUP(CLQ92,[13]AssetDetails_UEM!$A$3:$AH$1849,6,FALSE)</f>
        <v>Electrosurgical Units, Monopolar/Bipolar</v>
      </c>
      <c r="CLS92" s="165" t="s">
        <v>945</v>
      </c>
      <c r="CLT92" s="166" t="str">
        <f>VLOOKUP(CLS92,[13]AssetDetails_UEM!$A$3:$AH$1849,6,FALSE)</f>
        <v>Electrosurgical Units, Monopolar/Bipolar</v>
      </c>
      <c r="CLU92" s="165" t="s">
        <v>945</v>
      </c>
      <c r="CLV92" s="166" t="str">
        <f>VLOOKUP(CLU92,[13]AssetDetails_UEM!$A$3:$AH$1849,6,FALSE)</f>
        <v>Electrosurgical Units, Monopolar/Bipolar</v>
      </c>
      <c r="CLW92" s="165" t="s">
        <v>945</v>
      </c>
      <c r="CLX92" s="166" t="str">
        <f>VLOOKUP(CLW92,[13]AssetDetails_UEM!$A$3:$AH$1849,6,FALSE)</f>
        <v>Electrosurgical Units, Monopolar/Bipolar</v>
      </c>
      <c r="CLY92" s="165" t="s">
        <v>945</v>
      </c>
      <c r="CLZ92" s="166" t="str">
        <f>VLOOKUP(CLY92,[13]AssetDetails_UEM!$A$3:$AH$1849,6,FALSE)</f>
        <v>Electrosurgical Units, Monopolar/Bipolar</v>
      </c>
      <c r="CMA92" s="165" t="s">
        <v>945</v>
      </c>
      <c r="CMB92" s="166" t="str">
        <f>VLOOKUP(CMA92,[13]AssetDetails_UEM!$A$3:$AH$1849,6,FALSE)</f>
        <v>Electrosurgical Units, Monopolar/Bipolar</v>
      </c>
      <c r="CMC92" s="165" t="s">
        <v>945</v>
      </c>
      <c r="CMD92" s="166" t="str">
        <f>VLOOKUP(CMC92,[13]AssetDetails_UEM!$A$3:$AH$1849,6,FALSE)</f>
        <v>Electrosurgical Units, Monopolar/Bipolar</v>
      </c>
      <c r="CME92" s="165" t="s">
        <v>945</v>
      </c>
      <c r="CMF92" s="166" t="str">
        <f>VLOOKUP(CME92,[13]AssetDetails_UEM!$A$3:$AH$1849,6,FALSE)</f>
        <v>Electrosurgical Units, Monopolar/Bipolar</v>
      </c>
      <c r="CMG92" s="165" t="s">
        <v>945</v>
      </c>
      <c r="CMH92" s="166" t="str">
        <f>VLOOKUP(CMG92,[13]AssetDetails_UEM!$A$3:$AH$1849,6,FALSE)</f>
        <v>Electrosurgical Units, Monopolar/Bipolar</v>
      </c>
      <c r="CMI92" s="165" t="s">
        <v>945</v>
      </c>
      <c r="CMJ92" s="166" t="str">
        <f>VLOOKUP(CMI92,[13]AssetDetails_UEM!$A$3:$AH$1849,6,FALSE)</f>
        <v>Electrosurgical Units, Monopolar/Bipolar</v>
      </c>
      <c r="CMK92" s="165" t="s">
        <v>945</v>
      </c>
      <c r="CML92" s="166" t="str">
        <f>VLOOKUP(CMK92,[13]AssetDetails_UEM!$A$3:$AH$1849,6,FALSE)</f>
        <v>Electrosurgical Units, Monopolar/Bipolar</v>
      </c>
      <c r="CMM92" s="165" t="s">
        <v>945</v>
      </c>
      <c r="CMN92" s="166" t="str">
        <f>VLOOKUP(CMM92,[13]AssetDetails_UEM!$A$3:$AH$1849,6,FALSE)</f>
        <v>Electrosurgical Units, Monopolar/Bipolar</v>
      </c>
      <c r="CMO92" s="165" t="s">
        <v>945</v>
      </c>
      <c r="CMP92" s="166" t="str">
        <f>VLOOKUP(CMO92,[13]AssetDetails_UEM!$A$3:$AH$1849,6,FALSE)</f>
        <v>Electrosurgical Units, Monopolar/Bipolar</v>
      </c>
      <c r="CMQ92" s="165" t="s">
        <v>945</v>
      </c>
      <c r="CMR92" s="166" t="str">
        <f>VLOOKUP(CMQ92,[13]AssetDetails_UEM!$A$3:$AH$1849,6,FALSE)</f>
        <v>Electrosurgical Units, Monopolar/Bipolar</v>
      </c>
      <c r="CMS92" s="165" t="s">
        <v>945</v>
      </c>
      <c r="CMT92" s="166" t="str">
        <f>VLOOKUP(CMS92,[13]AssetDetails_UEM!$A$3:$AH$1849,6,FALSE)</f>
        <v>Electrosurgical Units, Monopolar/Bipolar</v>
      </c>
      <c r="CMU92" s="165" t="s">
        <v>945</v>
      </c>
      <c r="CMV92" s="166" t="str">
        <f>VLOOKUP(CMU92,[13]AssetDetails_UEM!$A$3:$AH$1849,6,FALSE)</f>
        <v>Electrosurgical Units, Monopolar/Bipolar</v>
      </c>
      <c r="CMW92" s="165" t="s">
        <v>945</v>
      </c>
      <c r="CMX92" s="166" t="str">
        <f>VLOOKUP(CMW92,[13]AssetDetails_UEM!$A$3:$AH$1849,6,FALSE)</f>
        <v>Electrosurgical Units, Monopolar/Bipolar</v>
      </c>
      <c r="CMY92" s="165" t="s">
        <v>945</v>
      </c>
      <c r="CMZ92" s="166" t="str">
        <f>VLOOKUP(CMY92,[13]AssetDetails_UEM!$A$3:$AH$1849,6,FALSE)</f>
        <v>Electrosurgical Units, Monopolar/Bipolar</v>
      </c>
      <c r="CNA92" s="165" t="s">
        <v>945</v>
      </c>
      <c r="CNB92" s="166" t="str">
        <f>VLOOKUP(CNA92,[13]AssetDetails_UEM!$A$3:$AH$1849,6,FALSE)</f>
        <v>Electrosurgical Units, Monopolar/Bipolar</v>
      </c>
      <c r="CNC92" s="165" t="s">
        <v>945</v>
      </c>
      <c r="CND92" s="166" t="str">
        <f>VLOOKUP(CNC92,[13]AssetDetails_UEM!$A$3:$AH$1849,6,FALSE)</f>
        <v>Electrosurgical Units, Monopolar/Bipolar</v>
      </c>
      <c r="CNE92" s="165" t="s">
        <v>945</v>
      </c>
      <c r="CNF92" s="166" t="str">
        <f>VLOOKUP(CNE92,[13]AssetDetails_UEM!$A$3:$AH$1849,6,FALSE)</f>
        <v>Electrosurgical Units, Monopolar/Bipolar</v>
      </c>
      <c r="CNG92" s="165" t="s">
        <v>945</v>
      </c>
      <c r="CNH92" s="166" t="str">
        <f>VLOOKUP(CNG92,[13]AssetDetails_UEM!$A$3:$AH$1849,6,FALSE)</f>
        <v>Electrosurgical Units, Monopolar/Bipolar</v>
      </c>
      <c r="CNI92" s="165" t="s">
        <v>945</v>
      </c>
      <c r="CNJ92" s="166" t="str">
        <f>VLOOKUP(CNI92,[13]AssetDetails_UEM!$A$3:$AH$1849,6,FALSE)</f>
        <v>Electrosurgical Units, Monopolar/Bipolar</v>
      </c>
      <c r="CNK92" s="165" t="s">
        <v>945</v>
      </c>
      <c r="CNL92" s="166" t="str">
        <f>VLOOKUP(CNK92,[13]AssetDetails_UEM!$A$3:$AH$1849,6,FALSE)</f>
        <v>Electrosurgical Units, Monopolar/Bipolar</v>
      </c>
      <c r="CNM92" s="165" t="s">
        <v>945</v>
      </c>
      <c r="CNN92" s="166" t="str">
        <f>VLOOKUP(CNM92,[13]AssetDetails_UEM!$A$3:$AH$1849,6,FALSE)</f>
        <v>Electrosurgical Units, Monopolar/Bipolar</v>
      </c>
      <c r="CNO92" s="165" t="s">
        <v>945</v>
      </c>
      <c r="CNP92" s="166" t="str">
        <f>VLOOKUP(CNO92,[13]AssetDetails_UEM!$A$3:$AH$1849,6,FALSE)</f>
        <v>Electrosurgical Units, Monopolar/Bipolar</v>
      </c>
      <c r="CNQ92" s="165" t="s">
        <v>945</v>
      </c>
      <c r="CNR92" s="166" t="str">
        <f>VLOOKUP(CNQ92,[13]AssetDetails_UEM!$A$3:$AH$1849,6,FALSE)</f>
        <v>Electrosurgical Units, Monopolar/Bipolar</v>
      </c>
      <c r="CNS92" s="165" t="s">
        <v>945</v>
      </c>
      <c r="CNT92" s="166" t="str">
        <f>VLOOKUP(CNS92,[13]AssetDetails_UEM!$A$3:$AH$1849,6,FALSE)</f>
        <v>Electrosurgical Units, Monopolar/Bipolar</v>
      </c>
      <c r="CNU92" s="165" t="s">
        <v>945</v>
      </c>
      <c r="CNV92" s="166" t="str">
        <f>VLOOKUP(CNU92,[13]AssetDetails_UEM!$A$3:$AH$1849,6,FALSE)</f>
        <v>Electrosurgical Units, Monopolar/Bipolar</v>
      </c>
      <c r="CNW92" s="165" t="s">
        <v>945</v>
      </c>
      <c r="CNX92" s="166" t="str">
        <f>VLOOKUP(CNW92,[13]AssetDetails_UEM!$A$3:$AH$1849,6,FALSE)</f>
        <v>Electrosurgical Units, Monopolar/Bipolar</v>
      </c>
      <c r="CNY92" s="165" t="s">
        <v>945</v>
      </c>
      <c r="CNZ92" s="166" t="str">
        <f>VLOOKUP(CNY92,[13]AssetDetails_UEM!$A$3:$AH$1849,6,FALSE)</f>
        <v>Electrosurgical Units, Monopolar/Bipolar</v>
      </c>
      <c r="COA92" s="165" t="s">
        <v>945</v>
      </c>
      <c r="COB92" s="166" t="str">
        <f>VLOOKUP(COA92,[13]AssetDetails_UEM!$A$3:$AH$1849,6,FALSE)</f>
        <v>Electrosurgical Units, Monopolar/Bipolar</v>
      </c>
      <c r="COC92" s="165" t="s">
        <v>945</v>
      </c>
      <c r="COD92" s="166" t="str">
        <f>VLOOKUP(COC92,[13]AssetDetails_UEM!$A$3:$AH$1849,6,FALSE)</f>
        <v>Electrosurgical Units, Monopolar/Bipolar</v>
      </c>
      <c r="COE92" s="165" t="s">
        <v>945</v>
      </c>
      <c r="COF92" s="166" t="str">
        <f>VLOOKUP(COE92,[13]AssetDetails_UEM!$A$3:$AH$1849,6,FALSE)</f>
        <v>Electrosurgical Units, Monopolar/Bipolar</v>
      </c>
      <c r="COG92" s="165" t="s">
        <v>945</v>
      </c>
      <c r="COH92" s="166" t="str">
        <f>VLOOKUP(COG92,[13]AssetDetails_UEM!$A$3:$AH$1849,6,FALSE)</f>
        <v>Electrosurgical Units, Monopolar/Bipolar</v>
      </c>
      <c r="COI92" s="165" t="s">
        <v>945</v>
      </c>
      <c r="COJ92" s="166" t="str">
        <f>VLOOKUP(COI92,[13]AssetDetails_UEM!$A$3:$AH$1849,6,FALSE)</f>
        <v>Electrosurgical Units, Monopolar/Bipolar</v>
      </c>
      <c r="COK92" s="165" t="s">
        <v>945</v>
      </c>
      <c r="COL92" s="166" t="str">
        <f>VLOOKUP(COK92,[13]AssetDetails_UEM!$A$3:$AH$1849,6,FALSE)</f>
        <v>Electrosurgical Units, Monopolar/Bipolar</v>
      </c>
      <c r="COM92" s="165" t="s">
        <v>945</v>
      </c>
      <c r="CON92" s="166" t="str">
        <f>VLOOKUP(COM92,[13]AssetDetails_UEM!$A$3:$AH$1849,6,FALSE)</f>
        <v>Electrosurgical Units, Monopolar/Bipolar</v>
      </c>
      <c r="COO92" s="165" t="s">
        <v>945</v>
      </c>
      <c r="COP92" s="166" t="str">
        <f>VLOOKUP(COO92,[13]AssetDetails_UEM!$A$3:$AH$1849,6,FALSE)</f>
        <v>Electrosurgical Units, Monopolar/Bipolar</v>
      </c>
      <c r="COQ92" s="165" t="s">
        <v>945</v>
      </c>
      <c r="COR92" s="166" t="str">
        <f>VLOOKUP(COQ92,[13]AssetDetails_UEM!$A$3:$AH$1849,6,FALSE)</f>
        <v>Electrosurgical Units, Monopolar/Bipolar</v>
      </c>
      <c r="COS92" s="165" t="s">
        <v>945</v>
      </c>
      <c r="COT92" s="166" t="str">
        <f>VLOOKUP(COS92,[13]AssetDetails_UEM!$A$3:$AH$1849,6,FALSE)</f>
        <v>Electrosurgical Units, Monopolar/Bipolar</v>
      </c>
      <c r="COU92" s="165" t="s">
        <v>945</v>
      </c>
      <c r="COV92" s="166" t="str">
        <f>VLOOKUP(COU92,[13]AssetDetails_UEM!$A$3:$AH$1849,6,FALSE)</f>
        <v>Electrosurgical Units, Monopolar/Bipolar</v>
      </c>
      <c r="COW92" s="165" t="s">
        <v>945</v>
      </c>
      <c r="COX92" s="166" t="str">
        <f>VLOOKUP(COW92,[13]AssetDetails_UEM!$A$3:$AH$1849,6,FALSE)</f>
        <v>Electrosurgical Units, Monopolar/Bipolar</v>
      </c>
      <c r="COY92" s="165" t="s">
        <v>945</v>
      </c>
      <c r="COZ92" s="166" t="str">
        <f>VLOOKUP(COY92,[13]AssetDetails_UEM!$A$3:$AH$1849,6,FALSE)</f>
        <v>Electrosurgical Units, Monopolar/Bipolar</v>
      </c>
      <c r="CPA92" s="165" t="s">
        <v>945</v>
      </c>
      <c r="CPB92" s="166" t="str">
        <f>VLOOKUP(CPA92,[13]AssetDetails_UEM!$A$3:$AH$1849,6,FALSE)</f>
        <v>Electrosurgical Units, Monopolar/Bipolar</v>
      </c>
      <c r="CPC92" s="165" t="s">
        <v>945</v>
      </c>
      <c r="CPD92" s="166" t="str">
        <f>VLOOKUP(CPC92,[13]AssetDetails_UEM!$A$3:$AH$1849,6,FALSE)</f>
        <v>Electrosurgical Units, Monopolar/Bipolar</v>
      </c>
      <c r="CPE92" s="165" t="s">
        <v>945</v>
      </c>
      <c r="CPF92" s="166" t="str">
        <f>VLOOKUP(CPE92,[13]AssetDetails_UEM!$A$3:$AH$1849,6,FALSE)</f>
        <v>Electrosurgical Units, Monopolar/Bipolar</v>
      </c>
      <c r="CPG92" s="165" t="s">
        <v>945</v>
      </c>
      <c r="CPH92" s="166" t="str">
        <f>VLOOKUP(CPG92,[13]AssetDetails_UEM!$A$3:$AH$1849,6,FALSE)</f>
        <v>Electrosurgical Units, Monopolar/Bipolar</v>
      </c>
      <c r="CPI92" s="165" t="s">
        <v>945</v>
      </c>
      <c r="CPJ92" s="166" t="str">
        <f>VLOOKUP(CPI92,[13]AssetDetails_UEM!$A$3:$AH$1849,6,FALSE)</f>
        <v>Electrosurgical Units, Monopolar/Bipolar</v>
      </c>
      <c r="CPK92" s="165" t="s">
        <v>945</v>
      </c>
      <c r="CPL92" s="166" t="str">
        <f>VLOOKUP(CPK92,[13]AssetDetails_UEM!$A$3:$AH$1849,6,FALSE)</f>
        <v>Electrosurgical Units, Monopolar/Bipolar</v>
      </c>
      <c r="CPM92" s="165" t="s">
        <v>945</v>
      </c>
      <c r="CPN92" s="166" t="str">
        <f>VLOOKUP(CPM92,[13]AssetDetails_UEM!$A$3:$AH$1849,6,FALSE)</f>
        <v>Electrosurgical Units, Monopolar/Bipolar</v>
      </c>
      <c r="CPO92" s="165" t="s">
        <v>945</v>
      </c>
      <c r="CPP92" s="166" t="str">
        <f>VLOOKUP(CPO92,[13]AssetDetails_UEM!$A$3:$AH$1849,6,FALSE)</f>
        <v>Electrosurgical Units, Monopolar/Bipolar</v>
      </c>
      <c r="CPQ92" s="165" t="s">
        <v>945</v>
      </c>
      <c r="CPR92" s="166" t="str">
        <f>VLOOKUP(CPQ92,[13]AssetDetails_UEM!$A$3:$AH$1849,6,FALSE)</f>
        <v>Electrosurgical Units, Monopolar/Bipolar</v>
      </c>
      <c r="CPS92" s="165" t="s">
        <v>945</v>
      </c>
      <c r="CPT92" s="166" t="str">
        <f>VLOOKUP(CPS92,[13]AssetDetails_UEM!$A$3:$AH$1849,6,FALSE)</f>
        <v>Electrosurgical Units, Monopolar/Bipolar</v>
      </c>
      <c r="CPU92" s="165" t="s">
        <v>945</v>
      </c>
      <c r="CPV92" s="166" t="str">
        <f>VLOOKUP(CPU92,[13]AssetDetails_UEM!$A$3:$AH$1849,6,FALSE)</f>
        <v>Electrosurgical Units, Monopolar/Bipolar</v>
      </c>
      <c r="CPW92" s="165" t="s">
        <v>945</v>
      </c>
      <c r="CPX92" s="166" t="str">
        <f>VLOOKUP(CPW92,[13]AssetDetails_UEM!$A$3:$AH$1849,6,FALSE)</f>
        <v>Electrosurgical Units, Monopolar/Bipolar</v>
      </c>
      <c r="CPY92" s="165" t="s">
        <v>945</v>
      </c>
      <c r="CPZ92" s="166" t="str">
        <f>VLOOKUP(CPY92,[13]AssetDetails_UEM!$A$3:$AH$1849,6,FALSE)</f>
        <v>Electrosurgical Units, Monopolar/Bipolar</v>
      </c>
      <c r="CQA92" s="165" t="s">
        <v>945</v>
      </c>
      <c r="CQB92" s="166" t="str">
        <f>VLOOKUP(CQA92,[13]AssetDetails_UEM!$A$3:$AH$1849,6,FALSE)</f>
        <v>Electrosurgical Units, Monopolar/Bipolar</v>
      </c>
      <c r="CQC92" s="165" t="s">
        <v>945</v>
      </c>
      <c r="CQD92" s="166" t="str">
        <f>VLOOKUP(CQC92,[13]AssetDetails_UEM!$A$3:$AH$1849,6,FALSE)</f>
        <v>Electrosurgical Units, Monopolar/Bipolar</v>
      </c>
      <c r="CQE92" s="165" t="s">
        <v>945</v>
      </c>
      <c r="CQF92" s="166" t="str">
        <f>VLOOKUP(CQE92,[13]AssetDetails_UEM!$A$3:$AH$1849,6,FALSE)</f>
        <v>Electrosurgical Units, Monopolar/Bipolar</v>
      </c>
      <c r="CQG92" s="165" t="s">
        <v>945</v>
      </c>
      <c r="CQH92" s="166" t="str">
        <f>VLOOKUP(CQG92,[13]AssetDetails_UEM!$A$3:$AH$1849,6,FALSE)</f>
        <v>Electrosurgical Units, Monopolar/Bipolar</v>
      </c>
      <c r="CQI92" s="165" t="s">
        <v>945</v>
      </c>
      <c r="CQJ92" s="166" t="str">
        <f>VLOOKUP(CQI92,[13]AssetDetails_UEM!$A$3:$AH$1849,6,FALSE)</f>
        <v>Electrosurgical Units, Monopolar/Bipolar</v>
      </c>
      <c r="CQK92" s="165" t="s">
        <v>945</v>
      </c>
      <c r="CQL92" s="166" t="str">
        <f>VLOOKUP(CQK92,[13]AssetDetails_UEM!$A$3:$AH$1849,6,FALSE)</f>
        <v>Electrosurgical Units, Monopolar/Bipolar</v>
      </c>
      <c r="CQM92" s="165" t="s">
        <v>945</v>
      </c>
      <c r="CQN92" s="166" t="str">
        <f>VLOOKUP(CQM92,[13]AssetDetails_UEM!$A$3:$AH$1849,6,FALSE)</f>
        <v>Electrosurgical Units, Monopolar/Bipolar</v>
      </c>
      <c r="CQO92" s="165" t="s">
        <v>945</v>
      </c>
      <c r="CQP92" s="166" t="str">
        <f>VLOOKUP(CQO92,[13]AssetDetails_UEM!$A$3:$AH$1849,6,FALSE)</f>
        <v>Electrosurgical Units, Monopolar/Bipolar</v>
      </c>
      <c r="CQQ92" s="165" t="s">
        <v>945</v>
      </c>
      <c r="CQR92" s="166" t="str">
        <f>VLOOKUP(CQQ92,[13]AssetDetails_UEM!$A$3:$AH$1849,6,FALSE)</f>
        <v>Electrosurgical Units, Monopolar/Bipolar</v>
      </c>
      <c r="CQS92" s="165" t="s">
        <v>945</v>
      </c>
      <c r="CQT92" s="166" t="str">
        <f>VLOOKUP(CQS92,[13]AssetDetails_UEM!$A$3:$AH$1849,6,FALSE)</f>
        <v>Electrosurgical Units, Monopolar/Bipolar</v>
      </c>
      <c r="CQU92" s="165" t="s">
        <v>945</v>
      </c>
      <c r="CQV92" s="166" t="str">
        <f>VLOOKUP(CQU92,[13]AssetDetails_UEM!$A$3:$AH$1849,6,FALSE)</f>
        <v>Electrosurgical Units, Monopolar/Bipolar</v>
      </c>
      <c r="CQW92" s="165" t="s">
        <v>945</v>
      </c>
      <c r="CQX92" s="166" t="str">
        <f>VLOOKUP(CQW92,[13]AssetDetails_UEM!$A$3:$AH$1849,6,FALSE)</f>
        <v>Electrosurgical Units, Monopolar/Bipolar</v>
      </c>
      <c r="CQY92" s="165" t="s">
        <v>945</v>
      </c>
      <c r="CQZ92" s="166" t="str">
        <f>VLOOKUP(CQY92,[13]AssetDetails_UEM!$A$3:$AH$1849,6,FALSE)</f>
        <v>Electrosurgical Units, Monopolar/Bipolar</v>
      </c>
      <c r="CRA92" s="165" t="s">
        <v>945</v>
      </c>
      <c r="CRB92" s="166" t="str">
        <f>VLOOKUP(CRA92,[13]AssetDetails_UEM!$A$3:$AH$1849,6,FALSE)</f>
        <v>Electrosurgical Units, Monopolar/Bipolar</v>
      </c>
      <c r="CRC92" s="165" t="s">
        <v>945</v>
      </c>
      <c r="CRD92" s="166" t="str">
        <f>VLOOKUP(CRC92,[13]AssetDetails_UEM!$A$3:$AH$1849,6,FALSE)</f>
        <v>Electrosurgical Units, Monopolar/Bipolar</v>
      </c>
      <c r="CRE92" s="165" t="s">
        <v>945</v>
      </c>
      <c r="CRF92" s="166" t="str">
        <f>VLOOKUP(CRE92,[13]AssetDetails_UEM!$A$3:$AH$1849,6,FALSE)</f>
        <v>Electrosurgical Units, Monopolar/Bipolar</v>
      </c>
      <c r="CRG92" s="165" t="s">
        <v>945</v>
      </c>
      <c r="CRH92" s="166" t="str">
        <f>VLOOKUP(CRG92,[13]AssetDetails_UEM!$A$3:$AH$1849,6,FALSE)</f>
        <v>Electrosurgical Units, Monopolar/Bipolar</v>
      </c>
      <c r="CRI92" s="165" t="s">
        <v>945</v>
      </c>
      <c r="CRJ92" s="166" t="str">
        <f>VLOOKUP(CRI92,[13]AssetDetails_UEM!$A$3:$AH$1849,6,FALSE)</f>
        <v>Electrosurgical Units, Monopolar/Bipolar</v>
      </c>
      <c r="CRK92" s="165" t="s">
        <v>945</v>
      </c>
      <c r="CRL92" s="166" t="str">
        <f>VLOOKUP(CRK92,[13]AssetDetails_UEM!$A$3:$AH$1849,6,FALSE)</f>
        <v>Electrosurgical Units, Monopolar/Bipolar</v>
      </c>
      <c r="CRM92" s="165" t="s">
        <v>945</v>
      </c>
      <c r="CRN92" s="166" t="str">
        <f>VLOOKUP(CRM92,[13]AssetDetails_UEM!$A$3:$AH$1849,6,FALSE)</f>
        <v>Electrosurgical Units, Monopolar/Bipolar</v>
      </c>
      <c r="CRO92" s="165" t="s">
        <v>945</v>
      </c>
      <c r="CRP92" s="166" t="str">
        <f>VLOOKUP(CRO92,[13]AssetDetails_UEM!$A$3:$AH$1849,6,FALSE)</f>
        <v>Electrosurgical Units, Monopolar/Bipolar</v>
      </c>
      <c r="CRQ92" s="165" t="s">
        <v>945</v>
      </c>
      <c r="CRR92" s="166" t="str">
        <f>VLOOKUP(CRQ92,[13]AssetDetails_UEM!$A$3:$AH$1849,6,FALSE)</f>
        <v>Electrosurgical Units, Monopolar/Bipolar</v>
      </c>
      <c r="CRS92" s="165" t="s">
        <v>945</v>
      </c>
      <c r="CRT92" s="166" t="str">
        <f>VLOOKUP(CRS92,[13]AssetDetails_UEM!$A$3:$AH$1849,6,FALSE)</f>
        <v>Electrosurgical Units, Monopolar/Bipolar</v>
      </c>
      <c r="CRU92" s="165" t="s">
        <v>945</v>
      </c>
      <c r="CRV92" s="166" t="str">
        <f>VLOOKUP(CRU92,[13]AssetDetails_UEM!$A$3:$AH$1849,6,FALSE)</f>
        <v>Electrosurgical Units, Monopolar/Bipolar</v>
      </c>
      <c r="CRW92" s="165" t="s">
        <v>945</v>
      </c>
      <c r="CRX92" s="166" t="str">
        <f>VLOOKUP(CRW92,[13]AssetDetails_UEM!$A$3:$AH$1849,6,FALSE)</f>
        <v>Electrosurgical Units, Monopolar/Bipolar</v>
      </c>
      <c r="CRY92" s="165" t="s">
        <v>945</v>
      </c>
      <c r="CRZ92" s="166" t="str">
        <f>VLOOKUP(CRY92,[13]AssetDetails_UEM!$A$3:$AH$1849,6,FALSE)</f>
        <v>Electrosurgical Units, Monopolar/Bipolar</v>
      </c>
      <c r="CSA92" s="165" t="s">
        <v>945</v>
      </c>
      <c r="CSB92" s="166" t="str">
        <f>VLOOKUP(CSA92,[13]AssetDetails_UEM!$A$3:$AH$1849,6,FALSE)</f>
        <v>Electrosurgical Units, Monopolar/Bipolar</v>
      </c>
      <c r="CSC92" s="165" t="s">
        <v>945</v>
      </c>
      <c r="CSD92" s="166" t="str">
        <f>VLOOKUP(CSC92,[13]AssetDetails_UEM!$A$3:$AH$1849,6,FALSE)</f>
        <v>Electrosurgical Units, Monopolar/Bipolar</v>
      </c>
      <c r="CSE92" s="165" t="s">
        <v>945</v>
      </c>
      <c r="CSF92" s="166" t="str">
        <f>VLOOKUP(CSE92,[13]AssetDetails_UEM!$A$3:$AH$1849,6,FALSE)</f>
        <v>Electrosurgical Units, Monopolar/Bipolar</v>
      </c>
      <c r="CSG92" s="165" t="s">
        <v>945</v>
      </c>
      <c r="CSH92" s="166" t="str">
        <f>VLOOKUP(CSG92,[13]AssetDetails_UEM!$A$3:$AH$1849,6,FALSE)</f>
        <v>Electrosurgical Units, Monopolar/Bipolar</v>
      </c>
      <c r="CSI92" s="165" t="s">
        <v>945</v>
      </c>
      <c r="CSJ92" s="166" t="str">
        <f>VLOOKUP(CSI92,[13]AssetDetails_UEM!$A$3:$AH$1849,6,FALSE)</f>
        <v>Electrosurgical Units, Monopolar/Bipolar</v>
      </c>
      <c r="CSK92" s="165" t="s">
        <v>945</v>
      </c>
      <c r="CSL92" s="166" t="str">
        <f>VLOOKUP(CSK92,[13]AssetDetails_UEM!$A$3:$AH$1849,6,FALSE)</f>
        <v>Electrosurgical Units, Monopolar/Bipolar</v>
      </c>
      <c r="CSM92" s="165" t="s">
        <v>945</v>
      </c>
      <c r="CSN92" s="166" t="str">
        <f>VLOOKUP(CSM92,[13]AssetDetails_UEM!$A$3:$AH$1849,6,FALSE)</f>
        <v>Electrosurgical Units, Monopolar/Bipolar</v>
      </c>
      <c r="CSO92" s="165" t="s">
        <v>945</v>
      </c>
      <c r="CSP92" s="166" t="str">
        <f>VLOOKUP(CSO92,[13]AssetDetails_UEM!$A$3:$AH$1849,6,FALSE)</f>
        <v>Electrosurgical Units, Monopolar/Bipolar</v>
      </c>
      <c r="CSQ92" s="165" t="s">
        <v>945</v>
      </c>
      <c r="CSR92" s="166" t="str">
        <f>VLOOKUP(CSQ92,[13]AssetDetails_UEM!$A$3:$AH$1849,6,FALSE)</f>
        <v>Electrosurgical Units, Monopolar/Bipolar</v>
      </c>
      <c r="CSS92" s="165" t="s">
        <v>945</v>
      </c>
      <c r="CST92" s="166" t="str">
        <f>VLOOKUP(CSS92,[13]AssetDetails_UEM!$A$3:$AH$1849,6,FALSE)</f>
        <v>Electrosurgical Units, Monopolar/Bipolar</v>
      </c>
      <c r="CSU92" s="165" t="s">
        <v>945</v>
      </c>
      <c r="CSV92" s="166" t="str">
        <f>VLOOKUP(CSU92,[13]AssetDetails_UEM!$A$3:$AH$1849,6,FALSE)</f>
        <v>Electrosurgical Units, Monopolar/Bipolar</v>
      </c>
      <c r="CSW92" s="165" t="s">
        <v>945</v>
      </c>
      <c r="CSX92" s="166" t="str">
        <f>VLOOKUP(CSW92,[13]AssetDetails_UEM!$A$3:$AH$1849,6,FALSE)</f>
        <v>Electrosurgical Units, Monopolar/Bipolar</v>
      </c>
      <c r="CSY92" s="165" t="s">
        <v>945</v>
      </c>
      <c r="CSZ92" s="166" t="str">
        <f>VLOOKUP(CSY92,[13]AssetDetails_UEM!$A$3:$AH$1849,6,FALSE)</f>
        <v>Electrosurgical Units, Monopolar/Bipolar</v>
      </c>
      <c r="CTA92" s="165" t="s">
        <v>945</v>
      </c>
      <c r="CTB92" s="166" t="str">
        <f>VLOOKUP(CTA92,[13]AssetDetails_UEM!$A$3:$AH$1849,6,FALSE)</f>
        <v>Electrosurgical Units, Monopolar/Bipolar</v>
      </c>
      <c r="CTC92" s="165" t="s">
        <v>945</v>
      </c>
      <c r="CTD92" s="166" t="str">
        <f>VLOOKUP(CTC92,[13]AssetDetails_UEM!$A$3:$AH$1849,6,FALSE)</f>
        <v>Electrosurgical Units, Monopolar/Bipolar</v>
      </c>
      <c r="CTE92" s="165" t="s">
        <v>945</v>
      </c>
      <c r="CTF92" s="166" t="str">
        <f>VLOOKUP(CTE92,[13]AssetDetails_UEM!$A$3:$AH$1849,6,FALSE)</f>
        <v>Electrosurgical Units, Monopolar/Bipolar</v>
      </c>
      <c r="CTG92" s="165" t="s">
        <v>945</v>
      </c>
      <c r="CTH92" s="166" t="str">
        <f>VLOOKUP(CTG92,[13]AssetDetails_UEM!$A$3:$AH$1849,6,FALSE)</f>
        <v>Electrosurgical Units, Monopolar/Bipolar</v>
      </c>
      <c r="CTI92" s="165" t="s">
        <v>945</v>
      </c>
      <c r="CTJ92" s="166" t="str">
        <f>VLOOKUP(CTI92,[13]AssetDetails_UEM!$A$3:$AH$1849,6,FALSE)</f>
        <v>Electrosurgical Units, Monopolar/Bipolar</v>
      </c>
      <c r="CTK92" s="165" t="s">
        <v>945</v>
      </c>
      <c r="CTL92" s="166" t="str">
        <f>VLOOKUP(CTK92,[13]AssetDetails_UEM!$A$3:$AH$1849,6,FALSE)</f>
        <v>Electrosurgical Units, Monopolar/Bipolar</v>
      </c>
      <c r="CTM92" s="165" t="s">
        <v>945</v>
      </c>
      <c r="CTN92" s="166" t="str">
        <f>VLOOKUP(CTM92,[13]AssetDetails_UEM!$A$3:$AH$1849,6,FALSE)</f>
        <v>Electrosurgical Units, Monopolar/Bipolar</v>
      </c>
      <c r="CTO92" s="165" t="s">
        <v>945</v>
      </c>
      <c r="CTP92" s="166" t="str">
        <f>VLOOKUP(CTO92,[13]AssetDetails_UEM!$A$3:$AH$1849,6,FALSE)</f>
        <v>Electrosurgical Units, Monopolar/Bipolar</v>
      </c>
      <c r="CTQ92" s="165" t="s">
        <v>945</v>
      </c>
      <c r="CTR92" s="166" t="str">
        <f>VLOOKUP(CTQ92,[13]AssetDetails_UEM!$A$3:$AH$1849,6,FALSE)</f>
        <v>Electrosurgical Units, Monopolar/Bipolar</v>
      </c>
      <c r="CTS92" s="165" t="s">
        <v>945</v>
      </c>
      <c r="CTT92" s="166" t="str">
        <f>VLOOKUP(CTS92,[13]AssetDetails_UEM!$A$3:$AH$1849,6,FALSE)</f>
        <v>Electrosurgical Units, Monopolar/Bipolar</v>
      </c>
      <c r="CTU92" s="165" t="s">
        <v>945</v>
      </c>
      <c r="CTV92" s="166" t="str">
        <f>VLOOKUP(CTU92,[13]AssetDetails_UEM!$A$3:$AH$1849,6,FALSE)</f>
        <v>Electrosurgical Units, Monopolar/Bipolar</v>
      </c>
      <c r="CTW92" s="165" t="s">
        <v>945</v>
      </c>
      <c r="CTX92" s="166" t="str">
        <f>VLOOKUP(CTW92,[13]AssetDetails_UEM!$A$3:$AH$1849,6,FALSE)</f>
        <v>Electrosurgical Units, Monopolar/Bipolar</v>
      </c>
      <c r="CTY92" s="165" t="s">
        <v>945</v>
      </c>
      <c r="CTZ92" s="166" t="str">
        <f>VLOOKUP(CTY92,[13]AssetDetails_UEM!$A$3:$AH$1849,6,FALSE)</f>
        <v>Electrosurgical Units, Monopolar/Bipolar</v>
      </c>
      <c r="CUA92" s="165" t="s">
        <v>945</v>
      </c>
      <c r="CUB92" s="166" t="str">
        <f>VLOOKUP(CUA92,[13]AssetDetails_UEM!$A$3:$AH$1849,6,FALSE)</f>
        <v>Electrosurgical Units, Monopolar/Bipolar</v>
      </c>
      <c r="CUC92" s="165" t="s">
        <v>945</v>
      </c>
      <c r="CUD92" s="166" t="str">
        <f>VLOOKUP(CUC92,[13]AssetDetails_UEM!$A$3:$AH$1849,6,FALSE)</f>
        <v>Electrosurgical Units, Monopolar/Bipolar</v>
      </c>
      <c r="CUE92" s="165" t="s">
        <v>945</v>
      </c>
      <c r="CUF92" s="166" t="str">
        <f>VLOOKUP(CUE92,[13]AssetDetails_UEM!$A$3:$AH$1849,6,FALSE)</f>
        <v>Electrosurgical Units, Monopolar/Bipolar</v>
      </c>
      <c r="CUG92" s="165" t="s">
        <v>945</v>
      </c>
      <c r="CUH92" s="166" t="str">
        <f>VLOOKUP(CUG92,[13]AssetDetails_UEM!$A$3:$AH$1849,6,FALSE)</f>
        <v>Electrosurgical Units, Monopolar/Bipolar</v>
      </c>
      <c r="CUI92" s="165" t="s">
        <v>945</v>
      </c>
      <c r="CUJ92" s="166" t="str">
        <f>VLOOKUP(CUI92,[13]AssetDetails_UEM!$A$3:$AH$1849,6,FALSE)</f>
        <v>Electrosurgical Units, Monopolar/Bipolar</v>
      </c>
      <c r="CUK92" s="165" t="s">
        <v>945</v>
      </c>
      <c r="CUL92" s="166" t="str">
        <f>VLOOKUP(CUK92,[13]AssetDetails_UEM!$A$3:$AH$1849,6,FALSE)</f>
        <v>Electrosurgical Units, Monopolar/Bipolar</v>
      </c>
      <c r="CUM92" s="165" t="s">
        <v>945</v>
      </c>
      <c r="CUN92" s="166" t="str">
        <f>VLOOKUP(CUM92,[13]AssetDetails_UEM!$A$3:$AH$1849,6,FALSE)</f>
        <v>Electrosurgical Units, Monopolar/Bipolar</v>
      </c>
      <c r="CUO92" s="165" t="s">
        <v>945</v>
      </c>
      <c r="CUP92" s="166" t="str">
        <f>VLOOKUP(CUO92,[13]AssetDetails_UEM!$A$3:$AH$1849,6,FALSE)</f>
        <v>Electrosurgical Units, Monopolar/Bipolar</v>
      </c>
      <c r="CUQ92" s="165" t="s">
        <v>945</v>
      </c>
      <c r="CUR92" s="166" t="str">
        <f>VLOOKUP(CUQ92,[13]AssetDetails_UEM!$A$3:$AH$1849,6,FALSE)</f>
        <v>Electrosurgical Units, Monopolar/Bipolar</v>
      </c>
      <c r="CUS92" s="165" t="s">
        <v>945</v>
      </c>
      <c r="CUT92" s="166" t="str">
        <f>VLOOKUP(CUS92,[13]AssetDetails_UEM!$A$3:$AH$1849,6,FALSE)</f>
        <v>Electrosurgical Units, Monopolar/Bipolar</v>
      </c>
      <c r="CUU92" s="165" t="s">
        <v>945</v>
      </c>
      <c r="CUV92" s="166" t="str">
        <f>VLOOKUP(CUU92,[13]AssetDetails_UEM!$A$3:$AH$1849,6,FALSE)</f>
        <v>Electrosurgical Units, Monopolar/Bipolar</v>
      </c>
      <c r="CUW92" s="165" t="s">
        <v>945</v>
      </c>
      <c r="CUX92" s="166" t="str">
        <f>VLOOKUP(CUW92,[13]AssetDetails_UEM!$A$3:$AH$1849,6,FALSE)</f>
        <v>Electrosurgical Units, Monopolar/Bipolar</v>
      </c>
      <c r="CUY92" s="165" t="s">
        <v>945</v>
      </c>
      <c r="CUZ92" s="166" t="str">
        <f>VLOOKUP(CUY92,[13]AssetDetails_UEM!$A$3:$AH$1849,6,FALSE)</f>
        <v>Electrosurgical Units, Monopolar/Bipolar</v>
      </c>
      <c r="CVA92" s="165" t="s">
        <v>945</v>
      </c>
      <c r="CVB92" s="166" t="str">
        <f>VLOOKUP(CVA92,[13]AssetDetails_UEM!$A$3:$AH$1849,6,FALSE)</f>
        <v>Electrosurgical Units, Monopolar/Bipolar</v>
      </c>
      <c r="CVC92" s="165" t="s">
        <v>945</v>
      </c>
      <c r="CVD92" s="166" t="str">
        <f>VLOOKUP(CVC92,[13]AssetDetails_UEM!$A$3:$AH$1849,6,FALSE)</f>
        <v>Electrosurgical Units, Monopolar/Bipolar</v>
      </c>
      <c r="CVE92" s="165" t="s">
        <v>945</v>
      </c>
      <c r="CVF92" s="166" t="str">
        <f>VLOOKUP(CVE92,[13]AssetDetails_UEM!$A$3:$AH$1849,6,FALSE)</f>
        <v>Electrosurgical Units, Monopolar/Bipolar</v>
      </c>
      <c r="CVG92" s="165" t="s">
        <v>945</v>
      </c>
      <c r="CVH92" s="166" t="str">
        <f>VLOOKUP(CVG92,[13]AssetDetails_UEM!$A$3:$AH$1849,6,FALSE)</f>
        <v>Electrosurgical Units, Monopolar/Bipolar</v>
      </c>
      <c r="CVI92" s="165" t="s">
        <v>945</v>
      </c>
      <c r="CVJ92" s="166" t="str">
        <f>VLOOKUP(CVI92,[13]AssetDetails_UEM!$A$3:$AH$1849,6,FALSE)</f>
        <v>Electrosurgical Units, Monopolar/Bipolar</v>
      </c>
      <c r="CVK92" s="165" t="s">
        <v>945</v>
      </c>
      <c r="CVL92" s="166" t="str">
        <f>VLOOKUP(CVK92,[13]AssetDetails_UEM!$A$3:$AH$1849,6,FALSE)</f>
        <v>Electrosurgical Units, Monopolar/Bipolar</v>
      </c>
      <c r="CVM92" s="165" t="s">
        <v>945</v>
      </c>
      <c r="CVN92" s="166" t="str">
        <f>VLOOKUP(CVM92,[13]AssetDetails_UEM!$A$3:$AH$1849,6,FALSE)</f>
        <v>Electrosurgical Units, Monopolar/Bipolar</v>
      </c>
      <c r="CVO92" s="165" t="s">
        <v>945</v>
      </c>
      <c r="CVP92" s="166" t="str">
        <f>VLOOKUP(CVO92,[13]AssetDetails_UEM!$A$3:$AH$1849,6,FALSE)</f>
        <v>Electrosurgical Units, Monopolar/Bipolar</v>
      </c>
      <c r="CVQ92" s="165" t="s">
        <v>945</v>
      </c>
      <c r="CVR92" s="166" t="str">
        <f>VLOOKUP(CVQ92,[13]AssetDetails_UEM!$A$3:$AH$1849,6,FALSE)</f>
        <v>Electrosurgical Units, Monopolar/Bipolar</v>
      </c>
      <c r="CVS92" s="165" t="s">
        <v>945</v>
      </c>
      <c r="CVT92" s="166" t="str">
        <f>VLOOKUP(CVS92,[13]AssetDetails_UEM!$A$3:$AH$1849,6,FALSE)</f>
        <v>Electrosurgical Units, Monopolar/Bipolar</v>
      </c>
      <c r="CVU92" s="165" t="s">
        <v>945</v>
      </c>
      <c r="CVV92" s="166" t="str">
        <f>VLOOKUP(CVU92,[13]AssetDetails_UEM!$A$3:$AH$1849,6,FALSE)</f>
        <v>Electrosurgical Units, Monopolar/Bipolar</v>
      </c>
      <c r="CVW92" s="165" t="s">
        <v>945</v>
      </c>
      <c r="CVX92" s="166" t="str">
        <f>VLOOKUP(CVW92,[13]AssetDetails_UEM!$A$3:$AH$1849,6,FALSE)</f>
        <v>Electrosurgical Units, Monopolar/Bipolar</v>
      </c>
      <c r="CVY92" s="165" t="s">
        <v>945</v>
      </c>
      <c r="CVZ92" s="166" t="str">
        <f>VLOOKUP(CVY92,[13]AssetDetails_UEM!$A$3:$AH$1849,6,FALSE)</f>
        <v>Electrosurgical Units, Monopolar/Bipolar</v>
      </c>
      <c r="CWA92" s="165" t="s">
        <v>945</v>
      </c>
      <c r="CWB92" s="166" t="str">
        <f>VLOOKUP(CWA92,[13]AssetDetails_UEM!$A$3:$AH$1849,6,FALSE)</f>
        <v>Electrosurgical Units, Monopolar/Bipolar</v>
      </c>
      <c r="CWC92" s="165" t="s">
        <v>945</v>
      </c>
      <c r="CWD92" s="166" t="str">
        <f>VLOOKUP(CWC92,[13]AssetDetails_UEM!$A$3:$AH$1849,6,FALSE)</f>
        <v>Electrosurgical Units, Monopolar/Bipolar</v>
      </c>
      <c r="CWE92" s="165" t="s">
        <v>945</v>
      </c>
      <c r="CWF92" s="166" t="str">
        <f>VLOOKUP(CWE92,[13]AssetDetails_UEM!$A$3:$AH$1849,6,FALSE)</f>
        <v>Electrosurgical Units, Monopolar/Bipolar</v>
      </c>
      <c r="CWG92" s="165" t="s">
        <v>945</v>
      </c>
      <c r="CWH92" s="166" t="str">
        <f>VLOOKUP(CWG92,[13]AssetDetails_UEM!$A$3:$AH$1849,6,FALSE)</f>
        <v>Electrosurgical Units, Monopolar/Bipolar</v>
      </c>
      <c r="CWI92" s="165" t="s">
        <v>945</v>
      </c>
      <c r="CWJ92" s="166" t="str">
        <f>VLOOKUP(CWI92,[13]AssetDetails_UEM!$A$3:$AH$1849,6,FALSE)</f>
        <v>Electrosurgical Units, Monopolar/Bipolar</v>
      </c>
      <c r="CWK92" s="165" t="s">
        <v>945</v>
      </c>
      <c r="CWL92" s="166" t="str">
        <f>VLOOKUP(CWK92,[13]AssetDetails_UEM!$A$3:$AH$1849,6,FALSE)</f>
        <v>Electrosurgical Units, Monopolar/Bipolar</v>
      </c>
      <c r="CWM92" s="165" t="s">
        <v>945</v>
      </c>
      <c r="CWN92" s="166" t="str">
        <f>VLOOKUP(CWM92,[13]AssetDetails_UEM!$A$3:$AH$1849,6,FALSE)</f>
        <v>Electrosurgical Units, Monopolar/Bipolar</v>
      </c>
      <c r="CWO92" s="165" t="s">
        <v>945</v>
      </c>
      <c r="CWP92" s="166" t="str">
        <f>VLOOKUP(CWO92,[13]AssetDetails_UEM!$A$3:$AH$1849,6,FALSE)</f>
        <v>Electrosurgical Units, Monopolar/Bipolar</v>
      </c>
      <c r="CWQ92" s="165" t="s">
        <v>945</v>
      </c>
      <c r="CWR92" s="166" t="str">
        <f>VLOOKUP(CWQ92,[13]AssetDetails_UEM!$A$3:$AH$1849,6,FALSE)</f>
        <v>Electrosurgical Units, Monopolar/Bipolar</v>
      </c>
      <c r="CWS92" s="165" t="s">
        <v>945</v>
      </c>
      <c r="CWT92" s="166" t="str">
        <f>VLOOKUP(CWS92,[13]AssetDetails_UEM!$A$3:$AH$1849,6,FALSE)</f>
        <v>Electrosurgical Units, Monopolar/Bipolar</v>
      </c>
      <c r="CWU92" s="165" t="s">
        <v>945</v>
      </c>
      <c r="CWV92" s="166" t="str">
        <f>VLOOKUP(CWU92,[13]AssetDetails_UEM!$A$3:$AH$1849,6,FALSE)</f>
        <v>Electrosurgical Units, Monopolar/Bipolar</v>
      </c>
      <c r="CWW92" s="165" t="s">
        <v>945</v>
      </c>
      <c r="CWX92" s="166" t="str">
        <f>VLOOKUP(CWW92,[13]AssetDetails_UEM!$A$3:$AH$1849,6,FALSE)</f>
        <v>Electrosurgical Units, Monopolar/Bipolar</v>
      </c>
      <c r="CWY92" s="165" t="s">
        <v>945</v>
      </c>
      <c r="CWZ92" s="166" t="str">
        <f>VLOOKUP(CWY92,[13]AssetDetails_UEM!$A$3:$AH$1849,6,FALSE)</f>
        <v>Electrosurgical Units, Monopolar/Bipolar</v>
      </c>
      <c r="CXA92" s="165" t="s">
        <v>945</v>
      </c>
      <c r="CXB92" s="166" t="str">
        <f>VLOOKUP(CXA92,[13]AssetDetails_UEM!$A$3:$AH$1849,6,FALSE)</f>
        <v>Electrosurgical Units, Monopolar/Bipolar</v>
      </c>
      <c r="CXC92" s="165" t="s">
        <v>945</v>
      </c>
      <c r="CXD92" s="166" t="str">
        <f>VLOOKUP(CXC92,[13]AssetDetails_UEM!$A$3:$AH$1849,6,FALSE)</f>
        <v>Electrosurgical Units, Monopolar/Bipolar</v>
      </c>
      <c r="CXE92" s="165" t="s">
        <v>945</v>
      </c>
      <c r="CXF92" s="166" t="str">
        <f>VLOOKUP(CXE92,[13]AssetDetails_UEM!$A$3:$AH$1849,6,FALSE)</f>
        <v>Electrosurgical Units, Monopolar/Bipolar</v>
      </c>
      <c r="CXG92" s="165" t="s">
        <v>945</v>
      </c>
      <c r="CXH92" s="166" t="str">
        <f>VLOOKUP(CXG92,[13]AssetDetails_UEM!$A$3:$AH$1849,6,FALSE)</f>
        <v>Electrosurgical Units, Monopolar/Bipolar</v>
      </c>
      <c r="CXI92" s="165" t="s">
        <v>945</v>
      </c>
      <c r="CXJ92" s="166" t="str">
        <f>VLOOKUP(CXI92,[13]AssetDetails_UEM!$A$3:$AH$1849,6,FALSE)</f>
        <v>Electrosurgical Units, Monopolar/Bipolar</v>
      </c>
      <c r="CXK92" s="165" t="s">
        <v>945</v>
      </c>
      <c r="CXL92" s="166" t="str">
        <f>VLOOKUP(CXK92,[13]AssetDetails_UEM!$A$3:$AH$1849,6,FALSE)</f>
        <v>Electrosurgical Units, Monopolar/Bipolar</v>
      </c>
      <c r="CXM92" s="165" t="s">
        <v>945</v>
      </c>
      <c r="CXN92" s="166" t="str">
        <f>VLOOKUP(CXM92,[13]AssetDetails_UEM!$A$3:$AH$1849,6,FALSE)</f>
        <v>Electrosurgical Units, Monopolar/Bipolar</v>
      </c>
      <c r="CXO92" s="165" t="s">
        <v>945</v>
      </c>
      <c r="CXP92" s="166" t="str">
        <f>VLOOKUP(CXO92,[13]AssetDetails_UEM!$A$3:$AH$1849,6,FALSE)</f>
        <v>Electrosurgical Units, Monopolar/Bipolar</v>
      </c>
      <c r="CXQ92" s="165" t="s">
        <v>945</v>
      </c>
      <c r="CXR92" s="166" t="str">
        <f>VLOOKUP(CXQ92,[13]AssetDetails_UEM!$A$3:$AH$1849,6,FALSE)</f>
        <v>Electrosurgical Units, Monopolar/Bipolar</v>
      </c>
      <c r="CXS92" s="165" t="s">
        <v>945</v>
      </c>
      <c r="CXT92" s="166" t="str">
        <f>VLOOKUP(CXS92,[13]AssetDetails_UEM!$A$3:$AH$1849,6,FALSE)</f>
        <v>Electrosurgical Units, Monopolar/Bipolar</v>
      </c>
      <c r="CXU92" s="165" t="s">
        <v>945</v>
      </c>
      <c r="CXV92" s="166" t="str">
        <f>VLOOKUP(CXU92,[13]AssetDetails_UEM!$A$3:$AH$1849,6,FALSE)</f>
        <v>Electrosurgical Units, Monopolar/Bipolar</v>
      </c>
      <c r="CXW92" s="165" t="s">
        <v>945</v>
      </c>
      <c r="CXX92" s="166" t="str">
        <f>VLOOKUP(CXW92,[13]AssetDetails_UEM!$A$3:$AH$1849,6,FALSE)</f>
        <v>Electrosurgical Units, Monopolar/Bipolar</v>
      </c>
      <c r="CXY92" s="165" t="s">
        <v>945</v>
      </c>
      <c r="CXZ92" s="166" t="str">
        <f>VLOOKUP(CXY92,[13]AssetDetails_UEM!$A$3:$AH$1849,6,FALSE)</f>
        <v>Electrosurgical Units, Monopolar/Bipolar</v>
      </c>
      <c r="CYA92" s="165" t="s">
        <v>945</v>
      </c>
      <c r="CYB92" s="166" t="str">
        <f>VLOOKUP(CYA92,[13]AssetDetails_UEM!$A$3:$AH$1849,6,FALSE)</f>
        <v>Electrosurgical Units, Monopolar/Bipolar</v>
      </c>
      <c r="CYC92" s="165" t="s">
        <v>945</v>
      </c>
      <c r="CYD92" s="166" t="str">
        <f>VLOOKUP(CYC92,[13]AssetDetails_UEM!$A$3:$AH$1849,6,FALSE)</f>
        <v>Electrosurgical Units, Monopolar/Bipolar</v>
      </c>
      <c r="CYE92" s="165" t="s">
        <v>945</v>
      </c>
      <c r="CYF92" s="166" t="str">
        <f>VLOOKUP(CYE92,[13]AssetDetails_UEM!$A$3:$AH$1849,6,FALSE)</f>
        <v>Electrosurgical Units, Monopolar/Bipolar</v>
      </c>
      <c r="CYG92" s="165" t="s">
        <v>945</v>
      </c>
      <c r="CYH92" s="166" t="str">
        <f>VLOOKUP(CYG92,[13]AssetDetails_UEM!$A$3:$AH$1849,6,FALSE)</f>
        <v>Electrosurgical Units, Monopolar/Bipolar</v>
      </c>
      <c r="CYI92" s="165" t="s">
        <v>945</v>
      </c>
      <c r="CYJ92" s="166" t="str">
        <f>VLOOKUP(CYI92,[13]AssetDetails_UEM!$A$3:$AH$1849,6,FALSE)</f>
        <v>Electrosurgical Units, Monopolar/Bipolar</v>
      </c>
      <c r="CYK92" s="165" t="s">
        <v>945</v>
      </c>
      <c r="CYL92" s="166" t="str">
        <f>VLOOKUP(CYK92,[13]AssetDetails_UEM!$A$3:$AH$1849,6,FALSE)</f>
        <v>Electrosurgical Units, Monopolar/Bipolar</v>
      </c>
      <c r="CYM92" s="165" t="s">
        <v>945</v>
      </c>
      <c r="CYN92" s="166" t="str">
        <f>VLOOKUP(CYM92,[13]AssetDetails_UEM!$A$3:$AH$1849,6,FALSE)</f>
        <v>Electrosurgical Units, Monopolar/Bipolar</v>
      </c>
      <c r="CYO92" s="165" t="s">
        <v>945</v>
      </c>
      <c r="CYP92" s="166" t="str">
        <f>VLOOKUP(CYO92,[13]AssetDetails_UEM!$A$3:$AH$1849,6,FALSE)</f>
        <v>Electrosurgical Units, Monopolar/Bipolar</v>
      </c>
      <c r="CYQ92" s="165" t="s">
        <v>945</v>
      </c>
      <c r="CYR92" s="166" t="str">
        <f>VLOOKUP(CYQ92,[13]AssetDetails_UEM!$A$3:$AH$1849,6,FALSE)</f>
        <v>Electrosurgical Units, Monopolar/Bipolar</v>
      </c>
      <c r="CYS92" s="165" t="s">
        <v>945</v>
      </c>
      <c r="CYT92" s="166" t="str">
        <f>VLOOKUP(CYS92,[13]AssetDetails_UEM!$A$3:$AH$1849,6,FALSE)</f>
        <v>Electrosurgical Units, Monopolar/Bipolar</v>
      </c>
      <c r="CYU92" s="165" t="s">
        <v>945</v>
      </c>
      <c r="CYV92" s="166" t="str">
        <f>VLOOKUP(CYU92,[13]AssetDetails_UEM!$A$3:$AH$1849,6,FALSE)</f>
        <v>Electrosurgical Units, Monopolar/Bipolar</v>
      </c>
      <c r="CYW92" s="165" t="s">
        <v>945</v>
      </c>
      <c r="CYX92" s="166" t="str">
        <f>VLOOKUP(CYW92,[13]AssetDetails_UEM!$A$3:$AH$1849,6,FALSE)</f>
        <v>Electrosurgical Units, Monopolar/Bipolar</v>
      </c>
      <c r="CYY92" s="165" t="s">
        <v>945</v>
      </c>
      <c r="CYZ92" s="166" t="str">
        <f>VLOOKUP(CYY92,[13]AssetDetails_UEM!$A$3:$AH$1849,6,FALSE)</f>
        <v>Electrosurgical Units, Monopolar/Bipolar</v>
      </c>
      <c r="CZA92" s="165" t="s">
        <v>945</v>
      </c>
      <c r="CZB92" s="166" t="str">
        <f>VLOOKUP(CZA92,[13]AssetDetails_UEM!$A$3:$AH$1849,6,FALSE)</f>
        <v>Electrosurgical Units, Monopolar/Bipolar</v>
      </c>
      <c r="CZC92" s="165" t="s">
        <v>945</v>
      </c>
      <c r="CZD92" s="166" t="str">
        <f>VLOOKUP(CZC92,[13]AssetDetails_UEM!$A$3:$AH$1849,6,FALSE)</f>
        <v>Electrosurgical Units, Monopolar/Bipolar</v>
      </c>
      <c r="CZE92" s="165" t="s">
        <v>945</v>
      </c>
      <c r="CZF92" s="166" t="str">
        <f>VLOOKUP(CZE92,[13]AssetDetails_UEM!$A$3:$AH$1849,6,FALSE)</f>
        <v>Electrosurgical Units, Monopolar/Bipolar</v>
      </c>
      <c r="CZG92" s="165" t="s">
        <v>945</v>
      </c>
      <c r="CZH92" s="166" t="str">
        <f>VLOOKUP(CZG92,[13]AssetDetails_UEM!$A$3:$AH$1849,6,FALSE)</f>
        <v>Electrosurgical Units, Monopolar/Bipolar</v>
      </c>
      <c r="CZI92" s="165" t="s">
        <v>945</v>
      </c>
      <c r="CZJ92" s="166" t="str">
        <f>VLOOKUP(CZI92,[13]AssetDetails_UEM!$A$3:$AH$1849,6,FALSE)</f>
        <v>Electrosurgical Units, Monopolar/Bipolar</v>
      </c>
      <c r="CZK92" s="165" t="s">
        <v>945</v>
      </c>
      <c r="CZL92" s="166" t="str">
        <f>VLOOKUP(CZK92,[13]AssetDetails_UEM!$A$3:$AH$1849,6,FALSE)</f>
        <v>Electrosurgical Units, Monopolar/Bipolar</v>
      </c>
      <c r="CZM92" s="165" t="s">
        <v>945</v>
      </c>
      <c r="CZN92" s="166" t="str">
        <f>VLOOKUP(CZM92,[13]AssetDetails_UEM!$A$3:$AH$1849,6,FALSE)</f>
        <v>Electrosurgical Units, Monopolar/Bipolar</v>
      </c>
      <c r="CZO92" s="165" t="s">
        <v>945</v>
      </c>
      <c r="CZP92" s="166" t="str">
        <f>VLOOKUP(CZO92,[13]AssetDetails_UEM!$A$3:$AH$1849,6,FALSE)</f>
        <v>Electrosurgical Units, Monopolar/Bipolar</v>
      </c>
      <c r="CZQ92" s="165" t="s">
        <v>945</v>
      </c>
      <c r="CZR92" s="166" t="str">
        <f>VLOOKUP(CZQ92,[13]AssetDetails_UEM!$A$3:$AH$1849,6,FALSE)</f>
        <v>Electrosurgical Units, Monopolar/Bipolar</v>
      </c>
      <c r="CZS92" s="165" t="s">
        <v>945</v>
      </c>
      <c r="CZT92" s="166" t="str">
        <f>VLOOKUP(CZS92,[13]AssetDetails_UEM!$A$3:$AH$1849,6,FALSE)</f>
        <v>Electrosurgical Units, Monopolar/Bipolar</v>
      </c>
      <c r="CZU92" s="165" t="s">
        <v>945</v>
      </c>
      <c r="CZV92" s="166" t="str">
        <f>VLOOKUP(CZU92,[13]AssetDetails_UEM!$A$3:$AH$1849,6,FALSE)</f>
        <v>Electrosurgical Units, Monopolar/Bipolar</v>
      </c>
      <c r="CZW92" s="165" t="s">
        <v>945</v>
      </c>
      <c r="CZX92" s="166" t="str">
        <f>VLOOKUP(CZW92,[13]AssetDetails_UEM!$A$3:$AH$1849,6,FALSE)</f>
        <v>Electrosurgical Units, Monopolar/Bipolar</v>
      </c>
      <c r="CZY92" s="165" t="s">
        <v>945</v>
      </c>
      <c r="CZZ92" s="166" t="str">
        <f>VLOOKUP(CZY92,[13]AssetDetails_UEM!$A$3:$AH$1849,6,FALSE)</f>
        <v>Electrosurgical Units, Monopolar/Bipolar</v>
      </c>
      <c r="DAA92" s="165" t="s">
        <v>945</v>
      </c>
      <c r="DAB92" s="166" t="str">
        <f>VLOOKUP(DAA92,[13]AssetDetails_UEM!$A$3:$AH$1849,6,FALSE)</f>
        <v>Electrosurgical Units, Monopolar/Bipolar</v>
      </c>
      <c r="DAC92" s="165" t="s">
        <v>945</v>
      </c>
      <c r="DAD92" s="166" t="str">
        <f>VLOOKUP(DAC92,[13]AssetDetails_UEM!$A$3:$AH$1849,6,FALSE)</f>
        <v>Electrosurgical Units, Monopolar/Bipolar</v>
      </c>
      <c r="DAE92" s="165" t="s">
        <v>945</v>
      </c>
      <c r="DAF92" s="166" t="str">
        <f>VLOOKUP(DAE92,[13]AssetDetails_UEM!$A$3:$AH$1849,6,FALSE)</f>
        <v>Electrosurgical Units, Monopolar/Bipolar</v>
      </c>
      <c r="DAG92" s="165" t="s">
        <v>945</v>
      </c>
      <c r="DAH92" s="166" t="str">
        <f>VLOOKUP(DAG92,[13]AssetDetails_UEM!$A$3:$AH$1849,6,FALSE)</f>
        <v>Electrosurgical Units, Monopolar/Bipolar</v>
      </c>
      <c r="DAI92" s="165" t="s">
        <v>945</v>
      </c>
      <c r="DAJ92" s="166" t="str">
        <f>VLOOKUP(DAI92,[13]AssetDetails_UEM!$A$3:$AH$1849,6,FALSE)</f>
        <v>Electrosurgical Units, Monopolar/Bipolar</v>
      </c>
      <c r="DAK92" s="165" t="s">
        <v>945</v>
      </c>
      <c r="DAL92" s="166" t="str">
        <f>VLOOKUP(DAK92,[13]AssetDetails_UEM!$A$3:$AH$1849,6,FALSE)</f>
        <v>Electrosurgical Units, Monopolar/Bipolar</v>
      </c>
      <c r="DAM92" s="165" t="s">
        <v>945</v>
      </c>
      <c r="DAN92" s="166" t="str">
        <f>VLOOKUP(DAM92,[13]AssetDetails_UEM!$A$3:$AH$1849,6,FALSE)</f>
        <v>Electrosurgical Units, Monopolar/Bipolar</v>
      </c>
      <c r="DAO92" s="165" t="s">
        <v>945</v>
      </c>
      <c r="DAP92" s="166" t="str">
        <f>VLOOKUP(DAO92,[13]AssetDetails_UEM!$A$3:$AH$1849,6,FALSE)</f>
        <v>Electrosurgical Units, Monopolar/Bipolar</v>
      </c>
      <c r="DAQ92" s="165" t="s">
        <v>945</v>
      </c>
      <c r="DAR92" s="166" t="str">
        <f>VLOOKUP(DAQ92,[13]AssetDetails_UEM!$A$3:$AH$1849,6,FALSE)</f>
        <v>Electrosurgical Units, Monopolar/Bipolar</v>
      </c>
      <c r="DAS92" s="165" t="s">
        <v>945</v>
      </c>
      <c r="DAT92" s="166" t="str">
        <f>VLOOKUP(DAS92,[13]AssetDetails_UEM!$A$3:$AH$1849,6,FALSE)</f>
        <v>Electrosurgical Units, Monopolar/Bipolar</v>
      </c>
      <c r="DAU92" s="165" t="s">
        <v>945</v>
      </c>
      <c r="DAV92" s="166" t="str">
        <f>VLOOKUP(DAU92,[13]AssetDetails_UEM!$A$3:$AH$1849,6,FALSE)</f>
        <v>Electrosurgical Units, Monopolar/Bipolar</v>
      </c>
      <c r="DAW92" s="165" t="s">
        <v>945</v>
      </c>
      <c r="DAX92" s="166" t="str">
        <f>VLOOKUP(DAW92,[13]AssetDetails_UEM!$A$3:$AH$1849,6,FALSE)</f>
        <v>Electrosurgical Units, Monopolar/Bipolar</v>
      </c>
      <c r="DAY92" s="165" t="s">
        <v>945</v>
      </c>
      <c r="DAZ92" s="166" t="str">
        <f>VLOOKUP(DAY92,[13]AssetDetails_UEM!$A$3:$AH$1849,6,FALSE)</f>
        <v>Electrosurgical Units, Monopolar/Bipolar</v>
      </c>
      <c r="DBA92" s="165" t="s">
        <v>945</v>
      </c>
      <c r="DBB92" s="166" t="str">
        <f>VLOOKUP(DBA92,[13]AssetDetails_UEM!$A$3:$AH$1849,6,FALSE)</f>
        <v>Electrosurgical Units, Monopolar/Bipolar</v>
      </c>
      <c r="DBC92" s="165" t="s">
        <v>945</v>
      </c>
      <c r="DBD92" s="166" t="str">
        <f>VLOOKUP(DBC92,[13]AssetDetails_UEM!$A$3:$AH$1849,6,FALSE)</f>
        <v>Electrosurgical Units, Monopolar/Bipolar</v>
      </c>
      <c r="DBE92" s="165" t="s">
        <v>945</v>
      </c>
      <c r="DBF92" s="166" t="str">
        <f>VLOOKUP(DBE92,[13]AssetDetails_UEM!$A$3:$AH$1849,6,FALSE)</f>
        <v>Electrosurgical Units, Monopolar/Bipolar</v>
      </c>
      <c r="DBG92" s="165" t="s">
        <v>945</v>
      </c>
      <c r="DBH92" s="166" t="str">
        <f>VLOOKUP(DBG92,[13]AssetDetails_UEM!$A$3:$AH$1849,6,FALSE)</f>
        <v>Electrosurgical Units, Monopolar/Bipolar</v>
      </c>
      <c r="DBI92" s="165" t="s">
        <v>945</v>
      </c>
      <c r="DBJ92" s="166" t="str">
        <f>VLOOKUP(DBI92,[13]AssetDetails_UEM!$A$3:$AH$1849,6,FALSE)</f>
        <v>Electrosurgical Units, Monopolar/Bipolar</v>
      </c>
      <c r="DBK92" s="165" t="s">
        <v>945</v>
      </c>
      <c r="DBL92" s="166" t="str">
        <f>VLOOKUP(DBK92,[13]AssetDetails_UEM!$A$3:$AH$1849,6,FALSE)</f>
        <v>Electrosurgical Units, Monopolar/Bipolar</v>
      </c>
      <c r="DBM92" s="165" t="s">
        <v>945</v>
      </c>
      <c r="DBN92" s="166" t="str">
        <f>VLOOKUP(DBM92,[13]AssetDetails_UEM!$A$3:$AH$1849,6,FALSE)</f>
        <v>Electrosurgical Units, Monopolar/Bipolar</v>
      </c>
      <c r="DBO92" s="165" t="s">
        <v>945</v>
      </c>
      <c r="DBP92" s="166" t="str">
        <f>VLOOKUP(DBO92,[13]AssetDetails_UEM!$A$3:$AH$1849,6,FALSE)</f>
        <v>Electrosurgical Units, Monopolar/Bipolar</v>
      </c>
      <c r="DBQ92" s="165" t="s">
        <v>945</v>
      </c>
      <c r="DBR92" s="166" t="str">
        <f>VLOOKUP(DBQ92,[13]AssetDetails_UEM!$A$3:$AH$1849,6,FALSE)</f>
        <v>Electrosurgical Units, Monopolar/Bipolar</v>
      </c>
      <c r="DBS92" s="165" t="s">
        <v>945</v>
      </c>
      <c r="DBT92" s="166" t="str">
        <f>VLOOKUP(DBS92,[13]AssetDetails_UEM!$A$3:$AH$1849,6,FALSE)</f>
        <v>Electrosurgical Units, Monopolar/Bipolar</v>
      </c>
      <c r="DBU92" s="165" t="s">
        <v>945</v>
      </c>
      <c r="DBV92" s="166" t="str">
        <f>VLOOKUP(DBU92,[13]AssetDetails_UEM!$A$3:$AH$1849,6,FALSE)</f>
        <v>Electrosurgical Units, Monopolar/Bipolar</v>
      </c>
      <c r="DBW92" s="165" t="s">
        <v>945</v>
      </c>
      <c r="DBX92" s="166" t="str">
        <f>VLOOKUP(DBW92,[13]AssetDetails_UEM!$A$3:$AH$1849,6,FALSE)</f>
        <v>Electrosurgical Units, Monopolar/Bipolar</v>
      </c>
      <c r="DBY92" s="165" t="s">
        <v>945</v>
      </c>
      <c r="DBZ92" s="166" t="str">
        <f>VLOOKUP(DBY92,[13]AssetDetails_UEM!$A$3:$AH$1849,6,FALSE)</f>
        <v>Electrosurgical Units, Monopolar/Bipolar</v>
      </c>
      <c r="DCA92" s="165" t="s">
        <v>945</v>
      </c>
      <c r="DCB92" s="166" t="str">
        <f>VLOOKUP(DCA92,[13]AssetDetails_UEM!$A$3:$AH$1849,6,FALSE)</f>
        <v>Electrosurgical Units, Monopolar/Bipolar</v>
      </c>
      <c r="DCC92" s="165" t="s">
        <v>945</v>
      </c>
      <c r="DCD92" s="166" t="str">
        <f>VLOOKUP(DCC92,[13]AssetDetails_UEM!$A$3:$AH$1849,6,FALSE)</f>
        <v>Electrosurgical Units, Monopolar/Bipolar</v>
      </c>
      <c r="DCE92" s="165" t="s">
        <v>945</v>
      </c>
      <c r="DCF92" s="166" t="str">
        <f>VLOOKUP(DCE92,[13]AssetDetails_UEM!$A$3:$AH$1849,6,FALSE)</f>
        <v>Electrosurgical Units, Monopolar/Bipolar</v>
      </c>
      <c r="DCG92" s="165" t="s">
        <v>945</v>
      </c>
      <c r="DCH92" s="166" t="str">
        <f>VLOOKUP(DCG92,[13]AssetDetails_UEM!$A$3:$AH$1849,6,FALSE)</f>
        <v>Electrosurgical Units, Monopolar/Bipolar</v>
      </c>
      <c r="DCI92" s="165" t="s">
        <v>945</v>
      </c>
      <c r="DCJ92" s="166" t="str">
        <f>VLOOKUP(DCI92,[13]AssetDetails_UEM!$A$3:$AH$1849,6,FALSE)</f>
        <v>Electrosurgical Units, Monopolar/Bipolar</v>
      </c>
      <c r="DCK92" s="165" t="s">
        <v>945</v>
      </c>
      <c r="DCL92" s="166" t="str">
        <f>VLOOKUP(DCK92,[13]AssetDetails_UEM!$A$3:$AH$1849,6,FALSE)</f>
        <v>Electrosurgical Units, Monopolar/Bipolar</v>
      </c>
      <c r="DCM92" s="165" t="s">
        <v>945</v>
      </c>
      <c r="DCN92" s="166" t="str">
        <f>VLOOKUP(DCM92,[13]AssetDetails_UEM!$A$3:$AH$1849,6,FALSE)</f>
        <v>Electrosurgical Units, Monopolar/Bipolar</v>
      </c>
      <c r="DCO92" s="165" t="s">
        <v>945</v>
      </c>
      <c r="DCP92" s="166" t="str">
        <f>VLOOKUP(DCO92,[13]AssetDetails_UEM!$A$3:$AH$1849,6,FALSE)</f>
        <v>Electrosurgical Units, Monopolar/Bipolar</v>
      </c>
      <c r="DCQ92" s="165" t="s">
        <v>945</v>
      </c>
      <c r="DCR92" s="166" t="str">
        <f>VLOOKUP(DCQ92,[13]AssetDetails_UEM!$A$3:$AH$1849,6,FALSE)</f>
        <v>Electrosurgical Units, Monopolar/Bipolar</v>
      </c>
      <c r="DCS92" s="165" t="s">
        <v>945</v>
      </c>
      <c r="DCT92" s="166" t="str">
        <f>VLOOKUP(DCS92,[13]AssetDetails_UEM!$A$3:$AH$1849,6,FALSE)</f>
        <v>Electrosurgical Units, Monopolar/Bipolar</v>
      </c>
      <c r="DCU92" s="165" t="s">
        <v>945</v>
      </c>
      <c r="DCV92" s="166" t="str">
        <f>VLOOKUP(DCU92,[13]AssetDetails_UEM!$A$3:$AH$1849,6,FALSE)</f>
        <v>Electrosurgical Units, Monopolar/Bipolar</v>
      </c>
      <c r="DCW92" s="165" t="s">
        <v>945</v>
      </c>
      <c r="DCX92" s="166" t="str">
        <f>VLOOKUP(DCW92,[13]AssetDetails_UEM!$A$3:$AH$1849,6,FALSE)</f>
        <v>Electrosurgical Units, Monopolar/Bipolar</v>
      </c>
      <c r="DCY92" s="165" t="s">
        <v>945</v>
      </c>
      <c r="DCZ92" s="166" t="str">
        <f>VLOOKUP(DCY92,[13]AssetDetails_UEM!$A$3:$AH$1849,6,FALSE)</f>
        <v>Electrosurgical Units, Monopolar/Bipolar</v>
      </c>
      <c r="DDA92" s="165" t="s">
        <v>945</v>
      </c>
      <c r="DDB92" s="166" t="str">
        <f>VLOOKUP(DDA92,[13]AssetDetails_UEM!$A$3:$AH$1849,6,FALSE)</f>
        <v>Electrosurgical Units, Monopolar/Bipolar</v>
      </c>
      <c r="DDC92" s="165" t="s">
        <v>945</v>
      </c>
      <c r="DDD92" s="166" t="str">
        <f>VLOOKUP(DDC92,[13]AssetDetails_UEM!$A$3:$AH$1849,6,FALSE)</f>
        <v>Electrosurgical Units, Monopolar/Bipolar</v>
      </c>
      <c r="DDE92" s="165" t="s">
        <v>945</v>
      </c>
      <c r="DDF92" s="166" t="str">
        <f>VLOOKUP(DDE92,[13]AssetDetails_UEM!$A$3:$AH$1849,6,FALSE)</f>
        <v>Electrosurgical Units, Monopolar/Bipolar</v>
      </c>
      <c r="DDG92" s="165" t="s">
        <v>945</v>
      </c>
      <c r="DDH92" s="166" t="str">
        <f>VLOOKUP(DDG92,[13]AssetDetails_UEM!$A$3:$AH$1849,6,FALSE)</f>
        <v>Electrosurgical Units, Monopolar/Bipolar</v>
      </c>
      <c r="DDI92" s="165" t="s">
        <v>945</v>
      </c>
      <c r="DDJ92" s="166" t="str">
        <f>VLOOKUP(DDI92,[13]AssetDetails_UEM!$A$3:$AH$1849,6,FALSE)</f>
        <v>Electrosurgical Units, Monopolar/Bipolar</v>
      </c>
      <c r="DDK92" s="165" t="s">
        <v>945</v>
      </c>
      <c r="DDL92" s="166" t="str">
        <f>VLOOKUP(DDK92,[13]AssetDetails_UEM!$A$3:$AH$1849,6,FALSE)</f>
        <v>Electrosurgical Units, Monopolar/Bipolar</v>
      </c>
      <c r="DDM92" s="165" t="s">
        <v>945</v>
      </c>
      <c r="DDN92" s="166" t="str">
        <f>VLOOKUP(DDM92,[13]AssetDetails_UEM!$A$3:$AH$1849,6,FALSE)</f>
        <v>Electrosurgical Units, Monopolar/Bipolar</v>
      </c>
      <c r="DDO92" s="165" t="s">
        <v>945</v>
      </c>
      <c r="DDP92" s="166" t="str">
        <f>VLOOKUP(DDO92,[13]AssetDetails_UEM!$A$3:$AH$1849,6,FALSE)</f>
        <v>Electrosurgical Units, Monopolar/Bipolar</v>
      </c>
      <c r="DDQ92" s="165" t="s">
        <v>945</v>
      </c>
      <c r="DDR92" s="166" t="str">
        <f>VLOOKUP(DDQ92,[13]AssetDetails_UEM!$A$3:$AH$1849,6,FALSE)</f>
        <v>Electrosurgical Units, Monopolar/Bipolar</v>
      </c>
      <c r="DDS92" s="165" t="s">
        <v>945</v>
      </c>
      <c r="DDT92" s="166" t="str">
        <f>VLOOKUP(DDS92,[13]AssetDetails_UEM!$A$3:$AH$1849,6,FALSE)</f>
        <v>Electrosurgical Units, Monopolar/Bipolar</v>
      </c>
      <c r="DDU92" s="165" t="s">
        <v>945</v>
      </c>
      <c r="DDV92" s="166" t="str">
        <f>VLOOKUP(DDU92,[13]AssetDetails_UEM!$A$3:$AH$1849,6,FALSE)</f>
        <v>Electrosurgical Units, Monopolar/Bipolar</v>
      </c>
      <c r="DDW92" s="165" t="s">
        <v>945</v>
      </c>
      <c r="DDX92" s="166" t="str">
        <f>VLOOKUP(DDW92,[13]AssetDetails_UEM!$A$3:$AH$1849,6,FALSE)</f>
        <v>Electrosurgical Units, Monopolar/Bipolar</v>
      </c>
      <c r="DDY92" s="165" t="s">
        <v>945</v>
      </c>
      <c r="DDZ92" s="166" t="str">
        <f>VLOOKUP(DDY92,[13]AssetDetails_UEM!$A$3:$AH$1849,6,FALSE)</f>
        <v>Electrosurgical Units, Monopolar/Bipolar</v>
      </c>
      <c r="DEA92" s="165" t="s">
        <v>945</v>
      </c>
      <c r="DEB92" s="166" t="str">
        <f>VLOOKUP(DEA92,[13]AssetDetails_UEM!$A$3:$AH$1849,6,FALSE)</f>
        <v>Electrosurgical Units, Monopolar/Bipolar</v>
      </c>
      <c r="DEC92" s="165" t="s">
        <v>945</v>
      </c>
      <c r="DED92" s="166" t="str">
        <f>VLOOKUP(DEC92,[13]AssetDetails_UEM!$A$3:$AH$1849,6,FALSE)</f>
        <v>Electrosurgical Units, Monopolar/Bipolar</v>
      </c>
      <c r="DEE92" s="165" t="s">
        <v>945</v>
      </c>
      <c r="DEF92" s="166" t="str">
        <f>VLOOKUP(DEE92,[13]AssetDetails_UEM!$A$3:$AH$1849,6,FALSE)</f>
        <v>Electrosurgical Units, Monopolar/Bipolar</v>
      </c>
      <c r="DEG92" s="165" t="s">
        <v>945</v>
      </c>
      <c r="DEH92" s="166" t="str">
        <f>VLOOKUP(DEG92,[13]AssetDetails_UEM!$A$3:$AH$1849,6,FALSE)</f>
        <v>Electrosurgical Units, Monopolar/Bipolar</v>
      </c>
      <c r="DEI92" s="165" t="s">
        <v>945</v>
      </c>
      <c r="DEJ92" s="166" t="str">
        <f>VLOOKUP(DEI92,[13]AssetDetails_UEM!$A$3:$AH$1849,6,FALSE)</f>
        <v>Electrosurgical Units, Monopolar/Bipolar</v>
      </c>
      <c r="DEK92" s="165" t="s">
        <v>945</v>
      </c>
      <c r="DEL92" s="166" t="str">
        <f>VLOOKUP(DEK92,[13]AssetDetails_UEM!$A$3:$AH$1849,6,FALSE)</f>
        <v>Electrosurgical Units, Monopolar/Bipolar</v>
      </c>
      <c r="DEM92" s="165" t="s">
        <v>945</v>
      </c>
      <c r="DEN92" s="166" t="str">
        <f>VLOOKUP(DEM92,[13]AssetDetails_UEM!$A$3:$AH$1849,6,FALSE)</f>
        <v>Electrosurgical Units, Monopolar/Bipolar</v>
      </c>
      <c r="DEO92" s="165" t="s">
        <v>945</v>
      </c>
      <c r="DEP92" s="166" t="str">
        <f>VLOOKUP(DEO92,[13]AssetDetails_UEM!$A$3:$AH$1849,6,FALSE)</f>
        <v>Electrosurgical Units, Monopolar/Bipolar</v>
      </c>
      <c r="DEQ92" s="165" t="s">
        <v>945</v>
      </c>
      <c r="DER92" s="166" t="str">
        <f>VLOOKUP(DEQ92,[13]AssetDetails_UEM!$A$3:$AH$1849,6,FALSE)</f>
        <v>Electrosurgical Units, Monopolar/Bipolar</v>
      </c>
      <c r="DES92" s="165" t="s">
        <v>945</v>
      </c>
      <c r="DET92" s="166" t="str">
        <f>VLOOKUP(DES92,[13]AssetDetails_UEM!$A$3:$AH$1849,6,FALSE)</f>
        <v>Electrosurgical Units, Monopolar/Bipolar</v>
      </c>
      <c r="DEU92" s="165" t="s">
        <v>945</v>
      </c>
      <c r="DEV92" s="166" t="str">
        <f>VLOOKUP(DEU92,[13]AssetDetails_UEM!$A$3:$AH$1849,6,FALSE)</f>
        <v>Electrosurgical Units, Monopolar/Bipolar</v>
      </c>
      <c r="DEW92" s="165" t="s">
        <v>945</v>
      </c>
      <c r="DEX92" s="166" t="str">
        <f>VLOOKUP(DEW92,[13]AssetDetails_UEM!$A$3:$AH$1849,6,FALSE)</f>
        <v>Electrosurgical Units, Monopolar/Bipolar</v>
      </c>
      <c r="DEY92" s="165" t="s">
        <v>945</v>
      </c>
      <c r="DEZ92" s="166" t="str">
        <f>VLOOKUP(DEY92,[13]AssetDetails_UEM!$A$3:$AH$1849,6,FALSE)</f>
        <v>Electrosurgical Units, Monopolar/Bipolar</v>
      </c>
      <c r="DFA92" s="165" t="s">
        <v>945</v>
      </c>
      <c r="DFB92" s="166" t="str">
        <f>VLOOKUP(DFA92,[13]AssetDetails_UEM!$A$3:$AH$1849,6,FALSE)</f>
        <v>Electrosurgical Units, Monopolar/Bipolar</v>
      </c>
      <c r="DFC92" s="165" t="s">
        <v>945</v>
      </c>
      <c r="DFD92" s="166" t="str">
        <f>VLOOKUP(DFC92,[13]AssetDetails_UEM!$A$3:$AH$1849,6,FALSE)</f>
        <v>Electrosurgical Units, Monopolar/Bipolar</v>
      </c>
      <c r="DFE92" s="165" t="s">
        <v>945</v>
      </c>
      <c r="DFF92" s="166" t="str">
        <f>VLOOKUP(DFE92,[13]AssetDetails_UEM!$A$3:$AH$1849,6,FALSE)</f>
        <v>Electrosurgical Units, Monopolar/Bipolar</v>
      </c>
      <c r="DFG92" s="165" t="s">
        <v>945</v>
      </c>
      <c r="DFH92" s="166" t="str">
        <f>VLOOKUP(DFG92,[13]AssetDetails_UEM!$A$3:$AH$1849,6,FALSE)</f>
        <v>Electrosurgical Units, Monopolar/Bipolar</v>
      </c>
      <c r="DFI92" s="165" t="s">
        <v>945</v>
      </c>
      <c r="DFJ92" s="166" t="str">
        <f>VLOOKUP(DFI92,[13]AssetDetails_UEM!$A$3:$AH$1849,6,FALSE)</f>
        <v>Electrosurgical Units, Monopolar/Bipolar</v>
      </c>
      <c r="DFK92" s="165" t="s">
        <v>945</v>
      </c>
      <c r="DFL92" s="166" t="str">
        <f>VLOOKUP(DFK92,[13]AssetDetails_UEM!$A$3:$AH$1849,6,FALSE)</f>
        <v>Electrosurgical Units, Monopolar/Bipolar</v>
      </c>
      <c r="DFM92" s="165" t="s">
        <v>945</v>
      </c>
      <c r="DFN92" s="166" t="str">
        <f>VLOOKUP(DFM92,[13]AssetDetails_UEM!$A$3:$AH$1849,6,FALSE)</f>
        <v>Electrosurgical Units, Monopolar/Bipolar</v>
      </c>
      <c r="DFO92" s="165" t="s">
        <v>945</v>
      </c>
      <c r="DFP92" s="166" t="str">
        <f>VLOOKUP(DFO92,[13]AssetDetails_UEM!$A$3:$AH$1849,6,FALSE)</f>
        <v>Electrosurgical Units, Monopolar/Bipolar</v>
      </c>
      <c r="DFQ92" s="165" t="s">
        <v>945</v>
      </c>
      <c r="DFR92" s="166" t="str">
        <f>VLOOKUP(DFQ92,[13]AssetDetails_UEM!$A$3:$AH$1849,6,FALSE)</f>
        <v>Electrosurgical Units, Monopolar/Bipolar</v>
      </c>
      <c r="DFS92" s="165" t="s">
        <v>945</v>
      </c>
      <c r="DFT92" s="166" t="str">
        <f>VLOOKUP(DFS92,[13]AssetDetails_UEM!$A$3:$AH$1849,6,FALSE)</f>
        <v>Electrosurgical Units, Monopolar/Bipolar</v>
      </c>
      <c r="DFU92" s="165" t="s">
        <v>945</v>
      </c>
      <c r="DFV92" s="166" t="str">
        <f>VLOOKUP(DFU92,[13]AssetDetails_UEM!$A$3:$AH$1849,6,FALSE)</f>
        <v>Electrosurgical Units, Monopolar/Bipolar</v>
      </c>
      <c r="DFW92" s="165" t="s">
        <v>945</v>
      </c>
      <c r="DFX92" s="166" t="str">
        <f>VLOOKUP(DFW92,[13]AssetDetails_UEM!$A$3:$AH$1849,6,FALSE)</f>
        <v>Electrosurgical Units, Monopolar/Bipolar</v>
      </c>
      <c r="DFY92" s="165" t="s">
        <v>945</v>
      </c>
      <c r="DFZ92" s="166" t="str">
        <f>VLOOKUP(DFY92,[13]AssetDetails_UEM!$A$3:$AH$1849,6,FALSE)</f>
        <v>Electrosurgical Units, Monopolar/Bipolar</v>
      </c>
      <c r="DGA92" s="165" t="s">
        <v>945</v>
      </c>
      <c r="DGB92" s="166" t="str">
        <f>VLOOKUP(DGA92,[13]AssetDetails_UEM!$A$3:$AH$1849,6,FALSE)</f>
        <v>Electrosurgical Units, Monopolar/Bipolar</v>
      </c>
      <c r="DGC92" s="165" t="s">
        <v>945</v>
      </c>
      <c r="DGD92" s="166" t="str">
        <f>VLOOKUP(DGC92,[13]AssetDetails_UEM!$A$3:$AH$1849,6,FALSE)</f>
        <v>Electrosurgical Units, Monopolar/Bipolar</v>
      </c>
      <c r="DGE92" s="165" t="s">
        <v>945</v>
      </c>
      <c r="DGF92" s="166" t="str">
        <f>VLOOKUP(DGE92,[13]AssetDetails_UEM!$A$3:$AH$1849,6,FALSE)</f>
        <v>Electrosurgical Units, Monopolar/Bipolar</v>
      </c>
      <c r="DGG92" s="165" t="s">
        <v>945</v>
      </c>
      <c r="DGH92" s="166" t="str">
        <f>VLOOKUP(DGG92,[13]AssetDetails_UEM!$A$3:$AH$1849,6,FALSE)</f>
        <v>Electrosurgical Units, Monopolar/Bipolar</v>
      </c>
      <c r="DGI92" s="165" t="s">
        <v>945</v>
      </c>
      <c r="DGJ92" s="166" t="str">
        <f>VLOOKUP(DGI92,[13]AssetDetails_UEM!$A$3:$AH$1849,6,FALSE)</f>
        <v>Electrosurgical Units, Monopolar/Bipolar</v>
      </c>
      <c r="DGK92" s="165" t="s">
        <v>945</v>
      </c>
      <c r="DGL92" s="166" t="str">
        <f>VLOOKUP(DGK92,[13]AssetDetails_UEM!$A$3:$AH$1849,6,FALSE)</f>
        <v>Electrosurgical Units, Monopolar/Bipolar</v>
      </c>
      <c r="DGM92" s="165" t="s">
        <v>945</v>
      </c>
      <c r="DGN92" s="166" t="str">
        <f>VLOOKUP(DGM92,[13]AssetDetails_UEM!$A$3:$AH$1849,6,FALSE)</f>
        <v>Electrosurgical Units, Monopolar/Bipolar</v>
      </c>
      <c r="DGO92" s="165" t="s">
        <v>945</v>
      </c>
      <c r="DGP92" s="166" t="str">
        <f>VLOOKUP(DGO92,[13]AssetDetails_UEM!$A$3:$AH$1849,6,FALSE)</f>
        <v>Electrosurgical Units, Monopolar/Bipolar</v>
      </c>
      <c r="DGQ92" s="165" t="s">
        <v>945</v>
      </c>
      <c r="DGR92" s="166" t="str">
        <f>VLOOKUP(DGQ92,[13]AssetDetails_UEM!$A$3:$AH$1849,6,FALSE)</f>
        <v>Electrosurgical Units, Monopolar/Bipolar</v>
      </c>
      <c r="DGS92" s="165" t="s">
        <v>945</v>
      </c>
      <c r="DGT92" s="166" t="str">
        <f>VLOOKUP(DGS92,[13]AssetDetails_UEM!$A$3:$AH$1849,6,FALSE)</f>
        <v>Electrosurgical Units, Monopolar/Bipolar</v>
      </c>
      <c r="DGU92" s="165" t="s">
        <v>945</v>
      </c>
      <c r="DGV92" s="166" t="str">
        <f>VLOOKUP(DGU92,[13]AssetDetails_UEM!$A$3:$AH$1849,6,FALSE)</f>
        <v>Electrosurgical Units, Monopolar/Bipolar</v>
      </c>
      <c r="DGW92" s="165" t="s">
        <v>945</v>
      </c>
      <c r="DGX92" s="166" t="str">
        <f>VLOOKUP(DGW92,[13]AssetDetails_UEM!$A$3:$AH$1849,6,FALSE)</f>
        <v>Electrosurgical Units, Monopolar/Bipolar</v>
      </c>
      <c r="DGY92" s="165" t="s">
        <v>945</v>
      </c>
      <c r="DGZ92" s="166" t="str">
        <f>VLOOKUP(DGY92,[13]AssetDetails_UEM!$A$3:$AH$1849,6,FALSE)</f>
        <v>Electrosurgical Units, Monopolar/Bipolar</v>
      </c>
      <c r="DHA92" s="165" t="s">
        <v>945</v>
      </c>
      <c r="DHB92" s="166" t="str">
        <f>VLOOKUP(DHA92,[13]AssetDetails_UEM!$A$3:$AH$1849,6,FALSE)</f>
        <v>Electrosurgical Units, Monopolar/Bipolar</v>
      </c>
      <c r="DHC92" s="165" t="s">
        <v>945</v>
      </c>
      <c r="DHD92" s="166" t="str">
        <f>VLOOKUP(DHC92,[13]AssetDetails_UEM!$A$3:$AH$1849,6,FALSE)</f>
        <v>Electrosurgical Units, Monopolar/Bipolar</v>
      </c>
      <c r="DHE92" s="165" t="s">
        <v>945</v>
      </c>
      <c r="DHF92" s="166" t="str">
        <f>VLOOKUP(DHE92,[13]AssetDetails_UEM!$A$3:$AH$1849,6,FALSE)</f>
        <v>Electrosurgical Units, Monopolar/Bipolar</v>
      </c>
      <c r="DHG92" s="165" t="s">
        <v>945</v>
      </c>
      <c r="DHH92" s="166" t="str">
        <f>VLOOKUP(DHG92,[13]AssetDetails_UEM!$A$3:$AH$1849,6,FALSE)</f>
        <v>Electrosurgical Units, Monopolar/Bipolar</v>
      </c>
      <c r="DHI92" s="165" t="s">
        <v>945</v>
      </c>
      <c r="DHJ92" s="166" t="str">
        <f>VLOOKUP(DHI92,[13]AssetDetails_UEM!$A$3:$AH$1849,6,FALSE)</f>
        <v>Electrosurgical Units, Monopolar/Bipolar</v>
      </c>
      <c r="DHK92" s="165" t="s">
        <v>945</v>
      </c>
      <c r="DHL92" s="166" t="str">
        <f>VLOOKUP(DHK92,[13]AssetDetails_UEM!$A$3:$AH$1849,6,FALSE)</f>
        <v>Electrosurgical Units, Monopolar/Bipolar</v>
      </c>
      <c r="DHM92" s="165" t="s">
        <v>945</v>
      </c>
      <c r="DHN92" s="166" t="str">
        <f>VLOOKUP(DHM92,[13]AssetDetails_UEM!$A$3:$AH$1849,6,FALSE)</f>
        <v>Electrosurgical Units, Monopolar/Bipolar</v>
      </c>
      <c r="DHO92" s="165" t="s">
        <v>945</v>
      </c>
      <c r="DHP92" s="166" t="str">
        <f>VLOOKUP(DHO92,[13]AssetDetails_UEM!$A$3:$AH$1849,6,FALSE)</f>
        <v>Electrosurgical Units, Monopolar/Bipolar</v>
      </c>
      <c r="DHQ92" s="165" t="s">
        <v>945</v>
      </c>
      <c r="DHR92" s="166" t="str">
        <f>VLOOKUP(DHQ92,[13]AssetDetails_UEM!$A$3:$AH$1849,6,FALSE)</f>
        <v>Electrosurgical Units, Monopolar/Bipolar</v>
      </c>
      <c r="DHS92" s="165" t="s">
        <v>945</v>
      </c>
      <c r="DHT92" s="166" t="str">
        <f>VLOOKUP(DHS92,[13]AssetDetails_UEM!$A$3:$AH$1849,6,FALSE)</f>
        <v>Electrosurgical Units, Monopolar/Bipolar</v>
      </c>
      <c r="DHU92" s="165" t="s">
        <v>945</v>
      </c>
      <c r="DHV92" s="166" t="str">
        <f>VLOOKUP(DHU92,[13]AssetDetails_UEM!$A$3:$AH$1849,6,FALSE)</f>
        <v>Electrosurgical Units, Monopolar/Bipolar</v>
      </c>
      <c r="DHW92" s="165" t="s">
        <v>945</v>
      </c>
      <c r="DHX92" s="166" t="str">
        <f>VLOOKUP(DHW92,[13]AssetDetails_UEM!$A$3:$AH$1849,6,FALSE)</f>
        <v>Electrosurgical Units, Monopolar/Bipolar</v>
      </c>
      <c r="DHY92" s="165" t="s">
        <v>945</v>
      </c>
      <c r="DHZ92" s="166" t="str">
        <f>VLOOKUP(DHY92,[13]AssetDetails_UEM!$A$3:$AH$1849,6,FALSE)</f>
        <v>Electrosurgical Units, Monopolar/Bipolar</v>
      </c>
      <c r="DIA92" s="165" t="s">
        <v>945</v>
      </c>
      <c r="DIB92" s="166" t="str">
        <f>VLOOKUP(DIA92,[13]AssetDetails_UEM!$A$3:$AH$1849,6,FALSE)</f>
        <v>Electrosurgical Units, Monopolar/Bipolar</v>
      </c>
      <c r="DIC92" s="165" t="s">
        <v>945</v>
      </c>
      <c r="DID92" s="166" t="str">
        <f>VLOOKUP(DIC92,[13]AssetDetails_UEM!$A$3:$AH$1849,6,FALSE)</f>
        <v>Electrosurgical Units, Monopolar/Bipolar</v>
      </c>
      <c r="DIE92" s="165" t="s">
        <v>945</v>
      </c>
      <c r="DIF92" s="166" t="str">
        <f>VLOOKUP(DIE92,[13]AssetDetails_UEM!$A$3:$AH$1849,6,FALSE)</f>
        <v>Electrosurgical Units, Monopolar/Bipolar</v>
      </c>
      <c r="DIG92" s="165" t="s">
        <v>945</v>
      </c>
      <c r="DIH92" s="166" t="str">
        <f>VLOOKUP(DIG92,[13]AssetDetails_UEM!$A$3:$AH$1849,6,FALSE)</f>
        <v>Electrosurgical Units, Monopolar/Bipolar</v>
      </c>
      <c r="DII92" s="165" t="s">
        <v>945</v>
      </c>
      <c r="DIJ92" s="166" t="str">
        <f>VLOOKUP(DII92,[13]AssetDetails_UEM!$A$3:$AH$1849,6,FALSE)</f>
        <v>Electrosurgical Units, Monopolar/Bipolar</v>
      </c>
      <c r="DIK92" s="165" t="s">
        <v>945</v>
      </c>
      <c r="DIL92" s="166" t="str">
        <f>VLOOKUP(DIK92,[13]AssetDetails_UEM!$A$3:$AH$1849,6,FALSE)</f>
        <v>Electrosurgical Units, Monopolar/Bipolar</v>
      </c>
      <c r="DIM92" s="165" t="s">
        <v>945</v>
      </c>
      <c r="DIN92" s="166" t="str">
        <f>VLOOKUP(DIM92,[13]AssetDetails_UEM!$A$3:$AH$1849,6,FALSE)</f>
        <v>Electrosurgical Units, Monopolar/Bipolar</v>
      </c>
      <c r="DIO92" s="165" t="s">
        <v>945</v>
      </c>
      <c r="DIP92" s="166" t="str">
        <f>VLOOKUP(DIO92,[13]AssetDetails_UEM!$A$3:$AH$1849,6,FALSE)</f>
        <v>Electrosurgical Units, Monopolar/Bipolar</v>
      </c>
      <c r="DIQ92" s="165" t="s">
        <v>945</v>
      </c>
      <c r="DIR92" s="166" t="str">
        <f>VLOOKUP(DIQ92,[13]AssetDetails_UEM!$A$3:$AH$1849,6,FALSE)</f>
        <v>Electrosurgical Units, Monopolar/Bipolar</v>
      </c>
      <c r="DIS92" s="165" t="s">
        <v>945</v>
      </c>
      <c r="DIT92" s="166" t="str">
        <f>VLOOKUP(DIS92,[13]AssetDetails_UEM!$A$3:$AH$1849,6,FALSE)</f>
        <v>Electrosurgical Units, Monopolar/Bipolar</v>
      </c>
      <c r="DIU92" s="165" t="s">
        <v>945</v>
      </c>
      <c r="DIV92" s="166" t="str">
        <f>VLOOKUP(DIU92,[13]AssetDetails_UEM!$A$3:$AH$1849,6,FALSE)</f>
        <v>Electrosurgical Units, Monopolar/Bipolar</v>
      </c>
      <c r="DIW92" s="165" t="s">
        <v>945</v>
      </c>
      <c r="DIX92" s="166" t="str">
        <f>VLOOKUP(DIW92,[13]AssetDetails_UEM!$A$3:$AH$1849,6,FALSE)</f>
        <v>Electrosurgical Units, Monopolar/Bipolar</v>
      </c>
      <c r="DIY92" s="165" t="s">
        <v>945</v>
      </c>
      <c r="DIZ92" s="166" t="str">
        <f>VLOOKUP(DIY92,[13]AssetDetails_UEM!$A$3:$AH$1849,6,FALSE)</f>
        <v>Electrosurgical Units, Monopolar/Bipolar</v>
      </c>
      <c r="DJA92" s="165" t="s">
        <v>945</v>
      </c>
      <c r="DJB92" s="166" t="str">
        <f>VLOOKUP(DJA92,[13]AssetDetails_UEM!$A$3:$AH$1849,6,FALSE)</f>
        <v>Electrosurgical Units, Monopolar/Bipolar</v>
      </c>
      <c r="DJC92" s="165" t="s">
        <v>945</v>
      </c>
      <c r="DJD92" s="166" t="str">
        <f>VLOOKUP(DJC92,[13]AssetDetails_UEM!$A$3:$AH$1849,6,FALSE)</f>
        <v>Electrosurgical Units, Monopolar/Bipolar</v>
      </c>
      <c r="DJE92" s="165" t="s">
        <v>945</v>
      </c>
      <c r="DJF92" s="166" t="str">
        <f>VLOOKUP(DJE92,[13]AssetDetails_UEM!$A$3:$AH$1849,6,FALSE)</f>
        <v>Electrosurgical Units, Monopolar/Bipolar</v>
      </c>
      <c r="DJG92" s="165" t="s">
        <v>945</v>
      </c>
      <c r="DJH92" s="166" t="str">
        <f>VLOOKUP(DJG92,[13]AssetDetails_UEM!$A$3:$AH$1849,6,FALSE)</f>
        <v>Electrosurgical Units, Monopolar/Bipolar</v>
      </c>
      <c r="DJI92" s="165" t="s">
        <v>945</v>
      </c>
      <c r="DJJ92" s="166" t="str">
        <f>VLOOKUP(DJI92,[13]AssetDetails_UEM!$A$3:$AH$1849,6,FALSE)</f>
        <v>Electrosurgical Units, Monopolar/Bipolar</v>
      </c>
      <c r="DJK92" s="165" t="s">
        <v>945</v>
      </c>
      <c r="DJL92" s="166" t="str">
        <f>VLOOKUP(DJK92,[13]AssetDetails_UEM!$A$3:$AH$1849,6,FALSE)</f>
        <v>Electrosurgical Units, Monopolar/Bipolar</v>
      </c>
      <c r="DJM92" s="165" t="s">
        <v>945</v>
      </c>
      <c r="DJN92" s="166" t="str">
        <f>VLOOKUP(DJM92,[13]AssetDetails_UEM!$A$3:$AH$1849,6,FALSE)</f>
        <v>Electrosurgical Units, Monopolar/Bipolar</v>
      </c>
      <c r="DJO92" s="165" t="s">
        <v>945</v>
      </c>
      <c r="DJP92" s="166" t="str">
        <f>VLOOKUP(DJO92,[13]AssetDetails_UEM!$A$3:$AH$1849,6,FALSE)</f>
        <v>Electrosurgical Units, Monopolar/Bipolar</v>
      </c>
      <c r="DJQ92" s="165" t="s">
        <v>945</v>
      </c>
      <c r="DJR92" s="166" t="str">
        <f>VLOOKUP(DJQ92,[13]AssetDetails_UEM!$A$3:$AH$1849,6,FALSE)</f>
        <v>Electrosurgical Units, Monopolar/Bipolar</v>
      </c>
      <c r="DJS92" s="165" t="s">
        <v>945</v>
      </c>
      <c r="DJT92" s="166" t="str">
        <f>VLOOKUP(DJS92,[13]AssetDetails_UEM!$A$3:$AH$1849,6,FALSE)</f>
        <v>Electrosurgical Units, Monopolar/Bipolar</v>
      </c>
      <c r="DJU92" s="165" t="s">
        <v>945</v>
      </c>
      <c r="DJV92" s="166" t="str">
        <f>VLOOKUP(DJU92,[13]AssetDetails_UEM!$A$3:$AH$1849,6,FALSE)</f>
        <v>Electrosurgical Units, Monopolar/Bipolar</v>
      </c>
      <c r="DJW92" s="165" t="s">
        <v>945</v>
      </c>
      <c r="DJX92" s="166" t="str">
        <f>VLOOKUP(DJW92,[13]AssetDetails_UEM!$A$3:$AH$1849,6,FALSE)</f>
        <v>Electrosurgical Units, Monopolar/Bipolar</v>
      </c>
      <c r="DJY92" s="165" t="s">
        <v>945</v>
      </c>
      <c r="DJZ92" s="166" t="str">
        <f>VLOOKUP(DJY92,[13]AssetDetails_UEM!$A$3:$AH$1849,6,FALSE)</f>
        <v>Electrosurgical Units, Monopolar/Bipolar</v>
      </c>
      <c r="DKA92" s="165" t="s">
        <v>945</v>
      </c>
      <c r="DKB92" s="166" t="str">
        <f>VLOOKUP(DKA92,[13]AssetDetails_UEM!$A$3:$AH$1849,6,FALSE)</f>
        <v>Electrosurgical Units, Monopolar/Bipolar</v>
      </c>
      <c r="DKC92" s="165" t="s">
        <v>945</v>
      </c>
      <c r="DKD92" s="166" t="str">
        <f>VLOOKUP(DKC92,[13]AssetDetails_UEM!$A$3:$AH$1849,6,FALSE)</f>
        <v>Electrosurgical Units, Monopolar/Bipolar</v>
      </c>
      <c r="DKE92" s="165" t="s">
        <v>945</v>
      </c>
      <c r="DKF92" s="166" t="str">
        <f>VLOOKUP(DKE92,[13]AssetDetails_UEM!$A$3:$AH$1849,6,FALSE)</f>
        <v>Electrosurgical Units, Monopolar/Bipolar</v>
      </c>
      <c r="DKG92" s="165" t="s">
        <v>945</v>
      </c>
      <c r="DKH92" s="166" t="str">
        <f>VLOOKUP(DKG92,[13]AssetDetails_UEM!$A$3:$AH$1849,6,FALSE)</f>
        <v>Electrosurgical Units, Monopolar/Bipolar</v>
      </c>
      <c r="DKI92" s="165" t="s">
        <v>945</v>
      </c>
      <c r="DKJ92" s="166" t="str">
        <f>VLOOKUP(DKI92,[13]AssetDetails_UEM!$A$3:$AH$1849,6,FALSE)</f>
        <v>Electrosurgical Units, Monopolar/Bipolar</v>
      </c>
      <c r="DKK92" s="165" t="s">
        <v>945</v>
      </c>
      <c r="DKL92" s="166" t="str">
        <f>VLOOKUP(DKK92,[13]AssetDetails_UEM!$A$3:$AH$1849,6,FALSE)</f>
        <v>Electrosurgical Units, Monopolar/Bipolar</v>
      </c>
      <c r="DKM92" s="165" t="s">
        <v>945</v>
      </c>
      <c r="DKN92" s="166" t="str">
        <f>VLOOKUP(DKM92,[13]AssetDetails_UEM!$A$3:$AH$1849,6,FALSE)</f>
        <v>Electrosurgical Units, Monopolar/Bipolar</v>
      </c>
      <c r="DKO92" s="165" t="s">
        <v>945</v>
      </c>
      <c r="DKP92" s="166" t="str">
        <f>VLOOKUP(DKO92,[13]AssetDetails_UEM!$A$3:$AH$1849,6,FALSE)</f>
        <v>Electrosurgical Units, Monopolar/Bipolar</v>
      </c>
      <c r="DKQ92" s="165" t="s">
        <v>945</v>
      </c>
      <c r="DKR92" s="166" t="str">
        <f>VLOOKUP(DKQ92,[13]AssetDetails_UEM!$A$3:$AH$1849,6,FALSE)</f>
        <v>Electrosurgical Units, Monopolar/Bipolar</v>
      </c>
      <c r="DKS92" s="165" t="s">
        <v>945</v>
      </c>
      <c r="DKT92" s="166" t="str">
        <f>VLOOKUP(DKS92,[13]AssetDetails_UEM!$A$3:$AH$1849,6,FALSE)</f>
        <v>Electrosurgical Units, Monopolar/Bipolar</v>
      </c>
      <c r="DKU92" s="165" t="s">
        <v>945</v>
      </c>
      <c r="DKV92" s="166" t="str">
        <f>VLOOKUP(DKU92,[13]AssetDetails_UEM!$A$3:$AH$1849,6,FALSE)</f>
        <v>Electrosurgical Units, Monopolar/Bipolar</v>
      </c>
      <c r="DKW92" s="165" t="s">
        <v>945</v>
      </c>
      <c r="DKX92" s="166" t="str">
        <f>VLOOKUP(DKW92,[13]AssetDetails_UEM!$A$3:$AH$1849,6,FALSE)</f>
        <v>Electrosurgical Units, Monopolar/Bipolar</v>
      </c>
      <c r="DKY92" s="165" t="s">
        <v>945</v>
      </c>
      <c r="DKZ92" s="166" t="str">
        <f>VLOOKUP(DKY92,[13]AssetDetails_UEM!$A$3:$AH$1849,6,FALSE)</f>
        <v>Electrosurgical Units, Monopolar/Bipolar</v>
      </c>
      <c r="DLA92" s="165" t="s">
        <v>945</v>
      </c>
      <c r="DLB92" s="166" t="str">
        <f>VLOOKUP(DLA92,[13]AssetDetails_UEM!$A$3:$AH$1849,6,FALSE)</f>
        <v>Electrosurgical Units, Monopolar/Bipolar</v>
      </c>
      <c r="DLC92" s="165" t="s">
        <v>945</v>
      </c>
      <c r="DLD92" s="166" t="str">
        <f>VLOOKUP(DLC92,[13]AssetDetails_UEM!$A$3:$AH$1849,6,FALSE)</f>
        <v>Electrosurgical Units, Monopolar/Bipolar</v>
      </c>
      <c r="DLE92" s="165" t="s">
        <v>945</v>
      </c>
      <c r="DLF92" s="166" t="str">
        <f>VLOOKUP(DLE92,[13]AssetDetails_UEM!$A$3:$AH$1849,6,FALSE)</f>
        <v>Electrosurgical Units, Monopolar/Bipolar</v>
      </c>
      <c r="DLG92" s="165" t="s">
        <v>945</v>
      </c>
      <c r="DLH92" s="166" t="str">
        <f>VLOOKUP(DLG92,[13]AssetDetails_UEM!$A$3:$AH$1849,6,FALSE)</f>
        <v>Electrosurgical Units, Monopolar/Bipolar</v>
      </c>
      <c r="DLI92" s="165" t="s">
        <v>945</v>
      </c>
      <c r="DLJ92" s="166" t="str">
        <f>VLOOKUP(DLI92,[13]AssetDetails_UEM!$A$3:$AH$1849,6,FALSE)</f>
        <v>Electrosurgical Units, Monopolar/Bipolar</v>
      </c>
      <c r="DLK92" s="165" t="s">
        <v>945</v>
      </c>
      <c r="DLL92" s="166" t="str">
        <f>VLOOKUP(DLK92,[13]AssetDetails_UEM!$A$3:$AH$1849,6,FALSE)</f>
        <v>Electrosurgical Units, Monopolar/Bipolar</v>
      </c>
      <c r="DLM92" s="165" t="s">
        <v>945</v>
      </c>
      <c r="DLN92" s="166" t="str">
        <f>VLOOKUP(DLM92,[13]AssetDetails_UEM!$A$3:$AH$1849,6,FALSE)</f>
        <v>Electrosurgical Units, Monopolar/Bipolar</v>
      </c>
      <c r="DLO92" s="165" t="s">
        <v>945</v>
      </c>
      <c r="DLP92" s="166" t="str">
        <f>VLOOKUP(DLO92,[13]AssetDetails_UEM!$A$3:$AH$1849,6,FALSE)</f>
        <v>Electrosurgical Units, Monopolar/Bipolar</v>
      </c>
      <c r="DLQ92" s="165" t="s">
        <v>945</v>
      </c>
      <c r="DLR92" s="166" t="str">
        <f>VLOOKUP(DLQ92,[13]AssetDetails_UEM!$A$3:$AH$1849,6,FALSE)</f>
        <v>Electrosurgical Units, Monopolar/Bipolar</v>
      </c>
      <c r="DLS92" s="165" t="s">
        <v>945</v>
      </c>
      <c r="DLT92" s="166" t="str">
        <f>VLOOKUP(DLS92,[13]AssetDetails_UEM!$A$3:$AH$1849,6,FALSE)</f>
        <v>Electrosurgical Units, Monopolar/Bipolar</v>
      </c>
      <c r="DLU92" s="165" t="s">
        <v>945</v>
      </c>
      <c r="DLV92" s="166" t="str">
        <f>VLOOKUP(DLU92,[13]AssetDetails_UEM!$A$3:$AH$1849,6,FALSE)</f>
        <v>Electrosurgical Units, Monopolar/Bipolar</v>
      </c>
      <c r="DLW92" s="165" t="s">
        <v>945</v>
      </c>
      <c r="DLX92" s="166" t="str">
        <f>VLOOKUP(DLW92,[13]AssetDetails_UEM!$A$3:$AH$1849,6,FALSE)</f>
        <v>Electrosurgical Units, Monopolar/Bipolar</v>
      </c>
      <c r="DLY92" s="165" t="s">
        <v>945</v>
      </c>
      <c r="DLZ92" s="166" t="str">
        <f>VLOOKUP(DLY92,[13]AssetDetails_UEM!$A$3:$AH$1849,6,FALSE)</f>
        <v>Electrosurgical Units, Monopolar/Bipolar</v>
      </c>
      <c r="DMA92" s="165" t="s">
        <v>945</v>
      </c>
      <c r="DMB92" s="166" t="str">
        <f>VLOOKUP(DMA92,[13]AssetDetails_UEM!$A$3:$AH$1849,6,FALSE)</f>
        <v>Electrosurgical Units, Monopolar/Bipolar</v>
      </c>
      <c r="DMC92" s="165" t="s">
        <v>945</v>
      </c>
      <c r="DMD92" s="166" t="str">
        <f>VLOOKUP(DMC92,[13]AssetDetails_UEM!$A$3:$AH$1849,6,FALSE)</f>
        <v>Electrosurgical Units, Monopolar/Bipolar</v>
      </c>
      <c r="DME92" s="165" t="s">
        <v>945</v>
      </c>
      <c r="DMF92" s="166" t="str">
        <f>VLOOKUP(DME92,[13]AssetDetails_UEM!$A$3:$AH$1849,6,FALSE)</f>
        <v>Electrosurgical Units, Monopolar/Bipolar</v>
      </c>
      <c r="DMG92" s="165" t="s">
        <v>945</v>
      </c>
      <c r="DMH92" s="166" t="str">
        <f>VLOOKUP(DMG92,[13]AssetDetails_UEM!$A$3:$AH$1849,6,FALSE)</f>
        <v>Electrosurgical Units, Monopolar/Bipolar</v>
      </c>
      <c r="DMI92" s="165" t="s">
        <v>945</v>
      </c>
      <c r="DMJ92" s="166" t="str">
        <f>VLOOKUP(DMI92,[13]AssetDetails_UEM!$A$3:$AH$1849,6,FALSE)</f>
        <v>Electrosurgical Units, Monopolar/Bipolar</v>
      </c>
      <c r="DMK92" s="165" t="s">
        <v>945</v>
      </c>
      <c r="DML92" s="166" t="str">
        <f>VLOOKUP(DMK92,[13]AssetDetails_UEM!$A$3:$AH$1849,6,FALSE)</f>
        <v>Electrosurgical Units, Monopolar/Bipolar</v>
      </c>
      <c r="DMM92" s="165" t="s">
        <v>945</v>
      </c>
      <c r="DMN92" s="166" t="str">
        <f>VLOOKUP(DMM92,[13]AssetDetails_UEM!$A$3:$AH$1849,6,FALSE)</f>
        <v>Electrosurgical Units, Monopolar/Bipolar</v>
      </c>
      <c r="DMO92" s="165" t="s">
        <v>945</v>
      </c>
      <c r="DMP92" s="166" t="str">
        <f>VLOOKUP(DMO92,[13]AssetDetails_UEM!$A$3:$AH$1849,6,FALSE)</f>
        <v>Electrosurgical Units, Monopolar/Bipolar</v>
      </c>
      <c r="DMQ92" s="165" t="s">
        <v>945</v>
      </c>
      <c r="DMR92" s="166" t="str">
        <f>VLOOKUP(DMQ92,[13]AssetDetails_UEM!$A$3:$AH$1849,6,FALSE)</f>
        <v>Electrosurgical Units, Monopolar/Bipolar</v>
      </c>
      <c r="DMS92" s="165" t="s">
        <v>945</v>
      </c>
      <c r="DMT92" s="166" t="str">
        <f>VLOOKUP(DMS92,[13]AssetDetails_UEM!$A$3:$AH$1849,6,FALSE)</f>
        <v>Electrosurgical Units, Monopolar/Bipolar</v>
      </c>
      <c r="DMU92" s="165" t="s">
        <v>945</v>
      </c>
      <c r="DMV92" s="166" t="str">
        <f>VLOOKUP(DMU92,[13]AssetDetails_UEM!$A$3:$AH$1849,6,FALSE)</f>
        <v>Electrosurgical Units, Monopolar/Bipolar</v>
      </c>
      <c r="DMW92" s="165" t="s">
        <v>945</v>
      </c>
      <c r="DMX92" s="166" t="str">
        <f>VLOOKUP(DMW92,[13]AssetDetails_UEM!$A$3:$AH$1849,6,FALSE)</f>
        <v>Electrosurgical Units, Monopolar/Bipolar</v>
      </c>
      <c r="DMY92" s="165" t="s">
        <v>945</v>
      </c>
      <c r="DMZ92" s="166" t="str">
        <f>VLOOKUP(DMY92,[13]AssetDetails_UEM!$A$3:$AH$1849,6,FALSE)</f>
        <v>Electrosurgical Units, Monopolar/Bipolar</v>
      </c>
      <c r="DNA92" s="165" t="s">
        <v>945</v>
      </c>
      <c r="DNB92" s="166" t="str">
        <f>VLOOKUP(DNA92,[13]AssetDetails_UEM!$A$3:$AH$1849,6,FALSE)</f>
        <v>Electrosurgical Units, Monopolar/Bipolar</v>
      </c>
      <c r="DNC92" s="165" t="s">
        <v>945</v>
      </c>
      <c r="DND92" s="166" t="str">
        <f>VLOOKUP(DNC92,[13]AssetDetails_UEM!$A$3:$AH$1849,6,FALSE)</f>
        <v>Electrosurgical Units, Monopolar/Bipolar</v>
      </c>
      <c r="DNE92" s="165" t="s">
        <v>945</v>
      </c>
      <c r="DNF92" s="166" t="str">
        <f>VLOOKUP(DNE92,[13]AssetDetails_UEM!$A$3:$AH$1849,6,FALSE)</f>
        <v>Electrosurgical Units, Monopolar/Bipolar</v>
      </c>
      <c r="DNG92" s="165" t="s">
        <v>945</v>
      </c>
      <c r="DNH92" s="166" t="str">
        <f>VLOOKUP(DNG92,[13]AssetDetails_UEM!$A$3:$AH$1849,6,FALSE)</f>
        <v>Electrosurgical Units, Monopolar/Bipolar</v>
      </c>
      <c r="DNI92" s="165" t="s">
        <v>945</v>
      </c>
      <c r="DNJ92" s="166" t="str">
        <f>VLOOKUP(DNI92,[13]AssetDetails_UEM!$A$3:$AH$1849,6,FALSE)</f>
        <v>Electrosurgical Units, Monopolar/Bipolar</v>
      </c>
      <c r="DNK92" s="165" t="s">
        <v>945</v>
      </c>
      <c r="DNL92" s="166" t="str">
        <f>VLOOKUP(DNK92,[13]AssetDetails_UEM!$A$3:$AH$1849,6,FALSE)</f>
        <v>Electrosurgical Units, Monopolar/Bipolar</v>
      </c>
      <c r="DNM92" s="165" t="s">
        <v>945</v>
      </c>
      <c r="DNN92" s="166" t="str">
        <f>VLOOKUP(DNM92,[13]AssetDetails_UEM!$A$3:$AH$1849,6,FALSE)</f>
        <v>Electrosurgical Units, Monopolar/Bipolar</v>
      </c>
      <c r="DNO92" s="165" t="s">
        <v>945</v>
      </c>
      <c r="DNP92" s="166" t="str">
        <f>VLOOKUP(DNO92,[13]AssetDetails_UEM!$A$3:$AH$1849,6,FALSE)</f>
        <v>Electrosurgical Units, Monopolar/Bipolar</v>
      </c>
      <c r="DNQ92" s="165" t="s">
        <v>945</v>
      </c>
      <c r="DNR92" s="166" t="str">
        <f>VLOOKUP(DNQ92,[13]AssetDetails_UEM!$A$3:$AH$1849,6,FALSE)</f>
        <v>Electrosurgical Units, Monopolar/Bipolar</v>
      </c>
      <c r="DNS92" s="165" t="s">
        <v>945</v>
      </c>
      <c r="DNT92" s="166" t="str">
        <f>VLOOKUP(DNS92,[13]AssetDetails_UEM!$A$3:$AH$1849,6,FALSE)</f>
        <v>Electrosurgical Units, Monopolar/Bipolar</v>
      </c>
      <c r="DNU92" s="165" t="s">
        <v>945</v>
      </c>
      <c r="DNV92" s="166" t="str">
        <f>VLOOKUP(DNU92,[13]AssetDetails_UEM!$A$3:$AH$1849,6,FALSE)</f>
        <v>Electrosurgical Units, Monopolar/Bipolar</v>
      </c>
      <c r="DNW92" s="165" t="s">
        <v>945</v>
      </c>
      <c r="DNX92" s="166" t="str">
        <f>VLOOKUP(DNW92,[13]AssetDetails_UEM!$A$3:$AH$1849,6,FALSE)</f>
        <v>Electrosurgical Units, Monopolar/Bipolar</v>
      </c>
      <c r="DNY92" s="165" t="s">
        <v>945</v>
      </c>
      <c r="DNZ92" s="166" t="str">
        <f>VLOOKUP(DNY92,[13]AssetDetails_UEM!$A$3:$AH$1849,6,FALSE)</f>
        <v>Electrosurgical Units, Monopolar/Bipolar</v>
      </c>
      <c r="DOA92" s="165" t="s">
        <v>945</v>
      </c>
      <c r="DOB92" s="166" t="str">
        <f>VLOOKUP(DOA92,[13]AssetDetails_UEM!$A$3:$AH$1849,6,FALSE)</f>
        <v>Electrosurgical Units, Monopolar/Bipolar</v>
      </c>
      <c r="DOC92" s="165" t="s">
        <v>945</v>
      </c>
      <c r="DOD92" s="166" t="str">
        <f>VLOOKUP(DOC92,[13]AssetDetails_UEM!$A$3:$AH$1849,6,FALSE)</f>
        <v>Electrosurgical Units, Monopolar/Bipolar</v>
      </c>
      <c r="DOE92" s="165" t="s">
        <v>945</v>
      </c>
      <c r="DOF92" s="166" t="str">
        <f>VLOOKUP(DOE92,[13]AssetDetails_UEM!$A$3:$AH$1849,6,FALSE)</f>
        <v>Electrosurgical Units, Monopolar/Bipolar</v>
      </c>
      <c r="DOG92" s="165" t="s">
        <v>945</v>
      </c>
      <c r="DOH92" s="166" t="str">
        <f>VLOOKUP(DOG92,[13]AssetDetails_UEM!$A$3:$AH$1849,6,FALSE)</f>
        <v>Electrosurgical Units, Monopolar/Bipolar</v>
      </c>
      <c r="DOI92" s="165" t="s">
        <v>945</v>
      </c>
      <c r="DOJ92" s="166" t="str">
        <f>VLOOKUP(DOI92,[13]AssetDetails_UEM!$A$3:$AH$1849,6,FALSE)</f>
        <v>Electrosurgical Units, Monopolar/Bipolar</v>
      </c>
      <c r="DOK92" s="165" t="s">
        <v>945</v>
      </c>
      <c r="DOL92" s="166" t="str">
        <f>VLOOKUP(DOK92,[13]AssetDetails_UEM!$A$3:$AH$1849,6,FALSE)</f>
        <v>Electrosurgical Units, Monopolar/Bipolar</v>
      </c>
      <c r="DOM92" s="165" t="s">
        <v>945</v>
      </c>
      <c r="DON92" s="166" t="str">
        <f>VLOOKUP(DOM92,[13]AssetDetails_UEM!$A$3:$AH$1849,6,FALSE)</f>
        <v>Electrosurgical Units, Monopolar/Bipolar</v>
      </c>
      <c r="DOO92" s="165" t="s">
        <v>945</v>
      </c>
      <c r="DOP92" s="166" t="str">
        <f>VLOOKUP(DOO92,[13]AssetDetails_UEM!$A$3:$AH$1849,6,FALSE)</f>
        <v>Electrosurgical Units, Monopolar/Bipolar</v>
      </c>
      <c r="DOQ92" s="165" t="s">
        <v>945</v>
      </c>
      <c r="DOR92" s="166" t="str">
        <f>VLOOKUP(DOQ92,[13]AssetDetails_UEM!$A$3:$AH$1849,6,FALSE)</f>
        <v>Electrosurgical Units, Monopolar/Bipolar</v>
      </c>
      <c r="DOS92" s="165" t="s">
        <v>945</v>
      </c>
      <c r="DOT92" s="166" t="str">
        <f>VLOOKUP(DOS92,[13]AssetDetails_UEM!$A$3:$AH$1849,6,FALSE)</f>
        <v>Electrosurgical Units, Monopolar/Bipolar</v>
      </c>
      <c r="DOU92" s="165" t="s">
        <v>945</v>
      </c>
      <c r="DOV92" s="166" t="str">
        <f>VLOOKUP(DOU92,[13]AssetDetails_UEM!$A$3:$AH$1849,6,FALSE)</f>
        <v>Electrosurgical Units, Monopolar/Bipolar</v>
      </c>
      <c r="DOW92" s="165" t="s">
        <v>945</v>
      </c>
      <c r="DOX92" s="166" t="str">
        <f>VLOOKUP(DOW92,[13]AssetDetails_UEM!$A$3:$AH$1849,6,FALSE)</f>
        <v>Electrosurgical Units, Monopolar/Bipolar</v>
      </c>
      <c r="DOY92" s="165" t="s">
        <v>945</v>
      </c>
      <c r="DOZ92" s="166" t="str">
        <f>VLOOKUP(DOY92,[13]AssetDetails_UEM!$A$3:$AH$1849,6,FALSE)</f>
        <v>Electrosurgical Units, Monopolar/Bipolar</v>
      </c>
      <c r="DPA92" s="165" t="s">
        <v>945</v>
      </c>
      <c r="DPB92" s="166" t="str">
        <f>VLOOKUP(DPA92,[13]AssetDetails_UEM!$A$3:$AH$1849,6,FALSE)</f>
        <v>Electrosurgical Units, Monopolar/Bipolar</v>
      </c>
      <c r="DPC92" s="165" t="s">
        <v>945</v>
      </c>
      <c r="DPD92" s="166" t="str">
        <f>VLOOKUP(DPC92,[13]AssetDetails_UEM!$A$3:$AH$1849,6,FALSE)</f>
        <v>Electrosurgical Units, Monopolar/Bipolar</v>
      </c>
      <c r="DPE92" s="165" t="s">
        <v>945</v>
      </c>
      <c r="DPF92" s="166" t="str">
        <f>VLOOKUP(DPE92,[13]AssetDetails_UEM!$A$3:$AH$1849,6,FALSE)</f>
        <v>Electrosurgical Units, Monopolar/Bipolar</v>
      </c>
      <c r="DPG92" s="165" t="s">
        <v>945</v>
      </c>
      <c r="DPH92" s="166" t="str">
        <f>VLOOKUP(DPG92,[13]AssetDetails_UEM!$A$3:$AH$1849,6,FALSE)</f>
        <v>Electrosurgical Units, Monopolar/Bipolar</v>
      </c>
      <c r="DPI92" s="165" t="s">
        <v>945</v>
      </c>
      <c r="DPJ92" s="166" t="str">
        <f>VLOOKUP(DPI92,[13]AssetDetails_UEM!$A$3:$AH$1849,6,FALSE)</f>
        <v>Electrosurgical Units, Monopolar/Bipolar</v>
      </c>
      <c r="DPK92" s="165" t="s">
        <v>945</v>
      </c>
      <c r="DPL92" s="166" t="str">
        <f>VLOOKUP(DPK92,[13]AssetDetails_UEM!$A$3:$AH$1849,6,FALSE)</f>
        <v>Electrosurgical Units, Monopolar/Bipolar</v>
      </c>
      <c r="DPM92" s="165" t="s">
        <v>945</v>
      </c>
      <c r="DPN92" s="166" t="str">
        <f>VLOOKUP(DPM92,[13]AssetDetails_UEM!$A$3:$AH$1849,6,FALSE)</f>
        <v>Electrosurgical Units, Monopolar/Bipolar</v>
      </c>
      <c r="DPO92" s="165" t="s">
        <v>945</v>
      </c>
      <c r="DPP92" s="166" t="str">
        <f>VLOOKUP(DPO92,[13]AssetDetails_UEM!$A$3:$AH$1849,6,FALSE)</f>
        <v>Electrosurgical Units, Monopolar/Bipolar</v>
      </c>
      <c r="DPQ92" s="165" t="s">
        <v>945</v>
      </c>
      <c r="DPR92" s="166" t="str">
        <f>VLOOKUP(DPQ92,[13]AssetDetails_UEM!$A$3:$AH$1849,6,FALSE)</f>
        <v>Electrosurgical Units, Monopolar/Bipolar</v>
      </c>
      <c r="DPS92" s="165" t="s">
        <v>945</v>
      </c>
      <c r="DPT92" s="166" t="str">
        <f>VLOOKUP(DPS92,[13]AssetDetails_UEM!$A$3:$AH$1849,6,FALSE)</f>
        <v>Electrosurgical Units, Monopolar/Bipolar</v>
      </c>
      <c r="DPU92" s="165" t="s">
        <v>945</v>
      </c>
      <c r="DPV92" s="166" t="str">
        <f>VLOOKUP(DPU92,[13]AssetDetails_UEM!$A$3:$AH$1849,6,FALSE)</f>
        <v>Electrosurgical Units, Monopolar/Bipolar</v>
      </c>
      <c r="DPW92" s="165" t="s">
        <v>945</v>
      </c>
      <c r="DPX92" s="166" t="str">
        <f>VLOOKUP(DPW92,[13]AssetDetails_UEM!$A$3:$AH$1849,6,FALSE)</f>
        <v>Electrosurgical Units, Monopolar/Bipolar</v>
      </c>
      <c r="DPY92" s="165" t="s">
        <v>945</v>
      </c>
      <c r="DPZ92" s="166" t="str">
        <f>VLOOKUP(DPY92,[13]AssetDetails_UEM!$A$3:$AH$1849,6,FALSE)</f>
        <v>Electrosurgical Units, Monopolar/Bipolar</v>
      </c>
      <c r="DQA92" s="165" t="s">
        <v>945</v>
      </c>
      <c r="DQB92" s="166" t="str">
        <f>VLOOKUP(DQA92,[13]AssetDetails_UEM!$A$3:$AH$1849,6,FALSE)</f>
        <v>Electrosurgical Units, Monopolar/Bipolar</v>
      </c>
      <c r="DQC92" s="165" t="s">
        <v>945</v>
      </c>
      <c r="DQD92" s="166" t="str">
        <f>VLOOKUP(DQC92,[13]AssetDetails_UEM!$A$3:$AH$1849,6,FALSE)</f>
        <v>Electrosurgical Units, Monopolar/Bipolar</v>
      </c>
      <c r="DQE92" s="165" t="s">
        <v>945</v>
      </c>
      <c r="DQF92" s="166" t="str">
        <f>VLOOKUP(DQE92,[13]AssetDetails_UEM!$A$3:$AH$1849,6,FALSE)</f>
        <v>Electrosurgical Units, Monopolar/Bipolar</v>
      </c>
      <c r="DQG92" s="165" t="s">
        <v>945</v>
      </c>
      <c r="DQH92" s="166" t="str">
        <f>VLOOKUP(DQG92,[13]AssetDetails_UEM!$A$3:$AH$1849,6,FALSE)</f>
        <v>Electrosurgical Units, Monopolar/Bipolar</v>
      </c>
      <c r="DQI92" s="165" t="s">
        <v>945</v>
      </c>
      <c r="DQJ92" s="166" t="str">
        <f>VLOOKUP(DQI92,[13]AssetDetails_UEM!$A$3:$AH$1849,6,FALSE)</f>
        <v>Electrosurgical Units, Monopolar/Bipolar</v>
      </c>
      <c r="DQK92" s="165" t="s">
        <v>945</v>
      </c>
      <c r="DQL92" s="166" t="str">
        <f>VLOOKUP(DQK92,[13]AssetDetails_UEM!$A$3:$AH$1849,6,FALSE)</f>
        <v>Electrosurgical Units, Monopolar/Bipolar</v>
      </c>
      <c r="DQM92" s="165" t="s">
        <v>945</v>
      </c>
      <c r="DQN92" s="166" t="str">
        <f>VLOOKUP(DQM92,[13]AssetDetails_UEM!$A$3:$AH$1849,6,FALSE)</f>
        <v>Electrosurgical Units, Monopolar/Bipolar</v>
      </c>
      <c r="DQO92" s="165" t="s">
        <v>945</v>
      </c>
      <c r="DQP92" s="166" t="str">
        <f>VLOOKUP(DQO92,[13]AssetDetails_UEM!$A$3:$AH$1849,6,FALSE)</f>
        <v>Electrosurgical Units, Monopolar/Bipolar</v>
      </c>
      <c r="DQQ92" s="165" t="s">
        <v>945</v>
      </c>
      <c r="DQR92" s="166" t="str">
        <f>VLOOKUP(DQQ92,[13]AssetDetails_UEM!$A$3:$AH$1849,6,FALSE)</f>
        <v>Electrosurgical Units, Monopolar/Bipolar</v>
      </c>
      <c r="DQS92" s="165" t="s">
        <v>945</v>
      </c>
      <c r="DQT92" s="166" t="str">
        <f>VLOOKUP(DQS92,[13]AssetDetails_UEM!$A$3:$AH$1849,6,FALSE)</f>
        <v>Electrosurgical Units, Monopolar/Bipolar</v>
      </c>
      <c r="DQU92" s="165" t="s">
        <v>945</v>
      </c>
      <c r="DQV92" s="166" t="str">
        <f>VLOOKUP(DQU92,[13]AssetDetails_UEM!$A$3:$AH$1849,6,FALSE)</f>
        <v>Electrosurgical Units, Monopolar/Bipolar</v>
      </c>
      <c r="DQW92" s="165" t="s">
        <v>945</v>
      </c>
      <c r="DQX92" s="166" t="str">
        <f>VLOOKUP(DQW92,[13]AssetDetails_UEM!$A$3:$AH$1849,6,FALSE)</f>
        <v>Electrosurgical Units, Monopolar/Bipolar</v>
      </c>
      <c r="DQY92" s="165" t="s">
        <v>945</v>
      </c>
      <c r="DQZ92" s="166" t="str">
        <f>VLOOKUP(DQY92,[13]AssetDetails_UEM!$A$3:$AH$1849,6,FALSE)</f>
        <v>Electrosurgical Units, Monopolar/Bipolar</v>
      </c>
      <c r="DRA92" s="165" t="s">
        <v>945</v>
      </c>
      <c r="DRB92" s="166" t="str">
        <f>VLOOKUP(DRA92,[13]AssetDetails_UEM!$A$3:$AH$1849,6,FALSE)</f>
        <v>Electrosurgical Units, Monopolar/Bipolar</v>
      </c>
      <c r="DRC92" s="165" t="s">
        <v>945</v>
      </c>
      <c r="DRD92" s="166" t="str">
        <f>VLOOKUP(DRC92,[13]AssetDetails_UEM!$A$3:$AH$1849,6,FALSE)</f>
        <v>Electrosurgical Units, Monopolar/Bipolar</v>
      </c>
      <c r="DRE92" s="165" t="s">
        <v>945</v>
      </c>
      <c r="DRF92" s="166" t="str">
        <f>VLOOKUP(DRE92,[13]AssetDetails_UEM!$A$3:$AH$1849,6,FALSE)</f>
        <v>Electrosurgical Units, Monopolar/Bipolar</v>
      </c>
      <c r="DRG92" s="165" t="s">
        <v>945</v>
      </c>
      <c r="DRH92" s="166" t="str">
        <f>VLOOKUP(DRG92,[13]AssetDetails_UEM!$A$3:$AH$1849,6,FALSE)</f>
        <v>Electrosurgical Units, Monopolar/Bipolar</v>
      </c>
      <c r="DRI92" s="165" t="s">
        <v>945</v>
      </c>
      <c r="DRJ92" s="166" t="str">
        <f>VLOOKUP(DRI92,[13]AssetDetails_UEM!$A$3:$AH$1849,6,FALSE)</f>
        <v>Electrosurgical Units, Monopolar/Bipolar</v>
      </c>
      <c r="DRK92" s="165" t="s">
        <v>945</v>
      </c>
      <c r="DRL92" s="166" t="str">
        <f>VLOOKUP(DRK92,[13]AssetDetails_UEM!$A$3:$AH$1849,6,FALSE)</f>
        <v>Electrosurgical Units, Monopolar/Bipolar</v>
      </c>
      <c r="DRM92" s="165" t="s">
        <v>945</v>
      </c>
      <c r="DRN92" s="166" t="str">
        <f>VLOOKUP(DRM92,[13]AssetDetails_UEM!$A$3:$AH$1849,6,FALSE)</f>
        <v>Electrosurgical Units, Monopolar/Bipolar</v>
      </c>
      <c r="DRO92" s="165" t="s">
        <v>945</v>
      </c>
      <c r="DRP92" s="166" t="str">
        <f>VLOOKUP(DRO92,[13]AssetDetails_UEM!$A$3:$AH$1849,6,FALSE)</f>
        <v>Electrosurgical Units, Monopolar/Bipolar</v>
      </c>
      <c r="DRQ92" s="165" t="s">
        <v>945</v>
      </c>
      <c r="DRR92" s="166" t="str">
        <f>VLOOKUP(DRQ92,[13]AssetDetails_UEM!$A$3:$AH$1849,6,FALSE)</f>
        <v>Electrosurgical Units, Monopolar/Bipolar</v>
      </c>
      <c r="DRS92" s="165" t="s">
        <v>945</v>
      </c>
      <c r="DRT92" s="166" t="str">
        <f>VLOOKUP(DRS92,[13]AssetDetails_UEM!$A$3:$AH$1849,6,FALSE)</f>
        <v>Electrosurgical Units, Monopolar/Bipolar</v>
      </c>
      <c r="DRU92" s="165" t="s">
        <v>945</v>
      </c>
      <c r="DRV92" s="166" t="str">
        <f>VLOOKUP(DRU92,[13]AssetDetails_UEM!$A$3:$AH$1849,6,FALSE)</f>
        <v>Electrosurgical Units, Monopolar/Bipolar</v>
      </c>
      <c r="DRW92" s="165" t="s">
        <v>945</v>
      </c>
      <c r="DRX92" s="166" t="str">
        <f>VLOOKUP(DRW92,[13]AssetDetails_UEM!$A$3:$AH$1849,6,FALSE)</f>
        <v>Electrosurgical Units, Monopolar/Bipolar</v>
      </c>
      <c r="DRY92" s="165" t="s">
        <v>945</v>
      </c>
      <c r="DRZ92" s="166" t="str">
        <f>VLOOKUP(DRY92,[13]AssetDetails_UEM!$A$3:$AH$1849,6,FALSE)</f>
        <v>Electrosurgical Units, Monopolar/Bipolar</v>
      </c>
      <c r="DSA92" s="165" t="s">
        <v>945</v>
      </c>
      <c r="DSB92" s="166" t="str">
        <f>VLOOKUP(DSA92,[13]AssetDetails_UEM!$A$3:$AH$1849,6,FALSE)</f>
        <v>Electrosurgical Units, Monopolar/Bipolar</v>
      </c>
      <c r="DSC92" s="165" t="s">
        <v>945</v>
      </c>
      <c r="DSD92" s="166" t="str">
        <f>VLOOKUP(DSC92,[13]AssetDetails_UEM!$A$3:$AH$1849,6,FALSE)</f>
        <v>Electrosurgical Units, Monopolar/Bipolar</v>
      </c>
      <c r="DSE92" s="165" t="s">
        <v>945</v>
      </c>
      <c r="DSF92" s="166" t="str">
        <f>VLOOKUP(DSE92,[13]AssetDetails_UEM!$A$3:$AH$1849,6,FALSE)</f>
        <v>Electrosurgical Units, Monopolar/Bipolar</v>
      </c>
      <c r="DSG92" s="165" t="s">
        <v>945</v>
      </c>
      <c r="DSH92" s="166" t="str">
        <f>VLOOKUP(DSG92,[13]AssetDetails_UEM!$A$3:$AH$1849,6,FALSE)</f>
        <v>Electrosurgical Units, Monopolar/Bipolar</v>
      </c>
      <c r="DSI92" s="165" t="s">
        <v>945</v>
      </c>
      <c r="DSJ92" s="166" t="str">
        <f>VLOOKUP(DSI92,[13]AssetDetails_UEM!$A$3:$AH$1849,6,FALSE)</f>
        <v>Electrosurgical Units, Monopolar/Bipolar</v>
      </c>
      <c r="DSK92" s="165" t="s">
        <v>945</v>
      </c>
      <c r="DSL92" s="166" t="str">
        <f>VLOOKUP(DSK92,[13]AssetDetails_UEM!$A$3:$AH$1849,6,FALSE)</f>
        <v>Electrosurgical Units, Monopolar/Bipolar</v>
      </c>
      <c r="DSM92" s="165" t="s">
        <v>945</v>
      </c>
      <c r="DSN92" s="166" t="str">
        <f>VLOOKUP(DSM92,[13]AssetDetails_UEM!$A$3:$AH$1849,6,FALSE)</f>
        <v>Electrosurgical Units, Monopolar/Bipolar</v>
      </c>
      <c r="DSO92" s="165" t="s">
        <v>945</v>
      </c>
      <c r="DSP92" s="166" t="str">
        <f>VLOOKUP(DSO92,[13]AssetDetails_UEM!$A$3:$AH$1849,6,FALSE)</f>
        <v>Electrosurgical Units, Monopolar/Bipolar</v>
      </c>
      <c r="DSQ92" s="165" t="s">
        <v>945</v>
      </c>
      <c r="DSR92" s="166" t="str">
        <f>VLOOKUP(DSQ92,[13]AssetDetails_UEM!$A$3:$AH$1849,6,FALSE)</f>
        <v>Electrosurgical Units, Monopolar/Bipolar</v>
      </c>
      <c r="DSS92" s="165" t="s">
        <v>945</v>
      </c>
      <c r="DST92" s="166" t="str">
        <f>VLOOKUP(DSS92,[13]AssetDetails_UEM!$A$3:$AH$1849,6,FALSE)</f>
        <v>Electrosurgical Units, Monopolar/Bipolar</v>
      </c>
      <c r="DSU92" s="165" t="s">
        <v>945</v>
      </c>
      <c r="DSV92" s="166" t="str">
        <f>VLOOKUP(DSU92,[13]AssetDetails_UEM!$A$3:$AH$1849,6,FALSE)</f>
        <v>Electrosurgical Units, Monopolar/Bipolar</v>
      </c>
      <c r="DSW92" s="165" t="s">
        <v>945</v>
      </c>
      <c r="DSX92" s="166" t="str">
        <f>VLOOKUP(DSW92,[13]AssetDetails_UEM!$A$3:$AH$1849,6,FALSE)</f>
        <v>Electrosurgical Units, Monopolar/Bipolar</v>
      </c>
      <c r="DSY92" s="165" t="s">
        <v>945</v>
      </c>
      <c r="DSZ92" s="166" t="str">
        <f>VLOOKUP(DSY92,[13]AssetDetails_UEM!$A$3:$AH$1849,6,FALSE)</f>
        <v>Electrosurgical Units, Monopolar/Bipolar</v>
      </c>
      <c r="DTA92" s="165" t="s">
        <v>945</v>
      </c>
      <c r="DTB92" s="166" t="str">
        <f>VLOOKUP(DTA92,[13]AssetDetails_UEM!$A$3:$AH$1849,6,FALSE)</f>
        <v>Electrosurgical Units, Monopolar/Bipolar</v>
      </c>
      <c r="DTC92" s="165" t="s">
        <v>945</v>
      </c>
      <c r="DTD92" s="166" t="str">
        <f>VLOOKUP(DTC92,[13]AssetDetails_UEM!$A$3:$AH$1849,6,FALSE)</f>
        <v>Electrosurgical Units, Monopolar/Bipolar</v>
      </c>
      <c r="DTE92" s="165" t="s">
        <v>945</v>
      </c>
      <c r="DTF92" s="166" t="str">
        <f>VLOOKUP(DTE92,[13]AssetDetails_UEM!$A$3:$AH$1849,6,FALSE)</f>
        <v>Electrosurgical Units, Monopolar/Bipolar</v>
      </c>
      <c r="DTG92" s="165" t="s">
        <v>945</v>
      </c>
      <c r="DTH92" s="166" t="str">
        <f>VLOOKUP(DTG92,[13]AssetDetails_UEM!$A$3:$AH$1849,6,FALSE)</f>
        <v>Electrosurgical Units, Monopolar/Bipolar</v>
      </c>
      <c r="DTI92" s="165" t="s">
        <v>945</v>
      </c>
      <c r="DTJ92" s="166" t="str">
        <f>VLOOKUP(DTI92,[13]AssetDetails_UEM!$A$3:$AH$1849,6,FALSE)</f>
        <v>Electrosurgical Units, Monopolar/Bipolar</v>
      </c>
      <c r="DTK92" s="165" t="s">
        <v>945</v>
      </c>
      <c r="DTL92" s="166" t="str">
        <f>VLOOKUP(DTK92,[13]AssetDetails_UEM!$A$3:$AH$1849,6,FALSE)</f>
        <v>Electrosurgical Units, Monopolar/Bipolar</v>
      </c>
      <c r="DTM92" s="165" t="s">
        <v>945</v>
      </c>
      <c r="DTN92" s="166" t="str">
        <f>VLOOKUP(DTM92,[13]AssetDetails_UEM!$A$3:$AH$1849,6,FALSE)</f>
        <v>Electrosurgical Units, Monopolar/Bipolar</v>
      </c>
      <c r="DTO92" s="165" t="s">
        <v>945</v>
      </c>
      <c r="DTP92" s="166" t="str">
        <f>VLOOKUP(DTO92,[13]AssetDetails_UEM!$A$3:$AH$1849,6,FALSE)</f>
        <v>Electrosurgical Units, Monopolar/Bipolar</v>
      </c>
      <c r="DTQ92" s="165" t="s">
        <v>945</v>
      </c>
      <c r="DTR92" s="166" t="str">
        <f>VLOOKUP(DTQ92,[13]AssetDetails_UEM!$A$3:$AH$1849,6,FALSE)</f>
        <v>Electrosurgical Units, Monopolar/Bipolar</v>
      </c>
      <c r="DTS92" s="165" t="s">
        <v>945</v>
      </c>
      <c r="DTT92" s="166" t="str">
        <f>VLOOKUP(DTS92,[13]AssetDetails_UEM!$A$3:$AH$1849,6,FALSE)</f>
        <v>Electrosurgical Units, Monopolar/Bipolar</v>
      </c>
      <c r="DTU92" s="165" t="s">
        <v>945</v>
      </c>
      <c r="DTV92" s="166" t="str">
        <f>VLOOKUP(DTU92,[13]AssetDetails_UEM!$A$3:$AH$1849,6,FALSE)</f>
        <v>Electrosurgical Units, Monopolar/Bipolar</v>
      </c>
      <c r="DTW92" s="165" t="s">
        <v>945</v>
      </c>
      <c r="DTX92" s="166" t="str">
        <f>VLOOKUP(DTW92,[13]AssetDetails_UEM!$A$3:$AH$1849,6,FALSE)</f>
        <v>Electrosurgical Units, Monopolar/Bipolar</v>
      </c>
      <c r="DTY92" s="165" t="s">
        <v>945</v>
      </c>
      <c r="DTZ92" s="166" t="str">
        <f>VLOOKUP(DTY92,[13]AssetDetails_UEM!$A$3:$AH$1849,6,FALSE)</f>
        <v>Electrosurgical Units, Monopolar/Bipolar</v>
      </c>
      <c r="DUA92" s="165" t="s">
        <v>945</v>
      </c>
      <c r="DUB92" s="166" t="str">
        <f>VLOOKUP(DUA92,[13]AssetDetails_UEM!$A$3:$AH$1849,6,FALSE)</f>
        <v>Electrosurgical Units, Monopolar/Bipolar</v>
      </c>
      <c r="DUC92" s="165" t="s">
        <v>945</v>
      </c>
      <c r="DUD92" s="166" t="str">
        <f>VLOOKUP(DUC92,[13]AssetDetails_UEM!$A$3:$AH$1849,6,FALSE)</f>
        <v>Electrosurgical Units, Monopolar/Bipolar</v>
      </c>
      <c r="DUE92" s="165" t="s">
        <v>945</v>
      </c>
      <c r="DUF92" s="166" t="str">
        <f>VLOOKUP(DUE92,[13]AssetDetails_UEM!$A$3:$AH$1849,6,FALSE)</f>
        <v>Electrosurgical Units, Monopolar/Bipolar</v>
      </c>
      <c r="DUG92" s="165" t="s">
        <v>945</v>
      </c>
      <c r="DUH92" s="166" t="str">
        <f>VLOOKUP(DUG92,[13]AssetDetails_UEM!$A$3:$AH$1849,6,FALSE)</f>
        <v>Electrosurgical Units, Monopolar/Bipolar</v>
      </c>
      <c r="DUI92" s="165" t="s">
        <v>945</v>
      </c>
      <c r="DUJ92" s="166" t="str">
        <f>VLOOKUP(DUI92,[13]AssetDetails_UEM!$A$3:$AH$1849,6,FALSE)</f>
        <v>Electrosurgical Units, Monopolar/Bipolar</v>
      </c>
      <c r="DUK92" s="165" t="s">
        <v>945</v>
      </c>
      <c r="DUL92" s="166" t="str">
        <f>VLOOKUP(DUK92,[13]AssetDetails_UEM!$A$3:$AH$1849,6,FALSE)</f>
        <v>Electrosurgical Units, Monopolar/Bipolar</v>
      </c>
      <c r="DUM92" s="165" t="s">
        <v>945</v>
      </c>
      <c r="DUN92" s="166" t="str">
        <f>VLOOKUP(DUM92,[13]AssetDetails_UEM!$A$3:$AH$1849,6,FALSE)</f>
        <v>Electrosurgical Units, Monopolar/Bipolar</v>
      </c>
      <c r="DUO92" s="165" t="s">
        <v>945</v>
      </c>
      <c r="DUP92" s="166" t="str">
        <f>VLOOKUP(DUO92,[13]AssetDetails_UEM!$A$3:$AH$1849,6,FALSE)</f>
        <v>Electrosurgical Units, Monopolar/Bipolar</v>
      </c>
      <c r="DUQ92" s="165" t="s">
        <v>945</v>
      </c>
      <c r="DUR92" s="166" t="str">
        <f>VLOOKUP(DUQ92,[13]AssetDetails_UEM!$A$3:$AH$1849,6,FALSE)</f>
        <v>Electrosurgical Units, Monopolar/Bipolar</v>
      </c>
      <c r="DUS92" s="165" t="s">
        <v>945</v>
      </c>
      <c r="DUT92" s="166" t="str">
        <f>VLOOKUP(DUS92,[13]AssetDetails_UEM!$A$3:$AH$1849,6,FALSE)</f>
        <v>Electrosurgical Units, Monopolar/Bipolar</v>
      </c>
      <c r="DUU92" s="165" t="s">
        <v>945</v>
      </c>
      <c r="DUV92" s="166" t="str">
        <f>VLOOKUP(DUU92,[13]AssetDetails_UEM!$A$3:$AH$1849,6,FALSE)</f>
        <v>Electrosurgical Units, Monopolar/Bipolar</v>
      </c>
      <c r="DUW92" s="165" t="s">
        <v>945</v>
      </c>
      <c r="DUX92" s="166" t="str">
        <f>VLOOKUP(DUW92,[13]AssetDetails_UEM!$A$3:$AH$1849,6,FALSE)</f>
        <v>Electrosurgical Units, Monopolar/Bipolar</v>
      </c>
      <c r="DUY92" s="165" t="s">
        <v>945</v>
      </c>
      <c r="DUZ92" s="166" t="str">
        <f>VLOOKUP(DUY92,[13]AssetDetails_UEM!$A$3:$AH$1849,6,FALSE)</f>
        <v>Electrosurgical Units, Monopolar/Bipolar</v>
      </c>
      <c r="DVA92" s="165" t="s">
        <v>945</v>
      </c>
      <c r="DVB92" s="166" t="str">
        <f>VLOOKUP(DVA92,[13]AssetDetails_UEM!$A$3:$AH$1849,6,FALSE)</f>
        <v>Electrosurgical Units, Monopolar/Bipolar</v>
      </c>
      <c r="DVC92" s="165" t="s">
        <v>945</v>
      </c>
      <c r="DVD92" s="166" t="str">
        <f>VLOOKUP(DVC92,[13]AssetDetails_UEM!$A$3:$AH$1849,6,FALSE)</f>
        <v>Electrosurgical Units, Monopolar/Bipolar</v>
      </c>
      <c r="DVE92" s="165" t="s">
        <v>945</v>
      </c>
      <c r="DVF92" s="166" t="str">
        <f>VLOOKUP(DVE92,[13]AssetDetails_UEM!$A$3:$AH$1849,6,FALSE)</f>
        <v>Electrosurgical Units, Monopolar/Bipolar</v>
      </c>
      <c r="DVG92" s="165" t="s">
        <v>945</v>
      </c>
      <c r="DVH92" s="166" t="str">
        <f>VLOOKUP(DVG92,[13]AssetDetails_UEM!$A$3:$AH$1849,6,FALSE)</f>
        <v>Electrosurgical Units, Monopolar/Bipolar</v>
      </c>
      <c r="DVI92" s="165" t="s">
        <v>945</v>
      </c>
      <c r="DVJ92" s="166" t="str">
        <f>VLOOKUP(DVI92,[13]AssetDetails_UEM!$A$3:$AH$1849,6,FALSE)</f>
        <v>Electrosurgical Units, Monopolar/Bipolar</v>
      </c>
      <c r="DVK92" s="165" t="s">
        <v>945</v>
      </c>
      <c r="DVL92" s="166" t="str">
        <f>VLOOKUP(DVK92,[13]AssetDetails_UEM!$A$3:$AH$1849,6,FALSE)</f>
        <v>Electrosurgical Units, Monopolar/Bipolar</v>
      </c>
      <c r="DVM92" s="165" t="s">
        <v>945</v>
      </c>
      <c r="DVN92" s="166" t="str">
        <f>VLOOKUP(DVM92,[13]AssetDetails_UEM!$A$3:$AH$1849,6,FALSE)</f>
        <v>Electrosurgical Units, Monopolar/Bipolar</v>
      </c>
      <c r="DVO92" s="165" t="s">
        <v>945</v>
      </c>
      <c r="DVP92" s="166" t="str">
        <f>VLOOKUP(DVO92,[13]AssetDetails_UEM!$A$3:$AH$1849,6,FALSE)</f>
        <v>Electrosurgical Units, Monopolar/Bipolar</v>
      </c>
      <c r="DVQ92" s="165" t="s">
        <v>945</v>
      </c>
      <c r="DVR92" s="166" t="str">
        <f>VLOOKUP(DVQ92,[13]AssetDetails_UEM!$A$3:$AH$1849,6,FALSE)</f>
        <v>Electrosurgical Units, Monopolar/Bipolar</v>
      </c>
      <c r="DVS92" s="165" t="s">
        <v>945</v>
      </c>
      <c r="DVT92" s="166" t="str">
        <f>VLOOKUP(DVS92,[13]AssetDetails_UEM!$A$3:$AH$1849,6,FALSE)</f>
        <v>Electrosurgical Units, Monopolar/Bipolar</v>
      </c>
      <c r="DVU92" s="165" t="s">
        <v>945</v>
      </c>
      <c r="DVV92" s="166" t="str">
        <f>VLOOKUP(DVU92,[13]AssetDetails_UEM!$A$3:$AH$1849,6,FALSE)</f>
        <v>Electrosurgical Units, Monopolar/Bipolar</v>
      </c>
      <c r="DVW92" s="165" t="s">
        <v>945</v>
      </c>
      <c r="DVX92" s="166" t="str">
        <f>VLOOKUP(DVW92,[13]AssetDetails_UEM!$A$3:$AH$1849,6,FALSE)</f>
        <v>Electrosurgical Units, Monopolar/Bipolar</v>
      </c>
      <c r="DVY92" s="165" t="s">
        <v>945</v>
      </c>
      <c r="DVZ92" s="166" t="str">
        <f>VLOOKUP(DVY92,[13]AssetDetails_UEM!$A$3:$AH$1849,6,FALSE)</f>
        <v>Electrosurgical Units, Monopolar/Bipolar</v>
      </c>
      <c r="DWA92" s="165" t="s">
        <v>945</v>
      </c>
      <c r="DWB92" s="166" t="str">
        <f>VLOOKUP(DWA92,[13]AssetDetails_UEM!$A$3:$AH$1849,6,FALSE)</f>
        <v>Electrosurgical Units, Monopolar/Bipolar</v>
      </c>
      <c r="DWC92" s="165" t="s">
        <v>945</v>
      </c>
      <c r="DWD92" s="166" t="str">
        <f>VLOOKUP(DWC92,[13]AssetDetails_UEM!$A$3:$AH$1849,6,FALSE)</f>
        <v>Electrosurgical Units, Monopolar/Bipolar</v>
      </c>
      <c r="DWE92" s="165" t="s">
        <v>945</v>
      </c>
      <c r="DWF92" s="166" t="str">
        <f>VLOOKUP(DWE92,[13]AssetDetails_UEM!$A$3:$AH$1849,6,FALSE)</f>
        <v>Electrosurgical Units, Monopolar/Bipolar</v>
      </c>
      <c r="DWG92" s="165" t="s">
        <v>945</v>
      </c>
      <c r="DWH92" s="166" t="str">
        <f>VLOOKUP(DWG92,[13]AssetDetails_UEM!$A$3:$AH$1849,6,FALSE)</f>
        <v>Electrosurgical Units, Monopolar/Bipolar</v>
      </c>
      <c r="DWI92" s="165" t="s">
        <v>945</v>
      </c>
      <c r="DWJ92" s="166" t="str">
        <f>VLOOKUP(DWI92,[13]AssetDetails_UEM!$A$3:$AH$1849,6,FALSE)</f>
        <v>Electrosurgical Units, Monopolar/Bipolar</v>
      </c>
      <c r="DWK92" s="165" t="s">
        <v>945</v>
      </c>
      <c r="DWL92" s="166" t="str">
        <f>VLOOKUP(DWK92,[13]AssetDetails_UEM!$A$3:$AH$1849,6,FALSE)</f>
        <v>Electrosurgical Units, Monopolar/Bipolar</v>
      </c>
      <c r="DWM92" s="165" t="s">
        <v>945</v>
      </c>
      <c r="DWN92" s="166" t="str">
        <f>VLOOKUP(DWM92,[13]AssetDetails_UEM!$A$3:$AH$1849,6,FALSE)</f>
        <v>Electrosurgical Units, Monopolar/Bipolar</v>
      </c>
      <c r="DWO92" s="165" t="s">
        <v>945</v>
      </c>
      <c r="DWP92" s="166" t="str">
        <f>VLOOKUP(DWO92,[13]AssetDetails_UEM!$A$3:$AH$1849,6,FALSE)</f>
        <v>Electrosurgical Units, Monopolar/Bipolar</v>
      </c>
      <c r="DWQ92" s="165" t="s">
        <v>945</v>
      </c>
      <c r="DWR92" s="166" t="str">
        <f>VLOOKUP(DWQ92,[13]AssetDetails_UEM!$A$3:$AH$1849,6,FALSE)</f>
        <v>Electrosurgical Units, Monopolar/Bipolar</v>
      </c>
      <c r="DWS92" s="165" t="s">
        <v>945</v>
      </c>
      <c r="DWT92" s="166" t="str">
        <f>VLOOKUP(DWS92,[13]AssetDetails_UEM!$A$3:$AH$1849,6,FALSE)</f>
        <v>Electrosurgical Units, Monopolar/Bipolar</v>
      </c>
      <c r="DWU92" s="165" t="s">
        <v>945</v>
      </c>
      <c r="DWV92" s="166" t="str">
        <f>VLOOKUP(DWU92,[13]AssetDetails_UEM!$A$3:$AH$1849,6,FALSE)</f>
        <v>Electrosurgical Units, Monopolar/Bipolar</v>
      </c>
      <c r="DWW92" s="165" t="s">
        <v>945</v>
      </c>
      <c r="DWX92" s="166" t="str">
        <f>VLOOKUP(DWW92,[13]AssetDetails_UEM!$A$3:$AH$1849,6,FALSE)</f>
        <v>Electrosurgical Units, Monopolar/Bipolar</v>
      </c>
      <c r="DWY92" s="165" t="s">
        <v>945</v>
      </c>
      <c r="DWZ92" s="166" t="str">
        <f>VLOOKUP(DWY92,[13]AssetDetails_UEM!$A$3:$AH$1849,6,FALSE)</f>
        <v>Electrosurgical Units, Monopolar/Bipolar</v>
      </c>
      <c r="DXA92" s="165" t="s">
        <v>945</v>
      </c>
      <c r="DXB92" s="166" t="str">
        <f>VLOOKUP(DXA92,[13]AssetDetails_UEM!$A$3:$AH$1849,6,FALSE)</f>
        <v>Electrosurgical Units, Monopolar/Bipolar</v>
      </c>
      <c r="DXC92" s="165" t="s">
        <v>945</v>
      </c>
      <c r="DXD92" s="166" t="str">
        <f>VLOOKUP(DXC92,[13]AssetDetails_UEM!$A$3:$AH$1849,6,FALSE)</f>
        <v>Electrosurgical Units, Monopolar/Bipolar</v>
      </c>
      <c r="DXE92" s="165" t="s">
        <v>945</v>
      </c>
      <c r="DXF92" s="166" t="str">
        <f>VLOOKUP(DXE92,[13]AssetDetails_UEM!$A$3:$AH$1849,6,FALSE)</f>
        <v>Electrosurgical Units, Monopolar/Bipolar</v>
      </c>
      <c r="DXG92" s="165" t="s">
        <v>945</v>
      </c>
      <c r="DXH92" s="166" t="str">
        <f>VLOOKUP(DXG92,[13]AssetDetails_UEM!$A$3:$AH$1849,6,FALSE)</f>
        <v>Electrosurgical Units, Monopolar/Bipolar</v>
      </c>
      <c r="DXI92" s="165" t="s">
        <v>945</v>
      </c>
      <c r="DXJ92" s="166" t="str">
        <f>VLOOKUP(DXI92,[13]AssetDetails_UEM!$A$3:$AH$1849,6,FALSE)</f>
        <v>Electrosurgical Units, Monopolar/Bipolar</v>
      </c>
      <c r="DXK92" s="165" t="s">
        <v>945</v>
      </c>
      <c r="DXL92" s="166" t="str">
        <f>VLOOKUP(DXK92,[13]AssetDetails_UEM!$A$3:$AH$1849,6,FALSE)</f>
        <v>Electrosurgical Units, Monopolar/Bipolar</v>
      </c>
      <c r="DXM92" s="165" t="s">
        <v>945</v>
      </c>
      <c r="DXN92" s="166" t="str">
        <f>VLOOKUP(DXM92,[13]AssetDetails_UEM!$A$3:$AH$1849,6,FALSE)</f>
        <v>Electrosurgical Units, Monopolar/Bipolar</v>
      </c>
      <c r="DXO92" s="165" t="s">
        <v>945</v>
      </c>
      <c r="DXP92" s="166" t="str">
        <f>VLOOKUP(DXO92,[13]AssetDetails_UEM!$A$3:$AH$1849,6,FALSE)</f>
        <v>Electrosurgical Units, Monopolar/Bipolar</v>
      </c>
      <c r="DXQ92" s="165" t="s">
        <v>945</v>
      </c>
      <c r="DXR92" s="166" t="str">
        <f>VLOOKUP(DXQ92,[13]AssetDetails_UEM!$A$3:$AH$1849,6,FALSE)</f>
        <v>Electrosurgical Units, Monopolar/Bipolar</v>
      </c>
      <c r="DXS92" s="165" t="s">
        <v>945</v>
      </c>
      <c r="DXT92" s="166" t="str">
        <f>VLOOKUP(DXS92,[13]AssetDetails_UEM!$A$3:$AH$1849,6,FALSE)</f>
        <v>Electrosurgical Units, Monopolar/Bipolar</v>
      </c>
      <c r="DXU92" s="165" t="s">
        <v>945</v>
      </c>
      <c r="DXV92" s="166" t="str">
        <f>VLOOKUP(DXU92,[13]AssetDetails_UEM!$A$3:$AH$1849,6,FALSE)</f>
        <v>Electrosurgical Units, Monopolar/Bipolar</v>
      </c>
      <c r="DXW92" s="165" t="s">
        <v>945</v>
      </c>
      <c r="DXX92" s="166" t="str">
        <f>VLOOKUP(DXW92,[13]AssetDetails_UEM!$A$3:$AH$1849,6,FALSE)</f>
        <v>Electrosurgical Units, Monopolar/Bipolar</v>
      </c>
      <c r="DXY92" s="165" t="s">
        <v>945</v>
      </c>
      <c r="DXZ92" s="166" t="str">
        <f>VLOOKUP(DXY92,[13]AssetDetails_UEM!$A$3:$AH$1849,6,FALSE)</f>
        <v>Electrosurgical Units, Monopolar/Bipolar</v>
      </c>
      <c r="DYA92" s="165" t="s">
        <v>945</v>
      </c>
      <c r="DYB92" s="166" t="str">
        <f>VLOOKUP(DYA92,[13]AssetDetails_UEM!$A$3:$AH$1849,6,FALSE)</f>
        <v>Electrosurgical Units, Monopolar/Bipolar</v>
      </c>
      <c r="DYC92" s="165" t="s">
        <v>945</v>
      </c>
      <c r="DYD92" s="166" t="str">
        <f>VLOOKUP(DYC92,[13]AssetDetails_UEM!$A$3:$AH$1849,6,FALSE)</f>
        <v>Electrosurgical Units, Monopolar/Bipolar</v>
      </c>
      <c r="DYE92" s="165" t="s">
        <v>945</v>
      </c>
      <c r="DYF92" s="166" t="str">
        <f>VLOOKUP(DYE92,[13]AssetDetails_UEM!$A$3:$AH$1849,6,FALSE)</f>
        <v>Electrosurgical Units, Monopolar/Bipolar</v>
      </c>
      <c r="DYG92" s="165" t="s">
        <v>945</v>
      </c>
      <c r="DYH92" s="166" t="str">
        <f>VLOOKUP(DYG92,[13]AssetDetails_UEM!$A$3:$AH$1849,6,FALSE)</f>
        <v>Electrosurgical Units, Monopolar/Bipolar</v>
      </c>
      <c r="DYI92" s="165" t="s">
        <v>945</v>
      </c>
      <c r="DYJ92" s="166" t="str">
        <f>VLOOKUP(DYI92,[13]AssetDetails_UEM!$A$3:$AH$1849,6,FALSE)</f>
        <v>Electrosurgical Units, Monopolar/Bipolar</v>
      </c>
      <c r="DYK92" s="165" t="s">
        <v>945</v>
      </c>
      <c r="DYL92" s="166" t="str">
        <f>VLOOKUP(DYK92,[13]AssetDetails_UEM!$A$3:$AH$1849,6,FALSE)</f>
        <v>Electrosurgical Units, Monopolar/Bipolar</v>
      </c>
      <c r="DYM92" s="165" t="s">
        <v>945</v>
      </c>
      <c r="DYN92" s="166" t="str">
        <f>VLOOKUP(DYM92,[13]AssetDetails_UEM!$A$3:$AH$1849,6,FALSE)</f>
        <v>Electrosurgical Units, Monopolar/Bipolar</v>
      </c>
      <c r="DYO92" s="165" t="s">
        <v>945</v>
      </c>
      <c r="DYP92" s="166" t="str">
        <f>VLOOKUP(DYO92,[13]AssetDetails_UEM!$A$3:$AH$1849,6,FALSE)</f>
        <v>Electrosurgical Units, Monopolar/Bipolar</v>
      </c>
      <c r="DYQ92" s="165" t="s">
        <v>945</v>
      </c>
      <c r="DYR92" s="166" t="str">
        <f>VLOOKUP(DYQ92,[13]AssetDetails_UEM!$A$3:$AH$1849,6,FALSE)</f>
        <v>Electrosurgical Units, Monopolar/Bipolar</v>
      </c>
      <c r="DYS92" s="165" t="s">
        <v>945</v>
      </c>
      <c r="DYT92" s="166" t="str">
        <f>VLOOKUP(DYS92,[13]AssetDetails_UEM!$A$3:$AH$1849,6,FALSE)</f>
        <v>Electrosurgical Units, Monopolar/Bipolar</v>
      </c>
      <c r="DYU92" s="165" t="s">
        <v>945</v>
      </c>
      <c r="DYV92" s="166" t="str">
        <f>VLOOKUP(DYU92,[13]AssetDetails_UEM!$A$3:$AH$1849,6,FALSE)</f>
        <v>Electrosurgical Units, Monopolar/Bipolar</v>
      </c>
      <c r="DYW92" s="165" t="s">
        <v>945</v>
      </c>
      <c r="DYX92" s="166" t="str">
        <f>VLOOKUP(DYW92,[13]AssetDetails_UEM!$A$3:$AH$1849,6,FALSE)</f>
        <v>Electrosurgical Units, Monopolar/Bipolar</v>
      </c>
      <c r="DYY92" s="165" t="s">
        <v>945</v>
      </c>
      <c r="DYZ92" s="166" t="str">
        <f>VLOOKUP(DYY92,[13]AssetDetails_UEM!$A$3:$AH$1849,6,FALSE)</f>
        <v>Electrosurgical Units, Monopolar/Bipolar</v>
      </c>
      <c r="DZA92" s="165" t="s">
        <v>945</v>
      </c>
      <c r="DZB92" s="166" t="str">
        <f>VLOOKUP(DZA92,[13]AssetDetails_UEM!$A$3:$AH$1849,6,FALSE)</f>
        <v>Electrosurgical Units, Monopolar/Bipolar</v>
      </c>
      <c r="DZC92" s="165" t="s">
        <v>945</v>
      </c>
      <c r="DZD92" s="166" t="str">
        <f>VLOOKUP(DZC92,[13]AssetDetails_UEM!$A$3:$AH$1849,6,FALSE)</f>
        <v>Electrosurgical Units, Monopolar/Bipolar</v>
      </c>
      <c r="DZE92" s="165" t="s">
        <v>945</v>
      </c>
      <c r="DZF92" s="166" t="str">
        <f>VLOOKUP(DZE92,[13]AssetDetails_UEM!$A$3:$AH$1849,6,FALSE)</f>
        <v>Electrosurgical Units, Monopolar/Bipolar</v>
      </c>
      <c r="DZG92" s="165" t="s">
        <v>945</v>
      </c>
      <c r="DZH92" s="166" t="str">
        <f>VLOOKUP(DZG92,[13]AssetDetails_UEM!$A$3:$AH$1849,6,FALSE)</f>
        <v>Electrosurgical Units, Monopolar/Bipolar</v>
      </c>
      <c r="DZI92" s="165" t="s">
        <v>945</v>
      </c>
      <c r="DZJ92" s="166" t="str">
        <f>VLOOKUP(DZI92,[13]AssetDetails_UEM!$A$3:$AH$1849,6,FALSE)</f>
        <v>Electrosurgical Units, Monopolar/Bipolar</v>
      </c>
      <c r="DZK92" s="165" t="s">
        <v>945</v>
      </c>
      <c r="DZL92" s="166" t="str">
        <f>VLOOKUP(DZK92,[13]AssetDetails_UEM!$A$3:$AH$1849,6,FALSE)</f>
        <v>Electrosurgical Units, Monopolar/Bipolar</v>
      </c>
      <c r="DZM92" s="165" t="s">
        <v>945</v>
      </c>
      <c r="DZN92" s="166" t="str">
        <f>VLOOKUP(DZM92,[13]AssetDetails_UEM!$A$3:$AH$1849,6,FALSE)</f>
        <v>Electrosurgical Units, Monopolar/Bipolar</v>
      </c>
      <c r="DZO92" s="165" t="s">
        <v>945</v>
      </c>
      <c r="DZP92" s="166" t="str">
        <f>VLOOKUP(DZO92,[13]AssetDetails_UEM!$A$3:$AH$1849,6,FALSE)</f>
        <v>Electrosurgical Units, Monopolar/Bipolar</v>
      </c>
      <c r="DZQ92" s="165" t="s">
        <v>945</v>
      </c>
      <c r="DZR92" s="166" t="str">
        <f>VLOOKUP(DZQ92,[13]AssetDetails_UEM!$A$3:$AH$1849,6,FALSE)</f>
        <v>Electrosurgical Units, Monopolar/Bipolar</v>
      </c>
      <c r="DZS92" s="165" t="s">
        <v>945</v>
      </c>
      <c r="DZT92" s="166" t="str">
        <f>VLOOKUP(DZS92,[13]AssetDetails_UEM!$A$3:$AH$1849,6,FALSE)</f>
        <v>Electrosurgical Units, Monopolar/Bipolar</v>
      </c>
      <c r="DZU92" s="165" t="s">
        <v>945</v>
      </c>
      <c r="DZV92" s="166" t="str">
        <f>VLOOKUP(DZU92,[13]AssetDetails_UEM!$A$3:$AH$1849,6,FALSE)</f>
        <v>Electrosurgical Units, Monopolar/Bipolar</v>
      </c>
      <c r="DZW92" s="165" t="s">
        <v>945</v>
      </c>
      <c r="DZX92" s="166" t="str">
        <f>VLOOKUP(DZW92,[13]AssetDetails_UEM!$A$3:$AH$1849,6,FALSE)</f>
        <v>Electrosurgical Units, Monopolar/Bipolar</v>
      </c>
      <c r="DZY92" s="165" t="s">
        <v>945</v>
      </c>
      <c r="DZZ92" s="166" t="str">
        <f>VLOOKUP(DZY92,[13]AssetDetails_UEM!$A$3:$AH$1849,6,FALSE)</f>
        <v>Electrosurgical Units, Monopolar/Bipolar</v>
      </c>
      <c r="EAA92" s="165" t="s">
        <v>945</v>
      </c>
      <c r="EAB92" s="166" t="str">
        <f>VLOOKUP(EAA92,[13]AssetDetails_UEM!$A$3:$AH$1849,6,FALSE)</f>
        <v>Electrosurgical Units, Monopolar/Bipolar</v>
      </c>
      <c r="EAC92" s="165" t="s">
        <v>945</v>
      </c>
      <c r="EAD92" s="166" t="str">
        <f>VLOOKUP(EAC92,[13]AssetDetails_UEM!$A$3:$AH$1849,6,FALSE)</f>
        <v>Electrosurgical Units, Monopolar/Bipolar</v>
      </c>
      <c r="EAE92" s="165" t="s">
        <v>945</v>
      </c>
      <c r="EAF92" s="166" t="str">
        <f>VLOOKUP(EAE92,[13]AssetDetails_UEM!$A$3:$AH$1849,6,FALSE)</f>
        <v>Electrosurgical Units, Monopolar/Bipolar</v>
      </c>
      <c r="EAG92" s="165" t="s">
        <v>945</v>
      </c>
      <c r="EAH92" s="166" t="str">
        <f>VLOOKUP(EAG92,[13]AssetDetails_UEM!$A$3:$AH$1849,6,FALSE)</f>
        <v>Electrosurgical Units, Monopolar/Bipolar</v>
      </c>
      <c r="EAI92" s="165" t="s">
        <v>945</v>
      </c>
      <c r="EAJ92" s="166" t="str">
        <f>VLOOKUP(EAI92,[13]AssetDetails_UEM!$A$3:$AH$1849,6,FALSE)</f>
        <v>Electrosurgical Units, Monopolar/Bipolar</v>
      </c>
      <c r="EAK92" s="165" t="s">
        <v>945</v>
      </c>
      <c r="EAL92" s="166" t="str">
        <f>VLOOKUP(EAK92,[13]AssetDetails_UEM!$A$3:$AH$1849,6,FALSE)</f>
        <v>Electrosurgical Units, Monopolar/Bipolar</v>
      </c>
      <c r="EAM92" s="165" t="s">
        <v>945</v>
      </c>
      <c r="EAN92" s="166" t="str">
        <f>VLOOKUP(EAM92,[13]AssetDetails_UEM!$A$3:$AH$1849,6,FALSE)</f>
        <v>Electrosurgical Units, Monopolar/Bipolar</v>
      </c>
      <c r="EAO92" s="165" t="s">
        <v>945</v>
      </c>
      <c r="EAP92" s="166" t="str">
        <f>VLOOKUP(EAO92,[13]AssetDetails_UEM!$A$3:$AH$1849,6,FALSE)</f>
        <v>Electrosurgical Units, Monopolar/Bipolar</v>
      </c>
      <c r="EAQ92" s="165" t="s">
        <v>945</v>
      </c>
      <c r="EAR92" s="166" t="str">
        <f>VLOOKUP(EAQ92,[13]AssetDetails_UEM!$A$3:$AH$1849,6,FALSE)</f>
        <v>Electrosurgical Units, Monopolar/Bipolar</v>
      </c>
      <c r="EAS92" s="165" t="s">
        <v>945</v>
      </c>
      <c r="EAT92" s="166" t="str">
        <f>VLOOKUP(EAS92,[13]AssetDetails_UEM!$A$3:$AH$1849,6,FALSE)</f>
        <v>Electrosurgical Units, Monopolar/Bipolar</v>
      </c>
      <c r="EAU92" s="165" t="s">
        <v>945</v>
      </c>
      <c r="EAV92" s="166" t="str">
        <f>VLOOKUP(EAU92,[13]AssetDetails_UEM!$A$3:$AH$1849,6,FALSE)</f>
        <v>Electrosurgical Units, Monopolar/Bipolar</v>
      </c>
      <c r="EAW92" s="165" t="s">
        <v>945</v>
      </c>
      <c r="EAX92" s="166" t="str">
        <f>VLOOKUP(EAW92,[13]AssetDetails_UEM!$A$3:$AH$1849,6,FALSE)</f>
        <v>Electrosurgical Units, Monopolar/Bipolar</v>
      </c>
      <c r="EAY92" s="165" t="s">
        <v>945</v>
      </c>
      <c r="EAZ92" s="166" t="str">
        <f>VLOOKUP(EAY92,[13]AssetDetails_UEM!$A$3:$AH$1849,6,FALSE)</f>
        <v>Electrosurgical Units, Monopolar/Bipolar</v>
      </c>
      <c r="EBA92" s="165" t="s">
        <v>945</v>
      </c>
      <c r="EBB92" s="166" t="str">
        <f>VLOOKUP(EBA92,[13]AssetDetails_UEM!$A$3:$AH$1849,6,FALSE)</f>
        <v>Electrosurgical Units, Monopolar/Bipolar</v>
      </c>
      <c r="EBC92" s="165" t="s">
        <v>945</v>
      </c>
      <c r="EBD92" s="166" t="str">
        <f>VLOOKUP(EBC92,[13]AssetDetails_UEM!$A$3:$AH$1849,6,FALSE)</f>
        <v>Electrosurgical Units, Monopolar/Bipolar</v>
      </c>
      <c r="EBE92" s="165" t="s">
        <v>945</v>
      </c>
      <c r="EBF92" s="166" t="str">
        <f>VLOOKUP(EBE92,[13]AssetDetails_UEM!$A$3:$AH$1849,6,FALSE)</f>
        <v>Electrosurgical Units, Monopolar/Bipolar</v>
      </c>
      <c r="EBG92" s="165" t="s">
        <v>945</v>
      </c>
      <c r="EBH92" s="166" t="str">
        <f>VLOOKUP(EBG92,[13]AssetDetails_UEM!$A$3:$AH$1849,6,FALSE)</f>
        <v>Electrosurgical Units, Monopolar/Bipolar</v>
      </c>
      <c r="EBI92" s="165" t="s">
        <v>945</v>
      </c>
      <c r="EBJ92" s="166" t="str">
        <f>VLOOKUP(EBI92,[13]AssetDetails_UEM!$A$3:$AH$1849,6,FALSE)</f>
        <v>Electrosurgical Units, Monopolar/Bipolar</v>
      </c>
      <c r="EBK92" s="165" t="s">
        <v>945</v>
      </c>
      <c r="EBL92" s="166" t="str">
        <f>VLOOKUP(EBK92,[13]AssetDetails_UEM!$A$3:$AH$1849,6,FALSE)</f>
        <v>Electrosurgical Units, Monopolar/Bipolar</v>
      </c>
      <c r="EBM92" s="165" t="s">
        <v>945</v>
      </c>
      <c r="EBN92" s="166" t="str">
        <f>VLOOKUP(EBM92,[13]AssetDetails_UEM!$A$3:$AH$1849,6,FALSE)</f>
        <v>Electrosurgical Units, Monopolar/Bipolar</v>
      </c>
      <c r="EBO92" s="165" t="s">
        <v>945</v>
      </c>
      <c r="EBP92" s="166" t="str">
        <f>VLOOKUP(EBO92,[13]AssetDetails_UEM!$A$3:$AH$1849,6,FALSE)</f>
        <v>Electrosurgical Units, Monopolar/Bipolar</v>
      </c>
      <c r="EBQ92" s="165" t="s">
        <v>945</v>
      </c>
      <c r="EBR92" s="166" t="str">
        <f>VLOOKUP(EBQ92,[13]AssetDetails_UEM!$A$3:$AH$1849,6,FALSE)</f>
        <v>Electrosurgical Units, Monopolar/Bipolar</v>
      </c>
      <c r="EBS92" s="165" t="s">
        <v>945</v>
      </c>
      <c r="EBT92" s="166" t="str">
        <f>VLOOKUP(EBS92,[13]AssetDetails_UEM!$A$3:$AH$1849,6,FALSE)</f>
        <v>Electrosurgical Units, Monopolar/Bipolar</v>
      </c>
      <c r="EBU92" s="165" t="s">
        <v>945</v>
      </c>
      <c r="EBV92" s="166" t="str">
        <f>VLOOKUP(EBU92,[13]AssetDetails_UEM!$A$3:$AH$1849,6,FALSE)</f>
        <v>Electrosurgical Units, Monopolar/Bipolar</v>
      </c>
      <c r="EBW92" s="165" t="s">
        <v>945</v>
      </c>
      <c r="EBX92" s="166" t="str">
        <f>VLOOKUP(EBW92,[13]AssetDetails_UEM!$A$3:$AH$1849,6,FALSE)</f>
        <v>Electrosurgical Units, Monopolar/Bipolar</v>
      </c>
      <c r="EBY92" s="165" t="s">
        <v>945</v>
      </c>
      <c r="EBZ92" s="166" t="str">
        <f>VLOOKUP(EBY92,[13]AssetDetails_UEM!$A$3:$AH$1849,6,FALSE)</f>
        <v>Electrosurgical Units, Monopolar/Bipolar</v>
      </c>
      <c r="ECA92" s="165" t="s">
        <v>945</v>
      </c>
      <c r="ECB92" s="166" t="str">
        <f>VLOOKUP(ECA92,[13]AssetDetails_UEM!$A$3:$AH$1849,6,FALSE)</f>
        <v>Electrosurgical Units, Monopolar/Bipolar</v>
      </c>
      <c r="ECC92" s="165" t="s">
        <v>945</v>
      </c>
      <c r="ECD92" s="166" t="str">
        <f>VLOOKUP(ECC92,[13]AssetDetails_UEM!$A$3:$AH$1849,6,FALSE)</f>
        <v>Electrosurgical Units, Monopolar/Bipolar</v>
      </c>
      <c r="ECE92" s="165" t="s">
        <v>945</v>
      </c>
      <c r="ECF92" s="166" t="str">
        <f>VLOOKUP(ECE92,[13]AssetDetails_UEM!$A$3:$AH$1849,6,FALSE)</f>
        <v>Electrosurgical Units, Monopolar/Bipolar</v>
      </c>
      <c r="ECG92" s="165" t="s">
        <v>945</v>
      </c>
      <c r="ECH92" s="166" t="str">
        <f>VLOOKUP(ECG92,[13]AssetDetails_UEM!$A$3:$AH$1849,6,FALSE)</f>
        <v>Electrosurgical Units, Monopolar/Bipolar</v>
      </c>
      <c r="ECI92" s="165" t="s">
        <v>945</v>
      </c>
      <c r="ECJ92" s="166" t="str">
        <f>VLOOKUP(ECI92,[13]AssetDetails_UEM!$A$3:$AH$1849,6,FALSE)</f>
        <v>Electrosurgical Units, Monopolar/Bipolar</v>
      </c>
      <c r="ECK92" s="165" t="s">
        <v>945</v>
      </c>
      <c r="ECL92" s="166" t="str">
        <f>VLOOKUP(ECK92,[13]AssetDetails_UEM!$A$3:$AH$1849,6,FALSE)</f>
        <v>Electrosurgical Units, Monopolar/Bipolar</v>
      </c>
      <c r="ECM92" s="165" t="s">
        <v>945</v>
      </c>
      <c r="ECN92" s="166" t="str">
        <f>VLOOKUP(ECM92,[13]AssetDetails_UEM!$A$3:$AH$1849,6,FALSE)</f>
        <v>Electrosurgical Units, Monopolar/Bipolar</v>
      </c>
      <c r="ECO92" s="165" t="s">
        <v>945</v>
      </c>
      <c r="ECP92" s="166" t="str">
        <f>VLOOKUP(ECO92,[13]AssetDetails_UEM!$A$3:$AH$1849,6,FALSE)</f>
        <v>Electrosurgical Units, Monopolar/Bipolar</v>
      </c>
      <c r="ECQ92" s="165" t="s">
        <v>945</v>
      </c>
      <c r="ECR92" s="166" t="str">
        <f>VLOOKUP(ECQ92,[13]AssetDetails_UEM!$A$3:$AH$1849,6,FALSE)</f>
        <v>Electrosurgical Units, Monopolar/Bipolar</v>
      </c>
      <c r="ECS92" s="165" t="s">
        <v>945</v>
      </c>
      <c r="ECT92" s="166" t="str">
        <f>VLOOKUP(ECS92,[13]AssetDetails_UEM!$A$3:$AH$1849,6,FALSE)</f>
        <v>Electrosurgical Units, Monopolar/Bipolar</v>
      </c>
      <c r="ECU92" s="165" t="s">
        <v>945</v>
      </c>
      <c r="ECV92" s="166" t="str">
        <f>VLOOKUP(ECU92,[13]AssetDetails_UEM!$A$3:$AH$1849,6,FALSE)</f>
        <v>Electrosurgical Units, Monopolar/Bipolar</v>
      </c>
      <c r="ECW92" s="165" t="s">
        <v>945</v>
      </c>
      <c r="ECX92" s="166" t="str">
        <f>VLOOKUP(ECW92,[13]AssetDetails_UEM!$A$3:$AH$1849,6,FALSE)</f>
        <v>Electrosurgical Units, Monopolar/Bipolar</v>
      </c>
      <c r="ECY92" s="165" t="s">
        <v>945</v>
      </c>
      <c r="ECZ92" s="166" t="str">
        <f>VLOOKUP(ECY92,[13]AssetDetails_UEM!$A$3:$AH$1849,6,FALSE)</f>
        <v>Electrosurgical Units, Monopolar/Bipolar</v>
      </c>
      <c r="EDA92" s="165" t="s">
        <v>945</v>
      </c>
      <c r="EDB92" s="166" t="str">
        <f>VLOOKUP(EDA92,[13]AssetDetails_UEM!$A$3:$AH$1849,6,FALSE)</f>
        <v>Electrosurgical Units, Monopolar/Bipolar</v>
      </c>
      <c r="EDC92" s="165" t="s">
        <v>945</v>
      </c>
      <c r="EDD92" s="166" t="str">
        <f>VLOOKUP(EDC92,[13]AssetDetails_UEM!$A$3:$AH$1849,6,FALSE)</f>
        <v>Electrosurgical Units, Monopolar/Bipolar</v>
      </c>
      <c r="EDE92" s="165" t="s">
        <v>945</v>
      </c>
      <c r="EDF92" s="166" t="str">
        <f>VLOOKUP(EDE92,[13]AssetDetails_UEM!$A$3:$AH$1849,6,FALSE)</f>
        <v>Electrosurgical Units, Monopolar/Bipolar</v>
      </c>
      <c r="EDG92" s="165" t="s">
        <v>945</v>
      </c>
      <c r="EDH92" s="166" t="str">
        <f>VLOOKUP(EDG92,[13]AssetDetails_UEM!$A$3:$AH$1849,6,FALSE)</f>
        <v>Electrosurgical Units, Monopolar/Bipolar</v>
      </c>
      <c r="EDI92" s="165" t="s">
        <v>945</v>
      </c>
      <c r="EDJ92" s="166" t="str">
        <f>VLOOKUP(EDI92,[13]AssetDetails_UEM!$A$3:$AH$1849,6,FALSE)</f>
        <v>Electrosurgical Units, Monopolar/Bipolar</v>
      </c>
      <c r="EDK92" s="165" t="s">
        <v>945</v>
      </c>
      <c r="EDL92" s="166" t="str">
        <f>VLOOKUP(EDK92,[13]AssetDetails_UEM!$A$3:$AH$1849,6,FALSE)</f>
        <v>Electrosurgical Units, Monopolar/Bipolar</v>
      </c>
      <c r="EDM92" s="165" t="s">
        <v>945</v>
      </c>
      <c r="EDN92" s="166" t="str">
        <f>VLOOKUP(EDM92,[13]AssetDetails_UEM!$A$3:$AH$1849,6,FALSE)</f>
        <v>Electrosurgical Units, Monopolar/Bipolar</v>
      </c>
      <c r="EDO92" s="165" t="s">
        <v>945</v>
      </c>
      <c r="EDP92" s="166" t="str">
        <f>VLOOKUP(EDO92,[13]AssetDetails_UEM!$A$3:$AH$1849,6,FALSE)</f>
        <v>Electrosurgical Units, Monopolar/Bipolar</v>
      </c>
      <c r="EDQ92" s="165" t="s">
        <v>945</v>
      </c>
      <c r="EDR92" s="166" t="str">
        <f>VLOOKUP(EDQ92,[13]AssetDetails_UEM!$A$3:$AH$1849,6,FALSE)</f>
        <v>Electrosurgical Units, Monopolar/Bipolar</v>
      </c>
      <c r="EDS92" s="165" t="s">
        <v>945</v>
      </c>
      <c r="EDT92" s="166" t="str">
        <f>VLOOKUP(EDS92,[13]AssetDetails_UEM!$A$3:$AH$1849,6,FALSE)</f>
        <v>Electrosurgical Units, Monopolar/Bipolar</v>
      </c>
      <c r="EDU92" s="165" t="s">
        <v>945</v>
      </c>
      <c r="EDV92" s="166" t="str">
        <f>VLOOKUP(EDU92,[13]AssetDetails_UEM!$A$3:$AH$1849,6,FALSE)</f>
        <v>Electrosurgical Units, Monopolar/Bipolar</v>
      </c>
      <c r="EDW92" s="165" t="s">
        <v>945</v>
      </c>
      <c r="EDX92" s="166" t="str">
        <f>VLOOKUP(EDW92,[13]AssetDetails_UEM!$A$3:$AH$1849,6,FALSE)</f>
        <v>Electrosurgical Units, Monopolar/Bipolar</v>
      </c>
      <c r="EDY92" s="165" t="s">
        <v>945</v>
      </c>
      <c r="EDZ92" s="166" t="str">
        <f>VLOOKUP(EDY92,[13]AssetDetails_UEM!$A$3:$AH$1849,6,FALSE)</f>
        <v>Electrosurgical Units, Monopolar/Bipolar</v>
      </c>
      <c r="EEA92" s="165" t="s">
        <v>945</v>
      </c>
      <c r="EEB92" s="166" t="str">
        <f>VLOOKUP(EEA92,[13]AssetDetails_UEM!$A$3:$AH$1849,6,FALSE)</f>
        <v>Electrosurgical Units, Monopolar/Bipolar</v>
      </c>
      <c r="EEC92" s="165" t="s">
        <v>945</v>
      </c>
      <c r="EED92" s="166" t="str">
        <f>VLOOKUP(EEC92,[13]AssetDetails_UEM!$A$3:$AH$1849,6,FALSE)</f>
        <v>Electrosurgical Units, Monopolar/Bipolar</v>
      </c>
      <c r="EEE92" s="165" t="s">
        <v>945</v>
      </c>
      <c r="EEF92" s="166" t="str">
        <f>VLOOKUP(EEE92,[13]AssetDetails_UEM!$A$3:$AH$1849,6,FALSE)</f>
        <v>Electrosurgical Units, Monopolar/Bipolar</v>
      </c>
      <c r="EEG92" s="165" t="s">
        <v>945</v>
      </c>
      <c r="EEH92" s="166" t="str">
        <f>VLOOKUP(EEG92,[13]AssetDetails_UEM!$A$3:$AH$1849,6,FALSE)</f>
        <v>Electrosurgical Units, Monopolar/Bipolar</v>
      </c>
      <c r="EEI92" s="165" t="s">
        <v>945</v>
      </c>
      <c r="EEJ92" s="166" t="str">
        <f>VLOOKUP(EEI92,[13]AssetDetails_UEM!$A$3:$AH$1849,6,FALSE)</f>
        <v>Electrosurgical Units, Monopolar/Bipolar</v>
      </c>
      <c r="EEK92" s="165" t="s">
        <v>945</v>
      </c>
      <c r="EEL92" s="166" t="str">
        <f>VLOOKUP(EEK92,[13]AssetDetails_UEM!$A$3:$AH$1849,6,FALSE)</f>
        <v>Electrosurgical Units, Monopolar/Bipolar</v>
      </c>
      <c r="EEM92" s="165" t="s">
        <v>945</v>
      </c>
      <c r="EEN92" s="166" t="str">
        <f>VLOOKUP(EEM92,[13]AssetDetails_UEM!$A$3:$AH$1849,6,FALSE)</f>
        <v>Electrosurgical Units, Monopolar/Bipolar</v>
      </c>
      <c r="EEO92" s="165" t="s">
        <v>945</v>
      </c>
      <c r="EEP92" s="166" t="str">
        <f>VLOOKUP(EEO92,[13]AssetDetails_UEM!$A$3:$AH$1849,6,FALSE)</f>
        <v>Electrosurgical Units, Monopolar/Bipolar</v>
      </c>
      <c r="EEQ92" s="165" t="s">
        <v>945</v>
      </c>
      <c r="EER92" s="166" t="str">
        <f>VLOOKUP(EEQ92,[13]AssetDetails_UEM!$A$3:$AH$1849,6,FALSE)</f>
        <v>Electrosurgical Units, Monopolar/Bipolar</v>
      </c>
      <c r="EES92" s="165" t="s">
        <v>945</v>
      </c>
      <c r="EET92" s="166" t="str">
        <f>VLOOKUP(EES92,[13]AssetDetails_UEM!$A$3:$AH$1849,6,FALSE)</f>
        <v>Electrosurgical Units, Monopolar/Bipolar</v>
      </c>
      <c r="EEU92" s="165" t="s">
        <v>945</v>
      </c>
      <c r="EEV92" s="166" t="str">
        <f>VLOOKUP(EEU92,[13]AssetDetails_UEM!$A$3:$AH$1849,6,FALSE)</f>
        <v>Electrosurgical Units, Monopolar/Bipolar</v>
      </c>
      <c r="EEW92" s="165" t="s">
        <v>945</v>
      </c>
      <c r="EEX92" s="166" t="str">
        <f>VLOOKUP(EEW92,[13]AssetDetails_UEM!$A$3:$AH$1849,6,FALSE)</f>
        <v>Electrosurgical Units, Monopolar/Bipolar</v>
      </c>
      <c r="EEY92" s="165" t="s">
        <v>945</v>
      </c>
      <c r="EEZ92" s="166" t="str">
        <f>VLOOKUP(EEY92,[13]AssetDetails_UEM!$A$3:$AH$1849,6,FALSE)</f>
        <v>Electrosurgical Units, Monopolar/Bipolar</v>
      </c>
      <c r="EFA92" s="165" t="s">
        <v>945</v>
      </c>
      <c r="EFB92" s="166" t="str">
        <f>VLOOKUP(EFA92,[13]AssetDetails_UEM!$A$3:$AH$1849,6,FALSE)</f>
        <v>Electrosurgical Units, Monopolar/Bipolar</v>
      </c>
      <c r="EFC92" s="165" t="s">
        <v>945</v>
      </c>
      <c r="EFD92" s="166" t="str">
        <f>VLOOKUP(EFC92,[13]AssetDetails_UEM!$A$3:$AH$1849,6,FALSE)</f>
        <v>Electrosurgical Units, Monopolar/Bipolar</v>
      </c>
      <c r="EFE92" s="165" t="s">
        <v>945</v>
      </c>
      <c r="EFF92" s="166" t="str">
        <f>VLOOKUP(EFE92,[13]AssetDetails_UEM!$A$3:$AH$1849,6,FALSE)</f>
        <v>Electrosurgical Units, Monopolar/Bipolar</v>
      </c>
      <c r="EFG92" s="165" t="s">
        <v>945</v>
      </c>
      <c r="EFH92" s="166" t="str">
        <f>VLOOKUP(EFG92,[13]AssetDetails_UEM!$A$3:$AH$1849,6,FALSE)</f>
        <v>Electrosurgical Units, Monopolar/Bipolar</v>
      </c>
      <c r="EFI92" s="165" t="s">
        <v>945</v>
      </c>
      <c r="EFJ92" s="166" t="str">
        <f>VLOOKUP(EFI92,[13]AssetDetails_UEM!$A$3:$AH$1849,6,FALSE)</f>
        <v>Electrosurgical Units, Monopolar/Bipolar</v>
      </c>
      <c r="EFK92" s="165" t="s">
        <v>945</v>
      </c>
      <c r="EFL92" s="166" t="str">
        <f>VLOOKUP(EFK92,[13]AssetDetails_UEM!$A$3:$AH$1849,6,FALSE)</f>
        <v>Electrosurgical Units, Monopolar/Bipolar</v>
      </c>
      <c r="EFM92" s="165" t="s">
        <v>945</v>
      </c>
      <c r="EFN92" s="166" t="str">
        <f>VLOOKUP(EFM92,[13]AssetDetails_UEM!$A$3:$AH$1849,6,FALSE)</f>
        <v>Electrosurgical Units, Monopolar/Bipolar</v>
      </c>
      <c r="EFO92" s="165" t="s">
        <v>945</v>
      </c>
      <c r="EFP92" s="166" t="str">
        <f>VLOOKUP(EFO92,[13]AssetDetails_UEM!$A$3:$AH$1849,6,FALSE)</f>
        <v>Electrosurgical Units, Monopolar/Bipolar</v>
      </c>
      <c r="EFQ92" s="165" t="s">
        <v>945</v>
      </c>
      <c r="EFR92" s="166" t="str">
        <f>VLOOKUP(EFQ92,[13]AssetDetails_UEM!$A$3:$AH$1849,6,FALSE)</f>
        <v>Electrosurgical Units, Monopolar/Bipolar</v>
      </c>
      <c r="EFS92" s="165" t="s">
        <v>945</v>
      </c>
      <c r="EFT92" s="166" t="str">
        <f>VLOOKUP(EFS92,[13]AssetDetails_UEM!$A$3:$AH$1849,6,FALSE)</f>
        <v>Electrosurgical Units, Monopolar/Bipolar</v>
      </c>
      <c r="EFU92" s="165" t="s">
        <v>945</v>
      </c>
      <c r="EFV92" s="166" t="str">
        <f>VLOOKUP(EFU92,[13]AssetDetails_UEM!$A$3:$AH$1849,6,FALSE)</f>
        <v>Electrosurgical Units, Monopolar/Bipolar</v>
      </c>
      <c r="EFW92" s="165" t="s">
        <v>945</v>
      </c>
      <c r="EFX92" s="166" t="str">
        <f>VLOOKUP(EFW92,[13]AssetDetails_UEM!$A$3:$AH$1849,6,FALSE)</f>
        <v>Electrosurgical Units, Monopolar/Bipolar</v>
      </c>
      <c r="EFY92" s="165" t="s">
        <v>945</v>
      </c>
      <c r="EFZ92" s="166" t="str">
        <f>VLOOKUP(EFY92,[13]AssetDetails_UEM!$A$3:$AH$1849,6,FALSE)</f>
        <v>Electrosurgical Units, Monopolar/Bipolar</v>
      </c>
      <c r="EGA92" s="165" t="s">
        <v>945</v>
      </c>
      <c r="EGB92" s="166" t="str">
        <f>VLOOKUP(EGA92,[13]AssetDetails_UEM!$A$3:$AH$1849,6,FALSE)</f>
        <v>Electrosurgical Units, Monopolar/Bipolar</v>
      </c>
      <c r="EGC92" s="165" t="s">
        <v>945</v>
      </c>
      <c r="EGD92" s="166" t="str">
        <f>VLOOKUP(EGC92,[13]AssetDetails_UEM!$A$3:$AH$1849,6,FALSE)</f>
        <v>Electrosurgical Units, Monopolar/Bipolar</v>
      </c>
      <c r="EGE92" s="165" t="s">
        <v>945</v>
      </c>
      <c r="EGF92" s="166" t="str">
        <f>VLOOKUP(EGE92,[13]AssetDetails_UEM!$A$3:$AH$1849,6,FALSE)</f>
        <v>Electrosurgical Units, Monopolar/Bipolar</v>
      </c>
      <c r="EGG92" s="165" t="s">
        <v>945</v>
      </c>
      <c r="EGH92" s="166" t="str">
        <f>VLOOKUP(EGG92,[13]AssetDetails_UEM!$A$3:$AH$1849,6,FALSE)</f>
        <v>Electrosurgical Units, Monopolar/Bipolar</v>
      </c>
      <c r="EGI92" s="165" t="s">
        <v>945</v>
      </c>
      <c r="EGJ92" s="166" t="str">
        <f>VLOOKUP(EGI92,[13]AssetDetails_UEM!$A$3:$AH$1849,6,FALSE)</f>
        <v>Electrosurgical Units, Monopolar/Bipolar</v>
      </c>
      <c r="EGK92" s="165" t="s">
        <v>945</v>
      </c>
      <c r="EGL92" s="166" t="str">
        <f>VLOOKUP(EGK92,[13]AssetDetails_UEM!$A$3:$AH$1849,6,FALSE)</f>
        <v>Electrosurgical Units, Monopolar/Bipolar</v>
      </c>
      <c r="EGM92" s="165" t="s">
        <v>945</v>
      </c>
      <c r="EGN92" s="166" t="str">
        <f>VLOOKUP(EGM92,[13]AssetDetails_UEM!$A$3:$AH$1849,6,FALSE)</f>
        <v>Electrosurgical Units, Monopolar/Bipolar</v>
      </c>
      <c r="EGO92" s="165" t="s">
        <v>945</v>
      </c>
      <c r="EGP92" s="166" t="str">
        <f>VLOOKUP(EGO92,[13]AssetDetails_UEM!$A$3:$AH$1849,6,FALSE)</f>
        <v>Electrosurgical Units, Monopolar/Bipolar</v>
      </c>
      <c r="EGQ92" s="165" t="s">
        <v>945</v>
      </c>
      <c r="EGR92" s="166" t="str">
        <f>VLOOKUP(EGQ92,[13]AssetDetails_UEM!$A$3:$AH$1849,6,FALSE)</f>
        <v>Electrosurgical Units, Monopolar/Bipolar</v>
      </c>
      <c r="EGS92" s="165" t="s">
        <v>945</v>
      </c>
      <c r="EGT92" s="166" t="str">
        <f>VLOOKUP(EGS92,[13]AssetDetails_UEM!$A$3:$AH$1849,6,FALSE)</f>
        <v>Electrosurgical Units, Monopolar/Bipolar</v>
      </c>
      <c r="EGU92" s="165" t="s">
        <v>945</v>
      </c>
      <c r="EGV92" s="166" t="str">
        <f>VLOOKUP(EGU92,[13]AssetDetails_UEM!$A$3:$AH$1849,6,FALSE)</f>
        <v>Electrosurgical Units, Monopolar/Bipolar</v>
      </c>
      <c r="EGW92" s="165" t="s">
        <v>945</v>
      </c>
      <c r="EGX92" s="166" t="str">
        <f>VLOOKUP(EGW92,[13]AssetDetails_UEM!$A$3:$AH$1849,6,FALSE)</f>
        <v>Electrosurgical Units, Monopolar/Bipolar</v>
      </c>
      <c r="EGY92" s="165" t="s">
        <v>945</v>
      </c>
      <c r="EGZ92" s="166" t="str">
        <f>VLOOKUP(EGY92,[13]AssetDetails_UEM!$A$3:$AH$1849,6,FALSE)</f>
        <v>Electrosurgical Units, Monopolar/Bipolar</v>
      </c>
      <c r="EHA92" s="165" t="s">
        <v>945</v>
      </c>
      <c r="EHB92" s="166" t="str">
        <f>VLOOKUP(EHA92,[13]AssetDetails_UEM!$A$3:$AH$1849,6,FALSE)</f>
        <v>Electrosurgical Units, Monopolar/Bipolar</v>
      </c>
      <c r="EHC92" s="165" t="s">
        <v>945</v>
      </c>
      <c r="EHD92" s="166" t="str">
        <f>VLOOKUP(EHC92,[13]AssetDetails_UEM!$A$3:$AH$1849,6,FALSE)</f>
        <v>Electrosurgical Units, Monopolar/Bipolar</v>
      </c>
      <c r="EHE92" s="165" t="s">
        <v>945</v>
      </c>
      <c r="EHF92" s="166" t="str">
        <f>VLOOKUP(EHE92,[13]AssetDetails_UEM!$A$3:$AH$1849,6,FALSE)</f>
        <v>Electrosurgical Units, Monopolar/Bipolar</v>
      </c>
      <c r="EHG92" s="165" t="s">
        <v>945</v>
      </c>
      <c r="EHH92" s="166" t="str">
        <f>VLOOKUP(EHG92,[13]AssetDetails_UEM!$A$3:$AH$1849,6,FALSE)</f>
        <v>Electrosurgical Units, Monopolar/Bipolar</v>
      </c>
      <c r="EHI92" s="165" t="s">
        <v>945</v>
      </c>
      <c r="EHJ92" s="166" t="str">
        <f>VLOOKUP(EHI92,[13]AssetDetails_UEM!$A$3:$AH$1849,6,FALSE)</f>
        <v>Electrosurgical Units, Monopolar/Bipolar</v>
      </c>
      <c r="EHK92" s="165" t="s">
        <v>945</v>
      </c>
      <c r="EHL92" s="166" t="str">
        <f>VLOOKUP(EHK92,[13]AssetDetails_UEM!$A$3:$AH$1849,6,FALSE)</f>
        <v>Electrosurgical Units, Monopolar/Bipolar</v>
      </c>
      <c r="EHM92" s="165" t="s">
        <v>945</v>
      </c>
      <c r="EHN92" s="166" t="str">
        <f>VLOOKUP(EHM92,[13]AssetDetails_UEM!$A$3:$AH$1849,6,FALSE)</f>
        <v>Electrosurgical Units, Monopolar/Bipolar</v>
      </c>
      <c r="EHO92" s="165" t="s">
        <v>945</v>
      </c>
      <c r="EHP92" s="166" t="str">
        <f>VLOOKUP(EHO92,[13]AssetDetails_UEM!$A$3:$AH$1849,6,FALSE)</f>
        <v>Electrosurgical Units, Monopolar/Bipolar</v>
      </c>
      <c r="EHQ92" s="165" t="s">
        <v>945</v>
      </c>
      <c r="EHR92" s="166" t="str">
        <f>VLOOKUP(EHQ92,[13]AssetDetails_UEM!$A$3:$AH$1849,6,FALSE)</f>
        <v>Electrosurgical Units, Monopolar/Bipolar</v>
      </c>
      <c r="EHS92" s="165" t="s">
        <v>945</v>
      </c>
      <c r="EHT92" s="166" t="str">
        <f>VLOOKUP(EHS92,[13]AssetDetails_UEM!$A$3:$AH$1849,6,FALSE)</f>
        <v>Electrosurgical Units, Monopolar/Bipolar</v>
      </c>
      <c r="EHU92" s="165" t="s">
        <v>945</v>
      </c>
      <c r="EHV92" s="166" t="str">
        <f>VLOOKUP(EHU92,[13]AssetDetails_UEM!$A$3:$AH$1849,6,FALSE)</f>
        <v>Electrosurgical Units, Monopolar/Bipolar</v>
      </c>
      <c r="EHW92" s="165" t="s">
        <v>945</v>
      </c>
      <c r="EHX92" s="166" t="str">
        <f>VLOOKUP(EHW92,[13]AssetDetails_UEM!$A$3:$AH$1849,6,FALSE)</f>
        <v>Electrosurgical Units, Monopolar/Bipolar</v>
      </c>
      <c r="EHY92" s="165" t="s">
        <v>945</v>
      </c>
      <c r="EHZ92" s="166" t="str">
        <f>VLOOKUP(EHY92,[13]AssetDetails_UEM!$A$3:$AH$1849,6,FALSE)</f>
        <v>Electrosurgical Units, Monopolar/Bipolar</v>
      </c>
      <c r="EIA92" s="165" t="s">
        <v>945</v>
      </c>
      <c r="EIB92" s="166" t="str">
        <f>VLOOKUP(EIA92,[13]AssetDetails_UEM!$A$3:$AH$1849,6,FALSE)</f>
        <v>Electrosurgical Units, Monopolar/Bipolar</v>
      </c>
      <c r="EIC92" s="165" t="s">
        <v>945</v>
      </c>
      <c r="EID92" s="166" t="str">
        <f>VLOOKUP(EIC92,[13]AssetDetails_UEM!$A$3:$AH$1849,6,FALSE)</f>
        <v>Electrosurgical Units, Monopolar/Bipolar</v>
      </c>
      <c r="EIE92" s="165" t="s">
        <v>945</v>
      </c>
      <c r="EIF92" s="166" t="str">
        <f>VLOOKUP(EIE92,[13]AssetDetails_UEM!$A$3:$AH$1849,6,FALSE)</f>
        <v>Electrosurgical Units, Monopolar/Bipolar</v>
      </c>
      <c r="EIG92" s="165" t="s">
        <v>945</v>
      </c>
      <c r="EIH92" s="166" t="str">
        <f>VLOOKUP(EIG92,[13]AssetDetails_UEM!$A$3:$AH$1849,6,FALSE)</f>
        <v>Electrosurgical Units, Monopolar/Bipolar</v>
      </c>
      <c r="EII92" s="165" t="s">
        <v>945</v>
      </c>
      <c r="EIJ92" s="166" t="str">
        <f>VLOOKUP(EII92,[13]AssetDetails_UEM!$A$3:$AH$1849,6,FALSE)</f>
        <v>Electrosurgical Units, Monopolar/Bipolar</v>
      </c>
      <c r="EIK92" s="165" t="s">
        <v>945</v>
      </c>
      <c r="EIL92" s="166" t="str">
        <f>VLOOKUP(EIK92,[13]AssetDetails_UEM!$A$3:$AH$1849,6,FALSE)</f>
        <v>Electrosurgical Units, Monopolar/Bipolar</v>
      </c>
      <c r="EIM92" s="165" t="s">
        <v>945</v>
      </c>
      <c r="EIN92" s="166" t="str">
        <f>VLOOKUP(EIM92,[13]AssetDetails_UEM!$A$3:$AH$1849,6,FALSE)</f>
        <v>Electrosurgical Units, Monopolar/Bipolar</v>
      </c>
      <c r="EIO92" s="165" t="s">
        <v>945</v>
      </c>
      <c r="EIP92" s="166" t="str">
        <f>VLOOKUP(EIO92,[13]AssetDetails_UEM!$A$3:$AH$1849,6,FALSE)</f>
        <v>Electrosurgical Units, Monopolar/Bipolar</v>
      </c>
      <c r="EIQ92" s="165" t="s">
        <v>945</v>
      </c>
      <c r="EIR92" s="166" t="str">
        <f>VLOOKUP(EIQ92,[13]AssetDetails_UEM!$A$3:$AH$1849,6,FALSE)</f>
        <v>Electrosurgical Units, Monopolar/Bipolar</v>
      </c>
      <c r="EIS92" s="165" t="s">
        <v>945</v>
      </c>
      <c r="EIT92" s="166" t="str">
        <f>VLOOKUP(EIS92,[13]AssetDetails_UEM!$A$3:$AH$1849,6,FALSE)</f>
        <v>Electrosurgical Units, Monopolar/Bipolar</v>
      </c>
      <c r="EIU92" s="165" t="s">
        <v>945</v>
      </c>
      <c r="EIV92" s="166" t="str">
        <f>VLOOKUP(EIU92,[13]AssetDetails_UEM!$A$3:$AH$1849,6,FALSE)</f>
        <v>Electrosurgical Units, Monopolar/Bipolar</v>
      </c>
      <c r="EIW92" s="165" t="s">
        <v>945</v>
      </c>
      <c r="EIX92" s="166" t="str">
        <f>VLOOKUP(EIW92,[13]AssetDetails_UEM!$A$3:$AH$1849,6,FALSE)</f>
        <v>Electrosurgical Units, Monopolar/Bipolar</v>
      </c>
      <c r="EIY92" s="165" t="s">
        <v>945</v>
      </c>
      <c r="EIZ92" s="166" t="str">
        <f>VLOOKUP(EIY92,[13]AssetDetails_UEM!$A$3:$AH$1849,6,FALSE)</f>
        <v>Electrosurgical Units, Monopolar/Bipolar</v>
      </c>
      <c r="EJA92" s="165" t="s">
        <v>945</v>
      </c>
      <c r="EJB92" s="166" t="str">
        <f>VLOOKUP(EJA92,[13]AssetDetails_UEM!$A$3:$AH$1849,6,FALSE)</f>
        <v>Electrosurgical Units, Monopolar/Bipolar</v>
      </c>
      <c r="EJC92" s="165" t="s">
        <v>945</v>
      </c>
      <c r="EJD92" s="166" t="str">
        <f>VLOOKUP(EJC92,[13]AssetDetails_UEM!$A$3:$AH$1849,6,FALSE)</f>
        <v>Electrosurgical Units, Monopolar/Bipolar</v>
      </c>
      <c r="EJE92" s="165" t="s">
        <v>945</v>
      </c>
      <c r="EJF92" s="166" t="str">
        <f>VLOOKUP(EJE92,[13]AssetDetails_UEM!$A$3:$AH$1849,6,FALSE)</f>
        <v>Electrosurgical Units, Monopolar/Bipolar</v>
      </c>
      <c r="EJG92" s="165" t="s">
        <v>945</v>
      </c>
      <c r="EJH92" s="166" t="str">
        <f>VLOOKUP(EJG92,[13]AssetDetails_UEM!$A$3:$AH$1849,6,FALSE)</f>
        <v>Electrosurgical Units, Monopolar/Bipolar</v>
      </c>
      <c r="EJI92" s="165" t="s">
        <v>945</v>
      </c>
      <c r="EJJ92" s="166" t="str">
        <f>VLOOKUP(EJI92,[13]AssetDetails_UEM!$A$3:$AH$1849,6,FALSE)</f>
        <v>Electrosurgical Units, Monopolar/Bipolar</v>
      </c>
      <c r="EJK92" s="165" t="s">
        <v>945</v>
      </c>
      <c r="EJL92" s="166" t="str">
        <f>VLOOKUP(EJK92,[13]AssetDetails_UEM!$A$3:$AH$1849,6,FALSE)</f>
        <v>Electrosurgical Units, Monopolar/Bipolar</v>
      </c>
      <c r="EJM92" s="165" t="s">
        <v>945</v>
      </c>
      <c r="EJN92" s="166" t="str">
        <f>VLOOKUP(EJM92,[13]AssetDetails_UEM!$A$3:$AH$1849,6,FALSE)</f>
        <v>Electrosurgical Units, Monopolar/Bipolar</v>
      </c>
      <c r="EJO92" s="165" t="s">
        <v>945</v>
      </c>
      <c r="EJP92" s="166" t="str">
        <f>VLOOKUP(EJO92,[13]AssetDetails_UEM!$A$3:$AH$1849,6,FALSE)</f>
        <v>Electrosurgical Units, Monopolar/Bipolar</v>
      </c>
      <c r="EJQ92" s="165" t="s">
        <v>945</v>
      </c>
      <c r="EJR92" s="166" t="str">
        <f>VLOOKUP(EJQ92,[13]AssetDetails_UEM!$A$3:$AH$1849,6,FALSE)</f>
        <v>Electrosurgical Units, Monopolar/Bipolar</v>
      </c>
      <c r="EJS92" s="165" t="s">
        <v>945</v>
      </c>
      <c r="EJT92" s="166" t="str">
        <f>VLOOKUP(EJS92,[13]AssetDetails_UEM!$A$3:$AH$1849,6,FALSE)</f>
        <v>Electrosurgical Units, Monopolar/Bipolar</v>
      </c>
      <c r="EJU92" s="165" t="s">
        <v>945</v>
      </c>
      <c r="EJV92" s="166" t="str">
        <f>VLOOKUP(EJU92,[13]AssetDetails_UEM!$A$3:$AH$1849,6,FALSE)</f>
        <v>Electrosurgical Units, Monopolar/Bipolar</v>
      </c>
      <c r="EJW92" s="165" t="s">
        <v>945</v>
      </c>
      <c r="EJX92" s="166" t="str">
        <f>VLOOKUP(EJW92,[13]AssetDetails_UEM!$A$3:$AH$1849,6,FALSE)</f>
        <v>Electrosurgical Units, Monopolar/Bipolar</v>
      </c>
      <c r="EJY92" s="165" t="s">
        <v>945</v>
      </c>
      <c r="EJZ92" s="166" t="str">
        <f>VLOOKUP(EJY92,[13]AssetDetails_UEM!$A$3:$AH$1849,6,FALSE)</f>
        <v>Electrosurgical Units, Monopolar/Bipolar</v>
      </c>
      <c r="EKA92" s="165" t="s">
        <v>945</v>
      </c>
      <c r="EKB92" s="166" t="str">
        <f>VLOOKUP(EKA92,[13]AssetDetails_UEM!$A$3:$AH$1849,6,FALSE)</f>
        <v>Electrosurgical Units, Monopolar/Bipolar</v>
      </c>
      <c r="EKC92" s="165" t="s">
        <v>945</v>
      </c>
      <c r="EKD92" s="166" t="str">
        <f>VLOOKUP(EKC92,[13]AssetDetails_UEM!$A$3:$AH$1849,6,FALSE)</f>
        <v>Electrosurgical Units, Monopolar/Bipolar</v>
      </c>
      <c r="EKE92" s="165" t="s">
        <v>945</v>
      </c>
      <c r="EKF92" s="166" t="str">
        <f>VLOOKUP(EKE92,[13]AssetDetails_UEM!$A$3:$AH$1849,6,FALSE)</f>
        <v>Electrosurgical Units, Monopolar/Bipolar</v>
      </c>
      <c r="EKG92" s="165" t="s">
        <v>945</v>
      </c>
      <c r="EKH92" s="166" t="str">
        <f>VLOOKUP(EKG92,[13]AssetDetails_UEM!$A$3:$AH$1849,6,FALSE)</f>
        <v>Electrosurgical Units, Monopolar/Bipolar</v>
      </c>
      <c r="EKI92" s="165" t="s">
        <v>945</v>
      </c>
      <c r="EKJ92" s="166" t="str">
        <f>VLOOKUP(EKI92,[13]AssetDetails_UEM!$A$3:$AH$1849,6,FALSE)</f>
        <v>Electrosurgical Units, Monopolar/Bipolar</v>
      </c>
      <c r="EKK92" s="165" t="s">
        <v>945</v>
      </c>
      <c r="EKL92" s="166" t="str">
        <f>VLOOKUP(EKK92,[13]AssetDetails_UEM!$A$3:$AH$1849,6,FALSE)</f>
        <v>Electrosurgical Units, Monopolar/Bipolar</v>
      </c>
      <c r="EKM92" s="165" t="s">
        <v>945</v>
      </c>
      <c r="EKN92" s="166" t="str">
        <f>VLOOKUP(EKM92,[13]AssetDetails_UEM!$A$3:$AH$1849,6,FALSE)</f>
        <v>Electrosurgical Units, Monopolar/Bipolar</v>
      </c>
      <c r="EKO92" s="165" t="s">
        <v>945</v>
      </c>
      <c r="EKP92" s="166" t="str">
        <f>VLOOKUP(EKO92,[13]AssetDetails_UEM!$A$3:$AH$1849,6,FALSE)</f>
        <v>Electrosurgical Units, Monopolar/Bipolar</v>
      </c>
      <c r="EKQ92" s="165" t="s">
        <v>945</v>
      </c>
      <c r="EKR92" s="166" t="str">
        <f>VLOOKUP(EKQ92,[13]AssetDetails_UEM!$A$3:$AH$1849,6,FALSE)</f>
        <v>Electrosurgical Units, Monopolar/Bipolar</v>
      </c>
      <c r="EKS92" s="165" t="s">
        <v>945</v>
      </c>
      <c r="EKT92" s="166" t="str">
        <f>VLOOKUP(EKS92,[13]AssetDetails_UEM!$A$3:$AH$1849,6,FALSE)</f>
        <v>Electrosurgical Units, Monopolar/Bipolar</v>
      </c>
      <c r="EKU92" s="165" t="s">
        <v>945</v>
      </c>
      <c r="EKV92" s="166" t="str">
        <f>VLOOKUP(EKU92,[13]AssetDetails_UEM!$A$3:$AH$1849,6,FALSE)</f>
        <v>Electrosurgical Units, Monopolar/Bipolar</v>
      </c>
      <c r="EKW92" s="165" t="s">
        <v>945</v>
      </c>
      <c r="EKX92" s="166" t="str">
        <f>VLOOKUP(EKW92,[13]AssetDetails_UEM!$A$3:$AH$1849,6,FALSE)</f>
        <v>Electrosurgical Units, Monopolar/Bipolar</v>
      </c>
      <c r="EKY92" s="165" t="s">
        <v>945</v>
      </c>
      <c r="EKZ92" s="166" t="str">
        <f>VLOOKUP(EKY92,[13]AssetDetails_UEM!$A$3:$AH$1849,6,FALSE)</f>
        <v>Electrosurgical Units, Monopolar/Bipolar</v>
      </c>
      <c r="ELA92" s="165" t="s">
        <v>945</v>
      </c>
      <c r="ELB92" s="166" t="str">
        <f>VLOOKUP(ELA92,[13]AssetDetails_UEM!$A$3:$AH$1849,6,FALSE)</f>
        <v>Electrosurgical Units, Monopolar/Bipolar</v>
      </c>
      <c r="ELC92" s="165" t="s">
        <v>945</v>
      </c>
      <c r="ELD92" s="166" t="str">
        <f>VLOOKUP(ELC92,[13]AssetDetails_UEM!$A$3:$AH$1849,6,FALSE)</f>
        <v>Electrosurgical Units, Monopolar/Bipolar</v>
      </c>
      <c r="ELE92" s="165" t="s">
        <v>945</v>
      </c>
      <c r="ELF92" s="166" t="str">
        <f>VLOOKUP(ELE92,[13]AssetDetails_UEM!$A$3:$AH$1849,6,FALSE)</f>
        <v>Electrosurgical Units, Monopolar/Bipolar</v>
      </c>
      <c r="ELG92" s="165" t="s">
        <v>945</v>
      </c>
      <c r="ELH92" s="166" t="str">
        <f>VLOOKUP(ELG92,[13]AssetDetails_UEM!$A$3:$AH$1849,6,FALSE)</f>
        <v>Electrosurgical Units, Monopolar/Bipolar</v>
      </c>
      <c r="ELI92" s="165" t="s">
        <v>945</v>
      </c>
      <c r="ELJ92" s="166" t="str">
        <f>VLOOKUP(ELI92,[13]AssetDetails_UEM!$A$3:$AH$1849,6,FALSE)</f>
        <v>Electrosurgical Units, Monopolar/Bipolar</v>
      </c>
      <c r="ELK92" s="165" t="s">
        <v>945</v>
      </c>
      <c r="ELL92" s="166" t="str">
        <f>VLOOKUP(ELK92,[13]AssetDetails_UEM!$A$3:$AH$1849,6,FALSE)</f>
        <v>Electrosurgical Units, Monopolar/Bipolar</v>
      </c>
      <c r="ELM92" s="165" t="s">
        <v>945</v>
      </c>
      <c r="ELN92" s="166" t="str">
        <f>VLOOKUP(ELM92,[13]AssetDetails_UEM!$A$3:$AH$1849,6,FALSE)</f>
        <v>Electrosurgical Units, Monopolar/Bipolar</v>
      </c>
      <c r="ELO92" s="165" t="s">
        <v>945</v>
      </c>
      <c r="ELP92" s="166" t="str">
        <f>VLOOKUP(ELO92,[13]AssetDetails_UEM!$A$3:$AH$1849,6,FALSE)</f>
        <v>Electrosurgical Units, Monopolar/Bipolar</v>
      </c>
      <c r="ELQ92" s="165" t="s">
        <v>945</v>
      </c>
      <c r="ELR92" s="166" t="str">
        <f>VLOOKUP(ELQ92,[13]AssetDetails_UEM!$A$3:$AH$1849,6,FALSE)</f>
        <v>Electrosurgical Units, Monopolar/Bipolar</v>
      </c>
      <c r="ELS92" s="165" t="s">
        <v>945</v>
      </c>
      <c r="ELT92" s="166" t="str">
        <f>VLOOKUP(ELS92,[13]AssetDetails_UEM!$A$3:$AH$1849,6,FALSE)</f>
        <v>Electrosurgical Units, Monopolar/Bipolar</v>
      </c>
      <c r="ELU92" s="165" t="s">
        <v>945</v>
      </c>
      <c r="ELV92" s="166" t="str">
        <f>VLOOKUP(ELU92,[13]AssetDetails_UEM!$A$3:$AH$1849,6,FALSE)</f>
        <v>Electrosurgical Units, Monopolar/Bipolar</v>
      </c>
      <c r="ELW92" s="165" t="s">
        <v>945</v>
      </c>
      <c r="ELX92" s="166" t="str">
        <f>VLOOKUP(ELW92,[13]AssetDetails_UEM!$A$3:$AH$1849,6,FALSE)</f>
        <v>Electrosurgical Units, Monopolar/Bipolar</v>
      </c>
      <c r="ELY92" s="165" t="s">
        <v>945</v>
      </c>
      <c r="ELZ92" s="166" t="str">
        <f>VLOOKUP(ELY92,[13]AssetDetails_UEM!$A$3:$AH$1849,6,FALSE)</f>
        <v>Electrosurgical Units, Monopolar/Bipolar</v>
      </c>
      <c r="EMA92" s="165" t="s">
        <v>945</v>
      </c>
      <c r="EMB92" s="166" t="str">
        <f>VLOOKUP(EMA92,[13]AssetDetails_UEM!$A$3:$AH$1849,6,FALSE)</f>
        <v>Electrosurgical Units, Monopolar/Bipolar</v>
      </c>
      <c r="EMC92" s="165" t="s">
        <v>945</v>
      </c>
      <c r="EMD92" s="166" t="str">
        <f>VLOOKUP(EMC92,[13]AssetDetails_UEM!$A$3:$AH$1849,6,FALSE)</f>
        <v>Electrosurgical Units, Monopolar/Bipolar</v>
      </c>
      <c r="EME92" s="165" t="s">
        <v>945</v>
      </c>
      <c r="EMF92" s="166" t="str">
        <f>VLOOKUP(EME92,[13]AssetDetails_UEM!$A$3:$AH$1849,6,FALSE)</f>
        <v>Electrosurgical Units, Monopolar/Bipolar</v>
      </c>
      <c r="EMG92" s="165" t="s">
        <v>945</v>
      </c>
      <c r="EMH92" s="166" t="str">
        <f>VLOOKUP(EMG92,[13]AssetDetails_UEM!$A$3:$AH$1849,6,FALSE)</f>
        <v>Electrosurgical Units, Monopolar/Bipolar</v>
      </c>
      <c r="EMI92" s="165" t="s">
        <v>945</v>
      </c>
      <c r="EMJ92" s="166" t="str">
        <f>VLOOKUP(EMI92,[13]AssetDetails_UEM!$A$3:$AH$1849,6,FALSE)</f>
        <v>Electrosurgical Units, Monopolar/Bipolar</v>
      </c>
      <c r="EMK92" s="165" t="s">
        <v>945</v>
      </c>
      <c r="EML92" s="166" t="str">
        <f>VLOOKUP(EMK92,[13]AssetDetails_UEM!$A$3:$AH$1849,6,FALSE)</f>
        <v>Electrosurgical Units, Monopolar/Bipolar</v>
      </c>
      <c r="EMM92" s="165" t="s">
        <v>945</v>
      </c>
      <c r="EMN92" s="166" t="str">
        <f>VLOOKUP(EMM92,[13]AssetDetails_UEM!$A$3:$AH$1849,6,FALSE)</f>
        <v>Electrosurgical Units, Monopolar/Bipolar</v>
      </c>
      <c r="EMO92" s="165" t="s">
        <v>945</v>
      </c>
      <c r="EMP92" s="166" t="str">
        <f>VLOOKUP(EMO92,[13]AssetDetails_UEM!$A$3:$AH$1849,6,FALSE)</f>
        <v>Electrosurgical Units, Monopolar/Bipolar</v>
      </c>
      <c r="EMQ92" s="165" t="s">
        <v>945</v>
      </c>
      <c r="EMR92" s="166" t="str">
        <f>VLOOKUP(EMQ92,[13]AssetDetails_UEM!$A$3:$AH$1849,6,FALSE)</f>
        <v>Electrosurgical Units, Monopolar/Bipolar</v>
      </c>
      <c r="EMS92" s="165" t="s">
        <v>945</v>
      </c>
      <c r="EMT92" s="166" t="str">
        <f>VLOOKUP(EMS92,[13]AssetDetails_UEM!$A$3:$AH$1849,6,FALSE)</f>
        <v>Electrosurgical Units, Monopolar/Bipolar</v>
      </c>
      <c r="EMU92" s="165" t="s">
        <v>945</v>
      </c>
      <c r="EMV92" s="166" t="str">
        <f>VLOOKUP(EMU92,[13]AssetDetails_UEM!$A$3:$AH$1849,6,FALSE)</f>
        <v>Electrosurgical Units, Monopolar/Bipolar</v>
      </c>
      <c r="EMW92" s="165" t="s">
        <v>945</v>
      </c>
      <c r="EMX92" s="166" t="str">
        <f>VLOOKUP(EMW92,[13]AssetDetails_UEM!$A$3:$AH$1849,6,FALSE)</f>
        <v>Electrosurgical Units, Monopolar/Bipolar</v>
      </c>
      <c r="EMY92" s="165" t="s">
        <v>945</v>
      </c>
      <c r="EMZ92" s="166" t="str">
        <f>VLOOKUP(EMY92,[13]AssetDetails_UEM!$A$3:$AH$1849,6,FALSE)</f>
        <v>Electrosurgical Units, Monopolar/Bipolar</v>
      </c>
      <c r="ENA92" s="165" t="s">
        <v>945</v>
      </c>
      <c r="ENB92" s="166" t="str">
        <f>VLOOKUP(ENA92,[13]AssetDetails_UEM!$A$3:$AH$1849,6,FALSE)</f>
        <v>Electrosurgical Units, Monopolar/Bipolar</v>
      </c>
      <c r="ENC92" s="165" t="s">
        <v>945</v>
      </c>
      <c r="END92" s="166" t="str">
        <f>VLOOKUP(ENC92,[13]AssetDetails_UEM!$A$3:$AH$1849,6,FALSE)</f>
        <v>Electrosurgical Units, Monopolar/Bipolar</v>
      </c>
      <c r="ENE92" s="165" t="s">
        <v>945</v>
      </c>
      <c r="ENF92" s="166" t="str">
        <f>VLOOKUP(ENE92,[13]AssetDetails_UEM!$A$3:$AH$1849,6,FALSE)</f>
        <v>Electrosurgical Units, Monopolar/Bipolar</v>
      </c>
      <c r="ENG92" s="165" t="s">
        <v>945</v>
      </c>
      <c r="ENH92" s="166" t="str">
        <f>VLOOKUP(ENG92,[13]AssetDetails_UEM!$A$3:$AH$1849,6,FALSE)</f>
        <v>Electrosurgical Units, Monopolar/Bipolar</v>
      </c>
      <c r="ENI92" s="165" t="s">
        <v>945</v>
      </c>
      <c r="ENJ92" s="166" t="str">
        <f>VLOOKUP(ENI92,[13]AssetDetails_UEM!$A$3:$AH$1849,6,FALSE)</f>
        <v>Electrosurgical Units, Monopolar/Bipolar</v>
      </c>
      <c r="ENK92" s="165" t="s">
        <v>945</v>
      </c>
      <c r="ENL92" s="166" t="str">
        <f>VLOOKUP(ENK92,[13]AssetDetails_UEM!$A$3:$AH$1849,6,FALSE)</f>
        <v>Electrosurgical Units, Monopolar/Bipolar</v>
      </c>
      <c r="ENM92" s="165" t="s">
        <v>945</v>
      </c>
      <c r="ENN92" s="166" t="str">
        <f>VLOOKUP(ENM92,[13]AssetDetails_UEM!$A$3:$AH$1849,6,FALSE)</f>
        <v>Electrosurgical Units, Monopolar/Bipolar</v>
      </c>
      <c r="ENO92" s="165" t="s">
        <v>945</v>
      </c>
      <c r="ENP92" s="166" t="str">
        <f>VLOOKUP(ENO92,[13]AssetDetails_UEM!$A$3:$AH$1849,6,FALSE)</f>
        <v>Electrosurgical Units, Monopolar/Bipolar</v>
      </c>
      <c r="ENQ92" s="165" t="s">
        <v>945</v>
      </c>
      <c r="ENR92" s="166" t="str">
        <f>VLOOKUP(ENQ92,[13]AssetDetails_UEM!$A$3:$AH$1849,6,FALSE)</f>
        <v>Electrosurgical Units, Monopolar/Bipolar</v>
      </c>
      <c r="ENS92" s="165" t="s">
        <v>945</v>
      </c>
      <c r="ENT92" s="166" t="str">
        <f>VLOOKUP(ENS92,[13]AssetDetails_UEM!$A$3:$AH$1849,6,FALSE)</f>
        <v>Electrosurgical Units, Monopolar/Bipolar</v>
      </c>
      <c r="ENU92" s="165" t="s">
        <v>945</v>
      </c>
      <c r="ENV92" s="166" t="str">
        <f>VLOOKUP(ENU92,[13]AssetDetails_UEM!$A$3:$AH$1849,6,FALSE)</f>
        <v>Electrosurgical Units, Monopolar/Bipolar</v>
      </c>
      <c r="ENW92" s="165" t="s">
        <v>945</v>
      </c>
      <c r="ENX92" s="166" t="str">
        <f>VLOOKUP(ENW92,[13]AssetDetails_UEM!$A$3:$AH$1849,6,FALSE)</f>
        <v>Electrosurgical Units, Monopolar/Bipolar</v>
      </c>
      <c r="ENY92" s="165" t="s">
        <v>945</v>
      </c>
      <c r="ENZ92" s="166" t="str">
        <f>VLOOKUP(ENY92,[13]AssetDetails_UEM!$A$3:$AH$1849,6,FALSE)</f>
        <v>Electrosurgical Units, Monopolar/Bipolar</v>
      </c>
      <c r="EOA92" s="165" t="s">
        <v>945</v>
      </c>
      <c r="EOB92" s="166" t="str">
        <f>VLOOKUP(EOA92,[13]AssetDetails_UEM!$A$3:$AH$1849,6,FALSE)</f>
        <v>Electrosurgical Units, Monopolar/Bipolar</v>
      </c>
      <c r="EOC92" s="165" t="s">
        <v>945</v>
      </c>
      <c r="EOD92" s="166" t="str">
        <f>VLOOKUP(EOC92,[13]AssetDetails_UEM!$A$3:$AH$1849,6,FALSE)</f>
        <v>Electrosurgical Units, Monopolar/Bipolar</v>
      </c>
      <c r="EOE92" s="165" t="s">
        <v>945</v>
      </c>
      <c r="EOF92" s="166" t="str">
        <f>VLOOKUP(EOE92,[13]AssetDetails_UEM!$A$3:$AH$1849,6,FALSE)</f>
        <v>Electrosurgical Units, Monopolar/Bipolar</v>
      </c>
      <c r="EOG92" s="165" t="s">
        <v>945</v>
      </c>
      <c r="EOH92" s="166" t="str">
        <f>VLOOKUP(EOG92,[13]AssetDetails_UEM!$A$3:$AH$1849,6,FALSE)</f>
        <v>Electrosurgical Units, Monopolar/Bipolar</v>
      </c>
      <c r="EOI92" s="165" t="s">
        <v>945</v>
      </c>
      <c r="EOJ92" s="166" t="str">
        <f>VLOOKUP(EOI92,[13]AssetDetails_UEM!$A$3:$AH$1849,6,FALSE)</f>
        <v>Electrosurgical Units, Monopolar/Bipolar</v>
      </c>
      <c r="EOK92" s="165" t="s">
        <v>945</v>
      </c>
      <c r="EOL92" s="166" t="str">
        <f>VLOOKUP(EOK92,[13]AssetDetails_UEM!$A$3:$AH$1849,6,FALSE)</f>
        <v>Electrosurgical Units, Monopolar/Bipolar</v>
      </c>
      <c r="EOM92" s="165" t="s">
        <v>945</v>
      </c>
      <c r="EON92" s="166" t="str">
        <f>VLOOKUP(EOM92,[13]AssetDetails_UEM!$A$3:$AH$1849,6,FALSE)</f>
        <v>Electrosurgical Units, Monopolar/Bipolar</v>
      </c>
      <c r="EOO92" s="165" t="s">
        <v>945</v>
      </c>
      <c r="EOP92" s="166" t="str">
        <f>VLOOKUP(EOO92,[13]AssetDetails_UEM!$A$3:$AH$1849,6,FALSE)</f>
        <v>Electrosurgical Units, Monopolar/Bipolar</v>
      </c>
      <c r="EOQ92" s="165" t="s">
        <v>945</v>
      </c>
      <c r="EOR92" s="166" t="str">
        <f>VLOOKUP(EOQ92,[13]AssetDetails_UEM!$A$3:$AH$1849,6,FALSE)</f>
        <v>Electrosurgical Units, Monopolar/Bipolar</v>
      </c>
      <c r="EOS92" s="165" t="s">
        <v>945</v>
      </c>
      <c r="EOT92" s="166" t="str">
        <f>VLOOKUP(EOS92,[13]AssetDetails_UEM!$A$3:$AH$1849,6,FALSE)</f>
        <v>Electrosurgical Units, Monopolar/Bipolar</v>
      </c>
      <c r="EOU92" s="165" t="s">
        <v>945</v>
      </c>
      <c r="EOV92" s="166" t="str">
        <f>VLOOKUP(EOU92,[13]AssetDetails_UEM!$A$3:$AH$1849,6,FALSE)</f>
        <v>Electrosurgical Units, Monopolar/Bipolar</v>
      </c>
      <c r="EOW92" s="165" t="s">
        <v>945</v>
      </c>
      <c r="EOX92" s="166" t="str">
        <f>VLOOKUP(EOW92,[13]AssetDetails_UEM!$A$3:$AH$1849,6,FALSE)</f>
        <v>Electrosurgical Units, Monopolar/Bipolar</v>
      </c>
      <c r="EOY92" s="165" t="s">
        <v>945</v>
      </c>
      <c r="EOZ92" s="166" t="str">
        <f>VLOOKUP(EOY92,[13]AssetDetails_UEM!$A$3:$AH$1849,6,FALSE)</f>
        <v>Electrosurgical Units, Monopolar/Bipolar</v>
      </c>
      <c r="EPA92" s="165" t="s">
        <v>945</v>
      </c>
      <c r="EPB92" s="166" t="str">
        <f>VLOOKUP(EPA92,[13]AssetDetails_UEM!$A$3:$AH$1849,6,FALSE)</f>
        <v>Electrosurgical Units, Monopolar/Bipolar</v>
      </c>
      <c r="EPC92" s="165" t="s">
        <v>945</v>
      </c>
      <c r="EPD92" s="166" t="str">
        <f>VLOOKUP(EPC92,[13]AssetDetails_UEM!$A$3:$AH$1849,6,FALSE)</f>
        <v>Electrosurgical Units, Monopolar/Bipolar</v>
      </c>
      <c r="EPE92" s="165" t="s">
        <v>945</v>
      </c>
      <c r="EPF92" s="166" t="str">
        <f>VLOOKUP(EPE92,[13]AssetDetails_UEM!$A$3:$AH$1849,6,FALSE)</f>
        <v>Electrosurgical Units, Monopolar/Bipolar</v>
      </c>
      <c r="EPG92" s="165" t="s">
        <v>945</v>
      </c>
      <c r="EPH92" s="166" t="str">
        <f>VLOOKUP(EPG92,[13]AssetDetails_UEM!$A$3:$AH$1849,6,FALSE)</f>
        <v>Electrosurgical Units, Monopolar/Bipolar</v>
      </c>
      <c r="EPI92" s="165" t="s">
        <v>945</v>
      </c>
      <c r="EPJ92" s="166" t="str">
        <f>VLOOKUP(EPI92,[13]AssetDetails_UEM!$A$3:$AH$1849,6,FALSE)</f>
        <v>Electrosurgical Units, Monopolar/Bipolar</v>
      </c>
      <c r="EPK92" s="165" t="s">
        <v>945</v>
      </c>
      <c r="EPL92" s="166" t="str">
        <f>VLOOKUP(EPK92,[13]AssetDetails_UEM!$A$3:$AH$1849,6,FALSE)</f>
        <v>Electrosurgical Units, Monopolar/Bipolar</v>
      </c>
      <c r="EPM92" s="165" t="s">
        <v>945</v>
      </c>
      <c r="EPN92" s="166" t="str">
        <f>VLOOKUP(EPM92,[13]AssetDetails_UEM!$A$3:$AH$1849,6,FALSE)</f>
        <v>Electrosurgical Units, Monopolar/Bipolar</v>
      </c>
      <c r="EPO92" s="165" t="s">
        <v>945</v>
      </c>
      <c r="EPP92" s="166" t="str">
        <f>VLOOKUP(EPO92,[13]AssetDetails_UEM!$A$3:$AH$1849,6,FALSE)</f>
        <v>Electrosurgical Units, Monopolar/Bipolar</v>
      </c>
      <c r="EPQ92" s="165" t="s">
        <v>945</v>
      </c>
      <c r="EPR92" s="166" t="str">
        <f>VLOOKUP(EPQ92,[13]AssetDetails_UEM!$A$3:$AH$1849,6,FALSE)</f>
        <v>Electrosurgical Units, Monopolar/Bipolar</v>
      </c>
      <c r="EPS92" s="165" t="s">
        <v>945</v>
      </c>
      <c r="EPT92" s="166" t="str">
        <f>VLOOKUP(EPS92,[13]AssetDetails_UEM!$A$3:$AH$1849,6,FALSE)</f>
        <v>Electrosurgical Units, Monopolar/Bipolar</v>
      </c>
      <c r="EPU92" s="165" t="s">
        <v>945</v>
      </c>
      <c r="EPV92" s="166" t="str">
        <f>VLOOKUP(EPU92,[13]AssetDetails_UEM!$A$3:$AH$1849,6,FALSE)</f>
        <v>Electrosurgical Units, Monopolar/Bipolar</v>
      </c>
      <c r="EPW92" s="165" t="s">
        <v>945</v>
      </c>
      <c r="EPX92" s="166" t="str">
        <f>VLOOKUP(EPW92,[13]AssetDetails_UEM!$A$3:$AH$1849,6,FALSE)</f>
        <v>Electrosurgical Units, Monopolar/Bipolar</v>
      </c>
      <c r="EPY92" s="165" t="s">
        <v>945</v>
      </c>
      <c r="EPZ92" s="166" t="str">
        <f>VLOOKUP(EPY92,[13]AssetDetails_UEM!$A$3:$AH$1849,6,FALSE)</f>
        <v>Electrosurgical Units, Monopolar/Bipolar</v>
      </c>
      <c r="EQA92" s="165" t="s">
        <v>945</v>
      </c>
      <c r="EQB92" s="166" t="str">
        <f>VLOOKUP(EQA92,[13]AssetDetails_UEM!$A$3:$AH$1849,6,FALSE)</f>
        <v>Electrosurgical Units, Monopolar/Bipolar</v>
      </c>
      <c r="EQC92" s="165" t="s">
        <v>945</v>
      </c>
      <c r="EQD92" s="166" t="str">
        <f>VLOOKUP(EQC92,[13]AssetDetails_UEM!$A$3:$AH$1849,6,FALSE)</f>
        <v>Electrosurgical Units, Monopolar/Bipolar</v>
      </c>
      <c r="EQE92" s="165" t="s">
        <v>945</v>
      </c>
      <c r="EQF92" s="166" t="str">
        <f>VLOOKUP(EQE92,[13]AssetDetails_UEM!$A$3:$AH$1849,6,FALSE)</f>
        <v>Electrosurgical Units, Monopolar/Bipolar</v>
      </c>
      <c r="EQG92" s="165" t="s">
        <v>945</v>
      </c>
      <c r="EQH92" s="166" t="str">
        <f>VLOOKUP(EQG92,[13]AssetDetails_UEM!$A$3:$AH$1849,6,FALSE)</f>
        <v>Electrosurgical Units, Monopolar/Bipolar</v>
      </c>
      <c r="EQI92" s="165" t="s">
        <v>945</v>
      </c>
      <c r="EQJ92" s="166" t="str">
        <f>VLOOKUP(EQI92,[13]AssetDetails_UEM!$A$3:$AH$1849,6,FALSE)</f>
        <v>Electrosurgical Units, Monopolar/Bipolar</v>
      </c>
      <c r="EQK92" s="165" t="s">
        <v>945</v>
      </c>
      <c r="EQL92" s="166" t="str">
        <f>VLOOKUP(EQK92,[13]AssetDetails_UEM!$A$3:$AH$1849,6,FALSE)</f>
        <v>Electrosurgical Units, Monopolar/Bipolar</v>
      </c>
      <c r="EQM92" s="165" t="s">
        <v>945</v>
      </c>
      <c r="EQN92" s="166" t="str">
        <f>VLOOKUP(EQM92,[13]AssetDetails_UEM!$A$3:$AH$1849,6,FALSE)</f>
        <v>Electrosurgical Units, Monopolar/Bipolar</v>
      </c>
      <c r="EQO92" s="165" t="s">
        <v>945</v>
      </c>
      <c r="EQP92" s="166" t="str">
        <f>VLOOKUP(EQO92,[13]AssetDetails_UEM!$A$3:$AH$1849,6,FALSE)</f>
        <v>Electrosurgical Units, Monopolar/Bipolar</v>
      </c>
      <c r="EQQ92" s="165" t="s">
        <v>945</v>
      </c>
      <c r="EQR92" s="166" t="str">
        <f>VLOOKUP(EQQ92,[13]AssetDetails_UEM!$A$3:$AH$1849,6,FALSE)</f>
        <v>Electrosurgical Units, Monopolar/Bipolar</v>
      </c>
      <c r="EQS92" s="165" t="s">
        <v>945</v>
      </c>
      <c r="EQT92" s="166" t="str">
        <f>VLOOKUP(EQS92,[13]AssetDetails_UEM!$A$3:$AH$1849,6,FALSE)</f>
        <v>Electrosurgical Units, Monopolar/Bipolar</v>
      </c>
      <c r="EQU92" s="165" t="s">
        <v>945</v>
      </c>
      <c r="EQV92" s="166" t="str">
        <f>VLOOKUP(EQU92,[13]AssetDetails_UEM!$A$3:$AH$1849,6,FALSE)</f>
        <v>Electrosurgical Units, Monopolar/Bipolar</v>
      </c>
      <c r="EQW92" s="165" t="s">
        <v>945</v>
      </c>
      <c r="EQX92" s="166" t="str">
        <f>VLOOKUP(EQW92,[13]AssetDetails_UEM!$A$3:$AH$1849,6,FALSE)</f>
        <v>Electrosurgical Units, Monopolar/Bipolar</v>
      </c>
      <c r="EQY92" s="165" t="s">
        <v>945</v>
      </c>
      <c r="EQZ92" s="166" t="str">
        <f>VLOOKUP(EQY92,[13]AssetDetails_UEM!$A$3:$AH$1849,6,FALSE)</f>
        <v>Electrosurgical Units, Monopolar/Bipolar</v>
      </c>
      <c r="ERA92" s="165" t="s">
        <v>945</v>
      </c>
      <c r="ERB92" s="166" t="str">
        <f>VLOOKUP(ERA92,[13]AssetDetails_UEM!$A$3:$AH$1849,6,FALSE)</f>
        <v>Electrosurgical Units, Monopolar/Bipolar</v>
      </c>
      <c r="ERC92" s="165" t="s">
        <v>945</v>
      </c>
      <c r="ERD92" s="166" t="str">
        <f>VLOOKUP(ERC92,[13]AssetDetails_UEM!$A$3:$AH$1849,6,FALSE)</f>
        <v>Electrosurgical Units, Monopolar/Bipolar</v>
      </c>
      <c r="ERE92" s="165" t="s">
        <v>945</v>
      </c>
      <c r="ERF92" s="166" t="str">
        <f>VLOOKUP(ERE92,[13]AssetDetails_UEM!$A$3:$AH$1849,6,FALSE)</f>
        <v>Electrosurgical Units, Monopolar/Bipolar</v>
      </c>
      <c r="ERG92" s="165" t="s">
        <v>945</v>
      </c>
      <c r="ERH92" s="166" t="str">
        <f>VLOOKUP(ERG92,[13]AssetDetails_UEM!$A$3:$AH$1849,6,FALSE)</f>
        <v>Electrosurgical Units, Monopolar/Bipolar</v>
      </c>
      <c r="ERI92" s="165" t="s">
        <v>945</v>
      </c>
      <c r="ERJ92" s="166" t="str">
        <f>VLOOKUP(ERI92,[13]AssetDetails_UEM!$A$3:$AH$1849,6,FALSE)</f>
        <v>Electrosurgical Units, Monopolar/Bipolar</v>
      </c>
      <c r="ERK92" s="165" t="s">
        <v>945</v>
      </c>
      <c r="ERL92" s="166" t="str">
        <f>VLOOKUP(ERK92,[13]AssetDetails_UEM!$A$3:$AH$1849,6,FALSE)</f>
        <v>Electrosurgical Units, Monopolar/Bipolar</v>
      </c>
      <c r="ERM92" s="165" t="s">
        <v>945</v>
      </c>
      <c r="ERN92" s="166" t="str">
        <f>VLOOKUP(ERM92,[13]AssetDetails_UEM!$A$3:$AH$1849,6,FALSE)</f>
        <v>Electrosurgical Units, Monopolar/Bipolar</v>
      </c>
      <c r="ERO92" s="165" t="s">
        <v>945</v>
      </c>
      <c r="ERP92" s="166" t="str">
        <f>VLOOKUP(ERO92,[13]AssetDetails_UEM!$A$3:$AH$1849,6,FALSE)</f>
        <v>Electrosurgical Units, Monopolar/Bipolar</v>
      </c>
      <c r="ERQ92" s="165" t="s">
        <v>945</v>
      </c>
      <c r="ERR92" s="166" t="str">
        <f>VLOOKUP(ERQ92,[13]AssetDetails_UEM!$A$3:$AH$1849,6,FALSE)</f>
        <v>Electrosurgical Units, Monopolar/Bipolar</v>
      </c>
      <c r="ERS92" s="165" t="s">
        <v>945</v>
      </c>
      <c r="ERT92" s="166" t="str">
        <f>VLOOKUP(ERS92,[13]AssetDetails_UEM!$A$3:$AH$1849,6,FALSE)</f>
        <v>Electrosurgical Units, Monopolar/Bipolar</v>
      </c>
      <c r="ERU92" s="165" t="s">
        <v>945</v>
      </c>
      <c r="ERV92" s="166" t="str">
        <f>VLOOKUP(ERU92,[13]AssetDetails_UEM!$A$3:$AH$1849,6,FALSE)</f>
        <v>Electrosurgical Units, Monopolar/Bipolar</v>
      </c>
      <c r="ERW92" s="165" t="s">
        <v>945</v>
      </c>
      <c r="ERX92" s="166" t="str">
        <f>VLOOKUP(ERW92,[13]AssetDetails_UEM!$A$3:$AH$1849,6,FALSE)</f>
        <v>Electrosurgical Units, Monopolar/Bipolar</v>
      </c>
      <c r="ERY92" s="165" t="s">
        <v>945</v>
      </c>
      <c r="ERZ92" s="166" t="str">
        <f>VLOOKUP(ERY92,[13]AssetDetails_UEM!$A$3:$AH$1849,6,FALSE)</f>
        <v>Electrosurgical Units, Monopolar/Bipolar</v>
      </c>
      <c r="ESA92" s="165" t="s">
        <v>945</v>
      </c>
      <c r="ESB92" s="166" t="str">
        <f>VLOOKUP(ESA92,[13]AssetDetails_UEM!$A$3:$AH$1849,6,FALSE)</f>
        <v>Electrosurgical Units, Monopolar/Bipolar</v>
      </c>
      <c r="ESC92" s="165" t="s">
        <v>945</v>
      </c>
      <c r="ESD92" s="166" t="str">
        <f>VLOOKUP(ESC92,[13]AssetDetails_UEM!$A$3:$AH$1849,6,FALSE)</f>
        <v>Electrosurgical Units, Monopolar/Bipolar</v>
      </c>
      <c r="ESE92" s="165" t="s">
        <v>945</v>
      </c>
      <c r="ESF92" s="166" t="str">
        <f>VLOOKUP(ESE92,[13]AssetDetails_UEM!$A$3:$AH$1849,6,FALSE)</f>
        <v>Electrosurgical Units, Monopolar/Bipolar</v>
      </c>
      <c r="ESG92" s="165" t="s">
        <v>945</v>
      </c>
      <c r="ESH92" s="166" t="str">
        <f>VLOOKUP(ESG92,[13]AssetDetails_UEM!$A$3:$AH$1849,6,FALSE)</f>
        <v>Electrosurgical Units, Monopolar/Bipolar</v>
      </c>
      <c r="ESI92" s="165" t="s">
        <v>945</v>
      </c>
      <c r="ESJ92" s="166" t="str">
        <f>VLOOKUP(ESI92,[13]AssetDetails_UEM!$A$3:$AH$1849,6,FALSE)</f>
        <v>Electrosurgical Units, Monopolar/Bipolar</v>
      </c>
      <c r="ESK92" s="165" t="s">
        <v>945</v>
      </c>
      <c r="ESL92" s="166" t="str">
        <f>VLOOKUP(ESK92,[13]AssetDetails_UEM!$A$3:$AH$1849,6,FALSE)</f>
        <v>Electrosurgical Units, Monopolar/Bipolar</v>
      </c>
      <c r="ESM92" s="165" t="s">
        <v>945</v>
      </c>
      <c r="ESN92" s="166" t="str">
        <f>VLOOKUP(ESM92,[13]AssetDetails_UEM!$A$3:$AH$1849,6,FALSE)</f>
        <v>Electrosurgical Units, Monopolar/Bipolar</v>
      </c>
      <c r="ESO92" s="165" t="s">
        <v>945</v>
      </c>
      <c r="ESP92" s="166" t="str">
        <f>VLOOKUP(ESO92,[13]AssetDetails_UEM!$A$3:$AH$1849,6,FALSE)</f>
        <v>Electrosurgical Units, Monopolar/Bipolar</v>
      </c>
      <c r="ESQ92" s="165" t="s">
        <v>945</v>
      </c>
      <c r="ESR92" s="166" t="str">
        <f>VLOOKUP(ESQ92,[13]AssetDetails_UEM!$A$3:$AH$1849,6,FALSE)</f>
        <v>Electrosurgical Units, Monopolar/Bipolar</v>
      </c>
      <c r="ESS92" s="165" t="s">
        <v>945</v>
      </c>
      <c r="EST92" s="166" t="str">
        <f>VLOOKUP(ESS92,[13]AssetDetails_UEM!$A$3:$AH$1849,6,FALSE)</f>
        <v>Electrosurgical Units, Monopolar/Bipolar</v>
      </c>
      <c r="ESU92" s="165" t="s">
        <v>945</v>
      </c>
      <c r="ESV92" s="166" t="str">
        <f>VLOOKUP(ESU92,[13]AssetDetails_UEM!$A$3:$AH$1849,6,FALSE)</f>
        <v>Electrosurgical Units, Monopolar/Bipolar</v>
      </c>
      <c r="ESW92" s="165" t="s">
        <v>945</v>
      </c>
      <c r="ESX92" s="166" t="str">
        <f>VLOOKUP(ESW92,[13]AssetDetails_UEM!$A$3:$AH$1849,6,FALSE)</f>
        <v>Electrosurgical Units, Monopolar/Bipolar</v>
      </c>
      <c r="ESY92" s="165" t="s">
        <v>945</v>
      </c>
      <c r="ESZ92" s="166" t="str">
        <f>VLOOKUP(ESY92,[13]AssetDetails_UEM!$A$3:$AH$1849,6,FALSE)</f>
        <v>Electrosurgical Units, Monopolar/Bipolar</v>
      </c>
      <c r="ETA92" s="165" t="s">
        <v>945</v>
      </c>
      <c r="ETB92" s="166" t="str">
        <f>VLOOKUP(ETA92,[13]AssetDetails_UEM!$A$3:$AH$1849,6,FALSE)</f>
        <v>Electrosurgical Units, Monopolar/Bipolar</v>
      </c>
      <c r="ETC92" s="165" t="s">
        <v>945</v>
      </c>
      <c r="ETD92" s="166" t="str">
        <f>VLOOKUP(ETC92,[13]AssetDetails_UEM!$A$3:$AH$1849,6,FALSE)</f>
        <v>Electrosurgical Units, Monopolar/Bipolar</v>
      </c>
      <c r="ETE92" s="165" t="s">
        <v>945</v>
      </c>
      <c r="ETF92" s="166" t="str">
        <f>VLOOKUP(ETE92,[13]AssetDetails_UEM!$A$3:$AH$1849,6,FALSE)</f>
        <v>Electrosurgical Units, Monopolar/Bipolar</v>
      </c>
      <c r="ETG92" s="165" t="s">
        <v>945</v>
      </c>
      <c r="ETH92" s="166" t="str">
        <f>VLOOKUP(ETG92,[13]AssetDetails_UEM!$A$3:$AH$1849,6,FALSE)</f>
        <v>Electrosurgical Units, Monopolar/Bipolar</v>
      </c>
      <c r="ETI92" s="165" t="s">
        <v>945</v>
      </c>
      <c r="ETJ92" s="166" t="str">
        <f>VLOOKUP(ETI92,[13]AssetDetails_UEM!$A$3:$AH$1849,6,FALSE)</f>
        <v>Electrosurgical Units, Monopolar/Bipolar</v>
      </c>
      <c r="ETK92" s="165" t="s">
        <v>945</v>
      </c>
      <c r="ETL92" s="166" t="str">
        <f>VLOOKUP(ETK92,[13]AssetDetails_UEM!$A$3:$AH$1849,6,FALSE)</f>
        <v>Electrosurgical Units, Monopolar/Bipolar</v>
      </c>
      <c r="ETM92" s="165" t="s">
        <v>945</v>
      </c>
      <c r="ETN92" s="166" t="str">
        <f>VLOOKUP(ETM92,[13]AssetDetails_UEM!$A$3:$AH$1849,6,FALSE)</f>
        <v>Electrosurgical Units, Monopolar/Bipolar</v>
      </c>
      <c r="ETO92" s="165" t="s">
        <v>945</v>
      </c>
      <c r="ETP92" s="166" t="str">
        <f>VLOOKUP(ETO92,[13]AssetDetails_UEM!$A$3:$AH$1849,6,FALSE)</f>
        <v>Electrosurgical Units, Monopolar/Bipolar</v>
      </c>
      <c r="ETQ92" s="165" t="s">
        <v>945</v>
      </c>
      <c r="ETR92" s="166" t="str">
        <f>VLOOKUP(ETQ92,[13]AssetDetails_UEM!$A$3:$AH$1849,6,FALSE)</f>
        <v>Electrosurgical Units, Monopolar/Bipolar</v>
      </c>
      <c r="ETS92" s="165" t="s">
        <v>945</v>
      </c>
      <c r="ETT92" s="166" t="str">
        <f>VLOOKUP(ETS92,[13]AssetDetails_UEM!$A$3:$AH$1849,6,FALSE)</f>
        <v>Electrosurgical Units, Monopolar/Bipolar</v>
      </c>
      <c r="ETU92" s="165" t="s">
        <v>945</v>
      </c>
      <c r="ETV92" s="166" t="str">
        <f>VLOOKUP(ETU92,[13]AssetDetails_UEM!$A$3:$AH$1849,6,FALSE)</f>
        <v>Electrosurgical Units, Monopolar/Bipolar</v>
      </c>
      <c r="ETW92" s="165" t="s">
        <v>945</v>
      </c>
      <c r="ETX92" s="166" t="str">
        <f>VLOOKUP(ETW92,[13]AssetDetails_UEM!$A$3:$AH$1849,6,FALSE)</f>
        <v>Electrosurgical Units, Monopolar/Bipolar</v>
      </c>
      <c r="ETY92" s="165" t="s">
        <v>945</v>
      </c>
      <c r="ETZ92" s="166" t="str">
        <f>VLOOKUP(ETY92,[13]AssetDetails_UEM!$A$3:$AH$1849,6,FALSE)</f>
        <v>Electrosurgical Units, Monopolar/Bipolar</v>
      </c>
      <c r="EUA92" s="165" t="s">
        <v>945</v>
      </c>
      <c r="EUB92" s="166" t="str">
        <f>VLOOKUP(EUA92,[13]AssetDetails_UEM!$A$3:$AH$1849,6,FALSE)</f>
        <v>Electrosurgical Units, Monopolar/Bipolar</v>
      </c>
      <c r="EUC92" s="165" t="s">
        <v>945</v>
      </c>
      <c r="EUD92" s="166" t="str">
        <f>VLOOKUP(EUC92,[13]AssetDetails_UEM!$A$3:$AH$1849,6,FALSE)</f>
        <v>Electrosurgical Units, Monopolar/Bipolar</v>
      </c>
      <c r="EUE92" s="165" t="s">
        <v>945</v>
      </c>
      <c r="EUF92" s="166" t="str">
        <f>VLOOKUP(EUE92,[13]AssetDetails_UEM!$A$3:$AH$1849,6,FALSE)</f>
        <v>Electrosurgical Units, Monopolar/Bipolar</v>
      </c>
      <c r="EUG92" s="165" t="s">
        <v>945</v>
      </c>
      <c r="EUH92" s="166" t="str">
        <f>VLOOKUP(EUG92,[13]AssetDetails_UEM!$A$3:$AH$1849,6,FALSE)</f>
        <v>Electrosurgical Units, Monopolar/Bipolar</v>
      </c>
      <c r="EUI92" s="165" t="s">
        <v>945</v>
      </c>
      <c r="EUJ92" s="166" t="str">
        <f>VLOOKUP(EUI92,[13]AssetDetails_UEM!$A$3:$AH$1849,6,FALSE)</f>
        <v>Electrosurgical Units, Monopolar/Bipolar</v>
      </c>
      <c r="EUK92" s="165" t="s">
        <v>945</v>
      </c>
      <c r="EUL92" s="166" t="str">
        <f>VLOOKUP(EUK92,[13]AssetDetails_UEM!$A$3:$AH$1849,6,FALSE)</f>
        <v>Electrosurgical Units, Monopolar/Bipolar</v>
      </c>
      <c r="EUM92" s="165" t="s">
        <v>945</v>
      </c>
      <c r="EUN92" s="166" t="str">
        <f>VLOOKUP(EUM92,[13]AssetDetails_UEM!$A$3:$AH$1849,6,FALSE)</f>
        <v>Electrosurgical Units, Monopolar/Bipolar</v>
      </c>
      <c r="EUO92" s="165" t="s">
        <v>945</v>
      </c>
      <c r="EUP92" s="166" t="str">
        <f>VLOOKUP(EUO92,[13]AssetDetails_UEM!$A$3:$AH$1849,6,FALSE)</f>
        <v>Electrosurgical Units, Monopolar/Bipolar</v>
      </c>
      <c r="EUQ92" s="165" t="s">
        <v>945</v>
      </c>
      <c r="EUR92" s="166" t="str">
        <f>VLOOKUP(EUQ92,[13]AssetDetails_UEM!$A$3:$AH$1849,6,FALSE)</f>
        <v>Electrosurgical Units, Monopolar/Bipolar</v>
      </c>
      <c r="EUS92" s="165" t="s">
        <v>945</v>
      </c>
      <c r="EUT92" s="166" t="str">
        <f>VLOOKUP(EUS92,[13]AssetDetails_UEM!$A$3:$AH$1849,6,FALSE)</f>
        <v>Electrosurgical Units, Monopolar/Bipolar</v>
      </c>
      <c r="EUU92" s="165" t="s">
        <v>945</v>
      </c>
      <c r="EUV92" s="166" t="str">
        <f>VLOOKUP(EUU92,[13]AssetDetails_UEM!$A$3:$AH$1849,6,FALSE)</f>
        <v>Electrosurgical Units, Monopolar/Bipolar</v>
      </c>
      <c r="EUW92" s="165" t="s">
        <v>945</v>
      </c>
      <c r="EUX92" s="166" t="str">
        <f>VLOOKUP(EUW92,[13]AssetDetails_UEM!$A$3:$AH$1849,6,FALSE)</f>
        <v>Electrosurgical Units, Monopolar/Bipolar</v>
      </c>
      <c r="EUY92" s="165" t="s">
        <v>945</v>
      </c>
      <c r="EUZ92" s="166" t="str">
        <f>VLOOKUP(EUY92,[13]AssetDetails_UEM!$A$3:$AH$1849,6,FALSE)</f>
        <v>Electrosurgical Units, Monopolar/Bipolar</v>
      </c>
      <c r="EVA92" s="165" t="s">
        <v>945</v>
      </c>
      <c r="EVB92" s="166" t="str">
        <f>VLOOKUP(EVA92,[13]AssetDetails_UEM!$A$3:$AH$1849,6,FALSE)</f>
        <v>Electrosurgical Units, Monopolar/Bipolar</v>
      </c>
      <c r="EVC92" s="165" t="s">
        <v>945</v>
      </c>
      <c r="EVD92" s="166" t="str">
        <f>VLOOKUP(EVC92,[13]AssetDetails_UEM!$A$3:$AH$1849,6,FALSE)</f>
        <v>Electrosurgical Units, Monopolar/Bipolar</v>
      </c>
      <c r="EVE92" s="165" t="s">
        <v>945</v>
      </c>
      <c r="EVF92" s="166" t="str">
        <f>VLOOKUP(EVE92,[13]AssetDetails_UEM!$A$3:$AH$1849,6,FALSE)</f>
        <v>Electrosurgical Units, Monopolar/Bipolar</v>
      </c>
      <c r="EVG92" s="165" t="s">
        <v>945</v>
      </c>
      <c r="EVH92" s="166" t="str">
        <f>VLOOKUP(EVG92,[13]AssetDetails_UEM!$A$3:$AH$1849,6,FALSE)</f>
        <v>Electrosurgical Units, Monopolar/Bipolar</v>
      </c>
      <c r="EVI92" s="165" t="s">
        <v>945</v>
      </c>
      <c r="EVJ92" s="166" t="str">
        <f>VLOOKUP(EVI92,[13]AssetDetails_UEM!$A$3:$AH$1849,6,FALSE)</f>
        <v>Electrosurgical Units, Monopolar/Bipolar</v>
      </c>
      <c r="EVK92" s="165" t="s">
        <v>945</v>
      </c>
      <c r="EVL92" s="166" t="str">
        <f>VLOOKUP(EVK92,[13]AssetDetails_UEM!$A$3:$AH$1849,6,FALSE)</f>
        <v>Electrosurgical Units, Monopolar/Bipolar</v>
      </c>
      <c r="EVM92" s="165" t="s">
        <v>945</v>
      </c>
      <c r="EVN92" s="166" t="str">
        <f>VLOOKUP(EVM92,[13]AssetDetails_UEM!$A$3:$AH$1849,6,FALSE)</f>
        <v>Electrosurgical Units, Monopolar/Bipolar</v>
      </c>
      <c r="EVO92" s="165" t="s">
        <v>945</v>
      </c>
      <c r="EVP92" s="166" t="str">
        <f>VLOOKUP(EVO92,[13]AssetDetails_UEM!$A$3:$AH$1849,6,FALSE)</f>
        <v>Electrosurgical Units, Monopolar/Bipolar</v>
      </c>
      <c r="EVQ92" s="165" t="s">
        <v>945</v>
      </c>
      <c r="EVR92" s="166" t="str">
        <f>VLOOKUP(EVQ92,[13]AssetDetails_UEM!$A$3:$AH$1849,6,FALSE)</f>
        <v>Electrosurgical Units, Monopolar/Bipolar</v>
      </c>
      <c r="EVS92" s="165" t="s">
        <v>945</v>
      </c>
      <c r="EVT92" s="166" t="str">
        <f>VLOOKUP(EVS92,[13]AssetDetails_UEM!$A$3:$AH$1849,6,FALSE)</f>
        <v>Electrosurgical Units, Monopolar/Bipolar</v>
      </c>
      <c r="EVU92" s="165" t="s">
        <v>945</v>
      </c>
      <c r="EVV92" s="166" t="str">
        <f>VLOOKUP(EVU92,[13]AssetDetails_UEM!$A$3:$AH$1849,6,FALSE)</f>
        <v>Electrosurgical Units, Monopolar/Bipolar</v>
      </c>
      <c r="EVW92" s="165" t="s">
        <v>945</v>
      </c>
      <c r="EVX92" s="166" t="str">
        <f>VLOOKUP(EVW92,[13]AssetDetails_UEM!$A$3:$AH$1849,6,FALSE)</f>
        <v>Electrosurgical Units, Monopolar/Bipolar</v>
      </c>
      <c r="EVY92" s="165" t="s">
        <v>945</v>
      </c>
      <c r="EVZ92" s="166" t="str">
        <f>VLOOKUP(EVY92,[13]AssetDetails_UEM!$A$3:$AH$1849,6,FALSE)</f>
        <v>Electrosurgical Units, Monopolar/Bipolar</v>
      </c>
      <c r="EWA92" s="165" t="s">
        <v>945</v>
      </c>
      <c r="EWB92" s="166" t="str">
        <f>VLOOKUP(EWA92,[13]AssetDetails_UEM!$A$3:$AH$1849,6,FALSE)</f>
        <v>Electrosurgical Units, Monopolar/Bipolar</v>
      </c>
      <c r="EWC92" s="165" t="s">
        <v>945</v>
      </c>
      <c r="EWD92" s="166" t="str">
        <f>VLOOKUP(EWC92,[13]AssetDetails_UEM!$A$3:$AH$1849,6,FALSE)</f>
        <v>Electrosurgical Units, Monopolar/Bipolar</v>
      </c>
      <c r="EWE92" s="165" t="s">
        <v>945</v>
      </c>
      <c r="EWF92" s="166" t="str">
        <f>VLOOKUP(EWE92,[13]AssetDetails_UEM!$A$3:$AH$1849,6,FALSE)</f>
        <v>Electrosurgical Units, Monopolar/Bipolar</v>
      </c>
      <c r="EWG92" s="165" t="s">
        <v>945</v>
      </c>
      <c r="EWH92" s="166" t="str">
        <f>VLOOKUP(EWG92,[13]AssetDetails_UEM!$A$3:$AH$1849,6,FALSE)</f>
        <v>Electrosurgical Units, Monopolar/Bipolar</v>
      </c>
      <c r="EWI92" s="165" t="s">
        <v>945</v>
      </c>
      <c r="EWJ92" s="166" t="str">
        <f>VLOOKUP(EWI92,[13]AssetDetails_UEM!$A$3:$AH$1849,6,FALSE)</f>
        <v>Electrosurgical Units, Monopolar/Bipolar</v>
      </c>
      <c r="EWK92" s="165" t="s">
        <v>945</v>
      </c>
      <c r="EWL92" s="166" t="str">
        <f>VLOOKUP(EWK92,[13]AssetDetails_UEM!$A$3:$AH$1849,6,FALSE)</f>
        <v>Electrosurgical Units, Monopolar/Bipolar</v>
      </c>
      <c r="EWM92" s="165" t="s">
        <v>945</v>
      </c>
      <c r="EWN92" s="166" t="str">
        <f>VLOOKUP(EWM92,[13]AssetDetails_UEM!$A$3:$AH$1849,6,FALSE)</f>
        <v>Electrosurgical Units, Monopolar/Bipolar</v>
      </c>
      <c r="EWO92" s="165" t="s">
        <v>945</v>
      </c>
      <c r="EWP92" s="166" t="str">
        <f>VLOOKUP(EWO92,[13]AssetDetails_UEM!$A$3:$AH$1849,6,FALSE)</f>
        <v>Electrosurgical Units, Monopolar/Bipolar</v>
      </c>
      <c r="EWQ92" s="165" t="s">
        <v>945</v>
      </c>
      <c r="EWR92" s="166" t="str">
        <f>VLOOKUP(EWQ92,[13]AssetDetails_UEM!$A$3:$AH$1849,6,FALSE)</f>
        <v>Electrosurgical Units, Monopolar/Bipolar</v>
      </c>
      <c r="EWS92" s="165" t="s">
        <v>945</v>
      </c>
      <c r="EWT92" s="166" t="str">
        <f>VLOOKUP(EWS92,[13]AssetDetails_UEM!$A$3:$AH$1849,6,FALSE)</f>
        <v>Electrosurgical Units, Monopolar/Bipolar</v>
      </c>
      <c r="EWU92" s="165" t="s">
        <v>945</v>
      </c>
      <c r="EWV92" s="166" t="str">
        <f>VLOOKUP(EWU92,[13]AssetDetails_UEM!$A$3:$AH$1849,6,FALSE)</f>
        <v>Electrosurgical Units, Monopolar/Bipolar</v>
      </c>
      <c r="EWW92" s="165" t="s">
        <v>945</v>
      </c>
      <c r="EWX92" s="166" t="str">
        <f>VLOOKUP(EWW92,[13]AssetDetails_UEM!$A$3:$AH$1849,6,FALSE)</f>
        <v>Electrosurgical Units, Monopolar/Bipolar</v>
      </c>
      <c r="EWY92" s="165" t="s">
        <v>945</v>
      </c>
      <c r="EWZ92" s="166" t="str">
        <f>VLOOKUP(EWY92,[13]AssetDetails_UEM!$A$3:$AH$1849,6,FALSE)</f>
        <v>Electrosurgical Units, Monopolar/Bipolar</v>
      </c>
      <c r="EXA92" s="165" t="s">
        <v>945</v>
      </c>
      <c r="EXB92" s="166" t="str">
        <f>VLOOKUP(EXA92,[13]AssetDetails_UEM!$A$3:$AH$1849,6,FALSE)</f>
        <v>Electrosurgical Units, Monopolar/Bipolar</v>
      </c>
      <c r="EXC92" s="165" t="s">
        <v>945</v>
      </c>
      <c r="EXD92" s="166" t="str">
        <f>VLOOKUP(EXC92,[13]AssetDetails_UEM!$A$3:$AH$1849,6,FALSE)</f>
        <v>Electrosurgical Units, Monopolar/Bipolar</v>
      </c>
      <c r="EXE92" s="165" t="s">
        <v>945</v>
      </c>
      <c r="EXF92" s="166" t="str">
        <f>VLOOKUP(EXE92,[13]AssetDetails_UEM!$A$3:$AH$1849,6,FALSE)</f>
        <v>Electrosurgical Units, Monopolar/Bipolar</v>
      </c>
      <c r="EXG92" s="165" t="s">
        <v>945</v>
      </c>
      <c r="EXH92" s="166" t="str">
        <f>VLOOKUP(EXG92,[13]AssetDetails_UEM!$A$3:$AH$1849,6,FALSE)</f>
        <v>Electrosurgical Units, Monopolar/Bipolar</v>
      </c>
      <c r="EXI92" s="165" t="s">
        <v>945</v>
      </c>
      <c r="EXJ92" s="166" t="str">
        <f>VLOOKUP(EXI92,[13]AssetDetails_UEM!$A$3:$AH$1849,6,FALSE)</f>
        <v>Electrosurgical Units, Monopolar/Bipolar</v>
      </c>
      <c r="EXK92" s="165" t="s">
        <v>945</v>
      </c>
      <c r="EXL92" s="166" t="str">
        <f>VLOOKUP(EXK92,[13]AssetDetails_UEM!$A$3:$AH$1849,6,FALSE)</f>
        <v>Electrosurgical Units, Monopolar/Bipolar</v>
      </c>
      <c r="EXM92" s="165" t="s">
        <v>945</v>
      </c>
      <c r="EXN92" s="166" t="str">
        <f>VLOOKUP(EXM92,[13]AssetDetails_UEM!$A$3:$AH$1849,6,FALSE)</f>
        <v>Electrosurgical Units, Monopolar/Bipolar</v>
      </c>
      <c r="EXO92" s="165" t="s">
        <v>945</v>
      </c>
      <c r="EXP92" s="166" t="str">
        <f>VLOOKUP(EXO92,[13]AssetDetails_UEM!$A$3:$AH$1849,6,FALSE)</f>
        <v>Electrosurgical Units, Monopolar/Bipolar</v>
      </c>
      <c r="EXQ92" s="165" t="s">
        <v>945</v>
      </c>
      <c r="EXR92" s="166" t="str">
        <f>VLOOKUP(EXQ92,[13]AssetDetails_UEM!$A$3:$AH$1849,6,FALSE)</f>
        <v>Electrosurgical Units, Monopolar/Bipolar</v>
      </c>
      <c r="EXS92" s="165" t="s">
        <v>945</v>
      </c>
      <c r="EXT92" s="166" t="str">
        <f>VLOOKUP(EXS92,[13]AssetDetails_UEM!$A$3:$AH$1849,6,FALSE)</f>
        <v>Electrosurgical Units, Monopolar/Bipolar</v>
      </c>
      <c r="EXU92" s="165" t="s">
        <v>945</v>
      </c>
      <c r="EXV92" s="166" t="str">
        <f>VLOOKUP(EXU92,[13]AssetDetails_UEM!$A$3:$AH$1849,6,FALSE)</f>
        <v>Electrosurgical Units, Monopolar/Bipolar</v>
      </c>
      <c r="EXW92" s="165" t="s">
        <v>945</v>
      </c>
      <c r="EXX92" s="166" t="str">
        <f>VLOOKUP(EXW92,[13]AssetDetails_UEM!$A$3:$AH$1849,6,FALSE)</f>
        <v>Electrosurgical Units, Monopolar/Bipolar</v>
      </c>
      <c r="EXY92" s="165" t="s">
        <v>945</v>
      </c>
      <c r="EXZ92" s="166" t="str">
        <f>VLOOKUP(EXY92,[13]AssetDetails_UEM!$A$3:$AH$1849,6,FALSE)</f>
        <v>Electrosurgical Units, Monopolar/Bipolar</v>
      </c>
      <c r="EYA92" s="165" t="s">
        <v>945</v>
      </c>
      <c r="EYB92" s="166" t="str">
        <f>VLOOKUP(EYA92,[13]AssetDetails_UEM!$A$3:$AH$1849,6,FALSE)</f>
        <v>Electrosurgical Units, Monopolar/Bipolar</v>
      </c>
      <c r="EYC92" s="165" t="s">
        <v>945</v>
      </c>
      <c r="EYD92" s="166" t="str">
        <f>VLOOKUP(EYC92,[13]AssetDetails_UEM!$A$3:$AH$1849,6,FALSE)</f>
        <v>Electrosurgical Units, Monopolar/Bipolar</v>
      </c>
      <c r="EYE92" s="165" t="s">
        <v>945</v>
      </c>
      <c r="EYF92" s="166" t="str">
        <f>VLOOKUP(EYE92,[13]AssetDetails_UEM!$A$3:$AH$1849,6,FALSE)</f>
        <v>Electrosurgical Units, Monopolar/Bipolar</v>
      </c>
      <c r="EYG92" s="165" t="s">
        <v>945</v>
      </c>
      <c r="EYH92" s="166" t="str">
        <f>VLOOKUP(EYG92,[13]AssetDetails_UEM!$A$3:$AH$1849,6,FALSE)</f>
        <v>Electrosurgical Units, Monopolar/Bipolar</v>
      </c>
      <c r="EYI92" s="165" t="s">
        <v>945</v>
      </c>
      <c r="EYJ92" s="166" t="str">
        <f>VLOOKUP(EYI92,[13]AssetDetails_UEM!$A$3:$AH$1849,6,FALSE)</f>
        <v>Electrosurgical Units, Monopolar/Bipolar</v>
      </c>
      <c r="EYK92" s="165" t="s">
        <v>945</v>
      </c>
      <c r="EYL92" s="166" t="str">
        <f>VLOOKUP(EYK92,[13]AssetDetails_UEM!$A$3:$AH$1849,6,FALSE)</f>
        <v>Electrosurgical Units, Monopolar/Bipolar</v>
      </c>
      <c r="EYM92" s="165" t="s">
        <v>945</v>
      </c>
      <c r="EYN92" s="166" t="str">
        <f>VLOOKUP(EYM92,[13]AssetDetails_UEM!$A$3:$AH$1849,6,FALSE)</f>
        <v>Electrosurgical Units, Monopolar/Bipolar</v>
      </c>
      <c r="EYO92" s="165" t="s">
        <v>945</v>
      </c>
      <c r="EYP92" s="166" t="str">
        <f>VLOOKUP(EYO92,[13]AssetDetails_UEM!$A$3:$AH$1849,6,FALSE)</f>
        <v>Electrosurgical Units, Monopolar/Bipolar</v>
      </c>
      <c r="EYQ92" s="165" t="s">
        <v>945</v>
      </c>
      <c r="EYR92" s="166" t="str">
        <f>VLOOKUP(EYQ92,[13]AssetDetails_UEM!$A$3:$AH$1849,6,FALSE)</f>
        <v>Electrosurgical Units, Monopolar/Bipolar</v>
      </c>
      <c r="EYS92" s="165" t="s">
        <v>945</v>
      </c>
      <c r="EYT92" s="166" t="str">
        <f>VLOOKUP(EYS92,[13]AssetDetails_UEM!$A$3:$AH$1849,6,FALSE)</f>
        <v>Electrosurgical Units, Monopolar/Bipolar</v>
      </c>
      <c r="EYU92" s="165" t="s">
        <v>945</v>
      </c>
      <c r="EYV92" s="166" t="str">
        <f>VLOOKUP(EYU92,[13]AssetDetails_UEM!$A$3:$AH$1849,6,FALSE)</f>
        <v>Electrosurgical Units, Monopolar/Bipolar</v>
      </c>
      <c r="EYW92" s="165" t="s">
        <v>945</v>
      </c>
      <c r="EYX92" s="166" t="str">
        <f>VLOOKUP(EYW92,[13]AssetDetails_UEM!$A$3:$AH$1849,6,FALSE)</f>
        <v>Electrosurgical Units, Monopolar/Bipolar</v>
      </c>
      <c r="EYY92" s="165" t="s">
        <v>945</v>
      </c>
      <c r="EYZ92" s="166" t="str">
        <f>VLOOKUP(EYY92,[13]AssetDetails_UEM!$A$3:$AH$1849,6,FALSE)</f>
        <v>Electrosurgical Units, Monopolar/Bipolar</v>
      </c>
      <c r="EZA92" s="165" t="s">
        <v>945</v>
      </c>
      <c r="EZB92" s="166" t="str">
        <f>VLOOKUP(EZA92,[13]AssetDetails_UEM!$A$3:$AH$1849,6,FALSE)</f>
        <v>Electrosurgical Units, Monopolar/Bipolar</v>
      </c>
      <c r="EZC92" s="165" t="s">
        <v>945</v>
      </c>
      <c r="EZD92" s="166" t="str">
        <f>VLOOKUP(EZC92,[13]AssetDetails_UEM!$A$3:$AH$1849,6,FALSE)</f>
        <v>Electrosurgical Units, Monopolar/Bipolar</v>
      </c>
      <c r="EZE92" s="165" t="s">
        <v>945</v>
      </c>
      <c r="EZF92" s="166" t="str">
        <f>VLOOKUP(EZE92,[13]AssetDetails_UEM!$A$3:$AH$1849,6,FALSE)</f>
        <v>Electrosurgical Units, Monopolar/Bipolar</v>
      </c>
      <c r="EZG92" s="165" t="s">
        <v>945</v>
      </c>
      <c r="EZH92" s="166" t="str">
        <f>VLOOKUP(EZG92,[13]AssetDetails_UEM!$A$3:$AH$1849,6,FALSE)</f>
        <v>Electrosurgical Units, Monopolar/Bipolar</v>
      </c>
      <c r="EZI92" s="165" t="s">
        <v>945</v>
      </c>
      <c r="EZJ92" s="166" t="str">
        <f>VLOOKUP(EZI92,[13]AssetDetails_UEM!$A$3:$AH$1849,6,FALSE)</f>
        <v>Electrosurgical Units, Monopolar/Bipolar</v>
      </c>
      <c r="EZK92" s="165" t="s">
        <v>945</v>
      </c>
      <c r="EZL92" s="166" t="str">
        <f>VLOOKUP(EZK92,[13]AssetDetails_UEM!$A$3:$AH$1849,6,FALSE)</f>
        <v>Electrosurgical Units, Monopolar/Bipolar</v>
      </c>
      <c r="EZM92" s="165" t="s">
        <v>945</v>
      </c>
      <c r="EZN92" s="166" t="str">
        <f>VLOOKUP(EZM92,[13]AssetDetails_UEM!$A$3:$AH$1849,6,FALSE)</f>
        <v>Electrosurgical Units, Monopolar/Bipolar</v>
      </c>
      <c r="EZO92" s="165" t="s">
        <v>945</v>
      </c>
      <c r="EZP92" s="166" t="str">
        <f>VLOOKUP(EZO92,[13]AssetDetails_UEM!$A$3:$AH$1849,6,FALSE)</f>
        <v>Electrosurgical Units, Monopolar/Bipolar</v>
      </c>
      <c r="EZQ92" s="165" t="s">
        <v>945</v>
      </c>
      <c r="EZR92" s="166" t="str">
        <f>VLOOKUP(EZQ92,[13]AssetDetails_UEM!$A$3:$AH$1849,6,FALSE)</f>
        <v>Electrosurgical Units, Monopolar/Bipolar</v>
      </c>
      <c r="EZS92" s="165" t="s">
        <v>945</v>
      </c>
      <c r="EZT92" s="166" t="str">
        <f>VLOOKUP(EZS92,[13]AssetDetails_UEM!$A$3:$AH$1849,6,FALSE)</f>
        <v>Electrosurgical Units, Monopolar/Bipolar</v>
      </c>
      <c r="EZU92" s="165" t="s">
        <v>945</v>
      </c>
      <c r="EZV92" s="166" t="str">
        <f>VLOOKUP(EZU92,[13]AssetDetails_UEM!$A$3:$AH$1849,6,FALSE)</f>
        <v>Electrosurgical Units, Monopolar/Bipolar</v>
      </c>
      <c r="EZW92" s="165" t="s">
        <v>945</v>
      </c>
      <c r="EZX92" s="166" t="str">
        <f>VLOOKUP(EZW92,[13]AssetDetails_UEM!$A$3:$AH$1849,6,FALSE)</f>
        <v>Electrosurgical Units, Monopolar/Bipolar</v>
      </c>
      <c r="EZY92" s="165" t="s">
        <v>945</v>
      </c>
      <c r="EZZ92" s="166" t="str">
        <f>VLOOKUP(EZY92,[13]AssetDetails_UEM!$A$3:$AH$1849,6,FALSE)</f>
        <v>Electrosurgical Units, Monopolar/Bipolar</v>
      </c>
      <c r="FAA92" s="165" t="s">
        <v>945</v>
      </c>
      <c r="FAB92" s="166" t="str">
        <f>VLOOKUP(FAA92,[13]AssetDetails_UEM!$A$3:$AH$1849,6,FALSE)</f>
        <v>Electrosurgical Units, Monopolar/Bipolar</v>
      </c>
      <c r="FAC92" s="165" t="s">
        <v>945</v>
      </c>
      <c r="FAD92" s="166" t="str">
        <f>VLOOKUP(FAC92,[13]AssetDetails_UEM!$A$3:$AH$1849,6,FALSE)</f>
        <v>Electrosurgical Units, Monopolar/Bipolar</v>
      </c>
      <c r="FAE92" s="165" t="s">
        <v>945</v>
      </c>
      <c r="FAF92" s="166" t="str">
        <f>VLOOKUP(FAE92,[13]AssetDetails_UEM!$A$3:$AH$1849,6,FALSE)</f>
        <v>Electrosurgical Units, Monopolar/Bipolar</v>
      </c>
      <c r="FAG92" s="165" t="s">
        <v>945</v>
      </c>
      <c r="FAH92" s="166" t="str">
        <f>VLOOKUP(FAG92,[13]AssetDetails_UEM!$A$3:$AH$1849,6,FALSE)</f>
        <v>Electrosurgical Units, Monopolar/Bipolar</v>
      </c>
      <c r="FAI92" s="165" t="s">
        <v>945</v>
      </c>
      <c r="FAJ92" s="166" t="str">
        <f>VLOOKUP(FAI92,[13]AssetDetails_UEM!$A$3:$AH$1849,6,FALSE)</f>
        <v>Electrosurgical Units, Monopolar/Bipolar</v>
      </c>
      <c r="FAK92" s="165" t="s">
        <v>945</v>
      </c>
      <c r="FAL92" s="166" t="str">
        <f>VLOOKUP(FAK92,[13]AssetDetails_UEM!$A$3:$AH$1849,6,FALSE)</f>
        <v>Electrosurgical Units, Monopolar/Bipolar</v>
      </c>
      <c r="FAM92" s="165" t="s">
        <v>945</v>
      </c>
      <c r="FAN92" s="166" t="str">
        <f>VLOOKUP(FAM92,[13]AssetDetails_UEM!$A$3:$AH$1849,6,FALSE)</f>
        <v>Electrosurgical Units, Monopolar/Bipolar</v>
      </c>
      <c r="FAO92" s="165" t="s">
        <v>945</v>
      </c>
      <c r="FAP92" s="166" t="str">
        <f>VLOOKUP(FAO92,[13]AssetDetails_UEM!$A$3:$AH$1849,6,FALSE)</f>
        <v>Electrosurgical Units, Monopolar/Bipolar</v>
      </c>
      <c r="FAQ92" s="165" t="s">
        <v>945</v>
      </c>
      <c r="FAR92" s="166" t="str">
        <f>VLOOKUP(FAQ92,[13]AssetDetails_UEM!$A$3:$AH$1849,6,FALSE)</f>
        <v>Electrosurgical Units, Monopolar/Bipolar</v>
      </c>
      <c r="FAS92" s="165" t="s">
        <v>945</v>
      </c>
      <c r="FAT92" s="166" t="str">
        <f>VLOOKUP(FAS92,[13]AssetDetails_UEM!$A$3:$AH$1849,6,FALSE)</f>
        <v>Electrosurgical Units, Monopolar/Bipolar</v>
      </c>
      <c r="FAU92" s="165" t="s">
        <v>945</v>
      </c>
      <c r="FAV92" s="166" t="str">
        <f>VLOOKUP(FAU92,[13]AssetDetails_UEM!$A$3:$AH$1849,6,FALSE)</f>
        <v>Electrosurgical Units, Monopolar/Bipolar</v>
      </c>
      <c r="FAW92" s="165" t="s">
        <v>945</v>
      </c>
      <c r="FAX92" s="166" t="str">
        <f>VLOOKUP(FAW92,[13]AssetDetails_UEM!$A$3:$AH$1849,6,FALSE)</f>
        <v>Electrosurgical Units, Monopolar/Bipolar</v>
      </c>
      <c r="FAY92" s="165" t="s">
        <v>945</v>
      </c>
      <c r="FAZ92" s="166" t="str">
        <f>VLOOKUP(FAY92,[13]AssetDetails_UEM!$A$3:$AH$1849,6,FALSE)</f>
        <v>Electrosurgical Units, Monopolar/Bipolar</v>
      </c>
      <c r="FBA92" s="165" t="s">
        <v>945</v>
      </c>
      <c r="FBB92" s="166" t="str">
        <f>VLOOKUP(FBA92,[13]AssetDetails_UEM!$A$3:$AH$1849,6,FALSE)</f>
        <v>Electrosurgical Units, Monopolar/Bipolar</v>
      </c>
      <c r="FBC92" s="165" t="s">
        <v>945</v>
      </c>
      <c r="FBD92" s="166" t="str">
        <f>VLOOKUP(FBC92,[13]AssetDetails_UEM!$A$3:$AH$1849,6,FALSE)</f>
        <v>Electrosurgical Units, Monopolar/Bipolar</v>
      </c>
      <c r="FBE92" s="165" t="s">
        <v>945</v>
      </c>
      <c r="FBF92" s="166" t="str">
        <f>VLOOKUP(FBE92,[13]AssetDetails_UEM!$A$3:$AH$1849,6,FALSE)</f>
        <v>Electrosurgical Units, Monopolar/Bipolar</v>
      </c>
      <c r="FBG92" s="165" t="s">
        <v>945</v>
      </c>
      <c r="FBH92" s="166" t="str">
        <f>VLOOKUP(FBG92,[13]AssetDetails_UEM!$A$3:$AH$1849,6,FALSE)</f>
        <v>Electrosurgical Units, Monopolar/Bipolar</v>
      </c>
      <c r="FBI92" s="165" t="s">
        <v>945</v>
      </c>
      <c r="FBJ92" s="166" t="str">
        <f>VLOOKUP(FBI92,[13]AssetDetails_UEM!$A$3:$AH$1849,6,FALSE)</f>
        <v>Electrosurgical Units, Monopolar/Bipolar</v>
      </c>
      <c r="FBK92" s="165" t="s">
        <v>945</v>
      </c>
      <c r="FBL92" s="166" t="str">
        <f>VLOOKUP(FBK92,[13]AssetDetails_UEM!$A$3:$AH$1849,6,FALSE)</f>
        <v>Electrosurgical Units, Monopolar/Bipolar</v>
      </c>
      <c r="FBM92" s="165" t="s">
        <v>945</v>
      </c>
      <c r="FBN92" s="166" t="str">
        <f>VLOOKUP(FBM92,[13]AssetDetails_UEM!$A$3:$AH$1849,6,FALSE)</f>
        <v>Electrosurgical Units, Monopolar/Bipolar</v>
      </c>
      <c r="FBO92" s="165" t="s">
        <v>945</v>
      </c>
      <c r="FBP92" s="166" t="str">
        <f>VLOOKUP(FBO92,[13]AssetDetails_UEM!$A$3:$AH$1849,6,FALSE)</f>
        <v>Electrosurgical Units, Monopolar/Bipolar</v>
      </c>
      <c r="FBQ92" s="165" t="s">
        <v>945</v>
      </c>
      <c r="FBR92" s="166" t="str">
        <f>VLOOKUP(FBQ92,[13]AssetDetails_UEM!$A$3:$AH$1849,6,FALSE)</f>
        <v>Electrosurgical Units, Monopolar/Bipolar</v>
      </c>
      <c r="FBS92" s="165" t="s">
        <v>945</v>
      </c>
      <c r="FBT92" s="166" t="str">
        <f>VLOOKUP(FBS92,[13]AssetDetails_UEM!$A$3:$AH$1849,6,FALSE)</f>
        <v>Electrosurgical Units, Monopolar/Bipolar</v>
      </c>
      <c r="FBU92" s="165" t="s">
        <v>945</v>
      </c>
      <c r="FBV92" s="166" t="str">
        <f>VLOOKUP(FBU92,[13]AssetDetails_UEM!$A$3:$AH$1849,6,FALSE)</f>
        <v>Electrosurgical Units, Monopolar/Bipolar</v>
      </c>
      <c r="FBW92" s="165" t="s">
        <v>945</v>
      </c>
      <c r="FBX92" s="166" t="str">
        <f>VLOOKUP(FBW92,[13]AssetDetails_UEM!$A$3:$AH$1849,6,FALSE)</f>
        <v>Electrosurgical Units, Monopolar/Bipolar</v>
      </c>
      <c r="FBY92" s="165" t="s">
        <v>945</v>
      </c>
      <c r="FBZ92" s="166" t="str">
        <f>VLOOKUP(FBY92,[13]AssetDetails_UEM!$A$3:$AH$1849,6,FALSE)</f>
        <v>Electrosurgical Units, Monopolar/Bipolar</v>
      </c>
      <c r="FCA92" s="165" t="s">
        <v>945</v>
      </c>
      <c r="FCB92" s="166" t="str">
        <f>VLOOKUP(FCA92,[13]AssetDetails_UEM!$A$3:$AH$1849,6,FALSE)</f>
        <v>Electrosurgical Units, Monopolar/Bipolar</v>
      </c>
      <c r="FCC92" s="165" t="s">
        <v>945</v>
      </c>
      <c r="FCD92" s="166" t="str">
        <f>VLOOKUP(FCC92,[13]AssetDetails_UEM!$A$3:$AH$1849,6,FALSE)</f>
        <v>Electrosurgical Units, Monopolar/Bipolar</v>
      </c>
      <c r="FCE92" s="165" t="s">
        <v>945</v>
      </c>
      <c r="FCF92" s="166" t="str">
        <f>VLOOKUP(FCE92,[13]AssetDetails_UEM!$A$3:$AH$1849,6,FALSE)</f>
        <v>Electrosurgical Units, Monopolar/Bipolar</v>
      </c>
      <c r="FCG92" s="165" t="s">
        <v>945</v>
      </c>
      <c r="FCH92" s="166" t="str">
        <f>VLOOKUP(FCG92,[13]AssetDetails_UEM!$A$3:$AH$1849,6,FALSE)</f>
        <v>Electrosurgical Units, Monopolar/Bipolar</v>
      </c>
      <c r="FCI92" s="165" t="s">
        <v>945</v>
      </c>
      <c r="FCJ92" s="166" t="str">
        <f>VLOOKUP(FCI92,[13]AssetDetails_UEM!$A$3:$AH$1849,6,FALSE)</f>
        <v>Electrosurgical Units, Monopolar/Bipolar</v>
      </c>
      <c r="FCK92" s="165" t="s">
        <v>945</v>
      </c>
      <c r="FCL92" s="166" t="str">
        <f>VLOOKUP(FCK92,[13]AssetDetails_UEM!$A$3:$AH$1849,6,FALSE)</f>
        <v>Electrosurgical Units, Monopolar/Bipolar</v>
      </c>
      <c r="FCM92" s="165" t="s">
        <v>945</v>
      </c>
      <c r="FCN92" s="166" t="str">
        <f>VLOOKUP(FCM92,[13]AssetDetails_UEM!$A$3:$AH$1849,6,FALSE)</f>
        <v>Electrosurgical Units, Monopolar/Bipolar</v>
      </c>
      <c r="FCO92" s="165" t="s">
        <v>945</v>
      </c>
      <c r="FCP92" s="166" t="str">
        <f>VLOOKUP(FCO92,[13]AssetDetails_UEM!$A$3:$AH$1849,6,FALSE)</f>
        <v>Electrosurgical Units, Monopolar/Bipolar</v>
      </c>
      <c r="FCQ92" s="165" t="s">
        <v>945</v>
      </c>
      <c r="FCR92" s="166" t="str">
        <f>VLOOKUP(FCQ92,[13]AssetDetails_UEM!$A$3:$AH$1849,6,FALSE)</f>
        <v>Electrosurgical Units, Monopolar/Bipolar</v>
      </c>
      <c r="FCS92" s="165" t="s">
        <v>945</v>
      </c>
      <c r="FCT92" s="166" t="str">
        <f>VLOOKUP(FCS92,[13]AssetDetails_UEM!$A$3:$AH$1849,6,FALSE)</f>
        <v>Electrosurgical Units, Monopolar/Bipolar</v>
      </c>
      <c r="FCU92" s="165" t="s">
        <v>945</v>
      </c>
      <c r="FCV92" s="166" t="str">
        <f>VLOOKUP(FCU92,[13]AssetDetails_UEM!$A$3:$AH$1849,6,FALSE)</f>
        <v>Electrosurgical Units, Monopolar/Bipolar</v>
      </c>
      <c r="FCW92" s="165" t="s">
        <v>945</v>
      </c>
      <c r="FCX92" s="166" t="str">
        <f>VLOOKUP(FCW92,[13]AssetDetails_UEM!$A$3:$AH$1849,6,FALSE)</f>
        <v>Electrosurgical Units, Monopolar/Bipolar</v>
      </c>
      <c r="FCY92" s="165" t="s">
        <v>945</v>
      </c>
      <c r="FCZ92" s="166" t="str">
        <f>VLOOKUP(FCY92,[13]AssetDetails_UEM!$A$3:$AH$1849,6,FALSE)</f>
        <v>Electrosurgical Units, Monopolar/Bipolar</v>
      </c>
      <c r="FDA92" s="165" t="s">
        <v>945</v>
      </c>
      <c r="FDB92" s="166" t="str">
        <f>VLOOKUP(FDA92,[13]AssetDetails_UEM!$A$3:$AH$1849,6,FALSE)</f>
        <v>Electrosurgical Units, Monopolar/Bipolar</v>
      </c>
      <c r="FDC92" s="165" t="s">
        <v>945</v>
      </c>
      <c r="FDD92" s="166" t="str">
        <f>VLOOKUP(FDC92,[13]AssetDetails_UEM!$A$3:$AH$1849,6,FALSE)</f>
        <v>Electrosurgical Units, Monopolar/Bipolar</v>
      </c>
      <c r="FDE92" s="165" t="s">
        <v>945</v>
      </c>
      <c r="FDF92" s="166" t="str">
        <f>VLOOKUP(FDE92,[13]AssetDetails_UEM!$A$3:$AH$1849,6,FALSE)</f>
        <v>Electrosurgical Units, Monopolar/Bipolar</v>
      </c>
      <c r="FDG92" s="165" t="s">
        <v>945</v>
      </c>
      <c r="FDH92" s="166" t="str">
        <f>VLOOKUP(FDG92,[13]AssetDetails_UEM!$A$3:$AH$1849,6,FALSE)</f>
        <v>Electrosurgical Units, Monopolar/Bipolar</v>
      </c>
      <c r="FDI92" s="165" t="s">
        <v>945</v>
      </c>
      <c r="FDJ92" s="166" t="str">
        <f>VLOOKUP(FDI92,[13]AssetDetails_UEM!$A$3:$AH$1849,6,FALSE)</f>
        <v>Electrosurgical Units, Monopolar/Bipolar</v>
      </c>
      <c r="FDK92" s="165" t="s">
        <v>945</v>
      </c>
      <c r="FDL92" s="166" t="str">
        <f>VLOOKUP(FDK92,[13]AssetDetails_UEM!$A$3:$AH$1849,6,FALSE)</f>
        <v>Electrosurgical Units, Monopolar/Bipolar</v>
      </c>
      <c r="FDM92" s="165" t="s">
        <v>945</v>
      </c>
      <c r="FDN92" s="166" t="str">
        <f>VLOOKUP(FDM92,[13]AssetDetails_UEM!$A$3:$AH$1849,6,FALSE)</f>
        <v>Electrosurgical Units, Monopolar/Bipolar</v>
      </c>
      <c r="FDO92" s="165" t="s">
        <v>945</v>
      </c>
      <c r="FDP92" s="166" t="str">
        <f>VLOOKUP(FDO92,[13]AssetDetails_UEM!$A$3:$AH$1849,6,FALSE)</f>
        <v>Electrosurgical Units, Monopolar/Bipolar</v>
      </c>
      <c r="FDQ92" s="165" t="s">
        <v>945</v>
      </c>
      <c r="FDR92" s="166" t="str">
        <f>VLOOKUP(FDQ92,[13]AssetDetails_UEM!$A$3:$AH$1849,6,FALSE)</f>
        <v>Electrosurgical Units, Monopolar/Bipolar</v>
      </c>
      <c r="FDS92" s="165" t="s">
        <v>945</v>
      </c>
      <c r="FDT92" s="166" t="str">
        <f>VLOOKUP(FDS92,[13]AssetDetails_UEM!$A$3:$AH$1849,6,FALSE)</f>
        <v>Electrosurgical Units, Monopolar/Bipolar</v>
      </c>
      <c r="FDU92" s="165" t="s">
        <v>945</v>
      </c>
      <c r="FDV92" s="166" t="str">
        <f>VLOOKUP(FDU92,[13]AssetDetails_UEM!$A$3:$AH$1849,6,FALSE)</f>
        <v>Electrosurgical Units, Monopolar/Bipolar</v>
      </c>
      <c r="FDW92" s="165" t="s">
        <v>945</v>
      </c>
      <c r="FDX92" s="166" t="str">
        <f>VLOOKUP(FDW92,[13]AssetDetails_UEM!$A$3:$AH$1849,6,FALSE)</f>
        <v>Electrosurgical Units, Monopolar/Bipolar</v>
      </c>
      <c r="FDY92" s="165" t="s">
        <v>945</v>
      </c>
      <c r="FDZ92" s="166" t="str">
        <f>VLOOKUP(FDY92,[13]AssetDetails_UEM!$A$3:$AH$1849,6,FALSE)</f>
        <v>Electrosurgical Units, Monopolar/Bipolar</v>
      </c>
      <c r="FEA92" s="165" t="s">
        <v>945</v>
      </c>
      <c r="FEB92" s="166" t="str">
        <f>VLOOKUP(FEA92,[13]AssetDetails_UEM!$A$3:$AH$1849,6,FALSE)</f>
        <v>Electrosurgical Units, Monopolar/Bipolar</v>
      </c>
      <c r="FEC92" s="165" t="s">
        <v>945</v>
      </c>
      <c r="FED92" s="166" t="str">
        <f>VLOOKUP(FEC92,[13]AssetDetails_UEM!$A$3:$AH$1849,6,FALSE)</f>
        <v>Electrosurgical Units, Monopolar/Bipolar</v>
      </c>
      <c r="FEE92" s="165" t="s">
        <v>945</v>
      </c>
      <c r="FEF92" s="166" t="str">
        <f>VLOOKUP(FEE92,[13]AssetDetails_UEM!$A$3:$AH$1849,6,FALSE)</f>
        <v>Electrosurgical Units, Monopolar/Bipolar</v>
      </c>
      <c r="FEG92" s="165" t="s">
        <v>945</v>
      </c>
      <c r="FEH92" s="166" t="str">
        <f>VLOOKUP(FEG92,[13]AssetDetails_UEM!$A$3:$AH$1849,6,FALSE)</f>
        <v>Electrosurgical Units, Monopolar/Bipolar</v>
      </c>
      <c r="FEI92" s="165" t="s">
        <v>945</v>
      </c>
      <c r="FEJ92" s="166" t="str">
        <f>VLOOKUP(FEI92,[13]AssetDetails_UEM!$A$3:$AH$1849,6,FALSE)</f>
        <v>Electrosurgical Units, Monopolar/Bipolar</v>
      </c>
      <c r="FEK92" s="165" t="s">
        <v>945</v>
      </c>
      <c r="FEL92" s="166" t="str">
        <f>VLOOKUP(FEK92,[13]AssetDetails_UEM!$A$3:$AH$1849,6,FALSE)</f>
        <v>Electrosurgical Units, Monopolar/Bipolar</v>
      </c>
      <c r="FEM92" s="165" t="s">
        <v>945</v>
      </c>
      <c r="FEN92" s="166" t="str">
        <f>VLOOKUP(FEM92,[13]AssetDetails_UEM!$A$3:$AH$1849,6,FALSE)</f>
        <v>Electrosurgical Units, Monopolar/Bipolar</v>
      </c>
      <c r="FEO92" s="165" t="s">
        <v>945</v>
      </c>
      <c r="FEP92" s="166" t="str">
        <f>VLOOKUP(FEO92,[13]AssetDetails_UEM!$A$3:$AH$1849,6,FALSE)</f>
        <v>Electrosurgical Units, Monopolar/Bipolar</v>
      </c>
      <c r="FEQ92" s="165" t="s">
        <v>945</v>
      </c>
      <c r="FER92" s="166" t="str">
        <f>VLOOKUP(FEQ92,[13]AssetDetails_UEM!$A$3:$AH$1849,6,FALSE)</f>
        <v>Electrosurgical Units, Monopolar/Bipolar</v>
      </c>
      <c r="FES92" s="165" t="s">
        <v>945</v>
      </c>
      <c r="FET92" s="166" t="str">
        <f>VLOOKUP(FES92,[13]AssetDetails_UEM!$A$3:$AH$1849,6,FALSE)</f>
        <v>Electrosurgical Units, Monopolar/Bipolar</v>
      </c>
      <c r="FEU92" s="165" t="s">
        <v>945</v>
      </c>
      <c r="FEV92" s="166" t="str">
        <f>VLOOKUP(FEU92,[13]AssetDetails_UEM!$A$3:$AH$1849,6,FALSE)</f>
        <v>Electrosurgical Units, Monopolar/Bipolar</v>
      </c>
      <c r="FEW92" s="165" t="s">
        <v>945</v>
      </c>
      <c r="FEX92" s="166" t="str">
        <f>VLOOKUP(FEW92,[13]AssetDetails_UEM!$A$3:$AH$1849,6,FALSE)</f>
        <v>Electrosurgical Units, Monopolar/Bipolar</v>
      </c>
      <c r="FEY92" s="165" t="s">
        <v>945</v>
      </c>
      <c r="FEZ92" s="166" t="str">
        <f>VLOOKUP(FEY92,[13]AssetDetails_UEM!$A$3:$AH$1849,6,FALSE)</f>
        <v>Electrosurgical Units, Monopolar/Bipolar</v>
      </c>
      <c r="FFA92" s="165" t="s">
        <v>945</v>
      </c>
      <c r="FFB92" s="166" t="str">
        <f>VLOOKUP(FFA92,[13]AssetDetails_UEM!$A$3:$AH$1849,6,FALSE)</f>
        <v>Electrosurgical Units, Monopolar/Bipolar</v>
      </c>
      <c r="FFC92" s="165" t="s">
        <v>945</v>
      </c>
      <c r="FFD92" s="166" t="str">
        <f>VLOOKUP(FFC92,[13]AssetDetails_UEM!$A$3:$AH$1849,6,FALSE)</f>
        <v>Electrosurgical Units, Monopolar/Bipolar</v>
      </c>
      <c r="FFE92" s="165" t="s">
        <v>945</v>
      </c>
      <c r="FFF92" s="166" t="str">
        <f>VLOOKUP(FFE92,[13]AssetDetails_UEM!$A$3:$AH$1849,6,FALSE)</f>
        <v>Electrosurgical Units, Monopolar/Bipolar</v>
      </c>
      <c r="FFG92" s="165" t="s">
        <v>945</v>
      </c>
      <c r="FFH92" s="166" t="str">
        <f>VLOOKUP(FFG92,[13]AssetDetails_UEM!$A$3:$AH$1849,6,FALSE)</f>
        <v>Electrosurgical Units, Monopolar/Bipolar</v>
      </c>
      <c r="FFI92" s="165" t="s">
        <v>945</v>
      </c>
      <c r="FFJ92" s="166" t="str">
        <f>VLOOKUP(FFI92,[13]AssetDetails_UEM!$A$3:$AH$1849,6,FALSE)</f>
        <v>Electrosurgical Units, Monopolar/Bipolar</v>
      </c>
      <c r="FFK92" s="165" t="s">
        <v>945</v>
      </c>
      <c r="FFL92" s="166" t="str">
        <f>VLOOKUP(FFK92,[13]AssetDetails_UEM!$A$3:$AH$1849,6,FALSE)</f>
        <v>Electrosurgical Units, Monopolar/Bipolar</v>
      </c>
      <c r="FFM92" s="165" t="s">
        <v>945</v>
      </c>
      <c r="FFN92" s="166" t="str">
        <f>VLOOKUP(FFM92,[13]AssetDetails_UEM!$A$3:$AH$1849,6,FALSE)</f>
        <v>Electrosurgical Units, Monopolar/Bipolar</v>
      </c>
      <c r="FFO92" s="165" t="s">
        <v>945</v>
      </c>
      <c r="FFP92" s="166" t="str">
        <f>VLOOKUP(FFO92,[13]AssetDetails_UEM!$A$3:$AH$1849,6,FALSE)</f>
        <v>Electrosurgical Units, Monopolar/Bipolar</v>
      </c>
      <c r="FFQ92" s="165" t="s">
        <v>945</v>
      </c>
      <c r="FFR92" s="166" t="str">
        <f>VLOOKUP(FFQ92,[13]AssetDetails_UEM!$A$3:$AH$1849,6,FALSE)</f>
        <v>Electrosurgical Units, Monopolar/Bipolar</v>
      </c>
      <c r="FFS92" s="165" t="s">
        <v>945</v>
      </c>
      <c r="FFT92" s="166" t="str">
        <f>VLOOKUP(FFS92,[13]AssetDetails_UEM!$A$3:$AH$1849,6,FALSE)</f>
        <v>Electrosurgical Units, Monopolar/Bipolar</v>
      </c>
      <c r="FFU92" s="165" t="s">
        <v>945</v>
      </c>
      <c r="FFV92" s="166" t="str">
        <f>VLOOKUP(FFU92,[13]AssetDetails_UEM!$A$3:$AH$1849,6,FALSE)</f>
        <v>Electrosurgical Units, Monopolar/Bipolar</v>
      </c>
      <c r="FFW92" s="165" t="s">
        <v>945</v>
      </c>
      <c r="FFX92" s="166" t="str">
        <f>VLOOKUP(FFW92,[13]AssetDetails_UEM!$A$3:$AH$1849,6,FALSE)</f>
        <v>Electrosurgical Units, Monopolar/Bipolar</v>
      </c>
      <c r="FFY92" s="165" t="s">
        <v>945</v>
      </c>
      <c r="FFZ92" s="166" t="str">
        <f>VLOOKUP(FFY92,[13]AssetDetails_UEM!$A$3:$AH$1849,6,FALSE)</f>
        <v>Electrosurgical Units, Monopolar/Bipolar</v>
      </c>
      <c r="FGA92" s="165" t="s">
        <v>945</v>
      </c>
      <c r="FGB92" s="166" t="str">
        <f>VLOOKUP(FGA92,[13]AssetDetails_UEM!$A$3:$AH$1849,6,FALSE)</f>
        <v>Electrosurgical Units, Monopolar/Bipolar</v>
      </c>
      <c r="FGC92" s="165" t="s">
        <v>945</v>
      </c>
      <c r="FGD92" s="166" t="str">
        <f>VLOOKUP(FGC92,[13]AssetDetails_UEM!$A$3:$AH$1849,6,FALSE)</f>
        <v>Electrosurgical Units, Monopolar/Bipolar</v>
      </c>
      <c r="FGE92" s="165" t="s">
        <v>945</v>
      </c>
      <c r="FGF92" s="166" t="str">
        <f>VLOOKUP(FGE92,[13]AssetDetails_UEM!$A$3:$AH$1849,6,FALSE)</f>
        <v>Electrosurgical Units, Monopolar/Bipolar</v>
      </c>
      <c r="FGG92" s="165" t="s">
        <v>945</v>
      </c>
      <c r="FGH92" s="166" t="str">
        <f>VLOOKUP(FGG92,[13]AssetDetails_UEM!$A$3:$AH$1849,6,FALSE)</f>
        <v>Electrosurgical Units, Monopolar/Bipolar</v>
      </c>
      <c r="FGI92" s="165" t="s">
        <v>945</v>
      </c>
      <c r="FGJ92" s="166" t="str">
        <f>VLOOKUP(FGI92,[13]AssetDetails_UEM!$A$3:$AH$1849,6,FALSE)</f>
        <v>Electrosurgical Units, Monopolar/Bipolar</v>
      </c>
      <c r="FGK92" s="165" t="s">
        <v>945</v>
      </c>
      <c r="FGL92" s="166" t="str">
        <f>VLOOKUP(FGK92,[13]AssetDetails_UEM!$A$3:$AH$1849,6,FALSE)</f>
        <v>Electrosurgical Units, Monopolar/Bipolar</v>
      </c>
      <c r="FGM92" s="165" t="s">
        <v>945</v>
      </c>
      <c r="FGN92" s="166" t="str">
        <f>VLOOKUP(FGM92,[13]AssetDetails_UEM!$A$3:$AH$1849,6,FALSE)</f>
        <v>Electrosurgical Units, Monopolar/Bipolar</v>
      </c>
      <c r="FGO92" s="165" t="s">
        <v>945</v>
      </c>
      <c r="FGP92" s="166" t="str">
        <f>VLOOKUP(FGO92,[13]AssetDetails_UEM!$A$3:$AH$1849,6,FALSE)</f>
        <v>Electrosurgical Units, Monopolar/Bipolar</v>
      </c>
      <c r="FGQ92" s="165" t="s">
        <v>945</v>
      </c>
      <c r="FGR92" s="166" t="str">
        <f>VLOOKUP(FGQ92,[13]AssetDetails_UEM!$A$3:$AH$1849,6,FALSE)</f>
        <v>Electrosurgical Units, Monopolar/Bipolar</v>
      </c>
      <c r="FGS92" s="165" t="s">
        <v>945</v>
      </c>
      <c r="FGT92" s="166" t="str">
        <f>VLOOKUP(FGS92,[13]AssetDetails_UEM!$A$3:$AH$1849,6,FALSE)</f>
        <v>Electrosurgical Units, Monopolar/Bipolar</v>
      </c>
      <c r="FGU92" s="165" t="s">
        <v>945</v>
      </c>
      <c r="FGV92" s="166" t="str">
        <f>VLOOKUP(FGU92,[13]AssetDetails_UEM!$A$3:$AH$1849,6,FALSE)</f>
        <v>Electrosurgical Units, Monopolar/Bipolar</v>
      </c>
      <c r="FGW92" s="165" t="s">
        <v>945</v>
      </c>
      <c r="FGX92" s="166" t="str">
        <f>VLOOKUP(FGW92,[13]AssetDetails_UEM!$A$3:$AH$1849,6,FALSE)</f>
        <v>Electrosurgical Units, Monopolar/Bipolar</v>
      </c>
      <c r="FGY92" s="165" t="s">
        <v>945</v>
      </c>
      <c r="FGZ92" s="166" t="str">
        <f>VLOOKUP(FGY92,[13]AssetDetails_UEM!$A$3:$AH$1849,6,FALSE)</f>
        <v>Electrosurgical Units, Monopolar/Bipolar</v>
      </c>
      <c r="FHA92" s="165" t="s">
        <v>945</v>
      </c>
      <c r="FHB92" s="166" t="str">
        <f>VLOOKUP(FHA92,[13]AssetDetails_UEM!$A$3:$AH$1849,6,FALSE)</f>
        <v>Electrosurgical Units, Monopolar/Bipolar</v>
      </c>
      <c r="FHC92" s="165" t="s">
        <v>945</v>
      </c>
      <c r="FHD92" s="166" t="str">
        <f>VLOOKUP(FHC92,[13]AssetDetails_UEM!$A$3:$AH$1849,6,FALSE)</f>
        <v>Electrosurgical Units, Monopolar/Bipolar</v>
      </c>
      <c r="FHE92" s="165" t="s">
        <v>945</v>
      </c>
      <c r="FHF92" s="166" t="str">
        <f>VLOOKUP(FHE92,[13]AssetDetails_UEM!$A$3:$AH$1849,6,FALSE)</f>
        <v>Electrosurgical Units, Monopolar/Bipolar</v>
      </c>
      <c r="FHG92" s="165" t="s">
        <v>945</v>
      </c>
      <c r="FHH92" s="166" t="str">
        <f>VLOOKUP(FHG92,[13]AssetDetails_UEM!$A$3:$AH$1849,6,FALSE)</f>
        <v>Electrosurgical Units, Monopolar/Bipolar</v>
      </c>
      <c r="FHI92" s="165" t="s">
        <v>945</v>
      </c>
      <c r="FHJ92" s="166" t="str">
        <f>VLOOKUP(FHI92,[13]AssetDetails_UEM!$A$3:$AH$1849,6,FALSE)</f>
        <v>Electrosurgical Units, Monopolar/Bipolar</v>
      </c>
      <c r="FHK92" s="165" t="s">
        <v>945</v>
      </c>
      <c r="FHL92" s="166" t="str">
        <f>VLOOKUP(FHK92,[13]AssetDetails_UEM!$A$3:$AH$1849,6,FALSE)</f>
        <v>Electrosurgical Units, Monopolar/Bipolar</v>
      </c>
      <c r="FHM92" s="165" t="s">
        <v>945</v>
      </c>
      <c r="FHN92" s="166" t="str">
        <f>VLOOKUP(FHM92,[13]AssetDetails_UEM!$A$3:$AH$1849,6,FALSE)</f>
        <v>Electrosurgical Units, Monopolar/Bipolar</v>
      </c>
      <c r="FHO92" s="165" t="s">
        <v>945</v>
      </c>
      <c r="FHP92" s="166" t="str">
        <f>VLOOKUP(FHO92,[13]AssetDetails_UEM!$A$3:$AH$1849,6,FALSE)</f>
        <v>Electrosurgical Units, Monopolar/Bipolar</v>
      </c>
      <c r="FHQ92" s="165" t="s">
        <v>945</v>
      </c>
      <c r="FHR92" s="166" t="str">
        <f>VLOOKUP(FHQ92,[13]AssetDetails_UEM!$A$3:$AH$1849,6,FALSE)</f>
        <v>Electrosurgical Units, Monopolar/Bipolar</v>
      </c>
      <c r="FHS92" s="165" t="s">
        <v>945</v>
      </c>
      <c r="FHT92" s="166" t="str">
        <f>VLOOKUP(FHS92,[13]AssetDetails_UEM!$A$3:$AH$1849,6,FALSE)</f>
        <v>Electrosurgical Units, Monopolar/Bipolar</v>
      </c>
      <c r="FHU92" s="165" t="s">
        <v>945</v>
      </c>
      <c r="FHV92" s="166" t="str">
        <f>VLOOKUP(FHU92,[13]AssetDetails_UEM!$A$3:$AH$1849,6,FALSE)</f>
        <v>Electrosurgical Units, Monopolar/Bipolar</v>
      </c>
      <c r="FHW92" s="165" t="s">
        <v>945</v>
      </c>
      <c r="FHX92" s="166" t="str">
        <f>VLOOKUP(FHW92,[13]AssetDetails_UEM!$A$3:$AH$1849,6,FALSE)</f>
        <v>Electrosurgical Units, Monopolar/Bipolar</v>
      </c>
      <c r="FHY92" s="165" t="s">
        <v>945</v>
      </c>
      <c r="FHZ92" s="166" t="str">
        <f>VLOOKUP(FHY92,[13]AssetDetails_UEM!$A$3:$AH$1849,6,FALSE)</f>
        <v>Electrosurgical Units, Monopolar/Bipolar</v>
      </c>
      <c r="FIA92" s="165" t="s">
        <v>945</v>
      </c>
      <c r="FIB92" s="166" t="str">
        <f>VLOOKUP(FIA92,[13]AssetDetails_UEM!$A$3:$AH$1849,6,FALSE)</f>
        <v>Electrosurgical Units, Monopolar/Bipolar</v>
      </c>
      <c r="FIC92" s="165" t="s">
        <v>945</v>
      </c>
      <c r="FID92" s="166" t="str">
        <f>VLOOKUP(FIC92,[13]AssetDetails_UEM!$A$3:$AH$1849,6,FALSE)</f>
        <v>Electrosurgical Units, Monopolar/Bipolar</v>
      </c>
      <c r="FIE92" s="165" t="s">
        <v>945</v>
      </c>
      <c r="FIF92" s="166" t="str">
        <f>VLOOKUP(FIE92,[13]AssetDetails_UEM!$A$3:$AH$1849,6,FALSE)</f>
        <v>Electrosurgical Units, Monopolar/Bipolar</v>
      </c>
      <c r="FIG92" s="165" t="s">
        <v>945</v>
      </c>
      <c r="FIH92" s="166" t="str">
        <f>VLOOKUP(FIG92,[13]AssetDetails_UEM!$A$3:$AH$1849,6,FALSE)</f>
        <v>Electrosurgical Units, Monopolar/Bipolar</v>
      </c>
      <c r="FII92" s="165" t="s">
        <v>945</v>
      </c>
      <c r="FIJ92" s="166" t="str">
        <f>VLOOKUP(FII92,[13]AssetDetails_UEM!$A$3:$AH$1849,6,FALSE)</f>
        <v>Electrosurgical Units, Monopolar/Bipolar</v>
      </c>
      <c r="FIK92" s="165" t="s">
        <v>945</v>
      </c>
      <c r="FIL92" s="166" t="str">
        <f>VLOOKUP(FIK92,[13]AssetDetails_UEM!$A$3:$AH$1849,6,FALSE)</f>
        <v>Electrosurgical Units, Monopolar/Bipolar</v>
      </c>
      <c r="FIM92" s="165" t="s">
        <v>945</v>
      </c>
      <c r="FIN92" s="166" t="str">
        <f>VLOOKUP(FIM92,[13]AssetDetails_UEM!$A$3:$AH$1849,6,FALSE)</f>
        <v>Electrosurgical Units, Monopolar/Bipolar</v>
      </c>
      <c r="FIO92" s="165" t="s">
        <v>945</v>
      </c>
      <c r="FIP92" s="166" t="str">
        <f>VLOOKUP(FIO92,[13]AssetDetails_UEM!$A$3:$AH$1849,6,FALSE)</f>
        <v>Electrosurgical Units, Monopolar/Bipolar</v>
      </c>
      <c r="FIQ92" s="165" t="s">
        <v>945</v>
      </c>
      <c r="FIR92" s="166" t="str">
        <f>VLOOKUP(FIQ92,[13]AssetDetails_UEM!$A$3:$AH$1849,6,FALSE)</f>
        <v>Electrosurgical Units, Monopolar/Bipolar</v>
      </c>
      <c r="FIS92" s="165" t="s">
        <v>945</v>
      </c>
      <c r="FIT92" s="166" t="str">
        <f>VLOOKUP(FIS92,[13]AssetDetails_UEM!$A$3:$AH$1849,6,FALSE)</f>
        <v>Electrosurgical Units, Monopolar/Bipolar</v>
      </c>
      <c r="FIU92" s="165" t="s">
        <v>945</v>
      </c>
      <c r="FIV92" s="166" t="str">
        <f>VLOOKUP(FIU92,[13]AssetDetails_UEM!$A$3:$AH$1849,6,FALSE)</f>
        <v>Electrosurgical Units, Monopolar/Bipolar</v>
      </c>
      <c r="FIW92" s="165" t="s">
        <v>945</v>
      </c>
      <c r="FIX92" s="166" t="str">
        <f>VLOOKUP(FIW92,[13]AssetDetails_UEM!$A$3:$AH$1849,6,FALSE)</f>
        <v>Electrosurgical Units, Monopolar/Bipolar</v>
      </c>
      <c r="FIY92" s="165" t="s">
        <v>945</v>
      </c>
      <c r="FIZ92" s="166" t="str">
        <f>VLOOKUP(FIY92,[13]AssetDetails_UEM!$A$3:$AH$1849,6,FALSE)</f>
        <v>Electrosurgical Units, Monopolar/Bipolar</v>
      </c>
      <c r="FJA92" s="165" t="s">
        <v>945</v>
      </c>
      <c r="FJB92" s="166" t="str">
        <f>VLOOKUP(FJA92,[13]AssetDetails_UEM!$A$3:$AH$1849,6,FALSE)</f>
        <v>Electrosurgical Units, Monopolar/Bipolar</v>
      </c>
      <c r="FJC92" s="165" t="s">
        <v>945</v>
      </c>
      <c r="FJD92" s="166" t="str">
        <f>VLOOKUP(FJC92,[13]AssetDetails_UEM!$A$3:$AH$1849,6,FALSE)</f>
        <v>Electrosurgical Units, Monopolar/Bipolar</v>
      </c>
      <c r="FJE92" s="165" t="s">
        <v>945</v>
      </c>
      <c r="FJF92" s="166" t="str">
        <f>VLOOKUP(FJE92,[13]AssetDetails_UEM!$A$3:$AH$1849,6,FALSE)</f>
        <v>Electrosurgical Units, Monopolar/Bipolar</v>
      </c>
      <c r="FJG92" s="165" t="s">
        <v>945</v>
      </c>
      <c r="FJH92" s="166" t="str">
        <f>VLOOKUP(FJG92,[13]AssetDetails_UEM!$A$3:$AH$1849,6,FALSE)</f>
        <v>Electrosurgical Units, Monopolar/Bipolar</v>
      </c>
      <c r="FJI92" s="165" t="s">
        <v>945</v>
      </c>
      <c r="FJJ92" s="166" t="str">
        <f>VLOOKUP(FJI92,[13]AssetDetails_UEM!$A$3:$AH$1849,6,FALSE)</f>
        <v>Electrosurgical Units, Monopolar/Bipolar</v>
      </c>
      <c r="FJK92" s="165" t="s">
        <v>945</v>
      </c>
      <c r="FJL92" s="166" t="str">
        <f>VLOOKUP(FJK92,[13]AssetDetails_UEM!$A$3:$AH$1849,6,FALSE)</f>
        <v>Electrosurgical Units, Monopolar/Bipolar</v>
      </c>
      <c r="FJM92" s="165" t="s">
        <v>945</v>
      </c>
      <c r="FJN92" s="166" t="str">
        <f>VLOOKUP(FJM92,[13]AssetDetails_UEM!$A$3:$AH$1849,6,FALSE)</f>
        <v>Electrosurgical Units, Monopolar/Bipolar</v>
      </c>
      <c r="FJO92" s="165" t="s">
        <v>945</v>
      </c>
      <c r="FJP92" s="166" t="str">
        <f>VLOOKUP(FJO92,[13]AssetDetails_UEM!$A$3:$AH$1849,6,FALSE)</f>
        <v>Electrosurgical Units, Monopolar/Bipolar</v>
      </c>
      <c r="FJQ92" s="165" t="s">
        <v>945</v>
      </c>
      <c r="FJR92" s="166" t="str">
        <f>VLOOKUP(FJQ92,[13]AssetDetails_UEM!$A$3:$AH$1849,6,FALSE)</f>
        <v>Electrosurgical Units, Monopolar/Bipolar</v>
      </c>
      <c r="FJS92" s="165" t="s">
        <v>945</v>
      </c>
      <c r="FJT92" s="166" t="str">
        <f>VLOOKUP(FJS92,[13]AssetDetails_UEM!$A$3:$AH$1849,6,FALSE)</f>
        <v>Electrosurgical Units, Monopolar/Bipolar</v>
      </c>
      <c r="FJU92" s="165" t="s">
        <v>945</v>
      </c>
      <c r="FJV92" s="166" t="str">
        <f>VLOOKUP(FJU92,[13]AssetDetails_UEM!$A$3:$AH$1849,6,FALSE)</f>
        <v>Electrosurgical Units, Monopolar/Bipolar</v>
      </c>
      <c r="FJW92" s="165" t="s">
        <v>945</v>
      </c>
      <c r="FJX92" s="166" t="str">
        <f>VLOOKUP(FJW92,[13]AssetDetails_UEM!$A$3:$AH$1849,6,FALSE)</f>
        <v>Electrosurgical Units, Monopolar/Bipolar</v>
      </c>
      <c r="FJY92" s="165" t="s">
        <v>945</v>
      </c>
      <c r="FJZ92" s="166" t="str">
        <f>VLOOKUP(FJY92,[13]AssetDetails_UEM!$A$3:$AH$1849,6,FALSE)</f>
        <v>Electrosurgical Units, Monopolar/Bipolar</v>
      </c>
      <c r="FKA92" s="165" t="s">
        <v>945</v>
      </c>
      <c r="FKB92" s="166" t="str">
        <f>VLOOKUP(FKA92,[13]AssetDetails_UEM!$A$3:$AH$1849,6,FALSE)</f>
        <v>Electrosurgical Units, Monopolar/Bipolar</v>
      </c>
      <c r="FKC92" s="165" t="s">
        <v>945</v>
      </c>
      <c r="FKD92" s="166" t="str">
        <f>VLOOKUP(FKC92,[13]AssetDetails_UEM!$A$3:$AH$1849,6,FALSE)</f>
        <v>Electrosurgical Units, Monopolar/Bipolar</v>
      </c>
      <c r="FKE92" s="165" t="s">
        <v>945</v>
      </c>
      <c r="FKF92" s="166" t="str">
        <f>VLOOKUP(FKE92,[13]AssetDetails_UEM!$A$3:$AH$1849,6,FALSE)</f>
        <v>Electrosurgical Units, Monopolar/Bipolar</v>
      </c>
      <c r="FKG92" s="165" t="s">
        <v>945</v>
      </c>
      <c r="FKH92" s="166" t="str">
        <f>VLOOKUP(FKG92,[13]AssetDetails_UEM!$A$3:$AH$1849,6,FALSE)</f>
        <v>Electrosurgical Units, Monopolar/Bipolar</v>
      </c>
      <c r="FKI92" s="165" t="s">
        <v>945</v>
      </c>
      <c r="FKJ92" s="166" t="str">
        <f>VLOOKUP(FKI92,[13]AssetDetails_UEM!$A$3:$AH$1849,6,FALSE)</f>
        <v>Electrosurgical Units, Monopolar/Bipolar</v>
      </c>
      <c r="FKK92" s="165" t="s">
        <v>945</v>
      </c>
      <c r="FKL92" s="166" t="str">
        <f>VLOOKUP(FKK92,[13]AssetDetails_UEM!$A$3:$AH$1849,6,FALSE)</f>
        <v>Electrosurgical Units, Monopolar/Bipolar</v>
      </c>
      <c r="FKM92" s="165" t="s">
        <v>945</v>
      </c>
      <c r="FKN92" s="166" t="str">
        <f>VLOOKUP(FKM92,[13]AssetDetails_UEM!$A$3:$AH$1849,6,FALSE)</f>
        <v>Electrosurgical Units, Monopolar/Bipolar</v>
      </c>
      <c r="FKO92" s="165" t="s">
        <v>945</v>
      </c>
      <c r="FKP92" s="166" t="str">
        <f>VLOOKUP(FKO92,[13]AssetDetails_UEM!$A$3:$AH$1849,6,FALSE)</f>
        <v>Electrosurgical Units, Monopolar/Bipolar</v>
      </c>
      <c r="FKQ92" s="165" t="s">
        <v>945</v>
      </c>
      <c r="FKR92" s="166" t="str">
        <f>VLOOKUP(FKQ92,[13]AssetDetails_UEM!$A$3:$AH$1849,6,FALSE)</f>
        <v>Electrosurgical Units, Monopolar/Bipolar</v>
      </c>
      <c r="FKS92" s="165" t="s">
        <v>945</v>
      </c>
      <c r="FKT92" s="166" t="str">
        <f>VLOOKUP(FKS92,[13]AssetDetails_UEM!$A$3:$AH$1849,6,FALSE)</f>
        <v>Electrosurgical Units, Monopolar/Bipolar</v>
      </c>
      <c r="FKU92" s="165" t="s">
        <v>945</v>
      </c>
      <c r="FKV92" s="166" t="str">
        <f>VLOOKUP(FKU92,[13]AssetDetails_UEM!$A$3:$AH$1849,6,FALSE)</f>
        <v>Electrosurgical Units, Monopolar/Bipolar</v>
      </c>
      <c r="FKW92" s="165" t="s">
        <v>945</v>
      </c>
      <c r="FKX92" s="166" t="str">
        <f>VLOOKUP(FKW92,[13]AssetDetails_UEM!$A$3:$AH$1849,6,FALSE)</f>
        <v>Electrosurgical Units, Monopolar/Bipolar</v>
      </c>
      <c r="FKY92" s="165" t="s">
        <v>945</v>
      </c>
      <c r="FKZ92" s="166" t="str">
        <f>VLOOKUP(FKY92,[13]AssetDetails_UEM!$A$3:$AH$1849,6,FALSE)</f>
        <v>Electrosurgical Units, Monopolar/Bipolar</v>
      </c>
      <c r="FLA92" s="165" t="s">
        <v>945</v>
      </c>
      <c r="FLB92" s="166" t="str">
        <f>VLOOKUP(FLA92,[13]AssetDetails_UEM!$A$3:$AH$1849,6,FALSE)</f>
        <v>Electrosurgical Units, Monopolar/Bipolar</v>
      </c>
      <c r="FLC92" s="165" t="s">
        <v>945</v>
      </c>
      <c r="FLD92" s="166" t="str">
        <f>VLOOKUP(FLC92,[13]AssetDetails_UEM!$A$3:$AH$1849,6,FALSE)</f>
        <v>Electrosurgical Units, Monopolar/Bipolar</v>
      </c>
      <c r="FLE92" s="165" t="s">
        <v>945</v>
      </c>
      <c r="FLF92" s="166" t="str">
        <f>VLOOKUP(FLE92,[13]AssetDetails_UEM!$A$3:$AH$1849,6,FALSE)</f>
        <v>Electrosurgical Units, Monopolar/Bipolar</v>
      </c>
      <c r="FLG92" s="165" t="s">
        <v>945</v>
      </c>
      <c r="FLH92" s="166" t="str">
        <f>VLOOKUP(FLG92,[13]AssetDetails_UEM!$A$3:$AH$1849,6,FALSE)</f>
        <v>Electrosurgical Units, Monopolar/Bipolar</v>
      </c>
      <c r="FLI92" s="165" t="s">
        <v>945</v>
      </c>
      <c r="FLJ92" s="166" t="str">
        <f>VLOOKUP(FLI92,[13]AssetDetails_UEM!$A$3:$AH$1849,6,FALSE)</f>
        <v>Electrosurgical Units, Monopolar/Bipolar</v>
      </c>
      <c r="FLK92" s="165" t="s">
        <v>945</v>
      </c>
      <c r="FLL92" s="166" t="str">
        <f>VLOOKUP(FLK92,[13]AssetDetails_UEM!$A$3:$AH$1849,6,FALSE)</f>
        <v>Electrosurgical Units, Monopolar/Bipolar</v>
      </c>
      <c r="FLM92" s="165" t="s">
        <v>945</v>
      </c>
      <c r="FLN92" s="166" t="str">
        <f>VLOOKUP(FLM92,[13]AssetDetails_UEM!$A$3:$AH$1849,6,FALSE)</f>
        <v>Electrosurgical Units, Monopolar/Bipolar</v>
      </c>
      <c r="FLO92" s="165" t="s">
        <v>945</v>
      </c>
      <c r="FLP92" s="166" t="str">
        <f>VLOOKUP(FLO92,[13]AssetDetails_UEM!$A$3:$AH$1849,6,FALSE)</f>
        <v>Electrosurgical Units, Monopolar/Bipolar</v>
      </c>
      <c r="FLQ92" s="165" t="s">
        <v>945</v>
      </c>
      <c r="FLR92" s="166" t="str">
        <f>VLOOKUP(FLQ92,[13]AssetDetails_UEM!$A$3:$AH$1849,6,FALSE)</f>
        <v>Electrosurgical Units, Monopolar/Bipolar</v>
      </c>
      <c r="FLS92" s="165" t="s">
        <v>945</v>
      </c>
      <c r="FLT92" s="166" t="str">
        <f>VLOOKUP(FLS92,[13]AssetDetails_UEM!$A$3:$AH$1849,6,FALSE)</f>
        <v>Electrosurgical Units, Monopolar/Bipolar</v>
      </c>
      <c r="FLU92" s="165" t="s">
        <v>945</v>
      </c>
      <c r="FLV92" s="166" t="str">
        <f>VLOOKUP(FLU92,[13]AssetDetails_UEM!$A$3:$AH$1849,6,FALSE)</f>
        <v>Electrosurgical Units, Monopolar/Bipolar</v>
      </c>
      <c r="FLW92" s="165" t="s">
        <v>945</v>
      </c>
      <c r="FLX92" s="166" t="str">
        <f>VLOOKUP(FLW92,[13]AssetDetails_UEM!$A$3:$AH$1849,6,FALSE)</f>
        <v>Electrosurgical Units, Monopolar/Bipolar</v>
      </c>
      <c r="FLY92" s="165" t="s">
        <v>945</v>
      </c>
      <c r="FLZ92" s="166" t="str">
        <f>VLOOKUP(FLY92,[13]AssetDetails_UEM!$A$3:$AH$1849,6,FALSE)</f>
        <v>Electrosurgical Units, Monopolar/Bipolar</v>
      </c>
      <c r="FMA92" s="165" t="s">
        <v>945</v>
      </c>
      <c r="FMB92" s="166" t="str">
        <f>VLOOKUP(FMA92,[13]AssetDetails_UEM!$A$3:$AH$1849,6,FALSE)</f>
        <v>Electrosurgical Units, Monopolar/Bipolar</v>
      </c>
      <c r="FMC92" s="165" t="s">
        <v>945</v>
      </c>
      <c r="FMD92" s="166" t="str">
        <f>VLOOKUP(FMC92,[13]AssetDetails_UEM!$A$3:$AH$1849,6,FALSE)</f>
        <v>Electrosurgical Units, Monopolar/Bipolar</v>
      </c>
      <c r="FME92" s="165" t="s">
        <v>945</v>
      </c>
      <c r="FMF92" s="166" t="str">
        <f>VLOOKUP(FME92,[13]AssetDetails_UEM!$A$3:$AH$1849,6,FALSE)</f>
        <v>Electrosurgical Units, Monopolar/Bipolar</v>
      </c>
      <c r="FMG92" s="165" t="s">
        <v>945</v>
      </c>
      <c r="FMH92" s="166" t="str">
        <f>VLOOKUP(FMG92,[13]AssetDetails_UEM!$A$3:$AH$1849,6,FALSE)</f>
        <v>Electrosurgical Units, Monopolar/Bipolar</v>
      </c>
      <c r="FMI92" s="165" t="s">
        <v>945</v>
      </c>
      <c r="FMJ92" s="166" t="str">
        <f>VLOOKUP(FMI92,[13]AssetDetails_UEM!$A$3:$AH$1849,6,FALSE)</f>
        <v>Electrosurgical Units, Monopolar/Bipolar</v>
      </c>
      <c r="FMK92" s="165" t="s">
        <v>945</v>
      </c>
      <c r="FML92" s="166" t="str">
        <f>VLOOKUP(FMK92,[13]AssetDetails_UEM!$A$3:$AH$1849,6,FALSE)</f>
        <v>Electrosurgical Units, Monopolar/Bipolar</v>
      </c>
      <c r="FMM92" s="165" t="s">
        <v>945</v>
      </c>
      <c r="FMN92" s="166" t="str">
        <f>VLOOKUP(FMM92,[13]AssetDetails_UEM!$A$3:$AH$1849,6,FALSE)</f>
        <v>Electrosurgical Units, Monopolar/Bipolar</v>
      </c>
      <c r="FMO92" s="165" t="s">
        <v>945</v>
      </c>
      <c r="FMP92" s="166" t="str">
        <f>VLOOKUP(FMO92,[13]AssetDetails_UEM!$A$3:$AH$1849,6,FALSE)</f>
        <v>Electrosurgical Units, Monopolar/Bipolar</v>
      </c>
      <c r="FMQ92" s="165" t="s">
        <v>945</v>
      </c>
      <c r="FMR92" s="166" t="str">
        <f>VLOOKUP(FMQ92,[13]AssetDetails_UEM!$A$3:$AH$1849,6,FALSE)</f>
        <v>Electrosurgical Units, Monopolar/Bipolar</v>
      </c>
      <c r="FMS92" s="165" t="s">
        <v>945</v>
      </c>
      <c r="FMT92" s="166" t="str">
        <f>VLOOKUP(FMS92,[13]AssetDetails_UEM!$A$3:$AH$1849,6,FALSE)</f>
        <v>Electrosurgical Units, Monopolar/Bipolar</v>
      </c>
      <c r="FMU92" s="165" t="s">
        <v>945</v>
      </c>
      <c r="FMV92" s="166" t="str">
        <f>VLOOKUP(FMU92,[13]AssetDetails_UEM!$A$3:$AH$1849,6,FALSE)</f>
        <v>Electrosurgical Units, Monopolar/Bipolar</v>
      </c>
      <c r="FMW92" s="165" t="s">
        <v>945</v>
      </c>
      <c r="FMX92" s="166" t="str">
        <f>VLOOKUP(FMW92,[13]AssetDetails_UEM!$A$3:$AH$1849,6,FALSE)</f>
        <v>Electrosurgical Units, Monopolar/Bipolar</v>
      </c>
      <c r="FMY92" s="165" t="s">
        <v>945</v>
      </c>
      <c r="FMZ92" s="166" t="str">
        <f>VLOOKUP(FMY92,[13]AssetDetails_UEM!$A$3:$AH$1849,6,FALSE)</f>
        <v>Electrosurgical Units, Monopolar/Bipolar</v>
      </c>
      <c r="FNA92" s="165" t="s">
        <v>945</v>
      </c>
      <c r="FNB92" s="166" t="str">
        <f>VLOOKUP(FNA92,[13]AssetDetails_UEM!$A$3:$AH$1849,6,FALSE)</f>
        <v>Electrosurgical Units, Monopolar/Bipolar</v>
      </c>
      <c r="FNC92" s="165" t="s">
        <v>945</v>
      </c>
      <c r="FND92" s="166" t="str">
        <f>VLOOKUP(FNC92,[13]AssetDetails_UEM!$A$3:$AH$1849,6,FALSE)</f>
        <v>Electrosurgical Units, Monopolar/Bipolar</v>
      </c>
      <c r="FNE92" s="165" t="s">
        <v>945</v>
      </c>
      <c r="FNF92" s="166" t="str">
        <f>VLOOKUP(FNE92,[13]AssetDetails_UEM!$A$3:$AH$1849,6,FALSE)</f>
        <v>Electrosurgical Units, Monopolar/Bipolar</v>
      </c>
      <c r="FNG92" s="165" t="s">
        <v>945</v>
      </c>
      <c r="FNH92" s="166" t="str">
        <f>VLOOKUP(FNG92,[13]AssetDetails_UEM!$A$3:$AH$1849,6,FALSE)</f>
        <v>Electrosurgical Units, Monopolar/Bipolar</v>
      </c>
      <c r="FNI92" s="165" t="s">
        <v>945</v>
      </c>
      <c r="FNJ92" s="166" t="str">
        <f>VLOOKUP(FNI92,[13]AssetDetails_UEM!$A$3:$AH$1849,6,FALSE)</f>
        <v>Electrosurgical Units, Monopolar/Bipolar</v>
      </c>
      <c r="FNK92" s="165" t="s">
        <v>945</v>
      </c>
      <c r="FNL92" s="166" t="str">
        <f>VLOOKUP(FNK92,[13]AssetDetails_UEM!$A$3:$AH$1849,6,FALSE)</f>
        <v>Electrosurgical Units, Monopolar/Bipolar</v>
      </c>
      <c r="FNM92" s="165" t="s">
        <v>945</v>
      </c>
      <c r="FNN92" s="166" t="str">
        <f>VLOOKUP(FNM92,[13]AssetDetails_UEM!$A$3:$AH$1849,6,FALSE)</f>
        <v>Electrosurgical Units, Monopolar/Bipolar</v>
      </c>
      <c r="FNO92" s="165" t="s">
        <v>945</v>
      </c>
      <c r="FNP92" s="166" t="str">
        <f>VLOOKUP(FNO92,[13]AssetDetails_UEM!$A$3:$AH$1849,6,FALSE)</f>
        <v>Electrosurgical Units, Monopolar/Bipolar</v>
      </c>
      <c r="FNQ92" s="165" t="s">
        <v>945</v>
      </c>
      <c r="FNR92" s="166" t="str">
        <f>VLOOKUP(FNQ92,[13]AssetDetails_UEM!$A$3:$AH$1849,6,FALSE)</f>
        <v>Electrosurgical Units, Monopolar/Bipolar</v>
      </c>
      <c r="FNS92" s="165" t="s">
        <v>945</v>
      </c>
      <c r="FNT92" s="166" t="str">
        <f>VLOOKUP(FNS92,[13]AssetDetails_UEM!$A$3:$AH$1849,6,FALSE)</f>
        <v>Electrosurgical Units, Monopolar/Bipolar</v>
      </c>
      <c r="FNU92" s="165" t="s">
        <v>945</v>
      </c>
      <c r="FNV92" s="166" t="str">
        <f>VLOOKUP(FNU92,[13]AssetDetails_UEM!$A$3:$AH$1849,6,FALSE)</f>
        <v>Electrosurgical Units, Monopolar/Bipolar</v>
      </c>
      <c r="FNW92" s="165" t="s">
        <v>945</v>
      </c>
      <c r="FNX92" s="166" t="str">
        <f>VLOOKUP(FNW92,[13]AssetDetails_UEM!$A$3:$AH$1849,6,FALSE)</f>
        <v>Electrosurgical Units, Monopolar/Bipolar</v>
      </c>
      <c r="FNY92" s="165" t="s">
        <v>945</v>
      </c>
      <c r="FNZ92" s="166" t="str">
        <f>VLOOKUP(FNY92,[13]AssetDetails_UEM!$A$3:$AH$1849,6,FALSE)</f>
        <v>Electrosurgical Units, Monopolar/Bipolar</v>
      </c>
      <c r="FOA92" s="165" t="s">
        <v>945</v>
      </c>
      <c r="FOB92" s="166" t="str">
        <f>VLOOKUP(FOA92,[13]AssetDetails_UEM!$A$3:$AH$1849,6,FALSE)</f>
        <v>Electrosurgical Units, Monopolar/Bipolar</v>
      </c>
      <c r="FOC92" s="165" t="s">
        <v>945</v>
      </c>
      <c r="FOD92" s="166" t="str">
        <f>VLOOKUP(FOC92,[13]AssetDetails_UEM!$A$3:$AH$1849,6,FALSE)</f>
        <v>Electrosurgical Units, Monopolar/Bipolar</v>
      </c>
      <c r="FOE92" s="165" t="s">
        <v>945</v>
      </c>
      <c r="FOF92" s="166" t="str">
        <f>VLOOKUP(FOE92,[13]AssetDetails_UEM!$A$3:$AH$1849,6,FALSE)</f>
        <v>Electrosurgical Units, Monopolar/Bipolar</v>
      </c>
      <c r="FOG92" s="165" t="s">
        <v>945</v>
      </c>
      <c r="FOH92" s="166" t="str">
        <f>VLOOKUP(FOG92,[13]AssetDetails_UEM!$A$3:$AH$1849,6,FALSE)</f>
        <v>Electrosurgical Units, Monopolar/Bipolar</v>
      </c>
      <c r="FOI92" s="165" t="s">
        <v>945</v>
      </c>
      <c r="FOJ92" s="166" t="str">
        <f>VLOOKUP(FOI92,[13]AssetDetails_UEM!$A$3:$AH$1849,6,FALSE)</f>
        <v>Electrosurgical Units, Monopolar/Bipolar</v>
      </c>
      <c r="FOK92" s="165" t="s">
        <v>945</v>
      </c>
      <c r="FOL92" s="166" t="str">
        <f>VLOOKUP(FOK92,[13]AssetDetails_UEM!$A$3:$AH$1849,6,FALSE)</f>
        <v>Electrosurgical Units, Monopolar/Bipolar</v>
      </c>
      <c r="FOM92" s="165" t="s">
        <v>945</v>
      </c>
      <c r="FON92" s="166" t="str">
        <f>VLOOKUP(FOM92,[13]AssetDetails_UEM!$A$3:$AH$1849,6,FALSE)</f>
        <v>Electrosurgical Units, Monopolar/Bipolar</v>
      </c>
      <c r="FOO92" s="165" t="s">
        <v>945</v>
      </c>
      <c r="FOP92" s="166" t="str">
        <f>VLOOKUP(FOO92,[13]AssetDetails_UEM!$A$3:$AH$1849,6,FALSE)</f>
        <v>Electrosurgical Units, Monopolar/Bipolar</v>
      </c>
      <c r="FOQ92" s="165" t="s">
        <v>945</v>
      </c>
      <c r="FOR92" s="166" t="str">
        <f>VLOOKUP(FOQ92,[13]AssetDetails_UEM!$A$3:$AH$1849,6,FALSE)</f>
        <v>Electrosurgical Units, Monopolar/Bipolar</v>
      </c>
      <c r="FOS92" s="165" t="s">
        <v>945</v>
      </c>
      <c r="FOT92" s="166" t="str">
        <f>VLOOKUP(FOS92,[13]AssetDetails_UEM!$A$3:$AH$1849,6,FALSE)</f>
        <v>Electrosurgical Units, Monopolar/Bipolar</v>
      </c>
      <c r="FOU92" s="165" t="s">
        <v>945</v>
      </c>
      <c r="FOV92" s="166" t="str">
        <f>VLOOKUP(FOU92,[13]AssetDetails_UEM!$A$3:$AH$1849,6,FALSE)</f>
        <v>Electrosurgical Units, Monopolar/Bipolar</v>
      </c>
      <c r="FOW92" s="165" t="s">
        <v>945</v>
      </c>
      <c r="FOX92" s="166" t="str">
        <f>VLOOKUP(FOW92,[13]AssetDetails_UEM!$A$3:$AH$1849,6,FALSE)</f>
        <v>Electrosurgical Units, Monopolar/Bipolar</v>
      </c>
      <c r="FOY92" s="165" t="s">
        <v>945</v>
      </c>
      <c r="FOZ92" s="166" t="str">
        <f>VLOOKUP(FOY92,[13]AssetDetails_UEM!$A$3:$AH$1849,6,FALSE)</f>
        <v>Electrosurgical Units, Monopolar/Bipolar</v>
      </c>
      <c r="FPA92" s="165" t="s">
        <v>945</v>
      </c>
      <c r="FPB92" s="166" t="str">
        <f>VLOOKUP(FPA92,[13]AssetDetails_UEM!$A$3:$AH$1849,6,FALSE)</f>
        <v>Electrosurgical Units, Monopolar/Bipolar</v>
      </c>
      <c r="FPC92" s="165" t="s">
        <v>945</v>
      </c>
      <c r="FPD92" s="166" t="str">
        <f>VLOOKUP(FPC92,[13]AssetDetails_UEM!$A$3:$AH$1849,6,FALSE)</f>
        <v>Electrosurgical Units, Monopolar/Bipolar</v>
      </c>
      <c r="FPE92" s="165" t="s">
        <v>945</v>
      </c>
      <c r="FPF92" s="166" t="str">
        <f>VLOOKUP(FPE92,[13]AssetDetails_UEM!$A$3:$AH$1849,6,FALSE)</f>
        <v>Electrosurgical Units, Monopolar/Bipolar</v>
      </c>
      <c r="FPG92" s="165" t="s">
        <v>945</v>
      </c>
      <c r="FPH92" s="166" t="str">
        <f>VLOOKUP(FPG92,[13]AssetDetails_UEM!$A$3:$AH$1849,6,FALSE)</f>
        <v>Electrosurgical Units, Monopolar/Bipolar</v>
      </c>
      <c r="FPI92" s="165" t="s">
        <v>945</v>
      </c>
      <c r="FPJ92" s="166" t="str">
        <f>VLOOKUP(FPI92,[13]AssetDetails_UEM!$A$3:$AH$1849,6,FALSE)</f>
        <v>Electrosurgical Units, Monopolar/Bipolar</v>
      </c>
      <c r="FPK92" s="165" t="s">
        <v>945</v>
      </c>
      <c r="FPL92" s="166" t="str">
        <f>VLOOKUP(FPK92,[13]AssetDetails_UEM!$A$3:$AH$1849,6,FALSE)</f>
        <v>Electrosurgical Units, Monopolar/Bipolar</v>
      </c>
      <c r="FPM92" s="165" t="s">
        <v>945</v>
      </c>
      <c r="FPN92" s="166" t="str">
        <f>VLOOKUP(FPM92,[13]AssetDetails_UEM!$A$3:$AH$1849,6,FALSE)</f>
        <v>Electrosurgical Units, Monopolar/Bipolar</v>
      </c>
      <c r="FPO92" s="165" t="s">
        <v>945</v>
      </c>
      <c r="FPP92" s="166" t="str">
        <f>VLOOKUP(FPO92,[13]AssetDetails_UEM!$A$3:$AH$1849,6,FALSE)</f>
        <v>Electrosurgical Units, Monopolar/Bipolar</v>
      </c>
      <c r="FPQ92" s="165" t="s">
        <v>945</v>
      </c>
      <c r="FPR92" s="166" t="str">
        <f>VLOOKUP(FPQ92,[13]AssetDetails_UEM!$A$3:$AH$1849,6,FALSE)</f>
        <v>Electrosurgical Units, Monopolar/Bipolar</v>
      </c>
      <c r="FPS92" s="165" t="s">
        <v>945</v>
      </c>
      <c r="FPT92" s="166" t="str">
        <f>VLOOKUP(FPS92,[13]AssetDetails_UEM!$A$3:$AH$1849,6,FALSE)</f>
        <v>Electrosurgical Units, Monopolar/Bipolar</v>
      </c>
      <c r="FPU92" s="165" t="s">
        <v>945</v>
      </c>
      <c r="FPV92" s="166" t="str">
        <f>VLOOKUP(FPU92,[13]AssetDetails_UEM!$A$3:$AH$1849,6,FALSE)</f>
        <v>Electrosurgical Units, Monopolar/Bipolar</v>
      </c>
      <c r="FPW92" s="165" t="s">
        <v>945</v>
      </c>
      <c r="FPX92" s="166" t="str">
        <f>VLOOKUP(FPW92,[13]AssetDetails_UEM!$A$3:$AH$1849,6,FALSE)</f>
        <v>Electrosurgical Units, Monopolar/Bipolar</v>
      </c>
      <c r="FPY92" s="165" t="s">
        <v>945</v>
      </c>
      <c r="FPZ92" s="166" t="str">
        <f>VLOOKUP(FPY92,[13]AssetDetails_UEM!$A$3:$AH$1849,6,FALSE)</f>
        <v>Electrosurgical Units, Monopolar/Bipolar</v>
      </c>
      <c r="FQA92" s="165" t="s">
        <v>945</v>
      </c>
      <c r="FQB92" s="166" t="str">
        <f>VLOOKUP(FQA92,[13]AssetDetails_UEM!$A$3:$AH$1849,6,FALSE)</f>
        <v>Electrosurgical Units, Monopolar/Bipolar</v>
      </c>
      <c r="FQC92" s="165" t="s">
        <v>945</v>
      </c>
      <c r="FQD92" s="166" t="str">
        <f>VLOOKUP(FQC92,[13]AssetDetails_UEM!$A$3:$AH$1849,6,FALSE)</f>
        <v>Electrosurgical Units, Monopolar/Bipolar</v>
      </c>
      <c r="FQE92" s="165" t="s">
        <v>945</v>
      </c>
      <c r="FQF92" s="166" t="str">
        <f>VLOOKUP(FQE92,[13]AssetDetails_UEM!$A$3:$AH$1849,6,FALSE)</f>
        <v>Electrosurgical Units, Monopolar/Bipolar</v>
      </c>
      <c r="FQG92" s="165" t="s">
        <v>945</v>
      </c>
      <c r="FQH92" s="166" t="str">
        <f>VLOOKUP(FQG92,[13]AssetDetails_UEM!$A$3:$AH$1849,6,FALSE)</f>
        <v>Electrosurgical Units, Monopolar/Bipolar</v>
      </c>
      <c r="FQI92" s="165" t="s">
        <v>945</v>
      </c>
      <c r="FQJ92" s="166" t="str">
        <f>VLOOKUP(FQI92,[13]AssetDetails_UEM!$A$3:$AH$1849,6,FALSE)</f>
        <v>Electrosurgical Units, Monopolar/Bipolar</v>
      </c>
      <c r="FQK92" s="165" t="s">
        <v>945</v>
      </c>
      <c r="FQL92" s="166" t="str">
        <f>VLOOKUP(FQK92,[13]AssetDetails_UEM!$A$3:$AH$1849,6,FALSE)</f>
        <v>Electrosurgical Units, Monopolar/Bipolar</v>
      </c>
      <c r="FQM92" s="165" t="s">
        <v>945</v>
      </c>
      <c r="FQN92" s="166" t="str">
        <f>VLOOKUP(FQM92,[13]AssetDetails_UEM!$A$3:$AH$1849,6,FALSE)</f>
        <v>Electrosurgical Units, Monopolar/Bipolar</v>
      </c>
      <c r="FQO92" s="165" t="s">
        <v>945</v>
      </c>
      <c r="FQP92" s="166" t="str">
        <f>VLOOKUP(FQO92,[13]AssetDetails_UEM!$A$3:$AH$1849,6,FALSE)</f>
        <v>Electrosurgical Units, Monopolar/Bipolar</v>
      </c>
      <c r="FQQ92" s="165" t="s">
        <v>945</v>
      </c>
      <c r="FQR92" s="166" t="str">
        <f>VLOOKUP(FQQ92,[13]AssetDetails_UEM!$A$3:$AH$1849,6,FALSE)</f>
        <v>Electrosurgical Units, Monopolar/Bipolar</v>
      </c>
      <c r="FQS92" s="165" t="s">
        <v>945</v>
      </c>
      <c r="FQT92" s="166" t="str">
        <f>VLOOKUP(FQS92,[13]AssetDetails_UEM!$A$3:$AH$1849,6,FALSE)</f>
        <v>Electrosurgical Units, Monopolar/Bipolar</v>
      </c>
      <c r="FQU92" s="165" t="s">
        <v>945</v>
      </c>
      <c r="FQV92" s="166" t="str">
        <f>VLOOKUP(FQU92,[13]AssetDetails_UEM!$A$3:$AH$1849,6,FALSE)</f>
        <v>Electrosurgical Units, Monopolar/Bipolar</v>
      </c>
      <c r="FQW92" s="165" t="s">
        <v>945</v>
      </c>
      <c r="FQX92" s="166" t="str">
        <f>VLOOKUP(FQW92,[13]AssetDetails_UEM!$A$3:$AH$1849,6,FALSE)</f>
        <v>Electrosurgical Units, Monopolar/Bipolar</v>
      </c>
      <c r="FQY92" s="165" t="s">
        <v>945</v>
      </c>
      <c r="FQZ92" s="166" t="str">
        <f>VLOOKUP(FQY92,[13]AssetDetails_UEM!$A$3:$AH$1849,6,FALSE)</f>
        <v>Electrosurgical Units, Monopolar/Bipolar</v>
      </c>
      <c r="FRA92" s="165" t="s">
        <v>945</v>
      </c>
      <c r="FRB92" s="166" t="str">
        <f>VLOOKUP(FRA92,[13]AssetDetails_UEM!$A$3:$AH$1849,6,FALSE)</f>
        <v>Electrosurgical Units, Monopolar/Bipolar</v>
      </c>
      <c r="FRC92" s="165" t="s">
        <v>945</v>
      </c>
      <c r="FRD92" s="166" t="str">
        <f>VLOOKUP(FRC92,[13]AssetDetails_UEM!$A$3:$AH$1849,6,FALSE)</f>
        <v>Electrosurgical Units, Monopolar/Bipolar</v>
      </c>
      <c r="FRE92" s="165" t="s">
        <v>945</v>
      </c>
      <c r="FRF92" s="166" t="str">
        <f>VLOOKUP(FRE92,[13]AssetDetails_UEM!$A$3:$AH$1849,6,FALSE)</f>
        <v>Electrosurgical Units, Monopolar/Bipolar</v>
      </c>
      <c r="FRG92" s="165" t="s">
        <v>945</v>
      </c>
      <c r="FRH92" s="166" t="str">
        <f>VLOOKUP(FRG92,[13]AssetDetails_UEM!$A$3:$AH$1849,6,FALSE)</f>
        <v>Electrosurgical Units, Monopolar/Bipolar</v>
      </c>
      <c r="FRI92" s="165" t="s">
        <v>945</v>
      </c>
      <c r="FRJ92" s="166" t="str">
        <f>VLOOKUP(FRI92,[13]AssetDetails_UEM!$A$3:$AH$1849,6,FALSE)</f>
        <v>Electrosurgical Units, Monopolar/Bipolar</v>
      </c>
      <c r="FRK92" s="165" t="s">
        <v>945</v>
      </c>
      <c r="FRL92" s="166" t="str">
        <f>VLOOKUP(FRK92,[13]AssetDetails_UEM!$A$3:$AH$1849,6,FALSE)</f>
        <v>Electrosurgical Units, Monopolar/Bipolar</v>
      </c>
      <c r="FRM92" s="165" t="s">
        <v>945</v>
      </c>
      <c r="FRN92" s="166" t="str">
        <f>VLOOKUP(FRM92,[13]AssetDetails_UEM!$A$3:$AH$1849,6,FALSE)</f>
        <v>Electrosurgical Units, Monopolar/Bipolar</v>
      </c>
      <c r="FRO92" s="165" t="s">
        <v>945</v>
      </c>
      <c r="FRP92" s="166" t="str">
        <f>VLOOKUP(FRO92,[13]AssetDetails_UEM!$A$3:$AH$1849,6,FALSE)</f>
        <v>Electrosurgical Units, Monopolar/Bipolar</v>
      </c>
      <c r="FRQ92" s="165" t="s">
        <v>945</v>
      </c>
      <c r="FRR92" s="166" t="str">
        <f>VLOOKUP(FRQ92,[13]AssetDetails_UEM!$A$3:$AH$1849,6,FALSE)</f>
        <v>Electrosurgical Units, Monopolar/Bipolar</v>
      </c>
      <c r="FRS92" s="165" t="s">
        <v>945</v>
      </c>
      <c r="FRT92" s="166" t="str">
        <f>VLOOKUP(FRS92,[13]AssetDetails_UEM!$A$3:$AH$1849,6,FALSE)</f>
        <v>Electrosurgical Units, Monopolar/Bipolar</v>
      </c>
      <c r="FRU92" s="165" t="s">
        <v>945</v>
      </c>
      <c r="FRV92" s="166" t="str">
        <f>VLOOKUP(FRU92,[13]AssetDetails_UEM!$A$3:$AH$1849,6,FALSE)</f>
        <v>Electrosurgical Units, Monopolar/Bipolar</v>
      </c>
      <c r="FRW92" s="165" t="s">
        <v>945</v>
      </c>
      <c r="FRX92" s="166" t="str">
        <f>VLOOKUP(FRW92,[13]AssetDetails_UEM!$A$3:$AH$1849,6,FALSE)</f>
        <v>Electrosurgical Units, Monopolar/Bipolar</v>
      </c>
      <c r="FRY92" s="165" t="s">
        <v>945</v>
      </c>
      <c r="FRZ92" s="166" t="str">
        <f>VLOOKUP(FRY92,[13]AssetDetails_UEM!$A$3:$AH$1849,6,FALSE)</f>
        <v>Electrosurgical Units, Monopolar/Bipolar</v>
      </c>
      <c r="FSA92" s="165" t="s">
        <v>945</v>
      </c>
      <c r="FSB92" s="166" t="str">
        <f>VLOOKUP(FSA92,[13]AssetDetails_UEM!$A$3:$AH$1849,6,FALSE)</f>
        <v>Electrosurgical Units, Monopolar/Bipolar</v>
      </c>
      <c r="FSC92" s="165" t="s">
        <v>945</v>
      </c>
      <c r="FSD92" s="166" t="str">
        <f>VLOOKUP(FSC92,[13]AssetDetails_UEM!$A$3:$AH$1849,6,FALSE)</f>
        <v>Electrosurgical Units, Monopolar/Bipolar</v>
      </c>
      <c r="FSE92" s="165" t="s">
        <v>945</v>
      </c>
      <c r="FSF92" s="166" t="str">
        <f>VLOOKUP(FSE92,[13]AssetDetails_UEM!$A$3:$AH$1849,6,FALSE)</f>
        <v>Electrosurgical Units, Monopolar/Bipolar</v>
      </c>
      <c r="FSG92" s="165" t="s">
        <v>945</v>
      </c>
      <c r="FSH92" s="166" t="str">
        <f>VLOOKUP(FSG92,[13]AssetDetails_UEM!$A$3:$AH$1849,6,FALSE)</f>
        <v>Electrosurgical Units, Monopolar/Bipolar</v>
      </c>
      <c r="FSI92" s="165" t="s">
        <v>945</v>
      </c>
      <c r="FSJ92" s="166" t="str">
        <f>VLOOKUP(FSI92,[13]AssetDetails_UEM!$A$3:$AH$1849,6,FALSE)</f>
        <v>Electrosurgical Units, Monopolar/Bipolar</v>
      </c>
      <c r="FSK92" s="165" t="s">
        <v>945</v>
      </c>
      <c r="FSL92" s="166" t="str">
        <f>VLOOKUP(FSK92,[13]AssetDetails_UEM!$A$3:$AH$1849,6,FALSE)</f>
        <v>Electrosurgical Units, Monopolar/Bipolar</v>
      </c>
      <c r="FSM92" s="165" t="s">
        <v>945</v>
      </c>
      <c r="FSN92" s="166" t="str">
        <f>VLOOKUP(FSM92,[13]AssetDetails_UEM!$A$3:$AH$1849,6,FALSE)</f>
        <v>Electrosurgical Units, Monopolar/Bipolar</v>
      </c>
      <c r="FSO92" s="165" t="s">
        <v>945</v>
      </c>
      <c r="FSP92" s="166" t="str">
        <f>VLOOKUP(FSO92,[13]AssetDetails_UEM!$A$3:$AH$1849,6,FALSE)</f>
        <v>Electrosurgical Units, Monopolar/Bipolar</v>
      </c>
      <c r="FSQ92" s="165" t="s">
        <v>945</v>
      </c>
      <c r="FSR92" s="166" t="str">
        <f>VLOOKUP(FSQ92,[13]AssetDetails_UEM!$A$3:$AH$1849,6,FALSE)</f>
        <v>Electrosurgical Units, Monopolar/Bipolar</v>
      </c>
      <c r="FSS92" s="165" t="s">
        <v>945</v>
      </c>
      <c r="FST92" s="166" t="str">
        <f>VLOOKUP(FSS92,[13]AssetDetails_UEM!$A$3:$AH$1849,6,FALSE)</f>
        <v>Electrosurgical Units, Monopolar/Bipolar</v>
      </c>
      <c r="FSU92" s="165" t="s">
        <v>945</v>
      </c>
      <c r="FSV92" s="166" t="str">
        <f>VLOOKUP(FSU92,[13]AssetDetails_UEM!$A$3:$AH$1849,6,FALSE)</f>
        <v>Electrosurgical Units, Monopolar/Bipolar</v>
      </c>
      <c r="FSW92" s="165" t="s">
        <v>945</v>
      </c>
      <c r="FSX92" s="166" t="str">
        <f>VLOOKUP(FSW92,[13]AssetDetails_UEM!$A$3:$AH$1849,6,FALSE)</f>
        <v>Electrosurgical Units, Monopolar/Bipolar</v>
      </c>
      <c r="FSY92" s="165" t="s">
        <v>945</v>
      </c>
      <c r="FSZ92" s="166" t="str">
        <f>VLOOKUP(FSY92,[13]AssetDetails_UEM!$A$3:$AH$1849,6,FALSE)</f>
        <v>Electrosurgical Units, Monopolar/Bipolar</v>
      </c>
      <c r="FTA92" s="165" t="s">
        <v>945</v>
      </c>
      <c r="FTB92" s="166" t="str">
        <f>VLOOKUP(FTA92,[13]AssetDetails_UEM!$A$3:$AH$1849,6,FALSE)</f>
        <v>Electrosurgical Units, Monopolar/Bipolar</v>
      </c>
      <c r="FTC92" s="165" t="s">
        <v>945</v>
      </c>
      <c r="FTD92" s="166" t="str">
        <f>VLOOKUP(FTC92,[13]AssetDetails_UEM!$A$3:$AH$1849,6,FALSE)</f>
        <v>Electrosurgical Units, Monopolar/Bipolar</v>
      </c>
      <c r="FTE92" s="165" t="s">
        <v>945</v>
      </c>
      <c r="FTF92" s="166" t="str">
        <f>VLOOKUP(FTE92,[13]AssetDetails_UEM!$A$3:$AH$1849,6,FALSE)</f>
        <v>Electrosurgical Units, Monopolar/Bipolar</v>
      </c>
      <c r="FTG92" s="165" t="s">
        <v>945</v>
      </c>
      <c r="FTH92" s="166" t="str">
        <f>VLOOKUP(FTG92,[13]AssetDetails_UEM!$A$3:$AH$1849,6,FALSE)</f>
        <v>Electrosurgical Units, Monopolar/Bipolar</v>
      </c>
      <c r="FTI92" s="165" t="s">
        <v>945</v>
      </c>
      <c r="FTJ92" s="166" t="str">
        <f>VLOOKUP(FTI92,[13]AssetDetails_UEM!$A$3:$AH$1849,6,FALSE)</f>
        <v>Electrosurgical Units, Monopolar/Bipolar</v>
      </c>
      <c r="FTK92" s="165" t="s">
        <v>945</v>
      </c>
      <c r="FTL92" s="166" t="str">
        <f>VLOOKUP(FTK92,[13]AssetDetails_UEM!$A$3:$AH$1849,6,FALSE)</f>
        <v>Electrosurgical Units, Monopolar/Bipolar</v>
      </c>
      <c r="FTM92" s="165" t="s">
        <v>945</v>
      </c>
      <c r="FTN92" s="166" t="str">
        <f>VLOOKUP(FTM92,[13]AssetDetails_UEM!$A$3:$AH$1849,6,FALSE)</f>
        <v>Electrosurgical Units, Monopolar/Bipolar</v>
      </c>
      <c r="FTO92" s="165" t="s">
        <v>945</v>
      </c>
      <c r="FTP92" s="166" t="str">
        <f>VLOOKUP(FTO92,[13]AssetDetails_UEM!$A$3:$AH$1849,6,FALSE)</f>
        <v>Electrosurgical Units, Monopolar/Bipolar</v>
      </c>
      <c r="FTQ92" s="165" t="s">
        <v>945</v>
      </c>
      <c r="FTR92" s="166" t="str">
        <f>VLOOKUP(FTQ92,[13]AssetDetails_UEM!$A$3:$AH$1849,6,FALSE)</f>
        <v>Electrosurgical Units, Monopolar/Bipolar</v>
      </c>
      <c r="FTS92" s="165" t="s">
        <v>945</v>
      </c>
      <c r="FTT92" s="166" t="str">
        <f>VLOOKUP(FTS92,[13]AssetDetails_UEM!$A$3:$AH$1849,6,FALSE)</f>
        <v>Electrosurgical Units, Monopolar/Bipolar</v>
      </c>
      <c r="FTU92" s="165" t="s">
        <v>945</v>
      </c>
      <c r="FTV92" s="166" t="str">
        <f>VLOOKUP(FTU92,[13]AssetDetails_UEM!$A$3:$AH$1849,6,FALSE)</f>
        <v>Electrosurgical Units, Monopolar/Bipolar</v>
      </c>
      <c r="FTW92" s="165" t="s">
        <v>945</v>
      </c>
      <c r="FTX92" s="166" t="str">
        <f>VLOOKUP(FTW92,[13]AssetDetails_UEM!$A$3:$AH$1849,6,FALSE)</f>
        <v>Electrosurgical Units, Monopolar/Bipolar</v>
      </c>
      <c r="FTY92" s="165" t="s">
        <v>945</v>
      </c>
      <c r="FTZ92" s="166" t="str">
        <f>VLOOKUP(FTY92,[13]AssetDetails_UEM!$A$3:$AH$1849,6,FALSE)</f>
        <v>Electrosurgical Units, Monopolar/Bipolar</v>
      </c>
      <c r="FUA92" s="165" t="s">
        <v>945</v>
      </c>
      <c r="FUB92" s="166" t="str">
        <f>VLOOKUP(FUA92,[13]AssetDetails_UEM!$A$3:$AH$1849,6,FALSE)</f>
        <v>Electrosurgical Units, Monopolar/Bipolar</v>
      </c>
      <c r="FUC92" s="165" t="s">
        <v>945</v>
      </c>
      <c r="FUD92" s="166" t="str">
        <f>VLOOKUP(FUC92,[13]AssetDetails_UEM!$A$3:$AH$1849,6,FALSE)</f>
        <v>Electrosurgical Units, Monopolar/Bipolar</v>
      </c>
      <c r="FUE92" s="165" t="s">
        <v>945</v>
      </c>
      <c r="FUF92" s="166" t="str">
        <f>VLOOKUP(FUE92,[13]AssetDetails_UEM!$A$3:$AH$1849,6,FALSE)</f>
        <v>Electrosurgical Units, Monopolar/Bipolar</v>
      </c>
      <c r="FUG92" s="165" t="s">
        <v>945</v>
      </c>
      <c r="FUH92" s="166" t="str">
        <f>VLOOKUP(FUG92,[13]AssetDetails_UEM!$A$3:$AH$1849,6,FALSE)</f>
        <v>Electrosurgical Units, Monopolar/Bipolar</v>
      </c>
      <c r="FUI92" s="165" t="s">
        <v>945</v>
      </c>
      <c r="FUJ92" s="166" t="str">
        <f>VLOOKUP(FUI92,[13]AssetDetails_UEM!$A$3:$AH$1849,6,FALSE)</f>
        <v>Electrosurgical Units, Monopolar/Bipolar</v>
      </c>
      <c r="FUK92" s="165" t="s">
        <v>945</v>
      </c>
      <c r="FUL92" s="166" t="str">
        <f>VLOOKUP(FUK92,[13]AssetDetails_UEM!$A$3:$AH$1849,6,FALSE)</f>
        <v>Electrosurgical Units, Monopolar/Bipolar</v>
      </c>
      <c r="FUM92" s="165" t="s">
        <v>945</v>
      </c>
      <c r="FUN92" s="166" t="str">
        <f>VLOOKUP(FUM92,[13]AssetDetails_UEM!$A$3:$AH$1849,6,FALSE)</f>
        <v>Electrosurgical Units, Monopolar/Bipolar</v>
      </c>
      <c r="FUO92" s="165" t="s">
        <v>945</v>
      </c>
      <c r="FUP92" s="166" t="str">
        <f>VLOOKUP(FUO92,[13]AssetDetails_UEM!$A$3:$AH$1849,6,FALSE)</f>
        <v>Electrosurgical Units, Monopolar/Bipolar</v>
      </c>
      <c r="FUQ92" s="165" t="s">
        <v>945</v>
      </c>
      <c r="FUR92" s="166" t="str">
        <f>VLOOKUP(FUQ92,[13]AssetDetails_UEM!$A$3:$AH$1849,6,FALSE)</f>
        <v>Electrosurgical Units, Monopolar/Bipolar</v>
      </c>
      <c r="FUS92" s="165" t="s">
        <v>945</v>
      </c>
      <c r="FUT92" s="166" t="str">
        <f>VLOOKUP(FUS92,[13]AssetDetails_UEM!$A$3:$AH$1849,6,FALSE)</f>
        <v>Electrosurgical Units, Monopolar/Bipolar</v>
      </c>
      <c r="FUU92" s="165" t="s">
        <v>945</v>
      </c>
      <c r="FUV92" s="166" t="str">
        <f>VLOOKUP(FUU92,[13]AssetDetails_UEM!$A$3:$AH$1849,6,FALSE)</f>
        <v>Electrosurgical Units, Monopolar/Bipolar</v>
      </c>
      <c r="FUW92" s="165" t="s">
        <v>945</v>
      </c>
      <c r="FUX92" s="166" t="str">
        <f>VLOOKUP(FUW92,[13]AssetDetails_UEM!$A$3:$AH$1849,6,FALSE)</f>
        <v>Electrosurgical Units, Monopolar/Bipolar</v>
      </c>
      <c r="FUY92" s="165" t="s">
        <v>945</v>
      </c>
      <c r="FUZ92" s="166" t="str">
        <f>VLOOKUP(FUY92,[13]AssetDetails_UEM!$A$3:$AH$1849,6,FALSE)</f>
        <v>Electrosurgical Units, Monopolar/Bipolar</v>
      </c>
      <c r="FVA92" s="165" t="s">
        <v>945</v>
      </c>
      <c r="FVB92" s="166" t="str">
        <f>VLOOKUP(FVA92,[13]AssetDetails_UEM!$A$3:$AH$1849,6,FALSE)</f>
        <v>Electrosurgical Units, Monopolar/Bipolar</v>
      </c>
      <c r="FVC92" s="165" t="s">
        <v>945</v>
      </c>
      <c r="FVD92" s="166" t="str">
        <f>VLOOKUP(FVC92,[13]AssetDetails_UEM!$A$3:$AH$1849,6,FALSE)</f>
        <v>Electrosurgical Units, Monopolar/Bipolar</v>
      </c>
      <c r="FVE92" s="165" t="s">
        <v>945</v>
      </c>
      <c r="FVF92" s="166" t="str">
        <f>VLOOKUP(FVE92,[13]AssetDetails_UEM!$A$3:$AH$1849,6,FALSE)</f>
        <v>Electrosurgical Units, Monopolar/Bipolar</v>
      </c>
      <c r="FVG92" s="165" t="s">
        <v>945</v>
      </c>
      <c r="FVH92" s="166" t="str">
        <f>VLOOKUP(FVG92,[13]AssetDetails_UEM!$A$3:$AH$1849,6,FALSE)</f>
        <v>Electrosurgical Units, Monopolar/Bipolar</v>
      </c>
      <c r="FVI92" s="165" t="s">
        <v>945</v>
      </c>
      <c r="FVJ92" s="166" t="str">
        <f>VLOOKUP(FVI92,[13]AssetDetails_UEM!$A$3:$AH$1849,6,FALSE)</f>
        <v>Electrosurgical Units, Monopolar/Bipolar</v>
      </c>
      <c r="FVK92" s="165" t="s">
        <v>945</v>
      </c>
      <c r="FVL92" s="166" t="str">
        <f>VLOOKUP(FVK92,[13]AssetDetails_UEM!$A$3:$AH$1849,6,FALSE)</f>
        <v>Electrosurgical Units, Monopolar/Bipolar</v>
      </c>
      <c r="FVM92" s="165" t="s">
        <v>945</v>
      </c>
      <c r="FVN92" s="166" t="str">
        <f>VLOOKUP(FVM92,[13]AssetDetails_UEM!$A$3:$AH$1849,6,FALSE)</f>
        <v>Electrosurgical Units, Monopolar/Bipolar</v>
      </c>
      <c r="FVO92" s="165" t="s">
        <v>945</v>
      </c>
      <c r="FVP92" s="166" t="str">
        <f>VLOOKUP(FVO92,[13]AssetDetails_UEM!$A$3:$AH$1849,6,FALSE)</f>
        <v>Electrosurgical Units, Monopolar/Bipolar</v>
      </c>
      <c r="FVQ92" s="165" t="s">
        <v>945</v>
      </c>
      <c r="FVR92" s="166" t="str">
        <f>VLOOKUP(FVQ92,[13]AssetDetails_UEM!$A$3:$AH$1849,6,FALSE)</f>
        <v>Electrosurgical Units, Monopolar/Bipolar</v>
      </c>
      <c r="FVS92" s="165" t="s">
        <v>945</v>
      </c>
      <c r="FVT92" s="166" t="str">
        <f>VLOOKUP(FVS92,[13]AssetDetails_UEM!$A$3:$AH$1849,6,FALSE)</f>
        <v>Electrosurgical Units, Monopolar/Bipolar</v>
      </c>
      <c r="FVU92" s="165" t="s">
        <v>945</v>
      </c>
      <c r="FVV92" s="166" t="str">
        <f>VLOOKUP(FVU92,[13]AssetDetails_UEM!$A$3:$AH$1849,6,FALSE)</f>
        <v>Electrosurgical Units, Monopolar/Bipolar</v>
      </c>
      <c r="FVW92" s="165" t="s">
        <v>945</v>
      </c>
      <c r="FVX92" s="166" t="str">
        <f>VLOOKUP(FVW92,[13]AssetDetails_UEM!$A$3:$AH$1849,6,FALSE)</f>
        <v>Electrosurgical Units, Monopolar/Bipolar</v>
      </c>
      <c r="FVY92" s="165" t="s">
        <v>945</v>
      </c>
      <c r="FVZ92" s="166" t="str">
        <f>VLOOKUP(FVY92,[13]AssetDetails_UEM!$A$3:$AH$1849,6,FALSE)</f>
        <v>Electrosurgical Units, Monopolar/Bipolar</v>
      </c>
      <c r="FWA92" s="165" t="s">
        <v>945</v>
      </c>
      <c r="FWB92" s="166" t="str">
        <f>VLOOKUP(FWA92,[13]AssetDetails_UEM!$A$3:$AH$1849,6,FALSE)</f>
        <v>Electrosurgical Units, Monopolar/Bipolar</v>
      </c>
      <c r="FWC92" s="165" t="s">
        <v>945</v>
      </c>
      <c r="FWD92" s="166" t="str">
        <f>VLOOKUP(FWC92,[13]AssetDetails_UEM!$A$3:$AH$1849,6,FALSE)</f>
        <v>Electrosurgical Units, Monopolar/Bipolar</v>
      </c>
      <c r="FWE92" s="165" t="s">
        <v>945</v>
      </c>
      <c r="FWF92" s="166" t="str">
        <f>VLOOKUP(FWE92,[13]AssetDetails_UEM!$A$3:$AH$1849,6,FALSE)</f>
        <v>Electrosurgical Units, Monopolar/Bipolar</v>
      </c>
      <c r="FWG92" s="165" t="s">
        <v>945</v>
      </c>
      <c r="FWH92" s="166" t="str">
        <f>VLOOKUP(FWG92,[13]AssetDetails_UEM!$A$3:$AH$1849,6,FALSE)</f>
        <v>Electrosurgical Units, Monopolar/Bipolar</v>
      </c>
      <c r="FWI92" s="165" t="s">
        <v>945</v>
      </c>
      <c r="FWJ92" s="166" t="str">
        <f>VLOOKUP(FWI92,[13]AssetDetails_UEM!$A$3:$AH$1849,6,FALSE)</f>
        <v>Electrosurgical Units, Monopolar/Bipolar</v>
      </c>
      <c r="FWK92" s="165" t="s">
        <v>945</v>
      </c>
      <c r="FWL92" s="166" t="str">
        <f>VLOOKUP(FWK92,[13]AssetDetails_UEM!$A$3:$AH$1849,6,FALSE)</f>
        <v>Electrosurgical Units, Monopolar/Bipolar</v>
      </c>
      <c r="FWM92" s="165" t="s">
        <v>945</v>
      </c>
      <c r="FWN92" s="166" t="str">
        <f>VLOOKUP(FWM92,[13]AssetDetails_UEM!$A$3:$AH$1849,6,FALSE)</f>
        <v>Electrosurgical Units, Monopolar/Bipolar</v>
      </c>
      <c r="FWO92" s="165" t="s">
        <v>945</v>
      </c>
      <c r="FWP92" s="166" t="str">
        <f>VLOOKUP(FWO92,[13]AssetDetails_UEM!$A$3:$AH$1849,6,FALSE)</f>
        <v>Electrosurgical Units, Monopolar/Bipolar</v>
      </c>
      <c r="FWQ92" s="165" t="s">
        <v>945</v>
      </c>
      <c r="FWR92" s="166" t="str">
        <f>VLOOKUP(FWQ92,[13]AssetDetails_UEM!$A$3:$AH$1849,6,FALSE)</f>
        <v>Electrosurgical Units, Monopolar/Bipolar</v>
      </c>
      <c r="FWS92" s="165" t="s">
        <v>945</v>
      </c>
      <c r="FWT92" s="166" t="str">
        <f>VLOOKUP(FWS92,[13]AssetDetails_UEM!$A$3:$AH$1849,6,FALSE)</f>
        <v>Electrosurgical Units, Monopolar/Bipolar</v>
      </c>
      <c r="FWU92" s="165" t="s">
        <v>945</v>
      </c>
      <c r="FWV92" s="166" t="str">
        <f>VLOOKUP(FWU92,[13]AssetDetails_UEM!$A$3:$AH$1849,6,FALSE)</f>
        <v>Electrosurgical Units, Monopolar/Bipolar</v>
      </c>
      <c r="FWW92" s="165" t="s">
        <v>945</v>
      </c>
      <c r="FWX92" s="166" t="str">
        <f>VLOOKUP(FWW92,[13]AssetDetails_UEM!$A$3:$AH$1849,6,FALSE)</f>
        <v>Electrosurgical Units, Monopolar/Bipolar</v>
      </c>
      <c r="FWY92" s="165" t="s">
        <v>945</v>
      </c>
      <c r="FWZ92" s="166" t="str">
        <f>VLOOKUP(FWY92,[13]AssetDetails_UEM!$A$3:$AH$1849,6,FALSE)</f>
        <v>Electrosurgical Units, Monopolar/Bipolar</v>
      </c>
      <c r="FXA92" s="165" t="s">
        <v>945</v>
      </c>
      <c r="FXB92" s="166" t="str">
        <f>VLOOKUP(FXA92,[13]AssetDetails_UEM!$A$3:$AH$1849,6,FALSE)</f>
        <v>Electrosurgical Units, Monopolar/Bipolar</v>
      </c>
      <c r="FXC92" s="165" t="s">
        <v>945</v>
      </c>
      <c r="FXD92" s="166" t="str">
        <f>VLOOKUP(FXC92,[13]AssetDetails_UEM!$A$3:$AH$1849,6,FALSE)</f>
        <v>Electrosurgical Units, Monopolar/Bipolar</v>
      </c>
      <c r="FXE92" s="165" t="s">
        <v>945</v>
      </c>
      <c r="FXF92" s="166" t="str">
        <f>VLOOKUP(FXE92,[13]AssetDetails_UEM!$A$3:$AH$1849,6,FALSE)</f>
        <v>Electrosurgical Units, Monopolar/Bipolar</v>
      </c>
      <c r="FXG92" s="165" t="s">
        <v>945</v>
      </c>
      <c r="FXH92" s="166" t="str">
        <f>VLOOKUP(FXG92,[13]AssetDetails_UEM!$A$3:$AH$1849,6,FALSE)</f>
        <v>Electrosurgical Units, Monopolar/Bipolar</v>
      </c>
      <c r="FXI92" s="165" t="s">
        <v>945</v>
      </c>
      <c r="FXJ92" s="166" t="str">
        <f>VLOOKUP(FXI92,[13]AssetDetails_UEM!$A$3:$AH$1849,6,FALSE)</f>
        <v>Electrosurgical Units, Monopolar/Bipolar</v>
      </c>
      <c r="FXK92" s="165" t="s">
        <v>945</v>
      </c>
      <c r="FXL92" s="166" t="str">
        <f>VLOOKUP(FXK92,[13]AssetDetails_UEM!$A$3:$AH$1849,6,FALSE)</f>
        <v>Electrosurgical Units, Monopolar/Bipolar</v>
      </c>
      <c r="FXM92" s="165" t="s">
        <v>945</v>
      </c>
      <c r="FXN92" s="166" t="str">
        <f>VLOOKUP(FXM92,[13]AssetDetails_UEM!$A$3:$AH$1849,6,FALSE)</f>
        <v>Electrosurgical Units, Monopolar/Bipolar</v>
      </c>
      <c r="FXO92" s="165" t="s">
        <v>945</v>
      </c>
      <c r="FXP92" s="166" t="str">
        <f>VLOOKUP(FXO92,[13]AssetDetails_UEM!$A$3:$AH$1849,6,FALSE)</f>
        <v>Electrosurgical Units, Monopolar/Bipolar</v>
      </c>
      <c r="FXQ92" s="165" t="s">
        <v>945</v>
      </c>
      <c r="FXR92" s="166" t="str">
        <f>VLOOKUP(FXQ92,[13]AssetDetails_UEM!$A$3:$AH$1849,6,FALSE)</f>
        <v>Electrosurgical Units, Monopolar/Bipolar</v>
      </c>
      <c r="FXS92" s="165" t="s">
        <v>945</v>
      </c>
      <c r="FXT92" s="166" t="str">
        <f>VLOOKUP(FXS92,[13]AssetDetails_UEM!$A$3:$AH$1849,6,FALSE)</f>
        <v>Electrosurgical Units, Monopolar/Bipolar</v>
      </c>
      <c r="FXU92" s="165" t="s">
        <v>945</v>
      </c>
      <c r="FXV92" s="166" t="str">
        <f>VLOOKUP(FXU92,[13]AssetDetails_UEM!$A$3:$AH$1849,6,FALSE)</f>
        <v>Electrosurgical Units, Monopolar/Bipolar</v>
      </c>
      <c r="FXW92" s="165" t="s">
        <v>945</v>
      </c>
      <c r="FXX92" s="166" t="str">
        <f>VLOOKUP(FXW92,[13]AssetDetails_UEM!$A$3:$AH$1849,6,FALSE)</f>
        <v>Electrosurgical Units, Monopolar/Bipolar</v>
      </c>
      <c r="FXY92" s="165" t="s">
        <v>945</v>
      </c>
      <c r="FXZ92" s="166" t="str">
        <f>VLOOKUP(FXY92,[13]AssetDetails_UEM!$A$3:$AH$1849,6,FALSE)</f>
        <v>Electrosurgical Units, Monopolar/Bipolar</v>
      </c>
      <c r="FYA92" s="165" t="s">
        <v>945</v>
      </c>
      <c r="FYB92" s="166" t="str">
        <f>VLOOKUP(FYA92,[13]AssetDetails_UEM!$A$3:$AH$1849,6,FALSE)</f>
        <v>Electrosurgical Units, Monopolar/Bipolar</v>
      </c>
      <c r="FYC92" s="165" t="s">
        <v>945</v>
      </c>
      <c r="FYD92" s="166" t="str">
        <f>VLOOKUP(FYC92,[13]AssetDetails_UEM!$A$3:$AH$1849,6,FALSE)</f>
        <v>Electrosurgical Units, Monopolar/Bipolar</v>
      </c>
      <c r="FYE92" s="165" t="s">
        <v>945</v>
      </c>
      <c r="FYF92" s="166" t="str">
        <f>VLOOKUP(FYE92,[13]AssetDetails_UEM!$A$3:$AH$1849,6,FALSE)</f>
        <v>Electrosurgical Units, Monopolar/Bipolar</v>
      </c>
      <c r="FYG92" s="165" t="s">
        <v>945</v>
      </c>
      <c r="FYH92" s="166" t="str">
        <f>VLOOKUP(FYG92,[13]AssetDetails_UEM!$A$3:$AH$1849,6,FALSE)</f>
        <v>Electrosurgical Units, Monopolar/Bipolar</v>
      </c>
      <c r="FYI92" s="165" t="s">
        <v>945</v>
      </c>
      <c r="FYJ92" s="166" t="str">
        <f>VLOOKUP(FYI92,[13]AssetDetails_UEM!$A$3:$AH$1849,6,FALSE)</f>
        <v>Electrosurgical Units, Monopolar/Bipolar</v>
      </c>
      <c r="FYK92" s="165" t="s">
        <v>945</v>
      </c>
      <c r="FYL92" s="166" t="str">
        <f>VLOOKUP(FYK92,[13]AssetDetails_UEM!$A$3:$AH$1849,6,FALSE)</f>
        <v>Electrosurgical Units, Monopolar/Bipolar</v>
      </c>
      <c r="FYM92" s="165" t="s">
        <v>945</v>
      </c>
      <c r="FYN92" s="166" t="str">
        <f>VLOOKUP(FYM92,[13]AssetDetails_UEM!$A$3:$AH$1849,6,FALSE)</f>
        <v>Electrosurgical Units, Monopolar/Bipolar</v>
      </c>
      <c r="FYO92" s="165" t="s">
        <v>945</v>
      </c>
      <c r="FYP92" s="166" t="str">
        <f>VLOOKUP(FYO92,[13]AssetDetails_UEM!$A$3:$AH$1849,6,FALSE)</f>
        <v>Electrosurgical Units, Monopolar/Bipolar</v>
      </c>
      <c r="FYQ92" s="165" t="s">
        <v>945</v>
      </c>
      <c r="FYR92" s="166" t="str">
        <f>VLOOKUP(FYQ92,[13]AssetDetails_UEM!$A$3:$AH$1849,6,FALSE)</f>
        <v>Electrosurgical Units, Monopolar/Bipolar</v>
      </c>
      <c r="FYS92" s="165" t="s">
        <v>945</v>
      </c>
      <c r="FYT92" s="166" t="str">
        <f>VLOOKUP(FYS92,[13]AssetDetails_UEM!$A$3:$AH$1849,6,FALSE)</f>
        <v>Electrosurgical Units, Monopolar/Bipolar</v>
      </c>
      <c r="FYU92" s="165" t="s">
        <v>945</v>
      </c>
      <c r="FYV92" s="166" t="str">
        <f>VLOOKUP(FYU92,[13]AssetDetails_UEM!$A$3:$AH$1849,6,FALSE)</f>
        <v>Electrosurgical Units, Monopolar/Bipolar</v>
      </c>
      <c r="FYW92" s="165" t="s">
        <v>945</v>
      </c>
      <c r="FYX92" s="166" t="str">
        <f>VLOOKUP(FYW92,[13]AssetDetails_UEM!$A$3:$AH$1849,6,FALSE)</f>
        <v>Electrosurgical Units, Monopolar/Bipolar</v>
      </c>
      <c r="FYY92" s="165" t="s">
        <v>945</v>
      </c>
      <c r="FYZ92" s="166" t="str">
        <f>VLOOKUP(FYY92,[13]AssetDetails_UEM!$A$3:$AH$1849,6,FALSE)</f>
        <v>Electrosurgical Units, Monopolar/Bipolar</v>
      </c>
      <c r="FZA92" s="165" t="s">
        <v>945</v>
      </c>
      <c r="FZB92" s="166" t="str">
        <f>VLOOKUP(FZA92,[13]AssetDetails_UEM!$A$3:$AH$1849,6,FALSE)</f>
        <v>Electrosurgical Units, Monopolar/Bipolar</v>
      </c>
      <c r="FZC92" s="165" t="s">
        <v>945</v>
      </c>
      <c r="FZD92" s="166" t="str">
        <f>VLOOKUP(FZC92,[13]AssetDetails_UEM!$A$3:$AH$1849,6,FALSE)</f>
        <v>Electrosurgical Units, Monopolar/Bipolar</v>
      </c>
      <c r="FZE92" s="165" t="s">
        <v>945</v>
      </c>
      <c r="FZF92" s="166" t="str">
        <f>VLOOKUP(FZE92,[13]AssetDetails_UEM!$A$3:$AH$1849,6,FALSE)</f>
        <v>Electrosurgical Units, Monopolar/Bipolar</v>
      </c>
      <c r="FZG92" s="165" t="s">
        <v>945</v>
      </c>
      <c r="FZH92" s="166" t="str">
        <f>VLOOKUP(FZG92,[13]AssetDetails_UEM!$A$3:$AH$1849,6,FALSE)</f>
        <v>Electrosurgical Units, Monopolar/Bipolar</v>
      </c>
      <c r="FZI92" s="165" t="s">
        <v>945</v>
      </c>
      <c r="FZJ92" s="166" t="str">
        <f>VLOOKUP(FZI92,[13]AssetDetails_UEM!$A$3:$AH$1849,6,FALSE)</f>
        <v>Electrosurgical Units, Monopolar/Bipolar</v>
      </c>
      <c r="FZK92" s="165" t="s">
        <v>945</v>
      </c>
      <c r="FZL92" s="166" t="str">
        <f>VLOOKUP(FZK92,[13]AssetDetails_UEM!$A$3:$AH$1849,6,FALSE)</f>
        <v>Electrosurgical Units, Monopolar/Bipolar</v>
      </c>
      <c r="FZM92" s="165" t="s">
        <v>945</v>
      </c>
      <c r="FZN92" s="166" t="str">
        <f>VLOOKUP(FZM92,[13]AssetDetails_UEM!$A$3:$AH$1849,6,FALSE)</f>
        <v>Electrosurgical Units, Monopolar/Bipolar</v>
      </c>
      <c r="FZO92" s="165" t="s">
        <v>945</v>
      </c>
      <c r="FZP92" s="166" t="str">
        <f>VLOOKUP(FZO92,[13]AssetDetails_UEM!$A$3:$AH$1849,6,FALSE)</f>
        <v>Electrosurgical Units, Monopolar/Bipolar</v>
      </c>
      <c r="FZQ92" s="165" t="s">
        <v>945</v>
      </c>
      <c r="FZR92" s="166" t="str">
        <f>VLOOKUP(FZQ92,[13]AssetDetails_UEM!$A$3:$AH$1849,6,FALSE)</f>
        <v>Electrosurgical Units, Monopolar/Bipolar</v>
      </c>
      <c r="FZS92" s="165" t="s">
        <v>945</v>
      </c>
      <c r="FZT92" s="166" t="str">
        <f>VLOOKUP(FZS92,[13]AssetDetails_UEM!$A$3:$AH$1849,6,FALSE)</f>
        <v>Electrosurgical Units, Monopolar/Bipolar</v>
      </c>
      <c r="FZU92" s="165" t="s">
        <v>945</v>
      </c>
      <c r="FZV92" s="166" t="str">
        <f>VLOOKUP(FZU92,[13]AssetDetails_UEM!$A$3:$AH$1849,6,FALSE)</f>
        <v>Electrosurgical Units, Monopolar/Bipolar</v>
      </c>
      <c r="FZW92" s="165" t="s">
        <v>945</v>
      </c>
      <c r="FZX92" s="166" t="str">
        <f>VLOOKUP(FZW92,[13]AssetDetails_UEM!$A$3:$AH$1849,6,FALSE)</f>
        <v>Electrosurgical Units, Monopolar/Bipolar</v>
      </c>
      <c r="FZY92" s="165" t="s">
        <v>945</v>
      </c>
      <c r="FZZ92" s="166" t="str">
        <f>VLOOKUP(FZY92,[13]AssetDetails_UEM!$A$3:$AH$1849,6,FALSE)</f>
        <v>Electrosurgical Units, Monopolar/Bipolar</v>
      </c>
      <c r="GAA92" s="165" t="s">
        <v>945</v>
      </c>
      <c r="GAB92" s="166" t="str">
        <f>VLOOKUP(GAA92,[13]AssetDetails_UEM!$A$3:$AH$1849,6,FALSE)</f>
        <v>Electrosurgical Units, Monopolar/Bipolar</v>
      </c>
      <c r="GAC92" s="165" t="s">
        <v>945</v>
      </c>
      <c r="GAD92" s="166" t="str">
        <f>VLOOKUP(GAC92,[13]AssetDetails_UEM!$A$3:$AH$1849,6,FALSE)</f>
        <v>Electrosurgical Units, Monopolar/Bipolar</v>
      </c>
      <c r="GAE92" s="165" t="s">
        <v>945</v>
      </c>
      <c r="GAF92" s="166" t="str">
        <f>VLOOKUP(GAE92,[13]AssetDetails_UEM!$A$3:$AH$1849,6,FALSE)</f>
        <v>Electrosurgical Units, Monopolar/Bipolar</v>
      </c>
      <c r="GAG92" s="165" t="s">
        <v>945</v>
      </c>
      <c r="GAH92" s="166" t="str">
        <f>VLOOKUP(GAG92,[13]AssetDetails_UEM!$A$3:$AH$1849,6,FALSE)</f>
        <v>Electrosurgical Units, Monopolar/Bipolar</v>
      </c>
      <c r="GAI92" s="165" t="s">
        <v>945</v>
      </c>
      <c r="GAJ92" s="166" t="str">
        <f>VLOOKUP(GAI92,[13]AssetDetails_UEM!$A$3:$AH$1849,6,FALSE)</f>
        <v>Electrosurgical Units, Monopolar/Bipolar</v>
      </c>
      <c r="GAK92" s="165" t="s">
        <v>945</v>
      </c>
      <c r="GAL92" s="166" t="str">
        <f>VLOOKUP(GAK92,[13]AssetDetails_UEM!$A$3:$AH$1849,6,FALSE)</f>
        <v>Electrosurgical Units, Monopolar/Bipolar</v>
      </c>
      <c r="GAM92" s="165" t="s">
        <v>945</v>
      </c>
      <c r="GAN92" s="166" t="str">
        <f>VLOOKUP(GAM92,[13]AssetDetails_UEM!$A$3:$AH$1849,6,FALSE)</f>
        <v>Electrosurgical Units, Monopolar/Bipolar</v>
      </c>
      <c r="GAO92" s="165" t="s">
        <v>945</v>
      </c>
      <c r="GAP92" s="166" t="str">
        <f>VLOOKUP(GAO92,[13]AssetDetails_UEM!$A$3:$AH$1849,6,FALSE)</f>
        <v>Electrosurgical Units, Monopolar/Bipolar</v>
      </c>
      <c r="GAQ92" s="165" t="s">
        <v>945</v>
      </c>
      <c r="GAR92" s="166" t="str">
        <f>VLOOKUP(GAQ92,[13]AssetDetails_UEM!$A$3:$AH$1849,6,FALSE)</f>
        <v>Electrosurgical Units, Monopolar/Bipolar</v>
      </c>
      <c r="GAS92" s="165" t="s">
        <v>945</v>
      </c>
      <c r="GAT92" s="166" t="str">
        <f>VLOOKUP(GAS92,[13]AssetDetails_UEM!$A$3:$AH$1849,6,FALSE)</f>
        <v>Electrosurgical Units, Monopolar/Bipolar</v>
      </c>
      <c r="GAU92" s="165" t="s">
        <v>945</v>
      </c>
      <c r="GAV92" s="166" t="str">
        <f>VLOOKUP(GAU92,[13]AssetDetails_UEM!$A$3:$AH$1849,6,FALSE)</f>
        <v>Electrosurgical Units, Monopolar/Bipolar</v>
      </c>
      <c r="GAW92" s="165" t="s">
        <v>945</v>
      </c>
      <c r="GAX92" s="166" t="str">
        <f>VLOOKUP(GAW92,[13]AssetDetails_UEM!$A$3:$AH$1849,6,FALSE)</f>
        <v>Electrosurgical Units, Monopolar/Bipolar</v>
      </c>
      <c r="GAY92" s="165" t="s">
        <v>945</v>
      </c>
      <c r="GAZ92" s="166" t="str">
        <f>VLOOKUP(GAY92,[13]AssetDetails_UEM!$A$3:$AH$1849,6,FALSE)</f>
        <v>Electrosurgical Units, Monopolar/Bipolar</v>
      </c>
      <c r="GBA92" s="165" t="s">
        <v>945</v>
      </c>
      <c r="GBB92" s="166" t="str">
        <f>VLOOKUP(GBA92,[13]AssetDetails_UEM!$A$3:$AH$1849,6,FALSE)</f>
        <v>Electrosurgical Units, Monopolar/Bipolar</v>
      </c>
      <c r="GBC92" s="165" t="s">
        <v>945</v>
      </c>
      <c r="GBD92" s="166" t="str">
        <f>VLOOKUP(GBC92,[13]AssetDetails_UEM!$A$3:$AH$1849,6,FALSE)</f>
        <v>Electrosurgical Units, Monopolar/Bipolar</v>
      </c>
      <c r="GBE92" s="165" t="s">
        <v>945</v>
      </c>
      <c r="GBF92" s="166" t="str">
        <f>VLOOKUP(GBE92,[13]AssetDetails_UEM!$A$3:$AH$1849,6,FALSE)</f>
        <v>Electrosurgical Units, Monopolar/Bipolar</v>
      </c>
      <c r="GBG92" s="165" t="s">
        <v>945</v>
      </c>
      <c r="GBH92" s="166" t="str">
        <f>VLOOKUP(GBG92,[13]AssetDetails_UEM!$A$3:$AH$1849,6,FALSE)</f>
        <v>Electrosurgical Units, Monopolar/Bipolar</v>
      </c>
      <c r="GBI92" s="165" t="s">
        <v>945</v>
      </c>
      <c r="GBJ92" s="166" t="str">
        <f>VLOOKUP(GBI92,[13]AssetDetails_UEM!$A$3:$AH$1849,6,FALSE)</f>
        <v>Electrosurgical Units, Monopolar/Bipolar</v>
      </c>
      <c r="GBK92" s="165" t="s">
        <v>945</v>
      </c>
      <c r="GBL92" s="166" t="str">
        <f>VLOOKUP(GBK92,[13]AssetDetails_UEM!$A$3:$AH$1849,6,FALSE)</f>
        <v>Electrosurgical Units, Monopolar/Bipolar</v>
      </c>
      <c r="GBM92" s="165" t="s">
        <v>945</v>
      </c>
      <c r="GBN92" s="166" t="str">
        <f>VLOOKUP(GBM92,[13]AssetDetails_UEM!$A$3:$AH$1849,6,FALSE)</f>
        <v>Electrosurgical Units, Monopolar/Bipolar</v>
      </c>
      <c r="GBO92" s="165" t="s">
        <v>945</v>
      </c>
      <c r="GBP92" s="166" t="str">
        <f>VLOOKUP(GBO92,[13]AssetDetails_UEM!$A$3:$AH$1849,6,FALSE)</f>
        <v>Electrosurgical Units, Monopolar/Bipolar</v>
      </c>
      <c r="GBQ92" s="165" t="s">
        <v>945</v>
      </c>
      <c r="GBR92" s="166" t="str">
        <f>VLOOKUP(GBQ92,[13]AssetDetails_UEM!$A$3:$AH$1849,6,FALSE)</f>
        <v>Electrosurgical Units, Monopolar/Bipolar</v>
      </c>
      <c r="GBS92" s="165" t="s">
        <v>945</v>
      </c>
      <c r="GBT92" s="166" t="str">
        <f>VLOOKUP(GBS92,[13]AssetDetails_UEM!$A$3:$AH$1849,6,FALSE)</f>
        <v>Electrosurgical Units, Monopolar/Bipolar</v>
      </c>
      <c r="GBU92" s="165" t="s">
        <v>945</v>
      </c>
      <c r="GBV92" s="166" t="str">
        <f>VLOOKUP(GBU92,[13]AssetDetails_UEM!$A$3:$AH$1849,6,FALSE)</f>
        <v>Electrosurgical Units, Monopolar/Bipolar</v>
      </c>
      <c r="GBW92" s="165" t="s">
        <v>945</v>
      </c>
      <c r="GBX92" s="166" t="str">
        <f>VLOOKUP(GBW92,[13]AssetDetails_UEM!$A$3:$AH$1849,6,FALSE)</f>
        <v>Electrosurgical Units, Monopolar/Bipolar</v>
      </c>
      <c r="GBY92" s="165" t="s">
        <v>945</v>
      </c>
      <c r="GBZ92" s="166" t="str">
        <f>VLOOKUP(GBY92,[13]AssetDetails_UEM!$A$3:$AH$1849,6,FALSE)</f>
        <v>Electrosurgical Units, Monopolar/Bipolar</v>
      </c>
      <c r="GCA92" s="165" t="s">
        <v>945</v>
      </c>
      <c r="GCB92" s="166" t="str">
        <f>VLOOKUP(GCA92,[13]AssetDetails_UEM!$A$3:$AH$1849,6,FALSE)</f>
        <v>Electrosurgical Units, Monopolar/Bipolar</v>
      </c>
      <c r="GCC92" s="165" t="s">
        <v>945</v>
      </c>
      <c r="GCD92" s="166" t="str">
        <f>VLOOKUP(GCC92,[13]AssetDetails_UEM!$A$3:$AH$1849,6,FALSE)</f>
        <v>Electrosurgical Units, Monopolar/Bipolar</v>
      </c>
      <c r="GCE92" s="165" t="s">
        <v>945</v>
      </c>
      <c r="GCF92" s="166" t="str">
        <f>VLOOKUP(GCE92,[13]AssetDetails_UEM!$A$3:$AH$1849,6,FALSE)</f>
        <v>Electrosurgical Units, Monopolar/Bipolar</v>
      </c>
      <c r="GCG92" s="165" t="s">
        <v>945</v>
      </c>
      <c r="GCH92" s="166" t="str">
        <f>VLOOKUP(GCG92,[13]AssetDetails_UEM!$A$3:$AH$1849,6,FALSE)</f>
        <v>Electrosurgical Units, Monopolar/Bipolar</v>
      </c>
      <c r="GCI92" s="165" t="s">
        <v>945</v>
      </c>
      <c r="GCJ92" s="166" t="str">
        <f>VLOOKUP(GCI92,[13]AssetDetails_UEM!$A$3:$AH$1849,6,FALSE)</f>
        <v>Electrosurgical Units, Monopolar/Bipolar</v>
      </c>
      <c r="GCK92" s="165" t="s">
        <v>945</v>
      </c>
      <c r="GCL92" s="166" t="str">
        <f>VLOOKUP(GCK92,[13]AssetDetails_UEM!$A$3:$AH$1849,6,FALSE)</f>
        <v>Electrosurgical Units, Monopolar/Bipolar</v>
      </c>
      <c r="GCM92" s="165" t="s">
        <v>945</v>
      </c>
      <c r="GCN92" s="166" t="str">
        <f>VLOOKUP(GCM92,[13]AssetDetails_UEM!$A$3:$AH$1849,6,FALSE)</f>
        <v>Electrosurgical Units, Monopolar/Bipolar</v>
      </c>
      <c r="GCO92" s="165" t="s">
        <v>945</v>
      </c>
      <c r="GCP92" s="166" t="str">
        <f>VLOOKUP(GCO92,[13]AssetDetails_UEM!$A$3:$AH$1849,6,FALSE)</f>
        <v>Electrosurgical Units, Monopolar/Bipolar</v>
      </c>
      <c r="GCQ92" s="165" t="s">
        <v>945</v>
      </c>
      <c r="GCR92" s="166" t="str">
        <f>VLOOKUP(GCQ92,[13]AssetDetails_UEM!$A$3:$AH$1849,6,FALSE)</f>
        <v>Electrosurgical Units, Monopolar/Bipolar</v>
      </c>
      <c r="GCS92" s="165" t="s">
        <v>945</v>
      </c>
      <c r="GCT92" s="166" t="str">
        <f>VLOOKUP(GCS92,[13]AssetDetails_UEM!$A$3:$AH$1849,6,FALSE)</f>
        <v>Electrosurgical Units, Monopolar/Bipolar</v>
      </c>
      <c r="GCU92" s="165" t="s">
        <v>945</v>
      </c>
      <c r="GCV92" s="166" t="str">
        <f>VLOOKUP(GCU92,[13]AssetDetails_UEM!$A$3:$AH$1849,6,FALSE)</f>
        <v>Electrosurgical Units, Monopolar/Bipolar</v>
      </c>
      <c r="GCW92" s="165" t="s">
        <v>945</v>
      </c>
      <c r="GCX92" s="166" t="str">
        <f>VLOOKUP(GCW92,[13]AssetDetails_UEM!$A$3:$AH$1849,6,FALSE)</f>
        <v>Electrosurgical Units, Monopolar/Bipolar</v>
      </c>
      <c r="GCY92" s="165" t="s">
        <v>945</v>
      </c>
      <c r="GCZ92" s="166" t="str">
        <f>VLOOKUP(GCY92,[13]AssetDetails_UEM!$A$3:$AH$1849,6,FALSE)</f>
        <v>Electrosurgical Units, Monopolar/Bipolar</v>
      </c>
      <c r="GDA92" s="165" t="s">
        <v>945</v>
      </c>
      <c r="GDB92" s="166" t="str">
        <f>VLOOKUP(GDA92,[13]AssetDetails_UEM!$A$3:$AH$1849,6,FALSE)</f>
        <v>Electrosurgical Units, Monopolar/Bipolar</v>
      </c>
      <c r="GDC92" s="165" t="s">
        <v>945</v>
      </c>
      <c r="GDD92" s="166" t="str">
        <f>VLOOKUP(GDC92,[13]AssetDetails_UEM!$A$3:$AH$1849,6,FALSE)</f>
        <v>Electrosurgical Units, Monopolar/Bipolar</v>
      </c>
      <c r="GDE92" s="165" t="s">
        <v>945</v>
      </c>
      <c r="GDF92" s="166" t="str">
        <f>VLOOKUP(GDE92,[13]AssetDetails_UEM!$A$3:$AH$1849,6,FALSE)</f>
        <v>Electrosurgical Units, Monopolar/Bipolar</v>
      </c>
      <c r="GDG92" s="165" t="s">
        <v>945</v>
      </c>
      <c r="GDH92" s="166" t="str">
        <f>VLOOKUP(GDG92,[13]AssetDetails_UEM!$A$3:$AH$1849,6,FALSE)</f>
        <v>Electrosurgical Units, Monopolar/Bipolar</v>
      </c>
      <c r="GDI92" s="165" t="s">
        <v>945</v>
      </c>
      <c r="GDJ92" s="166" t="str">
        <f>VLOOKUP(GDI92,[13]AssetDetails_UEM!$A$3:$AH$1849,6,FALSE)</f>
        <v>Electrosurgical Units, Monopolar/Bipolar</v>
      </c>
      <c r="GDK92" s="165" t="s">
        <v>945</v>
      </c>
      <c r="GDL92" s="166" t="str">
        <f>VLOOKUP(GDK92,[13]AssetDetails_UEM!$A$3:$AH$1849,6,FALSE)</f>
        <v>Electrosurgical Units, Monopolar/Bipolar</v>
      </c>
      <c r="GDM92" s="165" t="s">
        <v>945</v>
      </c>
      <c r="GDN92" s="166" t="str">
        <f>VLOOKUP(GDM92,[13]AssetDetails_UEM!$A$3:$AH$1849,6,FALSE)</f>
        <v>Electrosurgical Units, Monopolar/Bipolar</v>
      </c>
      <c r="GDO92" s="165" t="s">
        <v>945</v>
      </c>
      <c r="GDP92" s="166" t="str">
        <f>VLOOKUP(GDO92,[13]AssetDetails_UEM!$A$3:$AH$1849,6,FALSE)</f>
        <v>Electrosurgical Units, Monopolar/Bipolar</v>
      </c>
      <c r="GDQ92" s="165" t="s">
        <v>945</v>
      </c>
      <c r="GDR92" s="166" t="str">
        <f>VLOOKUP(GDQ92,[13]AssetDetails_UEM!$A$3:$AH$1849,6,FALSE)</f>
        <v>Electrosurgical Units, Monopolar/Bipolar</v>
      </c>
      <c r="GDS92" s="165" t="s">
        <v>945</v>
      </c>
      <c r="GDT92" s="166" t="str">
        <f>VLOOKUP(GDS92,[13]AssetDetails_UEM!$A$3:$AH$1849,6,FALSE)</f>
        <v>Electrosurgical Units, Monopolar/Bipolar</v>
      </c>
      <c r="GDU92" s="165" t="s">
        <v>945</v>
      </c>
      <c r="GDV92" s="166" t="str">
        <f>VLOOKUP(GDU92,[13]AssetDetails_UEM!$A$3:$AH$1849,6,FALSE)</f>
        <v>Electrosurgical Units, Monopolar/Bipolar</v>
      </c>
      <c r="GDW92" s="165" t="s">
        <v>945</v>
      </c>
      <c r="GDX92" s="166" t="str">
        <f>VLOOKUP(GDW92,[13]AssetDetails_UEM!$A$3:$AH$1849,6,FALSE)</f>
        <v>Electrosurgical Units, Monopolar/Bipolar</v>
      </c>
      <c r="GDY92" s="165" t="s">
        <v>945</v>
      </c>
      <c r="GDZ92" s="166" t="str">
        <f>VLOOKUP(GDY92,[13]AssetDetails_UEM!$A$3:$AH$1849,6,FALSE)</f>
        <v>Electrosurgical Units, Monopolar/Bipolar</v>
      </c>
      <c r="GEA92" s="165" t="s">
        <v>945</v>
      </c>
      <c r="GEB92" s="166" t="str">
        <f>VLOOKUP(GEA92,[13]AssetDetails_UEM!$A$3:$AH$1849,6,FALSE)</f>
        <v>Electrosurgical Units, Monopolar/Bipolar</v>
      </c>
      <c r="GEC92" s="165" t="s">
        <v>945</v>
      </c>
      <c r="GED92" s="166" t="str">
        <f>VLOOKUP(GEC92,[13]AssetDetails_UEM!$A$3:$AH$1849,6,FALSE)</f>
        <v>Electrosurgical Units, Monopolar/Bipolar</v>
      </c>
      <c r="GEE92" s="165" t="s">
        <v>945</v>
      </c>
      <c r="GEF92" s="166" t="str">
        <f>VLOOKUP(GEE92,[13]AssetDetails_UEM!$A$3:$AH$1849,6,FALSE)</f>
        <v>Electrosurgical Units, Monopolar/Bipolar</v>
      </c>
      <c r="GEG92" s="165" t="s">
        <v>945</v>
      </c>
      <c r="GEH92" s="166" t="str">
        <f>VLOOKUP(GEG92,[13]AssetDetails_UEM!$A$3:$AH$1849,6,FALSE)</f>
        <v>Electrosurgical Units, Monopolar/Bipolar</v>
      </c>
      <c r="GEI92" s="165" t="s">
        <v>945</v>
      </c>
      <c r="GEJ92" s="166" t="str">
        <f>VLOOKUP(GEI92,[13]AssetDetails_UEM!$A$3:$AH$1849,6,FALSE)</f>
        <v>Electrosurgical Units, Monopolar/Bipolar</v>
      </c>
      <c r="GEK92" s="165" t="s">
        <v>945</v>
      </c>
      <c r="GEL92" s="166" t="str">
        <f>VLOOKUP(GEK92,[13]AssetDetails_UEM!$A$3:$AH$1849,6,FALSE)</f>
        <v>Electrosurgical Units, Monopolar/Bipolar</v>
      </c>
      <c r="GEM92" s="165" t="s">
        <v>945</v>
      </c>
      <c r="GEN92" s="166" t="str">
        <f>VLOOKUP(GEM92,[13]AssetDetails_UEM!$A$3:$AH$1849,6,FALSE)</f>
        <v>Electrosurgical Units, Monopolar/Bipolar</v>
      </c>
      <c r="GEO92" s="165" t="s">
        <v>945</v>
      </c>
      <c r="GEP92" s="166" t="str">
        <f>VLOOKUP(GEO92,[13]AssetDetails_UEM!$A$3:$AH$1849,6,FALSE)</f>
        <v>Electrosurgical Units, Monopolar/Bipolar</v>
      </c>
      <c r="GEQ92" s="165" t="s">
        <v>945</v>
      </c>
      <c r="GER92" s="166" t="str">
        <f>VLOOKUP(GEQ92,[13]AssetDetails_UEM!$A$3:$AH$1849,6,FALSE)</f>
        <v>Electrosurgical Units, Monopolar/Bipolar</v>
      </c>
      <c r="GES92" s="165" t="s">
        <v>945</v>
      </c>
      <c r="GET92" s="166" t="str">
        <f>VLOOKUP(GES92,[13]AssetDetails_UEM!$A$3:$AH$1849,6,FALSE)</f>
        <v>Electrosurgical Units, Monopolar/Bipolar</v>
      </c>
      <c r="GEU92" s="165" t="s">
        <v>945</v>
      </c>
      <c r="GEV92" s="166" t="str">
        <f>VLOOKUP(GEU92,[13]AssetDetails_UEM!$A$3:$AH$1849,6,FALSE)</f>
        <v>Electrosurgical Units, Monopolar/Bipolar</v>
      </c>
      <c r="GEW92" s="165" t="s">
        <v>945</v>
      </c>
      <c r="GEX92" s="166" t="str">
        <f>VLOOKUP(GEW92,[13]AssetDetails_UEM!$A$3:$AH$1849,6,FALSE)</f>
        <v>Electrosurgical Units, Monopolar/Bipolar</v>
      </c>
      <c r="GEY92" s="165" t="s">
        <v>945</v>
      </c>
      <c r="GEZ92" s="166" t="str">
        <f>VLOOKUP(GEY92,[13]AssetDetails_UEM!$A$3:$AH$1849,6,FALSE)</f>
        <v>Electrosurgical Units, Monopolar/Bipolar</v>
      </c>
      <c r="GFA92" s="165" t="s">
        <v>945</v>
      </c>
      <c r="GFB92" s="166" t="str">
        <f>VLOOKUP(GFA92,[13]AssetDetails_UEM!$A$3:$AH$1849,6,FALSE)</f>
        <v>Electrosurgical Units, Monopolar/Bipolar</v>
      </c>
      <c r="GFC92" s="165" t="s">
        <v>945</v>
      </c>
      <c r="GFD92" s="166" t="str">
        <f>VLOOKUP(GFC92,[13]AssetDetails_UEM!$A$3:$AH$1849,6,FALSE)</f>
        <v>Electrosurgical Units, Monopolar/Bipolar</v>
      </c>
      <c r="GFE92" s="165" t="s">
        <v>945</v>
      </c>
      <c r="GFF92" s="166" t="str">
        <f>VLOOKUP(GFE92,[13]AssetDetails_UEM!$A$3:$AH$1849,6,FALSE)</f>
        <v>Electrosurgical Units, Monopolar/Bipolar</v>
      </c>
      <c r="GFG92" s="165" t="s">
        <v>945</v>
      </c>
      <c r="GFH92" s="166" t="str">
        <f>VLOOKUP(GFG92,[13]AssetDetails_UEM!$A$3:$AH$1849,6,FALSE)</f>
        <v>Electrosurgical Units, Monopolar/Bipolar</v>
      </c>
      <c r="GFI92" s="165" t="s">
        <v>945</v>
      </c>
      <c r="GFJ92" s="166" t="str">
        <f>VLOOKUP(GFI92,[13]AssetDetails_UEM!$A$3:$AH$1849,6,FALSE)</f>
        <v>Electrosurgical Units, Monopolar/Bipolar</v>
      </c>
      <c r="GFK92" s="165" t="s">
        <v>945</v>
      </c>
      <c r="GFL92" s="166" t="str">
        <f>VLOOKUP(GFK92,[13]AssetDetails_UEM!$A$3:$AH$1849,6,FALSE)</f>
        <v>Electrosurgical Units, Monopolar/Bipolar</v>
      </c>
      <c r="GFM92" s="165" t="s">
        <v>945</v>
      </c>
      <c r="GFN92" s="166" t="str">
        <f>VLOOKUP(GFM92,[13]AssetDetails_UEM!$A$3:$AH$1849,6,FALSE)</f>
        <v>Electrosurgical Units, Monopolar/Bipolar</v>
      </c>
      <c r="GFO92" s="165" t="s">
        <v>945</v>
      </c>
      <c r="GFP92" s="166" t="str">
        <f>VLOOKUP(GFO92,[13]AssetDetails_UEM!$A$3:$AH$1849,6,FALSE)</f>
        <v>Electrosurgical Units, Monopolar/Bipolar</v>
      </c>
      <c r="GFQ92" s="165" t="s">
        <v>945</v>
      </c>
      <c r="GFR92" s="166" t="str">
        <f>VLOOKUP(GFQ92,[13]AssetDetails_UEM!$A$3:$AH$1849,6,FALSE)</f>
        <v>Electrosurgical Units, Monopolar/Bipolar</v>
      </c>
      <c r="GFS92" s="165" t="s">
        <v>945</v>
      </c>
      <c r="GFT92" s="166" t="str">
        <f>VLOOKUP(GFS92,[13]AssetDetails_UEM!$A$3:$AH$1849,6,FALSE)</f>
        <v>Electrosurgical Units, Monopolar/Bipolar</v>
      </c>
      <c r="GFU92" s="165" t="s">
        <v>945</v>
      </c>
      <c r="GFV92" s="166" t="str">
        <f>VLOOKUP(GFU92,[13]AssetDetails_UEM!$A$3:$AH$1849,6,FALSE)</f>
        <v>Electrosurgical Units, Monopolar/Bipolar</v>
      </c>
      <c r="GFW92" s="165" t="s">
        <v>945</v>
      </c>
      <c r="GFX92" s="166" t="str">
        <f>VLOOKUP(GFW92,[13]AssetDetails_UEM!$A$3:$AH$1849,6,FALSE)</f>
        <v>Electrosurgical Units, Monopolar/Bipolar</v>
      </c>
      <c r="GFY92" s="165" t="s">
        <v>945</v>
      </c>
      <c r="GFZ92" s="166" t="str">
        <f>VLOOKUP(GFY92,[13]AssetDetails_UEM!$A$3:$AH$1849,6,FALSE)</f>
        <v>Electrosurgical Units, Monopolar/Bipolar</v>
      </c>
      <c r="GGA92" s="165" t="s">
        <v>945</v>
      </c>
      <c r="GGB92" s="166" t="str">
        <f>VLOOKUP(GGA92,[13]AssetDetails_UEM!$A$3:$AH$1849,6,FALSE)</f>
        <v>Electrosurgical Units, Monopolar/Bipolar</v>
      </c>
      <c r="GGC92" s="165" t="s">
        <v>945</v>
      </c>
      <c r="GGD92" s="166" t="str">
        <f>VLOOKUP(GGC92,[13]AssetDetails_UEM!$A$3:$AH$1849,6,FALSE)</f>
        <v>Electrosurgical Units, Monopolar/Bipolar</v>
      </c>
      <c r="GGE92" s="165" t="s">
        <v>945</v>
      </c>
      <c r="GGF92" s="166" t="str">
        <f>VLOOKUP(GGE92,[13]AssetDetails_UEM!$A$3:$AH$1849,6,FALSE)</f>
        <v>Electrosurgical Units, Monopolar/Bipolar</v>
      </c>
      <c r="GGG92" s="165" t="s">
        <v>945</v>
      </c>
      <c r="GGH92" s="166" t="str">
        <f>VLOOKUP(GGG92,[13]AssetDetails_UEM!$A$3:$AH$1849,6,FALSE)</f>
        <v>Electrosurgical Units, Monopolar/Bipolar</v>
      </c>
      <c r="GGI92" s="165" t="s">
        <v>945</v>
      </c>
      <c r="GGJ92" s="166" t="str">
        <f>VLOOKUP(GGI92,[13]AssetDetails_UEM!$A$3:$AH$1849,6,FALSE)</f>
        <v>Electrosurgical Units, Monopolar/Bipolar</v>
      </c>
      <c r="GGK92" s="165" t="s">
        <v>945</v>
      </c>
      <c r="GGL92" s="166" t="str">
        <f>VLOOKUP(GGK92,[13]AssetDetails_UEM!$A$3:$AH$1849,6,FALSE)</f>
        <v>Electrosurgical Units, Monopolar/Bipolar</v>
      </c>
      <c r="GGM92" s="165" t="s">
        <v>945</v>
      </c>
      <c r="GGN92" s="166" t="str">
        <f>VLOOKUP(GGM92,[13]AssetDetails_UEM!$A$3:$AH$1849,6,FALSE)</f>
        <v>Electrosurgical Units, Monopolar/Bipolar</v>
      </c>
      <c r="GGO92" s="165" t="s">
        <v>945</v>
      </c>
      <c r="GGP92" s="166" t="str">
        <f>VLOOKUP(GGO92,[13]AssetDetails_UEM!$A$3:$AH$1849,6,FALSE)</f>
        <v>Electrosurgical Units, Monopolar/Bipolar</v>
      </c>
      <c r="GGQ92" s="165" t="s">
        <v>945</v>
      </c>
      <c r="GGR92" s="166" t="str">
        <f>VLOOKUP(GGQ92,[13]AssetDetails_UEM!$A$3:$AH$1849,6,FALSE)</f>
        <v>Electrosurgical Units, Monopolar/Bipolar</v>
      </c>
      <c r="GGS92" s="165" t="s">
        <v>945</v>
      </c>
      <c r="GGT92" s="166" t="str">
        <f>VLOOKUP(GGS92,[13]AssetDetails_UEM!$A$3:$AH$1849,6,FALSE)</f>
        <v>Electrosurgical Units, Monopolar/Bipolar</v>
      </c>
      <c r="GGU92" s="165" t="s">
        <v>945</v>
      </c>
      <c r="GGV92" s="166" t="str">
        <f>VLOOKUP(GGU92,[13]AssetDetails_UEM!$A$3:$AH$1849,6,FALSE)</f>
        <v>Electrosurgical Units, Monopolar/Bipolar</v>
      </c>
      <c r="GGW92" s="165" t="s">
        <v>945</v>
      </c>
      <c r="GGX92" s="166" t="str">
        <f>VLOOKUP(GGW92,[13]AssetDetails_UEM!$A$3:$AH$1849,6,FALSE)</f>
        <v>Electrosurgical Units, Monopolar/Bipolar</v>
      </c>
      <c r="GGY92" s="165" t="s">
        <v>945</v>
      </c>
      <c r="GGZ92" s="166" t="str">
        <f>VLOOKUP(GGY92,[13]AssetDetails_UEM!$A$3:$AH$1849,6,FALSE)</f>
        <v>Electrosurgical Units, Monopolar/Bipolar</v>
      </c>
      <c r="GHA92" s="165" t="s">
        <v>945</v>
      </c>
      <c r="GHB92" s="166" t="str">
        <f>VLOOKUP(GHA92,[13]AssetDetails_UEM!$A$3:$AH$1849,6,FALSE)</f>
        <v>Electrosurgical Units, Monopolar/Bipolar</v>
      </c>
      <c r="GHC92" s="165" t="s">
        <v>945</v>
      </c>
      <c r="GHD92" s="166" t="str">
        <f>VLOOKUP(GHC92,[13]AssetDetails_UEM!$A$3:$AH$1849,6,FALSE)</f>
        <v>Electrosurgical Units, Monopolar/Bipolar</v>
      </c>
      <c r="GHE92" s="165" t="s">
        <v>945</v>
      </c>
      <c r="GHF92" s="166" t="str">
        <f>VLOOKUP(GHE92,[13]AssetDetails_UEM!$A$3:$AH$1849,6,FALSE)</f>
        <v>Electrosurgical Units, Monopolar/Bipolar</v>
      </c>
      <c r="GHG92" s="165" t="s">
        <v>945</v>
      </c>
      <c r="GHH92" s="166" t="str">
        <f>VLOOKUP(GHG92,[13]AssetDetails_UEM!$A$3:$AH$1849,6,FALSE)</f>
        <v>Electrosurgical Units, Monopolar/Bipolar</v>
      </c>
      <c r="GHI92" s="165" t="s">
        <v>945</v>
      </c>
      <c r="GHJ92" s="166" t="str">
        <f>VLOOKUP(GHI92,[13]AssetDetails_UEM!$A$3:$AH$1849,6,FALSE)</f>
        <v>Electrosurgical Units, Monopolar/Bipolar</v>
      </c>
      <c r="GHK92" s="165" t="s">
        <v>945</v>
      </c>
      <c r="GHL92" s="166" t="str">
        <f>VLOOKUP(GHK92,[13]AssetDetails_UEM!$A$3:$AH$1849,6,FALSE)</f>
        <v>Electrosurgical Units, Monopolar/Bipolar</v>
      </c>
      <c r="GHM92" s="165" t="s">
        <v>945</v>
      </c>
      <c r="GHN92" s="166" t="str">
        <f>VLOOKUP(GHM92,[13]AssetDetails_UEM!$A$3:$AH$1849,6,FALSE)</f>
        <v>Electrosurgical Units, Monopolar/Bipolar</v>
      </c>
      <c r="GHO92" s="165" t="s">
        <v>945</v>
      </c>
      <c r="GHP92" s="166" t="str">
        <f>VLOOKUP(GHO92,[13]AssetDetails_UEM!$A$3:$AH$1849,6,FALSE)</f>
        <v>Electrosurgical Units, Monopolar/Bipolar</v>
      </c>
      <c r="GHQ92" s="165" t="s">
        <v>945</v>
      </c>
      <c r="GHR92" s="166" t="str">
        <f>VLOOKUP(GHQ92,[13]AssetDetails_UEM!$A$3:$AH$1849,6,FALSE)</f>
        <v>Electrosurgical Units, Monopolar/Bipolar</v>
      </c>
      <c r="GHS92" s="165" t="s">
        <v>945</v>
      </c>
      <c r="GHT92" s="166" t="str">
        <f>VLOOKUP(GHS92,[13]AssetDetails_UEM!$A$3:$AH$1849,6,FALSE)</f>
        <v>Electrosurgical Units, Monopolar/Bipolar</v>
      </c>
      <c r="GHU92" s="165" t="s">
        <v>945</v>
      </c>
      <c r="GHV92" s="166" t="str">
        <f>VLOOKUP(GHU92,[13]AssetDetails_UEM!$A$3:$AH$1849,6,FALSE)</f>
        <v>Electrosurgical Units, Monopolar/Bipolar</v>
      </c>
      <c r="GHW92" s="165" t="s">
        <v>945</v>
      </c>
      <c r="GHX92" s="166" t="str">
        <f>VLOOKUP(GHW92,[13]AssetDetails_UEM!$A$3:$AH$1849,6,FALSE)</f>
        <v>Electrosurgical Units, Monopolar/Bipolar</v>
      </c>
      <c r="GHY92" s="165" t="s">
        <v>945</v>
      </c>
      <c r="GHZ92" s="166" t="str">
        <f>VLOOKUP(GHY92,[13]AssetDetails_UEM!$A$3:$AH$1849,6,FALSE)</f>
        <v>Electrosurgical Units, Monopolar/Bipolar</v>
      </c>
      <c r="GIA92" s="165" t="s">
        <v>945</v>
      </c>
      <c r="GIB92" s="166" t="str">
        <f>VLOOKUP(GIA92,[13]AssetDetails_UEM!$A$3:$AH$1849,6,FALSE)</f>
        <v>Electrosurgical Units, Monopolar/Bipolar</v>
      </c>
      <c r="GIC92" s="165" t="s">
        <v>945</v>
      </c>
      <c r="GID92" s="166" t="str">
        <f>VLOOKUP(GIC92,[13]AssetDetails_UEM!$A$3:$AH$1849,6,FALSE)</f>
        <v>Electrosurgical Units, Monopolar/Bipolar</v>
      </c>
      <c r="GIE92" s="165" t="s">
        <v>945</v>
      </c>
      <c r="GIF92" s="166" t="str">
        <f>VLOOKUP(GIE92,[13]AssetDetails_UEM!$A$3:$AH$1849,6,FALSE)</f>
        <v>Electrosurgical Units, Monopolar/Bipolar</v>
      </c>
      <c r="GIG92" s="165" t="s">
        <v>945</v>
      </c>
      <c r="GIH92" s="166" t="str">
        <f>VLOOKUP(GIG92,[13]AssetDetails_UEM!$A$3:$AH$1849,6,FALSE)</f>
        <v>Electrosurgical Units, Monopolar/Bipolar</v>
      </c>
      <c r="GII92" s="165" t="s">
        <v>945</v>
      </c>
      <c r="GIJ92" s="166" t="str">
        <f>VLOOKUP(GII92,[13]AssetDetails_UEM!$A$3:$AH$1849,6,FALSE)</f>
        <v>Electrosurgical Units, Monopolar/Bipolar</v>
      </c>
      <c r="GIK92" s="165" t="s">
        <v>945</v>
      </c>
      <c r="GIL92" s="166" t="str">
        <f>VLOOKUP(GIK92,[13]AssetDetails_UEM!$A$3:$AH$1849,6,FALSE)</f>
        <v>Electrosurgical Units, Monopolar/Bipolar</v>
      </c>
      <c r="GIM92" s="165" t="s">
        <v>945</v>
      </c>
      <c r="GIN92" s="166" t="str">
        <f>VLOOKUP(GIM92,[13]AssetDetails_UEM!$A$3:$AH$1849,6,FALSE)</f>
        <v>Electrosurgical Units, Monopolar/Bipolar</v>
      </c>
      <c r="GIO92" s="165" t="s">
        <v>945</v>
      </c>
      <c r="GIP92" s="166" t="str">
        <f>VLOOKUP(GIO92,[13]AssetDetails_UEM!$A$3:$AH$1849,6,FALSE)</f>
        <v>Electrosurgical Units, Monopolar/Bipolar</v>
      </c>
      <c r="GIQ92" s="165" t="s">
        <v>945</v>
      </c>
      <c r="GIR92" s="166" t="str">
        <f>VLOOKUP(GIQ92,[13]AssetDetails_UEM!$A$3:$AH$1849,6,FALSE)</f>
        <v>Electrosurgical Units, Monopolar/Bipolar</v>
      </c>
      <c r="GIS92" s="165" t="s">
        <v>945</v>
      </c>
      <c r="GIT92" s="166" t="str">
        <f>VLOOKUP(GIS92,[13]AssetDetails_UEM!$A$3:$AH$1849,6,FALSE)</f>
        <v>Electrosurgical Units, Monopolar/Bipolar</v>
      </c>
      <c r="GIU92" s="165" t="s">
        <v>945</v>
      </c>
      <c r="GIV92" s="166" t="str">
        <f>VLOOKUP(GIU92,[13]AssetDetails_UEM!$A$3:$AH$1849,6,FALSE)</f>
        <v>Electrosurgical Units, Monopolar/Bipolar</v>
      </c>
      <c r="GIW92" s="165" t="s">
        <v>945</v>
      </c>
      <c r="GIX92" s="166" t="str">
        <f>VLOOKUP(GIW92,[13]AssetDetails_UEM!$A$3:$AH$1849,6,FALSE)</f>
        <v>Electrosurgical Units, Monopolar/Bipolar</v>
      </c>
      <c r="GIY92" s="165" t="s">
        <v>945</v>
      </c>
      <c r="GIZ92" s="166" t="str">
        <f>VLOOKUP(GIY92,[13]AssetDetails_UEM!$A$3:$AH$1849,6,FALSE)</f>
        <v>Electrosurgical Units, Monopolar/Bipolar</v>
      </c>
      <c r="GJA92" s="165" t="s">
        <v>945</v>
      </c>
      <c r="GJB92" s="166" t="str">
        <f>VLOOKUP(GJA92,[13]AssetDetails_UEM!$A$3:$AH$1849,6,FALSE)</f>
        <v>Electrosurgical Units, Monopolar/Bipolar</v>
      </c>
      <c r="GJC92" s="165" t="s">
        <v>945</v>
      </c>
      <c r="GJD92" s="166" t="str">
        <f>VLOOKUP(GJC92,[13]AssetDetails_UEM!$A$3:$AH$1849,6,FALSE)</f>
        <v>Electrosurgical Units, Monopolar/Bipolar</v>
      </c>
      <c r="GJE92" s="165" t="s">
        <v>945</v>
      </c>
      <c r="GJF92" s="166" t="str">
        <f>VLOOKUP(GJE92,[13]AssetDetails_UEM!$A$3:$AH$1849,6,FALSE)</f>
        <v>Electrosurgical Units, Monopolar/Bipolar</v>
      </c>
      <c r="GJG92" s="165" t="s">
        <v>945</v>
      </c>
      <c r="GJH92" s="166" t="str">
        <f>VLOOKUP(GJG92,[13]AssetDetails_UEM!$A$3:$AH$1849,6,FALSE)</f>
        <v>Electrosurgical Units, Monopolar/Bipolar</v>
      </c>
      <c r="GJI92" s="165" t="s">
        <v>945</v>
      </c>
      <c r="GJJ92" s="166" t="str">
        <f>VLOOKUP(GJI92,[13]AssetDetails_UEM!$A$3:$AH$1849,6,FALSE)</f>
        <v>Electrosurgical Units, Monopolar/Bipolar</v>
      </c>
      <c r="GJK92" s="165" t="s">
        <v>945</v>
      </c>
      <c r="GJL92" s="166" t="str">
        <f>VLOOKUP(GJK92,[13]AssetDetails_UEM!$A$3:$AH$1849,6,FALSE)</f>
        <v>Electrosurgical Units, Monopolar/Bipolar</v>
      </c>
      <c r="GJM92" s="165" t="s">
        <v>945</v>
      </c>
      <c r="GJN92" s="166" t="str">
        <f>VLOOKUP(GJM92,[13]AssetDetails_UEM!$A$3:$AH$1849,6,FALSE)</f>
        <v>Electrosurgical Units, Monopolar/Bipolar</v>
      </c>
      <c r="GJO92" s="165" t="s">
        <v>945</v>
      </c>
      <c r="GJP92" s="166" t="str">
        <f>VLOOKUP(GJO92,[13]AssetDetails_UEM!$A$3:$AH$1849,6,FALSE)</f>
        <v>Electrosurgical Units, Monopolar/Bipolar</v>
      </c>
      <c r="GJQ92" s="165" t="s">
        <v>945</v>
      </c>
      <c r="GJR92" s="166" t="str">
        <f>VLOOKUP(GJQ92,[13]AssetDetails_UEM!$A$3:$AH$1849,6,FALSE)</f>
        <v>Electrosurgical Units, Monopolar/Bipolar</v>
      </c>
      <c r="GJS92" s="165" t="s">
        <v>945</v>
      </c>
      <c r="GJT92" s="166" t="str">
        <f>VLOOKUP(GJS92,[13]AssetDetails_UEM!$A$3:$AH$1849,6,FALSE)</f>
        <v>Electrosurgical Units, Monopolar/Bipolar</v>
      </c>
      <c r="GJU92" s="165" t="s">
        <v>945</v>
      </c>
      <c r="GJV92" s="166" t="str">
        <f>VLOOKUP(GJU92,[13]AssetDetails_UEM!$A$3:$AH$1849,6,FALSE)</f>
        <v>Electrosurgical Units, Monopolar/Bipolar</v>
      </c>
      <c r="GJW92" s="165" t="s">
        <v>945</v>
      </c>
      <c r="GJX92" s="166" t="str">
        <f>VLOOKUP(GJW92,[13]AssetDetails_UEM!$A$3:$AH$1849,6,FALSE)</f>
        <v>Electrosurgical Units, Monopolar/Bipolar</v>
      </c>
      <c r="GJY92" s="165" t="s">
        <v>945</v>
      </c>
      <c r="GJZ92" s="166" t="str">
        <f>VLOOKUP(GJY92,[13]AssetDetails_UEM!$A$3:$AH$1849,6,FALSE)</f>
        <v>Electrosurgical Units, Monopolar/Bipolar</v>
      </c>
      <c r="GKA92" s="165" t="s">
        <v>945</v>
      </c>
      <c r="GKB92" s="166" t="str">
        <f>VLOOKUP(GKA92,[13]AssetDetails_UEM!$A$3:$AH$1849,6,FALSE)</f>
        <v>Electrosurgical Units, Monopolar/Bipolar</v>
      </c>
      <c r="GKC92" s="165" t="s">
        <v>945</v>
      </c>
      <c r="GKD92" s="166" t="str">
        <f>VLOOKUP(GKC92,[13]AssetDetails_UEM!$A$3:$AH$1849,6,FALSE)</f>
        <v>Electrosurgical Units, Monopolar/Bipolar</v>
      </c>
      <c r="GKE92" s="165" t="s">
        <v>945</v>
      </c>
      <c r="GKF92" s="166" t="str">
        <f>VLOOKUP(GKE92,[13]AssetDetails_UEM!$A$3:$AH$1849,6,FALSE)</f>
        <v>Electrosurgical Units, Monopolar/Bipolar</v>
      </c>
      <c r="GKG92" s="165" t="s">
        <v>945</v>
      </c>
      <c r="GKH92" s="166" t="str">
        <f>VLOOKUP(GKG92,[13]AssetDetails_UEM!$A$3:$AH$1849,6,FALSE)</f>
        <v>Electrosurgical Units, Monopolar/Bipolar</v>
      </c>
      <c r="GKI92" s="165" t="s">
        <v>945</v>
      </c>
      <c r="GKJ92" s="166" t="str">
        <f>VLOOKUP(GKI92,[13]AssetDetails_UEM!$A$3:$AH$1849,6,FALSE)</f>
        <v>Electrosurgical Units, Monopolar/Bipolar</v>
      </c>
      <c r="GKK92" s="165" t="s">
        <v>945</v>
      </c>
      <c r="GKL92" s="166" t="str">
        <f>VLOOKUP(GKK92,[13]AssetDetails_UEM!$A$3:$AH$1849,6,FALSE)</f>
        <v>Electrosurgical Units, Monopolar/Bipolar</v>
      </c>
      <c r="GKM92" s="165" t="s">
        <v>945</v>
      </c>
      <c r="GKN92" s="166" t="str">
        <f>VLOOKUP(GKM92,[13]AssetDetails_UEM!$A$3:$AH$1849,6,FALSE)</f>
        <v>Electrosurgical Units, Monopolar/Bipolar</v>
      </c>
      <c r="GKO92" s="165" t="s">
        <v>945</v>
      </c>
      <c r="GKP92" s="166" t="str">
        <f>VLOOKUP(GKO92,[13]AssetDetails_UEM!$A$3:$AH$1849,6,FALSE)</f>
        <v>Electrosurgical Units, Monopolar/Bipolar</v>
      </c>
      <c r="GKQ92" s="165" t="s">
        <v>945</v>
      </c>
      <c r="GKR92" s="166" t="str">
        <f>VLOOKUP(GKQ92,[13]AssetDetails_UEM!$A$3:$AH$1849,6,FALSE)</f>
        <v>Electrosurgical Units, Monopolar/Bipolar</v>
      </c>
      <c r="GKS92" s="165" t="s">
        <v>945</v>
      </c>
      <c r="GKT92" s="166" t="str">
        <f>VLOOKUP(GKS92,[13]AssetDetails_UEM!$A$3:$AH$1849,6,FALSE)</f>
        <v>Electrosurgical Units, Monopolar/Bipolar</v>
      </c>
      <c r="GKU92" s="165" t="s">
        <v>945</v>
      </c>
      <c r="GKV92" s="166" t="str">
        <f>VLOOKUP(GKU92,[13]AssetDetails_UEM!$A$3:$AH$1849,6,FALSE)</f>
        <v>Electrosurgical Units, Monopolar/Bipolar</v>
      </c>
      <c r="GKW92" s="165" t="s">
        <v>945</v>
      </c>
      <c r="GKX92" s="166" t="str">
        <f>VLOOKUP(GKW92,[13]AssetDetails_UEM!$A$3:$AH$1849,6,FALSE)</f>
        <v>Electrosurgical Units, Monopolar/Bipolar</v>
      </c>
      <c r="GKY92" s="165" t="s">
        <v>945</v>
      </c>
      <c r="GKZ92" s="166" t="str">
        <f>VLOOKUP(GKY92,[13]AssetDetails_UEM!$A$3:$AH$1849,6,FALSE)</f>
        <v>Electrosurgical Units, Monopolar/Bipolar</v>
      </c>
      <c r="GLA92" s="165" t="s">
        <v>945</v>
      </c>
      <c r="GLB92" s="166" t="str">
        <f>VLOOKUP(GLA92,[13]AssetDetails_UEM!$A$3:$AH$1849,6,FALSE)</f>
        <v>Electrosurgical Units, Monopolar/Bipolar</v>
      </c>
      <c r="GLC92" s="165" t="s">
        <v>945</v>
      </c>
      <c r="GLD92" s="166" t="str">
        <f>VLOOKUP(GLC92,[13]AssetDetails_UEM!$A$3:$AH$1849,6,FALSE)</f>
        <v>Electrosurgical Units, Monopolar/Bipolar</v>
      </c>
      <c r="GLE92" s="165" t="s">
        <v>945</v>
      </c>
      <c r="GLF92" s="166" t="str">
        <f>VLOOKUP(GLE92,[13]AssetDetails_UEM!$A$3:$AH$1849,6,FALSE)</f>
        <v>Electrosurgical Units, Monopolar/Bipolar</v>
      </c>
      <c r="GLG92" s="165" t="s">
        <v>945</v>
      </c>
      <c r="GLH92" s="166" t="str">
        <f>VLOOKUP(GLG92,[13]AssetDetails_UEM!$A$3:$AH$1849,6,FALSE)</f>
        <v>Electrosurgical Units, Monopolar/Bipolar</v>
      </c>
      <c r="GLI92" s="165" t="s">
        <v>945</v>
      </c>
      <c r="GLJ92" s="166" t="str">
        <f>VLOOKUP(GLI92,[13]AssetDetails_UEM!$A$3:$AH$1849,6,FALSE)</f>
        <v>Electrosurgical Units, Monopolar/Bipolar</v>
      </c>
      <c r="GLK92" s="165" t="s">
        <v>945</v>
      </c>
      <c r="GLL92" s="166" t="str">
        <f>VLOOKUP(GLK92,[13]AssetDetails_UEM!$A$3:$AH$1849,6,FALSE)</f>
        <v>Electrosurgical Units, Monopolar/Bipolar</v>
      </c>
      <c r="GLM92" s="165" t="s">
        <v>945</v>
      </c>
      <c r="GLN92" s="166" t="str">
        <f>VLOOKUP(GLM92,[13]AssetDetails_UEM!$A$3:$AH$1849,6,FALSE)</f>
        <v>Electrosurgical Units, Monopolar/Bipolar</v>
      </c>
      <c r="GLO92" s="165" t="s">
        <v>945</v>
      </c>
      <c r="GLP92" s="166" t="str">
        <f>VLOOKUP(GLO92,[13]AssetDetails_UEM!$A$3:$AH$1849,6,FALSE)</f>
        <v>Electrosurgical Units, Monopolar/Bipolar</v>
      </c>
      <c r="GLQ92" s="165" t="s">
        <v>945</v>
      </c>
      <c r="GLR92" s="166" t="str">
        <f>VLOOKUP(GLQ92,[13]AssetDetails_UEM!$A$3:$AH$1849,6,FALSE)</f>
        <v>Electrosurgical Units, Monopolar/Bipolar</v>
      </c>
      <c r="GLS92" s="165" t="s">
        <v>945</v>
      </c>
      <c r="GLT92" s="166" t="str">
        <f>VLOOKUP(GLS92,[13]AssetDetails_UEM!$A$3:$AH$1849,6,FALSE)</f>
        <v>Electrosurgical Units, Monopolar/Bipolar</v>
      </c>
      <c r="GLU92" s="165" t="s">
        <v>945</v>
      </c>
      <c r="GLV92" s="166" t="str">
        <f>VLOOKUP(GLU92,[13]AssetDetails_UEM!$A$3:$AH$1849,6,FALSE)</f>
        <v>Electrosurgical Units, Monopolar/Bipolar</v>
      </c>
      <c r="GLW92" s="165" t="s">
        <v>945</v>
      </c>
      <c r="GLX92" s="166" t="str">
        <f>VLOOKUP(GLW92,[13]AssetDetails_UEM!$A$3:$AH$1849,6,FALSE)</f>
        <v>Electrosurgical Units, Monopolar/Bipolar</v>
      </c>
      <c r="GLY92" s="165" t="s">
        <v>945</v>
      </c>
      <c r="GLZ92" s="166" t="str">
        <f>VLOOKUP(GLY92,[13]AssetDetails_UEM!$A$3:$AH$1849,6,FALSE)</f>
        <v>Electrosurgical Units, Monopolar/Bipolar</v>
      </c>
      <c r="GMA92" s="165" t="s">
        <v>945</v>
      </c>
      <c r="GMB92" s="166" t="str">
        <f>VLOOKUP(GMA92,[13]AssetDetails_UEM!$A$3:$AH$1849,6,FALSE)</f>
        <v>Electrosurgical Units, Monopolar/Bipolar</v>
      </c>
      <c r="GMC92" s="165" t="s">
        <v>945</v>
      </c>
      <c r="GMD92" s="166" t="str">
        <f>VLOOKUP(GMC92,[13]AssetDetails_UEM!$A$3:$AH$1849,6,FALSE)</f>
        <v>Electrosurgical Units, Monopolar/Bipolar</v>
      </c>
      <c r="GME92" s="165" t="s">
        <v>945</v>
      </c>
      <c r="GMF92" s="166" t="str">
        <f>VLOOKUP(GME92,[13]AssetDetails_UEM!$A$3:$AH$1849,6,FALSE)</f>
        <v>Electrosurgical Units, Monopolar/Bipolar</v>
      </c>
      <c r="GMG92" s="165" t="s">
        <v>945</v>
      </c>
      <c r="GMH92" s="166" t="str">
        <f>VLOOKUP(GMG92,[13]AssetDetails_UEM!$A$3:$AH$1849,6,FALSE)</f>
        <v>Electrosurgical Units, Monopolar/Bipolar</v>
      </c>
      <c r="GMI92" s="165" t="s">
        <v>945</v>
      </c>
      <c r="GMJ92" s="166" t="str">
        <f>VLOOKUP(GMI92,[13]AssetDetails_UEM!$A$3:$AH$1849,6,FALSE)</f>
        <v>Electrosurgical Units, Monopolar/Bipolar</v>
      </c>
      <c r="GMK92" s="165" t="s">
        <v>945</v>
      </c>
      <c r="GML92" s="166" t="str">
        <f>VLOOKUP(GMK92,[13]AssetDetails_UEM!$A$3:$AH$1849,6,FALSE)</f>
        <v>Electrosurgical Units, Monopolar/Bipolar</v>
      </c>
      <c r="GMM92" s="165" t="s">
        <v>945</v>
      </c>
      <c r="GMN92" s="166" t="str">
        <f>VLOOKUP(GMM92,[13]AssetDetails_UEM!$A$3:$AH$1849,6,FALSE)</f>
        <v>Electrosurgical Units, Monopolar/Bipolar</v>
      </c>
      <c r="GMO92" s="165" t="s">
        <v>945</v>
      </c>
      <c r="GMP92" s="166" t="str">
        <f>VLOOKUP(GMO92,[13]AssetDetails_UEM!$A$3:$AH$1849,6,FALSE)</f>
        <v>Electrosurgical Units, Monopolar/Bipolar</v>
      </c>
      <c r="GMQ92" s="165" t="s">
        <v>945</v>
      </c>
      <c r="GMR92" s="166" t="str">
        <f>VLOOKUP(GMQ92,[13]AssetDetails_UEM!$A$3:$AH$1849,6,FALSE)</f>
        <v>Electrosurgical Units, Monopolar/Bipolar</v>
      </c>
      <c r="GMS92" s="165" t="s">
        <v>945</v>
      </c>
      <c r="GMT92" s="166" t="str">
        <f>VLOOKUP(GMS92,[13]AssetDetails_UEM!$A$3:$AH$1849,6,FALSE)</f>
        <v>Electrosurgical Units, Monopolar/Bipolar</v>
      </c>
      <c r="GMU92" s="165" t="s">
        <v>945</v>
      </c>
      <c r="GMV92" s="166" t="str">
        <f>VLOOKUP(GMU92,[13]AssetDetails_UEM!$A$3:$AH$1849,6,FALSE)</f>
        <v>Electrosurgical Units, Monopolar/Bipolar</v>
      </c>
      <c r="GMW92" s="165" t="s">
        <v>945</v>
      </c>
      <c r="GMX92" s="166" t="str">
        <f>VLOOKUP(GMW92,[13]AssetDetails_UEM!$A$3:$AH$1849,6,FALSE)</f>
        <v>Electrosurgical Units, Monopolar/Bipolar</v>
      </c>
      <c r="GMY92" s="165" t="s">
        <v>945</v>
      </c>
      <c r="GMZ92" s="166" t="str">
        <f>VLOOKUP(GMY92,[13]AssetDetails_UEM!$A$3:$AH$1849,6,FALSE)</f>
        <v>Electrosurgical Units, Monopolar/Bipolar</v>
      </c>
      <c r="GNA92" s="165" t="s">
        <v>945</v>
      </c>
      <c r="GNB92" s="166" t="str">
        <f>VLOOKUP(GNA92,[13]AssetDetails_UEM!$A$3:$AH$1849,6,FALSE)</f>
        <v>Electrosurgical Units, Monopolar/Bipolar</v>
      </c>
      <c r="GNC92" s="165" t="s">
        <v>945</v>
      </c>
      <c r="GND92" s="166" t="str">
        <f>VLOOKUP(GNC92,[13]AssetDetails_UEM!$A$3:$AH$1849,6,FALSE)</f>
        <v>Electrosurgical Units, Monopolar/Bipolar</v>
      </c>
      <c r="GNE92" s="165" t="s">
        <v>945</v>
      </c>
      <c r="GNF92" s="166" t="str">
        <f>VLOOKUP(GNE92,[13]AssetDetails_UEM!$A$3:$AH$1849,6,FALSE)</f>
        <v>Electrosurgical Units, Monopolar/Bipolar</v>
      </c>
      <c r="GNG92" s="165" t="s">
        <v>945</v>
      </c>
      <c r="GNH92" s="166" t="str">
        <f>VLOOKUP(GNG92,[13]AssetDetails_UEM!$A$3:$AH$1849,6,FALSE)</f>
        <v>Electrosurgical Units, Monopolar/Bipolar</v>
      </c>
      <c r="GNI92" s="165" t="s">
        <v>945</v>
      </c>
      <c r="GNJ92" s="166" t="str">
        <f>VLOOKUP(GNI92,[13]AssetDetails_UEM!$A$3:$AH$1849,6,FALSE)</f>
        <v>Electrosurgical Units, Monopolar/Bipolar</v>
      </c>
      <c r="GNK92" s="165" t="s">
        <v>945</v>
      </c>
      <c r="GNL92" s="166" t="str">
        <f>VLOOKUP(GNK92,[13]AssetDetails_UEM!$A$3:$AH$1849,6,FALSE)</f>
        <v>Electrosurgical Units, Monopolar/Bipolar</v>
      </c>
      <c r="GNM92" s="165" t="s">
        <v>945</v>
      </c>
      <c r="GNN92" s="166" t="str">
        <f>VLOOKUP(GNM92,[13]AssetDetails_UEM!$A$3:$AH$1849,6,FALSE)</f>
        <v>Electrosurgical Units, Monopolar/Bipolar</v>
      </c>
      <c r="GNO92" s="165" t="s">
        <v>945</v>
      </c>
      <c r="GNP92" s="166" t="str">
        <f>VLOOKUP(GNO92,[13]AssetDetails_UEM!$A$3:$AH$1849,6,FALSE)</f>
        <v>Electrosurgical Units, Monopolar/Bipolar</v>
      </c>
      <c r="GNQ92" s="165" t="s">
        <v>945</v>
      </c>
      <c r="GNR92" s="166" t="str">
        <f>VLOOKUP(GNQ92,[13]AssetDetails_UEM!$A$3:$AH$1849,6,FALSE)</f>
        <v>Electrosurgical Units, Monopolar/Bipolar</v>
      </c>
      <c r="GNS92" s="165" t="s">
        <v>945</v>
      </c>
      <c r="GNT92" s="166" t="str">
        <f>VLOOKUP(GNS92,[13]AssetDetails_UEM!$A$3:$AH$1849,6,FALSE)</f>
        <v>Electrosurgical Units, Monopolar/Bipolar</v>
      </c>
      <c r="GNU92" s="165" t="s">
        <v>945</v>
      </c>
      <c r="GNV92" s="166" t="str">
        <f>VLOOKUP(GNU92,[13]AssetDetails_UEM!$A$3:$AH$1849,6,FALSE)</f>
        <v>Electrosurgical Units, Monopolar/Bipolar</v>
      </c>
      <c r="GNW92" s="165" t="s">
        <v>945</v>
      </c>
      <c r="GNX92" s="166" t="str">
        <f>VLOOKUP(GNW92,[13]AssetDetails_UEM!$A$3:$AH$1849,6,FALSE)</f>
        <v>Electrosurgical Units, Monopolar/Bipolar</v>
      </c>
      <c r="GNY92" s="165" t="s">
        <v>945</v>
      </c>
      <c r="GNZ92" s="166" t="str">
        <f>VLOOKUP(GNY92,[13]AssetDetails_UEM!$A$3:$AH$1849,6,FALSE)</f>
        <v>Electrosurgical Units, Monopolar/Bipolar</v>
      </c>
      <c r="GOA92" s="165" t="s">
        <v>945</v>
      </c>
      <c r="GOB92" s="166" t="str">
        <f>VLOOKUP(GOA92,[13]AssetDetails_UEM!$A$3:$AH$1849,6,FALSE)</f>
        <v>Electrosurgical Units, Monopolar/Bipolar</v>
      </c>
      <c r="GOC92" s="165" t="s">
        <v>945</v>
      </c>
      <c r="GOD92" s="166" t="str">
        <f>VLOOKUP(GOC92,[13]AssetDetails_UEM!$A$3:$AH$1849,6,FALSE)</f>
        <v>Electrosurgical Units, Monopolar/Bipolar</v>
      </c>
      <c r="GOE92" s="165" t="s">
        <v>945</v>
      </c>
      <c r="GOF92" s="166" t="str">
        <f>VLOOKUP(GOE92,[13]AssetDetails_UEM!$A$3:$AH$1849,6,FALSE)</f>
        <v>Electrosurgical Units, Monopolar/Bipolar</v>
      </c>
      <c r="GOG92" s="165" t="s">
        <v>945</v>
      </c>
      <c r="GOH92" s="166" t="str">
        <f>VLOOKUP(GOG92,[13]AssetDetails_UEM!$A$3:$AH$1849,6,FALSE)</f>
        <v>Electrosurgical Units, Monopolar/Bipolar</v>
      </c>
      <c r="GOI92" s="165" t="s">
        <v>945</v>
      </c>
      <c r="GOJ92" s="166" t="str">
        <f>VLOOKUP(GOI92,[13]AssetDetails_UEM!$A$3:$AH$1849,6,FALSE)</f>
        <v>Electrosurgical Units, Monopolar/Bipolar</v>
      </c>
      <c r="GOK92" s="165" t="s">
        <v>945</v>
      </c>
      <c r="GOL92" s="166" t="str">
        <f>VLOOKUP(GOK92,[13]AssetDetails_UEM!$A$3:$AH$1849,6,FALSE)</f>
        <v>Electrosurgical Units, Monopolar/Bipolar</v>
      </c>
      <c r="GOM92" s="165" t="s">
        <v>945</v>
      </c>
      <c r="GON92" s="166" t="str">
        <f>VLOOKUP(GOM92,[13]AssetDetails_UEM!$A$3:$AH$1849,6,FALSE)</f>
        <v>Electrosurgical Units, Monopolar/Bipolar</v>
      </c>
      <c r="GOO92" s="165" t="s">
        <v>945</v>
      </c>
      <c r="GOP92" s="166" t="str">
        <f>VLOOKUP(GOO92,[13]AssetDetails_UEM!$A$3:$AH$1849,6,FALSE)</f>
        <v>Electrosurgical Units, Monopolar/Bipolar</v>
      </c>
      <c r="GOQ92" s="165" t="s">
        <v>945</v>
      </c>
      <c r="GOR92" s="166" t="str">
        <f>VLOOKUP(GOQ92,[13]AssetDetails_UEM!$A$3:$AH$1849,6,FALSE)</f>
        <v>Electrosurgical Units, Monopolar/Bipolar</v>
      </c>
      <c r="GOS92" s="165" t="s">
        <v>945</v>
      </c>
      <c r="GOT92" s="166" t="str">
        <f>VLOOKUP(GOS92,[13]AssetDetails_UEM!$A$3:$AH$1849,6,FALSE)</f>
        <v>Electrosurgical Units, Monopolar/Bipolar</v>
      </c>
      <c r="GOU92" s="165" t="s">
        <v>945</v>
      </c>
      <c r="GOV92" s="166" t="str">
        <f>VLOOKUP(GOU92,[13]AssetDetails_UEM!$A$3:$AH$1849,6,FALSE)</f>
        <v>Electrosurgical Units, Monopolar/Bipolar</v>
      </c>
      <c r="GOW92" s="165" t="s">
        <v>945</v>
      </c>
      <c r="GOX92" s="166" t="str">
        <f>VLOOKUP(GOW92,[13]AssetDetails_UEM!$A$3:$AH$1849,6,FALSE)</f>
        <v>Electrosurgical Units, Monopolar/Bipolar</v>
      </c>
      <c r="GOY92" s="165" t="s">
        <v>945</v>
      </c>
      <c r="GOZ92" s="166" t="str">
        <f>VLOOKUP(GOY92,[13]AssetDetails_UEM!$A$3:$AH$1849,6,FALSE)</f>
        <v>Electrosurgical Units, Monopolar/Bipolar</v>
      </c>
      <c r="GPA92" s="165" t="s">
        <v>945</v>
      </c>
      <c r="GPB92" s="166" t="str">
        <f>VLOOKUP(GPA92,[13]AssetDetails_UEM!$A$3:$AH$1849,6,FALSE)</f>
        <v>Electrosurgical Units, Monopolar/Bipolar</v>
      </c>
      <c r="GPC92" s="165" t="s">
        <v>945</v>
      </c>
      <c r="GPD92" s="166" t="str">
        <f>VLOOKUP(GPC92,[13]AssetDetails_UEM!$A$3:$AH$1849,6,FALSE)</f>
        <v>Electrosurgical Units, Monopolar/Bipolar</v>
      </c>
      <c r="GPE92" s="165" t="s">
        <v>945</v>
      </c>
      <c r="GPF92" s="166" t="str">
        <f>VLOOKUP(GPE92,[13]AssetDetails_UEM!$A$3:$AH$1849,6,FALSE)</f>
        <v>Electrosurgical Units, Monopolar/Bipolar</v>
      </c>
      <c r="GPG92" s="165" t="s">
        <v>945</v>
      </c>
      <c r="GPH92" s="166" t="str">
        <f>VLOOKUP(GPG92,[13]AssetDetails_UEM!$A$3:$AH$1849,6,FALSE)</f>
        <v>Electrosurgical Units, Monopolar/Bipolar</v>
      </c>
      <c r="GPI92" s="165" t="s">
        <v>945</v>
      </c>
      <c r="GPJ92" s="166" t="str">
        <f>VLOOKUP(GPI92,[13]AssetDetails_UEM!$A$3:$AH$1849,6,FALSE)</f>
        <v>Electrosurgical Units, Monopolar/Bipolar</v>
      </c>
      <c r="GPK92" s="165" t="s">
        <v>945</v>
      </c>
      <c r="GPL92" s="166" t="str">
        <f>VLOOKUP(GPK92,[13]AssetDetails_UEM!$A$3:$AH$1849,6,FALSE)</f>
        <v>Electrosurgical Units, Monopolar/Bipolar</v>
      </c>
      <c r="GPM92" s="165" t="s">
        <v>945</v>
      </c>
      <c r="GPN92" s="166" t="str">
        <f>VLOOKUP(GPM92,[13]AssetDetails_UEM!$A$3:$AH$1849,6,FALSE)</f>
        <v>Electrosurgical Units, Monopolar/Bipolar</v>
      </c>
      <c r="GPO92" s="165" t="s">
        <v>945</v>
      </c>
      <c r="GPP92" s="166" t="str">
        <f>VLOOKUP(GPO92,[13]AssetDetails_UEM!$A$3:$AH$1849,6,FALSE)</f>
        <v>Electrosurgical Units, Monopolar/Bipolar</v>
      </c>
      <c r="GPQ92" s="165" t="s">
        <v>945</v>
      </c>
      <c r="GPR92" s="166" t="str">
        <f>VLOOKUP(GPQ92,[13]AssetDetails_UEM!$A$3:$AH$1849,6,FALSE)</f>
        <v>Electrosurgical Units, Monopolar/Bipolar</v>
      </c>
      <c r="GPS92" s="165" t="s">
        <v>945</v>
      </c>
      <c r="GPT92" s="166" t="str">
        <f>VLOOKUP(GPS92,[13]AssetDetails_UEM!$A$3:$AH$1849,6,FALSE)</f>
        <v>Electrosurgical Units, Monopolar/Bipolar</v>
      </c>
      <c r="GPU92" s="165" t="s">
        <v>945</v>
      </c>
      <c r="GPV92" s="166" t="str">
        <f>VLOOKUP(GPU92,[13]AssetDetails_UEM!$A$3:$AH$1849,6,FALSE)</f>
        <v>Electrosurgical Units, Monopolar/Bipolar</v>
      </c>
      <c r="GPW92" s="165" t="s">
        <v>945</v>
      </c>
      <c r="GPX92" s="166" t="str">
        <f>VLOOKUP(GPW92,[13]AssetDetails_UEM!$A$3:$AH$1849,6,FALSE)</f>
        <v>Electrosurgical Units, Monopolar/Bipolar</v>
      </c>
      <c r="GPY92" s="165" t="s">
        <v>945</v>
      </c>
      <c r="GPZ92" s="166" t="str">
        <f>VLOOKUP(GPY92,[13]AssetDetails_UEM!$A$3:$AH$1849,6,FALSE)</f>
        <v>Electrosurgical Units, Monopolar/Bipolar</v>
      </c>
      <c r="GQA92" s="165" t="s">
        <v>945</v>
      </c>
      <c r="GQB92" s="166" t="str">
        <f>VLOOKUP(GQA92,[13]AssetDetails_UEM!$A$3:$AH$1849,6,FALSE)</f>
        <v>Electrosurgical Units, Monopolar/Bipolar</v>
      </c>
      <c r="GQC92" s="165" t="s">
        <v>945</v>
      </c>
      <c r="GQD92" s="166" t="str">
        <f>VLOOKUP(GQC92,[13]AssetDetails_UEM!$A$3:$AH$1849,6,FALSE)</f>
        <v>Electrosurgical Units, Monopolar/Bipolar</v>
      </c>
      <c r="GQE92" s="165" t="s">
        <v>945</v>
      </c>
      <c r="GQF92" s="166" t="str">
        <f>VLOOKUP(GQE92,[13]AssetDetails_UEM!$A$3:$AH$1849,6,FALSE)</f>
        <v>Electrosurgical Units, Monopolar/Bipolar</v>
      </c>
      <c r="GQG92" s="165" t="s">
        <v>945</v>
      </c>
      <c r="GQH92" s="166" t="str">
        <f>VLOOKUP(GQG92,[13]AssetDetails_UEM!$A$3:$AH$1849,6,FALSE)</f>
        <v>Electrosurgical Units, Monopolar/Bipolar</v>
      </c>
      <c r="GQI92" s="165" t="s">
        <v>945</v>
      </c>
      <c r="GQJ92" s="166" t="str">
        <f>VLOOKUP(GQI92,[13]AssetDetails_UEM!$A$3:$AH$1849,6,FALSE)</f>
        <v>Electrosurgical Units, Monopolar/Bipolar</v>
      </c>
      <c r="GQK92" s="165" t="s">
        <v>945</v>
      </c>
      <c r="GQL92" s="166" t="str">
        <f>VLOOKUP(GQK92,[13]AssetDetails_UEM!$A$3:$AH$1849,6,FALSE)</f>
        <v>Electrosurgical Units, Monopolar/Bipolar</v>
      </c>
      <c r="GQM92" s="165" t="s">
        <v>945</v>
      </c>
      <c r="GQN92" s="166" t="str">
        <f>VLOOKUP(GQM92,[13]AssetDetails_UEM!$A$3:$AH$1849,6,FALSE)</f>
        <v>Electrosurgical Units, Monopolar/Bipolar</v>
      </c>
      <c r="GQO92" s="165" t="s">
        <v>945</v>
      </c>
      <c r="GQP92" s="166" t="str">
        <f>VLOOKUP(GQO92,[13]AssetDetails_UEM!$A$3:$AH$1849,6,FALSE)</f>
        <v>Electrosurgical Units, Monopolar/Bipolar</v>
      </c>
      <c r="GQQ92" s="165" t="s">
        <v>945</v>
      </c>
      <c r="GQR92" s="166" t="str">
        <f>VLOOKUP(GQQ92,[13]AssetDetails_UEM!$A$3:$AH$1849,6,FALSE)</f>
        <v>Electrosurgical Units, Monopolar/Bipolar</v>
      </c>
      <c r="GQS92" s="165" t="s">
        <v>945</v>
      </c>
      <c r="GQT92" s="166" t="str">
        <f>VLOOKUP(GQS92,[13]AssetDetails_UEM!$A$3:$AH$1849,6,FALSE)</f>
        <v>Electrosurgical Units, Monopolar/Bipolar</v>
      </c>
      <c r="GQU92" s="165" t="s">
        <v>945</v>
      </c>
      <c r="GQV92" s="166" t="str">
        <f>VLOOKUP(GQU92,[13]AssetDetails_UEM!$A$3:$AH$1849,6,FALSE)</f>
        <v>Electrosurgical Units, Monopolar/Bipolar</v>
      </c>
      <c r="GQW92" s="165" t="s">
        <v>945</v>
      </c>
      <c r="GQX92" s="166" t="str">
        <f>VLOOKUP(GQW92,[13]AssetDetails_UEM!$A$3:$AH$1849,6,FALSE)</f>
        <v>Electrosurgical Units, Monopolar/Bipolar</v>
      </c>
      <c r="GQY92" s="165" t="s">
        <v>945</v>
      </c>
      <c r="GQZ92" s="166" t="str">
        <f>VLOOKUP(GQY92,[13]AssetDetails_UEM!$A$3:$AH$1849,6,FALSE)</f>
        <v>Electrosurgical Units, Monopolar/Bipolar</v>
      </c>
      <c r="GRA92" s="165" t="s">
        <v>945</v>
      </c>
      <c r="GRB92" s="166" t="str">
        <f>VLOOKUP(GRA92,[13]AssetDetails_UEM!$A$3:$AH$1849,6,FALSE)</f>
        <v>Electrosurgical Units, Monopolar/Bipolar</v>
      </c>
      <c r="GRC92" s="165" t="s">
        <v>945</v>
      </c>
      <c r="GRD92" s="166" t="str">
        <f>VLOOKUP(GRC92,[13]AssetDetails_UEM!$A$3:$AH$1849,6,FALSE)</f>
        <v>Electrosurgical Units, Monopolar/Bipolar</v>
      </c>
      <c r="GRE92" s="165" t="s">
        <v>945</v>
      </c>
      <c r="GRF92" s="166" t="str">
        <f>VLOOKUP(GRE92,[13]AssetDetails_UEM!$A$3:$AH$1849,6,FALSE)</f>
        <v>Electrosurgical Units, Monopolar/Bipolar</v>
      </c>
      <c r="GRG92" s="165" t="s">
        <v>945</v>
      </c>
      <c r="GRH92" s="166" t="str">
        <f>VLOOKUP(GRG92,[13]AssetDetails_UEM!$A$3:$AH$1849,6,FALSE)</f>
        <v>Electrosurgical Units, Monopolar/Bipolar</v>
      </c>
      <c r="GRI92" s="165" t="s">
        <v>945</v>
      </c>
      <c r="GRJ92" s="166" t="str">
        <f>VLOOKUP(GRI92,[13]AssetDetails_UEM!$A$3:$AH$1849,6,FALSE)</f>
        <v>Electrosurgical Units, Monopolar/Bipolar</v>
      </c>
      <c r="GRK92" s="165" t="s">
        <v>945</v>
      </c>
      <c r="GRL92" s="166" t="str">
        <f>VLOOKUP(GRK92,[13]AssetDetails_UEM!$A$3:$AH$1849,6,FALSE)</f>
        <v>Electrosurgical Units, Monopolar/Bipolar</v>
      </c>
      <c r="GRM92" s="165" t="s">
        <v>945</v>
      </c>
      <c r="GRN92" s="166" t="str">
        <f>VLOOKUP(GRM92,[13]AssetDetails_UEM!$A$3:$AH$1849,6,FALSE)</f>
        <v>Electrosurgical Units, Monopolar/Bipolar</v>
      </c>
      <c r="GRO92" s="165" t="s">
        <v>945</v>
      </c>
      <c r="GRP92" s="166" t="str">
        <f>VLOOKUP(GRO92,[13]AssetDetails_UEM!$A$3:$AH$1849,6,FALSE)</f>
        <v>Electrosurgical Units, Monopolar/Bipolar</v>
      </c>
      <c r="GRQ92" s="165" t="s">
        <v>945</v>
      </c>
      <c r="GRR92" s="166" t="str">
        <f>VLOOKUP(GRQ92,[13]AssetDetails_UEM!$A$3:$AH$1849,6,FALSE)</f>
        <v>Electrosurgical Units, Monopolar/Bipolar</v>
      </c>
      <c r="GRS92" s="165" t="s">
        <v>945</v>
      </c>
      <c r="GRT92" s="166" t="str">
        <f>VLOOKUP(GRS92,[13]AssetDetails_UEM!$A$3:$AH$1849,6,FALSE)</f>
        <v>Electrosurgical Units, Monopolar/Bipolar</v>
      </c>
      <c r="GRU92" s="165" t="s">
        <v>945</v>
      </c>
      <c r="GRV92" s="166" t="str">
        <f>VLOOKUP(GRU92,[13]AssetDetails_UEM!$A$3:$AH$1849,6,FALSE)</f>
        <v>Electrosurgical Units, Monopolar/Bipolar</v>
      </c>
      <c r="GRW92" s="165" t="s">
        <v>945</v>
      </c>
      <c r="GRX92" s="166" t="str">
        <f>VLOOKUP(GRW92,[13]AssetDetails_UEM!$A$3:$AH$1849,6,FALSE)</f>
        <v>Electrosurgical Units, Monopolar/Bipolar</v>
      </c>
      <c r="GRY92" s="165" t="s">
        <v>945</v>
      </c>
      <c r="GRZ92" s="166" t="str">
        <f>VLOOKUP(GRY92,[13]AssetDetails_UEM!$A$3:$AH$1849,6,FALSE)</f>
        <v>Electrosurgical Units, Monopolar/Bipolar</v>
      </c>
      <c r="GSA92" s="165" t="s">
        <v>945</v>
      </c>
      <c r="GSB92" s="166" t="str">
        <f>VLOOKUP(GSA92,[13]AssetDetails_UEM!$A$3:$AH$1849,6,FALSE)</f>
        <v>Electrosurgical Units, Monopolar/Bipolar</v>
      </c>
      <c r="GSC92" s="165" t="s">
        <v>945</v>
      </c>
      <c r="GSD92" s="166" t="str">
        <f>VLOOKUP(GSC92,[13]AssetDetails_UEM!$A$3:$AH$1849,6,FALSE)</f>
        <v>Electrosurgical Units, Monopolar/Bipolar</v>
      </c>
      <c r="GSE92" s="165" t="s">
        <v>945</v>
      </c>
      <c r="GSF92" s="166" t="str">
        <f>VLOOKUP(GSE92,[13]AssetDetails_UEM!$A$3:$AH$1849,6,FALSE)</f>
        <v>Electrosurgical Units, Monopolar/Bipolar</v>
      </c>
      <c r="GSG92" s="165" t="s">
        <v>945</v>
      </c>
      <c r="GSH92" s="166" t="str">
        <f>VLOOKUP(GSG92,[13]AssetDetails_UEM!$A$3:$AH$1849,6,FALSE)</f>
        <v>Electrosurgical Units, Monopolar/Bipolar</v>
      </c>
      <c r="GSI92" s="165" t="s">
        <v>945</v>
      </c>
      <c r="GSJ92" s="166" t="str">
        <f>VLOOKUP(GSI92,[13]AssetDetails_UEM!$A$3:$AH$1849,6,FALSE)</f>
        <v>Electrosurgical Units, Monopolar/Bipolar</v>
      </c>
      <c r="GSK92" s="165" t="s">
        <v>945</v>
      </c>
      <c r="GSL92" s="166" t="str">
        <f>VLOOKUP(GSK92,[13]AssetDetails_UEM!$A$3:$AH$1849,6,FALSE)</f>
        <v>Electrosurgical Units, Monopolar/Bipolar</v>
      </c>
      <c r="GSM92" s="165" t="s">
        <v>945</v>
      </c>
      <c r="GSN92" s="166" t="str">
        <f>VLOOKUP(GSM92,[13]AssetDetails_UEM!$A$3:$AH$1849,6,FALSE)</f>
        <v>Electrosurgical Units, Monopolar/Bipolar</v>
      </c>
      <c r="GSO92" s="165" t="s">
        <v>945</v>
      </c>
      <c r="GSP92" s="166" t="str">
        <f>VLOOKUP(GSO92,[13]AssetDetails_UEM!$A$3:$AH$1849,6,FALSE)</f>
        <v>Electrosurgical Units, Monopolar/Bipolar</v>
      </c>
      <c r="GSQ92" s="165" t="s">
        <v>945</v>
      </c>
      <c r="GSR92" s="166" t="str">
        <f>VLOOKUP(GSQ92,[13]AssetDetails_UEM!$A$3:$AH$1849,6,FALSE)</f>
        <v>Electrosurgical Units, Monopolar/Bipolar</v>
      </c>
      <c r="GSS92" s="165" t="s">
        <v>945</v>
      </c>
      <c r="GST92" s="166" t="str">
        <f>VLOOKUP(GSS92,[13]AssetDetails_UEM!$A$3:$AH$1849,6,FALSE)</f>
        <v>Electrosurgical Units, Monopolar/Bipolar</v>
      </c>
      <c r="GSU92" s="165" t="s">
        <v>945</v>
      </c>
      <c r="GSV92" s="166" t="str">
        <f>VLOOKUP(GSU92,[13]AssetDetails_UEM!$A$3:$AH$1849,6,FALSE)</f>
        <v>Electrosurgical Units, Monopolar/Bipolar</v>
      </c>
      <c r="GSW92" s="165" t="s">
        <v>945</v>
      </c>
      <c r="GSX92" s="166" t="str">
        <f>VLOOKUP(GSW92,[13]AssetDetails_UEM!$A$3:$AH$1849,6,FALSE)</f>
        <v>Electrosurgical Units, Monopolar/Bipolar</v>
      </c>
      <c r="GSY92" s="165" t="s">
        <v>945</v>
      </c>
      <c r="GSZ92" s="166" t="str">
        <f>VLOOKUP(GSY92,[13]AssetDetails_UEM!$A$3:$AH$1849,6,FALSE)</f>
        <v>Electrosurgical Units, Monopolar/Bipolar</v>
      </c>
      <c r="GTA92" s="165" t="s">
        <v>945</v>
      </c>
      <c r="GTB92" s="166" t="str">
        <f>VLOOKUP(GTA92,[13]AssetDetails_UEM!$A$3:$AH$1849,6,FALSE)</f>
        <v>Electrosurgical Units, Monopolar/Bipolar</v>
      </c>
      <c r="GTC92" s="165" t="s">
        <v>945</v>
      </c>
      <c r="GTD92" s="166" t="str">
        <f>VLOOKUP(GTC92,[13]AssetDetails_UEM!$A$3:$AH$1849,6,FALSE)</f>
        <v>Electrosurgical Units, Monopolar/Bipolar</v>
      </c>
      <c r="GTE92" s="165" t="s">
        <v>945</v>
      </c>
      <c r="GTF92" s="166" t="str">
        <f>VLOOKUP(GTE92,[13]AssetDetails_UEM!$A$3:$AH$1849,6,FALSE)</f>
        <v>Electrosurgical Units, Monopolar/Bipolar</v>
      </c>
      <c r="GTG92" s="165" t="s">
        <v>945</v>
      </c>
      <c r="GTH92" s="166" t="str">
        <f>VLOOKUP(GTG92,[13]AssetDetails_UEM!$A$3:$AH$1849,6,FALSE)</f>
        <v>Electrosurgical Units, Monopolar/Bipolar</v>
      </c>
      <c r="GTI92" s="165" t="s">
        <v>945</v>
      </c>
      <c r="GTJ92" s="166" t="str">
        <f>VLOOKUP(GTI92,[13]AssetDetails_UEM!$A$3:$AH$1849,6,FALSE)</f>
        <v>Electrosurgical Units, Monopolar/Bipolar</v>
      </c>
      <c r="GTK92" s="165" t="s">
        <v>945</v>
      </c>
      <c r="GTL92" s="166" t="str">
        <f>VLOOKUP(GTK92,[13]AssetDetails_UEM!$A$3:$AH$1849,6,FALSE)</f>
        <v>Electrosurgical Units, Monopolar/Bipolar</v>
      </c>
      <c r="GTM92" s="165" t="s">
        <v>945</v>
      </c>
      <c r="GTN92" s="166" t="str">
        <f>VLOOKUP(GTM92,[13]AssetDetails_UEM!$A$3:$AH$1849,6,FALSE)</f>
        <v>Electrosurgical Units, Monopolar/Bipolar</v>
      </c>
      <c r="GTO92" s="165" t="s">
        <v>945</v>
      </c>
      <c r="GTP92" s="166" t="str">
        <f>VLOOKUP(GTO92,[13]AssetDetails_UEM!$A$3:$AH$1849,6,FALSE)</f>
        <v>Electrosurgical Units, Monopolar/Bipolar</v>
      </c>
      <c r="GTQ92" s="165" t="s">
        <v>945</v>
      </c>
      <c r="GTR92" s="166" t="str">
        <f>VLOOKUP(GTQ92,[13]AssetDetails_UEM!$A$3:$AH$1849,6,FALSE)</f>
        <v>Electrosurgical Units, Monopolar/Bipolar</v>
      </c>
      <c r="GTS92" s="165" t="s">
        <v>945</v>
      </c>
      <c r="GTT92" s="166" t="str">
        <f>VLOOKUP(GTS92,[13]AssetDetails_UEM!$A$3:$AH$1849,6,FALSE)</f>
        <v>Electrosurgical Units, Monopolar/Bipolar</v>
      </c>
      <c r="GTU92" s="165" t="s">
        <v>945</v>
      </c>
      <c r="GTV92" s="166" t="str">
        <f>VLOOKUP(GTU92,[13]AssetDetails_UEM!$A$3:$AH$1849,6,FALSE)</f>
        <v>Electrosurgical Units, Monopolar/Bipolar</v>
      </c>
      <c r="GTW92" s="165" t="s">
        <v>945</v>
      </c>
      <c r="GTX92" s="166" t="str">
        <f>VLOOKUP(GTW92,[13]AssetDetails_UEM!$A$3:$AH$1849,6,FALSE)</f>
        <v>Electrosurgical Units, Monopolar/Bipolar</v>
      </c>
      <c r="GTY92" s="165" t="s">
        <v>945</v>
      </c>
      <c r="GTZ92" s="166" t="str">
        <f>VLOOKUP(GTY92,[13]AssetDetails_UEM!$A$3:$AH$1849,6,FALSE)</f>
        <v>Electrosurgical Units, Monopolar/Bipolar</v>
      </c>
      <c r="GUA92" s="165" t="s">
        <v>945</v>
      </c>
      <c r="GUB92" s="166" t="str">
        <f>VLOOKUP(GUA92,[13]AssetDetails_UEM!$A$3:$AH$1849,6,FALSE)</f>
        <v>Electrosurgical Units, Monopolar/Bipolar</v>
      </c>
      <c r="GUC92" s="165" t="s">
        <v>945</v>
      </c>
      <c r="GUD92" s="166" t="str">
        <f>VLOOKUP(GUC92,[13]AssetDetails_UEM!$A$3:$AH$1849,6,FALSE)</f>
        <v>Electrosurgical Units, Monopolar/Bipolar</v>
      </c>
      <c r="GUE92" s="165" t="s">
        <v>945</v>
      </c>
      <c r="GUF92" s="166" t="str">
        <f>VLOOKUP(GUE92,[13]AssetDetails_UEM!$A$3:$AH$1849,6,FALSE)</f>
        <v>Electrosurgical Units, Monopolar/Bipolar</v>
      </c>
      <c r="GUG92" s="165" t="s">
        <v>945</v>
      </c>
      <c r="GUH92" s="166" t="str">
        <f>VLOOKUP(GUG92,[13]AssetDetails_UEM!$A$3:$AH$1849,6,FALSE)</f>
        <v>Electrosurgical Units, Monopolar/Bipolar</v>
      </c>
      <c r="GUI92" s="165" t="s">
        <v>945</v>
      </c>
      <c r="GUJ92" s="166" t="str">
        <f>VLOOKUP(GUI92,[13]AssetDetails_UEM!$A$3:$AH$1849,6,FALSE)</f>
        <v>Electrosurgical Units, Monopolar/Bipolar</v>
      </c>
      <c r="GUK92" s="165" t="s">
        <v>945</v>
      </c>
      <c r="GUL92" s="166" t="str">
        <f>VLOOKUP(GUK92,[13]AssetDetails_UEM!$A$3:$AH$1849,6,FALSE)</f>
        <v>Electrosurgical Units, Monopolar/Bipolar</v>
      </c>
      <c r="GUM92" s="165" t="s">
        <v>945</v>
      </c>
      <c r="GUN92" s="166" t="str">
        <f>VLOOKUP(GUM92,[13]AssetDetails_UEM!$A$3:$AH$1849,6,FALSE)</f>
        <v>Electrosurgical Units, Monopolar/Bipolar</v>
      </c>
      <c r="GUO92" s="165" t="s">
        <v>945</v>
      </c>
      <c r="GUP92" s="166" t="str">
        <f>VLOOKUP(GUO92,[13]AssetDetails_UEM!$A$3:$AH$1849,6,FALSE)</f>
        <v>Electrosurgical Units, Monopolar/Bipolar</v>
      </c>
      <c r="GUQ92" s="165" t="s">
        <v>945</v>
      </c>
      <c r="GUR92" s="166" t="str">
        <f>VLOOKUP(GUQ92,[13]AssetDetails_UEM!$A$3:$AH$1849,6,FALSE)</f>
        <v>Electrosurgical Units, Monopolar/Bipolar</v>
      </c>
      <c r="GUS92" s="165" t="s">
        <v>945</v>
      </c>
      <c r="GUT92" s="166" t="str">
        <f>VLOOKUP(GUS92,[13]AssetDetails_UEM!$A$3:$AH$1849,6,FALSE)</f>
        <v>Electrosurgical Units, Monopolar/Bipolar</v>
      </c>
      <c r="GUU92" s="165" t="s">
        <v>945</v>
      </c>
      <c r="GUV92" s="166" t="str">
        <f>VLOOKUP(GUU92,[13]AssetDetails_UEM!$A$3:$AH$1849,6,FALSE)</f>
        <v>Electrosurgical Units, Monopolar/Bipolar</v>
      </c>
      <c r="GUW92" s="165" t="s">
        <v>945</v>
      </c>
      <c r="GUX92" s="166" t="str">
        <f>VLOOKUP(GUW92,[13]AssetDetails_UEM!$A$3:$AH$1849,6,FALSE)</f>
        <v>Electrosurgical Units, Monopolar/Bipolar</v>
      </c>
      <c r="GUY92" s="165" t="s">
        <v>945</v>
      </c>
      <c r="GUZ92" s="166" t="str">
        <f>VLOOKUP(GUY92,[13]AssetDetails_UEM!$A$3:$AH$1849,6,FALSE)</f>
        <v>Electrosurgical Units, Monopolar/Bipolar</v>
      </c>
      <c r="GVA92" s="165" t="s">
        <v>945</v>
      </c>
      <c r="GVB92" s="166" t="str">
        <f>VLOOKUP(GVA92,[13]AssetDetails_UEM!$A$3:$AH$1849,6,FALSE)</f>
        <v>Electrosurgical Units, Monopolar/Bipolar</v>
      </c>
      <c r="GVC92" s="165" t="s">
        <v>945</v>
      </c>
      <c r="GVD92" s="166" t="str">
        <f>VLOOKUP(GVC92,[13]AssetDetails_UEM!$A$3:$AH$1849,6,FALSE)</f>
        <v>Electrosurgical Units, Monopolar/Bipolar</v>
      </c>
      <c r="GVE92" s="165" t="s">
        <v>945</v>
      </c>
      <c r="GVF92" s="166" t="str">
        <f>VLOOKUP(GVE92,[13]AssetDetails_UEM!$A$3:$AH$1849,6,FALSE)</f>
        <v>Electrosurgical Units, Monopolar/Bipolar</v>
      </c>
      <c r="GVG92" s="165" t="s">
        <v>945</v>
      </c>
      <c r="GVH92" s="166" t="str">
        <f>VLOOKUP(GVG92,[13]AssetDetails_UEM!$A$3:$AH$1849,6,FALSE)</f>
        <v>Electrosurgical Units, Monopolar/Bipolar</v>
      </c>
      <c r="GVI92" s="165" t="s">
        <v>945</v>
      </c>
      <c r="GVJ92" s="166" t="str">
        <f>VLOOKUP(GVI92,[13]AssetDetails_UEM!$A$3:$AH$1849,6,FALSE)</f>
        <v>Electrosurgical Units, Monopolar/Bipolar</v>
      </c>
      <c r="GVK92" s="165" t="s">
        <v>945</v>
      </c>
      <c r="GVL92" s="166" t="str">
        <f>VLOOKUP(GVK92,[13]AssetDetails_UEM!$A$3:$AH$1849,6,FALSE)</f>
        <v>Electrosurgical Units, Monopolar/Bipolar</v>
      </c>
      <c r="GVM92" s="165" t="s">
        <v>945</v>
      </c>
      <c r="GVN92" s="166" t="str">
        <f>VLOOKUP(GVM92,[13]AssetDetails_UEM!$A$3:$AH$1849,6,FALSE)</f>
        <v>Electrosurgical Units, Monopolar/Bipolar</v>
      </c>
      <c r="GVO92" s="165" t="s">
        <v>945</v>
      </c>
      <c r="GVP92" s="166" t="str">
        <f>VLOOKUP(GVO92,[13]AssetDetails_UEM!$A$3:$AH$1849,6,FALSE)</f>
        <v>Electrosurgical Units, Monopolar/Bipolar</v>
      </c>
      <c r="GVQ92" s="165" t="s">
        <v>945</v>
      </c>
      <c r="GVR92" s="166" t="str">
        <f>VLOOKUP(GVQ92,[13]AssetDetails_UEM!$A$3:$AH$1849,6,FALSE)</f>
        <v>Electrosurgical Units, Monopolar/Bipolar</v>
      </c>
      <c r="GVS92" s="165" t="s">
        <v>945</v>
      </c>
      <c r="GVT92" s="166" t="str">
        <f>VLOOKUP(GVS92,[13]AssetDetails_UEM!$A$3:$AH$1849,6,FALSE)</f>
        <v>Electrosurgical Units, Monopolar/Bipolar</v>
      </c>
      <c r="GVU92" s="165" t="s">
        <v>945</v>
      </c>
      <c r="GVV92" s="166" t="str">
        <f>VLOOKUP(GVU92,[13]AssetDetails_UEM!$A$3:$AH$1849,6,FALSE)</f>
        <v>Electrosurgical Units, Monopolar/Bipolar</v>
      </c>
      <c r="GVW92" s="165" t="s">
        <v>945</v>
      </c>
      <c r="GVX92" s="166" t="str">
        <f>VLOOKUP(GVW92,[13]AssetDetails_UEM!$A$3:$AH$1849,6,FALSE)</f>
        <v>Electrosurgical Units, Monopolar/Bipolar</v>
      </c>
      <c r="GVY92" s="165" t="s">
        <v>945</v>
      </c>
      <c r="GVZ92" s="166" t="str">
        <f>VLOOKUP(GVY92,[13]AssetDetails_UEM!$A$3:$AH$1849,6,FALSE)</f>
        <v>Electrosurgical Units, Monopolar/Bipolar</v>
      </c>
      <c r="GWA92" s="165" t="s">
        <v>945</v>
      </c>
      <c r="GWB92" s="166" t="str">
        <f>VLOOKUP(GWA92,[13]AssetDetails_UEM!$A$3:$AH$1849,6,FALSE)</f>
        <v>Electrosurgical Units, Monopolar/Bipolar</v>
      </c>
      <c r="GWC92" s="165" t="s">
        <v>945</v>
      </c>
      <c r="GWD92" s="166" t="str">
        <f>VLOOKUP(GWC92,[13]AssetDetails_UEM!$A$3:$AH$1849,6,FALSE)</f>
        <v>Electrosurgical Units, Monopolar/Bipolar</v>
      </c>
      <c r="GWE92" s="165" t="s">
        <v>945</v>
      </c>
      <c r="GWF92" s="166" t="str">
        <f>VLOOKUP(GWE92,[13]AssetDetails_UEM!$A$3:$AH$1849,6,FALSE)</f>
        <v>Electrosurgical Units, Monopolar/Bipolar</v>
      </c>
      <c r="GWG92" s="165" t="s">
        <v>945</v>
      </c>
      <c r="GWH92" s="166" t="str">
        <f>VLOOKUP(GWG92,[13]AssetDetails_UEM!$A$3:$AH$1849,6,FALSE)</f>
        <v>Electrosurgical Units, Monopolar/Bipolar</v>
      </c>
      <c r="GWI92" s="165" t="s">
        <v>945</v>
      </c>
      <c r="GWJ92" s="166" t="str">
        <f>VLOOKUP(GWI92,[13]AssetDetails_UEM!$A$3:$AH$1849,6,FALSE)</f>
        <v>Electrosurgical Units, Monopolar/Bipolar</v>
      </c>
      <c r="GWK92" s="165" t="s">
        <v>945</v>
      </c>
      <c r="GWL92" s="166" t="str">
        <f>VLOOKUP(GWK92,[13]AssetDetails_UEM!$A$3:$AH$1849,6,FALSE)</f>
        <v>Electrosurgical Units, Monopolar/Bipolar</v>
      </c>
      <c r="GWM92" s="165" t="s">
        <v>945</v>
      </c>
      <c r="GWN92" s="166" t="str">
        <f>VLOOKUP(GWM92,[13]AssetDetails_UEM!$A$3:$AH$1849,6,FALSE)</f>
        <v>Electrosurgical Units, Monopolar/Bipolar</v>
      </c>
      <c r="GWO92" s="165" t="s">
        <v>945</v>
      </c>
      <c r="GWP92" s="166" t="str">
        <f>VLOOKUP(GWO92,[13]AssetDetails_UEM!$A$3:$AH$1849,6,FALSE)</f>
        <v>Electrosurgical Units, Monopolar/Bipolar</v>
      </c>
      <c r="GWQ92" s="165" t="s">
        <v>945</v>
      </c>
      <c r="GWR92" s="166" t="str">
        <f>VLOOKUP(GWQ92,[13]AssetDetails_UEM!$A$3:$AH$1849,6,FALSE)</f>
        <v>Electrosurgical Units, Monopolar/Bipolar</v>
      </c>
      <c r="GWS92" s="165" t="s">
        <v>945</v>
      </c>
      <c r="GWT92" s="166" t="str">
        <f>VLOOKUP(GWS92,[13]AssetDetails_UEM!$A$3:$AH$1849,6,FALSE)</f>
        <v>Electrosurgical Units, Monopolar/Bipolar</v>
      </c>
      <c r="GWU92" s="165" t="s">
        <v>945</v>
      </c>
      <c r="GWV92" s="166" t="str">
        <f>VLOOKUP(GWU92,[13]AssetDetails_UEM!$A$3:$AH$1849,6,FALSE)</f>
        <v>Electrosurgical Units, Monopolar/Bipolar</v>
      </c>
      <c r="GWW92" s="165" t="s">
        <v>945</v>
      </c>
      <c r="GWX92" s="166" t="str">
        <f>VLOOKUP(GWW92,[13]AssetDetails_UEM!$A$3:$AH$1849,6,FALSE)</f>
        <v>Electrosurgical Units, Monopolar/Bipolar</v>
      </c>
      <c r="GWY92" s="165" t="s">
        <v>945</v>
      </c>
      <c r="GWZ92" s="166" t="str">
        <f>VLOOKUP(GWY92,[13]AssetDetails_UEM!$A$3:$AH$1849,6,FALSE)</f>
        <v>Electrosurgical Units, Monopolar/Bipolar</v>
      </c>
      <c r="GXA92" s="165" t="s">
        <v>945</v>
      </c>
      <c r="GXB92" s="166" t="str">
        <f>VLOOKUP(GXA92,[13]AssetDetails_UEM!$A$3:$AH$1849,6,FALSE)</f>
        <v>Electrosurgical Units, Monopolar/Bipolar</v>
      </c>
      <c r="GXC92" s="165" t="s">
        <v>945</v>
      </c>
      <c r="GXD92" s="166" t="str">
        <f>VLOOKUP(GXC92,[13]AssetDetails_UEM!$A$3:$AH$1849,6,FALSE)</f>
        <v>Electrosurgical Units, Monopolar/Bipolar</v>
      </c>
      <c r="GXE92" s="165" t="s">
        <v>945</v>
      </c>
      <c r="GXF92" s="166" t="str">
        <f>VLOOKUP(GXE92,[13]AssetDetails_UEM!$A$3:$AH$1849,6,FALSE)</f>
        <v>Electrosurgical Units, Monopolar/Bipolar</v>
      </c>
      <c r="GXG92" s="165" t="s">
        <v>945</v>
      </c>
      <c r="GXH92" s="166" t="str">
        <f>VLOOKUP(GXG92,[13]AssetDetails_UEM!$A$3:$AH$1849,6,FALSE)</f>
        <v>Electrosurgical Units, Monopolar/Bipolar</v>
      </c>
      <c r="GXI92" s="165" t="s">
        <v>945</v>
      </c>
      <c r="GXJ92" s="166" t="str">
        <f>VLOOKUP(GXI92,[13]AssetDetails_UEM!$A$3:$AH$1849,6,FALSE)</f>
        <v>Electrosurgical Units, Monopolar/Bipolar</v>
      </c>
      <c r="GXK92" s="165" t="s">
        <v>945</v>
      </c>
      <c r="GXL92" s="166" t="str">
        <f>VLOOKUP(GXK92,[13]AssetDetails_UEM!$A$3:$AH$1849,6,FALSE)</f>
        <v>Electrosurgical Units, Monopolar/Bipolar</v>
      </c>
      <c r="GXM92" s="165" t="s">
        <v>945</v>
      </c>
      <c r="GXN92" s="166" t="str">
        <f>VLOOKUP(GXM92,[13]AssetDetails_UEM!$A$3:$AH$1849,6,FALSE)</f>
        <v>Electrosurgical Units, Monopolar/Bipolar</v>
      </c>
      <c r="GXO92" s="165" t="s">
        <v>945</v>
      </c>
      <c r="GXP92" s="166" t="str">
        <f>VLOOKUP(GXO92,[13]AssetDetails_UEM!$A$3:$AH$1849,6,FALSE)</f>
        <v>Electrosurgical Units, Monopolar/Bipolar</v>
      </c>
      <c r="GXQ92" s="165" t="s">
        <v>945</v>
      </c>
      <c r="GXR92" s="166" t="str">
        <f>VLOOKUP(GXQ92,[13]AssetDetails_UEM!$A$3:$AH$1849,6,FALSE)</f>
        <v>Electrosurgical Units, Monopolar/Bipolar</v>
      </c>
      <c r="GXS92" s="165" t="s">
        <v>945</v>
      </c>
      <c r="GXT92" s="166" t="str">
        <f>VLOOKUP(GXS92,[13]AssetDetails_UEM!$A$3:$AH$1849,6,FALSE)</f>
        <v>Electrosurgical Units, Monopolar/Bipolar</v>
      </c>
      <c r="GXU92" s="165" t="s">
        <v>945</v>
      </c>
      <c r="GXV92" s="166" t="str">
        <f>VLOOKUP(GXU92,[13]AssetDetails_UEM!$A$3:$AH$1849,6,FALSE)</f>
        <v>Electrosurgical Units, Monopolar/Bipolar</v>
      </c>
      <c r="GXW92" s="165" t="s">
        <v>945</v>
      </c>
      <c r="GXX92" s="166" t="str">
        <f>VLOOKUP(GXW92,[13]AssetDetails_UEM!$A$3:$AH$1849,6,FALSE)</f>
        <v>Electrosurgical Units, Monopolar/Bipolar</v>
      </c>
      <c r="GXY92" s="165" t="s">
        <v>945</v>
      </c>
      <c r="GXZ92" s="166" t="str">
        <f>VLOOKUP(GXY92,[13]AssetDetails_UEM!$A$3:$AH$1849,6,FALSE)</f>
        <v>Electrosurgical Units, Monopolar/Bipolar</v>
      </c>
      <c r="GYA92" s="165" t="s">
        <v>945</v>
      </c>
      <c r="GYB92" s="166" t="str">
        <f>VLOOKUP(GYA92,[13]AssetDetails_UEM!$A$3:$AH$1849,6,FALSE)</f>
        <v>Electrosurgical Units, Monopolar/Bipolar</v>
      </c>
      <c r="GYC92" s="165" t="s">
        <v>945</v>
      </c>
      <c r="GYD92" s="166" t="str">
        <f>VLOOKUP(GYC92,[13]AssetDetails_UEM!$A$3:$AH$1849,6,FALSE)</f>
        <v>Electrosurgical Units, Monopolar/Bipolar</v>
      </c>
      <c r="GYE92" s="165" t="s">
        <v>945</v>
      </c>
      <c r="GYF92" s="166" t="str">
        <f>VLOOKUP(GYE92,[13]AssetDetails_UEM!$A$3:$AH$1849,6,FALSE)</f>
        <v>Electrosurgical Units, Monopolar/Bipolar</v>
      </c>
      <c r="GYG92" s="165" t="s">
        <v>945</v>
      </c>
      <c r="GYH92" s="166" t="str">
        <f>VLOOKUP(GYG92,[13]AssetDetails_UEM!$A$3:$AH$1849,6,FALSE)</f>
        <v>Electrosurgical Units, Monopolar/Bipolar</v>
      </c>
      <c r="GYI92" s="165" t="s">
        <v>945</v>
      </c>
      <c r="GYJ92" s="166" t="str">
        <f>VLOOKUP(GYI92,[13]AssetDetails_UEM!$A$3:$AH$1849,6,FALSE)</f>
        <v>Electrosurgical Units, Monopolar/Bipolar</v>
      </c>
      <c r="GYK92" s="165" t="s">
        <v>945</v>
      </c>
      <c r="GYL92" s="166" t="str">
        <f>VLOOKUP(GYK92,[13]AssetDetails_UEM!$A$3:$AH$1849,6,FALSE)</f>
        <v>Electrosurgical Units, Monopolar/Bipolar</v>
      </c>
      <c r="GYM92" s="165" t="s">
        <v>945</v>
      </c>
      <c r="GYN92" s="166" t="str">
        <f>VLOOKUP(GYM92,[13]AssetDetails_UEM!$A$3:$AH$1849,6,FALSE)</f>
        <v>Electrosurgical Units, Monopolar/Bipolar</v>
      </c>
      <c r="GYO92" s="165" t="s">
        <v>945</v>
      </c>
      <c r="GYP92" s="166" t="str">
        <f>VLOOKUP(GYO92,[13]AssetDetails_UEM!$A$3:$AH$1849,6,FALSE)</f>
        <v>Electrosurgical Units, Monopolar/Bipolar</v>
      </c>
      <c r="GYQ92" s="165" t="s">
        <v>945</v>
      </c>
      <c r="GYR92" s="166" t="str">
        <f>VLOOKUP(GYQ92,[13]AssetDetails_UEM!$A$3:$AH$1849,6,FALSE)</f>
        <v>Electrosurgical Units, Monopolar/Bipolar</v>
      </c>
      <c r="GYS92" s="165" t="s">
        <v>945</v>
      </c>
      <c r="GYT92" s="166" t="str">
        <f>VLOOKUP(GYS92,[13]AssetDetails_UEM!$A$3:$AH$1849,6,FALSE)</f>
        <v>Electrosurgical Units, Monopolar/Bipolar</v>
      </c>
      <c r="GYU92" s="165" t="s">
        <v>945</v>
      </c>
      <c r="GYV92" s="166" t="str">
        <f>VLOOKUP(GYU92,[13]AssetDetails_UEM!$A$3:$AH$1849,6,FALSE)</f>
        <v>Electrosurgical Units, Monopolar/Bipolar</v>
      </c>
      <c r="GYW92" s="165" t="s">
        <v>945</v>
      </c>
      <c r="GYX92" s="166" t="str">
        <f>VLOOKUP(GYW92,[13]AssetDetails_UEM!$A$3:$AH$1849,6,FALSE)</f>
        <v>Electrosurgical Units, Monopolar/Bipolar</v>
      </c>
      <c r="GYY92" s="165" t="s">
        <v>945</v>
      </c>
      <c r="GYZ92" s="166" t="str">
        <f>VLOOKUP(GYY92,[13]AssetDetails_UEM!$A$3:$AH$1849,6,FALSE)</f>
        <v>Electrosurgical Units, Monopolar/Bipolar</v>
      </c>
      <c r="GZA92" s="165" t="s">
        <v>945</v>
      </c>
      <c r="GZB92" s="166" t="str">
        <f>VLOOKUP(GZA92,[13]AssetDetails_UEM!$A$3:$AH$1849,6,FALSE)</f>
        <v>Electrosurgical Units, Monopolar/Bipolar</v>
      </c>
      <c r="GZC92" s="165" t="s">
        <v>945</v>
      </c>
      <c r="GZD92" s="166" t="str">
        <f>VLOOKUP(GZC92,[13]AssetDetails_UEM!$A$3:$AH$1849,6,FALSE)</f>
        <v>Electrosurgical Units, Monopolar/Bipolar</v>
      </c>
      <c r="GZE92" s="165" t="s">
        <v>945</v>
      </c>
      <c r="GZF92" s="166" t="str">
        <f>VLOOKUP(GZE92,[13]AssetDetails_UEM!$A$3:$AH$1849,6,FALSE)</f>
        <v>Electrosurgical Units, Monopolar/Bipolar</v>
      </c>
      <c r="GZG92" s="165" t="s">
        <v>945</v>
      </c>
      <c r="GZH92" s="166" t="str">
        <f>VLOOKUP(GZG92,[13]AssetDetails_UEM!$A$3:$AH$1849,6,FALSE)</f>
        <v>Electrosurgical Units, Monopolar/Bipolar</v>
      </c>
      <c r="GZI92" s="165" t="s">
        <v>945</v>
      </c>
      <c r="GZJ92" s="166" t="str">
        <f>VLOOKUP(GZI92,[13]AssetDetails_UEM!$A$3:$AH$1849,6,FALSE)</f>
        <v>Electrosurgical Units, Monopolar/Bipolar</v>
      </c>
      <c r="GZK92" s="165" t="s">
        <v>945</v>
      </c>
      <c r="GZL92" s="166" t="str">
        <f>VLOOKUP(GZK92,[13]AssetDetails_UEM!$A$3:$AH$1849,6,FALSE)</f>
        <v>Electrosurgical Units, Monopolar/Bipolar</v>
      </c>
      <c r="GZM92" s="165" t="s">
        <v>945</v>
      </c>
      <c r="GZN92" s="166" t="str">
        <f>VLOOKUP(GZM92,[13]AssetDetails_UEM!$A$3:$AH$1849,6,FALSE)</f>
        <v>Electrosurgical Units, Monopolar/Bipolar</v>
      </c>
      <c r="GZO92" s="165" t="s">
        <v>945</v>
      </c>
      <c r="GZP92" s="166" t="str">
        <f>VLOOKUP(GZO92,[13]AssetDetails_UEM!$A$3:$AH$1849,6,FALSE)</f>
        <v>Electrosurgical Units, Monopolar/Bipolar</v>
      </c>
      <c r="GZQ92" s="165" t="s">
        <v>945</v>
      </c>
      <c r="GZR92" s="166" t="str">
        <f>VLOOKUP(GZQ92,[13]AssetDetails_UEM!$A$3:$AH$1849,6,FALSE)</f>
        <v>Electrosurgical Units, Monopolar/Bipolar</v>
      </c>
      <c r="GZS92" s="165" t="s">
        <v>945</v>
      </c>
      <c r="GZT92" s="166" t="str">
        <f>VLOOKUP(GZS92,[13]AssetDetails_UEM!$A$3:$AH$1849,6,FALSE)</f>
        <v>Electrosurgical Units, Monopolar/Bipolar</v>
      </c>
      <c r="GZU92" s="165" t="s">
        <v>945</v>
      </c>
      <c r="GZV92" s="166" t="str">
        <f>VLOOKUP(GZU92,[13]AssetDetails_UEM!$A$3:$AH$1849,6,FALSE)</f>
        <v>Electrosurgical Units, Monopolar/Bipolar</v>
      </c>
      <c r="GZW92" s="165" t="s">
        <v>945</v>
      </c>
      <c r="GZX92" s="166" t="str">
        <f>VLOOKUP(GZW92,[13]AssetDetails_UEM!$A$3:$AH$1849,6,FALSE)</f>
        <v>Electrosurgical Units, Monopolar/Bipolar</v>
      </c>
      <c r="GZY92" s="165" t="s">
        <v>945</v>
      </c>
      <c r="GZZ92" s="166" t="str">
        <f>VLOOKUP(GZY92,[13]AssetDetails_UEM!$A$3:$AH$1849,6,FALSE)</f>
        <v>Electrosurgical Units, Monopolar/Bipolar</v>
      </c>
      <c r="HAA92" s="165" t="s">
        <v>945</v>
      </c>
      <c r="HAB92" s="166" t="str">
        <f>VLOOKUP(HAA92,[13]AssetDetails_UEM!$A$3:$AH$1849,6,FALSE)</f>
        <v>Electrosurgical Units, Monopolar/Bipolar</v>
      </c>
      <c r="HAC92" s="165" t="s">
        <v>945</v>
      </c>
      <c r="HAD92" s="166" t="str">
        <f>VLOOKUP(HAC92,[13]AssetDetails_UEM!$A$3:$AH$1849,6,FALSE)</f>
        <v>Electrosurgical Units, Monopolar/Bipolar</v>
      </c>
      <c r="HAE92" s="165" t="s">
        <v>945</v>
      </c>
      <c r="HAF92" s="166" t="str">
        <f>VLOOKUP(HAE92,[13]AssetDetails_UEM!$A$3:$AH$1849,6,FALSE)</f>
        <v>Electrosurgical Units, Monopolar/Bipolar</v>
      </c>
      <c r="HAG92" s="165" t="s">
        <v>945</v>
      </c>
      <c r="HAH92" s="166" t="str">
        <f>VLOOKUP(HAG92,[13]AssetDetails_UEM!$A$3:$AH$1849,6,FALSE)</f>
        <v>Electrosurgical Units, Monopolar/Bipolar</v>
      </c>
      <c r="HAI92" s="165" t="s">
        <v>945</v>
      </c>
      <c r="HAJ92" s="166" t="str">
        <f>VLOOKUP(HAI92,[13]AssetDetails_UEM!$A$3:$AH$1849,6,FALSE)</f>
        <v>Electrosurgical Units, Monopolar/Bipolar</v>
      </c>
      <c r="HAK92" s="165" t="s">
        <v>945</v>
      </c>
      <c r="HAL92" s="166" t="str">
        <f>VLOOKUP(HAK92,[13]AssetDetails_UEM!$A$3:$AH$1849,6,FALSE)</f>
        <v>Electrosurgical Units, Monopolar/Bipolar</v>
      </c>
      <c r="HAM92" s="165" t="s">
        <v>945</v>
      </c>
      <c r="HAN92" s="166" t="str">
        <f>VLOOKUP(HAM92,[13]AssetDetails_UEM!$A$3:$AH$1849,6,FALSE)</f>
        <v>Electrosurgical Units, Monopolar/Bipolar</v>
      </c>
      <c r="HAO92" s="165" t="s">
        <v>945</v>
      </c>
      <c r="HAP92" s="166" t="str">
        <f>VLOOKUP(HAO92,[13]AssetDetails_UEM!$A$3:$AH$1849,6,FALSE)</f>
        <v>Electrosurgical Units, Monopolar/Bipolar</v>
      </c>
      <c r="HAQ92" s="165" t="s">
        <v>945</v>
      </c>
      <c r="HAR92" s="166" t="str">
        <f>VLOOKUP(HAQ92,[13]AssetDetails_UEM!$A$3:$AH$1849,6,FALSE)</f>
        <v>Electrosurgical Units, Monopolar/Bipolar</v>
      </c>
      <c r="HAS92" s="165" t="s">
        <v>945</v>
      </c>
      <c r="HAT92" s="166" t="str">
        <f>VLOOKUP(HAS92,[13]AssetDetails_UEM!$A$3:$AH$1849,6,FALSE)</f>
        <v>Electrosurgical Units, Monopolar/Bipolar</v>
      </c>
      <c r="HAU92" s="165" t="s">
        <v>945</v>
      </c>
      <c r="HAV92" s="166" t="str">
        <f>VLOOKUP(HAU92,[13]AssetDetails_UEM!$A$3:$AH$1849,6,FALSE)</f>
        <v>Electrosurgical Units, Monopolar/Bipolar</v>
      </c>
      <c r="HAW92" s="165" t="s">
        <v>945</v>
      </c>
      <c r="HAX92" s="166" t="str">
        <f>VLOOKUP(HAW92,[13]AssetDetails_UEM!$A$3:$AH$1849,6,FALSE)</f>
        <v>Electrosurgical Units, Monopolar/Bipolar</v>
      </c>
      <c r="HAY92" s="165" t="s">
        <v>945</v>
      </c>
      <c r="HAZ92" s="166" t="str">
        <f>VLOOKUP(HAY92,[13]AssetDetails_UEM!$A$3:$AH$1849,6,FALSE)</f>
        <v>Electrosurgical Units, Monopolar/Bipolar</v>
      </c>
      <c r="HBA92" s="165" t="s">
        <v>945</v>
      </c>
      <c r="HBB92" s="166" t="str">
        <f>VLOOKUP(HBA92,[13]AssetDetails_UEM!$A$3:$AH$1849,6,FALSE)</f>
        <v>Electrosurgical Units, Monopolar/Bipolar</v>
      </c>
      <c r="HBC92" s="165" t="s">
        <v>945</v>
      </c>
      <c r="HBD92" s="166" t="str">
        <f>VLOOKUP(HBC92,[13]AssetDetails_UEM!$A$3:$AH$1849,6,FALSE)</f>
        <v>Electrosurgical Units, Monopolar/Bipolar</v>
      </c>
      <c r="HBE92" s="165" t="s">
        <v>945</v>
      </c>
      <c r="HBF92" s="166" t="str">
        <f>VLOOKUP(HBE92,[13]AssetDetails_UEM!$A$3:$AH$1849,6,FALSE)</f>
        <v>Electrosurgical Units, Monopolar/Bipolar</v>
      </c>
      <c r="HBG92" s="165" t="s">
        <v>945</v>
      </c>
      <c r="HBH92" s="166" t="str">
        <f>VLOOKUP(HBG92,[13]AssetDetails_UEM!$A$3:$AH$1849,6,FALSE)</f>
        <v>Electrosurgical Units, Monopolar/Bipolar</v>
      </c>
      <c r="HBI92" s="165" t="s">
        <v>945</v>
      </c>
      <c r="HBJ92" s="166" t="str">
        <f>VLOOKUP(HBI92,[13]AssetDetails_UEM!$A$3:$AH$1849,6,FALSE)</f>
        <v>Electrosurgical Units, Monopolar/Bipolar</v>
      </c>
      <c r="HBK92" s="165" t="s">
        <v>945</v>
      </c>
      <c r="HBL92" s="166" t="str">
        <f>VLOOKUP(HBK92,[13]AssetDetails_UEM!$A$3:$AH$1849,6,FALSE)</f>
        <v>Electrosurgical Units, Monopolar/Bipolar</v>
      </c>
      <c r="HBM92" s="165" t="s">
        <v>945</v>
      </c>
      <c r="HBN92" s="166" t="str">
        <f>VLOOKUP(HBM92,[13]AssetDetails_UEM!$A$3:$AH$1849,6,FALSE)</f>
        <v>Electrosurgical Units, Monopolar/Bipolar</v>
      </c>
      <c r="HBO92" s="165" t="s">
        <v>945</v>
      </c>
      <c r="HBP92" s="166" t="str">
        <f>VLOOKUP(HBO92,[13]AssetDetails_UEM!$A$3:$AH$1849,6,FALSE)</f>
        <v>Electrosurgical Units, Monopolar/Bipolar</v>
      </c>
      <c r="HBQ92" s="165" t="s">
        <v>945</v>
      </c>
      <c r="HBR92" s="166" t="str">
        <f>VLOOKUP(HBQ92,[13]AssetDetails_UEM!$A$3:$AH$1849,6,FALSE)</f>
        <v>Electrosurgical Units, Monopolar/Bipolar</v>
      </c>
      <c r="HBS92" s="165" t="s">
        <v>945</v>
      </c>
      <c r="HBT92" s="166" t="str">
        <f>VLOOKUP(HBS92,[13]AssetDetails_UEM!$A$3:$AH$1849,6,FALSE)</f>
        <v>Electrosurgical Units, Monopolar/Bipolar</v>
      </c>
      <c r="HBU92" s="165" t="s">
        <v>945</v>
      </c>
      <c r="HBV92" s="166" t="str">
        <f>VLOOKUP(HBU92,[13]AssetDetails_UEM!$A$3:$AH$1849,6,FALSE)</f>
        <v>Electrosurgical Units, Monopolar/Bipolar</v>
      </c>
      <c r="HBW92" s="165" t="s">
        <v>945</v>
      </c>
      <c r="HBX92" s="166" t="str">
        <f>VLOOKUP(HBW92,[13]AssetDetails_UEM!$A$3:$AH$1849,6,FALSE)</f>
        <v>Electrosurgical Units, Monopolar/Bipolar</v>
      </c>
      <c r="HBY92" s="165" t="s">
        <v>945</v>
      </c>
      <c r="HBZ92" s="166" t="str">
        <f>VLOOKUP(HBY92,[13]AssetDetails_UEM!$A$3:$AH$1849,6,FALSE)</f>
        <v>Electrosurgical Units, Monopolar/Bipolar</v>
      </c>
      <c r="HCA92" s="165" t="s">
        <v>945</v>
      </c>
      <c r="HCB92" s="166" t="str">
        <f>VLOOKUP(HCA92,[13]AssetDetails_UEM!$A$3:$AH$1849,6,FALSE)</f>
        <v>Electrosurgical Units, Monopolar/Bipolar</v>
      </c>
      <c r="HCC92" s="165" t="s">
        <v>945</v>
      </c>
      <c r="HCD92" s="166" t="str">
        <f>VLOOKUP(HCC92,[13]AssetDetails_UEM!$A$3:$AH$1849,6,FALSE)</f>
        <v>Electrosurgical Units, Monopolar/Bipolar</v>
      </c>
      <c r="HCE92" s="165" t="s">
        <v>945</v>
      </c>
      <c r="HCF92" s="166" t="str">
        <f>VLOOKUP(HCE92,[13]AssetDetails_UEM!$A$3:$AH$1849,6,FALSE)</f>
        <v>Electrosurgical Units, Monopolar/Bipolar</v>
      </c>
      <c r="HCG92" s="165" t="s">
        <v>945</v>
      </c>
      <c r="HCH92" s="166" t="str">
        <f>VLOOKUP(HCG92,[13]AssetDetails_UEM!$A$3:$AH$1849,6,FALSE)</f>
        <v>Electrosurgical Units, Monopolar/Bipolar</v>
      </c>
      <c r="HCI92" s="165" t="s">
        <v>945</v>
      </c>
      <c r="HCJ92" s="166" t="str">
        <f>VLOOKUP(HCI92,[13]AssetDetails_UEM!$A$3:$AH$1849,6,FALSE)</f>
        <v>Electrosurgical Units, Monopolar/Bipolar</v>
      </c>
      <c r="HCK92" s="165" t="s">
        <v>945</v>
      </c>
      <c r="HCL92" s="166" t="str">
        <f>VLOOKUP(HCK92,[13]AssetDetails_UEM!$A$3:$AH$1849,6,FALSE)</f>
        <v>Electrosurgical Units, Monopolar/Bipolar</v>
      </c>
      <c r="HCM92" s="165" t="s">
        <v>945</v>
      </c>
      <c r="HCN92" s="166" t="str">
        <f>VLOOKUP(HCM92,[13]AssetDetails_UEM!$A$3:$AH$1849,6,FALSE)</f>
        <v>Electrosurgical Units, Monopolar/Bipolar</v>
      </c>
      <c r="HCO92" s="165" t="s">
        <v>945</v>
      </c>
      <c r="HCP92" s="166" t="str">
        <f>VLOOKUP(HCO92,[13]AssetDetails_UEM!$A$3:$AH$1849,6,FALSE)</f>
        <v>Electrosurgical Units, Monopolar/Bipolar</v>
      </c>
      <c r="HCQ92" s="165" t="s">
        <v>945</v>
      </c>
      <c r="HCR92" s="166" t="str">
        <f>VLOOKUP(HCQ92,[13]AssetDetails_UEM!$A$3:$AH$1849,6,FALSE)</f>
        <v>Electrosurgical Units, Monopolar/Bipolar</v>
      </c>
      <c r="HCS92" s="165" t="s">
        <v>945</v>
      </c>
      <c r="HCT92" s="166" t="str">
        <f>VLOOKUP(HCS92,[13]AssetDetails_UEM!$A$3:$AH$1849,6,FALSE)</f>
        <v>Electrosurgical Units, Monopolar/Bipolar</v>
      </c>
      <c r="HCU92" s="165" t="s">
        <v>945</v>
      </c>
      <c r="HCV92" s="166" t="str">
        <f>VLOOKUP(HCU92,[13]AssetDetails_UEM!$A$3:$AH$1849,6,FALSE)</f>
        <v>Electrosurgical Units, Monopolar/Bipolar</v>
      </c>
      <c r="HCW92" s="165" t="s">
        <v>945</v>
      </c>
      <c r="HCX92" s="166" t="str">
        <f>VLOOKUP(HCW92,[13]AssetDetails_UEM!$A$3:$AH$1849,6,FALSE)</f>
        <v>Electrosurgical Units, Monopolar/Bipolar</v>
      </c>
      <c r="HCY92" s="165" t="s">
        <v>945</v>
      </c>
      <c r="HCZ92" s="166" t="str">
        <f>VLOOKUP(HCY92,[13]AssetDetails_UEM!$A$3:$AH$1849,6,FALSE)</f>
        <v>Electrosurgical Units, Monopolar/Bipolar</v>
      </c>
      <c r="HDA92" s="165" t="s">
        <v>945</v>
      </c>
      <c r="HDB92" s="166" t="str">
        <f>VLOOKUP(HDA92,[13]AssetDetails_UEM!$A$3:$AH$1849,6,FALSE)</f>
        <v>Electrosurgical Units, Monopolar/Bipolar</v>
      </c>
      <c r="HDC92" s="165" t="s">
        <v>945</v>
      </c>
      <c r="HDD92" s="166" t="str">
        <f>VLOOKUP(HDC92,[13]AssetDetails_UEM!$A$3:$AH$1849,6,FALSE)</f>
        <v>Electrosurgical Units, Monopolar/Bipolar</v>
      </c>
      <c r="HDE92" s="165" t="s">
        <v>945</v>
      </c>
      <c r="HDF92" s="166" t="str">
        <f>VLOOKUP(HDE92,[13]AssetDetails_UEM!$A$3:$AH$1849,6,FALSE)</f>
        <v>Electrosurgical Units, Monopolar/Bipolar</v>
      </c>
      <c r="HDG92" s="165" t="s">
        <v>945</v>
      </c>
      <c r="HDH92" s="166" t="str">
        <f>VLOOKUP(HDG92,[13]AssetDetails_UEM!$A$3:$AH$1849,6,FALSE)</f>
        <v>Electrosurgical Units, Monopolar/Bipolar</v>
      </c>
      <c r="HDI92" s="165" t="s">
        <v>945</v>
      </c>
      <c r="HDJ92" s="166" t="str">
        <f>VLOOKUP(HDI92,[13]AssetDetails_UEM!$A$3:$AH$1849,6,FALSE)</f>
        <v>Electrosurgical Units, Monopolar/Bipolar</v>
      </c>
      <c r="HDK92" s="165" t="s">
        <v>945</v>
      </c>
      <c r="HDL92" s="166" t="str">
        <f>VLOOKUP(HDK92,[13]AssetDetails_UEM!$A$3:$AH$1849,6,FALSE)</f>
        <v>Electrosurgical Units, Monopolar/Bipolar</v>
      </c>
      <c r="HDM92" s="165" t="s">
        <v>945</v>
      </c>
      <c r="HDN92" s="166" t="str">
        <f>VLOOKUP(HDM92,[13]AssetDetails_UEM!$A$3:$AH$1849,6,FALSE)</f>
        <v>Electrosurgical Units, Monopolar/Bipolar</v>
      </c>
      <c r="HDO92" s="165" t="s">
        <v>945</v>
      </c>
      <c r="HDP92" s="166" t="str">
        <f>VLOOKUP(HDO92,[13]AssetDetails_UEM!$A$3:$AH$1849,6,FALSE)</f>
        <v>Electrosurgical Units, Monopolar/Bipolar</v>
      </c>
      <c r="HDQ92" s="165" t="s">
        <v>945</v>
      </c>
      <c r="HDR92" s="166" t="str">
        <f>VLOOKUP(HDQ92,[13]AssetDetails_UEM!$A$3:$AH$1849,6,FALSE)</f>
        <v>Electrosurgical Units, Monopolar/Bipolar</v>
      </c>
      <c r="HDS92" s="165" t="s">
        <v>945</v>
      </c>
      <c r="HDT92" s="166" t="str">
        <f>VLOOKUP(HDS92,[13]AssetDetails_UEM!$A$3:$AH$1849,6,FALSE)</f>
        <v>Electrosurgical Units, Monopolar/Bipolar</v>
      </c>
      <c r="HDU92" s="165" t="s">
        <v>945</v>
      </c>
      <c r="HDV92" s="166" t="str">
        <f>VLOOKUP(HDU92,[13]AssetDetails_UEM!$A$3:$AH$1849,6,FALSE)</f>
        <v>Electrosurgical Units, Monopolar/Bipolar</v>
      </c>
      <c r="HDW92" s="165" t="s">
        <v>945</v>
      </c>
      <c r="HDX92" s="166" t="str">
        <f>VLOOKUP(HDW92,[13]AssetDetails_UEM!$A$3:$AH$1849,6,FALSE)</f>
        <v>Electrosurgical Units, Monopolar/Bipolar</v>
      </c>
      <c r="HDY92" s="165" t="s">
        <v>945</v>
      </c>
      <c r="HDZ92" s="166" t="str">
        <f>VLOOKUP(HDY92,[13]AssetDetails_UEM!$A$3:$AH$1849,6,FALSE)</f>
        <v>Electrosurgical Units, Monopolar/Bipolar</v>
      </c>
      <c r="HEA92" s="165" t="s">
        <v>945</v>
      </c>
      <c r="HEB92" s="166" t="str">
        <f>VLOOKUP(HEA92,[13]AssetDetails_UEM!$A$3:$AH$1849,6,FALSE)</f>
        <v>Electrosurgical Units, Monopolar/Bipolar</v>
      </c>
      <c r="HEC92" s="165" t="s">
        <v>945</v>
      </c>
      <c r="HED92" s="166" t="str">
        <f>VLOOKUP(HEC92,[13]AssetDetails_UEM!$A$3:$AH$1849,6,FALSE)</f>
        <v>Electrosurgical Units, Monopolar/Bipolar</v>
      </c>
      <c r="HEE92" s="165" t="s">
        <v>945</v>
      </c>
      <c r="HEF92" s="166" t="str">
        <f>VLOOKUP(HEE92,[13]AssetDetails_UEM!$A$3:$AH$1849,6,FALSE)</f>
        <v>Electrosurgical Units, Monopolar/Bipolar</v>
      </c>
      <c r="HEG92" s="165" t="s">
        <v>945</v>
      </c>
      <c r="HEH92" s="166" t="str">
        <f>VLOOKUP(HEG92,[13]AssetDetails_UEM!$A$3:$AH$1849,6,FALSE)</f>
        <v>Electrosurgical Units, Monopolar/Bipolar</v>
      </c>
      <c r="HEI92" s="165" t="s">
        <v>945</v>
      </c>
      <c r="HEJ92" s="166" t="str">
        <f>VLOOKUP(HEI92,[13]AssetDetails_UEM!$A$3:$AH$1849,6,FALSE)</f>
        <v>Electrosurgical Units, Monopolar/Bipolar</v>
      </c>
      <c r="HEK92" s="165" t="s">
        <v>945</v>
      </c>
      <c r="HEL92" s="166" t="str">
        <f>VLOOKUP(HEK92,[13]AssetDetails_UEM!$A$3:$AH$1849,6,FALSE)</f>
        <v>Electrosurgical Units, Monopolar/Bipolar</v>
      </c>
      <c r="HEM92" s="165" t="s">
        <v>945</v>
      </c>
      <c r="HEN92" s="166" t="str">
        <f>VLOOKUP(HEM92,[13]AssetDetails_UEM!$A$3:$AH$1849,6,FALSE)</f>
        <v>Electrosurgical Units, Monopolar/Bipolar</v>
      </c>
      <c r="HEO92" s="165" t="s">
        <v>945</v>
      </c>
      <c r="HEP92" s="166" t="str">
        <f>VLOOKUP(HEO92,[13]AssetDetails_UEM!$A$3:$AH$1849,6,FALSE)</f>
        <v>Electrosurgical Units, Monopolar/Bipolar</v>
      </c>
      <c r="HEQ92" s="165" t="s">
        <v>945</v>
      </c>
      <c r="HER92" s="166" t="str">
        <f>VLOOKUP(HEQ92,[13]AssetDetails_UEM!$A$3:$AH$1849,6,FALSE)</f>
        <v>Electrosurgical Units, Monopolar/Bipolar</v>
      </c>
      <c r="HES92" s="165" t="s">
        <v>945</v>
      </c>
      <c r="HET92" s="166" t="str">
        <f>VLOOKUP(HES92,[13]AssetDetails_UEM!$A$3:$AH$1849,6,FALSE)</f>
        <v>Electrosurgical Units, Monopolar/Bipolar</v>
      </c>
      <c r="HEU92" s="165" t="s">
        <v>945</v>
      </c>
      <c r="HEV92" s="166" t="str">
        <f>VLOOKUP(HEU92,[13]AssetDetails_UEM!$A$3:$AH$1849,6,FALSE)</f>
        <v>Electrosurgical Units, Monopolar/Bipolar</v>
      </c>
      <c r="HEW92" s="165" t="s">
        <v>945</v>
      </c>
      <c r="HEX92" s="166" t="str">
        <f>VLOOKUP(HEW92,[13]AssetDetails_UEM!$A$3:$AH$1849,6,FALSE)</f>
        <v>Electrosurgical Units, Monopolar/Bipolar</v>
      </c>
      <c r="HEY92" s="165" t="s">
        <v>945</v>
      </c>
      <c r="HEZ92" s="166" t="str">
        <f>VLOOKUP(HEY92,[13]AssetDetails_UEM!$A$3:$AH$1849,6,FALSE)</f>
        <v>Electrosurgical Units, Monopolar/Bipolar</v>
      </c>
      <c r="HFA92" s="165" t="s">
        <v>945</v>
      </c>
      <c r="HFB92" s="166" t="str">
        <f>VLOOKUP(HFA92,[13]AssetDetails_UEM!$A$3:$AH$1849,6,FALSE)</f>
        <v>Electrosurgical Units, Monopolar/Bipolar</v>
      </c>
      <c r="HFC92" s="165" t="s">
        <v>945</v>
      </c>
      <c r="HFD92" s="166" t="str">
        <f>VLOOKUP(HFC92,[13]AssetDetails_UEM!$A$3:$AH$1849,6,FALSE)</f>
        <v>Electrosurgical Units, Monopolar/Bipolar</v>
      </c>
      <c r="HFE92" s="165" t="s">
        <v>945</v>
      </c>
      <c r="HFF92" s="166" t="str">
        <f>VLOOKUP(HFE92,[13]AssetDetails_UEM!$A$3:$AH$1849,6,FALSE)</f>
        <v>Electrosurgical Units, Monopolar/Bipolar</v>
      </c>
      <c r="HFG92" s="165" t="s">
        <v>945</v>
      </c>
      <c r="HFH92" s="166" t="str">
        <f>VLOOKUP(HFG92,[13]AssetDetails_UEM!$A$3:$AH$1849,6,FALSE)</f>
        <v>Electrosurgical Units, Monopolar/Bipolar</v>
      </c>
      <c r="HFI92" s="165" t="s">
        <v>945</v>
      </c>
      <c r="HFJ92" s="166" t="str">
        <f>VLOOKUP(HFI92,[13]AssetDetails_UEM!$A$3:$AH$1849,6,FALSE)</f>
        <v>Electrosurgical Units, Monopolar/Bipolar</v>
      </c>
      <c r="HFK92" s="165" t="s">
        <v>945</v>
      </c>
      <c r="HFL92" s="166" t="str">
        <f>VLOOKUP(HFK92,[13]AssetDetails_UEM!$A$3:$AH$1849,6,FALSE)</f>
        <v>Electrosurgical Units, Monopolar/Bipolar</v>
      </c>
      <c r="HFM92" s="165" t="s">
        <v>945</v>
      </c>
      <c r="HFN92" s="166" t="str">
        <f>VLOOKUP(HFM92,[13]AssetDetails_UEM!$A$3:$AH$1849,6,FALSE)</f>
        <v>Electrosurgical Units, Monopolar/Bipolar</v>
      </c>
      <c r="HFO92" s="165" t="s">
        <v>945</v>
      </c>
      <c r="HFP92" s="166" t="str">
        <f>VLOOKUP(HFO92,[13]AssetDetails_UEM!$A$3:$AH$1849,6,FALSE)</f>
        <v>Electrosurgical Units, Monopolar/Bipolar</v>
      </c>
      <c r="HFQ92" s="165" t="s">
        <v>945</v>
      </c>
      <c r="HFR92" s="166" t="str">
        <f>VLOOKUP(HFQ92,[13]AssetDetails_UEM!$A$3:$AH$1849,6,FALSE)</f>
        <v>Electrosurgical Units, Monopolar/Bipolar</v>
      </c>
      <c r="HFS92" s="165" t="s">
        <v>945</v>
      </c>
      <c r="HFT92" s="166" t="str">
        <f>VLOOKUP(HFS92,[13]AssetDetails_UEM!$A$3:$AH$1849,6,FALSE)</f>
        <v>Electrosurgical Units, Monopolar/Bipolar</v>
      </c>
      <c r="HFU92" s="165" t="s">
        <v>945</v>
      </c>
      <c r="HFV92" s="166" t="str">
        <f>VLOOKUP(HFU92,[13]AssetDetails_UEM!$A$3:$AH$1849,6,FALSE)</f>
        <v>Electrosurgical Units, Monopolar/Bipolar</v>
      </c>
      <c r="HFW92" s="165" t="s">
        <v>945</v>
      </c>
      <c r="HFX92" s="166" t="str">
        <f>VLOOKUP(HFW92,[13]AssetDetails_UEM!$A$3:$AH$1849,6,FALSE)</f>
        <v>Electrosurgical Units, Monopolar/Bipolar</v>
      </c>
      <c r="HFY92" s="165" t="s">
        <v>945</v>
      </c>
      <c r="HFZ92" s="166" t="str">
        <f>VLOOKUP(HFY92,[13]AssetDetails_UEM!$A$3:$AH$1849,6,FALSE)</f>
        <v>Electrosurgical Units, Monopolar/Bipolar</v>
      </c>
      <c r="HGA92" s="165" t="s">
        <v>945</v>
      </c>
      <c r="HGB92" s="166" t="str">
        <f>VLOOKUP(HGA92,[13]AssetDetails_UEM!$A$3:$AH$1849,6,FALSE)</f>
        <v>Electrosurgical Units, Monopolar/Bipolar</v>
      </c>
      <c r="HGC92" s="165" t="s">
        <v>945</v>
      </c>
      <c r="HGD92" s="166" t="str">
        <f>VLOOKUP(HGC92,[13]AssetDetails_UEM!$A$3:$AH$1849,6,FALSE)</f>
        <v>Electrosurgical Units, Monopolar/Bipolar</v>
      </c>
      <c r="HGE92" s="165" t="s">
        <v>945</v>
      </c>
      <c r="HGF92" s="166" t="str">
        <f>VLOOKUP(HGE92,[13]AssetDetails_UEM!$A$3:$AH$1849,6,FALSE)</f>
        <v>Electrosurgical Units, Monopolar/Bipolar</v>
      </c>
      <c r="HGG92" s="165" t="s">
        <v>945</v>
      </c>
      <c r="HGH92" s="166" t="str">
        <f>VLOOKUP(HGG92,[13]AssetDetails_UEM!$A$3:$AH$1849,6,FALSE)</f>
        <v>Electrosurgical Units, Monopolar/Bipolar</v>
      </c>
      <c r="HGI92" s="165" t="s">
        <v>945</v>
      </c>
      <c r="HGJ92" s="166" t="str">
        <f>VLOOKUP(HGI92,[13]AssetDetails_UEM!$A$3:$AH$1849,6,FALSE)</f>
        <v>Electrosurgical Units, Monopolar/Bipolar</v>
      </c>
      <c r="HGK92" s="165" t="s">
        <v>945</v>
      </c>
      <c r="HGL92" s="166" t="str">
        <f>VLOOKUP(HGK92,[13]AssetDetails_UEM!$A$3:$AH$1849,6,FALSE)</f>
        <v>Electrosurgical Units, Monopolar/Bipolar</v>
      </c>
      <c r="HGM92" s="165" t="s">
        <v>945</v>
      </c>
      <c r="HGN92" s="166" t="str">
        <f>VLOOKUP(HGM92,[13]AssetDetails_UEM!$A$3:$AH$1849,6,FALSE)</f>
        <v>Electrosurgical Units, Monopolar/Bipolar</v>
      </c>
      <c r="HGO92" s="165" t="s">
        <v>945</v>
      </c>
      <c r="HGP92" s="166" t="str">
        <f>VLOOKUP(HGO92,[13]AssetDetails_UEM!$A$3:$AH$1849,6,FALSE)</f>
        <v>Electrosurgical Units, Monopolar/Bipolar</v>
      </c>
      <c r="HGQ92" s="165" t="s">
        <v>945</v>
      </c>
      <c r="HGR92" s="166" t="str">
        <f>VLOOKUP(HGQ92,[13]AssetDetails_UEM!$A$3:$AH$1849,6,FALSE)</f>
        <v>Electrosurgical Units, Monopolar/Bipolar</v>
      </c>
      <c r="HGS92" s="165" t="s">
        <v>945</v>
      </c>
      <c r="HGT92" s="166" t="str">
        <f>VLOOKUP(HGS92,[13]AssetDetails_UEM!$A$3:$AH$1849,6,FALSE)</f>
        <v>Electrosurgical Units, Monopolar/Bipolar</v>
      </c>
      <c r="HGU92" s="165" t="s">
        <v>945</v>
      </c>
      <c r="HGV92" s="166" t="str">
        <f>VLOOKUP(HGU92,[13]AssetDetails_UEM!$A$3:$AH$1849,6,FALSE)</f>
        <v>Electrosurgical Units, Monopolar/Bipolar</v>
      </c>
      <c r="HGW92" s="165" t="s">
        <v>945</v>
      </c>
      <c r="HGX92" s="166" t="str">
        <f>VLOOKUP(HGW92,[13]AssetDetails_UEM!$A$3:$AH$1849,6,FALSE)</f>
        <v>Electrosurgical Units, Monopolar/Bipolar</v>
      </c>
      <c r="HGY92" s="165" t="s">
        <v>945</v>
      </c>
      <c r="HGZ92" s="166" t="str">
        <f>VLOOKUP(HGY92,[13]AssetDetails_UEM!$A$3:$AH$1849,6,FALSE)</f>
        <v>Electrosurgical Units, Monopolar/Bipolar</v>
      </c>
      <c r="HHA92" s="165" t="s">
        <v>945</v>
      </c>
      <c r="HHB92" s="166" t="str">
        <f>VLOOKUP(HHA92,[13]AssetDetails_UEM!$A$3:$AH$1849,6,FALSE)</f>
        <v>Electrosurgical Units, Monopolar/Bipolar</v>
      </c>
      <c r="HHC92" s="165" t="s">
        <v>945</v>
      </c>
      <c r="HHD92" s="166" t="str">
        <f>VLOOKUP(HHC92,[13]AssetDetails_UEM!$A$3:$AH$1849,6,FALSE)</f>
        <v>Electrosurgical Units, Monopolar/Bipolar</v>
      </c>
      <c r="HHE92" s="165" t="s">
        <v>945</v>
      </c>
      <c r="HHF92" s="166" t="str">
        <f>VLOOKUP(HHE92,[13]AssetDetails_UEM!$A$3:$AH$1849,6,FALSE)</f>
        <v>Electrosurgical Units, Monopolar/Bipolar</v>
      </c>
      <c r="HHG92" s="165" t="s">
        <v>945</v>
      </c>
      <c r="HHH92" s="166" t="str">
        <f>VLOOKUP(HHG92,[13]AssetDetails_UEM!$A$3:$AH$1849,6,FALSE)</f>
        <v>Electrosurgical Units, Monopolar/Bipolar</v>
      </c>
      <c r="HHI92" s="165" t="s">
        <v>945</v>
      </c>
      <c r="HHJ92" s="166" t="str">
        <f>VLOOKUP(HHI92,[13]AssetDetails_UEM!$A$3:$AH$1849,6,FALSE)</f>
        <v>Electrosurgical Units, Monopolar/Bipolar</v>
      </c>
      <c r="HHK92" s="165" t="s">
        <v>945</v>
      </c>
      <c r="HHL92" s="166" t="str">
        <f>VLOOKUP(HHK92,[13]AssetDetails_UEM!$A$3:$AH$1849,6,FALSE)</f>
        <v>Electrosurgical Units, Monopolar/Bipolar</v>
      </c>
      <c r="HHM92" s="165" t="s">
        <v>945</v>
      </c>
      <c r="HHN92" s="166" t="str">
        <f>VLOOKUP(HHM92,[13]AssetDetails_UEM!$A$3:$AH$1849,6,FALSE)</f>
        <v>Electrosurgical Units, Monopolar/Bipolar</v>
      </c>
      <c r="HHO92" s="165" t="s">
        <v>945</v>
      </c>
      <c r="HHP92" s="166" t="str">
        <f>VLOOKUP(HHO92,[13]AssetDetails_UEM!$A$3:$AH$1849,6,FALSE)</f>
        <v>Electrosurgical Units, Monopolar/Bipolar</v>
      </c>
      <c r="HHQ92" s="165" t="s">
        <v>945</v>
      </c>
      <c r="HHR92" s="166" t="str">
        <f>VLOOKUP(HHQ92,[13]AssetDetails_UEM!$A$3:$AH$1849,6,FALSE)</f>
        <v>Electrosurgical Units, Monopolar/Bipolar</v>
      </c>
      <c r="HHS92" s="165" t="s">
        <v>945</v>
      </c>
      <c r="HHT92" s="166" t="str">
        <f>VLOOKUP(HHS92,[13]AssetDetails_UEM!$A$3:$AH$1849,6,FALSE)</f>
        <v>Electrosurgical Units, Monopolar/Bipolar</v>
      </c>
      <c r="HHU92" s="165" t="s">
        <v>945</v>
      </c>
      <c r="HHV92" s="166" t="str">
        <f>VLOOKUP(HHU92,[13]AssetDetails_UEM!$A$3:$AH$1849,6,FALSE)</f>
        <v>Electrosurgical Units, Monopolar/Bipolar</v>
      </c>
      <c r="HHW92" s="165" t="s">
        <v>945</v>
      </c>
      <c r="HHX92" s="166" t="str">
        <f>VLOOKUP(HHW92,[13]AssetDetails_UEM!$A$3:$AH$1849,6,FALSE)</f>
        <v>Electrosurgical Units, Monopolar/Bipolar</v>
      </c>
      <c r="HHY92" s="165" t="s">
        <v>945</v>
      </c>
      <c r="HHZ92" s="166" t="str">
        <f>VLOOKUP(HHY92,[13]AssetDetails_UEM!$A$3:$AH$1849,6,FALSE)</f>
        <v>Electrosurgical Units, Monopolar/Bipolar</v>
      </c>
      <c r="HIA92" s="165" t="s">
        <v>945</v>
      </c>
      <c r="HIB92" s="166" t="str">
        <f>VLOOKUP(HIA92,[13]AssetDetails_UEM!$A$3:$AH$1849,6,FALSE)</f>
        <v>Electrosurgical Units, Monopolar/Bipolar</v>
      </c>
      <c r="HIC92" s="165" t="s">
        <v>945</v>
      </c>
      <c r="HID92" s="166" t="str">
        <f>VLOOKUP(HIC92,[13]AssetDetails_UEM!$A$3:$AH$1849,6,FALSE)</f>
        <v>Electrosurgical Units, Monopolar/Bipolar</v>
      </c>
      <c r="HIE92" s="165" t="s">
        <v>945</v>
      </c>
      <c r="HIF92" s="166" t="str">
        <f>VLOOKUP(HIE92,[13]AssetDetails_UEM!$A$3:$AH$1849,6,FALSE)</f>
        <v>Electrosurgical Units, Monopolar/Bipolar</v>
      </c>
      <c r="HIG92" s="165" t="s">
        <v>945</v>
      </c>
      <c r="HIH92" s="166" t="str">
        <f>VLOOKUP(HIG92,[13]AssetDetails_UEM!$A$3:$AH$1849,6,FALSE)</f>
        <v>Electrosurgical Units, Monopolar/Bipolar</v>
      </c>
      <c r="HII92" s="165" t="s">
        <v>945</v>
      </c>
      <c r="HIJ92" s="166" t="str">
        <f>VLOOKUP(HII92,[13]AssetDetails_UEM!$A$3:$AH$1849,6,FALSE)</f>
        <v>Electrosurgical Units, Monopolar/Bipolar</v>
      </c>
      <c r="HIK92" s="165" t="s">
        <v>945</v>
      </c>
      <c r="HIL92" s="166" t="str">
        <f>VLOOKUP(HIK92,[13]AssetDetails_UEM!$A$3:$AH$1849,6,FALSE)</f>
        <v>Electrosurgical Units, Monopolar/Bipolar</v>
      </c>
      <c r="HIM92" s="165" t="s">
        <v>945</v>
      </c>
      <c r="HIN92" s="166" t="str">
        <f>VLOOKUP(HIM92,[13]AssetDetails_UEM!$A$3:$AH$1849,6,FALSE)</f>
        <v>Electrosurgical Units, Monopolar/Bipolar</v>
      </c>
      <c r="HIO92" s="165" t="s">
        <v>945</v>
      </c>
      <c r="HIP92" s="166" t="str">
        <f>VLOOKUP(HIO92,[13]AssetDetails_UEM!$A$3:$AH$1849,6,FALSE)</f>
        <v>Electrosurgical Units, Monopolar/Bipolar</v>
      </c>
      <c r="HIQ92" s="165" t="s">
        <v>945</v>
      </c>
      <c r="HIR92" s="166" t="str">
        <f>VLOOKUP(HIQ92,[13]AssetDetails_UEM!$A$3:$AH$1849,6,FALSE)</f>
        <v>Electrosurgical Units, Monopolar/Bipolar</v>
      </c>
      <c r="HIS92" s="165" t="s">
        <v>945</v>
      </c>
      <c r="HIT92" s="166" t="str">
        <f>VLOOKUP(HIS92,[13]AssetDetails_UEM!$A$3:$AH$1849,6,FALSE)</f>
        <v>Electrosurgical Units, Monopolar/Bipolar</v>
      </c>
      <c r="HIU92" s="165" t="s">
        <v>945</v>
      </c>
      <c r="HIV92" s="166" t="str">
        <f>VLOOKUP(HIU92,[13]AssetDetails_UEM!$A$3:$AH$1849,6,FALSE)</f>
        <v>Electrosurgical Units, Monopolar/Bipolar</v>
      </c>
      <c r="HIW92" s="165" t="s">
        <v>945</v>
      </c>
      <c r="HIX92" s="166" t="str">
        <f>VLOOKUP(HIW92,[13]AssetDetails_UEM!$A$3:$AH$1849,6,FALSE)</f>
        <v>Electrosurgical Units, Monopolar/Bipolar</v>
      </c>
      <c r="HIY92" s="165" t="s">
        <v>945</v>
      </c>
      <c r="HIZ92" s="166" t="str">
        <f>VLOOKUP(HIY92,[13]AssetDetails_UEM!$A$3:$AH$1849,6,FALSE)</f>
        <v>Electrosurgical Units, Monopolar/Bipolar</v>
      </c>
      <c r="HJA92" s="165" t="s">
        <v>945</v>
      </c>
      <c r="HJB92" s="166" t="str">
        <f>VLOOKUP(HJA92,[13]AssetDetails_UEM!$A$3:$AH$1849,6,FALSE)</f>
        <v>Electrosurgical Units, Monopolar/Bipolar</v>
      </c>
      <c r="HJC92" s="165" t="s">
        <v>945</v>
      </c>
      <c r="HJD92" s="166" t="str">
        <f>VLOOKUP(HJC92,[13]AssetDetails_UEM!$A$3:$AH$1849,6,FALSE)</f>
        <v>Electrosurgical Units, Monopolar/Bipolar</v>
      </c>
      <c r="HJE92" s="165" t="s">
        <v>945</v>
      </c>
      <c r="HJF92" s="166" t="str">
        <f>VLOOKUP(HJE92,[13]AssetDetails_UEM!$A$3:$AH$1849,6,FALSE)</f>
        <v>Electrosurgical Units, Monopolar/Bipolar</v>
      </c>
      <c r="HJG92" s="165" t="s">
        <v>945</v>
      </c>
      <c r="HJH92" s="166" t="str">
        <f>VLOOKUP(HJG92,[13]AssetDetails_UEM!$A$3:$AH$1849,6,FALSE)</f>
        <v>Electrosurgical Units, Monopolar/Bipolar</v>
      </c>
      <c r="HJI92" s="165" t="s">
        <v>945</v>
      </c>
      <c r="HJJ92" s="166" t="str">
        <f>VLOOKUP(HJI92,[13]AssetDetails_UEM!$A$3:$AH$1849,6,FALSE)</f>
        <v>Electrosurgical Units, Monopolar/Bipolar</v>
      </c>
      <c r="HJK92" s="165" t="s">
        <v>945</v>
      </c>
      <c r="HJL92" s="166" t="str">
        <f>VLOOKUP(HJK92,[13]AssetDetails_UEM!$A$3:$AH$1849,6,FALSE)</f>
        <v>Electrosurgical Units, Monopolar/Bipolar</v>
      </c>
      <c r="HJM92" s="165" t="s">
        <v>945</v>
      </c>
      <c r="HJN92" s="166" t="str">
        <f>VLOOKUP(HJM92,[13]AssetDetails_UEM!$A$3:$AH$1849,6,FALSE)</f>
        <v>Electrosurgical Units, Monopolar/Bipolar</v>
      </c>
      <c r="HJO92" s="165" t="s">
        <v>945</v>
      </c>
      <c r="HJP92" s="166" t="str">
        <f>VLOOKUP(HJO92,[13]AssetDetails_UEM!$A$3:$AH$1849,6,FALSE)</f>
        <v>Electrosurgical Units, Monopolar/Bipolar</v>
      </c>
      <c r="HJQ92" s="165" t="s">
        <v>945</v>
      </c>
      <c r="HJR92" s="166" t="str">
        <f>VLOOKUP(HJQ92,[13]AssetDetails_UEM!$A$3:$AH$1849,6,FALSE)</f>
        <v>Electrosurgical Units, Monopolar/Bipolar</v>
      </c>
      <c r="HJS92" s="165" t="s">
        <v>945</v>
      </c>
      <c r="HJT92" s="166" t="str">
        <f>VLOOKUP(HJS92,[13]AssetDetails_UEM!$A$3:$AH$1849,6,FALSE)</f>
        <v>Electrosurgical Units, Monopolar/Bipolar</v>
      </c>
      <c r="HJU92" s="165" t="s">
        <v>945</v>
      </c>
      <c r="HJV92" s="166" t="str">
        <f>VLOOKUP(HJU92,[13]AssetDetails_UEM!$A$3:$AH$1849,6,FALSE)</f>
        <v>Electrosurgical Units, Monopolar/Bipolar</v>
      </c>
      <c r="HJW92" s="165" t="s">
        <v>945</v>
      </c>
      <c r="HJX92" s="166" t="str">
        <f>VLOOKUP(HJW92,[13]AssetDetails_UEM!$A$3:$AH$1849,6,FALSE)</f>
        <v>Electrosurgical Units, Monopolar/Bipolar</v>
      </c>
      <c r="HJY92" s="165" t="s">
        <v>945</v>
      </c>
      <c r="HJZ92" s="166" t="str">
        <f>VLOOKUP(HJY92,[13]AssetDetails_UEM!$A$3:$AH$1849,6,FALSE)</f>
        <v>Electrosurgical Units, Monopolar/Bipolar</v>
      </c>
      <c r="HKA92" s="165" t="s">
        <v>945</v>
      </c>
      <c r="HKB92" s="166" t="str">
        <f>VLOOKUP(HKA92,[13]AssetDetails_UEM!$A$3:$AH$1849,6,FALSE)</f>
        <v>Electrosurgical Units, Monopolar/Bipolar</v>
      </c>
      <c r="HKC92" s="165" t="s">
        <v>945</v>
      </c>
      <c r="HKD92" s="166" t="str">
        <f>VLOOKUP(HKC92,[13]AssetDetails_UEM!$A$3:$AH$1849,6,FALSE)</f>
        <v>Electrosurgical Units, Monopolar/Bipolar</v>
      </c>
      <c r="HKE92" s="165" t="s">
        <v>945</v>
      </c>
      <c r="HKF92" s="166" t="str">
        <f>VLOOKUP(HKE92,[13]AssetDetails_UEM!$A$3:$AH$1849,6,FALSE)</f>
        <v>Electrosurgical Units, Monopolar/Bipolar</v>
      </c>
      <c r="HKG92" s="165" t="s">
        <v>945</v>
      </c>
      <c r="HKH92" s="166" t="str">
        <f>VLOOKUP(HKG92,[13]AssetDetails_UEM!$A$3:$AH$1849,6,FALSE)</f>
        <v>Electrosurgical Units, Monopolar/Bipolar</v>
      </c>
      <c r="HKI92" s="165" t="s">
        <v>945</v>
      </c>
      <c r="HKJ92" s="166" t="str">
        <f>VLOOKUP(HKI92,[13]AssetDetails_UEM!$A$3:$AH$1849,6,FALSE)</f>
        <v>Electrosurgical Units, Monopolar/Bipolar</v>
      </c>
      <c r="HKK92" s="165" t="s">
        <v>945</v>
      </c>
      <c r="HKL92" s="166" t="str">
        <f>VLOOKUP(HKK92,[13]AssetDetails_UEM!$A$3:$AH$1849,6,FALSE)</f>
        <v>Electrosurgical Units, Monopolar/Bipolar</v>
      </c>
      <c r="HKM92" s="165" t="s">
        <v>945</v>
      </c>
      <c r="HKN92" s="166" t="str">
        <f>VLOOKUP(HKM92,[13]AssetDetails_UEM!$A$3:$AH$1849,6,FALSE)</f>
        <v>Electrosurgical Units, Monopolar/Bipolar</v>
      </c>
      <c r="HKO92" s="165" t="s">
        <v>945</v>
      </c>
      <c r="HKP92" s="166" t="str">
        <f>VLOOKUP(HKO92,[13]AssetDetails_UEM!$A$3:$AH$1849,6,FALSE)</f>
        <v>Electrosurgical Units, Monopolar/Bipolar</v>
      </c>
      <c r="HKQ92" s="165" t="s">
        <v>945</v>
      </c>
      <c r="HKR92" s="166" t="str">
        <f>VLOOKUP(HKQ92,[13]AssetDetails_UEM!$A$3:$AH$1849,6,FALSE)</f>
        <v>Electrosurgical Units, Monopolar/Bipolar</v>
      </c>
      <c r="HKS92" s="165" t="s">
        <v>945</v>
      </c>
      <c r="HKT92" s="166" t="str">
        <f>VLOOKUP(HKS92,[13]AssetDetails_UEM!$A$3:$AH$1849,6,FALSE)</f>
        <v>Electrosurgical Units, Monopolar/Bipolar</v>
      </c>
      <c r="HKU92" s="165" t="s">
        <v>945</v>
      </c>
      <c r="HKV92" s="166" t="str">
        <f>VLOOKUP(HKU92,[13]AssetDetails_UEM!$A$3:$AH$1849,6,FALSE)</f>
        <v>Electrosurgical Units, Monopolar/Bipolar</v>
      </c>
      <c r="HKW92" s="165" t="s">
        <v>945</v>
      </c>
      <c r="HKX92" s="166" t="str">
        <f>VLOOKUP(HKW92,[13]AssetDetails_UEM!$A$3:$AH$1849,6,FALSE)</f>
        <v>Electrosurgical Units, Monopolar/Bipolar</v>
      </c>
      <c r="HKY92" s="165" t="s">
        <v>945</v>
      </c>
      <c r="HKZ92" s="166" t="str">
        <f>VLOOKUP(HKY92,[13]AssetDetails_UEM!$A$3:$AH$1849,6,FALSE)</f>
        <v>Electrosurgical Units, Monopolar/Bipolar</v>
      </c>
      <c r="HLA92" s="165" t="s">
        <v>945</v>
      </c>
      <c r="HLB92" s="166" t="str">
        <f>VLOOKUP(HLA92,[13]AssetDetails_UEM!$A$3:$AH$1849,6,FALSE)</f>
        <v>Electrosurgical Units, Monopolar/Bipolar</v>
      </c>
      <c r="HLC92" s="165" t="s">
        <v>945</v>
      </c>
      <c r="HLD92" s="166" t="str">
        <f>VLOOKUP(HLC92,[13]AssetDetails_UEM!$A$3:$AH$1849,6,FALSE)</f>
        <v>Electrosurgical Units, Monopolar/Bipolar</v>
      </c>
      <c r="HLE92" s="165" t="s">
        <v>945</v>
      </c>
      <c r="HLF92" s="166" t="str">
        <f>VLOOKUP(HLE92,[13]AssetDetails_UEM!$A$3:$AH$1849,6,FALSE)</f>
        <v>Electrosurgical Units, Monopolar/Bipolar</v>
      </c>
      <c r="HLG92" s="165" t="s">
        <v>945</v>
      </c>
      <c r="HLH92" s="166" t="str">
        <f>VLOOKUP(HLG92,[13]AssetDetails_UEM!$A$3:$AH$1849,6,FALSE)</f>
        <v>Electrosurgical Units, Monopolar/Bipolar</v>
      </c>
      <c r="HLI92" s="165" t="s">
        <v>945</v>
      </c>
      <c r="HLJ92" s="166" t="str">
        <f>VLOOKUP(HLI92,[13]AssetDetails_UEM!$A$3:$AH$1849,6,FALSE)</f>
        <v>Electrosurgical Units, Monopolar/Bipolar</v>
      </c>
      <c r="HLK92" s="165" t="s">
        <v>945</v>
      </c>
      <c r="HLL92" s="166" t="str">
        <f>VLOOKUP(HLK92,[13]AssetDetails_UEM!$A$3:$AH$1849,6,FALSE)</f>
        <v>Electrosurgical Units, Monopolar/Bipolar</v>
      </c>
      <c r="HLM92" s="165" t="s">
        <v>945</v>
      </c>
      <c r="HLN92" s="166" t="str">
        <f>VLOOKUP(HLM92,[13]AssetDetails_UEM!$A$3:$AH$1849,6,FALSE)</f>
        <v>Electrosurgical Units, Monopolar/Bipolar</v>
      </c>
      <c r="HLO92" s="165" t="s">
        <v>945</v>
      </c>
      <c r="HLP92" s="166" t="str">
        <f>VLOOKUP(HLO92,[13]AssetDetails_UEM!$A$3:$AH$1849,6,FALSE)</f>
        <v>Electrosurgical Units, Monopolar/Bipolar</v>
      </c>
      <c r="HLQ92" s="165" t="s">
        <v>945</v>
      </c>
      <c r="HLR92" s="166" t="str">
        <f>VLOOKUP(HLQ92,[13]AssetDetails_UEM!$A$3:$AH$1849,6,FALSE)</f>
        <v>Electrosurgical Units, Monopolar/Bipolar</v>
      </c>
      <c r="HLS92" s="165" t="s">
        <v>945</v>
      </c>
      <c r="HLT92" s="166" t="str">
        <f>VLOOKUP(HLS92,[13]AssetDetails_UEM!$A$3:$AH$1849,6,FALSE)</f>
        <v>Electrosurgical Units, Monopolar/Bipolar</v>
      </c>
      <c r="HLU92" s="165" t="s">
        <v>945</v>
      </c>
      <c r="HLV92" s="166" t="str">
        <f>VLOOKUP(HLU92,[13]AssetDetails_UEM!$A$3:$AH$1849,6,FALSE)</f>
        <v>Electrosurgical Units, Monopolar/Bipolar</v>
      </c>
      <c r="HLW92" s="165" t="s">
        <v>945</v>
      </c>
      <c r="HLX92" s="166" t="str">
        <f>VLOOKUP(HLW92,[13]AssetDetails_UEM!$A$3:$AH$1849,6,FALSE)</f>
        <v>Electrosurgical Units, Monopolar/Bipolar</v>
      </c>
      <c r="HLY92" s="165" t="s">
        <v>945</v>
      </c>
      <c r="HLZ92" s="166" t="str">
        <f>VLOOKUP(HLY92,[13]AssetDetails_UEM!$A$3:$AH$1849,6,FALSE)</f>
        <v>Electrosurgical Units, Monopolar/Bipolar</v>
      </c>
      <c r="HMA92" s="165" t="s">
        <v>945</v>
      </c>
      <c r="HMB92" s="166" t="str">
        <f>VLOOKUP(HMA92,[13]AssetDetails_UEM!$A$3:$AH$1849,6,FALSE)</f>
        <v>Electrosurgical Units, Monopolar/Bipolar</v>
      </c>
      <c r="HMC92" s="165" t="s">
        <v>945</v>
      </c>
      <c r="HMD92" s="166" t="str">
        <f>VLOOKUP(HMC92,[13]AssetDetails_UEM!$A$3:$AH$1849,6,FALSE)</f>
        <v>Electrosurgical Units, Monopolar/Bipolar</v>
      </c>
      <c r="HME92" s="165" t="s">
        <v>945</v>
      </c>
      <c r="HMF92" s="166" t="str">
        <f>VLOOKUP(HME92,[13]AssetDetails_UEM!$A$3:$AH$1849,6,FALSE)</f>
        <v>Electrosurgical Units, Monopolar/Bipolar</v>
      </c>
      <c r="HMG92" s="165" t="s">
        <v>945</v>
      </c>
      <c r="HMH92" s="166" t="str">
        <f>VLOOKUP(HMG92,[13]AssetDetails_UEM!$A$3:$AH$1849,6,FALSE)</f>
        <v>Electrosurgical Units, Monopolar/Bipolar</v>
      </c>
      <c r="HMI92" s="165" t="s">
        <v>945</v>
      </c>
      <c r="HMJ92" s="166" t="str">
        <f>VLOOKUP(HMI92,[13]AssetDetails_UEM!$A$3:$AH$1849,6,FALSE)</f>
        <v>Electrosurgical Units, Monopolar/Bipolar</v>
      </c>
      <c r="HMK92" s="165" t="s">
        <v>945</v>
      </c>
      <c r="HML92" s="166" t="str">
        <f>VLOOKUP(HMK92,[13]AssetDetails_UEM!$A$3:$AH$1849,6,FALSE)</f>
        <v>Electrosurgical Units, Monopolar/Bipolar</v>
      </c>
      <c r="HMM92" s="165" t="s">
        <v>945</v>
      </c>
      <c r="HMN92" s="166" t="str">
        <f>VLOOKUP(HMM92,[13]AssetDetails_UEM!$A$3:$AH$1849,6,FALSE)</f>
        <v>Electrosurgical Units, Monopolar/Bipolar</v>
      </c>
      <c r="HMO92" s="165" t="s">
        <v>945</v>
      </c>
      <c r="HMP92" s="166" t="str">
        <f>VLOOKUP(HMO92,[13]AssetDetails_UEM!$A$3:$AH$1849,6,FALSE)</f>
        <v>Electrosurgical Units, Monopolar/Bipolar</v>
      </c>
      <c r="HMQ92" s="165" t="s">
        <v>945</v>
      </c>
      <c r="HMR92" s="166" t="str">
        <f>VLOOKUP(HMQ92,[13]AssetDetails_UEM!$A$3:$AH$1849,6,FALSE)</f>
        <v>Electrosurgical Units, Monopolar/Bipolar</v>
      </c>
      <c r="HMS92" s="165" t="s">
        <v>945</v>
      </c>
      <c r="HMT92" s="166" t="str">
        <f>VLOOKUP(HMS92,[13]AssetDetails_UEM!$A$3:$AH$1849,6,FALSE)</f>
        <v>Electrosurgical Units, Monopolar/Bipolar</v>
      </c>
      <c r="HMU92" s="165" t="s">
        <v>945</v>
      </c>
      <c r="HMV92" s="166" t="str">
        <f>VLOOKUP(HMU92,[13]AssetDetails_UEM!$A$3:$AH$1849,6,FALSE)</f>
        <v>Electrosurgical Units, Monopolar/Bipolar</v>
      </c>
      <c r="HMW92" s="165" t="s">
        <v>945</v>
      </c>
      <c r="HMX92" s="166" t="str">
        <f>VLOOKUP(HMW92,[13]AssetDetails_UEM!$A$3:$AH$1849,6,FALSE)</f>
        <v>Electrosurgical Units, Monopolar/Bipolar</v>
      </c>
      <c r="HMY92" s="165" t="s">
        <v>945</v>
      </c>
      <c r="HMZ92" s="166" t="str">
        <f>VLOOKUP(HMY92,[13]AssetDetails_UEM!$A$3:$AH$1849,6,FALSE)</f>
        <v>Electrosurgical Units, Monopolar/Bipolar</v>
      </c>
      <c r="HNA92" s="165" t="s">
        <v>945</v>
      </c>
      <c r="HNB92" s="166" t="str">
        <f>VLOOKUP(HNA92,[13]AssetDetails_UEM!$A$3:$AH$1849,6,FALSE)</f>
        <v>Electrosurgical Units, Monopolar/Bipolar</v>
      </c>
      <c r="HNC92" s="165" t="s">
        <v>945</v>
      </c>
      <c r="HND92" s="166" t="str">
        <f>VLOOKUP(HNC92,[13]AssetDetails_UEM!$A$3:$AH$1849,6,FALSE)</f>
        <v>Electrosurgical Units, Monopolar/Bipolar</v>
      </c>
      <c r="HNE92" s="165" t="s">
        <v>945</v>
      </c>
      <c r="HNF92" s="166" t="str">
        <f>VLOOKUP(HNE92,[13]AssetDetails_UEM!$A$3:$AH$1849,6,FALSE)</f>
        <v>Electrosurgical Units, Monopolar/Bipolar</v>
      </c>
      <c r="HNG92" s="165" t="s">
        <v>945</v>
      </c>
      <c r="HNH92" s="166" t="str">
        <f>VLOOKUP(HNG92,[13]AssetDetails_UEM!$A$3:$AH$1849,6,FALSE)</f>
        <v>Electrosurgical Units, Monopolar/Bipolar</v>
      </c>
      <c r="HNI92" s="165" t="s">
        <v>945</v>
      </c>
      <c r="HNJ92" s="166" t="str">
        <f>VLOOKUP(HNI92,[13]AssetDetails_UEM!$A$3:$AH$1849,6,FALSE)</f>
        <v>Electrosurgical Units, Monopolar/Bipolar</v>
      </c>
      <c r="HNK92" s="165" t="s">
        <v>945</v>
      </c>
      <c r="HNL92" s="166" t="str">
        <f>VLOOKUP(HNK92,[13]AssetDetails_UEM!$A$3:$AH$1849,6,FALSE)</f>
        <v>Electrosurgical Units, Monopolar/Bipolar</v>
      </c>
      <c r="HNM92" s="165" t="s">
        <v>945</v>
      </c>
      <c r="HNN92" s="166" t="str">
        <f>VLOOKUP(HNM92,[13]AssetDetails_UEM!$A$3:$AH$1849,6,FALSE)</f>
        <v>Electrosurgical Units, Monopolar/Bipolar</v>
      </c>
      <c r="HNO92" s="165" t="s">
        <v>945</v>
      </c>
      <c r="HNP92" s="166" t="str">
        <f>VLOOKUP(HNO92,[13]AssetDetails_UEM!$A$3:$AH$1849,6,FALSE)</f>
        <v>Electrosurgical Units, Monopolar/Bipolar</v>
      </c>
      <c r="HNQ92" s="165" t="s">
        <v>945</v>
      </c>
      <c r="HNR92" s="166" t="str">
        <f>VLOOKUP(HNQ92,[13]AssetDetails_UEM!$A$3:$AH$1849,6,FALSE)</f>
        <v>Electrosurgical Units, Monopolar/Bipolar</v>
      </c>
      <c r="HNS92" s="165" t="s">
        <v>945</v>
      </c>
      <c r="HNT92" s="166" t="str">
        <f>VLOOKUP(HNS92,[13]AssetDetails_UEM!$A$3:$AH$1849,6,FALSE)</f>
        <v>Electrosurgical Units, Monopolar/Bipolar</v>
      </c>
      <c r="HNU92" s="165" t="s">
        <v>945</v>
      </c>
      <c r="HNV92" s="166" t="str">
        <f>VLOOKUP(HNU92,[13]AssetDetails_UEM!$A$3:$AH$1849,6,FALSE)</f>
        <v>Electrosurgical Units, Monopolar/Bipolar</v>
      </c>
      <c r="HNW92" s="165" t="s">
        <v>945</v>
      </c>
      <c r="HNX92" s="166" t="str">
        <f>VLOOKUP(HNW92,[13]AssetDetails_UEM!$A$3:$AH$1849,6,FALSE)</f>
        <v>Electrosurgical Units, Monopolar/Bipolar</v>
      </c>
      <c r="HNY92" s="165" t="s">
        <v>945</v>
      </c>
      <c r="HNZ92" s="166" t="str">
        <f>VLOOKUP(HNY92,[13]AssetDetails_UEM!$A$3:$AH$1849,6,FALSE)</f>
        <v>Electrosurgical Units, Monopolar/Bipolar</v>
      </c>
      <c r="HOA92" s="165" t="s">
        <v>945</v>
      </c>
      <c r="HOB92" s="166" t="str">
        <f>VLOOKUP(HOA92,[13]AssetDetails_UEM!$A$3:$AH$1849,6,FALSE)</f>
        <v>Electrosurgical Units, Monopolar/Bipolar</v>
      </c>
      <c r="HOC92" s="165" t="s">
        <v>945</v>
      </c>
      <c r="HOD92" s="166" t="str">
        <f>VLOOKUP(HOC92,[13]AssetDetails_UEM!$A$3:$AH$1849,6,FALSE)</f>
        <v>Electrosurgical Units, Monopolar/Bipolar</v>
      </c>
      <c r="HOE92" s="165" t="s">
        <v>945</v>
      </c>
      <c r="HOF92" s="166" t="str">
        <f>VLOOKUP(HOE92,[13]AssetDetails_UEM!$A$3:$AH$1849,6,FALSE)</f>
        <v>Electrosurgical Units, Monopolar/Bipolar</v>
      </c>
      <c r="HOG92" s="165" t="s">
        <v>945</v>
      </c>
      <c r="HOH92" s="166" t="str">
        <f>VLOOKUP(HOG92,[13]AssetDetails_UEM!$A$3:$AH$1849,6,FALSE)</f>
        <v>Electrosurgical Units, Monopolar/Bipolar</v>
      </c>
      <c r="HOI92" s="165" t="s">
        <v>945</v>
      </c>
      <c r="HOJ92" s="166" t="str">
        <f>VLOOKUP(HOI92,[13]AssetDetails_UEM!$A$3:$AH$1849,6,FALSE)</f>
        <v>Electrosurgical Units, Monopolar/Bipolar</v>
      </c>
      <c r="HOK92" s="165" t="s">
        <v>945</v>
      </c>
      <c r="HOL92" s="166" t="str">
        <f>VLOOKUP(HOK92,[13]AssetDetails_UEM!$A$3:$AH$1849,6,FALSE)</f>
        <v>Electrosurgical Units, Monopolar/Bipolar</v>
      </c>
      <c r="HOM92" s="165" t="s">
        <v>945</v>
      </c>
      <c r="HON92" s="166" t="str">
        <f>VLOOKUP(HOM92,[13]AssetDetails_UEM!$A$3:$AH$1849,6,FALSE)</f>
        <v>Electrosurgical Units, Monopolar/Bipolar</v>
      </c>
      <c r="HOO92" s="165" t="s">
        <v>945</v>
      </c>
      <c r="HOP92" s="166" t="str">
        <f>VLOOKUP(HOO92,[13]AssetDetails_UEM!$A$3:$AH$1849,6,FALSE)</f>
        <v>Electrosurgical Units, Monopolar/Bipolar</v>
      </c>
      <c r="HOQ92" s="165" t="s">
        <v>945</v>
      </c>
      <c r="HOR92" s="166" t="str">
        <f>VLOOKUP(HOQ92,[13]AssetDetails_UEM!$A$3:$AH$1849,6,FALSE)</f>
        <v>Electrosurgical Units, Monopolar/Bipolar</v>
      </c>
      <c r="HOS92" s="165" t="s">
        <v>945</v>
      </c>
      <c r="HOT92" s="166" t="str">
        <f>VLOOKUP(HOS92,[13]AssetDetails_UEM!$A$3:$AH$1849,6,FALSE)</f>
        <v>Electrosurgical Units, Monopolar/Bipolar</v>
      </c>
      <c r="HOU92" s="165" t="s">
        <v>945</v>
      </c>
      <c r="HOV92" s="166" t="str">
        <f>VLOOKUP(HOU92,[13]AssetDetails_UEM!$A$3:$AH$1849,6,FALSE)</f>
        <v>Electrosurgical Units, Monopolar/Bipolar</v>
      </c>
      <c r="HOW92" s="165" t="s">
        <v>945</v>
      </c>
      <c r="HOX92" s="166" t="str">
        <f>VLOOKUP(HOW92,[13]AssetDetails_UEM!$A$3:$AH$1849,6,FALSE)</f>
        <v>Electrosurgical Units, Monopolar/Bipolar</v>
      </c>
      <c r="HOY92" s="165" t="s">
        <v>945</v>
      </c>
      <c r="HOZ92" s="166" t="str">
        <f>VLOOKUP(HOY92,[13]AssetDetails_UEM!$A$3:$AH$1849,6,FALSE)</f>
        <v>Electrosurgical Units, Monopolar/Bipolar</v>
      </c>
      <c r="HPA92" s="165" t="s">
        <v>945</v>
      </c>
      <c r="HPB92" s="166" t="str">
        <f>VLOOKUP(HPA92,[13]AssetDetails_UEM!$A$3:$AH$1849,6,FALSE)</f>
        <v>Electrosurgical Units, Monopolar/Bipolar</v>
      </c>
      <c r="HPC92" s="165" t="s">
        <v>945</v>
      </c>
      <c r="HPD92" s="166" t="str">
        <f>VLOOKUP(HPC92,[13]AssetDetails_UEM!$A$3:$AH$1849,6,FALSE)</f>
        <v>Electrosurgical Units, Monopolar/Bipolar</v>
      </c>
      <c r="HPE92" s="165" t="s">
        <v>945</v>
      </c>
      <c r="HPF92" s="166" t="str">
        <f>VLOOKUP(HPE92,[13]AssetDetails_UEM!$A$3:$AH$1849,6,FALSE)</f>
        <v>Electrosurgical Units, Monopolar/Bipolar</v>
      </c>
      <c r="HPG92" s="165" t="s">
        <v>945</v>
      </c>
      <c r="HPH92" s="166" t="str">
        <f>VLOOKUP(HPG92,[13]AssetDetails_UEM!$A$3:$AH$1849,6,FALSE)</f>
        <v>Electrosurgical Units, Monopolar/Bipolar</v>
      </c>
      <c r="HPI92" s="165" t="s">
        <v>945</v>
      </c>
      <c r="HPJ92" s="166" t="str">
        <f>VLOOKUP(HPI92,[13]AssetDetails_UEM!$A$3:$AH$1849,6,FALSE)</f>
        <v>Electrosurgical Units, Monopolar/Bipolar</v>
      </c>
      <c r="HPK92" s="165" t="s">
        <v>945</v>
      </c>
      <c r="HPL92" s="166" t="str">
        <f>VLOOKUP(HPK92,[13]AssetDetails_UEM!$A$3:$AH$1849,6,FALSE)</f>
        <v>Electrosurgical Units, Monopolar/Bipolar</v>
      </c>
      <c r="HPM92" s="165" t="s">
        <v>945</v>
      </c>
      <c r="HPN92" s="166" t="str">
        <f>VLOOKUP(HPM92,[13]AssetDetails_UEM!$A$3:$AH$1849,6,FALSE)</f>
        <v>Electrosurgical Units, Monopolar/Bipolar</v>
      </c>
      <c r="HPO92" s="165" t="s">
        <v>945</v>
      </c>
      <c r="HPP92" s="166" t="str">
        <f>VLOOKUP(HPO92,[13]AssetDetails_UEM!$A$3:$AH$1849,6,FALSE)</f>
        <v>Electrosurgical Units, Monopolar/Bipolar</v>
      </c>
      <c r="HPQ92" s="165" t="s">
        <v>945</v>
      </c>
      <c r="HPR92" s="166" t="str">
        <f>VLOOKUP(HPQ92,[13]AssetDetails_UEM!$A$3:$AH$1849,6,FALSE)</f>
        <v>Electrosurgical Units, Monopolar/Bipolar</v>
      </c>
      <c r="HPS92" s="165" t="s">
        <v>945</v>
      </c>
      <c r="HPT92" s="166" t="str">
        <f>VLOOKUP(HPS92,[13]AssetDetails_UEM!$A$3:$AH$1849,6,FALSE)</f>
        <v>Electrosurgical Units, Monopolar/Bipolar</v>
      </c>
      <c r="HPU92" s="165" t="s">
        <v>945</v>
      </c>
      <c r="HPV92" s="166" t="str">
        <f>VLOOKUP(HPU92,[13]AssetDetails_UEM!$A$3:$AH$1849,6,FALSE)</f>
        <v>Electrosurgical Units, Monopolar/Bipolar</v>
      </c>
      <c r="HPW92" s="165" t="s">
        <v>945</v>
      </c>
      <c r="HPX92" s="166" t="str">
        <f>VLOOKUP(HPW92,[13]AssetDetails_UEM!$A$3:$AH$1849,6,FALSE)</f>
        <v>Electrosurgical Units, Monopolar/Bipolar</v>
      </c>
      <c r="HPY92" s="165" t="s">
        <v>945</v>
      </c>
      <c r="HPZ92" s="166" t="str">
        <f>VLOOKUP(HPY92,[13]AssetDetails_UEM!$A$3:$AH$1849,6,FALSE)</f>
        <v>Electrosurgical Units, Monopolar/Bipolar</v>
      </c>
      <c r="HQA92" s="165" t="s">
        <v>945</v>
      </c>
      <c r="HQB92" s="166" t="str">
        <f>VLOOKUP(HQA92,[13]AssetDetails_UEM!$A$3:$AH$1849,6,FALSE)</f>
        <v>Electrosurgical Units, Monopolar/Bipolar</v>
      </c>
      <c r="HQC92" s="165" t="s">
        <v>945</v>
      </c>
      <c r="HQD92" s="166" t="str">
        <f>VLOOKUP(HQC92,[13]AssetDetails_UEM!$A$3:$AH$1849,6,FALSE)</f>
        <v>Electrosurgical Units, Monopolar/Bipolar</v>
      </c>
      <c r="HQE92" s="165" t="s">
        <v>945</v>
      </c>
      <c r="HQF92" s="166" t="str">
        <f>VLOOKUP(HQE92,[13]AssetDetails_UEM!$A$3:$AH$1849,6,FALSE)</f>
        <v>Electrosurgical Units, Monopolar/Bipolar</v>
      </c>
      <c r="HQG92" s="165" t="s">
        <v>945</v>
      </c>
      <c r="HQH92" s="166" t="str">
        <f>VLOOKUP(HQG92,[13]AssetDetails_UEM!$A$3:$AH$1849,6,FALSE)</f>
        <v>Electrosurgical Units, Monopolar/Bipolar</v>
      </c>
      <c r="HQI92" s="165" t="s">
        <v>945</v>
      </c>
      <c r="HQJ92" s="166" t="str">
        <f>VLOOKUP(HQI92,[13]AssetDetails_UEM!$A$3:$AH$1849,6,FALSE)</f>
        <v>Electrosurgical Units, Monopolar/Bipolar</v>
      </c>
      <c r="HQK92" s="165" t="s">
        <v>945</v>
      </c>
      <c r="HQL92" s="166" t="str">
        <f>VLOOKUP(HQK92,[13]AssetDetails_UEM!$A$3:$AH$1849,6,FALSE)</f>
        <v>Electrosurgical Units, Monopolar/Bipolar</v>
      </c>
      <c r="HQM92" s="165" t="s">
        <v>945</v>
      </c>
      <c r="HQN92" s="166" t="str">
        <f>VLOOKUP(HQM92,[13]AssetDetails_UEM!$A$3:$AH$1849,6,FALSE)</f>
        <v>Electrosurgical Units, Monopolar/Bipolar</v>
      </c>
      <c r="HQO92" s="165" t="s">
        <v>945</v>
      </c>
      <c r="HQP92" s="166" t="str">
        <f>VLOOKUP(HQO92,[13]AssetDetails_UEM!$A$3:$AH$1849,6,FALSE)</f>
        <v>Electrosurgical Units, Monopolar/Bipolar</v>
      </c>
      <c r="HQQ92" s="165" t="s">
        <v>945</v>
      </c>
      <c r="HQR92" s="166" t="str">
        <f>VLOOKUP(HQQ92,[13]AssetDetails_UEM!$A$3:$AH$1849,6,FALSE)</f>
        <v>Electrosurgical Units, Monopolar/Bipolar</v>
      </c>
      <c r="HQS92" s="165" t="s">
        <v>945</v>
      </c>
      <c r="HQT92" s="166" t="str">
        <f>VLOOKUP(HQS92,[13]AssetDetails_UEM!$A$3:$AH$1849,6,FALSE)</f>
        <v>Electrosurgical Units, Monopolar/Bipolar</v>
      </c>
      <c r="HQU92" s="165" t="s">
        <v>945</v>
      </c>
      <c r="HQV92" s="166" t="str">
        <f>VLOOKUP(HQU92,[13]AssetDetails_UEM!$A$3:$AH$1849,6,FALSE)</f>
        <v>Electrosurgical Units, Monopolar/Bipolar</v>
      </c>
      <c r="HQW92" s="165" t="s">
        <v>945</v>
      </c>
      <c r="HQX92" s="166" t="str">
        <f>VLOOKUP(HQW92,[13]AssetDetails_UEM!$A$3:$AH$1849,6,FALSE)</f>
        <v>Electrosurgical Units, Monopolar/Bipolar</v>
      </c>
      <c r="HQY92" s="165" t="s">
        <v>945</v>
      </c>
      <c r="HQZ92" s="166" t="str">
        <f>VLOOKUP(HQY92,[13]AssetDetails_UEM!$A$3:$AH$1849,6,FALSE)</f>
        <v>Electrosurgical Units, Monopolar/Bipolar</v>
      </c>
      <c r="HRA92" s="165" t="s">
        <v>945</v>
      </c>
      <c r="HRB92" s="166" t="str">
        <f>VLOOKUP(HRA92,[13]AssetDetails_UEM!$A$3:$AH$1849,6,FALSE)</f>
        <v>Electrosurgical Units, Monopolar/Bipolar</v>
      </c>
      <c r="HRC92" s="165" t="s">
        <v>945</v>
      </c>
      <c r="HRD92" s="166" t="str">
        <f>VLOOKUP(HRC92,[13]AssetDetails_UEM!$A$3:$AH$1849,6,FALSE)</f>
        <v>Electrosurgical Units, Monopolar/Bipolar</v>
      </c>
      <c r="HRE92" s="165" t="s">
        <v>945</v>
      </c>
      <c r="HRF92" s="166" t="str">
        <f>VLOOKUP(HRE92,[13]AssetDetails_UEM!$A$3:$AH$1849,6,FALSE)</f>
        <v>Electrosurgical Units, Monopolar/Bipolar</v>
      </c>
      <c r="HRG92" s="165" t="s">
        <v>945</v>
      </c>
      <c r="HRH92" s="166" t="str">
        <f>VLOOKUP(HRG92,[13]AssetDetails_UEM!$A$3:$AH$1849,6,FALSE)</f>
        <v>Electrosurgical Units, Monopolar/Bipolar</v>
      </c>
      <c r="HRI92" s="165" t="s">
        <v>945</v>
      </c>
      <c r="HRJ92" s="166" t="str">
        <f>VLOOKUP(HRI92,[13]AssetDetails_UEM!$A$3:$AH$1849,6,FALSE)</f>
        <v>Electrosurgical Units, Monopolar/Bipolar</v>
      </c>
      <c r="HRK92" s="165" t="s">
        <v>945</v>
      </c>
      <c r="HRL92" s="166" t="str">
        <f>VLOOKUP(HRK92,[13]AssetDetails_UEM!$A$3:$AH$1849,6,FALSE)</f>
        <v>Electrosurgical Units, Monopolar/Bipolar</v>
      </c>
      <c r="HRM92" s="165" t="s">
        <v>945</v>
      </c>
      <c r="HRN92" s="166" t="str">
        <f>VLOOKUP(HRM92,[13]AssetDetails_UEM!$A$3:$AH$1849,6,FALSE)</f>
        <v>Electrosurgical Units, Monopolar/Bipolar</v>
      </c>
      <c r="HRO92" s="165" t="s">
        <v>945</v>
      </c>
      <c r="HRP92" s="166" t="str">
        <f>VLOOKUP(HRO92,[13]AssetDetails_UEM!$A$3:$AH$1849,6,FALSE)</f>
        <v>Electrosurgical Units, Monopolar/Bipolar</v>
      </c>
      <c r="HRQ92" s="165" t="s">
        <v>945</v>
      </c>
      <c r="HRR92" s="166" t="str">
        <f>VLOOKUP(HRQ92,[13]AssetDetails_UEM!$A$3:$AH$1849,6,FALSE)</f>
        <v>Electrosurgical Units, Monopolar/Bipolar</v>
      </c>
      <c r="HRS92" s="165" t="s">
        <v>945</v>
      </c>
      <c r="HRT92" s="166" t="str">
        <f>VLOOKUP(HRS92,[13]AssetDetails_UEM!$A$3:$AH$1849,6,FALSE)</f>
        <v>Electrosurgical Units, Monopolar/Bipolar</v>
      </c>
      <c r="HRU92" s="165" t="s">
        <v>945</v>
      </c>
      <c r="HRV92" s="166" t="str">
        <f>VLOOKUP(HRU92,[13]AssetDetails_UEM!$A$3:$AH$1849,6,FALSE)</f>
        <v>Electrosurgical Units, Monopolar/Bipolar</v>
      </c>
      <c r="HRW92" s="165" t="s">
        <v>945</v>
      </c>
      <c r="HRX92" s="166" t="str">
        <f>VLOOKUP(HRW92,[13]AssetDetails_UEM!$A$3:$AH$1849,6,FALSE)</f>
        <v>Electrosurgical Units, Monopolar/Bipolar</v>
      </c>
      <c r="HRY92" s="165" t="s">
        <v>945</v>
      </c>
      <c r="HRZ92" s="166" t="str">
        <f>VLOOKUP(HRY92,[13]AssetDetails_UEM!$A$3:$AH$1849,6,FALSE)</f>
        <v>Electrosurgical Units, Monopolar/Bipolar</v>
      </c>
      <c r="HSA92" s="165" t="s">
        <v>945</v>
      </c>
      <c r="HSB92" s="166" t="str">
        <f>VLOOKUP(HSA92,[13]AssetDetails_UEM!$A$3:$AH$1849,6,FALSE)</f>
        <v>Electrosurgical Units, Monopolar/Bipolar</v>
      </c>
      <c r="HSC92" s="165" t="s">
        <v>945</v>
      </c>
      <c r="HSD92" s="166" t="str">
        <f>VLOOKUP(HSC92,[13]AssetDetails_UEM!$A$3:$AH$1849,6,FALSE)</f>
        <v>Electrosurgical Units, Monopolar/Bipolar</v>
      </c>
      <c r="HSE92" s="165" t="s">
        <v>945</v>
      </c>
      <c r="HSF92" s="166" t="str">
        <f>VLOOKUP(HSE92,[13]AssetDetails_UEM!$A$3:$AH$1849,6,FALSE)</f>
        <v>Electrosurgical Units, Monopolar/Bipolar</v>
      </c>
      <c r="HSG92" s="165" t="s">
        <v>945</v>
      </c>
      <c r="HSH92" s="166" t="str">
        <f>VLOOKUP(HSG92,[13]AssetDetails_UEM!$A$3:$AH$1849,6,FALSE)</f>
        <v>Electrosurgical Units, Monopolar/Bipolar</v>
      </c>
      <c r="HSI92" s="165" t="s">
        <v>945</v>
      </c>
      <c r="HSJ92" s="166" t="str">
        <f>VLOOKUP(HSI92,[13]AssetDetails_UEM!$A$3:$AH$1849,6,FALSE)</f>
        <v>Electrosurgical Units, Monopolar/Bipolar</v>
      </c>
      <c r="HSK92" s="165" t="s">
        <v>945</v>
      </c>
      <c r="HSL92" s="166" t="str">
        <f>VLOOKUP(HSK92,[13]AssetDetails_UEM!$A$3:$AH$1849,6,FALSE)</f>
        <v>Electrosurgical Units, Monopolar/Bipolar</v>
      </c>
      <c r="HSM92" s="165" t="s">
        <v>945</v>
      </c>
      <c r="HSN92" s="166" t="str">
        <f>VLOOKUP(HSM92,[13]AssetDetails_UEM!$A$3:$AH$1849,6,FALSE)</f>
        <v>Electrosurgical Units, Monopolar/Bipolar</v>
      </c>
      <c r="HSO92" s="165" t="s">
        <v>945</v>
      </c>
      <c r="HSP92" s="166" t="str">
        <f>VLOOKUP(HSO92,[13]AssetDetails_UEM!$A$3:$AH$1849,6,FALSE)</f>
        <v>Electrosurgical Units, Monopolar/Bipolar</v>
      </c>
      <c r="HSQ92" s="165" t="s">
        <v>945</v>
      </c>
      <c r="HSR92" s="166" t="str">
        <f>VLOOKUP(HSQ92,[13]AssetDetails_UEM!$A$3:$AH$1849,6,FALSE)</f>
        <v>Electrosurgical Units, Monopolar/Bipolar</v>
      </c>
      <c r="HSS92" s="165" t="s">
        <v>945</v>
      </c>
      <c r="HST92" s="166" t="str">
        <f>VLOOKUP(HSS92,[13]AssetDetails_UEM!$A$3:$AH$1849,6,FALSE)</f>
        <v>Electrosurgical Units, Monopolar/Bipolar</v>
      </c>
      <c r="HSU92" s="165" t="s">
        <v>945</v>
      </c>
      <c r="HSV92" s="166" t="str">
        <f>VLOOKUP(HSU92,[13]AssetDetails_UEM!$A$3:$AH$1849,6,FALSE)</f>
        <v>Electrosurgical Units, Monopolar/Bipolar</v>
      </c>
      <c r="HSW92" s="165" t="s">
        <v>945</v>
      </c>
      <c r="HSX92" s="166" t="str">
        <f>VLOOKUP(HSW92,[13]AssetDetails_UEM!$A$3:$AH$1849,6,FALSE)</f>
        <v>Electrosurgical Units, Monopolar/Bipolar</v>
      </c>
      <c r="HSY92" s="165" t="s">
        <v>945</v>
      </c>
      <c r="HSZ92" s="166" t="str">
        <f>VLOOKUP(HSY92,[13]AssetDetails_UEM!$A$3:$AH$1849,6,FALSE)</f>
        <v>Electrosurgical Units, Monopolar/Bipolar</v>
      </c>
      <c r="HTA92" s="165" t="s">
        <v>945</v>
      </c>
      <c r="HTB92" s="166" t="str">
        <f>VLOOKUP(HTA92,[13]AssetDetails_UEM!$A$3:$AH$1849,6,FALSE)</f>
        <v>Electrosurgical Units, Monopolar/Bipolar</v>
      </c>
      <c r="HTC92" s="165" t="s">
        <v>945</v>
      </c>
      <c r="HTD92" s="166" t="str">
        <f>VLOOKUP(HTC92,[13]AssetDetails_UEM!$A$3:$AH$1849,6,FALSE)</f>
        <v>Electrosurgical Units, Monopolar/Bipolar</v>
      </c>
      <c r="HTE92" s="165" t="s">
        <v>945</v>
      </c>
      <c r="HTF92" s="166" t="str">
        <f>VLOOKUP(HTE92,[13]AssetDetails_UEM!$A$3:$AH$1849,6,FALSE)</f>
        <v>Electrosurgical Units, Monopolar/Bipolar</v>
      </c>
      <c r="HTG92" s="165" t="s">
        <v>945</v>
      </c>
      <c r="HTH92" s="166" t="str">
        <f>VLOOKUP(HTG92,[13]AssetDetails_UEM!$A$3:$AH$1849,6,FALSE)</f>
        <v>Electrosurgical Units, Monopolar/Bipolar</v>
      </c>
      <c r="HTI92" s="165" t="s">
        <v>945</v>
      </c>
      <c r="HTJ92" s="166" t="str">
        <f>VLOOKUP(HTI92,[13]AssetDetails_UEM!$A$3:$AH$1849,6,FALSE)</f>
        <v>Electrosurgical Units, Monopolar/Bipolar</v>
      </c>
      <c r="HTK92" s="165" t="s">
        <v>945</v>
      </c>
      <c r="HTL92" s="166" t="str">
        <f>VLOOKUP(HTK92,[13]AssetDetails_UEM!$A$3:$AH$1849,6,FALSE)</f>
        <v>Electrosurgical Units, Monopolar/Bipolar</v>
      </c>
      <c r="HTM92" s="165" t="s">
        <v>945</v>
      </c>
      <c r="HTN92" s="166" t="str">
        <f>VLOOKUP(HTM92,[13]AssetDetails_UEM!$A$3:$AH$1849,6,FALSE)</f>
        <v>Electrosurgical Units, Monopolar/Bipolar</v>
      </c>
      <c r="HTO92" s="165" t="s">
        <v>945</v>
      </c>
      <c r="HTP92" s="166" t="str">
        <f>VLOOKUP(HTO92,[13]AssetDetails_UEM!$A$3:$AH$1849,6,FALSE)</f>
        <v>Electrosurgical Units, Monopolar/Bipolar</v>
      </c>
      <c r="HTQ92" s="165" t="s">
        <v>945</v>
      </c>
      <c r="HTR92" s="166" t="str">
        <f>VLOOKUP(HTQ92,[13]AssetDetails_UEM!$A$3:$AH$1849,6,FALSE)</f>
        <v>Electrosurgical Units, Monopolar/Bipolar</v>
      </c>
      <c r="HTS92" s="165" t="s">
        <v>945</v>
      </c>
      <c r="HTT92" s="166" t="str">
        <f>VLOOKUP(HTS92,[13]AssetDetails_UEM!$A$3:$AH$1849,6,FALSE)</f>
        <v>Electrosurgical Units, Monopolar/Bipolar</v>
      </c>
      <c r="HTU92" s="165" t="s">
        <v>945</v>
      </c>
      <c r="HTV92" s="166" t="str">
        <f>VLOOKUP(HTU92,[13]AssetDetails_UEM!$A$3:$AH$1849,6,FALSE)</f>
        <v>Electrosurgical Units, Monopolar/Bipolar</v>
      </c>
      <c r="HTW92" s="165" t="s">
        <v>945</v>
      </c>
      <c r="HTX92" s="166" t="str">
        <f>VLOOKUP(HTW92,[13]AssetDetails_UEM!$A$3:$AH$1849,6,FALSE)</f>
        <v>Electrosurgical Units, Monopolar/Bipolar</v>
      </c>
      <c r="HTY92" s="165" t="s">
        <v>945</v>
      </c>
      <c r="HTZ92" s="166" t="str">
        <f>VLOOKUP(HTY92,[13]AssetDetails_UEM!$A$3:$AH$1849,6,FALSE)</f>
        <v>Electrosurgical Units, Monopolar/Bipolar</v>
      </c>
      <c r="HUA92" s="165" t="s">
        <v>945</v>
      </c>
      <c r="HUB92" s="166" t="str">
        <f>VLOOKUP(HUA92,[13]AssetDetails_UEM!$A$3:$AH$1849,6,FALSE)</f>
        <v>Electrosurgical Units, Monopolar/Bipolar</v>
      </c>
      <c r="HUC92" s="165" t="s">
        <v>945</v>
      </c>
      <c r="HUD92" s="166" t="str">
        <f>VLOOKUP(HUC92,[13]AssetDetails_UEM!$A$3:$AH$1849,6,FALSE)</f>
        <v>Electrosurgical Units, Monopolar/Bipolar</v>
      </c>
      <c r="HUE92" s="165" t="s">
        <v>945</v>
      </c>
      <c r="HUF92" s="166" t="str">
        <f>VLOOKUP(HUE92,[13]AssetDetails_UEM!$A$3:$AH$1849,6,FALSE)</f>
        <v>Electrosurgical Units, Monopolar/Bipolar</v>
      </c>
      <c r="HUG92" s="165" t="s">
        <v>945</v>
      </c>
      <c r="HUH92" s="166" t="str">
        <f>VLOOKUP(HUG92,[13]AssetDetails_UEM!$A$3:$AH$1849,6,FALSE)</f>
        <v>Electrosurgical Units, Monopolar/Bipolar</v>
      </c>
      <c r="HUI92" s="165" t="s">
        <v>945</v>
      </c>
      <c r="HUJ92" s="166" t="str">
        <f>VLOOKUP(HUI92,[13]AssetDetails_UEM!$A$3:$AH$1849,6,FALSE)</f>
        <v>Electrosurgical Units, Monopolar/Bipolar</v>
      </c>
      <c r="HUK92" s="165" t="s">
        <v>945</v>
      </c>
      <c r="HUL92" s="166" t="str">
        <f>VLOOKUP(HUK92,[13]AssetDetails_UEM!$A$3:$AH$1849,6,FALSE)</f>
        <v>Electrosurgical Units, Monopolar/Bipolar</v>
      </c>
      <c r="HUM92" s="165" t="s">
        <v>945</v>
      </c>
      <c r="HUN92" s="166" t="str">
        <f>VLOOKUP(HUM92,[13]AssetDetails_UEM!$A$3:$AH$1849,6,FALSE)</f>
        <v>Electrosurgical Units, Monopolar/Bipolar</v>
      </c>
      <c r="HUO92" s="165" t="s">
        <v>945</v>
      </c>
      <c r="HUP92" s="166" t="str">
        <f>VLOOKUP(HUO92,[13]AssetDetails_UEM!$A$3:$AH$1849,6,FALSE)</f>
        <v>Electrosurgical Units, Monopolar/Bipolar</v>
      </c>
      <c r="HUQ92" s="165" t="s">
        <v>945</v>
      </c>
      <c r="HUR92" s="166" t="str">
        <f>VLOOKUP(HUQ92,[13]AssetDetails_UEM!$A$3:$AH$1849,6,FALSE)</f>
        <v>Electrosurgical Units, Monopolar/Bipolar</v>
      </c>
      <c r="HUS92" s="165" t="s">
        <v>945</v>
      </c>
      <c r="HUT92" s="166" t="str">
        <f>VLOOKUP(HUS92,[13]AssetDetails_UEM!$A$3:$AH$1849,6,FALSE)</f>
        <v>Electrosurgical Units, Monopolar/Bipolar</v>
      </c>
      <c r="HUU92" s="165" t="s">
        <v>945</v>
      </c>
      <c r="HUV92" s="166" t="str">
        <f>VLOOKUP(HUU92,[13]AssetDetails_UEM!$A$3:$AH$1849,6,FALSE)</f>
        <v>Electrosurgical Units, Monopolar/Bipolar</v>
      </c>
      <c r="HUW92" s="165" t="s">
        <v>945</v>
      </c>
      <c r="HUX92" s="166" t="str">
        <f>VLOOKUP(HUW92,[13]AssetDetails_UEM!$A$3:$AH$1849,6,FALSE)</f>
        <v>Electrosurgical Units, Monopolar/Bipolar</v>
      </c>
      <c r="HUY92" s="165" t="s">
        <v>945</v>
      </c>
      <c r="HUZ92" s="166" t="str">
        <f>VLOOKUP(HUY92,[13]AssetDetails_UEM!$A$3:$AH$1849,6,FALSE)</f>
        <v>Electrosurgical Units, Monopolar/Bipolar</v>
      </c>
      <c r="HVA92" s="165" t="s">
        <v>945</v>
      </c>
      <c r="HVB92" s="166" t="str">
        <f>VLOOKUP(HVA92,[13]AssetDetails_UEM!$A$3:$AH$1849,6,FALSE)</f>
        <v>Electrosurgical Units, Monopolar/Bipolar</v>
      </c>
      <c r="HVC92" s="165" t="s">
        <v>945</v>
      </c>
      <c r="HVD92" s="166" t="str">
        <f>VLOOKUP(HVC92,[13]AssetDetails_UEM!$A$3:$AH$1849,6,FALSE)</f>
        <v>Electrosurgical Units, Monopolar/Bipolar</v>
      </c>
      <c r="HVE92" s="165" t="s">
        <v>945</v>
      </c>
      <c r="HVF92" s="166" t="str">
        <f>VLOOKUP(HVE92,[13]AssetDetails_UEM!$A$3:$AH$1849,6,FALSE)</f>
        <v>Electrosurgical Units, Monopolar/Bipolar</v>
      </c>
      <c r="HVG92" s="165" t="s">
        <v>945</v>
      </c>
      <c r="HVH92" s="166" t="str">
        <f>VLOOKUP(HVG92,[13]AssetDetails_UEM!$A$3:$AH$1849,6,FALSE)</f>
        <v>Electrosurgical Units, Monopolar/Bipolar</v>
      </c>
      <c r="HVI92" s="165" t="s">
        <v>945</v>
      </c>
      <c r="HVJ92" s="166" t="str">
        <f>VLOOKUP(HVI92,[13]AssetDetails_UEM!$A$3:$AH$1849,6,FALSE)</f>
        <v>Electrosurgical Units, Monopolar/Bipolar</v>
      </c>
      <c r="HVK92" s="165" t="s">
        <v>945</v>
      </c>
      <c r="HVL92" s="166" t="str">
        <f>VLOOKUP(HVK92,[13]AssetDetails_UEM!$A$3:$AH$1849,6,FALSE)</f>
        <v>Electrosurgical Units, Monopolar/Bipolar</v>
      </c>
      <c r="HVM92" s="165" t="s">
        <v>945</v>
      </c>
      <c r="HVN92" s="166" t="str">
        <f>VLOOKUP(HVM92,[13]AssetDetails_UEM!$A$3:$AH$1849,6,FALSE)</f>
        <v>Electrosurgical Units, Monopolar/Bipolar</v>
      </c>
      <c r="HVO92" s="165" t="s">
        <v>945</v>
      </c>
      <c r="HVP92" s="166" t="str">
        <f>VLOOKUP(HVO92,[13]AssetDetails_UEM!$A$3:$AH$1849,6,FALSE)</f>
        <v>Electrosurgical Units, Monopolar/Bipolar</v>
      </c>
      <c r="HVQ92" s="165" t="s">
        <v>945</v>
      </c>
      <c r="HVR92" s="166" t="str">
        <f>VLOOKUP(HVQ92,[13]AssetDetails_UEM!$A$3:$AH$1849,6,FALSE)</f>
        <v>Electrosurgical Units, Monopolar/Bipolar</v>
      </c>
      <c r="HVS92" s="165" t="s">
        <v>945</v>
      </c>
      <c r="HVT92" s="166" t="str">
        <f>VLOOKUP(HVS92,[13]AssetDetails_UEM!$A$3:$AH$1849,6,FALSE)</f>
        <v>Electrosurgical Units, Monopolar/Bipolar</v>
      </c>
      <c r="HVU92" s="165" t="s">
        <v>945</v>
      </c>
      <c r="HVV92" s="166" t="str">
        <f>VLOOKUP(HVU92,[13]AssetDetails_UEM!$A$3:$AH$1849,6,FALSE)</f>
        <v>Electrosurgical Units, Monopolar/Bipolar</v>
      </c>
      <c r="HVW92" s="165" t="s">
        <v>945</v>
      </c>
      <c r="HVX92" s="166" t="str">
        <f>VLOOKUP(HVW92,[13]AssetDetails_UEM!$A$3:$AH$1849,6,FALSE)</f>
        <v>Electrosurgical Units, Monopolar/Bipolar</v>
      </c>
      <c r="HVY92" s="165" t="s">
        <v>945</v>
      </c>
      <c r="HVZ92" s="166" t="str">
        <f>VLOOKUP(HVY92,[13]AssetDetails_UEM!$A$3:$AH$1849,6,FALSE)</f>
        <v>Electrosurgical Units, Monopolar/Bipolar</v>
      </c>
      <c r="HWA92" s="165" t="s">
        <v>945</v>
      </c>
      <c r="HWB92" s="166" t="str">
        <f>VLOOKUP(HWA92,[13]AssetDetails_UEM!$A$3:$AH$1849,6,FALSE)</f>
        <v>Electrosurgical Units, Monopolar/Bipolar</v>
      </c>
      <c r="HWC92" s="165" t="s">
        <v>945</v>
      </c>
      <c r="HWD92" s="166" t="str">
        <f>VLOOKUP(HWC92,[13]AssetDetails_UEM!$A$3:$AH$1849,6,FALSE)</f>
        <v>Electrosurgical Units, Monopolar/Bipolar</v>
      </c>
      <c r="HWE92" s="165" t="s">
        <v>945</v>
      </c>
      <c r="HWF92" s="166" t="str">
        <f>VLOOKUP(HWE92,[13]AssetDetails_UEM!$A$3:$AH$1849,6,FALSE)</f>
        <v>Electrosurgical Units, Monopolar/Bipolar</v>
      </c>
      <c r="HWG92" s="165" t="s">
        <v>945</v>
      </c>
      <c r="HWH92" s="166" t="str">
        <f>VLOOKUP(HWG92,[13]AssetDetails_UEM!$A$3:$AH$1849,6,FALSE)</f>
        <v>Electrosurgical Units, Monopolar/Bipolar</v>
      </c>
      <c r="HWI92" s="165" t="s">
        <v>945</v>
      </c>
      <c r="HWJ92" s="166" t="str">
        <f>VLOOKUP(HWI92,[13]AssetDetails_UEM!$A$3:$AH$1849,6,FALSE)</f>
        <v>Electrosurgical Units, Monopolar/Bipolar</v>
      </c>
      <c r="HWK92" s="165" t="s">
        <v>945</v>
      </c>
      <c r="HWL92" s="166" t="str">
        <f>VLOOKUP(HWK92,[13]AssetDetails_UEM!$A$3:$AH$1849,6,FALSE)</f>
        <v>Electrosurgical Units, Monopolar/Bipolar</v>
      </c>
      <c r="HWM92" s="165" t="s">
        <v>945</v>
      </c>
      <c r="HWN92" s="166" t="str">
        <f>VLOOKUP(HWM92,[13]AssetDetails_UEM!$A$3:$AH$1849,6,FALSE)</f>
        <v>Electrosurgical Units, Monopolar/Bipolar</v>
      </c>
      <c r="HWO92" s="165" t="s">
        <v>945</v>
      </c>
      <c r="HWP92" s="166" t="str">
        <f>VLOOKUP(HWO92,[13]AssetDetails_UEM!$A$3:$AH$1849,6,FALSE)</f>
        <v>Electrosurgical Units, Monopolar/Bipolar</v>
      </c>
      <c r="HWQ92" s="165" t="s">
        <v>945</v>
      </c>
      <c r="HWR92" s="166" t="str">
        <f>VLOOKUP(HWQ92,[13]AssetDetails_UEM!$A$3:$AH$1849,6,FALSE)</f>
        <v>Electrosurgical Units, Monopolar/Bipolar</v>
      </c>
      <c r="HWS92" s="165" t="s">
        <v>945</v>
      </c>
      <c r="HWT92" s="166" t="str">
        <f>VLOOKUP(HWS92,[13]AssetDetails_UEM!$A$3:$AH$1849,6,FALSE)</f>
        <v>Electrosurgical Units, Monopolar/Bipolar</v>
      </c>
      <c r="HWU92" s="165" t="s">
        <v>945</v>
      </c>
      <c r="HWV92" s="166" t="str">
        <f>VLOOKUP(HWU92,[13]AssetDetails_UEM!$A$3:$AH$1849,6,FALSE)</f>
        <v>Electrosurgical Units, Monopolar/Bipolar</v>
      </c>
      <c r="HWW92" s="165" t="s">
        <v>945</v>
      </c>
      <c r="HWX92" s="166" t="str">
        <f>VLOOKUP(HWW92,[13]AssetDetails_UEM!$A$3:$AH$1849,6,FALSE)</f>
        <v>Electrosurgical Units, Monopolar/Bipolar</v>
      </c>
      <c r="HWY92" s="165" t="s">
        <v>945</v>
      </c>
      <c r="HWZ92" s="166" t="str">
        <f>VLOOKUP(HWY92,[13]AssetDetails_UEM!$A$3:$AH$1849,6,FALSE)</f>
        <v>Electrosurgical Units, Monopolar/Bipolar</v>
      </c>
      <c r="HXA92" s="165" t="s">
        <v>945</v>
      </c>
      <c r="HXB92" s="166" t="str">
        <f>VLOOKUP(HXA92,[13]AssetDetails_UEM!$A$3:$AH$1849,6,FALSE)</f>
        <v>Electrosurgical Units, Monopolar/Bipolar</v>
      </c>
      <c r="HXC92" s="165" t="s">
        <v>945</v>
      </c>
      <c r="HXD92" s="166" t="str">
        <f>VLOOKUP(HXC92,[13]AssetDetails_UEM!$A$3:$AH$1849,6,FALSE)</f>
        <v>Electrosurgical Units, Monopolar/Bipolar</v>
      </c>
      <c r="HXE92" s="165" t="s">
        <v>945</v>
      </c>
      <c r="HXF92" s="166" t="str">
        <f>VLOOKUP(HXE92,[13]AssetDetails_UEM!$A$3:$AH$1849,6,FALSE)</f>
        <v>Electrosurgical Units, Monopolar/Bipolar</v>
      </c>
      <c r="HXG92" s="165" t="s">
        <v>945</v>
      </c>
      <c r="HXH92" s="166" t="str">
        <f>VLOOKUP(HXG92,[13]AssetDetails_UEM!$A$3:$AH$1849,6,FALSE)</f>
        <v>Electrosurgical Units, Monopolar/Bipolar</v>
      </c>
      <c r="HXI92" s="165" t="s">
        <v>945</v>
      </c>
      <c r="HXJ92" s="166" t="str">
        <f>VLOOKUP(HXI92,[13]AssetDetails_UEM!$A$3:$AH$1849,6,FALSE)</f>
        <v>Electrosurgical Units, Monopolar/Bipolar</v>
      </c>
      <c r="HXK92" s="165" t="s">
        <v>945</v>
      </c>
      <c r="HXL92" s="166" t="str">
        <f>VLOOKUP(HXK92,[13]AssetDetails_UEM!$A$3:$AH$1849,6,FALSE)</f>
        <v>Electrosurgical Units, Monopolar/Bipolar</v>
      </c>
      <c r="HXM92" s="165" t="s">
        <v>945</v>
      </c>
      <c r="HXN92" s="166" t="str">
        <f>VLOOKUP(HXM92,[13]AssetDetails_UEM!$A$3:$AH$1849,6,FALSE)</f>
        <v>Electrosurgical Units, Monopolar/Bipolar</v>
      </c>
      <c r="HXO92" s="165" t="s">
        <v>945</v>
      </c>
      <c r="HXP92" s="166" t="str">
        <f>VLOOKUP(HXO92,[13]AssetDetails_UEM!$A$3:$AH$1849,6,FALSE)</f>
        <v>Electrosurgical Units, Monopolar/Bipolar</v>
      </c>
      <c r="HXQ92" s="165" t="s">
        <v>945</v>
      </c>
      <c r="HXR92" s="166" t="str">
        <f>VLOOKUP(HXQ92,[13]AssetDetails_UEM!$A$3:$AH$1849,6,FALSE)</f>
        <v>Electrosurgical Units, Monopolar/Bipolar</v>
      </c>
      <c r="HXS92" s="165" t="s">
        <v>945</v>
      </c>
      <c r="HXT92" s="166" t="str">
        <f>VLOOKUP(HXS92,[13]AssetDetails_UEM!$A$3:$AH$1849,6,FALSE)</f>
        <v>Electrosurgical Units, Monopolar/Bipolar</v>
      </c>
      <c r="HXU92" s="165" t="s">
        <v>945</v>
      </c>
      <c r="HXV92" s="166" t="str">
        <f>VLOOKUP(HXU92,[13]AssetDetails_UEM!$A$3:$AH$1849,6,FALSE)</f>
        <v>Electrosurgical Units, Monopolar/Bipolar</v>
      </c>
      <c r="HXW92" s="165" t="s">
        <v>945</v>
      </c>
      <c r="HXX92" s="166" t="str">
        <f>VLOOKUP(HXW92,[13]AssetDetails_UEM!$A$3:$AH$1849,6,FALSE)</f>
        <v>Electrosurgical Units, Monopolar/Bipolar</v>
      </c>
      <c r="HXY92" s="165" t="s">
        <v>945</v>
      </c>
      <c r="HXZ92" s="166" t="str">
        <f>VLOOKUP(HXY92,[13]AssetDetails_UEM!$A$3:$AH$1849,6,FALSE)</f>
        <v>Electrosurgical Units, Monopolar/Bipolar</v>
      </c>
      <c r="HYA92" s="165" t="s">
        <v>945</v>
      </c>
      <c r="HYB92" s="166" t="str">
        <f>VLOOKUP(HYA92,[13]AssetDetails_UEM!$A$3:$AH$1849,6,FALSE)</f>
        <v>Electrosurgical Units, Monopolar/Bipolar</v>
      </c>
      <c r="HYC92" s="165" t="s">
        <v>945</v>
      </c>
      <c r="HYD92" s="166" t="str">
        <f>VLOOKUP(HYC92,[13]AssetDetails_UEM!$A$3:$AH$1849,6,FALSE)</f>
        <v>Electrosurgical Units, Monopolar/Bipolar</v>
      </c>
      <c r="HYE92" s="165" t="s">
        <v>945</v>
      </c>
      <c r="HYF92" s="166" t="str">
        <f>VLOOKUP(HYE92,[13]AssetDetails_UEM!$A$3:$AH$1849,6,FALSE)</f>
        <v>Electrosurgical Units, Monopolar/Bipolar</v>
      </c>
      <c r="HYG92" s="165" t="s">
        <v>945</v>
      </c>
      <c r="HYH92" s="166" t="str">
        <f>VLOOKUP(HYG92,[13]AssetDetails_UEM!$A$3:$AH$1849,6,FALSE)</f>
        <v>Electrosurgical Units, Monopolar/Bipolar</v>
      </c>
      <c r="HYI92" s="165" t="s">
        <v>945</v>
      </c>
      <c r="HYJ92" s="166" t="str">
        <f>VLOOKUP(HYI92,[13]AssetDetails_UEM!$A$3:$AH$1849,6,FALSE)</f>
        <v>Electrosurgical Units, Monopolar/Bipolar</v>
      </c>
      <c r="HYK92" s="165" t="s">
        <v>945</v>
      </c>
      <c r="HYL92" s="166" t="str">
        <f>VLOOKUP(HYK92,[13]AssetDetails_UEM!$A$3:$AH$1849,6,FALSE)</f>
        <v>Electrosurgical Units, Monopolar/Bipolar</v>
      </c>
      <c r="HYM92" s="165" t="s">
        <v>945</v>
      </c>
      <c r="HYN92" s="166" t="str">
        <f>VLOOKUP(HYM92,[13]AssetDetails_UEM!$A$3:$AH$1849,6,FALSE)</f>
        <v>Electrosurgical Units, Monopolar/Bipolar</v>
      </c>
      <c r="HYO92" s="165" t="s">
        <v>945</v>
      </c>
      <c r="HYP92" s="166" t="str">
        <f>VLOOKUP(HYO92,[13]AssetDetails_UEM!$A$3:$AH$1849,6,FALSE)</f>
        <v>Electrosurgical Units, Monopolar/Bipolar</v>
      </c>
      <c r="HYQ92" s="165" t="s">
        <v>945</v>
      </c>
      <c r="HYR92" s="166" t="str">
        <f>VLOOKUP(HYQ92,[13]AssetDetails_UEM!$A$3:$AH$1849,6,FALSE)</f>
        <v>Electrosurgical Units, Monopolar/Bipolar</v>
      </c>
      <c r="HYS92" s="165" t="s">
        <v>945</v>
      </c>
      <c r="HYT92" s="166" t="str">
        <f>VLOOKUP(HYS92,[13]AssetDetails_UEM!$A$3:$AH$1849,6,FALSE)</f>
        <v>Electrosurgical Units, Monopolar/Bipolar</v>
      </c>
      <c r="HYU92" s="165" t="s">
        <v>945</v>
      </c>
      <c r="HYV92" s="166" t="str">
        <f>VLOOKUP(HYU92,[13]AssetDetails_UEM!$A$3:$AH$1849,6,FALSE)</f>
        <v>Electrosurgical Units, Monopolar/Bipolar</v>
      </c>
      <c r="HYW92" s="165" t="s">
        <v>945</v>
      </c>
      <c r="HYX92" s="166" t="str">
        <f>VLOOKUP(HYW92,[13]AssetDetails_UEM!$A$3:$AH$1849,6,FALSE)</f>
        <v>Electrosurgical Units, Monopolar/Bipolar</v>
      </c>
      <c r="HYY92" s="165" t="s">
        <v>945</v>
      </c>
      <c r="HYZ92" s="166" t="str">
        <f>VLOOKUP(HYY92,[13]AssetDetails_UEM!$A$3:$AH$1849,6,FALSE)</f>
        <v>Electrosurgical Units, Monopolar/Bipolar</v>
      </c>
      <c r="HZA92" s="165" t="s">
        <v>945</v>
      </c>
      <c r="HZB92" s="166" t="str">
        <f>VLOOKUP(HZA92,[13]AssetDetails_UEM!$A$3:$AH$1849,6,FALSE)</f>
        <v>Electrosurgical Units, Monopolar/Bipolar</v>
      </c>
      <c r="HZC92" s="165" t="s">
        <v>945</v>
      </c>
      <c r="HZD92" s="166" t="str">
        <f>VLOOKUP(HZC92,[13]AssetDetails_UEM!$A$3:$AH$1849,6,FALSE)</f>
        <v>Electrosurgical Units, Monopolar/Bipolar</v>
      </c>
      <c r="HZE92" s="165" t="s">
        <v>945</v>
      </c>
      <c r="HZF92" s="166" t="str">
        <f>VLOOKUP(HZE92,[13]AssetDetails_UEM!$A$3:$AH$1849,6,FALSE)</f>
        <v>Electrosurgical Units, Monopolar/Bipolar</v>
      </c>
      <c r="HZG92" s="165" t="s">
        <v>945</v>
      </c>
      <c r="HZH92" s="166" t="str">
        <f>VLOOKUP(HZG92,[13]AssetDetails_UEM!$A$3:$AH$1849,6,FALSE)</f>
        <v>Electrosurgical Units, Monopolar/Bipolar</v>
      </c>
      <c r="HZI92" s="165" t="s">
        <v>945</v>
      </c>
      <c r="HZJ92" s="166" t="str">
        <f>VLOOKUP(HZI92,[13]AssetDetails_UEM!$A$3:$AH$1849,6,FALSE)</f>
        <v>Electrosurgical Units, Monopolar/Bipolar</v>
      </c>
      <c r="HZK92" s="165" t="s">
        <v>945</v>
      </c>
      <c r="HZL92" s="166" t="str">
        <f>VLOOKUP(HZK92,[13]AssetDetails_UEM!$A$3:$AH$1849,6,FALSE)</f>
        <v>Electrosurgical Units, Monopolar/Bipolar</v>
      </c>
      <c r="HZM92" s="165" t="s">
        <v>945</v>
      </c>
      <c r="HZN92" s="166" t="str">
        <f>VLOOKUP(HZM92,[13]AssetDetails_UEM!$A$3:$AH$1849,6,FALSE)</f>
        <v>Electrosurgical Units, Monopolar/Bipolar</v>
      </c>
      <c r="HZO92" s="165" t="s">
        <v>945</v>
      </c>
      <c r="HZP92" s="166" t="str">
        <f>VLOOKUP(HZO92,[13]AssetDetails_UEM!$A$3:$AH$1849,6,FALSE)</f>
        <v>Electrosurgical Units, Monopolar/Bipolar</v>
      </c>
      <c r="HZQ92" s="165" t="s">
        <v>945</v>
      </c>
      <c r="HZR92" s="166" t="str">
        <f>VLOOKUP(HZQ92,[13]AssetDetails_UEM!$A$3:$AH$1849,6,FALSE)</f>
        <v>Electrosurgical Units, Monopolar/Bipolar</v>
      </c>
      <c r="HZS92" s="165" t="s">
        <v>945</v>
      </c>
      <c r="HZT92" s="166" t="str">
        <f>VLOOKUP(HZS92,[13]AssetDetails_UEM!$A$3:$AH$1849,6,FALSE)</f>
        <v>Electrosurgical Units, Monopolar/Bipolar</v>
      </c>
      <c r="HZU92" s="165" t="s">
        <v>945</v>
      </c>
      <c r="HZV92" s="166" t="str">
        <f>VLOOKUP(HZU92,[13]AssetDetails_UEM!$A$3:$AH$1849,6,FALSE)</f>
        <v>Electrosurgical Units, Monopolar/Bipolar</v>
      </c>
      <c r="HZW92" s="165" t="s">
        <v>945</v>
      </c>
      <c r="HZX92" s="166" t="str">
        <f>VLOOKUP(HZW92,[13]AssetDetails_UEM!$A$3:$AH$1849,6,FALSE)</f>
        <v>Electrosurgical Units, Monopolar/Bipolar</v>
      </c>
      <c r="HZY92" s="165" t="s">
        <v>945</v>
      </c>
      <c r="HZZ92" s="166" t="str">
        <f>VLOOKUP(HZY92,[13]AssetDetails_UEM!$A$3:$AH$1849,6,FALSE)</f>
        <v>Electrosurgical Units, Monopolar/Bipolar</v>
      </c>
      <c r="IAA92" s="165" t="s">
        <v>945</v>
      </c>
      <c r="IAB92" s="166" t="str">
        <f>VLOOKUP(IAA92,[13]AssetDetails_UEM!$A$3:$AH$1849,6,FALSE)</f>
        <v>Electrosurgical Units, Monopolar/Bipolar</v>
      </c>
      <c r="IAC92" s="165" t="s">
        <v>945</v>
      </c>
      <c r="IAD92" s="166" t="str">
        <f>VLOOKUP(IAC92,[13]AssetDetails_UEM!$A$3:$AH$1849,6,FALSE)</f>
        <v>Electrosurgical Units, Monopolar/Bipolar</v>
      </c>
      <c r="IAE92" s="165" t="s">
        <v>945</v>
      </c>
      <c r="IAF92" s="166" t="str">
        <f>VLOOKUP(IAE92,[13]AssetDetails_UEM!$A$3:$AH$1849,6,FALSE)</f>
        <v>Electrosurgical Units, Monopolar/Bipolar</v>
      </c>
      <c r="IAG92" s="165" t="s">
        <v>945</v>
      </c>
      <c r="IAH92" s="166" t="str">
        <f>VLOOKUP(IAG92,[13]AssetDetails_UEM!$A$3:$AH$1849,6,FALSE)</f>
        <v>Electrosurgical Units, Monopolar/Bipolar</v>
      </c>
      <c r="IAI92" s="165" t="s">
        <v>945</v>
      </c>
      <c r="IAJ92" s="166" t="str">
        <f>VLOOKUP(IAI92,[13]AssetDetails_UEM!$A$3:$AH$1849,6,FALSE)</f>
        <v>Electrosurgical Units, Monopolar/Bipolar</v>
      </c>
      <c r="IAK92" s="165" t="s">
        <v>945</v>
      </c>
      <c r="IAL92" s="166" t="str">
        <f>VLOOKUP(IAK92,[13]AssetDetails_UEM!$A$3:$AH$1849,6,FALSE)</f>
        <v>Electrosurgical Units, Monopolar/Bipolar</v>
      </c>
      <c r="IAM92" s="165" t="s">
        <v>945</v>
      </c>
      <c r="IAN92" s="166" t="str">
        <f>VLOOKUP(IAM92,[13]AssetDetails_UEM!$A$3:$AH$1849,6,FALSE)</f>
        <v>Electrosurgical Units, Monopolar/Bipolar</v>
      </c>
      <c r="IAO92" s="165" t="s">
        <v>945</v>
      </c>
      <c r="IAP92" s="166" t="str">
        <f>VLOOKUP(IAO92,[13]AssetDetails_UEM!$A$3:$AH$1849,6,FALSE)</f>
        <v>Electrosurgical Units, Monopolar/Bipolar</v>
      </c>
      <c r="IAQ92" s="165" t="s">
        <v>945</v>
      </c>
      <c r="IAR92" s="166" t="str">
        <f>VLOOKUP(IAQ92,[13]AssetDetails_UEM!$A$3:$AH$1849,6,FALSE)</f>
        <v>Electrosurgical Units, Monopolar/Bipolar</v>
      </c>
      <c r="IAS92" s="165" t="s">
        <v>945</v>
      </c>
      <c r="IAT92" s="166" t="str">
        <f>VLOOKUP(IAS92,[13]AssetDetails_UEM!$A$3:$AH$1849,6,FALSE)</f>
        <v>Electrosurgical Units, Monopolar/Bipolar</v>
      </c>
      <c r="IAU92" s="165" t="s">
        <v>945</v>
      </c>
      <c r="IAV92" s="166" t="str">
        <f>VLOOKUP(IAU92,[13]AssetDetails_UEM!$A$3:$AH$1849,6,FALSE)</f>
        <v>Electrosurgical Units, Monopolar/Bipolar</v>
      </c>
      <c r="IAW92" s="165" t="s">
        <v>945</v>
      </c>
      <c r="IAX92" s="166" t="str">
        <f>VLOOKUP(IAW92,[13]AssetDetails_UEM!$A$3:$AH$1849,6,FALSE)</f>
        <v>Electrosurgical Units, Monopolar/Bipolar</v>
      </c>
      <c r="IAY92" s="165" t="s">
        <v>945</v>
      </c>
      <c r="IAZ92" s="166" t="str">
        <f>VLOOKUP(IAY92,[13]AssetDetails_UEM!$A$3:$AH$1849,6,FALSE)</f>
        <v>Electrosurgical Units, Monopolar/Bipolar</v>
      </c>
      <c r="IBA92" s="165" t="s">
        <v>945</v>
      </c>
      <c r="IBB92" s="166" t="str">
        <f>VLOOKUP(IBA92,[13]AssetDetails_UEM!$A$3:$AH$1849,6,FALSE)</f>
        <v>Electrosurgical Units, Monopolar/Bipolar</v>
      </c>
      <c r="IBC92" s="165" t="s">
        <v>945</v>
      </c>
      <c r="IBD92" s="166" t="str">
        <f>VLOOKUP(IBC92,[13]AssetDetails_UEM!$A$3:$AH$1849,6,FALSE)</f>
        <v>Electrosurgical Units, Monopolar/Bipolar</v>
      </c>
      <c r="IBE92" s="165" t="s">
        <v>945</v>
      </c>
      <c r="IBF92" s="166" t="str">
        <f>VLOOKUP(IBE92,[13]AssetDetails_UEM!$A$3:$AH$1849,6,FALSE)</f>
        <v>Electrosurgical Units, Monopolar/Bipolar</v>
      </c>
      <c r="IBG92" s="165" t="s">
        <v>945</v>
      </c>
      <c r="IBH92" s="166" t="str">
        <f>VLOOKUP(IBG92,[13]AssetDetails_UEM!$A$3:$AH$1849,6,FALSE)</f>
        <v>Electrosurgical Units, Monopolar/Bipolar</v>
      </c>
      <c r="IBI92" s="165" t="s">
        <v>945</v>
      </c>
      <c r="IBJ92" s="166" t="str">
        <f>VLOOKUP(IBI92,[13]AssetDetails_UEM!$A$3:$AH$1849,6,FALSE)</f>
        <v>Electrosurgical Units, Monopolar/Bipolar</v>
      </c>
      <c r="IBK92" s="165" t="s">
        <v>945</v>
      </c>
      <c r="IBL92" s="166" t="str">
        <f>VLOOKUP(IBK92,[13]AssetDetails_UEM!$A$3:$AH$1849,6,FALSE)</f>
        <v>Electrosurgical Units, Monopolar/Bipolar</v>
      </c>
      <c r="IBM92" s="165" t="s">
        <v>945</v>
      </c>
      <c r="IBN92" s="166" t="str">
        <f>VLOOKUP(IBM92,[13]AssetDetails_UEM!$A$3:$AH$1849,6,FALSE)</f>
        <v>Electrosurgical Units, Monopolar/Bipolar</v>
      </c>
      <c r="IBO92" s="165" t="s">
        <v>945</v>
      </c>
      <c r="IBP92" s="166" t="str">
        <f>VLOOKUP(IBO92,[13]AssetDetails_UEM!$A$3:$AH$1849,6,FALSE)</f>
        <v>Electrosurgical Units, Monopolar/Bipolar</v>
      </c>
      <c r="IBQ92" s="165" t="s">
        <v>945</v>
      </c>
      <c r="IBR92" s="166" t="str">
        <f>VLOOKUP(IBQ92,[13]AssetDetails_UEM!$A$3:$AH$1849,6,FALSE)</f>
        <v>Electrosurgical Units, Monopolar/Bipolar</v>
      </c>
      <c r="IBS92" s="165" t="s">
        <v>945</v>
      </c>
      <c r="IBT92" s="166" t="str">
        <f>VLOOKUP(IBS92,[13]AssetDetails_UEM!$A$3:$AH$1849,6,FALSE)</f>
        <v>Electrosurgical Units, Monopolar/Bipolar</v>
      </c>
      <c r="IBU92" s="165" t="s">
        <v>945</v>
      </c>
      <c r="IBV92" s="166" t="str">
        <f>VLOOKUP(IBU92,[13]AssetDetails_UEM!$A$3:$AH$1849,6,FALSE)</f>
        <v>Electrosurgical Units, Monopolar/Bipolar</v>
      </c>
      <c r="IBW92" s="165" t="s">
        <v>945</v>
      </c>
      <c r="IBX92" s="166" t="str">
        <f>VLOOKUP(IBW92,[13]AssetDetails_UEM!$A$3:$AH$1849,6,FALSE)</f>
        <v>Electrosurgical Units, Monopolar/Bipolar</v>
      </c>
      <c r="IBY92" s="165" t="s">
        <v>945</v>
      </c>
      <c r="IBZ92" s="166" t="str">
        <f>VLOOKUP(IBY92,[13]AssetDetails_UEM!$A$3:$AH$1849,6,FALSE)</f>
        <v>Electrosurgical Units, Monopolar/Bipolar</v>
      </c>
      <c r="ICA92" s="165" t="s">
        <v>945</v>
      </c>
      <c r="ICB92" s="166" t="str">
        <f>VLOOKUP(ICA92,[13]AssetDetails_UEM!$A$3:$AH$1849,6,FALSE)</f>
        <v>Electrosurgical Units, Monopolar/Bipolar</v>
      </c>
      <c r="ICC92" s="165" t="s">
        <v>945</v>
      </c>
      <c r="ICD92" s="166" t="str">
        <f>VLOOKUP(ICC92,[13]AssetDetails_UEM!$A$3:$AH$1849,6,FALSE)</f>
        <v>Electrosurgical Units, Monopolar/Bipolar</v>
      </c>
      <c r="ICE92" s="165" t="s">
        <v>945</v>
      </c>
      <c r="ICF92" s="166" t="str">
        <f>VLOOKUP(ICE92,[13]AssetDetails_UEM!$A$3:$AH$1849,6,FALSE)</f>
        <v>Electrosurgical Units, Monopolar/Bipolar</v>
      </c>
      <c r="ICG92" s="165" t="s">
        <v>945</v>
      </c>
      <c r="ICH92" s="166" t="str">
        <f>VLOOKUP(ICG92,[13]AssetDetails_UEM!$A$3:$AH$1849,6,FALSE)</f>
        <v>Electrosurgical Units, Monopolar/Bipolar</v>
      </c>
      <c r="ICI92" s="165" t="s">
        <v>945</v>
      </c>
      <c r="ICJ92" s="166" t="str">
        <f>VLOOKUP(ICI92,[13]AssetDetails_UEM!$A$3:$AH$1849,6,FALSE)</f>
        <v>Electrosurgical Units, Monopolar/Bipolar</v>
      </c>
      <c r="ICK92" s="165" t="s">
        <v>945</v>
      </c>
      <c r="ICL92" s="166" t="str">
        <f>VLOOKUP(ICK92,[13]AssetDetails_UEM!$A$3:$AH$1849,6,FALSE)</f>
        <v>Electrosurgical Units, Monopolar/Bipolar</v>
      </c>
      <c r="ICM92" s="165" t="s">
        <v>945</v>
      </c>
      <c r="ICN92" s="166" t="str">
        <f>VLOOKUP(ICM92,[13]AssetDetails_UEM!$A$3:$AH$1849,6,FALSE)</f>
        <v>Electrosurgical Units, Monopolar/Bipolar</v>
      </c>
      <c r="ICO92" s="165" t="s">
        <v>945</v>
      </c>
      <c r="ICP92" s="166" t="str">
        <f>VLOOKUP(ICO92,[13]AssetDetails_UEM!$A$3:$AH$1849,6,FALSE)</f>
        <v>Electrosurgical Units, Monopolar/Bipolar</v>
      </c>
      <c r="ICQ92" s="165" t="s">
        <v>945</v>
      </c>
      <c r="ICR92" s="166" t="str">
        <f>VLOOKUP(ICQ92,[13]AssetDetails_UEM!$A$3:$AH$1849,6,FALSE)</f>
        <v>Electrosurgical Units, Monopolar/Bipolar</v>
      </c>
      <c r="ICS92" s="165" t="s">
        <v>945</v>
      </c>
      <c r="ICT92" s="166" t="str">
        <f>VLOOKUP(ICS92,[13]AssetDetails_UEM!$A$3:$AH$1849,6,FALSE)</f>
        <v>Electrosurgical Units, Monopolar/Bipolar</v>
      </c>
      <c r="ICU92" s="165" t="s">
        <v>945</v>
      </c>
      <c r="ICV92" s="166" t="str">
        <f>VLOOKUP(ICU92,[13]AssetDetails_UEM!$A$3:$AH$1849,6,FALSE)</f>
        <v>Electrosurgical Units, Monopolar/Bipolar</v>
      </c>
      <c r="ICW92" s="165" t="s">
        <v>945</v>
      </c>
      <c r="ICX92" s="166" t="str">
        <f>VLOOKUP(ICW92,[13]AssetDetails_UEM!$A$3:$AH$1849,6,FALSE)</f>
        <v>Electrosurgical Units, Monopolar/Bipolar</v>
      </c>
      <c r="ICY92" s="165" t="s">
        <v>945</v>
      </c>
      <c r="ICZ92" s="166" t="str">
        <f>VLOOKUP(ICY92,[13]AssetDetails_UEM!$A$3:$AH$1849,6,FALSE)</f>
        <v>Electrosurgical Units, Monopolar/Bipolar</v>
      </c>
      <c r="IDA92" s="165" t="s">
        <v>945</v>
      </c>
      <c r="IDB92" s="166" t="str">
        <f>VLOOKUP(IDA92,[13]AssetDetails_UEM!$A$3:$AH$1849,6,FALSE)</f>
        <v>Electrosurgical Units, Monopolar/Bipolar</v>
      </c>
      <c r="IDC92" s="165" t="s">
        <v>945</v>
      </c>
      <c r="IDD92" s="166" t="str">
        <f>VLOOKUP(IDC92,[13]AssetDetails_UEM!$A$3:$AH$1849,6,FALSE)</f>
        <v>Electrosurgical Units, Monopolar/Bipolar</v>
      </c>
      <c r="IDE92" s="165" t="s">
        <v>945</v>
      </c>
      <c r="IDF92" s="166" t="str">
        <f>VLOOKUP(IDE92,[13]AssetDetails_UEM!$A$3:$AH$1849,6,FALSE)</f>
        <v>Electrosurgical Units, Monopolar/Bipolar</v>
      </c>
      <c r="IDG92" s="165" t="s">
        <v>945</v>
      </c>
      <c r="IDH92" s="166" t="str">
        <f>VLOOKUP(IDG92,[13]AssetDetails_UEM!$A$3:$AH$1849,6,FALSE)</f>
        <v>Electrosurgical Units, Monopolar/Bipolar</v>
      </c>
      <c r="IDI92" s="165" t="s">
        <v>945</v>
      </c>
      <c r="IDJ92" s="166" t="str">
        <f>VLOOKUP(IDI92,[13]AssetDetails_UEM!$A$3:$AH$1849,6,FALSE)</f>
        <v>Electrosurgical Units, Monopolar/Bipolar</v>
      </c>
      <c r="IDK92" s="165" t="s">
        <v>945</v>
      </c>
      <c r="IDL92" s="166" t="str">
        <f>VLOOKUP(IDK92,[13]AssetDetails_UEM!$A$3:$AH$1849,6,FALSE)</f>
        <v>Electrosurgical Units, Monopolar/Bipolar</v>
      </c>
      <c r="IDM92" s="165" t="s">
        <v>945</v>
      </c>
      <c r="IDN92" s="166" t="str">
        <f>VLOOKUP(IDM92,[13]AssetDetails_UEM!$A$3:$AH$1849,6,FALSE)</f>
        <v>Electrosurgical Units, Monopolar/Bipolar</v>
      </c>
      <c r="IDO92" s="165" t="s">
        <v>945</v>
      </c>
      <c r="IDP92" s="166" t="str">
        <f>VLOOKUP(IDO92,[13]AssetDetails_UEM!$A$3:$AH$1849,6,FALSE)</f>
        <v>Electrosurgical Units, Monopolar/Bipolar</v>
      </c>
      <c r="IDQ92" s="165" t="s">
        <v>945</v>
      </c>
      <c r="IDR92" s="166" t="str">
        <f>VLOOKUP(IDQ92,[13]AssetDetails_UEM!$A$3:$AH$1849,6,FALSE)</f>
        <v>Electrosurgical Units, Monopolar/Bipolar</v>
      </c>
      <c r="IDS92" s="165" t="s">
        <v>945</v>
      </c>
      <c r="IDT92" s="166" t="str">
        <f>VLOOKUP(IDS92,[13]AssetDetails_UEM!$A$3:$AH$1849,6,FALSE)</f>
        <v>Electrosurgical Units, Monopolar/Bipolar</v>
      </c>
      <c r="IDU92" s="165" t="s">
        <v>945</v>
      </c>
      <c r="IDV92" s="166" t="str">
        <f>VLOOKUP(IDU92,[13]AssetDetails_UEM!$A$3:$AH$1849,6,FALSE)</f>
        <v>Electrosurgical Units, Monopolar/Bipolar</v>
      </c>
      <c r="IDW92" s="165" t="s">
        <v>945</v>
      </c>
      <c r="IDX92" s="166" t="str">
        <f>VLOOKUP(IDW92,[13]AssetDetails_UEM!$A$3:$AH$1849,6,FALSE)</f>
        <v>Electrosurgical Units, Monopolar/Bipolar</v>
      </c>
      <c r="IDY92" s="165" t="s">
        <v>945</v>
      </c>
      <c r="IDZ92" s="166" t="str">
        <f>VLOOKUP(IDY92,[13]AssetDetails_UEM!$A$3:$AH$1849,6,FALSE)</f>
        <v>Electrosurgical Units, Monopolar/Bipolar</v>
      </c>
      <c r="IEA92" s="165" t="s">
        <v>945</v>
      </c>
      <c r="IEB92" s="166" t="str">
        <f>VLOOKUP(IEA92,[13]AssetDetails_UEM!$A$3:$AH$1849,6,FALSE)</f>
        <v>Electrosurgical Units, Monopolar/Bipolar</v>
      </c>
      <c r="IEC92" s="165" t="s">
        <v>945</v>
      </c>
      <c r="IED92" s="166" t="str">
        <f>VLOOKUP(IEC92,[13]AssetDetails_UEM!$A$3:$AH$1849,6,FALSE)</f>
        <v>Electrosurgical Units, Monopolar/Bipolar</v>
      </c>
      <c r="IEE92" s="165" t="s">
        <v>945</v>
      </c>
      <c r="IEF92" s="166" t="str">
        <f>VLOOKUP(IEE92,[13]AssetDetails_UEM!$A$3:$AH$1849,6,FALSE)</f>
        <v>Electrosurgical Units, Monopolar/Bipolar</v>
      </c>
      <c r="IEG92" s="165" t="s">
        <v>945</v>
      </c>
      <c r="IEH92" s="166" t="str">
        <f>VLOOKUP(IEG92,[13]AssetDetails_UEM!$A$3:$AH$1849,6,FALSE)</f>
        <v>Electrosurgical Units, Monopolar/Bipolar</v>
      </c>
      <c r="IEI92" s="165" t="s">
        <v>945</v>
      </c>
      <c r="IEJ92" s="166" t="str">
        <f>VLOOKUP(IEI92,[13]AssetDetails_UEM!$A$3:$AH$1849,6,FALSE)</f>
        <v>Electrosurgical Units, Monopolar/Bipolar</v>
      </c>
      <c r="IEK92" s="165" t="s">
        <v>945</v>
      </c>
      <c r="IEL92" s="166" t="str">
        <f>VLOOKUP(IEK92,[13]AssetDetails_UEM!$A$3:$AH$1849,6,FALSE)</f>
        <v>Electrosurgical Units, Monopolar/Bipolar</v>
      </c>
      <c r="IEM92" s="165" t="s">
        <v>945</v>
      </c>
      <c r="IEN92" s="166" t="str">
        <f>VLOOKUP(IEM92,[13]AssetDetails_UEM!$A$3:$AH$1849,6,FALSE)</f>
        <v>Electrosurgical Units, Monopolar/Bipolar</v>
      </c>
      <c r="IEO92" s="165" t="s">
        <v>945</v>
      </c>
      <c r="IEP92" s="166" t="str">
        <f>VLOOKUP(IEO92,[13]AssetDetails_UEM!$A$3:$AH$1849,6,FALSE)</f>
        <v>Electrosurgical Units, Monopolar/Bipolar</v>
      </c>
      <c r="IEQ92" s="165" t="s">
        <v>945</v>
      </c>
      <c r="IER92" s="166" t="str">
        <f>VLOOKUP(IEQ92,[13]AssetDetails_UEM!$A$3:$AH$1849,6,FALSE)</f>
        <v>Electrosurgical Units, Monopolar/Bipolar</v>
      </c>
      <c r="IES92" s="165" t="s">
        <v>945</v>
      </c>
      <c r="IET92" s="166" t="str">
        <f>VLOOKUP(IES92,[13]AssetDetails_UEM!$A$3:$AH$1849,6,FALSE)</f>
        <v>Electrosurgical Units, Monopolar/Bipolar</v>
      </c>
      <c r="IEU92" s="165" t="s">
        <v>945</v>
      </c>
      <c r="IEV92" s="166" t="str">
        <f>VLOOKUP(IEU92,[13]AssetDetails_UEM!$A$3:$AH$1849,6,FALSE)</f>
        <v>Electrosurgical Units, Monopolar/Bipolar</v>
      </c>
      <c r="IEW92" s="165" t="s">
        <v>945</v>
      </c>
      <c r="IEX92" s="166" t="str">
        <f>VLOOKUP(IEW92,[13]AssetDetails_UEM!$A$3:$AH$1849,6,FALSE)</f>
        <v>Electrosurgical Units, Monopolar/Bipolar</v>
      </c>
      <c r="IEY92" s="165" t="s">
        <v>945</v>
      </c>
      <c r="IEZ92" s="166" t="str">
        <f>VLOOKUP(IEY92,[13]AssetDetails_UEM!$A$3:$AH$1849,6,FALSE)</f>
        <v>Electrosurgical Units, Monopolar/Bipolar</v>
      </c>
      <c r="IFA92" s="165" t="s">
        <v>945</v>
      </c>
      <c r="IFB92" s="166" t="str">
        <f>VLOOKUP(IFA92,[13]AssetDetails_UEM!$A$3:$AH$1849,6,FALSE)</f>
        <v>Electrosurgical Units, Monopolar/Bipolar</v>
      </c>
      <c r="IFC92" s="165" t="s">
        <v>945</v>
      </c>
      <c r="IFD92" s="166" t="str">
        <f>VLOOKUP(IFC92,[13]AssetDetails_UEM!$A$3:$AH$1849,6,FALSE)</f>
        <v>Electrosurgical Units, Monopolar/Bipolar</v>
      </c>
      <c r="IFE92" s="165" t="s">
        <v>945</v>
      </c>
      <c r="IFF92" s="166" t="str">
        <f>VLOOKUP(IFE92,[13]AssetDetails_UEM!$A$3:$AH$1849,6,FALSE)</f>
        <v>Electrosurgical Units, Monopolar/Bipolar</v>
      </c>
      <c r="IFG92" s="165" t="s">
        <v>945</v>
      </c>
      <c r="IFH92" s="166" t="str">
        <f>VLOOKUP(IFG92,[13]AssetDetails_UEM!$A$3:$AH$1849,6,FALSE)</f>
        <v>Electrosurgical Units, Monopolar/Bipolar</v>
      </c>
      <c r="IFI92" s="165" t="s">
        <v>945</v>
      </c>
      <c r="IFJ92" s="166" t="str">
        <f>VLOOKUP(IFI92,[13]AssetDetails_UEM!$A$3:$AH$1849,6,FALSE)</f>
        <v>Electrosurgical Units, Monopolar/Bipolar</v>
      </c>
      <c r="IFK92" s="165" t="s">
        <v>945</v>
      </c>
      <c r="IFL92" s="166" t="str">
        <f>VLOOKUP(IFK92,[13]AssetDetails_UEM!$A$3:$AH$1849,6,FALSE)</f>
        <v>Electrosurgical Units, Monopolar/Bipolar</v>
      </c>
      <c r="IFM92" s="165" t="s">
        <v>945</v>
      </c>
      <c r="IFN92" s="166" t="str">
        <f>VLOOKUP(IFM92,[13]AssetDetails_UEM!$A$3:$AH$1849,6,FALSE)</f>
        <v>Electrosurgical Units, Monopolar/Bipolar</v>
      </c>
      <c r="IFO92" s="165" t="s">
        <v>945</v>
      </c>
      <c r="IFP92" s="166" t="str">
        <f>VLOOKUP(IFO92,[13]AssetDetails_UEM!$A$3:$AH$1849,6,FALSE)</f>
        <v>Electrosurgical Units, Monopolar/Bipolar</v>
      </c>
      <c r="IFQ92" s="165" t="s">
        <v>945</v>
      </c>
      <c r="IFR92" s="166" t="str">
        <f>VLOOKUP(IFQ92,[13]AssetDetails_UEM!$A$3:$AH$1849,6,FALSE)</f>
        <v>Electrosurgical Units, Monopolar/Bipolar</v>
      </c>
      <c r="IFS92" s="165" t="s">
        <v>945</v>
      </c>
      <c r="IFT92" s="166" t="str">
        <f>VLOOKUP(IFS92,[13]AssetDetails_UEM!$A$3:$AH$1849,6,FALSE)</f>
        <v>Electrosurgical Units, Monopolar/Bipolar</v>
      </c>
      <c r="IFU92" s="165" t="s">
        <v>945</v>
      </c>
      <c r="IFV92" s="166" t="str">
        <f>VLOOKUP(IFU92,[13]AssetDetails_UEM!$A$3:$AH$1849,6,FALSE)</f>
        <v>Electrosurgical Units, Monopolar/Bipolar</v>
      </c>
      <c r="IFW92" s="165" t="s">
        <v>945</v>
      </c>
      <c r="IFX92" s="166" t="str">
        <f>VLOOKUP(IFW92,[13]AssetDetails_UEM!$A$3:$AH$1849,6,FALSE)</f>
        <v>Electrosurgical Units, Monopolar/Bipolar</v>
      </c>
      <c r="IFY92" s="165" t="s">
        <v>945</v>
      </c>
      <c r="IFZ92" s="166" t="str">
        <f>VLOOKUP(IFY92,[13]AssetDetails_UEM!$A$3:$AH$1849,6,FALSE)</f>
        <v>Electrosurgical Units, Monopolar/Bipolar</v>
      </c>
      <c r="IGA92" s="165" t="s">
        <v>945</v>
      </c>
      <c r="IGB92" s="166" t="str">
        <f>VLOOKUP(IGA92,[13]AssetDetails_UEM!$A$3:$AH$1849,6,FALSE)</f>
        <v>Electrosurgical Units, Monopolar/Bipolar</v>
      </c>
      <c r="IGC92" s="165" t="s">
        <v>945</v>
      </c>
      <c r="IGD92" s="166" t="str">
        <f>VLOOKUP(IGC92,[13]AssetDetails_UEM!$A$3:$AH$1849,6,FALSE)</f>
        <v>Electrosurgical Units, Monopolar/Bipolar</v>
      </c>
      <c r="IGE92" s="165" t="s">
        <v>945</v>
      </c>
      <c r="IGF92" s="166" t="str">
        <f>VLOOKUP(IGE92,[13]AssetDetails_UEM!$A$3:$AH$1849,6,FALSE)</f>
        <v>Electrosurgical Units, Monopolar/Bipolar</v>
      </c>
      <c r="IGG92" s="165" t="s">
        <v>945</v>
      </c>
      <c r="IGH92" s="166" t="str">
        <f>VLOOKUP(IGG92,[13]AssetDetails_UEM!$A$3:$AH$1849,6,FALSE)</f>
        <v>Electrosurgical Units, Monopolar/Bipolar</v>
      </c>
      <c r="IGI92" s="165" t="s">
        <v>945</v>
      </c>
      <c r="IGJ92" s="166" t="str">
        <f>VLOOKUP(IGI92,[13]AssetDetails_UEM!$A$3:$AH$1849,6,FALSE)</f>
        <v>Electrosurgical Units, Monopolar/Bipolar</v>
      </c>
      <c r="IGK92" s="165" t="s">
        <v>945</v>
      </c>
      <c r="IGL92" s="166" t="str">
        <f>VLOOKUP(IGK92,[13]AssetDetails_UEM!$A$3:$AH$1849,6,FALSE)</f>
        <v>Electrosurgical Units, Monopolar/Bipolar</v>
      </c>
      <c r="IGM92" s="165" t="s">
        <v>945</v>
      </c>
      <c r="IGN92" s="166" t="str">
        <f>VLOOKUP(IGM92,[13]AssetDetails_UEM!$A$3:$AH$1849,6,FALSE)</f>
        <v>Electrosurgical Units, Monopolar/Bipolar</v>
      </c>
      <c r="IGO92" s="165" t="s">
        <v>945</v>
      </c>
      <c r="IGP92" s="166" t="str">
        <f>VLOOKUP(IGO92,[13]AssetDetails_UEM!$A$3:$AH$1849,6,FALSE)</f>
        <v>Electrosurgical Units, Monopolar/Bipolar</v>
      </c>
      <c r="IGQ92" s="165" t="s">
        <v>945</v>
      </c>
      <c r="IGR92" s="166" t="str">
        <f>VLOOKUP(IGQ92,[13]AssetDetails_UEM!$A$3:$AH$1849,6,FALSE)</f>
        <v>Electrosurgical Units, Monopolar/Bipolar</v>
      </c>
      <c r="IGS92" s="165" t="s">
        <v>945</v>
      </c>
      <c r="IGT92" s="166" t="str">
        <f>VLOOKUP(IGS92,[13]AssetDetails_UEM!$A$3:$AH$1849,6,FALSE)</f>
        <v>Electrosurgical Units, Monopolar/Bipolar</v>
      </c>
      <c r="IGU92" s="165" t="s">
        <v>945</v>
      </c>
      <c r="IGV92" s="166" t="str">
        <f>VLOOKUP(IGU92,[13]AssetDetails_UEM!$A$3:$AH$1849,6,FALSE)</f>
        <v>Electrosurgical Units, Monopolar/Bipolar</v>
      </c>
      <c r="IGW92" s="165" t="s">
        <v>945</v>
      </c>
      <c r="IGX92" s="166" t="str">
        <f>VLOOKUP(IGW92,[13]AssetDetails_UEM!$A$3:$AH$1849,6,FALSE)</f>
        <v>Electrosurgical Units, Monopolar/Bipolar</v>
      </c>
      <c r="IGY92" s="165" t="s">
        <v>945</v>
      </c>
      <c r="IGZ92" s="166" t="str">
        <f>VLOOKUP(IGY92,[13]AssetDetails_UEM!$A$3:$AH$1849,6,FALSE)</f>
        <v>Electrosurgical Units, Monopolar/Bipolar</v>
      </c>
      <c r="IHA92" s="165" t="s">
        <v>945</v>
      </c>
      <c r="IHB92" s="166" t="str">
        <f>VLOOKUP(IHA92,[13]AssetDetails_UEM!$A$3:$AH$1849,6,FALSE)</f>
        <v>Electrosurgical Units, Monopolar/Bipolar</v>
      </c>
      <c r="IHC92" s="165" t="s">
        <v>945</v>
      </c>
      <c r="IHD92" s="166" t="str">
        <f>VLOOKUP(IHC92,[13]AssetDetails_UEM!$A$3:$AH$1849,6,FALSE)</f>
        <v>Electrosurgical Units, Monopolar/Bipolar</v>
      </c>
      <c r="IHE92" s="165" t="s">
        <v>945</v>
      </c>
      <c r="IHF92" s="166" t="str">
        <f>VLOOKUP(IHE92,[13]AssetDetails_UEM!$A$3:$AH$1849,6,FALSE)</f>
        <v>Electrosurgical Units, Monopolar/Bipolar</v>
      </c>
      <c r="IHG92" s="165" t="s">
        <v>945</v>
      </c>
      <c r="IHH92" s="166" t="str">
        <f>VLOOKUP(IHG92,[13]AssetDetails_UEM!$A$3:$AH$1849,6,FALSE)</f>
        <v>Electrosurgical Units, Monopolar/Bipolar</v>
      </c>
      <c r="IHI92" s="165" t="s">
        <v>945</v>
      </c>
      <c r="IHJ92" s="166" t="str">
        <f>VLOOKUP(IHI92,[13]AssetDetails_UEM!$A$3:$AH$1849,6,FALSE)</f>
        <v>Electrosurgical Units, Monopolar/Bipolar</v>
      </c>
      <c r="IHK92" s="165" t="s">
        <v>945</v>
      </c>
      <c r="IHL92" s="166" t="str">
        <f>VLOOKUP(IHK92,[13]AssetDetails_UEM!$A$3:$AH$1849,6,FALSE)</f>
        <v>Electrosurgical Units, Monopolar/Bipolar</v>
      </c>
      <c r="IHM92" s="165" t="s">
        <v>945</v>
      </c>
      <c r="IHN92" s="166" t="str">
        <f>VLOOKUP(IHM92,[13]AssetDetails_UEM!$A$3:$AH$1849,6,FALSE)</f>
        <v>Electrosurgical Units, Monopolar/Bipolar</v>
      </c>
      <c r="IHO92" s="165" t="s">
        <v>945</v>
      </c>
      <c r="IHP92" s="166" t="str">
        <f>VLOOKUP(IHO92,[13]AssetDetails_UEM!$A$3:$AH$1849,6,FALSE)</f>
        <v>Electrosurgical Units, Monopolar/Bipolar</v>
      </c>
      <c r="IHQ92" s="165" t="s">
        <v>945</v>
      </c>
      <c r="IHR92" s="166" t="str">
        <f>VLOOKUP(IHQ92,[13]AssetDetails_UEM!$A$3:$AH$1849,6,FALSE)</f>
        <v>Electrosurgical Units, Monopolar/Bipolar</v>
      </c>
      <c r="IHS92" s="165" t="s">
        <v>945</v>
      </c>
      <c r="IHT92" s="166" t="str">
        <f>VLOOKUP(IHS92,[13]AssetDetails_UEM!$A$3:$AH$1849,6,FALSE)</f>
        <v>Electrosurgical Units, Monopolar/Bipolar</v>
      </c>
      <c r="IHU92" s="165" t="s">
        <v>945</v>
      </c>
      <c r="IHV92" s="166" t="str">
        <f>VLOOKUP(IHU92,[13]AssetDetails_UEM!$A$3:$AH$1849,6,FALSE)</f>
        <v>Electrosurgical Units, Monopolar/Bipolar</v>
      </c>
      <c r="IHW92" s="165" t="s">
        <v>945</v>
      </c>
      <c r="IHX92" s="166" t="str">
        <f>VLOOKUP(IHW92,[13]AssetDetails_UEM!$A$3:$AH$1849,6,FALSE)</f>
        <v>Electrosurgical Units, Monopolar/Bipolar</v>
      </c>
      <c r="IHY92" s="165" t="s">
        <v>945</v>
      </c>
      <c r="IHZ92" s="166" t="str">
        <f>VLOOKUP(IHY92,[13]AssetDetails_UEM!$A$3:$AH$1849,6,FALSE)</f>
        <v>Electrosurgical Units, Monopolar/Bipolar</v>
      </c>
      <c r="IIA92" s="165" t="s">
        <v>945</v>
      </c>
      <c r="IIB92" s="166" t="str">
        <f>VLOOKUP(IIA92,[13]AssetDetails_UEM!$A$3:$AH$1849,6,FALSE)</f>
        <v>Electrosurgical Units, Monopolar/Bipolar</v>
      </c>
      <c r="IIC92" s="165" t="s">
        <v>945</v>
      </c>
      <c r="IID92" s="166" t="str">
        <f>VLOOKUP(IIC92,[13]AssetDetails_UEM!$A$3:$AH$1849,6,FALSE)</f>
        <v>Electrosurgical Units, Monopolar/Bipolar</v>
      </c>
      <c r="IIE92" s="165" t="s">
        <v>945</v>
      </c>
      <c r="IIF92" s="166" t="str">
        <f>VLOOKUP(IIE92,[13]AssetDetails_UEM!$A$3:$AH$1849,6,FALSE)</f>
        <v>Electrosurgical Units, Monopolar/Bipolar</v>
      </c>
      <c r="IIG92" s="165" t="s">
        <v>945</v>
      </c>
      <c r="IIH92" s="166" t="str">
        <f>VLOOKUP(IIG92,[13]AssetDetails_UEM!$A$3:$AH$1849,6,FALSE)</f>
        <v>Electrosurgical Units, Monopolar/Bipolar</v>
      </c>
      <c r="III92" s="165" t="s">
        <v>945</v>
      </c>
      <c r="IIJ92" s="166" t="str">
        <f>VLOOKUP(III92,[13]AssetDetails_UEM!$A$3:$AH$1849,6,FALSE)</f>
        <v>Electrosurgical Units, Monopolar/Bipolar</v>
      </c>
      <c r="IIK92" s="165" t="s">
        <v>945</v>
      </c>
      <c r="IIL92" s="166" t="str">
        <f>VLOOKUP(IIK92,[13]AssetDetails_UEM!$A$3:$AH$1849,6,FALSE)</f>
        <v>Electrosurgical Units, Monopolar/Bipolar</v>
      </c>
      <c r="IIM92" s="165" t="s">
        <v>945</v>
      </c>
      <c r="IIN92" s="166" t="str">
        <f>VLOOKUP(IIM92,[13]AssetDetails_UEM!$A$3:$AH$1849,6,FALSE)</f>
        <v>Electrosurgical Units, Monopolar/Bipolar</v>
      </c>
      <c r="IIO92" s="165" t="s">
        <v>945</v>
      </c>
      <c r="IIP92" s="166" t="str">
        <f>VLOOKUP(IIO92,[13]AssetDetails_UEM!$A$3:$AH$1849,6,FALSE)</f>
        <v>Electrosurgical Units, Monopolar/Bipolar</v>
      </c>
      <c r="IIQ92" s="165" t="s">
        <v>945</v>
      </c>
      <c r="IIR92" s="166" t="str">
        <f>VLOOKUP(IIQ92,[13]AssetDetails_UEM!$A$3:$AH$1849,6,FALSE)</f>
        <v>Electrosurgical Units, Monopolar/Bipolar</v>
      </c>
      <c r="IIS92" s="165" t="s">
        <v>945</v>
      </c>
      <c r="IIT92" s="166" t="str">
        <f>VLOOKUP(IIS92,[13]AssetDetails_UEM!$A$3:$AH$1849,6,FALSE)</f>
        <v>Electrosurgical Units, Monopolar/Bipolar</v>
      </c>
      <c r="IIU92" s="165" t="s">
        <v>945</v>
      </c>
      <c r="IIV92" s="166" t="str">
        <f>VLOOKUP(IIU92,[13]AssetDetails_UEM!$A$3:$AH$1849,6,FALSE)</f>
        <v>Electrosurgical Units, Monopolar/Bipolar</v>
      </c>
      <c r="IIW92" s="165" t="s">
        <v>945</v>
      </c>
      <c r="IIX92" s="166" t="str">
        <f>VLOOKUP(IIW92,[13]AssetDetails_UEM!$A$3:$AH$1849,6,FALSE)</f>
        <v>Electrosurgical Units, Monopolar/Bipolar</v>
      </c>
      <c r="IIY92" s="165" t="s">
        <v>945</v>
      </c>
      <c r="IIZ92" s="166" t="str">
        <f>VLOOKUP(IIY92,[13]AssetDetails_UEM!$A$3:$AH$1849,6,FALSE)</f>
        <v>Electrosurgical Units, Monopolar/Bipolar</v>
      </c>
      <c r="IJA92" s="165" t="s">
        <v>945</v>
      </c>
      <c r="IJB92" s="166" t="str">
        <f>VLOOKUP(IJA92,[13]AssetDetails_UEM!$A$3:$AH$1849,6,FALSE)</f>
        <v>Electrosurgical Units, Monopolar/Bipolar</v>
      </c>
      <c r="IJC92" s="165" t="s">
        <v>945</v>
      </c>
      <c r="IJD92" s="166" t="str">
        <f>VLOOKUP(IJC92,[13]AssetDetails_UEM!$A$3:$AH$1849,6,FALSE)</f>
        <v>Electrosurgical Units, Monopolar/Bipolar</v>
      </c>
      <c r="IJE92" s="165" t="s">
        <v>945</v>
      </c>
      <c r="IJF92" s="166" t="str">
        <f>VLOOKUP(IJE92,[13]AssetDetails_UEM!$A$3:$AH$1849,6,FALSE)</f>
        <v>Electrosurgical Units, Monopolar/Bipolar</v>
      </c>
      <c r="IJG92" s="165" t="s">
        <v>945</v>
      </c>
      <c r="IJH92" s="166" t="str">
        <f>VLOOKUP(IJG92,[13]AssetDetails_UEM!$A$3:$AH$1849,6,FALSE)</f>
        <v>Electrosurgical Units, Monopolar/Bipolar</v>
      </c>
      <c r="IJI92" s="165" t="s">
        <v>945</v>
      </c>
      <c r="IJJ92" s="166" t="str">
        <f>VLOOKUP(IJI92,[13]AssetDetails_UEM!$A$3:$AH$1849,6,FALSE)</f>
        <v>Electrosurgical Units, Monopolar/Bipolar</v>
      </c>
      <c r="IJK92" s="165" t="s">
        <v>945</v>
      </c>
      <c r="IJL92" s="166" t="str">
        <f>VLOOKUP(IJK92,[13]AssetDetails_UEM!$A$3:$AH$1849,6,FALSE)</f>
        <v>Electrosurgical Units, Monopolar/Bipolar</v>
      </c>
      <c r="IJM92" s="165" t="s">
        <v>945</v>
      </c>
      <c r="IJN92" s="166" t="str">
        <f>VLOOKUP(IJM92,[13]AssetDetails_UEM!$A$3:$AH$1849,6,FALSE)</f>
        <v>Electrosurgical Units, Monopolar/Bipolar</v>
      </c>
      <c r="IJO92" s="165" t="s">
        <v>945</v>
      </c>
      <c r="IJP92" s="166" t="str">
        <f>VLOOKUP(IJO92,[13]AssetDetails_UEM!$A$3:$AH$1849,6,FALSE)</f>
        <v>Electrosurgical Units, Monopolar/Bipolar</v>
      </c>
      <c r="IJQ92" s="165" t="s">
        <v>945</v>
      </c>
      <c r="IJR92" s="166" t="str">
        <f>VLOOKUP(IJQ92,[13]AssetDetails_UEM!$A$3:$AH$1849,6,FALSE)</f>
        <v>Electrosurgical Units, Monopolar/Bipolar</v>
      </c>
      <c r="IJS92" s="165" t="s">
        <v>945</v>
      </c>
      <c r="IJT92" s="166" t="str">
        <f>VLOOKUP(IJS92,[13]AssetDetails_UEM!$A$3:$AH$1849,6,FALSE)</f>
        <v>Electrosurgical Units, Monopolar/Bipolar</v>
      </c>
      <c r="IJU92" s="165" t="s">
        <v>945</v>
      </c>
      <c r="IJV92" s="166" t="str">
        <f>VLOOKUP(IJU92,[13]AssetDetails_UEM!$A$3:$AH$1849,6,FALSE)</f>
        <v>Electrosurgical Units, Monopolar/Bipolar</v>
      </c>
      <c r="IJW92" s="165" t="s">
        <v>945</v>
      </c>
      <c r="IJX92" s="166" t="str">
        <f>VLOOKUP(IJW92,[13]AssetDetails_UEM!$A$3:$AH$1849,6,FALSE)</f>
        <v>Electrosurgical Units, Monopolar/Bipolar</v>
      </c>
      <c r="IJY92" s="165" t="s">
        <v>945</v>
      </c>
      <c r="IJZ92" s="166" t="str">
        <f>VLOOKUP(IJY92,[13]AssetDetails_UEM!$A$3:$AH$1849,6,FALSE)</f>
        <v>Electrosurgical Units, Monopolar/Bipolar</v>
      </c>
      <c r="IKA92" s="165" t="s">
        <v>945</v>
      </c>
      <c r="IKB92" s="166" t="str">
        <f>VLOOKUP(IKA92,[13]AssetDetails_UEM!$A$3:$AH$1849,6,FALSE)</f>
        <v>Electrosurgical Units, Monopolar/Bipolar</v>
      </c>
      <c r="IKC92" s="165" t="s">
        <v>945</v>
      </c>
      <c r="IKD92" s="166" t="str">
        <f>VLOOKUP(IKC92,[13]AssetDetails_UEM!$A$3:$AH$1849,6,FALSE)</f>
        <v>Electrosurgical Units, Monopolar/Bipolar</v>
      </c>
      <c r="IKE92" s="165" t="s">
        <v>945</v>
      </c>
      <c r="IKF92" s="166" t="str">
        <f>VLOOKUP(IKE92,[13]AssetDetails_UEM!$A$3:$AH$1849,6,FALSE)</f>
        <v>Electrosurgical Units, Monopolar/Bipolar</v>
      </c>
      <c r="IKG92" s="165" t="s">
        <v>945</v>
      </c>
      <c r="IKH92" s="166" t="str">
        <f>VLOOKUP(IKG92,[13]AssetDetails_UEM!$A$3:$AH$1849,6,FALSE)</f>
        <v>Electrosurgical Units, Monopolar/Bipolar</v>
      </c>
      <c r="IKI92" s="165" t="s">
        <v>945</v>
      </c>
      <c r="IKJ92" s="166" t="str">
        <f>VLOOKUP(IKI92,[13]AssetDetails_UEM!$A$3:$AH$1849,6,FALSE)</f>
        <v>Electrosurgical Units, Monopolar/Bipolar</v>
      </c>
      <c r="IKK92" s="165" t="s">
        <v>945</v>
      </c>
      <c r="IKL92" s="166" t="str">
        <f>VLOOKUP(IKK92,[13]AssetDetails_UEM!$A$3:$AH$1849,6,FALSE)</f>
        <v>Electrosurgical Units, Monopolar/Bipolar</v>
      </c>
      <c r="IKM92" s="165" t="s">
        <v>945</v>
      </c>
      <c r="IKN92" s="166" t="str">
        <f>VLOOKUP(IKM92,[13]AssetDetails_UEM!$A$3:$AH$1849,6,FALSE)</f>
        <v>Electrosurgical Units, Monopolar/Bipolar</v>
      </c>
      <c r="IKO92" s="165" t="s">
        <v>945</v>
      </c>
      <c r="IKP92" s="166" t="str">
        <f>VLOOKUP(IKO92,[13]AssetDetails_UEM!$A$3:$AH$1849,6,FALSE)</f>
        <v>Electrosurgical Units, Monopolar/Bipolar</v>
      </c>
      <c r="IKQ92" s="165" t="s">
        <v>945</v>
      </c>
      <c r="IKR92" s="166" t="str">
        <f>VLOOKUP(IKQ92,[13]AssetDetails_UEM!$A$3:$AH$1849,6,FALSE)</f>
        <v>Electrosurgical Units, Monopolar/Bipolar</v>
      </c>
      <c r="IKS92" s="165" t="s">
        <v>945</v>
      </c>
      <c r="IKT92" s="166" t="str">
        <f>VLOOKUP(IKS92,[13]AssetDetails_UEM!$A$3:$AH$1849,6,FALSE)</f>
        <v>Electrosurgical Units, Monopolar/Bipolar</v>
      </c>
      <c r="IKU92" s="165" t="s">
        <v>945</v>
      </c>
      <c r="IKV92" s="166" t="str">
        <f>VLOOKUP(IKU92,[13]AssetDetails_UEM!$A$3:$AH$1849,6,FALSE)</f>
        <v>Electrosurgical Units, Monopolar/Bipolar</v>
      </c>
      <c r="IKW92" s="165" t="s">
        <v>945</v>
      </c>
      <c r="IKX92" s="166" t="str">
        <f>VLOOKUP(IKW92,[13]AssetDetails_UEM!$A$3:$AH$1849,6,FALSE)</f>
        <v>Electrosurgical Units, Monopolar/Bipolar</v>
      </c>
      <c r="IKY92" s="165" t="s">
        <v>945</v>
      </c>
      <c r="IKZ92" s="166" t="str">
        <f>VLOOKUP(IKY92,[13]AssetDetails_UEM!$A$3:$AH$1849,6,FALSE)</f>
        <v>Electrosurgical Units, Monopolar/Bipolar</v>
      </c>
      <c r="ILA92" s="165" t="s">
        <v>945</v>
      </c>
      <c r="ILB92" s="166" t="str">
        <f>VLOOKUP(ILA92,[13]AssetDetails_UEM!$A$3:$AH$1849,6,FALSE)</f>
        <v>Electrosurgical Units, Monopolar/Bipolar</v>
      </c>
      <c r="ILC92" s="165" t="s">
        <v>945</v>
      </c>
      <c r="ILD92" s="166" t="str">
        <f>VLOOKUP(ILC92,[13]AssetDetails_UEM!$A$3:$AH$1849,6,FALSE)</f>
        <v>Electrosurgical Units, Monopolar/Bipolar</v>
      </c>
      <c r="ILE92" s="165" t="s">
        <v>945</v>
      </c>
      <c r="ILF92" s="166" t="str">
        <f>VLOOKUP(ILE92,[13]AssetDetails_UEM!$A$3:$AH$1849,6,FALSE)</f>
        <v>Electrosurgical Units, Monopolar/Bipolar</v>
      </c>
      <c r="ILG92" s="165" t="s">
        <v>945</v>
      </c>
      <c r="ILH92" s="166" t="str">
        <f>VLOOKUP(ILG92,[13]AssetDetails_UEM!$A$3:$AH$1849,6,FALSE)</f>
        <v>Electrosurgical Units, Monopolar/Bipolar</v>
      </c>
      <c r="ILI92" s="165" t="s">
        <v>945</v>
      </c>
      <c r="ILJ92" s="166" t="str">
        <f>VLOOKUP(ILI92,[13]AssetDetails_UEM!$A$3:$AH$1849,6,FALSE)</f>
        <v>Electrosurgical Units, Monopolar/Bipolar</v>
      </c>
      <c r="ILK92" s="165" t="s">
        <v>945</v>
      </c>
      <c r="ILL92" s="166" t="str">
        <f>VLOOKUP(ILK92,[13]AssetDetails_UEM!$A$3:$AH$1849,6,FALSE)</f>
        <v>Electrosurgical Units, Monopolar/Bipolar</v>
      </c>
      <c r="ILM92" s="165" t="s">
        <v>945</v>
      </c>
      <c r="ILN92" s="166" t="str">
        <f>VLOOKUP(ILM92,[13]AssetDetails_UEM!$A$3:$AH$1849,6,FALSE)</f>
        <v>Electrosurgical Units, Monopolar/Bipolar</v>
      </c>
      <c r="ILO92" s="165" t="s">
        <v>945</v>
      </c>
      <c r="ILP92" s="166" t="str">
        <f>VLOOKUP(ILO92,[13]AssetDetails_UEM!$A$3:$AH$1849,6,FALSE)</f>
        <v>Electrosurgical Units, Monopolar/Bipolar</v>
      </c>
      <c r="ILQ92" s="165" t="s">
        <v>945</v>
      </c>
      <c r="ILR92" s="166" t="str">
        <f>VLOOKUP(ILQ92,[13]AssetDetails_UEM!$A$3:$AH$1849,6,FALSE)</f>
        <v>Electrosurgical Units, Monopolar/Bipolar</v>
      </c>
      <c r="ILS92" s="165" t="s">
        <v>945</v>
      </c>
      <c r="ILT92" s="166" t="str">
        <f>VLOOKUP(ILS92,[13]AssetDetails_UEM!$A$3:$AH$1849,6,FALSE)</f>
        <v>Electrosurgical Units, Monopolar/Bipolar</v>
      </c>
      <c r="ILU92" s="165" t="s">
        <v>945</v>
      </c>
      <c r="ILV92" s="166" t="str">
        <f>VLOOKUP(ILU92,[13]AssetDetails_UEM!$A$3:$AH$1849,6,FALSE)</f>
        <v>Electrosurgical Units, Monopolar/Bipolar</v>
      </c>
      <c r="ILW92" s="165" t="s">
        <v>945</v>
      </c>
      <c r="ILX92" s="166" t="str">
        <f>VLOOKUP(ILW92,[13]AssetDetails_UEM!$A$3:$AH$1849,6,FALSE)</f>
        <v>Electrosurgical Units, Monopolar/Bipolar</v>
      </c>
      <c r="ILY92" s="165" t="s">
        <v>945</v>
      </c>
      <c r="ILZ92" s="166" t="str">
        <f>VLOOKUP(ILY92,[13]AssetDetails_UEM!$A$3:$AH$1849,6,FALSE)</f>
        <v>Electrosurgical Units, Monopolar/Bipolar</v>
      </c>
      <c r="IMA92" s="165" t="s">
        <v>945</v>
      </c>
      <c r="IMB92" s="166" t="str">
        <f>VLOOKUP(IMA92,[13]AssetDetails_UEM!$A$3:$AH$1849,6,FALSE)</f>
        <v>Electrosurgical Units, Monopolar/Bipolar</v>
      </c>
      <c r="IMC92" s="165" t="s">
        <v>945</v>
      </c>
      <c r="IMD92" s="166" t="str">
        <f>VLOOKUP(IMC92,[13]AssetDetails_UEM!$A$3:$AH$1849,6,FALSE)</f>
        <v>Electrosurgical Units, Monopolar/Bipolar</v>
      </c>
      <c r="IME92" s="165" t="s">
        <v>945</v>
      </c>
      <c r="IMF92" s="166" t="str">
        <f>VLOOKUP(IME92,[13]AssetDetails_UEM!$A$3:$AH$1849,6,FALSE)</f>
        <v>Electrosurgical Units, Monopolar/Bipolar</v>
      </c>
      <c r="IMG92" s="165" t="s">
        <v>945</v>
      </c>
      <c r="IMH92" s="166" t="str">
        <f>VLOOKUP(IMG92,[13]AssetDetails_UEM!$A$3:$AH$1849,6,FALSE)</f>
        <v>Electrosurgical Units, Monopolar/Bipolar</v>
      </c>
      <c r="IMI92" s="165" t="s">
        <v>945</v>
      </c>
      <c r="IMJ92" s="166" t="str">
        <f>VLOOKUP(IMI92,[13]AssetDetails_UEM!$A$3:$AH$1849,6,FALSE)</f>
        <v>Electrosurgical Units, Monopolar/Bipolar</v>
      </c>
      <c r="IMK92" s="165" t="s">
        <v>945</v>
      </c>
      <c r="IML92" s="166" t="str">
        <f>VLOOKUP(IMK92,[13]AssetDetails_UEM!$A$3:$AH$1849,6,FALSE)</f>
        <v>Electrosurgical Units, Monopolar/Bipolar</v>
      </c>
      <c r="IMM92" s="165" t="s">
        <v>945</v>
      </c>
      <c r="IMN92" s="166" t="str">
        <f>VLOOKUP(IMM92,[13]AssetDetails_UEM!$A$3:$AH$1849,6,FALSE)</f>
        <v>Electrosurgical Units, Monopolar/Bipolar</v>
      </c>
      <c r="IMO92" s="165" t="s">
        <v>945</v>
      </c>
      <c r="IMP92" s="166" t="str">
        <f>VLOOKUP(IMO92,[13]AssetDetails_UEM!$A$3:$AH$1849,6,FALSE)</f>
        <v>Electrosurgical Units, Monopolar/Bipolar</v>
      </c>
      <c r="IMQ92" s="165" t="s">
        <v>945</v>
      </c>
      <c r="IMR92" s="166" t="str">
        <f>VLOOKUP(IMQ92,[13]AssetDetails_UEM!$A$3:$AH$1849,6,FALSE)</f>
        <v>Electrosurgical Units, Monopolar/Bipolar</v>
      </c>
      <c r="IMS92" s="165" t="s">
        <v>945</v>
      </c>
      <c r="IMT92" s="166" t="str">
        <f>VLOOKUP(IMS92,[13]AssetDetails_UEM!$A$3:$AH$1849,6,FALSE)</f>
        <v>Electrosurgical Units, Monopolar/Bipolar</v>
      </c>
      <c r="IMU92" s="165" t="s">
        <v>945</v>
      </c>
      <c r="IMV92" s="166" t="str">
        <f>VLOOKUP(IMU92,[13]AssetDetails_UEM!$A$3:$AH$1849,6,FALSE)</f>
        <v>Electrosurgical Units, Monopolar/Bipolar</v>
      </c>
      <c r="IMW92" s="165" t="s">
        <v>945</v>
      </c>
      <c r="IMX92" s="166" t="str">
        <f>VLOOKUP(IMW92,[13]AssetDetails_UEM!$A$3:$AH$1849,6,FALSE)</f>
        <v>Electrosurgical Units, Monopolar/Bipolar</v>
      </c>
      <c r="IMY92" s="165" t="s">
        <v>945</v>
      </c>
      <c r="IMZ92" s="166" t="str">
        <f>VLOOKUP(IMY92,[13]AssetDetails_UEM!$A$3:$AH$1849,6,FALSE)</f>
        <v>Electrosurgical Units, Monopolar/Bipolar</v>
      </c>
      <c r="INA92" s="165" t="s">
        <v>945</v>
      </c>
      <c r="INB92" s="166" t="str">
        <f>VLOOKUP(INA92,[13]AssetDetails_UEM!$A$3:$AH$1849,6,FALSE)</f>
        <v>Electrosurgical Units, Monopolar/Bipolar</v>
      </c>
      <c r="INC92" s="165" t="s">
        <v>945</v>
      </c>
      <c r="IND92" s="166" t="str">
        <f>VLOOKUP(INC92,[13]AssetDetails_UEM!$A$3:$AH$1849,6,FALSE)</f>
        <v>Electrosurgical Units, Monopolar/Bipolar</v>
      </c>
      <c r="INE92" s="165" t="s">
        <v>945</v>
      </c>
      <c r="INF92" s="166" t="str">
        <f>VLOOKUP(INE92,[13]AssetDetails_UEM!$A$3:$AH$1849,6,FALSE)</f>
        <v>Electrosurgical Units, Monopolar/Bipolar</v>
      </c>
      <c r="ING92" s="165" t="s">
        <v>945</v>
      </c>
      <c r="INH92" s="166" t="str">
        <f>VLOOKUP(ING92,[13]AssetDetails_UEM!$A$3:$AH$1849,6,FALSE)</f>
        <v>Electrosurgical Units, Monopolar/Bipolar</v>
      </c>
      <c r="INI92" s="165" t="s">
        <v>945</v>
      </c>
      <c r="INJ92" s="166" t="str">
        <f>VLOOKUP(INI92,[13]AssetDetails_UEM!$A$3:$AH$1849,6,FALSE)</f>
        <v>Electrosurgical Units, Monopolar/Bipolar</v>
      </c>
      <c r="INK92" s="165" t="s">
        <v>945</v>
      </c>
      <c r="INL92" s="166" t="str">
        <f>VLOOKUP(INK92,[13]AssetDetails_UEM!$A$3:$AH$1849,6,FALSE)</f>
        <v>Electrosurgical Units, Monopolar/Bipolar</v>
      </c>
      <c r="INM92" s="165" t="s">
        <v>945</v>
      </c>
      <c r="INN92" s="166" t="str">
        <f>VLOOKUP(INM92,[13]AssetDetails_UEM!$A$3:$AH$1849,6,FALSE)</f>
        <v>Electrosurgical Units, Monopolar/Bipolar</v>
      </c>
      <c r="INO92" s="165" t="s">
        <v>945</v>
      </c>
      <c r="INP92" s="166" t="str">
        <f>VLOOKUP(INO92,[13]AssetDetails_UEM!$A$3:$AH$1849,6,FALSE)</f>
        <v>Electrosurgical Units, Monopolar/Bipolar</v>
      </c>
      <c r="INQ92" s="165" t="s">
        <v>945</v>
      </c>
      <c r="INR92" s="166" t="str">
        <f>VLOOKUP(INQ92,[13]AssetDetails_UEM!$A$3:$AH$1849,6,FALSE)</f>
        <v>Electrosurgical Units, Monopolar/Bipolar</v>
      </c>
      <c r="INS92" s="165" t="s">
        <v>945</v>
      </c>
      <c r="INT92" s="166" t="str">
        <f>VLOOKUP(INS92,[13]AssetDetails_UEM!$A$3:$AH$1849,6,FALSE)</f>
        <v>Electrosurgical Units, Monopolar/Bipolar</v>
      </c>
      <c r="INU92" s="165" t="s">
        <v>945</v>
      </c>
      <c r="INV92" s="166" t="str">
        <f>VLOOKUP(INU92,[13]AssetDetails_UEM!$A$3:$AH$1849,6,FALSE)</f>
        <v>Electrosurgical Units, Monopolar/Bipolar</v>
      </c>
      <c r="INW92" s="165" t="s">
        <v>945</v>
      </c>
      <c r="INX92" s="166" t="str">
        <f>VLOOKUP(INW92,[13]AssetDetails_UEM!$A$3:$AH$1849,6,FALSE)</f>
        <v>Electrosurgical Units, Monopolar/Bipolar</v>
      </c>
      <c r="INY92" s="165" t="s">
        <v>945</v>
      </c>
      <c r="INZ92" s="166" t="str">
        <f>VLOOKUP(INY92,[13]AssetDetails_UEM!$A$3:$AH$1849,6,FALSE)</f>
        <v>Electrosurgical Units, Monopolar/Bipolar</v>
      </c>
      <c r="IOA92" s="165" t="s">
        <v>945</v>
      </c>
      <c r="IOB92" s="166" t="str">
        <f>VLOOKUP(IOA92,[13]AssetDetails_UEM!$A$3:$AH$1849,6,FALSE)</f>
        <v>Electrosurgical Units, Monopolar/Bipolar</v>
      </c>
      <c r="IOC92" s="165" t="s">
        <v>945</v>
      </c>
      <c r="IOD92" s="166" t="str">
        <f>VLOOKUP(IOC92,[13]AssetDetails_UEM!$A$3:$AH$1849,6,FALSE)</f>
        <v>Electrosurgical Units, Monopolar/Bipolar</v>
      </c>
      <c r="IOE92" s="165" t="s">
        <v>945</v>
      </c>
      <c r="IOF92" s="166" t="str">
        <f>VLOOKUP(IOE92,[13]AssetDetails_UEM!$A$3:$AH$1849,6,FALSE)</f>
        <v>Electrosurgical Units, Monopolar/Bipolar</v>
      </c>
      <c r="IOG92" s="165" t="s">
        <v>945</v>
      </c>
      <c r="IOH92" s="166" t="str">
        <f>VLOOKUP(IOG92,[13]AssetDetails_UEM!$A$3:$AH$1849,6,FALSE)</f>
        <v>Electrosurgical Units, Monopolar/Bipolar</v>
      </c>
      <c r="IOI92" s="165" t="s">
        <v>945</v>
      </c>
      <c r="IOJ92" s="166" t="str">
        <f>VLOOKUP(IOI92,[13]AssetDetails_UEM!$A$3:$AH$1849,6,FALSE)</f>
        <v>Electrosurgical Units, Monopolar/Bipolar</v>
      </c>
      <c r="IOK92" s="165" t="s">
        <v>945</v>
      </c>
      <c r="IOL92" s="166" t="str">
        <f>VLOOKUP(IOK92,[13]AssetDetails_UEM!$A$3:$AH$1849,6,FALSE)</f>
        <v>Electrosurgical Units, Monopolar/Bipolar</v>
      </c>
      <c r="IOM92" s="165" t="s">
        <v>945</v>
      </c>
      <c r="ION92" s="166" t="str">
        <f>VLOOKUP(IOM92,[13]AssetDetails_UEM!$A$3:$AH$1849,6,FALSE)</f>
        <v>Electrosurgical Units, Monopolar/Bipolar</v>
      </c>
      <c r="IOO92" s="165" t="s">
        <v>945</v>
      </c>
      <c r="IOP92" s="166" t="str">
        <f>VLOOKUP(IOO92,[13]AssetDetails_UEM!$A$3:$AH$1849,6,FALSE)</f>
        <v>Electrosurgical Units, Monopolar/Bipolar</v>
      </c>
      <c r="IOQ92" s="165" t="s">
        <v>945</v>
      </c>
      <c r="IOR92" s="166" t="str">
        <f>VLOOKUP(IOQ92,[13]AssetDetails_UEM!$A$3:$AH$1849,6,FALSE)</f>
        <v>Electrosurgical Units, Monopolar/Bipolar</v>
      </c>
      <c r="IOS92" s="165" t="s">
        <v>945</v>
      </c>
      <c r="IOT92" s="166" t="str">
        <f>VLOOKUP(IOS92,[13]AssetDetails_UEM!$A$3:$AH$1849,6,FALSE)</f>
        <v>Electrosurgical Units, Monopolar/Bipolar</v>
      </c>
      <c r="IOU92" s="165" t="s">
        <v>945</v>
      </c>
      <c r="IOV92" s="166" t="str">
        <f>VLOOKUP(IOU92,[13]AssetDetails_UEM!$A$3:$AH$1849,6,FALSE)</f>
        <v>Electrosurgical Units, Monopolar/Bipolar</v>
      </c>
      <c r="IOW92" s="165" t="s">
        <v>945</v>
      </c>
      <c r="IOX92" s="166" t="str">
        <f>VLOOKUP(IOW92,[13]AssetDetails_UEM!$A$3:$AH$1849,6,FALSE)</f>
        <v>Electrosurgical Units, Monopolar/Bipolar</v>
      </c>
      <c r="IOY92" s="165" t="s">
        <v>945</v>
      </c>
      <c r="IOZ92" s="166" t="str">
        <f>VLOOKUP(IOY92,[13]AssetDetails_UEM!$A$3:$AH$1849,6,FALSE)</f>
        <v>Electrosurgical Units, Monopolar/Bipolar</v>
      </c>
      <c r="IPA92" s="165" t="s">
        <v>945</v>
      </c>
      <c r="IPB92" s="166" t="str">
        <f>VLOOKUP(IPA92,[13]AssetDetails_UEM!$A$3:$AH$1849,6,FALSE)</f>
        <v>Electrosurgical Units, Monopolar/Bipolar</v>
      </c>
      <c r="IPC92" s="165" t="s">
        <v>945</v>
      </c>
      <c r="IPD92" s="166" t="str">
        <f>VLOOKUP(IPC92,[13]AssetDetails_UEM!$A$3:$AH$1849,6,FALSE)</f>
        <v>Electrosurgical Units, Monopolar/Bipolar</v>
      </c>
      <c r="IPE92" s="165" t="s">
        <v>945</v>
      </c>
      <c r="IPF92" s="166" t="str">
        <f>VLOOKUP(IPE92,[13]AssetDetails_UEM!$A$3:$AH$1849,6,FALSE)</f>
        <v>Electrosurgical Units, Monopolar/Bipolar</v>
      </c>
      <c r="IPG92" s="165" t="s">
        <v>945</v>
      </c>
      <c r="IPH92" s="166" t="str">
        <f>VLOOKUP(IPG92,[13]AssetDetails_UEM!$A$3:$AH$1849,6,FALSE)</f>
        <v>Electrosurgical Units, Monopolar/Bipolar</v>
      </c>
      <c r="IPI92" s="165" t="s">
        <v>945</v>
      </c>
      <c r="IPJ92" s="166" t="str">
        <f>VLOOKUP(IPI92,[13]AssetDetails_UEM!$A$3:$AH$1849,6,FALSE)</f>
        <v>Electrosurgical Units, Monopolar/Bipolar</v>
      </c>
      <c r="IPK92" s="165" t="s">
        <v>945</v>
      </c>
      <c r="IPL92" s="166" t="str">
        <f>VLOOKUP(IPK92,[13]AssetDetails_UEM!$A$3:$AH$1849,6,FALSE)</f>
        <v>Electrosurgical Units, Monopolar/Bipolar</v>
      </c>
      <c r="IPM92" s="165" t="s">
        <v>945</v>
      </c>
      <c r="IPN92" s="166" t="str">
        <f>VLOOKUP(IPM92,[13]AssetDetails_UEM!$A$3:$AH$1849,6,FALSE)</f>
        <v>Electrosurgical Units, Monopolar/Bipolar</v>
      </c>
      <c r="IPO92" s="165" t="s">
        <v>945</v>
      </c>
      <c r="IPP92" s="166" t="str">
        <f>VLOOKUP(IPO92,[13]AssetDetails_UEM!$A$3:$AH$1849,6,FALSE)</f>
        <v>Electrosurgical Units, Monopolar/Bipolar</v>
      </c>
      <c r="IPQ92" s="165" t="s">
        <v>945</v>
      </c>
      <c r="IPR92" s="166" t="str">
        <f>VLOOKUP(IPQ92,[13]AssetDetails_UEM!$A$3:$AH$1849,6,FALSE)</f>
        <v>Electrosurgical Units, Monopolar/Bipolar</v>
      </c>
      <c r="IPS92" s="165" t="s">
        <v>945</v>
      </c>
      <c r="IPT92" s="166" t="str">
        <f>VLOOKUP(IPS92,[13]AssetDetails_UEM!$A$3:$AH$1849,6,FALSE)</f>
        <v>Electrosurgical Units, Monopolar/Bipolar</v>
      </c>
      <c r="IPU92" s="165" t="s">
        <v>945</v>
      </c>
      <c r="IPV92" s="166" t="str">
        <f>VLOOKUP(IPU92,[13]AssetDetails_UEM!$A$3:$AH$1849,6,FALSE)</f>
        <v>Electrosurgical Units, Monopolar/Bipolar</v>
      </c>
      <c r="IPW92" s="165" t="s">
        <v>945</v>
      </c>
      <c r="IPX92" s="166" t="str">
        <f>VLOOKUP(IPW92,[13]AssetDetails_UEM!$A$3:$AH$1849,6,FALSE)</f>
        <v>Electrosurgical Units, Monopolar/Bipolar</v>
      </c>
      <c r="IPY92" s="165" t="s">
        <v>945</v>
      </c>
      <c r="IPZ92" s="166" t="str">
        <f>VLOOKUP(IPY92,[13]AssetDetails_UEM!$A$3:$AH$1849,6,FALSE)</f>
        <v>Electrosurgical Units, Monopolar/Bipolar</v>
      </c>
      <c r="IQA92" s="165" t="s">
        <v>945</v>
      </c>
      <c r="IQB92" s="166" t="str">
        <f>VLOOKUP(IQA92,[13]AssetDetails_UEM!$A$3:$AH$1849,6,FALSE)</f>
        <v>Electrosurgical Units, Monopolar/Bipolar</v>
      </c>
      <c r="IQC92" s="165" t="s">
        <v>945</v>
      </c>
      <c r="IQD92" s="166" t="str">
        <f>VLOOKUP(IQC92,[13]AssetDetails_UEM!$A$3:$AH$1849,6,FALSE)</f>
        <v>Electrosurgical Units, Monopolar/Bipolar</v>
      </c>
      <c r="IQE92" s="165" t="s">
        <v>945</v>
      </c>
      <c r="IQF92" s="166" t="str">
        <f>VLOOKUP(IQE92,[13]AssetDetails_UEM!$A$3:$AH$1849,6,FALSE)</f>
        <v>Electrosurgical Units, Monopolar/Bipolar</v>
      </c>
      <c r="IQG92" s="165" t="s">
        <v>945</v>
      </c>
      <c r="IQH92" s="166" t="str">
        <f>VLOOKUP(IQG92,[13]AssetDetails_UEM!$A$3:$AH$1849,6,FALSE)</f>
        <v>Electrosurgical Units, Monopolar/Bipolar</v>
      </c>
      <c r="IQI92" s="165" t="s">
        <v>945</v>
      </c>
      <c r="IQJ92" s="166" t="str">
        <f>VLOOKUP(IQI92,[13]AssetDetails_UEM!$A$3:$AH$1849,6,FALSE)</f>
        <v>Electrosurgical Units, Monopolar/Bipolar</v>
      </c>
      <c r="IQK92" s="165" t="s">
        <v>945</v>
      </c>
      <c r="IQL92" s="166" t="str">
        <f>VLOOKUP(IQK92,[13]AssetDetails_UEM!$A$3:$AH$1849,6,FALSE)</f>
        <v>Electrosurgical Units, Monopolar/Bipolar</v>
      </c>
      <c r="IQM92" s="165" t="s">
        <v>945</v>
      </c>
      <c r="IQN92" s="166" t="str">
        <f>VLOOKUP(IQM92,[13]AssetDetails_UEM!$A$3:$AH$1849,6,FALSE)</f>
        <v>Electrosurgical Units, Monopolar/Bipolar</v>
      </c>
      <c r="IQO92" s="165" t="s">
        <v>945</v>
      </c>
      <c r="IQP92" s="166" t="str">
        <f>VLOOKUP(IQO92,[13]AssetDetails_UEM!$A$3:$AH$1849,6,FALSE)</f>
        <v>Electrosurgical Units, Monopolar/Bipolar</v>
      </c>
      <c r="IQQ92" s="165" t="s">
        <v>945</v>
      </c>
      <c r="IQR92" s="166" t="str">
        <f>VLOOKUP(IQQ92,[13]AssetDetails_UEM!$A$3:$AH$1849,6,FALSE)</f>
        <v>Electrosurgical Units, Monopolar/Bipolar</v>
      </c>
      <c r="IQS92" s="165" t="s">
        <v>945</v>
      </c>
      <c r="IQT92" s="166" t="str">
        <f>VLOOKUP(IQS92,[13]AssetDetails_UEM!$A$3:$AH$1849,6,FALSE)</f>
        <v>Electrosurgical Units, Monopolar/Bipolar</v>
      </c>
      <c r="IQU92" s="165" t="s">
        <v>945</v>
      </c>
      <c r="IQV92" s="166" t="str">
        <f>VLOOKUP(IQU92,[13]AssetDetails_UEM!$A$3:$AH$1849,6,FALSE)</f>
        <v>Electrosurgical Units, Monopolar/Bipolar</v>
      </c>
      <c r="IQW92" s="165" t="s">
        <v>945</v>
      </c>
      <c r="IQX92" s="166" t="str">
        <f>VLOOKUP(IQW92,[13]AssetDetails_UEM!$A$3:$AH$1849,6,FALSE)</f>
        <v>Electrosurgical Units, Monopolar/Bipolar</v>
      </c>
      <c r="IQY92" s="165" t="s">
        <v>945</v>
      </c>
      <c r="IQZ92" s="166" t="str">
        <f>VLOOKUP(IQY92,[13]AssetDetails_UEM!$A$3:$AH$1849,6,FALSE)</f>
        <v>Electrosurgical Units, Monopolar/Bipolar</v>
      </c>
      <c r="IRA92" s="165" t="s">
        <v>945</v>
      </c>
      <c r="IRB92" s="166" t="str">
        <f>VLOOKUP(IRA92,[13]AssetDetails_UEM!$A$3:$AH$1849,6,FALSE)</f>
        <v>Electrosurgical Units, Monopolar/Bipolar</v>
      </c>
      <c r="IRC92" s="165" t="s">
        <v>945</v>
      </c>
      <c r="IRD92" s="166" t="str">
        <f>VLOOKUP(IRC92,[13]AssetDetails_UEM!$A$3:$AH$1849,6,FALSE)</f>
        <v>Electrosurgical Units, Monopolar/Bipolar</v>
      </c>
      <c r="IRE92" s="165" t="s">
        <v>945</v>
      </c>
      <c r="IRF92" s="166" t="str">
        <f>VLOOKUP(IRE92,[13]AssetDetails_UEM!$A$3:$AH$1849,6,FALSE)</f>
        <v>Electrosurgical Units, Monopolar/Bipolar</v>
      </c>
      <c r="IRG92" s="165" t="s">
        <v>945</v>
      </c>
      <c r="IRH92" s="166" t="str">
        <f>VLOOKUP(IRG92,[13]AssetDetails_UEM!$A$3:$AH$1849,6,FALSE)</f>
        <v>Electrosurgical Units, Monopolar/Bipolar</v>
      </c>
      <c r="IRI92" s="165" t="s">
        <v>945</v>
      </c>
      <c r="IRJ92" s="166" t="str">
        <f>VLOOKUP(IRI92,[13]AssetDetails_UEM!$A$3:$AH$1849,6,FALSE)</f>
        <v>Electrosurgical Units, Monopolar/Bipolar</v>
      </c>
      <c r="IRK92" s="165" t="s">
        <v>945</v>
      </c>
      <c r="IRL92" s="166" t="str">
        <f>VLOOKUP(IRK92,[13]AssetDetails_UEM!$A$3:$AH$1849,6,FALSE)</f>
        <v>Electrosurgical Units, Monopolar/Bipolar</v>
      </c>
      <c r="IRM92" s="165" t="s">
        <v>945</v>
      </c>
      <c r="IRN92" s="166" t="str">
        <f>VLOOKUP(IRM92,[13]AssetDetails_UEM!$A$3:$AH$1849,6,FALSE)</f>
        <v>Electrosurgical Units, Monopolar/Bipolar</v>
      </c>
      <c r="IRO92" s="165" t="s">
        <v>945</v>
      </c>
      <c r="IRP92" s="166" t="str">
        <f>VLOOKUP(IRO92,[13]AssetDetails_UEM!$A$3:$AH$1849,6,FALSE)</f>
        <v>Electrosurgical Units, Monopolar/Bipolar</v>
      </c>
      <c r="IRQ92" s="165" t="s">
        <v>945</v>
      </c>
      <c r="IRR92" s="166" t="str">
        <f>VLOOKUP(IRQ92,[13]AssetDetails_UEM!$A$3:$AH$1849,6,FALSE)</f>
        <v>Electrosurgical Units, Monopolar/Bipolar</v>
      </c>
      <c r="IRS92" s="165" t="s">
        <v>945</v>
      </c>
      <c r="IRT92" s="166" t="str">
        <f>VLOOKUP(IRS92,[13]AssetDetails_UEM!$A$3:$AH$1849,6,FALSE)</f>
        <v>Electrosurgical Units, Monopolar/Bipolar</v>
      </c>
      <c r="IRU92" s="165" t="s">
        <v>945</v>
      </c>
      <c r="IRV92" s="166" t="str">
        <f>VLOOKUP(IRU92,[13]AssetDetails_UEM!$A$3:$AH$1849,6,FALSE)</f>
        <v>Electrosurgical Units, Monopolar/Bipolar</v>
      </c>
      <c r="IRW92" s="165" t="s">
        <v>945</v>
      </c>
      <c r="IRX92" s="166" t="str">
        <f>VLOOKUP(IRW92,[13]AssetDetails_UEM!$A$3:$AH$1849,6,FALSE)</f>
        <v>Electrosurgical Units, Monopolar/Bipolar</v>
      </c>
      <c r="IRY92" s="165" t="s">
        <v>945</v>
      </c>
      <c r="IRZ92" s="166" t="str">
        <f>VLOOKUP(IRY92,[13]AssetDetails_UEM!$A$3:$AH$1849,6,FALSE)</f>
        <v>Electrosurgical Units, Monopolar/Bipolar</v>
      </c>
      <c r="ISA92" s="165" t="s">
        <v>945</v>
      </c>
      <c r="ISB92" s="166" t="str">
        <f>VLOOKUP(ISA92,[13]AssetDetails_UEM!$A$3:$AH$1849,6,FALSE)</f>
        <v>Electrosurgical Units, Monopolar/Bipolar</v>
      </c>
      <c r="ISC92" s="165" t="s">
        <v>945</v>
      </c>
      <c r="ISD92" s="166" t="str">
        <f>VLOOKUP(ISC92,[13]AssetDetails_UEM!$A$3:$AH$1849,6,FALSE)</f>
        <v>Electrosurgical Units, Monopolar/Bipolar</v>
      </c>
      <c r="ISE92" s="165" t="s">
        <v>945</v>
      </c>
      <c r="ISF92" s="166" t="str">
        <f>VLOOKUP(ISE92,[13]AssetDetails_UEM!$A$3:$AH$1849,6,FALSE)</f>
        <v>Electrosurgical Units, Monopolar/Bipolar</v>
      </c>
      <c r="ISG92" s="165" t="s">
        <v>945</v>
      </c>
      <c r="ISH92" s="166" t="str">
        <f>VLOOKUP(ISG92,[13]AssetDetails_UEM!$A$3:$AH$1849,6,FALSE)</f>
        <v>Electrosurgical Units, Monopolar/Bipolar</v>
      </c>
      <c r="ISI92" s="165" t="s">
        <v>945</v>
      </c>
      <c r="ISJ92" s="166" t="str">
        <f>VLOOKUP(ISI92,[13]AssetDetails_UEM!$A$3:$AH$1849,6,FALSE)</f>
        <v>Electrosurgical Units, Monopolar/Bipolar</v>
      </c>
      <c r="ISK92" s="165" t="s">
        <v>945</v>
      </c>
      <c r="ISL92" s="166" t="str">
        <f>VLOOKUP(ISK92,[13]AssetDetails_UEM!$A$3:$AH$1849,6,FALSE)</f>
        <v>Electrosurgical Units, Monopolar/Bipolar</v>
      </c>
      <c r="ISM92" s="165" t="s">
        <v>945</v>
      </c>
      <c r="ISN92" s="166" t="str">
        <f>VLOOKUP(ISM92,[13]AssetDetails_UEM!$A$3:$AH$1849,6,FALSE)</f>
        <v>Electrosurgical Units, Monopolar/Bipolar</v>
      </c>
      <c r="ISO92" s="165" t="s">
        <v>945</v>
      </c>
      <c r="ISP92" s="166" t="str">
        <f>VLOOKUP(ISO92,[13]AssetDetails_UEM!$A$3:$AH$1849,6,FALSE)</f>
        <v>Electrosurgical Units, Monopolar/Bipolar</v>
      </c>
      <c r="ISQ92" s="165" t="s">
        <v>945</v>
      </c>
      <c r="ISR92" s="166" t="str">
        <f>VLOOKUP(ISQ92,[13]AssetDetails_UEM!$A$3:$AH$1849,6,FALSE)</f>
        <v>Electrosurgical Units, Monopolar/Bipolar</v>
      </c>
      <c r="ISS92" s="165" t="s">
        <v>945</v>
      </c>
      <c r="IST92" s="166" t="str">
        <f>VLOOKUP(ISS92,[13]AssetDetails_UEM!$A$3:$AH$1849,6,FALSE)</f>
        <v>Electrosurgical Units, Monopolar/Bipolar</v>
      </c>
      <c r="ISU92" s="165" t="s">
        <v>945</v>
      </c>
      <c r="ISV92" s="166" t="str">
        <f>VLOOKUP(ISU92,[13]AssetDetails_UEM!$A$3:$AH$1849,6,FALSE)</f>
        <v>Electrosurgical Units, Monopolar/Bipolar</v>
      </c>
      <c r="ISW92" s="165" t="s">
        <v>945</v>
      </c>
      <c r="ISX92" s="166" t="str">
        <f>VLOOKUP(ISW92,[13]AssetDetails_UEM!$A$3:$AH$1849,6,FALSE)</f>
        <v>Electrosurgical Units, Monopolar/Bipolar</v>
      </c>
      <c r="ISY92" s="165" t="s">
        <v>945</v>
      </c>
      <c r="ISZ92" s="166" t="str">
        <f>VLOOKUP(ISY92,[13]AssetDetails_UEM!$A$3:$AH$1849,6,FALSE)</f>
        <v>Electrosurgical Units, Monopolar/Bipolar</v>
      </c>
      <c r="ITA92" s="165" t="s">
        <v>945</v>
      </c>
      <c r="ITB92" s="166" t="str">
        <f>VLOOKUP(ITA92,[13]AssetDetails_UEM!$A$3:$AH$1849,6,FALSE)</f>
        <v>Electrosurgical Units, Monopolar/Bipolar</v>
      </c>
      <c r="ITC92" s="165" t="s">
        <v>945</v>
      </c>
      <c r="ITD92" s="166" t="str">
        <f>VLOOKUP(ITC92,[13]AssetDetails_UEM!$A$3:$AH$1849,6,FALSE)</f>
        <v>Electrosurgical Units, Monopolar/Bipolar</v>
      </c>
      <c r="ITE92" s="165" t="s">
        <v>945</v>
      </c>
      <c r="ITF92" s="166" t="str">
        <f>VLOOKUP(ITE92,[13]AssetDetails_UEM!$A$3:$AH$1849,6,FALSE)</f>
        <v>Electrosurgical Units, Monopolar/Bipolar</v>
      </c>
      <c r="ITG92" s="165" t="s">
        <v>945</v>
      </c>
      <c r="ITH92" s="166" t="str">
        <f>VLOOKUP(ITG92,[13]AssetDetails_UEM!$A$3:$AH$1849,6,FALSE)</f>
        <v>Electrosurgical Units, Monopolar/Bipolar</v>
      </c>
      <c r="ITI92" s="165" t="s">
        <v>945</v>
      </c>
      <c r="ITJ92" s="166" t="str">
        <f>VLOOKUP(ITI92,[13]AssetDetails_UEM!$A$3:$AH$1849,6,FALSE)</f>
        <v>Electrosurgical Units, Monopolar/Bipolar</v>
      </c>
      <c r="ITK92" s="165" t="s">
        <v>945</v>
      </c>
      <c r="ITL92" s="166" t="str">
        <f>VLOOKUP(ITK92,[13]AssetDetails_UEM!$A$3:$AH$1849,6,FALSE)</f>
        <v>Electrosurgical Units, Monopolar/Bipolar</v>
      </c>
      <c r="ITM92" s="165" t="s">
        <v>945</v>
      </c>
      <c r="ITN92" s="166" t="str">
        <f>VLOOKUP(ITM92,[13]AssetDetails_UEM!$A$3:$AH$1849,6,FALSE)</f>
        <v>Electrosurgical Units, Monopolar/Bipolar</v>
      </c>
      <c r="ITO92" s="165" t="s">
        <v>945</v>
      </c>
      <c r="ITP92" s="166" t="str">
        <f>VLOOKUP(ITO92,[13]AssetDetails_UEM!$A$3:$AH$1849,6,FALSE)</f>
        <v>Electrosurgical Units, Monopolar/Bipolar</v>
      </c>
      <c r="ITQ92" s="165" t="s">
        <v>945</v>
      </c>
      <c r="ITR92" s="166" t="str">
        <f>VLOOKUP(ITQ92,[13]AssetDetails_UEM!$A$3:$AH$1849,6,FALSE)</f>
        <v>Electrosurgical Units, Monopolar/Bipolar</v>
      </c>
      <c r="ITS92" s="165" t="s">
        <v>945</v>
      </c>
      <c r="ITT92" s="166" t="str">
        <f>VLOOKUP(ITS92,[13]AssetDetails_UEM!$A$3:$AH$1849,6,FALSE)</f>
        <v>Electrosurgical Units, Monopolar/Bipolar</v>
      </c>
      <c r="ITU92" s="165" t="s">
        <v>945</v>
      </c>
      <c r="ITV92" s="166" t="str">
        <f>VLOOKUP(ITU92,[13]AssetDetails_UEM!$A$3:$AH$1849,6,FALSE)</f>
        <v>Electrosurgical Units, Monopolar/Bipolar</v>
      </c>
      <c r="ITW92" s="165" t="s">
        <v>945</v>
      </c>
      <c r="ITX92" s="166" t="str">
        <f>VLOOKUP(ITW92,[13]AssetDetails_UEM!$A$3:$AH$1849,6,FALSE)</f>
        <v>Electrosurgical Units, Monopolar/Bipolar</v>
      </c>
      <c r="ITY92" s="165" t="s">
        <v>945</v>
      </c>
      <c r="ITZ92" s="166" t="str">
        <f>VLOOKUP(ITY92,[13]AssetDetails_UEM!$A$3:$AH$1849,6,FALSE)</f>
        <v>Electrosurgical Units, Monopolar/Bipolar</v>
      </c>
      <c r="IUA92" s="165" t="s">
        <v>945</v>
      </c>
      <c r="IUB92" s="166" t="str">
        <f>VLOOKUP(IUA92,[13]AssetDetails_UEM!$A$3:$AH$1849,6,FALSE)</f>
        <v>Electrosurgical Units, Monopolar/Bipolar</v>
      </c>
      <c r="IUC92" s="165" t="s">
        <v>945</v>
      </c>
      <c r="IUD92" s="166" t="str">
        <f>VLOOKUP(IUC92,[13]AssetDetails_UEM!$A$3:$AH$1849,6,FALSE)</f>
        <v>Electrosurgical Units, Monopolar/Bipolar</v>
      </c>
      <c r="IUE92" s="165" t="s">
        <v>945</v>
      </c>
      <c r="IUF92" s="166" t="str">
        <f>VLOOKUP(IUE92,[13]AssetDetails_UEM!$A$3:$AH$1849,6,FALSE)</f>
        <v>Electrosurgical Units, Monopolar/Bipolar</v>
      </c>
      <c r="IUG92" s="165" t="s">
        <v>945</v>
      </c>
      <c r="IUH92" s="166" t="str">
        <f>VLOOKUP(IUG92,[13]AssetDetails_UEM!$A$3:$AH$1849,6,FALSE)</f>
        <v>Electrosurgical Units, Monopolar/Bipolar</v>
      </c>
      <c r="IUI92" s="165" t="s">
        <v>945</v>
      </c>
      <c r="IUJ92" s="166" t="str">
        <f>VLOOKUP(IUI92,[13]AssetDetails_UEM!$A$3:$AH$1849,6,FALSE)</f>
        <v>Electrosurgical Units, Monopolar/Bipolar</v>
      </c>
      <c r="IUK92" s="165" t="s">
        <v>945</v>
      </c>
      <c r="IUL92" s="166" t="str">
        <f>VLOOKUP(IUK92,[13]AssetDetails_UEM!$A$3:$AH$1849,6,FALSE)</f>
        <v>Electrosurgical Units, Monopolar/Bipolar</v>
      </c>
      <c r="IUM92" s="165" t="s">
        <v>945</v>
      </c>
      <c r="IUN92" s="166" t="str">
        <f>VLOOKUP(IUM92,[13]AssetDetails_UEM!$A$3:$AH$1849,6,FALSE)</f>
        <v>Electrosurgical Units, Monopolar/Bipolar</v>
      </c>
      <c r="IUO92" s="165" t="s">
        <v>945</v>
      </c>
      <c r="IUP92" s="166" t="str">
        <f>VLOOKUP(IUO92,[13]AssetDetails_UEM!$A$3:$AH$1849,6,FALSE)</f>
        <v>Electrosurgical Units, Monopolar/Bipolar</v>
      </c>
      <c r="IUQ92" s="165" t="s">
        <v>945</v>
      </c>
      <c r="IUR92" s="166" t="str">
        <f>VLOOKUP(IUQ92,[13]AssetDetails_UEM!$A$3:$AH$1849,6,FALSE)</f>
        <v>Electrosurgical Units, Monopolar/Bipolar</v>
      </c>
      <c r="IUS92" s="165" t="s">
        <v>945</v>
      </c>
      <c r="IUT92" s="166" t="str">
        <f>VLOOKUP(IUS92,[13]AssetDetails_UEM!$A$3:$AH$1849,6,FALSE)</f>
        <v>Electrosurgical Units, Monopolar/Bipolar</v>
      </c>
      <c r="IUU92" s="165" t="s">
        <v>945</v>
      </c>
      <c r="IUV92" s="166" t="str">
        <f>VLOOKUP(IUU92,[13]AssetDetails_UEM!$A$3:$AH$1849,6,FALSE)</f>
        <v>Electrosurgical Units, Monopolar/Bipolar</v>
      </c>
      <c r="IUW92" s="165" t="s">
        <v>945</v>
      </c>
      <c r="IUX92" s="166" t="str">
        <f>VLOOKUP(IUW92,[13]AssetDetails_UEM!$A$3:$AH$1849,6,FALSE)</f>
        <v>Electrosurgical Units, Monopolar/Bipolar</v>
      </c>
      <c r="IUY92" s="165" t="s">
        <v>945</v>
      </c>
      <c r="IUZ92" s="166" t="str">
        <f>VLOOKUP(IUY92,[13]AssetDetails_UEM!$A$3:$AH$1849,6,FALSE)</f>
        <v>Electrosurgical Units, Monopolar/Bipolar</v>
      </c>
      <c r="IVA92" s="165" t="s">
        <v>945</v>
      </c>
      <c r="IVB92" s="166" t="str">
        <f>VLOOKUP(IVA92,[13]AssetDetails_UEM!$A$3:$AH$1849,6,FALSE)</f>
        <v>Electrosurgical Units, Monopolar/Bipolar</v>
      </c>
      <c r="IVC92" s="165" t="s">
        <v>945</v>
      </c>
      <c r="IVD92" s="166" t="str">
        <f>VLOOKUP(IVC92,[13]AssetDetails_UEM!$A$3:$AH$1849,6,FALSE)</f>
        <v>Electrosurgical Units, Monopolar/Bipolar</v>
      </c>
      <c r="IVE92" s="165" t="s">
        <v>945</v>
      </c>
      <c r="IVF92" s="166" t="str">
        <f>VLOOKUP(IVE92,[13]AssetDetails_UEM!$A$3:$AH$1849,6,FALSE)</f>
        <v>Electrosurgical Units, Monopolar/Bipolar</v>
      </c>
      <c r="IVG92" s="165" t="s">
        <v>945</v>
      </c>
      <c r="IVH92" s="166" t="str">
        <f>VLOOKUP(IVG92,[13]AssetDetails_UEM!$A$3:$AH$1849,6,FALSE)</f>
        <v>Electrosurgical Units, Monopolar/Bipolar</v>
      </c>
      <c r="IVI92" s="165" t="s">
        <v>945</v>
      </c>
      <c r="IVJ92" s="166" t="str">
        <f>VLOOKUP(IVI92,[13]AssetDetails_UEM!$A$3:$AH$1849,6,FALSE)</f>
        <v>Electrosurgical Units, Monopolar/Bipolar</v>
      </c>
      <c r="IVK92" s="165" t="s">
        <v>945</v>
      </c>
      <c r="IVL92" s="166" t="str">
        <f>VLOOKUP(IVK92,[13]AssetDetails_UEM!$A$3:$AH$1849,6,FALSE)</f>
        <v>Electrosurgical Units, Monopolar/Bipolar</v>
      </c>
      <c r="IVM92" s="165" t="s">
        <v>945</v>
      </c>
      <c r="IVN92" s="166" t="str">
        <f>VLOOKUP(IVM92,[13]AssetDetails_UEM!$A$3:$AH$1849,6,FALSE)</f>
        <v>Electrosurgical Units, Monopolar/Bipolar</v>
      </c>
      <c r="IVO92" s="165" t="s">
        <v>945</v>
      </c>
      <c r="IVP92" s="166" t="str">
        <f>VLOOKUP(IVO92,[13]AssetDetails_UEM!$A$3:$AH$1849,6,FALSE)</f>
        <v>Electrosurgical Units, Monopolar/Bipolar</v>
      </c>
      <c r="IVQ92" s="165" t="s">
        <v>945</v>
      </c>
      <c r="IVR92" s="166" t="str">
        <f>VLOOKUP(IVQ92,[13]AssetDetails_UEM!$A$3:$AH$1849,6,FALSE)</f>
        <v>Electrosurgical Units, Monopolar/Bipolar</v>
      </c>
      <c r="IVS92" s="165" t="s">
        <v>945</v>
      </c>
      <c r="IVT92" s="166" t="str">
        <f>VLOOKUP(IVS92,[13]AssetDetails_UEM!$A$3:$AH$1849,6,FALSE)</f>
        <v>Electrosurgical Units, Monopolar/Bipolar</v>
      </c>
      <c r="IVU92" s="165" t="s">
        <v>945</v>
      </c>
      <c r="IVV92" s="166" t="str">
        <f>VLOOKUP(IVU92,[13]AssetDetails_UEM!$A$3:$AH$1849,6,FALSE)</f>
        <v>Electrosurgical Units, Monopolar/Bipolar</v>
      </c>
      <c r="IVW92" s="165" t="s">
        <v>945</v>
      </c>
      <c r="IVX92" s="166" t="str">
        <f>VLOOKUP(IVW92,[13]AssetDetails_UEM!$A$3:$AH$1849,6,FALSE)</f>
        <v>Electrosurgical Units, Monopolar/Bipolar</v>
      </c>
      <c r="IVY92" s="165" t="s">
        <v>945</v>
      </c>
      <c r="IVZ92" s="166" t="str">
        <f>VLOOKUP(IVY92,[13]AssetDetails_UEM!$A$3:$AH$1849,6,FALSE)</f>
        <v>Electrosurgical Units, Monopolar/Bipolar</v>
      </c>
      <c r="IWA92" s="165" t="s">
        <v>945</v>
      </c>
      <c r="IWB92" s="166" t="str">
        <f>VLOOKUP(IWA92,[13]AssetDetails_UEM!$A$3:$AH$1849,6,FALSE)</f>
        <v>Electrosurgical Units, Monopolar/Bipolar</v>
      </c>
      <c r="IWC92" s="165" t="s">
        <v>945</v>
      </c>
      <c r="IWD92" s="166" t="str">
        <f>VLOOKUP(IWC92,[13]AssetDetails_UEM!$A$3:$AH$1849,6,FALSE)</f>
        <v>Electrosurgical Units, Monopolar/Bipolar</v>
      </c>
      <c r="IWE92" s="165" t="s">
        <v>945</v>
      </c>
      <c r="IWF92" s="166" t="str">
        <f>VLOOKUP(IWE92,[13]AssetDetails_UEM!$A$3:$AH$1849,6,FALSE)</f>
        <v>Electrosurgical Units, Monopolar/Bipolar</v>
      </c>
      <c r="IWG92" s="165" t="s">
        <v>945</v>
      </c>
      <c r="IWH92" s="166" t="str">
        <f>VLOOKUP(IWG92,[13]AssetDetails_UEM!$A$3:$AH$1849,6,FALSE)</f>
        <v>Electrosurgical Units, Monopolar/Bipolar</v>
      </c>
      <c r="IWI92" s="165" t="s">
        <v>945</v>
      </c>
      <c r="IWJ92" s="166" t="str">
        <f>VLOOKUP(IWI92,[13]AssetDetails_UEM!$A$3:$AH$1849,6,FALSE)</f>
        <v>Electrosurgical Units, Monopolar/Bipolar</v>
      </c>
      <c r="IWK92" s="165" t="s">
        <v>945</v>
      </c>
      <c r="IWL92" s="166" t="str">
        <f>VLOOKUP(IWK92,[13]AssetDetails_UEM!$A$3:$AH$1849,6,FALSE)</f>
        <v>Electrosurgical Units, Monopolar/Bipolar</v>
      </c>
      <c r="IWM92" s="165" t="s">
        <v>945</v>
      </c>
      <c r="IWN92" s="166" t="str">
        <f>VLOOKUP(IWM92,[13]AssetDetails_UEM!$A$3:$AH$1849,6,FALSE)</f>
        <v>Electrosurgical Units, Monopolar/Bipolar</v>
      </c>
      <c r="IWO92" s="165" t="s">
        <v>945</v>
      </c>
      <c r="IWP92" s="166" t="str">
        <f>VLOOKUP(IWO92,[13]AssetDetails_UEM!$A$3:$AH$1849,6,FALSE)</f>
        <v>Electrosurgical Units, Monopolar/Bipolar</v>
      </c>
      <c r="IWQ92" s="165" t="s">
        <v>945</v>
      </c>
      <c r="IWR92" s="166" t="str">
        <f>VLOOKUP(IWQ92,[13]AssetDetails_UEM!$A$3:$AH$1849,6,FALSE)</f>
        <v>Electrosurgical Units, Monopolar/Bipolar</v>
      </c>
      <c r="IWS92" s="165" t="s">
        <v>945</v>
      </c>
      <c r="IWT92" s="166" t="str">
        <f>VLOOKUP(IWS92,[13]AssetDetails_UEM!$A$3:$AH$1849,6,FALSE)</f>
        <v>Electrosurgical Units, Monopolar/Bipolar</v>
      </c>
      <c r="IWU92" s="165" t="s">
        <v>945</v>
      </c>
      <c r="IWV92" s="166" t="str">
        <f>VLOOKUP(IWU92,[13]AssetDetails_UEM!$A$3:$AH$1849,6,FALSE)</f>
        <v>Electrosurgical Units, Monopolar/Bipolar</v>
      </c>
      <c r="IWW92" s="165" t="s">
        <v>945</v>
      </c>
      <c r="IWX92" s="166" t="str">
        <f>VLOOKUP(IWW92,[13]AssetDetails_UEM!$A$3:$AH$1849,6,FALSE)</f>
        <v>Electrosurgical Units, Monopolar/Bipolar</v>
      </c>
      <c r="IWY92" s="165" t="s">
        <v>945</v>
      </c>
      <c r="IWZ92" s="166" t="str">
        <f>VLOOKUP(IWY92,[13]AssetDetails_UEM!$A$3:$AH$1849,6,FALSE)</f>
        <v>Electrosurgical Units, Monopolar/Bipolar</v>
      </c>
      <c r="IXA92" s="165" t="s">
        <v>945</v>
      </c>
      <c r="IXB92" s="166" t="str">
        <f>VLOOKUP(IXA92,[13]AssetDetails_UEM!$A$3:$AH$1849,6,FALSE)</f>
        <v>Electrosurgical Units, Monopolar/Bipolar</v>
      </c>
      <c r="IXC92" s="165" t="s">
        <v>945</v>
      </c>
      <c r="IXD92" s="166" t="str">
        <f>VLOOKUP(IXC92,[13]AssetDetails_UEM!$A$3:$AH$1849,6,FALSE)</f>
        <v>Electrosurgical Units, Monopolar/Bipolar</v>
      </c>
      <c r="IXE92" s="165" t="s">
        <v>945</v>
      </c>
      <c r="IXF92" s="166" t="str">
        <f>VLOOKUP(IXE92,[13]AssetDetails_UEM!$A$3:$AH$1849,6,FALSE)</f>
        <v>Electrosurgical Units, Monopolar/Bipolar</v>
      </c>
      <c r="IXG92" s="165" t="s">
        <v>945</v>
      </c>
      <c r="IXH92" s="166" t="str">
        <f>VLOOKUP(IXG92,[13]AssetDetails_UEM!$A$3:$AH$1849,6,FALSE)</f>
        <v>Electrosurgical Units, Monopolar/Bipolar</v>
      </c>
      <c r="IXI92" s="165" t="s">
        <v>945</v>
      </c>
      <c r="IXJ92" s="166" t="str">
        <f>VLOOKUP(IXI92,[13]AssetDetails_UEM!$A$3:$AH$1849,6,FALSE)</f>
        <v>Electrosurgical Units, Monopolar/Bipolar</v>
      </c>
      <c r="IXK92" s="165" t="s">
        <v>945</v>
      </c>
      <c r="IXL92" s="166" t="str">
        <f>VLOOKUP(IXK92,[13]AssetDetails_UEM!$A$3:$AH$1849,6,FALSE)</f>
        <v>Electrosurgical Units, Monopolar/Bipolar</v>
      </c>
      <c r="IXM92" s="165" t="s">
        <v>945</v>
      </c>
      <c r="IXN92" s="166" t="str">
        <f>VLOOKUP(IXM92,[13]AssetDetails_UEM!$A$3:$AH$1849,6,FALSE)</f>
        <v>Electrosurgical Units, Monopolar/Bipolar</v>
      </c>
      <c r="IXO92" s="165" t="s">
        <v>945</v>
      </c>
      <c r="IXP92" s="166" t="str">
        <f>VLOOKUP(IXO92,[13]AssetDetails_UEM!$A$3:$AH$1849,6,FALSE)</f>
        <v>Electrosurgical Units, Monopolar/Bipolar</v>
      </c>
      <c r="IXQ92" s="165" t="s">
        <v>945</v>
      </c>
      <c r="IXR92" s="166" t="str">
        <f>VLOOKUP(IXQ92,[13]AssetDetails_UEM!$A$3:$AH$1849,6,FALSE)</f>
        <v>Electrosurgical Units, Monopolar/Bipolar</v>
      </c>
      <c r="IXS92" s="165" t="s">
        <v>945</v>
      </c>
      <c r="IXT92" s="166" t="str">
        <f>VLOOKUP(IXS92,[13]AssetDetails_UEM!$A$3:$AH$1849,6,FALSE)</f>
        <v>Electrosurgical Units, Monopolar/Bipolar</v>
      </c>
      <c r="IXU92" s="165" t="s">
        <v>945</v>
      </c>
      <c r="IXV92" s="166" t="str">
        <f>VLOOKUP(IXU92,[13]AssetDetails_UEM!$A$3:$AH$1849,6,FALSE)</f>
        <v>Electrosurgical Units, Monopolar/Bipolar</v>
      </c>
      <c r="IXW92" s="165" t="s">
        <v>945</v>
      </c>
      <c r="IXX92" s="166" t="str">
        <f>VLOOKUP(IXW92,[13]AssetDetails_UEM!$A$3:$AH$1849,6,FALSE)</f>
        <v>Electrosurgical Units, Monopolar/Bipolar</v>
      </c>
      <c r="IXY92" s="165" t="s">
        <v>945</v>
      </c>
      <c r="IXZ92" s="166" t="str">
        <f>VLOOKUP(IXY92,[13]AssetDetails_UEM!$A$3:$AH$1849,6,FALSE)</f>
        <v>Electrosurgical Units, Monopolar/Bipolar</v>
      </c>
      <c r="IYA92" s="165" t="s">
        <v>945</v>
      </c>
      <c r="IYB92" s="166" t="str">
        <f>VLOOKUP(IYA92,[13]AssetDetails_UEM!$A$3:$AH$1849,6,FALSE)</f>
        <v>Electrosurgical Units, Monopolar/Bipolar</v>
      </c>
      <c r="IYC92" s="165" t="s">
        <v>945</v>
      </c>
      <c r="IYD92" s="166" t="str">
        <f>VLOOKUP(IYC92,[13]AssetDetails_UEM!$A$3:$AH$1849,6,FALSE)</f>
        <v>Electrosurgical Units, Monopolar/Bipolar</v>
      </c>
      <c r="IYE92" s="165" t="s">
        <v>945</v>
      </c>
      <c r="IYF92" s="166" t="str">
        <f>VLOOKUP(IYE92,[13]AssetDetails_UEM!$A$3:$AH$1849,6,FALSE)</f>
        <v>Electrosurgical Units, Monopolar/Bipolar</v>
      </c>
      <c r="IYG92" s="165" t="s">
        <v>945</v>
      </c>
      <c r="IYH92" s="166" t="str">
        <f>VLOOKUP(IYG92,[13]AssetDetails_UEM!$A$3:$AH$1849,6,FALSE)</f>
        <v>Electrosurgical Units, Monopolar/Bipolar</v>
      </c>
      <c r="IYI92" s="165" t="s">
        <v>945</v>
      </c>
      <c r="IYJ92" s="166" t="str">
        <f>VLOOKUP(IYI92,[13]AssetDetails_UEM!$A$3:$AH$1849,6,FALSE)</f>
        <v>Electrosurgical Units, Monopolar/Bipolar</v>
      </c>
      <c r="IYK92" s="165" t="s">
        <v>945</v>
      </c>
      <c r="IYL92" s="166" t="str">
        <f>VLOOKUP(IYK92,[13]AssetDetails_UEM!$A$3:$AH$1849,6,FALSE)</f>
        <v>Electrosurgical Units, Monopolar/Bipolar</v>
      </c>
      <c r="IYM92" s="165" t="s">
        <v>945</v>
      </c>
      <c r="IYN92" s="166" t="str">
        <f>VLOOKUP(IYM92,[13]AssetDetails_UEM!$A$3:$AH$1849,6,FALSE)</f>
        <v>Electrosurgical Units, Monopolar/Bipolar</v>
      </c>
      <c r="IYO92" s="165" t="s">
        <v>945</v>
      </c>
      <c r="IYP92" s="166" t="str">
        <f>VLOOKUP(IYO92,[13]AssetDetails_UEM!$A$3:$AH$1849,6,FALSE)</f>
        <v>Electrosurgical Units, Monopolar/Bipolar</v>
      </c>
      <c r="IYQ92" s="165" t="s">
        <v>945</v>
      </c>
      <c r="IYR92" s="166" t="str">
        <f>VLOOKUP(IYQ92,[13]AssetDetails_UEM!$A$3:$AH$1849,6,FALSE)</f>
        <v>Electrosurgical Units, Monopolar/Bipolar</v>
      </c>
      <c r="IYS92" s="165" t="s">
        <v>945</v>
      </c>
      <c r="IYT92" s="166" t="str">
        <f>VLOOKUP(IYS92,[13]AssetDetails_UEM!$A$3:$AH$1849,6,FALSE)</f>
        <v>Electrosurgical Units, Monopolar/Bipolar</v>
      </c>
      <c r="IYU92" s="165" t="s">
        <v>945</v>
      </c>
      <c r="IYV92" s="166" t="str">
        <f>VLOOKUP(IYU92,[13]AssetDetails_UEM!$A$3:$AH$1849,6,FALSE)</f>
        <v>Electrosurgical Units, Monopolar/Bipolar</v>
      </c>
      <c r="IYW92" s="165" t="s">
        <v>945</v>
      </c>
      <c r="IYX92" s="166" t="str">
        <f>VLOOKUP(IYW92,[13]AssetDetails_UEM!$A$3:$AH$1849,6,FALSE)</f>
        <v>Electrosurgical Units, Monopolar/Bipolar</v>
      </c>
      <c r="IYY92" s="165" t="s">
        <v>945</v>
      </c>
      <c r="IYZ92" s="166" t="str">
        <f>VLOOKUP(IYY92,[13]AssetDetails_UEM!$A$3:$AH$1849,6,FALSE)</f>
        <v>Electrosurgical Units, Monopolar/Bipolar</v>
      </c>
      <c r="IZA92" s="165" t="s">
        <v>945</v>
      </c>
      <c r="IZB92" s="166" t="str">
        <f>VLOOKUP(IZA92,[13]AssetDetails_UEM!$A$3:$AH$1849,6,FALSE)</f>
        <v>Electrosurgical Units, Monopolar/Bipolar</v>
      </c>
      <c r="IZC92" s="165" t="s">
        <v>945</v>
      </c>
      <c r="IZD92" s="166" t="str">
        <f>VLOOKUP(IZC92,[13]AssetDetails_UEM!$A$3:$AH$1849,6,FALSE)</f>
        <v>Electrosurgical Units, Monopolar/Bipolar</v>
      </c>
      <c r="IZE92" s="165" t="s">
        <v>945</v>
      </c>
      <c r="IZF92" s="166" t="str">
        <f>VLOOKUP(IZE92,[13]AssetDetails_UEM!$A$3:$AH$1849,6,FALSE)</f>
        <v>Electrosurgical Units, Monopolar/Bipolar</v>
      </c>
      <c r="IZG92" s="165" t="s">
        <v>945</v>
      </c>
      <c r="IZH92" s="166" t="str">
        <f>VLOOKUP(IZG92,[13]AssetDetails_UEM!$A$3:$AH$1849,6,FALSE)</f>
        <v>Electrosurgical Units, Monopolar/Bipolar</v>
      </c>
      <c r="IZI92" s="165" t="s">
        <v>945</v>
      </c>
      <c r="IZJ92" s="166" t="str">
        <f>VLOOKUP(IZI92,[13]AssetDetails_UEM!$A$3:$AH$1849,6,FALSE)</f>
        <v>Electrosurgical Units, Monopolar/Bipolar</v>
      </c>
      <c r="IZK92" s="165" t="s">
        <v>945</v>
      </c>
      <c r="IZL92" s="166" t="str">
        <f>VLOOKUP(IZK92,[13]AssetDetails_UEM!$A$3:$AH$1849,6,FALSE)</f>
        <v>Electrosurgical Units, Monopolar/Bipolar</v>
      </c>
      <c r="IZM92" s="165" t="s">
        <v>945</v>
      </c>
      <c r="IZN92" s="166" t="str">
        <f>VLOOKUP(IZM92,[13]AssetDetails_UEM!$A$3:$AH$1849,6,FALSE)</f>
        <v>Electrosurgical Units, Monopolar/Bipolar</v>
      </c>
      <c r="IZO92" s="165" t="s">
        <v>945</v>
      </c>
      <c r="IZP92" s="166" t="str">
        <f>VLOOKUP(IZO92,[13]AssetDetails_UEM!$A$3:$AH$1849,6,FALSE)</f>
        <v>Electrosurgical Units, Monopolar/Bipolar</v>
      </c>
      <c r="IZQ92" s="165" t="s">
        <v>945</v>
      </c>
      <c r="IZR92" s="166" t="str">
        <f>VLOOKUP(IZQ92,[13]AssetDetails_UEM!$A$3:$AH$1849,6,FALSE)</f>
        <v>Electrosurgical Units, Monopolar/Bipolar</v>
      </c>
      <c r="IZS92" s="165" t="s">
        <v>945</v>
      </c>
      <c r="IZT92" s="166" t="str">
        <f>VLOOKUP(IZS92,[13]AssetDetails_UEM!$A$3:$AH$1849,6,FALSE)</f>
        <v>Electrosurgical Units, Monopolar/Bipolar</v>
      </c>
      <c r="IZU92" s="165" t="s">
        <v>945</v>
      </c>
      <c r="IZV92" s="166" t="str">
        <f>VLOOKUP(IZU92,[13]AssetDetails_UEM!$A$3:$AH$1849,6,FALSE)</f>
        <v>Electrosurgical Units, Monopolar/Bipolar</v>
      </c>
      <c r="IZW92" s="165" t="s">
        <v>945</v>
      </c>
      <c r="IZX92" s="166" t="str">
        <f>VLOOKUP(IZW92,[13]AssetDetails_UEM!$A$3:$AH$1849,6,FALSE)</f>
        <v>Electrosurgical Units, Monopolar/Bipolar</v>
      </c>
      <c r="IZY92" s="165" t="s">
        <v>945</v>
      </c>
      <c r="IZZ92" s="166" t="str">
        <f>VLOOKUP(IZY92,[13]AssetDetails_UEM!$A$3:$AH$1849,6,FALSE)</f>
        <v>Electrosurgical Units, Monopolar/Bipolar</v>
      </c>
      <c r="JAA92" s="165" t="s">
        <v>945</v>
      </c>
      <c r="JAB92" s="166" t="str">
        <f>VLOOKUP(JAA92,[13]AssetDetails_UEM!$A$3:$AH$1849,6,FALSE)</f>
        <v>Electrosurgical Units, Monopolar/Bipolar</v>
      </c>
      <c r="JAC92" s="165" t="s">
        <v>945</v>
      </c>
      <c r="JAD92" s="166" t="str">
        <f>VLOOKUP(JAC92,[13]AssetDetails_UEM!$A$3:$AH$1849,6,FALSE)</f>
        <v>Electrosurgical Units, Monopolar/Bipolar</v>
      </c>
      <c r="JAE92" s="165" t="s">
        <v>945</v>
      </c>
      <c r="JAF92" s="166" t="str">
        <f>VLOOKUP(JAE92,[13]AssetDetails_UEM!$A$3:$AH$1849,6,FALSE)</f>
        <v>Electrosurgical Units, Monopolar/Bipolar</v>
      </c>
      <c r="JAG92" s="165" t="s">
        <v>945</v>
      </c>
      <c r="JAH92" s="166" t="str">
        <f>VLOOKUP(JAG92,[13]AssetDetails_UEM!$A$3:$AH$1849,6,FALSE)</f>
        <v>Electrosurgical Units, Monopolar/Bipolar</v>
      </c>
      <c r="JAI92" s="165" t="s">
        <v>945</v>
      </c>
      <c r="JAJ92" s="166" t="str">
        <f>VLOOKUP(JAI92,[13]AssetDetails_UEM!$A$3:$AH$1849,6,FALSE)</f>
        <v>Electrosurgical Units, Monopolar/Bipolar</v>
      </c>
      <c r="JAK92" s="165" t="s">
        <v>945</v>
      </c>
      <c r="JAL92" s="166" t="str">
        <f>VLOOKUP(JAK92,[13]AssetDetails_UEM!$A$3:$AH$1849,6,FALSE)</f>
        <v>Electrosurgical Units, Monopolar/Bipolar</v>
      </c>
      <c r="JAM92" s="165" t="s">
        <v>945</v>
      </c>
      <c r="JAN92" s="166" t="str">
        <f>VLOOKUP(JAM92,[13]AssetDetails_UEM!$A$3:$AH$1849,6,FALSE)</f>
        <v>Electrosurgical Units, Monopolar/Bipolar</v>
      </c>
      <c r="JAO92" s="165" t="s">
        <v>945</v>
      </c>
      <c r="JAP92" s="166" t="str">
        <f>VLOOKUP(JAO92,[13]AssetDetails_UEM!$A$3:$AH$1849,6,FALSE)</f>
        <v>Electrosurgical Units, Monopolar/Bipolar</v>
      </c>
      <c r="JAQ92" s="165" t="s">
        <v>945</v>
      </c>
      <c r="JAR92" s="166" t="str">
        <f>VLOOKUP(JAQ92,[13]AssetDetails_UEM!$A$3:$AH$1849,6,FALSE)</f>
        <v>Electrosurgical Units, Monopolar/Bipolar</v>
      </c>
      <c r="JAS92" s="165" t="s">
        <v>945</v>
      </c>
      <c r="JAT92" s="166" t="str">
        <f>VLOOKUP(JAS92,[13]AssetDetails_UEM!$A$3:$AH$1849,6,FALSE)</f>
        <v>Electrosurgical Units, Monopolar/Bipolar</v>
      </c>
      <c r="JAU92" s="165" t="s">
        <v>945</v>
      </c>
      <c r="JAV92" s="166" t="str">
        <f>VLOOKUP(JAU92,[13]AssetDetails_UEM!$A$3:$AH$1849,6,FALSE)</f>
        <v>Electrosurgical Units, Monopolar/Bipolar</v>
      </c>
      <c r="JAW92" s="165" t="s">
        <v>945</v>
      </c>
      <c r="JAX92" s="166" t="str">
        <f>VLOOKUP(JAW92,[13]AssetDetails_UEM!$A$3:$AH$1849,6,FALSE)</f>
        <v>Electrosurgical Units, Monopolar/Bipolar</v>
      </c>
      <c r="JAY92" s="165" t="s">
        <v>945</v>
      </c>
      <c r="JAZ92" s="166" t="str">
        <f>VLOOKUP(JAY92,[13]AssetDetails_UEM!$A$3:$AH$1849,6,FALSE)</f>
        <v>Electrosurgical Units, Monopolar/Bipolar</v>
      </c>
      <c r="JBA92" s="165" t="s">
        <v>945</v>
      </c>
      <c r="JBB92" s="166" t="str">
        <f>VLOOKUP(JBA92,[13]AssetDetails_UEM!$A$3:$AH$1849,6,FALSE)</f>
        <v>Electrosurgical Units, Monopolar/Bipolar</v>
      </c>
      <c r="JBC92" s="165" t="s">
        <v>945</v>
      </c>
      <c r="JBD92" s="166" t="str">
        <f>VLOOKUP(JBC92,[13]AssetDetails_UEM!$A$3:$AH$1849,6,FALSE)</f>
        <v>Electrosurgical Units, Monopolar/Bipolar</v>
      </c>
      <c r="JBE92" s="165" t="s">
        <v>945</v>
      </c>
      <c r="JBF92" s="166" t="str">
        <f>VLOOKUP(JBE92,[13]AssetDetails_UEM!$A$3:$AH$1849,6,FALSE)</f>
        <v>Electrosurgical Units, Monopolar/Bipolar</v>
      </c>
      <c r="JBG92" s="165" t="s">
        <v>945</v>
      </c>
      <c r="JBH92" s="166" t="str">
        <f>VLOOKUP(JBG92,[13]AssetDetails_UEM!$A$3:$AH$1849,6,FALSE)</f>
        <v>Electrosurgical Units, Monopolar/Bipolar</v>
      </c>
      <c r="JBI92" s="165" t="s">
        <v>945</v>
      </c>
      <c r="JBJ92" s="166" t="str">
        <f>VLOOKUP(JBI92,[13]AssetDetails_UEM!$A$3:$AH$1849,6,FALSE)</f>
        <v>Electrosurgical Units, Monopolar/Bipolar</v>
      </c>
      <c r="JBK92" s="165" t="s">
        <v>945</v>
      </c>
      <c r="JBL92" s="166" t="str">
        <f>VLOOKUP(JBK92,[13]AssetDetails_UEM!$A$3:$AH$1849,6,FALSE)</f>
        <v>Electrosurgical Units, Monopolar/Bipolar</v>
      </c>
      <c r="JBM92" s="165" t="s">
        <v>945</v>
      </c>
      <c r="JBN92" s="166" t="str">
        <f>VLOOKUP(JBM92,[13]AssetDetails_UEM!$A$3:$AH$1849,6,FALSE)</f>
        <v>Electrosurgical Units, Monopolar/Bipolar</v>
      </c>
      <c r="JBO92" s="165" t="s">
        <v>945</v>
      </c>
      <c r="JBP92" s="166" t="str">
        <f>VLOOKUP(JBO92,[13]AssetDetails_UEM!$A$3:$AH$1849,6,FALSE)</f>
        <v>Electrosurgical Units, Monopolar/Bipolar</v>
      </c>
      <c r="JBQ92" s="165" t="s">
        <v>945</v>
      </c>
      <c r="JBR92" s="166" t="str">
        <f>VLOOKUP(JBQ92,[13]AssetDetails_UEM!$A$3:$AH$1849,6,FALSE)</f>
        <v>Electrosurgical Units, Monopolar/Bipolar</v>
      </c>
      <c r="JBS92" s="165" t="s">
        <v>945</v>
      </c>
      <c r="JBT92" s="166" t="str">
        <f>VLOOKUP(JBS92,[13]AssetDetails_UEM!$A$3:$AH$1849,6,FALSE)</f>
        <v>Electrosurgical Units, Monopolar/Bipolar</v>
      </c>
      <c r="JBU92" s="165" t="s">
        <v>945</v>
      </c>
      <c r="JBV92" s="166" t="str">
        <f>VLOOKUP(JBU92,[13]AssetDetails_UEM!$A$3:$AH$1849,6,FALSE)</f>
        <v>Electrosurgical Units, Monopolar/Bipolar</v>
      </c>
      <c r="JBW92" s="165" t="s">
        <v>945</v>
      </c>
      <c r="JBX92" s="166" t="str">
        <f>VLOOKUP(JBW92,[13]AssetDetails_UEM!$A$3:$AH$1849,6,FALSE)</f>
        <v>Electrosurgical Units, Monopolar/Bipolar</v>
      </c>
      <c r="JBY92" s="165" t="s">
        <v>945</v>
      </c>
      <c r="JBZ92" s="166" t="str">
        <f>VLOOKUP(JBY92,[13]AssetDetails_UEM!$A$3:$AH$1849,6,FALSE)</f>
        <v>Electrosurgical Units, Monopolar/Bipolar</v>
      </c>
      <c r="JCA92" s="165" t="s">
        <v>945</v>
      </c>
      <c r="JCB92" s="166" t="str">
        <f>VLOOKUP(JCA92,[13]AssetDetails_UEM!$A$3:$AH$1849,6,FALSE)</f>
        <v>Electrosurgical Units, Monopolar/Bipolar</v>
      </c>
      <c r="JCC92" s="165" t="s">
        <v>945</v>
      </c>
      <c r="JCD92" s="166" t="str">
        <f>VLOOKUP(JCC92,[13]AssetDetails_UEM!$A$3:$AH$1849,6,FALSE)</f>
        <v>Electrosurgical Units, Monopolar/Bipolar</v>
      </c>
      <c r="JCE92" s="165" t="s">
        <v>945</v>
      </c>
      <c r="JCF92" s="166" t="str">
        <f>VLOOKUP(JCE92,[13]AssetDetails_UEM!$A$3:$AH$1849,6,FALSE)</f>
        <v>Electrosurgical Units, Monopolar/Bipolar</v>
      </c>
      <c r="JCG92" s="165" t="s">
        <v>945</v>
      </c>
      <c r="JCH92" s="166" t="str">
        <f>VLOOKUP(JCG92,[13]AssetDetails_UEM!$A$3:$AH$1849,6,FALSE)</f>
        <v>Electrosurgical Units, Monopolar/Bipolar</v>
      </c>
      <c r="JCI92" s="165" t="s">
        <v>945</v>
      </c>
      <c r="JCJ92" s="166" t="str">
        <f>VLOOKUP(JCI92,[13]AssetDetails_UEM!$A$3:$AH$1849,6,FALSE)</f>
        <v>Electrosurgical Units, Monopolar/Bipolar</v>
      </c>
      <c r="JCK92" s="165" t="s">
        <v>945</v>
      </c>
      <c r="JCL92" s="166" t="str">
        <f>VLOOKUP(JCK92,[13]AssetDetails_UEM!$A$3:$AH$1849,6,FALSE)</f>
        <v>Electrosurgical Units, Monopolar/Bipolar</v>
      </c>
      <c r="JCM92" s="165" t="s">
        <v>945</v>
      </c>
      <c r="JCN92" s="166" t="str">
        <f>VLOOKUP(JCM92,[13]AssetDetails_UEM!$A$3:$AH$1849,6,FALSE)</f>
        <v>Electrosurgical Units, Monopolar/Bipolar</v>
      </c>
      <c r="JCO92" s="165" t="s">
        <v>945</v>
      </c>
      <c r="JCP92" s="166" t="str">
        <f>VLOOKUP(JCO92,[13]AssetDetails_UEM!$A$3:$AH$1849,6,FALSE)</f>
        <v>Electrosurgical Units, Monopolar/Bipolar</v>
      </c>
      <c r="JCQ92" s="165" t="s">
        <v>945</v>
      </c>
      <c r="JCR92" s="166" t="str">
        <f>VLOOKUP(JCQ92,[13]AssetDetails_UEM!$A$3:$AH$1849,6,FALSE)</f>
        <v>Electrosurgical Units, Monopolar/Bipolar</v>
      </c>
      <c r="JCS92" s="165" t="s">
        <v>945</v>
      </c>
      <c r="JCT92" s="166" t="str">
        <f>VLOOKUP(JCS92,[13]AssetDetails_UEM!$A$3:$AH$1849,6,FALSE)</f>
        <v>Electrosurgical Units, Monopolar/Bipolar</v>
      </c>
      <c r="JCU92" s="165" t="s">
        <v>945</v>
      </c>
      <c r="JCV92" s="166" t="str">
        <f>VLOOKUP(JCU92,[13]AssetDetails_UEM!$A$3:$AH$1849,6,FALSE)</f>
        <v>Electrosurgical Units, Monopolar/Bipolar</v>
      </c>
      <c r="JCW92" s="165" t="s">
        <v>945</v>
      </c>
      <c r="JCX92" s="166" t="str">
        <f>VLOOKUP(JCW92,[13]AssetDetails_UEM!$A$3:$AH$1849,6,FALSE)</f>
        <v>Electrosurgical Units, Monopolar/Bipolar</v>
      </c>
      <c r="JCY92" s="165" t="s">
        <v>945</v>
      </c>
      <c r="JCZ92" s="166" t="str">
        <f>VLOOKUP(JCY92,[13]AssetDetails_UEM!$A$3:$AH$1849,6,FALSE)</f>
        <v>Electrosurgical Units, Monopolar/Bipolar</v>
      </c>
      <c r="JDA92" s="165" t="s">
        <v>945</v>
      </c>
      <c r="JDB92" s="166" t="str">
        <f>VLOOKUP(JDA92,[13]AssetDetails_UEM!$A$3:$AH$1849,6,FALSE)</f>
        <v>Electrosurgical Units, Monopolar/Bipolar</v>
      </c>
      <c r="JDC92" s="165" t="s">
        <v>945</v>
      </c>
      <c r="JDD92" s="166" t="str">
        <f>VLOOKUP(JDC92,[13]AssetDetails_UEM!$A$3:$AH$1849,6,FALSE)</f>
        <v>Electrosurgical Units, Monopolar/Bipolar</v>
      </c>
      <c r="JDE92" s="165" t="s">
        <v>945</v>
      </c>
      <c r="JDF92" s="166" t="str">
        <f>VLOOKUP(JDE92,[13]AssetDetails_UEM!$A$3:$AH$1849,6,FALSE)</f>
        <v>Electrosurgical Units, Monopolar/Bipolar</v>
      </c>
      <c r="JDG92" s="165" t="s">
        <v>945</v>
      </c>
      <c r="JDH92" s="166" t="str">
        <f>VLOOKUP(JDG92,[13]AssetDetails_UEM!$A$3:$AH$1849,6,FALSE)</f>
        <v>Electrosurgical Units, Monopolar/Bipolar</v>
      </c>
      <c r="JDI92" s="165" t="s">
        <v>945</v>
      </c>
      <c r="JDJ92" s="166" t="str">
        <f>VLOOKUP(JDI92,[13]AssetDetails_UEM!$A$3:$AH$1849,6,FALSE)</f>
        <v>Electrosurgical Units, Monopolar/Bipolar</v>
      </c>
      <c r="JDK92" s="165" t="s">
        <v>945</v>
      </c>
      <c r="JDL92" s="166" t="str">
        <f>VLOOKUP(JDK92,[13]AssetDetails_UEM!$A$3:$AH$1849,6,FALSE)</f>
        <v>Electrosurgical Units, Monopolar/Bipolar</v>
      </c>
      <c r="JDM92" s="165" t="s">
        <v>945</v>
      </c>
      <c r="JDN92" s="166" t="str">
        <f>VLOOKUP(JDM92,[13]AssetDetails_UEM!$A$3:$AH$1849,6,FALSE)</f>
        <v>Electrosurgical Units, Monopolar/Bipolar</v>
      </c>
      <c r="JDO92" s="165" t="s">
        <v>945</v>
      </c>
      <c r="JDP92" s="166" t="str">
        <f>VLOOKUP(JDO92,[13]AssetDetails_UEM!$A$3:$AH$1849,6,FALSE)</f>
        <v>Electrosurgical Units, Monopolar/Bipolar</v>
      </c>
      <c r="JDQ92" s="165" t="s">
        <v>945</v>
      </c>
      <c r="JDR92" s="166" t="str">
        <f>VLOOKUP(JDQ92,[13]AssetDetails_UEM!$A$3:$AH$1849,6,FALSE)</f>
        <v>Electrosurgical Units, Monopolar/Bipolar</v>
      </c>
      <c r="JDS92" s="165" t="s">
        <v>945</v>
      </c>
      <c r="JDT92" s="166" t="str">
        <f>VLOOKUP(JDS92,[13]AssetDetails_UEM!$A$3:$AH$1849,6,FALSE)</f>
        <v>Electrosurgical Units, Monopolar/Bipolar</v>
      </c>
      <c r="JDU92" s="165" t="s">
        <v>945</v>
      </c>
      <c r="JDV92" s="166" t="str">
        <f>VLOOKUP(JDU92,[13]AssetDetails_UEM!$A$3:$AH$1849,6,FALSE)</f>
        <v>Electrosurgical Units, Monopolar/Bipolar</v>
      </c>
      <c r="JDW92" s="165" t="s">
        <v>945</v>
      </c>
      <c r="JDX92" s="166" t="str">
        <f>VLOOKUP(JDW92,[13]AssetDetails_UEM!$A$3:$AH$1849,6,FALSE)</f>
        <v>Electrosurgical Units, Monopolar/Bipolar</v>
      </c>
      <c r="JDY92" s="165" t="s">
        <v>945</v>
      </c>
      <c r="JDZ92" s="166" t="str">
        <f>VLOOKUP(JDY92,[13]AssetDetails_UEM!$A$3:$AH$1849,6,FALSE)</f>
        <v>Electrosurgical Units, Monopolar/Bipolar</v>
      </c>
      <c r="JEA92" s="165" t="s">
        <v>945</v>
      </c>
      <c r="JEB92" s="166" t="str">
        <f>VLOOKUP(JEA92,[13]AssetDetails_UEM!$A$3:$AH$1849,6,FALSE)</f>
        <v>Electrosurgical Units, Monopolar/Bipolar</v>
      </c>
      <c r="JEC92" s="165" t="s">
        <v>945</v>
      </c>
      <c r="JED92" s="166" t="str">
        <f>VLOOKUP(JEC92,[13]AssetDetails_UEM!$A$3:$AH$1849,6,FALSE)</f>
        <v>Electrosurgical Units, Monopolar/Bipolar</v>
      </c>
      <c r="JEE92" s="165" t="s">
        <v>945</v>
      </c>
      <c r="JEF92" s="166" t="str">
        <f>VLOOKUP(JEE92,[13]AssetDetails_UEM!$A$3:$AH$1849,6,FALSE)</f>
        <v>Electrosurgical Units, Monopolar/Bipolar</v>
      </c>
      <c r="JEG92" s="165" t="s">
        <v>945</v>
      </c>
      <c r="JEH92" s="166" t="str">
        <f>VLOOKUP(JEG92,[13]AssetDetails_UEM!$A$3:$AH$1849,6,FALSE)</f>
        <v>Electrosurgical Units, Monopolar/Bipolar</v>
      </c>
      <c r="JEI92" s="165" t="s">
        <v>945</v>
      </c>
      <c r="JEJ92" s="166" t="str">
        <f>VLOOKUP(JEI92,[13]AssetDetails_UEM!$A$3:$AH$1849,6,FALSE)</f>
        <v>Electrosurgical Units, Monopolar/Bipolar</v>
      </c>
      <c r="JEK92" s="165" t="s">
        <v>945</v>
      </c>
      <c r="JEL92" s="166" t="str">
        <f>VLOOKUP(JEK92,[13]AssetDetails_UEM!$A$3:$AH$1849,6,FALSE)</f>
        <v>Electrosurgical Units, Monopolar/Bipolar</v>
      </c>
      <c r="JEM92" s="165" t="s">
        <v>945</v>
      </c>
      <c r="JEN92" s="166" t="str">
        <f>VLOOKUP(JEM92,[13]AssetDetails_UEM!$A$3:$AH$1849,6,FALSE)</f>
        <v>Electrosurgical Units, Monopolar/Bipolar</v>
      </c>
      <c r="JEO92" s="165" t="s">
        <v>945</v>
      </c>
      <c r="JEP92" s="166" t="str">
        <f>VLOOKUP(JEO92,[13]AssetDetails_UEM!$A$3:$AH$1849,6,FALSE)</f>
        <v>Electrosurgical Units, Monopolar/Bipolar</v>
      </c>
      <c r="JEQ92" s="165" t="s">
        <v>945</v>
      </c>
      <c r="JER92" s="166" t="str">
        <f>VLOOKUP(JEQ92,[13]AssetDetails_UEM!$A$3:$AH$1849,6,FALSE)</f>
        <v>Electrosurgical Units, Monopolar/Bipolar</v>
      </c>
      <c r="JES92" s="165" t="s">
        <v>945</v>
      </c>
      <c r="JET92" s="166" t="str">
        <f>VLOOKUP(JES92,[13]AssetDetails_UEM!$A$3:$AH$1849,6,FALSE)</f>
        <v>Electrosurgical Units, Monopolar/Bipolar</v>
      </c>
      <c r="JEU92" s="165" t="s">
        <v>945</v>
      </c>
      <c r="JEV92" s="166" t="str">
        <f>VLOOKUP(JEU92,[13]AssetDetails_UEM!$A$3:$AH$1849,6,FALSE)</f>
        <v>Electrosurgical Units, Monopolar/Bipolar</v>
      </c>
      <c r="JEW92" s="165" t="s">
        <v>945</v>
      </c>
      <c r="JEX92" s="166" t="str">
        <f>VLOOKUP(JEW92,[13]AssetDetails_UEM!$A$3:$AH$1849,6,FALSE)</f>
        <v>Electrosurgical Units, Monopolar/Bipolar</v>
      </c>
      <c r="JEY92" s="165" t="s">
        <v>945</v>
      </c>
      <c r="JEZ92" s="166" t="str">
        <f>VLOOKUP(JEY92,[13]AssetDetails_UEM!$A$3:$AH$1849,6,FALSE)</f>
        <v>Electrosurgical Units, Monopolar/Bipolar</v>
      </c>
      <c r="JFA92" s="165" t="s">
        <v>945</v>
      </c>
      <c r="JFB92" s="166" t="str">
        <f>VLOOKUP(JFA92,[13]AssetDetails_UEM!$A$3:$AH$1849,6,FALSE)</f>
        <v>Electrosurgical Units, Monopolar/Bipolar</v>
      </c>
      <c r="JFC92" s="165" t="s">
        <v>945</v>
      </c>
      <c r="JFD92" s="166" t="str">
        <f>VLOOKUP(JFC92,[13]AssetDetails_UEM!$A$3:$AH$1849,6,FALSE)</f>
        <v>Electrosurgical Units, Monopolar/Bipolar</v>
      </c>
      <c r="JFE92" s="165" t="s">
        <v>945</v>
      </c>
      <c r="JFF92" s="166" t="str">
        <f>VLOOKUP(JFE92,[13]AssetDetails_UEM!$A$3:$AH$1849,6,FALSE)</f>
        <v>Electrosurgical Units, Monopolar/Bipolar</v>
      </c>
      <c r="JFG92" s="165" t="s">
        <v>945</v>
      </c>
      <c r="JFH92" s="166" t="str">
        <f>VLOOKUP(JFG92,[13]AssetDetails_UEM!$A$3:$AH$1849,6,FALSE)</f>
        <v>Electrosurgical Units, Monopolar/Bipolar</v>
      </c>
      <c r="JFI92" s="165" t="s">
        <v>945</v>
      </c>
      <c r="JFJ92" s="166" t="str">
        <f>VLOOKUP(JFI92,[13]AssetDetails_UEM!$A$3:$AH$1849,6,FALSE)</f>
        <v>Electrosurgical Units, Monopolar/Bipolar</v>
      </c>
      <c r="JFK92" s="165" t="s">
        <v>945</v>
      </c>
      <c r="JFL92" s="166" t="str">
        <f>VLOOKUP(JFK92,[13]AssetDetails_UEM!$A$3:$AH$1849,6,FALSE)</f>
        <v>Electrosurgical Units, Monopolar/Bipolar</v>
      </c>
      <c r="JFM92" s="165" t="s">
        <v>945</v>
      </c>
      <c r="JFN92" s="166" t="str">
        <f>VLOOKUP(JFM92,[13]AssetDetails_UEM!$A$3:$AH$1849,6,FALSE)</f>
        <v>Electrosurgical Units, Monopolar/Bipolar</v>
      </c>
      <c r="JFO92" s="165" t="s">
        <v>945</v>
      </c>
      <c r="JFP92" s="166" t="str">
        <f>VLOOKUP(JFO92,[13]AssetDetails_UEM!$A$3:$AH$1849,6,FALSE)</f>
        <v>Electrosurgical Units, Monopolar/Bipolar</v>
      </c>
      <c r="JFQ92" s="165" t="s">
        <v>945</v>
      </c>
      <c r="JFR92" s="166" t="str">
        <f>VLOOKUP(JFQ92,[13]AssetDetails_UEM!$A$3:$AH$1849,6,FALSE)</f>
        <v>Electrosurgical Units, Monopolar/Bipolar</v>
      </c>
      <c r="JFS92" s="165" t="s">
        <v>945</v>
      </c>
      <c r="JFT92" s="166" t="str">
        <f>VLOOKUP(JFS92,[13]AssetDetails_UEM!$A$3:$AH$1849,6,FALSE)</f>
        <v>Electrosurgical Units, Monopolar/Bipolar</v>
      </c>
      <c r="JFU92" s="165" t="s">
        <v>945</v>
      </c>
      <c r="JFV92" s="166" t="str">
        <f>VLOOKUP(JFU92,[13]AssetDetails_UEM!$A$3:$AH$1849,6,FALSE)</f>
        <v>Electrosurgical Units, Monopolar/Bipolar</v>
      </c>
      <c r="JFW92" s="165" t="s">
        <v>945</v>
      </c>
      <c r="JFX92" s="166" t="str">
        <f>VLOOKUP(JFW92,[13]AssetDetails_UEM!$A$3:$AH$1849,6,FALSE)</f>
        <v>Electrosurgical Units, Monopolar/Bipolar</v>
      </c>
      <c r="JFY92" s="165" t="s">
        <v>945</v>
      </c>
      <c r="JFZ92" s="166" t="str">
        <f>VLOOKUP(JFY92,[13]AssetDetails_UEM!$A$3:$AH$1849,6,FALSE)</f>
        <v>Electrosurgical Units, Monopolar/Bipolar</v>
      </c>
      <c r="JGA92" s="165" t="s">
        <v>945</v>
      </c>
      <c r="JGB92" s="166" t="str">
        <f>VLOOKUP(JGA92,[13]AssetDetails_UEM!$A$3:$AH$1849,6,FALSE)</f>
        <v>Electrosurgical Units, Monopolar/Bipolar</v>
      </c>
      <c r="JGC92" s="165" t="s">
        <v>945</v>
      </c>
      <c r="JGD92" s="166" t="str">
        <f>VLOOKUP(JGC92,[13]AssetDetails_UEM!$A$3:$AH$1849,6,FALSE)</f>
        <v>Electrosurgical Units, Monopolar/Bipolar</v>
      </c>
      <c r="JGE92" s="165" t="s">
        <v>945</v>
      </c>
      <c r="JGF92" s="166" t="str">
        <f>VLOOKUP(JGE92,[13]AssetDetails_UEM!$A$3:$AH$1849,6,FALSE)</f>
        <v>Electrosurgical Units, Monopolar/Bipolar</v>
      </c>
      <c r="JGG92" s="165" t="s">
        <v>945</v>
      </c>
      <c r="JGH92" s="166" t="str">
        <f>VLOOKUP(JGG92,[13]AssetDetails_UEM!$A$3:$AH$1849,6,FALSE)</f>
        <v>Electrosurgical Units, Monopolar/Bipolar</v>
      </c>
      <c r="JGI92" s="165" t="s">
        <v>945</v>
      </c>
      <c r="JGJ92" s="166" t="str">
        <f>VLOOKUP(JGI92,[13]AssetDetails_UEM!$A$3:$AH$1849,6,FALSE)</f>
        <v>Electrosurgical Units, Monopolar/Bipolar</v>
      </c>
      <c r="JGK92" s="165" t="s">
        <v>945</v>
      </c>
      <c r="JGL92" s="166" t="str">
        <f>VLOOKUP(JGK92,[13]AssetDetails_UEM!$A$3:$AH$1849,6,FALSE)</f>
        <v>Electrosurgical Units, Monopolar/Bipolar</v>
      </c>
      <c r="JGM92" s="165" t="s">
        <v>945</v>
      </c>
      <c r="JGN92" s="166" t="str">
        <f>VLOOKUP(JGM92,[13]AssetDetails_UEM!$A$3:$AH$1849,6,FALSE)</f>
        <v>Electrosurgical Units, Monopolar/Bipolar</v>
      </c>
      <c r="JGO92" s="165" t="s">
        <v>945</v>
      </c>
      <c r="JGP92" s="166" t="str">
        <f>VLOOKUP(JGO92,[13]AssetDetails_UEM!$A$3:$AH$1849,6,FALSE)</f>
        <v>Electrosurgical Units, Monopolar/Bipolar</v>
      </c>
      <c r="JGQ92" s="165" t="s">
        <v>945</v>
      </c>
      <c r="JGR92" s="166" t="str">
        <f>VLOOKUP(JGQ92,[13]AssetDetails_UEM!$A$3:$AH$1849,6,FALSE)</f>
        <v>Electrosurgical Units, Monopolar/Bipolar</v>
      </c>
      <c r="JGS92" s="165" t="s">
        <v>945</v>
      </c>
      <c r="JGT92" s="166" t="str">
        <f>VLOOKUP(JGS92,[13]AssetDetails_UEM!$A$3:$AH$1849,6,FALSE)</f>
        <v>Electrosurgical Units, Monopolar/Bipolar</v>
      </c>
      <c r="JGU92" s="165" t="s">
        <v>945</v>
      </c>
      <c r="JGV92" s="166" t="str">
        <f>VLOOKUP(JGU92,[13]AssetDetails_UEM!$A$3:$AH$1849,6,FALSE)</f>
        <v>Electrosurgical Units, Monopolar/Bipolar</v>
      </c>
      <c r="JGW92" s="165" t="s">
        <v>945</v>
      </c>
      <c r="JGX92" s="166" t="str">
        <f>VLOOKUP(JGW92,[13]AssetDetails_UEM!$A$3:$AH$1849,6,FALSE)</f>
        <v>Electrosurgical Units, Monopolar/Bipolar</v>
      </c>
      <c r="JGY92" s="165" t="s">
        <v>945</v>
      </c>
      <c r="JGZ92" s="166" t="str">
        <f>VLOOKUP(JGY92,[13]AssetDetails_UEM!$A$3:$AH$1849,6,FALSE)</f>
        <v>Electrosurgical Units, Monopolar/Bipolar</v>
      </c>
      <c r="JHA92" s="165" t="s">
        <v>945</v>
      </c>
      <c r="JHB92" s="166" t="str">
        <f>VLOOKUP(JHA92,[13]AssetDetails_UEM!$A$3:$AH$1849,6,FALSE)</f>
        <v>Electrosurgical Units, Monopolar/Bipolar</v>
      </c>
      <c r="JHC92" s="165" t="s">
        <v>945</v>
      </c>
      <c r="JHD92" s="166" t="str">
        <f>VLOOKUP(JHC92,[13]AssetDetails_UEM!$A$3:$AH$1849,6,FALSE)</f>
        <v>Electrosurgical Units, Monopolar/Bipolar</v>
      </c>
      <c r="JHE92" s="165" t="s">
        <v>945</v>
      </c>
      <c r="JHF92" s="166" t="str">
        <f>VLOOKUP(JHE92,[13]AssetDetails_UEM!$A$3:$AH$1849,6,FALSE)</f>
        <v>Electrosurgical Units, Monopolar/Bipolar</v>
      </c>
      <c r="JHG92" s="165" t="s">
        <v>945</v>
      </c>
      <c r="JHH92" s="166" t="str">
        <f>VLOOKUP(JHG92,[13]AssetDetails_UEM!$A$3:$AH$1849,6,FALSE)</f>
        <v>Electrosurgical Units, Monopolar/Bipolar</v>
      </c>
      <c r="JHI92" s="165" t="s">
        <v>945</v>
      </c>
      <c r="JHJ92" s="166" t="str">
        <f>VLOOKUP(JHI92,[13]AssetDetails_UEM!$A$3:$AH$1849,6,FALSE)</f>
        <v>Electrosurgical Units, Monopolar/Bipolar</v>
      </c>
      <c r="JHK92" s="165" t="s">
        <v>945</v>
      </c>
      <c r="JHL92" s="166" t="str">
        <f>VLOOKUP(JHK92,[13]AssetDetails_UEM!$A$3:$AH$1849,6,FALSE)</f>
        <v>Electrosurgical Units, Monopolar/Bipolar</v>
      </c>
      <c r="JHM92" s="165" t="s">
        <v>945</v>
      </c>
      <c r="JHN92" s="166" t="str">
        <f>VLOOKUP(JHM92,[13]AssetDetails_UEM!$A$3:$AH$1849,6,FALSE)</f>
        <v>Electrosurgical Units, Monopolar/Bipolar</v>
      </c>
      <c r="JHO92" s="165" t="s">
        <v>945</v>
      </c>
      <c r="JHP92" s="166" t="str">
        <f>VLOOKUP(JHO92,[13]AssetDetails_UEM!$A$3:$AH$1849,6,FALSE)</f>
        <v>Electrosurgical Units, Monopolar/Bipolar</v>
      </c>
      <c r="JHQ92" s="165" t="s">
        <v>945</v>
      </c>
      <c r="JHR92" s="166" t="str">
        <f>VLOOKUP(JHQ92,[13]AssetDetails_UEM!$A$3:$AH$1849,6,FALSE)</f>
        <v>Electrosurgical Units, Monopolar/Bipolar</v>
      </c>
      <c r="JHS92" s="165" t="s">
        <v>945</v>
      </c>
      <c r="JHT92" s="166" t="str">
        <f>VLOOKUP(JHS92,[13]AssetDetails_UEM!$A$3:$AH$1849,6,FALSE)</f>
        <v>Electrosurgical Units, Monopolar/Bipolar</v>
      </c>
      <c r="JHU92" s="165" t="s">
        <v>945</v>
      </c>
      <c r="JHV92" s="166" t="str">
        <f>VLOOKUP(JHU92,[13]AssetDetails_UEM!$A$3:$AH$1849,6,FALSE)</f>
        <v>Electrosurgical Units, Monopolar/Bipolar</v>
      </c>
      <c r="JHW92" s="165" t="s">
        <v>945</v>
      </c>
      <c r="JHX92" s="166" t="str">
        <f>VLOOKUP(JHW92,[13]AssetDetails_UEM!$A$3:$AH$1849,6,FALSE)</f>
        <v>Electrosurgical Units, Monopolar/Bipolar</v>
      </c>
      <c r="JHY92" s="165" t="s">
        <v>945</v>
      </c>
      <c r="JHZ92" s="166" t="str">
        <f>VLOOKUP(JHY92,[13]AssetDetails_UEM!$A$3:$AH$1849,6,FALSE)</f>
        <v>Electrosurgical Units, Monopolar/Bipolar</v>
      </c>
      <c r="JIA92" s="165" t="s">
        <v>945</v>
      </c>
      <c r="JIB92" s="166" t="str">
        <f>VLOOKUP(JIA92,[13]AssetDetails_UEM!$A$3:$AH$1849,6,FALSE)</f>
        <v>Electrosurgical Units, Monopolar/Bipolar</v>
      </c>
      <c r="JIC92" s="165" t="s">
        <v>945</v>
      </c>
      <c r="JID92" s="166" t="str">
        <f>VLOOKUP(JIC92,[13]AssetDetails_UEM!$A$3:$AH$1849,6,FALSE)</f>
        <v>Electrosurgical Units, Monopolar/Bipolar</v>
      </c>
      <c r="JIE92" s="165" t="s">
        <v>945</v>
      </c>
      <c r="JIF92" s="166" t="str">
        <f>VLOOKUP(JIE92,[13]AssetDetails_UEM!$A$3:$AH$1849,6,FALSE)</f>
        <v>Electrosurgical Units, Monopolar/Bipolar</v>
      </c>
      <c r="JIG92" s="165" t="s">
        <v>945</v>
      </c>
      <c r="JIH92" s="166" t="str">
        <f>VLOOKUP(JIG92,[13]AssetDetails_UEM!$A$3:$AH$1849,6,FALSE)</f>
        <v>Electrosurgical Units, Monopolar/Bipolar</v>
      </c>
      <c r="JII92" s="165" t="s">
        <v>945</v>
      </c>
      <c r="JIJ92" s="166" t="str">
        <f>VLOOKUP(JII92,[13]AssetDetails_UEM!$A$3:$AH$1849,6,FALSE)</f>
        <v>Electrosurgical Units, Monopolar/Bipolar</v>
      </c>
      <c r="JIK92" s="165" t="s">
        <v>945</v>
      </c>
      <c r="JIL92" s="166" t="str">
        <f>VLOOKUP(JIK92,[13]AssetDetails_UEM!$A$3:$AH$1849,6,FALSE)</f>
        <v>Electrosurgical Units, Monopolar/Bipolar</v>
      </c>
      <c r="JIM92" s="165" t="s">
        <v>945</v>
      </c>
      <c r="JIN92" s="166" t="str">
        <f>VLOOKUP(JIM92,[13]AssetDetails_UEM!$A$3:$AH$1849,6,FALSE)</f>
        <v>Electrosurgical Units, Monopolar/Bipolar</v>
      </c>
      <c r="JIO92" s="165" t="s">
        <v>945</v>
      </c>
      <c r="JIP92" s="166" t="str">
        <f>VLOOKUP(JIO92,[13]AssetDetails_UEM!$A$3:$AH$1849,6,FALSE)</f>
        <v>Electrosurgical Units, Monopolar/Bipolar</v>
      </c>
      <c r="JIQ92" s="165" t="s">
        <v>945</v>
      </c>
      <c r="JIR92" s="166" t="str">
        <f>VLOOKUP(JIQ92,[13]AssetDetails_UEM!$A$3:$AH$1849,6,FALSE)</f>
        <v>Electrosurgical Units, Monopolar/Bipolar</v>
      </c>
      <c r="JIS92" s="165" t="s">
        <v>945</v>
      </c>
      <c r="JIT92" s="166" t="str">
        <f>VLOOKUP(JIS92,[13]AssetDetails_UEM!$A$3:$AH$1849,6,FALSE)</f>
        <v>Electrosurgical Units, Monopolar/Bipolar</v>
      </c>
      <c r="JIU92" s="165" t="s">
        <v>945</v>
      </c>
      <c r="JIV92" s="166" t="str">
        <f>VLOOKUP(JIU92,[13]AssetDetails_UEM!$A$3:$AH$1849,6,FALSE)</f>
        <v>Electrosurgical Units, Monopolar/Bipolar</v>
      </c>
      <c r="JIW92" s="165" t="s">
        <v>945</v>
      </c>
      <c r="JIX92" s="166" t="str">
        <f>VLOOKUP(JIW92,[13]AssetDetails_UEM!$A$3:$AH$1849,6,FALSE)</f>
        <v>Electrosurgical Units, Monopolar/Bipolar</v>
      </c>
      <c r="JIY92" s="165" t="s">
        <v>945</v>
      </c>
      <c r="JIZ92" s="166" t="str">
        <f>VLOOKUP(JIY92,[13]AssetDetails_UEM!$A$3:$AH$1849,6,FALSE)</f>
        <v>Electrosurgical Units, Monopolar/Bipolar</v>
      </c>
      <c r="JJA92" s="165" t="s">
        <v>945</v>
      </c>
      <c r="JJB92" s="166" t="str">
        <f>VLOOKUP(JJA92,[13]AssetDetails_UEM!$A$3:$AH$1849,6,FALSE)</f>
        <v>Electrosurgical Units, Monopolar/Bipolar</v>
      </c>
      <c r="JJC92" s="165" t="s">
        <v>945</v>
      </c>
      <c r="JJD92" s="166" t="str">
        <f>VLOOKUP(JJC92,[13]AssetDetails_UEM!$A$3:$AH$1849,6,FALSE)</f>
        <v>Electrosurgical Units, Monopolar/Bipolar</v>
      </c>
      <c r="JJE92" s="165" t="s">
        <v>945</v>
      </c>
      <c r="JJF92" s="166" t="str">
        <f>VLOOKUP(JJE92,[13]AssetDetails_UEM!$A$3:$AH$1849,6,FALSE)</f>
        <v>Electrosurgical Units, Monopolar/Bipolar</v>
      </c>
      <c r="JJG92" s="165" t="s">
        <v>945</v>
      </c>
      <c r="JJH92" s="166" t="str">
        <f>VLOOKUP(JJG92,[13]AssetDetails_UEM!$A$3:$AH$1849,6,FALSE)</f>
        <v>Electrosurgical Units, Monopolar/Bipolar</v>
      </c>
      <c r="JJI92" s="165" t="s">
        <v>945</v>
      </c>
      <c r="JJJ92" s="166" t="str">
        <f>VLOOKUP(JJI92,[13]AssetDetails_UEM!$A$3:$AH$1849,6,FALSE)</f>
        <v>Electrosurgical Units, Monopolar/Bipolar</v>
      </c>
      <c r="JJK92" s="165" t="s">
        <v>945</v>
      </c>
      <c r="JJL92" s="166" t="str">
        <f>VLOOKUP(JJK92,[13]AssetDetails_UEM!$A$3:$AH$1849,6,FALSE)</f>
        <v>Electrosurgical Units, Monopolar/Bipolar</v>
      </c>
      <c r="JJM92" s="165" t="s">
        <v>945</v>
      </c>
      <c r="JJN92" s="166" t="str">
        <f>VLOOKUP(JJM92,[13]AssetDetails_UEM!$A$3:$AH$1849,6,FALSE)</f>
        <v>Electrosurgical Units, Monopolar/Bipolar</v>
      </c>
      <c r="JJO92" s="165" t="s">
        <v>945</v>
      </c>
      <c r="JJP92" s="166" t="str">
        <f>VLOOKUP(JJO92,[13]AssetDetails_UEM!$A$3:$AH$1849,6,FALSE)</f>
        <v>Electrosurgical Units, Monopolar/Bipolar</v>
      </c>
      <c r="JJQ92" s="165" t="s">
        <v>945</v>
      </c>
      <c r="JJR92" s="166" t="str">
        <f>VLOOKUP(JJQ92,[13]AssetDetails_UEM!$A$3:$AH$1849,6,FALSE)</f>
        <v>Electrosurgical Units, Monopolar/Bipolar</v>
      </c>
      <c r="JJS92" s="165" t="s">
        <v>945</v>
      </c>
      <c r="JJT92" s="166" t="str">
        <f>VLOOKUP(JJS92,[13]AssetDetails_UEM!$A$3:$AH$1849,6,FALSE)</f>
        <v>Electrosurgical Units, Monopolar/Bipolar</v>
      </c>
      <c r="JJU92" s="165" t="s">
        <v>945</v>
      </c>
      <c r="JJV92" s="166" t="str">
        <f>VLOOKUP(JJU92,[13]AssetDetails_UEM!$A$3:$AH$1849,6,FALSE)</f>
        <v>Electrosurgical Units, Monopolar/Bipolar</v>
      </c>
      <c r="JJW92" s="165" t="s">
        <v>945</v>
      </c>
      <c r="JJX92" s="166" t="str">
        <f>VLOOKUP(JJW92,[13]AssetDetails_UEM!$A$3:$AH$1849,6,FALSE)</f>
        <v>Electrosurgical Units, Monopolar/Bipolar</v>
      </c>
      <c r="JJY92" s="165" t="s">
        <v>945</v>
      </c>
      <c r="JJZ92" s="166" t="str">
        <f>VLOOKUP(JJY92,[13]AssetDetails_UEM!$A$3:$AH$1849,6,FALSE)</f>
        <v>Electrosurgical Units, Monopolar/Bipolar</v>
      </c>
      <c r="JKA92" s="165" t="s">
        <v>945</v>
      </c>
      <c r="JKB92" s="166" t="str">
        <f>VLOOKUP(JKA92,[13]AssetDetails_UEM!$A$3:$AH$1849,6,FALSE)</f>
        <v>Electrosurgical Units, Monopolar/Bipolar</v>
      </c>
      <c r="JKC92" s="165" t="s">
        <v>945</v>
      </c>
      <c r="JKD92" s="166" t="str">
        <f>VLOOKUP(JKC92,[13]AssetDetails_UEM!$A$3:$AH$1849,6,FALSE)</f>
        <v>Electrosurgical Units, Monopolar/Bipolar</v>
      </c>
      <c r="JKE92" s="165" t="s">
        <v>945</v>
      </c>
      <c r="JKF92" s="166" t="str">
        <f>VLOOKUP(JKE92,[13]AssetDetails_UEM!$A$3:$AH$1849,6,FALSE)</f>
        <v>Electrosurgical Units, Monopolar/Bipolar</v>
      </c>
      <c r="JKG92" s="165" t="s">
        <v>945</v>
      </c>
      <c r="JKH92" s="166" t="str">
        <f>VLOOKUP(JKG92,[13]AssetDetails_UEM!$A$3:$AH$1849,6,FALSE)</f>
        <v>Electrosurgical Units, Monopolar/Bipolar</v>
      </c>
      <c r="JKI92" s="165" t="s">
        <v>945</v>
      </c>
      <c r="JKJ92" s="166" t="str">
        <f>VLOOKUP(JKI92,[13]AssetDetails_UEM!$A$3:$AH$1849,6,FALSE)</f>
        <v>Electrosurgical Units, Monopolar/Bipolar</v>
      </c>
      <c r="JKK92" s="165" t="s">
        <v>945</v>
      </c>
      <c r="JKL92" s="166" t="str">
        <f>VLOOKUP(JKK92,[13]AssetDetails_UEM!$A$3:$AH$1849,6,FALSE)</f>
        <v>Electrosurgical Units, Monopolar/Bipolar</v>
      </c>
      <c r="JKM92" s="165" t="s">
        <v>945</v>
      </c>
      <c r="JKN92" s="166" t="str">
        <f>VLOOKUP(JKM92,[13]AssetDetails_UEM!$A$3:$AH$1849,6,FALSE)</f>
        <v>Electrosurgical Units, Monopolar/Bipolar</v>
      </c>
      <c r="JKO92" s="165" t="s">
        <v>945</v>
      </c>
      <c r="JKP92" s="166" t="str">
        <f>VLOOKUP(JKO92,[13]AssetDetails_UEM!$A$3:$AH$1849,6,FALSE)</f>
        <v>Electrosurgical Units, Monopolar/Bipolar</v>
      </c>
      <c r="JKQ92" s="165" t="s">
        <v>945</v>
      </c>
      <c r="JKR92" s="166" t="str">
        <f>VLOOKUP(JKQ92,[13]AssetDetails_UEM!$A$3:$AH$1849,6,FALSE)</f>
        <v>Electrosurgical Units, Monopolar/Bipolar</v>
      </c>
      <c r="JKS92" s="165" t="s">
        <v>945</v>
      </c>
      <c r="JKT92" s="166" t="str">
        <f>VLOOKUP(JKS92,[13]AssetDetails_UEM!$A$3:$AH$1849,6,FALSE)</f>
        <v>Electrosurgical Units, Monopolar/Bipolar</v>
      </c>
      <c r="JKU92" s="165" t="s">
        <v>945</v>
      </c>
      <c r="JKV92" s="166" t="str">
        <f>VLOOKUP(JKU92,[13]AssetDetails_UEM!$A$3:$AH$1849,6,FALSE)</f>
        <v>Electrosurgical Units, Monopolar/Bipolar</v>
      </c>
      <c r="JKW92" s="165" t="s">
        <v>945</v>
      </c>
      <c r="JKX92" s="166" t="str">
        <f>VLOOKUP(JKW92,[13]AssetDetails_UEM!$A$3:$AH$1849,6,FALSE)</f>
        <v>Electrosurgical Units, Monopolar/Bipolar</v>
      </c>
      <c r="JKY92" s="165" t="s">
        <v>945</v>
      </c>
      <c r="JKZ92" s="166" t="str">
        <f>VLOOKUP(JKY92,[13]AssetDetails_UEM!$A$3:$AH$1849,6,FALSE)</f>
        <v>Electrosurgical Units, Monopolar/Bipolar</v>
      </c>
      <c r="JLA92" s="165" t="s">
        <v>945</v>
      </c>
      <c r="JLB92" s="166" t="str">
        <f>VLOOKUP(JLA92,[13]AssetDetails_UEM!$A$3:$AH$1849,6,FALSE)</f>
        <v>Electrosurgical Units, Monopolar/Bipolar</v>
      </c>
      <c r="JLC92" s="165" t="s">
        <v>945</v>
      </c>
      <c r="JLD92" s="166" t="str">
        <f>VLOOKUP(JLC92,[13]AssetDetails_UEM!$A$3:$AH$1849,6,FALSE)</f>
        <v>Electrosurgical Units, Monopolar/Bipolar</v>
      </c>
      <c r="JLE92" s="165" t="s">
        <v>945</v>
      </c>
      <c r="JLF92" s="166" t="str">
        <f>VLOOKUP(JLE92,[13]AssetDetails_UEM!$A$3:$AH$1849,6,FALSE)</f>
        <v>Electrosurgical Units, Monopolar/Bipolar</v>
      </c>
      <c r="JLG92" s="165" t="s">
        <v>945</v>
      </c>
      <c r="JLH92" s="166" t="str">
        <f>VLOOKUP(JLG92,[13]AssetDetails_UEM!$A$3:$AH$1849,6,FALSE)</f>
        <v>Electrosurgical Units, Monopolar/Bipolar</v>
      </c>
      <c r="JLI92" s="165" t="s">
        <v>945</v>
      </c>
      <c r="JLJ92" s="166" t="str">
        <f>VLOOKUP(JLI92,[13]AssetDetails_UEM!$A$3:$AH$1849,6,FALSE)</f>
        <v>Electrosurgical Units, Monopolar/Bipolar</v>
      </c>
      <c r="JLK92" s="165" t="s">
        <v>945</v>
      </c>
      <c r="JLL92" s="166" t="str">
        <f>VLOOKUP(JLK92,[13]AssetDetails_UEM!$A$3:$AH$1849,6,FALSE)</f>
        <v>Electrosurgical Units, Monopolar/Bipolar</v>
      </c>
      <c r="JLM92" s="165" t="s">
        <v>945</v>
      </c>
      <c r="JLN92" s="166" t="str">
        <f>VLOOKUP(JLM92,[13]AssetDetails_UEM!$A$3:$AH$1849,6,FALSE)</f>
        <v>Electrosurgical Units, Monopolar/Bipolar</v>
      </c>
      <c r="JLO92" s="165" t="s">
        <v>945</v>
      </c>
      <c r="JLP92" s="166" t="str">
        <f>VLOOKUP(JLO92,[13]AssetDetails_UEM!$A$3:$AH$1849,6,FALSE)</f>
        <v>Electrosurgical Units, Monopolar/Bipolar</v>
      </c>
      <c r="JLQ92" s="165" t="s">
        <v>945</v>
      </c>
      <c r="JLR92" s="166" t="str">
        <f>VLOOKUP(JLQ92,[13]AssetDetails_UEM!$A$3:$AH$1849,6,FALSE)</f>
        <v>Electrosurgical Units, Monopolar/Bipolar</v>
      </c>
      <c r="JLS92" s="165" t="s">
        <v>945</v>
      </c>
      <c r="JLT92" s="166" t="str">
        <f>VLOOKUP(JLS92,[13]AssetDetails_UEM!$A$3:$AH$1849,6,FALSE)</f>
        <v>Electrosurgical Units, Monopolar/Bipolar</v>
      </c>
      <c r="JLU92" s="165" t="s">
        <v>945</v>
      </c>
      <c r="JLV92" s="166" t="str">
        <f>VLOOKUP(JLU92,[13]AssetDetails_UEM!$A$3:$AH$1849,6,FALSE)</f>
        <v>Electrosurgical Units, Monopolar/Bipolar</v>
      </c>
      <c r="JLW92" s="165" t="s">
        <v>945</v>
      </c>
      <c r="JLX92" s="166" t="str">
        <f>VLOOKUP(JLW92,[13]AssetDetails_UEM!$A$3:$AH$1849,6,FALSE)</f>
        <v>Electrosurgical Units, Monopolar/Bipolar</v>
      </c>
      <c r="JLY92" s="165" t="s">
        <v>945</v>
      </c>
      <c r="JLZ92" s="166" t="str">
        <f>VLOOKUP(JLY92,[13]AssetDetails_UEM!$A$3:$AH$1849,6,FALSE)</f>
        <v>Electrosurgical Units, Monopolar/Bipolar</v>
      </c>
      <c r="JMA92" s="165" t="s">
        <v>945</v>
      </c>
      <c r="JMB92" s="166" t="str">
        <f>VLOOKUP(JMA92,[13]AssetDetails_UEM!$A$3:$AH$1849,6,FALSE)</f>
        <v>Electrosurgical Units, Monopolar/Bipolar</v>
      </c>
      <c r="JMC92" s="165" t="s">
        <v>945</v>
      </c>
      <c r="JMD92" s="166" t="str">
        <f>VLOOKUP(JMC92,[13]AssetDetails_UEM!$A$3:$AH$1849,6,FALSE)</f>
        <v>Electrosurgical Units, Monopolar/Bipolar</v>
      </c>
      <c r="JME92" s="165" t="s">
        <v>945</v>
      </c>
      <c r="JMF92" s="166" t="str">
        <f>VLOOKUP(JME92,[13]AssetDetails_UEM!$A$3:$AH$1849,6,FALSE)</f>
        <v>Electrosurgical Units, Monopolar/Bipolar</v>
      </c>
      <c r="JMG92" s="165" t="s">
        <v>945</v>
      </c>
      <c r="JMH92" s="166" t="str">
        <f>VLOOKUP(JMG92,[13]AssetDetails_UEM!$A$3:$AH$1849,6,FALSE)</f>
        <v>Electrosurgical Units, Monopolar/Bipolar</v>
      </c>
      <c r="JMI92" s="165" t="s">
        <v>945</v>
      </c>
      <c r="JMJ92" s="166" t="str">
        <f>VLOOKUP(JMI92,[13]AssetDetails_UEM!$A$3:$AH$1849,6,FALSE)</f>
        <v>Electrosurgical Units, Monopolar/Bipolar</v>
      </c>
      <c r="JMK92" s="165" t="s">
        <v>945</v>
      </c>
      <c r="JML92" s="166" t="str">
        <f>VLOOKUP(JMK92,[13]AssetDetails_UEM!$A$3:$AH$1849,6,FALSE)</f>
        <v>Electrosurgical Units, Monopolar/Bipolar</v>
      </c>
      <c r="JMM92" s="165" t="s">
        <v>945</v>
      </c>
      <c r="JMN92" s="166" t="str">
        <f>VLOOKUP(JMM92,[13]AssetDetails_UEM!$A$3:$AH$1849,6,FALSE)</f>
        <v>Electrosurgical Units, Monopolar/Bipolar</v>
      </c>
      <c r="JMO92" s="165" t="s">
        <v>945</v>
      </c>
      <c r="JMP92" s="166" t="str">
        <f>VLOOKUP(JMO92,[13]AssetDetails_UEM!$A$3:$AH$1849,6,FALSE)</f>
        <v>Electrosurgical Units, Monopolar/Bipolar</v>
      </c>
      <c r="JMQ92" s="165" t="s">
        <v>945</v>
      </c>
      <c r="JMR92" s="166" t="str">
        <f>VLOOKUP(JMQ92,[13]AssetDetails_UEM!$A$3:$AH$1849,6,FALSE)</f>
        <v>Electrosurgical Units, Monopolar/Bipolar</v>
      </c>
      <c r="JMS92" s="165" t="s">
        <v>945</v>
      </c>
      <c r="JMT92" s="166" t="str">
        <f>VLOOKUP(JMS92,[13]AssetDetails_UEM!$A$3:$AH$1849,6,FALSE)</f>
        <v>Electrosurgical Units, Monopolar/Bipolar</v>
      </c>
      <c r="JMU92" s="165" t="s">
        <v>945</v>
      </c>
      <c r="JMV92" s="166" t="str">
        <f>VLOOKUP(JMU92,[13]AssetDetails_UEM!$A$3:$AH$1849,6,FALSE)</f>
        <v>Electrosurgical Units, Monopolar/Bipolar</v>
      </c>
      <c r="JMW92" s="165" t="s">
        <v>945</v>
      </c>
      <c r="JMX92" s="166" t="str">
        <f>VLOOKUP(JMW92,[13]AssetDetails_UEM!$A$3:$AH$1849,6,FALSE)</f>
        <v>Electrosurgical Units, Monopolar/Bipolar</v>
      </c>
      <c r="JMY92" s="165" t="s">
        <v>945</v>
      </c>
      <c r="JMZ92" s="166" t="str">
        <f>VLOOKUP(JMY92,[13]AssetDetails_UEM!$A$3:$AH$1849,6,FALSE)</f>
        <v>Electrosurgical Units, Monopolar/Bipolar</v>
      </c>
      <c r="JNA92" s="165" t="s">
        <v>945</v>
      </c>
      <c r="JNB92" s="166" t="str">
        <f>VLOOKUP(JNA92,[13]AssetDetails_UEM!$A$3:$AH$1849,6,FALSE)</f>
        <v>Electrosurgical Units, Monopolar/Bipolar</v>
      </c>
      <c r="JNC92" s="165" t="s">
        <v>945</v>
      </c>
      <c r="JND92" s="166" t="str">
        <f>VLOOKUP(JNC92,[13]AssetDetails_UEM!$A$3:$AH$1849,6,FALSE)</f>
        <v>Electrosurgical Units, Monopolar/Bipolar</v>
      </c>
      <c r="JNE92" s="165" t="s">
        <v>945</v>
      </c>
      <c r="JNF92" s="166" t="str">
        <f>VLOOKUP(JNE92,[13]AssetDetails_UEM!$A$3:$AH$1849,6,FALSE)</f>
        <v>Electrosurgical Units, Monopolar/Bipolar</v>
      </c>
      <c r="JNG92" s="165" t="s">
        <v>945</v>
      </c>
      <c r="JNH92" s="166" t="str">
        <f>VLOOKUP(JNG92,[13]AssetDetails_UEM!$A$3:$AH$1849,6,FALSE)</f>
        <v>Electrosurgical Units, Monopolar/Bipolar</v>
      </c>
      <c r="JNI92" s="165" t="s">
        <v>945</v>
      </c>
      <c r="JNJ92" s="166" t="str">
        <f>VLOOKUP(JNI92,[13]AssetDetails_UEM!$A$3:$AH$1849,6,FALSE)</f>
        <v>Electrosurgical Units, Monopolar/Bipolar</v>
      </c>
      <c r="JNK92" s="165" t="s">
        <v>945</v>
      </c>
      <c r="JNL92" s="166" t="str">
        <f>VLOOKUP(JNK92,[13]AssetDetails_UEM!$A$3:$AH$1849,6,FALSE)</f>
        <v>Electrosurgical Units, Monopolar/Bipolar</v>
      </c>
      <c r="JNM92" s="165" t="s">
        <v>945</v>
      </c>
      <c r="JNN92" s="166" t="str">
        <f>VLOOKUP(JNM92,[13]AssetDetails_UEM!$A$3:$AH$1849,6,FALSE)</f>
        <v>Electrosurgical Units, Monopolar/Bipolar</v>
      </c>
      <c r="JNO92" s="165" t="s">
        <v>945</v>
      </c>
      <c r="JNP92" s="166" t="str">
        <f>VLOOKUP(JNO92,[13]AssetDetails_UEM!$A$3:$AH$1849,6,FALSE)</f>
        <v>Electrosurgical Units, Monopolar/Bipolar</v>
      </c>
      <c r="JNQ92" s="165" t="s">
        <v>945</v>
      </c>
      <c r="JNR92" s="166" t="str">
        <f>VLOOKUP(JNQ92,[13]AssetDetails_UEM!$A$3:$AH$1849,6,FALSE)</f>
        <v>Electrosurgical Units, Monopolar/Bipolar</v>
      </c>
      <c r="JNS92" s="165" t="s">
        <v>945</v>
      </c>
      <c r="JNT92" s="166" t="str">
        <f>VLOOKUP(JNS92,[13]AssetDetails_UEM!$A$3:$AH$1849,6,FALSE)</f>
        <v>Electrosurgical Units, Monopolar/Bipolar</v>
      </c>
      <c r="JNU92" s="165" t="s">
        <v>945</v>
      </c>
      <c r="JNV92" s="166" t="str">
        <f>VLOOKUP(JNU92,[13]AssetDetails_UEM!$A$3:$AH$1849,6,FALSE)</f>
        <v>Electrosurgical Units, Monopolar/Bipolar</v>
      </c>
      <c r="JNW92" s="165" t="s">
        <v>945</v>
      </c>
      <c r="JNX92" s="166" t="str">
        <f>VLOOKUP(JNW92,[13]AssetDetails_UEM!$A$3:$AH$1849,6,FALSE)</f>
        <v>Electrosurgical Units, Monopolar/Bipolar</v>
      </c>
      <c r="JNY92" s="165" t="s">
        <v>945</v>
      </c>
      <c r="JNZ92" s="166" t="str">
        <f>VLOOKUP(JNY92,[13]AssetDetails_UEM!$A$3:$AH$1849,6,FALSE)</f>
        <v>Electrosurgical Units, Monopolar/Bipolar</v>
      </c>
      <c r="JOA92" s="165" t="s">
        <v>945</v>
      </c>
      <c r="JOB92" s="166" t="str">
        <f>VLOOKUP(JOA92,[13]AssetDetails_UEM!$A$3:$AH$1849,6,FALSE)</f>
        <v>Electrosurgical Units, Monopolar/Bipolar</v>
      </c>
      <c r="JOC92" s="165" t="s">
        <v>945</v>
      </c>
      <c r="JOD92" s="166" t="str">
        <f>VLOOKUP(JOC92,[13]AssetDetails_UEM!$A$3:$AH$1849,6,FALSE)</f>
        <v>Electrosurgical Units, Monopolar/Bipolar</v>
      </c>
      <c r="JOE92" s="165" t="s">
        <v>945</v>
      </c>
      <c r="JOF92" s="166" t="str">
        <f>VLOOKUP(JOE92,[13]AssetDetails_UEM!$A$3:$AH$1849,6,FALSE)</f>
        <v>Electrosurgical Units, Monopolar/Bipolar</v>
      </c>
      <c r="JOG92" s="165" t="s">
        <v>945</v>
      </c>
      <c r="JOH92" s="166" t="str">
        <f>VLOOKUP(JOG92,[13]AssetDetails_UEM!$A$3:$AH$1849,6,FALSE)</f>
        <v>Electrosurgical Units, Monopolar/Bipolar</v>
      </c>
      <c r="JOI92" s="165" t="s">
        <v>945</v>
      </c>
      <c r="JOJ92" s="166" t="str">
        <f>VLOOKUP(JOI92,[13]AssetDetails_UEM!$A$3:$AH$1849,6,FALSE)</f>
        <v>Electrosurgical Units, Monopolar/Bipolar</v>
      </c>
      <c r="JOK92" s="165" t="s">
        <v>945</v>
      </c>
      <c r="JOL92" s="166" t="str">
        <f>VLOOKUP(JOK92,[13]AssetDetails_UEM!$A$3:$AH$1849,6,FALSE)</f>
        <v>Electrosurgical Units, Monopolar/Bipolar</v>
      </c>
      <c r="JOM92" s="165" t="s">
        <v>945</v>
      </c>
      <c r="JON92" s="166" t="str">
        <f>VLOOKUP(JOM92,[13]AssetDetails_UEM!$A$3:$AH$1849,6,FALSE)</f>
        <v>Electrosurgical Units, Monopolar/Bipolar</v>
      </c>
      <c r="JOO92" s="165" t="s">
        <v>945</v>
      </c>
      <c r="JOP92" s="166" t="str">
        <f>VLOOKUP(JOO92,[13]AssetDetails_UEM!$A$3:$AH$1849,6,FALSE)</f>
        <v>Electrosurgical Units, Monopolar/Bipolar</v>
      </c>
      <c r="JOQ92" s="165" t="s">
        <v>945</v>
      </c>
      <c r="JOR92" s="166" t="str">
        <f>VLOOKUP(JOQ92,[13]AssetDetails_UEM!$A$3:$AH$1849,6,FALSE)</f>
        <v>Electrosurgical Units, Monopolar/Bipolar</v>
      </c>
      <c r="JOS92" s="165" t="s">
        <v>945</v>
      </c>
      <c r="JOT92" s="166" t="str">
        <f>VLOOKUP(JOS92,[13]AssetDetails_UEM!$A$3:$AH$1849,6,FALSE)</f>
        <v>Electrosurgical Units, Monopolar/Bipolar</v>
      </c>
      <c r="JOU92" s="165" t="s">
        <v>945</v>
      </c>
      <c r="JOV92" s="166" t="str">
        <f>VLOOKUP(JOU92,[13]AssetDetails_UEM!$A$3:$AH$1849,6,FALSE)</f>
        <v>Electrosurgical Units, Monopolar/Bipolar</v>
      </c>
      <c r="JOW92" s="165" t="s">
        <v>945</v>
      </c>
      <c r="JOX92" s="166" t="str">
        <f>VLOOKUP(JOW92,[13]AssetDetails_UEM!$A$3:$AH$1849,6,FALSE)</f>
        <v>Electrosurgical Units, Monopolar/Bipolar</v>
      </c>
      <c r="JOY92" s="165" t="s">
        <v>945</v>
      </c>
      <c r="JOZ92" s="166" t="str">
        <f>VLOOKUP(JOY92,[13]AssetDetails_UEM!$A$3:$AH$1849,6,FALSE)</f>
        <v>Electrosurgical Units, Monopolar/Bipolar</v>
      </c>
      <c r="JPA92" s="165" t="s">
        <v>945</v>
      </c>
      <c r="JPB92" s="166" t="str">
        <f>VLOOKUP(JPA92,[13]AssetDetails_UEM!$A$3:$AH$1849,6,FALSE)</f>
        <v>Electrosurgical Units, Monopolar/Bipolar</v>
      </c>
      <c r="JPC92" s="165" t="s">
        <v>945</v>
      </c>
      <c r="JPD92" s="166" t="str">
        <f>VLOOKUP(JPC92,[13]AssetDetails_UEM!$A$3:$AH$1849,6,FALSE)</f>
        <v>Electrosurgical Units, Monopolar/Bipolar</v>
      </c>
      <c r="JPE92" s="165" t="s">
        <v>945</v>
      </c>
      <c r="JPF92" s="166" t="str">
        <f>VLOOKUP(JPE92,[13]AssetDetails_UEM!$A$3:$AH$1849,6,FALSE)</f>
        <v>Electrosurgical Units, Monopolar/Bipolar</v>
      </c>
      <c r="JPG92" s="165" t="s">
        <v>945</v>
      </c>
      <c r="JPH92" s="166" t="str">
        <f>VLOOKUP(JPG92,[13]AssetDetails_UEM!$A$3:$AH$1849,6,FALSE)</f>
        <v>Electrosurgical Units, Monopolar/Bipolar</v>
      </c>
      <c r="JPI92" s="165" t="s">
        <v>945</v>
      </c>
      <c r="JPJ92" s="166" t="str">
        <f>VLOOKUP(JPI92,[13]AssetDetails_UEM!$A$3:$AH$1849,6,FALSE)</f>
        <v>Electrosurgical Units, Monopolar/Bipolar</v>
      </c>
      <c r="JPK92" s="165" t="s">
        <v>945</v>
      </c>
      <c r="JPL92" s="166" t="str">
        <f>VLOOKUP(JPK92,[13]AssetDetails_UEM!$A$3:$AH$1849,6,FALSE)</f>
        <v>Electrosurgical Units, Monopolar/Bipolar</v>
      </c>
      <c r="JPM92" s="165" t="s">
        <v>945</v>
      </c>
      <c r="JPN92" s="166" t="str">
        <f>VLOOKUP(JPM92,[13]AssetDetails_UEM!$A$3:$AH$1849,6,FALSE)</f>
        <v>Electrosurgical Units, Monopolar/Bipolar</v>
      </c>
      <c r="JPO92" s="165" t="s">
        <v>945</v>
      </c>
      <c r="JPP92" s="166" t="str">
        <f>VLOOKUP(JPO92,[13]AssetDetails_UEM!$A$3:$AH$1849,6,FALSE)</f>
        <v>Electrosurgical Units, Monopolar/Bipolar</v>
      </c>
      <c r="JPQ92" s="165" t="s">
        <v>945</v>
      </c>
      <c r="JPR92" s="166" t="str">
        <f>VLOOKUP(JPQ92,[13]AssetDetails_UEM!$A$3:$AH$1849,6,FALSE)</f>
        <v>Electrosurgical Units, Monopolar/Bipolar</v>
      </c>
      <c r="JPS92" s="165" t="s">
        <v>945</v>
      </c>
      <c r="JPT92" s="166" t="str">
        <f>VLOOKUP(JPS92,[13]AssetDetails_UEM!$A$3:$AH$1849,6,FALSE)</f>
        <v>Electrosurgical Units, Monopolar/Bipolar</v>
      </c>
      <c r="JPU92" s="165" t="s">
        <v>945</v>
      </c>
      <c r="JPV92" s="166" t="str">
        <f>VLOOKUP(JPU92,[13]AssetDetails_UEM!$A$3:$AH$1849,6,FALSE)</f>
        <v>Electrosurgical Units, Monopolar/Bipolar</v>
      </c>
      <c r="JPW92" s="165" t="s">
        <v>945</v>
      </c>
      <c r="JPX92" s="166" t="str">
        <f>VLOOKUP(JPW92,[13]AssetDetails_UEM!$A$3:$AH$1849,6,FALSE)</f>
        <v>Electrosurgical Units, Monopolar/Bipolar</v>
      </c>
      <c r="JPY92" s="165" t="s">
        <v>945</v>
      </c>
      <c r="JPZ92" s="166" t="str">
        <f>VLOOKUP(JPY92,[13]AssetDetails_UEM!$A$3:$AH$1849,6,FALSE)</f>
        <v>Electrosurgical Units, Monopolar/Bipolar</v>
      </c>
      <c r="JQA92" s="165" t="s">
        <v>945</v>
      </c>
      <c r="JQB92" s="166" t="str">
        <f>VLOOKUP(JQA92,[13]AssetDetails_UEM!$A$3:$AH$1849,6,FALSE)</f>
        <v>Electrosurgical Units, Monopolar/Bipolar</v>
      </c>
      <c r="JQC92" s="165" t="s">
        <v>945</v>
      </c>
      <c r="JQD92" s="166" t="str">
        <f>VLOOKUP(JQC92,[13]AssetDetails_UEM!$A$3:$AH$1849,6,FALSE)</f>
        <v>Electrosurgical Units, Monopolar/Bipolar</v>
      </c>
      <c r="JQE92" s="165" t="s">
        <v>945</v>
      </c>
      <c r="JQF92" s="166" t="str">
        <f>VLOOKUP(JQE92,[13]AssetDetails_UEM!$A$3:$AH$1849,6,FALSE)</f>
        <v>Electrosurgical Units, Monopolar/Bipolar</v>
      </c>
      <c r="JQG92" s="165" t="s">
        <v>945</v>
      </c>
      <c r="JQH92" s="166" t="str">
        <f>VLOOKUP(JQG92,[13]AssetDetails_UEM!$A$3:$AH$1849,6,FALSE)</f>
        <v>Electrosurgical Units, Monopolar/Bipolar</v>
      </c>
      <c r="JQI92" s="165" t="s">
        <v>945</v>
      </c>
      <c r="JQJ92" s="166" t="str">
        <f>VLOOKUP(JQI92,[13]AssetDetails_UEM!$A$3:$AH$1849,6,FALSE)</f>
        <v>Electrosurgical Units, Monopolar/Bipolar</v>
      </c>
      <c r="JQK92" s="165" t="s">
        <v>945</v>
      </c>
      <c r="JQL92" s="166" t="str">
        <f>VLOOKUP(JQK92,[13]AssetDetails_UEM!$A$3:$AH$1849,6,FALSE)</f>
        <v>Electrosurgical Units, Monopolar/Bipolar</v>
      </c>
      <c r="JQM92" s="165" t="s">
        <v>945</v>
      </c>
      <c r="JQN92" s="166" t="str">
        <f>VLOOKUP(JQM92,[13]AssetDetails_UEM!$A$3:$AH$1849,6,FALSE)</f>
        <v>Electrosurgical Units, Monopolar/Bipolar</v>
      </c>
      <c r="JQO92" s="165" t="s">
        <v>945</v>
      </c>
      <c r="JQP92" s="166" t="str">
        <f>VLOOKUP(JQO92,[13]AssetDetails_UEM!$A$3:$AH$1849,6,FALSE)</f>
        <v>Electrosurgical Units, Monopolar/Bipolar</v>
      </c>
      <c r="JQQ92" s="165" t="s">
        <v>945</v>
      </c>
      <c r="JQR92" s="166" t="str">
        <f>VLOOKUP(JQQ92,[13]AssetDetails_UEM!$A$3:$AH$1849,6,FALSE)</f>
        <v>Electrosurgical Units, Monopolar/Bipolar</v>
      </c>
      <c r="JQS92" s="165" t="s">
        <v>945</v>
      </c>
      <c r="JQT92" s="166" t="str">
        <f>VLOOKUP(JQS92,[13]AssetDetails_UEM!$A$3:$AH$1849,6,FALSE)</f>
        <v>Electrosurgical Units, Monopolar/Bipolar</v>
      </c>
      <c r="JQU92" s="165" t="s">
        <v>945</v>
      </c>
      <c r="JQV92" s="166" t="str">
        <f>VLOOKUP(JQU92,[13]AssetDetails_UEM!$A$3:$AH$1849,6,FALSE)</f>
        <v>Electrosurgical Units, Monopolar/Bipolar</v>
      </c>
      <c r="JQW92" s="165" t="s">
        <v>945</v>
      </c>
      <c r="JQX92" s="166" t="str">
        <f>VLOOKUP(JQW92,[13]AssetDetails_UEM!$A$3:$AH$1849,6,FALSE)</f>
        <v>Electrosurgical Units, Monopolar/Bipolar</v>
      </c>
      <c r="JQY92" s="165" t="s">
        <v>945</v>
      </c>
      <c r="JQZ92" s="166" t="str">
        <f>VLOOKUP(JQY92,[13]AssetDetails_UEM!$A$3:$AH$1849,6,FALSE)</f>
        <v>Electrosurgical Units, Monopolar/Bipolar</v>
      </c>
      <c r="JRA92" s="165" t="s">
        <v>945</v>
      </c>
      <c r="JRB92" s="166" t="str">
        <f>VLOOKUP(JRA92,[13]AssetDetails_UEM!$A$3:$AH$1849,6,FALSE)</f>
        <v>Electrosurgical Units, Monopolar/Bipolar</v>
      </c>
      <c r="JRC92" s="165" t="s">
        <v>945</v>
      </c>
      <c r="JRD92" s="166" t="str">
        <f>VLOOKUP(JRC92,[13]AssetDetails_UEM!$A$3:$AH$1849,6,FALSE)</f>
        <v>Electrosurgical Units, Monopolar/Bipolar</v>
      </c>
      <c r="JRE92" s="165" t="s">
        <v>945</v>
      </c>
      <c r="JRF92" s="166" t="str">
        <f>VLOOKUP(JRE92,[13]AssetDetails_UEM!$A$3:$AH$1849,6,FALSE)</f>
        <v>Electrosurgical Units, Monopolar/Bipolar</v>
      </c>
      <c r="JRG92" s="165" t="s">
        <v>945</v>
      </c>
      <c r="JRH92" s="166" t="str">
        <f>VLOOKUP(JRG92,[13]AssetDetails_UEM!$A$3:$AH$1849,6,FALSE)</f>
        <v>Electrosurgical Units, Monopolar/Bipolar</v>
      </c>
      <c r="JRI92" s="165" t="s">
        <v>945</v>
      </c>
      <c r="JRJ92" s="166" t="str">
        <f>VLOOKUP(JRI92,[13]AssetDetails_UEM!$A$3:$AH$1849,6,FALSE)</f>
        <v>Electrosurgical Units, Monopolar/Bipolar</v>
      </c>
      <c r="JRK92" s="165" t="s">
        <v>945</v>
      </c>
      <c r="JRL92" s="166" t="str">
        <f>VLOOKUP(JRK92,[13]AssetDetails_UEM!$A$3:$AH$1849,6,FALSE)</f>
        <v>Electrosurgical Units, Monopolar/Bipolar</v>
      </c>
      <c r="JRM92" s="165" t="s">
        <v>945</v>
      </c>
      <c r="JRN92" s="166" t="str">
        <f>VLOOKUP(JRM92,[13]AssetDetails_UEM!$A$3:$AH$1849,6,FALSE)</f>
        <v>Electrosurgical Units, Monopolar/Bipolar</v>
      </c>
      <c r="JRO92" s="165" t="s">
        <v>945</v>
      </c>
      <c r="JRP92" s="166" t="str">
        <f>VLOOKUP(JRO92,[13]AssetDetails_UEM!$A$3:$AH$1849,6,FALSE)</f>
        <v>Electrosurgical Units, Monopolar/Bipolar</v>
      </c>
      <c r="JRQ92" s="165" t="s">
        <v>945</v>
      </c>
      <c r="JRR92" s="166" t="str">
        <f>VLOOKUP(JRQ92,[13]AssetDetails_UEM!$A$3:$AH$1849,6,FALSE)</f>
        <v>Electrosurgical Units, Monopolar/Bipolar</v>
      </c>
      <c r="JRS92" s="165" t="s">
        <v>945</v>
      </c>
      <c r="JRT92" s="166" t="str">
        <f>VLOOKUP(JRS92,[13]AssetDetails_UEM!$A$3:$AH$1849,6,FALSE)</f>
        <v>Electrosurgical Units, Monopolar/Bipolar</v>
      </c>
      <c r="JRU92" s="165" t="s">
        <v>945</v>
      </c>
      <c r="JRV92" s="166" t="str">
        <f>VLOOKUP(JRU92,[13]AssetDetails_UEM!$A$3:$AH$1849,6,FALSE)</f>
        <v>Electrosurgical Units, Monopolar/Bipolar</v>
      </c>
      <c r="JRW92" s="165" t="s">
        <v>945</v>
      </c>
      <c r="JRX92" s="166" t="str">
        <f>VLOOKUP(JRW92,[13]AssetDetails_UEM!$A$3:$AH$1849,6,FALSE)</f>
        <v>Electrosurgical Units, Monopolar/Bipolar</v>
      </c>
      <c r="JRY92" s="165" t="s">
        <v>945</v>
      </c>
      <c r="JRZ92" s="166" t="str">
        <f>VLOOKUP(JRY92,[13]AssetDetails_UEM!$A$3:$AH$1849,6,FALSE)</f>
        <v>Electrosurgical Units, Monopolar/Bipolar</v>
      </c>
      <c r="JSA92" s="165" t="s">
        <v>945</v>
      </c>
      <c r="JSB92" s="166" t="str">
        <f>VLOOKUP(JSA92,[13]AssetDetails_UEM!$A$3:$AH$1849,6,FALSE)</f>
        <v>Electrosurgical Units, Monopolar/Bipolar</v>
      </c>
      <c r="JSC92" s="165" t="s">
        <v>945</v>
      </c>
      <c r="JSD92" s="166" t="str">
        <f>VLOOKUP(JSC92,[13]AssetDetails_UEM!$A$3:$AH$1849,6,FALSE)</f>
        <v>Electrosurgical Units, Monopolar/Bipolar</v>
      </c>
      <c r="JSE92" s="165" t="s">
        <v>945</v>
      </c>
      <c r="JSF92" s="166" t="str">
        <f>VLOOKUP(JSE92,[13]AssetDetails_UEM!$A$3:$AH$1849,6,FALSE)</f>
        <v>Electrosurgical Units, Monopolar/Bipolar</v>
      </c>
      <c r="JSG92" s="165" t="s">
        <v>945</v>
      </c>
      <c r="JSH92" s="166" t="str">
        <f>VLOOKUP(JSG92,[13]AssetDetails_UEM!$A$3:$AH$1849,6,FALSE)</f>
        <v>Electrosurgical Units, Monopolar/Bipolar</v>
      </c>
      <c r="JSI92" s="165" t="s">
        <v>945</v>
      </c>
      <c r="JSJ92" s="166" t="str">
        <f>VLOOKUP(JSI92,[13]AssetDetails_UEM!$A$3:$AH$1849,6,FALSE)</f>
        <v>Electrosurgical Units, Monopolar/Bipolar</v>
      </c>
      <c r="JSK92" s="165" t="s">
        <v>945</v>
      </c>
      <c r="JSL92" s="166" t="str">
        <f>VLOOKUP(JSK92,[13]AssetDetails_UEM!$A$3:$AH$1849,6,FALSE)</f>
        <v>Electrosurgical Units, Monopolar/Bipolar</v>
      </c>
      <c r="JSM92" s="165" t="s">
        <v>945</v>
      </c>
      <c r="JSN92" s="166" t="str">
        <f>VLOOKUP(JSM92,[13]AssetDetails_UEM!$A$3:$AH$1849,6,FALSE)</f>
        <v>Electrosurgical Units, Monopolar/Bipolar</v>
      </c>
      <c r="JSO92" s="165" t="s">
        <v>945</v>
      </c>
      <c r="JSP92" s="166" t="str">
        <f>VLOOKUP(JSO92,[13]AssetDetails_UEM!$A$3:$AH$1849,6,FALSE)</f>
        <v>Electrosurgical Units, Monopolar/Bipolar</v>
      </c>
      <c r="JSQ92" s="165" t="s">
        <v>945</v>
      </c>
      <c r="JSR92" s="166" t="str">
        <f>VLOOKUP(JSQ92,[13]AssetDetails_UEM!$A$3:$AH$1849,6,FALSE)</f>
        <v>Electrosurgical Units, Monopolar/Bipolar</v>
      </c>
      <c r="JSS92" s="165" t="s">
        <v>945</v>
      </c>
      <c r="JST92" s="166" t="str">
        <f>VLOOKUP(JSS92,[13]AssetDetails_UEM!$A$3:$AH$1849,6,FALSE)</f>
        <v>Electrosurgical Units, Monopolar/Bipolar</v>
      </c>
      <c r="JSU92" s="165" t="s">
        <v>945</v>
      </c>
      <c r="JSV92" s="166" t="str">
        <f>VLOOKUP(JSU92,[13]AssetDetails_UEM!$A$3:$AH$1849,6,FALSE)</f>
        <v>Electrosurgical Units, Monopolar/Bipolar</v>
      </c>
      <c r="JSW92" s="165" t="s">
        <v>945</v>
      </c>
      <c r="JSX92" s="166" t="str">
        <f>VLOOKUP(JSW92,[13]AssetDetails_UEM!$A$3:$AH$1849,6,FALSE)</f>
        <v>Electrosurgical Units, Monopolar/Bipolar</v>
      </c>
      <c r="JSY92" s="165" t="s">
        <v>945</v>
      </c>
      <c r="JSZ92" s="166" t="str">
        <f>VLOOKUP(JSY92,[13]AssetDetails_UEM!$A$3:$AH$1849,6,FALSE)</f>
        <v>Electrosurgical Units, Monopolar/Bipolar</v>
      </c>
      <c r="JTA92" s="165" t="s">
        <v>945</v>
      </c>
      <c r="JTB92" s="166" t="str">
        <f>VLOOKUP(JTA92,[13]AssetDetails_UEM!$A$3:$AH$1849,6,FALSE)</f>
        <v>Electrosurgical Units, Monopolar/Bipolar</v>
      </c>
      <c r="JTC92" s="165" t="s">
        <v>945</v>
      </c>
      <c r="JTD92" s="166" t="str">
        <f>VLOOKUP(JTC92,[13]AssetDetails_UEM!$A$3:$AH$1849,6,FALSE)</f>
        <v>Electrosurgical Units, Monopolar/Bipolar</v>
      </c>
      <c r="JTE92" s="165" t="s">
        <v>945</v>
      </c>
      <c r="JTF92" s="166" t="str">
        <f>VLOOKUP(JTE92,[13]AssetDetails_UEM!$A$3:$AH$1849,6,FALSE)</f>
        <v>Electrosurgical Units, Monopolar/Bipolar</v>
      </c>
      <c r="JTG92" s="165" t="s">
        <v>945</v>
      </c>
      <c r="JTH92" s="166" t="str">
        <f>VLOOKUP(JTG92,[13]AssetDetails_UEM!$A$3:$AH$1849,6,FALSE)</f>
        <v>Electrosurgical Units, Monopolar/Bipolar</v>
      </c>
      <c r="JTI92" s="165" t="s">
        <v>945</v>
      </c>
      <c r="JTJ92" s="166" t="str">
        <f>VLOOKUP(JTI92,[13]AssetDetails_UEM!$A$3:$AH$1849,6,FALSE)</f>
        <v>Electrosurgical Units, Monopolar/Bipolar</v>
      </c>
      <c r="JTK92" s="165" t="s">
        <v>945</v>
      </c>
      <c r="JTL92" s="166" t="str">
        <f>VLOOKUP(JTK92,[13]AssetDetails_UEM!$A$3:$AH$1849,6,FALSE)</f>
        <v>Electrosurgical Units, Monopolar/Bipolar</v>
      </c>
      <c r="JTM92" s="165" t="s">
        <v>945</v>
      </c>
      <c r="JTN92" s="166" t="str">
        <f>VLOOKUP(JTM92,[13]AssetDetails_UEM!$A$3:$AH$1849,6,FALSE)</f>
        <v>Electrosurgical Units, Monopolar/Bipolar</v>
      </c>
      <c r="JTO92" s="165" t="s">
        <v>945</v>
      </c>
      <c r="JTP92" s="166" t="str">
        <f>VLOOKUP(JTO92,[13]AssetDetails_UEM!$A$3:$AH$1849,6,FALSE)</f>
        <v>Electrosurgical Units, Monopolar/Bipolar</v>
      </c>
      <c r="JTQ92" s="165" t="s">
        <v>945</v>
      </c>
      <c r="JTR92" s="166" t="str">
        <f>VLOOKUP(JTQ92,[13]AssetDetails_UEM!$A$3:$AH$1849,6,FALSE)</f>
        <v>Electrosurgical Units, Monopolar/Bipolar</v>
      </c>
      <c r="JTS92" s="165" t="s">
        <v>945</v>
      </c>
      <c r="JTT92" s="166" t="str">
        <f>VLOOKUP(JTS92,[13]AssetDetails_UEM!$A$3:$AH$1849,6,FALSE)</f>
        <v>Electrosurgical Units, Monopolar/Bipolar</v>
      </c>
      <c r="JTU92" s="165" t="s">
        <v>945</v>
      </c>
      <c r="JTV92" s="166" t="str">
        <f>VLOOKUP(JTU92,[13]AssetDetails_UEM!$A$3:$AH$1849,6,FALSE)</f>
        <v>Electrosurgical Units, Monopolar/Bipolar</v>
      </c>
      <c r="JTW92" s="165" t="s">
        <v>945</v>
      </c>
      <c r="JTX92" s="166" t="str">
        <f>VLOOKUP(JTW92,[13]AssetDetails_UEM!$A$3:$AH$1849,6,FALSE)</f>
        <v>Electrosurgical Units, Monopolar/Bipolar</v>
      </c>
      <c r="JTY92" s="165" t="s">
        <v>945</v>
      </c>
      <c r="JTZ92" s="166" t="str">
        <f>VLOOKUP(JTY92,[13]AssetDetails_UEM!$A$3:$AH$1849,6,FALSE)</f>
        <v>Electrosurgical Units, Monopolar/Bipolar</v>
      </c>
      <c r="JUA92" s="165" t="s">
        <v>945</v>
      </c>
      <c r="JUB92" s="166" t="str">
        <f>VLOOKUP(JUA92,[13]AssetDetails_UEM!$A$3:$AH$1849,6,FALSE)</f>
        <v>Electrosurgical Units, Monopolar/Bipolar</v>
      </c>
      <c r="JUC92" s="165" t="s">
        <v>945</v>
      </c>
      <c r="JUD92" s="166" t="str">
        <f>VLOOKUP(JUC92,[13]AssetDetails_UEM!$A$3:$AH$1849,6,FALSE)</f>
        <v>Electrosurgical Units, Monopolar/Bipolar</v>
      </c>
      <c r="JUE92" s="165" t="s">
        <v>945</v>
      </c>
      <c r="JUF92" s="166" t="str">
        <f>VLOOKUP(JUE92,[13]AssetDetails_UEM!$A$3:$AH$1849,6,FALSE)</f>
        <v>Electrosurgical Units, Monopolar/Bipolar</v>
      </c>
      <c r="JUG92" s="165" t="s">
        <v>945</v>
      </c>
      <c r="JUH92" s="166" t="str">
        <f>VLOOKUP(JUG92,[13]AssetDetails_UEM!$A$3:$AH$1849,6,FALSE)</f>
        <v>Electrosurgical Units, Monopolar/Bipolar</v>
      </c>
      <c r="JUI92" s="165" t="s">
        <v>945</v>
      </c>
      <c r="JUJ92" s="166" t="str">
        <f>VLOOKUP(JUI92,[13]AssetDetails_UEM!$A$3:$AH$1849,6,FALSE)</f>
        <v>Electrosurgical Units, Monopolar/Bipolar</v>
      </c>
      <c r="JUK92" s="165" t="s">
        <v>945</v>
      </c>
      <c r="JUL92" s="166" t="str">
        <f>VLOOKUP(JUK92,[13]AssetDetails_UEM!$A$3:$AH$1849,6,FALSE)</f>
        <v>Electrosurgical Units, Monopolar/Bipolar</v>
      </c>
      <c r="JUM92" s="165" t="s">
        <v>945</v>
      </c>
      <c r="JUN92" s="166" t="str">
        <f>VLOOKUP(JUM92,[13]AssetDetails_UEM!$A$3:$AH$1849,6,FALSE)</f>
        <v>Electrosurgical Units, Monopolar/Bipolar</v>
      </c>
      <c r="JUO92" s="165" t="s">
        <v>945</v>
      </c>
      <c r="JUP92" s="166" t="str">
        <f>VLOOKUP(JUO92,[13]AssetDetails_UEM!$A$3:$AH$1849,6,FALSE)</f>
        <v>Electrosurgical Units, Monopolar/Bipolar</v>
      </c>
      <c r="JUQ92" s="165" t="s">
        <v>945</v>
      </c>
      <c r="JUR92" s="166" t="str">
        <f>VLOOKUP(JUQ92,[13]AssetDetails_UEM!$A$3:$AH$1849,6,FALSE)</f>
        <v>Electrosurgical Units, Monopolar/Bipolar</v>
      </c>
      <c r="JUS92" s="165" t="s">
        <v>945</v>
      </c>
      <c r="JUT92" s="166" t="str">
        <f>VLOOKUP(JUS92,[13]AssetDetails_UEM!$A$3:$AH$1849,6,FALSE)</f>
        <v>Electrosurgical Units, Monopolar/Bipolar</v>
      </c>
      <c r="JUU92" s="165" t="s">
        <v>945</v>
      </c>
      <c r="JUV92" s="166" t="str">
        <f>VLOOKUP(JUU92,[13]AssetDetails_UEM!$A$3:$AH$1849,6,FALSE)</f>
        <v>Electrosurgical Units, Monopolar/Bipolar</v>
      </c>
      <c r="JUW92" s="165" t="s">
        <v>945</v>
      </c>
      <c r="JUX92" s="166" t="str">
        <f>VLOOKUP(JUW92,[13]AssetDetails_UEM!$A$3:$AH$1849,6,FALSE)</f>
        <v>Electrosurgical Units, Monopolar/Bipolar</v>
      </c>
      <c r="JUY92" s="165" t="s">
        <v>945</v>
      </c>
      <c r="JUZ92" s="166" t="str">
        <f>VLOOKUP(JUY92,[13]AssetDetails_UEM!$A$3:$AH$1849,6,FALSE)</f>
        <v>Electrosurgical Units, Monopolar/Bipolar</v>
      </c>
      <c r="JVA92" s="165" t="s">
        <v>945</v>
      </c>
      <c r="JVB92" s="166" t="str">
        <f>VLOOKUP(JVA92,[13]AssetDetails_UEM!$A$3:$AH$1849,6,FALSE)</f>
        <v>Electrosurgical Units, Monopolar/Bipolar</v>
      </c>
      <c r="JVC92" s="165" t="s">
        <v>945</v>
      </c>
      <c r="JVD92" s="166" t="str">
        <f>VLOOKUP(JVC92,[13]AssetDetails_UEM!$A$3:$AH$1849,6,FALSE)</f>
        <v>Electrosurgical Units, Monopolar/Bipolar</v>
      </c>
      <c r="JVE92" s="165" t="s">
        <v>945</v>
      </c>
      <c r="JVF92" s="166" t="str">
        <f>VLOOKUP(JVE92,[13]AssetDetails_UEM!$A$3:$AH$1849,6,FALSE)</f>
        <v>Electrosurgical Units, Monopolar/Bipolar</v>
      </c>
      <c r="JVG92" s="165" t="s">
        <v>945</v>
      </c>
      <c r="JVH92" s="166" t="str">
        <f>VLOOKUP(JVG92,[13]AssetDetails_UEM!$A$3:$AH$1849,6,FALSE)</f>
        <v>Electrosurgical Units, Monopolar/Bipolar</v>
      </c>
      <c r="JVI92" s="165" t="s">
        <v>945</v>
      </c>
      <c r="JVJ92" s="166" t="str">
        <f>VLOOKUP(JVI92,[13]AssetDetails_UEM!$A$3:$AH$1849,6,FALSE)</f>
        <v>Electrosurgical Units, Monopolar/Bipolar</v>
      </c>
      <c r="JVK92" s="165" t="s">
        <v>945</v>
      </c>
      <c r="JVL92" s="166" t="str">
        <f>VLOOKUP(JVK92,[13]AssetDetails_UEM!$A$3:$AH$1849,6,FALSE)</f>
        <v>Electrosurgical Units, Monopolar/Bipolar</v>
      </c>
      <c r="JVM92" s="165" t="s">
        <v>945</v>
      </c>
      <c r="JVN92" s="166" t="str">
        <f>VLOOKUP(JVM92,[13]AssetDetails_UEM!$A$3:$AH$1849,6,FALSE)</f>
        <v>Electrosurgical Units, Monopolar/Bipolar</v>
      </c>
      <c r="JVO92" s="165" t="s">
        <v>945</v>
      </c>
      <c r="JVP92" s="166" t="str">
        <f>VLOOKUP(JVO92,[13]AssetDetails_UEM!$A$3:$AH$1849,6,FALSE)</f>
        <v>Electrosurgical Units, Monopolar/Bipolar</v>
      </c>
      <c r="JVQ92" s="165" t="s">
        <v>945</v>
      </c>
      <c r="JVR92" s="166" t="str">
        <f>VLOOKUP(JVQ92,[13]AssetDetails_UEM!$A$3:$AH$1849,6,FALSE)</f>
        <v>Electrosurgical Units, Monopolar/Bipolar</v>
      </c>
      <c r="JVS92" s="165" t="s">
        <v>945</v>
      </c>
      <c r="JVT92" s="166" t="str">
        <f>VLOOKUP(JVS92,[13]AssetDetails_UEM!$A$3:$AH$1849,6,FALSE)</f>
        <v>Electrosurgical Units, Monopolar/Bipolar</v>
      </c>
      <c r="JVU92" s="165" t="s">
        <v>945</v>
      </c>
      <c r="JVV92" s="166" t="str">
        <f>VLOOKUP(JVU92,[13]AssetDetails_UEM!$A$3:$AH$1849,6,FALSE)</f>
        <v>Electrosurgical Units, Monopolar/Bipolar</v>
      </c>
      <c r="JVW92" s="165" t="s">
        <v>945</v>
      </c>
      <c r="JVX92" s="166" t="str">
        <f>VLOOKUP(JVW92,[13]AssetDetails_UEM!$A$3:$AH$1849,6,FALSE)</f>
        <v>Electrosurgical Units, Monopolar/Bipolar</v>
      </c>
      <c r="JVY92" s="165" t="s">
        <v>945</v>
      </c>
      <c r="JVZ92" s="166" t="str">
        <f>VLOOKUP(JVY92,[13]AssetDetails_UEM!$A$3:$AH$1849,6,FALSE)</f>
        <v>Electrosurgical Units, Monopolar/Bipolar</v>
      </c>
      <c r="JWA92" s="165" t="s">
        <v>945</v>
      </c>
      <c r="JWB92" s="166" t="str">
        <f>VLOOKUP(JWA92,[13]AssetDetails_UEM!$A$3:$AH$1849,6,FALSE)</f>
        <v>Electrosurgical Units, Monopolar/Bipolar</v>
      </c>
      <c r="JWC92" s="165" t="s">
        <v>945</v>
      </c>
      <c r="JWD92" s="166" t="str">
        <f>VLOOKUP(JWC92,[13]AssetDetails_UEM!$A$3:$AH$1849,6,FALSE)</f>
        <v>Electrosurgical Units, Monopolar/Bipolar</v>
      </c>
      <c r="JWE92" s="165" t="s">
        <v>945</v>
      </c>
      <c r="JWF92" s="166" t="str">
        <f>VLOOKUP(JWE92,[13]AssetDetails_UEM!$A$3:$AH$1849,6,FALSE)</f>
        <v>Electrosurgical Units, Monopolar/Bipolar</v>
      </c>
      <c r="JWG92" s="165" t="s">
        <v>945</v>
      </c>
      <c r="JWH92" s="166" t="str">
        <f>VLOOKUP(JWG92,[13]AssetDetails_UEM!$A$3:$AH$1849,6,FALSE)</f>
        <v>Electrosurgical Units, Monopolar/Bipolar</v>
      </c>
      <c r="JWI92" s="165" t="s">
        <v>945</v>
      </c>
      <c r="JWJ92" s="166" t="str">
        <f>VLOOKUP(JWI92,[13]AssetDetails_UEM!$A$3:$AH$1849,6,FALSE)</f>
        <v>Electrosurgical Units, Monopolar/Bipolar</v>
      </c>
      <c r="JWK92" s="165" t="s">
        <v>945</v>
      </c>
      <c r="JWL92" s="166" t="str">
        <f>VLOOKUP(JWK92,[13]AssetDetails_UEM!$A$3:$AH$1849,6,FALSE)</f>
        <v>Electrosurgical Units, Monopolar/Bipolar</v>
      </c>
      <c r="JWM92" s="165" t="s">
        <v>945</v>
      </c>
      <c r="JWN92" s="166" t="str">
        <f>VLOOKUP(JWM92,[13]AssetDetails_UEM!$A$3:$AH$1849,6,FALSE)</f>
        <v>Electrosurgical Units, Monopolar/Bipolar</v>
      </c>
      <c r="JWO92" s="165" t="s">
        <v>945</v>
      </c>
      <c r="JWP92" s="166" t="str">
        <f>VLOOKUP(JWO92,[13]AssetDetails_UEM!$A$3:$AH$1849,6,FALSE)</f>
        <v>Electrosurgical Units, Monopolar/Bipolar</v>
      </c>
      <c r="JWQ92" s="165" t="s">
        <v>945</v>
      </c>
      <c r="JWR92" s="166" t="str">
        <f>VLOOKUP(JWQ92,[13]AssetDetails_UEM!$A$3:$AH$1849,6,FALSE)</f>
        <v>Electrosurgical Units, Monopolar/Bipolar</v>
      </c>
      <c r="JWS92" s="165" t="s">
        <v>945</v>
      </c>
      <c r="JWT92" s="166" t="str">
        <f>VLOOKUP(JWS92,[13]AssetDetails_UEM!$A$3:$AH$1849,6,FALSE)</f>
        <v>Electrosurgical Units, Monopolar/Bipolar</v>
      </c>
      <c r="JWU92" s="165" t="s">
        <v>945</v>
      </c>
      <c r="JWV92" s="166" t="str">
        <f>VLOOKUP(JWU92,[13]AssetDetails_UEM!$A$3:$AH$1849,6,FALSE)</f>
        <v>Electrosurgical Units, Monopolar/Bipolar</v>
      </c>
      <c r="JWW92" s="165" t="s">
        <v>945</v>
      </c>
      <c r="JWX92" s="166" t="str">
        <f>VLOOKUP(JWW92,[13]AssetDetails_UEM!$A$3:$AH$1849,6,FALSE)</f>
        <v>Electrosurgical Units, Monopolar/Bipolar</v>
      </c>
      <c r="JWY92" s="165" t="s">
        <v>945</v>
      </c>
      <c r="JWZ92" s="166" t="str">
        <f>VLOOKUP(JWY92,[13]AssetDetails_UEM!$A$3:$AH$1849,6,FALSE)</f>
        <v>Electrosurgical Units, Monopolar/Bipolar</v>
      </c>
      <c r="JXA92" s="165" t="s">
        <v>945</v>
      </c>
      <c r="JXB92" s="166" t="str">
        <f>VLOOKUP(JXA92,[13]AssetDetails_UEM!$A$3:$AH$1849,6,FALSE)</f>
        <v>Electrosurgical Units, Monopolar/Bipolar</v>
      </c>
      <c r="JXC92" s="165" t="s">
        <v>945</v>
      </c>
      <c r="JXD92" s="166" t="str">
        <f>VLOOKUP(JXC92,[13]AssetDetails_UEM!$A$3:$AH$1849,6,FALSE)</f>
        <v>Electrosurgical Units, Monopolar/Bipolar</v>
      </c>
      <c r="JXE92" s="165" t="s">
        <v>945</v>
      </c>
      <c r="JXF92" s="166" t="str">
        <f>VLOOKUP(JXE92,[13]AssetDetails_UEM!$A$3:$AH$1849,6,FALSE)</f>
        <v>Electrosurgical Units, Monopolar/Bipolar</v>
      </c>
      <c r="JXG92" s="165" t="s">
        <v>945</v>
      </c>
      <c r="JXH92" s="166" t="str">
        <f>VLOOKUP(JXG92,[13]AssetDetails_UEM!$A$3:$AH$1849,6,FALSE)</f>
        <v>Electrosurgical Units, Monopolar/Bipolar</v>
      </c>
      <c r="JXI92" s="165" t="s">
        <v>945</v>
      </c>
      <c r="JXJ92" s="166" t="str">
        <f>VLOOKUP(JXI92,[13]AssetDetails_UEM!$A$3:$AH$1849,6,FALSE)</f>
        <v>Electrosurgical Units, Monopolar/Bipolar</v>
      </c>
      <c r="JXK92" s="165" t="s">
        <v>945</v>
      </c>
      <c r="JXL92" s="166" t="str">
        <f>VLOOKUP(JXK92,[13]AssetDetails_UEM!$A$3:$AH$1849,6,FALSE)</f>
        <v>Electrosurgical Units, Monopolar/Bipolar</v>
      </c>
      <c r="JXM92" s="165" t="s">
        <v>945</v>
      </c>
      <c r="JXN92" s="166" t="str">
        <f>VLOOKUP(JXM92,[13]AssetDetails_UEM!$A$3:$AH$1849,6,FALSE)</f>
        <v>Electrosurgical Units, Monopolar/Bipolar</v>
      </c>
      <c r="JXO92" s="165" t="s">
        <v>945</v>
      </c>
      <c r="JXP92" s="166" t="str">
        <f>VLOOKUP(JXO92,[13]AssetDetails_UEM!$A$3:$AH$1849,6,FALSE)</f>
        <v>Electrosurgical Units, Monopolar/Bipolar</v>
      </c>
      <c r="JXQ92" s="165" t="s">
        <v>945</v>
      </c>
      <c r="JXR92" s="166" t="str">
        <f>VLOOKUP(JXQ92,[13]AssetDetails_UEM!$A$3:$AH$1849,6,FALSE)</f>
        <v>Electrosurgical Units, Monopolar/Bipolar</v>
      </c>
      <c r="JXS92" s="165" t="s">
        <v>945</v>
      </c>
      <c r="JXT92" s="166" t="str">
        <f>VLOOKUP(JXS92,[13]AssetDetails_UEM!$A$3:$AH$1849,6,FALSE)</f>
        <v>Electrosurgical Units, Monopolar/Bipolar</v>
      </c>
      <c r="JXU92" s="165" t="s">
        <v>945</v>
      </c>
      <c r="JXV92" s="166" t="str">
        <f>VLOOKUP(JXU92,[13]AssetDetails_UEM!$A$3:$AH$1849,6,FALSE)</f>
        <v>Electrosurgical Units, Monopolar/Bipolar</v>
      </c>
      <c r="JXW92" s="165" t="s">
        <v>945</v>
      </c>
      <c r="JXX92" s="166" t="str">
        <f>VLOOKUP(JXW92,[13]AssetDetails_UEM!$A$3:$AH$1849,6,FALSE)</f>
        <v>Electrosurgical Units, Monopolar/Bipolar</v>
      </c>
      <c r="JXY92" s="165" t="s">
        <v>945</v>
      </c>
      <c r="JXZ92" s="166" t="str">
        <f>VLOOKUP(JXY92,[13]AssetDetails_UEM!$A$3:$AH$1849,6,FALSE)</f>
        <v>Electrosurgical Units, Monopolar/Bipolar</v>
      </c>
      <c r="JYA92" s="165" t="s">
        <v>945</v>
      </c>
      <c r="JYB92" s="166" t="str">
        <f>VLOOKUP(JYA92,[13]AssetDetails_UEM!$A$3:$AH$1849,6,FALSE)</f>
        <v>Electrosurgical Units, Monopolar/Bipolar</v>
      </c>
      <c r="JYC92" s="165" t="s">
        <v>945</v>
      </c>
      <c r="JYD92" s="166" t="str">
        <f>VLOOKUP(JYC92,[13]AssetDetails_UEM!$A$3:$AH$1849,6,FALSE)</f>
        <v>Electrosurgical Units, Monopolar/Bipolar</v>
      </c>
      <c r="JYE92" s="165" t="s">
        <v>945</v>
      </c>
      <c r="JYF92" s="166" t="str">
        <f>VLOOKUP(JYE92,[13]AssetDetails_UEM!$A$3:$AH$1849,6,FALSE)</f>
        <v>Electrosurgical Units, Monopolar/Bipolar</v>
      </c>
      <c r="JYG92" s="165" t="s">
        <v>945</v>
      </c>
      <c r="JYH92" s="166" t="str">
        <f>VLOOKUP(JYG92,[13]AssetDetails_UEM!$A$3:$AH$1849,6,FALSE)</f>
        <v>Electrosurgical Units, Monopolar/Bipolar</v>
      </c>
      <c r="JYI92" s="165" t="s">
        <v>945</v>
      </c>
      <c r="JYJ92" s="166" t="str">
        <f>VLOOKUP(JYI92,[13]AssetDetails_UEM!$A$3:$AH$1849,6,FALSE)</f>
        <v>Electrosurgical Units, Monopolar/Bipolar</v>
      </c>
      <c r="JYK92" s="165" t="s">
        <v>945</v>
      </c>
      <c r="JYL92" s="166" t="str">
        <f>VLOOKUP(JYK92,[13]AssetDetails_UEM!$A$3:$AH$1849,6,FALSE)</f>
        <v>Electrosurgical Units, Monopolar/Bipolar</v>
      </c>
      <c r="JYM92" s="165" t="s">
        <v>945</v>
      </c>
      <c r="JYN92" s="166" t="str">
        <f>VLOOKUP(JYM92,[13]AssetDetails_UEM!$A$3:$AH$1849,6,FALSE)</f>
        <v>Electrosurgical Units, Monopolar/Bipolar</v>
      </c>
      <c r="JYO92" s="165" t="s">
        <v>945</v>
      </c>
      <c r="JYP92" s="166" t="str">
        <f>VLOOKUP(JYO92,[13]AssetDetails_UEM!$A$3:$AH$1849,6,FALSE)</f>
        <v>Electrosurgical Units, Monopolar/Bipolar</v>
      </c>
      <c r="JYQ92" s="165" t="s">
        <v>945</v>
      </c>
      <c r="JYR92" s="166" t="str">
        <f>VLOOKUP(JYQ92,[13]AssetDetails_UEM!$A$3:$AH$1849,6,FALSE)</f>
        <v>Electrosurgical Units, Monopolar/Bipolar</v>
      </c>
      <c r="JYS92" s="165" t="s">
        <v>945</v>
      </c>
      <c r="JYT92" s="166" t="str">
        <f>VLOOKUP(JYS92,[13]AssetDetails_UEM!$A$3:$AH$1849,6,FALSE)</f>
        <v>Electrosurgical Units, Monopolar/Bipolar</v>
      </c>
      <c r="JYU92" s="165" t="s">
        <v>945</v>
      </c>
      <c r="JYV92" s="166" t="str">
        <f>VLOOKUP(JYU92,[13]AssetDetails_UEM!$A$3:$AH$1849,6,FALSE)</f>
        <v>Electrosurgical Units, Monopolar/Bipolar</v>
      </c>
      <c r="JYW92" s="165" t="s">
        <v>945</v>
      </c>
      <c r="JYX92" s="166" t="str">
        <f>VLOOKUP(JYW92,[13]AssetDetails_UEM!$A$3:$AH$1849,6,FALSE)</f>
        <v>Electrosurgical Units, Monopolar/Bipolar</v>
      </c>
      <c r="JYY92" s="165" t="s">
        <v>945</v>
      </c>
      <c r="JYZ92" s="166" t="str">
        <f>VLOOKUP(JYY92,[13]AssetDetails_UEM!$A$3:$AH$1849,6,FALSE)</f>
        <v>Electrosurgical Units, Monopolar/Bipolar</v>
      </c>
      <c r="JZA92" s="165" t="s">
        <v>945</v>
      </c>
      <c r="JZB92" s="166" t="str">
        <f>VLOOKUP(JZA92,[13]AssetDetails_UEM!$A$3:$AH$1849,6,FALSE)</f>
        <v>Electrosurgical Units, Monopolar/Bipolar</v>
      </c>
      <c r="JZC92" s="165" t="s">
        <v>945</v>
      </c>
      <c r="JZD92" s="166" t="str">
        <f>VLOOKUP(JZC92,[13]AssetDetails_UEM!$A$3:$AH$1849,6,FALSE)</f>
        <v>Electrosurgical Units, Monopolar/Bipolar</v>
      </c>
      <c r="JZE92" s="165" t="s">
        <v>945</v>
      </c>
      <c r="JZF92" s="166" t="str">
        <f>VLOOKUP(JZE92,[13]AssetDetails_UEM!$A$3:$AH$1849,6,FALSE)</f>
        <v>Electrosurgical Units, Monopolar/Bipolar</v>
      </c>
      <c r="JZG92" s="165" t="s">
        <v>945</v>
      </c>
      <c r="JZH92" s="166" t="str">
        <f>VLOOKUP(JZG92,[13]AssetDetails_UEM!$A$3:$AH$1849,6,FALSE)</f>
        <v>Electrosurgical Units, Monopolar/Bipolar</v>
      </c>
      <c r="JZI92" s="165" t="s">
        <v>945</v>
      </c>
      <c r="JZJ92" s="166" t="str">
        <f>VLOOKUP(JZI92,[13]AssetDetails_UEM!$A$3:$AH$1849,6,FALSE)</f>
        <v>Electrosurgical Units, Monopolar/Bipolar</v>
      </c>
      <c r="JZK92" s="165" t="s">
        <v>945</v>
      </c>
      <c r="JZL92" s="166" t="str">
        <f>VLOOKUP(JZK92,[13]AssetDetails_UEM!$A$3:$AH$1849,6,FALSE)</f>
        <v>Electrosurgical Units, Monopolar/Bipolar</v>
      </c>
      <c r="JZM92" s="165" t="s">
        <v>945</v>
      </c>
      <c r="JZN92" s="166" t="str">
        <f>VLOOKUP(JZM92,[13]AssetDetails_UEM!$A$3:$AH$1849,6,FALSE)</f>
        <v>Electrosurgical Units, Monopolar/Bipolar</v>
      </c>
      <c r="JZO92" s="165" t="s">
        <v>945</v>
      </c>
      <c r="JZP92" s="166" t="str">
        <f>VLOOKUP(JZO92,[13]AssetDetails_UEM!$A$3:$AH$1849,6,FALSE)</f>
        <v>Electrosurgical Units, Monopolar/Bipolar</v>
      </c>
      <c r="JZQ92" s="165" t="s">
        <v>945</v>
      </c>
      <c r="JZR92" s="166" t="str">
        <f>VLOOKUP(JZQ92,[13]AssetDetails_UEM!$A$3:$AH$1849,6,FALSE)</f>
        <v>Electrosurgical Units, Monopolar/Bipolar</v>
      </c>
      <c r="JZS92" s="165" t="s">
        <v>945</v>
      </c>
      <c r="JZT92" s="166" t="str">
        <f>VLOOKUP(JZS92,[13]AssetDetails_UEM!$A$3:$AH$1849,6,FALSE)</f>
        <v>Electrosurgical Units, Monopolar/Bipolar</v>
      </c>
      <c r="JZU92" s="165" t="s">
        <v>945</v>
      </c>
      <c r="JZV92" s="166" t="str">
        <f>VLOOKUP(JZU92,[13]AssetDetails_UEM!$A$3:$AH$1849,6,FALSE)</f>
        <v>Electrosurgical Units, Monopolar/Bipolar</v>
      </c>
      <c r="JZW92" s="165" t="s">
        <v>945</v>
      </c>
      <c r="JZX92" s="166" t="str">
        <f>VLOOKUP(JZW92,[13]AssetDetails_UEM!$A$3:$AH$1849,6,FALSE)</f>
        <v>Electrosurgical Units, Monopolar/Bipolar</v>
      </c>
      <c r="JZY92" s="165" t="s">
        <v>945</v>
      </c>
      <c r="JZZ92" s="166" t="str">
        <f>VLOOKUP(JZY92,[13]AssetDetails_UEM!$A$3:$AH$1849,6,FALSE)</f>
        <v>Electrosurgical Units, Monopolar/Bipolar</v>
      </c>
      <c r="KAA92" s="165" t="s">
        <v>945</v>
      </c>
      <c r="KAB92" s="166" t="str">
        <f>VLOOKUP(KAA92,[13]AssetDetails_UEM!$A$3:$AH$1849,6,FALSE)</f>
        <v>Electrosurgical Units, Monopolar/Bipolar</v>
      </c>
      <c r="KAC92" s="165" t="s">
        <v>945</v>
      </c>
      <c r="KAD92" s="166" t="str">
        <f>VLOOKUP(KAC92,[13]AssetDetails_UEM!$A$3:$AH$1849,6,FALSE)</f>
        <v>Electrosurgical Units, Monopolar/Bipolar</v>
      </c>
      <c r="KAE92" s="165" t="s">
        <v>945</v>
      </c>
      <c r="KAF92" s="166" t="str">
        <f>VLOOKUP(KAE92,[13]AssetDetails_UEM!$A$3:$AH$1849,6,FALSE)</f>
        <v>Electrosurgical Units, Monopolar/Bipolar</v>
      </c>
      <c r="KAG92" s="165" t="s">
        <v>945</v>
      </c>
      <c r="KAH92" s="166" t="str">
        <f>VLOOKUP(KAG92,[13]AssetDetails_UEM!$A$3:$AH$1849,6,FALSE)</f>
        <v>Electrosurgical Units, Monopolar/Bipolar</v>
      </c>
      <c r="KAI92" s="165" t="s">
        <v>945</v>
      </c>
      <c r="KAJ92" s="166" t="str">
        <f>VLOOKUP(KAI92,[13]AssetDetails_UEM!$A$3:$AH$1849,6,FALSE)</f>
        <v>Electrosurgical Units, Monopolar/Bipolar</v>
      </c>
      <c r="KAK92" s="165" t="s">
        <v>945</v>
      </c>
      <c r="KAL92" s="166" t="str">
        <f>VLOOKUP(KAK92,[13]AssetDetails_UEM!$A$3:$AH$1849,6,FALSE)</f>
        <v>Electrosurgical Units, Monopolar/Bipolar</v>
      </c>
      <c r="KAM92" s="165" t="s">
        <v>945</v>
      </c>
      <c r="KAN92" s="166" t="str">
        <f>VLOOKUP(KAM92,[13]AssetDetails_UEM!$A$3:$AH$1849,6,FALSE)</f>
        <v>Electrosurgical Units, Monopolar/Bipolar</v>
      </c>
      <c r="KAO92" s="165" t="s">
        <v>945</v>
      </c>
      <c r="KAP92" s="166" t="str">
        <f>VLOOKUP(KAO92,[13]AssetDetails_UEM!$A$3:$AH$1849,6,FALSE)</f>
        <v>Electrosurgical Units, Monopolar/Bipolar</v>
      </c>
      <c r="KAQ92" s="165" t="s">
        <v>945</v>
      </c>
      <c r="KAR92" s="166" t="str">
        <f>VLOOKUP(KAQ92,[13]AssetDetails_UEM!$A$3:$AH$1849,6,FALSE)</f>
        <v>Electrosurgical Units, Monopolar/Bipolar</v>
      </c>
      <c r="KAS92" s="165" t="s">
        <v>945</v>
      </c>
      <c r="KAT92" s="166" t="str">
        <f>VLOOKUP(KAS92,[13]AssetDetails_UEM!$A$3:$AH$1849,6,FALSE)</f>
        <v>Electrosurgical Units, Monopolar/Bipolar</v>
      </c>
      <c r="KAU92" s="165" t="s">
        <v>945</v>
      </c>
      <c r="KAV92" s="166" t="str">
        <f>VLOOKUP(KAU92,[13]AssetDetails_UEM!$A$3:$AH$1849,6,FALSE)</f>
        <v>Electrosurgical Units, Monopolar/Bipolar</v>
      </c>
      <c r="KAW92" s="165" t="s">
        <v>945</v>
      </c>
      <c r="KAX92" s="166" t="str">
        <f>VLOOKUP(KAW92,[13]AssetDetails_UEM!$A$3:$AH$1849,6,FALSE)</f>
        <v>Electrosurgical Units, Monopolar/Bipolar</v>
      </c>
      <c r="KAY92" s="165" t="s">
        <v>945</v>
      </c>
      <c r="KAZ92" s="166" t="str">
        <f>VLOOKUP(KAY92,[13]AssetDetails_UEM!$A$3:$AH$1849,6,FALSE)</f>
        <v>Electrosurgical Units, Monopolar/Bipolar</v>
      </c>
      <c r="KBA92" s="165" t="s">
        <v>945</v>
      </c>
      <c r="KBB92" s="166" t="str">
        <f>VLOOKUP(KBA92,[13]AssetDetails_UEM!$A$3:$AH$1849,6,FALSE)</f>
        <v>Electrosurgical Units, Monopolar/Bipolar</v>
      </c>
      <c r="KBC92" s="165" t="s">
        <v>945</v>
      </c>
      <c r="KBD92" s="166" t="str">
        <f>VLOOKUP(KBC92,[13]AssetDetails_UEM!$A$3:$AH$1849,6,FALSE)</f>
        <v>Electrosurgical Units, Monopolar/Bipolar</v>
      </c>
      <c r="KBE92" s="165" t="s">
        <v>945</v>
      </c>
      <c r="KBF92" s="166" t="str">
        <f>VLOOKUP(KBE92,[13]AssetDetails_UEM!$A$3:$AH$1849,6,FALSE)</f>
        <v>Electrosurgical Units, Monopolar/Bipolar</v>
      </c>
      <c r="KBG92" s="165" t="s">
        <v>945</v>
      </c>
      <c r="KBH92" s="166" t="str">
        <f>VLOOKUP(KBG92,[13]AssetDetails_UEM!$A$3:$AH$1849,6,FALSE)</f>
        <v>Electrosurgical Units, Monopolar/Bipolar</v>
      </c>
      <c r="KBI92" s="165" t="s">
        <v>945</v>
      </c>
      <c r="KBJ92" s="166" t="str">
        <f>VLOOKUP(KBI92,[13]AssetDetails_UEM!$A$3:$AH$1849,6,FALSE)</f>
        <v>Electrosurgical Units, Monopolar/Bipolar</v>
      </c>
      <c r="KBK92" s="165" t="s">
        <v>945</v>
      </c>
      <c r="KBL92" s="166" t="str">
        <f>VLOOKUP(KBK92,[13]AssetDetails_UEM!$A$3:$AH$1849,6,FALSE)</f>
        <v>Electrosurgical Units, Monopolar/Bipolar</v>
      </c>
      <c r="KBM92" s="165" t="s">
        <v>945</v>
      </c>
      <c r="KBN92" s="166" t="str">
        <f>VLOOKUP(KBM92,[13]AssetDetails_UEM!$A$3:$AH$1849,6,FALSE)</f>
        <v>Electrosurgical Units, Monopolar/Bipolar</v>
      </c>
      <c r="KBO92" s="165" t="s">
        <v>945</v>
      </c>
      <c r="KBP92" s="166" t="str">
        <f>VLOOKUP(KBO92,[13]AssetDetails_UEM!$A$3:$AH$1849,6,FALSE)</f>
        <v>Electrosurgical Units, Monopolar/Bipolar</v>
      </c>
      <c r="KBQ92" s="165" t="s">
        <v>945</v>
      </c>
      <c r="KBR92" s="166" t="str">
        <f>VLOOKUP(KBQ92,[13]AssetDetails_UEM!$A$3:$AH$1849,6,FALSE)</f>
        <v>Electrosurgical Units, Monopolar/Bipolar</v>
      </c>
      <c r="KBS92" s="165" t="s">
        <v>945</v>
      </c>
      <c r="KBT92" s="166" t="str">
        <f>VLOOKUP(KBS92,[13]AssetDetails_UEM!$A$3:$AH$1849,6,FALSE)</f>
        <v>Electrosurgical Units, Monopolar/Bipolar</v>
      </c>
      <c r="KBU92" s="165" t="s">
        <v>945</v>
      </c>
      <c r="KBV92" s="166" t="str">
        <f>VLOOKUP(KBU92,[13]AssetDetails_UEM!$A$3:$AH$1849,6,FALSE)</f>
        <v>Electrosurgical Units, Monopolar/Bipolar</v>
      </c>
      <c r="KBW92" s="165" t="s">
        <v>945</v>
      </c>
      <c r="KBX92" s="166" t="str">
        <f>VLOOKUP(KBW92,[13]AssetDetails_UEM!$A$3:$AH$1849,6,FALSE)</f>
        <v>Electrosurgical Units, Monopolar/Bipolar</v>
      </c>
      <c r="KBY92" s="165" t="s">
        <v>945</v>
      </c>
      <c r="KBZ92" s="166" t="str">
        <f>VLOOKUP(KBY92,[13]AssetDetails_UEM!$A$3:$AH$1849,6,FALSE)</f>
        <v>Electrosurgical Units, Monopolar/Bipolar</v>
      </c>
      <c r="KCA92" s="165" t="s">
        <v>945</v>
      </c>
      <c r="KCB92" s="166" t="str">
        <f>VLOOKUP(KCA92,[13]AssetDetails_UEM!$A$3:$AH$1849,6,FALSE)</f>
        <v>Electrosurgical Units, Monopolar/Bipolar</v>
      </c>
      <c r="KCC92" s="165" t="s">
        <v>945</v>
      </c>
      <c r="KCD92" s="166" t="str">
        <f>VLOOKUP(KCC92,[13]AssetDetails_UEM!$A$3:$AH$1849,6,FALSE)</f>
        <v>Electrosurgical Units, Monopolar/Bipolar</v>
      </c>
      <c r="KCE92" s="165" t="s">
        <v>945</v>
      </c>
      <c r="KCF92" s="166" t="str">
        <f>VLOOKUP(KCE92,[13]AssetDetails_UEM!$A$3:$AH$1849,6,FALSE)</f>
        <v>Electrosurgical Units, Monopolar/Bipolar</v>
      </c>
      <c r="KCG92" s="165" t="s">
        <v>945</v>
      </c>
      <c r="KCH92" s="166" t="str">
        <f>VLOOKUP(KCG92,[13]AssetDetails_UEM!$A$3:$AH$1849,6,FALSE)</f>
        <v>Electrosurgical Units, Monopolar/Bipolar</v>
      </c>
      <c r="KCI92" s="165" t="s">
        <v>945</v>
      </c>
      <c r="KCJ92" s="166" t="str">
        <f>VLOOKUP(KCI92,[13]AssetDetails_UEM!$A$3:$AH$1849,6,FALSE)</f>
        <v>Electrosurgical Units, Monopolar/Bipolar</v>
      </c>
      <c r="KCK92" s="165" t="s">
        <v>945</v>
      </c>
      <c r="KCL92" s="166" t="str">
        <f>VLOOKUP(KCK92,[13]AssetDetails_UEM!$A$3:$AH$1849,6,FALSE)</f>
        <v>Electrosurgical Units, Monopolar/Bipolar</v>
      </c>
      <c r="KCM92" s="165" t="s">
        <v>945</v>
      </c>
      <c r="KCN92" s="166" t="str">
        <f>VLOOKUP(KCM92,[13]AssetDetails_UEM!$A$3:$AH$1849,6,FALSE)</f>
        <v>Electrosurgical Units, Monopolar/Bipolar</v>
      </c>
      <c r="KCO92" s="165" t="s">
        <v>945</v>
      </c>
      <c r="KCP92" s="166" t="str">
        <f>VLOOKUP(KCO92,[13]AssetDetails_UEM!$A$3:$AH$1849,6,FALSE)</f>
        <v>Electrosurgical Units, Monopolar/Bipolar</v>
      </c>
      <c r="KCQ92" s="165" t="s">
        <v>945</v>
      </c>
      <c r="KCR92" s="166" t="str">
        <f>VLOOKUP(KCQ92,[13]AssetDetails_UEM!$A$3:$AH$1849,6,FALSE)</f>
        <v>Electrosurgical Units, Monopolar/Bipolar</v>
      </c>
      <c r="KCS92" s="165" t="s">
        <v>945</v>
      </c>
      <c r="KCT92" s="166" t="str">
        <f>VLOOKUP(KCS92,[13]AssetDetails_UEM!$A$3:$AH$1849,6,FALSE)</f>
        <v>Electrosurgical Units, Monopolar/Bipolar</v>
      </c>
      <c r="KCU92" s="165" t="s">
        <v>945</v>
      </c>
      <c r="KCV92" s="166" t="str">
        <f>VLOOKUP(KCU92,[13]AssetDetails_UEM!$A$3:$AH$1849,6,FALSE)</f>
        <v>Electrosurgical Units, Monopolar/Bipolar</v>
      </c>
      <c r="KCW92" s="165" t="s">
        <v>945</v>
      </c>
      <c r="KCX92" s="166" t="str">
        <f>VLOOKUP(KCW92,[13]AssetDetails_UEM!$A$3:$AH$1849,6,FALSE)</f>
        <v>Electrosurgical Units, Monopolar/Bipolar</v>
      </c>
      <c r="KCY92" s="165" t="s">
        <v>945</v>
      </c>
      <c r="KCZ92" s="166" t="str">
        <f>VLOOKUP(KCY92,[13]AssetDetails_UEM!$A$3:$AH$1849,6,FALSE)</f>
        <v>Electrosurgical Units, Monopolar/Bipolar</v>
      </c>
      <c r="KDA92" s="165" t="s">
        <v>945</v>
      </c>
      <c r="KDB92" s="166" t="str">
        <f>VLOOKUP(KDA92,[13]AssetDetails_UEM!$A$3:$AH$1849,6,FALSE)</f>
        <v>Electrosurgical Units, Monopolar/Bipolar</v>
      </c>
      <c r="KDC92" s="165" t="s">
        <v>945</v>
      </c>
      <c r="KDD92" s="166" t="str">
        <f>VLOOKUP(KDC92,[13]AssetDetails_UEM!$A$3:$AH$1849,6,FALSE)</f>
        <v>Electrosurgical Units, Monopolar/Bipolar</v>
      </c>
      <c r="KDE92" s="165" t="s">
        <v>945</v>
      </c>
      <c r="KDF92" s="166" t="str">
        <f>VLOOKUP(KDE92,[13]AssetDetails_UEM!$A$3:$AH$1849,6,FALSE)</f>
        <v>Electrosurgical Units, Monopolar/Bipolar</v>
      </c>
      <c r="KDG92" s="165" t="s">
        <v>945</v>
      </c>
      <c r="KDH92" s="166" t="str">
        <f>VLOOKUP(KDG92,[13]AssetDetails_UEM!$A$3:$AH$1849,6,FALSE)</f>
        <v>Electrosurgical Units, Monopolar/Bipolar</v>
      </c>
      <c r="KDI92" s="165" t="s">
        <v>945</v>
      </c>
      <c r="KDJ92" s="166" t="str">
        <f>VLOOKUP(KDI92,[13]AssetDetails_UEM!$A$3:$AH$1849,6,FALSE)</f>
        <v>Electrosurgical Units, Monopolar/Bipolar</v>
      </c>
      <c r="KDK92" s="165" t="s">
        <v>945</v>
      </c>
      <c r="KDL92" s="166" t="str">
        <f>VLOOKUP(KDK92,[13]AssetDetails_UEM!$A$3:$AH$1849,6,FALSE)</f>
        <v>Electrosurgical Units, Monopolar/Bipolar</v>
      </c>
      <c r="KDM92" s="165" t="s">
        <v>945</v>
      </c>
      <c r="KDN92" s="166" t="str">
        <f>VLOOKUP(KDM92,[13]AssetDetails_UEM!$A$3:$AH$1849,6,FALSE)</f>
        <v>Electrosurgical Units, Monopolar/Bipolar</v>
      </c>
      <c r="KDO92" s="165" t="s">
        <v>945</v>
      </c>
      <c r="KDP92" s="166" t="str">
        <f>VLOOKUP(KDO92,[13]AssetDetails_UEM!$A$3:$AH$1849,6,FALSE)</f>
        <v>Electrosurgical Units, Monopolar/Bipolar</v>
      </c>
      <c r="KDQ92" s="165" t="s">
        <v>945</v>
      </c>
      <c r="KDR92" s="166" t="str">
        <f>VLOOKUP(KDQ92,[13]AssetDetails_UEM!$A$3:$AH$1849,6,FALSE)</f>
        <v>Electrosurgical Units, Monopolar/Bipolar</v>
      </c>
      <c r="KDS92" s="165" t="s">
        <v>945</v>
      </c>
      <c r="KDT92" s="166" t="str">
        <f>VLOOKUP(KDS92,[13]AssetDetails_UEM!$A$3:$AH$1849,6,FALSE)</f>
        <v>Electrosurgical Units, Monopolar/Bipolar</v>
      </c>
      <c r="KDU92" s="165" t="s">
        <v>945</v>
      </c>
      <c r="KDV92" s="166" t="str">
        <f>VLOOKUP(KDU92,[13]AssetDetails_UEM!$A$3:$AH$1849,6,FALSE)</f>
        <v>Electrosurgical Units, Monopolar/Bipolar</v>
      </c>
      <c r="KDW92" s="165" t="s">
        <v>945</v>
      </c>
      <c r="KDX92" s="166" t="str">
        <f>VLOOKUP(KDW92,[13]AssetDetails_UEM!$A$3:$AH$1849,6,FALSE)</f>
        <v>Electrosurgical Units, Monopolar/Bipolar</v>
      </c>
      <c r="KDY92" s="165" t="s">
        <v>945</v>
      </c>
      <c r="KDZ92" s="166" t="str">
        <f>VLOOKUP(KDY92,[13]AssetDetails_UEM!$A$3:$AH$1849,6,FALSE)</f>
        <v>Electrosurgical Units, Monopolar/Bipolar</v>
      </c>
      <c r="KEA92" s="165" t="s">
        <v>945</v>
      </c>
      <c r="KEB92" s="166" t="str">
        <f>VLOOKUP(KEA92,[13]AssetDetails_UEM!$A$3:$AH$1849,6,FALSE)</f>
        <v>Electrosurgical Units, Monopolar/Bipolar</v>
      </c>
      <c r="KEC92" s="165" t="s">
        <v>945</v>
      </c>
      <c r="KED92" s="166" t="str">
        <f>VLOOKUP(KEC92,[13]AssetDetails_UEM!$A$3:$AH$1849,6,FALSE)</f>
        <v>Electrosurgical Units, Monopolar/Bipolar</v>
      </c>
      <c r="KEE92" s="165" t="s">
        <v>945</v>
      </c>
      <c r="KEF92" s="166" t="str">
        <f>VLOOKUP(KEE92,[13]AssetDetails_UEM!$A$3:$AH$1849,6,FALSE)</f>
        <v>Electrosurgical Units, Monopolar/Bipolar</v>
      </c>
      <c r="KEG92" s="165" t="s">
        <v>945</v>
      </c>
      <c r="KEH92" s="166" t="str">
        <f>VLOOKUP(KEG92,[13]AssetDetails_UEM!$A$3:$AH$1849,6,FALSE)</f>
        <v>Electrosurgical Units, Monopolar/Bipolar</v>
      </c>
      <c r="KEI92" s="165" t="s">
        <v>945</v>
      </c>
      <c r="KEJ92" s="166" t="str">
        <f>VLOOKUP(KEI92,[13]AssetDetails_UEM!$A$3:$AH$1849,6,FALSE)</f>
        <v>Electrosurgical Units, Monopolar/Bipolar</v>
      </c>
      <c r="KEK92" s="165" t="s">
        <v>945</v>
      </c>
      <c r="KEL92" s="166" t="str">
        <f>VLOOKUP(KEK92,[13]AssetDetails_UEM!$A$3:$AH$1849,6,FALSE)</f>
        <v>Electrosurgical Units, Monopolar/Bipolar</v>
      </c>
      <c r="KEM92" s="165" t="s">
        <v>945</v>
      </c>
      <c r="KEN92" s="166" t="str">
        <f>VLOOKUP(KEM92,[13]AssetDetails_UEM!$A$3:$AH$1849,6,FALSE)</f>
        <v>Electrosurgical Units, Monopolar/Bipolar</v>
      </c>
      <c r="KEO92" s="165" t="s">
        <v>945</v>
      </c>
      <c r="KEP92" s="166" t="str">
        <f>VLOOKUP(KEO92,[13]AssetDetails_UEM!$A$3:$AH$1849,6,FALSE)</f>
        <v>Electrosurgical Units, Monopolar/Bipolar</v>
      </c>
      <c r="KEQ92" s="165" t="s">
        <v>945</v>
      </c>
      <c r="KER92" s="166" t="str">
        <f>VLOOKUP(KEQ92,[13]AssetDetails_UEM!$A$3:$AH$1849,6,FALSE)</f>
        <v>Electrosurgical Units, Monopolar/Bipolar</v>
      </c>
      <c r="KES92" s="165" t="s">
        <v>945</v>
      </c>
      <c r="KET92" s="166" t="str">
        <f>VLOOKUP(KES92,[13]AssetDetails_UEM!$A$3:$AH$1849,6,FALSE)</f>
        <v>Electrosurgical Units, Monopolar/Bipolar</v>
      </c>
      <c r="KEU92" s="165" t="s">
        <v>945</v>
      </c>
      <c r="KEV92" s="166" t="str">
        <f>VLOOKUP(KEU92,[13]AssetDetails_UEM!$A$3:$AH$1849,6,FALSE)</f>
        <v>Electrosurgical Units, Monopolar/Bipolar</v>
      </c>
      <c r="KEW92" s="165" t="s">
        <v>945</v>
      </c>
      <c r="KEX92" s="166" t="str">
        <f>VLOOKUP(KEW92,[13]AssetDetails_UEM!$A$3:$AH$1849,6,FALSE)</f>
        <v>Electrosurgical Units, Monopolar/Bipolar</v>
      </c>
      <c r="KEY92" s="165" t="s">
        <v>945</v>
      </c>
      <c r="KEZ92" s="166" t="str">
        <f>VLOOKUP(KEY92,[13]AssetDetails_UEM!$A$3:$AH$1849,6,FALSE)</f>
        <v>Electrosurgical Units, Monopolar/Bipolar</v>
      </c>
      <c r="KFA92" s="165" t="s">
        <v>945</v>
      </c>
      <c r="KFB92" s="166" t="str">
        <f>VLOOKUP(KFA92,[13]AssetDetails_UEM!$A$3:$AH$1849,6,FALSE)</f>
        <v>Electrosurgical Units, Monopolar/Bipolar</v>
      </c>
      <c r="KFC92" s="165" t="s">
        <v>945</v>
      </c>
      <c r="KFD92" s="166" t="str">
        <f>VLOOKUP(KFC92,[13]AssetDetails_UEM!$A$3:$AH$1849,6,FALSE)</f>
        <v>Electrosurgical Units, Monopolar/Bipolar</v>
      </c>
      <c r="KFE92" s="165" t="s">
        <v>945</v>
      </c>
      <c r="KFF92" s="166" t="str">
        <f>VLOOKUP(KFE92,[13]AssetDetails_UEM!$A$3:$AH$1849,6,FALSE)</f>
        <v>Electrosurgical Units, Monopolar/Bipolar</v>
      </c>
      <c r="KFG92" s="165" t="s">
        <v>945</v>
      </c>
      <c r="KFH92" s="166" t="str">
        <f>VLOOKUP(KFG92,[13]AssetDetails_UEM!$A$3:$AH$1849,6,FALSE)</f>
        <v>Electrosurgical Units, Monopolar/Bipolar</v>
      </c>
      <c r="KFI92" s="165" t="s">
        <v>945</v>
      </c>
      <c r="KFJ92" s="166" t="str">
        <f>VLOOKUP(KFI92,[13]AssetDetails_UEM!$A$3:$AH$1849,6,FALSE)</f>
        <v>Electrosurgical Units, Monopolar/Bipolar</v>
      </c>
      <c r="KFK92" s="165" t="s">
        <v>945</v>
      </c>
      <c r="KFL92" s="166" t="str">
        <f>VLOOKUP(KFK92,[13]AssetDetails_UEM!$A$3:$AH$1849,6,FALSE)</f>
        <v>Electrosurgical Units, Monopolar/Bipolar</v>
      </c>
      <c r="KFM92" s="165" t="s">
        <v>945</v>
      </c>
      <c r="KFN92" s="166" t="str">
        <f>VLOOKUP(KFM92,[13]AssetDetails_UEM!$A$3:$AH$1849,6,FALSE)</f>
        <v>Electrosurgical Units, Monopolar/Bipolar</v>
      </c>
      <c r="KFO92" s="165" t="s">
        <v>945</v>
      </c>
      <c r="KFP92" s="166" t="str">
        <f>VLOOKUP(KFO92,[13]AssetDetails_UEM!$A$3:$AH$1849,6,FALSE)</f>
        <v>Electrosurgical Units, Monopolar/Bipolar</v>
      </c>
      <c r="KFQ92" s="165" t="s">
        <v>945</v>
      </c>
      <c r="KFR92" s="166" t="str">
        <f>VLOOKUP(KFQ92,[13]AssetDetails_UEM!$A$3:$AH$1849,6,FALSE)</f>
        <v>Electrosurgical Units, Monopolar/Bipolar</v>
      </c>
      <c r="KFS92" s="165" t="s">
        <v>945</v>
      </c>
      <c r="KFT92" s="166" t="str">
        <f>VLOOKUP(KFS92,[13]AssetDetails_UEM!$A$3:$AH$1849,6,FALSE)</f>
        <v>Electrosurgical Units, Monopolar/Bipolar</v>
      </c>
      <c r="KFU92" s="165" t="s">
        <v>945</v>
      </c>
      <c r="KFV92" s="166" t="str">
        <f>VLOOKUP(KFU92,[13]AssetDetails_UEM!$A$3:$AH$1849,6,FALSE)</f>
        <v>Electrosurgical Units, Monopolar/Bipolar</v>
      </c>
      <c r="KFW92" s="165" t="s">
        <v>945</v>
      </c>
      <c r="KFX92" s="166" t="str">
        <f>VLOOKUP(KFW92,[13]AssetDetails_UEM!$A$3:$AH$1849,6,FALSE)</f>
        <v>Electrosurgical Units, Monopolar/Bipolar</v>
      </c>
      <c r="KFY92" s="165" t="s">
        <v>945</v>
      </c>
      <c r="KFZ92" s="166" t="str">
        <f>VLOOKUP(KFY92,[13]AssetDetails_UEM!$A$3:$AH$1849,6,FALSE)</f>
        <v>Electrosurgical Units, Monopolar/Bipolar</v>
      </c>
      <c r="KGA92" s="165" t="s">
        <v>945</v>
      </c>
      <c r="KGB92" s="166" t="str">
        <f>VLOOKUP(KGA92,[13]AssetDetails_UEM!$A$3:$AH$1849,6,FALSE)</f>
        <v>Electrosurgical Units, Monopolar/Bipolar</v>
      </c>
      <c r="KGC92" s="165" t="s">
        <v>945</v>
      </c>
      <c r="KGD92" s="166" t="str">
        <f>VLOOKUP(KGC92,[13]AssetDetails_UEM!$A$3:$AH$1849,6,FALSE)</f>
        <v>Electrosurgical Units, Monopolar/Bipolar</v>
      </c>
      <c r="KGE92" s="165" t="s">
        <v>945</v>
      </c>
      <c r="KGF92" s="166" t="str">
        <f>VLOOKUP(KGE92,[13]AssetDetails_UEM!$A$3:$AH$1849,6,FALSE)</f>
        <v>Electrosurgical Units, Monopolar/Bipolar</v>
      </c>
      <c r="KGG92" s="165" t="s">
        <v>945</v>
      </c>
      <c r="KGH92" s="166" t="str">
        <f>VLOOKUP(KGG92,[13]AssetDetails_UEM!$A$3:$AH$1849,6,FALSE)</f>
        <v>Electrosurgical Units, Monopolar/Bipolar</v>
      </c>
      <c r="KGI92" s="165" t="s">
        <v>945</v>
      </c>
      <c r="KGJ92" s="166" t="str">
        <f>VLOOKUP(KGI92,[13]AssetDetails_UEM!$A$3:$AH$1849,6,FALSE)</f>
        <v>Electrosurgical Units, Monopolar/Bipolar</v>
      </c>
      <c r="KGK92" s="165" t="s">
        <v>945</v>
      </c>
      <c r="KGL92" s="166" t="str">
        <f>VLOOKUP(KGK92,[13]AssetDetails_UEM!$A$3:$AH$1849,6,FALSE)</f>
        <v>Electrosurgical Units, Monopolar/Bipolar</v>
      </c>
      <c r="KGM92" s="165" t="s">
        <v>945</v>
      </c>
      <c r="KGN92" s="166" t="str">
        <f>VLOOKUP(KGM92,[13]AssetDetails_UEM!$A$3:$AH$1849,6,FALSE)</f>
        <v>Electrosurgical Units, Monopolar/Bipolar</v>
      </c>
      <c r="KGO92" s="165" t="s">
        <v>945</v>
      </c>
      <c r="KGP92" s="166" t="str">
        <f>VLOOKUP(KGO92,[13]AssetDetails_UEM!$A$3:$AH$1849,6,FALSE)</f>
        <v>Electrosurgical Units, Monopolar/Bipolar</v>
      </c>
      <c r="KGQ92" s="165" t="s">
        <v>945</v>
      </c>
      <c r="KGR92" s="166" t="str">
        <f>VLOOKUP(KGQ92,[13]AssetDetails_UEM!$A$3:$AH$1849,6,FALSE)</f>
        <v>Electrosurgical Units, Monopolar/Bipolar</v>
      </c>
      <c r="KGS92" s="165" t="s">
        <v>945</v>
      </c>
      <c r="KGT92" s="166" t="str">
        <f>VLOOKUP(KGS92,[13]AssetDetails_UEM!$A$3:$AH$1849,6,FALSE)</f>
        <v>Electrosurgical Units, Monopolar/Bipolar</v>
      </c>
      <c r="KGU92" s="165" t="s">
        <v>945</v>
      </c>
      <c r="KGV92" s="166" t="str">
        <f>VLOOKUP(KGU92,[13]AssetDetails_UEM!$A$3:$AH$1849,6,FALSE)</f>
        <v>Electrosurgical Units, Monopolar/Bipolar</v>
      </c>
      <c r="KGW92" s="165" t="s">
        <v>945</v>
      </c>
      <c r="KGX92" s="166" t="str">
        <f>VLOOKUP(KGW92,[13]AssetDetails_UEM!$A$3:$AH$1849,6,FALSE)</f>
        <v>Electrosurgical Units, Monopolar/Bipolar</v>
      </c>
      <c r="KGY92" s="165" t="s">
        <v>945</v>
      </c>
      <c r="KGZ92" s="166" t="str">
        <f>VLOOKUP(KGY92,[13]AssetDetails_UEM!$A$3:$AH$1849,6,FALSE)</f>
        <v>Electrosurgical Units, Monopolar/Bipolar</v>
      </c>
      <c r="KHA92" s="165" t="s">
        <v>945</v>
      </c>
      <c r="KHB92" s="166" t="str">
        <f>VLOOKUP(KHA92,[13]AssetDetails_UEM!$A$3:$AH$1849,6,FALSE)</f>
        <v>Electrosurgical Units, Monopolar/Bipolar</v>
      </c>
      <c r="KHC92" s="165" t="s">
        <v>945</v>
      </c>
      <c r="KHD92" s="166" t="str">
        <f>VLOOKUP(KHC92,[13]AssetDetails_UEM!$A$3:$AH$1849,6,FALSE)</f>
        <v>Electrosurgical Units, Monopolar/Bipolar</v>
      </c>
      <c r="KHE92" s="165" t="s">
        <v>945</v>
      </c>
      <c r="KHF92" s="166" t="str">
        <f>VLOOKUP(KHE92,[13]AssetDetails_UEM!$A$3:$AH$1849,6,FALSE)</f>
        <v>Electrosurgical Units, Monopolar/Bipolar</v>
      </c>
      <c r="KHG92" s="165" t="s">
        <v>945</v>
      </c>
      <c r="KHH92" s="166" t="str">
        <f>VLOOKUP(KHG92,[13]AssetDetails_UEM!$A$3:$AH$1849,6,FALSE)</f>
        <v>Electrosurgical Units, Monopolar/Bipolar</v>
      </c>
      <c r="KHI92" s="165" t="s">
        <v>945</v>
      </c>
      <c r="KHJ92" s="166" t="str">
        <f>VLOOKUP(KHI92,[13]AssetDetails_UEM!$A$3:$AH$1849,6,FALSE)</f>
        <v>Electrosurgical Units, Monopolar/Bipolar</v>
      </c>
      <c r="KHK92" s="165" t="s">
        <v>945</v>
      </c>
      <c r="KHL92" s="166" t="str">
        <f>VLOOKUP(KHK92,[13]AssetDetails_UEM!$A$3:$AH$1849,6,FALSE)</f>
        <v>Electrosurgical Units, Monopolar/Bipolar</v>
      </c>
      <c r="KHM92" s="165" t="s">
        <v>945</v>
      </c>
      <c r="KHN92" s="166" t="str">
        <f>VLOOKUP(KHM92,[13]AssetDetails_UEM!$A$3:$AH$1849,6,FALSE)</f>
        <v>Electrosurgical Units, Monopolar/Bipolar</v>
      </c>
      <c r="KHO92" s="165" t="s">
        <v>945</v>
      </c>
      <c r="KHP92" s="166" t="str">
        <f>VLOOKUP(KHO92,[13]AssetDetails_UEM!$A$3:$AH$1849,6,FALSE)</f>
        <v>Electrosurgical Units, Monopolar/Bipolar</v>
      </c>
      <c r="KHQ92" s="165" t="s">
        <v>945</v>
      </c>
      <c r="KHR92" s="166" t="str">
        <f>VLOOKUP(KHQ92,[13]AssetDetails_UEM!$A$3:$AH$1849,6,FALSE)</f>
        <v>Electrosurgical Units, Monopolar/Bipolar</v>
      </c>
      <c r="KHS92" s="165" t="s">
        <v>945</v>
      </c>
      <c r="KHT92" s="166" t="str">
        <f>VLOOKUP(KHS92,[13]AssetDetails_UEM!$A$3:$AH$1849,6,FALSE)</f>
        <v>Electrosurgical Units, Monopolar/Bipolar</v>
      </c>
      <c r="KHU92" s="165" t="s">
        <v>945</v>
      </c>
      <c r="KHV92" s="166" t="str">
        <f>VLOOKUP(KHU92,[13]AssetDetails_UEM!$A$3:$AH$1849,6,FALSE)</f>
        <v>Electrosurgical Units, Monopolar/Bipolar</v>
      </c>
      <c r="KHW92" s="165" t="s">
        <v>945</v>
      </c>
      <c r="KHX92" s="166" t="str">
        <f>VLOOKUP(KHW92,[13]AssetDetails_UEM!$A$3:$AH$1849,6,FALSE)</f>
        <v>Electrosurgical Units, Monopolar/Bipolar</v>
      </c>
      <c r="KHY92" s="165" t="s">
        <v>945</v>
      </c>
      <c r="KHZ92" s="166" t="str">
        <f>VLOOKUP(KHY92,[13]AssetDetails_UEM!$A$3:$AH$1849,6,FALSE)</f>
        <v>Electrosurgical Units, Monopolar/Bipolar</v>
      </c>
      <c r="KIA92" s="165" t="s">
        <v>945</v>
      </c>
      <c r="KIB92" s="166" t="str">
        <f>VLOOKUP(KIA92,[13]AssetDetails_UEM!$A$3:$AH$1849,6,FALSE)</f>
        <v>Electrosurgical Units, Monopolar/Bipolar</v>
      </c>
      <c r="KIC92" s="165" t="s">
        <v>945</v>
      </c>
      <c r="KID92" s="166" t="str">
        <f>VLOOKUP(KIC92,[13]AssetDetails_UEM!$A$3:$AH$1849,6,FALSE)</f>
        <v>Electrosurgical Units, Monopolar/Bipolar</v>
      </c>
      <c r="KIE92" s="165" t="s">
        <v>945</v>
      </c>
      <c r="KIF92" s="166" t="str">
        <f>VLOOKUP(KIE92,[13]AssetDetails_UEM!$A$3:$AH$1849,6,FALSE)</f>
        <v>Electrosurgical Units, Monopolar/Bipolar</v>
      </c>
      <c r="KIG92" s="165" t="s">
        <v>945</v>
      </c>
      <c r="KIH92" s="166" t="str">
        <f>VLOOKUP(KIG92,[13]AssetDetails_UEM!$A$3:$AH$1849,6,FALSE)</f>
        <v>Electrosurgical Units, Monopolar/Bipolar</v>
      </c>
      <c r="KII92" s="165" t="s">
        <v>945</v>
      </c>
      <c r="KIJ92" s="166" t="str">
        <f>VLOOKUP(KII92,[13]AssetDetails_UEM!$A$3:$AH$1849,6,FALSE)</f>
        <v>Electrosurgical Units, Monopolar/Bipolar</v>
      </c>
      <c r="KIK92" s="165" t="s">
        <v>945</v>
      </c>
      <c r="KIL92" s="166" t="str">
        <f>VLOOKUP(KIK92,[13]AssetDetails_UEM!$A$3:$AH$1849,6,FALSE)</f>
        <v>Electrosurgical Units, Monopolar/Bipolar</v>
      </c>
      <c r="KIM92" s="165" t="s">
        <v>945</v>
      </c>
      <c r="KIN92" s="166" t="str">
        <f>VLOOKUP(KIM92,[13]AssetDetails_UEM!$A$3:$AH$1849,6,FALSE)</f>
        <v>Electrosurgical Units, Monopolar/Bipolar</v>
      </c>
      <c r="KIO92" s="165" t="s">
        <v>945</v>
      </c>
      <c r="KIP92" s="166" t="str">
        <f>VLOOKUP(KIO92,[13]AssetDetails_UEM!$A$3:$AH$1849,6,FALSE)</f>
        <v>Electrosurgical Units, Monopolar/Bipolar</v>
      </c>
      <c r="KIQ92" s="165" t="s">
        <v>945</v>
      </c>
      <c r="KIR92" s="166" t="str">
        <f>VLOOKUP(KIQ92,[13]AssetDetails_UEM!$A$3:$AH$1849,6,FALSE)</f>
        <v>Electrosurgical Units, Monopolar/Bipolar</v>
      </c>
      <c r="KIS92" s="165" t="s">
        <v>945</v>
      </c>
      <c r="KIT92" s="166" t="str">
        <f>VLOOKUP(KIS92,[13]AssetDetails_UEM!$A$3:$AH$1849,6,FALSE)</f>
        <v>Electrosurgical Units, Monopolar/Bipolar</v>
      </c>
      <c r="KIU92" s="165" t="s">
        <v>945</v>
      </c>
      <c r="KIV92" s="166" t="str">
        <f>VLOOKUP(KIU92,[13]AssetDetails_UEM!$A$3:$AH$1849,6,FALSE)</f>
        <v>Electrosurgical Units, Monopolar/Bipolar</v>
      </c>
      <c r="KIW92" s="165" t="s">
        <v>945</v>
      </c>
      <c r="KIX92" s="166" t="str">
        <f>VLOOKUP(KIW92,[13]AssetDetails_UEM!$A$3:$AH$1849,6,FALSE)</f>
        <v>Electrosurgical Units, Monopolar/Bipolar</v>
      </c>
      <c r="KIY92" s="165" t="s">
        <v>945</v>
      </c>
      <c r="KIZ92" s="166" t="str">
        <f>VLOOKUP(KIY92,[13]AssetDetails_UEM!$A$3:$AH$1849,6,FALSE)</f>
        <v>Electrosurgical Units, Monopolar/Bipolar</v>
      </c>
      <c r="KJA92" s="165" t="s">
        <v>945</v>
      </c>
      <c r="KJB92" s="166" t="str">
        <f>VLOOKUP(KJA92,[13]AssetDetails_UEM!$A$3:$AH$1849,6,FALSE)</f>
        <v>Electrosurgical Units, Monopolar/Bipolar</v>
      </c>
      <c r="KJC92" s="165" t="s">
        <v>945</v>
      </c>
      <c r="KJD92" s="166" t="str">
        <f>VLOOKUP(KJC92,[13]AssetDetails_UEM!$A$3:$AH$1849,6,FALSE)</f>
        <v>Electrosurgical Units, Monopolar/Bipolar</v>
      </c>
      <c r="KJE92" s="165" t="s">
        <v>945</v>
      </c>
      <c r="KJF92" s="166" t="str">
        <f>VLOOKUP(KJE92,[13]AssetDetails_UEM!$A$3:$AH$1849,6,FALSE)</f>
        <v>Electrosurgical Units, Monopolar/Bipolar</v>
      </c>
      <c r="KJG92" s="165" t="s">
        <v>945</v>
      </c>
      <c r="KJH92" s="166" t="str">
        <f>VLOOKUP(KJG92,[13]AssetDetails_UEM!$A$3:$AH$1849,6,FALSE)</f>
        <v>Electrosurgical Units, Monopolar/Bipolar</v>
      </c>
      <c r="KJI92" s="165" t="s">
        <v>945</v>
      </c>
      <c r="KJJ92" s="166" t="str">
        <f>VLOOKUP(KJI92,[13]AssetDetails_UEM!$A$3:$AH$1849,6,FALSE)</f>
        <v>Electrosurgical Units, Monopolar/Bipolar</v>
      </c>
      <c r="KJK92" s="165" t="s">
        <v>945</v>
      </c>
      <c r="KJL92" s="166" t="str">
        <f>VLOOKUP(KJK92,[13]AssetDetails_UEM!$A$3:$AH$1849,6,FALSE)</f>
        <v>Electrosurgical Units, Monopolar/Bipolar</v>
      </c>
      <c r="KJM92" s="165" t="s">
        <v>945</v>
      </c>
      <c r="KJN92" s="166" t="str">
        <f>VLOOKUP(KJM92,[13]AssetDetails_UEM!$A$3:$AH$1849,6,FALSE)</f>
        <v>Electrosurgical Units, Monopolar/Bipolar</v>
      </c>
      <c r="KJO92" s="165" t="s">
        <v>945</v>
      </c>
      <c r="KJP92" s="166" t="str">
        <f>VLOOKUP(KJO92,[13]AssetDetails_UEM!$A$3:$AH$1849,6,FALSE)</f>
        <v>Electrosurgical Units, Monopolar/Bipolar</v>
      </c>
      <c r="KJQ92" s="165" t="s">
        <v>945</v>
      </c>
      <c r="KJR92" s="166" t="str">
        <f>VLOOKUP(KJQ92,[13]AssetDetails_UEM!$A$3:$AH$1849,6,FALSE)</f>
        <v>Electrosurgical Units, Monopolar/Bipolar</v>
      </c>
      <c r="KJS92" s="165" t="s">
        <v>945</v>
      </c>
      <c r="KJT92" s="166" t="str">
        <f>VLOOKUP(KJS92,[13]AssetDetails_UEM!$A$3:$AH$1849,6,FALSE)</f>
        <v>Electrosurgical Units, Monopolar/Bipolar</v>
      </c>
      <c r="KJU92" s="165" t="s">
        <v>945</v>
      </c>
      <c r="KJV92" s="166" t="str">
        <f>VLOOKUP(KJU92,[13]AssetDetails_UEM!$A$3:$AH$1849,6,FALSE)</f>
        <v>Electrosurgical Units, Monopolar/Bipolar</v>
      </c>
      <c r="KJW92" s="165" t="s">
        <v>945</v>
      </c>
      <c r="KJX92" s="166" t="str">
        <f>VLOOKUP(KJW92,[13]AssetDetails_UEM!$A$3:$AH$1849,6,FALSE)</f>
        <v>Electrosurgical Units, Monopolar/Bipolar</v>
      </c>
      <c r="KJY92" s="165" t="s">
        <v>945</v>
      </c>
      <c r="KJZ92" s="166" t="str">
        <f>VLOOKUP(KJY92,[13]AssetDetails_UEM!$A$3:$AH$1849,6,FALSE)</f>
        <v>Electrosurgical Units, Monopolar/Bipolar</v>
      </c>
      <c r="KKA92" s="165" t="s">
        <v>945</v>
      </c>
      <c r="KKB92" s="166" t="str">
        <f>VLOOKUP(KKA92,[13]AssetDetails_UEM!$A$3:$AH$1849,6,FALSE)</f>
        <v>Electrosurgical Units, Monopolar/Bipolar</v>
      </c>
      <c r="KKC92" s="165" t="s">
        <v>945</v>
      </c>
      <c r="KKD92" s="166" t="str">
        <f>VLOOKUP(KKC92,[13]AssetDetails_UEM!$A$3:$AH$1849,6,FALSE)</f>
        <v>Electrosurgical Units, Monopolar/Bipolar</v>
      </c>
      <c r="KKE92" s="165" t="s">
        <v>945</v>
      </c>
      <c r="KKF92" s="166" t="str">
        <f>VLOOKUP(KKE92,[13]AssetDetails_UEM!$A$3:$AH$1849,6,FALSE)</f>
        <v>Electrosurgical Units, Monopolar/Bipolar</v>
      </c>
      <c r="KKG92" s="165" t="s">
        <v>945</v>
      </c>
      <c r="KKH92" s="166" t="str">
        <f>VLOOKUP(KKG92,[13]AssetDetails_UEM!$A$3:$AH$1849,6,FALSE)</f>
        <v>Electrosurgical Units, Monopolar/Bipolar</v>
      </c>
      <c r="KKI92" s="165" t="s">
        <v>945</v>
      </c>
      <c r="KKJ92" s="166" t="str">
        <f>VLOOKUP(KKI92,[13]AssetDetails_UEM!$A$3:$AH$1849,6,FALSE)</f>
        <v>Electrosurgical Units, Monopolar/Bipolar</v>
      </c>
      <c r="KKK92" s="165" t="s">
        <v>945</v>
      </c>
      <c r="KKL92" s="166" t="str">
        <f>VLOOKUP(KKK92,[13]AssetDetails_UEM!$A$3:$AH$1849,6,FALSE)</f>
        <v>Electrosurgical Units, Monopolar/Bipolar</v>
      </c>
      <c r="KKM92" s="165" t="s">
        <v>945</v>
      </c>
      <c r="KKN92" s="166" t="str">
        <f>VLOOKUP(KKM92,[13]AssetDetails_UEM!$A$3:$AH$1849,6,FALSE)</f>
        <v>Electrosurgical Units, Monopolar/Bipolar</v>
      </c>
      <c r="KKO92" s="165" t="s">
        <v>945</v>
      </c>
      <c r="KKP92" s="166" t="str">
        <f>VLOOKUP(KKO92,[13]AssetDetails_UEM!$A$3:$AH$1849,6,FALSE)</f>
        <v>Electrosurgical Units, Monopolar/Bipolar</v>
      </c>
      <c r="KKQ92" s="165" t="s">
        <v>945</v>
      </c>
      <c r="KKR92" s="166" t="str">
        <f>VLOOKUP(KKQ92,[13]AssetDetails_UEM!$A$3:$AH$1849,6,FALSE)</f>
        <v>Electrosurgical Units, Monopolar/Bipolar</v>
      </c>
      <c r="KKS92" s="165" t="s">
        <v>945</v>
      </c>
      <c r="KKT92" s="166" t="str">
        <f>VLOOKUP(KKS92,[13]AssetDetails_UEM!$A$3:$AH$1849,6,FALSE)</f>
        <v>Electrosurgical Units, Monopolar/Bipolar</v>
      </c>
      <c r="KKU92" s="165" t="s">
        <v>945</v>
      </c>
      <c r="KKV92" s="166" t="str">
        <f>VLOOKUP(KKU92,[13]AssetDetails_UEM!$A$3:$AH$1849,6,FALSE)</f>
        <v>Electrosurgical Units, Monopolar/Bipolar</v>
      </c>
      <c r="KKW92" s="165" t="s">
        <v>945</v>
      </c>
      <c r="KKX92" s="166" t="str">
        <f>VLOOKUP(KKW92,[13]AssetDetails_UEM!$A$3:$AH$1849,6,FALSE)</f>
        <v>Electrosurgical Units, Monopolar/Bipolar</v>
      </c>
      <c r="KKY92" s="165" t="s">
        <v>945</v>
      </c>
      <c r="KKZ92" s="166" t="str">
        <f>VLOOKUP(KKY92,[13]AssetDetails_UEM!$A$3:$AH$1849,6,FALSE)</f>
        <v>Electrosurgical Units, Monopolar/Bipolar</v>
      </c>
      <c r="KLA92" s="165" t="s">
        <v>945</v>
      </c>
      <c r="KLB92" s="166" t="str">
        <f>VLOOKUP(KLA92,[13]AssetDetails_UEM!$A$3:$AH$1849,6,FALSE)</f>
        <v>Electrosurgical Units, Monopolar/Bipolar</v>
      </c>
      <c r="KLC92" s="165" t="s">
        <v>945</v>
      </c>
      <c r="KLD92" s="166" t="str">
        <f>VLOOKUP(KLC92,[13]AssetDetails_UEM!$A$3:$AH$1849,6,FALSE)</f>
        <v>Electrosurgical Units, Monopolar/Bipolar</v>
      </c>
      <c r="KLE92" s="165" t="s">
        <v>945</v>
      </c>
      <c r="KLF92" s="166" t="str">
        <f>VLOOKUP(KLE92,[13]AssetDetails_UEM!$A$3:$AH$1849,6,FALSE)</f>
        <v>Electrosurgical Units, Monopolar/Bipolar</v>
      </c>
      <c r="KLG92" s="165" t="s">
        <v>945</v>
      </c>
      <c r="KLH92" s="166" t="str">
        <f>VLOOKUP(KLG92,[13]AssetDetails_UEM!$A$3:$AH$1849,6,FALSE)</f>
        <v>Electrosurgical Units, Monopolar/Bipolar</v>
      </c>
      <c r="KLI92" s="165" t="s">
        <v>945</v>
      </c>
      <c r="KLJ92" s="166" t="str">
        <f>VLOOKUP(KLI92,[13]AssetDetails_UEM!$A$3:$AH$1849,6,FALSE)</f>
        <v>Electrosurgical Units, Monopolar/Bipolar</v>
      </c>
      <c r="KLK92" s="165" t="s">
        <v>945</v>
      </c>
      <c r="KLL92" s="166" t="str">
        <f>VLOOKUP(KLK92,[13]AssetDetails_UEM!$A$3:$AH$1849,6,FALSE)</f>
        <v>Electrosurgical Units, Monopolar/Bipolar</v>
      </c>
      <c r="KLM92" s="165" t="s">
        <v>945</v>
      </c>
      <c r="KLN92" s="166" t="str">
        <f>VLOOKUP(KLM92,[13]AssetDetails_UEM!$A$3:$AH$1849,6,FALSE)</f>
        <v>Electrosurgical Units, Monopolar/Bipolar</v>
      </c>
      <c r="KLO92" s="165" t="s">
        <v>945</v>
      </c>
      <c r="KLP92" s="166" t="str">
        <f>VLOOKUP(KLO92,[13]AssetDetails_UEM!$A$3:$AH$1849,6,FALSE)</f>
        <v>Electrosurgical Units, Monopolar/Bipolar</v>
      </c>
      <c r="KLQ92" s="165" t="s">
        <v>945</v>
      </c>
      <c r="KLR92" s="166" t="str">
        <f>VLOOKUP(KLQ92,[13]AssetDetails_UEM!$A$3:$AH$1849,6,FALSE)</f>
        <v>Electrosurgical Units, Monopolar/Bipolar</v>
      </c>
      <c r="KLS92" s="165" t="s">
        <v>945</v>
      </c>
      <c r="KLT92" s="166" t="str">
        <f>VLOOKUP(KLS92,[13]AssetDetails_UEM!$A$3:$AH$1849,6,FALSE)</f>
        <v>Electrosurgical Units, Monopolar/Bipolar</v>
      </c>
      <c r="KLU92" s="165" t="s">
        <v>945</v>
      </c>
      <c r="KLV92" s="166" t="str">
        <f>VLOOKUP(KLU92,[13]AssetDetails_UEM!$A$3:$AH$1849,6,FALSE)</f>
        <v>Electrosurgical Units, Monopolar/Bipolar</v>
      </c>
      <c r="KLW92" s="165" t="s">
        <v>945</v>
      </c>
      <c r="KLX92" s="166" t="str">
        <f>VLOOKUP(KLW92,[13]AssetDetails_UEM!$A$3:$AH$1849,6,FALSE)</f>
        <v>Electrosurgical Units, Monopolar/Bipolar</v>
      </c>
      <c r="KLY92" s="165" t="s">
        <v>945</v>
      </c>
      <c r="KLZ92" s="166" t="str">
        <f>VLOOKUP(KLY92,[13]AssetDetails_UEM!$A$3:$AH$1849,6,FALSE)</f>
        <v>Electrosurgical Units, Monopolar/Bipolar</v>
      </c>
      <c r="KMA92" s="165" t="s">
        <v>945</v>
      </c>
      <c r="KMB92" s="166" t="str">
        <f>VLOOKUP(KMA92,[13]AssetDetails_UEM!$A$3:$AH$1849,6,FALSE)</f>
        <v>Electrosurgical Units, Monopolar/Bipolar</v>
      </c>
      <c r="KMC92" s="165" t="s">
        <v>945</v>
      </c>
      <c r="KMD92" s="166" t="str">
        <f>VLOOKUP(KMC92,[13]AssetDetails_UEM!$A$3:$AH$1849,6,FALSE)</f>
        <v>Electrosurgical Units, Monopolar/Bipolar</v>
      </c>
      <c r="KME92" s="165" t="s">
        <v>945</v>
      </c>
      <c r="KMF92" s="166" t="str">
        <f>VLOOKUP(KME92,[13]AssetDetails_UEM!$A$3:$AH$1849,6,FALSE)</f>
        <v>Electrosurgical Units, Monopolar/Bipolar</v>
      </c>
      <c r="KMG92" s="165" t="s">
        <v>945</v>
      </c>
      <c r="KMH92" s="166" t="str">
        <f>VLOOKUP(KMG92,[13]AssetDetails_UEM!$A$3:$AH$1849,6,FALSE)</f>
        <v>Electrosurgical Units, Monopolar/Bipolar</v>
      </c>
      <c r="KMI92" s="165" t="s">
        <v>945</v>
      </c>
      <c r="KMJ92" s="166" t="str">
        <f>VLOOKUP(KMI92,[13]AssetDetails_UEM!$A$3:$AH$1849,6,FALSE)</f>
        <v>Electrosurgical Units, Monopolar/Bipolar</v>
      </c>
      <c r="KMK92" s="165" t="s">
        <v>945</v>
      </c>
      <c r="KML92" s="166" t="str">
        <f>VLOOKUP(KMK92,[13]AssetDetails_UEM!$A$3:$AH$1849,6,FALSE)</f>
        <v>Electrosurgical Units, Monopolar/Bipolar</v>
      </c>
      <c r="KMM92" s="165" t="s">
        <v>945</v>
      </c>
      <c r="KMN92" s="166" t="str">
        <f>VLOOKUP(KMM92,[13]AssetDetails_UEM!$A$3:$AH$1849,6,FALSE)</f>
        <v>Electrosurgical Units, Monopolar/Bipolar</v>
      </c>
      <c r="KMO92" s="165" t="s">
        <v>945</v>
      </c>
      <c r="KMP92" s="166" t="str">
        <f>VLOOKUP(KMO92,[13]AssetDetails_UEM!$A$3:$AH$1849,6,FALSE)</f>
        <v>Electrosurgical Units, Monopolar/Bipolar</v>
      </c>
      <c r="KMQ92" s="165" t="s">
        <v>945</v>
      </c>
      <c r="KMR92" s="166" t="str">
        <f>VLOOKUP(KMQ92,[13]AssetDetails_UEM!$A$3:$AH$1849,6,FALSE)</f>
        <v>Electrosurgical Units, Monopolar/Bipolar</v>
      </c>
      <c r="KMS92" s="165" t="s">
        <v>945</v>
      </c>
      <c r="KMT92" s="166" t="str">
        <f>VLOOKUP(KMS92,[13]AssetDetails_UEM!$A$3:$AH$1849,6,FALSE)</f>
        <v>Electrosurgical Units, Monopolar/Bipolar</v>
      </c>
      <c r="KMU92" s="165" t="s">
        <v>945</v>
      </c>
      <c r="KMV92" s="166" t="str">
        <f>VLOOKUP(KMU92,[13]AssetDetails_UEM!$A$3:$AH$1849,6,FALSE)</f>
        <v>Electrosurgical Units, Monopolar/Bipolar</v>
      </c>
      <c r="KMW92" s="165" t="s">
        <v>945</v>
      </c>
      <c r="KMX92" s="166" t="str">
        <f>VLOOKUP(KMW92,[13]AssetDetails_UEM!$A$3:$AH$1849,6,FALSE)</f>
        <v>Electrosurgical Units, Monopolar/Bipolar</v>
      </c>
      <c r="KMY92" s="165" t="s">
        <v>945</v>
      </c>
      <c r="KMZ92" s="166" t="str">
        <f>VLOOKUP(KMY92,[13]AssetDetails_UEM!$A$3:$AH$1849,6,FALSE)</f>
        <v>Electrosurgical Units, Monopolar/Bipolar</v>
      </c>
      <c r="KNA92" s="165" t="s">
        <v>945</v>
      </c>
      <c r="KNB92" s="166" t="str">
        <f>VLOOKUP(KNA92,[13]AssetDetails_UEM!$A$3:$AH$1849,6,FALSE)</f>
        <v>Electrosurgical Units, Monopolar/Bipolar</v>
      </c>
      <c r="KNC92" s="165" t="s">
        <v>945</v>
      </c>
      <c r="KND92" s="166" t="str">
        <f>VLOOKUP(KNC92,[13]AssetDetails_UEM!$A$3:$AH$1849,6,FALSE)</f>
        <v>Electrosurgical Units, Monopolar/Bipolar</v>
      </c>
      <c r="KNE92" s="165" t="s">
        <v>945</v>
      </c>
      <c r="KNF92" s="166" t="str">
        <f>VLOOKUP(KNE92,[13]AssetDetails_UEM!$A$3:$AH$1849,6,FALSE)</f>
        <v>Electrosurgical Units, Monopolar/Bipolar</v>
      </c>
      <c r="KNG92" s="165" t="s">
        <v>945</v>
      </c>
      <c r="KNH92" s="166" t="str">
        <f>VLOOKUP(KNG92,[13]AssetDetails_UEM!$A$3:$AH$1849,6,FALSE)</f>
        <v>Electrosurgical Units, Monopolar/Bipolar</v>
      </c>
      <c r="KNI92" s="165" t="s">
        <v>945</v>
      </c>
      <c r="KNJ92" s="166" t="str">
        <f>VLOOKUP(KNI92,[13]AssetDetails_UEM!$A$3:$AH$1849,6,FALSE)</f>
        <v>Electrosurgical Units, Monopolar/Bipolar</v>
      </c>
      <c r="KNK92" s="165" t="s">
        <v>945</v>
      </c>
      <c r="KNL92" s="166" t="str">
        <f>VLOOKUP(KNK92,[13]AssetDetails_UEM!$A$3:$AH$1849,6,FALSE)</f>
        <v>Electrosurgical Units, Monopolar/Bipolar</v>
      </c>
      <c r="KNM92" s="165" t="s">
        <v>945</v>
      </c>
      <c r="KNN92" s="166" t="str">
        <f>VLOOKUP(KNM92,[13]AssetDetails_UEM!$A$3:$AH$1849,6,FALSE)</f>
        <v>Electrosurgical Units, Monopolar/Bipolar</v>
      </c>
      <c r="KNO92" s="165" t="s">
        <v>945</v>
      </c>
      <c r="KNP92" s="166" t="str">
        <f>VLOOKUP(KNO92,[13]AssetDetails_UEM!$A$3:$AH$1849,6,FALSE)</f>
        <v>Electrosurgical Units, Monopolar/Bipolar</v>
      </c>
      <c r="KNQ92" s="165" t="s">
        <v>945</v>
      </c>
      <c r="KNR92" s="166" t="str">
        <f>VLOOKUP(KNQ92,[13]AssetDetails_UEM!$A$3:$AH$1849,6,FALSE)</f>
        <v>Electrosurgical Units, Monopolar/Bipolar</v>
      </c>
      <c r="KNS92" s="165" t="s">
        <v>945</v>
      </c>
      <c r="KNT92" s="166" t="str">
        <f>VLOOKUP(KNS92,[13]AssetDetails_UEM!$A$3:$AH$1849,6,FALSE)</f>
        <v>Electrosurgical Units, Monopolar/Bipolar</v>
      </c>
      <c r="KNU92" s="165" t="s">
        <v>945</v>
      </c>
      <c r="KNV92" s="166" t="str">
        <f>VLOOKUP(KNU92,[13]AssetDetails_UEM!$A$3:$AH$1849,6,FALSE)</f>
        <v>Electrosurgical Units, Monopolar/Bipolar</v>
      </c>
      <c r="KNW92" s="165" t="s">
        <v>945</v>
      </c>
      <c r="KNX92" s="166" t="str">
        <f>VLOOKUP(KNW92,[13]AssetDetails_UEM!$A$3:$AH$1849,6,FALSE)</f>
        <v>Electrosurgical Units, Monopolar/Bipolar</v>
      </c>
      <c r="KNY92" s="165" t="s">
        <v>945</v>
      </c>
      <c r="KNZ92" s="166" t="str">
        <f>VLOOKUP(KNY92,[13]AssetDetails_UEM!$A$3:$AH$1849,6,FALSE)</f>
        <v>Electrosurgical Units, Monopolar/Bipolar</v>
      </c>
      <c r="KOA92" s="165" t="s">
        <v>945</v>
      </c>
      <c r="KOB92" s="166" t="str">
        <f>VLOOKUP(KOA92,[13]AssetDetails_UEM!$A$3:$AH$1849,6,FALSE)</f>
        <v>Electrosurgical Units, Monopolar/Bipolar</v>
      </c>
      <c r="KOC92" s="165" t="s">
        <v>945</v>
      </c>
      <c r="KOD92" s="166" t="str">
        <f>VLOOKUP(KOC92,[13]AssetDetails_UEM!$A$3:$AH$1849,6,FALSE)</f>
        <v>Electrosurgical Units, Monopolar/Bipolar</v>
      </c>
      <c r="KOE92" s="165" t="s">
        <v>945</v>
      </c>
      <c r="KOF92" s="166" t="str">
        <f>VLOOKUP(KOE92,[13]AssetDetails_UEM!$A$3:$AH$1849,6,FALSE)</f>
        <v>Electrosurgical Units, Monopolar/Bipolar</v>
      </c>
      <c r="KOG92" s="165" t="s">
        <v>945</v>
      </c>
      <c r="KOH92" s="166" t="str">
        <f>VLOOKUP(KOG92,[13]AssetDetails_UEM!$A$3:$AH$1849,6,FALSE)</f>
        <v>Electrosurgical Units, Monopolar/Bipolar</v>
      </c>
      <c r="KOI92" s="165" t="s">
        <v>945</v>
      </c>
      <c r="KOJ92" s="166" t="str">
        <f>VLOOKUP(KOI92,[13]AssetDetails_UEM!$A$3:$AH$1849,6,FALSE)</f>
        <v>Electrosurgical Units, Monopolar/Bipolar</v>
      </c>
      <c r="KOK92" s="165" t="s">
        <v>945</v>
      </c>
      <c r="KOL92" s="166" t="str">
        <f>VLOOKUP(KOK92,[13]AssetDetails_UEM!$A$3:$AH$1849,6,FALSE)</f>
        <v>Electrosurgical Units, Monopolar/Bipolar</v>
      </c>
      <c r="KOM92" s="165" t="s">
        <v>945</v>
      </c>
      <c r="KON92" s="166" t="str">
        <f>VLOOKUP(KOM92,[13]AssetDetails_UEM!$A$3:$AH$1849,6,FALSE)</f>
        <v>Electrosurgical Units, Monopolar/Bipolar</v>
      </c>
      <c r="KOO92" s="165" t="s">
        <v>945</v>
      </c>
      <c r="KOP92" s="166" t="str">
        <f>VLOOKUP(KOO92,[13]AssetDetails_UEM!$A$3:$AH$1849,6,FALSE)</f>
        <v>Electrosurgical Units, Monopolar/Bipolar</v>
      </c>
      <c r="KOQ92" s="165" t="s">
        <v>945</v>
      </c>
      <c r="KOR92" s="166" t="str">
        <f>VLOOKUP(KOQ92,[13]AssetDetails_UEM!$A$3:$AH$1849,6,FALSE)</f>
        <v>Electrosurgical Units, Monopolar/Bipolar</v>
      </c>
      <c r="KOS92" s="165" t="s">
        <v>945</v>
      </c>
      <c r="KOT92" s="166" t="str">
        <f>VLOOKUP(KOS92,[13]AssetDetails_UEM!$A$3:$AH$1849,6,FALSE)</f>
        <v>Electrosurgical Units, Monopolar/Bipolar</v>
      </c>
      <c r="KOU92" s="165" t="s">
        <v>945</v>
      </c>
      <c r="KOV92" s="166" t="str">
        <f>VLOOKUP(KOU92,[13]AssetDetails_UEM!$A$3:$AH$1849,6,FALSE)</f>
        <v>Electrosurgical Units, Monopolar/Bipolar</v>
      </c>
      <c r="KOW92" s="165" t="s">
        <v>945</v>
      </c>
      <c r="KOX92" s="166" t="str">
        <f>VLOOKUP(KOW92,[13]AssetDetails_UEM!$A$3:$AH$1849,6,FALSE)</f>
        <v>Electrosurgical Units, Monopolar/Bipolar</v>
      </c>
      <c r="KOY92" s="165" t="s">
        <v>945</v>
      </c>
      <c r="KOZ92" s="166" t="str">
        <f>VLOOKUP(KOY92,[13]AssetDetails_UEM!$A$3:$AH$1849,6,FALSE)</f>
        <v>Electrosurgical Units, Monopolar/Bipolar</v>
      </c>
      <c r="KPA92" s="165" t="s">
        <v>945</v>
      </c>
      <c r="KPB92" s="166" t="str">
        <f>VLOOKUP(KPA92,[13]AssetDetails_UEM!$A$3:$AH$1849,6,FALSE)</f>
        <v>Electrosurgical Units, Monopolar/Bipolar</v>
      </c>
      <c r="KPC92" s="165" t="s">
        <v>945</v>
      </c>
      <c r="KPD92" s="166" t="str">
        <f>VLOOKUP(KPC92,[13]AssetDetails_UEM!$A$3:$AH$1849,6,FALSE)</f>
        <v>Electrosurgical Units, Monopolar/Bipolar</v>
      </c>
      <c r="KPE92" s="165" t="s">
        <v>945</v>
      </c>
      <c r="KPF92" s="166" t="str">
        <f>VLOOKUP(KPE92,[13]AssetDetails_UEM!$A$3:$AH$1849,6,FALSE)</f>
        <v>Electrosurgical Units, Monopolar/Bipolar</v>
      </c>
      <c r="KPG92" s="165" t="s">
        <v>945</v>
      </c>
      <c r="KPH92" s="166" t="str">
        <f>VLOOKUP(KPG92,[13]AssetDetails_UEM!$A$3:$AH$1849,6,FALSE)</f>
        <v>Electrosurgical Units, Monopolar/Bipolar</v>
      </c>
      <c r="KPI92" s="165" t="s">
        <v>945</v>
      </c>
      <c r="KPJ92" s="166" t="str">
        <f>VLOOKUP(KPI92,[13]AssetDetails_UEM!$A$3:$AH$1849,6,FALSE)</f>
        <v>Electrosurgical Units, Monopolar/Bipolar</v>
      </c>
      <c r="KPK92" s="165" t="s">
        <v>945</v>
      </c>
      <c r="KPL92" s="166" t="str">
        <f>VLOOKUP(KPK92,[13]AssetDetails_UEM!$A$3:$AH$1849,6,FALSE)</f>
        <v>Electrosurgical Units, Monopolar/Bipolar</v>
      </c>
      <c r="KPM92" s="165" t="s">
        <v>945</v>
      </c>
      <c r="KPN92" s="166" t="str">
        <f>VLOOKUP(KPM92,[13]AssetDetails_UEM!$A$3:$AH$1849,6,FALSE)</f>
        <v>Electrosurgical Units, Monopolar/Bipolar</v>
      </c>
      <c r="KPO92" s="165" t="s">
        <v>945</v>
      </c>
      <c r="KPP92" s="166" t="str">
        <f>VLOOKUP(KPO92,[13]AssetDetails_UEM!$A$3:$AH$1849,6,FALSE)</f>
        <v>Electrosurgical Units, Monopolar/Bipolar</v>
      </c>
      <c r="KPQ92" s="165" t="s">
        <v>945</v>
      </c>
      <c r="KPR92" s="166" t="str">
        <f>VLOOKUP(KPQ92,[13]AssetDetails_UEM!$A$3:$AH$1849,6,FALSE)</f>
        <v>Electrosurgical Units, Monopolar/Bipolar</v>
      </c>
      <c r="KPS92" s="165" t="s">
        <v>945</v>
      </c>
      <c r="KPT92" s="166" t="str">
        <f>VLOOKUP(KPS92,[13]AssetDetails_UEM!$A$3:$AH$1849,6,FALSE)</f>
        <v>Electrosurgical Units, Monopolar/Bipolar</v>
      </c>
      <c r="KPU92" s="165" t="s">
        <v>945</v>
      </c>
      <c r="KPV92" s="166" t="str">
        <f>VLOOKUP(KPU92,[13]AssetDetails_UEM!$A$3:$AH$1849,6,FALSE)</f>
        <v>Electrosurgical Units, Monopolar/Bipolar</v>
      </c>
      <c r="KPW92" s="165" t="s">
        <v>945</v>
      </c>
      <c r="KPX92" s="166" t="str">
        <f>VLOOKUP(KPW92,[13]AssetDetails_UEM!$A$3:$AH$1849,6,FALSE)</f>
        <v>Electrosurgical Units, Monopolar/Bipolar</v>
      </c>
      <c r="KPY92" s="165" t="s">
        <v>945</v>
      </c>
      <c r="KPZ92" s="166" t="str">
        <f>VLOOKUP(KPY92,[13]AssetDetails_UEM!$A$3:$AH$1849,6,FALSE)</f>
        <v>Electrosurgical Units, Monopolar/Bipolar</v>
      </c>
      <c r="KQA92" s="165" t="s">
        <v>945</v>
      </c>
      <c r="KQB92" s="166" t="str">
        <f>VLOOKUP(KQA92,[13]AssetDetails_UEM!$A$3:$AH$1849,6,FALSE)</f>
        <v>Electrosurgical Units, Monopolar/Bipolar</v>
      </c>
      <c r="KQC92" s="165" t="s">
        <v>945</v>
      </c>
      <c r="KQD92" s="166" t="str">
        <f>VLOOKUP(KQC92,[13]AssetDetails_UEM!$A$3:$AH$1849,6,FALSE)</f>
        <v>Electrosurgical Units, Monopolar/Bipolar</v>
      </c>
      <c r="KQE92" s="165" t="s">
        <v>945</v>
      </c>
      <c r="KQF92" s="166" t="str">
        <f>VLOOKUP(KQE92,[13]AssetDetails_UEM!$A$3:$AH$1849,6,FALSE)</f>
        <v>Electrosurgical Units, Monopolar/Bipolar</v>
      </c>
      <c r="KQG92" s="165" t="s">
        <v>945</v>
      </c>
      <c r="KQH92" s="166" t="str">
        <f>VLOOKUP(KQG92,[13]AssetDetails_UEM!$A$3:$AH$1849,6,FALSE)</f>
        <v>Electrosurgical Units, Monopolar/Bipolar</v>
      </c>
      <c r="KQI92" s="165" t="s">
        <v>945</v>
      </c>
      <c r="KQJ92" s="166" t="str">
        <f>VLOOKUP(KQI92,[13]AssetDetails_UEM!$A$3:$AH$1849,6,FALSE)</f>
        <v>Electrosurgical Units, Monopolar/Bipolar</v>
      </c>
      <c r="KQK92" s="165" t="s">
        <v>945</v>
      </c>
      <c r="KQL92" s="166" t="str">
        <f>VLOOKUP(KQK92,[13]AssetDetails_UEM!$A$3:$AH$1849,6,FALSE)</f>
        <v>Electrosurgical Units, Monopolar/Bipolar</v>
      </c>
      <c r="KQM92" s="165" t="s">
        <v>945</v>
      </c>
      <c r="KQN92" s="166" t="str">
        <f>VLOOKUP(KQM92,[13]AssetDetails_UEM!$A$3:$AH$1849,6,FALSE)</f>
        <v>Electrosurgical Units, Monopolar/Bipolar</v>
      </c>
      <c r="KQO92" s="165" t="s">
        <v>945</v>
      </c>
      <c r="KQP92" s="166" t="str">
        <f>VLOOKUP(KQO92,[13]AssetDetails_UEM!$A$3:$AH$1849,6,FALSE)</f>
        <v>Electrosurgical Units, Monopolar/Bipolar</v>
      </c>
      <c r="KQQ92" s="165" t="s">
        <v>945</v>
      </c>
      <c r="KQR92" s="166" t="str">
        <f>VLOOKUP(KQQ92,[13]AssetDetails_UEM!$A$3:$AH$1849,6,FALSE)</f>
        <v>Electrosurgical Units, Monopolar/Bipolar</v>
      </c>
      <c r="KQS92" s="165" t="s">
        <v>945</v>
      </c>
      <c r="KQT92" s="166" t="str">
        <f>VLOOKUP(KQS92,[13]AssetDetails_UEM!$A$3:$AH$1849,6,FALSE)</f>
        <v>Electrosurgical Units, Monopolar/Bipolar</v>
      </c>
      <c r="KQU92" s="165" t="s">
        <v>945</v>
      </c>
      <c r="KQV92" s="166" t="str">
        <f>VLOOKUP(KQU92,[13]AssetDetails_UEM!$A$3:$AH$1849,6,FALSE)</f>
        <v>Electrosurgical Units, Monopolar/Bipolar</v>
      </c>
      <c r="KQW92" s="165" t="s">
        <v>945</v>
      </c>
      <c r="KQX92" s="166" t="str">
        <f>VLOOKUP(KQW92,[13]AssetDetails_UEM!$A$3:$AH$1849,6,FALSE)</f>
        <v>Electrosurgical Units, Monopolar/Bipolar</v>
      </c>
      <c r="KQY92" s="165" t="s">
        <v>945</v>
      </c>
      <c r="KQZ92" s="166" t="str">
        <f>VLOOKUP(KQY92,[13]AssetDetails_UEM!$A$3:$AH$1849,6,FALSE)</f>
        <v>Electrosurgical Units, Monopolar/Bipolar</v>
      </c>
      <c r="KRA92" s="165" t="s">
        <v>945</v>
      </c>
      <c r="KRB92" s="166" t="str">
        <f>VLOOKUP(KRA92,[13]AssetDetails_UEM!$A$3:$AH$1849,6,FALSE)</f>
        <v>Electrosurgical Units, Monopolar/Bipolar</v>
      </c>
      <c r="KRC92" s="165" t="s">
        <v>945</v>
      </c>
      <c r="KRD92" s="166" t="str">
        <f>VLOOKUP(KRC92,[13]AssetDetails_UEM!$A$3:$AH$1849,6,FALSE)</f>
        <v>Electrosurgical Units, Monopolar/Bipolar</v>
      </c>
      <c r="KRE92" s="165" t="s">
        <v>945</v>
      </c>
      <c r="KRF92" s="166" t="str">
        <f>VLOOKUP(KRE92,[13]AssetDetails_UEM!$A$3:$AH$1849,6,FALSE)</f>
        <v>Electrosurgical Units, Monopolar/Bipolar</v>
      </c>
      <c r="KRG92" s="165" t="s">
        <v>945</v>
      </c>
      <c r="KRH92" s="166" t="str">
        <f>VLOOKUP(KRG92,[13]AssetDetails_UEM!$A$3:$AH$1849,6,FALSE)</f>
        <v>Electrosurgical Units, Monopolar/Bipolar</v>
      </c>
      <c r="KRI92" s="165" t="s">
        <v>945</v>
      </c>
      <c r="KRJ92" s="166" t="str">
        <f>VLOOKUP(KRI92,[13]AssetDetails_UEM!$A$3:$AH$1849,6,FALSE)</f>
        <v>Electrosurgical Units, Monopolar/Bipolar</v>
      </c>
      <c r="KRK92" s="165" t="s">
        <v>945</v>
      </c>
      <c r="KRL92" s="166" t="str">
        <f>VLOOKUP(KRK92,[13]AssetDetails_UEM!$A$3:$AH$1849,6,FALSE)</f>
        <v>Electrosurgical Units, Monopolar/Bipolar</v>
      </c>
      <c r="KRM92" s="165" t="s">
        <v>945</v>
      </c>
      <c r="KRN92" s="166" t="str">
        <f>VLOOKUP(KRM92,[13]AssetDetails_UEM!$A$3:$AH$1849,6,FALSE)</f>
        <v>Electrosurgical Units, Monopolar/Bipolar</v>
      </c>
      <c r="KRO92" s="165" t="s">
        <v>945</v>
      </c>
      <c r="KRP92" s="166" t="str">
        <f>VLOOKUP(KRO92,[13]AssetDetails_UEM!$A$3:$AH$1849,6,FALSE)</f>
        <v>Electrosurgical Units, Monopolar/Bipolar</v>
      </c>
      <c r="KRQ92" s="165" t="s">
        <v>945</v>
      </c>
      <c r="KRR92" s="166" t="str">
        <f>VLOOKUP(KRQ92,[13]AssetDetails_UEM!$A$3:$AH$1849,6,FALSE)</f>
        <v>Electrosurgical Units, Monopolar/Bipolar</v>
      </c>
      <c r="KRS92" s="165" t="s">
        <v>945</v>
      </c>
      <c r="KRT92" s="166" t="str">
        <f>VLOOKUP(KRS92,[13]AssetDetails_UEM!$A$3:$AH$1849,6,FALSE)</f>
        <v>Electrosurgical Units, Monopolar/Bipolar</v>
      </c>
      <c r="KRU92" s="165" t="s">
        <v>945</v>
      </c>
      <c r="KRV92" s="166" t="str">
        <f>VLOOKUP(KRU92,[13]AssetDetails_UEM!$A$3:$AH$1849,6,FALSE)</f>
        <v>Electrosurgical Units, Monopolar/Bipolar</v>
      </c>
      <c r="KRW92" s="165" t="s">
        <v>945</v>
      </c>
      <c r="KRX92" s="166" t="str">
        <f>VLOOKUP(KRW92,[13]AssetDetails_UEM!$A$3:$AH$1849,6,FALSE)</f>
        <v>Electrosurgical Units, Monopolar/Bipolar</v>
      </c>
      <c r="KRY92" s="165" t="s">
        <v>945</v>
      </c>
      <c r="KRZ92" s="166" t="str">
        <f>VLOOKUP(KRY92,[13]AssetDetails_UEM!$A$3:$AH$1849,6,FALSE)</f>
        <v>Electrosurgical Units, Monopolar/Bipolar</v>
      </c>
      <c r="KSA92" s="165" t="s">
        <v>945</v>
      </c>
      <c r="KSB92" s="166" t="str">
        <f>VLOOKUP(KSA92,[13]AssetDetails_UEM!$A$3:$AH$1849,6,FALSE)</f>
        <v>Electrosurgical Units, Monopolar/Bipolar</v>
      </c>
      <c r="KSC92" s="165" t="s">
        <v>945</v>
      </c>
      <c r="KSD92" s="166" t="str">
        <f>VLOOKUP(KSC92,[13]AssetDetails_UEM!$A$3:$AH$1849,6,FALSE)</f>
        <v>Electrosurgical Units, Monopolar/Bipolar</v>
      </c>
      <c r="KSE92" s="165" t="s">
        <v>945</v>
      </c>
      <c r="KSF92" s="166" t="str">
        <f>VLOOKUP(KSE92,[13]AssetDetails_UEM!$A$3:$AH$1849,6,FALSE)</f>
        <v>Electrosurgical Units, Monopolar/Bipolar</v>
      </c>
      <c r="KSG92" s="165" t="s">
        <v>945</v>
      </c>
      <c r="KSH92" s="166" t="str">
        <f>VLOOKUP(KSG92,[13]AssetDetails_UEM!$A$3:$AH$1849,6,FALSE)</f>
        <v>Electrosurgical Units, Monopolar/Bipolar</v>
      </c>
      <c r="KSI92" s="165" t="s">
        <v>945</v>
      </c>
      <c r="KSJ92" s="166" t="str">
        <f>VLOOKUP(KSI92,[13]AssetDetails_UEM!$A$3:$AH$1849,6,FALSE)</f>
        <v>Electrosurgical Units, Monopolar/Bipolar</v>
      </c>
      <c r="KSK92" s="165" t="s">
        <v>945</v>
      </c>
      <c r="KSL92" s="166" t="str">
        <f>VLOOKUP(KSK92,[13]AssetDetails_UEM!$A$3:$AH$1849,6,FALSE)</f>
        <v>Electrosurgical Units, Monopolar/Bipolar</v>
      </c>
      <c r="KSM92" s="165" t="s">
        <v>945</v>
      </c>
      <c r="KSN92" s="166" t="str">
        <f>VLOOKUP(KSM92,[13]AssetDetails_UEM!$A$3:$AH$1849,6,FALSE)</f>
        <v>Electrosurgical Units, Monopolar/Bipolar</v>
      </c>
      <c r="KSO92" s="165" t="s">
        <v>945</v>
      </c>
      <c r="KSP92" s="166" t="str">
        <f>VLOOKUP(KSO92,[13]AssetDetails_UEM!$A$3:$AH$1849,6,FALSE)</f>
        <v>Electrosurgical Units, Monopolar/Bipolar</v>
      </c>
      <c r="KSQ92" s="165" t="s">
        <v>945</v>
      </c>
      <c r="KSR92" s="166" t="str">
        <f>VLOOKUP(KSQ92,[13]AssetDetails_UEM!$A$3:$AH$1849,6,FALSE)</f>
        <v>Electrosurgical Units, Monopolar/Bipolar</v>
      </c>
      <c r="KSS92" s="165" t="s">
        <v>945</v>
      </c>
      <c r="KST92" s="166" t="str">
        <f>VLOOKUP(KSS92,[13]AssetDetails_UEM!$A$3:$AH$1849,6,FALSE)</f>
        <v>Electrosurgical Units, Monopolar/Bipolar</v>
      </c>
      <c r="KSU92" s="165" t="s">
        <v>945</v>
      </c>
      <c r="KSV92" s="166" t="str">
        <f>VLOOKUP(KSU92,[13]AssetDetails_UEM!$A$3:$AH$1849,6,FALSE)</f>
        <v>Electrosurgical Units, Monopolar/Bipolar</v>
      </c>
      <c r="KSW92" s="165" t="s">
        <v>945</v>
      </c>
      <c r="KSX92" s="166" t="str">
        <f>VLOOKUP(KSW92,[13]AssetDetails_UEM!$A$3:$AH$1849,6,FALSE)</f>
        <v>Electrosurgical Units, Monopolar/Bipolar</v>
      </c>
      <c r="KSY92" s="165" t="s">
        <v>945</v>
      </c>
      <c r="KSZ92" s="166" t="str">
        <f>VLOOKUP(KSY92,[13]AssetDetails_UEM!$A$3:$AH$1849,6,FALSE)</f>
        <v>Electrosurgical Units, Monopolar/Bipolar</v>
      </c>
      <c r="KTA92" s="165" t="s">
        <v>945</v>
      </c>
      <c r="KTB92" s="166" t="str">
        <f>VLOOKUP(KTA92,[13]AssetDetails_UEM!$A$3:$AH$1849,6,FALSE)</f>
        <v>Electrosurgical Units, Monopolar/Bipolar</v>
      </c>
      <c r="KTC92" s="165" t="s">
        <v>945</v>
      </c>
      <c r="KTD92" s="166" t="str">
        <f>VLOOKUP(KTC92,[13]AssetDetails_UEM!$A$3:$AH$1849,6,FALSE)</f>
        <v>Electrosurgical Units, Monopolar/Bipolar</v>
      </c>
      <c r="KTE92" s="165" t="s">
        <v>945</v>
      </c>
      <c r="KTF92" s="166" t="str">
        <f>VLOOKUP(KTE92,[13]AssetDetails_UEM!$A$3:$AH$1849,6,FALSE)</f>
        <v>Electrosurgical Units, Monopolar/Bipolar</v>
      </c>
      <c r="KTG92" s="165" t="s">
        <v>945</v>
      </c>
      <c r="KTH92" s="166" t="str">
        <f>VLOOKUP(KTG92,[13]AssetDetails_UEM!$A$3:$AH$1849,6,FALSE)</f>
        <v>Electrosurgical Units, Monopolar/Bipolar</v>
      </c>
      <c r="KTI92" s="165" t="s">
        <v>945</v>
      </c>
      <c r="KTJ92" s="166" t="str">
        <f>VLOOKUP(KTI92,[13]AssetDetails_UEM!$A$3:$AH$1849,6,FALSE)</f>
        <v>Electrosurgical Units, Monopolar/Bipolar</v>
      </c>
      <c r="KTK92" s="165" t="s">
        <v>945</v>
      </c>
      <c r="KTL92" s="166" t="str">
        <f>VLOOKUP(KTK92,[13]AssetDetails_UEM!$A$3:$AH$1849,6,FALSE)</f>
        <v>Electrosurgical Units, Monopolar/Bipolar</v>
      </c>
      <c r="KTM92" s="165" t="s">
        <v>945</v>
      </c>
      <c r="KTN92" s="166" t="str">
        <f>VLOOKUP(KTM92,[13]AssetDetails_UEM!$A$3:$AH$1849,6,FALSE)</f>
        <v>Electrosurgical Units, Monopolar/Bipolar</v>
      </c>
      <c r="KTO92" s="165" t="s">
        <v>945</v>
      </c>
      <c r="KTP92" s="166" t="str">
        <f>VLOOKUP(KTO92,[13]AssetDetails_UEM!$A$3:$AH$1849,6,FALSE)</f>
        <v>Electrosurgical Units, Monopolar/Bipolar</v>
      </c>
      <c r="KTQ92" s="165" t="s">
        <v>945</v>
      </c>
      <c r="KTR92" s="166" t="str">
        <f>VLOOKUP(KTQ92,[13]AssetDetails_UEM!$A$3:$AH$1849,6,FALSE)</f>
        <v>Electrosurgical Units, Monopolar/Bipolar</v>
      </c>
      <c r="KTS92" s="165" t="s">
        <v>945</v>
      </c>
      <c r="KTT92" s="166" t="str">
        <f>VLOOKUP(KTS92,[13]AssetDetails_UEM!$A$3:$AH$1849,6,FALSE)</f>
        <v>Electrosurgical Units, Monopolar/Bipolar</v>
      </c>
      <c r="KTU92" s="165" t="s">
        <v>945</v>
      </c>
      <c r="KTV92" s="166" t="str">
        <f>VLOOKUP(KTU92,[13]AssetDetails_UEM!$A$3:$AH$1849,6,FALSE)</f>
        <v>Electrosurgical Units, Monopolar/Bipolar</v>
      </c>
      <c r="KTW92" s="165" t="s">
        <v>945</v>
      </c>
      <c r="KTX92" s="166" t="str">
        <f>VLOOKUP(KTW92,[13]AssetDetails_UEM!$A$3:$AH$1849,6,FALSE)</f>
        <v>Electrosurgical Units, Monopolar/Bipolar</v>
      </c>
      <c r="KTY92" s="165" t="s">
        <v>945</v>
      </c>
      <c r="KTZ92" s="166" t="str">
        <f>VLOOKUP(KTY92,[13]AssetDetails_UEM!$A$3:$AH$1849,6,FALSE)</f>
        <v>Electrosurgical Units, Monopolar/Bipolar</v>
      </c>
      <c r="KUA92" s="165" t="s">
        <v>945</v>
      </c>
      <c r="KUB92" s="166" t="str">
        <f>VLOOKUP(KUA92,[13]AssetDetails_UEM!$A$3:$AH$1849,6,FALSE)</f>
        <v>Electrosurgical Units, Monopolar/Bipolar</v>
      </c>
      <c r="KUC92" s="165" t="s">
        <v>945</v>
      </c>
      <c r="KUD92" s="166" t="str">
        <f>VLOOKUP(KUC92,[13]AssetDetails_UEM!$A$3:$AH$1849,6,FALSE)</f>
        <v>Electrosurgical Units, Monopolar/Bipolar</v>
      </c>
      <c r="KUE92" s="165" t="s">
        <v>945</v>
      </c>
      <c r="KUF92" s="166" t="str">
        <f>VLOOKUP(KUE92,[13]AssetDetails_UEM!$A$3:$AH$1849,6,FALSE)</f>
        <v>Electrosurgical Units, Monopolar/Bipolar</v>
      </c>
      <c r="KUG92" s="165" t="s">
        <v>945</v>
      </c>
      <c r="KUH92" s="166" t="str">
        <f>VLOOKUP(KUG92,[13]AssetDetails_UEM!$A$3:$AH$1849,6,FALSE)</f>
        <v>Electrosurgical Units, Monopolar/Bipolar</v>
      </c>
      <c r="KUI92" s="165" t="s">
        <v>945</v>
      </c>
      <c r="KUJ92" s="166" t="str">
        <f>VLOOKUP(KUI92,[13]AssetDetails_UEM!$A$3:$AH$1849,6,FALSE)</f>
        <v>Electrosurgical Units, Monopolar/Bipolar</v>
      </c>
      <c r="KUK92" s="165" t="s">
        <v>945</v>
      </c>
      <c r="KUL92" s="166" t="str">
        <f>VLOOKUP(KUK92,[13]AssetDetails_UEM!$A$3:$AH$1849,6,FALSE)</f>
        <v>Electrosurgical Units, Monopolar/Bipolar</v>
      </c>
      <c r="KUM92" s="165" t="s">
        <v>945</v>
      </c>
      <c r="KUN92" s="166" t="str">
        <f>VLOOKUP(KUM92,[13]AssetDetails_UEM!$A$3:$AH$1849,6,FALSE)</f>
        <v>Electrosurgical Units, Monopolar/Bipolar</v>
      </c>
      <c r="KUO92" s="165" t="s">
        <v>945</v>
      </c>
      <c r="KUP92" s="166" t="str">
        <f>VLOOKUP(KUO92,[13]AssetDetails_UEM!$A$3:$AH$1849,6,FALSE)</f>
        <v>Electrosurgical Units, Monopolar/Bipolar</v>
      </c>
      <c r="KUQ92" s="165" t="s">
        <v>945</v>
      </c>
      <c r="KUR92" s="166" t="str">
        <f>VLOOKUP(KUQ92,[13]AssetDetails_UEM!$A$3:$AH$1849,6,FALSE)</f>
        <v>Electrosurgical Units, Monopolar/Bipolar</v>
      </c>
      <c r="KUS92" s="165" t="s">
        <v>945</v>
      </c>
      <c r="KUT92" s="166" t="str">
        <f>VLOOKUP(KUS92,[13]AssetDetails_UEM!$A$3:$AH$1849,6,FALSE)</f>
        <v>Electrosurgical Units, Monopolar/Bipolar</v>
      </c>
      <c r="KUU92" s="165" t="s">
        <v>945</v>
      </c>
      <c r="KUV92" s="166" t="str">
        <f>VLOOKUP(KUU92,[13]AssetDetails_UEM!$A$3:$AH$1849,6,FALSE)</f>
        <v>Electrosurgical Units, Monopolar/Bipolar</v>
      </c>
      <c r="KUW92" s="165" t="s">
        <v>945</v>
      </c>
      <c r="KUX92" s="166" t="str">
        <f>VLOOKUP(KUW92,[13]AssetDetails_UEM!$A$3:$AH$1849,6,FALSE)</f>
        <v>Electrosurgical Units, Monopolar/Bipolar</v>
      </c>
      <c r="KUY92" s="165" t="s">
        <v>945</v>
      </c>
      <c r="KUZ92" s="166" t="str">
        <f>VLOOKUP(KUY92,[13]AssetDetails_UEM!$A$3:$AH$1849,6,FALSE)</f>
        <v>Electrosurgical Units, Monopolar/Bipolar</v>
      </c>
      <c r="KVA92" s="165" t="s">
        <v>945</v>
      </c>
      <c r="KVB92" s="166" t="str">
        <f>VLOOKUP(KVA92,[13]AssetDetails_UEM!$A$3:$AH$1849,6,FALSE)</f>
        <v>Electrosurgical Units, Monopolar/Bipolar</v>
      </c>
      <c r="KVC92" s="165" t="s">
        <v>945</v>
      </c>
      <c r="KVD92" s="166" t="str">
        <f>VLOOKUP(KVC92,[13]AssetDetails_UEM!$A$3:$AH$1849,6,FALSE)</f>
        <v>Electrosurgical Units, Monopolar/Bipolar</v>
      </c>
      <c r="KVE92" s="165" t="s">
        <v>945</v>
      </c>
      <c r="KVF92" s="166" t="str">
        <f>VLOOKUP(KVE92,[13]AssetDetails_UEM!$A$3:$AH$1849,6,FALSE)</f>
        <v>Electrosurgical Units, Monopolar/Bipolar</v>
      </c>
      <c r="KVG92" s="165" t="s">
        <v>945</v>
      </c>
      <c r="KVH92" s="166" t="str">
        <f>VLOOKUP(KVG92,[13]AssetDetails_UEM!$A$3:$AH$1849,6,FALSE)</f>
        <v>Electrosurgical Units, Monopolar/Bipolar</v>
      </c>
      <c r="KVI92" s="165" t="s">
        <v>945</v>
      </c>
      <c r="KVJ92" s="166" t="str">
        <f>VLOOKUP(KVI92,[13]AssetDetails_UEM!$A$3:$AH$1849,6,FALSE)</f>
        <v>Electrosurgical Units, Monopolar/Bipolar</v>
      </c>
      <c r="KVK92" s="165" t="s">
        <v>945</v>
      </c>
      <c r="KVL92" s="166" t="str">
        <f>VLOOKUP(KVK92,[13]AssetDetails_UEM!$A$3:$AH$1849,6,FALSE)</f>
        <v>Electrosurgical Units, Monopolar/Bipolar</v>
      </c>
      <c r="KVM92" s="165" t="s">
        <v>945</v>
      </c>
      <c r="KVN92" s="166" t="str">
        <f>VLOOKUP(KVM92,[13]AssetDetails_UEM!$A$3:$AH$1849,6,FALSE)</f>
        <v>Electrosurgical Units, Monopolar/Bipolar</v>
      </c>
      <c r="KVO92" s="165" t="s">
        <v>945</v>
      </c>
      <c r="KVP92" s="166" t="str">
        <f>VLOOKUP(KVO92,[13]AssetDetails_UEM!$A$3:$AH$1849,6,FALSE)</f>
        <v>Electrosurgical Units, Monopolar/Bipolar</v>
      </c>
      <c r="KVQ92" s="165" t="s">
        <v>945</v>
      </c>
      <c r="KVR92" s="166" t="str">
        <f>VLOOKUP(KVQ92,[13]AssetDetails_UEM!$A$3:$AH$1849,6,FALSE)</f>
        <v>Electrosurgical Units, Monopolar/Bipolar</v>
      </c>
      <c r="KVS92" s="165" t="s">
        <v>945</v>
      </c>
      <c r="KVT92" s="166" t="str">
        <f>VLOOKUP(KVS92,[13]AssetDetails_UEM!$A$3:$AH$1849,6,FALSE)</f>
        <v>Electrosurgical Units, Monopolar/Bipolar</v>
      </c>
      <c r="KVU92" s="165" t="s">
        <v>945</v>
      </c>
      <c r="KVV92" s="166" t="str">
        <f>VLOOKUP(KVU92,[13]AssetDetails_UEM!$A$3:$AH$1849,6,FALSE)</f>
        <v>Electrosurgical Units, Monopolar/Bipolar</v>
      </c>
      <c r="KVW92" s="165" t="s">
        <v>945</v>
      </c>
      <c r="KVX92" s="166" t="str">
        <f>VLOOKUP(KVW92,[13]AssetDetails_UEM!$A$3:$AH$1849,6,FALSE)</f>
        <v>Electrosurgical Units, Monopolar/Bipolar</v>
      </c>
      <c r="KVY92" s="165" t="s">
        <v>945</v>
      </c>
      <c r="KVZ92" s="166" t="str">
        <f>VLOOKUP(KVY92,[13]AssetDetails_UEM!$A$3:$AH$1849,6,FALSE)</f>
        <v>Electrosurgical Units, Monopolar/Bipolar</v>
      </c>
      <c r="KWA92" s="165" t="s">
        <v>945</v>
      </c>
      <c r="KWB92" s="166" t="str">
        <f>VLOOKUP(KWA92,[13]AssetDetails_UEM!$A$3:$AH$1849,6,FALSE)</f>
        <v>Electrosurgical Units, Monopolar/Bipolar</v>
      </c>
      <c r="KWC92" s="165" t="s">
        <v>945</v>
      </c>
      <c r="KWD92" s="166" t="str">
        <f>VLOOKUP(KWC92,[13]AssetDetails_UEM!$A$3:$AH$1849,6,FALSE)</f>
        <v>Electrosurgical Units, Monopolar/Bipolar</v>
      </c>
      <c r="KWE92" s="165" t="s">
        <v>945</v>
      </c>
      <c r="KWF92" s="166" t="str">
        <f>VLOOKUP(KWE92,[13]AssetDetails_UEM!$A$3:$AH$1849,6,FALSE)</f>
        <v>Electrosurgical Units, Monopolar/Bipolar</v>
      </c>
      <c r="KWG92" s="165" t="s">
        <v>945</v>
      </c>
      <c r="KWH92" s="166" t="str">
        <f>VLOOKUP(KWG92,[13]AssetDetails_UEM!$A$3:$AH$1849,6,FALSE)</f>
        <v>Electrosurgical Units, Monopolar/Bipolar</v>
      </c>
      <c r="KWI92" s="165" t="s">
        <v>945</v>
      </c>
      <c r="KWJ92" s="166" t="str">
        <f>VLOOKUP(KWI92,[13]AssetDetails_UEM!$A$3:$AH$1849,6,FALSE)</f>
        <v>Electrosurgical Units, Monopolar/Bipolar</v>
      </c>
      <c r="KWK92" s="165" t="s">
        <v>945</v>
      </c>
      <c r="KWL92" s="166" t="str">
        <f>VLOOKUP(KWK92,[13]AssetDetails_UEM!$A$3:$AH$1849,6,FALSE)</f>
        <v>Electrosurgical Units, Monopolar/Bipolar</v>
      </c>
      <c r="KWM92" s="165" t="s">
        <v>945</v>
      </c>
      <c r="KWN92" s="166" t="str">
        <f>VLOOKUP(KWM92,[13]AssetDetails_UEM!$A$3:$AH$1849,6,FALSE)</f>
        <v>Electrosurgical Units, Monopolar/Bipolar</v>
      </c>
      <c r="KWO92" s="165" t="s">
        <v>945</v>
      </c>
      <c r="KWP92" s="166" t="str">
        <f>VLOOKUP(KWO92,[13]AssetDetails_UEM!$A$3:$AH$1849,6,FALSE)</f>
        <v>Electrosurgical Units, Monopolar/Bipolar</v>
      </c>
      <c r="KWQ92" s="165" t="s">
        <v>945</v>
      </c>
      <c r="KWR92" s="166" t="str">
        <f>VLOOKUP(KWQ92,[13]AssetDetails_UEM!$A$3:$AH$1849,6,FALSE)</f>
        <v>Electrosurgical Units, Monopolar/Bipolar</v>
      </c>
      <c r="KWS92" s="165" t="s">
        <v>945</v>
      </c>
      <c r="KWT92" s="166" t="str">
        <f>VLOOKUP(KWS92,[13]AssetDetails_UEM!$A$3:$AH$1849,6,FALSE)</f>
        <v>Electrosurgical Units, Monopolar/Bipolar</v>
      </c>
      <c r="KWU92" s="165" t="s">
        <v>945</v>
      </c>
      <c r="KWV92" s="166" t="str">
        <f>VLOOKUP(KWU92,[13]AssetDetails_UEM!$A$3:$AH$1849,6,FALSE)</f>
        <v>Electrosurgical Units, Monopolar/Bipolar</v>
      </c>
      <c r="KWW92" s="165" t="s">
        <v>945</v>
      </c>
      <c r="KWX92" s="166" t="str">
        <f>VLOOKUP(KWW92,[13]AssetDetails_UEM!$A$3:$AH$1849,6,FALSE)</f>
        <v>Electrosurgical Units, Monopolar/Bipolar</v>
      </c>
      <c r="KWY92" s="165" t="s">
        <v>945</v>
      </c>
      <c r="KWZ92" s="166" t="str">
        <f>VLOOKUP(KWY92,[13]AssetDetails_UEM!$A$3:$AH$1849,6,FALSE)</f>
        <v>Electrosurgical Units, Monopolar/Bipolar</v>
      </c>
      <c r="KXA92" s="165" t="s">
        <v>945</v>
      </c>
      <c r="KXB92" s="166" t="str">
        <f>VLOOKUP(KXA92,[13]AssetDetails_UEM!$A$3:$AH$1849,6,FALSE)</f>
        <v>Electrosurgical Units, Monopolar/Bipolar</v>
      </c>
      <c r="KXC92" s="165" t="s">
        <v>945</v>
      </c>
      <c r="KXD92" s="166" t="str">
        <f>VLOOKUP(KXC92,[13]AssetDetails_UEM!$A$3:$AH$1849,6,FALSE)</f>
        <v>Electrosurgical Units, Monopolar/Bipolar</v>
      </c>
      <c r="KXE92" s="165" t="s">
        <v>945</v>
      </c>
      <c r="KXF92" s="166" t="str">
        <f>VLOOKUP(KXE92,[13]AssetDetails_UEM!$A$3:$AH$1849,6,FALSE)</f>
        <v>Electrosurgical Units, Monopolar/Bipolar</v>
      </c>
      <c r="KXG92" s="165" t="s">
        <v>945</v>
      </c>
      <c r="KXH92" s="166" t="str">
        <f>VLOOKUP(KXG92,[13]AssetDetails_UEM!$A$3:$AH$1849,6,FALSE)</f>
        <v>Electrosurgical Units, Monopolar/Bipolar</v>
      </c>
      <c r="KXI92" s="165" t="s">
        <v>945</v>
      </c>
      <c r="KXJ92" s="166" t="str">
        <f>VLOOKUP(KXI92,[13]AssetDetails_UEM!$A$3:$AH$1849,6,FALSE)</f>
        <v>Electrosurgical Units, Monopolar/Bipolar</v>
      </c>
      <c r="KXK92" s="165" t="s">
        <v>945</v>
      </c>
      <c r="KXL92" s="166" t="str">
        <f>VLOOKUP(KXK92,[13]AssetDetails_UEM!$A$3:$AH$1849,6,FALSE)</f>
        <v>Electrosurgical Units, Monopolar/Bipolar</v>
      </c>
      <c r="KXM92" s="165" t="s">
        <v>945</v>
      </c>
      <c r="KXN92" s="166" t="str">
        <f>VLOOKUP(KXM92,[13]AssetDetails_UEM!$A$3:$AH$1849,6,FALSE)</f>
        <v>Electrosurgical Units, Monopolar/Bipolar</v>
      </c>
      <c r="KXO92" s="165" t="s">
        <v>945</v>
      </c>
      <c r="KXP92" s="166" t="str">
        <f>VLOOKUP(KXO92,[13]AssetDetails_UEM!$A$3:$AH$1849,6,FALSE)</f>
        <v>Electrosurgical Units, Monopolar/Bipolar</v>
      </c>
      <c r="KXQ92" s="165" t="s">
        <v>945</v>
      </c>
      <c r="KXR92" s="166" t="str">
        <f>VLOOKUP(KXQ92,[13]AssetDetails_UEM!$A$3:$AH$1849,6,FALSE)</f>
        <v>Electrosurgical Units, Monopolar/Bipolar</v>
      </c>
      <c r="KXS92" s="165" t="s">
        <v>945</v>
      </c>
      <c r="KXT92" s="166" t="str">
        <f>VLOOKUP(KXS92,[13]AssetDetails_UEM!$A$3:$AH$1849,6,FALSE)</f>
        <v>Electrosurgical Units, Monopolar/Bipolar</v>
      </c>
      <c r="KXU92" s="165" t="s">
        <v>945</v>
      </c>
      <c r="KXV92" s="166" t="str">
        <f>VLOOKUP(KXU92,[13]AssetDetails_UEM!$A$3:$AH$1849,6,FALSE)</f>
        <v>Electrosurgical Units, Monopolar/Bipolar</v>
      </c>
      <c r="KXW92" s="165" t="s">
        <v>945</v>
      </c>
      <c r="KXX92" s="166" t="str">
        <f>VLOOKUP(KXW92,[13]AssetDetails_UEM!$A$3:$AH$1849,6,FALSE)</f>
        <v>Electrosurgical Units, Monopolar/Bipolar</v>
      </c>
      <c r="KXY92" s="165" t="s">
        <v>945</v>
      </c>
      <c r="KXZ92" s="166" t="str">
        <f>VLOOKUP(KXY92,[13]AssetDetails_UEM!$A$3:$AH$1849,6,FALSE)</f>
        <v>Electrosurgical Units, Monopolar/Bipolar</v>
      </c>
      <c r="KYA92" s="165" t="s">
        <v>945</v>
      </c>
      <c r="KYB92" s="166" t="str">
        <f>VLOOKUP(KYA92,[13]AssetDetails_UEM!$A$3:$AH$1849,6,FALSE)</f>
        <v>Electrosurgical Units, Monopolar/Bipolar</v>
      </c>
      <c r="KYC92" s="165" t="s">
        <v>945</v>
      </c>
      <c r="KYD92" s="166" t="str">
        <f>VLOOKUP(KYC92,[13]AssetDetails_UEM!$A$3:$AH$1849,6,FALSE)</f>
        <v>Electrosurgical Units, Monopolar/Bipolar</v>
      </c>
      <c r="KYE92" s="165" t="s">
        <v>945</v>
      </c>
      <c r="KYF92" s="166" t="str">
        <f>VLOOKUP(KYE92,[13]AssetDetails_UEM!$A$3:$AH$1849,6,FALSE)</f>
        <v>Electrosurgical Units, Monopolar/Bipolar</v>
      </c>
      <c r="KYG92" s="165" t="s">
        <v>945</v>
      </c>
      <c r="KYH92" s="166" t="str">
        <f>VLOOKUP(KYG92,[13]AssetDetails_UEM!$A$3:$AH$1849,6,FALSE)</f>
        <v>Electrosurgical Units, Monopolar/Bipolar</v>
      </c>
      <c r="KYI92" s="165" t="s">
        <v>945</v>
      </c>
      <c r="KYJ92" s="166" t="str">
        <f>VLOOKUP(KYI92,[13]AssetDetails_UEM!$A$3:$AH$1849,6,FALSE)</f>
        <v>Electrosurgical Units, Monopolar/Bipolar</v>
      </c>
      <c r="KYK92" s="165" t="s">
        <v>945</v>
      </c>
      <c r="KYL92" s="166" t="str">
        <f>VLOOKUP(KYK92,[13]AssetDetails_UEM!$A$3:$AH$1849,6,FALSE)</f>
        <v>Electrosurgical Units, Monopolar/Bipolar</v>
      </c>
      <c r="KYM92" s="165" t="s">
        <v>945</v>
      </c>
      <c r="KYN92" s="166" t="str">
        <f>VLOOKUP(KYM92,[13]AssetDetails_UEM!$A$3:$AH$1849,6,FALSE)</f>
        <v>Electrosurgical Units, Monopolar/Bipolar</v>
      </c>
      <c r="KYO92" s="165" t="s">
        <v>945</v>
      </c>
      <c r="KYP92" s="166" t="str">
        <f>VLOOKUP(KYO92,[13]AssetDetails_UEM!$A$3:$AH$1849,6,FALSE)</f>
        <v>Electrosurgical Units, Monopolar/Bipolar</v>
      </c>
      <c r="KYQ92" s="165" t="s">
        <v>945</v>
      </c>
      <c r="KYR92" s="166" t="str">
        <f>VLOOKUP(KYQ92,[13]AssetDetails_UEM!$A$3:$AH$1849,6,FALSE)</f>
        <v>Electrosurgical Units, Monopolar/Bipolar</v>
      </c>
      <c r="KYS92" s="165" t="s">
        <v>945</v>
      </c>
      <c r="KYT92" s="166" t="str">
        <f>VLOOKUP(KYS92,[13]AssetDetails_UEM!$A$3:$AH$1849,6,FALSE)</f>
        <v>Electrosurgical Units, Monopolar/Bipolar</v>
      </c>
      <c r="KYU92" s="165" t="s">
        <v>945</v>
      </c>
      <c r="KYV92" s="166" t="str">
        <f>VLOOKUP(KYU92,[13]AssetDetails_UEM!$A$3:$AH$1849,6,FALSE)</f>
        <v>Electrosurgical Units, Monopolar/Bipolar</v>
      </c>
      <c r="KYW92" s="165" t="s">
        <v>945</v>
      </c>
      <c r="KYX92" s="166" t="str">
        <f>VLOOKUP(KYW92,[13]AssetDetails_UEM!$A$3:$AH$1849,6,FALSE)</f>
        <v>Electrosurgical Units, Monopolar/Bipolar</v>
      </c>
      <c r="KYY92" s="165" t="s">
        <v>945</v>
      </c>
      <c r="KYZ92" s="166" t="str">
        <f>VLOOKUP(KYY92,[13]AssetDetails_UEM!$A$3:$AH$1849,6,FALSE)</f>
        <v>Electrosurgical Units, Monopolar/Bipolar</v>
      </c>
      <c r="KZA92" s="165" t="s">
        <v>945</v>
      </c>
      <c r="KZB92" s="166" t="str">
        <f>VLOOKUP(KZA92,[13]AssetDetails_UEM!$A$3:$AH$1849,6,FALSE)</f>
        <v>Electrosurgical Units, Monopolar/Bipolar</v>
      </c>
      <c r="KZC92" s="165" t="s">
        <v>945</v>
      </c>
      <c r="KZD92" s="166" t="str">
        <f>VLOOKUP(KZC92,[13]AssetDetails_UEM!$A$3:$AH$1849,6,FALSE)</f>
        <v>Electrosurgical Units, Monopolar/Bipolar</v>
      </c>
      <c r="KZE92" s="165" t="s">
        <v>945</v>
      </c>
      <c r="KZF92" s="166" t="str">
        <f>VLOOKUP(KZE92,[13]AssetDetails_UEM!$A$3:$AH$1849,6,FALSE)</f>
        <v>Electrosurgical Units, Monopolar/Bipolar</v>
      </c>
      <c r="KZG92" s="165" t="s">
        <v>945</v>
      </c>
      <c r="KZH92" s="166" t="str">
        <f>VLOOKUP(KZG92,[13]AssetDetails_UEM!$A$3:$AH$1849,6,FALSE)</f>
        <v>Electrosurgical Units, Monopolar/Bipolar</v>
      </c>
      <c r="KZI92" s="165" t="s">
        <v>945</v>
      </c>
      <c r="KZJ92" s="166" t="str">
        <f>VLOOKUP(KZI92,[13]AssetDetails_UEM!$A$3:$AH$1849,6,FALSE)</f>
        <v>Electrosurgical Units, Monopolar/Bipolar</v>
      </c>
      <c r="KZK92" s="165" t="s">
        <v>945</v>
      </c>
      <c r="KZL92" s="166" t="str">
        <f>VLOOKUP(KZK92,[13]AssetDetails_UEM!$A$3:$AH$1849,6,FALSE)</f>
        <v>Electrosurgical Units, Monopolar/Bipolar</v>
      </c>
      <c r="KZM92" s="165" t="s">
        <v>945</v>
      </c>
      <c r="KZN92" s="166" t="str">
        <f>VLOOKUP(KZM92,[13]AssetDetails_UEM!$A$3:$AH$1849,6,FALSE)</f>
        <v>Electrosurgical Units, Monopolar/Bipolar</v>
      </c>
      <c r="KZO92" s="165" t="s">
        <v>945</v>
      </c>
      <c r="KZP92" s="166" t="str">
        <f>VLOOKUP(KZO92,[13]AssetDetails_UEM!$A$3:$AH$1849,6,FALSE)</f>
        <v>Electrosurgical Units, Monopolar/Bipolar</v>
      </c>
      <c r="KZQ92" s="165" t="s">
        <v>945</v>
      </c>
      <c r="KZR92" s="166" t="str">
        <f>VLOOKUP(KZQ92,[13]AssetDetails_UEM!$A$3:$AH$1849,6,FALSE)</f>
        <v>Electrosurgical Units, Monopolar/Bipolar</v>
      </c>
      <c r="KZS92" s="165" t="s">
        <v>945</v>
      </c>
      <c r="KZT92" s="166" t="str">
        <f>VLOOKUP(KZS92,[13]AssetDetails_UEM!$A$3:$AH$1849,6,FALSE)</f>
        <v>Electrosurgical Units, Monopolar/Bipolar</v>
      </c>
      <c r="KZU92" s="165" t="s">
        <v>945</v>
      </c>
      <c r="KZV92" s="166" t="str">
        <f>VLOOKUP(KZU92,[13]AssetDetails_UEM!$A$3:$AH$1849,6,FALSE)</f>
        <v>Electrosurgical Units, Monopolar/Bipolar</v>
      </c>
      <c r="KZW92" s="165" t="s">
        <v>945</v>
      </c>
      <c r="KZX92" s="166" t="str">
        <f>VLOOKUP(KZW92,[13]AssetDetails_UEM!$A$3:$AH$1849,6,FALSE)</f>
        <v>Electrosurgical Units, Monopolar/Bipolar</v>
      </c>
      <c r="KZY92" s="165" t="s">
        <v>945</v>
      </c>
      <c r="KZZ92" s="166" t="str">
        <f>VLOOKUP(KZY92,[13]AssetDetails_UEM!$A$3:$AH$1849,6,FALSE)</f>
        <v>Electrosurgical Units, Monopolar/Bipolar</v>
      </c>
      <c r="LAA92" s="165" t="s">
        <v>945</v>
      </c>
      <c r="LAB92" s="166" t="str">
        <f>VLOOKUP(LAA92,[13]AssetDetails_UEM!$A$3:$AH$1849,6,FALSE)</f>
        <v>Electrosurgical Units, Monopolar/Bipolar</v>
      </c>
      <c r="LAC92" s="165" t="s">
        <v>945</v>
      </c>
      <c r="LAD92" s="166" t="str">
        <f>VLOOKUP(LAC92,[13]AssetDetails_UEM!$A$3:$AH$1849,6,FALSE)</f>
        <v>Electrosurgical Units, Monopolar/Bipolar</v>
      </c>
      <c r="LAE92" s="165" t="s">
        <v>945</v>
      </c>
      <c r="LAF92" s="166" t="str">
        <f>VLOOKUP(LAE92,[13]AssetDetails_UEM!$A$3:$AH$1849,6,FALSE)</f>
        <v>Electrosurgical Units, Monopolar/Bipolar</v>
      </c>
      <c r="LAG92" s="165" t="s">
        <v>945</v>
      </c>
      <c r="LAH92" s="166" t="str">
        <f>VLOOKUP(LAG92,[13]AssetDetails_UEM!$A$3:$AH$1849,6,FALSE)</f>
        <v>Electrosurgical Units, Monopolar/Bipolar</v>
      </c>
      <c r="LAI92" s="165" t="s">
        <v>945</v>
      </c>
      <c r="LAJ92" s="166" t="str">
        <f>VLOOKUP(LAI92,[13]AssetDetails_UEM!$A$3:$AH$1849,6,FALSE)</f>
        <v>Electrosurgical Units, Monopolar/Bipolar</v>
      </c>
      <c r="LAK92" s="165" t="s">
        <v>945</v>
      </c>
      <c r="LAL92" s="166" t="str">
        <f>VLOOKUP(LAK92,[13]AssetDetails_UEM!$A$3:$AH$1849,6,FALSE)</f>
        <v>Electrosurgical Units, Monopolar/Bipolar</v>
      </c>
      <c r="LAM92" s="165" t="s">
        <v>945</v>
      </c>
      <c r="LAN92" s="166" t="str">
        <f>VLOOKUP(LAM92,[13]AssetDetails_UEM!$A$3:$AH$1849,6,FALSE)</f>
        <v>Electrosurgical Units, Monopolar/Bipolar</v>
      </c>
      <c r="LAO92" s="165" t="s">
        <v>945</v>
      </c>
      <c r="LAP92" s="166" t="str">
        <f>VLOOKUP(LAO92,[13]AssetDetails_UEM!$A$3:$AH$1849,6,FALSE)</f>
        <v>Electrosurgical Units, Monopolar/Bipolar</v>
      </c>
      <c r="LAQ92" s="165" t="s">
        <v>945</v>
      </c>
      <c r="LAR92" s="166" t="str">
        <f>VLOOKUP(LAQ92,[13]AssetDetails_UEM!$A$3:$AH$1849,6,FALSE)</f>
        <v>Electrosurgical Units, Monopolar/Bipolar</v>
      </c>
      <c r="LAS92" s="165" t="s">
        <v>945</v>
      </c>
      <c r="LAT92" s="166" t="str">
        <f>VLOOKUP(LAS92,[13]AssetDetails_UEM!$A$3:$AH$1849,6,FALSE)</f>
        <v>Electrosurgical Units, Monopolar/Bipolar</v>
      </c>
      <c r="LAU92" s="165" t="s">
        <v>945</v>
      </c>
      <c r="LAV92" s="166" t="str">
        <f>VLOOKUP(LAU92,[13]AssetDetails_UEM!$A$3:$AH$1849,6,FALSE)</f>
        <v>Electrosurgical Units, Monopolar/Bipolar</v>
      </c>
      <c r="LAW92" s="165" t="s">
        <v>945</v>
      </c>
      <c r="LAX92" s="166" t="str">
        <f>VLOOKUP(LAW92,[13]AssetDetails_UEM!$A$3:$AH$1849,6,FALSE)</f>
        <v>Electrosurgical Units, Monopolar/Bipolar</v>
      </c>
      <c r="LAY92" s="165" t="s">
        <v>945</v>
      </c>
      <c r="LAZ92" s="166" t="str">
        <f>VLOOKUP(LAY92,[13]AssetDetails_UEM!$A$3:$AH$1849,6,FALSE)</f>
        <v>Electrosurgical Units, Monopolar/Bipolar</v>
      </c>
      <c r="LBA92" s="165" t="s">
        <v>945</v>
      </c>
      <c r="LBB92" s="166" t="str">
        <f>VLOOKUP(LBA92,[13]AssetDetails_UEM!$A$3:$AH$1849,6,FALSE)</f>
        <v>Electrosurgical Units, Monopolar/Bipolar</v>
      </c>
      <c r="LBC92" s="165" t="s">
        <v>945</v>
      </c>
      <c r="LBD92" s="166" t="str">
        <f>VLOOKUP(LBC92,[13]AssetDetails_UEM!$A$3:$AH$1849,6,FALSE)</f>
        <v>Electrosurgical Units, Monopolar/Bipolar</v>
      </c>
      <c r="LBE92" s="165" t="s">
        <v>945</v>
      </c>
      <c r="LBF92" s="166" t="str">
        <f>VLOOKUP(LBE92,[13]AssetDetails_UEM!$A$3:$AH$1849,6,FALSE)</f>
        <v>Electrosurgical Units, Monopolar/Bipolar</v>
      </c>
      <c r="LBG92" s="165" t="s">
        <v>945</v>
      </c>
      <c r="LBH92" s="166" t="str">
        <f>VLOOKUP(LBG92,[13]AssetDetails_UEM!$A$3:$AH$1849,6,FALSE)</f>
        <v>Electrosurgical Units, Monopolar/Bipolar</v>
      </c>
      <c r="LBI92" s="165" t="s">
        <v>945</v>
      </c>
      <c r="LBJ92" s="166" t="str">
        <f>VLOOKUP(LBI92,[13]AssetDetails_UEM!$A$3:$AH$1849,6,FALSE)</f>
        <v>Electrosurgical Units, Monopolar/Bipolar</v>
      </c>
      <c r="LBK92" s="165" t="s">
        <v>945</v>
      </c>
      <c r="LBL92" s="166" t="str">
        <f>VLOOKUP(LBK92,[13]AssetDetails_UEM!$A$3:$AH$1849,6,FALSE)</f>
        <v>Electrosurgical Units, Monopolar/Bipolar</v>
      </c>
      <c r="LBM92" s="165" t="s">
        <v>945</v>
      </c>
      <c r="LBN92" s="166" t="str">
        <f>VLOOKUP(LBM92,[13]AssetDetails_UEM!$A$3:$AH$1849,6,FALSE)</f>
        <v>Electrosurgical Units, Monopolar/Bipolar</v>
      </c>
      <c r="LBO92" s="165" t="s">
        <v>945</v>
      </c>
      <c r="LBP92" s="166" t="str">
        <f>VLOOKUP(LBO92,[13]AssetDetails_UEM!$A$3:$AH$1849,6,FALSE)</f>
        <v>Electrosurgical Units, Monopolar/Bipolar</v>
      </c>
      <c r="LBQ92" s="165" t="s">
        <v>945</v>
      </c>
      <c r="LBR92" s="166" t="str">
        <f>VLOOKUP(LBQ92,[13]AssetDetails_UEM!$A$3:$AH$1849,6,FALSE)</f>
        <v>Electrosurgical Units, Monopolar/Bipolar</v>
      </c>
      <c r="LBS92" s="165" t="s">
        <v>945</v>
      </c>
      <c r="LBT92" s="166" t="str">
        <f>VLOOKUP(LBS92,[13]AssetDetails_UEM!$A$3:$AH$1849,6,FALSE)</f>
        <v>Electrosurgical Units, Monopolar/Bipolar</v>
      </c>
      <c r="LBU92" s="165" t="s">
        <v>945</v>
      </c>
      <c r="LBV92" s="166" t="str">
        <f>VLOOKUP(LBU92,[13]AssetDetails_UEM!$A$3:$AH$1849,6,FALSE)</f>
        <v>Electrosurgical Units, Monopolar/Bipolar</v>
      </c>
      <c r="LBW92" s="165" t="s">
        <v>945</v>
      </c>
      <c r="LBX92" s="166" t="str">
        <f>VLOOKUP(LBW92,[13]AssetDetails_UEM!$A$3:$AH$1849,6,FALSE)</f>
        <v>Electrosurgical Units, Monopolar/Bipolar</v>
      </c>
      <c r="LBY92" s="165" t="s">
        <v>945</v>
      </c>
      <c r="LBZ92" s="166" t="str">
        <f>VLOOKUP(LBY92,[13]AssetDetails_UEM!$A$3:$AH$1849,6,FALSE)</f>
        <v>Electrosurgical Units, Monopolar/Bipolar</v>
      </c>
      <c r="LCA92" s="165" t="s">
        <v>945</v>
      </c>
      <c r="LCB92" s="166" t="str">
        <f>VLOOKUP(LCA92,[13]AssetDetails_UEM!$A$3:$AH$1849,6,FALSE)</f>
        <v>Electrosurgical Units, Monopolar/Bipolar</v>
      </c>
      <c r="LCC92" s="165" t="s">
        <v>945</v>
      </c>
      <c r="LCD92" s="166" t="str">
        <f>VLOOKUP(LCC92,[13]AssetDetails_UEM!$A$3:$AH$1849,6,FALSE)</f>
        <v>Electrosurgical Units, Monopolar/Bipolar</v>
      </c>
      <c r="LCE92" s="165" t="s">
        <v>945</v>
      </c>
      <c r="LCF92" s="166" t="str">
        <f>VLOOKUP(LCE92,[13]AssetDetails_UEM!$A$3:$AH$1849,6,FALSE)</f>
        <v>Electrosurgical Units, Monopolar/Bipolar</v>
      </c>
      <c r="LCG92" s="165" t="s">
        <v>945</v>
      </c>
      <c r="LCH92" s="166" t="str">
        <f>VLOOKUP(LCG92,[13]AssetDetails_UEM!$A$3:$AH$1849,6,FALSE)</f>
        <v>Electrosurgical Units, Monopolar/Bipolar</v>
      </c>
      <c r="LCI92" s="165" t="s">
        <v>945</v>
      </c>
      <c r="LCJ92" s="166" t="str">
        <f>VLOOKUP(LCI92,[13]AssetDetails_UEM!$A$3:$AH$1849,6,FALSE)</f>
        <v>Electrosurgical Units, Monopolar/Bipolar</v>
      </c>
      <c r="LCK92" s="165" t="s">
        <v>945</v>
      </c>
      <c r="LCL92" s="166" t="str">
        <f>VLOOKUP(LCK92,[13]AssetDetails_UEM!$A$3:$AH$1849,6,FALSE)</f>
        <v>Electrosurgical Units, Monopolar/Bipolar</v>
      </c>
      <c r="LCM92" s="165" t="s">
        <v>945</v>
      </c>
      <c r="LCN92" s="166" t="str">
        <f>VLOOKUP(LCM92,[13]AssetDetails_UEM!$A$3:$AH$1849,6,FALSE)</f>
        <v>Electrosurgical Units, Monopolar/Bipolar</v>
      </c>
      <c r="LCO92" s="165" t="s">
        <v>945</v>
      </c>
      <c r="LCP92" s="166" t="str">
        <f>VLOOKUP(LCO92,[13]AssetDetails_UEM!$A$3:$AH$1849,6,FALSE)</f>
        <v>Electrosurgical Units, Monopolar/Bipolar</v>
      </c>
      <c r="LCQ92" s="165" t="s">
        <v>945</v>
      </c>
      <c r="LCR92" s="166" t="str">
        <f>VLOOKUP(LCQ92,[13]AssetDetails_UEM!$A$3:$AH$1849,6,FALSE)</f>
        <v>Electrosurgical Units, Monopolar/Bipolar</v>
      </c>
      <c r="LCS92" s="165" t="s">
        <v>945</v>
      </c>
      <c r="LCT92" s="166" t="str">
        <f>VLOOKUP(LCS92,[13]AssetDetails_UEM!$A$3:$AH$1849,6,FALSE)</f>
        <v>Electrosurgical Units, Monopolar/Bipolar</v>
      </c>
      <c r="LCU92" s="165" t="s">
        <v>945</v>
      </c>
      <c r="LCV92" s="166" t="str">
        <f>VLOOKUP(LCU92,[13]AssetDetails_UEM!$A$3:$AH$1849,6,FALSE)</f>
        <v>Electrosurgical Units, Monopolar/Bipolar</v>
      </c>
      <c r="LCW92" s="165" t="s">
        <v>945</v>
      </c>
      <c r="LCX92" s="166" t="str">
        <f>VLOOKUP(LCW92,[13]AssetDetails_UEM!$A$3:$AH$1849,6,FALSE)</f>
        <v>Electrosurgical Units, Monopolar/Bipolar</v>
      </c>
      <c r="LCY92" s="165" t="s">
        <v>945</v>
      </c>
      <c r="LCZ92" s="166" t="str">
        <f>VLOOKUP(LCY92,[13]AssetDetails_UEM!$A$3:$AH$1849,6,FALSE)</f>
        <v>Electrosurgical Units, Monopolar/Bipolar</v>
      </c>
      <c r="LDA92" s="165" t="s">
        <v>945</v>
      </c>
      <c r="LDB92" s="166" t="str">
        <f>VLOOKUP(LDA92,[13]AssetDetails_UEM!$A$3:$AH$1849,6,FALSE)</f>
        <v>Electrosurgical Units, Monopolar/Bipolar</v>
      </c>
      <c r="LDC92" s="165" t="s">
        <v>945</v>
      </c>
      <c r="LDD92" s="166" t="str">
        <f>VLOOKUP(LDC92,[13]AssetDetails_UEM!$A$3:$AH$1849,6,FALSE)</f>
        <v>Electrosurgical Units, Monopolar/Bipolar</v>
      </c>
      <c r="LDE92" s="165" t="s">
        <v>945</v>
      </c>
      <c r="LDF92" s="166" t="str">
        <f>VLOOKUP(LDE92,[13]AssetDetails_UEM!$A$3:$AH$1849,6,FALSE)</f>
        <v>Electrosurgical Units, Monopolar/Bipolar</v>
      </c>
      <c r="LDG92" s="165" t="s">
        <v>945</v>
      </c>
      <c r="LDH92" s="166" t="str">
        <f>VLOOKUP(LDG92,[13]AssetDetails_UEM!$A$3:$AH$1849,6,FALSE)</f>
        <v>Electrosurgical Units, Monopolar/Bipolar</v>
      </c>
      <c r="LDI92" s="165" t="s">
        <v>945</v>
      </c>
      <c r="LDJ92" s="166" t="str">
        <f>VLOOKUP(LDI92,[13]AssetDetails_UEM!$A$3:$AH$1849,6,FALSE)</f>
        <v>Electrosurgical Units, Monopolar/Bipolar</v>
      </c>
      <c r="LDK92" s="165" t="s">
        <v>945</v>
      </c>
      <c r="LDL92" s="166" t="str">
        <f>VLOOKUP(LDK92,[13]AssetDetails_UEM!$A$3:$AH$1849,6,FALSE)</f>
        <v>Electrosurgical Units, Monopolar/Bipolar</v>
      </c>
      <c r="LDM92" s="165" t="s">
        <v>945</v>
      </c>
      <c r="LDN92" s="166" t="str">
        <f>VLOOKUP(LDM92,[13]AssetDetails_UEM!$A$3:$AH$1849,6,FALSE)</f>
        <v>Electrosurgical Units, Monopolar/Bipolar</v>
      </c>
      <c r="LDO92" s="165" t="s">
        <v>945</v>
      </c>
      <c r="LDP92" s="166" t="str">
        <f>VLOOKUP(LDO92,[13]AssetDetails_UEM!$A$3:$AH$1849,6,FALSE)</f>
        <v>Electrosurgical Units, Monopolar/Bipolar</v>
      </c>
      <c r="LDQ92" s="165" t="s">
        <v>945</v>
      </c>
      <c r="LDR92" s="166" t="str">
        <f>VLOOKUP(LDQ92,[13]AssetDetails_UEM!$A$3:$AH$1849,6,FALSE)</f>
        <v>Electrosurgical Units, Monopolar/Bipolar</v>
      </c>
      <c r="LDS92" s="165" t="s">
        <v>945</v>
      </c>
      <c r="LDT92" s="166" t="str">
        <f>VLOOKUP(LDS92,[13]AssetDetails_UEM!$A$3:$AH$1849,6,FALSE)</f>
        <v>Electrosurgical Units, Monopolar/Bipolar</v>
      </c>
      <c r="LDU92" s="165" t="s">
        <v>945</v>
      </c>
      <c r="LDV92" s="166" t="str">
        <f>VLOOKUP(LDU92,[13]AssetDetails_UEM!$A$3:$AH$1849,6,FALSE)</f>
        <v>Electrosurgical Units, Monopolar/Bipolar</v>
      </c>
      <c r="LDW92" s="165" t="s">
        <v>945</v>
      </c>
      <c r="LDX92" s="166" t="str">
        <f>VLOOKUP(LDW92,[13]AssetDetails_UEM!$A$3:$AH$1849,6,FALSE)</f>
        <v>Electrosurgical Units, Monopolar/Bipolar</v>
      </c>
      <c r="LDY92" s="165" t="s">
        <v>945</v>
      </c>
      <c r="LDZ92" s="166" t="str">
        <f>VLOOKUP(LDY92,[13]AssetDetails_UEM!$A$3:$AH$1849,6,FALSE)</f>
        <v>Electrosurgical Units, Monopolar/Bipolar</v>
      </c>
      <c r="LEA92" s="165" t="s">
        <v>945</v>
      </c>
      <c r="LEB92" s="166" t="str">
        <f>VLOOKUP(LEA92,[13]AssetDetails_UEM!$A$3:$AH$1849,6,FALSE)</f>
        <v>Electrosurgical Units, Monopolar/Bipolar</v>
      </c>
      <c r="LEC92" s="165" t="s">
        <v>945</v>
      </c>
      <c r="LED92" s="166" t="str">
        <f>VLOOKUP(LEC92,[13]AssetDetails_UEM!$A$3:$AH$1849,6,FALSE)</f>
        <v>Electrosurgical Units, Monopolar/Bipolar</v>
      </c>
      <c r="LEE92" s="165" t="s">
        <v>945</v>
      </c>
      <c r="LEF92" s="166" t="str">
        <f>VLOOKUP(LEE92,[13]AssetDetails_UEM!$A$3:$AH$1849,6,FALSE)</f>
        <v>Electrosurgical Units, Monopolar/Bipolar</v>
      </c>
      <c r="LEG92" s="165" t="s">
        <v>945</v>
      </c>
      <c r="LEH92" s="166" t="str">
        <f>VLOOKUP(LEG92,[13]AssetDetails_UEM!$A$3:$AH$1849,6,FALSE)</f>
        <v>Electrosurgical Units, Monopolar/Bipolar</v>
      </c>
      <c r="LEI92" s="165" t="s">
        <v>945</v>
      </c>
      <c r="LEJ92" s="166" t="str">
        <f>VLOOKUP(LEI92,[13]AssetDetails_UEM!$A$3:$AH$1849,6,FALSE)</f>
        <v>Electrosurgical Units, Monopolar/Bipolar</v>
      </c>
      <c r="LEK92" s="165" t="s">
        <v>945</v>
      </c>
      <c r="LEL92" s="166" t="str">
        <f>VLOOKUP(LEK92,[13]AssetDetails_UEM!$A$3:$AH$1849,6,FALSE)</f>
        <v>Electrosurgical Units, Monopolar/Bipolar</v>
      </c>
      <c r="LEM92" s="165" t="s">
        <v>945</v>
      </c>
      <c r="LEN92" s="166" t="str">
        <f>VLOOKUP(LEM92,[13]AssetDetails_UEM!$A$3:$AH$1849,6,FALSE)</f>
        <v>Electrosurgical Units, Monopolar/Bipolar</v>
      </c>
      <c r="LEO92" s="165" t="s">
        <v>945</v>
      </c>
      <c r="LEP92" s="166" t="str">
        <f>VLOOKUP(LEO92,[13]AssetDetails_UEM!$A$3:$AH$1849,6,FALSE)</f>
        <v>Electrosurgical Units, Monopolar/Bipolar</v>
      </c>
      <c r="LEQ92" s="165" t="s">
        <v>945</v>
      </c>
      <c r="LER92" s="166" t="str">
        <f>VLOOKUP(LEQ92,[13]AssetDetails_UEM!$A$3:$AH$1849,6,FALSE)</f>
        <v>Electrosurgical Units, Monopolar/Bipolar</v>
      </c>
      <c r="LES92" s="165" t="s">
        <v>945</v>
      </c>
      <c r="LET92" s="166" t="str">
        <f>VLOOKUP(LES92,[13]AssetDetails_UEM!$A$3:$AH$1849,6,FALSE)</f>
        <v>Electrosurgical Units, Monopolar/Bipolar</v>
      </c>
      <c r="LEU92" s="165" t="s">
        <v>945</v>
      </c>
      <c r="LEV92" s="166" t="str">
        <f>VLOOKUP(LEU92,[13]AssetDetails_UEM!$A$3:$AH$1849,6,FALSE)</f>
        <v>Electrosurgical Units, Monopolar/Bipolar</v>
      </c>
      <c r="LEW92" s="165" t="s">
        <v>945</v>
      </c>
      <c r="LEX92" s="166" t="str">
        <f>VLOOKUP(LEW92,[13]AssetDetails_UEM!$A$3:$AH$1849,6,FALSE)</f>
        <v>Electrosurgical Units, Monopolar/Bipolar</v>
      </c>
      <c r="LEY92" s="165" t="s">
        <v>945</v>
      </c>
      <c r="LEZ92" s="166" t="str">
        <f>VLOOKUP(LEY92,[13]AssetDetails_UEM!$A$3:$AH$1849,6,FALSE)</f>
        <v>Electrosurgical Units, Monopolar/Bipolar</v>
      </c>
      <c r="LFA92" s="165" t="s">
        <v>945</v>
      </c>
      <c r="LFB92" s="166" t="str">
        <f>VLOOKUP(LFA92,[13]AssetDetails_UEM!$A$3:$AH$1849,6,FALSE)</f>
        <v>Electrosurgical Units, Monopolar/Bipolar</v>
      </c>
      <c r="LFC92" s="165" t="s">
        <v>945</v>
      </c>
      <c r="LFD92" s="166" t="str">
        <f>VLOOKUP(LFC92,[13]AssetDetails_UEM!$A$3:$AH$1849,6,FALSE)</f>
        <v>Electrosurgical Units, Monopolar/Bipolar</v>
      </c>
      <c r="LFE92" s="165" t="s">
        <v>945</v>
      </c>
      <c r="LFF92" s="166" t="str">
        <f>VLOOKUP(LFE92,[13]AssetDetails_UEM!$A$3:$AH$1849,6,FALSE)</f>
        <v>Electrosurgical Units, Monopolar/Bipolar</v>
      </c>
      <c r="LFG92" s="165" t="s">
        <v>945</v>
      </c>
      <c r="LFH92" s="166" t="str">
        <f>VLOOKUP(LFG92,[13]AssetDetails_UEM!$A$3:$AH$1849,6,FALSE)</f>
        <v>Electrosurgical Units, Monopolar/Bipolar</v>
      </c>
      <c r="LFI92" s="165" t="s">
        <v>945</v>
      </c>
      <c r="LFJ92" s="166" t="str">
        <f>VLOOKUP(LFI92,[13]AssetDetails_UEM!$A$3:$AH$1849,6,FALSE)</f>
        <v>Electrosurgical Units, Monopolar/Bipolar</v>
      </c>
      <c r="LFK92" s="165" t="s">
        <v>945</v>
      </c>
      <c r="LFL92" s="166" t="str">
        <f>VLOOKUP(LFK92,[13]AssetDetails_UEM!$A$3:$AH$1849,6,FALSE)</f>
        <v>Electrosurgical Units, Monopolar/Bipolar</v>
      </c>
      <c r="LFM92" s="165" t="s">
        <v>945</v>
      </c>
      <c r="LFN92" s="166" t="str">
        <f>VLOOKUP(LFM92,[13]AssetDetails_UEM!$A$3:$AH$1849,6,FALSE)</f>
        <v>Electrosurgical Units, Monopolar/Bipolar</v>
      </c>
      <c r="LFO92" s="165" t="s">
        <v>945</v>
      </c>
      <c r="LFP92" s="166" t="str">
        <f>VLOOKUP(LFO92,[13]AssetDetails_UEM!$A$3:$AH$1849,6,FALSE)</f>
        <v>Electrosurgical Units, Monopolar/Bipolar</v>
      </c>
      <c r="LFQ92" s="165" t="s">
        <v>945</v>
      </c>
      <c r="LFR92" s="166" t="str">
        <f>VLOOKUP(LFQ92,[13]AssetDetails_UEM!$A$3:$AH$1849,6,FALSE)</f>
        <v>Electrosurgical Units, Monopolar/Bipolar</v>
      </c>
      <c r="LFS92" s="165" t="s">
        <v>945</v>
      </c>
      <c r="LFT92" s="166" t="str">
        <f>VLOOKUP(LFS92,[13]AssetDetails_UEM!$A$3:$AH$1849,6,FALSE)</f>
        <v>Electrosurgical Units, Monopolar/Bipolar</v>
      </c>
      <c r="LFU92" s="165" t="s">
        <v>945</v>
      </c>
      <c r="LFV92" s="166" t="str">
        <f>VLOOKUP(LFU92,[13]AssetDetails_UEM!$A$3:$AH$1849,6,FALSE)</f>
        <v>Electrosurgical Units, Monopolar/Bipolar</v>
      </c>
      <c r="LFW92" s="165" t="s">
        <v>945</v>
      </c>
      <c r="LFX92" s="166" t="str">
        <f>VLOOKUP(LFW92,[13]AssetDetails_UEM!$A$3:$AH$1849,6,FALSE)</f>
        <v>Electrosurgical Units, Monopolar/Bipolar</v>
      </c>
      <c r="LFY92" s="165" t="s">
        <v>945</v>
      </c>
      <c r="LFZ92" s="166" t="str">
        <f>VLOOKUP(LFY92,[13]AssetDetails_UEM!$A$3:$AH$1849,6,FALSE)</f>
        <v>Electrosurgical Units, Monopolar/Bipolar</v>
      </c>
      <c r="LGA92" s="165" t="s">
        <v>945</v>
      </c>
      <c r="LGB92" s="166" t="str">
        <f>VLOOKUP(LGA92,[13]AssetDetails_UEM!$A$3:$AH$1849,6,FALSE)</f>
        <v>Electrosurgical Units, Monopolar/Bipolar</v>
      </c>
      <c r="LGC92" s="165" t="s">
        <v>945</v>
      </c>
      <c r="LGD92" s="166" t="str">
        <f>VLOOKUP(LGC92,[13]AssetDetails_UEM!$A$3:$AH$1849,6,FALSE)</f>
        <v>Electrosurgical Units, Monopolar/Bipolar</v>
      </c>
      <c r="LGE92" s="165" t="s">
        <v>945</v>
      </c>
      <c r="LGF92" s="166" t="str">
        <f>VLOOKUP(LGE92,[13]AssetDetails_UEM!$A$3:$AH$1849,6,FALSE)</f>
        <v>Electrosurgical Units, Monopolar/Bipolar</v>
      </c>
      <c r="LGG92" s="165" t="s">
        <v>945</v>
      </c>
      <c r="LGH92" s="166" t="str">
        <f>VLOOKUP(LGG92,[13]AssetDetails_UEM!$A$3:$AH$1849,6,FALSE)</f>
        <v>Electrosurgical Units, Monopolar/Bipolar</v>
      </c>
      <c r="LGI92" s="165" t="s">
        <v>945</v>
      </c>
      <c r="LGJ92" s="166" t="str">
        <f>VLOOKUP(LGI92,[13]AssetDetails_UEM!$A$3:$AH$1849,6,FALSE)</f>
        <v>Electrosurgical Units, Monopolar/Bipolar</v>
      </c>
      <c r="LGK92" s="165" t="s">
        <v>945</v>
      </c>
      <c r="LGL92" s="166" t="str">
        <f>VLOOKUP(LGK92,[13]AssetDetails_UEM!$A$3:$AH$1849,6,FALSE)</f>
        <v>Electrosurgical Units, Monopolar/Bipolar</v>
      </c>
      <c r="LGM92" s="165" t="s">
        <v>945</v>
      </c>
      <c r="LGN92" s="166" t="str">
        <f>VLOOKUP(LGM92,[13]AssetDetails_UEM!$A$3:$AH$1849,6,FALSE)</f>
        <v>Electrosurgical Units, Monopolar/Bipolar</v>
      </c>
      <c r="LGO92" s="165" t="s">
        <v>945</v>
      </c>
      <c r="LGP92" s="166" t="str">
        <f>VLOOKUP(LGO92,[13]AssetDetails_UEM!$A$3:$AH$1849,6,FALSE)</f>
        <v>Electrosurgical Units, Monopolar/Bipolar</v>
      </c>
      <c r="LGQ92" s="165" t="s">
        <v>945</v>
      </c>
      <c r="LGR92" s="166" t="str">
        <f>VLOOKUP(LGQ92,[13]AssetDetails_UEM!$A$3:$AH$1849,6,FALSE)</f>
        <v>Electrosurgical Units, Monopolar/Bipolar</v>
      </c>
      <c r="LGS92" s="165" t="s">
        <v>945</v>
      </c>
      <c r="LGT92" s="166" t="str">
        <f>VLOOKUP(LGS92,[13]AssetDetails_UEM!$A$3:$AH$1849,6,FALSE)</f>
        <v>Electrosurgical Units, Monopolar/Bipolar</v>
      </c>
      <c r="LGU92" s="165" t="s">
        <v>945</v>
      </c>
      <c r="LGV92" s="166" t="str">
        <f>VLOOKUP(LGU92,[13]AssetDetails_UEM!$A$3:$AH$1849,6,FALSE)</f>
        <v>Electrosurgical Units, Monopolar/Bipolar</v>
      </c>
      <c r="LGW92" s="165" t="s">
        <v>945</v>
      </c>
      <c r="LGX92" s="166" t="str">
        <f>VLOOKUP(LGW92,[13]AssetDetails_UEM!$A$3:$AH$1849,6,FALSE)</f>
        <v>Electrosurgical Units, Monopolar/Bipolar</v>
      </c>
      <c r="LGY92" s="165" t="s">
        <v>945</v>
      </c>
      <c r="LGZ92" s="166" t="str">
        <f>VLOOKUP(LGY92,[13]AssetDetails_UEM!$A$3:$AH$1849,6,FALSE)</f>
        <v>Electrosurgical Units, Monopolar/Bipolar</v>
      </c>
      <c r="LHA92" s="165" t="s">
        <v>945</v>
      </c>
      <c r="LHB92" s="166" t="str">
        <f>VLOOKUP(LHA92,[13]AssetDetails_UEM!$A$3:$AH$1849,6,FALSE)</f>
        <v>Electrosurgical Units, Monopolar/Bipolar</v>
      </c>
      <c r="LHC92" s="165" t="s">
        <v>945</v>
      </c>
      <c r="LHD92" s="166" t="str">
        <f>VLOOKUP(LHC92,[13]AssetDetails_UEM!$A$3:$AH$1849,6,FALSE)</f>
        <v>Electrosurgical Units, Monopolar/Bipolar</v>
      </c>
      <c r="LHE92" s="165" t="s">
        <v>945</v>
      </c>
      <c r="LHF92" s="166" t="str">
        <f>VLOOKUP(LHE92,[13]AssetDetails_UEM!$A$3:$AH$1849,6,FALSE)</f>
        <v>Electrosurgical Units, Monopolar/Bipolar</v>
      </c>
      <c r="LHG92" s="165" t="s">
        <v>945</v>
      </c>
      <c r="LHH92" s="166" t="str">
        <f>VLOOKUP(LHG92,[13]AssetDetails_UEM!$A$3:$AH$1849,6,FALSE)</f>
        <v>Electrosurgical Units, Monopolar/Bipolar</v>
      </c>
      <c r="LHI92" s="165" t="s">
        <v>945</v>
      </c>
      <c r="LHJ92" s="166" t="str">
        <f>VLOOKUP(LHI92,[13]AssetDetails_UEM!$A$3:$AH$1849,6,FALSE)</f>
        <v>Electrosurgical Units, Monopolar/Bipolar</v>
      </c>
      <c r="LHK92" s="165" t="s">
        <v>945</v>
      </c>
      <c r="LHL92" s="166" t="str">
        <f>VLOOKUP(LHK92,[13]AssetDetails_UEM!$A$3:$AH$1849,6,FALSE)</f>
        <v>Electrosurgical Units, Monopolar/Bipolar</v>
      </c>
      <c r="LHM92" s="165" t="s">
        <v>945</v>
      </c>
      <c r="LHN92" s="166" t="str">
        <f>VLOOKUP(LHM92,[13]AssetDetails_UEM!$A$3:$AH$1849,6,FALSE)</f>
        <v>Electrosurgical Units, Monopolar/Bipolar</v>
      </c>
      <c r="LHO92" s="165" t="s">
        <v>945</v>
      </c>
      <c r="LHP92" s="166" t="str">
        <f>VLOOKUP(LHO92,[13]AssetDetails_UEM!$A$3:$AH$1849,6,FALSE)</f>
        <v>Electrosurgical Units, Monopolar/Bipolar</v>
      </c>
      <c r="LHQ92" s="165" t="s">
        <v>945</v>
      </c>
      <c r="LHR92" s="166" t="str">
        <f>VLOOKUP(LHQ92,[13]AssetDetails_UEM!$A$3:$AH$1849,6,FALSE)</f>
        <v>Electrosurgical Units, Monopolar/Bipolar</v>
      </c>
      <c r="LHS92" s="165" t="s">
        <v>945</v>
      </c>
      <c r="LHT92" s="166" t="str">
        <f>VLOOKUP(LHS92,[13]AssetDetails_UEM!$A$3:$AH$1849,6,FALSE)</f>
        <v>Electrosurgical Units, Monopolar/Bipolar</v>
      </c>
      <c r="LHU92" s="165" t="s">
        <v>945</v>
      </c>
      <c r="LHV92" s="166" t="str">
        <f>VLOOKUP(LHU92,[13]AssetDetails_UEM!$A$3:$AH$1849,6,FALSE)</f>
        <v>Electrosurgical Units, Monopolar/Bipolar</v>
      </c>
      <c r="LHW92" s="165" t="s">
        <v>945</v>
      </c>
      <c r="LHX92" s="166" t="str">
        <f>VLOOKUP(LHW92,[13]AssetDetails_UEM!$A$3:$AH$1849,6,FALSE)</f>
        <v>Electrosurgical Units, Monopolar/Bipolar</v>
      </c>
      <c r="LHY92" s="165" t="s">
        <v>945</v>
      </c>
      <c r="LHZ92" s="166" t="str">
        <f>VLOOKUP(LHY92,[13]AssetDetails_UEM!$A$3:$AH$1849,6,FALSE)</f>
        <v>Electrosurgical Units, Monopolar/Bipolar</v>
      </c>
      <c r="LIA92" s="165" t="s">
        <v>945</v>
      </c>
      <c r="LIB92" s="166" t="str">
        <f>VLOOKUP(LIA92,[13]AssetDetails_UEM!$A$3:$AH$1849,6,FALSE)</f>
        <v>Electrosurgical Units, Monopolar/Bipolar</v>
      </c>
      <c r="LIC92" s="165" t="s">
        <v>945</v>
      </c>
      <c r="LID92" s="166" t="str">
        <f>VLOOKUP(LIC92,[13]AssetDetails_UEM!$A$3:$AH$1849,6,FALSE)</f>
        <v>Electrosurgical Units, Monopolar/Bipolar</v>
      </c>
      <c r="LIE92" s="165" t="s">
        <v>945</v>
      </c>
      <c r="LIF92" s="166" t="str">
        <f>VLOOKUP(LIE92,[13]AssetDetails_UEM!$A$3:$AH$1849,6,FALSE)</f>
        <v>Electrosurgical Units, Monopolar/Bipolar</v>
      </c>
      <c r="LIG92" s="165" t="s">
        <v>945</v>
      </c>
      <c r="LIH92" s="166" t="str">
        <f>VLOOKUP(LIG92,[13]AssetDetails_UEM!$A$3:$AH$1849,6,FALSE)</f>
        <v>Electrosurgical Units, Monopolar/Bipolar</v>
      </c>
      <c r="LII92" s="165" t="s">
        <v>945</v>
      </c>
      <c r="LIJ92" s="166" t="str">
        <f>VLOOKUP(LII92,[13]AssetDetails_UEM!$A$3:$AH$1849,6,FALSE)</f>
        <v>Electrosurgical Units, Monopolar/Bipolar</v>
      </c>
      <c r="LIK92" s="165" t="s">
        <v>945</v>
      </c>
      <c r="LIL92" s="166" t="str">
        <f>VLOOKUP(LIK92,[13]AssetDetails_UEM!$A$3:$AH$1849,6,FALSE)</f>
        <v>Electrosurgical Units, Monopolar/Bipolar</v>
      </c>
      <c r="LIM92" s="165" t="s">
        <v>945</v>
      </c>
      <c r="LIN92" s="166" t="str">
        <f>VLOOKUP(LIM92,[13]AssetDetails_UEM!$A$3:$AH$1849,6,FALSE)</f>
        <v>Electrosurgical Units, Monopolar/Bipolar</v>
      </c>
      <c r="LIO92" s="165" t="s">
        <v>945</v>
      </c>
      <c r="LIP92" s="166" t="str">
        <f>VLOOKUP(LIO92,[13]AssetDetails_UEM!$A$3:$AH$1849,6,FALSE)</f>
        <v>Electrosurgical Units, Monopolar/Bipolar</v>
      </c>
      <c r="LIQ92" s="165" t="s">
        <v>945</v>
      </c>
      <c r="LIR92" s="166" t="str">
        <f>VLOOKUP(LIQ92,[13]AssetDetails_UEM!$A$3:$AH$1849,6,FALSE)</f>
        <v>Electrosurgical Units, Monopolar/Bipolar</v>
      </c>
      <c r="LIS92" s="165" t="s">
        <v>945</v>
      </c>
      <c r="LIT92" s="166" t="str">
        <f>VLOOKUP(LIS92,[13]AssetDetails_UEM!$A$3:$AH$1849,6,FALSE)</f>
        <v>Electrosurgical Units, Monopolar/Bipolar</v>
      </c>
      <c r="LIU92" s="165" t="s">
        <v>945</v>
      </c>
      <c r="LIV92" s="166" t="str">
        <f>VLOOKUP(LIU92,[13]AssetDetails_UEM!$A$3:$AH$1849,6,FALSE)</f>
        <v>Electrosurgical Units, Monopolar/Bipolar</v>
      </c>
      <c r="LIW92" s="165" t="s">
        <v>945</v>
      </c>
      <c r="LIX92" s="166" t="str">
        <f>VLOOKUP(LIW92,[13]AssetDetails_UEM!$A$3:$AH$1849,6,FALSE)</f>
        <v>Electrosurgical Units, Monopolar/Bipolar</v>
      </c>
      <c r="LIY92" s="165" t="s">
        <v>945</v>
      </c>
      <c r="LIZ92" s="166" t="str">
        <f>VLOOKUP(LIY92,[13]AssetDetails_UEM!$A$3:$AH$1849,6,FALSE)</f>
        <v>Electrosurgical Units, Monopolar/Bipolar</v>
      </c>
      <c r="LJA92" s="165" t="s">
        <v>945</v>
      </c>
      <c r="LJB92" s="166" t="str">
        <f>VLOOKUP(LJA92,[13]AssetDetails_UEM!$A$3:$AH$1849,6,FALSE)</f>
        <v>Electrosurgical Units, Monopolar/Bipolar</v>
      </c>
      <c r="LJC92" s="165" t="s">
        <v>945</v>
      </c>
      <c r="LJD92" s="166" t="str">
        <f>VLOOKUP(LJC92,[13]AssetDetails_UEM!$A$3:$AH$1849,6,FALSE)</f>
        <v>Electrosurgical Units, Monopolar/Bipolar</v>
      </c>
      <c r="LJE92" s="165" t="s">
        <v>945</v>
      </c>
      <c r="LJF92" s="166" t="str">
        <f>VLOOKUP(LJE92,[13]AssetDetails_UEM!$A$3:$AH$1849,6,FALSE)</f>
        <v>Electrosurgical Units, Monopolar/Bipolar</v>
      </c>
      <c r="LJG92" s="165" t="s">
        <v>945</v>
      </c>
      <c r="LJH92" s="166" t="str">
        <f>VLOOKUP(LJG92,[13]AssetDetails_UEM!$A$3:$AH$1849,6,FALSE)</f>
        <v>Electrosurgical Units, Monopolar/Bipolar</v>
      </c>
      <c r="LJI92" s="165" t="s">
        <v>945</v>
      </c>
      <c r="LJJ92" s="166" t="str">
        <f>VLOOKUP(LJI92,[13]AssetDetails_UEM!$A$3:$AH$1849,6,FALSE)</f>
        <v>Electrosurgical Units, Monopolar/Bipolar</v>
      </c>
      <c r="LJK92" s="165" t="s">
        <v>945</v>
      </c>
      <c r="LJL92" s="166" t="str">
        <f>VLOOKUP(LJK92,[13]AssetDetails_UEM!$A$3:$AH$1849,6,FALSE)</f>
        <v>Electrosurgical Units, Monopolar/Bipolar</v>
      </c>
      <c r="LJM92" s="165" t="s">
        <v>945</v>
      </c>
      <c r="LJN92" s="166" t="str">
        <f>VLOOKUP(LJM92,[13]AssetDetails_UEM!$A$3:$AH$1849,6,FALSE)</f>
        <v>Electrosurgical Units, Monopolar/Bipolar</v>
      </c>
      <c r="LJO92" s="165" t="s">
        <v>945</v>
      </c>
      <c r="LJP92" s="166" t="str">
        <f>VLOOKUP(LJO92,[13]AssetDetails_UEM!$A$3:$AH$1849,6,FALSE)</f>
        <v>Electrosurgical Units, Monopolar/Bipolar</v>
      </c>
      <c r="LJQ92" s="165" t="s">
        <v>945</v>
      </c>
      <c r="LJR92" s="166" t="str">
        <f>VLOOKUP(LJQ92,[13]AssetDetails_UEM!$A$3:$AH$1849,6,FALSE)</f>
        <v>Electrosurgical Units, Monopolar/Bipolar</v>
      </c>
      <c r="LJS92" s="165" t="s">
        <v>945</v>
      </c>
      <c r="LJT92" s="166" t="str">
        <f>VLOOKUP(LJS92,[13]AssetDetails_UEM!$A$3:$AH$1849,6,FALSE)</f>
        <v>Electrosurgical Units, Monopolar/Bipolar</v>
      </c>
      <c r="LJU92" s="165" t="s">
        <v>945</v>
      </c>
      <c r="LJV92" s="166" t="str">
        <f>VLOOKUP(LJU92,[13]AssetDetails_UEM!$A$3:$AH$1849,6,FALSE)</f>
        <v>Electrosurgical Units, Monopolar/Bipolar</v>
      </c>
      <c r="LJW92" s="165" t="s">
        <v>945</v>
      </c>
      <c r="LJX92" s="166" t="str">
        <f>VLOOKUP(LJW92,[13]AssetDetails_UEM!$A$3:$AH$1849,6,FALSE)</f>
        <v>Electrosurgical Units, Monopolar/Bipolar</v>
      </c>
      <c r="LJY92" s="165" t="s">
        <v>945</v>
      </c>
      <c r="LJZ92" s="166" t="str">
        <f>VLOOKUP(LJY92,[13]AssetDetails_UEM!$A$3:$AH$1849,6,FALSE)</f>
        <v>Electrosurgical Units, Monopolar/Bipolar</v>
      </c>
      <c r="LKA92" s="165" t="s">
        <v>945</v>
      </c>
      <c r="LKB92" s="166" t="str">
        <f>VLOOKUP(LKA92,[13]AssetDetails_UEM!$A$3:$AH$1849,6,FALSE)</f>
        <v>Electrosurgical Units, Monopolar/Bipolar</v>
      </c>
      <c r="LKC92" s="165" t="s">
        <v>945</v>
      </c>
      <c r="LKD92" s="166" t="str">
        <f>VLOOKUP(LKC92,[13]AssetDetails_UEM!$A$3:$AH$1849,6,FALSE)</f>
        <v>Electrosurgical Units, Monopolar/Bipolar</v>
      </c>
      <c r="LKE92" s="165" t="s">
        <v>945</v>
      </c>
      <c r="LKF92" s="166" t="str">
        <f>VLOOKUP(LKE92,[13]AssetDetails_UEM!$A$3:$AH$1849,6,FALSE)</f>
        <v>Electrosurgical Units, Monopolar/Bipolar</v>
      </c>
      <c r="LKG92" s="165" t="s">
        <v>945</v>
      </c>
      <c r="LKH92" s="166" t="str">
        <f>VLOOKUP(LKG92,[13]AssetDetails_UEM!$A$3:$AH$1849,6,FALSE)</f>
        <v>Electrosurgical Units, Monopolar/Bipolar</v>
      </c>
      <c r="LKI92" s="165" t="s">
        <v>945</v>
      </c>
      <c r="LKJ92" s="166" t="str">
        <f>VLOOKUP(LKI92,[13]AssetDetails_UEM!$A$3:$AH$1849,6,FALSE)</f>
        <v>Electrosurgical Units, Monopolar/Bipolar</v>
      </c>
      <c r="LKK92" s="165" t="s">
        <v>945</v>
      </c>
      <c r="LKL92" s="166" t="str">
        <f>VLOOKUP(LKK92,[13]AssetDetails_UEM!$A$3:$AH$1849,6,FALSE)</f>
        <v>Electrosurgical Units, Monopolar/Bipolar</v>
      </c>
      <c r="LKM92" s="165" t="s">
        <v>945</v>
      </c>
      <c r="LKN92" s="166" t="str">
        <f>VLOOKUP(LKM92,[13]AssetDetails_UEM!$A$3:$AH$1849,6,FALSE)</f>
        <v>Electrosurgical Units, Monopolar/Bipolar</v>
      </c>
      <c r="LKO92" s="165" t="s">
        <v>945</v>
      </c>
      <c r="LKP92" s="166" t="str">
        <f>VLOOKUP(LKO92,[13]AssetDetails_UEM!$A$3:$AH$1849,6,FALSE)</f>
        <v>Electrosurgical Units, Monopolar/Bipolar</v>
      </c>
      <c r="LKQ92" s="165" t="s">
        <v>945</v>
      </c>
      <c r="LKR92" s="166" t="str">
        <f>VLOOKUP(LKQ92,[13]AssetDetails_UEM!$A$3:$AH$1849,6,FALSE)</f>
        <v>Electrosurgical Units, Monopolar/Bipolar</v>
      </c>
      <c r="LKS92" s="165" t="s">
        <v>945</v>
      </c>
      <c r="LKT92" s="166" t="str">
        <f>VLOOKUP(LKS92,[13]AssetDetails_UEM!$A$3:$AH$1849,6,FALSE)</f>
        <v>Electrosurgical Units, Monopolar/Bipolar</v>
      </c>
      <c r="LKU92" s="165" t="s">
        <v>945</v>
      </c>
      <c r="LKV92" s="166" t="str">
        <f>VLOOKUP(LKU92,[13]AssetDetails_UEM!$A$3:$AH$1849,6,FALSE)</f>
        <v>Electrosurgical Units, Monopolar/Bipolar</v>
      </c>
      <c r="LKW92" s="165" t="s">
        <v>945</v>
      </c>
      <c r="LKX92" s="166" t="str">
        <f>VLOOKUP(LKW92,[13]AssetDetails_UEM!$A$3:$AH$1849,6,FALSE)</f>
        <v>Electrosurgical Units, Monopolar/Bipolar</v>
      </c>
      <c r="LKY92" s="165" t="s">
        <v>945</v>
      </c>
      <c r="LKZ92" s="166" t="str">
        <f>VLOOKUP(LKY92,[13]AssetDetails_UEM!$A$3:$AH$1849,6,FALSE)</f>
        <v>Electrosurgical Units, Monopolar/Bipolar</v>
      </c>
      <c r="LLA92" s="165" t="s">
        <v>945</v>
      </c>
      <c r="LLB92" s="166" t="str">
        <f>VLOOKUP(LLA92,[13]AssetDetails_UEM!$A$3:$AH$1849,6,FALSE)</f>
        <v>Electrosurgical Units, Monopolar/Bipolar</v>
      </c>
      <c r="LLC92" s="165" t="s">
        <v>945</v>
      </c>
      <c r="LLD92" s="166" t="str">
        <f>VLOOKUP(LLC92,[13]AssetDetails_UEM!$A$3:$AH$1849,6,FALSE)</f>
        <v>Electrosurgical Units, Monopolar/Bipolar</v>
      </c>
      <c r="LLE92" s="165" t="s">
        <v>945</v>
      </c>
      <c r="LLF92" s="166" t="str">
        <f>VLOOKUP(LLE92,[13]AssetDetails_UEM!$A$3:$AH$1849,6,FALSE)</f>
        <v>Electrosurgical Units, Monopolar/Bipolar</v>
      </c>
      <c r="LLG92" s="165" t="s">
        <v>945</v>
      </c>
      <c r="LLH92" s="166" t="str">
        <f>VLOOKUP(LLG92,[13]AssetDetails_UEM!$A$3:$AH$1849,6,FALSE)</f>
        <v>Electrosurgical Units, Monopolar/Bipolar</v>
      </c>
      <c r="LLI92" s="165" t="s">
        <v>945</v>
      </c>
      <c r="LLJ92" s="166" t="str">
        <f>VLOOKUP(LLI92,[13]AssetDetails_UEM!$A$3:$AH$1849,6,FALSE)</f>
        <v>Electrosurgical Units, Monopolar/Bipolar</v>
      </c>
      <c r="LLK92" s="165" t="s">
        <v>945</v>
      </c>
      <c r="LLL92" s="166" t="str">
        <f>VLOOKUP(LLK92,[13]AssetDetails_UEM!$A$3:$AH$1849,6,FALSE)</f>
        <v>Electrosurgical Units, Monopolar/Bipolar</v>
      </c>
      <c r="LLM92" s="165" t="s">
        <v>945</v>
      </c>
      <c r="LLN92" s="166" t="str">
        <f>VLOOKUP(LLM92,[13]AssetDetails_UEM!$A$3:$AH$1849,6,FALSE)</f>
        <v>Electrosurgical Units, Monopolar/Bipolar</v>
      </c>
      <c r="LLO92" s="165" t="s">
        <v>945</v>
      </c>
      <c r="LLP92" s="166" t="str">
        <f>VLOOKUP(LLO92,[13]AssetDetails_UEM!$A$3:$AH$1849,6,FALSE)</f>
        <v>Electrosurgical Units, Monopolar/Bipolar</v>
      </c>
      <c r="LLQ92" s="165" t="s">
        <v>945</v>
      </c>
      <c r="LLR92" s="166" t="str">
        <f>VLOOKUP(LLQ92,[13]AssetDetails_UEM!$A$3:$AH$1849,6,FALSE)</f>
        <v>Electrosurgical Units, Monopolar/Bipolar</v>
      </c>
      <c r="LLS92" s="165" t="s">
        <v>945</v>
      </c>
      <c r="LLT92" s="166" t="str">
        <f>VLOOKUP(LLS92,[13]AssetDetails_UEM!$A$3:$AH$1849,6,FALSE)</f>
        <v>Electrosurgical Units, Monopolar/Bipolar</v>
      </c>
      <c r="LLU92" s="165" t="s">
        <v>945</v>
      </c>
      <c r="LLV92" s="166" t="str">
        <f>VLOOKUP(LLU92,[13]AssetDetails_UEM!$A$3:$AH$1849,6,FALSE)</f>
        <v>Electrosurgical Units, Monopolar/Bipolar</v>
      </c>
      <c r="LLW92" s="165" t="s">
        <v>945</v>
      </c>
      <c r="LLX92" s="166" t="str">
        <f>VLOOKUP(LLW92,[13]AssetDetails_UEM!$A$3:$AH$1849,6,FALSE)</f>
        <v>Electrosurgical Units, Monopolar/Bipolar</v>
      </c>
      <c r="LLY92" s="165" t="s">
        <v>945</v>
      </c>
      <c r="LLZ92" s="166" t="str">
        <f>VLOOKUP(LLY92,[13]AssetDetails_UEM!$A$3:$AH$1849,6,FALSE)</f>
        <v>Electrosurgical Units, Monopolar/Bipolar</v>
      </c>
      <c r="LMA92" s="165" t="s">
        <v>945</v>
      </c>
      <c r="LMB92" s="166" t="str">
        <f>VLOOKUP(LMA92,[13]AssetDetails_UEM!$A$3:$AH$1849,6,FALSE)</f>
        <v>Electrosurgical Units, Monopolar/Bipolar</v>
      </c>
      <c r="LMC92" s="165" t="s">
        <v>945</v>
      </c>
      <c r="LMD92" s="166" t="str">
        <f>VLOOKUP(LMC92,[13]AssetDetails_UEM!$A$3:$AH$1849,6,FALSE)</f>
        <v>Electrosurgical Units, Monopolar/Bipolar</v>
      </c>
      <c r="LME92" s="165" t="s">
        <v>945</v>
      </c>
      <c r="LMF92" s="166" t="str">
        <f>VLOOKUP(LME92,[13]AssetDetails_UEM!$A$3:$AH$1849,6,FALSE)</f>
        <v>Electrosurgical Units, Monopolar/Bipolar</v>
      </c>
      <c r="LMG92" s="165" t="s">
        <v>945</v>
      </c>
      <c r="LMH92" s="166" t="str">
        <f>VLOOKUP(LMG92,[13]AssetDetails_UEM!$A$3:$AH$1849,6,FALSE)</f>
        <v>Electrosurgical Units, Monopolar/Bipolar</v>
      </c>
      <c r="LMI92" s="165" t="s">
        <v>945</v>
      </c>
      <c r="LMJ92" s="166" t="str">
        <f>VLOOKUP(LMI92,[13]AssetDetails_UEM!$A$3:$AH$1849,6,FALSE)</f>
        <v>Electrosurgical Units, Monopolar/Bipolar</v>
      </c>
      <c r="LMK92" s="165" t="s">
        <v>945</v>
      </c>
      <c r="LML92" s="166" t="str">
        <f>VLOOKUP(LMK92,[13]AssetDetails_UEM!$A$3:$AH$1849,6,FALSE)</f>
        <v>Electrosurgical Units, Monopolar/Bipolar</v>
      </c>
      <c r="LMM92" s="165" t="s">
        <v>945</v>
      </c>
      <c r="LMN92" s="166" t="str">
        <f>VLOOKUP(LMM92,[13]AssetDetails_UEM!$A$3:$AH$1849,6,FALSE)</f>
        <v>Electrosurgical Units, Monopolar/Bipolar</v>
      </c>
      <c r="LMO92" s="165" t="s">
        <v>945</v>
      </c>
      <c r="LMP92" s="166" t="str">
        <f>VLOOKUP(LMO92,[13]AssetDetails_UEM!$A$3:$AH$1849,6,FALSE)</f>
        <v>Electrosurgical Units, Monopolar/Bipolar</v>
      </c>
      <c r="LMQ92" s="165" t="s">
        <v>945</v>
      </c>
      <c r="LMR92" s="166" t="str">
        <f>VLOOKUP(LMQ92,[13]AssetDetails_UEM!$A$3:$AH$1849,6,FALSE)</f>
        <v>Electrosurgical Units, Monopolar/Bipolar</v>
      </c>
      <c r="LMS92" s="165" t="s">
        <v>945</v>
      </c>
      <c r="LMT92" s="166" t="str">
        <f>VLOOKUP(LMS92,[13]AssetDetails_UEM!$A$3:$AH$1849,6,FALSE)</f>
        <v>Electrosurgical Units, Monopolar/Bipolar</v>
      </c>
      <c r="LMU92" s="165" t="s">
        <v>945</v>
      </c>
      <c r="LMV92" s="166" t="str">
        <f>VLOOKUP(LMU92,[13]AssetDetails_UEM!$A$3:$AH$1849,6,FALSE)</f>
        <v>Electrosurgical Units, Monopolar/Bipolar</v>
      </c>
      <c r="LMW92" s="165" t="s">
        <v>945</v>
      </c>
      <c r="LMX92" s="166" t="str">
        <f>VLOOKUP(LMW92,[13]AssetDetails_UEM!$A$3:$AH$1849,6,FALSE)</f>
        <v>Electrosurgical Units, Monopolar/Bipolar</v>
      </c>
      <c r="LMY92" s="165" t="s">
        <v>945</v>
      </c>
      <c r="LMZ92" s="166" t="str">
        <f>VLOOKUP(LMY92,[13]AssetDetails_UEM!$A$3:$AH$1849,6,FALSE)</f>
        <v>Electrosurgical Units, Monopolar/Bipolar</v>
      </c>
      <c r="LNA92" s="165" t="s">
        <v>945</v>
      </c>
      <c r="LNB92" s="166" t="str">
        <f>VLOOKUP(LNA92,[13]AssetDetails_UEM!$A$3:$AH$1849,6,FALSE)</f>
        <v>Electrosurgical Units, Monopolar/Bipolar</v>
      </c>
      <c r="LNC92" s="165" t="s">
        <v>945</v>
      </c>
      <c r="LND92" s="166" t="str">
        <f>VLOOKUP(LNC92,[13]AssetDetails_UEM!$A$3:$AH$1849,6,FALSE)</f>
        <v>Electrosurgical Units, Monopolar/Bipolar</v>
      </c>
      <c r="LNE92" s="165" t="s">
        <v>945</v>
      </c>
      <c r="LNF92" s="166" t="str">
        <f>VLOOKUP(LNE92,[13]AssetDetails_UEM!$A$3:$AH$1849,6,FALSE)</f>
        <v>Electrosurgical Units, Monopolar/Bipolar</v>
      </c>
      <c r="LNG92" s="165" t="s">
        <v>945</v>
      </c>
      <c r="LNH92" s="166" t="str">
        <f>VLOOKUP(LNG92,[13]AssetDetails_UEM!$A$3:$AH$1849,6,FALSE)</f>
        <v>Electrosurgical Units, Monopolar/Bipolar</v>
      </c>
      <c r="LNI92" s="165" t="s">
        <v>945</v>
      </c>
      <c r="LNJ92" s="166" t="str">
        <f>VLOOKUP(LNI92,[13]AssetDetails_UEM!$A$3:$AH$1849,6,FALSE)</f>
        <v>Electrosurgical Units, Monopolar/Bipolar</v>
      </c>
      <c r="LNK92" s="165" t="s">
        <v>945</v>
      </c>
      <c r="LNL92" s="166" t="str">
        <f>VLOOKUP(LNK92,[13]AssetDetails_UEM!$A$3:$AH$1849,6,FALSE)</f>
        <v>Electrosurgical Units, Monopolar/Bipolar</v>
      </c>
      <c r="LNM92" s="165" t="s">
        <v>945</v>
      </c>
      <c r="LNN92" s="166" t="str">
        <f>VLOOKUP(LNM92,[13]AssetDetails_UEM!$A$3:$AH$1849,6,FALSE)</f>
        <v>Electrosurgical Units, Monopolar/Bipolar</v>
      </c>
      <c r="LNO92" s="165" t="s">
        <v>945</v>
      </c>
      <c r="LNP92" s="166" t="str">
        <f>VLOOKUP(LNO92,[13]AssetDetails_UEM!$A$3:$AH$1849,6,FALSE)</f>
        <v>Electrosurgical Units, Monopolar/Bipolar</v>
      </c>
      <c r="LNQ92" s="165" t="s">
        <v>945</v>
      </c>
      <c r="LNR92" s="166" t="str">
        <f>VLOOKUP(LNQ92,[13]AssetDetails_UEM!$A$3:$AH$1849,6,FALSE)</f>
        <v>Electrosurgical Units, Monopolar/Bipolar</v>
      </c>
      <c r="LNS92" s="165" t="s">
        <v>945</v>
      </c>
      <c r="LNT92" s="166" t="str">
        <f>VLOOKUP(LNS92,[13]AssetDetails_UEM!$A$3:$AH$1849,6,FALSE)</f>
        <v>Electrosurgical Units, Monopolar/Bipolar</v>
      </c>
      <c r="LNU92" s="165" t="s">
        <v>945</v>
      </c>
      <c r="LNV92" s="166" t="str">
        <f>VLOOKUP(LNU92,[13]AssetDetails_UEM!$A$3:$AH$1849,6,FALSE)</f>
        <v>Electrosurgical Units, Monopolar/Bipolar</v>
      </c>
      <c r="LNW92" s="165" t="s">
        <v>945</v>
      </c>
      <c r="LNX92" s="166" t="str">
        <f>VLOOKUP(LNW92,[13]AssetDetails_UEM!$A$3:$AH$1849,6,FALSE)</f>
        <v>Electrosurgical Units, Monopolar/Bipolar</v>
      </c>
      <c r="LNY92" s="165" t="s">
        <v>945</v>
      </c>
      <c r="LNZ92" s="166" t="str">
        <f>VLOOKUP(LNY92,[13]AssetDetails_UEM!$A$3:$AH$1849,6,FALSE)</f>
        <v>Electrosurgical Units, Monopolar/Bipolar</v>
      </c>
      <c r="LOA92" s="165" t="s">
        <v>945</v>
      </c>
      <c r="LOB92" s="166" t="str">
        <f>VLOOKUP(LOA92,[13]AssetDetails_UEM!$A$3:$AH$1849,6,FALSE)</f>
        <v>Electrosurgical Units, Monopolar/Bipolar</v>
      </c>
      <c r="LOC92" s="165" t="s">
        <v>945</v>
      </c>
      <c r="LOD92" s="166" t="str">
        <f>VLOOKUP(LOC92,[13]AssetDetails_UEM!$A$3:$AH$1849,6,FALSE)</f>
        <v>Electrosurgical Units, Monopolar/Bipolar</v>
      </c>
      <c r="LOE92" s="165" t="s">
        <v>945</v>
      </c>
      <c r="LOF92" s="166" t="str">
        <f>VLOOKUP(LOE92,[13]AssetDetails_UEM!$A$3:$AH$1849,6,FALSE)</f>
        <v>Electrosurgical Units, Monopolar/Bipolar</v>
      </c>
      <c r="LOG92" s="165" t="s">
        <v>945</v>
      </c>
      <c r="LOH92" s="166" t="str">
        <f>VLOOKUP(LOG92,[13]AssetDetails_UEM!$A$3:$AH$1849,6,FALSE)</f>
        <v>Electrosurgical Units, Monopolar/Bipolar</v>
      </c>
      <c r="LOI92" s="165" t="s">
        <v>945</v>
      </c>
      <c r="LOJ92" s="166" t="str">
        <f>VLOOKUP(LOI92,[13]AssetDetails_UEM!$A$3:$AH$1849,6,FALSE)</f>
        <v>Electrosurgical Units, Monopolar/Bipolar</v>
      </c>
      <c r="LOK92" s="165" t="s">
        <v>945</v>
      </c>
      <c r="LOL92" s="166" t="str">
        <f>VLOOKUP(LOK92,[13]AssetDetails_UEM!$A$3:$AH$1849,6,FALSE)</f>
        <v>Electrosurgical Units, Monopolar/Bipolar</v>
      </c>
      <c r="LOM92" s="165" t="s">
        <v>945</v>
      </c>
      <c r="LON92" s="166" t="str">
        <f>VLOOKUP(LOM92,[13]AssetDetails_UEM!$A$3:$AH$1849,6,FALSE)</f>
        <v>Electrosurgical Units, Monopolar/Bipolar</v>
      </c>
      <c r="LOO92" s="165" t="s">
        <v>945</v>
      </c>
      <c r="LOP92" s="166" t="str">
        <f>VLOOKUP(LOO92,[13]AssetDetails_UEM!$A$3:$AH$1849,6,FALSE)</f>
        <v>Electrosurgical Units, Monopolar/Bipolar</v>
      </c>
      <c r="LOQ92" s="165" t="s">
        <v>945</v>
      </c>
      <c r="LOR92" s="166" t="str">
        <f>VLOOKUP(LOQ92,[13]AssetDetails_UEM!$A$3:$AH$1849,6,FALSE)</f>
        <v>Electrosurgical Units, Monopolar/Bipolar</v>
      </c>
      <c r="LOS92" s="165" t="s">
        <v>945</v>
      </c>
      <c r="LOT92" s="166" t="str">
        <f>VLOOKUP(LOS92,[13]AssetDetails_UEM!$A$3:$AH$1849,6,FALSE)</f>
        <v>Electrosurgical Units, Monopolar/Bipolar</v>
      </c>
      <c r="LOU92" s="165" t="s">
        <v>945</v>
      </c>
      <c r="LOV92" s="166" t="str">
        <f>VLOOKUP(LOU92,[13]AssetDetails_UEM!$A$3:$AH$1849,6,FALSE)</f>
        <v>Electrosurgical Units, Monopolar/Bipolar</v>
      </c>
      <c r="LOW92" s="165" t="s">
        <v>945</v>
      </c>
      <c r="LOX92" s="166" t="str">
        <f>VLOOKUP(LOW92,[13]AssetDetails_UEM!$A$3:$AH$1849,6,FALSE)</f>
        <v>Electrosurgical Units, Monopolar/Bipolar</v>
      </c>
      <c r="LOY92" s="165" t="s">
        <v>945</v>
      </c>
      <c r="LOZ92" s="166" t="str">
        <f>VLOOKUP(LOY92,[13]AssetDetails_UEM!$A$3:$AH$1849,6,FALSE)</f>
        <v>Electrosurgical Units, Monopolar/Bipolar</v>
      </c>
      <c r="LPA92" s="165" t="s">
        <v>945</v>
      </c>
      <c r="LPB92" s="166" t="str">
        <f>VLOOKUP(LPA92,[13]AssetDetails_UEM!$A$3:$AH$1849,6,FALSE)</f>
        <v>Electrosurgical Units, Monopolar/Bipolar</v>
      </c>
      <c r="LPC92" s="165" t="s">
        <v>945</v>
      </c>
      <c r="LPD92" s="166" t="str">
        <f>VLOOKUP(LPC92,[13]AssetDetails_UEM!$A$3:$AH$1849,6,FALSE)</f>
        <v>Electrosurgical Units, Monopolar/Bipolar</v>
      </c>
      <c r="LPE92" s="165" t="s">
        <v>945</v>
      </c>
      <c r="LPF92" s="166" t="str">
        <f>VLOOKUP(LPE92,[13]AssetDetails_UEM!$A$3:$AH$1849,6,FALSE)</f>
        <v>Electrosurgical Units, Monopolar/Bipolar</v>
      </c>
      <c r="LPG92" s="165" t="s">
        <v>945</v>
      </c>
      <c r="LPH92" s="166" t="str">
        <f>VLOOKUP(LPG92,[13]AssetDetails_UEM!$A$3:$AH$1849,6,FALSE)</f>
        <v>Electrosurgical Units, Monopolar/Bipolar</v>
      </c>
      <c r="LPI92" s="165" t="s">
        <v>945</v>
      </c>
      <c r="LPJ92" s="166" t="str">
        <f>VLOOKUP(LPI92,[13]AssetDetails_UEM!$A$3:$AH$1849,6,FALSE)</f>
        <v>Electrosurgical Units, Monopolar/Bipolar</v>
      </c>
      <c r="LPK92" s="165" t="s">
        <v>945</v>
      </c>
      <c r="LPL92" s="166" t="str">
        <f>VLOOKUP(LPK92,[13]AssetDetails_UEM!$A$3:$AH$1849,6,FALSE)</f>
        <v>Electrosurgical Units, Monopolar/Bipolar</v>
      </c>
      <c r="LPM92" s="165" t="s">
        <v>945</v>
      </c>
      <c r="LPN92" s="166" t="str">
        <f>VLOOKUP(LPM92,[13]AssetDetails_UEM!$A$3:$AH$1849,6,FALSE)</f>
        <v>Electrosurgical Units, Monopolar/Bipolar</v>
      </c>
      <c r="LPO92" s="165" t="s">
        <v>945</v>
      </c>
      <c r="LPP92" s="166" t="str">
        <f>VLOOKUP(LPO92,[13]AssetDetails_UEM!$A$3:$AH$1849,6,FALSE)</f>
        <v>Electrosurgical Units, Monopolar/Bipolar</v>
      </c>
      <c r="LPQ92" s="165" t="s">
        <v>945</v>
      </c>
      <c r="LPR92" s="166" t="str">
        <f>VLOOKUP(LPQ92,[13]AssetDetails_UEM!$A$3:$AH$1849,6,FALSE)</f>
        <v>Electrosurgical Units, Monopolar/Bipolar</v>
      </c>
      <c r="LPS92" s="165" t="s">
        <v>945</v>
      </c>
      <c r="LPT92" s="166" t="str">
        <f>VLOOKUP(LPS92,[13]AssetDetails_UEM!$A$3:$AH$1849,6,FALSE)</f>
        <v>Electrosurgical Units, Monopolar/Bipolar</v>
      </c>
      <c r="LPU92" s="165" t="s">
        <v>945</v>
      </c>
      <c r="LPV92" s="166" t="str">
        <f>VLOOKUP(LPU92,[13]AssetDetails_UEM!$A$3:$AH$1849,6,FALSE)</f>
        <v>Electrosurgical Units, Monopolar/Bipolar</v>
      </c>
      <c r="LPW92" s="165" t="s">
        <v>945</v>
      </c>
      <c r="LPX92" s="166" t="str">
        <f>VLOOKUP(LPW92,[13]AssetDetails_UEM!$A$3:$AH$1849,6,FALSE)</f>
        <v>Electrosurgical Units, Monopolar/Bipolar</v>
      </c>
      <c r="LPY92" s="165" t="s">
        <v>945</v>
      </c>
      <c r="LPZ92" s="166" t="str">
        <f>VLOOKUP(LPY92,[13]AssetDetails_UEM!$A$3:$AH$1849,6,FALSE)</f>
        <v>Electrosurgical Units, Monopolar/Bipolar</v>
      </c>
      <c r="LQA92" s="165" t="s">
        <v>945</v>
      </c>
      <c r="LQB92" s="166" t="str">
        <f>VLOOKUP(LQA92,[13]AssetDetails_UEM!$A$3:$AH$1849,6,FALSE)</f>
        <v>Electrosurgical Units, Monopolar/Bipolar</v>
      </c>
      <c r="LQC92" s="165" t="s">
        <v>945</v>
      </c>
      <c r="LQD92" s="166" t="str">
        <f>VLOOKUP(LQC92,[13]AssetDetails_UEM!$A$3:$AH$1849,6,FALSE)</f>
        <v>Electrosurgical Units, Monopolar/Bipolar</v>
      </c>
      <c r="LQE92" s="165" t="s">
        <v>945</v>
      </c>
      <c r="LQF92" s="166" t="str">
        <f>VLOOKUP(LQE92,[13]AssetDetails_UEM!$A$3:$AH$1849,6,FALSE)</f>
        <v>Electrosurgical Units, Monopolar/Bipolar</v>
      </c>
      <c r="LQG92" s="165" t="s">
        <v>945</v>
      </c>
      <c r="LQH92" s="166" t="str">
        <f>VLOOKUP(LQG92,[13]AssetDetails_UEM!$A$3:$AH$1849,6,FALSE)</f>
        <v>Electrosurgical Units, Monopolar/Bipolar</v>
      </c>
      <c r="LQI92" s="165" t="s">
        <v>945</v>
      </c>
      <c r="LQJ92" s="166" t="str">
        <f>VLOOKUP(LQI92,[13]AssetDetails_UEM!$A$3:$AH$1849,6,FALSE)</f>
        <v>Electrosurgical Units, Monopolar/Bipolar</v>
      </c>
      <c r="LQK92" s="165" t="s">
        <v>945</v>
      </c>
      <c r="LQL92" s="166" t="str">
        <f>VLOOKUP(LQK92,[13]AssetDetails_UEM!$A$3:$AH$1849,6,FALSE)</f>
        <v>Electrosurgical Units, Monopolar/Bipolar</v>
      </c>
      <c r="LQM92" s="165" t="s">
        <v>945</v>
      </c>
      <c r="LQN92" s="166" t="str">
        <f>VLOOKUP(LQM92,[13]AssetDetails_UEM!$A$3:$AH$1849,6,FALSE)</f>
        <v>Electrosurgical Units, Monopolar/Bipolar</v>
      </c>
      <c r="LQO92" s="165" t="s">
        <v>945</v>
      </c>
      <c r="LQP92" s="166" t="str">
        <f>VLOOKUP(LQO92,[13]AssetDetails_UEM!$A$3:$AH$1849,6,FALSE)</f>
        <v>Electrosurgical Units, Monopolar/Bipolar</v>
      </c>
      <c r="LQQ92" s="165" t="s">
        <v>945</v>
      </c>
      <c r="LQR92" s="166" t="str">
        <f>VLOOKUP(LQQ92,[13]AssetDetails_UEM!$A$3:$AH$1849,6,FALSE)</f>
        <v>Electrosurgical Units, Monopolar/Bipolar</v>
      </c>
      <c r="LQS92" s="165" t="s">
        <v>945</v>
      </c>
      <c r="LQT92" s="166" t="str">
        <f>VLOOKUP(LQS92,[13]AssetDetails_UEM!$A$3:$AH$1849,6,FALSE)</f>
        <v>Electrosurgical Units, Monopolar/Bipolar</v>
      </c>
      <c r="LQU92" s="165" t="s">
        <v>945</v>
      </c>
      <c r="LQV92" s="166" t="str">
        <f>VLOOKUP(LQU92,[13]AssetDetails_UEM!$A$3:$AH$1849,6,FALSE)</f>
        <v>Electrosurgical Units, Monopolar/Bipolar</v>
      </c>
      <c r="LQW92" s="165" t="s">
        <v>945</v>
      </c>
      <c r="LQX92" s="166" t="str">
        <f>VLOOKUP(LQW92,[13]AssetDetails_UEM!$A$3:$AH$1849,6,FALSE)</f>
        <v>Electrosurgical Units, Monopolar/Bipolar</v>
      </c>
      <c r="LQY92" s="165" t="s">
        <v>945</v>
      </c>
      <c r="LQZ92" s="166" t="str">
        <f>VLOOKUP(LQY92,[13]AssetDetails_UEM!$A$3:$AH$1849,6,FALSE)</f>
        <v>Electrosurgical Units, Monopolar/Bipolar</v>
      </c>
      <c r="LRA92" s="165" t="s">
        <v>945</v>
      </c>
      <c r="LRB92" s="166" t="str">
        <f>VLOOKUP(LRA92,[13]AssetDetails_UEM!$A$3:$AH$1849,6,FALSE)</f>
        <v>Electrosurgical Units, Monopolar/Bipolar</v>
      </c>
      <c r="LRC92" s="165" t="s">
        <v>945</v>
      </c>
      <c r="LRD92" s="166" t="str">
        <f>VLOOKUP(LRC92,[13]AssetDetails_UEM!$A$3:$AH$1849,6,FALSE)</f>
        <v>Electrosurgical Units, Monopolar/Bipolar</v>
      </c>
      <c r="LRE92" s="165" t="s">
        <v>945</v>
      </c>
      <c r="LRF92" s="166" t="str">
        <f>VLOOKUP(LRE92,[13]AssetDetails_UEM!$A$3:$AH$1849,6,FALSE)</f>
        <v>Electrosurgical Units, Monopolar/Bipolar</v>
      </c>
      <c r="LRG92" s="165" t="s">
        <v>945</v>
      </c>
      <c r="LRH92" s="166" t="str">
        <f>VLOOKUP(LRG92,[13]AssetDetails_UEM!$A$3:$AH$1849,6,FALSE)</f>
        <v>Electrosurgical Units, Monopolar/Bipolar</v>
      </c>
      <c r="LRI92" s="165" t="s">
        <v>945</v>
      </c>
      <c r="LRJ92" s="166" t="str">
        <f>VLOOKUP(LRI92,[13]AssetDetails_UEM!$A$3:$AH$1849,6,FALSE)</f>
        <v>Electrosurgical Units, Monopolar/Bipolar</v>
      </c>
      <c r="LRK92" s="165" t="s">
        <v>945</v>
      </c>
      <c r="LRL92" s="166" t="str">
        <f>VLOOKUP(LRK92,[13]AssetDetails_UEM!$A$3:$AH$1849,6,FALSE)</f>
        <v>Electrosurgical Units, Monopolar/Bipolar</v>
      </c>
      <c r="LRM92" s="165" t="s">
        <v>945</v>
      </c>
      <c r="LRN92" s="166" t="str">
        <f>VLOOKUP(LRM92,[13]AssetDetails_UEM!$A$3:$AH$1849,6,FALSE)</f>
        <v>Electrosurgical Units, Monopolar/Bipolar</v>
      </c>
      <c r="LRO92" s="165" t="s">
        <v>945</v>
      </c>
      <c r="LRP92" s="166" t="str">
        <f>VLOOKUP(LRO92,[13]AssetDetails_UEM!$A$3:$AH$1849,6,FALSE)</f>
        <v>Electrosurgical Units, Monopolar/Bipolar</v>
      </c>
      <c r="LRQ92" s="165" t="s">
        <v>945</v>
      </c>
      <c r="LRR92" s="166" t="str">
        <f>VLOOKUP(LRQ92,[13]AssetDetails_UEM!$A$3:$AH$1849,6,FALSE)</f>
        <v>Electrosurgical Units, Monopolar/Bipolar</v>
      </c>
      <c r="LRS92" s="165" t="s">
        <v>945</v>
      </c>
      <c r="LRT92" s="166" t="str">
        <f>VLOOKUP(LRS92,[13]AssetDetails_UEM!$A$3:$AH$1849,6,FALSE)</f>
        <v>Electrosurgical Units, Monopolar/Bipolar</v>
      </c>
      <c r="LRU92" s="165" t="s">
        <v>945</v>
      </c>
      <c r="LRV92" s="166" t="str">
        <f>VLOOKUP(LRU92,[13]AssetDetails_UEM!$A$3:$AH$1849,6,FALSE)</f>
        <v>Electrosurgical Units, Monopolar/Bipolar</v>
      </c>
      <c r="LRW92" s="165" t="s">
        <v>945</v>
      </c>
      <c r="LRX92" s="166" t="str">
        <f>VLOOKUP(LRW92,[13]AssetDetails_UEM!$A$3:$AH$1849,6,FALSE)</f>
        <v>Electrosurgical Units, Monopolar/Bipolar</v>
      </c>
      <c r="LRY92" s="165" t="s">
        <v>945</v>
      </c>
      <c r="LRZ92" s="166" t="str">
        <f>VLOOKUP(LRY92,[13]AssetDetails_UEM!$A$3:$AH$1849,6,FALSE)</f>
        <v>Electrosurgical Units, Monopolar/Bipolar</v>
      </c>
      <c r="LSA92" s="165" t="s">
        <v>945</v>
      </c>
      <c r="LSB92" s="166" t="str">
        <f>VLOOKUP(LSA92,[13]AssetDetails_UEM!$A$3:$AH$1849,6,FALSE)</f>
        <v>Electrosurgical Units, Monopolar/Bipolar</v>
      </c>
      <c r="LSC92" s="165" t="s">
        <v>945</v>
      </c>
      <c r="LSD92" s="166" t="str">
        <f>VLOOKUP(LSC92,[13]AssetDetails_UEM!$A$3:$AH$1849,6,FALSE)</f>
        <v>Electrosurgical Units, Monopolar/Bipolar</v>
      </c>
      <c r="LSE92" s="165" t="s">
        <v>945</v>
      </c>
      <c r="LSF92" s="166" t="str">
        <f>VLOOKUP(LSE92,[13]AssetDetails_UEM!$A$3:$AH$1849,6,FALSE)</f>
        <v>Electrosurgical Units, Monopolar/Bipolar</v>
      </c>
      <c r="LSG92" s="165" t="s">
        <v>945</v>
      </c>
      <c r="LSH92" s="166" t="str">
        <f>VLOOKUP(LSG92,[13]AssetDetails_UEM!$A$3:$AH$1849,6,FALSE)</f>
        <v>Electrosurgical Units, Monopolar/Bipolar</v>
      </c>
      <c r="LSI92" s="165" t="s">
        <v>945</v>
      </c>
      <c r="LSJ92" s="166" t="str">
        <f>VLOOKUP(LSI92,[13]AssetDetails_UEM!$A$3:$AH$1849,6,FALSE)</f>
        <v>Electrosurgical Units, Monopolar/Bipolar</v>
      </c>
      <c r="LSK92" s="165" t="s">
        <v>945</v>
      </c>
      <c r="LSL92" s="166" t="str">
        <f>VLOOKUP(LSK92,[13]AssetDetails_UEM!$A$3:$AH$1849,6,FALSE)</f>
        <v>Electrosurgical Units, Monopolar/Bipolar</v>
      </c>
      <c r="LSM92" s="165" t="s">
        <v>945</v>
      </c>
      <c r="LSN92" s="166" t="str">
        <f>VLOOKUP(LSM92,[13]AssetDetails_UEM!$A$3:$AH$1849,6,FALSE)</f>
        <v>Electrosurgical Units, Monopolar/Bipolar</v>
      </c>
      <c r="LSO92" s="165" t="s">
        <v>945</v>
      </c>
      <c r="LSP92" s="166" t="str">
        <f>VLOOKUP(LSO92,[13]AssetDetails_UEM!$A$3:$AH$1849,6,FALSE)</f>
        <v>Electrosurgical Units, Monopolar/Bipolar</v>
      </c>
      <c r="LSQ92" s="165" t="s">
        <v>945</v>
      </c>
      <c r="LSR92" s="166" t="str">
        <f>VLOOKUP(LSQ92,[13]AssetDetails_UEM!$A$3:$AH$1849,6,FALSE)</f>
        <v>Electrosurgical Units, Monopolar/Bipolar</v>
      </c>
      <c r="LSS92" s="165" t="s">
        <v>945</v>
      </c>
      <c r="LST92" s="166" t="str">
        <f>VLOOKUP(LSS92,[13]AssetDetails_UEM!$A$3:$AH$1849,6,FALSE)</f>
        <v>Electrosurgical Units, Monopolar/Bipolar</v>
      </c>
      <c r="LSU92" s="165" t="s">
        <v>945</v>
      </c>
      <c r="LSV92" s="166" t="str">
        <f>VLOOKUP(LSU92,[13]AssetDetails_UEM!$A$3:$AH$1849,6,FALSE)</f>
        <v>Electrosurgical Units, Monopolar/Bipolar</v>
      </c>
      <c r="LSW92" s="165" t="s">
        <v>945</v>
      </c>
      <c r="LSX92" s="166" t="str">
        <f>VLOOKUP(LSW92,[13]AssetDetails_UEM!$A$3:$AH$1849,6,FALSE)</f>
        <v>Electrosurgical Units, Monopolar/Bipolar</v>
      </c>
      <c r="LSY92" s="165" t="s">
        <v>945</v>
      </c>
      <c r="LSZ92" s="166" t="str">
        <f>VLOOKUP(LSY92,[13]AssetDetails_UEM!$A$3:$AH$1849,6,FALSE)</f>
        <v>Electrosurgical Units, Monopolar/Bipolar</v>
      </c>
      <c r="LTA92" s="165" t="s">
        <v>945</v>
      </c>
      <c r="LTB92" s="166" t="str">
        <f>VLOOKUP(LTA92,[13]AssetDetails_UEM!$A$3:$AH$1849,6,FALSE)</f>
        <v>Electrosurgical Units, Monopolar/Bipolar</v>
      </c>
      <c r="LTC92" s="165" t="s">
        <v>945</v>
      </c>
      <c r="LTD92" s="166" t="str">
        <f>VLOOKUP(LTC92,[13]AssetDetails_UEM!$A$3:$AH$1849,6,FALSE)</f>
        <v>Electrosurgical Units, Monopolar/Bipolar</v>
      </c>
      <c r="LTE92" s="165" t="s">
        <v>945</v>
      </c>
      <c r="LTF92" s="166" t="str">
        <f>VLOOKUP(LTE92,[13]AssetDetails_UEM!$A$3:$AH$1849,6,FALSE)</f>
        <v>Electrosurgical Units, Monopolar/Bipolar</v>
      </c>
      <c r="LTG92" s="165" t="s">
        <v>945</v>
      </c>
      <c r="LTH92" s="166" t="str">
        <f>VLOOKUP(LTG92,[13]AssetDetails_UEM!$A$3:$AH$1849,6,FALSE)</f>
        <v>Electrosurgical Units, Monopolar/Bipolar</v>
      </c>
      <c r="LTI92" s="165" t="s">
        <v>945</v>
      </c>
      <c r="LTJ92" s="166" t="str">
        <f>VLOOKUP(LTI92,[13]AssetDetails_UEM!$A$3:$AH$1849,6,FALSE)</f>
        <v>Electrosurgical Units, Monopolar/Bipolar</v>
      </c>
      <c r="LTK92" s="165" t="s">
        <v>945</v>
      </c>
      <c r="LTL92" s="166" t="str">
        <f>VLOOKUP(LTK92,[13]AssetDetails_UEM!$A$3:$AH$1849,6,FALSE)</f>
        <v>Electrosurgical Units, Monopolar/Bipolar</v>
      </c>
      <c r="LTM92" s="165" t="s">
        <v>945</v>
      </c>
      <c r="LTN92" s="166" t="str">
        <f>VLOOKUP(LTM92,[13]AssetDetails_UEM!$A$3:$AH$1849,6,FALSE)</f>
        <v>Electrosurgical Units, Monopolar/Bipolar</v>
      </c>
      <c r="LTO92" s="165" t="s">
        <v>945</v>
      </c>
      <c r="LTP92" s="166" t="str">
        <f>VLOOKUP(LTO92,[13]AssetDetails_UEM!$A$3:$AH$1849,6,FALSE)</f>
        <v>Electrosurgical Units, Monopolar/Bipolar</v>
      </c>
      <c r="LTQ92" s="165" t="s">
        <v>945</v>
      </c>
      <c r="LTR92" s="166" t="str">
        <f>VLOOKUP(LTQ92,[13]AssetDetails_UEM!$A$3:$AH$1849,6,FALSE)</f>
        <v>Electrosurgical Units, Monopolar/Bipolar</v>
      </c>
      <c r="LTS92" s="165" t="s">
        <v>945</v>
      </c>
      <c r="LTT92" s="166" t="str">
        <f>VLOOKUP(LTS92,[13]AssetDetails_UEM!$A$3:$AH$1849,6,FALSE)</f>
        <v>Electrosurgical Units, Monopolar/Bipolar</v>
      </c>
      <c r="LTU92" s="165" t="s">
        <v>945</v>
      </c>
      <c r="LTV92" s="166" t="str">
        <f>VLOOKUP(LTU92,[13]AssetDetails_UEM!$A$3:$AH$1849,6,FALSE)</f>
        <v>Electrosurgical Units, Monopolar/Bipolar</v>
      </c>
      <c r="LTW92" s="165" t="s">
        <v>945</v>
      </c>
      <c r="LTX92" s="166" t="str">
        <f>VLOOKUP(LTW92,[13]AssetDetails_UEM!$A$3:$AH$1849,6,FALSE)</f>
        <v>Electrosurgical Units, Monopolar/Bipolar</v>
      </c>
      <c r="LTY92" s="165" t="s">
        <v>945</v>
      </c>
      <c r="LTZ92" s="166" t="str">
        <f>VLOOKUP(LTY92,[13]AssetDetails_UEM!$A$3:$AH$1849,6,FALSE)</f>
        <v>Electrosurgical Units, Monopolar/Bipolar</v>
      </c>
      <c r="LUA92" s="165" t="s">
        <v>945</v>
      </c>
      <c r="LUB92" s="166" t="str">
        <f>VLOOKUP(LUA92,[13]AssetDetails_UEM!$A$3:$AH$1849,6,FALSE)</f>
        <v>Electrosurgical Units, Monopolar/Bipolar</v>
      </c>
      <c r="LUC92" s="165" t="s">
        <v>945</v>
      </c>
      <c r="LUD92" s="166" t="str">
        <f>VLOOKUP(LUC92,[13]AssetDetails_UEM!$A$3:$AH$1849,6,FALSE)</f>
        <v>Electrosurgical Units, Monopolar/Bipolar</v>
      </c>
      <c r="LUE92" s="165" t="s">
        <v>945</v>
      </c>
      <c r="LUF92" s="166" t="str">
        <f>VLOOKUP(LUE92,[13]AssetDetails_UEM!$A$3:$AH$1849,6,FALSE)</f>
        <v>Electrosurgical Units, Monopolar/Bipolar</v>
      </c>
      <c r="LUG92" s="165" t="s">
        <v>945</v>
      </c>
      <c r="LUH92" s="166" t="str">
        <f>VLOOKUP(LUG92,[13]AssetDetails_UEM!$A$3:$AH$1849,6,FALSE)</f>
        <v>Electrosurgical Units, Monopolar/Bipolar</v>
      </c>
      <c r="LUI92" s="165" t="s">
        <v>945</v>
      </c>
      <c r="LUJ92" s="166" t="str">
        <f>VLOOKUP(LUI92,[13]AssetDetails_UEM!$A$3:$AH$1849,6,FALSE)</f>
        <v>Electrosurgical Units, Monopolar/Bipolar</v>
      </c>
      <c r="LUK92" s="165" t="s">
        <v>945</v>
      </c>
      <c r="LUL92" s="166" t="str">
        <f>VLOOKUP(LUK92,[13]AssetDetails_UEM!$A$3:$AH$1849,6,FALSE)</f>
        <v>Electrosurgical Units, Monopolar/Bipolar</v>
      </c>
      <c r="LUM92" s="165" t="s">
        <v>945</v>
      </c>
      <c r="LUN92" s="166" t="str">
        <f>VLOOKUP(LUM92,[13]AssetDetails_UEM!$A$3:$AH$1849,6,FALSE)</f>
        <v>Electrosurgical Units, Monopolar/Bipolar</v>
      </c>
      <c r="LUO92" s="165" t="s">
        <v>945</v>
      </c>
      <c r="LUP92" s="166" t="str">
        <f>VLOOKUP(LUO92,[13]AssetDetails_UEM!$A$3:$AH$1849,6,FALSE)</f>
        <v>Electrosurgical Units, Monopolar/Bipolar</v>
      </c>
      <c r="LUQ92" s="165" t="s">
        <v>945</v>
      </c>
      <c r="LUR92" s="166" t="str">
        <f>VLOOKUP(LUQ92,[13]AssetDetails_UEM!$A$3:$AH$1849,6,FALSE)</f>
        <v>Electrosurgical Units, Monopolar/Bipolar</v>
      </c>
      <c r="LUS92" s="165" t="s">
        <v>945</v>
      </c>
      <c r="LUT92" s="166" t="str">
        <f>VLOOKUP(LUS92,[13]AssetDetails_UEM!$A$3:$AH$1849,6,FALSE)</f>
        <v>Electrosurgical Units, Monopolar/Bipolar</v>
      </c>
      <c r="LUU92" s="165" t="s">
        <v>945</v>
      </c>
      <c r="LUV92" s="166" t="str">
        <f>VLOOKUP(LUU92,[13]AssetDetails_UEM!$A$3:$AH$1849,6,FALSE)</f>
        <v>Electrosurgical Units, Monopolar/Bipolar</v>
      </c>
      <c r="LUW92" s="165" t="s">
        <v>945</v>
      </c>
      <c r="LUX92" s="166" t="str">
        <f>VLOOKUP(LUW92,[13]AssetDetails_UEM!$A$3:$AH$1849,6,FALSE)</f>
        <v>Electrosurgical Units, Monopolar/Bipolar</v>
      </c>
      <c r="LUY92" s="165" t="s">
        <v>945</v>
      </c>
      <c r="LUZ92" s="166" t="str">
        <f>VLOOKUP(LUY92,[13]AssetDetails_UEM!$A$3:$AH$1849,6,FALSE)</f>
        <v>Electrosurgical Units, Monopolar/Bipolar</v>
      </c>
      <c r="LVA92" s="165" t="s">
        <v>945</v>
      </c>
      <c r="LVB92" s="166" t="str">
        <f>VLOOKUP(LVA92,[13]AssetDetails_UEM!$A$3:$AH$1849,6,FALSE)</f>
        <v>Electrosurgical Units, Monopolar/Bipolar</v>
      </c>
      <c r="LVC92" s="165" t="s">
        <v>945</v>
      </c>
      <c r="LVD92" s="166" t="str">
        <f>VLOOKUP(LVC92,[13]AssetDetails_UEM!$A$3:$AH$1849,6,FALSE)</f>
        <v>Electrosurgical Units, Monopolar/Bipolar</v>
      </c>
      <c r="LVE92" s="165" t="s">
        <v>945</v>
      </c>
      <c r="LVF92" s="166" t="str">
        <f>VLOOKUP(LVE92,[13]AssetDetails_UEM!$A$3:$AH$1849,6,FALSE)</f>
        <v>Electrosurgical Units, Monopolar/Bipolar</v>
      </c>
      <c r="LVG92" s="165" t="s">
        <v>945</v>
      </c>
      <c r="LVH92" s="166" t="str">
        <f>VLOOKUP(LVG92,[13]AssetDetails_UEM!$A$3:$AH$1849,6,FALSE)</f>
        <v>Electrosurgical Units, Monopolar/Bipolar</v>
      </c>
      <c r="LVI92" s="165" t="s">
        <v>945</v>
      </c>
      <c r="LVJ92" s="166" t="str">
        <f>VLOOKUP(LVI92,[13]AssetDetails_UEM!$A$3:$AH$1849,6,FALSE)</f>
        <v>Electrosurgical Units, Monopolar/Bipolar</v>
      </c>
      <c r="LVK92" s="165" t="s">
        <v>945</v>
      </c>
      <c r="LVL92" s="166" t="str">
        <f>VLOOKUP(LVK92,[13]AssetDetails_UEM!$A$3:$AH$1849,6,FALSE)</f>
        <v>Electrosurgical Units, Monopolar/Bipolar</v>
      </c>
      <c r="LVM92" s="165" t="s">
        <v>945</v>
      </c>
      <c r="LVN92" s="166" t="str">
        <f>VLOOKUP(LVM92,[13]AssetDetails_UEM!$A$3:$AH$1849,6,FALSE)</f>
        <v>Electrosurgical Units, Monopolar/Bipolar</v>
      </c>
      <c r="LVO92" s="165" t="s">
        <v>945</v>
      </c>
      <c r="LVP92" s="166" t="str">
        <f>VLOOKUP(LVO92,[13]AssetDetails_UEM!$A$3:$AH$1849,6,FALSE)</f>
        <v>Electrosurgical Units, Monopolar/Bipolar</v>
      </c>
      <c r="LVQ92" s="165" t="s">
        <v>945</v>
      </c>
      <c r="LVR92" s="166" t="str">
        <f>VLOOKUP(LVQ92,[13]AssetDetails_UEM!$A$3:$AH$1849,6,FALSE)</f>
        <v>Electrosurgical Units, Monopolar/Bipolar</v>
      </c>
      <c r="LVS92" s="165" t="s">
        <v>945</v>
      </c>
      <c r="LVT92" s="166" t="str">
        <f>VLOOKUP(LVS92,[13]AssetDetails_UEM!$A$3:$AH$1849,6,FALSE)</f>
        <v>Electrosurgical Units, Monopolar/Bipolar</v>
      </c>
      <c r="LVU92" s="165" t="s">
        <v>945</v>
      </c>
      <c r="LVV92" s="166" t="str">
        <f>VLOOKUP(LVU92,[13]AssetDetails_UEM!$A$3:$AH$1849,6,FALSE)</f>
        <v>Electrosurgical Units, Monopolar/Bipolar</v>
      </c>
      <c r="LVW92" s="165" t="s">
        <v>945</v>
      </c>
      <c r="LVX92" s="166" t="str">
        <f>VLOOKUP(LVW92,[13]AssetDetails_UEM!$A$3:$AH$1849,6,FALSE)</f>
        <v>Electrosurgical Units, Monopolar/Bipolar</v>
      </c>
      <c r="LVY92" s="165" t="s">
        <v>945</v>
      </c>
      <c r="LVZ92" s="166" t="str">
        <f>VLOOKUP(LVY92,[13]AssetDetails_UEM!$A$3:$AH$1849,6,FALSE)</f>
        <v>Electrosurgical Units, Monopolar/Bipolar</v>
      </c>
      <c r="LWA92" s="165" t="s">
        <v>945</v>
      </c>
      <c r="LWB92" s="166" t="str">
        <f>VLOOKUP(LWA92,[13]AssetDetails_UEM!$A$3:$AH$1849,6,FALSE)</f>
        <v>Electrosurgical Units, Monopolar/Bipolar</v>
      </c>
      <c r="LWC92" s="165" t="s">
        <v>945</v>
      </c>
      <c r="LWD92" s="166" t="str">
        <f>VLOOKUP(LWC92,[13]AssetDetails_UEM!$A$3:$AH$1849,6,FALSE)</f>
        <v>Electrosurgical Units, Monopolar/Bipolar</v>
      </c>
      <c r="LWE92" s="165" t="s">
        <v>945</v>
      </c>
      <c r="LWF92" s="166" t="str">
        <f>VLOOKUP(LWE92,[13]AssetDetails_UEM!$A$3:$AH$1849,6,FALSE)</f>
        <v>Electrosurgical Units, Monopolar/Bipolar</v>
      </c>
      <c r="LWG92" s="165" t="s">
        <v>945</v>
      </c>
      <c r="LWH92" s="166" t="str">
        <f>VLOOKUP(LWG92,[13]AssetDetails_UEM!$A$3:$AH$1849,6,FALSE)</f>
        <v>Electrosurgical Units, Monopolar/Bipolar</v>
      </c>
      <c r="LWI92" s="165" t="s">
        <v>945</v>
      </c>
      <c r="LWJ92" s="166" t="str">
        <f>VLOOKUP(LWI92,[13]AssetDetails_UEM!$A$3:$AH$1849,6,FALSE)</f>
        <v>Electrosurgical Units, Monopolar/Bipolar</v>
      </c>
      <c r="LWK92" s="165" t="s">
        <v>945</v>
      </c>
      <c r="LWL92" s="166" t="str">
        <f>VLOOKUP(LWK92,[13]AssetDetails_UEM!$A$3:$AH$1849,6,FALSE)</f>
        <v>Electrosurgical Units, Monopolar/Bipolar</v>
      </c>
      <c r="LWM92" s="165" t="s">
        <v>945</v>
      </c>
      <c r="LWN92" s="166" t="str">
        <f>VLOOKUP(LWM92,[13]AssetDetails_UEM!$A$3:$AH$1849,6,FALSE)</f>
        <v>Electrosurgical Units, Monopolar/Bipolar</v>
      </c>
      <c r="LWO92" s="165" t="s">
        <v>945</v>
      </c>
      <c r="LWP92" s="166" t="str">
        <f>VLOOKUP(LWO92,[13]AssetDetails_UEM!$A$3:$AH$1849,6,FALSE)</f>
        <v>Electrosurgical Units, Monopolar/Bipolar</v>
      </c>
      <c r="LWQ92" s="165" t="s">
        <v>945</v>
      </c>
      <c r="LWR92" s="166" t="str">
        <f>VLOOKUP(LWQ92,[13]AssetDetails_UEM!$A$3:$AH$1849,6,FALSE)</f>
        <v>Electrosurgical Units, Monopolar/Bipolar</v>
      </c>
      <c r="LWS92" s="165" t="s">
        <v>945</v>
      </c>
      <c r="LWT92" s="166" t="str">
        <f>VLOOKUP(LWS92,[13]AssetDetails_UEM!$A$3:$AH$1849,6,FALSE)</f>
        <v>Electrosurgical Units, Monopolar/Bipolar</v>
      </c>
      <c r="LWU92" s="165" t="s">
        <v>945</v>
      </c>
      <c r="LWV92" s="166" t="str">
        <f>VLOOKUP(LWU92,[13]AssetDetails_UEM!$A$3:$AH$1849,6,FALSE)</f>
        <v>Electrosurgical Units, Monopolar/Bipolar</v>
      </c>
      <c r="LWW92" s="165" t="s">
        <v>945</v>
      </c>
      <c r="LWX92" s="166" t="str">
        <f>VLOOKUP(LWW92,[13]AssetDetails_UEM!$A$3:$AH$1849,6,FALSE)</f>
        <v>Electrosurgical Units, Monopolar/Bipolar</v>
      </c>
      <c r="LWY92" s="165" t="s">
        <v>945</v>
      </c>
      <c r="LWZ92" s="166" t="str">
        <f>VLOOKUP(LWY92,[13]AssetDetails_UEM!$A$3:$AH$1849,6,FALSE)</f>
        <v>Electrosurgical Units, Monopolar/Bipolar</v>
      </c>
      <c r="LXA92" s="165" t="s">
        <v>945</v>
      </c>
      <c r="LXB92" s="166" t="str">
        <f>VLOOKUP(LXA92,[13]AssetDetails_UEM!$A$3:$AH$1849,6,FALSE)</f>
        <v>Electrosurgical Units, Monopolar/Bipolar</v>
      </c>
      <c r="LXC92" s="165" t="s">
        <v>945</v>
      </c>
      <c r="LXD92" s="166" t="str">
        <f>VLOOKUP(LXC92,[13]AssetDetails_UEM!$A$3:$AH$1849,6,FALSE)</f>
        <v>Electrosurgical Units, Monopolar/Bipolar</v>
      </c>
      <c r="LXE92" s="165" t="s">
        <v>945</v>
      </c>
      <c r="LXF92" s="166" t="str">
        <f>VLOOKUP(LXE92,[13]AssetDetails_UEM!$A$3:$AH$1849,6,FALSE)</f>
        <v>Electrosurgical Units, Monopolar/Bipolar</v>
      </c>
      <c r="LXG92" s="165" t="s">
        <v>945</v>
      </c>
      <c r="LXH92" s="166" t="str">
        <f>VLOOKUP(LXG92,[13]AssetDetails_UEM!$A$3:$AH$1849,6,FALSE)</f>
        <v>Electrosurgical Units, Monopolar/Bipolar</v>
      </c>
      <c r="LXI92" s="165" t="s">
        <v>945</v>
      </c>
      <c r="LXJ92" s="166" t="str">
        <f>VLOOKUP(LXI92,[13]AssetDetails_UEM!$A$3:$AH$1849,6,FALSE)</f>
        <v>Electrosurgical Units, Monopolar/Bipolar</v>
      </c>
      <c r="LXK92" s="165" t="s">
        <v>945</v>
      </c>
      <c r="LXL92" s="166" t="str">
        <f>VLOOKUP(LXK92,[13]AssetDetails_UEM!$A$3:$AH$1849,6,FALSE)</f>
        <v>Electrosurgical Units, Monopolar/Bipolar</v>
      </c>
      <c r="LXM92" s="165" t="s">
        <v>945</v>
      </c>
      <c r="LXN92" s="166" t="str">
        <f>VLOOKUP(LXM92,[13]AssetDetails_UEM!$A$3:$AH$1849,6,FALSE)</f>
        <v>Electrosurgical Units, Monopolar/Bipolar</v>
      </c>
      <c r="LXO92" s="165" t="s">
        <v>945</v>
      </c>
      <c r="LXP92" s="166" t="str">
        <f>VLOOKUP(LXO92,[13]AssetDetails_UEM!$A$3:$AH$1849,6,FALSE)</f>
        <v>Electrosurgical Units, Monopolar/Bipolar</v>
      </c>
      <c r="LXQ92" s="165" t="s">
        <v>945</v>
      </c>
      <c r="LXR92" s="166" t="str">
        <f>VLOOKUP(LXQ92,[13]AssetDetails_UEM!$A$3:$AH$1849,6,FALSE)</f>
        <v>Electrosurgical Units, Monopolar/Bipolar</v>
      </c>
      <c r="LXS92" s="165" t="s">
        <v>945</v>
      </c>
      <c r="LXT92" s="166" t="str">
        <f>VLOOKUP(LXS92,[13]AssetDetails_UEM!$A$3:$AH$1849,6,FALSE)</f>
        <v>Electrosurgical Units, Monopolar/Bipolar</v>
      </c>
      <c r="LXU92" s="165" t="s">
        <v>945</v>
      </c>
      <c r="LXV92" s="166" t="str">
        <f>VLOOKUP(LXU92,[13]AssetDetails_UEM!$A$3:$AH$1849,6,FALSE)</f>
        <v>Electrosurgical Units, Monopolar/Bipolar</v>
      </c>
      <c r="LXW92" s="165" t="s">
        <v>945</v>
      </c>
      <c r="LXX92" s="166" t="str">
        <f>VLOOKUP(LXW92,[13]AssetDetails_UEM!$A$3:$AH$1849,6,FALSE)</f>
        <v>Electrosurgical Units, Monopolar/Bipolar</v>
      </c>
      <c r="LXY92" s="165" t="s">
        <v>945</v>
      </c>
      <c r="LXZ92" s="166" t="str">
        <f>VLOOKUP(LXY92,[13]AssetDetails_UEM!$A$3:$AH$1849,6,FALSE)</f>
        <v>Electrosurgical Units, Monopolar/Bipolar</v>
      </c>
      <c r="LYA92" s="165" t="s">
        <v>945</v>
      </c>
      <c r="LYB92" s="166" t="str">
        <f>VLOOKUP(LYA92,[13]AssetDetails_UEM!$A$3:$AH$1849,6,FALSE)</f>
        <v>Electrosurgical Units, Monopolar/Bipolar</v>
      </c>
      <c r="LYC92" s="165" t="s">
        <v>945</v>
      </c>
      <c r="LYD92" s="166" t="str">
        <f>VLOOKUP(LYC92,[13]AssetDetails_UEM!$A$3:$AH$1849,6,FALSE)</f>
        <v>Electrosurgical Units, Monopolar/Bipolar</v>
      </c>
      <c r="LYE92" s="165" t="s">
        <v>945</v>
      </c>
      <c r="LYF92" s="166" t="str">
        <f>VLOOKUP(LYE92,[13]AssetDetails_UEM!$A$3:$AH$1849,6,FALSE)</f>
        <v>Electrosurgical Units, Monopolar/Bipolar</v>
      </c>
      <c r="LYG92" s="165" t="s">
        <v>945</v>
      </c>
      <c r="LYH92" s="166" t="str">
        <f>VLOOKUP(LYG92,[13]AssetDetails_UEM!$A$3:$AH$1849,6,FALSE)</f>
        <v>Electrosurgical Units, Monopolar/Bipolar</v>
      </c>
      <c r="LYI92" s="165" t="s">
        <v>945</v>
      </c>
      <c r="LYJ92" s="166" t="str">
        <f>VLOOKUP(LYI92,[13]AssetDetails_UEM!$A$3:$AH$1849,6,FALSE)</f>
        <v>Electrosurgical Units, Monopolar/Bipolar</v>
      </c>
      <c r="LYK92" s="165" t="s">
        <v>945</v>
      </c>
      <c r="LYL92" s="166" t="str">
        <f>VLOOKUP(LYK92,[13]AssetDetails_UEM!$A$3:$AH$1849,6,FALSE)</f>
        <v>Electrosurgical Units, Monopolar/Bipolar</v>
      </c>
      <c r="LYM92" s="165" t="s">
        <v>945</v>
      </c>
      <c r="LYN92" s="166" t="str">
        <f>VLOOKUP(LYM92,[13]AssetDetails_UEM!$A$3:$AH$1849,6,FALSE)</f>
        <v>Electrosurgical Units, Monopolar/Bipolar</v>
      </c>
      <c r="LYO92" s="165" t="s">
        <v>945</v>
      </c>
      <c r="LYP92" s="166" t="str">
        <f>VLOOKUP(LYO92,[13]AssetDetails_UEM!$A$3:$AH$1849,6,FALSE)</f>
        <v>Electrosurgical Units, Monopolar/Bipolar</v>
      </c>
      <c r="LYQ92" s="165" t="s">
        <v>945</v>
      </c>
      <c r="LYR92" s="166" t="str">
        <f>VLOOKUP(LYQ92,[13]AssetDetails_UEM!$A$3:$AH$1849,6,FALSE)</f>
        <v>Electrosurgical Units, Monopolar/Bipolar</v>
      </c>
      <c r="LYS92" s="165" t="s">
        <v>945</v>
      </c>
      <c r="LYT92" s="166" t="str">
        <f>VLOOKUP(LYS92,[13]AssetDetails_UEM!$A$3:$AH$1849,6,FALSE)</f>
        <v>Electrosurgical Units, Monopolar/Bipolar</v>
      </c>
      <c r="LYU92" s="165" t="s">
        <v>945</v>
      </c>
      <c r="LYV92" s="166" t="str">
        <f>VLOOKUP(LYU92,[13]AssetDetails_UEM!$A$3:$AH$1849,6,FALSE)</f>
        <v>Electrosurgical Units, Monopolar/Bipolar</v>
      </c>
      <c r="LYW92" s="165" t="s">
        <v>945</v>
      </c>
      <c r="LYX92" s="166" t="str">
        <f>VLOOKUP(LYW92,[13]AssetDetails_UEM!$A$3:$AH$1849,6,FALSE)</f>
        <v>Electrosurgical Units, Monopolar/Bipolar</v>
      </c>
      <c r="LYY92" s="165" t="s">
        <v>945</v>
      </c>
      <c r="LYZ92" s="166" t="str">
        <f>VLOOKUP(LYY92,[13]AssetDetails_UEM!$A$3:$AH$1849,6,FALSE)</f>
        <v>Electrosurgical Units, Monopolar/Bipolar</v>
      </c>
      <c r="LZA92" s="165" t="s">
        <v>945</v>
      </c>
      <c r="LZB92" s="166" t="str">
        <f>VLOOKUP(LZA92,[13]AssetDetails_UEM!$A$3:$AH$1849,6,FALSE)</f>
        <v>Electrosurgical Units, Monopolar/Bipolar</v>
      </c>
      <c r="LZC92" s="165" t="s">
        <v>945</v>
      </c>
      <c r="LZD92" s="166" t="str">
        <f>VLOOKUP(LZC92,[13]AssetDetails_UEM!$A$3:$AH$1849,6,FALSE)</f>
        <v>Electrosurgical Units, Monopolar/Bipolar</v>
      </c>
      <c r="LZE92" s="165" t="s">
        <v>945</v>
      </c>
      <c r="LZF92" s="166" t="str">
        <f>VLOOKUP(LZE92,[13]AssetDetails_UEM!$A$3:$AH$1849,6,FALSE)</f>
        <v>Electrosurgical Units, Monopolar/Bipolar</v>
      </c>
      <c r="LZG92" s="165" t="s">
        <v>945</v>
      </c>
      <c r="LZH92" s="166" t="str">
        <f>VLOOKUP(LZG92,[13]AssetDetails_UEM!$A$3:$AH$1849,6,FALSE)</f>
        <v>Electrosurgical Units, Monopolar/Bipolar</v>
      </c>
      <c r="LZI92" s="165" t="s">
        <v>945</v>
      </c>
      <c r="LZJ92" s="166" t="str">
        <f>VLOOKUP(LZI92,[13]AssetDetails_UEM!$A$3:$AH$1849,6,FALSE)</f>
        <v>Electrosurgical Units, Monopolar/Bipolar</v>
      </c>
      <c r="LZK92" s="165" t="s">
        <v>945</v>
      </c>
      <c r="LZL92" s="166" t="str">
        <f>VLOOKUP(LZK92,[13]AssetDetails_UEM!$A$3:$AH$1849,6,FALSE)</f>
        <v>Electrosurgical Units, Monopolar/Bipolar</v>
      </c>
      <c r="LZM92" s="165" t="s">
        <v>945</v>
      </c>
      <c r="LZN92" s="166" t="str">
        <f>VLOOKUP(LZM92,[13]AssetDetails_UEM!$A$3:$AH$1849,6,FALSE)</f>
        <v>Electrosurgical Units, Monopolar/Bipolar</v>
      </c>
      <c r="LZO92" s="165" t="s">
        <v>945</v>
      </c>
      <c r="LZP92" s="166" t="str">
        <f>VLOOKUP(LZO92,[13]AssetDetails_UEM!$A$3:$AH$1849,6,FALSE)</f>
        <v>Electrosurgical Units, Monopolar/Bipolar</v>
      </c>
      <c r="LZQ92" s="165" t="s">
        <v>945</v>
      </c>
      <c r="LZR92" s="166" t="str">
        <f>VLOOKUP(LZQ92,[13]AssetDetails_UEM!$A$3:$AH$1849,6,FALSE)</f>
        <v>Electrosurgical Units, Monopolar/Bipolar</v>
      </c>
      <c r="LZS92" s="165" t="s">
        <v>945</v>
      </c>
      <c r="LZT92" s="166" t="str">
        <f>VLOOKUP(LZS92,[13]AssetDetails_UEM!$A$3:$AH$1849,6,FALSE)</f>
        <v>Electrosurgical Units, Monopolar/Bipolar</v>
      </c>
      <c r="LZU92" s="165" t="s">
        <v>945</v>
      </c>
      <c r="LZV92" s="166" t="str">
        <f>VLOOKUP(LZU92,[13]AssetDetails_UEM!$A$3:$AH$1849,6,FALSE)</f>
        <v>Electrosurgical Units, Monopolar/Bipolar</v>
      </c>
      <c r="LZW92" s="165" t="s">
        <v>945</v>
      </c>
      <c r="LZX92" s="166" t="str">
        <f>VLOOKUP(LZW92,[13]AssetDetails_UEM!$A$3:$AH$1849,6,FALSE)</f>
        <v>Electrosurgical Units, Monopolar/Bipolar</v>
      </c>
      <c r="LZY92" s="165" t="s">
        <v>945</v>
      </c>
      <c r="LZZ92" s="166" t="str">
        <f>VLOOKUP(LZY92,[13]AssetDetails_UEM!$A$3:$AH$1849,6,FALSE)</f>
        <v>Electrosurgical Units, Monopolar/Bipolar</v>
      </c>
      <c r="MAA92" s="165" t="s">
        <v>945</v>
      </c>
      <c r="MAB92" s="166" t="str">
        <f>VLOOKUP(MAA92,[13]AssetDetails_UEM!$A$3:$AH$1849,6,FALSE)</f>
        <v>Electrosurgical Units, Monopolar/Bipolar</v>
      </c>
      <c r="MAC92" s="165" t="s">
        <v>945</v>
      </c>
      <c r="MAD92" s="166" t="str">
        <f>VLOOKUP(MAC92,[13]AssetDetails_UEM!$A$3:$AH$1849,6,FALSE)</f>
        <v>Electrosurgical Units, Monopolar/Bipolar</v>
      </c>
      <c r="MAE92" s="165" t="s">
        <v>945</v>
      </c>
      <c r="MAF92" s="166" t="str">
        <f>VLOOKUP(MAE92,[13]AssetDetails_UEM!$A$3:$AH$1849,6,FALSE)</f>
        <v>Electrosurgical Units, Monopolar/Bipolar</v>
      </c>
      <c r="MAG92" s="165" t="s">
        <v>945</v>
      </c>
      <c r="MAH92" s="166" t="str">
        <f>VLOOKUP(MAG92,[13]AssetDetails_UEM!$A$3:$AH$1849,6,FALSE)</f>
        <v>Electrosurgical Units, Monopolar/Bipolar</v>
      </c>
      <c r="MAI92" s="165" t="s">
        <v>945</v>
      </c>
      <c r="MAJ92" s="166" t="str">
        <f>VLOOKUP(MAI92,[13]AssetDetails_UEM!$A$3:$AH$1849,6,FALSE)</f>
        <v>Electrosurgical Units, Monopolar/Bipolar</v>
      </c>
      <c r="MAK92" s="165" t="s">
        <v>945</v>
      </c>
      <c r="MAL92" s="166" t="str">
        <f>VLOOKUP(MAK92,[13]AssetDetails_UEM!$A$3:$AH$1849,6,FALSE)</f>
        <v>Electrosurgical Units, Monopolar/Bipolar</v>
      </c>
      <c r="MAM92" s="165" t="s">
        <v>945</v>
      </c>
      <c r="MAN92" s="166" t="str">
        <f>VLOOKUP(MAM92,[13]AssetDetails_UEM!$A$3:$AH$1849,6,FALSE)</f>
        <v>Electrosurgical Units, Monopolar/Bipolar</v>
      </c>
      <c r="MAO92" s="165" t="s">
        <v>945</v>
      </c>
      <c r="MAP92" s="166" t="str">
        <f>VLOOKUP(MAO92,[13]AssetDetails_UEM!$A$3:$AH$1849,6,FALSE)</f>
        <v>Electrosurgical Units, Monopolar/Bipolar</v>
      </c>
      <c r="MAQ92" s="165" t="s">
        <v>945</v>
      </c>
      <c r="MAR92" s="166" t="str">
        <f>VLOOKUP(MAQ92,[13]AssetDetails_UEM!$A$3:$AH$1849,6,FALSE)</f>
        <v>Electrosurgical Units, Monopolar/Bipolar</v>
      </c>
      <c r="MAS92" s="165" t="s">
        <v>945</v>
      </c>
      <c r="MAT92" s="166" t="str">
        <f>VLOOKUP(MAS92,[13]AssetDetails_UEM!$A$3:$AH$1849,6,FALSE)</f>
        <v>Electrosurgical Units, Monopolar/Bipolar</v>
      </c>
      <c r="MAU92" s="165" t="s">
        <v>945</v>
      </c>
      <c r="MAV92" s="166" t="str">
        <f>VLOOKUP(MAU92,[13]AssetDetails_UEM!$A$3:$AH$1849,6,FALSE)</f>
        <v>Electrosurgical Units, Monopolar/Bipolar</v>
      </c>
      <c r="MAW92" s="165" t="s">
        <v>945</v>
      </c>
      <c r="MAX92" s="166" t="str">
        <f>VLOOKUP(MAW92,[13]AssetDetails_UEM!$A$3:$AH$1849,6,FALSE)</f>
        <v>Electrosurgical Units, Monopolar/Bipolar</v>
      </c>
      <c r="MAY92" s="165" t="s">
        <v>945</v>
      </c>
      <c r="MAZ92" s="166" t="str">
        <f>VLOOKUP(MAY92,[13]AssetDetails_UEM!$A$3:$AH$1849,6,FALSE)</f>
        <v>Electrosurgical Units, Monopolar/Bipolar</v>
      </c>
      <c r="MBA92" s="165" t="s">
        <v>945</v>
      </c>
      <c r="MBB92" s="166" t="str">
        <f>VLOOKUP(MBA92,[13]AssetDetails_UEM!$A$3:$AH$1849,6,FALSE)</f>
        <v>Electrosurgical Units, Monopolar/Bipolar</v>
      </c>
      <c r="MBC92" s="165" t="s">
        <v>945</v>
      </c>
      <c r="MBD92" s="166" t="str">
        <f>VLOOKUP(MBC92,[13]AssetDetails_UEM!$A$3:$AH$1849,6,FALSE)</f>
        <v>Electrosurgical Units, Monopolar/Bipolar</v>
      </c>
      <c r="MBE92" s="165" t="s">
        <v>945</v>
      </c>
      <c r="MBF92" s="166" t="str">
        <f>VLOOKUP(MBE92,[13]AssetDetails_UEM!$A$3:$AH$1849,6,FALSE)</f>
        <v>Electrosurgical Units, Monopolar/Bipolar</v>
      </c>
      <c r="MBG92" s="165" t="s">
        <v>945</v>
      </c>
      <c r="MBH92" s="166" t="str">
        <f>VLOOKUP(MBG92,[13]AssetDetails_UEM!$A$3:$AH$1849,6,FALSE)</f>
        <v>Electrosurgical Units, Monopolar/Bipolar</v>
      </c>
      <c r="MBI92" s="165" t="s">
        <v>945</v>
      </c>
      <c r="MBJ92" s="166" t="str">
        <f>VLOOKUP(MBI92,[13]AssetDetails_UEM!$A$3:$AH$1849,6,FALSE)</f>
        <v>Electrosurgical Units, Monopolar/Bipolar</v>
      </c>
      <c r="MBK92" s="165" t="s">
        <v>945</v>
      </c>
      <c r="MBL92" s="166" t="str">
        <f>VLOOKUP(MBK92,[13]AssetDetails_UEM!$A$3:$AH$1849,6,FALSE)</f>
        <v>Electrosurgical Units, Monopolar/Bipolar</v>
      </c>
      <c r="MBM92" s="165" t="s">
        <v>945</v>
      </c>
      <c r="MBN92" s="166" t="str">
        <f>VLOOKUP(MBM92,[13]AssetDetails_UEM!$A$3:$AH$1849,6,FALSE)</f>
        <v>Electrosurgical Units, Monopolar/Bipolar</v>
      </c>
      <c r="MBO92" s="165" t="s">
        <v>945</v>
      </c>
      <c r="MBP92" s="166" t="str">
        <f>VLOOKUP(MBO92,[13]AssetDetails_UEM!$A$3:$AH$1849,6,FALSE)</f>
        <v>Electrosurgical Units, Monopolar/Bipolar</v>
      </c>
      <c r="MBQ92" s="165" t="s">
        <v>945</v>
      </c>
      <c r="MBR92" s="166" t="str">
        <f>VLOOKUP(MBQ92,[13]AssetDetails_UEM!$A$3:$AH$1849,6,FALSE)</f>
        <v>Electrosurgical Units, Monopolar/Bipolar</v>
      </c>
      <c r="MBS92" s="165" t="s">
        <v>945</v>
      </c>
      <c r="MBT92" s="166" t="str">
        <f>VLOOKUP(MBS92,[13]AssetDetails_UEM!$A$3:$AH$1849,6,FALSE)</f>
        <v>Electrosurgical Units, Monopolar/Bipolar</v>
      </c>
      <c r="MBU92" s="165" t="s">
        <v>945</v>
      </c>
      <c r="MBV92" s="166" t="str">
        <f>VLOOKUP(MBU92,[13]AssetDetails_UEM!$A$3:$AH$1849,6,FALSE)</f>
        <v>Electrosurgical Units, Monopolar/Bipolar</v>
      </c>
      <c r="MBW92" s="165" t="s">
        <v>945</v>
      </c>
      <c r="MBX92" s="166" t="str">
        <f>VLOOKUP(MBW92,[13]AssetDetails_UEM!$A$3:$AH$1849,6,FALSE)</f>
        <v>Electrosurgical Units, Monopolar/Bipolar</v>
      </c>
      <c r="MBY92" s="165" t="s">
        <v>945</v>
      </c>
      <c r="MBZ92" s="166" t="str">
        <f>VLOOKUP(MBY92,[13]AssetDetails_UEM!$A$3:$AH$1849,6,FALSE)</f>
        <v>Electrosurgical Units, Monopolar/Bipolar</v>
      </c>
      <c r="MCA92" s="165" t="s">
        <v>945</v>
      </c>
      <c r="MCB92" s="166" t="str">
        <f>VLOOKUP(MCA92,[13]AssetDetails_UEM!$A$3:$AH$1849,6,FALSE)</f>
        <v>Electrosurgical Units, Monopolar/Bipolar</v>
      </c>
      <c r="MCC92" s="165" t="s">
        <v>945</v>
      </c>
      <c r="MCD92" s="166" t="str">
        <f>VLOOKUP(MCC92,[13]AssetDetails_UEM!$A$3:$AH$1849,6,FALSE)</f>
        <v>Electrosurgical Units, Monopolar/Bipolar</v>
      </c>
      <c r="MCE92" s="165" t="s">
        <v>945</v>
      </c>
      <c r="MCF92" s="166" t="str">
        <f>VLOOKUP(MCE92,[13]AssetDetails_UEM!$A$3:$AH$1849,6,FALSE)</f>
        <v>Electrosurgical Units, Monopolar/Bipolar</v>
      </c>
      <c r="MCG92" s="165" t="s">
        <v>945</v>
      </c>
      <c r="MCH92" s="166" t="str">
        <f>VLOOKUP(MCG92,[13]AssetDetails_UEM!$A$3:$AH$1849,6,FALSE)</f>
        <v>Electrosurgical Units, Monopolar/Bipolar</v>
      </c>
      <c r="MCI92" s="165" t="s">
        <v>945</v>
      </c>
      <c r="MCJ92" s="166" t="str">
        <f>VLOOKUP(MCI92,[13]AssetDetails_UEM!$A$3:$AH$1849,6,FALSE)</f>
        <v>Electrosurgical Units, Monopolar/Bipolar</v>
      </c>
      <c r="MCK92" s="165" t="s">
        <v>945</v>
      </c>
      <c r="MCL92" s="166" t="str">
        <f>VLOOKUP(MCK92,[13]AssetDetails_UEM!$A$3:$AH$1849,6,FALSE)</f>
        <v>Electrosurgical Units, Monopolar/Bipolar</v>
      </c>
      <c r="MCM92" s="165" t="s">
        <v>945</v>
      </c>
      <c r="MCN92" s="166" t="str">
        <f>VLOOKUP(MCM92,[13]AssetDetails_UEM!$A$3:$AH$1849,6,FALSE)</f>
        <v>Electrosurgical Units, Monopolar/Bipolar</v>
      </c>
      <c r="MCO92" s="165" t="s">
        <v>945</v>
      </c>
      <c r="MCP92" s="166" t="str">
        <f>VLOOKUP(MCO92,[13]AssetDetails_UEM!$A$3:$AH$1849,6,FALSE)</f>
        <v>Electrosurgical Units, Monopolar/Bipolar</v>
      </c>
      <c r="MCQ92" s="165" t="s">
        <v>945</v>
      </c>
      <c r="MCR92" s="166" t="str">
        <f>VLOOKUP(MCQ92,[13]AssetDetails_UEM!$A$3:$AH$1849,6,FALSE)</f>
        <v>Electrosurgical Units, Monopolar/Bipolar</v>
      </c>
      <c r="MCS92" s="165" t="s">
        <v>945</v>
      </c>
      <c r="MCT92" s="166" t="str">
        <f>VLOOKUP(MCS92,[13]AssetDetails_UEM!$A$3:$AH$1849,6,FALSE)</f>
        <v>Electrosurgical Units, Monopolar/Bipolar</v>
      </c>
      <c r="MCU92" s="165" t="s">
        <v>945</v>
      </c>
      <c r="MCV92" s="166" t="str">
        <f>VLOOKUP(MCU92,[13]AssetDetails_UEM!$A$3:$AH$1849,6,FALSE)</f>
        <v>Electrosurgical Units, Monopolar/Bipolar</v>
      </c>
      <c r="MCW92" s="165" t="s">
        <v>945</v>
      </c>
      <c r="MCX92" s="166" t="str">
        <f>VLOOKUP(MCW92,[13]AssetDetails_UEM!$A$3:$AH$1849,6,FALSE)</f>
        <v>Electrosurgical Units, Monopolar/Bipolar</v>
      </c>
      <c r="MCY92" s="165" t="s">
        <v>945</v>
      </c>
      <c r="MCZ92" s="166" t="str">
        <f>VLOOKUP(MCY92,[13]AssetDetails_UEM!$A$3:$AH$1849,6,FALSE)</f>
        <v>Electrosurgical Units, Monopolar/Bipolar</v>
      </c>
      <c r="MDA92" s="165" t="s">
        <v>945</v>
      </c>
      <c r="MDB92" s="166" t="str">
        <f>VLOOKUP(MDA92,[13]AssetDetails_UEM!$A$3:$AH$1849,6,FALSE)</f>
        <v>Electrosurgical Units, Monopolar/Bipolar</v>
      </c>
      <c r="MDC92" s="165" t="s">
        <v>945</v>
      </c>
      <c r="MDD92" s="166" t="str">
        <f>VLOOKUP(MDC92,[13]AssetDetails_UEM!$A$3:$AH$1849,6,FALSE)</f>
        <v>Electrosurgical Units, Monopolar/Bipolar</v>
      </c>
      <c r="MDE92" s="165" t="s">
        <v>945</v>
      </c>
      <c r="MDF92" s="166" t="str">
        <f>VLOOKUP(MDE92,[13]AssetDetails_UEM!$A$3:$AH$1849,6,FALSE)</f>
        <v>Electrosurgical Units, Monopolar/Bipolar</v>
      </c>
      <c r="MDG92" s="165" t="s">
        <v>945</v>
      </c>
      <c r="MDH92" s="166" t="str">
        <f>VLOOKUP(MDG92,[13]AssetDetails_UEM!$A$3:$AH$1849,6,FALSE)</f>
        <v>Electrosurgical Units, Monopolar/Bipolar</v>
      </c>
      <c r="MDI92" s="165" t="s">
        <v>945</v>
      </c>
      <c r="MDJ92" s="166" t="str">
        <f>VLOOKUP(MDI92,[13]AssetDetails_UEM!$A$3:$AH$1849,6,FALSE)</f>
        <v>Electrosurgical Units, Monopolar/Bipolar</v>
      </c>
      <c r="MDK92" s="165" t="s">
        <v>945</v>
      </c>
      <c r="MDL92" s="166" t="str">
        <f>VLOOKUP(MDK92,[13]AssetDetails_UEM!$A$3:$AH$1849,6,FALSE)</f>
        <v>Electrosurgical Units, Monopolar/Bipolar</v>
      </c>
      <c r="MDM92" s="165" t="s">
        <v>945</v>
      </c>
      <c r="MDN92" s="166" t="str">
        <f>VLOOKUP(MDM92,[13]AssetDetails_UEM!$A$3:$AH$1849,6,FALSE)</f>
        <v>Electrosurgical Units, Monopolar/Bipolar</v>
      </c>
      <c r="MDO92" s="165" t="s">
        <v>945</v>
      </c>
      <c r="MDP92" s="166" t="str">
        <f>VLOOKUP(MDO92,[13]AssetDetails_UEM!$A$3:$AH$1849,6,FALSE)</f>
        <v>Electrosurgical Units, Monopolar/Bipolar</v>
      </c>
      <c r="MDQ92" s="165" t="s">
        <v>945</v>
      </c>
      <c r="MDR92" s="166" t="str">
        <f>VLOOKUP(MDQ92,[13]AssetDetails_UEM!$A$3:$AH$1849,6,FALSE)</f>
        <v>Electrosurgical Units, Monopolar/Bipolar</v>
      </c>
      <c r="MDS92" s="165" t="s">
        <v>945</v>
      </c>
      <c r="MDT92" s="166" t="str">
        <f>VLOOKUP(MDS92,[13]AssetDetails_UEM!$A$3:$AH$1849,6,FALSE)</f>
        <v>Electrosurgical Units, Monopolar/Bipolar</v>
      </c>
      <c r="MDU92" s="165" t="s">
        <v>945</v>
      </c>
      <c r="MDV92" s="166" t="str">
        <f>VLOOKUP(MDU92,[13]AssetDetails_UEM!$A$3:$AH$1849,6,FALSE)</f>
        <v>Electrosurgical Units, Monopolar/Bipolar</v>
      </c>
      <c r="MDW92" s="165" t="s">
        <v>945</v>
      </c>
      <c r="MDX92" s="166" t="str">
        <f>VLOOKUP(MDW92,[13]AssetDetails_UEM!$A$3:$AH$1849,6,FALSE)</f>
        <v>Electrosurgical Units, Monopolar/Bipolar</v>
      </c>
      <c r="MDY92" s="165" t="s">
        <v>945</v>
      </c>
      <c r="MDZ92" s="166" t="str">
        <f>VLOOKUP(MDY92,[13]AssetDetails_UEM!$A$3:$AH$1849,6,FALSE)</f>
        <v>Electrosurgical Units, Monopolar/Bipolar</v>
      </c>
      <c r="MEA92" s="165" t="s">
        <v>945</v>
      </c>
      <c r="MEB92" s="166" t="str">
        <f>VLOOKUP(MEA92,[13]AssetDetails_UEM!$A$3:$AH$1849,6,FALSE)</f>
        <v>Electrosurgical Units, Monopolar/Bipolar</v>
      </c>
      <c r="MEC92" s="165" t="s">
        <v>945</v>
      </c>
      <c r="MED92" s="166" t="str">
        <f>VLOOKUP(MEC92,[13]AssetDetails_UEM!$A$3:$AH$1849,6,FALSE)</f>
        <v>Electrosurgical Units, Monopolar/Bipolar</v>
      </c>
      <c r="MEE92" s="165" t="s">
        <v>945</v>
      </c>
      <c r="MEF92" s="166" t="str">
        <f>VLOOKUP(MEE92,[13]AssetDetails_UEM!$A$3:$AH$1849,6,FALSE)</f>
        <v>Electrosurgical Units, Monopolar/Bipolar</v>
      </c>
      <c r="MEG92" s="165" t="s">
        <v>945</v>
      </c>
      <c r="MEH92" s="166" t="str">
        <f>VLOOKUP(MEG92,[13]AssetDetails_UEM!$A$3:$AH$1849,6,FALSE)</f>
        <v>Electrosurgical Units, Monopolar/Bipolar</v>
      </c>
      <c r="MEI92" s="165" t="s">
        <v>945</v>
      </c>
      <c r="MEJ92" s="166" t="str">
        <f>VLOOKUP(MEI92,[13]AssetDetails_UEM!$A$3:$AH$1849,6,FALSE)</f>
        <v>Electrosurgical Units, Monopolar/Bipolar</v>
      </c>
      <c r="MEK92" s="165" t="s">
        <v>945</v>
      </c>
      <c r="MEL92" s="166" t="str">
        <f>VLOOKUP(MEK92,[13]AssetDetails_UEM!$A$3:$AH$1849,6,FALSE)</f>
        <v>Electrosurgical Units, Monopolar/Bipolar</v>
      </c>
      <c r="MEM92" s="165" t="s">
        <v>945</v>
      </c>
      <c r="MEN92" s="166" t="str">
        <f>VLOOKUP(MEM92,[13]AssetDetails_UEM!$A$3:$AH$1849,6,FALSE)</f>
        <v>Electrosurgical Units, Monopolar/Bipolar</v>
      </c>
      <c r="MEO92" s="165" t="s">
        <v>945</v>
      </c>
      <c r="MEP92" s="166" t="str">
        <f>VLOOKUP(MEO92,[13]AssetDetails_UEM!$A$3:$AH$1849,6,FALSE)</f>
        <v>Electrosurgical Units, Monopolar/Bipolar</v>
      </c>
      <c r="MEQ92" s="165" t="s">
        <v>945</v>
      </c>
      <c r="MER92" s="166" t="str">
        <f>VLOOKUP(MEQ92,[13]AssetDetails_UEM!$A$3:$AH$1849,6,FALSE)</f>
        <v>Electrosurgical Units, Monopolar/Bipolar</v>
      </c>
      <c r="MES92" s="165" t="s">
        <v>945</v>
      </c>
      <c r="MET92" s="166" t="str">
        <f>VLOOKUP(MES92,[13]AssetDetails_UEM!$A$3:$AH$1849,6,FALSE)</f>
        <v>Electrosurgical Units, Monopolar/Bipolar</v>
      </c>
      <c r="MEU92" s="165" t="s">
        <v>945</v>
      </c>
      <c r="MEV92" s="166" t="str">
        <f>VLOOKUP(MEU92,[13]AssetDetails_UEM!$A$3:$AH$1849,6,FALSE)</f>
        <v>Electrosurgical Units, Monopolar/Bipolar</v>
      </c>
      <c r="MEW92" s="165" t="s">
        <v>945</v>
      </c>
      <c r="MEX92" s="166" t="str">
        <f>VLOOKUP(MEW92,[13]AssetDetails_UEM!$A$3:$AH$1849,6,FALSE)</f>
        <v>Electrosurgical Units, Monopolar/Bipolar</v>
      </c>
      <c r="MEY92" s="165" t="s">
        <v>945</v>
      </c>
      <c r="MEZ92" s="166" t="str">
        <f>VLOOKUP(MEY92,[13]AssetDetails_UEM!$A$3:$AH$1849,6,FALSE)</f>
        <v>Electrosurgical Units, Monopolar/Bipolar</v>
      </c>
      <c r="MFA92" s="165" t="s">
        <v>945</v>
      </c>
      <c r="MFB92" s="166" t="str">
        <f>VLOOKUP(MFA92,[13]AssetDetails_UEM!$A$3:$AH$1849,6,FALSE)</f>
        <v>Electrosurgical Units, Monopolar/Bipolar</v>
      </c>
      <c r="MFC92" s="165" t="s">
        <v>945</v>
      </c>
      <c r="MFD92" s="166" t="str">
        <f>VLOOKUP(MFC92,[13]AssetDetails_UEM!$A$3:$AH$1849,6,FALSE)</f>
        <v>Electrosurgical Units, Monopolar/Bipolar</v>
      </c>
      <c r="MFE92" s="165" t="s">
        <v>945</v>
      </c>
      <c r="MFF92" s="166" t="str">
        <f>VLOOKUP(MFE92,[13]AssetDetails_UEM!$A$3:$AH$1849,6,FALSE)</f>
        <v>Electrosurgical Units, Monopolar/Bipolar</v>
      </c>
      <c r="MFG92" s="165" t="s">
        <v>945</v>
      </c>
      <c r="MFH92" s="166" t="str">
        <f>VLOOKUP(MFG92,[13]AssetDetails_UEM!$A$3:$AH$1849,6,FALSE)</f>
        <v>Electrosurgical Units, Monopolar/Bipolar</v>
      </c>
      <c r="MFI92" s="165" t="s">
        <v>945</v>
      </c>
      <c r="MFJ92" s="166" t="str">
        <f>VLOOKUP(MFI92,[13]AssetDetails_UEM!$A$3:$AH$1849,6,FALSE)</f>
        <v>Electrosurgical Units, Monopolar/Bipolar</v>
      </c>
      <c r="MFK92" s="165" t="s">
        <v>945</v>
      </c>
      <c r="MFL92" s="166" t="str">
        <f>VLOOKUP(MFK92,[13]AssetDetails_UEM!$A$3:$AH$1849,6,FALSE)</f>
        <v>Electrosurgical Units, Monopolar/Bipolar</v>
      </c>
      <c r="MFM92" s="165" t="s">
        <v>945</v>
      </c>
      <c r="MFN92" s="166" t="str">
        <f>VLOOKUP(MFM92,[13]AssetDetails_UEM!$A$3:$AH$1849,6,FALSE)</f>
        <v>Electrosurgical Units, Monopolar/Bipolar</v>
      </c>
      <c r="MFO92" s="165" t="s">
        <v>945</v>
      </c>
      <c r="MFP92" s="166" t="str">
        <f>VLOOKUP(MFO92,[13]AssetDetails_UEM!$A$3:$AH$1849,6,FALSE)</f>
        <v>Electrosurgical Units, Monopolar/Bipolar</v>
      </c>
      <c r="MFQ92" s="165" t="s">
        <v>945</v>
      </c>
      <c r="MFR92" s="166" t="str">
        <f>VLOOKUP(MFQ92,[13]AssetDetails_UEM!$A$3:$AH$1849,6,FALSE)</f>
        <v>Electrosurgical Units, Monopolar/Bipolar</v>
      </c>
      <c r="MFS92" s="165" t="s">
        <v>945</v>
      </c>
      <c r="MFT92" s="166" t="str">
        <f>VLOOKUP(MFS92,[13]AssetDetails_UEM!$A$3:$AH$1849,6,FALSE)</f>
        <v>Electrosurgical Units, Monopolar/Bipolar</v>
      </c>
      <c r="MFU92" s="165" t="s">
        <v>945</v>
      </c>
      <c r="MFV92" s="166" t="str">
        <f>VLOOKUP(MFU92,[13]AssetDetails_UEM!$A$3:$AH$1849,6,FALSE)</f>
        <v>Electrosurgical Units, Monopolar/Bipolar</v>
      </c>
      <c r="MFW92" s="165" t="s">
        <v>945</v>
      </c>
      <c r="MFX92" s="166" t="str">
        <f>VLOOKUP(MFW92,[13]AssetDetails_UEM!$A$3:$AH$1849,6,FALSE)</f>
        <v>Electrosurgical Units, Monopolar/Bipolar</v>
      </c>
      <c r="MFY92" s="165" t="s">
        <v>945</v>
      </c>
      <c r="MFZ92" s="166" t="str">
        <f>VLOOKUP(MFY92,[13]AssetDetails_UEM!$A$3:$AH$1849,6,FALSE)</f>
        <v>Electrosurgical Units, Monopolar/Bipolar</v>
      </c>
      <c r="MGA92" s="165" t="s">
        <v>945</v>
      </c>
      <c r="MGB92" s="166" t="str">
        <f>VLOOKUP(MGA92,[13]AssetDetails_UEM!$A$3:$AH$1849,6,FALSE)</f>
        <v>Electrosurgical Units, Monopolar/Bipolar</v>
      </c>
      <c r="MGC92" s="165" t="s">
        <v>945</v>
      </c>
      <c r="MGD92" s="166" t="str">
        <f>VLOOKUP(MGC92,[13]AssetDetails_UEM!$A$3:$AH$1849,6,FALSE)</f>
        <v>Electrosurgical Units, Monopolar/Bipolar</v>
      </c>
      <c r="MGE92" s="165" t="s">
        <v>945</v>
      </c>
      <c r="MGF92" s="166" t="str">
        <f>VLOOKUP(MGE92,[13]AssetDetails_UEM!$A$3:$AH$1849,6,FALSE)</f>
        <v>Electrosurgical Units, Monopolar/Bipolar</v>
      </c>
      <c r="MGG92" s="165" t="s">
        <v>945</v>
      </c>
      <c r="MGH92" s="166" t="str">
        <f>VLOOKUP(MGG92,[13]AssetDetails_UEM!$A$3:$AH$1849,6,FALSE)</f>
        <v>Electrosurgical Units, Monopolar/Bipolar</v>
      </c>
      <c r="MGI92" s="165" t="s">
        <v>945</v>
      </c>
      <c r="MGJ92" s="166" t="str">
        <f>VLOOKUP(MGI92,[13]AssetDetails_UEM!$A$3:$AH$1849,6,FALSE)</f>
        <v>Electrosurgical Units, Monopolar/Bipolar</v>
      </c>
      <c r="MGK92" s="165" t="s">
        <v>945</v>
      </c>
      <c r="MGL92" s="166" t="str">
        <f>VLOOKUP(MGK92,[13]AssetDetails_UEM!$A$3:$AH$1849,6,FALSE)</f>
        <v>Electrosurgical Units, Monopolar/Bipolar</v>
      </c>
      <c r="MGM92" s="165" t="s">
        <v>945</v>
      </c>
      <c r="MGN92" s="166" t="str">
        <f>VLOOKUP(MGM92,[13]AssetDetails_UEM!$A$3:$AH$1849,6,FALSE)</f>
        <v>Electrosurgical Units, Monopolar/Bipolar</v>
      </c>
      <c r="MGO92" s="165" t="s">
        <v>945</v>
      </c>
      <c r="MGP92" s="166" t="str">
        <f>VLOOKUP(MGO92,[13]AssetDetails_UEM!$A$3:$AH$1849,6,FALSE)</f>
        <v>Electrosurgical Units, Monopolar/Bipolar</v>
      </c>
      <c r="MGQ92" s="165" t="s">
        <v>945</v>
      </c>
      <c r="MGR92" s="166" t="str">
        <f>VLOOKUP(MGQ92,[13]AssetDetails_UEM!$A$3:$AH$1849,6,FALSE)</f>
        <v>Electrosurgical Units, Monopolar/Bipolar</v>
      </c>
      <c r="MGS92" s="165" t="s">
        <v>945</v>
      </c>
      <c r="MGT92" s="166" t="str">
        <f>VLOOKUP(MGS92,[13]AssetDetails_UEM!$A$3:$AH$1849,6,FALSE)</f>
        <v>Electrosurgical Units, Monopolar/Bipolar</v>
      </c>
      <c r="MGU92" s="165" t="s">
        <v>945</v>
      </c>
      <c r="MGV92" s="166" t="str">
        <f>VLOOKUP(MGU92,[13]AssetDetails_UEM!$A$3:$AH$1849,6,FALSE)</f>
        <v>Electrosurgical Units, Monopolar/Bipolar</v>
      </c>
      <c r="MGW92" s="165" t="s">
        <v>945</v>
      </c>
      <c r="MGX92" s="166" t="str">
        <f>VLOOKUP(MGW92,[13]AssetDetails_UEM!$A$3:$AH$1849,6,FALSE)</f>
        <v>Electrosurgical Units, Monopolar/Bipolar</v>
      </c>
      <c r="MGY92" s="165" t="s">
        <v>945</v>
      </c>
      <c r="MGZ92" s="166" t="str">
        <f>VLOOKUP(MGY92,[13]AssetDetails_UEM!$A$3:$AH$1849,6,FALSE)</f>
        <v>Electrosurgical Units, Monopolar/Bipolar</v>
      </c>
      <c r="MHA92" s="165" t="s">
        <v>945</v>
      </c>
      <c r="MHB92" s="166" t="str">
        <f>VLOOKUP(MHA92,[13]AssetDetails_UEM!$A$3:$AH$1849,6,FALSE)</f>
        <v>Electrosurgical Units, Monopolar/Bipolar</v>
      </c>
      <c r="MHC92" s="165" t="s">
        <v>945</v>
      </c>
      <c r="MHD92" s="166" t="str">
        <f>VLOOKUP(MHC92,[13]AssetDetails_UEM!$A$3:$AH$1849,6,FALSE)</f>
        <v>Electrosurgical Units, Monopolar/Bipolar</v>
      </c>
      <c r="MHE92" s="165" t="s">
        <v>945</v>
      </c>
      <c r="MHF92" s="166" t="str">
        <f>VLOOKUP(MHE92,[13]AssetDetails_UEM!$A$3:$AH$1849,6,FALSE)</f>
        <v>Electrosurgical Units, Monopolar/Bipolar</v>
      </c>
      <c r="MHG92" s="165" t="s">
        <v>945</v>
      </c>
      <c r="MHH92" s="166" t="str">
        <f>VLOOKUP(MHG92,[13]AssetDetails_UEM!$A$3:$AH$1849,6,FALSE)</f>
        <v>Electrosurgical Units, Monopolar/Bipolar</v>
      </c>
      <c r="MHI92" s="165" t="s">
        <v>945</v>
      </c>
      <c r="MHJ92" s="166" t="str">
        <f>VLOOKUP(MHI92,[13]AssetDetails_UEM!$A$3:$AH$1849,6,FALSE)</f>
        <v>Electrosurgical Units, Monopolar/Bipolar</v>
      </c>
      <c r="MHK92" s="165" t="s">
        <v>945</v>
      </c>
      <c r="MHL92" s="166" t="str">
        <f>VLOOKUP(MHK92,[13]AssetDetails_UEM!$A$3:$AH$1849,6,FALSE)</f>
        <v>Electrosurgical Units, Monopolar/Bipolar</v>
      </c>
      <c r="MHM92" s="165" t="s">
        <v>945</v>
      </c>
      <c r="MHN92" s="166" t="str">
        <f>VLOOKUP(MHM92,[13]AssetDetails_UEM!$A$3:$AH$1849,6,FALSE)</f>
        <v>Electrosurgical Units, Monopolar/Bipolar</v>
      </c>
      <c r="MHO92" s="165" t="s">
        <v>945</v>
      </c>
      <c r="MHP92" s="166" t="str">
        <f>VLOOKUP(MHO92,[13]AssetDetails_UEM!$A$3:$AH$1849,6,FALSE)</f>
        <v>Electrosurgical Units, Monopolar/Bipolar</v>
      </c>
      <c r="MHQ92" s="165" t="s">
        <v>945</v>
      </c>
      <c r="MHR92" s="166" t="str">
        <f>VLOOKUP(MHQ92,[13]AssetDetails_UEM!$A$3:$AH$1849,6,FALSE)</f>
        <v>Electrosurgical Units, Monopolar/Bipolar</v>
      </c>
      <c r="MHS92" s="165" t="s">
        <v>945</v>
      </c>
      <c r="MHT92" s="166" t="str">
        <f>VLOOKUP(MHS92,[13]AssetDetails_UEM!$A$3:$AH$1849,6,FALSE)</f>
        <v>Electrosurgical Units, Monopolar/Bipolar</v>
      </c>
      <c r="MHU92" s="165" t="s">
        <v>945</v>
      </c>
      <c r="MHV92" s="166" t="str">
        <f>VLOOKUP(MHU92,[13]AssetDetails_UEM!$A$3:$AH$1849,6,FALSE)</f>
        <v>Electrosurgical Units, Monopolar/Bipolar</v>
      </c>
      <c r="MHW92" s="165" t="s">
        <v>945</v>
      </c>
      <c r="MHX92" s="166" t="str">
        <f>VLOOKUP(MHW92,[13]AssetDetails_UEM!$A$3:$AH$1849,6,FALSE)</f>
        <v>Electrosurgical Units, Monopolar/Bipolar</v>
      </c>
      <c r="MHY92" s="165" t="s">
        <v>945</v>
      </c>
      <c r="MHZ92" s="166" t="str">
        <f>VLOOKUP(MHY92,[13]AssetDetails_UEM!$A$3:$AH$1849,6,FALSE)</f>
        <v>Electrosurgical Units, Monopolar/Bipolar</v>
      </c>
      <c r="MIA92" s="165" t="s">
        <v>945</v>
      </c>
      <c r="MIB92" s="166" t="str">
        <f>VLOOKUP(MIA92,[13]AssetDetails_UEM!$A$3:$AH$1849,6,FALSE)</f>
        <v>Electrosurgical Units, Monopolar/Bipolar</v>
      </c>
      <c r="MIC92" s="165" t="s">
        <v>945</v>
      </c>
      <c r="MID92" s="166" t="str">
        <f>VLOOKUP(MIC92,[13]AssetDetails_UEM!$A$3:$AH$1849,6,FALSE)</f>
        <v>Electrosurgical Units, Monopolar/Bipolar</v>
      </c>
      <c r="MIE92" s="165" t="s">
        <v>945</v>
      </c>
      <c r="MIF92" s="166" t="str">
        <f>VLOOKUP(MIE92,[13]AssetDetails_UEM!$A$3:$AH$1849,6,FALSE)</f>
        <v>Electrosurgical Units, Monopolar/Bipolar</v>
      </c>
      <c r="MIG92" s="165" t="s">
        <v>945</v>
      </c>
      <c r="MIH92" s="166" t="str">
        <f>VLOOKUP(MIG92,[13]AssetDetails_UEM!$A$3:$AH$1849,6,FALSE)</f>
        <v>Electrosurgical Units, Monopolar/Bipolar</v>
      </c>
      <c r="MII92" s="165" t="s">
        <v>945</v>
      </c>
      <c r="MIJ92" s="166" t="str">
        <f>VLOOKUP(MII92,[13]AssetDetails_UEM!$A$3:$AH$1849,6,FALSE)</f>
        <v>Electrosurgical Units, Monopolar/Bipolar</v>
      </c>
      <c r="MIK92" s="165" t="s">
        <v>945</v>
      </c>
      <c r="MIL92" s="166" t="str">
        <f>VLOOKUP(MIK92,[13]AssetDetails_UEM!$A$3:$AH$1849,6,FALSE)</f>
        <v>Electrosurgical Units, Monopolar/Bipolar</v>
      </c>
      <c r="MIM92" s="165" t="s">
        <v>945</v>
      </c>
      <c r="MIN92" s="166" t="str">
        <f>VLOOKUP(MIM92,[13]AssetDetails_UEM!$A$3:$AH$1849,6,FALSE)</f>
        <v>Electrosurgical Units, Monopolar/Bipolar</v>
      </c>
      <c r="MIO92" s="165" t="s">
        <v>945</v>
      </c>
      <c r="MIP92" s="166" t="str">
        <f>VLOOKUP(MIO92,[13]AssetDetails_UEM!$A$3:$AH$1849,6,FALSE)</f>
        <v>Electrosurgical Units, Monopolar/Bipolar</v>
      </c>
      <c r="MIQ92" s="165" t="s">
        <v>945</v>
      </c>
      <c r="MIR92" s="166" t="str">
        <f>VLOOKUP(MIQ92,[13]AssetDetails_UEM!$A$3:$AH$1849,6,FALSE)</f>
        <v>Electrosurgical Units, Monopolar/Bipolar</v>
      </c>
      <c r="MIS92" s="165" t="s">
        <v>945</v>
      </c>
      <c r="MIT92" s="166" t="str">
        <f>VLOOKUP(MIS92,[13]AssetDetails_UEM!$A$3:$AH$1849,6,FALSE)</f>
        <v>Electrosurgical Units, Monopolar/Bipolar</v>
      </c>
      <c r="MIU92" s="165" t="s">
        <v>945</v>
      </c>
      <c r="MIV92" s="166" t="str">
        <f>VLOOKUP(MIU92,[13]AssetDetails_UEM!$A$3:$AH$1849,6,FALSE)</f>
        <v>Electrosurgical Units, Monopolar/Bipolar</v>
      </c>
      <c r="MIW92" s="165" t="s">
        <v>945</v>
      </c>
      <c r="MIX92" s="166" t="str">
        <f>VLOOKUP(MIW92,[13]AssetDetails_UEM!$A$3:$AH$1849,6,FALSE)</f>
        <v>Electrosurgical Units, Monopolar/Bipolar</v>
      </c>
      <c r="MIY92" s="165" t="s">
        <v>945</v>
      </c>
      <c r="MIZ92" s="166" t="str">
        <f>VLOOKUP(MIY92,[13]AssetDetails_UEM!$A$3:$AH$1849,6,FALSE)</f>
        <v>Electrosurgical Units, Monopolar/Bipolar</v>
      </c>
      <c r="MJA92" s="165" t="s">
        <v>945</v>
      </c>
      <c r="MJB92" s="166" t="str">
        <f>VLOOKUP(MJA92,[13]AssetDetails_UEM!$A$3:$AH$1849,6,FALSE)</f>
        <v>Electrosurgical Units, Monopolar/Bipolar</v>
      </c>
      <c r="MJC92" s="165" t="s">
        <v>945</v>
      </c>
      <c r="MJD92" s="166" t="str">
        <f>VLOOKUP(MJC92,[13]AssetDetails_UEM!$A$3:$AH$1849,6,FALSE)</f>
        <v>Electrosurgical Units, Monopolar/Bipolar</v>
      </c>
      <c r="MJE92" s="165" t="s">
        <v>945</v>
      </c>
      <c r="MJF92" s="166" t="str">
        <f>VLOOKUP(MJE92,[13]AssetDetails_UEM!$A$3:$AH$1849,6,FALSE)</f>
        <v>Electrosurgical Units, Monopolar/Bipolar</v>
      </c>
      <c r="MJG92" s="165" t="s">
        <v>945</v>
      </c>
      <c r="MJH92" s="166" t="str">
        <f>VLOOKUP(MJG92,[13]AssetDetails_UEM!$A$3:$AH$1849,6,FALSE)</f>
        <v>Electrosurgical Units, Monopolar/Bipolar</v>
      </c>
      <c r="MJI92" s="165" t="s">
        <v>945</v>
      </c>
      <c r="MJJ92" s="166" t="str">
        <f>VLOOKUP(MJI92,[13]AssetDetails_UEM!$A$3:$AH$1849,6,FALSE)</f>
        <v>Electrosurgical Units, Monopolar/Bipolar</v>
      </c>
      <c r="MJK92" s="165" t="s">
        <v>945</v>
      </c>
      <c r="MJL92" s="166" t="str">
        <f>VLOOKUP(MJK92,[13]AssetDetails_UEM!$A$3:$AH$1849,6,FALSE)</f>
        <v>Electrosurgical Units, Monopolar/Bipolar</v>
      </c>
      <c r="MJM92" s="165" t="s">
        <v>945</v>
      </c>
      <c r="MJN92" s="166" t="str">
        <f>VLOOKUP(MJM92,[13]AssetDetails_UEM!$A$3:$AH$1849,6,FALSE)</f>
        <v>Electrosurgical Units, Monopolar/Bipolar</v>
      </c>
      <c r="MJO92" s="165" t="s">
        <v>945</v>
      </c>
      <c r="MJP92" s="166" t="str">
        <f>VLOOKUP(MJO92,[13]AssetDetails_UEM!$A$3:$AH$1849,6,FALSE)</f>
        <v>Electrosurgical Units, Monopolar/Bipolar</v>
      </c>
      <c r="MJQ92" s="165" t="s">
        <v>945</v>
      </c>
      <c r="MJR92" s="166" t="str">
        <f>VLOOKUP(MJQ92,[13]AssetDetails_UEM!$A$3:$AH$1849,6,FALSE)</f>
        <v>Electrosurgical Units, Monopolar/Bipolar</v>
      </c>
      <c r="MJS92" s="165" t="s">
        <v>945</v>
      </c>
      <c r="MJT92" s="166" t="str">
        <f>VLOOKUP(MJS92,[13]AssetDetails_UEM!$A$3:$AH$1849,6,FALSE)</f>
        <v>Electrosurgical Units, Monopolar/Bipolar</v>
      </c>
      <c r="MJU92" s="165" t="s">
        <v>945</v>
      </c>
      <c r="MJV92" s="166" t="str">
        <f>VLOOKUP(MJU92,[13]AssetDetails_UEM!$A$3:$AH$1849,6,FALSE)</f>
        <v>Electrosurgical Units, Monopolar/Bipolar</v>
      </c>
      <c r="MJW92" s="165" t="s">
        <v>945</v>
      </c>
      <c r="MJX92" s="166" t="str">
        <f>VLOOKUP(MJW92,[13]AssetDetails_UEM!$A$3:$AH$1849,6,FALSE)</f>
        <v>Electrosurgical Units, Monopolar/Bipolar</v>
      </c>
      <c r="MJY92" s="165" t="s">
        <v>945</v>
      </c>
      <c r="MJZ92" s="166" t="str">
        <f>VLOOKUP(MJY92,[13]AssetDetails_UEM!$A$3:$AH$1849,6,FALSE)</f>
        <v>Electrosurgical Units, Monopolar/Bipolar</v>
      </c>
      <c r="MKA92" s="165" t="s">
        <v>945</v>
      </c>
      <c r="MKB92" s="166" t="str">
        <f>VLOOKUP(MKA92,[13]AssetDetails_UEM!$A$3:$AH$1849,6,FALSE)</f>
        <v>Electrosurgical Units, Monopolar/Bipolar</v>
      </c>
      <c r="MKC92" s="165" t="s">
        <v>945</v>
      </c>
      <c r="MKD92" s="166" t="str">
        <f>VLOOKUP(MKC92,[13]AssetDetails_UEM!$A$3:$AH$1849,6,FALSE)</f>
        <v>Electrosurgical Units, Monopolar/Bipolar</v>
      </c>
      <c r="MKE92" s="165" t="s">
        <v>945</v>
      </c>
      <c r="MKF92" s="166" t="str">
        <f>VLOOKUP(MKE92,[13]AssetDetails_UEM!$A$3:$AH$1849,6,FALSE)</f>
        <v>Electrosurgical Units, Monopolar/Bipolar</v>
      </c>
      <c r="MKG92" s="165" t="s">
        <v>945</v>
      </c>
      <c r="MKH92" s="166" t="str">
        <f>VLOOKUP(MKG92,[13]AssetDetails_UEM!$A$3:$AH$1849,6,FALSE)</f>
        <v>Electrosurgical Units, Monopolar/Bipolar</v>
      </c>
      <c r="MKI92" s="165" t="s">
        <v>945</v>
      </c>
      <c r="MKJ92" s="166" t="str">
        <f>VLOOKUP(MKI92,[13]AssetDetails_UEM!$A$3:$AH$1849,6,FALSE)</f>
        <v>Electrosurgical Units, Monopolar/Bipolar</v>
      </c>
      <c r="MKK92" s="165" t="s">
        <v>945</v>
      </c>
      <c r="MKL92" s="166" t="str">
        <f>VLOOKUP(MKK92,[13]AssetDetails_UEM!$A$3:$AH$1849,6,FALSE)</f>
        <v>Electrosurgical Units, Monopolar/Bipolar</v>
      </c>
      <c r="MKM92" s="165" t="s">
        <v>945</v>
      </c>
      <c r="MKN92" s="166" t="str">
        <f>VLOOKUP(MKM92,[13]AssetDetails_UEM!$A$3:$AH$1849,6,FALSE)</f>
        <v>Electrosurgical Units, Monopolar/Bipolar</v>
      </c>
      <c r="MKO92" s="165" t="s">
        <v>945</v>
      </c>
      <c r="MKP92" s="166" t="str">
        <f>VLOOKUP(MKO92,[13]AssetDetails_UEM!$A$3:$AH$1849,6,FALSE)</f>
        <v>Electrosurgical Units, Monopolar/Bipolar</v>
      </c>
      <c r="MKQ92" s="165" t="s">
        <v>945</v>
      </c>
      <c r="MKR92" s="166" t="str">
        <f>VLOOKUP(MKQ92,[13]AssetDetails_UEM!$A$3:$AH$1849,6,FALSE)</f>
        <v>Electrosurgical Units, Monopolar/Bipolar</v>
      </c>
      <c r="MKS92" s="165" t="s">
        <v>945</v>
      </c>
      <c r="MKT92" s="166" t="str">
        <f>VLOOKUP(MKS92,[13]AssetDetails_UEM!$A$3:$AH$1849,6,FALSE)</f>
        <v>Electrosurgical Units, Monopolar/Bipolar</v>
      </c>
      <c r="MKU92" s="165" t="s">
        <v>945</v>
      </c>
      <c r="MKV92" s="166" t="str">
        <f>VLOOKUP(MKU92,[13]AssetDetails_UEM!$A$3:$AH$1849,6,FALSE)</f>
        <v>Electrosurgical Units, Monopolar/Bipolar</v>
      </c>
      <c r="MKW92" s="165" t="s">
        <v>945</v>
      </c>
      <c r="MKX92" s="166" t="str">
        <f>VLOOKUP(MKW92,[13]AssetDetails_UEM!$A$3:$AH$1849,6,FALSE)</f>
        <v>Electrosurgical Units, Monopolar/Bipolar</v>
      </c>
      <c r="MKY92" s="165" t="s">
        <v>945</v>
      </c>
      <c r="MKZ92" s="166" t="str">
        <f>VLOOKUP(MKY92,[13]AssetDetails_UEM!$A$3:$AH$1849,6,FALSE)</f>
        <v>Electrosurgical Units, Monopolar/Bipolar</v>
      </c>
      <c r="MLA92" s="165" t="s">
        <v>945</v>
      </c>
      <c r="MLB92" s="166" t="str">
        <f>VLOOKUP(MLA92,[13]AssetDetails_UEM!$A$3:$AH$1849,6,FALSE)</f>
        <v>Electrosurgical Units, Monopolar/Bipolar</v>
      </c>
      <c r="MLC92" s="165" t="s">
        <v>945</v>
      </c>
      <c r="MLD92" s="166" t="str">
        <f>VLOOKUP(MLC92,[13]AssetDetails_UEM!$A$3:$AH$1849,6,FALSE)</f>
        <v>Electrosurgical Units, Monopolar/Bipolar</v>
      </c>
      <c r="MLE92" s="165" t="s">
        <v>945</v>
      </c>
      <c r="MLF92" s="166" t="str">
        <f>VLOOKUP(MLE92,[13]AssetDetails_UEM!$A$3:$AH$1849,6,FALSE)</f>
        <v>Electrosurgical Units, Monopolar/Bipolar</v>
      </c>
      <c r="MLG92" s="165" t="s">
        <v>945</v>
      </c>
      <c r="MLH92" s="166" t="str">
        <f>VLOOKUP(MLG92,[13]AssetDetails_UEM!$A$3:$AH$1849,6,FALSE)</f>
        <v>Electrosurgical Units, Monopolar/Bipolar</v>
      </c>
      <c r="MLI92" s="165" t="s">
        <v>945</v>
      </c>
      <c r="MLJ92" s="166" t="str">
        <f>VLOOKUP(MLI92,[13]AssetDetails_UEM!$A$3:$AH$1849,6,FALSE)</f>
        <v>Electrosurgical Units, Monopolar/Bipolar</v>
      </c>
      <c r="MLK92" s="165" t="s">
        <v>945</v>
      </c>
      <c r="MLL92" s="166" t="str">
        <f>VLOOKUP(MLK92,[13]AssetDetails_UEM!$A$3:$AH$1849,6,FALSE)</f>
        <v>Electrosurgical Units, Monopolar/Bipolar</v>
      </c>
      <c r="MLM92" s="165" t="s">
        <v>945</v>
      </c>
      <c r="MLN92" s="166" t="str">
        <f>VLOOKUP(MLM92,[13]AssetDetails_UEM!$A$3:$AH$1849,6,FALSE)</f>
        <v>Electrosurgical Units, Monopolar/Bipolar</v>
      </c>
      <c r="MLO92" s="165" t="s">
        <v>945</v>
      </c>
      <c r="MLP92" s="166" t="str">
        <f>VLOOKUP(MLO92,[13]AssetDetails_UEM!$A$3:$AH$1849,6,FALSE)</f>
        <v>Electrosurgical Units, Monopolar/Bipolar</v>
      </c>
      <c r="MLQ92" s="165" t="s">
        <v>945</v>
      </c>
      <c r="MLR92" s="166" t="str">
        <f>VLOOKUP(MLQ92,[13]AssetDetails_UEM!$A$3:$AH$1849,6,FALSE)</f>
        <v>Electrosurgical Units, Monopolar/Bipolar</v>
      </c>
      <c r="MLS92" s="165" t="s">
        <v>945</v>
      </c>
      <c r="MLT92" s="166" t="str">
        <f>VLOOKUP(MLS92,[13]AssetDetails_UEM!$A$3:$AH$1849,6,FALSE)</f>
        <v>Electrosurgical Units, Monopolar/Bipolar</v>
      </c>
      <c r="MLU92" s="165" t="s">
        <v>945</v>
      </c>
      <c r="MLV92" s="166" t="str">
        <f>VLOOKUP(MLU92,[13]AssetDetails_UEM!$A$3:$AH$1849,6,FALSE)</f>
        <v>Electrosurgical Units, Monopolar/Bipolar</v>
      </c>
      <c r="MLW92" s="165" t="s">
        <v>945</v>
      </c>
      <c r="MLX92" s="166" t="str">
        <f>VLOOKUP(MLW92,[13]AssetDetails_UEM!$A$3:$AH$1849,6,FALSE)</f>
        <v>Electrosurgical Units, Monopolar/Bipolar</v>
      </c>
      <c r="MLY92" s="165" t="s">
        <v>945</v>
      </c>
      <c r="MLZ92" s="166" t="str">
        <f>VLOOKUP(MLY92,[13]AssetDetails_UEM!$A$3:$AH$1849,6,FALSE)</f>
        <v>Electrosurgical Units, Monopolar/Bipolar</v>
      </c>
      <c r="MMA92" s="165" t="s">
        <v>945</v>
      </c>
      <c r="MMB92" s="166" t="str">
        <f>VLOOKUP(MMA92,[13]AssetDetails_UEM!$A$3:$AH$1849,6,FALSE)</f>
        <v>Electrosurgical Units, Monopolar/Bipolar</v>
      </c>
      <c r="MMC92" s="165" t="s">
        <v>945</v>
      </c>
      <c r="MMD92" s="166" t="str">
        <f>VLOOKUP(MMC92,[13]AssetDetails_UEM!$A$3:$AH$1849,6,FALSE)</f>
        <v>Electrosurgical Units, Monopolar/Bipolar</v>
      </c>
      <c r="MME92" s="165" t="s">
        <v>945</v>
      </c>
      <c r="MMF92" s="166" t="str">
        <f>VLOOKUP(MME92,[13]AssetDetails_UEM!$A$3:$AH$1849,6,FALSE)</f>
        <v>Electrosurgical Units, Monopolar/Bipolar</v>
      </c>
      <c r="MMG92" s="165" t="s">
        <v>945</v>
      </c>
      <c r="MMH92" s="166" t="str">
        <f>VLOOKUP(MMG92,[13]AssetDetails_UEM!$A$3:$AH$1849,6,FALSE)</f>
        <v>Electrosurgical Units, Monopolar/Bipolar</v>
      </c>
      <c r="MMI92" s="165" t="s">
        <v>945</v>
      </c>
      <c r="MMJ92" s="166" t="str">
        <f>VLOOKUP(MMI92,[13]AssetDetails_UEM!$A$3:$AH$1849,6,FALSE)</f>
        <v>Electrosurgical Units, Monopolar/Bipolar</v>
      </c>
      <c r="MMK92" s="165" t="s">
        <v>945</v>
      </c>
      <c r="MML92" s="166" t="str">
        <f>VLOOKUP(MMK92,[13]AssetDetails_UEM!$A$3:$AH$1849,6,FALSE)</f>
        <v>Electrosurgical Units, Monopolar/Bipolar</v>
      </c>
      <c r="MMM92" s="165" t="s">
        <v>945</v>
      </c>
      <c r="MMN92" s="166" t="str">
        <f>VLOOKUP(MMM92,[13]AssetDetails_UEM!$A$3:$AH$1849,6,FALSE)</f>
        <v>Electrosurgical Units, Monopolar/Bipolar</v>
      </c>
      <c r="MMO92" s="165" t="s">
        <v>945</v>
      </c>
      <c r="MMP92" s="166" t="str">
        <f>VLOOKUP(MMO92,[13]AssetDetails_UEM!$A$3:$AH$1849,6,FALSE)</f>
        <v>Electrosurgical Units, Monopolar/Bipolar</v>
      </c>
      <c r="MMQ92" s="165" t="s">
        <v>945</v>
      </c>
      <c r="MMR92" s="166" t="str">
        <f>VLOOKUP(MMQ92,[13]AssetDetails_UEM!$A$3:$AH$1849,6,FALSE)</f>
        <v>Electrosurgical Units, Monopolar/Bipolar</v>
      </c>
      <c r="MMS92" s="165" t="s">
        <v>945</v>
      </c>
      <c r="MMT92" s="166" t="str">
        <f>VLOOKUP(MMS92,[13]AssetDetails_UEM!$A$3:$AH$1849,6,FALSE)</f>
        <v>Electrosurgical Units, Monopolar/Bipolar</v>
      </c>
      <c r="MMU92" s="165" t="s">
        <v>945</v>
      </c>
      <c r="MMV92" s="166" t="str">
        <f>VLOOKUP(MMU92,[13]AssetDetails_UEM!$A$3:$AH$1849,6,FALSE)</f>
        <v>Electrosurgical Units, Monopolar/Bipolar</v>
      </c>
      <c r="MMW92" s="165" t="s">
        <v>945</v>
      </c>
      <c r="MMX92" s="166" t="str">
        <f>VLOOKUP(MMW92,[13]AssetDetails_UEM!$A$3:$AH$1849,6,FALSE)</f>
        <v>Electrosurgical Units, Monopolar/Bipolar</v>
      </c>
      <c r="MMY92" s="165" t="s">
        <v>945</v>
      </c>
      <c r="MMZ92" s="166" t="str">
        <f>VLOOKUP(MMY92,[13]AssetDetails_UEM!$A$3:$AH$1849,6,FALSE)</f>
        <v>Electrosurgical Units, Monopolar/Bipolar</v>
      </c>
      <c r="MNA92" s="165" t="s">
        <v>945</v>
      </c>
      <c r="MNB92" s="166" t="str">
        <f>VLOOKUP(MNA92,[13]AssetDetails_UEM!$A$3:$AH$1849,6,FALSE)</f>
        <v>Electrosurgical Units, Monopolar/Bipolar</v>
      </c>
      <c r="MNC92" s="165" t="s">
        <v>945</v>
      </c>
      <c r="MND92" s="166" t="str">
        <f>VLOOKUP(MNC92,[13]AssetDetails_UEM!$A$3:$AH$1849,6,FALSE)</f>
        <v>Electrosurgical Units, Monopolar/Bipolar</v>
      </c>
      <c r="MNE92" s="165" t="s">
        <v>945</v>
      </c>
      <c r="MNF92" s="166" t="str">
        <f>VLOOKUP(MNE92,[13]AssetDetails_UEM!$A$3:$AH$1849,6,FALSE)</f>
        <v>Electrosurgical Units, Monopolar/Bipolar</v>
      </c>
      <c r="MNG92" s="165" t="s">
        <v>945</v>
      </c>
      <c r="MNH92" s="166" t="str">
        <f>VLOOKUP(MNG92,[13]AssetDetails_UEM!$A$3:$AH$1849,6,FALSE)</f>
        <v>Electrosurgical Units, Monopolar/Bipolar</v>
      </c>
      <c r="MNI92" s="165" t="s">
        <v>945</v>
      </c>
      <c r="MNJ92" s="166" t="str">
        <f>VLOOKUP(MNI92,[13]AssetDetails_UEM!$A$3:$AH$1849,6,FALSE)</f>
        <v>Electrosurgical Units, Monopolar/Bipolar</v>
      </c>
      <c r="MNK92" s="165" t="s">
        <v>945</v>
      </c>
      <c r="MNL92" s="166" t="str">
        <f>VLOOKUP(MNK92,[13]AssetDetails_UEM!$A$3:$AH$1849,6,FALSE)</f>
        <v>Electrosurgical Units, Monopolar/Bipolar</v>
      </c>
      <c r="MNM92" s="165" t="s">
        <v>945</v>
      </c>
      <c r="MNN92" s="166" t="str">
        <f>VLOOKUP(MNM92,[13]AssetDetails_UEM!$A$3:$AH$1849,6,FALSE)</f>
        <v>Electrosurgical Units, Monopolar/Bipolar</v>
      </c>
      <c r="MNO92" s="165" t="s">
        <v>945</v>
      </c>
      <c r="MNP92" s="166" t="str">
        <f>VLOOKUP(MNO92,[13]AssetDetails_UEM!$A$3:$AH$1849,6,FALSE)</f>
        <v>Electrosurgical Units, Monopolar/Bipolar</v>
      </c>
      <c r="MNQ92" s="165" t="s">
        <v>945</v>
      </c>
      <c r="MNR92" s="166" t="str">
        <f>VLOOKUP(MNQ92,[13]AssetDetails_UEM!$A$3:$AH$1849,6,FALSE)</f>
        <v>Electrosurgical Units, Monopolar/Bipolar</v>
      </c>
      <c r="MNS92" s="165" t="s">
        <v>945</v>
      </c>
      <c r="MNT92" s="166" t="str">
        <f>VLOOKUP(MNS92,[13]AssetDetails_UEM!$A$3:$AH$1849,6,FALSE)</f>
        <v>Electrosurgical Units, Monopolar/Bipolar</v>
      </c>
      <c r="MNU92" s="165" t="s">
        <v>945</v>
      </c>
      <c r="MNV92" s="166" t="str">
        <f>VLOOKUP(MNU92,[13]AssetDetails_UEM!$A$3:$AH$1849,6,FALSE)</f>
        <v>Electrosurgical Units, Monopolar/Bipolar</v>
      </c>
      <c r="MNW92" s="165" t="s">
        <v>945</v>
      </c>
      <c r="MNX92" s="166" t="str">
        <f>VLOOKUP(MNW92,[13]AssetDetails_UEM!$A$3:$AH$1849,6,FALSE)</f>
        <v>Electrosurgical Units, Monopolar/Bipolar</v>
      </c>
      <c r="MNY92" s="165" t="s">
        <v>945</v>
      </c>
      <c r="MNZ92" s="166" t="str">
        <f>VLOOKUP(MNY92,[13]AssetDetails_UEM!$A$3:$AH$1849,6,FALSE)</f>
        <v>Electrosurgical Units, Monopolar/Bipolar</v>
      </c>
      <c r="MOA92" s="165" t="s">
        <v>945</v>
      </c>
      <c r="MOB92" s="166" t="str">
        <f>VLOOKUP(MOA92,[13]AssetDetails_UEM!$A$3:$AH$1849,6,FALSE)</f>
        <v>Electrosurgical Units, Monopolar/Bipolar</v>
      </c>
      <c r="MOC92" s="165" t="s">
        <v>945</v>
      </c>
      <c r="MOD92" s="166" t="str">
        <f>VLOOKUP(MOC92,[13]AssetDetails_UEM!$A$3:$AH$1849,6,FALSE)</f>
        <v>Electrosurgical Units, Monopolar/Bipolar</v>
      </c>
      <c r="MOE92" s="165" t="s">
        <v>945</v>
      </c>
      <c r="MOF92" s="166" t="str">
        <f>VLOOKUP(MOE92,[13]AssetDetails_UEM!$A$3:$AH$1849,6,FALSE)</f>
        <v>Electrosurgical Units, Monopolar/Bipolar</v>
      </c>
      <c r="MOG92" s="165" t="s">
        <v>945</v>
      </c>
      <c r="MOH92" s="166" t="str">
        <f>VLOOKUP(MOG92,[13]AssetDetails_UEM!$A$3:$AH$1849,6,FALSE)</f>
        <v>Electrosurgical Units, Monopolar/Bipolar</v>
      </c>
      <c r="MOI92" s="165" t="s">
        <v>945</v>
      </c>
      <c r="MOJ92" s="166" t="str">
        <f>VLOOKUP(MOI92,[13]AssetDetails_UEM!$A$3:$AH$1849,6,FALSE)</f>
        <v>Electrosurgical Units, Monopolar/Bipolar</v>
      </c>
      <c r="MOK92" s="165" t="s">
        <v>945</v>
      </c>
      <c r="MOL92" s="166" t="str">
        <f>VLOOKUP(MOK92,[13]AssetDetails_UEM!$A$3:$AH$1849,6,FALSE)</f>
        <v>Electrosurgical Units, Monopolar/Bipolar</v>
      </c>
      <c r="MOM92" s="165" t="s">
        <v>945</v>
      </c>
      <c r="MON92" s="166" t="str">
        <f>VLOOKUP(MOM92,[13]AssetDetails_UEM!$A$3:$AH$1849,6,FALSE)</f>
        <v>Electrosurgical Units, Monopolar/Bipolar</v>
      </c>
      <c r="MOO92" s="165" t="s">
        <v>945</v>
      </c>
      <c r="MOP92" s="166" t="str">
        <f>VLOOKUP(MOO92,[13]AssetDetails_UEM!$A$3:$AH$1849,6,FALSE)</f>
        <v>Electrosurgical Units, Monopolar/Bipolar</v>
      </c>
      <c r="MOQ92" s="165" t="s">
        <v>945</v>
      </c>
      <c r="MOR92" s="166" t="str">
        <f>VLOOKUP(MOQ92,[13]AssetDetails_UEM!$A$3:$AH$1849,6,FALSE)</f>
        <v>Electrosurgical Units, Monopolar/Bipolar</v>
      </c>
      <c r="MOS92" s="165" t="s">
        <v>945</v>
      </c>
      <c r="MOT92" s="166" t="str">
        <f>VLOOKUP(MOS92,[13]AssetDetails_UEM!$A$3:$AH$1849,6,FALSE)</f>
        <v>Electrosurgical Units, Monopolar/Bipolar</v>
      </c>
      <c r="MOU92" s="165" t="s">
        <v>945</v>
      </c>
      <c r="MOV92" s="166" t="str">
        <f>VLOOKUP(MOU92,[13]AssetDetails_UEM!$A$3:$AH$1849,6,FALSE)</f>
        <v>Electrosurgical Units, Monopolar/Bipolar</v>
      </c>
      <c r="MOW92" s="165" t="s">
        <v>945</v>
      </c>
      <c r="MOX92" s="166" t="str">
        <f>VLOOKUP(MOW92,[13]AssetDetails_UEM!$A$3:$AH$1849,6,FALSE)</f>
        <v>Electrosurgical Units, Monopolar/Bipolar</v>
      </c>
      <c r="MOY92" s="165" t="s">
        <v>945</v>
      </c>
      <c r="MOZ92" s="166" t="str">
        <f>VLOOKUP(MOY92,[13]AssetDetails_UEM!$A$3:$AH$1849,6,FALSE)</f>
        <v>Electrosurgical Units, Monopolar/Bipolar</v>
      </c>
      <c r="MPA92" s="165" t="s">
        <v>945</v>
      </c>
      <c r="MPB92" s="166" t="str">
        <f>VLOOKUP(MPA92,[13]AssetDetails_UEM!$A$3:$AH$1849,6,FALSE)</f>
        <v>Electrosurgical Units, Monopolar/Bipolar</v>
      </c>
      <c r="MPC92" s="165" t="s">
        <v>945</v>
      </c>
      <c r="MPD92" s="166" t="str">
        <f>VLOOKUP(MPC92,[13]AssetDetails_UEM!$A$3:$AH$1849,6,FALSE)</f>
        <v>Electrosurgical Units, Monopolar/Bipolar</v>
      </c>
      <c r="MPE92" s="165" t="s">
        <v>945</v>
      </c>
      <c r="MPF92" s="166" t="str">
        <f>VLOOKUP(MPE92,[13]AssetDetails_UEM!$A$3:$AH$1849,6,FALSE)</f>
        <v>Electrosurgical Units, Monopolar/Bipolar</v>
      </c>
      <c r="MPG92" s="165" t="s">
        <v>945</v>
      </c>
      <c r="MPH92" s="166" t="str">
        <f>VLOOKUP(MPG92,[13]AssetDetails_UEM!$A$3:$AH$1849,6,FALSE)</f>
        <v>Electrosurgical Units, Monopolar/Bipolar</v>
      </c>
      <c r="MPI92" s="165" t="s">
        <v>945</v>
      </c>
      <c r="MPJ92" s="166" t="str">
        <f>VLOOKUP(MPI92,[13]AssetDetails_UEM!$A$3:$AH$1849,6,FALSE)</f>
        <v>Electrosurgical Units, Monopolar/Bipolar</v>
      </c>
      <c r="MPK92" s="165" t="s">
        <v>945</v>
      </c>
      <c r="MPL92" s="166" t="str">
        <f>VLOOKUP(MPK92,[13]AssetDetails_UEM!$A$3:$AH$1849,6,FALSE)</f>
        <v>Electrosurgical Units, Monopolar/Bipolar</v>
      </c>
      <c r="MPM92" s="165" t="s">
        <v>945</v>
      </c>
      <c r="MPN92" s="166" t="str">
        <f>VLOOKUP(MPM92,[13]AssetDetails_UEM!$A$3:$AH$1849,6,FALSE)</f>
        <v>Electrosurgical Units, Monopolar/Bipolar</v>
      </c>
      <c r="MPO92" s="165" t="s">
        <v>945</v>
      </c>
      <c r="MPP92" s="166" t="str">
        <f>VLOOKUP(MPO92,[13]AssetDetails_UEM!$A$3:$AH$1849,6,FALSE)</f>
        <v>Electrosurgical Units, Monopolar/Bipolar</v>
      </c>
      <c r="MPQ92" s="165" t="s">
        <v>945</v>
      </c>
      <c r="MPR92" s="166" t="str">
        <f>VLOOKUP(MPQ92,[13]AssetDetails_UEM!$A$3:$AH$1849,6,FALSE)</f>
        <v>Electrosurgical Units, Monopolar/Bipolar</v>
      </c>
      <c r="MPS92" s="165" t="s">
        <v>945</v>
      </c>
      <c r="MPT92" s="166" t="str">
        <f>VLOOKUP(MPS92,[13]AssetDetails_UEM!$A$3:$AH$1849,6,FALSE)</f>
        <v>Electrosurgical Units, Monopolar/Bipolar</v>
      </c>
      <c r="MPU92" s="165" t="s">
        <v>945</v>
      </c>
      <c r="MPV92" s="166" t="str">
        <f>VLOOKUP(MPU92,[13]AssetDetails_UEM!$A$3:$AH$1849,6,FALSE)</f>
        <v>Electrosurgical Units, Monopolar/Bipolar</v>
      </c>
      <c r="MPW92" s="165" t="s">
        <v>945</v>
      </c>
      <c r="MPX92" s="166" t="str">
        <f>VLOOKUP(MPW92,[13]AssetDetails_UEM!$A$3:$AH$1849,6,FALSE)</f>
        <v>Electrosurgical Units, Monopolar/Bipolar</v>
      </c>
      <c r="MPY92" s="165" t="s">
        <v>945</v>
      </c>
      <c r="MPZ92" s="166" t="str">
        <f>VLOOKUP(MPY92,[13]AssetDetails_UEM!$A$3:$AH$1849,6,FALSE)</f>
        <v>Electrosurgical Units, Monopolar/Bipolar</v>
      </c>
      <c r="MQA92" s="165" t="s">
        <v>945</v>
      </c>
      <c r="MQB92" s="166" t="str">
        <f>VLOOKUP(MQA92,[13]AssetDetails_UEM!$A$3:$AH$1849,6,FALSE)</f>
        <v>Electrosurgical Units, Monopolar/Bipolar</v>
      </c>
      <c r="MQC92" s="165" t="s">
        <v>945</v>
      </c>
      <c r="MQD92" s="166" t="str">
        <f>VLOOKUP(MQC92,[13]AssetDetails_UEM!$A$3:$AH$1849,6,FALSE)</f>
        <v>Electrosurgical Units, Monopolar/Bipolar</v>
      </c>
      <c r="MQE92" s="165" t="s">
        <v>945</v>
      </c>
      <c r="MQF92" s="166" t="str">
        <f>VLOOKUP(MQE92,[13]AssetDetails_UEM!$A$3:$AH$1849,6,FALSE)</f>
        <v>Electrosurgical Units, Monopolar/Bipolar</v>
      </c>
      <c r="MQG92" s="165" t="s">
        <v>945</v>
      </c>
      <c r="MQH92" s="166" t="str">
        <f>VLOOKUP(MQG92,[13]AssetDetails_UEM!$A$3:$AH$1849,6,FALSE)</f>
        <v>Electrosurgical Units, Monopolar/Bipolar</v>
      </c>
      <c r="MQI92" s="165" t="s">
        <v>945</v>
      </c>
      <c r="MQJ92" s="166" t="str">
        <f>VLOOKUP(MQI92,[13]AssetDetails_UEM!$A$3:$AH$1849,6,FALSE)</f>
        <v>Electrosurgical Units, Monopolar/Bipolar</v>
      </c>
      <c r="MQK92" s="165" t="s">
        <v>945</v>
      </c>
      <c r="MQL92" s="166" t="str">
        <f>VLOOKUP(MQK92,[13]AssetDetails_UEM!$A$3:$AH$1849,6,FALSE)</f>
        <v>Electrosurgical Units, Monopolar/Bipolar</v>
      </c>
      <c r="MQM92" s="165" t="s">
        <v>945</v>
      </c>
      <c r="MQN92" s="166" t="str">
        <f>VLOOKUP(MQM92,[13]AssetDetails_UEM!$A$3:$AH$1849,6,FALSE)</f>
        <v>Electrosurgical Units, Monopolar/Bipolar</v>
      </c>
      <c r="MQO92" s="165" t="s">
        <v>945</v>
      </c>
      <c r="MQP92" s="166" t="str">
        <f>VLOOKUP(MQO92,[13]AssetDetails_UEM!$A$3:$AH$1849,6,FALSE)</f>
        <v>Electrosurgical Units, Monopolar/Bipolar</v>
      </c>
      <c r="MQQ92" s="165" t="s">
        <v>945</v>
      </c>
      <c r="MQR92" s="166" t="str">
        <f>VLOOKUP(MQQ92,[13]AssetDetails_UEM!$A$3:$AH$1849,6,FALSE)</f>
        <v>Electrosurgical Units, Monopolar/Bipolar</v>
      </c>
      <c r="MQS92" s="165" t="s">
        <v>945</v>
      </c>
      <c r="MQT92" s="166" t="str">
        <f>VLOOKUP(MQS92,[13]AssetDetails_UEM!$A$3:$AH$1849,6,FALSE)</f>
        <v>Electrosurgical Units, Monopolar/Bipolar</v>
      </c>
      <c r="MQU92" s="165" t="s">
        <v>945</v>
      </c>
      <c r="MQV92" s="166" t="str">
        <f>VLOOKUP(MQU92,[13]AssetDetails_UEM!$A$3:$AH$1849,6,FALSE)</f>
        <v>Electrosurgical Units, Monopolar/Bipolar</v>
      </c>
      <c r="MQW92" s="165" t="s">
        <v>945</v>
      </c>
      <c r="MQX92" s="166" t="str">
        <f>VLOOKUP(MQW92,[13]AssetDetails_UEM!$A$3:$AH$1849,6,FALSE)</f>
        <v>Electrosurgical Units, Monopolar/Bipolar</v>
      </c>
      <c r="MQY92" s="165" t="s">
        <v>945</v>
      </c>
      <c r="MQZ92" s="166" t="str">
        <f>VLOOKUP(MQY92,[13]AssetDetails_UEM!$A$3:$AH$1849,6,FALSE)</f>
        <v>Electrosurgical Units, Monopolar/Bipolar</v>
      </c>
      <c r="MRA92" s="165" t="s">
        <v>945</v>
      </c>
      <c r="MRB92" s="166" t="str">
        <f>VLOOKUP(MRA92,[13]AssetDetails_UEM!$A$3:$AH$1849,6,FALSE)</f>
        <v>Electrosurgical Units, Monopolar/Bipolar</v>
      </c>
      <c r="MRC92" s="165" t="s">
        <v>945</v>
      </c>
      <c r="MRD92" s="166" t="str">
        <f>VLOOKUP(MRC92,[13]AssetDetails_UEM!$A$3:$AH$1849,6,FALSE)</f>
        <v>Electrosurgical Units, Monopolar/Bipolar</v>
      </c>
      <c r="MRE92" s="165" t="s">
        <v>945</v>
      </c>
      <c r="MRF92" s="166" t="str">
        <f>VLOOKUP(MRE92,[13]AssetDetails_UEM!$A$3:$AH$1849,6,FALSE)</f>
        <v>Electrosurgical Units, Monopolar/Bipolar</v>
      </c>
      <c r="MRG92" s="165" t="s">
        <v>945</v>
      </c>
      <c r="MRH92" s="166" t="str">
        <f>VLOOKUP(MRG92,[13]AssetDetails_UEM!$A$3:$AH$1849,6,FALSE)</f>
        <v>Electrosurgical Units, Monopolar/Bipolar</v>
      </c>
      <c r="MRI92" s="165" t="s">
        <v>945</v>
      </c>
      <c r="MRJ92" s="166" t="str">
        <f>VLOOKUP(MRI92,[13]AssetDetails_UEM!$A$3:$AH$1849,6,FALSE)</f>
        <v>Electrosurgical Units, Monopolar/Bipolar</v>
      </c>
      <c r="MRK92" s="165" t="s">
        <v>945</v>
      </c>
      <c r="MRL92" s="166" t="str">
        <f>VLOOKUP(MRK92,[13]AssetDetails_UEM!$A$3:$AH$1849,6,FALSE)</f>
        <v>Electrosurgical Units, Monopolar/Bipolar</v>
      </c>
      <c r="MRM92" s="165" t="s">
        <v>945</v>
      </c>
      <c r="MRN92" s="166" t="str">
        <f>VLOOKUP(MRM92,[13]AssetDetails_UEM!$A$3:$AH$1849,6,FALSE)</f>
        <v>Electrosurgical Units, Monopolar/Bipolar</v>
      </c>
      <c r="MRO92" s="165" t="s">
        <v>945</v>
      </c>
      <c r="MRP92" s="166" t="str">
        <f>VLOOKUP(MRO92,[13]AssetDetails_UEM!$A$3:$AH$1849,6,FALSE)</f>
        <v>Electrosurgical Units, Monopolar/Bipolar</v>
      </c>
      <c r="MRQ92" s="165" t="s">
        <v>945</v>
      </c>
      <c r="MRR92" s="166" t="str">
        <f>VLOOKUP(MRQ92,[13]AssetDetails_UEM!$A$3:$AH$1849,6,FALSE)</f>
        <v>Electrosurgical Units, Monopolar/Bipolar</v>
      </c>
      <c r="MRS92" s="165" t="s">
        <v>945</v>
      </c>
      <c r="MRT92" s="166" t="str">
        <f>VLOOKUP(MRS92,[13]AssetDetails_UEM!$A$3:$AH$1849,6,FALSE)</f>
        <v>Electrosurgical Units, Monopolar/Bipolar</v>
      </c>
      <c r="MRU92" s="165" t="s">
        <v>945</v>
      </c>
      <c r="MRV92" s="166" t="str">
        <f>VLOOKUP(MRU92,[13]AssetDetails_UEM!$A$3:$AH$1849,6,FALSE)</f>
        <v>Electrosurgical Units, Monopolar/Bipolar</v>
      </c>
      <c r="MRW92" s="165" t="s">
        <v>945</v>
      </c>
      <c r="MRX92" s="166" t="str">
        <f>VLOOKUP(MRW92,[13]AssetDetails_UEM!$A$3:$AH$1849,6,FALSE)</f>
        <v>Electrosurgical Units, Monopolar/Bipolar</v>
      </c>
      <c r="MRY92" s="165" t="s">
        <v>945</v>
      </c>
      <c r="MRZ92" s="166" t="str">
        <f>VLOOKUP(MRY92,[13]AssetDetails_UEM!$A$3:$AH$1849,6,FALSE)</f>
        <v>Electrosurgical Units, Monopolar/Bipolar</v>
      </c>
      <c r="MSA92" s="165" t="s">
        <v>945</v>
      </c>
      <c r="MSB92" s="166" t="str">
        <f>VLOOKUP(MSA92,[13]AssetDetails_UEM!$A$3:$AH$1849,6,FALSE)</f>
        <v>Electrosurgical Units, Monopolar/Bipolar</v>
      </c>
      <c r="MSC92" s="165" t="s">
        <v>945</v>
      </c>
      <c r="MSD92" s="166" t="str">
        <f>VLOOKUP(MSC92,[13]AssetDetails_UEM!$A$3:$AH$1849,6,FALSE)</f>
        <v>Electrosurgical Units, Monopolar/Bipolar</v>
      </c>
      <c r="MSE92" s="165" t="s">
        <v>945</v>
      </c>
      <c r="MSF92" s="166" t="str">
        <f>VLOOKUP(MSE92,[13]AssetDetails_UEM!$A$3:$AH$1849,6,FALSE)</f>
        <v>Electrosurgical Units, Monopolar/Bipolar</v>
      </c>
      <c r="MSG92" s="165" t="s">
        <v>945</v>
      </c>
      <c r="MSH92" s="166" t="str">
        <f>VLOOKUP(MSG92,[13]AssetDetails_UEM!$A$3:$AH$1849,6,FALSE)</f>
        <v>Electrosurgical Units, Monopolar/Bipolar</v>
      </c>
      <c r="MSI92" s="165" t="s">
        <v>945</v>
      </c>
      <c r="MSJ92" s="166" t="str">
        <f>VLOOKUP(MSI92,[13]AssetDetails_UEM!$A$3:$AH$1849,6,FALSE)</f>
        <v>Electrosurgical Units, Monopolar/Bipolar</v>
      </c>
      <c r="MSK92" s="165" t="s">
        <v>945</v>
      </c>
      <c r="MSL92" s="166" t="str">
        <f>VLOOKUP(MSK92,[13]AssetDetails_UEM!$A$3:$AH$1849,6,FALSE)</f>
        <v>Electrosurgical Units, Monopolar/Bipolar</v>
      </c>
      <c r="MSM92" s="165" t="s">
        <v>945</v>
      </c>
      <c r="MSN92" s="166" t="str">
        <f>VLOOKUP(MSM92,[13]AssetDetails_UEM!$A$3:$AH$1849,6,FALSE)</f>
        <v>Electrosurgical Units, Monopolar/Bipolar</v>
      </c>
      <c r="MSO92" s="165" t="s">
        <v>945</v>
      </c>
      <c r="MSP92" s="166" t="str">
        <f>VLOOKUP(MSO92,[13]AssetDetails_UEM!$A$3:$AH$1849,6,FALSE)</f>
        <v>Electrosurgical Units, Monopolar/Bipolar</v>
      </c>
      <c r="MSQ92" s="165" t="s">
        <v>945</v>
      </c>
      <c r="MSR92" s="166" t="str">
        <f>VLOOKUP(MSQ92,[13]AssetDetails_UEM!$A$3:$AH$1849,6,FALSE)</f>
        <v>Electrosurgical Units, Monopolar/Bipolar</v>
      </c>
      <c r="MSS92" s="165" t="s">
        <v>945</v>
      </c>
      <c r="MST92" s="166" t="str">
        <f>VLOOKUP(MSS92,[13]AssetDetails_UEM!$A$3:$AH$1849,6,FALSE)</f>
        <v>Electrosurgical Units, Monopolar/Bipolar</v>
      </c>
      <c r="MSU92" s="165" t="s">
        <v>945</v>
      </c>
      <c r="MSV92" s="166" t="str">
        <f>VLOOKUP(MSU92,[13]AssetDetails_UEM!$A$3:$AH$1849,6,FALSE)</f>
        <v>Electrosurgical Units, Monopolar/Bipolar</v>
      </c>
      <c r="MSW92" s="165" t="s">
        <v>945</v>
      </c>
      <c r="MSX92" s="166" t="str">
        <f>VLOOKUP(MSW92,[13]AssetDetails_UEM!$A$3:$AH$1849,6,FALSE)</f>
        <v>Electrosurgical Units, Monopolar/Bipolar</v>
      </c>
      <c r="MSY92" s="165" t="s">
        <v>945</v>
      </c>
      <c r="MSZ92" s="166" t="str">
        <f>VLOOKUP(MSY92,[13]AssetDetails_UEM!$A$3:$AH$1849,6,FALSE)</f>
        <v>Electrosurgical Units, Monopolar/Bipolar</v>
      </c>
      <c r="MTA92" s="165" t="s">
        <v>945</v>
      </c>
      <c r="MTB92" s="166" t="str">
        <f>VLOOKUP(MTA92,[13]AssetDetails_UEM!$A$3:$AH$1849,6,FALSE)</f>
        <v>Electrosurgical Units, Monopolar/Bipolar</v>
      </c>
      <c r="MTC92" s="165" t="s">
        <v>945</v>
      </c>
      <c r="MTD92" s="166" t="str">
        <f>VLOOKUP(MTC92,[13]AssetDetails_UEM!$A$3:$AH$1849,6,FALSE)</f>
        <v>Electrosurgical Units, Monopolar/Bipolar</v>
      </c>
      <c r="MTE92" s="165" t="s">
        <v>945</v>
      </c>
      <c r="MTF92" s="166" t="str">
        <f>VLOOKUP(MTE92,[13]AssetDetails_UEM!$A$3:$AH$1849,6,FALSE)</f>
        <v>Electrosurgical Units, Monopolar/Bipolar</v>
      </c>
      <c r="MTG92" s="165" t="s">
        <v>945</v>
      </c>
      <c r="MTH92" s="166" t="str">
        <f>VLOOKUP(MTG92,[13]AssetDetails_UEM!$A$3:$AH$1849,6,FALSE)</f>
        <v>Electrosurgical Units, Monopolar/Bipolar</v>
      </c>
      <c r="MTI92" s="165" t="s">
        <v>945</v>
      </c>
      <c r="MTJ92" s="166" t="str">
        <f>VLOOKUP(MTI92,[13]AssetDetails_UEM!$A$3:$AH$1849,6,FALSE)</f>
        <v>Electrosurgical Units, Monopolar/Bipolar</v>
      </c>
      <c r="MTK92" s="165" t="s">
        <v>945</v>
      </c>
      <c r="MTL92" s="166" t="str">
        <f>VLOOKUP(MTK92,[13]AssetDetails_UEM!$A$3:$AH$1849,6,FALSE)</f>
        <v>Electrosurgical Units, Monopolar/Bipolar</v>
      </c>
      <c r="MTM92" s="165" t="s">
        <v>945</v>
      </c>
      <c r="MTN92" s="166" t="str">
        <f>VLOOKUP(MTM92,[13]AssetDetails_UEM!$A$3:$AH$1849,6,FALSE)</f>
        <v>Electrosurgical Units, Monopolar/Bipolar</v>
      </c>
      <c r="MTO92" s="165" t="s">
        <v>945</v>
      </c>
      <c r="MTP92" s="166" t="str">
        <f>VLOOKUP(MTO92,[13]AssetDetails_UEM!$A$3:$AH$1849,6,FALSE)</f>
        <v>Electrosurgical Units, Monopolar/Bipolar</v>
      </c>
      <c r="MTQ92" s="165" t="s">
        <v>945</v>
      </c>
      <c r="MTR92" s="166" t="str">
        <f>VLOOKUP(MTQ92,[13]AssetDetails_UEM!$A$3:$AH$1849,6,FALSE)</f>
        <v>Electrosurgical Units, Monopolar/Bipolar</v>
      </c>
      <c r="MTS92" s="165" t="s">
        <v>945</v>
      </c>
      <c r="MTT92" s="166" t="str">
        <f>VLOOKUP(MTS92,[13]AssetDetails_UEM!$A$3:$AH$1849,6,FALSE)</f>
        <v>Electrosurgical Units, Monopolar/Bipolar</v>
      </c>
      <c r="MTU92" s="165" t="s">
        <v>945</v>
      </c>
      <c r="MTV92" s="166" t="str">
        <f>VLOOKUP(MTU92,[13]AssetDetails_UEM!$A$3:$AH$1849,6,FALSE)</f>
        <v>Electrosurgical Units, Monopolar/Bipolar</v>
      </c>
      <c r="MTW92" s="165" t="s">
        <v>945</v>
      </c>
      <c r="MTX92" s="166" t="str">
        <f>VLOOKUP(MTW92,[13]AssetDetails_UEM!$A$3:$AH$1849,6,FALSE)</f>
        <v>Electrosurgical Units, Monopolar/Bipolar</v>
      </c>
      <c r="MTY92" s="165" t="s">
        <v>945</v>
      </c>
      <c r="MTZ92" s="166" t="str">
        <f>VLOOKUP(MTY92,[13]AssetDetails_UEM!$A$3:$AH$1849,6,FALSE)</f>
        <v>Electrosurgical Units, Monopolar/Bipolar</v>
      </c>
      <c r="MUA92" s="165" t="s">
        <v>945</v>
      </c>
      <c r="MUB92" s="166" t="str">
        <f>VLOOKUP(MUA92,[13]AssetDetails_UEM!$A$3:$AH$1849,6,FALSE)</f>
        <v>Electrosurgical Units, Monopolar/Bipolar</v>
      </c>
      <c r="MUC92" s="165" t="s">
        <v>945</v>
      </c>
      <c r="MUD92" s="166" t="str">
        <f>VLOOKUP(MUC92,[13]AssetDetails_UEM!$A$3:$AH$1849,6,FALSE)</f>
        <v>Electrosurgical Units, Monopolar/Bipolar</v>
      </c>
      <c r="MUE92" s="165" t="s">
        <v>945</v>
      </c>
      <c r="MUF92" s="166" t="str">
        <f>VLOOKUP(MUE92,[13]AssetDetails_UEM!$A$3:$AH$1849,6,FALSE)</f>
        <v>Electrosurgical Units, Monopolar/Bipolar</v>
      </c>
      <c r="MUG92" s="165" t="s">
        <v>945</v>
      </c>
      <c r="MUH92" s="166" t="str">
        <f>VLOOKUP(MUG92,[13]AssetDetails_UEM!$A$3:$AH$1849,6,FALSE)</f>
        <v>Electrosurgical Units, Monopolar/Bipolar</v>
      </c>
      <c r="MUI92" s="165" t="s">
        <v>945</v>
      </c>
      <c r="MUJ92" s="166" t="str">
        <f>VLOOKUP(MUI92,[13]AssetDetails_UEM!$A$3:$AH$1849,6,FALSE)</f>
        <v>Electrosurgical Units, Monopolar/Bipolar</v>
      </c>
      <c r="MUK92" s="165" t="s">
        <v>945</v>
      </c>
      <c r="MUL92" s="166" t="str">
        <f>VLOOKUP(MUK92,[13]AssetDetails_UEM!$A$3:$AH$1849,6,FALSE)</f>
        <v>Electrosurgical Units, Monopolar/Bipolar</v>
      </c>
      <c r="MUM92" s="165" t="s">
        <v>945</v>
      </c>
      <c r="MUN92" s="166" t="str">
        <f>VLOOKUP(MUM92,[13]AssetDetails_UEM!$A$3:$AH$1849,6,FALSE)</f>
        <v>Electrosurgical Units, Monopolar/Bipolar</v>
      </c>
      <c r="MUO92" s="165" t="s">
        <v>945</v>
      </c>
      <c r="MUP92" s="166" t="str">
        <f>VLOOKUP(MUO92,[13]AssetDetails_UEM!$A$3:$AH$1849,6,FALSE)</f>
        <v>Electrosurgical Units, Monopolar/Bipolar</v>
      </c>
      <c r="MUQ92" s="165" t="s">
        <v>945</v>
      </c>
      <c r="MUR92" s="166" t="str">
        <f>VLOOKUP(MUQ92,[13]AssetDetails_UEM!$A$3:$AH$1849,6,FALSE)</f>
        <v>Electrosurgical Units, Monopolar/Bipolar</v>
      </c>
      <c r="MUS92" s="165" t="s">
        <v>945</v>
      </c>
      <c r="MUT92" s="166" t="str">
        <f>VLOOKUP(MUS92,[13]AssetDetails_UEM!$A$3:$AH$1849,6,FALSE)</f>
        <v>Electrosurgical Units, Monopolar/Bipolar</v>
      </c>
      <c r="MUU92" s="165" t="s">
        <v>945</v>
      </c>
      <c r="MUV92" s="166" t="str">
        <f>VLOOKUP(MUU92,[13]AssetDetails_UEM!$A$3:$AH$1849,6,FALSE)</f>
        <v>Electrosurgical Units, Monopolar/Bipolar</v>
      </c>
      <c r="MUW92" s="165" t="s">
        <v>945</v>
      </c>
      <c r="MUX92" s="166" t="str">
        <f>VLOOKUP(MUW92,[13]AssetDetails_UEM!$A$3:$AH$1849,6,FALSE)</f>
        <v>Electrosurgical Units, Monopolar/Bipolar</v>
      </c>
      <c r="MUY92" s="165" t="s">
        <v>945</v>
      </c>
      <c r="MUZ92" s="166" t="str">
        <f>VLOOKUP(MUY92,[13]AssetDetails_UEM!$A$3:$AH$1849,6,FALSE)</f>
        <v>Electrosurgical Units, Monopolar/Bipolar</v>
      </c>
      <c r="MVA92" s="165" t="s">
        <v>945</v>
      </c>
      <c r="MVB92" s="166" t="str">
        <f>VLOOKUP(MVA92,[13]AssetDetails_UEM!$A$3:$AH$1849,6,FALSE)</f>
        <v>Electrosurgical Units, Monopolar/Bipolar</v>
      </c>
      <c r="MVC92" s="165" t="s">
        <v>945</v>
      </c>
      <c r="MVD92" s="166" t="str">
        <f>VLOOKUP(MVC92,[13]AssetDetails_UEM!$A$3:$AH$1849,6,FALSE)</f>
        <v>Electrosurgical Units, Monopolar/Bipolar</v>
      </c>
      <c r="MVE92" s="165" t="s">
        <v>945</v>
      </c>
      <c r="MVF92" s="166" t="str">
        <f>VLOOKUP(MVE92,[13]AssetDetails_UEM!$A$3:$AH$1849,6,FALSE)</f>
        <v>Electrosurgical Units, Monopolar/Bipolar</v>
      </c>
      <c r="MVG92" s="165" t="s">
        <v>945</v>
      </c>
      <c r="MVH92" s="166" t="str">
        <f>VLOOKUP(MVG92,[13]AssetDetails_UEM!$A$3:$AH$1849,6,FALSE)</f>
        <v>Electrosurgical Units, Monopolar/Bipolar</v>
      </c>
      <c r="MVI92" s="165" t="s">
        <v>945</v>
      </c>
      <c r="MVJ92" s="166" t="str">
        <f>VLOOKUP(MVI92,[13]AssetDetails_UEM!$A$3:$AH$1849,6,FALSE)</f>
        <v>Electrosurgical Units, Monopolar/Bipolar</v>
      </c>
      <c r="MVK92" s="165" t="s">
        <v>945</v>
      </c>
      <c r="MVL92" s="166" t="str">
        <f>VLOOKUP(MVK92,[13]AssetDetails_UEM!$A$3:$AH$1849,6,FALSE)</f>
        <v>Electrosurgical Units, Monopolar/Bipolar</v>
      </c>
      <c r="MVM92" s="165" t="s">
        <v>945</v>
      </c>
      <c r="MVN92" s="166" t="str">
        <f>VLOOKUP(MVM92,[13]AssetDetails_UEM!$A$3:$AH$1849,6,FALSE)</f>
        <v>Electrosurgical Units, Monopolar/Bipolar</v>
      </c>
      <c r="MVO92" s="165" t="s">
        <v>945</v>
      </c>
      <c r="MVP92" s="166" t="str">
        <f>VLOOKUP(MVO92,[13]AssetDetails_UEM!$A$3:$AH$1849,6,FALSE)</f>
        <v>Electrosurgical Units, Monopolar/Bipolar</v>
      </c>
      <c r="MVQ92" s="165" t="s">
        <v>945</v>
      </c>
      <c r="MVR92" s="166" t="str">
        <f>VLOOKUP(MVQ92,[13]AssetDetails_UEM!$A$3:$AH$1849,6,FALSE)</f>
        <v>Electrosurgical Units, Monopolar/Bipolar</v>
      </c>
      <c r="MVS92" s="165" t="s">
        <v>945</v>
      </c>
      <c r="MVT92" s="166" t="str">
        <f>VLOOKUP(MVS92,[13]AssetDetails_UEM!$A$3:$AH$1849,6,FALSE)</f>
        <v>Electrosurgical Units, Monopolar/Bipolar</v>
      </c>
      <c r="MVU92" s="165" t="s">
        <v>945</v>
      </c>
      <c r="MVV92" s="166" t="str">
        <f>VLOOKUP(MVU92,[13]AssetDetails_UEM!$A$3:$AH$1849,6,FALSE)</f>
        <v>Electrosurgical Units, Monopolar/Bipolar</v>
      </c>
      <c r="MVW92" s="165" t="s">
        <v>945</v>
      </c>
      <c r="MVX92" s="166" t="str">
        <f>VLOOKUP(MVW92,[13]AssetDetails_UEM!$A$3:$AH$1849,6,FALSE)</f>
        <v>Electrosurgical Units, Monopolar/Bipolar</v>
      </c>
      <c r="MVY92" s="165" t="s">
        <v>945</v>
      </c>
      <c r="MVZ92" s="166" t="str">
        <f>VLOOKUP(MVY92,[13]AssetDetails_UEM!$A$3:$AH$1849,6,FALSE)</f>
        <v>Electrosurgical Units, Monopolar/Bipolar</v>
      </c>
      <c r="MWA92" s="165" t="s">
        <v>945</v>
      </c>
      <c r="MWB92" s="166" t="str">
        <f>VLOOKUP(MWA92,[13]AssetDetails_UEM!$A$3:$AH$1849,6,FALSE)</f>
        <v>Electrosurgical Units, Monopolar/Bipolar</v>
      </c>
      <c r="MWC92" s="165" t="s">
        <v>945</v>
      </c>
      <c r="MWD92" s="166" t="str">
        <f>VLOOKUP(MWC92,[13]AssetDetails_UEM!$A$3:$AH$1849,6,FALSE)</f>
        <v>Electrosurgical Units, Monopolar/Bipolar</v>
      </c>
      <c r="MWE92" s="165" t="s">
        <v>945</v>
      </c>
      <c r="MWF92" s="166" t="str">
        <f>VLOOKUP(MWE92,[13]AssetDetails_UEM!$A$3:$AH$1849,6,FALSE)</f>
        <v>Electrosurgical Units, Monopolar/Bipolar</v>
      </c>
      <c r="MWG92" s="165" t="s">
        <v>945</v>
      </c>
      <c r="MWH92" s="166" t="str">
        <f>VLOOKUP(MWG92,[13]AssetDetails_UEM!$A$3:$AH$1849,6,FALSE)</f>
        <v>Electrosurgical Units, Monopolar/Bipolar</v>
      </c>
      <c r="MWI92" s="165" t="s">
        <v>945</v>
      </c>
      <c r="MWJ92" s="166" t="str">
        <f>VLOOKUP(MWI92,[13]AssetDetails_UEM!$A$3:$AH$1849,6,FALSE)</f>
        <v>Electrosurgical Units, Monopolar/Bipolar</v>
      </c>
      <c r="MWK92" s="165" t="s">
        <v>945</v>
      </c>
      <c r="MWL92" s="166" t="str">
        <f>VLOOKUP(MWK92,[13]AssetDetails_UEM!$A$3:$AH$1849,6,FALSE)</f>
        <v>Electrosurgical Units, Monopolar/Bipolar</v>
      </c>
      <c r="MWM92" s="165" t="s">
        <v>945</v>
      </c>
      <c r="MWN92" s="166" t="str">
        <f>VLOOKUP(MWM92,[13]AssetDetails_UEM!$A$3:$AH$1849,6,FALSE)</f>
        <v>Electrosurgical Units, Monopolar/Bipolar</v>
      </c>
      <c r="MWO92" s="165" t="s">
        <v>945</v>
      </c>
      <c r="MWP92" s="166" t="str">
        <f>VLOOKUP(MWO92,[13]AssetDetails_UEM!$A$3:$AH$1849,6,FALSE)</f>
        <v>Electrosurgical Units, Monopolar/Bipolar</v>
      </c>
      <c r="MWQ92" s="165" t="s">
        <v>945</v>
      </c>
      <c r="MWR92" s="166" t="str">
        <f>VLOOKUP(MWQ92,[13]AssetDetails_UEM!$A$3:$AH$1849,6,FALSE)</f>
        <v>Electrosurgical Units, Monopolar/Bipolar</v>
      </c>
      <c r="MWS92" s="165" t="s">
        <v>945</v>
      </c>
      <c r="MWT92" s="166" t="str">
        <f>VLOOKUP(MWS92,[13]AssetDetails_UEM!$A$3:$AH$1849,6,FALSE)</f>
        <v>Electrosurgical Units, Monopolar/Bipolar</v>
      </c>
      <c r="MWU92" s="165" t="s">
        <v>945</v>
      </c>
      <c r="MWV92" s="166" t="str">
        <f>VLOOKUP(MWU92,[13]AssetDetails_UEM!$A$3:$AH$1849,6,FALSE)</f>
        <v>Electrosurgical Units, Monopolar/Bipolar</v>
      </c>
      <c r="MWW92" s="165" t="s">
        <v>945</v>
      </c>
      <c r="MWX92" s="166" t="str">
        <f>VLOOKUP(MWW92,[13]AssetDetails_UEM!$A$3:$AH$1849,6,FALSE)</f>
        <v>Electrosurgical Units, Monopolar/Bipolar</v>
      </c>
      <c r="MWY92" s="165" t="s">
        <v>945</v>
      </c>
      <c r="MWZ92" s="166" t="str">
        <f>VLOOKUP(MWY92,[13]AssetDetails_UEM!$A$3:$AH$1849,6,FALSE)</f>
        <v>Electrosurgical Units, Monopolar/Bipolar</v>
      </c>
      <c r="MXA92" s="165" t="s">
        <v>945</v>
      </c>
      <c r="MXB92" s="166" t="str">
        <f>VLOOKUP(MXA92,[13]AssetDetails_UEM!$A$3:$AH$1849,6,FALSE)</f>
        <v>Electrosurgical Units, Monopolar/Bipolar</v>
      </c>
      <c r="MXC92" s="165" t="s">
        <v>945</v>
      </c>
      <c r="MXD92" s="166" t="str">
        <f>VLOOKUP(MXC92,[13]AssetDetails_UEM!$A$3:$AH$1849,6,FALSE)</f>
        <v>Electrosurgical Units, Monopolar/Bipolar</v>
      </c>
      <c r="MXE92" s="165" t="s">
        <v>945</v>
      </c>
      <c r="MXF92" s="166" t="str">
        <f>VLOOKUP(MXE92,[13]AssetDetails_UEM!$A$3:$AH$1849,6,FALSE)</f>
        <v>Electrosurgical Units, Monopolar/Bipolar</v>
      </c>
      <c r="MXG92" s="165" t="s">
        <v>945</v>
      </c>
      <c r="MXH92" s="166" t="str">
        <f>VLOOKUP(MXG92,[13]AssetDetails_UEM!$A$3:$AH$1849,6,FALSE)</f>
        <v>Electrosurgical Units, Monopolar/Bipolar</v>
      </c>
      <c r="MXI92" s="165" t="s">
        <v>945</v>
      </c>
      <c r="MXJ92" s="166" t="str">
        <f>VLOOKUP(MXI92,[13]AssetDetails_UEM!$A$3:$AH$1849,6,FALSE)</f>
        <v>Electrosurgical Units, Monopolar/Bipolar</v>
      </c>
      <c r="MXK92" s="165" t="s">
        <v>945</v>
      </c>
      <c r="MXL92" s="166" t="str">
        <f>VLOOKUP(MXK92,[13]AssetDetails_UEM!$A$3:$AH$1849,6,FALSE)</f>
        <v>Electrosurgical Units, Monopolar/Bipolar</v>
      </c>
      <c r="MXM92" s="165" t="s">
        <v>945</v>
      </c>
      <c r="MXN92" s="166" t="str">
        <f>VLOOKUP(MXM92,[13]AssetDetails_UEM!$A$3:$AH$1849,6,FALSE)</f>
        <v>Electrosurgical Units, Monopolar/Bipolar</v>
      </c>
      <c r="MXO92" s="165" t="s">
        <v>945</v>
      </c>
      <c r="MXP92" s="166" t="str">
        <f>VLOOKUP(MXO92,[13]AssetDetails_UEM!$A$3:$AH$1849,6,FALSE)</f>
        <v>Electrosurgical Units, Monopolar/Bipolar</v>
      </c>
      <c r="MXQ92" s="165" t="s">
        <v>945</v>
      </c>
      <c r="MXR92" s="166" t="str">
        <f>VLOOKUP(MXQ92,[13]AssetDetails_UEM!$A$3:$AH$1849,6,FALSE)</f>
        <v>Electrosurgical Units, Monopolar/Bipolar</v>
      </c>
      <c r="MXS92" s="165" t="s">
        <v>945</v>
      </c>
      <c r="MXT92" s="166" t="str">
        <f>VLOOKUP(MXS92,[13]AssetDetails_UEM!$A$3:$AH$1849,6,FALSE)</f>
        <v>Electrosurgical Units, Monopolar/Bipolar</v>
      </c>
      <c r="MXU92" s="165" t="s">
        <v>945</v>
      </c>
      <c r="MXV92" s="166" t="str">
        <f>VLOOKUP(MXU92,[13]AssetDetails_UEM!$A$3:$AH$1849,6,FALSE)</f>
        <v>Electrosurgical Units, Monopolar/Bipolar</v>
      </c>
      <c r="MXW92" s="165" t="s">
        <v>945</v>
      </c>
      <c r="MXX92" s="166" t="str">
        <f>VLOOKUP(MXW92,[13]AssetDetails_UEM!$A$3:$AH$1849,6,FALSE)</f>
        <v>Electrosurgical Units, Monopolar/Bipolar</v>
      </c>
      <c r="MXY92" s="165" t="s">
        <v>945</v>
      </c>
      <c r="MXZ92" s="166" t="str">
        <f>VLOOKUP(MXY92,[13]AssetDetails_UEM!$A$3:$AH$1849,6,FALSE)</f>
        <v>Electrosurgical Units, Monopolar/Bipolar</v>
      </c>
      <c r="MYA92" s="165" t="s">
        <v>945</v>
      </c>
      <c r="MYB92" s="166" t="str">
        <f>VLOOKUP(MYA92,[13]AssetDetails_UEM!$A$3:$AH$1849,6,FALSE)</f>
        <v>Electrosurgical Units, Monopolar/Bipolar</v>
      </c>
      <c r="MYC92" s="165" t="s">
        <v>945</v>
      </c>
      <c r="MYD92" s="166" t="str">
        <f>VLOOKUP(MYC92,[13]AssetDetails_UEM!$A$3:$AH$1849,6,FALSE)</f>
        <v>Electrosurgical Units, Monopolar/Bipolar</v>
      </c>
      <c r="MYE92" s="165" t="s">
        <v>945</v>
      </c>
      <c r="MYF92" s="166" t="str">
        <f>VLOOKUP(MYE92,[13]AssetDetails_UEM!$A$3:$AH$1849,6,FALSE)</f>
        <v>Electrosurgical Units, Monopolar/Bipolar</v>
      </c>
      <c r="MYG92" s="165" t="s">
        <v>945</v>
      </c>
      <c r="MYH92" s="166" t="str">
        <f>VLOOKUP(MYG92,[13]AssetDetails_UEM!$A$3:$AH$1849,6,FALSE)</f>
        <v>Electrosurgical Units, Monopolar/Bipolar</v>
      </c>
      <c r="MYI92" s="165" t="s">
        <v>945</v>
      </c>
      <c r="MYJ92" s="166" t="str">
        <f>VLOOKUP(MYI92,[13]AssetDetails_UEM!$A$3:$AH$1849,6,FALSE)</f>
        <v>Electrosurgical Units, Monopolar/Bipolar</v>
      </c>
      <c r="MYK92" s="165" t="s">
        <v>945</v>
      </c>
      <c r="MYL92" s="166" t="str">
        <f>VLOOKUP(MYK92,[13]AssetDetails_UEM!$A$3:$AH$1849,6,FALSE)</f>
        <v>Electrosurgical Units, Monopolar/Bipolar</v>
      </c>
      <c r="MYM92" s="165" t="s">
        <v>945</v>
      </c>
      <c r="MYN92" s="166" t="str">
        <f>VLOOKUP(MYM92,[13]AssetDetails_UEM!$A$3:$AH$1849,6,FALSE)</f>
        <v>Electrosurgical Units, Monopolar/Bipolar</v>
      </c>
      <c r="MYO92" s="165" t="s">
        <v>945</v>
      </c>
      <c r="MYP92" s="166" t="str">
        <f>VLOOKUP(MYO92,[13]AssetDetails_UEM!$A$3:$AH$1849,6,FALSE)</f>
        <v>Electrosurgical Units, Monopolar/Bipolar</v>
      </c>
      <c r="MYQ92" s="165" t="s">
        <v>945</v>
      </c>
      <c r="MYR92" s="166" t="str">
        <f>VLOOKUP(MYQ92,[13]AssetDetails_UEM!$A$3:$AH$1849,6,FALSE)</f>
        <v>Electrosurgical Units, Monopolar/Bipolar</v>
      </c>
      <c r="MYS92" s="165" t="s">
        <v>945</v>
      </c>
      <c r="MYT92" s="166" t="str">
        <f>VLOOKUP(MYS92,[13]AssetDetails_UEM!$A$3:$AH$1849,6,FALSE)</f>
        <v>Electrosurgical Units, Monopolar/Bipolar</v>
      </c>
      <c r="MYU92" s="165" t="s">
        <v>945</v>
      </c>
      <c r="MYV92" s="166" t="str">
        <f>VLOOKUP(MYU92,[13]AssetDetails_UEM!$A$3:$AH$1849,6,FALSE)</f>
        <v>Electrosurgical Units, Monopolar/Bipolar</v>
      </c>
      <c r="MYW92" s="165" t="s">
        <v>945</v>
      </c>
      <c r="MYX92" s="166" t="str">
        <f>VLOOKUP(MYW92,[13]AssetDetails_UEM!$A$3:$AH$1849,6,FALSE)</f>
        <v>Electrosurgical Units, Monopolar/Bipolar</v>
      </c>
      <c r="MYY92" s="165" t="s">
        <v>945</v>
      </c>
      <c r="MYZ92" s="166" t="str">
        <f>VLOOKUP(MYY92,[13]AssetDetails_UEM!$A$3:$AH$1849,6,FALSE)</f>
        <v>Electrosurgical Units, Monopolar/Bipolar</v>
      </c>
      <c r="MZA92" s="165" t="s">
        <v>945</v>
      </c>
      <c r="MZB92" s="166" t="str">
        <f>VLOOKUP(MZA92,[13]AssetDetails_UEM!$A$3:$AH$1849,6,FALSE)</f>
        <v>Electrosurgical Units, Monopolar/Bipolar</v>
      </c>
      <c r="MZC92" s="165" t="s">
        <v>945</v>
      </c>
      <c r="MZD92" s="166" t="str">
        <f>VLOOKUP(MZC92,[13]AssetDetails_UEM!$A$3:$AH$1849,6,FALSE)</f>
        <v>Electrosurgical Units, Monopolar/Bipolar</v>
      </c>
      <c r="MZE92" s="165" t="s">
        <v>945</v>
      </c>
      <c r="MZF92" s="166" t="str">
        <f>VLOOKUP(MZE92,[13]AssetDetails_UEM!$A$3:$AH$1849,6,FALSE)</f>
        <v>Electrosurgical Units, Monopolar/Bipolar</v>
      </c>
      <c r="MZG92" s="165" t="s">
        <v>945</v>
      </c>
      <c r="MZH92" s="166" t="str">
        <f>VLOOKUP(MZG92,[13]AssetDetails_UEM!$A$3:$AH$1849,6,FALSE)</f>
        <v>Electrosurgical Units, Monopolar/Bipolar</v>
      </c>
      <c r="MZI92" s="165" t="s">
        <v>945</v>
      </c>
      <c r="MZJ92" s="166" t="str">
        <f>VLOOKUP(MZI92,[13]AssetDetails_UEM!$A$3:$AH$1849,6,FALSE)</f>
        <v>Electrosurgical Units, Monopolar/Bipolar</v>
      </c>
      <c r="MZK92" s="165" t="s">
        <v>945</v>
      </c>
      <c r="MZL92" s="166" t="str">
        <f>VLOOKUP(MZK92,[13]AssetDetails_UEM!$A$3:$AH$1849,6,FALSE)</f>
        <v>Electrosurgical Units, Monopolar/Bipolar</v>
      </c>
      <c r="MZM92" s="165" t="s">
        <v>945</v>
      </c>
      <c r="MZN92" s="166" t="str">
        <f>VLOOKUP(MZM92,[13]AssetDetails_UEM!$A$3:$AH$1849,6,FALSE)</f>
        <v>Electrosurgical Units, Monopolar/Bipolar</v>
      </c>
      <c r="MZO92" s="165" t="s">
        <v>945</v>
      </c>
      <c r="MZP92" s="166" t="str">
        <f>VLOOKUP(MZO92,[13]AssetDetails_UEM!$A$3:$AH$1849,6,FALSE)</f>
        <v>Electrosurgical Units, Monopolar/Bipolar</v>
      </c>
      <c r="MZQ92" s="165" t="s">
        <v>945</v>
      </c>
      <c r="MZR92" s="166" t="str">
        <f>VLOOKUP(MZQ92,[13]AssetDetails_UEM!$A$3:$AH$1849,6,FALSE)</f>
        <v>Electrosurgical Units, Monopolar/Bipolar</v>
      </c>
      <c r="MZS92" s="165" t="s">
        <v>945</v>
      </c>
      <c r="MZT92" s="166" t="str">
        <f>VLOOKUP(MZS92,[13]AssetDetails_UEM!$A$3:$AH$1849,6,FALSE)</f>
        <v>Electrosurgical Units, Monopolar/Bipolar</v>
      </c>
      <c r="MZU92" s="165" t="s">
        <v>945</v>
      </c>
      <c r="MZV92" s="166" t="str">
        <f>VLOOKUP(MZU92,[13]AssetDetails_UEM!$A$3:$AH$1849,6,FALSE)</f>
        <v>Electrosurgical Units, Monopolar/Bipolar</v>
      </c>
      <c r="MZW92" s="165" t="s">
        <v>945</v>
      </c>
      <c r="MZX92" s="166" t="str">
        <f>VLOOKUP(MZW92,[13]AssetDetails_UEM!$A$3:$AH$1849,6,FALSE)</f>
        <v>Electrosurgical Units, Monopolar/Bipolar</v>
      </c>
      <c r="MZY92" s="165" t="s">
        <v>945</v>
      </c>
      <c r="MZZ92" s="166" t="str">
        <f>VLOOKUP(MZY92,[13]AssetDetails_UEM!$A$3:$AH$1849,6,FALSE)</f>
        <v>Electrosurgical Units, Monopolar/Bipolar</v>
      </c>
      <c r="NAA92" s="165" t="s">
        <v>945</v>
      </c>
      <c r="NAB92" s="166" t="str">
        <f>VLOOKUP(NAA92,[13]AssetDetails_UEM!$A$3:$AH$1849,6,FALSE)</f>
        <v>Electrosurgical Units, Monopolar/Bipolar</v>
      </c>
      <c r="NAC92" s="165" t="s">
        <v>945</v>
      </c>
      <c r="NAD92" s="166" t="str">
        <f>VLOOKUP(NAC92,[13]AssetDetails_UEM!$A$3:$AH$1849,6,FALSE)</f>
        <v>Electrosurgical Units, Monopolar/Bipolar</v>
      </c>
      <c r="NAE92" s="165" t="s">
        <v>945</v>
      </c>
      <c r="NAF92" s="166" t="str">
        <f>VLOOKUP(NAE92,[13]AssetDetails_UEM!$A$3:$AH$1849,6,FALSE)</f>
        <v>Electrosurgical Units, Monopolar/Bipolar</v>
      </c>
      <c r="NAG92" s="165" t="s">
        <v>945</v>
      </c>
      <c r="NAH92" s="166" t="str">
        <f>VLOOKUP(NAG92,[13]AssetDetails_UEM!$A$3:$AH$1849,6,FALSE)</f>
        <v>Electrosurgical Units, Monopolar/Bipolar</v>
      </c>
      <c r="NAI92" s="165" t="s">
        <v>945</v>
      </c>
      <c r="NAJ92" s="166" t="str">
        <f>VLOOKUP(NAI92,[13]AssetDetails_UEM!$A$3:$AH$1849,6,FALSE)</f>
        <v>Electrosurgical Units, Monopolar/Bipolar</v>
      </c>
      <c r="NAK92" s="165" t="s">
        <v>945</v>
      </c>
      <c r="NAL92" s="166" t="str">
        <f>VLOOKUP(NAK92,[13]AssetDetails_UEM!$A$3:$AH$1849,6,FALSE)</f>
        <v>Electrosurgical Units, Monopolar/Bipolar</v>
      </c>
      <c r="NAM92" s="165" t="s">
        <v>945</v>
      </c>
      <c r="NAN92" s="166" t="str">
        <f>VLOOKUP(NAM92,[13]AssetDetails_UEM!$A$3:$AH$1849,6,FALSE)</f>
        <v>Electrosurgical Units, Monopolar/Bipolar</v>
      </c>
      <c r="NAO92" s="165" t="s">
        <v>945</v>
      </c>
      <c r="NAP92" s="166" t="str">
        <f>VLOOKUP(NAO92,[13]AssetDetails_UEM!$A$3:$AH$1849,6,FALSE)</f>
        <v>Electrosurgical Units, Monopolar/Bipolar</v>
      </c>
      <c r="NAQ92" s="165" t="s">
        <v>945</v>
      </c>
      <c r="NAR92" s="166" t="str">
        <f>VLOOKUP(NAQ92,[13]AssetDetails_UEM!$A$3:$AH$1849,6,FALSE)</f>
        <v>Electrosurgical Units, Monopolar/Bipolar</v>
      </c>
      <c r="NAS92" s="165" t="s">
        <v>945</v>
      </c>
      <c r="NAT92" s="166" t="str">
        <f>VLOOKUP(NAS92,[13]AssetDetails_UEM!$A$3:$AH$1849,6,FALSE)</f>
        <v>Electrosurgical Units, Monopolar/Bipolar</v>
      </c>
      <c r="NAU92" s="165" t="s">
        <v>945</v>
      </c>
      <c r="NAV92" s="166" t="str">
        <f>VLOOKUP(NAU92,[13]AssetDetails_UEM!$A$3:$AH$1849,6,FALSE)</f>
        <v>Electrosurgical Units, Monopolar/Bipolar</v>
      </c>
      <c r="NAW92" s="165" t="s">
        <v>945</v>
      </c>
      <c r="NAX92" s="166" t="str">
        <f>VLOOKUP(NAW92,[13]AssetDetails_UEM!$A$3:$AH$1849,6,FALSE)</f>
        <v>Electrosurgical Units, Monopolar/Bipolar</v>
      </c>
      <c r="NAY92" s="165" t="s">
        <v>945</v>
      </c>
      <c r="NAZ92" s="166" t="str">
        <f>VLOOKUP(NAY92,[13]AssetDetails_UEM!$A$3:$AH$1849,6,FALSE)</f>
        <v>Electrosurgical Units, Monopolar/Bipolar</v>
      </c>
      <c r="NBA92" s="165" t="s">
        <v>945</v>
      </c>
      <c r="NBB92" s="166" t="str">
        <f>VLOOKUP(NBA92,[13]AssetDetails_UEM!$A$3:$AH$1849,6,FALSE)</f>
        <v>Electrosurgical Units, Monopolar/Bipolar</v>
      </c>
      <c r="NBC92" s="165" t="s">
        <v>945</v>
      </c>
      <c r="NBD92" s="166" t="str">
        <f>VLOOKUP(NBC92,[13]AssetDetails_UEM!$A$3:$AH$1849,6,FALSE)</f>
        <v>Electrosurgical Units, Monopolar/Bipolar</v>
      </c>
      <c r="NBE92" s="165" t="s">
        <v>945</v>
      </c>
      <c r="NBF92" s="166" t="str">
        <f>VLOOKUP(NBE92,[13]AssetDetails_UEM!$A$3:$AH$1849,6,FALSE)</f>
        <v>Electrosurgical Units, Monopolar/Bipolar</v>
      </c>
      <c r="NBG92" s="165" t="s">
        <v>945</v>
      </c>
      <c r="NBH92" s="166" t="str">
        <f>VLOOKUP(NBG92,[13]AssetDetails_UEM!$A$3:$AH$1849,6,FALSE)</f>
        <v>Electrosurgical Units, Monopolar/Bipolar</v>
      </c>
      <c r="NBI92" s="165" t="s">
        <v>945</v>
      </c>
      <c r="NBJ92" s="166" t="str">
        <f>VLOOKUP(NBI92,[13]AssetDetails_UEM!$A$3:$AH$1849,6,FALSE)</f>
        <v>Electrosurgical Units, Monopolar/Bipolar</v>
      </c>
      <c r="NBK92" s="165" t="s">
        <v>945</v>
      </c>
      <c r="NBL92" s="166" t="str">
        <f>VLOOKUP(NBK92,[13]AssetDetails_UEM!$A$3:$AH$1849,6,FALSE)</f>
        <v>Electrosurgical Units, Monopolar/Bipolar</v>
      </c>
      <c r="NBM92" s="165" t="s">
        <v>945</v>
      </c>
      <c r="NBN92" s="166" t="str">
        <f>VLOOKUP(NBM92,[13]AssetDetails_UEM!$A$3:$AH$1849,6,FALSE)</f>
        <v>Electrosurgical Units, Monopolar/Bipolar</v>
      </c>
      <c r="NBO92" s="165" t="s">
        <v>945</v>
      </c>
      <c r="NBP92" s="166" t="str">
        <f>VLOOKUP(NBO92,[13]AssetDetails_UEM!$A$3:$AH$1849,6,FALSE)</f>
        <v>Electrosurgical Units, Monopolar/Bipolar</v>
      </c>
      <c r="NBQ92" s="165" t="s">
        <v>945</v>
      </c>
      <c r="NBR92" s="166" t="str">
        <f>VLOOKUP(NBQ92,[13]AssetDetails_UEM!$A$3:$AH$1849,6,FALSE)</f>
        <v>Electrosurgical Units, Monopolar/Bipolar</v>
      </c>
      <c r="NBS92" s="165" t="s">
        <v>945</v>
      </c>
      <c r="NBT92" s="166" t="str">
        <f>VLOOKUP(NBS92,[13]AssetDetails_UEM!$A$3:$AH$1849,6,FALSE)</f>
        <v>Electrosurgical Units, Monopolar/Bipolar</v>
      </c>
      <c r="NBU92" s="165" t="s">
        <v>945</v>
      </c>
      <c r="NBV92" s="166" t="str">
        <f>VLOOKUP(NBU92,[13]AssetDetails_UEM!$A$3:$AH$1849,6,FALSE)</f>
        <v>Electrosurgical Units, Monopolar/Bipolar</v>
      </c>
      <c r="NBW92" s="165" t="s">
        <v>945</v>
      </c>
      <c r="NBX92" s="166" t="str">
        <f>VLOOKUP(NBW92,[13]AssetDetails_UEM!$A$3:$AH$1849,6,FALSE)</f>
        <v>Electrosurgical Units, Monopolar/Bipolar</v>
      </c>
      <c r="NBY92" s="165" t="s">
        <v>945</v>
      </c>
      <c r="NBZ92" s="166" t="str">
        <f>VLOOKUP(NBY92,[13]AssetDetails_UEM!$A$3:$AH$1849,6,FALSE)</f>
        <v>Electrosurgical Units, Monopolar/Bipolar</v>
      </c>
      <c r="NCA92" s="165" t="s">
        <v>945</v>
      </c>
      <c r="NCB92" s="166" t="str">
        <f>VLOOKUP(NCA92,[13]AssetDetails_UEM!$A$3:$AH$1849,6,FALSE)</f>
        <v>Electrosurgical Units, Monopolar/Bipolar</v>
      </c>
      <c r="NCC92" s="165" t="s">
        <v>945</v>
      </c>
      <c r="NCD92" s="166" t="str">
        <f>VLOOKUP(NCC92,[13]AssetDetails_UEM!$A$3:$AH$1849,6,FALSE)</f>
        <v>Electrosurgical Units, Monopolar/Bipolar</v>
      </c>
      <c r="NCE92" s="165" t="s">
        <v>945</v>
      </c>
      <c r="NCF92" s="166" t="str">
        <f>VLOOKUP(NCE92,[13]AssetDetails_UEM!$A$3:$AH$1849,6,FALSE)</f>
        <v>Electrosurgical Units, Monopolar/Bipolar</v>
      </c>
      <c r="NCG92" s="165" t="s">
        <v>945</v>
      </c>
      <c r="NCH92" s="166" t="str">
        <f>VLOOKUP(NCG92,[13]AssetDetails_UEM!$A$3:$AH$1849,6,FALSE)</f>
        <v>Electrosurgical Units, Monopolar/Bipolar</v>
      </c>
      <c r="NCI92" s="165" t="s">
        <v>945</v>
      </c>
      <c r="NCJ92" s="166" t="str">
        <f>VLOOKUP(NCI92,[13]AssetDetails_UEM!$A$3:$AH$1849,6,FALSE)</f>
        <v>Electrosurgical Units, Monopolar/Bipolar</v>
      </c>
      <c r="NCK92" s="165" t="s">
        <v>945</v>
      </c>
      <c r="NCL92" s="166" t="str">
        <f>VLOOKUP(NCK92,[13]AssetDetails_UEM!$A$3:$AH$1849,6,FALSE)</f>
        <v>Electrosurgical Units, Monopolar/Bipolar</v>
      </c>
      <c r="NCM92" s="165" t="s">
        <v>945</v>
      </c>
      <c r="NCN92" s="166" t="str">
        <f>VLOOKUP(NCM92,[13]AssetDetails_UEM!$A$3:$AH$1849,6,FALSE)</f>
        <v>Electrosurgical Units, Monopolar/Bipolar</v>
      </c>
      <c r="NCO92" s="165" t="s">
        <v>945</v>
      </c>
      <c r="NCP92" s="166" t="str">
        <f>VLOOKUP(NCO92,[13]AssetDetails_UEM!$A$3:$AH$1849,6,FALSE)</f>
        <v>Electrosurgical Units, Monopolar/Bipolar</v>
      </c>
      <c r="NCQ92" s="165" t="s">
        <v>945</v>
      </c>
      <c r="NCR92" s="166" t="str">
        <f>VLOOKUP(NCQ92,[13]AssetDetails_UEM!$A$3:$AH$1849,6,FALSE)</f>
        <v>Electrosurgical Units, Monopolar/Bipolar</v>
      </c>
      <c r="NCS92" s="165" t="s">
        <v>945</v>
      </c>
      <c r="NCT92" s="166" t="str">
        <f>VLOOKUP(NCS92,[13]AssetDetails_UEM!$A$3:$AH$1849,6,FALSE)</f>
        <v>Electrosurgical Units, Monopolar/Bipolar</v>
      </c>
      <c r="NCU92" s="165" t="s">
        <v>945</v>
      </c>
      <c r="NCV92" s="166" t="str">
        <f>VLOOKUP(NCU92,[13]AssetDetails_UEM!$A$3:$AH$1849,6,FALSE)</f>
        <v>Electrosurgical Units, Monopolar/Bipolar</v>
      </c>
      <c r="NCW92" s="165" t="s">
        <v>945</v>
      </c>
      <c r="NCX92" s="166" t="str">
        <f>VLOOKUP(NCW92,[13]AssetDetails_UEM!$A$3:$AH$1849,6,FALSE)</f>
        <v>Electrosurgical Units, Monopolar/Bipolar</v>
      </c>
      <c r="NCY92" s="165" t="s">
        <v>945</v>
      </c>
      <c r="NCZ92" s="166" t="str">
        <f>VLOOKUP(NCY92,[13]AssetDetails_UEM!$A$3:$AH$1849,6,FALSE)</f>
        <v>Electrosurgical Units, Monopolar/Bipolar</v>
      </c>
      <c r="NDA92" s="165" t="s">
        <v>945</v>
      </c>
      <c r="NDB92" s="166" t="str">
        <f>VLOOKUP(NDA92,[13]AssetDetails_UEM!$A$3:$AH$1849,6,FALSE)</f>
        <v>Electrosurgical Units, Monopolar/Bipolar</v>
      </c>
      <c r="NDC92" s="165" t="s">
        <v>945</v>
      </c>
      <c r="NDD92" s="166" t="str">
        <f>VLOOKUP(NDC92,[13]AssetDetails_UEM!$A$3:$AH$1849,6,FALSE)</f>
        <v>Electrosurgical Units, Monopolar/Bipolar</v>
      </c>
      <c r="NDE92" s="165" t="s">
        <v>945</v>
      </c>
      <c r="NDF92" s="166" t="str">
        <f>VLOOKUP(NDE92,[13]AssetDetails_UEM!$A$3:$AH$1849,6,FALSE)</f>
        <v>Electrosurgical Units, Monopolar/Bipolar</v>
      </c>
      <c r="NDG92" s="165" t="s">
        <v>945</v>
      </c>
      <c r="NDH92" s="166" t="str">
        <f>VLOOKUP(NDG92,[13]AssetDetails_UEM!$A$3:$AH$1849,6,FALSE)</f>
        <v>Electrosurgical Units, Monopolar/Bipolar</v>
      </c>
      <c r="NDI92" s="165" t="s">
        <v>945</v>
      </c>
      <c r="NDJ92" s="166" t="str">
        <f>VLOOKUP(NDI92,[13]AssetDetails_UEM!$A$3:$AH$1849,6,FALSE)</f>
        <v>Electrosurgical Units, Monopolar/Bipolar</v>
      </c>
      <c r="NDK92" s="165" t="s">
        <v>945</v>
      </c>
      <c r="NDL92" s="166" t="str">
        <f>VLOOKUP(NDK92,[13]AssetDetails_UEM!$A$3:$AH$1849,6,FALSE)</f>
        <v>Electrosurgical Units, Monopolar/Bipolar</v>
      </c>
      <c r="NDM92" s="165" t="s">
        <v>945</v>
      </c>
      <c r="NDN92" s="166" t="str">
        <f>VLOOKUP(NDM92,[13]AssetDetails_UEM!$A$3:$AH$1849,6,FALSE)</f>
        <v>Electrosurgical Units, Monopolar/Bipolar</v>
      </c>
      <c r="NDO92" s="165" t="s">
        <v>945</v>
      </c>
      <c r="NDP92" s="166" t="str">
        <f>VLOOKUP(NDO92,[13]AssetDetails_UEM!$A$3:$AH$1849,6,FALSE)</f>
        <v>Electrosurgical Units, Monopolar/Bipolar</v>
      </c>
      <c r="NDQ92" s="165" t="s">
        <v>945</v>
      </c>
      <c r="NDR92" s="166" t="str">
        <f>VLOOKUP(NDQ92,[13]AssetDetails_UEM!$A$3:$AH$1849,6,FALSE)</f>
        <v>Electrosurgical Units, Monopolar/Bipolar</v>
      </c>
      <c r="NDS92" s="165" t="s">
        <v>945</v>
      </c>
      <c r="NDT92" s="166" t="str">
        <f>VLOOKUP(NDS92,[13]AssetDetails_UEM!$A$3:$AH$1849,6,FALSE)</f>
        <v>Electrosurgical Units, Monopolar/Bipolar</v>
      </c>
      <c r="NDU92" s="165" t="s">
        <v>945</v>
      </c>
      <c r="NDV92" s="166" t="str">
        <f>VLOOKUP(NDU92,[13]AssetDetails_UEM!$A$3:$AH$1849,6,FALSE)</f>
        <v>Electrosurgical Units, Monopolar/Bipolar</v>
      </c>
      <c r="NDW92" s="165" t="s">
        <v>945</v>
      </c>
      <c r="NDX92" s="166" t="str">
        <f>VLOOKUP(NDW92,[13]AssetDetails_UEM!$A$3:$AH$1849,6,FALSE)</f>
        <v>Electrosurgical Units, Monopolar/Bipolar</v>
      </c>
      <c r="NDY92" s="165" t="s">
        <v>945</v>
      </c>
      <c r="NDZ92" s="166" t="str">
        <f>VLOOKUP(NDY92,[13]AssetDetails_UEM!$A$3:$AH$1849,6,FALSE)</f>
        <v>Electrosurgical Units, Monopolar/Bipolar</v>
      </c>
      <c r="NEA92" s="165" t="s">
        <v>945</v>
      </c>
      <c r="NEB92" s="166" t="str">
        <f>VLOOKUP(NEA92,[13]AssetDetails_UEM!$A$3:$AH$1849,6,FALSE)</f>
        <v>Electrosurgical Units, Monopolar/Bipolar</v>
      </c>
      <c r="NEC92" s="165" t="s">
        <v>945</v>
      </c>
      <c r="NED92" s="166" t="str">
        <f>VLOOKUP(NEC92,[13]AssetDetails_UEM!$A$3:$AH$1849,6,FALSE)</f>
        <v>Electrosurgical Units, Monopolar/Bipolar</v>
      </c>
      <c r="NEE92" s="165" t="s">
        <v>945</v>
      </c>
      <c r="NEF92" s="166" t="str">
        <f>VLOOKUP(NEE92,[13]AssetDetails_UEM!$A$3:$AH$1849,6,FALSE)</f>
        <v>Electrosurgical Units, Monopolar/Bipolar</v>
      </c>
      <c r="NEG92" s="165" t="s">
        <v>945</v>
      </c>
      <c r="NEH92" s="166" t="str">
        <f>VLOOKUP(NEG92,[13]AssetDetails_UEM!$A$3:$AH$1849,6,FALSE)</f>
        <v>Electrosurgical Units, Monopolar/Bipolar</v>
      </c>
      <c r="NEI92" s="165" t="s">
        <v>945</v>
      </c>
      <c r="NEJ92" s="166" t="str">
        <f>VLOOKUP(NEI92,[13]AssetDetails_UEM!$A$3:$AH$1849,6,FALSE)</f>
        <v>Electrosurgical Units, Monopolar/Bipolar</v>
      </c>
      <c r="NEK92" s="165" t="s">
        <v>945</v>
      </c>
      <c r="NEL92" s="166" t="str">
        <f>VLOOKUP(NEK92,[13]AssetDetails_UEM!$A$3:$AH$1849,6,FALSE)</f>
        <v>Electrosurgical Units, Monopolar/Bipolar</v>
      </c>
      <c r="NEM92" s="165" t="s">
        <v>945</v>
      </c>
      <c r="NEN92" s="166" t="str">
        <f>VLOOKUP(NEM92,[13]AssetDetails_UEM!$A$3:$AH$1849,6,FALSE)</f>
        <v>Electrosurgical Units, Monopolar/Bipolar</v>
      </c>
      <c r="NEO92" s="165" t="s">
        <v>945</v>
      </c>
      <c r="NEP92" s="166" t="str">
        <f>VLOOKUP(NEO92,[13]AssetDetails_UEM!$A$3:$AH$1849,6,FALSE)</f>
        <v>Electrosurgical Units, Monopolar/Bipolar</v>
      </c>
      <c r="NEQ92" s="165" t="s">
        <v>945</v>
      </c>
      <c r="NER92" s="166" t="str">
        <f>VLOOKUP(NEQ92,[13]AssetDetails_UEM!$A$3:$AH$1849,6,FALSE)</f>
        <v>Electrosurgical Units, Monopolar/Bipolar</v>
      </c>
      <c r="NES92" s="165" t="s">
        <v>945</v>
      </c>
      <c r="NET92" s="166" t="str">
        <f>VLOOKUP(NES92,[13]AssetDetails_UEM!$A$3:$AH$1849,6,FALSE)</f>
        <v>Electrosurgical Units, Monopolar/Bipolar</v>
      </c>
      <c r="NEU92" s="165" t="s">
        <v>945</v>
      </c>
      <c r="NEV92" s="166" t="str">
        <f>VLOOKUP(NEU92,[13]AssetDetails_UEM!$A$3:$AH$1849,6,FALSE)</f>
        <v>Electrosurgical Units, Monopolar/Bipolar</v>
      </c>
      <c r="NEW92" s="165" t="s">
        <v>945</v>
      </c>
      <c r="NEX92" s="166" t="str">
        <f>VLOOKUP(NEW92,[13]AssetDetails_UEM!$A$3:$AH$1849,6,FALSE)</f>
        <v>Electrosurgical Units, Monopolar/Bipolar</v>
      </c>
      <c r="NEY92" s="165" t="s">
        <v>945</v>
      </c>
      <c r="NEZ92" s="166" t="str">
        <f>VLOOKUP(NEY92,[13]AssetDetails_UEM!$A$3:$AH$1849,6,FALSE)</f>
        <v>Electrosurgical Units, Monopolar/Bipolar</v>
      </c>
      <c r="NFA92" s="165" t="s">
        <v>945</v>
      </c>
      <c r="NFB92" s="166" t="str">
        <f>VLOOKUP(NFA92,[13]AssetDetails_UEM!$A$3:$AH$1849,6,FALSE)</f>
        <v>Electrosurgical Units, Monopolar/Bipolar</v>
      </c>
      <c r="NFC92" s="165" t="s">
        <v>945</v>
      </c>
      <c r="NFD92" s="166" t="str">
        <f>VLOOKUP(NFC92,[13]AssetDetails_UEM!$A$3:$AH$1849,6,FALSE)</f>
        <v>Electrosurgical Units, Monopolar/Bipolar</v>
      </c>
      <c r="NFE92" s="165" t="s">
        <v>945</v>
      </c>
      <c r="NFF92" s="166" t="str">
        <f>VLOOKUP(NFE92,[13]AssetDetails_UEM!$A$3:$AH$1849,6,FALSE)</f>
        <v>Electrosurgical Units, Monopolar/Bipolar</v>
      </c>
      <c r="NFG92" s="165" t="s">
        <v>945</v>
      </c>
      <c r="NFH92" s="166" t="str">
        <f>VLOOKUP(NFG92,[13]AssetDetails_UEM!$A$3:$AH$1849,6,FALSE)</f>
        <v>Electrosurgical Units, Monopolar/Bipolar</v>
      </c>
      <c r="NFI92" s="165" t="s">
        <v>945</v>
      </c>
      <c r="NFJ92" s="166" t="str">
        <f>VLOOKUP(NFI92,[13]AssetDetails_UEM!$A$3:$AH$1849,6,FALSE)</f>
        <v>Electrosurgical Units, Monopolar/Bipolar</v>
      </c>
      <c r="NFK92" s="165" t="s">
        <v>945</v>
      </c>
      <c r="NFL92" s="166" t="str">
        <f>VLOOKUP(NFK92,[13]AssetDetails_UEM!$A$3:$AH$1849,6,FALSE)</f>
        <v>Electrosurgical Units, Monopolar/Bipolar</v>
      </c>
      <c r="NFM92" s="165" t="s">
        <v>945</v>
      </c>
      <c r="NFN92" s="166" t="str">
        <f>VLOOKUP(NFM92,[13]AssetDetails_UEM!$A$3:$AH$1849,6,FALSE)</f>
        <v>Electrosurgical Units, Monopolar/Bipolar</v>
      </c>
      <c r="NFO92" s="165" t="s">
        <v>945</v>
      </c>
      <c r="NFP92" s="166" t="str">
        <f>VLOOKUP(NFO92,[13]AssetDetails_UEM!$A$3:$AH$1849,6,FALSE)</f>
        <v>Electrosurgical Units, Monopolar/Bipolar</v>
      </c>
      <c r="NFQ92" s="165" t="s">
        <v>945</v>
      </c>
      <c r="NFR92" s="166" t="str">
        <f>VLOOKUP(NFQ92,[13]AssetDetails_UEM!$A$3:$AH$1849,6,FALSE)</f>
        <v>Electrosurgical Units, Monopolar/Bipolar</v>
      </c>
      <c r="NFS92" s="165" t="s">
        <v>945</v>
      </c>
      <c r="NFT92" s="166" t="str">
        <f>VLOOKUP(NFS92,[13]AssetDetails_UEM!$A$3:$AH$1849,6,FALSE)</f>
        <v>Electrosurgical Units, Monopolar/Bipolar</v>
      </c>
      <c r="NFU92" s="165" t="s">
        <v>945</v>
      </c>
      <c r="NFV92" s="166" t="str">
        <f>VLOOKUP(NFU92,[13]AssetDetails_UEM!$A$3:$AH$1849,6,FALSE)</f>
        <v>Electrosurgical Units, Monopolar/Bipolar</v>
      </c>
      <c r="NFW92" s="165" t="s">
        <v>945</v>
      </c>
      <c r="NFX92" s="166" t="str">
        <f>VLOOKUP(NFW92,[13]AssetDetails_UEM!$A$3:$AH$1849,6,FALSE)</f>
        <v>Electrosurgical Units, Monopolar/Bipolar</v>
      </c>
      <c r="NFY92" s="165" t="s">
        <v>945</v>
      </c>
      <c r="NFZ92" s="166" t="str">
        <f>VLOOKUP(NFY92,[13]AssetDetails_UEM!$A$3:$AH$1849,6,FALSE)</f>
        <v>Electrosurgical Units, Monopolar/Bipolar</v>
      </c>
      <c r="NGA92" s="165" t="s">
        <v>945</v>
      </c>
      <c r="NGB92" s="166" t="str">
        <f>VLOOKUP(NGA92,[13]AssetDetails_UEM!$A$3:$AH$1849,6,FALSE)</f>
        <v>Electrosurgical Units, Monopolar/Bipolar</v>
      </c>
      <c r="NGC92" s="165" t="s">
        <v>945</v>
      </c>
      <c r="NGD92" s="166" t="str">
        <f>VLOOKUP(NGC92,[13]AssetDetails_UEM!$A$3:$AH$1849,6,FALSE)</f>
        <v>Electrosurgical Units, Monopolar/Bipolar</v>
      </c>
      <c r="NGE92" s="165" t="s">
        <v>945</v>
      </c>
      <c r="NGF92" s="166" t="str">
        <f>VLOOKUP(NGE92,[13]AssetDetails_UEM!$A$3:$AH$1849,6,FALSE)</f>
        <v>Electrosurgical Units, Monopolar/Bipolar</v>
      </c>
      <c r="NGG92" s="165" t="s">
        <v>945</v>
      </c>
      <c r="NGH92" s="166" t="str">
        <f>VLOOKUP(NGG92,[13]AssetDetails_UEM!$A$3:$AH$1849,6,FALSE)</f>
        <v>Electrosurgical Units, Monopolar/Bipolar</v>
      </c>
      <c r="NGI92" s="165" t="s">
        <v>945</v>
      </c>
      <c r="NGJ92" s="166" t="str">
        <f>VLOOKUP(NGI92,[13]AssetDetails_UEM!$A$3:$AH$1849,6,FALSE)</f>
        <v>Electrosurgical Units, Monopolar/Bipolar</v>
      </c>
      <c r="NGK92" s="165" t="s">
        <v>945</v>
      </c>
      <c r="NGL92" s="166" t="str">
        <f>VLOOKUP(NGK92,[13]AssetDetails_UEM!$A$3:$AH$1849,6,FALSE)</f>
        <v>Electrosurgical Units, Monopolar/Bipolar</v>
      </c>
      <c r="NGM92" s="165" t="s">
        <v>945</v>
      </c>
      <c r="NGN92" s="166" t="str">
        <f>VLOOKUP(NGM92,[13]AssetDetails_UEM!$A$3:$AH$1849,6,FALSE)</f>
        <v>Electrosurgical Units, Monopolar/Bipolar</v>
      </c>
      <c r="NGO92" s="165" t="s">
        <v>945</v>
      </c>
      <c r="NGP92" s="166" t="str">
        <f>VLOOKUP(NGO92,[13]AssetDetails_UEM!$A$3:$AH$1849,6,FALSE)</f>
        <v>Electrosurgical Units, Monopolar/Bipolar</v>
      </c>
      <c r="NGQ92" s="165" t="s">
        <v>945</v>
      </c>
      <c r="NGR92" s="166" t="str">
        <f>VLOOKUP(NGQ92,[13]AssetDetails_UEM!$A$3:$AH$1849,6,FALSE)</f>
        <v>Electrosurgical Units, Monopolar/Bipolar</v>
      </c>
      <c r="NGS92" s="165" t="s">
        <v>945</v>
      </c>
      <c r="NGT92" s="166" t="str">
        <f>VLOOKUP(NGS92,[13]AssetDetails_UEM!$A$3:$AH$1849,6,FALSE)</f>
        <v>Electrosurgical Units, Monopolar/Bipolar</v>
      </c>
      <c r="NGU92" s="165" t="s">
        <v>945</v>
      </c>
      <c r="NGV92" s="166" t="str">
        <f>VLOOKUP(NGU92,[13]AssetDetails_UEM!$A$3:$AH$1849,6,FALSE)</f>
        <v>Electrosurgical Units, Monopolar/Bipolar</v>
      </c>
      <c r="NGW92" s="165" t="s">
        <v>945</v>
      </c>
      <c r="NGX92" s="166" t="str">
        <f>VLOOKUP(NGW92,[13]AssetDetails_UEM!$A$3:$AH$1849,6,FALSE)</f>
        <v>Electrosurgical Units, Monopolar/Bipolar</v>
      </c>
      <c r="NGY92" s="165" t="s">
        <v>945</v>
      </c>
      <c r="NGZ92" s="166" t="str">
        <f>VLOOKUP(NGY92,[13]AssetDetails_UEM!$A$3:$AH$1849,6,FALSE)</f>
        <v>Electrosurgical Units, Monopolar/Bipolar</v>
      </c>
      <c r="NHA92" s="165" t="s">
        <v>945</v>
      </c>
      <c r="NHB92" s="166" t="str">
        <f>VLOOKUP(NHA92,[13]AssetDetails_UEM!$A$3:$AH$1849,6,FALSE)</f>
        <v>Electrosurgical Units, Monopolar/Bipolar</v>
      </c>
      <c r="NHC92" s="165" t="s">
        <v>945</v>
      </c>
      <c r="NHD92" s="166" t="str">
        <f>VLOOKUP(NHC92,[13]AssetDetails_UEM!$A$3:$AH$1849,6,FALSE)</f>
        <v>Electrosurgical Units, Monopolar/Bipolar</v>
      </c>
      <c r="NHE92" s="165" t="s">
        <v>945</v>
      </c>
      <c r="NHF92" s="166" t="str">
        <f>VLOOKUP(NHE92,[13]AssetDetails_UEM!$A$3:$AH$1849,6,FALSE)</f>
        <v>Electrosurgical Units, Monopolar/Bipolar</v>
      </c>
      <c r="NHG92" s="165" t="s">
        <v>945</v>
      </c>
      <c r="NHH92" s="166" t="str">
        <f>VLOOKUP(NHG92,[13]AssetDetails_UEM!$A$3:$AH$1849,6,FALSE)</f>
        <v>Electrosurgical Units, Monopolar/Bipolar</v>
      </c>
      <c r="NHI92" s="165" t="s">
        <v>945</v>
      </c>
      <c r="NHJ92" s="166" t="str">
        <f>VLOOKUP(NHI92,[13]AssetDetails_UEM!$A$3:$AH$1849,6,FALSE)</f>
        <v>Electrosurgical Units, Monopolar/Bipolar</v>
      </c>
      <c r="NHK92" s="165" t="s">
        <v>945</v>
      </c>
      <c r="NHL92" s="166" t="str">
        <f>VLOOKUP(NHK92,[13]AssetDetails_UEM!$A$3:$AH$1849,6,FALSE)</f>
        <v>Electrosurgical Units, Monopolar/Bipolar</v>
      </c>
      <c r="NHM92" s="165" t="s">
        <v>945</v>
      </c>
      <c r="NHN92" s="166" t="str">
        <f>VLOOKUP(NHM92,[13]AssetDetails_UEM!$A$3:$AH$1849,6,FALSE)</f>
        <v>Electrosurgical Units, Monopolar/Bipolar</v>
      </c>
      <c r="NHO92" s="165" t="s">
        <v>945</v>
      </c>
      <c r="NHP92" s="166" t="str">
        <f>VLOOKUP(NHO92,[13]AssetDetails_UEM!$A$3:$AH$1849,6,FALSE)</f>
        <v>Electrosurgical Units, Monopolar/Bipolar</v>
      </c>
      <c r="NHQ92" s="165" t="s">
        <v>945</v>
      </c>
      <c r="NHR92" s="166" t="str">
        <f>VLOOKUP(NHQ92,[13]AssetDetails_UEM!$A$3:$AH$1849,6,FALSE)</f>
        <v>Electrosurgical Units, Monopolar/Bipolar</v>
      </c>
      <c r="NHS92" s="165" t="s">
        <v>945</v>
      </c>
      <c r="NHT92" s="166" t="str">
        <f>VLOOKUP(NHS92,[13]AssetDetails_UEM!$A$3:$AH$1849,6,FALSE)</f>
        <v>Electrosurgical Units, Monopolar/Bipolar</v>
      </c>
      <c r="NHU92" s="165" t="s">
        <v>945</v>
      </c>
      <c r="NHV92" s="166" t="str">
        <f>VLOOKUP(NHU92,[13]AssetDetails_UEM!$A$3:$AH$1849,6,FALSE)</f>
        <v>Electrosurgical Units, Monopolar/Bipolar</v>
      </c>
      <c r="NHW92" s="165" t="s">
        <v>945</v>
      </c>
      <c r="NHX92" s="166" t="str">
        <f>VLOOKUP(NHW92,[13]AssetDetails_UEM!$A$3:$AH$1849,6,FALSE)</f>
        <v>Electrosurgical Units, Monopolar/Bipolar</v>
      </c>
      <c r="NHY92" s="165" t="s">
        <v>945</v>
      </c>
      <c r="NHZ92" s="166" t="str">
        <f>VLOOKUP(NHY92,[13]AssetDetails_UEM!$A$3:$AH$1849,6,FALSE)</f>
        <v>Electrosurgical Units, Monopolar/Bipolar</v>
      </c>
      <c r="NIA92" s="165" t="s">
        <v>945</v>
      </c>
      <c r="NIB92" s="166" t="str">
        <f>VLOOKUP(NIA92,[13]AssetDetails_UEM!$A$3:$AH$1849,6,FALSE)</f>
        <v>Electrosurgical Units, Monopolar/Bipolar</v>
      </c>
      <c r="NIC92" s="165" t="s">
        <v>945</v>
      </c>
      <c r="NID92" s="166" t="str">
        <f>VLOOKUP(NIC92,[13]AssetDetails_UEM!$A$3:$AH$1849,6,FALSE)</f>
        <v>Electrosurgical Units, Monopolar/Bipolar</v>
      </c>
      <c r="NIE92" s="165" t="s">
        <v>945</v>
      </c>
      <c r="NIF92" s="166" t="str">
        <f>VLOOKUP(NIE92,[13]AssetDetails_UEM!$A$3:$AH$1849,6,FALSE)</f>
        <v>Electrosurgical Units, Monopolar/Bipolar</v>
      </c>
      <c r="NIG92" s="165" t="s">
        <v>945</v>
      </c>
      <c r="NIH92" s="166" t="str">
        <f>VLOOKUP(NIG92,[13]AssetDetails_UEM!$A$3:$AH$1849,6,FALSE)</f>
        <v>Electrosurgical Units, Monopolar/Bipolar</v>
      </c>
      <c r="NII92" s="165" t="s">
        <v>945</v>
      </c>
      <c r="NIJ92" s="166" t="str">
        <f>VLOOKUP(NII92,[13]AssetDetails_UEM!$A$3:$AH$1849,6,FALSE)</f>
        <v>Electrosurgical Units, Monopolar/Bipolar</v>
      </c>
      <c r="NIK92" s="165" t="s">
        <v>945</v>
      </c>
      <c r="NIL92" s="166" t="str">
        <f>VLOOKUP(NIK92,[13]AssetDetails_UEM!$A$3:$AH$1849,6,FALSE)</f>
        <v>Electrosurgical Units, Monopolar/Bipolar</v>
      </c>
      <c r="NIM92" s="165" t="s">
        <v>945</v>
      </c>
      <c r="NIN92" s="166" t="str">
        <f>VLOOKUP(NIM92,[13]AssetDetails_UEM!$A$3:$AH$1849,6,FALSE)</f>
        <v>Electrosurgical Units, Monopolar/Bipolar</v>
      </c>
      <c r="NIO92" s="165" t="s">
        <v>945</v>
      </c>
      <c r="NIP92" s="166" t="str">
        <f>VLOOKUP(NIO92,[13]AssetDetails_UEM!$A$3:$AH$1849,6,FALSE)</f>
        <v>Electrosurgical Units, Monopolar/Bipolar</v>
      </c>
      <c r="NIQ92" s="165" t="s">
        <v>945</v>
      </c>
      <c r="NIR92" s="166" t="str">
        <f>VLOOKUP(NIQ92,[13]AssetDetails_UEM!$A$3:$AH$1849,6,FALSE)</f>
        <v>Electrosurgical Units, Monopolar/Bipolar</v>
      </c>
      <c r="NIS92" s="165" t="s">
        <v>945</v>
      </c>
      <c r="NIT92" s="166" t="str">
        <f>VLOOKUP(NIS92,[13]AssetDetails_UEM!$A$3:$AH$1849,6,FALSE)</f>
        <v>Electrosurgical Units, Monopolar/Bipolar</v>
      </c>
      <c r="NIU92" s="165" t="s">
        <v>945</v>
      </c>
      <c r="NIV92" s="166" t="str">
        <f>VLOOKUP(NIU92,[13]AssetDetails_UEM!$A$3:$AH$1849,6,FALSE)</f>
        <v>Electrosurgical Units, Monopolar/Bipolar</v>
      </c>
      <c r="NIW92" s="165" t="s">
        <v>945</v>
      </c>
      <c r="NIX92" s="166" t="str">
        <f>VLOOKUP(NIW92,[13]AssetDetails_UEM!$A$3:$AH$1849,6,FALSE)</f>
        <v>Electrosurgical Units, Monopolar/Bipolar</v>
      </c>
      <c r="NIY92" s="165" t="s">
        <v>945</v>
      </c>
      <c r="NIZ92" s="166" t="str">
        <f>VLOOKUP(NIY92,[13]AssetDetails_UEM!$A$3:$AH$1849,6,FALSE)</f>
        <v>Electrosurgical Units, Monopolar/Bipolar</v>
      </c>
      <c r="NJA92" s="165" t="s">
        <v>945</v>
      </c>
      <c r="NJB92" s="166" t="str">
        <f>VLOOKUP(NJA92,[13]AssetDetails_UEM!$A$3:$AH$1849,6,FALSE)</f>
        <v>Electrosurgical Units, Monopolar/Bipolar</v>
      </c>
      <c r="NJC92" s="165" t="s">
        <v>945</v>
      </c>
      <c r="NJD92" s="166" t="str">
        <f>VLOOKUP(NJC92,[13]AssetDetails_UEM!$A$3:$AH$1849,6,FALSE)</f>
        <v>Electrosurgical Units, Monopolar/Bipolar</v>
      </c>
      <c r="NJE92" s="165" t="s">
        <v>945</v>
      </c>
      <c r="NJF92" s="166" t="str">
        <f>VLOOKUP(NJE92,[13]AssetDetails_UEM!$A$3:$AH$1849,6,FALSE)</f>
        <v>Electrosurgical Units, Monopolar/Bipolar</v>
      </c>
      <c r="NJG92" s="165" t="s">
        <v>945</v>
      </c>
      <c r="NJH92" s="166" t="str">
        <f>VLOOKUP(NJG92,[13]AssetDetails_UEM!$A$3:$AH$1849,6,FALSE)</f>
        <v>Electrosurgical Units, Monopolar/Bipolar</v>
      </c>
      <c r="NJI92" s="165" t="s">
        <v>945</v>
      </c>
      <c r="NJJ92" s="166" t="str">
        <f>VLOOKUP(NJI92,[13]AssetDetails_UEM!$A$3:$AH$1849,6,FALSE)</f>
        <v>Electrosurgical Units, Monopolar/Bipolar</v>
      </c>
      <c r="NJK92" s="165" t="s">
        <v>945</v>
      </c>
      <c r="NJL92" s="166" t="str">
        <f>VLOOKUP(NJK92,[13]AssetDetails_UEM!$A$3:$AH$1849,6,FALSE)</f>
        <v>Electrosurgical Units, Monopolar/Bipolar</v>
      </c>
      <c r="NJM92" s="165" t="s">
        <v>945</v>
      </c>
      <c r="NJN92" s="166" t="str">
        <f>VLOOKUP(NJM92,[13]AssetDetails_UEM!$A$3:$AH$1849,6,FALSE)</f>
        <v>Electrosurgical Units, Monopolar/Bipolar</v>
      </c>
      <c r="NJO92" s="165" t="s">
        <v>945</v>
      </c>
      <c r="NJP92" s="166" t="str">
        <f>VLOOKUP(NJO92,[13]AssetDetails_UEM!$A$3:$AH$1849,6,FALSE)</f>
        <v>Electrosurgical Units, Monopolar/Bipolar</v>
      </c>
      <c r="NJQ92" s="165" t="s">
        <v>945</v>
      </c>
      <c r="NJR92" s="166" t="str">
        <f>VLOOKUP(NJQ92,[13]AssetDetails_UEM!$A$3:$AH$1849,6,FALSE)</f>
        <v>Electrosurgical Units, Monopolar/Bipolar</v>
      </c>
      <c r="NJS92" s="165" t="s">
        <v>945</v>
      </c>
      <c r="NJT92" s="166" t="str">
        <f>VLOOKUP(NJS92,[13]AssetDetails_UEM!$A$3:$AH$1849,6,FALSE)</f>
        <v>Electrosurgical Units, Monopolar/Bipolar</v>
      </c>
      <c r="NJU92" s="165" t="s">
        <v>945</v>
      </c>
      <c r="NJV92" s="166" t="str">
        <f>VLOOKUP(NJU92,[13]AssetDetails_UEM!$A$3:$AH$1849,6,FALSE)</f>
        <v>Electrosurgical Units, Monopolar/Bipolar</v>
      </c>
      <c r="NJW92" s="165" t="s">
        <v>945</v>
      </c>
      <c r="NJX92" s="166" t="str">
        <f>VLOOKUP(NJW92,[13]AssetDetails_UEM!$A$3:$AH$1849,6,FALSE)</f>
        <v>Electrosurgical Units, Monopolar/Bipolar</v>
      </c>
      <c r="NJY92" s="165" t="s">
        <v>945</v>
      </c>
      <c r="NJZ92" s="166" t="str">
        <f>VLOOKUP(NJY92,[13]AssetDetails_UEM!$A$3:$AH$1849,6,FALSE)</f>
        <v>Electrosurgical Units, Monopolar/Bipolar</v>
      </c>
      <c r="NKA92" s="165" t="s">
        <v>945</v>
      </c>
      <c r="NKB92" s="166" t="str">
        <f>VLOOKUP(NKA92,[13]AssetDetails_UEM!$A$3:$AH$1849,6,FALSE)</f>
        <v>Electrosurgical Units, Monopolar/Bipolar</v>
      </c>
      <c r="NKC92" s="165" t="s">
        <v>945</v>
      </c>
      <c r="NKD92" s="166" t="str">
        <f>VLOOKUP(NKC92,[13]AssetDetails_UEM!$A$3:$AH$1849,6,FALSE)</f>
        <v>Electrosurgical Units, Monopolar/Bipolar</v>
      </c>
      <c r="NKE92" s="165" t="s">
        <v>945</v>
      </c>
      <c r="NKF92" s="166" t="str">
        <f>VLOOKUP(NKE92,[13]AssetDetails_UEM!$A$3:$AH$1849,6,FALSE)</f>
        <v>Electrosurgical Units, Monopolar/Bipolar</v>
      </c>
      <c r="NKG92" s="165" t="s">
        <v>945</v>
      </c>
      <c r="NKH92" s="166" t="str">
        <f>VLOOKUP(NKG92,[13]AssetDetails_UEM!$A$3:$AH$1849,6,FALSE)</f>
        <v>Electrosurgical Units, Monopolar/Bipolar</v>
      </c>
      <c r="NKI92" s="165" t="s">
        <v>945</v>
      </c>
      <c r="NKJ92" s="166" t="str">
        <f>VLOOKUP(NKI92,[13]AssetDetails_UEM!$A$3:$AH$1849,6,FALSE)</f>
        <v>Electrosurgical Units, Monopolar/Bipolar</v>
      </c>
      <c r="NKK92" s="165" t="s">
        <v>945</v>
      </c>
      <c r="NKL92" s="166" t="str">
        <f>VLOOKUP(NKK92,[13]AssetDetails_UEM!$A$3:$AH$1849,6,FALSE)</f>
        <v>Electrosurgical Units, Monopolar/Bipolar</v>
      </c>
      <c r="NKM92" s="165" t="s">
        <v>945</v>
      </c>
      <c r="NKN92" s="166" t="str">
        <f>VLOOKUP(NKM92,[13]AssetDetails_UEM!$A$3:$AH$1849,6,FALSE)</f>
        <v>Electrosurgical Units, Monopolar/Bipolar</v>
      </c>
      <c r="NKO92" s="165" t="s">
        <v>945</v>
      </c>
      <c r="NKP92" s="166" t="str">
        <f>VLOOKUP(NKO92,[13]AssetDetails_UEM!$A$3:$AH$1849,6,FALSE)</f>
        <v>Electrosurgical Units, Monopolar/Bipolar</v>
      </c>
      <c r="NKQ92" s="165" t="s">
        <v>945</v>
      </c>
      <c r="NKR92" s="166" t="str">
        <f>VLOOKUP(NKQ92,[13]AssetDetails_UEM!$A$3:$AH$1849,6,FALSE)</f>
        <v>Electrosurgical Units, Monopolar/Bipolar</v>
      </c>
      <c r="NKS92" s="165" t="s">
        <v>945</v>
      </c>
      <c r="NKT92" s="166" t="str">
        <f>VLOOKUP(NKS92,[13]AssetDetails_UEM!$A$3:$AH$1849,6,FALSE)</f>
        <v>Electrosurgical Units, Monopolar/Bipolar</v>
      </c>
      <c r="NKU92" s="165" t="s">
        <v>945</v>
      </c>
      <c r="NKV92" s="166" t="str">
        <f>VLOOKUP(NKU92,[13]AssetDetails_UEM!$A$3:$AH$1849,6,FALSE)</f>
        <v>Electrosurgical Units, Monopolar/Bipolar</v>
      </c>
      <c r="NKW92" s="165" t="s">
        <v>945</v>
      </c>
      <c r="NKX92" s="166" t="str">
        <f>VLOOKUP(NKW92,[13]AssetDetails_UEM!$A$3:$AH$1849,6,FALSE)</f>
        <v>Electrosurgical Units, Monopolar/Bipolar</v>
      </c>
      <c r="NKY92" s="165" t="s">
        <v>945</v>
      </c>
      <c r="NKZ92" s="166" t="str">
        <f>VLOOKUP(NKY92,[13]AssetDetails_UEM!$A$3:$AH$1849,6,FALSE)</f>
        <v>Electrosurgical Units, Monopolar/Bipolar</v>
      </c>
      <c r="NLA92" s="165" t="s">
        <v>945</v>
      </c>
      <c r="NLB92" s="166" t="str">
        <f>VLOOKUP(NLA92,[13]AssetDetails_UEM!$A$3:$AH$1849,6,FALSE)</f>
        <v>Electrosurgical Units, Monopolar/Bipolar</v>
      </c>
      <c r="NLC92" s="165" t="s">
        <v>945</v>
      </c>
      <c r="NLD92" s="166" t="str">
        <f>VLOOKUP(NLC92,[13]AssetDetails_UEM!$A$3:$AH$1849,6,FALSE)</f>
        <v>Electrosurgical Units, Monopolar/Bipolar</v>
      </c>
      <c r="NLE92" s="165" t="s">
        <v>945</v>
      </c>
      <c r="NLF92" s="166" t="str">
        <f>VLOOKUP(NLE92,[13]AssetDetails_UEM!$A$3:$AH$1849,6,FALSE)</f>
        <v>Electrosurgical Units, Monopolar/Bipolar</v>
      </c>
      <c r="NLG92" s="165" t="s">
        <v>945</v>
      </c>
      <c r="NLH92" s="166" t="str">
        <f>VLOOKUP(NLG92,[13]AssetDetails_UEM!$A$3:$AH$1849,6,FALSE)</f>
        <v>Electrosurgical Units, Monopolar/Bipolar</v>
      </c>
      <c r="NLI92" s="165" t="s">
        <v>945</v>
      </c>
      <c r="NLJ92" s="166" t="str">
        <f>VLOOKUP(NLI92,[13]AssetDetails_UEM!$A$3:$AH$1849,6,FALSE)</f>
        <v>Electrosurgical Units, Monopolar/Bipolar</v>
      </c>
      <c r="NLK92" s="165" t="s">
        <v>945</v>
      </c>
      <c r="NLL92" s="166" t="str">
        <f>VLOOKUP(NLK92,[13]AssetDetails_UEM!$A$3:$AH$1849,6,FALSE)</f>
        <v>Electrosurgical Units, Monopolar/Bipolar</v>
      </c>
      <c r="NLM92" s="165" t="s">
        <v>945</v>
      </c>
      <c r="NLN92" s="166" t="str">
        <f>VLOOKUP(NLM92,[13]AssetDetails_UEM!$A$3:$AH$1849,6,FALSE)</f>
        <v>Electrosurgical Units, Monopolar/Bipolar</v>
      </c>
      <c r="NLO92" s="165" t="s">
        <v>945</v>
      </c>
      <c r="NLP92" s="166" t="str">
        <f>VLOOKUP(NLO92,[13]AssetDetails_UEM!$A$3:$AH$1849,6,FALSE)</f>
        <v>Electrosurgical Units, Monopolar/Bipolar</v>
      </c>
      <c r="NLQ92" s="165" t="s">
        <v>945</v>
      </c>
      <c r="NLR92" s="166" t="str">
        <f>VLOOKUP(NLQ92,[13]AssetDetails_UEM!$A$3:$AH$1849,6,FALSE)</f>
        <v>Electrosurgical Units, Monopolar/Bipolar</v>
      </c>
      <c r="NLS92" s="165" t="s">
        <v>945</v>
      </c>
      <c r="NLT92" s="166" t="str">
        <f>VLOOKUP(NLS92,[13]AssetDetails_UEM!$A$3:$AH$1849,6,FALSE)</f>
        <v>Electrosurgical Units, Monopolar/Bipolar</v>
      </c>
      <c r="NLU92" s="165" t="s">
        <v>945</v>
      </c>
      <c r="NLV92" s="166" t="str">
        <f>VLOOKUP(NLU92,[13]AssetDetails_UEM!$A$3:$AH$1849,6,FALSE)</f>
        <v>Electrosurgical Units, Monopolar/Bipolar</v>
      </c>
      <c r="NLW92" s="165" t="s">
        <v>945</v>
      </c>
      <c r="NLX92" s="166" t="str">
        <f>VLOOKUP(NLW92,[13]AssetDetails_UEM!$A$3:$AH$1849,6,FALSE)</f>
        <v>Electrosurgical Units, Monopolar/Bipolar</v>
      </c>
      <c r="NLY92" s="165" t="s">
        <v>945</v>
      </c>
      <c r="NLZ92" s="166" t="str">
        <f>VLOOKUP(NLY92,[13]AssetDetails_UEM!$A$3:$AH$1849,6,FALSE)</f>
        <v>Electrosurgical Units, Monopolar/Bipolar</v>
      </c>
      <c r="NMA92" s="165" t="s">
        <v>945</v>
      </c>
      <c r="NMB92" s="166" t="str">
        <f>VLOOKUP(NMA92,[13]AssetDetails_UEM!$A$3:$AH$1849,6,FALSE)</f>
        <v>Electrosurgical Units, Monopolar/Bipolar</v>
      </c>
      <c r="NMC92" s="165" t="s">
        <v>945</v>
      </c>
      <c r="NMD92" s="166" t="str">
        <f>VLOOKUP(NMC92,[13]AssetDetails_UEM!$A$3:$AH$1849,6,FALSE)</f>
        <v>Electrosurgical Units, Monopolar/Bipolar</v>
      </c>
      <c r="NME92" s="165" t="s">
        <v>945</v>
      </c>
      <c r="NMF92" s="166" t="str">
        <f>VLOOKUP(NME92,[13]AssetDetails_UEM!$A$3:$AH$1849,6,FALSE)</f>
        <v>Electrosurgical Units, Monopolar/Bipolar</v>
      </c>
      <c r="NMG92" s="165" t="s">
        <v>945</v>
      </c>
      <c r="NMH92" s="166" t="str">
        <f>VLOOKUP(NMG92,[13]AssetDetails_UEM!$A$3:$AH$1849,6,FALSE)</f>
        <v>Electrosurgical Units, Monopolar/Bipolar</v>
      </c>
      <c r="NMI92" s="165" t="s">
        <v>945</v>
      </c>
      <c r="NMJ92" s="166" t="str">
        <f>VLOOKUP(NMI92,[13]AssetDetails_UEM!$A$3:$AH$1849,6,FALSE)</f>
        <v>Electrosurgical Units, Monopolar/Bipolar</v>
      </c>
      <c r="NMK92" s="165" t="s">
        <v>945</v>
      </c>
      <c r="NML92" s="166" t="str">
        <f>VLOOKUP(NMK92,[13]AssetDetails_UEM!$A$3:$AH$1849,6,FALSE)</f>
        <v>Electrosurgical Units, Monopolar/Bipolar</v>
      </c>
      <c r="NMM92" s="165" t="s">
        <v>945</v>
      </c>
      <c r="NMN92" s="166" t="str">
        <f>VLOOKUP(NMM92,[13]AssetDetails_UEM!$A$3:$AH$1849,6,FALSE)</f>
        <v>Electrosurgical Units, Monopolar/Bipolar</v>
      </c>
      <c r="NMO92" s="165" t="s">
        <v>945</v>
      </c>
      <c r="NMP92" s="166" t="str">
        <f>VLOOKUP(NMO92,[13]AssetDetails_UEM!$A$3:$AH$1849,6,FALSE)</f>
        <v>Electrosurgical Units, Monopolar/Bipolar</v>
      </c>
      <c r="NMQ92" s="165" t="s">
        <v>945</v>
      </c>
      <c r="NMR92" s="166" t="str">
        <f>VLOOKUP(NMQ92,[13]AssetDetails_UEM!$A$3:$AH$1849,6,FALSE)</f>
        <v>Electrosurgical Units, Monopolar/Bipolar</v>
      </c>
      <c r="NMS92" s="165" t="s">
        <v>945</v>
      </c>
      <c r="NMT92" s="166" t="str">
        <f>VLOOKUP(NMS92,[13]AssetDetails_UEM!$A$3:$AH$1849,6,FALSE)</f>
        <v>Electrosurgical Units, Monopolar/Bipolar</v>
      </c>
      <c r="NMU92" s="165" t="s">
        <v>945</v>
      </c>
      <c r="NMV92" s="166" t="str">
        <f>VLOOKUP(NMU92,[13]AssetDetails_UEM!$A$3:$AH$1849,6,FALSE)</f>
        <v>Electrosurgical Units, Monopolar/Bipolar</v>
      </c>
      <c r="NMW92" s="165" t="s">
        <v>945</v>
      </c>
      <c r="NMX92" s="166" t="str">
        <f>VLOOKUP(NMW92,[13]AssetDetails_UEM!$A$3:$AH$1849,6,FALSE)</f>
        <v>Electrosurgical Units, Monopolar/Bipolar</v>
      </c>
      <c r="NMY92" s="165" t="s">
        <v>945</v>
      </c>
      <c r="NMZ92" s="166" t="str">
        <f>VLOOKUP(NMY92,[13]AssetDetails_UEM!$A$3:$AH$1849,6,FALSE)</f>
        <v>Electrosurgical Units, Monopolar/Bipolar</v>
      </c>
      <c r="NNA92" s="165" t="s">
        <v>945</v>
      </c>
      <c r="NNB92" s="166" t="str">
        <f>VLOOKUP(NNA92,[13]AssetDetails_UEM!$A$3:$AH$1849,6,FALSE)</f>
        <v>Electrosurgical Units, Monopolar/Bipolar</v>
      </c>
      <c r="NNC92" s="165" t="s">
        <v>945</v>
      </c>
      <c r="NND92" s="166" t="str">
        <f>VLOOKUP(NNC92,[13]AssetDetails_UEM!$A$3:$AH$1849,6,FALSE)</f>
        <v>Electrosurgical Units, Monopolar/Bipolar</v>
      </c>
      <c r="NNE92" s="165" t="s">
        <v>945</v>
      </c>
      <c r="NNF92" s="166" t="str">
        <f>VLOOKUP(NNE92,[13]AssetDetails_UEM!$A$3:$AH$1849,6,FALSE)</f>
        <v>Electrosurgical Units, Monopolar/Bipolar</v>
      </c>
      <c r="NNG92" s="165" t="s">
        <v>945</v>
      </c>
      <c r="NNH92" s="166" t="str">
        <f>VLOOKUP(NNG92,[13]AssetDetails_UEM!$A$3:$AH$1849,6,FALSE)</f>
        <v>Electrosurgical Units, Monopolar/Bipolar</v>
      </c>
      <c r="NNI92" s="165" t="s">
        <v>945</v>
      </c>
      <c r="NNJ92" s="166" t="str">
        <f>VLOOKUP(NNI92,[13]AssetDetails_UEM!$A$3:$AH$1849,6,FALSE)</f>
        <v>Electrosurgical Units, Monopolar/Bipolar</v>
      </c>
      <c r="NNK92" s="165" t="s">
        <v>945</v>
      </c>
      <c r="NNL92" s="166" t="str">
        <f>VLOOKUP(NNK92,[13]AssetDetails_UEM!$A$3:$AH$1849,6,FALSE)</f>
        <v>Electrosurgical Units, Monopolar/Bipolar</v>
      </c>
      <c r="NNM92" s="165" t="s">
        <v>945</v>
      </c>
      <c r="NNN92" s="166" t="str">
        <f>VLOOKUP(NNM92,[13]AssetDetails_UEM!$A$3:$AH$1849,6,FALSE)</f>
        <v>Electrosurgical Units, Monopolar/Bipolar</v>
      </c>
      <c r="NNO92" s="165" t="s">
        <v>945</v>
      </c>
      <c r="NNP92" s="166" t="str">
        <f>VLOOKUP(NNO92,[13]AssetDetails_UEM!$A$3:$AH$1849,6,FALSE)</f>
        <v>Electrosurgical Units, Monopolar/Bipolar</v>
      </c>
      <c r="NNQ92" s="165" t="s">
        <v>945</v>
      </c>
      <c r="NNR92" s="166" t="str">
        <f>VLOOKUP(NNQ92,[13]AssetDetails_UEM!$A$3:$AH$1849,6,FALSE)</f>
        <v>Electrosurgical Units, Monopolar/Bipolar</v>
      </c>
      <c r="NNS92" s="165" t="s">
        <v>945</v>
      </c>
      <c r="NNT92" s="166" t="str">
        <f>VLOOKUP(NNS92,[13]AssetDetails_UEM!$A$3:$AH$1849,6,FALSE)</f>
        <v>Electrosurgical Units, Monopolar/Bipolar</v>
      </c>
      <c r="NNU92" s="165" t="s">
        <v>945</v>
      </c>
      <c r="NNV92" s="166" t="str">
        <f>VLOOKUP(NNU92,[13]AssetDetails_UEM!$A$3:$AH$1849,6,FALSE)</f>
        <v>Electrosurgical Units, Monopolar/Bipolar</v>
      </c>
      <c r="NNW92" s="165" t="s">
        <v>945</v>
      </c>
      <c r="NNX92" s="166" t="str">
        <f>VLOOKUP(NNW92,[13]AssetDetails_UEM!$A$3:$AH$1849,6,FALSE)</f>
        <v>Electrosurgical Units, Monopolar/Bipolar</v>
      </c>
      <c r="NNY92" s="165" t="s">
        <v>945</v>
      </c>
      <c r="NNZ92" s="166" t="str">
        <f>VLOOKUP(NNY92,[13]AssetDetails_UEM!$A$3:$AH$1849,6,FALSE)</f>
        <v>Electrosurgical Units, Monopolar/Bipolar</v>
      </c>
      <c r="NOA92" s="165" t="s">
        <v>945</v>
      </c>
      <c r="NOB92" s="166" t="str">
        <f>VLOOKUP(NOA92,[13]AssetDetails_UEM!$A$3:$AH$1849,6,FALSE)</f>
        <v>Electrosurgical Units, Monopolar/Bipolar</v>
      </c>
      <c r="NOC92" s="165" t="s">
        <v>945</v>
      </c>
      <c r="NOD92" s="166" t="str">
        <f>VLOOKUP(NOC92,[13]AssetDetails_UEM!$A$3:$AH$1849,6,FALSE)</f>
        <v>Electrosurgical Units, Monopolar/Bipolar</v>
      </c>
      <c r="NOE92" s="165" t="s">
        <v>945</v>
      </c>
      <c r="NOF92" s="166" t="str">
        <f>VLOOKUP(NOE92,[13]AssetDetails_UEM!$A$3:$AH$1849,6,FALSE)</f>
        <v>Electrosurgical Units, Monopolar/Bipolar</v>
      </c>
      <c r="NOG92" s="165" t="s">
        <v>945</v>
      </c>
      <c r="NOH92" s="166" t="str">
        <f>VLOOKUP(NOG92,[13]AssetDetails_UEM!$A$3:$AH$1849,6,FALSE)</f>
        <v>Electrosurgical Units, Monopolar/Bipolar</v>
      </c>
      <c r="NOI92" s="165" t="s">
        <v>945</v>
      </c>
      <c r="NOJ92" s="166" t="str">
        <f>VLOOKUP(NOI92,[13]AssetDetails_UEM!$A$3:$AH$1849,6,FALSE)</f>
        <v>Electrosurgical Units, Monopolar/Bipolar</v>
      </c>
      <c r="NOK92" s="165" t="s">
        <v>945</v>
      </c>
      <c r="NOL92" s="166" t="str">
        <f>VLOOKUP(NOK92,[13]AssetDetails_UEM!$A$3:$AH$1849,6,FALSE)</f>
        <v>Electrosurgical Units, Monopolar/Bipolar</v>
      </c>
      <c r="NOM92" s="165" t="s">
        <v>945</v>
      </c>
      <c r="NON92" s="166" t="str">
        <f>VLOOKUP(NOM92,[13]AssetDetails_UEM!$A$3:$AH$1849,6,FALSE)</f>
        <v>Electrosurgical Units, Monopolar/Bipolar</v>
      </c>
      <c r="NOO92" s="165" t="s">
        <v>945</v>
      </c>
      <c r="NOP92" s="166" t="str">
        <f>VLOOKUP(NOO92,[13]AssetDetails_UEM!$A$3:$AH$1849,6,FALSE)</f>
        <v>Electrosurgical Units, Monopolar/Bipolar</v>
      </c>
      <c r="NOQ92" s="165" t="s">
        <v>945</v>
      </c>
      <c r="NOR92" s="166" t="str">
        <f>VLOOKUP(NOQ92,[13]AssetDetails_UEM!$A$3:$AH$1849,6,FALSE)</f>
        <v>Electrosurgical Units, Monopolar/Bipolar</v>
      </c>
      <c r="NOS92" s="165" t="s">
        <v>945</v>
      </c>
      <c r="NOT92" s="166" t="str">
        <f>VLOOKUP(NOS92,[13]AssetDetails_UEM!$A$3:$AH$1849,6,FALSE)</f>
        <v>Electrosurgical Units, Monopolar/Bipolar</v>
      </c>
      <c r="NOU92" s="165" t="s">
        <v>945</v>
      </c>
      <c r="NOV92" s="166" t="str">
        <f>VLOOKUP(NOU92,[13]AssetDetails_UEM!$A$3:$AH$1849,6,FALSE)</f>
        <v>Electrosurgical Units, Monopolar/Bipolar</v>
      </c>
      <c r="NOW92" s="165" t="s">
        <v>945</v>
      </c>
      <c r="NOX92" s="166" t="str">
        <f>VLOOKUP(NOW92,[13]AssetDetails_UEM!$A$3:$AH$1849,6,FALSE)</f>
        <v>Electrosurgical Units, Monopolar/Bipolar</v>
      </c>
      <c r="NOY92" s="165" t="s">
        <v>945</v>
      </c>
      <c r="NOZ92" s="166" t="str">
        <f>VLOOKUP(NOY92,[13]AssetDetails_UEM!$A$3:$AH$1849,6,FALSE)</f>
        <v>Electrosurgical Units, Monopolar/Bipolar</v>
      </c>
      <c r="NPA92" s="165" t="s">
        <v>945</v>
      </c>
      <c r="NPB92" s="166" t="str">
        <f>VLOOKUP(NPA92,[13]AssetDetails_UEM!$A$3:$AH$1849,6,FALSE)</f>
        <v>Electrosurgical Units, Monopolar/Bipolar</v>
      </c>
      <c r="NPC92" s="165" t="s">
        <v>945</v>
      </c>
      <c r="NPD92" s="166" t="str">
        <f>VLOOKUP(NPC92,[13]AssetDetails_UEM!$A$3:$AH$1849,6,FALSE)</f>
        <v>Electrosurgical Units, Monopolar/Bipolar</v>
      </c>
      <c r="NPE92" s="165" t="s">
        <v>945</v>
      </c>
      <c r="NPF92" s="166" t="str">
        <f>VLOOKUP(NPE92,[13]AssetDetails_UEM!$A$3:$AH$1849,6,FALSE)</f>
        <v>Electrosurgical Units, Monopolar/Bipolar</v>
      </c>
      <c r="NPG92" s="165" t="s">
        <v>945</v>
      </c>
      <c r="NPH92" s="166" t="str">
        <f>VLOOKUP(NPG92,[13]AssetDetails_UEM!$A$3:$AH$1849,6,FALSE)</f>
        <v>Electrosurgical Units, Monopolar/Bipolar</v>
      </c>
      <c r="NPI92" s="165" t="s">
        <v>945</v>
      </c>
      <c r="NPJ92" s="166" t="str">
        <f>VLOOKUP(NPI92,[13]AssetDetails_UEM!$A$3:$AH$1849,6,FALSE)</f>
        <v>Electrosurgical Units, Monopolar/Bipolar</v>
      </c>
      <c r="NPK92" s="165" t="s">
        <v>945</v>
      </c>
      <c r="NPL92" s="166" t="str">
        <f>VLOOKUP(NPK92,[13]AssetDetails_UEM!$A$3:$AH$1849,6,FALSE)</f>
        <v>Electrosurgical Units, Monopolar/Bipolar</v>
      </c>
      <c r="NPM92" s="165" t="s">
        <v>945</v>
      </c>
      <c r="NPN92" s="166" t="str">
        <f>VLOOKUP(NPM92,[13]AssetDetails_UEM!$A$3:$AH$1849,6,FALSE)</f>
        <v>Electrosurgical Units, Monopolar/Bipolar</v>
      </c>
      <c r="NPO92" s="165" t="s">
        <v>945</v>
      </c>
      <c r="NPP92" s="166" t="str">
        <f>VLOOKUP(NPO92,[13]AssetDetails_UEM!$A$3:$AH$1849,6,FALSE)</f>
        <v>Electrosurgical Units, Monopolar/Bipolar</v>
      </c>
      <c r="NPQ92" s="165" t="s">
        <v>945</v>
      </c>
      <c r="NPR92" s="166" t="str">
        <f>VLOOKUP(NPQ92,[13]AssetDetails_UEM!$A$3:$AH$1849,6,FALSE)</f>
        <v>Electrosurgical Units, Monopolar/Bipolar</v>
      </c>
      <c r="NPS92" s="165" t="s">
        <v>945</v>
      </c>
      <c r="NPT92" s="166" t="str">
        <f>VLOOKUP(NPS92,[13]AssetDetails_UEM!$A$3:$AH$1849,6,FALSE)</f>
        <v>Electrosurgical Units, Monopolar/Bipolar</v>
      </c>
      <c r="NPU92" s="165" t="s">
        <v>945</v>
      </c>
      <c r="NPV92" s="166" t="str">
        <f>VLOOKUP(NPU92,[13]AssetDetails_UEM!$A$3:$AH$1849,6,FALSE)</f>
        <v>Electrosurgical Units, Monopolar/Bipolar</v>
      </c>
      <c r="NPW92" s="165" t="s">
        <v>945</v>
      </c>
      <c r="NPX92" s="166" t="str">
        <f>VLOOKUP(NPW92,[13]AssetDetails_UEM!$A$3:$AH$1849,6,FALSE)</f>
        <v>Electrosurgical Units, Monopolar/Bipolar</v>
      </c>
      <c r="NPY92" s="165" t="s">
        <v>945</v>
      </c>
      <c r="NPZ92" s="166" t="str">
        <f>VLOOKUP(NPY92,[13]AssetDetails_UEM!$A$3:$AH$1849,6,FALSE)</f>
        <v>Electrosurgical Units, Monopolar/Bipolar</v>
      </c>
      <c r="NQA92" s="165" t="s">
        <v>945</v>
      </c>
      <c r="NQB92" s="166" t="str">
        <f>VLOOKUP(NQA92,[13]AssetDetails_UEM!$A$3:$AH$1849,6,FALSE)</f>
        <v>Electrosurgical Units, Monopolar/Bipolar</v>
      </c>
      <c r="NQC92" s="165" t="s">
        <v>945</v>
      </c>
      <c r="NQD92" s="166" t="str">
        <f>VLOOKUP(NQC92,[13]AssetDetails_UEM!$A$3:$AH$1849,6,FALSE)</f>
        <v>Electrosurgical Units, Monopolar/Bipolar</v>
      </c>
      <c r="NQE92" s="165" t="s">
        <v>945</v>
      </c>
      <c r="NQF92" s="166" t="str">
        <f>VLOOKUP(NQE92,[13]AssetDetails_UEM!$A$3:$AH$1849,6,FALSE)</f>
        <v>Electrosurgical Units, Monopolar/Bipolar</v>
      </c>
      <c r="NQG92" s="165" t="s">
        <v>945</v>
      </c>
      <c r="NQH92" s="166" t="str">
        <f>VLOOKUP(NQG92,[13]AssetDetails_UEM!$A$3:$AH$1849,6,FALSE)</f>
        <v>Electrosurgical Units, Monopolar/Bipolar</v>
      </c>
      <c r="NQI92" s="165" t="s">
        <v>945</v>
      </c>
      <c r="NQJ92" s="166" t="str">
        <f>VLOOKUP(NQI92,[13]AssetDetails_UEM!$A$3:$AH$1849,6,FALSE)</f>
        <v>Electrosurgical Units, Monopolar/Bipolar</v>
      </c>
      <c r="NQK92" s="165" t="s">
        <v>945</v>
      </c>
      <c r="NQL92" s="166" t="str">
        <f>VLOOKUP(NQK92,[13]AssetDetails_UEM!$A$3:$AH$1849,6,FALSE)</f>
        <v>Electrosurgical Units, Monopolar/Bipolar</v>
      </c>
      <c r="NQM92" s="165" t="s">
        <v>945</v>
      </c>
      <c r="NQN92" s="166" t="str">
        <f>VLOOKUP(NQM92,[13]AssetDetails_UEM!$A$3:$AH$1849,6,FALSE)</f>
        <v>Electrosurgical Units, Monopolar/Bipolar</v>
      </c>
      <c r="NQO92" s="165" t="s">
        <v>945</v>
      </c>
      <c r="NQP92" s="166" t="str">
        <f>VLOOKUP(NQO92,[13]AssetDetails_UEM!$A$3:$AH$1849,6,FALSE)</f>
        <v>Electrosurgical Units, Monopolar/Bipolar</v>
      </c>
      <c r="NQQ92" s="165" t="s">
        <v>945</v>
      </c>
      <c r="NQR92" s="166" t="str">
        <f>VLOOKUP(NQQ92,[13]AssetDetails_UEM!$A$3:$AH$1849,6,FALSE)</f>
        <v>Electrosurgical Units, Monopolar/Bipolar</v>
      </c>
      <c r="NQS92" s="165" t="s">
        <v>945</v>
      </c>
      <c r="NQT92" s="166" t="str">
        <f>VLOOKUP(NQS92,[13]AssetDetails_UEM!$A$3:$AH$1849,6,FALSE)</f>
        <v>Electrosurgical Units, Monopolar/Bipolar</v>
      </c>
      <c r="NQU92" s="165" t="s">
        <v>945</v>
      </c>
      <c r="NQV92" s="166" t="str">
        <f>VLOOKUP(NQU92,[13]AssetDetails_UEM!$A$3:$AH$1849,6,FALSE)</f>
        <v>Electrosurgical Units, Monopolar/Bipolar</v>
      </c>
      <c r="NQW92" s="165" t="s">
        <v>945</v>
      </c>
      <c r="NQX92" s="166" t="str">
        <f>VLOOKUP(NQW92,[13]AssetDetails_UEM!$A$3:$AH$1849,6,FALSE)</f>
        <v>Electrosurgical Units, Monopolar/Bipolar</v>
      </c>
      <c r="NQY92" s="165" t="s">
        <v>945</v>
      </c>
      <c r="NQZ92" s="166" t="str">
        <f>VLOOKUP(NQY92,[13]AssetDetails_UEM!$A$3:$AH$1849,6,FALSE)</f>
        <v>Electrosurgical Units, Monopolar/Bipolar</v>
      </c>
      <c r="NRA92" s="165" t="s">
        <v>945</v>
      </c>
      <c r="NRB92" s="166" t="str">
        <f>VLOOKUP(NRA92,[13]AssetDetails_UEM!$A$3:$AH$1849,6,FALSE)</f>
        <v>Electrosurgical Units, Monopolar/Bipolar</v>
      </c>
      <c r="NRC92" s="165" t="s">
        <v>945</v>
      </c>
      <c r="NRD92" s="166" t="str">
        <f>VLOOKUP(NRC92,[13]AssetDetails_UEM!$A$3:$AH$1849,6,FALSE)</f>
        <v>Electrosurgical Units, Monopolar/Bipolar</v>
      </c>
      <c r="NRE92" s="165" t="s">
        <v>945</v>
      </c>
      <c r="NRF92" s="166" t="str">
        <f>VLOOKUP(NRE92,[13]AssetDetails_UEM!$A$3:$AH$1849,6,FALSE)</f>
        <v>Electrosurgical Units, Monopolar/Bipolar</v>
      </c>
      <c r="NRG92" s="165" t="s">
        <v>945</v>
      </c>
      <c r="NRH92" s="166" t="str">
        <f>VLOOKUP(NRG92,[13]AssetDetails_UEM!$A$3:$AH$1849,6,FALSE)</f>
        <v>Electrosurgical Units, Monopolar/Bipolar</v>
      </c>
      <c r="NRI92" s="165" t="s">
        <v>945</v>
      </c>
      <c r="NRJ92" s="166" t="str">
        <f>VLOOKUP(NRI92,[13]AssetDetails_UEM!$A$3:$AH$1849,6,FALSE)</f>
        <v>Electrosurgical Units, Monopolar/Bipolar</v>
      </c>
      <c r="NRK92" s="165" t="s">
        <v>945</v>
      </c>
      <c r="NRL92" s="166" t="str">
        <f>VLOOKUP(NRK92,[13]AssetDetails_UEM!$A$3:$AH$1849,6,FALSE)</f>
        <v>Electrosurgical Units, Monopolar/Bipolar</v>
      </c>
      <c r="NRM92" s="165" t="s">
        <v>945</v>
      </c>
      <c r="NRN92" s="166" t="str">
        <f>VLOOKUP(NRM92,[13]AssetDetails_UEM!$A$3:$AH$1849,6,FALSE)</f>
        <v>Electrosurgical Units, Monopolar/Bipolar</v>
      </c>
      <c r="NRO92" s="165" t="s">
        <v>945</v>
      </c>
      <c r="NRP92" s="166" t="str">
        <f>VLOOKUP(NRO92,[13]AssetDetails_UEM!$A$3:$AH$1849,6,FALSE)</f>
        <v>Electrosurgical Units, Monopolar/Bipolar</v>
      </c>
      <c r="NRQ92" s="165" t="s">
        <v>945</v>
      </c>
      <c r="NRR92" s="166" t="str">
        <f>VLOOKUP(NRQ92,[13]AssetDetails_UEM!$A$3:$AH$1849,6,FALSE)</f>
        <v>Electrosurgical Units, Monopolar/Bipolar</v>
      </c>
      <c r="NRS92" s="165" t="s">
        <v>945</v>
      </c>
      <c r="NRT92" s="166" t="str">
        <f>VLOOKUP(NRS92,[13]AssetDetails_UEM!$A$3:$AH$1849,6,FALSE)</f>
        <v>Electrosurgical Units, Monopolar/Bipolar</v>
      </c>
      <c r="NRU92" s="165" t="s">
        <v>945</v>
      </c>
      <c r="NRV92" s="166" t="str">
        <f>VLOOKUP(NRU92,[13]AssetDetails_UEM!$A$3:$AH$1849,6,FALSE)</f>
        <v>Electrosurgical Units, Monopolar/Bipolar</v>
      </c>
      <c r="NRW92" s="165" t="s">
        <v>945</v>
      </c>
      <c r="NRX92" s="166" t="str">
        <f>VLOOKUP(NRW92,[13]AssetDetails_UEM!$A$3:$AH$1849,6,FALSE)</f>
        <v>Electrosurgical Units, Monopolar/Bipolar</v>
      </c>
      <c r="NRY92" s="165" t="s">
        <v>945</v>
      </c>
      <c r="NRZ92" s="166" t="str">
        <f>VLOOKUP(NRY92,[13]AssetDetails_UEM!$A$3:$AH$1849,6,FALSE)</f>
        <v>Electrosurgical Units, Monopolar/Bipolar</v>
      </c>
      <c r="NSA92" s="165" t="s">
        <v>945</v>
      </c>
      <c r="NSB92" s="166" t="str">
        <f>VLOOKUP(NSA92,[13]AssetDetails_UEM!$A$3:$AH$1849,6,FALSE)</f>
        <v>Electrosurgical Units, Monopolar/Bipolar</v>
      </c>
      <c r="NSC92" s="165" t="s">
        <v>945</v>
      </c>
      <c r="NSD92" s="166" t="str">
        <f>VLOOKUP(NSC92,[13]AssetDetails_UEM!$A$3:$AH$1849,6,FALSE)</f>
        <v>Electrosurgical Units, Monopolar/Bipolar</v>
      </c>
      <c r="NSE92" s="165" t="s">
        <v>945</v>
      </c>
      <c r="NSF92" s="166" t="str">
        <f>VLOOKUP(NSE92,[13]AssetDetails_UEM!$A$3:$AH$1849,6,FALSE)</f>
        <v>Electrosurgical Units, Monopolar/Bipolar</v>
      </c>
      <c r="NSG92" s="165" t="s">
        <v>945</v>
      </c>
      <c r="NSH92" s="166" t="str">
        <f>VLOOKUP(NSG92,[13]AssetDetails_UEM!$A$3:$AH$1849,6,FALSE)</f>
        <v>Electrosurgical Units, Monopolar/Bipolar</v>
      </c>
      <c r="NSI92" s="165" t="s">
        <v>945</v>
      </c>
      <c r="NSJ92" s="166" t="str">
        <f>VLOOKUP(NSI92,[13]AssetDetails_UEM!$A$3:$AH$1849,6,FALSE)</f>
        <v>Electrosurgical Units, Monopolar/Bipolar</v>
      </c>
      <c r="NSK92" s="165" t="s">
        <v>945</v>
      </c>
      <c r="NSL92" s="166" t="str">
        <f>VLOOKUP(NSK92,[13]AssetDetails_UEM!$A$3:$AH$1849,6,FALSE)</f>
        <v>Electrosurgical Units, Monopolar/Bipolar</v>
      </c>
      <c r="NSM92" s="165" t="s">
        <v>945</v>
      </c>
      <c r="NSN92" s="166" t="str">
        <f>VLOOKUP(NSM92,[13]AssetDetails_UEM!$A$3:$AH$1849,6,FALSE)</f>
        <v>Electrosurgical Units, Monopolar/Bipolar</v>
      </c>
      <c r="NSO92" s="165" t="s">
        <v>945</v>
      </c>
      <c r="NSP92" s="166" t="str">
        <f>VLOOKUP(NSO92,[13]AssetDetails_UEM!$A$3:$AH$1849,6,FALSE)</f>
        <v>Electrosurgical Units, Monopolar/Bipolar</v>
      </c>
      <c r="NSQ92" s="165" t="s">
        <v>945</v>
      </c>
      <c r="NSR92" s="166" t="str">
        <f>VLOOKUP(NSQ92,[13]AssetDetails_UEM!$A$3:$AH$1849,6,FALSE)</f>
        <v>Electrosurgical Units, Monopolar/Bipolar</v>
      </c>
      <c r="NSS92" s="165" t="s">
        <v>945</v>
      </c>
      <c r="NST92" s="166" t="str">
        <f>VLOOKUP(NSS92,[13]AssetDetails_UEM!$A$3:$AH$1849,6,FALSE)</f>
        <v>Electrosurgical Units, Monopolar/Bipolar</v>
      </c>
      <c r="NSU92" s="165" t="s">
        <v>945</v>
      </c>
      <c r="NSV92" s="166" t="str">
        <f>VLOOKUP(NSU92,[13]AssetDetails_UEM!$A$3:$AH$1849,6,FALSE)</f>
        <v>Electrosurgical Units, Monopolar/Bipolar</v>
      </c>
      <c r="NSW92" s="165" t="s">
        <v>945</v>
      </c>
      <c r="NSX92" s="166" t="str">
        <f>VLOOKUP(NSW92,[13]AssetDetails_UEM!$A$3:$AH$1849,6,FALSE)</f>
        <v>Electrosurgical Units, Monopolar/Bipolar</v>
      </c>
      <c r="NSY92" s="165" t="s">
        <v>945</v>
      </c>
      <c r="NSZ92" s="166" t="str">
        <f>VLOOKUP(NSY92,[13]AssetDetails_UEM!$A$3:$AH$1849,6,FALSE)</f>
        <v>Electrosurgical Units, Monopolar/Bipolar</v>
      </c>
      <c r="NTA92" s="165" t="s">
        <v>945</v>
      </c>
      <c r="NTB92" s="166" t="str">
        <f>VLOOKUP(NTA92,[13]AssetDetails_UEM!$A$3:$AH$1849,6,FALSE)</f>
        <v>Electrosurgical Units, Monopolar/Bipolar</v>
      </c>
      <c r="NTC92" s="165" t="s">
        <v>945</v>
      </c>
      <c r="NTD92" s="166" t="str">
        <f>VLOOKUP(NTC92,[13]AssetDetails_UEM!$A$3:$AH$1849,6,FALSE)</f>
        <v>Electrosurgical Units, Monopolar/Bipolar</v>
      </c>
      <c r="NTE92" s="165" t="s">
        <v>945</v>
      </c>
      <c r="NTF92" s="166" t="str">
        <f>VLOOKUP(NTE92,[13]AssetDetails_UEM!$A$3:$AH$1849,6,FALSE)</f>
        <v>Electrosurgical Units, Monopolar/Bipolar</v>
      </c>
      <c r="NTG92" s="165" t="s">
        <v>945</v>
      </c>
      <c r="NTH92" s="166" t="str">
        <f>VLOOKUP(NTG92,[13]AssetDetails_UEM!$A$3:$AH$1849,6,FALSE)</f>
        <v>Electrosurgical Units, Monopolar/Bipolar</v>
      </c>
      <c r="NTI92" s="165" t="s">
        <v>945</v>
      </c>
      <c r="NTJ92" s="166" t="str">
        <f>VLOOKUP(NTI92,[13]AssetDetails_UEM!$A$3:$AH$1849,6,FALSE)</f>
        <v>Electrosurgical Units, Monopolar/Bipolar</v>
      </c>
      <c r="NTK92" s="165" t="s">
        <v>945</v>
      </c>
      <c r="NTL92" s="166" t="str">
        <f>VLOOKUP(NTK92,[13]AssetDetails_UEM!$A$3:$AH$1849,6,FALSE)</f>
        <v>Electrosurgical Units, Monopolar/Bipolar</v>
      </c>
      <c r="NTM92" s="165" t="s">
        <v>945</v>
      </c>
      <c r="NTN92" s="166" t="str">
        <f>VLOOKUP(NTM92,[13]AssetDetails_UEM!$A$3:$AH$1849,6,FALSE)</f>
        <v>Electrosurgical Units, Monopolar/Bipolar</v>
      </c>
      <c r="NTO92" s="165" t="s">
        <v>945</v>
      </c>
      <c r="NTP92" s="166" t="str">
        <f>VLOOKUP(NTO92,[13]AssetDetails_UEM!$A$3:$AH$1849,6,FALSE)</f>
        <v>Electrosurgical Units, Monopolar/Bipolar</v>
      </c>
      <c r="NTQ92" s="165" t="s">
        <v>945</v>
      </c>
      <c r="NTR92" s="166" t="str">
        <f>VLOOKUP(NTQ92,[13]AssetDetails_UEM!$A$3:$AH$1849,6,FALSE)</f>
        <v>Electrosurgical Units, Monopolar/Bipolar</v>
      </c>
      <c r="NTS92" s="165" t="s">
        <v>945</v>
      </c>
      <c r="NTT92" s="166" t="str">
        <f>VLOOKUP(NTS92,[13]AssetDetails_UEM!$A$3:$AH$1849,6,FALSE)</f>
        <v>Electrosurgical Units, Monopolar/Bipolar</v>
      </c>
      <c r="NTU92" s="165" t="s">
        <v>945</v>
      </c>
      <c r="NTV92" s="166" t="str">
        <f>VLOOKUP(NTU92,[13]AssetDetails_UEM!$A$3:$AH$1849,6,FALSE)</f>
        <v>Electrosurgical Units, Monopolar/Bipolar</v>
      </c>
      <c r="NTW92" s="165" t="s">
        <v>945</v>
      </c>
      <c r="NTX92" s="166" t="str">
        <f>VLOOKUP(NTW92,[13]AssetDetails_UEM!$A$3:$AH$1849,6,FALSE)</f>
        <v>Electrosurgical Units, Monopolar/Bipolar</v>
      </c>
      <c r="NTY92" s="165" t="s">
        <v>945</v>
      </c>
      <c r="NTZ92" s="166" t="str">
        <f>VLOOKUP(NTY92,[13]AssetDetails_UEM!$A$3:$AH$1849,6,FALSE)</f>
        <v>Electrosurgical Units, Monopolar/Bipolar</v>
      </c>
      <c r="NUA92" s="165" t="s">
        <v>945</v>
      </c>
      <c r="NUB92" s="166" t="str">
        <f>VLOOKUP(NUA92,[13]AssetDetails_UEM!$A$3:$AH$1849,6,FALSE)</f>
        <v>Electrosurgical Units, Monopolar/Bipolar</v>
      </c>
      <c r="NUC92" s="165" t="s">
        <v>945</v>
      </c>
      <c r="NUD92" s="166" t="str">
        <f>VLOOKUP(NUC92,[13]AssetDetails_UEM!$A$3:$AH$1849,6,FALSE)</f>
        <v>Electrosurgical Units, Monopolar/Bipolar</v>
      </c>
      <c r="NUE92" s="165" t="s">
        <v>945</v>
      </c>
      <c r="NUF92" s="166" t="str">
        <f>VLOOKUP(NUE92,[13]AssetDetails_UEM!$A$3:$AH$1849,6,FALSE)</f>
        <v>Electrosurgical Units, Monopolar/Bipolar</v>
      </c>
      <c r="NUG92" s="165" t="s">
        <v>945</v>
      </c>
      <c r="NUH92" s="166" t="str">
        <f>VLOOKUP(NUG92,[13]AssetDetails_UEM!$A$3:$AH$1849,6,FALSE)</f>
        <v>Electrosurgical Units, Monopolar/Bipolar</v>
      </c>
      <c r="NUI92" s="165" t="s">
        <v>945</v>
      </c>
      <c r="NUJ92" s="166" t="str">
        <f>VLOOKUP(NUI92,[13]AssetDetails_UEM!$A$3:$AH$1849,6,FALSE)</f>
        <v>Electrosurgical Units, Monopolar/Bipolar</v>
      </c>
      <c r="NUK92" s="165" t="s">
        <v>945</v>
      </c>
      <c r="NUL92" s="166" t="str">
        <f>VLOOKUP(NUK92,[13]AssetDetails_UEM!$A$3:$AH$1849,6,FALSE)</f>
        <v>Electrosurgical Units, Monopolar/Bipolar</v>
      </c>
      <c r="NUM92" s="165" t="s">
        <v>945</v>
      </c>
      <c r="NUN92" s="166" t="str">
        <f>VLOOKUP(NUM92,[13]AssetDetails_UEM!$A$3:$AH$1849,6,FALSE)</f>
        <v>Electrosurgical Units, Monopolar/Bipolar</v>
      </c>
      <c r="NUO92" s="165" t="s">
        <v>945</v>
      </c>
      <c r="NUP92" s="166" t="str">
        <f>VLOOKUP(NUO92,[13]AssetDetails_UEM!$A$3:$AH$1849,6,FALSE)</f>
        <v>Electrosurgical Units, Monopolar/Bipolar</v>
      </c>
      <c r="NUQ92" s="165" t="s">
        <v>945</v>
      </c>
      <c r="NUR92" s="166" t="str">
        <f>VLOOKUP(NUQ92,[13]AssetDetails_UEM!$A$3:$AH$1849,6,FALSE)</f>
        <v>Electrosurgical Units, Monopolar/Bipolar</v>
      </c>
      <c r="NUS92" s="165" t="s">
        <v>945</v>
      </c>
      <c r="NUT92" s="166" t="str">
        <f>VLOOKUP(NUS92,[13]AssetDetails_UEM!$A$3:$AH$1849,6,FALSE)</f>
        <v>Electrosurgical Units, Monopolar/Bipolar</v>
      </c>
      <c r="NUU92" s="165" t="s">
        <v>945</v>
      </c>
      <c r="NUV92" s="166" t="str">
        <f>VLOOKUP(NUU92,[13]AssetDetails_UEM!$A$3:$AH$1849,6,FALSE)</f>
        <v>Electrosurgical Units, Monopolar/Bipolar</v>
      </c>
      <c r="NUW92" s="165" t="s">
        <v>945</v>
      </c>
      <c r="NUX92" s="166" t="str">
        <f>VLOOKUP(NUW92,[13]AssetDetails_UEM!$A$3:$AH$1849,6,FALSE)</f>
        <v>Electrosurgical Units, Monopolar/Bipolar</v>
      </c>
      <c r="NUY92" s="165" t="s">
        <v>945</v>
      </c>
      <c r="NUZ92" s="166" t="str">
        <f>VLOOKUP(NUY92,[13]AssetDetails_UEM!$A$3:$AH$1849,6,FALSE)</f>
        <v>Electrosurgical Units, Monopolar/Bipolar</v>
      </c>
      <c r="NVA92" s="165" t="s">
        <v>945</v>
      </c>
      <c r="NVB92" s="166" t="str">
        <f>VLOOKUP(NVA92,[13]AssetDetails_UEM!$A$3:$AH$1849,6,FALSE)</f>
        <v>Electrosurgical Units, Monopolar/Bipolar</v>
      </c>
      <c r="NVC92" s="165" t="s">
        <v>945</v>
      </c>
      <c r="NVD92" s="166" t="str">
        <f>VLOOKUP(NVC92,[13]AssetDetails_UEM!$A$3:$AH$1849,6,FALSE)</f>
        <v>Electrosurgical Units, Monopolar/Bipolar</v>
      </c>
      <c r="NVE92" s="165" t="s">
        <v>945</v>
      </c>
      <c r="NVF92" s="166" t="str">
        <f>VLOOKUP(NVE92,[13]AssetDetails_UEM!$A$3:$AH$1849,6,FALSE)</f>
        <v>Electrosurgical Units, Monopolar/Bipolar</v>
      </c>
      <c r="NVG92" s="165" t="s">
        <v>945</v>
      </c>
      <c r="NVH92" s="166" t="str">
        <f>VLOOKUP(NVG92,[13]AssetDetails_UEM!$A$3:$AH$1849,6,FALSE)</f>
        <v>Electrosurgical Units, Monopolar/Bipolar</v>
      </c>
      <c r="NVI92" s="165" t="s">
        <v>945</v>
      </c>
      <c r="NVJ92" s="166" t="str">
        <f>VLOOKUP(NVI92,[13]AssetDetails_UEM!$A$3:$AH$1849,6,FALSE)</f>
        <v>Electrosurgical Units, Monopolar/Bipolar</v>
      </c>
      <c r="NVK92" s="165" t="s">
        <v>945</v>
      </c>
      <c r="NVL92" s="166" t="str">
        <f>VLOOKUP(NVK92,[13]AssetDetails_UEM!$A$3:$AH$1849,6,FALSE)</f>
        <v>Electrosurgical Units, Monopolar/Bipolar</v>
      </c>
      <c r="NVM92" s="165" t="s">
        <v>945</v>
      </c>
      <c r="NVN92" s="166" t="str">
        <f>VLOOKUP(NVM92,[13]AssetDetails_UEM!$A$3:$AH$1849,6,FALSE)</f>
        <v>Electrosurgical Units, Monopolar/Bipolar</v>
      </c>
      <c r="NVO92" s="165" t="s">
        <v>945</v>
      </c>
      <c r="NVP92" s="166" t="str">
        <f>VLOOKUP(NVO92,[13]AssetDetails_UEM!$A$3:$AH$1849,6,FALSE)</f>
        <v>Electrosurgical Units, Monopolar/Bipolar</v>
      </c>
      <c r="NVQ92" s="165" t="s">
        <v>945</v>
      </c>
      <c r="NVR92" s="166" t="str">
        <f>VLOOKUP(NVQ92,[13]AssetDetails_UEM!$A$3:$AH$1849,6,FALSE)</f>
        <v>Electrosurgical Units, Monopolar/Bipolar</v>
      </c>
      <c r="NVS92" s="165" t="s">
        <v>945</v>
      </c>
      <c r="NVT92" s="166" t="str">
        <f>VLOOKUP(NVS92,[13]AssetDetails_UEM!$A$3:$AH$1849,6,FALSE)</f>
        <v>Electrosurgical Units, Monopolar/Bipolar</v>
      </c>
      <c r="NVU92" s="165" t="s">
        <v>945</v>
      </c>
      <c r="NVV92" s="166" t="str">
        <f>VLOOKUP(NVU92,[13]AssetDetails_UEM!$A$3:$AH$1849,6,FALSE)</f>
        <v>Electrosurgical Units, Monopolar/Bipolar</v>
      </c>
      <c r="NVW92" s="165" t="s">
        <v>945</v>
      </c>
      <c r="NVX92" s="166" t="str">
        <f>VLOOKUP(NVW92,[13]AssetDetails_UEM!$A$3:$AH$1849,6,FALSE)</f>
        <v>Electrosurgical Units, Monopolar/Bipolar</v>
      </c>
      <c r="NVY92" s="165" t="s">
        <v>945</v>
      </c>
      <c r="NVZ92" s="166" t="str">
        <f>VLOOKUP(NVY92,[13]AssetDetails_UEM!$A$3:$AH$1849,6,FALSE)</f>
        <v>Electrosurgical Units, Monopolar/Bipolar</v>
      </c>
      <c r="NWA92" s="165" t="s">
        <v>945</v>
      </c>
      <c r="NWB92" s="166" t="str">
        <f>VLOOKUP(NWA92,[13]AssetDetails_UEM!$A$3:$AH$1849,6,FALSE)</f>
        <v>Electrosurgical Units, Monopolar/Bipolar</v>
      </c>
      <c r="NWC92" s="165" t="s">
        <v>945</v>
      </c>
      <c r="NWD92" s="166" t="str">
        <f>VLOOKUP(NWC92,[13]AssetDetails_UEM!$A$3:$AH$1849,6,FALSE)</f>
        <v>Electrosurgical Units, Monopolar/Bipolar</v>
      </c>
      <c r="NWE92" s="165" t="s">
        <v>945</v>
      </c>
      <c r="NWF92" s="166" t="str">
        <f>VLOOKUP(NWE92,[13]AssetDetails_UEM!$A$3:$AH$1849,6,FALSE)</f>
        <v>Electrosurgical Units, Monopolar/Bipolar</v>
      </c>
      <c r="NWG92" s="165" t="s">
        <v>945</v>
      </c>
      <c r="NWH92" s="166" t="str">
        <f>VLOOKUP(NWG92,[13]AssetDetails_UEM!$A$3:$AH$1849,6,FALSE)</f>
        <v>Electrosurgical Units, Monopolar/Bipolar</v>
      </c>
      <c r="NWI92" s="165" t="s">
        <v>945</v>
      </c>
      <c r="NWJ92" s="166" t="str">
        <f>VLOOKUP(NWI92,[13]AssetDetails_UEM!$A$3:$AH$1849,6,FALSE)</f>
        <v>Electrosurgical Units, Monopolar/Bipolar</v>
      </c>
      <c r="NWK92" s="165" t="s">
        <v>945</v>
      </c>
      <c r="NWL92" s="166" t="str">
        <f>VLOOKUP(NWK92,[13]AssetDetails_UEM!$A$3:$AH$1849,6,FALSE)</f>
        <v>Electrosurgical Units, Monopolar/Bipolar</v>
      </c>
      <c r="NWM92" s="165" t="s">
        <v>945</v>
      </c>
      <c r="NWN92" s="166" t="str">
        <f>VLOOKUP(NWM92,[13]AssetDetails_UEM!$A$3:$AH$1849,6,FALSE)</f>
        <v>Electrosurgical Units, Monopolar/Bipolar</v>
      </c>
      <c r="NWO92" s="165" t="s">
        <v>945</v>
      </c>
      <c r="NWP92" s="166" t="str">
        <f>VLOOKUP(NWO92,[13]AssetDetails_UEM!$A$3:$AH$1849,6,FALSE)</f>
        <v>Electrosurgical Units, Monopolar/Bipolar</v>
      </c>
      <c r="NWQ92" s="165" t="s">
        <v>945</v>
      </c>
      <c r="NWR92" s="166" t="str">
        <f>VLOOKUP(NWQ92,[13]AssetDetails_UEM!$A$3:$AH$1849,6,FALSE)</f>
        <v>Electrosurgical Units, Monopolar/Bipolar</v>
      </c>
      <c r="NWS92" s="165" t="s">
        <v>945</v>
      </c>
      <c r="NWT92" s="166" t="str">
        <f>VLOOKUP(NWS92,[13]AssetDetails_UEM!$A$3:$AH$1849,6,FALSE)</f>
        <v>Electrosurgical Units, Monopolar/Bipolar</v>
      </c>
      <c r="NWU92" s="165" t="s">
        <v>945</v>
      </c>
      <c r="NWV92" s="166" t="str">
        <f>VLOOKUP(NWU92,[13]AssetDetails_UEM!$A$3:$AH$1849,6,FALSE)</f>
        <v>Electrosurgical Units, Monopolar/Bipolar</v>
      </c>
      <c r="NWW92" s="165" t="s">
        <v>945</v>
      </c>
      <c r="NWX92" s="166" t="str">
        <f>VLOOKUP(NWW92,[13]AssetDetails_UEM!$A$3:$AH$1849,6,FALSE)</f>
        <v>Electrosurgical Units, Monopolar/Bipolar</v>
      </c>
      <c r="NWY92" s="165" t="s">
        <v>945</v>
      </c>
      <c r="NWZ92" s="166" t="str">
        <f>VLOOKUP(NWY92,[13]AssetDetails_UEM!$A$3:$AH$1849,6,FALSE)</f>
        <v>Electrosurgical Units, Monopolar/Bipolar</v>
      </c>
      <c r="NXA92" s="165" t="s">
        <v>945</v>
      </c>
      <c r="NXB92" s="166" t="str">
        <f>VLOOKUP(NXA92,[13]AssetDetails_UEM!$A$3:$AH$1849,6,FALSE)</f>
        <v>Electrosurgical Units, Monopolar/Bipolar</v>
      </c>
      <c r="NXC92" s="165" t="s">
        <v>945</v>
      </c>
      <c r="NXD92" s="166" t="str">
        <f>VLOOKUP(NXC92,[13]AssetDetails_UEM!$A$3:$AH$1849,6,FALSE)</f>
        <v>Electrosurgical Units, Monopolar/Bipolar</v>
      </c>
      <c r="NXE92" s="165" t="s">
        <v>945</v>
      </c>
      <c r="NXF92" s="166" t="str">
        <f>VLOOKUP(NXE92,[13]AssetDetails_UEM!$A$3:$AH$1849,6,FALSE)</f>
        <v>Electrosurgical Units, Monopolar/Bipolar</v>
      </c>
      <c r="NXG92" s="165" t="s">
        <v>945</v>
      </c>
      <c r="NXH92" s="166" t="str">
        <f>VLOOKUP(NXG92,[13]AssetDetails_UEM!$A$3:$AH$1849,6,FALSE)</f>
        <v>Electrosurgical Units, Monopolar/Bipolar</v>
      </c>
      <c r="NXI92" s="165" t="s">
        <v>945</v>
      </c>
      <c r="NXJ92" s="166" t="str">
        <f>VLOOKUP(NXI92,[13]AssetDetails_UEM!$A$3:$AH$1849,6,FALSE)</f>
        <v>Electrosurgical Units, Monopolar/Bipolar</v>
      </c>
      <c r="NXK92" s="165" t="s">
        <v>945</v>
      </c>
      <c r="NXL92" s="166" t="str">
        <f>VLOOKUP(NXK92,[13]AssetDetails_UEM!$A$3:$AH$1849,6,FALSE)</f>
        <v>Electrosurgical Units, Monopolar/Bipolar</v>
      </c>
      <c r="NXM92" s="165" t="s">
        <v>945</v>
      </c>
      <c r="NXN92" s="166" t="str">
        <f>VLOOKUP(NXM92,[13]AssetDetails_UEM!$A$3:$AH$1849,6,FALSE)</f>
        <v>Electrosurgical Units, Monopolar/Bipolar</v>
      </c>
      <c r="NXO92" s="165" t="s">
        <v>945</v>
      </c>
      <c r="NXP92" s="166" t="str">
        <f>VLOOKUP(NXO92,[13]AssetDetails_UEM!$A$3:$AH$1849,6,FALSE)</f>
        <v>Electrosurgical Units, Monopolar/Bipolar</v>
      </c>
      <c r="NXQ92" s="165" t="s">
        <v>945</v>
      </c>
      <c r="NXR92" s="166" t="str">
        <f>VLOOKUP(NXQ92,[13]AssetDetails_UEM!$A$3:$AH$1849,6,FALSE)</f>
        <v>Electrosurgical Units, Monopolar/Bipolar</v>
      </c>
      <c r="NXS92" s="165" t="s">
        <v>945</v>
      </c>
      <c r="NXT92" s="166" t="str">
        <f>VLOOKUP(NXS92,[13]AssetDetails_UEM!$A$3:$AH$1849,6,FALSE)</f>
        <v>Electrosurgical Units, Monopolar/Bipolar</v>
      </c>
      <c r="NXU92" s="165" t="s">
        <v>945</v>
      </c>
      <c r="NXV92" s="166" t="str">
        <f>VLOOKUP(NXU92,[13]AssetDetails_UEM!$A$3:$AH$1849,6,FALSE)</f>
        <v>Electrosurgical Units, Monopolar/Bipolar</v>
      </c>
      <c r="NXW92" s="165" t="s">
        <v>945</v>
      </c>
      <c r="NXX92" s="166" t="str">
        <f>VLOOKUP(NXW92,[13]AssetDetails_UEM!$A$3:$AH$1849,6,FALSE)</f>
        <v>Electrosurgical Units, Monopolar/Bipolar</v>
      </c>
      <c r="NXY92" s="165" t="s">
        <v>945</v>
      </c>
      <c r="NXZ92" s="166" t="str">
        <f>VLOOKUP(NXY92,[13]AssetDetails_UEM!$A$3:$AH$1849,6,FALSE)</f>
        <v>Electrosurgical Units, Monopolar/Bipolar</v>
      </c>
      <c r="NYA92" s="165" t="s">
        <v>945</v>
      </c>
      <c r="NYB92" s="166" t="str">
        <f>VLOOKUP(NYA92,[13]AssetDetails_UEM!$A$3:$AH$1849,6,FALSE)</f>
        <v>Electrosurgical Units, Monopolar/Bipolar</v>
      </c>
      <c r="NYC92" s="165" t="s">
        <v>945</v>
      </c>
      <c r="NYD92" s="166" t="str">
        <f>VLOOKUP(NYC92,[13]AssetDetails_UEM!$A$3:$AH$1849,6,FALSE)</f>
        <v>Electrosurgical Units, Monopolar/Bipolar</v>
      </c>
      <c r="NYE92" s="165" t="s">
        <v>945</v>
      </c>
      <c r="NYF92" s="166" t="str">
        <f>VLOOKUP(NYE92,[13]AssetDetails_UEM!$A$3:$AH$1849,6,FALSE)</f>
        <v>Electrosurgical Units, Monopolar/Bipolar</v>
      </c>
      <c r="NYG92" s="165" t="s">
        <v>945</v>
      </c>
      <c r="NYH92" s="166" t="str">
        <f>VLOOKUP(NYG92,[13]AssetDetails_UEM!$A$3:$AH$1849,6,FALSE)</f>
        <v>Electrosurgical Units, Monopolar/Bipolar</v>
      </c>
      <c r="NYI92" s="165" t="s">
        <v>945</v>
      </c>
      <c r="NYJ92" s="166" t="str">
        <f>VLOOKUP(NYI92,[13]AssetDetails_UEM!$A$3:$AH$1849,6,FALSE)</f>
        <v>Electrosurgical Units, Monopolar/Bipolar</v>
      </c>
      <c r="NYK92" s="165" t="s">
        <v>945</v>
      </c>
      <c r="NYL92" s="166" t="str">
        <f>VLOOKUP(NYK92,[13]AssetDetails_UEM!$A$3:$AH$1849,6,FALSE)</f>
        <v>Electrosurgical Units, Monopolar/Bipolar</v>
      </c>
      <c r="NYM92" s="165" t="s">
        <v>945</v>
      </c>
      <c r="NYN92" s="166" t="str">
        <f>VLOOKUP(NYM92,[13]AssetDetails_UEM!$A$3:$AH$1849,6,FALSE)</f>
        <v>Electrosurgical Units, Monopolar/Bipolar</v>
      </c>
      <c r="NYO92" s="165" t="s">
        <v>945</v>
      </c>
      <c r="NYP92" s="166" t="str">
        <f>VLOOKUP(NYO92,[13]AssetDetails_UEM!$A$3:$AH$1849,6,FALSE)</f>
        <v>Electrosurgical Units, Monopolar/Bipolar</v>
      </c>
      <c r="NYQ92" s="165" t="s">
        <v>945</v>
      </c>
      <c r="NYR92" s="166" t="str">
        <f>VLOOKUP(NYQ92,[13]AssetDetails_UEM!$A$3:$AH$1849,6,FALSE)</f>
        <v>Electrosurgical Units, Monopolar/Bipolar</v>
      </c>
      <c r="NYS92" s="165" t="s">
        <v>945</v>
      </c>
      <c r="NYT92" s="166" t="str">
        <f>VLOOKUP(NYS92,[13]AssetDetails_UEM!$A$3:$AH$1849,6,FALSE)</f>
        <v>Electrosurgical Units, Monopolar/Bipolar</v>
      </c>
      <c r="NYU92" s="165" t="s">
        <v>945</v>
      </c>
      <c r="NYV92" s="166" t="str">
        <f>VLOOKUP(NYU92,[13]AssetDetails_UEM!$A$3:$AH$1849,6,FALSE)</f>
        <v>Electrosurgical Units, Monopolar/Bipolar</v>
      </c>
      <c r="NYW92" s="165" t="s">
        <v>945</v>
      </c>
      <c r="NYX92" s="166" t="str">
        <f>VLOOKUP(NYW92,[13]AssetDetails_UEM!$A$3:$AH$1849,6,FALSE)</f>
        <v>Electrosurgical Units, Monopolar/Bipolar</v>
      </c>
      <c r="NYY92" s="165" t="s">
        <v>945</v>
      </c>
      <c r="NYZ92" s="166" t="str">
        <f>VLOOKUP(NYY92,[13]AssetDetails_UEM!$A$3:$AH$1849,6,FALSE)</f>
        <v>Electrosurgical Units, Monopolar/Bipolar</v>
      </c>
      <c r="NZA92" s="165" t="s">
        <v>945</v>
      </c>
      <c r="NZB92" s="166" t="str">
        <f>VLOOKUP(NZA92,[13]AssetDetails_UEM!$A$3:$AH$1849,6,FALSE)</f>
        <v>Electrosurgical Units, Monopolar/Bipolar</v>
      </c>
      <c r="NZC92" s="165" t="s">
        <v>945</v>
      </c>
      <c r="NZD92" s="166" t="str">
        <f>VLOOKUP(NZC92,[13]AssetDetails_UEM!$A$3:$AH$1849,6,FALSE)</f>
        <v>Electrosurgical Units, Monopolar/Bipolar</v>
      </c>
      <c r="NZE92" s="165" t="s">
        <v>945</v>
      </c>
      <c r="NZF92" s="166" t="str">
        <f>VLOOKUP(NZE92,[13]AssetDetails_UEM!$A$3:$AH$1849,6,FALSE)</f>
        <v>Electrosurgical Units, Monopolar/Bipolar</v>
      </c>
      <c r="NZG92" s="165" t="s">
        <v>945</v>
      </c>
      <c r="NZH92" s="166" t="str">
        <f>VLOOKUP(NZG92,[13]AssetDetails_UEM!$A$3:$AH$1849,6,FALSE)</f>
        <v>Electrosurgical Units, Monopolar/Bipolar</v>
      </c>
      <c r="NZI92" s="165" t="s">
        <v>945</v>
      </c>
      <c r="NZJ92" s="166" t="str">
        <f>VLOOKUP(NZI92,[13]AssetDetails_UEM!$A$3:$AH$1849,6,FALSE)</f>
        <v>Electrosurgical Units, Monopolar/Bipolar</v>
      </c>
      <c r="NZK92" s="165" t="s">
        <v>945</v>
      </c>
      <c r="NZL92" s="166" t="str">
        <f>VLOOKUP(NZK92,[13]AssetDetails_UEM!$A$3:$AH$1849,6,FALSE)</f>
        <v>Electrosurgical Units, Monopolar/Bipolar</v>
      </c>
      <c r="NZM92" s="165" t="s">
        <v>945</v>
      </c>
      <c r="NZN92" s="166" t="str">
        <f>VLOOKUP(NZM92,[13]AssetDetails_UEM!$A$3:$AH$1849,6,FALSE)</f>
        <v>Electrosurgical Units, Monopolar/Bipolar</v>
      </c>
      <c r="NZO92" s="165" t="s">
        <v>945</v>
      </c>
      <c r="NZP92" s="166" t="str">
        <f>VLOOKUP(NZO92,[13]AssetDetails_UEM!$A$3:$AH$1849,6,FALSE)</f>
        <v>Electrosurgical Units, Monopolar/Bipolar</v>
      </c>
      <c r="NZQ92" s="165" t="s">
        <v>945</v>
      </c>
      <c r="NZR92" s="166" t="str">
        <f>VLOOKUP(NZQ92,[13]AssetDetails_UEM!$A$3:$AH$1849,6,FALSE)</f>
        <v>Electrosurgical Units, Monopolar/Bipolar</v>
      </c>
      <c r="NZS92" s="165" t="s">
        <v>945</v>
      </c>
      <c r="NZT92" s="166" t="str">
        <f>VLOOKUP(NZS92,[13]AssetDetails_UEM!$A$3:$AH$1849,6,FALSE)</f>
        <v>Electrosurgical Units, Monopolar/Bipolar</v>
      </c>
      <c r="NZU92" s="165" t="s">
        <v>945</v>
      </c>
      <c r="NZV92" s="166" t="str">
        <f>VLOOKUP(NZU92,[13]AssetDetails_UEM!$A$3:$AH$1849,6,FALSE)</f>
        <v>Electrosurgical Units, Monopolar/Bipolar</v>
      </c>
      <c r="NZW92" s="165" t="s">
        <v>945</v>
      </c>
      <c r="NZX92" s="166" t="str">
        <f>VLOOKUP(NZW92,[13]AssetDetails_UEM!$A$3:$AH$1849,6,FALSE)</f>
        <v>Electrosurgical Units, Monopolar/Bipolar</v>
      </c>
      <c r="NZY92" s="165" t="s">
        <v>945</v>
      </c>
      <c r="NZZ92" s="166" t="str">
        <f>VLOOKUP(NZY92,[13]AssetDetails_UEM!$A$3:$AH$1849,6,FALSE)</f>
        <v>Electrosurgical Units, Monopolar/Bipolar</v>
      </c>
      <c r="OAA92" s="165" t="s">
        <v>945</v>
      </c>
      <c r="OAB92" s="166" t="str">
        <f>VLOOKUP(OAA92,[13]AssetDetails_UEM!$A$3:$AH$1849,6,FALSE)</f>
        <v>Electrosurgical Units, Monopolar/Bipolar</v>
      </c>
      <c r="OAC92" s="165" t="s">
        <v>945</v>
      </c>
      <c r="OAD92" s="166" t="str">
        <f>VLOOKUP(OAC92,[13]AssetDetails_UEM!$A$3:$AH$1849,6,FALSE)</f>
        <v>Electrosurgical Units, Monopolar/Bipolar</v>
      </c>
      <c r="OAE92" s="165" t="s">
        <v>945</v>
      </c>
      <c r="OAF92" s="166" t="str">
        <f>VLOOKUP(OAE92,[13]AssetDetails_UEM!$A$3:$AH$1849,6,FALSE)</f>
        <v>Electrosurgical Units, Monopolar/Bipolar</v>
      </c>
      <c r="OAG92" s="165" t="s">
        <v>945</v>
      </c>
      <c r="OAH92" s="166" t="str">
        <f>VLOOKUP(OAG92,[13]AssetDetails_UEM!$A$3:$AH$1849,6,FALSE)</f>
        <v>Electrosurgical Units, Monopolar/Bipolar</v>
      </c>
      <c r="OAI92" s="165" t="s">
        <v>945</v>
      </c>
      <c r="OAJ92" s="166" t="str">
        <f>VLOOKUP(OAI92,[13]AssetDetails_UEM!$A$3:$AH$1849,6,FALSE)</f>
        <v>Electrosurgical Units, Monopolar/Bipolar</v>
      </c>
      <c r="OAK92" s="165" t="s">
        <v>945</v>
      </c>
      <c r="OAL92" s="166" t="str">
        <f>VLOOKUP(OAK92,[13]AssetDetails_UEM!$A$3:$AH$1849,6,FALSE)</f>
        <v>Electrosurgical Units, Monopolar/Bipolar</v>
      </c>
      <c r="OAM92" s="165" t="s">
        <v>945</v>
      </c>
      <c r="OAN92" s="166" t="str">
        <f>VLOOKUP(OAM92,[13]AssetDetails_UEM!$A$3:$AH$1849,6,FALSE)</f>
        <v>Electrosurgical Units, Monopolar/Bipolar</v>
      </c>
      <c r="OAO92" s="165" t="s">
        <v>945</v>
      </c>
      <c r="OAP92" s="166" t="str">
        <f>VLOOKUP(OAO92,[13]AssetDetails_UEM!$A$3:$AH$1849,6,FALSE)</f>
        <v>Electrosurgical Units, Monopolar/Bipolar</v>
      </c>
      <c r="OAQ92" s="165" t="s">
        <v>945</v>
      </c>
      <c r="OAR92" s="166" t="str">
        <f>VLOOKUP(OAQ92,[13]AssetDetails_UEM!$A$3:$AH$1849,6,FALSE)</f>
        <v>Electrosurgical Units, Monopolar/Bipolar</v>
      </c>
      <c r="OAS92" s="165" t="s">
        <v>945</v>
      </c>
      <c r="OAT92" s="166" t="str">
        <f>VLOOKUP(OAS92,[13]AssetDetails_UEM!$A$3:$AH$1849,6,FALSE)</f>
        <v>Electrosurgical Units, Monopolar/Bipolar</v>
      </c>
      <c r="OAU92" s="165" t="s">
        <v>945</v>
      </c>
      <c r="OAV92" s="166" t="str">
        <f>VLOOKUP(OAU92,[13]AssetDetails_UEM!$A$3:$AH$1849,6,FALSE)</f>
        <v>Electrosurgical Units, Monopolar/Bipolar</v>
      </c>
      <c r="OAW92" s="165" t="s">
        <v>945</v>
      </c>
      <c r="OAX92" s="166" t="str">
        <f>VLOOKUP(OAW92,[13]AssetDetails_UEM!$A$3:$AH$1849,6,FALSE)</f>
        <v>Electrosurgical Units, Monopolar/Bipolar</v>
      </c>
      <c r="OAY92" s="165" t="s">
        <v>945</v>
      </c>
      <c r="OAZ92" s="166" t="str">
        <f>VLOOKUP(OAY92,[13]AssetDetails_UEM!$A$3:$AH$1849,6,FALSE)</f>
        <v>Electrosurgical Units, Monopolar/Bipolar</v>
      </c>
      <c r="OBA92" s="165" t="s">
        <v>945</v>
      </c>
      <c r="OBB92" s="166" t="str">
        <f>VLOOKUP(OBA92,[13]AssetDetails_UEM!$A$3:$AH$1849,6,FALSE)</f>
        <v>Electrosurgical Units, Monopolar/Bipolar</v>
      </c>
      <c r="OBC92" s="165" t="s">
        <v>945</v>
      </c>
      <c r="OBD92" s="166" t="str">
        <f>VLOOKUP(OBC92,[13]AssetDetails_UEM!$A$3:$AH$1849,6,FALSE)</f>
        <v>Electrosurgical Units, Monopolar/Bipolar</v>
      </c>
      <c r="OBE92" s="165" t="s">
        <v>945</v>
      </c>
      <c r="OBF92" s="166" t="str">
        <f>VLOOKUP(OBE92,[13]AssetDetails_UEM!$A$3:$AH$1849,6,FALSE)</f>
        <v>Electrosurgical Units, Monopolar/Bipolar</v>
      </c>
      <c r="OBG92" s="165" t="s">
        <v>945</v>
      </c>
      <c r="OBH92" s="166" t="str">
        <f>VLOOKUP(OBG92,[13]AssetDetails_UEM!$A$3:$AH$1849,6,FALSE)</f>
        <v>Electrosurgical Units, Monopolar/Bipolar</v>
      </c>
      <c r="OBI92" s="165" t="s">
        <v>945</v>
      </c>
      <c r="OBJ92" s="166" t="str">
        <f>VLOOKUP(OBI92,[13]AssetDetails_UEM!$A$3:$AH$1849,6,FALSE)</f>
        <v>Electrosurgical Units, Monopolar/Bipolar</v>
      </c>
      <c r="OBK92" s="165" t="s">
        <v>945</v>
      </c>
      <c r="OBL92" s="166" t="str">
        <f>VLOOKUP(OBK92,[13]AssetDetails_UEM!$A$3:$AH$1849,6,FALSE)</f>
        <v>Electrosurgical Units, Monopolar/Bipolar</v>
      </c>
      <c r="OBM92" s="165" t="s">
        <v>945</v>
      </c>
      <c r="OBN92" s="166" t="str">
        <f>VLOOKUP(OBM92,[13]AssetDetails_UEM!$A$3:$AH$1849,6,FALSE)</f>
        <v>Electrosurgical Units, Monopolar/Bipolar</v>
      </c>
      <c r="OBO92" s="165" t="s">
        <v>945</v>
      </c>
      <c r="OBP92" s="166" t="str">
        <f>VLOOKUP(OBO92,[13]AssetDetails_UEM!$A$3:$AH$1849,6,FALSE)</f>
        <v>Electrosurgical Units, Monopolar/Bipolar</v>
      </c>
      <c r="OBQ92" s="165" t="s">
        <v>945</v>
      </c>
      <c r="OBR92" s="166" t="str">
        <f>VLOOKUP(OBQ92,[13]AssetDetails_UEM!$A$3:$AH$1849,6,FALSE)</f>
        <v>Electrosurgical Units, Monopolar/Bipolar</v>
      </c>
      <c r="OBS92" s="165" t="s">
        <v>945</v>
      </c>
      <c r="OBT92" s="166" t="str">
        <f>VLOOKUP(OBS92,[13]AssetDetails_UEM!$A$3:$AH$1849,6,FALSE)</f>
        <v>Electrosurgical Units, Monopolar/Bipolar</v>
      </c>
      <c r="OBU92" s="165" t="s">
        <v>945</v>
      </c>
      <c r="OBV92" s="166" t="str">
        <f>VLOOKUP(OBU92,[13]AssetDetails_UEM!$A$3:$AH$1849,6,FALSE)</f>
        <v>Electrosurgical Units, Monopolar/Bipolar</v>
      </c>
      <c r="OBW92" s="165" t="s">
        <v>945</v>
      </c>
      <c r="OBX92" s="166" t="str">
        <f>VLOOKUP(OBW92,[13]AssetDetails_UEM!$A$3:$AH$1849,6,FALSE)</f>
        <v>Electrosurgical Units, Monopolar/Bipolar</v>
      </c>
      <c r="OBY92" s="165" t="s">
        <v>945</v>
      </c>
      <c r="OBZ92" s="166" t="str">
        <f>VLOOKUP(OBY92,[13]AssetDetails_UEM!$A$3:$AH$1849,6,FALSE)</f>
        <v>Electrosurgical Units, Monopolar/Bipolar</v>
      </c>
      <c r="OCA92" s="165" t="s">
        <v>945</v>
      </c>
      <c r="OCB92" s="166" t="str">
        <f>VLOOKUP(OCA92,[13]AssetDetails_UEM!$A$3:$AH$1849,6,FALSE)</f>
        <v>Electrosurgical Units, Monopolar/Bipolar</v>
      </c>
      <c r="OCC92" s="165" t="s">
        <v>945</v>
      </c>
      <c r="OCD92" s="166" t="str">
        <f>VLOOKUP(OCC92,[13]AssetDetails_UEM!$A$3:$AH$1849,6,FALSE)</f>
        <v>Electrosurgical Units, Monopolar/Bipolar</v>
      </c>
      <c r="OCE92" s="165" t="s">
        <v>945</v>
      </c>
      <c r="OCF92" s="166" t="str">
        <f>VLOOKUP(OCE92,[13]AssetDetails_UEM!$A$3:$AH$1849,6,FALSE)</f>
        <v>Electrosurgical Units, Monopolar/Bipolar</v>
      </c>
      <c r="OCG92" s="165" t="s">
        <v>945</v>
      </c>
      <c r="OCH92" s="166" t="str">
        <f>VLOOKUP(OCG92,[13]AssetDetails_UEM!$A$3:$AH$1849,6,FALSE)</f>
        <v>Electrosurgical Units, Monopolar/Bipolar</v>
      </c>
      <c r="OCI92" s="165" t="s">
        <v>945</v>
      </c>
      <c r="OCJ92" s="166" t="str">
        <f>VLOOKUP(OCI92,[13]AssetDetails_UEM!$A$3:$AH$1849,6,FALSE)</f>
        <v>Electrosurgical Units, Monopolar/Bipolar</v>
      </c>
      <c r="OCK92" s="165" t="s">
        <v>945</v>
      </c>
      <c r="OCL92" s="166" t="str">
        <f>VLOOKUP(OCK92,[13]AssetDetails_UEM!$A$3:$AH$1849,6,FALSE)</f>
        <v>Electrosurgical Units, Monopolar/Bipolar</v>
      </c>
      <c r="OCM92" s="165" t="s">
        <v>945</v>
      </c>
      <c r="OCN92" s="166" t="str">
        <f>VLOOKUP(OCM92,[13]AssetDetails_UEM!$A$3:$AH$1849,6,FALSE)</f>
        <v>Electrosurgical Units, Monopolar/Bipolar</v>
      </c>
      <c r="OCO92" s="165" t="s">
        <v>945</v>
      </c>
      <c r="OCP92" s="166" t="str">
        <f>VLOOKUP(OCO92,[13]AssetDetails_UEM!$A$3:$AH$1849,6,FALSE)</f>
        <v>Electrosurgical Units, Monopolar/Bipolar</v>
      </c>
      <c r="OCQ92" s="165" t="s">
        <v>945</v>
      </c>
      <c r="OCR92" s="166" t="str">
        <f>VLOOKUP(OCQ92,[13]AssetDetails_UEM!$A$3:$AH$1849,6,FALSE)</f>
        <v>Electrosurgical Units, Monopolar/Bipolar</v>
      </c>
      <c r="OCS92" s="165" t="s">
        <v>945</v>
      </c>
      <c r="OCT92" s="166" t="str">
        <f>VLOOKUP(OCS92,[13]AssetDetails_UEM!$A$3:$AH$1849,6,FALSE)</f>
        <v>Electrosurgical Units, Monopolar/Bipolar</v>
      </c>
      <c r="OCU92" s="165" t="s">
        <v>945</v>
      </c>
      <c r="OCV92" s="166" t="str">
        <f>VLOOKUP(OCU92,[13]AssetDetails_UEM!$A$3:$AH$1849,6,FALSE)</f>
        <v>Electrosurgical Units, Monopolar/Bipolar</v>
      </c>
      <c r="OCW92" s="165" t="s">
        <v>945</v>
      </c>
      <c r="OCX92" s="166" t="str">
        <f>VLOOKUP(OCW92,[13]AssetDetails_UEM!$A$3:$AH$1849,6,FALSE)</f>
        <v>Electrosurgical Units, Monopolar/Bipolar</v>
      </c>
      <c r="OCY92" s="165" t="s">
        <v>945</v>
      </c>
      <c r="OCZ92" s="166" t="str">
        <f>VLOOKUP(OCY92,[13]AssetDetails_UEM!$A$3:$AH$1849,6,FALSE)</f>
        <v>Electrosurgical Units, Monopolar/Bipolar</v>
      </c>
      <c r="ODA92" s="165" t="s">
        <v>945</v>
      </c>
      <c r="ODB92" s="166" t="str">
        <f>VLOOKUP(ODA92,[13]AssetDetails_UEM!$A$3:$AH$1849,6,FALSE)</f>
        <v>Electrosurgical Units, Monopolar/Bipolar</v>
      </c>
      <c r="ODC92" s="165" t="s">
        <v>945</v>
      </c>
      <c r="ODD92" s="166" t="str">
        <f>VLOOKUP(ODC92,[13]AssetDetails_UEM!$A$3:$AH$1849,6,FALSE)</f>
        <v>Electrosurgical Units, Monopolar/Bipolar</v>
      </c>
      <c r="ODE92" s="165" t="s">
        <v>945</v>
      </c>
      <c r="ODF92" s="166" t="str">
        <f>VLOOKUP(ODE92,[13]AssetDetails_UEM!$A$3:$AH$1849,6,FALSE)</f>
        <v>Electrosurgical Units, Monopolar/Bipolar</v>
      </c>
      <c r="ODG92" s="165" t="s">
        <v>945</v>
      </c>
      <c r="ODH92" s="166" t="str">
        <f>VLOOKUP(ODG92,[13]AssetDetails_UEM!$A$3:$AH$1849,6,FALSE)</f>
        <v>Electrosurgical Units, Monopolar/Bipolar</v>
      </c>
      <c r="ODI92" s="165" t="s">
        <v>945</v>
      </c>
      <c r="ODJ92" s="166" t="str">
        <f>VLOOKUP(ODI92,[13]AssetDetails_UEM!$A$3:$AH$1849,6,FALSE)</f>
        <v>Electrosurgical Units, Monopolar/Bipolar</v>
      </c>
      <c r="ODK92" s="165" t="s">
        <v>945</v>
      </c>
      <c r="ODL92" s="166" t="str">
        <f>VLOOKUP(ODK92,[13]AssetDetails_UEM!$A$3:$AH$1849,6,FALSE)</f>
        <v>Electrosurgical Units, Monopolar/Bipolar</v>
      </c>
      <c r="ODM92" s="165" t="s">
        <v>945</v>
      </c>
      <c r="ODN92" s="166" t="str">
        <f>VLOOKUP(ODM92,[13]AssetDetails_UEM!$A$3:$AH$1849,6,FALSE)</f>
        <v>Electrosurgical Units, Monopolar/Bipolar</v>
      </c>
      <c r="ODO92" s="165" t="s">
        <v>945</v>
      </c>
      <c r="ODP92" s="166" t="str">
        <f>VLOOKUP(ODO92,[13]AssetDetails_UEM!$A$3:$AH$1849,6,FALSE)</f>
        <v>Electrosurgical Units, Monopolar/Bipolar</v>
      </c>
      <c r="ODQ92" s="165" t="s">
        <v>945</v>
      </c>
      <c r="ODR92" s="166" t="str">
        <f>VLOOKUP(ODQ92,[13]AssetDetails_UEM!$A$3:$AH$1849,6,FALSE)</f>
        <v>Electrosurgical Units, Monopolar/Bipolar</v>
      </c>
      <c r="ODS92" s="165" t="s">
        <v>945</v>
      </c>
      <c r="ODT92" s="166" t="str">
        <f>VLOOKUP(ODS92,[13]AssetDetails_UEM!$A$3:$AH$1849,6,FALSE)</f>
        <v>Electrosurgical Units, Monopolar/Bipolar</v>
      </c>
      <c r="ODU92" s="165" t="s">
        <v>945</v>
      </c>
      <c r="ODV92" s="166" t="str">
        <f>VLOOKUP(ODU92,[13]AssetDetails_UEM!$A$3:$AH$1849,6,FALSE)</f>
        <v>Electrosurgical Units, Monopolar/Bipolar</v>
      </c>
      <c r="ODW92" s="165" t="s">
        <v>945</v>
      </c>
      <c r="ODX92" s="166" t="str">
        <f>VLOOKUP(ODW92,[13]AssetDetails_UEM!$A$3:$AH$1849,6,FALSE)</f>
        <v>Electrosurgical Units, Monopolar/Bipolar</v>
      </c>
      <c r="ODY92" s="165" t="s">
        <v>945</v>
      </c>
      <c r="ODZ92" s="166" t="str">
        <f>VLOOKUP(ODY92,[13]AssetDetails_UEM!$A$3:$AH$1849,6,FALSE)</f>
        <v>Electrosurgical Units, Monopolar/Bipolar</v>
      </c>
      <c r="OEA92" s="165" t="s">
        <v>945</v>
      </c>
      <c r="OEB92" s="166" t="str">
        <f>VLOOKUP(OEA92,[13]AssetDetails_UEM!$A$3:$AH$1849,6,FALSE)</f>
        <v>Electrosurgical Units, Monopolar/Bipolar</v>
      </c>
      <c r="OEC92" s="165" t="s">
        <v>945</v>
      </c>
      <c r="OED92" s="166" t="str">
        <f>VLOOKUP(OEC92,[13]AssetDetails_UEM!$A$3:$AH$1849,6,FALSE)</f>
        <v>Electrosurgical Units, Monopolar/Bipolar</v>
      </c>
      <c r="OEE92" s="165" t="s">
        <v>945</v>
      </c>
      <c r="OEF92" s="166" t="str">
        <f>VLOOKUP(OEE92,[13]AssetDetails_UEM!$A$3:$AH$1849,6,FALSE)</f>
        <v>Electrosurgical Units, Monopolar/Bipolar</v>
      </c>
      <c r="OEG92" s="165" t="s">
        <v>945</v>
      </c>
      <c r="OEH92" s="166" t="str">
        <f>VLOOKUP(OEG92,[13]AssetDetails_UEM!$A$3:$AH$1849,6,FALSE)</f>
        <v>Electrosurgical Units, Monopolar/Bipolar</v>
      </c>
      <c r="OEI92" s="165" t="s">
        <v>945</v>
      </c>
      <c r="OEJ92" s="166" t="str">
        <f>VLOOKUP(OEI92,[13]AssetDetails_UEM!$A$3:$AH$1849,6,FALSE)</f>
        <v>Electrosurgical Units, Monopolar/Bipolar</v>
      </c>
      <c r="OEK92" s="165" t="s">
        <v>945</v>
      </c>
      <c r="OEL92" s="166" t="str">
        <f>VLOOKUP(OEK92,[13]AssetDetails_UEM!$A$3:$AH$1849,6,FALSE)</f>
        <v>Electrosurgical Units, Monopolar/Bipolar</v>
      </c>
      <c r="OEM92" s="165" t="s">
        <v>945</v>
      </c>
      <c r="OEN92" s="166" t="str">
        <f>VLOOKUP(OEM92,[13]AssetDetails_UEM!$A$3:$AH$1849,6,FALSE)</f>
        <v>Electrosurgical Units, Monopolar/Bipolar</v>
      </c>
      <c r="OEO92" s="165" t="s">
        <v>945</v>
      </c>
      <c r="OEP92" s="166" t="str">
        <f>VLOOKUP(OEO92,[13]AssetDetails_UEM!$A$3:$AH$1849,6,FALSE)</f>
        <v>Electrosurgical Units, Monopolar/Bipolar</v>
      </c>
      <c r="OEQ92" s="165" t="s">
        <v>945</v>
      </c>
      <c r="OER92" s="166" t="str">
        <f>VLOOKUP(OEQ92,[13]AssetDetails_UEM!$A$3:$AH$1849,6,FALSE)</f>
        <v>Electrosurgical Units, Monopolar/Bipolar</v>
      </c>
      <c r="OES92" s="165" t="s">
        <v>945</v>
      </c>
      <c r="OET92" s="166" t="str">
        <f>VLOOKUP(OES92,[13]AssetDetails_UEM!$A$3:$AH$1849,6,FALSE)</f>
        <v>Electrosurgical Units, Monopolar/Bipolar</v>
      </c>
      <c r="OEU92" s="165" t="s">
        <v>945</v>
      </c>
      <c r="OEV92" s="166" t="str">
        <f>VLOOKUP(OEU92,[13]AssetDetails_UEM!$A$3:$AH$1849,6,FALSE)</f>
        <v>Electrosurgical Units, Monopolar/Bipolar</v>
      </c>
      <c r="OEW92" s="165" t="s">
        <v>945</v>
      </c>
      <c r="OEX92" s="166" t="str">
        <f>VLOOKUP(OEW92,[13]AssetDetails_UEM!$A$3:$AH$1849,6,FALSE)</f>
        <v>Electrosurgical Units, Monopolar/Bipolar</v>
      </c>
      <c r="OEY92" s="165" t="s">
        <v>945</v>
      </c>
      <c r="OEZ92" s="166" t="str">
        <f>VLOOKUP(OEY92,[13]AssetDetails_UEM!$A$3:$AH$1849,6,FALSE)</f>
        <v>Electrosurgical Units, Monopolar/Bipolar</v>
      </c>
      <c r="OFA92" s="165" t="s">
        <v>945</v>
      </c>
      <c r="OFB92" s="166" t="str">
        <f>VLOOKUP(OFA92,[13]AssetDetails_UEM!$A$3:$AH$1849,6,FALSE)</f>
        <v>Electrosurgical Units, Monopolar/Bipolar</v>
      </c>
      <c r="OFC92" s="165" t="s">
        <v>945</v>
      </c>
      <c r="OFD92" s="166" t="str">
        <f>VLOOKUP(OFC92,[13]AssetDetails_UEM!$A$3:$AH$1849,6,FALSE)</f>
        <v>Electrosurgical Units, Monopolar/Bipolar</v>
      </c>
      <c r="OFE92" s="165" t="s">
        <v>945</v>
      </c>
      <c r="OFF92" s="166" t="str">
        <f>VLOOKUP(OFE92,[13]AssetDetails_UEM!$A$3:$AH$1849,6,FALSE)</f>
        <v>Electrosurgical Units, Monopolar/Bipolar</v>
      </c>
      <c r="OFG92" s="165" t="s">
        <v>945</v>
      </c>
      <c r="OFH92" s="166" t="str">
        <f>VLOOKUP(OFG92,[13]AssetDetails_UEM!$A$3:$AH$1849,6,FALSE)</f>
        <v>Electrosurgical Units, Monopolar/Bipolar</v>
      </c>
      <c r="OFI92" s="165" t="s">
        <v>945</v>
      </c>
      <c r="OFJ92" s="166" t="str">
        <f>VLOOKUP(OFI92,[13]AssetDetails_UEM!$A$3:$AH$1849,6,FALSE)</f>
        <v>Electrosurgical Units, Monopolar/Bipolar</v>
      </c>
      <c r="OFK92" s="165" t="s">
        <v>945</v>
      </c>
      <c r="OFL92" s="166" t="str">
        <f>VLOOKUP(OFK92,[13]AssetDetails_UEM!$A$3:$AH$1849,6,FALSE)</f>
        <v>Electrosurgical Units, Monopolar/Bipolar</v>
      </c>
      <c r="OFM92" s="165" t="s">
        <v>945</v>
      </c>
      <c r="OFN92" s="166" t="str">
        <f>VLOOKUP(OFM92,[13]AssetDetails_UEM!$A$3:$AH$1849,6,FALSE)</f>
        <v>Electrosurgical Units, Monopolar/Bipolar</v>
      </c>
      <c r="OFO92" s="165" t="s">
        <v>945</v>
      </c>
      <c r="OFP92" s="166" t="str">
        <f>VLOOKUP(OFO92,[13]AssetDetails_UEM!$A$3:$AH$1849,6,FALSE)</f>
        <v>Electrosurgical Units, Monopolar/Bipolar</v>
      </c>
      <c r="OFQ92" s="165" t="s">
        <v>945</v>
      </c>
      <c r="OFR92" s="166" t="str">
        <f>VLOOKUP(OFQ92,[13]AssetDetails_UEM!$A$3:$AH$1849,6,FALSE)</f>
        <v>Electrosurgical Units, Monopolar/Bipolar</v>
      </c>
      <c r="OFS92" s="165" t="s">
        <v>945</v>
      </c>
      <c r="OFT92" s="166" t="str">
        <f>VLOOKUP(OFS92,[13]AssetDetails_UEM!$A$3:$AH$1849,6,FALSE)</f>
        <v>Electrosurgical Units, Monopolar/Bipolar</v>
      </c>
      <c r="OFU92" s="165" t="s">
        <v>945</v>
      </c>
      <c r="OFV92" s="166" t="str">
        <f>VLOOKUP(OFU92,[13]AssetDetails_UEM!$A$3:$AH$1849,6,FALSE)</f>
        <v>Electrosurgical Units, Monopolar/Bipolar</v>
      </c>
      <c r="OFW92" s="165" t="s">
        <v>945</v>
      </c>
      <c r="OFX92" s="166" t="str">
        <f>VLOOKUP(OFW92,[13]AssetDetails_UEM!$A$3:$AH$1849,6,FALSE)</f>
        <v>Electrosurgical Units, Monopolar/Bipolar</v>
      </c>
      <c r="OFY92" s="165" t="s">
        <v>945</v>
      </c>
      <c r="OFZ92" s="166" t="str">
        <f>VLOOKUP(OFY92,[13]AssetDetails_UEM!$A$3:$AH$1849,6,FALSE)</f>
        <v>Electrosurgical Units, Monopolar/Bipolar</v>
      </c>
      <c r="OGA92" s="165" t="s">
        <v>945</v>
      </c>
      <c r="OGB92" s="166" t="str">
        <f>VLOOKUP(OGA92,[13]AssetDetails_UEM!$A$3:$AH$1849,6,FALSE)</f>
        <v>Electrosurgical Units, Monopolar/Bipolar</v>
      </c>
      <c r="OGC92" s="165" t="s">
        <v>945</v>
      </c>
      <c r="OGD92" s="166" t="str">
        <f>VLOOKUP(OGC92,[13]AssetDetails_UEM!$A$3:$AH$1849,6,FALSE)</f>
        <v>Electrosurgical Units, Monopolar/Bipolar</v>
      </c>
      <c r="OGE92" s="165" t="s">
        <v>945</v>
      </c>
      <c r="OGF92" s="166" t="str">
        <f>VLOOKUP(OGE92,[13]AssetDetails_UEM!$A$3:$AH$1849,6,FALSE)</f>
        <v>Electrosurgical Units, Monopolar/Bipolar</v>
      </c>
      <c r="OGG92" s="165" t="s">
        <v>945</v>
      </c>
      <c r="OGH92" s="166" t="str">
        <f>VLOOKUP(OGG92,[13]AssetDetails_UEM!$A$3:$AH$1849,6,FALSE)</f>
        <v>Electrosurgical Units, Monopolar/Bipolar</v>
      </c>
      <c r="OGI92" s="165" t="s">
        <v>945</v>
      </c>
      <c r="OGJ92" s="166" t="str">
        <f>VLOOKUP(OGI92,[13]AssetDetails_UEM!$A$3:$AH$1849,6,FALSE)</f>
        <v>Electrosurgical Units, Monopolar/Bipolar</v>
      </c>
      <c r="OGK92" s="165" t="s">
        <v>945</v>
      </c>
      <c r="OGL92" s="166" t="str">
        <f>VLOOKUP(OGK92,[13]AssetDetails_UEM!$A$3:$AH$1849,6,FALSE)</f>
        <v>Electrosurgical Units, Monopolar/Bipolar</v>
      </c>
      <c r="OGM92" s="165" t="s">
        <v>945</v>
      </c>
      <c r="OGN92" s="166" t="str">
        <f>VLOOKUP(OGM92,[13]AssetDetails_UEM!$A$3:$AH$1849,6,FALSE)</f>
        <v>Electrosurgical Units, Monopolar/Bipolar</v>
      </c>
      <c r="OGO92" s="165" t="s">
        <v>945</v>
      </c>
      <c r="OGP92" s="166" t="str">
        <f>VLOOKUP(OGO92,[13]AssetDetails_UEM!$A$3:$AH$1849,6,FALSE)</f>
        <v>Electrosurgical Units, Monopolar/Bipolar</v>
      </c>
      <c r="OGQ92" s="165" t="s">
        <v>945</v>
      </c>
      <c r="OGR92" s="166" t="str">
        <f>VLOOKUP(OGQ92,[13]AssetDetails_UEM!$A$3:$AH$1849,6,FALSE)</f>
        <v>Electrosurgical Units, Monopolar/Bipolar</v>
      </c>
      <c r="OGS92" s="165" t="s">
        <v>945</v>
      </c>
      <c r="OGT92" s="166" t="str">
        <f>VLOOKUP(OGS92,[13]AssetDetails_UEM!$A$3:$AH$1849,6,FALSE)</f>
        <v>Electrosurgical Units, Monopolar/Bipolar</v>
      </c>
      <c r="OGU92" s="165" t="s">
        <v>945</v>
      </c>
      <c r="OGV92" s="166" t="str">
        <f>VLOOKUP(OGU92,[13]AssetDetails_UEM!$A$3:$AH$1849,6,FALSE)</f>
        <v>Electrosurgical Units, Monopolar/Bipolar</v>
      </c>
      <c r="OGW92" s="165" t="s">
        <v>945</v>
      </c>
      <c r="OGX92" s="166" t="str">
        <f>VLOOKUP(OGW92,[13]AssetDetails_UEM!$A$3:$AH$1849,6,FALSE)</f>
        <v>Electrosurgical Units, Monopolar/Bipolar</v>
      </c>
      <c r="OGY92" s="165" t="s">
        <v>945</v>
      </c>
      <c r="OGZ92" s="166" t="str">
        <f>VLOOKUP(OGY92,[13]AssetDetails_UEM!$A$3:$AH$1849,6,FALSE)</f>
        <v>Electrosurgical Units, Monopolar/Bipolar</v>
      </c>
      <c r="OHA92" s="165" t="s">
        <v>945</v>
      </c>
      <c r="OHB92" s="166" t="str">
        <f>VLOOKUP(OHA92,[13]AssetDetails_UEM!$A$3:$AH$1849,6,FALSE)</f>
        <v>Electrosurgical Units, Monopolar/Bipolar</v>
      </c>
      <c r="OHC92" s="165" t="s">
        <v>945</v>
      </c>
      <c r="OHD92" s="166" t="str">
        <f>VLOOKUP(OHC92,[13]AssetDetails_UEM!$A$3:$AH$1849,6,FALSE)</f>
        <v>Electrosurgical Units, Monopolar/Bipolar</v>
      </c>
      <c r="OHE92" s="165" t="s">
        <v>945</v>
      </c>
      <c r="OHF92" s="166" t="str">
        <f>VLOOKUP(OHE92,[13]AssetDetails_UEM!$A$3:$AH$1849,6,FALSE)</f>
        <v>Electrosurgical Units, Monopolar/Bipolar</v>
      </c>
      <c r="OHG92" s="165" t="s">
        <v>945</v>
      </c>
      <c r="OHH92" s="166" t="str">
        <f>VLOOKUP(OHG92,[13]AssetDetails_UEM!$A$3:$AH$1849,6,FALSE)</f>
        <v>Electrosurgical Units, Monopolar/Bipolar</v>
      </c>
      <c r="OHI92" s="165" t="s">
        <v>945</v>
      </c>
      <c r="OHJ92" s="166" t="str">
        <f>VLOOKUP(OHI92,[13]AssetDetails_UEM!$A$3:$AH$1849,6,FALSE)</f>
        <v>Electrosurgical Units, Monopolar/Bipolar</v>
      </c>
      <c r="OHK92" s="165" t="s">
        <v>945</v>
      </c>
      <c r="OHL92" s="166" t="str">
        <f>VLOOKUP(OHK92,[13]AssetDetails_UEM!$A$3:$AH$1849,6,FALSE)</f>
        <v>Electrosurgical Units, Monopolar/Bipolar</v>
      </c>
      <c r="OHM92" s="165" t="s">
        <v>945</v>
      </c>
      <c r="OHN92" s="166" t="str">
        <f>VLOOKUP(OHM92,[13]AssetDetails_UEM!$A$3:$AH$1849,6,FALSE)</f>
        <v>Electrosurgical Units, Monopolar/Bipolar</v>
      </c>
      <c r="OHO92" s="165" t="s">
        <v>945</v>
      </c>
      <c r="OHP92" s="166" t="str">
        <f>VLOOKUP(OHO92,[13]AssetDetails_UEM!$A$3:$AH$1849,6,FALSE)</f>
        <v>Electrosurgical Units, Monopolar/Bipolar</v>
      </c>
      <c r="OHQ92" s="165" t="s">
        <v>945</v>
      </c>
      <c r="OHR92" s="166" t="str">
        <f>VLOOKUP(OHQ92,[13]AssetDetails_UEM!$A$3:$AH$1849,6,FALSE)</f>
        <v>Electrosurgical Units, Monopolar/Bipolar</v>
      </c>
      <c r="OHS92" s="165" t="s">
        <v>945</v>
      </c>
      <c r="OHT92" s="166" t="str">
        <f>VLOOKUP(OHS92,[13]AssetDetails_UEM!$A$3:$AH$1849,6,FALSE)</f>
        <v>Electrosurgical Units, Monopolar/Bipolar</v>
      </c>
      <c r="OHU92" s="165" t="s">
        <v>945</v>
      </c>
      <c r="OHV92" s="166" t="str">
        <f>VLOOKUP(OHU92,[13]AssetDetails_UEM!$A$3:$AH$1849,6,FALSE)</f>
        <v>Electrosurgical Units, Monopolar/Bipolar</v>
      </c>
      <c r="OHW92" s="165" t="s">
        <v>945</v>
      </c>
      <c r="OHX92" s="166" t="str">
        <f>VLOOKUP(OHW92,[13]AssetDetails_UEM!$A$3:$AH$1849,6,FALSE)</f>
        <v>Electrosurgical Units, Monopolar/Bipolar</v>
      </c>
      <c r="OHY92" s="165" t="s">
        <v>945</v>
      </c>
      <c r="OHZ92" s="166" t="str">
        <f>VLOOKUP(OHY92,[13]AssetDetails_UEM!$A$3:$AH$1849,6,FALSE)</f>
        <v>Electrosurgical Units, Monopolar/Bipolar</v>
      </c>
      <c r="OIA92" s="165" t="s">
        <v>945</v>
      </c>
      <c r="OIB92" s="166" t="str">
        <f>VLOOKUP(OIA92,[13]AssetDetails_UEM!$A$3:$AH$1849,6,FALSE)</f>
        <v>Electrosurgical Units, Monopolar/Bipolar</v>
      </c>
      <c r="OIC92" s="165" t="s">
        <v>945</v>
      </c>
      <c r="OID92" s="166" t="str">
        <f>VLOOKUP(OIC92,[13]AssetDetails_UEM!$A$3:$AH$1849,6,FALSE)</f>
        <v>Electrosurgical Units, Monopolar/Bipolar</v>
      </c>
      <c r="OIE92" s="165" t="s">
        <v>945</v>
      </c>
      <c r="OIF92" s="166" t="str">
        <f>VLOOKUP(OIE92,[13]AssetDetails_UEM!$A$3:$AH$1849,6,FALSE)</f>
        <v>Electrosurgical Units, Monopolar/Bipolar</v>
      </c>
      <c r="OIG92" s="165" t="s">
        <v>945</v>
      </c>
      <c r="OIH92" s="166" t="str">
        <f>VLOOKUP(OIG92,[13]AssetDetails_UEM!$A$3:$AH$1849,6,FALSE)</f>
        <v>Electrosurgical Units, Monopolar/Bipolar</v>
      </c>
      <c r="OII92" s="165" t="s">
        <v>945</v>
      </c>
      <c r="OIJ92" s="166" t="str">
        <f>VLOOKUP(OII92,[13]AssetDetails_UEM!$A$3:$AH$1849,6,FALSE)</f>
        <v>Electrosurgical Units, Monopolar/Bipolar</v>
      </c>
      <c r="OIK92" s="165" t="s">
        <v>945</v>
      </c>
      <c r="OIL92" s="166" t="str">
        <f>VLOOKUP(OIK92,[13]AssetDetails_UEM!$A$3:$AH$1849,6,FALSE)</f>
        <v>Electrosurgical Units, Monopolar/Bipolar</v>
      </c>
      <c r="OIM92" s="165" t="s">
        <v>945</v>
      </c>
      <c r="OIN92" s="166" t="str">
        <f>VLOOKUP(OIM92,[13]AssetDetails_UEM!$A$3:$AH$1849,6,FALSE)</f>
        <v>Electrosurgical Units, Monopolar/Bipolar</v>
      </c>
      <c r="OIO92" s="165" t="s">
        <v>945</v>
      </c>
      <c r="OIP92" s="166" t="str">
        <f>VLOOKUP(OIO92,[13]AssetDetails_UEM!$A$3:$AH$1849,6,FALSE)</f>
        <v>Electrosurgical Units, Monopolar/Bipolar</v>
      </c>
      <c r="OIQ92" s="165" t="s">
        <v>945</v>
      </c>
      <c r="OIR92" s="166" t="str">
        <f>VLOOKUP(OIQ92,[13]AssetDetails_UEM!$A$3:$AH$1849,6,FALSE)</f>
        <v>Electrosurgical Units, Monopolar/Bipolar</v>
      </c>
      <c r="OIS92" s="165" t="s">
        <v>945</v>
      </c>
      <c r="OIT92" s="166" t="str">
        <f>VLOOKUP(OIS92,[13]AssetDetails_UEM!$A$3:$AH$1849,6,FALSE)</f>
        <v>Electrosurgical Units, Monopolar/Bipolar</v>
      </c>
      <c r="OIU92" s="165" t="s">
        <v>945</v>
      </c>
      <c r="OIV92" s="166" t="str">
        <f>VLOOKUP(OIU92,[13]AssetDetails_UEM!$A$3:$AH$1849,6,FALSE)</f>
        <v>Electrosurgical Units, Monopolar/Bipolar</v>
      </c>
      <c r="OIW92" s="165" t="s">
        <v>945</v>
      </c>
      <c r="OIX92" s="166" t="str">
        <f>VLOOKUP(OIW92,[13]AssetDetails_UEM!$A$3:$AH$1849,6,FALSE)</f>
        <v>Electrosurgical Units, Monopolar/Bipolar</v>
      </c>
      <c r="OIY92" s="165" t="s">
        <v>945</v>
      </c>
      <c r="OIZ92" s="166" t="str">
        <f>VLOOKUP(OIY92,[13]AssetDetails_UEM!$A$3:$AH$1849,6,FALSE)</f>
        <v>Electrosurgical Units, Monopolar/Bipolar</v>
      </c>
      <c r="OJA92" s="165" t="s">
        <v>945</v>
      </c>
      <c r="OJB92" s="166" t="str">
        <f>VLOOKUP(OJA92,[13]AssetDetails_UEM!$A$3:$AH$1849,6,FALSE)</f>
        <v>Electrosurgical Units, Monopolar/Bipolar</v>
      </c>
      <c r="OJC92" s="165" t="s">
        <v>945</v>
      </c>
      <c r="OJD92" s="166" t="str">
        <f>VLOOKUP(OJC92,[13]AssetDetails_UEM!$A$3:$AH$1849,6,FALSE)</f>
        <v>Electrosurgical Units, Monopolar/Bipolar</v>
      </c>
      <c r="OJE92" s="165" t="s">
        <v>945</v>
      </c>
      <c r="OJF92" s="166" t="str">
        <f>VLOOKUP(OJE92,[13]AssetDetails_UEM!$A$3:$AH$1849,6,FALSE)</f>
        <v>Electrosurgical Units, Monopolar/Bipolar</v>
      </c>
      <c r="OJG92" s="165" t="s">
        <v>945</v>
      </c>
      <c r="OJH92" s="166" t="str">
        <f>VLOOKUP(OJG92,[13]AssetDetails_UEM!$A$3:$AH$1849,6,FALSE)</f>
        <v>Electrosurgical Units, Monopolar/Bipolar</v>
      </c>
      <c r="OJI92" s="165" t="s">
        <v>945</v>
      </c>
      <c r="OJJ92" s="166" t="str">
        <f>VLOOKUP(OJI92,[13]AssetDetails_UEM!$A$3:$AH$1849,6,FALSE)</f>
        <v>Electrosurgical Units, Monopolar/Bipolar</v>
      </c>
      <c r="OJK92" s="165" t="s">
        <v>945</v>
      </c>
      <c r="OJL92" s="166" t="str">
        <f>VLOOKUP(OJK92,[13]AssetDetails_UEM!$A$3:$AH$1849,6,FALSE)</f>
        <v>Electrosurgical Units, Monopolar/Bipolar</v>
      </c>
      <c r="OJM92" s="165" t="s">
        <v>945</v>
      </c>
      <c r="OJN92" s="166" t="str">
        <f>VLOOKUP(OJM92,[13]AssetDetails_UEM!$A$3:$AH$1849,6,FALSE)</f>
        <v>Electrosurgical Units, Monopolar/Bipolar</v>
      </c>
      <c r="OJO92" s="165" t="s">
        <v>945</v>
      </c>
      <c r="OJP92" s="166" t="str">
        <f>VLOOKUP(OJO92,[13]AssetDetails_UEM!$A$3:$AH$1849,6,FALSE)</f>
        <v>Electrosurgical Units, Monopolar/Bipolar</v>
      </c>
      <c r="OJQ92" s="165" t="s">
        <v>945</v>
      </c>
      <c r="OJR92" s="166" t="str">
        <f>VLOOKUP(OJQ92,[13]AssetDetails_UEM!$A$3:$AH$1849,6,FALSE)</f>
        <v>Electrosurgical Units, Monopolar/Bipolar</v>
      </c>
      <c r="OJS92" s="165" t="s">
        <v>945</v>
      </c>
      <c r="OJT92" s="166" t="str">
        <f>VLOOKUP(OJS92,[13]AssetDetails_UEM!$A$3:$AH$1849,6,FALSE)</f>
        <v>Electrosurgical Units, Monopolar/Bipolar</v>
      </c>
      <c r="OJU92" s="165" t="s">
        <v>945</v>
      </c>
      <c r="OJV92" s="166" t="str">
        <f>VLOOKUP(OJU92,[13]AssetDetails_UEM!$A$3:$AH$1849,6,FALSE)</f>
        <v>Electrosurgical Units, Monopolar/Bipolar</v>
      </c>
      <c r="OJW92" s="165" t="s">
        <v>945</v>
      </c>
      <c r="OJX92" s="166" t="str">
        <f>VLOOKUP(OJW92,[13]AssetDetails_UEM!$A$3:$AH$1849,6,FALSE)</f>
        <v>Electrosurgical Units, Monopolar/Bipolar</v>
      </c>
      <c r="OJY92" s="165" t="s">
        <v>945</v>
      </c>
      <c r="OJZ92" s="166" t="str">
        <f>VLOOKUP(OJY92,[13]AssetDetails_UEM!$A$3:$AH$1849,6,FALSE)</f>
        <v>Electrosurgical Units, Monopolar/Bipolar</v>
      </c>
      <c r="OKA92" s="165" t="s">
        <v>945</v>
      </c>
      <c r="OKB92" s="166" t="str">
        <f>VLOOKUP(OKA92,[13]AssetDetails_UEM!$A$3:$AH$1849,6,FALSE)</f>
        <v>Electrosurgical Units, Monopolar/Bipolar</v>
      </c>
      <c r="OKC92" s="165" t="s">
        <v>945</v>
      </c>
      <c r="OKD92" s="166" t="str">
        <f>VLOOKUP(OKC92,[13]AssetDetails_UEM!$A$3:$AH$1849,6,FALSE)</f>
        <v>Electrosurgical Units, Monopolar/Bipolar</v>
      </c>
      <c r="OKE92" s="165" t="s">
        <v>945</v>
      </c>
      <c r="OKF92" s="166" t="str">
        <f>VLOOKUP(OKE92,[13]AssetDetails_UEM!$A$3:$AH$1849,6,FALSE)</f>
        <v>Electrosurgical Units, Monopolar/Bipolar</v>
      </c>
      <c r="OKG92" s="165" t="s">
        <v>945</v>
      </c>
      <c r="OKH92" s="166" t="str">
        <f>VLOOKUP(OKG92,[13]AssetDetails_UEM!$A$3:$AH$1849,6,FALSE)</f>
        <v>Electrosurgical Units, Monopolar/Bipolar</v>
      </c>
      <c r="OKI92" s="165" t="s">
        <v>945</v>
      </c>
      <c r="OKJ92" s="166" t="str">
        <f>VLOOKUP(OKI92,[13]AssetDetails_UEM!$A$3:$AH$1849,6,FALSE)</f>
        <v>Electrosurgical Units, Monopolar/Bipolar</v>
      </c>
      <c r="OKK92" s="165" t="s">
        <v>945</v>
      </c>
      <c r="OKL92" s="166" t="str">
        <f>VLOOKUP(OKK92,[13]AssetDetails_UEM!$A$3:$AH$1849,6,FALSE)</f>
        <v>Electrosurgical Units, Monopolar/Bipolar</v>
      </c>
      <c r="OKM92" s="165" t="s">
        <v>945</v>
      </c>
      <c r="OKN92" s="166" t="str">
        <f>VLOOKUP(OKM92,[13]AssetDetails_UEM!$A$3:$AH$1849,6,FALSE)</f>
        <v>Electrosurgical Units, Monopolar/Bipolar</v>
      </c>
      <c r="OKO92" s="165" t="s">
        <v>945</v>
      </c>
      <c r="OKP92" s="166" t="str">
        <f>VLOOKUP(OKO92,[13]AssetDetails_UEM!$A$3:$AH$1849,6,FALSE)</f>
        <v>Electrosurgical Units, Monopolar/Bipolar</v>
      </c>
      <c r="OKQ92" s="165" t="s">
        <v>945</v>
      </c>
      <c r="OKR92" s="166" t="str">
        <f>VLOOKUP(OKQ92,[13]AssetDetails_UEM!$A$3:$AH$1849,6,FALSE)</f>
        <v>Electrosurgical Units, Monopolar/Bipolar</v>
      </c>
      <c r="OKS92" s="165" t="s">
        <v>945</v>
      </c>
      <c r="OKT92" s="166" t="str">
        <f>VLOOKUP(OKS92,[13]AssetDetails_UEM!$A$3:$AH$1849,6,FALSE)</f>
        <v>Electrosurgical Units, Monopolar/Bipolar</v>
      </c>
      <c r="OKU92" s="165" t="s">
        <v>945</v>
      </c>
      <c r="OKV92" s="166" t="str">
        <f>VLOOKUP(OKU92,[13]AssetDetails_UEM!$A$3:$AH$1849,6,FALSE)</f>
        <v>Electrosurgical Units, Monopolar/Bipolar</v>
      </c>
      <c r="OKW92" s="165" t="s">
        <v>945</v>
      </c>
      <c r="OKX92" s="166" t="str">
        <f>VLOOKUP(OKW92,[13]AssetDetails_UEM!$A$3:$AH$1849,6,FALSE)</f>
        <v>Electrosurgical Units, Monopolar/Bipolar</v>
      </c>
      <c r="OKY92" s="165" t="s">
        <v>945</v>
      </c>
      <c r="OKZ92" s="166" t="str">
        <f>VLOOKUP(OKY92,[13]AssetDetails_UEM!$A$3:$AH$1849,6,FALSE)</f>
        <v>Electrosurgical Units, Monopolar/Bipolar</v>
      </c>
      <c r="OLA92" s="165" t="s">
        <v>945</v>
      </c>
      <c r="OLB92" s="166" t="str">
        <f>VLOOKUP(OLA92,[13]AssetDetails_UEM!$A$3:$AH$1849,6,FALSE)</f>
        <v>Electrosurgical Units, Monopolar/Bipolar</v>
      </c>
      <c r="OLC92" s="165" t="s">
        <v>945</v>
      </c>
      <c r="OLD92" s="166" t="str">
        <f>VLOOKUP(OLC92,[13]AssetDetails_UEM!$A$3:$AH$1849,6,FALSE)</f>
        <v>Electrosurgical Units, Monopolar/Bipolar</v>
      </c>
      <c r="OLE92" s="165" t="s">
        <v>945</v>
      </c>
      <c r="OLF92" s="166" t="str">
        <f>VLOOKUP(OLE92,[13]AssetDetails_UEM!$A$3:$AH$1849,6,FALSE)</f>
        <v>Electrosurgical Units, Monopolar/Bipolar</v>
      </c>
      <c r="OLG92" s="165" t="s">
        <v>945</v>
      </c>
      <c r="OLH92" s="166" t="str">
        <f>VLOOKUP(OLG92,[13]AssetDetails_UEM!$A$3:$AH$1849,6,FALSE)</f>
        <v>Electrosurgical Units, Monopolar/Bipolar</v>
      </c>
      <c r="OLI92" s="165" t="s">
        <v>945</v>
      </c>
      <c r="OLJ92" s="166" t="str">
        <f>VLOOKUP(OLI92,[13]AssetDetails_UEM!$A$3:$AH$1849,6,FALSE)</f>
        <v>Electrosurgical Units, Monopolar/Bipolar</v>
      </c>
      <c r="OLK92" s="165" t="s">
        <v>945</v>
      </c>
      <c r="OLL92" s="166" t="str">
        <f>VLOOKUP(OLK92,[13]AssetDetails_UEM!$A$3:$AH$1849,6,FALSE)</f>
        <v>Electrosurgical Units, Monopolar/Bipolar</v>
      </c>
      <c r="OLM92" s="165" t="s">
        <v>945</v>
      </c>
      <c r="OLN92" s="166" t="str">
        <f>VLOOKUP(OLM92,[13]AssetDetails_UEM!$A$3:$AH$1849,6,FALSE)</f>
        <v>Electrosurgical Units, Monopolar/Bipolar</v>
      </c>
      <c r="OLO92" s="165" t="s">
        <v>945</v>
      </c>
      <c r="OLP92" s="166" t="str">
        <f>VLOOKUP(OLO92,[13]AssetDetails_UEM!$A$3:$AH$1849,6,FALSE)</f>
        <v>Electrosurgical Units, Monopolar/Bipolar</v>
      </c>
      <c r="OLQ92" s="165" t="s">
        <v>945</v>
      </c>
      <c r="OLR92" s="166" t="str">
        <f>VLOOKUP(OLQ92,[13]AssetDetails_UEM!$A$3:$AH$1849,6,FALSE)</f>
        <v>Electrosurgical Units, Monopolar/Bipolar</v>
      </c>
      <c r="OLS92" s="165" t="s">
        <v>945</v>
      </c>
      <c r="OLT92" s="166" t="str">
        <f>VLOOKUP(OLS92,[13]AssetDetails_UEM!$A$3:$AH$1849,6,FALSE)</f>
        <v>Electrosurgical Units, Monopolar/Bipolar</v>
      </c>
      <c r="OLU92" s="165" t="s">
        <v>945</v>
      </c>
      <c r="OLV92" s="166" t="str">
        <f>VLOOKUP(OLU92,[13]AssetDetails_UEM!$A$3:$AH$1849,6,FALSE)</f>
        <v>Electrosurgical Units, Monopolar/Bipolar</v>
      </c>
      <c r="OLW92" s="165" t="s">
        <v>945</v>
      </c>
      <c r="OLX92" s="166" t="str">
        <f>VLOOKUP(OLW92,[13]AssetDetails_UEM!$A$3:$AH$1849,6,FALSE)</f>
        <v>Electrosurgical Units, Monopolar/Bipolar</v>
      </c>
      <c r="OLY92" s="165" t="s">
        <v>945</v>
      </c>
      <c r="OLZ92" s="166" t="str">
        <f>VLOOKUP(OLY92,[13]AssetDetails_UEM!$A$3:$AH$1849,6,FALSE)</f>
        <v>Electrosurgical Units, Monopolar/Bipolar</v>
      </c>
      <c r="OMA92" s="165" t="s">
        <v>945</v>
      </c>
      <c r="OMB92" s="166" t="str">
        <f>VLOOKUP(OMA92,[13]AssetDetails_UEM!$A$3:$AH$1849,6,FALSE)</f>
        <v>Electrosurgical Units, Monopolar/Bipolar</v>
      </c>
      <c r="OMC92" s="165" t="s">
        <v>945</v>
      </c>
      <c r="OMD92" s="166" t="str">
        <f>VLOOKUP(OMC92,[13]AssetDetails_UEM!$A$3:$AH$1849,6,FALSE)</f>
        <v>Electrosurgical Units, Monopolar/Bipolar</v>
      </c>
      <c r="OME92" s="165" t="s">
        <v>945</v>
      </c>
      <c r="OMF92" s="166" t="str">
        <f>VLOOKUP(OME92,[13]AssetDetails_UEM!$A$3:$AH$1849,6,FALSE)</f>
        <v>Electrosurgical Units, Monopolar/Bipolar</v>
      </c>
      <c r="OMG92" s="165" t="s">
        <v>945</v>
      </c>
      <c r="OMH92" s="166" t="str">
        <f>VLOOKUP(OMG92,[13]AssetDetails_UEM!$A$3:$AH$1849,6,FALSE)</f>
        <v>Electrosurgical Units, Monopolar/Bipolar</v>
      </c>
      <c r="OMI92" s="165" t="s">
        <v>945</v>
      </c>
      <c r="OMJ92" s="166" t="str">
        <f>VLOOKUP(OMI92,[13]AssetDetails_UEM!$A$3:$AH$1849,6,FALSE)</f>
        <v>Electrosurgical Units, Monopolar/Bipolar</v>
      </c>
      <c r="OMK92" s="165" t="s">
        <v>945</v>
      </c>
      <c r="OML92" s="166" t="str">
        <f>VLOOKUP(OMK92,[13]AssetDetails_UEM!$A$3:$AH$1849,6,FALSE)</f>
        <v>Electrosurgical Units, Monopolar/Bipolar</v>
      </c>
      <c r="OMM92" s="165" t="s">
        <v>945</v>
      </c>
      <c r="OMN92" s="166" t="str">
        <f>VLOOKUP(OMM92,[13]AssetDetails_UEM!$A$3:$AH$1849,6,FALSE)</f>
        <v>Electrosurgical Units, Monopolar/Bipolar</v>
      </c>
      <c r="OMO92" s="165" t="s">
        <v>945</v>
      </c>
      <c r="OMP92" s="166" t="str">
        <f>VLOOKUP(OMO92,[13]AssetDetails_UEM!$A$3:$AH$1849,6,FALSE)</f>
        <v>Electrosurgical Units, Monopolar/Bipolar</v>
      </c>
      <c r="OMQ92" s="165" t="s">
        <v>945</v>
      </c>
      <c r="OMR92" s="166" t="str">
        <f>VLOOKUP(OMQ92,[13]AssetDetails_UEM!$A$3:$AH$1849,6,FALSE)</f>
        <v>Electrosurgical Units, Monopolar/Bipolar</v>
      </c>
      <c r="OMS92" s="165" t="s">
        <v>945</v>
      </c>
      <c r="OMT92" s="166" t="str">
        <f>VLOOKUP(OMS92,[13]AssetDetails_UEM!$A$3:$AH$1849,6,FALSE)</f>
        <v>Electrosurgical Units, Monopolar/Bipolar</v>
      </c>
      <c r="OMU92" s="165" t="s">
        <v>945</v>
      </c>
      <c r="OMV92" s="166" t="str">
        <f>VLOOKUP(OMU92,[13]AssetDetails_UEM!$A$3:$AH$1849,6,FALSE)</f>
        <v>Electrosurgical Units, Monopolar/Bipolar</v>
      </c>
      <c r="OMW92" s="165" t="s">
        <v>945</v>
      </c>
      <c r="OMX92" s="166" t="str">
        <f>VLOOKUP(OMW92,[13]AssetDetails_UEM!$A$3:$AH$1849,6,FALSE)</f>
        <v>Electrosurgical Units, Monopolar/Bipolar</v>
      </c>
      <c r="OMY92" s="165" t="s">
        <v>945</v>
      </c>
      <c r="OMZ92" s="166" t="str">
        <f>VLOOKUP(OMY92,[13]AssetDetails_UEM!$A$3:$AH$1849,6,FALSE)</f>
        <v>Electrosurgical Units, Monopolar/Bipolar</v>
      </c>
      <c r="ONA92" s="165" t="s">
        <v>945</v>
      </c>
      <c r="ONB92" s="166" t="str">
        <f>VLOOKUP(ONA92,[13]AssetDetails_UEM!$A$3:$AH$1849,6,FALSE)</f>
        <v>Electrosurgical Units, Monopolar/Bipolar</v>
      </c>
      <c r="ONC92" s="165" t="s">
        <v>945</v>
      </c>
      <c r="OND92" s="166" t="str">
        <f>VLOOKUP(ONC92,[13]AssetDetails_UEM!$A$3:$AH$1849,6,FALSE)</f>
        <v>Electrosurgical Units, Monopolar/Bipolar</v>
      </c>
      <c r="ONE92" s="165" t="s">
        <v>945</v>
      </c>
      <c r="ONF92" s="166" t="str">
        <f>VLOOKUP(ONE92,[13]AssetDetails_UEM!$A$3:$AH$1849,6,FALSE)</f>
        <v>Electrosurgical Units, Monopolar/Bipolar</v>
      </c>
      <c r="ONG92" s="165" t="s">
        <v>945</v>
      </c>
      <c r="ONH92" s="166" t="str">
        <f>VLOOKUP(ONG92,[13]AssetDetails_UEM!$A$3:$AH$1849,6,FALSE)</f>
        <v>Electrosurgical Units, Monopolar/Bipolar</v>
      </c>
      <c r="ONI92" s="165" t="s">
        <v>945</v>
      </c>
      <c r="ONJ92" s="166" t="str">
        <f>VLOOKUP(ONI92,[13]AssetDetails_UEM!$A$3:$AH$1849,6,FALSE)</f>
        <v>Electrosurgical Units, Monopolar/Bipolar</v>
      </c>
      <c r="ONK92" s="165" t="s">
        <v>945</v>
      </c>
      <c r="ONL92" s="166" t="str">
        <f>VLOOKUP(ONK92,[13]AssetDetails_UEM!$A$3:$AH$1849,6,FALSE)</f>
        <v>Electrosurgical Units, Monopolar/Bipolar</v>
      </c>
      <c r="ONM92" s="165" t="s">
        <v>945</v>
      </c>
      <c r="ONN92" s="166" t="str">
        <f>VLOOKUP(ONM92,[13]AssetDetails_UEM!$A$3:$AH$1849,6,FALSE)</f>
        <v>Electrosurgical Units, Monopolar/Bipolar</v>
      </c>
      <c r="ONO92" s="165" t="s">
        <v>945</v>
      </c>
      <c r="ONP92" s="166" t="str">
        <f>VLOOKUP(ONO92,[13]AssetDetails_UEM!$A$3:$AH$1849,6,FALSE)</f>
        <v>Electrosurgical Units, Monopolar/Bipolar</v>
      </c>
      <c r="ONQ92" s="165" t="s">
        <v>945</v>
      </c>
      <c r="ONR92" s="166" t="str">
        <f>VLOOKUP(ONQ92,[13]AssetDetails_UEM!$A$3:$AH$1849,6,FALSE)</f>
        <v>Electrosurgical Units, Monopolar/Bipolar</v>
      </c>
      <c r="ONS92" s="165" t="s">
        <v>945</v>
      </c>
      <c r="ONT92" s="166" t="str">
        <f>VLOOKUP(ONS92,[13]AssetDetails_UEM!$A$3:$AH$1849,6,FALSE)</f>
        <v>Electrosurgical Units, Monopolar/Bipolar</v>
      </c>
      <c r="ONU92" s="165" t="s">
        <v>945</v>
      </c>
      <c r="ONV92" s="166" t="str">
        <f>VLOOKUP(ONU92,[13]AssetDetails_UEM!$A$3:$AH$1849,6,FALSE)</f>
        <v>Electrosurgical Units, Monopolar/Bipolar</v>
      </c>
      <c r="ONW92" s="165" t="s">
        <v>945</v>
      </c>
      <c r="ONX92" s="166" t="str">
        <f>VLOOKUP(ONW92,[13]AssetDetails_UEM!$A$3:$AH$1849,6,FALSE)</f>
        <v>Electrosurgical Units, Monopolar/Bipolar</v>
      </c>
      <c r="ONY92" s="165" t="s">
        <v>945</v>
      </c>
      <c r="ONZ92" s="166" t="str">
        <f>VLOOKUP(ONY92,[13]AssetDetails_UEM!$A$3:$AH$1849,6,FALSE)</f>
        <v>Electrosurgical Units, Monopolar/Bipolar</v>
      </c>
      <c r="OOA92" s="165" t="s">
        <v>945</v>
      </c>
      <c r="OOB92" s="166" t="str">
        <f>VLOOKUP(OOA92,[13]AssetDetails_UEM!$A$3:$AH$1849,6,FALSE)</f>
        <v>Electrosurgical Units, Monopolar/Bipolar</v>
      </c>
      <c r="OOC92" s="165" t="s">
        <v>945</v>
      </c>
      <c r="OOD92" s="166" t="str">
        <f>VLOOKUP(OOC92,[13]AssetDetails_UEM!$A$3:$AH$1849,6,FALSE)</f>
        <v>Electrosurgical Units, Monopolar/Bipolar</v>
      </c>
      <c r="OOE92" s="165" t="s">
        <v>945</v>
      </c>
      <c r="OOF92" s="166" t="str">
        <f>VLOOKUP(OOE92,[13]AssetDetails_UEM!$A$3:$AH$1849,6,FALSE)</f>
        <v>Electrosurgical Units, Monopolar/Bipolar</v>
      </c>
      <c r="OOG92" s="165" t="s">
        <v>945</v>
      </c>
      <c r="OOH92" s="166" t="str">
        <f>VLOOKUP(OOG92,[13]AssetDetails_UEM!$A$3:$AH$1849,6,FALSE)</f>
        <v>Electrosurgical Units, Monopolar/Bipolar</v>
      </c>
      <c r="OOI92" s="165" t="s">
        <v>945</v>
      </c>
      <c r="OOJ92" s="166" t="str">
        <f>VLOOKUP(OOI92,[13]AssetDetails_UEM!$A$3:$AH$1849,6,FALSE)</f>
        <v>Electrosurgical Units, Monopolar/Bipolar</v>
      </c>
      <c r="OOK92" s="165" t="s">
        <v>945</v>
      </c>
      <c r="OOL92" s="166" t="str">
        <f>VLOOKUP(OOK92,[13]AssetDetails_UEM!$A$3:$AH$1849,6,FALSE)</f>
        <v>Electrosurgical Units, Monopolar/Bipolar</v>
      </c>
      <c r="OOM92" s="165" t="s">
        <v>945</v>
      </c>
      <c r="OON92" s="166" t="str">
        <f>VLOOKUP(OOM92,[13]AssetDetails_UEM!$A$3:$AH$1849,6,FALSE)</f>
        <v>Electrosurgical Units, Monopolar/Bipolar</v>
      </c>
      <c r="OOO92" s="165" t="s">
        <v>945</v>
      </c>
      <c r="OOP92" s="166" t="str">
        <f>VLOOKUP(OOO92,[13]AssetDetails_UEM!$A$3:$AH$1849,6,FALSE)</f>
        <v>Electrosurgical Units, Monopolar/Bipolar</v>
      </c>
      <c r="OOQ92" s="165" t="s">
        <v>945</v>
      </c>
      <c r="OOR92" s="166" t="str">
        <f>VLOOKUP(OOQ92,[13]AssetDetails_UEM!$A$3:$AH$1849,6,FALSE)</f>
        <v>Electrosurgical Units, Monopolar/Bipolar</v>
      </c>
      <c r="OOS92" s="165" t="s">
        <v>945</v>
      </c>
      <c r="OOT92" s="166" t="str">
        <f>VLOOKUP(OOS92,[13]AssetDetails_UEM!$A$3:$AH$1849,6,FALSE)</f>
        <v>Electrosurgical Units, Monopolar/Bipolar</v>
      </c>
      <c r="OOU92" s="165" t="s">
        <v>945</v>
      </c>
      <c r="OOV92" s="166" t="str">
        <f>VLOOKUP(OOU92,[13]AssetDetails_UEM!$A$3:$AH$1849,6,FALSE)</f>
        <v>Electrosurgical Units, Monopolar/Bipolar</v>
      </c>
      <c r="OOW92" s="165" t="s">
        <v>945</v>
      </c>
      <c r="OOX92" s="166" t="str">
        <f>VLOOKUP(OOW92,[13]AssetDetails_UEM!$A$3:$AH$1849,6,FALSE)</f>
        <v>Electrosurgical Units, Monopolar/Bipolar</v>
      </c>
      <c r="OOY92" s="165" t="s">
        <v>945</v>
      </c>
      <c r="OOZ92" s="166" t="str">
        <f>VLOOKUP(OOY92,[13]AssetDetails_UEM!$A$3:$AH$1849,6,FALSE)</f>
        <v>Electrosurgical Units, Monopolar/Bipolar</v>
      </c>
      <c r="OPA92" s="165" t="s">
        <v>945</v>
      </c>
      <c r="OPB92" s="166" t="str">
        <f>VLOOKUP(OPA92,[13]AssetDetails_UEM!$A$3:$AH$1849,6,FALSE)</f>
        <v>Electrosurgical Units, Monopolar/Bipolar</v>
      </c>
      <c r="OPC92" s="165" t="s">
        <v>945</v>
      </c>
      <c r="OPD92" s="166" t="str">
        <f>VLOOKUP(OPC92,[13]AssetDetails_UEM!$A$3:$AH$1849,6,FALSE)</f>
        <v>Electrosurgical Units, Monopolar/Bipolar</v>
      </c>
      <c r="OPE92" s="165" t="s">
        <v>945</v>
      </c>
      <c r="OPF92" s="166" t="str">
        <f>VLOOKUP(OPE92,[13]AssetDetails_UEM!$A$3:$AH$1849,6,FALSE)</f>
        <v>Electrosurgical Units, Monopolar/Bipolar</v>
      </c>
      <c r="OPG92" s="165" t="s">
        <v>945</v>
      </c>
      <c r="OPH92" s="166" t="str">
        <f>VLOOKUP(OPG92,[13]AssetDetails_UEM!$A$3:$AH$1849,6,FALSE)</f>
        <v>Electrosurgical Units, Monopolar/Bipolar</v>
      </c>
      <c r="OPI92" s="165" t="s">
        <v>945</v>
      </c>
      <c r="OPJ92" s="166" t="str">
        <f>VLOOKUP(OPI92,[13]AssetDetails_UEM!$A$3:$AH$1849,6,FALSE)</f>
        <v>Electrosurgical Units, Monopolar/Bipolar</v>
      </c>
      <c r="OPK92" s="165" t="s">
        <v>945</v>
      </c>
      <c r="OPL92" s="166" t="str">
        <f>VLOOKUP(OPK92,[13]AssetDetails_UEM!$A$3:$AH$1849,6,FALSE)</f>
        <v>Electrosurgical Units, Monopolar/Bipolar</v>
      </c>
      <c r="OPM92" s="165" t="s">
        <v>945</v>
      </c>
      <c r="OPN92" s="166" t="str">
        <f>VLOOKUP(OPM92,[13]AssetDetails_UEM!$A$3:$AH$1849,6,FALSE)</f>
        <v>Electrosurgical Units, Monopolar/Bipolar</v>
      </c>
      <c r="OPO92" s="165" t="s">
        <v>945</v>
      </c>
      <c r="OPP92" s="166" t="str">
        <f>VLOOKUP(OPO92,[13]AssetDetails_UEM!$A$3:$AH$1849,6,FALSE)</f>
        <v>Electrosurgical Units, Monopolar/Bipolar</v>
      </c>
      <c r="OPQ92" s="165" t="s">
        <v>945</v>
      </c>
      <c r="OPR92" s="166" t="str">
        <f>VLOOKUP(OPQ92,[13]AssetDetails_UEM!$A$3:$AH$1849,6,FALSE)</f>
        <v>Electrosurgical Units, Monopolar/Bipolar</v>
      </c>
      <c r="OPS92" s="165" t="s">
        <v>945</v>
      </c>
      <c r="OPT92" s="166" t="str">
        <f>VLOOKUP(OPS92,[13]AssetDetails_UEM!$A$3:$AH$1849,6,FALSE)</f>
        <v>Electrosurgical Units, Monopolar/Bipolar</v>
      </c>
      <c r="OPU92" s="165" t="s">
        <v>945</v>
      </c>
      <c r="OPV92" s="166" t="str">
        <f>VLOOKUP(OPU92,[13]AssetDetails_UEM!$A$3:$AH$1849,6,FALSE)</f>
        <v>Electrosurgical Units, Monopolar/Bipolar</v>
      </c>
      <c r="OPW92" s="165" t="s">
        <v>945</v>
      </c>
      <c r="OPX92" s="166" t="str">
        <f>VLOOKUP(OPW92,[13]AssetDetails_UEM!$A$3:$AH$1849,6,FALSE)</f>
        <v>Electrosurgical Units, Monopolar/Bipolar</v>
      </c>
      <c r="OPY92" s="165" t="s">
        <v>945</v>
      </c>
      <c r="OPZ92" s="166" t="str">
        <f>VLOOKUP(OPY92,[13]AssetDetails_UEM!$A$3:$AH$1849,6,FALSE)</f>
        <v>Electrosurgical Units, Monopolar/Bipolar</v>
      </c>
      <c r="OQA92" s="165" t="s">
        <v>945</v>
      </c>
      <c r="OQB92" s="166" t="str">
        <f>VLOOKUP(OQA92,[13]AssetDetails_UEM!$A$3:$AH$1849,6,FALSE)</f>
        <v>Electrosurgical Units, Monopolar/Bipolar</v>
      </c>
      <c r="OQC92" s="165" t="s">
        <v>945</v>
      </c>
      <c r="OQD92" s="166" t="str">
        <f>VLOOKUP(OQC92,[13]AssetDetails_UEM!$A$3:$AH$1849,6,FALSE)</f>
        <v>Electrosurgical Units, Monopolar/Bipolar</v>
      </c>
      <c r="OQE92" s="165" t="s">
        <v>945</v>
      </c>
      <c r="OQF92" s="166" t="str">
        <f>VLOOKUP(OQE92,[13]AssetDetails_UEM!$A$3:$AH$1849,6,FALSE)</f>
        <v>Electrosurgical Units, Monopolar/Bipolar</v>
      </c>
      <c r="OQG92" s="165" t="s">
        <v>945</v>
      </c>
      <c r="OQH92" s="166" t="str">
        <f>VLOOKUP(OQG92,[13]AssetDetails_UEM!$A$3:$AH$1849,6,FALSE)</f>
        <v>Electrosurgical Units, Monopolar/Bipolar</v>
      </c>
      <c r="OQI92" s="165" t="s">
        <v>945</v>
      </c>
      <c r="OQJ92" s="166" t="str">
        <f>VLOOKUP(OQI92,[13]AssetDetails_UEM!$A$3:$AH$1849,6,FALSE)</f>
        <v>Electrosurgical Units, Monopolar/Bipolar</v>
      </c>
      <c r="OQK92" s="165" t="s">
        <v>945</v>
      </c>
      <c r="OQL92" s="166" t="str">
        <f>VLOOKUP(OQK92,[13]AssetDetails_UEM!$A$3:$AH$1849,6,FALSE)</f>
        <v>Electrosurgical Units, Monopolar/Bipolar</v>
      </c>
      <c r="OQM92" s="165" t="s">
        <v>945</v>
      </c>
      <c r="OQN92" s="166" t="str">
        <f>VLOOKUP(OQM92,[13]AssetDetails_UEM!$A$3:$AH$1849,6,FALSE)</f>
        <v>Electrosurgical Units, Monopolar/Bipolar</v>
      </c>
      <c r="OQO92" s="165" t="s">
        <v>945</v>
      </c>
      <c r="OQP92" s="166" t="str">
        <f>VLOOKUP(OQO92,[13]AssetDetails_UEM!$A$3:$AH$1849,6,FALSE)</f>
        <v>Electrosurgical Units, Monopolar/Bipolar</v>
      </c>
      <c r="OQQ92" s="165" t="s">
        <v>945</v>
      </c>
      <c r="OQR92" s="166" t="str">
        <f>VLOOKUP(OQQ92,[13]AssetDetails_UEM!$A$3:$AH$1849,6,FALSE)</f>
        <v>Electrosurgical Units, Monopolar/Bipolar</v>
      </c>
      <c r="OQS92" s="165" t="s">
        <v>945</v>
      </c>
      <c r="OQT92" s="166" t="str">
        <f>VLOOKUP(OQS92,[13]AssetDetails_UEM!$A$3:$AH$1849,6,FALSE)</f>
        <v>Electrosurgical Units, Monopolar/Bipolar</v>
      </c>
      <c r="OQU92" s="165" t="s">
        <v>945</v>
      </c>
      <c r="OQV92" s="166" t="str">
        <f>VLOOKUP(OQU92,[13]AssetDetails_UEM!$A$3:$AH$1849,6,FALSE)</f>
        <v>Electrosurgical Units, Monopolar/Bipolar</v>
      </c>
      <c r="OQW92" s="165" t="s">
        <v>945</v>
      </c>
      <c r="OQX92" s="166" t="str">
        <f>VLOOKUP(OQW92,[13]AssetDetails_UEM!$A$3:$AH$1849,6,FALSE)</f>
        <v>Electrosurgical Units, Monopolar/Bipolar</v>
      </c>
      <c r="OQY92" s="165" t="s">
        <v>945</v>
      </c>
      <c r="OQZ92" s="166" t="str">
        <f>VLOOKUP(OQY92,[13]AssetDetails_UEM!$A$3:$AH$1849,6,FALSE)</f>
        <v>Electrosurgical Units, Monopolar/Bipolar</v>
      </c>
      <c r="ORA92" s="165" t="s">
        <v>945</v>
      </c>
      <c r="ORB92" s="166" t="str">
        <f>VLOOKUP(ORA92,[13]AssetDetails_UEM!$A$3:$AH$1849,6,FALSE)</f>
        <v>Electrosurgical Units, Monopolar/Bipolar</v>
      </c>
      <c r="ORC92" s="165" t="s">
        <v>945</v>
      </c>
      <c r="ORD92" s="166" t="str">
        <f>VLOOKUP(ORC92,[13]AssetDetails_UEM!$A$3:$AH$1849,6,FALSE)</f>
        <v>Electrosurgical Units, Monopolar/Bipolar</v>
      </c>
      <c r="ORE92" s="165" t="s">
        <v>945</v>
      </c>
      <c r="ORF92" s="166" t="str">
        <f>VLOOKUP(ORE92,[13]AssetDetails_UEM!$A$3:$AH$1849,6,FALSE)</f>
        <v>Electrosurgical Units, Monopolar/Bipolar</v>
      </c>
      <c r="ORG92" s="165" t="s">
        <v>945</v>
      </c>
      <c r="ORH92" s="166" t="str">
        <f>VLOOKUP(ORG92,[13]AssetDetails_UEM!$A$3:$AH$1849,6,FALSE)</f>
        <v>Electrosurgical Units, Monopolar/Bipolar</v>
      </c>
      <c r="ORI92" s="165" t="s">
        <v>945</v>
      </c>
      <c r="ORJ92" s="166" t="str">
        <f>VLOOKUP(ORI92,[13]AssetDetails_UEM!$A$3:$AH$1849,6,FALSE)</f>
        <v>Electrosurgical Units, Monopolar/Bipolar</v>
      </c>
      <c r="ORK92" s="165" t="s">
        <v>945</v>
      </c>
      <c r="ORL92" s="166" t="str">
        <f>VLOOKUP(ORK92,[13]AssetDetails_UEM!$A$3:$AH$1849,6,FALSE)</f>
        <v>Electrosurgical Units, Monopolar/Bipolar</v>
      </c>
      <c r="ORM92" s="165" t="s">
        <v>945</v>
      </c>
      <c r="ORN92" s="166" t="str">
        <f>VLOOKUP(ORM92,[13]AssetDetails_UEM!$A$3:$AH$1849,6,FALSE)</f>
        <v>Electrosurgical Units, Monopolar/Bipolar</v>
      </c>
      <c r="ORO92" s="165" t="s">
        <v>945</v>
      </c>
      <c r="ORP92" s="166" t="str">
        <f>VLOOKUP(ORO92,[13]AssetDetails_UEM!$A$3:$AH$1849,6,FALSE)</f>
        <v>Electrosurgical Units, Monopolar/Bipolar</v>
      </c>
      <c r="ORQ92" s="165" t="s">
        <v>945</v>
      </c>
      <c r="ORR92" s="166" t="str">
        <f>VLOOKUP(ORQ92,[13]AssetDetails_UEM!$A$3:$AH$1849,6,FALSE)</f>
        <v>Electrosurgical Units, Monopolar/Bipolar</v>
      </c>
      <c r="ORS92" s="165" t="s">
        <v>945</v>
      </c>
      <c r="ORT92" s="166" t="str">
        <f>VLOOKUP(ORS92,[13]AssetDetails_UEM!$A$3:$AH$1849,6,FALSE)</f>
        <v>Electrosurgical Units, Monopolar/Bipolar</v>
      </c>
      <c r="ORU92" s="165" t="s">
        <v>945</v>
      </c>
      <c r="ORV92" s="166" t="str">
        <f>VLOOKUP(ORU92,[13]AssetDetails_UEM!$A$3:$AH$1849,6,FALSE)</f>
        <v>Electrosurgical Units, Monopolar/Bipolar</v>
      </c>
      <c r="ORW92" s="165" t="s">
        <v>945</v>
      </c>
      <c r="ORX92" s="166" t="str">
        <f>VLOOKUP(ORW92,[13]AssetDetails_UEM!$A$3:$AH$1849,6,FALSE)</f>
        <v>Electrosurgical Units, Monopolar/Bipolar</v>
      </c>
      <c r="ORY92" s="165" t="s">
        <v>945</v>
      </c>
      <c r="ORZ92" s="166" t="str">
        <f>VLOOKUP(ORY92,[13]AssetDetails_UEM!$A$3:$AH$1849,6,FALSE)</f>
        <v>Electrosurgical Units, Monopolar/Bipolar</v>
      </c>
      <c r="OSA92" s="165" t="s">
        <v>945</v>
      </c>
      <c r="OSB92" s="166" t="str">
        <f>VLOOKUP(OSA92,[13]AssetDetails_UEM!$A$3:$AH$1849,6,FALSE)</f>
        <v>Electrosurgical Units, Monopolar/Bipolar</v>
      </c>
      <c r="OSC92" s="165" t="s">
        <v>945</v>
      </c>
      <c r="OSD92" s="166" t="str">
        <f>VLOOKUP(OSC92,[13]AssetDetails_UEM!$A$3:$AH$1849,6,FALSE)</f>
        <v>Electrosurgical Units, Monopolar/Bipolar</v>
      </c>
      <c r="OSE92" s="165" t="s">
        <v>945</v>
      </c>
      <c r="OSF92" s="166" t="str">
        <f>VLOOKUP(OSE92,[13]AssetDetails_UEM!$A$3:$AH$1849,6,FALSE)</f>
        <v>Electrosurgical Units, Monopolar/Bipolar</v>
      </c>
      <c r="OSG92" s="165" t="s">
        <v>945</v>
      </c>
      <c r="OSH92" s="166" t="str">
        <f>VLOOKUP(OSG92,[13]AssetDetails_UEM!$A$3:$AH$1849,6,FALSE)</f>
        <v>Electrosurgical Units, Monopolar/Bipolar</v>
      </c>
      <c r="OSI92" s="165" t="s">
        <v>945</v>
      </c>
      <c r="OSJ92" s="166" t="str">
        <f>VLOOKUP(OSI92,[13]AssetDetails_UEM!$A$3:$AH$1849,6,FALSE)</f>
        <v>Electrosurgical Units, Monopolar/Bipolar</v>
      </c>
      <c r="OSK92" s="165" t="s">
        <v>945</v>
      </c>
      <c r="OSL92" s="166" t="str">
        <f>VLOOKUP(OSK92,[13]AssetDetails_UEM!$A$3:$AH$1849,6,FALSE)</f>
        <v>Electrosurgical Units, Monopolar/Bipolar</v>
      </c>
      <c r="OSM92" s="165" t="s">
        <v>945</v>
      </c>
      <c r="OSN92" s="166" t="str">
        <f>VLOOKUP(OSM92,[13]AssetDetails_UEM!$A$3:$AH$1849,6,FALSE)</f>
        <v>Electrosurgical Units, Monopolar/Bipolar</v>
      </c>
      <c r="OSO92" s="165" t="s">
        <v>945</v>
      </c>
      <c r="OSP92" s="166" t="str">
        <f>VLOOKUP(OSO92,[13]AssetDetails_UEM!$A$3:$AH$1849,6,FALSE)</f>
        <v>Electrosurgical Units, Monopolar/Bipolar</v>
      </c>
      <c r="OSQ92" s="165" t="s">
        <v>945</v>
      </c>
      <c r="OSR92" s="166" t="str">
        <f>VLOOKUP(OSQ92,[13]AssetDetails_UEM!$A$3:$AH$1849,6,FALSE)</f>
        <v>Electrosurgical Units, Monopolar/Bipolar</v>
      </c>
      <c r="OSS92" s="165" t="s">
        <v>945</v>
      </c>
      <c r="OST92" s="166" t="str">
        <f>VLOOKUP(OSS92,[13]AssetDetails_UEM!$A$3:$AH$1849,6,FALSE)</f>
        <v>Electrosurgical Units, Monopolar/Bipolar</v>
      </c>
      <c r="OSU92" s="165" t="s">
        <v>945</v>
      </c>
      <c r="OSV92" s="166" t="str">
        <f>VLOOKUP(OSU92,[13]AssetDetails_UEM!$A$3:$AH$1849,6,FALSE)</f>
        <v>Electrosurgical Units, Monopolar/Bipolar</v>
      </c>
      <c r="OSW92" s="165" t="s">
        <v>945</v>
      </c>
      <c r="OSX92" s="166" t="str">
        <f>VLOOKUP(OSW92,[13]AssetDetails_UEM!$A$3:$AH$1849,6,FALSE)</f>
        <v>Electrosurgical Units, Monopolar/Bipolar</v>
      </c>
      <c r="OSY92" s="165" t="s">
        <v>945</v>
      </c>
      <c r="OSZ92" s="166" t="str">
        <f>VLOOKUP(OSY92,[13]AssetDetails_UEM!$A$3:$AH$1849,6,FALSE)</f>
        <v>Electrosurgical Units, Monopolar/Bipolar</v>
      </c>
      <c r="OTA92" s="165" t="s">
        <v>945</v>
      </c>
      <c r="OTB92" s="166" t="str">
        <f>VLOOKUP(OTA92,[13]AssetDetails_UEM!$A$3:$AH$1849,6,FALSE)</f>
        <v>Electrosurgical Units, Monopolar/Bipolar</v>
      </c>
      <c r="OTC92" s="165" t="s">
        <v>945</v>
      </c>
      <c r="OTD92" s="166" t="str">
        <f>VLOOKUP(OTC92,[13]AssetDetails_UEM!$A$3:$AH$1849,6,FALSE)</f>
        <v>Electrosurgical Units, Monopolar/Bipolar</v>
      </c>
      <c r="OTE92" s="165" t="s">
        <v>945</v>
      </c>
      <c r="OTF92" s="166" t="str">
        <f>VLOOKUP(OTE92,[13]AssetDetails_UEM!$A$3:$AH$1849,6,FALSE)</f>
        <v>Electrosurgical Units, Monopolar/Bipolar</v>
      </c>
      <c r="OTG92" s="165" t="s">
        <v>945</v>
      </c>
      <c r="OTH92" s="166" t="str">
        <f>VLOOKUP(OTG92,[13]AssetDetails_UEM!$A$3:$AH$1849,6,FALSE)</f>
        <v>Electrosurgical Units, Monopolar/Bipolar</v>
      </c>
      <c r="OTI92" s="165" t="s">
        <v>945</v>
      </c>
      <c r="OTJ92" s="166" t="str">
        <f>VLOOKUP(OTI92,[13]AssetDetails_UEM!$A$3:$AH$1849,6,FALSE)</f>
        <v>Electrosurgical Units, Monopolar/Bipolar</v>
      </c>
      <c r="OTK92" s="165" t="s">
        <v>945</v>
      </c>
      <c r="OTL92" s="166" t="str">
        <f>VLOOKUP(OTK92,[13]AssetDetails_UEM!$A$3:$AH$1849,6,FALSE)</f>
        <v>Electrosurgical Units, Monopolar/Bipolar</v>
      </c>
      <c r="OTM92" s="165" t="s">
        <v>945</v>
      </c>
      <c r="OTN92" s="166" t="str">
        <f>VLOOKUP(OTM92,[13]AssetDetails_UEM!$A$3:$AH$1849,6,FALSE)</f>
        <v>Electrosurgical Units, Monopolar/Bipolar</v>
      </c>
      <c r="OTO92" s="165" t="s">
        <v>945</v>
      </c>
      <c r="OTP92" s="166" t="str">
        <f>VLOOKUP(OTO92,[13]AssetDetails_UEM!$A$3:$AH$1849,6,FALSE)</f>
        <v>Electrosurgical Units, Monopolar/Bipolar</v>
      </c>
      <c r="OTQ92" s="165" t="s">
        <v>945</v>
      </c>
      <c r="OTR92" s="166" t="str">
        <f>VLOOKUP(OTQ92,[13]AssetDetails_UEM!$A$3:$AH$1849,6,FALSE)</f>
        <v>Electrosurgical Units, Monopolar/Bipolar</v>
      </c>
      <c r="OTS92" s="165" t="s">
        <v>945</v>
      </c>
      <c r="OTT92" s="166" t="str">
        <f>VLOOKUP(OTS92,[13]AssetDetails_UEM!$A$3:$AH$1849,6,FALSE)</f>
        <v>Electrosurgical Units, Monopolar/Bipolar</v>
      </c>
      <c r="OTU92" s="165" t="s">
        <v>945</v>
      </c>
      <c r="OTV92" s="166" t="str">
        <f>VLOOKUP(OTU92,[13]AssetDetails_UEM!$A$3:$AH$1849,6,FALSE)</f>
        <v>Electrosurgical Units, Monopolar/Bipolar</v>
      </c>
      <c r="OTW92" s="165" t="s">
        <v>945</v>
      </c>
      <c r="OTX92" s="166" t="str">
        <f>VLOOKUP(OTW92,[13]AssetDetails_UEM!$A$3:$AH$1849,6,FALSE)</f>
        <v>Electrosurgical Units, Monopolar/Bipolar</v>
      </c>
      <c r="OTY92" s="165" t="s">
        <v>945</v>
      </c>
      <c r="OTZ92" s="166" t="str">
        <f>VLOOKUP(OTY92,[13]AssetDetails_UEM!$A$3:$AH$1849,6,FALSE)</f>
        <v>Electrosurgical Units, Monopolar/Bipolar</v>
      </c>
      <c r="OUA92" s="165" t="s">
        <v>945</v>
      </c>
      <c r="OUB92" s="166" t="str">
        <f>VLOOKUP(OUA92,[13]AssetDetails_UEM!$A$3:$AH$1849,6,FALSE)</f>
        <v>Electrosurgical Units, Monopolar/Bipolar</v>
      </c>
      <c r="OUC92" s="165" t="s">
        <v>945</v>
      </c>
      <c r="OUD92" s="166" t="str">
        <f>VLOOKUP(OUC92,[13]AssetDetails_UEM!$A$3:$AH$1849,6,FALSE)</f>
        <v>Electrosurgical Units, Monopolar/Bipolar</v>
      </c>
      <c r="OUE92" s="165" t="s">
        <v>945</v>
      </c>
      <c r="OUF92" s="166" t="str">
        <f>VLOOKUP(OUE92,[13]AssetDetails_UEM!$A$3:$AH$1849,6,FALSE)</f>
        <v>Electrosurgical Units, Monopolar/Bipolar</v>
      </c>
      <c r="OUG92" s="165" t="s">
        <v>945</v>
      </c>
      <c r="OUH92" s="166" t="str">
        <f>VLOOKUP(OUG92,[13]AssetDetails_UEM!$A$3:$AH$1849,6,FALSE)</f>
        <v>Electrosurgical Units, Monopolar/Bipolar</v>
      </c>
      <c r="OUI92" s="165" t="s">
        <v>945</v>
      </c>
      <c r="OUJ92" s="166" t="str">
        <f>VLOOKUP(OUI92,[13]AssetDetails_UEM!$A$3:$AH$1849,6,FALSE)</f>
        <v>Electrosurgical Units, Monopolar/Bipolar</v>
      </c>
      <c r="OUK92" s="165" t="s">
        <v>945</v>
      </c>
      <c r="OUL92" s="166" t="str">
        <f>VLOOKUP(OUK92,[13]AssetDetails_UEM!$A$3:$AH$1849,6,FALSE)</f>
        <v>Electrosurgical Units, Monopolar/Bipolar</v>
      </c>
      <c r="OUM92" s="165" t="s">
        <v>945</v>
      </c>
      <c r="OUN92" s="166" t="str">
        <f>VLOOKUP(OUM92,[13]AssetDetails_UEM!$A$3:$AH$1849,6,FALSE)</f>
        <v>Electrosurgical Units, Monopolar/Bipolar</v>
      </c>
      <c r="OUO92" s="165" t="s">
        <v>945</v>
      </c>
      <c r="OUP92" s="166" t="str">
        <f>VLOOKUP(OUO92,[13]AssetDetails_UEM!$A$3:$AH$1849,6,FALSE)</f>
        <v>Electrosurgical Units, Monopolar/Bipolar</v>
      </c>
      <c r="OUQ92" s="165" t="s">
        <v>945</v>
      </c>
      <c r="OUR92" s="166" t="str">
        <f>VLOOKUP(OUQ92,[13]AssetDetails_UEM!$A$3:$AH$1849,6,FALSE)</f>
        <v>Electrosurgical Units, Monopolar/Bipolar</v>
      </c>
      <c r="OUS92" s="165" t="s">
        <v>945</v>
      </c>
      <c r="OUT92" s="166" t="str">
        <f>VLOOKUP(OUS92,[13]AssetDetails_UEM!$A$3:$AH$1849,6,FALSE)</f>
        <v>Electrosurgical Units, Monopolar/Bipolar</v>
      </c>
      <c r="OUU92" s="165" t="s">
        <v>945</v>
      </c>
      <c r="OUV92" s="166" t="str">
        <f>VLOOKUP(OUU92,[13]AssetDetails_UEM!$A$3:$AH$1849,6,FALSE)</f>
        <v>Electrosurgical Units, Monopolar/Bipolar</v>
      </c>
      <c r="OUW92" s="165" t="s">
        <v>945</v>
      </c>
      <c r="OUX92" s="166" t="str">
        <f>VLOOKUP(OUW92,[13]AssetDetails_UEM!$A$3:$AH$1849,6,FALSE)</f>
        <v>Electrosurgical Units, Monopolar/Bipolar</v>
      </c>
      <c r="OUY92" s="165" t="s">
        <v>945</v>
      </c>
      <c r="OUZ92" s="166" t="str">
        <f>VLOOKUP(OUY92,[13]AssetDetails_UEM!$A$3:$AH$1849,6,FALSE)</f>
        <v>Electrosurgical Units, Monopolar/Bipolar</v>
      </c>
      <c r="OVA92" s="165" t="s">
        <v>945</v>
      </c>
      <c r="OVB92" s="166" t="str">
        <f>VLOOKUP(OVA92,[13]AssetDetails_UEM!$A$3:$AH$1849,6,FALSE)</f>
        <v>Electrosurgical Units, Monopolar/Bipolar</v>
      </c>
      <c r="OVC92" s="165" t="s">
        <v>945</v>
      </c>
      <c r="OVD92" s="166" t="str">
        <f>VLOOKUP(OVC92,[13]AssetDetails_UEM!$A$3:$AH$1849,6,FALSE)</f>
        <v>Electrosurgical Units, Monopolar/Bipolar</v>
      </c>
      <c r="OVE92" s="165" t="s">
        <v>945</v>
      </c>
      <c r="OVF92" s="166" t="str">
        <f>VLOOKUP(OVE92,[13]AssetDetails_UEM!$A$3:$AH$1849,6,FALSE)</f>
        <v>Electrosurgical Units, Monopolar/Bipolar</v>
      </c>
      <c r="OVG92" s="165" t="s">
        <v>945</v>
      </c>
      <c r="OVH92" s="166" t="str">
        <f>VLOOKUP(OVG92,[13]AssetDetails_UEM!$A$3:$AH$1849,6,FALSE)</f>
        <v>Electrosurgical Units, Monopolar/Bipolar</v>
      </c>
      <c r="OVI92" s="165" t="s">
        <v>945</v>
      </c>
      <c r="OVJ92" s="166" t="str">
        <f>VLOOKUP(OVI92,[13]AssetDetails_UEM!$A$3:$AH$1849,6,FALSE)</f>
        <v>Electrosurgical Units, Monopolar/Bipolar</v>
      </c>
      <c r="OVK92" s="165" t="s">
        <v>945</v>
      </c>
      <c r="OVL92" s="166" t="str">
        <f>VLOOKUP(OVK92,[13]AssetDetails_UEM!$A$3:$AH$1849,6,FALSE)</f>
        <v>Electrosurgical Units, Monopolar/Bipolar</v>
      </c>
      <c r="OVM92" s="165" t="s">
        <v>945</v>
      </c>
      <c r="OVN92" s="166" t="str">
        <f>VLOOKUP(OVM92,[13]AssetDetails_UEM!$A$3:$AH$1849,6,FALSE)</f>
        <v>Electrosurgical Units, Monopolar/Bipolar</v>
      </c>
      <c r="OVO92" s="165" t="s">
        <v>945</v>
      </c>
      <c r="OVP92" s="166" t="str">
        <f>VLOOKUP(OVO92,[13]AssetDetails_UEM!$A$3:$AH$1849,6,FALSE)</f>
        <v>Electrosurgical Units, Monopolar/Bipolar</v>
      </c>
      <c r="OVQ92" s="165" t="s">
        <v>945</v>
      </c>
      <c r="OVR92" s="166" t="str">
        <f>VLOOKUP(OVQ92,[13]AssetDetails_UEM!$A$3:$AH$1849,6,FALSE)</f>
        <v>Electrosurgical Units, Monopolar/Bipolar</v>
      </c>
      <c r="OVS92" s="165" t="s">
        <v>945</v>
      </c>
      <c r="OVT92" s="166" t="str">
        <f>VLOOKUP(OVS92,[13]AssetDetails_UEM!$A$3:$AH$1849,6,FALSE)</f>
        <v>Electrosurgical Units, Monopolar/Bipolar</v>
      </c>
      <c r="OVU92" s="165" t="s">
        <v>945</v>
      </c>
      <c r="OVV92" s="166" t="str">
        <f>VLOOKUP(OVU92,[13]AssetDetails_UEM!$A$3:$AH$1849,6,FALSE)</f>
        <v>Electrosurgical Units, Monopolar/Bipolar</v>
      </c>
      <c r="OVW92" s="165" t="s">
        <v>945</v>
      </c>
      <c r="OVX92" s="166" t="str">
        <f>VLOOKUP(OVW92,[13]AssetDetails_UEM!$A$3:$AH$1849,6,FALSE)</f>
        <v>Electrosurgical Units, Monopolar/Bipolar</v>
      </c>
      <c r="OVY92" s="165" t="s">
        <v>945</v>
      </c>
      <c r="OVZ92" s="166" t="str">
        <f>VLOOKUP(OVY92,[13]AssetDetails_UEM!$A$3:$AH$1849,6,FALSE)</f>
        <v>Electrosurgical Units, Monopolar/Bipolar</v>
      </c>
      <c r="OWA92" s="165" t="s">
        <v>945</v>
      </c>
      <c r="OWB92" s="166" t="str">
        <f>VLOOKUP(OWA92,[13]AssetDetails_UEM!$A$3:$AH$1849,6,FALSE)</f>
        <v>Electrosurgical Units, Monopolar/Bipolar</v>
      </c>
      <c r="OWC92" s="165" t="s">
        <v>945</v>
      </c>
      <c r="OWD92" s="166" t="str">
        <f>VLOOKUP(OWC92,[13]AssetDetails_UEM!$A$3:$AH$1849,6,FALSE)</f>
        <v>Electrosurgical Units, Monopolar/Bipolar</v>
      </c>
      <c r="OWE92" s="165" t="s">
        <v>945</v>
      </c>
      <c r="OWF92" s="166" t="str">
        <f>VLOOKUP(OWE92,[13]AssetDetails_UEM!$A$3:$AH$1849,6,FALSE)</f>
        <v>Electrosurgical Units, Monopolar/Bipolar</v>
      </c>
      <c r="OWG92" s="165" t="s">
        <v>945</v>
      </c>
      <c r="OWH92" s="166" t="str">
        <f>VLOOKUP(OWG92,[13]AssetDetails_UEM!$A$3:$AH$1849,6,FALSE)</f>
        <v>Electrosurgical Units, Monopolar/Bipolar</v>
      </c>
      <c r="OWI92" s="165" t="s">
        <v>945</v>
      </c>
      <c r="OWJ92" s="166" t="str">
        <f>VLOOKUP(OWI92,[13]AssetDetails_UEM!$A$3:$AH$1849,6,FALSE)</f>
        <v>Electrosurgical Units, Monopolar/Bipolar</v>
      </c>
      <c r="OWK92" s="165" t="s">
        <v>945</v>
      </c>
      <c r="OWL92" s="166" t="str">
        <f>VLOOKUP(OWK92,[13]AssetDetails_UEM!$A$3:$AH$1849,6,FALSE)</f>
        <v>Electrosurgical Units, Monopolar/Bipolar</v>
      </c>
      <c r="OWM92" s="165" t="s">
        <v>945</v>
      </c>
      <c r="OWN92" s="166" t="str">
        <f>VLOOKUP(OWM92,[13]AssetDetails_UEM!$A$3:$AH$1849,6,FALSE)</f>
        <v>Electrosurgical Units, Monopolar/Bipolar</v>
      </c>
      <c r="OWO92" s="165" t="s">
        <v>945</v>
      </c>
      <c r="OWP92" s="166" t="str">
        <f>VLOOKUP(OWO92,[13]AssetDetails_UEM!$A$3:$AH$1849,6,FALSE)</f>
        <v>Electrosurgical Units, Monopolar/Bipolar</v>
      </c>
      <c r="OWQ92" s="165" t="s">
        <v>945</v>
      </c>
      <c r="OWR92" s="166" t="str">
        <f>VLOOKUP(OWQ92,[13]AssetDetails_UEM!$A$3:$AH$1849,6,FALSE)</f>
        <v>Electrosurgical Units, Monopolar/Bipolar</v>
      </c>
      <c r="OWS92" s="165" t="s">
        <v>945</v>
      </c>
      <c r="OWT92" s="166" t="str">
        <f>VLOOKUP(OWS92,[13]AssetDetails_UEM!$A$3:$AH$1849,6,FALSE)</f>
        <v>Electrosurgical Units, Monopolar/Bipolar</v>
      </c>
      <c r="OWU92" s="165" t="s">
        <v>945</v>
      </c>
      <c r="OWV92" s="166" t="str">
        <f>VLOOKUP(OWU92,[13]AssetDetails_UEM!$A$3:$AH$1849,6,FALSE)</f>
        <v>Electrosurgical Units, Monopolar/Bipolar</v>
      </c>
      <c r="OWW92" s="165" t="s">
        <v>945</v>
      </c>
      <c r="OWX92" s="166" t="str">
        <f>VLOOKUP(OWW92,[13]AssetDetails_UEM!$A$3:$AH$1849,6,FALSE)</f>
        <v>Electrosurgical Units, Monopolar/Bipolar</v>
      </c>
      <c r="OWY92" s="165" t="s">
        <v>945</v>
      </c>
      <c r="OWZ92" s="166" t="str">
        <f>VLOOKUP(OWY92,[13]AssetDetails_UEM!$A$3:$AH$1849,6,FALSE)</f>
        <v>Electrosurgical Units, Monopolar/Bipolar</v>
      </c>
      <c r="OXA92" s="165" t="s">
        <v>945</v>
      </c>
      <c r="OXB92" s="166" t="str">
        <f>VLOOKUP(OXA92,[13]AssetDetails_UEM!$A$3:$AH$1849,6,FALSE)</f>
        <v>Electrosurgical Units, Monopolar/Bipolar</v>
      </c>
      <c r="OXC92" s="165" t="s">
        <v>945</v>
      </c>
      <c r="OXD92" s="166" t="str">
        <f>VLOOKUP(OXC92,[13]AssetDetails_UEM!$A$3:$AH$1849,6,FALSE)</f>
        <v>Electrosurgical Units, Monopolar/Bipolar</v>
      </c>
      <c r="OXE92" s="165" t="s">
        <v>945</v>
      </c>
      <c r="OXF92" s="166" t="str">
        <f>VLOOKUP(OXE92,[13]AssetDetails_UEM!$A$3:$AH$1849,6,FALSE)</f>
        <v>Electrosurgical Units, Monopolar/Bipolar</v>
      </c>
      <c r="OXG92" s="165" t="s">
        <v>945</v>
      </c>
      <c r="OXH92" s="166" t="str">
        <f>VLOOKUP(OXG92,[13]AssetDetails_UEM!$A$3:$AH$1849,6,FALSE)</f>
        <v>Electrosurgical Units, Monopolar/Bipolar</v>
      </c>
      <c r="OXI92" s="165" t="s">
        <v>945</v>
      </c>
      <c r="OXJ92" s="166" t="str">
        <f>VLOOKUP(OXI92,[13]AssetDetails_UEM!$A$3:$AH$1849,6,FALSE)</f>
        <v>Electrosurgical Units, Monopolar/Bipolar</v>
      </c>
      <c r="OXK92" s="165" t="s">
        <v>945</v>
      </c>
      <c r="OXL92" s="166" t="str">
        <f>VLOOKUP(OXK92,[13]AssetDetails_UEM!$A$3:$AH$1849,6,FALSE)</f>
        <v>Electrosurgical Units, Monopolar/Bipolar</v>
      </c>
      <c r="OXM92" s="165" t="s">
        <v>945</v>
      </c>
      <c r="OXN92" s="166" t="str">
        <f>VLOOKUP(OXM92,[13]AssetDetails_UEM!$A$3:$AH$1849,6,FALSE)</f>
        <v>Electrosurgical Units, Monopolar/Bipolar</v>
      </c>
      <c r="OXO92" s="165" t="s">
        <v>945</v>
      </c>
      <c r="OXP92" s="166" t="str">
        <f>VLOOKUP(OXO92,[13]AssetDetails_UEM!$A$3:$AH$1849,6,FALSE)</f>
        <v>Electrosurgical Units, Monopolar/Bipolar</v>
      </c>
      <c r="OXQ92" s="165" t="s">
        <v>945</v>
      </c>
      <c r="OXR92" s="166" t="str">
        <f>VLOOKUP(OXQ92,[13]AssetDetails_UEM!$A$3:$AH$1849,6,FALSE)</f>
        <v>Electrosurgical Units, Monopolar/Bipolar</v>
      </c>
      <c r="OXS92" s="165" t="s">
        <v>945</v>
      </c>
      <c r="OXT92" s="166" t="str">
        <f>VLOOKUP(OXS92,[13]AssetDetails_UEM!$A$3:$AH$1849,6,FALSE)</f>
        <v>Electrosurgical Units, Monopolar/Bipolar</v>
      </c>
      <c r="OXU92" s="165" t="s">
        <v>945</v>
      </c>
      <c r="OXV92" s="166" t="str">
        <f>VLOOKUP(OXU92,[13]AssetDetails_UEM!$A$3:$AH$1849,6,FALSE)</f>
        <v>Electrosurgical Units, Monopolar/Bipolar</v>
      </c>
      <c r="OXW92" s="165" t="s">
        <v>945</v>
      </c>
      <c r="OXX92" s="166" t="str">
        <f>VLOOKUP(OXW92,[13]AssetDetails_UEM!$A$3:$AH$1849,6,FALSE)</f>
        <v>Electrosurgical Units, Monopolar/Bipolar</v>
      </c>
      <c r="OXY92" s="165" t="s">
        <v>945</v>
      </c>
      <c r="OXZ92" s="166" t="str">
        <f>VLOOKUP(OXY92,[13]AssetDetails_UEM!$A$3:$AH$1849,6,FALSE)</f>
        <v>Electrosurgical Units, Monopolar/Bipolar</v>
      </c>
      <c r="OYA92" s="165" t="s">
        <v>945</v>
      </c>
      <c r="OYB92" s="166" t="str">
        <f>VLOOKUP(OYA92,[13]AssetDetails_UEM!$A$3:$AH$1849,6,FALSE)</f>
        <v>Electrosurgical Units, Monopolar/Bipolar</v>
      </c>
      <c r="OYC92" s="165" t="s">
        <v>945</v>
      </c>
      <c r="OYD92" s="166" t="str">
        <f>VLOOKUP(OYC92,[13]AssetDetails_UEM!$A$3:$AH$1849,6,FALSE)</f>
        <v>Electrosurgical Units, Monopolar/Bipolar</v>
      </c>
      <c r="OYE92" s="165" t="s">
        <v>945</v>
      </c>
      <c r="OYF92" s="166" t="str">
        <f>VLOOKUP(OYE92,[13]AssetDetails_UEM!$A$3:$AH$1849,6,FALSE)</f>
        <v>Electrosurgical Units, Monopolar/Bipolar</v>
      </c>
      <c r="OYG92" s="165" t="s">
        <v>945</v>
      </c>
      <c r="OYH92" s="166" t="str">
        <f>VLOOKUP(OYG92,[13]AssetDetails_UEM!$A$3:$AH$1849,6,FALSE)</f>
        <v>Electrosurgical Units, Monopolar/Bipolar</v>
      </c>
      <c r="OYI92" s="165" t="s">
        <v>945</v>
      </c>
      <c r="OYJ92" s="166" t="str">
        <f>VLOOKUP(OYI92,[13]AssetDetails_UEM!$A$3:$AH$1849,6,FALSE)</f>
        <v>Electrosurgical Units, Monopolar/Bipolar</v>
      </c>
      <c r="OYK92" s="165" t="s">
        <v>945</v>
      </c>
      <c r="OYL92" s="166" t="str">
        <f>VLOOKUP(OYK92,[13]AssetDetails_UEM!$A$3:$AH$1849,6,FALSE)</f>
        <v>Electrosurgical Units, Monopolar/Bipolar</v>
      </c>
      <c r="OYM92" s="165" t="s">
        <v>945</v>
      </c>
      <c r="OYN92" s="166" t="str">
        <f>VLOOKUP(OYM92,[13]AssetDetails_UEM!$A$3:$AH$1849,6,FALSE)</f>
        <v>Electrosurgical Units, Monopolar/Bipolar</v>
      </c>
      <c r="OYO92" s="165" t="s">
        <v>945</v>
      </c>
      <c r="OYP92" s="166" t="str">
        <f>VLOOKUP(OYO92,[13]AssetDetails_UEM!$A$3:$AH$1849,6,FALSE)</f>
        <v>Electrosurgical Units, Monopolar/Bipolar</v>
      </c>
      <c r="OYQ92" s="165" t="s">
        <v>945</v>
      </c>
      <c r="OYR92" s="166" t="str">
        <f>VLOOKUP(OYQ92,[13]AssetDetails_UEM!$A$3:$AH$1849,6,FALSE)</f>
        <v>Electrosurgical Units, Monopolar/Bipolar</v>
      </c>
      <c r="OYS92" s="165" t="s">
        <v>945</v>
      </c>
      <c r="OYT92" s="166" t="str">
        <f>VLOOKUP(OYS92,[13]AssetDetails_UEM!$A$3:$AH$1849,6,FALSE)</f>
        <v>Electrosurgical Units, Monopolar/Bipolar</v>
      </c>
      <c r="OYU92" s="165" t="s">
        <v>945</v>
      </c>
      <c r="OYV92" s="166" t="str">
        <f>VLOOKUP(OYU92,[13]AssetDetails_UEM!$A$3:$AH$1849,6,FALSE)</f>
        <v>Electrosurgical Units, Monopolar/Bipolar</v>
      </c>
      <c r="OYW92" s="165" t="s">
        <v>945</v>
      </c>
      <c r="OYX92" s="166" t="str">
        <f>VLOOKUP(OYW92,[13]AssetDetails_UEM!$A$3:$AH$1849,6,FALSE)</f>
        <v>Electrosurgical Units, Monopolar/Bipolar</v>
      </c>
      <c r="OYY92" s="165" t="s">
        <v>945</v>
      </c>
      <c r="OYZ92" s="166" t="str">
        <f>VLOOKUP(OYY92,[13]AssetDetails_UEM!$A$3:$AH$1849,6,FALSE)</f>
        <v>Electrosurgical Units, Monopolar/Bipolar</v>
      </c>
      <c r="OZA92" s="165" t="s">
        <v>945</v>
      </c>
      <c r="OZB92" s="166" t="str">
        <f>VLOOKUP(OZA92,[13]AssetDetails_UEM!$A$3:$AH$1849,6,FALSE)</f>
        <v>Electrosurgical Units, Monopolar/Bipolar</v>
      </c>
      <c r="OZC92" s="165" t="s">
        <v>945</v>
      </c>
      <c r="OZD92" s="166" t="str">
        <f>VLOOKUP(OZC92,[13]AssetDetails_UEM!$A$3:$AH$1849,6,FALSE)</f>
        <v>Electrosurgical Units, Monopolar/Bipolar</v>
      </c>
      <c r="OZE92" s="165" t="s">
        <v>945</v>
      </c>
      <c r="OZF92" s="166" t="str">
        <f>VLOOKUP(OZE92,[13]AssetDetails_UEM!$A$3:$AH$1849,6,FALSE)</f>
        <v>Electrosurgical Units, Monopolar/Bipolar</v>
      </c>
      <c r="OZG92" s="165" t="s">
        <v>945</v>
      </c>
      <c r="OZH92" s="166" t="str">
        <f>VLOOKUP(OZG92,[13]AssetDetails_UEM!$A$3:$AH$1849,6,FALSE)</f>
        <v>Electrosurgical Units, Monopolar/Bipolar</v>
      </c>
      <c r="OZI92" s="165" t="s">
        <v>945</v>
      </c>
      <c r="OZJ92" s="166" t="str">
        <f>VLOOKUP(OZI92,[13]AssetDetails_UEM!$A$3:$AH$1849,6,FALSE)</f>
        <v>Electrosurgical Units, Monopolar/Bipolar</v>
      </c>
      <c r="OZK92" s="165" t="s">
        <v>945</v>
      </c>
      <c r="OZL92" s="166" t="str">
        <f>VLOOKUP(OZK92,[13]AssetDetails_UEM!$A$3:$AH$1849,6,FALSE)</f>
        <v>Electrosurgical Units, Monopolar/Bipolar</v>
      </c>
      <c r="OZM92" s="165" t="s">
        <v>945</v>
      </c>
      <c r="OZN92" s="166" t="str">
        <f>VLOOKUP(OZM92,[13]AssetDetails_UEM!$A$3:$AH$1849,6,FALSE)</f>
        <v>Electrosurgical Units, Monopolar/Bipolar</v>
      </c>
      <c r="OZO92" s="165" t="s">
        <v>945</v>
      </c>
      <c r="OZP92" s="166" t="str">
        <f>VLOOKUP(OZO92,[13]AssetDetails_UEM!$A$3:$AH$1849,6,FALSE)</f>
        <v>Electrosurgical Units, Monopolar/Bipolar</v>
      </c>
      <c r="OZQ92" s="165" t="s">
        <v>945</v>
      </c>
      <c r="OZR92" s="166" t="str">
        <f>VLOOKUP(OZQ92,[13]AssetDetails_UEM!$A$3:$AH$1849,6,FALSE)</f>
        <v>Electrosurgical Units, Monopolar/Bipolar</v>
      </c>
      <c r="OZS92" s="165" t="s">
        <v>945</v>
      </c>
      <c r="OZT92" s="166" t="str">
        <f>VLOOKUP(OZS92,[13]AssetDetails_UEM!$A$3:$AH$1849,6,FALSE)</f>
        <v>Electrosurgical Units, Monopolar/Bipolar</v>
      </c>
      <c r="OZU92" s="165" t="s">
        <v>945</v>
      </c>
      <c r="OZV92" s="166" t="str">
        <f>VLOOKUP(OZU92,[13]AssetDetails_UEM!$A$3:$AH$1849,6,FALSE)</f>
        <v>Electrosurgical Units, Monopolar/Bipolar</v>
      </c>
      <c r="OZW92" s="165" t="s">
        <v>945</v>
      </c>
      <c r="OZX92" s="166" t="str">
        <f>VLOOKUP(OZW92,[13]AssetDetails_UEM!$A$3:$AH$1849,6,FALSE)</f>
        <v>Electrosurgical Units, Monopolar/Bipolar</v>
      </c>
      <c r="OZY92" s="165" t="s">
        <v>945</v>
      </c>
      <c r="OZZ92" s="166" t="str">
        <f>VLOOKUP(OZY92,[13]AssetDetails_UEM!$A$3:$AH$1849,6,FALSE)</f>
        <v>Electrosurgical Units, Monopolar/Bipolar</v>
      </c>
      <c r="PAA92" s="165" t="s">
        <v>945</v>
      </c>
      <c r="PAB92" s="166" t="str">
        <f>VLOOKUP(PAA92,[13]AssetDetails_UEM!$A$3:$AH$1849,6,FALSE)</f>
        <v>Electrosurgical Units, Monopolar/Bipolar</v>
      </c>
      <c r="PAC92" s="165" t="s">
        <v>945</v>
      </c>
      <c r="PAD92" s="166" t="str">
        <f>VLOOKUP(PAC92,[13]AssetDetails_UEM!$A$3:$AH$1849,6,FALSE)</f>
        <v>Electrosurgical Units, Monopolar/Bipolar</v>
      </c>
      <c r="PAE92" s="165" t="s">
        <v>945</v>
      </c>
      <c r="PAF92" s="166" t="str">
        <f>VLOOKUP(PAE92,[13]AssetDetails_UEM!$A$3:$AH$1849,6,FALSE)</f>
        <v>Electrosurgical Units, Monopolar/Bipolar</v>
      </c>
      <c r="PAG92" s="165" t="s">
        <v>945</v>
      </c>
      <c r="PAH92" s="166" t="str">
        <f>VLOOKUP(PAG92,[13]AssetDetails_UEM!$A$3:$AH$1849,6,FALSE)</f>
        <v>Electrosurgical Units, Monopolar/Bipolar</v>
      </c>
      <c r="PAI92" s="165" t="s">
        <v>945</v>
      </c>
      <c r="PAJ92" s="166" t="str">
        <f>VLOOKUP(PAI92,[13]AssetDetails_UEM!$A$3:$AH$1849,6,FALSE)</f>
        <v>Electrosurgical Units, Monopolar/Bipolar</v>
      </c>
      <c r="PAK92" s="165" t="s">
        <v>945</v>
      </c>
      <c r="PAL92" s="166" t="str">
        <f>VLOOKUP(PAK92,[13]AssetDetails_UEM!$A$3:$AH$1849,6,FALSE)</f>
        <v>Electrosurgical Units, Monopolar/Bipolar</v>
      </c>
      <c r="PAM92" s="165" t="s">
        <v>945</v>
      </c>
      <c r="PAN92" s="166" t="str">
        <f>VLOOKUP(PAM92,[13]AssetDetails_UEM!$A$3:$AH$1849,6,FALSE)</f>
        <v>Electrosurgical Units, Monopolar/Bipolar</v>
      </c>
      <c r="PAO92" s="165" t="s">
        <v>945</v>
      </c>
      <c r="PAP92" s="166" t="str">
        <f>VLOOKUP(PAO92,[13]AssetDetails_UEM!$A$3:$AH$1849,6,FALSE)</f>
        <v>Electrosurgical Units, Monopolar/Bipolar</v>
      </c>
      <c r="PAQ92" s="165" t="s">
        <v>945</v>
      </c>
      <c r="PAR92" s="166" t="str">
        <f>VLOOKUP(PAQ92,[13]AssetDetails_UEM!$A$3:$AH$1849,6,FALSE)</f>
        <v>Electrosurgical Units, Monopolar/Bipolar</v>
      </c>
      <c r="PAS92" s="165" t="s">
        <v>945</v>
      </c>
      <c r="PAT92" s="166" t="str">
        <f>VLOOKUP(PAS92,[13]AssetDetails_UEM!$A$3:$AH$1849,6,FALSE)</f>
        <v>Electrosurgical Units, Monopolar/Bipolar</v>
      </c>
      <c r="PAU92" s="165" t="s">
        <v>945</v>
      </c>
      <c r="PAV92" s="166" t="str">
        <f>VLOOKUP(PAU92,[13]AssetDetails_UEM!$A$3:$AH$1849,6,FALSE)</f>
        <v>Electrosurgical Units, Monopolar/Bipolar</v>
      </c>
      <c r="PAW92" s="165" t="s">
        <v>945</v>
      </c>
      <c r="PAX92" s="166" t="str">
        <f>VLOOKUP(PAW92,[13]AssetDetails_UEM!$A$3:$AH$1849,6,FALSE)</f>
        <v>Electrosurgical Units, Monopolar/Bipolar</v>
      </c>
      <c r="PAY92" s="165" t="s">
        <v>945</v>
      </c>
      <c r="PAZ92" s="166" t="str">
        <f>VLOOKUP(PAY92,[13]AssetDetails_UEM!$A$3:$AH$1849,6,FALSE)</f>
        <v>Electrosurgical Units, Monopolar/Bipolar</v>
      </c>
      <c r="PBA92" s="165" t="s">
        <v>945</v>
      </c>
      <c r="PBB92" s="166" t="str">
        <f>VLOOKUP(PBA92,[13]AssetDetails_UEM!$A$3:$AH$1849,6,FALSE)</f>
        <v>Electrosurgical Units, Monopolar/Bipolar</v>
      </c>
      <c r="PBC92" s="165" t="s">
        <v>945</v>
      </c>
      <c r="PBD92" s="166" t="str">
        <f>VLOOKUP(PBC92,[13]AssetDetails_UEM!$A$3:$AH$1849,6,FALSE)</f>
        <v>Electrosurgical Units, Monopolar/Bipolar</v>
      </c>
      <c r="PBE92" s="165" t="s">
        <v>945</v>
      </c>
      <c r="PBF92" s="166" t="str">
        <f>VLOOKUP(PBE92,[13]AssetDetails_UEM!$A$3:$AH$1849,6,FALSE)</f>
        <v>Electrosurgical Units, Monopolar/Bipolar</v>
      </c>
      <c r="PBG92" s="165" t="s">
        <v>945</v>
      </c>
      <c r="PBH92" s="166" t="str">
        <f>VLOOKUP(PBG92,[13]AssetDetails_UEM!$A$3:$AH$1849,6,FALSE)</f>
        <v>Electrosurgical Units, Monopolar/Bipolar</v>
      </c>
      <c r="PBI92" s="165" t="s">
        <v>945</v>
      </c>
      <c r="PBJ92" s="166" t="str">
        <f>VLOOKUP(PBI92,[13]AssetDetails_UEM!$A$3:$AH$1849,6,FALSE)</f>
        <v>Electrosurgical Units, Monopolar/Bipolar</v>
      </c>
      <c r="PBK92" s="165" t="s">
        <v>945</v>
      </c>
      <c r="PBL92" s="166" t="str">
        <f>VLOOKUP(PBK92,[13]AssetDetails_UEM!$A$3:$AH$1849,6,FALSE)</f>
        <v>Electrosurgical Units, Monopolar/Bipolar</v>
      </c>
      <c r="PBM92" s="165" t="s">
        <v>945</v>
      </c>
      <c r="PBN92" s="166" t="str">
        <f>VLOOKUP(PBM92,[13]AssetDetails_UEM!$A$3:$AH$1849,6,FALSE)</f>
        <v>Electrosurgical Units, Monopolar/Bipolar</v>
      </c>
      <c r="PBO92" s="165" t="s">
        <v>945</v>
      </c>
      <c r="PBP92" s="166" t="str">
        <f>VLOOKUP(PBO92,[13]AssetDetails_UEM!$A$3:$AH$1849,6,FALSE)</f>
        <v>Electrosurgical Units, Monopolar/Bipolar</v>
      </c>
      <c r="PBQ92" s="165" t="s">
        <v>945</v>
      </c>
      <c r="PBR92" s="166" t="str">
        <f>VLOOKUP(PBQ92,[13]AssetDetails_UEM!$A$3:$AH$1849,6,FALSE)</f>
        <v>Electrosurgical Units, Monopolar/Bipolar</v>
      </c>
      <c r="PBS92" s="165" t="s">
        <v>945</v>
      </c>
      <c r="PBT92" s="166" t="str">
        <f>VLOOKUP(PBS92,[13]AssetDetails_UEM!$A$3:$AH$1849,6,FALSE)</f>
        <v>Electrosurgical Units, Monopolar/Bipolar</v>
      </c>
      <c r="PBU92" s="165" t="s">
        <v>945</v>
      </c>
      <c r="PBV92" s="166" t="str">
        <f>VLOOKUP(PBU92,[13]AssetDetails_UEM!$A$3:$AH$1849,6,FALSE)</f>
        <v>Electrosurgical Units, Monopolar/Bipolar</v>
      </c>
      <c r="PBW92" s="165" t="s">
        <v>945</v>
      </c>
      <c r="PBX92" s="166" t="str">
        <f>VLOOKUP(PBW92,[13]AssetDetails_UEM!$A$3:$AH$1849,6,FALSE)</f>
        <v>Electrosurgical Units, Monopolar/Bipolar</v>
      </c>
      <c r="PBY92" s="165" t="s">
        <v>945</v>
      </c>
      <c r="PBZ92" s="166" t="str">
        <f>VLOOKUP(PBY92,[13]AssetDetails_UEM!$A$3:$AH$1849,6,FALSE)</f>
        <v>Electrosurgical Units, Monopolar/Bipolar</v>
      </c>
      <c r="PCA92" s="165" t="s">
        <v>945</v>
      </c>
      <c r="PCB92" s="166" t="str">
        <f>VLOOKUP(PCA92,[13]AssetDetails_UEM!$A$3:$AH$1849,6,FALSE)</f>
        <v>Electrosurgical Units, Monopolar/Bipolar</v>
      </c>
      <c r="PCC92" s="165" t="s">
        <v>945</v>
      </c>
      <c r="PCD92" s="166" t="str">
        <f>VLOOKUP(PCC92,[13]AssetDetails_UEM!$A$3:$AH$1849,6,FALSE)</f>
        <v>Electrosurgical Units, Monopolar/Bipolar</v>
      </c>
      <c r="PCE92" s="165" t="s">
        <v>945</v>
      </c>
      <c r="PCF92" s="166" t="str">
        <f>VLOOKUP(PCE92,[13]AssetDetails_UEM!$A$3:$AH$1849,6,FALSE)</f>
        <v>Electrosurgical Units, Monopolar/Bipolar</v>
      </c>
      <c r="PCG92" s="165" t="s">
        <v>945</v>
      </c>
      <c r="PCH92" s="166" t="str">
        <f>VLOOKUP(PCG92,[13]AssetDetails_UEM!$A$3:$AH$1849,6,FALSE)</f>
        <v>Electrosurgical Units, Monopolar/Bipolar</v>
      </c>
      <c r="PCI92" s="165" t="s">
        <v>945</v>
      </c>
      <c r="PCJ92" s="166" t="str">
        <f>VLOOKUP(PCI92,[13]AssetDetails_UEM!$A$3:$AH$1849,6,FALSE)</f>
        <v>Electrosurgical Units, Monopolar/Bipolar</v>
      </c>
      <c r="PCK92" s="165" t="s">
        <v>945</v>
      </c>
      <c r="PCL92" s="166" t="str">
        <f>VLOOKUP(PCK92,[13]AssetDetails_UEM!$A$3:$AH$1849,6,FALSE)</f>
        <v>Electrosurgical Units, Monopolar/Bipolar</v>
      </c>
      <c r="PCM92" s="165" t="s">
        <v>945</v>
      </c>
      <c r="PCN92" s="166" t="str">
        <f>VLOOKUP(PCM92,[13]AssetDetails_UEM!$A$3:$AH$1849,6,FALSE)</f>
        <v>Electrosurgical Units, Monopolar/Bipolar</v>
      </c>
      <c r="PCO92" s="165" t="s">
        <v>945</v>
      </c>
      <c r="PCP92" s="166" t="str">
        <f>VLOOKUP(PCO92,[13]AssetDetails_UEM!$A$3:$AH$1849,6,FALSE)</f>
        <v>Electrosurgical Units, Monopolar/Bipolar</v>
      </c>
      <c r="PCQ92" s="165" t="s">
        <v>945</v>
      </c>
      <c r="PCR92" s="166" t="str">
        <f>VLOOKUP(PCQ92,[13]AssetDetails_UEM!$A$3:$AH$1849,6,FALSE)</f>
        <v>Electrosurgical Units, Monopolar/Bipolar</v>
      </c>
      <c r="PCS92" s="165" t="s">
        <v>945</v>
      </c>
      <c r="PCT92" s="166" t="str">
        <f>VLOOKUP(PCS92,[13]AssetDetails_UEM!$A$3:$AH$1849,6,FALSE)</f>
        <v>Electrosurgical Units, Monopolar/Bipolar</v>
      </c>
      <c r="PCU92" s="165" t="s">
        <v>945</v>
      </c>
      <c r="PCV92" s="166" t="str">
        <f>VLOOKUP(PCU92,[13]AssetDetails_UEM!$A$3:$AH$1849,6,FALSE)</f>
        <v>Electrosurgical Units, Monopolar/Bipolar</v>
      </c>
      <c r="PCW92" s="165" t="s">
        <v>945</v>
      </c>
      <c r="PCX92" s="166" t="str">
        <f>VLOOKUP(PCW92,[13]AssetDetails_UEM!$A$3:$AH$1849,6,FALSE)</f>
        <v>Electrosurgical Units, Monopolar/Bipolar</v>
      </c>
      <c r="PCY92" s="165" t="s">
        <v>945</v>
      </c>
      <c r="PCZ92" s="166" t="str">
        <f>VLOOKUP(PCY92,[13]AssetDetails_UEM!$A$3:$AH$1849,6,FALSE)</f>
        <v>Electrosurgical Units, Monopolar/Bipolar</v>
      </c>
      <c r="PDA92" s="165" t="s">
        <v>945</v>
      </c>
      <c r="PDB92" s="166" t="str">
        <f>VLOOKUP(PDA92,[13]AssetDetails_UEM!$A$3:$AH$1849,6,FALSE)</f>
        <v>Electrosurgical Units, Monopolar/Bipolar</v>
      </c>
      <c r="PDC92" s="165" t="s">
        <v>945</v>
      </c>
      <c r="PDD92" s="166" t="str">
        <f>VLOOKUP(PDC92,[13]AssetDetails_UEM!$A$3:$AH$1849,6,FALSE)</f>
        <v>Electrosurgical Units, Monopolar/Bipolar</v>
      </c>
      <c r="PDE92" s="165" t="s">
        <v>945</v>
      </c>
      <c r="PDF92" s="166" t="str">
        <f>VLOOKUP(PDE92,[13]AssetDetails_UEM!$A$3:$AH$1849,6,FALSE)</f>
        <v>Electrosurgical Units, Monopolar/Bipolar</v>
      </c>
      <c r="PDG92" s="165" t="s">
        <v>945</v>
      </c>
      <c r="PDH92" s="166" t="str">
        <f>VLOOKUP(PDG92,[13]AssetDetails_UEM!$A$3:$AH$1849,6,FALSE)</f>
        <v>Electrosurgical Units, Monopolar/Bipolar</v>
      </c>
      <c r="PDI92" s="165" t="s">
        <v>945</v>
      </c>
      <c r="PDJ92" s="166" t="str">
        <f>VLOOKUP(PDI92,[13]AssetDetails_UEM!$A$3:$AH$1849,6,FALSE)</f>
        <v>Electrosurgical Units, Monopolar/Bipolar</v>
      </c>
      <c r="PDK92" s="165" t="s">
        <v>945</v>
      </c>
      <c r="PDL92" s="166" t="str">
        <f>VLOOKUP(PDK92,[13]AssetDetails_UEM!$A$3:$AH$1849,6,FALSE)</f>
        <v>Electrosurgical Units, Monopolar/Bipolar</v>
      </c>
      <c r="PDM92" s="165" t="s">
        <v>945</v>
      </c>
      <c r="PDN92" s="166" t="str">
        <f>VLOOKUP(PDM92,[13]AssetDetails_UEM!$A$3:$AH$1849,6,FALSE)</f>
        <v>Electrosurgical Units, Monopolar/Bipolar</v>
      </c>
      <c r="PDO92" s="165" t="s">
        <v>945</v>
      </c>
      <c r="PDP92" s="166" t="str">
        <f>VLOOKUP(PDO92,[13]AssetDetails_UEM!$A$3:$AH$1849,6,FALSE)</f>
        <v>Electrosurgical Units, Monopolar/Bipolar</v>
      </c>
      <c r="PDQ92" s="165" t="s">
        <v>945</v>
      </c>
      <c r="PDR92" s="166" t="str">
        <f>VLOOKUP(PDQ92,[13]AssetDetails_UEM!$A$3:$AH$1849,6,FALSE)</f>
        <v>Electrosurgical Units, Monopolar/Bipolar</v>
      </c>
      <c r="PDS92" s="165" t="s">
        <v>945</v>
      </c>
      <c r="PDT92" s="166" t="str">
        <f>VLOOKUP(PDS92,[13]AssetDetails_UEM!$A$3:$AH$1849,6,FALSE)</f>
        <v>Electrosurgical Units, Monopolar/Bipolar</v>
      </c>
      <c r="PDU92" s="165" t="s">
        <v>945</v>
      </c>
      <c r="PDV92" s="166" t="str">
        <f>VLOOKUP(PDU92,[13]AssetDetails_UEM!$A$3:$AH$1849,6,FALSE)</f>
        <v>Electrosurgical Units, Monopolar/Bipolar</v>
      </c>
      <c r="PDW92" s="165" t="s">
        <v>945</v>
      </c>
      <c r="PDX92" s="166" t="str">
        <f>VLOOKUP(PDW92,[13]AssetDetails_UEM!$A$3:$AH$1849,6,FALSE)</f>
        <v>Electrosurgical Units, Monopolar/Bipolar</v>
      </c>
      <c r="PDY92" s="165" t="s">
        <v>945</v>
      </c>
      <c r="PDZ92" s="166" t="str">
        <f>VLOOKUP(PDY92,[13]AssetDetails_UEM!$A$3:$AH$1849,6,FALSE)</f>
        <v>Electrosurgical Units, Monopolar/Bipolar</v>
      </c>
      <c r="PEA92" s="165" t="s">
        <v>945</v>
      </c>
      <c r="PEB92" s="166" t="str">
        <f>VLOOKUP(PEA92,[13]AssetDetails_UEM!$A$3:$AH$1849,6,FALSE)</f>
        <v>Electrosurgical Units, Monopolar/Bipolar</v>
      </c>
      <c r="PEC92" s="165" t="s">
        <v>945</v>
      </c>
      <c r="PED92" s="166" t="str">
        <f>VLOOKUP(PEC92,[13]AssetDetails_UEM!$A$3:$AH$1849,6,FALSE)</f>
        <v>Electrosurgical Units, Monopolar/Bipolar</v>
      </c>
      <c r="PEE92" s="165" t="s">
        <v>945</v>
      </c>
      <c r="PEF92" s="166" t="str">
        <f>VLOOKUP(PEE92,[13]AssetDetails_UEM!$A$3:$AH$1849,6,FALSE)</f>
        <v>Electrosurgical Units, Monopolar/Bipolar</v>
      </c>
      <c r="PEG92" s="165" t="s">
        <v>945</v>
      </c>
      <c r="PEH92" s="166" t="str">
        <f>VLOOKUP(PEG92,[13]AssetDetails_UEM!$A$3:$AH$1849,6,FALSE)</f>
        <v>Electrosurgical Units, Monopolar/Bipolar</v>
      </c>
      <c r="PEI92" s="165" t="s">
        <v>945</v>
      </c>
      <c r="PEJ92" s="166" t="str">
        <f>VLOOKUP(PEI92,[13]AssetDetails_UEM!$A$3:$AH$1849,6,FALSE)</f>
        <v>Electrosurgical Units, Monopolar/Bipolar</v>
      </c>
      <c r="PEK92" s="165" t="s">
        <v>945</v>
      </c>
      <c r="PEL92" s="166" t="str">
        <f>VLOOKUP(PEK92,[13]AssetDetails_UEM!$A$3:$AH$1849,6,FALSE)</f>
        <v>Electrosurgical Units, Monopolar/Bipolar</v>
      </c>
      <c r="PEM92" s="165" t="s">
        <v>945</v>
      </c>
      <c r="PEN92" s="166" t="str">
        <f>VLOOKUP(PEM92,[13]AssetDetails_UEM!$A$3:$AH$1849,6,FALSE)</f>
        <v>Electrosurgical Units, Monopolar/Bipolar</v>
      </c>
      <c r="PEO92" s="165" t="s">
        <v>945</v>
      </c>
      <c r="PEP92" s="166" t="str">
        <f>VLOOKUP(PEO92,[13]AssetDetails_UEM!$A$3:$AH$1849,6,FALSE)</f>
        <v>Electrosurgical Units, Monopolar/Bipolar</v>
      </c>
      <c r="PEQ92" s="165" t="s">
        <v>945</v>
      </c>
      <c r="PER92" s="166" t="str">
        <f>VLOOKUP(PEQ92,[13]AssetDetails_UEM!$A$3:$AH$1849,6,FALSE)</f>
        <v>Electrosurgical Units, Monopolar/Bipolar</v>
      </c>
      <c r="PES92" s="165" t="s">
        <v>945</v>
      </c>
      <c r="PET92" s="166" t="str">
        <f>VLOOKUP(PES92,[13]AssetDetails_UEM!$A$3:$AH$1849,6,FALSE)</f>
        <v>Electrosurgical Units, Monopolar/Bipolar</v>
      </c>
      <c r="PEU92" s="165" t="s">
        <v>945</v>
      </c>
      <c r="PEV92" s="166" t="str">
        <f>VLOOKUP(PEU92,[13]AssetDetails_UEM!$A$3:$AH$1849,6,FALSE)</f>
        <v>Electrosurgical Units, Monopolar/Bipolar</v>
      </c>
      <c r="PEW92" s="165" t="s">
        <v>945</v>
      </c>
      <c r="PEX92" s="166" t="str">
        <f>VLOOKUP(PEW92,[13]AssetDetails_UEM!$A$3:$AH$1849,6,FALSE)</f>
        <v>Electrosurgical Units, Monopolar/Bipolar</v>
      </c>
      <c r="PEY92" s="165" t="s">
        <v>945</v>
      </c>
      <c r="PEZ92" s="166" t="str">
        <f>VLOOKUP(PEY92,[13]AssetDetails_UEM!$A$3:$AH$1849,6,FALSE)</f>
        <v>Electrosurgical Units, Monopolar/Bipolar</v>
      </c>
      <c r="PFA92" s="165" t="s">
        <v>945</v>
      </c>
      <c r="PFB92" s="166" t="str">
        <f>VLOOKUP(PFA92,[13]AssetDetails_UEM!$A$3:$AH$1849,6,FALSE)</f>
        <v>Electrosurgical Units, Monopolar/Bipolar</v>
      </c>
      <c r="PFC92" s="165" t="s">
        <v>945</v>
      </c>
      <c r="PFD92" s="166" t="str">
        <f>VLOOKUP(PFC92,[13]AssetDetails_UEM!$A$3:$AH$1849,6,FALSE)</f>
        <v>Electrosurgical Units, Monopolar/Bipolar</v>
      </c>
      <c r="PFE92" s="165" t="s">
        <v>945</v>
      </c>
      <c r="PFF92" s="166" t="str">
        <f>VLOOKUP(PFE92,[13]AssetDetails_UEM!$A$3:$AH$1849,6,FALSE)</f>
        <v>Electrosurgical Units, Monopolar/Bipolar</v>
      </c>
      <c r="PFG92" s="165" t="s">
        <v>945</v>
      </c>
      <c r="PFH92" s="166" t="str">
        <f>VLOOKUP(PFG92,[13]AssetDetails_UEM!$A$3:$AH$1849,6,FALSE)</f>
        <v>Electrosurgical Units, Monopolar/Bipolar</v>
      </c>
      <c r="PFI92" s="165" t="s">
        <v>945</v>
      </c>
      <c r="PFJ92" s="166" t="str">
        <f>VLOOKUP(PFI92,[13]AssetDetails_UEM!$A$3:$AH$1849,6,FALSE)</f>
        <v>Electrosurgical Units, Monopolar/Bipolar</v>
      </c>
      <c r="PFK92" s="165" t="s">
        <v>945</v>
      </c>
      <c r="PFL92" s="166" t="str">
        <f>VLOOKUP(PFK92,[13]AssetDetails_UEM!$A$3:$AH$1849,6,FALSE)</f>
        <v>Electrosurgical Units, Monopolar/Bipolar</v>
      </c>
      <c r="PFM92" s="165" t="s">
        <v>945</v>
      </c>
      <c r="PFN92" s="166" t="str">
        <f>VLOOKUP(PFM92,[13]AssetDetails_UEM!$A$3:$AH$1849,6,FALSE)</f>
        <v>Electrosurgical Units, Monopolar/Bipolar</v>
      </c>
      <c r="PFO92" s="165" t="s">
        <v>945</v>
      </c>
      <c r="PFP92" s="166" t="str">
        <f>VLOOKUP(PFO92,[13]AssetDetails_UEM!$A$3:$AH$1849,6,FALSE)</f>
        <v>Electrosurgical Units, Monopolar/Bipolar</v>
      </c>
      <c r="PFQ92" s="165" t="s">
        <v>945</v>
      </c>
      <c r="PFR92" s="166" t="str">
        <f>VLOOKUP(PFQ92,[13]AssetDetails_UEM!$A$3:$AH$1849,6,FALSE)</f>
        <v>Electrosurgical Units, Monopolar/Bipolar</v>
      </c>
      <c r="PFS92" s="165" t="s">
        <v>945</v>
      </c>
      <c r="PFT92" s="166" t="str">
        <f>VLOOKUP(PFS92,[13]AssetDetails_UEM!$A$3:$AH$1849,6,FALSE)</f>
        <v>Electrosurgical Units, Monopolar/Bipolar</v>
      </c>
      <c r="PFU92" s="165" t="s">
        <v>945</v>
      </c>
      <c r="PFV92" s="166" t="str">
        <f>VLOOKUP(PFU92,[13]AssetDetails_UEM!$A$3:$AH$1849,6,FALSE)</f>
        <v>Electrosurgical Units, Monopolar/Bipolar</v>
      </c>
      <c r="PFW92" s="165" t="s">
        <v>945</v>
      </c>
      <c r="PFX92" s="166" t="str">
        <f>VLOOKUP(PFW92,[13]AssetDetails_UEM!$A$3:$AH$1849,6,FALSE)</f>
        <v>Electrosurgical Units, Monopolar/Bipolar</v>
      </c>
      <c r="PFY92" s="165" t="s">
        <v>945</v>
      </c>
      <c r="PFZ92" s="166" t="str">
        <f>VLOOKUP(PFY92,[13]AssetDetails_UEM!$A$3:$AH$1849,6,FALSE)</f>
        <v>Electrosurgical Units, Monopolar/Bipolar</v>
      </c>
      <c r="PGA92" s="165" t="s">
        <v>945</v>
      </c>
      <c r="PGB92" s="166" t="str">
        <f>VLOOKUP(PGA92,[13]AssetDetails_UEM!$A$3:$AH$1849,6,FALSE)</f>
        <v>Electrosurgical Units, Monopolar/Bipolar</v>
      </c>
      <c r="PGC92" s="165" t="s">
        <v>945</v>
      </c>
      <c r="PGD92" s="166" t="str">
        <f>VLOOKUP(PGC92,[13]AssetDetails_UEM!$A$3:$AH$1849,6,FALSE)</f>
        <v>Electrosurgical Units, Monopolar/Bipolar</v>
      </c>
      <c r="PGE92" s="165" t="s">
        <v>945</v>
      </c>
      <c r="PGF92" s="166" t="str">
        <f>VLOOKUP(PGE92,[13]AssetDetails_UEM!$A$3:$AH$1849,6,FALSE)</f>
        <v>Electrosurgical Units, Monopolar/Bipolar</v>
      </c>
      <c r="PGG92" s="165" t="s">
        <v>945</v>
      </c>
      <c r="PGH92" s="166" t="str">
        <f>VLOOKUP(PGG92,[13]AssetDetails_UEM!$A$3:$AH$1849,6,FALSE)</f>
        <v>Electrosurgical Units, Monopolar/Bipolar</v>
      </c>
      <c r="PGI92" s="165" t="s">
        <v>945</v>
      </c>
      <c r="PGJ92" s="166" t="str">
        <f>VLOOKUP(PGI92,[13]AssetDetails_UEM!$A$3:$AH$1849,6,FALSE)</f>
        <v>Electrosurgical Units, Monopolar/Bipolar</v>
      </c>
      <c r="PGK92" s="165" t="s">
        <v>945</v>
      </c>
      <c r="PGL92" s="166" t="str">
        <f>VLOOKUP(PGK92,[13]AssetDetails_UEM!$A$3:$AH$1849,6,FALSE)</f>
        <v>Electrosurgical Units, Monopolar/Bipolar</v>
      </c>
      <c r="PGM92" s="165" t="s">
        <v>945</v>
      </c>
      <c r="PGN92" s="166" t="str">
        <f>VLOOKUP(PGM92,[13]AssetDetails_UEM!$A$3:$AH$1849,6,FALSE)</f>
        <v>Electrosurgical Units, Monopolar/Bipolar</v>
      </c>
      <c r="PGO92" s="165" t="s">
        <v>945</v>
      </c>
      <c r="PGP92" s="166" t="str">
        <f>VLOOKUP(PGO92,[13]AssetDetails_UEM!$A$3:$AH$1849,6,FALSE)</f>
        <v>Electrosurgical Units, Monopolar/Bipolar</v>
      </c>
      <c r="PGQ92" s="165" t="s">
        <v>945</v>
      </c>
      <c r="PGR92" s="166" t="str">
        <f>VLOOKUP(PGQ92,[13]AssetDetails_UEM!$A$3:$AH$1849,6,FALSE)</f>
        <v>Electrosurgical Units, Monopolar/Bipolar</v>
      </c>
      <c r="PGS92" s="165" t="s">
        <v>945</v>
      </c>
      <c r="PGT92" s="166" t="str">
        <f>VLOOKUP(PGS92,[13]AssetDetails_UEM!$A$3:$AH$1849,6,FALSE)</f>
        <v>Electrosurgical Units, Monopolar/Bipolar</v>
      </c>
      <c r="PGU92" s="165" t="s">
        <v>945</v>
      </c>
      <c r="PGV92" s="166" t="str">
        <f>VLOOKUP(PGU92,[13]AssetDetails_UEM!$A$3:$AH$1849,6,FALSE)</f>
        <v>Electrosurgical Units, Monopolar/Bipolar</v>
      </c>
      <c r="PGW92" s="165" t="s">
        <v>945</v>
      </c>
      <c r="PGX92" s="166" t="str">
        <f>VLOOKUP(PGW92,[13]AssetDetails_UEM!$A$3:$AH$1849,6,FALSE)</f>
        <v>Electrosurgical Units, Monopolar/Bipolar</v>
      </c>
      <c r="PGY92" s="165" t="s">
        <v>945</v>
      </c>
      <c r="PGZ92" s="166" t="str">
        <f>VLOOKUP(PGY92,[13]AssetDetails_UEM!$A$3:$AH$1849,6,FALSE)</f>
        <v>Electrosurgical Units, Monopolar/Bipolar</v>
      </c>
      <c r="PHA92" s="165" t="s">
        <v>945</v>
      </c>
      <c r="PHB92" s="166" t="str">
        <f>VLOOKUP(PHA92,[13]AssetDetails_UEM!$A$3:$AH$1849,6,FALSE)</f>
        <v>Electrosurgical Units, Monopolar/Bipolar</v>
      </c>
      <c r="PHC92" s="165" t="s">
        <v>945</v>
      </c>
      <c r="PHD92" s="166" t="str">
        <f>VLOOKUP(PHC92,[13]AssetDetails_UEM!$A$3:$AH$1849,6,FALSE)</f>
        <v>Electrosurgical Units, Monopolar/Bipolar</v>
      </c>
      <c r="PHE92" s="165" t="s">
        <v>945</v>
      </c>
      <c r="PHF92" s="166" t="str">
        <f>VLOOKUP(PHE92,[13]AssetDetails_UEM!$A$3:$AH$1849,6,FALSE)</f>
        <v>Electrosurgical Units, Monopolar/Bipolar</v>
      </c>
      <c r="PHG92" s="165" t="s">
        <v>945</v>
      </c>
      <c r="PHH92" s="166" t="str">
        <f>VLOOKUP(PHG92,[13]AssetDetails_UEM!$A$3:$AH$1849,6,FALSE)</f>
        <v>Electrosurgical Units, Monopolar/Bipolar</v>
      </c>
      <c r="PHI92" s="165" t="s">
        <v>945</v>
      </c>
      <c r="PHJ92" s="166" t="str">
        <f>VLOOKUP(PHI92,[13]AssetDetails_UEM!$A$3:$AH$1849,6,FALSE)</f>
        <v>Electrosurgical Units, Monopolar/Bipolar</v>
      </c>
      <c r="PHK92" s="165" t="s">
        <v>945</v>
      </c>
      <c r="PHL92" s="166" t="str">
        <f>VLOOKUP(PHK92,[13]AssetDetails_UEM!$A$3:$AH$1849,6,FALSE)</f>
        <v>Electrosurgical Units, Monopolar/Bipolar</v>
      </c>
      <c r="PHM92" s="165" t="s">
        <v>945</v>
      </c>
      <c r="PHN92" s="166" t="str">
        <f>VLOOKUP(PHM92,[13]AssetDetails_UEM!$A$3:$AH$1849,6,FALSE)</f>
        <v>Electrosurgical Units, Monopolar/Bipolar</v>
      </c>
      <c r="PHO92" s="165" t="s">
        <v>945</v>
      </c>
      <c r="PHP92" s="166" t="str">
        <f>VLOOKUP(PHO92,[13]AssetDetails_UEM!$A$3:$AH$1849,6,FALSE)</f>
        <v>Electrosurgical Units, Monopolar/Bipolar</v>
      </c>
      <c r="PHQ92" s="165" t="s">
        <v>945</v>
      </c>
      <c r="PHR92" s="166" t="str">
        <f>VLOOKUP(PHQ92,[13]AssetDetails_UEM!$A$3:$AH$1849,6,FALSE)</f>
        <v>Electrosurgical Units, Monopolar/Bipolar</v>
      </c>
      <c r="PHS92" s="165" t="s">
        <v>945</v>
      </c>
      <c r="PHT92" s="166" t="str">
        <f>VLOOKUP(PHS92,[13]AssetDetails_UEM!$A$3:$AH$1849,6,FALSE)</f>
        <v>Electrosurgical Units, Monopolar/Bipolar</v>
      </c>
      <c r="PHU92" s="165" t="s">
        <v>945</v>
      </c>
      <c r="PHV92" s="166" t="str">
        <f>VLOOKUP(PHU92,[13]AssetDetails_UEM!$A$3:$AH$1849,6,FALSE)</f>
        <v>Electrosurgical Units, Monopolar/Bipolar</v>
      </c>
      <c r="PHW92" s="165" t="s">
        <v>945</v>
      </c>
      <c r="PHX92" s="166" t="str">
        <f>VLOOKUP(PHW92,[13]AssetDetails_UEM!$A$3:$AH$1849,6,FALSE)</f>
        <v>Electrosurgical Units, Monopolar/Bipolar</v>
      </c>
      <c r="PHY92" s="165" t="s">
        <v>945</v>
      </c>
      <c r="PHZ92" s="166" t="str">
        <f>VLOOKUP(PHY92,[13]AssetDetails_UEM!$A$3:$AH$1849,6,FALSE)</f>
        <v>Electrosurgical Units, Monopolar/Bipolar</v>
      </c>
      <c r="PIA92" s="165" t="s">
        <v>945</v>
      </c>
      <c r="PIB92" s="166" t="str">
        <f>VLOOKUP(PIA92,[13]AssetDetails_UEM!$A$3:$AH$1849,6,FALSE)</f>
        <v>Electrosurgical Units, Monopolar/Bipolar</v>
      </c>
      <c r="PIC92" s="165" t="s">
        <v>945</v>
      </c>
      <c r="PID92" s="166" t="str">
        <f>VLOOKUP(PIC92,[13]AssetDetails_UEM!$A$3:$AH$1849,6,FALSE)</f>
        <v>Electrosurgical Units, Monopolar/Bipolar</v>
      </c>
      <c r="PIE92" s="165" t="s">
        <v>945</v>
      </c>
      <c r="PIF92" s="166" t="str">
        <f>VLOOKUP(PIE92,[13]AssetDetails_UEM!$A$3:$AH$1849,6,FALSE)</f>
        <v>Electrosurgical Units, Monopolar/Bipolar</v>
      </c>
      <c r="PIG92" s="165" t="s">
        <v>945</v>
      </c>
      <c r="PIH92" s="166" t="str">
        <f>VLOOKUP(PIG92,[13]AssetDetails_UEM!$A$3:$AH$1849,6,FALSE)</f>
        <v>Electrosurgical Units, Monopolar/Bipolar</v>
      </c>
      <c r="PII92" s="165" t="s">
        <v>945</v>
      </c>
      <c r="PIJ92" s="166" t="str">
        <f>VLOOKUP(PII92,[13]AssetDetails_UEM!$A$3:$AH$1849,6,FALSE)</f>
        <v>Electrosurgical Units, Monopolar/Bipolar</v>
      </c>
      <c r="PIK92" s="165" t="s">
        <v>945</v>
      </c>
      <c r="PIL92" s="166" t="str">
        <f>VLOOKUP(PIK92,[13]AssetDetails_UEM!$A$3:$AH$1849,6,FALSE)</f>
        <v>Electrosurgical Units, Monopolar/Bipolar</v>
      </c>
      <c r="PIM92" s="165" t="s">
        <v>945</v>
      </c>
      <c r="PIN92" s="166" t="str">
        <f>VLOOKUP(PIM92,[13]AssetDetails_UEM!$A$3:$AH$1849,6,FALSE)</f>
        <v>Electrosurgical Units, Monopolar/Bipolar</v>
      </c>
      <c r="PIO92" s="165" t="s">
        <v>945</v>
      </c>
      <c r="PIP92" s="166" t="str">
        <f>VLOOKUP(PIO92,[13]AssetDetails_UEM!$A$3:$AH$1849,6,FALSE)</f>
        <v>Electrosurgical Units, Monopolar/Bipolar</v>
      </c>
      <c r="PIQ92" s="165" t="s">
        <v>945</v>
      </c>
      <c r="PIR92" s="166" t="str">
        <f>VLOOKUP(PIQ92,[13]AssetDetails_UEM!$A$3:$AH$1849,6,FALSE)</f>
        <v>Electrosurgical Units, Monopolar/Bipolar</v>
      </c>
      <c r="PIS92" s="165" t="s">
        <v>945</v>
      </c>
      <c r="PIT92" s="166" t="str">
        <f>VLOOKUP(PIS92,[13]AssetDetails_UEM!$A$3:$AH$1849,6,FALSE)</f>
        <v>Electrosurgical Units, Monopolar/Bipolar</v>
      </c>
      <c r="PIU92" s="165" t="s">
        <v>945</v>
      </c>
      <c r="PIV92" s="166" t="str">
        <f>VLOOKUP(PIU92,[13]AssetDetails_UEM!$A$3:$AH$1849,6,FALSE)</f>
        <v>Electrosurgical Units, Monopolar/Bipolar</v>
      </c>
      <c r="PIW92" s="165" t="s">
        <v>945</v>
      </c>
      <c r="PIX92" s="166" t="str">
        <f>VLOOKUP(PIW92,[13]AssetDetails_UEM!$A$3:$AH$1849,6,FALSE)</f>
        <v>Electrosurgical Units, Monopolar/Bipolar</v>
      </c>
      <c r="PIY92" s="165" t="s">
        <v>945</v>
      </c>
      <c r="PIZ92" s="166" t="str">
        <f>VLOOKUP(PIY92,[13]AssetDetails_UEM!$A$3:$AH$1849,6,FALSE)</f>
        <v>Electrosurgical Units, Monopolar/Bipolar</v>
      </c>
      <c r="PJA92" s="165" t="s">
        <v>945</v>
      </c>
      <c r="PJB92" s="166" t="str">
        <f>VLOOKUP(PJA92,[13]AssetDetails_UEM!$A$3:$AH$1849,6,FALSE)</f>
        <v>Electrosurgical Units, Monopolar/Bipolar</v>
      </c>
      <c r="PJC92" s="165" t="s">
        <v>945</v>
      </c>
      <c r="PJD92" s="166" t="str">
        <f>VLOOKUP(PJC92,[13]AssetDetails_UEM!$A$3:$AH$1849,6,FALSE)</f>
        <v>Electrosurgical Units, Monopolar/Bipolar</v>
      </c>
      <c r="PJE92" s="165" t="s">
        <v>945</v>
      </c>
      <c r="PJF92" s="166" t="str">
        <f>VLOOKUP(PJE92,[13]AssetDetails_UEM!$A$3:$AH$1849,6,FALSE)</f>
        <v>Electrosurgical Units, Monopolar/Bipolar</v>
      </c>
      <c r="PJG92" s="165" t="s">
        <v>945</v>
      </c>
      <c r="PJH92" s="166" t="str">
        <f>VLOOKUP(PJG92,[13]AssetDetails_UEM!$A$3:$AH$1849,6,FALSE)</f>
        <v>Electrosurgical Units, Monopolar/Bipolar</v>
      </c>
      <c r="PJI92" s="165" t="s">
        <v>945</v>
      </c>
      <c r="PJJ92" s="166" t="str">
        <f>VLOOKUP(PJI92,[13]AssetDetails_UEM!$A$3:$AH$1849,6,FALSE)</f>
        <v>Electrosurgical Units, Monopolar/Bipolar</v>
      </c>
      <c r="PJK92" s="165" t="s">
        <v>945</v>
      </c>
      <c r="PJL92" s="166" t="str">
        <f>VLOOKUP(PJK92,[13]AssetDetails_UEM!$A$3:$AH$1849,6,FALSE)</f>
        <v>Electrosurgical Units, Monopolar/Bipolar</v>
      </c>
      <c r="PJM92" s="165" t="s">
        <v>945</v>
      </c>
      <c r="PJN92" s="166" t="str">
        <f>VLOOKUP(PJM92,[13]AssetDetails_UEM!$A$3:$AH$1849,6,FALSE)</f>
        <v>Electrosurgical Units, Monopolar/Bipolar</v>
      </c>
      <c r="PJO92" s="165" t="s">
        <v>945</v>
      </c>
      <c r="PJP92" s="166" t="str">
        <f>VLOOKUP(PJO92,[13]AssetDetails_UEM!$A$3:$AH$1849,6,FALSE)</f>
        <v>Electrosurgical Units, Monopolar/Bipolar</v>
      </c>
      <c r="PJQ92" s="165" t="s">
        <v>945</v>
      </c>
      <c r="PJR92" s="166" t="str">
        <f>VLOOKUP(PJQ92,[13]AssetDetails_UEM!$A$3:$AH$1849,6,FALSE)</f>
        <v>Electrosurgical Units, Monopolar/Bipolar</v>
      </c>
      <c r="PJS92" s="165" t="s">
        <v>945</v>
      </c>
      <c r="PJT92" s="166" t="str">
        <f>VLOOKUP(PJS92,[13]AssetDetails_UEM!$A$3:$AH$1849,6,FALSE)</f>
        <v>Electrosurgical Units, Monopolar/Bipolar</v>
      </c>
      <c r="PJU92" s="165" t="s">
        <v>945</v>
      </c>
      <c r="PJV92" s="166" t="str">
        <f>VLOOKUP(PJU92,[13]AssetDetails_UEM!$A$3:$AH$1849,6,FALSE)</f>
        <v>Electrosurgical Units, Monopolar/Bipolar</v>
      </c>
      <c r="PJW92" s="165" t="s">
        <v>945</v>
      </c>
      <c r="PJX92" s="166" t="str">
        <f>VLOOKUP(PJW92,[13]AssetDetails_UEM!$A$3:$AH$1849,6,FALSE)</f>
        <v>Electrosurgical Units, Monopolar/Bipolar</v>
      </c>
      <c r="PJY92" s="165" t="s">
        <v>945</v>
      </c>
      <c r="PJZ92" s="166" t="str">
        <f>VLOOKUP(PJY92,[13]AssetDetails_UEM!$A$3:$AH$1849,6,FALSE)</f>
        <v>Electrosurgical Units, Monopolar/Bipolar</v>
      </c>
      <c r="PKA92" s="165" t="s">
        <v>945</v>
      </c>
      <c r="PKB92" s="166" t="str">
        <f>VLOOKUP(PKA92,[13]AssetDetails_UEM!$A$3:$AH$1849,6,FALSE)</f>
        <v>Electrosurgical Units, Monopolar/Bipolar</v>
      </c>
      <c r="PKC92" s="165" t="s">
        <v>945</v>
      </c>
      <c r="PKD92" s="166" t="str">
        <f>VLOOKUP(PKC92,[13]AssetDetails_UEM!$A$3:$AH$1849,6,FALSE)</f>
        <v>Electrosurgical Units, Monopolar/Bipolar</v>
      </c>
      <c r="PKE92" s="165" t="s">
        <v>945</v>
      </c>
      <c r="PKF92" s="166" t="str">
        <f>VLOOKUP(PKE92,[13]AssetDetails_UEM!$A$3:$AH$1849,6,FALSE)</f>
        <v>Electrosurgical Units, Monopolar/Bipolar</v>
      </c>
      <c r="PKG92" s="165" t="s">
        <v>945</v>
      </c>
      <c r="PKH92" s="166" t="str">
        <f>VLOOKUP(PKG92,[13]AssetDetails_UEM!$A$3:$AH$1849,6,FALSE)</f>
        <v>Electrosurgical Units, Monopolar/Bipolar</v>
      </c>
      <c r="PKI92" s="165" t="s">
        <v>945</v>
      </c>
      <c r="PKJ92" s="166" t="str">
        <f>VLOOKUP(PKI92,[13]AssetDetails_UEM!$A$3:$AH$1849,6,FALSE)</f>
        <v>Electrosurgical Units, Monopolar/Bipolar</v>
      </c>
      <c r="PKK92" s="165" t="s">
        <v>945</v>
      </c>
      <c r="PKL92" s="166" t="str">
        <f>VLOOKUP(PKK92,[13]AssetDetails_UEM!$A$3:$AH$1849,6,FALSE)</f>
        <v>Electrosurgical Units, Monopolar/Bipolar</v>
      </c>
      <c r="PKM92" s="165" t="s">
        <v>945</v>
      </c>
      <c r="PKN92" s="166" t="str">
        <f>VLOOKUP(PKM92,[13]AssetDetails_UEM!$A$3:$AH$1849,6,FALSE)</f>
        <v>Electrosurgical Units, Monopolar/Bipolar</v>
      </c>
      <c r="PKO92" s="165" t="s">
        <v>945</v>
      </c>
      <c r="PKP92" s="166" t="str">
        <f>VLOOKUP(PKO92,[13]AssetDetails_UEM!$A$3:$AH$1849,6,FALSE)</f>
        <v>Electrosurgical Units, Monopolar/Bipolar</v>
      </c>
      <c r="PKQ92" s="165" t="s">
        <v>945</v>
      </c>
      <c r="PKR92" s="166" t="str">
        <f>VLOOKUP(PKQ92,[13]AssetDetails_UEM!$A$3:$AH$1849,6,FALSE)</f>
        <v>Electrosurgical Units, Monopolar/Bipolar</v>
      </c>
      <c r="PKS92" s="165" t="s">
        <v>945</v>
      </c>
      <c r="PKT92" s="166" t="str">
        <f>VLOOKUP(PKS92,[13]AssetDetails_UEM!$A$3:$AH$1849,6,FALSE)</f>
        <v>Electrosurgical Units, Monopolar/Bipolar</v>
      </c>
      <c r="PKU92" s="165" t="s">
        <v>945</v>
      </c>
      <c r="PKV92" s="166" t="str">
        <f>VLOOKUP(PKU92,[13]AssetDetails_UEM!$A$3:$AH$1849,6,FALSE)</f>
        <v>Electrosurgical Units, Monopolar/Bipolar</v>
      </c>
      <c r="PKW92" s="165" t="s">
        <v>945</v>
      </c>
      <c r="PKX92" s="166" t="str">
        <f>VLOOKUP(PKW92,[13]AssetDetails_UEM!$A$3:$AH$1849,6,FALSE)</f>
        <v>Electrosurgical Units, Monopolar/Bipolar</v>
      </c>
      <c r="PKY92" s="165" t="s">
        <v>945</v>
      </c>
      <c r="PKZ92" s="166" t="str">
        <f>VLOOKUP(PKY92,[13]AssetDetails_UEM!$A$3:$AH$1849,6,FALSE)</f>
        <v>Electrosurgical Units, Monopolar/Bipolar</v>
      </c>
      <c r="PLA92" s="165" t="s">
        <v>945</v>
      </c>
      <c r="PLB92" s="166" t="str">
        <f>VLOOKUP(PLA92,[13]AssetDetails_UEM!$A$3:$AH$1849,6,FALSE)</f>
        <v>Electrosurgical Units, Monopolar/Bipolar</v>
      </c>
      <c r="PLC92" s="165" t="s">
        <v>945</v>
      </c>
      <c r="PLD92" s="166" t="str">
        <f>VLOOKUP(PLC92,[13]AssetDetails_UEM!$A$3:$AH$1849,6,FALSE)</f>
        <v>Electrosurgical Units, Monopolar/Bipolar</v>
      </c>
      <c r="PLE92" s="165" t="s">
        <v>945</v>
      </c>
      <c r="PLF92" s="166" t="str">
        <f>VLOOKUP(PLE92,[13]AssetDetails_UEM!$A$3:$AH$1849,6,FALSE)</f>
        <v>Electrosurgical Units, Monopolar/Bipolar</v>
      </c>
      <c r="PLG92" s="165" t="s">
        <v>945</v>
      </c>
      <c r="PLH92" s="166" t="str">
        <f>VLOOKUP(PLG92,[13]AssetDetails_UEM!$A$3:$AH$1849,6,FALSE)</f>
        <v>Electrosurgical Units, Monopolar/Bipolar</v>
      </c>
      <c r="PLI92" s="165" t="s">
        <v>945</v>
      </c>
      <c r="PLJ92" s="166" t="str">
        <f>VLOOKUP(PLI92,[13]AssetDetails_UEM!$A$3:$AH$1849,6,FALSE)</f>
        <v>Electrosurgical Units, Monopolar/Bipolar</v>
      </c>
      <c r="PLK92" s="165" t="s">
        <v>945</v>
      </c>
      <c r="PLL92" s="166" t="str">
        <f>VLOOKUP(PLK92,[13]AssetDetails_UEM!$A$3:$AH$1849,6,FALSE)</f>
        <v>Electrosurgical Units, Monopolar/Bipolar</v>
      </c>
      <c r="PLM92" s="165" t="s">
        <v>945</v>
      </c>
      <c r="PLN92" s="166" t="str">
        <f>VLOOKUP(PLM92,[13]AssetDetails_UEM!$A$3:$AH$1849,6,FALSE)</f>
        <v>Electrosurgical Units, Monopolar/Bipolar</v>
      </c>
      <c r="PLO92" s="165" t="s">
        <v>945</v>
      </c>
      <c r="PLP92" s="166" t="str">
        <f>VLOOKUP(PLO92,[13]AssetDetails_UEM!$A$3:$AH$1849,6,FALSE)</f>
        <v>Electrosurgical Units, Monopolar/Bipolar</v>
      </c>
      <c r="PLQ92" s="165" t="s">
        <v>945</v>
      </c>
      <c r="PLR92" s="166" t="str">
        <f>VLOOKUP(PLQ92,[13]AssetDetails_UEM!$A$3:$AH$1849,6,FALSE)</f>
        <v>Electrosurgical Units, Monopolar/Bipolar</v>
      </c>
      <c r="PLS92" s="165" t="s">
        <v>945</v>
      </c>
      <c r="PLT92" s="166" t="str">
        <f>VLOOKUP(PLS92,[13]AssetDetails_UEM!$A$3:$AH$1849,6,FALSE)</f>
        <v>Electrosurgical Units, Monopolar/Bipolar</v>
      </c>
      <c r="PLU92" s="165" t="s">
        <v>945</v>
      </c>
      <c r="PLV92" s="166" t="str">
        <f>VLOOKUP(PLU92,[13]AssetDetails_UEM!$A$3:$AH$1849,6,FALSE)</f>
        <v>Electrosurgical Units, Monopolar/Bipolar</v>
      </c>
      <c r="PLW92" s="165" t="s">
        <v>945</v>
      </c>
      <c r="PLX92" s="166" t="str">
        <f>VLOOKUP(PLW92,[13]AssetDetails_UEM!$A$3:$AH$1849,6,FALSE)</f>
        <v>Electrosurgical Units, Monopolar/Bipolar</v>
      </c>
      <c r="PLY92" s="165" t="s">
        <v>945</v>
      </c>
      <c r="PLZ92" s="166" t="str">
        <f>VLOOKUP(PLY92,[13]AssetDetails_UEM!$A$3:$AH$1849,6,FALSE)</f>
        <v>Electrosurgical Units, Monopolar/Bipolar</v>
      </c>
      <c r="PMA92" s="165" t="s">
        <v>945</v>
      </c>
      <c r="PMB92" s="166" t="str">
        <f>VLOOKUP(PMA92,[13]AssetDetails_UEM!$A$3:$AH$1849,6,FALSE)</f>
        <v>Electrosurgical Units, Monopolar/Bipolar</v>
      </c>
      <c r="PMC92" s="165" t="s">
        <v>945</v>
      </c>
      <c r="PMD92" s="166" t="str">
        <f>VLOOKUP(PMC92,[13]AssetDetails_UEM!$A$3:$AH$1849,6,FALSE)</f>
        <v>Electrosurgical Units, Monopolar/Bipolar</v>
      </c>
      <c r="PME92" s="165" t="s">
        <v>945</v>
      </c>
      <c r="PMF92" s="166" t="str">
        <f>VLOOKUP(PME92,[13]AssetDetails_UEM!$A$3:$AH$1849,6,FALSE)</f>
        <v>Electrosurgical Units, Monopolar/Bipolar</v>
      </c>
      <c r="PMG92" s="165" t="s">
        <v>945</v>
      </c>
      <c r="PMH92" s="166" t="str">
        <f>VLOOKUP(PMG92,[13]AssetDetails_UEM!$A$3:$AH$1849,6,FALSE)</f>
        <v>Electrosurgical Units, Monopolar/Bipolar</v>
      </c>
      <c r="PMI92" s="165" t="s">
        <v>945</v>
      </c>
      <c r="PMJ92" s="166" t="str">
        <f>VLOOKUP(PMI92,[13]AssetDetails_UEM!$A$3:$AH$1849,6,FALSE)</f>
        <v>Electrosurgical Units, Monopolar/Bipolar</v>
      </c>
      <c r="PMK92" s="165" t="s">
        <v>945</v>
      </c>
      <c r="PML92" s="166" t="str">
        <f>VLOOKUP(PMK92,[13]AssetDetails_UEM!$A$3:$AH$1849,6,FALSE)</f>
        <v>Electrosurgical Units, Monopolar/Bipolar</v>
      </c>
      <c r="PMM92" s="165" t="s">
        <v>945</v>
      </c>
      <c r="PMN92" s="166" t="str">
        <f>VLOOKUP(PMM92,[13]AssetDetails_UEM!$A$3:$AH$1849,6,FALSE)</f>
        <v>Electrosurgical Units, Monopolar/Bipolar</v>
      </c>
      <c r="PMO92" s="165" t="s">
        <v>945</v>
      </c>
      <c r="PMP92" s="166" t="str">
        <f>VLOOKUP(PMO92,[13]AssetDetails_UEM!$A$3:$AH$1849,6,FALSE)</f>
        <v>Electrosurgical Units, Monopolar/Bipolar</v>
      </c>
      <c r="PMQ92" s="165" t="s">
        <v>945</v>
      </c>
      <c r="PMR92" s="166" t="str">
        <f>VLOOKUP(PMQ92,[13]AssetDetails_UEM!$A$3:$AH$1849,6,FALSE)</f>
        <v>Electrosurgical Units, Monopolar/Bipolar</v>
      </c>
      <c r="PMS92" s="165" t="s">
        <v>945</v>
      </c>
      <c r="PMT92" s="166" t="str">
        <f>VLOOKUP(PMS92,[13]AssetDetails_UEM!$A$3:$AH$1849,6,FALSE)</f>
        <v>Electrosurgical Units, Monopolar/Bipolar</v>
      </c>
      <c r="PMU92" s="165" t="s">
        <v>945</v>
      </c>
      <c r="PMV92" s="166" t="str">
        <f>VLOOKUP(PMU92,[13]AssetDetails_UEM!$A$3:$AH$1849,6,FALSE)</f>
        <v>Electrosurgical Units, Monopolar/Bipolar</v>
      </c>
      <c r="PMW92" s="165" t="s">
        <v>945</v>
      </c>
      <c r="PMX92" s="166" t="str">
        <f>VLOOKUP(PMW92,[13]AssetDetails_UEM!$A$3:$AH$1849,6,FALSE)</f>
        <v>Electrosurgical Units, Monopolar/Bipolar</v>
      </c>
      <c r="PMY92" s="165" t="s">
        <v>945</v>
      </c>
      <c r="PMZ92" s="166" t="str">
        <f>VLOOKUP(PMY92,[13]AssetDetails_UEM!$A$3:$AH$1849,6,FALSE)</f>
        <v>Electrosurgical Units, Monopolar/Bipolar</v>
      </c>
      <c r="PNA92" s="165" t="s">
        <v>945</v>
      </c>
      <c r="PNB92" s="166" t="str">
        <f>VLOOKUP(PNA92,[13]AssetDetails_UEM!$A$3:$AH$1849,6,FALSE)</f>
        <v>Electrosurgical Units, Monopolar/Bipolar</v>
      </c>
      <c r="PNC92" s="165" t="s">
        <v>945</v>
      </c>
      <c r="PND92" s="166" t="str">
        <f>VLOOKUP(PNC92,[13]AssetDetails_UEM!$A$3:$AH$1849,6,FALSE)</f>
        <v>Electrosurgical Units, Monopolar/Bipolar</v>
      </c>
      <c r="PNE92" s="165" t="s">
        <v>945</v>
      </c>
      <c r="PNF92" s="166" t="str">
        <f>VLOOKUP(PNE92,[13]AssetDetails_UEM!$A$3:$AH$1849,6,FALSE)</f>
        <v>Electrosurgical Units, Monopolar/Bipolar</v>
      </c>
      <c r="PNG92" s="165" t="s">
        <v>945</v>
      </c>
      <c r="PNH92" s="166" t="str">
        <f>VLOOKUP(PNG92,[13]AssetDetails_UEM!$A$3:$AH$1849,6,FALSE)</f>
        <v>Electrosurgical Units, Monopolar/Bipolar</v>
      </c>
      <c r="PNI92" s="165" t="s">
        <v>945</v>
      </c>
      <c r="PNJ92" s="166" t="str">
        <f>VLOOKUP(PNI92,[13]AssetDetails_UEM!$A$3:$AH$1849,6,FALSE)</f>
        <v>Electrosurgical Units, Monopolar/Bipolar</v>
      </c>
      <c r="PNK92" s="165" t="s">
        <v>945</v>
      </c>
      <c r="PNL92" s="166" t="str">
        <f>VLOOKUP(PNK92,[13]AssetDetails_UEM!$A$3:$AH$1849,6,FALSE)</f>
        <v>Electrosurgical Units, Monopolar/Bipolar</v>
      </c>
      <c r="PNM92" s="165" t="s">
        <v>945</v>
      </c>
      <c r="PNN92" s="166" t="str">
        <f>VLOOKUP(PNM92,[13]AssetDetails_UEM!$A$3:$AH$1849,6,FALSE)</f>
        <v>Electrosurgical Units, Monopolar/Bipolar</v>
      </c>
      <c r="PNO92" s="165" t="s">
        <v>945</v>
      </c>
      <c r="PNP92" s="166" t="str">
        <f>VLOOKUP(PNO92,[13]AssetDetails_UEM!$A$3:$AH$1849,6,FALSE)</f>
        <v>Electrosurgical Units, Monopolar/Bipolar</v>
      </c>
      <c r="PNQ92" s="165" t="s">
        <v>945</v>
      </c>
      <c r="PNR92" s="166" t="str">
        <f>VLOOKUP(PNQ92,[13]AssetDetails_UEM!$A$3:$AH$1849,6,FALSE)</f>
        <v>Electrosurgical Units, Monopolar/Bipolar</v>
      </c>
      <c r="PNS92" s="165" t="s">
        <v>945</v>
      </c>
      <c r="PNT92" s="166" t="str">
        <f>VLOOKUP(PNS92,[13]AssetDetails_UEM!$A$3:$AH$1849,6,FALSE)</f>
        <v>Electrosurgical Units, Monopolar/Bipolar</v>
      </c>
      <c r="PNU92" s="165" t="s">
        <v>945</v>
      </c>
      <c r="PNV92" s="166" t="str">
        <f>VLOOKUP(PNU92,[13]AssetDetails_UEM!$A$3:$AH$1849,6,FALSE)</f>
        <v>Electrosurgical Units, Monopolar/Bipolar</v>
      </c>
      <c r="PNW92" s="165" t="s">
        <v>945</v>
      </c>
      <c r="PNX92" s="166" t="str">
        <f>VLOOKUP(PNW92,[13]AssetDetails_UEM!$A$3:$AH$1849,6,FALSE)</f>
        <v>Electrosurgical Units, Monopolar/Bipolar</v>
      </c>
      <c r="PNY92" s="165" t="s">
        <v>945</v>
      </c>
      <c r="PNZ92" s="166" t="str">
        <f>VLOOKUP(PNY92,[13]AssetDetails_UEM!$A$3:$AH$1849,6,FALSE)</f>
        <v>Electrosurgical Units, Monopolar/Bipolar</v>
      </c>
      <c r="POA92" s="165" t="s">
        <v>945</v>
      </c>
      <c r="POB92" s="166" t="str">
        <f>VLOOKUP(POA92,[13]AssetDetails_UEM!$A$3:$AH$1849,6,FALSE)</f>
        <v>Electrosurgical Units, Monopolar/Bipolar</v>
      </c>
      <c r="POC92" s="165" t="s">
        <v>945</v>
      </c>
      <c r="POD92" s="166" t="str">
        <f>VLOOKUP(POC92,[13]AssetDetails_UEM!$A$3:$AH$1849,6,FALSE)</f>
        <v>Electrosurgical Units, Monopolar/Bipolar</v>
      </c>
      <c r="POE92" s="165" t="s">
        <v>945</v>
      </c>
      <c r="POF92" s="166" t="str">
        <f>VLOOKUP(POE92,[13]AssetDetails_UEM!$A$3:$AH$1849,6,FALSE)</f>
        <v>Electrosurgical Units, Monopolar/Bipolar</v>
      </c>
      <c r="POG92" s="165" t="s">
        <v>945</v>
      </c>
      <c r="POH92" s="166" t="str">
        <f>VLOOKUP(POG92,[13]AssetDetails_UEM!$A$3:$AH$1849,6,FALSE)</f>
        <v>Electrosurgical Units, Monopolar/Bipolar</v>
      </c>
      <c r="POI92" s="165" t="s">
        <v>945</v>
      </c>
      <c r="POJ92" s="166" t="str">
        <f>VLOOKUP(POI92,[13]AssetDetails_UEM!$A$3:$AH$1849,6,FALSE)</f>
        <v>Electrosurgical Units, Monopolar/Bipolar</v>
      </c>
      <c r="POK92" s="165" t="s">
        <v>945</v>
      </c>
      <c r="POL92" s="166" t="str">
        <f>VLOOKUP(POK92,[13]AssetDetails_UEM!$A$3:$AH$1849,6,FALSE)</f>
        <v>Electrosurgical Units, Monopolar/Bipolar</v>
      </c>
      <c r="POM92" s="165" t="s">
        <v>945</v>
      </c>
      <c r="PON92" s="166" t="str">
        <f>VLOOKUP(POM92,[13]AssetDetails_UEM!$A$3:$AH$1849,6,FALSE)</f>
        <v>Electrosurgical Units, Monopolar/Bipolar</v>
      </c>
      <c r="POO92" s="165" t="s">
        <v>945</v>
      </c>
      <c r="POP92" s="166" t="str">
        <f>VLOOKUP(POO92,[13]AssetDetails_UEM!$A$3:$AH$1849,6,FALSE)</f>
        <v>Electrosurgical Units, Monopolar/Bipolar</v>
      </c>
      <c r="POQ92" s="165" t="s">
        <v>945</v>
      </c>
      <c r="POR92" s="166" t="str">
        <f>VLOOKUP(POQ92,[13]AssetDetails_UEM!$A$3:$AH$1849,6,FALSE)</f>
        <v>Electrosurgical Units, Monopolar/Bipolar</v>
      </c>
      <c r="POS92" s="165" t="s">
        <v>945</v>
      </c>
      <c r="POT92" s="166" t="str">
        <f>VLOOKUP(POS92,[13]AssetDetails_UEM!$A$3:$AH$1849,6,FALSE)</f>
        <v>Electrosurgical Units, Monopolar/Bipolar</v>
      </c>
      <c r="POU92" s="165" t="s">
        <v>945</v>
      </c>
      <c r="POV92" s="166" t="str">
        <f>VLOOKUP(POU92,[13]AssetDetails_UEM!$A$3:$AH$1849,6,FALSE)</f>
        <v>Electrosurgical Units, Monopolar/Bipolar</v>
      </c>
      <c r="POW92" s="165" t="s">
        <v>945</v>
      </c>
      <c r="POX92" s="166" t="str">
        <f>VLOOKUP(POW92,[13]AssetDetails_UEM!$A$3:$AH$1849,6,FALSE)</f>
        <v>Electrosurgical Units, Monopolar/Bipolar</v>
      </c>
      <c r="POY92" s="165" t="s">
        <v>945</v>
      </c>
      <c r="POZ92" s="166" t="str">
        <f>VLOOKUP(POY92,[13]AssetDetails_UEM!$A$3:$AH$1849,6,FALSE)</f>
        <v>Electrosurgical Units, Monopolar/Bipolar</v>
      </c>
      <c r="PPA92" s="165" t="s">
        <v>945</v>
      </c>
      <c r="PPB92" s="166" t="str">
        <f>VLOOKUP(PPA92,[13]AssetDetails_UEM!$A$3:$AH$1849,6,FALSE)</f>
        <v>Electrosurgical Units, Monopolar/Bipolar</v>
      </c>
      <c r="PPC92" s="165" t="s">
        <v>945</v>
      </c>
      <c r="PPD92" s="166" t="str">
        <f>VLOOKUP(PPC92,[13]AssetDetails_UEM!$A$3:$AH$1849,6,FALSE)</f>
        <v>Electrosurgical Units, Monopolar/Bipolar</v>
      </c>
      <c r="PPE92" s="165" t="s">
        <v>945</v>
      </c>
      <c r="PPF92" s="166" t="str">
        <f>VLOOKUP(PPE92,[13]AssetDetails_UEM!$A$3:$AH$1849,6,FALSE)</f>
        <v>Electrosurgical Units, Monopolar/Bipolar</v>
      </c>
      <c r="PPG92" s="165" t="s">
        <v>945</v>
      </c>
      <c r="PPH92" s="166" t="str">
        <f>VLOOKUP(PPG92,[13]AssetDetails_UEM!$A$3:$AH$1849,6,FALSE)</f>
        <v>Electrosurgical Units, Monopolar/Bipolar</v>
      </c>
      <c r="PPI92" s="165" t="s">
        <v>945</v>
      </c>
      <c r="PPJ92" s="166" t="str">
        <f>VLOOKUP(PPI92,[13]AssetDetails_UEM!$A$3:$AH$1849,6,FALSE)</f>
        <v>Electrosurgical Units, Monopolar/Bipolar</v>
      </c>
      <c r="PPK92" s="165" t="s">
        <v>945</v>
      </c>
      <c r="PPL92" s="166" t="str">
        <f>VLOOKUP(PPK92,[13]AssetDetails_UEM!$A$3:$AH$1849,6,FALSE)</f>
        <v>Electrosurgical Units, Monopolar/Bipolar</v>
      </c>
      <c r="PPM92" s="165" t="s">
        <v>945</v>
      </c>
      <c r="PPN92" s="166" t="str">
        <f>VLOOKUP(PPM92,[13]AssetDetails_UEM!$A$3:$AH$1849,6,FALSE)</f>
        <v>Electrosurgical Units, Monopolar/Bipolar</v>
      </c>
      <c r="PPO92" s="165" t="s">
        <v>945</v>
      </c>
      <c r="PPP92" s="166" t="str">
        <f>VLOOKUP(PPO92,[13]AssetDetails_UEM!$A$3:$AH$1849,6,FALSE)</f>
        <v>Electrosurgical Units, Monopolar/Bipolar</v>
      </c>
      <c r="PPQ92" s="165" t="s">
        <v>945</v>
      </c>
      <c r="PPR92" s="166" t="str">
        <f>VLOOKUP(PPQ92,[13]AssetDetails_UEM!$A$3:$AH$1849,6,FALSE)</f>
        <v>Electrosurgical Units, Monopolar/Bipolar</v>
      </c>
      <c r="PPS92" s="165" t="s">
        <v>945</v>
      </c>
      <c r="PPT92" s="166" t="str">
        <f>VLOOKUP(PPS92,[13]AssetDetails_UEM!$A$3:$AH$1849,6,FALSE)</f>
        <v>Electrosurgical Units, Monopolar/Bipolar</v>
      </c>
      <c r="PPU92" s="165" t="s">
        <v>945</v>
      </c>
      <c r="PPV92" s="166" t="str">
        <f>VLOOKUP(PPU92,[13]AssetDetails_UEM!$A$3:$AH$1849,6,FALSE)</f>
        <v>Electrosurgical Units, Monopolar/Bipolar</v>
      </c>
      <c r="PPW92" s="165" t="s">
        <v>945</v>
      </c>
      <c r="PPX92" s="166" t="str">
        <f>VLOOKUP(PPW92,[13]AssetDetails_UEM!$A$3:$AH$1849,6,FALSE)</f>
        <v>Electrosurgical Units, Monopolar/Bipolar</v>
      </c>
      <c r="PPY92" s="165" t="s">
        <v>945</v>
      </c>
      <c r="PPZ92" s="166" t="str">
        <f>VLOOKUP(PPY92,[13]AssetDetails_UEM!$A$3:$AH$1849,6,FALSE)</f>
        <v>Electrosurgical Units, Monopolar/Bipolar</v>
      </c>
      <c r="PQA92" s="165" t="s">
        <v>945</v>
      </c>
      <c r="PQB92" s="166" t="str">
        <f>VLOOKUP(PQA92,[13]AssetDetails_UEM!$A$3:$AH$1849,6,FALSE)</f>
        <v>Electrosurgical Units, Monopolar/Bipolar</v>
      </c>
      <c r="PQC92" s="165" t="s">
        <v>945</v>
      </c>
      <c r="PQD92" s="166" t="str">
        <f>VLOOKUP(PQC92,[13]AssetDetails_UEM!$A$3:$AH$1849,6,FALSE)</f>
        <v>Electrosurgical Units, Monopolar/Bipolar</v>
      </c>
      <c r="PQE92" s="165" t="s">
        <v>945</v>
      </c>
      <c r="PQF92" s="166" t="str">
        <f>VLOOKUP(PQE92,[13]AssetDetails_UEM!$A$3:$AH$1849,6,FALSE)</f>
        <v>Electrosurgical Units, Monopolar/Bipolar</v>
      </c>
      <c r="PQG92" s="165" t="s">
        <v>945</v>
      </c>
      <c r="PQH92" s="166" t="str">
        <f>VLOOKUP(PQG92,[13]AssetDetails_UEM!$A$3:$AH$1849,6,FALSE)</f>
        <v>Electrosurgical Units, Monopolar/Bipolar</v>
      </c>
      <c r="PQI92" s="165" t="s">
        <v>945</v>
      </c>
      <c r="PQJ92" s="166" t="str">
        <f>VLOOKUP(PQI92,[13]AssetDetails_UEM!$A$3:$AH$1849,6,FALSE)</f>
        <v>Electrosurgical Units, Monopolar/Bipolar</v>
      </c>
      <c r="PQK92" s="165" t="s">
        <v>945</v>
      </c>
      <c r="PQL92" s="166" t="str">
        <f>VLOOKUP(PQK92,[13]AssetDetails_UEM!$A$3:$AH$1849,6,FALSE)</f>
        <v>Electrosurgical Units, Monopolar/Bipolar</v>
      </c>
      <c r="PQM92" s="165" t="s">
        <v>945</v>
      </c>
      <c r="PQN92" s="166" t="str">
        <f>VLOOKUP(PQM92,[13]AssetDetails_UEM!$A$3:$AH$1849,6,FALSE)</f>
        <v>Electrosurgical Units, Monopolar/Bipolar</v>
      </c>
      <c r="PQO92" s="165" t="s">
        <v>945</v>
      </c>
      <c r="PQP92" s="166" t="str">
        <f>VLOOKUP(PQO92,[13]AssetDetails_UEM!$A$3:$AH$1849,6,FALSE)</f>
        <v>Electrosurgical Units, Monopolar/Bipolar</v>
      </c>
      <c r="PQQ92" s="165" t="s">
        <v>945</v>
      </c>
      <c r="PQR92" s="166" t="str">
        <f>VLOOKUP(PQQ92,[13]AssetDetails_UEM!$A$3:$AH$1849,6,FALSE)</f>
        <v>Electrosurgical Units, Monopolar/Bipolar</v>
      </c>
      <c r="PQS92" s="165" t="s">
        <v>945</v>
      </c>
      <c r="PQT92" s="166" t="str">
        <f>VLOOKUP(PQS92,[13]AssetDetails_UEM!$A$3:$AH$1849,6,FALSE)</f>
        <v>Electrosurgical Units, Monopolar/Bipolar</v>
      </c>
      <c r="PQU92" s="165" t="s">
        <v>945</v>
      </c>
      <c r="PQV92" s="166" t="str">
        <f>VLOOKUP(PQU92,[13]AssetDetails_UEM!$A$3:$AH$1849,6,FALSE)</f>
        <v>Electrosurgical Units, Monopolar/Bipolar</v>
      </c>
      <c r="PQW92" s="165" t="s">
        <v>945</v>
      </c>
      <c r="PQX92" s="166" t="str">
        <f>VLOOKUP(PQW92,[13]AssetDetails_UEM!$A$3:$AH$1849,6,FALSE)</f>
        <v>Electrosurgical Units, Monopolar/Bipolar</v>
      </c>
      <c r="PQY92" s="165" t="s">
        <v>945</v>
      </c>
      <c r="PQZ92" s="166" t="str">
        <f>VLOOKUP(PQY92,[13]AssetDetails_UEM!$A$3:$AH$1849,6,FALSE)</f>
        <v>Electrosurgical Units, Monopolar/Bipolar</v>
      </c>
      <c r="PRA92" s="165" t="s">
        <v>945</v>
      </c>
      <c r="PRB92" s="166" t="str">
        <f>VLOOKUP(PRA92,[13]AssetDetails_UEM!$A$3:$AH$1849,6,FALSE)</f>
        <v>Electrosurgical Units, Monopolar/Bipolar</v>
      </c>
      <c r="PRC92" s="165" t="s">
        <v>945</v>
      </c>
      <c r="PRD92" s="166" t="str">
        <f>VLOOKUP(PRC92,[13]AssetDetails_UEM!$A$3:$AH$1849,6,FALSE)</f>
        <v>Electrosurgical Units, Monopolar/Bipolar</v>
      </c>
      <c r="PRE92" s="165" t="s">
        <v>945</v>
      </c>
      <c r="PRF92" s="166" t="str">
        <f>VLOOKUP(PRE92,[13]AssetDetails_UEM!$A$3:$AH$1849,6,FALSE)</f>
        <v>Electrosurgical Units, Monopolar/Bipolar</v>
      </c>
      <c r="PRG92" s="165" t="s">
        <v>945</v>
      </c>
      <c r="PRH92" s="166" t="str">
        <f>VLOOKUP(PRG92,[13]AssetDetails_UEM!$A$3:$AH$1849,6,FALSE)</f>
        <v>Electrosurgical Units, Monopolar/Bipolar</v>
      </c>
      <c r="PRI92" s="165" t="s">
        <v>945</v>
      </c>
      <c r="PRJ92" s="166" t="str">
        <f>VLOOKUP(PRI92,[13]AssetDetails_UEM!$A$3:$AH$1849,6,FALSE)</f>
        <v>Electrosurgical Units, Monopolar/Bipolar</v>
      </c>
      <c r="PRK92" s="165" t="s">
        <v>945</v>
      </c>
      <c r="PRL92" s="166" t="str">
        <f>VLOOKUP(PRK92,[13]AssetDetails_UEM!$A$3:$AH$1849,6,FALSE)</f>
        <v>Electrosurgical Units, Monopolar/Bipolar</v>
      </c>
      <c r="PRM92" s="165" t="s">
        <v>945</v>
      </c>
      <c r="PRN92" s="166" t="str">
        <f>VLOOKUP(PRM92,[13]AssetDetails_UEM!$A$3:$AH$1849,6,FALSE)</f>
        <v>Electrosurgical Units, Monopolar/Bipolar</v>
      </c>
      <c r="PRO92" s="165" t="s">
        <v>945</v>
      </c>
      <c r="PRP92" s="166" t="str">
        <f>VLOOKUP(PRO92,[13]AssetDetails_UEM!$A$3:$AH$1849,6,FALSE)</f>
        <v>Electrosurgical Units, Monopolar/Bipolar</v>
      </c>
      <c r="PRQ92" s="165" t="s">
        <v>945</v>
      </c>
      <c r="PRR92" s="166" t="str">
        <f>VLOOKUP(PRQ92,[13]AssetDetails_UEM!$A$3:$AH$1849,6,FALSE)</f>
        <v>Electrosurgical Units, Monopolar/Bipolar</v>
      </c>
      <c r="PRS92" s="165" t="s">
        <v>945</v>
      </c>
      <c r="PRT92" s="166" t="str">
        <f>VLOOKUP(PRS92,[13]AssetDetails_UEM!$A$3:$AH$1849,6,FALSE)</f>
        <v>Electrosurgical Units, Monopolar/Bipolar</v>
      </c>
      <c r="PRU92" s="165" t="s">
        <v>945</v>
      </c>
      <c r="PRV92" s="166" t="str">
        <f>VLOOKUP(PRU92,[13]AssetDetails_UEM!$A$3:$AH$1849,6,FALSE)</f>
        <v>Electrosurgical Units, Monopolar/Bipolar</v>
      </c>
      <c r="PRW92" s="165" t="s">
        <v>945</v>
      </c>
      <c r="PRX92" s="166" t="str">
        <f>VLOOKUP(PRW92,[13]AssetDetails_UEM!$A$3:$AH$1849,6,FALSE)</f>
        <v>Electrosurgical Units, Monopolar/Bipolar</v>
      </c>
      <c r="PRY92" s="165" t="s">
        <v>945</v>
      </c>
      <c r="PRZ92" s="166" t="str">
        <f>VLOOKUP(PRY92,[13]AssetDetails_UEM!$A$3:$AH$1849,6,FALSE)</f>
        <v>Electrosurgical Units, Monopolar/Bipolar</v>
      </c>
      <c r="PSA92" s="165" t="s">
        <v>945</v>
      </c>
      <c r="PSB92" s="166" t="str">
        <f>VLOOKUP(PSA92,[13]AssetDetails_UEM!$A$3:$AH$1849,6,FALSE)</f>
        <v>Electrosurgical Units, Monopolar/Bipolar</v>
      </c>
      <c r="PSC92" s="165" t="s">
        <v>945</v>
      </c>
      <c r="PSD92" s="166" t="str">
        <f>VLOOKUP(PSC92,[13]AssetDetails_UEM!$A$3:$AH$1849,6,FALSE)</f>
        <v>Electrosurgical Units, Monopolar/Bipolar</v>
      </c>
      <c r="PSE92" s="165" t="s">
        <v>945</v>
      </c>
      <c r="PSF92" s="166" t="str">
        <f>VLOOKUP(PSE92,[13]AssetDetails_UEM!$A$3:$AH$1849,6,FALSE)</f>
        <v>Electrosurgical Units, Monopolar/Bipolar</v>
      </c>
      <c r="PSG92" s="165" t="s">
        <v>945</v>
      </c>
      <c r="PSH92" s="166" t="str">
        <f>VLOOKUP(PSG92,[13]AssetDetails_UEM!$A$3:$AH$1849,6,FALSE)</f>
        <v>Electrosurgical Units, Monopolar/Bipolar</v>
      </c>
      <c r="PSI92" s="165" t="s">
        <v>945</v>
      </c>
      <c r="PSJ92" s="166" t="str">
        <f>VLOOKUP(PSI92,[13]AssetDetails_UEM!$A$3:$AH$1849,6,FALSE)</f>
        <v>Electrosurgical Units, Monopolar/Bipolar</v>
      </c>
      <c r="PSK92" s="165" t="s">
        <v>945</v>
      </c>
      <c r="PSL92" s="166" t="str">
        <f>VLOOKUP(PSK92,[13]AssetDetails_UEM!$A$3:$AH$1849,6,FALSE)</f>
        <v>Electrosurgical Units, Monopolar/Bipolar</v>
      </c>
      <c r="PSM92" s="165" t="s">
        <v>945</v>
      </c>
      <c r="PSN92" s="166" t="str">
        <f>VLOOKUP(PSM92,[13]AssetDetails_UEM!$A$3:$AH$1849,6,FALSE)</f>
        <v>Electrosurgical Units, Monopolar/Bipolar</v>
      </c>
      <c r="PSO92" s="165" t="s">
        <v>945</v>
      </c>
      <c r="PSP92" s="166" t="str">
        <f>VLOOKUP(PSO92,[13]AssetDetails_UEM!$A$3:$AH$1849,6,FALSE)</f>
        <v>Electrosurgical Units, Monopolar/Bipolar</v>
      </c>
      <c r="PSQ92" s="165" t="s">
        <v>945</v>
      </c>
      <c r="PSR92" s="166" t="str">
        <f>VLOOKUP(PSQ92,[13]AssetDetails_UEM!$A$3:$AH$1849,6,FALSE)</f>
        <v>Electrosurgical Units, Monopolar/Bipolar</v>
      </c>
      <c r="PSS92" s="165" t="s">
        <v>945</v>
      </c>
      <c r="PST92" s="166" t="str">
        <f>VLOOKUP(PSS92,[13]AssetDetails_UEM!$A$3:$AH$1849,6,FALSE)</f>
        <v>Electrosurgical Units, Monopolar/Bipolar</v>
      </c>
      <c r="PSU92" s="165" t="s">
        <v>945</v>
      </c>
      <c r="PSV92" s="166" t="str">
        <f>VLOOKUP(PSU92,[13]AssetDetails_UEM!$A$3:$AH$1849,6,FALSE)</f>
        <v>Electrosurgical Units, Monopolar/Bipolar</v>
      </c>
      <c r="PSW92" s="165" t="s">
        <v>945</v>
      </c>
      <c r="PSX92" s="166" t="str">
        <f>VLOOKUP(PSW92,[13]AssetDetails_UEM!$A$3:$AH$1849,6,FALSE)</f>
        <v>Electrosurgical Units, Monopolar/Bipolar</v>
      </c>
      <c r="PSY92" s="165" t="s">
        <v>945</v>
      </c>
      <c r="PSZ92" s="166" t="str">
        <f>VLOOKUP(PSY92,[13]AssetDetails_UEM!$A$3:$AH$1849,6,FALSE)</f>
        <v>Electrosurgical Units, Monopolar/Bipolar</v>
      </c>
      <c r="PTA92" s="165" t="s">
        <v>945</v>
      </c>
      <c r="PTB92" s="166" t="str">
        <f>VLOOKUP(PTA92,[13]AssetDetails_UEM!$A$3:$AH$1849,6,FALSE)</f>
        <v>Electrosurgical Units, Monopolar/Bipolar</v>
      </c>
      <c r="PTC92" s="165" t="s">
        <v>945</v>
      </c>
      <c r="PTD92" s="166" t="str">
        <f>VLOOKUP(PTC92,[13]AssetDetails_UEM!$A$3:$AH$1849,6,FALSE)</f>
        <v>Electrosurgical Units, Monopolar/Bipolar</v>
      </c>
      <c r="PTE92" s="165" t="s">
        <v>945</v>
      </c>
      <c r="PTF92" s="166" t="str">
        <f>VLOOKUP(PTE92,[13]AssetDetails_UEM!$A$3:$AH$1849,6,FALSE)</f>
        <v>Electrosurgical Units, Monopolar/Bipolar</v>
      </c>
      <c r="PTG92" s="165" t="s">
        <v>945</v>
      </c>
      <c r="PTH92" s="166" t="str">
        <f>VLOOKUP(PTG92,[13]AssetDetails_UEM!$A$3:$AH$1849,6,FALSE)</f>
        <v>Electrosurgical Units, Monopolar/Bipolar</v>
      </c>
      <c r="PTI92" s="165" t="s">
        <v>945</v>
      </c>
      <c r="PTJ92" s="166" t="str">
        <f>VLOOKUP(PTI92,[13]AssetDetails_UEM!$A$3:$AH$1849,6,FALSE)</f>
        <v>Electrosurgical Units, Monopolar/Bipolar</v>
      </c>
      <c r="PTK92" s="165" t="s">
        <v>945</v>
      </c>
      <c r="PTL92" s="166" t="str">
        <f>VLOOKUP(PTK92,[13]AssetDetails_UEM!$A$3:$AH$1849,6,FALSE)</f>
        <v>Electrosurgical Units, Monopolar/Bipolar</v>
      </c>
      <c r="PTM92" s="165" t="s">
        <v>945</v>
      </c>
      <c r="PTN92" s="166" t="str">
        <f>VLOOKUP(PTM92,[13]AssetDetails_UEM!$A$3:$AH$1849,6,FALSE)</f>
        <v>Electrosurgical Units, Monopolar/Bipolar</v>
      </c>
      <c r="PTO92" s="165" t="s">
        <v>945</v>
      </c>
      <c r="PTP92" s="166" t="str">
        <f>VLOOKUP(PTO92,[13]AssetDetails_UEM!$A$3:$AH$1849,6,FALSE)</f>
        <v>Electrosurgical Units, Monopolar/Bipolar</v>
      </c>
      <c r="PTQ92" s="165" t="s">
        <v>945</v>
      </c>
      <c r="PTR92" s="166" t="str">
        <f>VLOOKUP(PTQ92,[13]AssetDetails_UEM!$A$3:$AH$1849,6,FALSE)</f>
        <v>Electrosurgical Units, Monopolar/Bipolar</v>
      </c>
      <c r="PTS92" s="165" t="s">
        <v>945</v>
      </c>
      <c r="PTT92" s="166" t="str">
        <f>VLOOKUP(PTS92,[13]AssetDetails_UEM!$A$3:$AH$1849,6,FALSE)</f>
        <v>Electrosurgical Units, Monopolar/Bipolar</v>
      </c>
      <c r="PTU92" s="165" t="s">
        <v>945</v>
      </c>
      <c r="PTV92" s="166" t="str">
        <f>VLOOKUP(PTU92,[13]AssetDetails_UEM!$A$3:$AH$1849,6,FALSE)</f>
        <v>Electrosurgical Units, Monopolar/Bipolar</v>
      </c>
      <c r="PTW92" s="165" t="s">
        <v>945</v>
      </c>
      <c r="PTX92" s="166" t="str">
        <f>VLOOKUP(PTW92,[13]AssetDetails_UEM!$A$3:$AH$1849,6,FALSE)</f>
        <v>Electrosurgical Units, Monopolar/Bipolar</v>
      </c>
      <c r="PTY92" s="165" t="s">
        <v>945</v>
      </c>
      <c r="PTZ92" s="166" t="str">
        <f>VLOOKUP(PTY92,[13]AssetDetails_UEM!$A$3:$AH$1849,6,FALSE)</f>
        <v>Electrosurgical Units, Monopolar/Bipolar</v>
      </c>
      <c r="PUA92" s="165" t="s">
        <v>945</v>
      </c>
      <c r="PUB92" s="166" t="str">
        <f>VLOOKUP(PUA92,[13]AssetDetails_UEM!$A$3:$AH$1849,6,FALSE)</f>
        <v>Electrosurgical Units, Monopolar/Bipolar</v>
      </c>
      <c r="PUC92" s="165" t="s">
        <v>945</v>
      </c>
      <c r="PUD92" s="166" t="str">
        <f>VLOOKUP(PUC92,[13]AssetDetails_UEM!$A$3:$AH$1849,6,FALSE)</f>
        <v>Electrosurgical Units, Monopolar/Bipolar</v>
      </c>
      <c r="PUE92" s="165" t="s">
        <v>945</v>
      </c>
      <c r="PUF92" s="166" t="str">
        <f>VLOOKUP(PUE92,[13]AssetDetails_UEM!$A$3:$AH$1849,6,FALSE)</f>
        <v>Electrosurgical Units, Monopolar/Bipolar</v>
      </c>
      <c r="PUG92" s="165" t="s">
        <v>945</v>
      </c>
      <c r="PUH92" s="166" t="str">
        <f>VLOOKUP(PUG92,[13]AssetDetails_UEM!$A$3:$AH$1849,6,FALSE)</f>
        <v>Electrosurgical Units, Monopolar/Bipolar</v>
      </c>
      <c r="PUI92" s="165" t="s">
        <v>945</v>
      </c>
      <c r="PUJ92" s="166" t="str">
        <f>VLOOKUP(PUI92,[13]AssetDetails_UEM!$A$3:$AH$1849,6,FALSE)</f>
        <v>Electrosurgical Units, Monopolar/Bipolar</v>
      </c>
      <c r="PUK92" s="165" t="s">
        <v>945</v>
      </c>
      <c r="PUL92" s="166" t="str">
        <f>VLOOKUP(PUK92,[13]AssetDetails_UEM!$A$3:$AH$1849,6,FALSE)</f>
        <v>Electrosurgical Units, Monopolar/Bipolar</v>
      </c>
      <c r="PUM92" s="165" t="s">
        <v>945</v>
      </c>
      <c r="PUN92" s="166" t="str">
        <f>VLOOKUP(PUM92,[13]AssetDetails_UEM!$A$3:$AH$1849,6,FALSE)</f>
        <v>Electrosurgical Units, Monopolar/Bipolar</v>
      </c>
      <c r="PUO92" s="165" t="s">
        <v>945</v>
      </c>
      <c r="PUP92" s="166" t="str">
        <f>VLOOKUP(PUO92,[13]AssetDetails_UEM!$A$3:$AH$1849,6,FALSE)</f>
        <v>Electrosurgical Units, Monopolar/Bipolar</v>
      </c>
      <c r="PUQ92" s="165" t="s">
        <v>945</v>
      </c>
      <c r="PUR92" s="166" t="str">
        <f>VLOOKUP(PUQ92,[13]AssetDetails_UEM!$A$3:$AH$1849,6,FALSE)</f>
        <v>Electrosurgical Units, Monopolar/Bipolar</v>
      </c>
      <c r="PUS92" s="165" t="s">
        <v>945</v>
      </c>
      <c r="PUT92" s="166" t="str">
        <f>VLOOKUP(PUS92,[13]AssetDetails_UEM!$A$3:$AH$1849,6,FALSE)</f>
        <v>Electrosurgical Units, Monopolar/Bipolar</v>
      </c>
      <c r="PUU92" s="165" t="s">
        <v>945</v>
      </c>
      <c r="PUV92" s="166" t="str">
        <f>VLOOKUP(PUU92,[13]AssetDetails_UEM!$A$3:$AH$1849,6,FALSE)</f>
        <v>Electrosurgical Units, Monopolar/Bipolar</v>
      </c>
      <c r="PUW92" s="165" t="s">
        <v>945</v>
      </c>
      <c r="PUX92" s="166" t="str">
        <f>VLOOKUP(PUW92,[13]AssetDetails_UEM!$A$3:$AH$1849,6,FALSE)</f>
        <v>Electrosurgical Units, Monopolar/Bipolar</v>
      </c>
      <c r="PUY92" s="165" t="s">
        <v>945</v>
      </c>
      <c r="PUZ92" s="166" t="str">
        <f>VLOOKUP(PUY92,[13]AssetDetails_UEM!$A$3:$AH$1849,6,FALSE)</f>
        <v>Electrosurgical Units, Monopolar/Bipolar</v>
      </c>
      <c r="PVA92" s="165" t="s">
        <v>945</v>
      </c>
      <c r="PVB92" s="166" t="str">
        <f>VLOOKUP(PVA92,[13]AssetDetails_UEM!$A$3:$AH$1849,6,FALSE)</f>
        <v>Electrosurgical Units, Monopolar/Bipolar</v>
      </c>
      <c r="PVC92" s="165" t="s">
        <v>945</v>
      </c>
      <c r="PVD92" s="166" t="str">
        <f>VLOOKUP(PVC92,[13]AssetDetails_UEM!$A$3:$AH$1849,6,FALSE)</f>
        <v>Electrosurgical Units, Monopolar/Bipolar</v>
      </c>
      <c r="PVE92" s="165" t="s">
        <v>945</v>
      </c>
      <c r="PVF92" s="166" t="str">
        <f>VLOOKUP(PVE92,[13]AssetDetails_UEM!$A$3:$AH$1849,6,FALSE)</f>
        <v>Electrosurgical Units, Monopolar/Bipolar</v>
      </c>
      <c r="PVG92" s="165" t="s">
        <v>945</v>
      </c>
      <c r="PVH92" s="166" t="str">
        <f>VLOOKUP(PVG92,[13]AssetDetails_UEM!$A$3:$AH$1849,6,FALSE)</f>
        <v>Electrosurgical Units, Monopolar/Bipolar</v>
      </c>
      <c r="PVI92" s="165" t="s">
        <v>945</v>
      </c>
      <c r="PVJ92" s="166" t="str">
        <f>VLOOKUP(PVI92,[13]AssetDetails_UEM!$A$3:$AH$1849,6,FALSE)</f>
        <v>Electrosurgical Units, Monopolar/Bipolar</v>
      </c>
      <c r="PVK92" s="165" t="s">
        <v>945</v>
      </c>
      <c r="PVL92" s="166" t="str">
        <f>VLOOKUP(PVK92,[13]AssetDetails_UEM!$A$3:$AH$1849,6,FALSE)</f>
        <v>Electrosurgical Units, Monopolar/Bipolar</v>
      </c>
      <c r="PVM92" s="165" t="s">
        <v>945</v>
      </c>
      <c r="PVN92" s="166" t="str">
        <f>VLOOKUP(PVM92,[13]AssetDetails_UEM!$A$3:$AH$1849,6,FALSE)</f>
        <v>Electrosurgical Units, Monopolar/Bipolar</v>
      </c>
      <c r="PVO92" s="165" t="s">
        <v>945</v>
      </c>
      <c r="PVP92" s="166" t="str">
        <f>VLOOKUP(PVO92,[13]AssetDetails_UEM!$A$3:$AH$1849,6,FALSE)</f>
        <v>Electrosurgical Units, Monopolar/Bipolar</v>
      </c>
      <c r="PVQ92" s="165" t="s">
        <v>945</v>
      </c>
      <c r="PVR92" s="166" t="str">
        <f>VLOOKUP(PVQ92,[13]AssetDetails_UEM!$A$3:$AH$1849,6,FALSE)</f>
        <v>Electrosurgical Units, Monopolar/Bipolar</v>
      </c>
      <c r="PVS92" s="165" t="s">
        <v>945</v>
      </c>
      <c r="PVT92" s="166" t="str">
        <f>VLOOKUP(PVS92,[13]AssetDetails_UEM!$A$3:$AH$1849,6,FALSE)</f>
        <v>Electrosurgical Units, Monopolar/Bipolar</v>
      </c>
      <c r="PVU92" s="165" t="s">
        <v>945</v>
      </c>
      <c r="PVV92" s="166" t="str">
        <f>VLOOKUP(PVU92,[13]AssetDetails_UEM!$A$3:$AH$1849,6,FALSE)</f>
        <v>Electrosurgical Units, Monopolar/Bipolar</v>
      </c>
      <c r="PVW92" s="165" t="s">
        <v>945</v>
      </c>
      <c r="PVX92" s="166" t="str">
        <f>VLOOKUP(PVW92,[13]AssetDetails_UEM!$A$3:$AH$1849,6,FALSE)</f>
        <v>Electrosurgical Units, Monopolar/Bipolar</v>
      </c>
      <c r="PVY92" s="165" t="s">
        <v>945</v>
      </c>
      <c r="PVZ92" s="166" t="str">
        <f>VLOOKUP(PVY92,[13]AssetDetails_UEM!$A$3:$AH$1849,6,FALSE)</f>
        <v>Electrosurgical Units, Monopolar/Bipolar</v>
      </c>
      <c r="PWA92" s="165" t="s">
        <v>945</v>
      </c>
      <c r="PWB92" s="166" t="str">
        <f>VLOOKUP(PWA92,[13]AssetDetails_UEM!$A$3:$AH$1849,6,FALSE)</f>
        <v>Electrosurgical Units, Monopolar/Bipolar</v>
      </c>
      <c r="PWC92" s="165" t="s">
        <v>945</v>
      </c>
      <c r="PWD92" s="166" t="str">
        <f>VLOOKUP(PWC92,[13]AssetDetails_UEM!$A$3:$AH$1849,6,FALSE)</f>
        <v>Electrosurgical Units, Monopolar/Bipolar</v>
      </c>
      <c r="PWE92" s="165" t="s">
        <v>945</v>
      </c>
      <c r="PWF92" s="166" t="str">
        <f>VLOOKUP(PWE92,[13]AssetDetails_UEM!$A$3:$AH$1849,6,FALSE)</f>
        <v>Electrosurgical Units, Monopolar/Bipolar</v>
      </c>
      <c r="PWG92" s="165" t="s">
        <v>945</v>
      </c>
      <c r="PWH92" s="166" t="str">
        <f>VLOOKUP(PWG92,[13]AssetDetails_UEM!$A$3:$AH$1849,6,FALSE)</f>
        <v>Electrosurgical Units, Monopolar/Bipolar</v>
      </c>
      <c r="PWI92" s="165" t="s">
        <v>945</v>
      </c>
      <c r="PWJ92" s="166" t="str">
        <f>VLOOKUP(PWI92,[13]AssetDetails_UEM!$A$3:$AH$1849,6,FALSE)</f>
        <v>Electrosurgical Units, Monopolar/Bipolar</v>
      </c>
      <c r="PWK92" s="165" t="s">
        <v>945</v>
      </c>
      <c r="PWL92" s="166" t="str">
        <f>VLOOKUP(PWK92,[13]AssetDetails_UEM!$A$3:$AH$1849,6,FALSE)</f>
        <v>Electrosurgical Units, Monopolar/Bipolar</v>
      </c>
      <c r="PWM92" s="165" t="s">
        <v>945</v>
      </c>
      <c r="PWN92" s="166" t="str">
        <f>VLOOKUP(PWM92,[13]AssetDetails_UEM!$A$3:$AH$1849,6,FALSE)</f>
        <v>Electrosurgical Units, Monopolar/Bipolar</v>
      </c>
      <c r="PWO92" s="165" t="s">
        <v>945</v>
      </c>
      <c r="PWP92" s="166" t="str">
        <f>VLOOKUP(PWO92,[13]AssetDetails_UEM!$A$3:$AH$1849,6,FALSE)</f>
        <v>Electrosurgical Units, Monopolar/Bipolar</v>
      </c>
      <c r="PWQ92" s="165" t="s">
        <v>945</v>
      </c>
      <c r="PWR92" s="166" t="str">
        <f>VLOOKUP(PWQ92,[13]AssetDetails_UEM!$A$3:$AH$1849,6,FALSE)</f>
        <v>Electrosurgical Units, Monopolar/Bipolar</v>
      </c>
      <c r="PWS92" s="165" t="s">
        <v>945</v>
      </c>
      <c r="PWT92" s="166" t="str">
        <f>VLOOKUP(PWS92,[13]AssetDetails_UEM!$A$3:$AH$1849,6,FALSE)</f>
        <v>Electrosurgical Units, Monopolar/Bipolar</v>
      </c>
      <c r="PWU92" s="165" t="s">
        <v>945</v>
      </c>
      <c r="PWV92" s="166" t="str">
        <f>VLOOKUP(PWU92,[13]AssetDetails_UEM!$A$3:$AH$1849,6,FALSE)</f>
        <v>Electrosurgical Units, Monopolar/Bipolar</v>
      </c>
      <c r="PWW92" s="165" t="s">
        <v>945</v>
      </c>
      <c r="PWX92" s="166" t="str">
        <f>VLOOKUP(PWW92,[13]AssetDetails_UEM!$A$3:$AH$1849,6,FALSE)</f>
        <v>Electrosurgical Units, Monopolar/Bipolar</v>
      </c>
      <c r="PWY92" s="165" t="s">
        <v>945</v>
      </c>
      <c r="PWZ92" s="166" t="str">
        <f>VLOOKUP(PWY92,[13]AssetDetails_UEM!$A$3:$AH$1849,6,FALSE)</f>
        <v>Electrosurgical Units, Monopolar/Bipolar</v>
      </c>
      <c r="PXA92" s="165" t="s">
        <v>945</v>
      </c>
      <c r="PXB92" s="166" t="str">
        <f>VLOOKUP(PXA92,[13]AssetDetails_UEM!$A$3:$AH$1849,6,FALSE)</f>
        <v>Electrosurgical Units, Monopolar/Bipolar</v>
      </c>
      <c r="PXC92" s="165" t="s">
        <v>945</v>
      </c>
      <c r="PXD92" s="166" t="str">
        <f>VLOOKUP(PXC92,[13]AssetDetails_UEM!$A$3:$AH$1849,6,FALSE)</f>
        <v>Electrosurgical Units, Monopolar/Bipolar</v>
      </c>
      <c r="PXE92" s="165" t="s">
        <v>945</v>
      </c>
      <c r="PXF92" s="166" t="str">
        <f>VLOOKUP(PXE92,[13]AssetDetails_UEM!$A$3:$AH$1849,6,FALSE)</f>
        <v>Electrosurgical Units, Monopolar/Bipolar</v>
      </c>
      <c r="PXG92" s="165" t="s">
        <v>945</v>
      </c>
      <c r="PXH92" s="166" t="str">
        <f>VLOOKUP(PXG92,[13]AssetDetails_UEM!$A$3:$AH$1849,6,FALSE)</f>
        <v>Electrosurgical Units, Monopolar/Bipolar</v>
      </c>
      <c r="PXI92" s="165" t="s">
        <v>945</v>
      </c>
      <c r="PXJ92" s="166" t="str">
        <f>VLOOKUP(PXI92,[13]AssetDetails_UEM!$A$3:$AH$1849,6,FALSE)</f>
        <v>Electrosurgical Units, Monopolar/Bipolar</v>
      </c>
      <c r="PXK92" s="165" t="s">
        <v>945</v>
      </c>
      <c r="PXL92" s="166" t="str">
        <f>VLOOKUP(PXK92,[13]AssetDetails_UEM!$A$3:$AH$1849,6,FALSE)</f>
        <v>Electrosurgical Units, Monopolar/Bipolar</v>
      </c>
      <c r="PXM92" s="165" t="s">
        <v>945</v>
      </c>
      <c r="PXN92" s="166" t="str">
        <f>VLOOKUP(PXM92,[13]AssetDetails_UEM!$A$3:$AH$1849,6,FALSE)</f>
        <v>Electrosurgical Units, Monopolar/Bipolar</v>
      </c>
      <c r="PXO92" s="165" t="s">
        <v>945</v>
      </c>
      <c r="PXP92" s="166" t="str">
        <f>VLOOKUP(PXO92,[13]AssetDetails_UEM!$A$3:$AH$1849,6,FALSE)</f>
        <v>Electrosurgical Units, Monopolar/Bipolar</v>
      </c>
      <c r="PXQ92" s="165" t="s">
        <v>945</v>
      </c>
      <c r="PXR92" s="166" t="str">
        <f>VLOOKUP(PXQ92,[13]AssetDetails_UEM!$A$3:$AH$1849,6,FALSE)</f>
        <v>Electrosurgical Units, Monopolar/Bipolar</v>
      </c>
      <c r="PXS92" s="165" t="s">
        <v>945</v>
      </c>
      <c r="PXT92" s="166" t="str">
        <f>VLOOKUP(PXS92,[13]AssetDetails_UEM!$A$3:$AH$1849,6,FALSE)</f>
        <v>Electrosurgical Units, Monopolar/Bipolar</v>
      </c>
      <c r="PXU92" s="165" t="s">
        <v>945</v>
      </c>
      <c r="PXV92" s="166" t="str">
        <f>VLOOKUP(PXU92,[13]AssetDetails_UEM!$A$3:$AH$1849,6,FALSE)</f>
        <v>Electrosurgical Units, Monopolar/Bipolar</v>
      </c>
      <c r="PXW92" s="165" t="s">
        <v>945</v>
      </c>
      <c r="PXX92" s="166" t="str">
        <f>VLOOKUP(PXW92,[13]AssetDetails_UEM!$A$3:$AH$1849,6,FALSE)</f>
        <v>Electrosurgical Units, Monopolar/Bipolar</v>
      </c>
      <c r="PXY92" s="165" t="s">
        <v>945</v>
      </c>
      <c r="PXZ92" s="166" t="str">
        <f>VLOOKUP(PXY92,[13]AssetDetails_UEM!$A$3:$AH$1849,6,FALSE)</f>
        <v>Electrosurgical Units, Monopolar/Bipolar</v>
      </c>
      <c r="PYA92" s="165" t="s">
        <v>945</v>
      </c>
      <c r="PYB92" s="166" t="str">
        <f>VLOOKUP(PYA92,[13]AssetDetails_UEM!$A$3:$AH$1849,6,FALSE)</f>
        <v>Electrosurgical Units, Monopolar/Bipolar</v>
      </c>
      <c r="PYC92" s="165" t="s">
        <v>945</v>
      </c>
      <c r="PYD92" s="166" t="str">
        <f>VLOOKUP(PYC92,[13]AssetDetails_UEM!$A$3:$AH$1849,6,FALSE)</f>
        <v>Electrosurgical Units, Monopolar/Bipolar</v>
      </c>
      <c r="PYE92" s="165" t="s">
        <v>945</v>
      </c>
      <c r="PYF92" s="166" t="str">
        <f>VLOOKUP(PYE92,[13]AssetDetails_UEM!$A$3:$AH$1849,6,FALSE)</f>
        <v>Electrosurgical Units, Monopolar/Bipolar</v>
      </c>
      <c r="PYG92" s="165" t="s">
        <v>945</v>
      </c>
      <c r="PYH92" s="166" t="str">
        <f>VLOOKUP(PYG92,[13]AssetDetails_UEM!$A$3:$AH$1849,6,FALSE)</f>
        <v>Electrosurgical Units, Monopolar/Bipolar</v>
      </c>
      <c r="PYI92" s="165" t="s">
        <v>945</v>
      </c>
      <c r="PYJ92" s="166" t="str">
        <f>VLOOKUP(PYI92,[13]AssetDetails_UEM!$A$3:$AH$1849,6,FALSE)</f>
        <v>Electrosurgical Units, Monopolar/Bipolar</v>
      </c>
      <c r="PYK92" s="165" t="s">
        <v>945</v>
      </c>
      <c r="PYL92" s="166" t="str">
        <f>VLOOKUP(PYK92,[13]AssetDetails_UEM!$A$3:$AH$1849,6,FALSE)</f>
        <v>Electrosurgical Units, Monopolar/Bipolar</v>
      </c>
      <c r="PYM92" s="165" t="s">
        <v>945</v>
      </c>
      <c r="PYN92" s="166" t="str">
        <f>VLOOKUP(PYM92,[13]AssetDetails_UEM!$A$3:$AH$1849,6,FALSE)</f>
        <v>Electrosurgical Units, Monopolar/Bipolar</v>
      </c>
      <c r="PYO92" s="165" t="s">
        <v>945</v>
      </c>
      <c r="PYP92" s="166" t="str">
        <f>VLOOKUP(PYO92,[13]AssetDetails_UEM!$A$3:$AH$1849,6,FALSE)</f>
        <v>Electrosurgical Units, Monopolar/Bipolar</v>
      </c>
      <c r="PYQ92" s="165" t="s">
        <v>945</v>
      </c>
      <c r="PYR92" s="166" t="str">
        <f>VLOOKUP(PYQ92,[13]AssetDetails_UEM!$A$3:$AH$1849,6,FALSE)</f>
        <v>Electrosurgical Units, Monopolar/Bipolar</v>
      </c>
      <c r="PYS92" s="165" t="s">
        <v>945</v>
      </c>
      <c r="PYT92" s="166" t="str">
        <f>VLOOKUP(PYS92,[13]AssetDetails_UEM!$A$3:$AH$1849,6,FALSE)</f>
        <v>Electrosurgical Units, Monopolar/Bipolar</v>
      </c>
      <c r="PYU92" s="165" t="s">
        <v>945</v>
      </c>
      <c r="PYV92" s="166" t="str">
        <f>VLOOKUP(PYU92,[13]AssetDetails_UEM!$A$3:$AH$1849,6,FALSE)</f>
        <v>Electrosurgical Units, Monopolar/Bipolar</v>
      </c>
      <c r="PYW92" s="165" t="s">
        <v>945</v>
      </c>
      <c r="PYX92" s="166" t="str">
        <f>VLOOKUP(PYW92,[13]AssetDetails_UEM!$A$3:$AH$1849,6,FALSE)</f>
        <v>Electrosurgical Units, Monopolar/Bipolar</v>
      </c>
      <c r="PYY92" s="165" t="s">
        <v>945</v>
      </c>
      <c r="PYZ92" s="166" t="str">
        <f>VLOOKUP(PYY92,[13]AssetDetails_UEM!$A$3:$AH$1849,6,FALSE)</f>
        <v>Electrosurgical Units, Monopolar/Bipolar</v>
      </c>
      <c r="PZA92" s="165" t="s">
        <v>945</v>
      </c>
      <c r="PZB92" s="166" t="str">
        <f>VLOOKUP(PZA92,[13]AssetDetails_UEM!$A$3:$AH$1849,6,FALSE)</f>
        <v>Electrosurgical Units, Monopolar/Bipolar</v>
      </c>
      <c r="PZC92" s="165" t="s">
        <v>945</v>
      </c>
      <c r="PZD92" s="166" t="str">
        <f>VLOOKUP(PZC92,[13]AssetDetails_UEM!$A$3:$AH$1849,6,FALSE)</f>
        <v>Electrosurgical Units, Monopolar/Bipolar</v>
      </c>
      <c r="PZE92" s="165" t="s">
        <v>945</v>
      </c>
      <c r="PZF92" s="166" t="str">
        <f>VLOOKUP(PZE92,[13]AssetDetails_UEM!$A$3:$AH$1849,6,FALSE)</f>
        <v>Electrosurgical Units, Monopolar/Bipolar</v>
      </c>
      <c r="PZG92" s="165" t="s">
        <v>945</v>
      </c>
      <c r="PZH92" s="166" t="str">
        <f>VLOOKUP(PZG92,[13]AssetDetails_UEM!$A$3:$AH$1849,6,FALSE)</f>
        <v>Electrosurgical Units, Monopolar/Bipolar</v>
      </c>
      <c r="PZI92" s="165" t="s">
        <v>945</v>
      </c>
      <c r="PZJ92" s="166" t="str">
        <f>VLOOKUP(PZI92,[13]AssetDetails_UEM!$A$3:$AH$1849,6,FALSE)</f>
        <v>Electrosurgical Units, Monopolar/Bipolar</v>
      </c>
      <c r="PZK92" s="165" t="s">
        <v>945</v>
      </c>
      <c r="PZL92" s="166" t="str">
        <f>VLOOKUP(PZK92,[13]AssetDetails_UEM!$A$3:$AH$1849,6,FALSE)</f>
        <v>Electrosurgical Units, Monopolar/Bipolar</v>
      </c>
      <c r="PZM92" s="165" t="s">
        <v>945</v>
      </c>
      <c r="PZN92" s="166" t="str">
        <f>VLOOKUP(PZM92,[13]AssetDetails_UEM!$A$3:$AH$1849,6,FALSE)</f>
        <v>Electrosurgical Units, Monopolar/Bipolar</v>
      </c>
      <c r="PZO92" s="165" t="s">
        <v>945</v>
      </c>
      <c r="PZP92" s="166" t="str">
        <f>VLOOKUP(PZO92,[13]AssetDetails_UEM!$A$3:$AH$1849,6,FALSE)</f>
        <v>Electrosurgical Units, Monopolar/Bipolar</v>
      </c>
      <c r="PZQ92" s="165" t="s">
        <v>945</v>
      </c>
      <c r="PZR92" s="166" t="str">
        <f>VLOOKUP(PZQ92,[13]AssetDetails_UEM!$A$3:$AH$1849,6,FALSE)</f>
        <v>Electrosurgical Units, Monopolar/Bipolar</v>
      </c>
      <c r="PZS92" s="165" t="s">
        <v>945</v>
      </c>
      <c r="PZT92" s="166" t="str">
        <f>VLOOKUP(PZS92,[13]AssetDetails_UEM!$A$3:$AH$1849,6,FALSE)</f>
        <v>Electrosurgical Units, Monopolar/Bipolar</v>
      </c>
      <c r="PZU92" s="165" t="s">
        <v>945</v>
      </c>
      <c r="PZV92" s="166" t="str">
        <f>VLOOKUP(PZU92,[13]AssetDetails_UEM!$A$3:$AH$1849,6,FALSE)</f>
        <v>Electrosurgical Units, Monopolar/Bipolar</v>
      </c>
      <c r="PZW92" s="165" t="s">
        <v>945</v>
      </c>
      <c r="PZX92" s="166" t="str">
        <f>VLOOKUP(PZW92,[13]AssetDetails_UEM!$A$3:$AH$1849,6,FALSE)</f>
        <v>Electrosurgical Units, Monopolar/Bipolar</v>
      </c>
      <c r="PZY92" s="165" t="s">
        <v>945</v>
      </c>
      <c r="PZZ92" s="166" t="str">
        <f>VLOOKUP(PZY92,[13]AssetDetails_UEM!$A$3:$AH$1849,6,FALSE)</f>
        <v>Electrosurgical Units, Monopolar/Bipolar</v>
      </c>
      <c r="QAA92" s="165" t="s">
        <v>945</v>
      </c>
      <c r="QAB92" s="166" t="str">
        <f>VLOOKUP(QAA92,[13]AssetDetails_UEM!$A$3:$AH$1849,6,FALSE)</f>
        <v>Electrosurgical Units, Monopolar/Bipolar</v>
      </c>
      <c r="QAC92" s="165" t="s">
        <v>945</v>
      </c>
      <c r="QAD92" s="166" t="str">
        <f>VLOOKUP(QAC92,[13]AssetDetails_UEM!$A$3:$AH$1849,6,FALSE)</f>
        <v>Electrosurgical Units, Monopolar/Bipolar</v>
      </c>
      <c r="QAE92" s="165" t="s">
        <v>945</v>
      </c>
      <c r="QAF92" s="166" t="str">
        <f>VLOOKUP(QAE92,[13]AssetDetails_UEM!$A$3:$AH$1849,6,FALSE)</f>
        <v>Electrosurgical Units, Monopolar/Bipolar</v>
      </c>
      <c r="QAG92" s="165" t="s">
        <v>945</v>
      </c>
      <c r="QAH92" s="166" t="str">
        <f>VLOOKUP(QAG92,[13]AssetDetails_UEM!$A$3:$AH$1849,6,FALSE)</f>
        <v>Electrosurgical Units, Monopolar/Bipolar</v>
      </c>
      <c r="QAI92" s="165" t="s">
        <v>945</v>
      </c>
      <c r="QAJ92" s="166" t="str">
        <f>VLOOKUP(QAI92,[13]AssetDetails_UEM!$A$3:$AH$1849,6,FALSE)</f>
        <v>Electrosurgical Units, Monopolar/Bipolar</v>
      </c>
      <c r="QAK92" s="165" t="s">
        <v>945</v>
      </c>
      <c r="QAL92" s="166" t="str">
        <f>VLOOKUP(QAK92,[13]AssetDetails_UEM!$A$3:$AH$1849,6,FALSE)</f>
        <v>Electrosurgical Units, Monopolar/Bipolar</v>
      </c>
      <c r="QAM92" s="165" t="s">
        <v>945</v>
      </c>
      <c r="QAN92" s="166" t="str">
        <f>VLOOKUP(QAM92,[13]AssetDetails_UEM!$A$3:$AH$1849,6,FALSE)</f>
        <v>Electrosurgical Units, Monopolar/Bipolar</v>
      </c>
      <c r="QAO92" s="165" t="s">
        <v>945</v>
      </c>
      <c r="QAP92" s="166" t="str">
        <f>VLOOKUP(QAO92,[13]AssetDetails_UEM!$A$3:$AH$1849,6,FALSE)</f>
        <v>Electrosurgical Units, Monopolar/Bipolar</v>
      </c>
      <c r="QAQ92" s="165" t="s">
        <v>945</v>
      </c>
      <c r="QAR92" s="166" t="str">
        <f>VLOOKUP(QAQ92,[13]AssetDetails_UEM!$A$3:$AH$1849,6,FALSE)</f>
        <v>Electrosurgical Units, Monopolar/Bipolar</v>
      </c>
      <c r="QAS92" s="165" t="s">
        <v>945</v>
      </c>
      <c r="QAT92" s="166" t="str">
        <f>VLOOKUP(QAS92,[13]AssetDetails_UEM!$A$3:$AH$1849,6,FALSE)</f>
        <v>Electrosurgical Units, Monopolar/Bipolar</v>
      </c>
      <c r="QAU92" s="165" t="s">
        <v>945</v>
      </c>
      <c r="QAV92" s="166" t="str">
        <f>VLOOKUP(QAU92,[13]AssetDetails_UEM!$A$3:$AH$1849,6,FALSE)</f>
        <v>Electrosurgical Units, Monopolar/Bipolar</v>
      </c>
      <c r="QAW92" s="165" t="s">
        <v>945</v>
      </c>
      <c r="QAX92" s="166" t="str">
        <f>VLOOKUP(QAW92,[13]AssetDetails_UEM!$A$3:$AH$1849,6,FALSE)</f>
        <v>Electrosurgical Units, Monopolar/Bipolar</v>
      </c>
      <c r="QAY92" s="165" t="s">
        <v>945</v>
      </c>
      <c r="QAZ92" s="166" t="str">
        <f>VLOOKUP(QAY92,[13]AssetDetails_UEM!$A$3:$AH$1849,6,FALSE)</f>
        <v>Electrosurgical Units, Monopolar/Bipolar</v>
      </c>
      <c r="QBA92" s="165" t="s">
        <v>945</v>
      </c>
      <c r="QBB92" s="166" t="str">
        <f>VLOOKUP(QBA92,[13]AssetDetails_UEM!$A$3:$AH$1849,6,FALSE)</f>
        <v>Electrosurgical Units, Monopolar/Bipolar</v>
      </c>
      <c r="QBC92" s="165" t="s">
        <v>945</v>
      </c>
      <c r="QBD92" s="166" t="str">
        <f>VLOOKUP(QBC92,[13]AssetDetails_UEM!$A$3:$AH$1849,6,FALSE)</f>
        <v>Electrosurgical Units, Monopolar/Bipolar</v>
      </c>
      <c r="QBE92" s="165" t="s">
        <v>945</v>
      </c>
      <c r="QBF92" s="166" t="str">
        <f>VLOOKUP(QBE92,[13]AssetDetails_UEM!$A$3:$AH$1849,6,FALSE)</f>
        <v>Electrosurgical Units, Monopolar/Bipolar</v>
      </c>
      <c r="QBG92" s="165" t="s">
        <v>945</v>
      </c>
      <c r="QBH92" s="166" t="str">
        <f>VLOOKUP(QBG92,[13]AssetDetails_UEM!$A$3:$AH$1849,6,FALSE)</f>
        <v>Electrosurgical Units, Monopolar/Bipolar</v>
      </c>
      <c r="QBI92" s="165" t="s">
        <v>945</v>
      </c>
      <c r="QBJ92" s="166" t="str">
        <f>VLOOKUP(QBI92,[13]AssetDetails_UEM!$A$3:$AH$1849,6,FALSE)</f>
        <v>Electrosurgical Units, Monopolar/Bipolar</v>
      </c>
      <c r="QBK92" s="165" t="s">
        <v>945</v>
      </c>
      <c r="QBL92" s="166" t="str">
        <f>VLOOKUP(QBK92,[13]AssetDetails_UEM!$A$3:$AH$1849,6,FALSE)</f>
        <v>Electrosurgical Units, Monopolar/Bipolar</v>
      </c>
      <c r="QBM92" s="165" t="s">
        <v>945</v>
      </c>
      <c r="QBN92" s="166" t="str">
        <f>VLOOKUP(QBM92,[13]AssetDetails_UEM!$A$3:$AH$1849,6,FALSE)</f>
        <v>Electrosurgical Units, Monopolar/Bipolar</v>
      </c>
      <c r="QBO92" s="165" t="s">
        <v>945</v>
      </c>
      <c r="QBP92" s="166" t="str">
        <f>VLOOKUP(QBO92,[13]AssetDetails_UEM!$A$3:$AH$1849,6,FALSE)</f>
        <v>Electrosurgical Units, Monopolar/Bipolar</v>
      </c>
      <c r="QBQ92" s="165" t="s">
        <v>945</v>
      </c>
      <c r="QBR92" s="166" t="str">
        <f>VLOOKUP(QBQ92,[13]AssetDetails_UEM!$A$3:$AH$1849,6,FALSE)</f>
        <v>Electrosurgical Units, Monopolar/Bipolar</v>
      </c>
      <c r="QBS92" s="165" t="s">
        <v>945</v>
      </c>
      <c r="QBT92" s="166" t="str">
        <f>VLOOKUP(QBS92,[13]AssetDetails_UEM!$A$3:$AH$1849,6,FALSE)</f>
        <v>Electrosurgical Units, Monopolar/Bipolar</v>
      </c>
      <c r="QBU92" s="165" t="s">
        <v>945</v>
      </c>
      <c r="QBV92" s="166" t="str">
        <f>VLOOKUP(QBU92,[13]AssetDetails_UEM!$A$3:$AH$1849,6,FALSE)</f>
        <v>Electrosurgical Units, Monopolar/Bipolar</v>
      </c>
      <c r="QBW92" s="165" t="s">
        <v>945</v>
      </c>
      <c r="QBX92" s="166" t="str">
        <f>VLOOKUP(QBW92,[13]AssetDetails_UEM!$A$3:$AH$1849,6,FALSE)</f>
        <v>Electrosurgical Units, Monopolar/Bipolar</v>
      </c>
      <c r="QBY92" s="165" t="s">
        <v>945</v>
      </c>
      <c r="QBZ92" s="166" t="str">
        <f>VLOOKUP(QBY92,[13]AssetDetails_UEM!$A$3:$AH$1849,6,FALSE)</f>
        <v>Electrosurgical Units, Monopolar/Bipolar</v>
      </c>
      <c r="QCA92" s="165" t="s">
        <v>945</v>
      </c>
      <c r="QCB92" s="166" t="str">
        <f>VLOOKUP(QCA92,[13]AssetDetails_UEM!$A$3:$AH$1849,6,FALSE)</f>
        <v>Electrosurgical Units, Monopolar/Bipolar</v>
      </c>
      <c r="QCC92" s="165" t="s">
        <v>945</v>
      </c>
      <c r="QCD92" s="166" t="str">
        <f>VLOOKUP(QCC92,[13]AssetDetails_UEM!$A$3:$AH$1849,6,FALSE)</f>
        <v>Electrosurgical Units, Monopolar/Bipolar</v>
      </c>
      <c r="QCE92" s="165" t="s">
        <v>945</v>
      </c>
      <c r="QCF92" s="166" t="str">
        <f>VLOOKUP(QCE92,[13]AssetDetails_UEM!$A$3:$AH$1849,6,FALSE)</f>
        <v>Electrosurgical Units, Monopolar/Bipolar</v>
      </c>
      <c r="QCG92" s="165" t="s">
        <v>945</v>
      </c>
      <c r="QCH92" s="166" t="str">
        <f>VLOOKUP(QCG92,[13]AssetDetails_UEM!$A$3:$AH$1849,6,FALSE)</f>
        <v>Electrosurgical Units, Monopolar/Bipolar</v>
      </c>
      <c r="QCI92" s="165" t="s">
        <v>945</v>
      </c>
      <c r="QCJ92" s="166" t="str">
        <f>VLOOKUP(QCI92,[13]AssetDetails_UEM!$A$3:$AH$1849,6,FALSE)</f>
        <v>Electrosurgical Units, Monopolar/Bipolar</v>
      </c>
      <c r="QCK92" s="165" t="s">
        <v>945</v>
      </c>
      <c r="QCL92" s="166" t="str">
        <f>VLOOKUP(QCK92,[13]AssetDetails_UEM!$A$3:$AH$1849,6,FALSE)</f>
        <v>Electrosurgical Units, Monopolar/Bipolar</v>
      </c>
      <c r="QCM92" s="165" t="s">
        <v>945</v>
      </c>
      <c r="QCN92" s="166" t="str">
        <f>VLOOKUP(QCM92,[13]AssetDetails_UEM!$A$3:$AH$1849,6,FALSE)</f>
        <v>Electrosurgical Units, Monopolar/Bipolar</v>
      </c>
      <c r="QCO92" s="165" t="s">
        <v>945</v>
      </c>
      <c r="QCP92" s="166" t="str">
        <f>VLOOKUP(QCO92,[13]AssetDetails_UEM!$A$3:$AH$1849,6,FALSE)</f>
        <v>Electrosurgical Units, Monopolar/Bipolar</v>
      </c>
      <c r="QCQ92" s="165" t="s">
        <v>945</v>
      </c>
      <c r="QCR92" s="166" t="str">
        <f>VLOOKUP(QCQ92,[13]AssetDetails_UEM!$A$3:$AH$1849,6,FALSE)</f>
        <v>Electrosurgical Units, Monopolar/Bipolar</v>
      </c>
      <c r="QCS92" s="165" t="s">
        <v>945</v>
      </c>
      <c r="QCT92" s="166" t="str">
        <f>VLOOKUP(QCS92,[13]AssetDetails_UEM!$A$3:$AH$1849,6,FALSE)</f>
        <v>Electrosurgical Units, Monopolar/Bipolar</v>
      </c>
      <c r="QCU92" s="165" t="s">
        <v>945</v>
      </c>
      <c r="QCV92" s="166" t="str">
        <f>VLOOKUP(QCU92,[13]AssetDetails_UEM!$A$3:$AH$1849,6,FALSE)</f>
        <v>Electrosurgical Units, Monopolar/Bipolar</v>
      </c>
      <c r="QCW92" s="165" t="s">
        <v>945</v>
      </c>
      <c r="QCX92" s="166" t="str">
        <f>VLOOKUP(QCW92,[13]AssetDetails_UEM!$A$3:$AH$1849,6,FALSE)</f>
        <v>Electrosurgical Units, Monopolar/Bipolar</v>
      </c>
      <c r="QCY92" s="165" t="s">
        <v>945</v>
      </c>
      <c r="QCZ92" s="166" t="str">
        <f>VLOOKUP(QCY92,[13]AssetDetails_UEM!$A$3:$AH$1849,6,FALSE)</f>
        <v>Electrosurgical Units, Monopolar/Bipolar</v>
      </c>
      <c r="QDA92" s="165" t="s">
        <v>945</v>
      </c>
      <c r="QDB92" s="166" t="str">
        <f>VLOOKUP(QDA92,[13]AssetDetails_UEM!$A$3:$AH$1849,6,FALSE)</f>
        <v>Electrosurgical Units, Monopolar/Bipolar</v>
      </c>
      <c r="QDC92" s="165" t="s">
        <v>945</v>
      </c>
      <c r="QDD92" s="166" t="str">
        <f>VLOOKUP(QDC92,[13]AssetDetails_UEM!$A$3:$AH$1849,6,FALSE)</f>
        <v>Electrosurgical Units, Monopolar/Bipolar</v>
      </c>
      <c r="QDE92" s="165" t="s">
        <v>945</v>
      </c>
      <c r="QDF92" s="166" t="str">
        <f>VLOOKUP(QDE92,[13]AssetDetails_UEM!$A$3:$AH$1849,6,FALSE)</f>
        <v>Electrosurgical Units, Monopolar/Bipolar</v>
      </c>
      <c r="QDG92" s="165" t="s">
        <v>945</v>
      </c>
      <c r="QDH92" s="166" t="str">
        <f>VLOOKUP(QDG92,[13]AssetDetails_UEM!$A$3:$AH$1849,6,FALSE)</f>
        <v>Electrosurgical Units, Monopolar/Bipolar</v>
      </c>
      <c r="QDI92" s="165" t="s">
        <v>945</v>
      </c>
      <c r="QDJ92" s="166" t="str">
        <f>VLOOKUP(QDI92,[13]AssetDetails_UEM!$A$3:$AH$1849,6,FALSE)</f>
        <v>Electrosurgical Units, Monopolar/Bipolar</v>
      </c>
      <c r="QDK92" s="165" t="s">
        <v>945</v>
      </c>
      <c r="QDL92" s="166" t="str">
        <f>VLOOKUP(QDK92,[13]AssetDetails_UEM!$A$3:$AH$1849,6,FALSE)</f>
        <v>Electrosurgical Units, Monopolar/Bipolar</v>
      </c>
      <c r="QDM92" s="165" t="s">
        <v>945</v>
      </c>
      <c r="QDN92" s="166" t="str">
        <f>VLOOKUP(QDM92,[13]AssetDetails_UEM!$A$3:$AH$1849,6,FALSE)</f>
        <v>Electrosurgical Units, Monopolar/Bipolar</v>
      </c>
      <c r="QDO92" s="165" t="s">
        <v>945</v>
      </c>
      <c r="QDP92" s="166" t="str">
        <f>VLOOKUP(QDO92,[13]AssetDetails_UEM!$A$3:$AH$1849,6,FALSE)</f>
        <v>Electrosurgical Units, Monopolar/Bipolar</v>
      </c>
      <c r="QDQ92" s="165" t="s">
        <v>945</v>
      </c>
      <c r="QDR92" s="166" t="str">
        <f>VLOOKUP(QDQ92,[13]AssetDetails_UEM!$A$3:$AH$1849,6,FALSE)</f>
        <v>Electrosurgical Units, Monopolar/Bipolar</v>
      </c>
      <c r="QDS92" s="165" t="s">
        <v>945</v>
      </c>
      <c r="QDT92" s="166" t="str">
        <f>VLOOKUP(QDS92,[13]AssetDetails_UEM!$A$3:$AH$1849,6,FALSE)</f>
        <v>Electrosurgical Units, Monopolar/Bipolar</v>
      </c>
      <c r="QDU92" s="165" t="s">
        <v>945</v>
      </c>
      <c r="QDV92" s="166" t="str">
        <f>VLOOKUP(QDU92,[13]AssetDetails_UEM!$A$3:$AH$1849,6,FALSE)</f>
        <v>Electrosurgical Units, Monopolar/Bipolar</v>
      </c>
      <c r="QDW92" s="165" t="s">
        <v>945</v>
      </c>
      <c r="QDX92" s="166" t="str">
        <f>VLOOKUP(QDW92,[13]AssetDetails_UEM!$A$3:$AH$1849,6,FALSE)</f>
        <v>Electrosurgical Units, Monopolar/Bipolar</v>
      </c>
      <c r="QDY92" s="165" t="s">
        <v>945</v>
      </c>
      <c r="QDZ92" s="166" t="str">
        <f>VLOOKUP(QDY92,[13]AssetDetails_UEM!$A$3:$AH$1849,6,FALSE)</f>
        <v>Electrosurgical Units, Monopolar/Bipolar</v>
      </c>
      <c r="QEA92" s="165" t="s">
        <v>945</v>
      </c>
      <c r="QEB92" s="166" t="str">
        <f>VLOOKUP(QEA92,[13]AssetDetails_UEM!$A$3:$AH$1849,6,FALSE)</f>
        <v>Electrosurgical Units, Monopolar/Bipolar</v>
      </c>
      <c r="QEC92" s="165" t="s">
        <v>945</v>
      </c>
      <c r="QED92" s="166" t="str">
        <f>VLOOKUP(QEC92,[13]AssetDetails_UEM!$A$3:$AH$1849,6,FALSE)</f>
        <v>Electrosurgical Units, Monopolar/Bipolar</v>
      </c>
      <c r="QEE92" s="165" t="s">
        <v>945</v>
      </c>
      <c r="QEF92" s="166" t="str">
        <f>VLOOKUP(QEE92,[13]AssetDetails_UEM!$A$3:$AH$1849,6,FALSE)</f>
        <v>Electrosurgical Units, Monopolar/Bipolar</v>
      </c>
      <c r="QEG92" s="165" t="s">
        <v>945</v>
      </c>
      <c r="QEH92" s="166" t="str">
        <f>VLOOKUP(QEG92,[13]AssetDetails_UEM!$A$3:$AH$1849,6,FALSE)</f>
        <v>Electrosurgical Units, Monopolar/Bipolar</v>
      </c>
      <c r="QEI92" s="165" t="s">
        <v>945</v>
      </c>
      <c r="QEJ92" s="166" t="str">
        <f>VLOOKUP(QEI92,[13]AssetDetails_UEM!$A$3:$AH$1849,6,FALSE)</f>
        <v>Electrosurgical Units, Monopolar/Bipolar</v>
      </c>
      <c r="QEK92" s="165" t="s">
        <v>945</v>
      </c>
      <c r="QEL92" s="166" t="str">
        <f>VLOOKUP(QEK92,[13]AssetDetails_UEM!$A$3:$AH$1849,6,FALSE)</f>
        <v>Electrosurgical Units, Monopolar/Bipolar</v>
      </c>
      <c r="QEM92" s="165" t="s">
        <v>945</v>
      </c>
      <c r="QEN92" s="166" t="str">
        <f>VLOOKUP(QEM92,[13]AssetDetails_UEM!$A$3:$AH$1849,6,FALSE)</f>
        <v>Electrosurgical Units, Monopolar/Bipolar</v>
      </c>
      <c r="QEO92" s="165" t="s">
        <v>945</v>
      </c>
      <c r="QEP92" s="166" t="str">
        <f>VLOOKUP(QEO92,[13]AssetDetails_UEM!$A$3:$AH$1849,6,FALSE)</f>
        <v>Electrosurgical Units, Monopolar/Bipolar</v>
      </c>
      <c r="QEQ92" s="165" t="s">
        <v>945</v>
      </c>
      <c r="QER92" s="166" t="str">
        <f>VLOOKUP(QEQ92,[13]AssetDetails_UEM!$A$3:$AH$1849,6,FALSE)</f>
        <v>Electrosurgical Units, Monopolar/Bipolar</v>
      </c>
      <c r="QES92" s="165" t="s">
        <v>945</v>
      </c>
      <c r="QET92" s="166" t="str">
        <f>VLOOKUP(QES92,[13]AssetDetails_UEM!$A$3:$AH$1849,6,FALSE)</f>
        <v>Electrosurgical Units, Monopolar/Bipolar</v>
      </c>
      <c r="QEU92" s="165" t="s">
        <v>945</v>
      </c>
      <c r="QEV92" s="166" t="str">
        <f>VLOOKUP(QEU92,[13]AssetDetails_UEM!$A$3:$AH$1849,6,FALSE)</f>
        <v>Electrosurgical Units, Monopolar/Bipolar</v>
      </c>
      <c r="QEW92" s="165" t="s">
        <v>945</v>
      </c>
      <c r="QEX92" s="166" t="str">
        <f>VLOOKUP(QEW92,[13]AssetDetails_UEM!$A$3:$AH$1849,6,FALSE)</f>
        <v>Electrosurgical Units, Monopolar/Bipolar</v>
      </c>
      <c r="QEY92" s="165" t="s">
        <v>945</v>
      </c>
      <c r="QEZ92" s="166" t="str">
        <f>VLOOKUP(QEY92,[13]AssetDetails_UEM!$A$3:$AH$1849,6,FALSE)</f>
        <v>Electrosurgical Units, Monopolar/Bipolar</v>
      </c>
      <c r="QFA92" s="165" t="s">
        <v>945</v>
      </c>
      <c r="QFB92" s="166" t="str">
        <f>VLOOKUP(QFA92,[13]AssetDetails_UEM!$A$3:$AH$1849,6,FALSE)</f>
        <v>Electrosurgical Units, Monopolar/Bipolar</v>
      </c>
      <c r="QFC92" s="165" t="s">
        <v>945</v>
      </c>
      <c r="QFD92" s="166" t="str">
        <f>VLOOKUP(QFC92,[13]AssetDetails_UEM!$A$3:$AH$1849,6,FALSE)</f>
        <v>Electrosurgical Units, Monopolar/Bipolar</v>
      </c>
      <c r="QFE92" s="165" t="s">
        <v>945</v>
      </c>
      <c r="QFF92" s="166" t="str">
        <f>VLOOKUP(QFE92,[13]AssetDetails_UEM!$A$3:$AH$1849,6,FALSE)</f>
        <v>Electrosurgical Units, Monopolar/Bipolar</v>
      </c>
      <c r="QFG92" s="165" t="s">
        <v>945</v>
      </c>
      <c r="QFH92" s="166" t="str">
        <f>VLOOKUP(QFG92,[13]AssetDetails_UEM!$A$3:$AH$1849,6,FALSE)</f>
        <v>Electrosurgical Units, Monopolar/Bipolar</v>
      </c>
      <c r="QFI92" s="165" t="s">
        <v>945</v>
      </c>
      <c r="QFJ92" s="166" t="str">
        <f>VLOOKUP(QFI92,[13]AssetDetails_UEM!$A$3:$AH$1849,6,FALSE)</f>
        <v>Electrosurgical Units, Monopolar/Bipolar</v>
      </c>
      <c r="QFK92" s="165" t="s">
        <v>945</v>
      </c>
      <c r="QFL92" s="166" t="str">
        <f>VLOOKUP(QFK92,[13]AssetDetails_UEM!$A$3:$AH$1849,6,FALSE)</f>
        <v>Electrosurgical Units, Monopolar/Bipolar</v>
      </c>
      <c r="QFM92" s="165" t="s">
        <v>945</v>
      </c>
      <c r="QFN92" s="166" t="str">
        <f>VLOOKUP(QFM92,[13]AssetDetails_UEM!$A$3:$AH$1849,6,FALSE)</f>
        <v>Electrosurgical Units, Monopolar/Bipolar</v>
      </c>
      <c r="QFO92" s="165" t="s">
        <v>945</v>
      </c>
      <c r="QFP92" s="166" t="str">
        <f>VLOOKUP(QFO92,[13]AssetDetails_UEM!$A$3:$AH$1849,6,FALSE)</f>
        <v>Electrosurgical Units, Monopolar/Bipolar</v>
      </c>
      <c r="QFQ92" s="165" t="s">
        <v>945</v>
      </c>
      <c r="QFR92" s="166" t="str">
        <f>VLOOKUP(QFQ92,[13]AssetDetails_UEM!$A$3:$AH$1849,6,FALSE)</f>
        <v>Electrosurgical Units, Monopolar/Bipolar</v>
      </c>
      <c r="QFS92" s="165" t="s">
        <v>945</v>
      </c>
      <c r="QFT92" s="166" t="str">
        <f>VLOOKUP(QFS92,[13]AssetDetails_UEM!$A$3:$AH$1849,6,FALSE)</f>
        <v>Electrosurgical Units, Monopolar/Bipolar</v>
      </c>
      <c r="QFU92" s="165" t="s">
        <v>945</v>
      </c>
      <c r="QFV92" s="166" t="str">
        <f>VLOOKUP(QFU92,[13]AssetDetails_UEM!$A$3:$AH$1849,6,FALSE)</f>
        <v>Electrosurgical Units, Monopolar/Bipolar</v>
      </c>
      <c r="QFW92" s="165" t="s">
        <v>945</v>
      </c>
      <c r="QFX92" s="166" t="str">
        <f>VLOOKUP(QFW92,[13]AssetDetails_UEM!$A$3:$AH$1849,6,FALSE)</f>
        <v>Electrosurgical Units, Monopolar/Bipolar</v>
      </c>
      <c r="QFY92" s="165" t="s">
        <v>945</v>
      </c>
      <c r="QFZ92" s="166" t="str">
        <f>VLOOKUP(QFY92,[13]AssetDetails_UEM!$A$3:$AH$1849,6,FALSE)</f>
        <v>Electrosurgical Units, Monopolar/Bipolar</v>
      </c>
      <c r="QGA92" s="165" t="s">
        <v>945</v>
      </c>
      <c r="QGB92" s="166" t="str">
        <f>VLOOKUP(QGA92,[13]AssetDetails_UEM!$A$3:$AH$1849,6,FALSE)</f>
        <v>Electrosurgical Units, Monopolar/Bipolar</v>
      </c>
      <c r="QGC92" s="165" t="s">
        <v>945</v>
      </c>
      <c r="QGD92" s="166" t="str">
        <f>VLOOKUP(QGC92,[13]AssetDetails_UEM!$A$3:$AH$1849,6,FALSE)</f>
        <v>Electrosurgical Units, Monopolar/Bipolar</v>
      </c>
      <c r="QGE92" s="165" t="s">
        <v>945</v>
      </c>
      <c r="QGF92" s="166" t="str">
        <f>VLOOKUP(QGE92,[13]AssetDetails_UEM!$A$3:$AH$1849,6,FALSE)</f>
        <v>Electrosurgical Units, Monopolar/Bipolar</v>
      </c>
      <c r="QGG92" s="165" t="s">
        <v>945</v>
      </c>
      <c r="QGH92" s="166" t="str">
        <f>VLOOKUP(QGG92,[13]AssetDetails_UEM!$A$3:$AH$1849,6,FALSE)</f>
        <v>Electrosurgical Units, Monopolar/Bipolar</v>
      </c>
      <c r="QGI92" s="165" t="s">
        <v>945</v>
      </c>
      <c r="QGJ92" s="166" t="str">
        <f>VLOOKUP(QGI92,[13]AssetDetails_UEM!$A$3:$AH$1849,6,FALSE)</f>
        <v>Electrosurgical Units, Monopolar/Bipolar</v>
      </c>
      <c r="QGK92" s="165" t="s">
        <v>945</v>
      </c>
      <c r="QGL92" s="166" t="str">
        <f>VLOOKUP(QGK92,[13]AssetDetails_UEM!$A$3:$AH$1849,6,FALSE)</f>
        <v>Electrosurgical Units, Monopolar/Bipolar</v>
      </c>
      <c r="QGM92" s="165" t="s">
        <v>945</v>
      </c>
      <c r="QGN92" s="166" t="str">
        <f>VLOOKUP(QGM92,[13]AssetDetails_UEM!$A$3:$AH$1849,6,FALSE)</f>
        <v>Electrosurgical Units, Monopolar/Bipolar</v>
      </c>
      <c r="QGO92" s="165" t="s">
        <v>945</v>
      </c>
      <c r="QGP92" s="166" t="str">
        <f>VLOOKUP(QGO92,[13]AssetDetails_UEM!$A$3:$AH$1849,6,FALSE)</f>
        <v>Electrosurgical Units, Monopolar/Bipolar</v>
      </c>
      <c r="QGQ92" s="165" t="s">
        <v>945</v>
      </c>
      <c r="QGR92" s="166" t="str">
        <f>VLOOKUP(QGQ92,[13]AssetDetails_UEM!$A$3:$AH$1849,6,FALSE)</f>
        <v>Electrosurgical Units, Monopolar/Bipolar</v>
      </c>
      <c r="QGS92" s="165" t="s">
        <v>945</v>
      </c>
      <c r="QGT92" s="166" t="str">
        <f>VLOOKUP(QGS92,[13]AssetDetails_UEM!$A$3:$AH$1849,6,FALSE)</f>
        <v>Electrosurgical Units, Monopolar/Bipolar</v>
      </c>
      <c r="QGU92" s="165" t="s">
        <v>945</v>
      </c>
      <c r="QGV92" s="166" t="str">
        <f>VLOOKUP(QGU92,[13]AssetDetails_UEM!$A$3:$AH$1849,6,FALSE)</f>
        <v>Electrosurgical Units, Monopolar/Bipolar</v>
      </c>
      <c r="QGW92" s="165" t="s">
        <v>945</v>
      </c>
      <c r="QGX92" s="166" t="str">
        <f>VLOOKUP(QGW92,[13]AssetDetails_UEM!$A$3:$AH$1849,6,FALSE)</f>
        <v>Electrosurgical Units, Monopolar/Bipolar</v>
      </c>
      <c r="QGY92" s="165" t="s">
        <v>945</v>
      </c>
      <c r="QGZ92" s="166" t="str">
        <f>VLOOKUP(QGY92,[13]AssetDetails_UEM!$A$3:$AH$1849,6,FALSE)</f>
        <v>Electrosurgical Units, Monopolar/Bipolar</v>
      </c>
      <c r="QHA92" s="165" t="s">
        <v>945</v>
      </c>
      <c r="QHB92" s="166" t="str">
        <f>VLOOKUP(QHA92,[13]AssetDetails_UEM!$A$3:$AH$1849,6,FALSE)</f>
        <v>Electrosurgical Units, Monopolar/Bipolar</v>
      </c>
      <c r="QHC92" s="165" t="s">
        <v>945</v>
      </c>
      <c r="QHD92" s="166" t="str">
        <f>VLOOKUP(QHC92,[13]AssetDetails_UEM!$A$3:$AH$1849,6,FALSE)</f>
        <v>Electrosurgical Units, Monopolar/Bipolar</v>
      </c>
      <c r="QHE92" s="165" t="s">
        <v>945</v>
      </c>
      <c r="QHF92" s="166" t="str">
        <f>VLOOKUP(QHE92,[13]AssetDetails_UEM!$A$3:$AH$1849,6,FALSE)</f>
        <v>Electrosurgical Units, Monopolar/Bipolar</v>
      </c>
      <c r="QHG92" s="165" t="s">
        <v>945</v>
      </c>
      <c r="QHH92" s="166" t="str">
        <f>VLOOKUP(QHG92,[13]AssetDetails_UEM!$A$3:$AH$1849,6,FALSE)</f>
        <v>Electrosurgical Units, Monopolar/Bipolar</v>
      </c>
      <c r="QHI92" s="165" t="s">
        <v>945</v>
      </c>
      <c r="QHJ92" s="166" t="str">
        <f>VLOOKUP(QHI92,[13]AssetDetails_UEM!$A$3:$AH$1849,6,FALSE)</f>
        <v>Electrosurgical Units, Monopolar/Bipolar</v>
      </c>
      <c r="QHK92" s="165" t="s">
        <v>945</v>
      </c>
      <c r="QHL92" s="166" t="str">
        <f>VLOOKUP(QHK92,[13]AssetDetails_UEM!$A$3:$AH$1849,6,FALSE)</f>
        <v>Electrosurgical Units, Monopolar/Bipolar</v>
      </c>
      <c r="QHM92" s="165" t="s">
        <v>945</v>
      </c>
      <c r="QHN92" s="166" t="str">
        <f>VLOOKUP(QHM92,[13]AssetDetails_UEM!$A$3:$AH$1849,6,FALSE)</f>
        <v>Electrosurgical Units, Monopolar/Bipolar</v>
      </c>
      <c r="QHO92" s="165" t="s">
        <v>945</v>
      </c>
      <c r="QHP92" s="166" t="str">
        <f>VLOOKUP(QHO92,[13]AssetDetails_UEM!$A$3:$AH$1849,6,FALSE)</f>
        <v>Electrosurgical Units, Monopolar/Bipolar</v>
      </c>
      <c r="QHQ92" s="165" t="s">
        <v>945</v>
      </c>
      <c r="QHR92" s="166" t="str">
        <f>VLOOKUP(QHQ92,[13]AssetDetails_UEM!$A$3:$AH$1849,6,FALSE)</f>
        <v>Electrosurgical Units, Monopolar/Bipolar</v>
      </c>
      <c r="QHS92" s="165" t="s">
        <v>945</v>
      </c>
      <c r="QHT92" s="166" t="str">
        <f>VLOOKUP(QHS92,[13]AssetDetails_UEM!$A$3:$AH$1849,6,FALSE)</f>
        <v>Electrosurgical Units, Monopolar/Bipolar</v>
      </c>
      <c r="QHU92" s="165" t="s">
        <v>945</v>
      </c>
      <c r="QHV92" s="166" t="str">
        <f>VLOOKUP(QHU92,[13]AssetDetails_UEM!$A$3:$AH$1849,6,FALSE)</f>
        <v>Electrosurgical Units, Monopolar/Bipolar</v>
      </c>
      <c r="QHW92" s="165" t="s">
        <v>945</v>
      </c>
      <c r="QHX92" s="166" t="str">
        <f>VLOOKUP(QHW92,[13]AssetDetails_UEM!$A$3:$AH$1849,6,FALSE)</f>
        <v>Electrosurgical Units, Monopolar/Bipolar</v>
      </c>
      <c r="QHY92" s="165" t="s">
        <v>945</v>
      </c>
      <c r="QHZ92" s="166" t="str">
        <f>VLOOKUP(QHY92,[13]AssetDetails_UEM!$A$3:$AH$1849,6,FALSE)</f>
        <v>Electrosurgical Units, Monopolar/Bipolar</v>
      </c>
      <c r="QIA92" s="165" t="s">
        <v>945</v>
      </c>
      <c r="QIB92" s="166" t="str">
        <f>VLOOKUP(QIA92,[13]AssetDetails_UEM!$A$3:$AH$1849,6,FALSE)</f>
        <v>Electrosurgical Units, Monopolar/Bipolar</v>
      </c>
      <c r="QIC92" s="165" t="s">
        <v>945</v>
      </c>
      <c r="QID92" s="166" t="str">
        <f>VLOOKUP(QIC92,[13]AssetDetails_UEM!$A$3:$AH$1849,6,FALSE)</f>
        <v>Electrosurgical Units, Monopolar/Bipolar</v>
      </c>
      <c r="QIE92" s="165" t="s">
        <v>945</v>
      </c>
      <c r="QIF92" s="166" t="str">
        <f>VLOOKUP(QIE92,[13]AssetDetails_UEM!$A$3:$AH$1849,6,FALSE)</f>
        <v>Electrosurgical Units, Monopolar/Bipolar</v>
      </c>
      <c r="QIG92" s="165" t="s">
        <v>945</v>
      </c>
      <c r="QIH92" s="166" t="str">
        <f>VLOOKUP(QIG92,[13]AssetDetails_UEM!$A$3:$AH$1849,6,FALSE)</f>
        <v>Electrosurgical Units, Monopolar/Bipolar</v>
      </c>
      <c r="QII92" s="165" t="s">
        <v>945</v>
      </c>
      <c r="QIJ92" s="166" t="str">
        <f>VLOOKUP(QII92,[13]AssetDetails_UEM!$A$3:$AH$1849,6,FALSE)</f>
        <v>Electrosurgical Units, Monopolar/Bipolar</v>
      </c>
      <c r="QIK92" s="165" t="s">
        <v>945</v>
      </c>
      <c r="QIL92" s="166" t="str">
        <f>VLOOKUP(QIK92,[13]AssetDetails_UEM!$A$3:$AH$1849,6,FALSE)</f>
        <v>Electrosurgical Units, Monopolar/Bipolar</v>
      </c>
      <c r="QIM92" s="165" t="s">
        <v>945</v>
      </c>
      <c r="QIN92" s="166" t="str">
        <f>VLOOKUP(QIM92,[13]AssetDetails_UEM!$A$3:$AH$1849,6,FALSE)</f>
        <v>Electrosurgical Units, Monopolar/Bipolar</v>
      </c>
      <c r="QIO92" s="165" t="s">
        <v>945</v>
      </c>
      <c r="QIP92" s="166" t="str">
        <f>VLOOKUP(QIO92,[13]AssetDetails_UEM!$A$3:$AH$1849,6,FALSE)</f>
        <v>Electrosurgical Units, Monopolar/Bipolar</v>
      </c>
      <c r="QIQ92" s="165" t="s">
        <v>945</v>
      </c>
      <c r="QIR92" s="166" t="str">
        <f>VLOOKUP(QIQ92,[13]AssetDetails_UEM!$A$3:$AH$1849,6,FALSE)</f>
        <v>Electrosurgical Units, Monopolar/Bipolar</v>
      </c>
      <c r="QIS92" s="165" t="s">
        <v>945</v>
      </c>
      <c r="QIT92" s="166" t="str">
        <f>VLOOKUP(QIS92,[13]AssetDetails_UEM!$A$3:$AH$1849,6,FALSE)</f>
        <v>Electrosurgical Units, Monopolar/Bipolar</v>
      </c>
      <c r="QIU92" s="165" t="s">
        <v>945</v>
      </c>
      <c r="QIV92" s="166" t="str">
        <f>VLOOKUP(QIU92,[13]AssetDetails_UEM!$A$3:$AH$1849,6,FALSE)</f>
        <v>Electrosurgical Units, Monopolar/Bipolar</v>
      </c>
      <c r="QIW92" s="165" t="s">
        <v>945</v>
      </c>
      <c r="QIX92" s="166" t="str">
        <f>VLOOKUP(QIW92,[13]AssetDetails_UEM!$A$3:$AH$1849,6,FALSE)</f>
        <v>Electrosurgical Units, Monopolar/Bipolar</v>
      </c>
      <c r="QIY92" s="165" t="s">
        <v>945</v>
      </c>
      <c r="QIZ92" s="166" t="str">
        <f>VLOOKUP(QIY92,[13]AssetDetails_UEM!$A$3:$AH$1849,6,FALSE)</f>
        <v>Electrosurgical Units, Monopolar/Bipolar</v>
      </c>
      <c r="QJA92" s="165" t="s">
        <v>945</v>
      </c>
      <c r="QJB92" s="166" t="str">
        <f>VLOOKUP(QJA92,[13]AssetDetails_UEM!$A$3:$AH$1849,6,FALSE)</f>
        <v>Electrosurgical Units, Monopolar/Bipolar</v>
      </c>
      <c r="QJC92" s="165" t="s">
        <v>945</v>
      </c>
      <c r="QJD92" s="166" t="str">
        <f>VLOOKUP(QJC92,[13]AssetDetails_UEM!$A$3:$AH$1849,6,FALSE)</f>
        <v>Electrosurgical Units, Monopolar/Bipolar</v>
      </c>
      <c r="QJE92" s="165" t="s">
        <v>945</v>
      </c>
      <c r="QJF92" s="166" t="str">
        <f>VLOOKUP(QJE92,[13]AssetDetails_UEM!$A$3:$AH$1849,6,FALSE)</f>
        <v>Electrosurgical Units, Monopolar/Bipolar</v>
      </c>
      <c r="QJG92" s="165" t="s">
        <v>945</v>
      </c>
      <c r="QJH92" s="166" t="str">
        <f>VLOOKUP(QJG92,[13]AssetDetails_UEM!$A$3:$AH$1849,6,FALSE)</f>
        <v>Electrosurgical Units, Monopolar/Bipolar</v>
      </c>
      <c r="QJI92" s="165" t="s">
        <v>945</v>
      </c>
      <c r="QJJ92" s="166" t="str">
        <f>VLOOKUP(QJI92,[13]AssetDetails_UEM!$A$3:$AH$1849,6,FALSE)</f>
        <v>Electrosurgical Units, Monopolar/Bipolar</v>
      </c>
      <c r="QJK92" s="165" t="s">
        <v>945</v>
      </c>
      <c r="QJL92" s="166" t="str">
        <f>VLOOKUP(QJK92,[13]AssetDetails_UEM!$A$3:$AH$1849,6,FALSE)</f>
        <v>Electrosurgical Units, Monopolar/Bipolar</v>
      </c>
      <c r="QJM92" s="165" t="s">
        <v>945</v>
      </c>
      <c r="QJN92" s="166" t="str">
        <f>VLOOKUP(QJM92,[13]AssetDetails_UEM!$A$3:$AH$1849,6,FALSE)</f>
        <v>Electrosurgical Units, Monopolar/Bipolar</v>
      </c>
      <c r="QJO92" s="165" t="s">
        <v>945</v>
      </c>
      <c r="QJP92" s="166" t="str">
        <f>VLOOKUP(QJO92,[13]AssetDetails_UEM!$A$3:$AH$1849,6,FALSE)</f>
        <v>Electrosurgical Units, Monopolar/Bipolar</v>
      </c>
      <c r="QJQ92" s="165" t="s">
        <v>945</v>
      </c>
      <c r="QJR92" s="166" t="str">
        <f>VLOOKUP(QJQ92,[13]AssetDetails_UEM!$A$3:$AH$1849,6,FALSE)</f>
        <v>Electrosurgical Units, Monopolar/Bipolar</v>
      </c>
      <c r="QJS92" s="165" t="s">
        <v>945</v>
      </c>
      <c r="QJT92" s="166" t="str">
        <f>VLOOKUP(QJS92,[13]AssetDetails_UEM!$A$3:$AH$1849,6,FALSE)</f>
        <v>Electrosurgical Units, Monopolar/Bipolar</v>
      </c>
      <c r="QJU92" s="165" t="s">
        <v>945</v>
      </c>
      <c r="QJV92" s="166" t="str">
        <f>VLOOKUP(QJU92,[13]AssetDetails_UEM!$A$3:$AH$1849,6,FALSE)</f>
        <v>Electrosurgical Units, Monopolar/Bipolar</v>
      </c>
      <c r="QJW92" s="165" t="s">
        <v>945</v>
      </c>
      <c r="QJX92" s="166" t="str">
        <f>VLOOKUP(QJW92,[13]AssetDetails_UEM!$A$3:$AH$1849,6,FALSE)</f>
        <v>Electrosurgical Units, Monopolar/Bipolar</v>
      </c>
      <c r="QJY92" s="165" t="s">
        <v>945</v>
      </c>
      <c r="QJZ92" s="166" t="str">
        <f>VLOOKUP(QJY92,[13]AssetDetails_UEM!$A$3:$AH$1849,6,FALSE)</f>
        <v>Electrosurgical Units, Monopolar/Bipolar</v>
      </c>
      <c r="QKA92" s="165" t="s">
        <v>945</v>
      </c>
      <c r="QKB92" s="166" t="str">
        <f>VLOOKUP(QKA92,[13]AssetDetails_UEM!$A$3:$AH$1849,6,FALSE)</f>
        <v>Electrosurgical Units, Monopolar/Bipolar</v>
      </c>
      <c r="QKC92" s="165" t="s">
        <v>945</v>
      </c>
      <c r="QKD92" s="166" t="str">
        <f>VLOOKUP(QKC92,[13]AssetDetails_UEM!$A$3:$AH$1849,6,FALSE)</f>
        <v>Electrosurgical Units, Monopolar/Bipolar</v>
      </c>
      <c r="QKE92" s="165" t="s">
        <v>945</v>
      </c>
      <c r="QKF92" s="166" t="str">
        <f>VLOOKUP(QKE92,[13]AssetDetails_UEM!$A$3:$AH$1849,6,FALSE)</f>
        <v>Electrosurgical Units, Monopolar/Bipolar</v>
      </c>
      <c r="QKG92" s="165" t="s">
        <v>945</v>
      </c>
      <c r="QKH92" s="166" t="str">
        <f>VLOOKUP(QKG92,[13]AssetDetails_UEM!$A$3:$AH$1849,6,FALSE)</f>
        <v>Electrosurgical Units, Monopolar/Bipolar</v>
      </c>
      <c r="QKI92" s="165" t="s">
        <v>945</v>
      </c>
      <c r="QKJ92" s="166" t="str">
        <f>VLOOKUP(QKI92,[13]AssetDetails_UEM!$A$3:$AH$1849,6,FALSE)</f>
        <v>Electrosurgical Units, Monopolar/Bipolar</v>
      </c>
      <c r="QKK92" s="165" t="s">
        <v>945</v>
      </c>
      <c r="QKL92" s="166" t="str">
        <f>VLOOKUP(QKK92,[13]AssetDetails_UEM!$A$3:$AH$1849,6,FALSE)</f>
        <v>Electrosurgical Units, Monopolar/Bipolar</v>
      </c>
      <c r="QKM92" s="165" t="s">
        <v>945</v>
      </c>
      <c r="QKN92" s="166" t="str">
        <f>VLOOKUP(QKM92,[13]AssetDetails_UEM!$A$3:$AH$1849,6,FALSE)</f>
        <v>Electrosurgical Units, Monopolar/Bipolar</v>
      </c>
      <c r="QKO92" s="165" t="s">
        <v>945</v>
      </c>
      <c r="QKP92" s="166" t="str">
        <f>VLOOKUP(QKO92,[13]AssetDetails_UEM!$A$3:$AH$1849,6,FALSE)</f>
        <v>Electrosurgical Units, Monopolar/Bipolar</v>
      </c>
      <c r="QKQ92" s="165" t="s">
        <v>945</v>
      </c>
      <c r="QKR92" s="166" t="str">
        <f>VLOOKUP(QKQ92,[13]AssetDetails_UEM!$A$3:$AH$1849,6,FALSE)</f>
        <v>Electrosurgical Units, Monopolar/Bipolar</v>
      </c>
      <c r="QKS92" s="165" t="s">
        <v>945</v>
      </c>
      <c r="QKT92" s="166" t="str">
        <f>VLOOKUP(QKS92,[13]AssetDetails_UEM!$A$3:$AH$1849,6,FALSE)</f>
        <v>Electrosurgical Units, Monopolar/Bipolar</v>
      </c>
      <c r="QKU92" s="165" t="s">
        <v>945</v>
      </c>
      <c r="QKV92" s="166" t="str">
        <f>VLOOKUP(QKU92,[13]AssetDetails_UEM!$A$3:$AH$1849,6,FALSE)</f>
        <v>Electrosurgical Units, Monopolar/Bipolar</v>
      </c>
      <c r="QKW92" s="165" t="s">
        <v>945</v>
      </c>
      <c r="QKX92" s="166" t="str">
        <f>VLOOKUP(QKW92,[13]AssetDetails_UEM!$A$3:$AH$1849,6,FALSE)</f>
        <v>Electrosurgical Units, Monopolar/Bipolar</v>
      </c>
      <c r="QKY92" s="165" t="s">
        <v>945</v>
      </c>
      <c r="QKZ92" s="166" t="str">
        <f>VLOOKUP(QKY92,[13]AssetDetails_UEM!$A$3:$AH$1849,6,FALSE)</f>
        <v>Electrosurgical Units, Monopolar/Bipolar</v>
      </c>
      <c r="QLA92" s="165" t="s">
        <v>945</v>
      </c>
      <c r="QLB92" s="166" t="str">
        <f>VLOOKUP(QLA92,[13]AssetDetails_UEM!$A$3:$AH$1849,6,FALSE)</f>
        <v>Electrosurgical Units, Monopolar/Bipolar</v>
      </c>
      <c r="QLC92" s="165" t="s">
        <v>945</v>
      </c>
      <c r="QLD92" s="166" t="str">
        <f>VLOOKUP(QLC92,[13]AssetDetails_UEM!$A$3:$AH$1849,6,FALSE)</f>
        <v>Electrosurgical Units, Monopolar/Bipolar</v>
      </c>
      <c r="QLE92" s="165" t="s">
        <v>945</v>
      </c>
      <c r="QLF92" s="166" t="str">
        <f>VLOOKUP(QLE92,[13]AssetDetails_UEM!$A$3:$AH$1849,6,FALSE)</f>
        <v>Electrosurgical Units, Monopolar/Bipolar</v>
      </c>
      <c r="QLG92" s="165" t="s">
        <v>945</v>
      </c>
      <c r="QLH92" s="166" t="str">
        <f>VLOOKUP(QLG92,[13]AssetDetails_UEM!$A$3:$AH$1849,6,FALSE)</f>
        <v>Electrosurgical Units, Monopolar/Bipolar</v>
      </c>
      <c r="QLI92" s="165" t="s">
        <v>945</v>
      </c>
      <c r="QLJ92" s="166" t="str">
        <f>VLOOKUP(QLI92,[13]AssetDetails_UEM!$A$3:$AH$1849,6,FALSE)</f>
        <v>Electrosurgical Units, Monopolar/Bipolar</v>
      </c>
      <c r="QLK92" s="165" t="s">
        <v>945</v>
      </c>
      <c r="QLL92" s="166" t="str">
        <f>VLOOKUP(QLK92,[13]AssetDetails_UEM!$A$3:$AH$1849,6,FALSE)</f>
        <v>Electrosurgical Units, Monopolar/Bipolar</v>
      </c>
      <c r="QLM92" s="165" t="s">
        <v>945</v>
      </c>
      <c r="QLN92" s="166" t="str">
        <f>VLOOKUP(QLM92,[13]AssetDetails_UEM!$A$3:$AH$1849,6,FALSE)</f>
        <v>Electrosurgical Units, Monopolar/Bipolar</v>
      </c>
      <c r="QLO92" s="165" t="s">
        <v>945</v>
      </c>
      <c r="QLP92" s="166" t="str">
        <f>VLOOKUP(QLO92,[13]AssetDetails_UEM!$A$3:$AH$1849,6,FALSE)</f>
        <v>Electrosurgical Units, Monopolar/Bipolar</v>
      </c>
      <c r="QLQ92" s="165" t="s">
        <v>945</v>
      </c>
      <c r="QLR92" s="166" t="str">
        <f>VLOOKUP(QLQ92,[13]AssetDetails_UEM!$A$3:$AH$1849,6,FALSE)</f>
        <v>Electrosurgical Units, Monopolar/Bipolar</v>
      </c>
      <c r="QLS92" s="165" t="s">
        <v>945</v>
      </c>
      <c r="QLT92" s="166" t="str">
        <f>VLOOKUP(QLS92,[13]AssetDetails_UEM!$A$3:$AH$1849,6,FALSE)</f>
        <v>Electrosurgical Units, Monopolar/Bipolar</v>
      </c>
      <c r="QLU92" s="165" t="s">
        <v>945</v>
      </c>
      <c r="QLV92" s="166" t="str">
        <f>VLOOKUP(QLU92,[13]AssetDetails_UEM!$A$3:$AH$1849,6,FALSE)</f>
        <v>Electrosurgical Units, Monopolar/Bipolar</v>
      </c>
      <c r="QLW92" s="165" t="s">
        <v>945</v>
      </c>
      <c r="QLX92" s="166" t="str">
        <f>VLOOKUP(QLW92,[13]AssetDetails_UEM!$A$3:$AH$1849,6,FALSE)</f>
        <v>Electrosurgical Units, Monopolar/Bipolar</v>
      </c>
      <c r="QLY92" s="165" t="s">
        <v>945</v>
      </c>
      <c r="QLZ92" s="166" t="str">
        <f>VLOOKUP(QLY92,[13]AssetDetails_UEM!$A$3:$AH$1849,6,FALSE)</f>
        <v>Electrosurgical Units, Monopolar/Bipolar</v>
      </c>
      <c r="QMA92" s="165" t="s">
        <v>945</v>
      </c>
      <c r="QMB92" s="166" t="str">
        <f>VLOOKUP(QMA92,[13]AssetDetails_UEM!$A$3:$AH$1849,6,FALSE)</f>
        <v>Electrosurgical Units, Monopolar/Bipolar</v>
      </c>
      <c r="QMC92" s="165" t="s">
        <v>945</v>
      </c>
      <c r="QMD92" s="166" t="str">
        <f>VLOOKUP(QMC92,[13]AssetDetails_UEM!$A$3:$AH$1849,6,FALSE)</f>
        <v>Electrosurgical Units, Monopolar/Bipolar</v>
      </c>
      <c r="QME92" s="165" t="s">
        <v>945</v>
      </c>
      <c r="QMF92" s="166" t="str">
        <f>VLOOKUP(QME92,[13]AssetDetails_UEM!$A$3:$AH$1849,6,FALSE)</f>
        <v>Electrosurgical Units, Monopolar/Bipolar</v>
      </c>
      <c r="QMG92" s="165" t="s">
        <v>945</v>
      </c>
      <c r="QMH92" s="166" t="str">
        <f>VLOOKUP(QMG92,[13]AssetDetails_UEM!$A$3:$AH$1849,6,FALSE)</f>
        <v>Electrosurgical Units, Monopolar/Bipolar</v>
      </c>
      <c r="QMI92" s="165" t="s">
        <v>945</v>
      </c>
      <c r="QMJ92" s="166" t="str">
        <f>VLOOKUP(QMI92,[13]AssetDetails_UEM!$A$3:$AH$1849,6,FALSE)</f>
        <v>Electrosurgical Units, Monopolar/Bipolar</v>
      </c>
      <c r="QMK92" s="165" t="s">
        <v>945</v>
      </c>
      <c r="QML92" s="166" t="str">
        <f>VLOOKUP(QMK92,[13]AssetDetails_UEM!$A$3:$AH$1849,6,FALSE)</f>
        <v>Electrosurgical Units, Monopolar/Bipolar</v>
      </c>
      <c r="QMM92" s="165" t="s">
        <v>945</v>
      </c>
      <c r="QMN92" s="166" t="str">
        <f>VLOOKUP(QMM92,[13]AssetDetails_UEM!$A$3:$AH$1849,6,FALSE)</f>
        <v>Electrosurgical Units, Monopolar/Bipolar</v>
      </c>
      <c r="QMO92" s="165" t="s">
        <v>945</v>
      </c>
      <c r="QMP92" s="166" t="str">
        <f>VLOOKUP(QMO92,[13]AssetDetails_UEM!$A$3:$AH$1849,6,FALSE)</f>
        <v>Electrosurgical Units, Monopolar/Bipolar</v>
      </c>
      <c r="QMQ92" s="165" t="s">
        <v>945</v>
      </c>
      <c r="QMR92" s="166" t="str">
        <f>VLOOKUP(QMQ92,[13]AssetDetails_UEM!$A$3:$AH$1849,6,FALSE)</f>
        <v>Electrosurgical Units, Monopolar/Bipolar</v>
      </c>
      <c r="QMS92" s="165" t="s">
        <v>945</v>
      </c>
      <c r="QMT92" s="166" t="str">
        <f>VLOOKUP(QMS92,[13]AssetDetails_UEM!$A$3:$AH$1849,6,FALSE)</f>
        <v>Electrosurgical Units, Monopolar/Bipolar</v>
      </c>
      <c r="QMU92" s="165" t="s">
        <v>945</v>
      </c>
      <c r="QMV92" s="166" t="str">
        <f>VLOOKUP(QMU92,[13]AssetDetails_UEM!$A$3:$AH$1849,6,FALSE)</f>
        <v>Electrosurgical Units, Monopolar/Bipolar</v>
      </c>
      <c r="QMW92" s="165" t="s">
        <v>945</v>
      </c>
      <c r="QMX92" s="166" t="str">
        <f>VLOOKUP(QMW92,[13]AssetDetails_UEM!$A$3:$AH$1849,6,FALSE)</f>
        <v>Electrosurgical Units, Monopolar/Bipolar</v>
      </c>
      <c r="QMY92" s="165" t="s">
        <v>945</v>
      </c>
      <c r="QMZ92" s="166" t="str">
        <f>VLOOKUP(QMY92,[13]AssetDetails_UEM!$A$3:$AH$1849,6,FALSE)</f>
        <v>Electrosurgical Units, Monopolar/Bipolar</v>
      </c>
      <c r="QNA92" s="165" t="s">
        <v>945</v>
      </c>
      <c r="QNB92" s="166" t="str">
        <f>VLOOKUP(QNA92,[13]AssetDetails_UEM!$A$3:$AH$1849,6,FALSE)</f>
        <v>Electrosurgical Units, Monopolar/Bipolar</v>
      </c>
      <c r="QNC92" s="165" t="s">
        <v>945</v>
      </c>
      <c r="QND92" s="166" t="str">
        <f>VLOOKUP(QNC92,[13]AssetDetails_UEM!$A$3:$AH$1849,6,FALSE)</f>
        <v>Electrosurgical Units, Monopolar/Bipolar</v>
      </c>
      <c r="QNE92" s="165" t="s">
        <v>945</v>
      </c>
      <c r="QNF92" s="166" t="str">
        <f>VLOOKUP(QNE92,[13]AssetDetails_UEM!$A$3:$AH$1849,6,FALSE)</f>
        <v>Electrosurgical Units, Monopolar/Bipolar</v>
      </c>
      <c r="QNG92" s="165" t="s">
        <v>945</v>
      </c>
      <c r="QNH92" s="166" t="str">
        <f>VLOOKUP(QNG92,[13]AssetDetails_UEM!$A$3:$AH$1849,6,FALSE)</f>
        <v>Electrosurgical Units, Monopolar/Bipolar</v>
      </c>
      <c r="QNI92" s="165" t="s">
        <v>945</v>
      </c>
      <c r="QNJ92" s="166" t="str">
        <f>VLOOKUP(QNI92,[13]AssetDetails_UEM!$A$3:$AH$1849,6,FALSE)</f>
        <v>Electrosurgical Units, Monopolar/Bipolar</v>
      </c>
      <c r="QNK92" s="165" t="s">
        <v>945</v>
      </c>
      <c r="QNL92" s="166" t="str">
        <f>VLOOKUP(QNK92,[13]AssetDetails_UEM!$A$3:$AH$1849,6,FALSE)</f>
        <v>Electrosurgical Units, Monopolar/Bipolar</v>
      </c>
      <c r="QNM92" s="165" t="s">
        <v>945</v>
      </c>
      <c r="QNN92" s="166" t="str">
        <f>VLOOKUP(QNM92,[13]AssetDetails_UEM!$A$3:$AH$1849,6,FALSE)</f>
        <v>Electrosurgical Units, Monopolar/Bipolar</v>
      </c>
      <c r="QNO92" s="165" t="s">
        <v>945</v>
      </c>
      <c r="QNP92" s="166" t="str">
        <f>VLOOKUP(QNO92,[13]AssetDetails_UEM!$A$3:$AH$1849,6,FALSE)</f>
        <v>Electrosurgical Units, Monopolar/Bipolar</v>
      </c>
      <c r="QNQ92" s="165" t="s">
        <v>945</v>
      </c>
      <c r="QNR92" s="166" t="str">
        <f>VLOOKUP(QNQ92,[13]AssetDetails_UEM!$A$3:$AH$1849,6,FALSE)</f>
        <v>Electrosurgical Units, Monopolar/Bipolar</v>
      </c>
      <c r="QNS92" s="165" t="s">
        <v>945</v>
      </c>
      <c r="QNT92" s="166" t="str">
        <f>VLOOKUP(QNS92,[13]AssetDetails_UEM!$A$3:$AH$1849,6,FALSE)</f>
        <v>Electrosurgical Units, Monopolar/Bipolar</v>
      </c>
      <c r="QNU92" s="165" t="s">
        <v>945</v>
      </c>
      <c r="QNV92" s="166" t="str">
        <f>VLOOKUP(QNU92,[13]AssetDetails_UEM!$A$3:$AH$1849,6,FALSE)</f>
        <v>Electrosurgical Units, Monopolar/Bipolar</v>
      </c>
      <c r="QNW92" s="165" t="s">
        <v>945</v>
      </c>
      <c r="QNX92" s="166" t="str">
        <f>VLOOKUP(QNW92,[13]AssetDetails_UEM!$A$3:$AH$1849,6,FALSE)</f>
        <v>Electrosurgical Units, Monopolar/Bipolar</v>
      </c>
      <c r="QNY92" s="165" t="s">
        <v>945</v>
      </c>
      <c r="QNZ92" s="166" t="str">
        <f>VLOOKUP(QNY92,[13]AssetDetails_UEM!$A$3:$AH$1849,6,FALSE)</f>
        <v>Electrosurgical Units, Monopolar/Bipolar</v>
      </c>
      <c r="QOA92" s="165" t="s">
        <v>945</v>
      </c>
      <c r="QOB92" s="166" t="str">
        <f>VLOOKUP(QOA92,[13]AssetDetails_UEM!$A$3:$AH$1849,6,FALSE)</f>
        <v>Electrosurgical Units, Monopolar/Bipolar</v>
      </c>
      <c r="QOC92" s="165" t="s">
        <v>945</v>
      </c>
      <c r="QOD92" s="166" t="str">
        <f>VLOOKUP(QOC92,[13]AssetDetails_UEM!$A$3:$AH$1849,6,FALSE)</f>
        <v>Electrosurgical Units, Monopolar/Bipolar</v>
      </c>
      <c r="QOE92" s="165" t="s">
        <v>945</v>
      </c>
      <c r="QOF92" s="166" t="str">
        <f>VLOOKUP(QOE92,[13]AssetDetails_UEM!$A$3:$AH$1849,6,FALSE)</f>
        <v>Electrosurgical Units, Monopolar/Bipolar</v>
      </c>
      <c r="QOG92" s="165" t="s">
        <v>945</v>
      </c>
      <c r="QOH92" s="166" t="str">
        <f>VLOOKUP(QOG92,[13]AssetDetails_UEM!$A$3:$AH$1849,6,FALSE)</f>
        <v>Electrosurgical Units, Monopolar/Bipolar</v>
      </c>
      <c r="QOI92" s="165" t="s">
        <v>945</v>
      </c>
      <c r="QOJ92" s="166" t="str">
        <f>VLOOKUP(QOI92,[13]AssetDetails_UEM!$A$3:$AH$1849,6,FALSE)</f>
        <v>Electrosurgical Units, Monopolar/Bipolar</v>
      </c>
      <c r="QOK92" s="165" t="s">
        <v>945</v>
      </c>
      <c r="QOL92" s="166" t="str">
        <f>VLOOKUP(QOK92,[13]AssetDetails_UEM!$A$3:$AH$1849,6,FALSE)</f>
        <v>Electrosurgical Units, Monopolar/Bipolar</v>
      </c>
      <c r="QOM92" s="165" t="s">
        <v>945</v>
      </c>
      <c r="QON92" s="166" t="str">
        <f>VLOOKUP(QOM92,[13]AssetDetails_UEM!$A$3:$AH$1849,6,FALSE)</f>
        <v>Electrosurgical Units, Monopolar/Bipolar</v>
      </c>
      <c r="QOO92" s="165" t="s">
        <v>945</v>
      </c>
      <c r="QOP92" s="166" t="str">
        <f>VLOOKUP(QOO92,[13]AssetDetails_UEM!$A$3:$AH$1849,6,FALSE)</f>
        <v>Electrosurgical Units, Monopolar/Bipolar</v>
      </c>
      <c r="QOQ92" s="165" t="s">
        <v>945</v>
      </c>
      <c r="QOR92" s="166" t="str">
        <f>VLOOKUP(QOQ92,[13]AssetDetails_UEM!$A$3:$AH$1849,6,FALSE)</f>
        <v>Electrosurgical Units, Monopolar/Bipolar</v>
      </c>
      <c r="QOS92" s="165" t="s">
        <v>945</v>
      </c>
      <c r="QOT92" s="166" t="str">
        <f>VLOOKUP(QOS92,[13]AssetDetails_UEM!$A$3:$AH$1849,6,FALSE)</f>
        <v>Electrosurgical Units, Monopolar/Bipolar</v>
      </c>
      <c r="QOU92" s="165" t="s">
        <v>945</v>
      </c>
      <c r="QOV92" s="166" t="str">
        <f>VLOOKUP(QOU92,[13]AssetDetails_UEM!$A$3:$AH$1849,6,FALSE)</f>
        <v>Electrosurgical Units, Monopolar/Bipolar</v>
      </c>
      <c r="QOW92" s="165" t="s">
        <v>945</v>
      </c>
      <c r="QOX92" s="166" t="str">
        <f>VLOOKUP(QOW92,[13]AssetDetails_UEM!$A$3:$AH$1849,6,FALSE)</f>
        <v>Electrosurgical Units, Monopolar/Bipolar</v>
      </c>
      <c r="QOY92" s="165" t="s">
        <v>945</v>
      </c>
      <c r="QOZ92" s="166" t="str">
        <f>VLOOKUP(QOY92,[13]AssetDetails_UEM!$A$3:$AH$1849,6,FALSE)</f>
        <v>Electrosurgical Units, Monopolar/Bipolar</v>
      </c>
      <c r="QPA92" s="165" t="s">
        <v>945</v>
      </c>
      <c r="QPB92" s="166" t="str">
        <f>VLOOKUP(QPA92,[13]AssetDetails_UEM!$A$3:$AH$1849,6,FALSE)</f>
        <v>Electrosurgical Units, Monopolar/Bipolar</v>
      </c>
      <c r="QPC92" s="165" t="s">
        <v>945</v>
      </c>
      <c r="QPD92" s="166" t="str">
        <f>VLOOKUP(QPC92,[13]AssetDetails_UEM!$A$3:$AH$1849,6,FALSE)</f>
        <v>Electrosurgical Units, Monopolar/Bipolar</v>
      </c>
      <c r="QPE92" s="165" t="s">
        <v>945</v>
      </c>
      <c r="QPF92" s="166" t="str">
        <f>VLOOKUP(QPE92,[13]AssetDetails_UEM!$A$3:$AH$1849,6,FALSE)</f>
        <v>Electrosurgical Units, Monopolar/Bipolar</v>
      </c>
      <c r="QPG92" s="165" t="s">
        <v>945</v>
      </c>
      <c r="QPH92" s="166" t="str">
        <f>VLOOKUP(QPG92,[13]AssetDetails_UEM!$A$3:$AH$1849,6,FALSE)</f>
        <v>Electrosurgical Units, Monopolar/Bipolar</v>
      </c>
      <c r="QPI92" s="165" t="s">
        <v>945</v>
      </c>
      <c r="QPJ92" s="166" t="str">
        <f>VLOOKUP(QPI92,[13]AssetDetails_UEM!$A$3:$AH$1849,6,FALSE)</f>
        <v>Electrosurgical Units, Monopolar/Bipolar</v>
      </c>
      <c r="QPK92" s="165" t="s">
        <v>945</v>
      </c>
      <c r="QPL92" s="166" t="str">
        <f>VLOOKUP(QPK92,[13]AssetDetails_UEM!$A$3:$AH$1849,6,FALSE)</f>
        <v>Electrosurgical Units, Monopolar/Bipolar</v>
      </c>
      <c r="QPM92" s="165" t="s">
        <v>945</v>
      </c>
      <c r="QPN92" s="166" t="str">
        <f>VLOOKUP(QPM92,[13]AssetDetails_UEM!$A$3:$AH$1849,6,FALSE)</f>
        <v>Electrosurgical Units, Monopolar/Bipolar</v>
      </c>
      <c r="QPO92" s="165" t="s">
        <v>945</v>
      </c>
      <c r="QPP92" s="166" t="str">
        <f>VLOOKUP(QPO92,[13]AssetDetails_UEM!$A$3:$AH$1849,6,FALSE)</f>
        <v>Electrosurgical Units, Monopolar/Bipolar</v>
      </c>
      <c r="QPQ92" s="165" t="s">
        <v>945</v>
      </c>
      <c r="QPR92" s="166" t="str">
        <f>VLOOKUP(QPQ92,[13]AssetDetails_UEM!$A$3:$AH$1849,6,FALSE)</f>
        <v>Electrosurgical Units, Monopolar/Bipolar</v>
      </c>
      <c r="QPS92" s="165" t="s">
        <v>945</v>
      </c>
      <c r="QPT92" s="166" t="str">
        <f>VLOOKUP(QPS92,[13]AssetDetails_UEM!$A$3:$AH$1849,6,FALSE)</f>
        <v>Electrosurgical Units, Monopolar/Bipolar</v>
      </c>
      <c r="QPU92" s="165" t="s">
        <v>945</v>
      </c>
      <c r="QPV92" s="166" t="str">
        <f>VLOOKUP(QPU92,[13]AssetDetails_UEM!$A$3:$AH$1849,6,FALSE)</f>
        <v>Electrosurgical Units, Monopolar/Bipolar</v>
      </c>
      <c r="QPW92" s="165" t="s">
        <v>945</v>
      </c>
      <c r="QPX92" s="166" t="str">
        <f>VLOOKUP(QPW92,[13]AssetDetails_UEM!$A$3:$AH$1849,6,FALSE)</f>
        <v>Electrosurgical Units, Monopolar/Bipolar</v>
      </c>
      <c r="QPY92" s="165" t="s">
        <v>945</v>
      </c>
      <c r="QPZ92" s="166" t="str">
        <f>VLOOKUP(QPY92,[13]AssetDetails_UEM!$A$3:$AH$1849,6,FALSE)</f>
        <v>Electrosurgical Units, Monopolar/Bipolar</v>
      </c>
      <c r="QQA92" s="165" t="s">
        <v>945</v>
      </c>
      <c r="QQB92" s="166" t="str">
        <f>VLOOKUP(QQA92,[13]AssetDetails_UEM!$A$3:$AH$1849,6,FALSE)</f>
        <v>Electrosurgical Units, Monopolar/Bipolar</v>
      </c>
      <c r="QQC92" s="165" t="s">
        <v>945</v>
      </c>
      <c r="QQD92" s="166" t="str">
        <f>VLOOKUP(QQC92,[13]AssetDetails_UEM!$A$3:$AH$1849,6,FALSE)</f>
        <v>Electrosurgical Units, Monopolar/Bipolar</v>
      </c>
      <c r="QQE92" s="165" t="s">
        <v>945</v>
      </c>
      <c r="QQF92" s="166" t="str">
        <f>VLOOKUP(QQE92,[13]AssetDetails_UEM!$A$3:$AH$1849,6,FALSE)</f>
        <v>Electrosurgical Units, Monopolar/Bipolar</v>
      </c>
      <c r="QQG92" s="165" t="s">
        <v>945</v>
      </c>
      <c r="QQH92" s="166" t="str">
        <f>VLOOKUP(QQG92,[13]AssetDetails_UEM!$A$3:$AH$1849,6,FALSE)</f>
        <v>Electrosurgical Units, Monopolar/Bipolar</v>
      </c>
      <c r="QQI92" s="165" t="s">
        <v>945</v>
      </c>
      <c r="QQJ92" s="166" t="str">
        <f>VLOOKUP(QQI92,[13]AssetDetails_UEM!$A$3:$AH$1849,6,FALSE)</f>
        <v>Electrosurgical Units, Monopolar/Bipolar</v>
      </c>
      <c r="QQK92" s="165" t="s">
        <v>945</v>
      </c>
      <c r="QQL92" s="166" t="str">
        <f>VLOOKUP(QQK92,[13]AssetDetails_UEM!$A$3:$AH$1849,6,FALSE)</f>
        <v>Electrosurgical Units, Monopolar/Bipolar</v>
      </c>
      <c r="QQM92" s="165" t="s">
        <v>945</v>
      </c>
      <c r="QQN92" s="166" t="str">
        <f>VLOOKUP(QQM92,[13]AssetDetails_UEM!$A$3:$AH$1849,6,FALSE)</f>
        <v>Electrosurgical Units, Monopolar/Bipolar</v>
      </c>
      <c r="QQO92" s="165" t="s">
        <v>945</v>
      </c>
      <c r="QQP92" s="166" t="str">
        <f>VLOOKUP(QQO92,[13]AssetDetails_UEM!$A$3:$AH$1849,6,FALSE)</f>
        <v>Electrosurgical Units, Monopolar/Bipolar</v>
      </c>
      <c r="QQQ92" s="165" t="s">
        <v>945</v>
      </c>
      <c r="QQR92" s="166" t="str">
        <f>VLOOKUP(QQQ92,[13]AssetDetails_UEM!$A$3:$AH$1849,6,FALSE)</f>
        <v>Electrosurgical Units, Monopolar/Bipolar</v>
      </c>
      <c r="QQS92" s="165" t="s">
        <v>945</v>
      </c>
      <c r="QQT92" s="166" t="str">
        <f>VLOOKUP(QQS92,[13]AssetDetails_UEM!$A$3:$AH$1849,6,FALSE)</f>
        <v>Electrosurgical Units, Monopolar/Bipolar</v>
      </c>
      <c r="QQU92" s="165" t="s">
        <v>945</v>
      </c>
      <c r="QQV92" s="166" t="str">
        <f>VLOOKUP(QQU92,[13]AssetDetails_UEM!$A$3:$AH$1849,6,FALSE)</f>
        <v>Electrosurgical Units, Monopolar/Bipolar</v>
      </c>
      <c r="QQW92" s="165" t="s">
        <v>945</v>
      </c>
      <c r="QQX92" s="166" t="str">
        <f>VLOOKUP(QQW92,[13]AssetDetails_UEM!$A$3:$AH$1849,6,FALSE)</f>
        <v>Electrosurgical Units, Monopolar/Bipolar</v>
      </c>
      <c r="QQY92" s="165" t="s">
        <v>945</v>
      </c>
      <c r="QQZ92" s="166" t="str">
        <f>VLOOKUP(QQY92,[13]AssetDetails_UEM!$A$3:$AH$1849,6,FALSE)</f>
        <v>Electrosurgical Units, Monopolar/Bipolar</v>
      </c>
      <c r="QRA92" s="165" t="s">
        <v>945</v>
      </c>
      <c r="QRB92" s="166" t="str">
        <f>VLOOKUP(QRA92,[13]AssetDetails_UEM!$A$3:$AH$1849,6,FALSE)</f>
        <v>Electrosurgical Units, Monopolar/Bipolar</v>
      </c>
      <c r="QRC92" s="165" t="s">
        <v>945</v>
      </c>
      <c r="QRD92" s="166" t="str">
        <f>VLOOKUP(QRC92,[13]AssetDetails_UEM!$A$3:$AH$1849,6,FALSE)</f>
        <v>Electrosurgical Units, Monopolar/Bipolar</v>
      </c>
      <c r="QRE92" s="165" t="s">
        <v>945</v>
      </c>
      <c r="QRF92" s="166" t="str">
        <f>VLOOKUP(QRE92,[13]AssetDetails_UEM!$A$3:$AH$1849,6,FALSE)</f>
        <v>Electrosurgical Units, Monopolar/Bipolar</v>
      </c>
      <c r="QRG92" s="165" t="s">
        <v>945</v>
      </c>
      <c r="QRH92" s="166" t="str">
        <f>VLOOKUP(QRG92,[13]AssetDetails_UEM!$A$3:$AH$1849,6,FALSE)</f>
        <v>Electrosurgical Units, Monopolar/Bipolar</v>
      </c>
      <c r="QRI92" s="165" t="s">
        <v>945</v>
      </c>
      <c r="QRJ92" s="166" t="str">
        <f>VLOOKUP(QRI92,[13]AssetDetails_UEM!$A$3:$AH$1849,6,FALSE)</f>
        <v>Electrosurgical Units, Monopolar/Bipolar</v>
      </c>
      <c r="QRK92" s="165" t="s">
        <v>945</v>
      </c>
      <c r="QRL92" s="166" t="str">
        <f>VLOOKUP(QRK92,[13]AssetDetails_UEM!$A$3:$AH$1849,6,FALSE)</f>
        <v>Electrosurgical Units, Monopolar/Bipolar</v>
      </c>
      <c r="QRM92" s="165" t="s">
        <v>945</v>
      </c>
      <c r="QRN92" s="166" t="str">
        <f>VLOOKUP(QRM92,[13]AssetDetails_UEM!$A$3:$AH$1849,6,FALSE)</f>
        <v>Electrosurgical Units, Monopolar/Bipolar</v>
      </c>
      <c r="QRO92" s="165" t="s">
        <v>945</v>
      </c>
      <c r="QRP92" s="166" t="str">
        <f>VLOOKUP(QRO92,[13]AssetDetails_UEM!$A$3:$AH$1849,6,FALSE)</f>
        <v>Electrosurgical Units, Monopolar/Bipolar</v>
      </c>
      <c r="QRQ92" s="165" t="s">
        <v>945</v>
      </c>
      <c r="QRR92" s="166" t="str">
        <f>VLOOKUP(QRQ92,[13]AssetDetails_UEM!$A$3:$AH$1849,6,FALSE)</f>
        <v>Electrosurgical Units, Monopolar/Bipolar</v>
      </c>
      <c r="QRS92" s="165" t="s">
        <v>945</v>
      </c>
      <c r="QRT92" s="166" t="str">
        <f>VLOOKUP(QRS92,[13]AssetDetails_UEM!$A$3:$AH$1849,6,FALSE)</f>
        <v>Electrosurgical Units, Monopolar/Bipolar</v>
      </c>
      <c r="QRU92" s="165" t="s">
        <v>945</v>
      </c>
      <c r="QRV92" s="166" t="str">
        <f>VLOOKUP(QRU92,[13]AssetDetails_UEM!$A$3:$AH$1849,6,FALSE)</f>
        <v>Electrosurgical Units, Monopolar/Bipolar</v>
      </c>
      <c r="QRW92" s="165" t="s">
        <v>945</v>
      </c>
      <c r="QRX92" s="166" t="str">
        <f>VLOOKUP(QRW92,[13]AssetDetails_UEM!$A$3:$AH$1849,6,FALSE)</f>
        <v>Electrosurgical Units, Monopolar/Bipolar</v>
      </c>
      <c r="QRY92" s="165" t="s">
        <v>945</v>
      </c>
      <c r="QRZ92" s="166" t="str">
        <f>VLOOKUP(QRY92,[13]AssetDetails_UEM!$A$3:$AH$1849,6,FALSE)</f>
        <v>Electrosurgical Units, Monopolar/Bipolar</v>
      </c>
      <c r="QSA92" s="165" t="s">
        <v>945</v>
      </c>
      <c r="QSB92" s="166" t="str">
        <f>VLOOKUP(QSA92,[13]AssetDetails_UEM!$A$3:$AH$1849,6,FALSE)</f>
        <v>Electrosurgical Units, Monopolar/Bipolar</v>
      </c>
      <c r="QSC92" s="165" t="s">
        <v>945</v>
      </c>
      <c r="QSD92" s="166" t="str">
        <f>VLOOKUP(QSC92,[13]AssetDetails_UEM!$A$3:$AH$1849,6,FALSE)</f>
        <v>Electrosurgical Units, Monopolar/Bipolar</v>
      </c>
      <c r="QSE92" s="165" t="s">
        <v>945</v>
      </c>
      <c r="QSF92" s="166" t="str">
        <f>VLOOKUP(QSE92,[13]AssetDetails_UEM!$A$3:$AH$1849,6,FALSE)</f>
        <v>Electrosurgical Units, Monopolar/Bipolar</v>
      </c>
      <c r="QSG92" s="165" t="s">
        <v>945</v>
      </c>
      <c r="QSH92" s="166" t="str">
        <f>VLOOKUP(QSG92,[13]AssetDetails_UEM!$A$3:$AH$1849,6,FALSE)</f>
        <v>Electrosurgical Units, Monopolar/Bipolar</v>
      </c>
      <c r="QSI92" s="165" t="s">
        <v>945</v>
      </c>
      <c r="QSJ92" s="166" t="str">
        <f>VLOOKUP(QSI92,[13]AssetDetails_UEM!$A$3:$AH$1849,6,FALSE)</f>
        <v>Electrosurgical Units, Monopolar/Bipolar</v>
      </c>
      <c r="QSK92" s="165" t="s">
        <v>945</v>
      </c>
      <c r="QSL92" s="166" t="str">
        <f>VLOOKUP(QSK92,[13]AssetDetails_UEM!$A$3:$AH$1849,6,FALSE)</f>
        <v>Electrosurgical Units, Monopolar/Bipolar</v>
      </c>
      <c r="QSM92" s="165" t="s">
        <v>945</v>
      </c>
      <c r="QSN92" s="166" t="str">
        <f>VLOOKUP(QSM92,[13]AssetDetails_UEM!$A$3:$AH$1849,6,FALSE)</f>
        <v>Electrosurgical Units, Monopolar/Bipolar</v>
      </c>
      <c r="QSO92" s="165" t="s">
        <v>945</v>
      </c>
      <c r="QSP92" s="166" t="str">
        <f>VLOOKUP(QSO92,[13]AssetDetails_UEM!$A$3:$AH$1849,6,FALSE)</f>
        <v>Electrosurgical Units, Monopolar/Bipolar</v>
      </c>
      <c r="QSQ92" s="165" t="s">
        <v>945</v>
      </c>
      <c r="QSR92" s="166" t="str">
        <f>VLOOKUP(QSQ92,[13]AssetDetails_UEM!$A$3:$AH$1849,6,FALSE)</f>
        <v>Electrosurgical Units, Monopolar/Bipolar</v>
      </c>
      <c r="QSS92" s="165" t="s">
        <v>945</v>
      </c>
      <c r="QST92" s="166" t="str">
        <f>VLOOKUP(QSS92,[13]AssetDetails_UEM!$A$3:$AH$1849,6,FALSE)</f>
        <v>Electrosurgical Units, Monopolar/Bipolar</v>
      </c>
      <c r="QSU92" s="165" t="s">
        <v>945</v>
      </c>
      <c r="QSV92" s="166" t="str">
        <f>VLOOKUP(QSU92,[13]AssetDetails_UEM!$A$3:$AH$1849,6,FALSE)</f>
        <v>Electrosurgical Units, Monopolar/Bipolar</v>
      </c>
      <c r="QSW92" s="165" t="s">
        <v>945</v>
      </c>
      <c r="QSX92" s="166" t="str">
        <f>VLOOKUP(QSW92,[13]AssetDetails_UEM!$A$3:$AH$1849,6,FALSE)</f>
        <v>Electrosurgical Units, Monopolar/Bipolar</v>
      </c>
      <c r="QSY92" s="165" t="s">
        <v>945</v>
      </c>
      <c r="QSZ92" s="166" t="str">
        <f>VLOOKUP(QSY92,[13]AssetDetails_UEM!$A$3:$AH$1849,6,FALSE)</f>
        <v>Electrosurgical Units, Monopolar/Bipolar</v>
      </c>
      <c r="QTA92" s="165" t="s">
        <v>945</v>
      </c>
      <c r="QTB92" s="166" t="str">
        <f>VLOOKUP(QTA92,[13]AssetDetails_UEM!$A$3:$AH$1849,6,FALSE)</f>
        <v>Electrosurgical Units, Monopolar/Bipolar</v>
      </c>
      <c r="QTC92" s="165" t="s">
        <v>945</v>
      </c>
      <c r="QTD92" s="166" t="str">
        <f>VLOOKUP(QTC92,[13]AssetDetails_UEM!$A$3:$AH$1849,6,FALSE)</f>
        <v>Electrosurgical Units, Monopolar/Bipolar</v>
      </c>
      <c r="QTE92" s="165" t="s">
        <v>945</v>
      </c>
      <c r="QTF92" s="166" t="str">
        <f>VLOOKUP(QTE92,[13]AssetDetails_UEM!$A$3:$AH$1849,6,FALSE)</f>
        <v>Electrosurgical Units, Monopolar/Bipolar</v>
      </c>
      <c r="QTG92" s="165" t="s">
        <v>945</v>
      </c>
      <c r="QTH92" s="166" t="str">
        <f>VLOOKUP(QTG92,[13]AssetDetails_UEM!$A$3:$AH$1849,6,FALSE)</f>
        <v>Electrosurgical Units, Monopolar/Bipolar</v>
      </c>
      <c r="QTI92" s="165" t="s">
        <v>945</v>
      </c>
      <c r="QTJ92" s="166" t="str">
        <f>VLOOKUP(QTI92,[13]AssetDetails_UEM!$A$3:$AH$1849,6,FALSE)</f>
        <v>Electrosurgical Units, Monopolar/Bipolar</v>
      </c>
      <c r="QTK92" s="165" t="s">
        <v>945</v>
      </c>
      <c r="QTL92" s="166" t="str">
        <f>VLOOKUP(QTK92,[13]AssetDetails_UEM!$A$3:$AH$1849,6,FALSE)</f>
        <v>Electrosurgical Units, Monopolar/Bipolar</v>
      </c>
      <c r="QTM92" s="165" t="s">
        <v>945</v>
      </c>
      <c r="QTN92" s="166" t="str">
        <f>VLOOKUP(QTM92,[13]AssetDetails_UEM!$A$3:$AH$1849,6,FALSE)</f>
        <v>Electrosurgical Units, Monopolar/Bipolar</v>
      </c>
      <c r="QTO92" s="165" t="s">
        <v>945</v>
      </c>
      <c r="QTP92" s="166" t="str">
        <f>VLOOKUP(QTO92,[13]AssetDetails_UEM!$A$3:$AH$1849,6,FALSE)</f>
        <v>Electrosurgical Units, Monopolar/Bipolar</v>
      </c>
      <c r="QTQ92" s="165" t="s">
        <v>945</v>
      </c>
      <c r="QTR92" s="166" t="str">
        <f>VLOOKUP(QTQ92,[13]AssetDetails_UEM!$A$3:$AH$1849,6,FALSE)</f>
        <v>Electrosurgical Units, Monopolar/Bipolar</v>
      </c>
      <c r="QTS92" s="165" t="s">
        <v>945</v>
      </c>
      <c r="QTT92" s="166" t="str">
        <f>VLOOKUP(QTS92,[13]AssetDetails_UEM!$A$3:$AH$1849,6,FALSE)</f>
        <v>Electrosurgical Units, Monopolar/Bipolar</v>
      </c>
      <c r="QTU92" s="165" t="s">
        <v>945</v>
      </c>
      <c r="QTV92" s="166" t="str">
        <f>VLOOKUP(QTU92,[13]AssetDetails_UEM!$A$3:$AH$1849,6,FALSE)</f>
        <v>Electrosurgical Units, Monopolar/Bipolar</v>
      </c>
      <c r="QTW92" s="165" t="s">
        <v>945</v>
      </c>
      <c r="QTX92" s="166" t="str">
        <f>VLOOKUP(QTW92,[13]AssetDetails_UEM!$A$3:$AH$1849,6,FALSE)</f>
        <v>Electrosurgical Units, Monopolar/Bipolar</v>
      </c>
      <c r="QTY92" s="165" t="s">
        <v>945</v>
      </c>
      <c r="QTZ92" s="166" t="str">
        <f>VLOOKUP(QTY92,[13]AssetDetails_UEM!$A$3:$AH$1849,6,FALSE)</f>
        <v>Electrosurgical Units, Monopolar/Bipolar</v>
      </c>
      <c r="QUA92" s="165" t="s">
        <v>945</v>
      </c>
      <c r="QUB92" s="166" t="str">
        <f>VLOOKUP(QUA92,[13]AssetDetails_UEM!$A$3:$AH$1849,6,FALSE)</f>
        <v>Electrosurgical Units, Monopolar/Bipolar</v>
      </c>
      <c r="QUC92" s="165" t="s">
        <v>945</v>
      </c>
      <c r="QUD92" s="166" t="str">
        <f>VLOOKUP(QUC92,[13]AssetDetails_UEM!$A$3:$AH$1849,6,FALSE)</f>
        <v>Electrosurgical Units, Monopolar/Bipolar</v>
      </c>
      <c r="QUE92" s="165" t="s">
        <v>945</v>
      </c>
      <c r="QUF92" s="166" t="str">
        <f>VLOOKUP(QUE92,[13]AssetDetails_UEM!$A$3:$AH$1849,6,FALSE)</f>
        <v>Electrosurgical Units, Monopolar/Bipolar</v>
      </c>
      <c r="QUG92" s="165" t="s">
        <v>945</v>
      </c>
      <c r="QUH92" s="166" t="str">
        <f>VLOOKUP(QUG92,[13]AssetDetails_UEM!$A$3:$AH$1849,6,FALSE)</f>
        <v>Electrosurgical Units, Monopolar/Bipolar</v>
      </c>
      <c r="QUI92" s="165" t="s">
        <v>945</v>
      </c>
      <c r="QUJ92" s="166" t="str">
        <f>VLOOKUP(QUI92,[13]AssetDetails_UEM!$A$3:$AH$1849,6,FALSE)</f>
        <v>Electrosurgical Units, Monopolar/Bipolar</v>
      </c>
      <c r="QUK92" s="165" t="s">
        <v>945</v>
      </c>
      <c r="QUL92" s="166" t="str">
        <f>VLOOKUP(QUK92,[13]AssetDetails_UEM!$A$3:$AH$1849,6,FALSE)</f>
        <v>Electrosurgical Units, Monopolar/Bipolar</v>
      </c>
      <c r="QUM92" s="165" t="s">
        <v>945</v>
      </c>
      <c r="QUN92" s="166" t="str">
        <f>VLOOKUP(QUM92,[13]AssetDetails_UEM!$A$3:$AH$1849,6,FALSE)</f>
        <v>Electrosurgical Units, Monopolar/Bipolar</v>
      </c>
      <c r="QUO92" s="165" t="s">
        <v>945</v>
      </c>
      <c r="QUP92" s="166" t="str">
        <f>VLOOKUP(QUO92,[13]AssetDetails_UEM!$A$3:$AH$1849,6,FALSE)</f>
        <v>Electrosurgical Units, Monopolar/Bipolar</v>
      </c>
      <c r="QUQ92" s="165" t="s">
        <v>945</v>
      </c>
      <c r="QUR92" s="166" t="str">
        <f>VLOOKUP(QUQ92,[13]AssetDetails_UEM!$A$3:$AH$1849,6,FALSE)</f>
        <v>Electrosurgical Units, Monopolar/Bipolar</v>
      </c>
      <c r="QUS92" s="165" t="s">
        <v>945</v>
      </c>
      <c r="QUT92" s="166" t="str">
        <f>VLOOKUP(QUS92,[13]AssetDetails_UEM!$A$3:$AH$1849,6,FALSE)</f>
        <v>Electrosurgical Units, Monopolar/Bipolar</v>
      </c>
      <c r="QUU92" s="165" t="s">
        <v>945</v>
      </c>
      <c r="QUV92" s="166" t="str">
        <f>VLOOKUP(QUU92,[13]AssetDetails_UEM!$A$3:$AH$1849,6,FALSE)</f>
        <v>Electrosurgical Units, Monopolar/Bipolar</v>
      </c>
      <c r="QUW92" s="165" t="s">
        <v>945</v>
      </c>
      <c r="QUX92" s="166" t="str">
        <f>VLOOKUP(QUW92,[13]AssetDetails_UEM!$A$3:$AH$1849,6,FALSE)</f>
        <v>Electrosurgical Units, Monopolar/Bipolar</v>
      </c>
      <c r="QUY92" s="165" t="s">
        <v>945</v>
      </c>
      <c r="QUZ92" s="166" t="str">
        <f>VLOOKUP(QUY92,[13]AssetDetails_UEM!$A$3:$AH$1849,6,FALSE)</f>
        <v>Electrosurgical Units, Monopolar/Bipolar</v>
      </c>
      <c r="QVA92" s="165" t="s">
        <v>945</v>
      </c>
      <c r="QVB92" s="166" t="str">
        <f>VLOOKUP(QVA92,[13]AssetDetails_UEM!$A$3:$AH$1849,6,FALSE)</f>
        <v>Electrosurgical Units, Monopolar/Bipolar</v>
      </c>
      <c r="QVC92" s="165" t="s">
        <v>945</v>
      </c>
      <c r="QVD92" s="166" t="str">
        <f>VLOOKUP(QVC92,[13]AssetDetails_UEM!$A$3:$AH$1849,6,FALSE)</f>
        <v>Electrosurgical Units, Monopolar/Bipolar</v>
      </c>
      <c r="QVE92" s="165" t="s">
        <v>945</v>
      </c>
      <c r="QVF92" s="166" t="str">
        <f>VLOOKUP(QVE92,[13]AssetDetails_UEM!$A$3:$AH$1849,6,FALSE)</f>
        <v>Electrosurgical Units, Monopolar/Bipolar</v>
      </c>
      <c r="QVG92" s="165" t="s">
        <v>945</v>
      </c>
      <c r="QVH92" s="166" t="str">
        <f>VLOOKUP(QVG92,[13]AssetDetails_UEM!$A$3:$AH$1849,6,FALSE)</f>
        <v>Electrosurgical Units, Monopolar/Bipolar</v>
      </c>
      <c r="QVI92" s="165" t="s">
        <v>945</v>
      </c>
      <c r="QVJ92" s="166" t="str">
        <f>VLOOKUP(QVI92,[13]AssetDetails_UEM!$A$3:$AH$1849,6,FALSE)</f>
        <v>Electrosurgical Units, Monopolar/Bipolar</v>
      </c>
      <c r="QVK92" s="165" t="s">
        <v>945</v>
      </c>
      <c r="QVL92" s="166" t="str">
        <f>VLOOKUP(QVK92,[13]AssetDetails_UEM!$A$3:$AH$1849,6,FALSE)</f>
        <v>Electrosurgical Units, Monopolar/Bipolar</v>
      </c>
      <c r="QVM92" s="165" t="s">
        <v>945</v>
      </c>
      <c r="QVN92" s="166" t="str">
        <f>VLOOKUP(QVM92,[13]AssetDetails_UEM!$A$3:$AH$1849,6,FALSE)</f>
        <v>Electrosurgical Units, Monopolar/Bipolar</v>
      </c>
      <c r="QVO92" s="165" t="s">
        <v>945</v>
      </c>
      <c r="QVP92" s="166" t="str">
        <f>VLOOKUP(QVO92,[13]AssetDetails_UEM!$A$3:$AH$1849,6,FALSE)</f>
        <v>Electrosurgical Units, Monopolar/Bipolar</v>
      </c>
      <c r="QVQ92" s="165" t="s">
        <v>945</v>
      </c>
      <c r="QVR92" s="166" t="str">
        <f>VLOOKUP(QVQ92,[13]AssetDetails_UEM!$A$3:$AH$1849,6,FALSE)</f>
        <v>Electrosurgical Units, Monopolar/Bipolar</v>
      </c>
      <c r="QVS92" s="165" t="s">
        <v>945</v>
      </c>
      <c r="QVT92" s="166" t="str">
        <f>VLOOKUP(QVS92,[13]AssetDetails_UEM!$A$3:$AH$1849,6,FALSE)</f>
        <v>Electrosurgical Units, Monopolar/Bipolar</v>
      </c>
      <c r="QVU92" s="165" t="s">
        <v>945</v>
      </c>
      <c r="QVV92" s="166" t="str">
        <f>VLOOKUP(QVU92,[13]AssetDetails_UEM!$A$3:$AH$1849,6,FALSE)</f>
        <v>Electrosurgical Units, Monopolar/Bipolar</v>
      </c>
      <c r="QVW92" s="165" t="s">
        <v>945</v>
      </c>
      <c r="QVX92" s="166" t="str">
        <f>VLOOKUP(QVW92,[13]AssetDetails_UEM!$A$3:$AH$1849,6,FALSE)</f>
        <v>Electrosurgical Units, Monopolar/Bipolar</v>
      </c>
      <c r="QVY92" s="165" t="s">
        <v>945</v>
      </c>
      <c r="QVZ92" s="166" t="str">
        <f>VLOOKUP(QVY92,[13]AssetDetails_UEM!$A$3:$AH$1849,6,FALSE)</f>
        <v>Electrosurgical Units, Monopolar/Bipolar</v>
      </c>
      <c r="QWA92" s="165" t="s">
        <v>945</v>
      </c>
      <c r="QWB92" s="166" t="str">
        <f>VLOOKUP(QWA92,[13]AssetDetails_UEM!$A$3:$AH$1849,6,FALSE)</f>
        <v>Electrosurgical Units, Monopolar/Bipolar</v>
      </c>
      <c r="QWC92" s="165" t="s">
        <v>945</v>
      </c>
      <c r="QWD92" s="166" t="str">
        <f>VLOOKUP(QWC92,[13]AssetDetails_UEM!$A$3:$AH$1849,6,FALSE)</f>
        <v>Electrosurgical Units, Monopolar/Bipolar</v>
      </c>
      <c r="QWE92" s="165" t="s">
        <v>945</v>
      </c>
      <c r="QWF92" s="166" t="str">
        <f>VLOOKUP(QWE92,[13]AssetDetails_UEM!$A$3:$AH$1849,6,FALSE)</f>
        <v>Electrosurgical Units, Monopolar/Bipolar</v>
      </c>
      <c r="QWG92" s="165" t="s">
        <v>945</v>
      </c>
      <c r="QWH92" s="166" t="str">
        <f>VLOOKUP(QWG92,[13]AssetDetails_UEM!$A$3:$AH$1849,6,FALSE)</f>
        <v>Electrosurgical Units, Monopolar/Bipolar</v>
      </c>
      <c r="QWI92" s="165" t="s">
        <v>945</v>
      </c>
      <c r="QWJ92" s="166" t="str">
        <f>VLOOKUP(QWI92,[13]AssetDetails_UEM!$A$3:$AH$1849,6,FALSE)</f>
        <v>Electrosurgical Units, Monopolar/Bipolar</v>
      </c>
      <c r="QWK92" s="165" t="s">
        <v>945</v>
      </c>
      <c r="QWL92" s="166" t="str">
        <f>VLOOKUP(QWK92,[13]AssetDetails_UEM!$A$3:$AH$1849,6,FALSE)</f>
        <v>Electrosurgical Units, Monopolar/Bipolar</v>
      </c>
      <c r="QWM92" s="165" t="s">
        <v>945</v>
      </c>
      <c r="QWN92" s="166" t="str">
        <f>VLOOKUP(QWM92,[13]AssetDetails_UEM!$A$3:$AH$1849,6,FALSE)</f>
        <v>Electrosurgical Units, Monopolar/Bipolar</v>
      </c>
      <c r="QWO92" s="165" t="s">
        <v>945</v>
      </c>
      <c r="QWP92" s="166" t="str">
        <f>VLOOKUP(QWO92,[13]AssetDetails_UEM!$A$3:$AH$1849,6,FALSE)</f>
        <v>Electrosurgical Units, Monopolar/Bipolar</v>
      </c>
      <c r="QWQ92" s="165" t="s">
        <v>945</v>
      </c>
      <c r="QWR92" s="166" t="str">
        <f>VLOOKUP(QWQ92,[13]AssetDetails_UEM!$A$3:$AH$1849,6,FALSE)</f>
        <v>Electrosurgical Units, Monopolar/Bipolar</v>
      </c>
      <c r="QWS92" s="165" t="s">
        <v>945</v>
      </c>
      <c r="QWT92" s="166" t="str">
        <f>VLOOKUP(QWS92,[13]AssetDetails_UEM!$A$3:$AH$1849,6,FALSE)</f>
        <v>Electrosurgical Units, Monopolar/Bipolar</v>
      </c>
      <c r="QWU92" s="165" t="s">
        <v>945</v>
      </c>
      <c r="QWV92" s="166" t="str">
        <f>VLOOKUP(QWU92,[13]AssetDetails_UEM!$A$3:$AH$1849,6,FALSE)</f>
        <v>Electrosurgical Units, Monopolar/Bipolar</v>
      </c>
      <c r="QWW92" s="165" t="s">
        <v>945</v>
      </c>
      <c r="QWX92" s="166" t="str">
        <f>VLOOKUP(QWW92,[13]AssetDetails_UEM!$A$3:$AH$1849,6,FALSE)</f>
        <v>Electrosurgical Units, Monopolar/Bipolar</v>
      </c>
      <c r="QWY92" s="165" t="s">
        <v>945</v>
      </c>
      <c r="QWZ92" s="166" t="str">
        <f>VLOOKUP(QWY92,[13]AssetDetails_UEM!$A$3:$AH$1849,6,FALSE)</f>
        <v>Electrosurgical Units, Monopolar/Bipolar</v>
      </c>
      <c r="QXA92" s="165" t="s">
        <v>945</v>
      </c>
      <c r="QXB92" s="166" t="str">
        <f>VLOOKUP(QXA92,[13]AssetDetails_UEM!$A$3:$AH$1849,6,FALSE)</f>
        <v>Electrosurgical Units, Monopolar/Bipolar</v>
      </c>
      <c r="QXC92" s="165" t="s">
        <v>945</v>
      </c>
      <c r="QXD92" s="166" t="str">
        <f>VLOOKUP(QXC92,[13]AssetDetails_UEM!$A$3:$AH$1849,6,FALSE)</f>
        <v>Electrosurgical Units, Monopolar/Bipolar</v>
      </c>
      <c r="QXE92" s="165" t="s">
        <v>945</v>
      </c>
      <c r="QXF92" s="166" t="str">
        <f>VLOOKUP(QXE92,[13]AssetDetails_UEM!$A$3:$AH$1849,6,FALSE)</f>
        <v>Electrosurgical Units, Monopolar/Bipolar</v>
      </c>
      <c r="QXG92" s="165" t="s">
        <v>945</v>
      </c>
      <c r="QXH92" s="166" t="str">
        <f>VLOOKUP(QXG92,[13]AssetDetails_UEM!$A$3:$AH$1849,6,FALSE)</f>
        <v>Electrosurgical Units, Monopolar/Bipolar</v>
      </c>
      <c r="QXI92" s="165" t="s">
        <v>945</v>
      </c>
      <c r="QXJ92" s="166" t="str">
        <f>VLOOKUP(QXI92,[13]AssetDetails_UEM!$A$3:$AH$1849,6,FALSE)</f>
        <v>Electrosurgical Units, Monopolar/Bipolar</v>
      </c>
      <c r="QXK92" s="165" t="s">
        <v>945</v>
      </c>
      <c r="QXL92" s="166" t="str">
        <f>VLOOKUP(QXK92,[13]AssetDetails_UEM!$A$3:$AH$1849,6,FALSE)</f>
        <v>Electrosurgical Units, Monopolar/Bipolar</v>
      </c>
      <c r="QXM92" s="165" t="s">
        <v>945</v>
      </c>
      <c r="QXN92" s="166" t="str">
        <f>VLOOKUP(QXM92,[13]AssetDetails_UEM!$A$3:$AH$1849,6,FALSE)</f>
        <v>Electrosurgical Units, Monopolar/Bipolar</v>
      </c>
      <c r="QXO92" s="165" t="s">
        <v>945</v>
      </c>
      <c r="QXP92" s="166" t="str">
        <f>VLOOKUP(QXO92,[13]AssetDetails_UEM!$A$3:$AH$1849,6,FALSE)</f>
        <v>Electrosurgical Units, Monopolar/Bipolar</v>
      </c>
      <c r="QXQ92" s="165" t="s">
        <v>945</v>
      </c>
      <c r="QXR92" s="166" t="str">
        <f>VLOOKUP(QXQ92,[13]AssetDetails_UEM!$A$3:$AH$1849,6,FALSE)</f>
        <v>Electrosurgical Units, Monopolar/Bipolar</v>
      </c>
      <c r="QXS92" s="165" t="s">
        <v>945</v>
      </c>
      <c r="QXT92" s="166" t="str">
        <f>VLOOKUP(QXS92,[13]AssetDetails_UEM!$A$3:$AH$1849,6,FALSE)</f>
        <v>Electrosurgical Units, Monopolar/Bipolar</v>
      </c>
      <c r="QXU92" s="165" t="s">
        <v>945</v>
      </c>
      <c r="QXV92" s="166" t="str">
        <f>VLOOKUP(QXU92,[13]AssetDetails_UEM!$A$3:$AH$1849,6,FALSE)</f>
        <v>Electrosurgical Units, Monopolar/Bipolar</v>
      </c>
      <c r="QXW92" s="165" t="s">
        <v>945</v>
      </c>
      <c r="QXX92" s="166" t="str">
        <f>VLOOKUP(QXW92,[13]AssetDetails_UEM!$A$3:$AH$1849,6,FALSE)</f>
        <v>Electrosurgical Units, Monopolar/Bipolar</v>
      </c>
      <c r="QXY92" s="165" t="s">
        <v>945</v>
      </c>
      <c r="QXZ92" s="166" t="str">
        <f>VLOOKUP(QXY92,[13]AssetDetails_UEM!$A$3:$AH$1849,6,FALSE)</f>
        <v>Electrosurgical Units, Monopolar/Bipolar</v>
      </c>
      <c r="QYA92" s="165" t="s">
        <v>945</v>
      </c>
      <c r="QYB92" s="166" t="str">
        <f>VLOOKUP(QYA92,[13]AssetDetails_UEM!$A$3:$AH$1849,6,FALSE)</f>
        <v>Electrosurgical Units, Monopolar/Bipolar</v>
      </c>
      <c r="QYC92" s="165" t="s">
        <v>945</v>
      </c>
      <c r="QYD92" s="166" t="str">
        <f>VLOOKUP(QYC92,[13]AssetDetails_UEM!$A$3:$AH$1849,6,FALSE)</f>
        <v>Electrosurgical Units, Monopolar/Bipolar</v>
      </c>
      <c r="QYE92" s="165" t="s">
        <v>945</v>
      </c>
      <c r="QYF92" s="166" t="str">
        <f>VLOOKUP(QYE92,[13]AssetDetails_UEM!$A$3:$AH$1849,6,FALSE)</f>
        <v>Electrosurgical Units, Monopolar/Bipolar</v>
      </c>
      <c r="QYG92" s="165" t="s">
        <v>945</v>
      </c>
      <c r="QYH92" s="166" t="str">
        <f>VLOOKUP(QYG92,[13]AssetDetails_UEM!$A$3:$AH$1849,6,FALSE)</f>
        <v>Electrosurgical Units, Monopolar/Bipolar</v>
      </c>
      <c r="QYI92" s="165" t="s">
        <v>945</v>
      </c>
      <c r="QYJ92" s="166" t="str">
        <f>VLOOKUP(QYI92,[13]AssetDetails_UEM!$A$3:$AH$1849,6,FALSE)</f>
        <v>Electrosurgical Units, Monopolar/Bipolar</v>
      </c>
      <c r="QYK92" s="165" t="s">
        <v>945</v>
      </c>
      <c r="QYL92" s="166" t="str">
        <f>VLOOKUP(QYK92,[13]AssetDetails_UEM!$A$3:$AH$1849,6,FALSE)</f>
        <v>Electrosurgical Units, Monopolar/Bipolar</v>
      </c>
      <c r="QYM92" s="165" t="s">
        <v>945</v>
      </c>
      <c r="QYN92" s="166" t="str">
        <f>VLOOKUP(QYM92,[13]AssetDetails_UEM!$A$3:$AH$1849,6,FALSE)</f>
        <v>Electrosurgical Units, Monopolar/Bipolar</v>
      </c>
      <c r="QYO92" s="165" t="s">
        <v>945</v>
      </c>
      <c r="QYP92" s="166" t="str">
        <f>VLOOKUP(QYO92,[13]AssetDetails_UEM!$A$3:$AH$1849,6,FALSE)</f>
        <v>Electrosurgical Units, Monopolar/Bipolar</v>
      </c>
      <c r="QYQ92" s="165" t="s">
        <v>945</v>
      </c>
      <c r="QYR92" s="166" t="str">
        <f>VLOOKUP(QYQ92,[13]AssetDetails_UEM!$A$3:$AH$1849,6,FALSE)</f>
        <v>Electrosurgical Units, Monopolar/Bipolar</v>
      </c>
      <c r="QYS92" s="165" t="s">
        <v>945</v>
      </c>
      <c r="QYT92" s="166" t="str">
        <f>VLOOKUP(QYS92,[13]AssetDetails_UEM!$A$3:$AH$1849,6,FALSE)</f>
        <v>Electrosurgical Units, Monopolar/Bipolar</v>
      </c>
      <c r="QYU92" s="165" t="s">
        <v>945</v>
      </c>
      <c r="QYV92" s="166" t="str">
        <f>VLOOKUP(QYU92,[13]AssetDetails_UEM!$A$3:$AH$1849,6,FALSE)</f>
        <v>Electrosurgical Units, Monopolar/Bipolar</v>
      </c>
      <c r="QYW92" s="165" t="s">
        <v>945</v>
      </c>
      <c r="QYX92" s="166" t="str">
        <f>VLOOKUP(QYW92,[13]AssetDetails_UEM!$A$3:$AH$1849,6,FALSE)</f>
        <v>Electrosurgical Units, Monopolar/Bipolar</v>
      </c>
      <c r="QYY92" s="165" t="s">
        <v>945</v>
      </c>
      <c r="QYZ92" s="166" t="str">
        <f>VLOOKUP(QYY92,[13]AssetDetails_UEM!$A$3:$AH$1849,6,FALSE)</f>
        <v>Electrosurgical Units, Monopolar/Bipolar</v>
      </c>
      <c r="QZA92" s="165" t="s">
        <v>945</v>
      </c>
      <c r="QZB92" s="166" t="str">
        <f>VLOOKUP(QZA92,[13]AssetDetails_UEM!$A$3:$AH$1849,6,FALSE)</f>
        <v>Electrosurgical Units, Monopolar/Bipolar</v>
      </c>
      <c r="QZC92" s="165" t="s">
        <v>945</v>
      </c>
      <c r="QZD92" s="166" t="str">
        <f>VLOOKUP(QZC92,[13]AssetDetails_UEM!$A$3:$AH$1849,6,FALSE)</f>
        <v>Electrosurgical Units, Monopolar/Bipolar</v>
      </c>
      <c r="QZE92" s="165" t="s">
        <v>945</v>
      </c>
      <c r="QZF92" s="166" t="str">
        <f>VLOOKUP(QZE92,[13]AssetDetails_UEM!$A$3:$AH$1849,6,FALSE)</f>
        <v>Electrosurgical Units, Monopolar/Bipolar</v>
      </c>
      <c r="QZG92" s="165" t="s">
        <v>945</v>
      </c>
      <c r="QZH92" s="166" t="str">
        <f>VLOOKUP(QZG92,[13]AssetDetails_UEM!$A$3:$AH$1849,6,FALSE)</f>
        <v>Electrosurgical Units, Monopolar/Bipolar</v>
      </c>
      <c r="QZI92" s="165" t="s">
        <v>945</v>
      </c>
      <c r="QZJ92" s="166" t="str">
        <f>VLOOKUP(QZI92,[13]AssetDetails_UEM!$A$3:$AH$1849,6,FALSE)</f>
        <v>Electrosurgical Units, Monopolar/Bipolar</v>
      </c>
      <c r="QZK92" s="165" t="s">
        <v>945</v>
      </c>
      <c r="QZL92" s="166" t="str">
        <f>VLOOKUP(QZK92,[13]AssetDetails_UEM!$A$3:$AH$1849,6,FALSE)</f>
        <v>Electrosurgical Units, Monopolar/Bipolar</v>
      </c>
      <c r="QZM92" s="165" t="s">
        <v>945</v>
      </c>
      <c r="QZN92" s="166" t="str">
        <f>VLOOKUP(QZM92,[13]AssetDetails_UEM!$A$3:$AH$1849,6,FALSE)</f>
        <v>Electrosurgical Units, Monopolar/Bipolar</v>
      </c>
      <c r="QZO92" s="165" t="s">
        <v>945</v>
      </c>
      <c r="QZP92" s="166" t="str">
        <f>VLOOKUP(QZO92,[13]AssetDetails_UEM!$A$3:$AH$1849,6,FALSE)</f>
        <v>Electrosurgical Units, Monopolar/Bipolar</v>
      </c>
      <c r="QZQ92" s="165" t="s">
        <v>945</v>
      </c>
      <c r="QZR92" s="166" t="str">
        <f>VLOOKUP(QZQ92,[13]AssetDetails_UEM!$A$3:$AH$1849,6,FALSE)</f>
        <v>Electrosurgical Units, Monopolar/Bipolar</v>
      </c>
      <c r="QZS92" s="165" t="s">
        <v>945</v>
      </c>
      <c r="QZT92" s="166" t="str">
        <f>VLOOKUP(QZS92,[13]AssetDetails_UEM!$A$3:$AH$1849,6,FALSE)</f>
        <v>Electrosurgical Units, Monopolar/Bipolar</v>
      </c>
      <c r="QZU92" s="165" t="s">
        <v>945</v>
      </c>
      <c r="QZV92" s="166" t="str">
        <f>VLOOKUP(QZU92,[13]AssetDetails_UEM!$A$3:$AH$1849,6,FALSE)</f>
        <v>Electrosurgical Units, Monopolar/Bipolar</v>
      </c>
      <c r="QZW92" s="165" t="s">
        <v>945</v>
      </c>
      <c r="QZX92" s="166" t="str">
        <f>VLOOKUP(QZW92,[13]AssetDetails_UEM!$A$3:$AH$1849,6,FALSE)</f>
        <v>Electrosurgical Units, Monopolar/Bipolar</v>
      </c>
      <c r="QZY92" s="165" t="s">
        <v>945</v>
      </c>
      <c r="QZZ92" s="166" t="str">
        <f>VLOOKUP(QZY92,[13]AssetDetails_UEM!$A$3:$AH$1849,6,FALSE)</f>
        <v>Electrosurgical Units, Monopolar/Bipolar</v>
      </c>
      <c r="RAA92" s="165" t="s">
        <v>945</v>
      </c>
      <c r="RAB92" s="166" t="str">
        <f>VLOOKUP(RAA92,[13]AssetDetails_UEM!$A$3:$AH$1849,6,FALSE)</f>
        <v>Electrosurgical Units, Monopolar/Bipolar</v>
      </c>
      <c r="RAC92" s="165" t="s">
        <v>945</v>
      </c>
      <c r="RAD92" s="166" t="str">
        <f>VLOOKUP(RAC92,[13]AssetDetails_UEM!$A$3:$AH$1849,6,FALSE)</f>
        <v>Electrosurgical Units, Monopolar/Bipolar</v>
      </c>
      <c r="RAE92" s="165" t="s">
        <v>945</v>
      </c>
      <c r="RAF92" s="166" t="str">
        <f>VLOOKUP(RAE92,[13]AssetDetails_UEM!$A$3:$AH$1849,6,FALSE)</f>
        <v>Electrosurgical Units, Monopolar/Bipolar</v>
      </c>
      <c r="RAG92" s="165" t="s">
        <v>945</v>
      </c>
      <c r="RAH92" s="166" t="str">
        <f>VLOOKUP(RAG92,[13]AssetDetails_UEM!$A$3:$AH$1849,6,FALSE)</f>
        <v>Electrosurgical Units, Monopolar/Bipolar</v>
      </c>
      <c r="RAI92" s="165" t="s">
        <v>945</v>
      </c>
      <c r="RAJ92" s="166" t="str">
        <f>VLOOKUP(RAI92,[13]AssetDetails_UEM!$A$3:$AH$1849,6,FALSE)</f>
        <v>Electrosurgical Units, Monopolar/Bipolar</v>
      </c>
      <c r="RAK92" s="165" t="s">
        <v>945</v>
      </c>
      <c r="RAL92" s="166" t="str">
        <f>VLOOKUP(RAK92,[13]AssetDetails_UEM!$A$3:$AH$1849,6,FALSE)</f>
        <v>Electrosurgical Units, Monopolar/Bipolar</v>
      </c>
      <c r="RAM92" s="165" t="s">
        <v>945</v>
      </c>
      <c r="RAN92" s="166" t="str">
        <f>VLOOKUP(RAM92,[13]AssetDetails_UEM!$A$3:$AH$1849,6,FALSE)</f>
        <v>Electrosurgical Units, Monopolar/Bipolar</v>
      </c>
      <c r="RAO92" s="165" t="s">
        <v>945</v>
      </c>
      <c r="RAP92" s="166" t="str">
        <f>VLOOKUP(RAO92,[13]AssetDetails_UEM!$A$3:$AH$1849,6,FALSE)</f>
        <v>Electrosurgical Units, Monopolar/Bipolar</v>
      </c>
      <c r="RAQ92" s="165" t="s">
        <v>945</v>
      </c>
      <c r="RAR92" s="166" t="str">
        <f>VLOOKUP(RAQ92,[13]AssetDetails_UEM!$A$3:$AH$1849,6,FALSE)</f>
        <v>Electrosurgical Units, Monopolar/Bipolar</v>
      </c>
      <c r="RAS92" s="165" t="s">
        <v>945</v>
      </c>
      <c r="RAT92" s="166" t="str">
        <f>VLOOKUP(RAS92,[13]AssetDetails_UEM!$A$3:$AH$1849,6,FALSE)</f>
        <v>Electrosurgical Units, Monopolar/Bipolar</v>
      </c>
      <c r="RAU92" s="165" t="s">
        <v>945</v>
      </c>
      <c r="RAV92" s="166" t="str">
        <f>VLOOKUP(RAU92,[13]AssetDetails_UEM!$A$3:$AH$1849,6,FALSE)</f>
        <v>Electrosurgical Units, Monopolar/Bipolar</v>
      </c>
      <c r="RAW92" s="165" t="s">
        <v>945</v>
      </c>
      <c r="RAX92" s="166" t="str">
        <f>VLOOKUP(RAW92,[13]AssetDetails_UEM!$A$3:$AH$1849,6,FALSE)</f>
        <v>Electrosurgical Units, Monopolar/Bipolar</v>
      </c>
      <c r="RAY92" s="165" t="s">
        <v>945</v>
      </c>
      <c r="RAZ92" s="166" t="str">
        <f>VLOOKUP(RAY92,[13]AssetDetails_UEM!$A$3:$AH$1849,6,FALSE)</f>
        <v>Electrosurgical Units, Monopolar/Bipolar</v>
      </c>
      <c r="RBA92" s="165" t="s">
        <v>945</v>
      </c>
      <c r="RBB92" s="166" t="str">
        <f>VLOOKUP(RBA92,[13]AssetDetails_UEM!$A$3:$AH$1849,6,FALSE)</f>
        <v>Electrosurgical Units, Monopolar/Bipolar</v>
      </c>
      <c r="RBC92" s="165" t="s">
        <v>945</v>
      </c>
      <c r="RBD92" s="166" t="str">
        <f>VLOOKUP(RBC92,[13]AssetDetails_UEM!$A$3:$AH$1849,6,FALSE)</f>
        <v>Electrosurgical Units, Monopolar/Bipolar</v>
      </c>
      <c r="RBE92" s="165" t="s">
        <v>945</v>
      </c>
      <c r="RBF92" s="166" t="str">
        <f>VLOOKUP(RBE92,[13]AssetDetails_UEM!$A$3:$AH$1849,6,FALSE)</f>
        <v>Electrosurgical Units, Monopolar/Bipolar</v>
      </c>
      <c r="RBG92" s="165" t="s">
        <v>945</v>
      </c>
      <c r="RBH92" s="166" t="str">
        <f>VLOOKUP(RBG92,[13]AssetDetails_UEM!$A$3:$AH$1849,6,FALSE)</f>
        <v>Electrosurgical Units, Monopolar/Bipolar</v>
      </c>
      <c r="RBI92" s="165" t="s">
        <v>945</v>
      </c>
      <c r="RBJ92" s="166" t="str">
        <f>VLOOKUP(RBI92,[13]AssetDetails_UEM!$A$3:$AH$1849,6,FALSE)</f>
        <v>Electrosurgical Units, Monopolar/Bipolar</v>
      </c>
      <c r="RBK92" s="165" t="s">
        <v>945</v>
      </c>
      <c r="RBL92" s="166" t="str">
        <f>VLOOKUP(RBK92,[13]AssetDetails_UEM!$A$3:$AH$1849,6,FALSE)</f>
        <v>Electrosurgical Units, Monopolar/Bipolar</v>
      </c>
      <c r="RBM92" s="165" t="s">
        <v>945</v>
      </c>
      <c r="RBN92" s="166" t="str">
        <f>VLOOKUP(RBM92,[13]AssetDetails_UEM!$A$3:$AH$1849,6,FALSE)</f>
        <v>Electrosurgical Units, Monopolar/Bipolar</v>
      </c>
      <c r="RBO92" s="165" t="s">
        <v>945</v>
      </c>
      <c r="RBP92" s="166" t="str">
        <f>VLOOKUP(RBO92,[13]AssetDetails_UEM!$A$3:$AH$1849,6,FALSE)</f>
        <v>Electrosurgical Units, Monopolar/Bipolar</v>
      </c>
      <c r="RBQ92" s="165" t="s">
        <v>945</v>
      </c>
      <c r="RBR92" s="166" t="str">
        <f>VLOOKUP(RBQ92,[13]AssetDetails_UEM!$A$3:$AH$1849,6,FALSE)</f>
        <v>Electrosurgical Units, Monopolar/Bipolar</v>
      </c>
      <c r="RBS92" s="165" t="s">
        <v>945</v>
      </c>
      <c r="RBT92" s="166" t="str">
        <f>VLOOKUP(RBS92,[13]AssetDetails_UEM!$A$3:$AH$1849,6,FALSE)</f>
        <v>Electrosurgical Units, Monopolar/Bipolar</v>
      </c>
      <c r="RBU92" s="165" t="s">
        <v>945</v>
      </c>
      <c r="RBV92" s="166" t="str">
        <f>VLOOKUP(RBU92,[13]AssetDetails_UEM!$A$3:$AH$1849,6,FALSE)</f>
        <v>Electrosurgical Units, Monopolar/Bipolar</v>
      </c>
      <c r="RBW92" s="165" t="s">
        <v>945</v>
      </c>
      <c r="RBX92" s="166" t="str">
        <f>VLOOKUP(RBW92,[13]AssetDetails_UEM!$A$3:$AH$1849,6,FALSE)</f>
        <v>Electrosurgical Units, Monopolar/Bipolar</v>
      </c>
      <c r="RBY92" s="165" t="s">
        <v>945</v>
      </c>
      <c r="RBZ92" s="166" t="str">
        <f>VLOOKUP(RBY92,[13]AssetDetails_UEM!$A$3:$AH$1849,6,FALSE)</f>
        <v>Electrosurgical Units, Monopolar/Bipolar</v>
      </c>
      <c r="RCA92" s="165" t="s">
        <v>945</v>
      </c>
      <c r="RCB92" s="166" t="str">
        <f>VLOOKUP(RCA92,[13]AssetDetails_UEM!$A$3:$AH$1849,6,FALSE)</f>
        <v>Electrosurgical Units, Monopolar/Bipolar</v>
      </c>
      <c r="RCC92" s="165" t="s">
        <v>945</v>
      </c>
      <c r="RCD92" s="166" t="str">
        <f>VLOOKUP(RCC92,[13]AssetDetails_UEM!$A$3:$AH$1849,6,FALSE)</f>
        <v>Electrosurgical Units, Monopolar/Bipolar</v>
      </c>
      <c r="RCE92" s="165" t="s">
        <v>945</v>
      </c>
      <c r="RCF92" s="166" t="str">
        <f>VLOOKUP(RCE92,[13]AssetDetails_UEM!$A$3:$AH$1849,6,FALSE)</f>
        <v>Electrosurgical Units, Monopolar/Bipolar</v>
      </c>
      <c r="RCG92" s="165" t="s">
        <v>945</v>
      </c>
      <c r="RCH92" s="166" t="str">
        <f>VLOOKUP(RCG92,[13]AssetDetails_UEM!$A$3:$AH$1849,6,FALSE)</f>
        <v>Electrosurgical Units, Monopolar/Bipolar</v>
      </c>
      <c r="RCI92" s="165" t="s">
        <v>945</v>
      </c>
      <c r="RCJ92" s="166" t="str">
        <f>VLOOKUP(RCI92,[13]AssetDetails_UEM!$A$3:$AH$1849,6,FALSE)</f>
        <v>Electrosurgical Units, Monopolar/Bipolar</v>
      </c>
      <c r="RCK92" s="165" t="s">
        <v>945</v>
      </c>
      <c r="RCL92" s="166" t="str">
        <f>VLOOKUP(RCK92,[13]AssetDetails_UEM!$A$3:$AH$1849,6,FALSE)</f>
        <v>Electrosurgical Units, Monopolar/Bipolar</v>
      </c>
      <c r="RCM92" s="165" t="s">
        <v>945</v>
      </c>
      <c r="RCN92" s="166" t="str">
        <f>VLOOKUP(RCM92,[13]AssetDetails_UEM!$A$3:$AH$1849,6,FALSE)</f>
        <v>Electrosurgical Units, Monopolar/Bipolar</v>
      </c>
      <c r="RCO92" s="165" t="s">
        <v>945</v>
      </c>
      <c r="RCP92" s="166" t="str">
        <f>VLOOKUP(RCO92,[13]AssetDetails_UEM!$A$3:$AH$1849,6,FALSE)</f>
        <v>Electrosurgical Units, Monopolar/Bipolar</v>
      </c>
      <c r="RCQ92" s="165" t="s">
        <v>945</v>
      </c>
      <c r="RCR92" s="166" t="str">
        <f>VLOOKUP(RCQ92,[13]AssetDetails_UEM!$A$3:$AH$1849,6,FALSE)</f>
        <v>Electrosurgical Units, Monopolar/Bipolar</v>
      </c>
      <c r="RCS92" s="165" t="s">
        <v>945</v>
      </c>
      <c r="RCT92" s="166" t="str">
        <f>VLOOKUP(RCS92,[13]AssetDetails_UEM!$A$3:$AH$1849,6,FALSE)</f>
        <v>Electrosurgical Units, Monopolar/Bipolar</v>
      </c>
      <c r="RCU92" s="165" t="s">
        <v>945</v>
      </c>
      <c r="RCV92" s="166" t="str">
        <f>VLOOKUP(RCU92,[13]AssetDetails_UEM!$A$3:$AH$1849,6,FALSE)</f>
        <v>Electrosurgical Units, Monopolar/Bipolar</v>
      </c>
      <c r="RCW92" s="165" t="s">
        <v>945</v>
      </c>
      <c r="RCX92" s="166" t="str">
        <f>VLOOKUP(RCW92,[13]AssetDetails_UEM!$A$3:$AH$1849,6,FALSE)</f>
        <v>Electrosurgical Units, Monopolar/Bipolar</v>
      </c>
      <c r="RCY92" s="165" t="s">
        <v>945</v>
      </c>
      <c r="RCZ92" s="166" t="str">
        <f>VLOOKUP(RCY92,[13]AssetDetails_UEM!$A$3:$AH$1849,6,FALSE)</f>
        <v>Electrosurgical Units, Monopolar/Bipolar</v>
      </c>
      <c r="RDA92" s="165" t="s">
        <v>945</v>
      </c>
      <c r="RDB92" s="166" t="str">
        <f>VLOOKUP(RDA92,[13]AssetDetails_UEM!$A$3:$AH$1849,6,FALSE)</f>
        <v>Electrosurgical Units, Monopolar/Bipolar</v>
      </c>
      <c r="RDC92" s="165" t="s">
        <v>945</v>
      </c>
      <c r="RDD92" s="166" t="str">
        <f>VLOOKUP(RDC92,[13]AssetDetails_UEM!$A$3:$AH$1849,6,FALSE)</f>
        <v>Electrosurgical Units, Monopolar/Bipolar</v>
      </c>
      <c r="RDE92" s="165" t="s">
        <v>945</v>
      </c>
      <c r="RDF92" s="166" t="str">
        <f>VLOOKUP(RDE92,[13]AssetDetails_UEM!$A$3:$AH$1849,6,FALSE)</f>
        <v>Electrosurgical Units, Monopolar/Bipolar</v>
      </c>
      <c r="RDG92" s="165" t="s">
        <v>945</v>
      </c>
      <c r="RDH92" s="166" t="str">
        <f>VLOOKUP(RDG92,[13]AssetDetails_UEM!$A$3:$AH$1849,6,FALSE)</f>
        <v>Electrosurgical Units, Monopolar/Bipolar</v>
      </c>
      <c r="RDI92" s="165" t="s">
        <v>945</v>
      </c>
      <c r="RDJ92" s="166" t="str">
        <f>VLOOKUP(RDI92,[13]AssetDetails_UEM!$A$3:$AH$1849,6,FALSE)</f>
        <v>Electrosurgical Units, Monopolar/Bipolar</v>
      </c>
      <c r="RDK92" s="165" t="s">
        <v>945</v>
      </c>
      <c r="RDL92" s="166" t="str">
        <f>VLOOKUP(RDK92,[13]AssetDetails_UEM!$A$3:$AH$1849,6,FALSE)</f>
        <v>Electrosurgical Units, Monopolar/Bipolar</v>
      </c>
      <c r="RDM92" s="165" t="s">
        <v>945</v>
      </c>
      <c r="RDN92" s="166" t="str">
        <f>VLOOKUP(RDM92,[13]AssetDetails_UEM!$A$3:$AH$1849,6,FALSE)</f>
        <v>Electrosurgical Units, Monopolar/Bipolar</v>
      </c>
      <c r="RDO92" s="165" t="s">
        <v>945</v>
      </c>
      <c r="RDP92" s="166" t="str">
        <f>VLOOKUP(RDO92,[13]AssetDetails_UEM!$A$3:$AH$1849,6,FALSE)</f>
        <v>Electrosurgical Units, Monopolar/Bipolar</v>
      </c>
      <c r="RDQ92" s="165" t="s">
        <v>945</v>
      </c>
      <c r="RDR92" s="166" t="str">
        <f>VLOOKUP(RDQ92,[13]AssetDetails_UEM!$A$3:$AH$1849,6,FALSE)</f>
        <v>Electrosurgical Units, Monopolar/Bipolar</v>
      </c>
      <c r="RDS92" s="165" t="s">
        <v>945</v>
      </c>
      <c r="RDT92" s="166" t="str">
        <f>VLOOKUP(RDS92,[13]AssetDetails_UEM!$A$3:$AH$1849,6,FALSE)</f>
        <v>Electrosurgical Units, Monopolar/Bipolar</v>
      </c>
      <c r="RDU92" s="165" t="s">
        <v>945</v>
      </c>
      <c r="RDV92" s="166" t="str">
        <f>VLOOKUP(RDU92,[13]AssetDetails_UEM!$A$3:$AH$1849,6,FALSE)</f>
        <v>Electrosurgical Units, Monopolar/Bipolar</v>
      </c>
      <c r="RDW92" s="165" t="s">
        <v>945</v>
      </c>
      <c r="RDX92" s="166" t="str">
        <f>VLOOKUP(RDW92,[13]AssetDetails_UEM!$A$3:$AH$1849,6,FALSE)</f>
        <v>Electrosurgical Units, Monopolar/Bipolar</v>
      </c>
      <c r="RDY92" s="165" t="s">
        <v>945</v>
      </c>
      <c r="RDZ92" s="166" t="str">
        <f>VLOOKUP(RDY92,[13]AssetDetails_UEM!$A$3:$AH$1849,6,FALSE)</f>
        <v>Electrosurgical Units, Monopolar/Bipolar</v>
      </c>
      <c r="REA92" s="165" t="s">
        <v>945</v>
      </c>
      <c r="REB92" s="166" t="str">
        <f>VLOOKUP(REA92,[13]AssetDetails_UEM!$A$3:$AH$1849,6,FALSE)</f>
        <v>Electrosurgical Units, Monopolar/Bipolar</v>
      </c>
      <c r="REC92" s="165" t="s">
        <v>945</v>
      </c>
      <c r="RED92" s="166" t="str">
        <f>VLOOKUP(REC92,[13]AssetDetails_UEM!$A$3:$AH$1849,6,FALSE)</f>
        <v>Electrosurgical Units, Monopolar/Bipolar</v>
      </c>
      <c r="REE92" s="165" t="s">
        <v>945</v>
      </c>
      <c r="REF92" s="166" t="str">
        <f>VLOOKUP(REE92,[13]AssetDetails_UEM!$A$3:$AH$1849,6,FALSE)</f>
        <v>Electrosurgical Units, Monopolar/Bipolar</v>
      </c>
      <c r="REG92" s="165" t="s">
        <v>945</v>
      </c>
      <c r="REH92" s="166" t="str">
        <f>VLOOKUP(REG92,[13]AssetDetails_UEM!$A$3:$AH$1849,6,FALSE)</f>
        <v>Electrosurgical Units, Monopolar/Bipolar</v>
      </c>
      <c r="REI92" s="165" t="s">
        <v>945</v>
      </c>
      <c r="REJ92" s="166" t="str">
        <f>VLOOKUP(REI92,[13]AssetDetails_UEM!$A$3:$AH$1849,6,FALSE)</f>
        <v>Electrosurgical Units, Monopolar/Bipolar</v>
      </c>
      <c r="REK92" s="165" t="s">
        <v>945</v>
      </c>
      <c r="REL92" s="166" t="str">
        <f>VLOOKUP(REK92,[13]AssetDetails_UEM!$A$3:$AH$1849,6,FALSE)</f>
        <v>Electrosurgical Units, Monopolar/Bipolar</v>
      </c>
      <c r="REM92" s="165" t="s">
        <v>945</v>
      </c>
      <c r="REN92" s="166" t="str">
        <f>VLOOKUP(REM92,[13]AssetDetails_UEM!$A$3:$AH$1849,6,FALSE)</f>
        <v>Electrosurgical Units, Monopolar/Bipolar</v>
      </c>
      <c r="REO92" s="165" t="s">
        <v>945</v>
      </c>
      <c r="REP92" s="166" t="str">
        <f>VLOOKUP(REO92,[13]AssetDetails_UEM!$A$3:$AH$1849,6,FALSE)</f>
        <v>Electrosurgical Units, Monopolar/Bipolar</v>
      </c>
      <c r="REQ92" s="165" t="s">
        <v>945</v>
      </c>
      <c r="RER92" s="166" t="str">
        <f>VLOOKUP(REQ92,[13]AssetDetails_UEM!$A$3:$AH$1849,6,FALSE)</f>
        <v>Electrosurgical Units, Monopolar/Bipolar</v>
      </c>
      <c r="RES92" s="165" t="s">
        <v>945</v>
      </c>
      <c r="RET92" s="166" t="str">
        <f>VLOOKUP(RES92,[13]AssetDetails_UEM!$A$3:$AH$1849,6,FALSE)</f>
        <v>Electrosurgical Units, Monopolar/Bipolar</v>
      </c>
      <c r="REU92" s="165" t="s">
        <v>945</v>
      </c>
      <c r="REV92" s="166" t="str">
        <f>VLOOKUP(REU92,[13]AssetDetails_UEM!$A$3:$AH$1849,6,FALSE)</f>
        <v>Electrosurgical Units, Monopolar/Bipolar</v>
      </c>
      <c r="REW92" s="165" t="s">
        <v>945</v>
      </c>
      <c r="REX92" s="166" t="str">
        <f>VLOOKUP(REW92,[13]AssetDetails_UEM!$A$3:$AH$1849,6,FALSE)</f>
        <v>Electrosurgical Units, Monopolar/Bipolar</v>
      </c>
      <c r="REY92" s="165" t="s">
        <v>945</v>
      </c>
      <c r="REZ92" s="166" t="str">
        <f>VLOOKUP(REY92,[13]AssetDetails_UEM!$A$3:$AH$1849,6,FALSE)</f>
        <v>Electrosurgical Units, Monopolar/Bipolar</v>
      </c>
      <c r="RFA92" s="165" t="s">
        <v>945</v>
      </c>
      <c r="RFB92" s="166" t="str">
        <f>VLOOKUP(RFA92,[13]AssetDetails_UEM!$A$3:$AH$1849,6,FALSE)</f>
        <v>Electrosurgical Units, Monopolar/Bipolar</v>
      </c>
      <c r="RFC92" s="165" t="s">
        <v>945</v>
      </c>
      <c r="RFD92" s="166" t="str">
        <f>VLOOKUP(RFC92,[13]AssetDetails_UEM!$A$3:$AH$1849,6,FALSE)</f>
        <v>Electrosurgical Units, Monopolar/Bipolar</v>
      </c>
      <c r="RFE92" s="165" t="s">
        <v>945</v>
      </c>
      <c r="RFF92" s="166" t="str">
        <f>VLOOKUP(RFE92,[13]AssetDetails_UEM!$A$3:$AH$1849,6,FALSE)</f>
        <v>Electrosurgical Units, Monopolar/Bipolar</v>
      </c>
      <c r="RFG92" s="165" t="s">
        <v>945</v>
      </c>
      <c r="RFH92" s="166" t="str">
        <f>VLOOKUP(RFG92,[13]AssetDetails_UEM!$A$3:$AH$1849,6,FALSE)</f>
        <v>Electrosurgical Units, Monopolar/Bipolar</v>
      </c>
      <c r="RFI92" s="165" t="s">
        <v>945</v>
      </c>
      <c r="RFJ92" s="166" t="str">
        <f>VLOOKUP(RFI92,[13]AssetDetails_UEM!$A$3:$AH$1849,6,FALSE)</f>
        <v>Electrosurgical Units, Monopolar/Bipolar</v>
      </c>
      <c r="RFK92" s="165" t="s">
        <v>945</v>
      </c>
      <c r="RFL92" s="166" t="str">
        <f>VLOOKUP(RFK92,[13]AssetDetails_UEM!$A$3:$AH$1849,6,FALSE)</f>
        <v>Electrosurgical Units, Monopolar/Bipolar</v>
      </c>
      <c r="RFM92" s="165" t="s">
        <v>945</v>
      </c>
      <c r="RFN92" s="166" t="str">
        <f>VLOOKUP(RFM92,[13]AssetDetails_UEM!$A$3:$AH$1849,6,FALSE)</f>
        <v>Electrosurgical Units, Monopolar/Bipolar</v>
      </c>
      <c r="RFO92" s="165" t="s">
        <v>945</v>
      </c>
      <c r="RFP92" s="166" t="str">
        <f>VLOOKUP(RFO92,[13]AssetDetails_UEM!$A$3:$AH$1849,6,FALSE)</f>
        <v>Electrosurgical Units, Monopolar/Bipolar</v>
      </c>
      <c r="RFQ92" s="165" t="s">
        <v>945</v>
      </c>
      <c r="RFR92" s="166" t="str">
        <f>VLOOKUP(RFQ92,[13]AssetDetails_UEM!$A$3:$AH$1849,6,FALSE)</f>
        <v>Electrosurgical Units, Monopolar/Bipolar</v>
      </c>
      <c r="RFS92" s="165" t="s">
        <v>945</v>
      </c>
      <c r="RFT92" s="166" t="str">
        <f>VLOOKUP(RFS92,[13]AssetDetails_UEM!$A$3:$AH$1849,6,FALSE)</f>
        <v>Electrosurgical Units, Monopolar/Bipolar</v>
      </c>
      <c r="RFU92" s="165" t="s">
        <v>945</v>
      </c>
      <c r="RFV92" s="166" t="str">
        <f>VLOOKUP(RFU92,[13]AssetDetails_UEM!$A$3:$AH$1849,6,FALSE)</f>
        <v>Electrosurgical Units, Monopolar/Bipolar</v>
      </c>
      <c r="RFW92" s="165" t="s">
        <v>945</v>
      </c>
      <c r="RFX92" s="166" t="str">
        <f>VLOOKUP(RFW92,[13]AssetDetails_UEM!$A$3:$AH$1849,6,FALSE)</f>
        <v>Electrosurgical Units, Monopolar/Bipolar</v>
      </c>
      <c r="RFY92" s="165" t="s">
        <v>945</v>
      </c>
      <c r="RFZ92" s="166" t="str">
        <f>VLOOKUP(RFY92,[13]AssetDetails_UEM!$A$3:$AH$1849,6,FALSE)</f>
        <v>Electrosurgical Units, Monopolar/Bipolar</v>
      </c>
      <c r="RGA92" s="165" t="s">
        <v>945</v>
      </c>
      <c r="RGB92" s="166" t="str">
        <f>VLOOKUP(RGA92,[13]AssetDetails_UEM!$A$3:$AH$1849,6,FALSE)</f>
        <v>Electrosurgical Units, Monopolar/Bipolar</v>
      </c>
      <c r="RGC92" s="165" t="s">
        <v>945</v>
      </c>
      <c r="RGD92" s="166" t="str">
        <f>VLOOKUP(RGC92,[13]AssetDetails_UEM!$A$3:$AH$1849,6,FALSE)</f>
        <v>Electrosurgical Units, Monopolar/Bipolar</v>
      </c>
      <c r="RGE92" s="165" t="s">
        <v>945</v>
      </c>
      <c r="RGF92" s="166" t="str">
        <f>VLOOKUP(RGE92,[13]AssetDetails_UEM!$A$3:$AH$1849,6,FALSE)</f>
        <v>Electrosurgical Units, Monopolar/Bipolar</v>
      </c>
      <c r="RGG92" s="165" t="s">
        <v>945</v>
      </c>
      <c r="RGH92" s="166" t="str">
        <f>VLOOKUP(RGG92,[13]AssetDetails_UEM!$A$3:$AH$1849,6,FALSE)</f>
        <v>Electrosurgical Units, Monopolar/Bipolar</v>
      </c>
      <c r="RGI92" s="165" t="s">
        <v>945</v>
      </c>
      <c r="RGJ92" s="166" t="str">
        <f>VLOOKUP(RGI92,[13]AssetDetails_UEM!$A$3:$AH$1849,6,FALSE)</f>
        <v>Electrosurgical Units, Monopolar/Bipolar</v>
      </c>
      <c r="RGK92" s="165" t="s">
        <v>945</v>
      </c>
      <c r="RGL92" s="166" t="str">
        <f>VLOOKUP(RGK92,[13]AssetDetails_UEM!$A$3:$AH$1849,6,FALSE)</f>
        <v>Electrosurgical Units, Monopolar/Bipolar</v>
      </c>
      <c r="RGM92" s="165" t="s">
        <v>945</v>
      </c>
      <c r="RGN92" s="166" t="str">
        <f>VLOOKUP(RGM92,[13]AssetDetails_UEM!$A$3:$AH$1849,6,FALSE)</f>
        <v>Electrosurgical Units, Monopolar/Bipolar</v>
      </c>
      <c r="RGO92" s="165" t="s">
        <v>945</v>
      </c>
      <c r="RGP92" s="166" t="str">
        <f>VLOOKUP(RGO92,[13]AssetDetails_UEM!$A$3:$AH$1849,6,FALSE)</f>
        <v>Electrosurgical Units, Monopolar/Bipolar</v>
      </c>
      <c r="RGQ92" s="165" t="s">
        <v>945</v>
      </c>
      <c r="RGR92" s="166" t="str">
        <f>VLOOKUP(RGQ92,[13]AssetDetails_UEM!$A$3:$AH$1849,6,FALSE)</f>
        <v>Electrosurgical Units, Monopolar/Bipolar</v>
      </c>
      <c r="RGS92" s="165" t="s">
        <v>945</v>
      </c>
      <c r="RGT92" s="166" t="str">
        <f>VLOOKUP(RGS92,[13]AssetDetails_UEM!$A$3:$AH$1849,6,FALSE)</f>
        <v>Electrosurgical Units, Monopolar/Bipolar</v>
      </c>
      <c r="RGU92" s="165" t="s">
        <v>945</v>
      </c>
      <c r="RGV92" s="166" t="str">
        <f>VLOOKUP(RGU92,[13]AssetDetails_UEM!$A$3:$AH$1849,6,FALSE)</f>
        <v>Electrosurgical Units, Monopolar/Bipolar</v>
      </c>
      <c r="RGW92" s="165" t="s">
        <v>945</v>
      </c>
      <c r="RGX92" s="166" t="str">
        <f>VLOOKUP(RGW92,[13]AssetDetails_UEM!$A$3:$AH$1849,6,FALSE)</f>
        <v>Electrosurgical Units, Monopolar/Bipolar</v>
      </c>
      <c r="RGY92" s="165" t="s">
        <v>945</v>
      </c>
      <c r="RGZ92" s="166" t="str">
        <f>VLOOKUP(RGY92,[13]AssetDetails_UEM!$A$3:$AH$1849,6,FALSE)</f>
        <v>Electrosurgical Units, Monopolar/Bipolar</v>
      </c>
      <c r="RHA92" s="165" t="s">
        <v>945</v>
      </c>
      <c r="RHB92" s="166" t="str">
        <f>VLOOKUP(RHA92,[13]AssetDetails_UEM!$A$3:$AH$1849,6,FALSE)</f>
        <v>Electrosurgical Units, Monopolar/Bipolar</v>
      </c>
      <c r="RHC92" s="165" t="s">
        <v>945</v>
      </c>
      <c r="RHD92" s="166" t="str">
        <f>VLOOKUP(RHC92,[13]AssetDetails_UEM!$A$3:$AH$1849,6,FALSE)</f>
        <v>Electrosurgical Units, Monopolar/Bipolar</v>
      </c>
      <c r="RHE92" s="165" t="s">
        <v>945</v>
      </c>
      <c r="RHF92" s="166" t="str">
        <f>VLOOKUP(RHE92,[13]AssetDetails_UEM!$A$3:$AH$1849,6,FALSE)</f>
        <v>Electrosurgical Units, Monopolar/Bipolar</v>
      </c>
      <c r="RHG92" s="165" t="s">
        <v>945</v>
      </c>
      <c r="RHH92" s="166" t="str">
        <f>VLOOKUP(RHG92,[13]AssetDetails_UEM!$A$3:$AH$1849,6,FALSE)</f>
        <v>Electrosurgical Units, Monopolar/Bipolar</v>
      </c>
      <c r="RHI92" s="165" t="s">
        <v>945</v>
      </c>
      <c r="RHJ92" s="166" t="str">
        <f>VLOOKUP(RHI92,[13]AssetDetails_UEM!$A$3:$AH$1849,6,FALSE)</f>
        <v>Electrosurgical Units, Monopolar/Bipolar</v>
      </c>
      <c r="RHK92" s="165" t="s">
        <v>945</v>
      </c>
      <c r="RHL92" s="166" t="str">
        <f>VLOOKUP(RHK92,[13]AssetDetails_UEM!$A$3:$AH$1849,6,FALSE)</f>
        <v>Electrosurgical Units, Monopolar/Bipolar</v>
      </c>
      <c r="RHM92" s="165" t="s">
        <v>945</v>
      </c>
      <c r="RHN92" s="166" t="str">
        <f>VLOOKUP(RHM92,[13]AssetDetails_UEM!$A$3:$AH$1849,6,FALSE)</f>
        <v>Electrosurgical Units, Monopolar/Bipolar</v>
      </c>
      <c r="RHO92" s="165" t="s">
        <v>945</v>
      </c>
      <c r="RHP92" s="166" t="str">
        <f>VLOOKUP(RHO92,[13]AssetDetails_UEM!$A$3:$AH$1849,6,FALSE)</f>
        <v>Electrosurgical Units, Monopolar/Bipolar</v>
      </c>
      <c r="RHQ92" s="165" t="s">
        <v>945</v>
      </c>
      <c r="RHR92" s="166" t="str">
        <f>VLOOKUP(RHQ92,[13]AssetDetails_UEM!$A$3:$AH$1849,6,FALSE)</f>
        <v>Electrosurgical Units, Monopolar/Bipolar</v>
      </c>
      <c r="RHS92" s="165" t="s">
        <v>945</v>
      </c>
      <c r="RHT92" s="166" t="str">
        <f>VLOOKUP(RHS92,[13]AssetDetails_UEM!$A$3:$AH$1849,6,FALSE)</f>
        <v>Electrosurgical Units, Monopolar/Bipolar</v>
      </c>
      <c r="RHU92" s="165" t="s">
        <v>945</v>
      </c>
      <c r="RHV92" s="166" t="str">
        <f>VLOOKUP(RHU92,[13]AssetDetails_UEM!$A$3:$AH$1849,6,FALSE)</f>
        <v>Electrosurgical Units, Monopolar/Bipolar</v>
      </c>
      <c r="RHW92" s="165" t="s">
        <v>945</v>
      </c>
      <c r="RHX92" s="166" t="str">
        <f>VLOOKUP(RHW92,[13]AssetDetails_UEM!$A$3:$AH$1849,6,FALSE)</f>
        <v>Electrosurgical Units, Monopolar/Bipolar</v>
      </c>
      <c r="RHY92" s="165" t="s">
        <v>945</v>
      </c>
      <c r="RHZ92" s="166" t="str">
        <f>VLOOKUP(RHY92,[13]AssetDetails_UEM!$A$3:$AH$1849,6,FALSE)</f>
        <v>Electrosurgical Units, Monopolar/Bipolar</v>
      </c>
      <c r="RIA92" s="165" t="s">
        <v>945</v>
      </c>
      <c r="RIB92" s="166" t="str">
        <f>VLOOKUP(RIA92,[13]AssetDetails_UEM!$A$3:$AH$1849,6,FALSE)</f>
        <v>Electrosurgical Units, Monopolar/Bipolar</v>
      </c>
      <c r="RIC92" s="165" t="s">
        <v>945</v>
      </c>
      <c r="RID92" s="166" t="str">
        <f>VLOOKUP(RIC92,[13]AssetDetails_UEM!$A$3:$AH$1849,6,FALSE)</f>
        <v>Electrosurgical Units, Monopolar/Bipolar</v>
      </c>
      <c r="RIE92" s="165" t="s">
        <v>945</v>
      </c>
      <c r="RIF92" s="166" t="str">
        <f>VLOOKUP(RIE92,[13]AssetDetails_UEM!$A$3:$AH$1849,6,FALSE)</f>
        <v>Electrosurgical Units, Monopolar/Bipolar</v>
      </c>
      <c r="RIG92" s="165" t="s">
        <v>945</v>
      </c>
      <c r="RIH92" s="166" t="str">
        <f>VLOOKUP(RIG92,[13]AssetDetails_UEM!$A$3:$AH$1849,6,FALSE)</f>
        <v>Electrosurgical Units, Monopolar/Bipolar</v>
      </c>
      <c r="RII92" s="165" t="s">
        <v>945</v>
      </c>
      <c r="RIJ92" s="166" t="str">
        <f>VLOOKUP(RII92,[13]AssetDetails_UEM!$A$3:$AH$1849,6,FALSE)</f>
        <v>Electrosurgical Units, Monopolar/Bipolar</v>
      </c>
      <c r="RIK92" s="165" t="s">
        <v>945</v>
      </c>
      <c r="RIL92" s="166" t="str">
        <f>VLOOKUP(RIK92,[13]AssetDetails_UEM!$A$3:$AH$1849,6,FALSE)</f>
        <v>Electrosurgical Units, Monopolar/Bipolar</v>
      </c>
      <c r="RIM92" s="165" t="s">
        <v>945</v>
      </c>
      <c r="RIN92" s="166" t="str">
        <f>VLOOKUP(RIM92,[13]AssetDetails_UEM!$A$3:$AH$1849,6,FALSE)</f>
        <v>Electrosurgical Units, Monopolar/Bipolar</v>
      </c>
      <c r="RIO92" s="165" t="s">
        <v>945</v>
      </c>
      <c r="RIP92" s="166" t="str">
        <f>VLOOKUP(RIO92,[13]AssetDetails_UEM!$A$3:$AH$1849,6,FALSE)</f>
        <v>Electrosurgical Units, Monopolar/Bipolar</v>
      </c>
      <c r="RIQ92" s="165" t="s">
        <v>945</v>
      </c>
      <c r="RIR92" s="166" t="str">
        <f>VLOOKUP(RIQ92,[13]AssetDetails_UEM!$A$3:$AH$1849,6,FALSE)</f>
        <v>Electrosurgical Units, Monopolar/Bipolar</v>
      </c>
      <c r="RIS92" s="165" t="s">
        <v>945</v>
      </c>
      <c r="RIT92" s="166" t="str">
        <f>VLOOKUP(RIS92,[13]AssetDetails_UEM!$A$3:$AH$1849,6,FALSE)</f>
        <v>Electrosurgical Units, Monopolar/Bipolar</v>
      </c>
      <c r="RIU92" s="165" t="s">
        <v>945</v>
      </c>
      <c r="RIV92" s="166" t="str">
        <f>VLOOKUP(RIU92,[13]AssetDetails_UEM!$A$3:$AH$1849,6,FALSE)</f>
        <v>Electrosurgical Units, Monopolar/Bipolar</v>
      </c>
      <c r="RIW92" s="165" t="s">
        <v>945</v>
      </c>
      <c r="RIX92" s="166" t="str">
        <f>VLOOKUP(RIW92,[13]AssetDetails_UEM!$A$3:$AH$1849,6,FALSE)</f>
        <v>Electrosurgical Units, Monopolar/Bipolar</v>
      </c>
      <c r="RIY92" s="165" t="s">
        <v>945</v>
      </c>
      <c r="RIZ92" s="166" t="str">
        <f>VLOOKUP(RIY92,[13]AssetDetails_UEM!$A$3:$AH$1849,6,FALSE)</f>
        <v>Electrosurgical Units, Monopolar/Bipolar</v>
      </c>
      <c r="RJA92" s="165" t="s">
        <v>945</v>
      </c>
      <c r="RJB92" s="166" t="str">
        <f>VLOOKUP(RJA92,[13]AssetDetails_UEM!$A$3:$AH$1849,6,FALSE)</f>
        <v>Electrosurgical Units, Monopolar/Bipolar</v>
      </c>
      <c r="RJC92" s="165" t="s">
        <v>945</v>
      </c>
      <c r="RJD92" s="166" t="str">
        <f>VLOOKUP(RJC92,[13]AssetDetails_UEM!$A$3:$AH$1849,6,FALSE)</f>
        <v>Electrosurgical Units, Monopolar/Bipolar</v>
      </c>
      <c r="RJE92" s="165" t="s">
        <v>945</v>
      </c>
      <c r="RJF92" s="166" t="str">
        <f>VLOOKUP(RJE92,[13]AssetDetails_UEM!$A$3:$AH$1849,6,FALSE)</f>
        <v>Electrosurgical Units, Monopolar/Bipolar</v>
      </c>
      <c r="RJG92" s="165" t="s">
        <v>945</v>
      </c>
      <c r="RJH92" s="166" t="str">
        <f>VLOOKUP(RJG92,[13]AssetDetails_UEM!$A$3:$AH$1849,6,FALSE)</f>
        <v>Electrosurgical Units, Monopolar/Bipolar</v>
      </c>
      <c r="RJI92" s="165" t="s">
        <v>945</v>
      </c>
      <c r="RJJ92" s="166" t="str">
        <f>VLOOKUP(RJI92,[13]AssetDetails_UEM!$A$3:$AH$1849,6,FALSE)</f>
        <v>Electrosurgical Units, Monopolar/Bipolar</v>
      </c>
      <c r="RJK92" s="165" t="s">
        <v>945</v>
      </c>
      <c r="RJL92" s="166" t="str">
        <f>VLOOKUP(RJK92,[13]AssetDetails_UEM!$A$3:$AH$1849,6,FALSE)</f>
        <v>Electrosurgical Units, Monopolar/Bipolar</v>
      </c>
      <c r="RJM92" s="165" t="s">
        <v>945</v>
      </c>
      <c r="RJN92" s="166" t="str">
        <f>VLOOKUP(RJM92,[13]AssetDetails_UEM!$A$3:$AH$1849,6,FALSE)</f>
        <v>Electrosurgical Units, Monopolar/Bipolar</v>
      </c>
      <c r="RJO92" s="165" t="s">
        <v>945</v>
      </c>
      <c r="RJP92" s="166" t="str">
        <f>VLOOKUP(RJO92,[13]AssetDetails_UEM!$A$3:$AH$1849,6,FALSE)</f>
        <v>Electrosurgical Units, Monopolar/Bipolar</v>
      </c>
      <c r="RJQ92" s="165" t="s">
        <v>945</v>
      </c>
      <c r="RJR92" s="166" t="str">
        <f>VLOOKUP(RJQ92,[13]AssetDetails_UEM!$A$3:$AH$1849,6,FALSE)</f>
        <v>Electrosurgical Units, Monopolar/Bipolar</v>
      </c>
      <c r="RJS92" s="165" t="s">
        <v>945</v>
      </c>
      <c r="RJT92" s="166" t="str">
        <f>VLOOKUP(RJS92,[13]AssetDetails_UEM!$A$3:$AH$1849,6,FALSE)</f>
        <v>Electrosurgical Units, Monopolar/Bipolar</v>
      </c>
      <c r="RJU92" s="165" t="s">
        <v>945</v>
      </c>
      <c r="RJV92" s="166" t="str">
        <f>VLOOKUP(RJU92,[13]AssetDetails_UEM!$A$3:$AH$1849,6,FALSE)</f>
        <v>Electrosurgical Units, Monopolar/Bipolar</v>
      </c>
      <c r="RJW92" s="165" t="s">
        <v>945</v>
      </c>
      <c r="RJX92" s="166" t="str">
        <f>VLOOKUP(RJW92,[13]AssetDetails_UEM!$A$3:$AH$1849,6,FALSE)</f>
        <v>Electrosurgical Units, Monopolar/Bipolar</v>
      </c>
      <c r="RJY92" s="165" t="s">
        <v>945</v>
      </c>
      <c r="RJZ92" s="166" t="str">
        <f>VLOOKUP(RJY92,[13]AssetDetails_UEM!$A$3:$AH$1849,6,FALSE)</f>
        <v>Electrosurgical Units, Monopolar/Bipolar</v>
      </c>
      <c r="RKA92" s="165" t="s">
        <v>945</v>
      </c>
      <c r="RKB92" s="166" t="str">
        <f>VLOOKUP(RKA92,[13]AssetDetails_UEM!$A$3:$AH$1849,6,FALSE)</f>
        <v>Electrosurgical Units, Monopolar/Bipolar</v>
      </c>
      <c r="RKC92" s="165" t="s">
        <v>945</v>
      </c>
      <c r="RKD92" s="166" t="str">
        <f>VLOOKUP(RKC92,[13]AssetDetails_UEM!$A$3:$AH$1849,6,FALSE)</f>
        <v>Electrosurgical Units, Monopolar/Bipolar</v>
      </c>
      <c r="RKE92" s="165" t="s">
        <v>945</v>
      </c>
      <c r="RKF92" s="166" t="str">
        <f>VLOOKUP(RKE92,[13]AssetDetails_UEM!$A$3:$AH$1849,6,FALSE)</f>
        <v>Electrosurgical Units, Monopolar/Bipolar</v>
      </c>
      <c r="RKG92" s="165" t="s">
        <v>945</v>
      </c>
      <c r="RKH92" s="166" t="str">
        <f>VLOOKUP(RKG92,[13]AssetDetails_UEM!$A$3:$AH$1849,6,FALSE)</f>
        <v>Electrosurgical Units, Monopolar/Bipolar</v>
      </c>
      <c r="RKI92" s="165" t="s">
        <v>945</v>
      </c>
      <c r="RKJ92" s="166" t="str">
        <f>VLOOKUP(RKI92,[13]AssetDetails_UEM!$A$3:$AH$1849,6,FALSE)</f>
        <v>Electrosurgical Units, Monopolar/Bipolar</v>
      </c>
      <c r="RKK92" s="165" t="s">
        <v>945</v>
      </c>
      <c r="RKL92" s="166" t="str">
        <f>VLOOKUP(RKK92,[13]AssetDetails_UEM!$A$3:$AH$1849,6,FALSE)</f>
        <v>Electrosurgical Units, Monopolar/Bipolar</v>
      </c>
      <c r="RKM92" s="165" t="s">
        <v>945</v>
      </c>
      <c r="RKN92" s="166" t="str">
        <f>VLOOKUP(RKM92,[13]AssetDetails_UEM!$A$3:$AH$1849,6,FALSE)</f>
        <v>Electrosurgical Units, Monopolar/Bipolar</v>
      </c>
      <c r="RKO92" s="165" t="s">
        <v>945</v>
      </c>
      <c r="RKP92" s="166" t="str">
        <f>VLOOKUP(RKO92,[13]AssetDetails_UEM!$A$3:$AH$1849,6,FALSE)</f>
        <v>Electrosurgical Units, Monopolar/Bipolar</v>
      </c>
      <c r="RKQ92" s="165" t="s">
        <v>945</v>
      </c>
      <c r="RKR92" s="166" t="str">
        <f>VLOOKUP(RKQ92,[13]AssetDetails_UEM!$A$3:$AH$1849,6,FALSE)</f>
        <v>Electrosurgical Units, Monopolar/Bipolar</v>
      </c>
      <c r="RKS92" s="165" t="s">
        <v>945</v>
      </c>
      <c r="RKT92" s="166" t="str">
        <f>VLOOKUP(RKS92,[13]AssetDetails_UEM!$A$3:$AH$1849,6,FALSE)</f>
        <v>Electrosurgical Units, Monopolar/Bipolar</v>
      </c>
      <c r="RKU92" s="165" t="s">
        <v>945</v>
      </c>
      <c r="RKV92" s="166" t="str">
        <f>VLOOKUP(RKU92,[13]AssetDetails_UEM!$A$3:$AH$1849,6,FALSE)</f>
        <v>Electrosurgical Units, Monopolar/Bipolar</v>
      </c>
      <c r="RKW92" s="165" t="s">
        <v>945</v>
      </c>
      <c r="RKX92" s="166" t="str">
        <f>VLOOKUP(RKW92,[13]AssetDetails_UEM!$A$3:$AH$1849,6,FALSE)</f>
        <v>Electrosurgical Units, Monopolar/Bipolar</v>
      </c>
      <c r="RKY92" s="165" t="s">
        <v>945</v>
      </c>
      <c r="RKZ92" s="166" t="str">
        <f>VLOOKUP(RKY92,[13]AssetDetails_UEM!$A$3:$AH$1849,6,FALSE)</f>
        <v>Electrosurgical Units, Monopolar/Bipolar</v>
      </c>
      <c r="RLA92" s="165" t="s">
        <v>945</v>
      </c>
      <c r="RLB92" s="166" t="str">
        <f>VLOOKUP(RLA92,[13]AssetDetails_UEM!$A$3:$AH$1849,6,FALSE)</f>
        <v>Electrosurgical Units, Monopolar/Bipolar</v>
      </c>
      <c r="RLC92" s="165" t="s">
        <v>945</v>
      </c>
      <c r="RLD92" s="166" t="str">
        <f>VLOOKUP(RLC92,[13]AssetDetails_UEM!$A$3:$AH$1849,6,FALSE)</f>
        <v>Electrosurgical Units, Monopolar/Bipolar</v>
      </c>
      <c r="RLE92" s="165" t="s">
        <v>945</v>
      </c>
      <c r="RLF92" s="166" t="str">
        <f>VLOOKUP(RLE92,[13]AssetDetails_UEM!$A$3:$AH$1849,6,FALSE)</f>
        <v>Electrosurgical Units, Monopolar/Bipolar</v>
      </c>
      <c r="RLG92" s="165" t="s">
        <v>945</v>
      </c>
      <c r="RLH92" s="166" t="str">
        <f>VLOOKUP(RLG92,[13]AssetDetails_UEM!$A$3:$AH$1849,6,FALSE)</f>
        <v>Electrosurgical Units, Monopolar/Bipolar</v>
      </c>
      <c r="RLI92" s="165" t="s">
        <v>945</v>
      </c>
      <c r="RLJ92" s="166" t="str">
        <f>VLOOKUP(RLI92,[13]AssetDetails_UEM!$A$3:$AH$1849,6,FALSE)</f>
        <v>Electrosurgical Units, Monopolar/Bipolar</v>
      </c>
      <c r="RLK92" s="165" t="s">
        <v>945</v>
      </c>
      <c r="RLL92" s="166" t="str">
        <f>VLOOKUP(RLK92,[13]AssetDetails_UEM!$A$3:$AH$1849,6,FALSE)</f>
        <v>Electrosurgical Units, Monopolar/Bipolar</v>
      </c>
      <c r="RLM92" s="165" t="s">
        <v>945</v>
      </c>
      <c r="RLN92" s="166" t="str">
        <f>VLOOKUP(RLM92,[13]AssetDetails_UEM!$A$3:$AH$1849,6,FALSE)</f>
        <v>Electrosurgical Units, Monopolar/Bipolar</v>
      </c>
      <c r="RLO92" s="165" t="s">
        <v>945</v>
      </c>
      <c r="RLP92" s="166" t="str">
        <f>VLOOKUP(RLO92,[13]AssetDetails_UEM!$A$3:$AH$1849,6,FALSE)</f>
        <v>Electrosurgical Units, Monopolar/Bipolar</v>
      </c>
      <c r="RLQ92" s="165" t="s">
        <v>945</v>
      </c>
      <c r="RLR92" s="166" t="str">
        <f>VLOOKUP(RLQ92,[13]AssetDetails_UEM!$A$3:$AH$1849,6,FALSE)</f>
        <v>Electrosurgical Units, Monopolar/Bipolar</v>
      </c>
      <c r="RLS92" s="165" t="s">
        <v>945</v>
      </c>
      <c r="RLT92" s="166" t="str">
        <f>VLOOKUP(RLS92,[13]AssetDetails_UEM!$A$3:$AH$1849,6,FALSE)</f>
        <v>Electrosurgical Units, Monopolar/Bipolar</v>
      </c>
      <c r="RLU92" s="165" t="s">
        <v>945</v>
      </c>
      <c r="RLV92" s="166" t="str">
        <f>VLOOKUP(RLU92,[13]AssetDetails_UEM!$A$3:$AH$1849,6,FALSE)</f>
        <v>Electrosurgical Units, Monopolar/Bipolar</v>
      </c>
      <c r="RLW92" s="165" t="s">
        <v>945</v>
      </c>
      <c r="RLX92" s="166" t="str">
        <f>VLOOKUP(RLW92,[13]AssetDetails_UEM!$A$3:$AH$1849,6,FALSE)</f>
        <v>Electrosurgical Units, Monopolar/Bipolar</v>
      </c>
      <c r="RLY92" s="165" t="s">
        <v>945</v>
      </c>
      <c r="RLZ92" s="166" t="str">
        <f>VLOOKUP(RLY92,[13]AssetDetails_UEM!$A$3:$AH$1849,6,FALSE)</f>
        <v>Electrosurgical Units, Monopolar/Bipolar</v>
      </c>
      <c r="RMA92" s="165" t="s">
        <v>945</v>
      </c>
      <c r="RMB92" s="166" t="str">
        <f>VLOOKUP(RMA92,[13]AssetDetails_UEM!$A$3:$AH$1849,6,FALSE)</f>
        <v>Electrosurgical Units, Monopolar/Bipolar</v>
      </c>
      <c r="RMC92" s="165" t="s">
        <v>945</v>
      </c>
      <c r="RMD92" s="166" t="str">
        <f>VLOOKUP(RMC92,[13]AssetDetails_UEM!$A$3:$AH$1849,6,FALSE)</f>
        <v>Electrosurgical Units, Monopolar/Bipolar</v>
      </c>
      <c r="RME92" s="165" t="s">
        <v>945</v>
      </c>
      <c r="RMF92" s="166" t="str">
        <f>VLOOKUP(RME92,[13]AssetDetails_UEM!$A$3:$AH$1849,6,FALSE)</f>
        <v>Electrosurgical Units, Monopolar/Bipolar</v>
      </c>
      <c r="RMG92" s="165" t="s">
        <v>945</v>
      </c>
      <c r="RMH92" s="166" t="str">
        <f>VLOOKUP(RMG92,[13]AssetDetails_UEM!$A$3:$AH$1849,6,FALSE)</f>
        <v>Electrosurgical Units, Monopolar/Bipolar</v>
      </c>
      <c r="RMI92" s="165" t="s">
        <v>945</v>
      </c>
      <c r="RMJ92" s="166" t="str">
        <f>VLOOKUP(RMI92,[13]AssetDetails_UEM!$A$3:$AH$1849,6,FALSE)</f>
        <v>Electrosurgical Units, Monopolar/Bipolar</v>
      </c>
      <c r="RMK92" s="165" t="s">
        <v>945</v>
      </c>
      <c r="RML92" s="166" t="str">
        <f>VLOOKUP(RMK92,[13]AssetDetails_UEM!$A$3:$AH$1849,6,FALSE)</f>
        <v>Electrosurgical Units, Monopolar/Bipolar</v>
      </c>
      <c r="RMM92" s="165" t="s">
        <v>945</v>
      </c>
      <c r="RMN92" s="166" t="str">
        <f>VLOOKUP(RMM92,[13]AssetDetails_UEM!$A$3:$AH$1849,6,FALSE)</f>
        <v>Electrosurgical Units, Monopolar/Bipolar</v>
      </c>
      <c r="RMO92" s="165" t="s">
        <v>945</v>
      </c>
      <c r="RMP92" s="166" t="str">
        <f>VLOOKUP(RMO92,[13]AssetDetails_UEM!$A$3:$AH$1849,6,FALSE)</f>
        <v>Electrosurgical Units, Monopolar/Bipolar</v>
      </c>
      <c r="RMQ92" s="165" t="s">
        <v>945</v>
      </c>
      <c r="RMR92" s="166" t="str">
        <f>VLOOKUP(RMQ92,[13]AssetDetails_UEM!$A$3:$AH$1849,6,FALSE)</f>
        <v>Electrosurgical Units, Monopolar/Bipolar</v>
      </c>
      <c r="RMS92" s="165" t="s">
        <v>945</v>
      </c>
      <c r="RMT92" s="166" t="str">
        <f>VLOOKUP(RMS92,[13]AssetDetails_UEM!$A$3:$AH$1849,6,FALSE)</f>
        <v>Electrosurgical Units, Monopolar/Bipolar</v>
      </c>
      <c r="RMU92" s="165" t="s">
        <v>945</v>
      </c>
      <c r="RMV92" s="166" t="str">
        <f>VLOOKUP(RMU92,[13]AssetDetails_UEM!$A$3:$AH$1849,6,FALSE)</f>
        <v>Electrosurgical Units, Monopolar/Bipolar</v>
      </c>
      <c r="RMW92" s="165" t="s">
        <v>945</v>
      </c>
      <c r="RMX92" s="166" t="str">
        <f>VLOOKUP(RMW92,[13]AssetDetails_UEM!$A$3:$AH$1849,6,FALSE)</f>
        <v>Electrosurgical Units, Monopolar/Bipolar</v>
      </c>
      <c r="RMY92" s="165" t="s">
        <v>945</v>
      </c>
      <c r="RMZ92" s="166" t="str">
        <f>VLOOKUP(RMY92,[13]AssetDetails_UEM!$A$3:$AH$1849,6,FALSE)</f>
        <v>Electrosurgical Units, Monopolar/Bipolar</v>
      </c>
      <c r="RNA92" s="165" t="s">
        <v>945</v>
      </c>
      <c r="RNB92" s="166" t="str">
        <f>VLOOKUP(RNA92,[13]AssetDetails_UEM!$A$3:$AH$1849,6,FALSE)</f>
        <v>Electrosurgical Units, Monopolar/Bipolar</v>
      </c>
      <c r="RNC92" s="165" t="s">
        <v>945</v>
      </c>
      <c r="RND92" s="166" t="str">
        <f>VLOOKUP(RNC92,[13]AssetDetails_UEM!$A$3:$AH$1849,6,FALSE)</f>
        <v>Electrosurgical Units, Monopolar/Bipolar</v>
      </c>
      <c r="RNE92" s="165" t="s">
        <v>945</v>
      </c>
      <c r="RNF92" s="166" t="str">
        <f>VLOOKUP(RNE92,[13]AssetDetails_UEM!$A$3:$AH$1849,6,FALSE)</f>
        <v>Electrosurgical Units, Monopolar/Bipolar</v>
      </c>
      <c r="RNG92" s="165" t="s">
        <v>945</v>
      </c>
      <c r="RNH92" s="166" t="str">
        <f>VLOOKUP(RNG92,[13]AssetDetails_UEM!$A$3:$AH$1849,6,FALSE)</f>
        <v>Electrosurgical Units, Monopolar/Bipolar</v>
      </c>
      <c r="RNI92" s="165" t="s">
        <v>945</v>
      </c>
      <c r="RNJ92" s="166" t="str">
        <f>VLOOKUP(RNI92,[13]AssetDetails_UEM!$A$3:$AH$1849,6,FALSE)</f>
        <v>Electrosurgical Units, Monopolar/Bipolar</v>
      </c>
      <c r="RNK92" s="165" t="s">
        <v>945</v>
      </c>
      <c r="RNL92" s="166" t="str">
        <f>VLOOKUP(RNK92,[13]AssetDetails_UEM!$A$3:$AH$1849,6,FALSE)</f>
        <v>Electrosurgical Units, Monopolar/Bipolar</v>
      </c>
      <c r="RNM92" s="165" t="s">
        <v>945</v>
      </c>
      <c r="RNN92" s="166" t="str">
        <f>VLOOKUP(RNM92,[13]AssetDetails_UEM!$A$3:$AH$1849,6,FALSE)</f>
        <v>Electrosurgical Units, Monopolar/Bipolar</v>
      </c>
      <c r="RNO92" s="165" t="s">
        <v>945</v>
      </c>
      <c r="RNP92" s="166" t="str">
        <f>VLOOKUP(RNO92,[13]AssetDetails_UEM!$A$3:$AH$1849,6,FALSE)</f>
        <v>Electrosurgical Units, Monopolar/Bipolar</v>
      </c>
      <c r="RNQ92" s="165" t="s">
        <v>945</v>
      </c>
      <c r="RNR92" s="166" t="str">
        <f>VLOOKUP(RNQ92,[13]AssetDetails_UEM!$A$3:$AH$1849,6,FALSE)</f>
        <v>Electrosurgical Units, Monopolar/Bipolar</v>
      </c>
      <c r="RNS92" s="165" t="s">
        <v>945</v>
      </c>
      <c r="RNT92" s="166" t="str">
        <f>VLOOKUP(RNS92,[13]AssetDetails_UEM!$A$3:$AH$1849,6,FALSE)</f>
        <v>Electrosurgical Units, Monopolar/Bipolar</v>
      </c>
      <c r="RNU92" s="165" t="s">
        <v>945</v>
      </c>
      <c r="RNV92" s="166" t="str">
        <f>VLOOKUP(RNU92,[13]AssetDetails_UEM!$A$3:$AH$1849,6,FALSE)</f>
        <v>Electrosurgical Units, Monopolar/Bipolar</v>
      </c>
      <c r="RNW92" s="165" t="s">
        <v>945</v>
      </c>
      <c r="RNX92" s="166" t="str">
        <f>VLOOKUP(RNW92,[13]AssetDetails_UEM!$A$3:$AH$1849,6,FALSE)</f>
        <v>Electrosurgical Units, Monopolar/Bipolar</v>
      </c>
      <c r="RNY92" s="165" t="s">
        <v>945</v>
      </c>
      <c r="RNZ92" s="166" t="str">
        <f>VLOOKUP(RNY92,[13]AssetDetails_UEM!$A$3:$AH$1849,6,FALSE)</f>
        <v>Electrosurgical Units, Monopolar/Bipolar</v>
      </c>
      <c r="ROA92" s="165" t="s">
        <v>945</v>
      </c>
      <c r="ROB92" s="166" t="str">
        <f>VLOOKUP(ROA92,[13]AssetDetails_UEM!$A$3:$AH$1849,6,FALSE)</f>
        <v>Electrosurgical Units, Monopolar/Bipolar</v>
      </c>
      <c r="ROC92" s="165" t="s">
        <v>945</v>
      </c>
      <c r="ROD92" s="166" t="str">
        <f>VLOOKUP(ROC92,[13]AssetDetails_UEM!$A$3:$AH$1849,6,FALSE)</f>
        <v>Electrosurgical Units, Monopolar/Bipolar</v>
      </c>
      <c r="ROE92" s="165" t="s">
        <v>945</v>
      </c>
      <c r="ROF92" s="166" t="str">
        <f>VLOOKUP(ROE92,[13]AssetDetails_UEM!$A$3:$AH$1849,6,FALSE)</f>
        <v>Electrosurgical Units, Monopolar/Bipolar</v>
      </c>
      <c r="ROG92" s="165" t="s">
        <v>945</v>
      </c>
      <c r="ROH92" s="166" t="str">
        <f>VLOOKUP(ROG92,[13]AssetDetails_UEM!$A$3:$AH$1849,6,FALSE)</f>
        <v>Electrosurgical Units, Monopolar/Bipolar</v>
      </c>
      <c r="ROI92" s="165" t="s">
        <v>945</v>
      </c>
      <c r="ROJ92" s="166" t="str">
        <f>VLOOKUP(ROI92,[13]AssetDetails_UEM!$A$3:$AH$1849,6,FALSE)</f>
        <v>Electrosurgical Units, Monopolar/Bipolar</v>
      </c>
      <c r="ROK92" s="165" t="s">
        <v>945</v>
      </c>
      <c r="ROL92" s="166" t="str">
        <f>VLOOKUP(ROK92,[13]AssetDetails_UEM!$A$3:$AH$1849,6,FALSE)</f>
        <v>Electrosurgical Units, Monopolar/Bipolar</v>
      </c>
      <c r="ROM92" s="165" t="s">
        <v>945</v>
      </c>
      <c r="RON92" s="166" t="str">
        <f>VLOOKUP(ROM92,[13]AssetDetails_UEM!$A$3:$AH$1849,6,FALSE)</f>
        <v>Electrosurgical Units, Monopolar/Bipolar</v>
      </c>
      <c r="ROO92" s="165" t="s">
        <v>945</v>
      </c>
      <c r="ROP92" s="166" t="str">
        <f>VLOOKUP(ROO92,[13]AssetDetails_UEM!$A$3:$AH$1849,6,FALSE)</f>
        <v>Electrosurgical Units, Monopolar/Bipolar</v>
      </c>
      <c r="ROQ92" s="165" t="s">
        <v>945</v>
      </c>
      <c r="ROR92" s="166" t="str">
        <f>VLOOKUP(ROQ92,[13]AssetDetails_UEM!$A$3:$AH$1849,6,FALSE)</f>
        <v>Electrosurgical Units, Monopolar/Bipolar</v>
      </c>
      <c r="ROS92" s="165" t="s">
        <v>945</v>
      </c>
      <c r="ROT92" s="166" t="str">
        <f>VLOOKUP(ROS92,[13]AssetDetails_UEM!$A$3:$AH$1849,6,FALSE)</f>
        <v>Electrosurgical Units, Monopolar/Bipolar</v>
      </c>
      <c r="ROU92" s="165" t="s">
        <v>945</v>
      </c>
      <c r="ROV92" s="166" t="str">
        <f>VLOOKUP(ROU92,[13]AssetDetails_UEM!$A$3:$AH$1849,6,FALSE)</f>
        <v>Electrosurgical Units, Monopolar/Bipolar</v>
      </c>
      <c r="ROW92" s="165" t="s">
        <v>945</v>
      </c>
      <c r="ROX92" s="166" t="str">
        <f>VLOOKUP(ROW92,[13]AssetDetails_UEM!$A$3:$AH$1849,6,FALSE)</f>
        <v>Electrosurgical Units, Monopolar/Bipolar</v>
      </c>
      <c r="ROY92" s="165" t="s">
        <v>945</v>
      </c>
      <c r="ROZ92" s="166" t="str">
        <f>VLOOKUP(ROY92,[13]AssetDetails_UEM!$A$3:$AH$1849,6,FALSE)</f>
        <v>Electrosurgical Units, Monopolar/Bipolar</v>
      </c>
      <c r="RPA92" s="165" t="s">
        <v>945</v>
      </c>
      <c r="RPB92" s="166" t="str">
        <f>VLOOKUP(RPA92,[13]AssetDetails_UEM!$A$3:$AH$1849,6,FALSE)</f>
        <v>Electrosurgical Units, Monopolar/Bipolar</v>
      </c>
      <c r="RPC92" s="165" t="s">
        <v>945</v>
      </c>
      <c r="RPD92" s="166" t="str">
        <f>VLOOKUP(RPC92,[13]AssetDetails_UEM!$A$3:$AH$1849,6,FALSE)</f>
        <v>Electrosurgical Units, Monopolar/Bipolar</v>
      </c>
      <c r="RPE92" s="165" t="s">
        <v>945</v>
      </c>
      <c r="RPF92" s="166" t="str">
        <f>VLOOKUP(RPE92,[13]AssetDetails_UEM!$A$3:$AH$1849,6,FALSE)</f>
        <v>Electrosurgical Units, Monopolar/Bipolar</v>
      </c>
      <c r="RPG92" s="165" t="s">
        <v>945</v>
      </c>
      <c r="RPH92" s="166" t="str">
        <f>VLOOKUP(RPG92,[13]AssetDetails_UEM!$A$3:$AH$1849,6,FALSE)</f>
        <v>Electrosurgical Units, Monopolar/Bipolar</v>
      </c>
      <c r="RPI92" s="165" t="s">
        <v>945</v>
      </c>
      <c r="RPJ92" s="166" t="str">
        <f>VLOOKUP(RPI92,[13]AssetDetails_UEM!$A$3:$AH$1849,6,FALSE)</f>
        <v>Electrosurgical Units, Monopolar/Bipolar</v>
      </c>
      <c r="RPK92" s="165" t="s">
        <v>945</v>
      </c>
      <c r="RPL92" s="166" t="str">
        <f>VLOOKUP(RPK92,[13]AssetDetails_UEM!$A$3:$AH$1849,6,FALSE)</f>
        <v>Electrosurgical Units, Monopolar/Bipolar</v>
      </c>
      <c r="RPM92" s="165" t="s">
        <v>945</v>
      </c>
      <c r="RPN92" s="166" t="str">
        <f>VLOOKUP(RPM92,[13]AssetDetails_UEM!$A$3:$AH$1849,6,FALSE)</f>
        <v>Electrosurgical Units, Monopolar/Bipolar</v>
      </c>
      <c r="RPO92" s="165" t="s">
        <v>945</v>
      </c>
      <c r="RPP92" s="166" t="str">
        <f>VLOOKUP(RPO92,[13]AssetDetails_UEM!$A$3:$AH$1849,6,FALSE)</f>
        <v>Electrosurgical Units, Monopolar/Bipolar</v>
      </c>
      <c r="RPQ92" s="165" t="s">
        <v>945</v>
      </c>
      <c r="RPR92" s="166" t="str">
        <f>VLOOKUP(RPQ92,[13]AssetDetails_UEM!$A$3:$AH$1849,6,FALSE)</f>
        <v>Electrosurgical Units, Monopolar/Bipolar</v>
      </c>
      <c r="RPS92" s="165" t="s">
        <v>945</v>
      </c>
      <c r="RPT92" s="166" t="str">
        <f>VLOOKUP(RPS92,[13]AssetDetails_UEM!$A$3:$AH$1849,6,FALSE)</f>
        <v>Electrosurgical Units, Monopolar/Bipolar</v>
      </c>
      <c r="RPU92" s="165" t="s">
        <v>945</v>
      </c>
      <c r="RPV92" s="166" t="str">
        <f>VLOOKUP(RPU92,[13]AssetDetails_UEM!$A$3:$AH$1849,6,FALSE)</f>
        <v>Electrosurgical Units, Monopolar/Bipolar</v>
      </c>
      <c r="RPW92" s="165" t="s">
        <v>945</v>
      </c>
      <c r="RPX92" s="166" t="str">
        <f>VLOOKUP(RPW92,[13]AssetDetails_UEM!$A$3:$AH$1849,6,FALSE)</f>
        <v>Electrosurgical Units, Monopolar/Bipolar</v>
      </c>
      <c r="RPY92" s="165" t="s">
        <v>945</v>
      </c>
      <c r="RPZ92" s="166" t="str">
        <f>VLOOKUP(RPY92,[13]AssetDetails_UEM!$A$3:$AH$1849,6,FALSE)</f>
        <v>Electrosurgical Units, Monopolar/Bipolar</v>
      </c>
      <c r="RQA92" s="165" t="s">
        <v>945</v>
      </c>
      <c r="RQB92" s="166" t="str">
        <f>VLOOKUP(RQA92,[13]AssetDetails_UEM!$A$3:$AH$1849,6,FALSE)</f>
        <v>Electrosurgical Units, Monopolar/Bipolar</v>
      </c>
      <c r="RQC92" s="165" t="s">
        <v>945</v>
      </c>
      <c r="RQD92" s="166" t="str">
        <f>VLOOKUP(RQC92,[13]AssetDetails_UEM!$A$3:$AH$1849,6,FALSE)</f>
        <v>Electrosurgical Units, Monopolar/Bipolar</v>
      </c>
      <c r="RQE92" s="165" t="s">
        <v>945</v>
      </c>
      <c r="RQF92" s="166" t="str">
        <f>VLOOKUP(RQE92,[13]AssetDetails_UEM!$A$3:$AH$1849,6,FALSE)</f>
        <v>Electrosurgical Units, Monopolar/Bipolar</v>
      </c>
      <c r="RQG92" s="165" t="s">
        <v>945</v>
      </c>
      <c r="RQH92" s="166" t="str">
        <f>VLOOKUP(RQG92,[13]AssetDetails_UEM!$A$3:$AH$1849,6,FALSE)</f>
        <v>Electrosurgical Units, Monopolar/Bipolar</v>
      </c>
      <c r="RQI92" s="165" t="s">
        <v>945</v>
      </c>
      <c r="RQJ92" s="166" t="str">
        <f>VLOOKUP(RQI92,[13]AssetDetails_UEM!$A$3:$AH$1849,6,FALSE)</f>
        <v>Electrosurgical Units, Monopolar/Bipolar</v>
      </c>
      <c r="RQK92" s="165" t="s">
        <v>945</v>
      </c>
      <c r="RQL92" s="166" t="str">
        <f>VLOOKUP(RQK92,[13]AssetDetails_UEM!$A$3:$AH$1849,6,FALSE)</f>
        <v>Electrosurgical Units, Monopolar/Bipolar</v>
      </c>
      <c r="RQM92" s="165" t="s">
        <v>945</v>
      </c>
      <c r="RQN92" s="166" t="str">
        <f>VLOOKUP(RQM92,[13]AssetDetails_UEM!$A$3:$AH$1849,6,FALSE)</f>
        <v>Electrosurgical Units, Monopolar/Bipolar</v>
      </c>
      <c r="RQO92" s="165" t="s">
        <v>945</v>
      </c>
      <c r="RQP92" s="166" t="str">
        <f>VLOOKUP(RQO92,[13]AssetDetails_UEM!$A$3:$AH$1849,6,FALSE)</f>
        <v>Electrosurgical Units, Monopolar/Bipolar</v>
      </c>
      <c r="RQQ92" s="165" t="s">
        <v>945</v>
      </c>
      <c r="RQR92" s="166" t="str">
        <f>VLOOKUP(RQQ92,[13]AssetDetails_UEM!$A$3:$AH$1849,6,FALSE)</f>
        <v>Electrosurgical Units, Monopolar/Bipolar</v>
      </c>
      <c r="RQS92" s="165" t="s">
        <v>945</v>
      </c>
      <c r="RQT92" s="166" t="str">
        <f>VLOOKUP(RQS92,[13]AssetDetails_UEM!$A$3:$AH$1849,6,FALSE)</f>
        <v>Electrosurgical Units, Monopolar/Bipolar</v>
      </c>
      <c r="RQU92" s="165" t="s">
        <v>945</v>
      </c>
      <c r="RQV92" s="166" t="str">
        <f>VLOOKUP(RQU92,[13]AssetDetails_UEM!$A$3:$AH$1849,6,FALSE)</f>
        <v>Electrosurgical Units, Monopolar/Bipolar</v>
      </c>
      <c r="RQW92" s="165" t="s">
        <v>945</v>
      </c>
      <c r="RQX92" s="166" t="str">
        <f>VLOOKUP(RQW92,[13]AssetDetails_UEM!$A$3:$AH$1849,6,FALSE)</f>
        <v>Electrosurgical Units, Monopolar/Bipolar</v>
      </c>
      <c r="RQY92" s="165" t="s">
        <v>945</v>
      </c>
      <c r="RQZ92" s="166" t="str">
        <f>VLOOKUP(RQY92,[13]AssetDetails_UEM!$A$3:$AH$1849,6,FALSE)</f>
        <v>Electrosurgical Units, Monopolar/Bipolar</v>
      </c>
      <c r="RRA92" s="165" t="s">
        <v>945</v>
      </c>
      <c r="RRB92" s="166" t="str">
        <f>VLOOKUP(RRA92,[13]AssetDetails_UEM!$A$3:$AH$1849,6,FALSE)</f>
        <v>Electrosurgical Units, Monopolar/Bipolar</v>
      </c>
      <c r="RRC92" s="165" t="s">
        <v>945</v>
      </c>
      <c r="RRD92" s="166" t="str">
        <f>VLOOKUP(RRC92,[13]AssetDetails_UEM!$A$3:$AH$1849,6,FALSE)</f>
        <v>Electrosurgical Units, Monopolar/Bipolar</v>
      </c>
      <c r="RRE92" s="165" t="s">
        <v>945</v>
      </c>
      <c r="RRF92" s="166" t="str">
        <f>VLOOKUP(RRE92,[13]AssetDetails_UEM!$A$3:$AH$1849,6,FALSE)</f>
        <v>Electrosurgical Units, Monopolar/Bipolar</v>
      </c>
      <c r="RRG92" s="165" t="s">
        <v>945</v>
      </c>
      <c r="RRH92" s="166" t="str">
        <f>VLOOKUP(RRG92,[13]AssetDetails_UEM!$A$3:$AH$1849,6,FALSE)</f>
        <v>Electrosurgical Units, Monopolar/Bipolar</v>
      </c>
      <c r="RRI92" s="165" t="s">
        <v>945</v>
      </c>
      <c r="RRJ92" s="166" t="str">
        <f>VLOOKUP(RRI92,[13]AssetDetails_UEM!$A$3:$AH$1849,6,FALSE)</f>
        <v>Electrosurgical Units, Monopolar/Bipolar</v>
      </c>
      <c r="RRK92" s="165" t="s">
        <v>945</v>
      </c>
      <c r="RRL92" s="166" t="str">
        <f>VLOOKUP(RRK92,[13]AssetDetails_UEM!$A$3:$AH$1849,6,FALSE)</f>
        <v>Electrosurgical Units, Monopolar/Bipolar</v>
      </c>
      <c r="RRM92" s="165" t="s">
        <v>945</v>
      </c>
      <c r="RRN92" s="166" t="str">
        <f>VLOOKUP(RRM92,[13]AssetDetails_UEM!$A$3:$AH$1849,6,FALSE)</f>
        <v>Electrosurgical Units, Monopolar/Bipolar</v>
      </c>
      <c r="RRO92" s="165" t="s">
        <v>945</v>
      </c>
      <c r="RRP92" s="166" t="str">
        <f>VLOOKUP(RRO92,[13]AssetDetails_UEM!$A$3:$AH$1849,6,FALSE)</f>
        <v>Electrosurgical Units, Monopolar/Bipolar</v>
      </c>
      <c r="RRQ92" s="165" t="s">
        <v>945</v>
      </c>
      <c r="RRR92" s="166" t="str">
        <f>VLOOKUP(RRQ92,[13]AssetDetails_UEM!$A$3:$AH$1849,6,FALSE)</f>
        <v>Electrosurgical Units, Monopolar/Bipolar</v>
      </c>
      <c r="RRS92" s="165" t="s">
        <v>945</v>
      </c>
      <c r="RRT92" s="166" t="str">
        <f>VLOOKUP(RRS92,[13]AssetDetails_UEM!$A$3:$AH$1849,6,FALSE)</f>
        <v>Electrosurgical Units, Monopolar/Bipolar</v>
      </c>
      <c r="RRU92" s="165" t="s">
        <v>945</v>
      </c>
      <c r="RRV92" s="166" t="str">
        <f>VLOOKUP(RRU92,[13]AssetDetails_UEM!$A$3:$AH$1849,6,FALSE)</f>
        <v>Electrosurgical Units, Monopolar/Bipolar</v>
      </c>
      <c r="RRW92" s="165" t="s">
        <v>945</v>
      </c>
      <c r="RRX92" s="166" t="str">
        <f>VLOOKUP(RRW92,[13]AssetDetails_UEM!$A$3:$AH$1849,6,FALSE)</f>
        <v>Electrosurgical Units, Monopolar/Bipolar</v>
      </c>
      <c r="RRY92" s="165" t="s">
        <v>945</v>
      </c>
      <c r="RRZ92" s="166" t="str">
        <f>VLOOKUP(RRY92,[13]AssetDetails_UEM!$A$3:$AH$1849,6,FALSE)</f>
        <v>Electrosurgical Units, Monopolar/Bipolar</v>
      </c>
      <c r="RSA92" s="165" t="s">
        <v>945</v>
      </c>
      <c r="RSB92" s="166" t="str">
        <f>VLOOKUP(RSA92,[13]AssetDetails_UEM!$A$3:$AH$1849,6,FALSE)</f>
        <v>Electrosurgical Units, Monopolar/Bipolar</v>
      </c>
      <c r="RSC92" s="165" t="s">
        <v>945</v>
      </c>
      <c r="RSD92" s="166" t="str">
        <f>VLOOKUP(RSC92,[13]AssetDetails_UEM!$A$3:$AH$1849,6,FALSE)</f>
        <v>Electrosurgical Units, Monopolar/Bipolar</v>
      </c>
      <c r="RSE92" s="165" t="s">
        <v>945</v>
      </c>
      <c r="RSF92" s="166" t="str">
        <f>VLOOKUP(RSE92,[13]AssetDetails_UEM!$A$3:$AH$1849,6,FALSE)</f>
        <v>Electrosurgical Units, Monopolar/Bipolar</v>
      </c>
      <c r="RSG92" s="165" t="s">
        <v>945</v>
      </c>
      <c r="RSH92" s="166" t="str">
        <f>VLOOKUP(RSG92,[13]AssetDetails_UEM!$A$3:$AH$1849,6,FALSE)</f>
        <v>Electrosurgical Units, Monopolar/Bipolar</v>
      </c>
      <c r="RSI92" s="165" t="s">
        <v>945</v>
      </c>
      <c r="RSJ92" s="166" t="str">
        <f>VLOOKUP(RSI92,[13]AssetDetails_UEM!$A$3:$AH$1849,6,FALSE)</f>
        <v>Electrosurgical Units, Monopolar/Bipolar</v>
      </c>
      <c r="RSK92" s="165" t="s">
        <v>945</v>
      </c>
      <c r="RSL92" s="166" t="str">
        <f>VLOOKUP(RSK92,[13]AssetDetails_UEM!$A$3:$AH$1849,6,FALSE)</f>
        <v>Electrosurgical Units, Monopolar/Bipolar</v>
      </c>
      <c r="RSM92" s="165" t="s">
        <v>945</v>
      </c>
      <c r="RSN92" s="166" t="str">
        <f>VLOOKUP(RSM92,[13]AssetDetails_UEM!$A$3:$AH$1849,6,FALSE)</f>
        <v>Electrosurgical Units, Monopolar/Bipolar</v>
      </c>
      <c r="RSO92" s="165" t="s">
        <v>945</v>
      </c>
      <c r="RSP92" s="166" t="str">
        <f>VLOOKUP(RSO92,[13]AssetDetails_UEM!$A$3:$AH$1849,6,FALSE)</f>
        <v>Electrosurgical Units, Monopolar/Bipolar</v>
      </c>
      <c r="RSQ92" s="165" t="s">
        <v>945</v>
      </c>
      <c r="RSR92" s="166" t="str">
        <f>VLOOKUP(RSQ92,[13]AssetDetails_UEM!$A$3:$AH$1849,6,FALSE)</f>
        <v>Electrosurgical Units, Monopolar/Bipolar</v>
      </c>
      <c r="RSS92" s="165" t="s">
        <v>945</v>
      </c>
      <c r="RST92" s="166" t="str">
        <f>VLOOKUP(RSS92,[13]AssetDetails_UEM!$A$3:$AH$1849,6,FALSE)</f>
        <v>Electrosurgical Units, Monopolar/Bipolar</v>
      </c>
      <c r="RSU92" s="165" t="s">
        <v>945</v>
      </c>
      <c r="RSV92" s="166" t="str">
        <f>VLOOKUP(RSU92,[13]AssetDetails_UEM!$A$3:$AH$1849,6,FALSE)</f>
        <v>Electrosurgical Units, Monopolar/Bipolar</v>
      </c>
      <c r="RSW92" s="165" t="s">
        <v>945</v>
      </c>
      <c r="RSX92" s="166" t="str">
        <f>VLOOKUP(RSW92,[13]AssetDetails_UEM!$A$3:$AH$1849,6,FALSE)</f>
        <v>Electrosurgical Units, Monopolar/Bipolar</v>
      </c>
      <c r="RSY92" s="165" t="s">
        <v>945</v>
      </c>
      <c r="RSZ92" s="166" t="str">
        <f>VLOOKUP(RSY92,[13]AssetDetails_UEM!$A$3:$AH$1849,6,FALSE)</f>
        <v>Electrosurgical Units, Monopolar/Bipolar</v>
      </c>
      <c r="RTA92" s="165" t="s">
        <v>945</v>
      </c>
      <c r="RTB92" s="166" t="str">
        <f>VLOOKUP(RTA92,[13]AssetDetails_UEM!$A$3:$AH$1849,6,FALSE)</f>
        <v>Electrosurgical Units, Monopolar/Bipolar</v>
      </c>
      <c r="RTC92" s="165" t="s">
        <v>945</v>
      </c>
      <c r="RTD92" s="166" t="str">
        <f>VLOOKUP(RTC92,[13]AssetDetails_UEM!$A$3:$AH$1849,6,FALSE)</f>
        <v>Electrosurgical Units, Monopolar/Bipolar</v>
      </c>
      <c r="RTE92" s="165" t="s">
        <v>945</v>
      </c>
      <c r="RTF92" s="166" t="str">
        <f>VLOOKUP(RTE92,[13]AssetDetails_UEM!$A$3:$AH$1849,6,FALSE)</f>
        <v>Electrosurgical Units, Monopolar/Bipolar</v>
      </c>
      <c r="RTG92" s="165" t="s">
        <v>945</v>
      </c>
      <c r="RTH92" s="166" t="str">
        <f>VLOOKUP(RTG92,[13]AssetDetails_UEM!$A$3:$AH$1849,6,FALSE)</f>
        <v>Electrosurgical Units, Monopolar/Bipolar</v>
      </c>
      <c r="RTI92" s="165" t="s">
        <v>945</v>
      </c>
      <c r="RTJ92" s="166" t="str">
        <f>VLOOKUP(RTI92,[13]AssetDetails_UEM!$A$3:$AH$1849,6,FALSE)</f>
        <v>Electrosurgical Units, Monopolar/Bipolar</v>
      </c>
      <c r="RTK92" s="165" t="s">
        <v>945</v>
      </c>
      <c r="RTL92" s="166" t="str">
        <f>VLOOKUP(RTK92,[13]AssetDetails_UEM!$A$3:$AH$1849,6,FALSE)</f>
        <v>Electrosurgical Units, Monopolar/Bipolar</v>
      </c>
      <c r="RTM92" s="165" t="s">
        <v>945</v>
      </c>
      <c r="RTN92" s="166" t="str">
        <f>VLOOKUP(RTM92,[13]AssetDetails_UEM!$A$3:$AH$1849,6,FALSE)</f>
        <v>Electrosurgical Units, Monopolar/Bipolar</v>
      </c>
      <c r="RTO92" s="165" t="s">
        <v>945</v>
      </c>
      <c r="RTP92" s="166" t="str">
        <f>VLOOKUP(RTO92,[13]AssetDetails_UEM!$A$3:$AH$1849,6,FALSE)</f>
        <v>Electrosurgical Units, Monopolar/Bipolar</v>
      </c>
      <c r="RTQ92" s="165" t="s">
        <v>945</v>
      </c>
      <c r="RTR92" s="166" t="str">
        <f>VLOOKUP(RTQ92,[13]AssetDetails_UEM!$A$3:$AH$1849,6,FALSE)</f>
        <v>Electrosurgical Units, Monopolar/Bipolar</v>
      </c>
      <c r="RTS92" s="165" t="s">
        <v>945</v>
      </c>
      <c r="RTT92" s="166" t="str">
        <f>VLOOKUP(RTS92,[13]AssetDetails_UEM!$A$3:$AH$1849,6,FALSE)</f>
        <v>Electrosurgical Units, Monopolar/Bipolar</v>
      </c>
      <c r="RTU92" s="165" t="s">
        <v>945</v>
      </c>
      <c r="RTV92" s="166" t="str">
        <f>VLOOKUP(RTU92,[13]AssetDetails_UEM!$A$3:$AH$1849,6,FALSE)</f>
        <v>Electrosurgical Units, Monopolar/Bipolar</v>
      </c>
      <c r="RTW92" s="165" t="s">
        <v>945</v>
      </c>
      <c r="RTX92" s="166" t="str">
        <f>VLOOKUP(RTW92,[13]AssetDetails_UEM!$A$3:$AH$1849,6,FALSE)</f>
        <v>Electrosurgical Units, Monopolar/Bipolar</v>
      </c>
      <c r="RTY92" s="165" t="s">
        <v>945</v>
      </c>
      <c r="RTZ92" s="166" t="str">
        <f>VLOOKUP(RTY92,[13]AssetDetails_UEM!$A$3:$AH$1849,6,FALSE)</f>
        <v>Electrosurgical Units, Monopolar/Bipolar</v>
      </c>
      <c r="RUA92" s="165" t="s">
        <v>945</v>
      </c>
      <c r="RUB92" s="166" t="str">
        <f>VLOOKUP(RUA92,[13]AssetDetails_UEM!$A$3:$AH$1849,6,FALSE)</f>
        <v>Electrosurgical Units, Monopolar/Bipolar</v>
      </c>
      <c r="RUC92" s="165" t="s">
        <v>945</v>
      </c>
      <c r="RUD92" s="166" t="str">
        <f>VLOOKUP(RUC92,[13]AssetDetails_UEM!$A$3:$AH$1849,6,FALSE)</f>
        <v>Electrosurgical Units, Monopolar/Bipolar</v>
      </c>
      <c r="RUE92" s="165" t="s">
        <v>945</v>
      </c>
      <c r="RUF92" s="166" t="str">
        <f>VLOOKUP(RUE92,[13]AssetDetails_UEM!$A$3:$AH$1849,6,FALSE)</f>
        <v>Electrosurgical Units, Monopolar/Bipolar</v>
      </c>
      <c r="RUG92" s="165" t="s">
        <v>945</v>
      </c>
      <c r="RUH92" s="166" t="str">
        <f>VLOOKUP(RUG92,[13]AssetDetails_UEM!$A$3:$AH$1849,6,FALSE)</f>
        <v>Electrosurgical Units, Monopolar/Bipolar</v>
      </c>
      <c r="RUI92" s="165" t="s">
        <v>945</v>
      </c>
      <c r="RUJ92" s="166" t="str">
        <f>VLOOKUP(RUI92,[13]AssetDetails_UEM!$A$3:$AH$1849,6,FALSE)</f>
        <v>Electrosurgical Units, Monopolar/Bipolar</v>
      </c>
      <c r="RUK92" s="165" t="s">
        <v>945</v>
      </c>
      <c r="RUL92" s="166" t="str">
        <f>VLOOKUP(RUK92,[13]AssetDetails_UEM!$A$3:$AH$1849,6,FALSE)</f>
        <v>Electrosurgical Units, Monopolar/Bipolar</v>
      </c>
      <c r="RUM92" s="165" t="s">
        <v>945</v>
      </c>
      <c r="RUN92" s="166" t="str">
        <f>VLOOKUP(RUM92,[13]AssetDetails_UEM!$A$3:$AH$1849,6,FALSE)</f>
        <v>Electrosurgical Units, Monopolar/Bipolar</v>
      </c>
      <c r="RUO92" s="165" t="s">
        <v>945</v>
      </c>
      <c r="RUP92" s="166" t="str">
        <f>VLOOKUP(RUO92,[13]AssetDetails_UEM!$A$3:$AH$1849,6,FALSE)</f>
        <v>Electrosurgical Units, Monopolar/Bipolar</v>
      </c>
      <c r="RUQ92" s="165" t="s">
        <v>945</v>
      </c>
      <c r="RUR92" s="166" t="str">
        <f>VLOOKUP(RUQ92,[13]AssetDetails_UEM!$A$3:$AH$1849,6,FALSE)</f>
        <v>Electrosurgical Units, Monopolar/Bipolar</v>
      </c>
      <c r="RUS92" s="165" t="s">
        <v>945</v>
      </c>
      <c r="RUT92" s="166" t="str">
        <f>VLOOKUP(RUS92,[13]AssetDetails_UEM!$A$3:$AH$1849,6,FALSE)</f>
        <v>Electrosurgical Units, Monopolar/Bipolar</v>
      </c>
      <c r="RUU92" s="165" t="s">
        <v>945</v>
      </c>
      <c r="RUV92" s="166" t="str">
        <f>VLOOKUP(RUU92,[13]AssetDetails_UEM!$A$3:$AH$1849,6,FALSE)</f>
        <v>Electrosurgical Units, Monopolar/Bipolar</v>
      </c>
      <c r="RUW92" s="165" t="s">
        <v>945</v>
      </c>
      <c r="RUX92" s="166" t="str">
        <f>VLOOKUP(RUW92,[13]AssetDetails_UEM!$A$3:$AH$1849,6,FALSE)</f>
        <v>Electrosurgical Units, Monopolar/Bipolar</v>
      </c>
      <c r="RUY92" s="165" t="s">
        <v>945</v>
      </c>
      <c r="RUZ92" s="166" t="str">
        <f>VLOOKUP(RUY92,[13]AssetDetails_UEM!$A$3:$AH$1849,6,FALSE)</f>
        <v>Electrosurgical Units, Monopolar/Bipolar</v>
      </c>
      <c r="RVA92" s="165" t="s">
        <v>945</v>
      </c>
      <c r="RVB92" s="166" t="str">
        <f>VLOOKUP(RVA92,[13]AssetDetails_UEM!$A$3:$AH$1849,6,FALSE)</f>
        <v>Electrosurgical Units, Monopolar/Bipolar</v>
      </c>
      <c r="RVC92" s="165" t="s">
        <v>945</v>
      </c>
      <c r="RVD92" s="166" t="str">
        <f>VLOOKUP(RVC92,[13]AssetDetails_UEM!$A$3:$AH$1849,6,FALSE)</f>
        <v>Electrosurgical Units, Monopolar/Bipolar</v>
      </c>
      <c r="RVE92" s="165" t="s">
        <v>945</v>
      </c>
      <c r="RVF92" s="166" t="str">
        <f>VLOOKUP(RVE92,[13]AssetDetails_UEM!$A$3:$AH$1849,6,FALSE)</f>
        <v>Electrosurgical Units, Monopolar/Bipolar</v>
      </c>
      <c r="RVG92" s="165" t="s">
        <v>945</v>
      </c>
      <c r="RVH92" s="166" t="str">
        <f>VLOOKUP(RVG92,[13]AssetDetails_UEM!$A$3:$AH$1849,6,FALSE)</f>
        <v>Electrosurgical Units, Monopolar/Bipolar</v>
      </c>
      <c r="RVI92" s="165" t="s">
        <v>945</v>
      </c>
      <c r="RVJ92" s="166" t="str">
        <f>VLOOKUP(RVI92,[13]AssetDetails_UEM!$A$3:$AH$1849,6,FALSE)</f>
        <v>Electrosurgical Units, Monopolar/Bipolar</v>
      </c>
      <c r="RVK92" s="165" t="s">
        <v>945</v>
      </c>
      <c r="RVL92" s="166" t="str">
        <f>VLOOKUP(RVK92,[13]AssetDetails_UEM!$A$3:$AH$1849,6,FALSE)</f>
        <v>Electrosurgical Units, Monopolar/Bipolar</v>
      </c>
      <c r="RVM92" s="165" t="s">
        <v>945</v>
      </c>
      <c r="RVN92" s="166" t="str">
        <f>VLOOKUP(RVM92,[13]AssetDetails_UEM!$A$3:$AH$1849,6,FALSE)</f>
        <v>Electrosurgical Units, Monopolar/Bipolar</v>
      </c>
      <c r="RVO92" s="165" t="s">
        <v>945</v>
      </c>
      <c r="RVP92" s="166" t="str">
        <f>VLOOKUP(RVO92,[13]AssetDetails_UEM!$A$3:$AH$1849,6,FALSE)</f>
        <v>Electrosurgical Units, Monopolar/Bipolar</v>
      </c>
      <c r="RVQ92" s="165" t="s">
        <v>945</v>
      </c>
      <c r="RVR92" s="166" t="str">
        <f>VLOOKUP(RVQ92,[13]AssetDetails_UEM!$A$3:$AH$1849,6,FALSE)</f>
        <v>Electrosurgical Units, Monopolar/Bipolar</v>
      </c>
      <c r="RVS92" s="165" t="s">
        <v>945</v>
      </c>
      <c r="RVT92" s="166" t="str">
        <f>VLOOKUP(RVS92,[13]AssetDetails_UEM!$A$3:$AH$1849,6,FALSE)</f>
        <v>Electrosurgical Units, Monopolar/Bipolar</v>
      </c>
      <c r="RVU92" s="165" t="s">
        <v>945</v>
      </c>
      <c r="RVV92" s="166" t="str">
        <f>VLOOKUP(RVU92,[13]AssetDetails_UEM!$A$3:$AH$1849,6,FALSE)</f>
        <v>Electrosurgical Units, Monopolar/Bipolar</v>
      </c>
      <c r="RVW92" s="165" t="s">
        <v>945</v>
      </c>
      <c r="RVX92" s="166" t="str">
        <f>VLOOKUP(RVW92,[13]AssetDetails_UEM!$A$3:$AH$1849,6,FALSE)</f>
        <v>Electrosurgical Units, Monopolar/Bipolar</v>
      </c>
      <c r="RVY92" s="165" t="s">
        <v>945</v>
      </c>
      <c r="RVZ92" s="166" t="str">
        <f>VLOOKUP(RVY92,[13]AssetDetails_UEM!$A$3:$AH$1849,6,FALSE)</f>
        <v>Electrosurgical Units, Monopolar/Bipolar</v>
      </c>
      <c r="RWA92" s="165" t="s">
        <v>945</v>
      </c>
      <c r="RWB92" s="166" t="str">
        <f>VLOOKUP(RWA92,[13]AssetDetails_UEM!$A$3:$AH$1849,6,FALSE)</f>
        <v>Electrosurgical Units, Monopolar/Bipolar</v>
      </c>
      <c r="RWC92" s="165" t="s">
        <v>945</v>
      </c>
      <c r="RWD92" s="166" t="str">
        <f>VLOOKUP(RWC92,[13]AssetDetails_UEM!$A$3:$AH$1849,6,FALSE)</f>
        <v>Electrosurgical Units, Monopolar/Bipolar</v>
      </c>
      <c r="RWE92" s="165" t="s">
        <v>945</v>
      </c>
      <c r="RWF92" s="166" t="str">
        <f>VLOOKUP(RWE92,[13]AssetDetails_UEM!$A$3:$AH$1849,6,FALSE)</f>
        <v>Electrosurgical Units, Monopolar/Bipolar</v>
      </c>
      <c r="RWG92" s="165" t="s">
        <v>945</v>
      </c>
      <c r="RWH92" s="166" t="str">
        <f>VLOOKUP(RWG92,[13]AssetDetails_UEM!$A$3:$AH$1849,6,FALSE)</f>
        <v>Electrosurgical Units, Monopolar/Bipolar</v>
      </c>
      <c r="RWI92" s="165" t="s">
        <v>945</v>
      </c>
      <c r="RWJ92" s="166" t="str">
        <f>VLOOKUP(RWI92,[13]AssetDetails_UEM!$A$3:$AH$1849,6,FALSE)</f>
        <v>Electrosurgical Units, Monopolar/Bipolar</v>
      </c>
      <c r="RWK92" s="165" t="s">
        <v>945</v>
      </c>
      <c r="RWL92" s="166" t="str">
        <f>VLOOKUP(RWK92,[13]AssetDetails_UEM!$A$3:$AH$1849,6,FALSE)</f>
        <v>Electrosurgical Units, Monopolar/Bipolar</v>
      </c>
      <c r="RWM92" s="165" t="s">
        <v>945</v>
      </c>
      <c r="RWN92" s="166" t="str">
        <f>VLOOKUP(RWM92,[13]AssetDetails_UEM!$A$3:$AH$1849,6,FALSE)</f>
        <v>Electrosurgical Units, Monopolar/Bipolar</v>
      </c>
      <c r="RWO92" s="165" t="s">
        <v>945</v>
      </c>
      <c r="RWP92" s="166" t="str">
        <f>VLOOKUP(RWO92,[13]AssetDetails_UEM!$A$3:$AH$1849,6,FALSE)</f>
        <v>Electrosurgical Units, Monopolar/Bipolar</v>
      </c>
      <c r="RWQ92" s="165" t="s">
        <v>945</v>
      </c>
      <c r="RWR92" s="166" t="str">
        <f>VLOOKUP(RWQ92,[13]AssetDetails_UEM!$A$3:$AH$1849,6,FALSE)</f>
        <v>Electrosurgical Units, Monopolar/Bipolar</v>
      </c>
      <c r="RWS92" s="165" t="s">
        <v>945</v>
      </c>
      <c r="RWT92" s="166" t="str">
        <f>VLOOKUP(RWS92,[13]AssetDetails_UEM!$A$3:$AH$1849,6,FALSE)</f>
        <v>Electrosurgical Units, Monopolar/Bipolar</v>
      </c>
      <c r="RWU92" s="165" t="s">
        <v>945</v>
      </c>
      <c r="RWV92" s="166" t="str">
        <f>VLOOKUP(RWU92,[13]AssetDetails_UEM!$A$3:$AH$1849,6,FALSE)</f>
        <v>Electrosurgical Units, Monopolar/Bipolar</v>
      </c>
      <c r="RWW92" s="165" t="s">
        <v>945</v>
      </c>
      <c r="RWX92" s="166" t="str">
        <f>VLOOKUP(RWW92,[13]AssetDetails_UEM!$A$3:$AH$1849,6,FALSE)</f>
        <v>Electrosurgical Units, Monopolar/Bipolar</v>
      </c>
      <c r="RWY92" s="165" t="s">
        <v>945</v>
      </c>
      <c r="RWZ92" s="166" t="str">
        <f>VLOOKUP(RWY92,[13]AssetDetails_UEM!$A$3:$AH$1849,6,FALSE)</f>
        <v>Electrosurgical Units, Monopolar/Bipolar</v>
      </c>
      <c r="RXA92" s="165" t="s">
        <v>945</v>
      </c>
      <c r="RXB92" s="166" t="str">
        <f>VLOOKUP(RXA92,[13]AssetDetails_UEM!$A$3:$AH$1849,6,FALSE)</f>
        <v>Electrosurgical Units, Monopolar/Bipolar</v>
      </c>
      <c r="RXC92" s="165" t="s">
        <v>945</v>
      </c>
      <c r="RXD92" s="166" t="str">
        <f>VLOOKUP(RXC92,[13]AssetDetails_UEM!$A$3:$AH$1849,6,FALSE)</f>
        <v>Electrosurgical Units, Monopolar/Bipolar</v>
      </c>
      <c r="RXE92" s="165" t="s">
        <v>945</v>
      </c>
      <c r="RXF92" s="166" t="str">
        <f>VLOOKUP(RXE92,[13]AssetDetails_UEM!$A$3:$AH$1849,6,FALSE)</f>
        <v>Electrosurgical Units, Monopolar/Bipolar</v>
      </c>
      <c r="RXG92" s="165" t="s">
        <v>945</v>
      </c>
      <c r="RXH92" s="166" t="str">
        <f>VLOOKUP(RXG92,[13]AssetDetails_UEM!$A$3:$AH$1849,6,FALSE)</f>
        <v>Electrosurgical Units, Monopolar/Bipolar</v>
      </c>
      <c r="RXI92" s="165" t="s">
        <v>945</v>
      </c>
      <c r="RXJ92" s="166" t="str">
        <f>VLOOKUP(RXI92,[13]AssetDetails_UEM!$A$3:$AH$1849,6,FALSE)</f>
        <v>Electrosurgical Units, Monopolar/Bipolar</v>
      </c>
      <c r="RXK92" s="165" t="s">
        <v>945</v>
      </c>
      <c r="RXL92" s="166" t="str">
        <f>VLOOKUP(RXK92,[13]AssetDetails_UEM!$A$3:$AH$1849,6,FALSE)</f>
        <v>Electrosurgical Units, Monopolar/Bipolar</v>
      </c>
      <c r="RXM92" s="165" t="s">
        <v>945</v>
      </c>
      <c r="RXN92" s="166" t="str">
        <f>VLOOKUP(RXM92,[13]AssetDetails_UEM!$A$3:$AH$1849,6,FALSE)</f>
        <v>Electrosurgical Units, Monopolar/Bipolar</v>
      </c>
      <c r="RXO92" s="165" t="s">
        <v>945</v>
      </c>
      <c r="RXP92" s="166" t="str">
        <f>VLOOKUP(RXO92,[13]AssetDetails_UEM!$A$3:$AH$1849,6,FALSE)</f>
        <v>Electrosurgical Units, Monopolar/Bipolar</v>
      </c>
      <c r="RXQ92" s="165" t="s">
        <v>945</v>
      </c>
      <c r="RXR92" s="166" t="str">
        <f>VLOOKUP(RXQ92,[13]AssetDetails_UEM!$A$3:$AH$1849,6,FALSE)</f>
        <v>Electrosurgical Units, Monopolar/Bipolar</v>
      </c>
      <c r="RXS92" s="165" t="s">
        <v>945</v>
      </c>
      <c r="RXT92" s="166" t="str">
        <f>VLOOKUP(RXS92,[13]AssetDetails_UEM!$A$3:$AH$1849,6,FALSE)</f>
        <v>Electrosurgical Units, Monopolar/Bipolar</v>
      </c>
      <c r="RXU92" s="165" t="s">
        <v>945</v>
      </c>
      <c r="RXV92" s="166" t="str">
        <f>VLOOKUP(RXU92,[13]AssetDetails_UEM!$A$3:$AH$1849,6,FALSE)</f>
        <v>Electrosurgical Units, Monopolar/Bipolar</v>
      </c>
      <c r="RXW92" s="165" t="s">
        <v>945</v>
      </c>
      <c r="RXX92" s="166" t="str">
        <f>VLOOKUP(RXW92,[13]AssetDetails_UEM!$A$3:$AH$1849,6,FALSE)</f>
        <v>Electrosurgical Units, Monopolar/Bipolar</v>
      </c>
      <c r="RXY92" s="165" t="s">
        <v>945</v>
      </c>
      <c r="RXZ92" s="166" t="str">
        <f>VLOOKUP(RXY92,[13]AssetDetails_UEM!$A$3:$AH$1849,6,FALSE)</f>
        <v>Electrosurgical Units, Monopolar/Bipolar</v>
      </c>
      <c r="RYA92" s="165" t="s">
        <v>945</v>
      </c>
      <c r="RYB92" s="166" t="str">
        <f>VLOOKUP(RYA92,[13]AssetDetails_UEM!$A$3:$AH$1849,6,FALSE)</f>
        <v>Electrosurgical Units, Monopolar/Bipolar</v>
      </c>
      <c r="RYC92" s="165" t="s">
        <v>945</v>
      </c>
      <c r="RYD92" s="166" t="str">
        <f>VLOOKUP(RYC92,[13]AssetDetails_UEM!$A$3:$AH$1849,6,FALSE)</f>
        <v>Electrosurgical Units, Monopolar/Bipolar</v>
      </c>
      <c r="RYE92" s="165" t="s">
        <v>945</v>
      </c>
      <c r="RYF92" s="166" t="str">
        <f>VLOOKUP(RYE92,[13]AssetDetails_UEM!$A$3:$AH$1849,6,FALSE)</f>
        <v>Electrosurgical Units, Monopolar/Bipolar</v>
      </c>
      <c r="RYG92" s="165" t="s">
        <v>945</v>
      </c>
      <c r="RYH92" s="166" t="str">
        <f>VLOOKUP(RYG92,[13]AssetDetails_UEM!$A$3:$AH$1849,6,FALSE)</f>
        <v>Electrosurgical Units, Monopolar/Bipolar</v>
      </c>
      <c r="RYI92" s="165" t="s">
        <v>945</v>
      </c>
      <c r="RYJ92" s="166" t="str">
        <f>VLOOKUP(RYI92,[13]AssetDetails_UEM!$A$3:$AH$1849,6,FALSE)</f>
        <v>Electrosurgical Units, Monopolar/Bipolar</v>
      </c>
      <c r="RYK92" s="165" t="s">
        <v>945</v>
      </c>
      <c r="RYL92" s="166" t="str">
        <f>VLOOKUP(RYK92,[13]AssetDetails_UEM!$A$3:$AH$1849,6,FALSE)</f>
        <v>Electrosurgical Units, Monopolar/Bipolar</v>
      </c>
      <c r="RYM92" s="165" t="s">
        <v>945</v>
      </c>
      <c r="RYN92" s="166" t="str">
        <f>VLOOKUP(RYM92,[13]AssetDetails_UEM!$A$3:$AH$1849,6,FALSE)</f>
        <v>Electrosurgical Units, Monopolar/Bipolar</v>
      </c>
      <c r="RYO92" s="165" t="s">
        <v>945</v>
      </c>
      <c r="RYP92" s="166" t="str">
        <f>VLOOKUP(RYO92,[13]AssetDetails_UEM!$A$3:$AH$1849,6,FALSE)</f>
        <v>Electrosurgical Units, Monopolar/Bipolar</v>
      </c>
      <c r="RYQ92" s="165" t="s">
        <v>945</v>
      </c>
      <c r="RYR92" s="166" t="str">
        <f>VLOOKUP(RYQ92,[13]AssetDetails_UEM!$A$3:$AH$1849,6,FALSE)</f>
        <v>Electrosurgical Units, Monopolar/Bipolar</v>
      </c>
      <c r="RYS92" s="165" t="s">
        <v>945</v>
      </c>
      <c r="RYT92" s="166" t="str">
        <f>VLOOKUP(RYS92,[13]AssetDetails_UEM!$A$3:$AH$1849,6,FALSE)</f>
        <v>Electrosurgical Units, Monopolar/Bipolar</v>
      </c>
      <c r="RYU92" s="165" t="s">
        <v>945</v>
      </c>
      <c r="RYV92" s="166" t="str">
        <f>VLOOKUP(RYU92,[13]AssetDetails_UEM!$A$3:$AH$1849,6,FALSE)</f>
        <v>Electrosurgical Units, Monopolar/Bipolar</v>
      </c>
      <c r="RYW92" s="165" t="s">
        <v>945</v>
      </c>
      <c r="RYX92" s="166" t="str">
        <f>VLOOKUP(RYW92,[13]AssetDetails_UEM!$A$3:$AH$1849,6,FALSE)</f>
        <v>Electrosurgical Units, Monopolar/Bipolar</v>
      </c>
      <c r="RYY92" s="165" t="s">
        <v>945</v>
      </c>
      <c r="RYZ92" s="166" t="str">
        <f>VLOOKUP(RYY92,[13]AssetDetails_UEM!$A$3:$AH$1849,6,FALSE)</f>
        <v>Electrosurgical Units, Monopolar/Bipolar</v>
      </c>
      <c r="RZA92" s="165" t="s">
        <v>945</v>
      </c>
      <c r="RZB92" s="166" t="str">
        <f>VLOOKUP(RZA92,[13]AssetDetails_UEM!$A$3:$AH$1849,6,FALSE)</f>
        <v>Electrosurgical Units, Monopolar/Bipolar</v>
      </c>
      <c r="RZC92" s="165" t="s">
        <v>945</v>
      </c>
      <c r="RZD92" s="166" t="str">
        <f>VLOOKUP(RZC92,[13]AssetDetails_UEM!$A$3:$AH$1849,6,FALSE)</f>
        <v>Electrosurgical Units, Monopolar/Bipolar</v>
      </c>
      <c r="RZE92" s="165" t="s">
        <v>945</v>
      </c>
      <c r="RZF92" s="166" t="str">
        <f>VLOOKUP(RZE92,[13]AssetDetails_UEM!$A$3:$AH$1849,6,FALSE)</f>
        <v>Electrosurgical Units, Monopolar/Bipolar</v>
      </c>
      <c r="RZG92" s="165" t="s">
        <v>945</v>
      </c>
      <c r="RZH92" s="166" t="str">
        <f>VLOOKUP(RZG92,[13]AssetDetails_UEM!$A$3:$AH$1849,6,FALSE)</f>
        <v>Electrosurgical Units, Monopolar/Bipolar</v>
      </c>
      <c r="RZI92" s="165" t="s">
        <v>945</v>
      </c>
      <c r="RZJ92" s="166" t="str">
        <f>VLOOKUP(RZI92,[13]AssetDetails_UEM!$A$3:$AH$1849,6,FALSE)</f>
        <v>Electrosurgical Units, Monopolar/Bipolar</v>
      </c>
      <c r="RZK92" s="165" t="s">
        <v>945</v>
      </c>
      <c r="RZL92" s="166" t="str">
        <f>VLOOKUP(RZK92,[13]AssetDetails_UEM!$A$3:$AH$1849,6,FALSE)</f>
        <v>Electrosurgical Units, Monopolar/Bipolar</v>
      </c>
      <c r="RZM92" s="165" t="s">
        <v>945</v>
      </c>
      <c r="RZN92" s="166" t="str">
        <f>VLOOKUP(RZM92,[13]AssetDetails_UEM!$A$3:$AH$1849,6,FALSE)</f>
        <v>Electrosurgical Units, Monopolar/Bipolar</v>
      </c>
      <c r="RZO92" s="165" t="s">
        <v>945</v>
      </c>
      <c r="RZP92" s="166" t="str">
        <f>VLOOKUP(RZO92,[13]AssetDetails_UEM!$A$3:$AH$1849,6,FALSE)</f>
        <v>Electrosurgical Units, Monopolar/Bipolar</v>
      </c>
      <c r="RZQ92" s="165" t="s">
        <v>945</v>
      </c>
      <c r="RZR92" s="166" t="str">
        <f>VLOOKUP(RZQ92,[13]AssetDetails_UEM!$A$3:$AH$1849,6,FALSE)</f>
        <v>Electrosurgical Units, Monopolar/Bipolar</v>
      </c>
      <c r="RZS92" s="165" t="s">
        <v>945</v>
      </c>
      <c r="RZT92" s="166" t="str">
        <f>VLOOKUP(RZS92,[13]AssetDetails_UEM!$A$3:$AH$1849,6,FALSE)</f>
        <v>Electrosurgical Units, Monopolar/Bipolar</v>
      </c>
      <c r="RZU92" s="165" t="s">
        <v>945</v>
      </c>
      <c r="RZV92" s="166" t="str">
        <f>VLOOKUP(RZU92,[13]AssetDetails_UEM!$A$3:$AH$1849,6,FALSE)</f>
        <v>Electrosurgical Units, Monopolar/Bipolar</v>
      </c>
      <c r="RZW92" s="165" t="s">
        <v>945</v>
      </c>
      <c r="RZX92" s="166" t="str">
        <f>VLOOKUP(RZW92,[13]AssetDetails_UEM!$A$3:$AH$1849,6,FALSE)</f>
        <v>Electrosurgical Units, Monopolar/Bipolar</v>
      </c>
      <c r="RZY92" s="165" t="s">
        <v>945</v>
      </c>
      <c r="RZZ92" s="166" t="str">
        <f>VLOOKUP(RZY92,[13]AssetDetails_UEM!$A$3:$AH$1849,6,FALSE)</f>
        <v>Electrosurgical Units, Monopolar/Bipolar</v>
      </c>
      <c r="SAA92" s="165" t="s">
        <v>945</v>
      </c>
      <c r="SAB92" s="166" t="str">
        <f>VLOOKUP(SAA92,[13]AssetDetails_UEM!$A$3:$AH$1849,6,FALSE)</f>
        <v>Electrosurgical Units, Monopolar/Bipolar</v>
      </c>
      <c r="SAC92" s="165" t="s">
        <v>945</v>
      </c>
      <c r="SAD92" s="166" t="str">
        <f>VLOOKUP(SAC92,[13]AssetDetails_UEM!$A$3:$AH$1849,6,FALSE)</f>
        <v>Electrosurgical Units, Monopolar/Bipolar</v>
      </c>
      <c r="SAE92" s="165" t="s">
        <v>945</v>
      </c>
      <c r="SAF92" s="166" t="str">
        <f>VLOOKUP(SAE92,[13]AssetDetails_UEM!$A$3:$AH$1849,6,FALSE)</f>
        <v>Electrosurgical Units, Monopolar/Bipolar</v>
      </c>
      <c r="SAG92" s="165" t="s">
        <v>945</v>
      </c>
      <c r="SAH92" s="166" t="str">
        <f>VLOOKUP(SAG92,[13]AssetDetails_UEM!$A$3:$AH$1849,6,FALSE)</f>
        <v>Electrosurgical Units, Monopolar/Bipolar</v>
      </c>
      <c r="SAI92" s="165" t="s">
        <v>945</v>
      </c>
      <c r="SAJ92" s="166" t="str">
        <f>VLOOKUP(SAI92,[13]AssetDetails_UEM!$A$3:$AH$1849,6,FALSE)</f>
        <v>Electrosurgical Units, Monopolar/Bipolar</v>
      </c>
      <c r="SAK92" s="165" t="s">
        <v>945</v>
      </c>
      <c r="SAL92" s="166" t="str">
        <f>VLOOKUP(SAK92,[13]AssetDetails_UEM!$A$3:$AH$1849,6,FALSE)</f>
        <v>Electrosurgical Units, Monopolar/Bipolar</v>
      </c>
      <c r="SAM92" s="165" t="s">
        <v>945</v>
      </c>
      <c r="SAN92" s="166" t="str">
        <f>VLOOKUP(SAM92,[13]AssetDetails_UEM!$A$3:$AH$1849,6,FALSE)</f>
        <v>Electrosurgical Units, Monopolar/Bipolar</v>
      </c>
      <c r="SAO92" s="165" t="s">
        <v>945</v>
      </c>
      <c r="SAP92" s="166" t="str">
        <f>VLOOKUP(SAO92,[13]AssetDetails_UEM!$A$3:$AH$1849,6,FALSE)</f>
        <v>Electrosurgical Units, Monopolar/Bipolar</v>
      </c>
      <c r="SAQ92" s="165" t="s">
        <v>945</v>
      </c>
      <c r="SAR92" s="166" t="str">
        <f>VLOOKUP(SAQ92,[13]AssetDetails_UEM!$A$3:$AH$1849,6,FALSE)</f>
        <v>Electrosurgical Units, Monopolar/Bipolar</v>
      </c>
      <c r="SAS92" s="165" t="s">
        <v>945</v>
      </c>
      <c r="SAT92" s="166" t="str">
        <f>VLOOKUP(SAS92,[13]AssetDetails_UEM!$A$3:$AH$1849,6,FALSE)</f>
        <v>Electrosurgical Units, Monopolar/Bipolar</v>
      </c>
      <c r="SAU92" s="165" t="s">
        <v>945</v>
      </c>
      <c r="SAV92" s="166" t="str">
        <f>VLOOKUP(SAU92,[13]AssetDetails_UEM!$A$3:$AH$1849,6,FALSE)</f>
        <v>Electrosurgical Units, Monopolar/Bipolar</v>
      </c>
      <c r="SAW92" s="165" t="s">
        <v>945</v>
      </c>
      <c r="SAX92" s="166" t="str">
        <f>VLOOKUP(SAW92,[13]AssetDetails_UEM!$A$3:$AH$1849,6,FALSE)</f>
        <v>Electrosurgical Units, Monopolar/Bipolar</v>
      </c>
      <c r="SAY92" s="165" t="s">
        <v>945</v>
      </c>
      <c r="SAZ92" s="166" t="str">
        <f>VLOOKUP(SAY92,[13]AssetDetails_UEM!$A$3:$AH$1849,6,FALSE)</f>
        <v>Electrosurgical Units, Monopolar/Bipolar</v>
      </c>
      <c r="SBA92" s="165" t="s">
        <v>945</v>
      </c>
      <c r="SBB92" s="166" t="str">
        <f>VLOOKUP(SBA92,[13]AssetDetails_UEM!$A$3:$AH$1849,6,FALSE)</f>
        <v>Electrosurgical Units, Monopolar/Bipolar</v>
      </c>
      <c r="SBC92" s="165" t="s">
        <v>945</v>
      </c>
      <c r="SBD92" s="166" t="str">
        <f>VLOOKUP(SBC92,[13]AssetDetails_UEM!$A$3:$AH$1849,6,FALSE)</f>
        <v>Electrosurgical Units, Monopolar/Bipolar</v>
      </c>
      <c r="SBE92" s="165" t="s">
        <v>945</v>
      </c>
      <c r="SBF92" s="166" t="str">
        <f>VLOOKUP(SBE92,[13]AssetDetails_UEM!$A$3:$AH$1849,6,FALSE)</f>
        <v>Electrosurgical Units, Monopolar/Bipolar</v>
      </c>
      <c r="SBG92" s="165" t="s">
        <v>945</v>
      </c>
      <c r="SBH92" s="166" t="str">
        <f>VLOOKUP(SBG92,[13]AssetDetails_UEM!$A$3:$AH$1849,6,FALSE)</f>
        <v>Electrosurgical Units, Monopolar/Bipolar</v>
      </c>
      <c r="SBI92" s="165" t="s">
        <v>945</v>
      </c>
      <c r="SBJ92" s="166" t="str">
        <f>VLOOKUP(SBI92,[13]AssetDetails_UEM!$A$3:$AH$1849,6,FALSE)</f>
        <v>Electrosurgical Units, Monopolar/Bipolar</v>
      </c>
      <c r="SBK92" s="165" t="s">
        <v>945</v>
      </c>
      <c r="SBL92" s="166" t="str">
        <f>VLOOKUP(SBK92,[13]AssetDetails_UEM!$A$3:$AH$1849,6,FALSE)</f>
        <v>Electrosurgical Units, Monopolar/Bipolar</v>
      </c>
      <c r="SBM92" s="165" t="s">
        <v>945</v>
      </c>
      <c r="SBN92" s="166" t="str">
        <f>VLOOKUP(SBM92,[13]AssetDetails_UEM!$A$3:$AH$1849,6,FALSE)</f>
        <v>Electrosurgical Units, Monopolar/Bipolar</v>
      </c>
      <c r="SBO92" s="165" t="s">
        <v>945</v>
      </c>
      <c r="SBP92" s="166" t="str">
        <f>VLOOKUP(SBO92,[13]AssetDetails_UEM!$A$3:$AH$1849,6,FALSE)</f>
        <v>Electrosurgical Units, Monopolar/Bipolar</v>
      </c>
      <c r="SBQ92" s="165" t="s">
        <v>945</v>
      </c>
      <c r="SBR92" s="166" t="str">
        <f>VLOOKUP(SBQ92,[13]AssetDetails_UEM!$A$3:$AH$1849,6,FALSE)</f>
        <v>Electrosurgical Units, Monopolar/Bipolar</v>
      </c>
      <c r="SBS92" s="165" t="s">
        <v>945</v>
      </c>
      <c r="SBT92" s="166" t="str">
        <f>VLOOKUP(SBS92,[13]AssetDetails_UEM!$A$3:$AH$1849,6,FALSE)</f>
        <v>Electrosurgical Units, Monopolar/Bipolar</v>
      </c>
      <c r="SBU92" s="165" t="s">
        <v>945</v>
      </c>
      <c r="SBV92" s="166" t="str">
        <f>VLOOKUP(SBU92,[13]AssetDetails_UEM!$A$3:$AH$1849,6,FALSE)</f>
        <v>Electrosurgical Units, Monopolar/Bipolar</v>
      </c>
      <c r="SBW92" s="165" t="s">
        <v>945</v>
      </c>
      <c r="SBX92" s="166" t="str">
        <f>VLOOKUP(SBW92,[13]AssetDetails_UEM!$A$3:$AH$1849,6,FALSE)</f>
        <v>Electrosurgical Units, Monopolar/Bipolar</v>
      </c>
      <c r="SBY92" s="165" t="s">
        <v>945</v>
      </c>
      <c r="SBZ92" s="166" t="str">
        <f>VLOOKUP(SBY92,[13]AssetDetails_UEM!$A$3:$AH$1849,6,FALSE)</f>
        <v>Electrosurgical Units, Monopolar/Bipolar</v>
      </c>
      <c r="SCA92" s="165" t="s">
        <v>945</v>
      </c>
      <c r="SCB92" s="166" t="str">
        <f>VLOOKUP(SCA92,[13]AssetDetails_UEM!$A$3:$AH$1849,6,FALSE)</f>
        <v>Electrosurgical Units, Monopolar/Bipolar</v>
      </c>
      <c r="SCC92" s="165" t="s">
        <v>945</v>
      </c>
      <c r="SCD92" s="166" t="str">
        <f>VLOOKUP(SCC92,[13]AssetDetails_UEM!$A$3:$AH$1849,6,FALSE)</f>
        <v>Electrosurgical Units, Monopolar/Bipolar</v>
      </c>
      <c r="SCE92" s="165" t="s">
        <v>945</v>
      </c>
      <c r="SCF92" s="166" t="str">
        <f>VLOOKUP(SCE92,[13]AssetDetails_UEM!$A$3:$AH$1849,6,FALSE)</f>
        <v>Electrosurgical Units, Monopolar/Bipolar</v>
      </c>
      <c r="SCG92" s="165" t="s">
        <v>945</v>
      </c>
      <c r="SCH92" s="166" t="str">
        <f>VLOOKUP(SCG92,[13]AssetDetails_UEM!$A$3:$AH$1849,6,FALSE)</f>
        <v>Electrosurgical Units, Monopolar/Bipolar</v>
      </c>
      <c r="SCI92" s="165" t="s">
        <v>945</v>
      </c>
      <c r="SCJ92" s="166" t="str">
        <f>VLOOKUP(SCI92,[13]AssetDetails_UEM!$A$3:$AH$1849,6,FALSE)</f>
        <v>Electrosurgical Units, Monopolar/Bipolar</v>
      </c>
      <c r="SCK92" s="165" t="s">
        <v>945</v>
      </c>
      <c r="SCL92" s="166" t="str">
        <f>VLOOKUP(SCK92,[13]AssetDetails_UEM!$A$3:$AH$1849,6,FALSE)</f>
        <v>Electrosurgical Units, Monopolar/Bipolar</v>
      </c>
      <c r="SCM92" s="165" t="s">
        <v>945</v>
      </c>
      <c r="SCN92" s="166" t="str">
        <f>VLOOKUP(SCM92,[13]AssetDetails_UEM!$A$3:$AH$1849,6,FALSE)</f>
        <v>Electrosurgical Units, Monopolar/Bipolar</v>
      </c>
      <c r="SCO92" s="165" t="s">
        <v>945</v>
      </c>
      <c r="SCP92" s="166" t="str">
        <f>VLOOKUP(SCO92,[13]AssetDetails_UEM!$A$3:$AH$1849,6,FALSE)</f>
        <v>Electrosurgical Units, Monopolar/Bipolar</v>
      </c>
      <c r="SCQ92" s="165" t="s">
        <v>945</v>
      </c>
      <c r="SCR92" s="166" t="str">
        <f>VLOOKUP(SCQ92,[13]AssetDetails_UEM!$A$3:$AH$1849,6,FALSE)</f>
        <v>Electrosurgical Units, Monopolar/Bipolar</v>
      </c>
      <c r="SCS92" s="165" t="s">
        <v>945</v>
      </c>
      <c r="SCT92" s="166" t="str">
        <f>VLOOKUP(SCS92,[13]AssetDetails_UEM!$A$3:$AH$1849,6,FALSE)</f>
        <v>Electrosurgical Units, Monopolar/Bipolar</v>
      </c>
      <c r="SCU92" s="165" t="s">
        <v>945</v>
      </c>
      <c r="SCV92" s="166" t="str">
        <f>VLOOKUP(SCU92,[13]AssetDetails_UEM!$A$3:$AH$1849,6,FALSE)</f>
        <v>Electrosurgical Units, Monopolar/Bipolar</v>
      </c>
      <c r="SCW92" s="165" t="s">
        <v>945</v>
      </c>
      <c r="SCX92" s="166" t="str">
        <f>VLOOKUP(SCW92,[13]AssetDetails_UEM!$A$3:$AH$1849,6,FALSE)</f>
        <v>Electrosurgical Units, Monopolar/Bipolar</v>
      </c>
      <c r="SCY92" s="165" t="s">
        <v>945</v>
      </c>
      <c r="SCZ92" s="166" t="str">
        <f>VLOOKUP(SCY92,[13]AssetDetails_UEM!$A$3:$AH$1849,6,FALSE)</f>
        <v>Electrosurgical Units, Monopolar/Bipolar</v>
      </c>
      <c r="SDA92" s="165" t="s">
        <v>945</v>
      </c>
      <c r="SDB92" s="166" t="str">
        <f>VLOOKUP(SDA92,[13]AssetDetails_UEM!$A$3:$AH$1849,6,FALSE)</f>
        <v>Electrosurgical Units, Monopolar/Bipolar</v>
      </c>
      <c r="SDC92" s="165" t="s">
        <v>945</v>
      </c>
      <c r="SDD92" s="166" t="str">
        <f>VLOOKUP(SDC92,[13]AssetDetails_UEM!$A$3:$AH$1849,6,FALSE)</f>
        <v>Electrosurgical Units, Monopolar/Bipolar</v>
      </c>
      <c r="SDE92" s="165" t="s">
        <v>945</v>
      </c>
      <c r="SDF92" s="166" t="str">
        <f>VLOOKUP(SDE92,[13]AssetDetails_UEM!$A$3:$AH$1849,6,FALSE)</f>
        <v>Electrosurgical Units, Monopolar/Bipolar</v>
      </c>
      <c r="SDG92" s="165" t="s">
        <v>945</v>
      </c>
      <c r="SDH92" s="166" t="str">
        <f>VLOOKUP(SDG92,[13]AssetDetails_UEM!$A$3:$AH$1849,6,FALSE)</f>
        <v>Electrosurgical Units, Monopolar/Bipolar</v>
      </c>
      <c r="SDI92" s="165" t="s">
        <v>945</v>
      </c>
      <c r="SDJ92" s="166" t="str">
        <f>VLOOKUP(SDI92,[13]AssetDetails_UEM!$A$3:$AH$1849,6,FALSE)</f>
        <v>Electrosurgical Units, Monopolar/Bipolar</v>
      </c>
      <c r="SDK92" s="165" t="s">
        <v>945</v>
      </c>
      <c r="SDL92" s="166" t="str">
        <f>VLOOKUP(SDK92,[13]AssetDetails_UEM!$A$3:$AH$1849,6,FALSE)</f>
        <v>Electrosurgical Units, Monopolar/Bipolar</v>
      </c>
      <c r="SDM92" s="165" t="s">
        <v>945</v>
      </c>
      <c r="SDN92" s="166" t="str">
        <f>VLOOKUP(SDM92,[13]AssetDetails_UEM!$A$3:$AH$1849,6,FALSE)</f>
        <v>Electrosurgical Units, Monopolar/Bipolar</v>
      </c>
      <c r="SDO92" s="165" t="s">
        <v>945</v>
      </c>
      <c r="SDP92" s="166" t="str">
        <f>VLOOKUP(SDO92,[13]AssetDetails_UEM!$A$3:$AH$1849,6,FALSE)</f>
        <v>Electrosurgical Units, Monopolar/Bipolar</v>
      </c>
      <c r="SDQ92" s="165" t="s">
        <v>945</v>
      </c>
      <c r="SDR92" s="166" t="str">
        <f>VLOOKUP(SDQ92,[13]AssetDetails_UEM!$A$3:$AH$1849,6,FALSE)</f>
        <v>Electrosurgical Units, Monopolar/Bipolar</v>
      </c>
      <c r="SDS92" s="165" t="s">
        <v>945</v>
      </c>
      <c r="SDT92" s="166" t="str">
        <f>VLOOKUP(SDS92,[13]AssetDetails_UEM!$A$3:$AH$1849,6,FALSE)</f>
        <v>Electrosurgical Units, Monopolar/Bipolar</v>
      </c>
      <c r="SDU92" s="165" t="s">
        <v>945</v>
      </c>
      <c r="SDV92" s="166" t="str">
        <f>VLOOKUP(SDU92,[13]AssetDetails_UEM!$A$3:$AH$1849,6,FALSE)</f>
        <v>Electrosurgical Units, Monopolar/Bipolar</v>
      </c>
      <c r="SDW92" s="165" t="s">
        <v>945</v>
      </c>
      <c r="SDX92" s="166" t="str">
        <f>VLOOKUP(SDW92,[13]AssetDetails_UEM!$A$3:$AH$1849,6,FALSE)</f>
        <v>Electrosurgical Units, Monopolar/Bipolar</v>
      </c>
      <c r="SDY92" s="165" t="s">
        <v>945</v>
      </c>
      <c r="SDZ92" s="166" t="str">
        <f>VLOOKUP(SDY92,[13]AssetDetails_UEM!$A$3:$AH$1849,6,FALSE)</f>
        <v>Electrosurgical Units, Monopolar/Bipolar</v>
      </c>
      <c r="SEA92" s="165" t="s">
        <v>945</v>
      </c>
      <c r="SEB92" s="166" t="str">
        <f>VLOOKUP(SEA92,[13]AssetDetails_UEM!$A$3:$AH$1849,6,FALSE)</f>
        <v>Electrosurgical Units, Monopolar/Bipolar</v>
      </c>
      <c r="SEC92" s="165" t="s">
        <v>945</v>
      </c>
      <c r="SED92" s="166" t="str">
        <f>VLOOKUP(SEC92,[13]AssetDetails_UEM!$A$3:$AH$1849,6,FALSE)</f>
        <v>Electrosurgical Units, Monopolar/Bipolar</v>
      </c>
      <c r="SEE92" s="165" t="s">
        <v>945</v>
      </c>
      <c r="SEF92" s="166" t="str">
        <f>VLOOKUP(SEE92,[13]AssetDetails_UEM!$A$3:$AH$1849,6,FALSE)</f>
        <v>Electrosurgical Units, Monopolar/Bipolar</v>
      </c>
      <c r="SEG92" s="165" t="s">
        <v>945</v>
      </c>
      <c r="SEH92" s="166" t="str">
        <f>VLOOKUP(SEG92,[13]AssetDetails_UEM!$A$3:$AH$1849,6,FALSE)</f>
        <v>Electrosurgical Units, Monopolar/Bipolar</v>
      </c>
      <c r="SEI92" s="165" t="s">
        <v>945</v>
      </c>
      <c r="SEJ92" s="166" t="str">
        <f>VLOOKUP(SEI92,[13]AssetDetails_UEM!$A$3:$AH$1849,6,FALSE)</f>
        <v>Electrosurgical Units, Monopolar/Bipolar</v>
      </c>
      <c r="SEK92" s="165" t="s">
        <v>945</v>
      </c>
      <c r="SEL92" s="166" t="str">
        <f>VLOOKUP(SEK92,[13]AssetDetails_UEM!$A$3:$AH$1849,6,FALSE)</f>
        <v>Electrosurgical Units, Monopolar/Bipolar</v>
      </c>
      <c r="SEM92" s="165" t="s">
        <v>945</v>
      </c>
      <c r="SEN92" s="166" t="str">
        <f>VLOOKUP(SEM92,[13]AssetDetails_UEM!$A$3:$AH$1849,6,FALSE)</f>
        <v>Electrosurgical Units, Monopolar/Bipolar</v>
      </c>
      <c r="SEO92" s="165" t="s">
        <v>945</v>
      </c>
      <c r="SEP92" s="166" t="str">
        <f>VLOOKUP(SEO92,[13]AssetDetails_UEM!$A$3:$AH$1849,6,FALSE)</f>
        <v>Electrosurgical Units, Monopolar/Bipolar</v>
      </c>
      <c r="SEQ92" s="165" t="s">
        <v>945</v>
      </c>
      <c r="SER92" s="166" t="str">
        <f>VLOOKUP(SEQ92,[13]AssetDetails_UEM!$A$3:$AH$1849,6,FALSE)</f>
        <v>Electrosurgical Units, Monopolar/Bipolar</v>
      </c>
      <c r="SES92" s="165" t="s">
        <v>945</v>
      </c>
      <c r="SET92" s="166" t="str">
        <f>VLOOKUP(SES92,[13]AssetDetails_UEM!$A$3:$AH$1849,6,FALSE)</f>
        <v>Electrosurgical Units, Monopolar/Bipolar</v>
      </c>
      <c r="SEU92" s="165" t="s">
        <v>945</v>
      </c>
      <c r="SEV92" s="166" t="str">
        <f>VLOOKUP(SEU92,[13]AssetDetails_UEM!$A$3:$AH$1849,6,FALSE)</f>
        <v>Electrosurgical Units, Monopolar/Bipolar</v>
      </c>
      <c r="SEW92" s="165" t="s">
        <v>945</v>
      </c>
      <c r="SEX92" s="166" t="str">
        <f>VLOOKUP(SEW92,[13]AssetDetails_UEM!$A$3:$AH$1849,6,FALSE)</f>
        <v>Electrosurgical Units, Monopolar/Bipolar</v>
      </c>
      <c r="SEY92" s="165" t="s">
        <v>945</v>
      </c>
      <c r="SEZ92" s="166" t="str">
        <f>VLOOKUP(SEY92,[13]AssetDetails_UEM!$A$3:$AH$1849,6,FALSE)</f>
        <v>Electrosurgical Units, Monopolar/Bipolar</v>
      </c>
      <c r="SFA92" s="165" t="s">
        <v>945</v>
      </c>
      <c r="SFB92" s="166" t="str">
        <f>VLOOKUP(SFA92,[13]AssetDetails_UEM!$A$3:$AH$1849,6,FALSE)</f>
        <v>Electrosurgical Units, Monopolar/Bipolar</v>
      </c>
      <c r="SFC92" s="165" t="s">
        <v>945</v>
      </c>
      <c r="SFD92" s="166" t="str">
        <f>VLOOKUP(SFC92,[13]AssetDetails_UEM!$A$3:$AH$1849,6,FALSE)</f>
        <v>Electrosurgical Units, Monopolar/Bipolar</v>
      </c>
      <c r="SFE92" s="165" t="s">
        <v>945</v>
      </c>
      <c r="SFF92" s="166" t="str">
        <f>VLOOKUP(SFE92,[13]AssetDetails_UEM!$A$3:$AH$1849,6,FALSE)</f>
        <v>Electrosurgical Units, Monopolar/Bipolar</v>
      </c>
      <c r="SFG92" s="165" t="s">
        <v>945</v>
      </c>
      <c r="SFH92" s="166" t="str">
        <f>VLOOKUP(SFG92,[13]AssetDetails_UEM!$A$3:$AH$1849,6,FALSE)</f>
        <v>Electrosurgical Units, Monopolar/Bipolar</v>
      </c>
      <c r="SFI92" s="165" t="s">
        <v>945</v>
      </c>
      <c r="SFJ92" s="166" t="str">
        <f>VLOOKUP(SFI92,[13]AssetDetails_UEM!$A$3:$AH$1849,6,FALSE)</f>
        <v>Electrosurgical Units, Monopolar/Bipolar</v>
      </c>
      <c r="SFK92" s="165" t="s">
        <v>945</v>
      </c>
      <c r="SFL92" s="166" t="str">
        <f>VLOOKUP(SFK92,[13]AssetDetails_UEM!$A$3:$AH$1849,6,FALSE)</f>
        <v>Electrosurgical Units, Monopolar/Bipolar</v>
      </c>
      <c r="SFM92" s="165" t="s">
        <v>945</v>
      </c>
      <c r="SFN92" s="166" t="str">
        <f>VLOOKUP(SFM92,[13]AssetDetails_UEM!$A$3:$AH$1849,6,FALSE)</f>
        <v>Electrosurgical Units, Monopolar/Bipolar</v>
      </c>
      <c r="SFO92" s="165" t="s">
        <v>945</v>
      </c>
      <c r="SFP92" s="166" t="str">
        <f>VLOOKUP(SFO92,[13]AssetDetails_UEM!$A$3:$AH$1849,6,FALSE)</f>
        <v>Electrosurgical Units, Monopolar/Bipolar</v>
      </c>
      <c r="SFQ92" s="165" t="s">
        <v>945</v>
      </c>
      <c r="SFR92" s="166" t="str">
        <f>VLOOKUP(SFQ92,[13]AssetDetails_UEM!$A$3:$AH$1849,6,FALSE)</f>
        <v>Electrosurgical Units, Monopolar/Bipolar</v>
      </c>
      <c r="SFS92" s="165" t="s">
        <v>945</v>
      </c>
      <c r="SFT92" s="166" t="str">
        <f>VLOOKUP(SFS92,[13]AssetDetails_UEM!$A$3:$AH$1849,6,FALSE)</f>
        <v>Electrosurgical Units, Monopolar/Bipolar</v>
      </c>
      <c r="SFU92" s="165" t="s">
        <v>945</v>
      </c>
      <c r="SFV92" s="166" t="str">
        <f>VLOOKUP(SFU92,[13]AssetDetails_UEM!$A$3:$AH$1849,6,FALSE)</f>
        <v>Electrosurgical Units, Monopolar/Bipolar</v>
      </c>
      <c r="SFW92" s="165" t="s">
        <v>945</v>
      </c>
      <c r="SFX92" s="166" t="str">
        <f>VLOOKUP(SFW92,[13]AssetDetails_UEM!$A$3:$AH$1849,6,FALSE)</f>
        <v>Electrosurgical Units, Monopolar/Bipolar</v>
      </c>
      <c r="SFY92" s="165" t="s">
        <v>945</v>
      </c>
      <c r="SFZ92" s="166" t="str">
        <f>VLOOKUP(SFY92,[13]AssetDetails_UEM!$A$3:$AH$1849,6,FALSE)</f>
        <v>Electrosurgical Units, Monopolar/Bipolar</v>
      </c>
      <c r="SGA92" s="165" t="s">
        <v>945</v>
      </c>
      <c r="SGB92" s="166" t="str">
        <f>VLOOKUP(SGA92,[13]AssetDetails_UEM!$A$3:$AH$1849,6,FALSE)</f>
        <v>Electrosurgical Units, Monopolar/Bipolar</v>
      </c>
      <c r="SGC92" s="165" t="s">
        <v>945</v>
      </c>
      <c r="SGD92" s="166" t="str">
        <f>VLOOKUP(SGC92,[13]AssetDetails_UEM!$A$3:$AH$1849,6,FALSE)</f>
        <v>Electrosurgical Units, Monopolar/Bipolar</v>
      </c>
      <c r="SGE92" s="165" t="s">
        <v>945</v>
      </c>
      <c r="SGF92" s="166" t="str">
        <f>VLOOKUP(SGE92,[13]AssetDetails_UEM!$A$3:$AH$1849,6,FALSE)</f>
        <v>Electrosurgical Units, Monopolar/Bipolar</v>
      </c>
      <c r="SGG92" s="165" t="s">
        <v>945</v>
      </c>
      <c r="SGH92" s="166" t="str">
        <f>VLOOKUP(SGG92,[13]AssetDetails_UEM!$A$3:$AH$1849,6,FALSE)</f>
        <v>Electrosurgical Units, Monopolar/Bipolar</v>
      </c>
      <c r="SGI92" s="165" t="s">
        <v>945</v>
      </c>
      <c r="SGJ92" s="166" t="str">
        <f>VLOOKUP(SGI92,[13]AssetDetails_UEM!$A$3:$AH$1849,6,FALSE)</f>
        <v>Electrosurgical Units, Monopolar/Bipolar</v>
      </c>
      <c r="SGK92" s="165" t="s">
        <v>945</v>
      </c>
      <c r="SGL92" s="166" t="str">
        <f>VLOOKUP(SGK92,[13]AssetDetails_UEM!$A$3:$AH$1849,6,FALSE)</f>
        <v>Electrosurgical Units, Monopolar/Bipolar</v>
      </c>
      <c r="SGM92" s="165" t="s">
        <v>945</v>
      </c>
      <c r="SGN92" s="166" t="str">
        <f>VLOOKUP(SGM92,[13]AssetDetails_UEM!$A$3:$AH$1849,6,FALSE)</f>
        <v>Electrosurgical Units, Monopolar/Bipolar</v>
      </c>
      <c r="SGO92" s="165" t="s">
        <v>945</v>
      </c>
      <c r="SGP92" s="166" t="str">
        <f>VLOOKUP(SGO92,[13]AssetDetails_UEM!$A$3:$AH$1849,6,FALSE)</f>
        <v>Electrosurgical Units, Monopolar/Bipolar</v>
      </c>
      <c r="SGQ92" s="165" t="s">
        <v>945</v>
      </c>
      <c r="SGR92" s="166" t="str">
        <f>VLOOKUP(SGQ92,[13]AssetDetails_UEM!$A$3:$AH$1849,6,FALSE)</f>
        <v>Electrosurgical Units, Monopolar/Bipolar</v>
      </c>
      <c r="SGS92" s="165" t="s">
        <v>945</v>
      </c>
      <c r="SGT92" s="166" t="str">
        <f>VLOOKUP(SGS92,[13]AssetDetails_UEM!$A$3:$AH$1849,6,FALSE)</f>
        <v>Electrosurgical Units, Monopolar/Bipolar</v>
      </c>
      <c r="SGU92" s="165" t="s">
        <v>945</v>
      </c>
      <c r="SGV92" s="166" t="str">
        <f>VLOOKUP(SGU92,[13]AssetDetails_UEM!$A$3:$AH$1849,6,FALSE)</f>
        <v>Electrosurgical Units, Monopolar/Bipolar</v>
      </c>
      <c r="SGW92" s="165" t="s">
        <v>945</v>
      </c>
      <c r="SGX92" s="166" t="str">
        <f>VLOOKUP(SGW92,[13]AssetDetails_UEM!$A$3:$AH$1849,6,FALSE)</f>
        <v>Electrosurgical Units, Monopolar/Bipolar</v>
      </c>
      <c r="SGY92" s="165" t="s">
        <v>945</v>
      </c>
      <c r="SGZ92" s="166" t="str">
        <f>VLOOKUP(SGY92,[13]AssetDetails_UEM!$A$3:$AH$1849,6,FALSE)</f>
        <v>Electrosurgical Units, Monopolar/Bipolar</v>
      </c>
      <c r="SHA92" s="165" t="s">
        <v>945</v>
      </c>
      <c r="SHB92" s="166" t="str">
        <f>VLOOKUP(SHA92,[13]AssetDetails_UEM!$A$3:$AH$1849,6,FALSE)</f>
        <v>Electrosurgical Units, Monopolar/Bipolar</v>
      </c>
      <c r="SHC92" s="165" t="s">
        <v>945</v>
      </c>
      <c r="SHD92" s="166" t="str">
        <f>VLOOKUP(SHC92,[13]AssetDetails_UEM!$A$3:$AH$1849,6,FALSE)</f>
        <v>Electrosurgical Units, Monopolar/Bipolar</v>
      </c>
      <c r="SHE92" s="165" t="s">
        <v>945</v>
      </c>
      <c r="SHF92" s="166" t="str">
        <f>VLOOKUP(SHE92,[13]AssetDetails_UEM!$A$3:$AH$1849,6,FALSE)</f>
        <v>Electrosurgical Units, Monopolar/Bipolar</v>
      </c>
      <c r="SHG92" s="165" t="s">
        <v>945</v>
      </c>
      <c r="SHH92" s="166" t="str">
        <f>VLOOKUP(SHG92,[13]AssetDetails_UEM!$A$3:$AH$1849,6,FALSE)</f>
        <v>Electrosurgical Units, Monopolar/Bipolar</v>
      </c>
      <c r="SHI92" s="165" t="s">
        <v>945</v>
      </c>
      <c r="SHJ92" s="166" t="str">
        <f>VLOOKUP(SHI92,[13]AssetDetails_UEM!$A$3:$AH$1849,6,FALSE)</f>
        <v>Electrosurgical Units, Monopolar/Bipolar</v>
      </c>
      <c r="SHK92" s="165" t="s">
        <v>945</v>
      </c>
      <c r="SHL92" s="166" t="str">
        <f>VLOOKUP(SHK92,[13]AssetDetails_UEM!$A$3:$AH$1849,6,FALSE)</f>
        <v>Electrosurgical Units, Monopolar/Bipolar</v>
      </c>
      <c r="SHM92" s="165" t="s">
        <v>945</v>
      </c>
      <c r="SHN92" s="166" t="str">
        <f>VLOOKUP(SHM92,[13]AssetDetails_UEM!$A$3:$AH$1849,6,FALSE)</f>
        <v>Electrosurgical Units, Monopolar/Bipolar</v>
      </c>
      <c r="SHO92" s="165" t="s">
        <v>945</v>
      </c>
      <c r="SHP92" s="166" t="str">
        <f>VLOOKUP(SHO92,[13]AssetDetails_UEM!$A$3:$AH$1849,6,FALSE)</f>
        <v>Electrosurgical Units, Monopolar/Bipolar</v>
      </c>
      <c r="SHQ92" s="165" t="s">
        <v>945</v>
      </c>
      <c r="SHR92" s="166" t="str">
        <f>VLOOKUP(SHQ92,[13]AssetDetails_UEM!$A$3:$AH$1849,6,FALSE)</f>
        <v>Electrosurgical Units, Monopolar/Bipolar</v>
      </c>
      <c r="SHS92" s="165" t="s">
        <v>945</v>
      </c>
      <c r="SHT92" s="166" t="str">
        <f>VLOOKUP(SHS92,[13]AssetDetails_UEM!$A$3:$AH$1849,6,FALSE)</f>
        <v>Electrosurgical Units, Monopolar/Bipolar</v>
      </c>
      <c r="SHU92" s="165" t="s">
        <v>945</v>
      </c>
      <c r="SHV92" s="166" t="str">
        <f>VLOOKUP(SHU92,[13]AssetDetails_UEM!$A$3:$AH$1849,6,FALSE)</f>
        <v>Electrosurgical Units, Monopolar/Bipolar</v>
      </c>
      <c r="SHW92" s="165" t="s">
        <v>945</v>
      </c>
      <c r="SHX92" s="166" t="str">
        <f>VLOOKUP(SHW92,[13]AssetDetails_UEM!$A$3:$AH$1849,6,FALSE)</f>
        <v>Electrosurgical Units, Monopolar/Bipolar</v>
      </c>
      <c r="SHY92" s="165" t="s">
        <v>945</v>
      </c>
      <c r="SHZ92" s="166" t="str">
        <f>VLOOKUP(SHY92,[13]AssetDetails_UEM!$A$3:$AH$1849,6,FALSE)</f>
        <v>Electrosurgical Units, Monopolar/Bipolar</v>
      </c>
      <c r="SIA92" s="165" t="s">
        <v>945</v>
      </c>
      <c r="SIB92" s="166" t="str">
        <f>VLOOKUP(SIA92,[13]AssetDetails_UEM!$A$3:$AH$1849,6,FALSE)</f>
        <v>Electrosurgical Units, Monopolar/Bipolar</v>
      </c>
      <c r="SIC92" s="165" t="s">
        <v>945</v>
      </c>
      <c r="SID92" s="166" t="str">
        <f>VLOOKUP(SIC92,[13]AssetDetails_UEM!$A$3:$AH$1849,6,FALSE)</f>
        <v>Electrosurgical Units, Monopolar/Bipolar</v>
      </c>
      <c r="SIE92" s="165" t="s">
        <v>945</v>
      </c>
      <c r="SIF92" s="166" t="str">
        <f>VLOOKUP(SIE92,[13]AssetDetails_UEM!$A$3:$AH$1849,6,FALSE)</f>
        <v>Electrosurgical Units, Monopolar/Bipolar</v>
      </c>
      <c r="SIG92" s="165" t="s">
        <v>945</v>
      </c>
      <c r="SIH92" s="166" t="str">
        <f>VLOOKUP(SIG92,[13]AssetDetails_UEM!$A$3:$AH$1849,6,FALSE)</f>
        <v>Electrosurgical Units, Monopolar/Bipolar</v>
      </c>
      <c r="SII92" s="165" t="s">
        <v>945</v>
      </c>
      <c r="SIJ92" s="166" t="str">
        <f>VLOOKUP(SII92,[13]AssetDetails_UEM!$A$3:$AH$1849,6,FALSE)</f>
        <v>Electrosurgical Units, Monopolar/Bipolar</v>
      </c>
      <c r="SIK92" s="165" t="s">
        <v>945</v>
      </c>
      <c r="SIL92" s="166" t="str">
        <f>VLOOKUP(SIK92,[13]AssetDetails_UEM!$A$3:$AH$1849,6,FALSE)</f>
        <v>Electrosurgical Units, Monopolar/Bipolar</v>
      </c>
      <c r="SIM92" s="165" t="s">
        <v>945</v>
      </c>
      <c r="SIN92" s="166" t="str">
        <f>VLOOKUP(SIM92,[13]AssetDetails_UEM!$A$3:$AH$1849,6,FALSE)</f>
        <v>Electrosurgical Units, Monopolar/Bipolar</v>
      </c>
      <c r="SIO92" s="165" t="s">
        <v>945</v>
      </c>
      <c r="SIP92" s="166" t="str">
        <f>VLOOKUP(SIO92,[13]AssetDetails_UEM!$A$3:$AH$1849,6,FALSE)</f>
        <v>Electrosurgical Units, Monopolar/Bipolar</v>
      </c>
      <c r="SIQ92" s="165" t="s">
        <v>945</v>
      </c>
      <c r="SIR92" s="166" t="str">
        <f>VLOOKUP(SIQ92,[13]AssetDetails_UEM!$A$3:$AH$1849,6,FALSE)</f>
        <v>Electrosurgical Units, Monopolar/Bipolar</v>
      </c>
      <c r="SIS92" s="165" t="s">
        <v>945</v>
      </c>
      <c r="SIT92" s="166" t="str">
        <f>VLOOKUP(SIS92,[13]AssetDetails_UEM!$A$3:$AH$1849,6,FALSE)</f>
        <v>Electrosurgical Units, Monopolar/Bipolar</v>
      </c>
      <c r="SIU92" s="165" t="s">
        <v>945</v>
      </c>
      <c r="SIV92" s="166" t="str">
        <f>VLOOKUP(SIU92,[13]AssetDetails_UEM!$A$3:$AH$1849,6,FALSE)</f>
        <v>Electrosurgical Units, Monopolar/Bipolar</v>
      </c>
      <c r="SIW92" s="165" t="s">
        <v>945</v>
      </c>
      <c r="SIX92" s="166" t="str">
        <f>VLOOKUP(SIW92,[13]AssetDetails_UEM!$A$3:$AH$1849,6,FALSE)</f>
        <v>Electrosurgical Units, Monopolar/Bipolar</v>
      </c>
      <c r="SIY92" s="165" t="s">
        <v>945</v>
      </c>
      <c r="SIZ92" s="166" t="str">
        <f>VLOOKUP(SIY92,[13]AssetDetails_UEM!$A$3:$AH$1849,6,FALSE)</f>
        <v>Electrosurgical Units, Monopolar/Bipolar</v>
      </c>
      <c r="SJA92" s="165" t="s">
        <v>945</v>
      </c>
      <c r="SJB92" s="166" t="str">
        <f>VLOOKUP(SJA92,[13]AssetDetails_UEM!$A$3:$AH$1849,6,FALSE)</f>
        <v>Electrosurgical Units, Monopolar/Bipolar</v>
      </c>
      <c r="SJC92" s="165" t="s">
        <v>945</v>
      </c>
      <c r="SJD92" s="166" t="str">
        <f>VLOOKUP(SJC92,[13]AssetDetails_UEM!$A$3:$AH$1849,6,FALSE)</f>
        <v>Electrosurgical Units, Monopolar/Bipolar</v>
      </c>
      <c r="SJE92" s="165" t="s">
        <v>945</v>
      </c>
      <c r="SJF92" s="166" t="str">
        <f>VLOOKUP(SJE92,[13]AssetDetails_UEM!$A$3:$AH$1849,6,FALSE)</f>
        <v>Electrosurgical Units, Monopolar/Bipolar</v>
      </c>
      <c r="SJG92" s="165" t="s">
        <v>945</v>
      </c>
      <c r="SJH92" s="166" t="str">
        <f>VLOOKUP(SJG92,[13]AssetDetails_UEM!$A$3:$AH$1849,6,FALSE)</f>
        <v>Electrosurgical Units, Monopolar/Bipolar</v>
      </c>
      <c r="SJI92" s="165" t="s">
        <v>945</v>
      </c>
      <c r="SJJ92" s="166" t="str">
        <f>VLOOKUP(SJI92,[13]AssetDetails_UEM!$A$3:$AH$1849,6,FALSE)</f>
        <v>Electrosurgical Units, Monopolar/Bipolar</v>
      </c>
      <c r="SJK92" s="165" t="s">
        <v>945</v>
      </c>
      <c r="SJL92" s="166" t="str">
        <f>VLOOKUP(SJK92,[13]AssetDetails_UEM!$A$3:$AH$1849,6,FALSE)</f>
        <v>Electrosurgical Units, Monopolar/Bipolar</v>
      </c>
      <c r="SJM92" s="165" t="s">
        <v>945</v>
      </c>
      <c r="SJN92" s="166" t="str">
        <f>VLOOKUP(SJM92,[13]AssetDetails_UEM!$A$3:$AH$1849,6,FALSE)</f>
        <v>Electrosurgical Units, Monopolar/Bipolar</v>
      </c>
      <c r="SJO92" s="165" t="s">
        <v>945</v>
      </c>
      <c r="SJP92" s="166" t="str">
        <f>VLOOKUP(SJO92,[13]AssetDetails_UEM!$A$3:$AH$1849,6,FALSE)</f>
        <v>Electrosurgical Units, Monopolar/Bipolar</v>
      </c>
      <c r="SJQ92" s="165" t="s">
        <v>945</v>
      </c>
      <c r="SJR92" s="166" t="str">
        <f>VLOOKUP(SJQ92,[13]AssetDetails_UEM!$A$3:$AH$1849,6,FALSE)</f>
        <v>Electrosurgical Units, Monopolar/Bipolar</v>
      </c>
      <c r="SJS92" s="165" t="s">
        <v>945</v>
      </c>
      <c r="SJT92" s="166" t="str">
        <f>VLOOKUP(SJS92,[13]AssetDetails_UEM!$A$3:$AH$1849,6,FALSE)</f>
        <v>Electrosurgical Units, Monopolar/Bipolar</v>
      </c>
      <c r="SJU92" s="165" t="s">
        <v>945</v>
      </c>
      <c r="SJV92" s="166" t="str">
        <f>VLOOKUP(SJU92,[13]AssetDetails_UEM!$A$3:$AH$1849,6,FALSE)</f>
        <v>Electrosurgical Units, Monopolar/Bipolar</v>
      </c>
      <c r="SJW92" s="165" t="s">
        <v>945</v>
      </c>
      <c r="SJX92" s="166" t="str">
        <f>VLOOKUP(SJW92,[13]AssetDetails_UEM!$A$3:$AH$1849,6,FALSE)</f>
        <v>Electrosurgical Units, Monopolar/Bipolar</v>
      </c>
      <c r="SJY92" s="165" t="s">
        <v>945</v>
      </c>
      <c r="SJZ92" s="166" t="str">
        <f>VLOOKUP(SJY92,[13]AssetDetails_UEM!$A$3:$AH$1849,6,FALSE)</f>
        <v>Electrosurgical Units, Monopolar/Bipolar</v>
      </c>
      <c r="SKA92" s="165" t="s">
        <v>945</v>
      </c>
      <c r="SKB92" s="166" t="str">
        <f>VLOOKUP(SKA92,[13]AssetDetails_UEM!$A$3:$AH$1849,6,FALSE)</f>
        <v>Electrosurgical Units, Monopolar/Bipolar</v>
      </c>
      <c r="SKC92" s="165" t="s">
        <v>945</v>
      </c>
      <c r="SKD92" s="166" t="str">
        <f>VLOOKUP(SKC92,[13]AssetDetails_UEM!$A$3:$AH$1849,6,FALSE)</f>
        <v>Electrosurgical Units, Monopolar/Bipolar</v>
      </c>
      <c r="SKE92" s="165" t="s">
        <v>945</v>
      </c>
      <c r="SKF92" s="166" t="str">
        <f>VLOOKUP(SKE92,[13]AssetDetails_UEM!$A$3:$AH$1849,6,FALSE)</f>
        <v>Electrosurgical Units, Monopolar/Bipolar</v>
      </c>
      <c r="SKG92" s="165" t="s">
        <v>945</v>
      </c>
      <c r="SKH92" s="166" t="str">
        <f>VLOOKUP(SKG92,[13]AssetDetails_UEM!$A$3:$AH$1849,6,FALSE)</f>
        <v>Electrosurgical Units, Monopolar/Bipolar</v>
      </c>
      <c r="SKI92" s="165" t="s">
        <v>945</v>
      </c>
      <c r="SKJ92" s="166" t="str">
        <f>VLOOKUP(SKI92,[13]AssetDetails_UEM!$A$3:$AH$1849,6,FALSE)</f>
        <v>Electrosurgical Units, Monopolar/Bipolar</v>
      </c>
      <c r="SKK92" s="165" t="s">
        <v>945</v>
      </c>
      <c r="SKL92" s="166" t="str">
        <f>VLOOKUP(SKK92,[13]AssetDetails_UEM!$A$3:$AH$1849,6,FALSE)</f>
        <v>Electrosurgical Units, Monopolar/Bipolar</v>
      </c>
      <c r="SKM92" s="165" t="s">
        <v>945</v>
      </c>
      <c r="SKN92" s="166" t="str">
        <f>VLOOKUP(SKM92,[13]AssetDetails_UEM!$A$3:$AH$1849,6,FALSE)</f>
        <v>Electrosurgical Units, Monopolar/Bipolar</v>
      </c>
      <c r="SKO92" s="165" t="s">
        <v>945</v>
      </c>
      <c r="SKP92" s="166" t="str">
        <f>VLOOKUP(SKO92,[13]AssetDetails_UEM!$A$3:$AH$1849,6,FALSE)</f>
        <v>Electrosurgical Units, Monopolar/Bipolar</v>
      </c>
      <c r="SKQ92" s="165" t="s">
        <v>945</v>
      </c>
      <c r="SKR92" s="166" t="str">
        <f>VLOOKUP(SKQ92,[13]AssetDetails_UEM!$A$3:$AH$1849,6,FALSE)</f>
        <v>Electrosurgical Units, Monopolar/Bipolar</v>
      </c>
      <c r="SKS92" s="165" t="s">
        <v>945</v>
      </c>
      <c r="SKT92" s="166" t="str">
        <f>VLOOKUP(SKS92,[13]AssetDetails_UEM!$A$3:$AH$1849,6,FALSE)</f>
        <v>Electrosurgical Units, Monopolar/Bipolar</v>
      </c>
      <c r="SKU92" s="165" t="s">
        <v>945</v>
      </c>
      <c r="SKV92" s="166" t="str">
        <f>VLOOKUP(SKU92,[13]AssetDetails_UEM!$A$3:$AH$1849,6,FALSE)</f>
        <v>Electrosurgical Units, Monopolar/Bipolar</v>
      </c>
      <c r="SKW92" s="165" t="s">
        <v>945</v>
      </c>
      <c r="SKX92" s="166" t="str">
        <f>VLOOKUP(SKW92,[13]AssetDetails_UEM!$A$3:$AH$1849,6,FALSE)</f>
        <v>Electrosurgical Units, Monopolar/Bipolar</v>
      </c>
      <c r="SKY92" s="165" t="s">
        <v>945</v>
      </c>
      <c r="SKZ92" s="166" t="str">
        <f>VLOOKUP(SKY92,[13]AssetDetails_UEM!$A$3:$AH$1849,6,FALSE)</f>
        <v>Electrosurgical Units, Monopolar/Bipolar</v>
      </c>
      <c r="SLA92" s="165" t="s">
        <v>945</v>
      </c>
      <c r="SLB92" s="166" t="str">
        <f>VLOOKUP(SLA92,[13]AssetDetails_UEM!$A$3:$AH$1849,6,FALSE)</f>
        <v>Electrosurgical Units, Monopolar/Bipolar</v>
      </c>
      <c r="SLC92" s="165" t="s">
        <v>945</v>
      </c>
      <c r="SLD92" s="166" t="str">
        <f>VLOOKUP(SLC92,[13]AssetDetails_UEM!$A$3:$AH$1849,6,FALSE)</f>
        <v>Electrosurgical Units, Monopolar/Bipolar</v>
      </c>
      <c r="SLE92" s="165" t="s">
        <v>945</v>
      </c>
      <c r="SLF92" s="166" t="str">
        <f>VLOOKUP(SLE92,[13]AssetDetails_UEM!$A$3:$AH$1849,6,FALSE)</f>
        <v>Electrosurgical Units, Monopolar/Bipolar</v>
      </c>
      <c r="SLG92" s="165" t="s">
        <v>945</v>
      </c>
      <c r="SLH92" s="166" t="str">
        <f>VLOOKUP(SLG92,[13]AssetDetails_UEM!$A$3:$AH$1849,6,FALSE)</f>
        <v>Electrosurgical Units, Monopolar/Bipolar</v>
      </c>
      <c r="SLI92" s="165" t="s">
        <v>945</v>
      </c>
      <c r="SLJ92" s="166" t="str">
        <f>VLOOKUP(SLI92,[13]AssetDetails_UEM!$A$3:$AH$1849,6,FALSE)</f>
        <v>Electrosurgical Units, Monopolar/Bipolar</v>
      </c>
      <c r="SLK92" s="165" t="s">
        <v>945</v>
      </c>
      <c r="SLL92" s="166" t="str">
        <f>VLOOKUP(SLK92,[13]AssetDetails_UEM!$A$3:$AH$1849,6,FALSE)</f>
        <v>Electrosurgical Units, Monopolar/Bipolar</v>
      </c>
      <c r="SLM92" s="165" t="s">
        <v>945</v>
      </c>
      <c r="SLN92" s="166" t="str">
        <f>VLOOKUP(SLM92,[13]AssetDetails_UEM!$A$3:$AH$1849,6,FALSE)</f>
        <v>Electrosurgical Units, Monopolar/Bipolar</v>
      </c>
      <c r="SLO92" s="165" t="s">
        <v>945</v>
      </c>
      <c r="SLP92" s="166" t="str">
        <f>VLOOKUP(SLO92,[13]AssetDetails_UEM!$A$3:$AH$1849,6,FALSE)</f>
        <v>Electrosurgical Units, Monopolar/Bipolar</v>
      </c>
      <c r="SLQ92" s="165" t="s">
        <v>945</v>
      </c>
      <c r="SLR92" s="166" t="str">
        <f>VLOOKUP(SLQ92,[13]AssetDetails_UEM!$A$3:$AH$1849,6,FALSE)</f>
        <v>Electrosurgical Units, Monopolar/Bipolar</v>
      </c>
      <c r="SLS92" s="165" t="s">
        <v>945</v>
      </c>
      <c r="SLT92" s="166" t="str">
        <f>VLOOKUP(SLS92,[13]AssetDetails_UEM!$A$3:$AH$1849,6,FALSE)</f>
        <v>Electrosurgical Units, Monopolar/Bipolar</v>
      </c>
      <c r="SLU92" s="165" t="s">
        <v>945</v>
      </c>
      <c r="SLV92" s="166" t="str">
        <f>VLOOKUP(SLU92,[13]AssetDetails_UEM!$A$3:$AH$1849,6,FALSE)</f>
        <v>Electrosurgical Units, Monopolar/Bipolar</v>
      </c>
      <c r="SLW92" s="165" t="s">
        <v>945</v>
      </c>
      <c r="SLX92" s="166" t="str">
        <f>VLOOKUP(SLW92,[13]AssetDetails_UEM!$A$3:$AH$1849,6,FALSE)</f>
        <v>Electrosurgical Units, Monopolar/Bipolar</v>
      </c>
      <c r="SLY92" s="165" t="s">
        <v>945</v>
      </c>
      <c r="SLZ92" s="166" t="str">
        <f>VLOOKUP(SLY92,[13]AssetDetails_UEM!$A$3:$AH$1849,6,FALSE)</f>
        <v>Electrosurgical Units, Monopolar/Bipolar</v>
      </c>
      <c r="SMA92" s="165" t="s">
        <v>945</v>
      </c>
      <c r="SMB92" s="166" t="str">
        <f>VLOOKUP(SMA92,[13]AssetDetails_UEM!$A$3:$AH$1849,6,FALSE)</f>
        <v>Electrosurgical Units, Monopolar/Bipolar</v>
      </c>
      <c r="SMC92" s="165" t="s">
        <v>945</v>
      </c>
      <c r="SMD92" s="166" t="str">
        <f>VLOOKUP(SMC92,[13]AssetDetails_UEM!$A$3:$AH$1849,6,FALSE)</f>
        <v>Electrosurgical Units, Monopolar/Bipolar</v>
      </c>
      <c r="SME92" s="165" t="s">
        <v>945</v>
      </c>
      <c r="SMF92" s="166" t="str">
        <f>VLOOKUP(SME92,[13]AssetDetails_UEM!$A$3:$AH$1849,6,FALSE)</f>
        <v>Electrosurgical Units, Monopolar/Bipolar</v>
      </c>
      <c r="SMG92" s="165" t="s">
        <v>945</v>
      </c>
      <c r="SMH92" s="166" t="str">
        <f>VLOOKUP(SMG92,[13]AssetDetails_UEM!$A$3:$AH$1849,6,FALSE)</f>
        <v>Electrosurgical Units, Monopolar/Bipolar</v>
      </c>
      <c r="SMI92" s="165" t="s">
        <v>945</v>
      </c>
      <c r="SMJ92" s="166" t="str">
        <f>VLOOKUP(SMI92,[13]AssetDetails_UEM!$A$3:$AH$1849,6,FALSE)</f>
        <v>Electrosurgical Units, Monopolar/Bipolar</v>
      </c>
      <c r="SMK92" s="165" t="s">
        <v>945</v>
      </c>
      <c r="SML92" s="166" t="str">
        <f>VLOOKUP(SMK92,[13]AssetDetails_UEM!$A$3:$AH$1849,6,FALSE)</f>
        <v>Electrosurgical Units, Monopolar/Bipolar</v>
      </c>
      <c r="SMM92" s="165" t="s">
        <v>945</v>
      </c>
      <c r="SMN92" s="166" t="str">
        <f>VLOOKUP(SMM92,[13]AssetDetails_UEM!$A$3:$AH$1849,6,FALSE)</f>
        <v>Electrosurgical Units, Monopolar/Bipolar</v>
      </c>
      <c r="SMO92" s="165" t="s">
        <v>945</v>
      </c>
      <c r="SMP92" s="166" t="str">
        <f>VLOOKUP(SMO92,[13]AssetDetails_UEM!$A$3:$AH$1849,6,FALSE)</f>
        <v>Electrosurgical Units, Monopolar/Bipolar</v>
      </c>
      <c r="SMQ92" s="165" t="s">
        <v>945</v>
      </c>
      <c r="SMR92" s="166" t="str">
        <f>VLOOKUP(SMQ92,[13]AssetDetails_UEM!$A$3:$AH$1849,6,FALSE)</f>
        <v>Electrosurgical Units, Monopolar/Bipolar</v>
      </c>
      <c r="SMS92" s="165" t="s">
        <v>945</v>
      </c>
      <c r="SMT92" s="166" t="str">
        <f>VLOOKUP(SMS92,[13]AssetDetails_UEM!$A$3:$AH$1849,6,FALSE)</f>
        <v>Electrosurgical Units, Monopolar/Bipolar</v>
      </c>
      <c r="SMU92" s="165" t="s">
        <v>945</v>
      </c>
      <c r="SMV92" s="166" t="str">
        <f>VLOOKUP(SMU92,[13]AssetDetails_UEM!$A$3:$AH$1849,6,FALSE)</f>
        <v>Electrosurgical Units, Monopolar/Bipolar</v>
      </c>
      <c r="SMW92" s="165" t="s">
        <v>945</v>
      </c>
      <c r="SMX92" s="166" t="str">
        <f>VLOOKUP(SMW92,[13]AssetDetails_UEM!$A$3:$AH$1849,6,FALSE)</f>
        <v>Electrosurgical Units, Monopolar/Bipolar</v>
      </c>
      <c r="SMY92" s="165" t="s">
        <v>945</v>
      </c>
      <c r="SMZ92" s="166" t="str">
        <f>VLOOKUP(SMY92,[13]AssetDetails_UEM!$A$3:$AH$1849,6,FALSE)</f>
        <v>Electrosurgical Units, Monopolar/Bipolar</v>
      </c>
      <c r="SNA92" s="165" t="s">
        <v>945</v>
      </c>
      <c r="SNB92" s="166" t="str">
        <f>VLOOKUP(SNA92,[13]AssetDetails_UEM!$A$3:$AH$1849,6,FALSE)</f>
        <v>Electrosurgical Units, Monopolar/Bipolar</v>
      </c>
      <c r="SNC92" s="165" t="s">
        <v>945</v>
      </c>
      <c r="SND92" s="166" t="str">
        <f>VLOOKUP(SNC92,[13]AssetDetails_UEM!$A$3:$AH$1849,6,FALSE)</f>
        <v>Electrosurgical Units, Monopolar/Bipolar</v>
      </c>
      <c r="SNE92" s="165" t="s">
        <v>945</v>
      </c>
      <c r="SNF92" s="166" t="str">
        <f>VLOOKUP(SNE92,[13]AssetDetails_UEM!$A$3:$AH$1849,6,FALSE)</f>
        <v>Electrosurgical Units, Monopolar/Bipolar</v>
      </c>
      <c r="SNG92" s="165" t="s">
        <v>945</v>
      </c>
      <c r="SNH92" s="166" t="str">
        <f>VLOOKUP(SNG92,[13]AssetDetails_UEM!$A$3:$AH$1849,6,FALSE)</f>
        <v>Electrosurgical Units, Monopolar/Bipolar</v>
      </c>
      <c r="SNI92" s="165" t="s">
        <v>945</v>
      </c>
      <c r="SNJ92" s="166" t="str">
        <f>VLOOKUP(SNI92,[13]AssetDetails_UEM!$A$3:$AH$1849,6,FALSE)</f>
        <v>Electrosurgical Units, Monopolar/Bipolar</v>
      </c>
      <c r="SNK92" s="165" t="s">
        <v>945</v>
      </c>
      <c r="SNL92" s="166" t="str">
        <f>VLOOKUP(SNK92,[13]AssetDetails_UEM!$A$3:$AH$1849,6,FALSE)</f>
        <v>Electrosurgical Units, Monopolar/Bipolar</v>
      </c>
      <c r="SNM92" s="165" t="s">
        <v>945</v>
      </c>
      <c r="SNN92" s="166" t="str">
        <f>VLOOKUP(SNM92,[13]AssetDetails_UEM!$A$3:$AH$1849,6,FALSE)</f>
        <v>Electrosurgical Units, Monopolar/Bipolar</v>
      </c>
      <c r="SNO92" s="165" t="s">
        <v>945</v>
      </c>
      <c r="SNP92" s="166" t="str">
        <f>VLOOKUP(SNO92,[13]AssetDetails_UEM!$A$3:$AH$1849,6,FALSE)</f>
        <v>Electrosurgical Units, Monopolar/Bipolar</v>
      </c>
      <c r="SNQ92" s="165" t="s">
        <v>945</v>
      </c>
      <c r="SNR92" s="166" t="str">
        <f>VLOOKUP(SNQ92,[13]AssetDetails_UEM!$A$3:$AH$1849,6,FALSE)</f>
        <v>Electrosurgical Units, Monopolar/Bipolar</v>
      </c>
      <c r="SNS92" s="165" t="s">
        <v>945</v>
      </c>
      <c r="SNT92" s="166" t="str">
        <f>VLOOKUP(SNS92,[13]AssetDetails_UEM!$A$3:$AH$1849,6,FALSE)</f>
        <v>Electrosurgical Units, Monopolar/Bipolar</v>
      </c>
      <c r="SNU92" s="165" t="s">
        <v>945</v>
      </c>
      <c r="SNV92" s="166" t="str">
        <f>VLOOKUP(SNU92,[13]AssetDetails_UEM!$A$3:$AH$1849,6,FALSE)</f>
        <v>Electrosurgical Units, Monopolar/Bipolar</v>
      </c>
      <c r="SNW92" s="165" t="s">
        <v>945</v>
      </c>
      <c r="SNX92" s="166" t="str">
        <f>VLOOKUP(SNW92,[13]AssetDetails_UEM!$A$3:$AH$1849,6,FALSE)</f>
        <v>Electrosurgical Units, Monopolar/Bipolar</v>
      </c>
      <c r="SNY92" s="165" t="s">
        <v>945</v>
      </c>
      <c r="SNZ92" s="166" t="str">
        <f>VLOOKUP(SNY92,[13]AssetDetails_UEM!$A$3:$AH$1849,6,FALSE)</f>
        <v>Electrosurgical Units, Monopolar/Bipolar</v>
      </c>
      <c r="SOA92" s="165" t="s">
        <v>945</v>
      </c>
      <c r="SOB92" s="166" t="str">
        <f>VLOOKUP(SOA92,[13]AssetDetails_UEM!$A$3:$AH$1849,6,FALSE)</f>
        <v>Electrosurgical Units, Monopolar/Bipolar</v>
      </c>
      <c r="SOC92" s="165" t="s">
        <v>945</v>
      </c>
      <c r="SOD92" s="166" t="str">
        <f>VLOOKUP(SOC92,[13]AssetDetails_UEM!$A$3:$AH$1849,6,FALSE)</f>
        <v>Electrosurgical Units, Monopolar/Bipolar</v>
      </c>
      <c r="SOE92" s="165" t="s">
        <v>945</v>
      </c>
      <c r="SOF92" s="166" t="str">
        <f>VLOOKUP(SOE92,[13]AssetDetails_UEM!$A$3:$AH$1849,6,FALSE)</f>
        <v>Electrosurgical Units, Monopolar/Bipolar</v>
      </c>
      <c r="SOG92" s="165" t="s">
        <v>945</v>
      </c>
      <c r="SOH92" s="166" t="str">
        <f>VLOOKUP(SOG92,[13]AssetDetails_UEM!$A$3:$AH$1849,6,FALSE)</f>
        <v>Electrosurgical Units, Monopolar/Bipolar</v>
      </c>
      <c r="SOI92" s="165" t="s">
        <v>945</v>
      </c>
      <c r="SOJ92" s="166" t="str">
        <f>VLOOKUP(SOI92,[13]AssetDetails_UEM!$A$3:$AH$1849,6,FALSE)</f>
        <v>Electrosurgical Units, Monopolar/Bipolar</v>
      </c>
      <c r="SOK92" s="165" t="s">
        <v>945</v>
      </c>
      <c r="SOL92" s="166" t="str">
        <f>VLOOKUP(SOK92,[13]AssetDetails_UEM!$A$3:$AH$1849,6,FALSE)</f>
        <v>Electrosurgical Units, Monopolar/Bipolar</v>
      </c>
      <c r="SOM92" s="165" t="s">
        <v>945</v>
      </c>
      <c r="SON92" s="166" t="str">
        <f>VLOOKUP(SOM92,[13]AssetDetails_UEM!$A$3:$AH$1849,6,FALSE)</f>
        <v>Electrosurgical Units, Monopolar/Bipolar</v>
      </c>
      <c r="SOO92" s="165" t="s">
        <v>945</v>
      </c>
      <c r="SOP92" s="166" t="str">
        <f>VLOOKUP(SOO92,[13]AssetDetails_UEM!$A$3:$AH$1849,6,FALSE)</f>
        <v>Electrosurgical Units, Monopolar/Bipolar</v>
      </c>
      <c r="SOQ92" s="165" t="s">
        <v>945</v>
      </c>
      <c r="SOR92" s="166" t="str">
        <f>VLOOKUP(SOQ92,[13]AssetDetails_UEM!$A$3:$AH$1849,6,FALSE)</f>
        <v>Electrosurgical Units, Monopolar/Bipolar</v>
      </c>
      <c r="SOS92" s="165" t="s">
        <v>945</v>
      </c>
      <c r="SOT92" s="166" t="str">
        <f>VLOOKUP(SOS92,[13]AssetDetails_UEM!$A$3:$AH$1849,6,FALSE)</f>
        <v>Electrosurgical Units, Monopolar/Bipolar</v>
      </c>
      <c r="SOU92" s="165" t="s">
        <v>945</v>
      </c>
      <c r="SOV92" s="166" t="str">
        <f>VLOOKUP(SOU92,[13]AssetDetails_UEM!$A$3:$AH$1849,6,FALSE)</f>
        <v>Electrosurgical Units, Monopolar/Bipolar</v>
      </c>
      <c r="SOW92" s="165" t="s">
        <v>945</v>
      </c>
      <c r="SOX92" s="166" t="str">
        <f>VLOOKUP(SOW92,[13]AssetDetails_UEM!$A$3:$AH$1849,6,FALSE)</f>
        <v>Electrosurgical Units, Monopolar/Bipolar</v>
      </c>
      <c r="SOY92" s="165" t="s">
        <v>945</v>
      </c>
      <c r="SOZ92" s="166" t="str">
        <f>VLOOKUP(SOY92,[13]AssetDetails_UEM!$A$3:$AH$1849,6,FALSE)</f>
        <v>Electrosurgical Units, Monopolar/Bipolar</v>
      </c>
      <c r="SPA92" s="165" t="s">
        <v>945</v>
      </c>
      <c r="SPB92" s="166" t="str">
        <f>VLOOKUP(SPA92,[13]AssetDetails_UEM!$A$3:$AH$1849,6,FALSE)</f>
        <v>Electrosurgical Units, Monopolar/Bipolar</v>
      </c>
      <c r="SPC92" s="165" t="s">
        <v>945</v>
      </c>
      <c r="SPD92" s="166" t="str">
        <f>VLOOKUP(SPC92,[13]AssetDetails_UEM!$A$3:$AH$1849,6,FALSE)</f>
        <v>Electrosurgical Units, Monopolar/Bipolar</v>
      </c>
      <c r="SPE92" s="165" t="s">
        <v>945</v>
      </c>
      <c r="SPF92" s="166" t="str">
        <f>VLOOKUP(SPE92,[13]AssetDetails_UEM!$A$3:$AH$1849,6,FALSE)</f>
        <v>Electrosurgical Units, Monopolar/Bipolar</v>
      </c>
      <c r="SPG92" s="165" t="s">
        <v>945</v>
      </c>
      <c r="SPH92" s="166" t="str">
        <f>VLOOKUP(SPG92,[13]AssetDetails_UEM!$A$3:$AH$1849,6,FALSE)</f>
        <v>Electrosurgical Units, Monopolar/Bipolar</v>
      </c>
      <c r="SPI92" s="165" t="s">
        <v>945</v>
      </c>
      <c r="SPJ92" s="166" t="str">
        <f>VLOOKUP(SPI92,[13]AssetDetails_UEM!$A$3:$AH$1849,6,FALSE)</f>
        <v>Electrosurgical Units, Monopolar/Bipolar</v>
      </c>
      <c r="SPK92" s="165" t="s">
        <v>945</v>
      </c>
      <c r="SPL92" s="166" t="str">
        <f>VLOOKUP(SPK92,[13]AssetDetails_UEM!$A$3:$AH$1849,6,FALSE)</f>
        <v>Electrosurgical Units, Monopolar/Bipolar</v>
      </c>
      <c r="SPM92" s="165" t="s">
        <v>945</v>
      </c>
      <c r="SPN92" s="166" t="str">
        <f>VLOOKUP(SPM92,[13]AssetDetails_UEM!$A$3:$AH$1849,6,FALSE)</f>
        <v>Electrosurgical Units, Monopolar/Bipolar</v>
      </c>
      <c r="SPO92" s="165" t="s">
        <v>945</v>
      </c>
      <c r="SPP92" s="166" t="str">
        <f>VLOOKUP(SPO92,[13]AssetDetails_UEM!$A$3:$AH$1849,6,FALSE)</f>
        <v>Electrosurgical Units, Monopolar/Bipolar</v>
      </c>
      <c r="SPQ92" s="165" t="s">
        <v>945</v>
      </c>
      <c r="SPR92" s="166" t="str">
        <f>VLOOKUP(SPQ92,[13]AssetDetails_UEM!$A$3:$AH$1849,6,FALSE)</f>
        <v>Electrosurgical Units, Monopolar/Bipolar</v>
      </c>
      <c r="SPS92" s="165" t="s">
        <v>945</v>
      </c>
      <c r="SPT92" s="166" t="str">
        <f>VLOOKUP(SPS92,[13]AssetDetails_UEM!$A$3:$AH$1849,6,FALSE)</f>
        <v>Electrosurgical Units, Monopolar/Bipolar</v>
      </c>
      <c r="SPU92" s="165" t="s">
        <v>945</v>
      </c>
      <c r="SPV92" s="166" t="str">
        <f>VLOOKUP(SPU92,[13]AssetDetails_UEM!$A$3:$AH$1849,6,FALSE)</f>
        <v>Electrosurgical Units, Monopolar/Bipolar</v>
      </c>
      <c r="SPW92" s="165" t="s">
        <v>945</v>
      </c>
      <c r="SPX92" s="166" t="str">
        <f>VLOOKUP(SPW92,[13]AssetDetails_UEM!$A$3:$AH$1849,6,FALSE)</f>
        <v>Electrosurgical Units, Monopolar/Bipolar</v>
      </c>
      <c r="SPY92" s="165" t="s">
        <v>945</v>
      </c>
      <c r="SPZ92" s="166" t="str">
        <f>VLOOKUP(SPY92,[13]AssetDetails_UEM!$A$3:$AH$1849,6,FALSE)</f>
        <v>Electrosurgical Units, Monopolar/Bipolar</v>
      </c>
      <c r="SQA92" s="165" t="s">
        <v>945</v>
      </c>
      <c r="SQB92" s="166" t="str">
        <f>VLOOKUP(SQA92,[13]AssetDetails_UEM!$A$3:$AH$1849,6,FALSE)</f>
        <v>Electrosurgical Units, Monopolar/Bipolar</v>
      </c>
      <c r="SQC92" s="165" t="s">
        <v>945</v>
      </c>
      <c r="SQD92" s="166" t="str">
        <f>VLOOKUP(SQC92,[13]AssetDetails_UEM!$A$3:$AH$1849,6,FALSE)</f>
        <v>Electrosurgical Units, Monopolar/Bipolar</v>
      </c>
      <c r="SQE92" s="165" t="s">
        <v>945</v>
      </c>
      <c r="SQF92" s="166" t="str">
        <f>VLOOKUP(SQE92,[13]AssetDetails_UEM!$A$3:$AH$1849,6,FALSE)</f>
        <v>Electrosurgical Units, Monopolar/Bipolar</v>
      </c>
      <c r="SQG92" s="165" t="s">
        <v>945</v>
      </c>
      <c r="SQH92" s="166" t="str">
        <f>VLOOKUP(SQG92,[13]AssetDetails_UEM!$A$3:$AH$1849,6,FALSE)</f>
        <v>Electrosurgical Units, Monopolar/Bipolar</v>
      </c>
      <c r="SQI92" s="165" t="s">
        <v>945</v>
      </c>
      <c r="SQJ92" s="166" t="str">
        <f>VLOOKUP(SQI92,[13]AssetDetails_UEM!$A$3:$AH$1849,6,FALSE)</f>
        <v>Electrosurgical Units, Monopolar/Bipolar</v>
      </c>
      <c r="SQK92" s="165" t="s">
        <v>945</v>
      </c>
      <c r="SQL92" s="166" t="str">
        <f>VLOOKUP(SQK92,[13]AssetDetails_UEM!$A$3:$AH$1849,6,FALSE)</f>
        <v>Electrosurgical Units, Monopolar/Bipolar</v>
      </c>
      <c r="SQM92" s="165" t="s">
        <v>945</v>
      </c>
      <c r="SQN92" s="166" t="str">
        <f>VLOOKUP(SQM92,[13]AssetDetails_UEM!$A$3:$AH$1849,6,FALSE)</f>
        <v>Electrosurgical Units, Monopolar/Bipolar</v>
      </c>
      <c r="SQO92" s="165" t="s">
        <v>945</v>
      </c>
      <c r="SQP92" s="166" t="str">
        <f>VLOOKUP(SQO92,[13]AssetDetails_UEM!$A$3:$AH$1849,6,FALSE)</f>
        <v>Electrosurgical Units, Monopolar/Bipolar</v>
      </c>
      <c r="SQQ92" s="165" t="s">
        <v>945</v>
      </c>
      <c r="SQR92" s="166" t="str">
        <f>VLOOKUP(SQQ92,[13]AssetDetails_UEM!$A$3:$AH$1849,6,FALSE)</f>
        <v>Electrosurgical Units, Monopolar/Bipolar</v>
      </c>
      <c r="SQS92" s="165" t="s">
        <v>945</v>
      </c>
      <c r="SQT92" s="166" t="str">
        <f>VLOOKUP(SQS92,[13]AssetDetails_UEM!$A$3:$AH$1849,6,FALSE)</f>
        <v>Electrosurgical Units, Monopolar/Bipolar</v>
      </c>
      <c r="SQU92" s="165" t="s">
        <v>945</v>
      </c>
      <c r="SQV92" s="166" t="str">
        <f>VLOOKUP(SQU92,[13]AssetDetails_UEM!$A$3:$AH$1849,6,FALSE)</f>
        <v>Electrosurgical Units, Monopolar/Bipolar</v>
      </c>
      <c r="SQW92" s="165" t="s">
        <v>945</v>
      </c>
      <c r="SQX92" s="166" t="str">
        <f>VLOOKUP(SQW92,[13]AssetDetails_UEM!$A$3:$AH$1849,6,FALSE)</f>
        <v>Electrosurgical Units, Monopolar/Bipolar</v>
      </c>
      <c r="SQY92" s="165" t="s">
        <v>945</v>
      </c>
      <c r="SQZ92" s="166" t="str">
        <f>VLOOKUP(SQY92,[13]AssetDetails_UEM!$A$3:$AH$1849,6,FALSE)</f>
        <v>Electrosurgical Units, Monopolar/Bipolar</v>
      </c>
      <c r="SRA92" s="165" t="s">
        <v>945</v>
      </c>
      <c r="SRB92" s="166" t="str">
        <f>VLOOKUP(SRA92,[13]AssetDetails_UEM!$A$3:$AH$1849,6,FALSE)</f>
        <v>Electrosurgical Units, Monopolar/Bipolar</v>
      </c>
      <c r="SRC92" s="165" t="s">
        <v>945</v>
      </c>
      <c r="SRD92" s="166" t="str">
        <f>VLOOKUP(SRC92,[13]AssetDetails_UEM!$A$3:$AH$1849,6,FALSE)</f>
        <v>Electrosurgical Units, Monopolar/Bipolar</v>
      </c>
      <c r="SRE92" s="165" t="s">
        <v>945</v>
      </c>
      <c r="SRF92" s="166" t="str">
        <f>VLOOKUP(SRE92,[13]AssetDetails_UEM!$A$3:$AH$1849,6,FALSE)</f>
        <v>Electrosurgical Units, Monopolar/Bipolar</v>
      </c>
      <c r="SRG92" s="165" t="s">
        <v>945</v>
      </c>
      <c r="SRH92" s="166" t="str">
        <f>VLOOKUP(SRG92,[13]AssetDetails_UEM!$A$3:$AH$1849,6,FALSE)</f>
        <v>Electrosurgical Units, Monopolar/Bipolar</v>
      </c>
      <c r="SRI92" s="165" t="s">
        <v>945</v>
      </c>
      <c r="SRJ92" s="166" t="str">
        <f>VLOOKUP(SRI92,[13]AssetDetails_UEM!$A$3:$AH$1849,6,FALSE)</f>
        <v>Electrosurgical Units, Monopolar/Bipolar</v>
      </c>
      <c r="SRK92" s="165" t="s">
        <v>945</v>
      </c>
      <c r="SRL92" s="166" t="str">
        <f>VLOOKUP(SRK92,[13]AssetDetails_UEM!$A$3:$AH$1849,6,FALSE)</f>
        <v>Electrosurgical Units, Monopolar/Bipolar</v>
      </c>
      <c r="SRM92" s="165" t="s">
        <v>945</v>
      </c>
      <c r="SRN92" s="166" t="str">
        <f>VLOOKUP(SRM92,[13]AssetDetails_UEM!$A$3:$AH$1849,6,FALSE)</f>
        <v>Electrosurgical Units, Monopolar/Bipolar</v>
      </c>
      <c r="SRO92" s="165" t="s">
        <v>945</v>
      </c>
      <c r="SRP92" s="166" t="str">
        <f>VLOOKUP(SRO92,[13]AssetDetails_UEM!$A$3:$AH$1849,6,FALSE)</f>
        <v>Electrosurgical Units, Monopolar/Bipolar</v>
      </c>
      <c r="SRQ92" s="165" t="s">
        <v>945</v>
      </c>
      <c r="SRR92" s="166" t="str">
        <f>VLOOKUP(SRQ92,[13]AssetDetails_UEM!$A$3:$AH$1849,6,FALSE)</f>
        <v>Electrosurgical Units, Monopolar/Bipolar</v>
      </c>
      <c r="SRS92" s="165" t="s">
        <v>945</v>
      </c>
      <c r="SRT92" s="166" t="str">
        <f>VLOOKUP(SRS92,[13]AssetDetails_UEM!$A$3:$AH$1849,6,FALSE)</f>
        <v>Electrosurgical Units, Monopolar/Bipolar</v>
      </c>
      <c r="SRU92" s="165" t="s">
        <v>945</v>
      </c>
      <c r="SRV92" s="166" t="str">
        <f>VLOOKUP(SRU92,[13]AssetDetails_UEM!$A$3:$AH$1849,6,FALSE)</f>
        <v>Electrosurgical Units, Monopolar/Bipolar</v>
      </c>
      <c r="SRW92" s="165" t="s">
        <v>945</v>
      </c>
      <c r="SRX92" s="166" t="str">
        <f>VLOOKUP(SRW92,[13]AssetDetails_UEM!$A$3:$AH$1849,6,FALSE)</f>
        <v>Electrosurgical Units, Monopolar/Bipolar</v>
      </c>
      <c r="SRY92" s="165" t="s">
        <v>945</v>
      </c>
      <c r="SRZ92" s="166" t="str">
        <f>VLOOKUP(SRY92,[13]AssetDetails_UEM!$A$3:$AH$1849,6,FALSE)</f>
        <v>Electrosurgical Units, Monopolar/Bipolar</v>
      </c>
      <c r="SSA92" s="165" t="s">
        <v>945</v>
      </c>
      <c r="SSB92" s="166" t="str">
        <f>VLOOKUP(SSA92,[13]AssetDetails_UEM!$A$3:$AH$1849,6,FALSE)</f>
        <v>Electrosurgical Units, Monopolar/Bipolar</v>
      </c>
      <c r="SSC92" s="165" t="s">
        <v>945</v>
      </c>
      <c r="SSD92" s="166" t="str">
        <f>VLOOKUP(SSC92,[13]AssetDetails_UEM!$A$3:$AH$1849,6,FALSE)</f>
        <v>Electrosurgical Units, Monopolar/Bipolar</v>
      </c>
      <c r="SSE92" s="165" t="s">
        <v>945</v>
      </c>
      <c r="SSF92" s="166" t="str">
        <f>VLOOKUP(SSE92,[13]AssetDetails_UEM!$A$3:$AH$1849,6,FALSE)</f>
        <v>Electrosurgical Units, Monopolar/Bipolar</v>
      </c>
      <c r="SSG92" s="165" t="s">
        <v>945</v>
      </c>
      <c r="SSH92" s="166" t="str">
        <f>VLOOKUP(SSG92,[13]AssetDetails_UEM!$A$3:$AH$1849,6,FALSE)</f>
        <v>Electrosurgical Units, Monopolar/Bipolar</v>
      </c>
      <c r="SSI92" s="165" t="s">
        <v>945</v>
      </c>
      <c r="SSJ92" s="166" t="str">
        <f>VLOOKUP(SSI92,[13]AssetDetails_UEM!$A$3:$AH$1849,6,FALSE)</f>
        <v>Electrosurgical Units, Monopolar/Bipolar</v>
      </c>
      <c r="SSK92" s="165" t="s">
        <v>945</v>
      </c>
      <c r="SSL92" s="166" t="str">
        <f>VLOOKUP(SSK92,[13]AssetDetails_UEM!$A$3:$AH$1849,6,FALSE)</f>
        <v>Electrosurgical Units, Monopolar/Bipolar</v>
      </c>
      <c r="SSM92" s="165" t="s">
        <v>945</v>
      </c>
      <c r="SSN92" s="166" t="str">
        <f>VLOOKUP(SSM92,[13]AssetDetails_UEM!$A$3:$AH$1849,6,FALSE)</f>
        <v>Electrosurgical Units, Monopolar/Bipolar</v>
      </c>
      <c r="SSO92" s="165" t="s">
        <v>945</v>
      </c>
      <c r="SSP92" s="166" t="str">
        <f>VLOOKUP(SSO92,[13]AssetDetails_UEM!$A$3:$AH$1849,6,FALSE)</f>
        <v>Electrosurgical Units, Monopolar/Bipolar</v>
      </c>
      <c r="SSQ92" s="165" t="s">
        <v>945</v>
      </c>
      <c r="SSR92" s="166" t="str">
        <f>VLOOKUP(SSQ92,[13]AssetDetails_UEM!$A$3:$AH$1849,6,FALSE)</f>
        <v>Electrosurgical Units, Monopolar/Bipolar</v>
      </c>
      <c r="SSS92" s="165" t="s">
        <v>945</v>
      </c>
      <c r="SST92" s="166" t="str">
        <f>VLOOKUP(SSS92,[13]AssetDetails_UEM!$A$3:$AH$1849,6,FALSE)</f>
        <v>Electrosurgical Units, Monopolar/Bipolar</v>
      </c>
      <c r="SSU92" s="165" t="s">
        <v>945</v>
      </c>
      <c r="SSV92" s="166" t="str">
        <f>VLOOKUP(SSU92,[13]AssetDetails_UEM!$A$3:$AH$1849,6,FALSE)</f>
        <v>Electrosurgical Units, Monopolar/Bipolar</v>
      </c>
      <c r="SSW92" s="165" t="s">
        <v>945</v>
      </c>
      <c r="SSX92" s="166" t="str">
        <f>VLOOKUP(SSW92,[13]AssetDetails_UEM!$A$3:$AH$1849,6,FALSE)</f>
        <v>Electrosurgical Units, Monopolar/Bipolar</v>
      </c>
      <c r="SSY92" s="165" t="s">
        <v>945</v>
      </c>
      <c r="SSZ92" s="166" t="str">
        <f>VLOOKUP(SSY92,[13]AssetDetails_UEM!$A$3:$AH$1849,6,FALSE)</f>
        <v>Electrosurgical Units, Monopolar/Bipolar</v>
      </c>
      <c r="STA92" s="165" t="s">
        <v>945</v>
      </c>
      <c r="STB92" s="166" t="str">
        <f>VLOOKUP(STA92,[13]AssetDetails_UEM!$A$3:$AH$1849,6,FALSE)</f>
        <v>Electrosurgical Units, Monopolar/Bipolar</v>
      </c>
      <c r="STC92" s="165" t="s">
        <v>945</v>
      </c>
      <c r="STD92" s="166" t="str">
        <f>VLOOKUP(STC92,[13]AssetDetails_UEM!$A$3:$AH$1849,6,FALSE)</f>
        <v>Electrosurgical Units, Monopolar/Bipolar</v>
      </c>
      <c r="STE92" s="165" t="s">
        <v>945</v>
      </c>
      <c r="STF92" s="166" t="str">
        <f>VLOOKUP(STE92,[13]AssetDetails_UEM!$A$3:$AH$1849,6,FALSE)</f>
        <v>Electrosurgical Units, Monopolar/Bipolar</v>
      </c>
      <c r="STG92" s="165" t="s">
        <v>945</v>
      </c>
      <c r="STH92" s="166" t="str">
        <f>VLOOKUP(STG92,[13]AssetDetails_UEM!$A$3:$AH$1849,6,FALSE)</f>
        <v>Electrosurgical Units, Monopolar/Bipolar</v>
      </c>
      <c r="STI92" s="165" t="s">
        <v>945</v>
      </c>
      <c r="STJ92" s="166" t="str">
        <f>VLOOKUP(STI92,[13]AssetDetails_UEM!$A$3:$AH$1849,6,FALSE)</f>
        <v>Electrosurgical Units, Monopolar/Bipolar</v>
      </c>
      <c r="STK92" s="165" t="s">
        <v>945</v>
      </c>
      <c r="STL92" s="166" t="str">
        <f>VLOOKUP(STK92,[13]AssetDetails_UEM!$A$3:$AH$1849,6,FALSE)</f>
        <v>Electrosurgical Units, Monopolar/Bipolar</v>
      </c>
      <c r="STM92" s="165" t="s">
        <v>945</v>
      </c>
      <c r="STN92" s="166" t="str">
        <f>VLOOKUP(STM92,[13]AssetDetails_UEM!$A$3:$AH$1849,6,FALSE)</f>
        <v>Electrosurgical Units, Monopolar/Bipolar</v>
      </c>
      <c r="STO92" s="165" t="s">
        <v>945</v>
      </c>
      <c r="STP92" s="166" t="str">
        <f>VLOOKUP(STO92,[13]AssetDetails_UEM!$A$3:$AH$1849,6,FALSE)</f>
        <v>Electrosurgical Units, Monopolar/Bipolar</v>
      </c>
      <c r="STQ92" s="165" t="s">
        <v>945</v>
      </c>
      <c r="STR92" s="166" t="str">
        <f>VLOOKUP(STQ92,[13]AssetDetails_UEM!$A$3:$AH$1849,6,FALSE)</f>
        <v>Electrosurgical Units, Monopolar/Bipolar</v>
      </c>
      <c r="STS92" s="165" t="s">
        <v>945</v>
      </c>
      <c r="STT92" s="166" t="str">
        <f>VLOOKUP(STS92,[13]AssetDetails_UEM!$A$3:$AH$1849,6,FALSE)</f>
        <v>Electrosurgical Units, Monopolar/Bipolar</v>
      </c>
      <c r="STU92" s="165" t="s">
        <v>945</v>
      </c>
      <c r="STV92" s="166" t="str">
        <f>VLOOKUP(STU92,[13]AssetDetails_UEM!$A$3:$AH$1849,6,FALSE)</f>
        <v>Electrosurgical Units, Monopolar/Bipolar</v>
      </c>
      <c r="STW92" s="165" t="s">
        <v>945</v>
      </c>
      <c r="STX92" s="166" t="str">
        <f>VLOOKUP(STW92,[13]AssetDetails_UEM!$A$3:$AH$1849,6,FALSE)</f>
        <v>Electrosurgical Units, Monopolar/Bipolar</v>
      </c>
      <c r="STY92" s="165" t="s">
        <v>945</v>
      </c>
      <c r="STZ92" s="166" t="str">
        <f>VLOOKUP(STY92,[13]AssetDetails_UEM!$A$3:$AH$1849,6,FALSE)</f>
        <v>Electrosurgical Units, Monopolar/Bipolar</v>
      </c>
      <c r="SUA92" s="165" t="s">
        <v>945</v>
      </c>
      <c r="SUB92" s="166" t="str">
        <f>VLOOKUP(SUA92,[13]AssetDetails_UEM!$A$3:$AH$1849,6,FALSE)</f>
        <v>Electrosurgical Units, Monopolar/Bipolar</v>
      </c>
      <c r="SUC92" s="165" t="s">
        <v>945</v>
      </c>
      <c r="SUD92" s="166" t="str">
        <f>VLOOKUP(SUC92,[13]AssetDetails_UEM!$A$3:$AH$1849,6,FALSE)</f>
        <v>Electrosurgical Units, Monopolar/Bipolar</v>
      </c>
      <c r="SUE92" s="165" t="s">
        <v>945</v>
      </c>
      <c r="SUF92" s="166" t="str">
        <f>VLOOKUP(SUE92,[13]AssetDetails_UEM!$A$3:$AH$1849,6,FALSE)</f>
        <v>Electrosurgical Units, Monopolar/Bipolar</v>
      </c>
      <c r="SUG92" s="165" t="s">
        <v>945</v>
      </c>
      <c r="SUH92" s="166" t="str">
        <f>VLOOKUP(SUG92,[13]AssetDetails_UEM!$A$3:$AH$1849,6,FALSE)</f>
        <v>Electrosurgical Units, Monopolar/Bipolar</v>
      </c>
      <c r="SUI92" s="165" t="s">
        <v>945</v>
      </c>
      <c r="SUJ92" s="166" t="str">
        <f>VLOOKUP(SUI92,[13]AssetDetails_UEM!$A$3:$AH$1849,6,FALSE)</f>
        <v>Electrosurgical Units, Monopolar/Bipolar</v>
      </c>
      <c r="SUK92" s="165" t="s">
        <v>945</v>
      </c>
      <c r="SUL92" s="166" t="str">
        <f>VLOOKUP(SUK92,[13]AssetDetails_UEM!$A$3:$AH$1849,6,FALSE)</f>
        <v>Electrosurgical Units, Monopolar/Bipolar</v>
      </c>
      <c r="SUM92" s="165" t="s">
        <v>945</v>
      </c>
      <c r="SUN92" s="166" t="str">
        <f>VLOOKUP(SUM92,[13]AssetDetails_UEM!$A$3:$AH$1849,6,FALSE)</f>
        <v>Electrosurgical Units, Monopolar/Bipolar</v>
      </c>
      <c r="SUO92" s="165" t="s">
        <v>945</v>
      </c>
      <c r="SUP92" s="166" t="str">
        <f>VLOOKUP(SUO92,[13]AssetDetails_UEM!$A$3:$AH$1849,6,FALSE)</f>
        <v>Electrosurgical Units, Monopolar/Bipolar</v>
      </c>
      <c r="SUQ92" s="165" t="s">
        <v>945</v>
      </c>
      <c r="SUR92" s="166" t="str">
        <f>VLOOKUP(SUQ92,[13]AssetDetails_UEM!$A$3:$AH$1849,6,FALSE)</f>
        <v>Electrosurgical Units, Monopolar/Bipolar</v>
      </c>
      <c r="SUS92" s="165" t="s">
        <v>945</v>
      </c>
      <c r="SUT92" s="166" t="str">
        <f>VLOOKUP(SUS92,[13]AssetDetails_UEM!$A$3:$AH$1849,6,FALSE)</f>
        <v>Electrosurgical Units, Monopolar/Bipolar</v>
      </c>
      <c r="SUU92" s="165" t="s">
        <v>945</v>
      </c>
      <c r="SUV92" s="166" t="str">
        <f>VLOOKUP(SUU92,[13]AssetDetails_UEM!$A$3:$AH$1849,6,FALSE)</f>
        <v>Electrosurgical Units, Monopolar/Bipolar</v>
      </c>
      <c r="SUW92" s="165" t="s">
        <v>945</v>
      </c>
      <c r="SUX92" s="166" t="str">
        <f>VLOOKUP(SUW92,[13]AssetDetails_UEM!$A$3:$AH$1849,6,FALSE)</f>
        <v>Electrosurgical Units, Monopolar/Bipolar</v>
      </c>
      <c r="SUY92" s="165" t="s">
        <v>945</v>
      </c>
      <c r="SUZ92" s="166" t="str">
        <f>VLOOKUP(SUY92,[13]AssetDetails_UEM!$A$3:$AH$1849,6,FALSE)</f>
        <v>Electrosurgical Units, Monopolar/Bipolar</v>
      </c>
      <c r="SVA92" s="165" t="s">
        <v>945</v>
      </c>
      <c r="SVB92" s="166" t="str">
        <f>VLOOKUP(SVA92,[13]AssetDetails_UEM!$A$3:$AH$1849,6,FALSE)</f>
        <v>Electrosurgical Units, Monopolar/Bipolar</v>
      </c>
      <c r="SVC92" s="165" t="s">
        <v>945</v>
      </c>
      <c r="SVD92" s="166" t="str">
        <f>VLOOKUP(SVC92,[13]AssetDetails_UEM!$A$3:$AH$1849,6,FALSE)</f>
        <v>Electrosurgical Units, Monopolar/Bipolar</v>
      </c>
      <c r="SVE92" s="165" t="s">
        <v>945</v>
      </c>
      <c r="SVF92" s="166" t="str">
        <f>VLOOKUP(SVE92,[13]AssetDetails_UEM!$A$3:$AH$1849,6,FALSE)</f>
        <v>Electrosurgical Units, Monopolar/Bipolar</v>
      </c>
      <c r="SVG92" s="165" t="s">
        <v>945</v>
      </c>
      <c r="SVH92" s="166" t="str">
        <f>VLOOKUP(SVG92,[13]AssetDetails_UEM!$A$3:$AH$1849,6,FALSE)</f>
        <v>Electrosurgical Units, Monopolar/Bipolar</v>
      </c>
      <c r="SVI92" s="165" t="s">
        <v>945</v>
      </c>
      <c r="SVJ92" s="166" t="str">
        <f>VLOOKUP(SVI92,[13]AssetDetails_UEM!$A$3:$AH$1849,6,FALSE)</f>
        <v>Electrosurgical Units, Monopolar/Bipolar</v>
      </c>
      <c r="SVK92" s="165" t="s">
        <v>945</v>
      </c>
      <c r="SVL92" s="166" t="str">
        <f>VLOOKUP(SVK92,[13]AssetDetails_UEM!$A$3:$AH$1849,6,FALSE)</f>
        <v>Electrosurgical Units, Monopolar/Bipolar</v>
      </c>
      <c r="SVM92" s="165" t="s">
        <v>945</v>
      </c>
      <c r="SVN92" s="166" t="str">
        <f>VLOOKUP(SVM92,[13]AssetDetails_UEM!$A$3:$AH$1849,6,FALSE)</f>
        <v>Electrosurgical Units, Monopolar/Bipolar</v>
      </c>
      <c r="SVO92" s="165" t="s">
        <v>945</v>
      </c>
      <c r="SVP92" s="166" t="str">
        <f>VLOOKUP(SVO92,[13]AssetDetails_UEM!$A$3:$AH$1849,6,FALSE)</f>
        <v>Electrosurgical Units, Monopolar/Bipolar</v>
      </c>
      <c r="SVQ92" s="165" t="s">
        <v>945</v>
      </c>
      <c r="SVR92" s="166" t="str">
        <f>VLOOKUP(SVQ92,[13]AssetDetails_UEM!$A$3:$AH$1849,6,FALSE)</f>
        <v>Electrosurgical Units, Monopolar/Bipolar</v>
      </c>
      <c r="SVS92" s="165" t="s">
        <v>945</v>
      </c>
      <c r="SVT92" s="166" t="str">
        <f>VLOOKUP(SVS92,[13]AssetDetails_UEM!$A$3:$AH$1849,6,FALSE)</f>
        <v>Electrosurgical Units, Monopolar/Bipolar</v>
      </c>
      <c r="SVU92" s="165" t="s">
        <v>945</v>
      </c>
      <c r="SVV92" s="166" t="str">
        <f>VLOOKUP(SVU92,[13]AssetDetails_UEM!$A$3:$AH$1849,6,FALSE)</f>
        <v>Electrosurgical Units, Monopolar/Bipolar</v>
      </c>
      <c r="SVW92" s="165" t="s">
        <v>945</v>
      </c>
      <c r="SVX92" s="166" t="str">
        <f>VLOOKUP(SVW92,[13]AssetDetails_UEM!$A$3:$AH$1849,6,FALSE)</f>
        <v>Electrosurgical Units, Monopolar/Bipolar</v>
      </c>
      <c r="SVY92" s="165" t="s">
        <v>945</v>
      </c>
      <c r="SVZ92" s="166" t="str">
        <f>VLOOKUP(SVY92,[13]AssetDetails_UEM!$A$3:$AH$1849,6,FALSE)</f>
        <v>Electrosurgical Units, Monopolar/Bipolar</v>
      </c>
      <c r="SWA92" s="165" t="s">
        <v>945</v>
      </c>
      <c r="SWB92" s="166" t="str">
        <f>VLOOKUP(SWA92,[13]AssetDetails_UEM!$A$3:$AH$1849,6,FALSE)</f>
        <v>Electrosurgical Units, Monopolar/Bipolar</v>
      </c>
      <c r="SWC92" s="165" t="s">
        <v>945</v>
      </c>
      <c r="SWD92" s="166" t="str">
        <f>VLOOKUP(SWC92,[13]AssetDetails_UEM!$A$3:$AH$1849,6,FALSE)</f>
        <v>Electrosurgical Units, Monopolar/Bipolar</v>
      </c>
      <c r="SWE92" s="165" t="s">
        <v>945</v>
      </c>
      <c r="SWF92" s="166" t="str">
        <f>VLOOKUP(SWE92,[13]AssetDetails_UEM!$A$3:$AH$1849,6,FALSE)</f>
        <v>Electrosurgical Units, Monopolar/Bipolar</v>
      </c>
      <c r="SWG92" s="165" t="s">
        <v>945</v>
      </c>
      <c r="SWH92" s="166" t="str">
        <f>VLOOKUP(SWG92,[13]AssetDetails_UEM!$A$3:$AH$1849,6,FALSE)</f>
        <v>Electrosurgical Units, Monopolar/Bipolar</v>
      </c>
      <c r="SWI92" s="165" t="s">
        <v>945</v>
      </c>
      <c r="SWJ92" s="166" t="str">
        <f>VLOOKUP(SWI92,[13]AssetDetails_UEM!$A$3:$AH$1849,6,FALSE)</f>
        <v>Electrosurgical Units, Monopolar/Bipolar</v>
      </c>
      <c r="SWK92" s="165" t="s">
        <v>945</v>
      </c>
      <c r="SWL92" s="166" t="str">
        <f>VLOOKUP(SWK92,[13]AssetDetails_UEM!$A$3:$AH$1849,6,FALSE)</f>
        <v>Electrosurgical Units, Monopolar/Bipolar</v>
      </c>
      <c r="SWM92" s="165" t="s">
        <v>945</v>
      </c>
      <c r="SWN92" s="166" t="str">
        <f>VLOOKUP(SWM92,[13]AssetDetails_UEM!$A$3:$AH$1849,6,FALSE)</f>
        <v>Electrosurgical Units, Monopolar/Bipolar</v>
      </c>
      <c r="SWO92" s="165" t="s">
        <v>945</v>
      </c>
      <c r="SWP92" s="166" t="str">
        <f>VLOOKUP(SWO92,[13]AssetDetails_UEM!$A$3:$AH$1849,6,FALSE)</f>
        <v>Electrosurgical Units, Monopolar/Bipolar</v>
      </c>
      <c r="SWQ92" s="165" t="s">
        <v>945</v>
      </c>
      <c r="SWR92" s="166" t="str">
        <f>VLOOKUP(SWQ92,[13]AssetDetails_UEM!$A$3:$AH$1849,6,FALSE)</f>
        <v>Electrosurgical Units, Monopolar/Bipolar</v>
      </c>
      <c r="SWS92" s="165" t="s">
        <v>945</v>
      </c>
      <c r="SWT92" s="166" t="str">
        <f>VLOOKUP(SWS92,[13]AssetDetails_UEM!$A$3:$AH$1849,6,FALSE)</f>
        <v>Electrosurgical Units, Monopolar/Bipolar</v>
      </c>
      <c r="SWU92" s="165" t="s">
        <v>945</v>
      </c>
      <c r="SWV92" s="166" t="str">
        <f>VLOOKUP(SWU92,[13]AssetDetails_UEM!$A$3:$AH$1849,6,FALSE)</f>
        <v>Electrosurgical Units, Monopolar/Bipolar</v>
      </c>
      <c r="SWW92" s="165" t="s">
        <v>945</v>
      </c>
      <c r="SWX92" s="166" t="str">
        <f>VLOOKUP(SWW92,[13]AssetDetails_UEM!$A$3:$AH$1849,6,FALSE)</f>
        <v>Electrosurgical Units, Monopolar/Bipolar</v>
      </c>
      <c r="SWY92" s="165" t="s">
        <v>945</v>
      </c>
      <c r="SWZ92" s="166" t="str">
        <f>VLOOKUP(SWY92,[13]AssetDetails_UEM!$A$3:$AH$1849,6,FALSE)</f>
        <v>Electrosurgical Units, Monopolar/Bipolar</v>
      </c>
      <c r="SXA92" s="165" t="s">
        <v>945</v>
      </c>
      <c r="SXB92" s="166" t="str">
        <f>VLOOKUP(SXA92,[13]AssetDetails_UEM!$A$3:$AH$1849,6,FALSE)</f>
        <v>Electrosurgical Units, Monopolar/Bipolar</v>
      </c>
      <c r="SXC92" s="165" t="s">
        <v>945</v>
      </c>
      <c r="SXD92" s="166" t="str">
        <f>VLOOKUP(SXC92,[13]AssetDetails_UEM!$A$3:$AH$1849,6,FALSE)</f>
        <v>Electrosurgical Units, Monopolar/Bipolar</v>
      </c>
      <c r="SXE92" s="165" t="s">
        <v>945</v>
      </c>
      <c r="SXF92" s="166" t="str">
        <f>VLOOKUP(SXE92,[13]AssetDetails_UEM!$A$3:$AH$1849,6,FALSE)</f>
        <v>Electrosurgical Units, Monopolar/Bipolar</v>
      </c>
      <c r="SXG92" s="165" t="s">
        <v>945</v>
      </c>
      <c r="SXH92" s="166" t="str">
        <f>VLOOKUP(SXG92,[13]AssetDetails_UEM!$A$3:$AH$1849,6,FALSE)</f>
        <v>Electrosurgical Units, Monopolar/Bipolar</v>
      </c>
      <c r="SXI92" s="165" t="s">
        <v>945</v>
      </c>
      <c r="SXJ92" s="166" t="str">
        <f>VLOOKUP(SXI92,[13]AssetDetails_UEM!$A$3:$AH$1849,6,FALSE)</f>
        <v>Electrosurgical Units, Monopolar/Bipolar</v>
      </c>
      <c r="SXK92" s="165" t="s">
        <v>945</v>
      </c>
      <c r="SXL92" s="166" t="str">
        <f>VLOOKUP(SXK92,[13]AssetDetails_UEM!$A$3:$AH$1849,6,FALSE)</f>
        <v>Electrosurgical Units, Monopolar/Bipolar</v>
      </c>
      <c r="SXM92" s="165" t="s">
        <v>945</v>
      </c>
      <c r="SXN92" s="166" t="str">
        <f>VLOOKUP(SXM92,[13]AssetDetails_UEM!$A$3:$AH$1849,6,FALSE)</f>
        <v>Electrosurgical Units, Monopolar/Bipolar</v>
      </c>
      <c r="SXO92" s="165" t="s">
        <v>945</v>
      </c>
      <c r="SXP92" s="166" t="str">
        <f>VLOOKUP(SXO92,[13]AssetDetails_UEM!$A$3:$AH$1849,6,FALSE)</f>
        <v>Electrosurgical Units, Monopolar/Bipolar</v>
      </c>
      <c r="SXQ92" s="165" t="s">
        <v>945</v>
      </c>
      <c r="SXR92" s="166" t="str">
        <f>VLOOKUP(SXQ92,[13]AssetDetails_UEM!$A$3:$AH$1849,6,FALSE)</f>
        <v>Electrosurgical Units, Monopolar/Bipolar</v>
      </c>
      <c r="SXS92" s="165" t="s">
        <v>945</v>
      </c>
      <c r="SXT92" s="166" t="str">
        <f>VLOOKUP(SXS92,[13]AssetDetails_UEM!$A$3:$AH$1849,6,FALSE)</f>
        <v>Electrosurgical Units, Monopolar/Bipolar</v>
      </c>
      <c r="SXU92" s="165" t="s">
        <v>945</v>
      </c>
      <c r="SXV92" s="166" t="str">
        <f>VLOOKUP(SXU92,[13]AssetDetails_UEM!$A$3:$AH$1849,6,FALSE)</f>
        <v>Electrosurgical Units, Monopolar/Bipolar</v>
      </c>
      <c r="SXW92" s="165" t="s">
        <v>945</v>
      </c>
      <c r="SXX92" s="166" t="str">
        <f>VLOOKUP(SXW92,[13]AssetDetails_UEM!$A$3:$AH$1849,6,FALSE)</f>
        <v>Electrosurgical Units, Monopolar/Bipolar</v>
      </c>
      <c r="SXY92" s="165" t="s">
        <v>945</v>
      </c>
      <c r="SXZ92" s="166" t="str">
        <f>VLOOKUP(SXY92,[13]AssetDetails_UEM!$A$3:$AH$1849,6,FALSE)</f>
        <v>Electrosurgical Units, Monopolar/Bipolar</v>
      </c>
      <c r="SYA92" s="165" t="s">
        <v>945</v>
      </c>
      <c r="SYB92" s="166" t="str">
        <f>VLOOKUP(SYA92,[13]AssetDetails_UEM!$A$3:$AH$1849,6,FALSE)</f>
        <v>Electrosurgical Units, Monopolar/Bipolar</v>
      </c>
      <c r="SYC92" s="165" t="s">
        <v>945</v>
      </c>
      <c r="SYD92" s="166" t="str">
        <f>VLOOKUP(SYC92,[13]AssetDetails_UEM!$A$3:$AH$1849,6,FALSE)</f>
        <v>Electrosurgical Units, Monopolar/Bipolar</v>
      </c>
      <c r="SYE92" s="165" t="s">
        <v>945</v>
      </c>
      <c r="SYF92" s="166" t="str">
        <f>VLOOKUP(SYE92,[13]AssetDetails_UEM!$A$3:$AH$1849,6,FALSE)</f>
        <v>Electrosurgical Units, Monopolar/Bipolar</v>
      </c>
      <c r="SYG92" s="165" t="s">
        <v>945</v>
      </c>
      <c r="SYH92" s="166" t="str">
        <f>VLOOKUP(SYG92,[13]AssetDetails_UEM!$A$3:$AH$1849,6,FALSE)</f>
        <v>Electrosurgical Units, Monopolar/Bipolar</v>
      </c>
      <c r="SYI92" s="165" t="s">
        <v>945</v>
      </c>
      <c r="SYJ92" s="166" t="str">
        <f>VLOOKUP(SYI92,[13]AssetDetails_UEM!$A$3:$AH$1849,6,FALSE)</f>
        <v>Electrosurgical Units, Monopolar/Bipolar</v>
      </c>
      <c r="SYK92" s="165" t="s">
        <v>945</v>
      </c>
      <c r="SYL92" s="166" t="str">
        <f>VLOOKUP(SYK92,[13]AssetDetails_UEM!$A$3:$AH$1849,6,FALSE)</f>
        <v>Electrosurgical Units, Monopolar/Bipolar</v>
      </c>
      <c r="SYM92" s="165" t="s">
        <v>945</v>
      </c>
      <c r="SYN92" s="166" t="str">
        <f>VLOOKUP(SYM92,[13]AssetDetails_UEM!$A$3:$AH$1849,6,FALSE)</f>
        <v>Electrosurgical Units, Monopolar/Bipolar</v>
      </c>
      <c r="SYO92" s="165" t="s">
        <v>945</v>
      </c>
      <c r="SYP92" s="166" t="str">
        <f>VLOOKUP(SYO92,[13]AssetDetails_UEM!$A$3:$AH$1849,6,FALSE)</f>
        <v>Electrosurgical Units, Monopolar/Bipolar</v>
      </c>
      <c r="SYQ92" s="165" t="s">
        <v>945</v>
      </c>
      <c r="SYR92" s="166" t="str">
        <f>VLOOKUP(SYQ92,[13]AssetDetails_UEM!$A$3:$AH$1849,6,FALSE)</f>
        <v>Electrosurgical Units, Monopolar/Bipolar</v>
      </c>
      <c r="SYS92" s="165" t="s">
        <v>945</v>
      </c>
      <c r="SYT92" s="166" t="str">
        <f>VLOOKUP(SYS92,[13]AssetDetails_UEM!$A$3:$AH$1849,6,FALSE)</f>
        <v>Electrosurgical Units, Monopolar/Bipolar</v>
      </c>
      <c r="SYU92" s="165" t="s">
        <v>945</v>
      </c>
      <c r="SYV92" s="166" t="str">
        <f>VLOOKUP(SYU92,[13]AssetDetails_UEM!$A$3:$AH$1849,6,FALSE)</f>
        <v>Electrosurgical Units, Monopolar/Bipolar</v>
      </c>
      <c r="SYW92" s="165" t="s">
        <v>945</v>
      </c>
      <c r="SYX92" s="166" t="str">
        <f>VLOOKUP(SYW92,[13]AssetDetails_UEM!$A$3:$AH$1849,6,FALSE)</f>
        <v>Electrosurgical Units, Monopolar/Bipolar</v>
      </c>
      <c r="SYY92" s="165" t="s">
        <v>945</v>
      </c>
      <c r="SYZ92" s="166" t="str">
        <f>VLOOKUP(SYY92,[13]AssetDetails_UEM!$A$3:$AH$1849,6,FALSE)</f>
        <v>Electrosurgical Units, Monopolar/Bipolar</v>
      </c>
      <c r="SZA92" s="165" t="s">
        <v>945</v>
      </c>
      <c r="SZB92" s="166" t="str">
        <f>VLOOKUP(SZA92,[13]AssetDetails_UEM!$A$3:$AH$1849,6,FALSE)</f>
        <v>Electrosurgical Units, Monopolar/Bipolar</v>
      </c>
      <c r="SZC92" s="165" t="s">
        <v>945</v>
      </c>
      <c r="SZD92" s="166" t="str">
        <f>VLOOKUP(SZC92,[13]AssetDetails_UEM!$A$3:$AH$1849,6,FALSE)</f>
        <v>Electrosurgical Units, Monopolar/Bipolar</v>
      </c>
      <c r="SZE92" s="165" t="s">
        <v>945</v>
      </c>
      <c r="SZF92" s="166" t="str">
        <f>VLOOKUP(SZE92,[13]AssetDetails_UEM!$A$3:$AH$1849,6,FALSE)</f>
        <v>Electrosurgical Units, Monopolar/Bipolar</v>
      </c>
      <c r="SZG92" s="165" t="s">
        <v>945</v>
      </c>
      <c r="SZH92" s="166" t="str">
        <f>VLOOKUP(SZG92,[13]AssetDetails_UEM!$A$3:$AH$1849,6,FALSE)</f>
        <v>Electrosurgical Units, Monopolar/Bipolar</v>
      </c>
      <c r="SZI92" s="165" t="s">
        <v>945</v>
      </c>
      <c r="SZJ92" s="166" t="str">
        <f>VLOOKUP(SZI92,[13]AssetDetails_UEM!$A$3:$AH$1849,6,FALSE)</f>
        <v>Electrosurgical Units, Monopolar/Bipolar</v>
      </c>
      <c r="SZK92" s="165" t="s">
        <v>945</v>
      </c>
      <c r="SZL92" s="166" t="str">
        <f>VLOOKUP(SZK92,[13]AssetDetails_UEM!$A$3:$AH$1849,6,FALSE)</f>
        <v>Electrosurgical Units, Monopolar/Bipolar</v>
      </c>
      <c r="SZM92" s="165" t="s">
        <v>945</v>
      </c>
      <c r="SZN92" s="166" t="str">
        <f>VLOOKUP(SZM92,[13]AssetDetails_UEM!$A$3:$AH$1849,6,FALSE)</f>
        <v>Electrosurgical Units, Monopolar/Bipolar</v>
      </c>
      <c r="SZO92" s="165" t="s">
        <v>945</v>
      </c>
      <c r="SZP92" s="166" t="str">
        <f>VLOOKUP(SZO92,[13]AssetDetails_UEM!$A$3:$AH$1849,6,FALSE)</f>
        <v>Electrosurgical Units, Monopolar/Bipolar</v>
      </c>
      <c r="SZQ92" s="165" t="s">
        <v>945</v>
      </c>
      <c r="SZR92" s="166" t="str">
        <f>VLOOKUP(SZQ92,[13]AssetDetails_UEM!$A$3:$AH$1849,6,FALSE)</f>
        <v>Electrosurgical Units, Monopolar/Bipolar</v>
      </c>
      <c r="SZS92" s="165" t="s">
        <v>945</v>
      </c>
      <c r="SZT92" s="166" t="str">
        <f>VLOOKUP(SZS92,[13]AssetDetails_UEM!$A$3:$AH$1849,6,FALSE)</f>
        <v>Electrosurgical Units, Monopolar/Bipolar</v>
      </c>
      <c r="SZU92" s="165" t="s">
        <v>945</v>
      </c>
      <c r="SZV92" s="166" t="str">
        <f>VLOOKUP(SZU92,[13]AssetDetails_UEM!$A$3:$AH$1849,6,FALSE)</f>
        <v>Electrosurgical Units, Monopolar/Bipolar</v>
      </c>
      <c r="SZW92" s="165" t="s">
        <v>945</v>
      </c>
      <c r="SZX92" s="166" t="str">
        <f>VLOOKUP(SZW92,[13]AssetDetails_UEM!$A$3:$AH$1849,6,FALSE)</f>
        <v>Electrosurgical Units, Monopolar/Bipolar</v>
      </c>
      <c r="SZY92" s="165" t="s">
        <v>945</v>
      </c>
      <c r="SZZ92" s="166" t="str">
        <f>VLOOKUP(SZY92,[13]AssetDetails_UEM!$A$3:$AH$1849,6,FALSE)</f>
        <v>Electrosurgical Units, Monopolar/Bipolar</v>
      </c>
      <c r="TAA92" s="165" t="s">
        <v>945</v>
      </c>
      <c r="TAB92" s="166" t="str">
        <f>VLOOKUP(TAA92,[13]AssetDetails_UEM!$A$3:$AH$1849,6,FALSE)</f>
        <v>Electrosurgical Units, Monopolar/Bipolar</v>
      </c>
      <c r="TAC92" s="165" t="s">
        <v>945</v>
      </c>
      <c r="TAD92" s="166" t="str">
        <f>VLOOKUP(TAC92,[13]AssetDetails_UEM!$A$3:$AH$1849,6,FALSE)</f>
        <v>Electrosurgical Units, Monopolar/Bipolar</v>
      </c>
      <c r="TAE92" s="165" t="s">
        <v>945</v>
      </c>
      <c r="TAF92" s="166" t="str">
        <f>VLOOKUP(TAE92,[13]AssetDetails_UEM!$A$3:$AH$1849,6,FALSE)</f>
        <v>Electrosurgical Units, Monopolar/Bipolar</v>
      </c>
      <c r="TAG92" s="165" t="s">
        <v>945</v>
      </c>
      <c r="TAH92" s="166" t="str">
        <f>VLOOKUP(TAG92,[13]AssetDetails_UEM!$A$3:$AH$1849,6,FALSE)</f>
        <v>Electrosurgical Units, Monopolar/Bipolar</v>
      </c>
      <c r="TAI92" s="165" t="s">
        <v>945</v>
      </c>
      <c r="TAJ92" s="166" t="str">
        <f>VLOOKUP(TAI92,[13]AssetDetails_UEM!$A$3:$AH$1849,6,FALSE)</f>
        <v>Electrosurgical Units, Monopolar/Bipolar</v>
      </c>
      <c r="TAK92" s="165" t="s">
        <v>945</v>
      </c>
      <c r="TAL92" s="166" t="str">
        <f>VLOOKUP(TAK92,[13]AssetDetails_UEM!$A$3:$AH$1849,6,FALSE)</f>
        <v>Electrosurgical Units, Monopolar/Bipolar</v>
      </c>
      <c r="TAM92" s="165" t="s">
        <v>945</v>
      </c>
      <c r="TAN92" s="166" t="str">
        <f>VLOOKUP(TAM92,[13]AssetDetails_UEM!$A$3:$AH$1849,6,FALSE)</f>
        <v>Electrosurgical Units, Monopolar/Bipolar</v>
      </c>
      <c r="TAO92" s="165" t="s">
        <v>945</v>
      </c>
      <c r="TAP92" s="166" t="str">
        <f>VLOOKUP(TAO92,[13]AssetDetails_UEM!$A$3:$AH$1849,6,FALSE)</f>
        <v>Electrosurgical Units, Monopolar/Bipolar</v>
      </c>
      <c r="TAQ92" s="165" t="s">
        <v>945</v>
      </c>
      <c r="TAR92" s="166" t="str">
        <f>VLOOKUP(TAQ92,[13]AssetDetails_UEM!$A$3:$AH$1849,6,FALSE)</f>
        <v>Electrosurgical Units, Monopolar/Bipolar</v>
      </c>
      <c r="TAS92" s="165" t="s">
        <v>945</v>
      </c>
      <c r="TAT92" s="166" t="str">
        <f>VLOOKUP(TAS92,[13]AssetDetails_UEM!$A$3:$AH$1849,6,FALSE)</f>
        <v>Electrosurgical Units, Monopolar/Bipolar</v>
      </c>
      <c r="TAU92" s="165" t="s">
        <v>945</v>
      </c>
      <c r="TAV92" s="166" t="str">
        <f>VLOOKUP(TAU92,[13]AssetDetails_UEM!$A$3:$AH$1849,6,FALSE)</f>
        <v>Electrosurgical Units, Monopolar/Bipolar</v>
      </c>
      <c r="TAW92" s="165" t="s">
        <v>945</v>
      </c>
      <c r="TAX92" s="166" t="str">
        <f>VLOOKUP(TAW92,[13]AssetDetails_UEM!$A$3:$AH$1849,6,FALSE)</f>
        <v>Electrosurgical Units, Monopolar/Bipolar</v>
      </c>
      <c r="TAY92" s="165" t="s">
        <v>945</v>
      </c>
      <c r="TAZ92" s="166" t="str">
        <f>VLOOKUP(TAY92,[13]AssetDetails_UEM!$A$3:$AH$1849,6,FALSE)</f>
        <v>Electrosurgical Units, Monopolar/Bipolar</v>
      </c>
      <c r="TBA92" s="165" t="s">
        <v>945</v>
      </c>
      <c r="TBB92" s="166" t="str">
        <f>VLOOKUP(TBA92,[13]AssetDetails_UEM!$A$3:$AH$1849,6,FALSE)</f>
        <v>Electrosurgical Units, Monopolar/Bipolar</v>
      </c>
      <c r="TBC92" s="165" t="s">
        <v>945</v>
      </c>
      <c r="TBD92" s="166" t="str">
        <f>VLOOKUP(TBC92,[13]AssetDetails_UEM!$A$3:$AH$1849,6,FALSE)</f>
        <v>Electrosurgical Units, Monopolar/Bipolar</v>
      </c>
      <c r="TBE92" s="165" t="s">
        <v>945</v>
      </c>
      <c r="TBF92" s="166" t="str">
        <f>VLOOKUP(TBE92,[13]AssetDetails_UEM!$A$3:$AH$1849,6,FALSE)</f>
        <v>Electrosurgical Units, Monopolar/Bipolar</v>
      </c>
      <c r="TBG92" s="165" t="s">
        <v>945</v>
      </c>
      <c r="TBH92" s="166" t="str">
        <f>VLOOKUP(TBG92,[13]AssetDetails_UEM!$A$3:$AH$1849,6,FALSE)</f>
        <v>Electrosurgical Units, Monopolar/Bipolar</v>
      </c>
      <c r="TBI92" s="165" t="s">
        <v>945</v>
      </c>
      <c r="TBJ92" s="166" t="str">
        <f>VLOOKUP(TBI92,[13]AssetDetails_UEM!$A$3:$AH$1849,6,FALSE)</f>
        <v>Electrosurgical Units, Monopolar/Bipolar</v>
      </c>
      <c r="TBK92" s="165" t="s">
        <v>945</v>
      </c>
      <c r="TBL92" s="166" t="str">
        <f>VLOOKUP(TBK92,[13]AssetDetails_UEM!$A$3:$AH$1849,6,FALSE)</f>
        <v>Electrosurgical Units, Monopolar/Bipolar</v>
      </c>
      <c r="TBM92" s="165" t="s">
        <v>945</v>
      </c>
      <c r="TBN92" s="166" t="str">
        <f>VLOOKUP(TBM92,[13]AssetDetails_UEM!$A$3:$AH$1849,6,FALSE)</f>
        <v>Electrosurgical Units, Monopolar/Bipolar</v>
      </c>
      <c r="TBO92" s="165" t="s">
        <v>945</v>
      </c>
      <c r="TBP92" s="166" t="str">
        <f>VLOOKUP(TBO92,[13]AssetDetails_UEM!$A$3:$AH$1849,6,FALSE)</f>
        <v>Electrosurgical Units, Monopolar/Bipolar</v>
      </c>
      <c r="TBQ92" s="165" t="s">
        <v>945</v>
      </c>
      <c r="TBR92" s="166" t="str">
        <f>VLOOKUP(TBQ92,[13]AssetDetails_UEM!$A$3:$AH$1849,6,FALSE)</f>
        <v>Electrosurgical Units, Monopolar/Bipolar</v>
      </c>
      <c r="TBS92" s="165" t="s">
        <v>945</v>
      </c>
      <c r="TBT92" s="166" t="str">
        <f>VLOOKUP(TBS92,[13]AssetDetails_UEM!$A$3:$AH$1849,6,FALSE)</f>
        <v>Electrosurgical Units, Monopolar/Bipolar</v>
      </c>
      <c r="TBU92" s="165" t="s">
        <v>945</v>
      </c>
      <c r="TBV92" s="166" t="str">
        <f>VLOOKUP(TBU92,[13]AssetDetails_UEM!$A$3:$AH$1849,6,FALSE)</f>
        <v>Electrosurgical Units, Monopolar/Bipolar</v>
      </c>
      <c r="TBW92" s="165" t="s">
        <v>945</v>
      </c>
      <c r="TBX92" s="166" t="str">
        <f>VLOOKUP(TBW92,[13]AssetDetails_UEM!$A$3:$AH$1849,6,FALSE)</f>
        <v>Electrosurgical Units, Monopolar/Bipolar</v>
      </c>
      <c r="TBY92" s="165" t="s">
        <v>945</v>
      </c>
      <c r="TBZ92" s="166" t="str">
        <f>VLOOKUP(TBY92,[13]AssetDetails_UEM!$A$3:$AH$1849,6,FALSE)</f>
        <v>Electrosurgical Units, Monopolar/Bipolar</v>
      </c>
      <c r="TCA92" s="165" t="s">
        <v>945</v>
      </c>
      <c r="TCB92" s="166" t="str">
        <f>VLOOKUP(TCA92,[13]AssetDetails_UEM!$A$3:$AH$1849,6,FALSE)</f>
        <v>Electrosurgical Units, Monopolar/Bipolar</v>
      </c>
      <c r="TCC92" s="165" t="s">
        <v>945</v>
      </c>
      <c r="TCD92" s="166" t="str">
        <f>VLOOKUP(TCC92,[13]AssetDetails_UEM!$A$3:$AH$1849,6,FALSE)</f>
        <v>Electrosurgical Units, Monopolar/Bipolar</v>
      </c>
      <c r="TCE92" s="165" t="s">
        <v>945</v>
      </c>
      <c r="TCF92" s="166" t="str">
        <f>VLOOKUP(TCE92,[13]AssetDetails_UEM!$A$3:$AH$1849,6,FALSE)</f>
        <v>Electrosurgical Units, Monopolar/Bipolar</v>
      </c>
      <c r="TCG92" s="165" t="s">
        <v>945</v>
      </c>
      <c r="TCH92" s="166" t="str">
        <f>VLOOKUP(TCG92,[13]AssetDetails_UEM!$A$3:$AH$1849,6,FALSE)</f>
        <v>Electrosurgical Units, Monopolar/Bipolar</v>
      </c>
      <c r="TCI92" s="165" t="s">
        <v>945</v>
      </c>
      <c r="TCJ92" s="166" t="str">
        <f>VLOOKUP(TCI92,[13]AssetDetails_UEM!$A$3:$AH$1849,6,FALSE)</f>
        <v>Electrosurgical Units, Monopolar/Bipolar</v>
      </c>
      <c r="TCK92" s="165" t="s">
        <v>945</v>
      </c>
      <c r="TCL92" s="166" t="str">
        <f>VLOOKUP(TCK92,[13]AssetDetails_UEM!$A$3:$AH$1849,6,FALSE)</f>
        <v>Electrosurgical Units, Monopolar/Bipolar</v>
      </c>
      <c r="TCM92" s="165" t="s">
        <v>945</v>
      </c>
      <c r="TCN92" s="166" t="str">
        <f>VLOOKUP(TCM92,[13]AssetDetails_UEM!$A$3:$AH$1849,6,FALSE)</f>
        <v>Electrosurgical Units, Monopolar/Bipolar</v>
      </c>
      <c r="TCO92" s="165" t="s">
        <v>945</v>
      </c>
      <c r="TCP92" s="166" t="str">
        <f>VLOOKUP(TCO92,[13]AssetDetails_UEM!$A$3:$AH$1849,6,FALSE)</f>
        <v>Electrosurgical Units, Monopolar/Bipolar</v>
      </c>
      <c r="TCQ92" s="165" t="s">
        <v>945</v>
      </c>
      <c r="TCR92" s="166" t="str">
        <f>VLOOKUP(TCQ92,[13]AssetDetails_UEM!$A$3:$AH$1849,6,FALSE)</f>
        <v>Electrosurgical Units, Monopolar/Bipolar</v>
      </c>
      <c r="TCS92" s="165" t="s">
        <v>945</v>
      </c>
      <c r="TCT92" s="166" t="str">
        <f>VLOOKUP(TCS92,[13]AssetDetails_UEM!$A$3:$AH$1849,6,FALSE)</f>
        <v>Electrosurgical Units, Monopolar/Bipolar</v>
      </c>
      <c r="TCU92" s="165" t="s">
        <v>945</v>
      </c>
      <c r="TCV92" s="166" t="str">
        <f>VLOOKUP(TCU92,[13]AssetDetails_UEM!$A$3:$AH$1849,6,FALSE)</f>
        <v>Electrosurgical Units, Monopolar/Bipolar</v>
      </c>
      <c r="TCW92" s="165" t="s">
        <v>945</v>
      </c>
      <c r="TCX92" s="166" t="str">
        <f>VLOOKUP(TCW92,[13]AssetDetails_UEM!$A$3:$AH$1849,6,FALSE)</f>
        <v>Electrosurgical Units, Monopolar/Bipolar</v>
      </c>
      <c r="TCY92" s="165" t="s">
        <v>945</v>
      </c>
      <c r="TCZ92" s="166" t="str">
        <f>VLOOKUP(TCY92,[13]AssetDetails_UEM!$A$3:$AH$1849,6,FALSE)</f>
        <v>Electrosurgical Units, Monopolar/Bipolar</v>
      </c>
      <c r="TDA92" s="165" t="s">
        <v>945</v>
      </c>
      <c r="TDB92" s="166" t="str">
        <f>VLOOKUP(TDA92,[13]AssetDetails_UEM!$A$3:$AH$1849,6,FALSE)</f>
        <v>Electrosurgical Units, Monopolar/Bipolar</v>
      </c>
      <c r="TDC92" s="165" t="s">
        <v>945</v>
      </c>
      <c r="TDD92" s="166" t="str">
        <f>VLOOKUP(TDC92,[13]AssetDetails_UEM!$A$3:$AH$1849,6,FALSE)</f>
        <v>Electrosurgical Units, Monopolar/Bipolar</v>
      </c>
      <c r="TDE92" s="165" t="s">
        <v>945</v>
      </c>
      <c r="TDF92" s="166" t="str">
        <f>VLOOKUP(TDE92,[13]AssetDetails_UEM!$A$3:$AH$1849,6,FALSE)</f>
        <v>Electrosurgical Units, Monopolar/Bipolar</v>
      </c>
      <c r="TDG92" s="165" t="s">
        <v>945</v>
      </c>
      <c r="TDH92" s="166" t="str">
        <f>VLOOKUP(TDG92,[13]AssetDetails_UEM!$A$3:$AH$1849,6,FALSE)</f>
        <v>Electrosurgical Units, Monopolar/Bipolar</v>
      </c>
      <c r="TDI92" s="165" t="s">
        <v>945</v>
      </c>
      <c r="TDJ92" s="166" t="str">
        <f>VLOOKUP(TDI92,[13]AssetDetails_UEM!$A$3:$AH$1849,6,FALSE)</f>
        <v>Electrosurgical Units, Monopolar/Bipolar</v>
      </c>
      <c r="TDK92" s="165" t="s">
        <v>945</v>
      </c>
      <c r="TDL92" s="166" t="str">
        <f>VLOOKUP(TDK92,[13]AssetDetails_UEM!$A$3:$AH$1849,6,FALSE)</f>
        <v>Electrosurgical Units, Monopolar/Bipolar</v>
      </c>
      <c r="TDM92" s="165" t="s">
        <v>945</v>
      </c>
      <c r="TDN92" s="166" t="str">
        <f>VLOOKUP(TDM92,[13]AssetDetails_UEM!$A$3:$AH$1849,6,FALSE)</f>
        <v>Electrosurgical Units, Monopolar/Bipolar</v>
      </c>
      <c r="TDO92" s="165" t="s">
        <v>945</v>
      </c>
      <c r="TDP92" s="166" t="str">
        <f>VLOOKUP(TDO92,[13]AssetDetails_UEM!$A$3:$AH$1849,6,FALSE)</f>
        <v>Electrosurgical Units, Monopolar/Bipolar</v>
      </c>
      <c r="TDQ92" s="165" t="s">
        <v>945</v>
      </c>
      <c r="TDR92" s="166" t="str">
        <f>VLOOKUP(TDQ92,[13]AssetDetails_UEM!$A$3:$AH$1849,6,FALSE)</f>
        <v>Electrosurgical Units, Monopolar/Bipolar</v>
      </c>
      <c r="TDS92" s="165" t="s">
        <v>945</v>
      </c>
      <c r="TDT92" s="166" t="str">
        <f>VLOOKUP(TDS92,[13]AssetDetails_UEM!$A$3:$AH$1849,6,FALSE)</f>
        <v>Electrosurgical Units, Monopolar/Bipolar</v>
      </c>
      <c r="TDU92" s="165" t="s">
        <v>945</v>
      </c>
      <c r="TDV92" s="166" t="str">
        <f>VLOOKUP(TDU92,[13]AssetDetails_UEM!$A$3:$AH$1849,6,FALSE)</f>
        <v>Electrosurgical Units, Monopolar/Bipolar</v>
      </c>
      <c r="TDW92" s="165" t="s">
        <v>945</v>
      </c>
      <c r="TDX92" s="166" t="str">
        <f>VLOOKUP(TDW92,[13]AssetDetails_UEM!$A$3:$AH$1849,6,FALSE)</f>
        <v>Electrosurgical Units, Monopolar/Bipolar</v>
      </c>
      <c r="TDY92" s="165" t="s">
        <v>945</v>
      </c>
      <c r="TDZ92" s="166" t="str">
        <f>VLOOKUP(TDY92,[13]AssetDetails_UEM!$A$3:$AH$1849,6,FALSE)</f>
        <v>Electrosurgical Units, Monopolar/Bipolar</v>
      </c>
      <c r="TEA92" s="165" t="s">
        <v>945</v>
      </c>
      <c r="TEB92" s="166" t="str">
        <f>VLOOKUP(TEA92,[13]AssetDetails_UEM!$A$3:$AH$1849,6,FALSE)</f>
        <v>Electrosurgical Units, Monopolar/Bipolar</v>
      </c>
      <c r="TEC92" s="165" t="s">
        <v>945</v>
      </c>
      <c r="TED92" s="166" t="str">
        <f>VLOOKUP(TEC92,[13]AssetDetails_UEM!$A$3:$AH$1849,6,FALSE)</f>
        <v>Electrosurgical Units, Monopolar/Bipolar</v>
      </c>
      <c r="TEE92" s="165" t="s">
        <v>945</v>
      </c>
      <c r="TEF92" s="166" t="str">
        <f>VLOOKUP(TEE92,[13]AssetDetails_UEM!$A$3:$AH$1849,6,FALSE)</f>
        <v>Electrosurgical Units, Monopolar/Bipolar</v>
      </c>
      <c r="TEG92" s="165" t="s">
        <v>945</v>
      </c>
      <c r="TEH92" s="166" t="str">
        <f>VLOOKUP(TEG92,[13]AssetDetails_UEM!$A$3:$AH$1849,6,FALSE)</f>
        <v>Electrosurgical Units, Monopolar/Bipolar</v>
      </c>
      <c r="TEI92" s="165" t="s">
        <v>945</v>
      </c>
      <c r="TEJ92" s="166" t="str">
        <f>VLOOKUP(TEI92,[13]AssetDetails_UEM!$A$3:$AH$1849,6,FALSE)</f>
        <v>Electrosurgical Units, Monopolar/Bipolar</v>
      </c>
      <c r="TEK92" s="165" t="s">
        <v>945</v>
      </c>
      <c r="TEL92" s="166" t="str">
        <f>VLOOKUP(TEK92,[13]AssetDetails_UEM!$A$3:$AH$1849,6,FALSE)</f>
        <v>Electrosurgical Units, Monopolar/Bipolar</v>
      </c>
      <c r="TEM92" s="165" t="s">
        <v>945</v>
      </c>
      <c r="TEN92" s="166" t="str">
        <f>VLOOKUP(TEM92,[13]AssetDetails_UEM!$A$3:$AH$1849,6,FALSE)</f>
        <v>Electrosurgical Units, Monopolar/Bipolar</v>
      </c>
      <c r="TEO92" s="165" t="s">
        <v>945</v>
      </c>
      <c r="TEP92" s="166" t="str">
        <f>VLOOKUP(TEO92,[13]AssetDetails_UEM!$A$3:$AH$1849,6,FALSE)</f>
        <v>Electrosurgical Units, Monopolar/Bipolar</v>
      </c>
      <c r="TEQ92" s="165" t="s">
        <v>945</v>
      </c>
      <c r="TER92" s="166" t="str">
        <f>VLOOKUP(TEQ92,[13]AssetDetails_UEM!$A$3:$AH$1849,6,FALSE)</f>
        <v>Electrosurgical Units, Monopolar/Bipolar</v>
      </c>
      <c r="TES92" s="165" t="s">
        <v>945</v>
      </c>
      <c r="TET92" s="166" t="str">
        <f>VLOOKUP(TES92,[13]AssetDetails_UEM!$A$3:$AH$1849,6,FALSE)</f>
        <v>Electrosurgical Units, Monopolar/Bipolar</v>
      </c>
      <c r="TEU92" s="165" t="s">
        <v>945</v>
      </c>
      <c r="TEV92" s="166" t="str">
        <f>VLOOKUP(TEU92,[13]AssetDetails_UEM!$A$3:$AH$1849,6,FALSE)</f>
        <v>Electrosurgical Units, Monopolar/Bipolar</v>
      </c>
      <c r="TEW92" s="165" t="s">
        <v>945</v>
      </c>
      <c r="TEX92" s="166" t="str">
        <f>VLOOKUP(TEW92,[13]AssetDetails_UEM!$A$3:$AH$1849,6,FALSE)</f>
        <v>Electrosurgical Units, Monopolar/Bipolar</v>
      </c>
      <c r="TEY92" s="165" t="s">
        <v>945</v>
      </c>
      <c r="TEZ92" s="166" t="str">
        <f>VLOOKUP(TEY92,[13]AssetDetails_UEM!$A$3:$AH$1849,6,FALSE)</f>
        <v>Electrosurgical Units, Monopolar/Bipolar</v>
      </c>
      <c r="TFA92" s="165" t="s">
        <v>945</v>
      </c>
      <c r="TFB92" s="166" t="str">
        <f>VLOOKUP(TFA92,[13]AssetDetails_UEM!$A$3:$AH$1849,6,FALSE)</f>
        <v>Electrosurgical Units, Monopolar/Bipolar</v>
      </c>
      <c r="TFC92" s="165" t="s">
        <v>945</v>
      </c>
      <c r="TFD92" s="166" t="str">
        <f>VLOOKUP(TFC92,[13]AssetDetails_UEM!$A$3:$AH$1849,6,FALSE)</f>
        <v>Electrosurgical Units, Monopolar/Bipolar</v>
      </c>
      <c r="TFE92" s="165" t="s">
        <v>945</v>
      </c>
      <c r="TFF92" s="166" t="str">
        <f>VLOOKUP(TFE92,[13]AssetDetails_UEM!$A$3:$AH$1849,6,FALSE)</f>
        <v>Electrosurgical Units, Monopolar/Bipolar</v>
      </c>
      <c r="TFG92" s="165" t="s">
        <v>945</v>
      </c>
      <c r="TFH92" s="166" t="str">
        <f>VLOOKUP(TFG92,[13]AssetDetails_UEM!$A$3:$AH$1849,6,FALSE)</f>
        <v>Electrosurgical Units, Monopolar/Bipolar</v>
      </c>
      <c r="TFI92" s="165" t="s">
        <v>945</v>
      </c>
      <c r="TFJ92" s="166" t="str">
        <f>VLOOKUP(TFI92,[13]AssetDetails_UEM!$A$3:$AH$1849,6,FALSE)</f>
        <v>Electrosurgical Units, Monopolar/Bipolar</v>
      </c>
      <c r="TFK92" s="165" t="s">
        <v>945</v>
      </c>
      <c r="TFL92" s="166" t="str">
        <f>VLOOKUP(TFK92,[13]AssetDetails_UEM!$A$3:$AH$1849,6,FALSE)</f>
        <v>Electrosurgical Units, Monopolar/Bipolar</v>
      </c>
      <c r="TFM92" s="165" t="s">
        <v>945</v>
      </c>
      <c r="TFN92" s="166" t="str">
        <f>VLOOKUP(TFM92,[13]AssetDetails_UEM!$A$3:$AH$1849,6,FALSE)</f>
        <v>Electrosurgical Units, Monopolar/Bipolar</v>
      </c>
      <c r="TFO92" s="165" t="s">
        <v>945</v>
      </c>
      <c r="TFP92" s="166" t="str">
        <f>VLOOKUP(TFO92,[13]AssetDetails_UEM!$A$3:$AH$1849,6,FALSE)</f>
        <v>Electrosurgical Units, Monopolar/Bipolar</v>
      </c>
      <c r="TFQ92" s="165" t="s">
        <v>945</v>
      </c>
      <c r="TFR92" s="166" t="str">
        <f>VLOOKUP(TFQ92,[13]AssetDetails_UEM!$A$3:$AH$1849,6,FALSE)</f>
        <v>Electrosurgical Units, Monopolar/Bipolar</v>
      </c>
      <c r="TFS92" s="165" t="s">
        <v>945</v>
      </c>
      <c r="TFT92" s="166" t="str">
        <f>VLOOKUP(TFS92,[13]AssetDetails_UEM!$A$3:$AH$1849,6,FALSE)</f>
        <v>Electrosurgical Units, Monopolar/Bipolar</v>
      </c>
      <c r="TFU92" s="165" t="s">
        <v>945</v>
      </c>
      <c r="TFV92" s="166" t="str">
        <f>VLOOKUP(TFU92,[13]AssetDetails_UEM!$A$3:$AH$1849,6,FALSE)</f>
        <v>Electrosurgical Units, Monopolar/Bipolar</v>
      </c>
      <c r="TFW92" s="165" t="s">
        <v>945</v>
      </c>
      <c r="TFX92" s="166" t="str">
        <f>VLOOKUP(TFW92,[13]AssetDetails_UEM!$A$3:$AH$1849,6,FALSE)</f>
        <v>Electrosurgical Units, Monopolar/Bipolar</v>
      </c>
      <c r="TFY92" s="165" t="s">
        <v>945</v>
      </c>
      <c r="TFZ92" s="166" t="str">
        <f>VLOOKUP(TFY92,[13]AssetDetails_UEM!$A$3:$AH$1849,6,FALSE)</f>
        <v>Electrosurgical Units, Monopolar/Bipolar</v>
      </c>
      <c r="TGA92" s="165" t="s">
        <v>945</v>
      </c>
      <c r="TGB92" s="166" t="str">
        <f>VLOOKUP(TGA92,[13]AssetDetails_UEM!$A$3:$AH$1849,6,FALSE)</f>
        <v>Electrosurgical Units, Monopolar/Bipolar</v>
      </c>
      <c r="TGC92" s="165" t="s">
        <v>945</v>
      </c>
      <c r="TGD92" s="166" t="str">
        <f>VLOOKUP(TGC92,[13]AssetDetails_UEM!$A$3:$AH$1849,6,FALSE)</f>
        <v>Electrosurgical Units, Monopolar/Bipolar</v>
      </c>
      <c r="TGE92" s="165" t="s">
        <v>945</v>
      </c>
      <c r="TGF92" s="166" t="str">
        <f>VLOOKUP(TGE92,[13]AssetDetails_UEM!$A$3:$AH$1849,6,FALSE)</f>
        <v>Electrosurgical Units, Monopolar/Bipolar</v>
      </c>
      <c r="TGG92" s="165" t="s">
        <v>945</v>
      </c>
      <c r="TGH92" s="166" t="str">
        <f>VLOOKUP(TGG92,[13]AssetDetails_UEM!$A$3:$AH$1849,6,FALSE)</f>
        <v>Electrosurgical Units, Monopolar/Bipolar</v>
      </c>
      <c r="TGI92" s="165" t="s">
        <v>945</v>
      </c>
      <c r="TGJ92" s="166" t="str">
        <f>VLOOKUP(TGI92,[13]AssetDetails_UEM!$A$3:$AH$1849,6,FALSE)</f>
        <v>Electrosurgical Units, Monopolar/Bipolar</v>
      </c>
      <c r="TGK92" s="165" t="s">
        <v>945</v>
      </c>
      <c r="TGL92" s="166" t="str">
        <f>VLOOKUP(TGK92,[13]AssetDetails_UEM!$A$3:$AH$1849,6,FALSE)</f>
        <v>Electrosurgical Units, Monopolar/Bipolar</v>
      </c>
      <c r="TGM92" s="165" t="s">
        <v>945</v>
      </c>
      <c r="TGN92" s="166" t="str">
        <f>VLOOKUP(TGM92,[13]AssetDetails_UEM!$A$3:$AH$1849,6,FALSE)</f>
        <v>Electrosurgical Units, Monopolar/Bipolar</v>
      </c>
      <c r="TGO92" s="165" t="s">
        <v>945</v>
      </c>
      <c r="TGP92" s="166" t="str">
        <f>VLOOKUP(TGO92,[13]AssetDetails_UEM!$A$3:$AH$1849,6,FALSE)</f>
        <v>Electrosurgical Units, Monopolar/Bipolar</v>
      </c>
      <c r="TGQ92" s="165" t="s">
        <v>945</v>
      </c>
      <c r="TGR92" s="166" t="str">
        <f>VLOOKUP(TGQ92,[13]AssetDetails_UEM!$A$3:$AH$1849,6,FALSE)</f>
        <v>Electrosurgical Units, Monopolar/Bipolar</v>
      </c>
      <c r="TGS92" s="165" t="s">
        <v>945</v>
      </c>
      <c r="TGT92" s="166" t="str">
        <f>VLOOKUP(TGS92,[13]AssetDetails_UEM!$A$3:$AH$1849,6,FALSE)</f>
        <v>Electrosurgical Units, Monopolar/Bipolar</v>
      </c>
      <c r="TGU92" s="165" t="s">
        <v>945</v>
      </c>
      <c r="TGV92" s="166" t="str">
        <f>VLOOKUP(TGU92,[13]AssetDetails_UEM!$A$3:$AH$1849,6,FALSE)</f>
        <v>Electrosurgical Units, Monopolar/Bipolar</v>
      </c>
      <c r="TGW92" s="165" t="s">
        <v>945</v>
      </c>
      <c r="TGX92" s="166" t="str">
        <f>VLOOKUP(TGW92,[13]AssetDetails_UEM!$A$3:$AH$1849,6,FALSE)</f>
        <v>Electrosurgical Units, Monopolar/Bipolar</v>
      </c>
      <c r="TGY92" s="165" t="s">
        <v>945</v>
      </c>
      <c r="TGZ92" s="166" t="str">
        <f>VLOOKUP(TGY92,[13]AssetDetails_UEM!$A$3:$AH$1849,6,FALSE)</f>
        <v>Electrosurgical Units, Monopolar/Bipolar</v>
      </c>
      <c r="THA92" s="165" t="s">
        <v>945</v>
      </c>
      <c r="THB92" s="166" t="str">
        <f>VLOOKUP(THA92,[13]AssetDetails_UEM!$A$3:$AH$1849,6,FALSE)</f>
        <v>Electrosurgical Units, Monopolar/Bipolar</v>
      </c>
      <c r="THC92" s="165" t="s">
        <v>945</v>
      </c>
      <c r="THD92" s="166" t="str">
        <f>VLOOKUP(THC92,[13]AssetDetails_UEM!$A$3:$AH$1849,6,FALSE)</f>
        <v>Electrosurgical Units, Monopolar/Bipolar</v>
      </c>
      <c r="THE92" s="165" t="s">
        <v>945</v>
      </c>
      <c r="THF92" s="166" t="str">
        <f>VLOOKUP(THE92,[13]AssetDetails_UEM!$A$3:$AH$1849,6,FALSE)</f>
        <v>Electrosurgical Units, Monopolar/Bipolar</v>
      </c>
      <c r="THG92" s="165" t="s">
        <v>945</v>
      </c>
      <c r="THH92" s="166" t="str">
        <f>VLOOKUP(THG92,[13]AssetDetails_UEM!$A$3:$AH$1849,6,FALSE)</f>
        <v>Electrosurgical Units, Monopolar/Bipolar</v>
      </c>
      <c r="THI92" s="165" t="s">
        <v>945</v>
      </c>
      <c r="THJ92" s="166" t="str">
        <f>VLOOKUP(THI92,[13]AssetDetails_UEM!$A$3:$AH$1849,6,FALSE)</f>
        <v>Electrosurgical Units, Monopolar/Bipolar</v>
      </c>
      <c r="THK92" s="165" t="s">
        <v>945</v>
      </c>
      <c r="THL92" s="166" t="str">
        <f>VLOOKUP(THK92,[13]AssetDetails_UEM!$A$3:$AH$1849,6,FALSE)</f>
        <v>Electrosurgical Units, Monopolar/Bipolar</v>
      </c>
      <c r="THM92" s="165" t="s">
        <v>945</v>
      </c>
      <c r="THN92" s="166" t="str">
        <f>VLOOKUP(THM92,[13]AssetDetails_UEM!$A$3:$AH$1849,6,FALSE)</f>
        <v>Electrosurgical Units, Monopolar/Bipolar</v>
      </c>
      <c r="THO92" s="165" t="s">
        <v>945</v>
      </c>
      <c r="THP92" s="166" t="str">
        <f>VLOOKUP(THO92,[13]AssetDetails_UEM!$A$3:$AH$1849,6,FALSE)</f>
        <v>Electrosurgical Units, Monopolar/Bipolar</v>
      </c>
      <c r="THQ92" s="165" t="s">
        <v>945</v>
      </c>
      <c r="THR92" s="166" t="str">
        <f>VLOOKUP(THQ92,[13]AssetDetails_UEM!$A$3:$AH$1849,6,FALSE)</f>
        <v>Electrosurgical Units, Monopolar/Bipolar</v>
      </c>
      <c r="THS92" s="165" t="s">
        <v>945</v>
      </c>
      <c r="THT92" s="166" t="str">
        <f>VLOOKUP(THS92,[13]AssetDetails_UEM!$A$3:$AH$1849,6,FALSE)</f>
        <v>Electrosurgical Units, Monopolar/Bipolar</v>
      </c>
      <c r="THU92" s="165" t="s">
        <v>945</v>
      </c>
      <c r="THV92" s="166" t="str">
        <f>VLOOKUP(THU92,[13]AssetDetails_UEM!$A$3:$AH$1849,6,FALSE)</f>
        <v>Electrosurgical Units, Monopolar/Bipolar</v>
      </c>
      <c r="THW92" s="165" t="s">
        <v>945</v>
      </c>
      <c r="THX92" s="166" t="str">
        <f>VLOOKUP(THW92,[13]AssetDetails_UEM!$A$3:$AH$1849,6,FALSE)</f>
        <v>Electrosurgical Units, Monopolar/Bipolar</v>
      </c>
      <c r="THY92" s="165" t="s">
        <v>945</v>
      </c>
      <c r="THZ92" s="166" t="str">
        <f>VLOOKUP(THY92,[13]AssetDetails_UEM!$A$3:$AH$1849,6,FALSE)</f>
        <v>Electrosurgical Units, Monopolar/Bipolar</v>
      </c>
      <c r="TIA92" s="165" t="s">
        <v>945</v>
      </c>
      <c r="TIB92" s="166" t="str">
        <f>VLOOKUP(TIA92,[13]AssetDetails_UEM!$A$3:$AH$1849,6,FALSE)</f>
        <v>Electrosurgical Units, Monopolar/Bipolar</v>
      </c>
      <c r="TIC92" s="165" t="s">
        <v>945</v>
      </c>
      <c r="TID92" s="166" t="str">
        <f>VLOOKUP(TIC92,[13]AssetDetails_UEM!$A$3:$AH$1849,6,FALSE)</f>
        <v>Electrosurgical Units, Monopolar/Bipolar</v>
      </c>
      <c r="TIE92" s="165" t="s">
        <v>945</v>
      </c>
      <c r="TIF92" s="166" t="str">
        <f>VLOOKUP(TIE92,[13]AssetDetails_UEM!$A$3:$AH$1849,6,FALSE)</f>
        <v>Electrosurgical Units, Monopolar/Bipolar</v>
      </c>
      <c r="TIG92" s="165" t="s">
        <v>945</v>
      </c>
      <c r="TIH92" s="166" t="str">
        <f>VLOOKUP(TIG92,[13]AssetDetails_UEM!$A$3:$AH$1849,6,FALSE)</f>
        <v>Electrosurgical Units, Monopolar/Bipolar</v>
      </c>
      <c r="TII92" s="165" t="s">
        <v>945</v>
      </c>
      <c r="TIJ92" s="166" t="str">
        <f>VLOOKUP(TII92,[13]AssetDetails_UEM!$A$3:$AH$1849,6,FALSE)</f>
        <v>Electrosurgical Units, Monopolar/Bipolar</v>
      </c>
      <c r="TIK92" s="165" t="s">
        <v>945</v>
      </c>
      <c r="TIL92" s="166" t="str">
        <f>VLOOKUP(TIK92,[13]AssetDetails_UEM!$A$3:$AH$1849,6,FALSE)</f>
        <v>Electrosurgical Units, Monopolar/Bipolar</v>
      </c>
      <c r="TIM92" s="165" t="s">
        <v>945</v>
      </c>
      <c r="TIN92" s="166" t="str">
        <f>VLOOKUP(TIM92,[13]AssetDetails_UEM!$A$3:$AH$1849,6,FALSE)</f>
        <v>Electrosurgical Units, Monopolar/Bipolar</v>
      </c>
      <c r="TIO92" s="165" t="s">
        <v>945</v>
      </c>
      <c r="TIP92" s="166" t="str">
        <f>VLOOKUP(TIO92,[13]AssetDetails_UEM!$A$3:$AH$1849,6,FALSE)</f>
        <v>Electrosurgical Units, Monopolar/Bipolar</v>
      </c>
      <c r="TIQ92" s="165" t="s">
        <v>945</v>
      </c>
      <c r="TIR92" s="166" t="str">
        <f>VLOOKUP(TIQ92,[13]AssetDetails_UEM!$A$3:$AH$1849,6,FALSE)</f>
        <v>Electrosurgical Units, Monopolar/Bipolar</v>
      </c>
      <c r="TIS92" s="165" t="s">
        <v>945</v>
      </c>
      <c r="TIT92" s="166" t="str">
        <f>VLOOKUP(TIS92,[13]AssetDetails_UEM!$A$3:$AH$1849,6,FALSE)</f>
        <v>Electrosurgical Units, Monopolar/Bipolar</v>
      </c>
      <c r="TIU92" s="165" t="s">
        <v>945</v>
      </c>
      <c r="TIV92" s="166" t="str">
        <f>VLOOKUP(TIU92,[13]AssetDetails_UEM!$A$3:$AH$1849,6,FALSE)</f>
        <v>Electrosurgical Units, Monopolar/Bipolar</v>
      </c>
      <c r="TIW92" s="165" t="s">
        <v>945</v>
      </c>
      <c r="TIX92" s="166" t="str">
        <f>VLOOKUP(TIW92,[13]AssetDetails_UEM!$A$3:$AH$1849,6,FALSE)</f>
        <v>Electrosurgical Units, Monopolar/Bipolar</v>
      </c>
      <c r="TIY92" s="165" t="s">
        <v>945</v>
      </c>
      <c r="TIZ92" s="166" t="str">
        <f>VLOOKUP(TIY92,[13]AssetDetails_UEM!$A$3:$AH$1849,6,FALSE)</f>
        <v>Electrosurgical Units, Monopolar/Bipolar</v>
      </c>
      <c r="TJA92" s="165" t="s">
        <v>945</v>
      </c>
      <c r="TJB92" s="166" t="str">
        <f>VLOOKUP(TJA92,[13]AssetDetails_UEM!$A$3:$AH$1849,6,FALSE)</f>
        <v>Electrosurgical Units, Monopolar/Bipolar</v>
      </c>
      <c r="TJC92" s="165" t="s">
        <v>945</v>
      </c>
      <c r="TJD92" s="166" t="str">
        <f>VLOOKUP(TJC92,[13]AssetDetails_UEM!$A$3:$AH$1849,6,FALSE)</f>
        <v>Electrosurgical Units, Monopolar/Bipolar</v>
      </c>
      <c r="TJE92" s="165" t="s">
        <v>945</v>
      </c>
      <c r="TJF92" s="166" t="str">
        <f>VLOOKUP(TJE92,[13]AssetDetails_UEM!$A$3:$AH$1849,6,FALSE)</f>
        <v>Electrosurgical Units, Monopolar/Bipolar</v>
      </c>
      <c r="TJG92" s="165" t="s">
        <v>945</v>
      </c>
      <c r="TJH92" s="166" t="str">
        <f>VLOOKUP(TJG92,[13]AssetDetails_UEM!$A$3:$AH$1849,6,FALSE)</f>
        <v>Electrosurgical Units, Monopolar/Bipolar</v>
      </c>
      <c r="TJI92" s="165" t="s">
        <v>945</v>
      </c>
      <c r="TJJ92" s="166" t="str">
        <f>VLOOKUP(TJI92,[13]AssetDetails_UEM!$A$3:$AH$1849,6,FALSE)</f>
        <v>Electrosurgical Units, Monopolar/Bipolar</v>
      </c>
      <c r="TJK92" s="165" t="s">
        <v>945</v>
      </c>
      <c r="TJL92" s="166" t="str">
        <f>VLOOKUP(TJK92,[13]AssetDetails_UEM!$A$3:$AH$1849,6,FALSE)</f>
        <v>Electrosurgical Units, Monopolar/Bipolar</v>
      </c>
      <c r="TJM92" s="165" t="s">
        <v>945</v>
      </c>
      <c r="TJN92" s="166" t="str">
        <f>VLOOKUP(TJM92,[13]AssetDetails_UEM!$A$3:$AH$1849,6,FALSE)</f>
        <v>Electrosurgical Units, Monopolar/Bipolar</v>
      </c>
      <c r="TJO92" s="165" t="s">
        <v>945</v>
      </c>
      <c r="TJP92" s="166" t="str">
        <f>VLOOKUP(TJO92,[13]AssetDetails_UEM!$A$3:$AH$1849,6,FALSE)</f>
        <v>Electrosurgical Units, Monopolar/Bipolar</v>
      </c>
      <c r="TJQ92" s="165" t="s">
        <v>945</v>
      </c>
      <c r="TJR92" s="166" t="str">
        <f>VLOOKUP(TJQ92,[13]AssetDetails_UEM!$A$3:$AH$1849,6,FALSE)</f>
        <v>Electrosurgical Units, Monopolar/Bipolar</v>
      </c>
      <c r="TJS92" s="165" t="s">
        <v>945</v>
      </c>
      <c r="TJT92" s="166" t="str">
        <f>VLOOKUP(TJS92,[13]AssetDetails_UEM!$A$3:$AH$1849,6,FALSE)</f>
        <v>Electrosurgical Units, Monopolar/Bipolar</v>
      </c>
      <c r="TJU92" s="165" t="s">
        <v>945</v>
      </c>
      <c r="TJV92" s="166" t="str">
        <f>VLOOKUP(TJU92,[13]AssetDetails_UEM!$A$3:$AH$1849,6,FALSE)</f>
        <v>Electrosurgical Units, Monopolar/Bipolar</v>
      </c>
      <c r="TJW92" s="165" t="s">
        <v>945</v>
      </c>
      <c r="TJX92" s="166" t="str">
        <f>VLOOKUP(TJW92,[13]AssetDetails_UEM!$A$3:$AH$1849,6,FALSE)</f>
        <v>Electrosurgical Units, Monopolar/Bipolar</v>
      </c>
      <c r="TJY92" s="165" t="s">
        <v>945</v>
      </c>
      <c r="TJZ92" s="166" t="str">
        <f>VLOOKUP(TJY92,[13]AssetDetails_UEM!$A$3:$AH$1849,6,FALSE)</f>
        <v>Electrosurgical Units, Monopolar/Bipolar</v>
      </c>
      <c r="TKA92" s="165" t="s">
        <v>945</v>
      </c>
      <c r="TKB92" s="166" t="str">
        <f>VLOOKUP(TKA92,[13]AssetDetails_UEM!$A$3:$AH$1849,6,FALSE)</f>
        <v>Electrosurgical Units, Monopolar/Bipolar</v>
      </c>
      <c r="TKC92" s="165" t="s">
        <v>945</v>
      </c>
      <c r="TKD92" s="166" t="str">
        <f>VLOOKUP(TKC92,[13]AssetDetails_UEM!$A$3:$AH$1849,6,FALSE)</f>
        <v>Electrosurgical Units, Monopolar/Bipolar</v>
      </c>
      <c r="TKE92" s="165" t="s">
        <v>945</v>
      </c>
      <c r="TKF92" s="166" t="str">
        <f>VLOOKUP(TKE92,[13]AssetDetails_UEM!$A$3:$AH$1849,6,FALSE)</f>
        <v>Electrosurgical Units, Monopolar/Bipolar</v>
      </c>
      <c r="TKG92" s="165" t="s">
        <v>945</v>
      </c>
      <c r="TKH92" s="166" t="str">
        <f>VLOOKUP(TKG92,[13]AssetDetails_UEM!$A$3:$AH$1849,6,FALSE)</f>
        <v>Electrosurgical Units, Monopolar/Bipolar</v>
      </c>
      <c r="TKI92" s="165" t="s">
        <v>945</v>
      </c>
      <c r="TKJ92" s="166" t="str">
        <f>VLOOKUP(TKI92,[13]AssetDetails_UEM!$A$3:$AH$1849,6,FALSE)</f>
        <v>Electrosurgical Units, Monopolar/Bipolar</v>
      </c>
      <c r="TKK92" s="165" t="s">
        <v>945</v>
      </c>
      <c r="TKL92" s="166" t="str">
        <f>VLOOKUP(TKK92,[13]AssetDetails_UEM!$A$3:$AH$1849,6,FALSE)</f>
        <v>Electrosurgical Units, Monopolar/Bipolar</v>
      </c>
      <c r="TKM92" s="165" t="s">
        <v>945</v>
      </c>
      <c r="TKN92" s="166" t="str">
        <f>VLOOKUP(TKM92,[13]AssetDetails_UEM!$A$3:$AH$1849,6,FALSE)</f>
        <v>Electrosurgical Units, Monopolar/Bipolar</v>
      </c>
      <c r="TKO92" s="165" t="s">
        <v>945</v>
      </c>
      <c r="TKP92" s="166" t="str">
        <f>VLOOKUP(TKO92,[13]AssetDetails_UEM!$A$3:$AH$1849,6,FALSE)</f>
        <v>Electrosurgical Units, Monopolar/Bipolar</v>
      </c>
      <c r="TKQ92" s="165" t="s">
        <v>945</v>
      </c>
      <c r="TKR92" s="166" t="str">
        <f>VLOOKUP(TKQ92,[13]AssetDetails_UEM!$A$3:$AH$1849,6,FALSE)</f>
        <v>Electrosurgical Units, Monopolar/Bipolar</v>
      </c>
      <c r="TKS92" s="165" t="s">
        <v>945</v>
      </c>
      <c r="TKT92" s="166" t="str">
        <f>VLOOKUP(TKS92,[13]AssetDetails_UEM!$A$3:$AH$1849,6,FALSE)</f>
        <v>Electrosurgical Units, Monopolar/Bipolar</v>
      </c>
      <c r="TKU92" s="165" t="s">
        <v>945</v>
      </c>
      <c r="TKV92" s="166" t="str">
        <f>VLOOKUP(TKU92,[13]AssetDetails_UEM!$A$3:$AH$1849,6,FALSE)</f>
        <v>Electrosurgical Units, Monopolar/Bipolar</v>
      </c>
      <c r="TKW92" s="165" t="s">
        <v>945</v>
      </c>
      <c r="TKX92" s="166" t="str">
        <f>VLOOKUP(TKW92,[13]AssetDetails_UEM!$A$3:$AH$1849,6,FALSE)</f>
        <v>Electrosurgical Units, Monopolar/Bipolar</v>
      </c>
      <c r="TKY92" s="165" t="s">
        <v>945</v>
      </c>
      <c r="TKZ92" s="166" t="str">
        <f>VLOOKUP(TKY92,[13]AssetDetails_UEM!$A$3:$AH$1849,6,FALSE)</f>
        <v>Electrosurgical Units, Monopolar/Bipolar</v>
      </c>
      <c r="TLA92" s="165" t="s">
        <v>945</v>
      </c>
      <c r="TLB92" s="166" t="str">
        <f>VLOOKUP(TLA92,[13]AssetDetails_UEM!$A$3:$AH$1849,6,FALSE)</f>
        <v>Electrosurgical Units, Monopolar/Bipolar</v>
      </c>
      <c r="TLC92" s="165" t="s">
        <v>945</v>
      </c>
      <c r="TLD92" s="166" t="str">
        <f>VLOOKUP(TLC92,[13]AssetDetails_UEM!$A$3:$AH$1849,6,FALSE)</f>
        <v>Electrosurgical Units, Monopolar/Bipolar</v>
      </c>
      <c r="TLE92" s="165" t="s">
        <v>945</v>
      </c>
      <c r="TLF92" s="166" t="str">
        <f>VLOOKUP(TLE92,[13]AssetDetails_UEM!$A$3:$AH$1849,6,FALSE)</f>
        <v>Electrosurgical Units, Monopolar/Bipolar</v>
      </c>
      <c r="TLG92" s="165" t="s">
        <v>945</v>
      </c>
      <c r="TLH92" s="166" t="str">
        <f>VLOOKUP(TLG92,[13]AssetDetails_UEM!$A$3:$AH$1849,6,FALSE)</f>
        <v>Electrosurgical Units, Monopolar/Bipolar</v>
      </c>
      <c r="TLI92" s="165" t="s">
        <v>945</v>
      </c>
      <c r="TLJ92" s="166" t="str">
        <f>VLOOKUP(TLI92,[13]AssetDetails_UEM!$A$3:$AH$1849,6,FALSE)</f>
        <v>Electrosurgical Units, Monopolar/Bipolar</v>
      </c>
      <c r="TLK92" s="165" t="s">
        <v>945</v>
      </c>
      <c r="TLL92" s="166" t="str">
        <f>VLOOKUP(TLK92,[13]AssetDetails_UEM!$A$3:$AH$1849,6,FALSE)</f>
        <v>Electrosurgical Units, Monopolar/Bipolar</v>
      </c>
      <c r="TLM92" s="165" t="s">
        <v>945</v>
      </c>
      <c r="TLN92" s="166" t="str">
        <f>VLOOKUP(TLM92,[13]AssetDetails_UEM!$A$3:$AH$1849,6,FALSE)</f>
        <v>Electrosurgical Units, Monopolar/Bipolar</v>
      </c>
      <c r="TLO92" s="165" t="s">
        <v>945</v>
      </c>
      <c r="TLP92" s="166" t="str">
        <f>VLOOKUP(TLO92,[13]AssetDetails_UEM!$A$3:$AH$1849,6,FALSE)</f>
        <v>Electrosurgical Units, Monopolar/Bipolar</v>
      </c>
      <c r="TLQ92" s="165" t="s">
        <v>945</v>
      </c>
      <c r="TLR92" s="166" t="str">
        <f>VLOOKUP(TLQ92,[13]AssetDetails_UEM!$A$3:$AH$1849,6,FALSE)</f>
        <v>Electrosurgical Units, Monopolar/Bipolar</v>
      </c>
      <c r="TLS92" s="165" t="s">
        <v>945</v>
      </c>
      <c r="TLT92" s="166" t="str">
        <f>VLOOKUP(TLS92,[13]AssetDetails_UEM!$A$3:$AH$1849,6,FALSE)</f>
        <v>Electrosurgical Units, Monopolar/Bipolar</v>
      </c>
      <c r="TLU92" s="165" t="s">
        <v>945</v>
      </c>
      <c r="TLV92" s="166" t="str">
        <f>VLOOKUP(TLU92,[13]AssetDetails_UEM!$A$3:$AH$1849,6,FALSE)</f>
        <v>Electrosurgical Units, Monopolar/Bipolar</v>
      </c>
      <c r="TLW92" s="165" t="s">
        <v>945</v>
      </c>
      <c r="TLX92" s="166" t="str">
        <f>VLOOKUP(TLW92,[13]AssetDetails_UEM!$A$3:$AH$1849,6,FALSE)</f>
        <v>Electrosurgical Units, Monopolar/Bipolar</v>
      </c>
      <c r="TLY92" s="165" t="s">
        <v>945</v>
      </c>
      <c r="TLZ92" s="166" t="str">
        <f>VLOOKUP(TLY92,[13]AssetDetails_UEM!$A$3:$AH$1849,6,FALSE)</f>
        <v>Electrosurgical Units, Monopolar/Bipolar</v>
      </c>
      <c r="TMA92" s="165" t="s">
        <v>945</v>
      </c>
      <c r="TMB92" s="166" t="str">
        <f>VLOOKUP(TMA92,[13]AssetDetails_UEM!$A$3:$AH$1849,6,FALSE)</f>
        <v>Electrosurgical Units, Monopolar/Bipolar</v>
      </c>
      <c r="TMC92" s="165" t="s">
        <v>945</v>
      </c>
      <c r="TMD92" s="166" t="str">
        <f>VLOOKUP(TMC92,[13]AssetDetails_UEM!$A$3:$AH$1849,6,FALSE)</f>
        <v>Electrosurgical Units, Monopolar/Bipolar</v>
      </c>
      <c r="TME92" s="165" t="s">
        <v>945</v>
      </c>
      <c r="TMF92" s="166" t="str">
        <f>VLOOKUP(TME92,[13]AssetDetails_UEM!$A$3:$AH$1849,6,FALSE)</f>
        <v>Electrosurgical Units, Monopolar/Bipolar</v>
      </c>
      <c r="TMG92" s="165" t="s">
        <v>945</v>
      </c>
      <c r="TMH92" s="166" t="str">
        <f>VLOOKUP(TMG92,[13]AssetDetails_UEM!$A$3:$AH$1849,6,FALSE)</f>
        <v>Electrosurgical Units, Monopolar/Bipolar</v>
      </c>
      <c r="TMI92" s="165" t="s">
        <v>945</v>
      </c>
      <c r="TMJ92" s="166" t="str">
        <f>VLOOKUP(TMI92,[13]AssetDetails_UEM!$A$3:$AH$1849,6,FALSE)</f>
        <v>Electrosurgical Units, Monopolar/Bipolar</v>
      </c>
      <c r="TMK92" s="165" t="s">
        <v>945</v>
      </c>
      <c r="TML92" s="166" t="str">
        <f>VLOOKUP(TMK92,[13]AssetDetails_UEM!$A$3:$AH$1849,6,FALSE)</f>
        <v>Electrosurgical Units, Monopolar/Bipolar</v>
      </c>
      <c r="TMM92" s="165" t="s">
        <v>945</v>
      </c>
      <c r="TMN92" s="166" t="str">
        <f>VLOOKUP(TMM92,[13]AssetDetails_UEM!$A$3:$AH$1849,6,FALSE)</f>
        <v>Electrosurgical Units, Monopolar/Bipolar</v>
      </c>
      <c r="TMO92" s="165" t="s">
        <v>945</v>
      </c>
      <c r="TMP92" s="166" t="str">
        <f>VLOOKUP(TMO92,[13]AssetDetails_UEM!$A$3:$AH$1849,6,FALSE)</f>
        <v>Electrosurgical Units, Monopolar/Bipolar</v>
      </c>
      <c r="TMQ92" s="165" t="s">
        <v>945</v>
      </c>
      <c r="TMR92" s="166" t="str">
        <f>VLOOKUP(TMQ92,[13]AssetDetails_UEM!$A$3:$AH$1849,6,FALSE)</f>
        <v>Electrosurgical Units, Monopolar/Bipolar</v>
      </c>
      <c r="TMS92" s="165" t="s">
        <v>945</v>
      </c>
      <c r="TMT92" s="166" t="str">
        <f>VLOOKUP(TMS92,[13]AssetDetails_UEM!$A$3:$AH$1849,6,FALSE)</f>
        <v>Electrosurgical Units, Monopolar/Bipolar</v>
      </c>
      <c r="TMU92" s="165" t="s">
        <v>945</v>
      </c>
      <c r="TMV92" s="166" t="str">
        <f>VLOOKUP(TMU92,[13]AssetDetails_UEM!$A$3:$AH$1849,6,FALSE)</f>
        <v>Electrosurgical Units, Monopolar/Bipolar</v>
      </c>
      <c r="TMW92" s="165" t="s">
        <v>945</v>
      </c>
      <c r="TMX92" s="166" t="str">
        <f>VLOOKUP(TMW92,[13]AssetDetails_UEM!$A$3:$AH$1849,6,FALSE)</f>
        <v>Electrosurgical Units, Monopolar/Bipolar</v>
      </c>
      <c r="TMY92" s="165" t="s">
        <v>945</v>
      </c>
      <c r="TMZ92" s="166" t="str">
        <f>VLOOKUP(TMY92,[13]AssetDetails_UEM!$A$3:$AH$1849,6,FALSE)</f>
        <v>Electrosurgical Units, Monopolar/Bipolar</v>
      </c>
      <c r="TNA92" s="165" t="s">
        <v>945</v>
      </c>
      <c r="TNB92" s="166" t="str">
        <f>VLOOKUP(TNA92,[13]AssetDetails_UEM!$A$3:$AH$1849,6,FALSE)</f>
        <v>Electrosurgical Units, Monopolar/Bipolar</v>
      </c>
      <c r="TNC92" s="165" t="s">
        <v>945</v>
      </c>
      <c r="TND92" s="166" t="str">
        <f>VLOOKUP(TNC92,[13]AssetDetails_UEM!$A$3:$AH$1849,6,FALSE)</f>
        <v>Electrosurgical Units, Monopolar/Bipolar</v>
      </c>
      <c r="TNE92" s="165" t="s">
        <v>945</v>
      </c>
      <c r="TNF92" s="166" t="str">
        <f>VLOOKUP(TNE92,[13]AssetDetails_UEM!$A$3:$AH$1849,6,FALSE)</f>
        <v>Electrosurgical Units, Monopolar/Bipolar</v>
      </c>
      <c r="TNG92" s="165" t="s">
        <v>945</v>
      </c>
      <c r="TNH92" s="166" t="str">
        <f>VLOOKUP(TNG92,[13]AssetDetails_UEM!$A$3:$AH$1849,6,FALSE)</f>
        <v>Electrosurgical Units, Monopolar/Bipolar</v>
      </c>
      <c r="TNI92" s="165" t="s">
        <v>945</v>
      </c>
      <c r="TNJ92" s="166" t="str">
        <f>VLOOKUP(TNI92,[13]AssetDetails_UEM!$A$3:$AH$1849,6,FALSE)</f>
        <v>Electrosurgical Units, Monopolar/Bipolar</v>
      </c>
      <c r="TNK92" s="165" t="s">
        <v>945</v>
      </c>
      <c r="TNL92" s="166" t="str">
        <f>VLOOKUP(TNK92,[13]AssetDetails_UEM!$A$3:$AH$1849,6,FALSE)</f>
        <v>Electrosurgical Units, Monopolar/Bipolar</v>
      </c>
      <c r="TNM92" s="165" t="s">
        <v>945</v>
      </c>
      <c r="TNN92" s="166" t="str">
        <f>VLOOKUP(TNM92,[13]AssetDetails_UEM!$A$3:$AH$1849,6,FALSE)</f>
        <v>Electrosurgical Units, Monopolar/Bipolar</v>
      </c>
      <c r="TNO92" s="165" t="s">
        <v>945</v>
      </c>
      <c r="TNP92" s="166" t="str">
        <f>VLOOKUP(TNO92,[13]AssetDetails_UEM!$A$3:$AH$1849,6,FALSE)</f>
        <v>Electrosurgical Units, Monopolar/Bipolar</v>
      </c>
      <c r="TNQ92" s="165" t="s">
        <v>945</v>
      </c>
      <c r="TNR92" s="166" t="str">
        <f>VLOOKUP(TNQ92,[13]AssetDetails_UEM!$A$3:$AH$1849,6,FALSE)</f>
        <v>Electrosurgical Units, Monopolar/Bipolar</v>
      </c>
      <c r="TNS92" s="165" t="s">
        <v>945</v>
      </c>
      <c r="TNT92" s="166" t="str">
        <f>VLOOKUP(TNS92,[13]AssetDetails_UEM!$A$3:$AH$1849,6,FALSE)</f>
        <v>Electrosurgical Units, Monopolar/Bipolar</v>
      </c>
      <c r="TNU92" s="165" t="s">
        <v>945</v>
      </c>
      <c r="TNV92" s="166" t="str">
        <f>VLOOKUP(TNU92,[13]AssetDetails_UEM!$A$3:$AH$1849,6,FALSE)</f>
        <v>Electrosurgical Units, Monopolar/Bipolar</v>
      </c>
      <c r="TNW92" s="165" t="s">
        <v>945</v>
      </c>
      <c r="TNX92" s="166" t="str">
        <f>VLOOKUP(TNW92,[13]AssetDetails_UEM!$A$3:$AH$1849,6,FALSE)</f>
        <v>Electrosurgical Units, Monopolar/Bipolar</v>
      </c>
      <c r="TNY92" s="165" t="s">
        <v>945</v>
      </c>
      <c r="TNZ92" s="166" t="str">
        <f>VLOOKUP(TNY92,[13]AssetDetails_UEM!$A$3:$AH$1849,6,FALSE)</f>
        <v>Electrosurgical Units, Monopolar/Bipolar</v>
      </c>
      <c r="TOA92" s="165" t="s">
        <v>945</v>
      </c>
      <c r="TOB92" s="166" t="str">
        <f>VLOOKUP(TOA92,[13]AssetDetails_UEM!$A$3:$AH$1849,6,FALSE)</f>
        <v>Electrosurgical Units, Monopolar/Bipolar</v>
      </c>
      <c r="TOC92" s="165" t="s">
        <v>945</v>
      </c>
      <c r="TOD92" s="166" t="str">
        <f>VLOOKUP(TOC92,[13]AssetDetails_UEM!$A$3:$AH$1849,6,FALSE)</f>
        <v>Electrosurgical Units, Monopolar/Bipolar</v>
      </c>
      <c r="TOE92" s="165" t="s">
        <v>945</v>
      </c>
      <c r="TOF92" s="166" t="str">
        <f>VLOOKUP(TOE92,[13]AssetDetails_UEM!$A$3:$AH$1849,6,FALSE)</f>
        <v>Electrosurgical Units, Monopolar/Bipolar</v>
      </c>
      <c r="TOG92" s="165" t="s">
        <v>945</v>
      </c>
      <c r="TOH92" s="166" t="str">
        <f>VLOOKUP(TOG92,[13]AssetDetails_UEM!$A$3:$AH$1849,6,FALSE)</f>
        <v>Electrosurgical Units, Monopolar/Bipolar</v>
      </c>
      <c r="TOI92" s="165" t="s">
        <v>945</v>
      </c>
      <c r="TOJ92" s="166" t="str">
        <f>VLOOKUP(TOI92,[13]AssetDetails_UEM!$A$3:$AH$1849,6,FALSE)</f>
        <v>Electrosurgical Units, Monopolar/Bipolar</v>
      </c>
      <c r="TOK92" s="165" t="s">
        <v>945</v>
      </c>
      <c r="TOL92" s="166" t="str">
        <f>VLOOKUP(TOK92,[13]AssetDetails_UEM!$A$3:$AH$1849,6,FALSE)</f>
        <v>Electrosurgical Units, Monopolar/Bipolar</v>
      </c>
      <c r="TOM92" s="165" t="s">
        <v>945</v>
      </c>
      <c r="TON92" s="166" t="str">
        <f>VLOOKUP(TOM92,[13]AssetDetails_UEM!$A$3:$AH$1849,6,FALSE)</f>
        <v>Electrosurgical Units, Monopolar/Bipolar</v>
      </c>
      <c r="TOO92" s="165" t="s">
        <v>945</v>
      </c>
      <c r="TOP92" s="166" t="str">
        <f>VLOOKUP(TOO92,[13]AssetDetails_UEM!$A$3:$AH$1849,6,FALSE)</f>
        <v>Electrosurgical Units, Monopolar/Bipolar</v>
      </c>
      <c r="TOQ92" s="165" t="s">
        <v>945</v>
      </c>
      <c r="TOR92" s="166" t="str">
        <f>VLOOKUP(TOQ92,[13]AssetDetails_UEM!$A$3:$AH$1849,6,FALSE)</f>
        <v>Electrosurgical Units, Monopolar/Bipolar</v>
      </c>
      <c r="TOS92" s="165" t="s">
        <v>945</v>
      </c>
      <c r="TOT92" s="166" t="str">
        <f>VLOOKUP(TOS92,[13]AssetDetails_UEM!$A$3:$AH$1849,6,FALSE)</f>
        <v>Electrosurgical Units, Monopolar/Bipolar</v>
      </c>
      <c r="TOU92" s="165" t="s">
        <v>945</v>
      </c>
      <c r="TOV92" s="166" t="str">
        <f>VLOOKUP(TOU92,[13]AssetDetails_UEM!$A$3:$AH$1849,6,FALSE)</f>
        <v>Electrosurgical Units, Monopolar/Bipolar</v>
      </c>
      <c r="TOW92" s="165" t="s">
        <v>945</v>
      </c>
      <c r="TOX92" s="166" t="str">
        <f>VLOOKUP(TOW92,[13]AssetDetails_UEM!$A$3:$AH$1849,6,FALSE)</f>
        <v>Electrosurgical Units, Monopolar/Bipolar</v>
      </c>
      <c r="TOY92" s="165" t="s">
        <v>945</v>
      </c>
      <c r="TOZ92" s="166" t="str">
        <f>VLOOKUP(TOY92,[13]AssetDetails_UEM!$A$3:$AH$1849,6,FALSE)</f>
        <v>Electrosurgical Units, Monopolar/Bipolar</v>
      </c>
      <c r="TPA92" s="165" t="s">
        <v>945</v>
      </c>
      <c r="TPB92" s="166" t="str">
        <f>VLOOKUP(TPA92,[13]AssetDetails_UEM!$A$3:$AH$1849,6,FALSE)</f>
        <v>Electrosurgical Units, Monopolar/Bipolar</v>
      </c>
      <c r="TPC92" s="165" t="s">
        <v>945</v>
      </c>
      <c r="TPD92" s="166" t="str">
        <f>VLOOKUP(TPC92,[13]AssetDetails_UEM!$A$3:$AH$1849,6,FALSE)</f>
        <v>Electrosurgical Units, Monopolar/Bipolar</v>
      </c>
      <c r="TPE92" s="165" t="s">
        <v>945</v>
      </c>
      <c r="TPF92" s="166" t="str">
        <f>VLOOKUP(TPE92,[13]AssetDetails_UEM!$A$3:$AH$1849,6,FALSE)</f>
        <v>Electrosurgical Units, Monopolar/Bipolar</v>
      </c>
      <c r="TPG92" s="165" t="s">
        <v>945</v>
      </c>
      <c r="TPH92" s="166" t="str">
        <f>VLOOKUP(TPG92,[13]AssetDetails_UEM!$A$3:$AH$1849,6,FALSE)</f>
        <v>Electrosurgical Units, Monopolar/Bipolar</v>
      </c>
      <c r="TPI92" s="165" t="s">
        <v>945</v>
      </c>
      <c r="TPJ92" s="166" t="str">
        <f>VLOOKUP(TPI92,[13]AssetDetails_UEM!$A$3:$AH$1849,6,FALSE)</f>
        <v>Electrosurgical Units, Monopolar/Bipolar</v>
      </c>
      <c r="TPK92" s="165" t="s">
        <v>945</v>
      </c>
      <c r="TPL92" s="166" t="str">
        <f>VLOOKUP(TPK92,[13]AssetDetails_UEM!$A$3:$AH$1849,6,FALSE)</f>
        <v>Electrosurgical Units, Monopolar/Bipolar</v>
      </c>
      <c r="TPM92" s="165" t="s">
        <v>945</v>
      </c>
      <c r="TPN92" s="166" t="str">
        <f>VLOOKUP(TPM92,[13]AssetDetails_UEM!$A$3:$AH$1849,6,FALSE)</f>
        <v>Electrosurgical Units, Monopolar/Bipolar</v>
      </c>
      <c r="TPO92" s="165" t="s">
        <v>945</v>
      </c>
      <c r="TPP92" s="166" t="str">
        <f>VLOOKUP(TPO92,[13]AssetDetails_UEM!$A$3:$AH$1849,6,FALSE)</f>
        <v>Electrosurgical Units, Monopolar/Bipolar</v>
      </c>
      <c r="TPQ92" s="165" t="s">
        <v>945</v>
      </c>
      <c r="TPR92" s="166" t="str">
        <f>VLOOKUP(TPQ92,[13]AssetDetails_UEM!$A$3:$AH$1849,6,FALSE)</f>
        <v>Electrosurgical Units, Monopolar/Bipolar</v>
      </c>
      <c r="TPS92" s="165" t="s">
        <v>945</v>
      </c>
      <c r="TPT92" s="166" t="str">
        <f>VLOOKUP(TPS92,[13]AssetDetails_UEM!$A$3:$AH$1849,6,FALSE)</f>
        <v>Electrosurgical Units, Monopolar/Bipolar</v>
      </c>
      <c r="TPU92" s="165" t="s">
        <v>945</v>
      </c>
      <c r="TPV92" s="166" t="str">
        <f>VLOOKUP(TPU92,[13]AssetDetails_UEM!$A$3:$AH$1849,6,FALSE)</f>
        <v>Electrosurgical Units, Monopolar/Bipolar</v>
      </c>
      <c r="TPW92" s="165" t="s">
        <v>945</v>
      </c>
      <c r="TPX92" s="166" t="str">
        <f>VLOOKUP(TPW92,[13]AssetDetails_UEM!$A$3:$AH$1849,6,FALSE)</f>
        <v>Electrosurgical Units, Monopolar/Bipolar</v>
      </c>
      <c r="TPY92" s="165" t="s">
        <v>945</v>
      </c>
      <c r="TPZ92" s="166" t="str">
        <f>VLOOKUP(TPY92,[13]AssetDetails_UEM!$A$3:$AH$1849,6,FALSE)</f>
        <v>Electrosurgical Units, Monopolar/Bipolar</v>
      </c>
      <c r="TQA92" s="165" t="s">
        <v>945</v>
      </c>
      <c r="TQB92" s="166" t="str">
        <f>VLOOKUP(TQA92,[13]AssetDetails_UEM!$A$3:$AH$1849,6,FALSE)</f>
        <v>Electrosurgical Units, Monopolar/Bipolar</v>
      </c>
      <c r="TQC92" s="165" t="s">
        <v>945</v>
      </c>
      <c r="TQD92" s="166" t="str">
        <f>VLOOKUP(TQC92,[13]AssetDetails_UEM!$A$3:$AH$1849,6,FALSE)</f>
        <v>Electrosurgical Units, Monopolar/Bipolar</v>
      </c>
      <c r="TQE92" s="165" t="s">
        <v>945</v>
      </c>
      <c r="TQF92" s="166" t="str">
        <f>VLOOKUP(TQE92,[13]AssetDetails_UEM!$A$3:$AH$1849,6,FALSE)</f>
        <v>Electrosurgical Units, Monopolar/Bipolar</v>
      </c>
      <c r="TQG92" s="165" t="s">
        <v>945</v>
      </c>
      <c r="TQH92" s="166" t="str">
        <f>VLOOKUP(TQG92,[13]AssetDetails_UEM!$A$3:$AH$1849,6,FALSE)</f>
        <v>Electrosurgical Units, Monopolar/Bipolar</v>
      </c>
      <c r="TQI92" s="165" t="s">
        <v>945</v>
      </c>
      <c r="TQJ92" s="166" t="str">
        <f>VLOOKUP(TQI92,[13]AssetDetails_UEM!$A$3:$AH$1849,6,FALSE)</f>
        <v>Electrosurgical Units, Monopolar/Bipolar</v>
      </c>
      <c r="TQK92" s="165" t="s">
        <v>945</v>
      </c>
      <c r="TQL92" s="166" t="str">
        <f>VLOOKUP(TQK92,[13]AssetDetails_UEM!$A$3:$AH$1849,6,FALSE)</f>
        <v>Electrosurgical Units, Monopolar/Bipolar</v>
      </c>
      <c r="TQM92" s="165" t="s">
        <v>945</v>
      </c>
      <c r="TQN92" s="166" t="str">
        <f>VLOOKUP(TQM92,[13]AssetDetails_UEM!$A$3:$AH$1849,6,FALSE)</f>
        <v>Electrosurgical Units, Monopolar/Bipolar</v>
      </c>
      <c r="TQO92" s="165" t="s">
        <v>945</v>
      </c>
      <c r="TQP92" s="166" t="str">
        <f>VLOOKUP(TQO92,[13]AssetDetails_UEM!$A$3:$AH$1849,6,FALSE)</f>
        <v>Electrosurgical Units, Monopolar/Bipolar</v>
      </c>
      <c r="TQQ92" s="165" t="s">
        <v>945</v>
      </c>
      <c r="TQR92" s="166" t="str">
        <f>VLOOKUP(TQQ92,[13]AssetDetails_UEM!$A$3:$AH$1849,6,FALSE)</f>
        <v>Electrosurgical Units, Monopolar/Bipolar</v>
      </c>
      <c r="TQS92" s="165" t="s">
        <v>945</v>
      </c>
      <c r="TQT92" s="166" t="str">
        <f>VLOOKUP(TQS92,[13]AssetDetails_UEM!$A$3:$AH$1849,6,FALSE)</f>
        <v>Electrosurgical Units, Monopolar/Bipolar</v>
      </c>
      <c r="TQU92" s="165" t="s">
        <v>945</v>
      </c>
      <c r="TQV92" s="166" t="str">
        <f>VLOOKUP(TQU92,[13]AssetDetails_UEM!$A$3:$AH$1849,6,FALSE)</f>
        <v>Electrosurgical Units, Monopolar/Bipolar</v>
      </c>
      <c r="TQW92" s="165" t="s">
        <v>945</v>
      </c>
      <c r="TQX92" s="166" t="str">
        <f>VLOOKUP(TQW92,[13]AssetDetails_UEM!$A$3:$AH$1849,6,FALSE)</f>
        <v>Electrosurgical Units, Monopolar/Bipolar</v>
      </c>
      <c r="TQY92" s="165" t="s">
        <v>945</v>
      </c>
      <c r="TQZ92" s="166" t="str">
        <f>VLOOKUP(TQY92,[13]AssetDetails_UEM!$A$3:$AH$1849,6,FALSE)</f>
        <v>Electrosurgical Units, Monopolar/Bipolar</v>
      </c>
      <c r="TRA92" s="165" t="s">
        <v>945</v>
      </c>
      <c r="TRB92" s="166" t="str">
        <f>VLOOKUP(TRA92,[13]AssetDetails_UEM!$A$3:$AH$1849,6,FALSE)</f>
        <v>Electrosurgical Units, Monopolar/Bipolar</v>
      </c>
      <c r="TRC92" s="165" t="s">
        <v>945</v>
      </c>
      <c r="TRD92" s="166" t="str">
        <f>VLOOKUP(TRC92,[13]AssetDetails_UEM!$A$3:$AH$1849,6,FALSE)</f>
        <v>Electrosurgical Units, Monopolar/Bipolar</v>
      </c>
      <c r="TRE92" s="165" t="s">
        <v>945</v>
      </c>
      <c r="TRF92" s="166" t="str">
        <f>VLOOKUP(TRE92,[13]AssetDetails_UEM!$A$3:$AH$1849,6,FALSE)</f>
        <v>Electrosurgical Units, Monopolar/Bipolar</v>
      </c>
      <c r="TRG92" s="165" t="s">
        <v>945</v>
      </c>
      <c r="TRH92" s="166" t="str">
        <f>VLOOKUP(TRG92,[13]AssetDetails_UEM!$A$3:$AH$1849,6,FALSE)</f>
        <v>Electrosurgical Units, Monopolar/Bipolar</v>
      </c>
      <c r="TRI92" s="165" t="s">
        <v>945</v>
      </c>
      <c r="TRJ92" s="166" t="str">
        <f>VLOOKUP(TRI92,[13]AssetDetails_UEM!$A$3:$AH$1849,6,FALSE)</f>
        <v>Electrosurgical Units, Monopolar/Bipolar</v>
      </c>
      <c r="TRK92" s="165" t="s">
        <v>945</v>
      </c>
      <c r="TRL92" s="166" t="str">
        <f>VLOOKUP(TRK92,[13]AssetDetails_UEM!$A$3:$AH$1849,6,FALSE)</f>
        <v>Electrosurgical Units, Monopolar/Bipolar</v>
      </c>
      <c r="TRM92" s="165" t="s">
        <v>945</v>
      </c>
      <c r="TRN92" s="166" t="str">
        <f>VLOOKUP(TRM92,[13]AssetDetails_UEM!$A$3:$AH$1849,6,FALSE)</f>
        <v>Electrosurgical Units, Monopolar/Bipolar</v>
      </c>
      <c r="TRO92" s="165" t="s">
        <v>945</v>
      </c>
      <c r="TRP92" s="166" t="str">
        <f>VLOOKUP(TRO92,[13]AssetDetails_UEM!$A$3:$AH$1849,6,FALSE)</f>
        <v>Electrosurgical Units, Monopolar/Bipolar</v>
      </c>
      <c r="TRQ92" s="165" t="s">
        <v>945</v>
      </c>
      <c r="TRR92" s="166" t="str">
        <f>VLOOKUP(TRQ92,[13]AssetDetails_UEM!$A$3:$AH$1849,6,FALSE)</f>
        <v>Electrosurgical Units, Monopolar/Bipolar</v>
      </c>
      <c r="TRS92" s="165" t="s">
        <v>945</v>
      </c>
      <c r="TRT92" s="166" t="str">
        <f>VLOOKUP(TRS92,[13]AssetDetails_UEM!$A$3:$AH$1849,6,FALSE)</f>
        <v>Electrosurgical Units, Monopolar/Bipolar</v>
      </c>
      <c r="TRU92" s="165" t="s">
        <v>945</v>
      </c>
      <c r="TRV92" s="166" t="str">
        <f>VLOOKUP(TRU92,[13]AssetDetails_UEM!$A$3:$AH$1849,6,FALSE)</f>
        <v>Electrosurgical Units, Monopolar/Bipolar</v>
      </c>
      <c r="TRW92" s="165" t="s">
        <v>945</v>
      </c>
      <c r="TRX92" s="166" t="str">
        <f>VLOOKUP(TRW92,[13]AssetDetails_UEM!$A$3:$AH$1849,6,FALSE)</f>
        <v>Electrosurgical Units, Monopolar/Bipolar</v>
      </c>
      <c r="TRY92" s="165" t="s">
        <v>945</v>
      </c>
      <c r="TRZ92" s="166" t="str">
        <f>VLOOKUP(TRY92,[13]AssetDetails_UEM!$A$3:$AH$1849,6,FALSE)</f>
        <v>Electrosurgical Units, Monopolar/Bipolar</v>
      </c>
      <c r="TSA92" s="165" t="s">
        <v>945</v>
      </c>
      <c r="TSB92" s="166" t="str">
        <f>VLOOKUP(TSA92,[13]AssetDetails_UEM!$A$3:$AH$1849,6,FALSE)</f>
        <v>Electrosurgical Units, Monopolar/Bipolar</v>
      </c>
      <c r="TSC92" s="165" t="s">
        <v>945</v>
      </c>
      <c r="TSD92" s="166" t="str">
        <f>VLOOKUP(TSC92,[13]AssetDetails_UEM!$A$3:$AH$1849,6,FALSE)</f>
        <v>Electrosurgical Units, Monopolar/Bipolar</v>
      </c>
      <c r="TSE92" s="165" t="s">
        <v>945</v>
      </c>
      <c r="TSF92" s="166" t="str">
        <f>VLOOKUP(TSE92,[13]AssetDetails_UEM!$A$3:$AH$1849,6,FALSE)</f>
        <v>Electrosurgical Units, Monopolar/Bipolar</v>
      </c>
      <c r="TSG92" s="165" t="s">
        <v>945</v>
      </c>
      <c r="TSH92" s="166" t="str">
        <f>VLOOKUP(TSG92,[13]AssetDetails_UEM!$A$3:$AH$1849,6,FALSE)</f>
        <v>Electrosurgical Units, Monopolar/Bipolar</v>
      </c>
      <c r="TSI92" s="165" t="s">
        <v>945</v>
      </c>
      <c r="TSJ92" s="166" t="str">
        <f>VLOOKUP(TSI92,[13]AssetDetails_UEM!$A$3:$AH$1849,6,FALSE)</f>
        <v>Electrosurgical Units, Monopolar/Bipolar</v>
      </c>
      <c r="TSK92" s="165" t="s">
        <v>945</v>
      </c>
      <c r="TSL92" s="166" t="str">
        <f>VLOOKUP(TSK92,[13]AssetDetails_UEM!$A$3:$AH$1849,6,FALSE)</f>
        <v>Electrosurgical Units, Monopolar/Bipolar</v>
      </c>
      <c r="TSM92" s="165" t="s">
        <v>945</v>
      </c>
      <c r="TSN92" s="166" t="str">
        <f>VLOOKUP(TSM92,[13]AssetDetails_UEM!$A$3:$AH$1849,6,FALSE)</f>
        <v>Electrosurgical Units, Monopolar/Bipolar</v>
      </c>
      <c r="TSO92" s="165" t="s">
        <v>945</v>
      </c>
      <c r="TSP92" s="166" t="str">
        <f>VLOOKUP(TSO92,[13]AssetDetails_UEM!$A$3:$AH$1849,6,FALSE)</f>
        <v>Electrosurgical Units, Monopolar/Bipolar</v>
      </c>
      <c r="TSQ92" s="165" t="s">
        <v>945</v>
      </c>
      <c r="TSR92" s="166" t="str">
        <f>VLOOKUP(TSQ92,[13]AssetDetails_UEM!$A$3:$AH$1849,6,FALSE)</f>
        <v>Electrosurgical Units, Monopolar/Bipolar</v>
      </c>
      <c r="TSS92" s="165" t="s">
        <v>945</v>
      </c>
      <c r="TST92" s="166" t="str">
        <f>VLOOKUP(TSS92,[13]AssetDetails_UEM!$A$3:$AH$1849,6,FALSE)</f>
        <v>Electrosurgical Units, Monopolar/Bipolar</v>
      </c>
      <c r="TSU92" s="165" t="s">
        <v>945</v>
      </c>
      <c r="TSV92" s="166" t="str">
        <f>VLOOKUP(TSU92,[13]AssetDetails_UEM!$A$3:$AH$1849,6,FALSE)</f>
        <v>Electrosurgical Units, Monopolar/Bipolar</v>
      </c>
      <c r="TSW92" s="165" t="s">
        <v>945</v>
      </c>
      <c r="TSX92" s="166" t="str">
        <f>VLOOKUP(TSW92,[13]AssetDetails_UEM!$A$3:$AH$1849,6,FALSE)</f>
        <v>Electrosurgical Units, Monopolar/Bipolar</v>
      </c>
      <c r="TSY92" s="165" t="s">
        <v>945</v>
      </c>
      <c r="TSZ92" s="166" t="str">
        <f>VLOOKUP(TSY92,[13]AssetDetails_UEM!$A$3:$AH$1849,6,FALSE)</f>
        <v>Electrosurgical Units, Monopolar/Bipolar</v>
      </c>
      <c r="TTA92" s="165" t="s">
        <v>945</v>
      </c>
      <c r="TTB92" s="166" t="str">
        <f>VLOOKUP(TTA92,[13]AssetDetails_UEM!$A$3:$AH$1849,6,FALSE)</f>
        <v>Electrosurgical Units, Monopolar/Bipolar</v>
      </c>
      <c r="TTC92" s="165" t="s">
        <v>945</v>
      </c>
      <c r="TTD92" s="166" t="str">
        <f>VLOOKUP(TTC92,[13]AssetDetails_UEM!$A$3:$AH$1849,6,FALSE)</f>
        <v>Electrosurgical Units, Monopolar/Bipolar</v>
      </c>
      <c r="TTE92" s="165" t="s">
        <v>945</v>
      </c>
      <c r="TTF92" s="166" t="str">
        <f>VLOOKUP(TTE92,[13]AssetDetails_UEM!$A$3:$AH$1849,6,FALSE)</f>
        <v>Electrosurgical Units, Monopolar/Bipolar</v>
      </c>
      <c r="TTG92" s="165" t="s">
        <v>945</v>
      </c>
      <c r="TTH92" s="166" t="str">
        <f>VLOOKUP(TTG92,[13]AssetDetails_UEM!$A$3:$AH$1849,6,FALSE)</f>
        <v>Electrosurgical Units, Monopolar/Bipolar</v>
      </c>
      <c r="TTI92" s="165" t="s">
        <v>945</v>
      </c>
      <c r="TTJ92" s="166" t="str">
        <f>VLOOKUP(TTI92,[13]AssetDetails_UEM!$A$3:$AH$1849,6,FALSE)</f>
        <v>Electrosurgical Units, Monopolar/Bipolar</v>
      </c>
      <c r="TTK92" s="165" t="s">
        <v>945</v>
      </c>
      <c r="TTL92" s="166" t="str">
        <f>VLOOKUP(TTK92,[13]AssetDetails_UEM!$A$3:$AH$1849,6,FALSE)</f>
        <v>Electrosurgical Units, Monopolar/Bipolar</v>
      </c>
      <c r="TTM92" s="165" t="s">
        <v>945</v>
      </c>
      <c r="TTN92" s="166" t="str">
        <f>VLOOKUP(TTM92,[13]AssetDetails_UEM!$A$3:$AH$1849,6,FALSE)</f>
        <v>Electrosurgical Units, Monopolar/Bipolar</v>
      </c>
      <c r="TTO92" s="165" t="s">
        <v>945</v>
      </c>
      <c r="TTP92" s="166" t="str">
        <f>VLOOKUP(TTO92,[13]AssetDetails_UEM!$A$3:$AH$1849,6,FALSE)</f>
        <v>Electrosurgical Units, Monopolar/Bipolar</v>
      </c>
      <c r="TTQ92" s="165" t="s">
        <v>945</v>
      </c>
      <c r="TTR92" s="166" t="str">
        <f>VLOOKUP(TTQ92,[13]AssetDetails_UEM!$A$3:$AH$1849,6,FALSE)</f>
        <v>Electrosurgical Units, Monopolar/Bipolar</v>
      </c>
      <c r="TTS92" s="165" t="s">
        <v>945</v>
      </c>
      <c r="TTT92" s="166" t="str">
        <f>VLOOKUP(TTS92,[13]AssetDetails_UEM!$A$3:$AH$1849,6,FALSE)</f>
        <v>Electrosurgical Units, Monopolar/Bipolar</v>
      </c>
      <c r="TTU92" s="165" t="s">
        <v>945</v>
      </c>
      <c r="TTV92" s="166" t="str">
        <f>VLOOKUP(TTU92,[13]AssetDetails_UEM!$A$3:$AH$1849,6,FALSE)</f>
        <v>Electrosurgical Units, Monopolar/Bipolar</v>
      </c>
      <c r="TTW92" s="165" t="s">
        <v>945</v>
      </c>
      <c r="TTX92" s="166" t="str">
        <f>VLOOKUP(TTW92,[13]AssetDetails_UEM!$A$3:$AH$1849,6,FALSE)</f>
        <v>Electrosurgical Units, Monopolar/Bipolar</v>
      </c>
      <c r="TTY92" s="165" t="s">
        <v>945</v>
      </c>
      <c r="TTZ92" s="166" t="str">
        <f>VLOOKUP(TTY92,[13]AssetDetails_UEM!$A$3:$AH$1849,6,FALSE)</f>
        <v>Electrosurgical Units, Monopolar/Bipolar</v>
      </c>
      <c r="TUA92" s="165" t="s">
        <v>945</v>
      </c>
      <c r="TUB92" s="166" t="str">
        <f>VLOOKUP(TUA92,[13]AssetDetails_UEM!$A$3:$AH$1849,6,FALSE)</f>
        <v>Electrosurgical Units, Monopolar/Bipolar</v>
      </c>
      <c r="TUC92" s="165" t="s">
        <v>945</v>
      </c>
      <c r="TUD92" s="166" t="str">
        <f>VLOOKUP(TUC92,[13]AssetDetails_UEM!$A$3:$AH$1849,6,FALSE)</f>
        <v>Electrosurgical Units, Monopolar/Bipolar</v>
      </c>
      <c r="TUE92" s="165" t="s">
        <v>945</v>
      </c>
      <c r="TUF92" s="166" t="str">
        <f>VLOOKUP(TUE92,[13]AssetDetails_UEM!$A$3:$AH$1849,6,FALSE)</f>
        <v>Electrosurgical Units, Monopolar/Bipolar</v>
      </c>
      <c r="TUG92" s="165" t="s">
        <v>945</v>
      </c>
      <c r="TUH92" s="166" t="str">
        <f>VLOOKUP(TUG92,[13]AssetDetails_UEM!$A$3:$AH$1849,6,FALSE)</f>
        <v>Electrosurgical Units, Monopolar/Bipolar</v>
      </c>
      <c r="TUI92" s="165" t="s">
        <v>945</v>
      </c>
      <c r="TUJ92" s="166" t="str">
        <f>VLOOKUP(TUI92,[13]AssetDetails_UEM!$A$3:$AH$1849,6,FALSE)</f>
        <v>Electrosurgical Units, Monopolar/Bipolar</v>
      </c>
      <c r="TUK92" s="165" t="s">
        <v>945</v>
      </c>
      <c r="TUL92" s="166" t="str">
        <f>VLOOKUP(TUK92,[13]AssetDetails_UEM!$A$3:$AH$1849,6,FALSE)</f>
        <v>Electrosurgical Units, Monopolar/Bipolar</v>
      </c>
      <c r="TUM92" s="165" t="s">
        <v>945</v>
      </c>
      <c r="TUN92" s="166" t="str">
        <f>VLOOKUP(TUM92,[13]AssetDetails_UEM!$A$3:$AH$1849,6,FALSE)</f>
        <v>Electrosurgical Units, Monopolar/Bipolar</v>
      </c>
      <c r="TUO92" s="165" t="s">
        <v>945</v>
      </c>
      <c r="TUP92" s="166" t="str">
        <f>VLOOKUP(TUO92,[13]AssetDetails_UEM!$A$3:$AH$1849,6,FALSE)</f>
        <v>Electrosurgical Units, Monopolar/Bipolar</v>
      </c>
      <c r="TUQ92" s="165" t="s">
        <v>945</v>
      </c>
      <c r="TUR92" s="166" t="str">
        <f>VLOOKUP(TUQ92,[13]AssetDetails_UEM!$A$3:$AH$1849,6,FALSE)</f>
        <v>Electrosurgical Units, Monopolar/Bipolar</v>
      </c>
      <c r="TUS92" s="165" t="s">
        <v>945</v>
      </c>
      <c r="TUT92" s="166" t="str">
        <f>VLOOKUP(TUS92,[13]AssetDetails_UEM!$A$3:$AH$1849,6,FALSE)</f>
        <v>Electrosurgical Units, Monopolar/Bipolar</v>
      </c>
      <c r="TUU92" s="165" t="s">
        <v>945</v>
      </c>
      <c r="TUV92" s="166" t="str">
        <f>VLOOKUP(TUU92,[13]AssetDetails_UEM!$A$3:$AH$1849,6,FALSE)</f>
        <v>Electrosurgical Units, Monopolar/Bipolar</v>
      </c>
      <c r="TUW92" s="165" t="s">
        <v>945</v>
      </c>
      <c r="TUX92" s="166" t="str">
        <f>VLOOKUP(TUW92,[13]AssetDetails_UEM!$A$3:$AH$1849,6,FALSE)</f>
        <v>Electrosurgical Units, Monopolar/Bipolar</v>
      </c>
      <c r="TUY92" s="165" t="s">
        <v>945</v>
      </c>
      <c r="TUZ92" s="166" t="str">
        <f>VLOOKUP(TUY92,[13]AssetDetails_UEM!$A$3:$AH$1849,6,FALSE)</f>
        <v>Electrosurgical Units, Monopolar/Bipolar</v>
      </c>
      <c r="TVA92" s="165" t="s">
        <v>945</v>
      </c>
      <c r="TVB92" s="166" t="str">
        <f>VLOOKUP(TVA92,[13]AssetDetails_UEM!$A$3:$AH$1849,6,FALSE)</f>
        <v>Electrosurgical Units, Monopolar/Bipolar</v>
      </c>
      <c r="TVC92" s="165" t="s">
        <v>945</v>
      </c>
      <c r="TVD92" s="166" t="str">
        <f>VLOOKUP(TVC92,[13]AssetDetails_UEM!$A$3:$AH$1849,6,FALSE)</f>
        <v>Electrosurgical Units, Monopolar/Bipolar</v>
      </c>
      <c r="TVE92" s="165" t="s">
        <v>945</v>
      </c>
      <c r="TVF92" s="166" t="str">
        <f>VLOOKUP(TVE92,[13]AssetDetails_UEM!$A$3:$AH$1849,6,FALSE)</f>
        <v>Electrosurgical Units, Monopolar/Bipolar</v>
      </c>
      <c r="TVG92" s="165" t="s">
        <v>945</v>
      </c>
      <c r="TVH92" s="166" t="str">
        <f>VLOOKUP(TVG92,[13]AssetDetails_UEM!$A$3:$AH$1849,6,FALSE)</f>
        <v>Electrosurgical Units, Monopolar/Bipolar</v>
      </c>
      <c r="TVI92" s="165" t="s">
        <v>945</v>
      </c>
      <c r="TVJ92" s="166" t="str">
        <f>VLOOKUP(TVI92,[13]AssetDetails_UEM!$A$3:$AH$1849,6,FALSE)</f>
        <v>Electrosurgical Units, Monopolar/Bipolar</v>
      </c>
      <c r="TVK92" s="165" t="s">
        <v>945</v>
      </c>
      <c r="TVL92" s="166" t="str">
        <f>VLOOKUP(TVK92,[13]AssetDetails_UEM!$A$3:$AH$1849,6,FALSE)</f>
        <v>Electrosurgical Units, Monopolar/Bipolar</v>
      </c>
      <c r="TVM92" s="165" t="s">
        <v>945</v>
      </c>
      <c r="TVN92" s="166" t="str">
        <f>VLOOKUP(TVM92,[13]AssetDetails_UEM!$A$3:$AH$1849,6,FALSE)</f>
        <v>Electrosurgical Units, Monopolar/Bipolar</v>
      </c>
      <c r="TVO92" s="165" t="s">
        <v>945</v>
      </c>
      <c r="TVP92" s="166" t="str">
        <f>VLOOKUP(TVO92,[13]AssetDetails_UEM!$A$3:$AH$1849,6,FALSE)</f>
        <v>Electrosurgical Units, Monopolar/Bipolar</v>
      </c>
      <c r="TVQ92" s="165" t="s">
        <v>945</v>
      </c>
      <c r="TVR92" s="166" t="str">
        <f>VLOOKUP(TVQ92,[13]AssetDetails_UEM!$A$3:$AH$1849,6,FALSE)</f>
        <v>Electrosurgical Units, Monopolar/Bipolar</v>
      </c>
      <c r="TVS92" s="165" t="s">
        <v>945</v>
      </c>
      <c r="TVT92" s="166" t="str">
        <f>VLOOKUP(TVS92,[13]AssetDetails_UEM!$A$3:$AH$1849,6,FALSE)</f>
        <v>Electrosurgical Units, Monopolar/Bipolar</v>
      </c>
      <c r="TVU92" s="165" t="s">
        <v>945</v>
      </c>
      <c r="TVV92" s="166" t="str">
        <f>VLOOKUP(TVU92,[13]AssetDetails_UEM!$A$3:$AH$1849,6,FALSE)</f>
        <v>Electrosurgical Units, Monopolar/Bipolar</v>
      </c>
      <c r="TVW92" s="165" t="s">
        <v>945</v>
      </c>
      <c r="TVX92" s="166" t="str">
        <f>VLOOKUP(TVW92,[13]AssetDetails_UEM!$A$3:$AH$1849,6,FALSE)</f>
        <v>Electrosurgical Units, Monopolar/Bipolar</v>
      </c>
      <c r="TVY92" s="165" t="s">
        <v>945</v>
      </c>
      <c r="TVZ92" s="166" t="str">
        <f>VLOOKUP(TVY92,[13]AssetDetails_UEM!$A$3:$AH$1849,6,FALSE)</f>
        <v>Electrosurgical Units, Monopolar/Bipolar</v>
      </c>
      <c r="TWA92" s="165" t="s">
        <v>945</v>
      </c>
      <c r="TWB92" s="166" t="str">
        <f>VLOOKUP(TWA92,[13]AssetDetails_UEM!$A$3:$AH$1849,6,FALSE)</f>
        <v>Electrosurgical Units, Monopolar/Bipolar</v>
      </c>
      <c r="TWC92" s="165" t="s">
        <v>945</v>
      </c>
      <c r="TWD92" s="166" t="str">
        <f>VLOOKUP(TWC92,[13]AssetDetails_UEM!$A$3:$AH$1849,6,FALSE)</f>
        <v>Electrosurgical Units, Monopolar/Bipolar</v>
      </c>
      <c r="TWE92" s="165" t="s">
        <v>945</v>
      </c>
      <c r="TWF92" s="166" t="str">
        <f>VLOOKUP(TWE92,[13]AssetDetails_UEM!$A$3:$AH$1849,6,FALSE)</f>
        <v>Electrosurgical Units, Monopolar/Bipolar</v>
      </c>
      <c r="TWG92" s="165" t="s">
        <v>945</v>
      </c>
      <c r="TWH92" s="166" t="str">
        <f>VLOOKUP(TWG92,[13]AssetDetails_UEM!$A$3:$AH$1849,6,FALSE)</f>
        <v>Electrosurgical Units, Monopolar/Bipolar</v>
      </c>
      <c r="TWI92" s="165" t="s">
        <v>945</v>
      </c>
      <c r="TWJ92" s="166" t="str">
        <f>VLOOKUP(TWI92,[13]AssetDetails_UEM!$A$3:$AH$1849,6,FALSE)</f>
        <v>Electrosurgical Units, Monopolar/Bipolar</v>
      </c>
      <c r="TWK92" s="165" t="s">
        <v>945</v>
      </c>
      <c r="TWL92" s="166" t="str">
        <f>VLOOKUP(TWK92,[13]AssetDetails_UEM!$A$3:$AH$1849,6,FALSE)</f>
        <v>Electrosurgical Units, Monopolar/Bipolar</v>
      </c>
      <c r="TWM92" s="165" t="s">
        <v>945</v>
      </c>
      <c r="TWN92" s="166" t="str">
        <f>VLOOKUP(TWM92,[13]AssetDetails_UEM!$A$3:$AH$1849,6,FALSE)</f>
        <v>Electrosurgical Units, Monopolar/Bipolar</v>
      </c>
      <c r="TWO92" s="165" t="s">
        <v>945</v>
      </c>
      <c r="TWP92" s="166" t="str">
        <f>VLOOKUP(TWO92,[13]AssetDetails_UEM!$A$3:$AH$1849,6,FALSE)</f>
        <v>Electrosurgical Units, Monopolar/Bipolar</v>
      </c>
      <c r="TWQ92" s="165" t="s">
        <v>945</v>
      </c>
      <c r="TWR92" s="166" t="str">
        <f>VLOOKUP(TWQ92,[13]AssetDetails_UEM!$A$3:$AH$1849,6,FALSE)</f>
        <v>Electrosurgical Units, Monopolar/Bipolar</v>
      </c>
      <c r="TWS92" s="165" t="s">
        <v>945</v>
      </c>
      <c r="TWT92" s="166" t="str">
        <f>VLOOKUP(TWS92,[13]AssetDetails_UEM!$A$3:$AH$1849,6,FALSE)</f>
        <v>Electrosurgical Units, Monopolar/Bipolar</v>
      </c>
      <c r="TWU92" s="165" t="s">
        <v>945</v>
      </c>
      <c r="TWV92" s="166" t="str">
        <f>VLOOKUP(TWU92,[13]AssetDetails_UEM!$A$3:$AH$1849,6,FALSE)</f>
        <v>Electrosurgical Units, Monopolar/Bipolar</v>
      </c>
      <c r="TWW92" s="165" t="s">
        <v>945</v>
      </c>
      <c r="TWX92" s="166" t="str">
        <f>VLOOKUP(TWW92,[13]AssetDetails_UEM!$A$3:$AH$1849,6,FALSE)</f>
        <v>Electrosurgical Units, Monopolar/Bipolar</v>
      </c>
      <c r="TWY92" s="165" t="s">
        <v>945</v>
      </c>
      <c r="TWZ92" s="166" t="str">
        <f>VLOOKUP(TWY92,[13]AssetDetails_UEM!$A$3:$AH$1849,6,FALSE)</f>
        <v>Electrosurgical Units, Monopolar/Bipolar</v>
      </c>
      <c r="TXA92" s="165" t="s">
        <v>945</v>
      </c>
      <c r="TXB92" s="166" t="str">
        <f>VLOOKUP(TXA92,[13]AssetDetails_UEM!$A$3:$AH$1849,6,FALSE)</f>
        <v>Electrosurgical Units, Monopolar/Bipolar</v>
      </c>
      <c r="TXC92" s="165" t="s">
        <v>945</v>
      </c>
      <c r="TXD92" s="166" t="str">
        <f>VLOOKUP(TXC92,[13]AssetDetails_UEM!$A$3:$AH$1849,6,FALSE)</f>
        <v>Electrosurgical Units, Monopolar/Bipolar</v>
      </c>
      <c r="TXE92" s="165" t="s">
        <v>945</v>
      </c>
      <c r="TXF92" s="166" t="str">
        <f>VLOOKUP(TXE92,[13]AssetDetails_UEM!$A$3:$AH$1849,6,FALSE)</f>
        <v>Electrosurgical Units, Monopolar/Bipolar</v>
      </c>
      <c r="TXG92" s="165" t="s">
        <v>945</v>
      </c>
      <c r="TXH92" s="166" t="str">
        <f>VLOOKUP(TXG92,[13]AssetDetails_UEM!$A$3:$AH$1849,6,FALSE)</f>
        <v>Electrosurgical Units, Monopolar/Bipolar</v>
      </c>
      <c r="TXI92" s="165" t="s">
        <v>945</v>
      </c>
      <c r="TXJ92" s="166" t="str">
        <f>VLOOKUP(TXI92,[13]AssetDetails_UEM!$A$3:$AH$1849,6,FALSE)</f>
        <v>Electrosurgical Units, Monopolar/Bipolar</v>
      </c>
      <c r="TXK92" s="165" t="s">
        <v>945</v>
      </c>
      <c r="TXL92" s="166" t="str">
        <f>VLOOKUP(TXK92,[13]AssetDetails_UEM!$A$3:$AH$1849,6,FALSE)</f>
        <v>Electrosurgical Units, Monopolar/Bipolar</v>
      </c>
      <c r="TXM92" s="165" t="s">
        <v>945</v>
      </c>
      <c r="TXN92" s="166" t="str">
        <f>VLOOKUP(TXM92,[13]AssetDetails_UEM!$A$3:$AH$1849,6,FALSE)</f>
        <v>Electrosurgical Units, Monopolar/Bipolar</v>
      </c>
      <c r="TXO92" s="165" t="s">
        <v>945</v>
      </c>
      <c r="TXP92" s="166" t="str">
        <f>VLOOKUP(TXO92,[13]AssetDetails_UEM!$A$3:$AH$1849,6,FALSE)</f>
        <v>Electrosurgical Units, Monopolar/Bipolar</v>
      </c>
      <c r="TXQ92" s="165" t="s">
        <v>945</v>
      </c>
      <c r="TXR92" s="166" t="str">
        <f>VLOOKUP(TXQ92,[13]AssetDetails_UEM!$A$3:$AH$1849,6,FALSE)</f>
        <v>Electrosurgical Units, Monopolar/Bipolar</v>
      </c>
      <c r="TXS92" s="165" t="s">
        <v>945</v>
      </c>
      <c r="TXT92" s="166" t="str">
        <f>VLOOKUP(TXS92,[13]AssetDetails_UEM!$A$3:$AH$1849,6,FALSE)</f>
        <v>Electrosurgical Units, Monopolar/Bipolar</v>
      </c>
      <c r="TXU92" s="165" t="s">
        <v>945</v>
      </c>
      <c r="TXV92" s="166" t="str">
        <f>VLOOKUP(TXU92,[13]AssetDetails_UEM!$A$3:$AH$1849,6,FALSE)</f>
        <v>Electrosurgical Units, Monopolar/Bipolar</v>
      </c>
      <c r="TXW92" s="165" t="s">
        <v>945</v>
      </c>
      <c r="TXX92" s="166" t="str">
        <f>VLOOKUP(TXW92,[13]AssetDetails_UEM!$A$3:$AH$1849,6,FALSE)</f>
        <v>Electrosurgical Units, Monopolar/Bipolar</v>
      </c>
      <c r="TXY92" s="165" t="s">
        <v>945</v>
      </c>
      <c r="TXZ92" s="166" t="str">
        <f>VLOOKUP(TXY92,[13]AssetDetails_UEM!$A$3:$AH$1849,6,FALSE)</f>
        <v>Electrosurgical Units, Monopolar/Bipolar</v>
      </c>
      <c r="TYA92" s="165" t="s">
        <v>945</v>
      </c>
      <c r="TYB92" s="166" t="str">
        <f>VLOOKUP(TYA92,[13]AssetDetails_UEM!$A$3:$AH$1849,6,FALSE)</f>
        <v>Electrosurgical Units, Monopolar/Bipolar</v>
      </c>
      <c r="TYC92" s="165" t="s">
        <v>945</v>
      </c>
      <c r="TYD92" s="166" t="str">
        <f>VLOOKUP(TYC92,[13]AssetDetails_UEM!$A$3:$AH$1849,6,FALSE)</f>
        <v>Electrosurgical Units, Monopolar/Bipolar</v>
      </c>
      <c r="TYE92" s="165" t="s">
        <v>945</v>
      </c>
      <c r="TYF92" s="166" t="str">
        <f>VLOOKUP(TYE92,[13]AssetDetails_UEM!$A$3:$AH$1849,6,FALSE)</f>
        <v>Electrosurgical Units, Monopolar/Bipolar</v>
      </c>
      <c r="TYG92" s="165" t="s">
        <v>945</v>
      </c>
      <c r="TYH92" s="166" t="str">
        <f>VLOOKUP(TYG92,[13]AssetDetails_UEM!$A$3:$AH$1849,6,FALSE)</f>
        <v>Electrosurgical Units, Monopolar/Bipolar</v>
      </c>
      <c r="TYI92" s="165" t="s">
        <v>945</v>
      </c>
      <c r="TYJ92" s="166" t="str">
        <f>VLOOKUP(TYI92,[13]AssetDetails_UEM!$A$3:$AH$1849,6,FALSE)</f>
        <v>Electrosurgical Units, Monopolar/Bipolar</v>
      </c>
      <c r="TYK92" s="165" t="s">
        <v>945</v>
      </c>
      <c r="TYL92" s="166" t="str">
        <f>VLOOKUP(TYK92,[13]AssetDetails_UEM!$A$3:$AH$1849,6,FALSE)</f>
        <v>Electrosurgical Units, Monopolar/Bipolar</v>
      </c>
      <c r="TYM92" s="165" t="s">
        <v>945</v>
      </c>
      <c r="TYN92" s="166" t="str">
        <f>VLOOKUP(TYM92,[13]AssetDetails_UEM!$A$3:$AH$1849,6,FALSE)</f>
        <v>Electrosurgical Units, Monopolar/Bipolar</v>
      </c>
      <c r="TYO92" s="165" t="s">
        <v>945</v>
      </c>
      <c r="TYP92" s="166" t="str">
        <f>VLOOKUP(TYO92,[13]AssetDetails_UEM!$A$3:$AH$1849,6,FALSE)</f>
        <v>Electrosurgical Units, Monopolar/Bipolar</v>
      </c>
      <c r="TYQ92" s="165" t="s">
        <v>945</v>
      </c>
      <c r="TYR92" s="166" t="str">
        <f>VLOOKUP(TYQ92,[13]AssetDetails_UEM!$A$3:$AH$1849,6,FALSE)</f>
        <v>Electrosurgical Units, Monopolar/Bipolar</v>
      </c>
      <c r="TYS92" s="165" t="s">
        <v>945</v>
      </c>
      <c r="TYT92" s="166" t="str">
        <f>VLOOKUP(TYS92,[13]AssetDetails_UEM!$A$3:$AH$1849,6,FALSE)</f>
        <v>Electrosurgical Units, Monopolar/Bipolar</v>
      </c>
      <c r="TYU92" s="165" t="s">
        <v>945</v>
      </c>
      <c r="TYV92" s="166" t="str">
        <f>VLOOKUP(TYU92,[13]AssetDetails_UEM!$A$3:$AH$1849,6,FALSE)</f>
        <v>Electrosurgical Units, Monopolar/Bipolar</v>
      </c>
      <c r="TYW92" s="165" t="s">
        <v>945</v>
      </c>
      <c r="TYX92" s="166" t="str">
        <f>VLOOKUP(TYW92,[13]AssetDetails_UEM!$A$3:$AH$1849,6,FALSE)</f>
        <v>Electrosurgical Units, Monopolar/Bipolar</v>
      </c>
      <c r="TYY92" s="165" t="s">
        <v>945</v>
      </c>
      <c r="TYZ92" s="166" t="str">
        <f>VLOOKUP(TYY92,[13]AssetDetails_UEM!$A$3:$AH$1849,6,FALSE)</f>
        <v>Electrosurgical Units, Monopolar/Bipolar</v>
      </c>
      <c r="TZA92" s="165" t="s">
        <v>945</v>
      </c>
      <c r="TZB92" s="166" t="str">
        <f>VLOOKUP(TZA92,[13]AssetDetails_UEM!$A$3:$AH$1849,6,FALSE)</f>
        <v>Electrosurgical Units, Monopolar/Bipolar</v>
      </c>
      <c r="TZC92" s="165" t="s">
        <v>945</v>
      </c>
      <c r="TZD92" s="166" t="str">
        <f>VLOOKUP(TZC92,[13]AssetDetails_UEM!$A$3:$AH$1849,6,FALSE)</f>
        <v>Electrosurgical Units, Monopolar/Bipolar</v>
      </c>
      <c r="TZE92" s="165" t="s">
        <v>945</v>
      </c>
      <c r="TZF92" s="166" t="str">
        <f>VLOOKUP(TZE92,[13]AssetDetails_UEM!$A$3:$AH$1849,6,FALSE)</f>
        <v>Electrosurgical Units, Monopolar/Bipolar</v>
      </c>
      <c r="TZG92" s="165" t="s">
        <v>945</v>
      </c>
      <c r="TZH92" s="166" t="str">
        <f>VLOOKUP(TZG92,[13]AssetDetails_UEM!$A$3:$AH$1849,6,FALSE)</f>
        <v>Electrosurgical Units, Monopolar/Bipolar</v>
      </c>
      <c r="TZI92" s="165" t="s">
        <v>945</v>
      </c>
      <c r="TZJ92" s="166" t="str">
        <f>VLOOKUP(TZI92,[13]AssetDetails_UEM!$A$3:$AH$1849,6,FALSE)</f>
        <v>Electrosurgical Units, Monopolar/Bipolar</v>
      </c>
      <c r="TZK92" s="165" t="s">
        <v>945</v>
      </c>
      <c r="TZL92" s="166" t="str">
        <f>VLOOKUP(TZK92,[13]AssetDetails_UEM!$A$3:$AH$1849,6,FALSE)</f>
        <v>Electrosurgical Units, Monopolar/Bipolar</v>
      </c>
      <c r="TZM92" s="165" t="s">
        <v>945</v>
      </c>
      <c r="TZN92" s="166" t="str">
        <f>VLOOKUP(TZM92,[13]AssetDetails_UEM!$A$3:$AH$1849,6,FALSE)</f>
        <v>Electrosurgical Units, Monopolar/Bipolar</v>
      </c>
      <c r="TZO92" s="165" t="s">
        <v>945</v>
      </c>
      <c r="TZP92" s="166" t="str">
        <f>VLOOKUP(TZO92,[13]AssetDetails_UEM!$A$3:$AH$1849,6,FALSE)</f>
        <v>Electrosurgical Units, Monopolar/Bipolar</v>
      </c>
      <c r="TZQ92" s="165" t="s">
        <v>945</v>
      </c>
      <c r="TZR92" s="166" t="str">
        <f>VLOOKUP(TZQ92,[13]AssetDetails_UEM!$A$3:$AH$1849,6,FALSE)</f>
        <v>Electrosurgical Units, Monopolar/Bipolar</v>
      </c>
      <c r="TZS92" s="165" t="s">
        <v>945</v>
      </c>
      <c r="TZT92" s="166" t="str">
        <f>VLOOKUP(TZS92,[13]AssetDetails_UEM!$A$3:$AH$1849,6,FALSE)</f>
        <v>Electrosurgical Units, Monopolar/Bipolar</v>
      </c>
      <c r="TZU92" s="165" t="s">
        <v>945</v>
      </c>
      <c r="TZV92" s="166" t="str">
        <f>VLOOKUP(TZU92,[13]AssetDetails_UEM!$A$3:$AH$1849,6,FALSE)</f>
        <v>Electrosurgical Units, Monopolar/Bipolar</v>
      </c>
      <c r="TZW92" s="165" t="s">
        <v>945</v>
      </c>
      <c r="TZX92" s="166" t="str">
        <f>VLOOKUP(TZW92,[13]AssetDetails_UEM!$A$3:$AH$1849,6,FALSE)</f>
        <v>Electrosurgical Units, Monopolar/Bipolar</v>
      </c>
      <c r="TZY92" s="165" t="s">
        <v>945</v>
      </c>
      <c r="TZZ92" s="166" t="str">
        <f>VLOOKUP(TZY92,[13]AssetDetails_UEM!$A$3:$AH$1849,6,FALSE)</f>
        <v>Electrosurgical Units, Monopolar/Bipolar</v>
      </c>
      <c r="UAA92" s="165" t="s">
        <v>945</v>
      </c>
      <c r="UAB92" s="166" t="str">
        <f>VLOOKUP(UAA92,[13]AssetDetails_UEM!$A$3:$AH$1849,6,FALSE)</f>
        <v>Electrosurgical Units, Monopolar/Bipolar</v>
      </c>
      <c r="UAC92" s="165" t="s">
        <v>945</v>
      </c>
      <c r="UAD92" s="166" t="str">
        <f>VLOOKUP(UAC92,[13]AssetDetails_UEM!$A$3:$AH$1849,6,FALSE)</f>
        <v>Electrosurgical Units, Monopolar/Bipolar</v>
      </c>
      <c r="UAE92" s="165" t="s">
        <v>945</v>
      </c>
      <c r="UAF92" s="166" t="str">
        <f>VLOOKUP(UAE92,[13]AssetDetails_UEM!$A$3:$AH$1849,6,FALSE)</f>
        <v>Electrosurgical Units, Monopolar/Bipolar</v>
      </c>
      <c r="UAG92" s="165" t="s">
        <v>945</v>
      </c>
      <c r="UAH92" s="166" t="str">
        <f>VLOOKUP(UAG92,[13]AssetDetails_UEM!$A$3:$AH$1849,6,FALSE)</f>
        <v>Electrosurgical Units, Monopolar/Bipolar</v>
      </c>
      <c r="UAI92" s="165" t="s">
        <v>945</v>
      </c>
      <c r="UAJ92" s="166" t="str">
        <f>VLOOKUP(UAI92,[13]AssetDetails_UEM!$A$3:$AH$1849,6,FALSE)</f>
        <v>Electrosurgical Units, Monopolar/Bipolar</v>
      </c>
      <c r="UAK92" s="165" t="s">
        <v>945</v>
      </c>
      <c r="UAL92" s="166" t="str">
        <f>VLOOKUP(UAK92,[13]AssetDetails_UEM!$A$3:$AH$1849,6,FALSE)</f>
        <v>Electrosurgical Units, Monopolar/Bipolar</v>
      </c>
      <c r="UAM92" s="165" t="s">
        <v>945</v>
      </c>
      <c r="UAN92" s="166" t="str">
        <f>VLOOKUP(UAM92,[13]AssetDetails_UEM!$A$3:$AH$1849,6,FALSE)</f>
        <v>Electrosurgical Units, Monopolar/Bipolar</v>
      </c>
      <c r="UAO92" s="165" t="s">
        <v>945</v>
      </c>
      <c r="UAP92" s="166" t="str">
        <f>VLOOKUP(UAO92,[13]AssetDetails_UEM!$A$3:$AH$1849,6,FALSE)</f>
        <v>Electrosurgical Units, Monopolar/Bipolar</v>
      </c>
      <c r="UAQ92" s="165" t="s">
        <v>945</v>
      </c>
      <c r="UAR92" s="166" t="str">
        <f>VLOOKUP(UAQ92,[13]AssetDetails_UEM!$A$3:$AH$1849,6,FALSE)</f>
        <v>Electrosurgical Units, Monopolar/Bipolar</v>
      </c>
      <c r="UAS92" s="165" t="s">
        <v>945</v>
      </c>
      <c r="UAT92" s="166" t="str">
        <f>VLOOKUP(UAS92,[13]AssetDetails_UEM!$A$3:$AH$1849,6,FALSE)</f>
        <v>Electrosurgical Units, Monopolar/Bipolar</v>
      </c>
      <c r="UAU92" s="165" t="s">
        <v>945</v>
      </c>
      <c r="UAV92" s="166" t="str">
        <f>VLOOKUP(UAU92,[13]AssetDetails_UEM!$A$3:$AH$1849,6,FALSE)</f>
        <v>Electrosurgical Units, Monopolar/Bipolar</v>
      </c>
      <c r="UAW92" s="165" t="s">
        <v>945</v>
      </c>
      <c r="UAX92" s="166" t="str">
        <f>VLOOKUP(UAW92,[13]AssetDetails_UEM!$A$3:$AH$1849,6,FALSE)</f>
        <v>Electrosurgical Units, Monopolar/Bipolar</v>
      </c>
      <c r="UAY92" s="165" t="s">
        <v>945</v>
      </c>
      <c r="UAZ92" s="166" t="str">
        <f>VLOOKUP(UAY92,[13]AssetDetails_UEM!$A$3:$AH$1849,6,FALSE)</f>
        <v>Electrosurgical Units, Monopolar/Bipolar</v>
      </c>
      <c r="UBA92" s="165" t="s">
        <v>945</v>
      </c>
      <c r="UBB92" s="166" t="str">
        <f>VLOOKUP(UBA92,[13]AssetDetails_UEM!$A$3:$AH$1849,6,FALSE)</f>
        <v>Electrosurgical Units, Monopolar/Bipolar</v>
      </c>
      <c r="UBC92" s="165" t="s">
        <v>945</v>
      </c>
      <c r="UBD92" s="166" t="str">
        <f>VLOOKUP(UBC92,[13]AssetDetails_UEM!$A$3:$AH$1849,6,FALSE)</f>
        <v>Electrosurgical Units, Monopolar/Bipolar</v>
      </c>
      <c r="UBE92" s="165" t="s">
        <v>945</v>
      </c>
      <c r="UBF92" s="166" t="str">
        <f>VLOOKUP(UBE92,[13]AssetDetails_UEM!$A$3:$AH$1849,6,FALSE)</f>
        <v>Electrosurgical Units, Monopolar/Bipolar</v>
      </c>
      <c r="UBG92" s="165" t="s">
        <v>945</v>
      </c>
      <c r="UBH92" s="166" t="str">
        <f>VLOOKUP(UBG92,[13]AssetDetails_UEM!$A$3:$AH$1849,6,FALSE)</f>
        <v>Electrosurgical Units, Monopolar/Bipolar</v>
      </c>
      <c r="UBI92" s="165" t="s">
        <v>945</v>
      </c>
      <c r="UBJ92" s="166" t="str">
        <f>VLOOKUP(UBI92,[13]AssetDetails_UEM!$A$3:$AH$1849,6,FALSE)</f>
        <v>Electrosurgical Units, Monopolar/Bipolar</v>
      </c>
      <c r="UBK92" s="165" t="s">
        <v>945</v>
      </c>
      <c r="UBL92" s="166" t="str">
        <f>VLOOKUP(UBK92,[13]AssetDetails_UEM!$A$3:$AH$1849,6,FALSE)</f>
        <v>Electrosurgical Units, Monopolar/Bipolar</v>
      </c>
      <c r="UBM92" s="165" t="s">
        <v>945</v>
      </c>
      <c r="UBN92" s="166" t="str">
        <f>VLOOKUP(UBM92,[13]AssetDetails_UEM!$A$3:$AH$1849,6,FALSE)</f>
        <v>Electrosurgical Units, Monopolar/Bipolar</v>
      </c>
      <c r="UBO92" s="165" t="s">
        <v>945</v>
      </c>
      <c r="UBP92" s="166" t="str">
        <f>VLOOKUP(UBO92,[13]AssetDetails_UEM!$A$3:$AH$1849,6,FALSE)</f>
        <v>Electrosurgical Units, Monopolar/Bipolar</v>
      </c>
      <c r="UBQ92" s="165" t="s">
        <v>945</v>
      </c>
      <c r="UBR92" s="166" t="str">
        <f>VLOOKUP(UBQ92,[13]AssetDetails_UEM!$A$3:$AH$1849,6,FALSE)</f>
        <v>Electrosurgical Units, Monopolar/Bipolar</v>
      </c>
      <c r="UBS92" s="165" t="s">
        <v>945</v>
      </c>
      <c r="UBT92" s="166" t="str">
        <f>VLOOKUP(UBS92,[13]AssetDetails_UEM!$A$3:$AH$1849,6,FALSE)</f>
        <v>Electrosurgical Units, Monopolar/Bipolar</v>
      </c>
      <c r="UBU92" s="165" t="s">
        <v>945</v>
      </c>
      <c r="UBV92" s="166" t="str">
        <f>VLOOKUP(UBU92,[13]AssetDetails_UEM!$A$3:$AH$1849,6,FALSE)</f>
        <v>Electrosurgical Units, Monopolar/Bipolar</v>
      </c>
      <c r="UBW92" s="165" t="s">
        <v>945</v>
      </c>
      <c r="UBX92" s="166" t="str">
        <f>VLOOKUP(UBW92,[13]AssetDetails_UEM!$A$3:$AH$1849,6,FALSE)</f>
        <v>Electrosurgical Units, Monopolar/Bipolar</v>
      </c>
      <c r="UBY92" s="165" t="s">
        <v>945</v>
      </c>
      <c r="UBZ92" s="166" t="str">
        <f>VLOOKUP(UBY92,[13]AssetDetails_UEM!$A$3:$AH$1849,6,FALSE)</f>
        <v>Electrosurgical Units, Monopolar/Bipolar</v>
      </c>
      <c r="UCA92" s="165" t="s">
        <v>945</v>
      </c>
      <c r="UCB92" s="166" t="str">
        <f>VLOOKUP(UCA92,[13]AssetDetails_UEM!$A$3:$AH$1849,6,FALSE)</f>
        <v>Electrosurgical Units, Monopolar/Bipolar</v>
      </c>
      <c r="UCC92" s="165" t="s">
        <v>945</v>
      </c>
      <c r="UCD92" s="166" t="str">
        <f>VLOOKUP(UCC92,[13]AssetDetails_UEM!$A$3:$AH$1849,6,FALSE)</f>
        <v>Electrosurgical Units, Monopolar/Bipolar</v>
      </c>
      <c r="UCE92" s="165" t="s">
        <v>945</v>
      </c>
      <c r="UCF92" s="166" t="str">
        <f>VLOOKUP(UCE92,[13]AssetDetails_UEM!$A$3:$AH$1849,6,FALSE)</f>
        <v>Electrosurgical Units, Monopolar/Bipolar</v>
      </c>
      <c r="UCG92" s="165" t="s">
        <v>945</v>
      </c>
      <c r="UCH92" s="166" t="str">
        <f>VLOOKUP(UCG92,[13]AssetDetails_UEM!$A$3:$AH$1849,6,FALSE)</f>
        <v>Electrosurgical Units, Monopolar/Bipolar</v>
      </c>
      <c r="UCI92" s="165" t="s">
        <v>945</v>
      </c>
      <c r="UCJ92" s="166" t="str">
        <f>VLOOKUP(UCI92,[13]AssetDetails_UEM!$A$3:$AH$1849,6,FALSE)</f>
        <v>Electrosurgical Units, Monopolar/Bipolar</v>
      </c>
      <c r="UCK92" s="165" t="s">
        <v>945</v>
      </c>
      <c r="UCL92" s="166" t="str">
        <f>VLOOKUP(UCK92,[13]AssetDetails_UEM!$A$3:$AH$1849,6,FALSE)</f>
        <v>Electrosurgical Units, Monopolar/Bipolar</v>
      </c>
      <c r="UCM92" s="165" t="s">
        <v>945</v>
      </c>
      <c r="UCN92" s="166" t="str">
        <f>VLOOKUP(UCM92,[13]AssetDetails_UEM!$A$3:$AH$1849,6,FALSE)</f>
        <v>Electrosurgical Units, Monopolar/Bipolar</v>
      </c>
      <c r="UCO92" s="165" t="s">
        <v>945</v>
      </c>
      <c r="UCP92" s="166" t="str">
        <f>VLOOKUP(UCO92,[13]AssetDetails_UEM!$A$3:$AH$1849,6,FALSE)</f>
        <v>Electrosurgical Units, Monopolar/Bipolar</v>
      </c>
      <c r="UCQ92" s="165" t="s">
        <v>945</v>
      </c>
      <c r="UCR92" s="166" t="str">
        <f>VLOOKUP(UCQ92,[13]AssetDetails_UEM!$A$3:$AH$1849,6,FALSE)</f>
        <v>Electrosurgical Units, Monopolar/Bipolar</v>
      </c>
      <c r="UCS92" s="165" t="s">
        <v>945</v>
      </c>
      <c r="UCT92" s="166" t="str">
        <f>VLOOKUP(UCS92,[13]AssetDetails_UEM!$A$3:$AH$1849,6,FALSE)</f>
        <v>Electrosurgical Units, Monopolar/Bipolar</v>
      </c>
      <c r="UCU92" s="165" t="s">
        <v>945</v>
      </c>
      <c r="UCV92" s="166" t="str">
        <f>VLOOKUP(UCU92,[13]AssetDetails_UEM!$A$3:$AH$1849,6,FALSE)</f>
        <v>Electrosurgical Units, Monopolar/Bipolar</v>
      </c>
      <c r="UCW92" s="165" t="s">
        <v>945</v>
      </c>
      <c r="UCX92" s="166" t="str">
        <f>VLOOKUP(UCW92,[13]AssetDetails_UEM!$A$3:$AH$1849,6,FALSE)</f>
        <v>Electrosurgical Units, Monopolar/Bipolar</v>
      </c>
      <c r="UCY92" s="165" t="s">
        <v>945</v>
      </c>
      <c r="UCZ92" s="166" t="str">
        <f>VLOOKUP(UCY92,[13]AssetDetails_UEM!$A$3:$AH$1849,6,FALSE)</f>
        <v>Electrosurgical Units, Monopolar/Bipolar</v>
      </c>
      <c r="UDA92" s="165" t="s">
        <v>945</v>
      </c>
      <c r="UDB92" s="166" t="str">
        <f>VLOOKUP(UDA92,[13]AssetDetails_UEM!$A$3:$AH$1849,6,FALSE)</f>
        <v>Electrosurgical Units, Monopolar/Bipolar</v>
      </c>
      <c r="UDC92" s="165" t="s">
        <v>945</v>
      </c>
      <c r="UDD92" s="166" t="str">
        <f>VLOOKUP(UDC92,[13]AssetDetails_UEM!$A$3:$AH$1849,6,FALSE)</f>
        <v>Electrosurgical Units, Monopolar/Bipolar</v>
      </c>
      <c r="UDE92" s="165" t="s">
        <v>945</v>
      </c>
      <c r="UDF92" s="166" t="str">
        <f>VLOOKUP(UDE92,[13]AssetDetails_UEM!$A$3:$AH$1849,6,FALSE)</f>
        <v>Electrosurgical Units, Monopolar/Bipolar</v>
      </c>
      <c r="UDG92" s="165" t="s">
        <v>945</v>
      </c>
      <c r="UDH92" s="166" t="str">
        <f>VLOOKUP(UDG92,[13]AssetDetails_UEM!$A$3:$AH$1849,6,FALSE)</f>
        <v>Electrosurgical Units, Monopolar/Bipolar</v>
      </c>
      <c r="UDI92" s="165" t="s">
        <v>945</v>
      </c>
      <c r="UDJ92" s="166" t="str">
        <f>VLOOKUP(UDI92,[13]AssetDetails_UEM!$A$3:$AH$1849,6,FALSE)</f>
        <v>Electrosurgical Units, Monopolar/Bipolar</v>
      </c>
      <c r="UDK92" s="165" t="s">
        <v>945</v>
      </c>
      <c r="UDL92" s="166" t="str">
        <f>VLOOKUP(UDK92,[13]AssetDetails_UEM!$A$3:$AH$1849,6,FALSE)</f>
        <v>Electrosurgical Units, Monopolar/Bipolar</v>
      </c>
      <c r="UDM92" s="165" t="s">
        <v>945</v>
      </c>
      <c r="UDN92" s="166" t="str">
        <f>VLOOKUP(UDM92,[13]AssetDetails_UEM!$A$3:$AH$1849,6,FALSE)</f>
        <v>Electrosurgical Units, Monopolar/Bipolar</v>
      </c>
      <c r="UDO92" s="165" t="s">
        <v>945</v>
      </c>
      <c r="UDP92" s="166" t="str">
        <f>VLOOKUP(UDO92,[13]AssetDetails_UEM!$A$3:$AH$1849,6,FALSE)</f>
        <v>Electrosurgical Units, Monopolar/Bipolar</v>
      </c>
      <c r="UDQ92" s="165" t="s">
        <v>945</v>
      </c>
      <c r="UDR92" s="166" t="str">
        <f>VLOOKUP(UDQ92,[13]AssetDetails_UEM!$A$3:$AH$1849,6,FALSE)</f>
        <v>Electrosurgical Units, Monopolar/Bipolar</v>
      </c>
      <c r="UDS92" s="165" t="s">
        <v>945</v>
      </c>
      <c r="UDT92" s="166" t="str">
        <f>VLOOKUP(UDS92,[13]AssetDetails_UEM!$A$3:$AH$1849,6,FALSE)</f>
        <v>Electrosurgical Units, Monopolar/Bipolar</v>
      </c>
      <c r="UDU92" s="165" t="s">
        <v>945</v>
      </c>
      <c r="UDV92" s="166" t="str">
        <f>VLOOKUP(UDU92,[13]AssetDetails_UEM!$A$3:$AH$1849,6,FALSE)</f>
        <v>Electrosurgical Units, Monopolar/Bipolar</v>
      </c>
      <c r="UDW92" s="165" t="s">
        <v>945</v>
      </c>
      <c r="UDX92" s="166" t="str">
        <f>VLOOKUP(UDW92,[13]AssetDetails_UEM!$A$3:$AH$1849,6,FALSE)</f>
        <v>Electrosurgical Units, Monopolar/Bipolar</v>
      </c>
      <c r="UDY92" s="165" t="s">
        <v>945</v>
      </c>
      <c r="UDZ92" s="166" t="str">
        <f>VLOOKUP(UDY92,[13]AssetDetails_UEM!$A$3:$AH$1849,6,FALSE)</f>
        <v>Electrosurgical Units, Monopolar/Bipolar</v>
      </c>
      <c r="UEA92" s="165" t="s">
        <v>945</v>
      </c>
      <c r="UEB92" s="166" t="str">
        <f>VLOOKUP(UEA92,[13]AssetDetails_UEM!$A$3:$AH$1849,6,FALSE)</f>
        <v>Electrosurgical Units, Monopolar/Bipolar</v>
      </c>
      <c r="UEC92" s="165" t="s">
        <v>945</v>
      </c>
      <c r="UED92" s="166" t="str">
        <f>VLOOKUP(UEC92,[13]AssetDetails_UEM!$A$3:$AH$1849,6,FALSE)</f>
        <v>Electrosurgical Units, Monopolar/Bipolar</v>
      </c>
      <c r="UEE92" s="165" t="s">
        <v>945</v>
      </c>
      <c r="UEF92" s="166" t="str">
        <f>VLOOKUP(UEE92,[13]AssetDetails_UEM!$A$3:$AH$1849,6,FALSE)</f>
        <v>Electrosurgical Units, Monopolar/Bipolar</v>
      </c>
      <c r="UEG92" s="165" t="s">
        <v>945</v>
      </c>
      <c r="UEH92" s="166" t="str">
        <f>VLOOKUP(UEG92,[13]AssetDetails_UEM!$A$3:$AH$1849,6,FALSE)</f>
        <v>Electrosurgical Units, Monopolar/Bipolar</v>
      </c>
      <c r="UEI92" s="165" t="s">
        <v>945</v>
      </c>
      <c r="UEJ92" s="166" t="str">
        <f>VLOOKUP(UEI92,[13]AssetDetails_UEM!$A$3:$AH$1849,6,FALSE)</f>
        <v>Electrosurgical Units, Monopolar/Bipolar</v>
      </c>
      <c r="UEK92" s="165" t="s">
        <v>945</v>
      </c>
      <c r="UEL92" s="166" t="str">
        <f>VLOOKUP(UEK92,[13]AssetDetails_UEM!$A$3:$AH$1849,6,FALSE)</f>
        <v>Electrosurgical Units, Monopolar/Bipolar</v>
      </c>
      <c r="UEM92" s="165" t="s">
        <v>945</v>
      </c>
      <c r="UEN92" s="166" t="str">
        <f>VLOOKUP(UEM92,[13]AssetDetails_UEM!$A$3:$AH$1849,6,FALSE)</f>
        <v>Electrosurgical Units, Monopolar/Bipolar</v>
      </c>
      <c r="UEO92" s="165" t="s">
        <v>945</v>
      </c>
      <c r="UEP92" s="166" t="str">
        <f>VLOOKUP(UEO92,[13]AssetDetails_UEM!$A$3:$AH$1849,6,FALSE)</f>
        <v>Electrosurgical Units, Monopolar/Bipolar</v>
      </c>
      <c r="UEQ92" s="165" t="s">
        <v>945</v>
      </c>
      <c r="UER92" s="166" t="str">
        <f>VLOOKUP(UEQ92,[13]AssetDetails_UEM!$A$3:$AH$1849,6,FALSE)</f>
        <v>Electrosurgical Units, Monopolar/Bipolar</v>
      </c>
      <c r="UES92" s="165" t="s">
        <v>945</v>
      </c>
      <c r="UET92" s="166" t="str">
        <f>VLOOKUP(UES92,[13]AssetDetails_UEM!$A$3:$AH$1849,6,FALSE)</f>
        <v>Electrosurgical Units, Monopolar/Bipolar</v>
      </c>
      <c r="UEU92" s="165" t="s">
        <v>945</v>
      </c>
      <c r="UEV92" s="166" t="str">
        <f>VLOOKUP(UEU92,[13]AssetDetails_UEM!$A$3:$AH$1849,6,FALSE)</f>
        <v>Electrosurgical Units, Monopolar/Bipolar</v>
      </c>
      <c r="UEW92" s="165" t="s">
        <v>945</v>
      </c>
      <c r="UEX92" s="166" t="str">
        <f>VLOOKUP(UEW92,[13]AssetDetails_UEM!$A$3:$AH$1849,6,FALSE)</f>
        <v>Electrosurgical Units, Monopolar/Bipolar</v>
      </c>
      <c r="UEY92" s="165" t="s">
        <v>945</v>
      </c>
      <c r="UEZ92" s="166" t="str">
        <f>VLOOKUP(UEY92,[13]AssetDetails_UEM!$A$3:$AH$1849,6,FALSE)</f>
        <v>Electrosurgical Units, Monopolar/Bipolar</v>
      </c>
      <c r="UFA92" s="165" t="s">
        <v>945</v>
      </c>
      <c r="UFB92" s="166" t="str">
        <f>VLOOKUP(UFA92,[13]AssetDetails_UEM!$A$3:$AH$1849,6,FALSE)</f>
        <v>Electrosurgical Units, Monopolar/Bipolar</v>
      </c>
      <c r="UFC92" s="165" t="s">
        <v>945</v>
      </c>
      <c r="UFD92" s="166" t="str">
        <f>VLOOKUP(UFC92,[13]AssetDetails_UEM!$A$3:$AH$1849,6,FALSE)</f>
        <v>Electrosurgical Units, Monopolar/Bipolar</v>
      </c>
      <c r="UFE92" s="165" t="s">
        <v>945</v>
      </c>
      <c r="UFF92" s="166" t="str">
        <f>VLOOKUP(UFE92,[13]AssetDetails_UEM!$A$3:$AH$1849,6,FALSE)</f>
        <v>Electrosurgical Units, Monopolar/Bipolar</v>
      </c>
      <c r="UFG92" s="165" t="s">
        <v>945</v>
      </c>
      <c r="UFH92" s="166" t="str">
        <f>VLOOKUP(UFG92,[13]AssetDetails_UEM!$A$3:$AH$1849,6,FALSE)</f>
        <v>Electrosurgical Units, Monopolar/Bipolar</v>
      </c>
      <c r="UFI92" s="165" t="s">
        <v>945</v>
      </c>
      <c r="UFJ92" s="166" t="str">
        <f>VLOOKUP(UFI92,[13]AssetDetails_UEM!$A$3:$AH$1849,6,FALSE)</f>
        <v>Electrosurgical Units, Monopolar/Bipolar</v>
      </c>
      <c r="UFK92" s="165" t="s">
        <v>945</v>
      </c>
      <c r="UFL92" s="166" t="str">
        <f>VLOOKUP(UFK92,[13]AssetDetails_UEM!$A$3:$AH$1849,6,FALSE)</f>
        <v>Electrosurgical Units, Monopolar/Bipolar</v>
      </c>
      <c r="UFM92" s="165" t="s">
        <v>945</v>
      </c>
      <c r="UFN92" s="166" t="str">
        <f>VLOOKUP(UFM92,[13]AssetDetails_UEM!$A$3:$AH$1849,6,FALSE)</f>
        <v>Electrosurgical Units, Monopolar/Bipolar</v>
      </c>
      <c r="UFO92" s="165" t="s">
        <v>945</v>
      </c>
      <c r="UFP92" s="166" t="str">
        <f>VLOOKUP(UFO92,[13]AssetDetails_UEM!$A$3:$AH$1849,6,FALSE)</f>
        <v>Electrosurgical Units, Monopolar/Bipolar</v>
      </c>
      <c r="UFQ92" s="165" t="s">
        <v>945</v>
      </c>
      <c r="UFR92" s="166" t="str">
        <f>VLOOKUP(UFQ92,[13]AssetDetails_UEM!$A$3:$AH$1849,6,FALSE)</f>
        <v>Electrosurgical Units, Monopolar/Bipolar</v>
      </c>
      <c r="UFS92" s="165" t="s">
        <v>945</v>
      </c>
      <c r="UFT92" s="166" t="str">
        <f>VLOOKUP(UFS92,[13]AssetDetails_UEM!$A$3:$AH$1849,6,FALSE)</f>
        <v>Electrosurgical Units, Monopolar/Bipolar</v>
      </c>
      <c r="UFU92" s="165" t="s">
        <v>945</v>
      </c>
      <c r="UFV92" s="166" t="str">
        <f>VLOOKUP(UFU92,[13]AssetDetails_UEM!$A$3:$AH$1849,6,FALSE)</f>
        <v>Electrosurgical Units, Monopolar/Bipolar</v>
      </c>
      <c r="UFW92" s="165" t="s">
        <v>945</v>
      </c>
      <c r="UFX92" s="166" t="str">
        <f>VLOOKUP(UFW92,[13]AssetDetails_UEM!$A$3:$AH$1849,6,FALSE)</f>
        <v>Electrosurgical Units, Monopolar/Bipolar</v>
      </c>
      <c r="UFY92" s="165" t="s">
        <v>945</v>
      </c>
      <c r="UFZ92" s="166" t="str">
        <f>VLOOKUP(UFY92,[13]AssetDetails_UEM!$A$3:$AH$1849,6,FALSE)</f>
        <v>Electrosurgical Units, Monopolar/Bipolar</v>
      </c>
      <c r="UGA92" s="165" t="s">
        <v>945</v>
      </c>
      <c r="UGB92" s="166" t="str">
        <f>VLOOKUP(UGA92,[13]AssetDetails_UEM!$A$3:$AH$1849,6,FALSE)</f>
        <v>Electrosurgical Units, Monopolar/Bipolar</v>
      </c>
      <c r="UGC92" s="165" t="s">
        <v>945</v>
      </c>
      <c r="UGD92" s="166" t="str">
        <f>VLOOKUP(UGC92,[13]AssetDetails_UEM!$A$3:$AH$1849,6,FALSE)</f>
        <v>Electrosurgical Units, Monopolar/Bipolar</v>
      </c>
      <c r="UGE92" s="165" t="s">
        <v>945</v>
      </c>
      <c r="UGF92" s="166" t="str">
        <f>VLOOKUP(UGE92,[13]AssetDetails_UEM!$A$3:$AH$1849,6,FALSE)</f>
        <v>Electrosurgical Units, Monopolar/Bipolar</v>
      </c>
      <c r="UGG92" s="165" t="s">
        <v>945</v>
      </c>
      <c r="UGH92" s="166" t="str">
        <f>VLOOKUP(UGG92,[13]AssetDetails_UEM!$A$3:$AH$1849,6,FALSE)</f>
        <v>Electrosurgical Units, Monopolar/Bipolar</v>
      </c>
      <c r="UGI92" s="165" t="s">
        <v>945</v>
      </c>
      <c r="UGJ92" s="166" t="str">
        <f>VLOOKUP(UGI92,[13]AssetDetails_UEM!$A$3:$AH$1849,6,FALSE)</f>
        <v>Electrosurgical Units, Monopolar/Bipolar</v>
      </c>
      <c r="UGK92" s="165" t="s">
        <v>945</v>
      </c>
      <c r="UGL92" s="166" t="str">
        <f>VLOOKUP(UGK92,[13]AssetDetails_UEM!$A$3:$AH$1849,6,FALSE)</f>
        <v>Electrosurgical Units, Monopolar/Bipolar</v>
      </c>
      <c r="UGM92" s="165" t="s">
        <v>945</v>
      </c>
      <c r="UGN92" s="166" t="str">
        <f>VLOOKUP(UGM92,[13]AssetDetails_UEM!$A$3:$AH$1849,6,FALSE)</f>
        <v>Electrosurgical Units, Monopolar/Bipolar</v>
      </c>
      <c r="UGO92" s="165" t="s">
        <v>945</v>
      </c>
      <c r="UGP92" s="166" t="str">
        <f>VLOOKUP(UGO92,[13]AssetDetails_UEM!$A$3:$AH$1849,6,FALSE)</f>
        <v>Electrosurgical Units, Monopolar/Bipolar</v>
      </c>
      <c r="UGQ92" s="165" t="s">
        <v>945</v>
      </c>
      <c r="UGR92" s="166" t="str">
        <f>VLOOKUP(UGQ92,[13]AssetDetails_UEM!$A$3:$AH$1849,6,FALSE)</f>
        <v>Electrosurgical Units, Monopolar/Bipolar</v>
      </c>
      <c r="UGS92" s="165" t="s">
        <v>945</v>
      </c>
      <c r="UGT92" s="166" t="str">
        <f>VLOOKUP(UGS92,[13]AssetDetails_UEM!$A$3:$AH$1849,6,FALSE)</f>
        <v>Electrosurgical Units, Monopolar/Bipolar</v>
      </c>
      <c r="UGU92" s="165" t="s">
        <v>945</v>
      </c>
      <c r="UGV92" s="166" t="str">
        <f>VLOOKUP(UGU92,[13]AssetDetails_UEM!$A$3:$AH$1849,6,FALSE)</f>
        <v>Electrosurgical Units, Monopolar/Bipolar</v>
      </c>
      <c r="UGW92" s="165" t="s">
        <v>945</v>
      </c>
      <c r="UGX92" s="166" t="str">
        <f>VLOOKUP(UGW92,[13]AssetDetails_UEM!$A$3:$AH$1849,6,FALSE)</f>
        <v>Electrosurgical Units, Monopolar/Bipolar</v>
      </c>
      <c r="UGY92" s="165" t="s">
        <v>945</v>
      </c>
      <c r="UGZ92" s="166" t="str">
        <f>VLOOKUP(UGY92,[13]AssetDetails_UEM!$A$3:$AH$1849,6,FALSE)</f>
        <v>Electrosurgical Units, Monopolar/Bipolar</v>
      </c>
      <c r="UHA92" s="165" t="s">
        <v>945</v>
      </c>
      <c r="UHB92" s="166" t="str">
        <f>VLOOKUP(UHA92,[13]AssetDetails_UEM!$A$3:$AH$1849,6,FALSE)</f>
        <v>Electrosurgical Units, Monopolar/Bipolar</v>
      </c>
      <c r="UHC92" s="165" t="s">
        <v>945</v>
      </c>
      <c r="UHD92" s="166" t="str">
        <f>VLOOKUP(UHC92,[13]AssetDetails_UEM!$A$3:$AH$1849,6,FALSE)</f>
        <v>Electrosurgical Units, Monopolar/Bipolar</v>
      </c>
      <c r="UHE92" s="165" t="s">
        <v>945</v>
      </c>
      <c r="UHF92" s="166" t="str">
        <f>VLOOKUP(UHE92,[13]AssetDetails_UEM!$A$3:$AH$1849,6,FALSE)</f>
        <v>Electrosurgical Units, Monopolar/Bipolar</v>
      </c>
      <c r="UHG92" s="165" t="s">
        <v>945</v>
      </c>
      <c r="UHH92" s="166" t="str">
        <f>VLOOKUP(UHG92,[13]AssetDetails_UEM!$A$3:$AH$1849,6,FALSE)</f>
        <v>Electrosurgical Units, Monopolar/Bipolar</v>
      </c>
      <c r="UHI92" s="165" t="s">
        <v>945</v>
      </c>
      <c r="UHJ92" s="166" t="str">
        <f>VLOOKUP(UHI92,[13]AssetDetails_UEM!$A$3:$AH$1849,6,FALSE)</f>
        <v>Electrosurgical Units, Monopolar/Bipolar</v>
      </c>
      <c r="UHK92" s="165" t="s">
        <v>945</v>
      </c>
      <c r="UHL92" s="166" t="str">
        <f>VLOOKUP(UHK92,[13]AssetDetails_UEM!$A$3:$AH$1849,6,FALSE)</f>
        <v>Electrosurgical Units, Monopolar/Bipolar</v>
      </c>
      <c r="UHM92" s="165" t="s">
        <v>945</v>
      </c>
      <c r="UHN92" s="166" t="str">
        <f>VLOOKUP(UHM92,[13]AssetDetails_UEM!$A$3:$AH$1849,6,FALSE)</f>
        <v>Electrosurgical Units, Monopolar/Bipolar</v>
      </c>
      <c r="UHO92" s="165" t="s">
        <v>945</v>
      </c>
      <c r="UHP92" s="166" t="str">
        <f>VLOOKUP(UHO92,[13]AssetDetails_UEM!$A$3:$AH$1849,6,FALSE)</f>
        <v>Electrosurgical Units, Monopolar/Bipolar</v>
      </c>
      <c r="UHQ92" s="165" t="s">
        <v>945</v>
      </c>
      <c r="UHR92" s="166" t="str">
        <f>VLOOKUP(UHQ92,[13]AssetDetails_UEM!$A$3:$AH$1849,6,FALSE)</f>
        <v>Electrosurgical Units, Monopolar/Bipolar</v>
      </c>
      <c r="UHS92" s="165" t="s">
        <v>945</v>
      </c>
      <c r="UHT92" s="166" t="str">
        <f>VLOOKUP(UHS92,[13]AssetDetails_UEM!$A$3:$AH$1849,6,FALSE)</f>
        <v>Electrosurgical Units, Monopolar/Bipolar</v>
      </c>
      <c r="UHU92" s="165" t="s">
        <v>945</v>
      </c>
      <c r="UHV92" s="166" t="str">
        <f>VLOOKUP(UHU92,[13]AssetDetails_UEM!$A$3:$AH$1849,6,FALSE)</f>
        <v>Electrosurgical Units, Monopolar/Bipolar</v>
      </c>
      <c r="UHW92" s="165" t="s">
        <v>945</v>
      </c>
      <c r="UHX92" s="166" t="str">
        <f>VLOOKUP(UHW92,[13]AssetDetails_UEM!$A$3:$AH$1849,6,FALSE)</f>
        <v>Electrosurgical Units, Monopolar/Bipolar</v>
      </c>
      <c r="UHY92" s="165" t="s">
        <v>945</v>
      </c>
      <c r="UHZ92" s="166" t="str">
        <f>VLOOKUP(UHY92,[13]AssetDetails_UEM!$A$3:$AH$1849,6,FALSE)</f>
        <v>Electrosurgical Units, Monopolar/Bipolar</v>
      </c>
      <c r="UIA92" s="165" t="s">
        <v>945</v>
      </c>
      <c r="UIB92" s="166" t="str">
        <f>VLOOKUP(UIA92,[13]AssetDetails_UEM!$A$3:$AH$1849,6,FALSE)</f>
        <v>Electrosurgical Units, Monopolar/Bipolar</v>
      </c>
      <c r="UIC92" s="165" t="s">
        <v>945</v>
      </c>
      <c r="UID92" s="166" t="str">
        <f>VLOOKUP(UIC92,[13]AssetDetails_UEM!$A$3:$AH$1849,6,FALSE)</f>
        <v>Electrosurgical Units, Monopolar/Bipolar</v>
      </c>
      <c r="UIE92" s="165" t="s">
        <v>945</v>
      </c>
      <c r="UIF92" s="166" t="str">
        <f>VLOOKUP(UIE92,[13]AssetDetails_UEM!$A$3:$AH$1849,6,FALSE)</f>
        <v>Electrosurgical Units, Monopolar/Bipolar</v>
      </c>
      <c r="UIG92" s="165" t="s">
        <v>945</v>
      </c>
      <c r="UIH92" s="166" t="str">
        <f>VLOOKUP(UIG92,[13]AssetDetails_UEM!$A$3:$AH$1849,6,FALSE)</f>
        <v>Electrosurgical Units, Monopolar/Bipolar</v>
      </c>
      <c r="UII92" s="165" t="s">
        <v>945</v>
      </c>
      <c r="UIJ92" s="166" t="str">
        <f>VLOOKUP(UII92,[13]AssetDetails_UEM!$A$3:$AH$1849,6,FALSE)</f>
        <v>Electrosurgical Units, Monopolar/Bipolar</v>
      </c>
      <c r="UIK92" s="165" t="s">
        <v>945</v>
      </c>
      <c r="UIL92" s="166" t="str">
        <f>VLOOKUP(UIK92,[13]AssetDetails_UEM!$A$3:$AH$1849,6,FALSE)</f>
        <v>Electrosurgical Units, Monopolar/Bipolar</v>
      </c>
      <c r="UIM92" s="165" t="s">
        <v>945</v>
      </c>
      <c r="UIN92" s="166" t="str">
        <f>VLOOKUP(UIM92,[13]AssetDetails_UEM!$A$3:$AH$1849,6,FALSE)</f>
        <v>Electrosurgical Units, Monopolar/Bipolar</v>
      </c>
      <c r="UIO92" s="165" t="s">
        <v>945</v>
      </c>
      <c r="UIP92" s="166" t="str">
        <f>VLOOKUP(UIO92,[13]AssetDetails_UEM!$A$3:$AH$1849,6,FALSE)</f>
        <v>Electrosurgical Units, Monopolar/Bipolar</v>
      </c>
      <c r="UIQ92" s="165" t="s">
        <v>945</v>
      </c>
      <c r="UIR92" s="166" t="str">
        <f>VLOOKUP(UIQ92,[13]AssetDetails_UEM!$A$3:$AH$1849,6,FALSE)</f>
        <v>Electrosurgical Units, Monopolar/Bipolar</v>
      </c>
      <c r="UIS92" s="165" t="s">
        <v>945</v>
      </c>
      <c r="UIT92" s="166" t="str">
        <f>VLOOKUP(UIS92,[13]AssetDetails_UEM!$A$3:$AH$1849,6,FALSE)</f>
        <v>Electrosurgical Units, Monopolar/Bipolar</v>
      </c>
      <c r="UIU92" s="165" t="s">
        <v>945</v>
      </c>
      <c r="UIV92" s="166" t="str">
        <f>VLOOKUP(UIU92,[13]AssetDetails_UEM!$A$3:$AH$1849,6,FALSE)</f>
        <v>Electrosurgical Units, Monopolar/Bipolar</v>
      </c>
      <c r="UIW92" s="165" t="s">
        <v>945</v>
      </c>
      <c r="UIX92" s="166" t="str">
        <f>VLOOKUP(UIW92,[13]AssetDetails_UEM!$A$3:$AH$1849,6,FALSE)</f>
        <v>Electrosurgical Units, Monopolar/Bipolar</v>
      </c>
      <c r="UIY92" s="165" t="s">
        <v>945</v>
      </c>
      <c r="UIZ92" s="166" t="str">
        <f>VLOOKUP(UIY92,[13]AssetDetails_UEM!$A$3:$AH$1849,6,FALSE)</f>
        <v>Electrosurgical Units, Monopolar/Bipolar</v>
      </c>
      <c r="UJA92" s="165" t="s">
        <v>945</v>
      </c>
      <c r="UJB92" s="166" t="str">
        <f>VLOOKUP(UJA92,[13]AssetDetails_UEM!$A$3:$AH$1849,6,FALSE)</f>
        <v>Electrosurgical Units, Monopolar/Bipolar</v>
      </c>
      <c r="UJC92" s="165" t="s">
        <v>945</v>
      </c>
      <c r="UJD92" s="166" t="str">
        <f>VLOOKUP(UJC92,[13]AssetDetails_UEM!$A$3:$AH$1849,6,FALSE)</f>
        <v>Electrosurgical Units, Monopolar/Bipolar</v>
      </c>
      <c r="UJE92" s="165" t="s">
        <v>945</v>
      </c>
      <c r="UJF92" s="166" t="str">
        <f>VLOOKUP(UJE92,[13]AssetDetails_UEM!$A$3:$AH$1849,6,FALSE)</f>
        <v>Electrosurgical Units, Monopolar/Bipolar</v>
      </c>
      <c r="UJG92" s="165" t="s">
        <v>945</v>
      </c>
      <c r="UJH92" s="166" t="str">
        <f>VLOOKUP(UJG92,[13]AssetDetails_UEM!$A$3:$AH$1849,6,FALSE)</f>
        <v>Electrosurgical Units, Monopolar/Bipolar</v>
      </c>
      <c r="UJI92" s="165" t="s">
        <v>945</v>
      </c>
      <c r="UJJ92" s="166" t="str">
        <f>VLOOKUP(UJI92,[13]AssetDetails_UEM!$A$3:$AH$1849,6,FALSE)</f>
        <v>Electrosurgical Units, Monopolar/Bipolar</v>
      </c>
      <c r="UJK92" s="165" t="s">
        <v>945</v>
      </c>
      <c r="UJL92" s="166" t="str">
        <f>VLOOKUP(UJK92,[13]AssetDetails_UEM!$A$3:$AH$1849,6,FALSE)</f>
        <v>Electrosurgical Units, Monopolar/Bipolar</v>
      </c>
      <c r="UJM92" s="165" t="s">
        <v>945</v>
      </c>
      <c r="UJN92" s="166" t="str">
        <f>VLOOKUP(UJM92,[13]AssetDetails_UEM!$A$3:$AH$1849,6,FALSE)</f>
        <v>Electrosurgical Units, Monopolar/Bipolar</v>
      </c>
      <c r="UJO92" s="165" t="s">
        <v>945</v>
      </c>
      <c r="UJP92" s="166" t="str">
        <f>VLOOKUP(UJO92,[13]AssetDetails_UEM!$A$3:$AH$1849,6,FALSE)</f>
        <v>Electrosurgical Units, Monopolar/Bipolar</v>
      </c>
      <c r="UJQ92" s="165" t="s">
        <v>945</v>
      </c>
      <c r="UJR92" s="166" t="str">
        <f>VLOOKUP(UJQ92,[13]AssetDetails_UEM!$A$3:$AH$1849,6,FALSE)</f>
        <v>Electrosurgical Units, Monopolar/Bipolar</v>
      </c>
      <c r="UJS92" s="165" t="s">
        <v>945</v>
      </c>
      <c r="UJT92" s="166" t="str">
        <f>VLOOKUP(UJS92,[13]AssetDetails_UEM!$A$3:$AH$1849,6,FALSE)</f>
        <v>Electrosurgical Units, Monopolar/Bipolar</v>
      </c>
      <c r="UJU92" s="165" t="s">
        <v>945</v>
      </c>
      <c r="UJV92" s="166" t="str">
        <f>VLOOKUP(UJU92,[13]AssetDetails_UEM!$A$3:$AH$1849,6,FALSE)</f>
        <v>Electrosurgical Units, Monopolar/Bipolar</v>
      </c>
      <c r="UJW92" s="165" t="s">
        <v>945</v>
      </c>
      <c r="UJX92" s="166" t="str">
        <f>VLOOKUP(UJW92,[13]AssetDetails_UEM!$A$3:$AH$1849,6,FALSE)</f>
        <v>Electrosurgical Units, Monopolar/Bipolar</v>
      </c>
      <c r="UJY92" s="165" t="s">
        <v>945</v>
      </c>
      <c r="UJZ92" s="166" t="str">
        <f>VLOOKUP(UJY92,[13]AssetDetails_UEM!$A$3:$AH$1849,6,FALSE)</f>
        <v>Electrosurgical Units, Monopolar/Bipolar</v>
      </c>
      <c r="UKA92" s="165" t="s">
        <v>945</v>
      </c>
      <c r="UKB92" s="166" t="str">
        <f>VLOOKUP(UKA92,[13]AssetDetails_UEM!$A$3:$AH$1849,6,FALSE)</f>
        <v>Electrosurgical Units, Monopolar/Bipolar</v>
      </c>
      <c r="UKC92" s="165" t="s">
        <v>945</v>
      </c>
      <c r="UKD92" s="166" t="str">
        <f>VLOOKUP(UKC92,[13]AssetDetails_UEM!$A$3:$AH$1849,6,FALSE)</f>
        <v>Electrosurgical Units, Monopolar/Bipolar</v>
      </c>
      <c r="UKE92" s="165" t="s">
        <v>945</v>
      </c>
      <c r="UKF92" s="166" t="str">
        <f>VLOOKUP(UKE92,[13]AssetDetails_UEM!$A$3:$AH$1849,6,FALSE)</f>
        <v>Electrosurgical Units, Monopolar/Bipolar</v>
      </c>
      <c r="UKG92" s="165" t="s">
        <v>945</v>
      </c>
      <c r="UKH92" s="166" t="str">
        <f>VLOOKUP(UKG92,[13]AssetDetails_UEM!$A$3:$AH$1849,6,FALSE)</f>
        <v>Electrosurgical Units, Monopolar/Bipolar</v>
      </c>
      <c r="UKI92" s="165" t="s">
        <v>945</v>
      </c>
      <c r="UKJ92" s="166" t="str">
        <f>VLOOKUP(UKI92,[13]AssetDetails_UEM!$A$3:$AH$1849,6,FALSE)</f>
        <v>Electrosurgical Units, Monopolar/Bipolar</v>
      </c>
      <c r="UKK92" s="165" t="s">
        <v>945</v>
      </c>
      <c r="UKL92" s="166" t="str">
        <f>VLOOKUP(UKK92,[13]AssetDetails_UEM!$A$3:$AH$1849,6,FALSE)</f>
        <v>Electrosurgical Units, Monopolar/Bipolar</v>
      </c>
      <c r="UKM92" s="165" t="s">
        <v>945</v>
      </c>
      <c r="UKN92" s="166" t="str">
        <f>VLOOKUP(UKM92,[13]AssetDetails_UEM!$A$3:$AH$1849,6,FALSE)</f>
        <v>Electrosurgical Units, Monopolar/Bipolar</v>
      </c>
      <c r="UKO92" s="165" t="s">
        <v>945</v>
      </c>
      <c r="UKP92" s="166" t="str">
        <f>VLOOKUP(UKO92,[13]AssetDetails_UEM!$A$3:$AH$1849,6,FALSE)</f>
        <v>Electrosurgical Units, Monopolar/Bipolar</v>
      </c>
      <c r="UKQ92" s="165" t="s">
        <v>945</v>
      </c>
      <c r="UKR92" s="166" t="str">
        <f>VLOOKUP(UKQ92,[13]AssetDetails_UEM!$A$3:$AH$1849,6,FALSE)</f>
        <v>Electrosurgical Units, Monopolar/Bipolar</v>
      </c>
      <c r="UKS92" s="165" t="s">
        <v>945</v>
      </c>
      <c r="UKT92" s="166" t="str">
        <f>VLOOKUP(UKS92,[13]AssetDetails_UEM!$A$3:$AH$1849,6,FALSE)</f>
        <v>Electrosurgical Units, Monopolar/Bipolar</v>
      </c>
      <c r="UKU92" s="165" t="s">
        <v>945</v>
      </c>
      <c r="UKV92" s="166" t="str">
        <f>VLOOKUP(UKU92,[13]AssetDetails_UEM!$A$3:$AH$1849,6,FALSE)</f>
        <v>Electrosurgical Units, Monopolar/Bipolar</v>
      </c>
      <c r="UKW92" s="165" t="s">
        <v>945</v>
      </c>
      <c r="UKX92" s="166" t="str">
        <f>VLOOKUP(UKW92,[13]AssetDetails_UEM!$A$3:$AH$1849,6,FALSE)</f>
        <v>Electrosurgical Units, Monopolar/Bipolar</v>
      </c>
      <c r="UKY92" s="165" t="s">
        <v>945</v>
      </c>
      <c r="UKZ92" s="166" t="str">
        <f>VLOOKUP(UKY92,[13]AssetDetails_UEM!$A$3:$AH$1849,6,FALSE)</f>
        <v>Electrosurgical Units, Monopolar/Bipolar</v>
      </c>
      <c r="ULA92" s="165" t="s">
        <v>945</v>
      </c>
      <c r="ULB92" s="166" t="str">
        <f>VLOOKUP(ULA92,[13]AssetDetails_UEM!$A$3:$AH$1849,6,FALSE)</f>
        <v>Electrosurgical Units, Monopolar/Bipolar</v>
      </c>
      <c r="ULC92" s="165" t="s">
        <v>945</v>
      </c>
      <c r="ULD92" s="166" t="str">
        <f>VLOOKUP(ULC92,[13]AssetDetails_UEM!$A$3:$AH$1849,6,FALSE)</f>
        <v>Electrosurgical Units, Monopolar/Bipolar</v>
      </c>
      <c r="ULE92" s="165" t="s">
        <v>945</v>
      </c>
      <c r="ULF92" s="166" t="str">
        <f>VLOOKUP(ULE92,[13]AssetDetails_UEM!$A$3:$AH$1849,6,FALSE)</f>
        <v>Electrosurgical Units, Monopolar/Bipolar</v>
      </c>
      <c r="ULG92" s="165" t="s">
        <v>945</v>
      </c>
      <c r="ULH92" s="166" t="str">
        <f>VLOOKUP(ULG92,[13]AssetDetails_UEM!$A$3:$AH$1849,6,FALSE)</f>
        <v>Electrosurgical Units, Monopolar/Bipolar</v>
      </c>
      <c r="ULI92" s="165" t="s">
        <v>945</v>
      </c>
      <c r="ULJ92" s="166" t="str">
        <f>VLOOKUP(ULI92,[13]AssetDetails_UEM!$A$3:$AH$1849,6,FALSE)</f>
        <v>Electrosurgical Units, Monopolar/Bipolar</v>
      </c>
      <c r="ULK92" s="165" t="s">
        <v>945</v>
      </c>
      <c r="ULL92" s="166" t="str">
        <f>VLOOKUP(ULK92,[13]AssetDetails_UEM!$A$3:$AH$1849,6,FALSE)</f>
        <v>Electrosurgical Units, Monopolar/Bipolar</v>
      </c>
      <c r="ULM92" s="165" t="s">
        <v>945</v>
      </c>
      <c r="ULN92" s="166" t="str">
        <f>VLOOKUP(ULM92,[13]AssetDetails_UEM!$A$3:$AH$1849,6,FALSE)</f>
        <v>Electrosurgical Units, Monopolar/Bipolar</v>
      </c>
      <c r="ULO92" s="165" t="s">
        <v>945</v>
      </c>
      <c r="ULP92" s="166" t="str">
        <f>VLOOKUP(ULO92,[13]AssetDetails_UEM!$A$3:$AH$1849,6,FALSE)</f>
        <v>Electrosurgical Units, Monopolar/Bipolar</v>
      </c>
      <c r="ULQ92" s="165" t="s">
        <v>945</v>
      </c>
      <c r="ULR92" s="166" t="str">
        <f>VLOOKUP(ULQ92,[13]AssetDetails_UEM!$A$3:$AH$1849,6,FALSE)</f>
        <v>Electrosurgical Units, Monopolar/Bipolar</v>
      </c>
      <c r="ULS92" s="165" t="s">
        <v>945</v>
      </c>
      <c r="ULT92" s="166" t="str">
        <f>VLOOKUP(ULS92,[13]AssetDetails_UEM!$A$3:$AH$1849,6,FALSE)</f>
        <v>Electrosurgical Units, Monopolar/Bipolar</v>
      </c>
      <c r="ULU92" s="165" t="s">
        <v>945</v>
      </c>
      <c r="ULV92" s="166" t="str">
        <f>VLOOKUP(ULU92,[13]AssetDetails_UEM!$A$3:$AH$1849,6,FALSE)</f>
        <v>Electrosurgical Units, Monopolar/Bipolar</v>
      </c>
      <c r="ULW92" s="165" t="s">
        <v>945</v>
      </c>
      <c r="ULX92" s="166" t="str">
        <f>VLOOKUP(ULW92,[13]AssetDetails_UEM!$A$3:$AH$1849,6,FALSE)</f>
        <v>Electrosurgical Units, Monopolar/Bipolar</v>
      </c>
      <c r="ULY92" s="165" t="s">
        <v>945</v>
      </c>
      <c r="ULZ92" s="166" t="str">
        <f>VLOOKUP(ULY92,[13]AssetDetails_UEM!$A$3:$AH$1849,6,FALSE)</f>
        <v>Electrosurgical Units, Monopolar/Bipolar</v>
      </c>
      <c r="UMA92" s="165" t="s">
        <v>945</v>
      </c>
      <c r="UMB92" s="166" t="str">
        <f>VLOOKUP(UMA92,[13]AssetDetails_UEM!$A$3:$AH$1849,6,FALSE)</f>
        <v>Electrosurgical Units, Monopolar/Bipolar</v>
      </c>
      <c r="UMC92" s="165" t="s">
        <v>945</v>
      </c>
      <c r="UMD92" s="166" t="str">
        <f>VLOOKUP(UMC92,[13]AssetDetails_UEM!$A$3:$AH$1849,6,FALSE)</f>
        <v>Electrosurgical Units, Monopolar/Bipolar</v>
      </c>
      <c r="UME92" s="165" t="s">
        <v>945</v>
      </c>
      <c r="UMF92" s="166" t="str">
        <f>VLOOKUP(UME92,[13]AssetDetails_UEM!$A$3:$AH$1849,6,FALSE)</f>
        <v>Electrosurgical Units, Monopolar/Bipolar</v>
      </c>
      <c r="UMG92" s="165" t="s">
        <v>945</v>
      </c>
      <c r="UMH92" s="166" t="str">
        <f>VLOOKUP(UMG92,[13]AssetDetails_UEM!$A$3:$AH$1849,6,FALSE)</f>
        <v>Electrosurgical Units, Monopolar/Bipolar</v>
      </c>
      <c r="UMI92" s="165" t="s">
        <v>945</v>
      </c>
      <c r="UMJ92" s="166" t="str">
        <f>VLOOKUP(UMI92,[13]AssetDetails_UEM!$A$3:$AH$1849,6,FALSE)</f>
        <v>Electrosurgical Units, Monopolar/Bipolar</v>
      </c>
      <c r="UMK92" s="165" t="s">
        <v>945</v>
      </c>
      <c r="UML92" s="166" t="str">
        <f>VLOOKUP(UMK92,[13]AssetDetails_UEM!$A$3:$AH$1849,6,FALSE)</f>
        <v>Electrosurgical Units, Monopolar/Bipolar</v>
      </c>
      <c r="UMM92" s="165" t="s">
        <v>945</v>
      </c>
      <c r="UMN92" s="166" t="str">
        <f>VLOOKUP(UMM92,[13]AssetDetails_UEM!$A$3:$AH$1849,6,FALSE)</f>
        <v>Electrosurgical Units, Monopolar/Bipolar</v>
      </c>
      <c r="UMO92" s="165" t="s">
        <v>945</v>
      </c>
      <c r="UMP92" s="166" t="str">
        <f>VLOOKUP(UMO92,[13]AssetDetails_UEM!$A$3:$AH$1849,6,FALSE)</f>
        <v>Electrosurgical Units, Monopolar/Bipolar</v>
      </c>
      <c r="UMQ92" s="165" t="s">
        <v>945</v>
      </c>
      <c r="UMR92" s="166" t="str">
        <f>VLOOKUP(UMQ92,[13]AssetDetails_UEM!$A$3:$AH$1849,6,FALSE)</f>
        <v>Electrosurgical Units, Monopolar/Bipolar</v>
      </c>
      <c r="UMS92" s="165" t="s">
        <v>945</v>
      </c>
      <c r="UMT92" s="166" t="str">
        <f>VLOOKUP(UMS92,[13]AssetDetails_UEM!$A$3:$AH$1849,6,FALSE)</f>
        <v>Electrosurgical Units, Monopolar/Bipolar</v>
      </c>
      <c r="UMU92" s="165" t="s">
        <v>945</v>
      </c>
      <c r="UMV92" s="166" t="str">
        <f>VLOOKUP(UMU92,[13]AssetDetails_UEM!$A$3:$AH$1849,6,FALSE)</f>
        <v>Electrosurgical Units, Monopolar/Bipolar</v>
      </c>
      <c r="UMW92" s="165" t="s">
        <v>945</v>
      </c>
      <c r="UMX92" s="166" t="str">
        <f>VLOOKUP(UMW92,[13]AssetDetails_UEM!$A$3:$AH$1849,6,FALSE)</f>
        <v>Electrosurgical Units, Monopolar/Bipolar</v>
      </c>
      <c r="UMY92" s="165" t="s">
        <v>945</v>
      </c>
      <c r="UMZ92" s="166" t="str">
        <f>VLOOKUP(UMY92,[13]AssetDetails_UEM!$A$3:$AH$1849,6,FALSE)</f>
        <v>Electrosurgical Units, Monopolar/Bipolar</v>
      </c>
      <c r="UNA92" s="165" t="s">
        <v>945</v>
      </c>
      <c r="UNB92" s="166" t="str">
        <f>VLOOKUP(UNA92,[13]AssetDetails_UEM!$A$3:$AH$1849,6,FALSE)</f>
        <v>Electrosurgical Units, Monopolar/Bipolar</v>
      </c>
      <c r="UNC92" s="165" t="s">
        <v>945</v>
      </c>
      <c r="UND92" s="166" t="str">
        <f>VLOOKUP(UNC92,[13]AssetDetails_UEM!$A$3:$AH$1849,6,FALSE)</f>
        <v>Electrosurgical Units, Monopolar/Bipolar</v>
      </c>
      <c r="UNE92" s="165" t="s">
        <v>945</v>
      </c>
      <c r="UNF92" s="166" t="str">
        <f>VLOOKUP(UNE92,[13]AssetDetails_UEM!$A$3:$AH$1849,6,FALSE)</f>
        <v>Electrosurgical Units, Monopolar/Bipolar</v>
      </c>
      <c r="UNG92" s="165" t="s">
        <v>945</v>
      </c>
      <c r="UNH92" s="166" t="str">
        <f>VLOOKUP(UNG92,[13]AssetDetails_UEM!$A$3:$AH$1849,6,FALSE)</f>
        <v>Electrosurgical Units, Monopolar/Bipolar</v>
      </c>
      <c r="UNI92" s="165" t="s">
        <v>945</v>
      </c>
      <c r="UNJ92" s="166" t="str">
        <f>VLOOKUP(UNI92,[13]AssetDetails_UEM!$A$3:$AH$1849,6,FALSE)</f>
        <v>Electrosurgical Units, Monopolar/Bipolar</v>
      </c>
      <c r="UNK92" s="165" t="s">
        <v>945</v>
      </c>
      <c r="UNL92" s="166" t="str">
        <f>VLOOKUP(UNK92,[13]AssetDetails_UEM!$A$3:$AH$1849,6,FALSE)</f>
        <v>Electrosurgical Units, Monopolar/Bipolar</v>
      </c>
      <c r="UNM92" s="165" t="s">
        <v>945</v>
      </c>
      <c r="UNN92" s="166" t="str">
        <f>VLOOKUP(UNM92,[13]AssetDetails_UEM!$A$3:$AH$1849,6,FALSE)</f>
        <v>Electrosurgical Units, Monopolar/Bipolar</v>
      </c>
      <c r="UNO92" s="165" t="s">
        <v>945</v>
      </c>
      <c r="UNP92" s="166" t="str">
        <f>VLOOKUP(UNO92,[13]AssetDetails_UEM!$A$3:$AH$1849,6,FALSE)</f>
        <v>Electrosurgical Units, Monopolar/Bipolar</v>
      </c>
      <c r="UNQ92" s="165" t="s">
        <v>945</v>
      </c>
      <c r="UNR92" s="166" t="str">
        <f>VLOOKUP(UNQ92,[13]AssetDetails_UEM!$A$3:$AH$1849,6,FALSE)</f>
        <v>Electrosurgical Units, Monopolar/Bipolar</v>
      </c>
      <c r="UNS92" s="165" t="s">
        <v>945</v>
      </c>
      <c r="UNT92" s="166" t="str">
        <f>VLOOKUP(UNS92,[13]AssetDetails_UEM!$A$3:$AH$1849,6,FALSE)</f>
        <v>Electrosurgical Units, Monopolar/Bipolar</v>
      </c>
      <c r="UNU92" s="165" t="s">
        <v>945</v>
      </c>
      <c r="UNV92" s="166" t="str">
        <f>VLOOKUP(UNU92,[13]AssetDetails_UEM!$A$3:$AH$1849,6,FALSE)</f>
        <v>Electrosurgical Units, Monopolar/Bipolar</v>
      </c>
      <c r="UNW92" s="165" t="s">
        <v>945</v>
      </c>
      <c r="UNX92" s="166" t="str">
        <f>VLOOKUP(UNW92,[13]AssetDetails_UEM!$A$3:$AH$1849,6,FALSE)</f>
        <v>Electrosurgical Units, Monopolar/Bipolar</v>
      </c>
      <c r="UNY92" s="165" t="s">
        <v>945</v>
      </c>
      <c r="UNZ92" s="166" t="str">
        <f>VLOOKUP(UNY92,[13]AssetDetails_UEM!$A$3:$AH$1849,6,FALSE)</f>
        <v>Electrosurgical Units, Monopolar/Bipolar</v>
      </c>
      <c r="UOA92" s="165" t="s">
        <v>945</v>
      </c>
      <c r="UOB92" s="166" t="str">
        <f>VLOOKUP(UOA92,[13]AssetDetails_UEM!$A$3:$AH$1849,6,FALSE)</f>
        <v>Electrosurgical Units, Monopolar/Bipolar</v>
      </c>
      <c r="UOC92" s="165" t="s">
        <v>945</v>
      </c>
      <c r="UOD92" s="166" t="str">
        <f>VLOOKUP(UOC92,[13]AssetDetails_UEM!$A$3:$AH$1849,6,FALSE)</f>
        <v>Electrosurgical Units, Monopolar/Bipolar</v>
      </c>
      <c r="UOE92" s="165" t="s">
        <v>945</v>
      </c>
      <c r="UOF92" s="166" t="str">
        <f>VLOOKUP(UOE92,[13]AssetDetails_UEM!$A$3:$AH$1849,6,FALSE)</f>
        <v>Electrosurgical Units, Monopolar/Bipolar</v>
      </c>
      <c r="UOG92" s="165" t="s">
        <v>945</v>
      </c>
      <c r="UOH92" s="166" t="str">
        <f>VLOOKUP(UOG92,[13]AssetDetails_UEM!$A$3:$AH$1849,6,FALSE)</f>
        <v>Electrosurgical Units, Monopolar/Bipolar</v>
      </c>
      <c r="UOI92" s="165" t="s">
        <v>945</v>
      </c>
      <c r="UOJ92" s="166" t="str">
        <f>VLOOKUP(UOI92,[13]AssetDetails_UEM!$A$3:$AH$1849,6,FALSE)</f>
        <v>Electrosurgical Units, Monopolar/Bipolar</v>
      </c>
      <c r="UOK92" s="165" t="s">
        <v>945</v>
      </c>
      <c r="UOL92" s="166" t="str">
        <f>VLOOKUP(UOK92,[13]AssetDetails_UEM!$A$3:$AH$1849,6,FALSE)</f>
        <v>Electrosurgical Units, Monopolar/Bipolar</v>
      </c>
      <c r="UOM92" s="165" t="s">
        <v>945</v>
      </c>
      <c r="UON92" s="166" t="str">
        <f>VLOOKUP(UOM92,[13]AssetDetails_UEM!$A$3:$AH$1849,6,FALSE)</f>
        <v>Electrosurgical Units, Monopolar/Bipolar</v>
      </c>
      <c r="UOO92" s="165" t="s">
        <v>945</v>
      </c>
      <c r="UOP92" s="166" t="str">
        <f>VLOOKUP(UOO92,[13]AssetDetails_UEM!$A$3:$AH$1849,6,FALSE)</f>
        <v>Electrosurgical Units, Monopolar/Bipolar</v>
      </c>
      <c r="UOQ92" s="165" t="s">
        <v>945</v>
      </c>
      <c r="UOR92" s="166" t="str">
        <f>VLOOKUP(UOQ92,[13]AssetDetails_UEM!$A$3:$AH$1849,6,FALSE)</f>
        <v>Electrosurgical Units, Monopolar/Bipolar</v>
      </c>
      <c r="UOS92" s="165" t="s">
        <v>945</v>
      </c>
      <c r="UOT92" s="166" t="str">
        <f>VLOOKUP(UOS92,[13]AssetDetails_UEM!$A$3:$AH$1849,6,FALSE)</f>
        <v>Electrosurgical Units, Monopolar/Bipolar</v>
      </c>
      <c r="UOU92" s="165" t="s">
        <v>945</v>
      </c>
      <c r="UOV92" s="166" t="str">
        <f>VLOOKUP(UOU92,[13]AssetDetails_UEM!$A$3:$AH$1849,6,FALSE)</f>
        <v>Electrosurgical Units, Monopolar/Bipolar</v>
      </c>
      <c r="UOW92" s="165" t="s">
        <v>945</v>
      </c>
      <c r="UOX92" s="166" t="str">
        <f>VLOOKUP(UOW92,[13]AssetDetails_UEM!$A$3:$AH$1849,6,FALSE)</f>
        <v>Electrosurgical Units, Monopolar/Bipolar</v>
      </c>
      <c r="UOY92" s="165" t="s">
        <v>945</v>
      </c>
      <c r="UOZ92" s="166" t="str">
        <f>VLOOKUP(UOY92,[13]AssetDetails_UEM!$A$3:$AH$1849,6,FALSE)</f>
        <v>Electrosurgical Units, Monopolar/Bipolar</v>
      </c>
      <c r="UPA92" s="165" t="s">
        <v>945</v>
      </c>
      <c r="UPB92" s="166" t="str">
        <f>VLOOKUP(UPA92,[13]AssetDetails_UEM!$A$3:$AH$1849,6,FALSE)</f>
        <v>Electrosurgical Units, Monopolar/Bipolar</v>
      </c>
      <c r="UPC92" s="165" t="s">
        <v>945</v>
      </c>
      <c r="UPD92" s="166" t="str">
        <f>VLOOKUP(UPC92,[13]AssetDetails_UEM!$A$3:$AH$1849,6,FALSE)</f>
        <v>Electrosurgical Units, Monopolar/Bipolar</v>
      </c>
      <c r="UPE92" s="165" t="s">
        <v>945</v>
      </c>
      <c r="UPF92" s="166" t="str">
        <f>VLOOKUP(UPE92,[13]AssetDetails_UEM!$A$3:$AH$1849,6,FALSE)</f>
        <v>Electrosurgical Units, Monopolar/Bipolar</v>
      </c>
      <c r="UPG92" s="165" t="s">
        <v>945</v>
      </c>
      <c r="UPH92" s="166" t="str">
        <f>VLOOKUP(UPG92,[13]AssetDetails_UEM!$A$3:$AH$1849,6,FALSE)</f>
        <v>Electrosurgical Units, Monopolar/Bipolar</v>
      </c>
      <c r="UPI92" s="165" t="s">
        <v>945</v>
      </c>
      <c r="UPJ92" s="166" t="str">
        <f>VLOOKUP(UPI92,[13]AssetDetails_UEM!$A$3:$AH$1849,6,FALSE)</f>
        <v>Electrosurgical Units, Monopolar/Bipolar</v>
      </c>
      <c r="UPK92" s="165" t="s">
        <v>945</v>
      </c>
      <c r="UPL92" s="166" t="str">
        <f>VLOOKUP(UPK92,[13]AssetDetails_UEM!$A$3:$AH$1849,6,FALSE)</f>
        <v>Electrosurgical Units, Monopolar/Bipolar</v>
      </c>
      <c r="UPM92" s="165" t="s">
        <v>945</v>
      </c>
      <c r="UPN92" s="166" t="str">
        <f>VLOOKUP(UPM92,[13]AssetDetails_UEM!$A$3:$AH$1849,6,FALSE)</f>
        <v>Electrosurgical Units, Monopolar/Bipolar</v>
      </c>
      <c r="UPO92" s="165" t="s">
        <v>945</v>
      </c>
      <c r="UPP92" s="166" t="str">
        <f>VLOOKUP(UPO92,[13]AssetDetails_UEM!$A$3:$AH$1849,6,FALSE)</f>
        <v>Electrosurgical Units, Monopolar/Bipolar</v>
      </c>
      <c r="UPQ92" s="165" t="s">
        <v>945</v>
      </c>
      <c r="UPR92" s="166" t="str">
        <f>VLOOKUP(UPQ92,[13]AssetDetails_UEM!$A$3:$AH$1849,6,FALSE)</f>
        <v>Electrosurgical Units, Monopolar/Bipolar</v>
      </c>
      <c r="UPS92" s="165" t="s">
        <v>945</v>
      </c>
      <c r="UPT92" s="166" t="str">
        <f>VLOOKUP(UPS92,[13]AssetDetails_UEM!$A$3:$AH$1849,6,FALSE)</f>
        <v>Electrosurgical Units, Monopolar/Bipolar</v>
      </c>
      <c r="UPU92" s="165" t="s">
        <v>945</v>
      </c>
      <c r="UPV92" s="166" t="str">
        <f>VLOOKUP(UPU92,[13]AssetDetails_UEM!$A$3:$AH$1849,6,FALSE)</f>
        <v>Electrosurgical Units, Monopolar/Bipolar</v>
      </c>
      <c r="UPW92" s="165" t="s">
        <v>945</v>
      </c>
      <c r="UPX92" s="166" t="str">
        <f>VLOOKUP(UPW92,[13]AssetDetails_UEM!$A$3:$AH$1849,6,FALSE)</f>
        <v>Electrosurgical Units, Monopolar/Bipolar</v>
      </c>
      <c r="UPY92" s="165" t="s">
        <v>945</v>
      </c>
      <c r="UPZ92" s="166" t="str">
        <f>VLOOKUP(UPY92,[13]AssetDetails_UEM!$A$3:$AH$1849,6,FALSE)</f>
        <v>Electrosurgical Units, Monopolar/Bipolar</v>
      </c>
      <c r="UQA92" s="165" t="s">
        <v>945</v>
      </c>
      <c r="UQB92" s="166" t="str">
        <f>VLOOKUP(UQA92,[13]AssetDetails_UEM!$A$3:$AH$1849,6,FALSE)</f>
        <v>Electrosurgical Units, Monopolar/Bipolar</v>
      </c>
      <c r="UQC92" s="165" t="s">
        <v>945</v>
      </c>
      <c r="UQD92" s="166" t="str">
        <f>VLOOKUP(UQC92,[13]AssetDetails_UEM!$A$3:$AH$1849,6,FALSE)</f>
        <v>Electrosurgical Units, Monopolar/Bipolar</v>
      </c>
      <c r="UQE92" s="165" t="s">
        <v>945</v>
      </c>
      <c r="UQF92" s="166" t="str">
        <f>VLOOKUP(UQE92,[13]AssetDetails_UEM!$A$3:$AH$1849,6,FALSE)</f>
        <v>Electrosurgical Units, Monopolar/Bipolar</v>
      </c>
      <c r="UQG92" s="165" t="s">
        <v>945</v>
      </c>
      <c r="UQH92" s="166" t="str">
        <f>VLOOKUP(UQG92,[13]AssetDetails_UEM!$A$3:$AH$1849,6,FALSE)</f>
        <v>Electrosurgical Units, Monopolar/Bipolar</v>
      </c>
      <c r="UQI92" s="165" t="s">
        <v>945</v>
      </c>
      <c r="UQJ92" s="166" t="str">
        <f>VLOOKUP(UQI92,[13]AssetDetails_UEM!$A$3:$AH$1849,6,FALSE)</f>
        <v>Electrosurgical Units, Monopolar/Bipolar</v>
      </c>
      <c r="UQK92" s="165" t="s">
        <v>945</v>
      </c>
      <c r="UQL92" s="166" t="str">
        <f>VLOOKUP(UQK92,[13]AssetDetails_UEM!$A$3:$AH$1849,6,FALSE)</f>
        <v>Electrosurgical Units, Monopolar/Bipolar</v>
      </c>
      <c r="UQM92" s="165" t="s">
        <v>945</v>
      </c>
      <c r="UQN92" s="166" t="str">
        <f>VLOOKUP(UQM92,[13]AssetDetails_UEM!$A$3:$AH$1849,6,FALSE)</f>
        <v>Electrosurgical Units, Monopolar/Bipolar</v>
      </c>
      <c r="UQO92" s="165" t="s">
        <v>945</v>
      </c>
      <c r="UQP92" s="166" t="str">
        <f>VLOOKUP(UQO92,[13]AssetDetails_UEM!$A$3:$AH$1849,6,FALSE)</f>
        <v>Electrosurgical Units, Monopolar/Bipolar</v>
      </c>
      <c r="UQQ92" s="165" t="s">
        <v>945</v>
      </c>
      <c r="UQR92" s="166" t="str">
        <f>VLOOKUP(UQQ92,[13]AssetDetails_UEM!$A$3:$AH$1849,6,FALSE)</f>
        <v>Electrosurgical Units, Monopolar/Bipolar</v>
      </c>
      <c r="UQS92" s="165" t="s">
        <v>945</v>
      </c>
      <c r="UQT92" s="166" t="str">
        <f>VLOOKUP(UQS92,[13]AssetDetails_UEM!$A$3:$AH$1849,6,FALSE)</f>
        <v>Electrosurgical Units, Monopolar/Bipolar</v>
      </c>
      <c r="UQU92" s="165" t="s">
        <v>945</v>
      </c>
      <c r="UQV92" s="166" t="str">
        <f>VLOOKUP(UQU92,[13]AssetDetails_UEM!$A$3:$AH$1849,6,FALSE)</f>
        <v>Electrosurgical Units, Monopolar/Bipolar</v>
      </c>
      <c r="UQW92" s="165" t="s">
        <v>945</v>
      </c>
      <c r="UQX92" s="166" t="str">
        <f>VLOOKUP(UQW92,[13]AssetDetails_UEM!$A$3:$AH$1849,6,FALSE)</f>
        <v>Electrosurgical Units, Monopolar/Bipolar</v>
      </c>
      <c r="UQY92" s="165" t="s">
        <v>945</v>
      </c>
      <c r="UQZ92" s="166" t="str">
        <f>VLOOKUP(UQY92,[13]AssetDetails_UEM!$A$3:$AH$1849,6,FALSE)</f>
        <v>Electrosurgical Units, Monopolar/Bipolar</v>
      </c>
      <c r="URA92" s="165" t="s">
        <v>945</v>
      </c>
      <c r="URB92" s="166" t="str">
        <f>VLOOKUP(URA92,[13]AssetDetails_UEM!$A$3:$AH$1849,6,FALSE)</f>
        <v>Electrosurgical Units, Monopolar/Bipolar</v>
      </c>
      <c r="URC92" s="165" t="s">
        <v>945</v>
      </c>
      <c r="URD92" s="166" t="str">
        <f>VLOOKUP(URC92,[13]AssetDetails_UEM!$A$3:$AH$1849,6,FALSE)</f>
        <v>Electrosurgical Units, Monopolar/Bipolar</v>
      </c>
      <c r="URE92" s="165" t="s">
        <v>945</v>
      </c>
      <c r="URF92" s="166" t="str">
        <f>VLOOKUP(URE92,[13]AssetDetails_UEM!$A$3:$AH$1849,6,FALSE)</f>
        <v>Electrosurgical Units, Monopolar/Bipolar</v>
      </c>
      <c r="URG92" s="165" t="s">
        <v>945</v>
      </c>
      <c r="URH92" s="166" t="str">
        <f>VLOOKUP(URG92,[13]AssetDetails_UEM!$A$3:$AH$1849,6,FALSE)</f>
        <v>Electrosurgical Units, Monopolar/Bipolar</v>
      </c>
      <c r="URI92" s="165" t="s">
        <v>945</v>
      </c>
      <c r="URJ92" s="166" t="str">
        <f>VLOOKUP(URI92,[13]AssetDetails_UEM!$A$3:$AH$1849,6,FALSE)</f>
        <v>Electrosurgical Units, Monopolar/Bipolar</v>
      </c>
      <c r="URK92" s="165" t="s">
        <v>945</v>
      </c>
      <c r="URL92" s="166" t="str">
        <f>VLOOKUP(URK92,[13]AssetDetails_UEM!$A$3:$AH$1849,6,FALSE)</f>
        <v>Electrosurgical Units, Monopolar/Bipolar</v>
      </c>
      <c r="URM92" s="165" t="s">
        <v>945</v>
      </c>
      <c r="URN92" s="166" t="str">
        <f>VLOOKUP(URM92,[13]AssetDetails_UEM!$A$3:$AH$1849,6,FALSE)</f>
        <v>Electrosurgical Units, Monopolar/Bipolar</v>
      </c>
      <c r="URO92" s="165" t="s">
        <v>945</v>
      </c>
      <c r="URP92" s="166" t="str">
        <f>VLOOKUP(URO92,[13]AssetDetails_UEM!$A$3:$AH$1849,6,FALSE)</f>
        <v>Electrosurgical Units, Monopolar/Bipolar</v>
      </c>
      <c r="URQ92" s="165" t="s">
        <v>945</v>
      </c>
      <c r="URR92" s="166" t="str">
        <f>VLOOKUP(URQ92,[13]AssetDetails_UEM!$A$3:$AH$1849,6,FALSE)</f>
        <v>Electrosurgical Units, Monopolar/Bipolar</v>
      </c>
      <c r="URS92" s="165" t="s">
        <v>945</v>
      </c>
      <c r="URT92" s="166" t="str">
        <f>VLOOKUP(URS92,[13]AssetDetails_UEM!$A$3:$AH$1849,6,FALSE)</f>
        <v>Electrosurgical Units, Monopolar/Bipolar</v>
      </c>
      <c r="URU92" s="165" t="s">
        <v>945</v>
      </c>
      <c r="URV92" s="166" t="str">
        <f>VLOOKUP(URU92,[13]AssetDetails_UEM!$A$3:$AH$1849,6,FALSE)</f>
        <v>Electrosurgical Units, Monopolar/Bipolar</v>
      </c>
      <c r="URW92" s="165" t="s">
        <v>945</v>
      </c>
      <c r="URX92" s="166" t="str">
        <f>VLOOKUP(URW92,[13]AssetDetails_UEM!$A$3:$AH$1849,6,FALSE)</f>
        <v>Electrosurgical Units, Monopolar/Bipolar</v>
      </c>
      <c r="URY92" s="165" t="s">
        <v>945</v>
      </c>
      <c r="URZ92" s="166" t="str">
        <f>VLOOKUP(URY92,[13]AssetDetails_UEM!$A$3:$AH$1849,6,FALSE)</f>
        <v>Electrosurgical Units, Monopolar/Bipolar</v>
      </c>
      <c r="USA92" s="165" t="s">
        <v>945</v>
      </c>
      <c r="USB92" s="166" t="str">
        <f>VLOOKUP(USA92,[13]AssetDetails_UEM!$A$3:$AH$1849,6,FALSE)</f>
        <v>Electrosurgical Units, Monopolar/Bipolar</v>
      </c>
      <c r="USC92" s="165" t="s">
        <v>945</v>
      </c>
      <c r="USD92" s="166" t="str">
        <f>VLOOKUP(USC92,[13]AssetDetails_UEM!$A$3:$AH$1849,6,FALSE)</f>
        <v>Electrosurgical Units, Monopolar/Bipolar</v>
      </c>
      <c r="USE92" s="165" t="s">
        <v>945</v>
      </c>
      <c r="USF92" s="166" t="str">
        <f>VLOOKUP(USE92,[13]AssetDetails_UEM!$A$3:$AH$1849,6,FALSE)</f>
        <v>Electrosurgical Units, Monopolar/Bipolar</v>
      </c>
      <c r="USG92" s="165" t="s">
        <v>945</v>
      </c>
      <c r="USH92" s="166" t="str">
        <f>VLOOKUP(USG92,[13]AssetDetails_UEM!$A$3:$AH$1849,6,FALSE)</f>
        <v>Electrosurgical Units, Monopolar/Bipolar</v>
      </c>
      <c r="USI92" s="165" t="s">
        <v>945</v>
      </c>
      <c r="USJ92" s="166" t="str">
        <f>VLOOKUP(USI92,[13]AssetDetails_UEM!$A$3:$AH$1849,6,FALSE)</f>
        <v>Electrosurgical Units, Monopolar/Bipolar</v>
      </c>
      <c r="USK92" s="165" t="s">
        <v>945</v>
      </c>
      <c r="USL92" s="166" t="str">
        <f>VLOOKUP(USK92,[13]AssetDetails_UEM!$A$3:$AH$1849,6,FALSE)</f>
        <v>Electrosurgical Units, Monopolar/Bipolar</v>
      </c>
      <c r="USM92" s="165" t="s">
        <v>945</v>
      </c>
      <c r="USN92" s="166" t="str">
        <f>VLOOKUP(USM92,[13]AssetDetails_UEM!$A$3:$AH$1849,6,FALSE)</f>
        <v>Electrosurgical Units, Monopolar/Bipolar</v>
      </c>
      <c r="USO92" s="165" t="s">
        <v>945</v>
      </c>
      <c r="USP92" s="166" t="str">
        <f>VLOOKUP(USO92,[13]AssetDetails_UEM!$A$3:$AH$1849,6,FALSE)</f>
        <v>Electrosurgical Units, Monopolar/Bipolar</v>
      </c>
      <c r="USQ92" s="165" t="s">
        <v>945</v>
      </c>
      <c r="USR92" s="166" t="str">
        <f>VLOOKUP(USQ92,[13]AssetDetails_UEM!$A$3:$AH$1849,6,FALSE)</f>
        <v>Electrosurgical Units, Monopolar/Bipolar</v>
      </c>
      <c r="USS92" s="165" t="s">
        <v>945</v>
      </c>
      <c r="UST92" s="166" t="str">
        <f>VLOOKUP(USS92,[13]AssetDetails_UEM!$A$3:$AH$1849,6,FALSE)</f>
        <v>Electrosurgical Units, Monopolar/Bipolar</v>
      </c>
      <c r="USU92" s="165" t="s">
        <v>945</v>
      </c>
      <c r="USV92" s="166" t="str">
        <f>VLOOKUP(USU92,[13]AssetDetails_UEM!$A$3:$AH$1849,6,FALSE)</f>
        <v>Electrosurgical Units, Monopolar/Bipolar</v>
      </c>
      <c r="USW92" s="165" t="s">
        <v>945</v>
      </c>
      <c r="USX92" s="166" t="str">
        <f>VLOOKUP(USW92,[13]AssetDetails_UEM!$A$3:$AH$1849,6,FALSE)</f>
        <v>Electrosurgical Units, Monopolar/Bipolar</v>
      </c>
      <c r="USY92" s="165" t="s">
        <v>945</v>
      </c>
      <c r="USZ92" s="166" t="str">
        <f>VLOOKUP(USY92,[13]AssetDetails_UEM!$A$3:$AH$1849,6,FALSE)</f>
        <v>Electrosurgical Units, Monopolar/Bipolar</v>
      </c>
      <c r="UTA92" s="165" t="s">
        <v>945</v>
      </c>
      <c r="UTB92" s="166" t="str">
        <f>VLOOKUP(UTA92,[13]AssetDetails_UEM!$A$3:$AH$1849,6,FALSE)</f>
        <v>Electrosurgical Units, Monopolar/Bipolar</v>
      </c>
      <c r="UTC92" s="165" t="s">
        <v>945</v>
      </c>
      <c r="UTD92" s="166" t="str">
        <f>VLOOKUP(UTC92,[13]AssetDetails_UEM!$A$3:$AH$1849,6,FALSE)</f>
        <v>Electrosurgical Units, Monopolar/Bipolar</v>
      </c>
      <c r="UTE92" s="165" t="s">
        <v>945</v>
      </c>
      <c r="UTF92" s="166" t="str">
        <f>VLOOKUP(UTE92,[13]AssetDetails_UEM!$A$3:$AH$1849,6,FALSE)</f>
        <v>Electrosurgical Units, Monopolar/Bipolar</v>
      </c>
      <c r="UTG92" s="165" t="s">
        <v>945</v>
      </c>
      <c r="UTH92" s="166" t="str">
        <f>VLOOKUP(UTG92,[13]AssetDetails_UEM!$A$3:$AH$1849,6,FALSE)</f>
        <v>Electrosurgical Units, Monopolar/Bipolar</v>
      </c>
      <c r="UTI92" s="165" t="s">
        <v>945</v>
      </c>
      <c r="UTJ92" s="166" t="str">
        <f>VLOOKUP(UTI92,[13]AssetDetails_UEM!$A$3:$AH$1849,6,FALSE)</f>
        <v>Electrosurgical Units, Monopolar/Bipolar</v>
      </c>
      <c r="UTK92" s="165" t="s">
        <v>945</v>
      </c>
      <c r="UTL92" s="166" t="str">
        <f>VLOOKUP(UTK92,[13]AssetDetails_UEM!$A$3:$AH$1849,6,FALSE)</f>
        <v>Electrosurgical Units, Monopolar/Bipolar</v>
      </c>
      <c r="UTM92" s="165" t="s">
        <v>945</v>
      </c>
      <c r="UTN92" s="166" t="str">
        <f>VLOOKUP(UTM92,[13]AssetDetails_UEM!$A$3:$AH$1849,6,FALSE)</f>
        <v>Electrosurgical Units, Monopolar/Bipolar</v>
      </c>
      <c r="UTO92" s="165" t="s">
        <v>945</v>
      </c>
      <c r="UTP92" s="166" t="str">
        <f>VLOOKUP(UTO92,[13]AssetDetails_UEM!$A$3:$AH$1849,6,FALSE)</f>
        <v>Electrosurgical Units, Monopolar/Bipolar</v>
      </c>
      <c r="UTQ92" s="165" t="s">
        <v>945</v>
      </c>
      <c r="UTR92" s="166" t="str">
        <f>VLOOKUP(UTQ92,[13]AssetDetails_UEM!$A$3:$AH$1849,6,FALSE)</f>
        <v>Electrosurgical Units, Monopolar/Bipolar</v>
      </c>
      <c r="UTS92" s="165" t="s">
        <v>945</v>
      </c>
      <c r="UTT92" s="166" t="str">
        <f>VLOOKUP(UTS92,[13]AssetDetails_UEM!$A$3:$AH$1849,6,FALSE)</f>
        <v>Electrosurgical Units, Monopolar/Bipolar</v>
      </c>
      <c r="UTU92" s="165" t="s">
        <v>945</v>
      </c>
      <c r="UTV92" s="166" t="str">
        <f>VLOOKUP(UTU92,[13]AssetDetails_UEM!$A$3:$AH$1849,6,FALSE)</f>
        <v>Electrosurgical Units, Monopolar/Bipolar</v>
      </c>
      <c r="UTW92" s="165" t="s">
        <v>945</v>
      </c>
      <c r="UTX92" s="166" t="str">
        <f>VLOOKUP(UTW92,[13]AssetDetails_UEM!$A$3:$AH$1849,6,FALSE)</f>
        <v>Electrosurgical Units, Monopolar/Bipolar</v>
      </c>
      <c r="UTY92" s="165" t="s">
        <v>945</v>
      </c>
      <c r="UTZ92" s="166" t="str">
        <f>VLOOKUP(UTY92,[13]AssetDetails_UEM!$A$3:$AH$1849,6,FALSE)</f>
        <v>Electrosurgical Units, Monopolar/Bipolar</v>
      </c>
      <c r="UUA92" s="165" t="s">
        <v>945</v>
      </c>
      <c r="UUB92" s="166" t="str">
        <f>VLOOKUP(UUA92,[13]AssetDetails_UEM!$A$3:$AH$1849,6,FALSE)</f>
        <v>Electrosurgical Units, Monopolar/Bipolar</v>
      </c>
      <c r="UUC92" s="165" t="s">
        <v>945</v>
      </c>
      <c r="UUD92" s="166" t="str">
        <f>VLOOKUP(UUC92,[13]AssetDetails_UEM!$A$3:$AH$1849,6,FALSE)</f>
        <v>Electrosurgical Units, Monopolar/Bipolar</v>
      </c>
      <c r="UUE92" s="165" t="s">
        <v>945</v>
      </c>
      <c r="UUF92" s="166" t="str">
        <f>VLOOKUP(UUE92,[13]AssetDetails_UEM!$A$3:$AH$1849,6,FALSE)</f>
        <v>Electrosurgical Units, Monopolar/Bipolar</v>
      </c>
      <c r="UUG92" s="165" t="s">
        <v>945</v>
      </c>
      <c r="UUH92" s="166" t="str">
        <f>VLOOKUP(UUG92,[13]AssetDetails_UEM!$A$3:$AH$1849,6,FALSE)</f>
        <v>Electrosurgical Units, Monopolar/Bipolar</v>
      </c>
      <c r="UUI92" s="165" t="s">
        <v>945</v>
      </c>
      <c r="UUJ92" s="166" t="str">
        <f>VLOOKUP(UUI92,[13]AssetDetails_UEM!$A$3:$AH$1849,6,FALSE)</f>
        <v>Electrosurgical Units, Monopolar/Bipolar</v>
      </c>
      <c r="UUK92" s="165" t="s">
        <v>945</v>
      </c>
      <c r="UUL92" s="166" t="str">
        <f>VLOOKUP(UUK92,[13]AssetDetails_UEM!$A$3:$AH$1849,6,FALSE)</f>
        <v>Electrosurgical Units, Monopolar/Bipolar</v>
      </c>
      <c r="UUM92" s="165" t="s">
        <v>945</v>
      </c>
      <c r="UUN92" s="166" t="str">
        <f>VLOOKUP(UUM92,[13]AssetDetails_UEM!$A$3:$AH$1849,6,FALSE)</f>
        <v>Electrosurgical Units, Monopolar/Bipolar</v>
      </c>
      <c r="UUO92" s="165" t="s">
        <v>945</v>
      </c>
      <c r="UUP92" s="166" t="str">
        <f>VLOOKUP(UUO92,[13]AssetDetails_UEM!$A$3:$AH$1849,6,FALSE)</f>
        <v>Electrosurgical Units, Monopolar/Bipolar</v>
      </c>
      <c r="UUQ92" s="165" t="s">
        <v>945</v>
      </c>
      <c r="UUR92" s="166" t="str">
        <f>VLOOKUP(UUQ92,[13]AssetDetails_UEM!$A$3:$AH$1849,6,FALSE)</f>
        <v>Electrosurgical Units, Monopolar/Bipolar</v>
      </c>
      <c r="UUS92" s="165" t="s">
        <v>945</v>
      </c>
      <c r="UUT92" s="166" t="str">
        <f>VLOOKUP(UUS92,[13]AssetDetails_UEM!$A$3:$AH$1849,6,FALSE)</f>
        <v>Electrosurgical Units, Monopolar/Bipolar</v>
      </c>
      <c r="UUU92" s="165" t="s">
        <v>945</v>
      </c>
      <c r="UUV92" s="166" t="str">
        <f>VLOOKUP(UUU92,[13]AssetDetails_UEM!$A$3:$AH$1849,6,FALSE)</f>
        <v>Electrosurgical Units, Monopolar/Bipolar</v>
      </c>
      <c r="UUW92" s="165" t="s">
        <v>945</v>
      </c>
      <c r="UUX92" s="166" t="str">
        <f>VLOOKUP(UUW92,[13]AssetDetails_UEM!$A$3:$AH$1849,6,FALSE)</f>
        <v>Electrosurgical Units, Monopolar/Bipolar</v>
      </c>
      <c r="UUY92" s="165" t="s">
        <v>945</v>
      </c>
      <c r="UUZ92" s="166" t="str">
        <f>VLOOKUP(UUY92,[13]AssetDetails_UEM!$A$3:$AH$1849,6,FALSE)</f>
        <v>Electrosurgical Units, Monopolar/Bipolar</v>
      </c>
      <c r="UVA92" s="165" t="s">
        <v>945</v>
      </c>
      <c r="UVB92" s="166" t="str">
        <f>VLOOKUP(UVA92,[13]AssetDetails_UEM!$A$3:$AH$1849,6,FALSE)</f>
        <v>Electrosurgical Units, Monopolar/Bipolar</v>
      </c>
      <c r="UVC92" s="165" t="s">
        <v>945</v>
      </c>
      <c r="UVD92" s="166" t="str">
        <f>VLOOKUP(UVC92,[13]AssetDetails_UEM!$A$3:$AH$1849,6,FALSE)</f>
        <v>Electrosurgical Units, Monopolar/Bipolar</v>
      </c>
      <c r="UVE92" s="165" t="s">
        <v>945</v>
      </c>
      <c r="UVF92" s="166" t="str">
        <f>VLOOKUP(UVE92,[13]AssetDetails_UEM!$A$3:$AH$1849,6,FALSE)</f>
        <v>Electrosurgical Units, Monopolar/Bipolar</v>
      </c>
      <c r="UVG92" s="165" t="s">
        <v>945</v>
      </c>
      <c r="UVH92" s="166" t="str">
        <f>VLOOKUP(UVG92,[13]AssetDetails_UEM!$A$3:$AH$1849,6,FALSE)</f>
        <v>Electrosurgical Units, Monopolar/Bipolar</v>
      </c>
      <c r="UVI92" s="165" t="s">
        <v>945</v>
      </c>
      <c r="UVJ92" s="166" t="str">
        <f>VLOOKUP(UVI92,[13]AssetDetails_UEM!$A$3:$AH$1849,6,FALSE)</f>
        <v>Electrosurgical Units, Monopolar/Bipolar</v>
      </c>
      <c r="UVK92" s="165" t="s">
        <v>945</v>
      </c>
      <c r="UVL92" s="166" t="str">
        <f>VLOOKUP(UVK92,[13]AssetDetails_UEM!$A$3:$AH$1849,6,FALSE)</f>
        <v>Electrosurgical Units, Monopolar/Bipolar</v>
      </c>
      <c r="UVM92" s="165" t="s">
        <v>945</v>
      </c>
      <c r="UVN92" s="166" t="str">
        <f>VLOOKUP(UVM92,[13]AssetDetails_UEM!$A$3:$AH$1849,6,FALSE)</f>
        <v>Electrosurgical Units, Monopolar/Bipolar</v>
      </c>
      <c r="UVO92" s="165" t="s">
        <v>945</v>
      </c>
      <c r="UVP92" s="166" t="str">
        <f>VLOOKUP(UVO92,[13]AssetDetails_UEM!$A$3:$AH$1849,6,FALSE)</f>
        <v>Electrosurgical Units, Monopolar/Bipolar</v>
      </c>
      <c r="UVQ92" s="165" t="s">
        <v>945</v>
      </c>
      <c r="UVR92" s="166" t="str">
        <f>VLOOKUP(UVQ92,[13]AssetDetails_UEM!$A$3:$AH$1849,6,FALSE)</f>
        <v>Electrosurgical Units, Monopolar/Bipolar</v>
      </c>
      <c r="UVS92" s="165" t="s">
        <v>945</v>
      </c>
      <c r="UVT92" s="166" t="str">
        <f>VLOOKUP(UVS92,[13]AssetDetails_UEM!$A$3:$AH$1849,6,FALSE)</f>
        <v>Electrosurgical Units, Monopolar/Bipolar</v>
      </c>
      <c r="UVU92" s="165" t="s">
        <v>945</v>
      </c>
      <c r="UVV92" s="166" t="str">
        <f>VLOOKUP(UVU92,[13]AssetDetails_UEM!$A$3:$AH$1849,6,FALSE)</f>
        <v>Electrosurgical Units, Monopolar/Bipolar</v>
      </c>
      <c r="UVW92" s="165" t="s">
        <v>945</v>
      </c>
      <c r="UVX92" s="166" t="str">
        <f>VLOOKUP(UVW92,[13]AssetDetails_UEM!$A$3:$AH$1849,6,FALSE)</f>
        <v>Electrosurgical Units, Monopolar/Bipolar</v>
      </c>
      <c r="UVY92" s="165" t="s">
        <v>945</v>
      </c>
      <c r="UVZ92" s="166" t="str">
        <f>VLOOKUP(UVY92,[13]AssetDetails_UEM!$A$3:$AH$1849,6,FALSE)</f>
        <v>Electrosurgical Units, Monopolar/Bipolar</v>
      </c>
      <c r="UWA92" s="165" t="s">
        <v>945</v>
      </c>
      <c r="UWB92" s="166" t="str">
        <f>VLOOKUP(UWA92,[13]AssetDetails_UEM!$A$3:$AH$1849,6,FALSE)</f>
        <v>Electrosurgical Units, Monopolar/Bipolar</v>
      </c>
      <c r="UWC92" s="165" t="s">
        <v>945</v>
      </c>
      <c r="UWD92" s="166" t="str">
        <f>VLOOKUP(UWC92,[13]AssetDetails_UEM!$A$3:$AH$1849,6,FALSE)</f>
        <v>Electrosurgical Units, Monopolar/Bipolar</v>
      </c>
      <c r="UWE92" s="165" t="s">
        <v>945</v>
      </c>
      <c r="UWF92" s="166" t="str">
        <f>VLOOKUP(UWE92,[13]AssetDetails_UEM!$A$3:$AH$1849,6,FALSE)</f>
        <v>Electrosurgical Units, Monopolar/Bipolar</v>
      </c>
      <c r="UWG92" s="165" t="s">
        <v>945</v>
      </c>
      <c r="UWH92" s="166" t="str">
        <f>VLOOKUP(UWG92,[13]AssetDetails_UEM!$A$3:$AH$1849,6,FALSE)</f>
        <v>Electrosurgical Units, Monopolar/Bipolar</v>
      </c>
      <c r="UWI92" s="165" t="s">
        <v>945</v>
      </c>
      <c r="UWJ92" s="166" t="str">
        <f>VLOOKUP(UWI92,[13]AssetDetails_UEM!$A$3:$AH$1849,6,FALSE)</f>
        <v>Electrosurgical Units, Monopolar/Bipolar</v>
      </c>
      <c r="UWK92" s="165" t="s">
        <v>945</v>
      </c>
      <c r="UWL92" s="166" t="str">
        <f>VLOOKUP(UWK92,[13]AssetDetails_UEM!$A$3:$AH$1849,6,FALSE)</f>
        <v>Electrosurgical Units, Monopolar/Bipolar</v>
      </c>
      <c r="UWM92" s="165" t="s">
        <v>945</v>
      </c>
      <c r="UWN92" s="166" t="str">
        <f>VLOOKUP(UWM92,[13]AssetDetails_UEM!$A$3:$AH$1849,6,FALSE)</f>
        <v>Electrosurgical Units, Monopolar/Bipolar</v>
      </c>
      <c r="UWO92" s="165" t="s">
        <v>945</v>
      </c>
      <c r="UWP92" s="166" t="str">
        <f>VLOOKUP(UWO92,[13]AssetDetails_UEM!$A$3:$AH$1849,6,FALSE)</f>
        <v>Electrosurgical Units, Monopolar/Bipolar</v>
      </c>
      <c r="UWQ92" s="165" t="s">
        <v>945</v>
      </c>
      <c r="UWR92" s="166" t="str">
        <f>VLOOKUP(UWQ92,[13]AssetDetails_UEM!$A$3:$AH$1849,6,FALSE)</f>
        <v>Electrosurgical Units, Monopolar/Bipolar</v>
      </c>
      <c r="UWS92" s="165" t="s">
        <v>945</v>
      </c>
      <c r="UWT92" s="166" t="str">
        <f>VLOOKUP(UWS92,[13]AssetDetails_UEM!$A$3:$AH$1849,6,FALSE)</f>
        <v>Electrosurgical Units, Monopolar/Bipolar</v>
      </c>
      <c r="UWU92" s="165" t="s">
        <v>945</v>
      </c>
      <c r="UWV92" s="166" t="str">
        <f>VLOOKUP(UWU92,[13]AssetDetails_UEM!$A$3:$AH$1849,6,FALSE)</f>
        <v>Electrosurgical Units, Monopolar/Bipolar</v>
      </c>
      <c r="UWW92" s="165" t="s">
        <v>945</v>
      </c>
      <c r="UWX92" s="166" t="str">
        <f>VLOOKUP(UWW92,[13]AssetDetails_UEM!$A$3:$AH$1849,6,FALSE)</f>
        <v>Electrosurgical Units, Monopolar/Bipolar</v>
      </c>
      <c r="UWY92" s="165" t="s">
        <v>945</v>
      </c>
      <c r="UWZ92" s="166" t="str">
        <f>VLOOKUP(UWY92,[13]AssetDetails_UEM!$A$3:$AH$1849,6,FALSE)</f>
        <v>Electrosurgical Units, Monopolar/Bipolar</v>
      </c>
      <c r="UXA92" s="165" t="s">
        <v>945</v>
      </c>
      <c r="UXB92" s="166" t="str">
        <f>VLOOKUP(UXA92,[13]AssetDetails_UEM!$A$3:$AH$1849,6,FALSE)</f>
        <v>Electrosurgical Units, Monopolar/Bipolar</v>
      </c>
      <c r="UXC92" s="165" t="s">
        <v>945</v>
      </c>
      <c r="UXD92" s="166" t="str">
        <f>VLOOKUP(UXC92,[13]AssetDetails_UEM!$A$3:$AH$1849,6,FALSE)</f>
        <v>Electrosurgical Units, Monopolar/Bipolar</v>
      </c>
      <c r="UXE92" s="165" t="s">
        <v>945</v>
      </c>
      <c r="UXF92" s="166" t="str">
        <f>VLOOKUP(UXE92,[13]AssetDetails_UEM!$A$3:$AH$1849,6,FALSE)</f>
        <v>Electrosurgical Units, Monopolar/Bipolar</v>
      </c>
      <c r="UXG92" s="165" t="s">
        <v>945</v>
      </c>
      <c r="UXH92" s="166" t="str">
        <f>VLOOKUP(UXG92,[13]AssetDetails_UEM!$A$3:$AH$1849,6,FALSE)</f>
        <v>Electrosurgical Units, Monopolar/Bipolar</v>
      </c>
      <c r="UXI92" s="165" t="s">
        <v>945</v>
      </c>
      <c r="UXJ92" s="166" t="str">
        <f>VLOOKUP(UXI92,[13]AssetDetails_UEM!$A$3:$AH$1849,6,FALSE)</f>
        <v>Electrosurgical Units, Monopolar/Bipolar</v>
      </c>
      <c r="UXK92" s="165" t="s">
        <v>945</v>
      </c>
      <c r="UXL92" s="166" t="str">
        <f>VLOOKUP(UXK92,[13]AssetDetails_UEM!$A$3:$AH$1849,6,FALSE)</f>
        <v>Electrosurgical Units, Monopolar/Bipolar</v>
      </c>
      <c r="UXM92" s="165" t="s">
        <v>945</v>
      </c>
      <c r="UXN92" s="166" t="str">
        <f>VLOOKUP(UXM92,[13]AssetDetails_UEM!$A$3:$AH$1849,6,FALSE)</f>
        <v>Electrosurgical Units, Monopolar/Bipolar</v>
      </c>
      <c r="UXO92" s="165" t="s">
        <v>945</v>
      </c>
      <c r="UXP92" s="166" t="str">
        <f>VLOOKUP(UXO92,[13]AssetDetails_UEM!$A$3:$AH$1849,6,FALSE)</f>
        <v>Electrosurgical Units, Monopolar/Bipolar</v>
      </c>
      <c r="UXQ92" s="165" t="s">
        <v>945</v>
      </c>
      <c r="UXR92" s="166" t="str">
        <f>VLOOKUP(UXQ92,[13]AssetDetails_UEM!$A$3:$AH$1849,6,FALSE)</f>
        <v>Electrosurgical Units, Monopolar/Bipolar</v>
      </c>
      <c r="UXS92" s="165" t="s">
        <v>945</v>
      </c>
      <c r="UXT92" s="166" t="str">
        <f>VLOOKUP(UXS92,[13]AssetDetails_UEM!$A$3:$AH$1849,6,FALSE)</f>
        <v>Electrosurgical Units, Monopolar/Bipolar</v>
      </c>
      <c r="UXU92" s="165" t="s">
        <v>945</v>
      </c>
      <c r="UXV92" s="166" t="str">
        <f>VLOOKUP(UXU92,[13]AssetDetails_UEM!$A$3:$AH$1849,6,FALSE)</f>
        <v>Electrosurgical Units, Monopolar/Bipolar</v>
      </c>
      <c r="UXW92" s="165" t="s">
        <v>945</v>
      </c>
      <c r="UXX92" s="166" t="str">
        <f>VLOOKUP(UXW92,[13]AssetDetails_UEM!$A$3:$AH$1849,6,FALSE)</f>
        <v>Electrosurgical Units, Monopolar/Bipolar</v>
      </c>
      <c r="UXY92" s="165" t="s">
        <v>945</v>
      </c>
      <c r="UXZ92" s="166" t="str">
        <f>VLOOKUP(UXY92,[13]AssetDetails_UEM!$A$3:$AH$1849,6,FALSE)</f>
        <v>Electrosurgical Units, Monopolar/Bipolar</v>
      </c>
      <c r="UYA92" s="165" t="s">
        <v>945</v>
      </c>
      <c r="UYB92" s="166" t="str">
        <f>VLOOKUP(UYA92,[13]AssetDetails_UEM!$A$3:$AH$1849,6,FALSE)</f>
        <v>Electrosurgical Units, Monopolar/Bipolar</v>
      </c>
      <c r="UYC92" s="165" t="s">
        <v>945</v>
      </c>
      <c r="UYD92" s="166" t="str">
        <f>VLOOKUP(UYC92,[13]AssetDetails_UEM!$A$3:$AH$1849,6,FALSE)</f>
        <v>Electrosurgical Units, Monopolar/Bipolar</v>
      </c>
      <c r="UYE92" s="165" t="s">
        <v>945</v>
      </c>
      <c r="UYF92" s="166" t="str">
        <f>VLOOKUP(UYE92,[13]AssetDetails_UEM!$A$3:$AH$1849,6,FALSE)</f>
        <v>Electrosurgical Units, Monopolar/Bipolar</v>
      </c>
      <c r="UYG92" s="165" t="s">
        <v>945</v>
      </c>
      <c r="UYH92" s="166" t="str">
        <f>VLOOKUP(UYG92,[13]AssetDetails_UEM!$A$3:$AH$1849,6,FALSE)</f>
        <v>Electrosurgical Units, Monopolar/Bipolar</v>
      </c>
      <c r="UYI92" s="165" t="s">
        <v>945</v>
      </c>
      <c r="UYJ92" s="166" t="str">
        <f>VLOOKUP(UYI92,[13]AssetDetails_UEM!$A$3:$AH$1849,6,FALSE)</f>
        <v>Electrosurgical Units, Monopolar/Bipolar</v>
      </c>
      <c r="UYK92" s="165" t="s">
        <v>945</v>
      </c>
      <c r="UYL92" s="166" t="str">
        <f>VLOOKUP(UYK92,[13]AssetDetails_UEM!$A$3:$AH$1849,6,FALSE)</f>
        <v>Electrosurgical Units, Monopolar/Bipolar</v>
      </c>
      <c r="UYM92" s="165" t="s">
        <v>945</v>
      </c>
      <c r="UYN92" s="166" t="str">
        <f>VLOOKUP(UYM92,[13]AssetDetails_UEM!$A$3:$AH$1849,6,FALSE)</f>
        <v>Electrosurgical Units, Monopolar/Bipolar</v>
      </c>
      <c r="UYO92" s="165" t="s">
        <v>945</v>
      </c>
      <c r="UYP92" s="166" t="str">
        <f>VLOOKUP(UYO92,[13]AssetDetails_UEM!$A$3:$AH$1849,6,FALSE)</f>
        <v>Electrosurgical Units, Monopolar/Bipolar</v>
      </c>
      <c r="UYQ92" s="165" t="s">
        <v>945</v>
      </c>
      <c r="UYR92" s="166" t="str">
        <f>VLOOKUP(UYQ92,[13]AssetDetails_UEM!$A$3:$AH$1849,6,FALSE)</f>
        <v>Electrosurgical Units, Monopolar/Bipolar</v>
      </c>
      <c r="UYS92" s="165" t="s">
        <v>945</v>
      </c>
      <c r="UYT92" s="166" t="str">
        <f>VLOOKUP(UYS92,[13]AssetDetails_UEM!$A$3:$AH$1849,6,FALSE)</f>
        <v>Electrosurgical Units, Monopolar/Bipolar</v>
      </c>
      <c r="UYU92" s="165" t="s">
        <v>945</v>
      </c>
      <c r="UYV92" s="166" t="str">
        <f>VLOOKUP(UYU92,[13]AssetDetails_UEM!$A$3:$AH$1849,6,FALSE)</f>
        <v>Electrosurgical Units, Monopolar/Bipolar</v>
      </c>
      <c r="UYW92" s="165" t="s">
        <v>945</v>
      </c>
      <c r="UYX92" s="166" t="str">
        <f>VLOOKUP(UYW92,[13]AssetDetails_UEM!$A$3:$AH$1849,6,FALSE)</f>
        <v>Electrosurgical Units, Monopolar/Bipolar</v>
      </c>
      <c r="UYY92" s="165" t="s">
        <v>945</v>
      </c>
      <c r="UYZ92" s="166" t="str">
        <f>VLOOKUP(UYY92,[13]AssetDetails_UEM!$A$3:$AH$1849,6,FALSE)</f>
        <v>Electrosurgical Units, Monopolar/Bipolar</v>
      </c>
      <c r="UZA92" s="165" t="s">
        <v>945</v>
      </c>
      <c r="UZB92" s="166" t="str">
        <f>VLOOKUP(UZA92,[13]AssetDetails_UEM!$A$3:$AH$1849,6,FALSE)</f>
        <v>Electrosurgical Units, Monopolar/Bipolar</v>
      </c>
      <c r="UZC92" s="165" t="s">
        <v>945</v>
      </c>
      <c r="UZD92" s="166" t="str">
        <f>VLOOKUP(UZC92,[13]AssetDetails_UEM!$A$3:$AH$1849,6,FALSE)</f>
        <v>Electrosurgical Units, Monopolar/Bipolar</v>
      </c>
      <c r="UZE92" s="165" t="s">
        <v>945</v>
      </c>
      <c r="UZF92" s="166" t="str">
        <f>VLOOKUP(UZE92,[13]AssetDetails_UEM!$A$3:$AH$1849,6,FALSE)</f>
        <v>Electrosurgical Units, Monopolar/Bipolar</v>
      </c>
      <c r="UZG92" s="165" t="s">
        <v>945</v>
      </c>
      <c r="UZH92" s="166" t="str">
        <f>VLOOKUP(UZG92,[13]AssetDetails_UEM!$A$3:$AH$1849,6,FALSE)</f>
        <v>Electrosurgical Units, Monopolar/Bipolar</v>
      </c>
      <c r="UZI92" s="165" t="s">
        <v>945</v>
      </c>
      <c r="UZJ92" s="166" t="str">
        <f>VLOOKUP(UZI92,[13]AssetDetails_UEM!$A$3:$AH$1849,6,FALSE)</f>
        <v>Electrosurgical Units, Monopolar/Bipolar</v>
      </c>
      <c r="UZK92" s="165" t="s">
        <v>945</v>
      </c>
      <c r="UZL92" s="166" t="str">
        <f>VLOOKUP(UZK92,[13]AssetDetails_UEM!$A$3:$AH$1849,6,FALSE)</f>
        <v>Electrosurgical Units, Monopolar/Bipolar</v>
      </c>
      <c r="UZM92" s="165" t="s">
        <v>945</v>
      </c>
      <c r="UZN92" s="166" t="str">
        <f>VLOOKUP(UZM92,[13]AssetDetails_UEM!$A$3:$AH$1849,6,FALSE)</f>
        <v>Electrosurgical Units, Monopolar/Bipolar</v>
      </c>
      <c r="UZO92" s="165" t="s">
        <v>945</v>
      </c>
      <c r="UZP92" s="166" t="str">
        <f>VLOOKUP(UZO92,[13]AssetDetails_UEM!$A$3:$AH$1849,6,FALSE)</f>
        <v>Electrosurgical Units, Monopolar/Bipolar</v>
      </c>
      <c r="UZQ92" s="165" t="s">
        <v>945</v>
      </c>
      <c r="UZR92" s="166" t="str">
        <f>VLOOKUP(UZQ92,[13]AssetDetails_UEM!$A$3:$AH$1849,6,FALSE)</f>
        <v>Electrosurgical Units, Monopolar/Bipolar</v>
      </c>
      <c r="UZS92" s="165" t="s">
        <v>945</v>
      </c>
      <c r="UZT92" s="166" t="str">
        <f>VLOOKUP(UZS92,[13]AssetDetails_UEM!$A$3:$AH$1849,6,FALSE)</f>
        <v>Electrosurgical Units, Monopolar/Bipolar</v>
      </c>
      <c r="UZU92" s="165" t="s">
        <v>945</v>
      </c>
      <c r="UZV92" s="166" t="str">
        <f>VLOOKUP(UZU92,[13]AssetDetails_UEM!$A$3:$AH$1849,6,FALSE)</f>
        <v>Electrosurgical Units, Monopolar/Bipolar</v>
      </c>
      <c r="UZW92" s="165" t="s">
        <v>945</v>
      </c>
      <c r="UZX92" s="166" t="str">
        <f>VLOOKUP(UZW92,[13]AssetDetails_UEM!$A$3:$AH$1849,6,FALSE)</f>
        <v>Electrosurgical Units, Monopolar/Bipolar</v>
      </c>
      <c r="UZY92" s="165" t="s">
        <v>945</v>
      </c>
      <c r="UZZ92" s="166" t="str">
        <f>VLOOKUP(UZY92,[13]AssetDetails_UEM!$A$3:$AH$1849,6,FALSE)</f>
        <v>Electrosurgical Units, Monopolar/Bipolar</v>
      </c>
      <c r="VAA92" s="165" t="s">
        <v>945</v>
      </c>
      <c r="VAB92" s="166" t="str">
        <f>VLOOKUP(VAA92,[13]AssetDetails_UEM!$A$3:$AH$1849,6,FALSE)</f>
        <v>Electrosurgical Units, Monopolar/Bipolar</v>
      </c>
      <c r="VAC92" s="165" t="s">
        <v>945</v>
      </c>
      <c r="VAD92" s="166" t="str">
        <f>VLOOKUP(VAC92,[13]AssetDetails_UEM!$A$3:$AH$1849,6,FALSE)</f>
        <v>Electrosurgical Units, Monopolar/Bipolar</v>
      </c>
      <c r="VAE92" s="165" t="s">
        <v>945</v>
      </c>
      <c r="VAF92" s="166" t="str">
        <f>VLOOKUP(VAE92,[13]AssetDetails_UEM!$A$3:$AH$1849,6,FALSE)</f>
        <v>Electrosurgical Units, Monopolar/Bipolar</v>
      </c>
      <c r="VAG92" s="165" t="s">
        <v>945</v>
      </c>
      <c r="VAH92" s="166" t="str">
        <f>VLOOKUP(VAG92,[13]AssetDetails_UEM!$A$3:$AH$1849,6,FALSE)</f>
        <v>Electrosurgical Units, Monopolar/Bipolar</v>
      </c>
      <c r="VAI92" s="165" t="s">
        <v>945</v>
      </c>
      <c r="VAJ92" s="166" t="str">
        <f>VLOOKUP(VAI92,[13]AssetDetails_UEM!$A$3:$AH$1849,6,FALSE)</f>
        <v>Electrosurgical Units, Monopolar/Bipolar</v>
      </c>
      <c r="VAK92" s="165" t="s">
        <v>945</v>
      </c>
      <c r="VAL92" s="166" t="str">
        <f>VLOOKUP(VAK92,[13]AssetDetails_UEM!$A$3:$AH$1849,6,FALSE)</f>
        <v>Electrosurgical Units, Monopolar/Bipolar</v>
      </c>
      <c r="VAM92" s="165" t="s">
        <v>945</v>
      </c>
      <c r="VAN92" s="166" t="str">
        <f>VLOOKUP(VAM92,[13]AssetDetails_UEM!$A$3:$AH$1849,6,FALSE)</f>
        <v>Electrosurgical Units, Monopolar/Bipolar</v>
      </c>
      <c r="VAO92" s="165" t="s">
        <v>945</v>
      </c>
      <c r="VAP92" s="166" t="str">
        <f>VLOOKUP(VAO92,[13]AssetDetails_UEM!$A$3:$AH$1849,6,FALSE)</f>
        <v>Electrosurgical Units, Monopolar/Bipolar</v>
      </c>
      <c r="VAQ92" s="165" t="s">
        <v>945</v>
      </c>
      <c r="VAR92" s="166" t="str">
        <f>VLOOKUP(VAQ92,[13]AssetDetails_UEM!$A$3:$AH$1849,6,FALSE)</f>
        <v>Electrosurgical Units, Monopolar/Bipolar</v>
      </c>
      <c r="VAS92" s="165" t="s">
        <v>945</v>
      </c>
      <c r="VAT92" s="166" t="str">
        <f>VLOOKUP(VAS92,[13]AssetDetails_UEM!$A$3:$AH$1849,6,FALSE)</f>
        <v>Electrosurgical Units, Monopolar/Bipolar</v>
      </c>
      <c r="VAU92" s="165" t="s">
        <v>945</v>
      </c>
      <c r="VAV92" s="166" t="str">
        <f>VLOOKUP(VAU92,[13]AssetDetails_UEM!$A$3:$AH$1849,6,FALSE)</f>
        <v>Electrosurgical Units, Monopolar/Bipolar</v>
      </c>
      <c r="VAW92" s="165" t="s">
        <v>945</v>
      </c>
      <c r="VAX92" s="166" t="str">
        <f>VLOOKUP(VAW92,[13]AssetDetails_UEM!$A$3:$AH$1849,6,FALSE)</f>
        <v>Electrosurgical Units, Monopolar/Bipolar</v>
      </c>
      <c r="VAY92" s="165" t="s">
        <v>945</v>
      </c>
      <c r="VAZ92" s="166" t="str">
        <f>VLOOKUP(VAY92,[13]AssetDetails_UEM!$A$3:$AH$1849,6,FALSE)</f>
        <v>Electrosurgical Units, Monopolar/Bipolar</v>
      </c>
      <c r="VBA92" s="165" t="s">
        <v>945</v>
      </c>
      <c r="VBB92" s="166" t="str">
        <f>VLOOKUP(VBA92,[13]AssetDetails_UEM!$A$3:$AH$1849,6,FALSE)</f>
        <v>Electrosurgical Units, Monopolar/Bipolar</v>
      </c>
      <c r="VBC92" s="165" t="s">
        <v>945</v>
      </c>
      <c r="VBD92" s="166" t="str">
        <f>VLOOKUP(VBC92,[13]AssetDetails_UEM!$A$3:$AH$1849,6,FALSE)</f>
        <v>Electrosurgical Units, Monopolar/Bipolar</v>
      </c>
      <c r="VBE92" s="165" t="s">
        <v>945</v>
      </c>
      <c r="VBF92" s="166" t="str">
        <f>VLOOKUP(VBE92,[13]AssetDetails_UEM!$A$3:$AH$1849,6,FALSE)</f>
        <v>Electrosurgical Units, Monopolar/Bipolar</v>
      </c>
      <c r="VBG92" s="165" t="s">
        <v>945</v>
      </c>
      <c r="VBH92" s="166" t="str">
        <f>VLOOKUP(VBG92,[13]AssetDetails_UEM!$A$3:$AH$1849,6,FALSE)</f>
        <v>Electrosurgical Units, Monopolar/Bipolar</v>
      </c>
      <c r="VBI92" s="165" t="s">
        <v>945</v>
      </c>
      <c r="VBJ92" s="166" t="str">
        <f>VLOOKUP(VBI92,[13]AssetDetails_UEM!$A$3:$AH$1849,6,FALSE)</f>
        <v>Electrosurgical Units, Monopolar/Bipolar</v>
      </c>
      <c r="VBK92" s="165" t="s">
        <v>945</v>
      </c>
      <c r="VBL92" s="166" t="str">
        <f>VLOOKUP(VBK92,[13]AssetDetails_UEM!$A$3:$AH$1849,6,FALSE)</f>
        <v>Electrosurgical Units, Monopolar/Bipolar</v>
      </c>
      <c r="VBM92" s="165" t="s">
        <v>945</v>
      </c>
      <c r="VBN92" s="166" t="str">
        <f>VLOOKUP(VBM92,[13]AssetDetails_UEM!$A$3:$AH$1849,6,FALSE)</f>
        <v>Electrosurgical Units, Monopolar/Bipolar</v>
      </c>
      <c r="VBO92" s="165" t="s">
        <v>945</v>
      </c>
      <c r="VBP92" s="166" t="str">
        <f>VLOOKUP(VBO92,[13]AssetDetails_UEM!$A$3:$AH$1849,6,FALSE)</f>
        <v>Electrosurgical Units, Monopolar/Bipolar</v>
      </c>
      <c r="VBQ92" s="165" t="s">
        <v>945</v>
      </c>
      <c r="VBR92" s="166" t="str">
        <f>VLOOKUP(VBQ92,[13]AssetDetails_UEM!$A$3:$AH$1849,6,FALSE)</f>
        <v>Electrosurgical Units, Monopolar/Bipolar</v>
      </c>
      <c r="VBS92" s="165" t="s">
        <v>945</v>
      </c>
      <c r="VBT92" s="166" t="str">
        <f>VLOOKUP(VBS92,[13]AssetDetails_UEM!$A$3:$AH$1849,6,FALSE)</f>
        <v>Electrosurgical Units, Monopolar/Bipolar</v>
      </c>
      <c r="VBU92" s="165" t="s">
        <v>945</v>
      </c>
      <c r="VBV92" s="166" t="str">
        <f>VLOOKUP(VBU92,[13]AssetDetails_UEM!$A$3:$AH$1849,6,FALSE)</f>
        <v>Electrosurgical Units, Monopolar/Bipolar</v>
      </c>
      <c r="VBW92" s="165" t="s">
        <v>945</v>
      </c>
      <c r="VBX92" s="166" t="str">
        <f>VLOOKUP(VBW92,[13]AssetDetails_UEM!$A$3:$AH$1849,6,FALSE)</f>
        <v>Electrosurgical Units, Monopolar/Bipolar</v>
      </c>
      <c r="VBY92" s="165" t="s">
        <v>945</v>
      </c>
      <c r="VBZ92" s="166" t="str">
        <f>VLOOKUP(VBY92,[13]AssetDetails_UEM!$A$3:$AH$1849,6,FALSE)</f>
        <v>Electrosurgical Units, Monopolar/Bipolar</v>
      </c>
      <c r="VCA92" s="165" t="s">
        <v>945</v>
      </c>
      <c r="VCB92" s="166" t="str">
        <f>VLOOKUP(VCA92,[13]AssetDetails_UEM!$A$3:$AH$1849,6,FALSE)</f>
        <v>Electrosurgical Units, Monopolar/Bipolar</v>
      </c>
      <c r="VCC92" s="165" t="s">
        <v>945</v>
      </c>
      <c r="VCD92" s="166" t="str">
        <f>VLOOKUP(VCC92,[13]AssetDetails_UEM!$A$3:$AH$1849,6,FALSE)</f>
        <v>Electrosurgical Units, Monopolar/Bipolar</v>
      </c>
      <c r="VCE92" s="165" t="s">
        <v>945</v>
      </c>
      <c r="VCF92" s="166" t="str">
        <f>VLOOKUP(VCE92,[13]AssetDetails_UEM!$A$3:$AH$1849,6,FALSE)</f>
        <v>Electrosurgical Units, Monopolar/Bipolar</v>
      </c>
      <c r="VCG92" s="165" t="s">
        <v>945</v>
      </c>
      <c r="VCH92" s="166" t="str">
        <f>VLOOKUP(VCG92,[13]AssetDetails_UEM!$A$3:$AH$1849,6,FALSE)</f>
        <v>Electrosurgical Units, Monopolar/Bipolar</v>
      </c>
      <c r="VCI92" s="165" t="s">
        <v>945</v>
      </c>
      <c r="VCJ92" s="166" t="str">
        <f>VLOOKUP(VCI92,[13]AssetDetails_UEM!$A$3:$AH$1849,6,FALSE)</f>
        <v>Electrosurgical Units, Monopolar/Bipolar</v>
      </c>
      <c r="VCK92" s="165" t="s">
        <v>945</v>
      </c>
      <c r="VCL92" s="166" t="str">
        <f>VLOOKUP(VCK92,[13]AssetDetails_UEM!$A$3:$AH$1849,6,FALSE)</f>
        <v>Electrosurgical Units, Monopolar/Bipolar</v>
      </c>
      <c r="VCM92" s="165" t="s">
        <v>945</v>
      </c>
      <c r="VCN92" s="166" t="str">
        <f>VLOOKUP(VCM92,[13]AssetDetails_UEM!$A$3:$AH$1849,6,FALSE)</f>
        <v>Electrosurgical Units, Monopolar/Bipolar</v>
      </c>
      <c r="VCO92" s="165" t="s">
        <v>945</v>
      </c>
      <c r="VCP92" s="166" t="str">
        <f>VLOOKUP(VCO92,[13]AssetDetails_UEM!$A$3:$AH$1849,6,FALSE)</f>
        <v>Electrosurgical Units, Monopolar/Bipolar</v>
      </c>
      <c r="VCQ92" s="165" t="s">
        <v>945</v>
      </c>
      <c r="VCR92" s="166" t="str">
        <f>VLOOKUP(VCQ92,[13]AssetDetails_UEM!$A$3:$AH$1849,6,FALSE)</f>
        <v>Electrosurgical Units, Monopolar/Bipolar</v>
      </c>
      <c r="VCS92" s="165" t="s">
        <v>945</v>
      </c>
      <c r="VCT92" s="166" t="str">
        <f>VLOOKUP(VCS92,[13]AssetDetails_UEM!$A$3:$AH$1849,6,FALSE)</f>
        <v>Electrosurgical Units, Monopolar/Bipolar</v>
      </c>
      <c r="VCU92" s="165" t="s">
        <v>945</v>
      </c>
      <c r="VCV92" s="166" t="str">
        <f>VLOOKUP(VCU92,[13]AssetDetails_UEM!$A$3:$AH$1849,6,FALSE)</f>
        <v>Electrosurgical Units, Monopolar/Bipolar</v>
      </c>
      <c r="VCW92" s="165" t="s">
        <v>945</v>
      </c>
      <c r="VCX92" s="166" t="str">
        <f>VLOOKUP(VCW92,[13]AssetDetails_UEM!$A$3:$AH$1849,6,FALSE)</f>
        <v>Electrosurgical Units, Monopolar/Bipolar</v>
      </c>
      <c r="VCY92" s="165" t="s">
        <v>945</v>
      </c>
      <c r="VCZ92" s="166" t="str">
        <f>VLOOKUP(VCY92,[13]AssetDetails_UEM!$A$3:$AH$1849,6,FALSE)</f>
        <v>Electrosurgical Units, Monopolar/Bipolar</v>
      </c>
      <c r="VDA92" s="165" t="s">
        <v>945</v>
      </c>
      <c r="VDB92" s="166" t="str">
        <f>VLOOKUP(VDA92,[13]AssetDetails_UEM!$A$3:$AH$1849,6,FALSE)</f>
        <v>Electrosurgical Units, Monopolar/Bipolar</v>
      </c>
      <c r="VDC92" s="165" t="s">
        <v>945</v>
      </c>
      <c r="VDD92" s="166" t="str">
        <f>VLOOKUP(VDC92,[13]AssetDetails_UEM!$A$3:$AH$1849,6,FALSE)</f>
        <v>Electrosurgical Units, Monopolar/Bipolar</v>
      </c>
      <c r="VDE92" s="165" t="s">
        <v>945</v>
      </c>
      <c r="VDF92" s="166" t="str">
        <f>VLOOKUP(VDE92,[13]AssetDetails_UEM!$A$3:$AH$1849,6,FALSE)</f>
        <v>Electrosurgical Units, Monopolar/Bipolar</v>
      </c>
      <c r="VDG92" s="165" t="s">
        <v>945</v>
      </c>
      <c r="VDH92" s="166" t="str">
        <f>VLOOKUP(VDG92,[13]AssetDetails_UEM!$A$3:$AH$1849,6,FALSE)</f>
        <v>Electrosurgical Units, Monopolar/Bipolar</v>
      </c>
      <c r="VDI92" s="165" t="s">
        <v>945</v>
      </c>
      <c r="VDJ92" s="166" t="str">
        <f>VLOOKUP(VDI92,[13]AssetDetails_UEM!$A$3:$AH$1849,6,FALSE)</f>
        <v>Electrosurgical Units, Monopolar/Bipolar</v>
      </c>
      <c r="VDK92" s="165" t="s">
        <v>945</v>
      </c>
      <c r="VDL92" s="166" t="str">
        <f>VLOOKUP(VDK92,[13]AssetDetails_UEM!$A$3:$AH$1849,6,FALSE)</f>
        <v>Electrosurgical Units, Monopolar/Bipolar</v>
      </c>
      <c r="VDM92" s="165" t="s">
        <v>945</v>
      </c>
      <c r="VDN92" s="166" t="str">
        <f>VLOOKUP(VDM92,[13]AssetDetails_UEM!$A$3:$AH$1849,6,FALSE)</f>
        <v>Electrosurgical Units, Monopolar/Bipolar</v>
      </c>
      <c r="VDO92" s="165" t="s">
        <v>945</v>
      </c>
      <c r="VDP92" s="166" t="str">
        <f>VLOOKUP(VDO92,[13]AssetDetails_UEM!$A$3:$AH$1849,6,FALSE)</f>
        <v>Electrosurgical Units, Monopolar/Bipolar</v>
      </c>
      <c r="VDQ92" s="165" t="s">
        <v>945</v>
      </c>
      <c r="VDR92" s="166" t="str">
        <f>VLOOKUP(VDQ92,[13]AssetDetails_UEM!$A$3:$AH$1849,6,FALSE)</f>
        <v>Electrosurgical Units, Monopolar/Bipolar</v>
      </c>
      <c r="VDS92" s="165" t="s">
        <v>945</v>
      </c>
      <c r="VDT92" s="166" t="str">
        <f>VLOOKUP(VDS92,[13]AssetDetails_UEM!$A$3:$AH$1849,6,FALSE)</f>
        <v>Electrosurgical Units, Monopolar/Bipolar</v>
      </c>
      <c r="VDU92" s="165" t="s">
        <v>945</v>
      </c>
      <c r="VDV92" s="166" t="str">
        <f>VLOOKUP(VDU92,[13]AssetDetails_UEM!$A$3:$AH$1849,6,FALSE)</f>
        <v>Electrosurgical Units, Monopolar/Bipolar</v>
      </c>
      <c r="VDW92" s="165" t="s">
        <v>945</v>
      </c>
      <c r="VDX92" s="166" t="str">
        <f>VLOOKUP(VDW92,[13]AssetDetails_UEM!$A$3:$AH$1849,6,FALSE)</f>
        <v>Electrosurgical Units, Monopolar/Bipolar</v>
      </c>
      <c r="VDY92" s="165" t="s">
        <v>945</v>
      </c>
      <c r="VDZ92" s="166" t="str">
        <f>VLOOKUP(VDY92,[13]AssetDetails_UEM!$A$3:$AH$1849,6,FALSE)</f>
        <v>Electrosurgical Units, Monopolar/Bipolar</v>
      </c>
      <c r="VEA92" s="165" t="s">
        <v>945</v>
      </c>
      <c r="VEB92" s="166" t="str">
        <f>VLOOKUP(VEA92,[13]AssetDetails_UEM!$A$3:$AH$1849,6,FALSE)</f>
        <v>Electrosurgical Units, Monopolar/Bipolar</v>
      </c>
      <c r="VEC92" s="165" t="s">
        <v>945</v>
      </c>
      <c r="VED92" s="166" t="str">
        <f>VLOOKUP(VEC92,[13]AssetDetails_UEM!$A$3:$AH$1849,6,FALSE)</f>
        <v>Electrosurgical Units, Monopolar/Bipolar</v>
      </c>
      <c r="VEE92" s="165" t="s">
        <v>945</v>
      </c>
      <c r="VEF92" s="166" t="str">
        <f>VLOOKUP(VEE92,[13]AssetDetails_UEM!$A$3:$AH$1849,6,FALSE)</f>
        <v>Electrosurgical Units, Monopolar/Bipolar</v>
      </c>
      <c r="VEG92" s="165" t="s">
        <v>945</v>
      </c>
      <c r="VEH92" s="166" t="str">
        <f>VLOOKUP(VEG92,[13]AssetDetails_UEM!$A$3:$AH$1849,6,FALSE)</f>
        <v>Electrosurgical Units, Monopolar/Bipolar</v>
      </c>
      <c r="VEI92" s="165" t="s">
        <v>945</v>
      </c>
      <c r="VEJ92" s="166" t="str">
        <f>VLOOKUP(VEI92,[13]AssetDetails_UEM!$A$3:$AH$1849,6,FALSE)</f>
        <v>Electrosurgical Units, Monopolar/Bipolar</v>
      </c>
      <c r="VEK92" s="165" t="s">
        <v>945</v>
      </c>
      <c r="VEL92" s="166" t="str">
        <f>VLOOKUP(VEK92,[13]AssetDetails_UEM!$A$3:$AH$1849,6,FALSE)</f>
        <v>Electrosurgical Units, Monopolar/Bipolar</v>
      </c>
      <c r="VEM92" s="165" t="s">
        <v>945</v>
      </c>
      <c r="VEN92" s="166" t="str">
        <f>VLOOKUP(VEM92,[13]AssetDetails_UEM!$A$3:$AH$1849,6,FALSE)</f>
        <v>Electrosurgical Units, Monopolar/Bipolar</v>
      </c>
      <c r="VEO92" s="165" t="s">
        <v>945</v>
      </c>
      <c r="VEP92" s="166" t="str">
        <f>VLOOKUP(VEO92,[13]AssetDetails_UEM!$A$3:$AH$1849,6,FALSE)</f>
        <v>Electrosurgical Units, Monopolar/Bipolar</v>
      </c>
      <c r="VEQ92" s="165" t="s">
        <v>945</v>
      </c>
      <c r="VER92" s="166" t="str">
        <f>VLOOKUP(VEQ92,[13]AssetDetails_UEM!$A$3:$AH$1849,6,FALSE)</f>
        <v>Electrosurgical Units, Monopolar/Bipolar</v>
      </c>
      <c r="VES92" s="165" t="s">
        <v>945</v>
      </c>
      <c r="VET92" s="166" t="str">
        <f>VLOOKUP(VES92,[13]AssetDetails_UEM!$A$3:$AH$1849,6,FALSE)</f>
        <v>Electrosurgical Units, Monopolar/Bipolar</v>
      </c>
      <c r="VEU92" s="165" t="s">
        <v>945</v>
      </c>
      <c r="VEV92" s="166" t="str">
        <f>VLOOKUP(VEU92,[13]AssetDetails_UEM!$A$3:$AH$1849,6,FALSE)</f>
        <v>Electrosurgical Units, Monopolar/Bipolar</v>
      </c>
      <c r="VEW92" s="165" t="s">
        <v>945</v>
      </c>
      <c r="VEX92" s="166" t="str">
        <f>VLOOKUP(VEW92,[13]AssetDetails_UEM!$A$3:$AH$1849,6,FALSE)</f>
        <v>Electrosurgical Units, Monopolar/Bipolar</v>
      </c>
      <c r="VEY92" s="165" t="s">
        <v>945</v>
      </c>
      <c r="VEZ92" s="166" t="str">
        <f>VLOOKUP(VEY92,[13]AssetDetails_UEM!$A$3:$AH$1849,6,FALSE)</f>
        <v>Electrosurgical Units, Monopolar/Bipolar</v>
      </c>
      <c r="VFA92" s="165" t="s">
        <v>945</v>
      </c>
      <c r="VFB92" s="166" t="str">
        <f>VLOOKUP(VFA92,[13]AssetDetails_UEM!$A$3:$AH$1849,6,FALSE)</f>
        <v>Electrosurgical Units, Monopolar/Bipolar</v>
      </c>
      <c r="VFC92" s="165" t="s">
        <v>945</v>
      </c>
      <c r="VFD92" s="166" t="str">
        <f>VLOOKUP(VFC92,[13]AssetDetails_UEM!$A$3:$AH$1849,6,FALSE)</f>
        <v>Electrosurgical Units, Monopolar/Bipolar</v>
      </c>
      <c r="VFE92" s="165" t="s">
        <v>945</v>
      </c>
      <c r="VFF92" s="166" t="str">
        <f>VLOOKUP(VFE92,[13]AssetDetails_UEM!$A$3:$AH$1849,6,FALSE)</f>
        <v>Electrosurgical Units, Monopolar/Bipolar</v>
      </c>
      <c r="VFG92" s="165" t="s">
        <v>945</v>
      </c>
      <c r="VFH92" s="166" t="str">
        <f>VLOOKUP(VFG92,[13]AssetDetails_UEM!$A$3:$AH$1849,6,FALSE)</f>
        <v>Electrosurgical Units, Monopolar/Bipolar</v>
      </c>
      <c r="VFI92" s="165" t="s">
        <v>945</v>
      </c>
      <c r="VFJ92" s="166" t="str">
        <f>VLOOKUP(VFI92,[13]AssetDetails_UEM!$A$3:$AH$1849,6,FALSE)</f>
        <v>Electrosurgical Units, Monopolar/Bipolar</v>
      </c>
      <c r="VFK92" s="165" t="s">
        <v>945</v>
      </c>
      <c r="VFL92" s="166" t="str">
        <f>VLOOKUP(VFK92,[13]AssetDetails_UEM!$A$3:$AH$1849,6,FALSE)</f>
        <v>Electrosurgical Units, Monopolar/Bipolar</v>
      </c>
      <c r="VFM92" s="165" t="s">
        <v>945</v>
      </c>
      <c r="VFN92" s="166" t="str">
        <f>VLOOKUP(VFM92,[13]AssetDetails_UEM!$A$3:$AH$1849,6,FALSE)</f>
        <v>Electrosurgical Units, Monopolar/Bipolar</v>
      </c>
      <c r="VFO92" s="165" t="s">
        <v>945</v>
      </c>
      <c r="VFP92" s="166" t="str">
        <f>VLOOKUP(VFO92,[13]AssetDetails_UEM!$A$3:$AH$1849,6,FALSE)</f>
        <v>Electrosurgical Units, Monopolar/Bipolar</v>
      </c>
      <c r="VFQ92" s="165" t="s">
        <v>945</v>
      </c>
      <c r="VFR92" s="166" t="str">
        <f>VLOOKUP(VFQ92,[13]AssetDetails_UEM!$A$3:$AH$1849,6,FALSE)</f>
        <v>Electrosurgical Units, Monopolar/Bipolar</v>
      </c>
      <c r="VFS92" s="165" t="s">
        <v>945</v>
      </c>
      <c r="VFT92" s="166" t="str">
        <f>VLOOKUP(VFS92,[13]AssetDetails_UEM!$A$3:$AH$1849,6,FALSE)</f>
        <v>Electrosurgical Units, Monopolar/Bipolar</v>
      </c>
      <c r="VFU92" s="165" t="s">
        <v>945</v>
      </c>
      <c r="VFV92" s="166" t="str">
        <f>VLOOKUP(VFU92,[13]AssetDetails_UEM!$A$3:$AH$1849,6,FALSE)</f>
        <v>Electrosurgical Units, Monopolar/Bipolar</v>
      </c>
      <c r="VFW92" s="165" t="s">
        <v>945</v>
      </c>
      <c r="VFX92" s="166" t="str">
        <f>VLOOKUP(VFW92,[13]AssetDetails_UEM!$A$3:$AH$1849,6,FALSE)</f>
        <v>Electrosurgical Units, Monopolar/Bipolar</v>
      </c>
      <c r="VFY92" s="165" t="s">
        <v>945</v>
      </c>
      <c r="VFZ92" s="166" t="str">
        <f>VLOOKUP(VFY92,[13]AssetDetails_UEM!$A$3:$AH$1849,6,FALSE)</f>
        <v>Electrosurgical Units, Monopolar/Bipolar</v>
      </c>
      <c r="VGA92" s="165" t="s">
        <v>945</v>
      </c>
      <c r="VGB92" s="166" t="str">
        <f>VLOOKUP(VGA92,[13]AssetDetails_UEM!$A$3:$AH$1849,6,FALSE)</f>
        <v>Electrosurgical Units, Monopolar/Bipolar</v>
      </c>
      <c r="VGC92" s="165" t="s">
        <v>945</v>
      </c>
      <c r="VGD92" s="166" t="str">
        <f>VLOOKUP(VGC92,[13]AssetDetails_UEM!$A$3:$AH$1849,6,FALSE)</f>
        <v>Electrosurgical Units, Monopolar/Bipolar</v>
      </c>
      <c r="VGE92" s="165" t="s">
        <v>945</v>
      </c>
      <c r="VGF92" s="166" t="str">
        <f>VLOOKUP(VGE92,[13]AssetDetails_UEM!$A$3:$AH$1849,6,FALSE)</f>
        <v>Electrosurgical Units, Monopolar/Bipolar</v>
      </c>
      <c r="VGG92" s="165" t="s">
        <v>945</v>
      </c>
      <c r="VGH92" s="166" t="str">
        <f>VLOOKUP(VGG92,[13]AssetDetails_UEM!$A$3:$AH$1849,6,FALSE)</f>
        <v>Electrosurgical Units, Monopolar/Bipolar</v>
      </c>
      <c r="VGI92" s="165" t="s">
        <v>945</v>
      </c>
      <c r="VGJ92" s="166" t="str">
        <f>VLOOKUP(VGI92,[13]AssetDetails_UEM!$A$3:$AH$1849,6,FALSE)</f>
        <v>Electrosurgical Units, Monopolar/Bipolar</v>
      </c>
      <c r="VGK92" s="165" t="s">
        <v>945</v>
      </c>
      <c r="VGL92" s="166" t="str">
        <f>VLOOKUP(VGK92,[13]AssetDetails_UEM!$A$3:$AH$1849,6,FALSE)</f>
        <v>Electrosurgical Units, Monopolar/Bipolar</v>
      </c>
      <c r="VGM92" s="165" t="s">
        <v>945</v>
      </c>
      <c r="VGN92" s="166" t="str">
        <f>VLOOKUP(VGM92,[13]AssetDetails_UEM!$A$3:$AH$1849,6,FALSE)</f>
        <v>Electrosurgical Units, Monopolar/Bipolar</v>
      </c>
      <c r="VGO92" s="165" t="s">
        <v>945</v>
      </c>
      <c r="VGP92" s="166" t="str">
        <f>VLOOKUP(VGO92,[13]AssetDetails_UEM!$A$3:$AH$1849,6,FALSE)</f>
        <v>Electrosurgical Units, Monopolar/Bipolar</v>
      </c>
      <c r="VGQ92" s="165" t="s">
        <v>945</v>
      </c>
      <c r="VGR92" s="166" t="str">
        <f>VLOOKUP(VGQ92,[13]AssetDetails_UEM!$A$3:$AH$1849,6,FALSE)</f>
        <v>Electrosurgical Units, Monopolar/Bipolar</v>
      </c>
      <c r="VGS92" s="165" t="s">
        <v>945</v>
      </c>
      <c r="VGT92" s="166" t="str">
        <f>VLOOKUP(VGS92,[13]AssetDetails_UEM!$A$3:$AH$1849,6,FALSE)</f>
        <v>Electrosurgical Units, Monopolar/Bipolar</v>
      </c>
      <c r="VGU92" s="165" t="s">
        <v>945</v>
      </c>
      <c r="VGV92" s="166" t="str">
        <f>VLOOKUP(VGU92,[13]AssetDetails_UEM!$A$3:$AH$1849,6,FALSE)</f>
        <v>Electrosurgical Units, Monopolar/Bipolar</v>
      </c>
      <c r="VGW92" s="165" t="s">
        <v>945</v>
      </c>
      <c r="VGX92" s="166" t="str">
        <f>VLOOKUP(VGW92,[13]AssetDetails_UEM!$A$3:$AH$1849,6,FALSE)</f>
        <v>Electrosurgical Units, Monopolar/Bipolar</v>
      </c>
      <c r="VGY92" s="165" t="s">
        <v>945</v>
      </c>
      <c r="VGZ92" s="166" t="str">
        <f>VLOOKUP(VGY92,[13]AssetDetails_UEM!$A$3:$AH$1849,6,FALSE)</f>
        <v>Electrosurgical Units, Monopolar/Bipolar</v>
      </c>
      <c r="VHA92" s="165" t="s">
        <v>945</v>
      </c>
      <c r="VHB92" s="166" t="str">
        <f>VLOOKUP(VHA92,[13]AssetDetails_UEM!$A$3:$AH$1849,6,FALSE)</f>
        <v>Electrosurgical Units, Monopolar/Bipolar</v>
      </c>
      <c r="VHC92" s="165" t="s">
        <v>945</v>
      </c>
      <c r="VHD92" s="166" t="str">
        <f>VLOOKUP(VHC92,[13]AssetDetails_UEM!$A$3:$AH$1849,6,FALSE)</f>
        <v>Electrosurgical Units, Monopolar/Bipolar</v>
      </c>
      <c r="VHE92" s="165" t="s">
        <v>945</v>
      </c>
      <c r="VHF92" s="166" t="str">
        <f>VLOOKUP(VHE92,[13]AssetDetails_UEM!$A$3:$AH$1849,6,FALSE)</f>
        <v>Electrosurgical Units, Monopolar/Bipolar</v>
      </c>
      <c r="VHG92" s="165" t="s">
        <v>945</v>
      </c>
      <c r="VHH92" s="166" t="str">
        <f>VLOOKUP(VHG92,[13]AssetDetails_UEM!$A$3:$AH$1849,6,FALSE)</f>
        <v>Electrosurgical Units, Monopolar/Bipolar</v>
      </c>
      <c r="VHI92" s="165" t="s">
        <v>945</v>
      </c>
      <c r="VHJ92" s="166" t="str">
        <f>VLOOKUP(VHI92,[13]AssetDetails_UEM!$A$3:$AH$1849,6,FALSE)</f>
        <v>Electrosurgical Units, Monopolar/Bipolar</v>
      </c>
      <c r="VHK92" s="165" t="s">
        <v>945</v>
      </c>
      <c r="VHL92" s="166" t="str">
        <f>VLOOKUP(VHK92,[13]AssetDetails_UEM!$A$3:$AH$1849,6,FALSE)</f>
        <v>Electrosurgical Units, Monopolar/Bipolar</v>
      </c>
      <c r="VHM92" s="165" t="s">
        <v>945</v>
      </c>
      <c r="VHN92" s="166" t="str">
        <f>VLOOKUP(VHM92,[13]AssetDetails_UEM!$A$3:$AH$1849,6,FALSE)</f>
        <v>Electrosurgical Units, Monopolar/Bipolar</v>
      </c>
      <c r="VHO92" s="165" t="s">
        <v>945</v>
      </c>
      <c r="VHP92" s="166" t="str">
        <f>VLOOKUP(VHO92,[13]AssetDetails_UEM!$A$3:$AH$1849,6,FALSE)</f>
        <v>Electrosurgical Units, Monopolar/Bipolar</v>
      </c>
      <c r="VHQ92" s="165" t="s">
        <v>945</v>
      </c>
      <c r="VHR92" s="166" t="str">
        <f>VLOOKUP(VHQ92,[13]AssetDetails_UEM!$A$3:$AH$1849,6,FALSE)</f>
        <v>Electrosurgical Units, Monopolar/Bipolar</v>
      </c>
      <c r="VHS92" s="165" t="s">
        <v>945</v>
      </c>
      <c r="VHT92" s="166" t="str">
        <f>VLOOKUP(VHS92,[13]AssetDetails_UEM!$A$3:$AH$1849,6,FALSE)</f>
        <v>Electrosurgical Units, Monopolar/Bipolar</v>
      </c>
      <c r="VHU92" s="165" t="s">
        <v>945</v>
      </c>
      <c r="VHV92" s="166" t="str">
        <f>VLOOKUP(VHU92,[13]AssetDetails_UEM!$A$3:$AH$1849,6,FALSE)</f>
        <v>Electrosurgical Units, Monopolar/Bipolar</v>
      </c>
      <c r="VHW92" s="165" t="s">
        <v>945</v>
      </c>
      <c r="VHX92" s="166" t="str">
        <f>VLOOKUP(VHW92,[13]AssetDetails_UEM!$A$3:$AH$1849,6,FALSE)</f>
        <v>Electrosurgical Units, Monopolar/Bipolar</v>
      </c>
      <c r="VHY92" s="165" t="s">
        <v>945</v>
      </c>
      <c r="VHZ92" s="166" t="str">
        <f>VLOOKUP(VHY92,[13]AssetDetails_UEM!$A$3:$AH$1849,6,FALSE)</f>
        <v>Electrosurgical Units, Monopolar/Bipolar</v>
      </c>
      <c r="VIA92" s="165" t="s">
        <v>945</v>
      </c>
      <c r="VIB92" s="166" t="str">
        <f>VLOOKUP(VIA92,[13]AssetDetails_UEM!$A$3:$AH$1849,6,FALSE)</f>
        <v>Electrosurgical Units, Monopolar/Bipolar</v>
      </c>
      <c r="VIC92" s="165" t="s">
        <v>945</v>
      </c>
      <c r="VID92" s="166" t="str">
        <f>VLOOKUP(VIC92,[13]AssetDetails_UEM!$A$3:$AH$1849,6,FALSE)</f>
        <v>Electrosurgical Units, Monopolar/Bipolar</v>
      </c>
      <c r="VIE92" s="165" t="s">
        <v>945</v>
      </c>
      <c r="VIF92" s="166" t="str">
        <f>VLOOKUP(VIE92,[13]AssetDetails_UEM!$A$3:$AH$1849,6,FALSE)</f>
        <v>Electrosurgical Units, Monopolar/Bipolar</v>
      </c>
      <c r="VIG92" s="165" t="s">
        <v>945</v>
      </c>
      <c r="VIH92" s="166" t="str">
        <f>VLOOKUP(VIG92,[13]AssetDetails_UEM!$A$3:$AH$1849,6,FALSE)</f>
        <v>Electrosurgical Units, Monopolar/Bipolar</v>
      </c>
      <c r="VII92" s="165" t="s">
        <v>945</v>
      </c>
      <c r="VIJ92" s="166" t="str">
        <f>VLOOKUP(VII92,[13]AssetDetails_UEM!$A$3:$AH$1849,6,FALSE)</f>
        <v>Electrosurgical Units, Monopolar/Bipolar</v>
      </c>
      <c r="VIK92" s="165" t="s">
        <v>945</v>
      </c>
      <c r="VIL92" s="166" t="str">
        <f>VLOOKUP(VIK92,[13]AssetDetails_UEM!$A$3:$AH$1849,6,FALSE)</f>
        <v>Electrosurgical Units, Monopolar/Bipolar</v>
      </c>
      <c r="VIM92" s="165" t="s">
        <v>945</v>
      </c>
      <c r="VIN92" s="166" t="str">
        <f>VLOOKUP(VIM92,[13]AssetDetails_UEM!$A$3:$AH$1849,6,FALSE)</f>
        <v>Electrosurgical Units, Monopolar/Bipolar</v>
      </c>
      <c r="VIO92" s="165" t="s">
        <v>945</v>
      </c>
      <c r="VIP92" s="166" t="str">
        <f>VLOOKUP(VIO92,[13]AssetDetails_UEM!$A$3:$AH$1849,6,FALSE)</f>
        <v>Electrosurgical Units, Monopolar/Bipolar</v>
      </c>
      <c r="VIQ92" s="165" t="s">
        <v>945</v>
      </c>
      <c r="VIR92" s="166" t="str">
        <f>VLOOKUP(VIQ92,[13]AssetDetails_UEM!$A$3:$AH$1849,6,FALSE)</f>
        <v>Electrosurgical Units, Monopolar/Bipolar</v>
      </c>
      <c r="VIS92" s="165" t="s">
        <v>945</v>
      </c>
      <c r="VIT92" s="166" t="str">
        <f>VLOOKUP(VIS92,[13]AssetDetails_UEM!$A$3:$AH$1849,6,FALSE)</f>
        <v>Electrosurgical Units, Monopolar/Bipolar</v>
      </c>
      <c r="VIU92" s="165" t="s">
        <v>945</v>
      </c>
      <c r="VIV92" s="166" t="str">
        <f>VLOOKUP(VIU92,[13]AssetDetails_UEM!$A$3:$AH$1849,6,FALSE)</f>
        <v>Electrosurgical Units, Monopolar/Bipolar</v>
      </c>
      <c r="VIW92" s="165" t="s">
        <v>945</v>
      </c>
      <c r="VIX92" s="166" t="str">
        <f>VLOOKUP(VIW92,[13]AssetDetails_UEM!$A$3:$AH$1849,6,FALSE)</f>
        <v>Electrosurgical Units, Monopolar/Bipolar</v>
      </c>
      <c r="VIY92" s="165" t="s">
        <v>945</v>
      </c>
      <c r="VIZ92" s="166" t="str">
        <f>VLOOKUP(VIY92,[13]AssetDetails_UEM!$A$3:$AH$1849,6,FALSE)</f>
        <v>Electrosurgical Units, Monopolar/Bipolar</v>
      </c>
      <c r="VJA92" s="165" t="s">
        <v>945</v>
      </c>
      <c r="VJB92" s="166" t="str">
        <f>VLOOKUP(VJA92,[13]AssetDetails_UEM!$A$3:$AH$1849,6,FALSE)</f>
        <v>Electrosurgical Units, Monopolar/Bipolar</v>
      </c>
      <c r="VJC92" s="165" t="s">
        <v>945</v>
      </c>
      <c r="VJD92" s="166" t="str">
        <f>VLOOKUP(VJC92,[13]AssetDetails_UEM!$A$3:$AH$1849,6,FALSE)</f>
        <v>Electrosurgical Units, Monopolar/Bipolar</v>
      </c>
      <c r="VJE92" s="165" t="s">
        <v>945</v>
      </c>
      <c r="VJF92" s="166" t="str">
        <f>VLOOKUP(VJE92,[13]AssetDetails_UEM!$A$3:$AH$1849,6,FALSE)</f>
        <v>Electrosurgical Units, Monopolar/Bipolar</v>
      </c>
      <c r="VJG92" s="165" t="s">
        <v>945</v>
      </c>
      <c r="VJH92" s="166" t="str">
        <f>VLOOKUP(VJG92,[13]AssetDetails_UEM!$A$3:$AH$1849,6,FALSE)</f>
        <v>Electrosurgical Units, Monopolar/Bipolar</v>
      </c>
      <c r="VJI92" s="165" t="s">
        <v>945</v>
      </c>
      <c r="VJJ92" s="166" t="str">
        <f>VLOOKUP(VJI92,[13]AssetDetails_UEM!$A$3:$AH$1849,6,FALSE)</f>
        <v>Electrosurgical Units, Monopolar/Bipolar</v>
      </c>
      <c r="VJK92" s="165" t="s">
        <v>945</v>
      </c>
      <c r="VJL92" s="166" t="str">
        <f>VLOOKUP(VJK92,[13]AssetDetails_UEM!$A$3:$AH$1849,6,FALSE)</f>
        <v>Electrosurgical Units, Monopolar/Bipolar</v>
      </c>
      <c r="VJM92" s="165" t="s">
        <v>945</v>
      </c>
      <c r="VJN92" s="166" t="str">
        <f>VLOOKUP(VJM92,[13]AssetDetails_UEM!$A$3:$AH$1849,6,FALSE)</f>
        <v>Electrosurgical Units, Monopolar/Bipolar</v>
      </c>
      <c r="VJO92" s="165" t="s">
        <v>945</v>
      </c>
      <c r="VJP92" s="166" t="str">
        <f>VLOOKUP(VJO92,[13]AssetDetails_UEM!$A$3:$AH$1849,6,FALSE)</f>
        <v>Electrosurgical Units, Monopolar/Bipolar</v>
      </c>
      <c r="VJQ92" s="165" t="s">
        <v>945</v>
      </c>
      <c r="VJR92" s="166" t="str">
        <f>VLOOKUP(VJQ92,[13]AssetDetails_UEM!$A$3:$AH$1849,6,FALSE)</f>
        <v>Electrosurgical Units, Monopolar/Bipolar</v>
      </c>
      <c r="VJS92" s="165" t="s">
        <v>945</v>
      </c>
      <c r="VJT92" s="166" t="str">
        <f>VLOOKUP(VJS92,[13]AssetDetails_UEM!$A$3:$AH$1849,6,FALSE)</f>
        <v>Electrosurgical Units, Monopolar/Bipolar</v>
      </c>
      <c r="VJU92" s="165" t="s">
        <v>945</v>
      </c>
      <c r="VJV92" s="166" t="str">
        <f>VLOOKUP(VJU92,[13]AssetDetails_UEM!$A$3:$AH$1849,6,FALSE)</f>
        <v>Electrosurgical Units, Monopolar/Bipolar</v>
      </c>
      <c r="VJW92" s="165" t="s">
        <v>945</v>
      </c>
      <c r="VJX92" s="166" t="str">
        <f>VLOOKUP(VJW92,[13]AssetDetails_UEM!$A$3:$AH$1849,6,FALSE)</f>
        <v>Electrosurgical Units, Monopolar/Bipolar</v>
      </c>
      <c r="VJY92" s="165" t="s">
        <v>945</v>
      </c>
      <c r="VJZ92" s="166" t="str">
        <f>VLOOKUP(VJY92,[13]AssetDetails_UEM!$A$3:$AH$1849,6,FALSE)</f>
        <v>Electrosurgical Units, Monopolar/Bipolar</v>
      </c>
      <c r="VKA92" s="165" t="s">
        <v>945</v>
      </c>
      <c r="VKB92" s="166" t="str">
        <f>VLOOKUP(VKA92,[13]AssetDetails_UEM!$A$3:$AH$1849,6,FALSE)</f>
        <v>Electrosurgical Units, Monopolar/Bipolar</v>
      </c>
      <c r="VKC92" s="165" t="s">
        <v>945</v>
      </c>
      <c r="VKD92" s="166" t="str">
        <f>VLOOKUP(VKC92,[13]AssetDetails_UEM!$A$3:$AH$1849,6,FALSE)</f>
        <v>Electrosurgical Units, Monopolar/Bipolar</v>
      </c>
      <c r="VKE92" s="165" t="s">
        <v>945</v>
      </c>
      <c r="VKF92" s="166" t="str">
        <f>VLOOKUP(VKE92,[13]AssetDetails_UEM!$A$3:$AH$1849,6,FALSE)</f>
        <v>Electrosurgical Units, Monopolar/Bipolar</v>
      </c>
      <c r="VKG92" s="165" t="s">
        <v>945</v>
      </c>
      <c r="VKH92" s="166" t="str">
        <f>VLOOKUP(VKG92,[13]AssetDetails_UEM!$A$3:$AH$1849,6,FALSE)</f>
        <v>Electrosurgical Units, Monopolar/Bipolar</v>
      </c>
      <c r="VKI92" s="165" t="s">
        <v>945</v>
      </c>
      <c r="VKJ92" s="166" t="str">
        <f>VLOOKUP(VKI92,[13]AssetDetails_UEM!$A$3:$AH$1849,6,FALSE)</f>
        <v>Electrosurgical Units, Monopolar/Bipolar</v>
      </c>
      <c r="VKK92" s="165" t="s">
        <v>945</v>
      </c>
      <c r="VKL92" s="166" t="str">
        <f>VLOOKUP(VKK92,[13]AssetDetails_UEM!$A$3:$AH$1849,6,FALSE)</f>
        <v>Electrosurgical Units, Monopolar/Bipolar</v>
      </c>
      <c r="VKM92" s="165" t="s">
        <v>945</v>
      </c>
      <c r="VKN92" s="166" t="str">
        <f>VLOOKUP(VKM92,[13]AssetDetails_UEM!$A$3:$AH$1849,6,FALSE)</f>
        <v>Electrosurgical Units, Monopolar/Bipolar</v>
      </c>
      <c r="VKO92" s="165" t="s">
        <v>945</v>
      </c>
      <c r="VKP92" s="166" t="str">
        <f>VLOOKUP(VKO92,[13]AssetDetails_UEM!$A$3:$AH$1849,6,FALSE)</f>
        <v>Electrosurgical Units, Monopolar/Bipolar</v>
      </c>
      <c r="VKQ92" s="165" t="s">
        <v>945</v>
      </c>
      <c r="VKR92" s="166" t="str">
        <f>VLOOKUP(VKQ92,[13]AssetDetails_UEM!$A$3:$AH$1849,6,FALSE)</f>
        <v>Electrosurgical Units, Monopolar/Bipolar</v>
      </c>
      <c r="VKS92" s="165" t="s">
        <v>945</v>
      </c>
      <c r="VKT92" s="166" t="str">
        <f>VLOOKUP(VKS92,[13]AssetDetails_UEM!$A$3:$AH$1849,6,FALSE)</f>
        <v>Electrosurgical Units, Monopolar/Bipolar</v>
      </c>
      <c r="VKU92" s="165" t="s">
        <v>945</v>
      </c>
      <c r="VKV92" s="166" t="str">
        <f>VLOOKUP(VKU92,[13]AssetDetails_UEM!$A$3:$AH$1849,6,FALSE)</f>
        <v>Electrosurgical Units, Monopolar/Bipolar</v>
      </c>
      <c r="VKW92" s="165" t="s">
        <v>945</v>
      </c>
      <c r="VKX92" s="166" t="str">
        <f>VLOOKUP(VKW92,[13]AssetDetails_UEM!$A$3:$AH$1849,6,FALSE)</f>
        <v>Electrosurgical Units, Monopolar/Bipolar</v>
      </c>
      <c r="VKY92" s="165" t="s">
        <v>945</v>
      </c>
      <c r="VKZ92" s="166" t="str">
        <f>VLOOKUP(VKY92,[13]AssetDetails_UEM!$A$3:$AH$1849,6,FALSE)</f>
        <v>Electrosurgical Units, Monopolar/Bipolar</v>
      </c>
      <c r="VLA92" s="165" t="s">
        <v>945</v>
      </c>
      <c r="VLB92" s="166" t="str">
        <f>VLOOKUP(VLA92,[13]AssetDetails_UEM!$A$3:$AH$1849,6,FALSE)</f>
        <v>Electrosurgical Units, Monopolar/Bipolar</v>
      </c>
      <c r="VLC92" s="165" t="s">
        <v>945</v>
      </c>
      <c r="VLD92" s="166" t="str">
        <f>VLOOKUP(VLC92,[13]AssetDetails_UEM!$A$3:$AH$1849,6,FALSE)</f>
        <v>Electrosurgical Units, Monopolar/Bipolar</v>
      </c>
      <c r="VLE92" s="165" t="s">
        <v>945</v>
      </c>
      <c r="VLF92" s="166" t="str">
        <f>VLOOKUP(VLE92,[13]AssetDetails_UEM!$A$3:$AH$1849,6,FALSE)</f>
        <v>Electrosurgical Units, Monopolar/Bipolar</v>
      </c>
      <c r="VLG92" s="165" t="s">
        <v>945</v>
      </c>
      <c r="VLH92" s="166" t="str">
        <f>VLOOKUP(VLG92,[13]AssetDetails_UEM!$A$3:$AH$1849,6,FALSE)</f>
        <v>Electrosurgical Units, Monopolar/Bipolar</v>
      </c>
      <c r="VLI92" s="165" t="s">
        <v>945</v>
      </c>
      <c r="VLJ92" s="166" t="str">
        <f>VLOOKUP(VLI92,[13]AssetDetails_UEM!$A$3:$AH$1849,6,FALSE)</f>
        <v>Electrosurgical Units, Monopolar/Bipolar</v>
      </c>
      <c r="VLK92" s="165" t="s">
        <v>945</v>
      </c>
      <c r="VLL92" s="166" t="str">
        <f>VLOOKUP(VLK92,[13]AssetDetails_UEM!$A$3:$AH$1849,6,FALSE)</f>
        <v>Electrosurgical Units, Monopolar/Bipolar</v>
      </c>
      <c r="VLM92" s="165" t="s">
        <v>945</v>
      </c>
      <c r="VLN92" s="166" t="str">
        <f>VLOOKUP(VLM92,[13]AssetDetails_UEM!$A$3:$AH$1849,6,FALSE)</f>
        <v>Electrosurgical Units, Monopolar/Bipolar</v>
      </c>
      <c r="VLO92" s="165" t="s">
        <v>945</v>
      </c>
      <c r="VLP92" s="166" t="str">
        <f>VLOOKUP(VLO92,[13]AssetDetails_UEM!$A$3:$AH$1849,6,FALSE)</f>
        <v>Electrosurgical Units, Monopolar/Bipolar</v>
      </c>
      <c r="VLQ92" s="165" t="s">
        <v>945</v>
      </c>
      <c r="VLR92" s="166" t="str">
        <f>VLOOKUP(VLQ92,[13]AssetDetails_UEM!$A$3:$AH$1849,6,FALSE)</f>
        <v>Electrosurgical Units, Monopolar/Bipolar</v>
      </c>
      <c r="VLS92" s="165" t="s">
        <v>945</v>
      </c>
      <c r="VLT92" s="166" t="str">
        <f>VLOOKUP(VLS92,[13]AssetDetails_UEM!$A$3:$AH$1849,6,FALSE)</f>
        <v>Electrosurgical Units, Monopolar/Bipolar</v>
      </c>
      <c r="VLU92" s="165" t="s">
        <v>945</v>
      </c>
      <c r="VLV92" s="166" t="str">
        <f>VLOOKUP(VLU92,[13]AssetDetails_UEM!$A$3:$AH$1849,6,FALSE)</f>
        <v>Electrosurgical Units, Monopolar/Bipolar</v>
      </c>
      <c r="VLW92" s="165" t="s">
        <v>945</v>
      </c>
      <c r="VLX92" s="166" t="str">
        <f>VLOOKUP(VLW92,[13]AssetDetails_UEM!$A$3:$AH$1849,6,FALSE)</f>
        <v>Electrosurgical Units, Monopolar/Bipolar</v>
      </c>
      <c r="VLY92" s="165" t="s">
        <v>945</v>
      </c>
      <c r="VLZ92" s="166" t="str">
        <f>VLOOKUP(VLY92,[13]AssetDetails_UEM!$A$3:$AH$1849,6,FALSE)</f>
        <v>Electrosurgical Units, Monopolar/Bipolar</v>
      </c>
      <c r="VMA92" s="165" t="s">
        <v>945</v>
      </c>
      <c r="VMB92" s="166" t="str">
        <f>VLOOKUP(VMA92,[13]AssetDetails_UEM!$A$3:$AH$1849,6,FALSE)</f>
        <v>Electrosurgical Units, Monopolar/Bipolar</v>
      </c>
      <c r="VMC92" s="165" t="s">
        <v>945</v>
      </c>
      <c r="VMD92" s="166" t="str">
        <f>VLOOKUP(VMC92,[13]AssetDetails_UEM!$A$3:$AH$1849,6,FALSE)</f>
        <v>Electrosurgical Units, Monopolar/Bipolar</v>
      </c>
      <c r="VME92" s="165" t="s">
        <v>945</v>
      </c>
      <c r="VMF92" s="166" t="str">
        <f>VLOOKUP(VME92,[13]AssetDetails_UEM!$A$3:$AH$1849,6,FALSE)</f>
        <v>Electrosurgical Units, Monopolar/Bipolar</v>
      </c>
      <c r="VMG92" s="165" t="s">
        <v>945</v>
      </c>
      <c r="VMH92" s="166" t="str">
        <f>VLOOKUP(VMG92,[13]AssetDetails_UEM!$A$3:$AH$1849,6,FALSE)</f>
        <v>Electrosurgical Units, Monopolar/Bipolar</v>
      </c>
      <c r="VMI92" s="165" t="s">
        <v>945</v>
      </c>
      <c r="VMJ92" s="166" t="str">
        <f>VLOOKUP(VMI92,[13]AssetDetails_UEM!$A$3:$AH$1849,6,FALSE)</f>
        <v>Electrosurgical Units, Monopolar/Bipolar</v>
      </c>
      <c r="VMK92" s="165" t="s">
        <v>945</v>
      </c>
      <c r="VML92" s="166" t="str">
        <f>VLOOKUP(VMK92,[13]AssetDetails_UEM!$A$3:$AH$1849,6,FALSE)</f>
        <v>Electrosurgical Units, Monopolar/Bipolar</v>
      </c>
      <c r="VMM92" s="165" t="s">
        <v>945</v>
      </c>
      <c r="VMN92" s="166" t="str">
        <f>VLOOKUP(VMM92,[13]AssetDetails_UEM!$A$3:$AH$1849,6,FALSE)</f>
        <v>Electrosurgical Units, Monopolar/Bipolar</v>
      </c>
      <c r="VMO92" s="165" t="s">
        <v>945</v>
      </c>
      <c r="VMP92" s="166" t="str">
        <f>VLOOKUP(VMO92,[13]AssetDetails_UEM!$A$3:$AH$1849,6,FALSE)</f>
        <v>Electrosurgical Units, Monopolar/Bipolar</v>
      </c>
      <c r="VMQ92" s="165" t="s">
        <v>945</v>
      </c>
      <c r="VMR92" s="166" t="str">
        <f>VLOOKUP(VMQ92,[13]AssetDetails_UEM!$A$3:$AH$1849,6,FALSE)</f>
        <v>Electrosurgical Units, Monopolar/Bipolar</v>
      </c>
      <c r="VMS92" s="165" t="s">
        <v>945</v>
      </c>
      <c r="VMT92" s="166" t="str">
        <f>VLOOKUP(VMS92,[13]AssetDetails_UEM!$A$3:$AH$1849,6,FALSE)</f>
        <v>Electrosurgical Units, Monopolar/Bipolar</v>
      </c>
      <c r="VMU92" s="165" t="s">
        <v>945</v>
      </c>
      <c r="VMV92" s="166" t="str">
        <f>VLOOKUP(VMU92,[13]AssetDetails_UEM!$A$3:$AH$1849,6,FALSE)</f>
        <v>Electrosurgical Units, Monopolar/Bipolar</v>
      </c>
      <c r="VMW92" s="165" t="s">
        <v>945</v>
      </c>
      <c r="VMX92" s="166" t="str">
        <f>VLOOKUP(VMW92,[13]AssetDetails_UEM!$A$3:$AH$1849,6,FALSE)</f>
        <v>Electrosurgical Units, Monopolar/Bipolar</v>
      </c>
      <c r="VMY92" s="165" t="s">
        <v>945</v>
      </c>
      <c r="VMZ92" s="166" t="str">
        <f>VLOOKUP(VMY92,[13]AssetDetails_UEM!$A$3:$AH$1849,6,FALSE)</f>
        <v>Electrosurgical Units, Monopolar/Bipolar</v>
      </c>
      <c r="VNA92" s="165" t="s">
        <v>945</v>
      </c>
      <c r="VNB92" s="166" t="str">
        <f>VLOOKUP(VNA92,[13]AssetDetails_UEM!$A$3:$AH$1849,6,FALSE)</f>
        <v>Electrosurgical Units, Monopolar/Bipolar</v>
      </c>
      <c r="VNC92" s="165" t="s">
        <v>945</v>
      </c>
      <c r="VND92" s="166" t="str">
        <f>VLOOKUP(VNC92,[13]AssetDetails_UEM!$A$3:$AH$1849,6,FALSE)</f>
        <v>Electrosurgical Units, Monopolar/Bipolar</v>
      </c>
      <c r="VNE92" s="165" t="s">
        <v>945</v>
      </c>
      <c r="VNF92" s="166" t="str">
        <f>VLOOKUP(VNE92,[13]AssetDetails_UEM!$A$3:$AH$1849,6,FALSE)</f>
        <v>Electrosurgical Units, Monopolar/Bipolar</v>
      </c>
      <c r="VNG92" s="165" t="s">
        <v>945</v>
      </c>
      <c r="VNH92" s="166" t="str">
        <f>VLOOKUP(VNG92,[13]AssetDetails_UEM!$A$3:$AH$1849,6,FALSE)</f>
        <v>Electrosurgical Units, Monopolar/Bipolar</v>
      </c>
      <c r="VNI92" s="165" t="s">
        <v>945</v>
      </c>
      <c r="VNJ92" s="166" t="str">
        <f>VLOOKUP(VNI92,[13]AssetDetails_UEM!$A$3:$AH$1849,6,FALSE)</f>
        <v>Electrosurgical Units, Monopolar/Bipolar</v>
      </c>
      <c r="VNK92" s="165" t="s">
        <v>945</v>
      </c>
      <c r="VNL92" s="166" t="str">
        <f>VLOOKUP(VNK92,[13]AssetDetails_UEM!$A$3:$AH$1849,6,FALSE)</f>
        <v>Electrosurgical Units, Monopolar/Bipolar</v>
      </c>
      <c r="VNM92" s="165" t="s">
        <v>945</v>
      </c>
      <c r="VNN92" s="166" t="str">
        <f>VLOOKUP(VNM92,[13]AssetDetails_UEM!$A$3:$AH$1849,6,FALSE)</f>
        <v>Electrosurgical Units, Monopolar/Bipolar</v>
      </c>
      <c r="VNO92" s="165" t="s">
        <v>945</v>
      </c>
      <c r="VNP92" s="166" t="str">
        <f>VLOOKUP(VNO92,[13]AssetDetails_UEM!$A$3:$AH$1849,6,FALSE)</f>
        <v>Electrosurgical Units, Monopolar/Bipolar</v>
      </c>
      <c r="VNQ92" s="165" t="s">
        <v>945</v>
      </c>
      <c r="VNR92" s="166" t="str">
        <f>VLOOKUP(VNQ92,[13]AssetDetails_UEM!$A$3:$AH$1849,6,FALSE)</f>
        <v>Electrosurgical Units, Monopolar/Bipolar</v>
      </c>
      <c r="VNS92" s="165" t="s">
        <v>945</v>
      </c>
      <c r="VNT92" s="166" t="str">
        <f>VLOOKUP(VNS92,[13]AssetDetails_UEM!$A$3:$AH$1849,6,FALSE)</f>
        <v>Electrosurgical Units, Monopolar/Bipolar</v>
      </c>
      <c r="VNU92" s="165" t="s">
        <v>945</v>
      </c>
      <c r="VNV92" s="166" t="str">
        <f>VLOOKUP(VNU92,[13]AssetDetails_UEM!$A$3:$AH$1849,6,FALSE)</f>
        <v>Electrosurgical Units, Monopolar/Bipolar</v>
      </c>
      <c r="VNW92" s="165" t="s">
        <v>945</v>
      </c>
      <c r="VNX92" s="166" t="str">
        <f>VLOOKUP(VNW92,[13]AssetDetails_UEM!$A$3:$AH$1849,6,FALSE)</f>
        <v>Electrosurgical Units, Monopolar/Bipolar</v>
      </c>
      <c r="VNY92" s="165" t="s">
        <v>945</v>
      </c>
      <c r="VNZ92" s="166" t="str">
        <f>VLOOKUP(VNY92,[13]AssetDetails_UEM!$A$3:$AH$1849,6,FALSE)</f>
        <v>Electrosurgical Units, Monopolar/Bipolar</v>
      </c>
      <c r="VOA92" s="165" t="s">
        <v>945</v>
      </c>
      <c r="VOB92" s="166" t="str">
        <f>VLOOKUP(VOA92,[13]AssetDetails_UEM!$A$3:$AH$1849,6,FALSE)</f>
        <v>Electrosurgical Units, Monopolar/Bipolar</v>
      </c>
      <c r="VOC92" s="165" t="s">
        <v>945</v>
      </c>
      <c r="VOD92" s="166" t="str">
        <f>VLOOKUP(VOC92,[13]AssetDetails_UEM!$A$3:$AH$1849,6,FALSE)</f>
        <v>Electrosurgical Units, Monopolar/Bipolar</v>
      </c>
      <c r="VOE92" s="165" t="s">
        <v>945</v>
      </c>
      <c r="VOF92" s="166" t="str">
        <f>VLOOKUP(VOE92,[13]AssetDetails_UEM!$A$3:$AH$1849,6,FALSE)</f>
        <v>Electrosurgical Units, Monopolar/Bipolar</v>
      </c>
      <c r="VOG92" s="165" t="s">
        <v>945</v>
      </c>
      <c r="VOH92" s="166" t="str">
        <f>VLOOKUP(VOG92,[13]AssetDetails_UEM!$A$3:$AH$1849,6,FALSE)</f>
        <v>Electrosurgical Units, Monopolar/Bipolar</v>
      </c>
      <c r="VOI92" s="165" t="s">
        <v>945</v>
      </c>
      <c r="VOJ92" s="166" t="str">
        <f>VLOOKUP(VOI92,[13]AssetDetails_UEM!$A$3:$AH$1849,6,FALSE)</f>
        <v>Electrosurgical Units, Monopolar/Bipolar</v>
      </c>
      <c r="VOK92" s="165" t="s">
        <v>945</v>
      </c>
      <c r="VOL92" s="166" t="str">
        <f>VLOOKUP(VOK92,[13]AssetDetails_UEM!$A$3:$AH$1849,6,FALSE)</f>
        <v>Electrosurgical Units, Monopolar/Bipolar</v>
      </c>
      <c r="VOM92" s="165" t="s">
        <v>945</v>
      </c>
      <c r="VON92" s="166" t="str">
        <f>VLOOKUP(VOM92,[13]AssetDetails_UEM!$A$3:$AH$1849,6,FALSE)</f>
        <v>Electrosurgical Units, Monopolar/Bipolar</v>
      </c>
      <c r="VOO92" s="165" t="s">
        <v>945</v>
      </c>
      <c r="VOP92" s="166" t="str">
        <f>VLOOKUP(VOO92,[13]AssetDetails_UEM!$A$3:$AH$1849,6,FALSE)</f>
        <v>Electrosurgical Units, Monopolar/Bipolar</v>
      </c>
      <c r="VOQ92" s="165" t="s">
        <v>945</v>
      </c>
      <c r="VOR92" s="166" t="str">
        <f>VLOOKUP(VOQ92,[13]AssetDetails_UEM!$A$3:$AH$1849,6,FALSE)</f>
        <v>Electrosurgical Units, Monopolar/Bipolar</v>
      </c>
      <c r="VOS92" s="165" t="s">
        <v>945</v>
      </c>
      <c r="VOT92" s="166" t="str">
        <f>VLOOKUP(VOS92,[13]AssetDetails_UEM!$A$3:$AH$1849,6,FALSE)</f>
        <v>Electrosurgical Units, Monopolar/Bipolar</v>
      </c>
      <c r="VOU92" s="165" t="s">
        <v>945</v>
      </c>
      <c r="VOV92" s="166" t="str">
        <f>VLOOKUP(VOU92,[13]AssetDetails_UEM!$A$3:$AH$1849,6,FALSE)</f>
        <v>Electrosurgical Units, Monopolar/Bipolar</v>
      </c>
      <c r="VOW92" s="165" t="s">
        <v>945</v>
      </c>
      <c r="VOX92" s="166" t="str">
        <f>VLOOKUP(VOW92,[13]AssetDetails_UEM!$A$3:$AH$1849,6,FALSE)</f>
        <v>Electrosurgical Units, Monopolar/Bipolar</v>
      </c>
      <c r="VOY92" s="165" t="s">
        <v>945</v>
      </c>
      <c r="VOZ92" s="166" t="str">
        <f>VLOOKUP(VOY92,[13]AssetDetails_UEM!$A$3:$AH$1849,6,FALSE)</f>
        <v>Electrosurgical Units, Monopolar/Bipolar</v>
      </c>
      <c r="VPA92" s="165" t="s">
        <v>945</v>
      </c>
      <c r="VPB92" s="166" t="str">
        <f>VLOOKUP(VPA92,[13]AssetDetails_UEM!$A$3:$AH$1849,6,FALSE)</f>
        <v>Electrosurgical Units, Monopolar/Bipolar</v>
      </c>
      <c r="VPC92" s="165" t="s">
        <v>945</v>
      </c>
      <c r="VPD92" s="166" t="str">
        <f>VLOOKUP(VPC92,[13]AssetDetails_UEM!$A$3:$AH$1849,6,FALSE)</f>
        <v>Electrosurgical Units, Monopolar/Bipolar</v>
      </c>
      <c r="VPE92" s="165" t="s">
        <v>945</v>
      </c>
      <c r="VPF92" s="166" t="str">
        <f>VLOOKUP(VPE92,[13]AssetDetails_UEM!$A$3:$AH$1849,6,FALSE)</f>
        <v>Electrosurgical Units, Monopolar/Bipolar</v>
      </c>
      <c r="VPG92" s="165" t="s">
        <v>945</v>
      </c>
      <c r="VPH92" s="166" t="str">
        <f>VLOOKUP(VPG92,[13]AssetDetails_UEM!$A$3:$AH$1849,6,FALSE)</f>
        <v>Electrosurgical Units, Monopolar/Bipolar</v>
      </c>
      <c r="VPI92" s="165" t="s">
        <v>945</v>
      </c>
      <c r="VPJ92" s="166" t="str">
        <f>VLOOKUP(VPI92,[13]AssetDetails_UEM!$A$3:$AH$1849,6,FALSE)</f>
        <v>Electrosurgical Units, Monopolar/Bipolar</v>
      </c>
      <c r="VPK92" s="165" t="s">
        <v>945</v>
      </c>
      <c r="VPL92" s="166" t="str">
        <f>VLOOKUP(VPK92,[13]AssetDetails_UEM!$A$3:$AH$1849,6,FALSE)</f>
        <v>Electrosurgical Units, Monopolar/Bipolar</v>
      </c>
      <c r="VPM92" s="165" t="s">
        <v>945</v>
      </c>
      <c r="VPN92" s="166" t="str">
        <f>VLOOKUP(VPM92,[13]AssetDetails_UEM!$A$3:$AH$1849,6,FALSE)</f>
        <v>Electrosurgical Units, Monopolar/Bipolar</v>
      </c>
      <c r="VPO92" s="165" t="s">
        <v>945</v>
      </c>
      <c r="VPP92" s="166" t="str">
        <f>VLOOKUP(VPO92,[13]AssetDetails_UEM!$A$3:$AH$1849,6,FALSE)</f>
        <v>Electrosurgical Units, Monopolar/Bipolar</v>
      </c>
      <c r="VPQ92" s="165" t="s">
        <v>945</v>
      </c>
      <c r="VPR92" s="166" t="str">
        <f>VLOOKUP(VPQ92,[13]AssetDetails_UEM!$A$3:$AH$1849,6,FALSE)</f>
        <v>Electrosurgical Units, Monopolar/Bipolar</v>
      </c>
      <c r="VPS92" s="165" t="s">
        <v>945</v>
      </c>
      <c r="VPT92" s="166" t="str">
        <f>VLOOKUP(VPS92,[13]AssetDetails_UEM!$A$3:$AH$1849,6,FALSE)</f>
        <v>Electrosurgical Units, Monopolar/Bipolar</v>
      </c>
      <c r="VPU92" s="165" t="s">
        <v>945</v>
      </c>
      <c r="VPV92" s="166" t="str">
        <f>VLOOKUP(VPU92,[13]AssetDetails_UEM!$A$3:$AH$1849,6,FALSE)</f>
        <v>Electrosurgical Units, Monopolar/Bipolar</v>
      </c>
      <c r="VPW92" s="165" t="s">
        <v>945</v>
      </c>
      <c r="VPX92" s="166" t="str">
        <f>VLOOKUP(VPW92,[13]AssetDetails_UEM!$A$3:$AH$1849,6,FALSE)</f>
        <v>Electrosurgical Units, Monopolar/Bipolar</v>
      </c>
      <c r="VPY92" s="165" t="s">
        <v>945</v>
      </c>
      <c r="VPZ92" s="166" t="str">
        <f>VLOOKUP(VPY92,[13]AssetDetails_UEM!$A$3:$AH$1849,6,FALSE)</f>
        <v>Electrosurgical Units, Monopolar/Bipolar</v>
      </c>
      <c r="VQA92" s="165" t="s">
        <v>945</v>
      </c>
      <c r="VQB92" s="166" t="str">
        <f>VLOOKUP(VQA92,[13]AssetDetails_UEM!$A$3:$AH$1849,6,FALSE)</f>
        <v>Electrosurgical Units, Monopolar/Bipolar</v>
      </c>
      <c r="VQC92" s="165" t="s">
        <v>945</v>
      </c>
      <c r="VQD92" s="166" t="str">
        <f>VLOOKUP(VQC92,[13]AssetDetails_UEM!$A$3:$AH$1849,6,FALSE)</f>
        <v>Electrosurgical Units, Monopolar/Bipolar</v>
      </c>
      <c r="VQE92" s="165" t="s">
        <v>945</v>
      </c>
      <c r="VQF92" s="166" t="str">
        <f>VLOOKUP(VQE92,[13]AssetDetails_UEM!$A$3:$AH$1849,6,FALSE)</f>
        <v>Electrosurgical Units, Monopolar/Bipolar</v>
      </c>
      <c r="VQG92" s="165" t="s">
        <v>945</v>
      </c>
      <c r="VQH92" s="166" t="str">
        <f>VLOOKUP(VQG92,[13]AssetDetails_UEM!$A$3:$AH$1849,6,FALSE)</f>
        <v>Electrosurgical Units, Monopolar/Bipolar</v>
      </c>
      <c r="VQI92" s="165" t="s">
        <v>945</v>
      </c>
      <c r="VQJ92" s="166" t="str">
        <f>VLOOKUP(VQI92,[13]AssetDetails_UEM!$A$3:$AH$1849,6,FALSE)</f>
        <v>Electrosurgical Units, Monopolar/Bipolar</v>
      </c>
      <c r="VQK92" s="165" t="s">
        <v>945</v>
      </c>
      <c r="VQL92" s="166" t="str">
        <f>VLOOKUP(VQK92,[13]AssetDetails_UEM!$A$3:$AH$1849,6,FALSE)</f>
        <v>Electrosurgical Units, Monopolar/Bipolar</v>
      </c>
      <c r="VQM92" s="165" t="s">
        <v>945</v>
      </c>
      <c r="VQN92" s="166" t="str">
        <f>VLOOKUP(VQM92,[13]AssetDetails_UEM!$A$3:$AH$1849,6,FALSE)</f>
        <v>Electrosurgical Units, Monopolar/Bipolar</v>
      </c>
      <c r="VQO92" s="165" t="s">
        <v>945</v>
      </c>
      <c r="VQP92" s="166" t="str">
        <f>VLOOKUP(VQO92,[13]AssetDetails_UEM!$A$3:$AH$1849,6,FALSE)</f>
        <v>Electrosurgical Units, Monopolar/Bipolar</v>
      </c>
      <c r="VQQ92" s="165" t="s">
        <v>945</v>
      </c>
      <c r="VQR92" s="166" t="str">
        <f>VLOOKUP(VQQ92,[13]AssetDetails_UEM!$A$3:$AH$1849,6,FALSE)</f>
        <v>Electrosurgical Units, Monopolar/Bipolar</v>
      </c>
      <c r="VQS92" s="165" t="s">
        <v>945</v>
      </c>
      <c r="VQT92" s="166" t="str">
        <f>VLOOKUP(VQS92,[13]AssetDetails_UEM!$A$3:$AH$1849,6,FALSE)</f>
        <v>Electrosurgical Units, Monopolar/Bipolar</v>
      </c>
      <c r="VQU92" s="165" t="s">
        <v>945</v>
      </c>
      <c r="VQV92" s="166" t="str">
        <f>VLOOKUP(VQU92,[13]AssetDetails_UEM!$A$3:$AH$1849,6,FALSE)</f>
        <v>Electrosurgical Units, Monopolar/Bipolar</v>
      </c>
      <c r="VQW92" s="165" t="s">
        <v>945</v>
      </c>
      <c r="VQX92" s="166" t="str">
        <f>VLOOKUP(VQW92,[13]AssetDetails_UEM!$A$3:$AH$1849,6,FALSE)</f>
        <v>Electrosurgical Units, Monopolar/Bipolar</v>
      </c>
      <c r="VQY92" s="165" t="s">
        <v>945</v>
      </c>
      <c r="VQZ92" s="166" t="str">
        <f>VLOOKUP(VQY92,[13]AssetDetails_UEM!$A$3:$AH$1849,6,FALSE)</f>
        <v>Electrosurgical Units, Monopolar/Bipolar</v>
      </c>
      <c r="VRA92" s="165" t="s">
        <v>945</v>
      </c>
      <c r="VRB92" s="166" t="str">
        <f>VLOOKUP(VRA92,[13]AssetDetails_UEM!$A$3:$AH$1849,6,FALSE)</f>
        <v>Electrosurgical Units, Monopolar/Bipolar</v>
      </c>
      <c r="VRC92" s="165" t="s">
        <v>945</v>
      </c>
      <c r="VRD92" s="166" t="str">
        <f>VLOOKUP(VRC92,[13]AssetDetails_UEM!$A$3:$AH$1849,6,FALSE)</f>
        <v>Electrosurgical Units, Monopolar/Bipolar</v>
      </c>
      <c r="VRE92" s="165" t="s">
        <v>945</v>
      </c>
      <c r="VRF92" s="166" t="str">
        <f>VLOOKUP(VRE92,[13]AssetDetails_UEM!$A$3:$AH$1849,6,FALSE)</f>
        <v>Electrosurgical Units, Monopolar/Bipolar</v>
      </c>
      <c r="VRG92" s="165" t="s">
        <v>945</v>
      </c>
      <c r="VRH92" s="166" t="str">
        <f>VLOOKUP(VRG92,[13]AssetDetails_UEM!$A$3:$AH$1849,6,FALSE)</f>
        <v>Electrosurgical Units, Monopolar/Bipolar</v>
      </c>
      <c r="VRI92" s="165" t="s">
        <v>945</v>
      </c>
      <c r="VRJ92" s="166" t="str">
        <f>VLOOKUP(VRI92,[13]AssetDetails_UEM!$A$3:$AH$1849,6,FALSE)</f>
        <v>Electrosurgical Units, Monopolar/Bipolar</v>
      </c>
      <c r="VRK92" s="165" t="s">
        <v>945</v>
      </c>
      <c r="VRL92" s="166" t="str">
        <f>VLOOKUP(VRK92,[13]AssetDetails_UEM!$A$3:$AH$1849,6,FALSE)</f>
        <v>Electrosurgical Units, Monopolar/Bipolar</v>
      </c>
      <c r="VRM92" s="165" t="s">
        <v>945</v>
      </c>
      <c r="VRN92" s="166" t="str">
        <f>VLOOKUP(VRM92,[13]AssetDetails_UEM!$A$3:$AH$1849,6,FALSE)</f>
        <v>Electrosurgical Units, Monopolar/Bipolar</v>
      </c>
      <c r="VRO92" s="165" t="s">
        <v>945</v>
      </c>
      <c r="VRP92" s="166" t="str">
        <f>VLOOKUP(VRO92,[13]AssetDetails_UEM!$A$3:$AH$1849,6,FALSE)</f>
        <v>Electrosurgical Units, Monopolar/Bipolar</v>
      </c>
      <c r="VRQ92" s="165" t="s">
        <v>945</v>
      </c>
      <c r="VRR92" s="166" t="str">
        <f>VLOOKUP(VRQ92,[13]AssetDetails_UEM!$A$3:$AH$1849,6,FALSE)</f>
        <v>Electrosurgical Units, Monopolar/Bipolar</v>
      </c>
      <c r="VRS92" s="165" t="s">
        <v>945</v>
      </c>
      <c r="VRT92" s="166" t="str">
        <f>VLOOKUP(VRS92,[13]AssetDetails_UEM!$A$3:$AH$1849,6,FALSE)</f>
        <v>Electrosurgical Units, Monopolar/Bipolar</v>
      </c>
      <c r="VRU92" s="165" t="s">
        <v>945</v>
      </c>
      <c r="VRV92" s="166" t="str">
        <f>VLOOKUP(VRU92,[13]AssetDetails_UEM!$A$3:$AH$1849,6,FALSE)</f>
        <v>Electrosurgical Units, Monopolar/Bipolar</v>
      </c>
      <c r="VRW92" s="165" t="s">
        <v>945</v>
      </c>
      <c r="VRX92" s="166" t="str">
        <f>VLOOKUP(VRW92,[13]AssetDetails_UEM!$A$3:$AH$1849,6,FALSE)</f>
        <v>Electrosurgical Units, Monopolar/Bipolar</v>
      </c>
      <c r="VRY92" s="165" t="s">
        <v>945</v>
      </c>
      <c r="VRZ92" s="166" t="str">
        <f>VLOOKUP(VRY92,[13]AssetDetails_UEM!$A$3:$AH$1849,6,FALSE)</f>
        <v>Electrosurgical Units, Monopolar/Bipolar</v>
      </c>
      <c r="VSA92" s="165" t="s">
        <v>945</v>
      </c>
      <c r="VSB92" s="166" t="str">
        <f>VLOOKUP(VSA92,[13]AssetDetails_UEM!$A$3:$AH$1849,6,FALSE)</f>
        <v>Electrosurgical Units, Monopolar/Bipolar</v>
      </c>
      <c r="VSC92" s="165" t="s">
        <v>945</v>
      </c>
      <c r="VSD92" s="166" t="str">
        <f>VLOOKUP(VSC92,[13]AssetDetails_UEM!$A$3:$AH$1849,6,FALSE)</f>
        <v>Electrosurgical Units, Monopolar/Bipolar</v>
      </c>
      <c r="VSE92" s="165" t="s">
        <v>945</v>
      </c>
      <c r="VSF92" s="166" t="str">
        <f>VLOOKUP(VSE92,[13]AssetDetails_UEM!$A$3:$AH$1849,6,FALSE)</f>
        <v>Electrosurgical Units, Monopolar/Bipolar</v>
      </c>
      <c r="VSG92" s="165" t="s">
        <v>945</v>
      </c>
      <c r="VSH92" s="166" t="str">
        <f>VLOOKUP(VSG92,[13]AssetDetails_UEM!$A$3:$AH$1849,6,FALSE)</f>
        <v>Electrosurgical Units, Monopolar/Bipolar</v>
      </c>
      <c r="VSI92" s="165" t="s">
        <v>945</v>
      </c>
      <c r="VSJ92" s="166" t="str">
        <f>VLOOKUP(VSI92,[13]AssetDetails_UEM!$A$3:$AH$1849,6,FALSE)</f>
        <v>Electrosurgical Units, Monopolar/Bipolar</v>
      </c>
      <c r="VSK92" s="165" t="s">
        <v>945</v>
      </c>
      <c r="VSL92" s="166" t="str">
        <f>VLOOKUP(VSK92,[13]AssetDetails_UEM!$A$3:$AH$1849,6,FALSE)</f>
        <v>Electrosurgical Units, Monopolar/Bipolar</v>
      </c>
      <c r="VSM92" s="165" t="s">
        <v>945</v>
      </c>
      <c r="VSN92" s="166" t="str">
        <f>VLOOKUP(VSM92,[13]AssetDetails_UEM!$A$3:$AH$1849,6,FALSE)</f>
        <v>Electrosurgical Units, Monopolar/Bipolar</v>
      </c>
      <c r="VSO92" s="165" t="s">
        <v>945</v>
      </c>
      <c r="VSP92" s="166" t="str">
        <f>VLOOKUP(VSO92,[13]AssetDetails_UEM!$A$3:$AH$1849,6,FALSE)</f>
        <v>Electrosurgical Units, Monopolar/Bipolar</v>
      </c>
      <c r="VSQ92" s="165" t="s">
        <v>945</v>
      </c>
      <c r="VSR92" s="166" t="str">
        <f>VLOOKUP(VSQ92,[13]AssetDetails_UEM!$A$3:$AH$1849,6,FALSE)</f>
        <v>Electrosurgical Units, Monopolar/Bipolar</v>
      </c>
      <c r="VSS92" s="165" t="s">
        <v>945</v>
      </c>
      <c r="VST92" s="166" t="str">
        <f>VLOOKUP(VSS92,[13]AssetDetails_UEM!$A$3:$AH$1849,6,FALSE)</f>
        <v>Electrosurgical Units, Monopolar/Bipolar</v>
      </c>
      <c r="VSU92" s="165" t="s">
        <v>945</v>
      </c>
      <c r="VSV92" s="166" t="str">
        <f>VLOOKUP(VSU92,[13]AssetDetails_UEM!$A$3:$AH$1849,6,FALSE)</f>
        <v>Electrosurgical Units, Monopolar/Bipolar</v>
      </c>
      <c r="VSW92" s="165" t="s">
        <v>945</v>
      </c>
      <c r="VSX92" s="166" t="str">
        <f>VLOOKUP(VSW92,[13]AssetDetails_UEM!$A$3:$AH$1849,6,FALSE)</f>
        <v>Electrosurgical Units, Monopolar/Bipolar</v>
      </c>
      <c r="VSY92" s="165" t="s">
        <v>945</v>
      </c>
      <c r="VSZ92" s="166" t="str">
        <f>VLOOKUP(VSY92,[13]AssetDetails_UEM!$A$3:$AH$1849,6,FALSE)</f>
        <v>Electrosurgical Units, Monopolar/Bipolar</v>
      </c>
      <c r="VTA92" s="165" t="s">
        <v>945</v>
      </c>
      <c r="VTB92" s="166" t="str">
        <f>VLOOKUP(VTA92,[13]AssetDetails_UEM!$A$3:$AH$1849,6,FALSE)</f>
        <v>Electrosurgical Units, Monopolar/Bipolar</v>
      </c>
      <c r="VTC92" s="165" t="s">
        <v>945</v>
      </c>
      <c r="VTD92" s="166" t="str">
        <f>VLOOKUP(VTC92,[13]AssetDetails_UEM!$A$3:$AH$1849,6,FALSE)</f>
        <v>Electrosurgical Units, Monopolar/Bipolar</v>
      </c>
      <c r="VTE92" s="165" t="s">
        <v>945</v>
      </c>
      <c r="VTF92" s="166" t="str">
        <f>VLOOKUP(VTE92,[13]AssetDetails_UEM!$A$3:$AH$1849,6,FALSE)</f>
        <v>Electrosurgical Units, Monopolar/Bipolar</v>
      </c>
      <c r="VTG92" s="165" t="s">
        <v>945</v>
      </c>
      <c r="VTH92" s="166" t="str">
        <f>VLOOKUP(VTG92,[13]AssetDetails_UEM!$A$3:$AH$1849,6,FALSE)</f>
        <v>Electrosurgical Units, Monopolar/Bipolar</v>
      </c>
      <c r="VTI92" s="165" t="s">
        <v>945</v>
      </c>
      <c r="VTJ92" s="166" t="str">
        <f>VLOOKUP(VTI92,[13]AssetDetails_UEM!$A$3:$AH$1849,6,FALSE)</f>
        <v>Electrosurgical Units, Monopolar/Bipolar</v>
      </c>
      <c r="VTK92" s="165" t="s">
        <v>945</v>
      </c>
      <c r="VTL92" s="166" t="str">
        <f>VLOOKUP(VTK92,[13]AssetDetails_UEM!$A$3:$AH$1849,6,FALSE)</f>
        <v>Electrosurgical Units, Monopolar/Bipolar</v>
      </c>
      <c r="VTM92" s="165" t="s">
        <v>945</v>
      </c>
      <c r="VTN92" s="166" t="str">
        <f>VLOOKUP(VTM92,[13]AssetDetails_UEM!$A$3:$AH$1849,6,FALSE)</f>
        <v>Electrosurgical Units, Monopolar/Bipolar</v>
      </c>
      <c r="VTO92" s="165" t="s">
        <v>945</v>
      </c>
      <c r="VTP92" s="166" t="str">
        <f>VLOOKUP(VTO92,[13]AssetDetails_UEM!$A$3:$AH$1849,6,FALSE)</f>
        <v>Electrosurgical Units, Monopolar/Bipolar</v>
      </c>
      <c r="VTQ92" s="165" t="s">
        <v>945</v>
      </c>
      <c r="VTR92" s="166" t="str">
        <f>VLOOKUP(VTQ92,[13]AssetDetails_UEM!$A$3:$AH$1849,6,FALSE)</f>
        <v>Electrosurgical Units, Monopolar/Bipolar</v>
      </c>
      <c r="VTS92" s="165" t="s">
        <v>945</v>
      </c>
      <c r="VTT92" s="166" t="str">
        <f>VLOOKUP(VTS92,[13]AssetDetails_UEM!$A$3:$AH$1849,6,FALSE)</f>
        <v>Electrosurgical Units, Monopolar/Bipolar</v>
      </c>
      <c r="VTU92" s="165" t="s">
        <v>945</v>
      </c>
      <c r="VTV92" s="166" t="str">
        <f>VLOOKUP(VTU92,[13]AssetDetails_UEM!$A$3:$AH$1849,6,FALSE)</f>
        <v>Electrosurgical Units, Monopolar/Bipolar</v>
      </c>
      <c r="VTW92" s="165" t="s">
        <v>945</v>
      </c>
      <c r="VTX92" s="166" t="str">
        <f>VLOOKUP(VTW92,[13]AssetDetails_UEM!$A$3:$AH$1849,6,FALSE)</f>
        <v>Electrosurgical Units, Monopolar/Bipolar</v>
      </c>
      <c r="VTY92" s="165" t="s">
        <v>945</v>
      </c>
      <c r="VTZ92" s="166" t="str">
        <f>VLOOKUP(VTY92,[13]AssetDetails_UEM!$A$3:$AH$1849,6,FALSE)</f>
        <v>Electrosurgical Units, Monopolar/Bipolar</v>
      </c>
      <c r="VUA92" s="165" t="s">
        <v>945</v>
      </c>
      <c r="VUB92" s="166" t="str">
        <f>VLOOKUP(VUA92,[13]AssetDetails_UEM!$A$3:$AH$1849,6,FALSE)</f>
        <v>Electrosurgical Units, Monopolar/Bipolar</v>
      </c>
      <c r="VUC92" s="165" t="s">
        <v>945</v>
      </c>
      <c r="VUD92" s="166" t="str">
        <f>VLOOKUP(VUC92,[13]AssetDetails_UEM!$A$3:$AH$1849,6,FALSE)</f>
        <v>Electrosurgical Units, Monopolar/Bipolar</v>
      </c>
      <c r="VUE92" s="165" t="s">
        <v>945</v>
      </c>
      <c r="VUF92" s="166" t="str">
        <f>VLOOKUP(VUE92,[13]AssetDetails_UEM!$A$3:$AH$1849,6,FALSE)</f>
        <v>Electrosurgical Units, Monopolar/Bipolar</v>
      </c>
      <c r="VUG92" s="165" t="s">
        <v>945</v>
      </c>
      <c r="VUH92" s="166" t="str">
        <f>VLOOKUP(VUG92,[13]AssetDetails_UEM!$A$3:$AH$1849,6,FALSE)</f>
        <v>Electrosurgical Units, Monopolar/Bipolar</v>
      </c>
      <c r="VUI92" s="165" t="s">
        <v>945</v>
      </c>
      <c r="VUJ92" s="166" t="str">
        <f>VLOOKUP(VUI92,[13]AssetDetails_UEM!$A$3:$AH$1849,6,FALSE)</f>
        <v>Electrosurgical Units, Monopolar/Bipolar</v>
      </c>
      <c r="VUK92" s="165" t="s">
        <v>945</v>
      </c>
      <c r="VUL92" s="166" t="str">
        <f>VLOOKUP(VUK92,[13]AssetDetails_UEM!$A$3:$AH$1849,6,FALSE)</f>
        <v>Electrosurgical Units, Monopolar/Bipolar</v>
      </c>
      <c r="VUM92" s="165" t="s">
        <v>945</v>
      </c>
      <c r="VUN92" s="166" t="str">
        <f>VLOOKUP(VUM92,[13]AssetDetails_UEM!$A$3:$AH$1849,6,FALSE)</f>
        <v>Electrosurgical Units, Monopolar/Bipolar</v>
      </c>
      <c r="VUO92" s="165" t="s">
        <v>945</v>
      </c>
      <c r="VUP92" s="166" t="str">
        <f>VLOOKUP(VUO92,[13]AssetDetails_UEM!$A$3:$AH$1849,6,FALSE)</f>
        <v>Electrosurgical Units, Monopolar/Bipolar</v>
      </c>
      <c r="VUQ92" s="165" t="s">
        <v>945</v>
      </c>
      <c r="VUR92" s="166" t="str">
        <f>VLOOKUP(VUQ92,[13]AssetDetails_UEM!$A$3:$AH$1849,6,FALSE)</f>
        <v>Electrosurgical Units, Monopolar/Bipolar</v>
      </c>
      <c r="VUS92" s="165" t="s">
        <v>945</v>
      </c>
      <c r="VUT92" s="166" t="str">
        <f>VLOOKUP(VUS92,[13]AssetDetails_UEM!$A$3:$AH$1849,6,FALSE)</f>
        <v>Electrosurgical Units, Monopolar/Bipolar</v>
      </c>
      <c r="VUU92" s="165" t="s">
        <v>945</v>
      </c>
      <c r="VUV92" s="166" t="str">
        <f>VLOOKUP(VUU92,[13]AssetDetails_UEM!$A$3:$AH$1849,6,FALSE)</f>
        <v>Electrosurgical Units, Monopolar/Bipolar</v>
      </c>
      <c r="VUW92" s="165" t="s">
        <v>945</v>
      </c>
      <c r="VUX92" s="166" t="str">
        <f>VLOOKUP(VUW92,[13]AssetDetails_UEM!$A$3:$AH$1849,6,FALSE)</f>
        <v>Electrosurgical Units, Monopolar/Bipolar</v>
      </c>
      <c r="VUY92" s="165" t="s">
        <v>945</v>
      </c>
      <c r="VUZ92" s="166" t="str">
        <f>VLOOKUP(VUY92,[13]AssetDetails_UEM!$A$3:$AH$1849,6,FALSE)</f>
        <v>Electrosurgical Units, Monopolar/Bipolar</v>
      </c>
      <c r="VVA92" s="165" t="s">
        <v>945</v>
      </c>
      <c r="VVB92" s="166" t="str">
        <f>VLOOKUP(VVA92,[13]AssetDetails_UEM!$A$3:$AH$1849,6,FALSE)</f>
        <v>Electrosurgical Units, Monopolar/Bipolar</v>
      </c>
      <c r="VVC92" s="165" t="s">
        <v>945</v>
      </c>
      <c r="VVD92" s="166" t="str">
        <f>VLOOKUP(VVC92,[13]AssetDetails_UEM!$A$3:$AH$1849,6,FALSE)</f>
        <v>Electrosurgical Units, Monopolar/Bipolar</v>
      </c>
      <c r="VVE92" s="165" t="s">
        <v>945</v>
      </c>
      <c r="VVF92" s="166" t="str">
        <f>VLOOKUP(VVE92,[13]AssetDetails_UEM!$A$3:$AH$1849,6,FALSE)</f>
        <v>Electrosurgical Units, Monopolar/Bipolar</v>
      </c>
      <c r="VVG92" s="165" t="s">
        <v>945</v>
      </c>
      <c r="VVH92" s="166" t="str">
        <f>VLOOKUP(VVG92,[13]AssetDetails_UEM!$A$3:$AH$1849,6,FALSE)</f>
        <v>Electrosurgical Units, Monopolar/Bipolar</v>
      </c>
      <c r="VVI92" s="165" t="s">
        <v>945</v>
      </c>
      <c r="VVJ92" s="166" t="str">
        <f>VLOOKUP(VVI92,[13]AssetDetails_UEM!$A$3:$AH$1849,6,FALSE)</f>
        <v>Electrosurgical Units, Monopolar/Bipolar</v>
      </c>
      <c r="VVK92" s="165" t="s">
        <v>945</v>
      </c>
      <c r="VVL92" s="166" t="str">
        <f>VLOOKUP(VVK92,[13]AssetDetails_UEM!$A$3:$AH$1849,6,FALSE)</f>
        <v>Electrosurgical Units, Monopolar/Bipolar</v>
      </c>
      <c r="VVM92" s="165" t="s">
        <v>945</v>
      </c>
      <c r="VVN92" s="166" t="str">
        <f>VLOOKUP(VVM92,[13]AssetDetails_UEM!$A$3:$AH$1849,6,FALSE)</f>
        <v>Electrosurgical Units, Monopolar/Bipolar</v>
      </c>
      <c r="VVO92" s="165" t="s">
        <v>945</v>
      </c>
      <c r="VVP92" s="166" t="str">
        <f>VLOOKUP(VVO92,[13]AssetDetails_UEM!$A$3:$AH$1849,6,FALSE)</f>
        <v>Electrosurgical Units, Monopolar/Bipolar</v>
      </c>
      <c r="VVQ92" s="165" t="s">
        <v>945</v>
      </c>
      <c r="VVR92" s="166" t="str">
        <f>VLOOKUP(VVQ92,[13]AssetDetails_UEM!$A$3:$AH$1849,6,FALSE)</f>
        <v>Electrosurgical Units, Monopolar/Bipolar</v>
      </c>
      <c r="VVS92" s="165" t="s">
        <v>945</v>
      </c>
      <c r="VVT92" s="166" t="str">
        <f>VLOOKUP(VVS92,[13]AssetDetails_UEM!$A$3:$AH$1849,6,FALSE)</f>
        <v>Electrosurgical Units, Monopolar/Bipolar</v>
      </c>
      <c r="VVU92" s="165" t="s">
        <v>945</v>
      </c>
      <c r="VVV92" s="166" t="str">
        <f>VLOOKUP(VVU92,[13]AssetDetails_UEM!$A$3:$AH$1849,6,FALSE)</f>
        <v>Electrosurgical Units, Monopolar/Bipolar</v>
      </c>
      <c r="VVW92" s="165" t="s">
        <v>945</v>
      </c>
      <c r="VVX92" s="166" t="str">
        <f>VLOOKUP(VVW92,[13]AssetDetails_UEM!$A$3:$AH$1849,6,FALSE)</f>
        <v>Electrosurgical Units, Monopolar/Bipolar</v>
      </c>
      <c r="VVY92" s="165" t="s">
        <v>945</v>
      </c>
      <c r="VVZ92" s="166" t="str">
        <f>VLOOKUP(VVY92,[13]AssetDetails_UEM!$A$3:$AH$1849,6,FALSE)</f>
        <v>Electrosurgical Units, Monopolar/Bipolar</v>
      </c>
      <c r="VWA92" s="165" t="s">
        <v>945</v>
      </c>
      <c r="VWB92" s="166" t="str">
        <f>VLOOKUP(VWA92,[13]AssetDetails_UEM!$A$3:$AH$1849,6,FALSE)</f>
        <v>Electrosurgical Units, Monopolar/Bipolar</v>
      </c>
      <c r="VWC92" s="165" t="s">
        <v>945</v>
      </c>
      <c r="VWD92" s="166" t="str">
        <f>VLOOKUP(VWC92,[13]AssetDetails_UEM!$A$3:$AH$1849,6,FALSE)</f>
        <v>Electrosurgical Units, Monopolar/Bipolar</v>
      </c>
      <c r="VWE92" s="165" t="s">
        <v>945</v>
      </c>
      <c r="VWF92" s="166" t="str">
        <f>VLOOKUP(VWE92,[13]AssetDetails_UEM!$A$3:$AH$1849,6,FALSE)</f>
        <v>Electrosurgical Units, Monopolar/Bipolar</v>
      </c>
      <c r="VWG92" s="165" t="s">
        <v>945</v>
      </c>
      <c r="VWH92" s="166" t="str">
        <f>VLOOKUP(VWG92,[13]AssetDetails_UEM!$A$3:$AH$1849,6,FALSE)</f>
        <v>Electrosurgical Units, Monopolar/Bipolar</v>
      </c>
      <c r="VWI92" s="165" t="s">
        <v>945</v>
      </c>
      <c r="VWJ92" s="166" t="str">
        <f>VLOOKUP(VWI92,[13]AssetDetails_UEM!$A$3:$AH$1849,6,FALSE)</f>
        <v>Electrosurgical Units, Monopolar/Bipolar</v>
      </c>
      <c r="VWK92" s="165" t="s">
        <v>945</v>
      </c>
      <c r="VWL92" s="166" t="str">
        <f>VLOOKUP(VWK92,[13]AssetDetails_UEM!$A$3:$AH$1849,6,FALSE)</f>
        <v>Electrosurgical Units, Monopolar/Bipolar</v>
      </c>
      <c r="VWM92" s="165" t="s">
        <v>945</v>
      </c>
      <c r="VWN92" s="166" t="str">
        <f>VLOOKUP(VWM92,[13]AssetDetails_UEM!$A$3:$AH$1849,6,FALSE)</f>
        <v>Electrosurgical Units, Monopolar/Bipolar</v>
      </c>
      <c r="VWO92" s="165" t="s">
        <v>945</v>
      </c>
      <c r="VWP92" s="166" t="str">
        <f>VLOOKUP(VWO92,[13]AssetDetails_UEM!$A$3:$AH$1849,6,FALSE)</f>
        <v>Electrosurgical Units, Monopolar/Bipolar</v>
      </c>
      <c r="VWQ92" s="165" t="s">
        <v>945</v>
      </c>
      <c r="VWR92" s="166" t="str">
        <f>VLOOKUP(VWQ92,[13]AssetDetails_UEM!$A$3:$AH$1849,6,FALSE)</f>
        <v>Electrosurgical Units, Monopolar/Bipolar</v>
      </c>
      <c r="VWS92" s="165" t="s">
        <v>945</v>
      </c>
      <c r="VWT92" s="166" t="str">
        <f>VLOOKUP(VWS92,[13]AssetDetails_UEM!$A$3:$AH$1849,6,FALSE)</f>
        <v>Electrosurgical Units, Monopolar/Bipolar</v>
      </c>
      <c r="VWU92" s="165" t="s">
        <v>945</v>
      </c>
      <c r="VWV92" s="166" t="str">
        <f>VLOOKUP(VWU92,[13]AssetDetails_UEM!$A$3:$AH$1849,6,FALSE)</f>
        <v>Electrosurgical Units, Monopolar/Bipolar</v>
      </c>
      <c r="VWW92" s="165" t="s">
        <v>945</v>
      </c>
      <c r="VWX92" s="166" t="str">
        <f>VLOOKUP(VWW92,[13]AssetDetails_UEM!$A$3:$AH$1849,6,FALSE)</f>
        <v>Electrosurgical Units, Monopolar/Bipolar</v>
      </c>
      <c r="VWY92" s="165" t="s">
        <v>945</v>
      </c>
      <c r="VWZ92" s="166" t="str">
        <f>VLOOKUP(VWY92,[13]AssetDetails_UEM!$A$3:$AH$1849,6,FALSE)</f>
        <v>Electrosurgical Units, Monopolar/Bipolar</v>
      </c>
      <c r="VXA92" s="165" t="s">
        <v>945</v>
      </c>
      <c r="VXB92" s="166" t="str">
        <f>VLOOKUP(VXA92,[13]AssetDetails_UEM!$A$3:$AH$1849,6,FALSE)</f>
        <v>Electrosurgical Units, Monopolar/Bipolar</v>
      </c>
      <c r="VXC92" s="165" t="s">
        <v>945</v>
      </c>
      <c r="VXD92" s="166" t="str">
        <f>VLOOKUP(VXC92,[13]AssetDetails_UEM!$A$3:$AH$1849,6,FALSE)</f>
        <v>Electrosurgical Units, Monopolar/Bipolar</v>
      </c>
      <c r="VXE92" s="165" t="s">
        <v>945</v>
      </c>
      <c r="VXF92" s="166" t="str">
        <f>VLOOKUP(VXE92,[13]AssetDetails_UEM!$A$3:$AH$1849,6,FALSE)</f>
        <v>Electrosurgical Units, Monopolar/Bipolar</v>
      </c>
      <c r="VXG92" s="165" t="s">
        <v>945</v>
      </c>
      <c r="VXH92" s="166" t="str">
        <f>VLOOKUP(VXG92,[13]AssetDetails_UEM!$A$3:$AH$1849,6,FALSE)</f>
        <v>Electrosurgical Units, Monopolar/Bipolar</v>
      </c>
      <c r="VXI92" s="165" t="s">
        <v>945</v>
      </c>
      <c r="VXJ92" s="166" t="str">
        <f>VLOOKUP(VXI92,[13]AssetDetails_UEM!$A$3:$AH$1849,6,FALSE)</f>
        <v>Electrosurgical Units, Monopolar/Bipolar</v>
      </c>
      <c r="VXK92" s="165" t="s">
        <v>945</v>
      </c>
      <c r="VXL92" s="166" t="str">
        <f>VLOOKUP(VXK92,[13]AssetDetails_UEM!$A$3:$AH$1849,6,FALSE)</f>
        <v>Electrosurgical Units, Monopolar/Bipolar</v>
      </c>
      <c r="VXM92" s="165" t="s">
        <v>945</v>
      </c>
      <c r="VXN92" s="166" t="str">
        <f>VLOOKUP(VXM92,[13]AssetDetails_UEM!$A$3:$AH$1849,6,FALSE)</f>
        <v>Electrosurgical Units, Monopolar/Bipolar</v>
      </c>
      <c r="VXO92" s="165" t="s">
        <v>945</v>
      </c>
      <c r="VXP92" s="166" t="str">
        <f>VLOOKUP(VXO92,[13]AssetDetails_UEM!$A$3:$AH$1849,6,FALSE)</f>
        <v>Electrosurgical Units, Monopolar/Bipolar</v>
      </c>
      <c r="VXQ92" s="165" t="s">
        <v>945</v>
      </c>
      <c r="VXR92" s="166" t="str">
        <f>VLOOKUP(VXQ92,[13]AssetDetails_UEM!$A$3:$AH$1849,6,FALSE)</f>
        <v>Electrosurgical Units, Monopolar/Bipolar</v>
      </c>
      <c r="VXS92" s="165" t="s">
        <v>945</v>
      </c>
      <c r="VXT92" s="166" t="str">
        <f>VLOOKUP(VXS92,[13]AssetDetails_UEM!$A$3:$AH$1849,6,FALSE)</f>
        <v>Electrosurgical Units, Monopolar/Bipolar</v>
      </c>
      <c r="VXU92" s="165" t="s">
        <v>945</v>
      </c>
      <c r="VXV92" s="166" t="str">
        <f>VLOOKUP(VXU92,[13]AssetDetails_UEM!$A$3:$AH$1849,6,FALSE)</f>
        <v>Electrosurgical Units, Monopolar/Bipolar</v>
      </c>
      <c r="VXW92" s="165" t="s">
        <v>945</v>
      </c>
      <c r="VXX92" s="166" t="str">
        <f>VLOOKUP(VXW92,[13]AssetDetails_UEM!$A$3:$AH$1849,6,FALSE)</f>
        <v>Electrosurgical Units, Monopolar/Bipolar</v>
      </c>
      <c r="VXY92" s="165" t="s">
        <v>945</v>
      </c>
      <c r="VXZ92" s="166" t="str">
        <f>VLOOKUP(VXY92,[13]AssetDetails_UEM!$A$3:$AH$1849,6,FALSE)</f>
        <v>Electrosurgical Units, Monopolar/Bipolar</v>
      </c>
      <c r="VYA92" s="165" t="s">
        <v>945</v>
      </c>
      <c r="VYB92" s="166" t="str">
        <f>VLOOKUP(VYA92,[13]AssetDetails_UEM!$A$3:$AH$1849,6,FALSE)</f>
        <v>Electrosurgical Units, Monopolar/Bipolar</v>
      </c>
      <c r="VYC92" s="165" t="s">
        <v>945</v>
      </c>
      <c r="VYD92" s="166" t="str">
        <f>VLOOKUP(VYC92,[13]AssetDetails_UEM!$A$3:$AH$1849,6,FALSE)</f>
        <v>Electrosurgical Units, Monopolar/Bipolar</v>
      </c>
      <c r="VYE92" s="165" t="s">
        <v>945</v>
      </c>
      <c r="VYF92" s="166" t="str">
        <f>VLOOKUP(VYE92,[13]AssetDetails_UEM!$A$3:$AH$1849,6,FALSE)</f>
        <v>Electrosurgical Units, Monopolar/Bipolar</v>
      </c>
      <c r="VYG92" s="165" t="s">
        <v>945</v>
      </c>
      <c r="VYH92" s="166" t="str">
        <f>VLOOKUP(VYG92,[13]AssetDetails_UEM!$A$3:$AH$1849,6,FALSE)</f>
        <v>Electrosurgical Units, Monopolar/Bipolar</v>
      </c>
      <c r="VYI92" s="165" t="s">
        <v>945</v>
      </c>
      <c r="VYJ92" s="166" t="str">
        <f>VLOOKUP(VYI92,[13]AssetDetails_UEM!$A$3:$AH$1849,6,FALSE)</f>
        <v>Electrosurgical Units, Monopolar/Bipolar</v>
      </c>
      <c r="VYK92" s="165" t="s">
        <v>945</v>
      </c>
      <c r="VYL92" s="166" t="str">
        <f>VLOOKUP(VYK92,[13]AssetDetails_UEM!$A$3:$AH$1849,6,FALSE)</f>
        <v>Electrosurgical Units, Monopolar/Bipolar</v>
      </c>
      <c r="VYM92" s="165" t="s">
        <v>945</v>
      </c>
      <c r="VYN92" s="166" t="str">
        <f>VLOOKUP(VYM92,[13]AssetDetails_UEM!$A$3:$AH$1849,6,FALSE)</f>
        <v>Electrosurgical Units, Monopolar/Bipolar</v>
      </c>
      <c r="VYO92" s="165" t="s">
        <v>945</v>
      </c>
      <c r="VYP92" s="166" t="str">
        <f>VLOOKUP(VYO92,[13]AssetDetails_UEM!$A$3:$AH$1849,6,FALSE)</f>
        <v>Electrosurgical Units, Monopolar/Bipolar</v>
      </c>
      <c r="VYQ92" s="165" t="s">
        <v>945</v>
      </c>
      <c r="VYR92" s="166" t="str">
        <f>VLOOKUP(VYQ92,[13]AssetDetails_UEM!$A$3:$AH$1849,6,FALSE)</f>
        <v>Electrosurgical Units, Monopolar/Bipolar</v>
      </c>
      <c r="VYS92" s="165" t="s">
        <v>945</v>
      </c>
      <c r="VYT92" s="166" t="str">
        <f>VLOOKUP(VYS92,[13]AssetDetails_UEM!$A$3:$AH$1849,6,FALSE)</f>
        <v>Electrosurgical Units, Monopolar/Bipolar</v>
      </c>
      <c r="VYU92" s="165" t="s">
        <v>945</v>
      </c>
      <c r="VYV92" s="166" t="str">
        <f>VLOOKUP(VYU92,[13]AssetDetails_UEM!$A$3:$AH$1849,6,FALSE)</f>
        <v>Electrosurgical Units, Monopolar/Bipolar</v>
      </c>
      <c r="VYW92" s="165" t="s">
        <v>945</v>
      </c>
      <c r="VYX92" s="166" t="str">
        <f>VLOOKUP(VYW92,[13]AssetDetails_UEM!$A$3:$AH$1849,6,FALSE)</f>
        <v>Electrosurgical Units, Monopolar/Bipolar</v>
      </c>
      <c r="VYY92" s="165" t="s">
        <v>945</v>
      </c>
      <c r="VYZ92" s="166" t="str">
        <f>VLOOKUP(VYY92,[13]AssetDetails_UEM!$A$3:$AH$1849,6,FALSE)</f>
        <v>Electrosurgical Units, Monopolar/Bipolar</v>
      </c>
      <c r="VZA92" s="165" t="s">
        <v>945</v>
      </c>
      <c r="VZB92" s="166" t="str">
        <f>VLOOKUP(VZA92,[13]AssetDetails_UEM!$A$3:$AH$1849,6,FALSE)</f>
        <v>Electrosurgical Units, Monopolar/Bipolar</v>
      </c>
      <c r="VZC92" s="165" t="s">
        <v>945</v>
      </c>
      <c r="VZD92" s="166" t="str">
        <f>VLOOKUP(VZC92,[13]AssetDetails_UEM!$A$3:$AH$1849,6,FALSE)</f>
        <v>Electrosurgical Units, Monopolar/Bipolar</v>
      </c>
      <c r="VZE92" s="165" t="s">
        <v>945</v>
      </c>
      <c r="VZF92" s="166" t="str">
        <f>VLOOKUP(VZE92,[13]AssetDetails_UEM!$A$3:$AH$1849,6,FALSE)</f>
        <v>Electrosurgical Units, Monopolar/Bipolar</v>
      </c>
      <c r="VZG92" s="165" t="s">
        <v>945</v>
      </c>
      <c r="VZH92" s="166" t="str">
        <f>VLOOKUP(VZG92,[13]AssetDetails_UEM!$A$3:$AH$1849,6,FALSE)</f>
        <v>Electrosurgical Units, Monopolar/Bipolar</v>
      </c>
      <c r="VZI92" s="165" t="s">
        <v>945</v>
      </c>
      <c r="VZJ92" s="166" t="str">
        <f>VLOOKUP(VZI92,[13]AssetDetails_UEM!$A$3:$AH$1849,6,FALSE)</f>
        <v>Electrosurgical Units, Monopolar/Bipolar</v>
      </c>
      <c r="VZK92" s="165" t="s">
        <v>945</v>
      </c>
      <c r="VZL92" s="166" t="str">
        <f>VLOOKUP(VZK92,[13]AssetDetails_UEM!$A$3:$AH$1849,6,FALSE)</f>
        <v>Electrosurgical Units, Monopolar/Bipolar</v>
      </c>
      <c r="VZM92" s="165" t="s">
        <v>945</v>
      </c>
      <c r="VZN92" s="166" t="str">
        <f>VLOOKUP(VZM92,[13]AssetDetails_UEM!$A$3:$AH$1849,6,FALSE)</f>
        <v>Electrosurgical Units, Monopolar/Bipolar</v>
      </c>
      <c r="VZO92" s="165" t="s">
        <v>945</v>
      </c>
      <c r="VZP92" s="166" t="str">
        <f>VLOOKUP(VZO92,[13]AssetDetails_UEM!$A$3:$AH$1849,6,FALSE)</f>
        <v>Electrosurgical Units, Monopolar/Bipolar</v>
      </c>
      <c r="VZQ92" s="165" t="s">
        <v>945</v>
      </c>
      <c r="VZR92" s="166" t="str">
        <f>VLOOKUP(VZQ92,[13]AssetDetails_UEM!$A$3:$AH$1849,6,FALSE)</f>
        <v>Electrosurgical Units, Monopolar/Bipolar</v>
      </c>
      <c r="VZS92" s="165" t="s">
        <v>945</v>
      </c>
      <c r="VZT92" s="166" t="str">
        <f>VLOOKUP(VZS92,[13]AssetDetails_UEM!$A$3:$AH$1849,6,FALSE)</f>
        <v>Electrosurgical Units, Monopolar/Bipolar</v>
      </c>
      <c r="VZU92" s="165" t="s">
        <v>945</v>
      </c>
      <c r="VZV92" s="166" t="str">
        <f>VLOOKUP(VZU92,[13]AssetDetails_UEM!$A$3:$AH$1849,6,FALSE)</f>
        <v>Electrosurgical Units, Monopolar/Bipolar</v>
      </c>
      <c r="VZW92" s="165" t="s">
        <v>945</v>
      </c>
      <c r="VZX92" s="166" t="str">
        <f>VLOOKUP(VZW92,[13]AssetDetails_UEM!$A$3:$AH$1849,6,FALSE)</f>
        <v>Electrosurgical Units, Monopolar/Bipolar</v>
      </c>
      <c r="VZY92" s="165" t="s">
        <v>945</v>
      </c>
      <c r="VZZ92" s="166" t="str">
        <f>VLOOKUP(VZY92,[13]AssetDetails_UEM!$A$3:$AH$1849,6,FALSE)</f>
        <v>Electrosurgical Units, Monopolar/Bipolar</v>
      </c>
      <c r="WAA92" s="165" t="s">
        <v>945</v>
      </c>
      <c r="WAB92" s="166" t="str">
        <f>VLOOKUP(WAA92,[13]AssetDetails_UEM!$A$3:$AH$1849,6,FALSE)</f>
        <v>Electrosurgical Units, Monopolar/Bipolar</v>
      </c>
      <c r="WAC92" s="165" t="s">
        <v>945</v>
      </c>
      <c r="WAD92" s="166" t="str">
        <f>VLOOKUP(WAC92,[13]AssetDetails_UEM!$A$3:$AH$1849,6,FALSE)</f>
        <v>Electrosurgical Units, Monopolar/Bipolar</v>
      </c>
      <c r="WAE92" s="165" t="s">
        <v>945</v>
      </c>
      <c r="WAF92" s="166" t="str">
        <f>VLOOKUP(WAE92,[13]AssetDetails_UEM!$A$3:$AH$1849,6,FALSE)</f>
        <v>Electrosurgical Units, Monopolar/Bipolar</v>
      </c>
      <c r="WAG92" s="165" t="s">
        <v>945</v>
      </c>
      <c r="WAH92" s="166" t="str">
        <f>VLOOKUP(WAG92,[13]AssetDetails_UEM!$A$3:$AH$1849,6,FALSE)</f>
        <v>Electrosurgical Units, Monopolar/Bipolar</v>
      </c>
      <c r="WAI92" s="165" t="s">
        <v>945</v>
      </c>
      <c r="WAJ92" s="166" t="str">
        <f>VLOOKUP(WAI92,[13]AssetDetails_UEM!$A$3:$AH$1849,6,FALSE)</f>
        <v>Electrosurgical Units, Monopolar/Bipolar</v>
      </c>
      <c r="WAK92" s="165" t="s">
        <v>945</v>
      </c>
      <c r="WAL92" s="166" t="str">
        <f>VLOOKUP(WAK92,[13]AssetDetails_UEM!$A$3:$AH$1849,6,FALSE)</f>
        <v>Electrosurgical Units, Monopolar/Bipolar</v>
      </c>
      <c r="WAM92" s="165" t="s">
        <v>945</v>
      </c>
      <c r="WAN92" s="166" t="str">
        <f>VLOOKUP(WAM92,[13]AssetDetails_UEM!$A$3:$AH$1849,6,FALSE)</f>
        <v>Electrosurgical Units, Monopolar/Bipolar</v>
      </c>
      <c r="WAO92" s="165" t="s">
        <v>945</v>
      </c>
      <c r="WAP92" s="166" t="str">
        <f>VLOOKUP(WAO92,[13]AssetDetails_UEM!$A$3:$AH$1849,6,FALSE)</f>
        <v>Electrosurgical Units, Monopolar/Bipolar</v>
      </c>
      <c r="WAQ92" s="165" t="s">
        <v>945</v>
      </c>
      <c r="WAR92" s="166" t="str">
        <f>VLOOKUP(WAQ92,[13]AssetDetails_UEM!$A$3:$AH$1849,6,FALSE)</f>
        <v>Electrosurgical Units, Monopolar/Bipolar</v>
      </c>
      <c r="WAS92" s="165" t="s">
        <v>945</v>
      </c>
      <c r="WAT92" s="166" t="str">
        <f>VLOOKUP(WAS92,[13]AssetDetails_UEM!$A$3:$AH$1849,6,FALSE)</f>
        <v>Electrosurgical Units, Monopolar/Bipolar</v>
      </c>
      <c r="WAU92" s="165" t="s">
        <v>945</v>
      </c>
      <c r="WAV92" s="166" t="str">
        <f>VLOOKUP(WAU92,[13]AssetDetails_UEM!$A$3:$AH$1849,6,FALSE)</f>
        <v>Electrosurgical Units, Monopolar/Bipolar</v>
      </c>
      <c r="WAW92" s="165" t="s">
        <v>945</v>
      </c>
      <c r="WAX92" s="166" t="str">
        <f>VLOOKUP(WAW92,[13]AssetDetails_UEM!$A$3:$AH$1849,6,FALSE)</f>
        <v>Electrosurgical Units, Monopolar/Bipolar</v>
      </c>
      <c r="WAY92" s="165" t="s">
        <v>945</v>
      </c>
      <c r="WAZ92" s="166" t="str">
        <f>VLOOKUP(WAY92,[13]AssetDetails_UEM!$A$3:$AH$1849,6,FALSE)</f>
        <v>Electrosurgical Units, Monopolar/Bipolar</v>
      </c>
      <c r="WBA92" s="165" t="s">
        <v>945</v>
      </c>
      <c r="WBB92" s="166" t="str">
        <f>VLOOKUP(WBA92,[13]AssetDetails_UEM!$A$3:$AH$1849,6,FALSE)</f>
        <v>Electrosurgical Units, Monopolar/Bipolar</v>
      </c>
      <c r="WBC92" s="165" t="s">
        <v>945</v>
      </c>
      <c r="WBD92" s="166" t="str">
        <f>VLOOKUP(WBC92,[13]AssetDetails_UEM!$A$3:$AH$1849,6,FALSE)</f>
        <v>Electrosurgical Units, Monopolar/Bipolar</v>
      </c>
      <c r="WBE92" s="165" t="s">
        <v>945</v>
      </c>
      <c r="WBF92" s="166" t="str">
        <f>VLOOKUP(WBE92,[13]AssetDetails_UEM!$A$3:$AH$1849,6,FALSE)</f>
        <v>Electrosurgical Units, Monopolar/Bipolar</v>
      </c>
      <c r="WBG92" s="165" t="s">
        <v>945</v>
      </c>
      <c r="WBH92" s="166" t="str">
        <f>VLOOKUP(WBG92,[13]AssetDetails_UEM!$A$3:$AH$1849,6,FALSE)</f>
        <v>Electrosurgical Units, Monopolar/Bipolar</v>
      </c>
      <c r="WBI92" s="165" t="s">
        <v>945</v>
      </c>
      <c r="WBJ92" s="166" t="str">
        <f>VLOOKUP(WBI92,[13]AssetDetails_UEM!$A$3:$AH$1849,6,FALSE)</f>
        <v>Electrosurgical Units, Monopolar/Bipolar</v>
      </c>
      <c r="WBK92" s="165" t="s">
        <v>945</v>
      </c>
      <c r="WBL92" s="166" t="str">
        <f>VLOOKUP(WBK92,[13]AssetDetails_UEM!$A$3:$AH$1849,6,FALSE)</f>
        <v>Electrosurgical Units, Monopolar/Bipolar</v>
      </c>
      <c r="WBM92" s="165" t="s">
        <v>945</v>
      </c>
      <c r="WBN92" s="166" t="str">
        <f>VLOOKUP(WBM92,[13]AssetDetails_UEM!$A$3:$AH$1849,6,FALSE)</f>
        <v>Electrosurgical Units, Monopolar/Bipolar</v>
      </c>
      <c r="WBO92" s="165" t="s">
        <v>945</v>
      </c>
      <c r="WBP92" s="166" t="str">
        <f>VLOOKUP(WBO92,[13]AssetDetails_UEM!$A$3:$AH$1849,6,FALSE)</f>
        <v>Electrosurgical Units, Monopolar/Bipolar</v>
      </c>
      <c r="WBQ92" s="165" t="s">
        <v>945</v>
      </c>
      <c r="WBR92" s="166" t="str">
        <f>VLOOKUP(WBQ92,[13]AssetDetails_UEM!$A$3:$AH$1849,6,FALSE)</f>
        <v>Electrosurgical Units, Monopolar/Bipolar</v>
      </c>
      <c r="WBS92" s="165" t="s">
        <v>945</v>
      </c>
      <c r="WBT92" s="166" t="str">
        <f>VLOOKUP(WBS92,[13]AssetDetails_UEM!$A$3:$AH$1849,6,FALSE)</f>
        <v>Electrosurgical Units, Monopolar/Bipolar</v>
      </c>
      <c r="WBU92" s="165" t="s">
        <v>945</v>
      </c>
      <c r="WBV92" s="166" t="str">
        <f>VLOOKUP(WBU92,[13]AssetDetails_UEM!$A$3:$AH$1849,6,FALSE)</f>
        <v>Electrosurgical Units, Monopolar/Bipolar</v>
      </c>
      <c r="WBW92" s="165" t="s">
        <v>945</v>
      </c>
      <c r="WBX92" s="166" t="str">
        <f>VLOOKUP(WBW92,[13]AssetDetails_UEM!$A$3:$AH$1849,6,FALSE)</f>
        <v>Electrosurgical Units, Monopolar/Bipolar</v>
      </c>
      <c r="WBY92" s="165" t="s">
        <v>945</v>
      </c>
      <c r="WBZ92" s="166" t="str">
        <f>VLOOKUP(WBY92,[13]AssetDetails_UEM!$A$3:$AH$1849,6,FALSE)</f>
        <v>Electrosurgical Units, Monopolar/Bipolar</v>
      </c>
      <c r="WCA92" s="165" t="s">
        <v>945</v>
      </c>
      <c r="WCB92" s="166" t="str">
        <f>VLOOKUP(WCA92,[13]AssetDetails_UEM!$A$3:$AH$1849,6,FALSE)</f>
        <v>Electrosurgical Units, Monopolar/Bipolar</v>
      </c>
      <c r="WCC92" s="165" t="s">
        <v>945</v>
      </c>
      <c r="WCD92" s="166" t="str">
        <f>VLOOKUP(WCC92,[13]AssetDetails_UEM!$A$3:$AH$1849,6,FALSE)</f>
        <v>Electrosurgical Units, Monopolar/Bipolar</v>
      </c>
      <c r="WCE92" s="165" t="s">
        <v>945</v>
      </c>
      <c r="WCF92" s="166" t="str">
        <f>VLOOKUP(WCE92,[13]AssetDetails_UEM!$A$3:$AH$1849,6,FALSE)</f>
        <v>Electrosurgical Units, Monopolar/Bipolar</v>
      </c>
      <c r="WCG92" s="165" t="s">
        <v>945</v>
      </c>
      <c r="WCH92" s="166" t="str">
        <f>VLOOKUP(WCG92,[13]AssetDetails_UEM!$A$3:$AH$1849,6,FALSE)</f>
        <v>Electrosurgical Units, Monopolar/Bipolar</v>
      </c>
      <c r="WCI92" s="165" t="s">
        <v>945</v>
      </c>
      <c r="WCJ92" s="166" t="str">
        <f>VLOOKUP(WCI92,[13]AssetDetails_UEM!$A$3:$AH$1849,6,FALSE)</f>
        <v>Electrosurgical Units, Monopolar/Bipolar</v>
      </c>
      <c r="WCK92" s="165" t="s">
        <v>945</v>
      </c>
      <c r="WCL92" s="166" t="str">
        <f>VLOOKUP(WCK92,[13]AssetDetails_UEM!$A$3:$AH$1849,6,FALSE)</f>
        <v>Electrosurgical Units, Monopolar/Bipolar</v>
      </c>
      <c r="WCM92" s="165" t="s">
        <v>945</v>
      </c>
      <c r="WCN92" s="166" t="str">
        <f>VLOOKUP(WCM92,[13]AssetDetails_UEM!$A$3:$AH$1849,6,FALSE)</f>
        <v>Electrosurgical Units, Monopolar/Bipolar</v>
      </c>
      <c r="WCO92" s="165" t="s">
        <v>945</v>
      </c>
      <c r="WCP92" s="166" t="str">
        <f>VLOOKUP(WCO92,[13]AssetDetails_UEM!$A$3:$AH$1849,6,FALSE)</f>
        <v>Electrosurgical Units, Monopolar/Bipolar</v>
      </c>
      <c r="WCQ92" s="165" t="s">
        <v>945</v>
      </c>
      <c r="WCR92" s="166" t="str">
        <f>VLOOKUP(WCQ92,[13]AssetDetails_UEM!$A$3:$AH$1849,6,FALSE)</f>
        <v>Electrosurgical Units, Monopolar/Bipolar</v>
      </c>
      <c r="WCS92" s="165" t="s">
        <v>945</v>
      </c>
      <c r="WCT92" s="166" t="str">
        <f>VLOOKUP(WCS92,[13]AssetDetails_UEM!$A$3:$AH$1849,6,FALSE)</f>
        <v>Electrosurgical Units, Monopolar/Bipolar</v>
      </c>
      <c r="WCU92" s="165" t="s">
        <v>945</v>
      </c>
      <c r="WCV92" s="166" t="str">
        <f>VLOOKUP(WCU92,[13]AssetDetails_UEM!$A$3:$AH$1849,6,FALSE)</f>
        <v>Electrosurgical Units, Monopolar/Bipolar</v>
      </c>
      <c r="WCW92" s="165" t="s">
        <v>945</v>
      </c>
      <c r="WCX92" s="166" t="str">
        <f>VLOOKUP(WCW92,[13]AssetDetails_UEM!$A$3:$AH$1849,6,FALSE)</f>
        <v>Electrosurgical Units, Monopolar/Bipolar</v>
      </c>
      <c r="WCY92" s="165" t="s">
        <v>945</v>
      </c>
      <c r="WCZ92" s="166" t="str">
        <f>VLOOKUP(WCY92,[13]AssetDetails_UEM!$A$3:$AH$1849,6,FALSE)</f>
        <v>Electrosurgical Units, Monopolar/Bipolar</v>
      </c>
      <c r="WDA92" s="165" t="s">
        <v>945</v>
      </c>
      <c r="WDB92" s="166" t="str">
        <f>VLOOKUP(WDA92,[13]AssetDetails_UEM!$A$3:$AH$1849,6,FALSE)</f>
        <v>Electrosurgical Units, Monopolar/Bipolar</v>
      </c>
      <c r="WDC92" s="165" t="s">
        <v>945</v>
      </c>
      <c r="WDD92" s="166" t="str">
        <f>VLOOKUP(WDC92,[13]AssetDetails_UEM!$A$3:$AH$1849,6,FALSE)</f>
        <v>Electrosurgical Units, Monopolar/Bipolar</v>
      </c>
      <c r="WDE92" s="165" t="s">
        <v>945</v>
      </c>
      <c r="WDF92" s="166" t="str">
        <f>VLOOKUP(WDE92,[13]AssetDetails_UEM!$A$3:$AH$1849,6,FALSE)</f>
        <v>Electrosurgical Units, Monopolar/Bipolar</v>
      </c>
      <c r="WDG92" s="165" t="s">
        <v>945</v>
      </c>
      <c r="WDH92" s="166" t="str">
        <f>VLOOKUP(WDG92,[13]AssetDetails_UEM!$A$3:$AH$1849,6,FALSE)</f>
        <v>Electrosurgical Units, Monopolar/Bipolar</v>
      </c>
      <c r="WDI92" s="165" t="s">
        <v>945</v>
      </c>
      <c r="WDJ92" s="166" t="str">
        <f>VLOOKUP(WDI92,[13]AssetDetails_UEM!$A$3:$AH$1849,6,FALSE)</f>
        <v>Electrosurgical Units, Monopolar/Bipolar</v>
      </c>
      <c r="WDK92" s="165" t="s">
        <v>945</v>
      </c>
      <c r="WDL92" s="166" t="str">
        <f>VLOOKUP(WDK92,[13]AssetDetails_UEM!$A$3:$AH$1849,6,FALSE)</f>
        <v>Electrosurgical Units, Monopolar/Bipolar</v>
      </c>
      <c r="WDM92" s="165" t="s">
        <v>945</v>
      </c>
      <c r="WDN92" s="166" t="str">
        <f>VLOOKUP(WDM92,[13]AssetDetails_UEM!$A$3:$AH$1849,6,FALSE)</f>
        <v>Electrosurgical Units, Monopolar/Bipolar</v>
      </c>
      <c r="WDO92" s="165" t="s">
        <v>945</v>
      </c>
      <c r="WDP92" s="166" t="str">
        <f>VLOOKUP(WDO92,[13]AssetDetails_UEM!$A$3:$AH$1849,6,FALSE)</f>
        <v>Electrosurgical Units, Monopolar/Bipolar</v>
      </c>
      <c r="WDQ92" s="165" t="s">
        <v>945</v>
      </c>
      <c r="WDR92" s="166" t="str">
        <f>VLOOKUP(WDQ92,[13]AssetDetails_UEM!$A$3:$AH$1849,6,FALSE)</f>
        <v>Electrosurgical Units, Monopolar/Bipolar</v>
      </c>
      <c r="WDS92" s="165" t="s">
        <v>945</v>
      </c>
      <c r="WDT92" s="166" t="str">
        <f>VLOOKUP(WDS92,[13]AssetDetails_UEM!$A$3:$AH$1849,6,FALSE)</f>
        <v>Electrosurgical Units, Monopolar/Bipolar</v>
      </c>
      <c r="WDU92" s="165" t="s">
        <v>945</v>
      </c>
      <c r="WDV92" s="166" t="str">
        <f>VLOOKUP(WDU92,[13]AssetDetails_UEM!$A$3:$AH$1849,6,FALSE)</f>
        <v>Electrosurgical Units, Monopolar/Bipolar</v>
      </c>
      <c r="WDW92" s="165" t="s">
        <v>945</v>
      </c>
      <c r="WDX92" s="166" t="str">
        <f>VLOOKUP(WDW92,[13]AssetDetails_UEM!$A$3:$AH$1849,6,FALSE)</f>
        <v>Electrosurgical Units, Monopolar/Bipolar</v>
      </c>
      <c r="WDY92" s="165" t="s">
        <v>945</v>
      </c>
      <c r="WDZ92" s="166" t="str">
        <f>VLOOKUP(WDY92,[13]AssetDetails_UEM!$A$3:$AH$1849,6,FALSE)</f>
        <v>Electrosurgical Units, Monopolar/Bipolar</v>
      </c>
      <c r="WEA92" s="165" t="s">
        <v>945</v>
      </c>
      <c r="WEB92" s="166" t="str">
        <f>VLOOKUP(WEA92,[13]AssetDetails_UEM!$A$3:$AH$1849,6,FALSE)</f>
        <v>Electrosurgical Units, Monopolar/Bipolar</v>
      </c>
      <c r="WEC92" s="165" t="s">
        <v>945</v>
      </c>
      <c r="WED92" s="166" t="str">
        <f>VLOOKUP(WEC92,[13]AssetDetails_UEM!$A$3:$AH$1849,6,FALSE)</f>
        <v>Electrosurgical Units, Monopolar/Bipolar</v>
      </c>
      <c r="WEE92" s="165" t="s">
        <v>945</v>
      </c>
      <c r="WEF92" s="166" t="str">
        <f>VLOOKUP(WEE92,[13]AssetDetails_UEM!$A$3:$AH$1849,6,FALSE)</f>
        <v>Electrosurgical Units, Monopolar/Bipolar</v>
      </c>
      <c r="WEG92" s="165" t="s">
        <v>945</v>
      </c>
      <c r="WEH92" s="166" t="str">
        <f>VLOOKUP(WEG92,[13]AssetDetails_UEM!$A$3:$AH$1849,6,FALSE)</f>
        <v>Electrosurgical Units, Monopolar/Bipolar</v>
      </c>
      <c r="WEI92" s="165" t="s">
        <v>945</v>
      </c>
      <c r="WEJ92" s="166" t="str">
        <f>VLOOKUP(WEI92,[13]AssetDetails_UEM!$A$3:$AH$1849,6,FALSE)</f>
        <v>Electrosurgical Units, Monopolar/Bipolar</v>
      </c>
      <c r="WEK92" s="165" t="s">
        <v>945</v>
      </c>
      <c r="WEL92" s="166" t="str">
        <f>VLOOKUP(WEK92,[13]AssetDetails_UEM!$A$3:$AH$1849,6,FALSE)</f>
        <v>Electrosurgical Units, Monopolar/Bipolar</v>
      </c>
      <c r="WEM92" s="165" t="s">
        <v>945</v>
      </c>
      <c r="WEN92" s="166" t="str">
        <f>VLOOKUP(WEM92,[13]AssetDetails_UEM!$A$3:$AH$1849,6,FALSE)</f>
        <v>Electrosurgical Units, Monopolar/Bipolar</v>
      </c>
      <c r="WEO92" s="165" t="s">
        <v>945</v>
      </c>
      <c r="WEP92" s="166" t="str">
        <f>VLOOKUP(WEO92,[13]AssetDetails_UEM!$A$3:$AH$1849,6,FALSE)</f>
        <v>Electrosurgical Units, Monopolar/Bipolar</v>
      </c>
      <c r="WEQ92" s="165" t="s">
        <v>945</v>
      </c>
      <c r="WER92" s="166" t="str">
        <f>VLOOKUP(WEQ92,[13]AssetDetails_UEM!$A$3:$AH$1849,6,FALSE)</f>
        <v>Electrosurgical Units, Monopolar/Bipolar</v>
      </c>
      <c r="WES92" s="165" t="s">
        <v>945</v>
      </c>
      <c r="WET92" s="166" t="str">
        <f>VLOOKUP(WES92,[13]AssetDetails_UEM!$A$3:$AH$1849,6,FALSE)</f>
        <v>Electrosurgical Units, Monopolar/Bipolar</v>
      </c>
      <c r="WEU92" s="165" t="s">
        <v>945</v>
      </c>
      <c r="WEV92" s="166" t="str">
        <f>VLOOKUP(WEU92,[13]AssetDetails_UEM!$A$3:$AH$1849,6,FALSE)</f>
        <v>Electrosurgical Units, Monopolar/Bipolar</v>
      </c>
      <c r="WEW92" s="165" t="s">
        <v>945</v>
      </c>
      <c r="WEX92" s="166" t="str">
        <f>VLOOKUP(WEW92,[13]AssetDetails_UEM!$A$3:$AH$1849,6,FALSE)</f>
        <v>Electrosurgical Units, Monopolar/Bipolar</v>
      </c>
      <c r="WEY92" s="165" t="s">
        <v>945</v>
      </c>
      <c r="WEZ92" s="166" t="str">
        <f>VLOOKUP(WEY92,[13]AssetDetails_UEM!$A$3:$AH$1849,6,FALSE)</f>
        <v>Electrosurgical Units, Monopolar/Bipolar</v>
      </c>
      <c r="WFA92" s="165" t="s">
        <v>945</v>
      </c>
      <c r="WFB92" s="166" t="str">
        <f>VLOOKUP(WFA92,[13]AssetDetails_UEM!$A$3:$AH$1849,6,FALSE)</f>
        <v>Electrosurgical Units, Monopolar/Bipolar</v>
      </c>
      <c r="WFC92" s="165" t="s">
        <v>945</v>
      </c>
      <c r="WFD92" s="166" t="str">
        <f>VLOOKUP(WFC92,[13]AssetDetails_UEM!$A$3:$AH$1849,6,FALSE)</f>
        <v>Electrosurgical Units, Monopolar/Bipolar</v>
      </c>
      <c r="WFE92" s="165" t="s">
        <v>945</v>
      </c>
      <c r="WFF92" s="166" t="str">
        <f>VLOOKUP(WFE92,[13]AssetDetails_UEM!$A$3:$AH$1849,6,FALSE)</f>
        <v>Electrosurgical Units, Monopolar/Bipolar</v>
      </c>
      <c r="WFG92" s="165" t="s">
        <v>945</v>
      </c>
      <c r="WFH92" s="166" t="str">
        <f>VLOOKUP(WFG92,[13]AssetDetails_UEM!$A$3:$AH$1849,6,FALSE)</f>
        <v>Electrosurgical Units, Monopolar/Bipolar</v>
      </c>
      <c r="WFI92" s="165" t="s">
        <v>945</v>
      </c>
      <c r="WFJ92" s="166" t="str">
        <f>VLOOKUP(WFI92,[13]AssetDetails_UEM!$A$3:$AH$1849,6,FALSE)</f>
        <v>Electrosurgical Units, Monopolar/Bipolar</v>
      </c>
      <c r="WFK92" s="165" t="s">
        <v>945</v>
      </c>
      <c r="WFL92" s="166" t="str">
        <f>VLOOKUP(WFK92,[13]AssetDetails_UEM!$A$3:$AH$1849,6,FALSE)</f>
        <v>Electrosurgical Units, Monopolar/Bipolar</v>
      </c>
      <c r="WFM92" s="165" t="s">
        <v>945</v>
      </c>
      <c r="WFN92" s="166" t="str">
        <f>VLOOKUP(WFM92,[13]AssetDetails_UEM!$A$3:$AH$1849,6,FALSE)</f>
        <v>Electrosurgical Units, Monopolar/Bipolar</v>
      </c>
      <c r="WFO92" s="165" t="s">
        <v>945</v>
      </c>
      <c r="WFP92" s="166" t="str">
        <f>VLOOKUP(WFO92,[13]AssetDetails_UEM!$A$3:$AH$1849,6,FALSE)</f>
        <v>Electrosurgical Units, Monopolar/Bipolar</v>
      </c>
      <c r="WFQ92" s="165" t="s">
        <v>945</v>
      </c>
      <c r="WFR92" s="166" t="str">
        <f>VLOOKUP(WFQ92,[13]AssetDetails_UEM!$A$3:$AH$1849,6,FALSE)</f>
        <v>Electrosurgical Units, Monopolar/Bipolar</v>
      </c>
      <c r="WFS92" s="165" t="s">
        <v>945</v>
      </c>
      <c r="WFT92" s="166" t="str">
        <f>VLOOKUP(WFS92,[13]AssetDetails_UEM!$A$3:$AH$1849,6,FALSE)</f>
        <v>Electrosurgical Units, Monopolar/Bipolar</v>
      </c>
      <c r="WFU92" s="165" t="s">
        <v>945</v>
      </c>
      <c r="WFV92" s="166" t="str">
        <f>VLOOKUP(WFU92,[13]AssetDetails_UEM!$A$3:$AH$1849,6,FALSE)</f>
        <v>Electrosurgical Units, Monopolar/Bipolar</v>
      </c>
      <c r="WFW92" s="165" t="s">
        <v>945</v>
      </c>
      <c r="WFX92" s="166" t="str">
        <f>VLOOKUP(WFW92,[13]AssetDetails_UEM!$A$3:$AH$1849,6,FALSE)</f>
        <v>Electrosurgical Units, Monopolar/Bipolar</v>
      </c>
      <c r="WFY92" s="165" t="s">
        <v>945</v>
      </c>
      <c r="WFZ92" s="166" t="str">
        <f>VLOOKUP(WFY92,[13]AssetDetails_UEM!$A$3:$AH$1849,6,FALSE)</f>
        <v>Electrosurgical Units, Monopolar/Bipolar</v>
      </c>
      <c r="WGA92" s="165" t="s">
        <v>945</v>
      </c>
      <c r="WGB92" s="166" t="str">
        <f>VLOOKUP(WGA92,[13]AssetDetails_UEM!$A$3:$AH$1849,6,FALSE)</f>
        <v>Electrosurgical Units, Monopolar/Bipolar</v>
      </c>
      <c r="WGC92" s="165" t="s">
        <v>945</v>
      </c>
      <c r="WGD92" s="166" t="str">
        <f>VLOOKUP(WGC92,[13]AssetDetails_UEM!$A$3:$AH$1849,6,FALSE)</f>
        <v>Electrosurgical Units, Monopolar/Bipolar</v>
      </c>
      <c r="WGE92" s="165" t="s">
        <v>945</v>
      </c>
      <c r="WGF92" s="166" t="str">
        <f>VLOOKUP(WGE92,[13]AssetDetails_UEM!$A$3:$AH$1849,6,FALSE)</f>
        <v>Electrosurgical Units, Monopolar/Bipolar</v>
      </c>
      <c r="WGG92" s="165" t="s">
        <v>945</v>
      </c>
      <c r="WGH92" s="166" t="str">
        <f>VLOOKUP(WGG92,[13]AssetDetails_UEM!$A$3:$AH$1849,6,FALSE)</f>
        <v>Electrosurgical Units, Monopolar/Bipolar</v>
      </c>
      <c r="WGI92" s="165" t="s">
        <v>945</v>
      </c>
      <c r="WGJ92" s="166" t="str">
        <f>VLOOKUP(WGI92,[13]AssetDetails_UEM!$A$3:$AH$1849,6,FALSE)</f>
        <v>Electrosurgical Units, Monopolar/Bipolar</v>
      </c>
      <c r="WGK92" s="165" t="s">
        <v>945</v>
      </c>
      <c r="WGL92" s="166" t="str">
        <f>VLOOKUP(WGK92,[13]AssetDetails_UEM!$A$3:$AH$1849,6,FALSE)</f>
        <v>Electrosurgical Units, Monopolar/Bipolar</v>
      </c>
      <c r="WGM92" s="165" t="s">
        <v>945</v>
      </c>
      <c r="WGN92" s="166" t="str">
        <f>VLOOKUP(WGM92,[13]AssetDetails_UEM!$A$3:$AH$1849,6,FALSE)</f>
        <v>Electrosurgical Units, Monopolar/Bipolar</v>
      </c>
      <c r="WGO92" s="165" t="s">
        <v>945</v>
      </c>
      <c r="WGP92" s="166" t="str">
        <f>VLOOKUP(WGO92,[13]AssetDetails_UEM!$A$3:$AH$1849,6,FALSE)</f>
        <v>Electrosurgical Units, Monopolar/Bipolar</v>
      </c>
      <c r="WGQ92" s="165" t="s">
        <v>945</v>
      </c>
      <c r="WGR92" s="166" t="str">
        <f>VLOOKUP(WGQ92,[13]AssetDetails_UEM!$A$3:$AH$1849,6,FALSE)</f>
        <v>Electrosurgical Units, Monopolar/Bipolar</v>
      </c>
      <c r="WGS92" s="165" t="s">
        <v>945</v>
      </c>
      <c r="WGT92" s="166" t="str">
        <f>VLOOKUP(WGS92,[13]AssetDetails_UEM!$A$3:$AH$1849,6,FALSE)</f>
        <v>Electrosurgical Units, Monopolar/Bipolar</v>
      </c>
      <c r="WGU92" s="165" t="s">
        <v>945</v>
      </c>
      <c r="WGV92" s="166" t="str">
        <f>VLOOKUP(WGU92,[13]AssetDetails_UEM!$A$3:$AH$1849,6,FALSE)</f>
        <v>Electrosurgical Units, Monopolar/Bipolar</v>
      </c>
      <c r="WGW92" s="165" t="s">
        <v>945</v>
      </c>
      <c r="WGX92" s="166" t="str">
        <f>VLOOKUP(WGW92,[13]AssetDetails_UEM!$A$3:$AH$1849,6,FALSE)</f>
        <v>Electrosurgical Units, Monopolar/Bipolar</v>
      </c>
      <c r="WGY92" s="165" t="s">
        <v>945</v>
      </c>
      <c r="WGZ92" s="166" t="str">
        <f>VLOOKUP(WGY92,[13]AssetDetails_UEM!$A$3:$AH$1849,6,FALSE)</f>
        <v>Electrosurgical Units, Monopolar/Bipolar</v>
      </c>
      <c r="WHA92" s="165" t="s">
        <v>945</v>
      </c>
      <c r="WHB92" s="166" t="str">
        <f>VLOOKUP(WHA92,[13]AssetDetails_UEM!$A$3:$AH$1849,6,FALSE)</f>
        <v>Electrosurgical Units, Monopolar/Bipolar</v>
      </c>
      <c r="WHC92" s="165" t="s">
        <v>945</v>
      </c>
      <c r="WHD92" s="166" t="str">
        <f>VLOOKUP(WHC92,[13]AssetDetails_UEM!$A$3:$AH$1849,6,FALSE)</f>
        <v>Electrosurgical Units, Monopolar/Bipolar</v>
      </c>
      <c r="WHE92" s="165" t="s">
        <v>945</v>
      </c>
      <c r="WHF92" s="166" t="str">
        <f>VLOOKUP(WHE92,[13]AssetDetails_UEM!$A$3:$AH$1849,6,FALSE)</f>
        <v>Electrosurgical Units, Monopolar/Bipolar</v>
      </c>
      <c r="WHG92" s="165" t="s">
        <v>945</v>
      </c>
      <c r="WHH92" s="166" t="str">
        <f>VLOOKUP(WHG92,[13]AssetDetails_UEM!$A$3:$AH$1849,6,FALSE)</f>
        <v>Electrosurgical Units, Monopolar/Bipolar</v>
      </c>
      <c r="WHI92" s="165" t="s">
        <v>945</v>
      </c>
      <c r="WHJ92" s="166" t="str">
        <f>VLOOKUP(WHI92,[13]AssetDetails_UEM!$A$3:$AH$1849,6,FALSE)</f>
        <v>Electrosurgical Units, Monopolar/Bipolar</v>
      </c>
      <c r="WHK92" s="165" t="s">
        <v>945</v>
      </c>
      <c r="WHL92" s="166" t="str">
        <f>VLOOKUP(WHK92,[13]AssetDetails_UEM!$A$3:$AH$1849,6,FALSE)</f>
        <v>Electrosurgical Units, Monopolar/Bipolar</v>
      </c>
      <c r="WHM92" s="165" t="s">
        <v>945</v>
      </c>
      <c r="WHN92" s="166" t="str">
        <f>VLOOKUP(WHM92,[13]AssetDetails_UEM!$A$3:$AH$1849,6,FALSE)</f>
        <v>Electrosurgical Units, Monopolar/Bipolar</v>
      </c>
      <c r="WHO92" s="165" t="s">
        <v>945</v>
      </c>
      <c r="WHP92" s="166" t="str">
        <f>VLOOKUP(WHO92,[13]AssetDetails_UEM!$A$3:$AH$1849,6,FALSE)</f>
        <v>Electrosurgical Units, Monopolar/Bipolar</v>
      </c>
      <c r="WHQ92" s="165" t="s">
        <v>945</v>
      </c>
      <c r="WHR92" s="166" t="str">
        <f>VLOOKUP(WHQ92,[13]AssetDetails_UEM!$A$3:$AH$1849,6,FALSE)</f>
        <v>Electrosurgical Units, Monopolar/Bipolar</v>
      </c>
      <c r="WHS92" s="165" t="s">
        <v>945</v>
      </c>
      <c r="WHT92" s="166" t="str">
        <f>VLOOKUP(WHS92,[13]AssetDetails_UEM!$A$3:$AH$1849,6,FALSE)</f>
        <v>Electrosurgical Units, Monopolar/Bipolar</v>
      </c>
      <c r="WHU92" s="165" t="s">
        <v>945</v>
      </c>
      <c r="WHV92" s="166" t="str">
        <f>VLOOKUP(WHU92,[13]AssetDetails_UEM!$A$3:$AH$1849,6,FALSE)</f>
        <v>Electrosurgical Units, Monopolar/Bipolar</v>
      </c>
      <c r="WHW92" s="165" t="s">
        <v>945</v>
      </c>
      <c r="WHX92" s="166" t="str">
        <f>VLOOKUP(WHW92,[13]AssetDetails_UEM!$A$3:$AH$1849,6,FALSE)</f>
        <v>Electrosurgical Units, Monopolar/Bipolar</v>
      </c>
      <c r="WHY92" s="165" t="s">
        <v>945</v>
      </c>
      <c r="WHZ92" s="166" t="str">
        <f>VLOOKUP(WHY92,[13]AssetDetails_UEM!$A$3:$AH$1849,6,FALSE)</f>
        <v>Electrosurgical Units, Monopolar/Bipolar</v>
      </c>
      <c r="WIA92" s="165" t="s">
        <v>945</v>
      </c>
      <c r="WIB92" s="166" t="str">
        <f>VLOOKUP(WIA92,[13]AssetDetails_UEM!$A$3:$AH$1849,6,FALSE)</f>
        <v>Electrosurgical Units, Monopolar/Bipolar</v>
      </c>
      <c r="WIC92" s="165" t="s">
        <v>945</v>
      </c>
      <c r="WID92" s="166" t="str">
        <f>VLOOKUP(WIC92,[13]AssetDetails_UEM!$A$3:$AH$1849,6,FALSE)</f>
        <v>Electrosurgical Units, Monopolar/Bipolar</v>
      </c>
      <c r="WIE92" s="165" t="s">
        <v>945</v>
      </c>
      <c r="WIF92" s="166" t="str">
        <f>VLOOKUP(WIE92,[13]AssetDetails_UEM!$A$3:$AH$1849,6,FALSE)</f>
        <v>Electrosurgical Units, Monopolar/Bipolar</v>
      </c>
      <c r="WIG92" s="165" t="s">
        <v>945</v>
      </c>
      <c r="WIH92" s="166" t="str">
        <f>VLOOKUP(WIG92,[13]AssetDetails_UEM!$A$3:$AH$1849,6,FALSE)</f>
        <v>Electrosurgical Units, Monopolar/Bipolar</v>
      </c>
      <c r="WII92" s="165" t="s">
        <v>945</v>
      </c>
      <c r="WIJ92" s="166" t="str">
        <f>VLOOKUP(WII92,[13]AssetDetails_UEM!$A$3:$AH$1849,6,FALSE)</f>
        <v>Electrosurgical Units, Monopolar/Bipolar</v>
      </c>
      <c r="WIK92" s="165" t="s">
        <v>945</v>
      </c>
      <c r="WIL92" s="166" t="str">
        <f>VLOOKUP(WIK92,[13]AssetDetails_UEM!$A$3:$AH$1849,6,FALSE)</f>
        <v>Electrosurgical Units, Monopolar/Bipolar</v>
      </c>
      <c r="WIM92" s="165" t="s">
        <v>945</v>
      </c>
      <c r="WIN92" s="166" t="str">
        <f>VLOOKUP(WIM92,[13]AssetDetails_UEM!$A$3:$AH$1849,6,FALSE)</f>
        <v>Electrosurgical Units, Monopolar/Bipolar</v>
      </c>
      <c r="WIO92" s="165" t="s">
        <v>945</v>
      </c>
      <c r="WIP92" s="166" t="str">
        <f>VLOOKUP(WIO92,[13]AssetDetails_UEM!$A$3:$AH$1849,6,FALSE)</f>
        <v>Electrosurgical Units, Monopolar/Bipolar</v>
      </c>
      <c r="WIQ92" s="165" t="s">
        <v>945</v>
      </c>
      <c r="WIR92" s="166" t="str">
        <f>VLOOKUP(WIQ92,[13]AssetDetails_UEM!$A$3:$AH$1849,6,FALSE)</f>
        <v>Electrosurgical Units, Monopolar/Bipolar</v>
      </c>
      <c r="WIS92" s="165" t="s">
        <v>945</v>
      </c>
      <c r="WIT92" s="166" t="str">
        <f>VLOOKUP(WIS92,[13]AssetDetails_UEM!$A$3:$AH$1849,6,FALSE)</f>
        <v>Electrosurgical Units, Monopolar/Bipolar</v>
      </c>
      <c r="WIU92" s="165" t="s">
        <v>945</v>
      </c>
      <c r="WIV92" s="166" t="str">
        <f>VLOOKUP(WIU92,[13]AssetDetails_UEM!$A$3:$AH$1849,6,FALSE)</f>
        <v>Electrosurgical Units, Monopolar/Bipolar</v>
      </c>
      <c r="WIW92" s="165" t="s">
        <v>945</v>
      </c>
      <c r="WIX92" s="166" t="str">
        <f>VLOOKUP(WIW92,[13]AssetDetails_UEM!$A$3:$AH$1849,6,FALSE)</f>
        <v>Electrosurgical Units, Monopolar/Bipolar</v>
      </c>
      <c r="WIY92" s="165" t="s">
        <v>945</v>
      </c>
      <c r="WIZ92" s="166" t="str">
        <f>VLOOKUP(WIY92,[13]AssetDetails_UEM!$A$3:$AH$1849,6,FALSE)</f>
        <v>Electrosurgical Units, Monopolar/Bipolar</v>
      </c>
      <c r="WJA92" s="165" t="s">
        <v>945</v>
      </c>
      <c r="WJB92" s="166" t="str">
        <f>VLOOKUP(WJA92,[13]AssetDetails_UEM!$A$3:$AH$1849,6,FALSE)</f>
        <v>Electrosurgical Units, Monopolar/Bipolar</v>
      </c>
      <c r="WJC92" s="165" t="s">
        <v>945</v>
      </c>
      <c r="WJD92" s="166" t="str">
        <f>VLOOKUP(WJC92,[13]AssetDetails_UEM!$A$3:$AH$1849,6,FALSE)</f>
        <v>Electrosurgical Units, Monopolar/Bipolar</v>
      </c>
      <c r="WJE92" s="165" t="s">
        <v>945</v>
      </c>
      <c r="WJF92" s="166" t="str">
        <f>VLOOKUP(WJE92,[13]AssetDetails_UEM!$A$3:$AH$1849,6,FALSE)</f>
        <v>Electrosurgical Units, Monopolar/Bipolar</v>
      </c>
      <c r="WJG92" s="165" t="s">
        <v>945</v>
      </c>
      <c r="WJH92" s="166" t="str">
        <f>VLOOKUP(WJG92,[13]AssetDetails_UEM!$A$3:$AH$1849,6,FALSE)</f>
        <v>Electrosurgical Units, Monopolar/Bipolar</v>
      </c>
      <c r="WJI92" s="165" t="s">
        <v>945</v>
      </c>
      <c r="WJJ92" s="166" t="str">
        <f>VLOOKUP(WJI92,[13]AssetDetails_UEM!$A$3:$AH$1849,6,FALSE)</f>
        <v>Electrosurgical Units, Monopolar/Bipolar</v>
      </c>
      <c r="WJK92" s="165" t="s">
        <v>945</v>
      </c>
      <c r="WJL92" s="166" t="str">
        <f>VLOOKUP(WJK92,[13]AssetDetails_UEM!$A$3:$AH$1849,6,FALSE)</f>
        <v>Electrosurgical Units, Monopolar/Bipolar</v>
      </c>
      <c r="WJM92" s="165" t="s">
        <v>945</v>
      </c>
      <c r="WJN92" s="166" t="str">
        <f>VLOOKUP(WJM92,[13]AssetDetails_UEM!$A$3:$AH$1849,6,FALSE)</f>
        <v>Electrosurgical Units, Monopolar/Bipolar</v>
      </c>
      <c r="WJO92" s="165" t="s">
        <v>945</v>
      </c>
      <c r="WJP92" s="166" t="str">
        <f>VLOOKUP(WJO92,[13]AssetDetails_UEM!$A$3:$AH$1849,6,FALSE)</f>
        <v>Electrosurgical Units, Monopolar/Bipolar</v>
      </c>
      <c r="WJQ92" s="165" t="s">
        <v>945</v>
      </c>
      <c r="WJR92" s="166" t="str">
        <f>VLOOKUP(WJQ92,[13]AssetDetails_UEM!$A$3:$AH$1849,6,FALSE)</f>
        <v>Electrosurgical Units, Monopolar/Bipolar</v>
      </c>
      <c r="WJS92" s="165" t="s">
        <v>945</v>
      </c>
      <c r="WJT92" s="166" t="str">
        <f>VLOOKUP(WJS92,[13]AssetDetails_UEM!$A$3:$AH$1849,6,FALSE)</f>
        <v>Electrosurgical Units, Monopolar/Bipolar</v>
      </c>
      <c r="WJU92" s="165" t="s">
        <v>945</v>
      </c>
      <c r="WJV92" s="166" t="str">
        <f>VLOOKUP(WJU92,[13]AssetDetails_UEM!$A$3:$AH$1849,6,FALSE)</f>
        <v>Electrosurgical Units, Monopolar/Bipolar</v>
      </c>
      <c r="WJW92" s="165" t="s">
        <v>945</v>
      </c>
      <c r="WJX92" s="166" t="str">
        <f>VLOOKUP(WJW92,[13]AssetDetails_UEM!$A$3:$AH$1849,6,FALSE)</f>
        <v>Electrosurgical Units, Monopolar/Bipolar</v>
      </c>
      <c r="WJY92" s="165" t="s">
        <v>945</v>
      </c>
      <c r="WJZ92" s="166" t="str">
        <f>VLOOKUP(WJY92,[13]AssetDetails_UEM!$A$3:$AH$1849,6,FALSE)</f>
        <v>Electrosurgical Units, Monopolar/Bipolar</v>
      </c>
      <c r="WKA92" s="165" t="s">
        <v>945</v>
      </c>
      <c r="WKB92" s="166" t="str">
        <f>VLOOKUP(WKA92,[13]AssetDetails_UEM!$A$3:$AH$1849,6,FALSE)</f>
        <v>Electrosurgical Units, Monopolar/Bipolar</v>
      </c>
      <c r="WKC92" s="165" t="s">
        <v>945</v>
      </c>
      <c r="WKD92" s="166" t="str">
        <f>VLOOKUP(WKC92,[13]AssetDetails_UEM!$A$3:$AH$1849,6,FALSE)</f>
        <v>Electrosurgical Units, Monopolar/Bipolar</v>
      </c>
      <c r="WKE92" s="165" t="s">
        <v>945</v>
      </c>
      <c r="WKF92" s="166" t="str">
        <f>VLOOKUP(WKE92,[13]AssetDetails_UEM!$A$3:$AH$1849,6,FALSE)</f>
        <v>Electrosurgical Units, Monopolar/Bipolar</v>
      </c>
      <c r="WKG92" s="165" t="s">
        <v>945</v>
      </c>
      <c r="WKH92" s="166" t="str">
        <f>VLOOKUP(WKG92,[13]AssetDetails_UEM!$A$3:$AH$1849,6,FALSE)</f>
        <v>Electrosurgical Units, Monopolar/Bipolar</v>
      </c>
      <c r="WKI92" s="165" t="s">
        <v>945</v>
      </c>
      <c r="WKJ92" s="166" t="str">
        <f>VLOOKUP(WKI92,[13]AssetDetails_UEM!$A$3:$AH$1849,6,FALSE)</f>
        <v>Electrosurgical Units, Monopolar/Bipolar</v>
      </c>
      <c r="WKK92" s="165" t="s">
        <v>945</v>
      </c>
      <c r="WKL92" s="166" t="str">
        <f>VLOOKUP(WKK92,[13]AssetDetails_UEM!$A$3:$AH$1849,6,FALSE)</f>
        <v>Electrosurgical Units, Monopolar/Bipolar</v>
      </c>
      <c r="WKM92" s="165" t="s">
        <v>945</v>
      </c>
      <c r="WKN92" s="166" t="str">
        <f>VLOOKUP(WKM92,[13]AssetDetails_UEM!$A$3:$AH$1849,6,FALSE)</f>
        <v>Electrosurgical Units, Monopolar/Bipolar</v>
      </c>
      <c r="WKO92" s="165" t="s">
        <v>945</v>
      </c>
      <c r="WKP92" s="166" t="str">
        <f>VLOOKUP(WKO92,[13]AssetDetails_UEM!$A$3:$AH$1849,6,FALSE)</f>
        <v>Electrosurgical Units, Monopolar/Bipolar</v>
      </c>
      <c r="WKQ92" s="165" t="s">
        <v>945</v>
      </c>
      <c r="WKR92" s="166" t="str">
        <f>VLOOKUP(WKQ92,[13]AssetDetails_UEM!$A$3:$AH$1849,6,FALSE)</f>
        <v>Electrosurgical Units, Monopolar/Bipolar</v>
      </c>
      <c r="WKS92" s="165" t="s">
        <v>945</v>
      </c>
      <c r="WKT92" s="166" t="str">
        <f>VLOOKUP(WKS92,[13]AssetDetails_UEM!$A$3:$AH$1849,6,FALSE)</f>
        <v>Electrosurgical Units, Monopolar/Bipolar</v>
      </c>
      <c r="WKU92" s="165" t="s">
        <v>945</v>
      </c>
      <c r="WKV92" s="166" t="str">
        <f>VLOOKUP(WKU92,[13]AssetDetails_UEM!$A$3:$AH$1849,6,FALSE)</f>
        <v>Electrosurgical Units, Monopolar/Bipolar</v>
      </c>
      <c r="WKW92" s="165" t="s">
        <v>945</v>
      </c>
      <c r="WKX92" s="166" t="str">
        <f>VLOOKUP(WKW92,[13]AssetDetails_UEM!$A$3:$AH$1849,6,FALSE)</f>
        <v>Electrosurgical Units, Monopolar/Bipolar</v>
      </c>
      <c r="WKY92" s="165" t="s">
        <v>945</v>
      </c>
      <c r="WKZ92" s="166" t="str">
        <f>VLOOKUP(WKY92,[13]AssetDetails_UEM!$A$3:$AH$1849,6,FALSE)</f>
        <v>Electrosurgical Units, Monopolar/Bipolar</v>
      </c>
      <c r="WLA92" s="165" t="s">
        <v>945</v>
      </c>
      <c r="WLB92" s="166" t="str">
        <f>VLOOKUP(WLA92,[13]AssetDetails_UEM!$A$3:$AH$1849,6,FALSE)</f>
        <v>Electrosurgical Units, Monopolar/Bipolar</v>
      </c>
      <c r="WLC92" s="165" t="s">
        <v>945</v>
      </c>
      <c r="WLD92" s="166" t="str">
        <f>VLOOKUP(WLC92,[13]AssetDetails_UEM!$A$3:$AH$1849,6,FALSE)</f>
        <v>Electrosurgical Units, Monopolar/Bipolar</v>
      </c>
      <c r="WLE92" s="165" t="s">
        <v>945</v>
      </c>
      <c r="WLF92" s="166" t="str">
        <f>VLOOKUP(WLE92,[13]AssetDetails_UEM!$A$3:$AH$1849,6,FALSE)</f>
        <v>Electrosurgical Units, Monopolar/Bipolar</v>
      </c>
      <c r="WLG92" s="165" t="s">
        <v>945</v>
      </c>
      <c r="WLH92" s="166" t="str">
        <f>VLOOKUP(WLG92,[13]AssetDetails_UEM!$A$3:$AH$1849,6,FALSE)</f>
        <v>Electrosurgical Units, Monopolar/Bipolar</v>
      </c>
      <c r="WLI92" s="165" t="s">
        <v>945</v>
      </c>
      <c r="WLJ92" s="166" t="str">
        <f>VLOOKUP(WLI92,[13]AssetDetails_UEM!$A$3:$AH$1849,6,FALSE)</f>
        <v>Electrosurgical Units, Monopolar/Bipolar</v>
      </c>
      <c r="WLK92" s="165" t="s">
        <v>945</v>
      </c>
      <c r="WLL92" s="166" t="str">
        <f>VLOOKUP(WLK92,[13]AssetDetails_UEM!$A$3:$AH$1849,6,FALSE)</f>
        <v>Electrosurgical Units, Monopolar/Bipolar</v>
      </c>
      <c r="WLM92" s="165" t="s">
        <v>945</v>
      </c>
      <c r="WLN92" s="166" t="str">
        <f>VLOOKUP(WLM92,[13]AssetDetails_UEM!$A$3:$AH$1849,6,FALSE)</f>
        <v>Electrosurgical Units, Monopolar/Bipolar</v>
      </c>
      <c r="WLO92" s="165" t="s">
        <v>945</v>
      </c>
      <c r="WLP92" s="166" t="str">
        <f>VLOOKUP(WLO92,[13]AssetDetails_UEM!$A$3:$AH$1849,6,FALSE)</f>
        <v>Electrosurgical Units, Monopolar/Bipolar</v>
      </c>
      <c r="WLQ92" s="165" t="s">
        <v>945</v>
      </c>
      <c r="WLR92" s="166" t="str">
        <f>VLOOKUP(WLQ92,[13]AssetDetails_UEM!$A$3:$AH$1849,6,FALSE)</f>
        <v>Electrosurgical Units, Monopolar/Bipolar</v>
      </c>
      <c r="WLS92" s="165" t="s">
        <v>945</v>
      </c>
      <c r="WLT92" s="166" t="str">
        <f>VLOOKUP(WLS92,[13]AssetDetails_UEM!$A$3:$AH$1849,6,FALSE)</f>
        <v>Electrosurgical Units, Monopolar/Bipolar</v>
      </c>
      <c r="WLU92" s="165" t="s">
        <v>945</v>
      </c>
      <c r="WLV92" s="166" t="str">
        <f>VLOOKUP(WLU92,[13]AssetDetails_UEM!$A$3:$AH$1849,6,FALSE)</f>
        <v>Electrosurgical Units, Monopolar/Bipolar</v>
      </c>
      <c r="WLW92" s="165" t="s">
        <v>945</v>
      </c>
      <c r="WLX92" s="166" t="str">
        <f>VLOOKUP(WLW92,[13]AssetDetails_UEM!$A$3:$AH$1849,6,FALSE)</f>
        <v>Electrosurgical Units, Monopolar/Bipolar</v>
      </c>
      <c r="WLY92" s="165" t="s">
        <v>945</v>
      </c>
      <c r="WLZ92" s="166" t="str">
        <f>VLOOKUP(WLY92,[13]AssetDetails_UEM!$A$3:$AH$1849,6,FALSE)</f>
        <v>Electrosurgical Units, Monopolar/Bipolar</v>
      </c>
      <c r="WMA92" s="165" t="s">
        <v>945</v>
      </c>
      <c r="WMB92" s="166" t="str">
        <f>VLOOKUP(WMA92,[13]AssetDetails_UEM!$A$3:$AH$1849,6,FALSE)</f>
        <v>Electrosurgical Units, Monopolar/Bipolar</v>
      </c>
      <c r="WMC92" s="165" t="s">
        <v>945</v>
      </c>
      <c r="WMD92" s="166" t="str">
        <f>VLOOKUP(WMC92,[13]AssetDetails_UEM!$A$3:$AH$1849,6,FALSE)</f>
        <v>Electrosurgical Units, Monopolar/Bipolar</v>
      </c>
      <c r="WME92" s="165" t="s">
        <v>945</v>
      </c>
      <c r="WMF92" s="166" t="str">
        <f>VLOOKUP(WME92,[13]AssetDetails_UEM!$A$3:$AH$1849,6,FALSE)</f>
        <v>Electrosurgical Units, Monopolar/Bipolar</v>
      </c>
      <c r="WMG92" s="165" t="s">
        <v>945</v>
      </c>
      <c r="WMH92" s="166" t="str">
        <f>VLOOKUP(WMG92,[13]AssetDetails_UEM!$A$3:$AH$1849,6,FALSE)</f>
        <v>Electrosurgical Units, Monopolar/Bipolar</v>
      </c>
      <c r="WMI92" s="165" t="s">
        <v>945</v>
      </c>
      <c r="WMJ92" s="166" t="str">
        <f>VLOOKUP(WMI92,[13]AssetDetails_UEM!$A$3:$AH$1849,6,FALSE)</f>
        <v>Electrosurgical Units, Monopolar/Bipolar</v>
      </c>
      <c r="WMK92" s="165" t="s">
        <v>945</v>
      </c>
      <c r="WML92" s="166" t="str">
        <f>VLOOKUP(WMK92,[13]AssetDetails_UEM!$A$3:$AH$1849,6,FALSE)</f>
        <v>Electrosurgical Units, Monopolar/Bipolar</v>
      </c>
      <c r="WMM92" s="165" t="s">
        <v>945</v>
      </c>
      <c r="WMN92" s="166" t="str">
        <f>VLOOKUP(WMM92,[13]AssetDetails_UEM!$A$3:$AH$1849,6,FALSE)</f>
        <v>Electrosurgical Units, Monopolar/Bipolar</v>
      </c>
      <c r="WMO92" s="165" t="s">
        <v>945</v>
      </c>
      <c r="WMP92" s="166" t="str">
        <f>VLOOKUP(WMO92,[13]AssetDetails_UEM!$A$3:$AH$1849,6,FALSE)</f>
        <v>Electrosurgical Units, Monopolar/Bipolar</v>
      </c>
      <c r="WMQ92" s="165" t="s">
        <v>945</v>
      </c>
      <c r="WMR92" s="166" t="str">
        <f>VLOOKUP(WMQ92,[13]AssetDetails_UEM!$A$3:$AH$1849,6,FALSE)</f>
        <v>Electrosurgical Units, Monopolar/Bipolar</v>
      </c>
      <c r="WMS92" s="165" t="s">
        <v>945</v>
      </c>
      <c r="WMT92" s="166" t="str">
        <f>VLOOKUP(WMS92,[13]AssetDetails_UEM!$A$3:$AH$1849,6,FALSE)</f>
        <v>Electrosurgical Units, Monopolar/Bipolar</v>
      </c>
      <c r="WMU92" s="165" t="s">
        <v>945</v>
      </c>
      <c r="WMV92" s="166" t="str">
        <f>VLOOKUP(WMU92,[13]AssetDetails_UEM!$A$3:$AH$1849,6,FALSE)</f>
        <v>Electrosurgical Units, Monopolar/Bipolar</v>
      </c>
      <c r="WMW92" s="165" t="s">
        <v>945</v>
      </c>
      <c r="WMX92" s="166" t="str">
        <f>VLOOKUP(WMW92,[13]AssetDetails_UEM!$A$3:$AH$1849,6,FALSE)</f>
        <v>Electrosurgical Units, Monopolar/Bipolar</v>
      </c>
      <c r="WMY92" s="165" t="s">
        <v>945</v>
      </c>
      <c r="WMZ92" s="166" t="str">
        <f>VLOOKUP(WMY92,[13]AssetDetails_UEM!$A$3:$AH$1849,6,FALSE)</f>
        <v>Electrosurgical Units, Monopolar/Bipolar</v>
      </c>
      <c r="WNA92" s="165" t="s">
        <v>945</v>
      </c>
      <c r="WNB92" s="166" t="str">
        <f>VLOOKUP(WNA92,[13]AssetDetails_UEM!$A$3:$AH$1849,6,FALSE)</f>
        <v>Electrosurgical Units, Monopolar/Bipolar</v>
      </c>
      <c r="WNC92" s="165" t="s">
        <v>945</v>
      </c>
      <c r="WND92" s="166" t="str">
        <f>VLOOKUP(WNC92,[13]AssetDetails_UEM!$A$3:$AH$1849,6,FALSE)</f>
        <v>Electrosurgical Units, Monopolar/Bipolar</v>
      </c>
      <c r="WNE92" s="165" t="s">
        <v>945</v>
      </c>
      <c r="WNF92" s="166" t="str">
        <f>VLOOKUP(WNE92,[13]AssetDetails_UEM!$A$3:$AH$1849,6,FALSE)</f>
        <v>Electrosurgical Units, Monopolar/Bipolar</v>
      </c>
      <c r="WNG92" s="165" t="s">
        <v>945</v>
      </c>
      <c r="WNH92" s="166" t="str">
        <f>VLOOKUP(WNG92,[13]AssetDetails_UEM!$A$3:$AH$1849,6,FALSE)</f>
        <v>Electrosurgical Units, Monopolar/Bipolar</v>
      </c>
      <c r="WNI92" s="165" t="s">
        <v>945</v>
      </c>
      <c r="WNJ92" s="166" t="str">
        <f>VLOOKUP(WNI92,[13]AssetDetails_UEM!$A$3:$AH$1849,6,FALSE)</f>
        <v>Electrosurgical Units, Monopolar/Bipolar</v>
      </c>
      <c r="WNK92" s="165" t="s">
        <v>945</v>
      </c>
      <c r="WNL92" s="166" t="str">
        <f>VLOOKUP(WNK92,[13]AssetDetails_UEM!$A$3:$AH$1849,6,FALSE)</f>
        <v>Electrosurgical Units, Monopolar/Bipolar</v>
      </c>
      <c r="WNM92" s="165" t="s">
        <v>945</v>
      </c>
      <c r="WNN92" s="166" t="str">
        <f>VLOOKUP(WNM92,[13]AssetDetails_UEM!$A$3:$AH$1849,6,FALSE)</f>
        <v>Electrosurgical Units, Monopolar/Bipolar</v>
      </c>
      <c r="WNO92" s="165" t="s">
        <v>945</v>
      </c>
      <c r="WNP92" s="166" t="str">
        <f>VLOOKUP(WNO92,[13]AssetDetails_UEM!$A$3:$AH$1849,6,FALSE)</f>
        <v>Electrosurgical Units, Monopolar/Bipolar</v>
      </c>
      <c r="WNQ92" s="165" t="s">
        <v>945</v>
      </c>
      <c r="WNR92" s="166" t="str">
        <f>VLOOKUP(WNQ92,[13]AssetDetails_UEM!$A$3:$AH$1849,6,FALSE)</f>
        <v>Electrosurgical Units, Monopolar/Bipolar</v>
      </c>
      <c r="WNS92" s="165" t="s">
        <v>945</v>
      </c>
      <c r="WNT92" s="166" t="str">
        <f>VLOOKUP(WNS92,[13]AssetDetails_UEM!$A$3:$AH$1849,6,FALSE)</f>
        <v>Electrosurgical Units, Monopolar/Bipolar</v>
      </c>
      <c r="WNU92" s="165" t="s">
        <v>945</v>
      </c>
      <c r="WNV92" s="166" t="str">
        <f>VLOOKUP(WNU92,[13]AssetDetails_UEM!$A$3:$AH$1849,6,FALSE)</f>
        <v>Electrosurgical Units, Monopolar/Bipolar</v>
      </c>
      <c r="WNW92" s="165" t="s">
        <v>945</v>
      </c>
      <c r="WNX92" s="166" t="str">
        <f>VLOOKUP(WNW92,[13]AssetDetails_UEM!$A$3:$AH$1849,6,FALSE)</f>
        <v>Electrosurgical Units, Monopolar/Bipolar</v>
      </c>
      <c r="WNY92" s="165" t="s">
        <v>945</v>
      </c>
      <c r="WNZ92" s="166" t="str">
        <f>VLOOKUP(WNY92,[13]AssetDetails_UEM!$A$3:$AH$1849,6,FALSE)</f>
        <v>Electrosurgical Units, Monopolar/Bipolar</v>
      </c>
      <c r="WOA92" s="165" t="s">
        <v>945</v>
      </c>
      <c r="WOB92" s="166" t="str">
        <f>VLOOKUP(WOA92,[13]AssetDetails_UEM!$A$3:$AH$1849,6,FALSE)</f>
        <v>Electrosurgical Units, Monopolar/Bipolar</v>
      </c>
      <c r="WOC92" s="165" t="s">
        <v>945</v>
      </c>
      <c r="WOD92" s="166" t="str">
        <f>VLOOKUP(WOC92,[13]AssetDetails_UEM!$A$3:$AH$1849,6,FALSE)</f>
        <v>Electrosurgical Units, Monopolar/Bipolar</v>
      </c>
      <c r="WOE92" s="165" t="s">
        <v>945</v>
      </c>
      <c r="WOF92" s="166" t="str">
        <f>VLOOKUP(WOE92,[13]AssetDetails_UEM!$A$3:$AH$1849,6,FALSE)</f>
        <v>Electrosurgical Units, Monopolar/Bipolar</v>
      </c>
      <c r="WOG92" s="165" t="s">
        <v>945</v>
      </c>
      <c r="WOH92" s="166" t="str">
        <f>VLOOKUP(WOG92,[13]AssetDetails_UEM!$A$3:$AH$1849,6,FALSE)</f>
        <v>Electrosurgical Units, Monopolar/Bipolar</v>
      </c>
      <c r="WOI92" s="165" t="s">
        <v>945</v>
      </c>
      <c r="WOJ92" s="166" t="str">
        <f>VLOOKUP(WOI92,[13]AssetDetails_UEM!$A$3:$AH$1849,6,FALSE)</f>
        <v>Electrosurgical Units, Monopolar/Bipolar</v>
      </c>
      <c r="WOK92" s="165" t="s">
        <v>945</v>
      </c>
      <c r="WOL92" s="166" t="str">
        <f>VLOOKUP(WOK92,[13]AssetDetails_UEM!$A$3:$AH$1849,6,FALSE)</f>
        <v>Electrosurgical Units, Monopolar/Bipolar</v>
      </c>
      <c r="WOM92" s="165" t="s">
        <v>945</v>
      </c>
      <c r="WON92" s="166" t="str">
        <f>VLOOKUP(WOM92,[13]AssetDetails_UEM!$A$3:$AH$1849,6,FALSE)</f>
        <v>Electrosurgical Units, Monopolar/Bipolar</v>
      </c>
      <c r="WOO92" s="165" t="s">
        <v>945</v>
      </c>
      <c r="WOP92" s="166" t="str">
        <f>VLOOKUP(WOO92,[13]AssetDetails_UEM!$A$3:$AH$1849,6,FALSE)</f>
        <v>Electrosurgical Units, Monopolar/Bipolar</v>
      </c>
      <c r="WOQ92" s="165" t="s">
        <v>945</v>
      </c>
      <c r="WOR92" s="166" t="str">
        <f>VLOOKUP(WOQ92,[13]AssetDetails_UEM!$A$3:$AH$1849,6,FALSE)</f>
        <v>Electrosurgical Units, Monopolar/Bipolar</v>
      </c>
      <c r="WOS92" s="165" t="s">
        <v>945</v>
      </c>
      <c r="WOT92" s="166" t="str">
        <f>VLOOKUP(WOS92,[13]AssetDetails_UEM!$A$3:$AH$1849,6,FALSE)</f>
        <v>Electrosurgical Units, Monopolar/Bipolar</v>
      </c>
      <c r="WOU92" s="165" t="s">
        <v>945</v>
      </c>
      <c r="WOV92" s="166" t="str">
        <f>VLOOKUP(WOU92,[13]AssetDetails_UEM!$A$3:$AH$1849,6,FALSE)</f>
        <v>Electrosurgical Units, Monopolar/Bipolar</v>
      </c>
      <c r="WOW92" s="165" t="s">
        <v>945</v>
      </c>
      <c r="WOX92" s="166" t="str">
        <f>VLOOKUP(WOW92,[13]AssetDetails_UEM!$A$3:$AH$1849,6,FALSE)</f>
        <v>Electrosurgical Units, Monopolar/Bipolar</v>
      </c>
      <c r="WOY92" s="165" t="s">
        <v>945</v>
      </c>
      <c r="WOZ92" s="166" t="str">
        <f>VLOOKUP(WOY92,[13]AssetDetails_UEM!$A$3:$AH$1849,6,FALSE)</f>
        <v>Electrosurgical Units, Monopolar/Bipolar</v>
      </c>
      <c r="WPA92" s="165" t="s">
        <v>945</v>
      </c>
      <c r="WPB92" s="166" t="str">
        <f>VLOOKUP(WPA92,[13]AssetDetails_UEM!$A$3:$AH$1849,6,FALSE)</f>
        <v>Electrosurgical Units, Monopolar/Bipolar</v>
      </c>
      <c r="WPC92" s="165" t="s">
        <v>945</v>
      </c>
      <c r="WPD92" s="166" t="str">
        <f>VLOOKUP(WPC92,[13]AssetDetails_UEM!$A$3:$AH$1849,6,FALSE)</f>
        <v>Electrosurgical Units, Monopolar/Bipolar</v>
      </c>
      <c r="WPE92" s="165" t="s">
        <v>945</v>
      </c>
      <c r="WPF92" s="166" t="str">
        <f>VLOOKUP(WPE92,[13]AssetDetails_UEM!$A$3:$AH$1849,6,FALSE)</f>
        <v>Electrosurgical Units, Monopolar/Bipolar</v>
      </c>
      <c r="WPG92" s="165" t="s">
        <v>945</v>
      </c>
      <c r="WPH92" s="166" t="str">
        <f>VLOOKUP(WPG92,[13]AssetDetails_UEM!$A$3:$AH$1849,6,FALSE)</f>
        <v>Electrosurgical Units, Monopolar/Bipolar</v>
      </c>
      <c r="WPI92" s="165" t="s">
        <v>945</v>
      </c>
      <c r="WPJ92" s="166" t="str">
        <f>VLOOKUP(WPI92,[13]AssetDetails_UEM!$A$3:$AH$1849,6,FALSE)</f>
        <v>Electrosurgical Units, Monopolar/Bipolar</v>
      </c>
      <c r="WPK92" s="165" t="s">
        <v>945</v>
      </c>
      <c r="WPL92" s="166" t="str">
        <f>VLOOKUP(WPK92,[13]AssetDetails_UEM!$A$3:$AH$1849,6,FALSE)</f>
        <v>Electrosurgical Units, Monopolar/Bipolar</v>
      </c>
      <c r="WPM92" s="165" t="s">
        <v>945</v>
      </c>
      <c r="WPN92" s="166" t="str">
        <f>VLOOKUP(WPM92,[13]AssetDetails_UEM!$A$3:$AH$1849,6,FALSE)</f>
        <v>Electrosurgical Units, Monopolar/Bipolar</v>
      </c>
      <c r="WPO92" s="165" t="s">
        <v>945</v>
      </c>
      <c r="WPP92" s="166" t="str">
        <f>VLOOKUP(WPO92,[13]AssetDetails_UEM!$A$3:$AH$1849,6,FALSE)</f>
        <v>Electrosurgical Units, Monopolar/Bipolar</v>
      </c>
      <c r="WPQ92" s="165" t="s">
        <v>945</v>
      </c>
      <c r="WPR92" s="166" t="str">
        <f>VLOOKUP(WPQ92,[13]AssetDetails_UEM!$A$3:$AH$1849,6,FALSE)</f>
        <v>Electrosurgical Units, Monopolar/Bipolar</v>
      </c>
      <c r="WPS92" s="165" t="s">
        <v>945</v>
      </c>
      <c r="WPT92" s="166" t="str">
        <f>VLOOKUP(WPS92,[13]AssetDetails_UEM!$A$3:$AH$1849,6,FALSE)</f>
        <v>Electrosurgical Units, Monopolar/Bipolar</v>
      </c>
      <c r="WPU92" s="165" t="s">
        <v>945</v>
      </c>
      <c r="WPV92" s="166" t="str">
        <f>VLOOKUP(WPU92,[13]AssetDetails_UEM!$A$3:$AH$1849,6,FALSE)</f>
        <v>Electrosurgical Units, Monopolar/Bipolar</v>
      </c>
      <c r="WPW92" s="165" t="s">
        <v>945</v>
      </c>
      <c r="WPX92" s="166" t="str">
        <f>VLOOKUP(WPW92,[13]AssetDetails_UEM!$A$3:$AH$1849,6,FALSE)</f>
        <v>Electrosurgical Units, Monopolar/Bipolar</v>
      </c>
      <c r="WPY92" s="165" t="s">
        <v>945</v>
      </c>
      <c r="WPZ92" s="166" t="str">
        <f>VLOOKUP(WPY92,[13]AssetDetails_UEM!$A$3:$AH$1849,6,FALSE)</f>
        <v>Electrosurgical Units, Monopolar/Bipolar</v>
      </c>
      <c r="WQA92" s="165" t="s">
        <v>945</v>
      </c>
      <c r="WQB92" s="166" t="str">
        <f>VLOOKUP(WQA92,[13]AssetDetails_UEM!$A$3:$AH$1849,6,FALSE)</f>
        <v>Electrosurgical Units, Monopolar/Bipolar</v>
      </c>
      <c r="WQC92" s="165" t="s">
        <v>945</v>
      </c>
      <c r="WQD92" s="166" t="str">
        <f>VLOOKUP(WQC92,[13]AssetDetails_UEM!$A$3:$AH$1849,6,FALSE)</f>
        <v>Electrosurgical Units, Monopolar/Bipolar</v>
      </c>
      <c r="WQE92" s="165" t="s">
        <v>945</v>
      </c>
      <c r="WQF92" s="166" t="str">
        <f>VLOOKUP(WQE92,[13]AssetDetails_UEM!$A$3:$AH$1849,6,FALSE)</f>
        <v>Electrosurgical Units, Monopolar/Bipolar</v>
      </c>
      <c r="WQG92" s="165" t="s">
        <v>945</v>
      </c>
      <c r="WQH92" s="166" t="str">
        <f>VLOOKUP(WQG92,[13]AssetDetails_UEM!$A$3:$AH$1849,6,FALSE)</f>
        <v>Electrosurgical Units, Monopolar/Bipolar</v>
      </c>
      <c r="WQI92" s="165" t="s">
        <v>945</v>
      </c>
      <c r="WQJ92" s="166" t="str">
        <f>VLOOKUP(WQI92,[13]AssetDetails_UEM!$A$3:$AH$1849,6,FALSE)</f>
        <v>Electrosurgical Units, Monopolar/Bipolar</v>
      </c>
      <c r="WQK92" s="165" t="s">
        <v>945</v>
      </c>
      <c r="WQL92" s="166" t="str">
        <f>VLOOKUP(WQK92,[13]AssetDetails_UEM!$A$3:$AH$1849,6,FALSE)</f>
        <v>Electrosurgical Units, Monopolar/Bipolar</v>
      </c>
      <c r="WQM92" s="165" t="s">
        <v>945</v>
      </c>
      <c r="WQN92" s="166" t="str">
        <f>VLOOKUP(WQM92,[13]AssetDetails_UEM!$A$3:$AH$1849,6,FALSE)</f>
        <v>Electrosurgical Units, Monopolar/Bipolar</v>
      </c>
      <c r="WQO92" s="165" t="s">
        <v>945</v>
      </c>
      <c r="WQP92" s="166" t="str">
        <f>VLOOKUP(WQO92,[13]AssetDetails_UEM!$A$3:$AH$1849,6,FALSE)</f>
        <v>Electrosurgical Units, Monopolar/Bipolar</v>
      </c>
      <c r="WQQ92" s="165" t="s">
        <v>945</v>
      </c>
      <c r="WQR92" s="166" t="str">
        <f>VLOOKUP(WQQ92,[13]AssetDetails_UEM!$A$3:$AH$1849,6,FALSE)</f>
        <v>Electrosurgical Units, Monopolar/Bipolar</v>
      </c>
      <c r="WQS92" s="165" t="s">
        <v>945</v>
      </c>
      <c r="WQT92" s="166" t="str">
        <f>VLOOKUP(WQS92,[13]AssetDetails_UEM!$A$3:$AH$1849,6,FALSE)</f>
        <v>Electrosurgical Units, Monopolar/Bipolar</v>
      </c>
      <c r="WQU92" s="165" t="s">
        <v>945</v>
      </c>
      <c r="WQV92" s="166" t="str">
        <f>VLOOKUP(WQU92,[13]AssetDetails_UEM!$A$3:$AH$1849,6,FALSE)</f>
        <v>Electrosurgical Units, Monopolar/Bipolar</v>
      </c>
      <c r="WQW92" s="165" t="s">
        <v>945</v>
      </c>
      <c r="WQX92" s="166" t="str">
        <f>VLOOKUP(WQW92,[13]AssetDetails_UEM!$A$3:$AH$1849,6,FALSE)</f>
        <v>Electrosurgical Units, Monopolar/Bipolar</v>
      </c>
      <c r="WQY92" s="165" t="s">
        <v>945</v>
      </c>
      <c r="WQZ92" s="166" t="str">
        <f>VLOOKUP(WQY92,[13]AssetDetails_UEM!$A$3:$AH$1849,6,FALSE)</f>
        <v>Electrosurgical Units, Monopolar/Bipolar</v>
      </c>
      <c r="WRA92" s="165" t="s">
        <v>945</v>
      </c>
      <c r="WRB92" s="166" t="str">
        <f>VLOOKUP(WRA92,[13]AssetDetails_UEM!$A$3:$AH$1849,6,FALSE)</f>
        <v>Electrosurgical Units, Monopolar/Bipolar</v>
      </c>
      <c r="WRC92" s="165" t="s">
        <v>945</v>
      </c>
      <c r="WRD92" s="166" t="str">
        <f>VLOOKUP(WRC92,[13]AssetDetails_UEM!$A$3:$AH$1849,6,FALSE)</f>
        <v>Electrosurgical Units, Monopolar/Bipolar</v>
      </c>
      <c r="WRE92" s="165" t="s">
        <v>945</v>
      </c>
      <c r="WRF92" s="166" t="str">
        <f>VLOOKUP(WRE92,[13]AssetDetails_UEM!$A$3:$AH$1849,6,FALSE)</f>
        <v>Electrosurgical Units, Monopolar/Bipolar</v>
      </c>
      <c r="WRG92" s="165" t="s">
        <v>945</v>
      </c>
      <c r="WRH92" s="166" t="str">
        <f>VLOOKUP(WRG92,[13]AssetDetails_UEM!$A$3:$AH$1849,6,FALSE)</f>
        <v>Electrosurgical Units, Monopolar/Bipolar</v>
      </c>
      <c r="WRI92" s="165" t="s">
        <v>945</v>
      </c>
      <c r="WRJ92" s="166" t="str">
        <f>VLOOKUP(WRI92,[13]AssetDetails_UEM!$A$3:$AH$1849,6,FALSE)</f>
        <v>Electrosurgical Units, Monopolar/Bipolar</v>
      </c>
      <c r="WRK92" s="165" t="s">
        <v>945</v>
      </c>
      <c r="WRL92" s="166" t="str">
        <f>VLOOKUP(WRK92,[13]AssetDetails_UEM!$A$3:$AH$1849,6,FALSE)</f>
        <v>Electrosurgical Units, Monopolar/Bipolar</v>
      </c>
      <c r="WRM92" s="165" t="s">
        <v>945</v>
      </c>
      <c r="WRN92" s="166" t="str">
        <f>VLOOKUP(WRM92,[13]AssetDetails_UEM!$A$3:$AH$1849,6,FALSE)</f>
        <v>Electrosurgical Units, Monopolar/Bipolar</v>
      </c>
      <c r="WRO92" s="165" t="s">
        <v>945</v>
      </c>
      <c r="WRP92" s="166" t="str">
        <f>VLOOKUP(WRO92,[13]AssetDetails_UEM!$A$3:$AH$1849,6,FALSE)</f>
        <v>Electrosurgical Units, Monopolar/Bipolar</v>
      </c>
      <c r="WRQ92" s="165" t="s">
        <v>945</v>
      </c>
      <c r="WRR92" s="166" t="str">
        <f>VLOOKUP(WRQ92,[13]AssetDetails_UEM!$A$3:$AH$1849,6,FALSE)</f>
        <v>Electrosurgical Units, Monopolar/Bipolar</v>
      </c>
      <c r="WRS92" s="165" t="s">
        <v>945</v>
      </c>
      <c r="WRT92" s="166" t="str">
        <f>VLOOKUP(WRS92,[13]AssetDetails_UEM!$A$3:$AH$1849,6,FALSE)</f>
        <v>Electrosurgical Units, Monopolar/Bipolar</v>
      </c>
      <c r="WRU92" s="165" t="s">
        <v>945</v>
      </c>
      <c r="WRV92" s="166" t="str">
        <f>VLOOKUP(WRU92,[13]AssetDetails_UEM!$A$3:$AH$1849,6,FALSE)</f>
        <v>Electrosurgical Units, Monopolar/Bipolar</v>
      </c>
      <c r="WRW92" s="165" t="s">
        <v>945</v>
      </c>
      <c r="WRX92" s="166" t="str">
        <f>VLOOKUP(WRW92,[13]AssetDetails_UEM!$A$3:$AH$1849,6,FALSE)</f>
        <v>Electrosurgical Units, Monopolar/Bipolar</v>
      </c>
      <c r="WRY92" s="165" t="s">
        <v>945</v>
      </c>
      <c r="WRZ92" s="166" t="str">
        <f>VLOOKUP(WRY92,[13]AssetDetails_UEM!$A$3:$AH$1849,6,FALSE)</f>
        <v>Electrosurgical Units, Monopolar/Bipolar</v>
      </c>
      <c r="WSA92" s="165" t="s">
        <v>945</v>
      </c>
      <c r="WSB92" s="166" t="str">
        <f>VLOOKUP(WSA92,[13]AssetDetails_UEM!$A$3:$AH$1849,6,FALSE)</f>
        <v>Electrosurgical Units, Monopolar/Bipolar</v>
      </c>
      <c r="WSC92" s="165" t="s">
        <v>945</v>
      </c>
      <c r="WSD92" s="166" t="str">
        <f>VLOOKUP(WSC92,[13]AssetDetails_UEM!$A$3:$AH$1849,6,FALSE)</f>
        <v>Electrosurgical Units, Monopolar/Bipolar</v>
      </c>
      <c r="WSE92" s="165" t="s">
        <v>945</v>
      </c>
      <c r="WSF92" s="166" t="str">
        <f>VLOOKUP(WSE92,[13]AssetDetails_UEM!$A$3:$AH$1849,6,FALSE)</f>
        <v>Electrosurgical Units, Monopolar/Bipolar</v>
      </c>
      <c r="WSG92" s="165" t="s">
        <v>945</v>
      </c>
      <c r="WSH92" s="166" t="str">
        <f>VLOOKUP(WSG92,[13]AssetDetails_UEM!$A$3:$AH$1849,6,FALSE)</f>
        <v>Electrosurgical Units, Monopolar/Bipolar</v>
      </c>
      <c r="WSI92" s="165" t="s">
        <v>945</v>
      </c>
      <c r="WSJ92" s="166" t="str">
        <f>VLOOKUP(WSI92,[13]AssetDetails_UEM!$A$3:$AH$1849,6,FALSE)</f>
        <v>Electrosurgical Units, Monopolar/Bipolar</v>
      </c>
      <c r="WSK92" s="165" t="s">
        <v>945</v>
      </c>
      <c r="WSL92" s="166" t="str">
        <f>VLOOKUP(WSK92,[13]AssetDetails_UEM!$A$3:$AH$1849,6,FALSE)</f>
        <v>Electrosurgical Units, Monopolar/Bipolar</v>
      </c>
      <c r="WSM92" s="165" t="s">
        <v>945</v>
      </c>
      <c r="WSN92" s="166" t="str">
        <f>VLOOKUP(WSM92,[13]AssetDetails_UEM!$A$3:$AH$1849,6,FALSE)</f>
        <v>Electrosurgical Units, Monopolar/Bipolar</v>
      </c>
      <c r="WSO92" s="165" t="s">
        <v>945</v>
      </c>
      <c r="WSP92" s="166" t="str">
        <f>VLOOKUP(WSO92,[13]AssetDetails_UEM!$A$3:$AH$1849,6,FALSE)</f>
        <v>Electrosurgical Units, Monopolar/Bipolar</v>
      </c>
      <c r="WSQ92" s="165" t="s">
        <v>945</v>
      </c>
      <c r="WSR92" s="166" t="str">
        <f>VLOOKUP(WSQ92,[13]AssetDetails_UEM!$A$3:$AH$1849,6,FALSE)</f>
        <v>Electrosurgical Units, Monopolar/Bipolar</v>
      </c>
      <c r="WSS92" s="165" t="s">
        <v>945</v>
      </c>
      <c r="WST92" s="166" t="str">
        <f>VLOOKUP(WSS92,[13]AssetDetails_UEM!$A$3:$AH$1849,6,FALSE)</f>
        <v>Electrosurgical Units, Monopolar/Bipolar</v>
      </c>
      <c r="WSU92" s="165" t="s">
        <v>945</v>
      </c>
      <c r="WSV92" s="166" t="str">
        <f>VLOOKUP(WSU92,[13]AssetDetails_UEM!$A$3:$AH$1849,6,FALSE)</f>
        <v>Electrosurgical Units, Monopolar/Bipolar</v>
      </c>
      <c r="WSW92" s="165" t="s">
        <v>945</v>
      </c>
      <c r="WSX92" s="166" t="str">
        <f>VLOOKUP(WSW92,[13]AssetDetails_UEM!$A$3:$AH$1849,6,FALSE)</f>
        <v>Electrosurgical Units, Monopolar/Bipolar</v>
      </c>
      <c r="WSY92" s="165" t="s">
        <v>945</v>
      </c>
      <c r="WSZ92" s="166" t="str">
        <f>VLOOKUP(WSY92,[13]AssetDetails_UEM!$A$3:$AH$1849,6,FALSE)</f>
        <v>Electrosurgical Units, Monopolar/Bipolar</v>
      </c>
      <c r="WTA92" s="165" t="s">
        <v>945</v>
      </c>
      <c r="WTB92" s="166" t="str">
        <f>VLOOKUP(WTA92,[13]AssetDetails_UEM!$A$3:$AH$1849,6,FALSE)</f>
        <v>Electrosurgical Units, Monopolar/Bipolar</v>
      </c>
      <c r="WTC92" s="165" t="s">
        <v>945</v>
      </c>
      <c r="WTD92" s="166" t="str">
        <f>VLOOKUP(WTC92,[13]AssetDetails_UEM!$A$3:$AH$1849,6,FALSE)</f>
        <v>Electrosurgical Units, Monopolar/Bipolar</v>
      </c>
      <c r="WTE92" s="165" t="s">
        <v>945</v>
      </c>
      <c r="WTF92" s="166" t="str">
        <f>VLOOKUP(WTE92,[13]AssetDetails_UEM!$A$3:$AH$1849,6,FALSE)</f>
        <v>Electrosurgical Units, Monopolar/Bipolar</v>
      </c>
      <c r="WTG92" s="165" t="s">
        <v>945</v>
      </c>
      <c r="WTH92" s="166" t="str">
        <f>VLOOKUP(WTG92,[13]AssetDetails_UEM!$A$3:$AH$1849,6,FALSE)</f>
        <v>Electrosurgical Units, Monopolar/Bipolar</v>
      </c>
      <c r="WTI92" s="165" t="s">
        <v>945</v>
      </c>
      <c r="WTJ92" s="166" t="str">
        <f>VLOOKUP(WTI92,[13]AssetDetails_UEM!$A$3:$AH$1849,6,FALSE)</f>
        <v>Electrosurgical Units, Monopolar/Bipolar</v>
      </c>
      <c r="WTK92" s="165" t="s">
        <v>945</v>
      </c>
      <c r="WTL92" s="166" t="str">
        <f>VLOOKUP(WTK92,[13]AssetDetails_UEM!$A$3:$AH$1849,6,FALSE)</f>
        <v>Electrosurgical Units, Monopolar/Bipolar</v>
      </c>
      <c r="WTM92" s="165" t="s">
        <v>945</v>
      </c>
      <c r="WTN92" s="166" t="str">
        <f>VLOOKUP(WTM92,[13]AssetDetails_UEM!$A$3:$AH$1849,6,FALSE)</f>
        <v>Electrosurgical Units, Monopolar/Bipolar</v>
      </c>
      <c r="WTO92" s="165" t="s">
        <v>945</v>
      </c>
      <c r="WTP92" s="166" t="str">
        <f>VLOOKUP(WTO92,[13]AssetDetails_UEM!$A$3:$AH$1849,6,FALSE)</f>
        <v>Electrosurgical Units, Monopolar/Bipolar</v>
      </c>
      <c r="WTQ92" s="165" t="s">
        <v>945</v>
      </c>
      <c r="WTR92" s="166" t="str">
        <f>VLOOKUP(WTQ92,[13]AssetDetails_UEM!$A$3:$AH$1849,6,FALSE)</f>
        <v>Electrosurgical Units, Monopolar/Bipolar</v>
      </c>
      <c r="WTS92" s="165" t="s">
        <v>945</v>
      </c>
      <c r="WTT92" s="166" t="str">
        <f>VLOOKUP(WTS92,[13]AssetDetails_UEM!$A$3:$AH$1849,6,FALSE)</f>
        <v>Electrosurgical Units, Monopolar/Bipolar</v>
      </c>
      <c r="WTU92" s="165" t="s">
        <v>945</v>
      </c>
      <c r="WTV92" s="166" t="str">
        <f>VLOOKUP(WTU92,[13]AssetDetails_UEM!$A$3:$AH$1849,6,FALSE)</f>
        <v>Electrosurgical Units, Monopolar/Bipolar</v>
      </c>
      <c r="WTW92" s="165" t="s">
        <v>945</v>
      </c>
      <c r="WTX92" s="166" t="str">
        <f>VLOOKUP(WTW92,[13]AssetDetails_UEM!$A$3:$AH$1849,6,FALSE)</f>
        <v>Electrosurgical Units, Monopolar/Bipolar</v>
      </c>
      <c r="WTY92" s="165" t="s">
        <v>945</v>
      </c>
      <c r="WTZ92" s="166" t="str">
        <f>VLOOKUP(WTY92,[13]AssetDetails_UEM!$A$3:$AH$1849,6,FALSE)</f>
        <v>Electrosurgical Units, Monopolar/Bipolar</v>
      </c>
      <c r="WUA92" s="165" t="s">
        <v>945</v>
      </c>
      <c r="WUB92" s="166" t="str">
        <f>VLOOKUP(WUA92,[13]AssetDetails_UEM!$A$3:$AH$1849,6,FALSE)</f>
        <v>Electrosurgical Units, Monopolar/Bipolar</v>
      </c>
      <c r="WUC92" s="165" t="s">
        <v>945</v>
      </c>
      <c r="WUD92" s="166" t="str">
        <f>VLOOKUP(WUC92,[13]AssetDetails_UEM!$A$3:$AH$1849,6,FALSE)</f>
        <v>Electrosurgical Units, Monopolar/Bipolar</v>
      </c>
      <c r="WUE92" s="165" t="s">
        <v>945</v>
      </c>
      <c r="WUF92" s="166" t="str">
        <f>VLOOKUP(WUE92,[13]AssetDetails_UEM!$A$3:$AH$1849,6,FALSE)</f>
        <v>Electrosurgical Units, Monopolar/Bipolar</v>
      </c>
      <c r="WUG92" s="165" t="s">
        <v>945</v>
      </c>
      <c r="WUH92" s="166" t="str">
        <f>VLOOKUP(WUG92,[13]AssetDetails_UEM!$A$3:$AH$1849,6,FALSE)</f>
        <v>Electrosurgical Units, Monopolar/Bipolar</v>
      </c>
      <c r="WUI92" s="165" t="s">
        <v>945</v>
      </c>
      <c r="WUJ92" s="166" t="str">
        <f>VLOOKUP(WUI92,[13]AssetDetails_UEM!$A$3:$AH$1849,6,FALSE)</f>
        <v>Electrosurgical Units, Monopolar/Bipolar</v>
      </c>
      <c r="WUK92" s="165" t="s">
        <v>945</v>
      </c>
      <c r="WUL92" s="166" t="str">
        <f>VLOOKUP(WUK92,[13]AssetDetails_UEM!$A$3:$AH$1849,6,FALSE)</f>
        <v>Electrosurgical Units, Monopolar/Bipolar</v>
      </c>
      <c r="WUM92" s="165" t="s">
        <v>945</v>
      </c>
      <c r="WUN92" s="166" t="str">
        <f>VLOOKUP(WUM92,[13]AssetDetails_UEM!$A$3:$AH$1849,6,FALSE)</f>
        <v>Electrosurgical Units, Monopolar/Bipolar</v>
      </c>
      <c r="WUO92" s="165" t="s">
        <v>945</v>
      </c>
      <c r="WUP92" s="166" t="str">
        <f>VLOOKUP(WUO92,[13]AssetDetails_UEM!$A$3:$AH$1849,6,FALSE)</f>
        <v>Electrosurgical Units, Monopolar/Bipolar</v>
      </c>
      <c r="WUQ92" s="165" t="s">
        <v>945</v>
      </c>
      <c r="WUR92" s="166" t="str">
        <f>VLOOKUP(WUQ92,[13]AssetDetails_UEM!$A$3:$AH$1849,6,FALSE)</f>
        <v>Electrosurgical Units, Monopolar/Bipolar</v>
      </c>
      <c r="WUS92" s="165" t="s">
        <v>945</v>
      </c>
      <c r="WUT92" s="166" t="str">
        <f>VLOOKUP(WUS92,[13]AssetDetails_UEM!$A$3:$AH$1849,6,FALSE)</f>
        <v>Electrosurgical Units, Monopolar/Bipolar</v>
      </c>
      <c r="WUU92" s="165" t="s">
        <v>945</v>
      </c>
      <c r="WUV92" s="166" t="str">
        <f>VLOOKUP(WUU92,[13]AssetDetails_UEM!$A$3:$AH$1849,6,FALSE)</f>
        <v>Electrosurgical Units, Monopolar/Bipolar</v>
      </c>
      <c r="WUW92" s="165" t="s">
        <v>945</v>
      </c>
      <c r="WUX92" s="166" t="str">
        <f>VLOOKUP(WUW92,[13]AssetDetails_UEM!$A$3:$AH$1849,6,FALSE)</f>
        <v>Electrosurgical Units, Monopolar/Bipolar</v>
      </c>
      <c r="WUY92" s="165" t="s">
        <v>945</v>
      </c>
      <c r="WUZ92" s="166" t="str">
        <f>VLOOKUP(WUY92,[13]AssetDetails_UEM!$A$3:$AH$1849,6,FALSE)</f>
        <v>Electrosurgical Units, Monopolar/Bipolar</v>
      </c>
      <c r="WVA92" s="165" t="s">
        <v>945</v>
      </c>
      <c r="WVB92" s="166" t="str">
        <f>VLOOKUP(WVA92,[13]AssetDetails_UEM!$A$3:$AH$1849,6,FALSE)</f>
        <v>Electrosurgical Units, Monopolar/Bipolar</v>
      </c>
      <c r="WVC92" s="165" t="s">
        <v>945</v>
      </c>
      <c r="WVD92" s="166" t="str">
        <f>VLOOKUP(WVC92,[13]AssetDetails_UEM!$A$3:$AH$1849,6,FALSE)</f>
        <v>Electrosurgical Units, Monopolar/Bipolar</v>
      </c>
      <c r="WVE92" s="165" t="s">
        <v>945</v>
      </c>
      <c r="WVF92" s="166" t="str">
        <f>VLOOKUP(WVE92,[13]AssetDetails_UEM!$A$3:$AH$1849,6,FALSE)</f>
        <v>Electrosurgical Units, Monopolar/Bipolar</v>
      </c>
      <c r="WVG92" s="165" t="s">
        <v>945</v>
      </c>
      <c r="WVH92" s="166" t="str">
        <f>VLOOKUP(WVG92,[13]AssetDetails_UEM!$A$3:$AH$1849,6,FALSE)</f>
        <v>Electrosurgical Units, Monopolar/Bipolar</v>
      </c>
      <c r="WVI92" s="165" t="s">
        <v>945</v>
      </c>
      <c r="WVJ92" s="166" t="str">
        <f>VLOOKUP(WVI92,[13]AssetDetails_UEM!$A$3:$AH$1849,6,FALSE)</f>
        <v>Electrosurgical Units, Monopolar/Bipolar</v>
      </c>
      <c r="WVK92" s="165" t="s">
        <v>945</v>
      </c>
      <c r="WVL92" s="166" t="str">
        <f>VLOOKUP(WVK92,[13]AssetDetails_UEM!$A$3:$AH$1849,6,FALSE)</f>
        <v>Electrosurgical Units, Monopolar/Bipolar</v>
      </c>
      <c r="WVM92" s="165" t="s">
        <v>945</v>
      </c>
      <c r="WVN92" s="166" t="str">
        <f>VLOOKUP(WVM92,[13]AssetDetails_UEM!$A$3:$AH$1849,6,FALSE)</f>
        <v>Electrosurgical Units, Monopolar/Bipolar</v>
      </c>
      <c r="WVO92" s="165" t="s">
        <v>945</v>
      </c>
      <c r="WVP92" s="166" t="str">
        <f>VLOOKUP(WVO92,[13]AssetDetails_UEM!$A$3:$AH$1849,6,FALSE)</f>
        <v>Electrosurgical Units, Monopolar/Bipolar</v>
      </c>
      <c r="WVQ92" s="165" t="s">
        <v>945</v>
      </c>
      <c r="WVR92" s="166" t="str">
        <f>VLOOKUP(WVQ92,[13]AssetDetails_UEM!$A$3:$AH$1849,6,FALSE)</f>
        <v>Electrosurgical Units, Monopolar/Bipolar</v>
      </c>
      <c r="WVS92" s="165" t="s">
        <v>945</v>
      </c>
      <c r="WVT92" s="166" t="str">
        <f>VLOOKUP(WVS92,[13]AssetDetails_UEM!$A$3:$AH$1849,6,FALSE)</f>
        <v>Electrosurgical Units, Monopolar/Bipolar</v>
      </c>
      <c r="WVU92" s="165" t="s">
        <v>945</v>
      </c>
      <c r="WVV92" s="166" t="str">
        <f>VLOOKUP(WVU92,[13]AssetDetails_UEM!$A$3:$AH$1849,6,FALSE)</f>
        <v>Electrosurgical Units, Monopolar/Bipolar</v>
      </c>
      <c r="WVW92" s="165" t="s">
        <v>945</v>
      </c>
      <c r="WVX92" s="166" t="str">
        <f>VLOOKUP(WVW92,[13]AssetDetails_UEM!$A$3:$AH$1849,6,FALSE)</f>
        <v>Electrosurgical Units, Monopolar/Bipolar</v>
      </c>
      <c r="WVY92" s="165" t="s">
        <v>945</v>
      </c>
      <c r="WVZ92" s="166" t="str">
        <f>VLOOKUP(WVY92,[13]AssetDetails_UEM!$A$3:$AH$1849,6,FALSE)</f>
        <v>Electrosurgical Units, Monopolar/Bipolar</v>
      </c>
      <c r="WWA92" s="165" t="s">
        <v>945</v>
      </c>
      <c r="WWB92" s="166" t="str">
        <f>VLOOKUP(WWA92,[13]AssetDetails_UEM!$A$3:$AH$1849,6,FALSE)</f>
        <v>Electrosurgical Units, Monopolar/Bipolar</v>
      </c>
      <c r="WWC92" s="165" t="s">
        <v>945</v>
      </c>
      <c r="WWD92" s="166" t="str">
        <f>VLOOKUP(WWC92,[13]AssetDetails_UEM!$A$3:$AH$1849,6,FALSE)</f>
        <v>Electrosurgical Units, Monopolar/Bipolar</v>
      </c>
      <c r="WWE92" s="165" t="s">
        <v>945</v>
      </c>
      <c r="WWF92" s="166" t="str">
        <f>VLOOKUP(WWE92,[13]AssetDetails_UEM!$A$3:$AH$1849,6,FALSE)</f>
        <v>Electrosurgical Units, Monopolar/Bipolar</v>
      </c>
      <c r="WWG92" s="165" t="s">
        <v>945</v>
      </c>
      <c r="WWH92" s="166" t="str">
        <f>VLOOKUP(WWG92,[13]AssetDetails_UEM!$A$3:$AH$1849,6,FALSE)</f>
        <v>Electrosurgical Units, Monopolar/Bipolar</v>
      </c>
      <c r="WWI92" s="165" t="s">
        <v>945</v>
      </c>
      <c r="WWJ92" s="166" t="str">
        <f>VLOOKUP(WWI92,[13]AssetDetails_UEM!$A$3:$AH$1849,6,FALSE)</f>
        <v>Electrosurgical Units, Monopolar/Bipolar</v>
      </c>
      <c r="WWK92" s="165" t="s">
        <v>945</v>
      </c>
      <c r="WWL92" s="166" t="str">
        <f>VLOOKUP(WWK92,[13]AssetDetails_UEM!$A$3:$AH$1849,6,FALSE)</f>
        <v>Electrosurgical Units, Monopolar/Bipolar</v>
      </c>
      <c r="WWM92" s="165" t="s">
        <v>945</v>
      </c>
      <c r="WWN92" s="166" t="str">
        <f>VLOOKUP(WWM92,[13]AssetDetails_UEM!$A$3:$AH$1849,6,FALSE)</f>
        <v>Electrosurgical Units, Monopolar/Bipolar</v>
      </c>
      <c r="WWO92" s="165" t="s">
        <v>945</v>
      </c>
      <c r="WWP92" s="166" t="str">
        <f>VLOOKUP(WWO92,[13]AssetDetails_UEM!$A$3:$AH$1849,6,FALSE)</f>
        <v>Electrosurgical Units, Monopolar/Bipolar</v>
      </c>
      <c r="WWQ92" s="165" t="s">
        <v>945</v>
      </c>
      <c r="WWR92" s="166" t="str">
        <f>VLOOKUP(WWQ92,[13]AssetDetails_UEM!$A$3:$AH$1849,6,FALSE)</f>
        <v>Electrosurgical Units, Monopolar/Bipolar</v>
      </c>
      <c r="WWS92" s="165" t="s">
        <v>945</v>
      </c>
      <c r="WWT92" s="166" t="str">
        <f>VLOOKUP(WWS92,[13]AssetDetails_UEM!$A$3:$AH$1849,6,FALSE)</f>
        <v>Electrosurgical Units, Monopolar/Bipolar</v>
      </c>
      <c r="WWU92" s="165" t="s">
        <v>945</v>
      </c>
      <c r="WWV92" s="166" t="str">
        <f>VLOOKUP(WWU92,[13]AssetDetails_UEM!$A$3:$AH$1849,6,FALSE)</f>
        <v>Electrosurgical Units, Monopolar/Bipolar</v>
      </c>
      <c r="WWW92" s="165" t="s">
        <v>945</v>
      </c>
      <c r="WWX92" s="166" t="str">
        <f>VLOOKUP(WWW92,[13]AssetDetails_UEM!$A$3:$AH$1849,6,FALSE)</f>
        <v>Electrosurgical Units, Monopolar/Bipolar</v>
      </c>
      <c r="WWY92" s="165" t="s">
        <v>945</v>
      </c>
      <c r="WWZ92" s="166" t="str">
        <f>VLOOKUP(WWY92,[13]AssetDetails_UEM!$A$3:$AH$1849,6,FALSE)</f>
        <v>Electrosurgical Units, Monopolar/Bipolar</v>
      </c>
      <c r="WXA92" s="165" t="s">
        <v>945</v>
      </c>
      <c r="WXB92" s="166" t="str">
        <f>VLOOKUP(WXA92,[13]AssetDetails_UEM!$A$3:$AH$1849,6,FALSE)</f>
        <v>Electrosurgical Units, Monopolar/Bipolar</v>
      </c>
      <c r="WXC92" s="165" t="s">
        <v>945</v>
      </c>
      <c r="WXD92" s="166" t="str">
        <f>VLOOKUP(WXC92,[13]AssetDetails_UEM!$A$3:$AH$1849,6,FALSE)</f>
        <v>Electrosurgical Units, Monopolar/Bipolar</v>
      </c>
      <c r="WXE92" s="165" t="s">
        <v>945</v>
      </c>
      <c r="WXF92" s="166" t="str">
        <f>VLOOKUP(WXE92,[13]AssetDetails_UEM!$A$3:$AH$1849,6,FALSE)</f>
        <v>Electrosurgical Units, Monopolar/Bipolar</v>
      </c>
      <c r="WXG92" s="165" t="s">
        <v>945</v>
      </c>
      <c r="WXH92" s="166" t="str">
        <f>VLOOKUP(WXG92,[13]AssetDetails_UEM!$A$3:$AH$1849,6,FALSE)</f>
        <v>Electrosurgical Units, Monopolar/Bipolar</v>
      </c>
      <c r="WXI92" s="165" t="s">
        <v>945</v>
      </c>
      <c r="WXJ92" s="166" t="str">
        <f>VLOOKUP(WXI92,[13]AssetDetails_UEM!$A$3:$AH$1849,6,FALSE)</f>
        <v>Electrosurgical Units, Monopolar/Bipolar</v>
      </c>
      <c r="WXK92" s="165" t="s">
        <v>945</v>
      </c>
      <c r="WXL92" s="166" t="str">
        <f>VLOOKUP(WXK92,[13]AssetDetails_UEM!$A$3:$AH$1849,6,FALSE)</f>
        <v>Electrosurgical Units, Monopolar/Bipolar</v>
      </c>
      <c r="WXM92" s="165" t="s">
        <v>945</v>
      </c>
      <c r="WXN92" s="166" t="str">
        <f>VLOOKUP(WXM92,[13]AssetDetails_UEM!$A$3:$AH$1849,6,FALSE)</f>
        <v>Electrosurgical Units, Monopolar/Bipolar</v>
      </c>
      <c r="WXO92" s="165" t="s">
        <v>945</v>
      </c>
      <c r="WXP92" s="166" t="str">
        <f>VLOOKUP(WXO92,[13]AssetDetails_UEM!$A$3:$AH$1849,6,FALSE)</f>
        <v>Electrosurgical Units, Monopolar/Bipolar</v>
      </c>
      <c r="WXQ92" s="165" t="s">
        <v>945</v>
      </c>
      <c r="WXR92" s="166" t="str">
        <f>VLOOKUP(WXQ92,[13]AssetDetails_UEM!$A$3:$AH$1849,6,FALSE)</f>
        <v>Electrosurgical Units, Monopolar/Bipolar</v>
      </c>
      <c r="WXS92" s="165" t="s">
        <v>945</v>
      </c>
      <c r="WXT92" s="166" t="str">
        <f>VLOOKUP(WXS92,[13]AssetDetails_UEM!$A$3:$AH$1849,6,FALSE)</f>
        <v>Electrosurgical Units, Monopolar/Bipolar</v>
      </c>
      <c r="WXU92" s="165" t="s">
        <v>945</v>
      </c>
      <c r="WXV92" s="166" t="str">
        <f>VLOOKUP(WXU92,[13]AssetDetails_UEM!$A$3:$AH$1849,6,FALSE)</f>
        <v>Electrosurgical Units, Monopolar/Bipolar</v>
      </c>
      <c r="WXW92" s="165" t="s">
        <v>945</v>
      </c>
      <c r="WXX92" s="166" t="str">
        <f>VLOOKUP(WXW92,[13]AssetDetails_UEM!$A$3:$AH$1849,6,FALSE)</f>
        <v>Electrosurgical Units, Monopolar/Bipolar</v>
      </c>
      <c r="WXY92" s="165" t="s">
        <v>945</v>
      </c>
      <c r="WXZ92" s="166" t="str">
        <f>VLOOKUP(WXY92,[13]AssetDetails_UEM!$A$3:$AH$1849,6,FALSE)</f>
        <v>Electrosurgical Units, Monopolar/Bipolar</v>
      </c>
      <c r="WYA92" s="165" t="s">
        <v>945</v>
      </c>
      <c r="WYB92" s="166" t="str">
        <f>VLOOKUP(WYA92,[13]AssetDetails_UEM!$A$3:$AH$1849,6,FALSE)</f>
        <v>Electrosurgical Units, Monopolar/Bipolar</v>
      </c>
      <c r="WYC92" s="165" t="s">
        <v>945</v>
      </c>
      <c r="WYD92" s="166" t="str">
        <f>VLOOKUP(WYC92,[13]AssetDetails_UEM!$A$3:$AH$1849,6,FALSE)</f>
        <v>Electrosurgical Units, Monopolar/Bipolar</v>
      </c>
      <c r="WYE92" s="165" t="s">
        <v>945</v>
      </c>
      <c r="WYF92" s="166" t="str">
        <f>VLOOKUP(WYE92,[13]AssetDetails_UEM!$A$3:$AH$1849,6,FALSE)</f>
        <v>Electrosurgical Units, Monopolar/Bipolar</v>
      </c>
      <c r="WYG92" s="165" t="s">
        <v>945</v>
      </c>
      <c r="WYH92" s="166" t="str">
        <f>VLOOKUP(WYG92,[13]AssetDetails_UEM!$A$3:$AH$1849,6,FALSE)</f>
        <v>Electrosurgical Units, Monopolar/Bipolar</v>
      </c>
      <c r="WYI92" s="165" t="s">
        <v>945</v>
      </c>
      <c r="WYJ92" s="166" t="str">
        <f>VLOOKUP(WYI92,[13]AssetDetails_UEM!$A$3:$AH$1849,6,FALSE)</f>
        <v>Electrosurgical Units, Monopolar/Bipolar</v>
      </c>
      <c r="WYK92" s="165" t="s">
        <v>945</v>
      </c>
      <c r="WYL92" s="166" t="str">
        <f>VLOOKUP(WYK92,[13]AssetDetails_UEM!$A$3:$AH$1849,6,FALSE)</f>
        <v>Electrosurgical Units, Monopolar/Bipolar</v>
      </c>
      <c r="WYM92" s="165" t="s">
        <v>945</v>
      </c>
      <c r="WYN92" s="166" t="str">
        <f>VLOOKUP(WYM92,[13]AssetDetails_UEM!$A$3:$AH$1849,6,FALSE)</f>
        <v>Electrosurgical Units, Monopolar/Bipolar</v>
      </c>
      <c r="WYO92" s="165" t="s">
        <v>945</v>
      </c>
      <c r="WYP92" s="166" t="str">
        <f>VLOOKUP(WYO92,[13]AssetDetails_UEM!$A$3:$AH$1849,6,FALSE)</f>
        <v>Electrosurgical Units, Monopolar/Bipolar</v>
      </c>
      <c r="WYQ92" s="165" t="s">
        <v>945</v>
      </c>
      <c r="WYR92" s="166" t="str">
        <f>VLOOKUP(WYQ92,[13]AssetDetails_UEM!$A$3:$AH$1849,6,FALSE)</f>
        <v>Electrosurgical Units, Monopolar/Bipolar</v>
      </c>
      <c r="WYS92" s="165" t="s">
        <v>945</v>
      </c>
      <c r="WYT92" s="166" t="str">
        <f>VLOOKUP(WYS92,[13]AssetDetails_UEM!$A$3:$AH$1849,6,FALSE)</f>
        <v>Electrosurgical Units, Monopolar/Bipolar</v>
      </c>
      <c r="WYU92" s="165" t="s">
        <v>945</v>
      </c>
      <c r="WYV92" s="166" t="str">
        <f>VLOOKUP(WYU92,[13]AssetDetails_UEM!$A$3:$AH$1849,6,FALSE)</f>
        <v>Electrosurgical Units, Monopolar/Bipolar</v>
      </c>
      <c r="WYW92" s="165" t="s">
        <v>945</v>
      </c>
      <c r="WYX92" s="166" t="str">
        <f>VLOOKUP(WYW92,[13]AssetDetails_UEM!$A$3:$AH$1849,6,FALSE)</f>
        <v>Electrosurgical Units, Monopolar/Bipolar</v>
      </c>
      <c r="WYY92" s="165" t="s">
        <v>945</v>
      </c>
      <c r="WYZ92" s="166" t="str">
        <f>VLOOKUP(WYY92,[13]AssetDetails_UEM!$A$3:$AH$1849,6,FALSE)</f>
        <v>Electrosurgical Units, Monopolar/Bipolar</v>
      </c>
      <c r="WZA92" s="165" t="s">
        <v>945</v>
      </c>
      <c r="WZB92" s="166" t="str">
        <f>VLOOKUP(WZA92,[13]AssetDetails_UEM!$A$3:$AH$1849,6,FALSE)</f>
        <v>Electrosurgical Units, Monopolar/Bipolar</v>
      </c>
      <c r="WZC92" s="165" t="s">
        <v>945</v>
      </c>
      <c r="WZD92" s="166" t="str">
        <f>VLOOKUP(WZC92,[13]AssetDetails_UEM!$A$3:$AH$1849,6,FALSE)</f>
        <v>Electrosurgical Units, Monopolar/Bipolar</v>
      </c>
      <c r="WZE92" s="165" t="s">
        <v>945</v>
      </c>
      <c r="WZF92" s="166" t="str">
        <f>VLOOKUP(WZE92,[13]AssetDetails_UEM!$A$3:$AH$1849,6,FALSE)</f>
        <v>Electrosurgical Units, Monopolar/Bipolar</v>
      </c>
      <c r="WZG92" s="165" t="s">
        <v>945</v>
      </c>
      <c r="WZH92" s="166" t="str">
        <f>VLOOKUP(WZG92,[13]AssetDetails_UEM!$A$3:$AH$1849,6,FALSE)</f>
        <v>Electrosurgical Units, Monopolar/Bipolar</v>
      </c>
      <c r="WZI92" s="165" t="s">
        <v>945</v>
      </c>
      <c r="WZJ92" s="166" t="str">
        <f>VLOOKUP(WZI92,[13]AssetDetails_UEM!$A$3:$AH$1849,6,FALSE)</f>
        <v>Electrosurgical Units, Monopolar/Bipolar</v>
      </c>
      <c r="WZK92" s="165" t="s">
        <v>945</v>
      </c>
      <c r="WZL92" s="166" t="str">
        <f>VLOOKUP(WZK92,[13]AssetDetails_UEM!$A$3:$AH$1849,6,FALSE)</f>
        <v>Electrosurgical Units, Monopolar/Bipolar</v>
      </c>
      <c r="WZM92" s="165" t="s">
        <v>945</v>
      </c>
      <c r="WZN92" s="166" t="str">
        <f>VLOOKUP(WZM92,[13]AssetDetails_UEM!$A$3:$AH$1849,6,FALSE)</f>
        <v>Electrosurgical Units, Monopolar/Bipolar</v>
      </c>
      <c r="WZO92" s="165" t="s">
        <v>945</v>
      </c>
      <c r="WZP92" s="166" t="str">
        <f>VLOOKUP(WZO92,[13]AssetDetails_UEM!$A$3:$AH$1849,6,FALSE)</f>
        <v>Electrosurgical Units, Monopolar/Bipolar</v>
      </c>
      <c r="WZQ92" s="165" t="s">
        <v>945</v>
      </c>
      <c r="WZR92" s="166" t="str">
        <f>VLOOKUP(WZQ92,[13]AssetDetails_UEM!$A$3:$AH$1849,6,FALSE)</f>
        <v>Electrosurgical Units, Monopolar/Bipolar</v>
      </c>
      <c r="WZS92" s="165" t="s">
        <v>945</v>
      </c>
      <c r="WZT92" s="166" t="str">
        <f>VLOOKUP(WZS92,[13]AssetDetails_UEM!$A$3:$AH$1849,6,FALSE)</f>
        <v>Electrosurgical Units, Monopolar/Bipolar</v>
      </c>
      <c r="WZU92" s="165" t="s">
        <v>945</v>
      </c>
      <c r="WZV92" s="166" t="str">
        <f>VLOOKUP(WZU92,[13]AssetDetails_UEM!$A$3:$AH$1849,6,FALSE)</f>
        <v>Electrosurgical Units, Monopolar/Bipolar</v>
      </c>
      <c r="WZW92" s="165" t="s">
        <v>945</v>
      </c>
      <c r="WZX92" s="166" t="str">
        <f>VLOOKUP(WZW92,[13]AssetDetails_UEM!$A$3:$AH$1849,6,FALSE)</f>
        <v>Electrosurgical Units, Monopolar/Bipolar</v>
      </c>
    </row>
    <row r="93" spans="1:16384" s="105" customFormat="1" ht="65.150000000000006" customHeight="1">
      <c r="A93"/>
      <c r="B93"/>
      <c r="C93"/>
      <c r="D93"/>
      <c r="E93" s="107"/>
      <c r="F93"/>
      <c r="G93" s="107"/>
      <c r="H93" s="107"/>
      <c r="I93" s="108"/>
      <c r="J93" s="108"/>
      <c r="K93" s="107"/>
      <c r="L93" s="107"/>
      <c r="M93" s="107"/>
      <c r="N93" s="107"/>
      <c r="O93" s="107"/>
      <c r="P93" s="107"/>
      <c r="Q93" s="107"/>
      <c r="R93" s="107"/>
      <c r="S93" s="107"/>
      <c r="T93" s="107"/>
      <c r="U93" s="107"/>
      <c r="V93" s="107"/>
      <c r="W93" s="107"/>
      <c r="X93" s="107"/>
      <c r="Y93" s="107"/>
      <c r="Z93" s="107"/>
      <c r="AA93" s="109"/>
      <c r="AB93"/>
      <c r="AC93" s="167"/>
      <c r="AD93" s="168"/>
      <c r="AE93" s="167"/>
      <c r="AF93" s="168"/>
      <c r="AG93" s="167"/>
      <c r="AH93" s="168"/>
      <c r="AI93" s="167"/>
      <c r="AJ93" s="168"/>
      <c r="AK93" s="167"/>
      <c r="AL93" s="168"/>
      <c r="AM93" s="167"/>
      <c r="AN93" s="168"/>
      <c r="AO93" s="167"/>
      <c r="AP93" s="168"/>
      <c r="AQ93" s="167"/>
      <c r="AR93" s="168"/>
      <c r="AS93" s="167"/>
      <c r="AT93" s="168"/>
      <c r="AU93" s="167"/>
      <c r="AV93" s="168"/>
      <c r="AW93" s="167"/>
      <c r="AX93" s="168"/>
      <c r="AY93" s="167"/>
      <c r="AZ93" s="168"/>
      <c r="BA93" s="167"/>
      <c r="BB93" s="168"/>
      <c r="BC93" s="167"/>
      <c r="BD93" s="168"/>
      <c r="BE93" s="167"/>
      <c r="BF93" s="168"/>
      <c r="BG93" s="167"/>
      <c r="BH93" s="168"/>
      <c r="BI93" s="167"/>
      <c r="BJ93" s="168"/>
      <c r="BK93" s="167"/>
      <c r="BL93" s="168"/>
      <c r="BM93" s="167"/>
      <c r="BN93" s="168"/>
      <c r="BO93" s="167"/>
      <c r="BP93" s="168"/>
      <c r="BQ93" s="167"/>
      <c r="BR93" s="168"/>
      <c r="BS93" s="167"/>
      <c r="BT93" s="168"/>
      <c r="BU93" s="167"/>
      <c r="BV93" s="168"/>
      <c r="BW93" s="167"/>
      <c r="BX93" s="168"/>
      <c r="BY93" s="167"/>
      <c r="BZ93" s="168"/>
      <c r="CA93" s="167"/>
      <c r="CB93" s="168"/>
      <c r="CC93" s="167"/>
      <c r="CD93" s="168"/>
      <c r="CE93" s="167"/>
      <c r="CF93" s="168"/>
      <c r="CG93" s="167"/>
      <c r="CH93" s="168"/>
      <c r="CI93" s="167"/>
      <c r="CJ93" s="168"/>
      <c r="CK93" s="167"/>
      <c r="CL93" s="168"/>
      <c r="CM93" s="167"/>
      <c r="CN93" s="168"/>
      <c r="CO93" s="167"/>
      <c r="CP93" s="168"/>
      <c r="CQ93" s="167"/>
      <c r="CR93" s="168"/>
      <c r="CS93" s="167"/>
      <c r="CT93" s="168"/>
      <c r="CU93" s="167"/>
      <c r="CV93" s="168"/>
      <c r="CW93" s="167"/>
      <c r="CX93" s="168"/>
      <c r="CY93" s="167"/>
      <c r="CZ93" s="168"/>
      <c r="DA93" s="167"/>
      <c r="DB93" s="168"/>
      <c r="DC93" s="167"/>
      <c r="DD93" s="168"/>
      <c r="DE93" s="167"/>
      <c r="DF93" s="168"/>
      <c r="DG93" s="167"/>
      <c r="DH93" s="168"/>
      <c r="DI93" s="167"/>
      <c r="DJ93" s="168"/>
      <c r="DK93" s="167"/>
      <c r="DL93" s="168"/>
      <c r="DM93" s="167"/>
      <c r="DN93" s="168"/>
      <c r="DO93" s="167"/>
      <c r="DP93" s="168"/>
      <c r="DQ93" s="167"/>
      <c r="DR93" s="168"/>
      <c r="DS93" s="167"/>
      <c r="DT93" s="168"/>
      <c r="DU93" s="167"/>
      <c r="DV93" s="168"/>
      <c r="DW93" s="167"/>
      <c r="DX93" s="168"/>
      <c r="DY93" s="167"/>
      <c r="DZ93" s="168"/>
      <c r="EA93" s="167"/>
      <c r="EB93" s="168"/>
      <c r="EC93" s="167"/>
      <c r="ED93" s="168"/>
      <c r="EE93" s="167"/>
      <c r="EF93" s="168"/>
      <c r="EG93" s="167"/>
      <c r="EH93" s="168"/>
      <c r="EI93" s="167"/>
      <c r="EJ93" s="168"/>
      <c r="EK93" s="167"/>
      <c r="EL93" s="168"/>
      <c r="EM93" s="167"/>
      <c r="EN93" s="168"/>
      <c r="EO93" s="167"/>
      <c r="EP93" s="168"/>
      <c r="EQ93" s="167"/>
      <c r="ER93" s="168"/>
      <c r="ES93" s="167"/>
      <c r="ET93" s="168"/>
      <c r="EU93" s="167"/>
      <c r="EV93" s="168"/>
      <c r="EW93" s="167"/>
      <c r="EX93" s="168"/>
      <c r="EY93" s="167"/>
      <c r="EZ93" s="168"/>
      <c r="FA93" s="167"/>
      <c r="FB93" s="168"/>
      <c r="FC93" s="167"/>
      <c r="FD93" s="168"/>
      <c r="FE93" s="167"/>
      <c r="FF93" s="168"/>
      <c r="FG93" s="167"/>
      <c r="FH93" s="168"/>
      <c r="FI93" s="167"/>
      <c r="FJ93" s="168"/>
      <c r="FK93" s="167"/>
      <c r="FL93" s="168"/>
      <c r="FM93" s="167"/>
      <c r="FN93" s="168"/>
      <c r="FO93" s="167"/>
      <c r="FP93" s="168"/>
      <c r="FQ93" s="167"/>
      <c r="FR93" s="168"/>
      <c r="FS93" s="167"/>
      <c r="FT93" s="168"/>
      <c r="FU93" s="167"/>
      <c r="FV93" s="168"/>
      <c r="FW93" s="167"/>
      <c r="FX93" s="168"/>
      <c r="FY93" s="167"/>
      <c r="FZ93" s="168"/>
      <c r="GA93" s="167"/>
      <c r="GB93" s="168"/>
      <c r="GC93" s="167"/>
      <c r="GD93" s="168"/>
      <c r="GE93" s="167"/>
      <c r="GF93" s="168"/>
      <c r="GG93" s="167"/>
      <c r="GH93" s="168"/>
      <c r="GI93" s="167"/>
      <c r="GJ93" s="168"/>
      <c r="GK93" s="167"/>
      <c r="GL93" s="168"/>
      <c r="GM93" s="167"/>
      <c r="GN93" s="168"/>
      <c r="GO93" s="167"/>
      <c r="GP93" s="168"/>
      <c r="GQ93" s="167"/>
      <c r="GR93" s="168"/>
      <c r="GS93" s="167"/>
      <c r="GT93" s="168"/>
      <c r="GU93" s="167"/>
      <c r="GV93" s="168"/>
      <c r="GW93" s="167"/>
      <c r="GX93" s="168"/>
      <c r="GY93" s="167"/>
      <c r="GZ93" s="168"/>
      <c r="HA93" s="167"/>
      <c r="HB93" s="168"/>
      <c r="HC93" s="167"/>
      <c r="HD93" s="168"/>
      <c r="HE93" s="167"/>
      <c r="HF93" s="168"/>
      <c r="HG93" s="167"/>
      <c r="HH93" s="168"/>
      <c r="HI93" s="167"/>
      <c r="HJ93" s="168"/>
      <c r="HK93" s="167"/>
      <c r="HL93" s="168"/>
      <c r="HM93" s="167"/>
      <c r="HN93" s="168"/>
      <c r="HO93" s="167"/>
      <c r="HP93" s="168"/>
      <c r="HQ93" s="167"/>
      <c r="HR93" s="168"/>
      <c r="HS93" s="167"/>
      <c r="HT93" s="168"/>
      <c r="HU93" s="167"/>
      <c r="HV93" s="168"/>
      <c r="HW93" s="167"/>
      <c r="HX93" s="168"/>
      <c r="HY93" s="167"/>
      <c r="HZ93" s="168"/>
      <c r="IA93" s="167"/>
      <c r="IB93" s="168"/>
      <c r="IC93" s="167"/>
      <c r="ID93" s="168"/>
      <c r="IE93" s="167"/>
      <c r="IF93" s="168"/>
      <c r="IG93" s="167"/>
      <c r="IH93" s="168"/>
      <c r="II93" s="167"/>
      <c r="IJ93" s="168"/>
      <c r="IK93" s="167"/>
      <c r="IL93" s="168"/>
      <c r="IM93" s="167"/>
      <c r="IN93" s="168"/>
      <c r="IO93" s="167"/>
      <c r="IP93" s="168"/>
      <c r="IQ93" s="167"/>
      <c r="IR93" s="168"/>
      <c r="IS93" s="167"/>
      <c r="IT93" s="168"/>
      <c r="IU93" s="167"/>
      <c r="IV93" s="168"/>
      <c r="IW93" s="167"/>
      <c r="IX93" s="168"/>
      <c r="IY93" s="167"/>
      <c r="IZ93" s="168"/>
      <c r="JA93" s="167"/>
      <c r="JB93" s="168"/>
      <c r="JC93" s="167"/>
      <c r="JD93" s="168"/>
      <c r="JE93" s="167"/>
      <c r="JF93" s="168"/>
      <c r="JG93" s="167"/>
      <c r="JH93" s="168"/>
      <c r="JI93" s="167"/>
      <c r="JJ93" s="168"/>
      <c r="JK93" s="167"/>
      <c r="JL93" s="168"/>
      <c r="JM93" s="167"/>
      <c r="JN93" s="168"/>
      <c r="JO93" s="167"/>
      <c r="JP93" s="168"/>
      <c r="JQ93" s="167"/>
      <c r="JR93" s="168"/>
      <c r="JS93" s="167"/>
      <c r="JT93" s="168"/>
      <c r="JU93" s="167"/>
      <c r="JV93" s="168"/>
      <c r="JW93" s="167"/>
      <c r="JX93" s="168"/>
      <c r="JY93" s="167"/>
      <c r="JZ93" s="168"/>
      <c r="KA93" s="167"/>
      <c r="KB93" s="168"/>
      <c r="KC93" s="167"/>
      <c r="KD93" s="168"/>
      <c r="KE93" s="167"/>
      <c r="KF93" s="168"/>
      <c r="KG93" s="167"/>
      <c r="KH93" s="168"/>
      <c r="KI93" s="167"/>
      <c r="KJ93" s="168"/>
      <c r="KK93" s="167"/>
      <c r="KL93" s="168"/>
      <c r="KM93" s="167"/>
      <c r="KN93" s="168"/>
      <c r="KO93" s="167"/>
      <c r="KP93" s="168"/>
      <c r="KQ93" s="167"/>
      <c r="KR93" s="168"/>
      <c r="KS93" s="167"/>
      <c r="KT93" s="168"/>
      <c r="KU93" s="167"/>
      <c r="KV93" s="168"/>
      <c r="KW93" s="167"/>
      <c r="KX93" s="168"/>
      <c r="KY93" s="167"/>
      <c r="KZ93" s="168"/>
      <c r="LA93" s="167"/>
      <c r="LB93" s="168"/>
      <c r="LC93" s="167"/>
      <c r="LD93" s="168"/>
      <c r="LE93" s="167"/>
      <c r="LF93" s="168"/>
      <c r="LG93" s="167"/>
      <c r="LH93" s="168"/>
      <c r="LI93" s="167"/>
      <c r="LJ93" s="168"/>
      <c r="LK93" s="167"/>
      <c r="LL93" s="168"/>
      <c r="LM93" s="167"/>
      <c r="LN93" s="168"/>
      <c r="LO93" s="167"/>
      <c r="LP93" s="168"/>
      <c r="LQ93" s="167"/>
      <c r="LR93" s="168"/>
      <c r="LS93" s="167"/>
      <c r="LT93" s="168"/>
      <c r="LU93" s="167"/>
      <c r="LV93" s="168"/>
      <c r="LW93" s="167"/>
      <c r="LX93" s="168"/>
      <c r="LY93" s="167"/>
      <c r="LZ93" s="168"/>
      <c r="MA93" s="167"/>
      <c r="MB93" s="168"/>
      <c r="MC93" s="167"/>
      <c r="MD93" s="168"/>
      <c r="ME93" s="167"/>
      <c r="MF93" s="168"/>
      <c r="MG93" s="167"/>
      <c r="MH93" s="168"/>
      <c r="MI93" s="167"/>
      <c r="MJ93" s="168"/>
      <c r="MK93" s="167"/>
      <c r="ML93" s="168"/>
      <c r="MM93" s="167"/>
      <c r="MN93" s="168"/>
      <c r="MO93" s="167"/>
      <c r="MP93" s="168"/>
      <c r="MQ93" s="167"/>
      <c r="MR93" s="168"/>
      <c r="MS93" s="167"/>
      <c r="MT93" s="168"/>
      <c r="MU93" s="167"/>
      <c r="MV93" s="168"/>
      <c r="MW93" s="167"/>
      <c r="MX93" s="168"/>
      <c r="MY93" s="167"/>
      <c r="MZ93" s="168"/>
      <c r="NA93" s="167"/>
      <c r="NB93" s="168"/>
      <c r="NC93" s="167"/>
      <c r="ND93" s="168"/>
      <c r="NE93" s="167"/>
      <c r="NF93" s="168"/>
      <c r="NG93" s="167"/>
      <c r="NH93" s="168"/>
      <c r="NI93" s="167"/>
      <c r="NJ93" s="168"/>
      <c r="NK93" s="167"/>
      <c r="NL93" s="168"/>
      <c r="NM93" s="167"/>
      <c r="NN93" s="168"/>
      <c r="NO93" s="167"/>
      <c r="NP93" s="168"/>
      <c r="NQ93" s="167"/>
      <c r="NR93" s="168"/>
      <c r="NS93" s="167"/>
      <c r="NT93" s="168"/>
      <c r="NU93" s="167"/>
      <c r="NV93" s="168"/>
      <c r="NW93" s="167"/>
      <c r="NX93" s="168"/>
      <c r="NY93" s="167"/>
      <c r="NZ93" s="168"/>
      <c r="OA93" s="167"/>
      <c r="OB93" s="168"/>
      <c r="OC93" s="167"/>
      <c r="OD93" s="168"/>
      <c r="OE93" s="167"/>
      <c r="OF93" s="168"/>
      <c r="OG93" s="167"/>
      <c r="OH93" s="168"/>
      <c r="OI93" s="167"/>
      <c r="OJ93" s="168"/>
      <c r="OK93" s="167"/>
      <c r="OL93" s="168"/>
      <c r="OM93" s="167"/>
      <c r="ON93" s="168"/>
      <c r="OO93" s="167"/>
      <c r="OP93" s="168"/>
      <c r="OQ93" s="167"/>
      <c r="OR93" s="168"/>
      <c r="OS93" s="167"/>
      <c r="OT93" s="168"/>
      <c r="OU93" s="167"/>
      <c r="OV93" s="168"/>
      <c r="OW93" s="167"/>
      <c r="OX93" s="168"/>
      <c r="OY93" s="167"/>
      <c r="OZ93" s="168"/>
      <c r="PA93" s="167"/>
      <c r="PB93" s="168"/>
      <c r="PC93" s="167"/>
      <c r="PD93" s="168"/>
      <c r="PE93" s="167"/>
      <c r="PF93" s="168"/>
      <c r="PG93" s="167"/>
      <c r="PH93" s="168"/>
      <c r="PI93" s="167"/>
      <c r="PJ93" s="168"/>
      <c r="PK93" s="167"/>
      <c r="PL93" s="168"/>
      <c r="PM93" s="167"/>
      <c r="PN93" s="168"/>
      <c r="PO93" s="167"/>
      <c r="PP93" s="168"/>
      <c r="PQ93" s="167"/>
      <c r="PR93" s="168"/>
      <c r="PS93" s="167"/>
      <c r="PT93" s="168"/>
      <c r="PU93" s="167"/>
      <c r="PV93" s="168"/>
      <c r="PW93" s="167"/>
      <c r="PX93" s="168"/>
      <c r="PY93" s="167"/>
      <c r="PZ93" s="168"/>
      <c r="QA93" s="167"/>
      <c r="QB93" s="168"/>
      <c r="QC93" s="167"/>
      <c r="QD93" s="168"/>
      <c r="QE93" s="167"/>
      <c r="QF93" s="168"/>
      <c r="QG93" s="167"/>
      <c r="QH93" s="168"/>
      <c r="QI93" s="167"/>
      <c r="QJ93" s="168"/>
      <c r="QK93" s="167"/>
      <c r="QL93" s="168"/>
      <c r="QM93" s="167"/>
      <c r="QN93" s="168"/>
      <c r="QO93" s="167"/>
      <c r="QP93" s="168"/>
      <c r="QQ93" s="167"/>
      <c r="QR93" s="168"/>
      <c r="QS93" s="167"/>
      <c r="QT93" s="168"/>
      <c r="QU93" s="167"/>
      <c r="QV93" s="168"/>
      <c r="QW93" s="167"/>
      <c r="QX93" s="168"/>
      <c r="QY93" s="167"/>
      <c r="QZ93" s="168"/>
      <c r="RA93" s="167"/>
      <c r="RB93" s="168"/>
      <c r="RC93" s="167"/>
      <c r="RD93" s="168"/>
      <c r="RE93" s="167"/>
      <c r="RF93" s="168"/>
      <c r="RG93" s="167"/>
      <c r="RH93" s="168"/>
      <c r="RI93" s="167"/>
      <c r="RJ93" s="168"/>
      <c r="RK93" s="167"/>
      <c r="RL93" s="168"/>
      <c r="RM93" s="167"/>
      <c r="RN93" s="168"/>
      <c r="RO93" s="167"/>
      <c r="RP93" s="168"/>
      <c r="RQ93" s="167"/>
      <c r="RR93" s="168"/>
      <c r="RS93" s="167"/>
      <c r="RT93" s="168"/>
      <c r="RU93" s="167"/>
      <c r="RV93" s="168"/>
      <c r="RW93" s="167"/>
      <c r="RX93" s="168"/>
      <c r="RY93" s="167"/>
      <c r="RZ93" s="168"/>
      <c r="SA93" s="167"/>
      <c r="SB93" s="168"/>
      <c r="SC93" s="167"/>
      <c r="SD93" s="168"/>
      <c r="SE93" s="167"/>
      <c r="SF93" s="168"/>
      <c r="SG93" s="167"/>
      <c r="SH93" s="168"/>
      <c r="SI93" s="167"/>
      <c r="SJ93" s="168"/>
      <c r="SK93" s="167"/>
      <c r="SL93" s="168"/>
      <c r="SM93" s="167"/>
      <c r="SN93" s="168"/>
      <c r="SO93" s="167"/>
      <c r="SP93" s="168"/>
      <c r="SQ93" s="167"/>
      <c r="SR93" s="168"/>
      <c r="SS93" s="167"/>
      <c r="ST93" s="168"/>
      <c r="SU93" s="167"/>
      <c r="SV93" s="168"/>
      <c r="SW93" s="167"/>
      <c r="SX93" s="168"/>
      <c r="SY93" s="167"/>
      <c r="SZ93" s="168"/>
      <c r="TA93" s="167"/>
      <c r="TB93" s="168"/>
      <c r="TC93" s="167"/>
      <c r="TD93" s="168"/>
      <c r="TE93" s="167"/>
      <c r="TF93" s="168"/>
      <c r="TG93" s="167"/>
      <c r="TH93" s="168"/>
      <c r="TI93" s="167"/>
      <c r="TJ93" s="168"/>
      <c r="TK93" s="167"/>
      <c r="TL93" s="168"/>
      <c r="TM93" s="167"/>
      <c r="TN93" s="168"/>
      <c r="TO93" s="167"/>
      <c r="TP93" s="168"/>
      <c r="TQ93" s="167"/>
      <c r="TR93" s="168"/>
      <c r="TS93" s="167"/>
      <c r="TT93" s="168"/>
      <c r="TU93" s="167"/>
      <c r="TV93" s="168"/>
      <c r="TW93" s="167"/>
      <c r="TX93" s="168"/>
      <c r="TY93" s="167"/>
      <c r="TZ93" s="168"/>
      <c r="UA93" s="167"/>
      <c r="UB93" s="168"/>
      <c r="UC93" s="167"/>
      <c r="UD93" s="168"/>
      <c r="UE93" s="167"/>
      <c r="UF93" s="168"/>
      <c r="UG93" s="167"/>
      <c r="UH93" s="168"/>
      <c r="UI93" s="167"/>
      <c r="UJ93" s="168"/>
      <c r="UK93" s="167"/>
      <c r="UL93" s="168"/>
      <c r="UM93" s="167"/>
      <c r="UN93" s="168"/>
      <c r="UO93" s="167"/>
      <c r="UP93" s="168"/>
      <c r="UQ93" s="167"/>
      <c r="UR93" s="168"/>
      <c r="US93" s="167"/>
      <c r="UT93" s="168"/>
      <c r="UU93" s="167"/>
      <c r="UV93" s="168"/>
      <c r="UW93" s="167"/>
      <c r="UX93" s="168"/>
      <c r="UY93" s="167"/>
      <c r="UZ93" s="168"/>
      <c r="VA93" s="167"/>
      <c r="VB93" s="168"/>
      <c r="VC93" s="167"/>
      <c r="VD93" s="168"/>
      <c r="VE93" s="167"/>
      <c r="VF93" s="168"/>
      <c r="VG93" s="167"/>
      <c r="VH93" s="168"/>
      <c r="VI93" s="167"/>
      <c r="VJ93" s="168"/>
      <c r="VK93" s="167"/>
      <c r="VL93" s="168"/>
      <c r="VM93" s="167"/>
      <c r="VN93" s="168"/>
      <c r="VO93" s="167"/>
      <c r="VP93" s="168"/>
      <c r="VQ93" s="167"/>
      <c r="VR93" s="168"/>
      <c r="VS93" s="167"/>
      <c r="VT93" s="168"/>
      <c r="VU93" s="167"/>
      <c r="VV93" s="168"/>
      <c r="VW93" s="167"/>
      <c r="VX93" s="168"/>
      <c r="VY93" s="167"/>
      <c r="VZ93" s="168"/>
      <c r="WA93" s="167"/>
      <c r="WB93" s="168"/>
      <c r="WC93" s="167"/>
      <c r="WD93" s="168"/>
      <c r="WE93" s="167"/>
      <c r="WF93" s="168"/>
      <c r="WG93" s="167"/>
      <c r="WH93" s="168"/>
      <c r="WI93" s="167"/>
      <c r="WJ93" s="168"/>
      <c r="WK93" s="167"/>
      <c r="WL93" s="168"/>
      <c r="WM93" s="167"/>
      <c r="WN93" s="168"/>
      <c r="WO93" s="167"/>
      <c r="WP93" s="168"/>
      <c r="WQ93" s="167"/>
      <c r="WR93" s="168"/>
      <c r="WS93" s="167"/>
      <c r="WT93" s="168"/>
      <c r="WU93" s="167"/>
      <c r="WV93" s="168"/>
      <c r="WW93" s="167"/>
      <c r="WX93" s="168"/>
      <c r="WY93" s="167"/>
      <c r="WZ93" s="168"/>
      <c r="XA93" s="167"/>
      <c r="XB93" s="168"/>
      <c r="XC93" s="167"/>
      <c r="XD93" s="168"/>
      <c r="XE93" s="167"/>
      <c r="XF93" s="168"/>
      <c r="XG93" s="167"/>
      <c r="XH93" s="168"/>
      <c r="XI93" s="167"/>
      <c r="XJ93" s="168"/>
      <c r="XK93" s="167"/>
      <c r="XL93" s="168"/>
      <c r="XM93" s="167"/>
      <c r="XN93" s="168"/>
      <c r="XO93" s="167"/>
      <c r="XP93" s="168"/>
      <c r="XQ93" s="167"/>
      <c r="XR93" s="168"/>
      <c r="XS93" s="167"/>
      <c r="XT93" s="168"/>
      <c r="XU93" s="167"/>
      <c r="XV93" s="168"/>
      <c r="XW93" s="167"/>
      <c r="XX93" s="168"/>
      <c r="XY93" s="167"/>
      <c r="XZ93" s="168"/>
      <c r="YA93" s="167"/>
      <c r="YB93" s="168"/>
      <c r="YC93" s="167"/>
      <c r="YD93" s="168"/>
      <c r="YE93" s="167"/>
      <c r="YF93" s="168"/>
      <c r="YG93" s="167"/>
      <c r="YH93" s="168"/>
      <c r="YI93" s="167"/>
      <c r="YJ93" s="168"/>
      <c r="YK93" s="167"/>
      <c r="YL93" s="168"/>
      <c r="YM93" s="167"/>
      <c r="YN93" s="168"/>
      <c r="YO93" s="167"/>
      <c r="YP93" s="168"/>
      <c r="YQ93" s="167"/>
      <c r="YR93" s="168"/>
      <c r="YS93" s="167"/>
      <c r="YT93" s="168"/>
      <c r="YU93" s="167"/>
      <c r="YV93" s="168"/>
      <c r="YW93" s="167"/>
      <c r="YX93" s="168"/>
      <c r="YY93" s="167"/>
      <c r="YZ93" s="168"/>
      <c r="ZA93" s="167"/>
      <c r="ZB93" s="168"/>
      <c r="ZC93" s="167"/>
      <c r="ZD93" s="168"/>
      <c r="ZE93" s="167"/>
      <c r="ZF93" s="168"/>
      <c r="ZG93" s="167"/>
      <c r="ZH93" s="168"/>
      <c r="ZI93" s="167"/>
      <c r="ZJ93" s="168"/>
      <c r="ZK93" s="167"/>
      <c r="ZL93" s="168"/>
      <c r="ZM93" s="167"/>
      <c r="ZN93" s="168"/>
      <c r="ZO93" s="167"/>
      <c r="ZP93" s="168"/>
      <c r="ZQ93" s="167"/>
      <c r="ZR93" s="168"/>
      <c r="ZS93" s="167"/>
      <c r="ZT93" s="168"/>
      <c r="ZU93" s="167"/>
      <c r="ZV93" s="168"/>
      <c r="ZW93" s="167"/>
      <c r="ZX93" s="168"/>
      <c r="ZY93" s="167"/>
      <c r="ZZ93" s="168"/>
      <c r="AAA93" s="167"/>
      <c r="AAB93" s="168"/>
      <c r="AAC93" s="167"/>
      <c r="AAD93" s="168"/>
      <c r="AAE93" s="167"/>
      <c r="AAF93" s="168"/>
      <c r="AAG93" s="167"/>
      <c r="AAH93" s="168"/>
      <c r="AAI93" s="167"/>
      <c r="AAJ93" s="168"/>
      <c r="AAK93" s="167"/>
      <c r="AAL93" s="168"/>
      <c r="AAM93" s="167"/>
      <c r="AAN93" s="168"/>
      <c r="AAO93" s="167"/>
      <c r="AAP93" s="168"/>
      <c r="AAQ93" s="167"/>
      <c r="AAR93" s="168"/>
      <c r="AAS93" s="167"/>
      <c r="AAT93" s="168"/>
      <c r="AAU93" s="167"/>
      <c r="AAV93" s="168"/>
      <c r="AAW93" s="167"/>
      <c r="AAX93" s="168"/>
      <c r="AAY93" s="167"/>
      <c r="AAZ93" s="168"/>
      <c r="ABA93" s="167"/>
      <c r="ABB93" s="168"/>
      <c r="ABC93" s="167"/>
      <c r="ABD93" s="168"/>
      <c r="ABE93" s="167"/>
      <c r="ABF93" s="168"/>
      <c r="ABG93" s="167"/>
      <c r="ABH93" s="168"/>
      <c r="ABI93" s="167"/>
      <c r="ABJ93" s="168"/>
      <c r="ABK93" s="167"/>
      <c r="ABL93" s="168"/>
      <c r="ABM93" s="167"/>
      <c r="ABN93" s="168"/>
      <c r="ABO93" s="167"/>
      <c r="ABP93" s="168"/>
      <c r="ABQ93" s="167"/>
      <c r="ABR93" s="168"/>
      <c r="ABS93" s="167"/>
      <c r="ABT93" s="168"/>
      <c r="ABU93" s="167"/>
      <c r="ABV93" s="168"/>
      <c r="ABW93" s="167"/>
      <c r="ABX93" s="168"/>
      <c r="ABY93" s="167"/>
      <c r="ABZ93" s="168"/>
      <c r="ACA93" s="167"/>
      <c r="ACB93" s="168"/>
      <c r="ACC93" s="167"/>
      <c r="ACD93" s="168"/>
      <c r="ACE93" s="167"/>
      <c r="ACF93" s="168"/>
      <c r="ACG93" s="167"/>
      <c r="ACH93" s="168"/>
      <c r="ACI93" s="167"/>
      <c r="ACJ93" s="168"/>
      <c r="ACK93" s="167"/>
      <c r="ACL93" s="168"/>
      <c r="ACM93" s="167"/>
      <c r="ACN93" s="168"/>
      <c r="ACO93" s="167"/>
      <c r="ACP93" s="168"/>
      <c r="ACQ93" s="167"/>
      <c r="ACR93" s="168"/>
      <c r="ACS93" s="167"/>
      <c r="ACT93" s="168"/>
      <c r="ACU93" s="167"/>
      <c r="ACV93" s="168"/>
      <c r="ACW93" s="167"/>
      <c r="ACX93" s="168"/>
      <c r="ACY93" s="167"/>
      <c r="ACZ93" s="168"/>
      <c r="ADA93" s="167"/>
      <c r="ADB93" s="168"/>
      <c r="ADC93" s="167"/>
      <c r="ADD93" s="168"/>
      <c r="ADE93" s="167"/>
      <c r="ADF93" s="168"/>
      <c r="ADG93" s="167"/>
      <c r="ADH93" s="168"/>
      <c r="ADI93" s="167"/>
      <c r="ADJ93" s="168"/>
      <c r="ADK93" s="167"/>
      <c r="ADL93" s="168"/>
      <c r="ADM93" s="167"/>
      <c r="ADN93" s="168"/>
      <c r="ADO93" s="167"/>
      <c r="ADP93" s="168"/>
      <c r="ADQ93" s="167"/>
      <c r="ADR93" s="168"/>
      <c r="ADS93" s="167"/>
      <c r="ADT93" s="168"/>
      <c r="ADU93" s="167"/>
      <c r="ADV93" s="168"/>
      <c r="ADW93" s="167"/>
      <c r="ADX93" s="168"/>
      <c r="ADY93" s="167"/>
      <c r="ADZ93" s="168"/>
      <c r="AEA93" s="167"/>
      <c r="AEB93" s="168"/>
      <c r="AEC93" s="167"/>
      <c r="AED93" s="168"/>
      <c r="AEE93" s="167"/>
      <c r="AEF93" s="168"/>
      <c r="AEG93" s="167"/>
      <c r="AEH93" s="168"/>
      <c r="AEI93" s="167"/>
      <c r="AEJ93" s="168"/>
      <c r="AEK93" s="167"/>
      <c r="AEL93" s="168"/>
      <c r="AEM93" s="167"/>
      <c r="AEN93" s="168"/>
      <c r="AEO93" s="167"/>
      <c r="AEP93" s="168"/>
      <c r="AEQ93" s="167"/>
      <c r="AER93" s="168"/>
      <c r="AES93" s="167"/>
      <c r="AET93" s="168"/>
      <c r="AEU93" s="167"/>
      <c r="AEV93" s="168"/>
      <c r="AEW93" s="167"/>
      <c r="AEX93" s="168"/>
      <c r="AEY93" s="167"/>
      <c r="AEZ93" s="168"/>
      <c r="AFA93" s="167"/>
      <c r="AFB93" s="168"/>
      <c r="AFC93" s="167"/>
      <c r="AFD93" s="168"/>
      <c r="AFE93" s="167"/>
      <c r="AFF93" s="168"/>
      <c r="AFG93" s="167"/>
      <c r="AFH93" s="168"/>
      <c r="AFI93" s="167"/>
      <c r="AFJ93" s="168"/>
      <c r="AFK93" s="167"/>
      <c r="AFL93" s="168"/>
      <c r="AFM93" s="167"/>
      <c r="AFN93" s="168"/>
      <c r="AFO93" s="167"/>
      <c r="AFP93" s="168"/>
      <c r="AFQ93" s="167"/>
      <c r="AFR93" s="168"/>
      <c r="AFS93" s="167"/>
      <c r="AFT93" s="168"/>
      <c r="AFU93" s="167"/>
      <c r="AFV93" s="168"/>
      <c r="AFW93" s="167"/>
      <c r="AFX93" s="168"/>
      <c r="AFY93" s="167"/>
      <c r="AFZ93" s="168"/>
      <c r="AGA93" s="167"/>
      <c r="AGB93" s="168"/>
      <c r="AGC93" s="167"/>
      <c r="AGD93" s="168"/>
      <c r="AGE93" s="167"/>
      <c r="AGF93" s="168"/>
      <c r="AGG93" s="167"/>
      <c r="AGH93" s="168"/>
      <c r="AGI93" s="167"/>
      <c r="AGJ93" s="168"/>
      <c r="AGK93" s="167"/>
      <c r="AGL93" s="168"/>
      <c r="AGM93" s="167"/>
      <c r="AGN93" s="168"/>
      <c r="AGO93" s="167"/>
      <c r="AGP93" s="168"/>
      <c r="AGQ93" s="167"/>
      <c r="AGR93" s="168"/>
      <c r="AGS93" s="167"/>
      <c r="AGT93" s="168"/>
      <c r="AGU93" s="167"/>
      <c r="AGV93" s="168"/>
      <c r="AGW93" s="167"/>
      <c r="AGX93" s="168"/>
      <c r="AGY93" s="167"/>
      <c r="AGZ93" s="168"/>
      <c r="AHA93" s="167"/>
      <c r="AHB93" s="168"/>
      <c r="AHC93" s="167"/>
      <c r="AHD93" s="168"/>
      <c r="AHE93" s="167"/>
      <c r="AHF93" s="168"/>
      <c r="AHG93" s="167"/>
      <c r="AHH93" s="168"/>
      <c r="AHI93" s="167"/>
      <c r="AHJ93" s="168"/>
      <c r="AHK93" s="167"/>
      <c r="AHL93" s="168"/>
      <c r="AHM93" s="167"/>
      <c r="AHN93" s="168"/>
      <c r="AHO93" s="167"/>
      <c r="AHP93" s="168"/>
      <c r="AHQ93" s="167"/>
      <c r="AHR93" s="168"/>
      <c r="AHS93" s="167"/>
      <c r="AHT93" s="168"/>
      <c r="AHU93" s="167"/>
      <c r="AHV93" s="168"/>
      <c r="AHW93" s="167"/>
      <c r="AHX93" s="168"/>
      <c r="AHY93" s="167"/>
      <c r="AHZ93" s="168"/>
      <c r="AIA93" s="167"/>
      <c r="AIB93" s="168"/>
      <c r="AIC93" s="167"/>
      <c r="AID93" s="168"/>
      <c r="AIE93" s="167"/>
      <c r="AIF93" s="168"/>
      <c r="AIG93" s="167"/>
      <c r="AIH93" s="168"/>
      <c r="AII93" s="167"/>
      <c r="AIJ93" s="168"/>
      <c r="AIK93" s="167"/>
      <c r="AIL93" s="168"/>
      <c r="AIM93" s="167"/>
      <c r="AIN93" s="168"/>
      <c r="AIO93" s="167"/>
      <c r="AIP93" s="168"/>
      <c r="AIQ93" s="167"/>
      <c r="AIR93" s="168"/>
      <c r="AIS93" s="167"/>
      <c r="AIT93" s="168"/>
      <c r="AIU93" s="167"/>
      <c r="AIV93" s="168"/>
      <c r="AIW93" s="167"/>
      <c r="AIX93" s="168"/>
      <c r="AIY93" s="167"/>
      <c r="AIZ93" s="168"/>
      <c r="AJA93" s="167"/>
      <c r="AJB93" s="168"/>
      <c r="AJC93" s="167"/>
      <c r="AJD93" s="168"/>
      <c r="AJE93" s="167"/>
      <c r="AJF93" s="168"/>
      <c r="AJG93" s="167"/>
      <c r="AJH93" s="168"/>
      <c r="AJI93" s="167"/>
      <c r="AJJ93" s="168"/>
      <c r="AJK93" s="167"/>
      <c r="AJL93" s="168"/>
      <c r="AJM93" s="167"/>
      <c r="AJN93" s="168"/>
      <c r="AJO93" s="167"/>
      <c r="AJP93" s="168"/>
      <c r="AJQ93" s="167"/>
      <c r="AJR93" s="168"/>
      <c r="AJS93" s="167"/>
      <c r="AJT93" s="168"/>
      <c r="AJU93" s="167"/>
      <c r="AJV93" s="168"/>
      <c r="AJW93" s="167"/>
      <c r="AJX93" s="168"/>
      <c r="AJY93" s="167"/>
      <c r="AJZ93" s="168"/>
      <c r="AKA93" s="167"/>
      <c r="AKB93" s="168"/>
      <c r="AKC93" s="167"/>
      <c r="AKD93" s="168"/>
      <c r="AKE93" s="167"/>
      <c r="AKF93" s="168"/>
      <c r="AKG93" s="167"/>
      <c r="AKH93" s="168"/>
      <c r="AKI93" s="167"/>
      <c r="AKJ93" s="168"/>
      <c r="AKK93" s="167"/>
      <c r="AKL93" s="168"/>
      <c r="AKM93" s="167"/>
      <c r="AKN93" s="168"/>
      <c r="AKO93" s="167"/>
      <c r="AKP93" s="168"/>
      <c r="AKQ93" s="167"/>
      <c r="AKR93" s="168"/>
      <c r="AKS93" s="167"/>
      <c r="AKT93" s="168"/>
      <c r="AKU93" s="167"/>
      <c r="AKV93" s="168"/>
      <c r="AKW93" s="167"/>
      <c r="AKX93" s="168"/>
      <c r="AKY93" s="167"/>
      <c r="AKZ93" s="168"/>
      <c r="ALA93" s="167"/>
      <c r="ALB93" s="168"/>
      <c r="ALC93" s="167"/>
      <c r="ALD93" s="168"/>
      <c r="ALE93" s="167"/>
      <c r="ALF93" s="168"/>
      <c r="ALG93" s="167"/>
      <c r="ALH93" s="168"/>
      <c r="ALI93" s="167"/>
      <c r="ALJ93" s="168"/>
      <c r="ALK93" s="167"/>
      <c r="ALL93" s="168"/>
      <c r="ALM93" s="167"/>
      <c r="ALN93" s="168"/>
      <c r="ALO93" s="167"/>
      <c r="ALP93" s="168"/>
      <c r="ALQ93" s="167"/>
      <c r="ALR93" s="168"/>
      <c r="ALS93" s="167"/>
      <c r="ALT93" s="168"/>
      <c r="ALU93" s="167"/>
      <c r="ALV93" s="168"/>
      <c r="ALW93" s="167"/>
      <c r="ALX93" s="168"/>
      <c r="ALY93" s="167"/>
      <c r="ALZ93" s="168"/>
      <c r="AMA93" s="167"/>
      <c r="AMB93" s="168"/>
      <c r="AMC93" s="167"/>
      <c r="AMD93" s="168"/>
      <c r="AME93" s="167"/>
      <c r="AMF93" s="168"/>
      <c r="AMG93" s="167"/>
      <c r="AMH93" s="168"/>
      <c r="AMI93" s="167"/>
      <c r="AMJ93" s="168"/>
      <c r="AMK93" s="167"/>
      <c r="AML93" s="168"/>
      <c r="AMM93" s="167"/>
      <c r="AMN93" s="168"/>
      <c r="AMO93" s="167"/>
      <c r="AMP93" s="168"/>
      <c r="AMQ93" s="167"/>
      <c r="AMR93" s="168"/>
      <c r="AMS93" s="167"/>
      <c r="AMT93" s="168"/>
      <c r="AMU93" s="167"/>
      <c r="AMV93" s="168"/>
      <c r="AMW93" s="167"/>
      <c r="AMX93" s="168"/>
      <c r="AMY93" s="167"/>
      <c r="AMZ93" s="168"/>
      <c r="ANA93" s="167"/>
      <c r="ANB93" s="168"/>
      <c r="ANC93" s="167"/>
      <c r="AND93" s="168"/>
      <c r="ANE93" s="167"/>
      <c r="ANF93" s="168"/>
      <c r="ANG93" s="167"/>
      <c r="ANH93" s="168"/>
      <c r="ANI93" s="167"/>
      <c r="ANJ93" s="168"/>
      <c r="ANK93" s="167"/>
      <c r="ANL93" s="168"/>
      <c r="ANM93" s="167"/>
      <c r="ANN93" s="168"/>
      <c r="ANO93" s="167"/>
      <c r="ANP93" s="168"/>
      <c r="ANQ93" s="167"/>
      <c r="ANR93" s="168"/>
      <c r="ANS93" s="167"/>
      <c r="ANT93" s="168"/>
      <c r="ANU93" s="167"/>
      <c r="ANV93" s="168"/>
      <c r="ANW93" s="167"/>
      <c r="ANX93" s="168"/>
      <c r="ANY93" s="167"/>
      <c r="ANZ93" s="168"/>
      <c r="AOA93" s="167"/>
      <c r="AOB93" s="168"/>
      <c r="AOC93" s="167"/>
      <c r="AOD93" s="168"/>
      <c r="AOE93" s="167"/>
      <c r="AOF93" s="168"/>
      <c r="AOG93" s="167"/>
      <c r="AOH93" s="168"/>
      <c r="AOI93" s="167"/>
      <c r="AOJ93" s="168"/>
      <c r="AOK93" s="167"/>
      <c r="AOL93" s="168"/>
      <c r="AOM93" s="167"/>
      <c r="AON93" s="168"/>
      <c r="AOO93" s="167"/>
      <c r="AOP93" s="168"/>
      <c r="AOQ93" s="167"/>
      <c r="AOR93" s="168"/>
      <c r="AOS93" s="167"/>
      <c r="AOT93" s="168"/>
      <c r="AOU93" s="167"/>
      <c r="AOV93" s="168"/>
      <c r="AOW93" s="167"/>
      <c r="AOX93" s="168"/>
      <c r="AOY93" s="167"/>
      <c r="AOZ93" s="168"/>
      <c r="APA93" s="167"/>
      <c r="APB93" s="168"/>
      <c r="APC93" s="167"/>
      <c r="APD93" s="168"/>
      <c r="APE93" s="167"/>
      <c r="APF93" s="168"/>
      <c r="APG93" s="167"/>
      <c r="APH93" s="168"/>
      <c r="API93" s="167"/>
      <c r="APJ93" s="168"/>
      <c r="APK93" s="167"/>
      <c r="APL93" s="168"/>
      <c r="APM93" s="167"/>
      <c r="APN93" s="168"/>
      <c r="APO93" s="167"/>
      <c r="APP93" s="168"/>
      <c r="APQ93" s="167"/>
      <c r="APR93" s="168"/>
      <c r="APS93" s="167"/>
      <c r="APT93" s="168"/>
      <c r="APU93" s="167"/>
      <c r="APV93" s="168"/>
      <c r="APW93" s="167"/>
      <c r="APX93" s="168"/>
      <c r="APY93" s="167"/>
      <c r="APZ93" s="168"/>
      <c r="AQA93" s="167"/>
      <c r="AQB93" s="168"/>
      <c r="AQC93" s="167"/>
      <c r="AQD93" s="168"/>
      <c r="AQE93" s="167"/>
      <c r="AQF93" s="168"/>
      <c r="AQG93" s="167"/>
      <c r="AQH93" s="168"/>
      <c r="AQI93" s="167"/>
      <c r="AQJ93" s="168"/>
      <c r="AQK93" s="167"/>
      <c r="AQL93" s="168"/>
      <c r="AQM93" s="167"/>
      <c r="AQN93" s="168"/>
      <c r="AQO93" s="167"/>
      <c r="AQP93" s="168"/>
      <c r="AQQ93" s="167"/>
      <c r="AQR93" s="168"/>
      <c r="AQS93" s="167"/>
      <c r="AQT93" s="168"/>
      <c r="AQU93" s="167"/>
      <c r="AQV93" s="168"/>
      <c r="AQW93" s="167"/>
      <c r="AQX93" s="168"/>
      <c r="AQY93" s="167"/>
      <c r="AQZ93" s="168"/>
      <c r="ARA93" s="167"/>
      <c r="ARB93" s="168"/>
      <c r="ARC93" s="167"/>
      <c r="ARD93" s="168"/>
      <c r="ARE93" s="167"/>
      <c r="ARF93" s="168"/>
      <c r="ARG93" s="167"/>
      <c r="ARH93" s="168"/>
      <c r="ARI93" s="167"/>
      <c r="ARJ93" s="168"/>
      <c r="ARK93" s="167"/>
      <c r="ARL93" s="168"/>
      <c r="ARM93" s="167"/>
      <c r="ARN93" s="168"/>
      <c r="ARO93" s="167"/>
      <c r="ARP93" s="168"/>
      <c r="ARQ93" s="167"/>
      <c r="ARR93" s="168"/>
      <c r="ARS93" s="167"/>
      <c r="ART93" s="168"/>
      <c r="ARU93" s="167"/>
      <c r="ARV93" s="168"/>
      <c r="ARW93" s="167"/>
      <c r="ARX93" s="168"/>
      <c r="ARY93" s="167"/>
      <c r="ARZ93" s="168"/>
      <c r="ASA93" s="167"/>
      <c r="ASB93" s="168"/>
      <c r="ASC93" s="167"/>
      <c r="ASD93" s="168"/>
      <c r="ASE93" s="167"/>
      <c r="ASF93" s="168"/>
      <c r="ASG93" s="167"/>
      <c r="ASH93" s="168"/>
      <c r="ASI93" s="167"/>
      <c r="ASJ93" s="168"/>
      <c r="ASK93" s="167"/>
      <c r="ASL93" s="168"/>
      <c r="ASM93" s="167"/>
      <c r="ASN93" s="168"/>
      <c r="ASO93" s="167"/>
      <c r="ASP93" s="168"/>
      <c r="ASQ93" s="167"/>
      <c r="ASR93" s="168"/>
      <c r="ASS93" s="167"/>
      <c r="AST93" s="168"/>
      <c r="ASU93" s="167"/>
      <c r="ASV93" s="168"/>
      <c r="ASW93" s="167"/>
      <c r="ASX93" s="168"/>
      <c r="ASY93" s="167"/>
      <c r="ASZ93" s="168"/>
      <c r="ATA93" s="167"/>
      <c r="ATB93" s="168"/>
      <c r="ATC93" s="167"/>
      <c r="ATD93" s="168"/>
      <c r="ATE93" s="167"/>
      <c r="ATF93" s="168"/>
      <c r="ATG93" s="167"/>
      <c r="ATH93" s="168"/>
      <c r="ATI93" s="167"/>
      <c r="ATJ93" s="168"/>
      <c r="ATK93" s="167"/>
      <c r="ATL93" s="168"/>
      <c r="ATM93" s="167"/>
      <c r="ATN93" s="168"/>
      <c r="ATO93" s="167"/>
      <c r="ATP93" s="168"/>
      <c r="ATQ93" s="167"/>
      <c r="ATR93" s="168"/>
      <c r="ATS93" s="167"/>
      <c r="ATT93" s="168"/>
      <c r="ATU93" s="167"/>
      <c r="ATV93" s="168"/>
      <c r="ATW93" s="167"/>
      <c r="ATX93" s="168"/>
      <c r="ATY93" s="167"/>
      <c r="ATZ93" s="168"/>
      <c r="AUA93" s="167"/>
      <c r="AUB93" s="168"/>
      <c r="AUC93" s="167"/>
      <c r="AUD93" s="168"/>
      <c r="AUE93" s="167"/>
      <c r="AUF93" s="168"/>
      <c r="AUG93" s="167"/>
      <c r="AUH93" s="168"/>
      <c r="AUI93" s="167"/>
      <c r="AUJ93" s="168"/>
      <c r="AUK93" s="167"/>
      <c r="AUL93" s="168"/>
      <c r="AUM93" s="167"/>
      <c r="AUN93" s="168"/>
      <c r="AUO93" s="167"/>
      <c r="AUP93" s="168"/>
      <c r="AUQ93" s="167"/>
      <c r="AUR93" s="168"/>
      <c r="AUS93" s="167"/>
      <c r="AUT93" s="168"/>
      <c r="AUU93" s="167"/>
      <c r="AUV93" s="168"/>
      <c r="AUW93" s="167"/>
      <c r="AUX93" s="168"/>
      <c r="AUY93" s="167"/>
      <c r="AUZ93" s="168"/>
      <c r="AVA93" s="167"/>
      <c r="AVB93" s="168"/>
      <c r="AVC93" s="167"/>
      <c r="AVD93" s="168"/>
      <c r="AVE93" s="167"/>
      <c r="AVF93" s="168"/>
      <c r="AVG93" s="167"/>
      <c r="AVH93" s="168"/>
      <c r="AVI93" s="167"/>
      <c r="AVJ93" s="168"/>
      <c r="AVK93" s="167"/>
      <c r="AVL93" s="168"/>
      <c r="AVM93" s="167"/>
      <c r="AVN93" s="168"/>
      <c r="AVO93" s="167"/>
      <c r="AVP93" s="168"/>
      <c r="AVQ93" s="167"/>
      <c r="AVR93" s="168"/>
      <c r="AVS93" s="167"/>
      <c r="AVT93" s="168"/>
      <c r="AVU93" s="167"/>
      <c r="AVV93" s="168"/>
      <c r="AVW93" s="167"/>
      <c r="AVX93" s="168"/>
      <c r="AVY93" s="167"/>
      <c r="AVZ93" s="168"/>
      <c r="AWA93" s="167"/>
      <c r="AWB93" s="168"/>
      <c r="AWC93" s="167"/>
      <c r="AWD93" s="168"/>
      <c r="AWE93" s="167"/>
      <c r="AWF93" s="168"/>
      <c r="AWG93" s="167"/>
      <c r="AWH93" s="168"/>
      <c r="AWI93" s="167"/>
      <c r="AWJ93" s="168"/>
      <c r="AWK93" s="167"/>
      <c r="AWL93" s="168"/>
      <c r="AWM93" s="167"/>
      <c r="AWN93" s="168"/>
      <c r="AWO93" s="167"/>
      <c r="AWP93" s="168"/>
      <c r="AWQ93" s="167"/>
      <c r="AWR93" s="168"/>
      <c r="AWS93" s="167"/>
      <c r="AWT93" s="168"/>
      <c r="AWU93" s="167"/>
      <c r="AWV93" s="168"/>
      <c r="AWW93" s="167"/>
      <c r="AWX93" s="168"/>
      <c r="AWY93" s="167"/>
      <c r="AWZ93" s="168"/>
      <c r="AXA93" s="167"/>
      <c r="AXB93" s="168"/>
      <c r="AXC93" s="167"/>
      <c r="AXD93" s="168"/>
      <c r="AXE93" s="167"/>
      <c r="AXF93" s="168"/>
      <c r="AXG93" s="167"/>
      <c r="AXH93" s="168"/>
      <c r="AXI93" s="167"/>
      <c r="AXJ93" s="168"/>
      <c r="AXK93" s="167"/>
      <c r="AXL93" s="168"/>
      <c r="AXM93" s="167"/>
      <c r="AXN93" s="168"/>
      <c r="AXO93" s="167"/>
      <c r="AXP93" s="168"/>
      <c r="AXQ93" s="167"/>
      <c r="AXR93" s="168"/>
      <c r="AXS93" s="167"/>
      <c r="AXT93" s="168"/>
      <c r="AXU93" s="167"/>
      <c r="AXV93" s="168"/>
      <c r="AXW93" s="167"/>
      <c r="AXX93" s="168"/>
      <c r="AXY93" s="167"/>
      <c r="AXZ93" s="168"/>
      <c r="AYA93" s="167"/>
      <c r="AYB93" s="168"/>
      <c r="AYC93" s="167"/>
      <c r="AYD93" s="168"/>
      <c r="AYE93" s="167"/>
      <c r="AYF93" s="168"/>
      <c r="AYG93" s="167"/>
      <c r="AYH93" s="168"/>
      <c r="AYI93" s="167"/>
      <c r="AYJ93" s="168"/>
      <c r="AYK93" s="167"/>
      <c r="AYL93" s="168"/>
      <c r="AYM93" s="167"/>
      <c r="AYN93" s="168"/>
      <c r="AYO93" s="167"/>
      <c r="AYP93" s="168"/>
      <c r="AYQ93" s="167"/>
      <c r="AYR93" s="168"/>
      <c r="AYS93" s="167"/>
      <c r="AYT93" s="168"/>
      <c r="AYU93" s="167"/>
      <c r="AYV93" s="168"/>
      <c r="AYW93" s="167"/>
      <c r="AYX93" s="168"/>
      <c r="AYY93" s="167"/>
      <c r="AYZ93" s="168"/>
      <c r="AZA93" s="167"/>
      <c r="AZB93" s="168"/>
      <c r="AZC93" s="167"/>
      <c r="AZD93" s="168"/>
      <c r="AZE93" s="167"/>
      <c r="AZF93" s="168"/>
      <c r="AZG93" s="167"/>
      <c r="AZH93" s="168"/>
      <c r="AZI93" s="167"/>
      <c r="AZJ93" s="168"/>
      <c r="AZK93" s="167"/>
      <c r="AZL93" s="168"/>
      <c r="AZM93" s="167"/>
      <c r="AZN93" s="168"/>
      <c r="AZO93" s="167"/>
      <c r="AZP93" s="168"/>
      <c r="AZQ93" s="167"/>
      <c r="AZR93" s="168"/>
      <c r="AZS93" s="167"/>
      <c r="AZT93" s="168"/>
      <c r="AZU93" s="167"/>
      <c r="AZV93" s="168"/>
      <c r="AZW93" s="167"/>
      <c r="AZX93" s="168"/>
      <c r="AZY93" s="167"/>
      <c r="AZZ93" s="168"/>
      <c r="BAA93" s="167"/>
      <c r="BAB93" s="168"/>
      <c r="BAC93" s="167"/>
      <c r="BAD93" s="168"/>
      <c r="BAE93" s="167"/>
      <c r="BAF93" s="168"/>
      <c r="BAG93" s="167"/>
      <c r="BAH93" s="168"/>
      <c r="BAI93" s="167"/>
      <c r="BAJ93" s="168"/>
      <c r="BAK93" s="167"/>
      <c r="BAL93" s="168"/>
      <c r="BAM93" s="167"/>
      <c r="BAN93" s="168"/>
      <c r="BAO93" s="167"/>
      <c r="BAP93" s="168"/>
      <c r="BAQ93" s="167"/>
      <c r="BAR93" s="168"/>
      <c r="BAS93" s="167"/>
      <c r="BAT93" s="168"/>
      <c r="BAU93" s="167"/>
      <c r="BAV93" s="168"/>
      <c r="BAW93" s="167"/>
      <c r="BAX93" s="168"/>
      <c r="BAY93" s="167"/>
      <c r="BAZ93" s="168"/>
      <c r="BBA93" s="167"/>
      <c r="BBB93" s="168"/>
      <c r="BBC93" s="167"/>
      <c r="BBD93" s="168"/>
      <c r="BBE93" s="167"/>
      <c r="BBF93" s="168"/>
      <c r="BBG93" s="167"/>
      <c r="BBH93" s="168"/>
      <c r="BBI93" s="167"/>
      <c r="BBJ93" s="168"/>
      <c r="BBK93" s="167"/>
      <c r="BBL93" s="168"/>
      <c r="BBM93" s="167"/>
      <c r="BBN93" s="168"/>
      <c r="BBO93" s="167"/>
      <c r="BBP93" s="168"/>
      <c r="BBQ93" s="167"/>
      <c r="BBR93" s="168"/>
      <c r="BBS93" s="167"/>
      <c r="BBT93" s="168"/>
      <c r="BBU93" s="167"/>
      <c r="BBV93" s="168"/>
      <c r="BBW93" s="167"/>
      <c r="BBX93" s="168"/>
      <c r="BBY93" s="167"/>
      <c r="BBZ93" s="168"/>
      <c r="BCA93" s="167"/>
      <c r="BCB93" s="168"/>
      <c r="BCC93" s="167"/>
      <c r="BCD93" s="168"/>
      <c r="BCE93" s="167"/>
      <c r="BCF93" s="168"/>
      <c r="BCG93" s="167"/>
      <c r="BCH93" s="168"/>
      <c r="BCI93" s="167"/>
      <c r="BCJ93" s="168"/>
      <c r="BCK93" s="167"/>
      <c r="BCL93" s="168"/>
      <c r="BCM93" s="167"/>
      <c r="BCN93" s="168"/>
      <c r="BCO93" s="167"/>
      <c r="BCP93" s="168"/>
      <c r="BCQ93" s="167"/>
      <c r="BCR93" s="168"/>
      <c r="BCS93" s="167"/>
      <c r="BCT93" s="168"/>
      <c r="BCU93" s="167"/>
      <c r="BCV93" s="168"/>
      <c r="BCW93" s="167"/>
      <c r="BCX93" s="168"/>
      <c r="BCY93" s="167"/>
      <c r="BCZ93" s="168"/>
      <c r="BDA93" s="167"/>
      <c r="BDB93" s="168"/>
      <c r="BDC93" s="167"/>
      <c r="BDD93" s="168"/>
      <c r="BDE93" s="167"/>
      <c r="BDF93" s="168"/>
      <c r="BDG93" s="167"/>
      <c r="BDH93" s="168"/>
      <c r="BDI93" s="167"/>
      <c r="BDJ93" s="168"/>
      <c r="BDK93" s="167"/>
      <c r="BDL93" s="168"/>
      <c r="BDM93" s="167"/>
      <c r="BDN93" s="168"/>
      <c r="BDO93" s="167"/>
      <c r="BDP93" s="168"/>
      <c r="BDQ93" s="167"/>
      <c r="BDR93" s="168"/>
      <c r="BDS93" s="167"/>
      <c r="BDT93" s="168"/>
      <c r="BDU93" s="167"/>
      <c r="BDV93" s="168"/>
      <c r="BDW93" s="167"/>
      <c r="BDX93" s="168"/>
      <c r="BDY93" s="167"/>
      <c r="BDZ93" s="168"/>
      <c r="BEA93" s="167"/>
      <c r="BEB93" s="168"/>
      <c r="BEC93" s="167"/>
      <c r="BED93" s="168"/>
      <c r="BEE93" s="167"/>
      <c r="BEF93" s="168"/>
      <c r="BEG93" s="167"/>
      <c r="BEH93" s="168"/>
      <c r="BEI93" s="167"/>
      <c r="BEJ93" s="168"/>
      <c r="BEK93" s="167"/>
      <c r="BEL93" s="168"/>
      <c r="BEM93" s="167"/>
      <c r="BEN93" s="168"/>
      <c r="BEO93" s="167"/>
      <c r="BEP93" s="168"/>
      <c r="BEQ93" s="167"/>
      <c r="BER93" s="168"/>
      <c r="BES93" s="167"/>
      <c r="BET93" s="168"/>
      <c r="BEU93" s="167"/>
      <c r="BEV93" s="168"/>
      <c r="BEW93" s="167"/>
      <c r="BEX93" s="168"/>
      <c r="BEY93" s="167"/>
      <c r="BEZ93" s="168"/>
      <c r="BFA93" s="167"/>
      <c r="BFB93" s="168"/>
      <c r="BFC93" s="167"/>
      <c r="BFD93" s="168"/>
      <c r="BFE93" s="167"/>
      <c r="BFF93" s="168"/>
      <c r="BFG93" s="167"/>
      <c r="BFH93" s="168"/>
      <c r="BFI93" s="167"/>
      <c r="BFJ93" s="168"/>
      <c r="BFK93" s="167"/>
      <c r="BFL93" s="168"/>
      <c r="BFM93" s="167"/>
      <c r="BFN93" s="168"/>
      <c r="BFO93" s="167"/>
      <c r="BFP93" s="168"/>
      <c r="BFQ93" s="167"/>
      <c r="BFR93" s="168"/>
      <c r="BFS93" s="167"/>
      <c r="BFT93" s="168"/>
      <c r="BFU93" s="167"/>
      <c r="BFV93" s="168"/>
      <c r="BFW93" s="167"/>
      <c r="BFX93" s="168"/>
      <c r="BFY93" s="167"/>
      <c r="BFZ93" s="168"/>
      <c r="BGA93" s="167"/>
      <c r="BGB93" s="168"/>
      <c r="BGC93" s="167"/>
      <c r="BGD93" s="168"/>
      <c r="BGE93" s="167"/>
      <c r="BGF93" s="168"/>
      <c r="BGG93" s="167"/>
      <c r="BGH93" s="168"/>
      <c r="BGI93" s="167"/>
      <c r="BGJ93" s="168"/>
      <c r="BGK93" s="167"/>
      <c r="BGL93" s="168"/>
      <c r="BGM93" s="167"/>
      <c r="BGN93" s="168"/>
      <c r="BGO93" s="167"/>
      <c r="BGP93" s="168"/>
      <c r="BGQ93" s="167"/>
      <c r="BGR93" s="168"/>
      <c r="BGS93" s="167"/>
      <c r="BGT93" s="168"/>
      <c r="BGU93" s="167"/>
      <c r="BGV93" s="168"/>
      <c r="BGW93" s="167"/>
      <c r="BGX93" s="168"/>
      <c r="BGY93" s="167"/>
      <c r="BGZ93" s="168"/>
      <c r="BHA93" s="167"/>
      <c r="BHB93" s="168"/>
      <c r="BHC93" s="167"/>
      <c r="BHD93" s="168"/>
      <c r="BHE93" s="167"/>
      <c r="BHF93" s="168"/>
      <c r="BHG93" s="167"/>
      <c r="BHH93" s="168"/>
      <c r="BHI93" s="167"/>
      <c r="BHJ93" s="168"/>
      <c r="BHK93" s="167"/>
      <c r="BHL93" s="168"/>
      <c r="BHM93" s="167"/>
      <c r="BHN93" s="168"/>
      <c r="BHO93" s="167"/>
      <c r="BHP93" s="168"/>
      <c r="BHQ93" s="167"/>
      <c r="BHR93" s="168"/>
      <c r="BHS93" s="167"/>
      <c r="BHT93" s="168"/>
      <c r="BHU93" s="167"/>
      <c r="BHV93" s="168"/>
      <c r="BHW93" s="167"/>
      <c r="BHX93" s="168"/>
      <c r="BHY93" s="167"/>
      <c r="BHZ93" s="168"/>
      <c r="BIA93" s="167"/>
      <c r="BIB93" s="168"/>
      <c r="BIC93" s="167"/>
      <c r="BID93" s="168"/>
      <c r="BIE93" s="167"/>
      <c r="BIF93" s="168"/>
      <c r="BIG93" s="167"/>
      <c r="BIH93" s="168"/>
      <c r="BII93" s="167"/>
      <c r="BIJ93" s="168"/>
      <c r="BIK93" s="167"/>
      <c r="BIL93" s="168"/>
      <c r="BIM93" s="167"/>
      <c r="BIN93" s="168"/>
      <c r="BIO93" s="167"/>
      <c r="BIP93" s="168"/>
      <c r="BIQ93" s="167"/>
      <c r="BIR93" s="168"/>
      <c r="BIS93" s="167"/>
      <c r="BIT93" s="168"/>
      <c r="BIU93" s="167"/>
      <c r="BIV93" s="168"/>
      <c r="BIW93" s="167"/>
      <c r="BIX93" s="168"/>
      <c r="BIY93" s="167"/>
      <c r="BIZ93" s="168"/>
      <c r="BJA93" s="167"/>
      <c r="BJB93" s="168"/>
      <c r="BJC93" s="167"/>
      <c r="BJD93" s="168"/>
      <c r="BJE93" s="167"/>
      <c r="BJF93" s="168"/>
      <c r="BJG93" s="167"/>
      <c r="BJH93" s="168"/>
      <c r="BJI93" s="167"/>
      <c r="BJJ93" s="168"/>
      <c r="BJK93" s="167"/>
      <c r="BJL93" s="168"/>
      <c r="BJM93" s="167"/>
      <c r="BJN93" s="168"/>
      <c r="BJO93" s="167"/>
      <c r="BJP93" s="168"/>
      <c r="BJQ93" s="167"/>
      <c r="BJR93" s="168"/>
      <c r="BJS93" s="167"/>
      <c r="BJT93" s="168"/>
      <c r="BJU93" s="167"/>
      <c r="BJV93" s="168"/>
      <c r="BJW93" s="167"/>
      <c r="BJX93" s="168"/>
      <c r="BJY93" s="167"/>
      <c r="BJZ93" s="168"/>
      <c r="BKA93" s="167"/>
      <c r="BKB93" s="168"/>
      <c r="BKC93" s="167"/>
      <c r="BKD93" s="168"/>
      <c r="BKE93" s="167"/>
      <c r="BKF93" s="168"/>
      <c r="BKG93" s="167"/>
      <c r="BKH93" s="168"/>
      <c r="BKI93" s="167"/>
      <c r="BKJ93" s="168"/>
      <c r="BKK93" s="167"/>
      <c r="BKL93" s="168"/>
      <c r="BKM93" s="167"/>
      <c r="BKN93" s="168"/>
      <c r="BKO93" s="167"/>
      <c r="BKP93" s="168"/>
      <c r="BKQ93" s="167"/>
      <c r="BKR93" s="168"/>
      <c r="BKS93" s="167"/>
      <c r="BKT93" s="168"/>
      <c r="BKU93" s="167"/>
      <c r="BKV93" s="168"/>
      <c r="BKW93" s="167"/>
      <c r="BKX93" s="168"/>
      <c r="BKY93" s="167"/>
      <c r="BKZ93" s="168"/>
      <c r="BLA93" s="167"/>
      <c r="BLB93" s="168"/>
      <c r="BLC93" s="167"/>
      <c r="BLD93" s="168"/>
      <c r="BLE93" s="167"/>
      <c r="BLF93" s="168"/>
      <c r="BLG93" s="167"/>
      <c r="BLH93" s="168"/>
      <c r="BLI93" s="167"/>
      <c r="BLJ93" s="168"/>
      <c r="BLK93" s="167"/>
      <c r="BLL93" s="168"/>
      <c r="BLM93" s="167"/>
      <c r="BLN93" s="168"/>
      <c r="BLO93" s="167"/>
      <c r="BLP93" s="168"/>
      <c r="BLQ93" s="167"/>
      <c r="BLR93" s="168"/>
      <c r="BLS93" s="167"/>
      <c r="BLT93" s="168"/>
      <c r="BLU93" s="167"/>
      <c r="BLV93" s="168"/>
      <c r="BLW93" s="167"/>
      <c r="BLX93" s="168"/>
      <c r="BLY93" s="167"/>
      <c r="BLZ93" s="168"/>
      <c r="BMA93" s="167"/>
      <c r="BMB93" s="168"/>
      <c r="BMC93" s="167"/>
      <c r="BMD93" s="168"/>
      <c r="BME93" s="167"/>
      <c r="BMF93" s="168"/>
      <c r="BMG93" s="167"/>
      <c r="BMH93" s="168"/>
      <c r="BMI93" s="167"/>
      <c r="BMJ93" s="168"/>
      <c r="BMK93" s="167"/>
      <c r="BML93" s="168"/>
      <c r="BMM93" s="167"/>
      <c r="BMN93" s="168"/>
      <c r="BMO93" s="167"/>
      <c r="BMP93" s="168"/>
      <c r="BMQ93" s="167"/>
      <c r="BMR93" s="168"/>
      <c r="BMS93" s="167"/>
      <c r="BMT93" s="168"/>
      <c r="BMU93" s="167"/>
      <c r="BMV93" s="168"/>
      <c r="BMW93" s="167"/>
      <c r="BMX93" s="168"/>
      <c r="BMY93" s="167"/>
      <c r="BMZ93" s="168"/>
      <c r="BNA93" s="167"/>
      <c r="BNB93" s="168"/>
      <c r="BNC93" s="167"/>
      <c r="BND93" s="168"/>
      <c r="BNE93" s="167"/>
      <c r="BNF93" s="168"/>
      <c r="BNG93" s="167"/>
      <c r="BNH93" s="168"/>
      <c r="BNI93" s="167"/>
      <c r="BNJ93" s="168"/>
      <c r="BNK93" s="167"/>
      <c r="BNL93" s="168"/>
      <c r="BNM93" s="167"/>
      <c r="BNN93" s="168"/>
      <c r="BNO93" s="167"/>
      <c r="BNP93" s="168"/>
      <c r="BNQ93" s="167"/>
      <c r="BNR93" s="168"/>
      <c r="BNS93" s="167"/>
      <c r="BNT93" s="168"/>
      <c r="BNU93" s="167"/>
      <c r="BNV93" s="168"/>
      <c r="BNW93" s="167"/>
      <c r="BNX93" s="168"/>
      <c r="BNY93" s="167"/>
      <c r="BNZ93" s="168"/>
      <c r="BOA93" s="167"/>
      <c r="BOB93" s="168"/>
      <c r="BOC93" s="167"/>
      <c r="BOD93" s="168"/>
      <c r="BOE93" s="167"/>
      <c r="BOF93" s="168"/>
      <c r="BOG93" s="167"/>
      <c r="BOH93" s="168"/>
      <c r="BOI93" s="167"/>
      <c r="BOJ93" s="168"/>
      <c r="BOK93" s="167"/>
      <c r="BOL93" s="168"/>
      <c r="BOM93" s="167"/>
      <c r="BON93" s="168"/>
      <c r="BOO93" s="167"/>
      <c r="BOP93" s="168"/>
      <c r="BOQ93" s="167"/>
      <c r="BOR93" s="168"/>
      <c r="BOS93" s="167"/>
      <c r="BOT93" s="168"/>
      <c r="BOU93" s="167"/>
      <c r="BOV93" s="168"/>
      <c r="BOW93" s="167"/>
      <c r="BOX93" s="168"/>
      <c r="BOY93" s="167"/>
      <c r="BOZ93" s="168"/>
      <c r="BPA93" s="167"/>
      <c r="BPB93" s="168"/>
      <c r="BPC93" s="167"/>
      <c r="BPD93" s="168"/>
      <c r="BPE93" s="167"/>
      <c r="BPF93" s="168"/>
      <c r="BPG93" s="167"/>
      <c r="BPH93" s="168"/>
      <c r="BPI93" s="167"/>
      <c r="BPJ93" s="168"/>
      <c r="BPK93" s="167"/>
      <c r="BPL93" s="168"/>
      <c r="BPM93" s="167"/>
      <c r="BPN93" s="168"/>
      <c r="BPO93" s="167"/>
      <c r="BPP93" s="168"/>
      <c r="BPQ93" s="167"/>
      <c r="BPR93" s="168"/>
      <c r="BPS93" s="167"/>
      <c r="BPT93" s="168"/>
      <c r="BPU93" s="167"/>
      <c r="BPV93" s="168"/>
      <c r="BPW93" s="167"/>
      <c r="BPX93" s="168"/>
      <c r="BPY93" s="167"/>
      <c r="BPZ93" s="168"/>
      <c r="BQA93" s="167"/>
      <c r="BQB93" s="168"/>
      <c r="BQC93" s="167"/>
      <c r="BQD93" s="168"/>
      <c r="BQE93" s="167"/>
      <c r="BQF93" s="168"/>
      <c r="BQG93" s="167"/>
      <c r="BQH93" s="168"/>
      <c r="BQI93" s="167"/>
      <c r="BQJ93" s="168"/>
      <c r="BQK93" s="167"/>
      <c r="BQL93" s="168"/>
      <c r="BQM93" s="167"/>
      <c r="BQN93" s="168"/>
      <c r="BQO93" s="167"/>
      <c r="BQP93" s="168"/>
      <c r="BQQ93" s="167"/>
      <c r="BQR93" s="168"/>
      <c r="BQS93" s="167"/>
      <c r="BQT93" s="168"/>
      <c r="BQU93" s="167"/>
      <c r="BQV93" s="168"/>
      <c r="BQW93" s="167"/>
      <c r="BQX93" s="168"/>
      <c r="BQY93" s="167"/>
      <c r="BQZ93" s="168"/>
      <c r="BRA93" s="167"/>
      <c r="BRB93" s="168"/>
      <c r="BRC93" s="167"/>
      <c r="BRD93" s="168"/>
      <c r="BRE93" s="167"/>
      <c r="BRF93" s="168"/>
      <c r="BRG93" s="167"/>
      <c r="BRH93" s="168"/>
      <c r="BRI93" s="167"/>
      <c r="BRJ93" s="168"/>
      <c r="BRK93" s="167"/>
      <c r="BRL93" s="168"/>
      <c r="BRM93" s="167"/>
      <c r="BRN93" s="168"/>
      <c r="BRO93" s="167"/>
      <c r="BRP93" s="168"/>
      <c r="BRQ93" s="167"/>
      <c r="BRR93" s="168"/>
      <c r="BRS93" s="167"/>
      <c r="BRT93" s="168"/>
      <c r="BRU93" s="167"/>
      <c r="BRV93" s="168"/>
      <c r="BRW93" s="167"/>
      <c r="BRX93" s="168"/>
      <c r="BRY93" s="167"/>
      <c r="BRZ93" s="168"/>
      <c r="BSA93" s="167"/>
      <c r="BSB93" s="168"/>
      <c r="BSC93" s="167"/>
      <c r="BSD93" s="168"/>
      <c r="BSE93" s="167"/>
      <c r="BSF93" s="168"/>
      <c r="BSG93" s="167"/>
      <c r="BSH93" s="168"/>
      <c r="BSI93" s="167"/>
      <c r="BSJ93" s="168"/>
      <c r="BSK93" s="167"/>
      <c r="BSL93" s="168"/>
      <c r="BSM93" s="167"/>
      <c r="BSN93" s="168"/>
      <c r="BSO93" s="167"/>
      <c r="BSP93" s="168"/>
      <c r="BSQ93" s="167"/>
      <c r="BSR93" s="168"/>
      <c r="BSS93" s="167"/>
      <c r="BST93" s="168"/>
      <c r="BSU93" s="167"/>
      <c r="BSV93" s="168"/>
      <c r="BSW93" s="167"/>
      <c r="BSX93" s="168"/>
      <c r="BSY93" s="167"/>
      <c r="BSZ93" s="168"/>
      <c r="BTA93" s="167"/>
      <c r="BTB93" s="168"/>
      <c r="BTC93" s="167"/>
      <c r="BTD93" s="168"/>
      <c r="BTE93" s="167"/>
      <c r="BTF93" s="168"/>
      <c r="BTG93" s="167"/>
      <c r="BTH93" s="168"/>
      <c r="BTI93" s="167"/>
      <c r="BTJ93" s="168"/>
      <c r="BTK93" s="167"/>
      <c r="BTL93" s="168"/>
      <c r="BTM93" s="167"/>
      <c r="BTN93" s="168"/>
      <c r="BTO93" s="167"/>
      <c r="BTP93" s="168"/>
      <c r="BTQ93" s="167"/>
      <c r="BTR93" s="168"/>
      <c r="BTS93" s="167"/>
      <c r="BTT93" s="168"/>
      <c r="BTU93" s="167"/>
      <c r="BTV93" s="168"/>
      <c r="BTW93" s="167"/>
      <c r="BTX93" s="168"/>
      <c r="BTY93" s="167"/>
      <c r="BTZ93" s="168"/>
      <c r="BUA93" s="167"/>
      <c r="BUB93" s="168"/>
      <c r="BUC93" s="167"/>
      <c r="BUD93" s="168"/>
      <c r="BUE93" s="167"/>
      <c r="BUF93" s="168"/>
      <c r="BUG93" s="167"/>
      <c r="BUH93" s="168"/>
      <c r="BUI93" s="167"/>
      <c r="BUJ93" s="168"/>
      <c r="BUK93" s="167"/>
      <c r="BUL93" s="168"/>
      <c r="BUM93" s="167"/>
      <c r="BUN93" s="168"/>
      <c r="BUO93" s="167"/>
      <c r="BUP93" s="168"/>
      <c r="BUQ93" s="167"/>
      <c r="BUR93" s="168"/>
      <c r="BUS93" s="167"/>
      <c r="BUT93" s="168"/>
      <c r="BUU93" s="167"/>
      <c r="BUV93" s="168"/>
      <c r="BUW93" s="167"/>
      <c r="BUX93" s="168"/>
      <c r="BUY93" s="167"/>
      <c r="BUZ93" s="168"/>
      <c r="BVA93" s="167"/>
      <c r="BVB93" s="168"/>
      <c r="BVC93" s="167"/>
      <c r="BVD93" s="168"/>
      <c r="BVE93" s="167"/>
      <c r="BVF93" s="168"/>
      <c r="BVG93" s="167"/>
      <c r="BVH93" s="168"/>
      <c r="BVI93" s="167"/>
      <c r="BVJ93" s="168"/>
      <c r="BVK93" s="167"/>
      <c r="BVL93" s="168"/>
      <c r="BVM93" s="167"/>
      <c r="BVN93" s="168"/>
      <c r="BVO93" s="167"/>
      <c r="BVP93" s="168"/>
      <c r="BVQ93" s="167"/>
      <c r="BVR93" s="168"/>
      <c r="BVS93" s="167"/>
      <c r="BVT93" s="168"/>
      <c r="BVU93" s="167"/>
      <c r="BVV93" s="168"/>
      <c r="BVW93" s="167"/>
      <c r="BVX93" s="168"/>
      <c r="BVY93" s="167"/>
      <c r="BVZ93" s="168"/>
      <c r="BWA93" s="167"/>
      <c r="BWB93" s="168"/>
      <c r="BWC93" s="167"/>
      <c r="BWD93" s="168"/>
      <c r="BWE93" s="167"/>
      <c r="BWF93" s="168"/>
      <c r="BWG93" s="167"/>
      <c r="BWH93" s="168"/>
      <c r="BWI93" s="167"/>
      <c r="BWJ93" s="168"/>
      <c r="BWK93" s="167"/>
      <c r="BWL93" s="168"/>
      <c r="BWM93" s="167"/>
      <c r="BWN93" s="168"/>
      <c r="BWO93" s="167"/>
      <c r="BWP93" s="168"/>
      <c r="BWQ93" s="167"/>
      <c r="BWR93" s="168"/>
      <c r="BWS93" s="167"/>
      <c r="BWT93" s="168"/>
      <c r="BWU93" s="167"/>
      <c r="BWV93" s="168"/>
      <c r="BWW93" s="167"/>
      <c r="BWX93" s="168"/>
      <c r="BWY93" s="167"/>
      <c r="BWZ93" s="168"/>
      <c r="BXA93" s="167"/>
      <c r="BXB93" s="168"/>
      <c r="BXC93" s="167"/>
      <c r="BXD93" s="168"/>
      <c r="BXE93" s="167"/>
      <c r="BXF93" s="168"/>
      <c r="BXG93" s="167"/>
      <c r="BXH93" s="168"/>
      <c r="BXI93" s="167"/>
      <c r="BXJ93" s="168"/>
      <c r="BXK93" s="167"/>
      <c r="BXL93" s="168"/>
      <c r="BXM93" s="167"/>
      <c r="BXN93" s="168"/>
      <c r="BXO93" s="167"/>
      <c r="BXP93" s="168"/>
      <c r="BXQ93" s="167"/>
      <c r="BXR93" s="168"/>
      <c r="BXS93" s="167"/>
      <c r="BXT93" s="168"/>
      <c r="BXU93" s="167"/>
      <c r="BXV93" s="168"/>
      <c r="BXW93" s="167"/>
      <c r="BXX93" s="168"/>
      <c r="BXY93" s="167"/>
      <c r="BXZ93" s="168"/>
      <c r="BYA93" s="167"/>
      <c r="BYB93" s="168"/>
      <c r="BYC93" s="167"/>
      <c r="BYD93" s="168"/>
      <c r="BYE93" s="167"/>
      <c r="BYF93" s="168"/>
      <c r="BYG93" s="167"/>
      <c r="BYH93" s="168"/>
      <c r="BYI93" s="167"/>
      <c r="BYJ93" s="168"/>
      <c r="BYK93" s="167"/>
      <c r="BYL93" s="168"/>
      <c r="BYM93" s="167"/>
      <c r="BYN93" s="168"/>
      <c r="BYO93" s="167"/>
      <c r="BYP93" s="168"/>
      <c r="BYQ93" s="167"/>
      <c r="BYR93" s="168"/>
      <c r="BYS93" s="167"/>
      <c r="BYT93" s="168"/>
      <c r="BYU93" s="167"/>
      <c r="BYV93" s="168"/>
      <c r="BYW93" s="167"/>
      <c r="BYX93" s="168"/>
      <c r="BYY93" s="167"/>
      <c r="BYZ93" s="168"/>
      <c r="BZA93" s="167"/>
      <c r="BZB93" s="168"/>
      <c r="BZC93" s="167"/>
      <c r="BZD93" s="168"/>
      <c r="BZE93" s="167"/>
      <c r="BZF93" s="168"/>
      <c r="BZG93" s="167"/>
      <c r="BZH93" s="168"/>
      <c r="BZI93" s="167"/>
      <c r="BZJ93" s="168"/>
      <c r="BZK93" s="167"/>
      <c r="BZL93" s="168"/>
      <c r="BZM93" s="167"/>
      <c r="BZN93" s="168"/>
      <c r="BZO93" s="167"/>
      <c r="BZP93" s="168"/>
      <c r="BZQ93" s="167"/>
      <c r="BZR93" s="168"/>
      <c r="BZS93" s="167"/>
      <c r="BZT93" s="168"/>
      <c r="BZU93" s="167"/>
      <c r="BZV93" s="168"/>
      <c r="BZW93" s="167"/>
      <c r="BZX93" s="168"/>
      <c r="BZY93" s="167"/>
      <c r="BZZ93" s="168"/>
      <c r="CAA93" s="167"/>
      <c r="CAB93" s="168"/>
      <c r="CAC93" s="167"/>
      <c r="CAD93" s="168"/>
      <c r="CAE93" s="167"/>
      <c r="CAF93" s="168"/>
      <c r="CAG93" s="167"/>
      <c r="CAH93" s="168"/>
      <c r="CAI93" s="167"/>
      <c r="CAJ93" s="168"/>
      <c r="CAK93" s="167"/>
      <c r="CAL93" s="168"/>
      <c r="CAM93" s="167"/>
      <c r="CAN93" s="168"/>
      <c r="CAO93" s="167"/>
      <c r="CAP93" s="168"/>
      <c r="CAQ93" s="167"/>
      <c r="CAR93" s="168"/>
      <c r="CAS93" s="167"/>
      <c r="CAT93" s="168"/>
      <c r="CAU93" s="167"/>
      <c r="CAV93" s="168"/>
      <c r="CAW93" s="167"/>
      <c r="CAX93" s="168"/>
      <c r="CAY93" s="167"/>
      <c r="CAZ93" s="168"/>
      <c r="CBA93" s="167"/>
      <c r="CBB93" s="168"/>
      <c r="CBC93" s="167"/>
      <c r="CBD93" s="168"/>
      <c r="CBE93" s="167"/>
      <c r="CBF93" s="168"/>
      <c r="CBG93" s="167"/>
      <c r="CBH93" s="168"/>
      <c r="CBI93" s="167"/>
      <c r="CBJ93" s="168"/>
      <c r="CBK93" s="167"/>
      <c r="CBL93" s="168"/>
      <c r="CBM93" s="167"/>
      <c r="CBN93" s="168"/>
      <c r="CBO93" s="167"/>
      <c r="CBP93" s="168"/>
      <c r="CBQ93" s="167"/>
      <c r="CBR93" s="168"/>
      <c r="CBS93" s="167"/>
      <c r="CBT93" s="168"/>
      <c r="CBU93" s="167"/>
      <c r="CBV93" s="168"/>
      <c r="CBW93" s="167"/>
      <c r="CBX93" s="168"/>
      <c r="CBY93" s="167"/>
      <c r="CBZ93" s="168"/>
      <c r="CCA93" s="167"/>
      <c r="CCB93" s="168"/>
      <c r="CCC93" s="167"/>
      <c r="CCD93" s="168"/>
      <c r="CCE93" s="167"/>
      <c r="CCF93" s="168"/>
      <c r="CCG93" s="167"/>
      <c r="CCH93" s="168"/>
      <c r="CCI93" s="167"/>
      <c r="CCJ93" s="168"/>
      <c r="CCK93" s="167"/>
      <c r="CCL93" s="168"/>
      <c r="CCM93" s="167"/>
      <c r="CCN93" s="168"/>
      <c r="CCO93" s="167"/>
      <c r="CCP93" s="168"/>
      <c r="CCQ93" s="167"/>
      <c r="CCR93" s="168"/>
      <c r="CCS93" s="167"/>
      <c r="CCT93" s="168"/>
      <c r="CCU93" s="167"/>
      <c r="CCV93" s="168"/>
      <c r="CCW93" s="167"/>
      <c r="CCX93" s="168"/>
      <c r="CCY93" s="167"/>
      <c r="CCZ93" s="168"/>
      <c r="CDA93" s="167"/>
      <c r="CDB93" s="168"/>
      <c r="CDC93" s="167"/>
      <c r="CDD93" s="168"/>
      <c r="CDE93" s="167"/>
      <c r="CDF93" s="168"/>
      <c r="CDG93" s="167"/>
      <c r="CDH93" s="168"/>
      <c r="CDI93" s="167"/>
      <c r="CDJ93" s="168"/>
      <c r="CDK93" s="167"/>
      <c r="CDL93" s="168"/>
      <c r="CDM93" s="167"/>
      <c r="CDN93" s="168"/>
      <c r="CDO93" s="167"/>
      <c r="CDP93" s="168"/>
      <c r="CDQ93" s="167"/>
      <c r="CDR93" s="168"/>
      <c r="CDS93" s="167"/>
      <c r="CDT93" s="168"/>
      <c r="CDU93" s="167"/>
      <c r="CDV93" s="168"/>
      <c r="CDW93" s="167"/>
      <c r="CDX93" s="168"/>
      <c r="CDY93" s="167"/>
      <c r="CDZ93" s="168"/>
      <c r="CEA93" s="167"/>
      <c r="CEB93" s="168"/>
      <c r="CEC93" s="167"/>
      <c r="CED93" s="168"/>
      <c r="CEE93" s="167"/>
      <c r="CEF93" s="168"/>
      <c r="CEG93" s="167"/>
      <c r="CEH93" s="168"/>
      <c r="CEI93" s="167"/>
      <c r="CEJ93" s="168"/>
      <c r="CEK93" s="167"/>
      <c r="CEL93" s="168"/>
      <c r="CEM93" s="167"/>
      <c r="CEN93" s="168"/>
      <c r="CEO93" s="167"/>
      <c r="CEP93" s="168"/>
      <c r="CEQ93" s="167"/>
      <c r="CER93" s="168"/>
      <c r="CES93" s="167"/>
      <c r="CET93" s="168"/>
      <c r="CEU93" s="167"/>
      <c r="CEV93" s="168"/>
      <c r="CEW93" s="167"/>
      <c r="CEX93" s="168"/>
      <c r="CEY93" s="167"/>
      <c r="CEZ93" s="168"/>
      <c r="CFA93" s="167"/>
      <c r="CFB93" s="168"/>
      <c r="CFC93" s="167"/>
      <c r="CFD93" s="168"/>
      <c r="CFE93" s="167"/>
      <c r="CFF93" s="168"/>
      <c r="CFG93" s="167"/>
      <c r="CFH93" s="168"/>
      <c r="CFI93" s="167"/>
      <c r="CFJ93" s="168"/>
      <c r="CFK93" s="167"/>
      <c r="CFL93" s="168"/>
      <c r="CFM93" s="167"/>
      <c r="CFN93" s="168"/>
      <c r="CFO93" s="167"/>
      <c r="CFP93" s="168"/>
      <c r="CFQ93" s="167"/>
      <c r="CFR93" s="168"/>
      <c r="CFS93" s="167"/>
      <c r="CFT93" s="168"/>
      <c r="CFU93" s="167"/>
      <c r="CFV93" s="168"/>
      <c r="CFW93" s="167"/>
      <c r="CFX93" s="168"/>
      <c r="CFY93" s="167"/>
      <c r="CFZ93" s="168"/>
      <c r="CGA93" s="167"/>
      <c r="CGB93" s="168"/>
      <c r="CGC93" s="167"/>
      <c r="CGD93" s="168"/>
      <c r="CGE93" s="167"/>
      <c r="CGF93" s="168"/>
      <c r="CGG93" s="167"/>
      <c r="CGH93" s="168"/>
      <c r="CGI93" s="167"/>
      <c r="CGJ93" s="168"/>
      <c r="CGK93" s="167"/>
      <c r="CGL93" s="168"/>
      <c r="CGM93" s="167"/>
      <c r="CGN93" s="168"/>
      <c r="CGO93" s="167"/>
      <c r="CGP93" s="168"/>
      <c r="CGQ93" s="167"/>
      <c r="CGR93" s="168"/>
      <c r="CGS93" s="167"/>
      <c r="CGT93" s="168"/>
      <c r="CGU93" s="167"/>
      <c r="CGV93" s="168"/>
      <c r="CGW93" s="167"/>
      <c r="CGX93" s="168"/>
      <c r="CGY93" s="167"/>
      <c r="CGZ93" s="168"/>
      <c r="CHA93" s="167"/>
      <c r="CHB93" s="168"/>
      <c r="CHC93" s="167"/>
      <c r="CHD93" s="168"/>
      <c r="CHE93" s="167"/>
      <c r="CHF93" s="168"/>
      <c r="CHG93" s="167"/>
      <c r="CHH93" s="168"/>
      <c r="CHI93" s="167"/>
      <c r="CHJ93" s="168"/>
      <c r="CHK93" s="167"/>
      <c r="CHL93" s="168"/>
      <c r="CHM93" s="167"/>
      <c r="CHN93" s="168"/>
      <c r="CHO93" s="167"/>
      <c r="CHP93" s="168"/>
      <c r="CHQ93" s="167"/>
      <c r="CHR93" s="168"/>
      <c r="CHS93" s="167"/>
      <c r="CHT93" s="168"/>
      <c r="CHU93" s="167"/>
      <c r="CHV93" s="168"/>
      <c r="CHW93" s="167"/>
      <c r="CHX93" s="168"/>
      <c r="CHY93" s="167"/>
      <c r="CHZ93" s="168"/>
      <c r="CIA93" s="167"/>
      <c r="CIB93" s="168"/>
      <c r="CIC93" s="167"/>
      <c r="CID93" s="168"/>
      <c r="CIE93" s="167"/>
      <c r="CIF93" s="168"/>
      <c r="CIG93" s="167"/>
      <c r="CIH93" s="168"/>
      <c r="CII93" s="167"/>
      <c r="CIJ93" s="168"/>
      <c r="CIK93" s="167"/>
      <c r="CIL93" s="168"/>
      <c r="CIM93" s="167"/>
      <c r="CIN93" s="168"/>
      <c r="CIO93" s="167"/>
      <c r="CIP93" s="168"/>
      <c r="CIQ93" s="167"/>
      <c r="CIR93" s="168"/>
      <c r="CIS93" s="167"/>
      <c r="CIT93" s="168"/>
      <c r="CIU93" s="167"/>
      <c r="CIV93" s="168"/>
      <c r="CIW93" s="167"/>
      <c r="CIX93" s="168"/>
      <c r="CIY93" s="167"/>
      <c r="CIZ93" s="168"/>
      <c r="CJA93" s="167"/>
      <c r="CJB93" s="168"/>
      <c r="CJC93" s="167"/>
      <c r="CJD93" s="168"/>
      <c r="CJE93" s="167"/>
      <c r="CJF93" s="168"/>
      <c r="CJG93" s="167"/>
      <c r="CJH93" s="168"/>
      <c r="CJI93" s="167"/>
      <c r="CJJ93" s="168"/>
      <c r="CJK93" s="167"/>
      <c r="CJL93" s="168"/>
      <c r="CJM93" s="167"/>
      <c r="CJN93" s="168"/>
      <c r="CJO93" s="167"/>
      <c r="CJP93" s="168"/>
      <c r="CJQ93" s="167"/>
      <c r="CJR93" s="168"/>
      <c r="CJS93" s="167"/>
      <c r="CJT93" s="168"/>
      <c r="CJU93" s="167"/>
      <c r="CJV93" s="168"/>
      <c r="CJW93" s="167"/>
      <c r="CJX93" s="168"/>
      <c r="CJY93" s="167"/>
      <c r="CJZ93" s="168"/>
      <c r="CKA93" s="167"/>
      <c r="CKB93" s="168"/>
      <c r="CKC93" s="167"/>
      <c r="CKD93" s="168"/>
      <c r="CKE93" s="167"/>
      <c r="CKF93" s="168"/>
      <c r="CKG93" s="167"/>
      <c r="CKH93" s="168"/>
      <c r="CKI93" s="167"/>
      <c r="CKJ93" s="168"/>
      <c r="CKK93" s="167"/>
      <c r="CKL93" s="168"/>
      <c r="CKM93" s="167"/>
      <c r="CKN93" s="168"/>
      <c r="CKO93" s="167"/>
      <c r="CKP93" s="168"/>
      <c r="CKQ93" s="167"/>
      <c r="CKR93" s="168"/>
      <c r="CKS93" s="167"/>
      <c r="CKT93" s="168"/>
      <c r="CKU93" s="167"/>
      <c r="CKV93" s="168"/>
      <c r="CKW93" s="167"/>
      <c r="CKX93" s="168"/>
      <c r="CKY93" s="167"/>
      <c r="CKZ93" s="168"/>
      <c r="CLA93" s="167"/>
      <c r="CLB93" s="168"/>
      <c r="CLC93" s="167"/>
      <c r="CLD93" s="168"/>
      <c r="CLE93" s="167"/>
      <c r="CLF93" s="168"/>
      <c r="CLG93" s="167"/>
      <c r="CLH93" s="168"/>
      <c r="CLI93" s="167"/>
      <c r="CLJ93" s="168"/>
      <c r="CLK93" s="167"/>
      <c r="CLL93" s="168"/>
      <c r="CLM93" s="167"/>
      <c r="CLN93" s="168"/>
      <c r="CLO93" s="167"/>
      <c r="CLP93" s="168"/>
      <c r="CLQ93" s="167"/>
      <c r="CLR93" s="168"/>
      <c r="CLS93" s="167"/>
      <c r="CLT93" s="168"/>
      <c r="CLU93" s="167"/>
      <c r="CLV93" s="168"/>
      <c r="CLW93" s="167"/>
      <c r="CLX93" s="168"/>
      <c r="CLY93" s="167"/>
      <c r="CLZ93" s="168"/>
      <c r="CMA93" s="167"/>
      <c r="CMB93" s="168"/>
      <c r="CMC93" s="167"/>
      <c r="CMD93" s="168"/>
      <c r="CME93" s="167"/>
      <c r="CMF93" s="168"/>
      <c r="CMG93" s="167"/>
      <c r="CMH93" s="168"/>
      <c r="CMI93" s="167"/>
      <c r="CMJ93" s="168"/>
      <c r="CMK93" s="167"/>
      <c r="CML93" s="168"/>
      <c r="CMM93" s="167"/>
      <c r="CMN93" s="168"/>
      <c r="CMO93" s="167"/>
      <c r="CMP93" s="168"/>
      <c r="CMQ93" s="167"/>
      <c r="CMR93" s="168"/>
      <c r="CMS93" s="167"/>
      <c r="CMT93" s="168"/>
      <c r="CMU93" s="167"/>
      <c r="CMV93" s="168"/>
      <c r="CMW93" s="167"/>
      <c r="CMX93" s="168"/>
      <c r="CMY93" s="167"/>
      <c r="CMZ93" s="168"/>
      <c r="CNA93" s="167"/>
      <c r="CNB93" s="168"/>
      <c r="CNC93" s="167"/>
      <c r="CND93" s="168"/>
      <c r="CNE93" s="167"/>
      <c r="CNF93" s="168"/>
      <c r="CNG93" s="167"/>
      <c r="CNH93" s="168"/>
      <c r="CNI93" s="167"/>
      <c r="CNJ93" s="168"/>
      <c r="CNK93" s="167"/>
      <c r="CNL93" s="168"/>
      <c r="CNM93" s="167"/>
      <c r="CNN93" s="168"/>
      <c r="CNO93" s="167"/>
      <c r="CNP93" s="168"/>
      <c r="CNQ93" s="167"/>
      <c r="CNR93" s="168"/>
      <c r="CNS93" s="167"/>
      <c r="CNT93" s="168"/>
      <c r="CNU93" s="167"/>
      <c r="CNV93" s="168"/>
      <c r="CNW93" s="167"/>
      <c r="CNX93" s="168"/>
      <c r="CNY93" s="167"/>
      <c r="CNZ93" s="168"/>
      <c r="COA93" s="167"/>
      <c r="COB93" s="168"/>
      <c r="COC93" s="167"/>
      <c r="COD93" s="168"/>
      <c r="COE93" s="167"/>
      <c r="COF93" s="168"/>
      <c r="COG93" s="167"/>
      <c r="COH93" s="168"/>
      <c r="COI93" s="167"/>
      <c r="COJ93" s="168"/>
      <c r="COK93" s="167"/>
      <c r="COL93" s="168"/>
      <c r="COM93" s="167"/>
      <c r="CON93" s="168"/>
      <c r="COO93" s="167"/>
      <c r="COP93" s="168"/>
      <c r="COQ93" s="167"/>
      <c r="COR93" s="168"/>
      <c r="COS93" s="167"/>
      <c r="COT93" s="168"/>
      <c r="COU93" s="167"/>
      <c r="COV93" s="168"/>
      <c r="COW93" s="167"/>
      <c r="COX93" s="168"/>
      <c r="COY93" s="167"/>
      <c r="COZ93" s="168"/>
      <c r="CPA93" s="167"/>
      <c r="CPB93" s="168"/>
      <c r="CPC93" s="167"/>
      <c r="CPD93" s="168"/>
      <c r="CPE93" s="167"/>
      <c r="CPF93" s="168"/>
      <c r="CPG93" s="167"/>
      <c r="CPH93" s="168"/>
      <c r="CPI93" s="167"/>
      <c r="CPJ93" s="168"/>
      <c r="CPK93" s="167"/>
      <c r="CPL93" s="168"/>
      <c r="CPM93" s="167"/>
      <c r="CPN93" s="168"/>
      <c r="CPO93" s="167"/>
      <c r="CPP93" s="168"/>
      <c r="CPQ93" s="167"/>
      <c r="CPR93" s="168"/>
      <c r="CPS93" s="167"/>
      <c r="CPT93" s="168"/>
      <c r="CPU93" s="167"/>
      <c r="CPV93" s="168"/>
      <c r="CPW93" s="167"/>
      <c r="CPX93" s="168"/>
      <c r="CPY93" s="167"/>
      <c r="CPZ93" s="168"/>
      <c r="CQA93" s="167"/>
      <c r="CQB93" s="168"/>
      <c r="CQC93" s="167"/>
      <c r="CQD93" s="168"/>
      <c r="CQE93" s="167"/>
      <c r="CQF93" s="168"/>
      <c r="CQG93" s="167"/>
      <c r="CQH93" s="168"/>
      <c r="CQI93" s="167"/>
      <c r="CQJ93" s="168"/>
      <c r="CQK93" s="167"/>
      <c r="CQL93" s="168"/>
      <c r="CQM93" s="167"/>
      <c r="CQN93" s="168"/>
      <c r="CQO93" s="167"/>
      <c r="CQP93" s="168"/>
      <c r="CQQ93" s="167"/>
      <c r="CQR93" s="168"/>
      <c r="CQS93" s="167"/>
      <c r="CQT93" s="168"/>
      <c r="CQU93" s="167"/>
      <c r="CQV93" s="168"/>
      <c r="CQW93" s="167"/>
      <c r="CQX93" s="168"/>
      <c r="CQY93" s="167"/>
      <c r="CQZ93" s="168"/>
      <c r="CRA93" s="167"/>
      <c r="CRB93" s="168"/>
      <c r="CRC93" s="167"/>
      <c r="CRD93" s="168"/>
      <c r="CRE93" s="167"/>
      <c r="CRF93" s="168"/>
      <c r="CRG93" s="167"/>
      <c r="CRH93" s="168"/>
      <c r="CRI93" s="167"/>
      <c r="CRJ93" s="168"/>
      <c r="CRK93" s="167"/>
      <c r="CRL93" s="168"/>
      <c r="CRM93" s="167"/>
      <c r="CRN93" s="168"/>
      <c r="CRO93" s="167"/>
      <c r="CRP93" s="168"/>
      <c r="CRQ93" s="167"/>
      <c r="CRR93" s="168"/>
      <c r="CRS93" s="167"/>
      <c r="CRT93" s="168"/>
      <c r="CRU93" s="167"/>
      <c r="CRV93" s="168"/>
      <c r="CRW93" s="167"/>
      <c r="CRX93" s="168"/>
      <c r="CRY93" s="167"/>
      <c r="CRZ93" s="168"/>
      <c r="CSA93" s="167"/>
      <c r="CSB93" s="168"/>
      <c r="CSC93" s="167"/>
      <c r="CSD93" s="168"/>
      <c r="CSE93" s="167"/>
      <c r="CSF93" s="168"/>
      <c r="CSG93" s="167"/>
      <c r="CSH93" s="168"/>
      <c r="CSI93" s="167"/>
      <c r="CSJ93" s="168"/>
      <c r="CSK93" s="167"/>
      <c r="CSL93" s="168"/>
      <c r="CSM93" s="167"/>
      <c r="CSN93" s="168"/>
      <c r="CSO93" s="167"/>
      <c r="CSP93" s="168"/>
      <c r="CSQ93" s="167"/>
      <c r="CSR93" s="168"/>
      <c r="CSS93" s="167"/>
      <c r="CST93" s="168"/>
      <c r="CSU93" s="167"/>
      <c r="CSV93" s="168"/>
      <c r="CSW93" s="167"/>
      <c r="CSX93" s="168"/>
      <c r="CSY93" s="167"/>
      <c r="CSZ93" s="168"/>
      <c r="CTA93" s="167"/>
      <c r="CTB93" s="168"/>
      <c r="CTC93" s="167"/>
      <c r="CTD93" s="168"/>
      <c r="CTE93" s="167"/>
      <c r="CTF93" s="168"/>
      <c r="CTG93" s="167"/>
      <c r="CTH93" s="168"/>
      <c r="CTI93" s="167"/>
      <c r="CTJ93" s="168"/>
      <c r="CTK93" s="167"/>
      <c r="CTL93" s="168"/>
      <c r="CTM93" s="167"/>
      <c r="CTN93" s="168"/>
      <c r="CTO93" s="167"/>
      <c r="CTP93" s="168"/>
      <c r="CTQ93" s="167"/>
      <c r="CTR93" s="168"/>
      <c r="CTS93" s="167"/>
      <c r="CTT93" s="168"/>
      <c r="CTU93" s="167"/>
      <c r="CTV93" s="168"/>
      <c r="CTW93" s="167"/>
      <c r="CTX93" s="168"/>
      <c r="CTY93" s="167"/>
      <c r="CTZ93" s="168"/>
      <c r="CUA93" s="167"/>
      <c r="CUB93" s="168"/>
      <c r="CUC93" s="167"/>
      <c r="CUD93" s="168"/>
      <c r="CUE93" s="167"/>
      <c r="CUF93" s="168"/>
      <c r="CUG93" s="167"/>
      <c r="CUH93" s="168"/>
      <c r="CUI93" s="167"/>
      <c r="CUJ93" s="168"/>
      <c r="CUK93" s="167"/>
      <c r="CUL93" s="168"/>
      <c r="CUM93" s="167"/>
      <c r="CUN93" s="168"/>
      <c r="CUO93" s="167"/>
      <c r="CUP93" s="168"/>
      <c r="CUQ93" s="167"/>
      <c r="CUR93" s="168"/>
      <c r="CUS93" s="167"/>
      <c r="CUT93" s="168"/>
      <c r="CUU93" s="167"/>
      <c r="CUV93" s="168"/>
      <c r="CUW93" s="167"/>
      <c r="CUX93" s="168"/>
      <c r="CUY93" s="167"/>
      <c r="CUZ93" s="168"/>
      <c r="CVA93" s="167"/>
      <c r="CVB93" s="168"/>
      <c r="CVC93" s="167"/>
      <c r="CVD93" s="168"/>
      <c r="CVE93" s="167"/>
      <c r="CVF93" s="168"/>
      <c r="CVG93" s="167"/>
      <c r="CVH93" s="168"/>
      <c r="CVI93" s="167"/>
      <c r="CVJ93" s="168"/>
      <c r="CVK93" s="167"/>
      <c r="CVL93" s="168"/>
      <c r="CVM93" s="167"/>
      <c r="CVN93" s="168"/>
      <c r="CVO93" s="167"/>
      <c r="CVP93" s="168"/>
      <c r="CVQ93" s="167"/>
      <c r="CVR93" s="168"/>
      <c r="CVS93" s="167"/>
      <c r="CVT93" s="168"/>
      <c r="CVU93" s="167"/>
      <c r="CVV93" s="168"/>
      <c r="CVW93" s="167"/>
      <c r="CVX93" s="168"/>
      <c r="CVY93" s="167"/>
      <c r="CVZ93" s="168"/>
      <c r="CWA93" s="167"/>
      <c r="CWB93" s="168"/>
      <c r="CWC93" s="167"/>
      <c r="CWD93" s="168"/>
      <c r="CWE93" s="167"/>
      <c r="CWF93" s="168"/>
      <c r="CWG93" s="167"/>
      <c r="CWH93" s="168"/>
      <c r="CWI93" s="167"/>
      <c r="CWJ93" s="168"/>
      <c r="CWK93" s="167"/>
      <c r="CWL93" s="168"/>
      <c r="CWM93" s="167"/>
      <c r="CWN93" s="168"/>
      <c r="CWO93" s="167"/>
      <c r="CWP93" s="168"/>
      <c r="CWQ93" s="167"/>
      <c r="CWR93" s="168"/>
      <c r="CWS93" s="167"/>
      <c r="CWT93" s="168"/>
      <c r="CWU93" s="167"/>
      <c r="CWV93" s="168"/>
      <c r="CWW93" s="167"/>
      <c r="CWX93" s="168"/>
      <c r="CWY93" s="167"/>
      <c r="CWZ93" s="168"/>
      <c r="CXA93" s="167"/>
      <c r="CXB93" s="168"/>
      <c r="CXC93" s="167"/>
      <c r="CXD93" s="168"/>
      <c r="CXE93" s="167"/>
      <c r="CXF93" s="168"/>
      <c r="CXG93" s="167"/>
      <c r="CXH93" s="168"/>
      <c r="CXI93" s="167"/>
      <c r="CXJ93" s="168"/>
      <c r="CXK93" s="167"/>
      <c r="CXL93" s="168"/>
      <c r="CXM93" s="167"/>
      <c r="CXN93" s="168"/>
      <c r="CXO93" s="167"/>
      <c r="CXP93" s="168"/>
      <c r="CXQ93" s="167"/>
      <c r="CXR93" s="168"/>
      <c r="CXS93" s="167"/>
      <c r="CXT93" s="168"/>
      <c r="CXU93" s="167"/>
      <c r="CXV93" s="168"/>
      <c r="CXW93" s="167"/>
      <c r="CXX93" s="168"/>
      <c r="CXY93" s="167"/>
      <c r="CXZ93" s="168"/>
      <c r="CYA93" s="167"/>
      <c r="CYB93" s="168"/>
      <c r="CYC93" s="167"/>
      <c r="CYD93" s="168"/>
      <c r="CYE93" s="167"/>
      <c r="CYF93" s="168"/>
      <c r="CYG93" s="167"/>
      <c r="CYH93" s="168"/>
      <c r="CYI93" s="167"/>
      <c r="CYJ93" s="168"/>
      <c r="CYK93" s="167"/>
      <c r="CYL93" s="168"/>
      <c r="CYM93" s="167"/>
      <c r="CYN93" s="168"/>
      <c r="CYO93" s="167"/>
      <c r="CYP93" s="168"/>
      <c r="CYQ93" s="167"/>
      <c r="CYR93" s="168"/>
      <c r="CYS93" s="167"/>
      <c r="CYT93" s="168"/>
      <c r="CYU93" s="167"/>
      <c r="CYV93" s="168"/>
      <c r="CYW93" s="167"/>
      <c r="CYX93" s="168"/>
      <c r="CYY93" s="167"/>
      <c r="CYZ93" s="168"/>
      <c r="CZA93" s="167"/>
      <c r="CZB93" s="168"/>
      <c r="CZC93" s="167"/>
      <c r="CZD93" s="168"/>
      <c r="CZE93" s="167"/>
      <c r="CZF93" s="168"/>
      <c r="CZG93" s="167"/>
      <c r="CZH93" s="168"/>
      <c r="CZI93" s="167"/>
      <c r="CZJ93" s="168"/>
      <c r="CZK93" s="167"/>
      <c r="CZL93" s="168"/>
      <c r="CZM93" s="167"/>
      <c r="CZN93" s="168"/>
      <c r="CZO93" s="167"/>
      <c r="CZP93" s="168"/>
      <c r="CZQ93" s="167"/>
      <c r="CZR93" s="168"/>
      <c r="CZS93" s="167"/>
      <c r="CZT93" s="168"/>
      <c r="CZU93" s="167"/>
      <c r="CZV93" s="168"/>
      <c r="CZW93" s="167"/>
      <c r="CZX93" s="168"/>
      <c r="CZY93" s="167"/>
      <c r="CZZ93" s="168"/>
      <c r="DAA93" s="167"/>
      <c r="DAB93" s="168"/>
      <c r="DAC93" s="167"/>
      <c r="DAD93" s="168"/>
      <c r="DAE93" s="167"/>
      <c r="DAF93" s="168"/>
      <c r="DAG93" s="167"/>
      <c r="DAH93" s="168"/>
      <c r="DAI93" s="167"/>
      <c r="DAJ93" s="168"/>
      <c r="DAK93" s="167"/>
      <c r="DAL93" s="168"/>
      <c r="DAM93" s="167"/>
      <c r="DAN93" s="168"/>
      <c r="DAO93" s="167"/>
      <c r="DAP93" s="168"/>
      <c r="DAQ93" s="167"/>
      <c r="DAR93" s="168"/>
      <c r="DAS93" s="167"/>
      <c r="DAT93" s="168"/>
      <c r="DAU93" s="167"/>
      <c r="DAV93" s="168"/>
      <c r="DAW93" s="167"/>
      <c r="DAX93" s="168"/>
      <c r="DAY93" s="167"/>
      <c r="DAZ93" s="168"/>
      <c r="DBA93" s="167"/>
      <c r="DBB93" s="168"/>
      <c r="DBC93" s="167"/>
      <c r="DBD93" s="168"/>
      <c r="DBE93" s="167"/>
      <c r="DBF93" s="168"/>
      <c r="DBG93" s="167"/>
      <c r="DBH93" s="168"/>
      <c r="DBI93" s="167"/>
      <c r="DBJ93" s="168"/>
      <c r="DBK93" s="167"/>
      <c r="DBL93" s="168"/>
      <c r="DBM93" s="167"/>
      <c r="DBN93" s="168"/>
      <c r="DBO93" s="167"/>
      <c r="DBP93" s="168"/>
      <c r="DBQ93" s="167"/>
      <c r="DBR93" s="168"/>
      <c r="DBS93" s="167"/>
      <c r="DBT93" s="168"/>
      <c r="DBU93" s="167"/>
      <c r="DBV93" s="168"/>
      <c r="DBW93" s="167"/>
      <c r="DBX93" s="168"/>
      <c r="DBY93" s="167"/>
      <c r="DBZ93" s="168"/>
      <c r="DCA93" s="167"/>
      <c r="DCB93" s="168"/>
      <c r="DCC93" s="167"/>
      <c r="DCD93" s="168"/>
      <c r="DCE93" s="167"/>
      <c r="DCF93" s="168"/>
      <c r="DCG93" s="167"/>
      <c r="DCH93" s="168"/>
      <c r="DCI93" s="167"/>
      <c r="DCJ93" s="168"/>
      <c r="DCK93" s="167"/>
      <c r="DCL93" s="168"/>
      <c r="DCM93" s="167"/>
      <c r="DCN93" s="168"/>
      <c r="DCO93" s="167"/>
      <c r="DCP93" s="168"/>
      <c r="DCQ93" s="167"/>
      <c r="DCR93" s="168"/>
      <c r="DCS93" s="167"/>
      <c r="DCT93" s="168"/>
      <c r="DCU93" s="167"/>
      <c r="DCV93" s="168"/>
      <c r="DCW93" s="167"/>
      <c r="DCX93" s="168"/>
      <c r="DCY93" s="167"/>
      <c r="DCZ93" s="168"/>
      <c r="DDA93" s="167"/>
      <c r="DDB93" s="168"/>
      <c r="DDC93" s="167"/>
      <c r="DDD93" s="168"/>
      <c r="DDE93" s="167"/>
      <c r="DDF93" s="168"/>
      <c r="DDG93" s="167"/>
      <c r="DDH93" s="168"/>
      <c r="DDI93" s="167"/>
      <c r="DDJ93" s="168"/>
      <c r="DDK93" s="167"/>
      <c r="DDL93" s="168"/>
      <c r="DDM93" s="167"/>
      <c r="DDN93" s="168"/>
      <c r="DDO93" s="167"/>
      <c r="DDP93" s="168"/>
      <c r="DDQ93" s="167"/>
      <c r="DDR93" s="168"/>
      <c r="DDS93" s="167"/>
      <c r="DDT93" s="168"/>
      <c r="DDU93" s="167"/>
      <c r="DDV93" s="168"/>
      <c r="DDW93" s="167"/>
      <c r="DDX93" s="168"/>
      <c r="DDY93" s="167"/>
      <c r="DDZ93" s="168"/>
      <c r="DEA93" s="167"/>
      <c r="DEB93" s="168"/>
      <c r="DEC93" s="167"/>
      <c r="DED93" s="168"/>
      <c r="DEE93" s="167"/>
      <c r="DEF93" s="168"/>
      <c r="DEG93" s="167"/>
      <c r="DEH93" s="168"/>
      <c r="DEI93" s="167"/>
      <c r="DEJ93" s="168"/>
      <c r="DEK93" s="167"/>
      <c r="DEL93" s="168"/>
      <c r="DEM93" s="167"/>
      <c r="DEN93" s="168"/>
      <c r="DEO93" s="167"/>
      <c r="DEP93" s="168"/>
      <c r="DEQ93" s="167"/>
      <c r="DER93" s="168"/>
      <c r="DES93" s="167"/>
      <c r="DET93" s="168"/>
      <c r="DEU93" s="167"/>
      <c r="DEV93" s="168"/>
      <c r="DEW93" s="167"/>
      <c r="DEX93" s="168"/>
      <c r="DEY93" s="167"/>
      <c r="DEZ93" s="168"/>
      <c r="DFA93" s="167"/>
      <c r="DFB93" s="168"/>
      <c r="DFC93" s="167"/>
      <c r="DFD93" s="168"/>
      <c r="DFE93" s="167"/>
      <c r="DFF93" s="168"/>
      <c r="DFG93" s="167"/>
      <c r="DFH93" s="168"/>
      <c r="DFI93" s="167"/>
      <c r="DFJ93" s="168"/>
      <c r="DFK93" s="167"/>
      <c r="DFL93" s="168"/>
      <c r="DFM93" s="167"/>
      <c r="DFN93" s="168"/>
      <c r="DFO93" s="167"/>
      <c r="DFP93" s="168"/>
      <c r="DFQ93" s="167"/>
      <c r="DFR93" s="168"/>
      <c r="DFS93" s="167"/>
      <c r="DFT93" s="168"/>
      <c r="DFU93" s="167"/>
      <c r="DFV93" s="168"/>
      <c r="DFW93" s="167"/>
      <c r="DFX93" s="168"/>
      <c r="DFY93" s="167"/>
      <c r="DFZ93" s="168"/>
      <c r="DGA93" s="167"/>
      <c r="DGB93" s="168"/>
      <c r="DGC93" s="167"/>
      <c r="DGD93" s="168"/>
      <c r="DGE93" s="167"/>
      <c r="DGF93" s="168"/>
      <c r="DGG93" s="167"/>
      <c r="DGH93" s="168"/>
      <c r="DGI93" s="167"/>
      <c r="DGJ93" s="168"/>
      <c r="DGK93" s="167"/>
      <c r="DGL93" s="168"/>
      <c r="DGM93" s="167"/>
      <c r="DGN93" s="168"/>
      <c r="DGO93" s="167"/>
      <c r="DGP93" s="168"/>
      <c r="DGQ93" s="167"/>
      <c r="DGR93" s="168"/>
      <c r="DGS93" s="167"/>
      <c r="DGT93" s="168"/>
      <c r="DGU93" s="167"/>
      <c r="DGV93" s="168"/>
      <c r="DGW93" s="167"/>
      <c r="DGX93" s="168"/>
      <c r="DGY93" s="167"/>
      <c r="DGZ93" s="168"/>
      <c r="DHA93" s="167"/>
      <c r="DHB93" s="168"/>
      <c r="DHC93" s="167"/>
      <c r="DHD93" s="168"/>
      <c r="DHE93" s="167"/>
      <c r="DHF93" s="168"/>
      <c r="DHG93" s="167"/>
      <c r="DHH93" s="168"/>
      <c r="DHI93" s="167"/>
      <c r="DHJ93" s="168"/>
      <c r="DHK93" s="167"/>
      <c r="DHL93" s="168"/>
      <c r="DHM93" s="167"/>
      <c r="DHN93" s="168"/>
      <c r="DHO93" s="167"/>
      <c r="DHP93" s="168"/>
      <c r="DHQ93" s="167"/>
      <c r="DHR93" s="168"/>
      <c r="DHS93" s="167"/>
      <c r="DHT93" s="168"/>
      <c r="DHU93" s="167"/>
      <c r="DHV93" s="168"/>
      <c r="DHW93" s="167"/>
      <c r="DHX93" s="168"/>
      <c r="DHY93" s="167"/>
      <c r="DHZ93" s="168"/>
      <c r="DIA93" s="167"/>
      <c r="DIB93" s="168"/>
      <c r="DIC93" s="167"/>
      <c r="DID93" s="168"/>
      <c r="DIE93" s="167"/>
      <c r="DIF93" s="168"/>
      <c r="DIG93" s="167"/>
      <c r="DIH93" s="168"/>
      <c r="DII93" s="167"/>
      <c r="DIJ93" s="168"/>
      <c r="DIK93" s="167"/>
      <c r="DIL93" s="168"/>
      <c r="DIM93" s="167"/>
      <c r="DIN93" s="168"/>
      <c r="DIO93" s="167"/>
      <c r="DIP93" s="168"/>
      <c r="DIQ93" s="167"/>
      <c r="DIR93" s="168"/>
      <c r="DIS93" s="167"/>
      <c r="DIT93" s="168"/>
      <c r="DIU93" s="167"/>
      <c r="DIV93" s="168"/>
      <c r="DIW93" s="167"/>
      <c r="DIX93" s="168"/>
      <c r="DIY93" s="167"/>
      <c r="DIZ93" s="168"/>
      <c r="DJA93" s="167"/>
      <c r="DJB93" s="168"/>
      <c r="DJC93" s="167"/>
      <c r="DJD93" s="168"/>
      <c r="DJE93" s="167"/>
      <c r="DJF93" s="168"/>
      <c r="DJG93" s="167"/>
      <c r="DJH93" s="168"/>
      <c r="DJI93" s="167"/>
      <c r="DJJ93" s="168"/>
      <c r="DJK93" s="167"/>
      <c r="DJL93" s="168"/>
      <c r="DJM93" s="167"/>
      <c r="DJN93" s="168"/>
      <c r="DJO93" s="167"/>
      <c r="DJP93" s="168"/>
      <c r="DJQ93" s="167"/>
      <c r="DJR93" s="168"/>
      <c r="DJS93" s="167"/>
      <c r="DJT93" s="168"/>
      <c r="DJU93" s="167"/>
      <c r="DJV93" s="168"/>
      <c r="DJW93" s="167"/>
      <c r="DJX93" s="168"/>
      <c r="DJY93" s="167"/>
      <c r="DJZ93" s="168"/>
      <c r="DKA93" s="167"/>
      <c r="DKB93" s="168"/>
      <c r="DKC93" s="167"/>
      <c r="DKD93" s="168"/>
      <c r="DKE93" s="167"/>
      <c r="DKF93" s="168"/>
      <c r="DKG93" s="167"/>
      <c r="DKH93" s="168"/>
      <c r="DKI93" s="167"/>
      <c r="DKJ93" s="168"/>
      <c r="DKK93" s="167"/>
      <c r="DKL93" s="168"/>
      <c r="DKM93" s="167"/>
      <c r="DKN93" s="168"/>
      <c r="DKO93" s="167"/>
      <c r="DKP93" s="168"/>
      <c r="DKQ93" s="167"/>
      <c r="DKR93" s="168"/>
      <c r="DKS93" s="167"/>
      <c r="DKT93" s="168"/>
      <c r="DKU93" s="167"/>
      <c r="DKV93" s="168"/>
      <c r="DKW93" s="167"/>
      <c r="DKX93" s="168"/>
      <c r="DKY93" s="167"/>
      <c r="DKZ93" s="168"/>
      <c r="DLA93" s="167"/>
      <c r="DLB93" s="168"/>
      <c r="DLC93" s="167"/>
      <c r="DLD93" s="168"/>
      <c r="DLE93" s="167"/>
      <c r="DLF93" s="168"/>
      <c r="DLG93" s="167"/>
      <c r="DLH93" s="168"/>
      <c r="DLI93" s="167"/>
      <c r="DLJ93" s="168"/>
      <c r="DLK93" s="167"/>
      <c r="DLL93" s="168"/>
      <c r="DLM93" s="167"/>
      <c r="DLN93" s="168"/>
      <c r="DLO93" s="167"/>
      <c r="DLP93" s="168"/>
      <c r="DLQ93" s="167"/>
      <c r="DLR93" s="168"/>
      <c r="DLS93" s="167"/>
      <c r="DLT93" s="168"/>
      <c r="DLU93" s="167"/>
      <c r="DLV93" s="168"/>
      <c r="DLW93" s="167"/>
      <c r="DLX93" s="168"/>
      <c r="DLY93" s="167"/>
      <c r="DLZ93" s="168"/>
      <c r="DMA93" s="167"/>
      <c r="DMB93" s="168"/>
      <c r="DMC93" s="167"/>
      <c r="DMD93" s="168"/>
      <c r="DME93" s="167"/>
      <c r="DMF93" s="168"/>
      <c r="DMG93" s="167"/>
      <c r="DMH93" s="168"/>
      <c r="DMI93" s="167"/>
      <c r="DMJ93" s="168"/>
      <c r="DMK93" s="167"/>
      <c r="DML93" s="168"/>
      <c r="DMM93" s="167"/>
      <c r="DMN93" s="168"/>
      <c r="DMO93" s="167"/>
      <c r="DMP93" s="168"/>
      <c r="DMQ93" s="167"/>
      <c r="DMR93" s="168"/>
      <c r="DMS93" s="167"/>
      <c r="DMT93" s="168"/>
      <c r="DMU93" s="167"/>
      <c r="DMV93" s="168"/>
      <c r="DMW93" s="167"/>
      <c r="DMX93" s="168"/>
      <c r="DMY93" s="167"/>
      <c r="DMZ93" s="168"/>
      <c r="DNA93" s="167"/>
      <c r="DNB93" s="168"/>
      <c r="DNC93" s="167"/>
      <c r="DND93" s="168"/>
      <c r="DNE93" s="167"/>
      <c r="DNF93" s="168"/>
      <c r="DNG93" s="167"/>
      <c r="DNH93" s="168"/>
      <c r="DNI93" s="167"/>
      <c r="DNJ93" s="168"/>
      <c r="DNK93" s="167"/>
      <c r="DNL93" s="168"/>
      <c r="DNM93" s="167"/>
      <c r="DNN93" s="168"/>
      <c r="DNO93" s="167"/>
      <c r="DNP93" s="168"/>
      <c r="DNQ93" s="167"/>
      <c r="DNR93" s="168"/>
      <c r="DNS93" s="167"/>
      <c r="DNT93" s="168"/>
      <c r="DNU93" s="167"/>
      <c r="DNV93" s="168"/>
      <c r="DNW93" s="167"/>
      <c r="DNX93" s="168"/>
      <c r="DNY93" s="167"/>
      <c r="DNZ93" s="168"/>
      <c r="DOA93" s="167"/>
      <c r="DOB93" s="168"/>
      <c r="DOC93" s="167"/>
      <c r="DOD93" s="168"/>
      <c r="DOE93" s="167"/>
      <c r="DOF93" s="168"/>
      <c r="DOG93" s="167"/>
      <c r="DOH93" s="168"/>
      <c r="DOI93" s="167"/>
      <c r="DOJ93" s="168"/>
      <c r="DOK93" s="167"/>
      <c r="DOL93" s="168"/>
      <c r="DOM93" s="167"/>
      <c r="DON93" s="168"/>
      <c r="DOO93" s="167"/>
      <c r="DOP93" s="168"/>
      <c r="DOQ93" s="167"/>
      <c r="DOR93" s="168"/>
      <c r="DOS93" s="167"/>
      <c r="DOT93" s="168"/>
      <c r="DOU93" s="167"/>
      <c r="DOV93" s="168"/>
      <c r="DOW93" s="167"/>
      <c r="DOX93" s="168"/>
      <c r="DOY93" s="167"/>
      <c r="DOZ93" s="168"/>
      <c r="DPA93" s="167"/>
      <c r="DPB93" s="168"/>
      <c r="DPC93" s="167"/>
      <c r="DPD93" s="168"/>
      <c r="DPE93" s="167"/>
      <c r="DPF93" s="168"/>
      <c r="DPG93" s="167"/>
      <c r="DPH93" s="168"/>
      <c r="DPI93" s="167"/>
      <c r="DPJ93" s="168"/>
      <c r="DPK93" s="167"/>
      <c r="DPL93" s="168"/>
      <c r="DPM93" s="167"/>
      <c r="DPN93" s="168"/>
      <c r="DPO93" s="167"/>
      <c r="DPP93" s="168"/>
      <c r="DPQ93" s="167"/>
      <c r="DPR93" s="168"/>
      <c r="DPS93" s="167"/>
      <c r="DPT93" s="168"/>
      <c r="DPU93" s="167"/>
      <c r="DPV93" s="168"/>
      <c r="DPW93" s="167"/>
      <c r="DPX93" s="168"/>
      <c r="DPY93" s="167"/>
      <c r="DPZ93" s="168"/>
      <c r="DQA93" s="167"/>
      <c r="DQB93" s="168"/>
      <c r="DQC93" s="167"/>
      <c r="DQD93" s="168"/>
      <c r="DQE93" s="167"/>
      <c r="DQF93" s="168"/>
      <c r="DQG93" s="167"/>
      <c r="DQH93" s="168"/>
      <c r="DQI93" s="167"/>
      <c r="DQJ93" s="168"/>
      <c r="DQK93" s="167"/>
      <c r="DQL93" s="168"/>
      <c r="DQM93" s="167"/>
      <c r="DQN93" s="168"/>
      <c r="DQO93" s="167"/>
      <c r="DQP93" s="168"/>
      <c r="DQQ93" s="167"/>
      <c r="DQR93" s="168"/>
      <c r="DQS93" s="167"/>
      <c r="DQT93" s="168"/>
      <c r="DQU93" s="167"/>
      <c r="DQV93" s="168"/>
      <c r="DQW93" s="167"/>
      <c r="DQX93" s="168"/>
      <c r="DQY93" s="167"/>
      <c r="DQZ93" s="168"/>
      <c r="DRA93" s="167"/>
      <c r="DRB93" s="168"/>
      <c r="DRC93" s="167"/>
      <c r="DRD93" s="168"/>
      <c r="DRE93" s="167"/>
      <c r="DRF93" s="168"/>
      <c r="DRG93" s="167"/>
      <c r="DRH93" s="168"/>
      <c r="DRI93" s="167"/>
      <c r="DRJ93" s="168"/>
      <c r="DRK93" s="167"/>
      <c r="DRL93" s="168"/>
      <c r="DRM93" s="167"/>
      <c r="DRN93" s="168"/>
      <c r="DRO93" s="167"/>
      <c r="DRP93" s="168"/>
      <c r="DRQ93" s="167"/>
      <c r="DRR93" s="168"/>
      <c r="DRS93" s="167"/>
      <c r="DRT93" s="168"/>
      <c r="DRU93" s="167"/>
      <c r="DRV93" s="168"/>
      <c r="DRW93" s="167"/>
      <c r="DRX93" s="168"/>
      <c r="DRY93" s="167"/>
      <c r="DRZ93" s="168"/>
      <c r="DSA93" s="167"/>
      <c r="DSB93" s="168"/>
      <c r="DSC93" s="167"/>
      <c r="DSD93" s="168"/>
      <c r="DSE93" s="167"/>
      <c r="DSF93" s="168"/>
      <c r="DSG93" s="167"/>
      <c r="DSH93" s="168"/>
      <c r="DSI93" s="167"/>
      <c r="DSJ93" s="168"/>
      <c r="DSK93" s="167"/>
      <c r="DSL93" s="168"/>
      <c r="DSM93" s="167"/>
      <c r="DSN93" s="168"/>
      <c r="DSO93" s="167"/>
      <c r="DSP93" s="168"/>
      <c r="DSQ93" s="167"/>
      <c r="DSR93" s="168"/>
      <c r="DSS93" s="167"/>
      <c r="DST93" s="168"/>
      <c r="DSU93" s="167"/>
      <c r="DSV93" s="168"/>
      <c r="DSW93" s="167"/>
      <c r="DSX93" s="168"/>
      <c r="DSY93" s="167"/>
      <c r="DSZ93" s="168"/>
      <c r="DTA93" s="167"/>
      <c r="DTB93" s="168"/>
      <c r="DTC93" s="167"/>
      <c r="DTD93" s="168"/>
      <c r="DTE93" s="167"/>
      <c r="DTF93" s="168"/>
      <c r="DTG93" s="167"/>
      <c r="DTH93" s="168"/>
      <c r="DTI93" s="167"/>
      <c r="DTJ93" s="168"/>
      <c r="DTK93" s="167"/>
      <c r="DTL93" s="168"/>
      <c r="DTM93" s="167"/>
      <c r="DTN93" s="168"/>
      <c r="DTO93" s="167"/>
      <c r="DTP93" s="168"/>
      <c r="DTQ93" s="167"/>
      <c r="DTR93" s="168"/>
      <c r="DTS93" s="167"/>
      <c r="DTT93" s="168"/>
      <c r="DTU93" s="167"/>
      <c r="DTV93" s="168"/>
      <c r="DTW93" s="167"/>
      <c r="DTX93" s="168"/>
      <c r="DTY93" s="167"/>
      <c r="DTZ93" s="168"/>
      <c r="DUA93" s="167"/>
      <c r="DUB93" s="168"/>
      <c r="DUC93" s="167"/>
      <c r="DUD93" s="168"/>
      <c r="DUE93" s="167"/>
      <c r="DUF93" s="168"/>
      <c r="DUG93" s="167"/>
      <c r="DUH93" s="168"/>
      <c r="DUI93" s="167"/>
      <c r="DUJ93" s="168"/>
      <c r="DUK93" s="167"/>
      <c r="DUL93" s="168"/>
      <c r="DUM93" s="167"/>
      <c r="DUN93" s="168"/>
      <c r="DUO93" s="167"/>
      <c r="DUP93" s="168"/>
      <c r="DUQ93" s="167"/>
      <c r="DUR93" s="168"/>
      <c r="DUS93" s="167"/>
      <c r="DUT93" s="168"/>
      <c r="DUU93" s="167"/>
      <c r="DUV93" s="168"/>
      <c r="DUW93" s="167"/>
      <c r="DUX93" s="168"/>
      <c r="DUY93" s="167"/>
      <c r="DUZ93" s="168"/>
      <c r="DVA93" s="167"/>
      <c r="DVB93" s="168"/>
      <c r="DVC93" s="167"/>
      <c r="DVD93" s="168"/>
      <c r="DVE93" s="167"/>
      <c r="DVF93" s="168"/>
      <c r="DVG93" s="167"/>
      <c r="DVH93" s="168"/>
      <c r="DVI93" s="167"/>
      <c r="DVJ93" s="168"/>
      <c r="DVK93" s="167"/>
      <c r="DVL93" s="168"/>
      <c r="DVM93" s="167"/>
      <c r="DVN93" s="168"/>
      <c r="DVO93" s="167"/>
      <c r="DVP93" s="168"/>
      <c r="DVQ93" s="167"/>
      <c r="DVR93" s="168"/>
      <c r="DVS93" s="167"/>
      <c r="DVT93" s="168"/>
      <c r="DVU93" s="167"/>
      <c r="DVV93" s="168"/>
      <c r="DVW93" s="167"/>
      <c r="DVX93" s="168"/>
      <c r="DVY93" s="167"/>
      <c r="DVZ93" s="168"/>
      <c r="DWA93" s="167"/>
      <c r="DWB93" s="168"/>
      <c r="DWC93" s="167"/>
      <c r="DWD93" s="168"/>
      <c r="DWE93" s="167"/>
      <c r="DWF93" s="168"/>
      <c r="DWG93" s="167"/>
      <c r="DWH93" s="168"/>
      <c r="DWI93" s="167"/>
      <c r="DWJ93" s="168"/>
      <c r="DWK93" s="167"/>
      <c r="DWL93" s="168"/>
      <c r="DWM93" s="167"/>
      <c r="DWN93" s="168"/>
      <c r="DWO93" s="167"/>
      <c r="DWP93" s="168"/>
      <c r="DWQ93" s="167"/>
      <c r="DWR93" s="168"/>
      <c r="DWS93" s="167"/>
      <c r="DWT93" s="168"/>
      <c r="DWU93" s="167"/>
      <c r="DWV93" s="168"/>
      <c r="DWW93" s="167"/>
      <c r="DWX93" s="168"/>
      <c r="DWY93" s="167"/>
      <c r="DWZ93" s="168"/>
      <c r="DXA93" s="167"/>
      <c r="DXB93" s="168"/>
      <c r="DXC93" s="167"/>
      <c r="DXD93" s="168"/>
      <c r="DXE93" s="167"/>
      <c r="DXF93" s="168"/>
      <c r="DXG93" s="167"/>
      <c r="DXH93" s="168"/>
      <c r="DXI93" s="167"/>
      <c r="DXJ93" s="168"/>
      <c r="DXK93" s="167"/>
      <c r="DXL93" s="168"/>
      <c r="DXM93" s="167"/>
      <c r="DXN93" s="168"/>
      <c r="DXO93" s="167"/>
      <c r="DXP93" s="168"/>
      <c r="DXQ93" s="167"/>
      <c r="DXR93" s="168"/>
      <c r="DXS93" s="167"/>
      <c r="DXT93" s="168"/>
      <c r="DXU93" s="167"/>
      <c r="DXV93" s="168"/>
      <c r="DXW93" s="167"/>
      <c r="DXX93" s="168"/>
      <c r="DXY93" s="167"/>
      <c r="DXZ93" s="168"/>
      <c r="DYA93" s="167"/>
      <c r="DYB93" s="168"/>
      <c r="DYC93" s="167"/>
      <c r="DYD93" s="168"/>
      <c r="DYE93" s="167"/>
      <c r="DYF93" s="168"/>
      <c r="DYG93" s="167"/>
      <c r="DYH93" s="168"/>
      <c r="DYI93" s="167"/>
      <c r="DYJ93" s="168"/>
      <c r="DYK93" s="167"/>
      <c r="DYL93" s="168"/>
      <c r="DYM93" s="167"/>
      <c r="DYN93" s="168"/>
      <c r="DYO93" s="167"/>
      <c r="DYP93" s="168"/>
      <c r="DYQ93" s="167"/>
      <c r="DYR93" s="168"/>
      <c r="DYS93" s="167"/>
      <c r="DYT93" s="168"/>
      <c r="DYU93" s="167"/>
      <c r="DYV93" s="168"/>
      <c r="DYW93" s="167"/>
      <c r="DYX93" s="168"/>
      <c r="DYY93" s="167"/>
      <c r="DYZ93" s="168"/>
      <c r="DZA93" s="167"/>
      <c r="DZB93" s="168"/>
      <c r="DZC93" s="167"/>
      <c r="DZD93" s="168"/>
      <c r="DZE93" s="167"/>
      <c r="DZF93" s="168"/>
      <c r="DZG93" s="167"/>
      <c r="DZH93" s="168"/>
      <c r="DZI93" s="167"/>
      <c r="DZJ93" s="168"/>
      <c r="DZK93" s="167"/>
      <c r="DZL93" s="168"/>
      <c r="DZM93" s="167"/>
      <c r="DZN93" s="168"/>
      <c r="DZO93" s="167"/>
      <c r="DZP93" s="168"/>
      <c r="DZQ93" s="167"/>
      <c r="DZR93" s="168"/>
      <c r="DZS93" s="167"/>
      <c r="DZT93" s="168"/>
      <c r="DZU93" s="167"/>
      <c r="DZV93" s="168"/>
      <c r="DZW93" s="167"/>
      <c r="DZX93" s="168"/>
      <c r="DZY93" s="167"/>
      <c r="DZZ93" s="168"/>
      <c r="EAA93" s="167"/>
      <c r="EAB93" s="168"/>
      <c r="EAC93" s="167"/>
      <c r="EAD93" s="168"/>
      <c r="EAE93" s="167"/>
      <c r="EAF93" s="168"/>
      <c r="EAG93" s="167"/>
      <c r="EAH93" s="168"/>
      <c r="EAI93" s="167"/>
      <c r="EAJ93" s="168"/>
      <c r="EAK93" s="167"/>
      <c r="EAL93" s="168"/>
      <c r="EAM93" s="167"/>
      <c r="EAN93" s="168"/>
      <c r="EAO93" s="167"/>
      <c r="EAP93" s="168"/>
      <c r="EAQ93" s="167"/>
      <c r="EAR93" s="168"/>
      <c r="EAS93" s="167"/>
      <c r="EAT93" s="168"/>
      <c r="EAU93" s="167"/>
      <c r="EAV93" s="168"/>
      <c r="EAW93" s="167"/>
      <c r="EAX93" s="168"/>
      <c r="EAY93" s="167"/>
      <c r="EAZ93" s="168"/>
      <c r="EBA93" s="167"/>
      <c r="EBB93" s="168"/>
      <c r="EBC93" s="167"/>
      <c r="EBD93" s="168"/>
      <c r="EBE93" s="167"/>
      <c r="EBF93" s="168"/>
      <c r="EBG93" s="167"/>
      <c r="EBH93" s="168"/>
      <c r="EBI93" s="167"/>
      <c r="EBJ93" s="168"/>
      <c r="EBK93" s="167"/>
      <c r="EBL93" s="168"/>
      <c r="EBM93" s="167"/>
      <c r="EBN93" s="168"/>
      <c r="EBO93" s="167"/>
      <c r="EBP93" s="168"/>
      <c r="EBQ93" s="167"/>
      <c r="EBR93" s="168"/>
      <c r="EBS93" s="167"/>
      <c r="EBT93" s="168"/>
      <c r="EBU93" s="167"/>
      <c r="EBV93" s="168"/>
      <c r="EBW93" s="167"/>
      <c r="EBX93" s="168"/>
      <c r="EBY93" s="167"/>
      <c r="EBZ93" s="168"/>
      <c r="ECA93" s="167"/>
      <c r="ECB93" s="168"/>
      <c r="ECC93" s="167"/>
      <c r="ECD93" s="168"/>
      <c r="ECE93" s="167"/>
      <c r="ECF93" s="168"/>
      <c r="ECG93" s="167"/>
      <c r="ECH93" s="168"/>
      <c r="ECI93" s="167"/>
      <c r="ECJ93" s="168"/>
      <c r="ECK93" s="167"/>
      <c r="ECL93" s="168"/>
      <c r="ECM93" s="167"/>
      <c r="ECN93" s="168"/>
      <c r="ECO93" s="167"/>
      <c r="ECP93" s="168"/>
      <c r="ECQ93" s="167"/>
      <c r="ECR93" s="168"/>
      <c r="ECS93" s="167"/>
      <c r="ECT93" s="168"/>
      <c r="ECU93" s="167"/>
      <c r="ECV93" s="168"/>
      <c r="ECW93" s="167"/>
      <c r="ECX93" s="168"/>
      <c r="ECY93" s="167"/>
      <c r="ECZ93" s="168"/>
      <c r="EDA93" s="167"/>
      <c r="EDB93" s="168"/>
      <c r="EDC93" s="167"/>
      <c r="EDD93" s="168"/>
      <c r="EDE93" s="167"/>
      <c r="EDF93" s="168"/>
      <c r="EDG93" s="167"/>
      <c r="EDH93" s="168"/>
      <c r="EDI93" s="167"/>
      <c r="EDJ93" s="168"/>
      <c r="EDK93" s="167"/>
      <c r="EDL93" s="168"/>
      <c r="EDM93" s="167"/>
      <c r="EDN93" s="168"/>
      <c r="EDO93" s="167"/>
      <c r="EDP93" s="168"/>
      <c r="EDQ93" s="167"/>
      <c r="EDR93" s="168"/>
      <c r="EDS93" s="167"/>
      <c r="EDT93" s="168"/>
      <c r="EDU93" s="167"/>
      <c r="EDV93" s="168"/>
      <c r="EDW93" s="167"/>
      <c r="EDX93" s="168"/>
      <c r="EDY93" s="167"/>
      <c r="EDZ93" s="168"/>
      <c r="EEA93" s="167"/>
      <c r="EEB93" s="168"/>
      <c r="EEC93" s="167"/>
      <c r="EED93" s="168"/>
      <c r="EEE93" s="167"/>
      <c r="EEF93" s="168"/>
      <c r="EEG93" s="167"/>
      <c r="EEH93" s="168"/>
      <c r="EEI93" s="167"/>
      <c r="EEJ93" s="168"/>
      <c r="EEK93" s="167"/>
      <c r="EEL93" s="168"/>
      <c r="EEM93" s="167"/>
      <c r="EEN93" s="168"/>
      <c r="EEO93" s="167"/>
      <c r="EEP93" s="168"/>
      <c r="EEQ93" s="167"/>
      <c r="EER93" s="168"/>
      <c r="EES93" s="167"/>
      <c r="EET93" s="168"/>
      <c r="EEU93" s="167"/>
      <c r="EEV93" s="168"/>
      <c r="EEW93" s="167"/>
      <c r="EEX93" s="168"/>
      <c r="EEY93" s="167"/>
      <c r="EEZ93" s="168"/>
      <c r="EFA93" s="167"/>
      <c r="EFB93" s="168"/>
      <c r="EFC93" s="167"/>
      <c r="EFD93" s="168"/>
      <c r="EFE93" s="167"/>
      <c r="EFF93" s="168"/>
      <c r="EFG93" s="167"/>
      <c r="EFH93" s="168"/>
      <c r="EFI93" s="167"/>
      <c r="EFJ93" s="168"/>
      <c r="EFK93" s="167"/>
      <c r="EFL93" s="168"/>
      <c r="EFM93" s="167"/>
      <c r="EFN93" s="168"/>
      <c r="EFO93" s="167"/>
      <c r="EFP93" s="168"/>
      <c r="EFQ93" s="167"/>
      <c r="EFR93" s="168"/>
      <c r="EFS93" s="167"/>
      <c r="EFT93" s="168"/>
      <c r="EFU93" s="167"/>
      <c r="EFV93" s="168"/>
      <c r="EFW93" s="167"/>
      <c r="EFX93" s="168"/>
      <c r="EFY93" s="167"/>
      <c r="EFZ93" s="168"/>
      <c r="EGA93" s="167"/>
      <c r="EGB93" s="168"/>
      <c r="EGC93" s="167"/>
      <c r="EGD93" s="168"/>
      <c r="EGE93" s="167"/>
      <c r="EGF93" s="168"/>
      <c r="EGG93" s="167"/>
      <c r="EGH93" s="168"/>
      <c r="EGI93" s="167"/>
      <c r="EGJ93" s="168"/>
      <c r="EGK93" s="167"/>
      <c r="EGL93" s="168"/>
      <c r="EGM93" s="167"/>
      <c r="EGN93" s="168"/>
      <c r="EGO93" s="167"/>
      <c r="EGP93" s="168"/>
      <c r="EGQ93" s="167"/>
      <c r="EGR93" s="168"/>
      <c r="EGS93" s="167"/>
      <c r="EGT93" s="168"/>
      <c r="EGU93" s="167"/>
      <c r="EGV93" s="168"/>
      <c r="EGW93" s="167"/>
      <c r="EGX93" s="168"/>
      <c r="EGY93" s="167"/>
      <c r="EGZ93" s="168"/>
      <c r="EHA93" s="167"/>
      <c r="EHB93" s="168"/>
      <c r="EHC93" s="167"/>
      <c r="EHD93" s="168"/>
      <c r="EHE93" s="167"/>
      <c r="EHF93" s="168"/>
      <c r="EHG93" s="167"/>
      <c r="EHH93" s="168"/>
      <c r="EHI93" s="167"/>
      <c r="EHJ93" s="168"/>
      <c r="EHK93" s="167"/>
      <c r="EHL93" s="168"/>
      <c r="EHM93" s="167"/>
      <c r="EHN93" s="168"/>
      <c r="EHO93" s="167"/>
      <c r="EHP93" s="168"/>
      <c r="EHQ93" s="167"/>
      <c r="EHR93" s="168"/>
      <c r="EHS93" s="167"/>
      <c r="EHT93" s="168"/>
      <c r="EHU93" s="167"/>
      <c r="EHV93" s="168"/>
      <c r="EHW93" s="167"/>
      <c r="EHX93" s="168"/>
      <c r="EHY93" s="167"/>
      <c r="EHZ93" s="168"/>
      <c r="EIA93" s="167"/>
      <c r="EIB93" s="168"/>
      <c r="EIC93" s="167"/>
      <c r="EID93" s="168"/>
      <c r="EIE93" s="167"/>
      <c r="EIF93" s="168"/>
      <c r="EIG93" s="167"/>
      <c r="EIH93" s="168"/>
      <c r="EII93" s="167"/>
      <c r="EIJ93" s="168"/>
      <c r="EIK93" s="167"/>
      <c r="EIL93" s="168"/>
      <c r="EIM93" s="167"/>
      <c r="EIN93" s="168"/>
      <c r="EIO93" s="167"/>
      <c r="EIP93" s="168"/>
      <c r="EIQ93" s="167"/>
      <c r="EIR93" s="168"/>
      <c r="EIS93" s="167"/>
      <c r="EIT93" s="168"/>
      <c r="EIU93" s="167"/>
      <c r="EIV93" s="168"/>
      <c r="EIW93" s="167"/>
      <c r="EIX93" s="168"/>
      <c r="EIY93" s="167"/>
      <c r="EIZ93" s="168"/>
      <c r="EJA93" s="167"/>
      <c r="EJB93" s="168"/>
      <c r="EJC93" s="167"/>
      <c r="EJD93" s="168"/>
      <c r="EJE93" s="167"/>
      <c r="EJF93" s="168"/>
      <c r="EJG93" s="167"/>
      <c r="EJH93" s="168"/>
      <c r="EJI93" s="167"/>
      <c r="EJJ93" s="168"/>
      <c r="EJK93" s="167"/>
      <c r="EJL93" s="168"/>
      <c r="EJM93" s="167"/>
      <c r="EJN93" s="168"/>
      <c r="EJO93" s="167"/>
      <c r="EJP93" s="168"/>
      <c r="EJQ93" s="167"/>
      <c r="EJR93" s="168"/>
      <c r="EJS93" s="167"/>
      <c r="EJT93" s="168"/>
      <c r="EJU93" s="167"/>
      <c r="EJV93" s="168"/>
      <c r="EJW93" s="167"/>
      <c r="EJX93" s="168"/>
      <c r="EJY93" s="167"/>
      <c r="EJZ93" s="168"/>
      <c r="EKA93" s="167"/>
      <c r="EKB93" s="168"/>
      <c r="EKC93" s="167"/>
      <c r="EKD93" s="168"/>
      <c r="EKE93" s="167"/>
      <c r="EKF93" s="168"/>
      <c r="EKG93" s="167"/>
      <c r="EKH93" s="168"/>
      <c r="EKI93" s="167"/>
      <c r="EKJ93" s="168"/>
      <c r="EKK93" s="167"/>
      <c r="EKL93" s="168"/>
      <c r="EKM93" s="167"/>
      <c r="EKN93" s="168"/>
      <c r="EKO93" s="167"/>
      <c r="EKP93" s="168"/>
      <c r="EKQ93" s="167"/>
      <c r="EKR93" s="168"/>
      <c r="EKS93" s="167"/>
      <c r="EKT93" s="168"/>
      <c r="EKU93" s="167"/>
      <c r="EKV93" s="168"/>
      <c r="EKW93" s="167"/>
      <c r="EKX93" s="168"/>
      <c r="EKY93" s="167"/>
      <c r="EKZ93" s="168"/>
      <c r="ELA93" s="167"/>
      <c r="ELB93" s="168"/>
      <c r="ELC93" s="167"/>
      <c r="ELD93" s="168"/>
      <c r="ELE93" s="167"/>
      <c r="ELF93" s="168"/>
      <c r="ELG93" s="167"/>
      <c r="ELH93" s="168"/>
      <c r="ELI93" s="167"/>
      <c r="ELJ93" s="168"/>
      <c r="ELK93" s="167"/>
      <c r="ELL93" s="168"/>
      <c r="ELM93" s="167"/>
      <c r="ELN93" s="168"/>
      <c r="ELO93" s="167"/>
      <c r="ELP93" s="168"/>
      <c r="ELQ93" s="167"/>
      <c r="ELR93" s="168"/>
      <c r="ELS93" s="167"/>
      <c r="ELT93" s="168"/>
      <c r="ELU93" s="167"/>
      <c r="ELV93" s="168"/>
      <c r="ELW93" s="167"/>
      <c r="ELX93" s="168"/>
      <c r="ELY93" s="167"/>
      <c r="ELZ93" s="168"/>
      <c r="EMA93" s="167"/>
      <c r="EMB93" s="168"/>
      <c r="EMC93" s="167"/>
      <c r="EMD93" s="168"/>
      <c r="EME93" s="167"/>
      <c r="EMF93" s="168"/>
      <c r="EMG93" s="167"/>
      <c r="EMH93" s="168"/>
      <c r="EMI93" s="167"/>
      <c r="EMJ93" s="168"/>
      <c r="EMK93" s="167"/>
      <c r="EML93" s="168"/>
      <c r="EMM93" s="167"/>
      <c r="EMN93" s="168"/>
      <c r="EMO93" s="167"/>
      <c r="EMP93" s="168"/>
      <c r="EMQ93" s="167"/>
      <c r="EMR93" s="168"/>
      <c r="EMS93" s="167"/>
      <c r="EMT93" s="168"/>
      <c r="EMU93" s="167"/>
      <c r="EMV93" s="168"/>
      <c r="EMW93" s="167"/>
      <c r="EMX93" s="168"/>
      <c r="EMY93" s="167"/>
      <c r="EMZ93" s="168"/>
      <c r="ENA93" s="167"/>
      <c r="ENB93" s="168"/>
      <c r="ENC93" s="167"/>
      <c r="END93" s="168"/>
      <c r="ENE93" s="167"/>
      <c r="ENF93" s="168"/>
      <c r="ENG93" s="167"/>
      <c r="ENH93" s="168"/>
      <c r="ENI93" s="167"/>
      <c r="ENJ93" s="168"/>
      <c r="ENK93" s="167"/>
      <c r="ENL93" s="168"/>
      <c r="ENM93" s="167"/>
      <c r="ENN93" s="168"/>
      <c r="ENO93" s="167"/>
      <c r="ENP93" s="168"/>
      <c r="ENQ93" s="167"/>
      <c r="ENR93" s="168"/>
      <c r="ENS93" s="167"/>
      <c r="ENT93" s="168"/>
      <c r="ENU93" s="167"/>
      <c r="ENV93" s="168"/>
      <c r="ENW93" s="167"/>
      <c r="ENX93" s="168"/>
      <c r="ENY93" s="167"/>
      <c r="ENZ93" s="168"/>
      <c r="EOA93" s="167"/>
      <c r="EOB93" s="168"/>
      <c r="EOC93" s="167"/>
      <c r="EOD93" s="168"/>
      <c r="EOE93" s="167"/>
      <c r="EOF93" s="168"/>
      <c r="EOG93" s="167"/>
      <c r="EOH93" s="168"/>
      <c r="EOI93" s="167"/>
      <c r="EOJ93" s="168"/>
      <c r="EOK93" s="167"/>
      <c r="EOL93" s="168"/>
      <c r="EOM93" s="167"/>
      <c r="EON93" s="168"/>
      <c r="EOO93" s="167"/>
      <c r="EOP93" s="168"/>
      <c r="EOQ93" s="167"/>
      <c r="EOR93" s="168"/>
      <c r="EOS93" s="167"/>
      <c r="EOT93" s="168"/>
      <c r="EOU93" s="167"/>
      <c r="EOV93" s="168"/>
      <c r="EOW93" s="167"/>
      <c r="EOX93" s="168"/>
      <c r="EOY93" s="167"/>
      <c r="EOZ93" s="168"/>
      <c r="EPA93" s="167"/>
      <c r="EPB93" s="168"/>
      <c r="EPC93" s="167"/>
      <c r="EPD93" s="168"/>
      <c r="EPE93" s="167"/>
      <c r="EPF93" s="168"/>
      <c r="EPG93" s="167"/>
      <c r="EPH93" s="168"/>
      <c r="EPI93" s="167"/>
      <c r="EPJ93" s="168"/>
      <c r="EPK93" s="167"/>
      <c r="EPL93" s="168"/>
      <c r="EPM93" s="167"/>
      <c r="EPN93" s="168"/>
      <c r="EPO93" s="167"/>
      <c r="EPP93" s="168"/>
      <c r="EPQ93" s="167"/>
      <c r="EPR93" s="168"/>
      <c r="EPS93" s="167"/>
      <c r="EPT93" s="168"/>
      <c r="EPU93" s="167"/>
      <c r="EPV93" s="168"/>
      <c r="EPW93" s="167"/>
      <c r="EPX93" s="168"/>
      <c r="EPY93" s="167"/>
      <c r="EPZ93" s="168"/>
      <c r="EQA93" s="167"/>
      <c r="EQB93" s="168"/>
      <c r="EQC93" s="167"/>
      <c r="EQD93" s="168"/>
      <c r="EQE93" s="167"/>
      <c r="EQF93" s="168"/>
      <c r="EQG93" s="167"/>
      <c r="EQH93" s="168"/>
      <c r="EQI93" s="167"/>
      <c r="EQJ93" s="168"/>
      <c r="EQK93" s="167"/>
      <c r="EQL93" s="168"/>
      <c r="EQM93" s="167"/>
      <c r="EQN93" s="168"/>
      <c r="EQO93" s="167"/>
      <c r="EQP93" s="168"/>
      <c r="EQQ93" s="167"/>
      <c r="EQR93" s="168"/>
      <c r="EQS93" s="167"/>
      <c r="EQT93" s="168"/>
      <c r="EQU93" s="167"/>
      <c r="EQV93" s="168"/>
      <c r="EQW93" s="167"/>
      <c r="EQX93" s="168"/>
      <c r="EQY93" s="167"/>
      <c r="EQZ93" s="168"/>
      <c r="ERA93" s="167"/>
      <c r="ERB93" s="168"/>
      <c r="ERC93" s="167"/>
      <c r="ERD93" s="168"/>
      <c r="ERE93" s="167"/>
      <c r="ERF93" s="168"/>
      <c r="ERG93" s="167"/>
      <c r="ERH93" s="168"/>
      <c r="ERI93" s="167"/>
      <c r="ERJ93" s="168"/>
      <c r="ERK93" s="167"/>
      <c r="ERL93" s="168"/>
      <c r="ERM93" s="167"/>
      <c r="ERN93" s="168"/>
      <c r="ERO93" s="167"/>
      <c r="ERP93" s="168"/>
      <c r="ERQ93" s="167"/>
      <c r="ERR93" s="168"/>
      <c r="ERS93" s="167"/>
      <c r="ERT93" s="168"/>
      <c r="ERU93" s="167"/>
      <c r="ERV93" s="168"/>
      <c r="ERW93" s="167"/>
      <c r="ERX93" s="168"/>
      <c r="ERY93" s="167"/>
      <c r="ERZ93" s="168"/>
      <c r="ESA93" s="167"/>
      <c r="ESB93" s="168"/>
      <c r="ESC93" s="167"/>
      <c r="ESD93" s="168"/>
      <c r="ESE93" s="167"/>
      <c r="ESF93" s="168"/>
      <c r="ESG93" s="167"/>
      <c r="ESH93" s="168"/>
      <c r="ESI93" s="167"/>
      <c r="ESJ93" s="168"/>
      <c r="ESK93" s="167"/>
      <c r="ESL93" s="168"/>
      <c r="ESM93" s="167"/>
      <c r="ESN93" s="168"/>
      <c r="ESO93" s="167"/>
      <c r="ESP93" s="168"/>
      <c r="ESQ93" s="167"/>
      <c r="ESR93" s="168"/>
      <c r="ESS93" s="167"/>
      <c r="EST93" s="168"/>
      <c r="ESU93" s="167"/>
      <c r="ESV93" s="168"/>
      <c r="ESW93" s="167"/>
      <c r="ESX93" s="168"/>
      <c r="ESY93" s="167"/>
      <c r="ESZ93" s="168"/>
      <c r="ETA93" s="167"/>
      <c r="ETB93" s="168"/>
      <c r="ETC93" s="167"/>
      <c r="ETD93" s="168"/>
      <c r="ETE93" s="167"/>
      <c r="ETF93" s="168"/>
      <c r="ETG93" s="167"/>
      <c r="ETH93" s="168"/>
      <c r="ETI93" s="167"/>
      <c r="ETJ93" s="168"/>
      <c r="ETK93" s="167"/>
      <c r="ETL93" s="168"/>
      <c r="ETM93" s="167"/>
      <c r="ETN93" s="168"/>
      <c r="ETO93" s="167"/>
      <c r="ETP93" s="168"/>
      <c r="ETQ93" s="167"/>
      <c r="ETR93" s="168"/>
      <c r="ETS93" s="167"/>
      <c r="ETT93" s="168"/>
      <c r="ETU93" s="167"/>
      <c r="ETV93" s="168"/>
      <c r="ETW93" s="167"/>
      <c r="ETX93" s="168"/>
      <c r="ETY93" s="167"/>
      <c r="ETZ93" s="168"/>
      <c r="EUA93" s="167"/>
      <c r="EUB93" s="168"/>
      <c r="EUC93" s="167"/>
      <c r="EUD93" s="168"/>
      <c r="EUE93" s="167"/>
      <c r="EUF93" s="168"/>
      <c r="EUG93" s="167"/>
      <c r="EUH93" s="168"/>
      <c r="EUI93" s="167"/>
      <c r="EUJ93" s="168"/>
      <c r="EUK93" s="167"/>
      <c r="EUL93" s="168"/>
      <c r="EUM93" s="167"/>
      <c r="EUN93" s="168"/>
      <c r="EUO93" s="167"/>
      <c r="EUP93" s="168"/>
      <c r="EUQ93" s="167"/>
      <c r="EUR93" s="168"/>
      <c r="EUS93" s="167"/>
      <c r="EUT93" s="168"/>
      <c r="EUU93" s="167"/>
      <c r="EUV93" s="168"/>
      <c r="EUW93" s="167"/>
      <c r="EUX93" s="168"/>
      <c r="EUY93" s="167"/>
      <c r="EUZ93" s="168"/>
      <c r="EVA93" s="167"/>
      <c r="EVB93" s="168"/>
      <c r="EVC93" s="167"/>
      <c r="EVD93" s="168"/>
      <c r="EVE93" s="167"/>
      <c r="EVF93" s="168"/>
      <c r="EVG93" s="167"/>
      <c r="EVH93" s="168"/>
      <c r="EVI93" s="167"/>
      <c r="EVJ93" s="168"/>
      <c r="EVK93" s="167"/>
      <c r="EVL93" s="168"/>
      <c r="EVM93" s="167"/>
      <c r="EVN93" s="168"/>
      <c r="EVO93" s="167"/>
      <c r="EVP93" s="168"/>
      <c r="EVQ93" s="167"/>
      <c r="EVR93" s="168"/>
      <c r="EVS93" s="167"/>
      <c r="EVT93" s="168"/>
      <c r="EVU93" s="167"/>
      <c r="EVV93" s="168"/>
      <c r="EVW93" s="167"/>
      <c r="EVX93" s="168"/>
      <c r="EVY93" s="167"/>
      <c r="EVZ93" s="168"/>
      <c r="EWA93" s="167"/>
      <c r="EWB93" s="168"/>
      <c r="EWC93" s="167"/>
      <c r="EWD93" s="168"/>
      <c r="EWE93" s="167"/>
      <c r="EWF93" s="168"/>
      <c r="EWG93" s="167"/>
      <c r="EWH93" s="168"/>
      <c r="EWI93" s="167"/>
      <c r="EWJ93" s="168"/>
      <c r="EWK93" s="167"/>
      <c r="EWL93" s="168"/>
      <c r="EWM93" s="167"/>
      <c r="EWN93" s="168"/>
      <c r="EWO93" s="167"/>
      <c r="EWP93" s="168"/>
      <c r="EWQ93" s="167"/>
      <c r="EWR93" s="168"/>
      <c r="EWS93" s="167"/>
      <c r="EWT93" s="168"/>
      <c r="EWU93" s="167"/>
      <c r="EWV93" s="168"/>
      <c r="EWW93" s="167"/>
      <c r="EWX93" s="168"/>
      <c r="EWY93" s="167"/>
      <c r="EWZ93" s="168"/>
      <c r="EXA93" s="167"/>
      <c r="EXB93" s="168"/>
      <c r="EXC93" s="167"/>
      <c r="EXD93" s="168"/>
      <c r="EXE93" s="167"/>
      <c r="EXF93" s="168"/>
      <c r="EXG93" s="167"/>
      <c r="EXH93" s="168"/>
      <c r="EXI93" s="167"/>
      <c r="EXJ93" s="168"/>
      <c r="EXK93" s="167"/>
      <c r="EXL93" s="168"/>
      <c r="EXM93" s="167"/>
      <c r="EXN93" s="168"/>
      <c r="EXO93" s="167"/>
      <c r="EXP93" s="168"/>
      <c r="EXQ93" s="167"/>
      <c r="EXR93" s="168"/>
      <c r="EXS93" s="167"/>
      <c r="EXT93" s="168"/>
      <c r="EXU93" s="167"/>
      <c r="EXV93" s="168"/>
      <c r="EXW93" s="167"/>
      <c r="EXX93" s="168"/>
      <c r="EXY93" s="167"/>
      <c r="EXZ93" s="168"/>
      <c r="EYA93" s="167"/>
      <c r="EYB93" s="168"/>
      <c r="EYC93" s="167"/>
      <c r="EYD93" s="168"/>
      <c r="EYE93" s="167"/>
      <c r="EYF93" s="168"/>
      <c r="EYG93" s="167"/>
      <c r="EYH93" s="168"/>
      <c r="EYI93" s="167"/>
      <c r="EYJ93" s="168"/>
      <c r="EYK93" s="167"/>
      <c r="EYL93" s="168"/>
      <c r="EYM93" s="167"/>
      <c r="EYN93" s="168"/>
      <c r="EYO93" s="167"/>
      <c r="EYP93" s="168"/>
      <c r="EYQ93" s="167"/>
      <c r="EYR93" s="168"/>
      <c r="EYS93" s="167"/>
      <c r="EYT93" s="168"/>
      <c r="EYU93" s="167"/>
      <c r="EYV93" s="168"/>
      <c r="EYW93" s="167"/>
      <c r="EYX93" s="168"/>
      <c r="EYY93" s="167"/>
      <c r="EYZ93" s="168"/>
      <c r="EZA93" s="167"/>
      <c r="EZB93" s="168"/>
      <c r="EZC93" s="167"/>
      <c r="EZD93" s="168"/>
      <c r="EZE93" s="167"/>
      <c r="EZF93" s="168"/>
      <c r="EZG93" s="167"/>
      <c r="EZH93" s="168"/>
      <c r="EZI93" s="167"/>
      <c r="EZJ93" s="168"/>
      <c r="EZK93" s="167"/>
      <c r="EZL93" s="168"/>
      <c r="EZM93" s="167"/>
      <c r="EZN93" s="168"/>
      <c r="EZO93" s="167"/>
      <c r="EZP93" s="168"/>
      <c r="EZQ93" s="167"/>
      <c r="EZR93" s="168"/>
      <c r="EZS93" s="167"/>
      <c r="EZT93" s="168"/>
      <c r="EZU93" s="167"/>
      <c r="EZV93" s="168"/>
      <c r="EZW93" s="167"/>
      <c r="EZX93" s="168"/>
      <c r="EZY93" s="167"/>
      <c r="EZZ93" s="168"/>
      <c r="FAA93" s="167"/>
      <c r="FAB93" s="168"/>
      <c r="FAC93" s="167"/>
      <c r="FAD93" s="168"/>
      <c r="FAE93" s="167"/>
      <c r="FAF93" s="168"/>
      <c r="FAG93" s="167"/>
      <c r="FAH93" s="168"/>
      <c r="FAI93" s="167"/>
      <c r="FAJ93" s="168"/>
      <c r="FAK93" s="167"/>
      <c r="FAL93" s="168"/>
      <c r="FAM93" s="167"/>
      <c r="FAN93" s="168"/>
      <c r="FAO93" s="167"/>
      <c r="FAP93" s="168"/>
      <c r="FAQ93" s="167"/>
      <c r="FAR93" s="168"/>
      <c r="FAS93" s="167"/>
      <c r="FAT93" s="168"/>
      <c r="FAU93" s="167"/>
      <c r="FAV93" s="168"/>
      <c r="FAW93" s="167"/>
      <c r="FAX93" s="168"/>
      <c r="FAY93" s="167"/>
      <c r="FAZ93" s="168"/>
      <c r="FBA93" s="167"/>
      <c r="FBB93" s="168"/>
      <c r="FBC93" s="167"/>
      <c r="FBD93" s="168"/>
      <c r="FBE93" s="167"/>
      <c r="FBF93" s="168"/>
      <c r="FBG93" s="167"/>
      <c r="FBH93" s="168"/>
      <c r="FBI93" s="167"/>
      <c r="FBJ93" s="168"/>
      <c r="FBK93" s="167"/>
      <c r="FBL93" s="168"/>
      <c r="FBM93" s="167"/>
      <c r="FBN93" s="168"/>
      <c r="FBO93" s="167"/>
      <c r="FBP93" s="168"/>
      <c r="FBQ93" s="167"/>
      <c r="FBR93" s="168"/>
      <c r="FBS93" s="167"/>
      <c r="FBT93" s="168"/>
      <c r="FBU93" s="167"/>
      <c r="FBV93" s="168"/>
      <c r="FBW93" s="167"/>
      <c r="FBX93" s="168"/>
      <c r="FBY93" s="167"/>
      <c r="FBZ93" s="168"/>
      <c r="FCA93" s="167"/>
      <c r="FCB93" s="168"/>
      <c r="FCC93" s="167"/>
      <c r="FCD93" s="168"/>
      <c r="FCE93" s="167"/>
      <c r="FCF93" s="168"/>
      <c r="FCG93" s="167"/>
      <c r="FCH93" s="168"/>
      <c r="FCI93" s="167"/>
      <c r="FCJ93" s="168"/>
      <c r="FCK93" s="167"/>
      <c r="FCL93" s="168"/>
      <c r="FCM93" s="167"/>
      <c r="FCN93" s="168"/>
      <c r="FCO93" s="167"/>
      <c r="FCP93" s="168"/>
      <c r="FCQ93" s="167"/>
      <c r="FCR93" s="168"/>
      <c r="FCS93" s="167"/>
      <c r="FCT93" s="168"/>
      <c r="FCU93" s="167"/>
      <c r="FCV93" s="168"/>
      <c r="FCW93" s="167"/>
      <c r="FCX93" s="168"/>
      <c r="FCY93" s="167"/>
      <c r="FCZ93" s="168"/>
      <c r="FDA93" s="167"/>
      <c r="FDB93" s="168"/>
      <c r="FDC93" s="167"/>
      <c r="FDD93" s="168"/>
      <c r="FDE93" s="167"/>
      <c r="FDF93" s="168"/>
      <c r="FDG93" s="167"/>
      <c r="FDH93" s="168"/>
      <c r="FDI93" s="167"/>
      <c r="FDJ93" s="168"/>
      <c r="FDK93" s="167"/>
      <c r="FDL93" s="168"/>
      <c r="FDM93" s="167"/>
      <c r="FDN93" s="168"/>
      <c r="FDO93" s="167"/>
      <c r="FDP93" s="168"/>
      <c r="FDQ93" s="167"/>
      <c r="FDR93" s="168"/>
      <c r="FDS93" s="167"/>
      <c r="FDT93" s="168"/>
      <c r="FDU93" s="167"/>
      <c r="FDV93" s="168"/>
      <c r="FDW93" s="167"/>
      <c r="FDX93" s="168"/>
      <c r="FDY93" s="167"/>
      <c r="FDZ93" s="168"/>
      <c r="FEA93" s="167"/>
      <c r="FEB93" s="168"/>
      <c r="FEC93" s="167"/>
      <c r="FED93" s="168"/>
      <c r="FEE93" s="167"/>
      <c r="FEF93" s="168"/>
      <c r="FEG93" s="167"/>
      <c r="FEH93" s="168"/>
      <c r="FEI93" s="167"/>
      <c r="FEJ93" s="168"/>
      <c r="FEK93" s="167"/>
      <c r="FEL93" s="168"/>
      <c r="FEM93" s="167"/>
      <c r="FEN93" s="168"/>
      <c r="FEO93" s="167"/>
      <c r="FEP93" s="168"/>
      <c r="FEQ93" s="167"/>
      <c r="FER93" s="168"/>
      <c r="FES93" s="167"/>
      <c r="FET93" s="168"/>
      <c r="FEU93" s="167"/>
      <c r="FEV93" s="168"/>
      <c r="FEW93" s="167"/>
      <c r="FEX93" s="168"/>
      <c r="FEY93" s="167"/>
      <c r="FEZ93" s="168"/>
      <c r="FFA93" s="167"/>
      <c r="FFB93" s="168"/>
      <c r="FFC93" s="167"/>
      <c r="FFD93" s="168"/>
      <c r="FFE93" s="167"/>
      <c r="FFF93" s="168"/>
      <c r="FFG93" s="167"/>
      <c r="FFH93" s="168"/>
      <c r="FFI93" s="167"/>
      <c r="FFJ93" s="168"/>
      <c r="FFK93" s="167"/>
      <c r="FFL93" s="168"/>
      <c r="FFM93" s="167"/>
      <c r="FFN93" s="168"/>
      <c r="FFO93" s="167"/>
      <c r="FFP93" s="168"/>
      <c r="FFQ93" s="167"/>
      <c r="FFR93" s="168"/>
      <c r="FFS93" s="167"/>
      <c r="FFT93" s="168"/>
      <c r="FFU93" s="167"/>
      <c r="FFV93" s="168"/>
      <c r="FFW93" s="167"/>
      <c r="FFX93" s="168"/>
      <c r="FFY93" s="167"/>
      <c r="FFZ93" s="168"/>
      <c r="FGA93" s="167"/>
      <c r="FGB93" s="168"/>
      <c r="FGC93" s="167"/>
      <c r="FGD93" s="168"/>
      <c r="FGE93" s="167"/>
      <c r="FGF93" s="168"/>
      <c r="FGG93" s="167"/>
      <c r="FGH93" s="168"/>
      <c r="FGI93" s="167"/>
      <c r="FGJ93" s="168"/>
      <c r="FGK93" s="167"/>
      <c r="FGL93" s="168"/>
      <c r="FGM93" s="167"/>
      <c r="FGN93" s="168"/>
      <c r="FGO93" s="167"/>
      <c r="FGP93" s="168"/>
      <c r="FGQ93" s="167"/>
      <c r="FGR93" s="168"/>
      <c r="FGS93" s="167"/>
      <c r="FGT93" s="168"/>
      <c r="FGU93" s="167"/>
      <c r="FGV93" s="168"/>
      <c r="FGW93" s="167"/>
      <c r="FGX93" s="168"/>
      <c r="FGY93" s="167"/>
      <c r="FGZ93" s="168"/>
      <c r="FHA93" s="167"/>
      <c r="FHB93" s="168"/>
      <c r="FHC93" s="167"/>
      <c r="FHD93" s="168"/>
      <c r="FHE93" s="167"/>
      <c r="FHF93" s="168"/>
      <c r="FHG93" s="167"/>
      <c r="FHH93" s="168"/>
      <c r="FHI93" s="167"/>
      <c r="FHJ93" s="168"/>
      <c r="FHK93" s="167"/>
      <c r="FHL93" s="168"/>
      <c r="FHM93" s="167"/>
      <c r="FHN93" s="168"/>
      <c r="FHO93" s="167"/>
      <c r="FHP93" s="168"/>
      <c r="FHQ93" s="167"/>
      <c r="FHR93" s="168"/>
      <c r="FHS93" s="167"/>
      <c r="FHT93" s="168"/>
      <c r="FHU93" s="167"/>
      <c r="FHV93" s="168"/>
      <c r="FHW93" s="167"/>
      <c r="FHX93" s="168"/>
      <c r="FHY93" s="167"/>
      <c r="FHZ93" s="168"/>
      <c r="FIA93" s="167"/>
      <c r="FIB93" s="168"/>
      <c r="FIC93" s="167"/>
      <c r="FID93" s="168"/>
      <c r="FIE93" s="167"/>
      <c r="FIF93" s="168"/>
      <c r="FIG93" s="167"/>
      <c r="FIH93" s="168"/>
      <c r="FII93" s="167"/>
      <c r="FIJ93" s="168"/>
      <c r="FIK93" s="167"/>
      <c r="FIL93" s="168"/>
      <c r="FIM93" s="167"/>
      <c r="FIN93" s="168"/>
      <c r="FIO93" s="167"/>
      <c r="FIP93" s="168"/>
      <c r="FIQ93" s="167"/>
      <c r="FIR93" s="168"/>
      <c r="FIS93" s="167"/>
      <c r="FIT93" s="168"/>
      <c r="FIU93" s="167"/>
      <c r="FIV93" s="168"/>
      <c r="FIW93" s="167"/>
      <c r="FIX93" s="168"/>
      <c r="FIY93" s="167"/>
      <c r="FIZ93" s="168"/>
      <c r="FJA93" s="167"/>
      <c r="FJB93" s="168"/>
      <c r="FJC93" s="167"/>
      <c r="FJD93" s="168"/>
      <c r="FJE93" s="167"/>
      <c r="FJF93" s="168"/>
      <c r="FJG93" s="167"/>
      <c r="FJH93" s="168"/>
      <c r="FJI93" s="167"/>
      <c r="FJJ93" s="168"/>
      <c r="FJK93" s="167"/>
      <c r="FJL93" s="168"/>
      <c r="FJM93" s="167"/>
      <c r="FJN93" s="168"/>
      <c r="FJO93" s="167"/>
      <c r="FJP93" s="168"/>
      <c r="FJQ93" s="167"/>
      <c r="FJR93" s="168"/>
      <c r="FJS93" s="167"/>
      <c r="FJT93" s="168"/>
      <c r="FJU93" s="167"/>
      <c r="FJV93" s="168"/>
      <c r="FJW93" s="167"/>
      <c r="FJX93" s="168"/>
      <c r="FJY93" s="167"/>
      <c r="FJZ93" s="168"/>
      <c r="FKA93" s="167"/>
      <c r="FKB93" s="168"/>
      <c r="FKC93" s="167"/>
      <c r="FKD93" s="168"/>
      <c r="FKE93" s="167"/>
      <c r="FKF93" s="168"/>
      <c r="FKG93" s="167"/>
      <c r="FKH93" s="168"/>
      <c r="FKI93" s="167"/>
      <c r="FKJ93" s="168"/>
      <c r="FKK93" s="167"/>
      <c r="FKL93" s="168"/>
      <c r="FKM93" s="167"/>
      <c r="FKN93" s="168"/>
      <c r="FKO93" s="167"/>
      <c r="FKP93" s="168"/>
      <c r="FKQ93" s="167"/>
      <c r="FKR93" s="168"/>
      <c r="FKS93" s="167"/>
      <c r="FKT93" s="168"/>
      <c r="FKU93" s="167"/>
      <c r="FKV93" s="168"/>
      <c r="FKW93" s="167"/>
      <c r="FKX93" s="168"/>
      <c r="FKY93" s="167"/>
      <c r="FKZ93" s="168"/>
      <c r="FLA93" s="167"/>
      <c r="FLB93" s="168"/>
      <c r="FLC93" s="167"/>
      <c r="FLD93" s="168"/>
      <c r="FLE93" s="167"/>
      <c r="FLF93" s="168"/>
      <c r="FLG93" s="167"/>
      <c r="FLH93" s="168"/>
      <c r="FLI93" s="167"/>
      <c r="FLJ93" s="168"/>
      <c r="FLK93" s="167"/>
      <c r="FLL93" s="168"/>
      <c r="FLM93" s="167"/>
      <c r="FLN93" s="168"/>
      <c r="FLO93" s="167"/>
      <c r="FLP93" s="168"/>
      <c r="FLQ93" s="167"/>
      <c r="FLR93" s="168"/>
      <c r="FLS93" s="167"/>
      <c r="FLT93" s="168"/>
      <c r="FLU93" s="167"/>
      <c r="FLV93" s="168"/>
      <c r="FLW93" s="167"/>
      <c r="FLX93" s="168"/>
      <c r="FLY93" s="167"/>
      <c r="FLZ93" s="168"/>
      <c r="FMA93" s="167"/>
      <c r="FMB93" s="168"/>
      <c r="FMC93" s="167"/>
      <c r="FMD93" s="168"/>
      <c r="FME93" s="167"/>
      <c r="FMF93" s="168"/>
      <c r="FMG93" s="167"/>
      <c r="FMH93" s="168"/>
      <c r="FMI93" s="167"/>
      <c r="FMJ93" s="168"/>
      <c r="FMK93" s="167"/>
      <c r="FML93" s="168"/>
      <c r="FMM93" s="167"/>
      <c r="FMN93" s="168"/>
      <c r="FMO93" s="167"/>
      <c r="FMP93" s="168"/>
      <c r="FMQ93" s="167"/>
      <c r="FMR93" s="168"/>
      <c r="FMS93" s="167"/>
      <c r="FMT93" s="168"/>
      <c r="FMU93" s="167"/>
      <c r="FMV93" s="168"/>
      <c r="FMW93" s="167"/>
      <c r="FMX93" s="168"/>
      <c r="FMY93" s="167"/>
      <c r="FMZ93" s="168"/>
      <c r="FNA93" s="167"/>
      <c r="FNB93" s="168"/>
      <c r="FNC93" s="167"/>
      <c r="FND93" s="168"/>
      <c r="FNE93" s="167"/>
      <c r="FNF93" s="168"/>
      <c r="FNG93" s="167"/>
      <c r="FNH93" s="168"/>
      <c r="FNI93" s="167"/>
      <c r="FNJ93" s="168"/>
      <c r="FNK93" s="167"/>
      <c r="FNL93" s="168"/>
      <c r="FNM93" s="167"/>
      <c r="FNN93" s="168"/>
      <c r="FNO93" s="167"/>
      <c r="FNP93" s="168"/>
      <c r="FNQ93" s="167"/>
      <c r="FNR93" s="168"/>
      <c r="FNS93" s="167"/>
      <c r="FNT93" s="168"/>
      <c r="FNU93" s="167"/>
      <c r="FNV93" s="168"/>
      <c r="FNW93" s="167"/>
      <c r="FNX93" s="168"/>
      <c r="FNY93" s="167"/>
      <c r="FNZ93" s="168"/>
      <c r="FOA93" s="167"/>
      <c r="FOB93" s="168"/>
      <c r="FOC93" s="167"/>
      <c r="FOD93" s="168"/>
      <c r="FOE93" s="167"/>
      <c r="FOF93" s="168"/>
      <c r="FOG93" s="167"/>
      <c r="FOH93" s="168"/>
      <c r="FOI93" s="167"/>
      <c r="FOJ93" s="168"/>
      <c r="FOK93" s="167"/>
      <c r="FOL93" s="168"/>
      <c r="FOM93" s="167"/>
      <c r="FON93" s="168"/>
      <c r="FOO93" s="167"/>
      <c r="FOP93" s="168"/>
      <c r="FOQ93" s="167"/>
      <c r="FOR93" s="168"/>
      <c r="FOS93" s="167"/>
      <c r="FOT93" s="168"/>
      <c r="FOU93" s="167"/>
      <c r="FOV93" s="168"/>
      <c r="FOW93" s="167"/>
      <c r="FOX93" s="168"/>
      <c r="FOY93" s="167"/>
      <c r="FOZ93" s="168"/>
      <c r="FPA93" s="167"/>
      <c r="FPB93" s="168"/>
      <c r="FPC93" s="167"/>
      <c r="FPD93" s="168"/>
      <c r="FPE93" s="167"/>
      <c r="FPF93" s="168"/>
      <c r="FPG93" s="167"/>
      <c r="FPH93" s="168"/>
      <c r="FPI93" s="167"/>
      <c r="FPJ93" s="168"/>
      <c r="FPK93" s="167"/>
      <c r="FPL93" s="168"/>
      <c r="FPM93" s="167"/>
      <c r="FPN93" s="168"/>
      <c r="FPO93" s="167"/>
      <c r="FPP93" s="168"/>
      <c r="FPQ93" s="167"/>
      <c r="FPR93" s="168"/>
      <c r="FPS93" s="167"/>
      <c r="FPT93" s="168"/>
      <c r="FPU93" s="167"/>
      <c r="FPV93" s="168"/>
      <c r="FPW93" s="167"/>
      <c r="FPX93" s="168"/>
      <c r="FPY93" s="167"/>
      <c r="FPZ93" s="168"/>
      <c r="FQA93" s="167"/>
      <c r="FQB93" s="168"/>
      <c r="FQC93" s="167"/>
      <c r="FQD93" s="168"/>
      <c r="FQE93" s="167"/>
      <c r="FQF93" s="168"/>
      <c r="FQG93" s="167"/>
      <c r="FQH93" s="168"/>
      <c r="FQI93" s="167"/>
      <c r="FQJ93" s="168"/>
      <c r="FQK93" s="167"/>
      <c r="FQL93" s="168"/>
      <c r="FQM93" s="167"/>
      <c r="FQN93" s="168"/>
      <c r="FQO93" s="167"/>
      <c r="FQP93" s="168"/>
      <c r="FQQ93" s="167"/>
      <c r="FQR93" s="168"/>
      <c r="FQS93" s="167"/>
      <c r="FQT93" s="168"/>
      <c r="FQU93" s="167"/>
      <c r="FQV93" s="168"/>
      <c r="FQW93" s="167"/>
      <c r="FQX93" s="168"/>
      <c r="FQY93" s="167"/>
      <c r="FQZ93" s="168"/>
      <c r="FRA93" s="167"/>
      <c r="FRB93" s="168"/>
      <c r="FRC93" s="167"/>
      <c r="FRD93" s="168"/>
      <c r="FRE93" s="167"/>
      <c r="FRF93" s="168"/>
      <c r="FRG93" s="167"/>
      <c r="FRH93" s="168"/>
      <c r="FRI93" s="167"/>
      <c r="FRJ93" s="168"/>
      <c r="FRK93" s="167"/>
      <c r="FRL93" s="168"/>
      <c r="FRM93" s="167"/>
      <c r="FRN93" s="168"/>
      <c r="FRO93" s="167"/>
      <c r="FRP93" s="168"/>
      <c r="FRQ93" s="167"/>
      <c r="FRR93" s="168"/>
      <c r="FRS93" s="167"/>
      <c r="FRT93" s="168"/>
      <c r="FRU93" s="167"/>
      <c r="FRV93" s="168"/>
      <c r="FRW93" s="167"/>
      <c r="FRX93" s="168"/>
      <c r="FRY93" s="167"/>
      <c r="FRZ93" s="168"/>
      <c r="FSA93" s="167"/>
      <c r="FSB93" s="168"/>
      <c r="FSC93" s="167"/>
      <c r="FSD93" s="168"/>
      <c r="FSE93" s="167"/>
      <c r="FSF93" s="168"/>
      <c r="FSG93" s="167"/>
      <c r="FSH93" s="168"/>
      <c r="FSI93" s="167"/>
      <c r="FSJ93" s="168"/>
      <c r="FSK93" s="167"/>
      <c r="FSL93" s="168"/>
      <c r="FSM93" s="167"/>
      <c r="FSN93" s="168"/>
      <c r="FSO93" s="167"/>
      <c r="FSP93" s="168"/>
      <c r="FSQ93" s="167"/>
      <c r="FSR93" s="168"/>
      <c r="FSS93" s="167"/>
      <c r="FST93" s="168"/>
      <c r="FSU93" s="167"/>
      <c r="FSV93" s="168"/>
      <c r="FSW93" s="167"/>
      <c r="FSX93" s="168"/>
      <c r="FSY93" s="167"/>
      <c r="FSZ93" s="168"/>
      <c r="FTA93" s="167"/>
      <c r="FTB93" s="168"/>
      <c r="FTC93" s="167"/>
      <c r="FTD93" s="168"/>
      <c r="FTE93" s="167"/>
      <c r="FTF93" s="168"/>
      <c r="FTG93" s="167"/>
      <c r="FTH93" s="168"/>
      <c r="FTI93" s="167"/>
      <c r="FTJ93" s="168"/>
      <c r="FTK93" s="167"/>
      <c r="FTL93" s="168"/>
      <c r="FTM93" s="167"/>
      <c r="FTN93" s="168"/>
      <c r="FTO93" s="167"/>
      <c r="FTP93" s="168"/>
      <c r="FTQ93" s="167"/>
      <c r="FTR93" s="168"/>
      <c r="FTS93" s="167"/>
      <c r="FTT93" s="168"/>
      <c r="FTU93" s="167"/>
      <c r="FTV93" s="168"/>
      <c r="FTW93" s="167"/>
      <c r="FTX93" s="168"/>
      <c r="FTY93" s="167"/>
      <c r="FTZ93" s="168"/>
      <c r="FUA93" s="167"/>
      <c r="FUB93" s="168"/>
      <c r="FUC93" s="167"/>
      <c r="FUD93" s="168"/>
      <c r="FUE93" s="167"/>
      <c r="FUF93" s="168"/>
      <c r="FUG93" s="167"/>
      <c r="FUH93" s="168"/>
      <c r="FUI93" s="167"/>
      <c r="FUJ93" s="168"/>
      <c r="FUK93" s="167"/>
      <c r="FUL93" s="168"/>
      <c r="FUM93" s="167"/>
      <c r="FUN93" s="168"/>
      <c r="FUO93" s="167"/>
      <c r="FUP93" s="168"/>
      <c r="FUQ93" s="167"/>
      <c r="FUR93" s="168"/>
      <c r="FUS93" s="167"/>
      <c r="FUT93" s="168"/>
      <c r="FUU93" s="167"/>
      <c r="FUV93" s="168"/>
      <c r="FUW93" s="167"/>
      <c r="FUX93" s="168"/>
      <c r="FUY93" s="167"/>
      <c r="FUZ93" s="168"/>
      <c r="FVA93" s="167"/>
      <c r="FVB93" s="168"/>
      <c r="FVC93" s="167"/>
      <c r="FVD93" s="168"/>
      <c r="FVE93" s="167"/>
      <c r="FVF93" s="168"/>
      <c r="FVG93" s="167"/>
      <c r="FVH93" s="168"/>
      <c r="FVI93" s="167"/>
      <c r="FVJ93" s="168"/>
      <c r="FVK93" s="167"/>
      <c r="FVL93" s="168"/>
      <c r="FVM93" s="167"/>
      <c r="FVN93" s="168"/>
      <c r="FVO93" s="167"/>
      <c r="FVP93" s="168"/>
      <c r="FVQ93" s="167"/>
      <c r="FVR93" s="168"/>
      <c r="FVS93" s="167"/>
      <c r="FVT93" s="168"/>
      <c r="FVU93" s="167"/>
      <c r="FVV93" s="168"/>
      <c r="FVW93" s="167"/>
      <c r="FVX93" s="168"/>
      <c r="FVY93" s="167"/>
      <c r="FVZ93" s="168"/>
      <c r="FWA93" s="167"/>
      <c r="FWB93" s="168"/>
      <c r="FWC93" s="167"/>
      <c r="FWD93" s="168"/>
      <c r="FWE93" s="167"/>
      <c r="FWF93" s="168"/>
      <c r="FWG93" s="167"/>
      <c r="FWH93" s="168"/>
      <c r="FWI93" s="167"/>
      <c r="FWJ93" s="168"/>
      <c r="FWK93" s="167"/>
      <c r="FWL93" s="168"/>
      <c r="FWM93" s="167"/>
      <c r="FWN93" s="168"/>
      <c r="FWO93" s="167"/>
      <c r="FWP93" s="168"/>
      <c r="FWQ93" s="167"/>
      <c r="FWR93" s="168"/>
      <c r="FWS93" s="167"/>
      <c r="FWT93" s="168"/>
      <c r="FWU93" s="167"/>
      <c r="FWV93" s="168"/>
      <c r="FWW93" s="167"/>
      <c r="FWX93" s="168"/>
      <c r="FWY93" s="167"/>
      <c r="FWZ93" s="168"/>
      <c r="FXA93" s="167"/>
      <c r="FXB93" s="168"/>
      <c r="FXC93" s="167"/>
      <c r="FXD93" s="168"/>
      <c r="FXE93" s="167"/>
      <c r="FXF93" s="168"/>
      <c r="FXG93" s="167"/>
      <c r="FXH93" s="168"/>
      <c r="FXI93" s="167"/>
      <c r="FXJ93" s="168"/>
      <c r="FXK93" s="167"/>
      <c r="FXL93" s="168"/>
      <c r="FXM93" s="167"/>
      <c r="FXN93" s="168"/>
      <c r="FXO93" s="167"/>
      <c r="FXP93" s="168"/>
      <c r="FXQ93" s="167"/>
      <c r="FXR93" s="168"/>
      <c r="FXS93" s="167"/>
      <c r="FXT93" s="168"/>
      <c r="FXU93" s="167"/>
      <c r="FXV93" s="168"/>
      <c r="FXW93" s="167"/>
      <c r="FXX93" s="168"/>
      <c r="FXY93" s="167"/>
      <c r="FXZ93" s="168"/>
      <c r="FYA93" s="167"/>
      <c r="FYB93" s="168"/>
      <c r="FYC93" s="167"/>
      <c r="FYD93" s="168"/>
      <c r="FYE93" s="167"/>
      <c r="FYF93" s="168"/>
      <c r="FYG93" s="167"/>
      <c r="FYH93" s="168"/>
      <c r="FYI93" s="167"/>
      <c r="FYJ93" s="168"/>
      <c r="FYK93" s="167"/>
      <c r="FYL93" s="168"/>
      <c r="FYM93" s="167"/>
      <c r="FYN93" s="168"/>
      <c r="FYO93" s="167"/>
      <c r="FYP93" s="168"/>
      <c r="FYQ93" s="167"/>
      <c r="FYR93" s="168"/>
      <c r="FYS93" s="167"/>
      <c r="FYT93" s="168"/>
      <c r="FYU93" s="167"/>
      <c r="FYV93" s="168"/>
      <c r="FYW93" s="167"/>
      <c r="FYX93" s="168"/>
      <c r="FYY93" s="167"/>
      <c r="FYZ93" s="168"/>
      <c r="FZA93" s="167"/>
      <c r="FZB93" s="168"/>
      <c r="FZC93" s="167"/>
      <c r="FZD93" s="168"/>
      <c r="FZE93" s="167"/>
      <c r="FZF93" s="168"/>
      <c r="FZG93" s="167"/>
      <c r="FZH93" s="168"/>
      <c r="FZI93" s="167"/>
      <c r="FZJ93" s="168"/>
      <c r="FZK93" s="167"/>
      <c r="FZL93" s="168"/>
      <c r="FZM93" s="167"/>
      <c r="FZN93" s="168"/>
      <c r="FZO93" s="167"/>
      <c r="FZP93" s="168"/>
      <c r="FZQ93" s="167"/>
      <c r="FZR93" s="168"/>
      <c r="FZS93" s="167"/>
      <c r="FZT93" s="168"/>
      <c r="FZU93" s="167"/>
      <c r="FZV93" s="168"/>
      <c r="FZW93" s="167"/>
      <c r="FZX93" s="168"/>
      <c r="FZY93" s="167"/>
      <c r="FZZ93" s="168"/>
      <c r="GAA93" s="167"/>
      <c r="GAB93" s="168"/>
      <c r="GAC93" s="167"/>
      <c r="GAD93" s="168"/>
      <c r="GAE93" s="167"/>
      <c r="GAF93" s="168"/>
      <c r="GAG93" s="167"/>
      <c r="GAH93" s="168"/>
      <c r="GAI93" s="167"/>
      <c r="GAJ93" s="168"/>
      <c r="GAK93" s="167"/>
      <c r="GAL93" s="168"/>
      <c r="GAM93" s="167"/>
      <c r="GAN93" s="168"/>
      <c r="GAO93" s="167"/>
      <c r="GAP93" s="168"/>
      <c r="GAQ93" s="167"/>
      <c r="GAR93" s="168"/>
      <c r="GAS93" s="167"/>
      <c r="GAT93" s="168"/>
      <c r="GAU93" s="167"/>
      <c r="GAV93" s="168"/>
      <c r="GAW93" s="167"/>
      <c r="GAX93" s="168"/>
      <c r="GAY93" s="167"/>
      <c r="GAZ93" s="168"/>
      <c r="GBA93" s="167"/>
      <c r="GBB93" s="168"/>
      <c r="GBC93" s="167"/>
      <c r="GBD93" s="168"/>
      <c r="GBE93" s="167"/>
      <c r="GBF93" s="168"/>
      <c r="GBG93" s="167"/>
      <c r="GBH93" s="168"/>
      <c r="GBI93" s="167"/>
      <c r="GBJ93" s="168"/>
      <c r="GBK93" s="167"/>
      <c r="GBL93" s="168"/>
      <c r="GBM93" s="167"/>
      <c r="GBN93" s="168"/>
      <c r="GBO93" s="167"/>
      <c r="GBP93" s="168"/>
      <c r="GBQ93" s="167"/>
      <c r="GBR93" s="168"/>
      <c r="GBS93" s="167"/>
      <c r="GBT93" s="168"/>
      <c r="GBU93" s="167"/>
      <c r="GBV93" s="168"/>
      <c r="GBW93" s="167"/>
      <c r="GBX93" s="168"/>
      <c r="GBY93" s="167"/>
      <c r="GBZ93" s="168"/>
      <c r="GCA93" s="167"/>
      <c r="GCB93" s="168"/>
      <c r="GCC93" s="167"/>
      <c r="GCD93" s="168"/>
      <c r="GCE93" s="167"/>
      <c r="GCF93" s="168"/>
      <c r="GCG93" s="167"/>
      <c r="GCH93" s="168"/>
      <c r="GCI93" s="167"/>
      <c r="GCJ93" s="168"/>
      <c r="GCK93" s="167"/>
      <c r="GCL93" s="168"/>
      <c r="GCM93" s="167"/>
      <c r="GCN93" s="168"/>
      <c r="GCO93" s="167"/>
      <c r="GCP93" s="168"/>
      <c r="GCQ93" s="167"/>
      <c r="GCR93" s="168"/>
      <c r="GCS93" s="167"/>
      <c r="GCT93" s="168"/>
      <c r="GCU93" s="167"/>
      <c r="GCV93" s="168"/>
      <c r="GCW93" s="167"/>
      <c r="GCX93" s="168"/>
      <c r="GCY93" s="167"/>
      <c r="GCZ93" s="168"/>
      <c r="GDA93" s="167"/>
      <c r="GDB93" s="168"/>
      <c r="GDC93" s="167"/>
      <c r="GDD93" s="168"/>
      <c r="GDE93" s="167"/>
      <c r="GDF93" s="168"/>
      <c r="GDG93" s="167"/>
      <c r="GDH93" s="168"/>
      <c r="GDI93" s="167"/>
      <c r="GDJ93" s="168"/>
      <c r="GDK93" s="167"/>
      <c r="GDL93" s="168"/>
      <c r="GDM93" s="167"/>
      <c r="GDN93" s="168"/>
      <c r="GDO93" s="167"/>
      <c r="GDP93" s="168"/>
      <c r="GDQ93" s="167"/>
      <c r="GDR93" s="168"/>
      <c r="GDS93" s="167"/>
      <c r="GDT93" s="168"/>
      <c r="GDU93" s="167"/>
      <c r="GDV93" s="168"/>
      <c r="GDW93" s="167"/>
      <c r="GDX93" s="168"/>
      <c r="GDY93" s="167"/>
      <c r="GDZ93" s="168"/>
      <c r="GEA93" s="167"/>
      <c r="GEB93" s="168"/>
      <c r="GEC93" s="167"/>
      <c r="GED93" s="168"/>
      <c r="GEE93" s="167"/>
      <c r="GEF93" s="168"/>
      <c r="GEG93" s="167"/>
      <c r="GEH93" s="168"/>
      <c r="GEI93" s="167"/>
      <c r="GEJ93" s="168"/>
      <c r="GEK93" s="167"/>
      <c r="GEL93" s="168"/>
      <c r="GEM93" s="167"/>
      <c r="GEN93" s="168"/>
      <c r="GEO93" s="167"/>
      <c r="GEP93" s="168"/>
      <c r="GEQ93" s="167"/>
      <c r="GER93" s="168"/>
      <c r="GES93" s="167"/>
      <c r="GET93" s="168"/>
      <c r="GEU93" s="167"/>
      <c r="GEV93" s="168"/>
      <c r="GEW93" s="167"/>
      <c r="GEX93" s="168"/>
      <c r="GEY93" s="167"/>
      <c r="GEZ93" s="168"/>
      <c r="GFA93" s="167"/>
      <c r="GFB93" s="168"/>
      <c r="GFC93" s="167"/>
      <c r="GFD93" s="168"/>
      <c r="GFE93" s="167"/>
      <c r="GFF93" s="168"/>
      <c r="GFG93" s="167"/>
      <c r="GFH93" s="168"/>
      <c r="GFI93" s="167"/>
      <c r="GFJ93" s="168"/>
      <c r="GFK93" s="167"/>
      <c r="GFL93" s="168"/>
      <c r="GFM93" s="167"/>
      <c r="GFN93" s="168"/>
      <c r="GFO93" s="167"/>
      <c r="GFP93" s="168"/>
      <c r="GFQ93" s="167"/>
      <c r="GFR93" s="168"/>
      <c r="GFS93" s="167"/>
      <c r="GFT93" s="168"/>
      <c r="GFU93" s="167"/>
      <c r="GFV93" s="168"/>
      <c r="GFW93" s="167"/>
      <c r="GFX93" s="168"/>
      <c r="GFY93" s="167"/>
      <c r="GFZ93" s="168"/>
      <c r="GGA93" s="167"/>
      <c r="GGB93" s="168"/>
      <c r="GGC93" s="167"/>
      <c r="GGD93" s="168"/>
      <c r="GGE93" s="167"/>
      <c r="GGF93" s="168"/>
      <c r="GGG93" s="167"/>
      <c r="GGH93" s="168"/>
      <c r="GGI93" s="167"/>
      <c r="GGJ93" s="168"/>
      <c r="GGK93" s="167"/>
      <c r="GGL93" s="168"/>
      <c r="GGM93" s="167"/>
      <c r="GGN93" s="168"/>
      <c r="GGO93" s="167"/>
      <c r="GGP93" s="168"/>
      <c r="GGQ93" s="167"/>
      <c r="GGR93" s="168"/>
      <c r="GGS93" s="167"/>
      <c r="GGT93" s="168"/>
      <c r="GGU93" s="167"/>
      <c r="GGV93" s="168"/>
      <c r="GGW93" s="167"/>
      <c r="GGX93" s="168"/>
      <c r="GGY93" s="167"/>
      <c r="GGZ93" s="168"/>
      <c r="GHA93" s="167"/>
      <c r="GHB93" s="168"/>
      <c r="GHC93" s="167"/>
      <c r="GHD93" s="168"/>
      <c r="GHE93" s="167"/>
      <c r="GHF93" s="168"/>
      <c r="GHG93" s="167"/>
      <c r="GHH93" s="168"/>
      <c r="GHI93" s="167"/>
      <c r="GHJ93" s="168"/>
      <c r="GHK93" s="167"/>
      <c r="GHL93" s="168"/>
      <c r="GHM93" s="167"/>
      <c r="GHN93" s="168"/>
      <c r="GHO93" s="167"/>
      <c r="GHP93" s="168"/>
      <c r="GHQ93" s="167"/>
      <c r="GHR93" s="168"/>
      <c r="GHS93" s="167"/>
      <c r="GHT93" s="168"/>
      <c r="GHU93" s="167"/>
      <c r="GHV93" s="168"/>
      <c r="GHW93" s="167"/>
      <c r="GHX93" s="168"/>
      <c r="GHY93" s="167"/>
      <c r="GHZ93" s="168"/>
      <c r="GIA93" s="167"/>
      <c r="GIB93" s="168"/>
      <c r="GIC93" s="167"/>
      <c r="GID93" s="168"/>
      <c r="GIE93" s="167"/>
      <c r="GIF93" s="168"/>
      <c r="GIG93" s="167"/>
      <c r="GIH93" s="168"/>
      <c r="GII93" s="167"/>
      <c r="GIJ93" s="168"/>
      <c r="GIK93" s="167"/>
      <c r="GIL93" s="168"/>
      <c r="GIM93" s="167"/>
      <c r="GIN93" s="168"/>
      <c r="GIO93" s="167"/>
      <c r="GIP93" s="168"/>
      <c r="GIQ93" s="167"/>
      <c r="GIR93" s="168"/>
      <c r="GIS93" s="167"/>
      <c r="GIT93" s="168"/>
      <c r="GIU93" s="167"/>
      <c r="GIV93" s="168"/>
      <c r="GIW93" s="167"/>
      <c r="GIX93" s="168"/>
      <c r="GIY93" s="167"/>
      <c r="GIZ93" s="168"/>
      <c r="GJA93" s="167"/>
      <c r="GJB93" s="168"/>
      <c r="GJC93" s="167"/>
      <c r="GJD93" s="168"/>
      <c r="GJE93" s="167"/>
      <c r="GJF93" s="168"/>
      <c r="GJG93" s="167"/>
      <c r="GJH93" s="168"/>
      <c r="GJI93" s="167"/>
      <c r="GJJ93" s="168"/>
      <c r="GJK93" s="167"/>
      <c r="GJL93" s="168"/>
      <c r="GJM93" s="167"/>
      <c r="GJN93" s="168"/>
      <c r="GJO93" s="167"/>
      <c r="GJP93" s="168"/>
      <c r="GJQ93" s="167"/>
      <c r="GJR93" s="168"/>
      <c r="GJS93" s="167"/>
      <c r="GJT93" s="168"/>
      <c r="GJU93" s="167"/>
      <c r="GJV93" s="168"/>
      <c r="GJW93" s="167"/>
      <c r="GJX93" s="168"/>
      <c r="GJY93" s="167"/>
      <c r="GJZ93" s="168"/>
      <c r="GKA93" s="167"/>
      <c r="GKB93" s="168"/>
      <c r="GKC93" s="167"/>
      <c r="GKD93" s="168"/>
      <c r="GKE93" s="167"/>
      <c r="GKF93" s="168"/>
      <c r="GKG93" s="167"/>
      <c r="GKH93" s="168"/>
      <c r="GKI93" s="167"/>
      <c r="GKJ93" s="168"/>
      <c r="GKK93" s="167"/>
      <c r="GKL93" s="168"/>
      <c r="GKM93" s="167"/>
      <c r="GKN93" s="168"/>
      <c r="GKO93" s="167"/>
      <c r="GKP93" s="168"/>
      <c r="GKQ93" s="167"/>
      <c r="GKR93" s="168"/>
      <c r="GKS93" s="167"/>
      <c r="GKT93" s="168"/>
      <c r="GKU93" s="167"/>
      <c r="GKV93" s="168"/>
      <c r="GKW93" s="167"/>
      <c r="GKX93" s="168"/>
      <c r="GKY93" s="167"/>
      <c r="GKZ93" s="168"/>
      <c r="GLA93" s="167"/>
      <c r="GLB93" s="168"/>
      <c r="GLC93" s="167"/>
      <c r="GLD93" s="168"/>
      <c r="GLE93" s="167"/>
      <c r="GLF93" s="168"/>
      <c r="GLG93" s="167"/>
      <c r="GLH93" s="168"/>
      <c r="GLI93" s="167"/>
      <c r="GLJ93" s="168"/>
      <c r="GLK93" s="167"/>
      <c r="GLL93" s="168"/>
      <c r="GLM93" s="167"/>
      <c r="GLN93" s="168"/>
      <c r="GLO93" s="167"/>
      <c r="GLP93" s="168"/>
      <c r="GLQ93" s="167"/>
      <c r="GLR93" s="168"/>
      <c r="GLS93" s="167"/>
      <c r="GLT93" s="168"/>
      <c r="GLU93" s="167"/>
      <c r="GLV93" s="168"/>
      <c r="GLW93" s="167"/>
      <c r="GLX93" s="168"/>
      <c r="GLY93" s="167"/>
      <c r="GLZ93" s="168"/>
      <c r="GMA93" s="167"/>
      <c r="GMB93" s="168"/>
      <c r="GMC93" s="167"/>
      <c r="GMD93" s="168"/>
      <c r="GME93" s="167"/>
      <c r="GMF93" s="168"/>
      <c r="GMG93" s="167"/>
      <c r="GMH93" s="168"/>
      <c r="GMI93" s="167"/>
      <c r="GMJ93" s="168"/>
      <c r="GMK93" s="167"/>
      <c r="GML93" s="168"/>
      <c r="GMM93" s="167"/>
      <c r="GMN93" s="168"/>
      <c r="GMO93" s="167"/>
      <c r="GMP93" s="168"/>
      <c r="GMQ93" s="167"/>
      <c r="GMR93" s="168"/>
      <c r="GMS93" s="167"/>
      <c r="GMT93" s="168"/>
      <c r="GMU93" s="167"/>
      <c r="GMV93" s="168"/>
      <c r="GMW93" s="167"/>
      <c r="GMX93" s="168"/>
      <c r="GMY93" s="167"/>
      <c r="GMZ93" s="168"/>
      <c r="GNA93" s="167"/>
      <c r="GNB93" s="168"/>
      <c r="GNC93" s="167"/>
      <c r="GND93" s="168"/>
      <c r="GNE93" s="167"/>
      <c r="GNF93" s="168"/>
      <c r="GNG93" s="167"/>
      <c r="GNH93" s="168"/>
      <c r="GNI93" s="167"/>
      <c r="GNJ93" s="168"/>
      <c r="GNK93" s="167"/>
      <c r="GNL93" s="168"/>
      <c r="GNM93" s="167"/>
      <c r="GNN93" s="168"/>
      <c r="GNO93" s="167"/>
      <c r="GNP93" s="168"/>
      <c r="GNQ93" s="167"/>
      <c r="GNR93" s="168"/>
      <c r="GNS93" s="167"/>
      <c r="GNT93" s="168"/>
      <c r="GNU93" s="167"/>
      <c r="GNV93" s="168"/>
      <c r="GNW93" s="167"/>
      <c r="GNX93" s="168"/>
      <c r="GNY93" s="167"/>
      <c r="GNZ93" s="168"/>
      <c r="GOA93" s="167"/>
      <c r="GOB93" s="168"/>
      <c r="GOC93" s="167"/>
      <c r="GOD93" s="168"/>
      <c r="GOE93" s="167"/>
      <c r="GOF93" s="168"/>
      <c r="GOG93" s="167"/>
      <c r="GOH93" s="168"/>
      <c r="GOI93" s="167"/>
      <c r="GOJ93" s="168"/>
      <c r="GOK93" s="167"/>
      <c r="GOL93" s="168"/>
      <c r="GOM93" s="167"/>
      <c r="GON93" s="168"/>
      <c r="GOO93" s="167"/>
      <c r="GOP93" s="168"/>
      <c r="GOQ93" s="167"/>
      <c r="GOR93" s="168"/>
      <c r="GOS93" s="167"/>
      <c r="GOT93" s="168"/>
      <c r="GOU93" s="167"/>
      <c r="GOV93" s="168"/>
      <c r="GOW93" s="167"/>
      <c r="GOX93" s="168"/>
      <c r="GOY93" s="167"/>
      <c r="GOZ93" s="168"/>
      <c r="GPA93" s="167"/>
      <c r="GPB93" s="168"/>
      <c r="GPC93" s="167"/>
      <c r="GPD93" s="168"/>
      <c r="GPE93" s="167"/>
      <c r="GPF93" s="168"/>
      <c r="GPG93" s="167"/>
      <c r="GPH93" s="168"/>
      <c r="GPI93" s="167"/>
      <c r="GPJ93" s="168"/>
      <c r="GPK93" s="167"/>
      <c r="GPL93" s="168"/>
      <c r="GPM93" s="167"/>
      <c r="GPN93" s="168"/>
      <c r="GPO93" s="167"/>
      <c r="GPP93" s="168"/>
      <c r="GPQ93" s="167"/>
      <c r="GPR93" s="168"/>
      <c r="GPS93" s="167"/>
      <c r="GPT93" s="168"/>
      <c r="GPU93" s="167"/>
      <c r="GPV93" s="168"/>
      <c r="GPW93" s="167"/>
      <c r="GPX93" s="168"/>
      <c r="GPY93" s="167"/>
      <c r="GPZ93" s="168"/>
      <c r="GQA93" s="167"/>
      <c r="GQB93" s="168"/>
      <c r="GQC93" s="167"/>
      <c r="GQD93" s="168"/>
      <c r="GQE93" s="167"/>
      <c r="GQF93" s="168"/>
      <c r="GQG93" s="167"/>
      <c r="GQH93" s="168"/>
      <c r="GQI93" s="167"/>
      <c r="GQJ93" s="168"/>
      <c r="GQK93" s="167"/>
      <c r="GQL93" s="168"/>
      <c r="GQM93" s="167"/>
      <c r="GQN93" s="168"/>
      <c r="GQO93" s="167"/>
      <c r="GQP93" s="168"/>
      <c r="GQQ93" s="167"/>
      <c r="GQR93" s="168"/>
      <c r="GQS93" s="167"/>
      <c r="GQT93" s="168"/>
      <c r="GQU93" s="167"/>
      <c r="GQV93" s="168"/>
      <c r="GQW93" s="167"/>
      <c r="GQX93" s="168"/>
      <c r="GQY93" s="167"/>
      <c r="GQZ93" s="168"/>
      <c r="GRA93" s="167"/>
      <c r="GRB93" s="168"/>
      <c r="GRC93" s="167"/>
      <c r="GRD93" s="168"/>
      <c r="GRE93" s="167"/>
      <c r="GRF93" s="168"/>
      <c r="GRG93" s="167"/>
      <c r="GRH93" s="168"/>
      <c r="GRI93" s="167"/>
      <c r="GRJ93" s="168"/>
      <c r="GRK93" s="167"/>
      <c r="GRL93" s="168"/>
      <c r="GRM93" s="167"/>
      <c r="GRN93" s="168"/>
      <c r="GRO93" s="167"/>
      <c r="GRP93" s="168"/>
      <c r="GRQ93" s="167"/>
      <c r="GRR93" s="168"/>
      <c r="GRS93" s="167"/>
      <c r="GRT93" s="168"/>
      <c r="GRU93" s="167"/>
      <c r="GRV93" s="168"/>
      <c r="GRW93" s="167"/>
      <c r="GRX93" s="168"/>
      <c r="GRY93" s="167"/>
      <c r="GRZ93" s="168"/>
      <c r="GSA93" s="167"/>
      <c r="GSB93" s="168"/>
      <c r="GSC93" s="167"/>
      <c r="GSD93" s="168"/>
      <c r="GSE93" s="167"/>
      <c r="GSF93" s="168"/>
      <c r="GSG93" s="167"/>
      <c r="GSH93" s="168"/>
      <c r="GSI93" s="167"/>
      <c r="GSJ93" s="168"/>
      <c r="GSK93" s="167"/>
      <c r="GSL93" s="168"/>
      <c r="GSM93" s="167"/>
      <c r="GSN93" s="168"/>
      <c r="GSO93" s="167"/>
      <c r="GSP93" s="168"/>
      <c r="GSQ93" s="167"/>
      <c r="GSR93" s="168"/>
      <c r="GSS93" s="167"/>
      <c r="GST93" s="168"/>
      <c r="GSU93" s="167"/>
      <c r="GSV93" s="168"/>
      <c r="GSW93" s="167"/>
      <c r="GSX93" s="168"/>
      <c r="GSY93" s="167"/>
      <c r="GSZ93" s="168"/>
      <c r="GTA93" s="167"/>
      <c r="GTB93" s="168"/>
      <c r="GTC93" s="167"/>
      <c r="GTD93" s="168"/>
      <c r="GTE93" s="167"/>
      <c r="GTF93" s="168"/>
      <c r="GTG93" s="167"/>
      <c r="GTH93" s="168"/>
      <c r="GTI93" s="167"/>
      <c r="GTJ93" s="168"/>
      <c r="GTK93" s="167"/>
      <c r="GTL93" s="168"/>
      <c r="GTM93" s="167"/>
      <c r="GTN93" s="168"/>
      <c r="GTO93" s="167"/>
      <c r="GTP93" s="168"/>
      <c r="GTQ93" s="167"/>
      <c r="GTR93" s="168"/>
      <c r="GTS93" s="167"/>
      <c r="GTT93" s="168"/>
      <c r="GTU93" s="167"/>
      <c r="GTV93" s="168"/>
      <c r="GTW93" s="167"/>
      <c r="GTX93" s="168"/>
      <c r="GTY93" s="167"/>
      <c r="GTZ93" s="168"/>
      <c r="GUA93" s="167"/>
      <c r="GUB93" s="168"/>
      <c r="GUC93" s="167"/>
      <c r="GUD93" s="168"/>
      <c r="GUE93" s="167"/>
      <c r="GUF93" s="168"/>
      <c r="GUG93" s="167"/>
      <c r="GUH93" s="168"/>
      <c r="GUI93" s="167"/>
      <c r="GUJ93" s="168"/>
      <c r="GUK93" s="167"/>
      <c r="GUL93" s="168"/>
      <c r="GUM93" s="167"/>
      <c r="GUN93" s="168"/>
      <c r="GUO93" s="167"/>
      <c r="GUP93" s="168"/>
      <c r="GUQ93" s="167"/>
      <c r="GUR93" s="168"/>
      <c r="GUS93" s="167"/>
      <c r="GUT93" s="168"/>
      <c r="GUU93" s="167"/>
      <c r="GUV93" s="168"/>
      <c r="GUW93" s="167"/>
      <c r="GUX93" s="168"/>
      <c r="GUY93" s="167"/>
      <c r="GUZ93" s="168"/>
      <c r="GVA93" s="167"/>
      <c r="GVB93" s="168"/>
      <c r="GVC93" s="167"/>
      <c r="GVD93" s="168"/>
      <c r="GVE93" s="167"/>
      <c r="GVF93" s="168"/>
      <c r="GVG93" s="167"/>
      <c r="GVH93" s="168"/>
      <c r="GVI93" s="167"/>
      <c r="GVJ93" s="168"/>
      <c r="GVK93" s="167"/>
      <c r="GVL93" s="168"/>
      <c r="GVM93" s="167"/>
      <c r="GVN93" s="168"/>
      <c r="GVO93" s="167"/>
      <c r="GVP93" s="168"/>
      <c r="GVQ93" s="167"/>
      <c r="GVR93" s="168"/>
      <c r="GVS93" s="167"/>
      <c r="GVT93" s="168"/>
      <c r="GVU93" s="167"/>
      <c r="GVV93" s="168"/>
      <c r="GVW93" s="167"/>
      <c r="GVX93" s="168"/>
      <c r="GVY93" s="167"/>
      <c r="GVZ93" s="168"/>
      <c r="GWA93" s="167"/>
      <c r="GWB93" s="168"/>
      <c r="GWC93" s="167"/>
      <c r="GWD93" s="168"/>
      <c r="GWE93" s="167"/>
      <c r="GWF93" s="168"/>
      <c r="GWG93" s="167"/>
      <c r="GWH93" s="168"/>
      <c r="GWI93" s="167"/>
      <c r="GWJ93" s="168"/>
      <c r="GWK93" s="167"/>
      <c r="GWL93" s="168"/>
      <c r="GWM93" s="167"/>
      <c r="GWN93" s="168"/>
      <c r="GWO93" s="167"/>
      <c r="GWP93" s="168"/>
      <c r="GWQ93" s="167"/>
      <c r="GWR93" s="168"/>
      <c r="GWS93" s="167"/>
      <c r="GWT93" s="168"/>
      <c r="GWU93" s="167"/>
      <c r="GWV93" s="168"/>
      <c r="GWW93" s="167"/>
      <c r="GWX93" s="168"/>
      <c r="GWY93" s="167"/>
      <c r="GWZ93" s="168"/>
      <c r="GXA93" s="167"/>
      <c r="GXB93" s="168"/>
      <c r="GXC93" s="167"/>
      <c r="GXD93" s="168"/>
      <c r="GXE93" s="167"/>
      <c r="GXF93" s="168"/>
      <c r="GXG93" s="167"/>
      <c r="GXH93" s="168"/>
      <c r="GXI93" s="167"/>
      <c r="GXJ93" s="168"/>
      <c r="GXK93" s="167"/>
      <c r="GXL93" s="168"/>
      <c r="GXM93" s="167"/>
      <c r="GXN93" s="168"/>
      <c r="GXO93" s="167"/>
      <c r="GXP93" s="168"/>
      <c r="GXQ93" s="167"/>
      <c r="GXR93" s="168"/>
      <c r="GXS93" s="167"/>
      <c r="GXT93" s="168"/>
      <c r="GXU93" s="167"/>
      <c r="GXV93" s="168"/>
      <c r="GXW93" s="167"/>
      <c r="GXX93" s="168"/>
      <c r="GXY93" s="167"/>
      <c r="GXZ93" s="168"/>
      <c r="GYA93" s="167"/>
      <c r="GYB93" s="168"/>
      <c r="GYC93" s="167"/>
      <c r="GYD93" s="168"/>
      <c r="GYE93" s="167"/>
      <c r="GYF93" s="168"/>
      <c r="GYG93" s="167"/>
      <c r="GYH93" s="168"/>
      <c r="GYI93" s="167"/>
      <c r="GYJ93" s="168"/>
      <c r="GYK93" s="167"/>
      <c r="GYL93" s="168"/>
      <c r="GYM93" s="167"/>
      <c r="GYN93" s="168"/>
      <c r="GYO93" s="167"/>
      <c r="GYP93" s="168"/>
      <c r="GYQ93" s="167"/>
      <c r="GYR93" s="168"/>
      <c r="GYS93" s="167"/>
      <c r="GYT93" s="168"/>
      <c r="GYU93" s="167"/>
      <c r="GYV93" s="168"/>
      <c r="GYW93" s="167"/>
      <c r="GYX93" s="168"/>
      <c r="GYY93" s="167"/>
      <c r="GYZ93" s="168"/>
      <c r="GZA93" s="167"/>
      <c r="GZB93" s="168"/>
      <c r="GZC93" s="167"/>
      <c r="GZD93" s="168"/>
      <c r="GZE93" s="167"/>
      <c r="GZF93" s="168"/>
      <c r="GZG93" s="167"/>
      <c r="GZH93" s="168"/>
      <c r="GZI93" s="167"/>
      <c r="GZJ93" s="168"/>
      <c r="GZK93" s="167"/>
      <c r="GZL93" s="168"/>
      <c r="GZM93" s="167"/>
      <c r="GZN93" s="168"/>
      <c r="GZO93" s="167"/>
      <c r="GZP93" s="168"/>
      <c r="GZQ93" s="167"/>
      <c r="GZR93" s="168"/>
      <c r="GZS93" s="167"/>
      <c r="GZT93" s="168"/>
      <c r="GZU93" s="167"/>
      <c r="GZV93" s="168"/>
      <c r="GZW93" s="167"/>
      <c r="GZX93" s="168"/>
      <c r="GZY93" s="167"/>
      <c r="GZZ93" s="168"/>
      <c r="HAA93" s="167"/>
      <c r="HAB93" s="168"/>
      <c r="HAC93" s="167"/>
      <c r="HAD93" s="168"/>
      <c r="HAE93" s="167"/>
      <c r="HAF93" s="168"/>
      <c r="HAG93" s="167"/>
      <c r="HAH93" s="168"/>
      <c r="HAI93" s="167"/>
      <c r="HAJ93" s="168"/>
      <c r="HAK93" s="167"/>
      <c r="HAL93" s="168"/>
      <c r="HAM93" s="167"/>
      <c r="HAN93" s="168"/>
      <c r="HAO93" s="167"/>
      <c r="HAP93" s="168"/>
      <c r="HAQ93" s="167"/>
      <c r="HAR93" s="168"/>
      <c r="HAS93" s="167"/>
      <c r="HAT93" s="168"/>
      <c r="HAU93" s="167"/>
      <c r="HAV93" s="168"/>
      <c r="HAW93" s="167"/>
      <c r="HAX93" s="168"/>
      <c r="HAY93" s="167"/>
      <c r="HAZ93" s="168"/>
      <c r="HBA93" s="167"/>
      <c r="HBB93" s="168"/>
      <c r="HBC93" s="167"/>
      <c r="HBD93" s="168"/>
      <c r="HBE93" s="167"/>
      <c r="HBF93" s="168"/>
      <c r="HBG93" s="167"/>
      <c r="HBH93" s="168"/>
      <c r="HBI93" s="167"/>
      <c r="HBJ93" s="168"/>
      <c r="HBK93" s="167"/>
      <c r="HBL93" s="168"/>
      <c r="HBM93" s="167"/>
      <c r="HBN93" s="168"/>
      <c r="HBO93" s="167"/>
      <c r="HBP93" s="168"/>
      <c r="HBQ93" s="167"/>
      <c r="HBR93" s="168"/>
      <c r="HBS93" s="167"/>
      <c r="HBT93" s="168"/>
      <c r="HBU93" s="167"/>
      <c r="HBV93" s="168"/>
      <c r="HBW93" s="167"/>
      <c r="HBX93" s="168"/>
      <c r="HBY93" s="167"/>
      <c r="HBZ93" s="168"/>
      <c r="HCA93" s="167"/>
      <c r="HCB93" s="168"/>
      <c r="HCC93" s="167"/>
      <c r="HCD93" s="168"/>
      <c r="HCE93" s="167"/>
      <c r="HCF93" s="168"/>
      <c r="HCG93" s="167"/>
      <c r="HCH93" s="168"/>
      <c r="HCI93" s="167"/>
      <c r="HCJ93" s="168"/>
      <c r="HCK93" s="167"/>
      <c r="HCL93" s="168"/>
      <c r="HCM93" s="167"/>
      <c r="HCN93" s="168"/>
      <c r="HCO93" s="167"/>
      <c r="HCP93" s="168"/>
      <c r="HCQ93" s="167"/>
      <c r="HCR93" s="168"/>
      <c r="HCS93" s="167"/>
      <c r="HCT93" s="168"/>
      <c r="HCU93" s="167"/>
      <c r="HCV93" s="168"/>
      <c r="HCW93" s="167"/>
      <c r="HCX93" s="168"/>
      <c r="HCY93" s="167"/>
      <c r="HCZ93" s="168"/>
      <c r="HDA93" s="167"/>
      <c r="HDB93" s="168"/>
      <c r="HDC93" s="167"/>
      <c r="HDD93" s="168"/>
      <c r="HDE93" s="167"/>
      <c r="HDF93" s="168"/>
      <c r="HDG93" s="167"/>
      <c r="HDH93" s="168"/>
      <c r="HDI93" s="167"/>
      <c r="HDJ93" s="168"/>
      <c r="HDK93" s="167"/>
      <c r="HDL93" s="168"/>
      <c r="HDM93" s="167"/>
      <c r="HDN93" s="168"/>
      <c r="HDO93" s="167"/>
      <c r="HDP93" s="168"/>
      <c r="HDQ93" s="167"/>
      <c r="HDR93" s="168"/>
      <c r="HDS93" s="167"/>
      <c r="HDT93" s="168"/>
      <c r="HDU93" s="167"/>
      <c r="HDV93" s="168"/>
      <c r="HDW93" s="167"/>
      <c r="HDX93" s="168"/>
      <c r="HDY93" s="167"/>
      <c r="HDZ93" s="168"/>
      <c r="HEA93" s="167"/>
      <c r="HEB93" s="168"/>
      <c r="HEC93" s="167"/>
      <c r="HED93" s="168"/>
      <c r="HEE93" s="167"/>
      <c r="HEF93" s="168"/>
      <c r="HEG93" s="167"/>
      <c r="HEH93" s="168"/>
      <c r="HEI93" s="167"/>
      <c r="HEJ93" s="168"/>
      <c r="HEK93" s="167"/>
      <c r="HEL93" s="168"/>
      <c r="HEM93" s="167"/>
      <c r="HEN93" s="168"/>
      <c r="HEO93" s="167"/>
      <c r="HEP93" s="168"/>
      <c r="HEQ93" s="167"/>
      <c r="HER93" s="168"/>
      <c r="HES93" s="167"/>
      <c r="HET93" s="168"/>
      <c r="HEU93" s="167"/>
      <c r="HEV93" s="168"/>
      <c r="HEW93" s="167"/>
      <c r="HEX93" s="168"/>
      <c r="HEY93" s="167"/>
      <c r="HEZ93" s="168"/>
      <c r="HFA93" s="167"/>
      <c r="HFB93" s="168"/>
      <c r="HFC93" s="167"/>
      <c r="HFD93" s="168"/>
      <c r="HFE93" s="167"/>
      <c r="HFF93" s="168"/>
      <c r="HFG93" s="167"/>
      <c r="HFH93" s="168"/>
      <c r="HFI93" s="167"/>
      <c r="HFJ93" s="168"/>
      <c r="HFK93" s="167"/>
      <c r="HFL93" s="168"/>
      <c r="HFM93" s="167"/>
      <c r="HFN93" s="168"/>
      <c r="HFO93" s="167"/>
      <c r="HFP93" s="168"/>
      <c r="HFQ93" s="167"/>
      <c r="HFR93" s="168"/>
      <c r="HFS93" s="167"/>
      <c r="HFT93" s="168"/>
      <c r="HFU93" s="167"/>
      <c r="HFV93" s="168"/>
      <c r="HFW93" s="167"/>
      <c r="HFX93" s="168"/>
      <c r="HFY93" s="167"/>
      <c r="HFZ93" s="168"/>
      <c r="HGA93" s="167"/>
      <c r="HGB93" s="168"/>
      <c r="HGC93" s="167"/>
      <c r="HGD93" s="168"/>
      <c r="HGE93" s="167"/>
      <c r="HGF93" s="168"/>
      <c r="HGG93" s="167"/>
      <c r="HGH93" s="168"/>
      <c r="HGI93" s="167"/>
      <c r="HGJ93" s="168"/>
      <c r="HGK93" s="167"/>
      <c r="HGL93" s="168"/>
      <c r="HGM93" s="167"/>
      <c r="HGN93" s="168"/>
      <c r="HGO93" s="167"/>
      <c r="HGP93" s="168"/>
      <c r="HGQ93" s="167"/>
      <c r="HGR93" s="168"/>
      <c r="HGS93" s="167"/>
      <c r="HGT93" s="168"/>
      <c r="HGU93" s="167"/>
      <c r="HGV93" s="168"/>
      <c r="HGW93" s="167"/>
      <c r="HGX93" s="168"/>
      <c r="HGY93" s="167"/>
      <c r="HGZ93" s="168"/>
      <c r="HHA93" s="167"/>
      <c r="HHB93" s="168"/>
      <c r="HHC93" s="167"/>
      <c r="HHD93" s="168"/>
      <c r="HHE93" s="167"/>
      <c r="HHF93" s="168"/>
      <c r="HHG93" s="167"/>
      <c r="HHH93" s="168"/>
      <c r="HHI93" s="167"/>
      <c r="HHJ93" s="168"/>
      <c r="HHK93" s="167"/>
      <c r="HHL93" s="168"/>
      <c r="HHM93" s="167"/>
      <c r="HHN93" s="168"/>
      <c r="HHO93" s="167"/>
      <c r="HHP93" s="168"/>
      <c r="HHQ93" s="167"/>
      <c r="HHR93" s="168"/>
      <c r="HHS93" s="167"/>
      <c r="HHT93" s="168"/>
      <c r="HHU93" s="167"/>
      <c r="HHV93" s="168"/>
      <c r="HHW93" s="167"/>
      <c r="HHX93" s="168"/>
      <c r="HHY93" s="167"/>
      <c r="HHZ93" s="168"/>
      <c r="HIA93" s="167"/>
      <c r="HIB93" s="168"/>
      <c r="HIC93" s="167"/>
      <c r="HID93" s="168"/>
      <c r="HIE93" s="167"/>
      <c r="HIF93" s="168"/>
      <c r="HIG93" s="167"/>
      <c r="HIH93" s="168"/>
      <c r="HII93" s="167"/>
      <c r="HIJ93" s="168"/>
      <c r="HIK93" s="167"/>
      <c r="HIL93" s="168"/>
      <c r="HIM93" s="167"/>
      <c r="HIN93" s="168"/>
      <c r="HIO93" s="167"/>
      <c r="HIP93" s="168"/>
      <c r="HIQ93" s="167"/>
      <c r="HIR93" s="168"/>
      <c r="HIS93" s="167"/>
      <c r="HIT93" s="168"/>
      <c r="HIU93" s="167"/>
      <c r="HIV93" s="168"/>
      <c r="HIW93" s="167"/>
      <c r="HIX93" s="168"/>
      <c r="HIY93" s="167"/>
      <c r="HIZ93" s="168"/>
      <c r="HJA93" s="167"/>
      <c r="HJB93" s="168"/>
      <c r="HJC93" s="167"/>
      <c r="HJD93" s="168"/>
      <c r="HJE93" s="167"/>
      <c r="HJF93" s="168"/>
      <c r="HJG93" s="167"/>
      <c r="HJH93" s="168"/>
      <c r="HJI93" s="167"/>
      <c r="HJJ93" s="168"/>
      <c r="HJK93" s="167"/>
      <c r="HJL93" s="168"/>
      <c r="HJM93" s="167"/>
      <c r="HJN93" s="168"/>
      <c r="HJO93" s="167"/>
      <c r="HJP93" s="168"/>
      <c r="HJQ93" s="167"/>
      <c r="HJR93" s="168"/>
      <c r="HJS93" s="167"/>
      <c r="HJT93" s="168"/>
      <c r="HJU93" s="167"/>
      <c r="HJV93" s="168"/>
      <c r="HJW93" s="167"/>
      <c r="HJX93" s="168"/>
      <c r="HJY93" s="167"/>
      <c r="HJZ93" s="168"/>
      <c r="HKA93" s="167"/>
      <c r="HKB93" s="168"/>
      <c r="HKC93" s="167"/>
      <c r="HKD93" s="168"/>
      <c r="HKE93" s="167"/>
      <c r="HKF93" s="168"/>
      <c r="HKG93" s="167"/>
      <c r="HKH93" s="168"/>
      <c r="HKI93" s="167"/>
      <c r="HKJ93" s="168"/>
      <c r="HKK93" s="167"/>
      <c r="HKL93" s="168"/>
      <c r="HKM93" s="167"/>
      <c r="HKN93" s="168"/>
      <c r="HKO93" s="167"/>
      <c r="HKP93" s="168"/>
      <c r="HKQ93" s="167"/>
      <c r="HKR93" s="168"/>
      <c r="HKS93" s="167"/>
      <c r="HKT93" s="168"/>
      <c r="HKU93" s="167"/>
      <c r="HKV93" s="168"/>
      <c r="HKW93" s="167"/>
      <c r="HKX93" s="168"/>
      <c r="HKY93" s="167"/>
      <c r="HKZ93" s="168"/>
      <c r="HLA93" s="167"/>
      <c r="HLB93" s="168"/>
      <c r="HLC93" s="167"/>
      <c r="HLD93" s="168"/>
      <c r="HLE93" s="167"/>
      <c r="HLF93" s="168"/>
      <c r="HLG93" s="167"/>
      <c r="HLH93" s="168"/>
      <c r="HLI93" s="167"/>
      <c r="HLJ93" s="168"/>
      <c r="HLK93" s="167"/>
      <c r="HLL93" s="168"/>
      <c r="HLM93" s="167"/>
      <c r="HLN93" s="168"/>
      <c r="HLO93" s="167"/>
      <c r="HLP93" s="168"/>
      <c r="HLQ93" s="167"/>
      <c r="HLR93" s="168"/>
      <c r="HLS93" s="167"/>
      <c r="HLT93" s="168"/>
      <c r="HLU93" s="167"/>
      <c r="HLV93" s="168"/>
      <c r="HLW93" s="167"/>
      <c r="HLX93" s="168"/>
      <c r="HLY93" s="167"/>
      <c r="HLZ93" s="168"/>
      <c r="HMA93" s="167"/>
      <c r="HMB93" s="168"/>
      <c r="HMC93" s="167"/>
      <c r="HMD93" s="168"/>
      <c r="HME93" s="167"/>
      <c r="HMF93" s="168"/>
      <c r="HMG93" s="167"/>
      <c r="HMH93" s="168"/>
      <c r="HMI93" s="167"/>
      <c r="HMJ93" s="168"/>
      <c r="HMK93" s="167"/>
      <c r="HML93" s="168"/>
      <c r="HMM93" s="167"/>
      <c r="HMN93" s="168"/>
      <c r="HMO93" s="167"/>
      <c r="HMP93" s="168"/>
      <c r="HMQ93" s="167"/>
      <c r="HMR93" s="168"/>
      <c r="HMS93" s="167"/>
      <c r="HMT93" s="168"/>
      <c r="HMU93" s="167"/>
      <c r="HMV93" s="168"/>
      <c r="HMW93" s="167"/>
      <c r="HMX93" s="168"/>
      <c r="HMY93" s="167"/>
      <c r="HMZ93" s="168"/>
      <c r="HNA93" s="167"/>
      <c r="HNB93" s="168"/>
      <c r="HNC93" s="167"/>
      <c r="HND93" s="168"/>
      <c r="HNE93" s="167"/>
      <c r="HNF93" s="168"/>
      <c r="HNG93" s="167"/>
      <c r="HNH93" s="168"/>
      <c r="HNI93" s="167"/>
      <c r="HNJ93" s="168"/>
      <c r="HNK93" s="167"/>
      <c r="HNL93" s="168"/>
      <c r="HNM93" s="167"/>
      <c r="HNN93" s="168"/>
      <c r="HNO93" s="167"/>
      <c r="HNP93" s="168"/>
      <c r="HNQ93" s="167"/>
      <c r="HNR93" s="168"/>
      <c r="HNS93" s="167"/>
      <c r="HNT93" s="168"/>
      <c r="HNU93" s="167"/>
      <c r="HNV93" s="168"/>
      <c r="HNW93" s="167"/>
      <c r="HNX93" s="168"/>
      <c r="HNY93" s="167"/>
      <c r="HNZ93" s="168"/>
      <c r="HOA93" s="167"/>
      <c r="HOB93" s="168"/>
      <c r="HOC93" s="167"/>
      <c r="HOD93" s="168"/>
      <c r="HOE93" s="167"/>
      <c r="HOF93" s="168"/>
      <c r="HOG93" s="167"/>
      <c r="HOH93" s="168"/>
      <c r="HOI93" s="167"/>
      <c r="HOJ93" s="168"/>
      <c r="HOK93" s="167"/>
      <c r="HOL93" s="168"/>
      <c r="HOM93" s="167"/>
      <c r="HON93" s="168"/>
      <c r="HOO93" s="167"/>
      <c r="HOP93" s="168"/>
      <c r="HOQ93" s="167"/>
      <c r="HOR93" s="168"/>
      <c r="HOS93" s="167"/>
      <c r="HOT93" s="168"/>
      <c r="HOU93" s="167"/>
      <c r="HOV93" s="168"/>
      <c r="HOW93" s="167"/>
      <c r="HOX93" s="168"/>
      <c r="HOY93" s="167"/>
      <c r="HOZ93" s="168"/>
      <c r="HPA93" s="167"/>
      <c r="HPB93" s="168"/>
      <c r="HPC93" s="167"/>
      <c r="HPD93" s="168"/>
      <c r="HPE93" s="167"/>
      <c r="HPF93" s="168"/>
      <c r="HPG93" s="167"/>
      <c r="HPH93" s="168"/>
      <c r="HPI93" s="167"/>
      <c r="HPJ93" s="168"/>
      <c r="HPK93" s="167"/>
      <c r="HPL93" s="168"/>
      <c r="HPM93" s="167"/>
      <c r="HPN93" s="168"/>
      <c r="HPO93" s="167"/>
      <c r="HPP93" s="168"/>
      <c r="HPQ93" s="167"/>
      <c r="HPR93" s="168"/>
      <c r="HPS93" s="167"/>
      <c r="HPT93" s="168"/>
      <c r="HPU93" s="167"/>
      <c r="HPV93" s="168"/>
      <c r="HPW93" s="167"/>
      <c r="HPX93" s="168"/>
      <c r="HPY93" s="167"/>
      <c r="HPZ93" s="168"/>
      <c r="HQA93" s="167"/>
      <c r="HQB93" s="168"/>
      <c r="HQC93" s="167"/>
      <c r="HQD93" s="168"/>
      <c r="HQE93" s="167"/>
      <c r="HQF93" s="168"/>
      <c r="HQG93" s="167"/>
      <c r="HQH93" s="168"/>
      <c r="HQI93" s="167"/>
      <c r="HQJ93" s="168"/>
      <c r="HQK93" s="167"/>
      <c r="HQL93" s="168"/>
      <c r="HQM93" s="167"/>
      <c r="HQN93" s="168"/>
      <c r="HQO93" s="167"/>
      <c r="HQP93" s="168"/>
      <c r="HQQ93" s="167"/>
      <c r="HQR93" s="168"/>
      <c r="HQS93" s="167"/>
      <c r="HQT93" s="168"/>
      <c r="HQU93" s="167"/>
      <c r="HQV93" s="168"/>
      <c r="HQW93" s="167"/>
      <c r="HQX93" s="168"/>
      <c r="HQY93" s="167"/>
      <c r="HQZ93" s="168"/>
      <c r="HRA93" s="167"/>
      <c r="HRB93" s="168"/>
      <c r="HRC93" s="167"/>
      <c r="HRD93" s="168"/>
      <c r="HRE93" s="167"/>
      <c r="HRF93" s="168"/>
      <c r="HRG93" s="167"/>
      <c r="HRH93" s="168"/>
      <c r="HRI93" s="167"/>
      <c r="HRJ93" s="168"/>
      <c r="HRK93" s="167"/>
      <c r="HRL93" s="168"/>
      <c r="HRM93" s="167"/>
      <c r="HRN93" s="168"/>
      <c r="HRO93" s="167"/>
      <c r="HRP93" s="168"/>
      <c r="HRQ93" s="167"/>
      <c r="HRR93" s="168"/>
      <c r="HRS93" s="167"/>
      <c r="HRT93" s="168"/>
      <c r="HRU93" s="167"/>
      <c r="HRV93" s="168"/>
      <c r="HRW93" s="167"/>
      <c r="HRX93" s="168"/>
      <c r="HRY93" s="167"/>
      <c r="HRZ93" s="168"/>
      <c r="HSA93" s="167"/>
      <c r="HSB93" s="168"/>
      <c r="HSC93" s="167"/>
      <c r="HSD93" s="168"/>
      <c r="HSE93" s="167"/>
      <c r="HSF93" s="168"/>
      <c r="HSG93" s="167"/>
      <c r="HSH93" s="168"/>
      <c r="HSI93" s="167"/>
      <c r="HSJ93" s="168"/>
      <c r="HSK93" s="167"/>
      <c r="HSL93" s="168"/>
      <c r="HSM93" s="167"/>
      <c r="HSN93" s="168"/>
      <c r="HSO93" s="167"/>
      <c r="HSP93" s="168"/>
      <c r="HSQ93" s="167"/>
      <c r="HSR93" s="168"/>
      <c r="HSS93" s="167"/>
      <c r="HST93" s="168"/>
      <c r="HSU93" s="167"/>
      <c r="HSV93" s="168"/>
      <c r="HSW93" s="167"/>
      <c r="HSX93" s="168"/>
      <c r="HSY93" s="167"/>
      <c r="HSZ93" s="168"/>
      <c r="HTA93" s="167"/>
      <c r="HTB93" s="168"/>
      <c r="HTC93" s="167"/>
      <c r="HTD93" s="168"/>
      <c r="HTE93" s="167"/>
      <c r="HTF93" s="168"/>
      <c r="HTG93" s="167"/>
      <c r="HTH93" s="168"/>
      <c r="HTI93" s="167"/>
      <c r="HTJ93" s="168"/>
      <c r="HTK93" s="167"/>
      <c r="HTL93" s="168"/>
      <c r="HTM93" s="167"/>
      <c r="HTN93" s="168"/>
      <c r="HTO93" s="167"/>
      <c r="HTP93" s="168"/>
      <c r="HTQ93" s="167"/>
      <c r="HTR93" s="168"/>
      <c r="HTS93" s="167"/>
      <c r="HTT93" s="168"/>
      <c r="HTU93" s="167"/>
      <c r="HTV93" s="168"/>
      <c r="HTW93" s="167"/>
      <c r="HTX93" s="168"/>
      <c r="HTY93" s="167"/>
      <c r="HTZ93" s="168"/>
      <c r="HUA93" s="167"/>
      <c r="HUB93" s="168"/>
      <c r="HUC93" s="167"/>
      <c r="HUD93" s="168"/>
      <c r="HUE93" s="167"/>
      <c r="HUF93" s="168"/>
      <c r="HUG93" s="167"/>
      <c r="HUH93" s="168"/>
      <c r="HUI93" s="167"/>
      <c r="HUJ93" s="168"/>
      <c r="HUK93" s="167"/>
      <c r="HUL93" s="168"/>
      <c r="HUM93" s="167"/>
      <c r="HUN93" s="168"/>
      <c r="HUO93" s="167"/>
      <c r="HUP93" s="168"/>
      <c r="HUQ93" s="167"/>
      <c r="HUR93" s="168"/>
      <c r="HUS93" s="167"/>
      <c r="HUT93" s="168"/>
      <c r="HUU93" s="167"/>
      <c r="HUV93" s="168"/>
      <c r="HUW93" s="167"/>
      <c r="HUX93" s="168"/>
      <c r="HUY93" s="167"/>
      <c r="HUZ93" s="168"/>
      <c r="HVA93" s="167"/>
      <c r="HVB93" s="168"/>
      <c r="HVC93" s="167"/>
      <c r="HVD93" s="168"/>
      <c r="HVE93" s="167"/>
      <c r="HVF93" s="168"/>
      <c r="HVG93" s="167"/>
      <c r="HVH93" s="168"/>
      <c r="HVI93" s="167"/>
      <c r="HVJ93" s="168"/>
      <c r="HVK93" s="167"/>
      <c r="HVL93" s="168"/>
      <c r="HVM93" s="167"/>
      <c r="HVN93" s="168"/>
      <c r="HVO93" s="167"/>
      <c r="HVP93" s="168"/>
      <c r="HVQ93" s="167"/>
      <c r="HVR93" s="168"/>
      <c r="HVS93" s="167"/>
      <c r="HVT93" s="168"/>
      <c r="HVU93" s="167"/>
      <c r="HVV93" s="168"/>
      <c r="HVW93" s="167"/>
      <c r="HVX93" s="168"/>
      <c r="HVY93" s="167"/>
      <c r="HVZ93" s="168"/>
      <c r="HWA93" s="167"/>
      <c r="HWB93" s="168"/>
      <c r="HWC93" s="167"/>
      <c r="HWD93" s="168"/>
      <c r="HWE93" s="167"/>
      <c r="HWF93" s="168"/>
      <c r="HWG93" s="167"/>
      <c r="HWH93" s="168"/>
      <c r="HWI93" s="167"/>
      <c r="HWJ93" s="168"/>
      <c r="HWK93" s="167"/>
      <c r="HWL93" s="168"/>
      <c r="HWM93" s="167"/>
      <c r="HWN93" s="168"/>
      <c r="HWO93" s="167"/>
      <c r="HWP93" s="168"/>
      <c r="HWQ93" s="167"/>
      <c r="HWR93" s="168"/>
      <c r="HWS93" s="167"/>
      <c r="HWT93" s="168"/>
      <c r="HWU93" s="167"/>
      <c r="HWV93" s="168"/>
      <c r="HWW93" s="167"/>
      <c r="HWX93" s="168"/>
      <c r="HWY93" s="167"/>
      <c r="HWZ93" s="168"/>
      <c r="HXA93" s="167"/>
      <c r="HXB93" s="168"/>
      <c r="HXC93" s="167"/>
      <c r="HXD93" s="168"/>
      <c r="HXE93" s="167"/>
      <c r="HXF93" s="168"/>
      <c r="HXG93" s="167"/>
      <c r="HXH93" s="168"/>
      <c r="HXI93" s="167"/>
      <c r="HXJ93" s="168"/>
      <c r="HXK93" s="167"/>
      <c r="HXL93" s="168"/>
      <c r="HXM93" s="167"/>
      <c r="HXN93" s="168"/>
      <c r="HXO93" s="167"/>
      <c r="HXP93" s="168"/>
      <c r="HXQ93" s="167"/>
      <c r="HXR93" s="168"/>
      <c r="HXS93" s="167"/>
      <c r="HXT93" s="168"/>
      <c r="HXU93" s="167"/>
      <c r="HXV93" s="168"/>
      <c r="HXW93" s="167"/>
      <c r="HXX93" s="168"/>
      <c r="HXY93" s="167"/>
      <c r="HXZ93" s="168"/>
      <c r="HYA93" s="167"/>
      <c r="HYB93" s="168"/>
      <c r="HYC93" s="167"/>
      <c r="HYD93" s="168"/>
      <c r="HYE93" s="167"/>
      <c r="HYF93" s="168"/>
      <c r="HYG93" s="167"/>
      <c r="HYH93" s="168"/>
      <c r="HYI93" s="167"/>
      <c r="HYJ93" s="168"/>
      <c r="HYK93" s="167"/>
      <c r="HYL93" s="168"/>
      <c r="HYM93" s="167"/>
      <c r="HYN93" s="168"/>
      <c r="HYO93" s="167"/>
      <c r="HYP93" s="168"/>
      <c r="HYQ93" s="167"/>
      <c r="HYR93" s="168"/>
      <c r="HYS93" s="167"/>
      <c r="HYT93" s="168"/>
      <c r="HYU93" s="167"/>
      <c r="HYV93" s="168"/>
      <c r="HYW93" s="167"/>
      <c r="HYX93" s="168"/>
      <c r="HYY93" s="167"/>
      <c r="HYZ93" s="168"/>
      <c r="HZA93" s="167"/>
      <c r="HZB93" s="168"/>
      <c r="HZC93" s="167"/>
      <c r="HZD93" s="168"/>
      <c r="HZE93" s="167"/>
      <c r="HZF93" s="168"/>
      <c r="HZG93" s="167"/>
      <c r="HZH93" s="168"/>
      <c r="HZI93" s="167"/>
      <c r="HZJ93" s="168"/>
      <c r="HZK93" s="167"/>
      <c r="HZL93" s="168"/>
      <c r="HZM93" s="167"/>
      <c r="HZN93" s="168"/>
      <c r="HZO93" s="167"/>
      <c r="HZP93" s="168"/>
      <c r="HZQ93" s="167"/>
      <c r="HZR93" s="168"/>
      <c r="HZS93" s="167"/>
      <c r="HZT93" s="168"/>
      <c r="HZU93" s="167"/>
      <c r="HZV93" s="168"/>
      <c r="HZW93" s="167"/>
      <c r="HZX93" s="168"/>
      <c r="HZY93" s="167"/>
      <c r="HZZ93" s="168"/>
      <c r="IAA93" s="167"/>
      <c r="IAB93" s="168"/>
      <c r="IAC93" s="167"/>
      <c r="IAD93" s="168"/>
      <c r="IAE93" s="167"/>
      <c r="IAF93" s="168"/>
      <c r="IAG93" s="167"/>
      <c r="IAH93" s="168"/>
      <c r="IAI93" s="167"/>
      <c r="IAJ93" s="168"/>
      <c r="IAK93" s="167"/>
      <c r="IAL93" s="168"/>
      <c r="IAM93" s="167"/>
      <c r="IAN93" s="168"/>
      <c r="IAO93" s="167"/>
      <c r="IAP93" s="168"/>
      <c r="IAQ93" s="167"/>
      <c r="IAR93" s="168"/>
      <c r="IAS93" s="167"/>
      <c r="IAT93" s="168"/>
      <c r="IAU93" s="167"/>
      <c r="IAV93" s="168"/>
      <c r="IAW93" s="167"/>
      <c r="IAX93" s="168"/>
      <c r="IAY93" s="167"/>
      <c r="IAZ93" s="168"/>
      <c r="IBA93" s="167"/>
      <c r="IBB93" s="168"/>
      <c r="IBC93" s="167"/>
      <c r="IBD93" s="168"/>
      <c r="IBE93" s="167"/>
      <c r="IBF93" s="168"/>
      <c r="IBG93" s="167"/>
      <c r="IBH93" s="168"/>
      <c r="IBI93" s="167"/>
      <c r="IBJ93" s="168"/>
      <c r="IBK93" s="167"/>
      <c r="IBL93" s="168"/>
      <c r="IBM93" s="167"/>
      <c r="IBN93" s="168"/>
      <c r="IBO93" s="167"/>
      <c r="IBP93" s="168"/>
      <c r="IBQ93" s="167"/>
      <c r="IBR93" s="168"/>
      <c r="IBS93" s="167"/>
      <c r="IBT93" s="168"/>
      <c r="IBU93" s="167"/>
      <c r="IBV93" s="168"/>
      <c r="IBW93" s="167"/>
      <c r="IBX93" s="168"/>
      <c r="IBY93" s="167"/>
      <c r="IBZ93" s="168"/>
      <c r="ICA93" s="167"/>
      <c r="ICB93" s="168"/>
      <c r="ICC93" s="167"/>
      <c r="ICD93" s="168"/>
      <c r="ICE93" s="167"/>
      <c r="ICF93" s="168"/>
      <c r="ICG93" s="167"/>
      <c r="ICH93" s="168"/>
      <c r="ICI93" s="167"/>
      <c r="ICJ93" s="168"/>
      <c r="ICK93" s="167"/>
      <c r="ICL93" s="168"/>
      <c r="ICM93" s="167"/>
      <c r="ICN93" s="168"/>
      <c r="ICO93" s="167"/>
      <c r="ICP93" s="168"/>
      <c r="ICQ93" s="167"/>
      <c r="ICR93" s="168"/>
      <c r="ICS93" s="167"/>
      <c r="ICT93" s="168"/>
      <c r="ICU93" s="167"/>
      <c r="ICV93" s="168"/>
      <c r="ICW93" s="167"/>
      <c r="ICX93" s="168"/>
      <c r="ICY93" s="167"/>
      <c r="ICZ93" s="168"/>
      <c r="IDA93" s="167"/>
      <c r="IDB93" s="168"/>
      <c r="IDC93" s="167"/>
      <c r="IDD93" s="168"/>
      <c r="IDE93" s="167"/>
      <c r="IDF93" s="168"/>
      <c r="IDG93" s="167"/>
      <c r="IDH93" s="168"/>
      <c r="IDI93" s="167"/>
      <c r="IDJ93" s="168"/>
      <c r="IDK93" s="167"/>
      <c r="IDL93" s="168"/>
      <c r="IDM93" s="167"/>
      <c r="IDN93" s="168"/>
      <c r="IDO93" s="167"/>
      <c r="IDP93" s="168"/>
      <c r="IDQ93" s="167"/>
      <c r="IDR93" s="168"/>
      <c r="IDS93" s="167"/>
      <c r="IDT93" s="168"/>
      <c r="IDU93" s="167"/>
      <c r="IDV93" s="168"/>
      <c r="IDW93" s="167"/>
      <c r="IDX93" s="168"/>
      <c r="IDY93" s="167"/>
      <c r="IDZ93" s="168"/>
      <c r="IEA93" s="167"/>
      <c r="IEB93" s="168"/>
      <c r="IEC93" s="167"/>
      <c r="IED93" s="168"/>
      <c r="IEE93" s="167"/>
      <c r="IEF93" s="168"/>
      <c r="IEG93" s="167"/>
      <c r="IEH93" s="168"/>
      <c r="IEI93" s="167"/>
      <c r="IEJ93" s="168"/>
      <c r="IEK93" s="167"/>
      <c r="IEL93" s="168"/>
      <c r="IEM93" s="167"/>
      <c r="IEN93" s="168"/>
      <c r="IEO93" s="167"/>
      <c r="IEP93" s="168"/>
      <c r="IEQ93" s="167"/>
      <c r="IER93" s="168"/>
      <c r="IES93" s="167"/>
      <c r="IET93" s="168"/>
      <c r="IEU93" s="167"/>
      <c r="IEV93" s="168"/>
      <c r="IEW93" s="167"/>
      <c r="IEX93" s="168"/>
      <c r="IEY93" s="167"/>
      <c r="IEZ93" s="168"/>
      <c r="IFA93" s="167"/>
      <c r="IFB93" s="168"/>
      <c r="IFC93" s="167"/>
      <c r="IFD93" s="168"/>
      <c r="IFE93" s="167"/>
      <c r="IFF93" s="168"/>
      <c r="IFG93" s="167"/>
      <c r="IFH93" s="168"/>
      <c r="IFI93" s="167"/>
      <c r="IFJ93" s="168"/>
      <c r="IFK93" s="167"/>
      <c r="IFL93" s="168"/>
      <c r="IFM93" s="167"/>
      <c r="IFN93" s="168"/>
      <c r="IFO93" s="167"/>
      <c r="IFP93" s="168"/>
      <c r="IFQ93" s="167"/>
      <c r="IFR93" s="168"/>
      <c r="IFS93" s="167"/>
      <c r="IFT93" s="168"/>
      <c r="IFU93" s="167"/>
      <c r="IFV93" s="168"/>
      <c r="IFW93" s="167"/>
      <c r="IFX93" s="168"/>
      <c r="IFY93" s="167"/>
      <c r="IFZ93" s="168"/>
      <c r="IGA93" s="167"/>
      <c r="IGB93" s="168"/>
      <c r="IGC93" s="167"/>
      <c r="IGD93" s="168"/>
      <c r="IGE93" s="167"/>
      <c r="IGF93" s="168"/>
      <c r="IGG93" s="167"/>
      <c r="IGH93" s="168"/>
      <c r="IGI93" s="167"/>
      <c r="IGJ93" s="168"/>
      <c r="IGK93" s="167"/>
      <c r="IGL93" s="168"/>
      <c r="IGM93" s="167"/>
      <c r="IGN93" s="168"/>
      <c r="IGO93" s="167"/>
      <c r="IGP93" s="168"/>
      <c r="IGQ93" s="167"/>
      <c r="IGR93" s="168"/>
      <c r="IGS93" s="167"/>
      <c r="IGT93" s="168"/>
      <c r="IGU93" s="167"/>
      <c r="IGV93" s="168"/>
      <c r="IGW93" s="167"/>
      <c r="IGX93" s="168"/>
      <c r="IGY93" s="167"/>
      <c r="IGZ93" s="168"/>
      <c r="IHA93" s="167"/>
      <c r="IHB93" s="168"/>
      <c r="IHC93" s="167"/>
      <c r="IHD93" s="168"/>
      <c r="IHE93" s="167"/>
      <c r="IHF93" s="168"/>
      <c r="IHG93" s="167"/>
      <c r="IHH93" s="168"/>
      <c r="IHI93" s="167"/>
      <c r="IHJ93" s="168"/>
      <c r="IHK93" s="167"/>
      <c r="IHL93" s="168"/>
      <c r="IHM93" s="167"/>
      <c r="IHN93" s="168"/>
      <c r="IHO93" s="167"/>
      <c r="IHP93" s="168"/>
      <c r="IHQ93" s="167"/>
      <c r="IHR93" s="168"/>
      <c r="IHS93" s="167"/>
      <c r="IHT93" s="168"/>
      <c r="IHU93" s="167"/>
      <c r="IHV93" s="168"/>
      <c r="IHW93" s="167"/>
      <c r="IHX93" s="168"/>
      <c r="IHY93" s="167"/>
      <c r="IHZ93" s="168"/>
      <c r="IIA93" s="167"/>
      <c r="IIB93" s="168"/>
      <c r="IIC93" s="167"/>
      <c r="IID93" s="168"/>
      <c r="IIE93" s="167"/>
      <c r="IIF93" s="168"/>
      <c r="IIG93" s="167"/>
      <c r="IIH93" s="168"/>
      <c r="III93" s="167"/>
      <c r="IIJ93" s="168"/>
      <c r="IIK93" s="167"/>
      <c r="IIL93" s="168"/>
      <c r="IIM93" s="167"/>
      <c r="IIN93" s="168"/>
      <c r="IIO93" s="167"/>
      <c r="IIP93" s="168"/>
      <c r="IIQ93" s="167"/>
      <c r="IIR93" s="168"/>
      <c r="IIS93" s="167"/>
      <c r="IIT93" s="168"/>
      <c r="IIU93" s="167"/>
      <c r="IIV93" s="168"/>
      <c r="IIW93" s="167"/>
      <c r="IIX93" s="168"/>
      <c r="IIY93" s="167"/>
      <c r="IIZ93" s="168"/>
      <c r="IJA93" s="167"/>
      <c r="IJB93" s="168"/>
      <c r="IJC93" s="167"/>
      <c r="IJD93" s="168"/>
      <c r="IJE93" s="167"/>
      <c r="IJF93" s="168"/>
      <c r="IJG93" s="167"/>
      <c r="IJH93" s="168"/>
      <c r="IJI93" s="167"/>
      <c r="IJJ93" s="168"/>
      <c r="IJK93" s="167"/>
      <c r="IJL93" s="168"/>
      <c r="IJM93" s="167"/>
      <c r="IJN93" s="168"/>
      <c r="IJO93" s="167"/>
      <c r="IJP93" s="168"/>
      <c r="IJQ93" s="167"/>
      <c r="IJR93" s="168"/>
      <c r="IJS93" s="167"/>
      <c r="IJT93" s="168"/>
      <c r="IJU93" s="167"/>
      <c r="IJV93" s="168"/>
      <c r="IJW93" s="167"/>
      <c r="IJX93" s="168"/>
      <c r="IJY93" s="167"/>
      <c r="IJZ93" s="168"/>
      <c r="IKA93" s="167"/>
      <c r="IKB93" s="168"/>
      <c r="IKC93" s="167"/>
      <c r="IKD93" s="168"/>
      <c r="IKE93" s="167"/>
      <c r="IKF93" s="168"/>
      <c r="IKG93" s="167"/>
      <c r="IKH93" s="168"/>
      <c r="IKI93" s="167"/>
      <c r="IKJ93" s="168"/>
      <c r="IKK93" s="167"/>
      <c r="IKL93" s="168"/>
      <c r="IKM93" s="167"/>
      <c r="IKN93" s="168"/>
      <c r="IKO93" s="167"/>
      <c r="IKP93" s="168"/>
      <c r="IKQ93" s="167"/>
      <c r="IKR93" s="168"/>
      <c r="IKS93" s="167"/>
      <c r="IKT93" s="168"/>
      <c r="IKU93" s="167"/>
      <c r="IKV93" s="168"/>
      <c r="IKW93" s="167"/>
      <c r="IKX93" s="168"/>
      <c r="IKY93" s="167"/>
      <c r="IKZ93" s="168"/>
      <c r="ILA93" s="167"/>
      <c r="ILB93" s="168"/>
      <c r="ILC93" s="167"/>
      <c r="ILD93" s="168"/>
      <c r="ILE93" s="167"/>
      <c r="ILF93" s="168"/>
      <c r="ILG93" s="167"/>
      <c r="ILH93" s="168"/>
      <c r="ILI93" s="167"/>
      <c r="ILJ93" s="168"/>
      <c r="ILK93" s="167"/>
      <c r="ILL93" s="168"/>
      <c r="ILM93" s="167"/>
      <c r="ILN93" s="168"/>
      <c r="ILO93" s="167"/>
      <c r="ILP93" s="168"/>
      <c r="ILQ93" s="167"/>
      <c r="ILR93" s="168"/>
      <c r="ILS93" s="167"/>
      <c r="ILT93" s="168"/>
      <c r="ILU93" s="167"/>
      <c r="ILV93" s="168"/>
      <c r="ILW93" s="167"/>
      <c r="ILX93" s="168"/>
      <c r="ILY93" s="167"/>
      <c r="ILZ93" s="168"/>
      <c r="IMA93" s="167"/>
      <c r="IMB93" s="168"/>
      <c r="IMC93" s="167"/>
      <c r="IMD93" s="168"/>
      <c r="IME93" s="167"/>
      <c r="IMF93" s="168"/>
      <c r="IMG93" s="167"/>
      <c r="IMH93" s="168"/>
      <c r="IMI93" s="167"/>
      <c r="IMJ93" s="168"/>
      <c r="IMK93" s="167"/>
      <c r="IML93" s="168"/>
      <c r="IMM93" s="167"/>
      <c r="IMN93" s="168"/>
      <c r="IMO93" s="167"/>
      <c r="IMP93" s="168"/>
      <c r="IMQ93" s="167"/>
      <c r="IMR93" s="168"/>
      <c r="IMS93" s="167"/>
      <c r="IMT93" s="168"/>
      <c r="IMU93" s="167"/>
      <c r="IMV93" s="168"/>
      <c r="IMW93" s="167"/>
      <c r="IMX93" s="168"/>
      <c r="IMY93" s="167"/>
      <c r="IMZ93" s="168"/>
      <c r="INA93" s="167"/>
      <c r="INB93" s="168"/>
      <c r="INC93" s="167"/>
      <c r="IND93" s="168"/>
      <c r="INE93" s="167"/>
      <c r="INF93" s="168"/>
      <c r="ING93" s="167"/>
      <c r="INH93" s="168"/>
      <c r="INI93" s="167"/>
      <c r="INJ93" s="168"/>
      <c r="INK93" s="167"/>
      <c r="INL93" s="168"/>
      <c r="INM93" s="167"/>
      <c r="INN93" s="168"/>
      <c r="INO93" s="167"/>
      <c r="INP93" s="168"/>
      <c r="INQ93" s="167"/>
      <c r="INR93" s="168"/>
      <c r="INS93" s="167"/>
      <c r="INT93" s="168"/>
      <c r="INU93" s="167"/>
      <c r="INV93" s="168"/>
      <c r="INW93" s="167"/>
      <c r="INX93" s="168"/>
      <c r="INY93" s="167"/>
      <c r="INZ93" s="168"/>
      <c r="IOA93" s="167"/>
      <c r="IOB93" s="168"/>
      <c r="IOC93" s="167"/>
      <c r="IOD93" s="168"/>
      <c r="IOE93" s="167"/>
      <c r="IOF93" s="168"/>
      <c r="IOG93" s="167"/>
      <c r="IOH93" s="168"/>
      <c r="IOI93" s="167"/>
      <c r="IOJ93" s="168"/>
      <c r="IOK93" s="167"/>
      <c r="IOL93" s="168"/>
      <c r="IOM93" s="167"/>
      <c r="ION93" s="168"/>
      <c r="IOO93" s="167"/>
      <c r="IOP93" s="168"/>
      <c r="IOQ93" s="167"/>
      <c r="IOR93" s="168"/>
      <c r="IOS93" s="167"/>
      <c r="IOT93" s="168"/>
      <c r="IOU93" s="167"/>
      <c r="IOV93" s="168"/>
      <c r="IOW93" s="167"/>
      <c r="IOX93" s="168"/>
      <c r="IOY93" s="167"/>
      <c r="IOZ93" s="168"/>
      <c r="IPA93" s="167"/>
      <c r="IPB93" s="168"/>
      <c r="IPC93" s="167"/>
      <c r="IPD93" s="168"/>
      <c r="IPE93" s="167"/>
      <c r="IPF93" s="168"/>
      <c r="IPG93" s="167"/>
      <c r="IPH93" s="168"/>
      <c r="IPI93" s="167"/>
      <c r="IPJ93" s="168"/>
      <c r="IPK93" s="167"/>
      <c r="IPL93" s="168"/>
      <c r="IPM93" s="167"/>
      <c r="IPN93" s="168"/>
      <c r="IPO93" s="167"/>
      <c r="IPP93" s="168"/>
      <c r="IPQ93" s="167"/>
      <c r="IPR93" s="168"/>
      <c r="IPS93" s="167"/>
      <c r="IPT93" s="168"/>
      <c r="IPU93" s="167"/>
      <c r="IPV93" s="168"/>
      <c r="IPW93" s="167"/>
      <c r="IPX93" s="168"/>
      <c r="IPY93" s="167"/>
      <c r="IPZ93" s="168"/>
      <c r="IQA93" s="167"/>
      <c r="IQB93" s="168"/>
      <c r="IQC93" s="167"/>
      <c r="IQD93" s="168"/>
      <c r="IQE93" s="167"/>
      <c r="IQF93" s="168"/>
      <c r="IQG93" s="167"/>
      <c r="IQH93" s="168"/>
      <c r="IQI93" s="167"/>
      <c r="IQJ93" s="168"/>
      <c r="IQK93" s="167"/>
      <c r="IQL93" s="168"/>
      <c r="IQM93" s="167"/>
      <c r="IQN93" s="168"/>
      <c r="IQO93" s="167"/>
      <c r="IQP93" s="168"/>
      <c r="IQQ93" s="167"/>
      <c r="IQR93" s="168"/>
      <c r="IQS93" s="167"/>
      <c r="IQT93" s="168"/>
      <c r="IQU93" s="167"/>
      <c r="IQV93" s="168"/>
      <c r="IQW93" s="167"/>
      <c r="IQX93" s="168"/>
      <c r="IQY93" s="167"/>
      <c r="IQZ93" s="168"/>
      <c r="IRA93" s="167"/>
      <c r="IRB93" s="168"/>
      <c r="IRC93" s="167"/>
      <c r="IRD93" s="168"/>
      <c r="IRE93" s="167"/>
      <c r="IRF93" s="168"/>
      <c r="IRG93" s="167"/>
      <c r="IRH93" s="168"/>
      <c r="IRI93" s="167"/>
      <c r="IRJ93" s="168"/>
      <c r="IRK93" s="167"/>
      <c r="IRL93" s="168"/>
      <c r="IRM93" s="167"/>
      <c r="IRN93" s="168"/>
      <c r="IRO93" s="167"/>
      <c r="IRP93" s="168"/>
      <c r="IRQ93" s="167"/>
      <c r="IRR93" s="168"/>
      <c r="IRS93" s="167"/>
      <c r="IRT93" s="168"/>
      <c r="IRU93" s="167"/>
      <c r="IRV93" s="168"/>
      <c r="IRW93" s="167"/>
      <c r="IRX93" s="168"/>
      <c r="IRY93" s="167"/>
      <c r="IRZ93" s="168"/>
      <c r="ISA93" s="167"/>
      <c r="ISB93" s="168"/>
      <c r="ISC93" s="167"/>
      <c r="ISD93" s="168"/>
      <c r="ISE93" s="167"/>
      <c r="ISF93" s="168"/>
      <c r="ISG93" s="167"/>
      <c r="ISH93" s="168"/>
      <c r="ISI93" s="167"/>
      <c r="ISJ93" s="168"/>
      <c r="ISK93" s="167"/>
      <c r="ISL93" s="168"/>
      <c r="ISM93" s="167"/>
      <c r="ISN93" s="168"/>
      <c r="ISO93" s="167"/>
      <c r="ISP93" s="168"/>
      <c r="ISQ93" s="167"/>
      <c r="ISR93" s="168"/>
      <c r="ISS93" s="167"/>
      <c r="IST93" s="168"/>
      <c r="ISU93" s="167"/>
      <c r="ISV93" s="168"/>
      <c r="ISW93" s="167"/>
      <c r="ISX93" s="168"/>
      <c r="ISY93" s="167"/>
      <c r="ISZ93" s="168"/>
      <c r="ITA93" s="167"/>
      <c r="ITB93" s="168"/>
      <c r="ITC93" s="167"/>
      <c r="ITD93" s="168"/>
      <c r="ITE93" s="167"/>
      <c r="ITF93" s="168"/>
      <c r="ITG93" s="167"/>
      <c r="ITH93" s="168"/>
      <c r="ITI93" s="167"/>
      <c r="ITJ93" s="168"/>
      <c r="ITK93" s="167"/>
      <c r="ITL93" s="168"/>
      <c r="ITM93" s="167"/>
      <c r="ITN93" s="168"/>
      <c r="ITO93" s="167"/>
      <c r="ITP93" s="168"/>
      <c r="ITQ93" s="167"/>
      <c r="ITR93" s="168"/>
      <c r="ITS93" s="167"/>
      <c r="ITT93" s="168"/>
      <c r="ITU93" s="167"/>
      <c r="ITV93" s="168"/>
      <c r="ITW93" s="167"/>
      <c r="ITX93" s="168"/>
      <c r="ITY93" s="167"/>
      <c r="ITZ93" s="168"/>
      <c r="IUA93" s="167"/>
      <c r="IUB93" s="168"/>
      <c r="IUC93" s="167"/>
      <c r="IUD93" s="168"/>
      <c r="IUE93" s="167"/>
      <c r="IUF93" s="168"/>
      <c r="IUG93" s="167"/>
      <c r="IUH93" s="168"/>
      <c r="IUI93" s="167"/>
      <c r="IUJ93" s="168"/>
      <c r="IUK93" s="167"/>
      <c r="IUL93" s="168"/>
      <c r="IUM93" s="167"/>
      <c r="IUN93" s="168"/>
      <c r="IUO93" s="167"/>
      <c r="IUP93" s="168"/>
      <c r="IUQ93" s="167"/>
      <c r="IUR93" s="168"/>
      <c r="IUS93" s="167"/>
      <c r="IUT93" s="168"/>
      <c r="IUU93" s="167"/>
      <c r="IUV93" s="168"/>
      <c r="IUW93" s="167"/>
      <c r="IUX93" s="168"/>
      <c r="IUY93" s="167"/>
      <c r="IUZ93" s="168"/>
      <c r="IVA93" s="167"/>
      <c r="IVB93" s="168"/>
      <c r="IVC93" s="167"/>
      <c r="IVD93" s="168"/>
      <c r="IVE93" s="167"/>
      <c r="IVF93" s="168"/>
      <c r="IVG93" s="167"/>
      <c r="IVH93" s="168"/>
      <c r="IVI93" s="167"/>
      <c r="IVJ93" s="168"/>
      <c r="IVK93" s="167"/>
      <c r="IVL93" s="168"/>
      <c r="IVM93" s="167"/>
      <c r="IVN93" s="168"/>
      <c r="IVO93" s="167"/>
      <c r="IVP93" s="168"/>
      <c r="IVQ93" s="167"/>
      <c r="IVR93" s="168"/>
      <c r="IVS93" s="167"/>
      <c r="IVT93" s="168"/>
      <c r="IVU93" s="167"/>
      <c r="IVV93" s="168"/>
      <c r="IVW93" s="167"/>
      <c r="IVX93" s="168"/>
      <c r="IVY93" s="167"/>
      <c r="IVZ93" s="168"/>
      <c r="IWA93" s="167"/>
      <c r="IWB93" s="168"/>
      <c r="IWC93" s="167"/>
      <c r="IWD93" s="168"/>
      <c r="IWE93" s="167"/>
      <c r="IWF93" s="168"/>
      <c r="IWG93" s="167"/>
      <c r="IWH93" s="168"/>
      <c r="IWI93" s="167"/>
      <c r="IWJ93" s="168"/>
      <c r="IWK93" s="167"/>
      <c r="IWL93" s="168"/>
      <c r="IWM93" s="167"/>
      <c r="IWN93" s="168"/>
      <c r="IWO93" s="167"/>
      <c r="IWP93" s="168"/>
      <c r="IWQ93" s="167"/>
      <c r="IWR93" s="168"/>
      <c r="IWS93" s="167"/>
      <c r="IWT93" s="168"/>
      <c r="IWU93" s="167"/>
      <c r="IWV93" s="168"/>
      <c r="IWW93" s="167"/>
      <c r="IWX93" s="168"/>
      <c r="IWY93" s="167"/>
      <c r="IWZ93" s="168"/>
      <c r="IXA93" s="167"/>
      <c r="IXB93" s="168"/>
      <c r="IXC93" s="167"/>
      <c r="IXD93" s="168"/>
      <c r="IXE93" s="167"/>
      <c r="IXF93" s="168"/>
      <c r="IXG93" s="167"/>
      <c r="IXH93" s="168"/>
      <c r="IXI93" s="167"/>
      <c r="IXJ93" s="168"/>
      <c r="IXK93" s="167"/>
      <c r="IXL93" s="168"/>
      <c r="IXM93" s="167"/>
      <c r="IXN93" s="168"/>
      <c r="IXO93" s="167"/>
      <c r="IXP93" s="168"/>
      <c r="IXQ93" s="167"/>
      <c r="IXR93" s="168"/>
      <c r="IXS93" s="167"/>
      <c r="IXT93" s="168"/>
      <c r="IXU93" s="167"/>
      <c r="IXV93" s="168"/>
      <c r="IXW93" s="167"/>
      <c r="IXX93" s="168"/>
      <c r="IXY93" s="167"/>
      <c r="IXZ93" s="168"/>
      <c r="IYA93" s="167"/>
      <c r="IYB93" s="168"/>
      <c r="IYC93" s="167"/>
      <c r="IYD93" s="168"/>
      <c r="IYE93" s="167"/>
      <c r="IYF93" s="168"/>
      <c r="IYG93" s="167"/>
      <c r="IYH93" s="168"/>
      <c r="IYI93" s="167"/>
      <c r="IYJ93" s="168"/>
      <c r="IYK93" s="167"/>
      <c r="IYL93" s="168"/>
      <c r="IYM93" s="167"/>
      <c r="IYN93" s="168"/>
      <c r="IYO93" s="167"/>
      <c r="IYP93" s="168"/>
      <c r="IYQ93" s="167"/>
      <c r="IYR93" s="168"/>
      <c r="IYS93" s="167"/>
      <c r="IYT93" s="168"/>
      <c r="IYU93" s="167"/>
      <c r="IYV93" s="168"/>
      <c r="IYW93" s="167"/>
      <c r="IYX93" s="168"/>
      <c r="IYY93" s="167"/>
      <c r="IYZ93" s="168"/>
      <c r="IZA93" s="167"/>
      <c r="IZB93" s="168"/>
      <c r="IZC93" s="167"/>
      <c r="IZD93" s="168"/>
      <c r="IZE93" s="167"/>
      <c r="IZF93" s="168"/>
      <c r="IZG93" s="167"/>
      <c r="IZH93" s="168"/>
      <c r="IZI93" s="167"/>
      <c r="IZJ93" s="168"/>
      <c r="IZK93" s="167"/>
      <c r="IZL93" s="168"/>
      <c r="IZM93" s="167"/>
      <c r="IZN93" s="168"/>
      <c r="IZO93" s="167"/>
      <c r="IZP93" s="168"/>
      <c r="IZQ93" s="167"/>
      <c r="IZR93" s="168"/>
      <c r="IZS93" s="167"/>
      <c r="IZT93" s="168"/>
      <c r="IZU93" s="167"/>
      <c r="IZV93" s="168"/>
      <c r="IZW93" s="167"/>
      <c r="IZX93" s="168"/>
      <c r="IZY93" s="167"/>
      <c r="IZZ93" s="168"/>
      <c r="JAA93" s="167"/>
      <c r="JAB93" s="168"/>
      <c r="JAC93" s="167"/>
      <c r="JAD93" s="168"/>
      <c r="JAE93" s="167"/>
      <c r="JAF93" s="168"/>
      <c r="JAG93" s="167"/>
      <c r="JAH93" s="168"/>
      <c r="JAI93" s="167"/>
      <c r="JAJ93" s="168"/>
      <c r="JAK93" s="167"/>
      <c r="JAL93" s="168"/>
      <c r="JAM93" s="167"/>
      <c r="JAN93" s="168"/>
      <c r="JAO93" s="167"/>
      <c r="JAP93" s="168"/>
      <c r="JAQ93" s="167"/>
      <c r="JAR93" s="168"/>
      <c r="JAS93" s="167"/>
      <c r="JAT93" s="168"/>
      <c r="JAU93" s="167"/>
      <c r="JAV93" s="168"/>
      <c r="JAW93" s="167"/>
      <c r="JAX93" s="168"/>
      <c r="JAY93" s="167"/>
      <c r="JAZ93" s="168"/>
      <c r="JBA93" s="167"/>
      <c r="JBB93" s="168"/>
      <c r="JBC93" s="167"/>
      <c r="JBD93" s="168"/>
      <c r="JBE93" s="167"/>
      <c r="JBF93" s="168"/>
      <c r="JBG93" s="167"/>
      <c r="JBH93" s="168"/>
      <c r="JBI93" s="167"/>
      <c r="JBJ93" s="168"/>
      <c r="JBK93" s="167"/>
      <c r="JBL93" s="168"/>
      <c r="JBM93" s="167"/>
      <c r="JBN93" s="168"/>
      <c r="JBO93" s="167"/>
      <c r="JBP93" s="168"/>
      <c r="JBQ93" s="167"/>
      <c r="JBR93" s="168"/>
      <c r="JBS93" s="167"/>
      <c r="JBT93" s="168"/>
      <c r="JBU93" s="167"/>
      <c r="JBV93" s="168"/>
      <c r="JBW93" s="167"/>
      <c r="JBX93" s="168"/>
      <c r="JBY93" s="167"/>
      <c r="JBZ93" s="168"/>
      <c r="JCA93" s="167"/>
      <c r="JCB93" s="168"/>
      <c r="JCC93" s="167"/>
      <c r="JCD93" s="168"/>
      <c r="JCE93" s="167"/>
      <c r="JCF93" s="168"/>
      <c r="JCG93" s="167"/>
      <c r="JCH93" s="168"/>
      <c r="JCI93" s="167"/>
      <c r="JCJ93" s="168"/>
      <c r="JCK93" s="167"/>
      <c r="JCL93" s="168"/>
      <c r="JCM93" s="167"/>
      <c r="JCN93" s="168"/>
      <c r="JCO93" s="167"/>
      <c r="JCP93" s="168"/>
      <c r="JCQ93" s="167"/>
      <c r="JCR93" s="168"/>
      <c r="JCS93" s="167"/>
      <c r="JCT93" s="168"/>
      <c r="JCU93" s="167"/>
      <c r="JCV93" s="168"/>
      <c r="JCW93" s="167"/>
      <c r="JCX93" s="168"/>
      <c r="JCY93" s="167"/>
      <c r="JCZ93" s="168"/>
      <c r="JDA93" s="167"/>
      <c r="JDB93" s="168"/>
      <c r="JDC93" s="167"/>
      <c r="JDD93" s="168"/>
      <c r="JDE93" s="167"/>
      <c r="JDF93" s="168"/>
      <c r="JDG93" s="167"/>
      <c r="JDH93" s="168"/>
      <c r="JDI93" s="167"/>
      <c r="JDJ93" s="168"/>
      <c r="JDK93" s="167"/>
      <c r="JDL93" s="168"/>
      <c r="JDM93" s="167"/>
      <c r="JDN93" s="168"/>
      <c r="JDO93" s="167"/>
      <c r="JDP93" s="168"/>
      <c r="JDQ93" s="167"/>
      <c r="JDR93" s="168"/>
      <c r="JDS93" s="167"/>
      <c r="JDT93" s="168"/>
      <c r="JDU93" s="167"/>
      <c r="JDV93" s="168"/>
      <c r="JDW93" s="167"/>
      <c r="JDX93" s="168"/>
      <c r="JDY93" s="167"/>
      <c r="JDZ93" s="168"/>
      <c r="JEA93" s="167"/>
      <c r="JEB93" s="168"/>
      <c r="JEC93" s="167"/>
      <c r="JED93" s="168"/>
      <c r="JEE93" s="167"/>
      <c r="JEF93" s="168"/>
      <c r="JEG93" s="167"/>
      <c r="JEH93" s="168"/>
      <c r="JEI93" s="167"/>
      <c r="JEJ93" s="168"/>
      <c r="JEK93" s="167"/>
      <c r="JEL93" s="168"/>
      <c r="JEM93" s="167"/>
      <c r="JEN93" s="168"/>
      <c r="JEO93" s="167"/>
      <c r="JEP93" s="168"/>
      <c r="JEQ93" s="167"/>
      <c r="JER93" s="168"/>
      <c r="JES93" s="167"/>
      <c r="JET93" s="168"/>
      <c r="JEU93" s="167"/>
      <c r="JEV93" s="168"/>
      <c r="JEW93" s="167"/>
      <c r="JEX93" s="168"/>
      <c r="JEY93" s="167"/>
      <c r="JEZ93" s="168"/>
      <c r="JFA93" s="167"/>
      <c r="JFB93" s="168"/>
      <c r="JFC93" s="167"/>
      <c r="JFD93" s="168"/>
      <c r="JFE93" s="167"/>
      <c r="JFF93" s="168"/>
      <c r="JFG93" s="167"/>
      <c r="JFH93" s="168"/>
      <c r="JFI93" s="167"/>
      <c r="JFJ93" s="168"/>
      <c r="JFK93" s="167"/>
      <c r="JFL93" s="168"/>
      <c r="JFM93" s="167"/>
      <c r="JFN93" s="168"/>
      <c r="JFO93" s="167"/>
      <c r="JFP93" s="168"/>
      <c r="JFQ93" s="167"/>
      <c r="JFR93" s="168"/>
      <c r="JFS93" s="167"/>
      <c r="JFT93" s="168"/>
      <c r="JFU93" s="167"/>
      <c r="JFV93" s="168"/>
      <c r="JFW93" s="167"/>
      <c r="JFX93" s="168"/>
      <c r="JFY93" s="167"/>
      <c r="JFZ93" s="168"/>
      <c r="JGA93" s="167"/>
      <c r="JGB93" s="168"/>
      <c r="JGC93" s="167"/>
      <c r="JGD93" s="168"/>
      <c r="JGE93" s="167"/>
      <c r="JGF93" s="168"/>
      <c r="JGG93" s="167"/>
      <c r="JGH93" s="168"/>
      <c r="JGI93" s="167"/>
      <c r="JGJ93" s="168"/>
      <c r="JGK93" s="167"/>
      <c r="JGL93" s="168"/>
      <c r="JGM93" s="167"/>
      <c r="JGN93" s="168"/>
      <c r="JGO93" s="167"/>
      <c r="JGP93" s="168"/>
      <c r="JGQ93" s="167"/>
      <c r="JGR93" s="168"/>
      <c r="JGS93" s="167"/>
      <c r="JGT93" s="168"/>
      <c r="JGU93" s="167"/>
      <c r="JGV93" s="168"/>
      <c r="JGW93" s="167"/>
      <c r="JGX93" s="168"/>
      <c r="JGY93" s="167"/>
      <c r="JGZ93" s="168"/>
      <c r="JHA93" s="167"/>
      <c r="JHB93" s="168"/>
      <c r="JHC93" s="167"/>
      <c r="JHD93" s="168"/>
      <c r="JHE93" s="167"/>
      <c r="JHF93" s="168"/>
      <c r="JHG93" s="167"/>
      <c r="JHH93" s="168"/>
      <c r="JHI93" s="167"/>
      <c r="JHJ93" s="168"/>
      <c r="JHK93" s="167"/>
      <c r="JHL93" s="168"/>
      <c r="JHM93" s="167"/>
      <c r="JHN93" s="168"/>
      <c r="JHO93" s="167"/>
      <c r="JHP93" s="168"/>
      <c r="JHQ93" s="167"/>
      <c r="JHR93" s="168"/>
      <c r="JHS93" s="167"/>
      <c r="JHT93" s="168"/>
      <c r="JHU93" s="167"/>
      <c r="JHV93" s="168"/>
      <c r="JHW93" s="167"/>
      <c r="JHX93" s="168"/>
      <c r="JHY93" s="167"/>
      <c r="JHZ93" s="168"/>
      <c r="JIA93" s="167"/>
      <c r="JIB93" s="168"/>
      <c r="JIC93" s="167"/>
      <c r="JID93" s="168"/>
      <c r="JIE93" s="167"/>
      <c r="JIF93" s="168"/>
      <c r="JIG93" s="167"/>
      <c r="JIH93" s="168"/>
      <c r="JII93" s="167"/>
      <c r="JIJ93" s="168"/>
      <c r="JIK93" s="167"/>
      <c r="JIL93" s="168"/>
      <c r="JIM93" s="167"/>
      <c r="JIN93" s="168"/>
      <c r="JIO93" s="167"/>
      <c r="JIP93" s="168"/>
      <c r="JIQ93" s="167"/>
      <c r="JIR93" s="168"/>
      <c r="JIS93" s="167"/>
      <c r="JIT93" s="168"/>
      <c r="JIU93" s="167"/>
      <c r="JIV93" s="168"/>
      <c r="JIW93" s="167"/>
      <c r="JIX93" s="168"/>
      <c r="JIY93" s="167"/>
      <c r="JIZ93" s="168"/>
      <c r="JJA93" s="167"/>
      <c r="JJB93" s="168"/>
      <c r="JJC93" s="167"/>
      <c r="JJD93" s="168"/>
      <c r="JJE93" s="167"/>
      <c r="JJF93" s="168"/>
      <c r="JJG93" s="167"/>
      <c r="JJH93" s="168"/>
      <c r="JJI93" s="167"/>
      <c r="JJJ93" s="168"/>
      <c r="JJK93" s="167"/>
      <c r="JJL93" s="168"/>
      <c r="JJM93" s="167"/>
      <c r="JJN93" s="168"/>
      <c r="JJO93" s="167"/>
      <c r="JJP93" s="168"/>
      <c r="JJQ93" s="167"/>
      <c r="JJR93" s="168"/>
      <c r="JJS93" s="167"/>
      <c r="JJT93" s="168"/>
      <c r="JJU93" s="167"/>
      <c r="JJV93" s="168"/>
      <c r="JJW93" s="167"/>
      <c r="JJX93" s="168"/>
      <c r="JJY93" s="167"/>
      <c r="JJZ93" s="168"/>
      <c r="JKA93" s="167"/>
      <c r="JKB93" s="168"/>
      <c r="JKC93" s="167"/>
      <c r="JKD93" s="168"/>
      <c r="JKE93" s="167"/>
      <c r="JKF93" s="168"/>
      <c r="JKG93" s="167"/>
      <c r="JKH93" s="168"/>
      <c r="JKI93" s="167"/>
      <c r="JKJ93" s="168"/>
      <c r="JKK93" s="167"/>
      <c r="JKL93" s="168"/>
      <c r="JKM93" s="167"/>
      <c r="JKN93" s="168"/>
      <c r="JKO93" s="167"/>
      <c r="JKP93" s="168"/>
      <c r="JKQ93" s="167"/>
      <c r="JKR93" s="168"/>
      <c r="JKS93" s="167"/>
      <c r="JKT93" s="168"/>
      <c r="JKU93" s="167"/>
      <c r="JKV93" s="168"/>
      <c r="JKW93" s="167"/>
      <c r="JKX93" s="168"/>
      <c r="JKY93" s="167"/>
      <c r="JKZ93" s="168"/>
      <c r="JLA93" s="167"/>
      <c r="JLB93" s="168"/>
      <c r="JLC93" s="167"/>
      <c r="JLD93" s="168"/>
      <c r="JLE93" s="167"/>
      <c r="JLF93" s="168"/>
      <c r="JLG93" s="167"/>
      <c r="JLH93" s="168"/>
      <c r="JLI93" s="167"/>
      <c r="JLJ93" s="168"/>
      <c r="JLK93" s="167"/>
      <c r="JLL93" s="168"/>
      <c r="JLM93" s="167"/>
      <c r="JLN93" s="168"/>
      <c r="JLO93" s="167"/>
      <c r="JLP93" s="168"/>
      <c r="JLQ93" s="167"/>
      <c r="JLR93" s="168"/>
      <c r="JLS93" s="167"/>
      <c r="JLT93" s="168"/>
      <c r="JLU93" s="167"/>
      <c r="JLV93" s="168"/>
      <c r="JLW93" s="167"/>
      <c r="JLX93" s="168"/>
      <c r="JLY93" s="167"/>
      <c r="JLZ93" s="168"/>
      <c r="JMA93" s="167"/>
      <c r="JMB93" s="168"/>
      <c r="JMC93" s="167"/>
      <c r="JMD93" s="168"/>
      <c r="JME93" s="167"/>
      <c r="JMF93" s="168"/>
      <c r="JMG93" s="167"/>
      <c r="JMH93" s="168"/>
      <c r="JMI93" s="167"/>
      <c r="JMJ93" s="168"/>
      <c r="JMK93" s="167"/>
      <c r="JML93" s="168"/>
      <c r="JMM93" s="167"/>
      <c r="JMN93" s="168"/>
      <c r="JMO93" s="167"/>
      <c r="JMP93" s="168"/>
      <c r="JMQ93" s="167"/>
      <c r="JMR93" s="168"/>
      <c r="JMS93" s="167"/>
      <c r="JMT93" s="168"/>
      <c r="JMU93" s="167"/>
      <c r="JMV93" s="168"/>
      <c r="JMW93" s="167"/>
      <c r="JMX93" s="168"/>
      <c r="JMY93" s="167"/>
      <c r="JMZ93" s="168"/>
      <c r="JNA93" s="167"/>
      <c r="JNB93" s="168"/>
      <c r="JNC93" s="167"/>
      <c r="JND93" s="168"/>
      <c r="JNE93" s="167"/>
      <c r="JNF93" s="168"/>
      <c r="JNG93" s="167"/>
      <c r="JNH93" s="168"/>
      <c r="JNI93" s="167"/>
      <c r="JNJ93" s="168"/>
      <c r="JNK93" s="167"/>
      <c r="JNL93" s="168"/>
      <c r="JNM93" s="167"/>
      <c r="JNN93" s="168"/>
      <c r="JNO93" s="167"/>
      <c r="JNP93" s="168"/>
      <c r="JNQ93" s="167"/>
      <c r="JNR93" s="168"/>
      <c r="JNS93" s="167"/>
      <c r="JNT93" s="168"/>
      <c r="JNU93" s="167"/>
      <c r="JNV93" s="168"/>
      <c r="JNW93" s="167"/>
      <c r="JNX93" s="168"/>
      <c r="JNY93" s="167"/>
      <c r="JNZ93" s="168"/>
      <c r="JOA93" s="167"/>
      <c r="JOB93" s="168"/>
      <c r="JOC93" s="167"/>
      <c r="JOD93" s="168"/>
      <c r="JOE93" s="167"/>
      <c r="JOF93" s="168"/>
      <c r="JOG93" s="167"/>
      <c r="JOH93" s="168"/>
      <c r="JOI93" s="167"/>
      <c r="JOJ93" s="168"/>
      <c r="JOK93" s="167"/>
      <c r="JOL93" s="168"/>
      <c r="JOM93" s="167"/>
      <c r="JON93" s="168"/>
      <c r="JOO93" s="167"/>
      <c r="JOP93" s="168"/>
      <c r="JOQ93" s="167"/>
      <c r="JOR93" s="168"/>
      <c r="JOS93" s="167"/>
      <c r="JOT93" s="168"/>
      <c r="JOU93" s="167"/>
      <c r="JOV93" s="168"/>
      <c r="JOW93" s="167"/>
      <c r="JOX93" s="168"/>
      <c r="JOY93" s="167"/>
      <c r="JOZ93" s="168"/>
      <c r="JPA93" s="167"/>
      <c r="JPB93" s="168"/>
      <c r="JPC93" s="167"/>
      <c r="JPD93" s="168"/>
      <c r="JPE93" s="167"/>
      <c r="JPF93" s="168"/>
      <c r="JPG93" s="167"/>
      <c r="JPH93" s="168"/>
      <c r="JPI93" s="167"/>
      <c r="JPJ93" s="168"/>
      <c r="JPK93" s="167"/>
      <c r="JPL93" s="168"/>
      <c r="JPM93" s="167"/>
      <c r="JPN93" s="168"/>
      <c r="JPO93" s="167"/>
      <c r="JPP93" s="168"/>
      <c r="JPQ93" s="167"/>
      <c r="JPR93" s="168"/>
      <c r="JPS93" s="167"/>
      <c r="JPT93" s="168"/>
      <c r="JPU93" s="167"/>
      <c r="JPV93" s="168"/>
      <c r="JPW93" s="167"/>
      <c r="JPX93" s="168"/>
      <c r="JPY93" s="167"/>
      <c r="JPZ93" s="168"/>
      <c r="JQA93" s="167"/>
      <c r="JQB93" s="168"/>
      <c r="JQC93" s="167"/>
      <c r="JQD93" s="168"/>
      <c r="JQE93" s="167"/>
      <c r="JQF93" s="168"/>
      <c r="JQG93" s="167"/>
      <c r="JQH93" s="168"/>
      <c r="JQI93" s="167"/>
      <c r="JQJ93" s="168"/>
      <c r="JQK93" s="167"/>
      <c r="JQL93" s="168"/>
      <c r="JQM93" s="167"/>
      <c r="JQN93" s="168"/>
      <c r="JQO93" s="167"/>
      <c r="JQP93" s="168"/>
      <c r="JQQ93" s="167"/>
      <c r="JQR93" s="168"/>
      <c r="JQS93" s="167"/>
      <c r="JQT93" s="168"/>
      <c r="JQU93" s="167"/>
      <c r="JQV93" s="168"/>
      <c r="JQW93" s="167"/>
      <c r="JQX93" s="168"/>
      <c r="JQY93" s="167"/>
      <c r="JQZ93" s="168"/>
      <c r="JRA93" s="167"/>
      <c r="JRB93" s="168"/>
      <c r="JRC93" s="167"/>
      <c r="JRD93" s="168"/>
      <c r="JRE93" s="167"/>
      <c r="JRF93" s="168"/>
      <c r="JRG93" s="167"/>
      <c r="JRH93" s="168"/>
      <c r="JRI93" s="167"/>
      <c r="JRJ93" s="168"/>
      <c r="JRK93" s="167"/>
      <c r="JRL93" s="168"/>
      <c r="JRM93" s="167"/>
      <c r="JRN93" s="168"/>
      <c r="JRO93" s="167"/>
      <c r="JRP93" s="168"/>
      <c r="JRQ93" s="167"/>
      <c r="JRR93" s="168"/>
      <c r="JRS93" s="167"/>
      <c r="JRT93" s="168"/>
      <c r="JRU93" s="167"/>
      <c r="JRV93" s="168"/>
      <c r="JRW93" s="167"/>
      <c r="JRX93" s="168"/>
      <c r="JRY93" s="167"/>
      <c r="JRZ93" s="168"/>
      <c r="JSA93" s="167"/>
      <c r="JSB93" s="168"/>
      <c r="JSC93" s="167"/>
      <c r="JSD93" s="168"/>
      <c r="JSE93" s="167"/>
      <c r="JSF93" s="168"/>
      <c r="JSG93" s="167"/>
      <c r="JSH93" s="168"/>
      <c r="JSI93" s="167"/>
      <c r="JSJ93" s="168"/>
      <c r="JSK93" s="167"/>
      <c r="JSL93" s="168"/>
      <c r="JSM93" s="167"/>
      <c r="JSN93" s="168"/>
      <c r="JSO93" s="167"/>
      <c r="JSP93" s="168"/>
      <c r="JSQ93" s="167"/>
      <c r="JSR93" s="168"/>
      <c r="JSS93" s="167"/>
      <c r="JST93" s="168"/>
      <c r="JSU93" s="167"/>
      <c r="JSV93" s="168"/>
      <c r="JSW93" s="167"/>
      <c r="JSX93" s="168"/>
      <c r="JSY93" s="167"/>
      <c r="JSZ93" s="168"/>
      <c r="JTA93" s="167"/>
      <c r="JTB93" s="168"/>
      <c r="JTC93" s="167"/>
      <c r="JTD93" s="168"/>
      <c r="JTE93" s="167"/>
      <c r="JTF93" s="168"/>
      <c r="JTG93" s="167"/>
      <c r="JTH93" s="168"/>
      <c r="JTI93" s="167"/>
      <c r="JTJ93" s="168"/>
      <c r="JTK93" s="167"/>
      <c r="JTL93" s="168"/>
      <c r="JTM93" s="167"/>
      <c r="JTN93" s="168"/>
      <c r="JTO93" s="167"/>
      <c r="JTP93" s="168"/>
      <c r="JTQ93" s="167"/>
      <c r="JTR93" s="168"/>
      <c r="JTS93" s="167"/>
      <c r="JTT93" s="168"/>
      <c r="JTU93" s="167"/>
      <c r="JTV93" s="168"/>
      <c r="JTW93" s="167"/>
      <c r="JTX93" s="168"/>
      <c r="JTY93" s="167"/>
      <c r="JTZ93" s="168"/>
      <c r="JUA93" s="167"/>
      <c r="JUB93" s="168"/>
      <c r="JUC93" s="167"/>
      <c r="JUD93" s="168"/>
      <c r="JUE93" s="167"/>
      <c r="JUF93" s="168"/>
      <c r="JUG93" s="167"/>
      <c r="JUH93" s="168"/>
      <c r="JUI93" s="167"/>
      <c r="JUJ93" s="168"/>
      <c r="JUK93" s="167"/>
      <c r="JUL93" s="168"/>
      <c r="JUM93" s="167"/>
      <c r="JUN93" s="168"/>
      <c r="JUO93" s="167"/>
      <c r="JUP93" s="168"/>
      <c r="JUQ93" s="167"/>
      <c r="JUR93" s="168"/>
      <c r="JUS93" s="167"/>
      <c r="JUT93" s="168"/>
      <c r="JUU93" s="167"/>
      <c r="JUV93" s="168"/>
      <c r="JUW93" s="167"/>
      <c r="JUX93" s="168"/>
      <c r="JUY93" s="167"/>
      <c r="JUZ93" s="168"/>
      <c r="JVA93" s="167"/>
      <c r="JVB93" s="168"/>
      <c r="JVC93" s="167"/>
      <c r="JVD93" s="168"/>
      <c r="JVE93" s="167"/>
      <c r="JVF93" s="168"/>
      <c r="JVG93" s="167"/>
      <c r="JVH93" s="168"/>
      <c r="JVI93" s="167"/>
      <c r="JVJ93" s="168"/>
      <c r="JVK93" s="167"/>
      <c r="JVL93" s="168"/>
      <c r="JVM93" s="167"/>
      <c r="JVN93" s="168"/>
      <c r="JVO93" s="167"/>
      <c r="JVP93" s="168"/>
      <c r="JVQ93" s="167"/>
      <c r="JVR93" s="168"/>
      <c r="JVS93" s="167"/>
      <c r="JVT93" s="168"/>
      <c r="JVU93" s="167"/>
      <c r="JVV93" s="168"/>
      <c r="JVW93" s="167"/>
      <c r="JVX93" s="168"/>
      <c r="JVY93" s="167"/>
      <c r="JVZ93" s="168"/>
      <c r="JWA93" s="167"/>
      <c r="JWB93" s="168"/>
      <c r="JWC93" s="167"/>
      <c r="JWD93" s="168"/>
      <c r="JWE93" s="167"/>
      <c r="JWF93" s="168"/>
      <c r="JWG93" s="167"/>
      <c r="JWH93" s="168"/>
      <c r="JWI93" s="167"/>
      <c r="JWJ93" s="168"/>
      <c r="JWK93" s="167"/>
      <c r="JWL93" s="168"/>
      <c r="JWM93" s="167"/>
      <c r="JWN93" s="168"/>
      <c r="JWO93" s="167"/>
      <c r="JWP93" s="168"/>
      <c r="JWQ93" s="167"/>
      <c r="JWR93" s="168"/>
      <c r="JWS93" s="167"/>
      <c r="JWT93" s="168"/>
      <c r="JWU93" s="167"/>
      <c r="JWV93" s="168"/>
      <c r="JWW93" s="167"/>
      <c r="JWX93" s="168"/>
      <c r="JWY93" s="167"/>
      <c r="JWZ93" s="168"/>
      <c r="JXA93" s="167"/>
      <c r="JXB93" s="168"/>
      <c r="JXC93" s="167"/>
      <c r="JXD93" s="168"/>
      <c r="JXE93" s="167"/>
      <c r="JXF93" s="168"/>
      <c r="JXG93" s="167"/>
      <c r="JXH93" s="168"/>
      <c r="JXI93" s="167"/>
      <c r="JXJ93" s="168"/>
      <c r="JXK93" s="167"/>
      <c r="JXL93" s="168"/>
      <c r="JXM93" s="167"/>
      <c r="JXN93" s="168"/>
      <c r="JXO93" s="167"/>
      <c r="JXP93" s="168"/>
      <c r="JXQ93" s="167"/>
      <c r="JXR93" s="168"/>
      <c r="JXS93" s="167"/>
      <c r="JXT93" s="168"/>
      <c r="JXU93" s="167"/>
      <c r="JXV93" s="168"/>
      <c r="JXW93" s="167"/>
      <c r="JXX93" s="168"/>
      <c r="JXY93" s="167"/>
      <c r="JXZ93" s="168"/>
      <c r="JYA93" s="167"/>
      <c r="JYB93" s="168"/>
      <c r="JYC93" s="167"/>
      <c r="JYD93" s="168"/>
      <c r="JYE93" s="167"/>
      <c r="JYF93" s="168"/>
      <c r="JYG93" s="167"/>
      <c r="JYH93" s="168"/>
      <c r="JYI93" s="167"/>
      <c r="JYJ93" s="168"/>
      <c r="JYK93" s="167"/>
      <c r="JYL93" s="168"/>
      <c r="JYM93" s="167"/>
      <c r="JYN93" s="168"/>
      <c r="JYO93" s="167"/>
      <c r="JYP93" s="168"/>
      <c r="JYQ93" s="167"/>
      <c r="JYR93" s="168"/>
      <c r="JYS93" s="167"/>
      <c r="JYT93" s="168"/>
      <c r="JYU93" s="167"/>
      <c r="JYV93" s="168"/>
      <c r="JYW93" s="167"/>
      <c r="JYX93" s="168"/>
      <c r="JYY93" s="167"/>
      <c r="JYZ93" s="168"/>
      <c r="JZA93" s="167"/>
      <c r="JZB93" s="168"/>
      <c r="JZC93" s="167"/>
      <c r="JZD93" s="168"/>
      <c r="JZE93" s="167"/>
      <c r="JZF93" s="168"/>
      <c r="JZG93" s="167"/>
      <c r="JZH93" s="168"/>
      <c r="JZI93" s="167"/>
      <c r="JZJ93" s="168"/>
      <c r="JZK93" s="167"/>
      <c r="JZL93" s="168"/>
      <c r="JZM93" s="167"/>
      <c r="JZN93" s="168"/>
      <c r="JZO93" s="167"/>
      <c r="JZP93" s="168"/>
      <c r="JZQ93" s="167"/>
      <c r="JZR93" s="168"/>
      <c r="JZS93" s="167"/>
      <c r="JZT93" s="168"/>
      <c r="JZU93" s="167"/>
      <c r="JZV93" s="168"/>
      <c r="JZW93" s="167"/>
      <c r="JZX93" s="168"/>
      <c r="JZY93" s="167"/>
      <c r="JZZ93" s="168"/>
      <c r="KAA93" s="167"/>
      <c r="KAB93" s="168"/>
      <c r="KAC93" s="167"/>
      <c r="KAD93" s="168"/>
      <c r="KAE93" s="167"/>
      <c r="KAF93" s="168"/>
      <c r="KAG93" s="167"/>
      <c r="KAH93" s="168"/>
      <c r="KAI93" s="167"/>
      <c r="KAJ93" s="168"/>
      <c r="KAK93" s="167"/>
      <c r="KAL93" s="168"/>
      <c r="KAM93" s="167"/>
      <c r="KAN93" s="168"/>
      <c r="KAO93" s="167"/>
      <c r="KAP93" s="168"/>
      <c r="KAQ93" s="167"/>
      <c r="KAR93" s="168"/>
      <c r="KAS93" s="167"/>
      <c r="KAT93" s="168"/>
      <c r="KAU93" s="167"/>
      <c r="KAV93" s="168"/>
      <c r="KAW93" s="167"/>
      <c r="KAX93" s="168"/>
      <c r="KAY93" s="167"/>
      <c r="KAZ93" s="168"/>
      <c r="KBA93" s="167"/>
      <c r="KBB93" s="168"/>
      <c r="KBC93" s="167"/>
      <c r="KBD93" s="168"/>
      <c r="KBE93" s="167"/>
      <c r="KBF93" s="168"/>
      <c r="KBG93" s="167"/>
      <c r="KBH93" s="168"/>
      <c r="KBI93" s="167"/>
      <c r="KBJ93" s="168"/>
      <c r="KBK93" s="167"/>
      <c r="KBL93" s="168"/>
      <c r="KBM93" s="167"/>
      <c r="KBN93" s="168"/>
      <c r="KBO93" s="167"/>
      <c r="KBP93" s="168"/>
      <c r="KBQ93" s="167"/>
      <c r="KBR93" s="168"/>
      <c r="KBS93" s="167"/>
      <c r="KBT93" s="168"/>
      <c r="KBU93" s="167"/>
      <c r="KBV93" s="168"/>
      <c r="KBW93" s="167"/>
      <c r="KBX93" s="168"/>
      <c r="KBY93" s="167"/>
      <c r="KBZ93" s="168"/>
      <c r="KCA93" s="167"/>
      <c r="KCB93" s="168"/>
      <c r="KCC93" s="167"/>
      <c r="KCD93" s="168"/>
      <c r="KCE93" s="167"/>
      <c r="KCF93" s="168"/>
      <c r="KCG93" s="167"/>
      <c r="KCH93" s="168"/>
      <c r="KCI93" s="167"/>
      <c r="KCJ93" s="168"/>
      <c r="KCK93" s="167"/>
      <c r="KCL93" s="168"/>
      <c r="KCM93" s="167"/>
      <c r="KCN93" s="168"/>
      <c r="KCO93" s="167"/>
      <c r="KCP93" s="168"/>
      <c r="KCQ93" s="167"/>
      <c r="KCR93" s="168"/>
      <c r="KCS93" s="167"/>
      <c r="KCT93" s="168"/>
      <c r="KCU93" s="167"/>
      <c r="KCV93" s="168"/>
      <c r="KCW93" s="167"/>
      <c r="KCX93" s="168"/>
      <c r="KCY93" s="167"/>
      <c r="KCZ93" s="168"/>
      <c r="KDA93" s="167"/>
      <c r="KDB93" s="168"/>
      <c r="KDC93" s="167"/>
      <c r="KDD93" s="168"/>
      <c r="KDE93" s="167"/>
      <c r="KDF93" s="168"/>
      <c r="KDG93" s="167"/>
      <c r="KDH93" s="168"/>
      <c r="KDI93" s="167"/>
      <c r="KDJ93" s="168"/>
      <c r="KDK93" s="167"/>
      <c r="KDL93" s="168"/>
      <c r="KDM93" s="167"/>
      <c r="KDN93" s="168"/>
      <c r="KDO93" s="167"/>
      <c r="KDP93" s="168"/>
      <c r="KDQ93" s="167"/>
      <c r="KDR93" s="168"/>
      <c r="KDS93" s="167"/>
      <c r="KDT93" s="168"/>
      <c r="KDU93" s="167"/>
      <c r="KDV93" s="168"/>
      <c r="KDW93" s="167"/>
      <c r="KDX93" s="168"/>
      <c r="KDY93" s="167"/>
      <c r="KDZ93" s="168"/>
      <c r="KEA93" s="167"/>
      <c r="KEB93" s="168"/>
      <c r="KEC93" s="167"/>
      <c r="KED93" s="168"/>
      <c r="KEE93" s="167"/>
      <c r="KEF93" s="168"/>
      <c r="KEG93" s="167"/>
      <c r="KEH93" s="168"/>
      <c r="KEI93" s="167"/>
      <c r="KEJ93" s="168"/>
      <c r="KEK93" s="167"/>
      <c r="KEL93" s="168"/>
      <c r="KEM93" s="167"/>
      <c r="KEN93" s="168"/>
      <c r="KEO93" s="167"/>
      <c r="KEP93" s="168"/>
      <c r="KEQ93" s="167"/>
      <c r="KER93" s="168"/>
      <c r="KES93" s="167"/>
      <c r="KET93" s="168"/>
      <c r="KEU93" s="167"/>
      <c r="KEV93" s="168"/>
      <c r="KEW93" s="167"/>
      <c r="KEX93" s="168"/>
      <c r="KEY93" s="167"/>
      <c r="KEZ93" s="168"/>
      <c r="KFA93" s="167"/>
      <c r="KFB93" s="168"/>
      <c r="KFC93" s="167"/>
      <c r="KFD93" s="168"/>
      <c r="KFE93" s="167"/>
      <c r="KFF93" s="168"/>
      <c r="KFG93" s="167"/>
      <c r="KFH93" s="168"/>
      <c r="KFI93" s="167"/>
      <c r="KFJ93" s="168"/>
      <c r="KFK93" s="167"/>
      <c r="KFL93" s="168"/>
      <c r="KFM93" s="167"/>
      <c r="KFN93" s="168"/>
      <c r="KFO93" s="167"/>
      <c r="KFP93" s="168"/>
      <c r="KFQ93" s="167"/>
      <c r="KFR93" s="168"/>
      <c r="KFS93" s="167"/>
      <c r="KFT93" s="168"/>
      <c r="KFU93" s="167"/>
      <c r="KFV93" s="168"/>
      <c r="KFW93" s="167"/>
      <c r="KFX93" s="168"/>
      <c r="KFY93" s="167"/>
      <c r="KFZ93" s="168"/>
      <c r="KGA93" s="167"/>
      <c r="KGB93" s="168"/>
      <c r="KGC93" s="167"/>
      <c r="KGD93" s="168"/>
      <c r="KGE93" s="167"/>
      <c r="KGF93" s="168"/>
      <c r="KGG93" s="167"/>
      <c r="KGH93" s="168"/>
      <c r="KGI93" s="167"/>
      <c r="KGJ93" s="168"/>
      <c r="KGK93" s="167"/>
      <c r="KGL93" s="168"/>
      <c r="KGM93" s="167"/>
      <c r="KGN93" s="168"/>
      <c r="KGO93" s="167"/>
      <c r="KGP93" s="168"/>
      <c r="KGQ93" s="167"/>
      <c r="KGR93" s="168"/>
      <c r="KGS93" s="167"/>
      <c r="KGT93" s="168"/>
      <c r="KGU93" s="167"/>
      <c r="KGV93" s="168"/>
      <c r="KGW93" s="167"/>
      <c r="KGX93" s="168"/>
      <c r="KGY93" s="167"/>
      <c r="KGZ93" s="168"/>
      <c r="KHA93" s="167"/>
      <c r="KHB93" s="168"/>
      <c r="KHC93" s="167"/>
      <c r="KHD93" s="168"/>
      <c r="KHE93" s="167"/>
      <c r="KHF93" s="168"/>
      <c r="KHG93" s="167"/>
      <c r="KHH93" s="168"/>
      <c r="KHI93" s="167"/>
      <c r="KHJ93" s="168"/>
      <c r="KHK93" s="167"/>
      <c r="KHL93" s="168"/>
      <c r="KHM93" s="167"/>
      <c r="KHN93" s="168"/>
      <c r="KHO93" s="167"/>
      <c r="KHP93" s="168"/>
      <c r="KHQ93" s="167"/>
      <c r="KHR93" s="168"/>
      <c r="KHS93" s="167"/>
      <c r="KHT93" s="168"/>
      <c r="KHU93" s="167"/>
      <c r="KHV93" s="168"/>
      <c r="KHW93" s="167"/>
      <c r="KHX93" s="168"/>
      <c r="KHY93" s="167"/>
      <c r="KHZ93" s="168"/>
      <c r="KIA93" s="167"/>
      <c r="KIB93" s="168"/>
      <c r="KIC93" s="167"/>
      <c r="KID93" s="168"/>
      <c r="KIE93" s="167"/>
      <c r="KIF93" s="168"/>
      <c r="KIG93" s="167"/>
      <c r="KIH93" s="168"/>
      <c r="KII93" s="167"/>
      <c r="KIJ93" s="168"/>
      <c r="KIK93" s="167"/>
      <c r="KIL93" s="168"/>
      <c r="KIM93" s="167"/>
      <c r="KIN93" s="168"/>
      <c r="KIO93" s="167"/>
      <c r="KIP93" s="168"/>
      <c r="KIQ93" s="167"/>
      <c r="KIR93" s="168"/>
      <c r="KIS93" s="167"/>
      <c r="KIT93" s="168"/>
      <c r="KIU93" s="167"/>
      <c r="KIV93" s="168"/>
      <c r="KIW93" s="167"/>
      <c r="KIX93" s="168"/>
      <c r="KIY93" s="167"/>
      <c r="KIZ93" s="168"/>
      <c r="KJA93" s="167"/>
      <c r="KJB93" s="168"/>
      <c r="KJC93" s="167"/>
      <c r="KJD93" s="168"/>
      <c r="KJE93" s="167"/>
      <c r="KJF93" s="168"/>
      <c r="KJG93" s="167"/>
      <c r="KJH93" s="168"/>
      <c r="KJI93" s="167"/>
      <c r="KJJ93" s="168"/>
      <c r="KJK93" s="167"/>
      <c r="KJL93" s="168"/>
      <c r="KJM93" s="167"/>
      <c r="KJN93" s="168"/>
      <c r="KJO93" s="167"/>
      <c r="KJP93" s="168"/>
      <c r="KJQ93" s="167"/>
      <c r="KJR93" s="168"/>
      <c r="KJS93" s="167"/>
      <c r="KJT93" s="168"/>
      <c r="KJU93" s="167"/>
      <c r="KJV93" s="168"/>
      <c r="KJW93" s="167"/>
      <c r="KJX93" s="168"/>
      <c r="KJY93" s="167"/>
      <c r="KJZ93" s="168"/>
      <c r="KKA93" s="167"/>
      <c r="KKB93" s="168"/>
      <c r="KKC93" s="167"/>
      <c r="KKD93" s="168"/>
      <c r="KKE93" s="167"/>
      <c r="KKF93" s="168"/>
      <c r="KKG93" s="167"/>
      <c r="KKH93" s="168"/>
      <c r="KKI93" s="167"/>
      <c r="KKJ93" s="168"/>
      <c r="KKK93" s="167"/>
      <c r="KKL93" s="168"/>
      <c r="KKM93" s="167"/>
      <c r="KKN93" s="168"/>
      <c r="KKO93" s="167"/>
      <c r="KKP93" s="168"/>
      <c r="KKQ93" s="167"/>
      <c r="KKR93" s="168"/>
      <c r="KKS93" s="167"/>
      <c r="KKT93" s="168"/>
      <c r="KKU93" s="167"/>
      <c r="KKV93" s="168"/>
      <c r="KKW93" s="167"/>
      <c r="KKX93" s="168"/>
      <c r="KKY93" s="167"/>
      <c r="KKZ93" s="168"/>
      <c r="KLA93" s="167"/>
      <c r="KLB93" s="168"/>
      <c r="KLC93" s="167"/>
      <c r="KLD93" s="168"/>
      <c r="KLE93" s="167"/>
      <c r="KLF93" s="168"/>
      <c r="KLG93" s="167"/>
      <c r="KLH93" s="168"/>
      <c r="KLI93" s="167"/>
      <c r="KLJ93" s="168"/>
      <c r="KLK93" s="167"/>
      <c r="KLL93" s="168"/>
      <c r="KLM93" s="167"/>
      <c r="KLN93" s="168"/>
      <c r="KLO93" s="167"/>
      <c r="KLP93" s="168"/>
      <c r="KLQ93" s="167"/>
      <c r="KLR93" s="168"/>
      <c r="KLS93" s="167"/>
      <c r="KLT93" s="168"/>
      <c r="KLU93" s="167"/>
      <c r="KLV93" s="168"/>
      <c r="KLW93" s="167"/>
      <c r="KLX93" s="168"/>
      <c r="KLY93" s="167"/>
      <c r="KLZ93" s="168"/>
      <c r="KMA93" s="167"/>
      <c r="KMB93" s="168"/>
      <c r="KMC93" s="167"/>
      <c r="KMD93" s="168"/>
      <c r="KME93" s="167"/>
      <c r="KMF93" s="168"/>
      <c r="KMG93" s="167"/>
      <c r="KMH93" s="168"/>
      <c r="KMI93" s="167"/>
      <c r="KMJ93" s="168"/>
      <c r="KMK93" s="167"/>
      <c r="KML93" s="168"/>
      <c r="KMM93" s="167"/>
      <c r="KMN93" s="168"/>
      <c r="KMO93" s="167"/>
      <c r="KMP93" s="168"/>
      <c r="KMQ93" s="167"/>
      <c r="KMR93" s="168"/>
      <c r="KMS93" s="167"/>
      <c r="KMT93" s="168"/>
      <c r="KMU93" s="167"/>
      <c r="KMV93" s="168"/>
      <c r="KMW93" s="167"/>
      <c r="KMX93" s="168"/>
      <c r="KMY93" s="167"/>
      <c r="KMZ93" s="168"/>
      <c r="KNA93" s="167"/>
      <c r="KNB93" s="168"/>
      <c r="KNC93" s="167"/>
      <c r="KND93" s="168"/>
      <c r="KNE93" s="167"/>
      <c r="KNF93" s="168"/>
      <c r="KNG93" s="167"/>
      <c r="KNH93" s="168"/>
      <c r="KNI93" s="167"/>
      <c r="KNJ93" s="168"/>
      <c r="KNK93" s="167"/>
      <c r="KNL93" s="168"/>
      <c r="KNM93" s="167"/>
      <c r="KNN93" s="168"/>
      <c r="KNO93" s="167"/>
      <c r="KNP93" s="168"/>
      <c r="KNQ93" s="167"/>
      <c r="KNR93" s="168"/>
      <c r="KNS93" s="167"/>
      <c r="KNT93" s="168"/>
      <c r="KNU93" s="167"/>
      <c r="KNV93" s="168"/>
      <c r="KNW93" s="167"/>
      <c r="KNX93" s="168"/>
      <c r="KNY93" s="167"/>
      <c r="KNZ93" s="168"/>
      <c r="KOA93" s="167"/>
      <c r="KOB93" s="168"/>
      <c r="KOC93" s="167"/>
      <c r="KOD93" s="168"/>
      <c r="KOE93" s="167"/>
      <c r="KOF93" s="168"/>
      <c r="KOG93" s="167"/>
      <c r="KOH93" s="168"/>
      <c r="KOI93" s="167"/>
      <c r="KOJ93" s="168"/>
      <c r="KOK93" s="167"/>
      <c r="KOL93" s="168"/>
      <c r="KOM93" s="167"/>
      <c r="KON93" s="168"/>
      <c r="KOO93" s="167"/>
      <c r="KOP93" s="168"/>
      <c r="KOQ93" s="167"/>
      <c r="KOR93" s="168"/>
      <c r="KOS93" s="167"/>
      <c r="KOT93" s="168"/>
      <c r="KOU93" s="167"/>
      <c r="KOV93" s="168"/>
      <c r="KOW93" s="167"/>
      <c r="KOX93" s="168"/>
      <c r="KOY93" s="167"/>
      <c r="KOZ93" s="168"/>
      <c r="KPA93" s="167"/>
      <c r="KPB93" s="168"/>
      <c r="KPC93" s="167"/>
      <c r="KPD93" s="168"/>
      <c r="KPE93" s="167"/>
      <c r="KPF93" s="168"/>
      <c r="KPG93" s="167"/>
      <c r="KPH93" s="168"/>
      <c r="KPI93" s="167"/>
      <c r="KPJ93" s="168"/>
      <c r="KPK93" s="167"/>
      <c r="KPL93" s="168"/>
      <c r="KPM93" s="167"/>
      <c r="KPN93" s="168"/>
      <c r="KPO93" s="167"/>
      <c r="KPP93" s="168"/>
      <c r="KPQ93" s="167"/>
      <c r="KPR93" s="168"/>
      <c r="KPS93" s="167"/>
      <c r="KPT93" s="168"/>
      <c r="KPU93" s="167"/>
      <c r="KPV93" s="168"/>
      <c r="KPW93" s="167"/>
      <c r="KPX93" s="168"/>
      <c r="KPY93" s="167"/>
      <c r="KPZ93" s="168"/>
      <c r="KQA93" s="167"/>
      <c r="KQB93" s="168"/>
      <c r="KQC93" s="167"/>
      <c r="KQD93" s="168"/>
      <c r="KQE93" s="167"/>
      <c r="KQF93" s="168"/>
      <c r="KQG93" s="167"/>
      <c r="KQH93" s="168"/>
      <c r="KQI93" s="167"/>
      <c r="KQJ93" s="168"/>
      <c r="KQK93" s="167"/>
      <c r="KQL93" s="168"/>
      <c r="KQM93" s="167"/>
      <c r="KQN93" s="168"/>
      <c r="KQO93" s="167"/>
      <c r="KQP93" s="168"/>
      <c r="KQQ93" s="167"/>
      <c r="KQR93" s="168"/>
      <c r="KQS93" s="167"/>
      <c r="KQT93" s="168"/>
      <c r="KQU93" s="167"/>
      <c r="KQV93" s="168"/>
      <c r="KQW93" s="167"/>
      <c r="KQX93" s="168"/>
      <c r="KQY93" s="167"/>
      <c r="KQZ93" s="168"/>
      <c r="KRA93" s="167"/>
      <c r="KRB93" s="168"/>
      <c r="KRC93" s="167"/>
      <c r="KRD93" s="168"/>
      <c r="KRE93" s="167"/>
      <c r="KRF93" s="168"/>
      <c r="KRG93" s="167"/>
      <c r="KRH93" s="168"/>
      <c r="KRI93" s="167"/>
      <c r="KRJ93" s="168"/>
      <c r="KRK93" s="167"/>
      <c r="KRL93" s="168"/>
      <c r="KRM93" s="167"/>
      <c r="KRN93" s="168"/>
      <c r="KRO93" s="167"/>
      <c r="KRP93" s="168"/>
      <c r="KRQ93" s="167"/>
      <c r="KRR93" s="168"/>
      <c r="KRS93" s="167"/>
      <c r="KRT93" s="168"/>
      <c r="KRU93" s="167"/>
      <c r="KRV93" s="168"/>
      <c r="KRW93" s="167"/>
      <c r="KRX93" s="168"/>
      <c r="KRY93" s="167"/>
      <c r="KRZ93" s="168"/>
      <c r="KSA93" s="167"/>
      <c r="KSB93" s="168"/>
      <c r="KSC93" s="167"/>
      <c r="KSD93" s="168"/>
      <c r="KSE93" s="167"/>
      <c r="KSF93" s="168"/>
      <c r="KSG93" s="167"/>
      <c r="KSH93" s="168"/>
      <c r="KSI93" s="167"/>
      <c r="KSJ93" s="168"/>
      <c r="KSK93" s="167"/>
      <c r="KSL93" s="168"/>
      <c r="KSM93" s="167"/>
      <c r="KSN93" s="168"/>
      <c r="KSO93" s="167"/>
      <c r="KSP93" s="168"/>
      <c r="KSQ93" s="167"/>
      <c r="KSR93" s="168"/>
      <c r="KSS93" s="167"/>
      <c r="KST93" s="168"/>
      <c r="KSU93" s="167"/>
      <c r="KSV93" s="168"/>
      <c r="KSW93" s="167"/>
      <c r="KSX93" s="168"/>
      <c r="KSY93" s="167"/>
      <c r="KSZ93" s="168"/>
      <c r="KTA93" s="167"/>
      <c r="KTB93" s="168"/>
      <c r="KTC93" s="167"/>
      <c r="KTD93" s="168"/>
      <c r="KTE93" s="167"/>
      <c r="KTF93" s="168"/>
      <c r="KTG93" s="167"/>
      <c r="KTH93" s="168"/>
      <c r="KTI93" s="167"/>
      <c r="KTJ93" s="168"/>
      <c r="KTK93" s="167"/>
      <c r="KTL93" s="168"/>
      <c r="KTM93" s="167"/>
      <c r="KTN93" s="168"/>
      <c r="KTO93" s="167"/>
      <c r="KTP93" s="168"/>
      <c r="KTQ93" s="167"/>
      <c r="KTR93" s="168"/>
      <c r="KTS93" s="167"/>
      <c r="KTT93" s="168"/>
      <c r="KTU93" s="167"/>
      <c r="KTV93" s="168"/>
      <c r="KTW93" s="167"/>
      <c r="KTX93" s="168"/>
      <c r="KTY93" s="167"/>
      <c r="KTZ93" s="168"/>
      <c r="KUA93" s="167"/>
      <c r="KUB93" s="168"/>
      <c r="KUC93" s="167"/>
      <c r="KUD93" s="168"/>
      <c r="KUE93" s="167"/>
      <c r="KUF93" s="168"/>
      <c r="KUG93" s="167"/>
      <c r="KUH93" s="168"/>
      <c r="KUI93" s="167"/>
      <c r="KUJ93" s="168"/>
      <c r="KUK93" s="167"/>
      <c r="KUL93" s="168"/>
      <c r="KUM93" s="167"/>
      <c r="KUN93" s="168"/>
      <c r="KUO93" s="167"/>
      <c r="KUP93" s="168"/>
      <c r="KUQ93" s="167"/>
      <c r="KUR93" s="168"/>
      <c r="KUS93" s="167"/>
      <c r="KUT93" s="168"/>
      <c r="KUU93" s="167"/>
      <c r="KUV93" s="168"/>
      <c r="KUW93" s="167"/>
      <c r="KUX93" s="168"/>
      <c r="KUY93" s="167"/>
      <c r="KUZ93" s="168"/>
      <c r="KVA93" s="167"/>
      <c r="KVB93" s="168"/>
      <c r="KVC93" s="167"/>
      <c r="KVD93" s="168"/>
      <c r="KVE93" s="167"/>
      <c r="KVF93" s="168"/>
      <c r="KVG93" s="167"/>
      <c r="KVH93" s="168"/>
      <c r="KVI93" s="167"/>
      <c r="KVJ93" s="168"/>
      <c r="KVK93" s="167"/>
      <c r="KVL93" s="168"/>
      <c r="KVM93" s="167"/>
      <c r="KVN93" s="168"/>
      <c r="KVO93" s="167"/>
      <c r="KVP93" s="168"/>
      <c r="KVQ93" s="167"/>
      <c r="KVR93" s="168"/>
      <c r="KVS93" s="167"/>
      <c r="KVT93" s="168"/>
      <c r="KVU93" s="167"/>
      <c r="KVV93" s="168"/>
      <c r="KVW93" s="167"/>
      <c r="KVX93" s="168"/>
      <c r="KVY93" s="167"/>
      <c r="KVZ93" s="168"/>
      <c r="KWA93" s="167"/>
      <c r="KWB93" s="168"/>
      <c r="KWC93" s="167"/>
      <c r="KWD93" s="168"/>
      <c r="KWE93" s="167"/>
      <c r="KWF93" s="168"/>
      <c r="KWG93" s="167"/>
      <c r="KWH93" s="168"/>
      <c r="KWI93" s="167"/>
      <c r="KWJ93" s="168"/>
      <c r="KWK93" s="167"/>
      <c r="KWL93" s="168"/>
      <c r="KWM93" s="167"/>
      <c r="KWN93" s="168"/>
      <c r="KWO93" s="167"/>
      <c r="KWP93" s="168"/>
      <c r="KWQ93" s="167"/>
      <c r="KWR93" s="168"/>
      <c r="KWS93" s="167"/>
      <c r="KWT93" s="168"/>
      <c r="KWU93" s="167"/>
      <c r="KWV93" s="168"/>
      <c r="KWW93" s="167"/>
      <c r="KWX93" s="168"/>
      <c r="KWY93" s="167"/>
      <c r="KWZ93" s="168"/>
      <c r="KXA93" s="167"/>
      <c r="KXB93" s="168"/>
      <c r="KXC93" s="167"/>
      <c r="KXD93" s="168"/>
      <c r="KXE93" s="167"/>
      <c r="KXF93" s="168"/>
      <c r="KXG93" s="167"/>
      <c r="KXH93" s="168"/>
      <c r="KXI93" s="167"/>
      <c r="KXJ93" s="168"/>
      <c r="KXK93" s="167"/>
      <c r="KXL93" s="168"/>
      <c r="KXM93" s="167"/>
      <c r="KXN93" s="168"/>
      <c r="KXO93" s="167"/>
      <c r="KXP93" s="168"/>
      <c r="KXQ93" s="167"/>
      <c r="KXR93" s="168"/>
      <c r="KXS93" s="167"/>
      <c r="KXT93" s="168"/>
      <c r="KXU93" s="167"/>
      <c r="KXV93" s="168"/>
      <c r="KXW93" s="167"/>
      <c r="KXX93" s="168"/>
      <c r="KXY93" s="167"/>
      <c r="KXZ93" s="168"/>
      <c r="KYA93" s="167"/>
      <c r="KYB93" s="168"/>
      <c r="KYC93" s="167"/>
      <c r="KYD93" s="168"/>
      <c r="KYE93" s="167"/>
      <c r="KYF93" s="168"/>
      <c r="KYG93" s="167"/>
      <c r="KYH93" s="168"/>
      <c r="KYI93" s="167"/>
      <c r="KYJ93" s="168"/>
      <c r="KYK93" s="167"/>
      <c r="KYL93" s="168"/>
      <c r="KYM93" s="167"/>
      <c r="KYN93" s="168"/>
      <c r="KYO93" s="167"/>
      <c r="KYP93" s="168"/>
      <c r="KYQ93" s="167"/>
      <c r="KYR93" s="168"/>
      <c r="KYS93" s="167"/>
      <c r="KYT93" s="168"/>
      <c r="KYU93" s="167"/>
      <c r="KYV93" s="168"/>
      <c r="KYW93" s="167"/>
      <c r="KYX93" s="168"/>
      <c r="KYY93" s="167"/>
      <c r="KYZ93" s="168"/>
      <c r="KZA93" s="167"/>
      <c r="KZB93" s="168"/>
      <c r="KZC93" s="167"/>
      <c r="KZD93" s="168"/>
      <c r="KZE93" s="167"/>
      <c r="KZF93" s="168"/>
      <c r="KZG93" s="167"/>
      <c r="KZH93" s="168"/>
      <c r="KZI93" s="167"/>
      <c r="KZJ93" s="168"/>
      <c r="KZK93" s="167"/>
      <c r="KZL93" s="168"/>
      <c r="KZM93" s="167"/>
      <c r="KZN93" s="168"/>
      <c r="KZO93" s="167"/>
      <c r="KZP93" s="168"/>
      <c r="KZQ93" s="167"/>
      <c r="KZR93" s="168"/>
      <c r="KZS93" s="167"/>
      <c r="KZT93" s="168"/>
      <c r="KZU93" s="167"/>
      <c r="KZV93" s="168"/>
      <c r="KZW93" s="167"/>
      <c r="KZX93" s="168"/>
      <c r="KZY93" s="167"/>
      <c r="KZZ93" s="168"/>
      <c r="LAA93" s="167"/>
      <c r="LAB93" s="168"/>
      <c r="LAC93" s="167"/>
      <c r="LAD93" s="168"/>
      <c r="LAE93" s="167"/>
      <c r="LAF93" s="168"/>
      <c r="LAG93" s="167"/>
      <c r="LAH93" s="168"/>
      <c r="LAI93" s="167"/>
      <c r="LAJ93" s="168"/>
      <c r="LAK93" s="167"/>
      <c r="LAL93" s="168"/>
      <c r="LAM93" s="167"/>
      <c r="LAN93" s="168"/>
      <c r="LAO93" s="167"/>
      <c r="LAP93" s="168"/>
      <c r="LAQ93" s="167"/>
      <c r="LAR93" s="168"/>
      <c r="LAS93" s="167"/>
      <c r="LAT93" s="168"/>
      <c r="LAU93" s="167"/>
      <c r="LAV93" s="168"/>
      <c r="LAW93" s="167"/>
      <c r="LAX93" s="168"/>
      <c r="LAY93" s="167"/>
      <c r="LAZ93" s="168"/>
      <c r="LBA93" s="167"/>
      <c r="LBB93" s="168"/>
      <c r="LBC93" s="167"/>
      <c r="LBD93" s="168"/>
      <c r="LBE93" s="167"/>
      <c r="LBF93" s="168"/>
      <c r="LBG93" s="167"/>
      <c r="LBH93" s="168"/>
      <c r="LBI93" s="167"/>
      <c r="LBJ93" s="168"/>
      <c r="LBK93" s="167"/>
      <c r="LBL93" s="168"/>
      <c r="LBM93" s="167"/>
      <c r="LBN93" s="168"/>
      <c r="LBO93" s="167"/>
      <c r="LBP93" s="168"/>
      <c r="LBQ93" s="167"/>
      <c r="LBR93" s="168"/>
      <c r="LBS93" s="167"/>
      <c r="LBT93" s="168"/>
      <c r="LBU93" s="167"/>
      <c r="LBV93" s="168"/>
      <c r="LBW93" s="167"/>
      <c r="LBX93" s="168"/>
      <c r="LBY93" s="167"/>
      <c r="LBZ93" s="168"/>
      <c r="LCA93" s="167"/>
      <c r="LCB93" s="168"/>
      <c r="LCC93" s="167"/>
      <c r="LCD93" s="168"/>
      <c r="LCE93" s="167"/>
      <c r="LCF93" s="168"/>
      <c r="LCG93" s="167"/>
      <c r="LCH93" s="168"/>
      <c r="LCI93" s="167"/>
      <c r="LCJ93" s="168"/>
      <c r="LCK93" s="167"/>
      <c r="LCL93" s="168"/>
      <c r="LCM93" s="167"/>
      <c r="LCN93" s="168"/>
      <c r="LCO93" s="167"/>
      <c r="LCP93" s="168"/>
      <c r="LCQ93" s="167"/>
      <c r="LCR93" s="168"/>
      <c r="LCS93" s="167"/>
      <c r="LCT93" s="168"/>
      <c r="LCU93" s="167"/>
      <c r="LCV93" s="168"/>
      <c r="LCW93" s="167"/>
      <c r="LCX93" s="168"/>
      <c r="LCY93" s="167"/>
      <c r="LCZ93" s="168"/>
      <c r="LDA93" s="167"/>
      <c r="LDB93" s="168"/>
      <c r="LDC93" s="167"/>
      <c r="LDD93" s="168"/>
      <c r="LDE93" s="167"/>
      <c r="LDF93" s="168"/>
      <c r="LDG93" s="167"/>
      <c r="LDH93" s="168"/>
      <c r="LDI93" s="167"/>
      <c r="LDJ93" s="168"/>
      <c r="LDK93" s="167"/>
      <c r="LDL93" s="168"/>
      <c r="LDM93" s="167"/>
      <c r="LDN93" s="168"/>
      <c r="LDO93" s="167"/>
      <c r="LDP93" s="168"/>
      <c r="LDQ93" s="167"/>
      <c r="LDR93" s="168"/>
      <c r="LDS93" s="167"/>
      <c r="LDT93" s="168"/>
      <c r="LDU93" s="167"/>
      <c r="LDV93" s="168"/>
      <c r="LDW93" s="167"/>
      <c r="LDX93" s="168"/>
      <c r="LDY93" s="167"/>
      <c r="LDZ93" s="168"/>
      <c r="LEA93" s="167"/>
      <c r="LEB93" s="168"/>
      <c r="LEC93" s="167"/>
      <c r="LED93" s="168"/>
      <c r="LEE93" s="167"/>
      <c r="LEF93" s="168"/>
      <c r="LEG93" s="167"/>
      <c r="LEH93" s="168"/>
      <c r="LEI93" s="167"/>
      <c r="LEJ93" s="168"/>
      <c r="LEK93" s="167"/>
      <c r="LEL93" s="168"/>
      <c r="LEM93" s="167"/>
      <c r="LEN93" s="168"/>
      <c r="LEO93" s="167"/>
      <c r="LEP93" s="168"/>
      <c r="LEQ93" s="167"/>
      <c r="LER93" s="168"/>
      <c r="LES93" s="167"/>
      <c r="LET93" s="168"/>
      <c r="LEU93" s="167"/>
      <c r="LEV93" s="168"/>
      <c r="LEW93" s="167"/>
      <c r="LEX93" s="168"/>
      <c r="LEY93" s="167"/>
      <c r="LEZ93" s="168"/>
      <c r="LFA93" s="167"/>
      <c r="LFB93" s="168"/>
      <c r="LFC93" s="167"/>
      <c r="LFD93" s="168"/>
      <c r="LFE93" s="167"/>
      <c r="LFF93" s="168"/>
      <c r="LFG93" s="167"/>
      <c r="LFH93" s="168"/>
      <c r="LFI93" s="167"/>
      <c r="LFJ93" s="168"/>
      <c r="LFK93" s="167"/>
      <c r="LFL93" s="168"/>
      <c r="LFM93" s="167"/>
      <c r="LFN93" s="168"/>
      <c r="LFO93" s="167"/>
      <c r="LFP93" s="168"/>
      <c r="LFQ93" s="167"/>
      <c r="LFR93" s="168"/>
      <c r="LFS93" s="167"/>
      <c r="LFT93" s="168"/>
      <c r="LFU93" s="167"/>
      <c r="LFV93" s="168"/>
      <c r="LFW93" s="167"/>
      <c r="LFX93" s="168"/>
      <c r="LFY93" s="167"/>
      <c r="LFZ93" s="168"/>
      <c r="LGA93" s="167"/>
      <c r="LGB93" s="168"/>
      <c r="LGC93" s="167"/>
      <c r="LGD93" s="168"/>
      <c r="LGE93" s="167"/>
      <c r="LGF93" s="168"/>
      <c r="LGG93" s="167"/>
      <c r="LGH93" s="168"/>
      <c r="LGI93" s="167"/>
      <c r="LGJ93" s="168"/>
      <c r="LGK93" s="167"/>
      <c r="LGL93" s="168"/>
      <c r="LGM93" s="167"/>
      <c r="LGN93" s="168"/>
      <c r="LGO93" s="167"/>
      <c r="LGP93" s="168"/>
      <c r="LGQ93" s="167"/>
      <c r="LGR93" s="168"/>
      <c r="LGS93" s="167"/>
      <c r="LGT93" s="168"/>
      <c r="LGU93" s="167"/>
      <c r="LGV93" s="168"/>
      <c r="LGW93" s="167"/>
      <c r="LGX93" s="168"/>
      <c r="LGY93" s="167"/>
      <c r="LGZ93" s="168"/>
      <c r="LHA93" s="167"/>
      <c r="LHB93" s="168"/>
      <c r="LHC93" s="167"/>
      <c r="LHD93" s="168"/>
      <c r="LHE93" s="167"/>
      <c r="LHF93" s="168"/>
      <c r="LHG93" s="167"/>
      <c r="LHH93" s="168"/>
      <c r="LHI93" s="167"/>
      <c r="LHJ93" s="168"/>
      <c r="LHK93" s="167"/>
      <c r="LHL93" s="168"/>
      <c r="LHM93" s="167"/>
      <c r="LHN93" s="168"/>
      <c r="LHO93" s="167"/>
      <c r="LHP93" s="168"/>
      <c r="LHQ93" s="167"/>
      <c r="LHR93" s="168"/>
      <c r="LHS93" s="167"/>
      <c r="LHT93" s="168"/>
      <c r="LHU93" s="167"/>
      <c r="LHV93" s="168"/>
      <c r="LHW93" s="167"/>
      <c r="LHX93" s="168"/>
      <c r="LHY93" s="167"/>
      <c r="LHZ93" s="168"/>
      <c r="LIA93" s="167"/>
      <c r="LIB93" s="168"/>
      <c r="LIC93" s="167"/>
      <c r="LID93" s="168"/>
      <c r="LIE93" s="167"/>
      <c r="LIF93" s="168"/>
      <c r="LIG93" s="167"/>
      <c r="LIH93" s="168"/>
      <c r="LII93" s="167"/>
      <c r="LIJ93" s="168"/>
      <c r="LIK93" s="167"/>
      <c r="LIL93" s="168"/>
      <c r="LIM93" s="167"/>
      <c r="LIN93" s="168"/>
      <c r="LIO93" s="167"/>
      <c r="LIP93" s="168"/>
      <c r="LIQ93" s="167"/>
      <c r="LIR93" s="168"/>
      <c r="LIS93" s="167"/>
      <c r="LIT93" s="168"/>
      <c r="LIU93" s="167"/>
      <c r="LIV93" s="168"/>
      <c r="LIW93" s="167"/>
      <c r="LIX93" s="168"/>
      <c r="LIY93" s="167"/>
      <c r="LIZ93" s="168"/>
      <c r="LJA93" s="167"/>
      <c r="LJB93" s="168"/>
      <c r="LJC93" s="167"/>
      <c r="LJD93" s="168"/>
      <c r="LJE93" s="167"/>
      <c r="LJF93" s="168"/>
      <c r="LJG93" s="167"/>
      <c r="LJH93" s="168"/>
      <c r="LJI93" s="167"/>
      <c r="LJJ93" s="168"/>
      <c r="LJK93" s="167"/>
      <c r="LJL93" s="168"/>
      <c r="LJM93" s="167"/>
      <c r="LJN93" s="168"/>
      <c r="LJO93" s="167"/>
      <c r="LJP93" s="168"/>
      <c r="LJQ93" s="167"/>
      <c r="LJR93" s="168"/>
      <c r="LJS93" s="167"/>
      <c r="LJT93" s="168"/>
      <c r="LJU93" s="167"/>
      <c r="LJV93" s="168"/>
      <c r="LJW93" s="167"/>
      <c r="LJX93" s="168"/>
      <c r="LJY93" s="167"/>
      <c r="LJZ93" s="168"/>
      <c r="LKA93" s="167"/>
      <c r="LKB93" s="168"/>
      <c r="LKC93" s="167"/>
      <c r="LKD93" s="168"/>
      <c r="LKE93" s="167"/>
      <c r="LKF93" s="168"/>
      <c r="LKG93" s="167"/>
      <c r="LKH93" s="168"/>
      <c r="LKI93" s="167"/>
      <c r="LKJ93" s="168"/>
      <c r="LKK93" s="167"/>
      <c r="LKL93" s="168"/>
      <c r="LKM93" s="167"/>
      <c r="LKN93" s="168"/>
      <c r="LKO93" s="167"/>
      <c r="LKP93" s="168"/>
      <c r="LKQ93" s="167"/>
      <c r="LKR93" s="168"/>
      <c r="LKS93" s="167"/>
      <c r="LKT93" s="168"/>
      <c r="LKU93" s="167"/>
      <c r="LKV93" s="168"/>
      <c r="LKW93" s="167"/>
      <c r="LKX93" s="168"/>
      <c r="LKY93" s="167"/>
      <c r="LKZ93" s="168"/>
      <c r="LLA93" s="167"/>
      <c r="LLB93" s="168"/>
      <c r="LLC93" s="167"/>
      <c r="LLD93" s="168"/>
      <c r="LLE93" s="167"/>
      <c r="LLF93" s="168"/>
      <c r="LLG93" s="167"/>
      <c r="LLH93" s="168"/>
      <c r="LLI93" s="167"/>
      <c r="LLJ93" s="168"/>
      <c r="LLK93" s="167"/>
      <c r="LLL93" s="168"/>
      <c r="LLM93" s="167"/>
      <c r="LLN93" s="168"/>
      <c r="LLO93" s="167"/>
      <c r="LLP93" s="168"/>
      <c r="LLQ93" s="167"/>
      <c r="LLR93" s="168"/>
      <c r="LLS93" s="167"/>
      <c r="LLT93" s="168"/>
      <c r="LLU93" s="167"/>
      <c r="LLV93" s="168"/>
      <c r="LLW93" s="167"/>
      <c r="LLX93" s="168"/>
      <c r="LLY93" s="167"/>
      <c r="LLZ93" s="168"/>
      <c r="LMA93" s="167"/>
      <c r="LMB93" s="168"/>
      <c r="LMC93" s="167"/>
      <c r="LMD93" s="168"/>
      <c r="LME93" s="167"/>
      <c r="LMF93" s="168"/>
      <c r="LMG93" s="167"/>
      <c r="LMH93" s="168"/>
      <c r="LMI93" s="167"/>
      <c r="LMJ93" s="168"/>
      <c r="LMK93" s="167"/>
      <c r="LML93" s="168"/>
      <c r="LMM93" s="167"/>
      <c r="LMN93" s="168"/>
      <c r="LMO93" s="167"/>
      <c r="LMP93" s="168"/>
      <c r="LMQ93" s="167"/>
      <c r="LMR93" s="168"/>
      <c r="LMS93" s="167"/>
      <c r="LMT93" s="168"/>
      <c r="LMU93" s="167"/>
      <c r="LMV93" s="168"/>
      <c r="LMW93" s="167"/>
      <c r="LMX93" s="168"/>
      <c r="LMY93" s="167"/>
      <c r="LMZ93" s="168"/>
      <c r="LNA93" s="167"/>
      <c r="LNB93" s="168"/>
      <c r="LNC93" s="167"/>
      <c r="LND93" s="168"/>
      <c r="LNE93" s="167"/>
      <c r="LNF93" s="168"/>
      <c r="LNG93" s="167"/>
      <c r="LNH93" s="168"/>
      <c r="LNI93" s="167"/>
      <c r="LNJ93" s="168"/>
      <c r="LNK93" s="167"/>
      <c r="LNL93" s="168"/>
      <c r="LNM93" s="167"/>
      <c r="LNN93" s="168"/>
      <c r="LNO93" s="167"/>
      <c r="LNP93" s="168"/>
      <c r="LNQ93" s="167"/>
      <c r="LNR93" s="168"/>
      <c r="LNS93" s="167"/>
      <c r="LNT93" s="168"/>
      <c r="LNU93" s="167"/>
      <c r="LNV93" s="168"/>
      <c r="LNW93" s="167"/>
      <c r="LNX93" s="168"/>
      <c r="LNY93" s="167"/>
      <c r="LNZ93" s="168"/>
      <c r="LOA93" s="167"/>
      <c r="LOB93" s="168"/>
      <c r="LOC93" s="167"/>
      <c r="LOD93" s="168"/>
      <c r="LOE93" s="167"/>
      <c r="LOF93" s="168"/>
      <c r="LOG93" s="167"/>
      <c r="LOH93" s="168"/>
      <c r="LOI93" s="167"/>
      <c r="LOJ93" s="168"/>
      <c r="LOK93" s="167"/>
      <c r="LOL93" s="168"/>
      <c r="LOM93" s="167"/>
      <c r="LON93" s="168"/>
      <c r="LOO93" s="167"/>
      <c r="LOP93" s="168"/>
      <c r="LOQ93" s="167"/>
      <c r="LOR93" s="168"/>
      <c r="LOS93" s="167"/>
      <c r="LOT93" s="168"/>
      <c r="LOU93" s="167"/>
      <c r="LOV93" s="168"/>
      <c r="LOW93" s="167"/>
      <c r="LOX93" s="168"/>
      <c r="LOY93" s="167"/>
      <c r="LOZ93" s="168"/>
      <c r="LPA93" s="167"/>
      <c r="LPB93" s="168"/>
      <c r="LPC93" s="167"/>
      <c r="LPD93" s="168"/>
      <c r="LPE93" s="167"/>
      <c r="LPF93" s="168"/>
      <c r="LPG93" s="167"/>
      <c r="LPH93" s="168"/>
      <c r="LPI93" s="167"/>
      <c r="LPJ93" s="168"/>
      <c r="LPK93" s="167"/>
      <c r="LPL93" s="168"/>
      <c r="LPM93" s="167"/>
      <c r="LPN93" s="168"/>
      <c r="LPO93" s="167"/>
      <c r="LPP93" s="168"/>
      <c r="LPQ93" s="167"/>
      <c r="LPR93" s="168"/>
      <c r="LPS93" s="167"/>
      <c r="LPT93" s="168"/>
      <c r="LPU93" s="167"/>
      <c r="LPV93" s="168"/>
      <c r="LPW93" s="167"/>
      <c r="LPX93" s="168"/>
      <c r="LPY93" s="167"/>
      <c r="LPZ93" s="168"/>
      <c r="LQA93" s="167"/>
      <c r="LQB93" s="168"/>
      <c r="LQC93" s="167"/>
      <c r="LQD93" s="168"/>
      <c r="LQE93" s="167"/>
      <c r="LQF93" s="168"/>
      <c r="LQG93" s="167"/>
      <c r="LQH93" s="168"/>
      <c r="LQI93" s="167"/>
      <c r="LQJ93" s="168"/>
      <c r="LQK93" s="167"/>
      <c r="LQL93" s="168"/>
      <c r="LQM93" s="167"/>
      <c r="LQN93" s="168"/>
      <c r="LQO93" s="167"/>
      <c r="LQP93" s="168"/>
      <c r="LQQ93" s="167"/>
      <c r="LQR93" s="168"/>
      <c r="LQS93" s="167"/>
      <c r="LQT93" s="168"/>
      <c r="LQU93" s="167"/>
      <c r="LQV93" s="168"/>
      <c r="LQW93" s="167"/>
      <c r="LQX93" s="168"/>
      <c r="LQY93" s="167"/>
      <c r="LQZ93" s="168"/>
      <c r="LRA93" s="167"/>
      <c r="LRB93" s="168"/>
      <c r="LRC93" s="167"/>
      <c r="LRD93" s="168"/>
      <c r="LRE93" s="167"/>
      <c r="LRF93" s="168"/>
      <c r="LRG93" s="167"/>
      <c r="LRH93" s="168"/>
      <c r="LRI93" s="167"/>
      <c r="LRJ93" s="168"/>
      <c r="LRK93" s="167"/>
      <c r="LRL93" s="168"/>
      <c r="LRM93" s="167"/>
      <c r="LRN93" s="168"/>
      <c r="LRO93" s="167"/>
      <c r="LRP93" s="168"/>
      <c r="LRQ93" s="167"/>
      <c r="LRR93" s="168"/>
      <c r="LRS93" s="167"/>
      <c r="LRT93" s="168"/>
      <c r="LRU93" s="167"/>
      <c r="LRV93" s="168"/>
      <c r="LRW93" s="167"/>
      <c r="LRX93" s="168"/>
      <c r="LRY93" s="167"/>
      <c r="LRZ93" s="168"/>
      <c r="LSA93" s="167"/>
      <c r="LSB93" s="168"/>
      <c r="LSC93" s="167"/>
      <c r="LSD93" s="168"/>
      <c r="LSE93" s="167"/>
      <c r="LSF93" s="168"/>
      <c r="LSG93" s="167"/>
      <c r="LSH93" s="168"/>
      <c r="LSI93" s="167"/>
      <c r="LSJ93" s="168"/>
      <c r="LSK93" s="167"/>
      <c r="LSL93" s="168"/>
      <c r="LSM93" s="167"/>
      <c r="LSN93" s="168"/>
      <c r="LSO93" s="167"/>
      <c r="LSP93" s="168"/>
      <c r="LSQ93" s="167"/>
      <c r="LSR93" s="168"/>
      <c r="LSS93" s="167"/>
      <c r="LST93" s="168"/>
      <c r="LSU93" s="167"/>
      <c r="LSV93" s="168"/>
      <c r="LSW93" s="167"/>
      <c r="LSX93" s="168"/>
      <c r="LSY93" s="167"/>
      <c r="LSZ93" s="168"/>
      <c r="LTA93" s="167"/>
      <c r="LTB93" s="168"/>
      <c r="LTC93" s="167"/>
      <c r="LTD93" s="168"/>
      <c r="LTE93" s="167"/>
      <c r="LTF93" s="168"/>
      <c r="LTG93" s="167"/>
      <c r="LTH93" s="168"/>
      <c r="LTI93" s="167"/>
      <c r="LTJ93" s="168"/>
      <c r="LTK93" s="167"/>
      <c r="LTL93" s="168"/>
      <c r="LTM93" s="167"/>
      <c r="LTN93" s="168"/>
      <c r="LTO93" s="167"/>
      <c r="LTP93" s="168"/>
      <c r="LTQ93" s="167"/>
      <c r="LTR93" s="168"/>
      <c r="LTS93" s="167"/>
      <c r="LTT93" s="168"/>
      <c r="LTU93" s="167"/>
      <c r="LTV93" s="168"/>
      <c r="LTW93" s="167"/>
      <c r="LTX93" s="168"/>
      <c r="LTY93" s="167"/>
      <c r="LTZ93" s="168"/>
      <c r="LUA93" s="167"/>
      <c r="LUB93" s="168"/>
      <c r="LUC93" s="167"/>
      <c r="LUD93" s="168"/>
      <c r="LUE93" s="167"/>
      <c r="LUF93" s="168"/>
      <c r="LUG93" s="167"/>
      <c r="LUH93" s="168"/>
      <c r="LUI93" s="167"/>
      <c r="LUJ93" s="168"/>
      <c r="LUK93" s="167"/>
      <c r="LUL93" s="168"/>
      <c r="LUM93" s="167"/>
      <c r="LUN93" s="168"/>
      <c r="LUO93" s="167"/>
      <c r="LUP93" s="168"/>
      <c r="LUQ93" s="167"/>
      <c r="LUR93" s="168"/>
      <c r="LUS93" s="167"/>
      <c r="LUT93" s="168"/>
      <c r="LUU93" s="167"/>
      <c r="LUV93" s="168"/>
      <c r="LUW93" s="167"/>
      <c r="LUX93" s="168"/>
      <c r="LUY93" s="167"/>
      <c r="LUZ93" s="168"/>
      <c r="LVA93" s="167"/>
      <c r="LVB93" s="168"/>
      <c r="LVC93" s="167"/>
      <c r="LVD93" s="168"/>
      <c r="LVE93" s="167"/>
      <c r="LVF93" s="168"/>
      <c r="LVG93" s="167"/>
      <c r="LVH93" s="168"/>
      <c r="LVI93" s="167"/>
      <c r="LVJ93" s="168"/>
      <c r="LVK93" s="167"/>
      <c r="LVL93" s="168"/>
      <c r="LVM93" s="167"/>
      <c r="LVN93" s="168"/>
      <c r="LVO93" s="167"/>
      <c r="LVP93" s="168"/>
      <c r="LVQ93" s="167"/>
      <c r="LVR93" s="168"/>
      <c r="LVS93" s="167"/>
      <c r="LVT93" s="168"/>
      <c r="LVU93" s="167"/>
      <c r="LVV93" s="168"/>
      <c r="LVW93" s="167"/>
      <c r="LVX93" s="168"/>
      <c r="LVY93" s="167"/>
      <c r="LVZ93" s="168"/>
      <c r="LWA93" s="167"/>
      <c r="LWB93" s="168"/>
      <c r="LWC93" s="167"/>
      <c r="LWD93" s="168"/>
      <c r="LWE93" s="167"/>
      <c r="LWF93" s="168"/>
      <c r="LWG93" s="167"/>
      <c r="LWH93" s="168"/>
      <c r="LWI93" s="167"/>
      <c r="LWJ93" s="168"/>
      <c r="LWK93" s="167"/>
      <c r="LWL93" s="168"/>
      <c r="LWM93" s="167"/>
      <c r="LWN93" s="168"/>
      <c r="LWO93" s="167"/>
      <c r="LWP93" s="168"/>
      <c r="LWQ93" s="167"/>
      <c r="LWR93" s="168"/>
      <c r="LWS93" s="167"/>
      <c r="LWT93" s="168"/>
      <c r="LWU93" s="167"/>
      <c r="LWV93" s="168"/>
      <c r="LWW93" s="167"/>
      <c r="LWX93" s="168"/>
      <c r="LWY93" s="167"/>
      <c r="LWZ93" s="168"/>
      <c r="LXA93" s="167"/>
      <c r="LXB93" s="168"/>
      <c r="LXC93" s="167"/>
      <c r="LXD93" s="168"/>
      <c r="LXE93" s="167"/>
      <c r="LXF93" s="168"/>
      <c r="LXG93" s="167"/>
      <c r="LXH93" s="168"/>
      <c r="LXI93" s="167"/>
      <c r="LXJ93" s="168"/>
      <c r="LXK93" s="167"/>
      <c r="LXL93" s="168"/>
      <c r="LXM93" s="167"/>
      <c r="LXN93" s="168"/>
      <c r="LXO93" s="167"/>
      <c r="LXP93" s="168"/>
      <c r="LXQ93" s="167"/>
      <c r="LXR93" s="168"/>
      <c r="LXS93" s="167"/>
      <c r="LXT93" s="168"/>
      <c r="LXU93" s="167"/>
      <c r="LXV93" s="168"/>
      <c r="LXW93" s="167"/>
      <c r="LXX93" s="168"/>
      <c r="LXY93" s="167"/>
      <c r="LXZ93" s="168"/>
      <c r="LYA93" s="167"/>
      <c r="LYB93" s="168"/>
      <c r="LYC93" s="167"/>
      <c r="LYD93" s="168"/>
      <c r="LYE93" s="167"/>
      <c r="LYF93" s="168"/>
      <c r="LYG93" s="167"/>
      <c r="LYH93" s="168"/>
      <c r="LYI93" s="167"/>
      <c r="LYJ93" s="168"/>
      <c r="LYK93" s="167"/>
      <c r="LYL93" s="168"/>
      <c r="LYM93" s="167"/>
      <c r="LYN93" s="168"/>
      <c r="LYO93" s="167"/>
      <c r="LYP93" s="168"/>
      <c r="LYQ93" s="167"/>
      <c r="LYR93" s="168"/>
      <c r="LYS93" s="167"/>
      <c r="LYT93" s="168"/>
      <c r="LYU93" s="167"/>
      <c r="LYV93" s="168"/>
      <c r="LYW93" s="167"/>
      <c r="LYX93" s="168"/>
      <c r="LYY93" s="167"/>
      <c r="LYZ93" s="168"/>
      <c r="LZA93" s="167"/>
      <c r="LZB93" s="168"/>
      <c r="LZC93" s="167"/>
      <c r="LZD93" s="168"/>
      <c r="LZE93" s="167"/>
      <c r="LZF93" s="168"/>
      <c r="LZG93" s="167"/>
      <c r="LZH93" s="168"/>
      <c r="LZI93" s="167"/>
      <c r="LZJ93" s="168"/>
      <c r="LZK93" s="167"/>
      <c r="LZL93" s="168"/>
      <c r="LZM93" s="167"/>
      <c r="LZN93" s="168"/>
      <c r="LZO93" s="167"/>
      <c r="LZP93" s="168"/>
      <c r="LZQ93" s="167"/>
      <c r="LZR93" s="168"/>
      <c r="LZS93" s="167"/>
      <c r="LZT93" s="168"/>
      <c r="LZU93" s="167"/>
      <c r="LZV93" s="168"/>
      <c r="LZW93" s="167"/>
      <c r="LZX93" s="168"/>
      <c r="LZY93" s="167"/>
      <c r="LZZ93" s="168"/>
      <c r="MAA93" s="167"/>
      <c r="MAB93" s="168"/>
      <c r="MAC93" s="167"/>
      <c r="MAD93" s="168"/>
      <c r="MAE93" s="167"/>
      <c r="MAF93" s="168"/>
      <c r="MAG93" s="167"/>
      <c r="MAH93" s="168"/>
      <c r="MAI93" s="167"/>
      <c r="MAJ93" s="168"/>
      <c r="MAK93" s="167"/>
      <c r="MAL93" s="168"/>
      <c r="MAM93" s="167"/>
      <c r="MAN93" s="168"/>
      <c r="MAO93" s="167"/>
      <c r="MAP93" s="168"/>
      <c r="MAQ93" s="167"/>
      <c r="MAR93" s="168"/>
      <c r="MAS93" s="167"/>
      <c r="MAT93" s="168"/>
      <c r="MAU93" s="167"/>
      <c r="MAV93" s="168"/>
      <c r="MAW93" s="167"/>
      <c r="MAX93" s="168"/>
      <c r="MAY93" s="167"/>
      <c r="MAZ93" s="168"/>
      <c r="MBA93" s="167"/>
      <c r="MBB93" s="168"/>
      <c r="MBC93" s="167"/>
      <c r="MBD93" s="168"/>
      <c r="MBE93" s="167"/>
      <c r="MBF93" s="168"/>
      <c r="MBG93" s="167"/>
      <c r="MBH93" s="168"/>
      <c r="MBI93" s="167"/>
      <c r="MBJ93" s="168"/>
      <c r="MBK93" s="167"/>
      <c r="MBL93" s="168"/>
      <c r="MBM93" s="167"/>
      <c r="MBN93" s="168"/>
      <c r="MBO93" s="167"/>
      <c r="MBP93" s="168"/>
      <c r="MBQ93" s="167"/>
      <c r="MBR93" s="168"/>
      <c r="MBS93" s="167"/>
      <c r="MBT93" s="168"/>
      <c r="MBU93" s="167"/>
      <c r="MBV93" s="168"/>
      <c r="MBW93" s="167"/>
      <c r="MBX93" s="168"/>
      <c r="MBY93" s="167"/>
      <c r="MBZ93" s="168"/>
      <c r="MCA93" s="167"/>
      <c r="MCB93" s="168"/>
      <c r="MCC93" s="167"/>
      <c r="MCD93" s="168"/>
      <c r="MCE93" s="167"/>
      <c r="MCF93" s="168"/>
      <c r="MCG93" s="167"/>
      <c r="MCH93" s="168"/>
      <c r="MCI93" s="167"/>
      <c r="MCJ93" s="168"/>
      <c r="MCK93" s="167"/>
      <c r="MCL93" s="168"/>
      <c r="MCM93" s="167"/>
      <c r="MCN93" s="168"/>
      <c r="MCO93" s="167"/>
      <c r="MCP93" s="168"/>
      <c r="MCQ93" s="167"/>
      <c r="MCR93" s="168"/>
      <c r="MCS93" s="167"/>
      <c r="MCT93" s="168"/>
      <c r="MCU93" s="167"/>
      <c r="MCV93" s="168"/>
      <c r="MCW93" s="167"/>
      <c r="MCX93" s="168"/>
      <c r="MCY93" s="167"/>
      <c r="MCZ93" s="168"/>
      <c r="MDA93" s="167"/>
      <c r="MDB93" s="168"/>
      <c r="MDC93" s="167"/>
      <c r="MDD93" s="168"/>
      <c r="MDE93" s="167"/>
      <c r="MDF93" s="168"/>
      <c r="MDG93" s="167"/>
      <c r="MDH93" s="168"/>
      <c r="MDI93" s="167"/>
      <c r="MDJ93" s="168"/>
      <c r="MDK93" s="167"/>
      <c r="MDL93" s="168"/>
      <c r="MDM93" s="167"/>
      <c r="MDN93" s="168"/>
      <c r="MDO93" s="167"/>
      <c r="MDP93" s="168"/>
      <c r="MDQ93" s="167"/>
      <c r="MDR93" s="168"/>
      <c r="MDS93" s="167"/>
      <c r="MDT93" s="168"/>
      <c r="MDU93" s="167"/>
      <c r="MDV93" s="168"/>
      <c r="MDW93" s="167"/>
      <c r="MDX93" s="168"/>
      <c r="MDY93" s="167"/>
      <c r="MDZ93" s="168"/>
      <c r="MEA93" s="167"/>
      <c r="MEB93" s="168"/>
      <c r="MEC93" s="167"/>
      <c r="MED93" s="168"/>
      <c r="MEE93" s="167"/>
      <c r="MEF93" s="168"/>
      <c r="MEG93" s="167"/>
      <c r="MEH93" s="168"/>
      <c r="MEI93" s="167"/>
      <c r="MEJ93" s="168"/>
      <c r="MEK93" s="167"/>
      <c r="MEL93" s="168"/>
      <c r="MEM93" s="167"/>
      <c r="MEN93" s="168"/>
      <c r="MEO93" s="167"/>
      <c r="MEP93" s="168"/>
      <c r="MEQ93" s="167"/>
      <c r="MER93" s="168"/>
      <c r="MES93" s="167"/>
      <c r="MET93" s="168"/>
      <c r="MEU93" s="167"/>
      <c r="MEV93" s="168"/>
      <c r="MEW93" s="167"/>
      <c r="MEX93" s="168"/>
      <c r="MEY93" s="167"/>
      <c r="MEZ93" s="168"/>
      <c r="MFA93" s="167"/>
      <c r="MFB93" s="168"/>
      <c r="MFC93" s="167"/>
      <c r="MFD93" s="168"/>
      <c r="MFE93" s="167"/>
      <c r="MFF93" s="168"/>
      <c r="MFG93" s="167"/>
      <c r="MFH93" s="168"/>
      <c r="MFI93" s="167"/>
      <c r="MFJ93" s="168"/>
      <c r="MFK93" s="167"/>
      <c r="MFL93" s="168"/>
      <c r="MFM93" s="167"/>
      <c r="MFN93" s="168"/>
      <c r="MFO93" s="167"/>
      <c r="MFP93" s="168"/>
      <c r="MFQ93" s="167"/>
      <c r="MFR93" s="168"/>
      <c r="MFS93" s="167"/>
      <c r="MFT93" s="168"/>
      <c r="MFU93" s="167"/>
      <c r="MFV93" s="168"/>
      <c r="MFW93" s="167"/>
      <c r="MFX93" s="168"/>
      <c r="MFY93" s="167"/>
      <c r="MFZ93" s="168"/>
      <c r="MGA93" s="167"/>
      <c r="MGB93" s="168"/>
      <c r="MGC93" s="167"/>
      <c r="MGD93" s="168"/>
      <c r="MGE93" s="167"/>
      <c r="MGF93" s="168"/>
      <c r="MGG93" s="167"/>
      <c r="MGH93" s="168"/>
      <c r="MGI93" s="167"/>
      <c r="MGJ93" s="168"/>
      <c r="MGK93" s="167"/>
      <c r="MGL93" s="168"/>
      <c r="MGM93" s="167"/>
      <c r="MGN93" s="168"/>
      <c r="MGO93" s="167"/>
      <c r="MGP93" s="168"/>
      <c r="MGQ93" s="167"/>
      <c r="MGR93" s="168"/>
      <c r="MGS93" s="167"/>
      <c r="MGT93" s="168"/>
      <c r="MGU93" s="167"/>
      <c r="MGV93" s="168"/>
      <c r="MGW93" s="167"/>
      <c r="MGX93" s="168"/>
      <c r="MGY93" s="167"/>
      <c r="MGZ93" s="168"/>
      <c r="MHA93" s="167"/>
      <c r="MHB93" s="168"/>
      <c r="MHC93" s="167"/>
      <c r="MHD93" s="168"/>
      <c r="MHE93" s="167"/>
      <c r="MHF93" s="168"/>
      <c r="MHG93" s="167"/>
      <c r="MHH93" s="168"/>
      <c r="MHI93" s="167"/>
      <c r="MHJ93" s="168"/>
      <c r="MHK93" s="167"/>
      <c r="MHL93" s="168"/>
      <c r="MHM93" s="167"/>
      <c r="MHN93" s="168"/>
      <c r="MHO93" s="167"/>
      <c r="MHP93" s="168"/>
      <c r="MHQ93" s="167"/>
      <c r="MHR93" s="168"/>
      <c r="MHS93" s="167"/>
      <c r="MHT93" s="168"/>
      <c r="MHU93" s="167"/>
      <c r="MHV93" s="168"/>
      <c r="MHW93" s="167"/>
      <c r="MHX93" s="168"/>
      <c r="MHY93" s="167"/>
      <c r="MHZ93" s="168"/>
      <c r="MIA93" s="167"/>
      <c r="MIB93" s="168"/>
      <c r="MIC93" s="167"/>
      <c r="MID93" s="168"/>
      <c r="MIE93" s="167"/>
      <c r="MIF93" s="168"/>
      <c r="MIG93" s="167"/>
      <c r="MIH93" s="168"/>
      <c r="MII93" s="167"/>
      <c r="MIJ93" s="168"/>
      <c r="MIK93" s="167"/>
      <c r="MIL93" s="168"/>
      <c r="MIM93" s="167"/>
      <c r="MIN93" s="168"/>
      <c r="MIO93" s="167"/>
      <c r="MIP93" s="168"/>
      <c r="MIQ93" s="167"/>
      <c r="MIR93" s="168"/>
      <c r="MIS93" s="167"/>
      <c r="MIT93" s="168"/>
      <c r="MIU93" s="167"/>
      <c r="MIV93" s="168"/>
      <c r="MIW93" s="167"/>
      <c r="MIX93" s="168"/>
      <c r="MIY93" s="167"/>
      <c r="MIZ93" s="168"/>
      <c r="MJA93" s="167"/>
      <c r="MJB93" s="168"/>
      <c r="MJC93" s="167"/>
      <c r="MJD93" s="168"/>
      <c r="MJE93" s="167"/>
      <c r="MJF93" s="168"/>
      <c r="MJG93" s="167"/>
      <c r="MJH93" s="168"/>
      <c r="MJI93" s="167"/>
      <c r="MJJ93" s="168"/>
      <c r="MJK93" s="167"/>
      <c r="MJL93" s="168"/>
      <c r="MJM93" s="167"/>
      <c r="MJN93" s="168"/>
      <c r="MJO93" s="167"/>
      <c r="MJP93" s="168"/>
      <c r="MJQ93" s="167"/>
      <c r="MJR93" s="168"/>
      <c r="MJS93" s="167"/>
      <c r="MJT93" s="168"/>
      <c r="MJU93" s="167"/>
      <c r="MJV93" s="168"/>
      <c r="MJW93" s="167"/>
      <c r="MJX93" s="168"/>
      <c r="MJY93" s="167"/>
      <c r="MJZ93" s="168"/>
      <c r="MKA93" s="167"/>
      <c r="MKB93" s="168"/>
      <c r="MKC93" s="167"/>
      <c r="MKD93" s="168"/>
      <c r="MKE93" s="167"/>
      <c r="MKF93" s="168"/>
      <c r="MKG93" s="167"/>
      <c r="MKH93" s="168"/>
      <c r="MKI93" s="167"/>
      <c r="MKJ93" s="168"/>
      <c r="MKK93" s="167"/>
      <c r="MKL93" s="168"/>
      <c r="MKM93" s="167"/>
      <c r="MKN93" s="168"/>
      <c r="MKO93" s="167"/>
      <c r="MKP93" s="168"/>
      <c r="MKQ93" s="167"/>
      <c r="MKR93" s="168"/>
      <c r="MKS93" s="167"/>
      <c r="MKT93" s="168"/>
      <c r="MKU93" s="167"/>
      <c r="MKV93" s="168"/>
      <c r="MKW93" s="167"/>
      <c r="MKX93" s="168"/>
      <c r="MKY93" s="167"/>
      <c r="MKZ93" s="168"/>
      <c r="MLA93" s="167"/>
      <c r="MLB93" s="168"/>
      <c r="MLC93" s="167"/>
      <c r="MLD93" s="168"/>
      <c r="MLE93" s="167"/>
      <c r="MLF93" s="168"/>
      <c r="MLG93" s="167"/>
      <c r="MLH93" s="168"/>
      <c r="MLI93" s="167"/>
      <c r="MLJ93" s="168"/>
      <c r="MLK93" s="167"/>
      <c r="MLL93" s="168"/>
      <c r="MLM93" s="167"/>
      <c r="MLN93" s="168"/>
      <c r="MLO93" s="167"/>
      <c r="MLP93" s="168"/>
      <c r="MLQ93" s="167"/>
      <c r="MLR93" s="168"/>
      <c r="MLS93" s="167"/>
      <c r="MLT93" s="168"/>
      <c r="MLU93" s="167"/>
      <c r="MLV93" s="168"/>
      <c r="MLW93" s="167"/>
      <c r="MLX93" s="168"/>
      <c r="MLY93" s="167"/>
      <c r="MLZ93" s="168"/>
      <c r="MMA93" s="167"/>
      <c r="MMB93" s="168"/>
      <c r="MMC93" s="167"/>
      <c r="MMD93" s="168"/>
      <c r="MME93" s="167"/>
      <c r="MMF93" s="168"/>
      <c r="MMG93" s="167"/>
      <c r="MMH93" s="168"/>
      <c r="MMI93" s="167"/>
      <c r="MMJ93" s="168"/>
      <c r="MMK93" s="167"/>
      <c r="MML93" s="168"/>
      <c r="MMM93" s="167"/>
      <c r="MMN93" s="168"/>
      <c r="MMO93" s="167"/>
      <c r="MMP93" s="168"/>
      <c r="MMQ93" s="167"/>
      <c r="MMR93" s="168"/>
      <c r="MMS93" s="167"/>
      <c r="MMT93" s="168"/>
      <c r="MMU93" s="167"/>
      <c r="MMV93" s="168"/>
      <c r="MMW93" s="167"/>
      <c r="MMX93" s="168"/>
      <c r="MMY93" s="167"/>
      <c r="MMZ93" s="168"/>
      <c r="MNA93" s="167"/>
      <c r="MNB93" s="168"/>
      <c r="MNC93" s="167"/>
      <c r="MND93" s="168"/>
      <c r="MNE93" s="167"/>
      <c r="MNF93" s="168"/>
      <c r="MNG93" s="167"/>
      <c r="MNH93" s="168"/>
      <c r="MNI93" s="167"/>
      <c r="MNJ93" s="168"/>
      <c r="MNK93" s="167"/>
      <c r="MNL93" s="168"/>
      <c r="MNM93" s="167"/>
      <c r="MNN93" s="168"/>
      <c r="MNO93" s="167"/>
      <c r="MNP93" s="168"/>
      <c r="MNQ93" s="167"/>
      <c r="MNR93" s="168"/>
      <c r="MNS93" s="167"/>
      <c r="MNT93" s="168"/>
      <c r="MNU93" s="167"/>
      <c r="MNV93" s="168"/>
      <c r="MNW93" s="167"/>
      <c r="MNX93" s="168"/>
      <c r="MNY93" s="167"/>
      <c r="MNZ93" s="168"/>
      <c r="MOA93" s="167"/>
      <c r="MOB93" s="168"/>
      <c r="MOC93" s="167"/>
      <c r="MOD93" s="168"/>
      <c r="MOE93" s="167"/>
      <c r="MOF93" s="168"/>
      <c r="MOG93" s="167"/>
      <c r="MOH93" s="168"/>
      <c r="MOI93" s="167"/>
      <c r="MOJ93" s="168"/>
      <c r="MOK93" s="167"/>
      <c r="MOL93" s="168"/>
      <c r="MOM93" s="167"/>
      <c r="MON93" s="168"/>
      <c r="MOO93" s="167"/>
      <c r="MOP93" s="168"/>
      <c r="MOQ93" s="167"/>
      <c r="MOR93" s="168"/>
      <c r="MOS93" s="167"/>
      <c r="MOT93" s="168"/>
      <c r="MOU93" s="167"/>
      <c r="MOV93" s="168"/>
      <c r="MOW93" s="167"/>
      <c r="MOX93" s="168"/>
      <c r="MOY93" s="167"/>
      <c r="MOZ93" s="168"/>
      <c r="MPA93" s="167"/>
      <c r="MPB93" s="168"/>
      <c r="MPC93" s="167"/>
      <c r="MPD93" s="168"/>
      <c r="MPE93" s="167"/>
      <c r="MPF93" s="168"/>
      <c r="MPG93" s="167"/>
      <c r="MPH93" s="168"/>
      <c r="MPI93" s="167"/>
      <c r="MPJ93" s="168"/>
      <c r="MPK93" s="167"/>
      <c r="MPL93" s="168"/>
      <c r="MPM93" s="167"/>
      <c r="MPN93" s="168"/>
      <c r="MPO93" s="167"/>
      <c r="MPP93" s="168"/>
      <c r="MPQ93" s="167"/>
      <c r="MPR93" s="168"/>
      <c r="MPS93" s="167"/>
      <c r="MPT93" s="168"/>
      <c r="MPU93" s="167"/>
      <c r="MPV93" s="168"/>
      <c r="MPW93" s="167"/>
      <c r="MPX93" s="168"/>
      <c r="MPY93" s="167"/>
      <c r="MPZ93" s="168"/>
      <c r="MQA93" s="167"/>
      <c r="MQB93" s="168"/>
      <c r="MQC93" s="167"/>
      <c r="MQD93" s="168"/>
      <c r="MQE93" s="167"/>
      <c r="MQF93" s="168"/>
      <c r="MQG93" s="167"/>
      <c r="MQH93" s="168"/>
      <c r="MQI93" s="167"/>
      <c r="MQJ93" s="168"/>
      <c r="MQK93" s="167"/>
      <c r="MQL93" s="168"/>
      <c r="MQM93" s="167"/>
      <c r="MQN93" s="168"/>
      <c r="MQO93" s="167"/>
      <c r="MQP93" s="168"/>
      <c r="MQQ93" s="167"/>
      <c r="MQR93" s="168"/>
      <c r="MQS93" s="167"/>
      <c r="MQT93" s="168"/>
      <c r="MQU93" s="167"/>
      <c r="MQV93" s="168"/>
      <c r="MQW93" s="167"/>
      <c r="MQX93" s="168"/>
      <c r="MQY93" s="167"/>
      <c r="MQZ93" s="168"/>
      <c r="MRA93" s="167"/>
      <c r="MRB93" s="168"/>
      <c r="MRC93" s="167"/>
      <c r="MRD93" s="168"/>
      <c r="MRE93" s="167"/>
      <c r="MRF93" s="168"/>
      <c r="MRG93" s="167"/>
      <c r="MRH93" s="168"/>
      <c r="MRI93" s="167"/>
      <c r="MRJ93" s="168"/>
      <c r="MRK93" s="167"/>
      <c r="MRL93" s="168"/>
      <c r="MRM93" s="167"/>
      <c r="MRN93" s="168"/>
      <c r="MRO93" s="167"/>
      <c r="MRP93" s="168"/>
      <c r="MRQ93" s="167"/>
      <c r="MRR93" s="168"/>
      <c r="MRS93" s="167"/>
      <c r="MRT93" s="168"/>
      <c r="MRU93" s="167"/>
      <c r="MRV93" s="168"/>
      <c r="MRW93" s="167"/>
      <c r="MRX93" s="168"/>
      <c r="MRY93" s="167"/>
      <c r="MRZ93" s="168"/>
      <c r="MSA93" s="167"/>
      <c r="MSB93" s="168"/>
      <c r="MSC93" s="167"/>
      <c r="MSD93" s="168"/>
      <c r="MSE93" s="167"/>
      <c r="MSF93" s="168"/>
      <c r="MSG93" s="167"/>
      <c r="MSH93" s="168"/>
      <c r="MSI93" s="167"/>
      <c r="MSJ93" s="168"/>
      <c r="MSK93" s="167"/>
      <c r="MSL93" s="168"/>
      <c r="MSM93" s="167"/>
      <c r="MSN93" s="168"/>
      <c r="MSO93" s="167"/>
      <c r="MSP93" s="168"/>
      <c r="MSQ93" s="167"/>
      <c r="MSR93" s="168"/>
      <c r="MSS93" s="167"/>
      <c r="MST93" s="168"/>
      <c r="MSU93" s="167"/>
      <c r="MSV93" s="168"/>
      <c r="MSW93" s="167"/>
      <c r="MSX93" s="168"/>
      <c r="MSY93" s="167"/>
      <c r="MSZ93" s="168"/>
      <c r="MTA93" s="167"/>
      <c r="MTB93" s="168"/>
      <c r="MTC93" s="167"/>
      <c r="MTD93" s="168"/>
      <c r="MTE93" s="167"/>
      <c r="MTF93" s="168"/>
      <c r="MTG93" s="167"/>
      <c r="MTH93" s="168"/>
      <c r="MTI93" s="167"/>
      <c r="MTJ93" s="168"/>
      <c r="MTK93" s="167"/>
      <c r="MTL93" s="168"/>
      <c r="MTM93" s="167"/>
      <c r="MTN93" s="168"/>
      <c r="MTO93" s="167"/>
      <c r="MTP93" s="168"/>
      <c r="MTQ93" s="167"/>
      <c r="MTR93" s="168"/>
      <c r="MTS93" s="167"/>
      <c r="MTT93" s="168"/>
      <c r="MTU93" s="167"/>
      <c r="MTV93" s="168"/>
      <c r="MTW93" s="167"/>
      <c r="MTX93" s="168"/>
      <c r="MTY93" s="167"/>
      <c r="MTZ93" s="168"/>
      <c r="MUA93" s="167"/>
      <c r="MUB93" s="168"/>
      <c r="MUC93" s="167"/>
      <c r="MUD93" s="168"/>
      <c r="MUE93" s="167"/>
      <c r="MUF93" s="168"/>
      <c r="MUG93" s="167"/>
      <c r="MUH93" s="168"/>
      <c r="MUI93" s="167"/>
      <c r="MUJ93" s="168"/>
      <c r="MUK93" s="167"/>
      <c r="MUL93" s="168"/>
      <c r="MUM93" s="167"/>
      <c r="MUN93" s="168"/>
      <c r="MUO93" s="167"/>
      <c r="MUP93" s="168"/>
      <c r="MUQ93" s="167"/>
      <c r="MUR93" s="168"/>
      <c r="MUS93" s="167"/>
      <c r="MUT93" s="168"/>
      <c r="MUU93" s="167"/>
      <c r="MUV93" s="168"/>
      <c r="MUW93" s="167"/>
      <c r="MUX93" s="168"/>
      <c r="MUY93" s="167"/>
      <c r="MUZ93" s="168"/>
      <c r="MVA93" s="167"/>
      <c r="MVB93" s="168"/>
      <c r="MVC93" s="167"/>
      <c r="MVD93" s="168"/>
      <c r="MVE93" s="167"/>
      <c r="MVF93" s="168"/>
      <c r="MVG93" s="167"/>
      <c r="MVH93" s="168"/>
      <c r="MVI93" s="167"/>
      <c r="MVJ93" s="168"/>
      <c r="MVK93" s="167"/>
      <c r="MVL93" s="168"/>
      <c r="MVM93" s="167"/>
      <c r="MVN93" s="168"/>
      <c r="MVO93" s="167"/>
      <c r="MVP93" s="168"/>
      <c r="MVQ93" s="167"/>
      <c r="MVR93" s="168"/>
      <c r="MVS93" s="167"/>
      <c r="MVT93" s="168"/>
      <c r="MVU93" s="167"/>
      <c r="MVV93" s="168"/>
      <c r="MVW93" s="167"/>
      <c r="MVX93" s="168"/>
      <c r="MVY93" s="167"/>
      <c r="MVZ93" s="168"/>
      <c r="MWA93" s="167"/>
      <c r="MWB93" s="168"/>
      <c r="MWC93" s="167"/>
      <c r="MWD93" s="168"/>
      <c r="MWE93" s="167"/>
      <c r="MWF93" s="168"/>
      <c r="MWG93" s="167"/>
      <c r="MWH93" s="168"/>
      <c r="MWI93" s="167"/>
      <c r="MWJ93" s="168"/>
      <c r="MWK93" s="167"/>
      <c r="MWL93" s="168"/>
      <c r="MWM93" s="167"/>
      <c r="MWN93" s="168"/>
      <c r="MWO93" s="167"/>
      <c r="MWP93" s="168"/>
      <c r="MWQ93" s="167"/>
      <c r="MWR93" s="168"/>
      <c r="MWS93" s="167"/>
      <c r="MWT93" s="168"/>
      <c r="MWU93" s="167"/>
      <c r="MWV93" s="168"/>
      <c r="MWW93" s="167"/>
      <c r="MWX93" s="168"/>
      <c r="MWY93" s="167"/>
      <c r="MWZ93" s="168"/>
      <c r="MXA93" s="167"/>
      <c r="MXB93" s="168"/>
      <c r="MXC93" s="167"/>
      <c r="MXD93" s="168"/>
      <c r="MXE93" s="167"/>
      <c r="MXF93" s="168"/>
      <c r="MXG93" s="167"/>
      <c r="MXH93" s="168"/>
      <c r="MXI93" s="167"/>
      <c r="MXJ93" s="168"/>
      <c r="MXK93" s="167"/>
      <c r="MXL93" s="168"/>
      <c r="MXM93" s="167"/>
      <c r="MXN93" s="168"/>
      <c r="MXO93" s="167"/>
      <c r="MXP93" s="168"/>
      <c r="MXQ93" s="167"/>
      <c r="MXR93" s="168"/>
      <c r="MXS93" s="167"/>
      <c r="MXT93" s="168"/>
      <c r="MXU93" s="167"/>
      <c r="MXV93" s="168"/>
      <c r="MXW93" s="167"/>
      <c r="MXX93" s="168"/>
      <c r="MXY93" s="167"/>
      <c r="MXZ93" s="168"/>
      <c r="MYA93" s="167"/>
      <c r="MYB93" s="168"/>
      <c r="MYC93" s="167"/>
      <c r="MYD93" s="168"/>
      <c r="MYE93" s="167"/>
      <c r="MYF93" s="168"/>
      <c r="MYG93" s="167"/>
      <c r="MYH93" s="168"/>
      <c r="MYI93" s="167"/>
      <c r="MYJ93" s="168"/>
      <c r="MYK93" s="167"/>
      <c r="MYL93" s="168"/>
      <c r="MYM93" s="167"/>
      <c r="MYN93" s="168"/>
      <c r="MYO93" s="167"/>
      <c r="MYP93" s="168"/>
      <c r="MYQ93" s="167"/>
      <c r="MYR93" s="168"/>
      <c r="MYS93" s="167"/>
      <c r="MYT93" s="168"/>
      <c r="MYU93" s="167"/>
      <c r="MYV93" s="168"/>
      <c r="MYW93" s="167"/>
      <c r="MYX93" s="168"/>
      <c r="MYY93" s="167"/>
      <c r="MYZ93" s="168"/>
      <c r="MZA93" s="167"/>
      <c r="MZB93" s="168"/>
      <c r="MZC93" s="167"/>
      <c r="MZD93" s="168"/>
      <c r="MZE93" s="167"/>
      <c r="MZF93" s="168"/>
      <c r="MZG93" s="167"/>
      <c r="MZH93" s="168"/>
      <c r="MZI93" s="167"/>
      <c r="MZJ93" s="168"/>
      <c r="MZK93" s="167"/>
      <c r="MZL93" s="168"/>
      <c r="MZM93" s="167"/>
      <c r="MZN93" s="168"/>
      <c r="MZO93" s="167"/>
      <c r="MZP93" s="168"/>
      <c r="MZQ93" s="167"/>
      <c r="MZR93" s="168"/>
      <c r="MZS93" s="167"/>
      <c r="MZT93" s="168"/>
      <c r="MZU93" s="167"/>
      <c r="MZV93" s="168"/>
      <c r="MZW93" s="167"/>
      <c r="MZX93" s="168"/>
      <c r="MZY93" s="167"/>
      <c r="MZZ93" s="168"/>
      <c r="NAA93" s="167"/>
      <c r="NAB93" s="168"/>
      <c r="NAC93" s="167"/>
      <c r="NAD93" s="168"/>
      <c r="NAE93" s="167"/>
      <c r="NAF93" s="168"/>
      <c r="NAG93" s="167"/>
      <c r="NAH93" s="168"/>
      <c r="NAI93" s="167"/>
      <c r="NAJ93" s="168"/>
      <c r="NAK93" s="167"/>
      <c r="NAL93" s="168"/>
      <c r="NAM93" s="167"/>
      <c r="NAN93" s="168"/>
      <c r="NAO93" s="167"/>
      <c r="NAP93" s="168"/>
      <c r="NAQ93" s="167"/>
      <c r="NAR93" s="168"/>
      <c r="NAS93" s="167"/>
      <c r="NAT93" s="168"/>
      <c r="NAU93" s="167"/>
      <c r="NAV93" s="168"/>
      <c r="NAW93" s="167"/>
      <c r="NAX93" s="168"/>
      <c r="NAY93" s="167"/>
      <c r="NAZ93" s="168"/>
      <c r="NBA93" s="167"/>
      <c r="NBB93" s="168"/>
      <c r="NBC93" s="167"/>
      <c r="NBD93" s="168"/>
      <c r="NBE93" s="167"/>
      <c r="NBF93" s="168"/>
      <c r="NBG93" s="167"/>
      <c r="NBH93" s="168"/>
      <c r="NBI93" s="167"/>
      <c r="NBJ93" s="168"/>
      <c r="NBK93" s="167"/>
      <c r="NBL93" s="168"/>
      <c r="NBM93" s="167"/>
      <c r="NBN93" s="168"/>
      <c r="NBO93" s="167"/>
      <c r="NBP93" s="168"/>
      <c r="NBQ93" s="167"/>
      <c r="NBR93" s="168"/>
      <c r="NBS93" s="167"/>
      <c r="NBT93" s="168"/>
      <c r="NBU93" s="167"/>
      <c r="NBV93" s="168"/>
      <c r="NBW93" s="167"/>
      <c r="NBX93" s="168"/>
      <c r="NBY93" s="167"/>
      <c r="NBZ93" s="168"/>
      <c r="NCA93" s="167"/>
      <c r="NCB93" s="168"/>
      <c r="NCC93" s="167"/>
      <c r="NCD93" s="168"/>
      <c r="NCE93" s="167"/>
      <c r="NCF93" s="168"/>
      <c r="NCG93" s="167"/>
      <c r="NCH93" s="168"/>
      <c r="NCI93" s="167"/>
      <c r="NCJ93" s="168"/>
      <c r="NCK93" s="167"/>
      <c r="NCL93" s="168"/>
      <c r="NCM93" s="167"/>
      <c r="NCN93" s="168"/>
      <c r="NCO93" s="167"/>
      <c r="NCP93" s="168"/>
      <c r="NCQ93" s="167"/>
      <c r="NCR93" s="168"/>
      <c r="NCS93" s="167"/>
      <c r="NCT93" s="168"/>
      <c r="NCU93" s="167"/>
      <c r="NCV93" s="168"/>
      <c r="NCW93" s="167"/>
      <c r="NCX93" s="168"/>
      <c r="NCY93" s="167"/>
      <c r="NCZ93" s="168"/>
      <c r="NDA93" s="167"/>
      <c r="NDB93" s="168"/>
      <c r="NDC93" s="167"/>
      <c r="NDD93" s="168"/>
      <c r="NDE93" s="167"/>
      <c r="NDF93" s="168"/>
      <c r="NDG93" s="167"/>
      <c r="NDH93" s="168"/>
      <c r="NDI93" s="167"/>
      <c r="NDJ93" s="168"/>
      <c r="NDK93" s="167"/>
      <c r="NDL93" s="168"/>
      <c r="NDM93" s="167"/>
      <c r="NDN93" s="168"/>
      <c r="NDO93" s="167"/>
      <c r="NDP93" s="168"/>
      <c r="NDQ93" s="167"/>
      <c r="NDR93" s="168"/>
      <c r="NDS93" s="167"/>
      <c r="NDT93" s="168"/>
      <c r="NDU93" s="167"/>
      <c r="NDV93" s="168"/>
      <c r="NDW93" s="167"/>
      <c r="NDX93" s="168"/>
      <c r="NDY93" s="167"/>
      <c r="NDZ93" s="168"/>
      <c r="NEA93" s="167"/>
      <c r="NEB93" s="168"/>
      <c r="NEC93" s="167"/>
      <c r="NED93" s="168"/>
      <c r="NEE93" s="167"/>
      <c r="NEF93" s="168"/>
      <c r="NEG93" s="167"/>
      <c r="NEH93" s="168"/>
      <c r="NEI93" s="167"/>
      <c r="NEJ93" s="168"/>
      <c r="NEK93" s="167"/>
      <c r="NEL93" s="168"/>
      <c r="NEM93" s="167"/>
      <c r="NEN93" s="168"/>
      <c r="NEO93" s="167"/>
      <c r="NEP93" s="168"/>
      <c r="NEQ93" s="167"/>
      <c r="NER93" s="168"/>
      <c r="NES93" s="167"/>
      <c r="NET93" s="168"/>
      <c r="NEU93" s="167"/>
      <c r="NEV93" s="168"/>
      <c r="NEW93" s="167"/>
      <c r="NEX93" s="168"/>
      <c r="NEY93" s="167"/>
      <c r="NEZ93" s="168"/>
      <c r="NFA93" s="167"/>
      <c r="NFB93" s="168"/>
      <c r="NFC93" s="167"/>
      <c r="NFD93" s="168"/>
      <c r="NFE93" s="167"/>
      <c r="NFF93" s="168"/>
      <c r="NFG93" s="167"/>
      <c r="NFH93" s="168"/>
      <c r="NFI93" s="167"/>
      <c r="NFJ93" s="168"/>
      <c r="NFK93" s="167"/>
      <c r="NFL93" s="168"/>
      <c r="NFM93" s="167"/>
      <c r="NFN93" s="168"/>
      <c r="NFO93" s="167"/>
      <c r="NFP93" s="168"/>
      <c r="NFQ93" s="167"/>
      <c r="NFR93" s="168"/>
      <c r="NFS93" s="167"/>
      <c r="NFT93" s="168"/>
      <c r="NFU93" s="167"/>
      <c r="NFV93" s="168"/>
      <c r="NFW93" s="167"/>
      <c r="NFX93" s="168"/>
      <c r="NFY93" s="167"/>
      <c r="NFZ93" s="168"/>
      <c r="NGA93" s="167"/>
      <c r="NGB93" s="168"/>
      <c r="NGC93" s="167"/>
      <c r="NGD93" s="168"/>
      <c r="NGE93" s="167"/>
      <c r="NGF93" s="168"/>
      <c r="NGG93" s="167"/>
      <c r="NGH93" s="168"/>
      <c r="NGI93" s="167"/>
      <c r="NGJ93" s="168"/>
      <c r="NGK93" s="167"/>
      <c r="NGL93" s="168"/>
      <c r="NGM93" s="167"/>
      <c r="NGN93" s="168"/>
      <c r="NGO93" s="167"/>
      <c r="NGP93" s="168"/>
      <c r="NGQ93" s="167"/>
      <c r="NGR93" s="168"/>
      <c r="NGS93" s="167"/>
      <c r="NGT93" s="168"/>
      <c r="NGU93" s="167"/>
      <c r="NGV93" s="168"/>
      <c r="NGW93" s="167"/>
      <c r="NGX93" s="168"/>
      <c r="NGY93" s="167"/>
      <c r="NGZ93" s="168"/>
      <c r="NHA93" s="167"/>
      <c r="NHB93" s="168"/>
      <c r="NHC93" s="167"/>
      <c r="NHD93" s="168"/>
      <c r="NHE93" s="167"/>
      <c r="NHF93" s="168"/>
      <c r="NHG93" s="167"/>
      <c r="NHH93" s="168"/>
      <c r="NHI93" s="167"/>
      <c r="NHJ93" s="168"/>
      <c r="NHK93" s="167"/>
      <c r="NHL93" s="168"/>
      <c r="NHM93" s="167"/>
      <c r="NHN93" s="168"/>
      <c r="NHO93" s="167"/>
      <c r="NHP93" s="168"/>
      <c r="NHQ93" s="167"/>
      <c r="NHR93" s="168"/>
      <c r="NHS93" s="167"/>
      <c r="NHT93" s="168"/>
      <c r="NHU93" s="167"/>
      <c r="NHV93" s="168"/>
      <c r="NHW93" s="167"/>
      <c r="NHX93" s="168"/>
      <c r="NHY93" s="167"/>
      <c r="NHZ93" s="168"/>
      <c r="NIA93" s="167"/>
      <c r="NIB93" s="168"/>
      <c r="NIC93" s="167"/>
      <c r="NID93" s="168"/>
      <c r="NIE93" s="167"/>
      <c r="NIF93" s="168"/>
      <c r="NIG93" s="167"/>
      <c r="NIH93" s="168"/>
      <c r="NII93" s="167"/>
      <c r="NIJ93" s="168"/>
      <c r="NIK93" s="167"/>
      <c r="NIL93" s="168"/>
      <c r="NIM93" s="167"/>
      <c r="NIN93" s="168"/>
      <c r="NIO93" s="167"/>
      <c r="NIP93" s="168"/>
      <c r="NIQ93" s="167"/>
      <c r="NIR93" s="168"/>
      <c r="NIS93" s="167"/>
      <c r="NIT93" s="168"/>
      <c r="NIU93" s="167"/>
      <c r="NIV93" s="168"/>
      <c r="NIW93" s="167"/>
      <c r="NIX93" s="168"/>
      <c r="NIY93" s="167"/>
      <c r="NIZ93" s="168"/>
      <c r="NJA93" s="167"/>
      <c r="NJB93" s="168"/>
      <c r="NJC93" s="167"/>
      <c r="NJD93" s="168"/>
      <c r="NJE93" s="167"/>
      <c r="NJF93" s="168"/>
      <c r="NJG93" s="167"/>
      <c r="NJH93" s="168"/>
      <c r="NJI93" s="167"/>
      <c r="NJJ93" s="168"/>
      <c r="NJK93" s="167"/>
      <c r="NJL93" s="168"/>
      <c r="NJM93" s="167"/>
      <c r="NJN93" s="168"/>
      <c r="NJO93" s="167"/>
      <c r="NJP93" s="168"/>
      <c r="NJQ93" s="167"/>
      <c r="NJR93" s="168"/>
      <c r="NJS93" s="167"/>
      <c r="NJT93" s="168"/>
      <c r="NJU93" s="167"/>
      <c r="NJV93" s="168"/>
      <c r="NJW93" s="167"/>
      <c r="NJX93" s="168"/>
      <c r="NJY93" s="167"/>
      <c r="NJZ93" s="168"/>
      <c r="NKA93" s="167"/>
      <c r="NKB93" s="168"/>
      <c r="NKC93" s="167"/>
      <c r="NKD93" s="168"/>
      <c r="NKE93" s="167"/>
      <c r="NKF93" s="168"/>
      <c r="NKG93" s="167"/>
      <c r="NKH93" s="168"/>
      <c r="NKI93" s="167"/>
      <c r="NKJ93" s="168"/>
      <c r="NKK93" s="167"/>
      <c r="NKL93" s="168"/>
      <c r="NKM93" s="167"/>
      <c r="NKN93" s="168"/>
      <c r="NKO93" s="167"/>
      <c r="NKP93" s="168"/>
      <c r="NKQ93" s="167"/>
      <c r="NKR93" s="168"/>
      <c r="NKS93" s="167"/>
      <c r="NKT93" s="168"/>
      <c r="NKU93" s="167"/>
      <c r="NKV93" s="168"/>
      <c r="NKW93" s="167"/>
      <c r="NKX93" s="168"/>
      <c r="NKY93" s="167"/>
      <c r="NKZ93" s="168"/>
      <c r="NLA93" s="167"/>
      <c r="NLB93" s="168"/>
      <c r="NLC93" s="167"/>
      <c r="NLD93" s="168"/>
      <c r="NLE93" s="167"/>
      <c r="NLF93" s="168"/>
      <c r="NLG93" s="167"/>
      <c r="NLH93" s="168"/>
      <c r="NLI93" s="167"/>
      <c r="NLJ93" s="168"/>
      <c r="NLK93" s="167"/>
      <c r="NLL93" s="168"/>
      <c r="NLM93" s="167"/>
      <c r="NLN93" s="168"/>
      <c r="NLO93" s="167"/>
      <c r="NLP93" s="168"/>
      <c r="NLQ93" s="167"/>
      <c r="NLR93" s="168"/>
      <c r="NLS93" s="167"/>
      <c r="NLT93" s="168"/>
      <c r="NLU93" s="167"/>
      <c r="NLV93" s="168"/>
      <c r="NLW93" s="167"/>
      <c r="NLX93" s="168"/>
      <c r="NLY93" s="167"/>
      <c r="NLZ93" s="168"/>
      <c r="NMA93" s="167"/>
      <c r="NMB93" s="168"/>
      <c r="NMC93" s="167"/>
      <c r="NMD93" s="168"/>
      <c r="NME93" s="167"/>
      <c r="NMF93" s="168"/>
      <c r="NMG93" s="167"/>
      <c r="NMH93" s="168"/>
      <c r="NMI93" s="167"/>
      <c r="NMJ93" s="168"/>
      <c r="NMK93" s="167"/>
      <c r="NML93" s="168"/>
      <c r="NMM93" s="167"/>
      <c r="NMN93" s="168"/>
      <c r="NMO93" s="167"/>
      <c r="NMP93" s="168"/>
      <c r="NMQ93" s="167"/>
      <c r="NMR93" s="168"/>
      <c r="NMS93" s="167"/>
      <c r="NMT93" s="168"/>
      <c r="NMU93" s="167"/>
      <c r="NMV93" s="168"/>
      <c r="NMW93" s="167"/>
      <c r="NMX93" s="168"/>
      <c r="NMY93" s="167"/>
      <c r="NMZ93" s="168"/>
      <c r="NNA93" s="167"/>
      <c r="NNB93" s="168"/>
      <c r="NNC93" s="167"/>
      <c r="NND93" s="168"/>
      <c r="NNE93" s="167"/>
      <c r="NNF93" s="168"/>
      <c r="NNG93" s="167"/>
      <c r="NNH93" s="168"/>
      <c r="NNI93" s="167"/>
      <c r="NNJ93" s="168"/>
      <c r="NNK93" s="167"/>
      <c r="NNL93" s="168"/>
      <c r="NNM93" s="167"/>
      <c r="NNN93" s="168"/>
      <c r="NNO93" s="167"/>
      <c r="NNP93" s="168"/>
      <c r="NNQ93" s="167"/>
      <c r="NNR93" s="168"/>
      <c r="NNS93" s="167"/>
      <c r="NNT93" s="168"/>
      <c r="NNU93" s="167"/>
      <c r="NNV93" s="168"/>
      <c r="NNW93" s="167"/>
      <c r="NNX93" s="168"/>
      <c r="NNY93" s="167"/>
      <c r="NNZ93" s="168"/>
      <c r="NOA93" s="167"/>
      <c r="NOB93" s="168"/>
      <c r="NOC93" s="167"/>
      <c r="NOD93" s="168"/>
      <c r="NOE93" s="167"/>
      <c r="NOF93" s="168"/>
      <c r="NOG93" s="167"/>
      <c r="NOH93" s="168"/>
      <c r="NOI93" s="167"/>
      <c r="NOJ93" s="168"/>
      <c r="NOK93" s="167"/>
      <c r="NOL93" s="168"/>
      <c r="NOM93" s="167"/>
      <c r="NON93" s="168"/>
      <c r="NOO93" s="167"/>
      <c r="NOP93" s="168"/>
      <c r="NOQ93" s="167"/>
      <c r="NOR93" s="168"/>
      <c r="NOS93" s="167"/>
      <c r="NOT93" s="168"/>
      <c r="NOU93" s="167"/>
      <c r="NOV93" s="168"/>
      <c r="NOW93" s="167"/>
      <c r="NOX93" s="168"/>
      <c r="NOY93" s="167"/>
      <c r="NOZ93" s="168"/>
      <c r="NPA93" s="167"/>
      <c r="NPB93" s="168"/>
      <c r="NPC93" s="167"/>
      <c r="NPD93" s="168"/>
      <c r="NPE93" s="167"/>
      <c r="NPF93" s="168"/>
      <c r="NPG93" s="167"/>
      <c r="NPH93" s="168"/>
      <c r="NPI93" s="167"/>
      <c r="NPJ93" s="168"/>
      <c r="NPK93" s="167"/>
      <c r="NPL93" s="168"/>
      <c r="NPM93" s="167"/>
      <c r="NPN93" s="168"/>
      <c r="NPO93" s="167"/>
      <c r="NPP93" s="168"/>
      <c r="NPQ93" s="167"/>
      <c r="NPR93" s="168"/>
      <c r="NPS93" s="167"/>
      <c r="NPT93" s="168"/>
      <c r="NPU93" s="167"/>
      <c r="NPV93" s="168"/>
      <c r="NPW93" s="167"/>
      <c r="NPX93" s="168"/>
      <c r="NPY93" s="167"/>
      <c r="NPZ93" s="168"/>
      <c r="NQA93" s="167"/>
      <c r="NQB93" s="168"/>
      <c r="NQC93" s="167"/>
      <c r="NQD93" s="168"/>
      <c r="NQE93" s="167"/>
      <c r="NQF93" s="168"/>
      <c r="NQG93" s="167"/>
      <c r="NQH93" s="168"/>
      <c r="NQI93" s="167"/>
      <c r="NQJ93" s="168"/>
      <c r="NQK93" s="167"/>
      <c r="NQL93" s="168"/>
      <c r="NQM93" s="167"/>
      <c r="NQN93" s="168"/>
      <c r="NQO93" s="167"/>
      <c r="NQP93" s="168"/>
      <c r="NQQ93" s="167"/>
      <c r="NQR93" s="168"/>
      <c r="NQS93" s="167"/>
      <c r="NQT93" s="168"/>
      <c r="NQU93" s="167"/>
      <c r="NQV93" s="168"/>
      <c r="NQW93" s="167"/>
      <c r="NQX93" s="168"/>
      <c r="NQY93" s="167"/>
      <c r="NQZ93" s="168"/>
      <c r="NRA93" s="167"/>
      <c r="NRB93" s="168"/>
      <c r="NRC93" s="167"/>
      <c r="NRD93" s="168"/>
      <c r="NRE93" s="167"/>
      <c r="NRF93" s="168"/>
      <c r="NRG93" s="167"/>
      <c r="NRH93" s="168"/>
      <c r="NRI93" s="167"/>
      <c r="NRJ93" s="168"/>
      <c r="NRK93" s="167"/>
      <c r="NRL93" s="168"/>
      <c r="NRM93" s="167"/>
      <c r="NRN93" s="168"/>
      <c r="NRO93" s="167"/>
      <c r="NRP93" s="168"/>
      <c r="NRQ93" s="167"/>
      <c r="NRR93" s="168"/>
      <c r="NRS93" s="167"/>
      <c r="NRT93" s="168"/>
      <c r="NRU93" s="167"/>
      <c r="NRV93" s="168"/>
      <c r="NRW93" s="167"/>
      <c r="NRX93" s="168"/>
      <c r="NRY93" s="167"/>
      <c r="NRZ93" s="168"/>
      <c r="NSA93" s="167"/>
      <c r="NSB93" s="168"/>
      <c r="NSC93" s="167"/>
      <c r="NSD93" s="168"/>
      <c r="NSE93" s="167"/>
      <c r="NSF93" s="168"/>
      <c r="NSG93" s="167"/>
      <c r="NSH93" s="168"/>
      <c r="NSI93" s="167"/>
      <c r="NSJ93" s="168"/>
      <c r="NSK93" s="167"/>
      <c r="NSL93" s="168"/>
      <c r="NSM93" s="167"/>
      <c r="NSN93" s="168"/>
      <c r="NSO93" s="167"/>
      <c r="NSP93" s="168"/>
      <c r="NSQ93" s="167"/>
      <c r="NSR93" s="168"/>
      <c r="NSS93" s="167"/>
      <c r="NST93" s="168"/>
      <c r="NSU93" s="167"/>
      <c r="NSV93" s="168"/>
      <c r="NSW93" s="167"/>
      <c r="NSX93" s="168"/>
      <c r="NSY93" s="167"/>
      <c r="NSZ93" s="168"/>
      <c r="NTA93" s="167"/>
      <c r="NTB93" s="168"/>
      <c r="NTC93" s="167"/>
      <c r="NTD93" s="168"/>
      <c r="NTE93" s="167"/>
      <c r="NTF93" s="168"/>
      <c r="NTG93" s="167"/>
      <c r="NTH93" s="168"/>
      <c r="NTI93" s="167"/>
      <c r="NTJ93" s="168"/>
      <c r="NTK93" s="167"/>
      <c r="NTL93" s="168"/>
      <c r="NTM93" s="167"/>
      <c r="NTN93" s="168"/>
      <c r="NTO93" s="167"/>
      <c r="NTP93" s="168"/>
      <c r="NTQ93" s="167"/>
      <c r="NTR93" s="168"/>
      <c r="NTS93" s="167"/>
      <c r="NTT93" s="168"/>
      <c r="NTU93" s="167"/>
      <c r="NTV93" s="168"/>
      <c r="NTW93" s="167"/>
      <c r="NTX93" s="168"/>
      <c r="NTY93" s="167"/>
      <c r="NTZ93" s="168"/>
      <c r="NUA93" s="167"/>
      <c r="NUB93" s="168"/>
      <c r="NUC93" s="167"/>
      <c r="NUD93" s="168"/>
      <c r="NUE93" s="167"/>
      <c r="NUF93" s="168"/>
      <c r="NUG93" s="167"/>
      <c r="NUH93" s="168"/>
      <c r="NUI93" s="167"/>
      <c r="NUJ93" s="168"/>
      <c r="NUK93" s="167"/>
      <c r="NUL93" s="168"/>
      <c r="NUM93" s="167"/>
      <c r="NUN93" s="168"/>
      <c r="NUO93" s="167"/>
      <c r="NUP93" s="168"/>
      <c r="NUQ93" s="167"/>
      <c r="NUR93" s="168"/>
      <c r="NUS93" s="167"/>
      <c r="NUT93" s="168"/>
      <c r="NUU93" s="167"/>
      <c r="NUV93" s="168"/>
      <c r="NUW93" s="167"/>
      <c r="NUX93" s="168"/>
      <c r="NUY93" s="167"/>
      <c r="NUZ93" s="168"/>
      <c r="NVA93" s="167"/>
      <c r="NVB93" s="168"/>
      <c r="NVC93" s="167"/>
      <c r="NVD93" s="168"/>
      <c r="NVE93" s="167"/>
      <c r="NVF93" s="168"/>
      <c r="NVG93" s="167"/>
      <c r="NVH93" s="168"/>
      <c r="NVI93" s="167"/>
      <c r="NVJ93" s="168"/>
      <c r="NVK93" s="167"/>
      <c r="NVL93" s="168"/>
      <c r="NVM93" s="167"/>
      <c r="NVN93" s="168"/>
      <c r="NVO93" s="167"/>
      <c r="NVP93" s="168"/>
      <c r="NVQ93" s="167"/>
      <c r="NVR93" s="168"/>
      <c r="NVS93" s="167"/>
      <c r="NVT93" s="168"/>
      <c r="NVU93" s="167"/>
      <c r="NVV93" s="168"/>
      <c r="NVW93" s="167"/>
      <c r="NVX93" s="168"/>
      <c r="NVY93" s="167"/>
      <c r="NVZ93" s="168"/>
      <c r="NWA93" s="167"/>
      <c r="NWB93" s="168"/>
      <c r="NWC93" s="167"/>
      <c r="NWD93" s="168"/>
      <c r="NWE93" s="167"/>
      <c r="NWF93" s="168"/>
      <c r="NWG93" s="167"/>
      <c r="NWH93" s="168"/>
      <c r="NWI93" s="167"/>
      <c r="NWJ93" s="168"/>
      <c r="NWK93" s="167"/>
      <c r="NWL93" s="168"/>
      <c r="NWM93" s="167"/>
      <c r="NWN93" s="168"/>
      <c r="NWO93" s="167"/>
      <c r="NWP93" s="168"/>
      <c r="NWQ93" s="167"/>
      <c r="NWR93" s="168"/>
      <c r="NWS93" s="167"/>
      <c r="NWT93" s="168"/>
      <c r="NWU93" s="167"/>
      <c r="NWV93" s="168"/>
      <c r="NWW93" s="167"/>
      <c r="NWX93" s="168"/>
      <c r="NWY93" s="167"/>
      <c r="NWZ93" s="168"/>
      <c r="NXA93" s="167"/>
      <c r="NXB93" s="168"/>
      <c r="NXC93" s="167"/>
      <c r="NXD93" s="168"/>
      <c r="NXE93" s="167"/>
      <c r="NXF93" s="168"/>
      <c r="NXG93" s="167"/>
      <c r="NXH93" s="168"/>
      <c r="NXI93" s="167"/>
      <c r="NXJ93" s="168"/>
      <c r="NXK93" s="167"/>
      <c r="NXL93" s="168"/>
      <c r="NXM93" s="167"/>
      <c r="NXN93" s="168"/>
      <c r="NXO93" s="167"/>
      <c r="NXP93" s="168"/>
      <c r="NXQ93" s="167"/>
      <c r="NXR93" s="168"/>
      <c r="NXS93" s="167"/>
      <c r="NXT93" s="168"/>
      <c r="NXU93" s="167"/>
      <c r="NXV93" s="168"/>
      <c r="NXW93" s="167"/>
      <c r="NXX93" s="168"/>
      <c r="NXY93" s="167"/>
      <c r="NXZ93" s="168"/>
      <c r="NYA93" s="167"/>
      <c r="NYB93" s="168"/>
      <c r="NYC93" s="167"/>
      <c r="NYD93" s="168"/>
      <c r="NYE93" s="167"/>
      <c r="NYF93" s="168"/>
      <c r="NYG93" s="167"/>
      <c r="NYH93" s="168"/>
      <c r="NYI93" s="167"/>
      <c r="NYJ93" s="168"/>
      <c r="NYK93" s="167"/>
      <c r="NYL93" s="168"/>
      <c r="NYM93" s="167"/>
      <c r="NYN93" s="168"/>
      <c r="NYO93" s="167"/>
      <c r="NYP93" s="168"/>
      <c r="NYQ93" s="167"/>
      <c r="NYR93" s="168"/>
      <c r="NYS93" s="167"/>
      <c r="NYT93" s="168"/>
      <c r="NYU93" s="167"/>
      <c r="NYV93" s="168"/>
      <c r="NYW93" s="167"/>
      <c r="NYX93" s="168"/>
      <c r="NYY93" s="167"/>
      <c r="NYZ93" s="168"/>
      <c r="NZA93" s="167"/>
      <c r="NZB93" s="168"/>
      <c r="NZC93" s="167"/>
      <c r="NZD93" s="168"/>
      <c r="NZE93" s="167"/>
      <c r="NZF93" s="168"/>
      <c r="NZG93" s="167"/>
      <c r="NZH93" s="168"/>
      <c r="NZI93" s="167"/>
      <c r="NZJ93" s="168"/>
      <c r="NZK93" s="167"/>
      <c r="NZL93" s="168"/>
      <c r="NZM93" s="167"/>
      <c r="NZN93" s="168"/>
      <c r="NZO93" s="167"/>
      <c r="NZP93" s="168"/>
      <c r="NZQ93" s="167"/>
      <c r="NZR93" s="168"/>
      <c r="NZS93" s="167"/>
      <c r="NZT93" s="168"/>
      <c r="NZU93" s="167"/>
      <c r="NZV93" s="168"/>
      <c r="NZW93" s="167"/>
      <c r="NZX93" s="168"/>
      <c r="NZY93" s="167"/>
      <c r="NZZ93" s="168"/>
      <c r="OAA93" s="167"/>
      <c r="OAB93" s="168"/>
      <c r="OAC93" s="167"/>
      <c r="OAD93" s="168"/>
      <c r="OAE93" s="167"/>
      <c r="OAF93" s="168"/>
      <c r="OAG93" s="167"/>
      <c r="OAH93" s="168"/>
      <c r="OAI93" s="167"/>
      <c r="OAJ93" s="168"/>
      <c r="OAK93" s="167"/>
      <c r="OAL93" s="168"/>
      <c r="OAM93" s="167"/>
      <c r="OAN93" s="168"/>
      <c r="OAO93" s="167"/>
      <c r="OAP93" s="168"/>
      <c r="OAQ93" s="167"/>
      <c r="OAR93" s="168"/>
      <c r="OAS93" s="167"/>
      <c r="OAT93" s="168"/>
      <c r="OAU93" s="167"/>
      <c r="OAV93" s="168"/>
      <c r="OAW93" s="167"/>
      <c r="OAX93" s="168"/>
      <c r="OAY93" s="167"/>
      <c r="OAZ93" s="168"/>
      <c r="OBA93" s="167"/>
      <c r="OBB93" s="168"/>
      <c r="OBC93" s="167"/>
      <c r="OBD93" s="168"/>
      <c r="OBE93" s="167"/>
      <c r="OBF93" s="168"/>
      <c r="OBG93" s="167"/>
      <c r="OBH93" s="168"/>
      <c r="OBI93" s="167"/>
      <c r="OBJ93" s="168"/>
      <c r="OBK93" s="167"/>
      <c r="OBL93" s="168"/>
      <c r="OBM93" s="167"/>
      <c r="OBN93" s="168"/>
      <c r="OBO93" s="167"/>
      <c r="OBP93" s="168"/>
      <c r="OBQ93" s="167"/>
      <c r="OBR93" s="168"/>
      <c r="OBS93" s="167"/>
      <c r="OBT93" s="168"/>
      <c r="OBU93" s="167"/>
      <c r="OBV93" s="168"/>
      <c r="OBW93" s="167"/>
      <c r="OBX93" s="168"/>
      <c r="OBY93" s="167"/>
      <c r="OBZ93" s="168"/>
      <c r="OCA93" s="167"/>
      <c r="OCB93" s="168"/>
      <c r="OCC93" s="167"/>
      <c r="OCD93" s="168"/>
      <c r="OCE93" s="167"/>
      <c r="OCF93" s="168"/>
      <c r="OCG93" s="167"/>
      <c r="OCH93" s="168"/>
      <c r="OCI93" s="167"/>
      <c r="OCJ93" s="168"/>
      <c r="OCK93" s="167"/>
      <c r="OCL93" s="168"/>
      <c r="OCM93" s="167"/>
      <c r="OCN93" s="168"/>
      <c r="OCO93" s="167"/>
      <c r="OCP93" s="168"/>
      <c r="OCQ93" s="167"/>
      <c r="OCR93" s="168"/>
      <c r="OCS93" s="167"/>
      <c r="OCT93" s="168"/>
      <c r="OCU93" s="167"/>
      <c r="OCV93" s="168"/>
      <c r="OCW93" s="167"/>
      <c r="OCX93" s="168"/>
      <c r="OCY93" s="167"/>
      <c r="OCZ93" s="168"/>
      <c r="ODA93" s="167"/>
      <c r="ODB93" s="168"/>
      <c r="ODC93" s="167"/>
      <c r="ODD93" s="168"/>
      <c r="ODE93" s="167"/>
      <c r="ODF93" s="168"/>
      <c r="ODG93" s="167"/>
      <c r="ODH93" s="168"/>
      <c r="ODI93" s="167"/>
      <c r="ODJ93" s="168"/>
      <c r="ODK93" s="167"/>
      <c r="ODL93" s="168"/>
      <c r="ODM93" s="167"/>
      <c r="ODN93" s="168"/>
      <c r="ODO93" s="167"/>
      <c r="ODP93" s="168"/>
      <c r="ODQ93" s="167"/>
      <c r="ODR93" s="168"/>
      <c r="ODS93" s="167"/>
      <c r="ODT93" s="168"/>
      <c r="ODU93" s="167"/>
      <c r="ODV93" s="168"/>
      <c r="ODW93" s="167"/>
      <c r="ODX93" s="168"/>
      <c r="ODY93" s="167"/>
      <c r="ODZ93" s="168"/>
      <c r="OEA93" s="167"/>
      <c r="OEB93" s="168"/>
      <c r="OEC93" s="167"/>
      <c r="OED93" s="168"/>
      <c r="OEE93" s="167"/>
      <c r="OEF93" s="168"/>
      <c r="OEG93" s="167"/>
      <c r="OEH93" s="168"/>
      <c r="OEI93" s="167"/>
      <c r="OEJ93" s="168"/>
      <c r="OEK93" s="167"/>
      <c r="OEL93" s="168"/>
      <c r="OEM93" s="167"/>
      <c r="OEN93" s="168"/>
      <c r="OEO93" s="167"/>
      <c r="OEP93" s="168"/>
      <c r="OEQ93" s="167"/>
      <c r="OER93" s="168"/>
      <c r="OES93" s="167"/>
      <c r="OET93" s="168"/>
      <c r="OEU93" s="167"/>
      <c r="OEV93" s="168"/>
      <c r="OEW93" s="167"/>
      <c r="OEX93" s="168"/>
      <c r="OEY93" s="167"/>
      <c r="OEZ93" s="168"/>
      <c r="OFA93" s="167"/>
      <c r="OFB93" s="168"/>
      <c r="OFC93" s="167"/>
      <c r="OFD93" s="168"/>
      <c r="OFE93" s="167"/>
      <c r="OFF93" s="168"/>
      <c r="OFG93" s="167"/>
      <c r="OFH93" s="168"/>
      <c r="OFI93" s="167"/>
      <c r="OFJ93" s="168"/>
      <c r="OFK93" s="167"/>
      <c r="OFL93" s="168"/>
      <c r="OFM93" s="167"/>
      <c r="OFN93" s="168"/>
      <c r="OFO93" s="167"/>
      <c r="OFP93" s="168"/>
      <c r="OFQ93" s="167"/>
      <c r="OFR93" s="168"/>
      <c r="OFS93" s="167"/>
      <c r="OFT93" s="168"/>
      <c r="OFU93" s="167"/>
      <c r="OFV93" s="168"/>
      <c r="OFW93" s="167"/>
      <c r="OFX93" s="168"/>
      <c r="OFY93" s="167"/>
      <c r="OFZ93" s="168"/>
      <c r="OGA93" s="167"/>
      <c r="OGB93" s="168"/>
      <c r="OGC93" s="167"/>
      <c r="OGD93" s="168"/>
      <c r="OGE93" s="167"/>
      <c r="OGF93" s="168"/>
      <c r="OGG93" s="167"/>
      <c r="OGH93" s="168"/>
      <c r="OGI93" s="167"/>
      <c r="OGJ93" s="168"/>
      <c r="OGK93" s="167"/>
      <c r="OGL93" s="168"/>
      <c r="OGM93" s="167"/>
      <c r="OGN93" s="168"/>
      <c r="OGO93" s="167"/>
      <c r="OGP93" s="168"/>
      <c r="OGQ93" s="167"/>
      <c r="OGR93" s="168"/>
      <c r="OGS93" s="167"/>
      <c r="OGT93" s="168"/>
      <c r="OGU93" s="167"/>
      <c r="OGV93" s="168"/>
      <c r="OGW93" s="167"/>
      <c r="OGX93" s="168"/>
      <c r="OGY93" s="167"/>
      <c r="OGZ93" s="168"/>
      <c r="OHA93" s="167"/>
      <c r="OHB93" s="168"/>
      <c r="OHC93" s="167"/>
      <c r="OHD93" s="168"/>
      <c r="OHE93" s="167"/>
      <c r="OHF93" s="168"/>
      <c r="OHG93" s="167"/>
      <c r="OHH93" s="168"/>
      <c r="OHI93" s="167"/>
      <c r="OHJ93" s="168"/>
      <c r="OHK93" s="167"/>
      <c r="OHL93" s="168"/>
      <c r="OHM93" s="167"/>
      <c r="OHN93" s="168"/>
      <c r="OHO93" s="167"/>
      <c r="OHP93" s="168"/>
      <c r="OHQ93" s="167"/>
      <c r="OHR93" s="168"/>
      <c r="OHS93" s="167"/>
      <c r="OHT93" s="168"/>
      <c r="OHU93" s="167"/>
      <c r="OHV93" s="168"/>
      <c r="OHW93" s="167"/>
      <c r="OHX93" s="168"/>
      <c r="OHY93" s="167"/>
      <c r="OHZ93" s="168"/>
      <c r="OIA93" s="167"/>
      <c r="OIB93" s="168"/>
      <c r="OIC93" s="167"/>
      <c r="OID93" s="168"/>
      <c r="OIE93" s="167"/>
      <c r="OIF93" s="168"/>
      <c r="OIG93" s="167"/>
      <c r="OIH93" s="168"/>
      <c r="OII93" s="167"/>
      <c r="OIJ93" s="168"/>
      <c r="OIK93" s="167"/>
      <c r="OIL93" s="168"/>
      <c r="OIM93" s="167"/>
      <c r="OIN93" s="168"/>
      <c r="OIO93" s="167"/>
      <c r="OIP93" s="168"/>
      <c r="OIQ93" s="167"/>
      <c r="OIR93" s="168"/>
      <c r="OIS93" s="167"/>
      <c r="OIT93" s="168"/>
      <c r="OIU93" s="167"/>
      <c r="OIV93" s="168"/>
      <c r="OIW93" s="167"/>
      <c r="OIX93" s="168"/>
      <c r="OIY93" s="167"/>
      <c r="OIZ93" s="168"/>
      <c r="OJA93" s="167"/>
      <c r="OJB93" s="168"/>
      <c r="OJC93" s="167"/>
      <c r="OJD93" s="168"/>
      <c r="OJE93" s="167"/>
      <c r="OJF93" s="168"/>
      <c r="OJG93" s="167"/>
      <c r="OJH93" s="168"/>
      <c r="OJI93" s="167"/>
      <c r="OJJ93" s="168"/>
      <c r="OJK93" s="167"/>
      <c r="OJL93" s="168"/>
      <c r="OJM93" s="167"/>
      <c r="OJN93" s="168"/>
      <c r="OJO93" s="167"/>
      <c r="OJP93" s="168"/>
      <c r="OJQ93" s="167"/>
      <c r="OJR93" s="168"/>
      <c r="OJS93" s="167"/>
      <c r="OJT93" s="168"/>
      <c r="OJU93" s="167"/>
      <c r="OJV93" s="168"/>
      <c r="OJW93" s="167"/>
      <c r="OJX93" s="168"/>
      <c r="OJY93" s="167"/>
      <c r="OJZ93" s="168"/>
      <c r="OKA93" s="167"/>
      <c r="OKB93" s="168"/>
      <c r="OKC93" s="167"/>
      <c r="OKD93" s="168"/>
      <c r="OKE93" s="167"/>
      <c r="OKF93" s="168"/>
      <c r="OKG93" s="167"/>
      <c r="OKH93" s="168"/>
      <c r="OKI93" s="167"/>
      <c r="OKJ93" s="168"/>
      <c r="OKK93" s="167"/>
      <c r="OKL93" s="168"/>
      <c r="OKM93" s="167"/>
      <c r="OKN93" s="168"/>
      <c r="OKO93" s="167"/>
      <c r="OKP93" s="168"/>
      <c r="OKQ93" s="167"/>
      <c r="OKR93" s="168"/>
      <c r="OKS93" s="167"/>
      <c r="OKT93" s="168"/>
      <c r="OKU93" s="167"/>
      <c r="OKV93" s="168"/>
      <c r="OKW93" s="167"/>
      <c r="OKX93" s="168"/>
      <c r="OKY93" s="167"/>
      <c r="OKZ93" s="168"/>
      <c r="OLA93" s="167"/>
      <c r="OLB93" s="168"/>
      <c r="OLC93" s="167"/>
      <c r="OLD93" s="168"/>
      <c r="OLE93" s="167"/>
      <c r="OLF93" s="168"/>
      <c r="OLG93" s="167"/>
      <c r="OLH93" s="168"/>
      <c r="OLI93" s="167"/>
      <c r="OLJ93" s="168"/>
      <c r="OLK93" s="167"/>
      <c r="OLL93" s="168"/>
      <c r="OLM93" s="167"/>
      <c r="OLN93" s="168"/>
      <c r="OLO93" s="167"/>
      <c r="OLP93" s="168"/>
      <c r="OLQ93" s="167"/>
      <c r="OLR93" s="168"/>
      <c r="OLS93" s="167"/>
      <c r="OLT93" s="168"/>
      <c r="OLU93" s="167"/>
      <c r="OLV93" s="168"/>
      <c r="OLW93" s="167"/>
      <c r="OLX93" s="168"/>
      <c r="OLY93" s="167"/>
      <c r="OLZ93" s="168"/>
      <c r="OMA93" s="167"/>
      <c r="OMB93" s="168"/>
      <c r="OMC93" s="167"/>
      <c r="OMD93" s="168"/>
      <c r="OME93" s="167"/>
      <c r="OMF93" s="168"/>
      <c r="OMG93" s="167"/>
      <c r="OMH93" s="168"/>
      <c r="OMI93" s="167"/>
      <c r="OMJ93" s="168"/>
      <c r="OMK93" s="167"/>
      <c r="OML93" s="168"/>
      <c r="OMM93" s="167"/>
      <c r="OMN93" s="168"/>
      <c r="OMO93" s="167"/>
      <c r="OMP93" s="168"/>
      <c r="OMQ93" s="167"/>
      <c r="OMR93" s="168"/>
      <c r="OMS93" s="167"/>
      <c r="OMT93" s="168"/>
      <c r="OMU93" s="167"/>
      <c r="OMV93" s="168"/>
      <c r="OMW93" s="167"/>
      <c r="OMX93" s="168"/>
      <c r="OMY93" s="167"/>
      <c r="OMZ93" s="168"/>
      <c r="ONA93" s="167"/>
      <c r="ONB93" s="168"/>
      <c r="ONC93" s="167"/>
      <c r="OND93" s="168"/>
      <c r="ONE93" s="167"/>
      <c r="ONF93" s="168"/>
      <c r="ONG93" s="167"/>
      <c r="ONH93" s="168"/>
      <c r="ONI93" s="167"/>
      <c r="ONJ93" s="168"/>
      <c r="ONK93" s="167"/>
      <c r="ONL93" s="168"/>
      <c r="ONM93" s="167"/>
      <c r="ONN93" s="168"/>
      <c r="ONO93" s="167"/>
      <c r="ONP93" s="168"/>
      <c r="ONQ93" s="167"/>
      <c r="ONR93" s="168"/>
      <c r="ONS93" s="167"/>
      <c r="ONT93" s="168"/>
      <c r="ONU93" s="167"/>
      <c r="ONV93" s="168"/>
      <c r="ONW93" s="167"/>
      <c r="ONX93" s="168"/>
      <c r="ONY93" s="167"/>
      <c r="ONZ93" s="168"/>
      <c r="OOA93" s="167"/>
      <c r="OOB93" s="168"/>
      <c r="OOC93" s="167"/>
      <c r="OOD93" s="168"/>
      <c r="OOE93" s="167"/>
      <c r="OOF93" s="168"/>
      <c r="OOG93" s="167"/>
      <c r="OOH93" s="168"/>
      <c r="OOI93" s="167"/>
      <c r="OOJ93" s="168"/>
      <c r="OOK93" s="167"/>
      <c r="OOL93" s="168"/>
      <c r="OOM93" s="167"/>
      <c r="OON93" s="168"/>
      <c r="OOO93" s="167"/>
      <c r="OOP93" s="168"/>
      <c r="OOQ93" s="167"/>
      <c r="OOR93" s="168"/>
      <c r="OOS93" s="167"/>
      <c r="OOT93" s="168"/>
      <c r="OOU93" s="167"/>
      <c r="OOV93" s="168"/>
      <c r="OOW93" s="167"/>
      <c r="OOX93" s="168"/>
      <c r="OOY93" s="167"/>
      <c r="OOZ93" s="168"/>
      <c r="OPA93" s="167"/>
      <c r="OPB93" s="168"/>
      <c r="OPC93" s="167"/>
      <c r="OPD93" s="168"/>
      <c r="OPE93" s="167"/>
      <c r="OPF93" s="168"/>
      <c r="OPG93" s="167"/>
      <c r="OPH93" s="168"/>
      <c r="OPI93" s="167"/>
      <c r="OPJ93" s="168"/>
      <c r="OPK93" s="167"/>
      <c r="OPL93" s="168"/>
      <c r="OPM93" s="167"/>
      <c r="OPN93" s="168"/>
      <c r="OPO93" s="167"/>
      <c r="OPP93" s="168"/>
      <c r="OPQ93" s="167"/>
      <c r="OPR93" s="168"/>
      <c r="OPS93" s="167"/>
      <c r="OPT93" s="168"/>
      <c r="OPU93" s="167"/>
      <c r="OPV93" s="168"/>
      <c r="OPW93" s="167"/>
      <c r="OPX93" s="168"/>
      <c r="OPY93" s="167"/>
      <c r="OPZ93" s="168"/>
      <c r="OQA93" s="167"/>
      <c r="OQB93" s="168"/>
      <c r="OQC93" s="167"/>
      <c r="OQD93" s="168"/>
      <c r="OQE93" s="167"/>
      <c r="OQF93" s="168"/>
      <c r="OQG93" s="167"/>
      <c r="OQH93" s="168"/>
      <c r="OQI93" s="167"/>
      <c r="OQJ93" s="168"/>
      <c r="OQK93" s="167"/>
      <c r="OQL93" s="168"/>
      <c r="OQM93" s="167"/>
      <c r="OQN93" s="168"/>
      <c r="OQO93" s="167"/>
      <c r="OQP93" s="168"/>
      <c r="OQQ93" s="167"/>
      <c r="OQR93" s="168"/>
      <c r="OQS93" s="167"/>
      <c r="OQT93" s="168"/>
      <c r="OQU93" s="167"/>
      <c r="OQV93" s="168"/>
      <c r="OQW93" s="167"/>
      <c r="OQX93" s="168"/>
      <c r="OQY93" s="167"/>
      <c r="OQZ93" s="168"/>
      <c r="ORA93" s="167"/>
      <c r="ORB93" s="168"/>
      <c r="ORC93" s="167"/>
      <c r="ORD93" s="168"/>
      <c r="ORE93" s="167"/>
      <c r="ORF93" s="168"/>
      <c r="ORG93" s="167"/>
      <c r="ORH93" s="168"/>
      <c r="ORI93" s="167"/>
      <c r="ORJ93" s="168"/>
      <c r="ORK93" s="167"/>
      <c r="ORL93" s="168"/>
      <c r="ORM93" s="167"/>
      <c r="ORN93" s="168"/>
      <c r="ORO93" s="167"/>
      <c r="ORP93" s="168"/>
      <c r="ORQ93" s="167"/>
      <c r="ORR93" s="168"/>
      <c r="ORS93" s="167"/>
      <c r="ORT93" s="168"/>
      <c r="ORU93" s="167"/>
      <c r="ORV93" s="168"/>
      <c r="ORW93" s="167"/>
      <c r="ORX93" s="168"/>
      <c r="ORY93" s="167"/>
      <c r="ORZ93" s="168"/>
      <c r="OSA93" s="167"/>
      <c r="OSB93" s="168"/>
      <c r="OSC93" s="167"/>
      <c r="OSD93" s="168"/>
      <c r="OSE93" s="167"/>
      <c r="OSF93" s="168"/>
      <c r="OSG93" s="167"/>
      <c r="OSH93" s="168"/>
      <c r="OSI93" s="167"/>
      <c r="OSJ93" s="168"/>
      <c r="OSK93" s="167"/>
      <c r="OSL93" s="168"/>
      <c r="OSM93" s="167"/>
      <c r="OSN93" s="168"/>
      <c r="OSO93" s="167"/>
      <c r="OSP93" s="168"/>
      <c r="OSQ93" s="167"/>
      <c r="OSR93" s="168"/>
      <c r="OSS93" s="167"/>
      <c r="OST93" s="168"/>
      <c r="OSU93" s="167"/>
      <c r="OSV93" s="168"/>
      <c r="OSW93" s="167"/>
      <c r="OSX93" s="168"/>
      <c r="OSY93" s="167"/>
      <c r="OSZ93" s="168"/>
      <c r="OTA93" s="167"/>
      <c r="OTB93" s="168"/>
      <c r="OTC93" s="167"/>
      <c r="OTD93" s="168"/>
      <c r="OTE93" s="167"/>
      <c r="OTF93" s="168"/>
      <c r="OTG93" s="167"/>
      <c r="OTH93" s="168"/>
      <c r="OTI93" s="167"/>
      <c r="OTJ93" s="168"/>
      <c r="OTK93" s="167"/>
      <c r="OTL93" s="168"/>
      <c r="OTM93" s="167"/>
      <c r="OTN93" s="168"/>
      <c r="OTO93" s="167"/>
      <c r="OTP93" s="168"/>
      <c r="OTQ93" s="167"/>
      <c r="OTR93" s="168"/>
      <c r="OTS93" s="167"/>
      <c r="OTT93" s="168"/>
      <c r="OTU93" s="167"/>
      <c r="OTV93" s="168"/>
      <c r="OTW93" s="167"/>
      <c r="OTX93" s="168"/>
      <c r="OTY93" s="167"/>
      <c r="OTZ93" s="168"/>
      <c r="OUA93" s="167"/>
      <c r="OUB93" s="168"/>
      <c r="OUC93" s="167"/>
      <c r="OUD93" s="168"/>
      <c r="OUE93" s="167"/>
      <c r="OUF93" s="168"/>
      <c r="OUG93" s="167"/>
      <c r="OUH93" s="168"/>
      <c r="OUI93" s="167"/>
      <c r="OUJ93" s="168"/>
      <c r="OUK93" s="167"/>
      <c r="OUL93" s="168"/>
      <c r="OUM93" s="167"/>
      <c r="OUN93" s="168"/>
      <c r="OUO93" s="167"/>
      <c r="OUP93" s="168"/>
      <c r="OUQ93" s="167"/>
      <c r="OUR93" s="168"/>
      <c r="OUS93" s="167"/>
      <c r="OUT93" s="168"/>
      <c r="OUU93" s="167"/>
      <c r="OUV93" s="168"/>
      <c r="OUW93" s="167"/>
      <c r="OUX93" s="168"/>
      <c r="OUY93" s="167"/>
      <c r="OUZ93" s="168"/>
      <c r="OVA93" s="167"/>
      <c r="OVB93" s="168"/>
      <c r="OVC93" s="167"/>
      <c r="OVD93" s="168"/>
      <c r="OVE93" s="167"/>
      <c r="OVF93" s="168"/>
      <c r="OVG93" s="167"/>
      <c r="OVH93" s="168"/>
      <c r="OVI93" s="167"/>
      <c r="OVJ93" s="168"/>
      <c r="OVK93" s="167"/>
      <c r="OVL93" s="168"/>
      <c r="OVM93" s="167"/>
      <c r="OVN93" s="168"/>
      <c r="OVO93" s="167"/>
      <c r="OVP93" s="168"/>
      <c r="OVQ93" s="167"/>
      <c r="OVR93" s="168"/>
      <c r="OVS93" s="167"/>
      <c r="OVT93" s="168"/>
      <c r="OVU93" s="167"/>
      <c r="OVV93" s="168"/>
      <c r="OVW93" s="167"/>
      <c r="OVX93" s="168"/>
      <c r="OVY93" s="167"/>
      <c r="OVZ93" s="168"/>
      <c r="OWA93" s="167"/>
      <c r="OWB93" s="168"/>
      <c r="OWC93" s="167"/>
      <c r="OWD93" s="168"/>
      <c r="OWE93" s="167"/>
      <c r="OWF93" s="168"/>
      <c r="OWG93" s="167"/>
      <c r="OWH93" s="168"/>
      <c r="OWI93" s="167"/>
      <c r="OWJ93" s="168"/>
      <c r="OWK93" s="167"/>
      <c r="OWL93" s="168"/>
      <c r="OWM93" s="167"/>
      <c r="OWN93" s="168"/>
      <c r="OWO93" s="167"/>
      <c r="OWP93" s="168"/>
      <c r="OWQ93" s="167"/>
      <c r="OWR93" s="168"/>
      <c r="OWS93" s="167"/>
      <c r="OWT93" s="168"/>
      <c r="OWU93" s="167"/>
      <c r="OWV93" s="168"/>
      <c r="OWW93" s="167"/>
      <c r="OWX93" s="168"/>
      <c r="OWY93" s="167"/>
      <c r="OWZ93" s="168"/>
      <c r="OXA93" s="167"/>
      <c r="OXB93" s="168"/>
      <c r="OXC93" s="167"/>
      <c r="OXD93" s="168"/>
      <c r="OXE93" s="167"/>
      <c r="OXF93" s="168"/>
      <c r="OXG93" s="167"/>
      <c r="OXH93" s="168"/>
      <c r="OXI93" s="167"/>
      <c r="OXJ93" s="168"/>
      <c r="OXK93" s="167"/>
      <c r="OXL93" s="168"/>
      <c r="OXM93" s="167"/>
      <c r="OXN93" s="168"/>
      <c r="OXO93" s="167"/>
      <c r="OXP93" s="168"/>
      <c r="OXQ93" s="167"/>
      <c r="OXR93" s="168"/>
      <c r="OXS93" s="167"/>
      <c r="OXT93" s="168"/>
      <c r="OXU93" s="167"/>
      <c r="OXV93" s="168"/>
      <c r="OXW93" s="167"/>
      <c r="OXX93" s="168"/>
      <c r="OXY93" s="167"/>
      <c r="OXZ93" s="168"/>
      <c r="OYA93" s="167"/>
      <c r="OYB93" s="168"/>
      <c r="OYC93" s="167"/>
      <c r="OYD93" s="168"/>
      <c r="OYE93" s="167"/>
      <c r="OYF93" s="168"/>
      <c r="OYG93" s="167"/>
      <c r="OYH93" s="168"/>
      <c r="OYI93" s="167"/>
      <c r="OYJ93" s="168"/>
      <c r="OYK93" s="167"/>
      <c r="OYL93" s="168"/>
      <c r="OYM93" s="167"/>
      <c r="OYN93" s="168"/>
      <c r="OYO93" s="167"/>
      <c r="OYP93" s="168"/>
      <c r="OYQ93" s="167"/>
      <c r="OYR93" s="168"/>
      <c r="OYS93" s="167"/>
      <c r="OYT93" s="168"/>
      <c r="OYU93" s="167"/>
      <c r="OYV93" s="168"/>
      <c r="OYW93" s="167"/>
      <c r="OYX93" s="168"/>
      <c r="OYY93" s="167"/>
      <c r="OYZ93" s="168"/>
      <c r="OZA93" s="167"/>
      <c r="OZB93" s="168"/>
      <c r="OZC93" s="167"/>
      <c r="OZD93" s="168"/>
      <c r="OZE93" s="167"/>
      <c r="OZF93" s="168"/>
      <c r="OZG93" s="167"/>
      <c r="OZH93" s="168"/>
      <c r="OZI93" s="167"/>
      <c r="OZJ93" s="168"/>
      <c r="OZK93" s="167"/>
      <c r="OZL93" s="168"/>
      <c r="OZM93" s="167"/>
      <c r="OZN93" s="168"/>
      <c r="OZO93" s="167"/>
      <c r="OZP93" s="168"/>
      <c r="OZQ93" s="167"/>
      <c r="OZR93" s="168"/>
      <c r="OZS93" s="167"/>
      <c r="OZT93" s="168"/>
      <c r="OZU93" s="167"/>
      <c r="OZV93" s="168"/>
      <c r="OZW93" s="167"/>
      <c r="OZX93" s="168"/>
      <c r="OZY93" s="167"/>
      <c r="OZZ93" s="168"/>
      <c r="PAA93" s="167"/>
      <c r="PAB93" s="168"/>
      <c r="PAC93" s="167"/>
      <c r="PAD93" s="168"/>
      <c r="PAE93" s="167"/>
      <c r="PAF93" s="168"/>
      <c r="PAG93" s="167"/>
      <c r="PAH93" s="168"/>
      <c r="PAI93" s="167"/>
      <c r="PAJ93" s="168"/>
      <c r="PAK93" s="167"/>
      <c r="PAL93" s="168"/>
      <c r="PAM93" s="167"/>
      <c r="PAN93" s="168"/>
      <c r="PAO93" s="167"/>
      <c r="PAP93" s="168"/>
      <c r="PAQ93" s="167"/>
      <c r="PAR93" s="168"/>
      <c r="PAS93" s="167"/>
      <c r="PAT93" s="168"/>
      <c r="PAU93" s="167"/>
      <c r="PAV93" s="168"/>
      <c r="PAW93" s="167"/>
      <c r="PAX93" s="168"/>
      <c r="PAY93" s="167"/>
      <c r="PAZ93" s="168"/>
      <c r="PBA93" s="167"/>
      <c r="PBB93" s="168"/>
      <c r="PBC93" s="167"/>
      <c r="PBD93" s="168"/>
      <c r="PBE93" s="167"/>
      <c r="PBF93" s="168"/>
      <c r="PBG93" s="167"/>
      <c r="PBH93" s="168"/>
      <c r="PBI93" s="167"/>
      <c r="PBJ93" s="168"/>
      <c r="PBK93" s="167"/>
      <c r="PBL93" s="168"/>
      <c r="PBM93" s="167"/>
      <c r="PBN93" s="168"/>
      <c r="PBO93" s="167"/>
      <c r="PBP93" s="168"/>
      <c r="PBQ93" s="167"/>
      <c r="PBR93" s="168"/>
      <c r="PBS93" s="167"/>
      <c r="PBT93" s="168"/>
      <c r="PBU93" s="167"/>
      <c r="PBV93" s="168"/>
      <c r="PBW93" s="167"/>
      <c r="PBX93" s="168"/>
      <c r="PBY93" s="167"/>
      <c r="PBZ93" s="168"/>
      <c r="PCA93" s="167"/>
      <c r="PCB93" s="168"/>
      <c r="PCC93" s="167"/>
      <c r="PCD93" s="168"/>
      <c r="PCE93" s="167"/>
      <c r="PCF93" s="168"/>
      <c r="PCG93" s="167"/>
      <c r="PCH93" s="168"/>
      <c r="PCI93" s="167"/>
      <c r="PCJ93" s="168"/>
      <c r="PCK93" s="167"/>
      <c r="PCL93" s="168"/>
      <c r="PCM93" s="167"/>
      <c r="PCN93" s="168"/>
      <c r="PCO93" s="167"/>
      <c r="PCP93" s="168"/>
      <c r="PCQ93" s="167"/>
      <c r="PCR93" s="168"/>
      <c r="PCS93" s="167"/>
      <c r="PCT93" s="168"/>
      <c r="PCU93" s="167"/>
      <c r="PCV93" s="168"/>
      <c r="PCW93" s="167"/>
      <c r="PCX93" s="168"/>
      <c r="PCY93" s="167"/>
      <c r="PCZ93" s="168"/>
      <c r="PDA93" s="167"/>
      <c r="PDB93" s="168"/>
      <c r="PDC93" s="167"/>
      <c r="PDD93" s="168"/>
      <c r="PDE93" s="167"/>
      <c r="PDF93" s="168"/>
      <c r="PDG93" s="167"/>
      <c r="PDH93" s="168"/>
      <c r="PDI93" s="167"/>
      <c r="PDJ93" s="168"/>
      <c r="PDK93" s="167"/>
      <c r="PDL93" s="168"/>
      <c r="PDM93" s="167"/>
      <c r="PDN93" s="168"/>
      <c r="PDO93" s="167"/>
      <c r="PDP93" s="168"/>
      <c r="PDQ93" s="167"/>
      <c r="PDR93" s="168"/>
      <c r="PDS93" s="167"/>
      <c r="PDT93" s="168"/>
      <c r="PDU93" s="167"/>
      <c r="PDV93" s="168"/>
      <c r="PDW93" s="167"/>
      <c r="PDX93" s="168"/>
      <c r="PDY93" s="167"/>
      <c r="PDZ93" s="168"/>
      <c r="PEA93" s="167"/>
      <c r="PEB93" s="168"/>
      <c r="PEC93" s="167"/>
      <c r="PED93" s="168"/>
      <c r="PEE93" s="167"/>
      <c r="PEF93" s="168"/>
      <c r="PEG93" s="167"/>
      <c r="PEH93" s="168"/>
      <c r="PEI93" s="167"/>
      <c r="PEJ93" s="168"/>
      <c r="PEK93" s="167"/>
      <c r="PEL93" s="168"/>
      <c r="PEM93" s="167"/>
      <c r="PEN93" s="168"/>
      <c r="PEO93" s="167"/>
      <c r="PEP93" s="168"/>
      <c r="PEQ93" s="167"/>
      <c r="PER93" s="168"/>
      <c r="PES93" s="167"/>
      <c r="PET93" s="168"/>
      <c r="PEU93" s="167"/>
      <c r="PEV93" s="168"/>
      <c r="PEW93" s="167"/>
      <c r="PEX93" s="168"/>
      <c r="PEY93" s="167"/>
      <c r="PEZ93" s="168"/>
      <c r="PFA93" s="167"/>
      <c r="PFB93" s="168"/>
      <c r="PFC93" s="167"/>
      <c r="PFD93" s="168"/>
      <c r="PFE93" s="167"/>
      <c r="PFF93" s="168"/>
      <c r="PFG93" s="167"/>
      <c r="PFH93" s="168"/>
      <c r="PFI93" s="167"/>
      <c r="PFJ93" s="168"/>
      <c r="PFK93" s="167"/>
      <c r="PFL93" s="168"/>
      <c r="PFM93" s="167"/>
      <c r="PFN93" s="168"/>
      <c r="PFO93" s="167"/>
      <c r="PFP93" s="168"/>
      <c r="PFQ93" s="167"/>
      <c r="PFR93" s="168"/>
      <c r="PFS93" s="167"/>
      <c r="PFT93" s="168"/>
      <c r="PFU93" s="167"/>
      <c r="PFV93" s="168"/>
      <c r="PFW93" s="167"/>
      <c r="PFX93" s="168"/>
      <c r="PFY93" s="167"/>
      <c r="PFZ93" s="168"/>
      <c r="PGA93" s="167"/>
      <c r="PGB93" s="168"/>
      <c r="PGC93" s="167"/>
      <c r="PGD93" s="168"/>
      <c r="PGE93" s="167"/>
      <c r="PGF93" s="168"/>
      <c r="PGG93" s="167"/>
      <c r="PGH93" s="168"/>
      <c r="PGI93" s="167"/>
      <c r="PGJ93" s="168"/>
      <c r="PGK93" s="167"/>
      <c r="PGL93" s="168"/>
      <c r="PGM93" s="167"/>
      <c r="PGN93" s="168"/>
      <c r="PGO93" s="167"/>
      <c r="PGP93" s="168"/>
      <c r="PGQ93" s="167"/>
      <c r="PGR93" s="168"/>
      <c r="PGS93" s="167"/>
      <c r="PGT93" s="168"/>
      <c r="PGU93" s="167"/>
      <c r="PGV93" s="168"/>
      <c r="PGW93" s="167"/>
      <c r="PGX93" s="168"/>
      <c r="PGY93" s="167"/>
      <c r="PGZ93" s="168"/>
      <c r="PHA93" s="167"/>
      <c r="PHB93" s="168"/>
      <c r="PHC93" s="167"/>
      <c r="PHD93" s="168"/>
      <c r="PHE93" s="167"/>
      <c r="PHF93" s="168"/>
      <c r="PHG93" s="167"/>
      <c r="PHH93" s="168"/>
      <c r="PHI93" s="167"/>
      <c r="PHJ93" s="168"/>
      <c r="PHK93" s="167"/>
      <c r="PHL93" s="168"/>
      <c r="PHM93" s="167"/>
      <c r="PHN93" s="168"/>
      <c r="PHO93" s="167"/>
      <c r="PHP93" s="168"/>
      <c r="PHQ93" s="167"/>
      <c r="PHR93" s="168"/>
      <c r="PHS93" s="167"/>
      <c r="PHT93" s="168"/>
      <c r="PHU93" s="167"/>
      <c r="PHV93" s="168"/>
      <c r="PHW93" s="167"/>
      <c r="PHX93" s="168"/>
      <c r="PHY93" s="167"/>
      <c r="PHZ93" s="168"/>
      <c r="PIA93" s="167"/>
      <c r="PIB93" s="168"/>
      <c r="PIC93" s="167"/>
      <c r="PID93" s="168"/>
      <c r="PIE93" s="167"/>
      <c r="PIF93" s="168"/>
      <c r="PIG93" s="167"/>
      <c r="PIH93" s="168"/>
      <c r="PII93" s="167"/>
      <c r="PIJ93" s="168"/>
      <c r="PIK93" s="167"/>
      <c r="PIL93" s="168"/>
      <c r="PIM93" s="167"/>
      <c r="PIN93" s="168"/>
      <c r="PIO93" s="167"/>
      <c r="PIP93" s="168"/>
      <c r="PIQ93" s="167"/>
      <c r="PIR93" s="168"/>
      <c r="PIS93" s="167"/>
      <c r="PIT93" s="168"/>
      <c r="PIU93" s="167"/>
      <c r="PIV93" s="168"/>
      <c r="PIW93" s="167"/>
      <c r="PIX93" s="168"/>
      <c r="PIY93" s="167"/>
      <c r="PIZ93" s="168"/>
      <c r="PJA93" s="167"/>
      <c r="PJB93" s="168"/>
      <c r="PJC93" s="167"/>
      <c r="PJD93" s="168"/>
      <c r="PJE93" s="167"/>
      <c r="PJF93" s="168"/>
      <c r="PJG93" s="167"/>
      <c r="PJH93" s="168"/>
      <c r="PJI93" s="167"/>
      <c r="PJJ93" s="168"/>
      <c r="PJK93" s="167"/>
      <c r="PJL93" s="168"/>
      <c r="PJM93" s="167"/>
      <c r="PJN93" s="168"/>
      <c r="PJO93" s="167"/>
      <c r="PJP93" s="168"/>
      <c r="PJQ93" s="167"/>
      <c r="PJR93" s="168"/>
      <c r="PJS93" s="167"/>
      <c r="PJT93" s="168"/>
      <c r="PJU93" s="167"/>
      <c r="PJV93" s="168"/>
      <c r="PJW93" s="167"/>
      <c r="PJX93" s="168"/>
      <c r="PJY93" s="167"/>
      <c r="PJZ93" s="168"/>
      <c r="PKA93" s="167"/>
      <c r="PKB93" s="168"/>
      <c r="PKC93" s="167"/>
      <c r="PKD93" s="168"/>
      <c r="PKE93" s="167"/>
      <c r="PKF93" s="168"/>
      <c r="PKG93" s="167"/>
      <c r="PKH93" s="168"/>
      <c r="PKI93" s="167"/>
      <c r="PKJ93" s="168"/>
      <c r="PKK93" s="167"/>
      <c r="PKL93" s="168"/>
      <c r="PKM93" s="167"/>
      <c r="PKN93" s="168"/>
      <c r="PKO93" s="167"/>
      <c r="PKP93" s="168"/>
      <c r="PKQ93" s="167"/>
      <c r="PKR93" s="168"/>
      <c r="PKS93" s="167"/>
      <c r="PKT93" s="168"/>
      <c r="PKU93" s="167"/>
      <c r="PKV93" s="168"/>
      <c r="PKW93" s="167"/>
      <c r="PKX93" s="168"/>
      <c r="PKY93" s="167"/>
      <c r="PKZ93" s="168"/>
      <c r="PLA93" s="167"/>
      <c r="PLB93" s="168"/>
      <c r="PLC93" s="167"/>
      <c r="PLD93" s="168"/>
      <c r="PLE93" s="167"/>
      <c r="PLF93" s="168"/>
      <c r="PLG93" s="167"/>
      <c r="PLH93" s="168"/>
      <c r="PLI93" s="167"/>
      <c r="PLJ93" s="168"/>
      <c r="PLK93" s="167"/>
      <c r="PLL93" s="168"/>
      <c r="PLM93" s="167"/>
      <c r="PLN93" s="168"/>
      <c r="PLO93" s="167"/>
      <c r="PLP93" s="168"/>
      <c r="PLQ93" s="167"/>
      <c r="PLR93" s="168"/>
      <c r="PLS93" s="167"/>
      <c r="PLT93" s="168"/>
      <c r="PLU93" s="167"/>
      <c r="PLV93" s="168"/>
      <c r="PLW93" s="167"/>
      <c r="PLX93" s="168"/>
      <c r="PLY93" s="167"/>
      <c r="PLZ93" s="168"/>
      <c r="PMA93" s="167"/>
      <c r="PMB93" s="168"/>
      <c r="PMC93" s="167"/>
      <c r="PMD93" s="168"/>
      <c r="PME93" s="167"/>
      <c r="PMF93" s="168"/>
      <c r="PMG93" s="167"/>
      <c r="PMH93" s="168"/>
      <c r="PMI93" s="167"/>
      <c r="PMJ93" s="168"/>
      <c r="PMK93" s="167"/>
      <c r="PML93" s="168"/>
      <c r="PMM93" s="167"/>
      <c r="PMN93" s="168"/>
      <c r="PMO93" s="167"/>
      <c r="PMP93" s="168"/>
      <c r="PMQ93" s="167"/>
      <c r="PMR93" s="168"/>
      <c r="PMS93" s="167"/>
      <c r="PMT93" s="168"/>
      <c r="PMU93" s="167"/>
      <c r="PMV93" s="168"/>
      <c r="PMW93" s="167"/>
      <c r="PMX93" s="168"/>
      <c r="PMY93" s="167"/>
      <c r="PMZ93" s="168"/>
      <c r="PNA93" s="167"/>
      <c r="PNB93" s="168"/>
      <c r="PNC93" s="167"/>
      <c r="PND93" s="168"/>
      <c r="PNE93" s="167"/>
      <c r="PNF93" s="168"/>
      <c r="PNG93" s="167"/>
      <c r="PNH93" s="168"/>
      <c r="PNI93" s="167"/>
      <c r="PNJ93" s="168"/>
      <c r="PNK93" s="167"/>
      <c r="PNL93" s="168"/>
      <c r="PNM93" s="167"/>
      <c r="PNN93" s="168"/>
      <c r="PNO93" s="167"/>
      <c r="PNP93" s="168"/>
      <c r="PNQ93" s="167"/>
      <c r="PNR93" s="168"/>
      <c r="PNS93" s="167"/>
      <c r="PNT93" s="168"/>
      <c r="PNU93" s="167"/>
      <c r="PNV93" s="168"/>
      <c r="PNW93" s="167"/>
      <c r="PNX93" s="168"/>
      <c r="PNY93" s="167"/>
      <c r="PNZ93" s="168"/>
      <c r="POA93" s="167"/>
      <c r="POB93" s="168"/>
      <c r="POC93" s="167"/>
      <c r="POD93" s="168"/>
      <c r="POE93" s="167"/>
      <c r="POF93" s="168"/>
      <c r="POG93" s="167"/>
      <c r="POH93" s="168"/>
      <c r="POI93" s="167"/>
      <c r="POJ93" s="168"/>
      <c r="POK93" s="167"/>
      <c r="POL93" s="168"/>
      <c r="POM93" s="167"/>
      <c r="PON93" s="168"/>
      <c r="POO93" s="167"/>
      <c r="POP93" s="168"/>
      <c r="POQ93" s="167"/>
      <c r="POR93" s="168"/>
      <c r="POS93" s="167"/>
      <c r="POT93" s="168"/>
      <c r="POU93" s="167"/>
      <c r="POV93" s="168"/>
      <c r="POW93" s="167"/>
      <c r="POX93" s="168"/>
      <c r="POY93" s="167"/>
      <c r="POZ93" s="168"/>
      <c r="PPA93" s="167"/>
      <c r="PPB93" s="168"/>
      <c r="PPC93" s="167"/>
      <c r="PPD93" s="168"/>
      <c r="PPE93" s="167"/>
      <c r="PPF93" s="168"/>
      <c r="PPG93" s="167"/>
      <c r="PPH93" s="168"/>
      <c r="PPI93" s="167"/>
      <c r="PPJ93" s="168"/>
      <c r="PPK93" s="167"/>
      <c r="PPL93" s="168"/>
      <c r="PPM93" s="167"/>
      <c r="PPN93" s="168"/>
      <c r="PPO93" s="167"/>
      <c r="PPP93" s="168"/>
      <c r="PPQ93" s="167"/>
      <c r="PPR93" s="168"/>
      <c r="PPS93" s="167"/>
      <c r="PPT93" s="168"/>
      <c r="PPU93" s="167"/>
      <c r="PPV93" s="168"/>
      <c r="PPW93" s="167"/>
      <c r="PPX93" s="168"/>
      <c r="PPY93" s="167"/>
      <c r="PPZ93" s="168"/>
      <c r="PQA93" s="167"/>
      <c r="PQB93" s="168"/>
      <c r="PQC93" s="167"/>
      <c r="PQD93" s="168"/>
      <c r="PQE93" s="167"/>
      <c r="PQF93" s="168"/>
      <c r="PQG93" s="167"/>
      <c r="PQH93" s="168"/>
      <c r="PQI93" s="167"/>
      <c r="PQJ93" s="168"/>
      <c r="PQK93" s="167"/>
      <c r="PQL93" s="168"/>
      <c r="PQM93" s="167"/>
      <c r="PQN93" s="168"/>
      <c r="PQO93" s="167"/>
      <c r="PQP93" s="168"/>
      <c r="PQQ93" s="167"/>
      <c r="PQR93" s="168"/>
      <c r="PQS93" s="167"/>
      <c r="PQT93" s="168"/>
      <c r="PQU93" s="167"/>
      <c r="PQV93" s="168"/>
      <c r="PQW93" s="167"/>
      <c r="PQX93" s="168"/>
      <c r="PQY93" s="167"/>
      <c r="PQZ93" s="168"/>
      <c r="PRA93" s="167"/>
      <c r="PRB93" s="168"/>
      <c r="PRC93" s="167"/>
      <c r="PRD93" s="168"/>
      <c r="PRE93" s="167"/>
      <c r="PRF93" s="168"/>
      <c r="PRG93" s="167"/>
      <c r="PRH93" s="168"/>
      <c r="PRI93" s="167"/>
      <c r="PRJ93" s="168"/>
      <c r="PRK93" s="167"/>
      <c r="PRL93" s="168"/>
      <c r="PRM93" s="167"/>
      <c r="PRN93" s="168"/>
      <c r="PRO93" s="167"/>
      <c r="PRP93" s="168"/>
      <c r="PRQ93" s="167"/>
      <c r="PRR93" s="168"/>
      <c r="PRS93" s="167"/>
      <c r="PRT93" s="168"/>
      <c r="PRU93" s="167"/>
      <c r="PRV93" s="168"/>
      <c r="PRW93" s="167"/>
      <c r="PRX93" s="168"/>
      <c r="PRY93" s="167"/>
      <c r="PRZ93" s="168"/>
      <c r="PSA93" s="167"/>
      <c r="PSB93" s="168"/>
      <c r="PSC93" s="167"/>
      <c r="PSD93" s="168"/>
      <c r="PSE93" s="167"/>
      <c r="PSF93" s="168"/>
      <c r="PSG93" s="167"/>
      <c r="PSH93" s="168"/>
      <c r="PSI93" s="167"/>
      <c r="PSJ93" s="168"/>
      <c r="PSK93" s="167"/>
      <c r="PSL93" s="168"/>
      <c r="PSM93" s="167"/>
      <c r="PSN93" s="168"/>
      <c r="PSO93" s="167"/>
      <c r="PSP93" s="168"/>
      <c r="PSQ93" s="167"/>
      <c r="PSR93" s="168"/>
      <c r="PSS93" s="167"/>
      <c r="PST93" s="168"/>
      <c r="PSU93" s="167"/>
      <c r="PSV93" s="168"/>
      <c r="PSW93" s="167"/>
      <c r="PSX93" s="168"/>
      <c r="PSY93" s="167"/>
      <c r="PSZ93" s="168"/>
      <c r="PTA93" s="167"/>
      <c r="PTB93" s="168"/>
      <c r="PTC93" s="167"/>
      <c r="PTD93" s="168"/>
      <c r="PTE93" s="167"/>
      <c r="PTF93" s="168"/>
      <c r="PTG93" s="167"/>
      <c r="PTH93" s="168"/>
      <c r="PTI93" s="167"/>
      <c r="PTJ93" s="168"/>
      <c r="PTK93" s="167"/>
      <c r="PTL93" s="168"/>
      <c r="PTM93" s="167"/>
      <c r="PTN93" s="168"/>
      <c r="PTO93" s="167"/>
      <c r="PTP93" s="168"/>
      <c r="PTQ93" s="167"/>
      <c r="PTR93" s="168"/>
      <c r="PTS93" s="167"/>
      <c r="PTT93" s="168"/>
      <c r="PTU93" s="167"/>
      <c r="PTV93" s="168"/>
      <c r="PTW93" s="167"/>
      <c r="PTX93" s="168"/>
      <c r="PTY93" s="167"/>
      <c r="PTZ93" s="168"/>
      <c r="PUA93" s="167"/>
      <c r="PUB93" s="168"/>
      <c r="PUC93" s="167"/>
      <c r="PUD93" s="168"/>
      <c r="PUE93" s="167"/>
      <c r="PUF93" s="168"/>
      <c r="PUG93" s="167"/>
      <c r="PUH93" s="168"/>
      <c r="PUI93" s="167"/>
      <c r="PUJ93" s="168"/>
      <c r="PUK93" s="167"/>
      <c r="PUL93" s="168"/>
      <c r="PUM93" s="167"/>
      <c r="PUN93" s="168"/>
      <c r="PUO93" s="167"/>
      <c r="PUP93" s="168"/>
      <c r="PUQ93" s="167"/>
      <c r="PUR93" s="168"/>
      <c r="PUS93" s="167"/>
      <c r="PUT93" s="168"/>
      <c r="PUU93" s="167"/>
      <c r="PUV93" s="168"/>
      <c r="PUW93" s="167"/>
      <c r="PUX93" s="168"/>
      <c r="PUY93" s="167"/>
      <c r="PUZ93" s="168"/>
      <c r="PVA93" s="167"/>
      <c r="PVB93" s="168"/>
      <c r="PVC93" s="167"/>
      <c r="PVD93" s="168"/>
      <c r="PVE93" s="167"/>
      <c r="PVF93" s="168"/>
      <c r="PVG93" s="167"/>
      <c r="PVH93" s="168"/>
      <c r="PVI93" s="167"/>
      <c r="PVJ93" s="168"/>
      <c r="PVK93" s="167"/>
      <c r="PVL93" s="168"/>
      <c r="PVM93" s="167"/>
      <c r="PVN93" s="168"/>
      <c r="PVO93" s="167"/>
      <c r="PVP93" s="168"/>
      <c r="PVQ93" s="167"/>
      <c r="PVR93" s="168"/>
      <c r="PVS93" s="167"/>
      <c r="PVT93" s="168"/>
      <c r="PVU93" s="167"/>
      <c r="PVV93" s="168"/>
      <c r="PVW93" s="167"/>
      <c r="PVX93" s="168"/>
      <c r="PVY93" s="167"/>
      <c r="PVZ93" s="168"/>
      <c r="PWA93" s="167"/>
      <c r="PWB93" s="168"/>
      <c r="PWC93" s="167"/>
      <c r="PWD93" s="168"/>
      <c r="PWE93" s="167"/>
      <c r="PWF93" s="168"/>
      <c r="PWG93" s="167"/>
      <c r="PWH93" s="168"/>
      <c r="PWI93" s="167"/>
      <c r="PWJ93" s="168"/>
      <c r="PWK93" s="167"/>
      <c r="PWL93" s="168"/>
      <c r="PWM93" s="167"/>
      <c r="PWN93" s="168"/>
      <c r="PWO93" s="167"/>
      <c r="PWP93" s="168"/>
      <c r="PWQ93" s="167"/>
      <c r="PWR93" s="168"/>
      <c r="PWS93" s="167"/>
      <c r="PWT93" s="168"/>
      <c r="PWU93" s="167"/>
      <c r="PWV93" s="168"/>
      <c r="PWW93" s="167"/>
      <c r="PWX93" s="168"/>
      <c r="PWY93" s="167"/>
      <c r="PWZ93" s="168"/>
      <c r="PXA93" s="167"/>
      <c r="PXB93" s="168"/>
      <c r="PXC93" s="167"/>
      <c r="PXD93" s="168"/>
      <c r="PXE93" s="167"/>
      <c r="PXF93" s="168"/>
      <c r="PXG93" s="167"/>
      <c r="PXH93" s="168"/>
      <c r="PXI93" s="167"/>
      <c r="PXJ93" s="168"/>
      <c r="PXK93" s="167"/>
      <c r="PXL93" s="168"/>
      <c r="PXM93" s="167"/>
      <c r="PXN93" s="168"/>
      <c r="PXO93" s="167"/>
      <c r="PXP93" s="168"/>
      <c r="PXQ93" s="167"/>
      <c r="PXR93" s="168"/>
      <c r="PXS93" s="167"/>
      <c r="PXT93" s="168"/>
      <c r="PXU93" s="167"/>
      <c r="PXV93" s="168"/>
      <c r="PXW93" s="167"/>
      <c r="PXX93" s="168"/>
      <c r="PXY93" s="167"/>
      <c r="PXZ93" s="168"/>
      <c r="PYA93" s="167"/>
      <c r="PYB93" s="168"/>
      <c r="PYC93" s="167"/>
      <c r="PYD93" s="168"/>
      <c r="PYE93" s="167"/>
      <c r="PYF93" s="168"/>
      <c r="PYG93" s="167"/>
      <c r="PYH93" s="168"/>
      <c r="PYI93" s="167"/>
      <c r="PYJ93" s="168"/>
      <c r="PYK93" s="167"/>
      <c r="PYL93" s="168"/>
      <c r="PYM93" s="167"/>
      <c r="PYN93" s="168"/>
      <c r="PYO93" s="167"/>
      <c r="PYP93" s="168"/>
      <c r="PYQ93" s="167"/>
      <c r="PYR93" s="168"/>
      <c r="PYS93" s="167"/>
      <c r="PYT93" s="168"/>
      <c r="PYU93" s="167"/>
      <c r="PYV93" s="168"/>
      <c r="PYW93" s="167"/>
      <c r="PYX93" s="168"/>
      <c r="PYY93" s="167"/>
      <c r="PYZ93" s="168"/>
      <c r="PZA93" s="167"/>
      <c r="PZB93" s="168"/>
      <c r="PZC93" s="167"/>
      <c r="PZD93" s="168"/>
      <c r="PZE93" s="167"/>
      <c r="PZF93" s="168"/>
      <c r="PZG93" s="167"/>
      <c r="PZH93" s="168"/>
      <c r="PZI93" s="167"/>
      <c r="PZJ93" s="168"/>
      <c r="PZK93" s="167"/>
      <c r="PZL93" s="168"/>
      <c r="PZM93" s="167"/>
      <c r="PZN93" s="168"/>
      <c r="PZO93" s="167"/>
      <c r="PZP93" s="168"/>
      <c r="PZQ93" s="167"/>
      <c r="PZR93" s="168"/>
      <c r="PZS93" s="167"/>
      <c r="PZT93" s="168"/>
      <c r="PZU93" s="167"/>
      <c r="PZV93" s="168"/>
      <c r="PZW93" s="167"/>
      <c r="PZX93" s="168"/>
      <c r="PZY93" s="167"/>
      <c r="PZZ93" s="168"/>
      <c r="QAA93" s="167"/>
      <c r="QAB93" s="168"/>
      <c r="QAC93" s="167"/>
      <c r="QAD93" s="168"/>
      <c r="QAE93" s="167"/>
      <c r="QAF93" s="168"/>
      <c r="QAG93" s="167"/>
      <c r="QAH93" s="168"/>
      <c r="QAI93" s="167"/>
      <c r="QAJ93" s="168"/>
      <c r="QAK93" s="167"/>
      <c r="QAL93" s="168"/>
      <c r="QAM93" s="167"/>
      <c r="QAN93" s="168"/>
      <c r="QAO93" s="167"/>
      <c r="QAP93" s="168"/>
      <c r="QAQ93" s="167"/>
      <c r="QAR93" s="168"/>
      <c r="QAS93" s="167"/>
      <c r="QAT93" s="168"/>
      <c r="QAU93" s="167"/>
      <c r="QAV93" s="168"/>
      <c r="QAW93" s="167"/>
      <c r="QAX93" s="168"/>
      <c r="QAY93" s="167"/>
      <c r="QAZ93" s="168"/>
      <c r="QBA93" s="167"/>
      <c r="QBB93" s="168"/>
      <c r="QBC93" s="167"/>
      <c r="QBD93" s="168"/>
      <c r="QBE93" s="167"/>
      <c r="QBF93" s="168"/>
      <c r="QBG93" s="167"/>
      <c r="QBH93" s="168"/>
      <c r="QBI93" s="167"/>
      <c r="QBJ93" s="168"/>
      <c r="QBK93" s="167"/>
      <c r="QBL93" s="168"/>
      <c r="QBM93" s="167"/>
      <c r="QBN93" s="168"/>
      <c r="QBO93" s="167"/>
      <c r="QBP93" s="168"/>
      <c r="QBQ93" s="167"/>
      <c r="QBR93" s="168"/>
      <c r="QBS93" s="167"/>
      <c r="QBT93" s="168"/>
      <c r="QBU93" s="167"/>
      <c r="QBV93" s="168"/>
      <c r="QBW93" s="167"/>
      <c r="QBX93" s="168"/>
      <c r="QBY93" s="167"/>
      <c r="QBZ93" s="168"/>
      <c r="QCA93" s="167"/>
      <c r="QCB93" s="168"/>
      <c r="QCC93" s="167"/>
      <c r="QCD93" s="168"/>
      <c r="QCE93" s="167"/>
      <c r="QCF93" s="168"/>
      <c r="QCG93" s="167"/>
      <c r="QCH93" s="168"/>
      <c r="QCI93" s="167"/>
      <c r="QCJ93" s="168"/>
      <c r="QCK93" s="167"/>
      <c r="QCL93" s="168"/>
      <c r="QCM93" s="167"/>
      <c r="QCN93" s="168"/>
      <c r="QCO93" s="167"/>
      <c r="QCP93" s="168"/>
      <c r="QCQ93" s="167"/>
      <c r="QCR93" s="168"/>
      <c r="QCS93" s="167"/>
      <c r="QCT93" s="168"/>
      <c r="QCU93" s="167"/>
      <c r="QCV93" s="168"/>
      <c r="QCW93" s="167"/>
      <c r="QCX93" s="168"/>
      <c r="QCY93" s="167"/>
      <c r="QCZ93" s="168"/>
      <c r="QDA93" s="167"/>
      <c r="QDB93" s="168"/>
      <c r="QDC93" s="167"/>
      <c r="QDD93" s="168"/>
      <c r="QDE93" s="167"/>
      <c r="QDF93" s="168"/>
      <c r="QDG93" s="167"/>
      <c r="QDH93" s="168"/>
      <c r="QDI93" s="167"/>
      <c r="QDJ93" s="168"/>
      <c r="QDK93" s="167"/>
      <c r="QDL93" s="168"/>
      <c r="QDM93" s="167"/>
      <c r="QDN93" s="168"/>
      <c r="QDO93" s="167"/>
      <c r="QDP93" s="168"/>
      <c r="QDQ93" s="167"/>
      <c r="QDR93" s="168"/>
      <c r="QDS93" s="167"/>
      <c r="QDT93" s="168"/>
      <c r="QDU93" s="167"/>
      <c r="QDV93" s="168"/>
      <c r="QDW93" s="167"/>
      <c r="QDX93" s="168"/>
      <c r="QDY93" s="167"/>
      <c r="QDZ93" s="168"/>
      <c r="QEA93" s="167"/>
      <c r="QEB93" s="168"/>
      <c r="QEC93" s="167"/>
      <c r="QED93" s="168"/>
      <c r="QEE93" s="167"/>
      <c r="QEF93" s="168"/>
      <c r="QEG93" s="167"/>
      <c r="QEH93" s="168"/>
      <c r="QEI93" s="167"/>
      <c r="QEJ93" s="168"/>
      <c r="QEK93" s="167"/>
      <c r="QEL93" s="168"/>
      <c r="QEM93" s="167"/>
      <c r="QEN93" s="168"/>
      <c r="QEO93" s="167"/>
      <c r="QEP93" s="168"/>
      <c r="QEQ93" s="167"/>
      <c r="QER93" s="168"/>
      <c r="QES93" s="167"/>
      <c r="QET93" s="168"/>
      <c r="QEU93" s="167"/>
      <c r="QEV93" s="168"/>
      <c r="QEW93" s="167"/>
      <c r="QEX93" s="168"/>
      <c r="QEY93" s="167"/>
      <c r="QEZ93" s="168"/>
      <c r="QFA93" s="167"/>
      <c r="QFB93" s="168"/>
      <c r="QFC93" s="167"/>
      <c r="QFD93" s="168"/>
      <c r="QFE93" s="167"/>
      <c r="QFF93" s="168"/>
      <c r="QFG93" s="167"/>
      <c r="QFH93" s="168"/>
      <c r="QFI93" s="167"/>
      <c r="QFJ93" s="168"/>
      <c r="QFK93" s="167"/>
      <c r="QFL93" s="168"/>
      <c r="QFM93" s="167"/>
      <c r="QFN93" s="168"/>
      <c r="QFO93" s="167"/>
      <c r="QFP93" s="168"/>
      <c r="QFQ93" s="167"/>
      <c r="QFR93" s="168"/>
      <c r="QFS93" s="167"/>
      <c r="QFT93" s="168"/>
      <c r="QFU93" s="167"/>
      <c r="QFV93" s="168"/>
      <c r="QFW93" s="167"/>
      <c r="QFX93" s="168"/>
      <c r="QFY93" s="167"/>
      <c r="QFZ93" s="168"/>
      <c r="QGA93" s="167"/>
      <c r="QGB93" s="168"/>
      <c r="QGC93" s="167"/>
      <c r="QGD93" s="168"/>
      <c r="QGE93" s="167"/>
      <c r="QGF93" s="168"/>
      <c r="QGG93" s="167"/>
      <c r="QGH93" s="168"/>
      <c r="QGI93" s="167"/>
      <c r="QGJ93" s="168"/>
      <c r="QGK93" s="167"/>
      <c r="QGL93" s="168"/>
      <c r="QGM93" s="167"/>
      <c r="QGN93" s="168"/>
      <c r="QGO93" s="167"/>
      <c r="QGP93" s="168"/>
      <c r="QGQ93" s="167"/>
      <c r="QGR93" s="168"/>
      <c r="QGS93" s="167"/>
      <c r="QGT93" s="168"/>
      <c r="QGU93" s="167"/>
      <c r="QGV93" s="168"/>
      <c r="QGW93" s="167"/>
      <c r="QGX93" s="168"/>
      <c r="QGY93" s="167"/>
      <c r="QGZ93" s="168"/>
      <c r="QHA93" s="167"/>
      <c r="QHB93" s="168"/>
      <c r="QHC93" s="167"/>
      <c r="QHD93" s="168"/>
      <c r="QHE93" s="167"/>
      <c r="QHF93" s="168"/>
      <c r="QHG93" s="167"/>
      <c r="QHH93" s="168"/>
      <c r="QHI93" s="167"/>
      <c r="QHJ93" s="168"/>
      <c r="QHK93" s="167"/>
      <c r="QHL93" s="168"/>
      <c r="QHM93" s="167"/>
      <c r="QHN93" s="168"/>
      <c r="QHO93" s="167"/>
      <c r="QHP93" s="168"/>
      <c r="QHQ93" s="167"/>
      <c r="QHR93" s="168"/>
      <c r="QHS93" s="167"/>
      <c r="QHT93" s="168"/>
      <c r="QHU93" s="167"/>
      <c r="QHV93" s="168"/>
      <c r="QHW93" s="167"/>
      <c r="QHX93" s="168"/>
      <c r="QHY93" s="167"/>
      <c r="QHZ93" s="168"/>
      <c r="QIA93" s="167"/>
      <c r="QIB93" s="168"/>
      <c r="QIC93" s="167"/>
      <c r="QID93" s="168"/>
      <c r="QIE93" s="167"/>
      <c r="QIF93" s="168"/>
      <c r="QIG93" s="167"/>
      <c r="QIH93" s="168"/>
      <c r="QII93" s="167"/>
      <c r="QIJ93" s="168"/>
      <c r="QIK93" s="167"/>
      <c r="QIL93" s="168"/>
      <c r="QIM93" s="167"/>
      <c r="QIN93" s="168"/>
      <c r="QIO93" s="167"/>
      <c r="QIP93" s="168"/>
      <c r="QIQ93" s="167"/>
      <c r="QIR93" s="168"/>
      <c r="QIS93" s="167"/>
      <c r="QIT93" s="168"/>
      <c r="QIU93" s="167"/>
      <c r="QIV93" s="168"/>
      <c r="QIW93" s="167"/>
      <c r="QIX93" s="168"/>
      <c r="QIY93" s="167"/>
      <c r="QIZ93" s="168"/>
      <c r="QJA93" s="167"/>
      <c r="QJB93" s="168"/>
      <c r="QJC93" s="167"/>
      <c r="QJD93" s="168"/>
      <c r="QJE93" s="167"/>
      <c r="QJF93" s="168"/>
      <c r="QJG93" s="167"/>
      <c r="QJH93" s="168"/>
      <c r="QJI93" s="167"/>
      <c r="QJJ93" s="168"/>
      <c r="QJK93" s="167"/>
      <c r="QJL93" s="168"/>
      <c r="QJM93" s="167"/>
      <c r="QJN93" s="168"/>
      <c r="QJO93" s="167"/>
      <c r="QJP93" s="168"/>
      <c r="QJQ93" s="167"/>
      <c r="QJR93" s="168"/>
      <c r="QJS93" s="167"/>
      <c r="QJT93" s="168"/>
      <c r="QJU93" s="167"/>
      <c r="QJV93" s="168"/>
      <c r="QJW93" s="167"/>
      <c r="QJX93" s="168"/>
      <c r="QJY93" s="167"/>
      <c r="QJZ93" s="168"/>
      <c r="QKA93" s="167"/>
      <c r="QKB93" s="168"/>
      <c r="QKC93" s="167"/>
      <c r="QKD93" s="168"/>
      <c r="QKE93" s="167"/>
      <c r="QKF93" s="168"/>
      <c r="QKG93" s="167"/>
      <c r="QKH93" s="168"/>
      <c r="QKI93" s="167"/>
      <c r="QKJ93" s="168"/>
      <c r="QKK93" s="167"/>
      <c r="QKL93" s="168"/>
      <c r="QKM93" s="167"/>
      <c r="QKN93" s="168"/>
      <c r="QKO93" s="167"/>
      <c r="QKP93" s="168"/>
      <c r="QKQ93" s="167"/>
      <c r="QKR93" s="168"/>
      <c r="QKS93" s="167"/>
      <c r="QKT93" s="168"/>
      <c r="QKU93" s="167"/>
      <c r="QKV93" s="168"/>
      <c r="QKW93" s="167"/>
      <c r="QKX93" s="168"/>
      <c r="QKY93" s="167"/>
      <c r="QKZ93" s="168"/>
      <c r="QLA93" s="167"/>
      <c r="QLB93" s="168"/>
      <c r="QLC93" s="167"/>
      <c r="QLD93" s="168"/>
      <c r="QLE93" s="167"/>
      <c r="QLF93" s="168"/>
      <c r="QLG93" s="167"/>
      <c r="QLH93" s="168"/>
      <c r="QLI93" s="167"/>
      <c r="QLJ93" s="168"/>
      <c r="QLK93" s="167"/>
      <c r="QLL93" s="168"/>
      <c r="QLM93" s="167"/>
      <c r="QLN93" s="168"/>
      <c r="QLO93" s="167"/>
      <c r="QLP93" s="168"/>
      <c r="QLQ93" s="167"/>
      <c r="QLR93" s="168"/>
      <c r="QLS93" s="167"/>
      <c r="QLT93" s="168"/>
      <c r="QLU93" s="167"/>
      <c r="QLV93" s="168"/>
      <c r="QLW93" s="167"/>
      <c r="QLX93" s="168"/>
      <c r="QLY93" s="167"/>
      <c r="QLZ93" s="168"/>
      <c r="QMA93" s="167"/>
      <c r="QMB93" s="168"/>
      <c r="QMC93" s="167"/>
      <c r="QMD93" s="168"/>
      <c r="QME93" s="167"/>
      <c r="QMF93" s="168"/>
      <c r="QMG93" s="167"/>
      <c r="QMH93" s="168"/>
      <c r="QMI93" s="167"/>
      <c r="QMJ93" s="168"/>
      <c r="QMK93" s="167"/>
      <c r="QML93" s="168"/>
      <c r="QMM93" s="167"/>
      <c r="QMN93" s="168"/>
      <c r="QMO93" s="167"/>
      <c r="QMP93" s="168"/>
      <c r="QMQ93" s="167"/>
      <c r="QMR93" s="168"/>
      <c r="QMS93" s="167"/>
      <c r="QMT93" s="168"/>
      <c r="QMU93" s="167"/>
      <c r="QMV93" s="168"/>
      <c r="QMW93" s="167"/>
      <c r="QMX93" s="168"/>
      <c r="QMY93" s="167"/>
      <c r="QMZ93" s="168"/>
      <c r="QNA93" s="167"/>
      <c r="QNB93" s="168"/>
      <c r="QNC93" s="167"/>
      <c r="QND93" s="168"/>
      <c r="QNE93" s="167"/>
      <c r="QNF93" s="168"/>
      <c r="QNG93" s="167"/>
      <c r="QNH93" s="168"/>
      <c r="QNI93" s="167"/>
      <c r="QNJ93" s="168"/>
      <c r="QNK93" s="167"/>
      <c r="QNL93" s="168"/>
      <c r="QNM93" s="167"/>
      <c r="QNN93" s="168"/>
      <c r="QNO93" s="167"/>
      <c r="QNP93" s="168"/>
      <c r="QNQ93" s="167"/>
      <c r="QNR93" s="168"/>
      <c r="QNS93" s="167"/>
      <c r="QNT93" s="168"/>
      <c r="QNU93" s="167"/>
      <c r="QNV93" s="168"/>
      <c r="QNW93" s="167"/>
      <c r="QNX93" s="168"/>
      <c r="QNY93" s="167"/>
      <c r="QNZ93" s="168"/>
      <c r="QOA93" s="167"/>
      <c r="QOB93" s="168"/>
      <c r="QOC93" s="167"/>
      <c r="QOD93" s="168"/>
      <c r="QOE93" s="167"/>
      <c r="QOF93" s="168"/>
      <c r="QOG93" s="167"/>
      <c r="QOH93" s="168"/>
      <c r="QOI93" s="167"/>
      <c r="QOJ93" s="168"/>
      <c r="QOK93" s="167"/>
      <c r="QOL93" s="168"/>
      <c r="QOM93" s="167"/>
      <c r="QON93" s="168"/>
      <c r="QOO93" s="167"/>
      <c r="QOP93" s="168"/>
      <c r="QOQ93" s="167"/>
      <c r="QOR93" s="168"/>
      <c r="QOS93" s="167"/>
      <c r="QOT93" s="168"/>
      <c r="QOU93" s="167"/>
      <c r="QOV93" s="168"/>
      <c r="QOW93" s="167"/>
      <c r="QOX93" s="168"/>
      <c r="QOY93" s="167"/>
      <c r="QOZ93" s="168"/>
      <c r="QPA93" s="167"/>
      <c r="QPB93" s="168"/>
      <c r="QPC93" s="167"/>
      <c r="QPD93" s="168"/>
      <c r="QPE93" s="167"/>
      <c r="QPF93" s="168"/>
      <c r="QPG93" s="167"/>
      <c r="QPH93" s="168"/>
      <c r="QPI93" s="167"/>
      <c r="QPJ93" s="168"/>
      <c r="QPK93" s="167"/>
      <c r="QPL93" s="168"/>
      <c r="QPM93" s="167"/>
      <c r="QPN93" s="168"/>
      <c r="QPO93" s="167"/>
      <c r="QPP93" s="168"/>
      <c r="QPQ93" s="167"/>
      <c r="QPR93" s="168"/>
      <c r="QPS93" s="167"/>
      <c r="QPT93" s="168"/>
      <c r="QPU93" s="167"/>
      <c r="QPV93" s="168"/>
      <c r="QPW93" s="167"/>
      <c r="QPX93" s="168"/>
      <c r="QPY93" s="167"/>
      <c r="QPZ93" s="168"/>
      <c r="QQA93" s="167"/>
      <c r="QQB93" s="168"/>
      <c r="QQC93" s="167"/>
      <c r="QQD93" s="168"/>
      <c r="QQE93" s="167"/>
      <c r="QQF93" s="168"/>
      <c r="QQG93" s="167"/>
      <c r="QQH93" s="168"/>
      <c r="QQI93" s="167"/>
      <c r="QQJ93" s="168"/>
      <c r="QQK93" s="167"/>
      <c r="QQL93" s="168"/>
      <c r="QQM93" s="167"/>
      <c r="QQN93" s="168"/>
      <c r="QQO93" s="167"/>
      <c r="QQP93" s="168"/>
      <c r="QQQ93" s="167"/>
      <c r="QQR93" s="168"/>
      <c r="QQS93" s="167"/>
      <c r="QQT93" s="168"/>
      <c r="QQU93" s="167"/>
      <c r="QQV93" s="168"/>
      <c r="QQW93" s="167"/>
      <c r="QQX93" s="168"/>
      <c r="QQY93" s="167"/>
      <c r="QQZ93" s="168"/>
      <c r="QRA93" s="167"/>
      <c r="QRB93" s="168"/>
      <c r="QRC93" s="167"/>
      <c r="QRD93" s="168"/>
      <c r="QRE93" s="167"/>
      <c r="QRF93" s="168"/>
      <c r="QRG93" s="167"/>
      <c r="QRH93" s="168"/>
      <c r="QRI93" s="167"/>
      <c r="QRJ93" s="168"/>
      <c r="QRK93" s="167"/>
      <c r="QRL93" s="168"/>
      <c r="QRM93" s="167"/>
      <c r="QRN93" s="168"/>
      <c r="QRO93" s="167"/>
      <c r="QRP93" s="168"/>
      <c r="QRQ93" s="167"/>
      <c r="QRR93" s="168"/>
      <c r="QRS93" s="167"/>
      <c r="QRT93" s="168"/>
      <c r="QRU93" s="167"/>
      <c r="QRV93" s="168"/>
      <c r="QRW93" s="167"/>
      <c r="QRX93" s="168"/>
      <c r="QRY93" s="167"/>
      <c r="QRZ93" s="168"/>
      <c r="QSA93" s="167"/>
      <c r="QSB93" s="168"/>
      <c r="QSC93" s="167"/>
      <c r="QSD93" s="168"/>
      <c r="QSE93" s="167"/>
      <c r="QSF93" s="168"/>
      <c r="QSG93" s="167"/>
      <c r="QSH93" s="168"/>
      <c r="QSI93" s="167"/>
      <c r="QSJ93" s="168"/>
      <c r="QSK93" s="167"/>
      <c r="QSL93" s="168"/>
      <c r="QSM93" s="167"/>
      <c r="QSN93" s="168"/>
      <c r="QSO93" s="167"/>
      <c r="QSP93" s="168"/>
      <c r="QSQ93" s="167"/>
      <c r="QSR93" s="168"/>
      <c r="QSS93" s="167"/>
      <c r="QST93" s="168"/>
      <c r="QSU93" s="167"/>
      <c r="QSV93" s="168"/>
      <c r="QSW93" s="167"/>
      <c r="QSX93" s="168"/>
      <c r="QSY93" s="167"/>
      <c r="QSZ93" s="168"/>
      <c r="QTA93" s="167"/>
      <c r="QTB93" s="168"/>
      <c r="QTC93" s="167"/>
      <c r="QTD93" s="168"/>
      <c r="QTE93" s="167"/>
      <c r="QTF93" s="168"/>
      <c r="QTG93" s="167"/>
      <c r="QTH93" s="168"/>
      <c r="QTI93" s="167"/>
      <c r="QTJ93" s="168"/>
      <c r="QTK93" s="167"/>
      <c r="QTL93" s="168"/>
      <c r="QTM93" s="167"/>
      <c r="QTN93" s="168"/>
      <c r="QTO93" s="167"/>
      <c r="QTP93" s="168"/>
      <c r="QTQ93" s="167"/>
      <c r="QTR93" s="168"/>
      <c r="QTS93" s="167"/>
      <c r="QTT93" s="168"/>
      <c r="QTU93" s="167"/>
      <c r="QTV93" s="168"/>
      <c r="QTW93" s="167"/>
      <c r="QTX93" s="168"/>
      <c r="QTY93" s="167"/>
      <c r="QTZ93" s="168"/>
      <c r="QUA93" s="167"/>
      <c r="QUB93" s="168"/>
      <c r="QUC93" s="167"/>
      <c r="QUD93" s="168"/>
      <c r="QUE93" s="167"/>
      <c r="QUF93" s="168"/>
      <c r="QUG93" s="167"/>
      <c r="QUH93" s="168"/>
      <c r="QUI93" s="167"/>
      <c r="QUJ93" s="168"/>
      <c r="QUK93" s="167"/>
      <c r="QUL93" s="168"/>
      <c r="QUM93" s="167"/>
      <c r="QUN93" s="168"/>
      <c r="QUO93" s="167"/>
      <c r="QUP93" s="168"/>
      <c r="QUQ93" s="167"/>
      <c r="QUR93" s="168"/>
      <c r="QUS93" s="167"/>
      <c r="QUT93" s="168"/>
      <c r="QUU93" s="167"/>
      <c r="QUV93" s="168"/>
      <c r="QUW93" s="167"/>
      <c r="QUX93" s="168"/>
      <c r="QUY93" s="167"/>
      <c r="QUZ93" s="168"/>
      <c r="QVA93" s="167"/>
      <c r="QVB93" s="168"/>
      <c r="QVC93" s="167"/>
      <c r="QVD93" s="168"/>
      <c r="QVE93" s="167"/>
      <c r="QVF93" s="168"/>
      <c r="QVG93" s="167"/>
      <c r="QVH93" s="168"/>
      <c r="QVI93" s="167"/>
      <c r="QVJ93" s="168"/>
      <c r="QVK93" s="167"/>
      <c r="QVL93" s="168"/>
      <c r="QVM93" s="167"/>
      <c r="QVN93" s="168"/>
      <c r="QVO93" s="167"/>
      <c r="QVP93" s="168"/>
      <c r="QVQ93" s="167"/>
      <c r="QVR93" s="168"/>
      <c r="QVS93" s="167"/>
      <c r="QVT93" s="168"/>
      <c r="QVU93" s="167"/>
      <c r="QVV93" s="168"/>
      <c r="QVW93" s="167"/>
      <c r="QVX93" s="168"/>
      <c r="QVY93" s="167"/>
      <c r="QVZ93" s="168"/>
      <c r="QWA93" s="167"/>
      <c r="QWB93" s="168"/>
      <c r="QWC93" s="167"/>
      <c r="QWD93" s="168"/>
      <c r="QWE93" s="167"/>
      <c r="QWF93" s="168"/>
      <c r="QWG93" s="167"/>
      <c r="QWH93" s="168"/>
      <c r="QWI93" s="167"/>
      <c r="QWJ93" s="168"/>
      <c r="QWK93" s="167"/>
      <c r="QWL93" s="168"/>
      <c r="QWM93" s="167"/>
      <c r="QWN93" s="168"/>
      <c r="QWO93" s="167"/>
      <c r="QWP93" s="168"/>
      <c r="QWQ93" s="167"/>
      <c r="QWR93" s="168"/>
      <c r="QWS93" s="167"/>
      <c r="QWT93" s="168"/>
      <c r="QWU93" s="167"/>
      <c r="QWV93" s="168"/>
      <c r="QWW93" s="167"/>
      <c r="QWX93" s="168"/>
      <c r="QWY93" s="167"/>
      <c r="QWZ93" s="168"/>
      <c r="QXA93" s="167"/>
      <c r="QXB93" s="168"/>
      <c r="QXC93" s="167"/>
      <c r="QXD93" s="168"/>
      <c r="QXE93" s="167"/>
      <c r="QXF93" s="168"/>
      <c r="QXG93" s="167"/>
      <c r="QXH93" s="168"/>
      <c r="QXI93" s="167"/>
      <c r="QXJ93" s="168"/>
      <c r="QXK93" s="167"/>
      <c r="QXL93" s="168"/>
      <c r="QXM93" s="167"/>
      <c r="QXN93" s="168"/>
      <c r="QXO93" s="167"/>
      <c r="QXP93" s="168"/>
      <c r="QXQ93" s="167"/>
      <c r="QXR93" s="168"/>
      <c r="QXS93" s="167"/>
      <c r="QXT93" s="168"/>
      <c r="QXU93" s="167"/>
      <c r="QXV93" s="168"/>
      <c r="QXW93" s="167"/>
      <c r="QXX93" s="168"/>
      <c r="QXY93" s="167"/>
      <c r="QXZ93" s="168"/>
      <c r="QYA93" s="167"/>
      <c r="QYB93" s="168"/>
      <c r="QYC93" s="167"/>
      <c r="QYD93" s="168"/>
      <c r="QYE93" s="167"/>
      <c r="QYF93" s="168"/>
      <c r="QYG93" s="167"/>
      <c r="QYH93" s="168"/>
      <c r="QYI93" s="167"/>
      <c r="QYJ93" s="168"/>
      <c r="QYK93" s="167"/>
      <c r="QYL93" s="168"/>
      <c r="QYM93" s="167"/>
      <c r="QYN93" s="168"/>
      <c r="QYO93" s="167"/>
      <c r="QYP93" s="168"/>
      <c r="QYQ93" s="167"/>
      <c r="QYR93" s="168"/>
      <c r="QYS93" s="167"/>
      <c r="QYT93" s="168"/>
      <c r="QYU93" s="167"/>
      <c r="QYV93" s="168"/>
      <c r="QYW93" s="167"/>
      <c r="QYX93" s="168"/>
      <c r="QYY93" s="167"/>
      <c r="QYZ93" s="168"/>
      <c r="QZA93" s="167"/>
      <c r="QZB93" s="168"/>
      <c r="QZC93" s="167"/>
      <c r="QZD93" s="168"/>
      <c r="QZE93" s="167"/>
      <c r="QZF93" s="168"/>
      <c r="QZG93" s="167"/>
      <c r="QZH93" s="168"/>
      <c r="QZI93" s="167"/>
      <c r="QZJ93" s="168"/>
      <c r="QZK93" s="167"/>
      <c r="QZL93" s="168"/>
      <c r="QZM93" s="167"/>
      <c r="QZN93" s="168"/>
      <c r="QZO93" s="167"/>
      <c r="QZP93" s="168"/>
      <c r="QZQ93" s="167"/>
      <c r="QZR93" s="168"/>
      <c r="QZS93" s="167"/>
      <c r="QZT93" s="168"/>
      <c r="QZU93" s="167"/>
      <c r="QZV93" s="168"/>
      <c r="QZW93" s="167"/>
      <c r="QZX93" s="168"/>
      <c r="QZY93" s="167"/>
      <c r="QZZ93" s="168"/>
      <c r="RAA93" s="167"/>
      <c r="RAB93" s="168"/>
      <c r="RAC93" s="167"/>
      <c r="RAD93" s="168"/>
      <c r="RAE93" s="167"/>
      <c r="RAF93" s="168"/>
      <c r="RAG93" s="167"/>
      <c r="RAH93" s="168"/>
      <c r="RAI93" s="167"/>
      <c r="RAJ93" s="168"/>
      <c r="RAK93" s="167"/>
      <c r="RAL93" s="168"/>
      <c r="RAM93" s="167"/>
      <c r="RAN93" s="168"/>
      <c r="RAO93" s="167"/>
      <c r="RAP93" s="168"/>
      <c r="RAQ93" s="167"/>
      <c r="RAR93" s="168"/>
      <c r="RAS93" s="167"/>
      <c r="RAT93" s="168"/>
      <c r="RAU93" s="167"/>
      <c r="RAV93" s="168"/>
      <c r="RAW93" s="167"/>
      <c r="RAX93" s="168"/>
      <c r="RAY93" s="167"/>
      <c r="RAZ93" s="168"/>
      <c r="RBA93" s="167"/>
      <c r="RBB93" s="168"/>
      <c r="RBC93" s="167"/>
      <c r="RBD93" s="168"/>
      <c r="RBE93" s="167"/>
      <c r="RBF93" s="168"/>
      <c r="RBG93" s="167"/>
      <c r="RBH93" s="168"/>
      <c r="RBI93" s="167"/>
      <c r="RBJ93" s="168"/>
      <c r="RBK93" s="167"/>
      <c r="RBL93" s="168"/>
      <c r="RBM93" s="167"/>
      <c r="RBN93" s="168"/>
      <c r="RBO93" s="167"/>
      <c r="RBP93" s="168"/>
      <c r="RBQ93" s="167"/>
      <c r="RBR93" s="168"/>
      <c r="RBS93" s="167"/>
      <c r="RBT93" s="168"/>
      <c r="RBU93" s="167"/>
      <c r="RBV93" s="168"/>
      <c r="RBW93" s="167"/>
      <c r="RBX93" s="168"/>
      <c r="RBY93" s="167"/>
      <c r="RBZ93" s="168"/>
      <c r="RCA93" s="167"/>
      <c r="RCB93" s="168"/>
      <c r="RCC93" s="167"/>
      <c r="RCD93" s="168"/>
      <c r="RCE93" s="167"/>
      <c r="RCF93" s="168"/>
      <c r="RCG93" s="167"/>
      <c r="RCH93" s="168"/>
      <c r="RCI93" s="167"/>
      <c r="RCJ93" s="168"/>
      <c r="RCK93" s="167"/>
      <c r="RCL93" s="168"/>
      <c r="RCM93" s="167"/>
      <c r="RCN93" s="168"/>
      <c r="RCO93" s="167"/>
      <c r="RCP93" s="168"/>
      <c r="RCQ93" s="167"/>
      <c r="RCR93" s="168"/>
      <c r="RCS93" s="167"/>
      <c r="RCT93" s="168"/>
      <c r="RCU93" s="167"/>
      <c r="RCV93" s="168"/>
      <c r="RCW93" s="167"/>
      <c r="RCX93" s="168"/>
      <c r="RCY93" s="167"/>
      <c r="RCZ93" s="168"/>
      <c r="RDA93" s="167"/>
      <c r="RDB93" s="168"/>
      <c r="RDC93" s="167"/>
      <c r="RDD93" s="168"/>
      <c r="RDE93" s="167"/>
      <c r="RDF93" s="168"/>
      <c r="RDG93" s="167"/>
      <c r="RDH93" s="168"/>
      <c r="RDI93" s="167"/>
      <c r="RDJ93" s="168"/>
      <c r="RDK93" s="167"/>
      <c r="RDL93" s="168"/>
      <c r="RDM93" s="167"/>
      <c r="RDN93" s="168"/>
      <c r="RDO93" s="167"/>
      <c r="RDP93" s="168"/>
      <c r="RDQ93" s="167"/>
      <c r="RDR93" s="168"/>
      <c r="RDS93" s="167"/>
      <c r="RDT93" s="168"/>
      <c r="RDU93" s="167"/>
      <c r="RDV93" s="168"/>
      <c r="RDW93" s="167"/>
      <c r="RDX93" s="168"/>
      <c r="RDY93" s="167"/>
      <c r="RDZ93" s="168"/>
      <c r="REA93" s="167"/>
      <c r="REB93" s="168"/>
      <c r="REC93" s="167"/>
      <c r="RED93" s="168"/>
      <c r="REE93" s="167"/>
      <c r="REF93" s="168"/>
      <c r="REG93" s="167"/>
      <c r="REH93" s="168"/>
      <c r="REI93" s="167"/>
      <c r="REJ93" s="168"/>
      <c r="REK93" s="167"/>
      <c r="REL93" s="168"/>
      <c r="REM93" s="167"/>
      <c r="REN93" s="168"/>
      <c r="REO93" s="167"/>
      <c r="REP93" s="168"/>
      <c r="REQ93" s="167"/>
      <c r="RER93" s="168"/>
      <c r="RES93" s="167"/>
      <c r="RET93" s="168"/>
      <c r="REU93" s="167"/>
      <c r="REV93" s="168"/>
      <c r="REW93" s="167"/>
      <c r="REX93" s="168"/>
      <c r="REY93" s="167"/>
      <c r="REZ93" s="168"/>
      <c r="RFA93" s="167"/>
      <c r="RFB93" s="168"/>
      <c r="RFC93" s="167"/>
      <c r="RFD93" s="168"/>
      <c r="RFE93" s="167"/>
      <c r="RFF93" s="168"/>
      <c r="RFG93" s="167"/>
      <c r="RFH93" s="168"/>
      <c r="RFI93" s="167"/>
      <c r="RFJ93" s="168"/>
      <c r="RFK93" s="167"/>
      <c r="RFL93" s="168"/>
      <c r="RFM93" s="167"/>
      <c r="RFN93" s="168"/>
      <c r="RFO93" s="167"/>
      <c r="RFP93" s="168"/>
      <c r="RFQ93" s="167"/>
      <c r="RFR93" s="168"/>
      <c r="RFS93" s="167"/>
      <c r="RFT93" s="168"/>
      <c r="RFU93" s="167"/>
      <c r="RFV93" s="168"/>
      <c r="RFW93" s="167"/>
      <c r="RFX93" s="168"/>
      <c r="RFY93" s="167"/>
      <c r="RFZ93" s="168"/>
      <c r="RGA93" s="167"/>
      <c r="RGB93" s="168"/>
      <c r="RGC93" s="167"/>
      <c r="RGD93" s="168"/>
      <c r="RGE93" s="167"/>
      <c r="RGF93" s="168"/>
      <c r="RGG93" s="167"/>
      <c r="RGH93" s="168"/>
      <c r="RGI93" s="167"/>
      <c r="RGJ93" s="168"/>
      <c r="RGK93" s="167"/>
      <c r="RGL93" s="168"/>
      <c r="RGM93" s="167"/>
      <c r="RGN93" s="168"/>
      <c r="RGO93" s="167"/>
      <c r="RGP93" s="168"/>
      <c r="RGQ93" s="167"/>
      <c r="RGR93" s="168"/>
      <c r="RGS93" s="167"/>
      <c r="RGT93" s="168"/>
      <c r="RGU93" s="167"/>
      <c r="RGV93" s="168"/>
      <c r="RGW93" s="167"/>
      <c r="RGX93" s="168"/>
      <c r="RGY93" s="167"/>
      <c r="RGZ93" s="168"/>
      <c r="RHA93" s="167"/>
      <c r="RHB93" s="168"/>
      <c r="RHC93" s="167"/>
      <c r="RHD93" s="168"/>
      <c r="RHE93" s="167"/>
      <c r="RHF93" s="168"/>
      <c r="RHG93" s="167"/>
      <c r="RHH93" s="168"/>
      <c r="RHI93" s="167"/>
      <c r="RHJ93" s="168"/>
      <c r="RHK93" s="167"/>
      <c r="RHL93" s="168"/>
      <c r="RHM93" s="167"/>
      <c r="RHN93" s="168"/>
      <c r="RHO93" s="167"/>
      <c r="RHP93" s="168"/>
      <c r="RHQ93" s="167"/>
      <c r="RHR93" s="168"/>
      <c r="RHS93" s="167"/>
      <c r="RHT93" s="168"/>
      <c r="RHU93" s="167"/>
      <c r="RHV93" s="168"/>
      <c r="RHW93" s="167"/>
      <c r="RHX93" s="168"/>
      <c r="RHY93" s="167"/>
      <c r="RHZ93" s="168"/>
      <c r="RIA93" s="167"/>
      <c r="RIB93" s="168"/>
      <c r="RIC93" s="167"/>
      <c r="RID93" s="168"/>
      <c r="RIE93" s="167"/>
      <c r="RIF93" s="168"/>
      <c r="RIG93" s="167"/>
      <c r="RIH93" s="168"/>
      <c r="RII93" s="167"/>
      <c r="RIJ93" s="168"/>
      <c r="RIK93" s="167"/>
      <c r="RIL93" s="168"/>
      <c r="RIM93" s="167"/>
      <c r="RIN93" s="168"/>
      <c r="RIO93" s="167"/>
      <c r="RIP93" s="168"/>
      <c r="RIQ93" s="167"/>
      <c r="RIR93" s="168"/>
      <c r="RIS93" s="167"/>
      <c r="RIT93" s="168"/>
      <c r="RIU93" s="167"/>
      <c r="RIV93" s="168"/>
      <c r="RIW93" s="167"/>
      <c r="RIX93" s="168"/>
      <c r="RIY93" s="167"/>
      <c r="RIZ93" s="168"/>
      <c r="RJA93" s="167"/>
      <c r="RJB93" s="168"/>
      <c r="RJC93" s="167"/>
      <c r="RJD93" s="168"/>
      <c r="RJE93" s="167"/>
      <c r="RJF93" s="168"/>
      <c r="RJG93" s="167"/>
      <c r="RJH93" s="168"/>
      <c r="RJI93" s="167"/>
      <c r="RJJ93" s="168"/>
      <c r="RJK93" s="167"/>
      <c r="RJL93" s="168"/>
      <c r="RJM93" s="167"/>
      <c r="RJN93" s="168"/>
      <c r="RJO93" s="167"/>
      <c r="RJP93" s="168"/>
      <c r="RJQ93" s="167"/>
      <c r="RJR93" s="168"/>
      <c r="RJS93" s="167"/>
      <c r="RJT93" s="168"/>
      <c r="RJU93" s="167"/>
      <c r="RJV93" s="168"/>
      <c r="RJW93" s="167"/>
      <c r="RJX93" s="168"/>
      <c r="RJY93" s="167"/>
      <c r="RJZ93" s="168"/>
      <c r="RKA93" s="167"/>
      <c r="RKB93" s="168"/>
      <c r="RKC93" s="167"/>
      <c r="RKD93" s="168"/>
      <c r="RKE93" s="167"/>
      <c r="RKF93" s="168"/>
      <c r="RKG93" s="167"/>
      <c r="RKH93" s="168"/>
      <c r="RKI93" s="167"/>
      <c r="RKJ93" s="168"/>
      <c r="RKK93" s="167"/>
      <c r="RKL93" s="168"/>
      <c r="RKM93" s="167"/>
      <c r="RKN93" s="168"/>
      <c r="RKO93" s="167"/>
      <c r="RKP93" s="168"/>
      <c r="RKQ93" s="167"/>
      <c r="RKR93" s="168"/>
      <c r="RKS93" s="167"/>
      <c r="RKT93" s="168"/>
      <c r="RKU93" s="167"/>
      <c r="RKV93" s="168"/>
      <c r="RKW93" s="167"/>
      <c r="RKX93" s="168"/>
      <c r="RKY93" s="167"/>
      <c r="RKZ93" s="168"/>
      <c r="RLA93" s="167"/>
      <c r="RLB93" s="168"/>
      <c r="RLC93" s="167"/>
      <c r="RLD93" s="168"/>
      <c r="RLE93" s="167"/>
      <c r="RLF93" s="168"/>
      <c r="RLG93" s="167"/>
      <c r="RLH93" s="168"/>
      <c r="RLI93" s="167"/>
      <c r="RLJ93" s="168"/>
      <c r="RLK93" s="167"/>
      <c r="RLL93" s="168"/>
      <c r="RLM93" s="167"/>
      <c r="RLN93" s="168"/>
      <c r="RLO93" s="167"/>
      <c r="RLP93" s="168"/>
      <c r="RLQ93" s="167"/>
      <c r="RLR93" s="168"/>
      <c r="RLS93" s="167"/>
      <c r="RLT93" s="168"/>
      <c r="RLU93" s="167"/>
      <c r="RLV93" s="168"/>
      <c r="RLW93" s="167"/>
      <c r="RLX93" s="168"/>
      <c r="RLY93" s="167"/>
      <c r="RLZ93" s="168"/>
      <c r="RMA93" s="167"/>
      <c r="RMB93" s="168"/>
      <c r="RMC93" s="167"/>
      <c r="RMD93" s="168"/>
      <c r="RME93" s="167"/>
      <c r="RMF93" s="168"/>
      <c r="RMG93" s="167"/>
      <c r="RMH93" s="168"/>
      <c r="RMI93" s="167"/>
      <c r="RMJ93" s="168"/>
      <c r="RMK93" s="167"/>
      <c r="RML93" s="168"/>
      <c r="RMM93" s="167"/>
      <c r="RMN93" s="168"/>
      <c r="RMO93" s="167"/>
      <c r="RMP93" s="168"/>
      <c r="RMQ93" s="167"/>
      <c r="RMR93" s="168"/>
      <c r="RMS93" s="167"/>
      <c r="RMT93" s="168"/>
      <c r="RMU93" s="167"/>
      <c r="RMV93" s="168"/>
      <c r="RMW93" s="167"/>
      <c r="RMX93" s="168"/>
      <c r="RMY93" s="167"/>
      <c r="RMZ93" s="168"/>
      <c r="RNA93" s="167"/>
      <c r="RNB93" s="168"/>
      <c r="RNC93" s="167"/>
      <c r="RND93" s="168"/>
      <c r="RNE93" s="167"/>
      <c r="RNF93" s="168"/>
      <c r="RNG93" s="167"/>
      <c r="RNH93" s="168"/>
      <c r="RNI93" s="167"/>
      <c r="RNJ93" s="168"/>
      <c r="RNK93" s="167"/>
      <c r="RNL93" s="168"/>
      <c r="RNM93" s="167"/>
      <c r="RNN93" s="168"/>
      <c r="RNO93" s="167"/>
      <c r="RNP93" s="168"/>
      <c r="RNQ93" s="167"/>
      <c r="RNR93" s="168"/>
      <c r="RNS93" s="167"/>
      <c r="RNT93" s="168"/>
      <c r="RNU93" s="167"/>
      <c r="RNV93" s="168"/>
      <c r="RNW93" s="167"/>
      <c r="RNX93" s="168"/>
      <c r="RNY93" s="167"/>
      <c r="RNZ93" s="168"/>
      <c r="ROA93" s="167"/>
      <c r="ROB93" s="168"/>
      <c r="ROC93" s="167"/>
      <c r="ROD93" s="168"/>
      <c r="ROE93" s="167"/>
      <c r="ROF93" s="168"/>
      <c r="ROG93" s="167"/>
      <c r="ROH93" s="168"/>
      <c r="ROI93" s="167"/>
      <c r="ROJ93" s="168"/>
      <c r="ROK93" s="167"/>
      <c r="ROL93" s="168"/>
      <c r="ROM93" s="167"/>
      <c r="RON93" s="168"/>
      <c r="ROO93" s="167"/>
      <c r="ROP93" s="168"/>
      <c r="ROQ93" s="167"/>
      <c r="ROR93" s="168"/>
      <c r="ROS93" s="167"/>
      <c r="ROT93" s="168"/>
      <c r="ROU93" s="167"/>
      <c r="ROV93" s="168"/>
      <c r="ROW93" s="167"/>
      <c r="ROX93" s="168"/>
      <c r="ROY93" s="167"/>
      <c r="ROZ93" s="168"/>
      <c r="RPA93" s="167"/>
      <c r="RPB93" s="168"/>
      <c r="RPC93" s="167"/>
      <c r="RPD93" s="168"/>
      <c r="RPE93" s="167"/>
      <c r="RPF93" s="168"/>
      <c r="RPG93" s="167"/>
      <c r="RPH93" s="168"/>
      <c r="RPI93" s="167"/>
      <c r="RPJ93" s="168"/>
      <c r="RPK93" s="167"/>
      <c r="RPL93" s="168"/>
      <c r="RPM93" s="167"/>
      <c r="RPN93" s="168"/>
      <c r="RPO93" s="167"/>
      <c r="RPP93" s="168"/>
      <c r="RPQ93" s="167"/>
      <c r="RPR93" s="168"/>
      <c r="RPS93" s="167"/>
      <c r="RPT93" s="168"/>
      <c r="RPU93" s="167"/>
      <c r="RPV93" s="168"/>
      <c r="RPW93" s="167"/>
      <c r="RPX93" s="168"/>
      <c r="RPY93" s="167"/>
      <c r="RPZ93" s="168"/>
      <c r="RQA93" s="167"/>
      <c r="RQB93" s="168"/>
      <c r="RQC93" s="167"/>
      <c r="RQD93" s="168"/>
      <c r="RQE93" s="167"/>
      <c r="RQF93" s="168"/>
      <c r="RQG93" s="167"/>
      <c r="RQH93" s="168"/>
      <c r="RQI93" s="167"/>
      <c r="RQJ93" s="168"/>
      <c r="RQK93" s="167"/>
      <c r="RQL93" s="168"/>
      <c r="RQM93" s="167"/>
      <c r="RQN93" s="168"/>
      <c r="RQO93" s="167"/>
      <c r="RQP93" s="168"/>
      <c r="RQQ93" s="167"/>
      <c r="RQR93" s="168"/>
      <c r="RQS93" s="167"/>
      <c r="RQT93" s="168"/>
      <c r="RQU93" s="167"/>
      <c r="RQV93" s="168"/>
      <c r="RQW93" s="167"/>
      <c r="RQX93" s="168"/>
      <c r="RQY93" s="167"/>
      <c r="RQZ93" s="168"/>
      <c r="RRA93" s="167"/>
      <c r="RRB93" s="168"/>
      <c r="RRC93" s="167"/>
      <c r="RRD93" s="168"/>
      <c r="RRE93" s="167"/>
      <c r="RRF93" s="168"/>
      <c r="RRG93" s="167"/>
      <c r="RRH93" s="168"/>
      <c r="RRI93" s="167"/>
      <c r="RRJ93" s="168"/>
      <c r="RRK93" s="167"/>
      <c r="RRL93" s="168"/>
      <c r="RRM93" s="167"/>
      <c r="RRN93" s="168"/>
      <c r="RRO93" s="167"/>
      <c r="RRP93" s="168"/>
      <c r="RRQ93" s="167"/>
      <c r="RRR93" s="168"/>
      <c r="RRS93" s="167"/>
      <c r="RRT93" s="168"/>
      <c r="RRU93" s="167"/>
      <c r="RRV93" s="168"/>
      <c r="RRW93" s="167"/>
      <c r="RRX93" s="168"/>
      <c r="RRY93" s="167"/>
      <c r="RRZ93" s="168"/>
      <c r="RSA93" s="167"/>
      <c r="RSB93" s="168"/>
      <c r="RSC93" s="167"/>
      <c r="RSD93" s="168"/>
      <c r="RSE93" s="167"/>
      <c r="RSF93" s="168"/>
      <c r="RSG93" s="167"/>
      <c r="RSH93" s="168"/>
      <c r="RSI93" s="167"/>
      <c r="RSJ93" s="168"/>
      <c r="RSK93" s="167"/>
      <c r="RSL93" s="168"/>
      <c r="RSM93" s="167"/>
      <c r="RSN93" s="168"/>
      <c r="RSO93" s="167"/>
      <c r="RSP93" s="168"/>
      <c r="RSQ93" s="167"/>
      <c r="RSR93" s="168"/>
      <c r="RSS93" s="167"/>
      <c r="RST93" s="168"/>
      <c r="RSU93" s="167"/>
      <c r="RSV93" s="168"/>
      <c r="RSW93" s="167"/>
      <c r="RSX93" s="168"/>
      <c r="RSY93" s="167"/>
      <c r="RSZ93" s="168"/>
      <c r="RTA93" s="167"/>
      <c r="RTB93" s="168"/>
      <c r="RTC93" s="167"/>
      <c r="RTD93" s="168"/>
      <c r="RTE93" s="167"/>
      <c r="RTF93" s="168"/>
      <c r="RTG93" s="167"/>
      <c r="RTH93" s="168"/>
      <c r="RTI93" s="167"/>
      <c r="RTJ93" s="168"/>
      <c r="RTK93" s="167"/>
      <c r="RTL93" s="168"/>
      <c r="RTM93" s="167"/>
      <c r="RTN93" s="168"/>
      <c r="RTO93" s="167"/>
      <c r="RTP93" s="168"/>
      <c r="RTQ93" s="167"/>
      <c r="RTR93" s="168"/>
      <c r="RTS93" s="167"/>
      <c r="RTT93" s="168"/>
      <c r="RTU93" s="167"/>
      <c r="RTV93" s="168"/>
      <c r="RTW93" s="167"/>
      <c r="RTX93" s="168"/>
      <c r="RTY93" s="167"/>
      <c r="RTZ93" s="168"/>
      <c r="RUA93" s="167"/>
      <c r="RUB93" s="168"/>
      <c r="RUC93" s="167"/>
      <c r="RUD93" s="168"/>
      <c r="RUE93" s="167"/>
      <c r="RUF93" s="168"/>
      <c r="RUG93" s="167"/>
      <c r="RUH93" s="168"/>
      <c r="RUI93" s="167"/>
      <c r="RUJ93" s="168"/>
      <c r="RUK93" s="167"/>
      <c r="RUL93" s="168"/>
      <c r="RUM93" s="167"/>
      <c r="RUN93" s="168"/>
      <c r="RUO93" s="167"/>
      <c r="RUP93" s="168"/>
      <c r="RUQ93" s="167"/>
      <c r="RUR93" s="168"/>
      <c r="RUS93" s="167"/>
      <c r="RUT93" s="168"/>
      <c r="RUU93" s="167"/>
      <c r="RUV93" s="168"/>
      <c r="RUW93" s="167"/>
      <c r="RUX93" s="168"/>
      <c r="RUY93" s="167"/>
      <c r="RUZ93" s="168"/>
      <c r="RVA93" s="167"/>
      <c r="RVB93" s="168"/>
      <c r="RVC93" s="167"/>
      <c r="RVD93" s="168"/>
      <c r="RVE93" s="167"/>
      <c r="RVF93" s="168"/>
      <c r="RVG93" s="167"/>
      <c r="RVH93" s="168"/>
      <c r="RVI93" s="167"/>
      <c r="RVJ93" s="168"/>
      <c r="RVK93" s="167"/>
      <c r="RVL93" s="168"/>
      <c r="RVM93" s="167"/>
      <c r="RVN93" s="168"/>
      <c r="RVO93" s="167"/>
      <c r="RVP93" s="168"/>
      <c r="RVQ93" s="167"/>
      <c r="RVR93" s="168"/>
      <c r="RVS93" s="167"/>
      <c r="RVT93" s="168"/>
      <c r="RVU93" s="167"/>
      <c r="RVV93" s="168"/>
      <c r="RVW93" s="167"/>
      <c r="RVX93" s="168"/>
      <c r="RVY93" s="167"/>
      <c r="RVZ93" s="168"/>
      <c r="RWA93" s="167"/>
      <c r="RWB93" s="168"/>
      <c r="RWC93" s="167"/>
      <c r="RWD93" s="168"/>
      <c r="RWE93" s="167"/>
      <c r="RWF93" s="168"/>
      <c r="RWG93" s="167"/>
      <c r="RWH93" s="168"/>
      <c r="RWI93" s="167"/>
      <c r="RWJ93" s="168"/>
      <c r="RWK93" s="167"/>
      <c r="RWL93" s="168"/>
      <c r="RWM93" s="167"/>
      <c r="RWN93" s="168"/>
      <c r="RWO93" s="167"/>
      <c r="RWP93" s="168"/>
      <c r="RWQ93" s="167"/>
      <c r="RWR93" s="168"/>
      <c r="RWS93" s="167"/>
      <c r="RWT93" s="168"/>
      <c r="RWU93" s="167"/>
      <c r="RWV93" s="168"/>
      <c r="RWW93" s="167"/>
      <c r="RWX93" s="168"/>
      <c r="RWY93" s="167"/>
      <c r="RWZ93" s="168"/>
      <c r="RXA93" s="167"/>
      <c r="RXB93" s="168"/>
      <c r="RXC93" s="167"/>
      <c r="RXD93" s="168"/>
      <c r="RXE93" s="167"/>
      <c r="RXF93" s="168"/>
      <c r="RXG93" s="167"/>
      <c r="RXH93" s="168"/>
      <c r="RXI93" s="167"/>
      <c r="RXJ93" s="168"/>
      <c r="RXK93" s="167"/>
      <c r="RXL93" s="168"/>
      <c r="RXM93" s="167"/>
      <c r="RXN93" s="168"/>
      <c r="RXO93" s="167"/>
      <c r="RXP93" s="168"/>
      <c r="RXQ93" s="167"/>
      <c r="RXR93" s="168"/>
      <c r="RXS93" s="167"/>
      <c r="RXT93" s="168"/>
      <c r="RXU93" s="167"/>
      <c r="RXV93" s="168"/>
      <c r="RXW93" s="167"/>
      <c r="RXX93" s="168"/>
      <c r="RXY93" s="167"/>
      <c r="RXZ93" s="168"/>
      <c r="RYA93" s="167"/>
      <c r="RYB93" s="168"/>
      <c r="RYC93" s="167"/>
      <c r="RYD93" s="168"/>
      <c r="RYE93" s="167"/>
      <c r="RYF93" s="168"/>
      <c r="RYG93" s="167"/>
      <c r="RYH93" s="168"/>
      <c r="RYI93" s="167"/>
      <c r="RYJ93" s="168"/>
      <c r="RYK93" s="167"/>
      <c r="RYL93" s="168"/>
      <c r="RYM93" s="167"/>
      <c r="RYN93" s="168"/>
      <c r="RYO93" s="167"/>
      <c r="RYP93" s="168"/>
      <c r="RYQ93" s="167"/>
      <c r="RYR93" s="168"/>
      <c r="RYS93" s="167"/>
      <c r="RYT93" s="168"/>
      <c r="RYU93" s="167"/>
      <c r="RYV93" s="168"/>
      <c r="RYW93" s="167"/>
      <c r="RYX93" s="168"/>
      <c r="RYY93" s="167"/>
      <c r="RYZ93" s="168"/>
      <c r="RZA93" s="167"/>
      <c r="RZB93" s="168"/>
      <c r="RZC93" s="167"/>
      <c r="RZD93" s="168"/>
      <c r="RZE93" s="167"/>
      <c r="RZF93" s="168"/>
      <c r="RZG93" s="167"/>
      <c r="RZH93" s="168"/>
      <c r="RZI93" s="167"/>
      <c r="RZJ93" s="168"/>
      <c r="RZK93" s="167"/>
      <c r="RZL93" s="168"/>
      <c r="RZM93" s="167"/>
      <c r="RZN93" s="168"/>
      <c r="RZO93" s="167"/>
      <c r="RZP93" s="168"/>
      <c r="RZQ93" s="167"/>
      <c r="RZR93" s="168"/>
      <c r="RZS93" s="167"/>
      <c r="RZT93" s="168"/>
      <c r="RZU93" s="167"/>
      <c r="RZV93" s="168"/>
      <c r="RZW93" s="167"/>
      <c r="RZX93" s="168"/>
      <c r="RZY93" s="167"/>
      <c r="RZZ93" s="168"/>
      <c r="SAA93" s="167"/>
      <c r="SAB93" s="168"/>
      <c r="SAC93" s="167"/>
      <c r="SAD93" s="168"/>
      <c r="SAE93" s="167"/>
      <c r="SAF93" s="168"/>
      <c r="SAG93" s="167"/>
      <c r="SAH93" s="168"/>
      <c r="SAI93" s="167"/>
      <c r="SAJ93" s="168"/>
      <c r="SAK93" s="167"/>
      <c r="SAL93" s="168"/>
      <c r="SAM93" s="167"/>
      <c r="SAN93" s="168"/>
      <c r="SAO93" s="167"/>
      <c r="SAP93" s="168"/>
      <c r="SAQ93" s="167"/>
      <c r="SAR93" s="168"/>
      <c r="SAS93" s="167"/>
      <c r="SAT93" s="168"/>
      <c r="SAU93" s="167"/>
      <c r="SAV93" s="168"/>
      <c r="SAW93" s="167"/>
      <c r="SAX93" s="168"/>
      <c r="SAY93" s="167"/>
      <c r="SAZ93" s="168"/>
      <c r="SBA93" s="167"/>
      <c r="SBB93" s="168"/>
      <c r="SBC93" s="167"/>
      <c r="SBD93" s="168"/>
      <c r="SBE93" s="167"/>
      <c r="SBF93" s="168"/>
      <c r="SBG93" s="167"/>
      <c r="SBH93" s="168"/>
      <c r="SBI93" s="167"/>
      <c r="SBJ93" s="168"/>
      <c r="SBK93" s="167"/>
      <c r="SBL93" s="168"/>
      <c r="SBM93" s="167"/>
      <c r="SBN93" s="168"/>
      <c r="SBO93" s="167"/>
      <c r="SBP93" s="168"/>
      <c r="SBQ93" s="167"/>
      <c r="SBR93" s="168"/>
      <c r="SBS93" s="167"/>
      <c r="SBT93" s="168"/>
      <c r="SBU93" s="167"/>
      <c r="SBV93" s="168"/>
      <c r="SBW93" s="167"/>
      <c r="SBX93" s="168"/>
      <c r="SBY93" s="167"/>
      <c r="SBZ93" s="168"/>
      <c r="SCA93" s="167"/>
      <c r="SCB93" s="168"/>
      <c r="SCC93" s="167"/>
      <c r="SCD93" s="168"/>
      <c r="SCE93" s="167"/>
      <c r="SCF93" s="168"/>
      <c r="SCG93" s="167"/>
      <c r="SCH93" s="168"/>
      <c r="SCI93" s="167"/>
      <c r="SCJ93" s="168"/>
      <c r="SCK93" s="167"/>
      <c r="SCL93" s="168"/>
      <c r="SCM93" s="167"/>
      <c r="SCN93" s="168"/>
      <c r="SCO93" s="167"/>
      <c r="SCP93" s="168"/>
      <c r="SCQ93" s="167"/>
      <c r="SCR93" s="168"/>
      <c r="SCS93" s="167"/>
      <c r="SCT93" s="168"/>
      <c r="SCU93" s="167"/>
      <c r="SCV93" s="168"/>
      <c r="SCW93" s="167"/>
      <c r="SCX93" s="168"/>
      <c r="SCY93" s="167"/>
      <c r="SCZ93" s="168"/>
      <c r="SDA93" s="167"/>
      <c r="SDB93" s="168"/>
      <c r="SDC93" s="167"/>
      <c r="SDD93" s="168"/>
      <c r="SDE93" s="167"/>
      <c r="SDF93" s="168"/>
      <c r="SDG93" s="167"/>
      <c r="SDH93" s="168"/>
      <c r="SDI93" s="167"/>
      <c r="SDJ93" s="168"/>
      <c r="SDK93" s="167"/>
      <c r="SDL93" s="168"/>
      <c r="SDM93" s="167"/>
      <c r="SDN93" s="168"/>
      <c r="SDO93" s="167"/>
      <c r="SDP93" s="168"/>
      <c r="SDQ93" s="167"/>
      <c r="SDR93" s="168"/>
      <c r="SDS93" s="167"/>
      <c r="SDT93" s="168"/>
      <c r="SDU93" s="167"/>
      <c r="SDV93" s="168"/>
      <c r="SDW93" s="167"/>
      <c r="SDX93" s="168"/>
      <c r="SDY93" s="167"/>
      <c r="SDZ93" s="168"/>
      <c r="SEA93" s="167"/>
      <c r="SEB93" s="168"/>
      <c r="SEC93" s="167"/>
      <c r="SED93" s="168"/>
      <c r="SEE93" s="167"/>
      <c r="SEF93" s="168"/>
      <c r="SEG93" s="167"/>
      <c r="SEH93" s="168"/>
      <c r="SEI93" s="167"/>
      <c r="SEJ93" s="168"/>
      <c r="SEK93" s="167"/>
      <c r="SEL93" s="168"/>
      <c r="SEM93" s="167"/>
      <c r="SEN93" s="168"/>
      <c r="SEO93" s="167"/>
      <c r="SEP93" s="168"/>
      <c r="SEQ93" s="167"/>
      <c r="SER93" s="168"/>
      <c r="SES93" s="167"/>
      <c r="SET93" s="168"/>
      <c r="SEU93" s="167"/>
      <c r="SEV93" s="168"/>
      <c r="SEW93" s="167"/>
      <c r="SEX93" s="168"/>
      <c r="SEY93" s="167"/>
      <c r="SEZ93" s="168"/>
      <c r="SFA93" s="167"/>
      <c r="SFB93" s="168"/>
      <c r="SFC93" s="167"/>
      <c r="SFD93" s="168"/>
      <c r="SFE93" s="167"/>
      <c r="SFF93" s="168"/>
      <c r="SFG93" s="167"/>
      <c r="SFH93" s="168"/>
      <c r="SFI93" s="167"/>
      <c r="SFJ93" s="168"/>
      <c r="SFK93" s="167"/>
      <c r="SFL93" s="168"/>
      <c r="SFM93" s="167"/>
      <c r="SFN93" s="168"/>
      <c r="SFO93" s="167"/>
      <c r="SFP93" s="168"/>
      <c r="SFQ93" s="167"/>
      <c r="SFR93" s="168"/>
      <c r="SFS93" s="167"/>
      <c r="SFT93" s="168"/>
      <c r="SFU93" s="167"/>
      <c r="SFV93" s="168"/>
      <c r="SFW93" s="167"/>
      <c r="SFX93" s="168"/>
      <c r="SFY93" s="167"/>
      <c r="SFZ93" s="168"/>
      <c r="SGA93" s="167"/>
      <c r="SGB93" s="168"/>
      <c r="SGC93" s="167"/>
      <c r="SGD93" s="168"/>
      <c r="SGE93" s="167"/>
      <c r="SGF93" s="168"/>
      <c r="SGG93" s="167"/>
      <c r="SGH93" s="168"/>
      <c r="SGI93" s="167"/>
      <c r="SGJ93" s="168"/>
      <c r="SGK93" s="167"/>
      <c r="SGL93" s="168"/>
      <c r="SGM93" s="167"/>
      <c r="SGN93" s="168"/>
      <c r="SGO93" s="167"/>
      <c r="SGP93" s="168"/>
      <c r="SGQ93" s="167"/>
      <c r="SGR93" s="168"/>
      <c r="SGS93" s="167"/>
      <c r="SGT93" s="168"/>
      <c r="SGU93" s="167"/>
      <c r="SGV93" s="168"/>
      <c r="SGW93" s="167"/>
      <c r="SGX93" s="168"/>
      <c r="SGY93" s="167"/>
      <c r="SGZ93" s="168"/>
      <c r="SHA93" s="167"/>
      <c r="SHB93" s="168"/>
      <c r="SHC93" s="167"/>
      <c r="SHD93" s="168"/>
      <c r="SHE93" s="167"/>
      <c r="SHF93" s="168"/>
      <c r="SHG93" s="167"/>
      <c r="SHH93" s="168"/>
      <c r="SHI93" s="167"/>
      <c r="SHJ93" s="168"/>
      <c r="SHK93" s="167"/>
      <c r="SHL93" s="168"/>
      <c r="SHM93" s="167"/>
      <c r="SHN93" s="168"/>
      <c r="SHO93" s="167"/>
      <c r="SHP93" s="168"/>
      <c r="SHQ93" s="167"/>
      <c r="SHR93" s="168"/>
      <c r="SHS93" s="167"/>
      <c r="SHT93" s="168"/>
      <c r="SHU93" s="167"/>
      <c r="SHV93" s="168"/>
      <c r="SHW93" s="167"/>
      <c r="SHX93" s="168"/>
      <c r="SHY93" s="167"/>
      <c r="SHZ93" s="168"/>
      <c r="SIA93" s="167"/>
      <c r="SIB93" s="168"/>
      <c r="SIC93" s="167"/>
      <c r="SID93" s="168"/>
      <c r="SIE93" s="167"/>
      <c r="SIF93" s="168"/>
      <c r="SIG93" s="167"/>
      <c r="SIH93" s="168"/>
      <c r="SII93" s="167"/>
      <c r="SIJ93" s="168"/>
      <c r="SIK93" s="167"/>
      <c r="SIL93" s="168"/>
      <c r="SIM93" s="167"/>
      <c r="SIN93" s="168"/>
      <c r="SIO93" s="167"/>
      <c r="SIP93" s="168"/>
      <c r="SIQ93" s="167"/>
      <c r="SIR93" s="168"/>
      <c r="SIS93" s="167"/>
      <c r="SIT93" s="168"/>
      <c r="SIU93" s="167"/>
      <c r="SIV93" s="168"/>
      <c r="SIW93" s="167"/>
      <c r="SIX93" s="168"/>
      <c r="SIY93" s="167"/>
      <c r="SIZ93" s="168"/>
      <c r="SJA93" s="167"/>
      <c r="SJB93" s="168"/>
      <c r="SJC93" s="167"/>
      <c r="SJD93" s="168"/>
      <c r="SJE93" s="167"/>
      <c r="SJF93" s="168"/>
      <c r="SJG93" s="167"/>
      <c r="SJH93" s="168"/>
      <c r="SJI93" s="167"/>
      <c r="SJJ93" s="168"/>
      <c r="SJK93" s="167"/>
      <c r="SJL93" s="168"/>
      <c r="SJM93" s="167"/>
      <c r="SJN93" s="168"/>
      <c r="SJO93" s="167"/>
      <c r="SJP93" s="168"/>
      <c r="SJQ93" s="167"/>
      <c r="SJR93" s="168"/>
      <c r="SJS93" s="167"/>
      <c r="SJT93" s="168"/>
      <c r="SJU93" s="167"/>
      <c r="SJV93" s="168"/>
      <c r="SJW93" s="167"/>
      <c r="SJX93" s="168"/>
      <c r="SJY93" s="167"/>
      <c r="SJZ93" s="168"/>
      <c r="SKA93" s="167"/>
      <c r="SKB93" s="168"/>
      <c r="SKC93" s="167"/>
      <c r="SKD93" s="168"/>
      <c r="SKE93" s="167"/>
      <c r="SKF93" s="168"/>
      <c r="SKG93" s="167"/>
      <c r="SKH93" s="168"/>
      <c r="SKI93" s="167"/>
      <c r="SKJ93" s="168"/>
      <c r="SKK93" s="167"/>
      <c r="SKL93" s="168"/>
      <c r="SKM93" s="167"/>
      <c r="SKN93" s="168"/>
      <c r="SKO93" s="167"/>
      <c r="SKP93" s="168"/>
      <c r="SKQ93" s="167"/>
      <c r="SKR93" s="168"/>
      <c r="SKS93" s="167"/>
      <c r="SKT93" s="168"/>
      <c r="SKU93" s="167"/>
      <c r="SKV93" s="168"/>
      <c r="SKW93" s="167"/>
      <c r="SKX93" s="168"/>
      <c r="SKY93" s="167"/>
      <c r="SKZ93" s="168"/>
      <c r="SLA93" s="167"/>
      <c r="SLB93" s="168"/>
      <c r="SLC93" s="167"/>
      <c r="SLD93" s="168"/>
      <c r="SLE93" s="167"/>
      <c r="SLF93" s="168"/>
      <c r="SLG93" s="167"/>
      <c r="SLH93" s="168"/>
      <c r="SLI93" s="167"/>
      <c r="SLJ93" s="168"/>
      <c r="SLK93" s="167"/>
      <c r="SLL93" s="168"/>
      <c r="SLM93" s="167"/>
      <c r="SLN93" s="168"/>
      <c r="SLO93" s="167"/>
      <c r="SLP93" s="168"/>
      <c r="SLQ93" s="167"/>
      <c r="SLR93" s="168"/>
      <c r="SLS93" s="167"/>
      <c r="SLT93" s="168"/>
      <c r="SLU93" s="167"/>
      <c r="SLV93" s="168"/>
      <c r="SLW93" s="167"/>
      <c r="SLX93" s="168"/>
      <c r="SLY93" s="167"/>
      <c r="SLZ93" s="168"/>
      <c r="SMA93" s="167"/>
      <c r="SMB93" s="168"/>
      <c r="SMC93" s="167"/>
      <c r="SMD93" s="168"/>
      <c r="SME93" s="167"/>
      <c r="SMF93" s="168"/>
      <c r="SMG93" s="167"/>
      <c r="SMH93" s="168"/>
      <c r="SMI93" s="167"/>
      <c r="SMJ93" s="168"/>
      <c r="SMK93" s="167"/>
      <c r="SML93" s="168"/>
      <c r="SMM93" s="167"/>
      <c r="SMN93" s="168"/>
      <c r="SMO93" s="167"/>
      <c r="SMP93" s="168"/>
      <c r="SMQ93" s="167"/>
      <c r="SMR93" s="168"/>
      <c r="SMS93" s="167"/>
      <c r="SMT93" s="168"/>
      <c r="SMU93" s="167"/>
      <c r="SMV93" s="168"/>
      <c r="SMW93" s="167"/>
      <c r="SMX93" s="168"/>
      <c r="SMY93" s="167"/>
      <c r="SMZ93" s="168"/>
      <c r="SNA93" s="167"/>
      <c r="SNB93" s="168"/>
      <c r="SNC93" s="167"/>
      <c r="SND93" s="168"/>
      <c r="SNE93" s="167"/>
      <c r="SNF93" s="168"/>
      <c r="SNG93" s="167"/>
      <c r="SNH93" s="168"/>
      <c r="SNI93" s="167"/>
      <c r="SNJ93" s="168"/>
      <c r="SNK93" s="167"/>
      <c r="SNL93" s="168"/>
      <c r="SNM93" s="167"/>
      <c r="SNN93" s="168"/>
      <c r="SNO93" s="167"/>
      <c r="SNP93" s="168"/>
      <c r="SNQ93" s="167"/>
      <c r="SNR93" s="168"/>
      <c r="SNS93" s="167"/>
      <c r="SNT93" s="168"/>
      <c r="SNU93" s="167"/>
      <c r="SNV93" s="168"/>
      <c r="SNW93" s="167"/>
      <c r="SNX93" s="168"/>
      <c r="SNY93" s="167"/>
      <c r="SNZ93" s="168"/>
      <c r="SOA93" s="167"/>
      <c r="SOB93" s="168"/>
      <c r="SOC93" s="167"/>
      <c r="SOD93" s="168"/>
      <c r="SOE93" s="167"/>
      <c r="SOF93" s="168"/>
      <c r="SOG93" s="167"/>
      <c r="SOH93" s="168"/>
      <c r="SOI93" s="167"/>
      <c r="SOJ93" s="168"/>
      <c r="SOK93" s="167"/>
      <c r="SOL93" s="168"/>
      <c r="SOM93" s="167"/>
      <c r="SON93" s="168"/>
      <c r="SOO93" s="167"/>
      <c r="SOP93" s="168"/>
      <c r="SOQ93" s="167"/>
      <c r="SOR93" s="168"/>
      <c r="SOS93" s="167"/>
      <c r="SOT93" s="168"/>
      <c r="SOU93" s="167"/>
      <c r="SOV93" s="168"/>
      <c r="SOW93" s="167"/>
      <c r="SOX93" s="168"/>
      <c r="SOY93" s="167"/>
      <c r="SOZ93" s="168"/>
      <c r="SPA93" s="167"/>
      <c r="SPB93" s="168"/>
      <c r="SPC93" s="167"/>
      <c r="SPD93" s="168"/>
      <c r="SPE93" s="167"/>
      <c r="SPF93" s="168"/>
      <c r="SPG93" s="167"/>
      <c r="SPH93" s="168"/>
      <c r="SPI93" s="167"/>
      <c r="SPJ93" s="168"/>
      <c r="SPK93" s="167"/>
      <c r="SPL93" s="168"/>
      <c r="SPM93" s="167"/>
      <c r="SPN93" s="168"/>
      <c r="SPO93" s="167"/>
      <c r="SPP93" s="168"/>
      <c r="SPQ93" s="167"/>
      <c r="SPR93" s="168"/>
      <c r="SPS93" s="167"/>
      <c r="SPT93" s="168"/>
      <c r="SPU93" s="167"/>
      <c r="SPV93" s="168"/>
      <c r="SPW93" s="167"/>
      <c r="SPX93" s="168"/>
      <c r="SPY93" s="167"/>
      <c r="SPZ93" s="168"/>
      <c r="SQA93" s="167"/>
      <c r="SQB93" s="168"/>
      <c r="SQC93" s="167"/>
      <c r="SQD93" s="168"/>
      <c r="SQE93" s="167"/>
      <c r="SQF93" s="168"/>
      <c r="SQG93" s="167"/>
      <c r="SQH93" s="168"/>
      <c r="SQI93" s="167"/>
      <c r="SQJ93" s="168"/>
      <c r="SQK93" s="167"/>
      <c r="SQL93" s="168"/>
      <c r="SQM93" s="167"/>
      <c r="SQN93" s="168"/>
      <c r="SQO93" s="167"/>
      <c r="SQP93" s="168"/>
      <c r="SQQ93" s="167"/>
      <c r="SQR93" s="168"/>
      <c r="SQS93" s="167"/>
      <c r="SQT93" s="168"/>
      <c r="SQU93" s="167"/>
      <c r="SQV93" s="168"/>
      <c r="SQW93" s="167"/>
      <c r="SQX93" s="168"/>
      <c r="SQY93" s="167"/>
      <c r="SQZ93" s="168"/>
      <c r="SRA93" s="167"/>
      <c r="SRB93" s="168"/>
      <c r="SRC93" s="167"/>
      <c r="SRD93" s="168"/>
      <c r="SRE93" s="167"/>
      <c r="SRF93" s="168"/>
      <c r="SRG93" s="167"/>
      <c r="SRH93" s="168"/>
      <c r="SRI93" s="167"/>
      <c r="SRJ93" s="168"/>
      <c r="SRK93" s="167"/>
      <c r="SRL93" s="168"/>
      <c r="SRM93" s="167"/>
      <c r="SRN93" s="168"/>
      <c r="SRO93" s="167"/>
      <c r="SRP93" s="168"/>
      <c r="SRQ93" s="167"/>
      <c r="SRR93" s="168"/>
      <c r="SRS93" s="167"/>
      <c r="SRT93" s="168"/>
      <c r="SRU93" s="167"/>
      <c r="SRV93" s="168"/>
      <c r="SRW93" s="167"/>
      <c r="SRX93" s="168"/>
      <c r="SRY93" s="167"/>
      <c r="SRZ93" s="168"/>
      <c r="SSA93" s="167"/>
      <c r="SSB93" s="168"/>
      <c r="SSC93" s="167"/>
      <c r="SSD93" s="168"/>
      <c r="SSE93" s="167"/>
      <c r="SSF93" s="168"/>
      <c r="SSG93" s="167"/>
      <c r="SSH93" s="168"/>
      <c r="SSI93" s="167"/>
      <c r="SSJ93" s="168"/>
      <c r="SSK93" s="167"/>
      <c r="SSL93" s="168"/>
      <c r="SSM93" s="167"/>
      <c r="SSN93" s="168"/>
      <c r="SSO93" s="167"/>
      <c r="SSP93" s="168"/>
      <c r="SSQ93" s="167"/>
      <c r="SSR93" s="168"/>
      <c r="SSS93" s="167"/>
      <c r="SST93" s="168"/>
      <c r="SSU93" s="167"/>
      <c r="SSV93" s="168"/>
      <c r="SSW93" s="167"/>
      <c r="SSX93" s="168"/>
      <c r="SSY93" s="167"/>
      <c r="SSZ93" s="168"/>
      <c r="STA93" s="167"/>
      <c r="STB93" s="168"/>
      <c r="STC93" s="167"/>
      <c r="STD93" s="168"/>
      <c r="STE93" s="167"/>
      <c r="STF93" s="168"/>
      <c r="STG93" s="167"/>
      <c r="STH93" s="168"/>
      <c r="STI93" s="167"/>
      <c r="STJ93" s="168"/>
      <c r="STK93" s="167"/>
      <c r="STL93" s="168"/>
      <c r="STM93" s="167"/>
      <c r="STN93" s="168"/>
      <c r="STO93" s="167"/>
      <c r="STP93" s="168"/>
      <c r="STQ93" s="167"/>
      <c r="STR93" s="168"/>
      <c r="STS93" s="167"/>
      <c r="STT93" s="168"/>
      <c r="STU93" s="167"/>
      <c r="STV93" s="168"/>
      <c r="STW93" s="167"/>
      <c r="STX93" s="168"/>
      <c r="STY93" s="167"/>
      <c r="STZ93" s="168"/>
      <c r="SUA93" s="167"/>
      <c r="SUB93" s="168"/>
      <c r="SUC93" s="167"/>
      <c r="SUD93" s="168"/>
      <c r="SUE93" s="167"/>
      <c r="SUF93" s="168"/>
      <c r="SUG93" s="167"/>
      <c r="SUH93" s="168"/>
      <c r="SUI93" s="167"/>
      <c r="SUJ93" s="168"/>
      <c r="SUK93" s="167"/>
      <c r="SUL93" s="168"/>
      <c r="SUM93" s="167"/>
      <c r="SUN93" s="168"/>
      <c r="SUO93" s="167"/>
      <c r="SUP93" s="168"/>
      <c r="SUQ93" s="167"/>
      <c r="SUR93" s="168"/>
      <c r="SUS93" s="167"/>
      <c r="SUT93" s="168"/>
      <c r="SUU93" s="167"/>
      <c r="SUV93" s="168"/>
      <c r="SUW93" s="167"/>
      <c r="SUX93" s="168"/>
      <c r="SUY93" s="167"/>
      <c r="SUZ93" s="168"/>
      <c r="SVA93" s="167"/>
      <c r="SVB93" s="168"/>
      <c r="SVC93" s="167"/>
      <c r="SVD93" s="168"/>
      <c r="SVE93" s="167"/>
      <c r="SVF93" s="168"/>
      <c r="SVG93" s="167"/>
      <c r="SVH93" s="168"/>
      <c r="SVI93" s="167"/>
      <c r="SVJ93" s="168"/>
      <c r="SVK93" s="167"/>
      <c r="SVL93" s="168"/>
      <c r="SVM93" s="167"/>
      <c r="SVN93" s="168"/>
      <c r="SVO93" s="167"/>
      <c r="SVP93" s="168"/>
      <c r="SVQ93" s="167"/>
      <c r="SVR93" s="168"/>
      <c r="SVS93" s="167"/>
      <c r="SVT93" s="168"/>
      <c r="SVU93" s="167"/>
      <c r="SVV93" s="168"/>
      <c r="SVW93" s="167"/>
      <c r="SVX93" s="168"/>
      <c r="SVY93" s="167"/>
      <c r="SVZ93" s="168"/>
      <c r="SWA93" s="167"/>
      <c r="SWB93" s="168"/>
      <c r="SWC93" s="167"/>
      <c r="SWD93" s="168"/>
      <c r="SWE93" s="167"/>
      <c r="SWF93" s="168"/>
      <c r="SWG93" s="167"/>
      <c r="SWH93" s="168"/>
      <c r="SWI93" s="167"/>
      <c r="SWJ93" s="168"/>
      <c r="SWK93" s="167"/>
      <c r="SWL93" s="168"/>
      <c r="SWM93" s="167"/>
      <c r="SWN93" s="168"/>
      <c r="SWO93" s="167"/>
      <c r="SWP93" s="168"/>
      <c r="SWQ93" s="167"/>
      <c r="SWR93" s="168"/>
      <c r="SWS93" s="167"/>
      <c r="SWT93" s="168"/>
      <c r="SWU93" s="167"/>
      <c r="SWV93" s="168"/>
      <c r="SWW93" s="167"/>
      <c r="SWX93" s="168"/>
      <c r="SWY93" s="167"/>
      <c r="SWZ93" s="168"/>
      <c r="SXA93" s="167"/>
      <c r="SXB93" s="168"/>
      <c r="SXC93" s="167"/>
      <c r="SXD93" s="168"/>
      <c r="SXE93" s="167"/>
      <c r="SXF93" s="168"/>
      <c r="SXG93" s="167"/>
      <c r="SXH93" s="168"/>
      <c r="SXI93" s="167"/>
      <c r="SXJ93" s="168"/>
      <c r="SXK93" s="167"/>
      <c r="SXL93" s="168"/>
      <c r="SXM93" s="167"/>
      <c r="SXN93" s="168"/>
      <c r="SXO93" s="167"/>
      <c r="SXP93" s="168"/>
      <c r="SXQ93" s="167"/>
      <c r="SXR93" s="168"/>
      <c r="SXS93" s="167"/>
      <c r="SXT93" s="168"/>
      <c r="SXU93" s="167"/>
      <c r="SXV93" s="168"/>
      <c r="SXW93" s="167"/>
      <c r="SXX93" s="168"/>
      <c r="SXY93" s="167"/>
      <c r="SXZ93" s="168"/>
      <c r="SYA93" s="167"/>
      <c r="SYB93" s="168"/>
      <c r="SYC93" s="167"/>
      <c r="SYD93" s="168"/>
      <c r="SYE93" s="167"/>
      <c r="SYF93" s="168"/>
      <c r="SYG93" s="167"/>
      <c r="SYH93" s="168"/>
      <c r="SYI93" s="167"/>
      <c r="SYJ93" s="168"/>
      <c r="SYK93" s="167"/>
      <c r="SYL93" s="168"/>
      <c r="SYM93" s="167"/>
      <c r="SYN93" s="168"/>
      <c r="SYO93" s="167"/>
      <c r="SYP93" s="168"/>
      <c r="SYQ93" s="167"/>
      <c r="SYR93" s="168"/>
      <c r="SYS93" s="167"/>
      <c r="SYT93" s="168"/>
      <c r="SYU93" s="167"/>
      <c r="SYV93" s="168"/>
      <c r="SYW93" s="167"/>
      <c r="SYX93" s="168"/>
      <c r="SYY93" s="167"/>
      <c r="SYZ93" s="168"/>
      <c r="SZA93" s="167"/>
      <c r="SZB93" s="168"/>
      <c r="SZC93" s="167"/>
      <c r="SZD93" s="168"/>
      <c r="SZE93" s="167"/>
      <c r="SZF93" s="168"/>
      <c r="SZG93" s="167"/>
      <c r="SZH93" s="168"/>
      <c r="SZI93" s="167"/>
      <c r="SZJ93" s="168"/>
      <c r="SZK93" s="167"/>
      <c r="SZL93" s="168"/>
      <c r="SZM93" s="167"/>
      <c r="SZN93" s="168"/>
      <c r="SZO93" s="167"/>
      <c r="SZP93" s="168"/>
      <c r="SZQ93" s="167"/>
      <c r="SZR93" s="168"/>
      <c r="SZS93" s="167"/>
      <c r="SZT93" s="168"/>
      <c r="SZU93" s="167"/>
      <c r="SZV93" s="168"/>
      <c r="SZW93" s="167"/>
      <c r="SZX93" s="168"/>
      <c r="SZY93" s="167"/>
      <c r="SZZ93" s="168"/>
      <c r="TAA93" s="167"/>
      <c r="TAB93" s="168"/>
      <c r="TAC93" s="167"/>
      <c r="TAD93" s="168"/>
      <c r="TAE93" s="167"/>
      <c r="TAF93" s="168"/>
      <c r="TAG93" s="167"/>
      <c r="TAH93" s="168"/>
      <c r="TAI93" s="167"/>
      <c r="TAJ93" s="168"/>
      <c r="TAK93" s="167"/>
      <c r="TAL93" s="168"/>
      <c r="TAM93" s="167"/>
      <c r="TAN93" s="168"/>
      <c r="TAO93" s="167"/>
      <c r="TAP93" s="168"/>
      <c r="TAQ93" s="167"/>
      <c r="TAR93" s="168"/>
      <c r="TAS93" s="167"/>
      <c r="TAT93" s="168"/>
      <c r="TAU93" s="167"/>
      <c r="TAV93" s="168"/>
      <c r="TAW93" s="167"/>
      <c r="TAX93" s="168"/>
      <c r="TAY93" s="167"/>
      <c r="TAZ93" s="168"/>
      <c r="TBA93" s="167"/>
      <c r="TBB93" s="168"/>
      <c r="TBC93" s="167"/>
      <c r="TBD93" s="168"/>
      <c r="TBE93" s="167"/>
      <c r="TBF93" s="168"/>
      <c r="TBG93" s="167"/>
      <c r="TBH93" s="168"/>
      <c r="TBI93" s="167"/>
      <c r="TBJ93" s="168"/>
      <c r="TBK93" s="167"/>
      <c r="TBL93" s="168"/>
      <c r="TBM93" s="167"/>
      <c r="TBN93" s="168"/>
      <c r="TBO93" s="167"/>
      <c r="TBP93" s="168"/>
      <c r="TBQ93" s="167"/>
      <c r="TBR93" s="168"/>
      <c r="TBS93" s="167"/>
      <c r="TBT93" s="168"/>
      <c r="TBU93" s="167"/>
      <c r="TBV93" s="168"/>
      <c r="TBW93" s="167"/>
      <c r="TBX93" s="168"/>
      <c r="TBY93" s="167"/>
      <c r="TBZ93" s="168"/>
      <c r="TCA93" s="167"/>
      <c r="TCB93" s="168"/>
      <c r="TCC93" s="167"/>
      <c r="TCD93" s="168"/>
      <c r="TCE93" s="167"/>
      <c r="TCF93" s="168"/>
      <c r="TCG93" s="167"/>
      <c r="TCH93" s="168"/>
      <c r="TCI93" s="167"/>
      <c r="TCJ93" s="168"/>
      <c r="TCK93" s="167"/>
      <c r="TCL93" s="168"/>
      <c r="TCM93" s="167"/>
      <c r="TCN93" s="168"/>
      <c r="TCO93" s="167"/>
      <c r="TCP93" s="168"/>
      <c r="TCQ93" s="167"/>
      <c r="TCR93" s="168"/>
      <c r="TCS93" s="167"/>
      <c r="TCT93" s="168"/>
      <c r="TCU93" s="167"/>
      <c r="TCV93" s="168"/>
      <c r="TCW93" s="167"/>
      <c r="TCX93" s="168"/>
      <c r="TCY93" s="167"/>
      <c r="TCZ93" s="168"/>
      <c r="TDA93" s="167"/>
      <c r="TDB93" s="168"/>
      <c r="TDC93" s="167"/>
      <c r="TDD93" s="168"/>
      <c r="TDE93" s="167"/>
      <c r="TDF93" s="168"/>
      <c r="TDG93" s="167"/>
      <c r="TDH93" s="168"/>
      <c r="TDI93" s="167"/>
      <c r="TDJ93" s="168"/>
      <c r="TDK93" s="167"/>
      <c r="TDL93" s="168"/>
      <c r="TDM93" s="167"/>
      <c r="TDN93" s="168"/>
      <c r="TDO93" s="167"/>
      <c r="TDP93" s="168"/>
      <c r="TDQ93" s="167"/>
      <c r="TDR93" s="168"/>
      <c r="TDS93" s="167"/>
      <c r="TDT93" s="168"/>
      <c r="TDU93" s="167"/>
      <c r="TDV93" s="168"/>
      <c r="TDW93" s="167"/>
      <c r="TDX93" s="168"/>
      <c r="TDY93" s="167"/>
      <c r="TDZ93" s="168"/>
      <c r="TEA93" s="167"/>
      <c r="TEB93" s="168"/>
      <c r="TEC93" s="167"/>
      <c r="TED93" s="168"/>
      <c r="TEE93" s="167"/>
      <c r="TEF93" s="168"/>
      <c r="TEG93" s="167"/>
      <c r="TEH93" s="168"/>
      <c r="TEI93" s="167"/>
      <c r="TEJ93" s="168"/>
      <c r="TEK93" s="167"/>
      <c r="TEL93" s="168"/>
      <c r="TEM93" s="167"/>
      <c r="TEN93" s="168"/>
      <c r="TEO93" s="167"/>
      <c r="TEP93" s="168"/>
      <c r="TEQ93" s="167"/>
      <c r="TER93" s="168"/>
      <c r="TES93" s="167"/>
      <c r="TET93" s="168"/>
      <c r="TEU93" s="167"/>
      <c r="TEV93" s="168"/>
      <c r="TEW93" s="167"/>
      <c r="TEX93" s="168"/>
      <c r="TEY93" s="167"/>
      <c r="TEZ93" s="168"/>
      <c r="TFA93" s="167"/>
      <c r="TFB93" s="168"/>
      <c r="TFC93" s="167"/>
      <c r="TFD93" s="168"/>
      <c r="TFE93" s="167"/>
      <c r="TFF93" s="168"/>
      <c r="TFG93" s="167"/>
      <c r="TFH93" s="168"/>
      <c r="TFI93" s="167"/>
      <c r="TFJ93" s="168"/>
      <c r="TFK93" s="167"/>
      <c r="TFL93" s="168"/>
      <c r="TFM93" s="167"/>
      <c r="TFN93" s="168"/>
      <c r="TFO93" s="167"/>
      <c r="TFP93" s="168"/>
      <c r="TFQ93" s="167"/>
      <c r="TFR93" s="168"/>
      <c r="TFS93" s="167"/>
      <c r="TFT93" s="168"/>
      <c r="TFU93" s="167"/>
      <c r="TFV93" s="168"/>
      <c r="TFW93" s="167"/>
      <c r="TFX93" s="168"/>
      <c r="TFY93" s="167"/>
      <c r="TFZ93" s="168"/>
      <c r="TGA93" s="167"/>
      <c r="TGB93" s="168"/>
      <c r="TGC93" s="167"/>
      <c r="TGD93" s="168"/>
      <c r="TGE93" s="167"/>
      <c r="TGF93" s="168"/>
      <c r="TGG93" s="167"/>
      <c r="TGH93" s="168"/>
      <c r="TGI93" s="167"/>
      <c r="TGJ93" s="168"/>
      <c r="TGK93" s="167"/>
      <c r="TGL93" s="168"/>
      <c r="TGM93" s="167"/>
      <c r="TGN93" s="168"/>
      <c r="TGO93" s="167"/>
      <c r="TGP93" s="168"/>
      <c r="TGQ93" s="167"/>
      <c r="TGR93" s="168"/>
      <c r="TGS93" s="167"/>
      <c r="TGT93" s="168"/>
      <c r="TGU93" s="167"/>
      <c r="TGV93" s="168"/>
      <c r="TGW93" s="167"/>
      <c r="TGX93" s="168"/>
      <c r="TGY93" s="167"/>
      <c r="TGZ93" s="168"/>
      <c r="THA93" s="167"/>
      <c r="THB93" s="168"/>
      <c r="THC93" s="167"/>
      <c r="THD93" s="168"/>
      <c r="THE93" s="167"/>
      <c r="THF93" s="168"/>
      <c r="THG93" s="167"/>
      <c r="THH93" s="168"/>
      <c r="THI93" s="167"/>
      <c r="THJ93" s="168"/>
      <c r="THK93" s="167"/>
      <c r="THL93" s="168"/>
      <c r="THM93" s="167"/>
      <c r="THN93" s="168"/>
      <c r="THO93" s="167"/>
      <c r="THP93" s="168"/>
      <c r="THQ93" s="167"/>
      <c r="THR93" s="168"/>
      <c r="THS93" s="167"/>
      <c r="THT93" s="168"/>
      <c r="THU93" s="167"/>
      <c r="THV93" s="168"/>
      <c r="THW93" s="167"/>
      <c r="THX93" s="168"/>
      <c r="THY93" s="167"/>
      <c r="THZ93" s="168"/>
      <c r="TIA93" s="167"/>
      <c r="TIB93" s="168"/>
      <c r="TIC93" s="167"/>
      <c r="TID93" s="168"/>
      <c r="TIE93" s="167"/>
      <c r="TIF93" s="168"/>
      <c r="TIG93" s="167"/>
      <c r="TIH93" s="168"/>
      <c r="TII93" s="167"/>
      <c r="TIJ93" s="168"/>
      <c r="TIK93" s="167"/>
      <c r="TIL93" s="168"/>
      <c r="TIM93" s="167"/>
      <c r="TIN93" s="168"/>
      <c r="TIO93" s="167"/>
      <c r="TIP93" s="168"/>
      <c r="TIQ93" s="167"/>
      <c r="TIR93" s="168"/>
      <c r="TIS93" s="167"/>
      <c r="TIT93" s="168"/>
      <c r="TIU93" s="167"/>
      <c r="TIV93" s="168"/>
      <c r="TIW93" s="167"/>
      <c r="TIX93" s="168"/>
      <c r="TIY93" s="167"/>
      <c r="TIZ93" s="168"/>
      <c r="TJA93" s="167"/>
      <c r="TJB93" s="168"/>
      <c r="TJC93" s="167"/>
      <c r="TJD93" s="168"/>
      <c r="TJE93" s="167"/>
      <c r="TJF93" s="168"/>
      <c r="TJG93" s="167"/>
      <c r="TJH93" s="168"/>
      <c r="TJI93" s="167"/>
      <c r="TJJ93" s="168"/>
      <c r="TJK93" s="167"/>
      <c r="TJL93" s="168"/>
      <c r="TJM93" s="167"/>
      <c r="TJN93" s="168"/>
      <c r="TJO93" s="167"/>
      <c r="TJP93" s="168"/>
      <c r="TJQ93" s="167"/>
      <c r="TJR93" s="168"/>
      <c r="TJS93" s="167"/>
      <c r="TJT93" s="168"/>
      <c r="TJU93" s="167"/>
      <c r="TJV93" s="168"/>
      <c r="TJW93" s="167"/>
      <c r="TJX93" s="168"/>
      <c r="TJY93" s="167"/>
      <c r="TJZ93" s="168"/>
      <c r="TKA93" s="167"/>
      <c r="TKB93" s="168"/>
      <c r="TKC93" s="167"/>
      <c r="TKD93" s="168"/>
      <c r="TKE93" s="167"/>
      <c r="TKF93" s="168"/>
      <c r="TKG93" s="167"/>
      <c r="TKH93" s="168"/>
      <c r="TKI93" s="167"/>
      <c r="TKJ93" s="168"/>
      <c r="TKK93" s="167"/>
      <c r="TKL93" s="168"/>
      <c r="TKM93" s="167"/>
      <c r="TKN93" s="168"/>
      <c r="TKO93" s="167"/>
      <c r="TKP93" s="168"/>
      <c r="TKQ93" s="167"/>
      <c r="TKR93" s="168"/>
      <c r="TKS93" s="167"/>
      <c r="TKT93" s="168"/>
      <c r="TKU93" s="167"/>
      <c r="TKV93" s="168"/>
      <c r="TKW93" s="167"/>
      <c r="TKX93" s="168"/>
      <c r="TKY93" s="167"/>
      <c r="TKZ93" s="168"/>
      <c r="TLA93" s="167"/>
      <c r="TLB93" s="168"/>
      <c r="TLC93" s="167"/>
      <c r="TLD93" s="168"/>
      <c r="TLE93" s="167"/>
      <c r="TLF93" s="168"/>
      <c r="TLG93" s="167"/>
      <c r="TLH93" s="168"/>
      <c r="TLI93" s="167"/>
      <c r="TLJ93" s="168"/>
      <c r="TLK93" s="167"/>
      <c r="TLL93" s="168"/>
      <c r="TLM93" s="167"/>
      <c r="TLN93" s="168"/>
      <c r="TLO93" s="167"/>
      <c r="TLP93" s="168"/>
      <c r="TLQ93" s="167"/>
      <c r="TLR93" s="168"/>
      <c r="TLS93" s="167"/>
      <c r="TLT93" s="168"/>
      <c r="TLU93" s="167"/>
      <c r="TLV93" s="168"/>
      <c r="TLW93" s="167"/>
      <c r="TLX93" s="168"/>
      <c r="TLY93" s="167"/>
      <c r="TLZ93" s="168"/>
      <c r="TMA93" s="167"/>
      <c r="TMB93" s="168"/>
      <c r="TMC93" s="167"/>
      <c r="TMD93" s="168"/>
      <c r="TME93" s="167"/>
      <c r="TMF93" s="168"/>
      <c r="TMG93" s="167"/>
      <c r="TMH93" s="168"/>
      <c r="TMI93" s="167"/>
      <c r="TMJ93" s="168"/>
      <c r="TMK93" s="167"/>
      <c r="TML93" s="168"/>
      <c r="TMM93" s="167"/>
      <c r="TMN93" s="168"/>
      <c r="TMO93" s="167"/>
      <c r="TMP93" s="168"/>
      <c r="TMQ93" s="167"/>
      <c r="TMR93" s="168"/>
      <c r="TMS93" s="167"/>
      <c r="TMT93" s="168"/>
      <c r="TMU93" s="167"/>
      <c r="TMV93" s="168"/>
      <c r="TMW93" s="167"/>
      <c r="TMX93" s="168"/>
      <c r="TMY93" s="167"/>
      <c r="TMZ93" s="168"/>
      <c r="TNA93" s="167"/>
      <c r="TNB93" s="168"/>
      <c r="TNC93" s="167"/>
      <c r="TND93" s="168"/>
      <c r="TNE93" s="167"/>
      <c r="TNF93" s="168"/>
      <c r="TNG93" s="167"/>
      <c r="TNH93" s="168"/>
      <c r="TNI93" s="167"/>
      <c r="TNJ93" s="168"/>
      <c r="TNK93" s="167"/>
      <c r="TNL93" s="168"/>
      <c r="TNM93" s="167"/>
      <c r="TNN93" s="168"/>
      <c r="TNO93" s="167"/>
      <c r="TNP93" s="168"/>
      <c r="TNQ93" s="167"/>
      <c r="TNR93" s="168"/>
      <c r="TNS93" s="167"/>
      <c r="TNT93" s="168"/>
      <c r="TNU93" s="167"/>
      <c r="TNV93" s="168"/>
      <c r="TNW93" s="167"/>
      <c r="TNX93" s="168"/>
      <c r="TNY93" s="167"/>
      <c r="TNZ93" s="168"/>
      <c r="TOA93" s="167"/>
      <c r="TOB93" s="168"/>
      <c r="TOC93" s="167"/>
      <c r="TOD93" s="168"/>
      <c r="TOE93" s="167"/>
      <c r="TOF93" s="168"/>
      <c r="TOG93" s="167"/>
      <c r="TOH93" s="168"/>
      <c r="TOI93" s="167"/>
      <c r="TOJ93" s="168"/>
      <c r="TOK93" s="167"/>
      <c r="TOL93" s="168"/>
      <c r="TOM93" s="167"/>
      <c r="TON93" s="168"/>
      <c r="TOO93" s="167"/>
      <c r="TOP93" s="168"/>
      <c r="TOQ93" s="167"/>
      <c r="TOR93" s="168"/>
      <c r="TOS93" s="167"/>
      <c r="TOT93" s="168"/>
      <c r="TOU93" s="167"/>
      <c r="TOV93" s="168"/>
      <c r="TOW93" s="167"/>
      <c r="TOX93" s="168"/>
      <c r="TOY93" s="167"/>
      <c r="TOZ93" s="168"/>
      <c r="TPA93" s="167"/>
      <c r="TPB93" s="168"/>
      <c r="TPC93" s="167"/>
      <c r="TPD93" s="168"/>
      <c r="TPE93" s="167"/>
      <c r="TPF93" s="168"/>
      <c r="TPG93" s="167"/>
      <c r="TPH93" s="168"/>
      <c r="TPI93" s="167"/>
      <c r="TPJ93" s="168"/>
      <c r="TPK93" s="167"/>
      <c r="TPL93" s="168"/>
      <c r="TPM93" s="167"/>
      <c r="TPN93" s="168"/>
      <c r="TPO93" s="167"/>
      <c r="TPP93" s="168"/>
      <c r="TPQ93" s="167"/>
      <c r="TPR93" s="168"/>
      <c r="TPS93" s="167"/>
      <c r="TPT93" s="168"/>
      <c r="TPU93" s="167"/>
      <c r="TPV93" s="168"/>
      <c r="TPW93" s="167"/>
      <c r="TPX93" s="168"/>
      <c r="TPY93" s="167"/>
      <c r="TPZ93" s="168"/>
      <c r="TQA93" s="167"/>
      <c r="TQB93" s="168"/>
      <c r="TQC93" s="167"/>
      <c r="TQD93" s="168"/>
      <c r="TQE93" s="167"/>
      <c r="TQF93" s="168"/>
      <c r="TQG93" s="167"/>
      <c r="TQH93" s="168"/>
      <c r="TQI93" s="167"/>
      <c r="TQJ93" s="168"/>
      <c r="TQK93" s="167"/>
      <c r="TQL93" s="168"/>
      <c r="TQM93" s="167"/>
      <c r="TQN93" s="168"/>
      <c r="TQO93" s="167"/>
      <c r="TQP93" s="168"/>
      <c r="TQQ93" s="167"/>
      <c r="TQR93" s="168"/>
      <c r="TQS93" s="167"/>
      <c r="TQT93" s="168"/>
      <c r="TQU93" s="167"/>
      <c r="TQV93" s="168"/>
      <c r="TQW93" s="167"/>
      <c r="TQX93" s="168"/>
      <c r="TQY93" s="167"/>
      <c r="TQZ93" s="168"/>
      <c r="TRA93" s="167"/>
      <c r="TRB93" s="168"/>
      <c r="TRC93" s="167"/>
      <c r="TRD93" s="168"/>
      <c r="TRE93" s="167"/>
      <c r="TRF93" s="168"/>
      <c r="TRG93" s="167"/>
      <c r="TRH93" s="168"/>
      <c r="TRI93" s="167"/>
      <c r="TRJ93" s="168"/>
      <c r="TRK93" s="167"/>
      <c r="TRL93" s="168"/>
      <c r="TRM93" s="167"/>
      <c r="TRN93" s="168"/>
      <c r="TRO93" s="167"/>
      <c r="TRP93" s="168"/>
      <c r="TRQ93" s="167"/>
      <c r="TRR93" s="168"/>
      <c r="TRS93" s="167"/>
      <c r="TRT93" s="168"/>
      <c r="TRU93" s="167"/>
      <c r="TRV93" s="168"/>
      <c r="TRW93" s="167"/>
      <c r="TRX93" s="168"/>
      <c r="TRY93" s="167"/>
      <c r="TRZ93" s="168"/>
      <c r="TSA93" s="167"/>
      <c r="TSB93" s="168"/>
      <c r="TSC93" s="167"/>
      <c r="TSD93" s="168"/>
      <c r="TSE93" s="167"/>
      <c r="TSF93" s="168"/>
      <c r="TSG93" s="167"/>
      <c r="TSH93" s="168"/>
      <c r="TSI93" s="167"/>
      <c r="TSJ93" s="168"/>
      <c r="TSK93" s="167"/>
      <c r="TSL93" s="168"/>
      <c r="TSM93" s="167"/>
      <c r="TSN93" s="168"/>
      <c r="TSO93" s="167"/>
      <c r="TSP93" s="168"/>
      <c r="TSQ93" s="167"/>
      <c r="TSR93" s="168"/>
      <c r="TSS93" s="167"/>
      <c r="TST93" s="168"/>
      <c r="TSU93" s="167"/>
      <c r="TSV93" s="168"/>
      <c r="TSW93" s="167"/>
      <c r="TSX93" s="168"/>
      <c r="TSY93" s="167"/>
      <c r="TSZ93" s="168"/>
      <c r="TTA93" s="167"/>
      <c r="TTB93" s="168"/>
      <c r="TTC93" s="167"/>
      <c r="TTD93" s="168"/>
      <c r="TTE93" s="167"/>
      <c r="TTF93" s="168"/>
      <c r="TTG93" s="167"/>
      <c r="TTH93" s="168"/>
      <c r="TTI93" s="167"/>
      <c r="TTJ93" s="168"/>
      <c r="TTK93" s="167"/>
      <c r="TTL93" s="168"/>
      <c r="TTM93" s="167"/>
      <c r="TTN93" s="168"/>
      <c r="TTO93" s="167"/>
      <c r="TTP93" s="168"/>
      <c r="TTQ93" s="167"/>
      <c r="TTR93" s="168"/>
      <c r="TTS93" s="167"/>
      <c r="TTT93" s="168"/>
      <c r="TTU93" s="167"/>
      <c r="TTV93" s="168"/>
      <c r="TTW93" s="167"/>
      <c r="TTX93" s="168"/>
      <c r="TTY93" s="167"/>
      <c r="TTZ93" s="168"/>
      <c r="TUA93" s="167"/>
      <c r="TUB93" s="168"/>
      <c r="TUC93" s="167"/>
      <c r="TUD93" s="168"/>
      <c r="TUE93" s="167"/>
      <c r="TUF93" s="168"/>
      <c r="TUG93" s="167"/>
      <c r="TUH93" s="168"/>
      <c r="TUI93" s="167"/>
      <c r="TUJ93" s="168"/>
      <c r="TUK93" s="167"/>
      <c r="TUL93" s="168"/>
      <c r="TUM93" s="167"/>
      <c r="TUN93" s="168"/>
      <c r="TUO93" s="167"/>
      <c r="TUP93" s="168"/>
      <c r="TUQ93" s="167"/>
      <c r="TUR93" s="168"/>
      <c r="TUS93" s="167"/>
      <c r="TUT93" s="168"/>
      <c r="TUU93" s="167"/>
      <c r="TUV93" s="168"/>
      <c r="TUW93" s="167"/>
      <c r="TUX93" s="168"/>
      <c r="TUY93" s="167"/>
      <c r="TUZ93" s="168"/>
      <c r="TVA93" s="167"/>
      <c r="TVB93" s="168"/>
      <c r="TVC93" s="167"/>
      <c r="TVD93" s="168"/>
      <c r="TVE93" s="167"/>
      <c r="TVF93" s="168"/>
      <c r="TVG93" s="167"/>
      <c r="TVH93" s="168"/>
      <c r="TVI93" s="167"/>
      <c r="TVJ93" s="168"/>
      <c r="TVK93" s="167"/>
      <c r="TVL93" s="168"/>
      <c r="TVM93" s="167"/>
      <c r="TVN93" s="168"/>
      <c r="TVO93" s="167"/>
      <c r="TVP93" s="168"/>
      <c r="TVQ93" s="167"/>
      <c r="TVR93" s="168"/>
      <c r="TVS93" s="167"/>
      <c r="TVT93" s="168"/>
      <c r="TVU93" s="167"/>
      <c r="TVV93" s="168"/>
      <c r="TVW93" s="167"/>
      <c r="TVX93" s="168"/>
      <c r="TVY93" s="167"/>
      <c r="TVZ93" s="168"/>
      <c r="TWA93" s="167"/>
      <c r="TWB93" s="168"/>
      <c r="TWC93" s="167"/>
      <c r="TWD93" s="168"/>
      <c r="TWE93" s="167"/>
      <c r="TWF93" s="168"/>
      <c r="TWG93" s="167"/>
      <c r="TWH93" s="168"/>
      <c r="TWI93" s="167"/>
      <c r="TWJ93" s="168"/>
      <c r="TWK93" s="167"/>
      <c r="TWL93" s="168"/>
      <c r="TWM93" s="167"/>
      <c r="TWN93" s="168"/>
      <c r="TWO93" s="167"/>
      <c r="TWP93" s="168"/>
      <c r="TWQ93" s="167"/>
      <c r="TWR93" s="168"/>
      <c r="TWS93" s="167"/>
      <c r="TWT93" s="168"/>
      <c r="TWU93" s="167"/>
      <c r="TWV93" s="168"/>
      <c r="TWW93" s="167"/>
      <c r="TWX93" s="168"/>
      <c r="TWY93" s="167"/>
      <c r="TWZ93" s="168"/>
      <c r="TXA93" s="167"/>
      <c r="TXB93" s="168"/>
      <c r="TXC93" s="167"/>
      <c r="TXD93" s="168"/>
      <c r="TXE93" s="167"/>
      <c r="TXF93" s="168"/>
      <c r="TXG93" s="167"/>
      <c r="TXH93" s="168"/>
      <c r="TXI93" s="167"/>
      <c r="TXJ93" s="168"/>
      <c r="TXK93" s="167"/>
      <c r="TXL93" s="168"/>
      <c r="TXM93" s="167"/>
      <c r="TXN93" s="168"/>
      <c r="TXO93" s="167"/>
      <c r="TXP93" s="168"/>
      <c r="TXQ93" s="167"/>
      <c r="TXR93" s="168"/>
      <c r="TXS93" s="167"/>
      <c r="TXT93" s="168"/>
      <c r="TXU93" s="167"/>
      <c r="TXV93" s="168"/>
      <c r="TXW93" s="167"/>
      <c r="TXX93" s="168"/>
      <c r="TXY93" s="167"/>
      <c r="TXZ93" s="168"/>
      <c r="TYA93" s="167"/>
      <c r="TYB93" s="168"/>
      <c r="TYC93" s="167"/>
      <c r="TYD93" s="168"/>
      <c r="TYE93" s="167"/>
      <c r="TYF93" s="168"/>
      <c r="TYG93" s="167"/>
      <c r="TYH93" s="168"/>
      <c r="TYI93" s="167"/>
      <c r="TYJ93" s="168"/>
      <c r="TYK93" s="167"/>
      <c r="TYL93" s="168"/>
      <c r="TYM93" s="167"/>
      <c r="TYN93" s="168"/>
      <c r="TYO93" s="167"/>
      <c r="TYP93" s="168"/>
      <c r="TYQ93" s="167"/>
      <c r="TYR93" s="168"/>
      <c r="TYS93" s="167"/>
      <c r="TYT93" s="168"/>
      <c r="TYU93" s="167"/>
      <c r="TYV93" s="168"/>
      <c r="TYW93" s="167"/>
      <c r="TYX93" s="168"/>
      <c r="TYY93" s="167"/>
      <c r="TYZ93" s="168"/>
      <c r="TZA93" s="167"/>
      <c r="TZB93" s="168"/>
      <c r="TZC93" s="167"/>
      <c r="TZD93" s="168"/>
      <c r="TZE93" s="167"/>
      <c r="TZF93" s="168"/>
      <c r="TZG93" s="167"/>
      <c r="TZH93" s="168"/>
      <c r="TZI93" s="167"/>
      <c r="TZJ93" s="168"/>
      <c r="TZK93" s="167"/>
      <c r="TZL93" s="168"/>
      <c r="TZM93" s="167"/>
      <c r="TZN93" s="168"/>
      <c r="TZO93" s="167"/>
      <c r="TZP93" s="168"/>
      <c r="TZQ93" s="167"/>
      <c r="TZR93" s="168"/>
      <c r="TZS93" s="167"/>
      <c r="TZT93" s="168"/>
      <c r="TZU93" s="167"/>
      <c r="TZV93" s="168"/>
      <c r="TZW93" s="167"/>
      <c r="TZX93" s="168"/>
      <c r="TZY93" s="167"/>
      <c r="TZZ93" s="168"/>
      <c r="UAA93" s="167"/>
      <c r="UAB93" s="168"/>
      <c r="UAC93" s="167"/>
      <c r="UAD93" s="168"/>
      <c r="UAE93" s="167"/>
      <c r="UAF93" s="168"/>
      <c r="UAG93" s="167"/>
      <c r="UAH93" s="168"/>
      <c r="UAI93" s="167"/>
      <c r="UAJ93" s="168"/>
      <c r="UAK93" s="167"/>
      <c r="UAL93" s="168"/>
      <c r="UAM93" s="167"/>
      <c r="UAN93" s="168"/>
      <c r="UAO93" s="167"/>
      <c r="UAP93" s="168"/>
      <c r="UAQ93" s="167"/>
      <c r="UAR93" s="168"/>
      <c r="UAS93" s="167"/>
      <c r="UAT93" s="168"/>
      <c r="UAU93" s="167"/>
      <c r="UAV93" s="168"/>
      <c r="UAW93" s="167"/>
      <c r="UAX93" s="168"/>
      <c r="UAY93" s="167"/>
      <c r="UAZ93" s="168"/>
      <c r="UBA93" s="167"/>
      <c r="UBB93" s="168"/>
      <c r="UBC93" s="167"/>
      <c r="UBD93" s="168"/>
      <c r="UBE93" s="167"/>
      <c r="UBF93" s="168"/>
      <c r="UBG93" s="167"/>
      <c r="UBH93" s="168"/>
      <c r="UBI93" s="167"/>
      <c r="UBJ93" s="168"/>
      <c r="UBK93" s="167"/>
      <c r="UBL93" s="168"/>
      <c r="UBM93" s="167"/>
      <c r="UBN93" s="168"/>
      <c r="UBO93" s="167"/>
      <c r="UBP93" s="168"/>
      <c r="UBQ93" s="167"/>
      <c r="UBR93" s="168"/>
      <c r="UBS93" s="167"/>
      <c r="UBT93" s="168"/>
      <c r="UBU93" s="167"/>
      <c r="UBV93" s="168"/>
      <c r="UBW93" s="167"/>
      <c r="UBX93" s="168"/>
      <c r="UBY93" s="167"/>
      <c r="UBZ93" s="168"/>
      <c r="UCA93" s="167"/>
      <c r="UCB93" s="168"/>
      <c r="UCC93" s="167"/>
      <c r="UCD93" s="168"/>
      <c r="UCE93" s="167"/>
      <c r="UCF93" s="168"/>
      <c r="UCG93" s="167"/>
      <c r="UCH93" s="168"/>
      <c r="UCI93" s="167"/>
      <c r="UCJ93" s="168"/>
      <c r="UCK93" s="167"/>
      <c r="UCL93" s="168"/>
      <c r="UCM93" s="167"/>
      <c r="UCN93" s="168"/>
      <c r="UCO93" s="167"/>
      <c r="UCP93" s="168"/>
      <c r="UCQ93" s="167"/>
      <c r="UCR93" s="168"/>
      <c r="UCS93" s="167"/>
      <c r="UCT93" s="168"/>
      <c r="UCU93" s="167"/>
      <c r="UCV93" s="168"/>
      <c r="UCW93" s="167"/>
      <c r="UCX93" s="168"/>
      <c r="UCY93" s="167"/>
      <c r="UCZ93" s="168"/>
      <c r="UDA93" s="167"/>
      <c r="UDB93" s="168"/>
      <c r="UDC93" s="167"/>
      <c r="UDD93" s="168"/>
      <c r="UDE93" s="167"/>
      <c r="UDF93" s="168"/>
      <c r="UDG93" s="167"/>
      <c r="UDH93" s="168"/>
      <c r="UDI93" s="167"/>
      <c r="UDJ93" s="168"/>
      <c r="UDK93" s="167"/>
      <c r="UDL93" s="168"/>
      <c r="UDM93" s="167"/>
      <c r="UDN93" s="168"/>
      <c r="UDO93" s="167"/>
      <c r="UDP93" s="168"/>
      <c r="UDQ93" s="167"/>
      <c r="UDR93" s="168"/>
      <c r="UDS93" s="167"/>
      <c r="UDT93" s="168"/>
      <c r="UDU93" s="167"/>
      <c r="UDV93" s="168"/>
      <c r="UDW93" s="167"/>
      <c r="UDX93" s="168"/>
      <c r="UDY93" s="167"/>
      <c r="UDZ93" s="168"/>
      <c r="UEA93" s="167"/>
      <c r="UEB93" s="168"/>
      <c r="UEC93" s="167"/>
      <c r="UED93" s="168"/>
      <c r="UEE93" s="167"/>
      <c r="UEF93" s="168"/>
      <c r="UEG93" s="167"/>
      <c r="UEH93" s="168"/>
      <c r="UEI93" s="167"/>
      <c r="UEJ93" s="168"/>
      <c r="UEK93" s="167"/>
      <c r="UEL93" s="168"/>
      <c r="UEM93" s="167"/>
      <c r="UEN93" s="168"/>
      <c r="UEO93" s="167"/>
      <c r="UEP93" s="168"/>
      <c r="UEQ93" s="167"/>
      <c r="UER93" s="168"/>
      <c r="UES93" s="167"/>
      <c r="UET93" s="168"/>
      <c r="UEU93" s="167"/>
      <c r="UEV93" s="168"/>
      <c r="UEW93" s="167"/>
      <c r="UEX93" s="168"/>
      <c r="UEY93" s="167"/>
      <c r="UEZ93" s="168"/>
      <c r="UFA93" s="167"/>
      <c r="UFB93" s="168"/>
      <c r="UFC93" s="167"/>
      <c r="UFD93" s="168"/>
      <c r="UFE93" s="167"/>
      <c r="UFF93" s="168"/>
      <c r="UFG93" s="167"/>
      <c r="UFH93" s="168"/>
      <c r="UFI93" s="167"/>
      <c r="UFJ93" s="168"/>
      <c r="UFK93" s="167"/>
      <c r="UFL93" s="168"/>
      <c r="UFM93" s="167"/>
      <c r="UFN93" s="168"/>
      <c r="UFO93" s="167"/>
      <c r="UFP93" s="168"/>
      <c r="UFQ93" s="167"/>
      <c r="UFR93" s="168"/>
      <c r="UFS93" s="167"/>
      <c r="UFT93" s="168"/>
      <c r="UFU93" s="167"/>
      <c r="UFV93" s="168"/>
      <c r="UFW93" s="167"/>
      <c r="UFX93" s="168"/>
      <c r="UFY93" s="167"/>
      <c r="UFZ93" s="168"/>
      <c r="UGA93" s="167"/>
      <c r="UGB93" s="168"/>
      <c r="UGC93" s="167"/>
      <c r="UGD93" s="168"/>
      <c r="UGE93" s="167"/>
      <c r="UGF93" s="168"/>
      <c r="UGG93" s="167"/>
      <c r="UGH93" s="168"/>
      <c r="UGI93" s="167"/>
      <c r="UGJ93" s="168"/>
      <c r="UGK93" s="167"/>
      <c r="UGL93" s="168"/>
      <c r="UGM93" s="167"/>
      <c r="UGN93" s="168"/>
      <c r="UGO93" s="167"/>
      <c r="UGP93" s="168"/>
      <c r="UGQ93" s="167"/>
      <c r="UGR93" s="168"/>
      <c r="UGS93" s="167"/>
      <c r="UGT93" s="168"/>
      <c r="UGU93" s="167"/>
      <c r="UGV93" s="168"/>
      <c r="UGW93" s="167"/>
      <c r="UGX93" s="168"/>
      <c r="UGY93" s="167"/>
      <c r="UGZ93" s="168"/>
      <c r="UHA93" s="167"/>
      <c r="UHB93" s="168"/>
      <c r="UHC93" s="167"/>
      <c r="UHD93" s="168"/>
      <c r="UHE93" s="167"/>
      <c r="UHF93" s="168"/>
      <c r="UHG93" s="167"/>
      <c r="UHH93" s="168"/>
      <c r="UHI93" s="167"/>
      <c r="UHJ93" s="168"/>
      <c r="UHK93" s="167"/>
      <c r="UHL93" s="168"/>
      <c r="UHM93" s="167"/>
      <c r="UHN93" s="168"/>
      <c r="UHO93" s="167"/>
      <c r="UHP93" s="168"/>
      <c r="UHQ93" s="167"/>
      <c r="UHR93" s="168"/>
      <c r="UHS93" s="167"/>
      <c r="UHT93" s="168"/>
      <c r="UHU93" s="167"/>
      <c r="UHV93" s="168"/>
      <c r="UHW93" s="167"/>
      <c r="UHX93" s="168"/>
      <c r="UHY93" s="167"/>
      <c r="UHZ93" s="168"/>
      <c r="UIA93" s="167"/>
      <c r="UIB93" s="168"/>
      <c r="UIC93" s="167"/>
      <c r="UID93" s="168"/>
      <c r="UIE93" s="167"/>
      <c r="UIF93" s="168"/>
      <c r="UIG93" s="167"/>
      <c r="UIH93" s="168"/>
      <c r="UII93" s="167"/>
      <c r="UIJ93" s="168"/>
      <c r="UIK93" s="167"/>
      <c r="UIL93" s="168"/>
      <c r="UIM93" s="167"/>
      <c r="UIN93" s="168"/>
      <c r="UIO93" s="167"/>
      <c r="UIP93" s="168"/>
      <c r="UIQ93" s="167"/>
      <c r="UIR93" s="168"/>
      <c r="UIS93" s="167"/>
      <c r="UIT93" s="168"/>
      <c r="UIU93" s="167"/>
      <c r="UIV93" s="168"/>
      <c r="UIW93" s="167"/>
      <c r="UIX93" s="168"/>
      <c r="UIY93" s="167"/>
      <c r="UIZ93" s="168"/>
      <c r="UJA93" s="167"/>
      <c r="UJB93" s="168"/>
      <c r="UJC93" s="167"/>
      <c r="UJD93" s="168"/>
      <c r="UJE93" s="167"/>
      <c r="UJF93" s="168"/>
      <c r="UJG93" s="167"/>
      <c r="UJH93" s="168"/>
      <c r="UJI93" s="167"/>
      <c r="UJJ93" s="168"/>
      <c r="UJK93" s="167"/>
      <c r="UJL93" s="168"/>
      <c r="UJM93" s="167"/>
      <c r="UJN93" s="168"/>
      <c r="UJO93" s="167"/>
      <c r="UJP93" s="168"/>
      <c r="UJQ93" s="167"/>
      <c r="UJR93" s="168"/>
      <c r="UJS93" s="167"/>
      <c r="UJT93" s="168"/>
      <c r="UJU93" s="167"/>
      <c r="UJV93" s="168"/>
      <c r="UJW93" s="167"/>
      <c r="UJX93" s="168"/>
      <c r="UJY93" s="167"/>
      <c r="UJZ93" s="168"/>
      <c r="UKA93" s="167"/>
      <c r="UKB93" s="168"/>
      <c r="UKC93" s="167"/>
      <c r="UKD93" s="168"/>
      <c r="UKE93" s="167"/>
      <c r="UKF93" s="168"/>
      <c r="UKG93" s="167"/>
      <c r="UKH93" s="168"/>
      <c r="UKI93" s="167"/>
      <c r="UKJ93" s="168"/>
      <c r="UKK93" s="167"/>
      <c r="UKL93" s="168"/>
      <c r="UKM93" s="167"/>
      <c r="UKN93" s="168"/>
      <c r="UKO93" s="167"/>
      <c r="UKP93" s="168"/>
      <c r="UKQ93" s="167"/>
      <c r="UKR93" s="168"/>
      <c r="UKS93" s="167"/>
      <c r="UKT93" s="168"/>
      <c r="UKU93" s="167"/>
      <c r="UKV93" s="168"/>
      <c r="UKW93" s="167"/>
      <c r="UKX93" s="168"/>
      <c r="UKY93" s="167"/>
      <c r="UKZ93" s="168"/>
      <c r="ULA93" s="167"/>
      <c r="ULB93" s="168"/>
      <c r="ULC93" s="167"/>
      <c r="ULD93" s="168"/>
      <c r="ULE93" s="167"/>
      <c r="ULF93" s="168"/>
      <c r="ULG93" s="167"/>
      <c r="ULH93" s="168"/>
      <c r="ULI93" s="167"/>
      <c r="ULJ93" s="168"/>
      <c r="ULK93" s="167"/>
      <c r="ULL93" s="168"/>
      <c r="ULM93" s="167"/>
      <c r="ULN93" s="168"/>
      <c r="ULO93" s="167"/>
      <c r="ULP93" s="168"/>
      <c r="ULQ93" s="167"/>
      <c r="ULR93" s="168"/>
      <c r="ULS93" s="167"/>
      <c r="ULT93" s="168"/>
      <c r="ULU93" s="167"/>
      <c r="ULV93" s="168"/>
      <c r="ULW93" s="167"/>
      <c r="ULX93" s="168"/>
      <c r="ULY93" s="167"/>
      <c r="ULZ93" s="168"/>
      <c r="UMA93" s="167"/>
      <c r="UMB93" s="168"/>
      <c r="UMC93" s="167"/>
      <c r="UMD93" s="168"/>
      <c r="UME93" s="167"/>
      <c r="UMF93" s="168"/>
      <c r="UMG93" s="167"/>
      <c r="UMH93" s="168"/>
      <c r="UMI93" s="167"/>
      <c r="UMJ93" s="168"/>
      <c r="UMK93" s="167"/>
      <c r="UML93" s="168"/>
      <c r="UMM93" s="167"/>
      <c r="UMN93" s="168"/>
      <c r="UMO93" s="167"/>
      <c r="UMP93" s="168"/>
      <c r="UMQ93" s="167"/>
      <c r="UMR93" s="168"/>
      <c r="UMS93" s="167"/>
      <c r="UMT93" s="168"/>
      <c r="UMU93" s="167"/>
      <c r="UMV93" s="168"/>
      <c r="UMW93" s="167"/>
      <c r="UMX93" s="168"/>
      <c r="UMY93" s="167"/>
      <c r="UMZ93" s="168"/>
      <c r="UNA93" s="167"/>
      <c r="UNB93" s="168"/>
      <c r="UNC93" s="167"/>
      <c r="UND93" s="168"/>
      <c r="UNE93" s="167"/>
      <c r="UNF93" s="168"/>
      <c r="UNG93" s="167"/>
      <c r="UNH93" s="168"/>
      <c r="UNI93" s="167"/>
      <c r="UNJ93" s="168"/>
      <c r="UNK93" s="167"/>
      <c r="UNL93" s="168"/>
      <c r="UNM93" s="167"/>
      <c r="UNN93" s="168"/>
      <c r="UNO93" s="167"/>
      <c r="UNP93" s="168"/>
      <c r="UNQ93" s="167"/>
      <c r="UNR93" s="168"/>
      <c r="UNS93" s="167"/>
      <c r="UNT93" s="168"/>
      <c r="UNU93" s="167"/>
      <c r="UNV93" s="168"/>
      <c r="UNW93" s="167"/>
      <c r="UNX93" s="168"/>
      <c r="UNY93" s="167"/>
      <c r="UNZ93" s="168"/>
      <c r="UOA93" s="167"/>
      <c r="UOB93" s="168"/>
      <c r="UOC93" s="167"/>
      <c r="UOD93" s="168"/>
      <c r="UOE93" s="167"/>
      <c r="UOF93" s="168"/>
      <c r="UOG93" s="167"/>
      <c r="UOH93" s="168"/>
      <c r="UOI93" s="167"/>
      <c r="UOJ93" s="168"/>
      <c r="UOK93" s="167"/>
      <c r="UOL93" s="168"/>
      <c r="UOM93" s="167"/>
      <c r="UON93" s="168"/>
      <c r="UOO93" s="167"/>
      <c r="UOP93" s="168"/>
      <c r="UOQ93" s="167"/>
      <c r="UOR93" s="168"/>
      <c r="UOS93" s="167"/>
      <c r="UOT93" s="168"/>
      <c r="UOU93" s="167"/>
      <c r="UOV93" s="168"/>
      <c r="UOW93" s="167"/>
      <c r="UOX93" s="168"/>
      <c r="UOY93" s="167"/>
      <c r="UOZ93" s="168"/>
      <c r="UPA93" s="167"/>
      <c r="UPB93" s="168"/>
      <c r="UPC93" s="167"/>
      <c r="UPD93" s="168"/>
      <c r="UPE93" s="167"/>
      <c r="UPF93" s="168"/>
      <c r="UPG93" s="167"/>
      <c r="UPH93" s="168"/>
      <c r="UPI93" s="167"/>
      <c r="UPJ93" s="168"/>
      <c r="UPK93" s="167"/>
      <c r="UPL93" s="168"/>
      <c r="UPM93" s="167"/>
      <c r="UPN93" s="168"/>
      <c r="UPO93" s="167"/>
      <c r="UPP93" s="168"/>
      <c r="UPQ93" s="167"/>
      <c r="UPR93" s="168"/>
      <c r="UPS93" s="167"/>
      <c r="UPT93" s="168"/>
      <c r="UPU93" s="167"/>
      <c r="UPV93" s="168"/>
      <c r="UPW93" s="167"/>
      <c r="UPX93" s="168"/>
      <c r="UPY93" s="167"/>
      <c r="UPZ93" s="168"/>
      <c r="UQA93" s="167"/>
      <c r="UQB93" s="168"/>
      <c r="UQC93" s="167"/>
      <c r="UQD93" s="168"/>
      <c r="UQE93" s="167"/>
      <c r="UQF93" s="168"/>
      <c r="UQG93" s="167"/>
      <c r="UQH93" s="168"/>
      <c r="UQI93" s="167"/>
      <c r="UQJ93" s="168"/>
      <c r="UQK93" s="167"/>
      <c r="UQL93" s="168"/>
      <c r="UQM93" s="167"/>
      <c r="UQN93" s="168"/>
      <c r="UQO93" s="167"/>
      <c r="UQP93" s="168"/>
      <c r="UQQ93" s="167"/>
      <c r="UQR93" s="168"/>
      <c r="UQS93" s="167"/>
      <c r="UQT93" s="168"/>
      <c r="UQU93" s="167"/>
      <c r="UQV93" s="168"/>
      <c r="UQW93" s="167"/>
      <c r="UQX93" s="168"/>
      <c r="UQY93" s="167"/>
      <c r="UQZ93" s="168"/>
      <c r="URA93" s="167"/>
      <c r="URB93" s="168"/>
      <c r="URC93" s="167"/>
      <c r="URD93" s="168"/>
      <c r="URE93" s="167"/>
      <c r="URF93" s="168"/>
      <c r="URG93" s="167"/>
      <c r="URH93" s="168"/>
      <c r="URI93" s="167"/>
      <c r="URJ93" s="168"/>
      <c r="URK93" s="167"/>
      <c r="URL93" s="168"/>
      <c r="URM93" s="167"/>
      <c r="URN93" s="168"/>
      <c r="URO93" s="167"/>
      <c r="URP93" s="168"/>
      <c r="URQ93" s="167"/>
      <c r="URR93" s="168"/>
      <c r="URS93" s="167"/>
      <c r="URT93" s="168"/>
      <c r="URU93" s="167"/>
      <c r="URV93" s="168"/>
      <c r="URW93" s="167"/>
      <c r="URX93" s="168"/>
      <c r="URY93" s="167"/>
      <c r="URZ93" s="168"/>
      <c r="USA93" s="167"/>
      <c r="USB93" s="168"/>
      <c r="USC93" s="167"/>
      <c r="USD93" s="168"/>
      <c r="USE93" s="167"/>
      <c r="USF93" s="168"/>
      <c r="USG93" s="167"/>
      <c r="USH93" s="168"/>
      <c r="USI93" s="167"/>
      <c r="USJ93" s="168"/>
      <c r="USK93" s="167"/>
      <c r="USL93" s="168"/>
      <c r="USM93" s="167"/>
      <c r="USN93" s="168"/>
      <c r="USO93" s="167"/>
      <c r="USP93" s="168"/>
      <c r="USQ93" s="167"/>
      <c r="USR93" s="168"/>
      <c r="USS93" s="167"/>
      <c r="UST93" s="168"/>
      <c r="USU93" s="167"/>
      <c r="USV93" s="168"/>
      <c r="USW93" s="167"/>
      <c r="USX93" s="168"/>
      <c r="USY93" s="167"/>
      <c r="USZ93" s="168"/>
      <c r="UTA93" s="167"/>
      <c r="UTB93" s="168"/>
      <c r="UTC93" s="167"/>
      <c r="UTD93" s="168"/>
      <c r="UTE93" s="167"/>
      <c r="UTF93" s="168"/>
      <c r="UTG93" s="167"/>
      <c r="UTH93" s="168"/>
      <c r="UTI93" s="167"/>
      <c r="UTJ93" s="168"/>
      <c r="UTK93" s="167"/>
      <c r="UTL93" s="168"/>
      <c r="UTM93" s="167"/>
      <c r="UTN93" s="168"/>
      <c r="UTO93" s="167"/>
      <c r="UTP93" s="168"/>
      <c r="UTQ93" s="167"/>
      <c r="UTR93" s="168"/>
      <c r="UTS93" s="167"/>
      <c r="UTT93" s="168"/>
      <c r="UTU93" s="167"/>
      <c r="UTV93" s="168"/>
      <c r="UTW93" s="167"/>
      <c r="UTX93" s="168"/>
      <c r="UTY93" s="167"/>
      <c r="UTZ93" s="168"/>
      <c r="UUA93" s="167"/>
      <c r="UUB93" s="168"/>
      <c r="UUC93" s="167"/>
      <c r="UUD93" s="168"/>
      <c r="UUE93" s="167"/>
      <c r="UUF93" s="168"/>
      <c r="UUG93" s="167"/>
      <c r="UUH93" s="168"/>
      <c r="UUI93" s="167"/>
      <c r="UUJ93" s="168"/>
      <c r="UUK93" s="167"/>
      <c r="UUL93" s="168"/>
      <c r="UUM93" s="167"/>
      <c r="UUN93" s="168"/>
      <c r="UUO93" s="167"/>
      <c r="UUP93" s="168"/>
      <c r="UUQ93" s="167"/>
      <c r="UUR93" s="168"/>
      <c r="UUS93" s="167"/>
      <c r="UUT93" s="168"/>
      <c r="UUU93" s="167"/>
      <c r="UUV93" s="168"/>
      <c r="UUW93" s="167"/>
      <c r="UUX93" s="168"/>
      <c r="UUY93" s="167"/>
      <c r="UUZ93" s="168"/>
      <c r="UVA93" s="167"/>
      <c r="UVB93" s="168"/>
      <c r="UVC93" s="167"/>
      <c r="UVD93" s="168"/>
      <c r="UVE93" s="167"/>
      <c r="UVF93" s="168"/>
      <c r="UVG93" s="167"/>
      <c r="UVH93" s="168"/>
      <c r="UVI93" s="167"/>
      <c r="UVJ93" s="168"/>
      <c r="UVK93" s="167"/>
      <c r="UVL93" s="168"/>
      <c r="UVM93" s="167"/>
      <c r="UVN93" s="168"/>
      <c r="UVO93" s="167"/>
      <c r="UVP93" s="168"/>
      <c r="UVQ93" s="167"/>
      <c r="UVR93" s="168"/>
      <c r="UVS93" s="167"/>
      <c r="UVT93" s="168"/>
      <c r="UVU93" s="167"/>
      <c r="UVV93" s="168"/>
      <c r="UVW93" s="167"/>
      <c r="UVX93" s="168"/>
      <c r="UVY93" s="167"/>
      <c r="UVZ93" s="168"/>
      <c r="UWA93" s="167"/>
      <c r="UWB93" s="168"/>
      <c r="UWC93" s="167"/>
      <c r="UWD93" s="168"/>
      <c r="UWE93" s="167"/>
      <c r="UWF93" s="168"/>
      <c r="UWG93" s="167"/>
      <c r="UWH93" s="168"/>
      <c r="UWI93" s="167"/>
      <c r="UWJ93" s="168"/>
      <c r="UWK93" s="167"/>
      <c r="UWL93" s="168"/>
      <c r="UWM93" s="167"/>
      <c r="UWN93" s="168"/>
      <c r="UWO93" s="167"/>
      <c r="UWP93" s="168"/>
      <c r="UWQ93" s="167"/>
      <c r="UWR93" s="168"/>
      <c r="UWS93" s="167"/>
      <c r="UWT93" s="168"/>
      <c r="UWU93" s="167"/>
      <c r="UWV93" s="168"/>
      <c r="UWW93" s="167"/>
      <c r="UWX93" s="168"/>
      <c r="UWY93" s="167"/>
      <c r="UWZ93" s="168"/>
      <c r="UXA93" s="167"/>
      <c r="UXB93" s="168"/>
      <c r="UXC93" s="167"/>
      <c r="UXD93" s="168"/>
      <c r="UXE93" s="167"/>
      <c r="UXF93" s="168"/>
      <c r="UXG93" s="167"/>
      <c r="UXH93" s="168"/>
      <c r="UXI93" s="167"/>
      <c r="UXJ93" s="168"/>
      <c r="UXK93" s="167"/>
      <c r="UXL93" s="168"/>
      <c r="UXM93" s="167"/>
      <c r="UXN93" s="168"/>
      <c r="UXO93" s="167"/>
      <c r="UXP93" s="168"/>
      <c r="UXQ93" s="167"/>
      <c r="UXR93" s="168"/>
      <c r="UXS93" s="167"/>
      <c r="UXT93" s="168"/>
      <c r="UXU93" s="167"/>
      <c r="UXV93" s="168"/>
      <c r="UXW93" s="167"/>
      <c r="UXX93" s="168"/>
      <c r="UXY93" s="167"/>
      <c r="UXZ93" s="168"/>
      <c r="UYA93" s="167"/>
      <c r="UYB93" s="168"/>
      <c r="UYC93" s="167"/>
      <c r="UYD93" s="168"/>
      <c r="UYE93" s="167"/>
      <c r="UYF93" s="168"/>
      <c r="UYG93" s="167"/>
      <c r="UYH93" s="168"/>
      <c r="UYI93" s="167"/>
      <c r="UYJ93" s="168"/>
      <c r="UYK93" s="167"/>
      <c r="UYL93" s="168"/>
      <c r="UYM93" s="167"/>
      <c r="UYN93" s="168"/>
      <c r="UYO93" s="167"/>
      <c r="UYP93" s="168"/>
      <c r="UYQ93" s="167"/>
      <c r="UYR93" s="168"/>
      <c r="UYS93" s="167"/>
      <c r="UYT93" s="168"/>
      <c r="UYU93" s="167"/>
      <c r="UYV93" s="168"/>
      <c r="UYW93" s="167"/>
      <c r="UYX93" s="168"/>
      <c r="UYY93" s="167"/>
      <c r="UYZ93" s="168"/>
      <c r="UZA93" s="167"/>
      <c r="UZB93" s="168"/>
      <c r="UZC93" s="167"/>
      <c r="UZD93" s="168"/>
      <c r="UZE93" s="167"/>
      <c r="UZF93" s="168"/>
      <c r="UZG93" s="167"/>
      <c r="UZH93" s="168"/>
      <c r="UZI93" s="167"/>
      <c r="UZJ93" s="168"/>
      <c r="UZK93" s="167"/>
      <c r="UZL93" s="168"/>
      <c r="UZM93" s="167"/>
      <c r="UZN93" s="168"/>
      <c r="UZO93" s="167"/>
      <c r="UZP93" s="168"/>
      <c r="UZQ93" s="167"/>
      <c r="UZR93" s="168"/>
      <c r="UZS93" s="167"/>
      <c r="UZT93" s="168"/>
      <c r="UZU93" s="167"/>
      <c r="UZV93" s="168"/>
      <c r="UZW93" s="167"/>
      <c r="UZX93" s="168"/>
      <c r="UZY93" s="167"/>
      <c r="UZZ93" s="168"/>
      <c r="VAA93" s="167"/>
      <c r="VAB93" s="168"/>
      <c r="VAC93" s="167"/>
      <c r="VAD93" s="168"/>
      <c r="VAE93" s="167"/>
      <c r="VAF93" s="168"/>
      <c r="VAG93" s="167"/>
      <c r="VAH93" s="168"/>
      <c r="VAI93" s="167"/>
      <c r="VAJ93" s="168"/>
      <c r="VAK93" s="167"/>
      <c r="VAL93" s="168"/>
      <c r="VAM93" s="167"/>
      <c r="VAN93" s="168"/>
      <c r="VAO93" s="167"/>
      <c r="VAP93" s="168"/>
      <c r="VAQ93" s="167"/>
      <c r="VAR93" s="168"/>
      <c r="VAS93" s="167"/>
      <c r="VAT93" s="168"/>
      <c r="VAU93" s="167"/>
      <c r="VAV93" s="168"/>
      <c r="VAW93" s="167"/>
      <c r="VAX93" s="168"/>
      <c r="VAY93" s="167"/>
      <c r="VAZ93" s="168"/>
      <c r="VBA93" s="167"/>
      <c r="VBB93" s="168"/>
      <c r="VBC93" s="167"/>
      <c r="VBD93" s="168"/>
      <c r="VBE93" s="167"/>
      <c r="VBF93" s="168"/>
      <c r="VBG93" s="167"/>
      <c r="VBH93" s="168"/>
      <c r="VBI93" s="167"/>
      <c r="VBJ93" s="168"/>
      <c r="VBK93" s="167"/>
      <c r="VBL93" s="168"/>
      <c r="VBM93" s="167"/>
      <c r="VBN93" s="168"/>
      <c r="VBO93" s="167"/>
      <c r="VBP93" s="168"/>
      <c r="VBQ93" s="167"/>
      <c r="VBR93" s="168"/>
      <c r="VBS93" s="167"/>
      <c r="VBT93" s="168"/>
      <c r="VBU93" s="167"/>
      <c r="VBV93" s="168"/>
      <c r="VBW93" s="167"/>
      <c r="VBX93" s="168"/>
      <c r="VBY93" s="167"/>
      <c r="VBZ93" s="168"/>
      <c r="VCA93" s="167"/>
      <c r="VCB93" s="168"/>
      <c r="VCC93" s="167"/>
      <c r="VCD93" s="168"/>
      <c r="VCE93" s="167"/>
      <c r="VCF93" s="168"/>
      <c r="VCG93" s="167"/>
      <c r="VCH93" s="168"/>
      <c r="VCI93" s="167"/>
      <c r="VCJ93" s="168"/>
      <c r="VCK93" s="167"/>
      <c r="VCL93" s="168"/>
      <c r="VCM93" s="167"/>
      <c r="VCN93" s="168"/>
      <c r="VCO93" s="167"/>
      <c r="VCP93" s="168"/>
      <c r="VCQ93" s="167"/>
      <c r="VCR93" s="168"/>
      <c r="VCS93" s="167"/>
      <c r="VCT93" s="168"/>
      <c r="VCU93" s="167"/>
      <c r="VCV93" s="168"/>
      <c r="VCW93" s="167"/>
      <c r="VCX93" s="168"/>
      <c r="VCY93" s="167"/>
      <c r="VCZ93" s="168"/>
      <c r="VDA93" s="167"/>
      <c r="VDB93" s="168"/>
      <c r="VDC93" s="167"/>
      <c r="VDD93" s="168"/>
      <c r="VDE93" s="167"/>
      <c r="VDF93" s="168"/>
      <c r="VDG93" s="167"/>
      <c r="VDH93" s="168"/>
      <c r="VDI93" s="167"/>
      <c r="VDJ93" s="168"/>
      <c r="VDK93" s="167"/>
      <c r="VDL93" s="168"/>
      <c r="VDM93" s="167"/>
      <c r="VDN93" s="168"/>
      <c r="VDO93" s="167"/>
      <c r="VDP93" s="168"/>
      <c r="VDQ93" s="167"/>
      <c r="VDR93" s="168"/>
      <c r="VDS93" s="167"/>
      <c r="VDT93" s="168"/>
      <c r="VDU93" s="167"/>
      <c r="VDV93" s="168"/>
      <c r="VDW93" s="167"/>
      <c r="VDX93" s="168"/>
      <c r="VDY93" s="167"/>
      <c r="VDZ93" s="168"/>
      <c r="VEA93" s="167"/>
      <c r="VEB93" s="168"/>
      <c r="VEC93" s="167"/>
      <c r="VED93" s="168"/>
      <c r="VEE93" s="167"/>
      <c r="VEF93" s="168"/>
      <c r="VEG93" s="167"/>
      <c r="VEH93" s="168"/>
      <c r="VEI93" s="167"/>
      <c r="VEJ93" s="168"/>
      <c r="VEK93" s="167"/>
      <c r="VEL93" s="168"/>
      <c r="VEM93" s="167"/>
      <c r="VEN93" s="168"/>
      <c r="VEO93" s="167"/>
      <c r="VEP93" s="168"/>
      <c r="VEQ93" s="167"/>
      <c r="VER93" s="168"/>
      <c r="VES93" s="167"/>
      <c r="VET93" s="168"/>
      <c r="VEU93" s="167"/>
      <c r="VEV93" s="168"/>
      <c r="VEW93" s="167"/>
      <c r="VEX93" s="168"/>
      <c r="VEY93" s="167"/>
      <c r="VEZ93" s="168"/>
      <c r="VFA93" s="167"/>
      <c r="VFB93" s="168"/>
      <c r="VFC93" s="167"/>
      <c r="VFD93" s="168"/>
      <c r="VFE93" s="167"/>
      <c r="VFF93" s="168"/>
      <c r="VFG93" s="167"/>
      <c r="VFH93" s="168"/>
      <c r="VFI93" s="167"/>
      <c r="VFJ93" s="168"/>
      <c r="VFK93" s="167"/>
      <c r="VFL93" s="168"/>
      <c r="VFM93" s="167"/>
      <c r="VFN93" s="168"/>
      <c r="VFO93" s="167"/>
      <c r="VFP93" s="168"/>
      <c r="VFQ93" s="167"/>
      <c r="VFR93" s="168"/>
      <c r="VFS93" s="167"/>
      <c r="VFT93" s="168"/>
      <c r="VFU93" s="167"/>
      <c r="VFV93" s="168"/>
      <c r="VFW93" s="167"/>
      <c r="VFX93" s="168"/>
      <c r="VFY93" s="167"/>
      <c r="VFZ93" s="168"/>
      <c r="VGA93" s="167"/>
      <c r="VGB93" s="168"/>
      <c r="VGC93" s="167"/>
      <c r="VGD93" s="168"/>
      <c r="VGE93" s="167"/>
      <c r="VGF93" s="168"/>
      <c r="VGG93" s="167"/>
      <c r="VGH93" s="168"/>
      <c r="VGI93" s="167"/>
      <c r="VGJ93" s="168"/>
      <c r="VGK93" s="167"/>
      <c r="VGL93" s="168"/>
      <c r="VGM93" s="167"/>
      <c r="VGN93" s="168"/>
      <c r="VGO93" s="167"/>
      <c r="VGP93" s="168"/>
      <c r="VGQ93" s="167"/>
      <c r="VGR93" s="168"/>
      <c r="VGS93" s="167"/>
      <c r="VGT93" s="168"/>
      <c r="VGU93" s="167"/>
      <c r="VGV93" s="168"/>
      <c r="VGW93" s="167"/>
      <c r="VGX93" s="168"/>
      <c r="VGY93" s="167"/>
      <c r="VGZ93" s="168"/>
      <c r="VHA93" s="167"/>
      <c r="VHB93" s="168"/>
      <c r="VHC93" s="167"/>
      <c r="VHD93" s="168"/>
      <c r="VHE93" s="167"/>
      <c r="VHF93" s="168"/>
      <c r="VHG93" s="167"/>
      <c r="VHH93" s="168"/>
      <c r="VHI93" s="167"/>
      <c r="VHJ93" s="168"/>
      <c r="VHK93" s="167"/>
      <c r="VHL93" s="168"/>
      <c r="VHM93" s="167"/>
      <c r="VHN93" s="168"/>
      <c r="VHO93" s="167"/>
      <c r="VHP93" s="168"/>
      <c r="VHQ93" s="167"/>
      <c r="VHR93" s="168"/>
      <c r="VHS93" s="167"/>
      <c r="VHT93" s="168"/>
      <c r="VHU93" s="167"/>
      <c r="VHV93" s="168"/>
      <c r="VHW93" s="167"/>
      <c r="VHX93" s="168"/>
      <c r="VHY93" s="167"/>
      <c r="VHZ93" s="168"/>
      <c r="VIA93" s="167"/>
      <c r="VIB93" s="168"/>
      <c r="VIC93" s="167"/>
      <c r="VID93" s="168"/>
      <c r="VIE93" s="167"/>
      <c r="VIF93" s="168"/>
      <c r="VIG93" s="167"/>
      <c r="VIH93" s="168"/>
      <c r="VII93" s="167"/>
      <c r="VIJ93" s="168"/>
      <c r="VIK93" s="167"/>
      <c r="VIL93" s="168"/>
      <c r="VIM93" s="167"/>
      <c r="VIN93" s="168"/>
      <c r="VIO93" s="167"/>
      <c r="VIP93" s="168"/>
      <c r="VIQ93" s="167"/>
      <c r="VIR93" s="168"/>
      <c r="VIS93" s="167"/>
      <c r="VIT93" s="168"/>
      <c r="VIU93" s="167"/>
      <c r="VIV93" s="168"/>
      <c r="VIW93" s="167"/>
      <c r="VIX93" s="168"/>
      <c r="VIY93" s="167"/>
      <c r="VIZ93" s="168"/>
      <c r="VJA93" s="167"/>
      <c r="VJB93" s="168"/>
      <c r="VJC93" s="167"/>
      <c r="VJD93" s="168"/>
      <c r="VJE93" s="167"/>
      <c r="VJF93" s="168"/>
      <c r="VJG93" s="167"/>
      <c r="VJH93" s="168"/>
      <c r="VJI93" s="167"/>
      <c r="VJJ93" s="168"/>
      <c r="VJK93" s="167"/>
      <c r="VJL93" s="168"/>
      <c r="VJM93" s="167"/>
      <c r="VJN93" s="168"/>
      <c r="VJO93" s="167"/>
      <c r="VJP93" s="168"/>
      <c r="VJQ93" s="167"/>
      <c r="VJR93" s="168"/>
      <c r="VJS93" s="167"/>
      <c r="VJT93" s="168"/>
      <c r="VJU93" s="167"/>
      <c r="VJV93" s="168"/>
      <c r="VJW93" s="167"/>
      <c r="VJX93" s="168"/>
      <c r="VJY93" s="167"/>
      <c r="VJZ93" s="168"/>
      <c r="VKA93" s="167"/>
      <c r="VKB93" s="168"/>
      <c r="VKC93" s="167"/>
      <c r="VKD93" s="168"/>
      <c r="VKE93" s="167"/>
      <c r="VKF93" s="168"/>
      <c r="VKG93" s="167"/>
      <c r="VKH93" s="168"/>
      <c r="VKI93" s="167"/>
      <c r="VKJ93" s="168"/>
      <c r="VKK93" s="167"/>
      <c r="VKL93" s="168"/>
      <c r="VKM93" s="167"/>
      <c r="VKN93" s="168"/>
      <c r="VKO93" s="167"/>
      <c r="VKP93" s="168"/>
      <c r="VKQ93" s="167"/>
      <c r="VKR93" s="168"/>
      <c r="VKS93" s="167"/>
      <c r="VKT93" s="168"/>
      <c r="VKU93" s="167"/>
      <c r="VKV93" s="168"/>
      <c r="VKW93" s="167"/>
      <c r="VKX93" s="168"/>
      <c r="VKY93" s="167"/>
      <c r="VKZ93" s="168"/>
      <c r="VLA93" s="167"/>
      <c r="VLB93" s="168"/>
      <c r="VLC93" s="167"/>
      <c r="VLD93" s="168"/>
      <c r="VLE93" s="167"/>
      <c r="VLF93" s="168"/>
      <c r="VLG93" s="167"/>
      <c r="VLH93" s="168"/>
      <c r="VLI93" s="167"/>
      <c r="VLJ93" s="168"/>
      <c r="VLK93" s="167"/>
      <c r="VLL93" s="168"/>
      <c r="VLM93" s="167"/>
      <c r="VLN93" s="168"/>
      <c r="VLO93" s="167"/>
      <c r="VLP93" s="168"/>
      <c r="VLQ93" s="167"/>
      <c r="VLR93" s="168"/>
      <c r="VLS93" s="167"/>
      <c r="VLT93" s="168"/>
      <c r="VLU93" s="167"/>
      <c r="VLV93" s="168"/>
      <c r="VLW93" s="167"/>
      <c r="VLX93" s="168"/>
      <c r="VLY93" s="167"/>
      <c r="VLZ93" s="168"/>
      <c r="VMA93" s="167"/>
      <c r="VMB93" s="168"/>
      <c r="VMC93" s="167"/>
      <c r="VMD93" s="168"/>
      <c r="VME93" s="167"/>
      <c r="VMF93" s="168"/>
      <c r="VMG93" s="167"/>
      <c r="VMH93" s="168"/>
      <c r="VMI93" s="167"/>
      <c r="VMJ93" s="168"/>
      <c r="VMK93" s="167"/>
      <c r="VML93" s="168"/>
      <c r="VMM93" s="167"/>
      <c r="VMN93" s="168"/>
      <c r="VMO93" s="167"/>
      <c r="VMP93" s="168"/>
      <c r="VMQ93" s="167"/>
      <c r="VMR93" s="168"/>
      <c r="VMS93" s="167"/>
      <c r="VMT93" s="168"/>
      <c r="VMU93" s="167"/>
      <c r="VMV93" s="168"/>
      <c r="VMW93" s="167"/>
      <c r="VMX93" s="168"/>
      <c r="VMY93" s="167"/>
      <c r="VMZ93" s="168"/>
      <c r="VNA93" s="167"/>
      <c r="VNB93" s="168"/>
      <c r="VNC93" s="167"/>
      <c r="VND93" s="168"/>
      <c r="VNE93" s="167"/>
      <c r="VNF93" s="168"/>
      <c r="VNG93" s="167"/>
      <c r="VNH93" s="168"/>
      <c r="VNI93" s="167"/>
      <c r="VNJ93" s="168"/>
      <c r="VNK93" s="167"/>
      <c r="VNL93" s="168"/>
      <c r="VNM93" s="167"/>
      <c r="VNN93" s="168"/>
      <c r="VNO93" s="167"/>
      <c r="VNP93" s="168"/>
      <c r="VNQ93" s="167"/>
      <c r="VNR93" s="168"/>
      <c r="VNS93" s="167"/>
      <c r="VNT93" s="168"/>
      <c r="VNU93" s="167"/>
      <c r="VNV93" s="168"/>
      <c r="VNW93" s="167"/>
      <c r="VNX93" s="168"/>
      <c r="VNY93" s="167"/>
      <c r="VNZ93" s="168"/>
      <c r="VOA93" s="167"/>
      <c r="VOB93" s="168"/>
      <c r="VOC93" s="167"/>
      <c r="VOD93" s="168"/>
      <c r="VOE93" s="167"/>
      <c r="VOF93" s="168"/>
      <c r="VOG93" s="167"/>
      <c r="VOH93" s="168"/>
      <c r="VOI93" s="167"/>
      <c r="VOJ93" s="168"/>
      <c r="VOK93" s="167"/>
      <c r="VOL93" s="168"/>
      <c r="VOM93" s="167"/>
      <c r="VON93" s="168"/>
      <c r="VOO93" s="167"/>
      <c r="VOP93" s="168"/>
      <c r="VOQ93" s="167"/>
      <c r="VOR93" s="168"/>
      <c r="VOS93" s="167"/>
      <c r="VOT93" s="168"/>
      <c r="VOU93" s="167"/>
      <c r="VOV93" s="168"/>
      <c r="VOW93" s="167"/>
      <c r="VOX93" s="168"/>
      <c r="VOY93" s="167"/>
      <c r="VOZ93" s="168"/>
      <c r="VPA93" s="167"/>
      <c r="VPB93" s="168"/>
      <c r="VPC93" s="167"/>
      <c r="VPD93" s="168"/>
      <c r="VPE93" s="167"/>
      <c r="VPF93" s="168"/>
      <c r="VPG93" s="167"/>
      <c r="VPH93" s="168"/>
      <c r="VPI93" s="167"/>
      <c r="VPJ93" s="168"/>
      <c r="VPK93" s="167"/>
      <c r="VPL93" s="168"/>
      <c r="VPM93" s="167"/>
      <c r="VPN93" s="168"/>
      <c r="VPO93" s="167"/>
      <c r="VPP93" s="168"/>
      <c r="VPQ93" s="167"/>
      <c r="VPR93" s="168"/>
      <c r="VPS93" s="167"/>
      <c r="VPT93" s="168"/>
      <c r="VPU93" s="167"/>
      <c r="VPV93" s="168"/>
      <c r="VPW93" s="167"/>
      <c r="VPX93" s="168"/>
      <c r="VPY93" s="167"/>
      <c r="VPZ93" s="168"/>
      <c r="VQA93" s="167"/>
      <c r="VQB93" s="168"/>
      <c r="VQC93" s="167"/>
      <c r="VQD93" s="168"/>
      <c r="VQE93" s="167"/>
      <c r="VQF93" s="168"/>
      <c r="VQG93" s="167"/>
      <c r="VQH93" s="168"/>
      <c r="VQI93" s="167"/>
      <c r="VQJ93" s="168"/>
      <c r="VQK93" s="167"/>
      <c r="VQL93" s="168"/>
      <c r="VQM93" s="167"/>
      <c r="VQN93" s="168"/>
      <c r="VQO93" s="167"/>
      <c r="VQP93" s="168"/>
      <c r="VQQ93" s="167"/>
      <c r="VQR93" s="168"/>
      <c r="VQS93" s="167"/>
      <c r="VQT93" s="168"/>
      <c r="VQU93" s="167"/>
      <c r="VQV93" s="168"/>
      <c r="VQW93" s="167"/>
      <c r="VQX93" s="168"/>
      <c r="VQY93" s="167"/>
      <c r="VQZ93" s="168"/>
      <c r="VRA93" s="167"/>
      <c r="VRB93" s="168"/>
      <c r="VRC93" s="167"/>
      <c r="VRD93" s="168"/>
      <c r="VRE93" s="167"/>
      <c r="VRF93" s="168"/>
      <c r="VRG93" s="167"/>
      <c r="VRH93" s="168"/>
      <c r="VRI93" s="167"/>
      <c r="VRJ93" s="168"/>
      <c r="VRK93" s="167"/>
      <c r="VRL93" s="168"/>
      <c r="VRM93" s="167"/>
      <c r="VRN93" s="168"/>
      <c r="VRO93" s="167"/>
      <c r="VRP93" s="168"/>
      <c r="VRQ93" s="167"/>
      <c r="VRR93" s="168"/>
      <c r="VRS93" s="167"/>
      <c r="VRT93" s="168"/>
      <c r="VRU93" s="167"/>
      <c r="VRV93" s="168"/>
      <c r="VRW93" s="167"/>
      <c r="VRX93" s="168"/>
      <c r="VRY93" s="167"/>
      <c r="VRZ93" s="168"/>
      <c r="VSA93" s="167"/>
      <c r="VSB93" s="168"/>
      <c r="VSC93" s="167"/>
      <c r="VSD93" s="168"/>
      <c r="VSE93" s="167"/>
      <c r="VSF93" s="168"/>
      <c r="VSG93" s="167"/>
      <c r="VSH93" s="168"/>
      <c r="VSI93" s="167"/>
      <c r="VSJ93" s="168"/>
      <c r="VSK93" s="167"/>
      <c r="VSL93" s="168"/>
      <c r="VSM93" s="167"/>
      <c r="VSN93" s="168"/>
      <c r="VSO93" s="167"/>
      <c r="VSP93" s="168"/>
      <c r="VSQ93" s="167"/>
      <c r="VSR93" s="168"/>
      <c r="VSS93" s="167"/>
      <c r="VST93" s="168"/>
      <c r="VSU93" s="167"/>
      <c r="VSV93" s="168"/>
      <c r="VSW93" s="167"/>
      <c r="VSX93" s="168"/>
      <c r="VSY93" s="167"/>
      <c r="VSZ93" s="168"/>
      <c r="VTA93" s="167"/>
      <c r="VTB93" s="168"/>
      <c r="VTC93" s="167"/>
      <c r="VTD93" s="168"/>
      <c r="VTE93" s="167"/>
      <c r="VTF93" s="168"/>
      <c r="VTG93" s="167"/>
      <c r="VTH93" s="168"/>
      <c r="VTI93" s="167"/>
      <c r="VTJ93" s="168"/>
      <c r="VTK93" s="167"/>
      <c r="VTL93" s="168"/>
      <c r="VTM93" s="167"/>
      <c r="VTN93" s="168"/>
      <c r="VTO93" s="167"/>
      <c r="VTP93" s="168"/>
      <c r="VTQ93" s="167"/>
      <c r="VTR93" s="168"/>
      <c r="VTS93" s="167"/>
      <c r="VTT93" s="168"/>
      <c r="VTU93" s="167"/>
      <c r="VTV93" s="168"/>
      <c r="VTW93" s="167"/>
      <c r="VTX93" s="168"/>
      <c r="VTY93" s="167"/>
      <c r="VTZ93" s="168"/>
      <c r="VUA93" s="167"/>
      <c r="VUB93" s="168"/>
      <c r="VUC93" s="167"/>
      <c r="VUD93" s="168"/>
      <c r="VUE93" s="167"/>
      <c r="VUF93" s="168"/>
      <c r="VUG93" s="167"/>
      <c r="VUH93" s="168"/>
      <c r="VUI93" s="167"/>
      <c r="VUJ93" s="168"/>
      <c r="VUK93" s="167"/>
      <c r="VUL93" s="168"/>
      <c r="VUM93" s="167"/>
      <c r="VUN93" s="168"/>
      <c r="VUO93" s="167"/>
      <c r="VUP93" s="168"/>
      <c r="VUQ93" s="167"/>
      <c r="VUR93" s="168"/>
      <c r="VUS93" s="167"/>
      <c r="VUT93" s="168"/>
      <c r="VUU93" s="167"/>
      <c r="VUV93" s="168"/>
      <c r="VUW93" s="167"/>
      <c r="VUX93" s="168"/>
      <c r="VUY93" s="167"/>
      <c r="VUZ93" s="168"/>
      <c r="VVA93" s="167"/>
      <c r="VVB93" s="168"/>
      <c r="VVC93" s="167"/>
      <c r="VVD93" s="168"/>
      <c r="VVE93" s="167"/>
      <c r="VVF93" s="168"/>
      <c r="VVG93" s="167"/>
      <c r="VVH93" s="168"/>
      <c r="VVI93" s="167"/>
      <c r="VVJ93" s="168"/>
      <c r="VVK93" s="167"/>
      <c r="VVL93" s="168"/>
      <c r="VVM93" s="167"/>
      <c r="VVN93" s="168"/>
      <c r="VVO93" s="167"/>
      <c r="VVP93" s="168"/>
      <c r="VVQ93" s="167"/>
      <c r="VVR93" s="168"/>
      <c r="VVS93" s="167"/>
      <c r="VVT93" s="168"/>
      <c r="VVU93" s="167"/>
      <c r="VVV93" s="168"/>
      <c r="VVW93" s="167"/>
      <c r="VVX93" s="168"/>
      <c r="VVY93" s="167"/>
      <c r="VVZ93" s="168"/>
      <c r="VWA93" s="167"/>
      <c r="VWB93" s="168"/>
      <c r="VWC93" s="167"/>
      <c r="VWD93" s="168"/>
      <c r="VWE93" s="167"/>
      <c r="VWF93" s="168"/>
      <c r="VWG93" s="167"/>
      <c r="VWH93" s="168"/>
      <c r="VWI93" s="167"/>
      <c r="VWJ93" s="168"/>
      <c r="VWK93" s="167"/>
      <c r="VWL93" s="168"/>
      <c r="VWM93" s="167"/>
      <c r="VWN93" s="168"/>
      <c r="VWO93" s="167"/>
      <c r="VWP93" s="168"/>
      <c r="VWQ93" s="167"/>
      <c r="VWR93" s="168"/>
      <c r="VWS93" s="167"/>
      <c r="VWT93" s="168"/>
      <c r="VWU93" s="167"/>
      <c r="VWV93" s="168"/>
      <c r="VWW93" s="167"/>
      <c r="VWX93" s="168"/>
      <c r="VWY93" s="167"/>
      <c r="VWZ93" s="168"/>
      <c r="VXA93" s="167"/>
      <c r="VXB93" s="168"/>
      <c r="VXC93" s="167"/>
      <c r="VXD93" s="168"/>
      <c r="VXE93" s="167"/>
      <c r="VXF93" s="168"/>
      <c r="VXG93" s="167"/>
      <c r="VXH93" s="168"/>
      <c r="VXI93" s="167"/>
      <c r="VXJ93" s="168"/>
      <c r="VXK93" s="167"/>
      <c r="VXL93" s="168"/>
      <c r="VXM93" s="167"/>
      <c r="VXN93" s="168"/>
      <c r="VXO93" s="167"/>
      <c r="VXP93" s="168"/>
      <c r="VXQ93" s="167"/>
      <c r="VXR93" s="168"/>
      <c r="VXS93" s="167"/>
      <c r="VXT93" s="168"/>
      <c r="VXU93" s="167"/>
      <c r="VXV93" s="168"/>
      <c r="VXW93" s="167"/>
      <c r="VXX93" s="168"/>
      <c r="VXY93" s="167"/>
      <c r="VXZ93" s="168"/>
      <c r="VYA93" s="167"/>
      <c r="VYB93" s="168"/>
      <c r="VYC93" s="167"/>
      <c r="VYD93" s="168"/>
      <c r="VYE93" s="167"/>
      <c r="VYF93" s="168"/>
      <c r="VYG93" s="167"/>
      <c r="VYH93" s="168"/>
      <c r="VYI93" s="167"/>
      <c r="VYJ93" s="168"/>
      <c r="VYK93" s="167"/>
      <c r="VYL93" s="168"/>
      <c r="VYM93" s="167"/>
      <c r="VYN93" s="168"/>
      <c r="VYO93" s="167"/>
      <c r="VYP93" s="168"/>
      <c r="VYQ93" s="167"/>
      <c r="VYR93" s="168"/>
      <c r="VYS93" s="167"/>
      <c r="VYT93" s="168"/>
      <c r="VYU93" s="167"/>
      <c r="VYV93" s="168"/>
      <c r="VYW93" s="167"/>
      <c r="VYX93" s="168"/>
      <c r="VYY93" s="167"/>
      <c r="VYZ93" s="168"/>
      <c r="VZA93" s="167"/>
      <c r="VZB93" s="168"/>
      <c r="VZC93" s="167"/>
      <c r="VZD93" s="168"/>
      <c r="VZE93" s="167"/>
      <c r="VZF93" s="168"/>
      <c r="VZG93" s="167"/>
      <c r="VZH93" s="168"/>
      <c r="VZI93" s="167"/>
      <c r="VZJ93" s="168"/>
      <c r="VZK93" s="167"/>
      <c r="VZL93" s="168"/>
      <c r="VZM93" s="167"/>
      <c r="VZN93" s="168"/>
      <c r="VZO93" s="167"/>
      <c r="VZP93" s="168"/>
      <c r="VZQ93" s="167"/>
      <c r="VZR93" s="168"/>
      <c r="VZS93" s="167"/>
      <c r="VZT93" s="168"/>
      <c r="VZU93" s="167"/>
      <c r="VZV93" s="168"/>
      <c r="VZW93" s="167"/>
      <c r="VZX93" s="168"/>
      <c r="VZY93" s="167"/>
      <c r="VZZ93" s="168"/>
      <c r="WAA93" s="167"/>
      <c r="WAB93" s="168"/>
      <c r="WAC93" s="167"/>
      <c r="WAD93" s="168"/>
      <c r="WAE93" s="167"/>
      <c r="WAF93" s="168"/>
      <c r="WAG93" s="167"/>
      <c r="WAH93" s="168"/>
      <c r="WAI93" s="167"/>
      <c r="WAJ93" s="168"/>
      <c r="WAK93" s="167"/>
      <c r="WAL93" s="168"/>
      <c r="WAM93" s="167"/>
      <c r="WAN93" s="168"/>
      <c r="WAO93" s="167"/>
      <c r="WAP93" s="168"/>
      <c r="WAQ93" s="167"/>
      <c r="WAR93" s="168"/>
      <c r="WAS93" s="167"/>
      <c r="WAT93" s="168"/>
      <c r="WAU93" s="167"/>
      <c r="WAV93" s="168"/>
      <c r="WAW93" s="167"/>
      <c r="WAX93" s="168"/>
      <c r="WAY93" s="167"/>
      <c r="WAZ93" s="168"/>
      <c r="WBA93" s="167"/>
      <c r="WBB93" s="168"/>
      <c r="WBC93" s="167"/>
      <c r="WBD93" s="168"/>
      <c r="WBE93" s="167"/>
      <c r="WBF93" s="168"/>
      <c r="WBG93" s="167"/>
      <c r="WBH93" s="168"/>
      <c r="WBI93" s="167"/>
      <c r="WBJ93" s="168"/>
      <c r="WBK93" s="167"/>
      <c r="WBL93" s="168"/>
      <c r="WBM93" s="167"/>
      <c r="WBN93" s="168"/>
      <c r="WBO93" s="167"/>
      <c r="WBP93" s="168"/>
      <c r="WBQ93" s="167"/>
      <c r="WBR93" s="168"/>
      <c r="WBS93" s="167"/>
      <c r="WBT93" s="168"/>
      <c r="WBU93" s="167"/>
      <c r="WBV93" s="168"/>
      <c r="WBW93" s="167"/>
      <c r="WBX93" s="168"/>
      <c r="WBY93" s="167"/>
      <c r="WBZ93" s="168"/>
      <c r="WCA93" s="167"/>
      <c r="WCB93" s="168"/>
      <c r="WCC93" s="167"/>
      <c r="WCD93" s="168"/>
      <c r="WCE93" s="167"/>
      <c r="WCF93" s="168"/>
      <c r="WCG93" s="167"/>
      <c r="WCH93" s="168"/>
      <c r="WCI93" s="167"/>
      <c r="WCJ93" s="168"/>
      <c r="WCK93" s="167"/>
      <c r="WCL93" s="168"/>
      <c r="WCM93" s="167"/>
      <c r="WCN93" s="168"/>
      <c r="WCO93" s="167"/>
      <c r="WCP93" s="168"/>
      <c r="WCQ93" s="167"/>
      <c r="WCR93" s="168"/>
      <c r="WCS93" s="167"/>
      <c r="WCT93" s="168"/>
      <c r="WCU93" s="167"/>
      <c r="WCV93" s="168"/>
      <c r="WCW93" s="167"/>
      <c r="WCX93" s="168"/>
      <c r="WCY93" s="167"/>
      <c r="WCZ93" s="168"/>
      <c r="WDA93" s="167"/>
      <c r="WDB93" s="168"/>
      <c r="WDC93" s="167"/>
      <c r="WDD93" s="168"/>
      <c r="WDE93" s="167"/>
      <c r="WDF93" s="168"/>
      <c r="WDG93" s="167"/>
      <c r="WDH93" s="168"/>
      <c r="WDI93" s="167"/>
      <c r="WDJ93" s="168"/>
      <c r="WDK93" s="167"/>
      <c r="WDL93" s="168"/>
      <c r="WDM93" s="167"/>
      <c r="WDN93" s="168"/>
      <c r="WDO93" s="167"/>
      <c r="WDP93" s="168"/>
      <c r="WDQ93" s="167"/>
      <c r="WDR93" s="168"/>
      <c r="WDS93" s="167"/>
      <c r="WDT93" s="168"/>
      <c r="WDU93" s="167"/>
      <c r="WDV93" s="168"/>
      <c r="WDW93" s="167"/>
      <c r="WDX93" s="168"/>
      <c r="WDY93" s="167"/>
      <c r="WDZ93" s="168"/>
      <c r="WEA93" s="167"/>
      <c r="WEB93" s="168"/>
      <c r="WEC93" s="167"/>
      <c r="WED93" s="168"/>
      <c r="WEE93" s="167"/>
      <c r="WEF93" s="168"/>
      <c r="WEG93" s="167"/>
      <c r="WEH93" s="168"/>
      <c r="WEI93" s="167"/>
      <c r="WEJ93" s="168"/>
      <c r="WEK93" s="167"/>
      <c r="WEL93" s="168"/>
      <c r="WEM93" s="167"/>
      <c r="WEN93" s="168"/>
      <c r="WEO93" s="167"/>
      <c r="WEP93" s="168"/>
      <c r="WEQ93" s="167"/>
      <c r="WER93" s="168"/>
      <c r="WES93" s="167"/>
      <c r="WET93" s="168"/>
      <c r="WEU93" s="167"/>
      <c r="WEV93" s="168"/>
      <c r="WEW93" s="167"/>
      <c r="WEX93" s="168"/>
      <c r="WEY93" s="167"/>
      <c r="WEZ93" s="168"/>
      <c r="WFA93" s="167"/>
      <c r="WFB93" s="168"/>
      <c r="WFC93" s="167"/>
      <c r="WFD93" s="168"/>
      <c r="WFE93" s="167"/>
      <c r="WFF93" s="168"/>
      <c r="WFG93" s="167"/>
      <c r="WFH93" s="168"/>
      <c r="WFI93" s="167"/>
      <c r="WFJ93" s="168"/>
      <c r="WFK93" s="167"/>
      <c r="WFL93" s="168"/>
      <c r="WFM93" s="167"/>
      <c r="WFN93" s="168"/>
      <c r="WFO93" s="167"/>
      <c r="WFP93" s="168"/>
      <c r="WFQ93" s="167"/>
      <c r="WFR93" s="168"/>
      <c r="WFS93" s="167"/>
      <c r="WFT93" s="168"/>
      <c r="WFU93" s="167"/>
      <c r="WFV93" s="168"/>
      <c r="WFW93" s="167"/>
      <c r="WFX93" s="168"/>
      <c r="WFY93" s="167"/>
      <c r="WFZ93" s="168"/>
      <c r="WGA93" s="167"/>
      <c r="WGB93" s="168"/>
      <c r="WGC93" s="167"/>
      <c r="WGD93" s="168"/>
      <c r="WGE93" s="167"/>
      <c r="WGF93" s="168"/>
      <c r="WGG93" s="167"/>
      <c r="WGH93" s="168"/>
      <c r="WGI93" s="167"/>
      <c r="WGJ93" s="168"/>
      <c r="WGK93" s="167"/>
      <c r="WGL93" s="168"/>
      <c r="WGM93" s="167"/>
      <c r="WGN93" s="168"/>
      <c r="WGO93" s="167"/>
      <c r="WGP93" s="168"/>
      <c r="WGQ93" s="167"/>
      <c r="WGR93" s="168"/>
      <c r="WGS93" s="167"/>
      <c r="WGT93" s="168"/>
      <c r="WGU93" s="167"/>
      <c r="WGV93" s="168"/>
      <c r="WGW93" s="167"/>
      <c r="WGX93" s="168"/>
      <c r="WGY93" s="167"/>
      <c r="WGZ93" s="168"/>
      <c r="WHA93" s="167"/>
      <c r="WHB93" s="168"/>
      <c r="WHC93" s="167"/>
      <c r="WHD93" s="168"/>
      <c r="WHE93" s="167"/>
      <c r="WHF93" s="168"/>
      <c r="WHG93" s="167"/>
      <c r="WHH93" s="168"/>
      <c r="WHI93" s="167"/>
      <c r="WHJ93" s="168"/>
      <c r="WHK93" s="167"/>
      <c r="WHL93" s="168"/>
      <c r="WHM93" s="167"/>
      <c r="WHN93" s="168"/>
      <c r="WHO93" s="167"/>
      <c r="WHP93" s="168"/>
      <c r="WHQ93" s="167"/>
      <c r="WHR93" s="168"/>
      <c r="WHS93" s="167"/>
      <c r="WHT93" s="168"/>
      <c r="WHU93" s="167"/>
      <c r="WHV93" s="168"/>
      <c r="WHW93" s="167"/>
      <c r="WHX93" s="168"/>
      <c r="WHY93" s="167"/>
      <c r="WHZ93" s="168"/>
      <c r="WIA93" s="167"/>
      <c r="WIB93" s="168"/>
      <c r="WIC93" s="167"/>
      <c r="WID93" s="168"/>
      <c r="WIE93" s="167"/>
      <c r="WIF93" s="168"/>
      <c r="WIG93" s="167"/>
      <c r="WIH93" s="168"/>
      <c r="WII93" s="167"/>
      <c r="WIJ93" s="168"/>
      <c r="WIK93" s="167"/>
      <c r="WIL93" s="168"/>
      <c r="WIM93" s="167"/>
      <c r="WIN93" s="168"/>
      <c r="WIO93" s="167"/>
      <c r="WIP93" s="168"/>
      <c r="WIQ93" s="167"/>
      <c r="WIR93" s="168"/>
      <c r="WIS93" s="167"/>
      <c r="WIT93" s="168"/>
      <c r="WIU93" s="167"/>
      <c r="WIV93" s="168"/>
      <c r="WIW93" s="167"/>
      <c r="WIX93" s="168"/>
      <c r="WIY93" s="167"/>
      <c r="WIZ93" s="168"/>
      <c r="WJA93" s="167"/>
      <c r="WJB93" s="168"/>
      <c r="WJC93" s="167"/>
      <c r="WJD93" s="168"/>
      <c r="WJE93" s="167"/>
      <c r="WJF93" s="168"/>
      <c r="WJG93" s="167"/>
      <c r="WJH93" s="168"/>
      <c r="WJI93" s="167"/>
      <c r="WJJ93" s="168"/>
      <c r="WJK93" s="167"/>
      <c r="WJL93" s="168"/>
      <c r="WJM93" s="167"/>
      <c r="WJN93" s="168"/>
      <c r="WJO93" s="167"/>
      <c r="WJP93" s="168"/>
      <c r="WJQ93" s="167"/>
      <c r="WJR93" s="168"/>
      <c r="WJS93" s="167"/>
      <c r="WJT93" s="168"/>
      <c r="WJU93" s="167"/>
      <c r="WJV93" s="168"/>
      <c r="WJW93" s="167"/>
      <c r="WJX93" s="168"/>
      <c r="WJY93" s="167"/>
      <c r="WJZ93" s="168"/>
      <c r="WKA93" s="167"/>
      <c r="WKB93" s="168"/>
      <c r="WKC93" s="167"/>
      <c r="WKD93" s="168"/>
      <c r="WKE93" s="167"/>
      <c r="WKF93" s="168"/>
      <c r="WKG93" s="167"/>
      <c r="WKH93" s="168"/>
      <c r="WKI93" s="167"/>
      <c r="WKJ93" s="168"/>
      <c r="WKK93" s="167"/>
      <c r="WKL93" s="168"/>
      <c r="WKM93" s="167"/>
      <c r="WKN93" s="168"/>
      <c r="WKO93" s="167"/>
      <c r="WKP93" s="168"/>
      <c r="WKQ93" s="167"/>
      <c r="WKR93" s="168"/>
      <c r="WKS93" s="167"/>
      <c r="WKT93" s="168"/>
      <c r="WKU93" s="167"/>
      <c r="WKV93" s="168"/>
      <c r="WKW93" s="167"/>
      <c r="WKX93" s="168"/>
      <c r="WKY93" s="167"/>
      <c r="WKZ93" s="168"/>
      <c r="WLA93" s="167"/>
      <c r="WLB93" s="168"/>
      <c r="WLC93" s="167"/>
      <c r="WLD93" s="168"/>
      <c r="WLE93" s="167"/>
      <c r="WLF93" s="168"/>
      <c r="WLG93" s="167"/>
      <c r="WLH93" s="168"/>
      <c r="WLI93" s="167"/>
      <c r="WLJ93" s="168"/>
      <c r="WLK93" s="167"/>
      <c r="WLL93" s="168"/>
      <c r="WLM93" s="167"/>
      <c r="WLN93" s="168"/>
      <c r="WLO93" s="167"/>
      <c r="WLP93" s="168"/>
      <c r="WLQ93" s="167"/>
      <c r="WLR93" s="168"/>
      <c r="WLS93" s="167"/>
      <c r="WLT93" s="168"/>
      <c r="WLU93" s="167"/>
      <c r="WLV93" s="168"/>
      <c r="WLW93" s="167"/>
      <c r="WLX93" s="168"/>
      <c r="WLY93" s="167"/>
      <c r="WLZ93" s="168"/>
      <c r="WMA93" s="167"/>
      <c r="WMB93" s="168"/>
      <c r="WMC93" s="167"/>
      <c r="WMD93" s="168"/>
      <c r="WME93" s="167"/>
      <c r="WMF93" s="168"/>
      <c r="WMG93" s="167"/>
      <c r="WMH93" s="168"/>
      <c r="WMI93" s="167"/>
      <c r="WMJ93" s="168"/>
      <c r="WMK93" s="167"/>
      <c r="WML93" s="168"/>
      <c r="WMM93" s="167"/>
      <c r="WMN93" s="168"/>
      <c r="WMO93" s="167"/>
      <c r="WMP93" s="168"/>
      <c r="WMQ93" s="167"/>
      <c r="WMR93" s="168"/>
      <c r="WMS93" s="167"/>
      <c r="WMT93" s="168"/>
      <c r="WMU93" s="167"/>
      <c r="WMV93" s="168"/>
      <c r="WMW93" s="167"/>
      <c r="WMX93" s="168"/>
      <c r="WMY93" s="167"/>
      <c r="WMZ93" s="168"/>
      <c r="WNA93" s="167"/>
      <c r="WNB93" s="168"/>
      <c r="WNC93" s="167"/>
      <c r="WND93" s="168"/>
      <c r="WNE93" s="167"/>
      <c r="WNF93" s="168"/>
      <c r="WNG93" s="167"/>
      <c r="WNH93" s="168"/>
      <c r="WNI93" s="167"/>
      <c r="WNJ93" s="168"/>
      <c r="WNK93" s="167"/>
      <c r="WNL93" s="168"/>
      <c r="WNM93" s="167"/>
      <c r="WNN93" s="168"/>
      <c r="WNO93" s="167"/>
      <c r="WNP93" s="168"/>
      <c r="WNQ93" s="167"/>
      <c r="WNR93" s="168"/>
      <c r="WNS93" s="167"/>
      <c r="WNT93" s="168"/>
      <c r="WNU93" s="167"/>
      <c r="WNV93" s="168"/>
      <c r="WNW93" s="167"/>
      <c r="WNX93" s="168"/>
      <c r="WNY93" s="167"/>
      <c r="WNZ93" s="168"/>
      <c r="WOA93" s="167"/>
      <c r="WOB93" s="168"/>
      <c r="WOC93" s="167"/>
      <c r="WOD93" s="168"/>
      <c r="WOE93" s="167"/>
      <c r="WOF93" s="168"/>
      <c r="WOG93" s="167"/>
      <c r="WOH93" s="168"/>
      <c r="WOI93" s="167"/>
      <c r="WOJ93" s="168"/>
      <c r="WOK93" s="167"/>
      <c r="WOL93" s="168"/>
      <c r="WOM93" s="167"/>
      <c r="WON93" s="168"/>
      <c r="WOO93" s="167"/>
      <c r="WOP93" s="168"/>
      <c r="WOQ93" s="167"/>
      <c r="WOR93" s="168"/>
      <c r="WOS93" s="167"/>
      <c r="WOT93" s="168"/>
      <c r="WOU93" s="167"/>
      <c r="WOV93" s="168"/>
      <c r="WOW93" s="167"/>
      <c r="WOX93" s="168"/>
      <c r="WOY93" s="167"/>
      <c r="WOZ93" s="168"/>
      <c r="WPA93" s="167"/>
      <c r="WPB93" s="168"/>
      <c r="WPC93" s="167"/>
      <c r="WPD93" s="168"/>
      <c r="WPE93" s="167"/>
      <c r="WPF93" s="168"/>
      <c r="WPG93" s="167"/>
      <c r="WPH93" s="168"/>
      <c r="WPI93" s="167"/>
      <c r="WPJ93" s="168"/>
      <c r="WPK93" s="167"/>
      <c r="WPL93" s="168"/>
      <c r="WPM93" s="167"/>
      <c r="WPN93" s="168"/>
      <c r="WPO93" s="167"/>
      <c r="WPP93" s="168"/>
      <c r="WPQ93" s="167"/>
      <c r="WPR93" s="168"/>
      <c r="WPS93" s="167"/>
      <c r="WPT93" s="168"/>
      <c r="WPU93" s="167"/>
      <c r="WPV93" s="168"/>
      <c r="WPW93" s="167"/>
      <c r="WPX93" s="168"/>
      <c r="WPY93" s="167"/>
      <c r="WPZ93" s="168"/>
      <c r="WQA93" s="167"/>
      <c r="WQB93" s="168"/>
      <c r="WQC93" s="167"/>
      <c r="WQD93" s="168"/>
      <c r="WQE93" s="167"/>
      <c r="WQF93" s="168"/>
      <c r="WQG93" s="167"/>
      <c r="WQH93" s="168"/>
      <c r="WQI93" s="167"/>
      <c r="WQJ93" s="168"/>
      <c r="WQK93" s="167"/>
      <c r="WQL93" s="168"/>
      <c r="WQM93" s="167"/>
      <c r="WQN93" s="168"/>
      <c r="WQO93" s="167"/>
      <c r="WQP93" s="168"/>
      <c r="WQQ93" s="167"/>
      <c r="WQR93" s="168"/>
      <c r="WQS93" s="167"/>
      <c r="WQT93" s="168"/>
      <c r="WQU93" s="167"/>
      <c r="WQV93" s="168"/>
      <c r="WQW93" s="167"/>
      <c r="WQX93" s="168"/>
      <c r="WQY93" s="167"/>
      <c r="WQZ93" s="168"/>
      <c r="WRA93" s="167"/>
      <c r="WRB93" s="168"/>
      <c r="WRC93" s="167"/>
      <c r="WRD93" s="168"/>
      <c r="WRE93" s="167"/>
      <c r="WRF93" s="168"/>
      <c r="WRG93" s="167"/>
      <c r="WRH93" s="168"/>
      <c r="WRI93" s="167"/>
      <c r="WRJ93" s="168"/>
      <c r="WRK93" s="167"/>
      <c r="WRL93" s="168"/>
      <c r="WRM93" s="167"/>
      <c r="WRN93" s="168"/>
      <c r="WRO93" s="167"/>
      <c r="WRP93" s="168"/>
      <c r="WRQ93" s="167"/>
      <c r="WRR93" s="168"/>
      <c r="WRS93" s="167"/>
      <c r="WRT93" s="168"/>
      <c r="WRU93" s="167"/>
      <c r="WRV93" s="168"/>
      <c r="WRW93" s="167"/>
      <c r="WRX93" s="168"/>
      <c r="WRY93" s="167"/>
      <c r="WRZ93" s="168"/>
      <c r="WSA93" s="167"/>
      <c r="WSB93" s="168"/>
      <c r="WSC93" s="167"/>
      <c r="WSD93" s="168"/>
      <c r="WSE93" s="167"/>
      <c r="WSF93" s="168"/>
      <c r="WSG93" s="167"/>
      <c r="WSH93" s="168"/>
      <c r="WSI93" s="167"/>
      <c r="WSJ93" s="168"/>
      <c r="WSK93" s="167"/>
      <c r="WSL93" s="168"/>
      <c r="WSM93" s="167"/>
      <c r="WSN93" s="168"/>
      <c r="WSO93" s="167"/>
      <c r="WSP93" s="168"/>
      <c r="WSQ93" s="167"/>
      <c r="WSR93" s="168"/>
      <c r="WSS93" s="167"/>
      <c r="WST93" s="168"/>
      <c r="WSU93" s="167"/>
      <c r="WSV93" s="168"/>
      <c r="WSW93" s="167"/>
      <c r="WSX93" s="168"/>
      <c r="WSY93" s="167"/>
      <c r="WSZ93" s="168"/>
      <c r="WTA93" s="167"/>
      <c r="WTB93" s="168"/>
      <c r="WTC93" s="167"/>
      <c r="WTD93" s="168"/>
      <c r="WTE93" s="167"/>
      <c r="WTF93" s="168"/>
      <c r="WTG93" s="167"/>
      <c r="WTH93" s="168"/>
      <c r="WTI93" s="167"/>
      <c r="WTJ93" s="168"/>
      <c r="WTK93" s="167"/>
      <c r="WTL93" s="168"/>
      <c r="WTM93" s="167"/>
      <c r="WTN93" s="168"/>
      <c r="WTO93" s="167"/>
      <c r="WTP93" s="168"/>
      <c r="WTQ93" s="167"/>
      <c r="WTR93" s="168"/>
      <c r="WTS93" s="167"/>
      <c r="WTT93" s="168"/>
      <c r="WTU93" s="167"/>
      <c r="WTV93" s="168"/>
      <c r="WTW93" s="167"/>
      <c r="WTX93" s="168"/>
      <c r="WTY93" s="167"/>
      <c r="WTZ93" s="168"/>
      <c r="WUA93" s="167"/>
      <c r="WUB93" s="168"/>
      <c r="WUC93" s="167"/>
      <c r="WUD93" s="168"/>
      <c r="WUE93" s="167"/>
      <c r="WUF93" s="168"/>
      <c r="WUG93" s="167"/>
      <c r="WUH93" s="168"/>
      <c r="WUI93" s="167"/>
      <c r="WUJ93" s="168"/>
      <c r="WUK93" s="167"/>
      <c r="WUL93" s="168"/>
      <c r="WUM93" s="167"/>
      <c r="WUN93" s="168"/>
      <c r="WUO93" s="167"/>
      <c r="WUP93" s="168"/>
      <c r="WUQ93" s="167"/>
      <c r="WUR93" s="168"/>
      <c r="WUS93" s="167"/>
      <c r="WUT93" s="168"/>
      <c r="WUU93" s="167"/>
      <c r="WUV93" s="168"/>
      <c r="WUW93" s="167"/>
      <c r="WUX93" s="168"/>
      <c r="WUY93" s="167"/>
      <c r="WUZ93" s="168"/>
      <c r="WVA93" s="167"/>
      <c r="WVB93" s="168"/>
      <c r="WVC93" s="167"/>
      <c r="WVD93" s="168"/>
      <c r="WVE93" s="167"/>
      <c r="WVF93" s="168"/>
      <c r="WVG93" s="167"/>
      <c r="WVH93" s="168"/>
      <c r="WVI93" s="167"/>
      <c r="WVJ93" s="168"/>
      <c r="WVK93" s="167"/>
      <c r="WVL93" s="168"/>
      <c r="WVM93" s="167"/>
      <c r="WVN93" s="168"/>
      <c r="WVO93" s="167"/>
      <c r="WVP93" s="168"/>
      <c r="WVQ93" s="167"/>
      <c r="WVR93" s="168"/>
      <c r="WVS93" s="167"/>
      <c r="WVT93" s="168"/>
      <c r="WVU93" s="167"/>
      <c r="WVV93" s="168"/>
      <c r="WVW93" s="167"/>
      <c r="WVX93" s="168"/>
      <c r="WVY93" s="167"/>
      <c r="WVZ93" s="168"/>
      <c r="WWA93" s="167"/>
      <c r="WWB93" s="168"/>
      <c r="WWC93" s="167"/>
      <c r="WWD93" s="168"/>
      <c r="WWE93" s="167"/>
      <c r="WWF93" s="168"/>
      <c r="WWG93" s="167"/>
      <c r="WWH93" s="168"/>
      <c r="WWI93" s="167"/>
      <c r="WWJ93" s="168"/>
      <c r="WWK93" s="167"/>
      <c r="WWL93" s="168"/>
      <c r="WWM93" s="167"/>
      <c r="WWN93" s="168"/>
      <c r="WWO93" s="167"/>
      <c r="WWP93" s="168"/>
      <c r="WWQ93" s="167"/>
      <c r="WWR93" s="168"/>
      <c r="WWS93" s="167"/>
      <c r="WWT93" s="168"/>
      <c r="WWU93" s="167"/>
      <c r="WWV93" s="168"/>
      <c r="WWW93" s="167"/>
      <c r="WWX93" s="168"/>
      <c r="WWY93" s="167"/>
      <c r="WWZ93" s="168"/>
      <c r="WXA93" s="167"/>
      <c r="WXB93" s="168"/>
      <c r="WXC93" s="167"/>
      <c r="WXD93" s="168"/>
      <c r="WXE93" s="167"/>
      <c r="WXF93" s="168"/>
      <c r="WXG93" s="167"/>
      <c r="WXH93" s="168"/>
      <c r="WXI93" s="167"/>
      <c r="WXJ93" s="168"/>
      <c r="WXK93" s="167"/>
      <c r="WXL93" s="168"/>
      <c r="WXM93" s="167"/>
      <c r="WXN93" s="168"/>
      <c r="WXO93" s="167"/>
      <c r="WXP93" s="168"/>
      <c r="WXQ93" s="167"/>
      <c r="WXR93" s="168"/>
      <c r="WXS93" s="167"/>
      <c r="WXT93" s="168"/>
      <c r="WXU93" s="167"/>
      <c r="WXV93" s="168"/>
      <c r="WXW93" s="167"/>
      <c r="WXX93" s="168"/>
      <c r="WXY93" s="167"/>
      <c r="WXZ93" s="168"/>
      <c r="WYA93" s="167"/>
      <c r="WYB93" s="168"/>
      <c r="WYC93" s="167"/>
      <c r="WYD93" s="168"/>
      <c r="WYE93" s="167"/>
      <c r="WYF93" s="168"/>
      <c r="WYG93" s="167"/>
      <c r="WYH93" s="168"/>
      <c r="WYI93" s="167"/>
      <c r="WYJ93" s="168"/>
      <c r="WYK93" s="167"/>
      <c r="WYL93" s="168"/>
      <c r="WYM93" s="167"/>
      <c r="WYN93" s="168"/>
      <c r="WYO93" s="167"/>
      <c r="WYP93" s="168"/>
      <c r="WYQ93" s="167"/>
      <c r="WYR93" s="168"/>
      <c r="WYS93" s="167"/>
      <c r="WYT93" s="168"/>
      <c r="WYU93" s="167"/>
      <c r="WYV93" s="168"/>
      <c r="WYW93" s="167"/>
      <c r="WYX93" s="168"/>
      <c r="WYY93" s="167"/>
      <c r="WYZ93" s="168"/>
      <c r="WZA93" s="167"/>
      <c r="WZB93" s="168"/>
      <c r="WZC93" s="167"/>
      <c r="WZD93" s="168"/>
      <c r="WZE93" s="167"/>
      <c r="WZF93" s="168"/>
      <c r="WZG93" s="167"/>
      <c r="WZH93" s="168"/>
      <c r="WZI93" s="167"/>
      <c r="WZJ93" s="168"/>
      <c r="WZK93" s="167"/>
      <c r="WZL93" s="168"/>
      <c r="WZM93" s="167"/>
      <c r="WZN93" s="168"/>
      <c r="WZO93" s="167"/>
      <c r="WZP93" s="168"/>
      <c r="WZQ93" s="167"/>
      <c r="WZR93" s="168"/>
      <c r="WZS93" s="167"/>
      <c r="WZT93" s="168"/>
      <c r="WZU93" s="167"/>
      <c r="WZV93" s="168"/>
      <c r="WZW93" s="167"/>
      <c r="WZX93" s="168"/>
      <c r="WZY93" s="167"/>
      <c r="WZZ93" s="168"/>
      <c r="XAA93" s="167"/>
      <c r="XAB93" s="168"/>
      <c r="XAC93" s="167"/>
      <c r="XAD93" s="168"/>
      <c r="XAE93" s="167"/>
      <c r="XAF93" s="168"/>
      <c r="XAG93" s="167"/>
      <c r="XAH93" s="168"/>
      <c r="XAI93" s="167"/>
      <c r="XAJ93" s="168"/>
      <c r="XAK93" s="167"/>
      <c r="XAL93" s="168"/>
      <c r="XAM93" s="167"/>
      <c r="XAN93" s="168"/>
      <c r="XAO93" s="167"/>
      <c r="XAP93" s="168"/>
      <c r="XAQ93" s="167"/>
      <c r="XAR93" s="168"/>
      <c r="XAS93" s="167"/>
      <c r="XAT93" s="168"/>
      <c r="XAU93" s="167"/>
      <c r="XAV93" s="168"/>
      <c r="XAW93" s="167"/>
      <c r="XAX93" s="168"/>
      <c r="XAY93" s="167"/>
      <c r="XAZ93" s="168"/>
      <c r="XBA93" s="167"/>
      <c r="XBB93" s="168"/>
      <c r="XBC93" s="167"/>
      <c r="XBD93" s="168"/>
      <c r="XBE93" s="167"/>
      <c r="XBF93" s="168"/>
      <c r="XBG93" s="167"/>
      <c r="XBH93" s="168"/>
      <c r="XBI93" s="167"/>
      <c r="XBJ93" s="168"/>
      <c r="XBK93" s="167"/>
      <c r="XBL93" s="168"/>
      <c r="XBM93" s="167"/>
      <c r="XBN93" s="168"/>
      <c r="XBO93" s="167"/>
      <c r="XBP93" s="168"/>
      <c r="XBQ93" s="167"/>
      <c r="XBR93" s="168"/>
      <c r="XBS93" s="167"/>
      <c r="XBT93" s="168"/>
      <c r="XBU93" s="167"/>
      <c r="XBV93" s="168"/>
      <c r="XBW93" s="167"/>
      <c r="XBX93" s="168"/>
      <c r="XBY93" s="167"/>
      <c r="XBZ93" s="168"/>
      <c r="XCA93" s="167"/>
      <c r="XCB93" s="168"/>
      <c r="XCC93" s="167"/>
      <c r="XCD93" s="168"/>
      <c r="XCE93" s="167"/>
      <c r="XCF93" s="168"/>
      <c r="XCG93" s="167"/>
      <c r="XCH93" s="168"/>
      <c r="XCI93" s="167"/>
      <c r="XCJ93" s="168"/>
      <c r="XCK93" s="167"/>
      <c r="XCL93" s="168"/>
      <c r="XCM93" s="167"/>
      <c r="XCN93" s="168"/>
      <c r="XCO93" s="167"/>
      <c r="XCP93" s="168"/>
      <c r="XCQ93" s="167"/>
      <c r="XCR93" s="168"/>
      <c r="XCS93" s="167"/>
      <c r="XCT93" s="168"/>
      <c r="XCU93" s="167"/>
      <c r="XCV93" s="168"/>
      <c r="XCW93" s="167"/>
      <c r="XCX93" s="168"/>
      <c r="XCY93" s="167"/>
      <c r="XCZ93" s="168"/>
      <c r="XDA93" s="167"/>
      <c r="XDB93" s="168"/>
      <c r="XDC93" s="167"/>
      <c r="XDD93" s="168"/>
      <c r="XDE93" s="167"/>
      <c r="XDF93" s="168"/>
      <c r="XDG93" s="167"/>
      <c r="XDH93" s="168"/>
      <c r="XDI93" s="167"/>
      <c r="XDJ93" s="168"/>
      <c r="XDK93" s="167"/>
      <c r="XDL93" s="168"/>
      <c r="XDM93" s="167"/>
      <c r="XDN93" s="168"/>
      <c r="XDO93" s="167"/>
      <c r="XDP93" s="168"/>
      <c r="XDQ93" s="167"/>
      <c r="XDR93" s="168"/>
      <c r="XDS93" s="167"/>
      <c r="XDT93" s="168"/>
      <c r="XDU93" s="167"/>
      <c r="XDV93" s="168"/>
      <c r="XDW93" s="167"/>
      <c r="XDX93" s="168"/>
      <c r="XDY93" s="167"/>
      <c r="XDZ93" s="168"/>
      <c r="XEA93" s="167"/>
      <c r="XEB93" s="168"/>
      <c r="XEC93" s="167"/>
      <c r="XED93" s="168"/>
      <c r="XEE93" s="167"/>
      <c r="XEF93" s="168"/>
      <c r="XEG93" s="167"/>
      <c r="XEH93" s="168"/>
      <c r="XEI93" s="167"/>
      <c r="XEJ93" s="168"/>
      <c r="XEK93" s="167"/>
      <c r="XEL93" s="168"/>
      <c r="XEM93" s="167"/>
      <c r="XEN93" s="168"/>
      <c r="XEO93" s="167"/>
      <c r="XEP93" s="168"/>
      <c r="XEQ93" s="167"/>
      <c r="XER93" s="168"/>
      <c r="XES93" s="167"/>
      <c r="XET93" s="168"/>
      <c r="XEU93" s="167"/>
      <c r="XEV93" s="168"/>
      <c r="XEW93" s="167"/>
      <c r="XEX93" s="168"/>
      <c r="XEY93" s="167"/>
      <c r="XEZ93" s="168"/>
      <c r="XFA93" s="167"/>
      <c r="XFB93" s="168"/>
      <c r="XFC93" s="167"/>
      <c r="XFD93" s="168"/>
    </row>
    <row r="94" spans="1:16384" s="105" customFormat="1" ht="65.150000000000006" customHeight="1">
      <c r="A94"/>
      <c r="B94"/>
      <c r="C94"/>
      <c r="D94"/>
      <c r="E94" s="107"/>
      <c r="F94"/>
      <c r="G94" s="107"/>
      <c r="H94" s="107"/>
      <c r="I94" s="108"/>
      <c r="J94" s="108"/>
      <c r="K94" s="107"/>
      <c r="L94" s="107"/>
      <c r="M94" s="107"/>
      <c r="N94" s="107"/>
      <c r="O94" s="107"/>
      <c r="P94" s="107"/>
      <c r="Q94" s="107"/>
      <c r="R94" s="107"/>
      <c r="S94" s="107"/>
      <c r="T94" s="107"/>
      <c r="U94" s="107"/>
      <c r="V94" s="107"/>
      <c r="W94" s="107"/>
      <c r="X94" s="107"/>
      <c r="Y94" s="107"/>
      <c r="Z94" s="107"/>
      <c r="AA94" s="109"/>
      <c r="AB94"/>
      <c r="AC94" s="167"/>
      <c r="AD94" s="168"/>
      <c r="AE94" s="167"/>
      <c r="AF94" s="168"/>
      <c r="AG94" s="167"/>
      <c r="AH94" s="168"/>
      <c r="AI94" s="167"/>
      <c r="AJ94" s="168"/>
      <c r="AK94" s="167"/>
      <c r="AL94" s="168"/>
      <c r="AM94" s="167"/>
      <c r="AN94" s="168"/>
      <c r="AO94" s="167"/>
      <c r="AP94" s="168"/>
      <c r="AQ94" s="167"/>
      <c r="AR94" s="168"/>
      <c r="AS94" s="167"/>
      <c r="AT94" s="168"/>
      <c r="AU94" s="167"/>
      <c r="AV94" s="168"/>
      <c r="AW94" s="167"/>
      <c r="AX94" s="168"/>
      <c r="AY94" s="167"/>
      <c r="AZ94" s="168"/>
      <c r="BA94" s="167"/>
      <c r="BB94" s="168"/>
      <c r="BC94" s="167"/>
      <c r="BD94" s="168"/>
      <c r="BE94" s="167"/>
      <c r="BF94" s="168"/>
      <c r="BG94" s="167"/>
      <c r="BH94" s="168"/>
      <c r="BI94" s="167"/>
      <c r="BJ94" s="168"/>
      <c r="BK94" s="167"/>
      <c r="BL94" s="168"/>
      <c r="BM94" s="167"/>
      <c r="BN94" s="168"/>
      <c r="BO94" s="167"/>
      <c r="BP94" s="168"/>
      <c r="BQ94" s="167"/>
      <c r="BR94" s="168"/>
      <c r="BS94" s="167"/>
      <c r="BT94" s="168"/>
      <c r="BU94" s="167"/>
      <c r="BV94" s="168"/>
      <c r="BW94" s="167"/>
      <c r="BX94" s="168"/>
      <c r="BY94" s="167"/>
      <c r="BZ94" s="168"/>
      <c r="CA94" s="167"/>
      <c r="CB94" s="168"/>
      <c r="CC94" s="167"/>
      <c r="CD94" s="168"/>
      <c r="CE94" s="167"/>
      <c r="CF94" s="168"/>
      <c r="CG94" s="167"/>
      <c r="CH94" s="168"/>
      <c r="CI94" s="167"/>
      <c r="CJ94" s="168"/>
      <c r="CK94" s="167"/>
      <c r="CL94" s="168"/>
      <c r="CM94" s="167"/>
      <c r="CN94" s="168"/>
      <c r="CO94" s="167"/>
      <c r="CP94" s="168"/>
      <c r="CQ94" s="167"/>
      <c r="CR94" s="168"/>
      <c r="CS94" s="167"/>
      <c r="CT94" s="168"/>
      <c r="CU94" s="167"/>
      <c r="CV94" s="168"/>
      <c r="CW94" s="167"/>
      <c r="CX94" s="168"/>
      <c r="CY94" s="167"/>
      <c r="CZ94" s="168"/>
      <c r="DA94" s="167"/>
      <c r="DB94" s="168"/>
      <c r="DC94" s="167"/>
      <c r="DD94" s="168"/>
      <c r="DE94" s="167"/>
      <c r="DF94" s="168"/>
      <c r="DG94" s="167"/>
      <c r="DH94" s="168"/>
      <c r="DI94" s="167"/>
      <c r="DJ94" s="168"/>
      <c r="DK94" s="167"/>
      <c r="DL94" s="168"/>
      <c r="DM94" s="167"/>
      <c r="DN94" s="168"/>
      <c r="DO94" s="167"/>
      <c r="DP94" s="168"/>
      <c r="DQ94" s="167"/>
      <c r="DR94" s="168"/>
      <c r="DS94" s="167"/>
      <c r="DT94" s="168"/>
      <c r="DU94" s="167"/>
      <c r="DV94" s="168"/>
      <c r="DW94" s="167"/>
      <c r="DX94" s="168"/>
      <c r="DY94" s="167"/>
      <c r="DZ94" s="168"/>
      <c r="EA94" s="167"/>
      <c r="EB94" s="168"/>
      <c r="EC94" s="167"/>
      <c r="ED94" s="168"/>
      <c r="EE94" s="167"/>
      <c r="EF94" s="168"/>
      <c r="EG94" s="167"/>
      <c r="EH94" s="168"/>
      <c r="EI94" s="167"/>
      <c r="EJ94" s="168"/>
      <c r="EK94" s="167"/>
      <c r="EL94" s="168"/>
      <c r="EM94" s="167"/>
      <c r="EN94" s="168"/>
      <c r="EO94" s="167"/>
      <c r="EP94" s="168"/>
      <c r="EQ94" s="167"/>
      <c r="ER94" s="168"/>
      <c r="ES94" s="167"/>
      <c r="ET94" s="168"/>
      <c r="EU94" s="167"/>
      <c r="EV94" s="168"/>
      <c r="EW94" s="167"/>
      <c r="EX94" s="168"/>
      <c r="EY94" s="167"/>
      <c r="EZ94" s="168"/>
      <c r="FA94" s="167"/>
      <c r="FB94" s="168"/>
      <c r="FC94" s="167"/>
      <c r="FD94" s="168"/>
      <c r="FE94" s="167"/>
      <c r="FF94" s="168"/>
      <c r="FG94" s="167"/>
      <c r="FH94" s="168"/>
      <c r="FI94" s="167"/>
      <c r="FJ94" s="168"/>
      <c r="FK94" s="167"/>
      <c r="FL94" s="168"/>
      <c r="FM94" s="167"/>
      <c r="FN94" s="168"/>
      <c r="FO94" s="167"/>
      <c r="FP94" s="168"/>
      <c r="FQ94" s="167"/>
      <c r="FR94" s="168"/>
      <c r="FS94" s="167"/>
      <c r="FT94" s="168"/>
      <c r="FU94" s="167"/>
      <c r="FV94" s="168"/>
      <c r="FW94" s="167"/>
      <c r="FX94" s="168"/>
      <c r="FY94" s="167"/>
      <c r="FZ94" s="168"/>
      <c r="GA94" s="167"/>
      <c r="GB94" s="168"/>
      <c r="GC94" s="167"/>
      <c r="GD94" s="168"/>
      <c r="GE94" s="167"/>
      <c r="GF94" s="168"/>
      <c r="GG94" s="167"/>
      <c r="GH94" s="168"/>
      <c r="GI94" s="167"/>
      <c r="GJ94" s="168"/>
      <c r="GK94" s="167"/>
      <c r="GL94" s="168"/>
      <c r="GM94" s="167"/>
      <c r="GN94" s="168"/>
      <c r="GO94" s="167"/>
      <c r="GP94" s="168"/>
      <c r="GQ94" s="167"/>
      <c r="GR94" s="168"/>
      <c r="GS94" s="167"/>
      <c r="GT94" s="168"/>
      <c r="GU94" s="167"/>
      <c r="GV94" s="168"/>
      <c r="GW94" s="167"/>
      <c r="GX94" s="168"/>
      <c r="GY94" s="167"/>
      <c r="GZ94" s="168"/>
      <c r="HA94" s="167"/>
      <c r="HB94" s="168"/>
      <c r="HC94" s="167"/>
      <c r="HD94" s="168"/>
      <c r="HE94" s="167"/>
      <c r="HF94" s="168"/>
      <c r="HG94" s="167"/>
      <c r="HH94" s="168"/>
      <c r="HI94" s="167"/>
      <c r="HJ94" s="168"/>
      <c r="HK94" s="167"/>
      <c r="HL94" s="168"/>
      <c r="HM94" s="167"/>
      <c r="HN94" s="168"/>
      <c r="HO94" s="167"/>
      <c r="HP94" s="168"/>
      <c r="HQ94" s="167"/>
      <c r="HR94" s="168"/>
      <c r="HS94" s="167"/>
      <c r="HT94" s="168"/>
      <c r="HU94" s="167"/>
      <c r="HV94" s="168"/>
      <c r="HW94" s="167"/>
      <c r="HX94" s="168"/>
      <c r="HY94" s="167"/>
      <c r="HZ94" s="168"/>
      <c r="IA94" s="167"/>
      <c r="IB94" s="168"/>
      <c r="IC94" s="167"/>
      <c r="ID94" s="168"/>
      <c r="IE94" s="167"/>
      <c r="IF94" s="168"/>
      <c r="IG94" s="167"/>
      <c r="IH94" s="168"/>
      <c r="II94" s="167"/>
      <c r="IJ94" s="168"/>
      <c r="IK94" s="167"/>
      <c r="IL94" s="168"/>
      <c r="IM94" s="167"/>
      <c r="IN94" s="168"/>
      <c r="IO94" s="167"/>
      <c r="IP94" s="168"/>
      <c r="IQ94" s="167"/>
      <c r="IR94" s="168"/>
      <c r="IS94" s="167"/>
      <c r="IT94" s="168"/>
      <c r="IU94" s="167"/>
      <c r="IV94" s="168"/>
      <c r="IW94" s="167"/>
      <c r="IX94" s="168"/>
      <c r="IY94" s="167"/>
      <c r="IZ94" s="168"/>
      <c r="JA94" s="167"/>
      <c r="JB94" s="168"/>
      <c r="JC94" s="167"/>
      <c r="JD94" s="168"/>
      <c r="JE94" s="167"/>
      <c r="JF94" s="168"/>
      <c r="JG94" s="167"/>
      <c r="JH94" s="168"/>
      <c r="JI94" s="167"/>
      <c r="JJ94" s="168"/>
      <c r="JK94" s="167"/>
      <c r="JL94" s="168"/>
      <c r="JM94" s="167"/>
      <c r="JN94" s="168"/>
      <c r="JO94" s="167"/>
      <c r="JP94" s="168"/>
      <c r="JQ94" s="167"/>
      <c r="JR94" s="168"/>
      <c r="JS94" s="167"/>
      <c r="JT94" s="168"/>
      <c r="JU94" s="167"/>
      <c r="JV94" s="168"/>
      <c r="JW94" s="167"/>
      <c r="JX94" s="168"/>
      <c r="JY94" s="167"/>
      <c r="JZ94" s="168"/>
      <c r="KA94" s="167"/>
      <c r="KB94" s="168"/>
      <c r="KC94" s="167"/>
      <c r="KD94" s="168"/>
      <c r="KE94" s="167"/>
      <c r="KF94" s="168"/>
      <c r="KG94" s="167"/>
      <c r="KH94" s="168"/>
      <c r="KI94" s="167"/>
      <c r="KJ94" s="168"/>
      <c r="KK94" s="167"/>
      <c r="KL94" s="168"/>
      <c r="KM94" s="167"/>
      <c r="KN94" s="168"/>
      <c r="KO94" s="167"/>
      <c r="KP94" s="168"/>
      <c r="KQ94" s="167"/>
      <c r="KR94" s="168"/>
      <c r="KS94" s="167"/>
      <c r="KT94" s="168"/>
      <c r="KU94" s="167"/>
      <c r="KV94" s="168"/>
      <c r="KW94" s="167"/>
      <c r="KX94" s="168"/>
      <c r="KY94" s="167"/>
      <c r="KZ94" s="168"/>
      <c r="LA94" s="167"/>
      <c r="LB94" s="168"/>
      <c r="LC94" s="167"/>
      <c r="LD94" s="168"/>
      <c r="LE94" s="167"/>
      <c r="LF94" s="168"/>
      <c r="LG94" s="167"/>
      <c r="LH94" s="168"/>
      <c r="LI94" s="167"/>
      <c r="LJ94" s="168"/>
      <c r="LK94" s="167"/>
      <c r="LL94" s="168"/>
      <c r="LM94" s="167"/>
      <c r="LN94" s="168"/>
      <c r="LO94" s="167"/>
      <c r="LP94" s="168"/>
      <c r="LQ94" s="167"/>
      <c r="LR94" s="168"/>
      <c r="LS94" s="167"/>
      <c r="LT94" s="168"/>
      <c r="LU94" s="167"/>
      <c r="LV94" s="168"/>
      <c r="LW94" s="167"/>
      <c r="LX94" s="168"/>
      <c r="LY94" s="167"/>
      <c r="LZ94" s="168"/>
      <c r="MA94" s="167"/>
      <c r="MB94" s="168"/>
      <c r="MC94" s="167"/>
      <c r="MD94" s="168"/>
      <c r="ME94" s="167"/>
      <c r="MF94" s="168"/>
      <c r="MG94" s="167"/>
      <c r="MH94" s="168"/>
      <c r="MI94" s="167"/>
      <c r="MJ94" s="168"/>
      <c r="MK94" s="167"/>
      <c r="ML94" s="168"/>
      <c r="MM94" s="167"/>
      <c r="MN94" s="168"/>
      <c r="MO94" s="167"/>
      <c r="MP94" s="168"/>
      <c r="MQ94" s="167"/>
      <c r="MR94" s="168"/>
      <c r="MS94" s="167"/>
      <c r="MT94" s="168"/>
      <c r="MU94" s="167"/>
      <c r="MV94" s="168"/>
      <c r="MW94" s="167"/>
      <c r="MX94" s="168"/>
      <c r="MY94" s="167"/>
      <c r="MZ94" s="168"/>
      <c r="NA94" s="167"/>
      <c r="NB94" s="168"/>
      <c r="NC94" s="167"/>
      <c r="ND94" s="168"/>
      <c r="NE94" s="167"/>
      <c r="NF94" s="168"/>
      <c r="NG94" s="167"/>
      <c r="NH94" s="168"/>
      <c r="NI94" s="167"/>
      <c r="NJ94" s="168"/>
      <c r="NK94" s="167"/>
      <c r="NL94" s="168"/>
      <c r="NM94" s="167"/>
      <c r="NN94" s="168"/>
      <c r="NO94" s="167"/>
      <c r="NP94" s="168"/>
      <c r="NQ94" s="167"/>
      <c r="NR94" s="168"/>
      <c r="NS94" s="167"/>
      <c r="NT94" s="168"/>
      <c r="NU94" s="167"/>
      <c r="NV94" s="168"/>
      <c r="NW94" s="167"/>
      <c r="NX94" s="168"/>
      <c r="NY94" s="167"/>
      <c r="NZ94" s="168"/>
      <c r="OA94" s="167"/>
      <c r="OB94" s="168"/>
      <c r="OC94" s="167"/>
      <c r="OD94" s="168"/>
      <c r="OE94" s="167"/>
      <c r="OF94" s="168"/>
      <c r="OG94" s="167"/>
      <c r="OH94" s="168"/>
      <c r="OI94" s="167"/>
      <c r="OJ94" s="168"/>
      <c r="OK94" s="167"/>
      <c r="OL94" s="168"/>
      <c r="OM94" s="167"/>
      <c r="ON94" s="168"/>
      <c r="OO94" s="167"/>
      <c r="OP94" s="168"/>
      <c r="OQ94" s="167"/>
      <c r="OR94" s="168"/>
      <c r="OS94" s="167"/>
      <c r="OT94" s="168"/>
      <c r="OU94" s="167"/>
      <c r="OV94" s="168"/>
      <c r="OW94" s="167"/>
      <c r="OX94" s="168"/>
      <c r="OY94" s="167"/>
      <c r="OZ94" s="168"/>
      <c r="PA94" s="167"/>
      <c r="PB94" s="168"/>
      <c r="PC94" s="167"/>
      <c r="PD94" s="168"/>
      <c r="PE94" s="167"/>
      <c r="PF94" s="168"/>
      <c r="PG94" s="167"/>
      <c r="PH94" s="168"/>
      <c r="PI94" s="167"/>
      <c r="PJ94" s="168"/>
      <c r="PK94" s="167"/>
      <c r="PL94" s="168"/>
      <c r="PM94" s="167"/>
      <c r="PN94" s="168"/>
      <c r="PO94" s="167"/>
      <c r="PP94" s="168"/>
      <c r="PQ94" s="167"/>
      <c r="PR94" s="168"/>
      <c r="PS94" s="167"/>
      <c r="PT94" s="168"/>
      <c r="PU94" s="167"/>
      <c r="PV94" s="168"/>
      <c r="PW94" s="167"/>
      <c r="PX94" s="168"/>
      <c r="PY94" s="167"/>
      <c r="PZ94" s="168"/>
      <c r="QA94" s="167"/>
      <c r="QB94" s="168"/>
      <c r="QC94" s="167"/>
      <c r="QD94" s="168"/>
      <c r="QE94" s="167"/>
      <c r="QF94" s="168"/>
      <c r="QG94" s="167"/>
      <c r="QH94" s="168"/>
      <c r="QI94" s="167"/>
      <c r="QJ94" s="168"/>
      <c r="QK94" s="167"/>
      <c r="QL94" s="168"/>
      <c r="QM94" s="167"/>
      <c r="QN94" s="168"/>
      <c r="QO94" s="167"/>
      <c r="QP94" s="168"/>
      <c r="QQ94" s="167"/>
      <c r="QR94" s="168"/>
      <c r="QS94" s="167"/>
      <c r="QT94" s="168"/>
      <c r="QU94" s="167"/>
      <c r="QV94" s="168"/>
      <c r="QW94" s="167"/>
      <c r="QX94" s="168"/>
      <c r="QY94" s="167"/>
      <c r="QZ94" s="168"/>
      <c r="RA94" s="167"/>
      <c r="RB94" s="168"/>
      <c r="RC94" s="167"/>
      <c r="RD94" s="168"/>
      <c r="RE94" s="167"/>
      <c r="RF94" s="168"/>
      <c r="RG94" s="167"/>
      <c r="RH94" s="168"/>
      <c r="RI94" s="167"/>
      <c r="RJ94" s="168"/>
      <c r="RK94" s="167"/>
      <c r="RL94" s="168"/>
      <c r="RM94" s="167"/>
      <c r="RN94" s="168"/>
      <c r="RO94" s="167"/>
      <c r="RP94" s="168"/>
      <c r="RQ94" s="167"/>
      <c r="RR94" s="168"/>
      <c r="RS94" s="167"/>
      <c r="RT94" s="168"/>
      <c r="RU94" s="167"/>
      <c r="RV94" s="168"/>
      <c r="RW94" s="167"/>
      <c r="RX94" s="168"/>
      <c r="RY94" s="167"/>
      <c r="RZ94" s="168"/>
      <c r="SA94" s="167"/>
      <c r="SB94" s="168"/>
      <c r="SC94" s="167"/>
      <c r="SD94" s="168"/>
      <c r="SE94" s="167"/>
      <c r="SF94" s="168"/>
      <c r="SG94" s="167"/>
      <c r="SH94" s="168"/>
      <c r="SI94" s="167"/>
      <c r="SJ94" s="168"/>
      <c r="SK94" s="167"/>
      <c r="SL94" s="168"/>
      <c r="SM94" s="167"/>
      <c r="SN94" s="168"/>
      <c r="SO94" s="167"/>
      <c r="SP94" s="168"/>
      <c r="SQ94" s="167"/>
      <c r="SR94" s="168"/>
      <c r="SS94" s="167"/>
      <c r="ST94" s="168"/>
      <c r="SU94" s="167"/>
      <c r="SV94" s="168"/>
      <c r="SW94" s="167"/>
      <c r="SX94" s="168"/>
      <c r="SY94" s="167"/>
      <c r="SZ94" s="168"/>
      <c r="TA94" s="167"/>
      <c r="TB94" s="168"/>
      <c r="TC94" s="167"/>
      <c r="TD94" s="168"/>
      <c r="TE94" s="167"/>
      <c r="TF94" s="168"/>
      <c r="TG94" s="167"/>
      <c r="TH94" s="168"/>
      <c r="TI94" s="167"/>
      <c r="TJ94" s="168"/>
      <c r="TK94" s="167"/>
      <c r="TL94" s="168"/>
      <c r="TM94" s="167"/>
      <c r="TN94" s="168"/>
      <c r="TO94" s="167"/>
      <c r="TP94" s="168"/>
      <c r="TQ94" s="167"/>
      <c r="TR94" s="168"/>
      <c r="TS94" s="167"/>
      <c r="TT94" s="168"/>
      <c r="TU94" s="167"/>
      <c r="TV94" s="168"/>
      <c r="TW94" s="167"/>
      <c r="TX94" s="168"/>
      <c r="TY94" s="167"/>
      <c r="TZ94" s="168"/>
      <c r="UA94" s="167"/>
      <c r="UB94" s="168"/>
      <c r="UC94" s="167"/>
      <c r="UD94" s="168"/>
      <c r="UE94" s="167"/>
      <c r="UF94" s="168"/>
      <c r="UG94" s="167"/>
      <c r="UH94" s="168"/>
      <c r="UI94" s="167"/>
      <c r="UJ94" s="168"/>
      <c r="UK94" s="167"/>
      <c r="UL94" s="168"/>
      <c r="UM94" s="167"/>
      <c r="UN94" s="168"/>
      <c r="UO94" s="167"/>
      <c r="UP94" s="168"/>
      <c r="UQ94" s="167"/>
      <c r="UR94" s="168"/>
      <c r="US94" s="167"/>
      <c r="UT94" s="168"/>
      <c r="UU94" s="167"/>
      <c r="UV94" s="168"/>
      <c r="UW94" s="167"/>
      <c r="UX94" s="168"/>
      <c r="UY94" s="167"/>
      <c r="UZ94" s="168"/>
      <c r="VA94" s="167"/>
      <c r="VB94" s="168"/>
      <c r="VC94" s="167"/>
      <c r="VD94" s="168"/>
      <c r="VE94" s="167"/>
      <c r="VF94" s="168"/>
      <c r="VG94" s="167"/>
      <c r="VH94" s="168"/>
      <c r="VI94" s="167"/>
      <c r="VJ94" s="168"/>
      <c r="VK94" s="167"/>
      <c r="VL94" s="168"/>
      <c r="VM94" s="167"/>
      <c r="VN94" s="168"/>
      <c r="VO94" s="167"/>
      <c r="VP94" s="168"/>
      <c r="VQ94" s="167"/>
      <c r="VR94" s="168"/>
      <c r="VS94" s="167"/>
      <c r="VT94" s="168"/>
      <c r="VU94" s="167"/>
      <c r="VV94" s="168"/>
      <c r="VW94" s="167"/>
      <c r="VX94" s="168"/>
      <c r="VY94" s="167"/>
      <c r="VZ94" s="168"/>
      <c r="WA94" s="167"/>
      <c r="WB94" s="168"/>
      <c r="WC94" s="167"/>
      <c r="WD94" s="168"/>
      <c r="WE94" s="167"/>
      <c r="WF94" s="168"/>
      <c r="WG94" s="167"/>
      <c r="WH94" s="168"/>
      <c r="WI94" s="167"/>
      <c r="WJ94" s="168"/>
      <c r="WK94" s="167"/>
      <c r="WL94" s="168"/>
      <c r="WM94" s="167"/>
      <c r="WN94" s="168"/>
      <c r="WO94" s="167"/>
      <c r="WP94" s="168"/>
      <c r="WQ94" s="167"/>
      <c r="WR94" s="168"/>
      <c r="WS94" s="167"/>
      <c r="WT94" s="168"/>
      <c r="WU94" s="167"/>
      <c r="WV94" s="168"/>
      <c r="WW94" s="167"/>
      <c r="WX94" s="168"/>
      <c r="WY94" s="167"/>
      <c r="WZ94" s="168"/>
      <c r="XA94" s="167"/>
      <c r="XB94" s="168"/>
      <c r="XC94" s="167"/>
      <c r="XD94" s="168"/>
      <c r="XE94" s="167"/>
      <c r="XF94" s="168"/>
      <c r="XG94" s="167"/>
      <c r="XH94" s="168"/>
      <c r="XI94" s="167"/>
      <c r="XJ94" s="168"/>
      <c r="XK94" s="167"/>
      <c r="XL94" s="168"/>
      <c r="XM94" s="167"/>
      <c r="XN94" s="168"/>
      <c r="XO94" s="167"/>
      <c r="XP94" s="168"/>
      <c r="XQ94" s="167"/>
      <c r="XR94" s="168"/>
      <c r="XS94" s="167"/>
      <c r="XT94" s="168"/>
      <c r="XU94" s="167"/>
      <c r="XV94" s="168"/>
      <c r="XW94" s="167"/>
      <c r="XX94" s="168"/>
      <c r="XY94" s="167"/>
      <c r="XZ94" s="168"/>
      <c r="YA94" s="167"/>
      <c r="YB94" s="168"/>
      <c r="YC94" s="167"/>
      <c r="YD94" s="168"/>
      <c r="YE94" s="167"/>
      <c r="YF94" s="168"/>
      <c r="YG94" s="167"/>
      <c r="YH94" s="168"/>
      <c r="YI94" s="167"/>
      <c r="YJ94" s="168"/>
      <c r="YK94" s="167"/>
      <c r="YL94" s="168"/>
      <c r="YM94" s="167"/>
      <c r="YN94" s="168"/>
      <c r="YO94" s="167"/>
      <c r="YP94" s="168"/>
      <c r="YQ94" s="167"/>
      <c r="YR94" s="168"/>
      <c r="YS94" s="167"/>
      <c r="YT94" s="168"/>
      <c r="YU94" s="167"/>
      <c r="YV94" s="168"/>
      <c r="YW94" s="167"/>
      <c r="YX94" s="168"/>
      <c r="YY94" s="167"/>
      <c r="YZ94" s="168"/>
      <c r="ZA94" s="167"/>
      <c r="ZB94" s="168"/>
      <c r="ZC94" s="167"/>
      <c r="ZD94" s="168"/>
      <c r="ZE94" s="167"/>
      <c r="ZF94" s="168"/>
      <c r="ZG94" s="167"/>
      <c r="ZH94" s="168"/>
      <c r="ZI94" s="167"/>
      <c r="ZJ94" s="168"/>
      <c r="ZK94" s="167"/>
      <c r="ZL94" s="168"/>
      <c r="ZM94" s="167"/>
      <c r="ZN94" s="168"/>
      <c r="ZO94" s="167"/>
      <c r="ZP94" s="168"/>
      <c r="ZQ94" s="167"/>
      <c r="ZR94" s="168"/>
      <c r="ZS94" s="167"/>
      <c r="ZT94" s="168"/>
      <c r="ZU94" s="167"/>
      <c r="ZV94" s="168"/>
      <c r="ZW94" s="167"/>
      <c r="ZX94" s="168"/>
      <c r="ZY94" s="167"/>
      <c r="ZZ94" s="168"/>
      <c r="AAA94" s="167"/>
      <c r="AAB94" s="168"/>
      <c r="AAC94" s="167"/>
      <c r="AAD94" s="168"/>
      <c r="AAE94" s="167"/>
      <c r="AAF94" s="168"/>
      <c r="AAG94" s="167"/>
      <c r="AAH94" s="168"/>
      <c r="AAI94" s="167"/>
      <c r="AAJ94" s="168"/>
      <c r="AAK94" s="167"/>
      <c r="AAL94" s="168"/>
      <c r="AAM94" s="167"/>
      <c r="AAN94" s="168"/>
      <c r="AAO94" s="167"/>
      <c r="AAP94" s="168"/>
      <c r="AAQ94" s="167"/>
      <c r="AAR94" s="168"/>
      <c r="AAS94" s="167"/>
      <c r="AAT94" s="168"/>
      <c r="AAU94" s="167"/>
      <c r="AAV94" s="168"/>
      <c r="AAW94" s="167"/>
      <c r="AAX94" s="168"/>
      <c r="AAY94" s="167"/>
      <c r="AAZ94" s="168"/>
      <c r="ABA94" s="167"/>
      <c r="ABB94" s="168"/>
      <c r="ABC94" s="167"/>
      <c r="ABD94" s="168"/>
      <c r="ABE94" s="167"/>
      <c r="ABF94" s="168"/>
      <c r="ABG94" s="167"/>
      <c r="ABH94" s="168"/>
      <c r="ABI94" s="167"/>
      <c r="ABJ94" s="168"/>
      <c r="ABK94" s="167"/>
      <c r="ABL94" s="168"/>
      <c r="ABM94" s="167"/>
      <c r="ABN94" s="168"/>
      <c r="ABO94" s="167"/>
      <c r="ABP94" s="168"/>
      <c r="ABQ94" s="167"/>
      <c r="ABR94" s="168"/>
      <c r="ABS94" s="167"/>
      <c r="ABT94" s="168"/>
      <c r="ABU94" s="167"/>
      <c r="ABV94" s="168"/>
      <c r="ABW94" s="167"/>
      <c r="ABX94" s="168"/>
      <c r="ABY94" s="167"/>
      <c r="ABZ94" s="168"/>
      <c r="ACA94" s="167"/>
      <c r="ACB94" s="168"/>
      <c r="ACC94" s="167"/>
      <c r="ACD94" s="168"/>
      <c r="ACE94" s="167"/>
      <c r="ACF94" s="168"/>
      <c r="ACG94" s="167"/>
      <c r="ACH94" s="168"/>
      <c r="ACI94" s="167"/>
      <c r="ACJ94" s="168"/>
      <c r="ACK94" s="167"/>
      <c r="ACL94" s="168"/>
      <c r="ACM94" s="167"/>
      <c r="ACN94" s="168"/>
      <c r="ACO94" s="167"/>
      <c r="ACP94" s="168"/>
      <c r="ACQ94" s="167"/>
      <c r="ACR94" s="168"/>
      <c r="ACS94" s="167"/>
      <c r="ACT94" s="168"/>
      <c r="ACU94" s="167"/>
      <c r="ACV94" s="168"/>
      <c r="ACW94" s="167"/>
      <c r="ACX94" s="168"/>
      <c r="ACY94" s="167"/>
      <c r="ACZ94" s="168"/>
      <c r="ADA94" s="167"/>
      <c r="ADB94" s="168"/>
      <c r="ADC94" s="167"/>
      <c r="ADD94" s="168"/>
      <c r="ADE94" s="167"/>
      <c r="ADF94" s="168"/>
      <c r="ADG94" s="167"/>
      <c r="ADH94" s="168"/>
      <c r="ADI94" s="167"/>
      <c r="ADJ94" s="168"/>
      <c r="ADK94" s="167"/>
      <c r="ADL94" s="168"/>
      <c r="ADM94" s="167"/>
      <c r="ADN94" s="168"/>
      <c r="ADO94" s="167"/>
      <c r="ADP94" s="168"/>
      <c r="ADQ94" s="167"/>
      <c r="ADR94" s="168"/>
      <c r="ADS94" s="167"/>
      <c r="ADT94" s="168"/>
      <c r="ADU94" s="167"/>
      <c r="ADV94" s="168"/>
      <c r="ADW94" s="167"/>
      <c r="ADX94" s="168"/>
      <c r="ADY94" s="167"/>
      <c r="ADZ94" s="168"/>
      <c r="AEA94" s="167"/>
      <c r="AEB94" s="168"/>
      <c r="AEC94" s="167"/>
      <c r="AED94" s="168"/>
      <c r="AEE94" s="167"/>
      <c r="AEF94" s="168"/>
      <c r="AEG94" s="167"/>
      <c r="AEH94" s="168"/>
      <c r="AEI94" s="167"/>
      <c r="AEJ94" s="168"/>
      <c r="AEK94" s="167"/>
      <c r="AEL94" s="168"/>
      <c r="AEM94" s="167"/>
      <c r="AEN94" s="168"/>
      <c r="AEO94" s="167"/>
      <c r="AEP94" s="168"/>
      <c r="AEQ94" s="167"/>
      <c r="AER94" s="168"/>
      <c r="AES94" s="167"/>
      <c r="AET94" s="168"/>
      <c r="AEU94" s="167"/>
      <c r="AEV94" s="168"/>
      <c r="AEW94" s="167"/>
      <c r="AEX94" s="168"/>
      <c r="AEY94" s="167"/>
      <c r="AEZ94" s="168"/>
      <c r="AFA94" s="167"/>
      <c r="AFB94" s="168"/>
      <c r="AFC94" s="167"/>
      <c r="AFD94" s="168"/>
      <c r="AFE94" s="167"/>
      <c r="AFF94" s="168"/>
      <c r="AFG94" s="167"/>
      <c r="AFH94" s="168"/>
      <c r="AFI94" s="167"/>
      <c r="AFJ94" s="168"/>
      <c r="AFK94" s="167"/>
      <c r="AFL94" s="168"/>
      <c r="AFM94" s="167"/>
      <c r="AFN94" s="168"/>
      <c r="AFO94" s="167"/>
      <c r="AFP94" s="168"/>
      <c r="AFQ94" s="167"/>
      <c r="AFR94" s="168"/>
      <c r="AFS94" s="167"/>
      <c r="AFT94" s="168"/>
      <c r="AFU94" s="167"/>
      <c r="AFV94" s="168"/>
      <c r="AFW94" s="167"/>
      <c r="AFX94" s="168"/>
      <c r="AFY94" s="167"/>
      <c r="AFZ94" s="168"/>
      <c r="AGA94" s="167"/>
      <c r="AGB94" s="168"/>
      <c r="AGC94" s="167"/>
      <c r="AGD94" s="168"/>
      <c r="AGE94" s="167"/>
      <c r="AGF94" s="168"/>
      <c r="AGG94" s="167"/>
      <c r="AGH94" s="168"/>
      <c r="AGI94" s="167"/>
      <c r="AGJ94" s="168"/>
      <c r="AGK94" s="167"/>
      <c r="AGL94" s="168"/>
      <c r="AGM94" s="167"/>
      <c r="AGN94" s="168"/>
      <c r="AGO94" s="167"/>
      <c r="AGP94" s="168"/>
      <c r="AGQ94" s="167"/>
      <c r="AGR94" s="168"/>
      <c r="AGS94" s="167"/>
      <c r="AGT94" s="168"/>
      <c r="AGU94" s="167"/>
      <c r="AGV94" s="168"/>
      <c r="AGW94" s="167"/>
      <c r="AGX94" s="168"/>
      <c r="AGY94" s="167"/>
      <c r="AGZ94" s="168"/>
      <c r="AHA94" s="167"/>
      <c r="AHB94" s="168"/>
      <c r="AHC94" s="167"/>
      <c r="AHD94" s="168"/>
      <c r="AHE94" s="167"/>
      <c r="AHF94" s="168"/>
      <c r="AHG94" s="167"/>
      <c r="AHH94" s="168"/>
      <c r="AHI94" s="167"/>
      <c r="AHJ94" s="168"/>
      <c r="AHK94" s="167"/>
      <c r="AHL94" s="168"/>
      <c r="AHM94" s="167"/>
      <c r="AHN94" s="168"/>
      <c r="AHO94" s="167"/>
      <c r="AHP94" s="168"/>
      <c r="AHQ94" s="167"/>
      <c r="AHR94" s="168"/>
      <c r="AHS94" s="167"/>
      <c r="AHT94" s="168"/>
      <c r="AHU94" s="167"/>
      <c r="AHV94" s="168"/>
      <c r="AHW94" s="167"/>
      <c r="AHX94" s="168"/>
      <c r="AHY94" s="167"/>
      <c r="AHZ94" s="168"/>
      <c r="AIA94" s="167"/>
      <c r="AIB94" s="168"/>
      <c r="AIC94" s="167"/>
      <c r="AID94" s="168"/>
      <c r="AIE94" s="167"/>
      <c r="AIF94" s="168"/>
      <c r="AIG94" s="167"/>
      <c r="AIH94" s="168"/>
      <c r="AII94" s="167"/>
      <c r="AIJ94" s="168"/>
      <c r="AIK94" s="167"/>
      <c r="AIL94" s="168"/>
      <c r="AIM94" s="167"/>
      <c r="AIN94" s="168"/>
      <c r="AIO94" s="167"/>
      <c r="AIP94" s="168"/>
      <c r="AIQ94" s="167"/>
      <c r="AIR94" s="168"/>
      <c r="AIS94" s="167"/>
      <c r="AIT94" s="168"/>
      <c r="AIU94" s="167"/>
      <c r="AIV94" s="168"/>
      <c r="AIW94" s="167"/>
      <c r="AIX94" s="168"/>
      <c r="AIY94" s="167"/>
      <c r="AIZ94" s="168"/>
      <c r="AJA94" s="167"/>
      <c r="AJB94" s="168"/>
      <c r="AJC94" s="167"/>
      <c r="AJD94" s="168"/>
      <c r="AJE94" s="167"/>
      <c r="AJF94" s="168"/>
      <c r="AJG94" s="167"/>
      <c r="AJH94" s="168"/>
      <c r="AJI94" s="167"/>
      <c r="AJJ94" s="168"/>
      <c r="AJK94" s="167"/>
      <c r="AJL94" s="168"/>
      <c r="AJM94" s="167"/>
      <c r="AJN94" s="168"/>
      <c r="AJO94" s="167"/>
      <c r="AJP94" s="168"/>
      <c r="AJQ94" s="167"/>
      <c r="AJR94" s="168"/>
      <c r="AJS94" s="167"/>
      <c r="AJT94" s="168"/>
      <c r="AJU94" s="167"/>
      <c r="AJV94" s="168"/>
      <c r="AJW94" s="167"/>
      <c r="AJX94" s="168"/>
      <c r="AJY94" s="167"/>
      <c r="AJZ94" s="168"/>
      <c r="AKA94" s="167"/>
      <c r="AKB94" s="168"/>
      <c r="AKC94" s="167"/>
      <c r="AKD94" s="168"/>
      <c r="AKE94" s="167"/>
      <c r="AKF94" s="168"/>
      <c r="AKG94" s="167"/>
      <c r="AKH94" s="168"/>
      <c r="AKI94" s="167"/>
      <c r="AKJ94" s="168"/>
      <c r="AKK94" s="167"/>
      <c r="AKL94" s="168"/>
      <c r="AKM94" s="167"/>
      <c r="AKN94" s="168"/>
      <c r="AKO94" s="167"/>
      <c r="AKP94" s="168"/>
      <c r="AKQ94" s="167"/>
      <c r="AKR94" s="168"/>
      <c r="AKS94" s="167"/>
      <c r="AKT94" s="168"/>
      <c r="AKU94" s="167"/>
      <c r="AKV94" s="168"/>
      <c r="AKW94" s="167"/>
      <c r="AKX94" s="168"/>
      <c r="AKY94" s="167"/>
      <c r="AKZ94" s="168"/>
      <c r="ALA94" s="167"/>
      <c r="ALB94" s="168"/>
      <c r="ALC94" s="167"/>
      <c r="ALD94" s="168"/>
      <c r="ALE94" s="167"/>
      <c r="ALF94" s="168"/>
      <c r="ALG94" s="167"/>
      <c r="ALH94" s="168"/>
      <c r="ALI94" s="167"/>
      <c r="ALJ94" s="168"/>
      <c r="ALK94" s="167"/>
      <c r="ALL94" s="168"/>
      <c r="ALM94" s="167"/>
      <c r="ALN94" s="168"/>
      <c r="ALO94" s="167"/>
      <c r="ALP94" s="168"/>
      <c r="ALQ94" s="167"/>
      <c r="ALR94" s="168"/>
      <c r="ALS94" s="167"/>
      <c r="ALT94" s="168"/>
      <c r="ALU94" s="167"/>
      <c r="ALV94" s="168"/>
      <c r="ALW94" s="167"/>
      <c r="ALX94" s="168"/>
      <c r="ALY94" s="167"/>
      <c r="ALZ94" s="168"/>
      <c r="AMA94" s="167"/>
      <c r="AMB94" s="168"/>
      <c r="AMC94" s="167"/>
      <c r="AMD94" s="168"/>
      <c r="AME94" s="167"/>
      <c r="AMF94" s="168"/>
      <c r="AMG94" s="167"/>
      <c r="AMH94" s="168"/>
      <c r="AMI94" s="167"/>
      <c r="AMJ94" s="168"/>
      <c r="AMK94" s="167"/>
      <c r="AML94" s="168"/>
      <c r="AMM94" s="167"/>
      <c r="AMN94" s="168"/>
      <c r="AMO94" s="167"/>
      <c r="AMP94" s="168"/>
      <c r="AMQ94" s="167"/>
      <c r="AMR94" s="168"/>
      <c r="AMS94" s="167"/>
      <c r="AMT94" s="168"/>
      <c r="AMU94" s="167"/>
      <c r="AMV94" s="168"/>
      <c r="AMW94" s="167"/>
      <c r="AMX94" s="168"/>
      <c r="AMY94" s="167"/>
      <c r="AMZ94" s="168"/>
      <c r="ANA94" s="167"/>
      <c r="ANB94" s="168"/>
      <c r="ANC94" s="167"/>
      <c r="AND94" s="168"/>
      <c r="ANE94" s="167"/>
      <c r="ANF94" s="168"/>
      <c r="ANG94" s="167"/>
      <c r="ANH94" s="168"/>
      <c r="ANI94" s="167"/>
      <c r="ANJ94" s="168"/>
      <c r="ANK94" s="167"/>
      <c r="ANL94" s="168"/>
      <c r="ANM94" s="167"/>
      <c r="ANN94" s="168"/>
      <c r="ANO94" s="167"/>
      <c r="ANP94" s="168"/>
      <c r="ANQ94" s="167"/>
      <c r="ANR94" s="168"/>
      <c r="ANS94" s="167"/>
      <c r="ANT94" s="168"/>
      <c r="ANU94" s="167"/>
      <c r="ANV94" s="168"/>
      <c r="ANW94" s="167"/>
      <c r="ANX94" s="168"/>
      <c r="ANY94" s="167"/>
      <c r="ANZ94" s="168"/>
      <c r="AOA94" s="167"/>
      <c r="AOB94" s="168"/>
      <c r="AOC94" s="167"/>
      <c r="AOD94" s="168"/>
      <c r="AOE94" s="167"/>
      <c r="AOF94" s="168"/>
      <c r="AOG94" s="167"/>
      <c r="AOH94" s="168"/>
      <c r="AOI94" s="167"/>
      <c r="AOJ94" s="168"/>
      <c r="AOK94" s="167"/>
      <c r="AOL94" s="168"/>
      <c r="AOM94" s="167"/>
      <c r="AON94" s="168"/>
      <c r="AOO94" s="167"/>
      <c r="AOP94" s="168"/>
      <c r="AOQ94" s="167"/>
      <c r="AOR94" s="168"/>
      <c r="AOS94" s="167"/>
      <c r="AOT94" s="168"/>
      <c r="AOU94" s="167"/>
      <c r="AOV94" s="168"/>
      <c r="AOW94" s="167"/>
      <c r="AOX94" s="168"/>
      <c r="AOY94" s="167"/>
      <c r="AOZ94" s="168"/>
      <c r="APA94" s="167"/>
      <c r="APB94" s="168"/>
      <c r="APC94" s="167"/>
      <c r="APD94" s="168"/>
      <c r="APE94" s="167"/>
      <c r="APF94" s="168"/>
      <c r="APG94" s="167"/>
      <c r="APH94" s="168"/>
      <c r="API94" s="167"/>
      <c r="APJ94" s="168"/>
      <c r="APK94" s="167"/>
      <c r="APL94" s="168"/>
      <c r="APM94" s="167"/>
      <c r="APN94" s="168"/>
      <c r="APO94" s="167"/>
      <c r="APP94" s="168"/>
      <c r="APQ94" s="167"/>
      <c r="APR94" s="168"/>
      <c r="APS94" s="167"/>
      <c r="APT94" s="168"/>
      <c r="APU94" s="167"/>
      <c r="APV94" s="168"/>
      <c r="APW94" s="167"/>
      <c r="APX94" s="168"/>
      <c r="APY94" s="167"/>
      <c r="APZ94" s="168"/>
      <c r="AQA94" s="167"/>
      <c r="AQB94" s="168"/>
      <c r="AQC94" s="167"/>
      <c r="AQD94" s="168"/>
      <c r="AQE94" s="167"/>
      <c r="AQF94" s="168"/>
      <c r="AQG94" s="167"/>
      <c r="AQH94" s="168"/>
      <c r="AQI94" s="167"/>
      <c r="AQJ94" s="168"/>
      <c r="AQK94" s="167"/>
      <c r="AQL94" s="168"/>
      <c r="AQM94" s="167"/>
      <c r="AQN94" s="168"/>
      <c r="AQO94" s="167"/>
      <c r="AQP94" s="168"/>
      <c r="AQQ94" s="167"/>
      <c r="AQR94" s="168"/>
      <c r="AQS94" s="167"/>
      <c r="AQT94" s="168"/>
      <c r="AQU94" s="167"/>
      <c r="AQV94" s="168"/>
      <c r="AQW94" s="167"/>
      <c r="AQX94" s="168"/>
      <c r="AQY94" s="167"/>
      <c r="AQZ94" s="168"/>
      <c r="ARA94" s="167"/>
      <c r="ARB94" s="168"/>
      <c r="ARC94" s="167"/>
      <c r="ARD94" s="168"/>
      <c r="ARE94" s="167"/>
      <c r="ARF94" s="168"/>
      <c r="ARG94" s="167"/>
      <c r="ARH94" s="168"/>
      <c r="ARI94" s="167"/>
      <c r="ARJ94" s="168"/>
      <c r="ARK94" s="167"/>
      <c r="ARL94" s="168"/>
      <c r="ARM94" s="167"/>
      <c r="ARN94" s="168"/>
      <c r="ARO94" s="167"/>
      <c r="ARP94" s="168"/>
      <c r="ARQ94" s="167"/>
      <c r="ARR94" s="168"/>
      <c r="ARS94" s="167"/>
      <c r="ART94" s="168"/>
      <c r="ARU94" s="167"/>
      <c r="ARV94" s="168"/>
      <c r="ARW94" s="167"/>
      <c r="ARX94" s="168"/>
      <c r="ARY94" s="167"/>
      <c r="ARZ94" s="168"/>
      <c r="ASA94" s="167"/>
      <c r="ASB94" s="168"/>
      <c r="ASC94" s="167"/>
      <c r="ASD94" s="168"/>
      <c r="ASE94" s="167"/>
      <c r="ASF94" s="168"/>
      <c r="ASG94" s="167"/>
      <c r="ASH94" s="168"/>
      <c r="ASI94" s="167"/>
      <c r="ASJ94" s="168"/>
      <c r="ASK94" s="167"/>
      <c r="ASL94" s="168"/>
      <c r="ASM94" s="167"/>
      <c r="ASN94" s="168"/>
      <c r="ASO94" s="167"/>
      <c r="ASP94" s="168"/>
      <c r="ASQ94" s="167"/>
      <c r="ASR94" s="168"/>
      <c r="ASS94" s="167"/>
      <c r="AST94" s="168"/>
      <c r="ASU94" s="167"/>
      <c r="ASV94" s="168"/>
      <c r="ASW94" s="167"/>
      <c r="ASX94" s="168"/>
      <c r="ASY94" s="167"/>
      <c r="ASZ94" s="168"/>
      <c r="ATA94" s="167"/>
      <c r="ATB94" s="168"/>
      <c r="ATC94" s="167"/>
      <c r="ATD94" s="168"/>
      <c r="ATE94" s="167"/>
      <c r="ATF94" s="168"/>
      <c r="ATG94" s="167"/>
      <c r="ATH94" s="168"/>
      <c r="ATI94" s="167"/>
      <c r="ATJ94" s="168"/>
      <c r="ATK94" s="167"/>
      <c r="ATL94" s="168"/>
      <c r="ATM94" s="167"/>
      <c r="ATN94" s="168"/>
      <c r="ATO94" s="167"/>
      <c r="ATP94" s="168"/>
      <c r="ATQ94" s="167"/>
      <c r="ATR94" s="168"/>
      <c r="ATS94" s="167"/>
      <c r="ATT94" s="168"/>
      <c r="ATU94" s="167"/>
      <c r="ATV94" s="168"/>
      <c r="ATW94" s="167"/>
      <c r="ATX94" s="168"/>
      <c r="ATY94" s="167"/>
      <c r="ATZ94" s="168"/>
      <c r="AUA94" s="167"/>
      <c r="AUB94" s="168"/>
      <c r="AUC94" s="167"/>
      <c r="AUD94" s="168"/>
      <c r="AUE94" s="167"/>
      <c r="AUF94" s="168"/>
      <c r="AUG94" s="167"/>
      <c r="AUH94" s="168"/>
      <c r="AUI94" s="167"/>
      <c r="AUJ94" s="168"/>
      <c r="AUK94" s="167"/>
      <c r="AUL94" s="168"/>
      <c r="AUM94" s="167"/>
      <c r="AUN94" s="168"/>
      <c r="AUO94" s="167"/>
      <c r="AUP94" s="168"/>
      <c r="AUQ94" s="167"/>
      <c r="AUR94" s="168"/>
      <c r="AUS94" s="167"/>
      <c r="AUT94" s="168"/>
      <c r="AUU94" s="167"/>
      <c r="AUV94" s="168"/>
      <c r="AUW94" s="167"/>
      <c r="AUX94" s="168"/>
      <c r="AUY94" s="167"/>
      <c r="AUZ94" s="168"/>
      <c r="AVA94" s="167"/>
      <c r="AVB94" s="168"/>
      <c r="AVC94" s="167"/>
      <c r="AVD94" s="168"/>
      <c r="AVE94" s="167"/>
      <c r="AVF94" s="168"/>
      <c r="AVG94" s="167"/>
      <c r="AVH94" s="168"/>
      <c r="AVI94" s="167"/>
      <c r="AVJ94" s="168"/>
      <c r="AVK94" s="167"/>
      <c r="AVL94" s="168"/>
      <c r="AVM94" s="167"/>
      <c r="AVN94" s="168"/>
      <c r="AVO94" s="167"/>
      <c r="AVP94" s="168"/>
      <c r="AVQ94" s="167"/>
      <c r="AVR94" s="168"/>
      <c r="AVS94" s="167"/>
      <c r="AVT94" s="168"/>
      <c r="AVU94" s="167"/>
      <c r="AVV94" s="168"/>
      <c r="AVW94" s="167"/>
      <c r="AVX94" s="168"/>
      <c r="AVY94" s="167"/>
      <c r="AVZ94" s="168"/>
      <c r="AWA94" s="167"/>
      <c r="AWB94" s="168"/>
      <c r="AWC94" s="167"/>
      <c r="AWD94" s="168"/>
      <c r="AWE94" s="167"/>
      <c r="AWF94" s="168"/>
      <c r="AWG94" s="167"/>
      <c r="AWH94" s="168"/>
      <c r="AWI94" s="167"/>
      <c r="AWJ94" s="168"/>
      <c r="AWK94" s="167"/>
      <c r="AWL94" s="168"/>
      <c r="AWM94" s="167"/>
      <c r="AWN94" s="168"/>
      <c r="AWO94" s="167"/>
      <c r="AWP94" s="168"/>
      <c r="AWQ94" s="167"/>
      <c r="AWR94" s="168"/>
      <c r="AWS94" s="167"/>
      <c r="AWT94" s="168"/>
      <c r="AWU94" s="167"/>
      <c r="AWV94" s="168"/>
      <c r="AWW94" s="167"/>
      <c r="AWX94" s="168"/>
      <c r="AWY94" s="167"/>
      <c r="AWZ94" s="168"/>
      <c r="AXA94" s="167"/>
      <c r="AXB94" s="168"/>
      <c r="AXC94" s="167"/>
      <c r="AXD94" s="168"/>
      <c r="AXE94" s="167"/>
      <c r="AXF94" s="168"/>
      <c r="AXG94" s="167"/>
      <c r="AXH94" s="168"/>
      <c r="AXI94" s="167"/>
      <c r="AXJ94" s="168"/>
      <c r="AXK94" s="167"/>
      <c r="AXL94" s="168"/>
      <c r="AXM94" s="167"/>
      <c r="AXN94" s="168"/>
      <c r="AXO94" s="167"/>
      <c r="AXP94" s="168"/>
      <c r="AXQ94" s="167"/>
      <c r="AXR94" s="168"/>
      <c r="AXS94" s="167"/>
      <c r="AXT94" s="168"/>
      <c r="AXU94" s="167"/>
      <c r="AXV94" s="168"/>
      <c r="AXW94" s="167"/>
      <c r="AXX94" s="168"/>
      <c r="AXY94" s="167"/>
      <c r="AXZ94" s="168"/>
      <c r="AYA94" s="167"/>
      <c r="AYB94" s="168"/>
      <c r="AYC94" s="167"/>
      <c r="AYD94" s="168"/>
      <c r="AYE94" s="167"/>
      <c r="AYF94" s="168"/>
      <c r="AYG94" s="167"/>
      <c r="AYH94" s="168"/>
      <c r="AYI94" s="167"/>
      <c r="AYJ94" s="168"/>
      <c r="AYK94" s="167"/>
      <c r="AYL94" s="168"/>
      <c r="AYM94" s="167"/>
      <c r="AYN94" s="168"/>
      <c r="AYO94" s="167"/>
      <c r="AYP94" s="168"/>
      <c r="AYQ94" s="167"/>
      <c r="AYR94" s="168"/>
      <c r="AYS94" s="167"/>
      <c r="AYT94" s="168"/>
      <c r="AYU94" s="167"/>
      <c r="AYV94" s="168"/>
      <c r="AYW94" s="167"/>
      <c r="AYX94" s="168"/>
      <c r="AYY94" s="167"/>
      <c r="AYZ94" s="168"/>
      <c r="AZA94" s="167"/>
      <c r="AZB94" s="168"/>
      <c r="AZC94" s="167"/>
      <c r="AZD94" s="168"/>
      <c r="AZE94" s="167"/>
      <c r="AZF94" s="168"/>
      <c r="AZG94" s="167"/>
      <c r="AZH94" s="168"/>
      <c r="AZI94" s="167"/>
      <c r="AZJ94" s="168"/>
      <c r="AZK94" s="167"/>
      <c r="AZL94" s="168"/>
      <c r="AZM94" s="167"/>
      <c r="AZN94" s="168"/>
      <c r="AZO94" s="167"/>
      <c r="AZP94" s="168"/>
      <c r="AZQ94" s="167"/>
      <c r="AZR94" s="168"/>
      <c r="AZS94" s="167"/>
      <c r="AZT94" s="168"/>
      <c r="AZU94" s="167"/>
      <c r="AZV94" s="168"/>
      <c r="AZW94" s="167"/>
      <c r="AZX94" s="168"/>
      <c r="AZY94" s="167"/>
      <c r="AZZ94" s="168"/>
      <c r="BAA94" s="167"/>
      <c r="BAB94" s="168"/>
      <c r="BAC94" s="167"/>
      <c r="BAD94" s="168"/>
      <c r="BAE94" s="167"/>
      <c r="BAF94" s="168"/>
      <c r="BAG94" s="167"/>
      <c r="BAH94" s="168"/>
      <c r="BAI94" s="167"/>
      <c r="BAJ94" s="168"/>
      <c r="BAK94" s="167"/>
      <c r="BAL94" s="168"/>
      <c r="BAM94" s="167"/>
      <c r="BAN94" s="168"/>
      <c r="BAO94" s="167"/>
      <c r="BAP94" s="168"/>
      <c r="BAQ94" s="167"/>
      <c r="BAR94" s="168"/>
      <c r="BAS94" s="167"/>
      <c r="BAT94" s="168"/>
      <c r="BAU94" s="167"/>
      <c r="BAV94" s="168"/>
      <c r="BAW94" s="167"/>
      <c r="BAX94" s="168"/>
      <c r="BAY94" s="167"/>
      <c r="BAZ94" s="168"/>
      <c r="BBA94" s="167"/>
      <c r="BBB94" s="168"/>
      <c r="BBC94" s="167"/>
      <c r="BBD94" s="168"/>
      <c r="BBE94" s="167"/>
      <c r="BBF94" s="168"/>
      <c r="BBG94" s="167"/>
      <c r="BBH94" s="168"/>
      <c r="BBI94" s="167"/>
      <c r="BBJ94" s="168"/>
      <c r="BBK94" s="167"/>
      <c r="BBL94" s="168"/>
      <c r="BBM94" s="167"/>
      <c r="BBN94" s="168"/>
      <c r="BBO94" s="167"/>
      <c r="BBP94" s="168"/>
      <c r="BBQ94" s="167"/>
      <c r="BBR94" s="168"/>
      <c r="BBS94" s="167"/>
      <c r="BBT94" s="168"/>
      <c r="BBU94" s="167"/>
      <c r="BBV94" s="168"/>
      <c r="BBW94" s="167"/>
      <c r="BBX94" s="168"/>
      <c r="BBY94" s="167"/>
      <c r="BBZ94" s="168"/>
      <c r="BCA94" s="167"/>
      <c r="BCB94" s="168"/>
      <c r="BCC94" s="167"/>
      <c r="BCD94" s="168"/>
      <c r="BCE94" s="167"/>
      <c r="BCF94" s="168"/>
      <c r="BCG94" s="167"/>
      <c r="BCH94" s="168"/>
      <c r="BCI94" s="167"/>
      <c r="BCJ94" s="168"/>
      <c r="BCK94" s="167"/>
      <c r="BCL94" s="168"/>
      <c r="BCM94" s="167"/>
      <c r="BCN94" s="168"/>
      <c r="BCO94" s="167"/>
      <c r="BCP94" s="168"/>
      <c r="BCQ94" s="167"/>
      <c r="BCR94" s="168"/>
      <c r="BCS94" s="167"/>
      <c r="BCT94" s="168"/>
      <c r="BCU94" s="167"/>
      <c r="BCV94" s="168"/>
      <c r="BCW94" s="167"/>
      <c r="BCX94" s="168"/>
      <c r="BCY94" s="167"/>
      <c r="BCZ94" s="168"/>
      <c r="BDA94" s="167"/>
      <c r="BDB94" s="168"/>
      <c r="BDC94" s="167"/>
      <c r="BDD94" s="168"/>
      <c r="BDE94" s="167"/>
      <c r="BDF94" s="168"/>
      <c r="BDG94" s="167"/>
      <c r="BDH94" s="168"/>
      <c r="BDI94" s="167"/>
      <c r="BDJ94" s="168"/>
      <c r="BDK94" s="167"/>
      <c r="BDL94" s="168"/>
      <c r="BDM94" s="167"/>
      <c r="BDN94" s="168"/>
      <c r="BDO94" s="167"/>
      <c r="BDP94" s="168"/>
      <c r="BDQ94" s="167"/>
      <c r="BDR94" s="168"/>
      <c r="BDS94" s="167"/>
      <c r="BDT94" s="168"/>
      <c r="BDU94" s="167"/>
      <c r="BDV94" s="168"/>
      <c r="BDW94" s="167"/>
      <c r="BDX94" s="168"/>
      <c r="BDY94" s="167"/>
      <c r="BDZ94" s="168"/>
      <c r="BEA94" s="167"/>
      <c r="BEB94" s="168"/>
      <c r="BEC94" s="167"/>
      <c r="BED94" s="168"/>
      <c r="BEE94" s="167"/>
      <c r="BEF94" s="168"/>
      <c r="BEG94" s="167"/>
      <c r="BEH94" s="168"/>
      <c r="BEI94" s="167"/>
      <c r="BEJ94" s="168"/>
      <c r="BEK94" s="167"/>
      <c r="BEL94" s="168"/>
      <c r="BEM94" s="167"/>
      <c r="BEN94" s="168"/>
      <c r="BEO94" s="167"/>
      <c r="BEP94" s="168"/>
      <c r="BEQ94" s="167"/>
      <c r="BER94" s="168"/>
      <c r="BES94" s="167"/>
      <c r="BET94" s="168"/>
      <c r="BEU94" s="167"/>
      <c r="BEV94" s="168"/>
      <c r="BEW94" s="167"/>
      <c r="BEX94" s="168"/>
      <c r="BEY94" s="167"/>
      <c r="BEZ94" s="168"/>
      <c r="BFA94" s="167"/>
      <c r="BFB94" s="168"/>
      <c r="BFC94" s="167"/>
      <c r="BFD94" s="168"/>
      <c r="BFE94" s="167"/>
      <c r="BFF94" s="168"/>
      <c r="BFG94" s="167"/>
      <c r="BFH94" s="168"/>
      <c r="BFI94" s="167"/>
      <c r="BFJ94" s="168"/>
      <c r="BFK94" s="167"/>
      <c r="BFL94" s="168"/>
      <c r="BFM94" s="167"/>
      <c r="BFN94" s="168"/>
      <c r="BFO94" s="167"/>
      <c r="BFP94" s="168"/>
      <c r="BFQ94" s="167"/>
      <c r="BFR94" s="168"/>
      <c r="BFS94" s="167"/>
      <c r="BFT94" s="168"/>
      <c r="BFU94" s="167"/>
      <c r="BFV94" s="168"/>
      <c r="BFW94" s="167"/>
      <c r="BFX94" s="168"/>
      <c r="BFY94" s="167"/>
      <c r="BFZ94" s="168"/>
      <c r="BGA94" s="167"/>
      <c r="BGB94" s="168"/>
      <c r="BGC94" s="167"/>
      <c r="BGD94" s="168"/>
      <c r="BGE94" s="167"/>
      <c r="BGF94" s="168"/>
      <c r="BGG94" s="167"/>
      <c r="BGH94" s="168"/>
      <c r="BGI94" s="167"/>
      <c r="BGJ94" s="168"/>
      <c r="BGK94" s="167"/>
      <c r="BGL94" s="168"/>
      <c r="BGM94" s="167"/>
      <c r="BGN94" s="168"/>
      <c r="BGO94" s="167"/>
      <c r="BGP94" s="168"/>
      <c r="BGQ94" s="167"/>
      <c r="BGR94" s="168"/>
      <c r="BGS94" s="167"/>
      <c r="BGT94" s="168"/>
      <c r="BGU94" s="167"/>
      <c r="BGV94" s="168"/>
      <c r="BGW94" s="167"/>
      <c r="BGX94" s="168"/>
      <c r="BGY94" s="167"/>
      <c r="BGZ94" s="168"/>
      <c r="BHA94" s="167"/>
      <c r="BHB94" s="168"/>
      <c r="BHC94" s="167"/>
      <c r="BHD94" s="168"/>
      <c r="BHE94" s="167"/>
      <c r="BHF94" s="168"/>
      <c r="BHG94" s="167"/>
      <c r="BHH94" s="168"/>
      <c r="BHI94" s="167"/>
      <c r="BHJ94" s="168"/>
      <c r="BHK94" s="167"/>
      <c r="BHL94" s="168"/>
      <c r="BHM94" s="167"/>
      <c r="BHN94" s="168"/>
      <c r="BHO94" s="167"/>
      <c r="BHP94" s="168"/>
      <c r="BHQ94" s="167"/>
      <c r="BHR94" s="168"/>
      <c r="BHS94" s="167"/>
      <c r="BHT94" s="168"/>
      <c r="BHU94" s="167"/>
      <c r="BHV94" s="168"/>
      <c r="BHW94" s="167"/>
      <c r="BHX94" s="168"/>
      <c r="BHY94" s="167"/>
      <c r="BHZ94" s="168"/>
      <c r="BIA94" s="167"/>
      <c r="BIB94" s="168"/>
      <c r="BIC94" s="167"/>
      <c r="BID94" s="168"/>
      <c r="BIE94" s="167"/>
      <c r="BIF94" s="168"/>
      <c r="BIG94" s="167"/>
      <c r="BIH94" s="168"/>
      <c r="BII94" s="167"/>
      <c r="BIJ94" s="168"/>
      <c r="BIK94" s="167"/>
      <c r="BIL94" s="168"/>
      <c r="BIM94" s="167"/>
      <c r="BIN94" s="168"/>
      <c r="BIO94" s="167"/>
      <c r="BIP94" s="168"/>
      <c r="BIQ94" s="167"/>
      <c r="BIR94" s="168"/>
      <c r="BIS94" s="167"/>
      <c r="BIT94" s="168"/>
      <c r="BIU94" s="167"/>
      <c r="BIV94" s="168"/>
      <c r="BIW94" s="167"/>
      <c r="BIX94" s="168"/>
      <c r="BIY94" s="167"/>
      <c r="BIZ94" s="168"/>
      <c r="BJA94" s="167"/>
      <c r="BJB94" s="168"/>
      <c r="BJC94" s="167"/>
      <c r="BJD94" s="168"/>
      <c r="BJE94" s="167"/>
      <c r="BJF94" s="168"/>
      <c r="BJG94" s="167"/>
      <c r="BJH94" s="168"/>
      <c r="BJI94" s="167"/>
      <c r="BJJ94" s="168"/>
      <c r="BJK94" s="167"/>
      <c r="BJL94" s="168"/>
      <c r="BJM94" s="167"/>
      <c r="BJN94" s="168"/>
      <c r="BJO94" s="167"/>
      <c r="BJP94" s="168"/>
      <c r="BJQ94" s="167"/>
      <c r="BJR94" s="168"/>
      <c r="BJS94" s="167"/>
      <c r="BJT94" s="168"/>
      <c r="BJU94" s="167"/>
      <c r="BJV94" s="168"/>
      <c r="BJW94" s="167"/>
      <c r="BJX94" s="168"/>
      <c r="BJY94" s="167"/>
      <c r="BJZ94" s="168"/>
      <c r="BKA94" s="167"/>
      <c r="BKB94" s="168"/>
      <c r="BKC94" s="167"/>
      <c r="BKD94" s="168"/>
      <c r="BKE94" s="167"/>
      <c r="BKF94" s="168"/>
      <c r="BKG94" s="167"/>
      <c r="BKH94" s="168"/>
      <c r="BKI94" s="167"/>
      <c r="BKJ94" s="168"/>
      <c r="BKK94" s="167"/>
      <c r="BKL94" s="168"/>
      <c r="BKM94" s="167"/>
      <c r="BKN94" s="168"/>
      <c r="BKO94" s="167"/>
      <c r="BKP94" s="168"/>
      <c r="BKQ94" s="167"/>
      <c r="BKR94" s="168"/>
      <c r="BKS94" s="167"/>
      <c r="BKT94" s="168"/>
      <c r="BKU94" s="167"/>
      <c r="BKV94" s="168"/>
      <c r="BKW94" s="167"/>
      <c r="BKX94" s="168"/>
      <c r="BKY94" s="167"/>
      <c r="BKZ94" s="168"/>
      <c r="BLA94" s="167"/>
      <c r="BLB94" s="168"/>
      <c r="BLC94" s="167"/>
      <c r="BLD94" s="168"/>
      <c r="BLE94" s="167"/>
      <c r="BLF94" s="168"/>
      <c r="BLG94" s="167"/>
      <c r="BLH94" s="168"/>
      <c r="BLI94" s="167"/>
      <c r="BLJ94" s="168"/>
      <c r="BLK94" s="167"/>
      <c r="BLL94" s="168"/>
      <c r="BLM94" s="167"/>
      <c r="BLN94" s="168"/>
      <c r="BLO94" s="167"/>
      <c r="BLP94" s="168"/>
      <c r="BLQ94" s="167"/>
      <c r="BLR94" s="168"/>
      <c r="BLS94" s="167"/>
      <c r="BLT94" s="168"/>
      <c r="BLU94" s="167"/>
      <c r="BLV94" s="168"/>
      <c r="BLW94" s="167"/>
      <c r="BLX94" s="168"/>
      <c r="BLY94" s="167"/>
      <c r="BLZ94" s="168"/>
      <c r="BMA94" s="167"/>
      <c r="BMB94" s="168"/>
      <c r="BMC94" s="167"/>
      <c r="BMD94" s="168"/>
      <c r="BME94" s="167"/>
      <c r="BMF94" s="168"/>
      <c r="BMG94" s="167"/>
      <c r="BMH94" s="168"/>
      <c r="BMI94" s="167"/>
      <c r="BMJ94" s="168"/>
      <c r="BMK94" s="167"/>
      <c r="BML94" s="168"/>
      <c r="BMM94" s="167"/>
      <c r="BMN94" s="168"/>
      <c r="BMO94" s="167"/>
      <c r="BMP94" s="168"/>
      <c r="BMQ94" s="167"/>
      <c r="BMR94" s="168"/>
      <c r="BMS94" s="167"/>
      <c r="BMT94" s="168"/>
      <c r="BMU94" s="167"/>
      <c r="BMV94" s="168"/>
      <c r="BMW94" s="167"/>
      <c r="BMX94" s="168"/>
      <c r="BMY94" s="167"/>
      <c r="BMZ94" s="168"/>
      <c r="BNA94" s="167"/>
      <c r="BNB94" s="168"/>
      <c r="BNC94" s="167"/>
      <c r="BND94" s="168"/>
      <c r="BNE94" s="167"/>
      <c r="BNF94" s="168"/>
      <c r="BNG94" s="167"/>
      <c r="BNH94" s="168"/>
      <c r="BNI94" s="167"/>
      <c r="BNJ94" s="168"/>
      <c r="BNK94" s="167"/>
      <c r="BNL94" s="168"/>
      <c r="BNM94" s="167"/>
      <c r="BNN94" s="168"/>
      <c r="BNO94" s="167"/>
      <c r="BNP94" s="168"/>
      <c r="BNQ94" s="167"/>
      <c r="BNR94" s="168"/>
      <c r="BNS94" s="167"/>
      <c r="BNT94" s="168"/>
      <c r="BNU94" s="167"/>
      <c r="BNV94" s="168"/>
      <c r="BNW94" s="167"/>
      <c r="BNX94" s="168"/>
      <c r="BNY94" s="167"/>
      <c r="BNZ94" s="168"/>
      <c r="BOA94" s="167"/>
      <c r="BOB94" s="168"/>
      <c r="BOC94" s="167"/>
      <c r="BOD94" s="168"/>
      <c r="BOE94" s="167"/>
      <c r="BOF94" s="168"/>
      <c r="BOG94" s="167"/>
      <c r="BOH94" s="168"/>
      <c r="BOI94" s="167"/>
      <c r="BOJ94" s="168"/>
      <c r="BOK94" s="167"/>
      <c r="BOL94" s="168"/>
      <c r="BOM94" s="167"/>
      <c r="BON94" s="168"/>
      <c r="BOO94" s="167"/>
      <c r="BOP94" s="168"/>
      <c r="BOQ94" s="167"/>
      <c r="BOR94" s="168"/>
      <c r="BOS94" s="167"/>
      <c r="BOT94" s="168"/>
      <c r="BOU94" s="167"/>
      <c r="BOV94" s="168"/>
      <c r="BOW94" s="167"/>
      <c r="BOX94" s="168"/>
      <c r="BOY94" s="167"/>
      <c r="BOZ94" s="168"/>
      <c r="BPA94" s="167"/>
      <c r="BPB94" s="168"/>
      <c r="BPC94" s="167"/>
      <c r="BPD94" s="168"/>
      <c r="BPE94" s="167"/>
      <c r="BPF94" s="168"/>
      <c r="BPG94" s="167"/>
      <c r="BPH94" s="168"/>
      <c r="BPI94" s="167"/>
      <c r="BPJ94" s="168"/>
      <c r="BPK94" s="167"/>
      <c r="BPL94" s="168"/>
      <c r="BPM94" s="167"/>
      <c r="BPN94" s="168"/>
      <c r="BPO94" s="167"/>
      <c r="BPP94" s="168"/>
      <c r="BPQ94" s="167"/>
      <c r="BPR94" s="168"/>
      <c r="BPS94" s="167"/>
      <c r="BPT94" s="168"/>
      <c r="BPU94" s="167"/>
      <c r="BPV94" s="168"/>
      <c r="BPW94" s="167"/>
      <c r="BPX94" s="168"/>
      <c r="BPY94" s="167"/>
      <c r="BPZ94" s="168"/>
      <c r="BQA94" s="167"/>
      <c r="BQB94" s="168"/>
      <c r="BQC94" s="167"/>
      <c r="BQD94" s="168"/>
      <c r="BQE94" s="167"/>
      <c r="BQF94" s="168"/>
      <c r="BQG94" s="167"/>
      <c r="BQH94" s="168"/>
      <c r="BQI94" s="167"/>
      <c r="BQJ94" s="168"/>
      <c r="BQK94" s="167"/>
      <c r="BQL94" s="168"/>
      <c r="BQM94" s="167"/>
      <c r="BQN94" s="168"/>
      <c r="BQO94" s="167"/>
      <c r="BQP94" s="168"/>
      <c r="BQQ94" s="167"/>
      <c r="BQR94" s="168"/>
      <c r="BQS94" s="167"/>
      <c r="BQT94" s="168"/>
      <c r="BQU94" s="167"/>
      <c r="BQV94" s="168"/>
      <c r="BQW94" s="167"/>
      <c r="BQX94" s="168"/>
      <c r="BQY94" s="167"/>
      <c r="BQZ94" s="168"/>
      <c r="BRA94" s="167"/>
      <c r="BRB94" s="168"/>
      <c r="BRC94" s="167"/>
      <c r="BRD94" s="168"/>
      <c r="BRE94" s="167"/>
      <c r="BRF94" s="168"/>
      <c r="BRG94" s="167"/>
      <c r="BRH94" s="168"/>
      <c r="BRI94" s="167"/>
      <c r="BRJ94" s="168"/>
      <c r="BRK94" s="167"/>
      <c r="BRL94" s="168"/>
      <c r="BRM94" s="167"/>
      <c r="BRN94" s="168"/>
      <c r="BRO94" s="167"/>
      <c r="BRP94" s="168"/>
      <c r="BRQ94" s="167"/>
      <c r="BRR94" s="168"/>
      <c r="BRS94" s="167"/>
      <c r="BRT94" s="168"/>
      <c r="BRU94" s="167"/>
      <c r="BRV94" s="168"/>
      <c r="BRW94" s="167"/>
      <c r="BRX94" s="168"/>
      <c r="BRY94" s="167"/>
      <c r="BRZ94" s="168"/>
      <c r="BSA94" s="167"/>
      <c r="BSB94" s="168"/>
      <c r="BSC94" s="167"/>
      <c r="BSD94" s="168"/>
      <c r="BSE94" s="167"/>
      <c r="BSF94" s="168"/>
      <c r="BSG94" s="167"/>
      <c r="BSH94" s="168"/>
      <c r="BSI94" s="167"/>
      <c r="BSJ94" s="168"/>
      <c r="BSK94" s="167"/>
      <c r="BSL94" s="168"/>
      <c r="BSM94" s="167"/>
      <c r="BSN94" s="168"/>
      <c r="BSO94" s="167"/>
      <c r="BSP94" s="168"/>
      <c r="BSQ94" s="167"/>
      <c r="BSR94" s="168"/>
      <c r="BSS94" s="167"/>
      <c r="BST94" s="168"/>
      <c r="BSU94" s="167"/>
      <c r="BSV94" s="168"/>
      <c r="BSW94" s="167"/>
      <c r="BSX94" s="168"/>
      <c r="BSY94" s="167"/>
      <c r="BSZ94" s="168"/>
      <c r="BTA94" s="167"/>
      <c r="BTB94" s="168"/>
      <c r="BTC94" s="167"/>
      <c r="BTD94" s="168"/>
      <c r="BTE94" s="167"/>
      <c r="BTF94" s="168"/>
      <c r="BTG94" s="167"/>
      <c r="BTH94" s="168"/>
      <c r="BTI94" s="167"/>
      <c r="BTJ94" s="168"/>
      <c r="BTK94" s="167"/>
      <c r="BTL94" s="168"/>
      <c r="BTM94" s="167"/>
      <c r="BTN94" s="168"/>
      <c r="BTO94" s="167"/>
      <c r="BTP94" s="168"/>
      <c r="BTQ94" s="167"/>
      <c r="BTR94" s="168"/>
      <c r="BTS94" s="167"/>
      <c r="BTT94" s="168"/>
      <c r="BTU94" s="167"/>
      <c r="BTV94" s="168"/>
      <c r="BTW94" s="167"/>
      <c r="BTX94" s="168"/>
      <c r="BTY94" s="167"/>
      <c r="BTZ94" s="168"/>
      <c r="BUA94" s="167"/>
      <c r="BUB94" s="168"/>
      <c r="BUC94" s="167"/>
      <c r="BUD94" s="168"/>
      <c r="BUE94" s="167"/>
      <c r="BUF94" s="168"/>
      <c r="BUG94" s="167"/>
      <c r="BUH94" s="168"/>
      <c r="BUI94" s="167"/>
      <c r="BUJ94" s="168"/>
      <c r="BUK94" s="167"/>
      <c r="BUL94" s="168"/>
      <c r="BUM94" s="167"/>
      <c r="BUN94" s="168"/>
      <c r="BUO94" s="167"/>
      <c r="BUP94" s="168"/>
      <c r="BUQ94" s="167"/>
      <c r="BUR94" s="168"/>
      <c r="BUS94" s="167"/>
      <c r="BUT94" s="168"/>
      <c r="BUU94" s="167"/>
      <c r="BUV94" s="168"/>
      <c r="BUW94" s="167"/>
      <c r="BUX94" s="168"/>
      <c r="BUY94" s="167"/>
      <c r="BUZ94" s="168"/>
      <c r="BVA94" s="167"/>
      <c r="BVB94" s="168"/>
      <c r="BVC94" s="167"/>
      <c r="BVD94" s="168"/>
      <c r="BVE94" s="167"/>
      <c r="BVF94" s="168"/>
      <c r="BVG94" s="167"/>
      <c r="BVH94" s="168"/>
      <c r="BVI94" s="167"/>
      <c r="BVJ94" s="168"/>
      <c r="BVK94" s="167"/>
      <c r="BVL94" s="168"/>
      <c r="BVM94" s="167"/>
      <c r="BVN94" s="168"/>
      <c r="BVO94" s="167"/>
      <c r="BVP94" s="168"/>
      <c r="BVQ94" s="167"/>
      <c r="BVR94" s="168"/>
      <c r="BVS94" s="167"/>
      <c r="BVT94" s="168"/>
      <c r="BVU94" s="167"/>
      <c r="BVV94" s="168"/>
      <c r="BVW94" s="167"/>
      <c r="BVX94" s="168"/>
      <c r="BVY94" s="167"/>
      <c r="BVZ94" s="168"/>
      <c r="BWA94" s="167"/>
      <c r="BWB94" s="168"/>
      <c r="BWC94" s="167"/>
      <c r="BWD94" s="168"/>
      <c r="BWE94" s="167"/>
      <c r="BWF94" s="168"/>
      <c r="BWG94" s="167"/>
      <c r="BWH94" s="168"/>
      <c r="BWI94" s="167"/>
      <c r="BWJ94" s="168"/>
      <c r="BWK94" s="167"/>
      <c r="BWL94" s="168"/>
      <c r="BWM94" s="167"/>
      <c r="BWN94" s="168"/>
      <c r="BWO94" s="167"/>
      <c r="BWP94" s="168"/>
      <c r="BWQ94" s="167"/>
      <c r="BWR94" s="168"/>
      <c r="BWS94" s="167"/>
      <c r="BWT94" s="168"/>
      <c r="BWU94" s="167"/>
      <c r="BWV94" s="168"/>
      <c r="BWW94" s="167"/>
      <c r="BWX94" s="168"/>
      <c r="BWY94" s="167"/>
      <c r="BWZ94" s="168"/>
      <c r="BXA94" s="167"/>
      <c r="BXB94" s="168"/>
      <c r="BXC94" s="167"/>
      <c r="BXD94" s="168"/>
      <c r="BXE94" s="167"/>
      <c r="BXF94" s="168"/>
      <c r="BXG94" s="167"/>
      <c r="BXH94" s="168"/>
      <c r="BXI94" s="167"/>
      <c r="BXJ94" s="168"/>
      <c r="BXK94" s="167"/>
      <c r="BXL94" s="168"/>
      <c r="BXM94" s="167"/>
      <c r="BXN94" s="168"/>
      <c r="BXO94" s="167"/>
      <c r="BXP94" s="168"/>
      <c r="BXQ94" s="167"/>
      <c r="BXR94" s="168"/>
      <c r="BXS94" s="167"/>
      <c r="BXT94" s="168"/>
      <c r="BXU94" s="167"/>
      <c r="BXV94" s="168"/>
      <c r="BXW94" s="167"/>
      <c r="BXX94" s="168"/>
      <c r="BXY94" s="167"/>
      <c r="BXZ94" s="168"/>
      <c r="BYA94" s="167"/>
      <c r="BYB94" s="168"/>
      <c r="BYC94" s="167"/>
      <c r="BYD94" s="168"/>
      <c r="BYE94" s="167"/>
      <c r="BYF94" s="168"/>
      <c r="BYG94" s="167"/>
      <c r="BYH94" s="168"/>
      <c r="BYI94" s="167"/>
      <c r="BYJ94" s="168"/>
      <c r="BYK94" s="167"/>
      <c r="BYL94" s="168"/>
      <c r="BYM94" s="167"/>
      <c r="BYN94" s="168"/>
      <c r="BYO94" s="167"/>
      <c r="BYP94" s="168"/>
      <c r="BYQ94" s="167"/>
      <c r="BYR94" s="168"/>
      <c r="BYS94" s="167"/>
      <c r="BYT94" s="168"/>
      <c r="BYU94" s="167"/>
      <c r="BYV94" s="168"/>
      <c r="BYW94" s="167"/>
      <c r="BYX94" s="168"/>
      <c r="BYY94" s="167"/>
      <c r="BYZ94" s="168"/>
      <c r="BZA94" s="167"/>
      <c r="BZB94" s="168"/>
      <c r="BZC94" s="167"/>
      <c r="BZD94" s="168"/>
      <c r="BZE94" s="167"/>
      <c r="BZF94" s="168"/>
      <c r="BZG94" s="167"/>
      <c r="BZH94" s="168"/>
      <c r="BZI94" s="167"/>
      <c r="BZJ94" s="168"/>
      <c r="BZK94" s="167"/>
      <c r="BZL94" s="168"/>
      <c r="BZM94" s="167"/>
      <c r="BZN94" s="168"/>
      <c r="BZO94" s="167"/>
      <c r="BZP94" s="168"/>
      <c r="BZQ94" s="167"/>
      <c r="BZR94" s="168"/>
      <c r="BZS94" s="167"/>
      <c r="BZT94" s="168"/>
      <c r="BZU94" s="167"/>
      <c r="BZV94" s="168"/>
      <c r="BZW94" s="167"/>
      <c r="BZX94" s="168"/>
      <c r="BZY94" s="167"/>
      <c r="BZZ94" s="168"/>
      <c r="CAA94" s="167"/>
      <c r="CAB94" s="168"/>
      <c r="CAC94" s="167"/>
      <c r="CAD94" s="168"/>
      <c r="CAE94" s="167"/>
      <c r="CAF94" s="168"/>
      <c r="CAG94" s="167"/>
      <c r="CAH94" s="168"/>
      <c r="CAI94" s="167"/>
      <c r="CAJ94" s="168"/>
      <c r="CAK94" s="167"/>
      <c r="CAL94" s="168"/>
      <c r="CAM94" s="167"/>
      <c r="CAN94" s="168"/>
      <c r="CAO94" s="167"/>
      <c r="CAP94" s="168"/>
      <c r="CAQ94" s="167"/>
      <c r="CAR94" s="168"/>
      <c r="CAS94" s="167"/>
      <c r="CAT94" s="168"/>
      <c r="CAU94" s="167"/>
      <c r="CAV94" s="168"/>
      <c r="CAW94" s="167"/>
      <c r="CAX94" s="168"/>
      <c r="CAY94" s="167"/>
      <c r="CAZ94" s="168"/>
      <c r="CBA94" s="167"/>
      <c r="CBB94" s="168"/>
      <c r="CBC94" s="167"/>
      <c r="CBD94" s="168"/>
      <c r="CBE94" s="167"/>
      <c r="CBF94" s="168"/>
      <c r="CBG94" s="167"/>
      <c r="CBH94" s="168"/>
      <c r="CBI94" s="167"/>
      <c r="CBJ94" s="168"/>
      <c r="CBK94" s="167"/>
      <c r="CBL94" s="168"/>
      <c r="CBM94" s="167"/>
      <c r="CBN94" s="168"/>
      <c r="CBO94" s="167"/>
      <c r="CBP94" s="168"/>
      <c r="CBQ94" s="167"/>
      <c r="CBR94" s="168"/>
      <c r="CBS94" s="167"/>
      <c r="CBT94" s="168"/>
      <c r="CBU94" s="167"/>
      <c r="CBV94" s="168"/>
      <c r="CBW94" s="167"/>
      <c r="CBX94" s="168"/>
      <c r="CBY94" s="167"/>
      <c r="CBZ94" s="168"/>
      <c r="CCA94" s="167"/>
      <c r="CCB94" s="168"/>
      <c r="CCC94" s="167"/>
      <c r="CCD94" s="168"/>
      <c r="CCE94" s="167"/>
      <c r="CCF94" s="168"/>
      <c r="CCG94" s="167"/>
      <c r="CCH94" s="168"/>
      <c r="CCI94" s="167"/>
      <c r="CCJ94" s="168"/>
      <c r="CCK94" s="167"/>
      <c r="CCL94" s="168"/>
      <c r="CCM94" s="167"/>
      <c r="CCN94" s="168"/>
      <c r="CCO94" s="167"/>
      <c r="CCP94" s="168"/>
      <c r="CCQ94" s="167"/>
      <c r="CCR94" s="168"/>
      <c r="CCS94" s="167"/>
      <c r="CCT94" s="168"/>
      <c r="CCU94" s="167"/>
      <c r="CCV94" s="168"/>
      <c r="CCW94" s="167"/>
      <c r="CCX94" s="168"/>
      <c r="CCY94" s="167"/>
      <c r="CCZ94" s="168"/>
      <c r="CDA94" s="167"/>
      <c r="CDB94" s="168"/>
      <c r="CDC94" s="167"/>
      <c r="CDD94" s="168"/>
      <c r="CDE94" s="167"/>
      <c r="CDF94" s="168"/>
      <c r="CDG94" s="167"/>
      <c r="CDH94" s="168"/>
      <c r="CDI94" s="167"/>
      <c r="CDJ94" s="168"/>
      <c r="CDK94" s="167"/>
      <c r="CDL94" s="168"/>
      <c r="CDM94" s="167"/>
      <c r="CDN94" s="168"/>
      <c r="CDO94" s="167"/>
      <c r="CDP94" s="168"/>
      <c r="CDQ94" s="167"/>
      <c r="CDR94" s="168"/>
      <c r="CDS94" s="167"/>
      <c r="CDT94" s="168"/>
      <c r="CDU94" s="167"/>
      <c r="CDV94" s="168"/>
      <c r="CDW94" s="167"/>
      <c r="CDX94" s="168"/>
      <c r="CDY94" s="167"/>
      <c r="CDZ94" s="168"/>
      <c r="CEA94" s="167"/>
      <c r="CEB94" s="168"/>
      <c r="CEC94" s="167"/>
      <c r="CED94" s="168"/>
      <c r="CEE94" s="167"/>
      <c r="CEF94" s="168"/>
      <c r="CEG94" s="167"/>
      <c r="CEH94" s="168"/>
      <c r="CEI94" s="167"/>
      <c r="CEJ94" s="168"/>
      <c r="CEK94" s="167"/>
      <c r="CEL94" s="168"/>
      <c r="CEM94" s="167"/>
      <c r="CEN94" s="168"/>
      <c r="CEO94" s="167"/>
      <c r="CEP94" s="168"/>
      <c r="CEQ94" s="167"/>
      <c r="CER94" s="168"/>
      <c r="CES94" s="167"/>
      <c r="CET94" s="168"/>
      <c r="CEU94" s="167"/>
      <c r="CEV94" s="168"/>
      <c r="CEW94" s="167"/>
      <c r="CEX94" s="168"/>
      <c r="CEY94" s="167"/>
      <c r="CEZ94" s="168"/>
      <c r="CFA94" s="167"/>
      <c r="CFB94" s="168"/>
      <c r="CFC94" s="167"/>
      <c r="CFD94" s="168"/>
      <c r="CFE94" s="167"/>
      <c r="CFF94" s="168"/>
      <c r="CFG94" s="167"/>
      <c r="CFH94" s="168"/>
      <c r="CFI94" s="167"/>
      <c r="CFJ94" s="168"/>
      <c r="CFK94" s="167"/>
      <c r="CFL94" s="168"/>
      <c r="CFM94" s="167"/>
      <c r="CFN94" s="168"/>
      <c r="CFO94" s="167"/>
      <c r="CFP94" s="168"/>
      <c r="CFQ94" s="167"/>
      <c r="CFR94" s="168"/>
      <c r="CFS94" s="167"/>
      <c r="CFT94" s="168"/>
      <c r="CFU94" s="167"/>
      <c r="CFV94" s="168"/>
      <c r="CFW94" s="167"/>
      <c r="CFX94" s="168"/>
      <c r="CFY94" s="167"/>
      <c r="CFZ94" s="168"/>
      <c r="CGA94" s="167"/>
      <c r="CGB94" s="168"/>
      <c r="CGC94" s="167"/>
      <c r="CGD94" s="168"/>
      <c r="CGE94" s="167"/>
      <c r="CGF94" s="168"/>
      <c r="CGG94" s="167"/>
      <c r="CGH94" s="168"/>
      <c r="CGI94" s="167"/>
      <c r="CGJ94" s="168"/>
      <c r="CGK94" s="167"/>
      <c r="CGL94" s="168"/>
      <c r="CGM94" s="167"/>
      <c r="CGN94" s="168"/>
      <c r="CGO94" s="167"/>
      <c r="CGP94" s="168"/>
      <c r="CGQ94" s="167"/>
      <c r="CGR94" s="168"/>
      <c r="CGS94" s="167"/>
      <c r="CGT94" s="168"/>
      <c r="CGU94" s="167"/>
      <c r="CGV94" s="168"/>
      <c r="CGW94" s="167"/>
      <c r="CGX94" s="168"/>
      <c r="CGY94" s="167"/>
      <c r="CGZ94" s="168"/>
      <c r="CHA94" s="167"/>
      <c r="CHB94" s="168"/>
      <c r="CHC94" s="167"/>
      <c r="CHD94" s="168"/>
      <c r="CHE94" s="167"/>
      <c r="CHF94" s="168"/>
      <c r="CHG94" s="167"/>
      <c r="CHH94" s="168"/>
      <c r="CHI94" s="167"/>
      <c r="CHJ94" s="168"/>
      <c r="CHK94" s="167"/>
      <c r="CHL94" s="168"/>
      <c r="CHM94" s="167"/>
      <c r="CHN94" s="168"/>
      <c r="CHO94" s="167"/>
      <c r="CHP94" s="168"/>
      <c r="CHQ94" s="167"/>
      <c r="CHR94" s="168"/>
      <c r="CHS94" s="167"/>
      <c r="CHT94" s="168"/>
      <c r="CHU94" s="167"/>
      <c r="CHV94" s="168"/>
      <c r="CHW94" s="167"/>
      <c r="CHX94" s="168"/>
      <c r="CHY94" s="167"/>
      <c r="CHZ94" s="168"/>
      <c r="CIA94" s="167"/>
      <c r="CIB94" s="168"/>
      <c r="CIC94" s="167"/>
      <c r="CID94" s="168"/>
      <c r="CIE94" s="167"/>
      <c r="CIF94" s="168"/>
      <c r="CIG94" s="167"/>
      <c r="CIH94" s="168"/>
      <c r="CII94" s="167"/>
      <c r="CIJ94" s="168"/>
      <c r="CIK94" s="167"/>
      <c r="CIL94" s="168"/>
      <c r="CIM94" s="167"/>
      <c r="CIN94" s="168"/>
      <c r="CIO94" s="167"/>
      <c r="CIP94" s="168"/>
      <c r="CIQ94" s="167"/>
      <c r="CIR94" s="168"/>
      <c r="CIS94" s="167"/>
      <c r="CIT94" s="168"/>
      <c r="CIU94" s="167"/>
      <c r="CIV94" s="168"/>
      <c r="CIW94" s="167"/>
      <c r="CIX94" s="168"/>
      <c r="CIY94" s="167"/>
      <c r="CIZ94" s="168"/>
      <c r="CJA94" s="167"/>
      <c r="CJB94" s="168"/>
      <c r="CJC94" s="167"/>
      <c r="CJD94" s="168"/>
      <c r="CJE94" s="167"/>
      <c r="CJF94" s="168"/>
      <c r="CJG94" s="167"/>
      <c r="CJH94" s="168"/>
      <c r="CJI94" s="167"/>
      <c r="CJJ94" s="168"/>
      <c r="CJK94" s="167"/>
      <c r="CJL94" s="168"/>
      <c r="CJM94" s="167"/>
      <c r="CJN94" s="168"/>
      <c r="CJO94" s="167"/>
      <c r="CJP94" s="168"/>
      <c r="CJQ94" s="167"/>
      <c r="CJR94" s="168"/>
      <c r="CJS94" s="167"/>
      <c r="CJT94" s="168"/>
      <c r="CJU94" s="167"/>
      <c r="CJV94" s="168"/>
      <c r="CJW94" s="167"/>
      <c r="CJX94" s="168"/>
      <c r="CJY94" s="167"/>
      <c r="CJZ94" s="168"/>
      <c r="CKA94" s="167"/>
      <c r="CKB94" s="168"/>
      <c r="CKC94" s="167"/>
      <c r="CKD94" s="168"/>
      <c r="CKE94" s="167"/>
      <c r="CKF94" s="168"/>
      <c r="CKG94" s="167"/>
      <c r="CKH94" s="168"/>
      <c r="CKI94" s="167"/>
      <c r="CKJ94" s="168"/>
      <c r="CKK94" s="167"/>
      <c r="CKL94" s="168"/>
      <c r="CKM94" s="167"/>
      <c r="CKN94" s="168"/>
      <c r="CKO94" s="167"/>
      <c r="CKP94" s="168"/>
      <c r="CKQ94" s="167"/>
      <c r="CKR94" s="168"/>
      <c r="CKS94" s="167"/>
      <c r="CKT94" s="168"/>
      <c r="CKU94" s="167"/>
      <c r="CKV94" s="168"/>
      <c r="CKW94" s="167"/>
      <c r="CKX94" s="168"/>
      <c r="CKY94" s="167"/>
      <c r="CKZ94" s="168"/>
      <c r="CLA94" s="167"/>
      <c r="CLB94" s="168"/>
      <c r="CLC94" s="167"/>
      <c r="CLD94" s="168"/>
      <c r="CLE94" s="167"/>
      <c r="CLF94" s="168"/>
      <c r="CLG94" s="167"/>
      <c r="CLH94" s="168"/>
      <c r="CLI94" s="167"/>
      <c r="CLJ94" s="168"/>
      <c r="CLK94" s="167"/>
      <c r="CLL94" s="168"/>
      <c r="CLM94" s="167"/>
      <c r="CLN94" s="168"/>
      <c r="CLO94" s="167"/>
      <c r="CLP94" s="168"/>
      <c r="CLQ94" s="167"/>
      <c r="CLR94" s="168"/>
      <c r="CLS94" s="167"/>
      <c r="CLT94" s="168"/>
      <c r="CLU94" s="167"/>
      <c r="CLV94" s="168"/>
      <c r="CLW94" s="167"/>
      <c r="CLX94" s="168"/>
      <c r="CLY94" s="167"/>
      <c r="CLZ94" s="168"/>
      <c r="CMA94" s="167"/>
      <c r="CMB94" s="168"/>
      <c r="CMC94" s="167"/>
      <c r="CMD94" s="168"/>
      <c r="CME94" s="167"/>
      <c r="CMF94" s="168"/>
      <c r="CMG94" s="167"/>
      <c r="CMH94" s="168"/>
      <c r="CMI94" s="167"/>
      <c r="CMJ94" s="168"/>
      <c r="CMK94" s="167"/>
      <c r="CML94" s="168"/>
      <c r="CMM94" s="167"/>
      <c r="CMN94" s="168"/>
      <c r="CMO94" s="167"/>
      <c r="CMP94" s="168"/>
      <c r="CMQ94" s="167"/>
      <c r="CMR94" s="168"/>
      <c r="CMS94" s="167"/>
      <c r="CMT94" s="168"/>
      <c r="CMU94" s="167"/>
      <c r="CMV94" s="168"/>
      <c r="CMW94" s="167"/>
      <c r="CMX94" s="168"/>
      <c r="CMY94" s="167"/>
      <c r="CMZ94" s="168"/>
      <c r="CNA94" s="167"/>
      <c r="CNB94" s="168"/>
      <c r="CNC94" s="167"/>
      <c r="CND94" s="168"/>
      <c r="CNE94" s="167"/>
      <c r="CNF94" s="168"/>
      <c r="CNG94" s="167"/>
      <c r="CNH94" s="168"/>
      <c r="CNI94" s="167"/>
      <c r="CNJ94" s="168"/>
      <c r="CNK94" s="167"/>
      <c r="CNL94" s="168"/>
      <c r="CNM94" s="167"/>
      <c r="CNN94" s="168"/>
      <c r="CNO94" s="167"/>
      <c r="CNP94" s="168"/>
      <c r="CNQ94" s="167"/>
      <c r="CNR94" s="168"/>
      <c r="CNS94" s="167"/>
      <c r="CNT94" s="168"/>
      <c r="CNU94" s="167"/>
      <c r="CNV94" s="168"/>
      <c r="CNW94" s="167"/>
      <c r="CNX94" s="168"/>
      <c r="CNY94" s="167"/>
      <c r="CNZ94" s="168"/>
      <c r="COA94" s="167"/>
      <c r="COB94" s="168"/>
      <c r="COC94" s="167"/>
      <c r="COD94" s="168"/>
      <c r="COE94" s="167"/>
      <c r="COF94" s="168"/>
      <c r="COG94" s="167"/>
      <c r="COH94" s="168"/>
      <c r="COI94" s="167"/>
      <c r="COJ94" s="168"/>
      <c r="COK94" s="167"/>
      <c r="COL94" s="168"/>
      <c r="COM94" s="167"/>
      <c r="CON94" s="168"/>
      <c r="COO94" s="167"/>
      <c r="COP94" s="168"/>
      <c r="COQ94" s="167"/>
      <c r="COR94" s="168"/>
      <c r="COS94" s="167"/>
      <c r="COT94" s="168"/>
      <c r="COU94" s="167"/>
      <c r="COV94" s="168"/>
      <c r="COW94" s="167"/>
      <c r="COX94" s="168"/>
      <c r="COY94" s="167"/>
      <c r="COZ94" s="168"/>
      <c r="CPA94" s="167"/>
      <c r="CPB94" s="168"/>
      <c r="CPC94" s="167"/>
      <c r="CPD94" s="168"/>
      <c r="CPE94" s="167"/>
      <c r="CPF94" s="168"/>
      <c r="CPG94" s="167"/>
      <c r="CPH94" s="168"/>
      <c r="CPI94" s="167"/>
      <c r="CPJ94" s="168"/>
      <c r="CPK94" s="167"/>
      <c r="CPL94" s="168"/>
      <c r="CPM94" s="167"/>
      <c r="CPN94" s="168"/>
      <c r="CPO94" s="167"/>
      <c r="CPP94" s="168"/>
      <c r="CPQ94" s="167"/>
      <c r="CPR94" s="168"/>
      <c r="CPS94" s="167"/>
      <c r="CPT94" s="168"/>
      <c r="CPU94" s="167"/>
      <c r="CPV94" s="168"/>
      <c r="CPW94" s="167"/>
      <c r="CPX94" s="168"/>
      <c r="CPY94" s="167"/>
      <c r="CPZ94" s="168"/>
      <c r="CQA94" s="167"/>
      <c r="CQB94" s="168"/>
      <c r="CQC94" s="167"/>
      <c r="CQD94" s="168"/>
      <c r="CQE94" s="167"/>
      <c r="CQF94" s="168"/>
      <c r="CQG94" s="167"/>
      <c r="CQH94" s="168"/>
      <c r="CQI94" s="167"/>
      <c r="CQJ94" s="168"/>
      <c r="CQK94" s="167"/>
      <c r="CQL94" s="168"/>
      <c r="CQM94" s="167"/>
      <c r="CQN94" s="168"/>
      <c r="CQO94" s="167"/>
      <c r="CQP94" s="168"/>
      <c r="CQQ94" s="167"/>
      <c r="CQR94" s="168"/>
      <c r="CQS94" s="167"/>
      <c r="CQT94" s="168"/>
      <c r="CQU94" s="167"/>
      <c r="CQV94" s="168"/>
      <c r="CQW94" s="167"/>
      <c r="CQX94" s="168"/>
      <c r="CQY94" s="167"/>
      <c r="CQZ94" s="168"/>
      <c r="CRA94" s="167"/>
      <c r="CRB94" s="168"/>
      <c r="CRC94" s="167"/>
      <c r="CRD94" s="168"/>
      <c r="CRE94" s="167"/>
      <c r="CRF94" s="168"/>
      <c r="CRG94" s="167"/>
      <c r="CRH94" s="168"/>
      <c r="CRI94" s="167"/>
      <c r="CRJ94" s="168"/>
      <c r="CRK94" s="167"/>
      <c r="CRL94" s="168"/>
      <c r="CRM94" s="167"/>
      <c r="CRN94" s="168"/>
      <c r="CRO94" s="167"/>
      <c r="CRP94" s="168"/>
      <c r="CRQ94" s="167"/>
      <c r="CRR94" s="168"/>
      <c r="CRS94" s="167"/>
      <c r="CRT94" s="168"/>
      <c r="CRU94" s="167"/>
      <c r="CRV94" s="168"/>
      <c r="CRW94" s="167"/>
      <c r="CRX94" s="168"/>
      <c r="CRY94" s="167"/>
      <c r="CRZ94" s="168"/>
      <c r="CSA94" s="167"/>
      <c r="CSB94" s="168"/>
      <c r="CSC94" s="167"/>
      <c r="CSD94" s="168"/>
      <c r="CSE94" s="167"/>
      <c r="CSF94" s="168"/>
      <c r="CSG94" s="167"/>
      <c r="CSH94" s="168"/>
      <c r="CSI94" s="167"/>
      <c r="CSJ94" s="168"/>
      <c r="CSK94" s="167"/>
      <c r="CSL94" s="168"/>
      <c r="CSM94" s="167"/>
      <c r="CSN94" s="168"/>
      <c r="CSO94" s="167"/>
      <c r="CSP94" s="168"/>
      <c r="CSQ94" s="167"/>
      <c r="CSR94" s="168"/>
      <c r="CSS94" s="167"/>
      <c r="CST94" s="168"/>
      <c r="CSU94" s="167"/>
      <c r="CSV94" s="168"/>
      <c r="CSW94" s="167"/>
      <c r="CSX94" s="168"/>
      <c r="CSY94" s="167"/>
      <c r="CSZ94" s="168"/>
      <c r="CTA94" s="167"/>
      <c r="CTB94" s="168"/>
      <c r="CTC94" s="167"/>
      <c r="CTD94" s="168"/>
      <c r="CTE94" s="167"/>
      <c r="CTF94" s="168"/>
      <c r="CTG94" s="167"/>
      <c r="CTH94" s="168"/>
      <c r="CTI94" s="167"/>
      <c r="CTJ94" s="168"/>
      <c r="CTK94" s="167"/>
      <c r="CTL94" s="168"/>
      <c r="CTM94" s="167"/>
      <c r="CTN94" s="168"/>
      <c r="CTO94" s="167"/>
      <c r="CTP94" s="168"/>
      <c r="CTQ94" s="167"/>
      <c r="CTR94" s="168"/>
      <c r="CTS94" s="167"/>
      <c r="CTT94" s="168"/>
      <c r="CTU94" s="167"/>
      <c r="CTV94" s="168"/>
      <c r="CTW94" s="167"/>
      <c r="CTX94" s="168"/>
      <c r="CTY94" s="167"/>
      <c r="CTZ94" s="168"/>
      <c r="CUA94" s="167"/>
      <c r="CUB94" s="168"/>
      <c r="CUC94" s="167"/>
      <c r="CUD94" s="168"/>
      <c r="CUE94" s="167"/>
      <c r="CUF94" s="168"/>
      <c r="CUG94" s="167"/>
      <c r="CUH94" s="168"/>
      <c r="CUI94" s="167"/>
      <c r="CUJ94" s="168"/>
      <c r="CUK94" s="167"/>
      <c r="CUL94" s="168"/>
      <c r="CUM94" s="167"/>
      <c r="CUN94" s="168"/>
      <c r="CUO94" s="167"/>
      <c r="CUP94" s="168"/>
      <c r="CUQ94" s="167"/>
      <c r="CUR94" s="168"/>
      <c r="CUS94" s="167"/>
      <c r="CUT94" s="168"/>
      <c r="CUU94" s="167"/>
      <c r="CUV94" s="168"/>
      <c r="CUW94" s="167"/>
      <c r="CUX94" s="168"/>
      <c r="CUY94" s="167"/>
      <c r="CUZ94" s="168"/>
      <c r="CVA94" s="167"/>
      <c r="CVB94" s="168"/>
      <c r="CVC94" s="167"/>
      <c r="CVD94" s="168"/>
      <c r="CVE94" s="167"/>
      <c r="CVF94" s="168"/>
      <c r="CVG94" s="167"/>
      <c r="CVH94" s="168"/>
      <c r="CVI94" s="167"/>
      <c r="CVJ94" s="168"/>
      <c r="CVK94" s="167"/>
      <c r="CVL94" s="168"/>
      <c r="CVM94" s="167"/>
      <c r="CVN94" s="168"/>
      <c r="CVO94" s="167"/>
      <c r="CVP94" s="168"/>
      <c r="CVQ94" s="167"/>
      <c r="CVR94" s="168"/>
      <c r="CVS94" s="167"/>
      <c r="CVT94" s="168"/>
      <c r="CVU94" s="167"/>
      <c r="CVV94" s="168"/>
      <c r="CVW94" s="167"/>
      <c r="CVX94" s="168"/>
      <c r="CVY94" s="167"/>
      <c r="CVZ94" s="168"/>
      <c r="CWA94" s="167"/>
      <c r="CWB94" s="168"/>
      <c r="CWC94" s="167"/>
      <c r="CWD94" s="168"/>
      <c r="CWE94" s="167"/>
      <c r="CWF94" s="168"/>
      <c r="CWG94" s="167"/>
      <c r="CWH94" s="168"/>
      <c r="CWI94" s="167"/>
      <c r="CWJ94" s="168"/>
      <c r="CWK94" s="167"/>
      <c r="CWL94" s="168"/>
      <c r="CWM94" s="167"/>
      <c r="CWN94" s="168"/>
      <c r="CWO94" s="167"/>
      <c r="CWP94" s="168"/>
      <c r="CWQ94" s="167"/>
      <c r="CWR94" s="168"/>
      <c r="CWS94" s="167"/>
      <c r="CWT94" s="168"/>
      <c r="CWU94" s="167"/>
      <c r="CWV94" s="168"/>
      <c r="CWW94" s="167"/>
      <c r="CWX94" s="168"/>
      <c r="CWY94" s="167"/>
      <c r="CWZ94" s="168"/>
      <c r="CXA94" s="167"/>
      <c r="CXB94" s="168"/>
      <c r="CXC94" s="167"/>
      <c r="CXD94" s="168"/>
      <c r="CXE94" s="167"/>
      <c r="CXF94" s="168"/>
      <c r="CXG94" s="167"/>
      <c r="CXH94" s="168"/>
      <c r="CXI94" s="167"/>
      <c r="CXJ94" s="168"/>
      <c r="CXK94" s="167"/>
      <c r="CXL94" s="168"/>
      <c r="CXM94" s="167"/>
      <c r="CXN94" s="168"/>
      <c r="CXO94" s="167"/>
      <c r="CXP94" s="168"/>
      <c r="CXQ94" s="167"/>
      <c r="CXR94" s="168"/>
      <c r="CXS94" s="167"/>
      <c r="CXT94" s="168"/>
      <c r="CXU94" s="167"/>
      <c r="CXV94" s="168"/>
      <c r="CXW94" s="167"/>
      <c r="CXX94" s="168"/>
      <c r="CXY94" s="167"/>
      <c r="CXZ94" s="168"/>
      <c r="CYA94" s="167"/>
      <c r="CYB94" s="168"/>
      <c r="CYC94" s="167"/>
      <c r="CYD94" s="168"/>
      <c r="CYE94" s="167"/>
      <c r="CYF94" s="168"/>
      <c r="CYG94" s="167"/>
      <c r="CYH94" s="168"/>
      <c r="CYI94" s="167"/>
      <c r="CYJ94" s="168"/>
      <c r="CYK94" s="167"/>
      <c r="CYL94" s="168"/>
      <c r="CYM94" s="167"/>
      <c r="CYN94" s="168"/>
      <c r="CYO94" s="167"/>
      <c r="CYP94" s="168"/>
      <c r="CYQ94" s="167"/>
      <c r="CYR94" s="168"/>
      <c r="CYS94" s="167"/>
      <c r="CYT94" s="168"/>
      <c r="CYU94" s="167"/>
      <c r="CYV94" s="168"/>
      <c r="CYW94" s="167"/>
      <c r="CYX94" s="168"/>
      <c r="CYY94" s="167"/>
      <c r="CYZ94" s="168"/>
      <c r="CZA94" s="167"/>
      <c r="CZB94" s="168"/>
      <c r="CZC94" s="167"/>
      <c r="CZD94" s="168"/>
      <c r="CZE94" s="167"/>
      <c r="CZF94" s="168"/>
      <c r="CZG94" s="167"/>
      <c r="CZH94" s="168"/>
      <c r="CZI94" s="167"/>
      <c r="CZJ94" s="168"/>
      <c r="CZK94" s="167"/>
      <c r="CZL94" s="168"/>
      <c r="CZM94" s="167"/>
      <c r="CZN94" s="168"/>
      <c r="CZO94" s="167"/>
      <c r="CZP94" s="168"/>
      <c r="CZQ94" s="167"/>
      <c r="CZR94" s="168"/>
      <c r="CZS94" s="167"/>
      <c r="CZT94" s="168"/>
      <c r="CZU94" s="167"/>
      <c r="CZV94" s="168"/>
      <c r="CZW94" s="167"/>
      <c r="CZX94" s="168"/>
      <c r="CZY94" s="167"/>
      <c r="CZZ94" s="168"/>
      <c r="DAA94" s="167"/>
      <c r="DAB94" s="168"/>
      <c r="DAC94" s="167"/>
      <c r="DAD94" s="168"/>
      <c r="DAE94" s="167"/>
      <c r="DAF94" s="168"/>
      <c r="DAG94" s="167"/>
      <c r="DAH94" s="168"/>
      <c r="DAI94" s="167"/>
      <c r="DAJ94" s="168"/>
      <c r="DAK94" s="167"/>
      <c r="DAL94" s="168"/>
      <c r="DAM94" s="167"/>
      <c r="DAN94" s="168"/>
      <c r="DAO94" s="167"/>
      <c r="DAP94" s="168"/>
      <c r="DAQ94" s="167"/>
      <c r="DAR94" s="168"/>
      <c r="DAS94" s="167"/>
      <c r="DAT94" s="168"/>
      <c r="DAU94" s="167"/>
      <c r="DAV94" s="168"/>
      <c r="DAW94" s="167"/>
      <c r="DAX94" s="168"/>
      <c r="DAY94" s="167"/>
      <c r="DAZ94" s="168"/>
      <c r="DBA94" s="167"/>
      <c r="DBB94" s="168"/>
      <c r="DBC94" s="167"/>
      <c r="DBD94" s="168"/>
      <c r="DBE94" s="167"/>
      <c r="DBF94" s="168"/>
      <c r="DBG94" s="167"/>
      <c r="DBH94" s="168"/>
      <c r="DBI94" s="167"/>
      <c r="DBJ94" s="168"/>
      <c r="DBK94" s="167"/>
      <c r="DBL94" s="168"/>
      <c r="DBM94" s="167"/>
      <c r="DBN94" s="168"/>
      <c r="DBO94" s="167"/>
      <c r="DBP94" s="168"/>
      <c r="DBQ94" s="167"/>
      <c r="DBR94" s="168"/>
      <c r="DBS94" s="167"/>
      <c r="DBT94" s="168"/>
      <c r="DBU94" s="167"/>
      <c r="DBV94" s="168"/>
      <c r="DBW94" s="167"/>
      <c r="DBX94" s="168"/>
      <c r="DBY94" s="167"/>
      <c r="DBZ94" s="168"/>
      <c r="DCA94" s="167"/>
      <c r="DCB94" s="168"/>
      <c r="DCC94" s="167"/>
      <c r="DCD94" s="168"/>
      <c r="DCE94" s="167"/>
      <c r="DCF94" s="168"/>
      <c r="DCG94" s="167"/>
      <c r="DCH94" s="168"/>
      <c r="DCI94" s="167"/>
      <c r="DCJ94" s="168"/>
      <c r="DCK94" s="167"/>
      <c r="DCL94" s="168"/>
      <c r="DCM94" s="167"/>
      <c r="DCN94" s="168"/>
      <c r="DCO94" s="167"/>
      <c r="DCP94" s="168"/>
      <c r="DCQ94" s="167"/>
      <c r="DCR94" s="168"/>
      <c r="DCS94" s="167"/>
      <c r="DCT94" s="168"/>
      <c r="DCU94" s="167"/>
      <c r="DCV94" s="168"/>
      <c r="DCW94" s="167"/>
      <c r="DCX94" s="168"/>
      <c r="DCY94" s="167"/>
      <c r="DCZ94" s="168"/>
      <c r="DDA94" s="167"/>
      <c r="DDB94" s="168"/>
      <c r="DDC94" s="167"/>
      <c r="DDD94" s="168"/>
      <c r="DDE94" s="167"/>
      <c r="DDF94" s="168"/>
      <c r="DDG94" s="167"/>
      <c r="DDH94" s="168"/>
      <c r="DDI94" s="167"/>
      <c r="DDJ94" s="168"/>
      <c r="DDK94" s="167"/>
      <c r="DDL94" s="168"/>
      <c r="DDM94" s="167"/>
      <c r="DDN94" s="168"/>
      <c r="DDO94" s="167"/>
      <c r="DDP94" s="168"/>
      <c r="DDQ94" s="167"/>
      <c r="DDR94" s="168"/>
      <c r="DDS94" s="167"/>
      <c r="DDT94" s="168"/>
      <c r="DDU94" s="167"/>
      <c r="DDV94" s="168"/>
      <c r="DDW94" s="167"/>
      <c r="DDX94" s="168"/>
      <c r="DDY94" s="167"/>
      <c r="DDZ94" s="168"/>
      <c r="DEA94" s="167"/>
      <c r="DEB94" s="168"/>
      <c r="DEC94" s="167"/>
      <c r="DED94" s="168"/>
      <c r="DEE94" s="167"/>
      <c r="DEF94" s="168"/>
      <c r="DEG94" s="167"/>
      <c r="DEH94" s="168"/>
      <c r="DEI94" s="167"/>
      <c r="DEJ94" s="168"/>
      <c r="DEK94" s="167"/>
      <c r="DEL94" s="168"/>
      <c r="DEM94" s="167"/>
      <c r="DEN94" s="168"/>
      <c r="DEO94" s="167"/>
      <c r="DEP94" s="168"/>
      <c r="DEQ94" s="167"/>
      <c r="DER94" s="168"/>
      <c r="DES94" s="167"/>
      <c r="DET94" s="168"/>
      <c r="DEU94" s="167"/>
      <c r="DEV94" s="168"/>
      <c r="DEW94" s="167"/>
      <c r="DEX94" s="168"/>
      <c r="DEY94" s="167"/>
      <c r="DEZ94" s="168"/>
      <c r="DFA94" s="167"/>
      <c r="DFB94" s="168"/>
      <c r="DFC94" s="167"/>
      <c r="DFD94" s="168"/>
      <c r="DFE94" s="167"/>
      <c r="DFF94" s="168"/>
      <c r="DFG94" s="167"/>
      <c r="DFH94" s="168"/>
      <c r="DFI94" s="167"/>
      <c r="DFJ94" s="168"/>
      <c r="DFK94" s="167"/>
      <c r="DFL94" s="168"/>
      <c r="DFM94" s="167"/>
      <c r="DFN94" s="168"/>
      <c r="DFO94" s="167"/>
      <c r="DFP94" s="168"/>
      <c r="DFQ94" s="167"/>
      <c r="DFR94" s="168"/>
      <c r="DFS94" s="167"/>
      <c r="DFT94" s="168"/>
      <c r="DFU94" s="167"/>
      <c r="DFV94" s="168"/>
      <c r="DFW94" s="167"/>
      <c r="DFX94" s="168"/>
      <c r="DFY94" s="167"/>
      <c r="DFZ94" s="168"/>
      <c r="DGA94" s="167"/>
      <c r="DGB94" s="168"/>
      <c r="DGC94" s="167"/>
      <c r="DGD94" s="168"/>
      <c r="DGE94" s="167"/>
      <c r="DGF94" s="168"/>
      <c r="DGG94" s="167"/>
      <c r="DGH94" s="168"/>
      <c r="DGI94" s="167"/>
      <c r="DGJ94" s="168"/>
      <c r="DGK94" s="167"/>
      <c r="DGL94" s="168"/>
      <c r="DGM94" s="167"/>
      <c r="DGN94" s="168"/>
      <c r="DGO94" s="167"/>
      <c r="DGP94" s="168"/>
      <c r="DGQ94" s="167"/>
      <c r="DGR94" s="168"/>
      <c r="DGS94" s="167"/>
      <c r="DGT94" s="168"/>
      <c r="DGU94" s="167"/>
      <c r="DGV94" s="168"/>
      <c r="DGW94" s="167"/>
      <c r="DGX94" s="168"/>
      <c r="DGY94" s="167"/>
      <c r="DGZ94" s="168"/>
      <c r="DHA94" s="167"/>
      <c r="DHB94" s="168"/>
      <c r="DHC94" s="167"/>
      <c r="DHD94" s="168"/>
      <c r="DHE94" s="167"/>
      <c r="DHF94" s="168"/>
      <c r="DHG94" s="167"/>
      <c r="DHH94" s="168"/>
      <c r="DHI94" s="167"/>
      <c r="DHJ94" s="168"/>
      <c r="DHK94" s="167"/>
      <c r="DHL94" s="168"/>
      <c r="DHM94" s="167"/>
      <c r="DHN94" s="168"/>
      <c r="DHO94" s="167"/>
      <c r="DHP94" s="168"/>
      <c r="DHQ94" s="167"/>
      <c r="DHR94" s="168"/>
      <c r="DHS94" s="167"/>
      <c r="DHT94" s="168"/>
      <c r="DHU94" s="167"/>
      <c r="DHV94" s="168"/>
      <c r="DHW94" s="167"/>
      <c r="DHX94" s="168"/>
      <c r="DHY94" s="167"/>
      <c r="DHZ94" s="168"/>
      <c r="DIA94" s="167"/>
      <c r="DIB94" s="168"/>
      <c r="DIC94" s="167"/>
      <c r="DID94" s="168"/>
      <c r="DIE94" s="167"/>
      <c r="DIF94" s="168"/>
      <c r="DIG94" s="167"/>
      <c r="DIH94" s="168"/>
      <c r="DII94" s="167"/>
      <c r="DIJ94" s="168"/>
      <c r="DIK94" s="167"/>
      <c r="DIL94" s="168"/>
      <c r="DIM94" s="167"/>
      <c r="DIN94" s="168"/>
      <c r="DIO94" s="167"/>
      <c r="DIP94" s="168"/>
      <c r="DIQ94" s="167"/>
      <c r="DIR94" s="168"/>
      <c r="DIS94" s="167"/>
      <c r="DIT94" s="168"/>
      <c r="DIU94" s="167"/>
      <c r="DIV94" s="168"/>
      <c r="DIW94" s="167"/>
      <c r="DIX94" s="168"/>
      <c r="DIY94" s="167"/>
      <c r="DIZ94" s="168"/>
      <c r="DJA94" s="167"/>
      <c r="DJB94" s="168"/>
      <c r="DJC94" s="167"/>
      <c r="DJD94" s="168"/>
      <c r="DJE94" s="167"/>
      <c r="DJF94" s="168"/>
      <c r="DJG94" s="167"/>
      <c r="DJH94" s="168"/>
      <c r="DJI94" s="167"/>
      <c r="DJJ94" s="168"/>
      <c r="DJK94" s="167"/>
      <c r="DJL94" s="168"/>
      <c r="DJM94" s="167"/>
      <c r="DJN94" s="168"/>
      <c r="DJO94" s="167"/>
      <c r="DJP94" s="168"/>
      <c r="DJQ94" s="167"/>
      <c r="DJR94" s="168"/>
      <c r="DJS94" s="167"/>
      <c r="DJT94" s="168"/>
      <c r="DJU94" s="167"/>
      <c r="DJV94" s="168"/>
      <c r="DJW94" s="167"/>
      <c r="DJX94" s="168"/>
      <c r="DJY94" s="167"/>
      <c r="DJZ94" s="168"/>
      <c r="DKA94" s="167"/>
      <c r="DKB94" s="168"/>
      <c r="DKC94" s="167"/>
      <c r="DKD94" s="168"/>
      <c r="DKE94" s="167"/>
      <c r="DKF94" s="168"/>
      <c r="DKG94" s="167"/>
      <c r="DKH94" s="168"/>
      <c r="DKI94" s="167"/>
      <c r="DKJ94" s="168"/>
      <c r="DKK94" s="167"/>
      <c r="DKL94" s="168"/>
      <c r="DKM94" s="167"/>
      <c r="DKN94" s="168"/>
      <c r="DKO94" s="167"/>
      <c r="DKP94" s="168"/>
      <c r="DKQ94" s="167"/>
      <c r="DKR94" s="168"/>
      <c r="DKS94" s="167"/>
      <c r="DKT94" s="168"/>
      <c r="DKU94" s="167"/>
      <c r="DKV94" s="168"/>
      <c r="DKW94" s="167"/>
      <c r="DKX94" s="168"/>
      <c r="DKY94" s="167"/>
      <c r="DKZ94" s="168"/>
      <c r="DLA94" s="167"/>
      <c r="DLB94" s="168"/>
      <c r="DLC94" s="167"/>
      <c r="DLD94" s="168"/>
      <c r="DLE94" s="167"/>
      <c r="DLF94" s="168"/>
      <c r="DLG94" s="167"/>
      <c r="DLH94" s="168"/>
      <c r="DLI94" s="167"/>
      <c r="DLJ94" s="168"/>
      <c r="DLK94" s="167"/>
      <c r="DLL94" s="168"/>
      <c r="DLM94" s="167"/>
      <c r="DLN94" s="168"/>
      <c r="DLO94" s="167"/>
      <c r="DLP94" s="168"/>
      <c r="DLQ94" s="167"/>
      <c r="DLR94" s="168"/>
      <c r="DLS94" s="167"/>
      <c r="DLT94" s="168"/>
      <c r="DLU94" s="167"/>
      <c r="DLV94" s="168"/>
      <c r="DLW94" s="167"/>
      <c r="DLX94" s="168"/>
      <c r="DLY94" s="167"/>
      <c r="DLZ94" s="168"/>
      <c r="DMA94" s="167"/>
      <c r="DMB94" s="168"/>
      <c r="DMC94" s="167"/>
      <c r="DMD94" s="168"/>
      <c r="DME94" s="167"/>
      <c r="DMF94" s="168"/>
      <c r="DMG94" s="167"/>
      <c r="DMH94" s="168"/>
      <c r="DMI94" s="167"/>
      <c r="DMJ94" s="168"/>
      <c r="DMK94" s="167"/>
      <c r="DML94" s="168"/>
      <c r="DMM94" s="167"/>
      <c r="DMN94" s="168"/>
      <c r="DMO94" s="167"/>
      <c r="DMP94" s="168"/>
      <c r="DMQ94" s="167"/>
      <c r="DMR94" s="168"/>
      <c r="DMS94" s="167"/>
      <c r="DMT94" s="168"/>
      <c r="DMU94" s="167"/>
      <c r="DMV94" s="168"/>
      <c r="DMW94" s="167"/>
      <c r="DMX94" s="168"/>
      <c r="DMY94" s="167"/>
      <c r="DMZ94" s="168"/>
      <c r="DNA94" s="167"/>
      <c r="DNB94" s="168"/>
      <c r="DNC94" s="167"/>
      <c r="DND94" s="168"/>
      <c r="DNE94" s="167"/>
      <c r="DNF94" s="168"/>
      <c r="DNG94" s="167"/>
      <c r="DNH94" s="168"/>
      <c r="DNI94" s="167"/>
      <c r="DNJ94" s="168"/>
      <c r="DNK94" s="167"/>
      <c r="DNL94" s="168"/>
      <c r="DNM94" s="167"/>
      <c r="DNN94" s="168"/>
      <c r="DNO94" s="167"/>
      <c r="DNP94" s="168"/>
      <c r="DNQ94" s="167"/>
      <c r="DNR94" s="168"/>
      <c r="DNS94" s="167"/>
      <c r="DNT94" s="168"/>
      <c r="DNU94" s="167"/>
      <c r="DNV94" s="168"/>
      <c r="DNW94" s="167"/>
      <c r="DNX94" s="168"/>
      <c r="DNY94" s="167"/>
      <c r="DNZ94" s="168"/>
      <c r="DOA94" s="167"/>
      <c r="DOB94" s="168"/>
      <c r="DOC94" s="167"/>
      <c r="DOD94" s="168"/>
      <c r="DOE94" s="167"/>
      <c r="DOF94" s="168"/>
      <c r="DOG94" s="167"/>
      <c r="DOH94" s="168"/>
      <c r="DOI94" s="167"/>
      <c r="DOJ94" s="168"/>
      <c r="DOK94" s="167"/>
      <c r="DOL94" s="168"/>
      <c r="DOM94" s="167"/>
      <c r="DON94" s="168"/>
      <c r="DOO94" s="167"/>
      <c r="DOP94" s="168"/>
      <c r="DOQ94" s="167"/>
      <c r="DOR94" s="168"/>
      <c r="DOS94" s="167"/>
      <c r="DOT94" s="168"/>
      <c r="DOU94" s="167"/>
      <c r="DOV94" s="168"/>
      <c r="DOW94" s="167"/>
      <c r="DOX94" s="168"/>
      <c r="DOY94" s="167"/>
      <c r="DOZ94" s="168"/>
      <c r="DPA94" s="167"/>
      <c r="DPB94" s="168"/>
      <c r="DPC94" s="167"/>
      <c r="DPD94" s="168"/>
      <c r="DPE94" s="167"/>
      <c r="DPF94" s="168"/>
      <c r="DPG94" s="167"/>
      <c r="DPH94" s="168"/>
      <c r="DPI94" s="167"/>
      <c r="DPJ94" s="168"/>
      <c r="DPK94" s="167"/>
      <c r="DPL94" s="168"/>
      <c r="DPM94" s="167"/>
      <c r="DPN94" s="168"/>
      <c r="DPO94" s="167"/>
      <c r="DPP94" s="168"/>
      <c r="DPQ94" s="167"/>
      <c r="DPR94" s="168"/>
      <c r="DPS94" s="167"/>
      <c r="DPT94" s="168"/>
      <c r="DPU94" s="167"/>
      <c r="DPV94" s="168"/>
      <c r="DPW94" s="167"/>
      <c r="DPX94" s="168"/>
      <c r="DPY94" s="167"/>
      <c r="DPZ94" s="168"/>
      <c r="DQA94" s="167"/>
      <c r="DQB94" s="168"/>
      <c r="DQC94" s="167"/>
      <c r="DQD94" s="168"/>
      <c r="DQE94" s="167"/>
      <c r="DQF94" s="168"/>
      <c r="DQG94" s="167"/>
      <c r="DQH94" s="168"/>
      <c r="DQI94" s="167"/>
      <c r="DQJ94" s="168"/>
      <c r="DQK94" s="167"/>
      <c r="DQL94" s="168"/>
      <c r="DQM94" s="167"/>
      <c r="DQN94" s="168"/>
      <c r="DQO94" s="167"/>
      <c r="DQP94" s="168"/>
      <c r="DQQ94" s="167"/>
      <c r="DQR94" s="168"/>
      <c r="DQS94" s="167"/>
      <c r="DQT94" s="168"/>
      <c r="DQU94" s="167"/>
      <c r="DQV94" s="168"/>
      <c r="DQW94" s="167"/>
      <c r="DQX94" s="168"/>
      <c r="DQY94" s="167"/>
      <c r="DQZ94" s="168"/>
      <c r="DRA94" s="167"/>
      <c r="DRB94" s="168"/>
      <c r="DRC94" s="167"/>
      <c r="DRD94" s="168"/>
      <c r="DRE94" s="167"/>
      <c r="DRF94" s="168"/>
      <c r="DRG94" s="167"/>
      <c r="DRH94" s="168"/>
      <c r="DRI94" s="167"/>
      <c r="DRJ94" s="168"/>
      <c r="DRK94" s="167"/>
      <c r="DRL94" s="168"/>
      <c r="DRM94" s="167"/>
      <c r="DRN94" s="168"/>
      <c r="DRO94" s="167"/>
      <c r="DRP94" s="168"/>
      <c r="DRQ94" s="167"/>
      <c r="DRR94" s="168"/>
      <c r="DRS94" s="167"/>
      <c r="DRT94" s="168"/>
      <c r="DRU94" s="167"/>
      <c r="DRV94" s="168"/>
      <c r="DRW94" s="167"/>
      <c r="DRX94" s="168"/>
      <c r="DRY94" s="167"/>
      <c r="DRZ94" s="168"/>
      <c r="DSA94" s="167"/>
      <c r="DSB94" s="168"/>
      <c r="DSC94" s="167"/>
      <c r="DSD94" s="168"/>
      <c r="DSE94" s="167"/>
      <c r="DSF94" s="168"/>
      <c r="DSG94" s="167"/>
      <c r="DSH94" s="168"/>
      <c r="DSI94" s="167"/>
      <c r="DSJ94" s="168"/>
      <c r="DSK94" s="167"/>
      <c r="DSL94" s="168"/>
      <c r="DSM94" s="167"/>
      <c r="DSN94" s="168"/>
      <c r="DSO94" s="167"/>
      <c r="DSP94" s="168"/>
      <c r="DSQ94" s="167"/>
      <c r="DSR94" s="168"/>
      <c r="DSS94" s="167"/>
      <c r="DST94" s="168"/>
      <c r="DSU94" s="167"/>
      <c r="DSV94" s="168"/>
      <c r="DSW94" s="167"/>
      <c r="DSX94" s="168"/>
      <c r="DSY94" s="167"/>
      <c r="DSZ94" s="168"/>
      <c r="DTA94" s="167"/>
      <c r="DTB94" s="168"/>
      <c r="DTC94" s="167"/>
      <c r="DTD94" s="168"/>
      <c r="DTE94" s="167"/>
      <c r="DTF94" s="168"/>
      <c r="DTG94" s="167"/>
      <c r="DTH94" s="168"/>
      <c r="DTI94" s="167"/>
      <c r="DTJ94" s="168"/>
      <c r="DTK94" s="167"/>
      <c r="DTL94" s="168"/>
      <c r="DTM94" s="167"/>
      <c r="DTN94" s="168"/>
      <c r="DTO94" s="167"/>
      <c r="DTP94" s="168"/>
      <c r="DTQ94" s="167"/>
      <c r="DTR94" s="168"/>
      <c r="DTS94" s="167"/>
      <c r="DTT94" s="168"/>
      <c r="DTU94" s="167"/>
      <c r="DTV94" s="168"/>
      <c r="DTW94" s="167"/>
      <c r="DTX94" s="168"/>
      <c r="DTY94" s="167"/>
      <c r="DTZ94" s="168"/>
      <c r="DUA94" s="167"/>
      <c r="DUB94" s="168"/>
      <c r="DUC94" s="167"/>
      <c r="DUD94" s="168"/>
      <c r="DUE94" s="167"/>
      <c r="DUF94" s="168"/>
      <c r="DUG94" s="167"/>
      <c r="DUH94" s="168"/>
      <c r="DUI94" s="167"/>
      <c r="DUJ94" s="168"/>
      <c r="DUK94" s="167"/>
      <c r="DUL94" s="168"/>
      <c r="DUM94" s="167"/>
      <c r="DUN94" s="168"/>
      <c r="DUO94" s="167"/>
      <c r="DUP94" s="168"/>
      <c r="DUQ94" s="167"/>
      <c r="DUR94" s="168"/>
      <c r="DUS94" s="167"/>
      <c r="DUT94" s="168"/>
      <c r="DUU94" s="167"/>
      <c r="DUV94" s="168"/>
      <c r="DUW94" s="167"/>
      <c r="DUX94" s="168"/>
      <c r="DUY94" s="167"/>
      <c r="DUZ94" s="168"/>
      <c r="DVA94" s="167"/>
      <c r="DVB94" s="168"/>
      <c r="DVC94" s="167"/>
      <c r="DVD94" s="168"/>
      <c r="DVE94" s="167"/>
      <c r="DVF94" s="168"/>
      <c r="DVG94" s="167"/>
      <c r="DVH94" s="168"/>
      <c r="DVI94" s="167"/>
      <c r="DVJ94" s="168"/>
      <c r="DVK94" s="167"/>
      <c r="DVL94" s="168"/>
      <c r="DVM94" s="167"/>
      <c r="DVN94" s="168"/>
      <c r="DVO94" s="167"/>
      <c r="DVP94" s="168"/>
      <c r="DVQ94" s="167"/>
      <c r="DVR94" s="168"/>
      <c r="DVS94" s="167"/>
      <c r="DVT94" s="168"/>
      <c r="DVU94" s="167"/>
      <c r="DVV94" s="168"/>
      <c r="DVW94" s="167"/>
      <c r="DVX94" s="168"/>
      <c r="DVY94" s="167"/>
      <c r="DVZ94" s="168"/>
      <c r="DWA94" s="167"/>
      <c r="DWB94" s="168"/>
      <c r="DWC94" s="167"/>
      <c r="DWD94" s="168"/>
      <c r="DWE94" s="167"/>
      <c r="DWF94" s="168"/>
      <c r="DWG94" s="167"/>
      <c r="DWH94" s="168"/>
      <c r="DWI94" s="167"/>
      <c r="DWJ94" s="168"/>
      <c r="DWK94" s="167"/>
      <c r="DWL94" s="168"/>
      <c r="DWM94" s="167"/>
      <c r="DWN94" s="168"/>
      <c r="DWO94" s="167"/>
      <c r="DWP94" s="168"/>
      <c r="DWQ94" s="167"/>
      <c r="DWR94" s="168"/>
      <c r="DWS94" s="167"/>
      <c r="DWT94" s="168"/>
      <c r="DWU94" s="167"/>
      <c r="DWV94" s="168"/>
      <c r="DWW94" s="167"/>
      <c r="DWX94" s="168"/>
      <c r="DWY94" s="167"/>
      <c r="DWZ94" s="168"/>
      <c r="DXA94" s="167"/>
      <c r="DXB94" s="168"/>
      <c r="DXC94" s="167"/>
      <c r="DXD94" s="168"/>
      <c r="DXE94" s="167"/>
      <c r="DXF94" s="168"/>
      <c r="DXG94" s="167"/>
      <c r="DXH94" s="168"/>
      <c r="DXI94" s="167"/>
      <c r="DXJ94" s="168"/>
      <c r="DXK94" s="167"/>
      <c r="DXL94" s="168"/>
      <c r="DXM94" s="167"/>
      <c r="DXN94" s="168"/>
      <c r="DXO94" s="167"/>
      <c r="DXP94" s="168"/>
      <c r="DXQ94" s="167"/>
      <c r="DXR94" s="168"/>
      <c r="DXS94" s="167"/>
      <c r="DXT94" s="168"/>
      <c r="DXU94" s="167"/>
      <c r="DXV94" s="168"/>
      <c r="DXW94" s="167"/>
      <c r="DXX94" s="168"/>
      <c r="DXY94" s="167"/>
      <c r="DXZ94" s="168"/>
      <c r="DYA94" s="167"/>
      <c r="DYB94" s="168"/>
      <c r="DYC94" s="167"/>
      <c r="DYD94" s="168"/>
      <c r="DYE94" s="167"/>
      <c r="DYF94" s="168"/>
      <c r="DYG94" s="167"/>
      <c r="DYH94" s="168"/>
      <c r="DYI94" s="167"/>
      <c r="DYJ94" s="168"/>
      <c r="DYK94" s="167"/>
      <c r="DYL94" s="168"/>
      <c r="DYM94" s="167"/>
      <c r="DYN94" s="168"/>
      <c r="DYO94" s="167"/>
      <c r="DYP94" s="168"/>
      <c r="DYQ94" s="167"/>
      <c r="DYR94" s="168"/>
      <c r="DYS94" s="167"/>
      <c r="DYT94" s="168"/>
      <c r="DYU94" s="167"/>
      <c r="DYV94" s="168"/>
      <c r="DYW94" s="167"/>
      <c r="DYX94" s="168"/>
      <c r="DYY94" s="167"/>
      <c r="DYZ94" s="168"/>
      <c r="DZA94" s="167"/>
      <c r="DZB94" s="168"/>
      <c r="DZC94" s="167"/>
      <c r="DZD94" s="168"/>
      <c r="DZE94" s="167"/>
      <c r="DZF94" s="168"/>
      <c r="DZG94" s="167"/>
      <c r="DZH94" s="168"/>
      <c r="DZI94" s="167"/>
      <c r="DZJ94" s="168"/>
      <c r="DZK94" s="167"/>
      <c r="DZL94" s="168"/>
      <c r="DZM94" s="167"/>
      <c r="DZN94" s="168"/>
      <c r="DZO94" s="167"/>
      <c r="DZP94" s="168"/>
      <c r="DZQ94" s="167"/>
      <c r="DZR94" s="168"/>
      <c r="DZS94" s="167"/>
      <c r="DZT94" s="168"/>
      <c r="DZU94" s="167"/>
      <c r="DZV94" s="168"/>
      <c r="DZW94" s="167"/>
      <c r="DZX94" s="168"/>
      <c r="DZY94" s="167"/>
      <c r="DZZ94" s="168"/>
      <c r="EAA94" s="167"/>
      <c r="EAB94" s="168"/>
      <c r="EAC94" s="167"/>
      <c r="EAD94" s="168"/>
      <c r="EAE94" s="167"/>
      <c r="EAF94" s="168"/>
      <c r="EAG94" s="167"/>
      <c r="EAH94" s="168"/>
      <c r="EAI94" s="167"/>
      <c r="EAJ94" s="168"/>
      <c r="EAK94" s="167"/>
      <c r="EAL94" s="168"/>
      <c r="EAM94" s="167"/>
      <c r="EAN94" s="168"/>
      <c r="EAO94" s="167"/>
      <c r="EAP94" s="168"/>
      <c r="EAQ94" s="167"/>
      <c r="EAR94" s="168"/>
      <c r="EAS94" s="167"/>
      <c r="EAT94" s="168"/>
      <c r="EAU94" s="167"/>
      <c r="EAV94" s="168"/>
      <c r="EAW94" s="167"/>
      <c r="EAX94" s="168"/>
      <c r="EAY94" s="167"/>
      <c r="EAZ94" s="168"/>
      <c r="EBA94" s="167"/>
      <c r="EBB94" s="168"/>
      <c r="EBC94" s="167"/>
      <c r="EBD94" s="168"/>
      <c r="EBE94" s="167"/>
      <c r="EBF94" s="168"/>
      <c r="EBG94" s="167"/>
      <c r="EBH94" s="168"/>
      <c r="EBI94" s="167"/>
      <c r="EBJ94" s="168"/>
      <c r="EBK94" s="167"/>
      <c r="EBL94" s="168"/>
      <c r="EBM94" s="167"/>
      <c r="EBN94" s="168"/>
      <c r="EBO94" s="167"/>
      <c r="EBP94" s="168"/>
      <c r="EBQ94" s="167"/>
      <c r="EBR94" s="168"/>
      <c r="EBS94" s="167"/>
      <c r="EBT94" s="168"/>
      <c r="EBU94" s="167"/>
      <c r="EBV94" s="168"/>
      <c r="EBW94" s="167"/>
      <c r="EBX94" s="168"/>
      <c r="EBY94" s="167"/>
      <c r="EBZ94" s="168"/>
      <c r="ECA94" s="167"/>
      <c r="ECB94" s="168"/>
      <c r="ECC94" s="167"/>
      <c r="ECD94" s="168"/>
      <c r="ECE94" s="167"/>
      <c r="ECF94" s="168"/>
      <c r="ECG94" s="167"/>
      <c r="ECH94" s="168"/>
      <c r="ECI94" s="167"/>
      <c r="ECJ94" s="168"/>
      <c r="ECK94" s="167"/>
      <c r="ECL94" s="168"/>
      <c r="ECM94" s="167"/>
      <c r="ECN94" s="168"/>
      <c r="ECO94" s="167"/>
      <c r="ECP94" s="168"/>
      <c r="ECQ94" s="167"/>
      <c r="ECR94" s="168"/>
      <c r="ECS94" s="167"/>
      <c r="ECT94" s="168"/>
      <c r="ECU94" s="167"/>
      <c r="ECV94" s="168"/>
      <c r="ECW94" s="167"/>
      <c r="ECX94" s="168"/>
      <c r="ECY94" s="167"/>
      <c r="ECZ94" s="168"/>
      <c r="EDA94" s="167"/>
      <c r="EDB94" s="168"/>
      <c r="EDC94" s="167"/>
      <c r="EDD94" s="168"/>
      <c r="EDE94" s="167"/>
      <c r="EDF94" s="168"/>
      <c r="EDG94" s="167"/>
      <c r="EDH94" s="168"/>
      <c r="EDI94" s="167"/>
      <c r="EDJ94" s="168"/>
      <c r="EDK94" s="167"/>
      <c r="EDL94" s="168"/>
      <c r="EDM94" s="167"/>
      <c r="EDN94" s="168"/>
      <c r="EDO94" s="167"/>
      <c r="EDP94" s="168"/>
      <c r="EDQ94" s="167"/>
      <c r="EDR94" s="168"/>
      <c r="EDS94" s="167"/>
      <c r="EDT94" s="168"/>
      <c r="EDU94" s="167"/>
      <c r="EDV94" s="168"/>
      <c r="EDW94" s="167"/>
      <c r="EDX94" s="168"/>
      <c r="EDY94" s="167"/>
      <c r="EDZ94" s="168"/>
      <c r="EEA94" s="167"/>
      <c r="EEB94" s="168"/>
      <c r="EEC94" s="167"/>
      <c r="EED94" s="168"/>
      <c r="EEE94" s="167"/>
      <c r="EEF94" s="168"/>
      <c r="EEG94" s="167"/>
      <c r="EEH94" s="168"/>
      <c r="EEI94" s="167"/>
      <c r="EEJ94" s="168"/>
      <c r="EEK94" s="167"/>
      <c r="EEL94" s="168"/>
      <c r="EEM94" s="167"/>
      <c r="EEN94" s="168"/>
      <c r="EEO94" s="167"/>
      <c r="EEP94" s="168"/>
      <c r="EEQ94" s="167"/>
      <c r="EER94" s="168"/>
      <c r="EES94" s="167"/>
      <c r="EET94" s="168"/>
      <c r="EEU94" s="167"/>
      <c r="EEV94" s="168"/>
      <c r="EEW94" s="167"/>
      <c r="EEX94" s="168"/>
      <c r="EEY94" s="167"/>
      <c r="EEZ94" s="168"/>
      <c r="EFA94" s="167"/>
      <c r="EFB94" s="168"/>
      <c r="EFC94" s="167"/>
      <c r="EFD94" s="168"/>
      <c r="EFE94" s="167"/>
      <c r="EFF94" s="168"/>
      <c r="EFG94" s="167"/>
      <c r="EFH94" s="168"/>
      <c r="EFI94" s="167"/>
      <c r="EFJ94" s="168"/>
      <c r="EFK94" s="167"/>
      <c r="EFL94" s="168"/>
      <c r="EFM94" s="167"/>
      <c r="EFN94" s="168"/>
      <c r="EFO94" s="167"/>
      <c r="EFP94" s="168"/>
      <c r="EFQ94" s="167"/>
      <c r="EFR94" s="168"/>
      <c r="EFS94" s="167"/>
      <c r="EFT94" s="168"/>
      <c r="EFU94" s="167"/>
      <c r="EFV94" s="168"/>
      <c r="EFW94" s="167"/>
      <c r="EFX94" s="168"/>
      <c r="EFY94" s="167"/>
      <c r="EFZ94" s="168"/>
      <c r="EGA94" s="167"/>
      <c r="EGB94" s="168"/>
      <c r="EGC94" s="167"/>
      <c r="EGD94" s="168"/>
      <c r="EGE94" s="167"/>
      <c r="EGF94" s="168"/>
      <c r="EGG94" s="167"/>
      <c r="EGH94" s="168"/>
      <c r="EGI94" s="167"/>
      <c r="EGJ94" s="168"/>
      <c r="EGK94" s="167"/>
      <c r="EGL94" s="168"/>
      <c r="EGM94" s="167"/>
      <c r="EGN94" s="168"/>
      <c r="EGO94" s="167"/>
      <c r="EGP94" s="168"/>
      <c r="EGQ94" s="167"/>
      <c r="EGR94" s="168"/>
      <c r="EGS94" s="167"/>
      <c r="EGT94" s="168"/>
      <c r="EGU94" s="167"/>
      <c r="EGV94" s="168"/>
      <c r="EGW94" s="167"/>
      <c r="EGX94" s="168"/>
      <c r="EGY94" s="167"/>
      <c r="EGZ94" s="168"/>
      <c r="EHA94" s="167"/>
      <c r="EHB94" s="168"/>
      <c r="EHC94" s="167"/>
      <c r="EHD94" s="168"/>
      <c r="EHE94" s="167"/>
      <c r="EHF94" s="168"/>
      <c r="EHG94" s="167"/>
      <c r="EHH94" s="168"/>
      <c r="EHI94" s="167"/>
      <c r="EHJ94" s="168"/>
      <c r="EHK94" s="167"/>
      <c r="EHL94" s="168"/>
      <c r="EHM94" s="167"/>
      <c r="EHN94" s="168"/>
      <c r="EHO94" s="167"/>
      <c r="EHP94" s="168"/>
      <c r="EHQ94" s="167"/>
      <c r="EHR94" s="168"/>
      <c r="EHS94" s="167"/>
      <c r="EHT94" s="168"/>
      <c r="EHU94" s="167"/>
      <c r="EHV94" s="168"/>
      <c r="EHW94" s="167"/>
      <c r="EHX94" s="168"/>
      <c r="EHY94" s="167"/>
      <c r="EHZ94" s="168"/>
      <c r="EIA94" s="167"/>
      <c r="EIB94" s="168"/>
      <c r="EIC94" s="167"/>
      <c r="EID94" s="168"/>
      <c r="EIE94" s="167"/>
      <c r="EIF94" s="168"/>
      <c r="EIG94" s="167"/>
      <c r="EIH94" s="168"/>
      <c r="EII94" s="167"/>
      <c r="EIJ94" s="168"/>
      <c r="EIK94" s="167"/>
      <c r="EIL94" s="168"/>
      <c r="EIM94" s="167"/>
      <c r="EIN94" s="168"/>
      <c r="EIO94" s="167"/>
      <c r="EIP94" s="168"/>
      <c r="EIQ94" s="167"/>
      <c r="EIR94" s="168"/>
      <c r="EIS94" s="167"/>
      <c r="EIT94" s="168"/>
      <c r="EIU94" s="167"/>
      <c r="EIV94" s="168"/>
      <c r="EIW94" s="167"/>
      <c r="EIX94" s="168"/>
      <c r="EIY94" s="167"/>
      <c r="EIZ94" s="168"/>
      <c r="EJA94" s="167"/>
      <c r="EJB94" s="168"/>
      <c r="EJC94" s="167"/>
      <c r="EJD94" s="168"/>
      <c r="EJE94" s="167"/>
      <c r="EJF94" s="168"/>
      <c r="EJG94" s="167"/>
      <c r="EJH94" s="168"/>
      <c r="EJI94" s="167"/>
      <c r="EJJ94" s="168"/>
      <c r="EJK94" s="167"/>
      <c r="EJL94" s="168"/>
      <c r="EJM94" s="167"/>
      <c r="EJN94" s="168"/>
      <c r="EJO94" s="167"/>
      <c r="EJP94" s="168"/>
      <c r="EJQ94" s="167"/>
      <c r="EJR94" s="168"/>
      <c r="EJS94" s="167"/>
      <c r="EJT94" s="168"/>
      <c r="EJU94" s="167"/>
      <c r="EJV94" s="168"/>
      <c r="EJW94" s="167"/>
      <c r="EJX94" s="168"/>
      <c r="EJY94" s="167"/>
      <c r="EJZ94" s="168"/>
      <c r="EKA94" s="167"/>
      <c r="EKB94" s="168"/>
      <c r="EKC94" s="167"/>
      <c r="EKD94" s="168"/>
      <c r="EKE94" s="167"/>
      <c r="EKF94" s="168"/>
      <c r="EKG94" s="167"/>
      <c r="EKH94" s="168"/>
      <c r="EKI94" s="167"/>
      <c r="EKJ94" s="168"/>
      <c r="EKK94" s="167"/>
      <c r="EKL94" s="168"/>
      <c r="EKM94" s="167"/>
      <c r="EKN94" s="168"/>
      <c r="EKO94" s="167"/>
      <c r="EKP94" s="168"/>
      <c r="EKQ94" s="167"/>
      <c r="EKR94" s="168"/>
      <c r="EKS94" s="167"/>
      <c r="EKT94" s="168"/>
      <c r="EKU94" s="167"/>
      <c r="EKV94" s="168"/>
      <c r="EKW94" s="167"/>
      <c r="EKX94" s="168"/>
      <c r="EKY94" s="167"/>
      <c r="EKZ94" s="168"/>
      <c r="ELA94" s="167"/>
      <c r="ELB94" s="168"/>
      <c r="ELC94" s="167"/>
      <c r="ELD94" s="168"/>
      <c r="ELE94" s="167"/>
      <c r="ELF94" s="168"/>
      <c r="ELG94" s="167"/>
      <c r="ELH94" s="168"/>
      <c r="ELI94" s="167"/>
      <c r="ELJ94" s="168"/>
      <c r="ELK94" s="167"/>
      <c r="ELL94" s="168"/>
      <c r="ELM94" s="167"/>
      <c r="ELN94" s="168"/>
      <c r="ELO94" s="167"/>
      <c r="ELP94" s="168"/>
      <c r="ELQ94" s="167"/>
      <c r="ELR94" s="168"/>
      <c r="ELS94" s="167"/>
      <c r="ELT94" s="168"/>
      <c r="ELU94" s="167"/>
      <c r="ELV94" s="168"/>
      <c r="ELW94" s="167"/>
      <c r="ELX94" s="168"/>
      <c r="ELY94" s="167"/>
      <c r="ELZ94" s="168"/>
      <c r="EMA94" s="167"/>
      <c r="EMB94" s="168"/>
      <c r="EMC94" s="167"/>
      <c r="EMD94" s="168"/>
      <c r="EME94" s="167"/>
      <c r="EMF94" s="168"/>
      <c r="EMG94" s="167"/>
      <c r="EMH94" s="168"/>
      <c r="EMI94" s="167"/>
      <c r="EMJ94" s="168"/>
      <c r="EMK94" s="167"/>
      <c r="EML94" s="168"/>
      <c r="EMM94" s="167"/>
      <c r="EMN94" s="168"/>
      <c r="EMO94" s="167"/>
      <c r="EMP94" s="168"/>
      <c r="EMQ94" s="167"/>
      <c r="EMR94" s="168"/>
      <c r="EMS94" s="167"/>
      <c r="EMT94" s="168"/>
      <c r="EMU94" s="167"/>
      <c r="EMV94" s="168"/>
      <c r="EMW94" s="167"/>
      <c r="EMX94" s="168"/>
      <c r="EMY94" s="167"/>
      <c r="EMZ94" s="168"/>
      <c r="ENA94" s="167"/>
      <c r="ENB94" s="168"/>
      <c r="ENC94" s="167"/>
      <c r="END94" s="168"/>
      <c r="ENE94" s="167"/>
      <c r="ENF94" s="168"/>
      <c r="ENG94" s="167"/>
      <c r="ENH94" s="168"/>
      <c r="ENI94" s="167"/>
      <c r="ENJ94" s="168"/>
      <c r="ENK94" s="167"/>
      <c r="ENL94" s="168"/>
      <c r="ENM94" s="167"/>
      <c r="ENN94" s="168"/>
      <c r="ENO94" s="167"/>
      <c r="ENP94" s="168"/>
      <c r="ENQ94" s="167"/>
      <c r="ENR94" s="168"/>
      <c r="ENS94" s="167"/>
      <c r="ENT94" s="168"/>
      <c r="ENU94" s="167"/>
      <c r="ENV94" s="168"/>
      <c r="ENW94" s="167"/>
      <c r="ENX94" s="168"/>
      <c r="ENY94" s="167"/>
      <c r="ENZ94" s="168"/>
      <c r="EOA94" s="167"/>
      <c r="EOB94" s="168"/>
      <c r="EOC94" s="167"/>
      <c r="EOD94" s="168"/>
      <c r="EOE94" s="167"/>
      <c r="EOF94" s="168"/>
      <c r="EOG94" s="167"/>
      <c r="EOH94" s="168"/>
      <c r="EOI94" s="167"/>
      <c r="EOJ94" s="168"/>
      <c r="EOK94" s="167"/>
      <c r="EOL94" s="168"/>
      <c r="EOM94" s="167"/>
      <c r="EON94" s="168"/>
      <c r="EOO94" s="167"/>
      <c r="EOP94" s="168"/>
      <c r="EOQ94" s="167"/>
      <c r="EOR94" s="168"/>
      <c r="EOS94" s="167"/>
      <c r="EOT94" s="168"/>
      <c r="EOU94" s="167"/>
      <c r="EOV94" s="168"/>
      <c r="EOW94" s="167"/>
      <c r="EOX94" s="168"/>
      <c r="EOY94" s="167"/>
      <c r="EOZ94" s="168"/>
      <c r="EPA94" s="167"/>
      <c r="EPB94" s="168"/>
      <c r="EPC94" s="167"/>
      <c r="EPD94" s="168"/>
      <c r="EPE94" s="167"/>
      <c r="EPF94" s="168"/>
      <c r="EPG94" s="167"/>
      <c r="EPH94" s="168"/>
      <c r="EPI94" s="167"/>
      <c r="EPJ94" s="168"/>
      <c r="EPK94" s="167"/>
      <c r="EPL94" s="168"/>
      <c r="EPM94" s="167"/>
      <c r="EPN94" s="168"/>
      <c r="EPO94" s="167"/>
      <c r="EPP94" s="168"/>
      <c r="EPQ94" s="167"/>
      <c r="EPR94" s="168"/>
      <c r="EPS94" s="167"/>
      <c r="EPT94" s="168"/>
      <c r="EPU94" s="167"/>
      <c r="EPV94" s="168"/>
      <c r="EPW94" s="167"/>
      <c r="EPX94" s="168"/>
      <c r="EPY94" s="167"/>
      <c r="EPZ94" s="168"/>
      <c r="EQA94" s="167"/>
      <c r="EQB94" s="168"/>
      <c r="EQC94" s="167"/>
      <c r="EQD94" s="168"/>
      <c r="EQE94" s="167"/>
      <c r="EQF94" s="168"/>
      <c r="EQG94" s="167"/>
      <c r="EQH94" s="168"/>
      <c r="EQI94" s="167"/>
      <c r="EQJ94" s="168"/>
      <c r="EQK94" s="167"/>
      <c r="EQL94" s="168"/>
      <c r="EQM94" s="167"/>
      <c r="EQN94" s="168"/>
      <c r="EQO94" s="167"/>
      <c r="EQP94" s="168"/>
      <c r="EQQ94" s="167"/>
      <c r="EQR94" s="168"/>
      <c r="EQS94" s="167"/>
      <c r="EQT94" s="168"/>
      <c r="EQU94" s="167"/>
      <c r="EQV94" s="168"/>
      <c r="EQW94" s="167"/>
      <c r="EQX94" s="168"/>
      <c r="EQY94" s="167"/>
      <c r="EQZ94" s="168"/>
      <c r="ERA94" s="167"/>
      <c r="ERB94" s="168"/>
      <c r="ERC94" s="167"/>
      <c r="ERD94" s="168"/>
      <c r="ERE94" s="167"/>
      <c r="ERF94" s="168"/>
      <c r="ERG94" s="167"/>
      <c r="ERH94" s="168"/>
      <c r="ERI94" s="167"/>
      <c r="ERJ94" s="168"/>
      <c r="ERK94" s="167"/>
      <c r="ERL94" s="168"/>
      <c r="ERM94" s="167"/>
      <c r="ERN94" s="168"/>
      <c r="ERO94" s="167"/>
      <c r="ERP94" s="168"/>
      <c r="ERQ94" s="167"/>
      <c r="ERR94" s="168"/>
      <c r="ERS94" s="167"/>
      <c r="ERT94" s="168"/>
      <c r="ERU94" s="167"/>
      <c r="ERV94" s="168"/>
      <c r="ERW94" s="167"/>
      <c r="ERX94" s="168"/>
      <c r="ERY94" s="167"/>
      <c r="ERZ94" s="168"/>
      <c r="ESA94" s="167"/>
      <c r="ESB94" s="168"/>
      <c r="ESC94" s="167"/>
      <c r="ESD94" s="168"/>
      <c r="ESE94" s="167"/>
      <c r="ESF94" s="168"/>
      <c r="ESG94" s="167"/>
      <c r="ESH94" s="168"/>
      <c r="ESI94" s="167"/>
      <c r="ESJ94" s="168"/>
      <c r="ESK94" s="167"/>
      <c r="ESL94" s="168"/>
      <c r="ESM94" s="167"/>
      <c r="ESN94" s="168"/>
      <c r="ESO94" s="167"/>
      <c r="ESP94" s="168"/>
      <c r="ESQ94" s="167"/>
      <c r="ESR94" s="168"/>
      <c r="ESS94" s="167"/>
      <c r="EST94" s="168"/>
      <c r="ESU94" s="167"/>
      <c r="ESV94" s="168"/>
      <c r="ESW94" s="167"/>
      <c r="ESX94" s="168"/>
      <c r="ESY94" s="167"/>
      <c r="ESZ94" s="168"/>
      <c r="ETA94" s="167"/>
      <c r="ETB94" s="168"/>
      <c r="ETC94" s="167"/>
      <c r="ETD94" s="168"/>
      <c r="ETE94" s="167"/>
      <c r="ETF94" s="168"/>
      <c r="ETG94" s="167"/>
      <c r="ETH94" s="168"/>
      <c r="ETI94" s="167"/>
      <c r="ETJ94" s="168"/>
      <c r="ETK94" s="167"/>
      <c r="ETL94" s="168"/>
      <c r="ETM94" s="167"/>
      <c r="ETN94" s="168"/>
      <c r="ETO94" s="167"/>
      <c r="ETP94" s="168"/>
      <c r="ETQ94" s="167"/>
      <c r="ETR94" s="168"/>
      <c r="ETS94" s="167"/>
      <c r="ETT94" s="168"/>
      <c r="ETU94" s="167"/>
      <c r="ETV94" s="168"/>
      <c r="ETW94" s="167"/>
      <c r="ETX94" s="168"/>
      <c r="ETY94" s="167"/>
      <c r="ETZ94" s="168"/>
      <c r="EUA94" s="167"/>
      <c r="EUB94" s="168"/>
      <c r="EUC94" s="167"/>
      <c r="EUD94" s="168"/>
      <c r="EUE94" s="167"/>
      <c r="EUF94" s="168"/>
      <c r="EUG94" s="167"/>
      <c r="EUH94" s="168"/>
      <c r="EUI94" s="167"/>
      <c r="EUJ94" s="168"/>
      <c r="EUK94" s="167"/>
      <c r="EUL94" s="168"/>
      <c r="EUM94" s="167"/>
      <c r="EUN94" s="168"/>
      <c r="EUO94" s="167"/>
      <c r="EUP94" s="168"/>
      <c r="EUQ94" s="167"/>
      <c r="EUR94" s="168"/>
      <c r="EUS94" s="167"/>
      <c r="EUT94" s="168"/>
      <c r="EUU94" s="167"/>
      <c r="EUV94" s="168"/>
      <c r="EUW94" s="167"/>
      <c r="EUX94" s="168"/>
      <c r="EUY94" s="167"/>
      <c r="EUZ94" s="168"/>
      <c r="EVA94" s="167"/>
      <c r="EVB94" s="168"/>
      <c r="EVC94" s="167"/>
      <c r="EVD94" s="168"/>
      <c r="EVE94" s="167"/>
      <c r="EVF94" s="168"/>
      <c r="EVG94" s="167"/>
      <c r="EVH94" s="168"/>
      <c r="EVI94" s="167"/>
      <c r="EVJ94" s="168"/>
      <c r="EVK94" s="167"/>
      <c r="EVL94" s="168"/>
      <c r="EVM94" s="167"/>
      <c r="EVN94" s="168"/>
      <c r="EVO94" s="167"/>
      <c r="EVP94" s="168"/>
      <c r="EVQ94" s="167"/>
      <c r="EVR94" s="168"/>
      <c r="EVS94" s="167"/>
      <c r="EVT94" s="168"/>
      <c r="EVU94" s="167"/>
      <c r="EVV94" s="168"/>
      <c r="EVW94" s="167"/>
      <c r="EVX94" s="168"/>
      <c r="EVY94" s="167"/>
      <c r="EVZ94" s="168"/>
      <c r="EWA94" s="167"/>
      <c r="EWB94" s="168"/>
      <c r="EWC94" s="167"/>
      <c r="EWD94" s="168"/>
      <c r="EWE94" s="167"/>
      <c r="EWF94" s="168"/>
      <c r="EWG94" s="167"/>
      <c r="EWH94" s="168"/>
      <c r="EWI94" s="167"/>
      <c r="EWJ94" s="168"/>
      <c r="EWK94" s="167"/>
      <c r="EWL94" s="168"/>
      <c r="EWM94" s="167"/>
      <c r="EWN94" s="168"/>
      <c r="EWO94" s="167"/>
      <c r="EWP94" s="168"/>
      <c r="EWQ94" s="167"/>
      <c r="EWR94" s="168"/>
      <c r="EWS94" s="167"/>
      <c r="EWT94" s="168"/>
      <c r="EWU94" s="167"/>
      <c r="EWV94" s="168"/>
      <c r="EWW94" s="167"/>
      <c r="EWX94" s="168"/>
      <c r="EWY94" s="167"/>
      <c r="EWZ94" s="168"/>
      <c r="EXA94" s="167"/>
      <c r="EXB94" s="168"/>
      <c r="EXC94" s="167"/>
      <c r="EXD94" s="168"/>
      <c r="EXE94" s="167"/>
      <c r="EXF94" s="168"/>
      <c r="EXG94" s="167"/>
      <c r="EXH94" s="168"/>
      <c r="EXI94" s="167"/>
      <c r="EXJ94" s="168"/>
      <c r="EXK94" s="167"/>
      <c r="EXL94" s="168"/>
      <c r="EXM94" s="167"/>
      <c r="EXN94" s="168"/>
      <c r="EXO94" s="167"/>
      <c r="EXP94" s="168"/>
      <c r="EXQ94" s="167"/>
      <c r="EXR94" s="168"/>
      <c r="EXS94" s="167"/>
      <c r="EXT94" s="168"/>
      <c r="EXU94" s="167"/>
      <c r="EXV94" s="168"/>
      <c r="EXW94" s="167"/>
      <c r="EXX94" s="168"/>
      <c r="EXY94" s="167"/>
      <c r="EXZ94" s="168"/>
      <c r="EYA94" s="167"/>
      <c r="EYB94" s="168"/>
      <c r="EYC94" s="167"/>
      <c r="EYD94" s="168"/>
      <c r="EYE94" s="167"/>
      <c r="EYF94" s="168"/>
      <c r="EYG94" s="167"/>
      <c r="EYH94" s="168"/>
      <c r="EYI94" s="167"/>
      <c r="EYJ94" s="168"/>
      <c r="EYK94" s="167"/>
      <c r="EYL94" s="168"/>
      <c r="EYM94" s="167"/>
      <c r="EYN94" s="168"/>
      <c r="EYO94" s="167"/>
      <c r="EYP94" s="168"/>
      <c r="EYQ94" s="167"/>
      <c r="EYR94" s="168"/>
      <c r="EYS94" s="167"/>
      <c r="EYT94" s="168"/>
      <c r="EYU94" s="167"/>
      <c r="EYV94" s="168"/>
      <c r="EYW94" s="167"/>
      <c r="EYX94" s="168"/>
      <c r="EYY94" s="167"/>
      <c r="EYZ94" s="168"/>
      <c r="EZA94" s="167"/>
      <c r="EZB94" s="168"/>
      <c r="EZC94" s="167"/>
      <c r="EZD94" s="168"/>
      <c r="EZE94" s="167"/>
      <c r="EZF94" s="168"/>
      <c r="EZG94" s="167"/>
      <c r="EZH94" s="168"/>
      <c r="EZI94" s="167"/>
      <c r="EZJ94" s="168"/>
      <c r="EZK94" s="167"/>
      <c r="EZL94" s="168"/>
      <c r="EZM94" s="167"/>
      <c r="EZN94" s="168"/>
      <c r="EZO94" s="167"/>
      <c r="EZP94" s="168"/>
      <c r="EZQ94" s="167"/>
      <c r="EZR94" s="168"/>
      <c r="EZS94" s="167"/>
      <c r="EZT94" s="168"/>
      <c r="EZU94" s="167"/>
      <c r="EZV94" s="168"/>
      <c r="EZW94" s="167"/>
      <c r="EZX94" s="168"/>
      <c r="EZY94" s="167"/>
      <c r="EZZ94" s="168"/>
      <c r="FAA94" s="167"/>
      <c r="FAB94" s="168"/>
      <c r="FAC94" s="167"/>
      <c r="FAD94" s="168"/>
      <c r="FAE94" s="167"/>
      <c r="FAF94" s="168"/>
      <c r="FAG94" s="167"/>
      <c r="FAH94" s="168"/>
      <c r="FAI94" s="167"/>
      <c r="FAJ94" s="168"/>
      <c r="FAK94" s="167"/>
      <c r="FAL94" s="168"/>
      <c r="FAM94" s="167"/>
      <c r="FAN94" s="168"/>
      <c r="FAO94" s="167"/>
      <c r="FAP94" s="168"/>
      <c r="FAQ94" s="167"/>
      <c r="FAR94" s="168"/>
      <c r="FAS94" s="167"/>
      <c r="FAT94" s="168"/>
      <c r="FAU94" s="167"/>
      <c r="FAV94" s="168"/>
      <c r="FAW94" s="167"/>
      <c r="FAX94" s="168"/>
      <c r="FAY94" s="167"/>
      <c r="FAZ94" s="168"/>
      <c r="FBA94" s="167"/>
      <c r="FBB94" s="168"/>
      <c r="FBC94" s="167"/>
      <c r="FBD94" s="168"/>
      <c r="FBE94" s="167"/>
      <c r="FBF94" s="168"/>
      <c r="FBG94" s="167"/>
      <c r="FBH94" s="168"/>
      <c r="FBI94" s="167"/>
      <c r="FBJ94" s="168"/>
      <c r="FBK94" s="167"/>
      <c r="FBL94" s="168"/>
      <c r="FBM94" s="167"/>
      <c r="FBN94" s="168"/>
      <c r="FBO94" s="167"/>
      <c r="FBP94" s="168"/>
      <c r="FBQ94" s="167"/>
      <c r="FBR94" s="168"/>
      <c r="FBS94" s="167"/>
      <c r="FBT94" s="168"/>
      <c r="FBU94" s="167"/>
      <c r="FBV94" s="168"/>
      <c r="FBW94" s="167"/>
      <c r="FBX94" s="168"/>
      <c r="FBY94" s="167"/>
      <c r="FBZ94" s="168"/>
      <c r="FCA94" s="167"/>
      <c r="FCB94" s="168"/>
      <c r="FCC94" s="167"/>
      <c r="FCD94" s="168"/>
      <c r="FCE94" s="167"/>
      <c r="FCF94" s="168"/>
      <c r="FCG94" s="167"/>
      <c r="FCH94" s="168"/>
      <c r="FCI94" s="167"/>
      <c r="FCJ94" s="168"/>
      <c r="FCK94" s="167"/>
      <c r="FCL94" s="168"/>
      <c r="FCM94" s="167"/>
      <c r="FCN94" s="168"/>
      <c r="FCO94" s="167"/>
      <c r="FCP94" s="168"/>
      <c r="FCQ94" s="167"/>
      <c r="FCR94" s="168"/>
      <c r="FCS94" s="167"/>
      <c r="FCT94" s="168"/>
      <c r="FCU94" s="167"/>
      <c r="FCV94" s="168"/>
      <c r="FCW94" s="167"/>
      <c r="FCX94" s="168"/>
      <c r="FCY94" s="167"/>
      <c r="FCZ94" s="168"/>
      <c r="FDA94" s="167"/>
      <c r="FDB94" s="168"/>
      <c r="FDC94" s="167"/>
      <c r="FDD94" s="168"/>
      <c r="FDE94" s="167"/>
      <c r="FDF94" s="168"/>
      <c r="FDG94" s="167"/>
      <c r="FDH94" s="168"/>
      <c r="FDI94" s="167"/>
      <c r="FDJ94" s="168"/>
      <c r="FDK94" s="167"/>
      <c r="FDL94" s="168"/>
      <c r="FDM94" s="167"/>
      <c r="FDN94" s="168"/>
      <c r="FDO94" s="167"/>
      <c r="FDP94" s="168"/>
      <c r="FDQ94" s="167"/>
      <c r="FDR94" s="168"/>
      <c r="FDS94" s="167"/>
      <c r="FDT94" s="168"/>
      <c r="FDU94" s="167"/>
      <c r="FDV94" s="168"/>
      <c r="FDW94" s="167"/>
      <c r="FDX94" s="168"/>
      <c r="FDY94" s="167"/>
      <c r="FDZ94" s="168"/>
      <c r="FEA94" s="167"/>
      <c r="FEB94" s="168"/>
      <c r="FEC94" s="167"/>
      <c r="FED94" s="168"/>
      <c r="FEE94" s="167"/>
      <c r="FEF94" s="168"/>
      <c r="FEG94" s="167"/>
      <c r="FEH94" s="168"/>
      <c r="FEI94" s="167"/>
      <c r="FEJ94" s="168"/>
      <c r="FEK94" s="167"/>
      <c r="FEL94" s="168"/>
      <c r="FEM94" s="167"/>
      <c r="FEN94" s="168"/>
      <c r="FEO94" s="167"/>
      <c r="FEP94" s="168"/>
      <c r="FEQ94" s="167"/>
      <c r="FER94" s="168"/>
      <c r="FES94" s="167"/>
      <c r="FET94" s="168"/>
      <c r="FEU94" s="167"/>
      <c r="FEV94" s="168"/>
      <c r="FEW94" s="167"/>
      <c r="FEX94" s="168"/>
      <c r="FEY94" s="167"/>
      <c r="FEZ94" s="168"/>
      <c r="FFA94" s="167"/>
      <c r="FFB94" s="168"/>
      <c r="FFC94" s="167"/>
      <c r="FFD94" s="168"/>
      <c r="FFE94" s="167"/>
      <c r="FFF94" s="168"/>
      <c r="FFG94" s="167"/>
      <c r="FFH94" s="168"/>
      <c r="FFI94" s="167"/>
      <c r="FFJ94" s="168"/>
      <c r="FFK94" s="167"/>
      <c r="FFL94" s="168"/>
      <c r="FFM94" s="167"/>
      <c r="FFN94" s="168"/>
      <c r="FFO94" s="167"/>
      <c r="FFP94" s="168"/>
      <c r="FFQ94" s="167"/>
      <c r="FFR94" s="168"/>
      <c r="FFS94" s="167"/>
      <c r="FFT94" s="168"/>
      <c r="FFU94" s="167"/>
      <c r="FFV94" s="168"/>
      <c r="FFW94" s="167"/>
      <c r="FFX94" s="168"/>
      <c r="FFY94" s="167"/>
      <c r="FFZ94" s="168"/>
      <c r="FGA94" s="167"/>
      <c r="FGB94" s="168"/>
      <c r="FGC94" s="167"/>
      <c r="FGD94" s="168"/>
      <c r="FGE94" s="167"/>
      <c r="FGF94" s="168"/>
      <c r="FGG94" s="167"/>
      <c r="FGH94" s="168"/>
      <c r="FGI94" s="167"/>
      <c r="FGJ94" s="168"/>
      <c r="FGK94" s="167"/>
      <c r="FGL94" s="168"/>
      <c r="FGM94" s="167"/>
      <c r="FGN94" s="168"/>
      <c r="FGO94" s="167"/>
      <c r="FGP94" s="168"/>
      <c r="FGQ94" s="167"/>
      <c r="FGR94" s="168"/>
      <c r="FGS94" s="167"/>
      <c r="FGT94" s="168"/>
      <c r="FGU94" s="167"/>
      <c r="FGV94" s="168"/>
      <c r="FGW94" s="167"/>
      <c r="FGX94" s="168"/>
      <c r="FGY94" s="167"/>
      <c r="FGZ94" s="168"/>
      <c r="FHA94" s="167"/>
      <c r="FHB94" s="168"/>
      <c r="FHC94" s="167"/>
      <c r="FHD94" s="168"/>
      <c r="FHE94" s="167"/>
      <c r="FHF94" s="168"/>
      <c r="FHG94" s="167"/>
      <c r="FHH94" s="168"/>
      <c r="FHI94" s="167"/>
      <c r="FHJ94" s="168"/>
      <c r="FHK94" s="167"/>
      <c r="FHL94" s="168"/>
      <c r="FHM94" s="167"/>
      <c r="FHN94" s="168"/>
      <c r="FHO94" s="167"/>
      <c r="FHP94" s="168"/>
      <c r="FHQ94" s="167"/>
      <c r="FHR94" s="168"/>
      <c r="FHS94" s="167"/>
      <c r="FHT94" s="168"/>
      <c r="FHU94" s="167"/>
      <c r="FHV94" s="168"/>
      <c r="FHW94" s="167"/>
      <c r="FHX94" s="168"/>
      <c r="FHY94" s="167"/>
      <c r="FHZ94" s="168"/>
      <c r="FIA94" s="167"/>
      <c r="FIB94" s="168"/>
      <c r="FIC94" s="167"/>
      <c r="FID94" s="168"/>
      <c r="FIE94" s="167"/>
      <c r="FIF94" s="168"/>
      <c r="FIG94" s="167"/>
      <c r="FIH94" s="168"/>
      <c r="FII94" s="167"/>
      <c r="FIJ94" s="168"/>
      <c r="FIK94" s="167"/>
      <c r="FIL94" s="168"/>
      <c r="FIM94" s="167"/>
      <c r="FIN94" s="168"/>
      <c r="FIO94" s="167"/>
      <c r="FIP94" s="168"/>
      <c r="FIQ94" s="167"/>
      <c r="FIR94" s="168"/>
      <c r="FIS94" s="167"/>
      <c r="FIT94" s="168"/>
      <c r="FIU94" s="167"/>
      <c r="FIV94" s="168"/>
      <c r="FIW94" s="167"/>
      <c r="FIX94" s="168"/>
      <c r="FIY94" s="167"/>
      <c r="FIZ94" s="168"/>
      <c r="FJA94" s="167"/>
      <c r="FJB94" s="168"/>
      <c r="FJC94" s="167"/>
      <c r="FJD94" s="168"/>
      <c r="FJE94" s="167"/>
      <c r="FJF94" s="168"/>
      <c r="FJG94" s="167"/>
      <c r="FJH94" s="168"/>
      <c r="FJI94" s="167"/>
      <c r="FJJ94" s="168"/>
      <c r="FJK94" s="167"/>
      <c r="FJL94" s="168"/>
      <c r="FJM94" s="167"/>
      <c r="FJN94" s="168"/>
      <c r="FJO94" s="167"/>
      <c r="FJP94" s="168"/>
      <c r="FJQ94" s="167"/>
      <c r="FJR94" s="168"/>
      <c r="FJS94" s="167"/>
      <c r="FJT94" s="168"/>
      <c r="FJU94" s="167"/>
      <c r="FJV94" s="168"/>
      <c r="FJW94" s="167"/>
      <c r="FJX94" s="168"/>
      <c r="FJY94" s="167"/>
      <c r="FJZ94" s="168"/>
      <c r="FKA94" s="167"/>
      <c r="FKB94" s="168"/>
      <c r="FKC94" s="167"/>
      <c r="FKD94" s="168"/>
      <c r="FKE94" s="167"/>
      <c r="FKF94" s="168"/>
      <c r="FKG94" s="167"/>
      <c r="FKH94" s="168"/>
      <c r="FKI94" s="167"/>
      <c r="FKJ94" s="168"/>
      <c r="FKK94" s="167"/>
      <c r="FKL94" s="168"/>
      <c r="FKM94" s="167"/>
      <c r="FKN94" s="168"/>
      <c r="FKO94" s="167"/>
      <c r="FKP94" s="168"/>
      <c r="FKQ94" s="167"/>
      <c r="FKR94" s="168"/>
      <c r="FKS94" s="167"/>
      <c r="FKT94" s="168"/>
      <c r="FKU94" s="167"/>
      <c r="FKV94" s="168"/>
      <c r="FKW94" s="167"/>
      <c r="FKX94" s="168"/>
      <c r="FKY94" s="167"/>
      <c r="FKZ94" s="168"/>
      <c r="FLA94" s="167"/>
      <c r="FLB94" s="168"/>
      <c r="FLC94" s="167"/>
      <c r="FLD94" s="168"/>
      <c r="FLE94" s="167"/>
      <c r="FLF94" s="168"/>
      <c r="FLG94" s="167"/>
      <c r="FLH94" s="168"/>
      <c r="FLI94" s="167"/>
      <c r="FLJ94" s="168"/>
      <c r="FLK94" s="167"/>
      <c r="FLL94" s="168"/>
      <c r="FLM94" s="167"/>
      <c r="FLN94" s="168"/>
      <c r="FLO94" s="167"/>
      <c r="FLP94" s="168"/>
      <c r="FLQ94" s="167"/>
      <c r="FLR94" s="168"/>
      <c r="FLS94" s="167"/>
      <c r="FLT94" s="168"/>
      <c r="FLU94" s="167"/>
      <c r="FLV94" s="168"/>
      <c r="FLW94" s="167"/>
      <c r="FLX94" s="168"/>
      <c r="FLY94" s="167"/>
      <c r="FLZ94" s="168"/>
      <c r="FMA94" s="167"/>
      <c r="FMB94" s="168"/>
      <c r="FMC94" s="167"/>
      <c r="FMD94" s="168"/>
      <c r="FME94" s="167"/>
      <c r="FMF94" s="168"/>
      <c r="FMG94" s="167"/>
      <c r="FMH94" s="168"/>
      <c r="FMI94" s="167"/>
      <c r="FMJ94" s="168"/>
      <c r="FMK94" s="167"/>
      <c r="FML94" s="168"/>
      <c r="FMM94" s="167"/>
      <c r="FMN94" s="168"/>
      <c r="FMO94" s="167"/>
      <c r="FMP94" s="168"/>
      <c r="FMQ94" s="167"/>
      <c r="FMR94" s="168"/>
      <c r="FMS94" s="167"/>
      <c r="FMT94" s="168"/>
      <c r="FMU94" s="167"/>
      <c r="FMV94" s="168"/>
      <c r="FMW94" s="167"/>
      <c r="FMX94" s="168"/>
      <c r="FMY94" s="167"/>
      <c r="FMZ94" s="168"/>
      <c r="FNA94" s="167"/>
      <c r="FNB94" s="168"/>
      <c r="FNC94" s="167"/>
      <c r="FND94" s="168"/>
      <c r="FNE94" s="167"/>
      <c r="FNF94" s="168"/>
      <c r="FNG94" s="167"/>
      <c r="FNH94" s="168"/>
      <c r="FNI94" s="167"/>
      <c r="FNJ94" s="168"/>
      <c r="FNK94" s="167"/>
      <c r="FNL94" s="168"/>
      <c r="FNM94" s="167"/>
      <c r="FNN94" s="168"/>
      <c r="FNO94" s="167"/>
      <c r="FNP94" s="168"/>
      <c r="FNQ94" s="167"/>
      <c r="FNR94" s="168"/>
      <c r="FNS94" s="167"/>
      <c r="FNT94" s="168"/>
      <c r="FNU94" s="167"/>
      <c r="FNV94" s="168"/>
      <c r="FNW94" s="167"/>
      <c r="FNX94" s="168"/>
      <c r="FNY94" s="167"/>
      <c r="FNZ94" s="168"/>
      <c r="FOA94" s="167"/>
      <c r="FOB94" s="168"/>
      <c r="FOC94" s="167"/>
      <c r="FOD94" s="168"/>
      <c r="FOE94" s="167"/>
      <c r="FOF94" s="168"/>
      <c r="FOG94" s="167"/>
      <c r="FOH94" s="168"/>
      <c r="FOI94" s="167"/>
      <c r="FOJ94" s="168"/>
      <c r="FOK94" s="167"/>
      <c r="FOL94" s="168"/>
      <c r="FOM94" s="167"/>
      <c r="FON94" s="168"/>
      <c r="FOO94" s="167"/>
      <c r="FOP94" s="168"/>
      <c r="FOQ94" s="167"/>
      <c r="FOR94" s="168"/>
      <c r="FOS94" s="167"/>
      <c r="FOT94" s="168"/>
      <c r="FOU94" s="167"/>
      <c r="FOV94" s="168"/>
      <c r="FOW94" s="167"/>
      <c r="FOX94" s="168"/>
      <c r="FOY94" s="167"/>
      <c r="FOZ94" s="168"/>
      <c r="FPA94" s="167"/>
      <c r="FPB94" s="168"/>
      <c r="FPC94" s="167"/>
      <c r="FPD94" s="168"/>
      <c r="FPE94" s="167"/>
      <c r="FPF94" s="168"/>
      <c r="FPG94" s="167"/>
      <c r="FPH94" s="168"/>
      <c r="FPI94" s="167"/>
      <c r="FPJ94" s="168"/>
      <c r="FPK94" s="167"/>
      <c r="FPL94" s="168"/>
      <c r="FPM94" s="167"/>
      <c r="FPN94" s="168"/>
      <c r="FPO94" s="167"/>
      <c r="FPP94" s="168"/>
      <c r="FPQ94" s="167"/>
      <c r="FPR94" s="168"/>
      <c r="FPS94" s="167"/>
      <c r="FPT94" s="168"/>
      <c r="FPU94" s="167"/>
      <c r="FPV94" s="168"/>
      <c r="FPW94" s="167"/>
      <c r="FPX94" s="168"/>
      <c r="FPY94" s="167"/>
      <c r="FPZ94" s="168"/>
      <c r="FQA94" s="167"/>
      <c r="FQB94" s="168"/>
      <c r="FQC94" s="167"/>
      <c r="FQD94" s="168"/>
      <c r="FQE94" s="167"/>
      <c r="FQF94" s="168"/>
      <c r="FQG94" s="167"/>
      <c r="FQH94" s="168"/>
      <c r="FQI94" s="167"/>
      <c r="FQJ94" s="168"/>
      <c r="FQK94" s="167"/>
      <c r="FQL94" s="168"/>
      <c r="FQM94" s="167"/>
      <c r="FQN94" s="168"/>
      <c r="FQO94" s="167"/>
      <c r="FQP94" s="168"/>
      <c r="FQQ94" s="167"/>
      <c r="FQR94" s="168"/>
      <c r="FQS94" s="167"/>
      <c r="FQT94" s="168"/>
      <c r="FQU94" s="167"/>
      <c r="FQV94" s="168"/>
      <c r="FQW94" s="167"/>
      <c r="FQX94" s="168"/>
      <c r="FQY94" s="167"/>
      <c r="FQZ94" s="168"/>
      <c r="FRA94" s="167"/>
      <c r="FRB94" s="168"/>
      <c r="FRC94" s="167"/>
      <c r="FRD94" s="168"/>
      <c r="FRE94" s="167"/>
      <c r="FRF94" s="168"/>
      <c r="FRG94" s="167"/>
      <c r="FRH94" s="168"/>
      <c r="FRI94" s="167"/>
      <c r="FRJ94" s="168"/>
      <c r="FRK94" s="167"/>
      <c r="FRL94" s="168"/>
      <c r="FRM94" s="167"/>
      <c r="FRN94" s="168"/>
      <c r="FRO94" s="167"/>
      <c r="FRP94" s="168"/>
      <c r="FRQ94" s="167"/>
      <c r="FRR94" s="168"/>
      <c r="FRS94" s="167"/>
      <c r="FRT94" s="168"/>
      <c r="FRU94" s="167"/>
      <c r="FRV94" s="168"/>
      <c r="FRW94" s="167"/>
      <c r="FRX94" s="168"/>
      <c r="FRY94" s="167"/>
      <c r="FRZ94" s="168"/>
      <c r="FSA94" s="167"/>
      <c r="FSB94" s="168"/>
      <c r="FSC94" s="167"/>
      <c r="FSD94" s="168"/>
      <c r="FSE94" s="167"/>
      <c r="FSF94" s="168"/>
      <c r="FSG94" s="167"/>
      <c r="FSH94" s="168"/>
      <c r="FSI94" s="167"/>
      <c r="FSJ94" s="168"/>
      <c r="FSK94" s="167"/>
      <c r="FSL94" s="168"/>
      <c r="FSM94" s="167"/>
      <c r="FSN94" s="168"/>
      <c r="FSO94" s="167"/>
      <c r="FSP94" s="168"/>
      <c r="FSQ94" s="167"/>
      <c r="FSR94" s="168"/>
      <c r="FSS94" s="167"/>
      <c r="FST94" s="168"/>
      <c r="FSU94" s="167"/>
      <c r="FSV94" s="168"/>
      <c r="FSW94" s="167"/>
      <c r="FSX94" s="168"/>
      <c r="FSY94" s="167"/>
      <c r="FSZ94" s="168"/>
      <c r="FTA94" s="167"/>
      <c r="FTB94" s="168"/>
      <c r="FTC94" s="167"/>
      <c r="FTD94" s="168"/>
      <c r="FTE94" s="167"/>
      <c r="FTF94" s="168"/>
      <c r="FTG94" s="167"/>
      <c r="FTH94" s="168"/>
      <c r="FTI94" s="167"/>
      <c r="FTJ94" s="168"/>
      <c r="FTK94" s="167"/>
      <c r="FTL94" s="168"/>
      <c r="FTM94" s="167"/>
      <c r="FTN94" s="168"/>
      <c r="FTO94" s="167"/>
      <c r="FTP94" s="168"/>
      <c r="FTQ94" s="167"/>
      <c r="FTR94" s="168"/>
      <c r="FTS94" s="167"/>
      <c r="FTT94" s="168"/>
      <c r="FTU94" s="167"/>
      <c r="FTV94" s="168"/>
      <c r="FTW94" s="167"/>
      <c r="FTX94" s="168"/>
      <c r="FTY94" s="167"/>
      <c r="FTZ94" s="168"/>
      <c r="FUA94" s="167"/>
      <c r="FUB94" s="168"/>
      <c r="FUC94" s="167"/>
      <c r="FUD94" s="168"/>
      <c r="FUE94" s="167"/>
      <c r="FUF94" s="168"/>
      <c r="FUG94" s="167"/>
      <c r="FUH94" s="168"/>
      <c r="FUI94" s="167"/>
      <c r="FUJ94" s="168"/>
      <c r="FUK94" s="167"/>
      <c r="FUL94" s="168"/>
      <c r="FUM94" s="167"/>
      <c r="FUN94" s="168"/>
      <c r="FUO94" s="167"/>
      <c r="FUP94" s="168"/>
      <c r="FUQ94" s="167"/>
      <c r="FUR94" s="168"/>
      <c r="FUS94" s="167"/>
      <c r="FUT94" s="168"/>
      <c r="FUU94" s="167"/>
      <c r="FUV94" s="168"/>
      <c r="FUW94" s="167"/>
      <c r="FUX94" s="168"/>
      <c r="FUY94" s="167"/>
      <c r="FUZ94" s="168"/>
      <c r="FVA94" s="167"/>
      <c r="FVB94" s="168"/>
      <c r="FVC94" s="167"/>
      <c r="FVD94" s="168"/>
      <c r="FVE94" s="167"/>
      <c r="FVF94" s="168"/>
      <c r="FVG94" s="167"/>
      <c r="FVH94" s="168"/>
      <c r="FVI94" s="167"/>
      <c r="FVJ94" s="168"/>
      <c r="FVK94" s="167"/>
      <c r="FVL94" s="168"/>
      <c r="FVM94" s="167"/>
      <c r="FVN94" s="168"/>
      <c r="FVO94" s="167"/>
      <c r="FVP94" s="168"/>
      <c r="FVQ94" s="167"/>
      <c r="FVR94" s="168"/>
      <c r="FVS94" s="167"/>
      <c r="FVT94" s="168"/>
      <c r="FVU94" s="167"/>
      <c r="FVV94" s="168"/>
      <c r="FVW94" s="167"/>
      <c r="FVX94" s="168"/>
      <c r="FVY94" s="167"/>
      <c r="FVZ94" s="168"/>
      <c r="FWA94" s="167"/>
      <c r="FWB94" s="168"/>
      <c r="FWC94" s="167"/>
      <c r="FWD94" s="168"/>
      <c r="FWE94" s="167"/>
      <c r="FWF94" s="168"/>
      <c r="FWG94" s="167"/>
      <c r="FWH94" s="168"/>
      <c r="FWI94" s="167"/>
      <c r="FWJ94" s="168"/>
      <c r="FWK94" s="167"/>
      <c r="FWL94" s="168"/>
      <c r="FWM94" s="167"/>
      <c r="FWN94" s="168"/>
      <c r="FWO94" s="167"/>
      <c r="FWP94" s="168"/>
      <c r="FWQ94" s="167"/>
      <c r="FWR94" s="168"/>
      <c r="FWS94" s="167"/>
      <c r="FWT94" s="168"/>
      <c r="FWU94" s="167"/>
      <c r="FWV94" s="168"/>
      <c r="FWW94" s="167"/>
      <c r="FWX94" s="168"/>
      <c r="FWY94" s="167"/>
      <c r="FWZ94" s="168"/>
      <c r="FXA94" s="167"/>
      <c r="FXB94" s="168"/>
      <c r="FXC94" s="167"/>
      <c r="FXD94" s="168"/>
      <c r="FXE94" s="167"/>
      <c r="FXF94" s="168"/>
      <c r="FXG94" s="167"/>
      <c r="FXH94" s="168"/>
      <c r="FXI94" s="167"/>
      <c r="FXJ94" s="168"/>
      <c r="FXK94" s="167"/>
      <c r="FXL94" s="168"/>
      <c r="FXM94" s="167"/>
      <c r="FXN94" s="168"/>
      <c r="FXO94" s="167"/>
      <c r="FXP94" s="168"/>
      <c r="FXQ94" s="167"/>
      <c r="FXR94" s="168"/>
      <c r="FXS94" s="167"/>
      <c r="FXT94" s="168"/>
      <c r="FXU94" s="167"/>
      <c r="FXV94" s="168"/>
      <c r="FXW94" s="167"/>
      <c r="FXX94" s="168"/>
      <c r="FXY94" s="167"/>
      <c r="FXZ94" s="168"/>
      <c r="FYA94" s="167"/>
      <c r="FYB94" s="168"/>
      <c r="FYC94" s="167"/>
      <c r="FYD94" s="168"/>
      <c r="FYE94" s="167"/>
      <c r="FYF94" s="168"/>
      <c r="FYG94" s="167"/>
      <c r="FYH94" s="168"/>
      <c r="FYI94" s="167"/>
      <c r="FYJ94" s="168"/>
      <c r="FYK94" s="167"/>
      <c r="FYL94" s="168"/>
      <c r="FYM94" s="167"/>
      <c r="FYN94" s="168"/>
      <c r="FYO94" s="167"/>
      <c r="FYP94" s="168"/>
      <c r="FYQ94" s="167"/>
      <c r="FYR94" s="168"/>
      <c r="FYS94" s="167"/>
      <c r="FYT94" s="168"/>
      <c r="FYU94" s="167"/>
      <c r="FYV94" s="168"/>
      <c r="FYW94" s="167"/>
      <c r="FYX94" s="168"/>
      <c r="FYY94" s="167"/>
      <c r="FYZ94" s="168"/>
      <c r="FZA94" s="167"/>
      <c r="FZB94" s="168"/>
      <c r="FZC94" s="167"/>
      <c r="FZD94" s="168"/>
      <c r="FZE94" s="167"/>
      <c r="FZF94" s="168"/>
      <c r="FZG94" s="167"/>
      <c r="FZH94" s="168"/>
      <c r="FZI94" s="167"/>
      <c r="FZJ94" s="168"/>
      <c r="FZK94" s="167"/>
      <c r="FZL94" s="168"/>
      <c r="FZM94" s="167"/>
      <c r="FZN94" s="168"/>
      <c r="FZO94" s="167"/>
      <c r="FZP94" s="168"/>
      <c r="FZQ94" s="167"/>
      <c r="FZR94" s="168"/>
      <c r="FZS94" s="167"/>
      <c r="FZT94" s="168"/>
      <c r="FZU94" s="167"/>
      <c r="FZV94" s="168"/>
      <c r="FZW94" s="167"/>
      <c r="FZX94" s="168"/>
      <c r="FZY94" s="167"/>
      <c r="FZZ94" s="168"/>
      <c r="GAA94" s="167"/>
      <c r="GAB94" s="168"/>
      <c r="GAC94" s="167"/>
      <c r="GAD94" s="168"/>
      <c r="GAE94" s="167"/>
      <c r="GAF94" s="168"/>
      <c r="GAG94" s="167"/>
      <c r="GAH94" s="168"/>
      <c r="GAI94" s="167"/>
      <c r="GAJ94" s="168"/>
      <c r="GAK94" s="167"/>
      <c r="GAL94" s="168"/>
      <c r="GAM94" s="167"/>
      <c r="GAN94" s="168"/>
      <c r="GAO94" s="167"/>
      <c r="GAP94" s="168"/>
      <c r="GAQ94" s="167"/>
      <c r="GAR94" s="168"/>
      <c r="GAS94" s="167"/>
      <c r="GAT94" s="168"/>
      <c r="GAU94" s="167"/>
      <c r="GAV94" s="168"/>
      <c r="GAW94" s="167"/>
      <c r="GAX94" s="168"/>
      <c r="GAY94" s="167"/>
      <c r="GAZ94" s="168"/>
      <c r="GBA94" s="167"/>
      <c r="GBB94" s="168"/>
      <c r="GBC94" s="167"/>
      <c r="GBD94" s="168"/>
      <c r="GBE94" s="167"/>
      <c r="GBF94" s="168"/>
      <c r="GBG94" s="167"/>
      <c r="GBH94" s="168"/>
      <c r="GBI94" s="167"/>
      <c r="GBJ94" s="168"/>
      <c r="GBK94" s="167"/>
      <c r="GBL94" s="168"/>
      <c r="GBM94" s="167"/>
      <c r="GBN94" s="168"/>
      <c r="GBO94" s="167"/>
      <c r="GBP94" s="168"/>
      <c r="GBQ94" s="167"/>
      <c r="GBR94" s="168"/>
      <c r="GBS94" s="167"/>
      <c r="GBT94" s="168"/>
      <c r="GBU94" s="167"/>
      <c r="GBV94" s="168"/>
      <c r="GBW94" s="167"/>
      <c r="GBX94" s="168"/>
      <c r="GBY94" s="167"/>
      <c r="GBZ94" s="168"/>
      <c r="GCA94" s="167"/>
      <c r="GCB94" s="168"/>
      <c r="GCC94" s="167"/>
      <c r="GCD94" s="168"/>
      <c r="GCE94" s="167"/>
      <c r="GCF94" s="168"/>
      <c r="GCG94" s="167"/>
      <c r="GCH94" s="168"/>
      <c r="GCI94" s="167"/>
      <c r="GCJ94" s="168"/>
      <c r="GCK94" s="167"/>
      <c r="GCL94" s="168"/>
      <c r="GCM94" s="167"/>
      <c r="GCN94" s="168"/>
      <c r="GCO94" s="167"/>
      <c r="GCP94" s="168"/>
      <c r="GCQ94" s="167"/>
      <c r="GCR94" s="168"/>
      <c r="GCS94" s="167"/>
      <c r="GCT94" s="168"/>
      <c r="GCU94" s="167"/>
      <c r="GCV94" s="168"/>
      <c r="GCW94" s="167"/>
      <c r="GCX94" s="168"/>
      <c r="GCY94" s="167"/>
      <c r="GCZ94" s="168"/>
      <c r="GDA94" s="167"/>
      <c r="GDB94" s="168"/>
      <c r="GDC94" s="167"/>
      <c r="GDD94" s="168"/>
      <c r="GDE94" s="167"/>
      <c r="GDF94" s="168"/>
      <c r="GDG94" s="167"/>
      <c r="GDH94" s="168"/>
      <c r="GDI94" s="167"/>
      <c r="GDJ94" s="168"/>
      <c r="GDK94" s="167"/>
      <c r="GDL94" s="168"/>
      <c r="GDM94" s="167"/>
      <c r="GDN94" s="168"/>
      <c r="GDO94" s="167"/>
      <c r="GDP94" s="168"/>
      <c r="GDQ94" s="167"/>
      <c r="GDR94" s="168"/>
      <c r="GDS94" s="167"/>
      <c r="GDT94" s="168"/>
      <c r="GDU94" s="167"/>
      <c r="GDV94" s="168"/>
      <c r="GDW94" s="167"/>
      <c r="GDX94" s="168"/>
      <c r="GDY94" s="167"/>
      <c r="GDZ94" s="168"/>
      <c r="GEA94" s="167"/>
      <c r="GEB94" s="168"/>
      <c r="GEC94" s="167"/>
      <c r="GED94" s="168"/>
      <c r="GEE94" s="167"/>
      <c r="GEF94" s="168"/>
      <c r="GEG94" s="167"/>
      <c r="GEH94" s="168"/>
      <c r="GEI94" s="167"/>
      <c r="GEJ94" s="168"/>
      <c r="GEK94" s="167"/>
      <c r="GEL94" s="168"/>
      <c r="GEM94" s="167"/>
      <c r="GEN94" s="168"/>
      <c r="GEO94" s="167"/>
      <c r="GEP94" s="168"/>
      <c r="GEQ94" s="167"/>
      <c r="GER94" s="168"/>
      <c r="GES94" s="167"/>
      <c r="GET94" s="168"/>
      <c r="GEU94" s="167"/>
      <c r="GEV94" s="168"/>
      <c r="GEW94" s="167"/>
      <c r="GEX94" s="168"/>
      <c r="GEY94" s="167"/>
      <c r="GEZ94" s="168"/>
      <c r="GFA94" s="167"/>
      <c r="GFB94" s="168"/>
      <c r="GFC94" s="167"/>
      <c r="GFD94" s="168"/>
      <c r="GFE94" s="167"/>
      <c r="GFF94" s="168"/>
      <c r="GFG94" s="167"/>
      <c r="GFH94" s="168"/>
      <c r="GFI94" s="167"/>
      <c r="GFJ94" s="168"/>
      <c r="GFK94" s="167"/>
      <c r="GFL94" s="168"/>
      <c r="GFM94" s="167"/>
      <c r="GFN94" s="168"/>
      <c r="GFO94" s="167"/>
      <c r="GFP94" s="168"/>
      <c r="GFQ94" s="167"/>
      <c r="GFR94" s="168"/>
      <c r="GFS94" s="167"/>
      <c r="GFT94" s="168"/>
      <c r="GFU94" s="167"/>
      <c r="GFV94" s="168"/>
      <c r="GFW94" s="167"/>
      <c r="GFX94" s="168"/>
      <c r="GFY94" s="167"/>
      <c r="GFZ94" s="168"/>
      <c r="GGA94" s="167"/>
      <c r="GGB94" s="168"/>
      <c r="GGC94" s="167"/>
      <c r="GGD94" s="168"/>
      <c r="GGE94" s="167"/>
      <c r="GGF94" s="168"/>
      <c r="GGG94" s="167"/>
      <c r="GGH94" s="168"/>
      <c r="GGI94" s="167"/>
      <c r="GGJ94" s="168"/>
      <c r="GGK94" s="167"/>
      <c r="GGL94" s="168"/>
      <c r="GGM94" s="167"/>
      <c r="GGN94" s="168"/>
      <c r="GGO94" s="167"/>
      <c r="GGP94" s="168"/>
      <c r="GGQ94" s="167"/>
      <c r="GGR94" s="168"/>
      <c r="GGS94" s="167"/>
      <c r="GGT94" s="168"/>
      <c r="GGU94" s="167"/>
      <c r="GGV94" s="168"/>
      <c r="GGW94" s="167"/>
      <c r="GGX94" s="168"/>
      <c r="GGY94" s="167"/>
      <c r="GGZ94" s="168"/>
      <c r="GHA94" s="167"/>
      <c r="GHB94" s="168"/>
      <c r="GHC94" s="167"/>
      <c r="GHD94" s="168"/>
      <c r="GHE94" s="167"/>
      <c r="GHF94" s="168"/>
      <c r="GHG94" s="167"/>
      <c r="GHH94" s="168"/>
      <c r="GHI94" s="167"/>
      <c r="GHJ94" s="168"/>
      <c r="GHK94" s="167"/>
      <c r="GHL94" s="168"/>
      <c r="GHM94" s="167"/>
      <c r="GHN94" s="168"/>
      <c r="GHO94" s="167"/>
      <c r="GHP94" s="168"/>
      <c r="GHQ94" s="167"/>
      <c r="GHR94" s="168"/>
      <c r="GHS94" s="167"/>
      <c r="GHT94" s="168"/>
      <c r="GHU94" s="167"/>
      <c r="GHV94" s="168"/>
      <c r="GHW94" s="167"/>
      <c r="GHX94" s="168"/>
      <c r="GHY94" s="167"/>
      <c r="GHZ94" s="168"/>
      <c r="GIA94" s="167"/>
      <c r="GIB94" s="168"/>
      <c r="GIC94" s="167"/>
      <c r="GID94" s="168"/>
      <c r="GIE94" s="167"/>
      <c r="GIF94" s="168"/>
      <c r="GIG94" s="167"/>
      <c r="GIH94" s="168"/>
      <c r="GII94" s="167"/>
      <c r="GIJ94" s="168"/>
      <c r="GIK94" s="167"/>
      <c r="GIL94" s="168"/>
      <c r="GIM94" s="167"/>
      <c r="GIN94" s="168"/>
      <c r="GIO94" s="167"/>
      <c r="GIP94" s="168"/>
      <c r="GIQ94" s="167"/>
      <c r="GIR94" s="168"/>
      <c r="GIS94" s="167"/>
      <c r="GIT94" s="168"/>
      <c r="GIU94" s="167"/>
      <c r="GIV94" s="168"/>
      <c r="GIW94" s="167"/>
      <c r="GIX94" s="168"/>
      <c r="GIY94" s="167"/>
      <c r="GIZ94" s="168"/>
      <c r="GJA94" s="167"/>
      <c r="GJB94" s="168"/>
      <c r="GJC94" s="167"/>
      <c r="GJD94" s="168"/>
      <c r="GJE94" s="167"/>
      <c r="GJF94" s="168"/>
      <c r="GJG94" s="167"/>
      <c r="GJH94" s="168"/>
      <c r="GJI94" s="167"/>
      <c r="GJJ94" s="168"/>
      <c r="GJK94" s="167"/>
      <c r="GJL94" s="168"/>
      <c r="GJM94" s="167"/>
      <c r="GJN94" s="168"/>
      <c r="GJO94" s="167"/>
      <c r="GJP94" s="168"/>
      <c r="GJQ94" s="167"/>
      <c r="GJR94" s="168"/>
      <c r="GJS94" s="167"/>
      <c r="GJT94" s="168"/>
      <c r="GJU94" s="167"/>
      <c r="GJV94" s="168"/>
      <c r="GJW94" s="167"/>
      <c r="GJX94" s="168"/>
      <c r="GJY94" s="167"/>
      <c r="GJZ94" s="168"/>
      <c r="GKA94" s="167"/>
      <c r="GKB94" s="168"/>
      <c r="GKC94" s="167"/>
      <c r="GKD94" s="168"/>
      <c r="GKE94" s="167"/>
      <c r="GKF94" s="168"/>
      <c r="GKG94" s="167"/>
      <c r="GKH94" s="168"/>
      <c r="GKI94" s="167"/>
      <c r="GKJ94" s="168"/>
      <c r="GKK94" s="167"/>
      <c r="GKL94" s="168"/>
      <c r="GKM94" s="167"/>
      <c r="GKN94" s="168"/>
      <c r="GKO94" s="167"/>
      <c r="GKP94" s="168"/>
      <c r="GKQ94" s="167"/>
      <c r="GKR94" s="168"/>
      <c r="GKS94" s="167"/>
      <c r="GKT94" s="168"/>
      <c r="GKU94" s="167"/>
      <c r="GKV94" s="168"/>
      <c r="GKW94" s="167"/>
      <c r="GKX94" s="168"/>
      <c r="GKY94" s="167"/>
      <c r="GKZ94" s="168"/>
      <c r="GLA94" s="167"/>
      <c r="GLB94" s="168"/>
      <c r="GLC94" s="167"/>
      <c r="GLD94" s="168"/>
      <c r="GLE94" s="167"/>
      <c r="GLF94" s="168"/>
      <c r="GLG94" s="167"/>
      <c r="GLH94" s="168"/>
      <c r="GLI94" s="167"/>
      <c r="GLJ94" s="168"/>
      <c r="GLK94" s="167"/>
      <c r="GLL94" s="168"/>
      <c r="GLM94" s="167"/>
      <c r="GLN94" s="168"/>
      <c r="GLO94" s="167"/>
      <c r="GLP94" s="168"/>
      <c r="GLQ94" s="167"/>
      <c r="GLR94" s="168"/>
      <c r="GLS94" s="167"/>
      <c r="GLT94" s="168"/>
      <c r="GLU94" s="167"/>
      <c r="GLV94" s="168"/>
      <c r="GLW94" s="167"/>
      <c r="GLX94" s="168"/>
      <c r="GLY94" s="167"/>
      <c r="GLZ94" s="168"/>
      <c r="GMA94" s="167"/>
      <c r="GMB94" s="168"/>
      <c r="GMC94" s="167"/>
      <c r="GMD94" s="168"/>
      <c r="GME94" s="167"/>
      <c r="GMF94" s="168"/>
      <c r="GMG94" s="167"/>
      <c r="GMH94" s="168"/>
      <c r="GMI94" s="167"/>
      <c r="GMJ94" s="168"/>
      <c r="GMK94" s="167"/>
      <c r="GML94" s="168"/>
      <c r="GMM94" s="167"/>
      <c r="GMN94" s="168"/>
      <c r="GMO94" s="167"/>
      <c r="GMP94" s="168"/>
      <c r="GMQ94" s="167"/>
      <c r="GMR94" s="168"/>
      <c r="GMS94" s="167"/>
      <c r="GMT94" s="168"/>
      <c r="GMU94" s="167"/>
      <c r="GMV94" s="168"/>
      <c r="GMW94" s="167"/>
      <c r="GMX94" s="168"/>
      <c r="GMY94" s="167"/>
      <c r="GMZ94" s="168"/>
      <c r="GNA94" s="167"/>
      <c r="GNB94" s="168"/>
      <c r="GNC94" s="167"/>
      <c r="GND94" s="168"/>
      <c r="GNE94" s="167"/>
      <c r="GNF94" s="168"/>
      <c r="GNG94" s="167"/>
      <c r="GNH94" s="168"/>
      <c r="GNI94" s="167"/>
      <c r="GNJ94" s="168"/>
      <c r="GNK94" s="167"/>
      <c r="GNL94" s="168"/>
      <c r="GNM94" s="167"/>
      <c r="GNN94" s="168"/>
      <c r="GNO94" s="167"/>
      <c r="GNP94" s="168"/>
      <c r="GNQ94" s="167"/>
      <c r="GNR94" s="168"/>
      <c r="GNS94" s="167"/>
      <c r="GNT94" s="168"/>
      <c r="GNU94" s="167"/>
      <c r="GNV94" s="168"/>
      <c r="GNW94" s="167"/>
      <c r="GNX94" s="168"/>
      <c r="GNY94" s="167"/>
      <c r="GNZ94" s="168"/>
      <c r="GOA94" s="167"/>
      <c r="GOB94" s="168"/>
      <c r="GOC94" s="167"/>
      <c r="GOD94" s="168"/>
      <c r="GOE94" s="167"/>
      <c r="GOF94" s="168"/>
      <c r="GOG94" s="167"/>
      <c r="GOH94" s="168"/>
      <c r="GOI94" s="167"/>
      <c r="GOJ94" s="168"/>
      <c r="GOK94" s="167"/>
      <c r="GOL94" s="168"/>
      <c r="GOM94" s="167"/>
      <c r="GON94" s="168"/>
      <c r="GOO94" s="167"/>
      <c r="GOP94" s="168"/>
      <c r="GOQ94" s="167"/>
      <c r="GOR94" s="168"/>
      <c r="GOS94" s="167"/>
      <c r="GOT94" s="168"/>
      <c r="GOU94" s="167"/>
      <c r="GOV94" s="168"/>
      <c r="GOW94" s="167"/>
      <c r="GOX94" s="168"/>
      <c r="GOY94" s="167"/>
      <c r="GOZ94" s="168"/>
      <c r="GPA94" s="167"/>
      <c r="GPB94" s="168"/>
      <c r="GPC94" s="167"/>
      <c r="GPD94" s="168"/>
      <c r="GPE94" s="167"/>
      <c r="GPF94" s="168"/>
      <c r="GPG94" s="167"/>
      <c r="GPH94" s="168"/>
      <c r="GPI94" s="167"/>
      <c r="GPJ94" s="168"/>
      <c r="GPK94" s="167"/>
      <c r="GPL94" s="168"/>
      <c r="GPM94" s="167"/>
      <c r="GPN94" s="168"/>
      <c r="GPO94" s="167"/>
      <c r="GPP94" s="168"/>
      <c r="GPQ94" s="167"/>
      <c r="GPR94" s="168"/>
      <c r="GPS94" s="167"/>
      <c r="GPT94" s="168"/>
      <c r="GPU94" s="167"/>
      <c r="GPV94" s="168"/>
      <c r="GPW94" s="167"/>
      <c r="GPX94" s="168"/>
      <c r="GPY94" s="167"/>
      <c r="GPZ94" s="168"/>
      <c r="GQA94" s="167"/>
      <c r="GQB94" s="168"/>
      <c r="GQC94" s="167"/>
      <c r="GQD94" s="168"/>
      <c r="GQE94" s="167"/>
      <c r="GQF94" s="168"/>
      <c r="GQG94" s="167"/>
      <c r="GQH94" s="168"/>
      <c r="GQI94" s="167"/>
      <c r="GQJ94" s="168"/>
      <c r="GQK94" s="167"/>
      <c r="GQL94" s="168"/>
      <c r="GQM94" s="167"/>
      <c r="GQN94" s="168"/>
      <c r="GQO94" s="167"/>
      <c r="GQP94" s="168"/>
      <c r="GQQ94" s="167"/>
      <c r="GQR94" s="168"/>
      <c r="GQS94" s="167"/>
      <c r="GQT94" s="168"/>
      <c r="GQU94" s="167"/>
      <c r="GQV94" s="168"/>
      <c r="GQW94" s="167"/>
      <c r="GQX94" s="168"/>
      <c r="GQY94" s="167"/>
      <c r="GQZ94" s="168"/>
      <c r="GRA94" s="167"/>
      <c r="GRB94" s="168"/>
      <c r="GRC94" s="167"/>
      <c r="GRD94" s="168"/>
      <c r="GRE94" s="167"/>
      <c r="GRF94" s="168"/>
      <c r="GRG94" s="167"/>
      <c r="GRH94" s="168"/>
      <c r="GRI94" s="167"/>
      <c r="GRJ94" s="168"/>
      <c r="GRK94" s="167"/>
      <c r="GRL94" s="168"/>
      <c r="GRM94" s="167"/>
      <c r="GRN94" s="168"/>
      <c r="GRO94" s="167"/>
      <c r="GRP94" s="168"/>
      <c r="GRQ94" s="167"/>
      <c r="GRR94" s="168"/>
      <c r="GRS94" s="167"/>
      <c r="GRT94" s="168"/>
      <c r="GRU94" s="167"/>
      <c r="GRV94" s="168"/>
      <c r="GRW94" s="167"/>
      <c r="GRX94" s="168"/>
      <c r="GRY94" s="167"/>
      <c r="GRZ94" s="168"/>
      <c r="GSA94" s="167"/>
      <c r="GSB94" s="168"/>
      <c r="GSC94" s="167"/>
      <c r="GSD94" s="168"/>
      <c r="GSE94" s="167"/>
      <c r="GSF94" s="168"/>
      <c r="GSG94" s="167"/>
      <c r="GSH94" s="168"/>
      <c r="GSI94" s="167"/>
      <c r="GSJ94" s="168"/>
      <c r="GSK94" s="167"/>
      <c r="GSL94" s="168"/>
      <c r="GSM94" s="167"/>
      <c r="GSN94" s="168"/>
      <c r="GSO94" s="167"/>
      <c r="GSP94" s="168"/>
      <c r="GSQ94" s="167"/>
      <c r="GSR94" s="168"/>
      <c r="GSS94" s="167"/>
      <c r="GST94" s="168"/>
      <c r="GSU94" s="167"/>
      <c r="GSV94" s="168"/>
      <c r="GSW94" s="167"/>
      <c r="GSX94" s="168"/>
      <c r="GSY94" s="167"/>
      <c r="GSZ94" s="168"/>
      <c r="GTA94" s="167"/>
      <c r="GTB94" s="168"/>
      <c r="GTC94" s="167"/>
      <c r="GTD94" s="168"/>
      <c r="GTE94" s="167"/>
      <c r="GTF94" s="168"/>
      <c r="GTG94" s="167"/>
      <c r="GTH94" s="168"/>
      <c r="GTI94" s="167"/>
      <c r="GTJ94" s="168"/>
      <c r="GTK94" s="167"/>
      <c r="GTL94" s="168"/>
      <c r="GTM94" s="167"/>
      <c r="GTN94" s="168"/>
      <c r="GTO94" s="167"/>
      <c r="GTP94" s="168"/>
      <c r="GTQ94" s="167"/>
      <c r="GTR94" s="168"/>
      <c r="GTS94" s="167"/>
      <c r="GTT94" s="168"/>
      <c r="GTU94" s="167"/>
      <c r="GTV94" s="168"/>
      <c r="GTW94" s="167"/>
      <c r="GTX94" s="168"/>
      <c r="GTY94" s="167"/>
      <c r="GTZ94" s="168"/>
      <c r="GUA94" s="167"/>
      <c r="GUB94" s="168"/>
      <c r="GUC94" s="167"/>
      <c r="GUD94" s="168"/>
      <c r="GUE94" s="167"/>
      <c r="GUF94" s="168"/>
      <c r="GUG94" s="167"/>
      <c r="GUH94" s="168"/>
      <c r="GUI94" s="167"/>
      <c r="GUJ94" s="168"/>
      <c r="GUK94" s="167"/>
      <c r="GUL94" s="168"/>
      <c r="GUM94" s="167"/>
      <c r="GUN94" s="168"/>
      <c r="GUO94" s="167"/>
      <c r="GUP94" s="168"/>
      <c r="GUQ94" s="167"/>
      <c r="GUR94" s="168"/>
      <c r="GUS94" s="167"/>
      <c r="GUT94" s="168"/>
      <c r="GUU94" s="167"/>
      <c r="GUV94" s="168"/>
      <c r="GUW94" s="167"/>
      <c r="GUX94" s="168"/>
      <c r="GUY94" s="167"/>
      <c r="GUZ94" s="168"/>
      <c r="GVA94" s="167"/>
      <c r="GVB94" s="168"/>
      <c r="GVC94" s="167"/>
      <c r="GVD94" s="168"/>
      <c r="GVE94" s="167"/>
      <c r="GVF94" s="168"/>
      <c r="GVG94" s="167"/>
      <c r="GVH94" s="168"/>
      <c r="GVI94" s="167"/>
      <c r="GVJ94" s="168"/>
      <c r="GVK94" s="167"/>
      <c r="GVL94" s="168"/>
      <c r="GVM94" s="167"/>
      <c r="GVN94" s="168"/>
      <c r="GVO94" s="167"/>
      <c r="GVP94" s="168"/>
      <c r="GVQ94" s="167"/>
      <c r="GVR94" s="168"/>
      <c r="GVS94" s="167"/>
      <c r="GVT94" s="168"/>
      <c r="GVU94" s="167"/>
      <c r="GVV94" s="168"/>
      <c r="GVW94" s="167"/>
      <c r="GVX94" s="168"/>
      <c r="GVY94" s="167"/>
      <c r="GVZ94" s="168"/>
      <c r="GWA94" s="167"/>
      <c r="GWB94" s="168"/>
      <c r="GWC94" s="167"/>
      <c r="GWD94" s="168"/>
      <c r="GWE94" s="167"/>
      <c r="GWF94" s="168"/>
      <c r="GWG94" s="167"/>
      <c r="GWH94" s="168"/>
      <c r="GWI94" s="167"/>
      <c r="GWJ94" s="168"/>
      <c r="GWK94" s="167"/>
      <c r="GWL94" s="168"/>
      <c r="GWM94" s="167"/>
      <c r="GWN94" s="168"/>
      <c r="GWO94" s="167"/>
      <c r="GWP94" s="168"/>
      <c r="GWQ94" s="167"/>
      <c r="GWR94" s="168"/>
      <c r="GWS94" s="167"/>
      <c r="GWT94" s="168"/>
      <c r="GWU94" s="167"/>
      <c r="GWV94" s="168"/>
      <c r="GWW94" s="167"/>
      <c r="GWX94" s="168"/>
      <c r="GWY94" s="167"/>
      <c r="GWZ94" s="168"/>
      <c r="GXA94" s="167"/>
      <c r="GXB94" s="168"/>
      <c r="GXC94" s="167"/>
      <c r="GXD94" s="168"/>
      <c r="GXE94" s="167"/>
      <c r="GXF94" s="168"/>
      <c r="GXG94" s="167"/>
      <c r="GXH94" s="168"/>
      <c r="GXI94" s="167"/>
      <c r="GXJ94" s="168"/>
      <c r="GXK94" s="167"/>
      <c r="GXL94" s="168"/>
      <c r="GXM94" s="167"/>
      <c r="GXN94" s="168"/>
      <c r="GXO94" s="167"/>
      <c r="GXP94" s="168"/>
      <c r="GXQ94" s="167"/>
      <c r="GXR94" s="168"/>
      <c r="GXS94" s="167"/>
      <c r="GXT94" s="168"/>
      <c r="GXU94" s="167"/>
      <c r="GXV94" s="168"/>
      <c r="GXW94" s="167"/>
      <c r="GXX94" s="168"/>
      <c r="GXY94" s="167"/>
      <c r="GXZ94" s="168"/>
      <c r="GYA94" s="167"/>
      <c r="GYB94" s="168"/>
      <c r="GYC94" s="167"/>
      <c r="GYD94" s="168"/>
      <c r="GYE94" s="167"/>
      <c r="GYF94" s="168"/>
      <c r="GYG94" s="167"/>
      <c r="GYH94" s="168"/>
      <c r="GYI94" s="167"/>
      <c r="GYJ94" s="168"/>
      <c r="GYK94" s="167"/>
      <c r="GYL94" s="168"/>
      <c r="GYM94" s="167"/>
      <c r="GYN94" s="168"/>
      <c r="GYO94" s="167"/>
      <c r="GYP94" s="168"/>
      <c r="GYQ94" s="167"/>
      <c r="GYR94" s="168"/>
      <c r="GYS94" s="167"/>
      <c r="GYT94" s="168"/>
      <c r="GYU94" s="167"/>
      <c r="GYV94" s="168"/>
      <c r="GYW94" s="167"/>
      <c r="GYX94" s="168"/>
      <c r="GYY94" s="167"/>
      <c r="GYZ94" s="168"/>
      <c r="GZA94" s="167"/>
      <c r="GZB94" s="168"/>
      <c r="GZC94" s="167"/>
      <c r="GZD94" s="168"/>
      <c r="GZE94" s="167"/>
      <c r="GZF94" s="168"/>
      <c r="GZG94" s="167"/>
      <c r="GZH94" s="168"/>
      <c r="GZI94" s="167"/>
      <c r="GZJ94" s="168"/>
      <c r="GZK94" s="167"/>
      <c r="GZL94" s="168"/>
      <c r="GZM94" s="167"/>
      <c r="GZN94" s="168"/>
      <c r="GZO94" s="167"/>
      <c r="GZP94" s="168"/>
      <c r="GZQ94" s="167"/>
      <c r="GZR94" s="168"/>
      <c r="GZS94" s="167"/>
      <c r="GZT94" s="168"/>
      <c r="GZU94" s="167"/>
      <c r="GZV94" s="168"/>
      <c r="GZW94" s="167"/>
      <c r="GZX94" s="168"/>
      <c r="GZY94" s="167"/>
      <c r="GZZ94" s="168"/>
      <c r="HAA94" s="167"/>
      <c r="HAB94" s="168"/>
      <c r="HAC94" s="167"/>
      <c r="HAD94" s="168"/>
      <c r="HAE94" s="167"/>
      <c r="HAF94" s="168"/>
      <c r="HAG94" s="167"/>
      <c r="HAH94" s="168"/>
      <c r="HAI94" s="167"/>
      <c r="HAJ94" s="168"/>
      <c r="HAK94" s="167"/>
      <c r="HAL94" s="168"/>
      <c r="HAM94" s="167"/>
      <c r="HAN94" s="168"/>
      <c r="HAO94" s="167"/>
      <c r="HAP94" s="168"/>
      <c r="HAQ94" s="167"/>
      <c r="HAR94" s="168"/>
      <c r="HAS94" s="167"/>
      <c r="HAT94" s="168"/>
      <c r="HAU94" s="167"/>
      <c r="HAV94" s="168"/>
      <c r="HAW94" s="167"/>
      <c r="HAX94" s="168"/>
      <c r="HAY94" s="167"/>
      <c r="HAZ94" s="168"/>
      <c r="HBA94" s="167"/>
      <c r="HBB94" s="168"/>
      <c r="HBC94" s="167"/>
      <c r="HBD94" s="168"/>
      <c r="HBE94" s="167"/>
      <c r="HBF94" s="168"/>
      <c r="HBG94" s="167"/>
      <c r="HBH94" s="168"/>
      <c r="HBI94" s="167"/>
      <c r="HBJ94" s="168"/>
      <c r="HBK94" s="167"/>
      <c r="HBL94" s="168"/>
      <c r="HBM94" s="167"/>
      <c r="HBN94" s="168"/>
      <c r="HBO94" s="167"/>
      <c r="HBP94" s="168"/>
      <c r="HBQ94" s="167"/>
      <c r="HBR94" s="168"/>
      <c r="HBS94" s="167"/>
      <c r="HBT94" s="168"/>
      <c r="HBU94" s="167"/>
      <c r="HBV94" s="168"/>
      <c r="HBW94" s="167"/>
      <c r="HBX94" s="168"/>
      <c r="HBY94" s="167"/>
      <c r="HBZ94" s="168"/>
      <c r="HCA94" s="167"/>
      <c r="HCB94" s="168"/>
      <c r="HCC94" s="167"/>
      <c r="HCD94" s="168"/>
      <c r="HCE94" s="167"/>
      <c r="HCF94" s="168"/>
      <c r="HCG94" s="167"/>
      <c r="HCH94" s="168"/>
      <c r="HCI94" s="167"/>
      <c r="HCJ94" s="168"/>
      <c r="HCK94" s="167"/>
      <c r="HCL94" s="168"/>
      <c r="HCM94" s="167"/>
      <c r="HCN94" s="168"/>
      <c r="HCO94" s="167"/>
      <c r="HCP94" s="168"/>
      <c r="HCQ94" s="167"/>
      <c r="HCR94" s="168"/>
      <c r="HCS94" s="167"/>
      <c r="HCT94" s="168"/>
      <c r="HCU94" s="167"/>
      <c r="HCV94" s="168"/>
      <c r="HCW94" s="167"/>
      <c r="HCX94" s="168"/>
      <c r="HCY94" s="167"/>
      <c r="HCZ94" s="168"/>
      <c r="HDA94" s="167"/>
      <c r="HDB94" s="168"/>
      <c r="HDC94" s="167"/>
      <c r="HDD94" s="168"/>
      <c r="HDE94" s="167"/>
      <c r="HDF94" s="168"/>
      <c r="HDG94" s="167"/>
      <c r="HDH94" s="168"/>
      <c r="HDI94" s="167"/>
      <c r="HDJ94" s="168"/>
      <c r="HDK94" s="167"/>
      <c r="HDL94" s="168"/>
      <c r="HDM94" s="167"/>
      <c r="HDN94" s="168"/>
      <c r="HDO94" s="167"/>
      <c r="HDP94" s="168"/>
      <c r="HDQ94" s="167"/>
      <c r="HDR94" s="168"/>
      <c r="HDS94" s="167"/>
      <c r="HDT94" s="168"/>
      <c r="HDU94" s="167"/>
      <c r="HDV94" s="168"/>
      <c r="HDW94" s="167"/>
      <c r="HDX94" s="168"/>
      <c r="HDY94" s="167"/>
      <c r="HDZ94" s="168"/>
      <c r="HEA94" s="167"/>
      <c r="HEB94" s="168"/>
      <c r="HEC94" s="167"/>
      <c r="HED94" s="168"/>
      <c r="HEE94" s="167"/>
      <c r="HEF94" s="168"/>
      <c r="HEG94" s="167"/>
      <c r="HEH94" s="168"/>
      <c r="HEI94" s="167"/>
      <c r="HEJ94" s="168"/>
      <c r="HEK94" s="167"/>
      <c r="HEL94" s="168"/>
      <c r="HEM94" s="167"/>
      <c r="HEN94" s="168"/>
      <c r="HEO94" s="167"/>
      <c r="HEP94" s="168"/>
      <c r="HEQ94" s="167"/>
      <c r="HER94" s="168"/>
      <c r="HES94" s="167"/>
      <c r="HET94" s="168"/>
      <c r="HEU94" s="167"/>
      <c r="HEV94" s="168"/>
      <c r="HEW94" s="167"/>
      <c r="HEX94" s="168"/>
      <c r="HEY94" s="167"/>
      <c r="HEZ94" s="168"/>
      <c r="HFA94" s="167"/>
      <c r="HFB94" s="168"/>
      <c r="HFC94" s="167"/>
      <c r="HFD94" s="168"/>
      <c r="HFE94" s="167"/>
      <c r="HFF94" s="168"/>
      <c r="HFG94" s="167"/>
      <c r="HFH94" s="168"/>
      <c r="HFI94" s="167"/>
      <c r="HFJ94" s="168"/>
      <c r="HFK94" s="167"/>
      <c r="HFL94" s="168"/>
      <c r="HFM94" s="167"/>
      <c r="HFN94" s="168"/>
      <c r="HFO94" s="167"/>
      <c r="HFP94" s="168"/>
      <c r="HFQ94" s="167"/>
      <c r="HFR94" s="168"/>
      <c r="HFS94" s="167"/>
      <c r="HFT94" s="168"/>
      <c r="HFU94" s="167"/>
      <c r="HFV94" s="168"/>
      <c r="HFW94" s="167"/>
      <c r="HFX94" s="168"/>
      <c r="HFY94" s="167"/>
      <c r="HFZ94" s="168"/>
      <c r="HGA94" s="167"/>
      <c r="HGB94" s="168"/>
      <c r="HGC94" s="167"/>
      <c r="HGD94" s="168"/>
      <c r="HGE94" s="167"/>
      <c r="HGF94" s="168"/>
      <c r="HGG94" s="167"/>
      <c r="HGH94" s="168"/>
      <c r="HGI94" s="167"/>
      <c r="HGJ94" s="168"/>
      <c r="HGK94" s="167"/>
      <c r="HGL94" s="168"/>
      <c r="HGM94" s="167"/>
      <c r="HGN94" s="168"/>
      <c r="HGO94" s="167"/>
      <c r="HGP94" s="168"/>
      <c r="HGQ94" s="167"/>
      <c r="HGR94" s="168"/>
      <c r="HGS94" s="167"/>
      <c r="HGT94" s="168"/>
      <c r="HGU94" s="167"/>
      <c r="HGV94" s="168"/>
      <c r="HGW94" s="167"/>
      <c r="HGX94" s="168"/>
      <c r="HGY94" s="167"/>
      <c r="HGZ94" s="168"/>
      <c r="HHA94" s="167"/>
      <c r="HHB94" s="168"/>
      <c r="HHC94" s="167"/>
      <c r="HHD94" s="168"/>
      <c r="HHE94" s="167"/>
      <c r="HHF94" s="168"/>
      <c r="HHG94" s="167"/>
      <c r="HHH94" s="168"/>
      <c r="HHI94" s="167"/>
      <c r="HHJ94" s="168"/>
      <c r="HHK94" s="167"/>
      <c r="HHL94" s="168"/>
      <c r="HHM94" s="167"/>
      <c r="HHN94" s="168"/>
      <c r="HHO94" s="167"/>
      <c r="HHP94" s="168"/>
      <c r="HHQ94" s="167"/>
      <c r="HHR94" s="168"/>
      <c r="HHS94" s="167"/>
      <c r="HHT94" s="168"/>
      <c r="HHU94" s="167"/>
      <c r="HHV94" s="168"/>
      <c r="HHW94" s="167"/>
      <c r="HHX94" s="168"/>
      <c r="HHY94" s="167"/>
      <c r="HHZ94" s="168"/>
      <c r="HIA94" s="167"/>
      <c r="HIB94" s="168"/>
      <c r="HIC94" s="167"/>
      <c r="HID94" s="168"/>
      <c r="HIE94" s="167"/>
      <c r="HIF94" s="168"/>
      <c r="HIG94" s="167"/>
      <c r="HIH94" s="168"/>
      <c r="HII94" s="167"/>
      <c r="HIJ94" s="168"/>
      <c r="HIK94" s="167"/>
      <c r="HIL94" s="168"/>
      <c r="HIM94" s="167"/>
      <c r="HIN94" s="168"/>
      <c r="HIO94" s="167"/>
      <c r="HIP94" s="168"/>
      <c r="HIQ94" s="167"/>
      <c r="HIR94" s="168"/>
      <c r="HIS94" s="167"/>
      <c r="HIT94" s="168"/>
      <c r="HIU94" s="167"/>
      <c r="HIV94" s="168"/>
      <c r="HIW94" s="167"/>
      <c r="HIX94" s="168"/>
      <c r="HIY94" s="167"/>
      <c r="HIZ94" s="168"/>
      <c r="HJA94" s="167"/>
      <c r="HJB94" s="168"/>
      <c r="HJC94" s="167"/>
      <c r="HJD94" s="168"/>
      <c r="HJE94" s="167"/>
      <c r="HJF94" s="168"/>
      <c r="HJG94" s="167"/>
      <c r="HJH94" s="168"/>
      <c r="HJI94" s="167"/>
      <c r="HJJ94" s="168"/>
      <c r="HJK94" s="167"/>
      <c r="HJL94" s="168"/>
      <c r="HJM94" s="167"/>
      <c r="HJN94" s="168"/>
      <c r="HJO94" s="167"/>
      <c r="HJP94" s="168"/>
      <c r="HJQ94" s="167"/>
      <c r="HJR94" s="168"/>
      <c r="HJS94" s="167"/>
      <c r="HJT94" s="168"/>
      <c r="HJU94" s="167"/>
      <c r="HJV94" s="168"/>
      <c r="HJW94" s="167"/>
      <c r="HJX94" s="168"/>
      <c r="HJY94" s="167"/>
      <c r="HJZ94" s="168"/>
      <c r="HKA94" s="167"/>
      <c r="HKB94" s="168"/>
      <c r="HKC94" s="167"/>
      <c r="HKD94" s="168"/>
      <c r="HKE94" s="167"/>
      <c r="HKF94" s="168"/>
      <c r="HKG94" s="167"/>
      <c r="HKH94" s="168"/>
      <c r="HKI94" s="167"/>
      <c r="HKJ94" s="168"/>
      <c r="HKK94" s="167"/>
      <c r="HKL94" s="168"/>
      <c r="HKM94" s="167"/>
      <c r="HKN94" s="168"/>
      <c r="HKO94" s="167"/>
      <c r="HKP94" s="168"/>
      <c r="HKQ94" s="167"/>
      <c r="HKR94" s="168"/>
      <c r="HKS94" s="167"/>
      <c r="HKT94" s="168"/>
      <c r="HKU94" s="167"/>
      <c r="HKV94" s="168"/>
      <c r="HKW94" s="167"/>
      <c r="HKX94" s="168"/>
      <c r="HKY94" s="167"/>
      <c r="HKZ94" s="168"/>
      <c r="HLA94" s="167"/>
      <c r="HLB94" s="168"/>
      <c r="HLC94" s="167"/>
      <c r="HLD94" s="168"/>
      <c r="HLE94" s="167"/>
      <c r="HLF94" s="168"/>
      <c r="HLG94" s="167"/>
      <c r="HLH94" s="168"/>
      <c r="HLI94" s="167"/>
      <c r="HLJ94" s="168"/>
      <c r="HLK94" s="167"/>
      <c r="HLL94" s="168"/>
      <c r="HLM94" s="167"/>
      <c r="HLN94" s="168"/>
      <c r="HLO94" s="167"/>
      <c r="HLP94" s="168"/>
      <c r="HLQ94" s="167"/>
      <c r="HLR94" s="168"/>
      <c r="HLS94" s="167"/>
      <c r="HLT94" s="168"/>
      <c r="HLU94" s="167"/>
      <c r="HLV94" s="168"/>
      <c r="HLW94" s="167"/>
      <c r="HLX94" s="168"/>
      <c r="HLY94" s="167"/>
      <c r="HLZ94" s="168"/>
      <c r="HMA94" s="167"/>
      <c r="HMB94" s="168"/>
      <c r="HMC94" s="167"/>
      <c r="HMD94" s="168"/>
      <c r="HME94" s="167"/>
      <c r="HMF94" s="168"/>
      <c r="HMG94" s="167"/>
      <c r="HMH94" s="168"/>
      <c r="HMI94" s="167"/>
      <c r="HMJ94" s="168"/>
      <c r="HMK94" s="167"/>
      <c r="HML94" s="168"/>
      <c r="HMM94" s="167"/>
      <c r="HMN94" s="168"/>
      <c r="HMO94" s="167"/>
      <c r="HMP94" s="168"/>
      <c r="HMQ94" s="167"/>
      <c r="HMR94" s="168"/>
      <c r="HMS94" s="167"/>
      <c r="HMT94" s="168"/>
      <c r="HMU94" s="167"/>
      <c r="HMV94" s="168"/>
      <c r="HMW94" s="167"/>
      <c r="HMX94" s="168"/>
      <c r="HMY94" s="167"/>
      <c r="HMZ94" s="168"/>
      <c r="HNA94" s="167"/>
      <c r="HNB94" s="168"/>
      <c r="HNC94" s="167"/>
      <c r="HND94" s="168"/>
      <c r="HNE94" s="167"/>
      <c r="HNF94" s="168"/>
      <c r="HNG94" s="167"/>
      <c r="HNH94" s="168"/>
      <c r="HNI94" s="167"/>
      <c r="HNJ94" s="168"/>
      <c r="HNK94" s="167"/>
      <c r="HNL94" s="168"/>
      <c r="HNM94" s="167"/>
      <c r="HNN94" s="168"/>
      <c r="HNO94" s="167"/>
      <c r="HNP94" s="168"/>
      <c r="HNQ94" s="167"/>
      <c r="HNR94" s="168"/>
      <c r="HNS94" s="167"/>
      <c r="HNT94" s="168"/>
      <c r="HNU94" s="167"/>
      <c r="HNV94" s="168"/>
      <c r="HNW94" s="167"/>
      <c r="HNX94" s="168"/>
      <c r="HNY94" s="167"/>
      <c r="HNZ94" s="168"/>
      <c r="HOA94" s="167"/>
      <c r="HOB94" s="168"/>
      <c r="HOC94" s="167"/>
      <c r="HOD94" s="168"/>
      <c r="HOE94" s="167"/>
      <c r="HOF94" s="168"/>
      <c r="HOG94" s="167"/>
      <c r="HOH94" s="168"/>
      <c r="HOI94" s="167"/>
      <c r="HOJ94" s="168"/>
      <c r="HOK94" s="167"/>
      <c r="HOL94" s="168"/>
      <c r="HOM94" s="167"/>
      <c r="HON94" s="168"/>
      <c r="HOO94" s="167"/>
      <c r="HOP94" s="168"/>
      <c r="HOQ94" s="167"/>
      <c r="HOR94" s="168"/>
      <c r="HOS94" s="167"/>
      <c r="HOT94" s="168"/>
      <c r="HOU94" s="167"/>
      <c r="HOV94" s="168"/>
      <c r="HOW94" s="167"/>
      <c r="HOX94" s="168"/>
      <c r="HOY94" s="167"/>
      <c r="HOZ94" s="168"/>
      <c r="HPA94" s="167"/>
      <c r="HPB94" s="168"/>
      <c r="HPC94" s="167"/>
      <c r="HPD94" s="168"/>
      <c r="HPE94" s="167"/>
      <c r="HPF94" s="168"/>
      <c r="HPG94" s="167"/>
      <c r="HPH94" s="168"/>
      <c r="HPI94" s="167"/>
      <c r="HPJ94" s="168"/>
      <c r="HPK94" s="167"/>
      <c r="HPL94" s="168"/>
      <c r="HPM94" s="167"/>
      <c r="HPN94" s="168"/>
      <c r="HPO94" s="167"/>
      <c r="HPP94" s="168"/>
      <c r="HPQ94" s="167"/>
      <c r="HPR94" s="168"/>
      <c r="HPS94" s="167"/>
      <c r="HPT94" s="168"/>
      <c r="HPU94" s="167"/>
      <c r="HPV94" s="168"/>
      <c r="HPW94" s="167"/>
      <c r="HPX94" s="168"/>
      <c r="HPY94" s="167"/>
      <c r="HPZ94" s="168"/>
      <c r="HQA94" s="167"/>
      <c r="HQB94" s="168"/>
      <c r="HQC94" s="167"/>
      <c r="HQD94" s="168"/>
      <c r="HQE94" s="167"/>
      <c r="HQF94" s="168"/>
      <c r="HQG94" s="167"/>
      <c r="HQH94" s="168"/>
      <c r="HQI94" s="167"/>
      <c r="HQJ94" s="168"/>
      <c r="HQK94" s="167"/>
      <c r="HQL94" s="168"/>
      <c r="HQM94" s="167"/>
      <c r="HQN94" s="168"/>
      <c r="HQO94" s="167"/>
      <c r="HQP94" s="168"/>
      <c r="HQQ94" s="167"/>
      <c r="HQR94" s="168"/>
      <c r="HQS94" s="167"/>
      <c r="HQT94" s="168"/>
      <c r="HQU94" s="167"/>
      <c r="HQV94" s="168"/>
      <c r="HQW94" s="167"/>
      <c r="HQX94" s="168"/>
      <c r="HQY94" s="167"/>
      <c r="HQZ94" s="168"/>
      <c r="HRA94" s="167"/>
      <c r="HRB94" s="168"/>
      <c r="HRC94" s="167"/>
      <c r="HRD94" s="168"/>
      <c r="HRE94" s="167"/>
      <c r="HRF94" s="168"/>
      <c r="HRG94" s="167"/>
      <c r="HRH94" s="168"/>
      <c r="HRI94" s="167"/>
      <c r="HRJ94" s="168"/>
      <c r="HRK94" s="167"/>
      <c r="HRL94" s="168"/>
      <c r="HRM94" s="167"/>
      <c r="HRN94" s="168"/>
      <c r="HRO94" s="167"/>
      <c r="HRP94" s="168"/>
      <c r="HRQ94" s="167"/>
      <c r="HRR94" s="168"/>
      <c r="HRS94" s="167"/>
      <c r="HRT94" s="168"/>
      <c r="HRU94" s="167"/>
      <c r="HRV94" s="168"/>
      <c r="HRW94" s="167"/>
      <c r="HRX94" s="168"/>
      <c r="HRY94" s="167"/>
      <c r="HRZ94" s="168"/>
      <c r="HSA94" s="167"/>
      <c r="HSB94" s="168"/>
      <c r="HSC94" s="167"/>
      <c r="HSD94" s="168"/>
      <c r="HSE94" s="167"/>
      <c r="HSF94" s="168"/>
      <c r="HSG94" s="167"/>
      <c r="HSH94" s="168"/>
      <c r="HSI94" s="167"/>
      <c r="HSJ94" s="168"/>
      <c r="HSK94" s="167"/>
      <c r="HSL94" s="168"/>
      <c r="HSM94" s="167"/>
      <c r="HSN94" s="168"/>
      <c r="HSO94" s="167"/>
      <c r="HSP94" s="168"/>
      <c r="HSQ94" s="167"/>
      <c r="HSR94" s="168"/>
      <c r="HSS94" s="167"/>
      <c r="HST94" s="168"/>
      <c r="HSU94" s="167"/>
      <c r="HSV94" s="168"/>
      <c r="HSW94" s="167"/>
      <c r="HSX94" s="168"/>
      <c r="HSY94" s="167"/>
      <c r="HSZ94" s="168"/>
      <c r="HTA94" s="167"/>
      <c r="HTB94" s="168"/>
      <c r="HTC94" s="167"/>
      <c r="HTD94" s="168"/>
      <c r="HTE94" s="167"/>
      <c r="HTF94" s="168"/>
      <c r="HTG94" s="167"/>
      <c r="HTH94" s="168"/>
      <c r="HTI94" s="167"/>
      <c r="HTJ94" s="168"/>
      <c r="HTK94" s="167"/>
      <c r="HTL94" s="168"/>
      <c r="HTM94" s="167"/>
      <c r="HTN94" s="168"/>
      <c r="HTO94" s="167"/>
      <c r="HTP94" s="168"/>
      <c r="HTQ94" s="167"/>
      <c r="HTR94" s="168"/>
      <c r="HTS94" s="167"/>
      <c r="HTT94" s="168"/>
      <c r="HTU94" s="167"/>
      <c r="HTV94" s="168"/>
      <c r="HTW94" s="167"/>
      <c r="HTX94" s="168"/>
      <c r="HTY94" s="167"/>
      <c r="HTZ94" s="168"/>
      <c r="HUA94" s="167"/>
      <c r="HUB94" s="168"/>
      <c r="HUC94" s="167"/>
      <c r="HUD94" s="168"/>
      <c r="HUE94" s="167"/>
      <c r="HUF94" s="168"/>
      <c r="HUG94" s="167"/>
      <c r="HUH94" s="168"/>
      <c r="HUI94" s="167"/>
      <c r="HUJ94" s="168"/>
      <c r="HUK94" s="167"/>
      <c r="HUL94" s="168"/>
      <c r="HUM94" s="167"/>
      <c r="HUN94" s="168"/>
      <c r="HUO94" s="167"/>
      <c r="HUP94" s="168"/>
      <c r="HUQ94" s="167"/>
      <c r="HUR94" s="168"/>
      <c r="HUS94" s="167"/>
      <c r="HUT94" s="168"/>
      <c r="HUU94" s="167"/>
      <c r="HUV94" s="168"/>
      <c r="HUW94" s="167"/>
      <c r="HUX94" s="168"/>
      <c r="HUY94" s="167"/>
      <c r="HUZ94" s="168"/>
      <c r="HVA94" s="167"/>
      <c r="HVB94" s="168"/>
      <c r="HVC94" s="167"/>
      <c r="HVD94" s="168"/>
      <c r="HVE94" s="167"/>
      <c r="HVF94" s="168"/>
      <c r="HVG94" s="167"/>
      <c r="HVH94" s="168"/>
      <c r="HVI94" s="167"/>
      <c r="HVJ94" s="168"/>
      <c r="HVK94" s="167"/>
      <c r="HVL94" s="168"/>
      <c r="HVM94" s="167"/>
      <c r="HVN94" s="168"/>
      <c r="HVO94" s="167"/>
      <c r="HVP94" s="168"/>
      <c r="HVQ94" s="167"/>
      <c r="HVR94" s="168"/>
      <c r="HVS94" s="167"/>
      <c r="HVT94" s="168"/>
      <c r="HVU94" s="167"/>
      <c r="HVV94" s="168"/>
      <c r="HVW94" s="167"/>
      <c r="HVX94" s="168"/>
      <c r="HVY94" s="167"/>
      <c r="HVZ94" s="168"/>
      <c r="HWA94" s="167"/>
      <c r="HWB94" s="168"/>
      <c r="HWC94" s="167"/>
      <c r="HWD94" s="168"/>
      <c r="HWE94" s="167"/>
      <c r="HWF94" s="168"/>
      <c r="HWG94" s="167"/>
      <c r="HWH94" s="168"/>
      <c r="HWI94" s="167"/>
      <c r="HWJ94" s="168"/>
      <c r="HWK94" s="167"/>
      <c r="HWL94" s="168"/>
      <c r="HWM94" s="167"/>
      <c r="HWN94" s="168"/>
      <c r="HWO94" s="167"/>
      <c r="HWP94" s="168"/>
      <c r="HWQ94" s="167"/>
      <c r="HWR94" s="168"/>
      <c r="HWS94" s="167"/>
      <c r="HWT94" s="168"/>
      <c r="HWU94" s="167"/>
      <c r="HWV94" s="168"/>
      <c r="HWW94" s="167"/>
      <c r="HWX94" s="168"/>
      <c r="HWY94" s="167"/>
      <c r="HWZ94" s="168"/>
      <c r="HXA94" s="167"/>
      <c r="HXB94" s="168"/>
      <c r="HXC94" s="167"/>
      <c r="HXD94" s="168"/>
      <c r="HXE94" s="167"/>
      <c r="HXF94" s="168"/>
      <c r="HXG94" s="167"/>
      <c r="HXH94" s="168"/>
      <c r="HXI94" s="167"/>
      <c r="HXJ94" s="168"/>
      <c r="HXK94" s="167"/>
      <c r="HXL94" s="168"/>
      <c r="HXM94" s="167"/>
      <c r="HXN94" s="168"/>
      <c r="HXO94" s="167"/>
      <c r="HXP94" s="168"/>
      <c r="HXQ94" s="167"/>
      <c r="HXR94" s="168"/>
      <c r="HXS94" s="167"/>
      <c r="HXT94" s="168"/>
      <c r="HXU94" s="167"/>
      <c r="HXV94" s="168"/>
      <c r="HXW94" s="167"/>
      <c r="HXX94" s="168"/>
      <c r="HXY94" s="167"/>
      <c r="HXZ94" s="168"/>
      <c r="HYA94" s="167"/>
      <c r="HYB94" s="168"/>
      <c r="HYC94" s="167"/>
      <c r="HYD94" s="168"/>
      <c r="HYE94" s="167"/>
      <c r="HYF94" s="168"/>
      <c r="HYG94" s="167"/>
      <c r="HYH94" s="168"/>
      <c r="HYI94" s="167"/>
      <c r="HYJ94" s="168"/>
      <c r="HYK94" s="167"/>
      <c r="HYL94" s="168"/>
      <c r="HYM94" s="167"/>
      <c r="HYN94" s="168"/>
      <c r="HYO94" s="167"/>
      <c r="HYP94" s="168"/>
      <c r="HYQ94" s="167"/>
      <c r="HYR94" s="168"/>
      <c r="HYS94" s="167"/>
      <c r="HYT94" s="168"/>
      <c r="HYU94" s="167"/>
      <c r="HYV94" s="168"/>
      <c r="HYW94" s="167"/>
      <c r="HYX94" s="168"/>
      <c r="HYY94" s="167"/>
      <c r="HYZ94" s="168"/>
      <c r="HZA94" s="167"/>
      <c r="HZB94" s="168"/>
      <c r="HZC94" s="167"/>
      <c r="HZD94" s="168"/>
      <c r="HZE94" s="167"/>
      <c r="HZF94" s="168"/>
      <c r="HZG94" s="167"/>
      <c r="HZH94" s="168"/>
      <c r="HZI94" s="167"/>
      <c r="HZJ94" s="168"/>
      <c r="HZK94" s="167"/>
      <c r="HZL94" s="168"/>
      <c r="HZM94" s="167"/>
      <c r="HZN94" s="168"/>
      <c r="HZO94" s="167"/>
      <c r="HZP94" s="168"/>
      <c r="HZQ94" s="167"/>
      <c r="HZR94" s="168"/>
      <c r="HZS94" s="167"/>
      <c r="HZT94" s="168"/>
      <c r="HZU94" s="167"/>
      <c r="HZV94" s="168"/>
      <c r="HZW94" s="167"/>
      <c r="HZX94" s="168"/>
      <c r="HZY94" s="167"/>
      <c r="HZZ94" s="168"/>
      <c r="IAA94" s="167"/>
      <c r="IAB94" s="168"/>
      <c r="IAC94" s="167"/>
      <c r="IAD94" s="168"/>
      <c r="IAE94" s="167"/>
      <c r="IAF94" s="168"/>
      <c r="IAG94" s="167"/>
      <c r="IAH94" s="168"/>
      <c r="IAI94" s="167"/>
      <c r="IAJ94" s="168"/>
      <c r="IAK94" s="167"/>
      <c r="IAL94" s="168"/>
      <c r="IAM94" s="167"/>
      <c r="IAN94" s="168"/>
      <c r="IAO94" s="167"/>
      <c r="IAP94" s="168"/>
      <c r="IAQ94" s="167"/>
      <c r="IAR94" s="168"/>
      <c r="IAS94" s="167"/>
      <c r="IAT94" s="168"/>
      <c r="IAU94" s="167"/>
      <c r="IAV94" s="168"/>
      <c r="IAW94" s="167"/>
      <c r="IAX94" s="168"/>
      <c r="IAY94" s="167"/>
      <c r="IAZ94" s="168"/>
      <c r="IBA94" s="167"/>
      <c r="IBB94" s="168"/>
      <c r="IBC94" s="167"/>
      <c r="IBD94" s="168"/>
      <c r="IBE94" s="167"/>
      <c r="IBF94" s="168"/>
      <c r="IBG94" s="167"/>
      <c r="IBH94" s="168"/>
      <c r="IBI94" s="167"/>
      <c r="IBJ94" s="168"/>
      <c r="IBK94" s="167"/>
      <c r="IBL94" s="168"/>
      <c r="IBM94" s="167"/>
      <c r="IBN94" s="168"/>
      <c r="IBO94" s="167"/>
      <c r="IBP94" s="168"/>
      <c r="IBQ94" s="167"/>
      <c r="IBR94" s="168"/>
      <c r="IBS94" s="167"/>
      <c r="IBT94" s="168"/>
      <c r="IBU94" s="167"/>
      <c r="IBV94" s="168"/>
      <c r="IBW94" s="167"/>
      <c r="IBX94" s="168"/>
      <c r="IBY94" s="167"/>
      <c r="IBZ94" s="168"/>
      <c r="ICA94" s="167"/>
      <c r="ICB94" s="168"/>
      <c r="ICC94" s="167"/>
      <c r="ICD94" s="168"/>
      <c r="ICE94" s="167"/>
      <c r="ICF94" s="168"/>
      <c r="ICG94" s="167"/>
      <c r="ICH94" s="168"/>
      <c r="ICI94" s="167"/>
      <c r="ICJ94" s="168"/>
      <c r="ICK94" s="167"/>
      <c r="ICL94" s="168"/>
      <c r="ICM94" s="167"/>
      <c r="ICN94" s="168"/>
      <c r="ICO94" s="167"/>
      <c r="ICP94" s="168"/>
      <c r="ICQ94" s="167"/>
      <c r="ICR94" s="168"/>
      <c r="ICS94" s="167"/>
      <c r="ICT94" s="168"/>
      <c r="ICU94" s="167"/>
      <c r="ICV94" s="168"/>
      <c r="ICW94" s="167"/>
      <c r="ICX94" s="168"/>
      <c r="ICY94" s="167"/>
      <c r="ICZ94" s="168"/>
      <c r="IDA94" s="167"/>
      <c r="IDB94" s="168"/>
      <c r="IDC94" s="167"/>
      <c r="IDD94" s="168"/>
      <c r="IDE94" s="167"/>
      <c r="IDF94" s="168"/>
      <c r="IDG94" s="167"/>
      <c r="IDH94" s="168"/>
      <c r="IDI94" s="167"/>
      <c r="IDJ94" s="168"/>
      <c r="IDK94" s="167"/>
      <c r="IDL94" s="168"/>
      <c r="IDM94" s="167"/>
      <c r="IDN94" s="168"/>
      <c r="IDO94" s="167"/>
      <c r="IDP94" s="168"/>
      <c r="IDQ94" s="167"/>
      <c r="IDR94" s="168"/>
      <c r="IDS94" s="167"/>
      <c r="IDT94" s="168"/>
      <c r="IDU94" s="167"/>
      <c r="IDV94" s="168"/>
      <c r="IDW94" s="167"/>
      <c r="IDX94" s="168"/>
      <c r="IDY94" s="167"/>
      <c r="IDZ94" s="168"/>
      <c r="IEA94" s="167"/>
      <c r="IEB94" s="168"/>
      <c r="IEC94" s="167"/>
      <c r="IED94" s="168"/>
      <c r="IEE94" s="167"/>
      <c r="IEF94" s="168"/>
      <c r="IEG94" s="167"/>
      <c r="IEH94" s="168"/>
      <c r="IEI94" s="167"/>
      <c r="IEJ94" s="168"/>
      <c r="IEK94" s="167"/>
      <c r="IEL94" s="168"/>
      <c r="IEM94" s="167"/>
      <c r="IEN94" s="168"/>
      <c r="IEO94" s="167"/>
      <c r="IEP94" s="168"/>
      <c r="IEQ94" s="167"/>
      <c r="IER94" s="168"/>
      <c r="IES94" s="167"/>
      <c r="IET94" s="168"/>
      <c r="IEU94" s="167"/>
      <c r="IEV94" s="168"/>
      <c r="IEW94" s="167"/>
      <c r="IEX94" s="168"/>
      <c r="IEY94" s="167"/>
      <c r="IEZ94" s="168"/>
      <c r="IFA94" s="167"/>
      <c r="IFB94" s="168"/>
      <c r="IFC94" s="167"/>
      <c r="IFD94" s="168"/>
      <c r="IFE94" s="167"/>
      <c r="IFF94" s="168"/>
      <c r="IFG94" s="167"/>
      <c r="IFH94" s="168"/>
      <c r="IFI94" s="167"/>
      <c r="IFJ94" s="168"/>
      <c r="IFK94" s="167"/>
      <c r="IFL94" s="168"/>
      <c r="IFM94" s="167"/>
      <c r="IFN94" s="168"/>
      <c r="IFO94" s="167"/>
      <c r="IFP94" s="168"/>
      <c r="IFQ94" s="167"/>
      <c r="IFR94" s="168"/>
      <c r="IFS94" s="167"/>
      <c r="IFT94" s="168"/>
      <c r="IFU94" s="167"/>
      <c r="IFV94" s="168"/>
      <c r="IFW94" s="167"/>
      <c r="IFX94" s="168"/>
      <c r="IFY94" s="167"/>
      <c r="IFZ94" s="168"/>
      <c r="IGA94" s="167"/>
      <c r="IGB94" s="168"/>
      <c r="IGC94" s="167"/>
      <c r="IGD94" s="168"/>
      <c r="IGE94" s="167"/>
      <c r="IGF94" s="168"/>
      <c r="IGG94" s="167"/>
      <c r="IGH94" s="168"/>
      <c r="IGI94" s="167"/>
      <c r="IGJ94" s="168"/>
      <c r="IGK94" s="167"/>
      <c r="IGL94" s="168"/>
      <c r="IGM94" s="167"/>
      <c r="IGN94" s="168"/>
      <c r="IGO94" s="167"/>
      <c r="IGP94" s="168"/>
      <c r="IGQ94" s="167"/>
      <c r="IGR94" s="168"/>
      <c r="IGS94" s="167"/>
      <c r="IGT94" s="168"/>
      <c r="IGU94" s="167"/>
      <c r="IGV94" s="168"/>
      <c r="IGW94" s="167"/>
      <c r="IGX94" s="168"/>
      <c r="IGY94" s="167"/>
      <c r="IGZ94" s="168"/>
      <c r="IHA94" s="167"/>
      <c r="IHB94" s="168"/>
      <c r="IHC94" s="167"/>
      <c r="IHD94" s="168"/>
      <c r="IHE94" s="167"/>
      <c r="IHF94" s="168"/>
      <c r="IHG94" s="167"/>
      <c r="IHH94" s="168"/>
      <c r="IHI94" s="167"/>
      <c r="IHJ94" s="168"/>
      <c r="IHK94" s="167"/>
      <c r="IHL94" s="168"/>
      <c r="IHM94" s="167"/>
      <c r="IHN94" s="168"/>
      <c r="IHO94" s="167"/>
      <c r="IHP94" s="168"/>
      <c r="IHQ94" s="167"/>
      <c r="IHR94" s="168"/>
      <c r="IHS94" s="167"/>
      <c r="IHT94" s="168"/>
      <c r="IHU94" s="167"/>
      <c r="IHV94" s="168"/>
      <c r="IHW94" s="167"/>
      <c r="IHX94" s="168"/>
      <c r="IHY94" s="167"/>
      <c r="IHZ94" s="168"/>
      <c r="IIA94" s="167"/>
      <c r="IIB94" s="168"/>
      <c r="IIC94" s="167"/>
      <c r="IID94" s="168"/>
      <c r="IIE94" s="167"/>
      <c r="IIF94" s="168"/>
      <c r="IIG94" s="167"/>
      <c r="IIH94" s="168"/>
      <c r="III94" s="167"/>
      <c r="IIJ94" s="168"/>
      <c r="IIK94" s="167"/>
      <c r="IIL94" s="168"/>
      <c r="IIM94" s="167"/>
      <c r="IIN94" s="168"/>
      <c r="IIO94" s="167"/>
      <c r="IIP94" s="168"/>
      <c r="IIQ94" s="167"/>
      <c r="IIR94" s="168"/>
      <c r="IIS94" s="167"/>
      <c r="IIT94" s="168"/>
      <c r="IIU94" s="167"/>
      <c r="IIV94" s="168"/>
      <c r="IIW94" s="167"/>
      <c r="IIX94" s="168"/>
      <c r="IIY94" s="167"/>
      <c r="IIZ94" s="168"/>
      <c r="IJA94" s="167"/>
      <c r="IJB94" s="168"/>
      <c r="IJC94" s="167"/>
      <c r="IJD94" s="168"/>
      <c r="IJE94" s="167"/>
      <c r="IJF94" s="168"/>
      <c r="IJG94" s="167"/>
      <c r="IJH94" s="168"/>
      <c r="IJI94" s="167"/>
      <c r="IJJ94" s="168"/>
      <c r="IJK94" s="167"/>
      <c r="IJL94" s="168"/>
      <c r="IJM94" s="167"/>
      <c r="IJN94" s="168"/>
      <c r="IJO94" s="167"/>
      <c r="IJP94" s="168"/>
      <c r="IJQ94" s="167"/>
      <c r="IJR94" s="168"/>
      <c r="IJS94" s="167"/>
      <c r="IJT94" s="168"/>
      <c r="IJU94" s="167"/>
      <c r="IJV94" s="168"/>
      <c r="IJW94" s="167"/>
      <c r="IJX94" s="168"/>
      <c r="IJY94" s="167"/>
      <c r="IJZ94" s="168"/>
      <c r="IKA94" s="167"/>
      <c r="IKB94" s="168"/>
      <c r="IKC94" s="167"/>
      <c r="IKD94" s="168"/>
      <c r="IKE94" s="167"/>
      <c r="IKF94" s="168"/>
      <c r="IKG94" s="167"/>
      <c r="IKH94" s="168"/>
      <c r="IKI94" s="167"/>
      <c r="IKJ94" s="168"/>
      <c r="IKK94" s="167"/>
      <c r="IKL94" s="168"/>
      <c r="IKM94" s="167"/>
      <c r="IKN94" s="168"/>
      <c r="IKO94" s="167"/>
      <c r="IKP94" s="168"/>
      <c r="IKQ94" s="167"/>
      <c r="IKR94" s="168"/>
      <c r="IKS94" s="167"/>
      <c r="IKT94" s="168"/>
      <c r="IKU94" s="167"/>
      <c r="IKV94" s="168"/>
      <c r="IKW94" s="167"/>
      <c r="IKX94" s="168"/>
      <c r="IKY94" s="167"/>
      <c r="IKZ94" s="168"/>
      <c r="ILA94" s="167"/>
      <c r="ILB94" s="168"/>
      <c r="ILC94" s="167"/>
      <c r="ILD94" s="168"/>
      <c r="ILE94" s="167"/>
      <c r="ILF94" s="168"/>
      <c r="ILG94" s="167"/>
      <c r="ILH94" s="168"/>
      <c r="ILI94" s="167"/>
      <c r="ILJ94" s="168"/>
      <c r="ILK94" s="167"/>
      <c r="ILL94" s="168"/>
      <c r="ILM94" s="167"/>
      <c r="ILN94" s="168"/>
      <c r="ILO94" s="167"/>
      <c r="ILP94" s="168"/>
      <c r="ILQ94" s="167"/>
      <c r="ILR94" s="168"/>
      <c r="ILS94" s="167"/>
      <c r="ILT94" s="168"/>
      <c r="ILU94" s="167"/>
      <c r="ILV94" s="168"/>
      <c r="ILW94" s="167"/>
      <c r="ILX94" s="168"/>
      <c r="ILY94" s="167"/>
      <c r="ILZ94" s="168"/>
      <c r="IMA94" s="167"/>
      <c r="IMB94" s="168"/>
      <c r="IMC94" s="167"/>
      <c r="IMD94" s="168"/>
      <c r="IME94" s="167"/>
      <c r="IMF94" s="168"/>
      <c r="IMG94" s="167"/>
      <c r="IMH94" s="168"/>
      <c r="IMI94" s="167"/>
      <c r="IMJ94" s="168"/>
      <c r="IMK94" s="167"/>
      <c r="IML94" s="168"/>
      <c r="IMM94" s="167"/>
      <c r="IMN94" s="168"/>
      <c r="IMO94" s="167"/>
      <c r="IMP94" s="168"/>
      <c r="IMQ94" s="167"/>
      <c r="IMR94" s="168"/>
      <c r="IMS94" s="167"/>
      <c r="IMT94" s="168"/>
      <c r="IMU94" s="167"/>
      <c r="IMV94" s="168"/>
      <c r="IMW94" s="167"/>
      <c r="IMX94" s="168"/>
      <c r="IMY94" s="167"/>
      <c r="IMZ94" s="168"/>
      <c r="INA94" s="167"/>
      <c r="INB94" s="168"/>
      <c r="INC94" s="167"/>
      <c r="IND94" s="168"/>
      <c r="INE94" s="167"/>
      <c r="INF94" s="168"/>
      <c r="ING94" s="167"/>
      <c r="INH94" s="168"/>
      <c r="INI94" s="167"/>
      <c r="INJ94" s="168"/>
      <c r="INK94" s="167"/>
      <c r="INL94" s="168"/>
      <c r="INM94" s="167"/>
      <c r="INN94" s="168"/>
      <c r="INO94" s="167"/>
      <c r="INP94" s="168"/>
      <c r="INQ94" s="167"/>
      <c r="INR94" s="168"/>
      <c r="INS94" s="167"/>
      <c r="INT94" s="168"/>
      <c r="INU94" s="167"/>
      <c r="INV94" s="168"/>
      <c r="INW94" s="167"/>
      <c r="INX94" s="168"/>
      <c r="INY94" s="167"/>
      <c r="INZ94" s="168"/>
      <c r="IOA94" s="167"/>
      <c r="IOB94" s="168"/>
      <c r="IOC94" s="167"/>
      <c r="IOD94" s="168"/>
      <c r="IOE94" s="167"/>
      <c r="IOF94" s="168"/>
      <c r="IOG94" s="167"/>
      <c r="IOH94" s="168"/>
      <c r="IOI94" s="167"/>
      <c r="IOJ94" s="168"/>
      <c r="IOK94" s="167"/>
      <c r="IOL94" s="168"/>
      <c r="IOM94" s="167"/>
      <c r="ION94" s="168"/>
      <c r="IOO94" s="167"/>
      <c r="IOP94" s="168"/>
      <c r="IOQ94" s="167"/>
      <c r="IOR94" s="168"/>
      <c r="IOS94" s="167"/>
      <c r="IOT94" s="168"/>
      <c r="IOU94" s="167"/>
      <c r="IOV94" s="168"/>
      <c r="IOW94" s="167"/>
      <c r="IOX94" s="168"/>
      <c r="IOY94" s="167"/>
      <c r="IOZ94" s="168"/>
      <c r="IPA94" s="167"/>
      <c r="IPB94" s="168"/>
      <c r="IPC94" s="167"/>
      <c r="IPD94" s="168"/>
      <c r="IPE94" s="167"/>
      <c r="IPF94" s="168"/>
      <c r="IPG94" s="167"/>
      <c r="IPH94" s="168"/>
      <c r="IPI94" s="167"/>
      <c r="IPJ94" s="168"/>
      <c r="IPK94" s="167"/>
      <c r="IPL94" s="168"/>
      <c r="IPM94" s="167"/>
      <c r="IPN94" s="168"/>
      <c r="IPO94" s="167"/>
      <c r="IPP94" s="168"/>
      <c r="IPQ94" s="167"/>
      <c r="IPR94" s="168"/>
      <c r="IPS94" s="167"/>
      <c r="IPT94" s="168"/>
      <c r="IPU94" s="167"/>
      <c r="IPV94" s="168"/>
      <c r="IPW94" s="167"/>
      <c r="IPX94" s="168"/>
      <c r="IPY94" s="167"/>
      <c r="IPZ94" s="168"/>
      <c r="IQA94" s="167"/>
      <c r="IQB94" s="168"/>
      <c r="IQC94" s="167"/>
      <c r="IQD94" s="168"/>
      <c r="IQE94" s="167"/>
      <c r="IQF94" s="168"/>
      <c r="IQG94" s="167"/>
      <c r="IQH94" s="168"/>
      <c r="IQI94" s="167"/>
      <c r="IQJ94" s="168"/>
      <c r="IQK94" s="167"/>
      <c r="IQL94" s="168"/>
      <c r="IQM94" s="167"/>
      <c r="IQN94" s="168"/>
      <c r="IQO94" s="167"/>
      <c r="IQP94" s="168"/>
      <c r="IQQ94" s="167"/>
      <c r="IQR94" s="168"/>
      <c r="IQS94" s="167"/>
      <c r="IQT94" s="168"/>
      <c r="IQU94" s="167"/>
      <c r="IQV94" s="168"/>
      <c r="IQW94" s="167"/>
      <c r="IQX94" s="168"/>
      <c r="IQY94" s="167"/>
      <c r="IQZ94" s="168"/>
      <c r="IRA94" s="167"/>
      <c r="IRB94" s="168"/>
      <c r="IRC94" s="167"/>
      <c r="IRD94" s="168"/>
      <c r="IRE94" s="167"/>
      <c r="IRF94" s="168"/>
      <c r="IRG94" s="167"/>
      <c r="IRH94" s="168"/>
      <c r="IRI94" s="167"/>
      <c r="IRJ94" s="168"/>
      <c r="IRK94" s="167"/>
      <c r="IRL94" s="168"/>
      <c r="IRM94" s="167"/>
      <c r="IRN94" s="168"/>
      <c r="IRO94" s="167"/>
      <c r="IRP94" s="168"/>
      <c r="IRQ94" s="167"/>
      <c r="IRR94" s="168"/>
      <c r="IRS94" s="167"/>
      <c r="IRT94" s="168"/>
      <c r="IRU94" s="167"/>
      <c r="IRV94" s="168"/>
      <c r="IRW94" s="167"/>
      <c r="IRX94" s="168"/>
      <c r="IRY94" s="167"/>
      <c r="IRZ94" s="168"/>
      <c r="ISA94" s="167"/>
      <c r="ISB94" s="168"/>
      <c r="ISC94" s="167"/>
      <c r="ISD94" s="168"/>
      <c r="ISE94" s="167"/>
      <c r="ISF94" s="168"/>
      <c r="ISG94" s="167"/>
      <c r="ISH94" s="168"/>
      <c r="ISI94" s="167"/>
      <c r="ISJ94" s="168"/>
      <c r="ISK94" s="167"/>
      <c r="ISL94" s="168"/>
      <c r="ISM94" s="167"/>
      <c r="ISN94" s="168"/>
      <c r="ISO94" s="167"/>
      <c r="ISP94" s="168"/>
      <c r="ISQ94" s="167"/>
      <c r="ISR94" s="168"/>
      <c r="ISS94" s="167"/>
      <c r="IST94" s="168"/>
      <c r="ISU94" s="167"/>
      <c r="ISV94" s="168"/>
      <c r="ISW94" s="167"/>
      <c r="ISX94" s="168"/>
      <c r="ISY94" s="167"/>
      <c r="ISZ94" s="168"/>
      <c r="ITA94" s="167"/>
      <c r="ITB94" s="168"/>
      <c r="ITC94" s="167"/>
      <c r="ITD94" s="168"/>
      <c r="ITE94" s="167"/>
      <c r="ITF94" s="168"/>
      <c r="ITG94" s="167"/>
      <c r="ITH94" s="168"/>
      <c r="ITI94" s="167"/>
      <c r="ITJ94" s="168"/>
      <c r="ITK94" s="167"/>
      <c r="ITL94" s="168"/>
      <c r="ITM94" s="167"/>
      <c r="ITN94" s="168"/>
      <c r="ITO94" s="167"/>
      <c r="ITP94" s="168"/>
      <c r="ITQ94" s="167"/>
      <c r="ITR94" s="168"/>
      <c r="ITS94" s="167"/>
      <c r="ITT94" s="168"/>
      <c r="ITU94" s="167"/>
      <c r="ITV94" s="168"/>
      <c r="ITW94" s="167"/>
      <c r="ITX94" s="168"/>
      <c r="ITY94" s="167"/>
      <c r="ITZ94" s="168"/>
      <c r="IUA94" s="167"/>
      <c r="IUB94" s="168"/>
      <c r="IUC94" s="167"/>
      <c r="IUD94" s="168"/>
      <c r="IUE94" s="167"/>
      <c r="IUF94" s="168"/>
      <c r="IUG94" s="167"/>
      <c r="IUH94" s="168"/>
      <c r="IUI94" s="167"/>
      <c r="IUJ94" s="168"/>
      <c r="IUK94" s="167"/>
      <c r="IUL94" s="168"/>
      <c r="IUM94" s="167"/>
      <c r="IUN94" s="168"/>
      <c r="IUO94" s="167"/>
      <c r="IUP94" s="168"/>
      <c r="IUQ94" s="167"/>
      <c r="IUR94" s="168"/>
      <c r="IUS94" s="167"/>
      <c r="IUT94" s="168"/>
      <c r="IUU94" s="167"/>
      <c r="IUV94" s="168"/>
      <c r="IUW94" s="167"/>
      <c r="IUX94" s="168"/>
      <c r="IUY94" s="167"/>
      <c r="IUZ94" s="168"/>
      <c r="IVA94" s="167"/>
      <c r="IVB94" s="168"/>
      <c r="IVC94" s="167"/>
      <c r="IVD94" s="168"/>
      <c r="IVE94" s="167"/>
      <c r="IVF94" s="168"/>
      <c r="IVG94" s="167"/>
      <c r="IVH94" s="168"/>
      <c r="IVI94" s="167"/>
      <c r="IVJ94" s="168"/>
      <c r="IVK94" s="167"/>
      <c r="IVL94" s="168"/>
      <c r="IVM94" s="167"/>
      <c r="IVN94" s="168"/>
      <c r="IVO94" s="167"/>
      <c r="IVP94" s="168"/>
      <c r="IVQ94" s="167"/>
      <c r="IVR94" s="168"/>
      <c r="IVS94" s="167"/>
      <c r="IVT94" s="168"/>
      <c r="IVU94" s="167"/>
      <c r="IVV94" s="168"/>
      <c r="IVW94" s="167"/>
      <c r="IVX94" s="168"/>
      <c r="IVY94" s="167"/>
      <c r="IVZ94" s="168"/>
      <c r="IWA94" s="167"/>
      <c r="IWB94" s="168"/>
      <c r="IWC94" s="167"/>
      <c r="IWD94" s="168"/>
      <c r="IWE94" s="167"/>
      <c r="IWF94" s="168"/>
      <c r="IWG94" s="167"/>
      <c r="IWH94" s="168"/>
      <c r="IWI94" s="167"/>
      <c r="IWJ94" s="168"/>
      <c r="IWK94" s="167"/>
      <c r="IWL94" s="168"/>
      <c r="IWM94" s="167"/>
      <c r="IWN94" s="168"/>
      <c r="IWO94" s="167"/>
      <c r="IWP94" s="168"/>
      <c r="IWQ94" s="167"/>
      <c r="IWR94" s="168"/>
      <c r="IWS94" s="167"/>
      <c r="IWT94" s="168"/>
      <c r="IWU94" s="167"/>
      <c r="IWV94" s="168"/>
      <c r="IWW94" s="167"/>
      <c r="IWX94" s="168"/>
      <c r="IWY94" s="167"/>
      <c r="IWZ94" s="168"/>
      <c r="IXA94" s="167"/>
      <c r="IXB94" s="168"/>
      <c r="IXC94" s="167"/>
      <c r="IXD94" s="168"/>
      <c r="IXE94" s="167"/>
      <c r="IXF94" s="168"/>
      <c r="IXG94" s="167"/>
      <c r="IXH94" s="168"/>
      <c r="IXI94" s="167"/>
      <c r="IXJ94" s="168"/>
      <c r="IXK94" s="167"/>
      <c r="IXL94" s="168"/>
      <c r="IXM94" s="167"/>
      <c r="IXN94" s="168"/>
      <c r="IXO94" s="167"/>
      <c r="IXP94" s="168"/>
      <c r="IXQ94" s="167"/>
      <c r="IXR94" s="168"/>
      <c r="IXS94" s="167"/>
      <c r="IXT94" s="168"/>
      <c r="IXU94" s="167"/>
      <c r="IXV94" s="168"/>
      <c r="IXW94" s="167"/>
      <c r="IXX94" s="168"/>
      <c r="IXY94" s="167"/>
      <c r="IXZ94" s="168"/>
      <c r="IYA94" s="167"/>
      <c r="IYB94" s="168"/>
      <c r="IYC94" s="167"/>
      <c r="IYD94" s="168"/>
      <c r="IYE94" s="167"/>
      <c r="IYF94" s="168"/>
      <c r="IYG94" s="167"/>
      <c r="IYH94" s="168"/>
      <c r="IYI94" s="167"/>
      <c r="IYJ94" s="168"/>
      <c r="IYK94" s="167"/>
      <c r="IYL94" s="168"/>
      <c r="IYM94" s="167"/>
      <c r="IYN94" s="168"/>
      <c r="IYO94" s="167"/>
      <c r="IYP94" s="168"/>
      <c r="IYQ94" s="167"/>
      <c r="IYR94" s="168"/>
      <c r="IYS94" s="167"/>
      <c r="IYT94" s="168"/>
      <c r="IYU94" s="167"/>
      <c r="IYV94" s="168"/>
      <c r="IYW94" s="167"/>
      <c r="IYX94" s="168"/>
      <c r="IYY94" s="167"/>
      <c r="IYZ94" s="168"/>
      <c r="IZA94" s="167"/>
      <c r="IZB94" s="168"/>
      <c r="IZC94" s="167"/>
      <c r="IZD94" s="168"/>
      <c r="IZE94" s="167"/>
      <c r="IZF94" s="168"/>
      <c r="IZG94" s="167"/>
      <c r="IZH94" s="168"/>
      <c r="IZI94" s="167"/>
      <c r="IZJ94" s="168"/>
      <c r="IZK94" s="167"/>
      <c r="IZL94" s="168"/>
      <c r="IZM94" s="167"/>
      <c r="IZN94" s="168"/>
      <c r="IZO94" s="167"/>
      <c r="IZP94" s="168"/>
      <c r="IZQ94" s="167"/>
      <c r="IZR94" s="168"/>
      <c r="IZS94" s="167"/>
      <c r="IZT94" s="168"/>
      <c r="IZU94" s="167"/>
      <c r="IZV94" s="168"/>
      <c r="IZW94" s="167"/>
      <c r="IZX94" s="168"/>
      <c r="IZY94" s="167"/>
      <c r="IZZ94" s="168"/>
      <c r="JAA94" s="167"/>
      <c r="JAB94" s="168"/>
      <c r="JAC94" s="167"/>
      <c r="JAD94" s="168"/>
      <c r="JAE94" s="167"/>
      <c r="JAF94" s="168"/>
      <c r="JAG94" s="167"/>
      <c r="JAH94" s="168"/>
      <c r="JAI94" s="167"/>
      <c r="JAJ94" s="168"/>
      <c r="JAK94" s="167"/>
      <c r="JAL94" s="168"/>
      <c r="JAM94" s="167"/>
      <c r="JAN94" s="168"/>
      <c r="JAO94" s="167"/>
      <c r="JAP94" s="168"/>
      <c r="JAQ94" s="167"/>
      <c r="JAR94" s="168"/>
      <c r="JAS94" s="167"/>
      <c r="JAT94" s="168"/>
      <c r="JAU94" s="167"/>
      <c r="JAV94" s="168"/>
      <c r="JAW94" s="167"/>
      <c r="JAX94" s="168"/>
      <c r="JAY94" s="167"/>
      <c r="JAZ94" s="168"/>
      <c r="JBA94" s="167"/>
      <c r="JBB94" s="168"/>
      <c r="JBC94" s="167"/>
      <c r="JBD94" s="168"/>
      <c r="JBE94" s="167"/>
      <c r="JBF94" s="168"/>
      <c r="JBG94" s="167"/>
      <c r="JBH94" s="168"/>
      <c r="JBI94" s="167"/>
      <c r="JBJ94" s="168"/>
      <c r="JBK94" s="167"/>
      <c r="JBL94" s="168"/>
      <c r="JBM94" s="167"/>
      <c r="JBN94" s="168"/>
      <c r="JBO94" s="167"/>
      <c r="JBP94" s="168"/>
      <c r="JBQ94" s="167"/>
      <c r="JBR94" s="168"/>
      <c r="JBS94" s="167"/>
      <c r="JBT94" s="168"/>
      <c r="JBU94" s="167"/>
      <c r="JBV94" s="168"/>
      <c r="JBW94" s="167"/>
      <c r="JBX94" s="168"/>
      <c r="JBY94" s="167"/>
      <c r="JBZ94" s="168"/>
      <c r="JCA94" s="167"/>
      <c r="JCB94" s="168"/>
      <c r="JCC94" s="167"/>
      <c r="JCD94" s="168"/>
      <c r="JCE94" s="167"/>
      <c r="JCF94" s="168"/>
      <c r="JCG94" s="167"/>
      <c r="JCH94" s="168"/>
      <c r="JCI94" s="167"/>
      <c r="JCJ94" s="168"/>
      <c r="JCK94" s="167"/>
      <c r="JCL94" s="168"/>
      <c r="JCM94" s="167"/>
      <c r="JCN94" s="168"/>
      <c r="JCO94" s="167"/>
      <c r="JCP94" s="168"/>
      <c r="JCQ94" s="167"/>
      <c r="JCR94" s="168"/>
      <c r="JCS94" s="167"/>
      <c r="JCT94" s="168"/>
      <c r="JCU94" s="167"/>
      <c r="JCV94" s="168"/>
      <c r="JCW94" s="167"/>
      <c r="JCX94" s="168"/>
      <c r="JCY94" s="167"/>
      <c r="JCZ94" s="168"/>
      <c r="JDA94" s="167"/>
      <c r="JDB94" s="168"/>
      <c r="JDC94" s="167"/>
      <c r="JDD94" s="168"/>
      <c r="JDE94" s="167"/>
      <c r="JDF94" s="168"/>
      <c r="JDG94" s="167"/>
      <c r="JDH94" s="168"/>
      <c r="JDI94" s="167"/>
      <c r="JDJ94" s="168"/>
      <c r="JDK94" s="167"/>
      <c r="JDL94" s="168"/>
      <c r="JDM94" s="167"/>
      <c r="JDN94" s="168"/>
      <c r="JDO94" s="167"/>
      <c r="JDP94" s="168"/>
      <c r="JDQ94" s="167"/>
      <c r="JDR94" s="168"/>
      <c r="JDS94" s="167"/>
      <c r="JDT94" s="168"/>
      <c r="JDU94" s="167"/>
      <c r="JDV94" s="168"/>
      <c r="JDW94" s="167"/>
      <c r="JDX94" s="168"/>
      <c r="JDY94" s="167"/>
      <c r="JDZ94" s="168"/>
      <c r="JEA94" s="167"/>
      <c r="JEB94" s="168"/>
      <c r="JEC94" s="167"/>
      <c r="JED94" s="168"/>
      <c r="JEE94" s="167"/>
      <c r="JEF94" s="168"/>
      <c r="JEG94" s="167"/>
      <c r="JEH94" s="168"/>
      <c r="JEI94" s="167"/>
      <c r="JEJ94" s="168"/>
      <c r="JEK94" s="167"/>
      <c r="JEL94" s="168"/>
      <c r="JEM94" s="167"/>
      <c r="JEN94" s="168"/>
      <c r="JEO94" s="167"/>
      <c r="JEP94" s="168"/>
      <c r="JEQ94" s="167"/>
      <c r="JER94" s="168"/>
      <c r="JES94" s="167"/>
      <c r="JET94" s="168"/>
      <c r="JEU94" s="167"/>
      <c r="JEV94" s="168"/>
      <c r="JEW94" s="167"/>
      <c r="JEX94" s="168"/>
      <c r="JEY94" s="167"/>
      <c r="JEZ94" s="168"/>
      <c r="JFA94" s="167"/>
      <c r="JFB94" s="168"/>
      <c r="JFC94" s="167"/>
      <c r="JFD94" s="168"/>
      <c r="JFE94" s="167"/>
      <c r="JFF94" s="168"/>
      <c r="JFG94" s="167"/>
      <c r="JFH94" s="168"/>
      <c r="JFI94" s="167"/>
      <c r="JFJ94" s="168"/>
      <c r="JFK94" s="167"/>
      <c r="JFL94" s="168"/>
      <c r="JFM94" s="167"/>
      <c r="JFN94" s="168"/>
      <c r="JFO94" s="167"/>
      <c r="JFP94" s="168"/>
      <c r="JFQ94" s="167"/>
      <c r="JFR94" s="168"/>
      <c r="JFS94" s="167"/>
      <c r="JFT94" s="168"/>
      <c r="JFU94" s="167"/>
      <c r="JFV94" s="168"/>
      <c r="JFW94" s="167"/>
      <c r="JFX94" s="168"/>
      <c r="JFY94" s="167"/>
      <c r="JFZ94" s="168"/>
      <c r="JGA94" s="167"/>
      <c r="JGB94" s="168"/>
      <c r="JGC94" s="167"/>
      <c r="JGD94" s="168"/>
      <c r="JGE94" s="167"/>
      <c r="JGF94" s="168"/>
      <c r="JGG94" s="167"/>
      <c r="JGH94" s="168"/>
      <c r="JGI94" s="167"/>
      <c r="JGJ94" s="168"/>
      <c r="JGK94" s="167"/>
      <c r="JGL94" s="168"/>
      <c r="JGM94" s="167"/>
      <c r="JGN94" s="168"/>
      <c r="JGO94" s="167"/>
      <c r="JGP94" s="168"/>
      <c r="JGQ94" s="167"/>
      <c r="JGR94" s="168"/>
      <c r="JGS94" s="167"/>
      <c r="JGT94" s="168"/>
      <c r="JGU94" s="167"/>
      <c r="JGV94" s="168"/>
      <c r="JGW94" s="167"/>
      <c r="JGX94" s="168"/>
      <c r="JGY94" s="167"/>
      <c r="JGZ94" s="168"/>
      <c r="JHA94" s="167"/>
      <c r="JHB94" s="168"/>
      <c r="JHC94" s="167"/>
      <c r="JHD94" s="168"/>
      <c r="JHE94" s="167"/>
      <c r="JHF94" s="168"/>
      <c r="JHG94" s="167"/>
      <c r="JHH94" s="168"/>
      <c r="JHI94" s="167"/>
      <c r="JHJ94" s="168"/>
      <c r="JHK94" s="167"/>
      <c r="JHL94" s="168"/>
      <c r="JHM94" s="167"/>
      <c r="JHN94" s="168"/>
      <c r="JHO94" s="167"/>
      <c r="JHP94" s="168"/>
      <c r="JHQ94" s="167"/>
      <c r="JHR94" s="168"/>
      <c r="JHS94" s="167"/>
      <c r="JHT94" s="168"/>
      <c r="JHU94" s="167"/>
      <c r="JHV94" s="168"/>
      <c r="JHW94" s="167"/>
      <c r="JHX94" s="168"/>
      <c r="JHY94" s="167"/>
      <c r="JHZ94" s="168"/>
      <c r="JIA94" s="167"/>
      <c r="JIB94" s="168"/>
      <c r="JIC94" s="167"/>
      <c r="JID94" s="168"/>
      <c r="JIE94" s="167"/>
      <c r="JIF94" s="168"/>
      <c r="JIG94" s="167"/>
      <c r="JIH94" s="168"/>
      <c r="JII94" s="167"/>
      <c r="JIJ94" s="168"/>
      <c r="JIK94" s="167"/>
      <c r="JIL94" s="168"/>
      <c r="JIM94" s="167"/>
      <c r="JIN94" s="168"/>
      <c r="JIO94" s="167"/>
      <c r="JIP94" s="168"/>
      <c r="JIQ94" s="167"/>
      <c r="JIR94" s="168"/>
      <c r="JIS94" s="167"/>
      <c r="JIT94" s="168"/>
      <c r="JIU94" s="167"/>
      <c r="JIV94" s="168"/>
      <c r="JIW94" s="167"/>
      <c r="JIX94" s="168"/>
      <c r="JIY94" s="167"/>
      <c r="JIZ94" s="168"/>
      <c r="JJA94" s="167"/>
      <c r="JJB94" s="168"/>
      <c r="JJC94" s="167"/>
      <c r="JJD94" s="168"/>
      <c r="JJE94" s="167"/>
      <c r="JJF94" s="168"/>
      <c r="JJG94" s="167"/>
      <c r="JJH94" s="168"/>
      <c r="JJI94" s="167"/>
      <c r="JJJ94" s="168"/>
      <c r="JJK94" s="167"/>
      <c r="JJL94" s="168"/>
      <c r="JJM94" s="167"/>
      <c r="JJN94" s="168"/>
      <c r="JJO94" s="167"/>
      <c r="JJP94" s="168"/>
      <c r="JJQ94" s="167"/>
      <c r="JJR94" s="168"/>
      <c r="JJS94" s="167"/>
      <c r="JJT94" s="168"/>
      <c r="JJU94" s="167"/>
      <c r="JJV94" s="168"/>
      <c r="JJW94" s="167"/>
      <c r="JJX94" s="168"/>
      <c r="JJY94" s="167"/>
      <c r="JJZ94" s="168"/>
      <c r="JKA94" s="167"/>
      <c r="JKB94" s="168"/>
      <c r="JKC94" s="167"/>
      <c r="JKD94" s="168"/>
      <c r="JKE94" s="167"/>
      <c r="JKF94" s="168"/>
      <c r="JKG94" s="167"/>
      <c r="JKH94" s="168"/>
      <c r="JKI94" s="167"/>
      <c r="JKJ94" s="168"/>
      <c r="JKK94" s="167"/>
      <c r="JKL94" s="168"/>
      <c r="JKM94" s="167"/>
      <c r="JKN94" s="168"/>
      <c r="JKO94" s="167"/>
      <c r="JKP94" s="168"/>
      <c r="JKQ94" s="167"/>
      <c r="JKR94" s="168"/>
      <c r="JKS94" s="167"/>
      <c r="JKT94" s="168"/>
      <c r="JKU94" s="167"/>
      <c r="JKV94" s="168"/>
      <c r="JKW94" s="167"/>
      <c r="JKX94" s="168"/>
      <c r="JKY94" s="167"/>
      <c r="JKZ94" s="168"/>
      <c r="JLA94" s="167"/>
      <c r="JLB94" s="168"/>
      <c r="JLC94" s="167"/>
      <c r="JLD94" s="168"/>
      <c r="JLE94" s="167"/>
      <c r="JLF94" s="168"/>
      <c r="JLG94" s="167"/>
      <c r="JLH94" s="168"/>
      <c r="JLI94" s="167"/>
      <c r="JLJ94" s="168"/>
      <c r="JLK94" s="167"/>
      <c r="JLL94" s="168"/>
      <c r="JLM94" s="167"/>
      <c r="JLN94" s="168"/>
      <c r="JLO94" s="167"/>
      <c r="JLP94" s="168"/>
      <c r="JLQ94" s="167"/>
      <c r="JLR94" s="168"/>
      <c r="JLS94" s="167"/>
      <c r="JLT94" s="168"/>
      <c r="JLU94" s="167"/>
      <c r="JLV94" s="168"/>
      <c r="JLW94" s="167"/>
      <c r="JLX94" s="168"/>
      <c r="JLY94" s="167"/>
      <c r="JLZ94" s="168"/>
      <c r="JMA94" s="167"/>
      <c r="JMB94" s="168"/>
      <c r="JMC94" s="167"/>
      <c r="JMD94" s="168"/>
      <c r="JME94" s="167"/>
      <c r="JMF94" s="168"/>
      <c r="JMG94" s="167"/>
      <c r="JMH94" s="168"/>
      <c r="JMI94" s="167"/>
      <c r="JMJ94" s="168"/>
      <c r="JMK94" s="167"/>
      <c r="JML94" s="168"/>
      <c r="JMM94" s="167"/>
      <c r="JMN94" s="168"/>
      <c r="JMO94" s="167"/>
      <c r="JMP94" s="168"/>
      <c r="JMQ94" s="167"/>
      <c r="JMR94" s="168"/>
      <c r="JMS94" s="167"/>
      <c r="JMT94" s="168"/>
      <c r="JMU94" s="167"/>
      <c r="JMV94" s="168"/>
      <c r="JMW94" s="167"/>
      <c r="JMX94" s="168"/>
      <c r="JMY94" s="167"/>
      <c r="JMZ94" s="168"/>
      <c r="JNA94" s="167"/>
      <c r="JNB94" s="168"/>
      <c r="JNC94" s="167"/>
      <c r="JND94" s="168"/>
      <c r="JNE94" s="167"/>
      <c r="JNF94" s="168"/>
      <c r="JNG94" s="167"/>
      <c r="JNH94" s="168"/>
      <c r="JNI94" s="167"/>
      <c r="JNJ94" s="168"/>
      <c r="JNK94" s="167"/>
      <c r="JNL94" s="168"/>
      <c r="JNM94" s="167"/>
      <c r="JNN94" s="168"/>
      <c r="JNO94" s="167"/>
      <c r="JNP94" s="168"/>
      <c r="JNQ94" s="167"/>
      <c r="JNR94" s="168"/>
      <c r="JNS94" s="167"/>
      <c r="JNT94" s="168"/>
      <c r="JNU94" s="167"/>
      <c r="JNV94" s="168"/>
      <c r="JNW94" s="167"/>
      <c r="JNX94" s="168"/>
      <c r="JNY94" s="167"/>
      <c r="JNZ94" s="168"/>
      <c r="JOA94" s="167"/>
      <c r="JOB94" s="168"/>
      <c r="JOC94" s="167"/>
      <c r="JOD94" s="168"/>
      <c r="JOE94" s="167"/>
      <c r="JOF94" s="168"/>
      <c r="JOG94" s="167"/>
      <c r="JOH94" s="168"/>
      <c r="JOI94" s="167"/>
      <c r="JOJ94" s="168"/>
      <c r="JOK94" s="167"/>
      <c r="JOL94" s="168"/>
      <c r="JOM94" s="167"/>
      <c r="JON94" s="168"/>
      <c r="JOO94" s="167"/>
      <c r="JOP94" s="168"/>
      <c r="JOQ94" s="167"/>
      <c r="JOR94" s="168"/>
      <c r="JOS94" s="167"/>
      <c r="JOT94" s="168"/>
      <c r="JOU94" s="167"/>
      <c r="JOV94" s="168"/>
      <c r="JOW94" s="167"/>
      <c r="JOX94" s="168"/>
      <c r="JOY94" s="167"/>
      <c r="JOZ94" s="168"/>
      <c r="JPA94" s="167"/>
      <c r="JPB94" s="168"/>
      <c r="JPC94" s="167"/>
      <c r="JPD94" s="168"/>
      <c r="JPE94" s="167"/>
      <c r="JPF94" s="168"/>
      <c r="JPG94" s="167"/>
      <c r="JPH94" s="168"/>
      <c r="JPI94" s="167"/>
      <c r="JPJ94" s="168"/>
      <c r="JPK94" s="167"/>
      <c r="JPL94" s="168"/>
      <c r="JPM94" s="167"/>
      <c r="JPN94" s="168"/>
      <c r="JPO94" s="167"/>
      <c r="JPP94" s="168"/>
      <c r="JPQ94" s="167"/>
      <c r="JPR94" s="168"/>
      <c r="JPS94" s="167"/>
      <c r="JPT94" s="168"/>
      <c r="JPU94" s="167"/>
      <c r="JPV94" s="168"/>
      <c r="JPW94" s="167"/>
      <c r="JPX94" s="168"/>
      <c r="JPY94" s="167"/>
      <c r="JPZ94" s="168"/>
      <c r="JQA94" s="167"/>
      <c r="JQB94" s="168"/>
      <c r="JQC94" s="167"/>
      <c r="JQD94" s="168"/>
      <c r="JQE94" s="167"/>
      <c r="JQF94" s="168"/>
      <c r="JQG94" s="167"/>
      <c r="JQH94" s="168"/>
      <c r="JQI94" s="167"/>
      <c r="JQJ94" s="168"/>
      <c r="JQK94" s="167"/>
      <c r="JQL94" s="168"/>
      <c r="JQM94" s="167"/>
      <c r="JQN94" s="168"/>
      <c r="JQO94" s="167"/>
      <c r="JQP94" s="168"/>
      <c r="JQQ94" s="167"/>
      <c r="JQR94" s="168"/>
      <c r="JQS94" s="167"/>
      <c r="JQT94" s="168"/>
      <c r="JQU94" s="167"/>
      <c r="JQV94" s="168"/>
      <c r="JQW94" s="167"/>
      <c r="JQX94" s="168"/>
      <c r="JQY94" s="167"/>
      <c r="JQZ94" s="168"/>
      <c r="JRA94" s="167"/>
      <c r="JRB94" s="168"/>
      <c r="JRC94" s="167"/>
      <c r="JRD94" s="168"/>
      <c r="JRE94" s="167"/>
      <c r="JRF94" s="168"/>
      <c r="JRG94" s="167"/>
      <c r="JRH94" s="168"/>
      <c r="JRI94" s="167"/>
      <c r="JRJ94" s="168"/>
      <c r="JRK94" s="167"/>
      <c r="JRL94" s="168"/>
      <c r="JRM94" s="167"/>
      <c r="JRN94" s="168"/>
      <c r="JRO94" s="167"/>
      <c r="JRP94" s="168"/>
      <c r="JRQ94" s="167"/>
      <c r="JRR94" s="168"/>
      <c r="JRS94" s="167"/>
      <c r="JRT94" s="168"/>
      <c r="JRU94" s="167"/>
      <c r="JRV94" s="168"/>
      <c r="JRW94" s="167"/>
      <c r="JRX94" s="168"/>
      <c r="JRY94" s="167"/>
      <c r="JRZ94" s="168"/>
      <c r="JSA94" s="167"/>
      <c r="JSB94" s="168"/>
      <c r="JSC94" s="167"/>
      <c r="JSD94" s="168"/>
      <c r="JSE94" s="167"/>
      <c r="JSF94" s="168"/>
      <c r="JSG94" s="167"/>
      <c r="JSH94" s="168"/>
      <c r="JSI94" s="167"/>
      <c r="JSJ94" s="168"/>
      <c r="JSK94" s="167"/>
      <c r="JSL94" s="168"/>
      <c r="JSM94" s="167"/>
      <c r="JSN94" s="168"/>
      <c r="JSO94" s="167"/>
      <c r="JSP94" s="168"/>
      <c r="JSQ94" s="167"/>
      <c r="JSR94" s="168"/>
      <c r="JSS94" s="167"/>
      <c r="JST94" s="168"/>
      <c r="JSU94" s="167"/>
      <c r="JSV94" s="168"/>
      <c r="JSW94" s="167"/>
      <c r="JSX94" s="168"/>
      <c r="JSY94" s="167"/>
      <c r="JSZ94" s="168"/>
      <c r="JTA94" s="167"/>
      <c r="JTB94" s="168"/>
      <c r="JTC94" s="167"/>
      <c r="JTD94" s="168"/>
      <c r="JTE94" s="167"/>
      <c r="JTF94" s="168"/>
      <c r="JTG94" s="167"/>
      <c r="JTH94" s="168"/>
      <c r="JTI94" s="167"/>
      <c r="JTJ94" s="168"/>
      <c r="JTK94" s="167"/>
      <c r="JTL94" s="168"/>
      <c r="JTM94" s="167"/>
      <c r="JTN94" s="168"/>
      <c r="JTO94" s="167"/>
      <c r="JTP94" s="168"/>
      <c r="JTQ94" s="167"/>
      <c r="JTR94" s="168"/>
      <c r="JTS94" s="167"/>
      <c r="JTT94" s="168"/>
      <c r="JTU94" s="167"/>
      <c r="JTV94" s="168"/>
      <c r="JTW94" s="167"/>
      <c r="JTX94" s="168"/>
      <c r="JTY94" s="167"/>
      <c r="JTZ94" s="168"/>
      <c r="JUA94" s="167"/>
      <c r="JUB94" s="168"/>
      <c r="JUC94" s="167"/>
      <c r="JUD94" s="168"/>
      <c r="JUE94" s="167"/>
      <c r="JUF94" s="168"/>
      <c r="JUG94" s="167"/>
      <c r="JUH94" s="168"/>
      <c r="JUI94" s="167"/>
      <c r="JUJ94" s="168"/>
      <c r="JUK94" s="167"/>
      <c r="JUL94" s="168"/>
      <c r="JUM94" s="167"/>
      <c r="JUN94" s="168"/>
      <c r="JUO94" s="167"/>
      <c r="JUP94" s="168"/>
      <c r="JUQ94" s="167"/>
      <c r="JUR94" s="168"/>
      <c r="JUS94" s="167"/>
      <c r="JUT94" s="168"/>
      <c r="JUU94" s="167"/>
      <c r="JUV94" s="168"/>
      <c r="JUW94" s="167"/>
      <c r="JUX94" s="168"/>
      <c r="JUY94" s="167"/>
      <c r="JUZ94" s="168"/>
      <c r="JVA94" s="167"/>
      <c r="JVB94" s="168"/>
      <c r="JVC94" s="167"/>
      <c r="JVD94" s="168"/>
      <c r="JVE94" s="167"/>
      <c r="JVF94" s="168"/>
      <c r="JVG94" s="167"/>
      <c r="JVH94" s="168"/>
      <c r="JVI94" s="167"/>
      <c r="JVJ94" s="168"/>
      <c r="JVK94" s="167"/>
      <c r="JVL94" s="168"/>
      <c r="JVM94" s="167"/>
      <c r="JVN94" s="168"/>
      <c r="JVO94" s="167"/>
      <c r="JVP94" s="168"/>
      <c r="JVQ94" s="167"/>
      <c r="JVR94" s="168"/>
      <c r="JVS94" s="167"/>
      <c r="JVT94" s="168"/>
      <c r="JVU94" s="167"/>
      <c r="JVV94" s="168"/>
      <c r="JVW94" s="167"/>
      <c r="JVX94" s="168"/>
      <c r="JVY94" s="167"/>
      <c r="JVZ94" s="168"/>
      <c r="JWA94" s="167"/>
      <c r="JWB94" s="168"/>
      <c r="JWC94" s="167"/>
      <c r="JWD94" s="168"/>
      <c r="JWE94" s="167"/>
      <c r="JWF94" s="168"/>
      <c r="JWG94" s="167"/>
      <c r="JWH94" s="168"/>
      <c r="JWI94" s="167"/>
      <c r="JWJ94" s="168"/>
      <c r="JWK94" s="167"/>
      <c r="JWL94" s="168"/>
      <c r="JWM94" s="167"/>
      <c r="JWN94" s="168"/>
      <c r="JWO94" s="167"/>
      <c r="JWP94" s="168"/>
      <c r="JWQ94" s="167"/>
      <c r="JWR94" s="168"/>
      <c r="JWS94" s="167"/>
      <c r="JWT94" s="168"/>
      <c r="JWU94" s="167"/>
      <c r="JWV94" s="168"/>
      <c r="JWW94" s="167"/>
      <c r="JWX94" s="168"/>
      <c r="JWY94" s="167"/>
      <c r="JWZ94" s="168"/>
      <c r="JXA94" s="167"/>
      <c r="JXB94" s="168"/>
      <c r="JXC94" s="167"/>
      <c r="JXD94" s="168"/>
      <c r="JXE94" s="167"/>
      <c r="JXF94" s="168"/>
      <c r="JXG94" s="167"/>
      <c r="JXH94" s="168"/>
      <c r="JXI94" s="167"/>
      <c r="JXJ94" s="168"/>
      <c r="JXK94" s="167"/>
      <c r="JXL94" s="168"/>
      <c r="JXM94" s="167"/>
      <c r="JXN94" s="168"/>
      <c r="JXO94" s="167"/>
      <c r="JXP94" s="168"/>
      <c r="JXQ94" s="167"/>
      <c r="JXR94" s="168"/>
      <c r="JXS94" s="167"/>
      <c r="JXT94" s="168"/>
      <c r="JXU94" s="167"/>
      <c r="JXV94" s="168"/>
      <c r="JXW94" s="167"/>
      <c r="JXX94" s="168"/>
      <c r="JXY94" s="167"/>
      <c r="JXZ94" s="168"/>
      <c r="JYA94" s="167"/>
      <c r="JYB94" s="168"/>
      <c r="JYC94" s="167"/>
      <c r="JYD94" s="168"/>
      <c r="JYE94" s="167"/>
      <c r="JYF94" s="168"/>
      <c r="JYG94" s="167"/>
      <c r="JYH94" s="168"/>
      <c r="JYI94" s="167"/>
      <c r="JYJ94" s="168"/>
      <c r="JYK94" s="167"/>
      <c r="JYL94" s="168"/>
      <c r="JYM94" s="167"/>
      <c r="JYN94" s="168"/>
      <c r="JYO94" s="167"/>
      <c r="JYP94" s="168"/>
      <c r="JYQ94" s="167"/>
      <c r="JYR94" s="168"/>
      <c r="JYS94" s="167"/>
      <c r="JYT94" s="168"/>
      <c r="JYU94" s="167"/>
      <c r="JYV94" s="168"/>
      <c r="JYW94" s="167"/>
      <c r="JYX94" s="168"/>
      <c r="JYY94" s="167"/>
      <c r="JYZ94" s="168"/>
      <c r="JZA94" s="167"/>
      <c r="JZB94" s="168"/>
      <c r="JZC94" s="167"/>
      <c r="JZD94" s="168"/>
      <c r="JZE94" s="167"/>
      <c r="JZF94" s="168"/>
      <c r="JZG94" s="167"/>
      <c r="JZH94" s="168"/>
      <c r="JZI94" s="167"/>
      <c r="JZJ94" s="168"/>
      <c r="JZK94" s="167"/>
      <c r="JZL94" s="168"/>
      <c r="JZM94" s="167"/>
      <c r="JZN94" s="168"/>
      <c r="JZO94" s="167"/>
      <c r="JZP94" s="168"/>
      <c r="JZQ94" s="167"/>
      <c r="JZR94" s="168"/>
      <c r="JZS94" s="167"/>
      <c r="JZT94" s="168"/>
      <c r="JZU94" s="167"/>
      <c r="JZV94" s="168"/>
      <c r="JZW94" s="167"/>
      <c r="JZX94" s="168"/>
      <c r="JZY94" s="167"/>
      <c r="JZZ94" s="168"/>
      <c r="KAA94" s="167"/>
      <c r="KAB94" s="168"/>
      <c r="KAC94" s="167"/>
      <c r="KAD94" s="168"/>
      <c r="KAE94" s="167"/>
      <c r="KAF94" s="168"/>
      <c r="KAG94" s="167"/>
      <c r="KAH94" s="168"/>
      <c r="KAI94" s="167"/>
      <c r="KAJ94" s="168"/>
      <c r="KAK94" s="167"/>
      <c r="KAL94" s="168"/>
      <c r="KAM94" s="167"/>
      <c r="KAN94" s="168"/>
      <c r="KAO94" s="167"/>
      <c r="KAP94" s="168"/>
      <c r="KAQ94" s="167"/>
      <c r="KAR94" s="168"/>
      <c r="KAS94" s="167"/>
      <c r="KAT94" s="168"/>
      <c r="KAU94" s="167"/>
      <c r="KAV94" s="168"/>
      <c r="KAW94" s="167"/>
      <c r="KAX94" s="168"/>
      <c r="KAY94" s="167"/>
      <c r="KAZ94" s="168"/>
      <c r="KBA94" s="167"/>
      <c r="KBB94" s="168"/>
      <c r="KBC94" s="167"/>
      <c r="KBD94" s="168"/>
      <c r="KBE94" s="167"/>
      <c r="KBF94" s="168"/>
      <c r="KBG94" s="167"/>
      <c r="KBH94" s="168"/>
      <c r="KBI94" s="167"/>
      <c r="KBJ94" s="168"/>
      <c r="KBK94" s="167"/>
      <c r="KBL94" s="168"/>
      <c r="KBM94" s="167"/>
      <c r="KBN94" s="168"/>
      <c r="KBO94" s="167"/>
      <c r="KBP94" s="168"/>
      <c r="KBQ94" s="167"/>
      <c r="KBR94" s="168"/>
      <c r="KBS94" s="167"/>
      <c r="KBT94" s="168"/>
      <c r="KBU94" s="167"/>
      <c r="KBV94" s="168"/>
      <c r="KBW94" s="167"/>
      <c r="KBX94" s="168"/>
      <c r="KBY94" s="167"/>
      <c r="KBZ94" s="168"/>
      <c r="KCA94" s="167"/>
      <c r="KCB94" s="168"/>
      <c r="KCC94" s="167"/>
      <c r="KCD94" s="168"/>
      <c r="KCE94" s="167"/>
      <c r="KCF94" s="168"/>
      <c r="KCG94" s="167"/>
      <c r="KCH94" s="168"/>
      <c r="KCI94" s="167"/>
      <c r="KCJ94" s="168"/>
      <c r="KCK94" s="167"/>
      <c r="KCL94" s="168"/>
      <c r="KCM94" s="167"/>
      <c r="KCN94" s="168"/>
      <c r="KCO94" s="167"/>
      <c r="KCP94" s="168"/>
      <c r="KCQ94" s="167"/>
      <c r="KCR94" s="168"/>
      <c r="KCS94" s="167"/>
      <c r="KCT94" s="168"/>
      <c r="KCU94" s="167"/>
      <c r="KCV94" s="168"/>
      <c r="KCW94" s="167"/>
      <c r="KCX94" s="168"/>
      <c r="KCY94" s="167"/>
      <c r="KCZ94" s="168"/>
      <c r="KDA94" s="167"/>
      <c r="KDB94" s="168"/>
      <c r="KDC94" s="167"/>
      <c r="KDD94" s="168"/>
      <c r="KDE94" s="167"/>
      <c r="KDF94" s="168"/>
      <c r="KDG94" s="167"/>
      <c r="KDH94" s="168"/>
      <c r="KDI94" s="167"/>
      <c r="KDJ94" s="168"/>
      <c r="KDK94" s="167"/>
      <c r="KDL94" s="168"/>
      <c r="KDM94" s="167"/>
      <c r="KDN94" s="168"/>
      <c r="KDO94" s="167"/>
      <c r="KDP94" s="168"/>
      <c r="KDQ94" s="167"/>
      <c r="KDR94" s="168"/>
      <c r="KDS94" s="167"/>
      <c r="KDT94" s="168"/>
      <c r="KDU94" s="167"/>
      <c r="KDV94" s="168"/>
      <c r="KDW94" s="167"/>
      <c r="KDX94" s="168"/>
      <c r="KDY94" s="167"/>
      <c r="KDZ94" s="168"/>
      <c r="KEA94" s="167"/>
      <c r="KEB94" s="168"/>
      <c r="KEC94" s="167"/>
      <c r="KED94" s="168"/>
      <c r="KEE94" s="167"/>
      <c r="KEF94" s="168"/>
      <c r="KEG94" s="167"/>
      <c r="KEH94" s="168"/>
      <c r="KEI94" s="167"/>
      <c r="KEJ94" s="168"/>
      <c r="KEK94" s="167"/>
      <c r="KEL94" s="168"/>
      <c r="KEM94" s="167"/>
      <c r="KEN94" s="168"/>
      <c r="KEO94" s="167"/>
      <c r="KEP94" s="168"/>
      <c r="KEQ94" s="167"/>
      <c r="KER94" s="168"/>
      <c r="KES94" s="167"/>
      <c r="KET94" s="168"/>
      <c r="KEU94" s="167"/>
      <c r="KEV94" s="168"/>
      <c r="KEW94" s="167"/>
      <c r="KEX94" s="168"/>
      <c r="KEY94" s="167"/>
      <c r="KEZ94" s="168"/>
      <c r="KFA94" s="167"/>
      <c r="KFB94" s="168"/>
      <c r="KFC94" s="167"/>
      <c r="KFD94" s="168"/>
      <c r="KFE94" s="167"/>
      <c r="KFF94" s="168"/>
      <c r="KFG94" s="167"/>
      <c r="KFH94" s="168"/>
      <c r="KFI94" s="167"/>
      <c r="KFJ94" s="168"/>
      <c r="KFK94" s="167"/>
      <c r="KFL94" s="168"/>
      <c r="KFM94" s="167"/>
      <c r="KFN94" s="168"/>
      <c r="KFO94" s="167"/>
      <c r="KFP94" s="168"/>
      <c r="KFQ94" s="167"/>
      <c r="KFR94" s="168"/>
      <c r="KFS94" s="167"/>
      <c r="KFT94" s="168"/>
      <c r="KFU94" s="167"/>
      <c r="KFV94" s="168"/>
      <c r="KFW94" s="167"/>
      <c r="KFX94" s="168"/>
      <c r="KFY94" s="167"/>
      <c r="KFZ94" s="168"/>
      <c r="KGA94" s="167"/>
      <c r="KGB94" s="168"/>
      <c r="KGC94" s="167"/>
      <c r="KGD94" s="168"/>
      <c r="KGE94" s="167"/>
      <c r="KGF94" s="168"/>
      <c r="KGG94" s="167"/>
      <c r="KGH94" s="168"/>
      <c r="KGI94" s="167"/>
      <c r="KGJ94" s="168"/>
      <c r="KGK94" s="167"/>
      <c r="KGL94" s="168"/>
      <c r="KGM94" s="167"/>
      <c r="KGN94" s="168"/>
      <c r="KGO94" s="167"/>
      <c r="KGP94" s="168"/>
      <c r="KGQ94" s="167"/>
      <c r="KGR94" s="168"/>
      <c r="KGS94" s="167"/>
      <c r="KGT94" s="168"/>
      <c r="KGU94" s="167"/>
      <c r="KGV94" s="168"/>
      <c r="KGW94" s="167"/>
      <c r="KGX94" s="168"/>
      <c r="KGY94" s="167"/>
      <c r="KGZ94" s="168"/>
      <c r="KHA94" s="167"/>
      <c r="KHB94" s="168"/>
      <c r="KHC94" s="167"/>
      <c r="KHD94" s="168"/>
      <c r="KHE94" s="167"/>
      <c r="KHF94" s="168"/>
      <c r="KHG94" s="167"/>
      <c r="KHH94" s="168"/>
      <c r="KHI94" s="167"/>
      <c r="KHJ94" s="168"/>
      <c r="KHK94" s="167"/>
      <c r="KHL94" s="168"/>
      <c r="KHM94" s="167"/>
      <c r="KHN94" s="168"/>
      <c r="KHO94" s="167"/>
      <c r="KHP94" s="168"/>
      <c r="KHQ94" s="167"/>
      <c r="KHR94" s="168"/>
      <c r="KHS94" s="167"/>
      <c r="KHT94" s="168"/>
      <c r="KHU94" s="167"/>
      <c r="KHV94" s="168"/>
      <c r="KHW94" s="167"/>
      <c r="KHX94" s="168"/>
      <c r="KHY94" s="167"/>
      <c r="KHZ94" s="168"/>
      <c r="KIA94" s="167"/>
      <c r="KIB94" s="168"/>
      <c r="KIC94" s="167"/>
      <c r="KID94" s="168"/>
      <c r="KIE94" s="167"/>
      <c r="KIF94" s="168"/>
      <c r="KIG94" s="167"/>
      <c r="KIH94" s="168"/>
      <c r="KII94" s="167"/>
      <c r="KIJ94" s="168"/>
      <c r="KIK94" s="167"/>
      <c r="KIL94" s="168"/>
      <c r="KIM94" s="167"/>
      <c r="KIN94" s="168"/>
      <c r="KIO94" s="167"/>
      <c r="KIP94" s="168"/>
      <c r="KIQ94" s="167"/>
      <c r="KIR94" s="168"/>
      <c r="KIS94" s="167"/>
      <c r="KIT94" s="168"/>
      <c r="KIU94" s="167"/>
      <c r="KIV94" s="168"/>
      <c r="KIW94" s="167"/>
      <c r="KIX94" s="168"/>
      <c r="KIY94" s="167"/>
      <c r="KIZ94" s="168"/>
      <c r="KJA94" s="167"/>
      <c r="KJB94" s="168"/>
      <c r="KJC94" s="167"/>
      <c r="KJD94" s="168"/>
      <c r="KJE94" s="167"/>
      <c r="KJF94" s="168"/>
      <c r="KJG94" s="167"/>
      <c r="KJH94" s="168"/>
      <c r="KJI94" s="167"/>
      <c r="KJJ94" s="168"/>
      <c r="KJK94" s="167"/>
      <c r="KJL94" s="168"/>
      <c r="KJM94" s="167"/>
      <c r="KJN94" s="168"/>
      <c r="KJO94" s="167"/>
      <c r="KJP94" s="168"/>
      <c r="KJQ94" s="167"/>
      <c r="KJR94" s="168"/>
      <c r="KJS94" s="167"/>
      <c r="KJT94" s="168"/>
      <c r="KJU94" s="167"/>
      <c r="KJV94" s="168"/>
      <c r="KJW94" s="167"/>
      <c r="KJX94" s="168"/>
      <c r="KJY94" s="167"/>
      <c r="KJZ94" s="168"/>
      <c r="KKA94" s="167"/>
      <c r="KKB94" s="168"/>
      <c r="KKC94" s="167"/>
      <c r="KKD94" s="168"/>
      <c r="KKE94" s="167"/>
      <c r="KKF94" s="168"/>
      <c r="KKG94" s="167"/>
      <c r="KKH94" s="168"/>
      <c r="KKI94" s="167"/>
      <c r="KKJ94" s="168"/>
      <c r="KKK94" s="167"/>
      <c r="KKL94" s="168"/>
      <c r="KKM94" s="167"/>
      <c r="KKN94" s="168"/>
      <c r="KKO94" s="167"/>
      <c r="KKP94" s="168"/>
      <c r="KKQ94" s="167"/>
      <c r="KKR94" s="168"/>
      <c r="KKS94" s="167"/>
      <c r="KKT94" s="168"/>
      <c r="KKU94" s="167"/>
      <c r="KKV94" s="168"/>
      <c r="KKW94" s="167"/>
      <c r="KKX94" s="168"/>
      <c r="KKY94" s="167"/>
      <c r="KKZ94" s="168"/>
      <c r="KLA94" s="167"/>
      <c r="KLB94" s="168"/>
      <c r="KLC94" s="167"/>
      <c r="KLD94" s="168"/>
      <c r="KLE94" s="167"/>
      <c r="KLF94" s="168"/>
      <c r="KLG94" s="167"/>
      <c r="KLH94" s="168"/>
      <c r="KLI94" s="167"/>
      <c r="KLJ94" s="168"/>
      <c r="KLK94" s="167"/>
      <c r="KLL94" s="168"/>
      <c r="KLM94" s="167"/>
      <c r="KLN94" s="168"/>
      <c r="KLO94" s="167"/>
      <c r="KLP94" s="168"/>
      <c r="KLQ94" s="167"/>
      <c r="KLR94" s="168"/>
      <c r="KLS94" s="167"/>
      <c r="KLT94" s="168"/>
      <c r="KLU94" s="167"/>
      <c r="KLV94" s="168"/>
      <c r="KLW94" s="167"/>
      <c r="KLX94" s="168"/>
      <c r="KLY94" s="167"/>
      <c r="KLZ94" s="168"/>
      <c r="KMA94" s="167"/>
      <c r="KMB94" s="168"/>
      <c r="KMC94" s="167"/>
      <c r="KMD94" s="168"/>
      <c r="KME94" s="167"/>
      <c r="KMF94" s="168"/>
      <c r="KMG94" s="167"/>
      <c r="KMH94" s="168"/>
      <c r="KMI94" s="167"/>
      <c r="KMJ94" s="168"/>
      <c r="KMK94" s="167"/>
      <c r="KML94" s="168"/>
      <c r="KMM94" s="167"/>
      <c r="KMN94" s="168"/>
      <c r="KMO94" s="167"/>
      <c r="KMP94" s="168"/>
      <c r="KMQ94" s="167"/>
      <c r="KMR94" s="168"/>
      <c r="KMS94" s="167"/>
      <c r="KMT94" s="168"/>
      <c r="KMU94" s="167"/>
      <c r="KMV94" s="168"/>
      <c r="KMW94" s="167"/>
      <c r="KMX94" s="168"/>
      <c r="KMY94" s="167"/>
      <c r="KMZ94" s="168"/>
      <c r="KNA94" s="167"/>
      <c r="KNB94" s="168"/>
      <c r="KNC94" s="167"/>
      <c r="KND94" s="168"/>
      <c r="KNE94" s="167"/>
      <c r="KNF94" s="168"/>
      <c r="KNG94" s="167"/>
      <c r="KNH94" s="168"/>
      <c r="KNI94" s="167"/>
      <c r="KNJ94" s="168"/>
      <c r="KNK94" s="167"/>
      <c r="KNL94" s="168"/>
      <c r="KNM94" s="167"/>
      <c r="KNN94" s="168"/>
      <c r="KNO94" s="167"/>
      <c r="KNP94" s="168"/>
      <c r="KNQ94" s="167"/>
      <c r="KNR94" s="168"/>
      <c r="KNS94" s="167"/>
      <c r="KNT94" s="168"/>
      <c r="KNU94" s="167"/>
      <c r="KNV94" s="168"/>
      <c r="KNW94" s="167"/>
      <c r="KNX94" s="168"/>
      <c r="KNY94" s="167"/>
      <c r="KNZ94" s="168"/>
      <c r="KOA94" s="167"/>
      <c r="KOB94" s="168"/>
      <c r="KOC94" s="167"/>
      <c r="KOD94" s="168"/>
      <c r="KOE94" s="167"/>
      <c r="KOF94" s="168"/>
      <c r="KOG94" s="167"/>
      <c r="KOH94" s="168"/>
      <c r="KOI94" s="167"/>
      <c r="KOJ94" s="168"/>
      <c r="KOK94" s="167"/>
      <c r="KOL94" s="168"/>
      <c r="KOM94" s="167"/>
      <c r="KON94" s="168"/>
      <c r="KOO94" s="167"/>
      <c r="KOP94" s="168"/>
      <c r="KOQ94" s="167"/>
      <c r="KOR94" s="168"/>
      <c r="KOS94" s="167"/>
      <c r="KOT94" s="168"/>
      <c r="KOU94" s="167"/>
      <c r="KOV94" s="168"/>
      <c r="KOW94" s="167"/>
      <c r="KOX94" s="168"/>
      <c r="KOY94" s="167"/>
      <c r="KOZ94" s="168"/>
      <c r="KPA94" s="167"/>
      <c r="KPB94" s="168"/>
      <c r="KPC94" s="167"/>
      <c r="KPD94" s="168"/>
      <c r="KPE94" s="167"/>
      <c r="KPF94" s="168"/>
      <c r="KPG94" s="167"/>
      <c r="KPH94" s="168"/>
      <c r="KPI94" s="167"/>
      <c r="KPJ94" s="168"/>
      <c r="KPK94" s="167"/>
      <c r="KPL94" s="168"/>
      <c r="KPM94" s="167"/>
      <c r="KPN94" s="168"/>
      <c r="KPO94" s="167"/>
      <c r="KPP94" s="168"/>
      <c r="KPQ94" s="167"/>
      <c r="KPR94" s="168"/>
      <c r="KPS94" s="167"/>
      <c r="KPT94" s="168"/>
      <c r="KPU94" s="167"/>
      <c r="KPV94" s="168"/>
      <c r="KPW94" s="167"/>
      <c r="KPX94" s="168"/>
      <c r="KPY94" s="167"/>
      <c r="KPZ94" s="168"/>
      <c r="KQA94" s="167"/>
      <c r="KQB94" s="168"/>
      <c r="KQC94" s="167"/>
      <c r="KQD94" s="168"/>
      <c r="KQE94" s="167"/>
      <c r="KQF94" s="168"/>
      <c r="KQG94" s="167"/>
      <c r="KQH94" s="168"/>
      <c r="KQI94" s="167"/>
      <c r="KQJ94" s="168"/>
      <c r="KQK94" s="167"/>
      <c r="KQL94" s="168"/>
      <c r="KQM94" s="167"/>
      <c r="KQN94" s="168"/>
      <c r="KQO94" s="167"/>
      <c r="KQP94" s="168"/>
      <c r="KQQ94" s="167"/>
      <c r="KQR94" s="168"/>
      <c r="KQS94" s="167"/>
      <c r="KQT94" s="168"/>
      <c r="KQU94" s="167"/>
      <c r="KQV94" s="168"/>
      <c r="KQW94" s="167"/>
      <c r="KQX94" s="168"/>
      <c r="KQY94" s="167"/>
      <c r="KQZ94" s="168"/>
      <c r="KRA94" s="167"/>
      <c r="KRB94" s="168"/>
      <c r="KRC94" s="167"/>
      <c r="KRD94" s="168"/>
      <c r="KRE94" s="167"/>
      <c r="KRF94" s="168"/>
      <c r="KRG94" s="167"/>
      <c r="KRH94" s="168"/>
      <c r="KRI94" s="167"/>
      <c r="KRJ94" s="168"/>
      <c r="KRK94" s="167"/>
      <c r="KRL94" s="168"/>
      <c r="KRM94" s="167"/>
      <c r="KRN94" s="168"/>
      <c r="KRO94" s="167"/>
      <c r="KRP94" s="168"/>
      <c r="KRQ94" s="167"/>
      <c r="KRR94" s="168"/>
      <c r="KRS94" s="167"/>
      <c r="KRT94" s="168"/>
      <c r="KRU94" s="167"/>
      <c r="KRV94" s="168"/>
      <c r="KRW94" s="167"/>
      <c r="KRX94" s="168"/>
      <c r="KRY94" s="167"/>
      <c r="KRZ94" s="168"/>
      <c r="KSA94" s="167"/>
      <c r="KSB94" s="168"/>
      <c r="KSC94" s="167"/>
      <c r="KSD94" s="168"/>
      <c r="KSE94" s="167"/>
      <c r="KSF94" s="168"/>
      <c r="KSG94" s="167"/>
      <c r="KSH94" s="168"/>
      <c r="KSI94" s="167"/>
      <c r="KSJ94" s="168"/>
      <c r="KSK94" s="167"/>
      <c r="KSL94" s="168"/>
      <c r="KSM94" s="167"/>
      <c r="KSN94" s="168"/>
      <c r="KSO94" s="167"/>
      <c r="KSP94" s="168"/>
      <c r="KSQ94" s="167"/>
      <c r="KSR94" s="168"/>
      <c r="KSS94" s="167"/>
      <c r="KST94" s="168"/>
      <c r="KSU94" s="167"/>
      <c r="KSV94" s="168"/>
      <c r="KSW94" s="167"/>
      <c r="KSX94" s="168"/>
      <c r="KSY94" s="167"/>
      <c r="KSZ94" s="168"/>
      <c r="KTA94" s="167"/>
      <c r="KTB94" s="168"/>
      <c r="KTC94" s="167"/>
      <c r="KTD94" s="168"/>
      <c r="KTE94" s="167"/>
      <c r="KTF94" s="168"/>
      <c r="KTG94" s="167"/>
      <c r="KTH94" s="168"/>
      <c r="KTI94" s="167"/>
      <c r="KTJ94" s="168"/>
      <c r="KTK94" s="167"/>
      <c r="KTL94" s="168"/>
      <c r="KTM94" s="167"/>
      <c r="KTN94" s="168"/>
      <c r="KTO94" s="167"/>
      <c r="KTP94" s="168"/>
      <c r="KTQ94" s="167"/>
      <c r="KTR94" s="168"/>
      <c r="KTS94" s="167"/>
      <c r="KTT94" s="168"/>
      <c r="KTU94" s="167"/>
      <c r="KTV94" s="168"/>
      <c r="KTW94" s="167"/>
      <c r="KTX94" s="168"/>
      <c r="KTY94" s="167"/>
      <c r="KTZ94" s="168"/>
      <c r="KUA94" s="167"/>
      <c r="KUB94" s="168"/>
      <c r="KUC94" s="167"/>
      <c r="KUD94" s="168"/>
      <c r="KUE94" s="167"/>
      <c r="KUF94" s="168"/>
      <c r="KUG94" s="167"/>
      <c r="KUH94" s="168"/>
      <c r="KUI94" s="167"/>
      <c r="KUJ94" s="168"/>
      <c r="KUK94" s="167"/>
      <c r="KUL94" s="168"/>
      <c r="KUM94" s="167"/>
      <c r="KUN94" s="168"/>
      <c r="KUO94" s="167"/>
      <c r="KUP94" s="168"/>
      <c r="KUQ94" s="167"/>
      <c r="KUR94" s="168"/>
      <c r="KUS94" s="167"/>
      <c r="KUT94" s="168"/>
      <c r="KUU94" s="167"/>
      <c r="KUV94" s="168"/>
      <c r="KUW94" s="167"/>
      <c r="KUX94" s="168"/>
      <c r="KUY94" s="167"/>
      <c r="KUZ94" s="168"/>
      <c r="KVA94" s="167"/>
      <c r="KVB94" s="168"/>
      <c r="KVC94" s="167"/>
      <c r="KVD94" s="168"/>
      <c r="KVE94" s="167"/>
      <c r="KVF94" s="168"/>
      <c r="KVG94" s="167"/>
      <c r="KVH94" s="168"/>
      <c r="KVI94" s="167"/>
      <c r="KVJ94" s="168"/>
      <c r="KVK94" s="167"/>
      <c r="KVL94" s="168"/>
      <c r="KVM94" s="167"/>
      <c r="KVN94" s="168"/>
      <c r="KVO94" s="167"/>
      <c r="KVP94" s="168"/>
      <c r="KVQ94" s="167"/>
      <c r="KVR94" s="168"/>
      <c r="KVS94" s="167"/>
      <c r="KVT94" s="168"/>
      <c r="KVU94" s="167"/>
      <c r="KVV94" s="168"/>
      <c r="KVW94" s="167"/>
      <c r="KVX94" s="168"/>
      <c r="KVY94" s="167"/>
      <c r="KVZ94" s="168"/>
      <c r="KWA94" s="167"/>
      <c r="KWB94" s="168"/>
      <c r="KWC94" s="167"/>
      <c r="KWD94" s="168"/>
      <c r="KWE94" s="167"/>
      <c r="KWF94" s="168"/>
      <c r="KWG94" s="167"/>
      <c r="KWH94" s="168"/>
      <c r="KWI94" s="167"/>
      <c r="KWJ94" s="168"/>
      <c r="KWK94" s="167"/>
      <c r="KWL94" s="168"/>
      <c r="KWM94" s="167"/>
      <c r="KWN94" s="168"/>
      <c r="KWO94" s="167"/>
      <c r="KWP94" s="168"/>
      <c r="KWQ94" s="167"/>
      <c r="KWR94" s="168"/>
      <c r="KWS94" s="167"/>
      <c r="KWT94" s="168"/>
      <c r="KWU94" s="167"/>
      <c r="KWV94" s="168"/>
      <c r="KWW94" s="167"/>
      <c r="KWX94" s="168"/>
      <c r="KWY94" s="167"/>
      <c r="KWZ94" s="168"/>
      <c r="KXA94" s="167"/>
      <c r="KXB94" s="168"/>
      <c r="KXC94" s="167"/>
      <c r="KXD94" s="168"/>
      <c r="KXE94" s="167"/>
      <c r="KXF94" s="168"/>
      <c r="KXG94" s="167"/>
      <c r="KXH94" s="168"/>
      <c r="KXI94" s="167"/>
      <c r="KXJ94" s="168"/>
      <c r="KXK94" s="167"/>
      <c r="KXL94" s="168"/>
      <c r="KXM94" s="167"/>
      <c r="KXN94" s="168"/>
      <c r="KXO94" s="167"/>
      <c r="KXP94" s="168"/>
      <c r="KXQ94" s="167"/>
      <c r="KXR94" s="168"/>
      <c r="KXS94" s="167"/>
      <c r="KXT94" s="168"/>
      <c r="KXU94" s="167"/>
      <c r="KXV94" s="168"/>
      <c r="KXW94" s="167"/>
      <c r="KXX94" s="168"/>
      <c r="KXY94" s="167"/>
      <c r="KXZ94" s="168"/>
      <c r="KYA94" s="167"/>
      <c r="KYB94" s="168"/>
      <c r="KYC94" s="167"/>
      <c r="KYD94" s="168"/>
      <c r="KYE94" s="167"/>
      <c r="KYF94" s="168"/>
      <c r="KYG94" s="167"/>
      <c r="KYH94" s="168"/>
      <c r="KYI94" s="167"/>
      <c r="KYJ94" s="168"/>
      <c r="KYK94" s="167"/>
      <c r="KYL94" s="168"/>
      <c r="KYM94" s="167"/>
      <c r="KYN94" s="168"/>
      <c r="KYO94" s="167"/>
      <c r="KYP94" s="168"/>
      <c r="KYQ94" s="167"/>
      <c r="KYR94" s="168"/>
      <c r="KYS94" s="167"/>
      <c r="KYT94" s="168"/>
      <c r="KYU94" s="167"/>
      <c r="KYV94" s="168"/>
      <c r="KYW94" s="167"/>
      <c r="KYX94" s="168"/>
      <c r="KYY94" s="167"/>
      <c r="KYZ94" s="168"/>
      <c r="KZA94" s="167"/>
      <c r="KZB94" s="168"/>
      <c r="KZC94" s="167"/>
      <c r="KZD94" s="168"/>
      <c r="KZE94" s="167"/>
      <c r="KZF94" s="168"/>
      <c r="KZG94" s="167"/>
      <c r="KZH94" s="168"/>
      <c r="KZI94" s="167"/>
      <c r="KZJ94" s="168"/>
      <c r="KZK94" s="167"/>
      <c r="KZL94" s="168"/>
      <c r="KZM94" s="167"/>
      <c r="KZN94" s="168"/>
      <c r="KZO94" s="167"/>
      <c r="KZP94" s="168"/>
      <c r="KZQ94" s="167"/>
      <c r="KZR94" s="168"/>
      <c r="KZS94" s="167"/>
      <c r="KZT94" s="168"/>
      <c r="KZU94" s="167"/>
      <c r="KZV94" s="168"/>
      <c r="KZW94" s="167"/>
      <c r="KZX94" s="168"/>
      <c r="KZY94" s="167"/>
      <c r="KZZ94" s="168"/>
      <c r="LAA94" s="167"/>
      <c r="LAB94" s="168"/>
      <c r="LAC94" s="167"/>
      <c r="LAD94" s="168"/>
      <c r="LAE94" s="167"/>
      <c r="LAF94" s="168"/>
      <c r="LAG94" s="167"/>
      <c r="LAH94" s="168"/>
      <c r="LAI94" s="167"/>
      <c r="LAJ94" s="168"/>
      <c r="LAK94" s="167"/>
      <c r="LAL94" s="168"/>
      <c r="LAM94" s="167"/>
      <c r="LAN94" s="168"/>
      <c r="LAO94" s="167"/>
      <c r="LAP94" s="168"/>
      <c r="LAQ94" s="167"/>
      <c r="LAR94" s="168"/>
      <c r="LAS94" s="167"/>
      <c r="LAT94" s="168"/>
      <c r="LAU94" s="167"/>
      <c r="LAV94" s="168"/>
      <c r="LAW94" s="167"/>
      <c r="LAX94" s="168"/>
      <c r="LAY94" s="167"/>
      <c r="LAZ94" s="168"/>
      <c r="LBA94" s="167"/>
      <c r="LBB94" s="168"/>
      <c r="LBC94" s="167"/>
      <c r="LBD94" s="168"/>
      <c r="LBE94" s="167"/>
      <c r="LBF94" s="168"/>
      <c r="LBG94" s="167"/>
      <c r="LBH94" s="168"/>
      <c r="LBI94" s="167"/>
      <c r="LBJ94" s="168"/>
      <c r="LBK94" s="167"/>
      <c r="LBL94" s="168"/>
      <c r="LBM94" s="167"/>
      <c r="LBN94" s="168"/>
      <c r="LBO94" s="167"/>
      <c r="LBP94" s="168"/>
      <c r="LBQ94" s="167"/>
      <c r="LBR94" s="168"/>
      <c r="LBS94" s="167"/>
      <c r="LBT94" s="168"/>
      <c r="LBU94" s="167"/>
      <c r="LBV94" s="168"/>
      <c r="LBW94" s="167"/>
      <c r="LBX94" s="168"/>
      <c r="LBY94" s="167"/>
      <c r="LBZ94" s="168"/>
      <c r="LCA94" s="167"/>
      <c r="LCB94" s="168"/>
      <c r="LCC94" s="167"/>
      <c r="LCD94" s="168"/>
      <c r="LCE94" s="167"/>
      <c r="LCF94" s="168"/>
      <c r="LCG94" s="167"/>
      <c r="LCH94" s="168"/>
      <c r="LCI94" s="167"/>
      <c r="LCJ94" s="168"/>
      <c r="LCK94" s="167"/>
      <c r="LCL94" s="168"/>
      <c r="LCM94" s="167"/>
      <c r="LCN94" s="168"/>
      <c r="LCO94" s="167"/>
      <c r="LCP94" s="168"/>
      <c r="LCQ94" s="167"/>
      <c r="LCR94" s="168"/>
      <c r="LCS94" s="167"/>
      <c r="LCT94" s="168"/>
      <c r="LCU94" s="167"/>
      <c r="LCV94" s="168"/>
      <c r="LCW94" s="167"/>
      <c r="LCX94" s="168"/>
      <c r="LCY94" s="167"/>
      <c r="LCZ94" s="168"/>
      <c r="LDA94" s="167"/>
      <c r="LDB94" s="168"/>
      <c r="LDC94" s="167"/>
      <c r="LDD94" s="168"/>
      <c r="LDE94" s="167"/>
      <c r="LDF94" s="168"/>
      <c r="LDG94" s="167"/>
      <c r="LDH94" s="168"/>
      <c r="LDI94" s="167"/>
      <c r="LDJ94" s="168"/>
      <c r="LDK94" s="167"/>
      <c r="LDL94" s="168"/>
      <c r="LDM94" s="167"/>
      <c r="LDN94" s="168"/>
      <c r="LDO94" s="167"/>
      <c r="LDP94" s="168"/>
      <c r="LDQ94" s="167"/>
      <c r="LDR94" s="168"/>
      <c r="LDS94" s="167"/>
      <c r="LDT94" s="168"/>
      <c r="LDU94" s="167"/>
      <c r="LDV94" s="168"/>
      <c r="LDW94" s="167"/>
      <c r="LDX94" s="168"/>
      <c r="LDY94" s="167"/>
      <c r="LDZ94" s="168"/>
      <c r="LEA94" s="167"/>
      <c r="LEB94" s="168"/>
      <c r="LEC94" s="167"/>
      <c r="LED94" s="168"/>
      <c r="LEE94" s="167"/>
      <c r="LEF94" s="168"/>
      <c r="LEG94" s="167"/>
      <c r="LEH94" s="168"/>
      <c r="LEI94" s="167"/>
      <c r="LEJ94" s="168"/>
      <c r="LEK94" s="167"/>
      <c r="LEL94" s="168"/>
      <c r="LEM94" s="167"/>
      <c r="LEN94" s="168"/>
      <c r="LEO94" s="167"/>
      <c r="LEP94" s="168"/>
      <c r="LEQ94" s="167"/>
      <c r="LER94" s="168"/>
      <c r="LES94" s="167"/>
      <c r="LET94" s="168"/>
      <c r="LEU94" s="167"/>
      <c r="LEV94" s="168"/>
      <c r="LEW94" s="167"/>
      <c r="LEX94" s="168"/>
      <c r="LEY94" s="167"/>
      <c r="LEZ94" s="168"/>
      <c r="LFA94" s="167"/>
      <c r="LFB94" s="168"/>
      <c r="LFC94" s="167"/>
      <c r="LFD94" s="168"/>
      <c r="LFE94" s="167"/>
      <c r="LFF94" s="168"/>
      <c r="LFG94" s="167"/>
      <c r="LFH94" s="168"/>
      <c r="LFI94" s="167"/>
      <c r="LFJ94" s="168"/>
      <c r="LFK94" s="167"/>
      <c r="LFL94" s="168"/>
      <c r="LFM94" s="167"/>
      <c r="LFN94" s="168"/>
      <c r="LFO94" s="167"/>
      <c r="LFP94" s="168"/>
      <c r="LFQ94" s="167"/>
      <c r="LFR94" s="168"/>
      <c r="LFS94" s="167"/>
      <c r="LFT94" s="168"/>
      <c r="LFU94" s="167"/>
      <c r="LFV94" s="168"/>
      <c r="LFW94" s="167"/>
      <c r="LFX94" s="168"/>
      <c r="LFY94" s="167"/>
      <c r="LFZ94" s="168"/>
      <c r="LGA94" s="167"/>
      <c r="LGB94" s="168"/>
      <c r="LGC94" s="167"/>
      <c r="LGD94" s="168"/>
      <c r="LGE94" s="167"/>
      <c r="LGF94" s="168"/>
      <c r="LGG94" s="167"/>
      <c r="LGH94" s="168"/>
      <c r="LGI94" s="167"/>
      <c r="LGJ94" s="168"/>
      <c r="LGK94" s="167"/>
      <c r="LGL94" s="168"/>
      <c r="LGM94" s="167"/>
      <c r="LGN94" s="168"/>
      <c r="LGO94" s="167"/>
      <c r="LGP94" s="168"/>
      <c r="LGQ94" s="167"/>
      <c r="LGR94" s="168"/>
      <c r="LGS94" s="167"/>
      <c r="LGT94" s="168"/>
      <c r="LGU94" s="167"/>
      <c r="LGV94" s="168"/>
      <c r="LGW94" s="167"/>
      <c r="LGX94" s="168"/>
      <c r="LGY94" s="167"/>
      <c r="LGZ94" s="168"/>
      <c r="LHA94" s="167"/>
      <c r="LHB94" s="168"/>
      <c r="LHC94" s="167"/>
      <c r="LHD94" s="168"/>
      <c r="LHE94" s="167"/>
      <c r="LHF94" s="168"/>
      <c r="LHG94" s="167"/>
      <c r="LHH94" s="168"/>
      <c r="LHI94" s="167"/>
      <c r="LHJ94" s="168"/>
      <c r="LHK94" s="167"/>
      <c r="LHL94" s="168"/>
      <c r="LHM94" s="167"/>
      <c r="LHN94" s="168"/>
      <c r="LHO94" s="167"/>
      <c r="LHP94" s="168"/>
      <c r="LHQ94" s="167"/>
      <c r="LHR94" s="168"/>
      <c r="LHS94" s="167"/>
      <c r="LHT94" s="168"/>
      <c r="LHU94" s="167"/>
      <c r="LHV94" s="168"/>
      <c r="LHW94" s="167"/>
      <c r="LHX94" s="168"/>
      <c r="LHY94" s="167"/>
      <c r="LHZ94" s="168"/>
      <c r="LIA94" s="167"/>
      <c r="LIB94" s="168"/>
      <c r="LIC94" s="167"/>
      <c r="LID94" s="168"/>
      <c r="LIE94" s="167"/>
      <c r="LIF94" s="168"/>
      <c r="LIG94" s="167"/>
      <c r="LIH94" s="168"/>
      <c r="LII94" s="167"/>
      <c r="LIJ94" s="168"/>
      <c r="LIK94" s="167"/>
      <c r="LIL94" s="168"/>
      <c r="LIM94" s="167"/>
      <c r="LIN94" s="168"/>
      <c r="LIO94" s="167"/>
      <c r="LIP94" s="168"/>
      <c r="LIQ94" s="167"/>
      <c r="LIR94" s="168"/>
      <c r="LIS94" s="167"/>
      <c r="LIT94" s="168"/>
      <c r="LIU94" s="167"/>
      <c r="LIV94" s="168"/>
      <c r="LIW94" s="167"/>
      <c r="LIX94" s="168"/>
      <c r="LIY94" s="167"/>
      <c r="LIZ94" s="168"/>
      <c r="LJA94" s="167"/>
      <c r="LJB94" s="168"/>
      <c r="LJC94" s="167"/>
      <c r="LJD94" s="168"/>
      <c r="LJE94" s="167"/>
      <c r="LJF94" s="168"/>
      <c r="LJG94" s="167"/>
      <c r="LJH94" s="168"/>
      <c r="LJI94" s="167"/>
      <c r="LJJ94" s="168"/>
      <c r="LJK94" s="167"/>
      <c r="LJL94" s="168"/>
      <c r="LJM94" s="167"/>
      <c r="LJN94" s="168"/>
      <c r="LJO94" s="167"/>
      <c r="LJP94" s="168"/>
      <c r="LJQ94" s="167"/>
      <c r="LJR94" s="168"/>
      <c r="LJS94" s="167"/>
      <c r="LJT94" s="168"/>
      <c r="LJU94" s="167"/>
      <c r="LJV94" s="168"/>
      <c r="LJW94" s="167"/>
      <c r="LJX94" s="168"/>
      <c r="LJY94" s="167"/>
      <c r="LJZ94" s="168"/>
      <c r="LKA94" s="167"/>
      <c r="LKB94" s="168"/>
      <c r="LKC94" s="167"/>
      <c r="LKD94" s="168"/>
      <c r="LKE94" s="167"/>
      <c r="LKF94" s="168"/>
      <c r="LKG94" s="167"/>
      <c r="LKH94" s="168"/>
      <c r="LKI94" s="167"/>
      <c r="LKJ94" s="168"/>
      <c r="LKK94" s="167"/>
      <c r="LKL94" s="168"/>
      <c r="LKM94" s="167"/>
      <c r="LKN94" s="168"/>
      <c r="LKO94" s="167"/>
      <c r="LKP94" s="168"/>
      <c r="LKQ94" s="167"/>
      <c r="LKR94" s="168"/>
      <c r="LKS94" s="167"/>
      <c r="LKT94" s="168"/>
      <c r="LKU94" s="167"/>
      <c r="LKV94" s="168"/>
      <c r="LKW94" s="167"/>
      <c r="LKX94" s="168"/>
      <c r="LKY94" s="167"/>
      <c r="LKZ94" s="168"/>
      <c r="LLA94" s="167"/>
      <c r="LLB94" s="168"/>
      <c r="LLC94" s="167"/>
      <c r="LLD94" s="168"/>
      <c r="LLE94" s="167"/>
      <c r="LLF94" s="168"/>
      <c r="LLG94" s="167"/>
      <c r="LLH94" s="168"/>
      <c r="LLI94" s="167"/>
      <c r="LLJ94" s="168"/>
      <c r="LLK94" s="167"/>
      <c r="LLL94" s="168"/>
      <c r="LLM94" s="167"/>
      <c r="LLN94" s="168"/>
      <c r="LLO94" s="167"/>
      <c r="LLP94" s="168"/>
      <c r="LLQ94" s="167"/>
      <c r="LLR94" s="168"/>
      <c r="LLS94" s="167"/>
      <c r="LLT94" s="168"/>
      <c r="LLU94" s="167"/>
      <c r="LLV94" s="168"/>
      <c r="LLW94" s="167"/>
      <c r="LLX94" s="168"/>
      <c r="LLY94" s="167"/>
      <c r="LLZ94" s="168"/>
      <c r="LMA94" s="167"/>
      <c r="LMB94" s="168"/>
      <c r="LMC94" s="167"/>
      <c r="LMD94" s="168"/>
      <c r="LME94" s="167"/>
      <c r="LMF94" s="168"/>
      <c r="LMG94" s="167"/>
      <c r="LMH94" s="168"/>
      <c r="LMI94" s="167"/>
      <c r="LMJ94" s="168"/>
      <c r="LMK94" s="167"/>
      <c r="LML94" s="168"/>
      <c r="LMM94" s="167"/>
      <c r="LMN94" s="168"/>
      <c r="LMO94" s="167"/>
      <c r="LMP94" s="168"/>
      <c r="LMQ94" s="167"/>
      <c r="LMR94" s="168"/>
      <c r="LMS94" s="167"/>
      <c r="LMT94" s="168"/>
      <c r="LMU94" s="167"/>
      <c r="LMV94" s="168"/>
      <c r="LMW94" s="167"/>
      <c r="LMX94" s="168"/>
      <c r="LMY94" s="167"/>
      <c r="LMZ94" s="168"/>
      <c r="LNA94" s="167"/>
      <c r="LNB94" s="168"/>
      <c r="LNC94" s="167"/>
      <c r="LND94" s="168"/>
      <c r="LNE94" s="167"/>
      <c r="LNF94" s="168"/>
      <c r="LNG94" s="167"/>
      <c r="LNH94" s="168"/>
      <c r="LNI94" s="167"/>
      <c r="LNJ94" s="168"/>
      <c r="LNK94" s="167"/>
      <c r="LNL94" s="168"/>
      <c r="LNM94" s="167"/>
      <c r="LNN94" s="168"/>
      <c r="LNO94" s="167"/>
      <c r="LNP94" s="168"/>
      <c r="LNQ94" s="167"/>
      <c r="LNR94" s="168"/>
      <c r="LNS94" s="167"/>
      <c r="LNT94" s="168"/>
      <c r="LNU94" s="167"/>
      <c r="LNV94" s="168"/>
      <c r="LNW94" s="167"/>
      <c r="LNX94" s="168"/>
      <c r="LNY94" s="167"/>
      <c r="LNZ94" s="168"/>
      <c r="LOA94" s="167"/>
      <c r="LOB94" s="168"/>
      <c r="LOC94" s="167"/>
      <c r="LOD94" s="168"/>
      <c r="LOE94" s="167"/>
      <c r="LOF94" s="168"/>
      <c r="LOG94" s="167"/>
      <c r="LOH94" s="168"/>
      <c r="LOI94" s="167"/>
      <c r="LOJ94" s="168"/>
      <c r="LOK94" s="167"/>
      <c r="LOL94" s="168"/>
      <c r="LOM94" s="167"/>
      <c r="LON94" s="168"/>
      <c r="LOO94" s="167"/>
      <c r="LOP94" s="168"/>
      <c r="LOQ94" s="167"/>
      <c r="LOR94" s="168"/>
      <c r="LOS94" s="167"/>
      <c r="LOT94" s="168"/>
      <c r="LOU94" s="167"/>
      <c r="LOV94" s="168"/>
      <c r="LOW94" s="167"/>
      <c r="LOX94" s="168"/>
      <c r="LOY94" s="167"/>
      <c r="LOZ94" s="168"/>
      <c r="LPA94" s="167"/>
      <c r="LPB94" s="168"/>
      <c r="LPC94" s="167"/>
      <c r="LPD94" s="168"/>
      <c r="LPE94" s="167"/>
      <c r="LPF94" s="168"/>
      <c r="LPG94" s="167"/>
      <c r="LPH94" s="168"/>
      <c r="LPI94" s="167"/>
      <c r="LPJ94" s="168"/>
      <c r="LPK94" s="167"/>
      <c r="LPL94" s="168"/>
      <c r="LPM94" s="167"/>
      <c r="LPN94" s="168"/>
      <c r="LPO94" s="167"/>
      <c r="LPP94" s="168"/>
      <c r="LPQ94" s="167"/>
      <c r="LPR94" s="168"/>
      <c r="LPS94" s="167"/>
      <c r="LPT94" s="168"/>
      <c r="LPU94" s="167"/>
      <c r="LPV94" s="168"/>
      <c r="LPW94" s="167"/>
      <c r="LPX94" s="168"/>
      <c r="LPY94" s="167"/>
      <c r="LPZ94" s="168"/>
      <c r="LQA94" s="167"/>
      <c r="LQB94" s="168"/>
      <c r="LQC94" s="167"/>
      <c r="LQD94" s="168"/>
      <c r="LQE94" s="167"/>
      <c r="LQF94" s="168"/>
      <c r="LQG94" s="167"/>
      <c r="LQH94" s="168"/>
      <c r="LQI94" s="167"/>
      <c r="LQJ94" s="168"/>
      <c r="LQK94" s="167"/>
      <c r="LQL94" s="168"/>
      <c r="LQM94" s="167"/>
      <c r="LQN94" s="168"/>
      <c r="LQO94" s="167"/>
      <c r="LQP94" s="168"/>
      <c r="LQQ94" s="167"/>
      <c r="LQR94" s="168"/>
      <c r="LQS94" s="167"/>
      <c r="LQT94" s="168"/>
      <c r="LQU94" s="167"/>
      <c r="LQV94" s="168"/>
      <c r="LQW94" s="167"/>
      <c r="LQX94" s="168"/>
      <c r="LQY94" s="167"/>
      <c r="LQZ94" s="168"/>
      <c r="LRA94" s="167"/>
      <c r="LRB94" s="168"/>
      <c r="LRC94" s="167"/>
      <c r="LRD94" s="168"/>
      <c r="LRE94" s="167"/>
      <c r="LRF94" s="168"/>
      <c r="LRG94" s="167"/>
      <c r="LRH94" s="168"/>
      <c r="LRI94" s="167"/>
      <c r="LRJ94" s="168"/>
      <c r="LRK94" s="167"/>
      <c r="LRL94" s="168"/>
      <c r="LRM94" s="167"/>
      <c r="LRN94" s="168"/>
      <c r="LRO94" s="167"/>
      <c r="LRP94" s="168"/>
      <c r="LRQ94" s="167"/>
      <c r="LRR94" s="168"/>
      <c r="LRS94" s="167"/>
      <c r="LRT94" s="168"/>
      <c r="LRU94" s="167"/>
      <c r="LRV94" s="168"/>
      <c r="LRW94" s="167"/>
      <c r="LRX94" s="168"/>
      <c r="LRY94" s="167"/>
      <c r="LRZ94" s="168"/>
      <c r="LSA94" s="167"/>
      <c r="LSB94" s="168"/>
      <c r="LSC94" s="167"/>
      <c r="LSD94" s="168"/>
      <c r="LSE94" s="167"/>
      <c r="LSF94" s="168"/>
      <c r="LSG94" s="167"/>
      <c r="LSH94" s="168"/>
      <c r="LSI94" s="167"/>
      <c r="LSJ94" s="168"/>
      <c r="LSK94" s="167"/>
      <c r="LSL94" s="168"/>
      <c r="LSM94" s="167"/>
      <c r="LSN94" s="168"/>
      <c r="LSO94" s="167"/>
      <c r="LSP94" s="168"/>
      <c r="LSQ94" s="167"/>
      <c r="LSR94" s="168"/>
      <c r="LSS94" s="167"/>
      <c r="LST94" s="168"/>
      <c r="LSU94" s="167"/>
      <c r="LSV94" s="168"/>
      <c r="LSW94" s="167"/>
      <c r="LSX94" s="168"/>
      <c r="LSY94" s="167"/>
      <c r="LSZ94" s="168"/>
      <c r="LTA94" s="167"/>
      <c r="LTB94" s="168"/>
      <c r="LTC94" s="167"/>
      <c r="LTD94" s="168"/>
      <c r="LTE94" s="167"/>
      <c r="LTF94" s="168"/>
      <c r="LTG94" s="167"/>
      <c r="LTH94" s="168"/>
      <c r="LTI94" s="167"/>
      <c r="LTJ94" s="168"/>
      <c r="LTK94" s="167"/>
      <c r="LTL94" s="168"/>
      <c r="LTM94" s="167"/>
      <c r="LTN94" s="168"/>
      <c r="LTO94" s="167"/>
      <c r="LTP94" s="168"/>
      <c r="LTQ94" s="167"/>
      <c r="LTR94" s="168"/>
      <c r="LTS94" s="167"/>
      <c r="LTT94" s="168"/>
      <c r="LTU94" s="167"/>
      <c r="LTV94" s="168"/>
      <c r="LTW94" s="167"/>
      <c r="LTX94" s="168"/>
      <c r="LTY94" s="167"/>
      <c r="LTZ94" s="168"/>
      <c r="LUA94" s="167"/>
      <c r="LUB94" s="168"/>
      <c r="LUC94" s="167"/>
      <c r="LUD94" s="168"/>
      <c r="LUE94" s="167"/>
      <c r="LUF94" s="168"/>
      <c r="LUG94" s="167"/>
      <c r="LUH94" s="168"/>
      <c r="LUI94" s="167"/>
      <c r="LUJ94" s="168"/>
      <c r="LUK94" s="167"/>
      <c r="LUL94" s="168"/>
      <c r="LUM94" s="167"/>
      <c r="LUN94" s="168"/>
      <c r="LUO94" s="167"/>
      <c r="LUP94" s="168"/>
      <c r="LUQ94" s="167"/>
      <c r="LUR94" s="168"/>
      <c r="LUS94" s="167"/>
      <c r="LUT94" s="168"/>
      <c r="LUU94" s="167"/>
      <c r="LUV94" s="168"/>
      <c r="LUW94" s="167"/>
      <c r="LUX94" s="168"/>
      <c r="LUY94" s="167"/>
      <c r="LUZ94" s="168"/>
      <c r="LVA94" s="167"/>
      <c r="LVB94" s="168"/>
      <c r="LVC94" s="167"/>
      <c r="LVD94" s="168"/>
      <c r="LVE94" s="167"/>
      <c r="LVF94" s="168"/>
      <c r="LVG94" s="167"/>
      <c r="LVH94" s="168"/>
      <c r="LVI94" s="167"/>
      <c r="LVJ94" s="168"/>
      <c r="LVK94" s="167"/>
      <c r="LVL94" s="168"/>
      <c r="LVM94" s="167"/>
      <c r="LVN94" s="168"/>
      <c r="LVO94" s="167"/>
      <c r="LVP94" s="168"/>
      <c r="LVQ94" s="167"/>
      <c r="LVR94" s="168"/>
      <c r="LVS94" s="167"/>
      <c r="LVT94" s="168"/>
      <c r="LVU94" s="167"/>
      <c r="LVV94" s="168"/>
      <c r="LVW94" s="167"/>
      <c r="LVX94" s="168"/>
      <c r="LVY94" s="167"/>
      <c r="LVZ94" s="168"/>
      <c r="LWA94" s="167"/>
      <c r="LWB94" s="168"/>
      <c r="LWC94" s="167"/>
      <c r="LWD94" s="168"/>
      <c r="LWE94" s="167"/>
      <c r="LWF94" s="168"/>
      <c r="LWG94" s="167"/>
      <c r="LWH94" s="168"/>
      <c r="LWI94" s="167"/>
      <c r="LWJ94" s="168"/>
      <c r="LWK94" s="167"/>
      <c r="LWL94" s="168"/>
      <c r="LWM94" s="167"/>
      <c r="LWN94" s="168"/>
      <c r="LWO94" s="167"/>
      <c r="LWP94" s="168"/>
      <c r="LWQ94" s="167"/>
      <c r="LWR94" s="168"/>
      <c r="LWS94" s="167"/>
      <c r="LWT94" s="168"/>
      <c r="LWU94" s="167"/>
      <c r="LWV94" s="168"/>
      <c r="LWW94" s="167"/>
      <c r="LWX94" s="168"/>
      <c r="LWY94" s="167"/>
      <c r="LWZ94" s="168"/>
      <c r="LXA94" s="167"/>
      <c r="LXB94" s="168"/>
      <c r="LXC94" s="167"/>
      <c r="LXD94" s="168"/>
      <c r="LXE94" s="167"/>
      <c r="LXF94" s="168"/>
      <c r="LXG94" s="167"/>
      <c r="LXH94" s="168"/>
      <c r="LXI94" s="167"/>
      <c r="LXJ94" s="168"/>
      <c r="LXK94" s="167"/>
      <c r="LXL94" s="168"/>
      <c r="LXM94" s="167"/>
      <c r="LXN94" s="168"/>
      <c r="LXO94" s="167"/>
      <c r="LXP94" s="168"/>
      <c r="LXQ94" s="167"/>
      <c r="LXR94" s="168"/>
      <c r="LXS94" s="167"/>
      <c r="LXT94" s="168"/>
      <c r="LXU94" s="167"/>
      <c r="LXV94" s="168"/>
      <c r="LXW94" s="167"/>
      <c r="LXX94" s="168"/>
      <c r="LXY94" s="167"/>
      <c r="LXZ94" s="168"/>
      <c r="LYA94" s="167"/>
      <c r="LYB94" s="168"/>
      <c r="LYC94" s="167"/>
      <c r="LYD94" s="168"/>
      <c r="LYE94" s="167"/>
      <c r="LYF94" s="168"/>
      <c r="LYG94" s="167"/>
      <c r="LYH94" s="168"/>
      <c r="LYI94" s="167"/>
      <c r="LYJ94" s="168"/>
      <c r="LYK94" s="167"/>
      <c r="LYL94" s="168"/>
      <c r="LYM94" s="167"/>
      <c r="LYN94" s="168"/>
      <c r="LYO94" s="167"/>
      <c r="LYP94" s="168"/>
      <c r="LYQ94" s="167"/>
      <c r="LYR94" s="168"/>
      <c r="LYS94" s="167"/>
      <c r="LYT94" s="168"/>
      <c r="LYU94" s="167"/>
      <c r="LYV94" s="168"/>
      <c r="LYW94" s="167"/>
      <c r="LYX94" s="168"/>
      <c r="LYY94" s="167"/>
      <c r="LYZ94" s="168"/>
      <c r="LZA94" s="167"/>
      <c r="LZB94" s="168"/>
      <c r="LZC94" s="167"/>
      <c r="LZD94" s="168"/>
      <c r="LZE94" s="167"/>
      <c r="LZF94" s="168"/>
      <c r="LZG94" s="167"/>
      <c r="LZH94" s="168"/>
      <c r="LZI94" s="167"/>
      <c r="LZJ94" s="168"/>
      <c r="LZK94" s="167"/>
      <c r="LZL94" s="168"/>
      <c r="LZM94" s="167"/>
      <c r="LZN94" s="168"/>
      <c r="LZO94" s="167"/>
      <c r="LZP94" s="168"/>
      <c r="LZQ94" s="167"/>
      <c r="LZR94" s="168"/>
      <c r="LZS94" s="167"/>
      <c r="LZT94" s="168"/>
      <c r="LZU94" s="167"/>
      <c r="LZV94" s="168"/>
      <c r="LZW94" s="167"/>
      <c r="LZX94" s="168"/>
      <c r="LZY94" s="167"/>
      <c r="LZZ94" s="168"/>
      <c r="MAA94" s="167"/>
      <c r="MAB94" s="168"/>
      <c r="MAC94" s="167"/>
      <c r="MAD94" s="168"/>
      <c r="MAE94" s="167"/>
      <c r="MAF94" s="168"/>
      <c r="MAG94" s="167"/>
      <c r="MAH94" s="168"/>
      <c r="MAI94" s="167"/>
      <c r="MAJ94" s="168"/>
      <c r="MAK94" s="167"/>
      <c r="MAL94" s="168"/>
      <c r="MAM94" s="167"/>
      <c r="MAN94" s="168"/>
      <c r="MAO94" s="167"/>
      <c r="MAP94" s="168"/>
      <c r="MAQ94" s="167"/>
      <c r="MAR94" s="168"/>
      <c r="MAS94" s="167"/>
      <c r="MAT94" s="168"/>
      <c r="MAU94" s="167"/>
      <c r="MAV94" s="168"/>
      <c r="MAW94" s="167"/>
      <c r="MAX94" s="168"/>
      <c r="MAY94" s="167"/>
      <c r="MAZ94" s="168"/>
      <c r="MBA94" s="167"/>
      <c r="MBB94" s="168"/>
      <c r="MBC94" s="167"/>
      <c r="MBD94" s="168"/>
      <c r="MBE94" s="167"/>
      <c r="MBF94" s="168"/>
      <c r="MBG94" s="167"/>
      <c r="MBH94" s="168"/>
      <c r="MBI94" s="167"/>
      <c r="MBJ94" s="168"/>
      <c r="MBK94" s="167"/>
      <c r="MBL94" s="168"/>
      <c r="MBM94" s="167"/>
      <c r="MBN94" s="168"/>
      <c r="MBO94" s="167"/>
      <c r="MBP94" s="168"/>
      <c r="MBQ94" s="167"/>
      <c r="MBR94" s="168"/>
      <c r="MBS94" s="167"/>
      <c r="MBT94" s="168"/>
      <c r="MBU94" s="167"/>
      <c r="MBV94" s="168"/>
      <c r="MBW94" s="167"/>
      <c r="MBX94" s="168"/>
      <c r="MBY94" s="167"/>
      <c r="MBZ94" s="168"/>
      <c r="MCA94" s="167"/>
      <c r="MCB94" s="168"/>
      <c r="MCC94" s="167"/>
      <c r="MCD94" s="168"/>
      <c r="MCE94" s="167"/>
      <c r="MCF94" s="168"/>
      <c r="MCG94" s="167"/>
      <c r="MCH94" s="168"/>
      <c r="MCI94" s="167"/>
      <c r="MCJ94" s="168"/>
      <c r="MCK94" s="167"/>
      <c r="MCL94" s="168"/>
      <c r="MCM94" s="167"/>
      <c r="MCN94" s="168"/>
      <c r="MCO94" s="167"/>
      <c r="MCP94" s="168"/>
      <c r="MCQ94" s="167"/>
      <c r="MCR94" s="168"/>
      <c r="MCS94" s="167"/>
      <c r="MCT94" s="168"/>
      <c r="MCU94" s="167"/>
      <c r="MCV94" s="168"/>
      <c r="MCW94" s="167"/>
      <c r="MCX94" s="168"/>
      <c r="MCY94" s="167"/>
      <c r="MCZ94" s="168"/>
      <c r="MDA94" s="167"/>
      <c r="MDB94" s="168"/>
      <c r="MDC94" s="167"/>
      <c r="MDD94" s="168"/>
      <c r="MDE94" s="167"/>
      <c r="MDF94" s="168"/>
      <c r="MDG94" s="167"/>
      <c r="MDH94" s="168"/>
      <c r="MDI94" s="167"/>
      <c r="MDJ94" s="168"/>
      <c r="MDK94" s="167"/>
      <c r="MDL94" s="168"/>
      <c r="MDM94" s="167"/>
      <c r="MDN94" s="168"/>
      <c r="MDO94" s="167"/>
      <c r="MDP94" s="168"/>
      <c r="MDQ94" s="167"/>
      <c r="MDR94" s="168"/>
      <c r="MDS94" s="167"/>
      <c r="MDT94" s="168"/>
      <c r="MDU94" s="167"/>
      <c r="MDV94" s="168"/>
      <c r="MDW94" s="167"/>
      <c r="MDX94" s="168"/>
      <c r="MDY94" s="167"/>
      <c r="MDZ94" s="168"/>
      <c r="MEA94" s="167"/>
      <c r="MEB94" s="168"/>
      <c r="MEC94" s="167"/>
      <c r="MED94" s="168"/>
      <c r="MEE94" s="167"/>
      <c r="MEF94" s="168"/>
      <c r="MEG94" s="167"/>
      <c r="MEH94" s="168"/>
      <c r="MEI94" s="167"/>
      <c r="MEJ94" s="168"/>
      <c r="MEK94" s="167"/>
      <c r="MEL94" s="168"/>
      <c r="MEM94" s="167"/>
      <c r="MEN94" s="168"/>
      <c r="MEO94" s="167"/>
      <c r="MEP94" s="168"/>
      <c r="MEQ94" s="167"/>
      <c r="MER94" s="168"/>
      <c r="MES94" s="167"/>
      <c r="MET94" s="168"/>
      <c r="MEU94" s="167"/>
      <c r="MEV94" s="168"/>
      <c r="MEW94" s="167"/>
      <c r="MEX94" s="168"/>
      <c r="MEY94" s="167"/>
      <c r="MEZ94" s="168"/>
      <c r="MFA94" s="167"/>
      <c r="MFB94" s="168"/>
      <c r="MFC94" s="167"/>
      <c r="MFD94" s="168"/>
      <c r="MFE94" s="167"/>
      <c r="MFF94" s="168"/>
      <c r="MFG94" s="167"/>
      <c r="MFH94" s="168"/>
      <c r="MFI94" s="167"/>
      <c r="MFJ94" s="168"/>
      <c r="MFK94" s="167"/>
      <c r="MFL94" s="168"/>
      <c r="MFM94" s="167"/>
      <c r="MFN94" s="168"/>
      <c r="MFO94" s="167"/>
      <c r="MFP94" s="168"/>
      <c r="MFQ94" s="167"/>
      <c r="MFR94" s="168"/>
      <c r="MFS94" s="167"/>
      <c r="MFT94" s="168"/>
      <c r="MFU94" s="167"/>
      <c r="MFV94" s="168"/>
      <c r="MFW94" s="167"/>
      <c r="MFX94" s="168"/>
      <c r="MFY94" s="167"/>
      <c r="MFZ94" s="168"/>
      <c r="MGA94" s="167"/>
      <c r="MGB94" s="168"/>
      <c r="MGC94" s="167"/>
      <c r="MGD94" s="168"/>
      <c r="MGE94" s="167"/>
      <c r="MGF94" s="168"/>
      <c r="MGG94" s="167"/>
      <c r="MGH94" s="168"/>
      <c r="MGI94" s="167"/>
      <c r="MGJ94" s="168"/>
      <c r="MGK94" s="167"/>
      <c r="MGL94" s="168"/>
      <c r="MGM94" s="167"/>
      <c r="MGN94" s="168"/>
      <c r="MGO94" s="167"/>
      <c r="MGP94" s="168"/>
      <c r="MGQ94" s="167"/>
      <c r="MGR94" s="168"/>
      <c r="MGS94" s="167"/>
      <c r="MGT94" s="168"/>
      <c r="MGU94" s="167"/>
      <c r="MGV94" s="168"/>
      <c r="MGW94" s="167"/>
      <c r="MGX94" s="168"/>
      <c r="MGY94" s="167"/>
      <c r="MGZ94" s="168"/>
      <c r="MHA94" s="167"/>
      <c r="MHB94" s="168"/>
      <c r="MHC94" s="167"/>
      <c r="MHD94" s="168"/>
      <c r="MHE94" s="167"/>
      <c r="MHF94" s="168"/>
      <c r="MHG94" s="167"/>
      <c r="MHH94" s="168"/>
      <c r="MHI94" s="167"/>
      <c r="MHJ94" s="168"/>
      <c r="MHK94" s="167"/>
      <c r="MHL94" s="168"/>
      <c r="MHM94" s="167"/>
      <c r="MHN94" s="168"/>
      <c r="MHO94" s="167"/>
      <c r="MHP94" s="168"/>
      <c r="MHQ94" s="167"/>
      <c r="MHR94" s="168"/>
      <c r="MHS94" s="167"/>
      <c r="MHT94" s="168"/>
      <c r="MHU94" s="167"/>
      <c r="MHV94" s="168"/>
      <c r="MHW94" s="167"/>
      <c r="MHX94" s="168"/>
      <c r="MHY94" s="167"/>
      <c r="MHZ94" s="168"/>
      <c r="MIA94" s="167"/>
      <c r="MIB94" s="168"/>
      <c r="MIC94" s="167"/>
      <c r="MID94" s="168"/>
      <c r="MIE94" s="167"/>
      <c r="MIF94" s="168"/>
      <c r="MIG94" s="167"/>
      <c r="MIH94" s="168"/>
      <c r="MII94" s="167"/>
      <c r="MIJ94" s="168"/>
      <c r="MIK94" s="167"/>
      <c r="MIL94" s="168"/>
      <c r="MIM94" s="167"/>
      <c r="MIN94" s="168"/>
      <c r="MIO94" s="167"/>
      <c r="MIP94" s="168"/>
      <c r="MIQ94" s="167"/>
      <c r="MIR94" s="168"/>
      <c r="MIS94" s="167"/>
      <c r="MIT94" s="168"/>
      <c r="MIU94" s="167"/>
      <c r="MIV94" s="168"/>
      <c r="MIW94" s="167"/>
      <c r="MIX94" s="168"/>
      <c r="MIY94" s="167"/>
      <c r="MIZ94" s="168"/>
      <c r="MJA94" s="167"/>
      <c r="MJB94" s="168"/>
      <c r="MJC94" s="167"/>
      <c r="MJD94" s="168"/>
      <c r="MJE94" s="167"/>
      <c r="MJF94" s="168"/>
      <c r="MJG94" s="167"/>
      <c r="MJH94" s="168"/>
      <c r="MJI94" s="167"/>
      <c r="MJJ94" s="168"/>
      <c r="MJK94" s="167"/>
      <c r="MJL94" s="168"/>
      <c r="MJM94" s="167"/>
      <c r="MJN94" s="168"/>
      <c r="MJO94" s="167"/>
      <c r="MJP94" s="168"/>
      <c r="MJQ94" s="167"/>
      <c r="MJR94" s="168"/>
      <c r="MJS94" s="167"/>
      <c r="MJT94" s="168"/>
      <c r="MJU94" s="167"/>
      <c r="MJV94" s="168"/>
      <c r="MJW94" s="167"/>
      <c r="MJX94" s="168"/>
      <c r="MJY94" s="167"/>
      <c r="MJZ94" s="168"/>
      <c r="MKA94" s="167"/>
      <c r="MKB94" s="168"/>
      <c r="MKC94" s="167"/>
      <c r="MKD94" s="168"/>
      <c r="MKE94" s="167"/>
      <c r="MKF94" s="168"/>
      <c r="MKG94" s="167"/>
      <c r="MKH94" s="168"/>
      <c r="MKI94" s="167"/>
      <c r="MKJ94" s="168"/>
      <c r="MKK94" s="167"/>
      <c r="MKL94" s="168"/>
      <c r="MKM94" s="167"/>
      <c r="MKN94" s="168"/>
      <c r="MKO94" s="167"/>
      <c r="MKP94" s="168"/>
      <c r="MKQ94" s="167"/>
      <c r="MKR94" s="168"/>
      <c r="MKS94" s="167"/>
      <c r="MKT94" s="168"/>
      <c r="MKU94" s="167"/>
      <c r="MKV94" s="168"/>
      <c r="MKW94" s="167"/>
      <c r="MKX94" s="168"/>
      <c r="MKY94" s="167"/>
      <c r="MKZ94" s="168"/>
      <c r="MLA94" s="167"/>
      <c r="MLB94" s="168"/>
      <c r="MLC94" s="167"/>
      <c r="MLD94" s="168"/>
      <c r="MLE94" s="167"/>
      <c r="MLF94" s="168"/>
      <c r="MLG94" s="167"/>
      <c r="MLH94" s="168"/>
      <c r="MLI94" s="167"/>
      <c r="MLJ94" s="168"/>
      <c r="MLK94" s="167"/>
      <c r="MLL94" s="168"/>
      <c r="MLM94" s="167"/>
      <c r="MLN94" s="168"/>
      <c r="MLO94" s="167"/>
      <c r="MLP94" s="168"/>
      <c r="MLQ94" s="167"/>
      <c r="MLR94" s="168"/>
      <c r="MLS94" s="167"/>
      <c r="MLT94" s="168"/>
      <c r="MLU94" s="167"/>
      <c r="MLV94" s="168"/>
      <c r="MLW94" s="167"/>
      <c r="MLX94" s="168"/>
      <c r="MLY94" s="167"/>
      <c r="MLZ94" s="168"/>
      <c r="MMA94" s="167"/>
      <c r="MMB94" s="168"/>
      <c r="MMC94" s="167"/>
      <c r="MMD94" s="168"/>
      <c r="MME94" s="167"/>
      <c r="MMF94" s="168"/>
      <c r="MMG94" s="167"/>
      <c r="MMH94" s="168"/>
      <c r="MMI94" s="167"/>
      <c r="MMJ94" s="168"/>
      <c r="MMK94" s="167"/>
      <c r="MML94" s="168"/>
      <c r="MMM94" s="167"/>
      <c r="MMN94" s="168"/>
      <c r="MMO94" s="167"/>
      <c r="MMP94" s="168"/>
      <c r="MMQ94" s="167"/>
      <c r="MMR94" s="168"/>
      <c r="MMS94" s="167"/>
      <c r="MMT94" s="168"/>
      <c r="MMU94" s="167"/>
      <c r="MMV94" s="168"/>
      <c r="MMW94" s="167"/>
      <c r="MMX94" s="168"/>
      <c r="MMY94" s="167"/>
      <c r="MMZ94" s="168"/>
      <c r="MNA94" s="167"/>
      <c r="MNB94" s="168"/>
      <c r="MNC94" s="167"/>
      <c r="MND94" s="168"/>
      <c r="MNE94" s="167"/>
      <c r="MNF94" s="168"/>
      <c r="MNG94" s="167"/>
      <c r="MNH94" s="168"/>
      <c r="MNI94" s="167"/>
      <c r="MNJ94" s="168"/>
      <c r="MNK94" s="167"/>
      <c r="MNL94" s="168"/>
      <c r="MNM94" s="167"/>
      <c r="MNN94" s="168"/>
      <c r="MNO94" s="167"/>
      <c r="MNP94" s="168"/>
      <c r="MNQ94" s="167"/>
      <c r="MNR94" s="168"/>
      <c r="MNS94" s="167"/>
      <c r="MNT94" s="168"/>
      <c r="MNU94" s="167"/>
      <c r="MNV94" s="168"/>
      <c r="MNW94" s="167"/>
      <c r="MNX94" s="168"/>
      <c r="MNY94" s="167"/>
      <c r="MNZ94" s="168"/>
      <c r="MOA94" s="167"/>
      <c r="MOB94" s="168"/>
      <c r="MOC94" s="167"/>
      <c r="MOD94" s="168"/>
      <c r="MOE94" s="167"/>
      <c r="MOF94" s="168"/>
      <c r="MOG94" s="167"/>
      <c r="MOH94" s="168"/>
      <c r="MOI94" s="167"/>
      <c r="MOJ94" s="168"/>
      <c r="MOK94" s="167"/>
      <c r="MOL94" s="168"/>
      <c r="MOM94" s="167"/>
      <c r="MON94" s="168"/>
      <c r="MOO94" s="167"/>
      <c r="MOP94" s="168"/>
      <c r="MOQ94" s="167"/>
      <c r="MOR94" s="168"/>
      <c r="MOS94" s="167"/>
      <c r="MOT94" s="168"/>
      <c r="MOU94" s="167"/>
      <c r="MOV94" s="168"/>
      <c r="MOW94" s="167"/>
      <c r="MOX94" s="168"/>
      <c r="MOY94" s="167"/>
      <c r="MOZ94" s="168"/>
      <c r="MPA94" s="167"/>
      <c r="MPB94" s="168"/>
      <c r="MPC94" s="167"/>
      <c r="MPD94" s="168"/>
      <c r="MPE94" s="167"/>
      <c r="MPF94" s="168"/>
      <c r="MPG94" s="167"/>
      <c r="MPH94" s="168"/>
      <c r="MPI94" s="167"/>
      <c r="MPJ94" s="168"/>
      <c r="MPK94" s="167"/>
      <c r="MPL94" s="168"/>
      <c r="MPM94" s="167"/>
      <c r="MPN94" s="168"/>
      <c r="MPO94" s="167"/>
      <c r="MPP94" s="168"/>
      <c r="MPQ94" s="167"/>
      <c r="MPR94" s="168"/>
      <c r="MPS94" s="167"/>
      <c r="MPT94" s="168"/>
      <c r="MPU94" s="167"/>
      <c r="MPV94" s="168"/>
      <c r="MPW94" s="167"/>
      <c r="MPX94" s="168"/>
      <c r="MPY94" s="167"/>
      <c r="MPZ94" s="168"/>
      <c r="MQA94" s="167"/>
      <c r="MQB94" s="168"/>
      <c r="MQC94" s="167"/>
      <c r="MQD94" s="168"/>
      <c r="MQE94" s="167"/>
      <c r="MQF94" s="168"/>
      <c r="MQG94" s="167"/>
      <c r="MQH94" s="168"/>
      <c r="MQI94" s="167"/>
      <c r="MQJ94" s="168"/>
      <c r="MQK94" s="167"/>
      <c r="MQL94" s="168"/>
      <c r="MQM94" s="167"/>
      <c r="MQN94" s="168"/>
      <c r="MQO94" s="167"/>
      <c r="MQP94" s="168"/>
      <c r="MQQ94" s="167"/>
      <c r="MQR94" s="168"/>
      <c r="MQS94" s="167"/>
      <c r="MQT94" s="168"/>
      <c r="MQU94" s="167"/>
      <c r="MQV94" s="168"/>
      <c r="MQW94" s="167"/>
      <c r="MQX94" s="168"/>
      <c r="MQY94" s="167"/>
      <c r="MQZ94" s="168"/>
      <c r="MRA94" s="167"/>
      <c r="MRB94" s="168"/>
      <c r="MRC94" s="167"/>
      <c r="MRD94" s="168"/>
      <c r="MRE94" s="167"/>
      <c r="MRF94" s="168"/>
      <c r="MRG94" s="167"/>
      <c r="MRH94" s="168"/>
      <c r="MRI94" s="167"/>
      <c r="MRJ94" s="168"/>
      <c r="MRK94" s="167"/>
      <c r="MRL94" s="168"/>
      <c r="MRM94" s="167"/>
      <c r="MRN94" s="168"/>
      <c r="MRO94" s="167"/>
      <c r="MRP94" s="168"/>
      <c r="MRQ94" s="167"/>
      <c r="MRR94" s="168"/>
      <c r="MRS94" s="167"/>
      <c r="MRT94" s="168"/>
      <c r="MRU94" s="167"/>
      <c r="MRV94" s="168"/>
      <c r="MRW94" s="167"/>
      <c r="MRX94" s="168"/>
      <c r="MRY94" s="167"/>
      <c r="MRZ94" s="168"/>
      <c r="MSA94" s="167"/>
      <c r="MSB94" s="168"/>
      <c r="MSC94" s="167"/>
      <c r="MSD94" s="168"/>
      <c r="MSE94" s="167"/>
      <c r="MSF94" s="168"/>
      <c r="MSG94" s="167"/>
      <c r="MSH94" s="168"/>
      <c r="MSI94" s="167"/>
      <c r="MSJ94" s="168"/>
      <c r="MSK94" s="167"/>
      <c r="MSL94" s="168"/>
      <c r="MSM94" s="167"/>
      <c r="MSN94" s="168"/>
      <c r="MSO94" s="167"/>
      <c r="MSP94" s="168"/>
      <c r="MSQ94" s="167"/>
      <c r="MSR94" s="168"/>
      <c r="MSS94" s="167"/>
      <c r="MST94" s="168"/>
      <c r="MSU94" s="167"/>
      <c r="MSV94" s="168"/>
      <c r="MSW94" s="167"/>
      <c r="MSX94" s="168"/>
      <c r="MSY94" s="167"/>
      <c r="MSZ94" s="168"/>
      <c r="MTA94" s="167"/>
      <c r="MTB94" s="168"/>
      <c r="MTC94" s="167"/>
      <c r="MTD94" s="168"/>
      <c r="MTE94" s="167"/>
      <c r="MTF94" s="168"/>
      <c r="MTG94" s="167"/>
      <c r="MTH94" s="168"/>
      <c r="MTI94" s="167"/>
      <c r="MTJ94" s="168"/>
      <c r="MTK94" s="167"/>
      <c r="MTL94" s="168"/>
      <c r="MTM94" s="167"/>
      <c r="MTN94" s="168"/>
      <c r="MTO94" s="167"/>
      <c r="MTP94" s="168"/>
      <c r="MTQ94" s="167"/>
      <c r="MTR94" s="168"/>
      <c r="MTS94" s="167"/>
      <c r="MTT94" s="168"/>
      <c r="MTU94" s="167"/>
      <c r="MTV94" s="168"/>
      <c r="MTW94" s="167"/>
      <c r="MTX94" s="168"/>
      <c r="MTY94" s="167"/>
      <c r="MTZ94" s="168"/>
      <c r="MUA94" s="167"/>
      <c r="MUB94" s="168"/>
      <c r="MUC94" s="167"/>
      <c r="MUD94" s="168"/>
      <c r="MUE94" s="167"/>
      <c r="MUF94" s="168"/>
      <c r="MUG94" s="167"/>
      <c r="MUH94" s="168"/>
      <c r="MUI94" s="167"/>
      <c r="MUJ94" s="168"/>
      <c r="MUK94" s="167"/>
      <c r="MUL94" s="168"/>
      <c r="MUM94" s="167"/>
      <c r="MUN94" s="168"/>
      <c r="MUO94" s="167"/>
      <c r="MUP94" s="168"/>
      <c r="MUQ94" s="167"/>
      <c r="MUR94" s="168"/>
      <c r="MUS94" s="167"/>
      <c r="MUT94" s="168"/>
      <c r="MUU94" s="167"/>
      <c r="MUV94" s="168"/>
      <c r="MUW94" s="167"/>
      <c r="MUX94" s="168"/>
      <c r="MUY94" s="167"/>
      <c r="MUZ94" s="168"/>
      <c r="MVA94" s="167"/>
      <c r="MVB94" s="168"/>
      <c r="MVC94" s="167"/>
      <c r="MVD94" s="168"/>
      <c r="MVE94" s="167"/>
      <c r="MVF94" s="168"/>
      <c r="MVG94" s="167"/>
      <c r="MVH94" s="168"/>
      <c r="MVI94" s="167"/>
      <c r="MVJ94" s="168"/>
      <c r="MVK94" s="167"/>
      <c r="MVL94" s="168"/>
      <c r="MVM94" s="167"/>
      <c r="MVN94" s="168"/>
      <c r="MVO94" s="167"/>
      <c r="MVP94" s="168"/>
      <c r="MVQ94" s="167"/>
      <c r="MVR94" s="168"/>
      <c r="MVS94" s="167"/>
      <c r="MVT94" s="168"/>
      <c r="MVU94" s="167"/>
      <c r="MVV94" s="168"/>
      <c r="MVW94" s="167"/>
      <c r="MVX94" s="168"/>
      <c r="MVY94" s="167"/>
      <c r="MVZ94" s="168"/>
      <c r="MWA94" s="167"/>
      <c r="MWB94" s="168"/>
      <c r="MWC94" s="167"/>
      <c r="MWD94" s="168"/>
      <c r="MWE94" s="167"/>
      <c r="MWF94" s="168"/>
      <c r="MWG94" s="167"/>
      <c r="MWH94" s="168"/>
      <c r="MWI94" s="167"/>
      <c r="MWJ94" s="168"/>
      <c r="MWK94" s="167"/>
      <c r="MWL94" s="168"/>
      <c r="MWM94" s="167"/>
      <c r="MWN94" s="168"/>
      <c r="MWO94" s="167"/>
      <c r="MWP94" s="168"/>
      <c r="MWQ94" s="167"/>
      <c r="MWR94" s="168"/>
      <c r="MWS94" s="167"/>
      <c r="MWT94" s="168"/>
      <c r="MWU94" s="167"/>
      <c r="MWV94" s="168"/>
      <c r="MWW94" s="167"/>
      <c r="MWX94" s="168"/>
      <c r="MWY94" s="167"/>
      <c r="MWZ94" s="168"/>
      <c r="MXA94" s="167"/>
      <c r="MXB94" s="168"/>
      <c r="MXC94" s="167"/>
      <c r="MXD94" s="168"/>
      <c r="MXE94" s="167"/>
      <c r="MXF94" s="168"/>
      <c r="MXG94" s="167"/>
      <c r="MXH94" s="168"/>
      <c r="MXI94" s="167"/>
      <c r="MXJ94" s="168"/>
      <c r="MXK94" s="167"/>
      <c r="MXL94" s="168"/>
      <c r="MXM94" s="167"/>
      <c r="MXN94" s="168"/>
      <c r="MXO94" s="167"/>
      <c r="MXP94" s="168"/>
      <c r="MXQ94" s="167"/>
      <c r="MXR94" s="168"/>
      <c r="MXS94" s="167"/>
      <c r="MXT94" s="168"/>
      <c r="MXU94" s="167"/>
      <c r="MXV94" s="168"/>
      <c r="MXW94" s="167"/>
      <c r="MXX94" s="168"/>
      <c r="MXY94" s="167"/>
      <c r="MXZ94" s="168"/>
      <c r="MYA94" s="167"/>
      <c r="MYB94" s="168"/>
      <c r="MYC94" s="167"/>
      <c r="MYD94" s="168"/>
      <c r="MYE94" s="167"/>
      <c r="MYF94" s="168"/>
      <c r="MYG94" s="167"/>
      <c r="MYH94" s="168"/>
      <c r="MYI94" s="167"/>
      <c r="MYJ94" s="168"/>
      <c r="MYK94" s="167"/>
      <c r="MYL94" s="168"/>
      <c r="MYM94" s="167"/>
      <c r="MYN94" s="168"/>
      <c r="MYO94" s="167"/>
      <c r="MYP94" s="168"/>
      <c r="MYQ94" s="167"/>
      <c r="MYR94" s="168"/>
      <c r="MYS94" s="167"/>
      <c r="MYT94" s="168"/>
      <c r="MYU94" s="167"/>
      <c r="MYV94" s="168"/>
      <c r="MYW94" s="167"/>
      <c r="MYX94" s="168"/>
      <c r="MYY94" s="167"/>
      <c r="MYZ94" s="168"/>
      <c r="MZA94" s="167"/>
      <c r="MZB94" s="168"/>
      <c r="MZC94" s="167"/>
      <c r="MZD94" s="168"/>
      <c r="MZE94" s="167"/>
      <c r="MZF94" s="168"/>
      <c r="MZG94" s="167"/>
      <c r="MZH94" s="168"/>
      <c r="MZI94" s="167"/>
      <c r="MZJ94" s="168"/>
      <c r="MZK94" s="167"/>
      <c r="MZL94" s="168"/>
      <c r="MZM94" s="167"/>
      <c r="MZN94" s="168"/>
      <c r="MZO94" s="167"/>
      <c r="MZP94" s="168"/>
      <c r="MZQ94" s="167"/>
      <c r="MZR94" s="168"/>
      <c r="MZS94" s="167"/>
      <c r="MZT94" s="168"/>
      <c r="MZU94" s="167"/>
      <c r="MZV94" s="168"/>
      <c r="MZW94" s="167"/>
      <c r="MZX94" s="168"/>
      <c r="MZY94" s="167"/>
      <c r="MZZ94" s="168"/>
      <c r="NAA94" s="167"/>
      <c r="NAB94" s="168"/>
      <c r="NAC94" s="167"/>
      <c r="NAD94" s="168"/>
      <c r="NAE94" s="167"/>
      <c r="NAF94" s="168"/>
      <c r="NAG94" s="167"/>
      <c r="NAH94" s="168"/>
      <c r="NAI94" s="167"/>
      <c r="NAJ94" s="168"/>
      <c r="NAK94" s="167"/>
      <c r="NAL94" s="168"/>
      <c r="NAM94" s="167"/>
      <c r="NAN94" s="168"/>
      <c r="NAO94" s="167"/>
      <c r="NAP94" s="168"/>
      <c r="NAQ94" s="167"/>
      <c r="NAR94" s="168"/>
      <c r="NAS94" s="167"/>
      <c r="NAT94" s="168"/>
      <c r="NAU94" s="167"/>
      <c r="NAV94" s="168"/>
      <c r="NAW94" s="167"/>
      <c r="NAX94" s="168"/>
      <c r="NAY94" s="167"/>
      <c r="NAZ94" s="168"/>
      <c r="NBA94" s="167"/>
      <c r="NBB94" s="168"/>
      <c r="NBC94" s="167"/>
      <c r="NBD94" s="168"/>
      <c r="NBE94" s="167"/>
      <c r="NBF94" s="168"/>
      <c r="NBG94" s="167"/>
      <c r="NBH94" s="168"/>
      <c r="NBI94" s="167"/>
      <c r="NBJ94" s="168"/>
      <c r="NBK94" s="167"/>
      <c r="NBL94" s="168"/>
      <c r="NBM94" s="167"/>
      <c r="NBN94" s="168"/>
      <c r="NBO94" s="167"/>
      <c r="NBP94" s="168"/>
      <c r="NBQ94" s="167"/>
      <c r="NBR94" s="168"/>
      <c r="NBS94" s="167"/>
      <c r="NBT94" s="168"/>
      <c r="NBU94" s="167"/>
      <c r="NBV94" s="168"/>
      <c r="NBW94" s="167"/>
      <c r="NBX94" s="168"/>
      <c r="NBY94" s="167"/>
      <c r="NBZ94" s="168"/>
      <c r="NCA94" s="167"/>
      <c r="NCB94" s="168"/>
      <c r="NCC94" s="167"/>
      <c r="NCD94" s="168"/>
      <c r="NCE94" s="167"/>
      <c r="NCF94" s="168"/>
      <c r="NCG94" s="167"/>
      <c r="NCH94" s="168"/>
      <c r="NCI94" s="167"/>
      <c r="NCJ94" s="168"/>
      <c r="NCK94" s="167"/>
      <c r="NCL94" s="168"/>
      <c r="NCM94" s="167"/>
      <c r="NCN94" s="168"/>
      <c r="NCO94" s="167"/>
      <c r="NCP94" s="168"/>
      <c r="NCQ94" s="167"/>
      <c r="NCR94" s="168"/>
      <c r="NCS94" s="167"/>
      <c r="NCT94" s="168"/>
      <c r="NCU94" s="167"/>
      <c r="NCV94" s="168"/>
      <c r="NCW94" s="167"/>
      <c r="NCX94" s="168"/>
      <c r="NCY94" s="167"/>
      <c r="NCZ94" s="168"/>
      <c r="NDA94" s="167"/>
      <c r="NDB94" s="168"/>
      <c r="NDC94" s="167"/>
      <c r="NDD94" s="168"/>
      <c r="NDE94" s="167"/>
      <c r="NDF94" s="168"/>
      <c r="NDG94" s="167"/>
      <c r="NDH94" s="168"/>
      <c r="NDI94" s="167"/>
      <c r="NDJ94" s="168"/>
      <c r="NDK94" s="167"/>
      <c r="NDL94" s="168"/>
      <c r="NDM94" s="167"/>
      <c r="NDN94" s="168"/>
      <c r="NDO94" s="167"/>
      <c r="NDP94" s="168"/>
      <c r="NDQ94" s="167"/>
      <c r="NDR94" s="168"/>
      <c r="NDS94" s="167"/>
      <c r="NDT94" s="168"/>
      <c r="NDU94" s="167"/>
      <c r="NDV94" s="168"/>
      <c r="NDW94" s="167"/>
      <c r="NDX94" s="168"/>
      <c r="NDY94" s="167"/>
      <c r="NDZ94" s="168"/>
      <c r="NEA94" s="167"/>
      <c r="NEB94" s="168"/>
      <c r="NEC94" s="167"/>
      <c r="NED94" s="168"/>
      <c r="NEE94" s="167"/>
      <c r="NEF94" s="168"/>
      <c r="NEG94" s="167"/>
      <c r="NEH94" s="168"/>
      <c r="NEI94" s="167"/>
      <c r="NEJ94" s="168"/>
      <c r="NEK94" s="167"/>
      <c r="NEL94" s="168"/>
      <c r="NEM94" s="167"/>
      <c r="NEN94" s="168"/>
      <c r="NEO94" s="167"/>
      <c r="NEP94" s="168"/>
      <c r="NEQ94" s="167"/>
      <c r="NER94" s="168"/>
      <c r="NES94" s="167"/>
      <c r="NET94" s="168"/>
      <c r="NEU94" s="167"/>
      <c r="NEV94" s="168"/>
      <c r="NEW94" s="167"/>
      <c r="NEX94" s="168"/>
      <c r="NEY94" s="167"/>
      <c r="NEZ94" s="168"/>
      <c r="NFA94" s="167"/>
      <c r="NFB94" s="168"/>
      <c r="NFC94" s="167"/>
      <c r="NFD94" s="168"/>
      <c r="NFE94" s="167"/>
      <c r="NFF94" s="168"/>
      <c r="NFG94" s="167"/>
      <c r="NFH94" s="168"/>
      <c r="NFI94" s="167"/>
      <c r="NFJ94" s="168"/>
      <c r="NFK94" s="167"/>
      <c r="NFL94" s="168"/>
      <c r="NFM94" s="167"/>
      <c r="NFN94" s="168"/>
      <c r="NFO94" s="167"/>
      <c r="NFP94" s="168"/>
      <c r="NFQ94" s="167"/>
      <c r="NFR94" s="168"/>
      <c r="NFS94" s="167"/>
      <c r="NFT94" s="168"/>
      <c r="NFU94" s="167"/>
      <c r="NFV94" s="168"/>
      <c r="NFW94" s="167"/>
      <c r="NFX94" s="168"/>
      <c r="NFY94" s="167"/>
      <c r="NFZ94" s="168"/>
      <c r="NGA94" s="167"/>
      <c r="NGB94" s="168"/>
      <c r="NGC94" s="167"/>
      <c r="NGD94" s="168"/>
      <c r="NGE94" s="167"/>
      <c r="NGF94" s="168"/>
      <c r="NGG94" s="167"/>
      <c r="NGH94" s="168"/>
      <c r="NGI94" s="167"/>
      <c r="NGJ94" s="168"/>
      <c r="NGK94" s="167"/>
      <c r="NGL94" s="168"/>
      <c r="NGM94" s="167"/>
      <c r="NGN94" s="168"/>
      <c r="NGO94" s="167"/>
      <c r="NGP94" s="168"/>
      <c r="NGQ94" s="167"/>
      <c r="NGR94" s="168"/>
      <c r="NGS94" s="167"/>
      <c r="NGT94" s="168"/>
      <c r="NGU94" s="167"/>
      <c r="NGV94" s="168"/>
      <c r="NGW94" s="167"/>
      <c r="NGX94" s="168"/>
      <c r="NGY94" s="167"/>
      <c r="NGZ94" s="168"/>
      <c r="NHA94" s="167"/>
      <c r="NHB94" s="168"/>
      <c r="NHC94" s="167"/>
      <c r="NHD94" s="168"/>
      <c r="NHE94" s="167"/>
      <c r="NHF94" s="168"/>
      <c r="NHG94" s="167"/>
      <c r="NHH94" s="168"/>
      <c r="NHI94" s="167"/>
      <c r="NHJ94" s="168"/>
      <c r="NHK94" s="167"/>
      <c r="NHL94" s="168"/>
      <c r="NHM94" s="167"/>
      <c r="NHN94" s="168"/>
      <c r="NHO94" s="167"/>
      <c r="NHP94" s="168"/>
      <c r="NHQ94" s="167"/>
      <c r="NHR94" s="168"/>
      <c r="NHS94" s="167"/>
      <c r="NHT94" s="168"/>
      <c r="NHU94" s="167"/>
      <c r="NHV94" s="168"/>
      <c r="NHW94" s="167"/>
      <c r="NHX94" s="168"/>
      <c r="NHY94" s="167"/>
      <c r="NHZ94" s="168"/>
      <c r="NIA94" s="167"/>
      <c r="NIB94" s="168"/>
      <c r="NIC94" s="167"/>
      <c r="NID94" s="168"/>
      <c r="NIE94" s="167"/>
      <c r="NIF94" s="168"/>
      <c r="NIG94" s="167"/>
      <c r="NIH94" s="168"/>
      <c r="NII94" s="167"/>
      <c r="NIJ94" s="168"/>
      <c r="NIK94" s="167"/>
      <c r="NIL94" s="168"/>
      <c r="NIM94" s="167"/>
      <c r="NIN94" s="168"/>
      <c r="NIO94" s="167"/>
      <c r="NIP94" s="168"/>
      <c r="NIQ94" s="167"/>
      <c r="NIR94" s="168"/>
      <c r="NIS94" s="167"/>
      <c r="NIT94" s="168"/>
      <c r="NIU94" s="167"/>
      <c r="NIV94" s="168"/>
      <c r="NIW94" s="167"/>
      <c r="NIX94" s="168"/>
      <c r="NIY94" s="167"/>
      <c r="NIZ94" s="168"/>
      <c r="NJA94" s="167"/>
      <c r="NJB94" s="168"/>
      <c r="NJC94" s="167"/>
      <c r="NJD94" s="168"/>
      <c r="NJE94" s="167"/>
      <c r="NJF94" s="168"/>
      <c r="NJG94" s="167"/>
      <c r="NJH94" s="168"/>
      <c r="NJI94" s="167"/>
      <c r="NJJ94" s="168"/>
      <c r="NJK94" s="167"/>
      <c r="NJL94" s="168"/>
      <c r="NJM94" s="167"/>
      <c r="NJN94" s="168"/>
      <c r="NJO94" s="167"/>
      <c r="NJP94" s="168"/>
      <c r="NJQ94" s="167"/>
      <c r="NJR94" s="168"/>
      <c r="NJS94" s="167"/>
      <c r="NJT94" s="168"/>
      <c r="NJU94" s="167"/>
      <c r="NJV94" s="168"/>
      <c r="NJW94" s="167"/>
      <c r="NJX94" s="168"/>
      <c r="NJY94" s="167"/>
      <c r="NJZ94" s="168"/>
      <c r="NKA94" s="167"/>
      <c r="NKB94" s="168"/>
      <c r="NKC94" s="167"/>
      <c r="NKD94" s="168"/>
      <c r="NKE94" s="167"/>
      <c r="NKF94" s="168"/>
      <c r="NKG94" s="167"/>
      <c r="NKH94" s="168"/>
      <c r="NKI94" s="167"/>
      <c r="NKJ94" s="168"/>
      <c r="NKK94" s="167"/>
      <c r="NKL94" s="168"/>
      <c r="NKM94" s="167"/>
      <c r="NKN94" s="168"/>
      <c r="NKO94" s="167"/>
      <c r="NKP94" s="168"/>
      <c r="NKQ94" s="167"/>
      <c r="NKR94" s="168"/>
      <c r="NKS94" s="167"/>
      <c r="NKT94" s="168"/>
      <c r="NKU94" s="167"/>
      <c r="NKV94" s="168"/>
      <c r="NKW94" s="167"/>
      <c r="NKX94" s="168"/>
      <c r="NKY94" s="167"/>
      <c r="NKZ94" s="168"/>
      <c r="NLA94" s="167"/>
      <c r="NLB94" s="168"/>
      <c r="NLC94" s="167"/>
      <c r="NLD94" s="168"/>
      <c r="NLE94" s="167"/>
      <c r="NLF94" s="168"/>
      <c r="NLG94" s="167"/>
      <c r="NLH94" s="168"/>
      <c r="NLI94" s="167"/>
      <c r="NLJ94" s="168"/>
      <c r="NLK94" s="167"/>
      <c r="NLL94" s="168"/>
      <c r="NLM94" s="167"/>
      <c r="NLN94" s="168"/>
      <c r="NLO94" s="167"/>
      <c r="NLP94" s="168"/>
      <c r="NLQ94" s="167"/>
      <c r="NLR94" s="168"/>
      <c r="NLS94" s="167"/>
      <c r="NLT94" s="168"/>
      <c r="NLU94" s="167"/>
      <c r="NLV94" s="168"/>
      <c r="NLW94" s="167"/>
      <c r="NLX94" s="168"/>
      <c r="NLY94" s="167"/>
      <c r="NLZ94" s="168"/>
      <c r="NMA94" s="167"/>
      <c r="NMB94" s="168"/>
      <c r="NMC94" s="167"/>
      <c r="NMD94" s="168"/>
      <c r="NME94" s="167"/>
      <c r="NMF94" s="168"/>
      <c r="NMG94" s="167"/>
      <c r="NMH94" s="168"/>
      <c r="NMI94" s="167"/>
      <c r="NMJ94" s="168"/>
      <c r="NMK94" s="167"/>
      <c r="NML94" s="168"/>
      <c r="NMM94" s="167"/>
      <c r="NMN94" s="168"/>
      <c r="NMO94" s="167"/>
      <c r="NMP94" s="168"/>
      <c r="NMQ94" s="167"/>
      <c r="NMR94" s="168"/>
      <c r="NMS94" s="167"/>
      <c r="NMT94" s="168"/>
      <c r="NMU94" s="167"/>
      <c r="NMV94" s="168"/>
      <c r="NMW94" s="167"/>
      <c r="NMX94" s="168"/>
      <c r="NMY94" s="167"/>
      <c r="NMZ94" s="168"/>
      <c r="NNA94" s="167"/>
      <c r="NNB94" s="168"/>
      <c r="NNC94" s="167"/>
      <c r="NND94" s="168"/>
      <c r="NNE94" s="167"/>
      <c r="NNF94" s="168"/>
      <c r="NNG94" s="167"/>
      <c r="NNH94" s="168"/>
      <c r="NNI94" s="167"/>
      <c r="NNJ94" s="168"/>
      <c r="NNK94" s="167"/>
      <c r="NNL94" s="168"/>
      <c r="NNM94" s="167"/>
      <c r="NNN94" s="168"/>
      <c r="NNO94" s="167"/>
      <c r="NNP94" s="168"/>
      <c r="NNQ94" s="167"/>
      <c r="NNR94" s="168"/>
      <c r="NNS94" s="167"/>
      <c r="NNT94" s="168"/>
      <c r="NNU94" s="167"/>
      <c r="NNV94" s="168"/>
      <c r="NNW94" s="167"/>
      <c r="NNX94" s="168"/>
      <c r="NNY94" s="167"/>
      <c r="NNZ94" s="168"/>
      <c r="NOA94" s="167"/>
      <c r="NOB94" s="168"/>
      <c r="NOC94" s="167"/>
      <c r="NOD94" s="168"/>
      <c r="NOE94" s="167"/>
      <c r="NOF94" s="168"/>
      <c r="NOG94" s="167"/>
      <c r="NOH94" s="168"/>
      <c r="NOI94" s="167"/>
      <c r="NOJ94" s="168"/>
      <c r="NOK94" s="167"/>
      <c r="NOL94" s="168"/>
      <c r="NOM94" s="167"/>
      <c r="NON94" s="168"/>
      <c r="NOO94" s="167"/>
      <c r="NOP94" s="168"/>
      <c r="NOQ94" s="167"/>
      <c r="NOR94" s="168"/>
      <c r="NOS94" s="167"/>
      <c r="NOT94" s="168"/>
      <c r="NOU94" s="167"/>
      <c r="NOV94" s="168"/>
      <c r="NOW94" s="167"/>
      <c r="NOX94" s="168"/>
      <c r="NOY94" s="167"/>
      <c r="NOZ94" s="168"/>
      <c r="NPA94" s="167"/>
      <c r="NPB94" s="168"/>
      <c r="NPC94" s="167"/>
      <c r="NPD94" s="168"/>
      <c r="NPE94" s="167"/>
      <c r="NPF94" s="168"/>
      <c r="NPG94" s="167"/>
      <c r="NPH94" s="168"/>
      <c r="NPI94" s="167"/>
      <c r="NPJ94" s="168"/>
      <c r="NPK94" s="167"/>
      <c r="NPL94" s="168"/>
      <c r="NPM94" s="167"/>
      <c r="NPN94" s="168"/>
      <c r="NPO94" s="167"/>
      <c r="NPP94" s="168"/>
      <c r="NPQ94" s="167"/>
      <c r="NPR94" s="168"/>
      <c r="NPS94" s="167"/>
      <c r="NPT94" s="168"/>
      <c r="NPU94" s="167"/>
      <c r="NPV94" s="168"/>
      <c r="NPW94" s="167"/>
      <c r="NPX94" s="168"/>
      <c r="NPY94" s="167"/>
      <c r="NPZ94" s="168"/>
      <c r="NQA94" s="167"/>
      <c r="NQB94" s="168"/>
      <c r="NQC94" s="167"/>
      <c r="NQD94" s="168"/>
      <c r="NQE94" s="167"/>
      <c r="NQF94" s="168"/>
      <c r="NQG94" s="167"/>
      <c r="NQH94" s="168"/>
      <c r="NQI94" s="167"/>
      <c r="NQJ94" s="168"/>
      <c r="NQK94" s="167"/>
      <c r="NQL94" s="168"/>
      <c r="NQM94" s="167"/>
      <c r="NQN94" s="168"/>
      <c r="NQO94" s="167"/>
      <c r="NQP94" s="168"/>
      <c r="NQQ94" s="167"/>
      <c r="NQR94" s="168"/>
      <c r="NQS94" s="167"/>
      <c r="NQT94" s="168"/>
      <c r="NQU94" s="167"/>
      <c r="NQV94" s="168"/>
      <c r="NQW94" s="167"/>
      <c r="NQX94" s="168"/>
      <c r="NQY94" s="167"/>
      <c r="NQZ94" s="168"/>
      <c r="NRA94" s="167"/>
      <c r="NRB94" s="168"/>
      <c r="NRC94" s="167"/>
      <c r="NRD94" s="168"/>
      <c r="NRE94" s="167"/>
      <c r="NRF94" s="168"/>
      <c r="NRG94" s="167"/>
      <c r="NRH94" s="168"/>
      <c r="NRI94" s="167"/>
      <c r="NRJ94" s="168"/>
      <c r="NRK94" s="167"/>
      <c r="NRL94" s="168"/>
      <c r="NRM94" s="167"/>
      <c r="NRN94" s="168"/>
      <c r="NRO94" s="167"/>
      <c r="NRP94" s="168"/>
      <c r="NRQ94" s="167"/>
      <c r="NRR94" s="168"/>
      <c r="NRS94" s="167"/>
      <c r="NRT94" s="168"/>
      <c r="NRU94" s="167"/>
      <c r="NRV94" s="168"/>
      <c r="NRW94" s="167"/>
      <c r="NRX94" s="168"/>
      <c r="NRY94" s="167"/>
      <c r="NRZ94" s="168"/>
      <c r="NSA94" s="167"/>
      <c r="NSB94" s="168"/>
      <c r="NSC94" s="167"/>
      <c r="NSD94" s="168"/>
      <c r="NSE94" s="167"/>
      <c r="NSF94" s="168"/>
      <c r="NSG94" s="167"/>
      <c r="NSH94" s="168"/>
      <c r="NSI94" s="167"/>
      <c r="NSJ94" s="168"/>
      <c r="NSK94" s="167"/>
      <c r="NSL94" s="168"/>
      <c r="NSM94" s="167"/>
      <c r="NSN94" s="168"/>
      <c r="NSO94" s="167"/>
      <c r="NSP94" s="168"/>
      <c r="NSQ94" s="167"/>
      <c r="NSR94" s="168"/>
      <c r="NSS94" s="167"/>
      <c r="NST94" s="168"/>
      <c r="NSU94" s="167"/>
      <c r="NSV94" s="168"/>
      <c r="NSW94" s="167"/>
      <c r="NSX94" s="168"/>
      <c r="NSY94" s="167"/>
      <c r="NSZ94" s="168"/>
      <c r="NTA94" s="167"/>
      <c r="NTB94" s="168"/>
      <c r="NTC94" s="167"/>
      <c r="NTD94" s="168"/>
      <c r="NTE94" s="167"/>
      <c r="NTF94" s="168"/>
      <c r="NTG94" s="167"/>
      <c r="NTH94" s="168"/>
      <c r="NTI94" s="167"/>
      <c r="NTJ94" s="168"/>
      <c r="NTK94" s="167"/>
      <c r="NTL94" s="168"/>
      <c r="NTM94" s="167"/>
      <c r="NTN94" s="168"/>
      <c r="NTO94" s="167"/>
      <c r="NTP94" s="168"/>
      <c r="NTQ94" s="167"/>
      <c r="NTR94" s="168"/>
      <c r="NTS94" s="167"/>
      <c r="NTT94" s="168"/>
      <c r="NTU94" s="167"/>
      <c r="NTV94" s="168"/>
      <c r="NTW94" s="167"/>
      <c r="NTX94" s="168"/>
      <c r="NTY94" s="167"/>
      <c r="NTZ94" s="168"/>
      <c r="NUA94" s="167"/>
      <c r="NUB94" s="168"/>
      <c r="NUC94" s="167"/>
      <c r="NUD94" s="168"/>
      <c r="NUE94" s="167"/>
      <c r="NUF94" s="168"/>
      <c r="NUG94" s="167"/>
      <c r="NUH94" s="168"/>
      <c r="NUI94" s="167"/>
      <c r="NUJ94" s="168"/>
      <c r="NUK94" s="167"/>
      <c r="NUL94" s="168"/>
      <c r="NUM94" s="167"/>
      <c r="NUN94" s="168"/>
      <c r="NUO94" s="167"/>
      <c r="NUP94" s="168"/>
      <c r="NUQ94" s="167"/>
      <c r="NUR94" s="168"/>
      <c r="NUS94" s="167"/>
      <c r="NUT94" s="168"/>
      <c r="NUU94" s="167"/>
      <c r="NUV94" s="168"/>
      <c r="NUW94" s="167"/>
      <c r="NUX94" s="168"/>
      <c r="NUY94" s="167"/>
      <c r="NUZ94" s="168"/>
      <c r="NVA94" s="167"/>
      <c r="NVB94" s="168"/>
      <c r="NVC94" s="167"/>
      <c r="NVD94" s="168"/>
      <c r="NVE94" s="167"/>
      <c r="NVF94" s="168"/>
      <c r="NVG94" s="167"/>
      <c r="NVH94" s="168"/>
      <c r="NVI94" s="167"/>
      <c r="NVJ94" s="168"/>
      <c r="NVK94" s="167"/>
      <c r="NVL94" s="168"/>
      <c r="NVM94" s="167"/>
      <c r="NVN94" s="168"/>
      <c r="NVO94" s="167"/>
      <c r="NVP94" s="168"/>
      <c r="NVQ94" s="167"/>
      <c r="NVR94" s="168"/>
      <c r="NVS94" s="167"/>
      <c r="NVT94" s="168"/>
      <c r="NVU94" s="167"/>
      <c r="NVV94" s="168"/>
      <c r="NVW94" s="167"/>
      <c r="NVX94" s="168"/>
      <c r="NVY94" s="167"/>
      <c r="NVZ94" s="168"/>
      <c r="NWA94" s="167"/>
      <c r="NWB94" s="168"/>
      <c r="NWC94" s="167"/>
      <c r="NWD94" s="168"/>
      <c r="NWE94" s="167"/>
      <c r="NWF94" s="168"/>
      <c r="NWG94" s="167"/>
      <c r="NWH94" s="168"/>
      <c r="NWI94" s="167"/>
      <c r="NWJ94" s="168"/>
      <c r="NWK94" s="167"/>
      <c r="NWL94" s="168"/>
      <c r="NWM94" s="167"/>
      <c r="NWN94" s="168"/>
      <c r="NWO94" s="167"/>
      <c r="NWP94" s="168"/>
      <c r="NWQ94" s="167"/>
      <c r="NWR94" s="168"/>
      <c r="NWS94" s="167"/>
      <c r="NWT94" s="168"/>
      <c r="NWU94" s="167"/>
      <c r="NWV94" s="168"/>
      <c r="NWW94" s="167"/>
      <c r="NWX94" s="168"/>
      <c r="NWY94" s="167"/>
      <c r="NWZ94" s="168"/>
      <c r="NXA94" s="167"/>
      <c r="NXB94" s="168"/>
      <c r="NXC94" s="167"/>
      <c r="NXD94" s="168"/>
      <c r="NXE94" s="167"/>
      <c r="NXF94" s="168"/>
      <c r="NXG94" s="167"/>
      <c r="NXH94" s="168"/>
      <c r="NXI94" s="167"/>
      <c r="NXJ94" s="168"/>
      <c r="NXK94" s="167"/>
      <c r="NXL94" s="168"/>
      <c r="NXM94" s="167"/>
      <c r="NXN94" s="168"/>
      <c r="NXO94" s="167"/>
      <c r="NXP94" s="168"/>
      <c r="NXQ94" s="167"/>
      <c r="NXR94" s="168"/>
      <c r="NXS94" s="167"/>
      <c r="NXT94" s="168"/>
      <c r="NXU94" s="167"/>
      <c r="NXV94" s="168"/>
      <c r="NXW94" s="167"/>
      <c r="NXX94" s="168"/>
      <c r="NXY94" s="167"/>
      <c r="NXZ94" s="168"/>
      <c r="NYA94" s="167"/>
      <c r="NYB94" s="168"/>
      <c r="NYC94" s="167"/>
      <c r="NYD94" s="168"/>
      <c r="NYE94" s="167"/>
      <c r="NYF94" s="168"/>
      <c r="NYG94" s="167"/>
      <c r="NYH94" s="168"/>
      <c r="NYI94" s="167"/>
      <c r="NYJ94" s="168"/>
      <c r="NYK94" s="167"/>
      <c r="NYL94" s="168"/>
      <c r="NYM94" s="167"/>
      <c r="NYN94" s="168"/>
      <c r="NYO94" s="167"/>
      <c r="NYP94" s="168"/>
      <c r="NYQ94" s="167"/>
      <c r="NYR94" s="168"/>
      <c r="NYS94" s="167"/>
      <c r="NYT94" s="168"/>
      <c r="NYU94" s="167"/>
      <c r="NYV94" s="168"/>
      <c r="NYW94" s="167"/>
      <c r="NYX94" s="168"/>
      <c r="NYY94" s="167"/>
      <c r="NYZ94" s="168"/>
      <c r="NZA94" s="167"/>
      <c r="NZB94" s="168"/>
      <c r="NZC94" s="167"/>
      <c r="NZD94" s="168"/>
      <c r="NZE94" s="167"/>
      <c r="NZF94" s="168"/>
      <c r="NZG94" s="167"/>
      <c r="NZH94" s="168"/>
      <c r="NZI94" s="167"/>
      <c r="NZJ94" s="168"/>
      <c r="NZK94" s="167"/>
      <c r="NZL94" s="168"/>
      <c r="NZM94" s="167"/>
      <c r="NZN94" s="168"/>
      <c r="NZO94" s="167"/>
      <c r="NZP94" s="168"/>
      <c r="NZQ94" s="167"/>
      <c r="NZR94" s="168"/>
      <c r="NZS94" s="167"/>
      <c r="NZT94" s="168"/>
      <c r="NZU94" s="167"/>
      <c r="NZV94" s="168"/>
      <c r="NZW94" s="167"/>
      <c r="NZX94" s="168"/>
      <c r="NZY94" s="167"/>
      <c r="NZZ94" s="168"/>
      <c r="OAA94" s="167"/>
      <c r="OAB94" s="168"/>
      <c r="OAC94" s="167"/>
      <c r="OAD94" s="168"/>
      <c r="OAE94" s="167"/>
      <c r="OAF94" s="168"/>
      <c r="OAG94" s="167"/>
      <c r="OAH94" s="168"/>
      <c r="OAI94" s="167"/>
      <c r="OAJ94" s="168"/>
      <c r="OAK94" s="167"/>
      <c r="OAL94" s="168"/>
      <c r="OAM94" s="167"/>
      <c r="OAN94" s="168"/>
      <c r="OAO94" s="167"/>
      <c r="OAP94" s="168"/>
      <c r="OAQ94" s="167"/>
      <c r="OAR94" s="168"/>
      <c r="OAS94" s="167"/>
      <c r="OAT94" s="168"/>
      <c r="OAU94" s="167"/>
      <c r="OAV94" s="168"/>
      <c r="OAW94" s="167"/>
      <c r="OAX94" s="168"/>
      <c r="OAY94" s="167"/>
      <c r="OAZ94" s="168"/>
      <c r="OBA94" s="167"/>
      <c r="OBB94" s="168"/>
      <c r="OBC94" s="167"/>
      <c r="OBD94" s="168"/>
      <c r="OBE94" s="167"/>
      <c r="OBF94" s="168"/>
      <c r="OBG94" s="167"/>
      <c r="OBH94" s="168"/>
      <c r="OBI94" s="167"/>
      <c r="OBJ94" s="168"/>
      <c r="OBK94" s="167"/>
      <c r="OBL94" s="168"/>
      <c r="OBM94" s="167"/>
      <c r="OBN94" s="168"/>
      <c r="OBO94" s="167"/>
      <c r="OBP94" s="168"/>
      <c r="OBQ94" s="167"/>
      <c r="OBR94" s="168"/>
      <c r="OBS94" s="167"/>
      <c r="OBT94" s="168"/>
      <c r="OBU94" s="167"/>
      <c r="OBV94" s="168"/>
      <c r="OBW94" s="167"/>
      <c r="OBX94" s="168"/>
      <c r="OBY94" s="167"/>
      <c r="OBZ94" s="168"/>
      <c r="OCA94" s="167"/>
      <c r="OCB94" s="168"/>
      <c r="OCC94" s="167"/>
      <c r="OCD94" s="168"/>
      <c r="OCE94" s="167"/>
      <c r="OCF94" s="168"/>
      <c r="OCG94" s="167"/>
      <c r="OCH94" s="168"/>
      <c r="OCI94" s="167"/>
      <c r="OCJ94" s="168"/>
      <c r="OCK94" s="167"/>
      <c r="OCL94" s="168"/>
      <c r="OCM94" s="167"/>
      <c r="OCN94" s="168"/>
      <c r="OCO94" s="167"/>
      <c r="OCP94" s="168"/>
      <c r="OCQ94" s="167"/>
      <c r="OCR94" s="168"/>
      <c r="OCS94" s="167"/>
      <c r="OCT94" s="168"/>
      <c r="OCU94" s="167"/>
      <c r="OCV94" s="168"/>
      <c r="OCW94" s="167"/>
      <c r="OCX94" s="168"/>
      <c r="OCY94" s="167"/>
      <c r="OCZ94" s="168"/>
      <c r="ODA94" s="167"/>
      <c r="ODB94" s="168"/>
      <c r="ODC94" s="167"/>
      <c r="ODD94" s="168"/>
      <c r="ODE94" s="167"/>
      <c r="ODF94" s="168"/>
      <c r="ODG94" s="167"/>
      <c r="ODH94" s="168"/>
      <c r="ODI94" s="167"/>
      <c r="ODJ94" s="168"/>
      <c r="ODK94" s="167"/>
      <c r="ODL94" s="168"/>
      <c r="ODM94" s="167"/>
      <c r="ODN94" s="168"/>
      <c r="ODO94" s="167"/>
      <c r="ODP94" s="168"/>
      <c r="ODQ94" s="167"/>
      <c r="ODR94" s="168"/>
      <c r="ODS94" s="167"/>
      <c r="ODT94" s="168"/>
      <c r="ODU94" s="167"/>
      <c r="ODV94" s="168"/>
      <c r="ODW94" s="167"/>
      <c r="ODX94" s="168"/>
      <c r="ODY94" s="167"/>
      <c r="ODZ94" s="168"/>
      <c r="OEA94" s="167"/>
      <c r="OEB94" s="168"/>
      <c r="OEC94" s="167"/>
      <c r="OED94" s="168"/>
      <c r="OEE94" s="167"/>
      <c r="OEF94" s="168"/>
      <c r="OEG94" s="167"/>
      <c r="OEH94" s="168"/>
      <c r="OEI94" s="167"/>
      <c r="OEJ94" s="168"/>
      <c r="OEK94" s="167"/>
      <c r="OEL94" s="168"/>
      <c r="OEM94" s="167"/>
      <c r="OEN94" s="168"/>
      <c r="OEO94" s="167"/>
      <c r="OEP94" s="168"/>
      <c r="OEQ94" s="167"/>
      <c r="OER94" s="168"/>
      <c r="OES94" s="167"/>
      <c r="OET94" s="168"/>
      <c r="OEU94" s="167"/>
      <c r="OEV94" s="168"/>
      <c r="OEW94" s="167"/>
      <c r="OEX94" s="168"/>
      <c r="OEY94" s="167"/>
      <c r="OEZ94" s="168"/>
      <c r="OFA94" s="167"/>
      <c r="OFB94" s="168"/>
      <c r="OFC94" s="167"/>
      <c r="OFD94" s="168"/>
      <c r="OFE94" s="167"/>
      <c r="OFF94" s="168"/>
      <c r="OFG94" s="167"/>
      <c r="OFH94" s="168"/>
      <c r="OFI94" s="167"/>
      <c r="OFJ94" s="168"/>
      <c r="OFK94" s="167"/>
      <c r="OFL94" s="168"/>
      <c r="OFM94" s="167"/>
      <c r="OFN94" s="168"/>
      <c r="OFO94" s="167"/>
      <c r="OFP94" s="168"/>
      <c r="OFQ94" s="167"/>
      <c r="OFR94" s="168"/>
      <c r="OFS94" s="167"/>
      <c r="OFT94" s="168"/>
      <c r="OFU94" s="167"/>
      <c r="OFV94" s="168"/>
      <c r="OFW94" s="167"/>
      <c r="OFX94" s="168"/>
      <c r="OFY94" s="167"/>
      <c r="OFZ94" s="168"/>
      <c r="OGA94" s="167"/>
      <c r="OGB94" s="168"/>
      <c r="OGC94" s="167"/>
      <c r="OGD94" s="168"/>
      <c r="OGE94" s="167"/>
      <c r="OGF94" s="168"/>
      <c r="OGG94" s="167"/>
      <c r="OGH94" s="168"/>
      <c r="OGI94" s="167"/>
      <c r="OGJ94" s="168"/>
      <c r="OGK94" s="167"/>
      <c r="OGL94" s="168"/>
      <c r="OGM94" s="167"/>
      <c r="OGN94" s="168"/>
      <c r="OGO94" s="167"/>
      <c r="OGP94" s="168"/>
      <c r="OGQ94" s="167"/>
      <c r="OGR94" s="168"/>
      <c r="OGS94" s="167"/>
      <c r="OGT94" s="168"/>
      <c r="OGU94" s="167"/>
      <c r="OGV94" s="168"/>
      <c r="OGW94" s="167"/>
      <c r="OGX94" s="168"/>
      <c r="OGY94" s="167"/>
      <c r="OGZ94" s="168"/>
      <c r="OHA94" s="167"/>
      <c r="OHB94" s="168"/>
      <c r="OHC94" s="167"/>
      <c r="OHD94" s="168"/>
      <c r="OHE94" s="167"/>
      <c r="OHF94" s="168"/>
      <c r="OHG94" s="167"/>
      <c r="OHH94" s="168"/>
      <c r="OHI94" s="167"/>
      <c r="OHJ94" s="168"/>
      <c r="OHK94" s="167"/>
      <c r="OHL94" s="168"/>
      <c r="OHM94" s="167"/>
      <c r="OHN94" s="168"/>
      <c r="OHO94" s="167"/>
      <c r="OHP94" s="168"/>
      <c r="OHQ94" s="167"/>
      <c r="OHR94" s="168"/>
      <c r="OHS94" s="167"/>
      <c r="OHT94" s="168"/>
      <c r="OHU94" s="167"/>
      <c r="OHV94" s="168"/>
      <c r="OHW94" s="167"/>
      <c r="OHX94" s="168"/>
      <c r="OHY94" s="167"/>
      <c r="OHZ94" s="168"/>
      <c r="OIA94" s="167"/>
      <c r="OIB94" s="168"/>
      <c r="OIC94" s="167"/>
      <c r="OID94" s="168"/>
      <c r="OIE94" s="167"/>
      <c r="OIF94" s="168"/>
      <c r="OIG94" s="167"/>
      <c r="OIH94" s="168"/>
      <c r="OII94" s="167"/>
      <c r="OIJ94" s="168"/>
      <c r="OIK94" s="167"/>
      <c r="OIL94" s="168"/>
      <c r="OIM94" s="167"/>
      <c r="OIN94" s="168"/>
      <c r="OIO94" s="167"/>
      <c r="OIP94" s="168"/>
      <c r="OIQ94" s="167"/>
      <c r="OIR94" s="168"/>
      <c r="OIS94" s="167"/>
      <c r="OIT94" s="168"/>
      <c r="OIU94" s="167"/>
      <c r="OIV94" s="168"/>
      <c r="OIW94" s="167"/>
      <c r="OIX94" s="168"/>
      <c r="OIY94" s="167"/>
      <c r="OIZ94" s="168"/>
      <c r="OJA94" s="167"/>
      <c r="OJB94" s="168"/>
      <c r="OJC94" s="167"/>
      <c r="OJD94" s="168"/>
      <c r="OJE94" s="167"/>
      <c r="OJF94" s="168"/>
      <c r="OJG94" s="167"/>
      <c r="OJH94" s="168"/>
      <c r="OJI94" s="167"/>
      <c r="OJJ94" s="168"/>
      <c r="OJK94" s="167"/>
      <c r="OJL94" s="168"/>
      <c r="OJM94" s="167"/>
      <c r="OJN94" s="168"/>
      <c r="OJO94" s="167"/>
      <c r="OJP94" s="168"/>
      <c r="OJQ94" s="167"/>
      <c r="OJR94" s="168"/>
      <c r="OJS94" s="167"/>
      <c r="OJT94" s="168"/>
      <c r="OJU94" s="167"/>
      <c r="OJV94" s="168"/>
      <c r="OJW94" s="167"/>
      <c r="OJX94" s="168"/>
      <c r="OJY94" s="167"/>
      <c r="OJZ94" s="168"/>
      <c r="OKA94" s="167"/>
      <c r="OKB94" s="168"/>
      <c r="OKC94" s="167"/>
      <c r="OKD94" s="168"/>
      <c r="OKE94" s="167"/>
      <c r="OKF94" s="168"/>
      <c r="OKG94" s="167"/>
      <c r="OKH94" s="168"/>
      <c r="OKI94" s="167"/>
      <c r="OKJ94" s="168"/>
      <c r="OKK94" s="167"/>
      <c r="OKL94" s="168"/>
      <c r="OKM94" s="167"/>
      <c r="OKN94" s="168"/>
      <c r="OKO94" s="167"/>
      <c r="OKP94" s="168"/>
      <c r="OKQ94" s="167"/>
      <c r="OKR94" s="168"/>
      <c r="OKS94" s="167"/>
      <c r="OKT94" s="168"/>
      <c r="OKU94" s="167"/>
      <c r="OKV94" s="168"/>
      <c r="OKW94" s="167"/>
      <c r="OKX94" s="168"/>
      <c r="OKY94" s="167"/>
      <c r="OKZ94" s="168"/>
      <c r="OLA94" s="167"/>
      <c r="OLB94" s="168"/>
      <c r="OLC94" s="167"/>
      <c r="OLD94" s="168"/>
      <c r="OLE94" s="167"/>
      <c r="OLF94" s="168"/>
      <c r="OLG94" s="167"/>
      <c r="OLH94" s="168"/>
      <c r="OLI94" s="167"/>
      <c r="OLJ94" s="168"/>
      <c r="OLK94" s="167"/>
      <c r="OLL94" s="168"/>
      <c r="OLM94" s="167"/>
      <c r="OLN94" s="168"/>
      <c r="OLO94" s="167"/>
      <c r="OLP94" s="168"/>
      <c r="OLQ94" s="167"/>
      <c r="OLR94" s="168"/>
      <c r="OLS94" s="167"/>
      <c r="OLT94" s="168"/>
      <c r="OLU94" s="167"/>
      <c r="OLV94" s="168"/>
      <c r="OLW94" s="167"/>
      <c r="OLX94" s="168"/>
      <c r="OLY94" s="167"/>
      <c r="OLZ94" s="168"/>
      <c r="OMA94" s="167"/>
      <c r="OMB94" s="168"/>
      <c r="OMC94" s="167"/>
      <c r="OMD94" s="168"/>
      <c r="OME94" s="167"/>
      <c r="OMF94" s="168"/>
      <c r="OMG94" s="167"/>
      <c r="OMH94" s="168"/>
      <c r="OMI94" s="167"/>
      <c r="OMJ94" s="168"/>
      <c r="OMK94" s="167"/>
      <c r="OML94" s="168"/>
      <c r="OMM94" s="167"/>
      <c r="OMN94" s="168"/>
      <c r="OMO94" s="167"/>
      <c r="OMP94" s="168"/>
      <c r="OMQ94" s="167"/>
      <c r="OMR94" s="168"/>
      <c r="OMS94" s="167"/>
      <c r="OMT94" s="168"/>
      <c r="OMU94" s="167"/>
      <c r="OMV94" s="168"/>
      <c r="OMW94" s="167"/>
      <c r="OMX94" s="168"/>
      <c r="OMY94" s="167"/>
      <c r="OMZ94" s="168"/>
      <c r="ONA94" s="167"/>
      <c r="ONB94" s="168"/>
      <c r="ONC94" s="167"/>
      <c r="OND94" s="168"/>
      <c r="ONE94" s="167"/>
      <c r="ONF94" s="168"/>
      <c r="ONG94" s="167"/>
      <c r="ONH94" s="168"/>
      <c r="ONI94" s="167"/>
      <c r="ONJ94" s="168"/>
      <c r="ONK94" s="167"/>
      <c r="ONL94" s="168"/>
      <c r="ONM94" s="167"/>
      <c r="ONN94" s="168"/>
      <c r="ONO94" s="167"/>
      <c r="ONP94" s="168"/>
      <c r="ONQ94" s="167"/>
      <c r="ONR94" s="168"/>
      <c r="ONS94" s="167"/>
      <c r="ONT94" s="168"/>
      <c r="ONU94" s="167"/>
      <c r="ONV94" s="168"/>
      <c r="ONW94" s="167"/>
      <c r="ONX94" s="168"/>
      <c r="ONY94" s="167"/>
      <c r="ONZ94" s="168"/>
      <c r="OOA94" s="167"/>
      <c r="OOB94" s="168"/>
      <c r="OOC94" s="167"/>
      <c r="OOD94" s="168"/>
      <c r="OOE94" s="167"/>
      <c r="OOF94" s="168"/>
      <c r="OOG94" s="167"/>
      <c r="OOH94" s="168"/>
      <c r="OOI94" s="167"/>
      <c r="OOJ94" s="168"/>
      <c r="OOK94" s="167"/>
      <c r="OOL94" s="168"/>
      <c r="OOM94" s="167"/>
      <c r="OON94" s="168"/>
      <c r="OOO94" s="167"/>
      <c r="OOP94" s="168"/>
      <c r="OOQ94" s="167"/>
      <c r="OOR94" s="168"/>
      <c r="OOS94" s="167"/>
      <c r="OOT94" s="168"/>
      <c r="OOU94" s="167"/>
      <c r="OOV94" s="168"/>
      <c r="OOW94" s="167"/>
      <c r="OOX94" s="168"/>
      <c r="OOY94" s="167"/>
      <c r="OOZ94" s="168"/>
      <c r="OPA94" s="167"/>
      <c r="OPB94" s="168"/>
      <c r="OPC94" s="167"/>
      <c r="OPD94" s="168"/>
      <c r="OPE94" s="167"/>
      <c r="OPF94" s="168"/>
      <c r="OPG94" s="167"/>
      <c r="OPH94" s="168"/>
      <c r="OPI94" s="167"/>
      <c r="OPJ94" s="168"/>
      <c r="OPK94" s="167"/>
      <c r="OPL94" s="168"/>
      <c r="OPM94" s="167"/>
      <c r="OPN94" s="168"/>
      <c r="OPO94" s="167"/>
      <c r="OPP94" s="168"/>
      <c r="OPQ94" s="167"/>
      <c r="OPR94" s="168"/>
      <c r="OPS94" s="167"/>
      <c r="OPT94" s="168"/>
      <c r="OPU94" s="167"/>
      <c r="OPV94" s="168"/>
      <c r="OPW94" s="167"/>
      <c r="OPX94" s="168"/>
      <c r="OPY94" s="167"/>
      <c r="OPZ94" s="168"/>
      <c r="OQA94" s="167"/>
      <c r="OQB94" s="168"/>
      <c r="OQC94" s="167"/>
      <c r="OQD94" s="168"/>
      <c r="OQE94" s="167"/>
      <c r="OQF94" s="168"/>
      <c r="OQG94" s="167"/>
      <c r="OQH94" s="168"/>
      <c r="OQI94" s="167"/>
      <c r="OQJ94" s="168"/>
      <c r="OQK94" s="167"/>
      <c r="OQL94" s="168"/>
      <c r="OQM94" s="167"/>
      <c r="OQN94" s="168"/>
      <c r="OQO94" s="167"/>
      <c r="OQP94" s="168"/>
      <c r="OQQ94" s="167"/>
      <c r="OQR94" s="168"/>
      <c r="OQS94" s="167"/>
      <c r="OQT94" s="168"/>
      <c r="OQU94" s="167"/>
      <c r="OQV94" s="168"/>
      <c r="OQW94" s="167"/>
      <c r="OQX94" s="168"/>
      <c r="OQY94" s="167"/>
      <c r="OQZ94" s="168"/>
      <c r="ORA94" s="167"/>
      <c r="ORB94" s="168"/>
      <c r="ORC94" s="167"/>
      <c r="ORD94" s="168"/>
      <c r="ORE94" s="167"/>
      <c r="ORF94" s="168"/>
      <c r="ORG94" s="167"/>
      <c r="ORH94" s="168"/>
      <c r="ORI94" s="167"/>
      <c r="ORJ94" s="168"/>
      <c r="ORK94" s="167"/>
      <c r="ORL94" s="168"/>
      <c r="ORM94" s="167"/>
      <c r="ORN94" s="168"/>
      <c r="ORO94" s="167"/>
      <c r="ORP94" s="168"/>
      <c r="ORQ94" s="167"/>
      <c r="ORR94" s="168"/>
      <c r="ORS94" s="167"/>
      <c r="ORT94" s="168"/>
      <c r="ORU94" s="167"/>
      <c r="ORV94" s="168"/>
      <c r="ORW94" s="167"/>
      <c r="ORX94" s="168"/>
      <c r="ORY94" s="167"/>
      <c r="ORZ94" s="168"/>
      <c r="OSA94" s="167"/>
      <c r="OSB94" s="168"/>
      <c r="OSC94" s="167"/>
      <c r="OSD94" s="168"/>
      <c r="OSE94" s="167"/>
      <c r="OSF94" s="168"/>
      <c r="OSG94" s="167"/>
      <c r="OSH94" s="168"/>
      <c r="OSI94" s="167"/>
      <c r="OSJ94" s="168"/>
      <c r="OSK94" s="167"/>
      <c r="OSL94" s="168"/>
      <c r="OSM94" s="167"/>
      <c r="OSN94" s="168"/>
      <c r="OSO94" s="167"/>
      <c r="OSP94" s="168"/>
      <c r="OSQ94" s="167"/>
      <c r="OSR94" s="168"/>
      <c r="OSS94" s="167"/>
      <c r="OST94" s="168"/>
      <c r="OSU94" s="167"/>
      <c r="OSV94" s="168"/>
      <c r="OSW94" s="167"/>
      <c r="OSX94" s="168"/>
      <c r="OSY94" s="167"/>
      <c r="OSZ94" s="168"/>
      <c r="OTA94" s="167"/>
      <c r="OTB94" s="168"/>
      <c r="OTC94" s="167"/>
      <c r="OTD94" s="168"/>
      <c r="OTE94" s="167"/>
      <c r="OTF94" s="168"/>
      <c r="OTG94" s="167"/>
      <c r="OTH94" s="168"/>
      <c r="OTI94" s="167"/>
      <c r="OTJ94" s="168"/>
      <c r="OTK94" s="167"/>
      <c r="OTL94" s="168"/>
      <c r="OTM94" s="167"/>
      <c r="OTN94" s="168"/>
      <c r="OTO94" s="167"/>
      <c r="OTP94" s="168"/>
      <c r="OTQ94" s="167"/>
      <c r="OTR94" s="168"/>
      <c r="OTS94" s="167"/>
      <c r="OTT94" s="168"/>
      <c r="OTU94" s="167"/>
      <c r="OTV94" s="168"/>
      <c r="OTW94" s="167"/>
      <c r="OTX94" s="168"/>
      <c r="OTY94" s="167"/>
      <c r="OTZ94" s="168"/>
      <c r="OUA94" s="167"/>
      <c r="OUB94" s="168"/>
      <c r="OUC94" s="167"/>
      <c r="OUD94" s="168"/>
      <c r="OUE94" s="167"/>
      <c r="OUF94" s="168"/>
      <c r="OUG94" s="167"/>
      <c r="OUH94" s="168"/>
      <c r="OUI94" s="167"/>
      <c r="OUJ94" s="168"/>
      <c r="OUK94" s="167"/>
      <c r="OUL94" s="168"/>
      <c r="OUM94" s="167"/>
      <c r="OUN94" s="168"/>
      <c r="OUO94" s="167"/>
      <c r="OUP94" s="168"/>
      <c r="OUQ94" s="167"/>
      <c r="OUR94" s="168"/>
      <c r="OUS94" s="167"/>
      <c r="OUT94" s="168"/>
      <c r="OUU94" s="167"/>
      <c r="OUV94" s="168"/>
      <c r="OUW94" s="167"/>
      <c r="OUX94" s="168"/>
      <c r="OUY94" s="167"/>
      <c r="OUZ94" s="168"/>
      <c r="OVA94" s="167"/>
      <c r="OVB94" s="168"/>
      <c r="OVC94" s="167"/>
      <c r="OVD94" s="168"/>
      <c r="OVE94" s="167"/>
      <c r="OVF94" s="168"/>
      <c r="OVG94" s="167"/>
      <c r="OVH94" s="168"/>
      <c r="OVI94" s="167"/>
      <c r="OVJ94" s="168"/>
      <c r="OVK94" s="167"/>
      <c r="OVL94" s="168"/>
      <c r="OVM94" s="167"/>
      <c r="OVN94" s="168"/>
      <c r="OVO94" s="167"/>
      <c r="OVP94" s="168"/>
      <c r="OVQ94" s="167"/>
      <c r="OVR94" s="168"/>
      <c r="OVS94" s="167"/>
      <c r="OVT94" s="168"/>
      <c r="OVU94" s="167"/>
      <c r="OVV94" s="168"/>
      <c r="OVW94" s="167"/>
      <c r="OVX94" s="168"/>
      <c r="OVY94" s="167"/>
      <c r="OVZ94" s="168"/>
      <c r="OWA94" s="167"/>
      <c r="OWB94" s="168"/>
      <c r="OWC94" s="167"/>
      <c r="OWD94" s="168"/>
      <c r="OWE94" s="167"/>
      <c r="OWF94" s="168"/>
      <c r="OWG94" s="167"/>
      <c r="OWH94" s="168"/>
      <c r="OWI94" s="167"/>
      <c r="OWJ94" s="168"/>
      <c r="OWK94" s="167"/>
      <c r="OWL94" s="168"/>
      <c r="OWM94" s="167"/>
      <c r="OWN94" s="168"/>
      <c r="OWO94" s="167"/>
      <c r="OWP94" s="168"/>
      <c r="OWQ94" s="167"/>
      <c r="OWR94" s="168"/>
      <c r="OWS94" s="167"/>
      <c r="OWT94" s="168"/>
      <c r="OWU94" s="167"/>
      <c r="OWV94" s="168"/>
      <c r="OWW94" s="167"/>
      <c r="OWX94" s="168"/>
      <c r="OWY94" s="167"/>
      <c r="OWZ94" s="168"/>
      <c r="OXA94" s="167"/>
      <c r="OXB94" s="168"/>
      <c r="OXC94" s="167"/>
      <c r="OXD94" s="168"/>
      <c r="OXE94" s="167"/>
      <c r="OXF94" s="168"/>
      <c r="OXG94" s="167"/>
      <c r="OXH94" s="168"/>
      <c r="OXI94" s="167"/>
      <c r="OXJ94" s="168"/>
      <c r="OXK94" s="167"/>
      <c r="OXL94" s="168"/>
      <c r="OXM94" s="167"/>
      <c r="OXN94" s="168"/>
      <c r="OXO94" s="167"/>
      <c r="OXP94" s="168"/>
      <c r="OXQ94" s="167"/>
      <c r="OXR94" s="168"/>
      <c r="OXS94" s="167"/>
      <c r="OXT94" s="168"/>
      <c r="OXU94" s="167"/>
      <c r="OXV94" s="168"/>
      <c r="OXW94" s="167"/>
      <c r="OXX94" s="168"/>
      <c r="OXY94" s="167"/>
      <c r="OXZ94" s="168"/>
      <c r="OYA94" s="167"/>
      <c r="OYB94" s="168"/>
      <c r="OYC94" s="167"/>
      <c r="OYD94" s="168"/>
      <c r="OYE94" s="167"/>
      <c r="OYF94" s="168"/>
      <c r="OYG94" s="167"/>
      <c r="OYH94" s="168"/>
      <c r="OYI94" s="167"/>
      <c r="OYJ94" s="168"/>
      <c r="OYK94" s="167"/>
      <c r="OYL94" s="168"/>
      <c r="OYM94" s="167"/>
      <c r="OYN94" s="168"/>
      <c r="OYO94" s="167"/>
      <c r="OYP94" s="168"/>
      <c r="OYQ94" s="167"/>
      <c r="OYR94" s="168"/>
      <c r="OYS94" s="167"/>
      <c r="OYT94" s="168"/>
      <c r="OYU94" s="167"/>
      <c r="OYV94" s="168"/>
      <c r="OYW94" s="167"/>
      <c r="OYX94" s="168"/>
      <c r="OYY94" s="167"/>
      <c r="OYZ94" s="168"/>
      <c r="OZA94" s="167"/>
      <c r="OZB94" s="168"/>
      <c r="OZC94" s="167"/>
      <c r="OZD94" s="168"/>
      <c r="OZE94" s="167"/>
      <c r="OZF94" s="168"/>
      <c r="OZG94" s="167"/>
      <c r="OZH94" s="168"/>
      <c r="OZI94" s="167"/>
      <c r="OZJ94" s="168"/>
      <c r="OZK94" s="167"/>
      <c r="OZL94" s="168"/>
      <c r="OZM94" s="167"/>
      <c r="OZN94" s="168"/>
      <c r="OZO94" s="167"/>
      <c r="OZP94" s="168"/>
      <c r="OZQ94" s="167"/>
      <c r="OZR94" s="168"/>
      <c r="OZS94" s="167"/>
      <c r="OZT94" s="168"/>
      <c r="OZU94" s="167"/>
      <c r="OZV94" s="168"/>
      <c r="OZW94" s="167"/>
      <c r="OZX94" s="168"/>
      <c r="OZY94" s="167"/>
      <c r="OZZ94" s="168"/>
      <c r="PAA94" s="167"/>
      <c r="PAB94" s="168"/>
      <c r="PAC94" s="167"/>
      <c r="PAD94" s="168"/>
      <c r="PAE94" s="167"/>
      <c r="PAF94" s="168"/>
      <c r="PAG94" s="167"/>
      <c r="PAH94" s="168"/>
      <c r="PAI94" s="167"/>
      <c r="PAJ94" s="168"/>
      <c r="PAK94" s="167"/>
      <c r="PAL94" s="168"/>
      <c r="PAM94" s="167"/>
      <c r="PAN94" s="168"/>
      <c r="PAO94" s="167"/>
      <c r="PAP94" s="168"/>
      <c r="PAQ94" s="167"/>
      <c r="PAR94" s="168"/>
      <c r="PAS94" s="167"/>
      <c r="PAT94" s="168"/>
      <c r="PAU94" s="167"/>
      <c r="PAV94" s="168"/>
      <c r="PAW94" s="167"/>
      <c r="PAX94" s="168"/>
      <c r="PAY94" s="167"/>
      <c r="PAZ94" s="168"/>
      <c r="PBA94" s="167"/>
      <c r="PBB94" s="168"/>
      <c r="PBC94" s="167"/>
      <c r="PBD94" s="168"/>
      <c r="PBE94" s="167"/>
      <c r="PBF94" s="168"/>
      <c r="PBG94" s="167"/>
      <c r="PBH94" s="168"/>
      <c r="PBI94" s="167"/>
      <c r="PBJ94" s="168"/>
      <c r="PBK94" s="167"/>
      <c r="PBL94" s="168"/>
      <c r="PBM94" s="167"/>
      <c r="PBN94" s="168"/>
      <c r="PBO94" s="167"/>
      <c r="PBP94" s="168"/>
      <c r="PBQ94" s="167"/>
      <c r="PBR94" s="168"/>
      <c r="PBS94" s="167"/>
      <c r="PBT94" s="168"/>
      <c r="PBU94" s="167"/>
      <c r="PBV94" s="168"/>
      <c r="PBW94" s="167"/>
      <c r="PBX94" s="168"/>
      <c r="PBY94" s="167"/>
      <c r="PBZ94" s="168"/>
      <c r="PCA94" s="167"/>
      <c r="PCB94" s="168"/>
      <c r="PCC94" s="167"/>
      <c r="PCD94" s="168"/>
      <c r="PCE94" s="167"/>
      <c r="PCF94" s="168"/>
      <c r="PCG94" s="167"/>
      <c r="PCH94" s="168"/>
      <c r="PCI94" s="167"/>
      <c r="PCJ94" s="168"/>
      <c r="PCK94" s="167"/>
      <c r="PCL94" s="168"/>
      <c r="PCM94" s="167"/>
      <c r="PCN94" s="168"/>
      <c r="PCO94" s="167"/>
      <c r="PCP94" s="168"/>
      <c r="PCQ94" s="167"/>
      <c r="PCR94" s="168"/>
      <c r="PCS94" s="167"/>
      <c r="PCT94" s="168"/>
      <c r="PCU94" s="167"/>
      <c r="PCV94" s="168"/>
      <c r="PCW94" s="167"/>
      <c r="PCX94" s="168"/>
      <c r="PCY94" s="167"/>
      <c r="PCZ94" s="168"/>
      <c r="PDA94" s="167"/>
      <c r="PDB94" s="168"/>
      <c r="PDC94" s="167"/>
      <c r="PDD94" s="168"/>
      <c r="PDE94" s="167"/>
      <c r="PDF94" s="168"/>
      <c r="PDG94" s="167"/>
      <c r="PDH94" s="168"/>
      <c r="PDI94" s="167"/>
      <c r="PDJ94" s="168"/>
      <c r="PDK94" s="167"/>
      <c r="PDL94" s="168"/>
      <c r="PDM94" s="167"/>
      <c r="PDN94" s="168"/>
      <c r="PDO94" s="167"/>
      <c r="PDP94" s="168"/>
      <c r="PDQ94" s="167"/>
      <c r="PDR94" s="168"/>
      <c r="PDS94" s="167"/>
      <c r="PDT94" s="168"/>
      <c r="PDU94" s="167"/>
      <c r="PDV94" s="168"/>
      <c r="PDW94" s="167"/>
      <c r="PDX94" s="168"/>
      <c r="PDY94" s="167"/>
      <c r="PDZ94" s="168"/>
      <c r="PEA94" s="167"/>
      <c r="PEB94" s="168"/>
      <c r="PEC94" s="167"/>
      <c r="PED94" s="168"/>
      <c r="PEE94" s="167"/>
      <c r="PEF94" s="168"/>
      <c r="PEG94" s="167"/>
      <c r="PEH94" s="168"/>
      <c r="PEI94" s="167"/>
      <c r="PEJ94" s="168"/>
      <c r="PEK94" s="167"/>
      <c r="PEL94" s="168"/>
      <c r="PEM94" s="167"/>
      <c r="PEN94" s="168"/>
      <c r="PEO94" s="167"/>
      <c r="PEP94" s="168"/>
      <c r="PEQ94" s="167"/>
      <c r="PER94" s="168"/>
      <c r="PES94" s="167"/>
      <c r="PET94" s="168"/>
      <c r="PEU94" s="167"/>
      <c r="PEV94" s="168"/>
      <c r="PEW94" s="167"/>
      <c r="PEX94" s="168"/>
      <c r="PEY94" s="167"/>
      <c r="PEZ94" s="168"/>
      <c r="PFA94" s="167"/>
      <c r="PFB94" s="168"/>
      <c r="PFC94" s="167"/>
      <c r="PFD94" s="168"/>
      <c r="PFE94" s="167"/>
      <c r="PFF94" s="168"/>
      <c r="PFG94" s="167"/>
      <c r="PFH94" s="168"/>
      <c r="PFI94" s="167"/>
      <c r="PFJ94" s="168"/>
      <c r="PFK94" s="167"/>
      <c r="PFL94" s="168"/>
      <c r="PFM94" s="167"/>
      <c r="PFN94" s="168"/>
      <c r="PFO94" s="167"/>
      <c r="PFP94" s="168"/>
      <c r="PFQ94" s="167"/>
      <c r="PFR94" s="168"/>
      <c r="PFS94" s="167"/>
      <c r="PFT94" s="168"/>
      <c r="PFU94" s="167"/>
      <c r="PFV94" s="168"/>
      <c r="PFW94" s="167"/>
      <c r="PFX94" s="168"/>
      <c r="PFY94" s="167"/>
      <c r="PFZ94" s="168"/>
      <c r="PGA94" s="167"/>
      <c r="PGB94" s="168"/>
      <c r="PGC94" s="167"/>
      <c r="PGD94" s="168"/>
      <c r="PGE94" s="167"/>
      <c r="PGF94" s="168"/>
      <c r="PGG94" s="167"/>
      <c r="PGH94" s="168"/>
      <c r="PGI94" s="167"/>
      <c r="PGJ94" s="168"/>
      <c r="PGK94" s="167"/>
      <c r="PGL94" s="168"/>
      <c r="PGM94" s="167"/>
      <c r="PGN94" s="168"/>
      <c r="PGO94" s="167"/>
      <c r="PGP94" s="168"/>
      <c r="PGQ94" s="167"/>
      <c r="PGR94" s="168"/>
      <c r="PGS94" s="167"/>
      <c r="PGT94" s="168"/>
      <c r="PGU94" s="167"/>
      <c r="PGV94" s="168"/>
      <c r="PGW94" s="167"/>
      <c r="PGX94" s="168"/>
      <c r="PGY94" s="167"/>
      <c r="PGZ94" s="168"/>
      <c r="PHA94" s="167"/>
      <c r="PHB94" s="168"/>
      <c r="PHC94" s="167"/>
      <c r="PHD94" s="168"/>
      <c r="PHE94" s="167"/>
      <c r="PHF94" s="168"/>
      <c r="PHG94" s="167"/>
      <c r="PHH94" s="168"/>
      <c r="PHI94" s="167"/>
      <c r="PHJ94" s="168"/>
      <c r="PHK94" s="167"/>
      <c r="PHL94" s="168"/>
      <c r="PHM94" s="167"/>
      <c r="PHN94" s="168"/>
      <c r="PHO94" s="167"/>
      <c r="PHP94" s="168"/>
      <c r="PHQ94" s="167"/>
      <c r="PHR94" s="168"/>
      <c r="PHS94" s="167"/>
      <c r="PHT94" s="168"/>
      <c r="PHU94" s="167"/>
      <c r="PHV94" s="168"/>
      <c r="PHW94" s="167"/>
      <c r="PHX94" s="168"/>
      <c r="PHY94" s="167"/>
      <c r="PHZ94" s="168"/>
      <c r="PIA94" s="167"/>
      <c r="PIB94" s="168"/>
      <c r="PIC94" s="167"/>
      <c r="PID94" s="168"/>
      <c r="PIE94" s="167"/>
      <c r="PIF94" s="168"/>
      <c r="PIG94" s="167"/>
      <c r="PIH94" s="168"/>
      <c r="PII94" s="167"/>
      <c r="PIJ94" s="168"/>
      <c r="PIK94" s="167"/>
      <c r="PIL94" s="168"/>
      <c r="PIM94" s="167"/>
      <c r="PIN94" s="168"/>
      <c r="PIO94" s="167"/>
      <c r="PIP94" s="168"/>
      <c r="PIQ94" s="167"/>
      <c r="PIR94" s="168"/>
      <c r="PIS94" s="167"/>
      <c r="PIT94" s="168"/>
      <c r="PIU94" s="167"/>
      <c r="PIV94" s="168"/>
      <c r="PIW94" s="167"/>
      <c r="PIX94" s="168"/>
      <c r="PIY94" s="167"/>
      <c r="PIZ94" s="168"/>
      <c r="PJA94" s="167"/>
      <c r="PJB94" s="168"/>
      <c r="PJC94" s="167"/>
      <c r="PJD94" s="168"/>
      <c r="PJE94" s="167"/>
      <c r="PJF94" s="168"/>
      <c r="PJG94" s="167"/>
      <c r="PJH94" s="168"/>
      <c r="PJI94" s="167"/>
      <c r="PJJ94" s="168"/>
      <c r="PJK94" s="167"/>
      <c r="PJL94" s="168"/>
      <c r="PJM94" s="167"/>
      <c r="PJN94" s="168"/>
      <c r="PJO94" s="167"/>
      <c r="PJP94" s="168"/>
      <c r="PJQ94" s="167"/>
      <c r="PJR94" s="168"/>
      <c r="PJS94" s="167"/>
      <c r="PJT94" s="168"/>
      <c r="PJU94" s="167"/>
      <c r="PJV94" s="168"/>
      <c r="PJW94" s="167"/>
      <c r="PJX94" s="168"/>
      <c r="PJY94" s="167"/>
      <c r="PJZ94" s="168"/>
      <c r="PKA94" s="167"/>
      <c r="PKB94" s="168"/>
      <c r="PKC94" s="167"/>
      <c r="PKD94" s="168"/>
      <c r="PKE94" s="167"/>
      <c r="PKF94" s="168"/>
      <c r="PKG94" s="167"/>
      <c r="PKH94" s="168"/>
      <c r="PKI94" s="167"/>
      <c r="PKJ94" s="168"/>
      <c r="PKK94" s="167"/>
      <c r="PKL94" s="168"/>
      <c r="PKM94" s="167"/>
      <c r="PKN94" s="168"/>
      <c r="PKO94" s="167"/>
      <c r="PKP94" s="168"/>
      <c r="PKQ94" s="167"/>
      <c r="PKR94" s="168"/>
      <c r="PKS94" s="167"/>
      <c r="PKT94" s="168"/>
      <c r="PKU94" s="167"/>
      <c r="PKV94" s="168"/>
      <c r="PKW94" s="167"/>
      <c r="PKX94" s="168"/>
      <c r="PKY94" s="167"/>
      <c r="PKZ94" s="168"/>
      <c r="PLA94" s="167"/>
      <c r="PLB94" s="168"/>
      <c r="PLC94" s="167"/>
      <c r="PLD94" s="168"/>
      <c r="PLE94" s="167"/>
      <c r="PLF94" s="168"/>
      <c r="PLG94" s="167"/>
      <c r="PLH94" s="168"/>
      <c r="PLI94" s="167"/>
      <c r="PLJ94" s="168"/>
      <c r="PLK94" s="167"/>
      <c r="PLL94" s="168"/>
      <c r="PLM94" s="167"/>
      <c r="PLN94" s="168"/>
      <c r="PLO94" s="167"/>
      <c r="PLP94" s="168"/>
      <c r="PLQ94" s="167"/>
      <c r="PLR94" s="168"/>
      <c r="PLS94" s="167"/>
      <c r="PLT94" s="168"/>
      <c r="PLU94" s="167"/>
      <c r="PLV94" s="168"/>
      <c r="PLW94" s="167"/>
      <c r="PLX94" s="168"/>
      <c r="PLY94" s="167"/>
      <c r="PLZ94" s="168"/>
      <c r="PMA94" s="167"/>
      <c r="PMB94" s="168"/>
      <c r="PMC94" s="167"/>
      <c r="PMD94" s="168"/>
      <c r="PME94" s="167"/>
      <c r="PMF94" s="168"/>
      <c r="PMG94" s="167"/>
      <c r="PMH94" s="168"/>
      <c r="PMI94" s="167"/>
      <c r="PMJ94" s="168"/>
      <c r="PMK94" s="167"/>
      <c r="PML94" s="168"/>
      <c r="PMM94" s="167"/>
      <c r="PMN94" s="168"/>
      <c r="PMO94" s="167"/>
      <c r="PMP94" s="168"/>
      <c r="PMQ94" s="167"/>
      <c r="PMR94" s="168"/>
      <c r="PMS94" s="167"/>
      <c r="PMT94" s="168"/>
      <c r="PMU94" s="167"/>
      <c r="PMV94" s="168"/>
      <c r="PMW94" s="167"/>
      <c r="PMX94" s="168"/>
      <c r="PMY94" s="167"/>
      <c r="PMZ94" s="168"/>
      <c r="PNA94" s="167"/>
      <c r="PNB94" s="168"/>
      <c r="PNC94" s="167"/>
      <c r="PND94" s="168"/>
      <c r="PNE94" s="167"/>
      <c r="PNF94" s="168"/>
      <c r="PNG94" s="167"/>
      <c r="PNH94" s="168"/>
      <c r="PNI94" s="167"/>
      <c r="PNJ94" s="168"/>
      <c r="PNK94" s="167"/>
      <c r="PNL94" s="168"/>
      <c r="PNM94" s="167"/>
      <c r="PNN94" s="168"/>
      <c r="PNO94" s="167"/>
      <c r="PNP94" s="168"/>
      <c r="PNQ94" s="167"/>
      <c r="PNR94" s="168"/>
      <c r="PNS94" s="167"/>
      <c r="PNT94" s="168"/>
      <c r="PNU94" s="167"/>
      <c r="PNV94" s="168"/>
      <c r="PNW94" s="167"/>
      <c r="PNX94" s="168"/>
      <c r="PNY94" s="167"/>
      <c r="PNZ94" s="168"/>
      <c r="POA94" s="167"/>
      <c r="POB94" s="168"/>
      <c r="POC94" s="167"/>
      <c r="POD94" s="168"/>
      <c r="POE94" s="167"/>
      <c r="POF94" s="168"/>
      <c r="POG94" s="167"/>
      <c r="POH94" s="168"/>
      <c r="POI94" s="167"/>
      <c r="POJ94" s="168"/>
      <c r="POK94" s="167"/>
      <c r="POL94" s="168"/>
      <c r="POM94" s="167"/>
      <c r="PON94" s="168"/>
      <c r="POO94" s="167"/>
      <c r="POP94" s="168"/>
      <c r="POQ94" s="167"/>
      <c r="POR94" s="168"/>
      <c r="POS94" s="167"/>
      <c r="POT94" s="168"/>
      <c r="POU94" s="167"/>
      <c r="POV94" s="168"/>
      <c r="POW94" s="167"/>
      <c r="POX94" s="168"/>
      <c r="POY94" s="167"/>
      <c r="POZ94" s="168"/>
      <c r="PPA94" s="167"/>
      <c r="PPB94" s="168"/>
      <c r="PPC94" s="167"/>
      <c r="PPD94" s="168"/>
      <c r="PPE94" s="167"/>
      <c r="PPF94" s="168"/>
      <c r="PPG94" s="167"/>
      <c r="PPH94" s="168"/>
      <c r="PPI94" s="167"/>
      <c r="PPJ94" s="168"/>
      <c r="PPK94" s="167"/>
      <c r="PPL94" s="168"/>
      <c r="PPM94" s="167"/>
      <c r="PPN94" s="168"/>
      <c r="PPO94" s="167"/>
      <c r="PPP94" s="168"/>
      <c r="PPQ94" s="167"/>
      <c r="PPR94" s="168"/>
      <c r="PPS94" s="167"/>
      <c r="PPT94" s="168"/>
      <c r="PPU94" s="167"/>
      <c r="PPV94" s="168"/>
      <c r="PPW94" s="167"/>
      <c r="PPX94" s="168"/>
      <c r="PPY94" s="167"/>
      <c r="PPZ94" s="168"/>
      <c r="PQA94" s="167"/>
      <c r="PQB94" s="168"/>
      <c r="PQC94" s="167"/>
      <c r="PQD94" s="168"/>
      <c r="PQE94" s="167"/>
      <c r="PQF94" s="168"/>
      <c r="PQG94" s="167"/>
      <c r="PQH94" s="168"/>
      <c r="PQI94" s="167"/>
      <c r="PQJ94" s="168"/>
      <c r="PQK94" s="167"/>
      <c r="PQL94" s="168"/>
      <c r="PQM94" s="167"/>
      <c r="PQN94" s="168"/>
      <c r="PQO94" s="167"/>
      <c r="PQP94" s="168"/>
      <c r="PQQ94" s="167"/>
      <c r="PQR94" s="168"/>
      <c r="PQS94" s="167"/>
      <c r="PQT94" s="168"/>
      <c r="PQU94" s="167"/>
      <c r="PQV94" s="168"/>
      <c r="PQW94" s="167"/>
      <c r="PQX94" s="168"/>
      <c r="PQY94" s="167"/>
      <c r="PQZ94" s="168"/>
      <c r="PRA94" s="167"/>
      <c r="PRB94" s="168"/>
      <c r="PRC94" s="167"/>
      <c r="PRD94" s="168"/>
      <c r="PRE94" s="167"/>
      <c r="PRF94" s="168"/>
      <c r="PRG94" s="167"/>
      <c r="PRH94" s="168"/>
      <c r="PRI94" s="167"/>
      <c r="PRJ94" s="168"/>
      <c r="PRK94" s="167"/>
      <c r="PRL94" s="168"/>
      <c r="PRM94" s="167"/>
      <c r="PRN94" s="168"/>
      <c r="PRO94" s="167"/>
      <c r="PRP94" s="168"/>
      <c r="PRQ94" s="167"/>
      <c r="PRR94" s="168"/>
      <c r="PRS94" s="167"/>
      <c r="PRT94" s="168"/>
      <c r="PRU94" s="167"/>
      <c r="PRV94" s="168"/>
      <c r="PRW94" s="167"/>
      <c r="PRX94" s="168"/>
      <c r="PRY94" s="167"/>
      <c r="PRZ94" s="168"/>
      <c r="PSA94" s="167"/>
      <c r="PSB94" s="168"/>
      <c r="PSC94" s="167"/>
      <c r="PSD94" s="168"/>
      <c r="PSE94" s="167"/>
      <c r="PSF94" s="168"/>
      <c r="PSG94" s="167"/>
      <c r="PSH94" s="168"/>
      <c r="PSI94" s="167"/>
      <c r="PSJ94" s="168"/>
      <c r="PSK94" s="167"/>
      <c r="PSL94" s="168"/>
      <c r="PSM94" s="167"/>
      <c r="PSN94" s="168"/>
      <c r="PSO94" s="167"/>
      <c r="PSP94" s="168"/>
      <c r="PSQ94" s="167"/>
      <c r="PSR94" s="168"/>
      <c r="PSS94" s="167"/>
      <c r="PST94" s="168"/>
      <c r="PSU94" s="167"/>
      <c r="PSV94" s="168"/>
      <c r="PSW94" s="167"/>
      <c r="PSX94" s="168"/>
      <c r="PSY94" s="167"/>
      <c r="PSZ94" s="168"/>
      <c r="PTA94" s="167"/>
      <c r="PTB94" s="168"/>
      <c r="PTC94" s="167"/>
      <c r="PTD94" s="168"/>
      <c r="PTE94" s="167"/>
      <c r="PTF94" s="168"/>
      <c r="PTG94" s="167"/>
      <c r="PTH94" s="168"/>
      <c r="PTI94" s="167"/>
      <c r="PTJ94" s="168"/>
      <c r="PTK94" s="167"/>
      <c r="PTL94" s="168"/>
      <c r="PTM94" s="167"/>
      <c r="PTN94" s="168"/>
      <c r="PTO94" s="167"/>
      <c r="PTP94" s="168"/>
      <c r="PTQ94" s="167"/>
      <c r="PTR94" s="168"/>
      <c r="PTS94" s="167"/>
      <c r="PTT94" s="168"/>
      <c r="PTU94" s="167"/>
      <c r="PTV94" s="168"/>
      <c r="PTW94" s="167"/>
      <c r="PTX94" s="168"/>
      <c r="PTY94" s="167"/>
      <c r="PTZ94" s="168"/>
      <c r="PUA94" s="167"/>
      <c r="PUB94" s="168"/>
      <c r="PUC94" s="167"/>
      <c r="PUD94" s="168"/>
      <c r="PUE94" s="167"/>
      <c r="PUF94" s="168"/>
      <c r="PUG94" s="167"/>
      <c r="PUH94" s="168"/>
      <c r="PUI94" s="167"/>
      <c r="PUJ94" s="168"/>
      <c r="PUK94" s="167"/>
      <c r="PUL94" s="168"/>
      <c r="PUM94" s="167"/>
      <c r="PUN94" s="168"/>
      <c r="PUO94" s="167"/>
      <c r="PUP94" s="168"/>
      <c r="PUQ94" s="167"/>
      <c r="PUR94" s="168"/>
      <c r="PUS94" s="167"/>
      <c r="PUT94" s="168"/>
      <c r="PUU94" s="167"/>
      <c r="PUV94" s="168"/>
      <c r="PUW94" s="167"/>
      <c r="PUX94" s="168"/>
      <c r="PUY94" s="167"/>
      <c r="PUZ94" s="168"/>
      <c r="PVA94" s="167"/>
      <c r="PVB94" s="168"/>
      <c r="PVC94" s="167"/>
      <c r="PVD94" s="168"/>
      <c r="PVE94" s="167"/>
      <c r="PVF94" s="168"/>
      <c r="PVG94" s="167"/>
      <c r="PVH94" s="168"/>
      <c r="PVI94" s="167"/>
      <c r="PVJ94" s="168"/>
      <c r="PVK94" s="167"/>
      <c r="PVL94" s="168"/>
      <c r="PVM94" s="167"/>
      <c r="PVN94" s="168"/>
      <c r="PVO94" s="167"/>
      <c r="PVP94" s="168"/>
      <c r="PVQ94" s="167"/>
      <c r="PVR94" s="168"/>
      <c r="PVS94" s="167"/>
      <c r="PVT94" s="168"/>
      <c r="PVU94" s="167"/>
      <c r="PVV94" s="168"/>
      <c r="PVW94" s="167"/>
      <c r="PVX94" s="168"/>
      <c r="PVY94" s="167"/>
      <c r="PVZ94" s="168"/>
      <c r="PWA94" s="167"/>
      <c r="PWB94" s="168"/>
      <c r="PWC94" s="167"/>
      <c r="PWD94" s="168"/>
      <c r="PWE94" s="167"/>
      <c r="PWF94" s="168"/>
      <c r="PWG94" s="167"/>
      <c r="PWH94" s="168"/>
      <c r="PWI94" s="167"/>
      <c r="PWJ94" s="168"/>
      <c r="PWK94" s="167"/>
      <c r="PWL94" s="168"/>
      <c r="PWM94" s="167"/>
      <c r="PWN94" s="168"/>
      <c r="PWO94" s="167"/>
      <c r="PWP94" s="168"/>
      <c r="PWQ94" s="167"/>
      <c r="PWR94" s="168"/>
      <c r="PWS94" s="167"/>
      <c r="PWT94" s="168"/>
      <c r="PWU94" s="167"/>
      <c r="PWV94" s="168"/>
      <c r="PWW94" s="167"/>
      <c r="PWX94" s="168"/>
      <c r="PWY94" s="167"/>
      <c r="PWZ94" s="168"/>
      <c r="PXA94" s="167"/>
      <c r="PXB94" s="168"/>
      <c r="PXC94" s="167"/>
      <c r="PXD94" s="168"/>
      <c r="PXE94" s="167"/>
      <c r="PXF94" s="168"/>
      <c r="PXG94" s="167"/>
      <c r="PXH94" s="168"/>
      <c r="PXI94" s="167"/>
      <c r="PXJ94" s="168"/>
      <c r="PXK94" s="167"/>
      <c r="PXL94" s="168"/>
      <c r="PXM94" s="167"/>
      <c r="PXN94" s="168"/>
      <c r="PXO94" s="167"/>
      <c r="PXP94" s="168"/>
      <c r="PXQ94" s="167"/>
      <c r="PXR94" s="168"/>
      <c r="PXS94" s="167"/>
      <c r="PXT94" s="168"/>
      <c r="PXU94" s="167"/>
      <c r="PXV94" s="168"/>
      <c r="PXW94" s="167"/>
      <c r="PXX94" s="168"/>
      <c r="PXY94" s="167"/>
      <c r="PXZ94" s="168"/>
      <c r="PYA94" s="167"/>
      <c r="PYB94" s="168"/>
      <c r="PYC94" s="167"/>
      <c r="PYD94" s="168"/>
      <c r="PYE94" s="167"/>
      <c r="PYF94" s="168"/>
      <c r="PYG94" s="167"/>
      <c r="PYH94" s="168"/>
      <c r="PYI94" s="167"/>
      <c r="PYJ94" s="168"/>
      <c r="PYK94" s="167"/>
      <c r="PYL94" s="168"/>
      <c r="PYM94" s="167"/>
      <c r="PYN94" s="168"/>
      <c r="PYO94" s="167"/>
      <c r="PYP94" s="168"/>
      <c r="PYQ94" s="167"/>
      <c r="PYR94" s="168"/>
      <c r="PYS94" s="167"/>
      <c r="PYT94" s="168"/>
      <c r="PYU94" s="167"/>
      <c r="PYV94" s="168"/>
      <c r="PYW94" s="167"/>
      <c r="PYX94" s="168"/>
      <c r="PYY94" s="167"/>
      <c r="PYZ94" s="168"/>
      <c r="PZA94" s="167"/>
      <c r="PZB94" s="168"/>
      <c r="PZC94" s="167"/>
      <c r="PZD94" s="168"/>
      <c r="PZE94" s="167"/>
      <c r="PZF94" s="168"/>
      <c r="PZG94" s="167"/>
      <c r="PZH94" s="168"/>
      <c r="PZI94" s="167"/>
      <c r="PZJ94" s="168"/>
      <c r="PZK94" s="167"/>
      <c r="PZL94" s="168"/>
      <c r="PZM94" s="167"/>
      <c r="PZN94" s="168"/>
      <c r="PZO94" s="167"/>
      <c r="PZP94" s="168"/>
      <c r="PZQ94" s="167"/>
      <c r="PZR94" s="168"/>
      <c r="PZS94" s="167"/>
      <c r="PZT94" s="168"/>
      <c r="PZU94" s="167"/>
      <c r="PZV94" s="168"/>
      <c r="PZW94" s="167"/>
      <c r="PZX94" s="168"/>
      <c r="PZY94" s="167"/>
      <c r="PZZ94" s="168"/>
      <c r="QAA94" s="167"/>
      <c r="QAB94" s="168"/>
      <c r="QAC94" s="167"/>
      <c r="QAD94" s="168"/>
      <c r="QAE94" s="167"/>
      <c r="QAF94" s="168"/>
      <c r="QAG94" s="167"/>
      <c r="QAH94" s="168"/>
      <c r="QAI94" s="167"/>
      <c r="QAJ94" s="168"/>
      <c r="QAK94" s="167"/>
      <c r="QAL94" s="168"/>
      <c r="QAM94" s="167"/>
      <c r="QAN94" s="168"/>
      <c r="QAO94" s="167"/>
      <c r="QAP94" s="168"/>
      <c r="QAQ94" s="167"/>
      <c r="QAR94" s="168"/>
      <c r="QAS94" s="167"/>
      <c r="QAT94" s="168"/>
      <c r="QAU94" s="167"/>
      <c r="QAV94" s="168"/>
      <c r="QAW94" s="167"/>
      <c r="QAX94" s="168"/>
      <c r="QAY94" s="167"/>
      <c r="QAZ94" s="168"/>
      <c r="QBA94" s="167"/>
      <c r="QBB94" s="168"/>
      <c r="QBC94" s="167"/>
      <c r="QBD94" s="168"/>
      <c r="QBE94" s="167"/>
      <c r="QBF94" s="168"/>
      <c r="QBG94" s="167"/>
      <c r="QBH94" s="168"/>
      <c r="QBI94" s="167"/>
      <c r="QBJ94" s="168"/>
      <c r="QBK94" s="167"/>
      <c r="QBL94" s="168"/>
      <c r="QBM94" s="167"/>
      <c r="QBN94" s="168"/>
      <c r="QBO94" s="167"/>
      <c r="QBP94" s="168"/>
      <c r="QBQ94" s="167"/>
      <c r="QBR94" s="168"/>
      <c r="QBS94" s="167"/>
      <c r="QBT94" s="168"/>
      <c r="QBU94" s="167"/>
      <c r="QBV94" s="168"/>
      <c r="QBW94" s="167"/>
      <c r="QBX94" s="168"/>
      <c r="QBY94" s="167"/>
      <c r="QBZ94" s="168"/>
      <c r="QCA94" s="167"/>
      <c r="QCB94" s="168"/>
      <c r="QCC94" s="167"/>
      <c r="QCD94" s="168"/>
      <c r="QCE94" s="167"/>
      <c r="QCF94" s="168"/>
      <c r="QCG94" s="167"/>
      <c r="QCH94" s="168"/>
      <c r="QCI94" s="167"/>
      <c r="QCJ94" s="168"/>
      <c r="QCK94" s="167"/>
      <c r="QCL94" s="168"/>
      <c r="QCM94" s="167"/>
      <c r="QCN94" s="168"/>
      <c r="QCO94" s="167"/>
      <c r="QCP94" s="168"/>
      <c r="QCQ94" s="167"/>
      <c r="QCR94" s="168"/>
      <c r="QCS94" s="167"/>
      <c r="QCT94" s="168"/>
      <c r="QCU94" s="167"/>
      <c r="QCV94" s="168"/>
      <c r="QCW94" s="167"/>
      <c r="QCX94" s="168"/>
      <c r="QCY94" s="167"/>
      <c r="QCZ94" s="168"/>
      <c r="QDA94" s="167"/>
      <c r="QDB94" s="168"/>
      <c r="QDC94" s="167"/>
      <c r="QDD94" s="168"/>
      <c r="QDE94" s="167"/>
      <c r="QDF94" s="168"/>
      <c r="QDG94" s="167"/>
      <c r="QDH94" s="168"/>
      <c r="QDI94" s="167"/>
      <c r="QDJ94" s="168"/>
      <c r="QDK94" s="167"/>
      <c r="QDL94" s="168"/>
      <c r="QDM94" s="167"/>
      <c r="QDN94" s="168"/>
      <c r="QDO94" s="167"/>
      <c r="QDP94" s="168"/>
      <c r="QDQ94" s="167"/>
      <c r="QDR94" s="168"/>
      <c r="QDS94" s="167"/>
      <c r="QDT94" s="168"/>
      <c r="QDU94" s="167"/>
      <c r="QDV94" s="168"/>
      <c r="QDW94" s="167"/>
      <c r="QDX94" s="168"/>
      <c r="QDY94" s="167"/>
      <c r="QDZ94" s="168"/>
      <c r="QEA94" s="167"/>
      <c r="QEB94" s="168"/>
      <c r="QEC94" s="167"/>
      <c r="QED94" s="168"/>
      <c r="QEE94" s="167"/>
      <c r="QEF94" s="168"/>
      <c r="QEG94" s="167"/>
      <c r="QEH94" s="168"/>
      <c r="QEI94" s="167"/>
      <c r="QEJ94" s="168"/>
      <c r="QEK94" s="167"/>
      <c r="QEL94" s="168"/>
      <c r="QEM94" s="167"/>
      <c r="QEN94" s="168"/>
      <c r="QEO94" s="167"/>
      <c r="QEP94" s="168"/>
      <c r="QEQ94" s="167"/>
      <c r="QER94" s="168"/>
      <c r="QES94" s="167"/>
      <c r="QET94" s="168"/>
      <c r="QEU94" s="167"/>
      <c r="QEV94" s="168"/>
      <c r="QEW94" s="167"/>
      <c r="QEX94" s="168"/>
      <c r="QEY94" s="167"/>
      <c r="QEZ94" s="168"/>
      <c r="QFA94" s="167"/>
      <c r="QFB94" s="168"/>
      <c r="QFC94" s="167"/>
      <c r="QFD94" s="168"/>
      <c r="QFE94" s="167"/>
      <c r="QFF94" s="168"/>
      <c r="QFG94" s="167"/>
      <c r="QFH94" s="168"/>
      <c r="QFI94" s="167"/>
      <c r="QFJ94" s="168"/>
      <c r="QFK94" s="167"/>
      <c r="QFL94" s="168"/>
      <c r="QFM94" s="167"/>
      <c r="QFN94" s="168"/>
      <c r="QFO94" s="167"/>
      <c r="QFP94" s="168"/>
      <c r="QFQ94" s="167"/>
      <c r="QFR94" s="168"/>
      <c r="QFS94" s="167"/>
      <c r="QFT94" s="168"/>
      <c r="QFU94" s="167"/>
      <c r="QFV94" s="168"/>
      <c r="QFW94" s="167"/>
      <c r="QFX94" s="168"/>
      <c r="QFY94" s="167"/>
      <c r="QFZ94" s="168"/>
      <c r="QGA94" s="167"/>
      <c r="QGB94" s="168"/>
      <c r="QGC94" s="167"/>
      <c r="QGD94" s="168"/>
      <c r="QGE94" s="167"/>
      <c r="QGF94" s="168"/>
      <c r="QGG94" s="167"/>
      <c r="QGH94" s="168"/>
      <c r="QGI94" s="167"/>
      <c r="QGJ94" s="168"/>
      <c r="QGK94" s="167"/>
      <c r="QGL94" s="168"/>
      <c r="QGM94" s="167"/>
      <c r="QGN94" s="168"/>
      <c r="QGO94" s="167"/>
      <c r="QGP94" s="168"/>
      <c r="QGQ94" s="167"/>
      <c r="QGR94" s="168"/>
      <c r="QGS94" s="167"/>
      <c r="QGT94" s="168"/>
      <c r="QGU94" s="167"/>
      <c r="QGV94" s="168"/>
      <c r="QGW94" s="167"/>
      <c r="QGX94" s="168"/>
      <c r="QGY94" s="167"/>
      <c r="QGZ94" s="168"/>
      <c r="QHA94" s="167"/>
      <c r="QHB94" s="168"/>
      <c r="QHC94" s="167"/>
      <c r="QHD94" s="168"/>
      <c r="QHE94" s="167"/>
      <c r="QHF94" s="168"/>
      <c r="QHG94" s="167"/>
      <c r="QHH94" s="168"/>
      <c r="QHI94" s="167"/>
      <c r="QHJ94" s="168"/>
      <c r="QHK94" s="167"/>
      <c r="QHL94" s="168"/>
      <c r="QHM94" s="167"/>
      <c r="QHN94" s="168"/>
      <c r="QHO94" s="167"/>
      <c r="QHP94" s="168"/>
      <c r="QHQ94" s="167"/>
      <c r="QHR94" s="168"/>
      <c r="QHS94" s="167"/>
      <c r="QHT94" s="168"/>
      <c r="QHU94" s="167"/>
      <c r="QHV94" s="168"/>
      <c r="QHW94" s="167"/>
      <c r="QHX94" s="168"/>
      <c r="QHY94" s="167"/>
      <c r="QHZ94" s="168"/>
      <c r="QIA94" s="167"/>
      <c r="QIB94" s="168"/>
      <c r="QIC94" s="167"/>
      <c r="QID94" s="168"/>
      <c r="QIE94" s="167"/>
      <c r="QIF94" s="168"/>
      <c r="QIG94" s="167"/>
      <c r="QIH94" s="168"/>
      <c r="QII94" s="167"/>
      <c r="QIJ94" s="168"/>
      <c r="QIK94" s="167"/>
      <c r="QIL94" s="168"/>
      <c r="QIM94" s="167"/>
      <c r="QIN94" s="168"/>
      <c r="QIO94" s="167"/>
      <c r="QIP94" s="168"/>
      <c r="QIQ94" s="167"/>
      <c r="QIR94" s="168"/>
      <c r="QIS94" s="167"/>
      <c r="QIT94" s="168"/>
      <c r="QIU94" s="167"/>
      <c r="QIV94" s="168"/>
      <c r="QIW94" s="167"/>
      <c r="QIX94" s="168"/>
      <c r="QIY94" s="167"/>
      <c r="QIZ94" s="168"/>
      <c r="QJA94" s="167"/>
      <c r="QJB94" s="168"/>
      <c r="QJC94" s="167"/>
      <c r="QJD94" s="168"/>
      <c r="QJE94" s="167"/>
      <c r="QJF94" s="168"/>
      <c r="QJG94" s="167"/>
      <c r="QJH94" s="168"/>
      <c r="QJI94" s="167"/>
      <c r="QJJ94" s="168"/>
      <c r="QJK94" s="167"/>
      <c r="QJL94" s="168"/>
      <c r="QJM94" s="167"/>
      <c r="QJN94" s="168"/>
      <c r="QJO94" s="167"/>
      <c r="QJP94" s="168"/>
      <c r="QJQ94" s="167"/>
      <c r="QJR94" s="168"/>
      <c r="QJS94" s="167"/>
      <c r="QJT94" s="168"/>
      <c r="QJU94" s="167"/>
      <c r="QJV94" s="168"/>
      <c r="QJW94" s="167"/>
      <c r="QJX94" s="168"/>
      <c r="QJY94" s="167"/>
      <c r="QJZ94" s="168"/>
      <c r="QKA94" s="167"/>
      <c r="QKB94" s="168"/>
      <c r="QKC94" s="167"/>
      <c r="QKD94" s="168"/>
      <c r="QKE94" s="167"/>
      <c r="QKF94" s="168"/>
      <c r="QKG94" s="167"/>
      <c r="QKH94" s="168"/>
      <c r="QKI94" s="167"/>
      <c r="QKJ94" s="168"/>
      <c r="QKK94" s="167"/>
      <c r="QKL94" s="168"/>
      <c r="QKM94" s="167"/>
      <c r="QKN94" s="168"/>
      <c r="QKO94" s="167"/>
      <c r="QKP94" s="168"/>
      <c r="QKQ94" s="167"/>
      <c r="QKR94" s="168"/>
      <c r="QKS94" s="167"/>
      <c r="QKT94" s="168"/>
      <c r="QKU94" s="167"/>
      <c r="QKV94" s="168"/>
      <c r="QKW94" s="167"/>
      <c r="QKX94" s="168"/>
      <c r="QKY94" s="167"/>
      <c r="QKZ94" s="168"/>
      <c r="QLA94" s="167"/>
      <c r="QLB94" s="168"/>
      <c r="QLC94" s="167"/>
      <c r="QLD94" s="168"/>
      <c r="QLE94" s="167"/>
      <c r="QLF94" s="168"/>
      <c r="QLG94" s="167"/>
      <c r="QLH94" s="168"/>
      <c r="QLI94" s="167"/>
      <c r="QLJ94" s="168"/>
      <c r="QLK94" s="167"/>
      <c r="QLL94" s="168"/>
      <c r="QLM94" s="167"/>
      <c r="QLN94" s="168"/>
      <c r="QLO94" s="167"/>
      <c r="QLP94" s="168"/>
      <c r="QLQ94" s="167"/>
      <c r="QLR94" s="168"/>
      <c r="QLS94" s="167"/>
      <c r="QLT94" s="168"/>
      <c r="QLU94" s="167"/>
      <c r="QLV94" s="168"/>
      <c r="QLW94" s="167"/>
      <c r="QLX94" s="168"/>
      <c r="QLY94" s="167"/>
      <c r="QLZ94" s="168"/>
      <c r="QMA94" s="167"/>
      <c r="QMB94" s="168"/>
      <c r="QMC94" s="167"/>
      <c r="QMD94" s="168"/>
      <c r="QME94" s="167"/>
      <c r="QMF94" s="168"/>
      <c r="QMG94" s="167"/>
      <c r="QMH94" s="168"/>
      <c r="QMI94" s="167"/>
      <c r="QMJ94" s="168"/>
      <c r="QMK94" s="167"/>
      <c r="QML94" s="168"/>
      <c r="QMM94" s="167"/>
      <c r="QMN94" s="168"/>
      <c r="QMO94" s="167"/>
      <c r="QMP94" s="168"/>
      <c r="QMQ94" s="167"/>
      <c r="QMR94" s="168"/>
      <c r="QMS94" s="167"/>
      <c r="QMT94" s="168"/>
      <c r="QMU94" s="167"/>
      <c r="QMV94" s="168"/>
      <c r="QMW94" s="167"/>
      <c r="QMX94" s="168"/>
      <c r="QMY94" s="167"/>
      <c r="QMZ94" s="168"/>
      <c r="QNA94" s="167"/>
      <c r="QNB94" s="168"/>
      <c r="QNC94" s="167"/>
      <c r="QND94" s="168"/>
      <c r="QNE94" s="167"/>
      <c r="QNF94" s="168"/>
      <c r="QNG94" s="167"/>
      <c r="QNH94" s="168"/>
      <c r="QNI94" s="167"/>
      <c r="QNJ94" s="168"/>
      <c r="QNK94" s="167"/>
      <c r="QNL94" s="168"/>
      <c r="QNM94" s="167"/>
      <c r="QNN94" s="168"/>
      <c r="QNO94" s="167"/>
      <c r="QNP94" s="168"/>
      <c r="QNQ94" s="167"/>
      <c r="QNR94" s="168"/>
      <c r="QNS94" s="167"/>
      <c r="QNT94" s="168"/>
      <c r="QNU94" s="167"/>
      <c r="QNV94" s="168"/>
      <c r="QNW94" s="167"/>
      <c r="QNX94" s="168"/>
      <c r="QNY94" s="167"/>
      <c r="QNZ94" s="168"/>
      <c r="QOA94" s="167"/>
      <c r="QOB94" s="168"/>
      <c r="QOC94" s="167"/>
      <c r="QOD94" s="168"/>
      <c r="QOE94" s="167"/>
      <c r="QOF94" s="168"/>
      <c r="QOG94" s="167"/>
      <c r="QOH94" s="168"/>
      <c r="QOI94" s="167"/>
      <c r="QOJ94" s="168"/>
      <c r="QOK94" s="167"/>
      <c r="QOL94" s="168"/>
      <c r="QOM94" s="167"/>
      <c r="QON94" s="168"/>
      <c r="QOO94" s="167"/>
      <c r="QOP94" s="168"/>
      <c r="QOQ94" s="167"/>
      <c r="QOR94" s="168"/>
      <c r="QOS94" s="167"/>
      <c r="QOT94" s="168"/>
      <c r="QOU94" s="167"/>
      <c r="QOV94" s="168"/>
      <c r="QOW94" s="167"/>
      <c r="QOX94" s="168"/>
      <c r="QOY94" s="167"/>
      <c r="QOZ94" s="168"/>
      <c r="QPA94" s="167"/>
      <c r="QPB94" s="168"/>
      <c r="QPC94" s="167"/>
      <c r="QPD94" s="168"/>
      <c r="QPE94" s="167"/>
      <c r="QPF94" s="168"/>
      <c r="QPG94" s="167"/>
      <c r="QPH94" s="168"/>
      <c r="QPI94" s="167"/>
      <c r="QPJ94" s="168"/>
      <c r="QPK94" s="167"/>
      <c r="QPL94" s="168"/>
      <c r="QPM94" s="167"/>
      <c r="QPN94" s="168"/>
      <c r="QPO94" s="167"/>
      <c r="QPP94" s="168"/>
      <c r="QPQ94" s="167"/>
      <c r="QPR94" s="168"/>
      <c r="QPS94" s="167"/>
      <c r="QPT94" s="168"/>
      <c r="QPU94" s="167"/>
      <c r="QPV94" s="168"/>
      <c r="QPW94" s="167"/>
      <c r="QPX94" s="168"/>
      <c r="QPY94" s="167"/>
      <c r="QPZ94" s="168"/>
      <c r="QQA94" s="167"/>
      <c r="QQB94" s="168"/>
      <c r="QQC94" s="167"/>
      <c r="QQD94" s="168"/>
      <c r="QQE94" s="167"/>
      <c r="QQF94" s="168"/>
      <c r="QQG94" s="167"/>
      <c r="QQH94" s="168"/>
      <c r="QQI94" s="167"/>
      <c r="QQJ94" s="168"/>
      <c r="QQK94" s="167"/>
      <c r="QQL94" s="168"/>
      <c r="QQM94" s="167"/>
      <c r="QQN94" s="168"/>
      <c r="QQO94" s="167"/>
      <c r="QQP94" s="168"/>
      <c r="QQQ94" s="167"/>
      <c r="QQR94" s="168"/>
      <c r="QQS94" s="167"/>
      <c r="QQT94" s="168"/>
      <c r="QQU94" s="167"/>
      <c r="QQV94" s="168"/>
      <c r="QQW94" s="167"/>
      <c r="QQX94" s="168"/>
      <c r="QQY94" s="167"/>
      <c r="QQZ94" s="168"/>
      <c r="QRA94" s="167"/>
      <c r="QRB94" s="168"/>
      <c r="QRC94" s="167"/>
      <c r="QRD94" s="168"/>
      <c r="QRE94" s="167"/>
      <c r="QRF94" s="168"/>
      <c r="QRG94" s="167"/>
      <c r="QRH94" s="168"/>
      <c r="QRI94" s="167"/>
      <c r="QRJ94" s="168"/>
      <c r="QRK94" s="167"/>
      <c r="QRL94" s="168"/>
      <c r="QRM94" s="167"/>
      <c r="QRN94" s="168"/>
      <c r="QRO94" s="167"/>
      <c r="QRP94" s="168"/>
      <c r="QRQ94" s="167"/>
      <c r="QRR94" s="168"/>
      <c r="QRS94" s="167"/>
      <c r="QRT94" s="168"/>
      <c r="QRU94" s="167"/>
      <c r="QRV94" s="168"/>
      <c r="QRW94" s="167"/>
      <c r="QRX94" s="168"/>
      <c r="QRY94" s="167"/>
      <c r="QRZ94" s="168"/>
      <c r="QSA94" s="167"/>
      <c r="QSB94" s="168"/>
      <c r="QSC94" s="167"/>
      <c r="QSD94" s="168"/>
      <c r="QSE94" s="167"/>
      <c r="QSF94" s="168"/>
      <c r="QSG94" s="167"/>
      <c r="QSH94" s="168"/>
      <c r="QSI94" s="167"/>
      <c r="QSJ94" s="168"/>
      <c r="QSK94" s="167"/>
      <c r="QSL94" s="168"/>
      <c r="QSM94" s="167"/>
      <c r="QSN94" s="168"/>
      <c r="QSO94" s="167"/>
      <c r="QSP94" s="168"/>
      <c r="QSQ94" s="167"/>
      <c r="QSR94" s="168"/>
      <c r="QSS94" s="167"/>
      <c r="QST94" s="168"/>
      <c r="QSU94" s="167"/>
      <c r="QSV94" s="168"/>
      <c r="QSW94" s="167"/>
      <c r="QSX94" s="168"/>
      <c r="QSY94" s="167"/>
      <c r="QSZ94" s="168"/>
      <c r="QTA94" s="167"/>
      <c r="QTB94" s="168"/>
      <c r="QTC94" s="167"/>
      <c r="QTD94" s="168"/>
      <c r="QTE94" s="167"/>
      <c r="QTF94" s="168"/>
      <c r="QTG94" s="167"/>
      <c r="QTH94" s="168"/>
      <c r="QTI94" s="167"/>
      <c r="QTJ94" s="168"/>
      <c r="QTK94" s="167"/>
      <c r="QTL94" s="168"/>
      <c r="QTM94" s="167"/>
      <c r="QTN94" s="168"/>
      <c r="QTO94" s="167"/>
      <c r="QTP94" s="168"/>
      <c r="QTQ94" s="167"/>
      <c r="QTR94" s="168"/>
      <c r="QTS94" s="167"/>
      <c r="QTT94" s="168"/>
      <c r="QTU94" s="167"/>
      <c r="QTV94" s="168"/>
      <c r="QTW94" s="167"/>
      <c r="QTX94" s="168"/>
      <c r="QTY94" s="167"/>
      <c r="QTZ94" s="168"/>
      <c r="QUA94" s="167"/>
      <c r="QUB94" s="168"/>
      <c r="QUC94" s="167"/>
      <c r="QUD94" s="168"/>
      <c r="QUE94" s="167"/>
      <c r="QUF94" s="168"/>
      <c r="QUG94" s="167"/>
      <c r="QUH94" s="168"/>
      <c r="QUI94" s="167"/>
      <c r="QUJ94" s="168"/>
      <c r="QUK94" s="167"/>
      <c r="QUL94" s="168"/>
      <c r="QUM94" s="167"/>
      <c r="QUN94" s="168"/>
      <c r="QUO94" s="167"/>
      <c r="QUP94" s="168"/>
      <c r="QUQ94" s="167"/>
      <c r="QUR94" s="168"/>
      <c r="QUS94" s="167"/>
      <c r="QUT94" s="168"/>
      <c r="QUU94" s="167"/>
      <c r="QUV94" s="168"/>
      <c r="QUW94" s="167"/>
      <c r="QUX94" s="168"/>
      <c r="QUY94" s="167"/>
      <c r="QUZ94" s="168"/>
      <c r="QVA94" s="167"/>
      <c r="QVB94" s="168"/>
      <c r="QVC94" s="167"/>
      <c r="QVD94" s="168"/>
      <c r="QVE94" s="167"/>
      <c r="QVF94" s="168"/>
      <c r="QVG94" s="167"/>
      <c r="QVH94" s="168"/>
      <c r="QVI94" s="167"/>
      <c r="QVJ94" s="168"/>
      <c r="QVK94" s="167"/>
      <c r="QVL94" s="168"/>
      <c r="QVM94" s="167"/>
      <c r="QVN94" s="168"/>
      <c r="QVO94" s="167"/>
      <c r="QVP94" s="168"/>
      <c r="QVQ94" s="167"/>
      <c r="QVR94" s="168"/>
      <c r="QVS94" s="167"/>
      <c r="QVT94" s="168"/>
      <c r="QVU94" s="167"/>
      <c r="QVV94" s="168"/>
      <c r="QVW94" s="167"/>
      <c r="QVX94" s="168"/>
      <c r="QVY94" s="167"/>
      <c r="QVZ94" s="168"/>
      <c r="QWA94" s="167"/>
      <c r="QWB94" s="168"/>
      <c r="QWC94" s="167"/>
      <c r="QWD94" s="168"/>
      <c r="QWE94" s="167"/>
      <c r="QWF94" s="168"/>
      <c r="QWG94" s="167"/>
      <c r="QWH94" s="168"/>
      <c r="QWI94" s="167"/>
      <c r="QWJ94" s="168"/>
      <c r="QWK94" s="167"/>
      <c r="QWL94" s="168"/>
      <c r="QWM94" s="167"/>
      <c r="QWN94" s="168"/>
      <c r="QWO94" s="167"/>
      <c r="QWP94" s="168"/>
      <c r="QWQ94" s="167"/>
      <c r="QWR94" s="168"/>
      <c r="QWS94" s="167"/>
      <c r="QWT94" s="168"/>
      <c r="QWU94" s="167"/>
      <c r="QWV94" s="168"/>
      <c r="QWW94" s="167"/>
      <c r="QWX94" s="168"/>
      <c r="QWY94" s="167"/>
      <c r="QWZ94" s="168"/>
      <c r="QXA94" s="167"/>
      <c r="QXB94" s="168"/>
      <c r="QXC94" s="167"/>
      <c r="QXD94" s="168"/>
      <c r="QXE94" s="167"/>
      <c r="QXF94" s="168"/>
      <c r="QXG94" s="167"/>
      <c r="QXH94" s="168"/>
      <c r="QXI94" s="167"/>
      <c r="QXJ94" s="168"/>
      <c r="QXK94" s="167"/>
      <c r="QXL94" s="168"/>
      <c r="QXM94" s="167"/>
      <c r="QXN94" s="168"/>
      <c r="QXO94" s="167"/>
      <c r="QXP94" s="168"/>
      <c r="QXQ94" s="167"/>
      <c r="QXR94" s="168"/>
      <c r="QXS94" s="167"/>
      <c r="QXT94" s="168"/>
      <c r="QXU94" s="167"/>
      <c r="QXV94" s="168"/>
      <c r="QXW94" s="167"/>
      <c r="QXX94" s="168"/>
      <c r="QXY94" s="167"/>
      <c r="QXZ94" s="168"/>
      <c r="QYA94" s="167"/>
      <c r="QYB94" s="168"/>
      <c r="QYC94" s="167"/>
      <c r="QYD94" s="168"/>
      <c r="QYE94" s="167"/>
      <c r="QYF94" s="168"/>
      <c r="QYG94" s="167"/>
      <c r="QYH94" s="168"/>
      <c r="QYI94" s="167"/>
      <c r="QYJ94" s="168"/>
      <c r="QYK94" s="167"/>
      <c r="QYL94" s="168"/>
      <c r="QYM94" s="167"/>
      <c r="QYN94" s="168"/>
      <c r="QYO94" s="167"/>
      <c r="QYP94" s="168"/>
      <c r="QYQ94" s="167"/>
      <c r="QYR94" s="168"/>
      <c r="QYS94" s="167"/>
      <c r="QYT94" s="168"/>
      <c r="QYU94" s="167"/>
      <c r="QYV94" s="168"/>
      <c r="QYW94" s="167"/>
      <c r="QYX94" s="168"/>
      <c r="QYY94" s="167"/>
      <c r="QYZ94" s="168"/>
      <c r="QZA94" s="167"/>
      <c r="QZB94" s="168"/>
      <c r="QZC94" s="167"/>
      <c r="QZD94" s="168"/>
      <c r="QZE94" s="167"/>
      <c r="QZF94" s="168"/>
      <c r="QZG94" s="167"/>
      <c r="QZH94" s="168"/>
      <c r="QZI94" s="167"/>
      <c r="QZJ94" s="168"/>
      <c r="QZK94" s="167"/>
      <c r="QZL94" s="168"/>
      <c r="QZM94" s="167"/>
      <c r="QZN94" s="168"/>
      <c r="QZO94" s="167"/>
      <c r="QZP94" s="168"/>
      <c r="QZQ94" s="167"/>
      <c r="QZR94" s="168"/>
      <c r="QZS94" s="167"/>
      <c r="QZT94" s="168"/>
      <c r="QZU94" s="167"/>
      <c r="QZV94" s="168"/>
      <c r="QZW94" s="167"/>
      <c r="QZX94" s="168"/>
      <c r="QZY94" s="167"/>
      <c r="QZZ94" s="168"/>
      <c r="RAA94" s="167"/>
      <c r="RAB94" s="168"/>
      <c r="RAC94" s="167"/>
      <c r="RAD94" s="168"/>
      <c r="RAE94" s="167"/>
      <c r="RAF94" s="168"/>
      <c r="RAG94" s="167"/>
      <c r="RAH94" s="168"/>
      <c r="RAI94" s="167"/>
      <c r="RAJ94" s="168"/>
      <c r="RAK94" s="167"/>
      <c r="RAL94" s="168"/>
      <c r="RAM94" s="167"/>
      <c r="RAN94" s="168"/>
      <c r="RAO94" s="167"/>
      <c r="RAP94" s="168"/>
      <c r="RAQ94" s="167"/>
      <c r="RAR94" s="168"/>
      <c r="RAS94" s="167"/>
      <c r="RAT94" s="168"/>
      <c r="RAU94" s="167"/>
      <c r="RAV94" s="168"/>
      <c r="RAW94" s="167"/>
      <c r="RAX94" s="168"/>
      <c r="RAY94" s="167"/>
      <c r="RAZ94" s="168"/>
      <c r="RBA94" s="167"/>
      <c r="RBB94" s="168"/>
      <c r="RBC94" s="167"/>
      <c r="RBD94" s="168"/>
      <c r="RBE94" s="167"/>
      <c r="RBF94" s="168"/>
      <c r="RBG94" s="167"/>
      <c r="RBH94" s="168"/>
      <c r="RBI94" s="167"/>
      <c r="RBJ94" s="168"/>
      <c r="RBK94" s="167"/>
      <c r="RBL94" s="168"/>
      <c r="RBM94" s="167"/>
      <c r="RBN94" s="168"/>
      <c r="RBO94" s="167"/>
      <c r="RBP94" s="168"/>
      <c r="RBQ94" s="167"/>
      <c r="RBR94" s="168"/>
      <c r="RBS94" s="167"/>
      <c r="RBT94" s="168"/>
      <c r="RBU94" s="167"/>
      <c r="RBV94" s="168"/>
      <c r="RBW94" s="167"/>
      <c r="RBX94" s="168"/>
      <c r="RBY94" s="167"/>
      <c r="RBZ94" s="168"/>
      <c r="RCA94" s="167"/>
      <c r="RCB94" s="168"/>
      <c r="RCC94" s="167"/>
      <c r="RCD94" s="168"/>
      <c r="RCE94" s="167"/>
      <c r="RCF94" s="168"/>
      <c r="RCG94" s="167"/>
      <c r="RCH94" s="168"/>
      <c r="RCI94" s="167"/>
      <c r="RCJ94" s="168"/>
      <c r="RCK94" s="167"/>
      <c r="RCL94" s="168"/>
      <c r="RCM94" s="167"/>
      <c r="RCN94" s="168"/>
      <c r="RCO94" s="167"/>
      <c r="RCP94" s="168"/>
      <c r="RCQ94" s="167"/>
      <c r="RCR94" s="168"/>
      <c r="RCS94" s="167"/>
      <c r="RCT94" s="168"/>
      <c r="RCU94" s="167"/>
      <c r="RCV94" s="168"/>
      <c r="RCW94" s="167"/>
      <c r="RCX94" s="168"/>
      <c r="RCY94" s="167"/>
      <c r="RCZ94" s="168"/>
      <c r="RDA94" s="167"/>
      <c r="RDB94" s="168"/>
      <c r="RDC94" s="167"/>
      <c r="RDD94" s="168"/>
      <c r="RDE94" s="167"/>
      <c r="RDF94" s="168"/>
      <c r="RDG94" s="167"/>
      <c r="RDH94" s="168"/>
      <c r="RDI94" s="167"/>
      <c r="RDJ94" s="168"/>
      <c r="RDK94" s="167"/>
      <c r="RDL94" s="168"/>
      <c r="RDM94" s="167"/>
      <c r="RDN94" s="168"/>
      <c r="RDO94" s="167"/>
      <c r="RDP94" s="168"/>
      <c r="RDQ94" s="167"/>
      <c r="RDR94" s="168"/>
      <c r="RDS94" s="167"/>
      <c r="RDT94" s="168"/>
      <c r="RDU94" s="167"/>
      <c r="RDV94" s="168"/>
      <c r="RDW94" s="167"/>
      <c r="RDX94" s="168"/>
      <c r="RDY94" s="167"/>
      <c r="RDZ94" s="168"/>
      <c r="REA94" s="167"/>
      <c r="REB94" s="168"/>
      <c r="REC94" s="167"/>
      <c r="RED94" s="168"/>
      <c r="REE94" s="167"/>
      <c r="REF94" s="168"/>
      <c r="REG94" s="167"/>
      <c r="REH94" s="168"/>
      <c r="REI94" s="167"/>
      <c r="REJ94" s="168"/>
      <c r="REK94" s="167"/>
      <c r="REL94" s="168"/>
      <c r="REM94" s="167"/>
      <c r="REN94" s="168"/>
      <c r="REO94" s="167"/>
      <c r="REP94" s="168"/>
      <c r="REQ94" s="167"/>
      <c r="RER94" s="168"/>
      <c r="RES94" s="167"/>
      <c r="RET94" s="168"/>
      <c r="REU94" s="167"/>
      <c r="REV94" s="168"/>
      <c r="REW94" s="167"/>
      <c r="REX94" s="168"/>
      <c r="REY94" s="167"/>
      <c r="REZ94" s="168"/>
      <c r="RFA94" s="167"/>
      <c r="RFB94" s="168"/>
      <c r="RFC94" s="167"/>
      <c r="RFD94" s="168"/>
      <c r="RFE94" s="167"/>
      <c r="RFF94" s="168"/>
      <c r="RFG94" s="167"/>
      <c r="RFH94" s="168"/>
      <c r="RFI94" s="167"/>
      <c r="RFJ94" s="168"/>
      <c r="RFK94" s="167"/>
      <c r="RFL94" s="168"/>
      <c r="RFM94" s="167"/>
      <c r="RFN94" s="168"/>
      <c r="RFO94" s="167"/>
      <c r="RFP94" s="168"/>
      <c r="RFQ94" s="167"/>
      <c r="RFR94" s="168"/>
      <c r="RFS94" s="167"/>
      <c r="RFT94" s="168"/>
      <c r="RFU94" s="167"/>
      <c r="RFV94" s="168"/>
      <c r="RFW94" s="167"/>
      <c r="RFX94" s="168"/>
      <c r="RFY94" s="167"/>
      <c r="RFZ94" s="168"/>
      <c r="RGA94" s="167"/>
      <c r="RGB94" s="168"/>
      <c r="RGC94" s="167"/>
      <c r="RGD94" s="168"/>
      <c r="RGE94" s="167"/>
      <c r="RGF94" s="168"/>
      <c r="RGG94" s="167"/>
      <c r="RGH94" s="168"/>
      <c r="RGI94" s="167"/>
      <c r="RGJ94" s="168"/>
      <c r="RGK94" s="167"/>
      <c r="RGL94" s="168"/>
      <c r="RGM94" s="167"/>
      <c r="RGN94" s="168"/>
      <c r="RGO94" s="167"/>
      <c r="RGP94" s="168"/>
      <c r="RGQ94" s="167"/>
      <c r="RGR94" s="168"/>
      <c r="RGS94" s="167"/>
      <c r="RGT94" s="168"/>
      <c r="RGU94" s="167"/>
      <c r="RGV94" s="168"/>
      <c r="RGW94" s="167"/>
      <c r="RGX94" s="168"/>
      <c r="RGY94" s="167"/>
      <c r="RGZ94" s="168"/>
      <c r="RHA94" s="167"/>
      <c r="RHB94" s="168"/>
      <c r="RHC94" s="167"/>
      <c r="RHD94" s="168"/>
      <c r="RHE94" s="167"/>
      <c r="RHF94" s="168"/>
      <c r="RHG94" s="167"/>
      <c r="RHH94" s="168"/>
      <c r="RHI94" s="167"/>
      <c r="RHJ94" s="168"/>
      <c r="RHK94" s="167"/>
      <c r="RHL94" s="168"/>
      <c r="RHM94" s="167"/>
      <c r="RHN94" s="168"/>
      <c r="RHO94" s="167"/>
      <c r="RHP94" s="168"/>
      <c r="RHQ94" s="167"/>
      <c r="RHR94" s="168"/>
      <c r="RHS94" s="167"/>
      <c r="RHT94" s="168"/>
      <c r="RHU94" s="167"/>
      <c r="RHV94" s="168"/>
      <c r="RHW94" s="167"/>
      <c r="RHX94" s="168"/>
      <c r="RHY94" s="167"/>
      <c r="RHZ94" s="168"/>
      <c r="RIA94" s="167"/>
      <c r="RIB94" s="168"/>
      <c r="RIC94" s="167"/>
      <c r="RID94" s="168"/>
      <c r="RIE94" s="167"/>
      <c r="RIF94" s="168"/>
      <c r="RIG94" s="167"/>
      <c r="RIH94" s="168"/>
      <c r="RII94" s="167"/>
      <c r="RIJ94" s="168"/>
      <c r="RIK94" s="167"/>
      <c r="RIL94" s="168"/>
      <c r="RIM94" s="167"/>
      <c r="RIN94" s="168"/>
      <c r="RIO94" s="167"/>
      <c r="RIP94" s="168"/>
      <c r="RIQ94" s="167"/>
      <c r="RIR94" s="168"/>
      <c r="RIS94" s="167"/>
      <c r="RIT94" s="168"/>
      <c r="RIU94" s="167"/>
      <c r="RIV94" s="168"/>
      <c r="RIW94" s="167"/>
      <c r="RIX94" s="168"/>
      <c r="RIY94" s="167"/>
      <c r="RIZ94" s="168"/>
      <c r="RJA94" s="167"/>
      <c r="RJB94" s="168"/>
      <c r="RJC94" s="167"/>
      <c r="RJD94" s="168"/>
      <c r="RJE94" s="167"/>
      <c r="RJF94" s="168"/>
      <c r="RJG94" s="167"/>
      <c r="RJH94" s="168"/>
      <c r="RJI94" s="167"/>
      <c r="RJJ94" s="168"/>
      <c r="RJK94" s="167"/>
      <c r="RJL94" s="168"/>
      <c r="RJM94" s="167"/>
      <c r="RJN94" s="168"/>
      <c r="RJO94" s="167"/>
      <c r="RJP94" s="168"/>
      <c r="RJQ94" s="167"/>
      <c r="RJR94" s="168"/>
      <c r="RJS94" s="167"/>
      <c r="RJT94" s="168"/>
      <c r="RJU94" s="167"/>
      <c r="RJV94" s="168"/>
      <c r="RJW94" s="167"/>
      <c r="RJX94" s="168"/>
      <c r="RJY94" s="167"/>
      <c r="RJZ94" s="168"/>
      <c r="RKA94" s="167"/>
      <c r="RKB94" s="168"/>
      <c r="RKC94" s="167"/>
      <c r="RKD94" s="168"/>
      <c r="RKE94" s="167"/>
      <c r="RKF94" s="168"/>
      <c r="RKG94" s="167"/>
      <c r="RKH94" s="168"/>
      <c r="RKI94" s="167"/>
      <c r="RKJ94" s="168"/>
      <c r="RKK94" s="167"/>
      <c r="RKL94" s="168"/>
      <c r="RKM94" s="167"/>
      <c r="RKN94" s="168"/>
      <c r="RKO94" s="167"/>
      <c r="RKP94" s="168"/>
      <c r="RKQ94" s="167"/>
      <c r="RKR94" s="168"/>
      <c r="RKS94" s="167"/>
      <c r="RKT94" s="168"/>
      <c r="RKU94" s="167"/>
      <c r="RKV94" s="168"/>
      <c r="RKW94" s="167"/>
      <c r="RKX94" s="168"/>
      <c r="RKY94" s="167"/>
      <c r="RKZ94" s="168"/>
      <c r="RLA94" s="167"/>
      <c r="RLB94" s="168"/>
      <c r="RLC94" s="167"/>
      <c r="RLD94" s="168"/>
      <c r="RLE94" s="167"/>
      <c r="RLF94" s="168"/>
      <c r="RLG94" s="167"/>
      <c r="RLH94" s="168"/>
      <c r="RLI94" s="167"/>
      <c r="RLJ94" s="168"/>
      <c r="RLK94" s="167"/>
      <c r="RLL94" s="168"/>
      <c r="RLM94" s="167"/>
      <c r="RLN94" s="168"/>
      <c r="RLO94" s="167"/>
      <c r="RLP94" s="168"/>
      <c r="RLQ94" s="167"/>
      <c r="RLR94" s="168"/>
      <c r="RLS94" s="167"/>
      <c r="RLT94" s="168"/>
      <c r="RLU94" s="167"/>
      <c r="RLV94" s="168"/>
      <c r="RLW94" s="167"/>
      <c r="RLX94" s="168"/>
      <c r="RLY94" s="167"/>
      <c r="RLZ94" s="168"/>
      <c r="RMA94" s="167"/>
      <c r="RMB94" s="168"/>
      <c r="RMC94" s="167"/>
      <c r="RMD94" s="168"/>
      <c r="RME94" s="167"/>
      <c r="RMF94" s="168"/>
      <c r="RMG94" s="167"/>
      <c r="RMH94" s="168"/>
      <c r="RMI94" s="167"/>
      <c r="RMJ94" s="168"/>
      <c r="RMK94" s="167"/>
      <c r="RML94" s="168"/>
      <c r="RMM94" s="167"/>
      <c r="RMN94" s="168"/>
      <c r="RMO94" s="167"/>
      <c r="RMP94" s="168"/>
      <c r="RMQ94" s="167"/>
      <c r="RMR94" s="168"/>
      <c r="RMS94" s="167"/>
      <c r="RMT94" s="168"/>
      <c r="RMU94" s="167"/>
      <c r="RMV94" s="168"/>
      <c r="RMW94" s="167"/>
      <c r="RMX94" s="168"/>
      <c r="RMY94" s="167"/>
      <c r="RMZ94" s="168"/>
      <c r="RNA94" s="167"/>
      <c r="RNB94" s="168"/>
      <c r="RNC94" s="167"/>
      <c r="RND94" s="168"/>
      <c r="RNE94" s="167"/>
      <c r="RNF94" s="168"/>
      <c r="RNG94" s="167"/>
      <c r="RNH94" s="168"/>
      <c r="RNI94" s="167"/>
      <c r="RNJ94" s="168"/>
      <c r="RNK94" s="167"/>
      <c r="RNL94" s="168"/>
      <c r="RNM94" s="167"/>
      <c r="RNN94" s="168"/>
      <c r="RNO94" s="167"/>
      <c r="RNP94" s="168"/>
      <c r="RNQ94" s="167"/>
      <c r="RNR94" s="168"/>
      <c r="RNS94" s="167"/>
      <c r="RNT94" s="168"/>
      <c r="RNU94" s="167"/>
      <c r="RNV94" s="168"/>
      <c r="RNW94" s="167"/>
      <c r="RNX94" s="168"/>
      <c r="RNY94" s="167"/>
      <c r="RNZ94" s="168"/>
      <c r="ROA94" s="167"/>
      <c r="ROB94" s="168"/>
      <c r="ROC94" s="167"/>
      <c r="ROD94" s="168"/>
      <c r="ROE94" s="167"/>
      <c r="ROF94" s="168"/>
      <c r="ROG94" s="167"/>
      <c r="ROH94" s="168"/>
      <c r="ROI94" s="167"/>
      <c r="ROJ94" s="168"/>
      <c r="ROK94" s="167"/>
      <c r="ROL94" s="168"/>
      <c r="ROM94" s="167"/>
      <c r="RON94" s="168"/>
      <c r="ROO94" s="167"/>
      <c r="ROP94" s="168"/>
      <c r="ROQ94" s="167"/>
      <c r="ROR94" s="168"/>
      <c r="ROS94" s="167"/>
      <c r="ROT94" s="168"/>
      <c r="ROU94" s="167"/>
      <c r="ROV94" s="168"/>
      <c r="ROW94" s="167"/>
      <c r="ROX94" s="168"/>
      <c r="ROY94" s="167"/>
      <c r="ROZ94" s="168"/>
      <c r="RPA94" s="167"/>
      <c r="RPB94" s="168"/>
      <c r="RPC94" s="167"/>
      <c r="RPD94" s="168"/>
      <c r="RPE94" s="167"/>
      <c r="RPF94" s="168"/>
      <c r="RPG94" s="167"/>
      <c r="RPH94" s="168"/>
      <c r="RPI94" s="167"/>
      <c r="RPJ94" s="168"/>
      <c r="RPK94" s="167"/>
      <c r="RPL94" s="168"/>
      <c r="RPM94" s="167"/>
      <c r="RPN94" s="168"/>
      <c r="RPO94" s="167"/>
      <c r="RPP94" s="168"/>
      <c r="RPQ94" s="167"/>
      <c r="RPR94" s="168"/>
      <c r="RPS94" s="167"/>
      <c r="RPT94" s="168"/>
      <c r="RPU94" s="167"/>
      <c r="RPV94" s="168"/>
      <c r="RPW94" s="167"/>
      <c r="RPX94" s="168"/>
      <c r="RPY94" s="167"/>
      <c r="RPZ94" s="168"/>
      <c r="RQA94" s="167"/>
      <c r="RQB94" s="168"/>
      <c r="RQC94" s="167"/>
      <c r="RQD94" s="168"/>
      <c r="RQE94" s="167"/>
      <c r="RQF94" s="168"/>
      <c r="RQG94" s="167"/>
      <c r="RQH94" s="168"/>
      <c r="RQI94" s="167"/>
      <c r="RQJ94" s="168"/>
      <c r="RQK94" s="167"/>
      <c r="RQL94" s="168"/>
      <c r="RQM94" s="167"/>
      <c r="RQN94" s="168"/>
      <c r="RQO94" s="167"/>
      <c r="RQP94" s="168"/>
      <c r="RQQ94" s="167"/>
      <c r="RQR94" s="168"/>
      <c r="RQS94" s="167"/>
      <c r="RQT94" s="168"/>
      <c r="RQU94" s="167"/>
      <c r="RQV94" s="168"/>
      <c r="RQW94" s="167"/>
      <c r="RQX94" s="168"/>
      <c r="RQY94" s="167"/>
      <c r="RQZ94" s="168"/>
      <c r="RRA94" s="167"/>
      <c r="RRB94" s="168"/>
      <c r="RRC94" s="167"/>
      <c r="RRD94" s="168"/>
      <c r="RRE94" s="167"/>
      <c r="RRF94" s="168"/>
      <c r="RRG94" s="167"/>
      <c r="RRH94" s="168"/>
      <c r="RRI94" s="167"/>
      <c r="RRJ94" s="168"/>
      <c r="RRK94" s="167"/>
      <c r="RRL94" s="168"/>
      <c r="RRM94" s="167"/>
      <c r="RRN94" s="168"/>
      <c r="RRO94" s="167"/>
      <c r="RRP94" s="168"/>
      <c r="RRQ94" s="167"/>
      <c r="RRR94" s="168"/>
      <c r="RRS94" s="167"/>
      <c r="RRT94" s="168"/>
      <c r="RRU94" s="167"/>
      <c r="RRV94" s="168"/>
      <c r="RRW94" s="167"/>
      <c r="RRX94" s="168"/>
      <c r="RRY94" s="167"/>
      <c r="RRZ94" s="168"/>
      <c r="RSA94" s="167"/>
      <c r="RSB94" s="168"/>
      <c r="RSC94" s="167"/>
      <c r="RSD94" s="168"/>
      <c r="RSE94" s="167"/>
      <c r="RSF94" s="168"/>
      <c r="RSG94" s="167"/>
      <c r="RSH94" s="168"/>
      <c r="RSI94" s="167"/>
      <c r="RSJ94" s="168"/>
      <c r="RSK94" s="167"/>
      <c r="RSL94" s="168"/>
      <c r="RSM94" s="167"/>
      <c r="RSN94" s="168"/>
      <c r="RSO94" s="167"/>
      <c r="RSP94" s="168"/>
      <c r="RSQ94" s="167"/>
      <c r="RSR94" s="168"/>
      <c r="RSS94" s="167"/>
      <c r="RST94" s="168"/>
      <c r="RSU94" s="167"/>
      <c r="RSV94" s="168"/>
      <c r="RSW94" s="167"/>
      <c r="RSX94" s="168"/>
      <c r="RSY94" s="167"/>
      <c r="RSZ94" s="168"/>
      <c r="RTA94" s="167"/>
      <c r="RTB94" s="168"/>
      <c r="RTC94" s="167"/>
      <c r="RTD94" s="168"/>
      <c r="RTE94" s="167"/>
      <c r="RTF94" s="168"/>
      <c r="RTG94" s="167"/>
      <c r="RTH94" s="168"/>
      <c r="RTI94" s="167"/>
      <c r="RTJ94" s="168"/>
      <c r="RTK94" s="167"/>
      <c r="RTL94" s="168"/>
      <c r="RTM94" s="167"/>
      <c r="RTN94" s="168"/>
      <c r="RTO94" s="167"/>
      <c r="RTP94" s="168"/>
      <c r="RTQ94" s="167"/>
      <c r="RTR94" s="168"/>
      <c r="RTS94" s="167"/>
      <c r="RTT94" s="168"/>
      <c r="RTU94" s="167"/>
      <c r="RTV94" s="168"/>
      <c r="RTW94" s="167"/>
      <c r="RTX94" s="168"/>
      <c r="RTY94" s="167"/>
      <c r="RTZ94" s="168"/>
      <c r="RUA94" s="167"/>
      <c r="RUB94" s="168"/>
      <c r="RUC94" s="167"/>
      <c r="RUD94" s="168"/>
      <c r="RUE94" s="167"/>
      <c r="RUF94" s="168"/>
      <c r="RUG94" s="167"/>
      <c r="RUH94" s="168"/>
      <c r="RUI94" s="167"/>
      <c r="RUJ94" s="168"/>
      <c r="RUK94" s="167"/>
      <c r="RUL94" s="168"/>
      <c r="RUM94" s="167"/>
      <c r="RUN94" s="168"/>
      <c r="RUO94" s="167"/>
      <c r="RUP94" s="168"/>
      <c r="RUQ94" s="167"/>
      <c r="RUR94" s="168"/>
      <c r="RUS94" s="167"/>
      <c r="RUT94" s="168"/>
      <c r="RUU94" s="167"/>
      <c r="RUV94" s="168"/>
      <c r="RUW94" s="167"/>
      <c r="RUX94" s="168"/>
      <c r="RUY94" s="167"/>
      <c r="RUZ94" s="168"/>
      <c r="RVA94" s="167"/>
      <c r="RVB94" s="168"/>
      <c r="RVC94" s="167"/>
      <c r="RVD94" s="168"/>
      <c r="RVE94" s="167"/>
      <c r="RVF94" s="168"/>
      <c r="RVG94" s="167"/>
      <c r="RVH94" s="168"/>
      <c r="RVI94" s="167"/>
      <c r="RVJ94" s="168"/>
      <c r="RVK94" s="167"/>
      <c r="RVL94" s="168"/>
      <c r="RVM94" s="167"/>
      <c r="RVN94" s="168"/>
      <c r="RVO94" s="167"/>
      <c r="RVP94" s="168"/>
      <c r="RVQ94" s="167"/>
      <c r="RVR94" s="168"/>
      <c r="RVS94" s="167"/>
      <c r="RVT94" s="168"/>
      <c r="RVU94" s="167"/>
      <c r="RVV94" s="168"/>
      <c r="RVW94" s="167"/>
      <c r="RVX94" s="168"/>
      <c r="RVY94" s="167"/>
      <c r="RVZ94" s="168"/>
      <c r="RWA94" s="167"/>
      <c r="RWB94" s="168"/>
      <c r="RWC94" s="167"/>
      <c r="RWD94" s="168"/>
      <c r="RWE94" s="167"/>
      <c r="RWF94" s="168"/>
      <c r="RWG94" s="167"/>
      <c r="RWH94" s="168"/>
      <c r="RWI94" s="167"/>
      <c r="RWJ94" s="168"/>
      <c r="RWK94" s="167"/>
      <c r="RWL94" s="168"/>
      <c r="RWM94" s="167"/>
      <c r="RWN94" s="168"/>
      <c r="RWO94" s="167"/>
      <c r="RWP94" s="168"/>
      <c r="RWQ94" s="167"/>
      <c r="RWR94" s="168"/>
      <c r="RWS94" s="167"/>
      <c r="RWT94" s="168"/>
      <c r="RWU94" s="167"/>
      <c r="RWV94" s="168"/>
      <c r="RWW94" s="167"/>
      <c r="RWX94" s="168"/>
      <c r="RWY94" s="167"/>
      <c r="RWZ94" s="168"/>
      <c r="RXA94" s="167"/>
      <c r="RXB94" s="168"/>
      <c r="RXC94" s="167"/>
      <c r="RXD94" s="168"/>
      <c r="RXE94" s="167"/>
      <c r="RXF94" s="168"/>
      <c r="RXG94" s="167"/>
      <c r="RXH94" s="168"/>
      <c r="RXI94" s="167"/>
      <c r="RXJ94" s="168"/>
      <c r="RXK94" s="167"/>
      <c r="RXL94" s="168"/>
      <c r="RXM94" s="167"/>
      <c r="RXN94" s="168"/>
      <c r="RXO94" s="167"/>
      <c r="RXP94" s="168"/>
      <c r="RXQ94" s="167"/>
      <c r="RXR94" s="168"/>
      <c r="RXS94" s="167"/>
      <c r="RXT94" s="168"/>
      <c r="RXU94" s="167"/>
      <c r="RXV94" s="168"/>
      <c r="RXW94" s="167"/>
      <c r="RXX94" s="168"/>
      <c r="RXY94" s="167"/>
      <c r="RXZ94" s="168"/>
      <c r="RYA94" s="167"/>
      <c r="RYB94" s="168"/>
      <c r="RYC94" s="167"/>
      <c r="RYD94" s="168"/>
      <c r="RYE94" s="167"/>
      <c r="RYF94" s="168"/>
      <c r="RYG94" s="167"/>
      <c r="RYH94" s="168"/>
      <c r="RYI94" s="167"/>
      <c r="RYJ94" s="168"/>
      <c r="RYK94" s="167"/>
      <c r="RYL94" s="168"/>
      <c r="RYM94" s="167"/>
      <c r="RYN94" s="168"/>
      <c r="RYO94" s="167"/>
      <c r="RYP94" s="168"/>
      <c r="RYQ94" s="167"/>
      <c r="RYR94" s="168"/>
      <c r="RYS94" s="167"/>
      <c r="RYT94" s="168"/>
      <c r="RYU94" s="167"/>
      <c r="RYV94" s="168"/>
      <c r="RYW94" s="167"/>
      <c r="RYX94" s="168"/>
      <c r="RYY94" s="167"/>
      <c r="RYZ94" s="168"/>
      <c r="RZA94" s="167"/>
      <c r="RZB94" s="168"/>
      <c r="RZC94" s="167"/>
      <c r="RZD94" s="168"/>
      <c r="RZE94" s="167"/>
      <c r="RZF94" s="168"/>
      <c r="RZG94" s="167"/>
      <c r="RZH94" s="168"/>
      <c r="RZI94" s="167"/>
      <c r="RZJ94" s="168"/>
      <c r="RZK94" s="167"/>
      <c r="RZL94" s="168"/>
      <c r="RZM94" s="167"/>
      <c r="RZN94" s="168"/>
      <c r="RZO94" s="167"/>
      <c r="RZP94" s="168"/>
      <c r="RZQ94" s="167"/>
      <c r="RZR94" s="168"/>
      <c r="RZS94" s="167"/>
      <c r="RZT94" s="168"/>
      <c r="RZU94" s="167"/>
      <c r="RZV94" s="168"/>
      <c r="RZW94" s="167"/>
      <c r="RZX94" s="168"/>
      <c r="RZY94" s="167"/>
      <c r="RZZ94" s="168"/>
      <c r="SAA94" s="167"/>
      <c r="SAB94" s="168"/>
      <c r="SAC94" s="167"/>
      <c r="SAD94" s="168"/>
      <c r="SAE94" s="167"/>
      <c r="SAF94" s="168"/>
      <c r="SAG94" s="167"/>
      <c r="SAH94" s="168"/>
      <c r="SAI94" s="167"/>
      <c r="SAJ94" s="168"/>
      <c r="SAK94" s="167"/>
      <c r="SAL94" s="168"/>
      <c r="SAM94" s="167"/>
      <c r="SAN94" s="168"/>
      <c r="SAO94" s="167"/>
      <c r="SAP94" s="168"/>
      <c r="SAQ94" s="167"/>
      <c r="SAR94" s="168"/>
      <c r="SAS94" s="167"/>
      <c r="SAT94" s="168"/>
      <c r="SAU94" s="167"/>
      <c r="SAV94" s="168"/>
      <c r="SAW94" s="167"/>
      <c r="SAX94" s="168"/>
      <c r="SAY94" s="167"/>
      <c r="SAZ94" s="168"/>
      <c r="SBA94" s="167"/>
      <c r="SBB94" s="168"/>
      <c r="SBC94" s="167"/>
      <c r="SBD94" s="168"/>
      <c r="SBE94" s="167"/>
      <c r="SBF94" s="168"/>
      <c r="SBG94" s="167"/>
      <c r="SBH94" s="168"/>
      <c r="SBI94" s="167"/>
      <c r="SBJ94" s="168"/>
      <c r="SBK94" s="167"/>
      <c r="SBL94" s="168"/>
      <c r="SBM94" s="167"/>
      <c r="SBN94" s="168"/>
      <c r="SBO94" s="167"/>
      <c r="SBP94" s="168"/>
      <c r="SBQ94" s="167"/>
      <c r="SBR94" s="168"/>
      <c r="SBS94" s="167"/>
      <c r="SBT94" s="168"/>
      <c r="SBU94" s="167"/>
      <c r="SBV94" s="168"/>
      <c r="SBW94" s="167"/>
      <c r="SBX94" s="168"/>
      <c r="SBY94" s="167"/>
      <c r="SBZ94" s="168"/>
      <c r="SCA94" s="167"/>
      <c r="SCB94" s="168"/>
      <c r="SCC94" s="167"/>
      <c r="SCD94" s="168"/>
      <c r="SCE94" s="167"/>
      <c r="SCF94" s="168"/>
      <c r="SCG94" s="167"/>
      <c r="SCH94" s="168"/>
      <c r="SCI94" s="167"/>
      <c r="SCJ94" s="168"/>
      <c r="SCK94" s="167"/>
      <c r="SCL94" s="168"/>
      <c r="SCM94" s="167"/>
      <c r="SCN94" s="168"/>
      <c r="SCO94" s="167"/>
      <c r="SCP94" s="168"/>
      <c r="SCQ94" s="167"/>
      <c r="SCR94" s="168"/>
      <c r="SCS94" s="167"/>
      <c r="SCT94" s="168"/>
      <c r="SCU94" s="167"/>
      <c r="SCV94" s="168"/>
      <c r="SCW94" s="167"/>
      <c r="SCX94" s="168"/>
      <c r="SCY94" s="167"/>
      <c r="SCZ94" s="168"/>
      <c r="SDA94" s="167"/>
      <c r="SDB94" s="168"/>
      <c r="SDC94" s="167"/>
      <c r="SDD94" s="168"/>
      <c r="SDE94" s="167"/>
      <c r="SDF94" s="168"/>
      <c r="SDG94" s="167"/>
      <c r="SDH94" s="168"/>
      <c r="SDI94" s="167"/>
      <c r="SDJ94" s="168"/>
      <c r="SDK94" s="167"/>
      <c r="SDL94" s="168"/>
      <c r="SDM94" s="167"/>
      <c r="SDN94" s="168"/>
      <c r="SDO94" s="167"/>
      <c r="SDP94" s="168"/>
      <c r="SDQ94" s="167"/>
      <c r="SDR94" s="168"/>
      <c r="SDS94" s="167"/>
      <c r="SDT94" s="168"/>
      <c r="SDU94" s="167"/>
      <c r="SDV94" s="168"/>
      <c r="SDW94" s="167"/>
      <c r="SDX94" s="168"/>
      <c r="SDY94" s="167"/>
      <c r="SDZ94" s="168"/>
      <c r="SEA94" s="167"/>
      <c r="SEB94" s="168"/>
      <c r="SEC94" s="167"/>
      <c r="SED94" s="168"/>
      <c r="SEE94" s="167"/>
      <c r="SEF94" s="168"/>
      <c r="SEG94" s="167"/>
      <c r="SEH94" s="168"/>
      <c r="SEI94" s="167"/>
      <c r="SEJ94" s="168"/>
      <c r="SEK94" s="167"/>
      <c r="SEL94" s="168"/>
      <c r="SEM94" s="167"/>
      <c r="SEN94" s="168"/>
      <c r="SEO94" s="167"/>
      <c r="SEP94" s="168"/>
      <c r="SEQ94" s="167"/>
      <c r="SER94" s="168"/>
      <c r="SES94" s="167"/>
      <c r="SET94" s="168"/>
      <c r="SEU94" s="167"/>
      <c r="SEV94" s="168"/>
      <c r="SEW94" s="167"/>
      <c r="SEX94" s="168"/>
      <c r="SEY94" s="167"/>
      <c r="SEZ94" s="168"/>
      <c r="SFA94" s="167"/>
      <c r="SFB94" s="168"/>
      <c r="SFC94" s="167"/>
      <c r="SFD94" s="168"/>
      <c r="SFE94" s="167"/>
      <c r="SFF94" s="168"/>
      <c r="SFG94" s="167"/>
      <c r="SFH94" s="168"/>
      <c r="SFI94" s="167"/>
      <c r="SFJ94" s="168"/>
      <c r="SFK94" s="167"/>
      <c r="SFL94" s="168"/>
      <c r="SFM94" s="167"/>
      <c r="SFN94" s="168"/>
      <c r="SFO94" s="167"/>
      <c r="SFP94" s="168"/>
      <c r="SFQ94" s="167"/>
      <c r="SFR94" s="168"/>
      <c r="SFS94" s="167"/>
      <c r="SFT94" s="168"/>
      <c r="SFU94" s="167"/>
      <c r="SFV94" s="168"/>
      <c r="SFW94" s="167"/>
      <c r="SFX94" s="168"/>
      <c r="SFY94" s="167"/>
      <c r="SFZ94" s="168"/>
      <c r="SGA94" s="167"/>
      <c r="SGB94" s="168"/>
      <c r="SGC94" s="167"/>
      <c r="SGD94" s="168"/>
      <c r="SGE94" s="167"/>
      <c r="SGF94" s="168"/>
      <c r="SGG94" s="167"/>
      <c r="SGH94" s="168"/>
      <c r="SGI94" s="167"/>
      <c r="SGJ94" s="168"/>
      <c r="SGK94" s="167"/>
      <c r="SGL94" s="168"/>
      <c r="SGM94" s="167"/>
      <c r="SGN94" s="168"/>
      <c r="SGO94" s="167"/>
      <c r="SGP94" s="168"/>
      <c r="SGQ94" s="167"/>
      <c r="SGR94" s="168"/>
      <c r="SGS94" s="167"/>
      <c r="SGT94" s="168"/>
      <c r="SGU94" s="167"/>
      <c r="SGV94" s="168"/>
      <c r="SGW94" s="167"/>
      <c r="SGX94" s="168"/>
      <c r="SGY94" s="167"/>
      <c r="SGZ94" s="168"/>
      <c r="SHA94" s="167"/>
      <c r="SHB94" s="168"/>
      <c r="SHC94" s="167"/>
      <c r="SHD94" s="168"/>
      <c r="SHE94" s="167"/>
      <c r="SHF94" s="168"/>
      <c r="SHG94" s="167"/>
      <c r="SHH94" s="168"/>
      <c r="SHI94" s="167"/>
      <c r="SHJ94" s="168"/>
      <c r="SHK94" s="167"/>
      <c r="SHL94" s="168"/>
      <c r="SHM94" s="167"/>
      <c r="SHN94" s="168"/>
      <c r="SHO94" s="167"/>
      <c r="SHP94" s="168"/>
      <c r="SHQ94" s="167"/>
      <c r="SHR94" s="168"/>
      <c r="SHS94" s="167"/>
      <c r="SHT94" s="168"/>
      <c r="SHU94" s="167"/>
      <c r="SHV94" s="168"/>
      <c r="SHW94" s="167"/>
      <c r="SHX94" s="168"/>
      <c r="SHY94" s="167"/>
      <c r="SHZ94" s="168"/>
      <c r="SIA94" s="167"/>
      <c r="SIB94" s="168"/>
      <c r="SIC94" s="167"/>
      <c r="SID94" s="168"/>
      <c r="SIE94" s="167"/>
      <c r="SIF94" s="168"/>
      <c r="SIG94" s="167"/>
      <c r="SIH94" s="168"/>
      <c r="SII94" s="167"/>
      <c r="SIJ94" s="168"/>
      <c r="SIK94" s="167"/>
      <c r="SIL94" s="168"/>
      <c r="SIM94" s="167"/>
      <c r="SIN94" s="168"/>
      <c r="SIO94" s="167"/>
      <c r="SIP94" s="168"/>
      <c r="SIQ94" s="167"/>
      <c r="SIR94" s="168"/>
      <c r="SIS94" s="167"/>
      <c r="SIT94" s="168"/>
      <c r="SIU94" s="167"/>
      <c r="SIV94" s="168"/>
      <c r="SIW94" s="167"/>
      <c r="SIX94" s="168"/>
      <c r="SIY94" s="167"/>
      <c r="SIZ94" s="168"/>
      <c r="SJA94" s="167"/>
      <c r="SJB94" s="168"/>
      <c r="SJC94" s="167"/>
      <c r="SJD94" s="168"/>
      <c r="SJE94" s="167"/>
      <c r="SJF94" s="168"/>
      <c r="SJG94" s="167"/>
      <c r="SJH94" s="168"/>
      <c r="SJI94" s="167"/>
      <c r="SJJ94" s="168"/>
      <c r="SJK94" s="167"/>
      <c r="SJL94" s="168"/>
      <c r="SJM94" s="167"/>
      <c r="SJN94" s="168"/>
      <c r="SJO94" s="167"/>
      <c r="SJP94" s="168"/>
      <c r="SJQ94" s="167"/>
      <c r="SJR94" s="168"/>
      <c r="SJS94" s="167"/>
      <c r="SJT94" s="168"/>
      <c r="SJU94" s="167"/>
      <c r="SJV94" s="168"/>
      <c r="SJW94" s="167"/>
      <c r="SJX94" s="168"/>
      <c r="SJY94" s="167"/>
      <c r="SJZ94" s="168"/>
      <c r="SKA94" s="167"/>
      <c r="SKB94" s="168"/>
      <c r="SKC94" s="167"/>
      <c r="SKD94" s="168"/>
      <c r="SKE94" s="167"/>
      <c r="SKF94" s="168"/>
      <c r="SKG94" s="167"/>
      <c r="SKH94" s="168"/>
      <c r="SKI94" s="167"/>
      <c r="SKJ94" s="168"/>
      <c r="SKK94" s="167"/>
      <c r="SKL94" s="168"/>
      <c r="SKM94" s="167"/>
      <c r="SKN94" s="168"/>
      <c r="SKO94" s="167"/>
      <c r="SKP94" s="168"/>
      <c r="SKQ94" s="167"/>
      <c r="SKR94" s="168"/>
      <c r="SKS94" s="167"/>
      <c r="SKT94" s="168"/>
      <c r="SKU94" s="167"/>
      <c r="SKV94" s="168"/>
      <c r="SKW94" s="167"/>
      <c r="SKX94" s="168"/>
      <c r="SKY94" s="167"/>
      <c r="SKZ94" s="168"/>
      <c r="SLA94" s="167"/>
      <c r="SLB94" s="168"/>
      <c r="SLC94" s="167"/>
      <c r="SLD94" s="168"/>
      <c r="SLE94" s="167"/>
      <c r="SLF94" s="168"/>
      <c r="SLG94" s="167"/>
      <c r="SLH94" s="168"/>
      <c r="SLI94" s="167"/>
      <c r="SLJ94" s="168"/>
      <c r="SLK94" s="167"/>
      <c r="SLL94" s="168"/>
      <c r="SLM94" s="167"/>
      <c r="SLN94" s="168"/>
      <c r="SLO94" s="167"/>
      <c r="SLP94" s="168"/>
      <c r="SLQ94" s="167"/>
      <c r="SLR94" s="168"/>
      <c r="SLS94" s="167"/>
      <c r="SLT94" s="168"/>
      <c r="SLU94" s="167"/>
      <c r="SLV94" s="168"/>
      <c r="SLW94" s="167"/>
      <c r="SLX94" s="168"/>
      <c r="SLY94" s="167"/>
      <c r="SLZ94" s="168"/>
      <c r="SMA94" s="167"/>
      <c r="SMB94" s="168"/>
      <c r="SMC94" s="167"/>
      <c r="SMD94" s="168"/>
      <c r="SME94" s="167"/>
      <c r="SMF94" s="168"/>
      <c r="SMG94" s="167"/>
      <c r="SMH94" s="168"/>
      <c r="SMI94" s="167"/>
      <c r="SMJ94" s="168"/>
      <c r="SMK94" s="167"/>
      <c r="SML94" s="168"/>
      <c r="SMM94" s="167"/>
      <c r="SMN94" s="168"/>
      <c r="SMO94" s="167"/>
      <c r="SMP94" s="168"/>
      <c r="SMQ94" s="167"/>
      <c r="SMR94" s="168"/>
      <c r="SMS94" s="167"/>
      <c r="SMT94" s="168"/>
      <c r="SMU94" s="167"/>
      <c r="SMV94" s="168"/>
      <c r="SMW94" s="167"/>
      <c r="SMX94" s="168"/>
      <c r="SMY94" s="167"/>
      <c r="SMZ94" s="168"/>
      <c r="SNA94" s="167"/>
      <c r="SNB94" s="168"/>
      <c r="SNC94" s="167"/>
      <c r="SND94" s="168"/>
      <c r="SNE94" s="167"/>
      <c r="SNF94" s="168"/>
      <c r="SNG94" s="167"/>
      <c r="SNH94" s="168"/>
      <c r="SNI94" s="167"/>
      <c r="SNJ94" s="168"/>
      <c r="SNK94" s="167"/>
      <c r="SNL94" s="168"/>
      <c r="SNM94" s="167"/>
      <c r="SNN94" s="168"/>
      <c r="SNO94" s="167"/>
      <c r="SNP94" s="168"/>
      <c r="SNQ94" s="167"/>
      <c r="SNR94" s="168"/>
      <c r="SNS94" s="167"/>
      <c r="SNT94" s="168"/>
      <c r="SNU94" s="167"/>
      <c r="SNV94" s="168"/>
      <c r="SNW94" s="167"/>
      <c r="SNX94" s="168"/>
      <c r="SNY94" s="167"/>
      <c r="SNZ94" s="168"/>
      <c r="SOA94" s="167"/>
      <c r="SOB94" s="168"/>
      <c r="SOC94" s="167"/>
      <c r="SOD94" s="168"/>
      <c r="SOE94" s="167"/>
      <c r="SOF94" s="168"/>
      <c r="SOG94" s="167"/>
      <c r="SOH94" s="168"/>
      <c r="SOI94" s="167"/>
      <c r="SOJ94" s="168"/>
      <c r="SOK94" s="167"/>
      <c r="SOL94" s="168"/>
      <c r="SOM94" s="167"/>
      <c r="SON94" s="168"/>
      <c r="SOO94" s="167"/>
      <c r="SOP94" s="168"/>
      <c r="SOQ94" s="167"/>
      <c r="SOR94" s="168"/>
      <c r="SOS94" s="167"/>
      <c r="SOT94" s="168"/>
      <c r="SOU94" s="167"/>
      <c r="SOV94" s="168"/>
      <c r="SOW94" s="167"/>
      <c r="SOX94" s="168"/>
      <c r="SOY94" s="167"/>
      <c r="SOZ94" s="168"/>
      <c r="SPA94" s="167"/>
      <c r="SPB94" s="168"/>
      <c r="SPC94" s="167"/>
      <c r="SPD94" s="168"/>
      <c r="SPE94" s="167"/>
      <c r="SPF94" s="168"/>
      <c r="SPG94" s="167"/>
      <c r="SPH94" s="168"/>
      <c r="SPI94" s="167"/>
      <c r="SPJ94" s="168"/>
      <c r="SPK94" s="167"/>
      <c r="SPL94" s="168"/>
      <c r="SPM94" s="167"/>
      <c r="SPN94" s="168"/>
      <c r="SPO94" s="167"/>
      <c r="SPP94" s="168"/>
      <c r="SPQ94" s="167"/>
      <c r="SPR94" s="168"/>
      <c r="SPS94" s="167"/>
      <c r="SPT94" s="168"/>
      <c r="SPU94" s="167"/>
      <c r="SPV94" s="168"/>
      <c r="SPW94" s="167"/>
      <c r="SPX94" s="168"/>
      <c r="SPY94" s="167"/>
      <c r="SPZ94" s="168"/>
      <c r="SQA94" s="167"/>
      <c r="SQB94" s="168"/>
      <c r="SQC94" s="167"/>
      <c r="SQD94" s="168"/>
      <c r="SQE94" s="167"/>
      <c r="SQF94" s="168"/>
      <c r="SQG94" s="167"/>
      <c r="SQH94" s="168"/>
      <c r="SQI94" s="167"/>
      <c r="SQJ94" s="168"/>
      <c r="SQK94" s="167"/>
      <c r="SQL94" s="168"/>
      <c r="SQM94" s="167"/>
      <c r="SQN94" s="168"/>
      <c r="SQO94" s="167"/>
      <c r="SQP94" s="168"/>
      <c r="SQQ94" s="167"/>
      <c r="SQR94" s="168"/>
      <c r="SQS94" s="167"/>
      <c r="SQT94" s="168"/>
      <c r="SQU94" s="167"/>
      <c r="SQV94" s="168"/>
      <c r="SQW94" s="167"/>
      <c r="SQX94" s="168"/>
      <c r="SQY94" s="167"/>
      <c r="SQZ94" s="168"/>
      <c r="SRA94" s="167"/>
      <c r="SRB94" s="168"/>
      <c r="SRC94" s="167"/>
      <c r="SRD94" s="168"/>
      <c r="SRE94" s="167"/>
      <c r="SRF94" s="168"/>
      <c r="SRG94" s="167"/>
      <c r="SRH94" s="168"/>
      <c r="SRI94" s="167"/>
      <c r="SRJ94" s="168"/>
      <c r="SRK94" s="167"/>
      <c r="SRL94" s="168"/>
      <c r="SRM94" s="167"/>
      <c r="SRN94" s="168"/>
      <c r="SRO94" s="167"/>
      <c r="SRP94" s="168"/>
      <c r="SRQ94" s="167"/>
      <c r="SRR94" s="168"/>
      <c r="SRS94" s="167"/>
      <c r="SRT94" s="168"/>
      <c r="SRU94" s="167"/>
      <c r="SRV94" s="168"/>
      <c r="SRW94" s="167"/>
      <c r="SRX94" s="168"/>
      <c r="SRY94" s="167"/>
      <c r="SRZ94" s="168"/>
      <c r="SSA94" s="167"/>
      <c r="SSB94" s="168"/>
      <c r="SSC94" s="167"/>
      <c r="SSD94" s="168"/>
      <c r="SSE94" s="167"/>
      <c r="SSF94" s="168"/>
      <c r="SSG94" s="167"/>
      <c r="SSH94" s="168"/>
      <c r="SSI94" s="167"/>
      <c r="SSJ94" s="168"/>
      <c r="SSK94" s="167"/>
      <c r="SSL94" s="168"/>
      <c r="SSM94" s="167"/>
      <c r="SSN94" s="168"/>
      <c r="SSO94" s="167"/>
      <c r="SSP94" s="168"/>
      <c r="SSQ94" s="167"/>
      <c r="SSR94" s="168"/>
      <c r="SSS94" s="167"/>
      <c r="SST94" s="168"/>
      <c r="SSU94" s="167"/>
      <c r="SSV94" s="168"/>
      <c r="SSW94" s="167"/>
      <c r="SSX94" s="168"/>
      <c r="SSY94" s="167"/>
      <c r="SSZ94" s="168"/>
      <c r="STA94" s="167"/>
      <c r="STB94" s="168"/>
      <c r="STC94" s="167"/>
      <c r="STD94" s="168"/>
      <c r="STE94" s="167"/>
      <c r="STF94" s="168"/>
      <c r="STG94" s="167"/>
      <c r="STH94" s="168"/>
      <c r="STI94" s="167"/>
      <c r="STJ94" s="168"/>
      <c r="STK94" s="167"/>
      <c r="STL94" s="168"/>
      <c r="STM94" s="167"/>
      <c r="STN94" s="168"/>
      <c r="STO94" s="167"/>
      <c r="STP94" s="168"/>
      <c r="STQ94" s="167"/>
      <c r="STR94" s="168"/>
      <c r="STS94" s="167"/>
      <c r="STT94" s="168"/>
      <c r="STU94" s="167"/>
      <c r="STV94" s="168"/>
      <c r="STW94" s="167"/>
      <c r="STX94" s="168"/>
      <c r="STY94" s="167"/>
      <c r="STZ94" s="168"/>
      <c r="SUA94" s="167"/>
      <c r="SUB94" s="168"/>
      <c r="SUC94" s="167"/>
      <c r="SUD94" s="168"/>
      <c r="SUE94" s="167"/>
      <c r="SUF94" s="168"/>
      <c r="SUG94" s="167"/>
      <c r="SUH94" s="168"/>
      <c r="SUI94" s="167"/>
      <c r="SUJ94" s="168"/>
      <c r="SUK94" s="167"/>
      <c r="SUL94" s="168"/>
      <c r="SUM94" s="167"/>
      <c r="SUN94" s="168"/>
      <c r="SUO94" s="167"/>
      <c r="SUP94" s="168"/>
      <c r="SUQ94" s="167"/>
      <c r="SUR94" s="168"/>
      <c r="SUS94" s="167"/>
      <c r="SUT94" s="168"/>
      <c r="SUU94" s="167"/>
      <c r="SUV94" s="168"/>
      <c r="SUW94" s="167"/>
      <c r="SUX94" s="168"/>
      <c r="SUY94" s="167"/>
      <c r="SUZ94" s="168"/>
      <c r="SVA94" s="167"/>
      <c r="SVB94" s="168"/>
      <c r="SVC94" s="167"/>
      <c r="SVD94" s="168"/>
      <c r="SVE94" s="167"/>
      <c r="SVF94" s="168"/>
      <c r="SVG94" s="167"/>
      <c r="SVH94" s="168"/>
      <c r="SVI94" s="167"/>
      <c r="SVJ94" s="168"/>
      <c r="SVK94" s="167"/>
      <c r="SVL94" s="168"/>
      <c r="SVM94" s="167"/>
      <c r="SVN94" s="168"/>
      <c r="SVO94" s="167"/>
      <c r="SVP94" s="168"/>
      <c r="SVQ94" s="167"/>
      <c r="SVR94" s="168"/>
      <c r="SVS94" s="167"/>
      <c r="SVT94" s="168"/>
      <c r="SVU94" s="167"/>
      <c r="SVV94" s="168"/>
      <c r="SVW94" s="167"/>
      <c r="SVX94" s="168"/>
      <c r="SVY94" s="167"/>
      <c r="SVZ94" s="168"/>
      <c r="SWA94" s="167"/>
      <c r="SWB94" s="168"/>
      <c r="SWC94" s="167"/>
      <c r="SWD94" s="168"/>
      <c r="SWE94" s="167"/>
      <c r="SWF94" s="168"/>
      <c r="SWG94" s="167"/>
      <c r="SWH94" s="168"/>
      <c r="SWI94" s="167"/>
      <c r="SWJ94" s="168"/>
      <c r="SWK94" s="167"/>
      <c r="SWL94" s="168"/>
      <c r="SWM94" s="167"/>
      <c r="SWN94" s="168"/>
      <c r="SWO94" s="167"/>
      <c r="SWP94" s="168"/>
      <c r="SWQ94" s="167"/>
      <c r="SWR94" s="168"/>
      <c r="SWS94" s="167"/>
      <c r="SWT94" s="168"/>
      <c r="SWU94" s="167"/>
      <c r="SWV94" s="168"/>
      <c r="SWW94" s="167"/>
      <c r="SWX94" s="168"/>
      <c r="SWY94" s="167"/>
      <c r="SWZ94" s="168"/>
      <c r="SXA94" s="167"/>
      <c r="SXB94" s="168"/>
      <c r="SXC94" s="167"/>
      <c r="SXD94" s="168"/>
      <c r="SXE94" s="167"/>
      <c r="SXF94" s="168"/>
      <c r="SXG94" s="167"/>
      <c r="SXH94" s="168"/>
      <c r="SXI94" s="167"/>
      <c r="SXJ94" s="168"/>
      <c r="SXK94" s="167"/>
      <c r="SXL94" s="168"/>
      <c r="SXM94" s="167"/>
      <c r="SXN94" s="168"/>
      <c r="SXO94" s="167"/>
      <c r="SXP94" s="168"/>
      <c r="SXQ94" s="167"/>
      <c r="SXR94" s="168"/>
      <c r="SXS94" s="167"/>
      <c r="SXT94" s="168"/>
      <c r="SXU94" s="167"/>
      <c r="SXV94" s="168"/>
      <c r="SXW94" s="167"/>
      <c r="SXX94" s="168"/>
      <c r="SXY94" s="167"/>
      <c r="SXZ94" s="168"/>
      <c r="SYA94" s="167"/>
      <c r="SYB94" s="168"/>
      <c r="SYC94" s="167"/>
      <c r="SYD94" s="168"/>
      <c r="SYE94" s="167"/>
      <c r="SYF94" s="168"/>
      <c r="SYG94" s="167"/>
      <c r="SYH94" s="168"/>
      <c r="SYI94" s="167"/>
      <c r="SYJ94" s="168"/>
      <c r="SYK94" s="167"/>
      <c r="SYL94" s="168"/>
      <c r="SYM94" s="167"/>
      <c r="SYN94" s="168"/>
      <c r="SYO94" s="167"/>
      <c r="SYP94" s="168"/>
      <c r="SYQ94" s="167"/>
      <c r="SYR94" s="168"/>
      <c r="SYS94" s="167"/>
      <c r="SYT94" s="168"/>
      <c r="SYU94" s="167"/>
      <c r="SYV94" s="168"/>
      <c r="SYW94" s="167"/>
      <c r="SYX94" s="168"/>
      <c r="SYY94" s="167"/>
      <c r="SYZ94" s="168"/>
      <c r="SZA94" s="167"/>
      <c r="SZB94" s="168"/>
      <c r="SZC94" s="167"/>
      <c r="SZD94" s="168"/>
      <c r="SZE94" s="167"/>
      <c r="SZF94" s="168"/>
      <c r="SZG94" s="167"/>
      <c r="SZH94" s="168"/>
      <c r="SZI94" s="167"/>
      <c r="SZJ94" s="168"/>
      <c r="SZK94" s="167"/>
      <c r="SZL94" s="168"/>
      <c r="SZM94" s="167"/>
      <c r="SZN94" s="168"/>
      <c r="SZO94" s="167"/>
      <c r="SZP94" s="168"/>
      <c r="SZQ94" s="167"/>
      <c r="SZR94" s="168"/>
      <c r="SZS94" s="167"/>
      <c r="SZT94" s="168"/>
      <c r="SZU94" s="167"/>
      <c r="SZV94" s="168"/>
      <c r="SZW94" s="167"/>
      <c r="SZX94" s="168"/>
      <c r="SZY94" s="167"/>
      <c r="SZZ94" s="168"/>
      <c r="TAA94" s="167"/>
      <c r="TAB94" s="168"/>
      <c r="TAC94" s="167"/>
      <c r="TAD94" s="168"/>
      <c r="TAE94" s="167"/>
      <c r="TAF94" s="168"/>
      <c r="TAG94" s="167"/>
      <c r="TAH94" s="168"/>
      <c r="TAI94" s="167"/>
      <c r="TAJ94" s="168"/>
      <c r="TAK94" s="167"/>
      <c r="TAL94" s="168"/>
      <c r="TAM94" s="167"/>
      <c r="TAN94" s="168"/>
      <c r="TAO94" s="167"/>
      <c r="TAP94" s="168"/>
      <c r="TAQ94" s="167"/>
      <c r="TAR94" s="168"/>
      <c r="TAS94" s="167"/>
      <c r="TAT94" s="168"/>
      <c r="TAU94" s="167"/>
      <c r="TAV94" s="168"/>
      <c r="TAW94" s="167"/>
      <c r="TAX94" s="168"/>
      <c r="TAY94" s="167"/>
      <c r="TAZ94" s="168"/>
      <c r="TBA94" s="167"/>
      <c r="TBB94" s="168"/>
      <c r="TBC94" s="167"/>
      <c r="TBD94" s="168"/>
      <c r="TBE94" s="167"/>
      <c r="TBF94" s="168"/>
      <c r="TBG94" s="167"/>
      <c r="TBH94" s="168"/>
      <c r="TBI94" s="167"/>
      <c r="TBJ94" s="168"/>
      <c r="TBK94" s="167"/>
      <c r="TBL94" s="168"/>
      <c r="TBM94" s="167"/>
      <c r="TBN94" s="168"/>
      <c r="TBO94" s="167"/>
      <c r="TBP94" s="168"/>
      <c r="TBQ94" s="167"/>
      <c r="TBR94" s="168"/>
      <c r="TBS94" s="167"/>
      <c r="TBT94" s="168"/>
      <c r="TBU94" s="167"/>
      <c r="TBV94" s="168"/>
      <c r="TBW94" s="167"/>
      <c r="TBX94" s="168"/>
      <c r="TBY94" s="167"/>
      <c r="TBZ94" s="168"/>
      <c r="TCA94" s="167"/>
      <c r="TCB94" s="168"/>
      <c r="TCC94" s="167"/>
      <c r="TCD94" s="168"/>
      <c r="TCE94" s="167"/>
      <c r="TCF94" s="168"/>
      <c r="TCG94" s="167"/>
      <c r="TCH94" s="168"/>
      <c r="TCI94" s="167"/>
      <c r="TCJ94" s="168"/>
      <c r="TCK94" s="167"/>
      <c r="TCL94" s="168"/>
      <c r="TCM94" s="167"/>
      <c r="TCN94" s="168"/>
      <c r="TCO94" s="167"/>
      <c r="TCP94" s="168"/>
      <c r="TCQ94" s="167"/>
      <c r="TCR94" s="168"/>
      <c r="TCS94" s="167"/>
      <c r="TCT94" s="168"/>
      <c r="TCU94" s="167"/>
      <c r="TCV94" s="168"/>
      <c r="TCW94" s="167"/>
      <c r="TCX94" s="168"/>
      <c r="TCY94" s="167"/>
      <c r="TCZ94" s="168"/>
      <c r="TDA94" s="167"/>
      <c r="TDB94" s="168"/>
      <c r="TDC94" s="167"/>
      <c r="TDD94" s="168"/>
      <c r="TDE94" s="167"/>
      <c r="TDF94" s="168"/>
      <c r="TDG94" s="167"/>
      <c r="TDH94" s="168"/>
      <c r="TDI94" s="167"/>
      <c r="TDJ94" s="168"/>
      <c r="TDK94" s="167"/>
      <c r="TDL94" s="168"/>
      <c r="TDM94" s="167"/>
      <c r="TDN94" s="168"/>
      <c r="TDO94" s="167"/>
      <c r="TDP94" s="168"/>
      <c r="TDQ94" s="167"/>
      <c r="TDR94" s="168"/>
      <c r="TDS94" s="167"/>
      <c r="TDT94" s="168"/>
      <c r="TDU94" s="167"/>
      <c r="TDV94" s="168"/>
      <c r="TDW94" s="167"/>
      <c r="TDX94" s="168"/>
      <c r="TDY94" s="167"/>
      <c r="TDZ94" s="168"/>
      <c r="TEA94" s="167"/>
      <c r="TEB94" s="168"/>
      <c r="TEC94" s="167"/>
      <c r="TED94" s="168"/>
      <c r="TEE94" s="167"/>
      <c r="TEF94" s="168"/>
      <c r="TEG94" s="167"/>
      <c r="TEH94" s="168"/>
      <c r="TEI94" s="167"/>
      <c r="TEJ94" s="168"/>
      <c r="TEK94" s="167"/>
      <c r="TEL94" s="168"/>
      <c r="TEM94" s="167"/>
      <c r="TEN94" s="168"/>
      <c r="TEO94" s="167"/>
      <c r="TEP94" s="168"/>
      <c r="TEQ94" s="167"/>
      <c r="TER94" s="168"/>
      <c r="TES94" s="167"/>
      <c r="TET94" s="168"/>
      <c r="TEU94" s="167"/>
      <c r="TEV94" s="168"/>
      <c r="TEW94" s="167"/>
      <c r="TEX94" s="168"/>
      <c r="TEY94" s="167"/>
      <c r="TEZ94" s="168"/>
      <c r="TFA94" s="167"/>
      <c r="TFB94" s="168"/>
      <c r="TFC94" s="167"/>
      <c r="TFD94" s="168"/>
      <c r="TFE94" s="167"/>
      <c r="TFF94" s="168"/>
      <c r="TFG94" s="167"/>
      <c r="TFH94" s="168"/>
      <c r="TFI94" s="167"/>
      <c r="TFJ94" s="168"/>
      <c r="TFK94" s="167"/>
      <c r="TFL94" s="168"/>
      <c r="TFM94" s="167"/>
      <c r="TFN94" s="168"/>
      <c r="TFO94" s="167"/>
      <c r="TFP94" s="168"/>
      <c r="TFQ94" s="167"/>
      <c r="TFR94" s="168"/>
      <c r="TFS94" s="167"/>
      <c r="TFT94" s="168"/>
      <c r="TFU94" s="167"/>
      <c r="TFV94" s="168"/>
      <c r="TFW94" s="167"/>
      <c r="TFX94" s="168"/>
      <c r="TFY94" s="167"/>
      <c r="TFZ94" s="168"/>
      <c r="TGA94" s="167"/>
      <c r="TGB94" s="168"/>
      <c r="TGC94" s="167"/>
      <c r="TGD94" s="168"/>
      <c r="TGE94" s="167"/>
      <c r="TGF94" s="168"/>
      <c r="TGG94" s="167"/>
      <c r="TGH94" s="168"/>
      <c r="TGI94" s="167"/>
      <c r="TGJ94" s="168"/>
      <c r="TGK94" s="167"/>
      <c r="TGL94" s="168"/>
      <c r="TGM94" s="167"/>
      <c r="TGN94" s="168"/>
      <c r="TGO94" s="167"/>
      <c r="TGP94" s="168"/>
      <c r="TGQ94" s="167"/>
      <c r="TGR94" s="168"/>
      <c r="TGS94" s="167"/>
      <c r="TGT94" s="168"/>
      <c r="TGU94" s="167"/>
      <c r="TGV94" s="168"/>
      <c r="TGW94" s="167"/>
      <c r="TGX94" s="168"/>
      <c r="TGY94" s="167"/>
      <c r="TGZ94" s="168"/>
      <c r="THA94" s="167"/>
      <c r="THB94" s="168"/>
      <c r="THC94" s="167"/>
      <c r="THD94" s="168"/>
      <c r="THE94" s="167"/>
      <c r="THF94" s="168"/>
      <c r="THG94" s="167"/>
      <c r="THH94" s="168"/>
      <c r="THI94" s="167"/>
      <c r="THJ94" s="168"/>
      <c r="THK94" s="167"/>
      <c r="THL94" s="168"/>
      <c r="THM94" s="167"/>
      <c r="THN94" s="168"/>
      <c r="THO94" s="167"/>
      <c r="THP94" s="168"/>
      <c r="THQ94" s="167"/>
      <c r="THR94" s="168"/>
      <c r="THS94" s="167"/>
      <c r="THT94" s="168"/>
      <c r="THU94" s="167"/>
      <c r="THV94" s="168"/>
      <c r="THW94" s="167"/>
      <c r="THX94" s="168"/>
      <c r="THY94" s="167"/>
      <c r="THZ94" s="168"/>
      <c r="TIA94" s="167"/>
      <c r="TIB94" s="168"/>
      <c r="TIC94" s="167"/>
      <c r="TID94" s="168"/>
      <c r="TIE94" s="167"/>
      <c r="TIF94" s="168"/>
      <c r="TIG94" s="167"/>
      <c r="TIH94" s="168"/>
      <c r="TII94" s="167"/>
      <c r="TIJ94" s="168"/>
      <c r="TIK94" s="167"/>
      <c r="TIL94" s="168"/>
      <c r="TIM94" s="167"/>
      <c r="TIN94" s="168"/>
      <c r="TIO94" s="167"/>
      <c r="TIP94" s="168"/>
      <c r="TIQ94" s="167"/>
      <c r="TIR94" s="168"/>
      <c r="TIS94" s="167"/>
      <c r="TIT94" s="168"/>
      <c r="TIU94" s="167"/>
      <c r="TIV94" s="168"/>
      <c r="TIW94" s="167"/>
      <c r="TIX94" s="168"/>
      <c r="TIY94" s="167"/>
      <c r="TIZ94" s="168"/>
      <c r="TJA94" s="167"/>
      <c r="TJB94" s="168"/>
      <c r="TJC94" s="167"/>
      <c r="TJD94" s="168"/>
      <c r="TJE94" s="167"/>
      <c r="TJF94" s="168"/>
      <c r="TJG94" s="167"/>
      <c r="TJH94" s="168"/>
      <c r="TJI94" s="167"/>
      <c r="TJJ94" s="168"/>
      <c r="TJK94" s="167"/>
      <c r="TJL94" s="168"/>
      <c r="TJM94" s="167"/>
      <c r="TJN94" s="168"/>
      <c r="TJO94" s="167"/>
      <c r="TJP94" s="168"/>
      <c r="TJQ94" s="167"/>
      <c r="TJR94" s="168"/>
      <c r="TJS94" s="167"/>
      <c r="TJT94" s="168"/>
      <c r="TJU94" s="167"/>
      <c r="TJV94" s="168"/>
      <c r="TJW94" s="167"/>
      <c r="TJX94" s="168"/>
      <c r="TJY94" s="167"/>
      <c r="TJZ94" s="168"/>
      <c r="TKA94" s="167"/>
      <c r="TKB94" s="168"/>
      <c r="TKC94" s="167"/>
      <c r="TKD94" s="168"/>
      <c r="TKE94" s="167"/>
      <c r="TKF94" s="168"/>
      <c r="TKG94" s="167"/>
      <c r="TKH94" s="168"/>
      <c r="TKI94" s="167"/>
      <c r="TKJ94" s="168"/>
      <c r="TKK94" s="167"/>
      <c r="TKL94" s="168"/>
      <c r="TKM94" s="167"/>
      <c r="TKN94" s="168"/>
      <c r="TKO94" s="167"/>
      <c r="TKP94" s="168"/>
      <c r="TKQ94" s="167"/>
      <c r="TKR94" s="168"/>
      <c r="TKS94" s="167"/>
      <c r="TKT94" s="168"/>
      <c r="TKU94" s="167"/>
      <c r="TKV94" s="168"/>
      <c r="TKW94" s="167"/>
      <c r="TKX94" s="168"/>
      <c r="TKY94" s="167"/>
      <c r="TKZ94" s="168"/>
      <c r="TLA94" s="167"/>
      <c r="TLB94" s="168"/>
      <c r="TLC94" s="167"/>
      <c r="TLD94" s="168"/>
      <c r="TLE94" s="167"/>
      <c r="TLF94" s="168"/>
      <c r="TLG94" s="167"/>
      <c r="TLH94" s="168"/>
      <c r="TLI94" s="167"/>
      <c r="TLJ94" s="168"/>
      <c r="TLK94" s="167"/>
      <c r="TLL94" s="168"/>
      <c r="TLM94" s="167"/>
      <c r="TLN94" s="168"/>
      <c r="TLO94" s="167"/>
      <c r="TLP94" s="168"/>
      <c r="TLQ94" s="167"/>
      <c r="TLR94" s="168"/>
      <c r="TLS94" s="167"/>
      <c r="TLT94" s="168"/>
      <c r="TLU94" s="167"/>
      <c r="TLV94" s="168"/>
      <c r="TLW94" s="167"/>
      <c r="TLX94" s="168"/>
      <c r="TLY94" s="167"/>
      <c r="TLZ94" s="168"/>
      <c r="TMA94" s="167"/>
      <c r="TMB94" s="168"/>
      <c r="TMC94" s="167"/>
      <c r="TMD94" s="168"/>
      <c r="TME94" s="167"/>
      <c r="TMF94" s="168"/>
      <c r="TMG94" s="167"/>
      <c r="TMH94" s="168"/>
      <c r="TMI94" s="167"/>
      <c r="TMJ94" s="168"/>
      <c r="TMK94" s="167"/>
      <c r="TML94" s="168"/>
      <c r="TMM94" s="167"/>
      <c r="TMN94" s="168"/>
      <c r="TMO94" s="167"/>
      <c r="TMP94" s="168"/>
      <c r="TMQ94" s="167"/>
      <c r="TMR94" s="168"/>
      <c r="TMS94" s="167"/>
      <c r="TMT94" s="168"/>
      <c r="TMU94" s="167"/>
      <c r="TMV94" s="168"/>
      <c r="TMW94" s="167"/>
      <c r="TMX94" s="168"/>
      <c r="TMY94" s="167"/>
      <c r="TMZ94" s="168"/>
      <c r="TNA94" s="167"/>
      <c r="TNB94" s="168"/>
      <c r="TNC94" s="167"/>
      <c r="TND94" s="168"/>
      <c r="TNE94" s="167"/>
      <c r="TNF94" s="168"/>
      <c r="TNG94" s="167"/>
      <c r="TNH94" s="168"/>
      <c r="TNI94" s="167"/>
      <c r="TNJ94" s="168"/>
      <c r="TNK94" s="167"/>
      <c r="TNL94" s="168"/>
      <c r="TNM94" s="167"/>
      <c r="TNN94" s="168"/>
      <c r="TNO94" s="167"/>
      <c r="TNP94" s="168"/>
      <c r="TNQ94" s="167"/>
      <c r="TNR94" s="168"/>
      <c r="TNS94" s="167"/>
      <c r="TNT94" s="168"/>
      <c r="TNU94" s="167"/>
      <c r="TNV94" s="168"/>
      <c r="TNW94" s="167"/>
      <c r="TNX94" s="168"/>
      <c r="TNY94" s="167"/>
      <c r="TNZ94" s="168"/>
      <c r="TOA94" s="167"/>
      <c r="TOB94" s="168"/>
      <c r="TOC94" s="167"/>
      <c r="TOD94" s="168"/>
      <c r="TOE94" s="167"/>
      <c r="TOF94" s="168"/>
      <c r="TOG94" s="167"/>
      <c r="TOH94" s="168"/>
      <c r="TOI94" s="167"/>
      <c r="TOJ94" s="168"/>
      <c r="TOK94" s="167"/>
      <c r="TOL94" s="168"/>
      <c r="TOM94" s="167"/>
      <c r="TON94" s="168"/>
      <c r="TOO94" s="167"/>
      <c r="TOP94" s="168"/>
      <c r="TOQ94" s="167"/>
      <c r="TOR94" s="168"/>
      <c r="TOS94" s="167"/>
      <c r="TOT94" s="168"/>
      <c r="TOU94" s="167"/>
      <c r="TOV94" s="168"/>
      <c r="TOW94" s="167"/>
      <c r="TOX94" s="168"/>
      <c r="TOY94" s="167"/>
      <c r="TOZ94" s="168"/>
      <c r="TPA94" s="167"/>
      <c r="TPB94" s="168"/>
      <c r="TPC94" s="167"/>
      <c r="TPD94" s="168"/>
      <c r="TPE94" s="167"/>
      <c r="TPF94" s="168"/>
      <c r="TPG94" s="167"/>
      <c r="TPH94" s="168"/>
      <c r="TPI94" s="167"/>
      <c r="TPJ94" s="168"/>
      <c r="TPK94" s="167"/>
      <c r="TPL94" s="168"/>
      <c r="TPM94" s="167"/>
      <c r="TPN94" s="168"/>
      <c r="TPO94" s="167"/>
      <c r="TPP94" s="168"/>
      <c r="TPQ94" s="167"/>
      <c r="TPR94" s="168"/>
      <c r="TPS94" s="167"/>
      <c r="TPT94" s="168"/>
      <c r="TPU94" s="167"/>
      <c r="TPV94" s="168"/>
      <c r="TPW94" s="167"/>
      <c r="TPX94" s="168"/>
      <c r="TPY94" s="167"/>
      <c r="TPZ94" s="168"/>
      <c r="TQA94" s="167"/>
      <c r="TQB94" s="168"/>
      <c r="TQC94" s="167"/>
      <c r="TQD94" s="168"/>
      <c r="TQE94" s="167"/>
      <c r="TQF94" s="168"/>
      <c r="TQG94" s="167"/>
      <c r="TQH94" s="168"/>
      <c r="TQI94" s="167"/>
      <c r="TQJ94" s="168"/>
      <c r="TQK94" s="167"/>
      <c r="TQL94" s="168"/>
      <c r="TQM94" s="167"/>
      <c r="TQN94" s="168"/>
      <c r="TQO94" s="167"/>
      <c r="TQP94" s="168"/>
      <c r="TQQ94" s="167"/>
      <c r="TQR94" s="168"/>
      <c r="TQS94" s="167"/>
      <c r="TQT94" s="168"/>
      <c r="TQU94" s="167"/>
      <c r="TQV94" s="168"/>
      <c r="TQW94" s="167"/>
      <c r="TQX94" s="168"/>
      <c r="TQY94" s="167"/>
      <c r="TQZ94" s="168"/>
      <c r="TRA94" s="167"/>
      <c r="TRB94" s="168"/>
      <c r="TRC94" s="167"/>
      <c r="TRD94" s="168"/>
      <c r="TRE94" s="167"/>
      <c r="TRF94" s="168"/>
      <c r="TRG94" s="167"/>
      <c r="TRH94" s="168"/>
      <c r="TRI94" s="167"/>
      <c r="TRJ94" s="168"/>
      <c r="TRK94" s="167"/>
      <c r="TRL94" s="168"/>
      <c r="TRM94" s="167"/>
      <c r="TRN94" s="168"/>
      <c r="TRO94" s="167"/>
      <c r="TRP94" s="168"/>
      <c r="TRQ94" s="167"/>
      <c r="TRR94" s="168"/>
      <c r="TRS94" s="167"/>
      <c r="TRT94" s="168"/>
      <c r="TRU94" s="167"/>
      <c r="TRV94" s="168"/>
      <c r="TRW94" s="167"/>
      <c r="TRX94" s="168"/>
      <c r="TRY94" s="167"/>
      <c r="TRZ94" s="168"/>
      <c r="TSA94" s="167"/>
      <c r="TSB94" s="168"/>
      <c r="TSC94" s="167"/>
      <c r="TSD94" s="168"/>
      <c r="TSE94" s="167"/>
      <c r="TSF94" s="168"/>
      <c r="TSG94" s="167"/>
      <c r="TSH94" s="168"/>
      <c r="TSI94" s="167"/>
      <c r="TSJ94" s="168"/>
      <c r="TSK94" s="167"/>
      <c r="TSL94" s="168"/>
      <c r="TSM94" s="167"/>
      <c r="TSN94" s="168"/>
      <c r="TSO94" s="167"/>
      <c r="TSP94" s="168"/>
      <c r="TSQ94" s="167"/>
      <c r="TSR94" s="168"/>
      <c r="TSS94" s="167"/>
      <c r="TST94" s="168"/>
      <c r="TSU94" s="167"/>
      <c r="TSV94" s="168"/>
      <c r="TSW94" s="167"/>
      <c r="TSX94" s="168"/>
      <c r="TSY94" s="167"/>
      <c r="TSZ94" s="168"/>
      <c r="TTA94" s="167"/>
      <c r="TTB94" s="168"/>
      <c r="TTC94" s="167"/>
      <c r="TTD94" s="168"/>
      <c r="TTE94" s="167"/>
      <c r="TTF94" s="168"/>
      <c r="TTG94" s="167"/>
      <c r="TTH94" s="168"/>
      <c r="TTI94" s="167"/>
      <c r="TTJ94" s="168"/>
      <c r="TTK94" s="167"/>
      <c r="TTL94" s="168"/>
      <c r="TTM94" s="167"/>
      <c r="TTN94" s="168"/>
      <c r="TTO94" s="167"/>
      <c r="TTP94" s="168"/>
      <c r="TTQ94" s="167"/>
      <c r="TTR94" s="168"/>
      <c r="TTS94" s="167"/>
      <c r="TTT94" s="168"/>
      <c r="TTU94" s="167"/>
      <c r="TTV94" s="168"/>
      <c r="TTW94" s="167"/>
      <c r="TTX94" s="168"/>
      <c r="TTY94" s="167"/>
      <c r="TTZ94" s="168"/>
      <c r="TUA94" s="167"/>
      <c r="TUB94" s="168"/>
      <c r="TUC94" s="167"/>
      <c r="TUD94" s="168"/>
      <c r="TUE94" s="167"/>
      <c r="TUF94" s="168"/>
      <c r="TUG94" s="167"/>
      <c r="TUH94" s="168"/>
      <c r="TUI94" s="167"/>
      <c r="TUJ94" s="168"/>
      <c r="TUK94" s="167"/>
      <c r="TUL94" s="168"/>
      <c r="TUM94" s="167"/>
      <c r="TUN94" s="168"/>
      <c r="TUO94" s="167"/>
      <c r="TUP94" s="168"/>
      <c r="TUQ94" s="167"/>
      <c r="TUR94" s="168"/>
      <c r="TUS94" s="167"/>
      <c r="TUT94" s="168"/>
      <c r="TUU94" s="167"/>
      <c r="TUV94" s="168"/>
      <c r="TUW94" s="167"/>
      <c r="TUX94" s="168"/>
      <c r="TUY94" s="167"/>
      <c r="TUZ94" s="168"/>
      <c r="TVA94" s="167"/>
      <c r="TVB94" s="168"/>
      <c r="TVC94" s="167"/>
      <c r="TVD94" s="168"/>
      <c r="TVE94" s="167"/>
      <c r="TVF94" s="168"/>
      <c r="TVG94" s="167"/>
      <c r="TVH94" s="168"/>
      <c r="TVI94" s="167"/>
      <c r="TVJ94" s="168"/>
      <c r="TVK94" s="167"/>
      <c r="TVL94" s="168"/>
      <c r="TVM94" s="167"/>
      <c r="TVN94" s="168"/>
      <c r="TVO94" s="167"/>
      <c r="TVP94" s="168"/>
      <c r="TVQ94" s="167"/>
      <c r="TVR94" s="168"/>
      <c r="TVS94" s="167"/>
      <c r="TVT94" s="168"/>
      <c r="TVU94" s="167"/>
      <c r="TVV94" s="168"/>
      <c r="TVW94" s="167"/>
      <c r="TVX94" s="168"/>
      <c r="TVY94" s="167"/>
      <c r="TVZ94" s="168"/>
      <c r="TWA94" s="167"/>
      <c r="TWB94" s="168"/>
      <c r="TWC94" s="167"/>
      <c r="TWD94" s="168"/>
      <c r="TWE94" s="167"/>
      <c r="TWF94" s="168"/>
      <c r="TWG94" s="167"/>
      <c r="TWH94" s="168"/>
      <c r="TWI94" s="167"/>
      <c r="TWJ94" s="168"/>
      <c r="TWK94" s="167"/>
      <c r="TWL94" s="168"/>
      <c r="TWM94" s="167"/>
      <c r="TWN94" s="168"/>
      <c r="TWO94" s="167"/>
      <c r="TWP94" s="168"/>
      <c r="TWQ94" s="167"/>
      <c r="TWR94" s="168"/>
      <c r="TWS94" s="167"/>
      <c r="TWT94" s="168"/>
      <c r="TWU94" s="167"/>
      <c r="TWV94" s="168"/>
      <c r="TWW94" s="167"/>
      <c r="TWX94" s="168"/>
      <c r="TWY94" s="167"/>
      <c r="TWZ94" s="168"/>
      <c r="TXA94" s="167"/>
      <c r="TXB94" s="168"/>
      <c r="TXC94" s="167"/>
      <c r="TXD94" s="168"/>
      <c r="TXE94" s="167"/>
      <c r="TXF94" s="168"/>
      <c r="TXG94" s="167"/>
      <c r="TXH94" s="168"/>
      <c r="TXI94" s="167"/>
      <c r="TXJ94" s="168"/>
      <c r="TXK94" s="167"/>
      <c r="TXL94" s="168"/>
      <c r="TXM94" s="167"/>
      <c r="TXN94" s="168"/>
      <c r="TXO94" s="167"/>
      <c r="TXP94" s="168"/>
      <c r="TXQ94" s="167"/>
      <c r="TXR94" s="168"/>
      <c r="TXS94" s="167"/>
      <c r="TXT94" s="168"/>
      <c r="TXU94" s="167"/>
      <c r="TXV94" s="168"/>
      <c r="TXW94" s="167"/>
      <c r="TXX94" s="168"/>
      <c r="TXY94" s="167"/>
      <c r="TXZ94" s="168"/>
      <c r="TYA94" s="167"/>
      <c r="TYB94" s="168"/>
      <c r="TYC94" s="167"/>
      <c r="TYD94" s="168"/>
      <c r="TYE94" s="167"/>
      <c r="TYF94" s="168"/>
      <c r="TYG94" s="167"/>
      <c r="TYH94" s="168"/>
      <c r="TYI94" s="167"/>
      <c r="TYJ94" s="168"/>
      <c r="TYK94" s="167"/>
      <c r="TYL94" s="168"/>
      <c r="TYM94" s="167"/>
      <c r="TYN94" s="168"/>
      <c r="TYO94" s="167"/>
      <c r="TYP94" s="168"/>
      <c r="TYQ94" s="167"/>
      <c r="TYR94" s="168"/>
      <c r="TYS94" s="167"/>
      <c r="TYT94" s="168"/>
      <c r="TYU94" s="167"/>
      <c r="TYV94" s="168"/>
      <c r="TYW94" s="167"/>
      <c r="TYX94" s="168"/>
      <c r="TYY94" s="167"/>
      <c r="TYZ94" s="168"/>
      <c r="TZA94" s="167"/>
      <c r="TZB94" s="168"/>
      <c r="TZC94" s="167"/>
      <c r="TZD94" s="168"/>
      <c r="TZE94" s="167"/>
      <c r="TZF94" s="168"/>
      <c r="TZG94" s="167"/>
      <c r="TZH94" s="168"/>
      <c r="TZI94" s="167"/>
      <c r="TZJ94" s="168"/>
      <c r="TZK94" s="167"/>
      <c r="TZL94" s="168"/>
      <c r="TZM94" s="167"/>
      <c r="TZN94" s="168"/>
      <c r="TZO94" s="167"/>
      <c r="TZP94" s="168"/>
      <c r="TZQ94" s="167"/>
      <c r="TZR94" s="168"/>
      <c r="TZS94" s="167"/>
      <c r="TZT94" s="168"/>
      <c r="TZU94" s="167"/>
      <c r="TZV94" s="168"/>
      <c r="TZW94" s="167"/>
      <c r="TZX94" s="168"/>
      <c r="TZY94" s="167"/>
      <c r="TZZ94" s="168"/>
      <c r="UAA94" s="167"/>
      <c r="UAB94" s="168"/>
      <c r="UAC94" s="167"/>
      <c r="UAD94" s="168"/>
      <c r="UAE94" s="167"/>
      <c r="UAF94" s="168"/>
      <c r="UAG94" s="167"/>
      <c r="UAH94" s="168"/>
      <c r="UAI94" s="167"/>
      <c r="UAJ94" s="168"/>
      <c r="UAK94" s="167"/>
      <c r="UAL94" s="168"/>
      <c r="UAM94" s="167"/>
      <c r="UAN94" s="168"/>
      <c r="UAO94" s="167"/>
      <c r="UAP94" s="168"/>
      <c r="UAQ94" s="167"/>
      <c r="UAR94" s="168"/>
      <c r="UAS94" s="167"/>
      <c r="UAT94" s="168"/>
      <c r="UAU94" s="167"/>
      <c r="UAV94" s="168"/>
      <c r="UAW94" s="167"/>
      <c r="UAX94" s="168"/>
      <c r="UAY94" s="167"/>
      <c r="UAZ94" s="168"/>
      <c r="UBA94" s="167"/>
      <c r="UBB94" s="168"/>
      <c r="UBC94" s="167"/>
      <c r="UBD94" s="168"/>
      <c r="UBE94" s="167"/>
      <c r="UBF94" s="168"/>
      <c r="UBG94" s="167"/>
      <c r="UBH94" s="168"/>
      <c r="UBI94" s="167"/>
      <c r="UBJ94" s="168"/>
      <c r="UBK94" s="167"/>
      <c r="UBL94" s="168"/>
      <c r="UBM94" s="167"/>
      <c r="UBN94" s="168"/>
      <c r="UBO94" s="167"/>
      <c r="UBP94" s="168"/>
      <c r="UBQ94" s="167"/>
      <c r="UBR94" s="168"/>
      <c r="UBS94" s="167"/>
      <c r="UBT94" s="168"/>
      <c r="UBU94" s="167"/>
      <c r="UBV94" s="168"/>
      <c r="UBW94" s="167"/>
      <c r="UBX94" s="168"/>
      <c r="UBY94" s="167"/>
      <c r="UBZ94" s="168"/>
      <c r="UCA94" s="167"/>
      <c r="UCB94" s="168"/>
      <c r="UCC94" s="167"/>
      <c r="UCD94" s="168"/>
      <c r="UCE94" s="167"/>
      <c r="UCF94" s="168"/>
      <c r="UCG94" s="167"/>
      <c r="UCH94" s="168"/>
      <c r="UCI94" s="167"/>
      <c r="UCJ94" s="168"/>
      <c r="UCK94" s="167"/>
      <c r="UCL94" s="168"/>
      <c r="UCM94" s="167"/>
      <c r="UCN94" s="168"/>
      <c r="UCO94" s="167"/>
      <c r="UCP94" s="168"/>
      <c r="UCQ94" s="167"/>
      <c r="UCR94" s="168"/>
      <c r="UCS94" s="167"/>
      <c r="UCT94" s="168"/>
      <c r="UCU94" s="167"/>
      <c r="UCV94" s="168"/>
      <c r="UCW94" s="167"/>
      <c r="UCX94" s="168"/>
      <c r="UCY94" s="167"/>
      <c r="UCZ94" s="168"/>
      <c r="UDA94" s="167"/>
      <c r="UDB94" s="168"/>
      <c r="UDC94" s="167"/>
      <c r="UDD94" s="168"/>
      <c r="UDE94" s="167"/>
      <c r="UDF94" s="168"/>
      <c r="UDG94" s="167"/>
      <c r="UDH94" s="168"/>
      <c r="UDI94" s="167"/>
      <c r="UDJ94" s="168"/>
      <c r="UDK94" s="167"/>
      <c r="UDL94" s="168"/>
      <c r="UDM94" s="167"/>
      <c r="UDN94" s="168"/>
      <c r="UDO94" s="167"/>
      <c r="UDP94" s="168"/>
      <c r="UDQ94" s="167"/>
      <c r="UDR94" s="168"/>
      <c r="UDS94" s="167"/>
      <c r="UDT94" s="168"/>
      <c r="UDU94" s="167"/>
      <c r="UDV94" s="168"/>
      <c r="UDW94" s="167"/>
      <c r="UDX94" s="168"/>
      <c r="UDY94" s="167"/>
      <c r="UDZ94" s="168"/>
      <c r="UEA94" s="167"/>
      <c r="UEB94" s="168"/>
      <c r="UEC94" s="167"/>
      <c r="UED94" s="168"/>
      <c r="UEE94" s="167"/>
      <c r="UEF94" s="168"/>
      <c r="UEG94" s="167"/>
      <c r="UEH94" s="168"/>
      <c r="UEI94" s="167"/>
      <c r="UEJ94" s="168"/>
      <c r="UEK94" s="167"/>
      <c r="UEL94" s="168"/>
      <c r="UEM94" s="167"/>
      <c r="UEN94" s="168"/>
      <c r="UEO94" s="167"/>
      <c r="UEP94" s="168"/>
      <c r="UEQ94" s="167"/>
      <c r="UER94" s="168"/>
      <c r="UES94" s="167"/>
      <c r="UET94" s="168"/>
      <c r="UEU94" s="167"/>
      <c r="UEV94" s="168"/>
      <c r="UEW94" s="167"/>
      <c r="UEX94" s="168"/>
      <c r="UEY94" s="167"/>
      <c r="UEZ94" s="168"/>
      <c r="UFA94" s="167"/>
      <c r="UFB94" s="168"/>
      <c r="UFC94" s="167"/>
      <c r="UFD94" s="168"/>
      <c r="UFE94" s="167"/>
      <c r="UFF94" s="168"/>
      <c r="UFG94" s="167"/>
      <c r="UFH94" s="168"/>
      <c r="UFI94" s="167"/>
      <c r="UFJ94" s="168"/>
      <c r="UFK94" s="167"/>
      <c r="UFL94" s="168"/>
      <c r="UFM94" s="167"/>
      <c r="UFN94" s="168"/>
      <c r="UFO94" s="167"/>
      <c r="UFP94" s="168"/>
      <c r="UFQ94" s="167"/>
      <c r="UFR94" s="168"/>
      <c r="UFS94" s="167"/>
      <c r="UFT94" s="168"/>
      <c r="UFU94" s="167"/>
      <c r="UFV94" s="168"/>
      <c r="UFW94" s="167"/>
      <c r="UFX94" s="168"/>
      <c r="UFY94" s="167"/>
      <c r="UFZ94" s="168"/>
      <c r="UGA94" s="167"/>
      <c r="UGB94" s="168"/>
      <c r="UGC94" s="167"/>
      <c r="UGD94" s="168"/>
      <c r="UGE94" s="167"/>
      <c r="UGF94" s="168"/>
      <c r="UGG94" s="167"/>
      <c r="UGH94" s="168"/>
      <c r="UGI94" s="167"/>
      <c r="UGJ94" s="168"/>
      <c r="UGK94" s="167"/>
      <c r="UGL94" s="168"/>
      <c r="UGM94" s="167"/>
      <c r="UGN94" s="168"/>
      <c r="UGO94" s="167"/>
      <c r="UGP94" s="168"/>
      <c r="UGQ94" s="167"/>
      <c r="UGR94" s="168"/>
      <c r="UGS94" s="167"/>
      <c r="UGT94" s="168"/>
      <c r="UGU94" s="167"/>
      <c r="UGV94" s="168"/>
      <c r="UGW94" s="167"/>
      <c r="UGX94" s="168"/>
      <c r="UGY94" s="167"/>
      <c r="UGZ94" s="168"/>
      <c r="UHA94" s="167"/>
      <c r="UHB94" s="168"/>
      <c r="UHC94" s="167"/>
      <c r="UHD94" s="168"/>
      <c r="UHE94" s="167"/>
      <c r="UHF94" s="168"/>
      <c r="UHG94" s="167"/>
      <c r="UHH94" s="168"/>
      <c r="UHI94" s="167"/>
      <c r="UHJ94" s="168"/>
      <c r="UHK94" s="167"/>
      <c r="UHL94" s="168"/>
      <c r="UHM94" s="167"/>
      <c r="UHN94" s="168"/>
      <c r="UHO94" s="167"/>
      <c r="UHP94" s="168"/>
      <c r="UHQ94" s="167"/>
      <c r="UHR94" s="168"/>
      <c r="UHS94" s="167"/>
      <c r="UHT94" s="168"/>
      <c r="UHU94" s="167"/>
      <c r="UHV94" s="168"/>
      <c r="UHW94" s="167"/>
      <c r="UHX94" s="168"/>
      <c r="UHY94" s="167"/>
      <c r="UHZ94" s="168"/>
      <c r="UIA94" s="167"/>
      <c r="UIB94" s="168"/>
      <c r="UIC94" s="167"/>
      <c r="UID94" s="168"/>
      <c r="UIE94" s="167"/>
      <c r="UIF94" s="168"/>
      <c r="UIG94" s="167"/>
      <c r="UIH94" s="168"/>
      <c r="UII94" s="167"/>
      <c r="UIJ94" s="168"/>
      <c r="UIK94" s="167"/>
      <c r="UIL94" s="168"/>
      <c r="UIM94" s="167"/>
      <c r="UIN94" s="168"/>
      <c r="UIO94" s="167"/>
      <c r="UIP94" s="168"/>
      <c r="UIQ94" s="167"/>
      <c r="UIR94" s="168"/>
      <c r="UIS94" s="167"/>
      <c r="UIT94" s="168"/>
      <c r="UIU94" s="167"/>
      <c r="UIV94" s="168"/>
      <c r="UIW94" s="167"/>
      <c r="UIX94" s="168"/>
      <c r="UIY94" s="167"/>
      <c r="UIZ94" s="168"/>
      <c r="UJA94" s="167"/>
      <c r="UJB94" s="168"/>
      <c r="UJC94" s="167"/>
      <c r="UJD94" s="168"/>
      <c r="UJE94" s="167"/>
      <c r="UJF94" s="168"/>
      <c r="UJG94" s="167"/>
      <c r="UJH94" s="168"/>
      <c r="UJI94" s="167"/>
      <c r="UJJ94" s="168"/>
      <c r="UJK94" s="167"/>
      <c r="UJL94" s="168"/>
      <c r="UJM94" s="167"/>
      <c r="UJN94" s="168"/>
      <c r="UJO94" s="167"/>
      <c r="UJP94" s="168"/>
      <c r="UJQ94" s="167"/>
      <c r="UJR94" s="168"/>
      <c r="UJS94" s="167"/>
      <c r="UJT94" s="168"/>
      <c r="UJU94" s="167"/>
      <c r="UJV94" s="168"/>
      <c r="UJW94" s="167"/>
      <c r="UJX94" s="168"/>
      <c r="UJY94" s="167"/>
      <c r="UJZ94" s="168"/>
      <c r="UKA94" s="167"/>
      <c r="UKB94" s="168"/>
      <c r="UKC94" s="167"/>
      <c r="UKD94" s="168"/>
      <c r="UKE94" s="167"/>
      <c r="UKF94" s="168"/>
      <c r="UKG94" s="167"/>
      <c r="UKH94" s="168"/>
      <c r="UKI94" s="167"/>
      <c r="UKJ94" s="168"/>
      <c r="UKK94" s="167"/>
      <c r="UKL94" s="168"/>
      <c r="UKM94" s="167"/>
      <c r="UKN94" s="168"/>
      <c r="UKO94" s="167"/>
      <c r="UKP94" s="168"/>
      <c r="UKQ94" s="167"/>
      <c r="UKR94" s="168"/>
      <c r="UKS94" s="167"/>
      <c r="UKT94" s="168"/>
      <c r="UKU94" s="167"/>
      <c r="UKV94" s="168"/>
      <c r="UKW94" s="167"/>
      <c r="UKX94" s="168"/>
      <c r="UKY94" s="167"/>
      <c r="UKZ94" s="168"/>
      <c r="ULA94" s="167"/>
      <c r="ULB94" s="168"/>
      <c r="ULC94" s="167"/>
      <c r="ULD94" s="168"/>
      <c r="ULE94" s="167"/>
      <c r="ULF94" s="168"/>
      <c r="ULG94" s="167"/>
      <c r="ULH94" s="168"/>
      <c r="ULI94" s="167"/>
      <c r="ULJ94" s="168"/>
      <c r="ULK94" s="167"/>
      <c r="ULL94" s="168"/>
      <c r="ULM94" s="167"/>
      <c r="ULN94" s="168"/>
      <c r="ULO94" s="167"/>
      <c r="ULP94" s="168"/>
      <c r="ULQ94" s="167"/>
      <c r="ULR94" s="168"/>
      <c r="ULS94" s="167"/>
      <c r="ULT94" s="168"/>
      <c r="ULU94" s="167"/>
      <c r="ULV94" s="168"/>
      <c r="ULW94" s="167"/>
      <c r="ULX94" s="168"/>
      <c r="ULY94" s="167"/>
      <c r="ULZ94" s="168"/>
      <c r="UMA94" s="167"/>
      <c r="UMB94" s="168"/>
      <c r="UMC94" s="167"/>
      <c r="UMD94" s="168"/>
      <c r="UME94" s="167"/>
      <c r="UMF94" s="168"/>
      <c r="UMG94" s="167"/>
      <c r="UMH94" s="168"/>
      <c r="UMI94" s="167"/>
      <c r="UMJ94" s="168"/>
      <c r="UMK94" s="167"/>
      <c r="UML94" s="168"/>
      <c r="UMM94" s="167"/>
      <c r="UMN94" s="168"/>
      <c r="UMO94" s="167"/>
      <c r="UMP94" s="168"/>
      <c r="UMQ94" s="167"/>
      <c r="UMR94" s="168"/>
      <c r="UMS94" s="167"/>
      <c r="UMT94" s="168"/>
      <c r="UMU94" s="167"/>
      <c r="UMV94" s="168"/>
      <c r="UMW94" s="167"/>
      <c r="UMX94" s="168"/>
      <c r="UMY94" s="167"/>
      <c r="UMZ94" s="168"/>
      <c r="UNA94" s="167"/>
      <c r="UNB94" s="168"/>
      <c r="UNC94" s="167"/>
      <c r="UND94" s="168"/>
      <c r="UNE94" s="167"/>
      <c r="UNF94" s="168"/>
      <c r="UNG94" s="167"/>
      <c r="UNH94" s="168"/>
      <c r="UNI94" s="167"/>
      <c r="UNJ94" s="168"/>
      <c r="UNK94" s="167"/>
      <c r="UNL94" s="168"/>
      <c r="UNM94" s="167"/>
      <c r="UNN94" s="168"/>
      <c r="UNO94" s="167"/>
      <c r="UNP94" s="168"/>
      <c r="UNQ94" s="167"/>
      <c r="UNR94" s="168"/>
      <c r="UNS94" s="167"/>
      <c r="UNT94" s="168"/>
      <c r="UNU94" s="167"/>
      <c r="UNV94" s="168"/>
      <c r="UNW94" s="167"/>
      <c r="UNX94" s="168"/>
      <c r="UNY94" s="167"/>
      <c r="UNZ94" s="168"/>
      <c r="UOA94" s="167"/>
      <c r="UOB94" s="168"/>
      <c r="UOC94" s="167"/>
      <c r="UOD94" s="168"/>
      <c r="UOE94" s="167"/>
      <c r="UOF94" s="168"/>
      <c r="UOG94" s="167"/>
      <c r="UOH94" s="168"/>
      <c r="UOI94" s="167"/>
      <c r="UOJ94" s="168"/>
      <c r="UOK94" s="167"/>
      <c r="UOL94" s="168"/>
      <c r="UOM94" s="167"/>
      <c r="UON94" s="168"/>
      <c r="UOO94" s="167"/>
      <c r="UOP94" s="168"/>
      <c r="UOQ94" s="167"/>
      <c r="UOR94" s="168"/>
      <c r="UOS94" s="167"/>
      <c r="UOT94" s="168"/>
      <c r="UOU94" s="167"/>
      <c r="UOV94" s="168"/>
      <c r="UOW94" s="167"/>
      <c r="UOX94" s="168"/>
      <c r="UOY94" s="167"/>
      <c r="UOZ94" s="168"/>
      <c r="UPA94" s="167"/>
      <c r="UPB94" s="168"/>
      <c r="UPC94" s="167"/>
      <c r="UPD94" s="168"/>
      <c r="UPE94" s="167"/>
      <c r="UPF94" s="168"/>
      <c r="UPG94" s="167"/>
      <c r="UPH94" s="168"/>
      <c r="UPI94" s="167"/>
      <c r="UPJ94" s="168"/>
      <c r="UPK94" s="167"/>
      <c r="UPL94" s="168"/>
      <c r="UPM94" s="167"/>
      <c r="UPN94" s="168"/>
      <c r="UPO94" s="167"/>
      <c r="UPP94" s="168"/>
      <c r="UPQ94" s="167"/>
      <c r="UPR94" s="168"/>
      <c r="UPS94" s="167"/>
      <c r="UPT94" s="168"/>
      <c r="UPU94" s="167"/>
      <c r="UPV94" s="168"/>
      <c r="UPW94" s="167"/>
      <c r="UPX94" s="168"/>
      <c r="UPY94" s="167"/>
      <c r="UPZ94" s="168"/>
      <c r="UQA94" s="167"/>
      <c r="UQB94" s="168"/>
      <c r="UQC94" s="167"/>
      <c r="UQD94" s="168"/>
      <c r="UQE94" s="167"/>
      <c r="UQF94" s="168"/>
      <c r="UQG94" s="167"/>
      <c r="UQH94" s="168"/>
      <c r="UQI94" s="167"/>
      <c r="UQJ94" s="168"/>
      <c r="UQK94" s="167"/>
      <c r="UQL94" s="168"/>
      <c r="UQM94" s="167"/>
      <c r="UQN94" s="168"/>
      <c r="UQO94" s="167"/>
      <c r="UQP94" s="168"/>
      <c r="UQQ94" s="167"/>
      <c r="UQR94" s="168"/>
      <c r="UQS94" s="167"/>
      <c r="UQT94" s="168"/>
      <c r="UQU94" s="167"/>
      <c r="UQV94" s="168"/>
      <c r="UQW94" s="167"/>
      <c r="UQX94" s="168"/>
      <c r="UQY94" s="167"/>
      <c r="UQZ94" s="168"/>
      <c r="URA94" s="167"/>
      <c r="URB94" s="168"/>
      <c r="URC94" s="167"/>
      <c r="URD94" s="168"/>
      <c r="URE94" s="167"/>
      <c r="URF94" s="168"/>
      <c r="URG94" s="167"/>
      <c r="URH94" s="168"/>
      <c r="URI94" s="167"/>
      <c r="URJ94" s="168"/>
      <c r="URK94" s="167"/>
      <c r="URL94" s="168"/>
      <c r="URM94" s="167"/>
      <c r="URN94" s="168"/>
      <c r="URO94" s="167"/>
      <c r="URP94" s="168"/>
      <c r="URQ94" s="167"/>
      <c r="URR94" s="168"/>
      <c r="URS94" s="167"/>
      <c r="URT94" s="168"/>
      <c r="URU94" s="167"/>
      <c r="URV94" s="168"/>
      <c r="URW94" s="167"/>
      <c r="URX94" s="168"/>
      <c r="URY94" s="167"/>
      <c r="URZ94" s="168"/>
      <c r="USA94" s="167"/>
      <c r="USB94" s="168"/>
      <c r="USC94" s="167"/>
      <c r="USD94" s="168"/>
      <c r="USE94" s="167"/>
      <c r="USF94" s="168"/>
      <c r="USG94" s="167"/>
      <c r="USH94" s="168"/>
      <c r="USI94" s="167"/>
      <c r="USJ94" s="168"/>
      <c r="USK94" s="167"/>
      <c r="USL94" s="168"/>
      <c r="USM94" s="167"/>
      <c r="USN94" s="168"/>
      <c r="USO94" s="167"/>
      <c r="USP94" s="168"/>
      <c r="USQ94" s="167"/>
      <c r="USR94" s="168"/>
      <c r="USS94" s="167"/>
      <c r="UST94" s="168"/>
      <c r="USU94" s="167"/>
      <c r="USV94" s="168"/>
      <c r="USW94" s="167"/>
      <c r="USX94" s="168"/>
      <c r="USY94" s="167"/>
      <c r="USZ94" s="168"/>
      <c r="UTA94" s="167"/>
      <c r="UTB94" s="168"/>
      <c r="UTC94" s="167"/>
      <c r="UTD94" s="168"/>
      <c r="UTE94" s="167"/>
      <c r="UTF94" s="168"/>
      <c r="UTG94" s="167"/>
      <c r="UTH94" s="168"/>
      <c r="UTI94" s="167"/>
      <c r="UTJ94" s="168"/>
      <c r="UTK94" s="167"/>
      <c r="UTL94" s="168"/>
      <c r="UTM94" s="167"/>
      <c r="UTN94" s="168"/>
      <c r="UTO94" s="167"/>
      <c r="UTP94" s="168"/>
      <c r="UTQ94" s="167"/>
      <c r="UTR94" s="168"/>
      <c r="UTS94" s="167"/>
      <c r="UTT94" s="168"/>
      <c r="UTU94" s="167"/>
      <c r="UTV94" s="168"/>
      <c r="UTW94" s="167"/>
      <c r="UTX94" s="168"/>
      <c r="UTY94" s="167"/>
      <c r="UTZ94" s="168"/>
      <c r="UUA94" s="167"/>
      <c r="UUB94" s="168"/>
      <c r="UUC94" s="167"/>
      <c r="UUD94" s="168"/>
      <c r="UUE94" s="167"/>
      <c r="UUF94" s="168"/>
      <c r="UUG94" s="167"/>
      <c r="UUH94" s="168"/>
      <c r="UUI94" s="167"/>
      <c r="UUJ94" s="168"/>
      <c r="UUK94" s="167"/>
      <c r="UUL94" s="168"/>
      <c r="UUM94" s="167"/>
      <c r="UUN94" s="168"/>
      <c r="UUO94" s="167"/>
      <c r="UUP94" s="168"/>
      <c r="UUQ94" s="167"/>
      <c r="UUR94" s="168"/>
      <c r="UUS94" s="167"/>
      <c r="UUT94" s="168"/>
      <c r="UUU94" s="167"/>
      <c r="UUV94" s="168"/>
      <c r="UUW94" s="167"/>
      <c r="UUX94" s="168"/>
      <c r="UUY94" s="167"/>
      <c r="UUZ94" s="168"/>
      <c r="UVA94" s="167"/>
      <c r="UVB94" s="168"/>
      <c r="UVC94" s="167"/>
      <c r="UVD94" s="168"/>
      <c r="UVE94" s="167"/>
      <c r="UVF94" s="168"/>
      <c r="UVG94" s="167"/>
      <c r="UVH94" s="168"/>
      <c r="UVI94" s="167"/>
      <c r="UVJ94" s="168"/>
      <c r="UVK94" s="167"/>
      <c r="UVL94" s="168"/>
      <c r="UVM94" s="167"/>
      <c r="UVN94" s="168"/>
      <c r="UVO94" s="167"/>
      <c r="UVP94" s="168"/>
      <c r="UVQ94" s="167"/>
      <c r="UVR94" s="168"/>
      <c r="UVS94" s="167"/>
      <c r="UVT94" s="168"/>
      <c r="UVU94" s="167"/>
      <c r="UVV94" s="168"/>
      <c r="UVW94" s="167"/>
      <c r="UVX94" s="168"/>
      <c r="UVY94" s="167"/>
      <c r="UVZ94" s="168"/>
      <c r="UWA94" s="167"/>
      <c r="UWB94" s="168"/>
      <c r="UWC94" s="167"/>
      <c r="UWD94" s="168"/>
      <c r="UWE94" s="167"/>
      <c r="UWF94" s="168"/>
      <c r="UWG94" s="167"/>
      <c r="UWH94" s="168"/>
      <c r="UWI94" s="167"/>
      <c r="UWJ94" s="168"/>
      <c r="UWK94" s="167"/>
      <c r="UWL94" s="168"/>
      <c r="UWM94" s="167"/>
      <c r="UWN94" s="168"/>
      <c r="UWO94" s="167"/>
      <c r="UWP94" s="168"/>
      <c r="UWQ94" s="167"/>
      <c r="UWR94" s="168"/>
      <c r="UWS94" s="167"/>
      <c r="UWT94" s="168"/>
      <c r="UWU94" s="167"/>
      <c r="UWV94" s="168"/>
      <c r="UWW94" s="167"/>
      <c r="UWX94" s="168"/>
      <c r="UWY94" s="167"/>
      <c r="UWZ94" s="168"/>
      <c r="UXA94" s="167"/>
      <c r="UXB94" s="168"/>
      <c r="UXC94" s="167"/>
      <c r="UXD94" s="168"/>
      <c r="UXE94" s="167"/>
      <c r="UXF94" s="168"/>
      <c r="UXG94" s="167"/>
      <c r="UXH94" s="168"/>
      <c r="UXI94" s="167"/>
      <c r="UXJ94" s="168"/>
      <c r="UXK94" s="167"/>
      <c r="UXL94" s="168"/>
      <c r="UXM94" s="167"/>
      <c r="UXN94" s="168"/>
      <c r="UXO94" s="167"/>
      <c r="UXP94" s="168"/>
      <c r="UXQ94" s="167"/>
      <c r="UXR94" s="168"/>
      <c r="UXS94" s="167"/>
      <c r="UXT94" s="168"/>
      <c r="UXU94" s="167"/>
      <c r="UXV94" s="168"/>
      <c r="UXW94" s="167"/>
      <c r="UXX94" s="168"/>
      <c r="UXY94" s="167"/>
      <c r="UXZ94" s="168"/>
      <c r="UYA94" s="167"/>
      <c r="UYB94" s="168"/>
      <c r="UYC94" s="167"/>
      <c r="UYD94" s="168"/>
      <c r="UYE94" s="167"/>
      <c r="UYF94" s="168"/>
      <c r="UYG94" s="167"/>
      <c r="UYH94" s="168"/>
      <c r="UYI94" s="167"/>
      <c r="UYJ94" s="168"/>
      <c r="UYK94" s="167"/>
      <c r="UYL94" s="168"/>
      <c r="UYM94" s="167"/>
      <c r="UYN94" s="168"/>
      <c r="UYO94" s="167"/>
      <c r="UYP94" s="168"/>
      <c r="UYQ94" s="167"/>
      <c r="UYR94" s="168"/>
      <c r="UYS94" s="167"/>
      <c r="UYT94" s="168"/>
      <c r="UYU94" s="167"/>
      <c r="UYV94" s="168"/>
      <c r="UYW94" s="167"/>
      <c r="UYX94" s="168"/>
      <c r="UYY94" s="167"/>
      <c r="UYZ94" s="168"/>
      <c r="UZA94" s="167"/>
      <c r="UZB94" s="168"/>
      <c r="UZC94" s="167"/>
      <c r="UZD94" s="168"/>
      <c r="UZE94" s="167"/>
      <c r="UZF94" s="168"/>
      <c r="UZG94" s="167"/>
      <c r="UZH94" s="168"/>
      <c r="UZI94" s="167"/>
      <c r="UZJ94" s="168"/>
      <c r="UZK94" s="167"/>
      <c r="UZL94" s="168"/>
      <c r="UZM94" s="167"/>
      <c r="UZN94" s="168"/>
      <c r="UZO94" s="167"/>
      <c r="UZP94" s="168"/>
      <c r="UZQ94" s="167"/>
      <c r="UZR94" s="168"/>
      <c r="UZS94" s="167"/>
      <c r="UZT94" s="168"/>
      <c r="UZU94" s="167"/>
      <c r="UZV94" s="168"/>
      <c r="UZW94" s="167"/>
      <c r="UZX94" s="168"/>
      <c r="UZY94" s="167"/>
      <c r="UZZ94" s="168"/>
      <c r="VAA94" s="167"/>
      <c r="VAB94" s="168"/>
      <c r="VAC94" s="167"/>
      <c r="VAD94" s="168"/>
      <c r="VAE94" s="167"/>
      <c r="VAF94" s="168"/>
      <c r="VAG94" s="167"/>
      <c r="VAH94" s="168"/>
      <c r="VAI94" s="167"/>
      <c r="VAJ94" s="168"/>
      <c r="VAK94" s="167"/>
      <c r="VAL94" s="168"/>
      <c r="VAM94" s="167"/>
      <c r="VAN94" s="168"/>
      <c r="VAO94" s="167"/>
      <c r="VAP94" s="168"/>
      <c r="VAQ94" s="167"/>
      <c r="VAR94" s="168"/>
      <c r="VAS94" s="167"/>
      <c r="VAT94" s="168"/>
      <c r="VAU94" s="167"/>
      <c r="VAV94" s="168"/>
      <c r="VAW94" s="167"/>
      <c r="VAX94" s="168"/>
      <c r="VAY94" s="167"/>
      <c r="VAZ94" s="168"/>
      <c r="VBA94" s="167"/>
      <c r="VBB94" s="168"/>
      <c r="VBC94" s="167"/>
      <c r="VBD94" s="168"/>
      <c r="VBE94" s="167"/>
      <c r="VBF94" s="168"/>
      <c r="VBG94" s="167"/>
      <c r="VBH94" s="168"/>
      <c r="VBI94" s="167"/>
      <c r="VBJ94" s="168"/>
      <c r="VBK94" s="167"/>
      <c r="VBL94" s="168"/>
      <c r="VBM94" s="167"/>
      <c r="VBN94" s="168"/>
      <c r="VBO94" s="167"/>
      <c r="VBP94" s="168"/>
      <c r="VBQ94" s="167"/>
      <c r="VBR94" s="168"/>
      <c r="VBS94" s="167"/>
      <c r="VBT94" s="168"/>
      <c r="VBU94" s="167"/>
      <c r="VBV94" s="168"/>
      <c r="VBW94" s="167"/>
      <c r="VBX94" s="168"/>
      <c r="VBY94" s="167"/>
      <c r="VBZ94" s="168"/>
      <c r="VCA94" s="167"/>
      <c r="VCB94" s="168"/>
      <c r="VCC94" s="167"/>
      <c r="VCD94" s="168"/>
      <c r="VCE94" s="167"/>
      <c r="VCF94" s="168"/>
      <c r="VCG94" s="167"/>
      <c r="VCH94" s="168"/>
      <c r="VCI94" s="167"/>
      <c r="VCJ94" s="168"/>
      <c r="VCK94" s="167"/>
      <c r="VCL94" s="168"/>
      <c r="VCM94" s="167"/>
      <c r="VCN94" s="168"/>
      <c r="VCO94" s="167"/>
      <c r="VCP94" s="168"/>
      <c r="VCQ94" s="167"/>
      <c r="VCR94" s="168"/>
      <c r="VCS94" s="167"/>
      <c r="VCT94" s="168"/>
      <c r="VCU94" s="167"/>
      <c r="VCV94" s="168"/>
      <c r="VCW94" s="167"/>
      <c r="VCX94" s="168"/>
      <c r="VCY94" s="167"/>
      <c r="VCZ94" s="168"/>
      <c r="VDA94" s="167"/>
      <c r="VDB94" s="168"/>
      <c r="VDC94" s="167"/>
      <c r="VDD94" s="168"/>
      <c r="VDE94" s="167"/>
      <c r="VDF94" s="168"/>
      <c r="VDG94" s="167"/>
      <c r="VDH94" s="168"/>
      <c r="VDI94" s="167"/>
      <c r="VDJ94" s="168"/>
      <c r="VDK94" s="167"/>
      <c r="VDL94" s="168"/>
      <c r="VDM94" s="167"/>
      <c r="VDN94" s="168"/>
      <c r="VDO94" s="167"/>
      <c r="VDP94" s="168"/>
      <c r="VDQ94" s="167"/>
      <c r="VDR94" s="168"/>
      <c r="VDS94" s="167"/>
      <c r="VDT94" s="168"/>
      <c r="VDU94" s="167"/>
      <c r="VDV94" s="168"/>
      <c r="VDW94" s="167"/>
      <c r="VDX94" s="168"/>
      <c r="VDY94" s="167"/>
      <c r="VDZ94" s="168"/>
      <c r="VEA94" s="167"/>
      <c r="VEB94" s="168"/>
      <c r="VEC94" s="167"/>
      <c r="VED94" s="168"/>
      <c r="VEE94" s="167"/>
      <c r="VEF94" s="168"/>
      <c r="VEG94" s="167"/>
      <c r="VEH94" s="168"/>
      <c r="VEI94" s="167"/>
      <c r="VEJ94" s="168"/>
      <c r="VEK94" s="167"/>
      <c r="VEL94" s="168"/>
      <c r="VEM94" s="167"/>
      <c r="VEN94" s="168"/>
      <c r="VEO94" s="167"/>
      <c r="VEP94" s="168"/>
      <c r="VEQ94" s="167"/>
      <c r="VER94" s="168"/>
      <c r="VES94" s="167"/>
      <c r="VET94" s="168"/>
      <c r="VEU94" s="167"/>
      <c r="VEV94" s="168"/>
      <c r="VEW94" s="167"/>
      <c r="VEX94" s="168"/>
      <c r="VEY94" s="167"/>
      <c r="VEZ94" s="168"/>
      <c r="VFA94" s="167"/>
      <c r="VFB94" s="168"/>
      <c r="VFC94" s="167"/>
      <c r="VFD94" s="168"/>
      <c r="VFE94" s="167"/>
      <c r="VFF94" s="168"/>
      <c r="VFG94" s="167"/>
      <c r="VFH94" s="168"/>
      <c r="VFI94" s="167"/>
      <c r="VFJ94" s="168"/>
      <c r="VFK94" s="167"/>
      <c r="VFL94" s="168"/>
      <c r="VFM94" s="167"/>
      <c r="VFN94" s="168"/>
      <c r="VFO94" s="167"/>
      <c r="VFP94" s="168"/>
      <c r="VFQ94" s="167"/>
      <c r="VFR94" s="168"/>
      <c r="VFS94" s="167"/>
      <c r="VFT94" s="168"/>
      <c r="VFU94" s="167"/>
      <c r="VFV94" s="168"/>
      <c r="VFW94" s="167"/>
      <c r="VFX94" s="168"/>
      <c r="VFY94" s="167"/>
      <c r="VFZ94" s="168"/>
      <c r="VGA94" s="167"/>
      <c r="VGB94" s="168"/>
      <c r="VGC94" s="167"/>
      <c r="VGD94" s="168"/>
      <c r="VGE94" s="167"/>
      <c r="VGF94" s="168"/>
      <c r="VGG94" s="167"/>
      <c r="VGH94" s="168"/>
      <c r="VGI94" s="167"/>
      <c r="VGJ94" s="168"/>
      <c r="VGK94" s="167"/>
      <c r="VGL94" s="168"/>
      <c r="VGM94" s="167"/>
      <c r="VGN94" s="168"/>
      <c r="VGO94" s="167"/>
      <c r="VGP94" s="168"/>
      <c r="VGQ94" s="167"/>
      <c r="VGR94" s="168"/>
      <c r="VGS94" s="167"/>
      <c r="VGT94" s="168"/>
      <c r="VGU94" s="167"/>
      <c r="VGV94" s="168"/>
      <c r="VGW94" s="167"/>
      <c r="VGX94" s="168"/>
      <c r="VGY94" s="167"/>
      <c r="VGZ94" s="168"/>
      <c r="VHA94" s="167"/>
      <c r="VHB94" s="168"/>
      <c r="VHC94" s="167"/>
      <c r="VHD94" s="168"/>
      <c r="VHE94" s="167"/>
      <c r="VHF94" s="168"/>
      <c r="VHG94" s="167"/>
      <c r="VHH94" s="168"/>
      <c r="VHI94" s="167"/>
      <c r="VHJ94" s="168"/>
      <c r="VHK94" s="167"/>
      <c r="VHL94" s="168"/>
      <c r="VHM94" s="167"/>
      <c r="VHN94" s="168"/>
      <c r="VHO94" s="167"/>
      <c r="VHP94" s="168"/>
      <c r="VHQ94" s="167"/>
      <c r="VHR94" s="168"/>
      <c r="VHS94" s="167"/>
      <c r="VHT94" s="168"/>
      <c r="VHU94" s="167"/>
      <c r="VHV94" s="168"/>
      <c r="VHW94" s="167"/>
      <c r="VHX94" s="168"/>
      <c r="VHY94" s="167"/>
      <c r="VHZ94" s="168"/>
      <c r="VIA94" s="167"/>
      <c r="VIB94" s="168"/>
      <c r="VIC94" s="167"/>
      <c r="VID94" s="168"/>
      <c r="VIE94" s="167"/>
      <c r="VIF94" s="168"/>
      <c r="VIG94" s="167"/>
      <c r="VIH94" s="168"/>
      <c r="VII94" s="167"/>
      <c r="VIJ94" s="168"/>
      <c r="VIK94" s="167"/>
      <c r="VIL94" s="168"/>
      <c r="VIM94" s="167"/>
      <c r="VIN94" s="168"/>
      <c r="VIO94" s="167"/>
      <c r="VIP94" s="168"/>
      <c r="VIQ94" s="167"/>
      <c r="VIR94" s="168"/>
      <c r="VIS94" s="167"/>
      <c r="VIT94" s="168"/>
      <c r="VIU94" s="167"/>
      <c r="VIV94" s="168"/>
      <c r="VIW94" s="167"/>
      <c r="VIX94" s="168"/>
      <c r="VIY94" s="167"/>
      <c r="VIZ94" s="168"/>
      <c r="VJA94" s="167"/>
      <c r="VJB94" s="168"/>
      <c r="VJC94" s="167"/>
      <c r="VJD94" s="168"/>
      <c r="VJE94" s="167"/>
      <c r="VJF94" s="168"/>
      <c r="VJG94" s="167"/>
      <c r="VJH94" s="168"/>
      <c r="VJI94" s="167"/>
      <c r="VJJ94" s="168"/>
      <c r="VJK94" s="167"/>
      <c r="VJL94" s="168"/>
      <c r="VJM94" s="167"/>
      <c r="VJN94" s="168"/>
      <c r="VJO94" s="167"/>
      <c r="VJP94" s="168"/>
      <c r="VJQ94" s="167"/>
      <c r="VJR94" s="168"/>
      <c r="VJS94" s="167"/>
      <c r="VJT94" s="168"/>
      <c r="VJU94" s="167"/>
      <c r="VJV94" s="168"/>
      <c r="VJW94" s="167"/>
      <c r="VJX94" s="168"/>
      <c r="VJY94" s="167"/>
      <c r="VJZ94" s="168"/>
      <c r="VKA94" s="167"/>
      <c r="VKB94" s="168"/>
      <c r="VKC94" s="167"/>
      <c r="VKD94" s="168"/>
      <c r="VKE94" s="167"/>
      <c r="VKF94" s="168"/>
      <c r="VKG94" s="167"/>
      <c r="VKH94" s="168"/>
      <c r="VKI94" s="167"/>
      <c r="VKJ94" s="168"/>
      <c r="VKK94" s="167"/>
      <c r="VKL94" s="168"/>
      <c r="VKM94" s="167"/>
      <c r="VKN94" s="168"/>
      <c r="VKO94" s="167"/>
      <c r="VKP94" s="168"/>
      <c r="VKQ94" s="167"/>
      <c r="VKR94" s="168"/>
      <c r="VKS94" s="167"/>
      <c r="VKT94" s="168"/>
      <c r="VKU94" s="167"/>
      <c r="VKV94" s="168"/>
      <c r="VKW94" s="167"/>
      <c r="VKX94" s="168"/>
      <c r="VKY94" s="167"/>
      <c r="VKZ94" s="168"/>
      <c r="VLA94" s="167"/>
      <c r="VLB94" s="168"/>
      <c r="VLC94" s="167"/>
      <c r="VLD94" s="168"/>
      <c r="VLE94" s="167"/>
      <c r="VLF94" s="168"/>
      <c r="VLG94" s="167"/>
      <c r="VLH94" s="168"/>
      <c r="VLI94" s="167"/>
      <c r="VLJ94" s="168"/>
      <c r="VLK94" s="167"/>
      <c r="VLL94" s="168"/>
      <c r="VLM94" s="167"/>
      <c r="VLN94" s="168"/>
      <c r="VLO94" s="167"/>
      <c r="VLP94" s="168"/>
      <c r="VLQ94" s="167"/>
      <c r="VLR94" s="168"/>
      <c r="VLS94" s="167"/>
      <c r="VLT94" s="168"/>
      <c r="VLU94" s="167"/>
      <c r="VLV94" s="168"/>
      <c r="VLW94" s="167"/>
      <c r="VLX94" s="168"/>
      <c r="VLY94" s="167"/>
      <c r="VLZ94" s="168"/>
      <c r="VMA94" s="167"/>
      <c r="VMB94" s="168"/>
      <c r="VMC94" s="167"/>
      <c r="VMD94" s="168"/>
      <c r="VME94" s="167"/>
      <c r="VMF94" s="168"/>
      <c r="VMG94" s="167"/>
      <c r="VMH94" s="168"/>
      <c r="VMI94" s="167"/>
      <c r="VMJ94" s="168"/>
      <c r="VMK94" s="167"/>
      <c r="VML94" s="168"/>
      <c r="VMM94" s="167"/>
      <c r="VMN94" s="168"/>
      <c r="VMO94" s="167"/>
      <c r="VMP94" s="168"/>
      <c r="VMQ94" s="167"/>
      <c r="VMR94" s="168"/>
      <c r="VMS94" s="167"/>
      <c r="VMT94" s="168"/>
      <c r="VMU94" s="167"/>
      <c r="VMV94" s="168"/>
      <c r="VMW94" s="167"/>
      <c r="VMX94" s="168"/>
      <c r="VMY94" s="167"/>
      <c r="VMZ94" s="168"/>
      <c r="VNA94" s="167"/>
      <c r="VNB94" s="168"/>
      <c r="VNC94" s="167"/>
      <c r="VND94" s="168"/>
      <c r="VNE94" s="167"/>
      <c r="VNF94" s="168"/>
      <c r="VNG94" s="167"/>
      <c r="VNH94" s="168"/>
      <c r="VNI94" s="167"/>
      <c r="VNJ94" s="168"/>
      <c r="VNK94" s="167"/>
      <c r="VNL94" s="168"/>
      <c r="VNM94" s="167"/>
      <c r="VNN94" s="168"/>
      <c r="VNO94" s="167"/>
      <c r="VNP94" s="168"/>
      <c r="VNQ94" s="167"/>
      <c r="VNR94" s="168"/>
      <c r="VNS94" s="167"/>
      <c r="VNT94" s="168"/>
      <c r="VNU94" s="167"/>
      <c r="VNV94" s="168"/>
      <c r="VNW94" s="167"/>
      <c r="VNX94" s="168"/>
      <c r="VNY94" s="167"/>
      <c r="VNZ94" s="168"/>
      <c r="VOA94" s="167"/>
      <c r="VOB94" s="168"/>
      <c r="VOC94" s="167"/>
      <c r="VOD94" s="168"/>
      <c r="VOE94" s="167"/>
      <c r="VOF94" s="168"/>
      <c r="VOG94" s="167"/>
      <c r="VOH94" s="168"/>
      <c r="VOI94" s="167"/>
      <c r="VOJ94" s="168"/>
      <c r="VOK94" s="167"/>
      <c r="VOL94" s="168"/>
      <c r="VOM94" s="167"/>
      <c r="VON94" s="168"/>
      <c r="VOO94" s="167"/>
      <c r="VOP94" s="168"/>
      <c r="VOQ94" s="167"/>
      <c r="VOR94" s="168"/>
      <c r="VOS94" s="167"/>
      <c r="VOT94" s="168"/>
      <c r="VOU94" s="167"/>
      <c r="VOV94" s="168"/>
      <c r="VOW94" s="167"/>
      <c r="VOX94" s="168"/>
      <c r="VOY94" s="167"/>
      <c r="VOZ94" s="168"/>
      <c r="VPA94" s="167"/>
      <c r="VPB94" s="168"/>
      <c r="VPC94" s="167"/>
      <c r="VPD94" s="168"/>
      <c r="VPE94" s="167"/>
      <c r="VPF94" s="168"/>
      <c r="VPG94" s="167"/>
      <c r="VPH94" s="168"/>
      <c r="VPI94" s="167"/>
      <c r="VPJ94" s="168"/>
      <c r="VPK94" s="167"/>
      <c r="VPL94" s="168"/>
      <c r="VPM94" s="167"/>
      <c r="VPN94" s="168"/>
      <c r="VPO94" s="167"/>
      <c r="VPP94" s="168"/>
      <c r="VPQ94" s="167"/>
      <c r="VPR94" s="168"/>
      <c r="VPS94" s="167"/>
      <c r="VPT94" s="168"/>
      <c r="VPU94" s="167"/>
      <c r="VPV94" s="168"/>
      <c r="VPW94" s="167"/>
      <c r="VPX94" s="168"/>
      <c r="VPY94" s="167"/>
      <c r="VPZ94" s="168"/>
      <c r="VQA94" s="167"/>
      <c r="VQB94" s="168"/>
      <c r="VQC94" s="167"/>
      <c r="VQD94" s="168"/>
      <c r="VQE94" s="167"/>
      <c r="VQF94" s="168"/>
      <c r="VQG94" s="167"/>
      <c r="VQH94" s="168"/>
      <c r="VQI94" s="167"/>
      <c r="VQJ94" s="168"/>
      <c r="VQK94" s="167"/>
      <c r="VQL94" s="168"/>
      <c r="VQM94" s="167"/>
      <c r="VQN94" s="168"/>
      <c r="VQO94" s="167"/>
      <c r="VQP94" s="168"/>
      <c r="VQQ94" s="167"/>
      <c r="VQR94" s="168"/>
      <c r="VQS94" s="167"/>
      <c r="VQT94" s="168"/>
      <c r="VQU94" s="167"/>
      <c r="VQV94" s="168"/>
      <c r="VQW94" s="167"/>
      <c r="VQX94" s="168"/>
      <c r="VQY94" s="167"/>
      <c r="VQZ94" s="168"/>
      <c r="VRA94" s="167"/>
      <c r="VRB94" s="168"/>
      <c r="VRC94" s="167"/>
      <c r="VRD94" s="168"/>
      <c r="VRE94" s="167"/>
      <c r="VRF94" s="168"/>
      <c r="VRG94" s="167"/>
      <c r="VRH94" s="168"/>
      <c r="VRI94" s="167"/>
      <c r="VRJ94" s="168"/>
      <c r="VRK94" s="167"/>
      <c r="VRL94" s="168"/>
      <c r="VRM94" s="167"/>
      <c r="VRN94" s="168"/>
      <c r="VRO94" s="167"/>
      <c r="VRP94" s="168"/>
      <c r="VRQ94" s="167"/>
      <c r="VRR94" s="168"/>
      <c r="VRS94" s="167"/>
      <c r="VRT94" s="168"/>
      <c r="VRU94" s="167"/>
      <c r="VRV94" s="168"/>
      <c r="VRW94" s="167"/>
      <c r="VRX94" s="168"/>
      <c r="VRY94" s="167"/>
      <c r="VRZ94" s="168"/>
      <c r="VSA94" s="167"/>
      <c r="VSB94" s="168"/>
      <c r="VSC94" s="167"/>
      <c r="VSD94" s="168"/>
      <c r="VSE94" s="167"/>
      <c r="VSF94" s="168"/>
      <c r="VSG94" s="167"/>
      <c r="VSH94" s="168"/>
      <c r="VSI94" s="167"/>
      <c r="VSJ94" s="168"/>
      <c r="VSK94" s="167"/>
      <c r="VSL94" s="168"/>
      <c r="VSM94" s="167"/>
      <c r="VSN94" s="168"/>
      <c r="VSO94" s="167"/>
      <c r="VSP94" s="168"/>
      <c r="VSQ94" s="167"/>
      <c r="VSR94" s="168"/>
      <c r="VSS94" s="167"/>
      <c r="VST94" s="168"/>
      <c r="VSU94" s="167"/>
      <c r="VSV94" s="168"/>
      <c r="VSW94" s="167"/>
      <c r="VSX94" s="168"/>
      <c r="VSY94" s="167"/>
      <c r="VSZ94" s="168"/>
      <c r="VTA94" s="167"/>
      <c r="VTB94" s="168"/>
      <c r="VTC94" s="167"/>
      <c r="VTD94" s="168"/>
      <c r="VTE94" s="167"/>
      <c r="VTF94" s="168"/>
      <c r="VTG94" s="167"/>
      <c r="VTH94" s="168"/>
      <c r="VTI94" s="167"/>
      <c r="VTJ94" s="168"/>
      <c r="VTK94" s="167"/>
      <c r="VTL94" s="168"/>
      <c r="VTM94" s="167"/>
      <c r="VTN94" s="168"/>
      <c r="VTO94" s="167"/>
      <c r="VTP94" s="168"/>
      <c r="VTQ94" s="167"/>
      <c r="VTR94" s="168"/>
      <c r="VTS94" s="167"/>
      <c r="VTT94" s="168"/>
      <c r="VTU94" s="167"/>
      <c r="VTV94" s="168"/>
      <c r="VTW94" s="167"/>
      <c r="VTX94" s="168"/>
      <c r="VTY94" s="167"/>
      <c r="VTZ94" s="168"/>
      <c r="VUA94" s="167"/>
      <c r="VUB94" s="168"/>
      <c r="VUC94" s="167"/>
      <c r="VUD94" s="168"/>
      <c r="VUE94" s="167"/>
      <c r="VUF94" s="168"/>
      <c r="VUG94" s="167"/>
      <c r="VUH94" s="168"/>
      <c r="VUI94" s="167"/>
      <c r="VUJ94" s="168"/>
      <c r="VUK94" s="167"/>
      <c r="VUL94" s="168"/>
      <c r="VUM94" s="167"/>
      <c r="VUN94" s="168"/>
      <c r="VUO94" s="167"/>
      <c r="VUP94" s="168"/>
      <c r="VUQ94" s="167"/>
      <c r="VUR94" s="168"/>
      <c r="VUS94" s="167"/>
      <c r="VUT94" s="168"/>
      <c r="VUU94" s="167"/>
      <c r="VUV94" s="168"/>
      <c r="VUW94" s="167"/>
      <c r="VUX94" s="168"/>
      <c r="VUY94" s="167"/>
      <c r="VUZ94" s="168"/>
      <c r="VVA94" s="167"/>
      <c r="VVB94" s="168"/>
      <c r="VVC94" s="167"/>
      <c r="VVD94" s="168"/>
      <c r="VVE94" s="167"/>
      <c r="VVF94" s="168"/>
      <c r="VVG94" s="167"/>
      <c r="VVH94" s="168"/>
      <c r="VVI94" s="167"/>
      <c r="VVJ94" s="168"/>
      <c r="VVK94" s="167"/>
      <c r="VVL94" s="168"/>
      <c r="VVM94" s="167"/>
      <c r="VVN94" s="168"/>
      <c r="VVO94" s="167"/>
      <c r="VVP94" s="168"/>
      <c r="VVQ94" s="167"/>
      <c r="VVR94" s="168"/>
      <c r="VVS94" s="167"/>
      <c r="VVT94" s="168"/>
      <c r="VVU94" s="167"/>
      <c r="VVV94" s="168"/>
      <c r="VVW94" s="167"/>
      <c r="VVX94" s="168"/>
      <c r="VVY94" s="167"/>
      <c r="VVZ94" s="168"/>
      <c r="VWA94" s="167"/>
      <c r="VWB94" s="168"/>
      <c r="VWC94" s="167"/>
      <c r="VWD94" s="168"/>
      <c r="VWE94" s="167"/>
      <c r="VWF94" s="168"/>
      <c r="VWG94" s="167"/>
      <c r="VWH94" s="168"/>
      <c r="VWI94" s="167"/>
      <c r="VWJ94" s="168"/>
      <c r="VWK94" s="167"/>
      <c r="VWL94" s="168"/>
      <c r="VWM94" s="167"/>
      <c r="VWN94" s="168"/>
      <c r="VWO94" s="167"/>
      <c r="VWP94" s="168"/>
      <c r="VWQ94" s="167"/>
      <c r="VWR94" s="168"/>
      <c r="VWS94" s="167"/>
      <c r="VWT94" s="168"/>
      <c r="VWU94" s="167"/>
      <c r="VWV94" s="168"/>
      <c r="VWW94" s="167"/>
      <c r="VWX94" s="168"/>
      <c r="VWY94" s="167"/>
      <c r="VWZ94" s="168"/>
      <c r="VXA94" s="167"/>
      <c r="VXB94" s="168"/>
      <c r="VXC94" s="167"/>
      <c r="VXD94" s="168"/>
      <c r="VXE94" s="167"/>
      <c r="VXF94" s="168"/>
      <c r="VXG94" s="167"/>
      <c r="VXH94" s="168"/>
      <c r="VXI94" s="167"/>
      <c r="VXJ94" s="168"/>
      <c r="VXK94" s="167"/>
      <c r="VXL94" s="168"/>
      <c r="VXM94" s="167"/>
      <c r="VXN94" s="168"/>
      <c r="VXO94" s="167"/>
      <c r="VXP94" s="168"/>
      <c r="VXQ94" s="167"/>
      <c r="VXR94" s="168"/>
      <c r="VXS94" s="167"/>
      <c r="VXT94" s="168"/>
      <c r="VXU94" s="167"/>
      <c r="VXV94" s="168"/>
      <c r="VXW94" s="167"/>
      <c r="VXX94" s="168"/>
      <c r="VXY94" s="167"/>
      <c r="VXZ94" s="168"/>
      <c r="VYA94" s="167"/>
      <c r="VYB94" s="168"/>
      <c r="VYC94" s="167"/>
      <c r="VYD94" s="168"/>
      <c r="VYE94" s="167"/>
      <c r="VYF94" s="168"/>
      <c r="VYG94" s="167"/>
      <c r="VYH94" s="168"/>
      <c r="VYI94" s="167"/>
      <c r="VYJ94" s="168"/>
      <c r="VYK94" s="167"/>
      <c r="VYL94" s="168"/>
      <c r="VYM94" s="167"/>
      <c r="VYN94" s="168"/>
      <c r="VYO94" s="167"/>
      <c r="VYP94" s="168"/>
      <c r="VYQ94" s="167"/>
      <c r="VYR94" s="168"/>
      <c r="VYS94" s="167"/>
      <c r="VYT94" s="168"/>
      <c r="VYU94" s="167"/>
      <c r="VYV94" s="168"/>
      <c r="VYW94" s="167"/>
      <c r="VYX94" s="168"/>
      <c r="VYY94" s="167"/>
      <c r="VYZ94" s="168"/>
      <c r="VZA94" s="167"/>
      <c r="VZB94" s="168"/>
      <c r="VZC94" s="167"/>
      <c r="VZD94" s="168"/>
      <c r="VZE94" s="167"/>
      <c r="VZF94" s="168"/>
      <c r="VZG94" s="167"/>
      <c r="VZH94" s="168"/>
      <c r="VZI94" s="167"/>
      <c r="VZJ94" s="168"/>
      <c r="VZK94" s="167"/>
      <c r="VZL94" s="168"/>
      <c r="VZM94" s="167"/>
      <c r="VZN94" s="168"/>
      <c r="VZO94" s="167"/>
      <c r="VZP94" s="168"/>
      <c r="VZQ94" s="167"/>
      <c r="VZR94" s="168"/>
      <c r="VZS94" s="167"/>
      <c r="VZT94" s="168"/>
      <c r="VZU94" s="167"/>
      <c r="VZV94" s="168"/>
      <c r="VZW94" s="167"/>
      <c r="VZX94" s="168"/>
      <c r="VZY94" s="167"/>
      <c r="VZZ94" s="168"/>
      <c r="WAA94" s="167"/>
      <c r="WAB94" s="168"/>
      <c r="WAC94" s="167"/>
      <c r="WAD94" s="168"/>
      <c r="WAE94" s="167"/>
      <c r="WAF94" s="168"/>
      <c r="WAG94" s="167"/>
      <c r="WAH94" s="168"/>
      <c r="WAI94" s="167"/>
      <c r="WAJ94" s="168"/>
      <c r="WAK94" s="167"/>
      <c r="WAL94" s="168"/>
      <c r="WAM94" s="167"/>
      <c r="WAN94" s="168"/>
      <c r="WAO94" s="167"/>
      <c r="WAP94" s="168"/>
      <c r="WAQ94" s="167"/>
      <c r="WAR94" s="168"/>
      <c r="WAS94" s="167"/>
      <c r="WAT94" s="168"/>
      <c r="WAU94" s="167"/>
      <c r="WAV94" s="168"/>
      <c r="WAW94" s="167"/>
      <c r="WAX94" s="168"/>
      <c r="WAY94" s="167"/>
      <c r="WAZ94" s="168"/>
      <c r="WBA94" s="167"/>
      <c r="WBB94" s="168"/>
      <c r="WBC94" s="167"/>
      <c r="WBD94" s="168"/>
      <c r="WBE94" s="167"/>
      <c r="WBF94" s="168"/>
      <c r="WBG94" s="167"/>
      <c r="WBH94" s="168"/>
      <c r="WBI94" s="167"/>
      <c r="WBJ94" s="168"/>
      <c r="WBK94" s="167"/>
      <c r="WBL94" s="168"/>
      <c r="WBM94" s="167"/>
      <c r="WBN94" s="168"/>
      <c r="WBO94" s="167"/>
      <c r="WBP94" s="168"/>
      <c r="WBQ94" s="167"/>
      <c r="WBR94" s="168"/>
      <c r="WBS94" s="167"/>
      <c r="WBT94" s="168"/>
      <c r="WBU94" s="167"/>
      <c r="WBV94" s="168"/>
      <c r="WBW94" s="167"/>
      <c r="WBX94" s="168"/>
      <c r="WBY94" s="167"/>
      <c r="WBZ94" s="168"/>
      <c r="WCA94" s="167"/>
      <c r="WCB94" s="168"/>
      <c r="WCC94" s="167"/>
      <c r="WCD94" s="168"/>
      <c r="WCE94" s="167"/>
      <c r="WCF94" s="168"/>
      <c r="WCG94" s="167"/>
      <c r="WCH94" s="168"/>
      <c r="WCI94" s="167"/>
      <c r="WCJ94" s="168"/>
      <c r="WCK94" s="167"/>
      <c r="WCL94" s="168"/>
      <c r="WCM94" s="167"/>
      <c r="WCN94" s="168"/>
      <c r="WCO94" s="167"/>
      <c r="WCP94" s="168"/>
      <c r="WCQ94" s="167"/>
      <c r="WCR94" s="168"/>
      <c r="WCS94" s="167"/>
      <c r="WCT94" s="168"/>
      <c r="WCU94" s="167"/>
      <c r="WCV94" s="168"/>
      <c r="WCW94" s="167"/>
      <c r="WCX94" s="168"/>
      <c r="WCY94" s="167"/>
      <c r="WCZ94" s="168"/>
      <c r="WDA94" s="167"/>
      <c r="WDB94" s="168"/>
      <c r="WDC94" s="167"/>
      <c r="WDD94" s="168"/>
      <c r="WDE94" s="167"/>
      <c r="WDF94" s="168"/>
      <c r="WDG94" s="167"/>
      <c r="WDH94" s="168"/>
      <c r="WDI94" s="167"/>
      <c r="WDJ94" s="168"/>
      <c r="WDK94" s="167"/>
      <c r="WDL94" s="168"/>
      <c r="WDM94" s="167"/>
      <c r="WDN94" s="168"/>
      <c r="WDO94" s="167"/>
      <c r="WDP94" s="168"/>
      <c r="WDQ94" s="167"/>
      <c r="WDR94" s="168"/>
      <c r="WDS94" s="167"/>
      <c r="WDT94" s="168"/>
      <c r="WDU94" s="167"/>
      <c r="WDV94" s="168"/>
      <c r="WDW94" s="167"/>
      <c r="WDX94" s="168"/>
      <c r="WDY94" s="167"/>
      <c r="WDZ94" s="168"/>
      <c r="WEA94" s="167"/>
      <c r="WEB94" s="168"/>
      <c r="WEC94" s="167"/>
      <c r="WED94" s="168"/>
      <c r="WEE94" s="167"/>
      <c r="WEF94" s="168"/>
      <c r="WEG94" s="167"/>
      <c r="WEH94" s="168"/>
      <c r="WEI94" s="167"/>
      <c r="WEJ94" s="168"/>
      <c r="WEK94" s="167"/>
      <c r="WEL94" s="168"/>
      <c r="WEM94" s="167"/>
      <c r="WEN94" s="168"/>
      <c r="WEO94" s="167"/>
      <c r="WEP94" s="168"/>
      <c r="WEQ94" s="167"/>
      <c r="WER94" s="168"/>
      <c r="WES94" s="167"/>
      <c r="WET94" s="168"/>
      <c r="WEU94" s="167"/>
      <c r="WEV94" s="168"/>
      <c r="WEW94" s="167"/>
      <c r="WEX94" s="168"/>
      <c r="WEY94" s="167"/>
      <c r="WEZ94" s="168"/>
      <c r="WFA94" s="167"/>
      <c r="WFB94" s="168"/>
      <c r="WFC94" s="167"/>
      <c r="WFD94" s="168"/>
      <c r="WFE94" s="167"/>
      <c r="WFF94" s="168"/>
      <c r="WFG94" s="167"/>
      <c r="WFH94" s="168"/>
      <c r="WFI94" s="167"/>
      <c r="WFJ94" s="168"/>
      <c r="WFK94" s="167"/>
      <c r="WFL94" s="168"/>
      <c r="WFM94" s="167"/>
      <c r="WFN94" s="168"/>
      <c r="WFO94" s="167"/>
      <c r="WFP94" s="168"/>
      <c r="WFQ94" s="167"/>
      <c r="WFR94" s="168"/>
      <c r="WFS94" s="167"/>
      <c r="WFT94" s="168"/>
      <c r="WFU94" s="167"/>
      <c r="WFV94" s="168"/>
      <c r="WFW94" s="167"/>
      <c r="WFX94" s="168"/>
      <c r="WFY94" s="167"/>
      <c r="WFZ94" s="168"/>
      <c r="WGA94" s="167"/>
      <c r="WGB94" s="168"/>
      <c r="WGC94" s="167"/>
      <c r="WGD94" s="168"/>
      <c r="WGE94" s="167"/>
      <c r="WGF94" s="168"/>
      <c r="WGG94" s="167"/>
      <c r="WGH94" s="168"/>
      <c r="WGI94" s="167"/>
      <c r="WGJ94" s="168"/>
      <c r="WGK94" s="167"/>
      <c r="WGL94" s="168"/>
      <c r="WGM94" s="167"/>
      <c r="WGN94" s="168"/>
      <c r="WGO94" s="167"/>
      <c r="WGP94" s="168"/>
      <c r="WGQ94" s="167"/>
      <c r="WGR94" s="168"/>
      <c r="WGS94" s="167"/>
      <c r="WGT94" s="168"/>
      <c r="WGU94" s="167"/>
      <c r="WGV94" s="168"/>
      <c r="WGW94" s="167"/>
      <c r="WGX94" s="168"/>
      <c r="WGY94" s="167"/>
      <c r="WGZ94" s="168"/>
      <c r="WHA94" s="167"/>
      <c r="WHB94" s="168"/>
      <c r="WHC94" s="167"/>
      <c r="WHD94" s="168"/>
      <c r="WHE94" s="167"/>
      <c r="WHF94" s="168"/>
      <c r="WHG94" s="167"/>
      <c r="WHH94" s="168"/>
      <c r="WHI94" s="167"/>
      <c r="WHJ94" s="168"/>
      <c r="WHK94" s="167"/>
      <c r="WHL94" s="168"/>
      <c r="WHM94" s="167"/>
      <c r="WHN94" s="168"/>
      <c r="WHO94" s="167"/>
      <c r="WHP94" s="168"/>
      <c r="WHQ94" s="167"/>
      <c r="WHR94" s="168"/>
      <c r="WHS94" s="167"/>
      <c r="WHT94" s="168"/>
      <c r="WHU94" s="167"/>
      <c r="WHV94" s="168"/>
      <c r="WHW94" s="167"/>
      <c r="WHX94" s="168"/>
      <c r="WHY94" s="167"/>
      <c r="WHZ94" s="168"/>
      <c r="WIA94" s="167"/>
      <c r="WIB94" s="168"/>
      <c r="WIC94" s="167"/>
      <c r="WID94" s="168"/>
      <c r="WIE94" s="167"/>
      <c r="WIF94" s="168"/>
      <c r="WIG94" s="167"/>
      <c r="WIH94" s="168"/>
      <c r="WII94" s="167"/>
      <c r="WIJ94" s="168"/>
      <c r="WIK94" s="167"/>
      <c r="WIL94" s="168"/>
      <c r="WIM94" s="167"/>
      <c r="WIN94" s="168"/>
      <c r="WIO94" s="167"/>
      <c r="WIP94" s="168"/>
      <c r="WIQ94" s="167"/>
      <c r="WIR94" s="168"/>
      <c r="WIS94" s="167"/>
      <c r="WIT94" s="168"/>
      <c r="WIU94" s="167"/>
      <c r="WIV94" s="168"/>
      <c r="WIW94" s="167"/>
      <c r="WIX94" s="168"/>
      <c r="WIY94" s="167"/>
      <c r="WIZ94" s="168"/>
      <c r="WJA94" s="167"/>
      <c r="WJB94" s="168"/>
      <c r="WJC94" s="167"/>
      <c r="WJD94" s="168"/>
      <c r="WJE94" s="167"/>
      <c r="WJF94" s="168"/>
      <c r="WJG94" s="167"/>
      <c r="WJH94" s="168"/>
      <c r="WJI94" s="167"/>
      <c r="WJJ94" s="168"/>
      <c r="WJK94" s="167"/>
      <c r="WJL94" s="168"/>
      <c r="WJM94" s="167"/>
      <c r="WJN94" s="168"/>
      <c r="WJO94" s="167"/>
      <c r="WJP94" s="168"/>
      <c r="WJQ94" s="167"/>
      <c r="WJR94" s="168"/>
      <c r="WJS94" s="167"/>
      <c r="WJT94" s="168"/>
      <c r="WJU94" s="167"/>
      <c r="WJV94" s="168"/>
      <c r="WJW94" s="167"/>
      <c r="WJX94" s="168"/>
      <c r="WJY94" s="167"/>
      <c r="WJZ94" s="168"/>
      <c r="WKA94" s="167"/>
      <c r="WKB94" s="168"/>
      <c r="WKC94" s="167"/>
      <c r="WKD94" s="168"/>
      <c r="WKE94" s="167"/>
      <c r="WKF94" s="168"/>
      <c r="WKG94" s="167"/>
      <c r="WKH94" s="168"/>
      <c r="WKI94" s="167"/>
      <c r="WKJ94" s="168"/>
      <c r="WKK94" s="167"/>
      <c r="WKL94" s="168"/>
      <c r="WKM94" s="167"/>
      <c r="WKN94" s="168"/>
      <c r="WKO94" s="167"/>
      <c r="WKP94" s="168"/>
      <c r="WKQ94" s="167"/>
      <c r="WKR94" s="168"/>
      <c r="WKS94" s="167"/>
      <c r="WKT94" s="168"/>
      <c r="WKU94" s="167"/>
      <c r="WKV94" s="168"/>
      <c r="WKW94" s="167"/>
      <c r="WKX94" s="168"/>
      <c r="WKY94" s="167"/>
      <c r="WKZ94" s="168"/>
      <c r="WLA94" s="167"/>
      <c r="WLB94" s="168"/>
      <c r="WLC94" s="167"/>
      <c r="WLD94" s="168"/>
      <c r="WLE94" s="167"/>
      <c r="WLF94" s="168"/>
      <c r="WLG94" s="167"/>
      <c r="WLH94" s="168"/>
      <c r="WLI94" s="167"/>
      <c r="WLJ94" s="168"/>
      <c r="WLK94" s="167"/>
      <c r="WLL94" s="168"/>
      <c r="WLM94" s="167"/>
      <c r="WLN94" s="168"/>
      <c r="WLO94" s="167"/>
      <c r="WLP94" s="168"/>
      <c r="WLQ94" s="167"/>
      <c r="WLR94" s="168"/>
      <c r="WLS94" s="167"/>
      <c r="WLT94" s="168"/>
      <c r="WLU94" s="167"/>
      <c r="WLV94" s="168"/>
      <c r="WLW94" s="167"/>
      <c r="WLX94" s="168"/>
      <c r="WLY94" s="167"/>
      <c r="WLZ94" s="168"/>
      <c r="WMA94" s="167"/>
      <c r="WMB94" s="168"/>
      <c r="WMC94" s="167"/>
      <c r="WMD94" s="168"/>
      <c r="WME94" s="167"/>
      <c r="WMF94" s="168"/>
      <c r="WMG94" s="167"/>
      <c r="WMH94" s="168"/>
      <c r="WMI94" s="167"/>
      <c r="WMJ94" s="168"/>
      <c r="WMK94" s="167"/>
      <c r="WML94" s="168"/>
      <c r="WMM94" s="167"/>
      <c r="WMN94" s="168"/>
      <c r="WMO94" s="167"/>
      <c r="WMP94" s="168"/>
      <c r="WMQ94" s="167"/>
      <c r="WMR94" s="168"/>
      <c r="WMS94" s="167"/>
      <c r="WMT94" s="168"/>
      <c r="WMU94" s="167"/>
      <c r="WMV94" s="168"/>
      <c r="WMW94" s="167"/>
      <c r="WMX94" s="168"/>
      <c r="WMY94" s="167"/>
      <c r="WMZ94" s="168"/>
      <c r="WNA94" s="167"/>
      <c r="WNB94" s="168"/>
      <c r="WNC94" s="167"/>
      <c r="WND94" s="168"/>
      <c r="WNE94" s="167"/>
      <c r="WNF94" s="168"/>
      <c r="WNG94" s="167"/>
      <c r="WNH94" s="168"/>
      <c r="WNI94" s="167"/>
      <c r="WNJ94" s="168"/>
      <c r="WNK94" s="167"/>
      <c r="WNL94" s="168"/>
      <c r="WNM94" s="167"/>
      <c r="WNN94" s="168"/>
      <c r="WNO94" s="167"/>
      <c r="WNP94" s="168"/>
      <c r="WNQ94" s="167"/>
      <c r="WNR94" s="168"/>
      <c r="WNS94" s="167"/>
      <c r="WNT94" s="168"/>
      <c r="WNU94" s="167"/>
      <c r="WNV94" s="168"/>
      <c r="WNW94" s="167"/>
      <c r="WNX94" s="168"/>
      <c r="WNY94" s="167"/>
      <c r="WNZ94" s="168"/>
      <c r="WOA94" s="167"/>
      <c r="WOB94" s="168"/>
      <c r="WOC94" s="167"/>
      <c r="WOD94" s="168"/>
      <c r="WOE94" s="167"/>
      <c r="WOF94" s="168"/>
      <c r="WOG94" s="167"/>
      <c r="WOH94" s="168"/>
      <c r="WOI94" s="167"/>
      <c r="WOJ94" s="168"/>
      <c r="WOK94" s="167"/>
      <c r="WOL94" s="168"/>
      <c r="WOM94" s="167"/>
      <c r="WON94" s="168"/>
      <c r="WOO94" s="167"/>
      <c r="WOP94" s="168"/>
      <c r="WOQ94" s="167"/>
      <c r="WOR94" s="168"/>
      <c r="WOS94" s="167"/>
      <c r="WOT94" s="168"/>
      <c r="WOU94" s="167"/>
      <c r="WOV94" s="168"/>
      <c r="WOW94" s="167"/>
      <c r="WOX94" s="168"/>
      <c r="WOY94" s="167"/>
      <c r="WOZ94" s="168"/>
      <c r="WPA94" s="167"/>
      <c r="WPB94" s="168"/>
      <c r="WPC94" s="167"/>
      <c r="WPD94" s="168"/>
      <c r="WPE94" s="167"/>
      <c r="WPF94" s="168"/>
      <c r="WPG94" s="167"/>
      <c r="WPH94" s="168"/>
      <c r="WPI94" s="167"/>
      <c r="WPJ94" s="168"/>
      <c r="WPK94" s="167"/>
      <c r="WPL94" s="168"/>
      <c r="WPM94" s="167"/>
      <c r="WPN94" s="168"/>
      <c r="WPO94" s="167"/>
      <c r="WPP94" s="168"/>
      <c r="WPQ94" s="167"/>
      <c r="WPR94" s="168"/>
      <c r="WPS94" s="167"/>
      <c r="WPT94" s="168"/>
      <c r="WPU94" s="167"/>
      <c r="WPV94" s="168"/>
      <c r="WPW94" s="167"/>
      <c r="WPX94" s="168"/>
      <c r="WPY94" s="167"/>
      <c r="WPZ94" s="168"/>
      <c r="WQA94" s="167"/>
      <c r="WQB94" s="168"/>
      <c r="WQC94" s="167"/>
      <c r="WQD94" s="168"/>
      <c r="WQE94" s="167"/>
      <c r="WQF94" s="168"/>
      <c r="WQG94" s="167"/>
      <c r="WQH94" s="168"/>
      <c r="WQI94" s="167"/>
      <c r="WQJ94" s="168"/>
      <c r="WQK94" s="167"/>
      <c r="WQL94" s="168"/>
      <c r="WQM94" s="167"/>
      <c r="WQN94" s="168"/>
      <c r="WQO94" s="167"/>
      <c r="WQP94" s="168"/>
      <c r="WQQ94" s="167"/>
      <c r="WQR94" s="168"/>
      <c r="WQS94" s="167"/>
      <c r="WQT94" s="168"/>
      <c r="WQU94" s="167"/>
      <c r="WQV94" s="168"/>
      <c r="WQW94" s="167"/>
      <c r="WQX94" s="168"/>
      <c r="WQY94" s="167"/>
      <c r="WQZ94" s="168"/>
      <c r="WRA94" s="167"/>
      <c r="WRB94" s="168"/>
      <c r="WRC94" s="167"/>
      <c r="WRD94" s="168"/>
      <c r="WRE94" s="167"/>
      <c r="WRF94" s="168"/>
      <c r="WRG94" s="167"/>
      <c r="WRH94" s="168"/>
      <c r="WRI94" s="167"/>
      <c r="WRJ94" s="168"/>
      <c r="WRK94" s="167"/>
      <c r="WRL94" s="168"/>
      <c r="WRM94" s="167"/>
      <c r="WRN94" s="168"/>
      <c r="WRO94" s="167"/>
      <c r="WRP94" s="168"/>
      <c r="WRQ94" s="167"/>
      <c r="WRR94" s="168"/>
      <c r="WRS94" s="167"/>
      <c r="WRT94" s="168"/>
      <c r="WRU94" s="167"/>
      <c r="WRV94" s="168"/>
      <c r="WRW94" s="167"/>
      <c r="WRX94" s="168"/>
      <c r="WRY94" s="167"/>
      <c r="WRZ94" s="168"/>
      <c r="WSA94" s="167"/>
      <c r="WSB94" s="168"/>
      <c r="WSC94" s="167"/>
      <c r="WSD94" s="168"/>
      <c r="WSE94" s="167"/>
      <c r="WSF94" s="168"/>
      <c r="WSG94" s="167"/>
      <c r="WSH94" s="168"/>
      <c r="WSI94" s="167"/>
      <c r="WSJ94" s="168"/>
      <c r="WSK94" s="167"/>
      <c r="WSL94" s="168"/>
      <c r="WSM94" s="167"/>
      <c r="WSN94" s="168"/>
      <c r="WSO94" s="167"/>
      <c r="WSP94" s="168"/>
      <c r="WSQ94" s="167"/>
      <c r="WSR94" s="168"/>
      <c r="WSS94" s="167"/>
      <c r="WST94" s="168"/>
      <c r="WSU94" s="167"/>
      <c r="WSV94" s="168"/>
      <c r="WSW94" s="167"/>
      <c r="WSX94" s="168"/>
      <c r="WSY94" s="167"/>
      <c r="WSZ94" s="168"/>
      <c r="WTA94" s="167"/>
      <c r="WTB94" s="168"/>
      <c r="WTC94" s="167"/>
      <c r="WTD94" s="168"/>
      <c r="WTE94" s="167"/>
      <c r="WTF94" s="168"/>
      <c r="WTG94" s="167"/>
      <c r="WTH94" s="168"/>
      <c r="WTI94" s="167"/>
      <c r="WTJ94" s="168"/>
      <c r="WTK94" s="167"/>
      <c r="WTL94" s="168"/>
      <c r="WTM94" s="167"/>
      <c r="WTN94" s="168"/>
      <c r="WTO94" s="167"/>
      <c r="WTP94" s="168"/>
      <c r="WTQ94" s="167"/>
      <c r="WTR94" s="168"/>
      <c r="WTS94" s="167"/>
      <c r="WTT94" s="168"/>
      <c r="WTU94" s="167"/>
      <c r="WTV94" s="168"/>
      <c r="WTW94" s="167"/>
      <c r="WTX94" s="168"/>
      <c r="WTY94" s="167"/>
      <c r="WTZ94" s="168"/>
      <c r="WUA94" s="167"/>
      <c r="WUB94" s="168"/>
      <c r="WUC94" s="167"/>
      <c r="WUD94" s="168"/>
      <c r="WUE94" s="167"/>
      <c r="WUF94" s="168"/>
      <c r="WUG94" s="167"/>
      <c r="WUH94" s="168"/>
      <c r="WUI94" s="167"/>
      <c r="WUJ94" s="168"/>
      <c r="WUK94" s="167"/>
      <c r="WUL94" s="168"/>
      <c r="WUM94" s="167"/>
      <c r="WUN94" s="168"/>
      <c r="WUO94" s="167"/>
      <c r="WUP94" s="168"/>
      <c r="WUQ94" s="167"/>
      <c r="WUR94" s="168"/>
      <c r="WUS94" s="167"/>
      <c r="WUT94" s="168"/>
      <c r="WUU94" s="167"/>
      <c r="WUV94" s="168"/>
      <c r="WUW94" s="167"/>
      <c r="WUX94" s="168"/>
      <c r="WUY94" s="167"/>
      <c r="WUZ94" s="168"/>
      <c r="WVA94" s="167"/>
      <c r="WVB94" s="168"/>
      <c r="WVC94" s="167"/>
      <c r="WVD94" s="168"/>
      <c r="WVE94" s="167"/>
      <c r="WVF94" s="168"/>
      <c r="WVG94" s="167"/>
      <c r="WVH94" s="168"/>
      <c r="WVI94" s="167"/>
      <c r="WVJ94" s="168"/>
      <c r="WVK94" s="167"/>
      <c r="WVL94" s="168"/>
      <c r="WVM94" s="167"/>
      <c r="WVN94" s="168"/>
      <c r="WVO94" s="167"/>
      <c r="WVP94" s="168"/>
      <c r="WVQ94" s="167"/>
      <c r="WVR94" s="168"/>
      <c r="WVS94" s="167"/>
      <c r="WVT94" s="168"/>
      <c r="WVU94" s="167"/>
      <c r="WVV94" s="168"/>
      <c r="WVW94" s="167"/>
      <c r="WVX94" s="168"/>
      <c r="WVY94" s="167"/>
      <c r="WVZ94" s="168"/>
      <c r="WWA94" s="167"/>
      <c r="WWB94" s="168"/>
      <c r="WWC94" s="167"/>
      <c r="WWD94" s="168"/>
      <c r="WWE94" s="167"/>
      <c r="WWF94" s="168"/>
      <c r="WWG94" s="167"/>
      <c r="WWH94" s="168"/>
      <c r="WWI94" s="167"/>
      <c r="WWJ94" s="168"/>
      <c r="WWK94" s="167"/>
      <c r="WWL94" s="168"/>
      <c r="WWM94" s="167"/>
      <c r="WWN94" s="168"/>
      <c r="WWO94" s="167"/>
      <c r="WWP94" s="168"/>
      <c r="WWQ94" s="167"/>
      <c r="WWR94" s="168"/>
      <c r="WWS94" s="167"/>
      <c r="WWT94" s="168"/>
      <c r="WWU94" s="167"/>
      <c r="WWV94" s="168"/>
      <c r="WWW94" s="167"/>
      <c r="WWX94" s="168"/>
      <c r="WWY94" s="167"/>
      <c r="WWZ94" s="168"/>
      <c r="WXA94" s="167"/>
      <c r="WXB94" s="168"/>
      <c r="WXC94" s="167"/>
      <c r="WXD94" s="168"/>
      <c r="WXE94" s="167"/>
      <c r="WXF94" s="168"/>
      <c r="WXG94" s="167"/>
      <c r="WXH94" s="168"/>
      <c r="WXI94" s="167"/>
      <c r="WXJ94" s="168"/>
      <c r="WXK94" s="167"/>
      <c r="WXL94" s="168"/>
      <c r="WXM94" s="167"/>
      <c r="WXN94" s="168"/>
      <c r="WXO94" s="167"/>
      <c r="WXP94" s="168"/>
      <c r="WXQ94" s="167"/>
      <c r="WXR94" s="168"/>
      <c r="WXS94" s="167"/>
      <c r="WXT94" s="168"/>
      <c r="WXU94" s="167"/>
      <c r="WXV94" s="168"/>
      <c r="WXW94" s="167"/>
      <c r="WXX94" s="168"/>
      <c r="WXY94" s="167"/>
      <c r="WXZ94" s="168"/>
      <c r="WYA94" s="167"/>
      <c r="WYB94" s="168"/>
      <c r="WYC94" s="167"/>
      <c r="WYD94" s="168"/>
      <c r="WYE94" s="167"/>
      <c r="WYF94" s="168"/>
      <c r="WYG94" s="167"/>
      <c r="WYH94" s="168"/>
      <c r="WYI94" s="167"/>
      <c r="WYJ94" s="168"/>
      <c r="WYK94" s="167"/>
      <c r="WYL94" s="168"/>
      <c r="WYM94" s="167"/>
      <c r="WYN94" s="168"/>
      <c r="WYO94" s="167"/>
      <c r="WYP94" s="168"/>
      <c r="WYQ94" s="167"/>
      <c r="WYR94" s="168"/>
      <c r="WYS94" s="167"/>
      <c r="WYT94" s="168"/>
      <c r="WYU94" s="167"/>
      <c r="WYV94" s="168"/>
      <c r="WYW94" s="167"/>
      <c r="WYX94" s="168"/>
      <c r="WYY94" s="167"/>
      <c r="WYZ94" s="168"/>
      <c r="WZA94" s="167"/>
      <c r="WZB94" s="168"/>
      <c r="WZC94" s="167"/>
      <c r="WZD94" s="168"/>
      <c r="WZE94" s="167"/>
      <c r="WZF94" s="168"/>
      <c r="WZG94" s="167"/>
      <c r="WZH94" s="168"/>
      <c r="WZI94" s="167"/>
      <c r="WZJ94" s="168"/>
      <c r="WZK94" s="167"/>
      <c r="WZL94" s="168"/>
      <c r="WZM94" s="167"/>
      <c r="WZN94" s="168"/>
      <c r="WZO94" s="167"/>
      <c r="WZP94" s="168"/>
      <c r="WZQ94" s="167"/>
      <c r="WZR94" s="168"/>
      <c r="WZS94" s="167"/>
      <c r="WZT94" s="168"/>
      <c r="WZU94" s="167"/>
      <c r="WZV94" s="168"/>
      <c r="WZW94" s="167"/>
      <c r="WZX94" s="168"/>
      <c r="WZY94" s="167"/>
      <c r="WZZ94" s="168"/>
      <c r="XAA94" s="167"/>
      <c r="XAB94" s="168"/>
      <c r="XAC94" s="167"/>
      <c r="XAD94" s="168"/>
      <c r="XAE94" s="167"/>
      <c r="XAF94" s="168"/>
      <c r="XAG94" s="167"/>
      <c r="XAH94" s="168"/>
      <c r="XAI94" s="167"/>
      <c r="XAJ94" s="168"/>
      <c r="XAK94" s="167"/>
      <c r="XAL94" s="168"/>
      <c r="XAM94" s="167"/>
      <c r="XAN94" s="168"/>
      <c r="XAO94" s="167"/>
      <c r="XAP94" s="168"/>
      <c r="XAQ94" s="167"/>
      <c r="XAR94" s="168"/>
      <c r="XAS94" s="167"/>
      <c r="XAT94" s="168"/>
      <c r="XAU94" s="167"/>
      <c r="XAV94" s="168"/>
      <c r="XAW94" s="167"/>
      <c r="XAX94" s="168"/>
      <c r="XAY94" s="167"/>
      <c r="XAZ94" s="168"/>
      <c r="XBA94" s="167"/>
      <c r="XBB94" s="168"/>
      <c r="XBC94" s="167"/>
      <c r="XBD94" s="168"/>
      <c r="XBE94" s="167"/>
      <c r="XBF94" s="168"/>
      <c r="XBG94" s="167"/>
      <c r="XBH94" s="168"/>
      <c r="XBI94" s="167"/>
      <c r="XBJ94" s="168"/>
      <c r="XBK94" s="167"/>
      <c r="XBL94" s="168"/>
      <c r="XBM94" s="167"/>
      <c r="XBN94" s="168"/>
      <c r="XBO94" s="167"/>
      <c r="XBP94" s="168"/>
      <c r="XBQ94" s="167"/>
      <c r="XBR94" s="168"/>
      <c r="XBS94" s="167"/>
      <c r="XBT94" s="168"/>
      <c r="XBU94" s="167"/>
      <c r="XBV94" s="168"/>
      <c r="XBW94" s="167"/>
      <c r="XBX94" s="168"/>
      <c r="XBY94" s="167"/>
      <c r="XBZ94" s="168"/>
      <c r="XCA94" s="167"/>
      <c r="XCB94" s="168"/>
      <c r="XCC94" s="167"/>
      <c r="XCD94" s="168"/>
      <c r="XCE94" s="167"/>
      <c r="XCF94" s="168"/>
      <c r="XCG94" s="167"/>
      <c r="XCH94" s="168"/>
      <c r="XCI94" s="167"/>
      <c r="XCJ94" s="168"/>
      <c r="XCK94" s="167"/>
      <c r="XCL94" s="168"/>
      <c r="XCM94" s="167"/>
      <c r="XCN94" s="168"/>
      <c r="XCO94" s="167"/>
      <c r="XCP94" s="168"/>
      <c r="XCQ94" s="167"/>
      <c r="XCR94" s="168"/>
      <c r="XCS94" s="167"/>
      <c r="XCT94" s="168"/>
      <c r="XCU94" s="167"/>
      <c r="XCV94" s="168"/>
      <c r="XCW94" s="167"/>
      <c r="XCX94" s="168"/>
      <c r="XCY94" s="167"/>
      <c r="XCZ94" s="168"/>
      <c r="XDA94" s="167"/>
      <c r="XDB94" s="168"/>
      <c r="XDC94" s="167"/>
      <c r="XDD94" s="168"/>
      <c r="XDE94" s="167"/>
      <c r="XDF94" s="168"/>
      <c r="XDG94" s="167"/>
      <c r="XDH94" s="168"/>
      <c r="XDI94" s="167"/>
      <c r="XDJ94" s="168"/>
      <c r="XDK94" s="167"/>
      <c r="XDL94" s="168"/>
      <c r="XDM94" s="167"/>
      <c r="XDN94" s="168"/>
      <c r="XDO94" s="167"/>
      <c r="XDP94" s="168"/>
      <c r="XDQ94" s="167"/>
      <c r="XDR94" s="168"/>
      <c r="XDS94" s="167"/>
      <c r="XDT94" s="168"/>
      <c r="XDU94" s="167"/>
      <c r="XDV94" s="168"/>
      <c r="XDW94" s="167"/>
      <c r="XDX94" s="168"/>
      <c r="XDY94" s="167"/>
      <c r="XDZ94" s="168"/>
      <c r="XEA94" s="167"/>
      <c r="XEB94" s="168"/>
      <c r="XEC94" s="167"/>
      <c r="XED94" s="168"/>
      <c r="XEE94" s="167"/>
      <c r="XEF94" s="168"/>
      <c r="XEG94" s="167"/>
      <c r="XEH94" s="168"/>
      <c r="XEI94" s="167"/>
      <c r="XEJ94" s="168"/>
      <c r="XEK94" s="167"/>
      <c r="XEL94" s="168"/>
      <c r="XEM94" s="167"/>
      <c r="XEN94" s="168"/>
      <c r="XEO94" s="167"/>
      <c r="XEP94" s="168"/>
      <c r="XEQ94" s="167"/>
      <c r="XER94" s="168"/>
      <c r="XES94" s="167"/>
      <c r="XET94" s="168"/>
      <c r="XEU94" s="167"/>
      <c r="XEV94" s="168"/>
      <c r="XEW94" s="167"/>
      <c r="XEX94" s="168"/>
      <c r="XEY94" s="167"/>
      <c r="XEZ94" s="168"/>
      <c r="XFA94" s="167"/>
      <c r="XFB94" s="168"/>
      <c r="XFC94" s="167"/>
      <c r="XFD94" s="168"/>
    </row>
    <row r="95" spans="1:16384" s="105" customFormat="1" ht="65.150000000000006" customHeight="1">
      <c r="A95"/>
      <c r="B95"/>
      <c r="C95"/>
      <c r="D95"/>
      <c r="E95" s="107"/>
      <c r="F95"/>
      <c r="G95" s="107"/>
      <c r="H95" s="107"/>
      <c r="I95" s="108"/>
      <c r="J95" s="108"/>
      <c r="K95" s="107"/>
      <c r="L95" s="107"/>
      <c r="M95" s="107"/>
      <c r="N95" s="107"/>
      <c r="O95" s="107"/>
      <c r="P95" s="107"/>
      <c r="Q95" s="107"/>
      <c r="R95" s="107"/>
      <c r="S95" s="107"/>
      <c r="T95" s="107"/>
      <c r="U95" s="107"/>
      <c r="V95" s="107"/>
      <c r="W95" s="107"/>
      <c r="X95" s="107"/>
      <c r="Y95" s="107"/>
      <c r="Z95" s="107"/>
      <c r="AA95" s="109"/>
      <c r="AB95"/>
      <c r="AC95" s="167"/>
      <c r="AD95" s="168"/>
      <c r="AE95" s="167"/>
      <c r="AF95" s="168"/>
      <c r="AG95" s="167"/>
      <c r="AH95" s="168"/>
      <c r="AI95" s="167"/>
      <c r="AJ95" s="168"/>
      <c r="AK95" s="167"/>
      <c r="AL95" s="168"/>
      <c r="AM95" s="167"/>
      <c r="AN95" s="168"/>
      <c r="AO95" s="167"/>
      <c r="AP95" s="168"/>
      <c r="AQ95" s="167"/>
      <c r="AR95" s="168"/>
      <c r="AS95" s="167"/>
      <c r="AT95" s="168"/>
      <c r="AU95" s="167"/>
      <c r="AV95" s="168"/>
      <c r="AW95" s="167"/>
      <c r="AX95" s="168"/>
      <c r="AY95" s="167"/>
      <c r="AZ95" s="168"/>
      <c r="BA95" s="167"/>
      <c r="BB95" s="168"/>
      <c r="BC95" s="167"/>
      <c r="BD95" s="168"/>
      <c r="BE95" s="167"/>
      <c r="BF95" s="168"/>
      <c r="BG95" s="167"/>
      <c r="BH95" s="168"/>
      <c r="BI95" s="167"/>
      <c r="BJ95" s="168"/>
      <c r="BK95" s="167"/>
      <c r="BL95" s="168"/>
      <c r="BM95" s="167"/>
      <c r="BN95" s="168"/>
      <c r="BO95" s="167"/>
      <c r="BP95" s="168"/>
      <c r="BQ95" s="167"/>
      <c r="BR95" s="168"/>
      <c r="BS95" s="167"/>
      <c r="BT95" s="168"/>
      <c r="BU95" s="167"/>
      <c r="BV95" s="168"/>
      <c r="BW95" s="167"/>
      <c r="BX95" s="168"/>
      <c r="BY95" s="167"/>
      <c r="BZ95" s="168"/>
      <c r="CA95" s="167"/>
      <c r="CB95" s="168"/>
      <c r="CC95" s="167"/>
      <c r="CD95" s="168"/>
      <c r="CE95" s="167"/>
      <c r="CF95" s="168"/>
      <c r="CG95" s="167"/>
      <c r="CH95" s="168"/>
      <c r="CI95" s="167"/>
      <c r="CJ95" s="168"/>
      <c r="CK95" s="167"/>
      <c r="CL95" s="168"/>
      <c r="CM95" s="167"/>
      <c r="CN95" s="168"/>
      <c r="CO95" s="167"/>
      <c r="CP95" s="168"/>
      <c r="CQ95" s="167"/>
      <c r="CR95" s="168"/>
      <c r="CS95" s="167"/>
      <c r="CT95" s="168"/>
      <c r="CU95" s="167"/>
      <c r="CV95" s="168"/>
      <c r="CW95" s="167"/>
      <c r="CX95" s="168"/>
      <c r="CY95" s="167"/>
      <c r="CZ95" s="168"/>
      <c r="DA95" s="167"/>
      <c r="DB95" s="168"/>
      <c r="DC95" s="167"/>
      <c r="DD95" s="168"/>
      <c r="DE95" s="167"/>
      <c r="DF95" s="168"/>
      <c r="DG95" s="167"/>
      <c r="DH95" s="168"/>
      <c r="DI95" s="167"/>
      <c r="DJ95" s="168"/>
      <c r="DK95" s="167"/>
      <c r="DL95" s="168"/>
      <c r="DM95" s="167"/>
      <c r="DN95" s="168"/>
      <c r="DO95" s="167"/>
      <c r="DP95" s="168"/>
      <c r="DQ95" s="167"/>
      <c r="DR95" s="168"/>
      <c r="DS95" s="167"/>
      <c r="DT95" s="168"/>
      <c r="DU95" s="167"/>
      <c r="DV95" s="168"/>
      <c r="DW95" s="167"/>
      <c r="DX95" s="168"/>
      <c r="DY95" s="167"/>
      <c r="DZ95" s="168"/>
      <c r="EA95" s="167"/>
      <c r="EB95" s="168"/>
      <c r="EC95" s="167"/>
      <c r="ED95" s="168"/>
      <c r="EE95" s="167"/>
      <c r="EF95" s="168"/>
      <c r="EG95" s="167"/>
      <c r="EH95" s="168"/>
      <c r="EI95" s="167"/>
      <c r="EJ95" s="168"/>
      <c r="EK95" s="167"/>
      <c r="EL95" s="168"/>
      <c r="EM95" s="167"/>
      <c r="EN95" s="168"/>
      <c r="EO95" s="167"/>
      <c r="EP95" s="168"/>
      <c r="EQ95" s="167"/>
      <c r="ER95" s="168"/>
      <c r="ES95" s="167"/>
      <c r="ET95" s="168"/>
      <c r="EU95" s="167"/>
      <c r="EV95" s="168"/>
      <c r="EW95" s="167"/>
      <c r="EX95" s="168"/>
      <c r="EY95" s="167"/>
      <c r="EZ95" s="168"/>
      <c r="FA95" s="167"/>
      <c r="FB95" s="168"/>
      <c r="FC95" s="167"/>
      <c r="FD95" s="168"/>
      <c r="FE95" s="167"/>
      <c r="FF95" s="168"/>
      <c r="FG95" s="167"/>
      <c r="FH95" s="168"/>
      <c r="FI95" s="167"/>
      <c r="FJ95" s="168"/>
      <c r="FK95" s="167"/>
      <c r="FL95" s="168"/>
      <c r="FM95" s="167"/>
      <c r="FN95" s="168"/>
      <c r="FO95" s="167"/>
      <c r="FP95" s="168"/>
      <c r="FQ95" s="167"/>
      <c r="FR95" s="168"/>
      <c r="FS95" s="167"/>
      <c r="FT95" s="168"/>
      <c r="FU95" s="167"/>
      <c r="FV95" s="168"/>
      <c r="FW95" s="167"/>
      <c r="FX95" s="168"/>
      <c r="FY95" s="167"/>
      <c r="FZ95" s="168"/>
      <c r="GA95" s="167"/>
      <c r="GB95" s="168"/>
      <c r="GC95" s="167"/>
      <c r="GD95" s="168"/>
      <c r="GE95" s="167"/>
      <c r="GF95" s="168"/>
      <c r="GG95" s="167"/>
      <c r="GH95" s="168"/>
      <c r="GI95" s="167"/>
      <c r="GJ95" s="168"/>
      <c r="GK95" s="167"/>
      <c r="GL95" s="168"/>
      <c r="GM95" s="167"/>
      <c r="GN95" s="168"/>
      <c r="GO95" s="167"/>
      <c r="GP95" s="168"/>
      <c r="GQ95" s="167"/>
      <c r="GR95" s="168"/>
      <c r="GS95" s="167"/>
      <c r="GT95" s="168"/>
      <c r="GU95" s="167"/>
      <c r="GV95" s="168"/>
      <c r="GW95" s="167"/>
      <c r="GX95" s="168"/>
      <c r="GY95" s="167"/>
      <c r="GZ95" s="168"/>
      <c r="HA95" s="167"/>
      <c r="HB95" s="168"/>
      <c r="HC95" s="167"/>
      <c r="HD95" s="168"/>
      <c r="HE95" s="167"/>
      <c r="HF95" s="168"/>
      <c r="HG95" s="167"/>
      <c r="HH95" s="168"/>
      <c r="HI95" s="167"/>
      <c r="HJ95" s="168"/>
      <c r="HK95" s="167"/>
      <c r="HL95" s="168"/>
      <c r="HM95" s="167"/>
      <c r="HN95" s="168"/>
      <c r="HO95" s="167"/>
      <c r="HP95" s="168"/>
      <c r="HQ95" s="167"/>
      <c r="HR95" s="168"/>
      <c r="HS95" s="167"/>
      <c r="HT95" s="168"/>
      <c r="HU95" s="167"/>
      <c r="HV95" s="168"/>
      <c r="HW95" s="167"/>
      <c r="HX95" s="168"/>
      <c r="HY95" s="167"/>
      <c r="HZ95" s="168"/>
      <c r="IA95" s="167"/>
      <c r="IB95" s="168"/>
      <c r="IC95" s="167"/>
      <c r="ID95" s="168"/>
      <c r="IE95" s="167"/>
      <c r="IF95" s="168"/>
      <c r="IG95" s="167"/>
      <c r="IH95" s="168"/>
      <c r="II95" s="167"/>
      <c r="IJ95" s="168"/>
      <c r="IK95" s="167"/>
      <c r="IL95" s="168"/>
      <c r="IM95" s="167"/>
      <c r="IN95" s="168"/>
      <c r="IO95" s="167"/>
      <c r="IP95" s="168"/>
      <c r="IQ95" s="167"/>
      <c r="IR95" s="168"/>
      <c r="IS95" s="167"/>
      <c r="IT95" s="168"/>
      <c r="IU95" s="167"/>
      <c r="IV95" s="168"/>
      <c r="IW95" s="167"/>
      <c r="IX95" s="168"/>
      <c r="IY95" s="167"/>
      <c r="IZ95" s="168"/>
      <c r="JA95" s="167"/>
      <c r="JB95" s="168"/>
      <c r="JC95" s="167"/>
      <c r="JD95" s="168"/>
      <c r="JE95" s="167"/>
      <c r="JF95" s="168"/>
      <c r="JG95" s="167"/>
      <c r="JH95" s="168"/>
      <c r="JI95" s="167"/>
      <c r="JJ95" s="168"/>
      <c r="JK95" s="167"/>
      <c r="JL95" s="168"/>
      <c r="JM95" s="167"/>
      <c r="JN95" s="168"/>
      <c r="JO95" s="167"/>
      <c r="JP95" s="168"/>
      <c r="JQ95" s="167"/>
      <c r="JR95" s="168"/>
      <c r="JS95" s="167"/>
      <c r="JT95" s="168"/>
      <c r="JU95" s="167"/>
      <c r="JV95" s="168"/>
      <c r="JW95" s="167"/>
      <c r="JX95" s="168"/>
      <c r="JY95" s="167"/>
      <c r="JZ95" s="168"/>
      <c r="KA95" s="167"/>
      <c r="KB95" s="168"/>
      <c r="KC95" s="167"/>
      <c r="KD95" s="168"/>
      <c r="KE95" s="167"/>
      <c r="KF95" s="168"/>
      <c r="KG95" s="167"/>
      <c r="KH95" s="168"/>
      <c r="KI95" s="167"/>
      <c r="KJ95" s="168"/>
      <c r="KK95" s="167"/>
      <c r="KL95" s="168"/>
      <c r="KM95" s="167"/>
      <c r="KN95" s="168"/>
      <c r="KO95" s="167"/>
      <c r="KP95" s="168"/>
      <c r="KQ95" s="167"/>
      <c r="KR95" s="168"/>
      <c r="KS95" s="167"/>
      <c r="KT95" s="168"/>
      <c r="KU95" s="167"/>
      <c r="KV95" s="168"/>
      <c r="KW95" s="167"/>
      <c r="KX95" s="168"/>
      <c r="KY95" s="167"/>
      <c r="KZ95" s="168"/>
      <c r="LA95" s="167"/>
      <c r="LB95" s="168"/>
      <c r="LC95" s="167"/>
      <c r="LD95" s="168"/>
      <c r="LE95" s="167"/>
      <c r="LF95" s="168"/>
      <c r="LG95" s="167"/>
      <c r="LH95" s="168"/>
      <c r="LI95" s="167"/>
      <c r="LJ95" s="168"/>
      <c r="LK95" s="167"/>
      <c r="LL95" s="168"/>
      <c r="LM95" s="167"/>
      <c r="LN95" s="168"/>
      <c r="LO95" s="167"/>
      <c r="LP95" s="168"/>
      <c r="LQ95" s="167"/>
      <c r="LR95" s="168"/>
      <c r="LS95" s="167"/>
      <c r="LT95" s="168"/>
      <c r="LU95" s="167"/>
      <c r="LV95" s="168"/>
      <c r="LW95" s="167"/>
      <c r="LX95" s="168"/>
      <c r="LY95" s="167"/>
      <c r="LZ95" s="168"/>
      <c r="MA95" s="167"/>
      <c r="MB95" s="168"/>
      <c r="MC95" s="167"/>
      <c r="MD95" s="168"/>
      <c r="ME95" s="167"/>
      <c r="MF95" s="168"/>
      <c r="MG95" s="167"/>
      <c r="MH95" s="168"/>
      <c r="MI95" s="167"/>
      <c r="MJ95" s="168"/>
      <c r="MK95" s="167"/>
      <c r="ML95" s="168"/>
      <c r="MM95" s="167"/>
      <c r="MN95" s="168"/>
      <c r="MO95" s="167"/>
      <c r="MP95" s="168"/>
      <c r="MQ95" s="167"/>
      <c r="MR95" s="168"/>
      <c r="MS95" s="167"/>
      <c r="MT95" s="168"/>
      <c r="MU95" s="167"/>
      <c r="MV95" s="168"/>
      <c r="MW95" s="167"/>
      <c r="MX95" s="168"/>
      <c r="MY95" s="167"/>
      <c r="MZ95" s="168"/>
      <c r="NA95" s="167"/>
      <c r="NB95" s="168"/>
      <c r="NC95" s="167"/>
      <c r="ND95" s="168"/>
      <c r="NE95" s="167"/>
      <c r="NF95" s="168"/>
      <c r="NG95" s="167"/>
      <c r="NH95" s="168"/>
      <c r="NI95" s="167"/>
      <c r="NJ95" s="168"/>
      <c r="NK95" s="167"/>
      <c r="NL95" s="168"/>
      <c r="NM95" s="167"/>
      <c r="NN95" s="168"/>
      <c r="NO95" s="167"/>
      <c r="NP95" s="168"/>
      <c r="NQ95" s="167"/>
      <c r="NR95" s="168"/>
      <c r="NS95" s="167"/>
      <c r="NT95" s="168"/>
      <c r="NU95" s="167"/>
      <c r="NV95" s="168"/>
      <c r="NW95" s="167"/>
      <c r="NX95" s="168"/>
      <c r="NY95" s="167"/>
      <c r="NZ95" s="168"/>
      <c r="OA95" s="167"/>
      <c r="OB95" s="168"/>
      <c r="OC95" s="167"/>
      <c r="OD95" s="168"/>
      <c r="OE95" s="167"/>
      <c r="OF95" s="168"/>
      <c r="OG95" s="167"/>
      <c r="OH95" s="168"/>
      <c r="OI95" s="167"/>
      <c r="OJ95" s="168"/>
      <c r="OK95" s="167"/>
      <c r="OL95" s="168"/>
      <c r="OM95" s="167"/>
      <c r="ON95" s="168"/>
      <c r="OO95" s="167"/>
      <c r="OP95" s="168"/>
      <c r="OQ95" s="167"/>
      <c r="OR95" s="168"/>
      <c r="OS95" s="167"/>
      <c r="OT95" s="168"/>
      <c r="OU95" s="167"/>
      <c r="OV95" s="168"/>
      <c r="OW95" s="167"/>
      <c r="OX95" s="168"/>
      <c r="OY95" s="167"/>
      <c r="OZ95" s="168"/>
      <c r="PA95" s="167"/>
      <c r="PB95" s="168"/>
      <c r="PC95" s="167"/>
      <c r="PD95" s="168"/>
      <c r="PE95" s="167"/>
      <c r="PF95" s="168"/>
      <c r="PG95" s="167"/>
      <c r="PH95" s="168"/>
      <c r="PI95" s="167"/>
      <c r="PJ95" s="168"/>
      <c r="PK95" s="167"/>
      <c r="PL95" s="168"/>
      <c r="PM95" s="167"/>
      <c r="PN95" s="168"/>
      <c r="PO95" s="167"/>
      <c r="PP95" s="168"/>
      <c r="PQ95" s="167"/>
      <c r="PR95" s="168"/>
      <c r="PS95" s="167"/>
      <c r="PT95" s="168"/>
      <c r="PU95" s="167"/>
      <c r="PV95" s="168"/>
      <c r="PW95" s="167"/>
      <c r="PX95" s="168"/>
      <c r="PY95" s="167"/>
      <c r="PZ95" s="168"/>
      <c r="QA95" s="167"/>
      <c r="QB95" s="168"/>
      <c r="QC95" s="167"/>
      <c r="QD95" s="168"/>
      <c r="QE95" s="167"/>
      <c r="QF95" s="168"/>
      <c r="QG95" s="167"/>
      <c r="QH95" s="168"/>
      <c r="QI95" s="167"/>
      <c r="QJ95" s="168"/>
      <c r="QK95" s="167"/>
      <c r="QL95" s="168"/>
      <c r="QM95" s="167"/>
      <c r="QN95" s="168"/>
      <c r="QO95" s="167"/>
      <c r="QP95" s="168"/>
      <c r="QQ95" s="167"/>
      <c r="QR95" s="168"/>
      <c r="QS95" s="167"/>
      <c r="QT95" s="168"/>
      <c r="QU95" s="167"/>
      <c r="QV95" s="168"/>
      <c r="QW95" s="167"/>
      <c r="QX95" s="168"/>
      <c r="QY95" s="167"/>
      <c r="QZ95" s="168"/>
      <c r="RA95" s="167"/>
      <c r="RB95" s="168"/>
      <c r="RC95" s="167"/>
      <c r="RD95" s="168"/>
      <c r="RE95" s="167"/>
      <c r="RF95" s="168"/>
      <c r="RG95" s="167"/>
      <c r="RH95" s="168"/>
      <c r="RI95" s="167"/>
      <c r="RJ95" s="168"/>
      <c r="RK95" s="167"/>
      <c r="RL95" s="168"/>
      <c r="RM95" s="167"/>
      <c r="RN95" s="168"/>
      <c r="RO95" s="167"/>
      <c r="RP95" s="168"/>
      <c r="RQ95" s="167"/>
      <c r="RR95" s="168"/>
      <c r="RS95" s="167"/>
      <c r="RT95" s="168"/>
      <c r="RU95" s="167"/>
      <c r="RV95" s="168"/>
      <c r="RW95" s="167"/>
      <c r="RX95" s="168"/>
      <c r="RY95" s="167"/>
      <c r="RZ95" s="168"/>
      <c r="SA95" s="167"/>
      <c r="SB95" s="168"/>
      <c r="SC95" s="167"/>
      <c r="SD95" s="168"/>
      <c r="SE95" s="167"/>
      <c r="SF95" s="168"/>
      <c r="SG95" s="167"/>
      <c r="SH95" s="168"/>
      <c r="SI95" s="167"/>
      <c r="SJ95" s="168"/>
      <c r="SK95" s="167"/>
      <c r="SL95" s="168"/>
      <c r="SM95" s="167"/>
      <c r="SN95" s="168"/>
      <c r="SO95" s="167"/>
      <c r="SP95" s="168"/>
      <c r="SQ95" s="167"/>
      <c r="SR95" s="168"/>
      <c r="SS95" s="167"/>
      <c r="ST95" s="168"/>
      <c r="SU95" s="167"/>
      <c r="SV95" s="168"/>
      <c r="SW95" s="167"/>
      <c r="SX95" s="168"/>
      <c r="SY95" s="167"/>
      <c r="SZ95" s="168"/>
      <c r="TA95" s="167"/>
      <c r="TB95" s="168"/>
      <c r="TC95" s="167"/>
      <c r="TD95" s="168"/>
      <c r="TE95" s="167"/>
      <c r="TF95" s="168"/>
      <c r="TG95" s="167"/>
      <c r="TH95" s="168"/>
      <c r="TI95" s="167"/>
      <c r="TJ95" s="168"/>
      <c r="TK95" s="167"/>
      <c r="TL95" s="168"/>
      <c r="TM95" s="167"/>
      <c r="TN95" s="168"/>
      <c r="TO95" s="167"/>
      <c r="TP95" s="168"/>
      <c r="TQ95" s="167"/>
      <c r="TR95" s="168"/>
      <c r="TS95" s="167"/>
      <c r="TT95" s="168"/>
      <c r="TU95" s="167"/>
      <c r="TV95" s="168"/>
      <c r="TW95" s="167"/>
      <c r="TX95" s="168"/>
      <c r="TY95" s="167"/>
      <c r="TZ95" s="168"/>
      <c r="UA95" s="167"/>
      <c r="UB95" s="168"/>
      <c r="UC95" s="167"/>
      <c r="UD95" s="168"/>
      <c r="UE95" s="167"/>
      <c r="UF95" s="168"/>
      <c r="UG95" s="167"/>
      <c r="UH95" s="168"/>
      <c r="UI95" s="167"/>
      <c r="UJ95" s="168"/>
      <c r="UK95" s="167"/>
      <c r="UL95" s="168"/>
      <c r="UM95" s="167"/>
      <c r="UN95" s="168"/>
      <c r="UO95" s="167"/>
      <c r="UP95" s="168"/>
      <c r="UQ95" s="167"/>
      <c r="UR95" s="168"/>
      <c r="US95" s="167"/>
      <c r="UT95" s="168"/>
      <c r="UU95" s="167"/>
      <c r="UV95" s="168"/>
      <c r="UW95" s="167"/>
      <c r="UX95" s="168"/>
      <c r="UY95" s="167"/>
      <c r="UZ95" s="168"/>
      <c r="VA95" s="167"/>
      <c r="VB95" s="168"/>
      <c r="VC95" s="167"/>
      <c r="VD95" s="168"/>
      <c r="VE95" s="167"/>
      <c r="VF95" s="168"/>
      <c r="VG95" s="167"/>
      <c r="VH95" s="168"/>
      <c r="VI95" s="167"/>
      <c r="VJ95" s="168"/>
      <c r="VK95" s="167"/>
      <c r="VL95" s="168"/>
      <c r="VM95" s="167"/>
      <c r="VN95" s="168"/>
      <c r="VO95" s="167"/>
      <c r="VP95" s="168"/>
      <c r="VQ95" s="167"/>
      <c r="VR95" s="168"/>
      <c r="VS95" s="167"/>
      <c r="VT95" s="168"/>
      <c r="VU95" s="167"/>
      <c r="VV95" s="168"/>
      <c r="VW95" s="167"/>
      <c r="VX95" s="168"/>
      <c r="VY95" s="167"/>
      <c r="VZ95" s="168"/>
      <c r="WA95" s="167"/>
      <c r="WB95" s="168"/>
      <c r="WC95" s="167"/>
      <c r="WD95" s="168"/>
      <c r="WE95" s="167"/>
      <c r="WF95" s="168"/>
      <c r="WG95" s="167"/>
      <c r="WH95" s="168"/>
      <c r="WI95" s="167"/>
      <c r="WJ95" s="168"/>
      <c r="WK95" s="167"/>
      <c r="WL95" s="168"/>
      <c r="WM95" s="167"/>
      <c r="WN95" s="168"/>
      <c r="WO95" s="167"/>
      <c r="WP95" s="168"/>
      <c r="WQ95" s="167"/>
      <c r="WR95" s="168"/>
      <c r="WS95" s="167"/>
      <c r="WT95" s="168"/>
      <c r="WU95" s="167"/>
      <c r="WV95" s="168"/>
      <c r="WW95" s="167"/>
      <c r="WX95" s="168"/>
      <c r="WY95" s="167"/>
      <c r="WZ95" s="168"/>
      <c r="XA95" s="167"/>
      <c r="XB95" s="168"/>
      <c r="XC95" s="167"/>
      <c r="XD95" s="168"/>
      <c r="XE95" s="167"/>
      <c r="XF95" s="168"/>
      <c r="XG95" s="167"/>
      <c r="XH95" s="168"/>
      <c r="XI95" s="167"/>
      <c r="XJ95" s="168"/>
      <c r="XK95" s="167"/>
      <c r="XL95" s="168"/>
      <c r="XM95" s="167"/>
      <c r="XN95" s="168"/>
      <c r="XO95" s="167"/>
      <c r="XP95" s="168"/>
      <c r="XQ95" s="167"/>
      <c r="XR95" s="168"/>
      <c r="XS95" s="167"/>
      <c r="XT95" s="168"/>
      <c r="XU95" s="167"/>
      <c r="XV95" s="168"/>
      <c r="XW95" s="167"/>
      <c r="XX95" s="168"/>
      <c r="XY95" s="167"/>
      <c r="XZ95" s="168"/>
      <c r="YA95" s="167"/>
      <c r="YB95" s="168"/>
      <c r="YC95" s="167"/>
      <c r="YD95" s="168"/>
      <c r="YE95" s="167"/>
      <c r="YF95" s="168"/>
      <c r="YG95" s="167"/>
      <c r="YH95" s="168"/>
      <c r="YI95" s="167"/>
      <c r="YJ95" s="168"/>
      <c r="YK95" s="167"/>
      <c r="YL95" s="168"/>
      <c r="YM95" s="167"/>
      <c r="YN95" s="168"/>
      <c r="YO95" s="167"/>
      <c r="YP95" s="168"/>
      <c r="YQ95" s="167"/>
      <c r="YR95" s="168"/>
      <c r="YS95" s="167"/>
      <c r="YT95" s="168"/>
      <c r="YU95" s="167"/>
      <c r="YV95" s="168"/>
      <c r="YW95" s="167"/>
      <c r="YX95" s="168"/>
      <c r="YY95" s="167"/>
      <c r="YZ95" s="168"/>
      <c r="ZA95" s="167"/>
      <c r="ZB95" s="168"/>
      <c r="ZC95" s="167"/>
      <c r="ZD95" s="168"/>
      <c r="ZE95" s="167"/>
      <c r="ZF95" s="168"/>
      <c r="ZG95" s="167"/>
      <c r="ZH95" s="168"/>
      <c r="ZI95" s="167"/>
      <c r="ZJ95" s="168"/>
      <c r="ZK95" s="167"/>
      <c r="ZL95" s="168"/>
      <c r="ZM95" s="167"/>
      <c r="ZN95" s="168"/>
      <c r="ZO95" s="167"/>
      <c r="ZP95" s="168"/>
      <c r="ZQ95" s="167"/>
      <c r="ZR95" s="168"/>
      <c r="ZS95" s="167"/>
      <c r="ZT95" s="168"/>
      <c r="ZU95" s="167"/>
      <c r="ZV95" s="168"/>
      <c r="ZW95" s="167"/>
      <c r="ZX95" s="168"/>
      <c r="ZY95" s="167"/>
      <c r="ZZ95" s="168"/>
      <c r="AAA95" s="167"/>
      <c r="AAB95" s="168"/>
      <c r="AAC95" s="167"/>
      <c r="AAD95" s="168"/>
      <c r="AAE95" s="167"/>
      <c r="AAF95" s="168"/>
      <c r="AAG95" s="167"/>
      <c r="AAH95" s="168"/>
      <c r="AAI95" s="167"/>
      <c r="AAJ95" s="168"/>
      <c r="AAK95" s="167"/>
      <c r="AAL95" s="168"/>
      <c r="AAM95" s="167"/>
      <c r="AAN95" s="168"/>
      <c r="AAO95" s="167"/>
      <c r="AAP95" s="168"/>
      <c r="AAQ95" s="167"/>
      <c r="AAR95" s="168"/>
      <c r="AAS95" s="167"/>
      <c r="AAT95" s="168"/>
      <c r="AAU95" s="167"/>
      <c r="AAV95" s="168"/>
      <c r="AAW95" s="167"/>
      <c r="AAX95" s="168"/>
      <c r="AAY95" s="167"/>
      <c r="AAZ95" s="168"/>
      <c r="ABA95" s="167"/>
      <c r="ABB95" s="168"/>
      <c r="ABC95" s="167"/>
      <c r="ABD95" s="168"/>
      <c r="ABE95" s="167"/>
      <c r="ABF95" s="168"/>
      <c r="ABG95" s="167"/>
      <c r="ABH95" s="168"/>
      <c r="ABI95" s="167"/>
      <c r="ABJ95" s="168"/>
      <c r="ABK95" s="167"/>
      <c r="ABL95" s="168"/>
      <c r="ABM95" s="167"/>
      <c r="ABN95" s="168"/>
      <c r="ABO95" s="167"/>
      <c r="ABP95" s="168"/>
      <c r="ABQ95" s="167"/>
      <c r="ABR95" s="168"/>
      <c r="ABS95" s="167"/>
      <c r="ABT95" s="168"/>
      <c r="ABU95" s="167"/>
      <c r="ABV95" s="168"/>
      <c r="ABW95" s="167"/>
      <c r="ABX95" s="168"/>
      <c r="ABY95" s="167"/>
      <c r="ABZ95" s="168"/>
      <c r="ACA95" s="167"/>
      <c r="ACB95" s="168"/>
      <c r="ACC95" s="167"/>
      <c r="ACD95" s="168"/>
      <c r="ACE95" s="167"/>
      <c r="ACF95" s="168"/>
      <c r="ACG95" s="167"/>
      <c r="ACH95" s="168"/>
      <c r="ACI95" s="167"/>
      <c r="ACJ95" s="168"/>
      <c r="ACK95" s="167"/>
      <c r="ACL95" s="168"/>
      <c r="ACM95" s="167"/>
      <c r="ACN95" s="168"/>
      <c r="ACO95" s="167"/>
      <c r="ACP95" s="168"/>
      <c r="ACQ95" s="167"/>
      <c r="ACR95" s="168"/>
      <c r="ACS95" s="167"/>
      <c r="ACT95" s="168"/>
      <c r="ACU95" s="167"/>
      <c r="ACV95" s="168"/>
      <c r="ACW95" s="167"/>
      <c r="ACX95" s="168"/>
      <c r="ACY95" s="167"/>
      <c r="ACZ95" s="168"/>
      <c r="ADA95" s="167"/>
      <c r="ADB95" s="168"/>
      <c r="ADC95" s="167"/>
      <c r="ADD95" s="168"/>
      <c r="ADE95" s="167"/>
      <c r="ADF95" s="168"/>
      <c r="ADG95" s="167"/>
      <c r="ADH95" s="168"/>
      <c r="ADI95" s="167"/>
      <c r="ADJ95" s="168"/>
      <c r="ADK95" s="167"/>
      <c r="ADL95" s="168"/>
      <c r="ADM95" s="167"/>
      <c r="ADN95" s="168"/>
      <c r="ADO95" s="167"/>
      <c r="ADP95" s="168"/>
      <c r="ADQ95" s="167"/>
      <c r="ADR95" s="168"/>
      <c r="ADS95" s="167"/>
      <c r="ADT95" s="168"/>
      <c r="ADU95" s="167"/>
      <c r="ADV95" s="168"/>
      <c r="ADW95" s="167"/>
      <c r="ADX95" s="168"/>
      <c r="ADY95" s="167"/>
      <c r="ADZ95" s="168"/>
      <c r="AEA95" s="167"/>
      <c r="AEB95" s="168"/>
      <c r="AEC95" s="167"/>
      <c r="AED95" s="168"/>
      <c r="AEE95" s="167"/>
      <c r="AEF95" s="168"/>
      <c r="AEG95" s="167"/>
      <c r="AEH95" s="168"/>
      <c r="AEI95" s="167"/>
      <c r="AEJ95" s="168"/>
      <c r="AEK95" s="167"/>
      <c r="AEL95" s="168"/>
      <c r="AEM95" s="167"/>
      <c r="AEN95" s="168"/>
      <c r="AEO95" s="167"/>
      <c r="AEP95" s="168"/>
      <c r="AEQ95" s="167"/>
      <c r="AER95" s="168"/>
      <c r="AES95" s="167"/>
      <c r="AET95" s="168"/>
      <c r="AEU95" s="167"/>
      <c r="AEV95" s="168"/>
      <c r="AEW95" s="167"/>
      <c r="AEX95" s="168"/>
      <c r="AEY95" s="167"/>
      <c r="AEZ95" s="168"/>
      <c r="AFA95" s="167"/>
      <c r="AFB95" s="168"/>
      <c r="AFC95" s="167"/>
      <c r="AFD95" s="168"/>
      <c r="AFE95" s="167"/>
      <c r="AFF95" s="168"/>
      <c r="AFG95" s="167"/>
      <c r="AFH95" s="168"/>
      <c r="AFI95" s="167"/>
      <c r="AFJ95" s="168"/>
      <c r="AFK95" s="167"/>
      <c r="AFL95" s="168"/>
      <c r="AFM95" s="167"/>
      <c r="AFN95" s="168"/>
      <c r="AFO95" s="167"/>
      <c r="AFP95" s="168"/>
      <c r="AFQ95" s="167"/>
      <c r="AFR95" s="168"/>
      <c r="AFS95" s="167"/>
      <c r="AFT95" s="168"/>
      <c r="AFU95" s="167"/>
      <c r="AFV95" s="168"/>
      <c r="AFW95" s="167"/>
      <c r="AFX95" s="168"/>
      <c r="AFY95" s="167"/>
      <c r="AFZ95" s="168"/>
      <c r="AGA95" s="167"/>
      <c r="AGB95" s="168"/>
      <c r="AGC95" s="167"/>
      <c r="AGD95" s="168"/>
      <c r="AGE95" s="167"/>
      <c r="AGF95" s="168"/>
      <c r="AGG95" s="167"/>
      <c r="AGH95" s="168"/>
      <c r="AGI95" s="167"/>
      <c r="AGJ95" s="168"/>
      <c r="AGK95" s="167"/>
      <c r="AGL95" s="168"/>
      <c r="AGM95" s="167"/>
      <c r="AGN95" s="168"/>
      <c r="AGO95" s="167"/>
      <c r="AGP95" s="168"/>
      <c r="AGQ95" s="167"/>
      <c r="AGR95" s="168"/>
      <c r="AGS95" s="167"/>
      <c r="AGT95" s="168"/>
      <c r="AGU95" s="167"/>
      <c r="AGV95" s="168"/>
      <c r="AGW95" s="167"/>
      <c r="AGX95" s="168"/>
      <c r="AGY95" s="167"/>
      <c r="AGZ95" s="168"/>
      <c r="AHA95" s="167"/>
      <c r="AHB95" s="168"/>
      <c r="AHC95" s="167"/>
      <c r="AHD95" s="168"/>
      <c r="AHE95" s="167"/>
      <c r="AHF95" s="168"/>
      <c r="AHG95" s="167"/>
      <c r="AHH95" s="168"/>
      <c r="AHI95" s="167"/>
      <c r="AHJ95" s="168"/>
      <c r="AHK95" s="167"/>
      <c r="AHL95" s="168"/>
      <c r="AHM95" s="167"/>
      <c r="AHN95" s="168"/>
      <c r="AHO95" s="167"/>
      <c r="AHP95" s="168"/>
      <c r="AHQ95" s="167"/>
      <c r="AHR95" s="168"/>
      <c r="AHS95" s="167"/>
      <c r="AHT95" s="168"/>
      <c r="AHU95" s="167"/>
      <c r="AHV95" s="168"/>
      <c r="AHW95" s="167"/>
      <c r="AHX95" s="168"/>
      <c r="AHY95" s="167"/>
      <c r="AHZ95" s="168"/>
      <c r="AIA95" s="167"/>
      <c r="AIB95" s="168"/>
      <c r="AIC95" s="167"/>
      <c r="AID95" s="168"/>
      <c r="AIE95" s="167"/>
      <c r="AIF95" s="168"/>
      <c r="AIG95" s="167"/>
      <c r="AIH95" s="168"/>
      <c r="AII95" s="167"/>
      <c r="AIJ95" s="168"/>
      <c r="AIK95" s="167"/>
      <c r="AIL95" s="168"/>
      <c r="AIM95" s="167"/>
      <c r="AIN95" s="168"/>
      <c r="AIO95" s="167"/>
      <c r="AIP95" s="168"/>
      <c r="AIQ95" s="167"/>
      <c r="AIR95" s="168"/>
      <c r="AIS95" s="167"/>
      <c r="AIT95" s="168"/>
      <c r="AIU95" s="167"/>
      <c r="AIV95" s="168"/>
      <c r="AIW95" s="167"/>
      <c r="AIX95" s="168"/>
      <c r="AIY95" s="167"/>
      <c r="AIZ95" s="168"/>
      <c r="AJA95" s="167"/>
      <c r="AJB95" s="168"/>
      <c r="AJC95" s="167"/>
      <c r="AJD95" s="168"/>
      <c r="AJE95" s="167"/>
      <c r="AJF95" s="168"/>
      <c r="AJG95" s="167"/>
      <c r="AJH95" s="168"/>
      <c r="AJI95" s="167"/>
      <c r="AJJ95" s="168"/>
      <c r="AJK95" s="167"/>
      <c r="AJL95" s="168"/>
      <c r="AJM95" s="167"/>
      <c r="AJN95" s="168"/>
      <c r="AJO95" s="167"/>
      <c r="AJP95" s="168"/>
      <c r="AJQ95" s="167"/>
      <c r="AJR95" s="168"/>
      <c r="AJS95" s="167"/>
      <c r="AJT95" s="168"/>
      <c r="AJU95" s="167"/>
      <c r="AJV95" s="168"/>
      <c r="AJW95" s="167"/>
      <c r="AJX95" s="168"/>
      <c r="AJY95" s="167"/>
      <c r="AJZ95" s="168"/>
      <c r="AKA95" s="167"/>
      <c r="AKB95" s="168"/>
      <c r="AKC95" s="167"/>
      <c r="AKD95" s="168"/>
      <c r="AKE95" s="167"/>
      <c r="AKF95" s="168"/>
      <c r="AKG95" s="167"/>
      <c r="AKH95" s="168"/>
      <c r="AKI95" s="167"/>
      <c r="AKJ95" s="168"/>
      <c r="AKK95" s="167"/>
      <c r="AKL95" s="168"/>
      <c r="AKM95" s="167"/>
      <c r="AKN95" s="168"/>
      <c r="AKO95" s="167"/>
      <c r="AKP95" s="168"/>
      <c r="AKQ95" s="167"/>
      <c r="AKR95" s="168"/>
      <c r="AKS95" s="167"/>
      <c r="AKT95" s="168"/>
      <c r="AKU95" s="167"/>
      <c r="AKV95" s="168"/>
      <c r="AKW95" s="167"/>
      <c r="AKX95" s="168"/>
      <c r="AKY95" s="167"/>
      <c r="AKZ95" s="168"/>
      <c r="ALA95" s="167"/>
      <c r="ALB95" s="168"/>
      <c r="ALC95" s="167"/>
      <c r="ALD95" s="168"/>
      <c r="ALE95" s="167"/>
      <c r="ALF95" s="168"/>
      <c r="ALG95" s="167"/>
      <c r="ALH95" s="168"/>
      <c r="ALI95" s="167"/>
      <c r="ALJ95" s="168"/>
      <c r="ALK95" s="167"/>
      <c r="ALL95" s="168"/>
      <c r="ALM95" s="167"/>
      <c r="ALN95" s="168"/>
      <c r="ALO95" s="167"/>
      <c r="ALP95" s="168"/>
      <c r="ALQ95" s="167"/>
      <c r="ALR95" s="168"/>
      <c r="ALS95" s="167"/>
      <c r="ALT95" s="168"/>
      <c r="ALU95" s="167"/>
      <c r="ALV95" s="168"/>
      <c r="ALW95" s="167"/>
      <c r="ALX95" s="168"/>
      <c r="ALY95" s="167"/>
      <c r="ALZ95" s="168"/>
      <c r="AMA95" s="167"/>
      <c r="AMB95" s="168"/>
      <c r="AMC95" s="167"/>
      <c r="AMD95" s="168"/>
      <c r="AME95" s="167"/>
      <c r="AMF95" s="168"/>
      <c r="AMG95" s="167"/>
      <c r="AMH95" s="168"/>
      <c r="AMI95" s="167"/>
      <c r="AMJ95" s="168"/>
      <c r="AMK95" s="167"/>
      <c r="AML95" s="168"/>
      <c r="AMM95" s="167"/>
      <c r="AMN95" s="168"/>
      <c r="AMO95" s="167"/>
      <c r="AMP95" s="168"/>
      <c r="AMQ95" s="167"/>
      <c r="AMR95" s="168"/>
      <c r="AMS95" s="167"/>
      <c r="AMT95" s="168"/>
      <c r="AMU95" s="167"/>
      <c r="AMV95" s="168"/>
      <c r="AMW95" s="167"/>
      <c r="AMX95" s="168"/>
      <c r="AMY95" s="167"/>
      <c r="AMZ95" s="168"/>
      <c r="ANA95" s="167"/>
      <c r="ANB95" s="168"/>
      <c r="ANC95" s="167"/>
      <c r="AND95" s="168"/>
      <c r="ANE95" s="167"/>
      <c r="ANF95" s="168"/>
      <c r="ANG95" s="167"/>
      <c r="ANH95" s="168"/>
      <c r="ANI95" s="167"/>
      <c r="ANJ95" s="168"/>
      <c r="ANK95" s="167"/>
      <c r="ANL95" s="168"/>
      <c r="ANM95" s="167"/>
      <c r="ANN95" s="168"/>
      <c r="ANO95" s="167"/>
      <c r="ANP95" s="168"/>
      <c r="ANQ95" s="167"/>
      <c r="ANR95" s="168"/>
      <c r="ANS95" s="167"/>
      <c r="ANT95" s="168"/>
      <c r="ANU95" s="167"/>
      <c r="ANV95" s="168"/>
      <c r="ANW95" s="167"/>
      <c r="ANX95" s="168"/>
      <c r="ANY95" s="167"/>
      <c r="ANZ95" s="168"/>
      <c r="AOA95" s="167"/>
      <c r="AOB95" s="168"/>
      <c r="AOC95" s="167"/>
      <c r="AOD95" s="168"/>
      <c r="AOE95" s="167"/>
      <c r="AOF95" s="168"/>
      <c r="AOG95" s="167"/>
      <c r="AOH95" s="168"/>
      <c r="AOI95" s="167"/>
      <c r="AOJ95" s="168"/>
      <c r="AOK95" s="167"/>
      <c r="AOL95" s="168"/>
      <c r="AOM95" s="167"/>
      <c r="AON95" s="168"/>
      <c r="AOO95" s="167"/>
      <c r="AOP95" s="168"/>
      <c r="AOQ95" s="167"/>
      <c r="AOR95" s="168"/>
      <c r="AOS95" s="167"/>
      <c r="AOT95" s="168"/>
      <c r="AOU95" s="167"/>
      <c r="AOV95" s="168"/>
      <c r="AOW95" s="167"/>
      <c r="AOX95" s="168"/>
      <c r="AOY95" s="167"/>
      <c r="AOZ95" s="168"/>
      <c r="APA95" s="167"/>
      <c r="APB95" s="168"/>
      <c r="APC95" s="167"/>
      <c r="APD95" s="168"/>
      <c r="APE95" s="167"/>
      <c r="APF95" s="168"/>
      <c r="APG95" s="167"/>
      <c r="APH95" s="168"/>
      <c r="API95" s="167"/>
      <c r="APJ95" s="168"/>
      <c r="APK95" s="167"/>
      <c r="APL95" s="168"/>
      <c r="APM95" s="167"/>
      <c r="APN95" s="168"/>
      <c r="APO95" s="167"/>
      <c r="APP95" s="168"/>
      <c r="APQ95" s="167"/>
      <c r="APR95" s="168"/>
      <c r="APS95" s="167"/>
      <c r="APT95" s="168"/>
      <c r="APU95" s="167"/>
      <c r="APV95" s="168"/>
      <c r="APW95" s="167"/>
      <c r="APX95" s="168"/>
      <c r="APY95" s="167"/>
      <c r="APZ95" s="168"/>
      <c r="AQA95" s="167"/>
      <c r="AQB95" s="168"/>
      <c r="AQC95" s="167"/>
      <c r="AQD95" s="168"/>
      <c r="AQE95" s="167"/>
      <c r="AQF95" s="168"/>
      <c r="AQG95" s="167"/>
      <c r="AQH95" s="168"/>
      <c r="AQI95" s="167"/>
      <c r="AQJ95" s="168"/>
      <c r="AQK95" s="167"/>
      <c r="AQL95" s="168"/>
      <c r="AQM95" s="167"/>
      <c r="AQN95" s="168"/>
      <c r="AQO95" s="167"/>
      <c r="AQP95" s="168"/>
      <c r="AQQ95" s="167"/>
      <c r="AQR95" s="168"/>
      <c r="AQS95" s="167"/>
      <c r="AQT95" s="168"/>
      <c r="AQU95" s="167"/>
      <c r="AQV95" s="168"/>
      <c r="AQW95" s="167"/>
      <c r="AQX95" s="168"/>
      <c r="AQY95" s="167"/>
      <c r="AQZ95" s="168"/>
      <c r="ARA95" s="167"/>
      <c r="ARB95" s="168"/>
      <c r="ARC95" s="167"/>
      <c r="ARD95" s="168"/>
      <c r="ARE95" s="167"/>
      <c r="ARF95" s="168"/>
      <c r="ARG95" s="167"/>
      <c r="ARH95" s="168"/>
      <c r="ARI95" s="167"/>
      <c r="ARJ95" s="168"/>
      <c r="ARK95" s="167"/>
      <c r="ARL95" s="168"/>
      <c r="ARM95" s="167"/>
      <c r="ARN95" s="168"/>
      <c r="ARO95" s="167"/>
      <c r="ARP95" s="168"/>
      <c r="ARQ95" s="167"/>
      <c r="ARR95" s="168"/>
      <c r="ARS95" s="167"/>
      <c r="ART95" s="168"/>
      <c r="ARU95" s="167"/>
      <c r="ARV95" s="168"/>
      <c r="ARW95" s="167"/>
      <c r="ARX95" s="168"/>
      <c r="ARY95" s="167"/>
      <c r="ARZ95" s="168"/>
      <c r="ASA95" s="167"/>
      <c r="ASB95" s="168"/>
      <c r="ASC95" s="167"/>
      <c r="ASD95" s="168"/>
      <c r="ASE95" s="167"/>
      <c r="ASF95" s="168"/>
      <c r="ASG95" s="167"/>
      <c r="ASH95" s="168"/>
      <c r="ASI95" s="167"/>
      <c r="ASJ95" s="168"/>
      <c r="ASK95" s="167"/>
      <c r="ASL95" s="168"/>
      <c r="ASM95" s="167"/>
      <c r="ASN95" s="168"/>
      <c r="ASO95" s="167"/>
      <c r="ASP95" s="168"/>
      <c r="ASQ95" s="167"/>
      <c r="ASR95" s="168"/>
      <c r="ASS95" s="167"/>
      <c r="AST95" s="168"/>
      <c r="ASU95" s="167"/>
      <c r="ASV95" s="168"/>
      <c r="ASW95" s="167"/>
      <c r="ASX95" s="168"/>
      <c r="ASY95" s="167"/>
      <c r="ASZ95" s="168"/>
      <c r="ATA95" s="167"/>
      <c r="ATB95" s="168"/>
      <c r="ATC95" s="167"/>
      <c r="ATD95" s="168"/>
      <c r="ATE95" s="167"/>
      <c r="ATF95" s="168"/>
      <c r="ATG95" s="167"/>
      <c r="ATH95" s="168"/>
      <c r="ATI95" s="167"/>
      <c r="ATJ95" s="168"/>
      <c r="ATK95" s="167"/>
      <c r="ATL95" s="168"/>
      <c r="ATM95" s="167"/>
      <c r="ATN95" s="168"/>
      <c r="ATO95" s="167"/>
      <c r="ATP95" s="168"/>
      <c r="ATQ95" s="167"/>
      <c r="ATR95" s="168"/>
      <c r="ATS95" s="167"/>
      <c r="ATT95" s="168"/>
      <c r="ATU95" s="167"/>
      <c r="ATV95" s="168"/>
      <c r="ATW95" s="167"/>
      <c r="ATX95" s="168"/>
      <c r="ATY95" s="167"/>
      <c r="ATZ95" s="168"/>
      <c r="AUA95" s="167"/>
      <c r="AUB95" s="168"/>
      <c r="AUC95" s="167"/>
      <c r="AUD95" s="168"/>
      <c r="AUE95" s="167"/>
      <c r="AUF95" s="168"/>
      <c r="AUG95" s="167"/>
      <c r="AUH95" s="168"/>
      <c r="AUI95" s="167"/>
      <c r="AUJ95" s="168"/>
      <c r="AUK95" s="167"/>
      <c r="AUL95" s="168"/>
      <c r="AUM95" s="167"/>
      <c r="AUN95" s="168"/>
      <c r="AUO95" s="167"/>
      <c r="AUP95" s="168"/>
      <c r="AUQ95" s="167"/>
      <c r="AUR95" s="168"/>
      <c r="AUS95" s="167"/>
      <c r="AUT95" s="168"/>
      <c r="AUU95" s="167"/>
      <c r="AUV95" s="168"/>
      <c r="AUW95" s="167"/>
      <c r="AUX95" s="168"/>
      <c r="AUY95" s="167"/>
      <c r="AUZ95" s="168"/>
      <c r="AVA95" s="167"/>
      <c r="AVB95" s="168"/>
      <c r="AVC95" s="167"/>
      <c r="AVD95" s="168"/>
      <c r="AVE95" s="167"/>
      <c r="AVF95" s="168"/>
      <c r="AVG95" s="167"/>
      <c r="AVH95" s="168"/>
      <c r="AVI95" s="167"/>
      <c r="AVJ95" s="168"/>
      <c r="AVK95" s="167"/>
      <c r="AVL95" s="168"/>
      <c r="AVM95" s="167"/>
      <c r="AVN95" s="168"/>
      <c r="AVO95" s="167"/>
      <c r="AVP95" s="168"/>
      <c r="AVQ95" s="167"/>
      <c r="AVR95" s="168"/>
      <c r="AVS95" s="167"/>
      <c r="AVT95" s="168"/>
      <c r="AVU95" s="167"/>
      <c r="AVV95" s="168"/>
      <c r="AVW95" s="167"/>
      <c r="AVX95" s="168"/>
      <c r="AVY95" s="167"/>
      <c r="AVZ95" s="168"/>
      <c r="AWA95" s="167"/>
      <c r="AWB95" s="168"/>
      <c r="AWC95" s="167"/>
      <c r="AWD95" s="168"/>
      <c r="AWE95" s="167"/>
      <c r="AWF95" s="168"/>
      <c r="AWG95" s="167"/>
      <c r="AWH95" s="168"/>
      <c r="AWI95" s="167"/>
      <c r="AWJ95" s="168"/>
      <c r="AWK95" s="167"/>
      <c r="AWL95" s="168"/>
      <c r="AWM95" s="167"/>
      <c r="AWN95" s="168"/>
      <c r="AWO95" s="167"/>
      <c r="AWP95" s="168"/>
      <c r="AWQ95" s="167"/>
      <c r="AWR95" s="168"/>
      <c r="AWS95" s="167"/>
      <c r="AWT95" s="168"/>
      <c r="AWU95" s="167"/>
      <c r="AWV95" s="168"/>
      <c r="AWW95" s="167"/>
      <c r="AWX95" s="168"/>
      <c r="AWY95" s="167"/>
      <c r="AWZ95" s="168"/>
      <c r="AXA95" s="167"/>
      <c r="AXB95" s="168"/>
      <c r="AXC95" s="167"/>
      <c r="AXD95" s="168"/>
      <c r="AXE95" s="167"/>
      <c r="AXF95" s="168"/>
      <c r="AXG95" s="167"/>
      <c r="AXH95" s="168"/>
      <c r="AXI95" s="167"/>
      <c r="AXJ95" s="168"/>
      <c r="AXK95" s="167"/>
      <c r="AXL95" s="168"/>
      <c r="AXM95" s="167"/>
      <c r="AXN95" s="168"/>
      <c r="AXO95" s="167"/>
      <c r="AXP95" s="168"/>
      <c r="AXQ95" s="167"/>
      <c r="AXR95" s="168"/>
      <c r="AXS95" s="167"/>
      <c r="AXT95" s="168"/>
      <c r="AXU95" s="167"/>
      <c r="AXV95" s="168"/>
      <c r="AXW95" s="167"/>
      <c r="AXX95" s="168"/>
      <c r="AXY95" s="167"/>
      <c r="AXZ95" s="168"/>
      <c r="AYA95" s="167"/>
      <c r="AYB95" s="168"/>
      <c r="AYC95" s="167"/>
      <c r="AYD95" s="168"/>
      <c r="AYE95" s="167"/>
      <c r="AYF95" s="168"/>
      <c r="AYG95" s="167"/>
      <c r="AYH95" s="168"/>
      <c r="AYI95" s="167"/>
      <c r="AYJ95" s="168"/>
      <c r="AYK95" s="167"/>
      <c r="AYL95" s="168"/>
      <c r="AYM95" s="167"/>
      <c r="AYN95" s="168"/>
      <c r="AYO95" s="167"/>
      <c r="AYP95" s="168"/>
      <c r="AYQ95" s="167"/>
      <c r="AYR95" s="168"/>
      <c r="AYS95" s="167"/>
      <c r="AYT95" s="168"/>
      <c r="AYU95" s="167"/>
      <c r="AYV95" s="168"/>
      <c r="AYW95" s="167"/>
      <c r="AYX95" s="168"/>
      <c r="AYY95" s="167"/>
      <c r="AYZ95" s="168"/>
      <c r="AZA95" s="167"/>
      <c r="AZB95" s="168"/>
      <c r="AZC95" s="167"/>
      <c r="AZD95" s="168"/>
      <c r="AZE95" s="167"/>
      <c r="AZF95" s="168"/>
      <c r="AZG95" s="167"/>
      <c r="AZH95" s="168"/>
      <c r="AZI95" s="167"/>
      <c r="AZJ95" s="168"/>
      <c r="AZK95" s="167"/>
      <c r="AZL95" s="168"/>
      <c r="AZM95" s="167"/>
      <c r="AZN95" s="168"/>
      <c r="AZO95" s="167"/>
      <c r="AZP95" s="168"/>
      <c r="AZQ95" s="167"/>
      <c r="AZR95" s="168"/>
      <c r="AZS95" s="167"/>
      <c r="AZT95" s="168"/>
      <c r="AZU95" s="167"/>
      <c r="AZV95" s="168"/>
      <c r="AZW95" s="167"/>
      <c r="AZX95" s="168"/>
      <c r="AZY95" s="167"/>
      <c r="AZZ95" s="168"/>
      <c r="BAA95" s="167"/>
      <c r="BAB95" s="168"/>
      <c r="BAC95" s="167"/>
      <c r="BAD95" s="168"/>
      <c r="BAE95" s="167"/>
      <c r="BAF95" s="168"/>
      <c r="BAG95" s="167"/>
      <c r="BAH95" s="168"/>
      <c r="BAI95" s="167"/>
      <c r="BAJ95" s="168"/>
      <c r="BAK95" s="167"/>
      <c r="BAL95" s="168"/>
      <c r="BAM95" s="167"/>
      <c r="BAN95" s="168"/>
      <c r="BAO95" s="167"/>
      <c r="BAP95" s="168"/>
      <c r="BAQ95" s="167"/>
      <c r="BAR95" s="168"/>
      <c r="BAS95" s="167"/>
      <c r="BAT95" s="168"/>
      <c r="BAU95" s="167"/>
      <c r="BAV95" s="168"/>
      <c r="BAW95" s="167"/>
      <c r="BAX95" s="168"/>
      <c r="BAY95" s="167"/>
      <c r="BAZ95" s="168"/>
      <c r="BBA95" s="167"/>
      <c r="BBB95" s="168"/>
      <c r="BBC95" s="167"/>
      <c r="BBD95" s="168"/>
      <c r="BBE95" s="167"/>
      <c r="BBF95" s="168"/>
      <c r="BBG95" s="167"/>
      <c r="BBH95" s="168"/>
      <c r="BBI95" s="167"/>
      <c r="BBJ95" s="168"/>
      <c r="BBK95" s="167"/>
      <c r="BBL95" s="168"/>
      <c r="BBM95" s="167"/>
      <c r="BBN95" s="168"/>
      <c r="BBO95" s="167"/>
      <c r="BBP95" s="168"/>
      <c r="BBQ95" s="167"/>
      <c r="BBR95" s="168"/>
      <c r="BBS95" s="167"/>
      <c r="BBT95" s="168"/>
      <c r="BBU95" s="167"/>
      <c r="BBV95" s="168"/>
      <c r="BBW95" s="167"/>
      <c r="BBX95" s="168"/>
      <c r="BBY95" s="167"/>
      <c r="BBZ95" s="168"/>
      <c r="BCA95" s="167"/>
      <c r="BCB95" s="168"/>
      <c r="BCC95" s="167"/>
      <c r="BCD95" s="168"/>
      <c r="BCE95" s="167"/>
      <c r="BCF95" s="168"/>
      <c r="BCG95" s="167"/>
      <c r="BCH95" s="168"/>
      <c r="BCI95" s="167"/>
      <c r="BCJ95" s="168"/>
      <c r="BCK95" s="167"/>
      <c r="BCL95" s="168"/>
      <c r="BCM95" s="167"/>
      <c r="BCN95" s="168"/>
      <c r="BCO95" s="167"/>
      <c r="BCP95" s="168"/>
      <c r="BCQ95" s="167"/>
      <c r="BCR95" s="168"/>
      <c r="BCS95" s="167"/>
      <c r="BCT95" s="168"/>
      <c r="BCU95" s="167"/>
      <c r="BCV95" s="168"/>
      <c r="BCW95" s="167"/>
      <c r="BCX95" s="168"/>
      <c r="BCY95" s="167"/>
      <c r="BCZ95" s="168"/>
      <c r="BDA95" s="167"/>
      <c r="BDB95" s="168"/>
      <c r="BDC95" s="167"/>
      <c r="BDD95" s="168"/>
      <c r="BDE95" s="167"/>
      <c r="BDF95" s="168"/>
      <c r="BDG95" s="167"/>
      <c r="BDH95" s="168"/>
      <c r="BDI95" s="167"/>
      <c r="BDJ95" s="168"/>
      <c r="BDK95" s="167"/>
      <c r="BDL95" s="168"/>
      <c r="BDM95" s="167"/>
      <c r="BDN95" s="168"/>
      <c r="BDO95" s="167"/>
      <c r="BDP95" s="168"/>
      <c r="BDQ95" s="167"/>
      <c r="BDR95" s="168"/>
      <c r="BDS95" s="167"/>
      <c r="BDT95" s="168"/>
      <c r="BDU95" s="167"/>
      <c r="BDV95" s="168"/>
      <c r="BDW95" s="167"/>
      <c r="BDX95" s="168"/>
      <c r="BDY95" s="167"/>
      <c r="BDZ95" s="168"/>
      <c r="BEA95" s="167"/>
      <c r="BEB95" s="168"/>
      <c r="BEC95" s="167"/>
      <c r="BED95" s="168"/>
      <c r="BEE95" s="167"/>
      <c r="BEF95" s="168"/>
      <c r="BEG95" s="167"/>
      <c r="BEH95" s="168"/>
      <c r="BEI95" s="167"/>
      <c r="BEJ95" s="168"/>
      <c r="BEK95" s="167"/>
      <c r="BEL95" s="168"/>
      <c r="BEM95" s="167"/>
      <c r="BEN95" s="168"/>
      <c r="BEO95" s="167"/>
      <c r="BEP95" s="168"/>
      <c r="BEQ95" s="167"/>
      <c r="BER95" s="168"/>
      <c r="BES95" s="167"/>
      <c r="BET95" s="168"/>
      <c r="BEU95" s="167"/>
      <c r="BEV95" s="168"/>
      <c r="BEW95" s="167"/>
      <c r="BEX95" s="168"/>
      <c r="BEY95" s="167"/>
      <c r="BEZ95" s="168"/>
      <c r="BFA95" s="167"/>
      <c r="BFB95" s="168"/>
      <c r="BFC95" s="167"/>
      <c r="BFD95" s="168"/>
      <c r="BFE95" s="167"/>
      <c r="BFF95" s="168"/>
      <c r="BFG95" s="167"/>
      <c r="BFH95" s="168"/>
      <c r="BFI95" s="167"/>
      <c r="BFJ95" s="168"/>
      <c r="BFK95" s="167"/>
      <c r="BFL95" s="168"/>
      <c r="BFM95" s="167"/>
      <c r="BFN95" s="168"/>
      <c r="BFO95" s="167"/>
      <c r="BFP95" s="168"/>
      <c r="BFQ95" s="167"/>
      <c r="BFR95" s="168"/>
      <c r="BFS95" s="167"/>
      <c r="BFT95" s="168"/>
      <c r="BFU95" s="167"/>
      <c r="BFV95" s="168"/>
      <c r="BFW95" s="167"/>
      <c r="BFX95" s="168"/>
      <c r="BFY95" s="167"/>
      <c r="BFZ95" s="168"/>
      <c r="BGA95" s="167"/>
      <c r="BGB95" s="168"/>
      <c r="BGC95" s="167"/>
      <c r="BGD95" s="168"/>
      <c r="BGE95" s="167"/>
      <c r="BGF95" s="168"/>
      <c r="BGG95" s="167"/>
      <c r="BGH95" s="168"/>
      <c r="BGI95" s="167"/>
      <c r="BGJ95" s="168"/>
      <c r="BGK95" s="167"/>
      <c r="BGL95" s="168"/>
      <c r="BGM95" s="167"/>
      <c r="BGN95" s="168"/>
      <c r="BGO95" s="167"/>
      <c r="BGP95" s="168"/>
      <c r="BGQ95" s="167"/>
      <c r="BGR95" s="168"/>
      <c r="BGS95" s="167"/>
      <c r="BGT95" s="168"/>
      <c r="BGU95" s="167"/>
      <c r="BGV95" s="168"/>
      <c r="BGW95" s="167"/>
      <c r="BGX95" s="168"/>
      <c r="BGY95" s="167"/>
      <c r="BGZ95" s="168"/>
      <c r="BHA95" s="167"/>
      <c r="BHB95" s="168"/>
      <c r="BHC95" s="167"/>
      <c r="BHD95" s="168"/>
      <c r="BHE95" s="167"/>
      <c r="BHF95" s="168"/>
      <c r="BHG95" s="167"/>
      <c r="BHH95" s="168"/>
      <c r="BHI95" s="167"/>
      <c r="BHJ95" s="168"/>
      <c r="BHK95" s="167"/>
      <c r="BHL95" s="168"/>
      <c r="BHM95" s="167"/>
      <c r="BHN95" s="168"/>
      <c r="BHO95" s="167"/>
      <c r="BHP95" s="168"/>
      <c r="BHQ95" s="167"/>
      <c r="BHR95" s="168"/>
      <c r="BHS95" s="167"/>
      <c r="BHT95" s="168"/>
      <c r="BHU95" s="167"/>
      <c r="BHV95" s="168"/>
      <c r="BHW95" s="167"/>
      <c r="BHX95" s="168"/>
      <c r="BHY95" s="167"/>
      <c r="BHZ95" s="168"/>
      <c r="BIA95" s="167"/>
      <c r="BIB95" s="168"/>
      <c r="BIC95" s="167"/>
      <c r="BID95" s="168"/>
      <c r="BIE95" s="167"/>
      <c r="BIF95" s="168"/>
      <c r="BIG95" s="167"/>
      <c r="BIH95" s="168"/>
      <c r="BII95" s="167"/>
      <c r="BIJ95" s="168"/>
      <c r="BIK95" s="167"/>
      <c r="BIL95" s="168"/>
      <c r="BIM95" s="167"/>
      <c r="BIN95" s="168"/>
      <c r="BIO95" s="167"/>
      <c r="BIP95" s="168"/>
      <c r="BIQ95" s="167"/>
      <c r="BIR95" s="168"/>
      <c r="BIS95" s="167"/>
      <c r="BIT95" s="168"/>
      <c r="BIU95" s="167"/>
      <c r="BIV95" s="168"/>
      <c r="BIW95" s="167"/>
      <c r="BIX95" s="168"/>
      <c r="BIY95" s="167"/>
      <c r="BIZ95" s="168"/>
      <c r="BJA95" s="167"/>
      <c r="BJB95" s="168"/>
      <c r="BJC95" s="167"/>
      <c r="BJD95" s="168"/>
      <c r="BJE95" s="167"/>
      <c r="BJF95" s="168"/>
      <c r="BJG95" s="167"/>
      <c r="BJH95" s="168"/>
      <c r="BJI95" s="167"/>
      <c r="BJJ95" s="168"/>
      <c r="BJK95" s="167"/>
      <c r="BJL95" s="168"/>
      <c r="BJM95" s="167"/>
      <c r="BJN95" s="168"/>
      <c r="BJO95" s="167"/>
      <c r="BJP95" s="168"/>
      <c r="BJQ95" s="167"/>
      <c r="BJR95" s="168"/>
      <c r="BJS95" s="167"/>
      <c r="BJT95" s="168"/>
      <c r="BJU95" s="167"/>
      <c r="BJV95" s="168"/>
      <c r="BJW95" s="167"/>
      <c r="BJX95" s="168"/>
      <c r="BJY95" s="167"/>
      <c r="BJZ95" s="168"/>
      <c r="BKA95" s="167"/>
      <c r="BKB95" s="168"/>
      <c r="BKC95" s="167"/>
      <c r="BKD95" s="168"/>
      <c r="BKE95" s="167"/>
      <c r="BKF95" s="168"/>
      <c r="BKG95" s="167"/>
      <c r="BKH95" s="168"/>
      <c r="BKI95" s="167"/>
      <c r="BKJ95" s="168"/>
      <c r="BKK95" s="167"/>
      <c r="BKL95" s="168"/>
      <c r="BKM95" s="167"/>
      <c r="BKN95" s="168"/>
      <c r="BKO95" s="167"/>
      <c r="BKP95" s="168"/>
      <c r="BKQ95" s="167"/>
      <c r="BKR95" s="168"/>
      <c r="BKS95" s="167"/>
      <c r="BKT95" s="168"/>
      <c r="BKU95" s="167"/>
      <c r="BKV95" s="168"/>
      <c r="BKW95" s="167"/>
      <c r="BKX95" s="168"/>
      <c r="BKY95" s="167"/>
      <c r="BKZ95" s="168"/>
      <c r="BLA95" s="167"/>
      <c r="BLB95" s="168"/>
      <c r="BLC95" s="167"/>
      <c r="BLD95" s="168"/>
      <c r="BLE95" s="167"/>
      <c r="BLF95" s="168"/>
      <c r="BLG95" s="167"/>
      <c r="BLH95" s="168"/>
      <c r="BLI95" s="167"/>
      <c r="BLJ95" s="168"/>
      <c r="BLK95" s="167"/>
      <c r="BLL95" s="168"/>
      <c r="BLM95" s="167"/>
      <c r="BLN95" s="168"/>
      <c r="BLO95" s="167"/>
      <c r="BLP95" s="168"/>
      <c r="BLQ95" s="167"/>
      <c r="BLR95" s="168"/>
      <c r="BLS95" s="167"/>
      <c r="BLT95" s="168"/>
      <c r="BLU95" s="167"/>
      <c r="BLV95" s="168"/>
      <c r="BLW95" s="167"/>
      <c r="BLX95" s="168"/>
      <c r="BLY95" s="167"/>
      <c r="BLZ95" s="168"/>
      <c r="BMA95" s="167"/>
      <c r="BMB95" s="168"/>
      <c r="BMC95" s="167"/>
      <c r="BMD95" s="168"/>
      <c r="BME95" s="167"/>
      <c r="BMF95" s="168"/>
      <c r="BMG95" s="167"/>
      <c r="BMH95" s="168"/>
      <c r="BMI95" s="167"/>
      <c r="BMJ95" s="168"/>
      <c r="BMK95" s="167"/>
      <c r="BML95" s="168"/>
      <c r="BMM95" s="167"/>
      <c r="BMN95" s="168"/>
      <c r="BMO95" s="167"/>
      <c r="BMP95" s="168"/>
      <c r="BMQ95" s="167"/>
      <c r="BMR95" s="168"/>
      <c r="BMS95" s="167"/>
      <c r="BMT95" s="168"/>
      <c r="BMU95" s="167"/>
      <c r="BMV95" s="168"/>
      <c r="BMW95" s="167"/>
      <c r="BMX95" s="168"/>
      <c r="BMY95" s="167"/>
      <c r="BMZ95" s="168"/>
      <c r="BNA95" s="167"/>
      <c r="BNB95" s="168"/>
      <c r="BNC95" s="167"/>
      <c r="BND95" s="168"/>
      <c r="BNE95" s="167"/>
      <c r="BNF95" s="168"/>
      <c r="BNG95" s="167"/>
      <c r="BNH95" s="168"/>
      <c r="BNI95" s="167"/>
      <c r="BNJ95" s="168"/>
      <c r="BNK95" s="167"/>
      <c r="BNL95" s="168"/>
      <c r="BNM95" s="167"/>
      <c r="BNN95" s="168"/>
      <c r="BNO95" s="167"/>
      <c r="BNP95" s="168"/>
      <c r="BNQ95" s="167"/>
      <c r="BNR95" s="168"/>
      <c r="BNS95" s="167"/>
      <c r="BNT95" s="168"/>
      <c r="BNU95" s="167"/>
      <c r="BNV95" s="168"/>
      <c r="BNW95" s="167"/>
      <c r="BNX95" s="168"/>
      <c r="BNY95" s="167"/>
      <c r="BNZ95" s="168"/>
      <c r="BOA95" s="167"/>
      <c r="BOB95" s="168"/>
      <c r="BOC95" s="167"/>
      <c r="BOD95" s="168"/>
      <c r="BOE95" s="167"/>
      <c r="BOF95" s="168"/>
      <c r="BOG95" s="167"/>
      <c r="BOH95" s="168"/>
      <c r="BOI95" s="167"/>
      <c r="BOJ95" s="168"/>
      <c r="BOK95" s="167"/>
      <c r="BOL95" s="168"/>
      <c r="BOM95" s="167"/>
      <c r="BON95" s="168"/>
      <c r="BOO95" s="167"/>
      <c r="BOP95" s="168"/>
      <c r="BOQ95" s="167"/>
      <c r="BOR95" s="168"/>
      <c r="BOS95" s="167"/>
      <c r="BOT95" s="168"/>
      <c r="BOU95" s="167"/>
      <c r="BOV95" s="168"/>
      <c r="BOW95" s="167"/>
      <c r="BOX95" s="168"/>
      <c r="BOY95" s="167"/>
      <c r="BOZ95" s="168"/>
      <c r="BPA95" s="167"/>
      <c r="BPB95" s="168"/>
      <c r="BPC95" s="167"/>
      <c r="BPD95" s="168"/>
      <c r="BPE95" s="167"/>
      <c r="BPF95" s="168"/>
      <c r="BPG95" s="167"/>
      <c r="BPH95" s="168"/>
      <c r="BPI95" s="167"/>
      <c r="BPJ95" s="168"/>
      <c r="BPK95" s="167"/>
      <c r="BPL95" s="168"/>
      <c r="BPM95" s="167"/>
      <c r="BPN95" s="168"/>
      <c r="BPO95" s="167"/>
      <c r="BPP95" s="168"/>
      <c r="BPQ95" s="167"/>
      <c r="BPR95" s="168"/>
      <c r="BPS95" s="167"/>
      <c r="BPT95" s="168"/>
      <c r="BPU95" s="167"/>
      <c r="BPV95" s="168"/>
      <c r="BPW95" s="167"/>
      <c r="BPX95" s="168"/>
      <c r="BPY95" s="167"/>
      <c r="BPZ95" s="168"/>
      <c r="BQA95" s="167"/>
      <c r="BQB95" s="168"/>
      <c r="BQC95" s="167"/>
      <c r="BQD95" s="168"/>
      <c r="BQE95" s="167"/>
      <c r="BQF95" s="168"/>
      <c r="BQG95" s="167"/>
      <c r="BQH95" s="168"/>
      <c r="BQI95" s="167"/>
      <c r="BQJ95" s="168"/>
      <c r="BQK95" s="167"/>
      <c r="BQL95" s="168"/>
      <c r="BQM95" s="167"/>
      <c r="BQN95" s="168"/>
      <c r="BQO95" s="167"/>
      <c r="BQP95" s="168"/>
      <c r="BQQ95" s="167"/>
      <c r="BQR95" s="168"/>
      <c r="BQS95" s="167"/>
      <c r="BQT95" s="168"/>
      <c r="BQU95" s="167"/>
      <c r="BQV95" s="168"/>
      <c r="BQW95" s="167"/>
      <c r="BQX95" s="168"/>
      <c r="BQY95" s="167"/>
      <c r="BQZ95" s="168"/>
      <c r="BRA95" s="167"/>
      <c r="BRB95" s="168"/>
      <c r="BRC95" s="167"/>
      <c r="BRD95" s="168"/>
      <c r="BRE95" s="167"/>
      <c r="BRF95" s="168"/>
      <c r="BRG95" s="167"/>
      <c r="BRH95" s="168"/>
      <c r="BRI95" s="167"/>
      <c r="BRJ95" s="168"/>
      <c r="BRK95" s="167"/>
      <c r="BRL95" s="168"/>
      <c r="BRM95" s="167"/>
      <c r="BRN95" s="168"/>
      <c r="BRO95" s="167"/>
      <c r="BRP95" s="168"/>
      <c r="BRQ95" s="167"/>
      <c r="BRR95" s="168"/>
      <c r="BRS95" s="167"/>
      <c r="BRT95" s="168"/>
      <c r="BRU95" s="167"/>
      <c r="BRV95" s="168"/>
      <c r="BRW95" s="167"/>
      <c r="BRX95" s="168"/>
      <c r="BRY95" s="167"/>
      <c r="BRZ95" s="168"/>
      <c r="BSA95" s="167"/>
      <c r="BSB95" s="168"/>
      <c r="BSC95" s="167"/>
      <c r="BSD95" s="168"/>
      <c r="BSE95" s="167"/>
      <c r="BSF95" s="168"/>
      <c r="BSG95" s="167"/>
      <c r="BSH95" s="168"/>
      <c r="BSI95" s="167"/>
      <c r="BSJ95" s="168"/>
      <c r="BSK95" s="167"/>
      <c r="BSL95" s="168"/>
      <c r="BSM95" s="167"/>
      <c r="BSN95" s="168"/>
      <c r="BSO95" s="167"/>
      <c r="BSP95" s="168"/>
      <c r="BSQ95" s="167"/>
      <c r="BSR95" s="168"/>
      <c r="BSS95" s="167"/>
      <c r="BST95" s="168"/>
      <c r="BSU95" s="167"/>
      <c r="BSV95" s="168"/>
      <c r="BSW95" s="167"/>
      <c r="BSX95" s="168"/>
      <c r="BSY95" s="167"/>
      <c r="BSZ95" s="168"/>
      <c r="BTA95" s="167"/>
      <c r="BTB95" s="168"/>
      <c r="BTC95" s="167"/>
      <c r="BTD95" s="168"/>
      <c r="BTE95" s="167"/>
      <c r="BTF95" s="168"/>
      <c r="BTG95" s="167"/>
      <c r="BTH95" s="168"/>
      <c r="BTI95" s="167"/>
      <c r="BTJ95" s="168"/>
      <c r="BTK95" s="167"/>
      <c r="BTL95" s="168"/>
      <c r="BTM95" s="167"/>
      <c r="BTN95" s="168"/>
      <c r="BTO95" s="167"/>
      <c r="BTP95" s="168"/>
      <c r="BTQ95" s="167"/>
      <c r="BTR95" s="168"/>
      <c r="BTS95" s="167"/>
      <c r="BTT95" s="168"/>
      <c r="BTU95" s="167"/>
      <c r="BTV95" s="168"/>
      <c r="BTW95" s="167"/>
      <c r="BTX95" s="168"/>
      <c r="BTY95" s="167"/>
      <c r="BTZ95" s="168"/>
      <c r="BUA95" s="167"/>
      <c r="BUB95" s="168"/>
      <c r="BUC95" s="167"/>
      <c r="BUD95" s="168"/>
      <c r="BUE95" s="167"/>
      <c r="BUF95" s="168"/>
      <c r="BUG95" s="167"/>
      <c r="BUH95" s="168"/>
      <c r="BUI95" s="167"/>
      <c r="BUJ95" s="168"/>
      <c r="BUK95" s="167"/>
      <c r="BUL95" s="168"/>
      <c r="BUM95" s="167"/>
      <c r="BUN95" s="168"/>
      <c r="BUO95" s="167"/>
      <c r="BUP95" s="168"/>
      <c r="BUQ95" s="167"/>
      <c r="BUR95" s="168"/>
      <c r="BUS95" s="167"/>
      <c r="BUT95" s="168"/>
      <c r="BUU95" s="167"/>
      <c r="BUV95" s="168"/>
      <c r="BUW95" s="167"/>
      <c r="BUX95" s="168"/>
      <c r="BUY95" s="167"/>
      <c r="BUZ95" s="168"/>
      <c r="BVA95" s="167"/>
      <c r="BVB95" s="168"/>
      <c r="BVC95" s="167"/>
      <c r="BVD95" s="168"/>
      <c r="BVE95" s="167"/>
      <c r="BVF95" s="168"/>
      <c r="BVG95" s="167"/>
      <c r="BVH95" s="168"/>
      <c r="BVI95" s="167"/>
      <c r="BVJ95" s="168"/>
      <c r="BVK95" s="167"/>
      <c r="BVL95" s="168"/>
      <c r="BVM95" s="167"/>
      <c r="BVN95" s="168"/>
      <c r="BVO95" s="167"/>
      <c r="BVP95" s="168"/>
      <c r="BVQ95" s="167"/>
      <c r="BVR95" s="168"/>
      <c r="BVS95" s="167"/>
      <c r="BVT95" s="168"/>
      <c r="BVU95" s="167"/>
      <c r="BVV95" s="168"/>
      <c r="BVW95" s="167"/>
      <c r="BVX95" s="168"/>
      <c r="BVY95" s="167"/>
      <c r="BVZ95" s="168"/>
      <c r="BWA95" s="167"/>
      <c r="BWB95" s="168"/>
      <c r="BWC95" s="167"/>
      <c r="BWD95" s="168"/>
      <c r="BWE95" s="167"/>
      <c r="BWF95" s="168"/>
      <c r="BWG95" s="167"/>
      <c r="BWH95" s="168"/>
      <c r="BWI95" s="167"/>
      <c r="BWJ95" s="168"/>
      <c r="BWK95" s="167"/>
      <c r="BWL95" s="168"/>
      <c r="BWM95" s="167"/>
      <c r="BWN95" s="168"/>
      <c r="BWO95" s="167"/>
      <c r="BWP95" s="168"/>
      <c r="BWQ95" s="167"/>
      <c r="BWR95" s="168"/>
      <c r="BWS95" s="167"/>
      <c r="BWT95" s="168"/>
      <c r="BWU95" s="167"/>
      <c r="BWV95" s="168"/>
      <c r="BWW95" s="167"/>
      <c r="BWX95" s="168"/>
      <c r="BWY95" s="167"/>
      <c r="BWZ95" s="168"/>
      <c r="BXA95" s="167"/>
      <c r="BXB95" s="168"/>
      <c r="BXC95" s="167"/>
      <c r="BXD95" s="168"/>
      <c r="BXE95" s="167"/>
      <c r="BXF95" s="168"/>
      <c r="BXG95" s="167"/>
      <c r="BXH95" s="168"/>
      <c r="BXI95" s="167"/>
      <c r="BXJ95" s="168"/>
      <c r="BXK95" s="167"/>
      <c r="BXL95" s="168"/>
      <c r="BXM95" s="167"/>
      <c r="BXN95" s="168"/>
      <c r="BXO95" s="167"/>
      <c r="BXP95" s="168"/>
      <c r="BXQ95" s="167"/>
      <c r="BXR95" s="168"/>
      <c r="BXS95" s="167"/>
      <c r="BXT95" s="168"/>
      <c r="BXU95" s="167"/>
      <c r="BXV95" s="168"/>
      <c r="BXW95" s="167"/>
      <c r="BXX95" s="168"/>
      <c r="BXY95" s="167"/>
      <c r="BXZ95" s="168"/>
      <c r="BYA95" s="167"/>
      <c r="BYB95" s="168"/>
      <c r="BYC95" s="167"/>
      <c r="BYD95" s="168"/>
      <c r="BYE95" s="167"/>
      <c r="BYF95" s="168"/>
      <c r="BYG95" s="167"/>
      <c r="BYH95" s="168"/>
      <c r="BYI95" s="167"/>
      <c r="BYJ95" s="168"/>
      <c r="BYK95" s="167"/>
      <c r="BYL95" s="168"/>
      <c r="BYM95" s="167"/>
      <c r="BYN95" s="168"/>
      <c r="BYO95" s="167"/>
      <c r="BYP95" s="168"/>
      <c r="BYQ95" s="167"/>
      <c r="BYR95" s="168"/>
      <c r="BYS95" s="167"/>
      <c r="BYT95" s="168"/>
      <c r="BYU95" s="167"/>
      <c r="BYV95" s="168"/>
      <c r="BYW95" s="167"/>
      <c r="BYX95" s="168"/>
      <c r="BYY95" s="167"/>
      <c r="BYZ95" s="168"/>
      <c r="BZA95" s="167"/>
      <c r="BZB95" s="168"/>
      <c r="BZC95" s="167"/>
      <c r="BZD95" s="168"/>
      <c r="BZE95" s="167"/>
      <c r="BZF95" s="168"/>
      <c r="BZG95" s="167"/>
      <c r="BZH95" s="168"/>
      <c r="BZI95" s="167"/>
      <c r="BZJ95" s="168"/>
      <c r="BZK95" s="167"/>
      <c r="BZL95" s="168"/>
      <c r="BZM95" s="167"/>
      <c r="BZN95" s="168"/>
      <c r="BZO95" s="167"/>
      <c r="BZP95" s="168"/>
      <c r="BZQ95" s="167"/>
      <c r="BZR95" s="168"/>
      <c r="BZS95" s="167"/>
      <c r="BZT95" s="168"/>
      <c r="BZU95" s="167"/>
      <c r="BZV95" s="168"/>
      <c r="BZW95" s="167"/>
      <c r="BZX95" s="168"/>
      <c r="BZY95" s="167"/>
      <c r="BZZ95" s="168"/>
      <c r="CAA95" s="167"/>
      <c r="CAB95" s="168"/>
      <c r="CAC95" s="167"/>
      <c r="CAD95" s="168"/>
      <c r="CAE95" s="167"/>
      <c r="CAF95" s="168"/>
      <c r="CAG95" s="167"/>
      <c r="CAH95" s="168"/>
      <c r="CAI95" s="167"/>
      <c r="CAJ95" s="168"/>
      <c r="CAK95" s="167"/>
      <c r="CAL95" s="168"/>
      <c r="CAM95" s="167"/>
      <c r="CAN95" s="168"/>
      <c r="CAO95" s="167"/>
      <c r="CAP95" s="168"/>
      <c r="CAQ95" s="167"/>
      <c r="CAR95" s="168"/>
      <c r="CAS95" s="167"/>
      <c r="CAT95" s="168"/>
      <c r="CAU95" s="167"/>
      <c r="CAV95" s="168"/>
      <c r="CAW95" s="167"/>
      <c r="CAX95" s="168"/>
      <c r="CAY95" s="167"/>
      <c r="CAZ95" s="168"/>
      <c r="CBA95" s="167"/>
      <c r="CBB95" s="168"/>
      <c r="CBC95" s="167"/>
      <c r="CBD95" s="168"/>
      <c r="CBE95" s="167"/>
      <c r="CBF95" s="168"/>
      <c r="CBG95" s="167"/>
      <c r="CBH95" s="168"/>
      <c r="CBI95" s="167"/>
      <c r="CBJ95" s="168"/>
      <c r="CBK95" s="167"/>
      <c r="CBL95" s="168"/>
      <c r="CBM95" s="167"/>
      <c r="CBN95" s="168"/>
      <c r="CBO95" s="167"/>
      <c r="CBP95" s="168"/>
      <c r="CBQ95" s="167"/>
      <c r="CBR95" s="168"/>
      <c r="CBS95" s="167"/>
      <c r="CBT95" s="168"/>
      <c r="CBU95" s="167"/>
      <c r="CBV95" s="168"/>
      <c r="CBW95" s="167"/>
      <c r="CBX95" s="168"/>
      <c r="CBY95" s="167"/>
      <c r="CBZ95" s="168"/>
      <c r="CCA95" s="167"/>
      <c r="CCB95" s="168"/>
      <c r="CCC95" s="167"/>
      <c r="CCD95" s="168"/>
      <c r="CCE95" s="167"/>
      <c r="CCF95" s="168"/>
      <c r="CCG95" s="167"/>
      <c r="CCH95" s="168"/>
      <c r="CCI95" s="167"/>
      <c r="CCJ95" s="168"/>
      <c r="CCK95" s="167"/>
      <c r="CCL95" s="168"/>
      <c r="CCM95" s="167"/>
      <c r="CCN95" s="168"/>
      <c r="CCO95" s="167"/>
      <c r="CCP95" s="168"/>
      <c r="CCQ95" s="167"/>
      <c r="CCR95" s="168"/>
      <c r="CCS95" s="167"/>
      <c r="CCT95" s="168"/>
      <c r="CCU95" s="167"/>
      <c r="CCV95" s="168"/>
      <c r="CCW95" s="167"/>
      <c r="CCX95" s="168"/>
      <c r="CCY95" s="167"/>
      <c r="CCZ95" s="168"/>
      <c r="CDA95" s="167"/>
      <c r="CDB95" s="168"/>
      <c r="CDC95" s="167"/>
      <c r="CDD95" s="168"/>
      <c r="CDE95" s="167"/>
      <c r="CDF95" s="168"/>
      <c r="CDG95" s="167"/>
      <c r="CDH95" s="168"/>
      <c r="CDI95" s="167"/>
      <c r="CDJ95" s="168"/>
      <c r="CDK95" s="167"/>
      <c r="CDL95" s="168"/>
      <c r="CDM95" s="167"/>
      <c r="CDN95" s="168"/>
      <c r="CDO95" s="167"/>
      <c r="CDP95" s="168"/>
      <c r="CDQ95" s="167"/>
      <c r="CDR95" s="168"/>
      <c r="CDS95" s="167"/>
      <c r="CDT95" s="168"/>
      <c r="CDU95" s="167"/>
      <c r="CDV95" s="168"/>
      <c r="CDW95" s="167"/>
      <c r="CDX95" s="168"/>
      <c r="CDY95" s="167"/>
      <c r="CDZ95" s="168"/>
      <c r="CEA95" s="167"/>
      <c r="CEB95" s="168"/>
      <c r="CEC95" s="167"/>
      <c r="CED95" s="168"/>
      <c r="CEE95" s="167"/>
      <c r="CEF95" s="168"/>
      <c r="CEG95" s="167"/>
      <c r="CEH95" s="168"/>
      <c r="CEI95" s="167"/>
      <c r="CEJ95" s="168"/>
      <c r="CEK95" s="167"/>
      <c r="CEL95" s="168"/>
      <c r="CEM95" s="167"/>
      <c r="CEN95" s="168"/>
      <c r="CEO95" s="167"/>
      <c r="CEP95" s="168"/>
      <c r="CEQ95" s="167"/>
      <c r="CER95" s="168"/>
      <c r="CES95" s="167"/>
      <c r="CET95" s="168"/>
      <c r="CEU95" s="167"/>
      <c r="CEV95" s="168"/>
      <c r="CEW95" s="167"/>
      <c r="CEX95" s="168"/>
      <c r="CEY95" s="167"/>
      <c r="CEZ95" s="168"/>
      <c r="CFA95" s="167"/>
      <c r="CFB95" s="168"/>
      <c r="CFC95" s="167"/>
      <c r="CFD95" s="168"/>
      <c r="CFE95" s="167"/>
      <c r="CFF95" s="168"/>
      <c r="CFG95" s="167"/>
      <c r="CFH95" s="168"/>
      <c r="CFI95" s="167"/>
      <c r="CFJ95" s="168"/>
      <c r="CFK95" s="167"/>
      <c r="CFL95" s="168"/>
      <c r="CFM95" s="167"/>
      <c r="CFN95" s="168"/>
      <c r="CFO95" s="167"/>
      <c r="CFP95" s="168"/>
      <c r="CFQ95" s="167"/>
      <c r="CFR95" s="168"/>
      <c r="CFS95" s="167"/>
      <c r="CFT95" s="168"/>
      <c r="CFU95" s="167"/>
      <c r="CFV95" s="168"/>
      <c r="CFW95" s="167"/>
      <c r="CFX95" s="168"/>
      <c r="CFY95" s="167"/>
      <c r="CFZ95" s="168"/>
      <c r="CGA95" s="167"/>
      <c r="CGB95" s="168"/>
      <c r="CGC95" s="167"/>
      <c r="CGD95" s="168"/>
      <c r="CGE95" s="167"/>
      <c r="CGF95" s="168"/>
      <c r="CGG95" s="167"/>
      <c r="CGH95" s="168"/>
      <c r="CGI95" s="167"/>
      <c r="CGJ95" s="168"/>
      <c r="CGK95" s="167"/>
      <c r="CGL95" s="168"/>
      <c r="CGM95" s="167"/>
      <c r="CGN95" s="168"/>
      <c r="CGO95" s="167"/>
      <c r="CGP95" s="168"/>
      <c r="CGQ95" s="167"/>
      <c r="CGR95" s="168"/>
      <c r="CGS95" s="167"/>
      <c r="CGT95" s="168"/>
      <c r="CGU95" s="167"/>
      <c r="CGV95" s="168"/>
      <c r="CGW95" s="167"/>
      <c r="CGX95" s="168"/>
      <c r="CGY95" s="167"/>
      <c r="CGZ95" s="168"/>
      <c r="CHA95" s="167"/>
      <c r="CHB95" s="168"/>
      <c r="CHC95" s="167"/>
      <c r="CHD95" s="168"/>
      <c r="CHE95" s="167"/>
      <c r="CHF95" s="168"/>
      <c r="CHG95" s="167"/>
      <c r="CHH95" s="168"/>
      <c r="CHI95" s="167"/>
      <c r="CHJ95" s="168"/>
      <c r="CHK95" s="167"/>
      <c r="CHL95" s="168"/>
      <c r="CHM95" s="167"/>
      <c r="CHN95" s="168"/>
      <c r="CHO95" s="167"/>
      <c r="CHP95" s="168"/>
      <c r="CHQ95" s="167"/>
      <c r="CHR95" s="168"/>
      <c r="CHS95" s="167"/>
      <c r="CHT95" s="168"/>
      <c r="CHU95" s="167"/>
      <c r="CHV95" s="168"/>
      <c r="CHW95" s="167"/>
      <c r="CHX95" s="168"/>
      <c r="CHY95" s="167"/>
      <c r="CHZ95" s="168"/>
      <c r="CIA95" s="167"/>
      <c r="CIB95" s="168"/>
      <c r="CIC95" s="167"/>
      <c r="CID95" s="168"/>
      <c r="CIE95" s="167"/>
      <c r="CIF95" s="168"/>
      <c r="CIG95" s="167"/>
      <c r="CIH95" s="168"/>
      <c r="CII95" s="167"/>
      <c r="CIJ95" s="168"/>
      <c r="CIK95" s="167"/>
      <c r="CIL95" s="168"/>
      <c r="CIM95" s="167"/>
      <c r="CIN95" s="168"/>
      <c r="CIO95" s="167"/>
      <c r="CIP95" s="168"/>
      <c r="CIQ95" s="167"/>
      <c r="CIR95" s="168"/>
      <c r="CIS95" s="167"/>
      <c r="CIT95" s="168"/>
      <c r="CIU95" s="167"/>
      <c r="CIV95" s="168"/>
      <c r="CIW95" s="167"/>
      <c r="CIX95" s="168"/>
      <c r="CIY95" s="167"/>
      <c r="CIZ95" s="168"/>
      <c r="CJA95" s="167"/>
      <c r="CJB95" s="168"/>
      <c r="CJC95" s="167"/>
      <c r="CJD95" s="168"/>
      <c r="CJE95" s="167"/>
      <c r="CJF95" s="168"/>
      <c r="CJG95" s="167"/>
      <c r="CJH95" s="168"/>
      <c r="CJI95" s="167"/>
      <c r="CJJ95" s="168"/>
      <c r="CJK95" s="167"/>
      <c r="CJL95" s="168"/>
      <c r="CJM95" s="167"/>
      <c r="CJN95" s="168"/>
      <c r="CJO95" s="167"/>
      <c r="CJP95" s="168"/>
      <c r="CJQ95" s="167"/>
      <c r="CJR95" s="168"/>
      <c r="CJS95" s="167"/>
      <c r="CJT95" s="168"/>
      <c r="CJU95" s="167"/>
      <c r="CJV95" s="168"/>
      <c r="CJW95" s="167"/>
      <c r="CJX95" s="168"/>
      <c r="CJY95" s="167"/>
      <c r="CJZ95" s="168"/>
      <c r="CKA95" s="167"/>
      <c r="CKB95" s="168"/>
      <c r="CKC95" s="167"/>
      <c r="CKD95" s="168"/>
      <c r="CKE95" s="167"/>
      <c r="CKF95" s="168"/>
      <c r="CKG95" s="167"/>
      <c r="CKH95" s="168"/>
      <c r="CKI95" s="167"/>
      <c r="CKJ95" s="168"/>
      <c r="CKK95" s="167"/>
      <c r="CKL95" s="168"/>
      <c r="CKM95" s="167"/>
      <c r="CKN95" s="168"/>
      <c r="CKO95" s="167"/>
      <c r="CKP95" s="168"/>
      <c r="CKQ95" s="167"/>
      <c r="CKR95" s="168"/>
      <c r="CKS95" s="167"/>
      <c r="CKT95" s="168"/>
      <c r="CKU95" s="167"/>
      <c r="CKV95" s="168"/>
      <c r="CKW95" s="167"/>
      <c r="CKX95" s="168"/>
      <c r="CKY95" s="167"/>
      <c r="CKZ95" s="168"/>
      <c r="CLA95" s="167"/>
      <c r="CLB95" s="168"/>
      <c r="CLC95" s="167"/>
      <c r="CLD95" s="168"/>
      <c r="CLE95" s="167"/>
      <c r="CLF95" s="168"/>
      <c r="CLG95" s="167"/>
      <c r="CLH95" s="168"/>
      <c r="CLI95" s="167"/>
      <c r="CLJ95" s="168"/>
      <c r="CLK95" s="167"/>
      <c r="CLL95" s="168"/>
      <c r="CLM95" s="167"/>
      <c r="CLN95" s="168"/>
      <c r="CLO95" s="167"/>
      <c r="CLP95" s="168"/>
      <c r="CLQ95" s="167"/>
      <c r="CLR95" s="168"/>
      <c r="CLS95" s="167"/>
      <c r="CLT95" s="168"/>
      <c r="CLU95" s="167"/>
      <c r="CLV95" s="168"/>
      <c r="CLW95" s="167"/>
      <c r="CLX95" s="168"/>
      <c r="CLY95" s="167"/>
      <c r="CLZ95" s="168"/>
      <c r="CMA95" s="167"/>
      <c r="CMB95" s="168"/>
      <c r="CMC95" s="167"/>
      <c r="CMD95" s="168"/>
      <c r="CME95" s="167"/>
      <c r="CMF95" s="168"/>
      <c r="CMG95" s="167"/>
      <c r="CMH95" s="168"/>
      <c r="CMI95" s="167"/>
      <c r="CMJ95" s="168"/>
      <c r="CMK95" s="167"/>
      <c r="CML95" s="168"/>
      <c r="CMM95" s="167"/>
      <c r="CMN95" s="168"/>
      <c r="CMO95" s="167"/>
      <c r="CMP95" s="168"/>
      <c r="CMQ95" s="167"/>
      <c r="CMR95" s="168"/>
      <c r="CMS95" s="167"/>
      <c r="CMT95" s="168"/>
      <c r="CMU95" s="167"/>
      <c r="CMV95" s="168"/>
      <c r="CMW95" s="167"/>
      <c r="CMX95" s="168"/>
      <c r="CMY95" s="167"/>
      <c r="CMZ95" s="168"/>
      <c r="CNA95" s="167"/>
      <c r="CNB95" s="168"/>
      <c r="CNC95" s="167"/>
      <c r="CND95" s="168"/>
      <c r="CNE95" s="167"/>
      <c r="CNF95" s="168"/>
      <c r="CNG95" s="167"/>
      <c r="CNH95" s="168"/>
      <c r="CNI95" s="167"/>
      <c r="CNJ95" s="168"/>
      <c r="CNK95" s="167"/>
      <c r="CNL95" s="168"/>
      <c r="CNM95" s="167"/>
      <c r="CNN95" s="168"/>
      <c r="CNO95" s="167"/>
      <c r="CNP95" s="168"/>
      <c r="CNQ95" s="167"/>
      <c r="CNR95" s="168"/>
      <c r="CNS95" s="167"/>
      <c r="CNT95" s="168"/>
      <c r="CNU95" s="167"/>
      <c r="CNV95" s="168"/>
      <c r="CNW95" s="167"/>
      <c r="CNX95" s="168"/>
      <c r="CNY95" s="167"/>
      <c r="CNZ95" s="168"/>
      <c r="COA95" s="167"/>
      <c r="COB95" s="168"/>
      <c r="COC95" s="167"/>
      <c r="COD95" s="168"/>
      <c r="COE95" s="167"/>
      <c r="COF95" s="168"/>
      <c r="COG95" s="167"/>
      <c r="COH95" s="168"/>
      <c r="COI95" s="167"/>
      <c r="COJ95" s="168"/>
      <c r="COK95" s="167"/>
      <c r="COL95" s="168"/>
      <c r="COM95" s="167"/>
      <c r="CON95" s="168"/>
      <c r="COO95" s="167"/>
      <c r="COP95" s="168"/>
      <c r="COQ95" s="167"/>
      <c r="COR95" s="168"/>
      <c r="COS95" s="167"/>
      <c r="COT95" s="168"/>
      <c r="COU95" s="167"/>
      <c r="COV95" s="168"/>
      <c r="COW95" s="167"/>
      <c r="COX95" s="168"/>
      <c r="COY95" s="167"/>
      <c r="COZ95" s="168"/>
      <c r="CPA95" s="167"/>
      <c r="CPB95" s="168"/>
      <c r="CPC95" s="167"/>
      <c r="CPD95" s="168"/>
      <c r="CPE95" s="167"/>
      <c r="CPF95" s="168"/>
      <c r="CPG95" s="167"/>
      <c r="CPH95" s="168"/>
      <c r="CPI95" s="167"/>
      <c r="CPJ95" s="168"/>
      <c r="CPK95" s="167"/>
      <c r="CPL95" s="168"/>
      <c r="CPM95" s="167"/>
      <c r="CPN95" s="168"/>
      <c r="CPO95" s="167"/>
      <c r="CPP95" s="168"/>
      <c r="CPQ95" s="167"/>
      <c r="CPR95" s="168"/>
      <c r="CPS95" s="167"/>
      <c r="CPT95" s="168"/>
      <c r="CPU95" s="167"/>
      <c r="CPV95" s="168"/>
      <c r="CPW95" s="167"/>
      <c r="CPX95" s="168"/>
      <c r="CPY95" s="167"/>
      <c r="CPZ95" s="168"/>
      <c r="CQA95" s="167"/>
      <c r="CQB95" s="168"/>
      <c r="CQC95" s="167"/>
      <c r="CQD95" s="168"/>
      <c r="CQE95" s="167"/>
      <c r="CQF95" s="168"/>
      <c r="CQG95" s="167"/>
      <c r="CQH95" s="168"/>
      <c r="CQI95" s="167"/>
      <c r="CQJ95" s="168"/>
      <c r="CQK95" s="167"/>
      <c r="CQL95" s="168"/>
      <c r="CQM95" s="167"/>
      <c r="CQN95" s="168"/>
      <c r="CQO95" s="167"/>
      <c r="CQP95" s="168"/>
      <c r="CQQ95" s="167"/>
      <c r="CQR95" s="168"/>
      <c r="CQS95" s="167"/>
      <c r="CQT95" s="168"/>
      <c r="CQU95" s="167"/>
      <c r="CQV95" s="168"/>
      <c r="CQW95" s="167"/>
      <c r="CQX95" s="168"/>
      <c r="CQY95" s="167"/>
      <c r="CQZ95" s="168"/>
      <c r="CRA95" s="167"/>
      <c r="CRB95" s="168"/>
      <c r="CRC95" s="167"/>
      <c r="CRD95" s="168"/>
      <c r="CRE95" s="167"/>
      <c r="CRF95" s="168"/>
      <c r="CRG95" s="167"/>
      <c r="CRH95" s="168"/>
      <c r="CRI95" s="167"/>
      <c r="CRJ95" s="168"/>
      <c r="CRK95" s="167"/>
      <c r="CRL95" s="168"/>
      <c r="CRM95" s="167"/>
      <c r="CRN95" s="168"/>
      <c r="CRO95" s="167"/>
      <c r="CRP95" s="168"/>
      <c r="CRQ95" s="167"/>
      <c r="CRR95" s="168"/>
      <c r="CRS95" s="167"/>
      <c r="CRT95" s="168"/>
      <c r="CRU95" s="167"/>
      <c r="CRV95" s="168"/>
      <c r="CRW95" s="167"/>
      <c r="CRX95" s="168"/>
      <c r="CRY95" s="167"/>
      <c r="CRZ95" s="168"/>
      <c r="CSA95" s="167"/>
      <c r="CSB95" s="168"/>
      <c r="CSC95" s="167"/>
      <c r="CSD95" s="168"/>
      <c r="CSE95" s="167"/>
      <c r="CSF95" s="168"/>
      <c r="CSG95" s="167"/>
      <c r="CSH95" s="168"/>
      <c r="CSI95" s="167"/>
      <c r="CSJ95" s="168"/>
      <c r="CSK95" s="167"/>
      <c r="CSL95" s="168"/>
      <c r="CSM95" s="167"/>
      <c r="CSN95" s="168"/>
      <c r="CSO95" s="167"/>
      <c r="CSP95" s="168"/>
      <c r="CSQ95" s="167"/>
      <c r="CSR95" s="168"/>
      <c r="CSS95" s="167"/>
      <c r="CST95" s="168"/>
      <c r="CSU95" s="167"/>
      <c r="CSV95" s="168"/>
      <c r="CSW95" s="167"/>
      <c r="CSX95" s="168"/>
      <c r="CSY95" s="167"/>
      <c r="CSZ95" s="168"/>
      <c r="CTA95" s="167"/>
      <c r="CTB95" s="168"/>
      <c r="CTC95" s="167"/>
      <c r="CTD95" s="168"/>
      <c r="CTE95" s="167"/>
      <c r="CTF95" s="168"/>
      <c r="CTG95" s="167"/>
      <c r="CTH95" s="168"/>
      <c r="CTI95" s="167"/>
      <c r="CTJ95" s="168"/>
      <c r="CTK95" s="167"/>
      <c r="CTL95" s="168"/>
      <c r="CTM95" s="167"/>
      <c r="CTN95" s="168"/>
      <c r="CTO95" s="167"/>
      <c r="CTP95" s="168"/>
      <c r="CTQ95" s="167"/>
      <c r="CTR95" s="168"/>
      <c r="CTS95" s="167"/>
      <c r="CTT95" s="168"/>
      <c r="CTU95" s="167"/>
      <c r="CTV95" s="168"/>
      <c r="CTW95" s="167"/>
      <c r="CTX95" s="168"/>
      <c r="CTY95" s="167"/>
      <c r="CTZ95" s="168"/>
      <c r="CUA95" s="167"/>
      <c r="CUB95" s="168"/>
      <c r="CUC95" s="167"/>
      <c r="CUD95" s="168"/>
      <c r="CUE95" s="167"/>
      <c r="CUF95" s="168"/>
      <c r="CUG95" s="167"/>
      <c r="CUH95" s="168"/>
      <c r="CUI95" s="167"/>
      <c r="CUJ95" s="168"/>
      <c r="CUK95" s="167"/>
      <c r="CUL95" s="168"/>
      <c r="CUM95" s="167"/>
      <c r="CUN95" s="168"/>
      <c r="CUO95" s="167"/>
      <c r="CUP95" s="168"/>
      <c r="CUQ95" s="167"/>
      <c r="CUR95" s="168"/>
      <c r="CUS95" s="167"/>
      <c r="CUT95" s="168"/>
      <c r="CUU95" s="167"/>
      <c r="CUV95" s="168"/>
      <c r="CUW95" s="167"/>
      <c r="CUX95" s="168"/>
      <c r="CUY95" s="167"/>
      <c r="CUZ95" s="168"/>
      <c r="CVA95" s="167"/>
      <c r="CVB95" s="168"/>
      <c r="CVC95" s="167"/>
      <c r="CVD95" s="168"/>
      <c r="CVE95" s="167"/>
      <c r="CVF95" s="168"/>
      <c r="CVG95" s="167"/>
      <c r="CVH95" s="168"/>
      <c r="CVI95" s="167"/>
      <c r="CVJ95" s="168"/>
      <c r="CVK95" s="167"/>
      <c r="CVL95" s="168"/>
      <c r="CVM95" s="167"/>
      <c r="CVN95" s="168"/>
      <c r="CVO95" s="167"/>
      <c r="CVP95" s="168"/>
      <c r="CVQ95" s="167"/>
      <c r="CVR95" s="168"/>
      <c r="CVS95" s="167"/>
      <c r="CVT95" s="168"/>
      <c r="CVU95" s="167"/>
      <c r="CVV95" s="168"/>
      <c r="CVW95" s="167"/>
      <c r="CVX95" s="168"/>
      <c r="CVY95" s="167"/>
      <c r="CVZ95" s="168"/>
      <c r="CWA95" s="167"/>
      <c r="CWB95" s="168"/>
      <c r="CWC95" s="167"/>
      <c r="CWD95" s="168"/>
      <c r="CWE95" s="167"/>
      <c r="CWF95" s="168"/>
      <c r="CWG95" s="167"/>
      <c r="CWH95" s="168"/>
      <c r="CWI95" s="167"/>
      <c r="CWJ95" s="168"/>
      <c r="CWK95" s="167"/>
      <c r="CWL95" s="168"/>
      <c r="CWM95" s="167"/>
      <c r="CWN95" s="168"/>
      <c r="CWO95" s="167"/>
      <c r="CWP95" s="168"/>
      <c r="CWQ95" s="167"/>
      <c r="CWR95" s="168"/>
      <c r="CWS95" s="167"/>
      <c r="CWT95" s="168"/>
      <c r="CWU95" s="167"/>
      <c r="CWV95" s="168"/>
      <c r="CWW95" s="167"/>
      <c r="CWX95" s="168"/>
      <c r="CWY95" s="167"/>
      <c r="CWZ95" s="168"/>
      <c r="CXA95" s="167"/>
      <c r="CXB95" s="168"/>
      <c r="CXC95" s="167"/>
      <c r="CXD95" s="168"/>
      <c r="CXE95" s="167"/>
      <c r="CXF95" s="168"/>
      <c r="CXG95" s="167"/>
      <c r="CXH95" s="168"/>
      <c r="CXI95" s="167"/>
      <c r="CXJ95" s="168"/>
      <c r="CXK95" s="167"/>
      <c r="CXL95" s="168"/>
      <c r="CXM95" s="167"/>
      <c r="CXN95" s="168"/>
      <c r="CXO95" s="167"/>
      <c r="CXP95" s="168"/>
      <c r="CXQ95" s="167"/>
      <c r="CXR95" s="168"/>
      <c r="CXS95" s="167"/>
      <c r="CXT95" s="168"/>
      <c r="CXU95" s="167"/>
      <c r="CXV95" s="168"/>
      <c r="CXW95" s="167"/>
      <c r="CXX95" s="168"/>
      <c r="CXY95" s="167"/>
      <c r="CXZ95" s="168"/>
      <c r="CYA95" s="167"/>
      <c r="CYB95" s="168"/>
      <c r="CYC95" s="167"/>
      <c r="CYD95" s="168"/>
      <c r="CYE95" s="167"/>
      <c r="CYF95" s="168"/>
      <c r="CYG95" s="167"/>
      <c r="CYH95" s="168"/>
      <c r="CYI95" s="167"/>
      <c r="CYJ95" s="168"/>
      <c r="CYK95" s="167"/>
      <c r="CYL95" s="168"/>
      <c r="CYM95" s="167"/>
      <c r="CYN95" s="168"/>
      <c r="CYO95" s="167"/>
      <c r="CYP95" s="168"/>
      <c r="CYQ95" s="167"/>
      <c r="CYR95" s="168"/>
      <c r="CYS95" s="167"/>
      <c r="CYT95" s="168"/>
      <c r="CYU95" s="167"/>
      <c r="CYV95" s="168"/>
      <c r="CYW95" s="167"/>
      <c r="CYX95" s="168"/>
      <c r="CYY95" s="167"/>
      <c r="CYZ95" s="168"/>
      <c r="CZA95" s="167"/>
      <c r="CZB95" s="168"/>
      <c r="CZC95" s="167"/>
      <c r="CZD95" s="168"/>
      <c r="CZE95" s="167"/>
      <c r="CZF95" s="168"/>
      <c r="CZG95" s="167"/>
      <c r="CZH95" s="168"/>
      <c r="CZI95" s="167"/>
      <c r="CZJ95" s="168"/>
      <c r="CZK95" s="167"/>
      <c r="CZL95" s="168"/>
      <c r="CZM95" s="167"/>
      <c r="CZN95" s="168"/>
      <c r="CZO95" s="167"/>
      <c r="CZP95" s="168"/>
      <c r="CZQ95" s="167"/>
      <c r="CZR95" s="168"/>
      <c r="CZS95" s="167"/>
      <c r="CZT95" s="168"/>
      <c r="CZU95" s="167"/>
      <c r="CZV95" s="168"/>
      <c r="CZW95" s="167"/>
      <c r="CZX95" s="168"/>
      <c r="CZY95" s="167"/>
      <c r="CZZ95" s="168"/>
      <c r="DAA95" s="167"/>
      <c r="DAB95" s="168"/>
      <c r="DAC95" s="167"/>
      <c r="DAD95" s="168"/>
      <c r="DAE95" s="167"/>
      <c r="DAF95" s="168"/>
      <c r="DAG95" s="167"/>
      <c r="DAH95" s="168"/>
      <c r="DAI95" s="167"/>
      <c r="DAJ95" s="168"/>
      <c r="DAK95" s="167"/>
      <c r="DAL95" s="168"/>
      <c r="DAM95" s="167"/>
      <c r="DAN95" s="168"/>
      <c r="DAO95" s="167"/>
      <c r="DAP95" s="168"/>
      <c r="DAQ95" s="167"/>
      <c r="DAR95" s="168"/>
      <c r="DAS95" s="167"/>
      <c r="DAT95" s="168"/>
      <c r="DAU95" s="167"/>
      <c r="DAV95" s="168"/>
      <c r="DAW95" s="167"/>
      <c r="DAX95" s="168"/>
      <c r="DAY95" s="167"/>
      <c r="DAZ95" s="168"/>
      <c r="DBA95" s="167"/>
      <c r="DBB95" s="168"/>
      <c r="DBC95" s="167"/>
      <c r="DBD95" s="168"/>
      <c r="DBE95" s="167"/>
      <c r="DBF95" s="168"/>
      <c r="DBG95" s="167"/>
      <c r="DBH95" s="168"/>
      <c r="DBI95" s="167"/>
      <c r="DBJ95" s="168"/>
      <c r="DBK95" s="167"/>
      <c r="DBL95" s="168"/>
      <c r="DBM95" s="167"/>
      <c r="DBN95" s="168"/>
      <c r="DBO95" s="167"/>
      <c r="DBP95" s="168"/>
      <c r="DBQ95" s="167"/>
      <c r="DBR95" s="168"/>
      <c r="DBS95" s="167"/>
      <c r="DBT95" s="168"/>
      <c r="DBU95" s="167"/>
      <c r="DBV95" s="168"/>
      <c r="DBW95" s="167"/>
      <c r="DBX95" s="168"/>
      <c r="DBY95" s="167"/>
      <c r="DBZ95" s="168"/>
      <c r="DCA95" s="167"/>
      <c r="DCB95" s="168"/>
      <c r="DCC95" s="167"/>
      <c r="DCD95" s="168"/>
      <c r="DCE95" s="167"/>
      <c r="DCF95" s="168"/>
      <c r="DCG95" s="167"/>
      <c r="DCH95" s="168"/>
      <c r="DCI95" s="167"/>
      <c r="DCJ95" s="168"/>
      <c r="DCK95" s="167"/>
      <c r="DCL95" s="168"/>
      <c r="DCM95" s="167"/>
      <c r="DCN95" s="168"/>
      <c r="DCO95" s="167"/>
      <c r="DCP95" s="168"/>
      <c r="DCQ95" s="167"/>
      <c r="DCR95" s="168"/>
      <c r="DCS95" s="167"/>
      <c r="DCT95" s="168"/>
      <c r="DCU95" s="167"/>
      <c r="DCV95" s="168"/>
      <c r="DCW95" s="167"/>
      <c r="DCX95" s="168"/>
      <c r="DCY95" s="167"/>
      <c r="DCZ95" s="168"/>
      <c r="DDA95" s="167"/>
      <c r="DDB95" s="168"/>
      <c r="DDC95" s="167"/>
      <c r="DDD95" s="168"/>
      <c r="DDE95" s="167"/>
      <c r="DDF95" s="168"/>
      <c r="DDG95" s="167"/>
      <c r="DDH95" s="168"/>
      <c r="DDI95" s="167"/>
      <c r="DDJ95" s="168"/>
      <c r="DDK95" s="167"/>
      <c r="DDL95" s="168"/>
      <c r="DDM95" s="167"/>
      <c r="DDN95" s="168"/>
      <c r="DDO95" s="167"/>
      <c r="DDP95" s="168"/>
      <c r="DDQ95" s="167"/>
      <c r="DDR95" s="168"/>
      <c r="DDS95" s="167"/>
      <c r="DDT95" s="168"/>
      <c r="DDU95" s="167"/>
      <c r="DDV95" s="168"/>
      <c r="DDW95" s="167"/>
      <c r="DDX95" s="168"/>
      <c r="DDY95" s="167"/>
      <c r="DDZ95" s="168"/>
      <c r="DEA95" s="167"/>
      <c r="DEB95" s="168"/>
      <c r="DEC95" s="167"/>
      <c r="DED95" s="168"/>
      <c r="DEE95" s="167"/>
      <c r="DEF95" s="168"/>
      <c r="DEG95" s="167"/>
      <c r="DEH95" s="168"/>
      <c r="DEI95" s="167"/>
      <c r="DEJ95" s="168"/>
      <c r="DEK95" s="167"/>
      <c r="DEL95" s="168"/>
      <c r="DEM95" s="167"/>
      <c r="DEN95" s="168"/>
      <c r="DEO95" s="167"/>
      <c r="DEP95" s="168"/>
      <c r="DEQ95" s="167"/>
      <c r="DER95" s="168"/>
      <c r="DES95" s="167"/>
      <c r="DET95" s="168"/>
      <c r="DEU95" s="167"/>
      <c r="DEV95" s="168"/>
      <c r="DEW95" s="167"/>
      <c r="DEX95" s="168"/>
      <c r="DEY95" s="167"/>
      <c r="DEZ95" s="168"/>
      <c r="DFA95" s="167"/>
      <c r="DFB95" s="168"/>
      <c r="DFC95" s="167"/>
      <c r="DFD95" s="168"/>
      <c r="DFE95" s="167"/>
      <c r="DFF95" s="168"/>
      <c r="DFG95" s="167"/>
      <c r="DFH95" s="168"/>
      <c r="DFI95" s="167"/>
      <c r="DFJ95" s="168"/>
      <c r="DFK95" s="167"/>
      <c r="DFL95" s="168"/>
      <c r="DFM95" s="167"/>
      <c r="DFN95" s="168"/>
      <c r="DFO95" s="167"/>
      <c r="DFP95" s="168"/>
      <c r="DFQ95" s="167"/>
      <c r="DFR95" s="168"/>
      <c r="DFS95" s="167"/>
      <c r="DFT95" s="168"/>
      <c r="DFU95" s="167"/>
      <c r="DFV95" s="168"/>
      <c r="DFW95" s="167"/>
      <c r="DFX95" s="168"/>
      <c r="DFY95" s="167"/>
      <c r="DFZ95" s="168"/>
      <c r="DGA95" s="167"/>
      <c r="DGB95" s="168"/>
      <c r="DGC95" s="167"/>
      <c r="DGD95" s="168"/>
      <c r="DGE95" s="167"/>
      <c r="DGF95" s="168"/>
      <c r="DGG95" s="167"/>
      <c r="DGH95" s="168"/>
      <c r="DGI95" s="167"/>
      <c r="DGJ95" s="168"/>
      <c r="DGK95" s="167"/>
      <c r="DGL95" s="168"/>
      <c r="DGM95" s="167"/>
      <c r="DGN95" s="168"/>
      <c r="DGO95" s="167"/>
      <c r="DGP95" s="168"/>
      <c r="DGQ95" s="167"/>
      <c r="DGR95" s="168"/>
      <c r="DGS95" s="167"/>
      <c r="DGT95" s="168"/>
      <c r="DGU95" s="167"/>
      <c r="DGV95" s="168"/>
      <c r="DGW95" s="167"/>
      <c r="DGX95" s="168"/>
      <c r="DGY95" s="167"/>
      <c r="DGZ95" s="168"/>
      <c r="DHA95" s="167"/>
      <c r="DHB95" s="168"/>
      <c r="DHC95" s="167"/>
      <c r="DHD95" s="168"/>
      <c r="DHE95" s="167"/>
      <c r="DHF95" s="168"/>
      <c r="DHG95" s="167"/>
      <c r="DHH95" s="168"/>
      <c r="DHI95" s="167"/>
      <c r="DHJ95" s="168"/>
      <c r="DHK95" s="167"/>
      <c r="DHL95" s="168"/>
      <c r="DHM95" s="167"/>
      <c r="DHN95" s="168"/>
      <c r="DHO95" s="167"/>
      <c r="DHP95" s="168"/>
      <c r="DHQ95" s="167"/>
      <c r="DHR95" s="168"/>
      <c r="DHS95" s="167"/>
      <c r="DHT95" s="168"/>
      <c r="DHU95" s="167"/>
      <c r="DHV95" s="168"/>
      <c r="DHW95" s="167"/>
      <c r="DHX95" s="168"/>
      <c r="DHY95" s="167"/>
      <c r="DHZ95" s="168"/>
      <c r="DIA95" s="167"/>
      <c r="DIB95" s="168"/>
      <c r="DIC95" s="167"/>
      <c r="DID95" s="168"/>
      <c r="DIE95" s="167"/>
      <c r="DIF95" s="168"/>
      <c r="DIG95" s="167"/>
      <c r="DIH95" s="168"/>
      <c r="DII95" s="167"/>
      <c r="DIJ95" s="168"/>
      <c r="DIK95" s="167"/>
      <c r="DIL95" s="168"/>
      <c r="DIM95" s="167"/>
      <c r="DIN95" s="168"/>
      <c r="DIO95" s="167"/>
      <c r="DIP95" s="168"/>
      <c r="DIQ95" s="167"/>
      <c r="DIR95" s="168"/>
      <c r="DIS95" s="167"/>
      <c r="DIT95" s="168"/>
      <c r="DIU95" s="167"/>
      <c r="DIV95" s="168"/>
      <c r="DIW95" s="167"/>
      <c r="DIX95" s="168"/>
      <c r="DIY95" s="167"/>
      <c r="DIZ95" s="168"/>
      <c r="DJA95" s="167"/>
      <c r="DJB95" s="168"/>
      <c r="DJC95" s="167"/>
      <c r="DJD95" s="168"/>
      <c r="DJE95" s="167"/>
      <c r="DJF95" s="168"/>
      <c r="DJG95" s="167"/>
      <c r="DJH95" s="168"/>
      <c r="DJI95" s="167"/>
      <c r="DJJ95" s="168"/>
      <c r="DJK95" s="167"/>
      <c r="DJL95" s="168"/>
      <c r="DJM95" s="167"/>
      <c r="DJN95" s="168"/>
      <c r="DJO95" s="167"/>
      <c r="DJP95" s="168"/>
      <c r="DJQ95" s="167"/>
      <c r="DJR95" s="168"/>
      <c r="DJS95" s="167"/>
      <c r="DJT95" s="168"/>
      <c r="DJU95" s="167"/>
      <c r="DJV95" s="168"/>
      <c r="DJW95" s="167"/>
      <c r="DJX95" s="168"/>
      <c r="DJY95" s="167"/>
      <c r="DJZ95" s="168"/>
      <c r="DKA95" s="167"/>
      <c r="DKB95" s="168"/>
      <c r="DKC95" s="167"/>
      <c r="DKD95" s="168"/>
      <c r="DKE95" s="167"/>
      <c r="DKF95" s="168"/>
      <c r="DKG95" s="167"/>
      <c r="DKH95" s="168"/>
      <c r="DKI95" s="167"/>
      <c r="DKJ95" s="168"/>
      <c r="DKK95" s="167"/>
      <c r="DKL95" s="168"/>
      <c r="DKM95" s="167"/>
      <c r="DKN95" s="168"/>
      <c r="DKO95" s="167"/>
      <c r="DKP95" s="168"/>
      <c r="DKQ95" s="167"/>
      <c r="DKR95" s="168"/>
      <c r="DKS95" s="167"/>
      <c r="DKT95" s="168"/>
      <c r="DKU95" s="167"/>
      <c r="DKV95" s="168"/>
      <c r="DKW95" s="167"/>
      <c r="DKX95" s="168"/>
      <c r="DKY95" s="167"/>
      <c r="DKZ95" s="168"/>
      <c r="DLA95" s="167"/>
      <c r="DLB95" s="168"/>
      <c r="DLC95" s="167"/>
      <c r="DLD95" s="168"/>
      <c r="DLE95" s="167"/>
      <c r="DLF95" s="168"/>
      <c r="DLG95" s="167"/>
      <c r="DLH95" s="168"/>
      <c r="DLI95" s="167"/>
      <c r="DLJ95" s="168"/>
      <c r="DLK95" s="167"/>
      <c r="DLL95" s="168"/>
      <c r="DLM95" s="167"/>
      <c r="DLN95" s="168"/>
      <c r="DLO95" s="167"/>
      <c r="DLP95" s="168"/>
      <c r="DLQ95" s="167"/>
      <c r="DLR95" s="168"/>
      <c r="DLS95" s="167"/>
      <c r="DLT95" s="168"/>
      <c r="DLU95" s="167"/>
      <c r="DLV95" s="168"/>
      <c r="DLW95" s="167"/>
      <c r="DLX95" s="168"/>
      <c r="DLY95" s="167"/>
      <c r="DLZ95" s="168"/>
      <c r="DMA95" s="167"/>
      <c r="DMB95" s="168"/>
      <c r="DMC95" s="167"/>
      <c r="DMD95" s="168"/>
      <c r="DME95" s="167"/>
      <c r="DMF95" s="168"/>
      <c r="DMG95" s="167"/>
      <c r="DMH95" s="168"/>
      <c r="DMI95" s="167"/>
      <c r="DMJ95" s="168"/>
      <c r="DMK95" s="167"/>
      <c r="DML95" s="168"/>
      <c r="DMM95" s="167"/>
      <c r="DMN95" s="168"/>
      <c r="DMO95" s="167"/>
      <c r="DMP95" s="168"/>
      <c r="DMQ95" s="167"/>
      <c r="DMR95" s="168"/>
      <c r="DMS95" s="167"/>
      <c r="DMT95" s="168"/>
      <c r="DMU95" s="167"/>
      <c r="DMV95" s="168"/>
      <c r="DMW95" s="167"/>
      <c r="DMX95" s="168"/>
      <c r="DMY95" s="167"/>
      <c r="DMZ95" s="168"/>
      <c r="DNA95" s="167"/>
      <c r="DNB95" s="168"/>
      <c r="DNC95" s="167"/>
      <c r="DND95" s="168"/>
      <c r="DNE95" s="167"/>
      <c r="DNF95" s="168"/>
      <c r="DNG95" s="167"/>
      <c r="DNH95" s="168"/>
      <c r="DNI95" s="167"/>
      <c r="DNJ95" s="168"/>
      <c r="DNK95" s="167"/>
      <c r="DNL95" s="168"/>
      <c r="DNM95" s="167"/>
      <c r="DNN95" s="168"/>
      <c r="DNO95" s="167"/>
      <c r="DNP95" s="168"/>
      <c r="DNQ95" s="167"/>
      <c r="DNR95" s="168"/>
      <c r="DNS95" s="167"/>
      <c r="DNT95" s="168"/>
      <c r="DNU95" s="167"/>
      <c r="DNV95" s="168"/>
      <c r="DNW95" s="167"/>
      <c r="DNX95" s="168"/>
      <c r="DNY95" s="167"/>
      <c r="DNZ95" s="168"/>
      <c r="DOA95" s="167"/>
      <c r="DOB95" s="168"/>
      <c r="DOC95" s="167"/>
      <c r="DOD95" s="168"/>
      <c r="DOE95" s="167"/>
      <c r="DOF95" s="168"/>
      <c r="DOG95" s="167"/>
      <c r="DOH95" s="168"/>
      <c r="DOI95" s="167"/>
      <c r="DOJ95" s="168"/>
      <c r="DOK95" s="167"/>
      <c r="DOL95" s="168"/>
      <c r="DOM95" s="167"/>
      <c r="DON95" s="168"/>
      <c r="DOO95" s="167"/>
      <c r="DOP95" s="168"/>
      <c r="DOQ95" s="167"/>
      <c r="DOR95" s="168"/>
      <c r="DOS95" s="167"/>
      <c r="DOT95" s="168"/>
      <c r="DOU95" s="167"/>
      <c r="DOV95" s="168"/>
      <c r="DOW95" s="167"/>
      <c r="DOX95" s="168"/>
      <c r="DOY95" s="167"/>
      <c r="DOZ95" s="168"/>
      <c r="DPA95" s="167"/>
      <c r="DPB95" s="168"/>
      <c r="DPC95" s="167"/>
      <c r="DPD95" s="168"/>
      <c r="DPE95" s="167"/>
      <c r="DPF95" s="168"/>
      <c r="DPG95" s="167"/>
      <c r="DPH95" s="168"/>
      <c r="DPI95" s="167"/>
      <c r="DPJ95" s="168"/>
      <c r="DPK95" s="167"/>
      <c r="DPL95" s="168"/>
      <c r="DPM95" s="167"/>
      <c r="DPN95" s="168"/>
      <c r="DPO95" s="167"/>
      <c r="DPP95" s="168"/>
      <c r="DPQ95" s="167"/>
      <c r="DPR95" s="168"/>
      <c r="DPS95" s="167"/>
      <c r="DPT95" s="168"/>
      <c r="DPU95" s="167"/>
      <c r="DPV95" s="168"/>
      <c r="DPW95" s="167"/>
      <c r="DPX95" s="168"/>
      <c r="DPY95" s="167"/>
      <c r="DPZ95" s="168"/>
      <c r="DQA95" s="167"/>
      <c r="DQB95" s="168"/>
      <c r="DQC95" s="167"/>
      <c r="DQD95" s="168"/>
      <c r="DQE95" s="167"/>
      <c r="DQF95" s="168"/>
      <c r="DQG95" s="167"/>
      <c r="DQH95" s="168"/>
      <c r="DQI95" s="167"/>
      <c r="DQJ95" s="168"/>
      <c r="DQK95" s="167"/>
      <c r="DQL95" s="168"/>
      <c r="DQM95" s="167"/>
      <c r="DQN95" s="168"/>
      <c r="DQO95" s="167"/>
      <c r="DQP95" s="168"/>
      <c r="DQQ95" s="167"/>
      <c r="DQR95" s="168"/>
      <c r="DQS95" s="167"/>
      <c r="DQT95" s="168"/>
      <c r="DQU95" s="167"/>
      <c r="DQV95" s="168"/>
      <c r="DQW95" s="167"/>
      <c r="DQX95" s="168"/>
      <c r="DQY95" s="167"/>
      <c r="DQZ95" s="168"/>
      <c r="DRA95" s="167"/>
      <c r="DRB95" s="168"/>
      <c r="DRC95" s="167"/>
      <c r="DRD95" s="168"/>
      <c r="DRE95" s="167"/>
      <c r="DRF95" s="168"/>
      <c r="DRG95" s="167"/>
      <c r="DRH95" s="168"/>
      <c r="DRI95" s="167"/>
      <c r="DRJ95" s="168"/>
      <c r="DRK95" s="167"/>
      <c r="DRL95" s="168"/>
      <c r="DRM95" s="167"/>
      <c r="DRN95" s="168"/>
      <c r="DRO95" s="167"/>
      <c r="DRP95" s="168"/>
      <c r="DRQ95" s="167"/>
      <c r="DRR95" s="168"/>
      <c r="DRS95" s="167"/>
      <c r="DRT95" s="168"/>
      <c r="DRU95" s="167"/>
      <c r="DRV95" s="168"/>
      <c r="DRW95" s="167"/>
      <c r="DRX95" s="168"/>
      <c r="DRY95" s="167"/>
      <c r="DRZ95" s="168"/>
      <c r="DSA95" s="167"/>
      <c r="DSB95" s="168"/>
      <c r="DSC95" s="167"/>
      <c r="DSD95" s="168"/>
      <c r="DSE95" s="167"/>
      <c r="DSF95" s="168"/>
      <c r="DSG95" s="167"/>
      <c r="DSH95" s="168"/>
      <c r="DSI95" s="167"/>
      <c r="DSJ95" s="168"/>
      <c r="DSK95" s="167"/>
      <c r="DSL95" s="168"/>
      <c r="DSM95" s="167"/>
      <c r="DSN95" s="168"/>
      <c r="DSO95" s="167"/>
      <c r="DSP95" s="168"/>
      <c r="DSQ95" s="167"/>
      <c r="DSR95" s="168"/>
      <c r="DSS95" s="167"/>
      <c r="DST95" s="168"/>
      <c r="DSU95" s="167"/>
      <c r="DSV95" s="168"/>
      <c r="DSW95" s="167"/>
      <c r="DSX95" s="168"/>
      <c r="DSY95" s="167"/>
      <c r="DSZ95" s="168"/>
      <c r="DTA95" s="167"/>
      <c r="DTB95" s="168"/>
      <c r="DTC95" s="167"/>
      <c r="DTD95" s="168"/>
      <c r="DTE95" s="167"/>
      <c r="DTF95" s="168"/>
      <c r="DTG95" s="167"/>
      <c r="DTH95" s="168"/>
      <c r="DTI95" s="167"/>
      <c r="DTJ95" s="168"/>
      <c r="DTK95" s="167"/>
      <c r="DTL95" s="168"/>
      <c r="DTM95" s="167"/>
      <c r="DTN95" s="168"/>
      <c r="DTO95" s="167"/>
      <c r="DTP95" s="168"/>
      <c r="DTQ95" s="167"/>
      <c r="DTR95" s="168"/>
      <c r="DTS95" s="167"/>
      <c r="DTT95" s="168"/>
      <c r="DTU95" s="167"/>
      <c r="DTV95" s="168"/>
      <c r="DTW95" s="167"/>
      <c r="DTX95" s="168"/>
      <c r="DTY95" s="167"/>
      <c r="DTZ95" s="168"/>
      <c r="DUA95" s="167"/>
      <c r="DUB95" s="168"/>
      <c r="DUC95" s="167"/>
      <c r="DUD95" s="168"/>
      <c r="DUE95" s="167"/>
      <c r="DUF95" s="168"/>
      <c r="DUG95" s="167"/>
      <c r="DUH95" s="168"/>
      <c r="DUI95" s="167"/>
      <c r="DUJ95" s="168"/>
      <c r="DUK95" s="167"/>
      <c r="DUL95" s="168"/>
      <c r="DUM95" s="167"/>
      <c r="DUN95" s="168"/>
      <c r="DUO95" s="167"/>
      <c r="DUP95" s="168"/>
      <c r="DUQ95" s="167"/>
      <c r="DUR95" s="168"/>
      <c r="DUS95" s="167"/>
      <c r="DUT95" s="168"/>
      <c r="DUU95" s="167"/>
      <c r="DUV95" s="168"/>
      <c r="DUW95" s="167"/>
      <c r="DUX95" s="168"/>
      <c r="DUY95" s="167"/>
      <c r="DUZ95" s="168"/>
      <c r="DVA95" s="167"/>
      <c r="DVB95" s="168"/>
      <c r="DVC95" s="167"/>
      <c r="DVD95" s="168"/>
      <c r="DVE95" s="167"/>
      <c r="DVF95" s="168"/>
      <c r="DVG95" s="167"/>
      <c r="DVH95" s="168"/>
      <c r="DVI95" s="167"/>
      <c r="DVJ95" s="168"/>
      <c r="DVK95" s="167"/>
      <c r="DVL95" s="168"/>
      <c r="DVM95" s="167"/>
      <c r="DVN95" s="168"/>
      <c r="DVO95" s="167"/>
      <c r="DVP95" s="168"/>
      <c r="DVQ95" s="167"/>
      <c r="DVR95" s="168"/>
      <c r="DVS95" s="167"/>
      <c r="DVT95" s="168"/>
      <c r="DVU95" s="167"/>
      <c r="DVV95" s="168"/>
      <c r="DVW95" s="167"/>
      <c r="DVX95" s="168"/>
      <c r="DVY95" s="167"/>
      <c r="DVZ95" s="168"/>
      <c r="DWA95" s="167"/>
      <c r="DWB95" s="168"/>
      <c r="DWC95" s="167"/>
      <c r="DWD95" s="168"/>
      <c r="DWE95" s="167"/>
      <c r="DWF95" s="168"/>
      <c r="DWG95" s="167"/>
      <c r="DWH95" s="168"/>
      <c r="DWI95" s="167"/>
      <c r="DWJ95" s="168"/>
      <c r="DWK95" s="167"/>
      <c r="DWL95" s="168"/>
      <c r="DWM95" s="167"/>
      <c r="DWN95" s="168"/>
      <c r="DWO95" s="167"/>
      <c r="DWP95" s="168"/>
      <c r="DWQ95" s="167"/>
      <c r="DWR95" s="168"/>
      <c r="DWS95" s="167"/>
      <c r="DWT95" s="168"/>
      <c r="DWU95" s="167"/>
      <c r="DWV95" s="168"/>
      <c r="DWW95" s="167"/>
      <c r="DWX95" s="168"/>
      <c r="DWY95" s="167"/>
      <c r="DWZ95" s="168"/>
      <c r="DXA95" s="167"/>
      <c r="DXB95" s="168"/>
      <c r="DXC95" s="167"/>
      <c r="DXD95" s="168"/>
      <c r="DXE95" s="167"/>
      <c r="DXF95" s="168"/>
      <c r="DXG95" s="167"/>
      <c r="DXH95" s="168"/>
      <c r="DXI95" s="167"/>
      <c r="DXJ95" s="168"/>
      <c r="DXK95" s="167"/>
      <c r="DXL95" s="168"/>
      <c r="DXM95" s="167"/>
      <c r="DXN95" s="168"/>
      <c r="DXO95" s="167"/>
      <c r="DXP95" s="168"/>
      <c r="DXQ95" s="167"/>
      <c r="DXR95" s="168"/>
      <c r="DXS95" s="167"/>
      <c r="DXT95" s="168"/>
      <c r="DXU95" s="167"/>
      <c r="DXV95" s="168"/>
      <c r="DXW95" s="167"/>
      <c r="DXX95" s="168"/>
      <c r="DXY95" s="167"/>
      <c r="DXZ95" s="168"/>
      <c r="DYA95" s="167"/>
      <c r="DYB95" s="168"/>
      <c r="DYC95" s="167"/>
      <c r="DYD95" s="168"/>
      <c r="DYE95" s="167"/>
      <c r="DYF95" s="168"/>
      <c r="DYG95" s="167"/>
      <c r="DYH95" s="168"/>
      <c r="DYI95" s="167"/>
      <c r="DYJ95" s="168"/>
      <c r="DYK95" s="167"/>
      <c r="DYL95" s="168"/>
      <c r="DYM95" s="167"/>
      <c r="DYN95" s="168"/>
      <c r="DYO95" s="167"/>
      <c r="DYP95" s="168"/>
      <c r="DYQ95" s="167"/>
      <c r="DYR95" s="168"/>
      <c r="DYS95" s="167"/>
      <c r="DYT95" s="168"/>
      <c r="DYU95" s="167"/>
      <c r="DYV95" s="168"/>
      <c r="DYW95" s="167"/>
      <c r="DYX95" s="168"/>
      <c r="DYY95" s="167"/>
      <c r="DYZ95" s="168"/>
      <c r="DZA95" s="167"/>
      <c r="DZB95" s="168"/>
      <c r="DZC95" s="167"/>
      <c r="DZD95" s="168"/>
      <c r="DZE95" s="167"/>
      <c r="DZF95" s="168"/>
      <c r="DZG95" s="167"/>
      <c r="DZH95" s="168"/>
      <c r="DZI95" s="167"/>
      <c r="DZJ95" s="168"/>
      <c r="DZK95" s="167"/>
      <c r="DZL95" s="168"/>
      <c r="DZM95" s="167"/>
      <c r="DZN95" s="168"/>
      <c r="DZO95" s="167"/>
      <c r="DZP95" s="168"/>
      <c r="DZQ95" s="167"/>
      <c r="DZR95" s="168"/>
      <c r="DZS95" s="167"/>
      <c r="DZT95" s="168"/>
      <c r="DZU95" s="167"/>
      <c r="DZV95" s="168"/>
      <c r="DZW95" s="167"/>
      <c r="DZX95" s="168"/>
      <c r="DZY95" s="167"/>
      <c r="DZZ95" s="168"/>
      <c r="EAA95" s="167"/>
      <c r="EAB95" s="168"/>
      <c r="EAC95" s="167"/>
      <c r="EAD95" s="168"/>
      <c r="EAE95" s="167"/>
      <c r="EAF95" s="168"/>
      <c r="EAG95" s="167"/>
      <c r="EAH95" s="168"/>
      <c r="EAI95" s="167"/>
      <c r="EAJ95" s="168"/>
      <c r="EAK95" s="167"/>
      <c r="EAL95" s="168"/>
      <c r="EAM95" s="167"/>
      <c r="EAN95" s="168"/>
      <c r="EAO95" s="167"/>
      <c r="EAP95" s="168"/>
      <c r="EAQ95" s="167"/>
      <c r="EAR95" s="168"/>
      <c r="EAS95" s="167"/>
      <c r="EAT95" s="168"/>
      <c r="EAU95" s="167"/>
      <c r="EAV95" s="168"/>
      <c r="EAW95" s="167"/>
      <c r="EAX95" s="168"/>
      <c r="EAY95" s="167"/>
      <c r="EAZ95" s="168"/>
      <c r="EBA95" s="167"/>
      <c r="EBB95" s="168"/>
      <c r="EBC95" s="167"/>
      <c r="EBD95" s="168"/>
      <c r="EBE95" s="167"/>
      <c r="EBF95" s="168"/>
      <c r="EBG95" s="167"/>
      <c r="EBH95" s="168"/>
      <c r="EBI95" s="167"/>
      <c r="EBJ95" s="168"/>
      <c r="EBK95" s="167"/>
      <c r="EBL95" s="168"/>
      <c r="EBM95" s="167"/>
      <c r="EBN95" s="168"/>
      <c r="EBO95" s="167"/>
      <c r="EBP95" s="168"/>
      <c r="EBQ95" s="167"/>
      <c r="EBR95" s="168"/>
      <c r="EBS95" s="167"/>
      <c r="EBT95" s="168"/>
      <c r="EBU95" s="167"/>
      <c r="EBV95" s="168"/>
      <c r="EBW95" s="167"/>
      <c r="EBX95" s="168"/>
      <c r="EBY95" s="167"/>
      <c r="EBZ95" s="168"/>
      <c r="ECA95" s="167"/>
      <c r="ECB95" s="168"/>
      <c r="ECC95" s="167"/>
      <c r="ECD95" s="168"/>
      <c r="ECE95" s="167"/>
      <c r="ECF95" s="168"/>
      <c r="ECG95" s="167"/>
      <c r="ECH95" s="168"/>
      <c r="ECI95" s="167"/>
      <c r="ECJ95" s="168"/>
      <c r="ECK95" s="167"/>
      <c r="ECL95" s="168"/>
      <c r="ECM95" s="167"/>
      <c r="ECN95" s="168"/>
      <c r="ECO95" s="167"/>
      <c r="ECP95" s="168"/>
      <c r="ECQ95" s="167"/>
      <c r="ECR95" s="168"/>
      <c r="ECS95" s="167"/>
      <c r="ECT95" s="168"/>
      <c r="ECU95" s="167"/>
      <c r="ECV95" s="168"/>
      <c r="ECW95" s="167"/>
      <c r="ECX95" s="168"/>
      <c r="ECY95" s="167"/>
      <c r="ECZ95" s="168"/>
      <c r="EDA95" s="167"/>
      <c r="EDB95" s="168"/>
      <c r="EDC95" s="167"/>
      <c r="EDD95" s="168"/>
      <c r="EDE95" s="167"/>
      <c r="EDF95" s="168"/>
      <c r="EDG95" s="167"/>
      <c r="EDH95" s="168"/>
      <c r="EDI95" s="167"/>
      <c r="EDJ95" s="168"/>
      <c r="EDK95" s="167"/>
      <c r="EDL95" s="168"/>
      <c r="EDM95" s="167"/>
      <c r="EDN95" s="168"/>
      <c r="EDO95" s="167"/>
      <c r="EDP95" s="168"/>
      <c r="EDQ95" s="167"/>
      <c r="EDR95" s="168"/>
      <c r="EDS95" s="167"/>
      <c r="EDT95" s="168"/>
      <c r="EDU95" s="167"/>
      <c r="EDV95" s="168"/>
      <c r="EDW95" s="167"/>
      <c r="EDX95" s="168"/>
      <c r="EDY95" s="167"/>
      <c r="EDZ95" s="168"/>
      <c r="EEA95" s="167"/>
      <c r="EEB95" s="168"/>
      <c r="EEC95" s="167"/>
      <c r="EED95" s="168"/>
      <c r="EEE95" s="167"/>
      <c r="EEF95" s="168"/>
      <c r="EEG95" s="167"/>
      <c r="EEH95" s="168"/>
      <c r="EEI95" s="167"/>
      <c r="EEJ95" s="168"/>
      <c r="EEK95" s="167"/>
      <c r="EEL95" s="168"/>
      <c r="EEM95" s="167"/>
      <c r="EEN95" s="168"/>
      <c r="EEO95" s="167"/>
      <c r="EEP95" s="168"/>
      <c r="EEQ95" s="167"/>
      <c r="EER95" s="168"/>
      <c r="EES95" s="167"/>
      <c r="EET95" s="168"/>
      <c r="EEU95" s="167"/>
      <c r="EEV95" s="168"/>
      <c r="EEW95" s="167"/>
      <c r="EEX95" s="168"/>
      <c r="EEY95" s="167"/>
      <c r="EEZ95" s="168"/>
      <c r="EFA95" s="167"/>
      <c r="EFB95" s="168"/>
      <c r="EFC95" s="167"/>
      <c r="EFD95" s="168"/>
      <c r="EFE95" s="167"/>
      <c r="EFF95" s="168"/>
      <c r="EFG95" s="167"/>
      <c r="EFH95" s="168"/>
      <c r="EFI95" s="167"/>
      <c r="EFJ95" s="168"/>
      <c r="EFK95" s="167"/>
      <c r="EFL95" s="168"/>
      <c r="EFM95" s="167"/>
      <c r="EFN95" s="168"/>
      <c r="EFO95" s="167"/>
      <c r="EFP95" s="168"/>
      <c r="EFQ95" s="167"/>
      <c r="EFR95" s="168"/>
      <c r="EFS95" s="167"/>
      <c r="EFT95" s="168"/>
      <c r="EFU95" s="167"/>
      <c r="EFV95" s="168"/>
      <c r="EFW95" s="167"/>
      <c r="EFX95" s="168"/>
      <c r="EFY95" s="167"/>
      <c r="EFZ95" s="168"/>
      <c r="EGA95" s="167"/>
      <c r="EGB95" s="168"/>
      <c r="EGC95" s="167"/>
      <c r="EGD95" s="168"/>
      <c r="EGE95" s="167"/>
      <c r="EGF95" s="168"/>
      <c r="EGG95" s="167"/>
      <c r="EGH95" s="168"/>
      <c r="EGI95" s="167"/>
      <c r="EGJ95" s="168"/>
      <c r="EGK95" s="167"/>
      <c r="EGL95" s="168"/>
      <c r="EGM95" s="167"/>
      <c r="EGN95" s="168"/>
      <c r="EGO95" s="167"/>
      <c r="EGP95" s="168"/>
      <c r="EGQ95" s="167"/>
      <c r="EGR95" s="168"/>
      <c r="EGS95" s="167"/>
      <c r="EGT95" s="168"/>
      <c r="EGU95" s="167"/>
      <c r="EGV95" s="168"/>
      <c r="EGW95" s="167"/>
      <c r="EGX95" s="168"/>
      <c r="EGY95" s="167"/>
      <c r="EGZ95" s="168"/>
      <c r="EHA95" s="167"/>
      <c r="EHB95" s="168"/>
      <c r="EHC95" s="167"/>
      <c r="EHD95" s="168"/>
      <c r="EHE95" s="167"/>
      <c r="EHF95" s="168"/>
      <c r="EHG95" s="167"/>
      <c r="EHH95" s="168"/>
      <c r="EHI95" s="167"/>
      <c r="EHJ95" s="168"/>
      <c r="EHK95" s="167"/>
      <c r="EHL95" s="168"/>
      <c r="EHM95" s="167"/>
      <c r="EHN95" s="168"/>
      <c r="EHO95" s="167"/>
      <c r="EHP95" s="168"/>
      <c r="EHQ95" s="167"/>
      <c r="EHR95" s="168"/>
      <c r="EHS95" s="167"/>
      <c r="EHT95" s="168"/>
      <c r="EHU95" s="167"/>
      <c r="EHV95" s="168"/>
      <c r="EHW95" s="167"/>
      <c r="EHX95" s="168"/>
      <c r="EHY95" s="167"/>
      <c r="EHZ95" s="168"/>
      <c r="EIA95" s="167"/>
      <c r="EIB95" s="168"/>
      <c r="EIC95" s="167"/>
      <c r="EID95" s="168"/>
      <c r="EIE95" s="167"/>
      <c r="EIF95" s="168"/>
      <c r="EIG95" s="167"/>
      <c r="EIH95" s="168"/>
      <c r="EII95" s="167"/>
      <c r="EIJ95" s="168"/>
      <c r="EIK95" s="167"/>
      <c r="EIL95" s="168"/>
      <c r="EIM95" s="167"/>
      <c r="EIN95" s="168"/>
      <c r="EIO95" s="167"/>
      <c r="EIP95" s="168"/>
      <c r="EIQ95" s="167"/>
      <c r="EIR95" s="168"/>
      <c r="EIS95" s="167"/>
      <c r="EIT95" s="168"/>
      <c r="EIU95" s="167"/>
      <c r="EIV95" s="168"/>
      <c r="EIW95" s="167"/>
      <c r="EIX95" s="168"/>
      <c r="EIY95" s="167"/>
      <c r="EIZ95" s="168"/>
      <c r="EJA95" s="167"/>
      <c r="EJB95" s="168"/>
      <c r="EJC95" s="167"/>
      <c r="EJD95" s="168"/>
      <c r="EJE95" s="167"/>
      <c r="EJF95" s="168"/>
      <c r="EJG95" s="167"/>
      <c r="EJH95" s="168"/>
      <c r="EJI95" s="167"/>
      <c r="EJJ95" s="168"/>
      <c r="EJK95" s="167"/>
      <c r="EJL95" s="168"/>
      <c r="EJM95" s="167"/>
      <c r="EJN95" s="168"/>
      <c r="EJO95" s="167"/>
      <c r="EJP95" s="168"/>
      <c r="EJQ95" s="167"/>
      <c r="EJR95" s="168"/>
      <c r="EJS95" s="167"/>
      <c r="EJT95" s="168"/>
      <c r="EJU95" s="167"/>
      <c r="EJV95" s="168"/>
      <c r="EJW95" s="167"/>
      <c r="EJX95" s="168"/>
      <c r="EJY95" s="167"/>
      <c r="EJZ95" s="168"/>
      <c r="EKA95" s="167"/>
      <c r="EKB95" s="168"/>
      <c r="EKC95" s="167"/>
      <c r="EKD95" s="168"/>
      <c r="EKE95" s="167"/>
      <c r="EKF95" s="168"/>
      <c r="EKG95" s="167"/>
      <c r="EKH95" s="168"/>
      <c r="EKI95" s="167"/>
      <c r="EKJ95" s="168"/>
      <c r="EKK95" s="167"/>
      <c r="EKL95" s="168"/>
      <c r="EKM95" s="167"/>
      <c r="EKN95" s="168"/>
      <c r="EKO95" s="167"/>
      <c r="EKP95" s="168"/>
      <c r="EKQ95" s="167"/>
      <c r="EKR95" s="168"/>
      <c r="EKS95" s="167"/>
      <c r="EKT95" s="168"/>
      <c r="EKU95" s="167"/>
      <c r="EKV95" s="168"/>
      <c r="EKW95" s="167"/>
      <c r="EKX95" s="168"/>
      <c r="EKY95" s="167"/>
      <c r="EKZ95" s="168"/>
      <c r="ELA95" s="167"/>
      <c r="ELB95" s="168"/>
      <c r="ELC95" s="167"/>
      <c r="ELD95" s="168"/>
      <c r="ELE95" s="167"/>
      <c r="ELF95" s="168"/>
      <c r="ELG95" s="167"/>
      <c r="ELH95" s="168"/>
      <c r="ELI95" s="167"/>
      <c r="ELJ95" s="168"/>
      <c r="ELK95" s="167"/>
      <c r="ELL95" s="168"/>
      <c r="ELM95" s="167"/>
      <c r="ELN95" s="168"/>
      <c r="ELO95" s="167"/>
      <c r="ELP95" s="168"/>
      <c r="ELQ95" s="167"/>
      <c r="ELR95" s="168"/>
      <c r="ELS95" s="167"/>
      <c r="ELT95" s="168"/>
      <c r="ELU95" s="167"/>
      <c r="ELV95" s="168"/>
      <c r="ELW95" s="167"/>
      <c r="ELX95" s="168"/>
      <c r="ELY95" s="167"/>
      <c r="ELZ95" s="168"/>
      <c r="EMA95" s="167"/>
      <c r="EMB95" s="168"/>
      <c r="EMC95" s="167"/>
      <c r="EMD95" s="168"/>
      <c r="EME95" s="167"/>
      <c r="EMF95" s="168"/>
      <c r="EMG95" s="167"/>
      <c r="EMH95" s="168"/>
      <c r="EMI95" s="167"/>
      <c r="EMJ95" s="168"/>
      <c r="EMK95" s="167"/>
      <c r="EML95" s="168"/>
      <c r="EMM95" s="167"/>
      <c r="EMN95" s="168"/>
      <c r="EMO95" s="167"/>
      <c r="EMP95" s="168"/>
      <c r="EMQ95" s="167"/>
      <c r="EMR95" s="168"/>
      <c r="EMS95" s="167"/>
      <c r="EMT95" s="168"/>
      <c r="EMU95" s="167"/>
      <c r="EMV95" s="168"/>
      <c r="EMW95" s="167"/>
      <c r="EMX95" s="168"/>
      <c r="EMY95" s="167"/>
      <c r="EMZ95" s="168"/>
      <c r="ENA95" s="167"/>
      <c r="ENB95" s="168"/>
      <c r="ENC95" s="167"/>
      <c r="END95" s="168"/>
      <c r="ENE95" s="167"/>
      <c r="ENF95" s="168"/>
      <c r="ENG95" s="167"/>
      <c r="ENH95" s="168"/>
      <c r="ENI95" s="167"/>
      <c r="ENJ95" s="168"/>
      <c r="ENK95" s="167"/>
      <c r="ENL95" s="168"/>
      <c r="ENM95" s="167"/>
      <c r="ENN95" s="168"/>
      <c r="ENO95" s="167"/>
      <c r="ENP95" s="168"/>
      <c r="ENQ95" s="167"/>
      <c r="ENR95" s="168"/>
      <c r="ENS95" s="167"/>
      <c r="ENT95" s="168"/>
      <c r="ENU95" s="167"/>
      <c r="ENV95" s="168"/>
      <c r="ENW95" s="167"/>
      <c r="ENX95" s="168"/>
      <c r="ENY95" s="167"/>
      <c r="ENZ95" s="168"/>
      <c r="EOA95" s="167"/>
      <c r="EOB95" s="168"/>
      <c r="EOC95" s="167"/>
      <c r="EOD95" s="168"/>
      <c r="EOE95" s="167"/>
      <c r="EOF95" s="168"/>
      <c r="EOG95" s="167"/>
      <c r="EOH95" s="168"/>
      <c r="EOI95" s="167"/>
      <c r="EOJ95" s="168"/>
      <c r="EOK95" s="167"/>
      <c r="EOL95" s="168"/>
      <c r="EOM95" s="167"/>
      <c r="EON95" s="168"/>
      <c r="EOO95" s="167"/>
      <c r="EOP95" s="168"/>
      <c r="EOQ95" s="167"/>
      <c r="EOR95" s="168"/>
      <c r="EOS95" s="167"/>
      <c r="EOT95" s="168"/>
      <c r="EOU95" s="167"/>
      <c r="EOV95" s="168"/>
      <c r="EOW95" s="167"/>
      <c r="EOX95" s="168"/>
      <c r="EOY95" s="167"/>
      <c r="EOZ95" s="168"/>
      <c r="EPA95" s="167"/>
      <c r="EPB95" s="168"/>
      <c r="EPC95" s="167"/>
      <c r="EPD95" s="168"/>
      <c r="EPE95" s="167"/>
      <c r="EPF95" s="168"/>
      <c r="EPG95" s="167"/>
      <c r="EPH95" s="168"/>
      <c r="EPI95" s="167"/>
      <c r="EPJ95" s="168"/>
      <c r="EPK95" s="167"/>
      <c r="EPL95" s="168"/>
      <c r="EPM95" s="167"/>
      <c r="EPN95" s="168"/>
      <c r="EPO95" s="167"/>
      <c r="EPP95" s="168"/>
      <c r="EPQ95" s="167"/>
      <c r="EPR95" s="168"/>
      <c r="EPS95" s="167"/>
      <c r="EPT95" s="168"/>
      <c r="EPU95" s="167"/>
      <c r="EPV95" s="168"/>
      <c r="EPW95" s="167"/>
      <c r="EPX95" s="168"/>
      <c r="EPY95" s="167"/>
      <c r="EPZ95" s="168"/>
      <c r="EQA95" s="167"/>
      <c r="EQB95" s="168"/>
      <c r="EQC95" s="167"/>
      <c r="EQD95" s="168"/>
      <c r="EQE95" s="167"/>
      <c r="EQF95" s="168"/>
      <c r="EQG95" s="167"/>
      <c r="EQH95" s="168"/>
      <c r="EQI95" s="167"/>
      <c r="EQJ95" s="168"/>
      <c r="EQK95" s="167"/>
      <c r="EQL95" s="168"/>
      <c r="EQM95" s="167"/>
      <c r="EQN95" s="168"/>
      <c r="EQO95" s="167"/>
      <c r="EQP95" s="168"/>
      <c r="EQQ95" s="167"/>
      <c r="EQR95" s="168"/>
      <c r="EQS95" s="167"/>
      <c r="EQT95" s="168"/>
      <c r="EQU95" s="167"/>
      <c r="EQV95" s="168"/>
      <c r="EQW95" s="167"/>
      <c r="EQX95" s="168"/>
      <c r="EQY95" s="167"/>
      <c r="EQZ95" s="168"/>
      <c r="ERA95" s="167"/>
      <c r="ERB95" s="168"/>
      <c r="ERC95" s="167"/>
      <c r="ERD95" s="168"/>
      <c r="ERE95" s="167"/>
      <c r="ERF95" s="168"/>
      <c r="ERG95" s="167"/>
      <c r="ERH95" s="168"/>
      <c r="ERI95" s="167"/>
      <c r="ERJ95" s="168"/>
      <c r="ERK95" s="167"/>
      <c r="ERL95" s="168"/>
      <c r="ERM95" s="167"/>
      <c r="ERN95" s="168"/>
      <c r="ERO95" s="167"/>
      <c r="ERP95" s="168"/>
      <c r="ERQ95" s="167"/>
      <c r="ERR95" s="168"/>
      <c r="ERS95" s="167"/>
      <c r="ERT95" s="168"/>
      <c r="ERU95" s="167"/>
      <c r="ERV95" s="168"/>
      <c r="ERW95" s="167"/>
      <c r="ERX95" s="168"/>
      <c r="ERY95" s="167"/>
      <c r="ERZ95" s="168"/>
      <c r="ESA95" s="167"/>
      <c r="ESB95" s="168"/>
      <c r="ESC95" s="167"/>
      <c r="ESD95" s="168"/>
      <c r="ESE95" s="167"/>
      <c r="ESF95" s="168"/>
      <c r="ESG95" s="167"/>
      <c r="ESH95" s="168"/>
      <c r="ESI95" s="167"/>
      <c r="ESJ95" s="168"/>
      <c r="ESK95" s="167"/>
      <c r="ESL95" s="168"/>
      <c r="ESM95" s="167"/>
      <c r="ESN95" s="168"/>
      <c r="ESO95" s="167"/>
      <c r="ESP95" s="168"/>
      <c r="ESQ95" s="167"/>
      <c r="ESR95" s="168"/>
      <c r="ESS95" s="167"/>
      <c r="EST95" s="168"/>
      <c r="ESU95" s="167"/>
      <c r="ESV95" s="168"/>
      <c r="ESW95" s="167"/>
      <c r="ESX95" s="168"/>
      <c r="ESY95" s="167"/>
      <c r="ESZ95" s="168"/>
      <c r="ETA95" s="167"/>
      <c r="ETB95" s="168"/>
      <c r="ETC95" s="167"/>
      <c r="ETD95" s="168"/>
      <c r="ETE95" s="167"/>
      <c r="ETF95" s="168"/>
      <c r="ETG95" s="167"/>
      <c r="ETH95" s="168"/>
      <c r="ETI95" s="167"/>
      <c r="ETJ95" s="168"/>
      <c r="ETK95" s="167"/>
      <c r="ETL95" s="168"/>
      <c r="ETM95" s="167"/>
      <c r="ETN95" s="168"/>
      <c r="ETO95" s="167"/>
      <c r="ETP95" s="168"/>
      <c r="ETQ95" s="167"/>
      <c r="ETR95" s="168"/>
      <c r="ETS95" s="167"/>
      <c r="ETT95" s="168"/>
      <c r="ETU95" s="167"/>
      <c r="ETV95" s="168"/>
      <c r="ETW95" s="167"/>
      <c r="ETX95" s="168"/>
      <c r="ETY95" s="167"/>
      <c r="ETZ95" s="168"/>
      <c r="EUA95" s="167"/>
      <c r="EUB95" s="168"/>
      <c r="EUC95" s="167"/>
      <c r="EUD95" s="168"/>
      <c r="EUE95" s="167"/>
      <c r="EUF95" s="168"/>
      <c r="EUG95" s="167"/>
      <c r="EUH95" s="168"/>
      <c r="EUI95" s="167"/>
      <c r="EUJ95" s="168"/>
      <c r="EUK95" s="167"/>
      <c r="EUL95" s="168"/>
      <c r="EUM95" s="167"/>
      <c r="EUN95" s="168"/>
      <c r="EUO95" s="167"/>
      <c r="EUP95" s="168"/>
      <c r="EUQ95" s="167"/>
      <c r="EUR95" s="168"/>
      <c r="EUS95" s="167"/>
      <c r="EUT95" s="168"/>
      <c r="EUU95" s="167"/>
      <c r="EUV95" s="168"/>
      <c r="EUW95" s="167"/>
      <c r="EUX95" s="168"/>
      <c r="EUY95" s="167"/>
      <c r="EUZ95" s="168"/>
      <c r="EVA95" s="167"/>
      <c r="EVB95" s="168"/>
      <c r="EVC95" s="167"/>
      <c r="EVD95" s="168"/>
      <c r="EVE95" s="167"/>
      <c r="EVF95" s="168"/>
      <c r="EVG95" s="167"/>
      <c r="EVH95" s="168"/>
      <c r="EVI95" s="167"/>
      <c r="EVJ95" s="168"/>
      <c r="EVK95" s="167"/>
      <c r="EVL95" s="168"/>
      <c r="EVM95" s="167"/>
      <c r="EVN95" s="168"/>
      <c r="EVO95" s="167"/>
      <c r="EVP95" s="168"/>
      <c r="EVQ95" s="167"/>
      <c r="EVR95" s="168"/>
      <c r="EVS95" s="167"/>
      <c r="EVT95" s="168"/>
      <c r="EVU95" s="167"/>
      <c r="EVV95" s="168"/>
      <c r="EVW95" s="167"/>
      <c r="EVX95" s="168"/>
      <c r="EVY95" s="167"/>
      <c r="EVZ95" s="168"/>
      <c r="EWA95" s="167"/>
      <c r="EWB95" s="168"/>
      <c r="EWC95" s="167"/>
      <c r="EWD95" s="168"/>
      <c r="EWE95" s="167"/>
      <c r="EWF95" s="168"/>
      <c r="EWG95" s="167"/>
      <c r="EWH95" s="168"/>
      <c r="EWI95" s="167"/>
      <c r="EWJ95" s="168"/>
      <c r="EWK95" s="167"/>
      <c r="EWL95" s="168"/>
      <c r="EWM95" s="167"/>
      <c r="EWN95" s="168"/>
      <c r="EWO95" s="167"/>
      <c r="EWP95" s="168"/>
      <c r="EWQ95" s="167"/>
      <c r="EWR95" s="168"/>
      <c r="EWS95" s="167"/>
      <c r="EWT95" s="168"/>
      <c r="EWU95" s="167"/>
      <c r="EWV95" s="168"/>
      <c r="EWW95" s="167"/>
      <c r="EWX95" s="168"/>
      <c r="EWY95" s="167"/>
      <c r="EWZ95" s="168"/>
      <c r="EXA95" s="167"/>
      <c r="EXB95" s="168"/>
      <c r="EXC95" s="167"/>
      <c r="EXD95" s="168"/>
      <c r="EXE95" s="167"/>
      <c r="EXF95" s="168"/>
      <c r="EXG95" s="167"/>
      <c r="EXH95" s="168"/>
      <c r="EXI95" s="167"/>
      <c r="EXJ95" s="168"/>
      <c r="EXK95" s="167"/>
      <c r="EXL95" s="168"/>
      <c r="EXM95" s="167"/>
      <c r="EXN95" s="168"/>
      <c r="EXO95" s="167"/>
      <c r="EXP95" s="168"/>
      <c r="EXQ95" s="167"/>
      <c r="EXR95" s="168"/>
      <c r="EXS95" s="167"/>
      <c r="EXT95" s="168"/>
      <c r="EXU95" s="167"/>
      <c r="EXV95" s="168"/>
      <c r="EXW95" s="167"/>
      <c r="EXX95" s="168"/>
      <c r="EXY95" s="167"/>
      <c r="EXZ95" s="168"/>
      <c r="EYA95" s="167"/>
      <c r="EYB95" s="168"/>
      <c r="EYC95" s="167"/>
      <c r="EYD95" s="168"/>
      <c r="EYE95" s="167"/>
      <c r="EYF95" s="168"/>
      <c r="EYG95" s="167"/>
      <c r="EYH95" s="168"/>
      <c r="EYI95" s="167"/>
      <c r="EYJ95" s="168"/>
      <c r="EYK95" s="167"/>
      <c r="EYL95" s="168"/>
      <c r="EYM95" s="167"/>
      <c r="EYN95" s="168"/>
      <c r="EYO95" s="167"/>
      <c r="EYP95" s="168"/>
      <c r="EYQ95" s="167"/>
      <c r="EYR95" s="168"/>
      <c r="EYS95" s="167"/>
      <c r="EYT95" s="168"/>
      <c r="EYU95" s="167"/>
      <c r="EYV95" s="168"/>
      <c r="EYW95" s="167"/>
      <c r="EYX95" s="168"/>
      <c r="EYY95" s="167"/>
      <c r="EYZ95" s="168"/>
      <c r="EZA95" s="167"/>
      <c r="EZB95" s="168"/>
      <c r="EZC95" s="167"/>
      <c r="EZD95" s="168"/>
      <c r="EZE95" s="167"/>
      <c r="EZF95" s="168"/>
      <c r="EZG95" s="167"/>
      <c r="EZH95" s="168"/>
      <c r="EZI95" s="167"/>
      <c r="EZJ95" s="168"/>
      <c r="EZK95" s="167"/>
      <c r="EZL95" s="168"/>
      <c r="EZM95" s="167"/>
      <c r="EZN95" s="168"/>
      <c r="EZO95" s="167"/>
      <c r="EZP95" s="168"/>
      <c r="EZQ95" s="167"/>
      <c r="EZR95" s="168"/>
      <c r="EZS95" s="167"/>
      <c r="EZT95" s="168"/>
      <c r="EZU95" s="167"/>
      <c r="EZV95" s="168"/>
      <c r="EZW95" s="167"/>
      <c r="EZX95" s="168"/>
      <c r="EZY95" s="167"/>
      <c r="EZZ95" s="168"/>
      <c r="FAA95" s="167"/>
      <c r="FAB95" s="168"/>
      <c r="FAC95" s="167"/>
      <c r="FAD95" s="168"/>
      <c r="FAE95" s="167"/>
      <c r="FAF95" s="168"/>
      <c r="FAG95" s="167"/>
      <c r="FAH95" s="168"/>
      <c r="FAI95" s="167"/>
      <c r="FAJ95" s="168"/>
      <c r="FAK95" s="167"/>
      <c r="FAL95" s="168"/>
      <c r="FAM95" s="167"/>
      <c r="FAN95" s="168"/>
      <c r="FAO95" s="167"/>
      <c r="FAP95" s="168"/>
      <c r="FAQ95" s="167"/>
      <c r="FAR95" s="168"/>
      <c r="FAS95" s="167"/>
      <c r="FAT95" s="168"/>
      <c r="FAU95" s="167"/>
      <c r="FAV95" s="168"/>
      <c r="FAW95" s="167"/>
      <c r="FAX95" s="168"/>
      <c r="FAY95" s="167"/>
      <c r="FAZ95" s="168"/>
      <c r="FBA95" s="167"/>
      <c r="FBB95" s="168"/>
      <c r="FBC95" s="167"/>
      <c r="FBD95" s="168"/>
      <c r="FBE95" s="167"/>
      <c r="FBF95" s="168"/>
      <c r="FBG95" s="167"/>
      <c r="FBH95" s="168"/>
      <c r="FBI95" s="167"/>
      <c r="FBJ95" s="168"/>
      <c r="FBK95" s="167"/>
      <c r="FBL95" s="168"/>
      <c r="FBM95" s="167"/>
      <c r="FBN95" s="168"/>
      <c r="FBO95" s="167"/>
      <c r="FBP95" s="168"/>
      <c r="FBQ95" s="167"/>
      <c r="FBR95" s="168"/>
      <c r="FBS95" s="167"/>
      <c r="FBT95" s="168"/>
      <c r="FBU95" s="167"/>
      <c r="FBV95" s="168"/>
      <c r="FBW95" s="167"/>
      <c r="FBX95" s="168"/>
      <c r="FBY95" s="167"/>
      <c r="FBZ95" s="168"/>
      <c r="FCA95" s="167"/>
      <c r="FCB95" s="168"/>
      <c r="FCC95" s="167"/>
      <c r="FCD95" s="168"/>
      <c r="FCE95" s="167"/>
      <c r="FCF95" s="168"/>
      <c r="FCG95" s="167"/>
      <c r="FCH95" s="168"/>
      <c r="FCI95" s="167"/>
      <c r="FCJ95" s="168"/>
      <c r="FCK95" s="167"/>
      <c r="FCL95" s="168"/>
      <c r="FCM95" s="167"/>
      <c r="FCN95" s="168"/>
      <c r="FCO95" s="167"/>
      <c r="FCP95" s="168"/>
      <c r="FCQ95" s="167"/>
      <c r="FCR95" s="168"/>
      <c r="FCS95" s="167"/>
      <c r="FCT95" s="168"/>
      <c r="FCU95" s="167"/>
      <c r="FCV95" s="168"/>
      <c r="FCW95" s="167"/>
      <c r="FCX95" s="168"/>
      <c r="FCY95" s="167"/>
      <c r="FCZ95" s="168"/>
      <c r="FDA95" s="167"/>
      <c r="FDB95" s="168"/>
      <c r="FDC95" s="167"/>
      <c r="FDD95" s="168"/>
      <c r="FDE95" s="167"/>
      <c r="FDF95" s="168"/>
      <c r="FDG95" s="167"/>
      <c r="FDH95" s="168"/>
      <c r="FDI95" s="167"/>
      <c r="FDJ95" s="168"/>
      <c r="FDK95" s="167"/>
      <c r="FDL95" s="168"/>
      <c r="FDM95" s="167"/>
      <c r="FDN95" s="168"/>
      <c r="FDO95" s="167"/>
      <c r="FDP95" s="168"/>
      <c r="FDQ95" s="167"/>
      <c r="FDR95" s="168"/>
      <c r="FDS95" s="167"/>
      <c r="FDT95" s="168"/>
      <c r="FDU95" s="167"/>
      <c r="FDV95" s="168"/>
      <c r="FDW95" s="167"/>
      <c r="FDX95" s="168"/>
      <c r="FDY95" s="167"/>
      <c r="FDZ95" s="168"/>
      <c r="FEA95" s="167"/>
      <c r="FEB95" s="168"/>
      <c r="FEC95" s="167"/>
      <c r="FED95" s="168"/>
      <c r="FEE95" s="167"/>
      <c r="FEF95" s="168"/>
      <c r="FEG95" s="167"/>
      <c r="FEH95" s="168"/>
      <c r="FEI95" s="167"/>
      <c r="FEJ95" s="168"/>
      <c r="FEK95" s="167"/>
      <c r="FEL95" s="168"/>
      <c r="FEM95" s="167"/>
      <c r="FEN95" s="168"/>
      <c r="FEO95" s="167"/>
      <c r="FEP95" s="168"/>
      <c r="FEQ95" s="167"/>
      <c r="FER95" s="168"/>
      <c r="FES95" s="167"/>
      <c r="FET95" s="168"/>
      <c r="FEU95" s="167"/>
      <c r="FEV95" s="168"/>
      <c r="FEW95" s="167"/>
      <c r="FEX95" s="168"/>
      <c r="FEY95" s="167"/>
      <c r="FEZ95" s="168"/>
      <c r="FFA95" s="167"/>
      <c r="FFB95" s="168"/>
      <c r="FFC95" s="167"/>
      <c r="FFD95" s="168"/>
      <c r="FFE95" s="167"/>
      <c r="FFF95" s="168"/>
      <c r="FFG95" s="167"/>
      <c r="FFH95" s="168"/>
      <c r="FFI95" s="167"/>
      <c r="FFJ95" s="168"/>
      <c r="FFK95" s="167"/>
      <c r="FFL95" s="168"/>
      <c r="FFM95" s="167"/>
      <c r="FFN95" s="168"/>
      <c r="FFO95" s="167"/>
      <c r="FFP95" s="168"/>
      <c r="FFQ95" s="167"/>
      <c r="FFR95" s="168"/>
      <c r="FFS95" s="167"/>
      <c r="FFT95" s="168"/>
      <c r="FFU95" s="167"/>
      <c r="FFV95" s="168"/>
      <c r="FFW95" s="167"/>
      <c r="FFX95" s="168"/>
      <c r="FFY95" s="167"/>
      <c r="FFZ95" s="168"/>
      <c r="FGA95" s="167"/>
      <c r="FGB95" s="168"/>
      <c r="FGC95" s="167"/>
      <c r="FGD95" s="168"/>
      <c r="FGE95" s="167"/>
      <c r="FGF95" s="168"/>
      <c r="FGG95" s="167"/>
      <c r="FGH95" s="168"/>
      <c r="FGI95" s="167"/>
      <c r="FGJ95" s="168"/>
      <c r="FGK95" s="167"/>
      <c r="FGL95" s="168"/>
      <c r="FGM95" s="167"/>
      <c r="FGN95" s="168"/>
      <c r="FGO95" s="167"/>
      <c r="FGP95" s="168"/>
      <c r="FGQ95" s="167"/>
      <c r="FGR95" s="168"/>
      <c r="FGS95" s="167"/>
      <c r="FGT95" s="168"/>
      <c r="FGU95" s="167"/>
      <c r="FGV95" s="168"/>
      <c r="FGW95" s="167"/>
      <c r="FGX95" s="168"/>
      <c r="FGY95" s="167"/>
      <c r="FGZ95" s="168"/>
      <c r="FHA95" s="167"/>
      <c r="FHB95" s="168"/>
      <c r="FHC95" s="167"/>
      <c r="FHD95" s="168"/>
      <c r="FHE95" s="167"/>
      <c r="FHF95" s="168"/>
      <c r="FHG95" s="167"/>
      <c r="FHH95" s="168"/>
      <c r="FHI95" s="167"/>
      <c r="FHJ95" s="168"/>
      <c r="FHK95" s="167"/>
      <c r="FHL95" s="168"/>
      <c r="FHM95" s="167"/>
      <c r="FHN95" s="168"/>
      <c r="FHO95" s="167"/>
      <c r="FHP95" s="168"/>
      <c r="FHQ95" s="167"/>
      <c r="FHR95" s="168"/>
      <c r="FHS95" s="167"/>
      <c r="FHT95" s="168"/>
      <c r="FHU95" s="167"/>
      <c r="FHV95" s="168"/>
      <c r="FHW95" s="167"/>
      <c r="FHX95" s="168"/>
      <c r="FHY95" s="167"/>
      <c r="FHZ95" s="168"/>
      <c r="FIA95" s="167"/>
      <c r="FIB95" s="168"/>
      <c r="FIC95" s="167"/>
      <c r="FID95" s="168"/>
      <c r="FIE95" s="167"/>
      <c r="FIF95" s="168"/>
      <c r="FIG95" s="167"/>
      <c r="FIH95" s="168"/>
      <c r="FII95" s="167"/>
      <c r="FIJ95" s="168"/>
      <c r="FIK95" s="167"/>
      <c r="FIL95" s="168"/>
      <c r="FIM95" s="167"/>
      <c r="FIN95" s="168"/>
      <c r="FIO95" s="167"/>
      <c r="FIP95" s="168"/>
      <c r="FIQ95" s="167"/>
      <c r="FIR95" s="168"/>
      <c r="FIS95" s="167"/>
      <c r="FIT95" s="168"/>
      <c r="FIU95" s="167"/>
      <c r="FIV95" s="168"/>
      <c r="FIW95" s="167"/>
      <c r="FIX95" s="168"/>
      <c r="FIY95" s="167"/>
      <c r="FIZ95" s="168"/>
      <c r="FJA95" s="167"/>
      <c r="FJB95" s="168"/>
      <c r="FJC95" s="167"/>
      <c r="FJD95" s="168"/>
      <c r="FJE95" s="167"/>
      <c r="FJF95" s="168"/>
      <c r="FJG95" s="167"/>
      <c r="FJH95" s="168"/>
      <c r="FJI95" s="167"/>
      <c r="FJJ95" s="168"/>
      <c r="FJK95" s="167"/>
      <c r="FJL95" s="168"/>
      <c r="FJM95" s="167"/>
      <c r="FJN95" s="168"/>
      <c r="FJO95" s="167"/>
      <c r="FJP95" s="168"/>
      <c r="FJQ95" s="167"/>
      <c r="FJR95" s="168"/>
      <c r="FJS95" s="167"/>
      <c r="FJT95" s="168"/>
      <c r="FJU95" s="167"/>
      <c r="FJV95" s="168"/>
      <c r="FJW95" s="167"/>
      <c r="FJX95" s="168"/>
      <c r="FJY95" s="167"/>
      <c r="FJZ95" s="168"/>
      <c r="FKA95" s="167"/>
      <c r="FKB95" s="168"/>
      <c r="FKC95" s="167"/>
      <c r="FKD95" s="168"/>
      <c r="FKE95" s="167"/>
      <c r="FKF95" s="168"/>
      <c r="FKG95" s="167"/>
      <c r="FKH95" s="168"/>
      <c r="FKI95" s="167"/>
      <c r="FKJ95" s="168"/>
      <c r="FKK95" s="167"/>
      <c r="FKL95" s="168"/>
      <c r="FKM95" s="167"/>
      <c r="FKN95" s="168"/>
      <c r="FKO95" s="167"/>
      <c r="FKP95" s="168"/>
      <c r="FKQ95" s="167"/>
      <c r="FKR95" s="168"/>
      <c r="FKS95" s="167"/>
      <c r="FKT95" s="168"/>
      <c r="FKU95" s="167"/>
      <c r="FKV95" s="168"/>
      <c r="FKW95" s="167"/>
      <c r="FKX95" s="168"/>
      <c r="FKY95" s="167"/>
      <c r="FKZ95" s="168"/>
      <c r="FLA95" s="167"/>
      <c r="FLB95" s="168"/>
      <c r="FLC95" s="167"/>
      <c r="FLD95" s="168"/>
      <c r="FLE95" s="167"/>
      <c r="FLF95" s="168"/>
      <c r="FLG95" s="167"/>
      <c r="FLH95" s="168"/>
      <c r="FLI95" s="167"/>
      <c r="FLJ95" s="168"/>
      <c r="FLK95" s="167"/>
      <c r="FLL95" s="168"/>
      <c r="FLM95" s="167"/>
      <c r="FLN95" s="168"/>
      <c r="FLO95" s="167"/>
      <c r="FLP95" s="168"/>
      <c r="FLQ95" s="167"/>
      <c r="FLR95" s="168"/>
      <c r="FLS95" s="167"/>
      <c r="FLT95" s="168"/>
      <c r="FLU95" s="167"/>
      <c r="FLV95" s="168"/>
      <c r="FLW95" s="167"/>
      <c r="FLX95" s="168"/>
      <c r="FLY95" s="167"/>
      <c r="FLZ95" s="168"/>
      <c r="FMA95" s="167"/>
      <c r="FMB95" s="168"/>
      <c r="FMC95" s="167"/>
      <c r="FMD95" s="168"/>
      <c r="FME95" s="167"/>
      <c r="FMF95" s="168"/>
      <c r="FMG95" s="167"/>
      <c r="FMH95" s="168"/>
      <c r="FMI95" s="167"/>
      <c r="FMJ95" s="168"/>
      <c r="FMK95" s="167"/>
      <c r="FML95" s="168"/>
      <c r="FMM95" s="167"/>
      <c r="FMN95" s="168"/>
      <c r="FMO95" s="167"/>
      <c r="FMP95" s="168"/>
      <c r="FMQ95" s="167"/>
      <c r="FMR95" s="168"/>
      <c r="FMS95" s="167"/>
      <c r="FMT95" s="168"/>
      <c r="FMU95" s="167"/>
      <c r="FMV95" s="168"/>
      <c r="FMW95" s="167"/>
      <c r="FMX95" s="168"/>
      <c r="FMY95" s="167"/>
      <c r="FMZ95" s="168"/>
      <c r="FNA95" s="167"/>
      <c r="FNB95" s="168"/>
      <c r="FNC95" s="167"/>
      <c r="FND95" s="168"/>
      <c r="FNE95" s="167"/>
      <c r="FNF95" s="168"/>
      <c r="FNG95" s="167"/>
      <c r="FNH95" s="168"/>
      <c r="FNI95" s="167"/>
      <c r="FNJ95" s="168"/>
      <c r="FNK95" s="167"/>
      <c r="FNL95" s="168"/>
      <c r="FNM95" s="167"/>
      <c r="FNN95" s="168"/>
      <c r="FNO95" s="167"/>
      <c r="FNP95" s="168"/>
      <c r="FNQ95" s="167"/>
      <c r="FNR95" s="168"/>
      <c r="FNS95" s="167"/>
      <c r="FNT95" s="168"/>
      <c r="FNU95" s="167"/>
      <c r="FNV95" s="168"/>
      <c r="FNW95" s="167"/>
      <c r="FNX95" s="168"/>
      <c r="FNY95" s="167"/>
      <c r="FNZ95" s="168"/>
      <c r="FOA95" s="167"/>
      <c r="FOB95" s="168"/>
      <c r="FOC95" s="167"/>
      <c r="FOD95" s="168"/>
      <c r="FOE95" s="167"/>
      <c r="FOF95" s="168"/>
      <c r="FOG95" s="167"/>
      <c r="FOH95" s="168"/>
      <c r="FOI95" s="167"/>
      <c r="FOJ95" s="168"/>
      <c r="FOK95" s="167"/>
      <c r="FOL95" s="168"/>
      <c r="FOM95" s="167"/>
      <c r="FON95" s="168"/>
      <c r="FOO95" s="167"/>
      <c r="FOP95" s="168"/>
      <c r="FOQ95" s="167"/>
      <c r="FOR95" s="168"/>
      <c r="FOS95" s="167"/>
      <c r="FOT95" s="168"/>
      <c r="FOU95" s="167"/>
      <c r="FOV95" s="168"/>
      <c r="FOW95" s="167"/>
      <c r="FOX95" s="168"/>
      <c r="FOY95" s="167"/>
      <c r="FOZ95" s="168"/>
      <c r="FPA95" s="167"/>
      <c r="FPB95" s="168"/>
      <c r="FPC95" s="167"/>
      <c r="FPD95" s="168"/>
      <c r="FPE95" s="167"/>
      <c r="FPF95" s="168"/>
      <c r="FPG95" s="167"/>
      <c r="FPH95" s="168"/>
      <c r="FPI95" s="167"/>
      <c r="FPJ95" s="168"/>
      <c r="FPK95" s="167"/>
      <c r="FPL95" s="168"/>
      <c r="FPM95" s="167"/>
      <c r="FPN95" s="168"/>
      <c r="FPO95" s="167"/>
      <c r="FPP95" s="168"/>
      <c r="FPQ95" s="167"/>
      <c r="FPR95" s="168"/>
      <c r="FPS95" s="167"/>
      <c r="FPT95" s="168"/>
      <c r="FPU95" s="167"/>
      <c r="FPV95" s="168"/>
      <c r="FPW95" s="167"/>
      <c r="FPX95" s="168"/>
      <c r="FPY95" s="167"/>
      <c r="FPZ95" s="168"/>
      <c r="FQA95" s="167"/>
      <c r="FQB95" s="168"/>
      <c r="FQC95" s="167"/>
      <c r="FQD95" s="168"/>
      <c r="FQE95" s="167"/>
      <c r="FQF95" s="168"/>
      <c r="FQG95" s="167"/>
      <c r="FQH95" s="168"/>
      <c r="FQI95" s="167"/>
      <c r="FQJ95" s="168"/>
      <c r="FQK95" s="167"/>
      <c r="FQL95" s="168"/>
      <c r="FQM95" s="167"/>
      <c r="FQN95" s="168"/>
      <c r="FQO95" s="167"/>
      <c r="FQP95" s="168"/>
      <c r="FQQ95" s="167"/>
      <c r="FQR95" s="168"/>
      <c r="FQS95" s="167"/>
      <c r="FQT95" s="168"/>
      <c r="FQU95" s="167"/>
      <c r="FQV95" s="168"/>
      <c r="FQW95" s="167"/>
      <c r="FQX95" s="168"/>
      <c r="FQY95" s="167"/>
      <c r="FQZ95" s="168"/>
      <c r="FRA95" s="167"/>
      <c r="FRB95" s="168"/>
      <c r="FRC95" s="167"/>
      <c r="FRD95" s="168"/>
      <c r="FRE95" s="167"/>
      <c r="FRF95" s="168"/>
      <c r="FRG95" s="167"/>
      <c r="FRH95" s="168"/>
      <c r="FRI95" s="167"/>
      <c r="FRJ95" s="168"/>
      <c r="FRK95" s="167"/>
      <c r="FRL95" s="168"/>
      <c r="FRM95" s="167"/>
      <c r="FRN95" s="168"/>
      <c r="FRO95" s="167"/>
      <c r="FRP95" s="168"/>
      <c r="FRQ95" s="167"/>
      <c r="FRR95" s="168"/>
      <c r="FRS95" s="167"/>
      <c r="FRT95" s="168"/>
      <c r="FRU95" s="167"/>
      <c r="FRV95" s="168"/>
      <c r="FRW95" s="167"/>
      <c r="FRX95" s="168"/>
      <c r="FRY95" s="167"/>
      <c r="FRZ95" s="168"/>
      <c r="FSA95" s="167"/>
      <c r="FSB95" s="168"/>
      <c r="FSC95" s="167"/>
      <c r="FSD95" s="168"/>
      <c r="FSE95" s="167"/>
      <c r="FSF95" s="168"/>
      <c r="FSG95" s="167"/>
      <c r="FSH95" s="168"/>
      <c r="FSI95" s="167"/>
      <c r="FSJ95" s="168"/>
      <c r="FSK95" s="167"/>
      <c r="FSL95" s="168"/>
      <c r="FSM95" s="167"/>
      <c r="FSN95" s="168"/>
      <c r="FSO95" s="167"/>
      <c r="FSP95" s="168"/>
      <c r="FSQ95" s="167"/>
      <c r="FSR95" s="168"/>
      <c r="FSS95" s="167"/>
      <c r="FST95" s="168"/>
      <c r="FSU95" s="167"/>
      <c r="FSV95" s="168"/>
      <c r="FSW95" s="167"/>
      <c r="FSX95" s="168"/>
      <c r="FSY95" s="167"/>
      <c r="FSZ95" s="168"/>
      <c r="FTA95" s="167"/>
      <c r="FTB95" s="168"/>
      <c r="FTC95" s="167"/>
      <c r="FTD95" s="168"/>
      <c r="FTE95" s="167"/>
      <c r="FTF95" s="168"/>
      <c r="FTG95" s="167"/>
      <c r="FTH95" s="168"/>
      <c r="FTI95" s="167"/>
      <c r="FTJ95" s="168"/>
      <c r="FTK95" s="167"/>
      <c r="FTL95" s="168"/>
      <c r="FTM95" s="167"/>
      <c r="FTN95" s="168"/>
      <c r="FTO95" s="167"/>
      <c r="FTP95" s="168"/>
      <c r="FTQ95" s="167"/>
      <c r="FTR95" s="168"/>
      <c r="FTS95" s="167"/>
      <c r="FTT95" s="168"/>
      <c r="FTU95" s="167"/>
      <c r="FTV95" s="168"/>
      <c r="FTW95" s="167"/>
      <c r="FTX95" s="168"/>
      <c r="FTY95" s="167"/>
      <c r="FTZ95" s="168"/>
      <c r="FUA95" s="167"/>
      <c r="FUB95" s="168"/>
      <c r="FUC95" s="167"/>
      <c r="FUD95" s="168"/>
      <c r="FUE95" s="167"/>
      <c r="FUF95" s="168"/>
      <c r="FUG95" s="167"/>
      <c r="FUH95" s="168"/>
      <c r="FUI95" s="167"/>
      <c r="FUJ95" s="168"/>
      <c r="FUK95" s="167"/>
      <c r="FUL95" s="168"/>
      <c r="FUM95" s="167"/>
      <c r="FUN95" s="168"/>
      <c r="FUO95" s="167"/>
      <c r="FUP95" s="168"/>
      <c r="FUQ95" s="167"/>
      <c r="FUR95" s="168"/>
      <c r="FUS95" s="167"/>
      <c r="FUT95" s="168"/>
      <c r="FUU95" s="167"/>
      <c r="FUV95" s="168"/>
      <c r="FUW95" s="167"/>
      <c r="FUX95" s="168"/>
      <c r="FUY95" s="167"/>
      <c r="FUZ95" s="168"/>
      <c r="FVA95" s="167"/>
      <c r="FVB95" s="168"/>
      <c r="FVC95" s="167"/>
      <c r="FVD95" s="168"/>
      <c r="FVE95" s="167"/>
      <c r="FVF95" s="168"/>
      <c r="FVG95" s="167"/>
      <c r="FVH95" s="168"/>
      <c r="FVI95" s="167"/>
      <c r="FVJ95" s="168"/>
      <c r="FVK95" s="167"/>
      <c r="FVL95" s="168"/>
      <c r="FVM95" s="167"/>
      <c r="FVN95" s="168"/>
      <c r="FVO95" s="167"/>
      <c r="FVP95" s="168"/>
      <c r="FVQ95" s="167"/>
      <c r="FVR95" s="168"/>
      <c r="FVS95" s="167"/>
      <c r="FVT95" s="168"/>
      <c r="FVU95" s="167"/>
      <c r="FVV95" s="168"/>
      <c r="FVW95" s="167"/>
      <c r="FVX95" s="168"/>
      <c r="FVY95" s="167"/>
      <c r="FVZ95" s="168"/>
      <c r="FWA95" s="167"/>
      <c r="FWB95" s="168"/>
      <c r="FWC95" s="167"/>
      <c r="FWD95" s="168"/>
      <c r="FWE95" s="167"/>
      <c r="FWF95" s="168"/>
      <c r="FWG95" s="167"/>
      <c r="FWH95" s="168"/>
      <c r="FWI95" s="167"/>
      <c r="FWJ95" s="168"/>
      <c r="FWK95" s="167"/>
      <c r="FWL95" s="168"/>
      <c r="FWM95" s="167"/>
      <c r="FWN95" s="168"/>
      <c r="FWO95" s="167"/>
      <c r="FWP95" s="168"/>
      <c r="FWQ95" s="167"/>
      <c r="FWR95" s="168"/>
      <c r="FWS95" s="167"/>
      <c r="FWT95" s="168"/>
      <c r="FWU95" s="167"/>
      <c r="FWV95" s="168"/>
      <c r="FWW95" s="167"/>
      <c r="FWX95" s="168"/>
      <c r="FWY95" s="167"/>
      <c r="FWZ95" s="168"/>
      <c r="FXA95" s="167"/>
      <c r="FXB95" s="168"/>
      <c r="FXC95" s="167"/>
      <c r="FXD95" s="168"/>
      <c r="FXE95" s="167"/>
      <c r="FXF95" s="168"/>
      <c r="FXG95" s="167"/>
      <c r="FXH95" s="168"/>
      <c r="FXI95" s="167"/>
      <c r="FXJ95" s="168"/>
      <c r="FXK95" s="167"/>
      <c r="FXL95" s="168"/>
      <c r="FXM95" s="167"/>
      <c r="FXN95" s="168"/>
      <c r="FXO95" s="167"/>
      <c r="FXP95" s="168"/>
      <c r="FXQ95" s="167"/>
      <c r="FXR95" s="168"/>
      <c r="FXS95" s="167"/>
      <c r="FXT95" s="168"/>
      <c r="FXU95" s="167"/>
      <c r="FXV95" s="168"/>
      <c r="FXW95" s="167"/>
      <c r="FXX95" s="168"/>
      <c r="FXY95" s="167"/>
      <c r="FXZ95" s="168"/>
      <c r="FYA95" s="167"/>
      <c r="FYB95" s="168"/>
      <c r="FYC95" s="167"/>
      <c r="FYD95" s="168"/>
      <c r="FYE95" s="167"/>
      <c r="FYF95" s="168"/>
      <c r="FYG95" s="167"/>
      <c r="FYH95" s="168"/>
      <c r="FYI95" s="167"/>
      <c r="FYJ95" s="168"/>
      <c r="FYK95" s="167"/>
      <c r="FYL95" s="168"/>
      <c r="FYM95" s="167"/>
      <c r="FYN95" s="168"/>
      <c r="FYO95" s="167"/>
      <c r="FYP95" s="168"/>
      <c r="FYQ95" s="167"/>
      <c r="FYR95" s="168"/>
      <c r="FYS95" s="167"/>
      <c r="FYT95" s="168"/>
      <c r="FYU95" s="167"/>
      <c r="FYV95" s="168"/>
      <c r="FYW95" s="167"/>
      <c r="FYX95" s="168"/>
      <c r="FYY95" s="167"/>
      <c r="FYZ95" s="168"/>
      <c r="FZA95" s="167"/>
      <c r="FZB95" s="168"/>
      <c r="FZC95" s="167"/>
      <c r="FZD95" s="168"/>
      <c r="FZE95" s="167"/>
      <c r="FZF95" s="168"/>
      <c r="FZG95" s="167"/>
      <c r="FZH95" s="168"/>
      <c r="FZI95" s="167"/>
      <c r="FZJ95" s="168"/>
      <c r="FZK95" s="167"/>
      <c r="FZL95" s="168"/>
      <c r="FZM95" s="167"/>
      <c r="FZN95" s="168"/>
      <c r="FZO95" s="167"/>
      <c r="FZP95" s="168"/>
      <c r="FZQ95" s="167"/>
      <c r="FZR95" s="168"/>
      <c r="FZS95" s="167"/>
      <c r="FZT95" s="168"/>
      <c r="FZU95" s="167"/>
      <c r="FZV95" s="168"/>
      <c r="FZW95" s="167"/>
      <c r="FZX95" s="168"/>
      <c r="FZY95" s="167"/>
      <c r="FZZ95" s="168"/>
      <c r="GAA95" s="167"/>
      <c r="GAB95" s="168"/>
      <c r="GAC95" s="167"/>
      <c r="GAD95" s="168"/>
      <c r="GAE95" s="167"/>
      <c r="GAF95" s="168"/>
      <c r="GAG95" s="167"/>
      <c r="GAH95" s="168"/>
      <c r="GAI95" s="167"/>
      <c r="GAJ95" s="168"/>
      <c r="GAK95" s="167"/>
      <c r="GAL95" s="168"/>
      <c r="GAM95" s="167"/>
      <c r="GAN95" s="168"/>
      <c r="GAO95" s="167"/>
      <c r="GAP95" s="168"/>
      <c r="GAQ95" s="167"/>
      <c r="GAR95" s="168"/>
      <c r="GAS95" s="167"/>
      <c r="GAT95" s="168"/>
      <c r="GAU95" s="167"/>
      <c r="GAV95" s="168"/>
      <c r="GAW95" s="167"/>
      <c r="GAX95" s="168"/>
      <c r="GAY95" s="167"/>
      <c r="GAZ95" s="168"/>
      <c r="GBA95" s="167"/>
      <c r="GBB95" s="168"/>
      <c r="GBC95" s="167"/>
      <c r="GBD95" s="168"/>
      <c r="GBE95" s="167"/>
      <c r="GBF95" s="168"/>
      <c r="GBG95" s="167"/>
      <c r="GBH95" s="168"/>
      <c r="GBI95" s="167"/>
      <c r="GBJ95" s="168"/>
      <c r="GBK95" s="167"/>
      <c r="GBL95" s="168"/>
      <c r="GBM95" s="167"/>
      <c r="GBN95" s="168"/>
      <c r="GBO95" s="167"/>
      <c r="GBP95" s="168"/>
      <c r="GBQ95" s="167"/>
      <c r="GBR95" s="168"/>
      <c r="GBS95" s="167"/>
      <c r="GBT95" s="168"/>
      <c r="GBU95" s="167"/>
      <c r="GBV95" s="168"/>
      <c r="GBW95" s="167"/>
      <c r="GBX95" s="168"/>
      <c r="GBY95" s="167"/>
      <c r="GBZ95" s="168"/>
      <c r="GCA95" s="167"/>
      <c r="GCB95" s="168"/>
      <c r="GCC95" s="167"/>
      <c r="GCD95" s="168"/>
      <c r="GCE95" s="167"/>
      <c r="GCF95" s="168"/>
      <c r="GCG95" s="167"/>
      <c r="GCH95" s="168"/>
      <c r="GCI95" s="167"/>
      <c r="GCJ95" s="168"/>
      <c r="GCK95" s="167"/>
      <c r="GCL95" s="168"/>
      <c r="GCM95" s="167"/>
      <c r="GCN95" s="168"/>
      <c r="GCO95" s="167"/>
      <c r="GCP95" s="168"/>
      <c r="GCQ95" s="167"/>
      <c r="GCR95" s="168"/>
      <c r="GCS95" s="167"/>
      <c r="GCT95" s="168"/>
      <c r="GCU95" s="167"/>
      <c r="GCV95" s="168"/>
      <c r="GCW95" s="167"/>
      <c r="GCX95" s="168"/>
      <c r="GCY95" s="167"/>
      <c r="GCZ95" s="168"/>
      <c r="GDA95" s="167"/>
      <c r="GDB95" s="168"/>
      <c r="GDC95" s="167"/>
      <c r="GDD95" s="168"/>
      <c r="GDE95" s="167"/>
      <c r="GDF95" s="168"/>
      <c r="GDG95" s="167"/>
      <c r="GDH95" s="168"/>
      <c r="GDI95" s="167"/>
      <c r="GDJ95" s="168"/>
      <c r="GDK95" s="167"/>
      <c r="GDL95" s="168"/>
      <c r="GDM95" s="167"/>
      <c r="GDN95" s="168"/>
      <c r="GDO95" s="167"/>
      <c r="GDP95" s="168"/>
      <c r="GDQ95" s="167"/>
      <c r="GDR95" s="168"/>
      <c r="GDS95" s="167"/>
      <c r="GDT95" s="168"/>
      <c r="GDU95" s="167"/>
      <c r="GDV95" s="168"/>
      <c r="GDW95" s="167"/>
      <c r="GDX95" s="168"/>
      <c r="GDY95" s="167"/>
      <c r="GDZ95" s="168"/>
      <c r="GEA95" s="167"/>
      <c r="GEB95" s="168"/>
      <c r="GEC95" s="167"/>
      <c r="GED95" s="168"/>
      <c r="GEE95" s="167"/>
      <c r="GEF95" s="168"/>
      <c r="GEG95" s="167"/>
      <c r="GEH95" s="168"/>
      <c r="GEI95" s="167"/>
      <c r="GEJ95" s="168"/>
      <c r="GEK95" s="167"/>
      <c r="GEL95" s="168"/>
      <c r="GEM95" s="167"/>
      <c r="GEN95" s="168"/>
      <c r="GEO95" s="167"/>
      <c r="GEP95" s="168"/>
      <c r="GEQ95" s="167"/>
      <c r="GER95" s="168"/>
      <c r="GES95" s="167"/>
      <c r="GET95" s="168"/>
      <c r="GEU95" s="167"/>
      <c r="GEV95" s="168"/>
      <c r="GEW95" s="167"/>
      <c r="GEX95" s="168"/>
      <c r="GEY95" s="167"/>
      <c r="GEZ95" s="168"/>
      <c r="GFA95" s="167"/>
      <c r="GFB95" s="168"/>
      <c r="GFC95" s="167"/>
      <c r="GFD95" s="168"/>
      <c r="GFE95" s="167"/>
      <c r="GFF95" s="168"/>
      <c r="GFG95" s="167"/>
      <c r="GFH95" s="168"/>
      <c r="GFI95" s="167"/>
      <c r="GFJ95" s="168"/>
      <c r="GFK95" s="167"/>
      <c r="GFL95" s="168"/>
      <c r="GFM95" s="167"/>
      <c r="GFN95" s="168"/>
      <c r="GFO95" s="167"/>
      <c r="GFP95" s="168"/>
      <c r="GFQ95" s="167"/>
      <c r="GFR95" s="168"/>
      <c r="GFS95" s="167"/>
      <c r="GFT95" s="168"/>
      <c r="GFU95" s="167"/>
      <c r="GFV95" s="168"/>
      <c r="GFW95" s="167"/>
      <c r="GFX95" s="168"/>
      <c r="GFY95" s="167"/>
      <c r="GFZ95" s="168"/>
      <c r="GGA95" s="167"/>
      <c r="GGB95" s="168"/>
      <c r="GGC95" s="167"/>
      <c r="GGD95" s="168"/>
      <c r="GGE95" s="167"/>
      <c r="GGF95" s="168"/>
      <c r="GGG95" s="167"/>
      <c r="GGH95" s="168"/>
      <c r="GGI95" s="167"/>
      <c r="GGJ95" s="168"/>
      <c r="GGK95" s="167"/>
      <c r="GGL95" s="168"/>
      <c r="GGM95" s="167"/>
      <c r="GGN95" s="168"/>
      <c r="GGO95" s="167"/>
      <c r="GGP95" s="168"/>
      <c r="GGQ95" s="167"/>
      <c r="GGR95" s="168"/>
      <c r="GGS95" s="167"/>
      <c r="GGT95" s="168"/>
      <c r="GGU95" s="167"/>
      <c r="GGV95" s="168"/>
      <c r="GGW95" s="167"/>
      <c r="GGX95" s="168"/>
      <c r="GGY95" s="167"/>
      <c r="GGZ95" s="168"/>
      <c r="GHA95" s="167"/>
      <c r="GHB95" s="168"/>
      <c r="GHC95" s="167"/>
      <c r="GHD95" s="168"/>
      <c r="GHE95" s="167"/>
      <c r="GHF95" s="168"/>
      <c r="GHG95" s="167"/>
      <c r="GHH95" s="168"/>
      <c r="GHI95" s="167"/>
      <c r="GHJ95" s="168"/>
      <c r="GHK95" s="167"/>
      <c r="GHL95" s="168"/>
      <c r="GHM95" s="167"/>
      <c r="GHN95" s="168"/>
      <c r="GHO95" s="167"/>
      <c r="GHP95" s="168"/>
      <c r="GHQ95" s="167"/>
      <c r="GHR95" s="168"/>
      <c r="GHS95" s="167"/>
      <c r="GHT95" s="168"/>
      <c r="GHU95" s="167"/>
      <c r="GHV95" s="168"/>
      <c r="GHW95" s="167"/>
      <c r="GHX95" s="168"/>
      <c r="GHY95" s="167"/>
      <c r="GHZ95" s="168"/>
      <c r="GIA95" s="167"/>
      <c r="GIB95" s="168"/>
      <c r="GIC95" s="167"/>
      <c r="GID95" s="168"/>
      <c r="GIE95" s="167"/>
      <c r="GIF95" s="168"/>
      <c r="GIG95" s="167"/>
      <c r="GIH95" s="168"/>
      <c r="GII95" s="167"/>
      <c r="GIJ95" s="168"/>
      <c r="GIK95" s="167"/>
      <c r="GIL95" s="168"/>
      <c r="GIM95" s="167"/>
      <c r="GIN95" s="168"/>
      <c r="GIO95" s="167"/>
      <c r="GIP95" s="168"/>
      <c r="GIQ95" s="167"/>
      <c r="GIR95" s="168"/>
      <c r="GIS95" s="167"/>
      <c r="GIT95" s="168"/>
      <c r="GIU95" s="167"/>
      <c r="GIV95" s="168"/>
      <c r="GIW95" s="167"/>
      <c r="GIX95" s="168"/>
      <c r="GIY95" s="167"/>
      <c r="GIZ95" s="168"/>
      <c r="GJA95" s="167"/>
      <c r="GJB95" s="168"/>
      <c r="GJC95" s="167"/>
      <c r="GJD95" s="168"/>
      <c r="GJE95" s="167"/>
      <c r="GJF95" s="168"/>
      <c r="GJG95" s="167"/>
      <c r="GJH95" s="168"/>
      <c r="GJI95" s="167"/>
      <c r="GJJ95" s="168"/>
      <c r="GJK95" s="167"/>
      <c r="GJL95" s="168"/>
      <c r="GJM95" s="167"/>
      <c r="GJN95" s="168"/>
      <c r="GJO95" s="167"/>
      <c r="GJP95" s="168"/>
      <c r="GJQ95" s="167"/>
      <c r="GJR95" s="168"/>
      <c r="GJS95" s="167"/>
      <c r="GJT95" s="168"/>
      <c r="GJU95" s="167"/>
      <c r="GJV95" s="168"/>
      <c r="GJW95" s="167"/>
      <c r="GJX95" s="168"/>
      <c r="GJY95" s="167"/>
      <c r="GJZ95" s="168"/>
      <c r="GKA95" s="167"/>
      <c r="GKB95" s="168"/>
      <c r="GKC95" s="167"/>
      <c r="GKD95" s="168"/>
      <c r="GKE95" s="167"/>
      <c r="GKF95" s="168"/>
      <c r="GKG95" s="167"/>
      <c r="GKH95" s="168"/>
      <c r="GKI95" s="167"/>
      <c r="GKJ95" s="168"/>
      <c r="GKK95" s="167"/>
      <c r="GKL95" s="168"/>
      <c r="GKM95" s="167"/>
      <c r="GKN95" s="168"/>
      <c r="GKO95" s="167"/>
      <c r="GKP95" s="168"/>
      <c r="GKQ95" s="167"/>
      <c r="GKR95" s="168"/>
      <c r="GKS95" s="167"/>
      <c r="GKT95" s="168"/>
      <c r="GKU95" s="167"/>
      <c r="GKV95" s="168"/>
      <c r="GKW95" s="167"/>
      <c r="GKX95" s="168"/>
      <c r="GKY95" s="167"/>
      <c r="GKZ95" s="168"/>
      <c r="GLA95" s="167"/>
      <c r="GLB95" s="168"/>
      <c r="GLC95" s="167"/>
      <c r="GLD95" s="168"/>
      <c r="GLE95" s="167"/>
      <c r="GLF95" s="168"/>
      <c r="GLG95" s="167"/>
      <c r="GLH95" s="168"/>
      <c r="GLI95" s="167"/>
      <c r="GLJ95" s="168"/>
      <c r="GLK95" s="167"/>
      <c r="GLL95" s="168"/>
      <c r="GLM95" s="167"/>
      <c r="GLN95" s="168"/>
      <c r="GLO95" s="167"/>
      <c r="GLP95" s="168"/>
      <c r="GLQ95" s="167"/>
      <c r="GLR95" s="168"/>
      <c r="GLS95" s="167"/>
      <c r="GLT95" s="168"/>
      <c r="GLU95" s="167"/>
      <c r="GLV95" s="168"/>
      <c r="GLW95" s="167"/>
      <c r="GLX95" s="168"/>
      <c r="GLY95" s="167"/>
      <c r="GLZ95" s="168"/>
      <c r="GMA95" s="167"/>
      <c r="GMB95" s="168"/>
      <c r="GMC95" s="167"/>
      <c r="GMD95" s="168"/>
      <c r="GME95" s="167"/>
      <c r="GMF95" s="168"/>
      <c r="GMG95" s="167"/>
      <c r="GMH95" s="168"/>
      <c r="GMI95" s="167"/>
      <c r="GMJ95" s="168"/>
      <c r="GMK95" s="167"/>
      <c r="GML95" s="168"/>
      <c r="GMM95" s="167"/>
      <c r="GMN95" s="168"/>
      <c r="GMO95" s="167"/>
      <c r="GMP95" s="168"/>
      <c r="GMQ95" s="167"/>
      <c r="GMR95" s="168"/>
      <c r="GMS95" s="167"/>
      <c r="GMT95" s="168"/>
      <c r="GMU95" s="167"/>
      <c r="GMV95" s="168"/>
      <c r="GMW95" s="167"/>
      <c r="GMX95" s="168"/>
      <c r="GMY95" s="167"/>
      <c r="GMZ95" s="168"/>
      <c r="GNA95" s="167"/>
      <c r="GNB95" s="168"/>
      <c r="GNC95" s="167"/>
      <c r="GND95" s="168"/>
      <c r="GNE95" s="167"/>
      <c r="GNF95" s="168"/>
      <c r="GNG95" s="167"/>
      <c r="GNH95" s="168"/>
      <c r="GNI95" s="167"/>
      <c r="GNJ95" s="168"/>
      <c r="GNK95" s="167"/>
      <c r="GNL95" s="168"/>
      <c r="GNM95" s="167"/>
      <c r="GNN95" s="168"/>
      <c r="GNO95" s="167"/>
      <c r="GNP95" s="168"/>
      <c r="GNQ95" s="167"/>
      <c r="GNR95" s="168"/>
      <c r="GNS95" s="167"/>
      <c r="GNT95" s="168"/>
      <c r="GNU95" s="167"/>
      <c r="GNV95" s="168"/>
      <c r="GNW95" s="167"/>
      <c r="GNX95" s="168"/>
      <c r="GNY95" s="167"/>
      <c r="GNZ95" s="168"/>
      <c r="GOA95" s="167"/>
      <c r="GOB95" s="168"/>
      <c r="GOC95" s="167"/>
      <c r="GOD95" s="168"/>
      <c r="GOE95" s="167"/>
      <c r="GOF95" s="168"/>
      <c r="GOG95" s="167"/>
      <c r="GOH95" s="168"/>
      <c r="GOI95" s="167"/>
      <c r="GOJ95" s="168"/>
      <c r="GOK95" s="167"/>
      <c r="GOL95" s="168"/>
      <c r="GOM95" s="167"/>
      <c r="GON95" s="168"/>
      <c r="GOO95" s="167"/>
      <c r="GOP95" s="168"/>
      <c r="GOQ95" s="167"/>
      <c r="GOR95" s="168"/>
      <c r="GOS95" s="167"/>
      <c r="GOT95" s="168"/>
      <c r="GOU95" s="167"/>
      <c r="GOV95" s="168"/>
      <c r="GOW95" s="167"/>
      <c r="GOX95" s="168"/>
      <c r="GOY95" s="167"/>
      <c r="GOZ95" s="168"/>
      <c r="GPA95" s="167"/>
      <c r="GPB95" s="168"/>
      <c r="GPC95" s="167"/>
      <c r="GPD95" s="168"/>
      <c r="GPE95" s="167"/>
      <c r="GPF95" s="168"/>
      <c r="GPG95" s="167"/>
      <c r="GPH95" s="168"/>
      <c r="GPI95" s="167"/>
      <c r="GPJ95" s="168"/>
      <c r="GPK95" s="167"/>
      <c r="GPL95" s="168"/>
      <c r="GPM95" s="167"/>
      <c r="GPN95" s="168"/>
      <c r="GPO95" s="167"/>
      <c r="GPP95" s="168"/>
      <c r="GPQ95" s="167"/>
      <c r="GPR95" s="168"/>
      <c r="GPS95" s="167"/>
      <c r="GPT95" s="168"/>
      <c r="GPU95" s="167"/>
      <c r="GPV95" s="168"/>
      <c r="GPW95" s="167"/>
      <c r="GPX95" s="168"/>
      <c r="GPY95" s="167"/>
      <c r="GPZ95" s="168"/>
      <c r="GQA95" s="167"/>
      <c r="GQB95" s="168"/>
      <c r="GQC95" s="167"/>
      <c r="GQD95" s="168"/>
      <c r="GQE95" s="167"/>
      <c r="GQF95" s="168"/>
      <c r="GQG95" s="167"/>
      <c r="GQH95" s="168"/>
      <c r="GQI95" s="167"/>
      <c r="GQJ95" s="168"/>
      <c r="GQK95" s="167"/>
      <c r="GQL95" s="168"/>
      <c r="GQM95" s="167"/>
      <c r="GQN95" s="168"/>
      <c r="GQO95" s="167"/>
      <c r="GQP95" s="168"/>
      <c r="GQQ95" s="167"/>
      <c r="GQR95" s="168"/>
      <c r="GQS95" s="167"/>
      <c r="GQT95" s="168"/>
      <c r="GQU95" s="167"/>
      <c r="GQV95" s="168"/>
      <c r="GQW95" s="167"/>
      <c r="GQX95" s="168"/>
      <c r="GQY95" s="167"/>
      <c r="GQZ95" s="168"/>
      <c r="GRA95" s="167"/>
      <c r="GRB95" s="168"/>
      <c r="GRC95" s="167"/>
      <c r="GRD95" s="168"/>
      <c r="GRE95" s="167"/>
      <c r="GRF95" s="168"/>
      <c r="GRG95" s="167"/>
      <c r="GRH95" s="168"/>
      <c r="GRI95" s="167"/>
      <c r="GRJ95" s="168"/>
      <c r="GRK95" s="167"/>
      <c r="GRL95" s="168"/>
      <c r="GRM95" s="167"/>
      <c r="GRN95" s="168"/>
      <c r="GRO95" s="167"/>
      <c r="GRP95" s="168"/>
      <c r="GRQ95" s="167"/>
      <c r="GRR95" s="168"/>
      <c r="GRS95" s="167"/>
      <c r="GRT95" s="168"/>
      <c r="GRU95" s="167"/>
      <c r="GRV95" s="168"/>
      <c r="GRW95" s="167"/>
      <c r="GRX95" s="168"/>
      <c r="GRY95" s="167"/>
      <c r="GRZ95" s="168"/>
      <c r="GSA95" s="167"/>
      <c r="GSB95" s="168"/>
      <c r="GSC95" s="167"/>
      <c r="GSD95" s="168"/>
      <c r="GSE95" s="167"/>
      <c r="GSF95" s="168"/>
      <c r="GSG95" s="167"/>
      <c r="GSH95" s="168"/>
      <c r="GSI95" s="167"/>
      <c r="GSJ95" s="168"/>
      <c r="GSK95" s="167"/>
      <c r="GSL95" s="168"/>
      <c r="GSM95" s="167"/>
      <c r="GSN95" s="168"/>
      <c r="GSO95" s="167"/>
      <c r="GSP95" s="168"/>
      <c r="GSQ95" s="167"/>
      <c r="GSR95" s="168"/>
      <c r="GSS95" s="167"/>
      <c r="GST95" s="168"/>
      <c r="GSU95" s="167"/>
      <c r="GSV95" s="168"/>
      <c r="GSW95" s="167"/>
      <c r="GSX95" s="168"/>
      <c r="GSY95" s="167"/>
      <c r="GSZ95" s="168"/>
      <c r="GTA95" s="167"/>
      <c r="GTB95" s="168"/>
      <c r="GTC95" s="167"/>
      <c r="GTD95" s="168"/>
      <c r="GTE95" s="167"/>
      <c r="GTF95" s="168"/>
      <c r="GTG95" s="167"/>
      <c r="GTH95" s="168"/>
      <c r="GTI95" s="167"/>
      <c r="GTJ95" s="168"/>
      <c r="GTK95" s="167"/>
      <c r="GTL95" s="168"/>
      <c r="GTM95" s="167"/>
      <c r="GTN95" s="168"/>
      <c r="GTO95" s="167"/>
      <c r="GTP95" s="168"/>
      <c r="GTQ95" s="167"/>
      <c r="GTR95" s="168"/>
      <c r="GTS95" s="167"/>
      <c r="GTT95" s="168"/>
      <c r="GTU95" s="167"/>
      <c r="GTV95" s="168"/>
      <c r="GTW95" s="167"/>
      <c r="GTX95" s="168"/>
      <c r="GTY95" s="167"/>
      <c r="GTZ95" s="168"/>
      <c r="GUA95" s="167"/>
      <c r="GUB95" s="168"/>
      <c r="GUC95" s="167"/>
      <c r="GUD95" s="168"/>
      <c r="GUE95" s="167"/>
      <c r="GUF95" s="168"/>
      <c r="GUG95" s="167"/>
      <c r="GUH95" s="168"/>
      <c r="GUI95" s="167"/>
      <c r="GUJ95" s="168"/>
      <c r="GUK95" s="167"/>
      <c r="GUL95" s="168"/>
      <c r="GUM95" s="167"/>
      <c r="GUN95" s="168"/>
      <c r="GUO95" s="167"/>
      <c r="GUP95" s="168"/>
      <c r="GUQ95" s="167"/>
      <c r="GUR95" s="168"/>
      <c r="GUS95" s="167"/>
      <c r="GUT95" s="168"/>
      <c r="GUU95" s="167"/>
      <c r="GUV95" s="168"/>
      <c r="GUW95" s="167"/>
      <c r="GUX95" s="168"/>
      <c r="GUY95" s="167"/>
      <c r="GUZ95" s="168"/>
      <c r="GVA95" s="167"/>
      <c r="GVB95" s="168"/>
      <c r="GVC95" s="167"/>
      <c r="GVD95" s="168"/>
      <c r="GVE95" s="167"/>
      <c r="GVF95" s="168"/>
      <c r="GVG95" s="167"/>
      <c r="GVH95" s="168"/>
      <c r="GVI95" s="167"/>
      <c r="GVJ95" s="168"/>
      <c r="GVK95" s="167"/>
      <c r="GVL95" s="168"/>
      <c r="GVM95" s="167"/>
      <c r="GVN95" s="168"/>
      <c r="GVO95" s="167"/>
      <c r="GVP95" s="168"/>
      <c r="GVQ95" s="167"/>
      <c r="GVR95" s="168"/>
      <c r="GVS95" s="167"/>
      <c r="GVT95" s="168"/>
      <c r="GVU95" s="167"/>
      <c r="GVV95" s="168"/>
      <c r="GVW95" s="167"/>
      <c r="GVX95" s="168"/>
      <c r="GVY95" s="167"/>
      <c r="GVZ95" s="168"/>
      <c r="GWA95" s="167"/>
      <c r="GWB95" s="168"/>
      <c r="GWC95" s="167"/>
      <c r="GWD95" s="168"/>
      <c r="GWE95" s="167"/>
      <c r="GWF95" s="168"/>
      <c r="GWG95" s="167"/>
      <c r="GWH95" s="168"/>
      <c r="GWI95" s="167"/>
      <c r="GWJ95" s="168"/>
      <c r="GWK95" s="167"/>
      <c r="GWL95" s="168"/>
      <c r="GWM95" s="167"/>
      <c r="GWN95" s="168"/>
      <c r="GWO95" s="167"/>
      <c r="GWP95" s="168"/>
      <c r="GWQ95" s="167"/>
      <c r="GWR95" s="168"/>
      <c r="GWS95" s="167"/>
      <c r="GWT95" s="168"/>
      <c r="GWU95" s="167"/>
      <c r="GWV95" s="168"/>
      <c r="GWW95" s="167"/>
      <c r="GWX95" s="168"/>
      <c r="GWY95" s="167"/>
      <c r="GWZ95" s="168"/>
      <c r="GXA95" s="167"/>
      <c r="GXB95" s="168"/>
      <c r="GXC95" s="167"/>
      <c r="GXD95" s="168"/>
      <c r="GXE95" s="167"/>
      <c r="GXF95" s="168"/>
      <c r="GXG95" s="167"/>
      <c r="GXH95" s="168"/>
      <c r="GXI95" s="167"/>
      <c r="GXJ95" s="168"/>
      <c r="GXK95" s="167"/>
      <c r="GXL95" s="168"/>
      <c r="GXM95" s="167"/>
      <c r="GXN95" s="168"/>
      <c r="GXO95" s="167"/>
      <c r="GXP95" s="168"/>
      <c r="GXQ95" s="167"/>
      <c r="GXR95" s="168"/>
      <c r="GXS95" s="167"/>
      <c r="GXT95" s="168"/>
      <c r="GXU95" s="167"/>
      <c r="GXV95" s="168"/>
      <c r="GXW95" s="167"/>
      <c r="GXX95" s="168"/>
      <c r="GXY95" s="167"/>
      <c r="GXZ95" s="168"/>
      <c r="GYA95" s="167"/>
      <c r="GYB95" s="168"/>
      <c r="GYC95" s="167"/>
      <c r="GYD95" s="168"/>
      <c r="GYE95" s="167"/>
      <c r="GYF95" s="168"/>
      <c r="GYG95" s="167"/>
      <c r="GYH95" s="168"/>
      <c r="GYI95" s="167"/>
      <c r="GYJ95" s="168"/>
      <c r="GYK95" s="167"/>
      <c r="GYL95" s="168"/>
      <c r="GYM95" s="167"/>
      <c r="GYN95" s="168"/>
      <c r="GYO95" s="167"/>
      <c r="GYP95" s="168"/>
      <c r="GYQ95" s="167"/>
      <c r="GYR95" s="168"/>
      <c r="GYS95" s="167"/>
      <c r="GYT95" s="168"/>
      <c r="GYU95" s="167"/>
      <c r="GYV95" s="168"/>
      <c r="GYW95" s="167"/>
      <c r="GYX95" s="168"/>
      <c r="GYY95" s="167"/>
      <c r="GYZ95" s="168"/>
      <c r="GZA95" s="167"/>
      <c r="GZB95" s="168"/>
      <c r="GZC95" s="167"/>
      <c r="GZD95" s="168"/>
      <c r="GZE95" s="167"/>
      <c r="GZF95" s="168"/>
      <c r="GZG95" s="167"/>
      <c r="GZH95" s="168"/>
      <c r="GZI95" s="167"/>
      <c r="GZJ95" s="168"/>
      <c r="GZK95" s="167"/>
      <c r="GZL95" s="168"/>
      <c r="GZM95" s="167"/>
      <c r="GZN95" s="168"/>
      <c r="GZO95" s="167"/>
      <c r="GZP95" s="168"/>
      <c r="GZQ95" s="167"/>
      <c r="GZR95" s="168"/>
      <c r="GZS95" s="167"/>
      <c r="GZT95" s="168"/>
      <c r="GZU95" s="167"/>
      <c r="GZV95" s="168"/>
      <c r="GZW95" s="167"/>
      <c r="GZX95" s="168"/>
      <c r="GZY95" s="167"/>
      <c r="GZZ95" s="168"/>
      <c r="HAA95" s="167"/>
      <c r="HAB95" s="168"/>
      <c r="HAC95" s="167"/>
      <c r="HAD95" s="168"/>
      <c r="HAE95" s="167"/>
      <c r="HAF95" s="168"/>
      <c r="HAG95" s="167"/>
      <c r="HAH95" s="168"/>
      <c r="HAI95" s="167"/>
      <c r="HAJ95" s="168"/>
      <c r="HAK95" s="167"/>
      <c r="HAL95" s="168"/>
      <c r="HAM95" s="167"/>
      <c r="HAN95" s="168"/>
      <c r="HAO95" s="167"/>
      <c r="HAP95" s="168"/>
      <c r="HAQ95" s="167"/>
      <c r="HAR95" s="168"/>
      <c r="HAS95" s="167"/>
      <c r="HAT95" s="168"/>
      <c r="HAU95" s="167"/>
      <c r="HAV95" s="168"/>
      <c r="HAW95" s="167"/>
      <c r="HAX95" s="168"/>
      <c r="HAY95" s="167"/>
      <c r="HAZ95" s="168"/>
      <c r="HBA95" s="167"/>
      <c r="HBB95" s="168"/>
      <c r="HBC95" s="167"/>
      <c r="HBD95" s="168"/>
      <c r="HBE95" s="167"/>
      <c r="HBF95" s="168"/>
      <c r="HBG95" s="167"/>
      <c r="HBH95" s="168"/>
      <c r="HBI95" s="167"/>
      <c r="HBJ95" s="168"/>
      <c r="HBK95" s="167"/>
      <c r="HBL95" s="168"/>
      <c r="HBM95" s="167"/>
      <c r="HBN95" s="168"/>
      <c r="HBO95" s="167"/>
      <c r="HBP95" s="168"/>
      <c r="HBQ95" s="167"/>
      <c r="HBR95" s="168"/>
      <c r="HBS95" s="167"/>
      <c r="HBT95" s="168"/>
      <c r="HBU95" s="167"/>
      <c r="HBV95" s="168"/>
      <c r="HBW95" s="167"/>
      <c r="HBX95" s="168"/>
      <c r="HBY95" s="167"/>
      <c r="HBZ95" s="168"/>
      <c r="HCA95" s="167"/>
      <c r="HCB95" s="168"/>
      <c r="HCC95" s="167"/>
      <c r="HCD95" s="168"/>
      <c r="HCE95" s="167"/>
      <c r="HCF95" s="168"/>
      <c r="HCG95" s="167"/>
      <c r="HCH95" s="168"/>
      <c r="HCI95" s="167"/>
      <c r="HCJ95" s="168"/>
      <c r="HCK95" s="167"/>
      <c r="HCL95" s="168"/>
      <c r="HCM95" s="167"/>
      <c r="HCN95" s="168"/>
      <c r="HCO95" s="167"/>
      <c r="HCP95" s="168"/>
      <c r="HCQ95" s="167"/>
      <c r="HCR95" s="168"/>
      <c r="HCS95" s="167"/>
      <c r="HCT95" s="168"/>
      <c r="HCU95" s="167"/>
      <c r="HCV95" s="168"/>
      <c r="HCW95" s="167"/>
      <c r="HCX95" s="168"/>
      <c r="HCY95" s="167"/>
      <c r="HCZ95" s="168"/>
      <c r="HDA95" s="167"/>
      <c r="HDB95" s="168"/>
      <c r="HDC95" s="167"/>
      <c r="HDD95" s="168"/>
      <c r="HDE95" s="167"/>
      <c r="HDF95" s="168"/>
      <c r="HDG95" s="167"/>
      <c r="HDH95" s="168"/>
      <c r="HDI95" s="167"/>
      <c r="HDJ95" s="168"/>
      <c r="HDK95" s="167"/>
      <c r="HDL95" s="168"/>
      <c r="HDM95" s="167"/>
      <c r="HDN95" s="168"/>
      <c r="HDO95" s="167"/>
      <c r="HDP95" s="168"/>
      <c r="HDQ95" s="167"/>
      <c r="HDR95" s="168"/>
      <c r="HDS95" s="167"/>
      <c r="HDT95" s="168"/>
      <c r="HDU95" s="167"/>
      <c r="HDV95" s="168"/>
      <c r="HDW95" s="167"/>
      <c r="HDX95" s="168"/>
      <c r="HDY95" s="167"/>
      <c r="HDZ95" s="168"/>
      <c r="HEA95" s="167"/>
      <c r="HEB95" s="168"/>
      <c r="HEC95" s="167"/>
      <c r="HED95" s="168"/>
      <c r="HEE95" s="167"/>
      <c r="HEF95" s="168"/>
      <c r="HEG95" s="167"/>
      <c r="HEH95" s="168"/>
      <c r="HEI95" s="167"/>
      <c r="HEJ95" s="168"/>
      <c r="HEK95" s="167"/>
      <c r="HEL95" s="168"/>
      <c r="HEM95" s="167"/>
      <c r="HEN95" s="168"/>
      <c r="HEO95" s="167"/>
      <c r="HEP95" s="168"/>
      <c r="HEQ95" s="167"/>
      <c r="HER95" s="168"/>
      <c r="HES95" s="167"/>
      <c r="HET95" s="168"/>
      <c r="HEU95" s="167"/>
      <c r="HEV95" s="168"/>
      <c r="HEW95" s="167"/>
      <c r="HEX95" s="168"/>
      <c r="HEY95" s="167"/>
      <c r="HEZ95" s="168"/>
      <c r="HFA95" s="167"/>
      <c r="HFB95" s="168"/>
      <c r="HFC95" s="167"/>
      <c r="HFD95" s="168"/>
      <c r="HFE95" s="167"/>
      <c r="HFF95" s="168"/>
      <c r="HFG95" s="167"/>
      <c r="HFH95" s="168"/>
      <c r="HFI95" s="167"/>
      <c r="HFJ95" s="168"/>
      <c r="HFK95" s="167"/>
      <c r="HFL95" s="168"/>
      <c r="HFM95" s="167"/>
      <c r="HFN95" s="168"/>
      <c r="HFO95" s="167"/>
      <c r="HFP95" s="168"/>
      <c r="HFQ95" s="167"/>
      <c r="HFR95" s="168"/>
      <c r="HFS95" s="167"/>
      <c r="HFT95" s="168"/>
      <c r="HFU95" s="167"/>
      <c r="HFV95" s="168"/>
      <c r="HFW95" s="167"/>
      <c r="HFX95" s="168"/>
      <c r="HFY95" s="167"/>
      <c r="HFZ95" s="168"/>
      <c r="HGA95" s="167"/>
      <c r="HGB95" s="168"/>
      <c r="HGC95" s="167"/>
      <c r="HGD95" s="168"/>
      <c r="HGE95" s="167"/>
      <c r="HGF95" s="168"/>
      <c r="HGG95" s="167"/>
      <c r="HGH95" s="168"/>
      <c r="HGI95" s="167"/>
      <c r="HGJ95" s="168"/>
      <c r="HGK95" s="167"/>
      <c r="HGL95" s="168"/>
      <c r="HGM95" s="167"/>
      <c r="HGN95" s="168"/>
      <c r="HGO95" s="167"/>
      <c r="HGP95" s="168"/>
      <c r="HGQ95" s="167"/>
      <c r="HGR95" s="168"/>
      <c r="HGS95" s="167"/>
      <c r="HGT95" s="168"/>
      <c r="HGU95" s="167"/>
      <c r="HGV95" s="168"/>
      <c r="HGW95" s="167"/>
      <c r="HGX95" s="168"/>
      <c r="HGY95" s="167"/>
      <c r="HGZ95" s="168"/>
      <c r="HHA95" s="167"/>
      <c r="HHB95" s="168"/>
      <c r="HHC95" s="167"/>
      <c r="HHD95" s="168"/>
      <c r="HHE95" s="167"/>
      <c r="HHF95" s="168"/>
      <c r="HHG95" s="167"/>
      <c r="HHH95" s="168"/>
      <c r="HHI95" s="167"/>
      <c r="HHJ95" s="168"/>
      <c r="HHK95" s="167"/>
      <c r="HHL95" s="168"/>
      <c r="HHM95" s="167"/>
      <c r="HHN95" s="168"/>
      <c r="HHO95" s="167"/>
      <c r="HHP95" s="168"/>
      <c r="HHQ95" s="167"/>
      <c r="HHR95" s="168"/>
      <c r="HHS95" s="167"/>
      <c r="HHT95" s="168"/>
      <c r="HHU95" s="167"/>
      <c r="HHV95" s="168"/>
      <c r="HHW95" s="167"/>
      <c r="HHX95" s="168"/>
      <c r="HHY95" s="167"/>
      <c r="HHZ95" s="168"/>
      <c r="HIA95" s="167"/>
      <c r="HIB95" s="168"/>
      <c r="HIC95" s="167"/>
      <c r="HID95" s="168"/>
      <c r="HIE95" s="167"/>
      <c r="HIF95" s="168"/>
      <c r="HIG95" s="167"/>
      <c r="HIH95" s="168"/>
      <c r="HII95" s="167"/>
      <c r="HIJ95" s="168"/>
      <c r="HIK95" s="167"/>
      <c r="HIL95" s="168"/>
      <c r="HIM95" s="167"/>
      <c r="HIN95" s="168"/>
      <c r="HIO95" s="167"/>
      <c r="HIP95" s="168"/>
      <c r="HIQ95" s="167"/>
      <c r="HIR95" s="168"/>
      <c r="HIS95" s="167"/>
      <c r="HIT95" s="168"/>
      <c r="HIU95" s="167"/>
      <c r="HIV95" s="168"/>
      <c r="HIW95" s="167"/>
      <c r="HIX95" s="168"/>
      <c r="HIY95" s="167"/>
      <c r="HIZ95" s="168"/>
      <c r="HJA95" s="167"/>
      <c r="HJB95" s="168"/>
      <c r="HJC95" s="167"/>
      <c r="HJD95" s="168"/>
      <c r="HJE95" s="167"/>
      <c r="HJF95" s="168"/>
      <c r="HJG95" s="167"/>
      <c r="HJH95" s="168"/>
      <c r="HJI95" s="167"/>
      <c r="HJJ95" s="168"/>
      <c r="HJK95" s="167"/>
      <c r="HJL95" s="168"/>
      <c r="HJM95" s="167"/>
      <c r="HJN95" s="168"/>
      <c r="HJO95" s="167"/>
      <c r="HJP95" s="168"/>
      <c r="HJQ95" s="167"/>
      <c r="HJR95" s="168"/>
      <c r="HJS95" s="167"/>
      <c r="HJT95" s="168"/>
      <c r="HJU95" s="167"/>
      <c r="HJV95" s="168"/>
      <c r="HJW95" s="167"/>
      <c r="HJX95" s="168"/>
      <c r="HJY95" s="167"/>
      <c r="HJZ95" s="168"/>
      <c r="HKA95" s="167"/>
      <c r="HKB95" s="168"/>
      <c r="HKC95" s="167"/>
      <c r="HKD95" s="168"/>
      <c r="HKE95" s="167"/>
      <c r="HKF95" s="168"/>
      <c r="HKG95" s="167"/>
      <c r="HKH95" s="168"/>
      <c r="HKI95" s="167"/>
      <c r="HKJ95" s="168"/>
      <c r="HKK95" s="167"/>
      <c r="HKL95" s="168"/>
      <c r="HKM95" s="167"/>
      <c r="HKN95" s="168"/>
      <c r="HKO95" s="167"/>
      <c r="HKP95" s="168"/>
      <c r="HKQ95" s="167"/>
      <c r="HKR95" s="168"/>
      <c r="HKS95" s="167"/>
      <c r="HKT95" s="168"/>
      <c r="HKU95" s="167"/>
      <c r="HKV95" s="168"/>
      <c r="HKW95" s="167"/>
      <c r="HKX95" s="168"/>
      <c r="HKY95" s="167"/>
      <c r="HKZ95" s="168"/>
      <c r="HLA95" s="167"/>
      <c r="HLB95" s="168"/>
      <c r="HLC95" s="167"/>
      <c r="HLD95" s="168"/>
      <c r="HLE95" s="167"/>
      <c r="HLF95" s="168"/>
      <c r="HLG95" s="167"/>
      <c r="HLH95" s="168"/>
      <c r="HLI95" s="167"/>
      <c r="HLJ95" s="168"/>
      <c r="HLK95" s="167"/>
      <c r="HLL95" s="168"/>
      <c r="HLM95" s="167"/>
      <c r="HLN95" s="168"/>
      <c r="HLO95" s="167"/>
      <c r="HLP95" s="168"/>
      <c r="HLQ95" s="167"/>
      <c r="HLR95" s="168"/>
      <c r="HLS95" s="167"/>
      <c r="HLT95" s="168"/>
      <c r="HLU95" s="167"/>
      <c r="HLV95" s="168"/>
      <c r="HLW95" s="167"/>
      <c r="HLX95" s="168"/>
      <c r="HLY95" s="167"/>
      <c r="HLZ95" s="168"/>
      <c r="HMA95" s="167"/>
      <c r="HMB95" s="168"/>
      <c r="HMC95" s="167"/>
      <c r="HMD95" s="168"/>
      <c r="HME95" s="167"/>
      <c r="HMF95" s="168"/>
      <c r="HMG95" s="167"/>
      <c r="HMH95" s="168"/>
      <c r="HMI95" s="167"/>
      <c r="HMJ95" s="168"/>
      <c r="HMK95" s="167"/>
      <c r="HML95" s="168"/>
      <c r="HMM95" s="167"/>
      <c r="HMN95" s="168"/>
      <c r="HMO95" s="167"/>
      <c r="HMP95" s="168"/>
      <c r="HMQ95" s="167"/>
      <c r="HMR95" s="168"/>
      <c r="HMS95" s="167"/>
      <c r="HMT95" s="168"/>
      <c r="HMU95" s="167"/>
      <c r="HMV95" s="168"/>
      <c r="HMW95" s="167"/>
      <c r="HMX95" s="168"/>
      <c r="HMY95" s="167"/>
      <c r="HMZ95" s="168"/>
      <c r="HNA95" s="167"/>
      <c r="HNB95" s="168"/>
      <c r="HNC95" s="167"/>
      <c r="HND95" s="168"/>
      <c r="HNE95" s="167"/>
      <c r="HNF95" s="168"/>
      <c r="HNG95" s="167"/>
      <c r="HNH95" s="168"/>
      <c r="HNI95" s="167"/>
      <c r="HNJ95" s="168"/>
      <c r="HNK95" s="167"/>
      <c r="HNL95" s="168"/>
      <c r="HNM95" s="167"/>
      <c r="HNN95" s="168"/>
      <c r="HNO95" s="167"/>
      <c r="HNP95" s="168"/>
      <c r="HNQ95" s="167"/>
      <c r="HNR95" s="168"/>
      <c r="HNS95" s="167"/>
      <c r="HNT95" s="168"/>
      <c r="HNU95" s="167"/>
      <c r="HNV95" s="168"/>
      <c r="HNW95" s="167"/>
      <c r="HNX95" s="168"/>
      <c r="HNY95" s="167"/>
      <c r="HNZ95" s="168"/>
      <c r="HOA95" s="167"/>
      <c r="HOB95" s="168"/>
      <c r="HOC95" s="167"/>
      <c r="HOD95" s="168"/>
      <c r="HOE95" s="167"/>
      <c r="HOF95" s="168"/>
      <c r="HOG95" s="167"/>
      <c r="HOH95" s="168"/>
      <c r="HOI95" s="167"/>
      <c r="HOJ95" s="168"/>
      <c r="HOK95" s="167"/>
      <c r="HOL95" s="168"/>
      <c r="HOM95" s="167"/>
      <c r="HON95" s="168"/>
      <c r="HOO95" s="167"/>
      <c r="HOP95" s="168"/>
      <c r="HOQ95" s="167"/>
      <c r="HOR95" s="168"/>
      <c r="HOS95" s="167"/>
      <c r="HOT95" s="168"/>
      <c r="HOU95" s="167"/>
      <c r="HOV95" s="168"/>
      <c r="HOW95" s="167"/>
      <c r="HOX95" s="168"/>
      <c r="HOY95" s="167"/>
      <c r="HOZ95" s="168"/>
      <c r="HPA95" s="167"/>
      <c r="HPB95" s="168"/>
      <c r="HPC95" s="167"/>
      <c r="HPD95" s="168"/>
      <c r="HPE95" s="167"/>
      <c r="HPF95" s="168"/>
      <c r="HPG95" s="167"/>
      <c r="HPH95" s="168"/>
      <c r="HPI95" s="167"/>
      <c r="HPJ95" s="168"/>
      <c r="HPK95" s="167"/>
      <c r="HPL95" s="168"/>
      <c r="HPM95" s="167"/>
      <c r="HPN95" s="168"/>
      <c r="HPO95" s="167"/>
      <c r="HPP95" s="168"/>
      <c r="HPQ95" s="167"/>
      <c r="HPR95" s="168"/>
      <c r="HPS95" s="167"/>
      <c r="HPT95" s="168"/>
      <c r="HPU95" s="167"/>
      <c r="HPV95" s="168"/>
      <c r="HPW95" s="167"/>
      <c r="HPX95" s="168"/>
      <c r="HPY95" s="167"/>
      <c r="HPZ95" s="168"/>
      <c r="HQA95" s="167"/>
      <c r="HQB95" s="168"/>
      <c r="HQC95" s="167"/>
      <c r="HQD95" s="168"/>
      <c r="HQE95" s="167"/>
      <c r="HQF95" s="168"/>
      <c r="HQG95" s="167"/>
      <c r="HQH95" s="168"/>
      <c r="HQI95" s="167"/>
      <c r="HQJ95" s="168"/>
      <c r="HQK95" s="167"/>
      <c r="HQL95" s="168"/>
      <c r="HQM95" s="167"/>
      <c r="HQN95" s="168"/>
      <c r="HQO95" s="167"/>
      <c r="HQP95" s="168"/>
      <c r="HQQ95" s="167"/>
      <c r="HQR95" s="168"/>
      <c r="HQS95" s="167"/>
      <c r="HQT95" s="168"/>
      <c r="HQU95" s="167"/>
      <c r="HQV95" s="168"/>
      <c r="HQW95" s="167"/>
      <c r="HQX95" s="168"/>
      <c r="HQY95" s="167"/>
      <c r="HQZ95" s="168"/>
      <c r="HRA95" s="167"/>
      <c r="HRB95" s="168"/>
      <c r="HRC95" s="167"/>
      <c r="HRD95" s="168"/>
      <c r="HRE95" s="167"/>
      <c r="HRF95" s="168"/>
      <c r="HRG95" s="167"/>
      <c r="HRH95" s="168"/>
      <c r="HRI95" s="167"/>
      <c r="HRJ95" s="168"/>
      <c r="HRK95" s="167"/>
      <c r="HRL95" s="168"/>
      <c r="HRM95" s="167"/>
      <c r="HRN95" s="168"/>
      <c r="HRO95" s="167"/>
      <c r="HRP95" s="168"/>
      <c r="HRQ95" s="167"/>
      <c r="HRR95" s="168"/>
      <c r="HRS95" s="167"/>
      <c r="HRT95" s="168"/>
      <c r="HRU95" s="167"/>
      <c r="HRV95" s="168"/>
      <c r="HRW95" s="167"/>
      <c r="HRX95" s="168"/>
      <c r="HRY95" s="167"/>
      <c r="HRZ95" s="168"/>
      <c r="HSA95" s="167"/>
      <c r="HSB95" s="168"/>
      <c r="HSC95" s="167"/>
      <c r="HSD95" s="168"/>
      <c r="HSE95" s="167"/>
      <c r="HSF95" s="168"/>
      <c r="HSG95" s="167"/>
      <c r="HSH95" s="168"/>
      <c r="HSI95" s="167"/>
      <c r="HSJ95" s="168"/>
      <c r="HSK95" s="167"/>
      <c r="HSL95" s="168"/>
      <c r="HSM95" s="167"/>
      <c r="HSN95" s="168"/>
      <c r="HSO95" s="167"/>
      <c r="HSP95" s="168"/>
      <c r="HSQ95" s="167"/>
      <c r="HSR95" s="168"/>
      <c r="HSS95" s="167"/>
      <c r="HST95" s="168"/>
      <c r="HSU95" s="167"/>
      <c r="HSV95" s="168"/>
      <c r="HSW95" s="167"/>
      <c r="HSX95" s="168"/>
      <c r="HSY95" s="167"/>
      <c r="HSZ95" s="168"/>
      <c r="HTA95" s="167"/>
      <c r="HTB95" s="168"/>
      <c r="HTC95" s="167"/>
      <c r="HTD95" s="168"/>
      <c r="HTE95" s="167"/>
      <c r="HTF95" s="168"/>
      <c r="HTG95" s="167"/>
      <c r="HTH95" s="168"/>
      <c r="HTI95" s="167"/>
      <c r="HTJ95" s="168"/>
      <c r="HTK95" s="167"/>
      <c r="HTL95" s="168"/>
      <c r="HTM95" s="167"/>
      <c r="HTN95" s="168"/>
      <c r="HTO95" s="167"/>
      <c r="HTP95" s="168"/>
      <c r="HTQ95" s="167"/>
      <c r="HTR95" s="168"/>
      <c r="HTS95" s="167"/>
      <c r="HTT95" s="168"/>
      <c r="HTU95" s="167"/>
      <c r="HTV95" s="168"/>
      <c r="HTW95" s="167"/>
      <c r="HTX95" s="168"/>
      <c r="HTY95" s="167"/>
      <c r="HTZ95" s="168"/>
      <c r="HUA95" s="167"/>
      <c r="HUB95" s="168"/>
      <c r="HUC95" s="167"/>
      <c r="HUD95" s="168"/>
      <c r="HUE95" s="167"/>
      <c r="HUF95" s="168"/>
      <c r="HUG95" s="167"/>
      <c r="HUH95" s="168"/>
      <c r="HUI95" s="167"/>
      <c r="HUJ95" s="168"/>
      <c r="HUK95" s="167"/>
      <c r="HUL95" s="168"/>
      <c r="HUM95" s="167"/>
      <c r="HUN95" s="168"/>
      <c r="HUO95" s="167"/>
      <c r="HUP95" s="168"/>
      <c r="HUQ95" s="167"/>
      <c r="HUR95" s="168"/>
      <c r="HUS95" s="167"/>
      <c r="HUT95" s="168"/>
      <c r="HUU95" s="167"/>
      <c r="HUV95" s="168"/>
      <c r="HUW95" s="167"/>
      <c r="HUX95" s="168"/>
      <c r="HUY95" s="167"/>
      <c r="HUZ95" s="168"/>
      <c r="HVA95" s="167"/>
      <c r="HVB95" s="168"/>
      <c r="HVC95" s="167"/>
      <c r="HVD95" s="168"/>
      <c r="HVE95" s="167"/>
      <c r="HVF95" s="168"/>
      <c r="HVG95" s="167"/>
      <c r="HVH95" s="168"/>
      <c r="HVI95" s="167"/>
      <c r="HVJ95" s="168"/>
      <c r="HVK95" s="167"/>
      <c r="HVL95" s="168"/>
      <c r="HVM95" s="167"/>
      <c r="HVN95" s="168"/>
      <c r="HVO95" s="167"/>
      <c r="HVP95" s="168"/>
      <c r="HVQ95" s="167"/>
      <c r="HVR95" s="168"/>
      <c r="HVS95" s="167"/>
      <c r="HVT95" s="168"/>
      <c r="HVU95" s="167"/>
      <c r="HVV95" s="168"/>
      <c r="HVW95" s="167"/>
      <c r="HVX95" s="168"/>
      <c r="HVY95" s="167"/>
      <c r="HVZ95" s="168"/>
      <c r="HWA95" s="167"/>
      <c r="HWB95" s="168"/>
      <c r="HWC95" s="167"/>
      <c r="HWD95" s="168"/>
      <c r="HWE95" s="167"/>
      <c r="HWF95" s="168"/>
      <c r="HWG95" s="167"/>
      <c r="HWH95" s="168"/>
      <c r="HWI95" s="167"/>
      <c r="HWJ95" s="168"/>
      <c r="HWK95" s="167"/>
      <c r="HWL95" s="168"/>
      <c r="HWM95" s="167"/>
      <c r="HWN95" s="168"/>
      <c r="HWO95" s="167"/>
      <c r="HWP95" s="168"/>
      <c r="HWQ95" s="167"/>
      <c r="HWR95" s="168"/>
      <c r="HWS95" s="167"/>
      <c r="HWT95" s="168"/>
      <c r="HWU95" s="167"/>
      <c r="HWV95" s="168"/>
      <c r="HWW95" s="167"/>
      <c r="HWX95" s="168"/>
      <c r="HWY95" s="167"/>
      <c r="HWZ95" s="168"/>
      <c r="HXA95" s="167"/>
      <c r="HXB95" s="168"/>
      <c r="HXC95" s="167"/>
      <c r="HXD95" s="168"/>
      <c r="HXE95" s="167"/>
      <c r="HXF95" s="168"/>
      <c r="HXG95" s="167"/>
      <c r="HXH95" s="168"/>
      <c r="HXI95" s="167"/>
      <c r="HXJ95" s="168"/>
      <c r="HXK95" s="167"/>
      <c r="HXL95" s="168"/>
      <c r="HXM95" s="167"/>
      <c r="HXN95" s="168"/>
      <c r="HXO95" s="167"/>
      <c r="HXP95" s="168"/>
      <c r="HXQ95" s="167"/>
      <c r="HXR95" s="168"/>
      <c r="HXS95" s="167"/>
      <c r="HXT95" s="168"/>
      <c r="HXU95" s="167"/>
      <c r="HXV95" s="168"/>
      <c r="HXW95" s="167"/>
      <c r="HXX95" s="168"/>
      <c r="HXY95" s="167"/>
      <c r="HXZ95" s="168"/>
      <c r="HYA95" s="167"/>
      <c r="HYB95" s="168"/>
      <c r="HYC95" s="167"/>
      <c r="HYD95" s="168"/>
      <c r="HYE95" s="167"/>
      <c r="HYF95" s="168"/>
      <c r="HYG95" s="167"/>
      <c r="HYH95" s="168"/>
      <c r="HYI95" s="167"/>
      <c r="HYJ95" s="168"/>
      <c r="HYK95" s="167"/>
      <c r="HYL95" s="168"/>
      <c r="HYM95" s="167"/>
      <c r="HYN95" s="168"/>
      <c r="HYO95" s="167"/>
      <c r="HYP95" s="168"/>
      <c r="HYQ95" s="167"/>
      <c r="HYR95" s="168"/>
      <c r="HYS95" s="167"/>
      <c r="HYT95" s="168"/>
      <c r="HYU95" s="167"/>
      <c r="HYV95" s="168"/>
      <c r="HYW95" s="167"/>
      <c r="HYX95" s="168"/>
      <c r="HYY95" s="167"/>
      <c r="HYZ95" s="168"/>
      <c r="HZA95" s="167"/>
      <c r="HZB95" s="168"/>
      <c r="HZC95" s="167"/>
      <c r="HZD95" s="168"/>
      <c r="HZE95" s="167"/>
      <c r="HZF95" s="168"/>
      <c r="HZG95" s="167"/>
      <c r="HZH95" s="168"/>
      <c r="HZI95" s="167"/>
      <c r="HZJ95" s="168"/>
      <c r="HZK95" s="167"/>
      <c r="HZL95" s="168"/>
      <c r="HZM95" s="167"/>
      <c r="HZN95" s="168"/>
      <c r="HZO95" s="167"/>
      <c r="HZP95" s="168"/>
      <c r="HZQ95" s="167"/>
      <c r="HZR95" s="168"/>
      <c r="HZS95" s="167"/>
      <c r="HZT95" s="168"/>
      <c r="HZU95" s="167"/>
      <c r="HZV95" s="168"/>
      <c r="HZW95" s="167"/>
      <c r="HZX95" s="168"/>
      <c r="HZY95" s="167"/>
      <c r="HZZ95" s="168"/>
      <c r="IAA95" s="167"/>
      <c r="IAB95" s="168"/>
      <c r="IAC95" s="167"/>
      <c r="IAD95" s="168"/>
      <c r="IAE95" s="167"/>
      <c r="IAF95" s="168"/>
      <c r="IAG95" s="167"/>
      <c r="IAH95" s="168"/>
      <c r="IAI95" s="167"/>
      <c r="IAJ95" s="168"/>
      <c r="IAK95" s="167"/>
      <c r="IAL95" s="168"/>
      <c r="IAM95" s="167"/>
      <c r="IAN95" s="168"/>
      <c r="IAO95" s="167"/>
      <c r="IAP95" s="168"/>
      <c r="IAQ95" s="167"/>
      <c r="IAR95" s="168"/>
      <c r="IAS95" s="167"/>
      <c r="IAT95" s="168"/>
      <c r="IAU95" s="167"/>
      <c r="IAV95" s="168"/>
      <c r="IAW95" s="167"/>
      <c r="IAX95" s="168"/>
      <c r="IAY95" s="167"/>
      <c r="IAZ95" s="168"/>
      <c r="IBA95" s="167"/>
      <c r="IBB95" s="168"/>
      <c r="IBC95" s="167"/>
      <c r="IBD95" s="168"/>
      <c r="IBE95" s="167"/>
      <c r="IBF95" s="168"/>
      <c r="IBG95" s="167"/>
      <c r="IBH95" s="168"/>
      <c r="IBI95" s="167"/>
      <c r="IBJ95" s="168"/>
      <c r="IBK95" s="167"/>
      <c r="IBL95" s="168"/>
      <c r="IBM95" s="167"/>
      <c r="IBN95" s="168"/>
      <c r="IBO95" s="167"/>
      <c r="IBP95" s="168"/>
      <c r="IBQ95" s="167"/>
      <c r="IBR95" s="168"/>
      <c r="IBS95" s="167"/>
      <c r="IBT95" s="168"/>
      <c r="IBU95" s="167"/>
      <c r="IBV95" s="168"/>
      <c r="IBW95" s="167"/>
      <c r="IBX95" s="168"/>
      <c r="IBY95" s="167"/>
      <c r="IBZ95" s="168"/>
      <c r="ICA95" s="167"/>
      <c r="ICB95" s="168"/>
      <c r="ICC95" s="167"/>
      <c r="ICD95" s="168"/>
      <c r="ICE95" s="167"/>
      <c r="ICF95" s="168"/>
      <c r="ICG95" s="167"/>
      <c r="ICH95" s="168"/>
      <c r="ICI95" s="167"/>
      <c r="ICJ95" s="168"/>
      <c r="ICK95" s="167"/>
      <c r="ICL95" s="168"/>
      <c r="ICM95" s="167"/>
      <c r="ICN95" s="168"/>
      <c r="ICO95" s="167"/>
      <c r="ICP95" s="168"/>
      <c r="ICQ95" s="167"/>
      <c r="ICR95" s="168"/>
      <c r="ICS95" s="167"/>
      <c r="ICT95" s="168"/>
      <c r="ICU95" s="167"/>
      <c r="ICV95" s="168"/>
      <c r="ICW95" s="167"/>
      <c r="ICX95" s="168"/>
      <c r="ICY95" s="167"/>
      <c r="ICZ95" s="168"/>
      <c r="IDA95" s="167"/>
      <c r="IDB95" s="168"/>
      <c r="IDC95" s="167"/>
      <c r="IDD95" s="168"/>
      <c r="IDE95" s="167"/>
      <c r="IDF95" s="168"/>
      <c r="IDG95" s="167"/>
      <c r="IDH95" s="168"/>
      <c r="IDI95" s="167"/>
      <c r="IDJ95" s="168"/>
      <c r="IDK95" s="167"/>
      <c r="IDL95" s="168"/>
      <c r="IDM95" s="167"/>
      <c r="IDN95" s="168"/>
      <c r="IDO95" s="167"/>
      <c r="IDP95" s="168"/>
      <c r="IDQ95" s="167"/>
      <c r="IDR95" s="168"/>
      <c r="IDS95" s="167"/>
      <c r="IDT95" s="168"/>
      <c r="IDU95" s="167"/>
      <c r="IDV95" s="168"/>
      <c r="IDW95" s="167"/>
      <c r="IDX95" s="168"/>
      <c r="IDY95" s="167"/>
      <c r="IDZ95" s="168"/>
      <c r="IEA95" s="167"/>
      <c r="IEB95" s="168"/>
      <c r="IEC95" s="167"/>
      <c r="IED95" s="168"/>
      <c r="IEE95" s="167"/>
      <c r="IEF95" s="168"/>
      <c r="IEG95" s="167"/>
      <c r="IEH95" s="168"/>
      <c r="IEI95" s="167"/>
      <c r="IEJ95" s="168"/>
      <c r="IEK95" s="167"/>
      <c r="IEL95" s="168"/>
      <c r="IEM95" s="167"/>
      <c r="IEN95" s="168"/>
      <c r="IEO95" s="167"/>
      <c r="IEP95" s="168"/>
      <c r="IEQ95" s="167"/>
      <c r="IER95" s="168"/>
      <c r="IES95" s="167"/>
      <c r="IET95" s="168"/>
      <c r="IEU95" s="167"/>
      <c r="IEV95" s="168"/>
      <c r="IEW95" s="167"/>
      <c r="IEX95" s="168"/>
      <c r="IEY95" s="167"/>
      <c r="IEZ95" s="168"/>
      <c r="IFA95" s="167"/>
      <c r="IFB95" s="168"/>
      <c r="IFC95" s="167"/>
      <c r="IFD95" s="168"/>
      <c r="IFE95" s="167"/>
      <c r="IFF95" s="168"/>
      <c r="IFG95" s="167"/>
      <c r="IFH95" s="168"/>
      <c r="IFI95" s="167"/>
      <c r="IFJ95" s="168"/>
      <c r="IFK95" s="167"/>
      <c r="IFL95" s="168"/>
      <c r="IFM95" s="167"/>
      <c r="IFN95" s="168"/>
      <c r="IFO95" s="167"/>
      <c r="IFP95" s="168"/>
      <c r="IFQ95" s="167"/>
      <c r="IFR95" s="168"/>
      <c r="IFS95" s="167"/>
      <c r="IFT95" s="168"/>
      <c r="IFU95" s="167"/>
      <c r="IFV95" s="168"/>
      <c r="IFW95" s="167"/>
      <c r="IFX95" s="168"/>
      <c r="IFY95" s="167"/>
      <c r="IFZ95" s="168"/>
      <c r="IGA95" s="167"/>
      <c r="IGB95" s="168"/>
      <c r="IGC95" s="167"/>
      <c r="IGD95" s="168"/>
      <c r="IGE95" s="167"/>
      <c r="IGF95" s="168"/>
      <c r="IGG95" s="167"/>
      <c r="IGH95" s="168"/>
      <c r="IGI95" s="167"/>
      <c r="IGJ95" s="168"/>
      <c r="IGK95" s="167"/>
      <c r="IGL95" s="168"/>
      <c r="IGM95" s="167"/>
      <c r="IGN95" s="168"/>
      <c r="IGO95" s="167"/>
      <c r="IGP95" s="168"/>
      <c r="IGQ95" s="167"/>
      <c r="IGR95" s="168"/>
      <c r="IGS95" s="167"/>
      <c r="IGT95" s="168"/>
      <c r="IGU95" s="167"/>
      <c r="IGV95" s="168"/>
      <c r="IGW95" s="167"/>
      <c r="IGX95" s="168"/>
      <c r="IGY95" s="167"/>
      <c r="IGZ95" s="168"/>
      <c r="IHA95" s="167"/>
      <c r="IHB95" s="168"/>
      <c r="IHC95" s="167"/>
      <c r="IHD95" s="168"/>
      <c r="IHE95" s="167"/>
      <c r="IHF95" s="168"/>
      <c r="IHG95" s="167"/>
      <c r="IHH95" s="168"/>
      <c r="IHI95" s="167"/>
      <c r="IHJ95" s="168"/>
      <c r="IHK95" s="167"/>
      <c r="IHL95" s="168"/>
      <c r="IHM95" s="167"/>
      <c r="IHN95" s="168"/>
      <c r="IHO95" s="167"/>
      <c r="IHP95" s="168"/>
      <c r="IHQ95" s="167"/>
      <c r="IHR95" s="168"/>
      <c r="IHS95" s="167"/>
      <c r="IHT95" s="168"/>
      <c r="IHU95" s="167"/>
      <c r="IHV95" s="168"/>
      <c r="IHW95" s="167"/>
      <c r="IHX95" s="168"/>
      <c r="IHY95" s="167"/>
      <c r="IHZ95" s="168"/>
      <c r="IIA95" s="167"/>
      <c r="IIB95" s="168"/>
      <c r="IIC95" s="167"/>
      <c r="IID95" s="168"/>
      <c r="IIE95" s="167"/>
      <c r="IIF95" s="168"/>
      <c r="IIG95" s="167"/>
      <c r="IIH95" s="168"/>
      <c r="III95" s="167"/>
      <c r="IIJ95" s="168"/>
      <c r="IIK95" s="167"/>
      <c r="IIL95" s="168"/>
      <c r="IIM95" s="167"/>
      <c r="IIN95" s="168"/>
      <c r="IIO95" s="167"/>
      <c r="IIP95" s="168"/>
      <c r="IIQ95" s="167"/>
      <c r="IIR95" s="168"/>
      <c r="IIS95" s="167"/>
      <c r="IIT95" s="168"/>
      <c r="IIU95" s="167"/>
      <c r="IIV95" s="168"/>
      <c r="IIW95" s="167"/>
      <c r="IIX95" s="168"/>
      <c r="IIY95" s="167"/>
      <c r="IIZ95" s="168"/>
      <c r="IJA95" s="167"/>
      <c r="IJB95" s="168"/>
      <c r="IJC95" s="167"/>
      <c r="IJD95" s="168"/>
      <c r="IJE95" s="167"/>
      <c r="IJF95" s="168"/>
      <c r="IJG95" s="167"/>
      <c r="IJH95" s="168"/>
      <c r="IJI95" s="167"/>
      <c r="IJJ95" s="168"/>
      <c r="IJK95" s="167"/>
      <c r="IJL95" s="168"/>
      <c r="IJM95" s="167"/>
      <c r="IJN95" s="168"/>
      <c r="IJO95" s="167"/>
      <c r="IJP95" s="168"/>
      <c r="IJQ95" s="167"/>
      <c r="IJR95" s="168"/>
      <c r="IJS95" s="167"/>
      <c r="IJT95" s="168"/>
      <c r="IJU95" s="167"/>
      <c r="IJV95" s="168"/>
      <c r="IJW95" s="167"/>
      <c r="IJX95" s="168"/>
      <c r="IJY95" s="167"/>
      <c r="IJZ95" s="168"/>
      <c r="IKA95" s="167"/>
      <c r="IKB95" s="168"/>
      <c r="IKC95" s="167"/>
      <c r="IKD95" s="168"/>
      <c r="IKE95" s="167"/>
      <c r="IKF95" s="168"/>
      <c r="IKG95" s="167"/>
      <c r="IKH95" s="168"/>
      <c r="IKI95" s="167"/>
      <c r="IKJ95" s="168"/>
      <c r="IKK95" s="167"/>
      <c r="IKL95" s="168"/>
      <c r="IKM95" s="167"/>
      <c r="IKN95" s="168"/>
      <c r="IKO95" s="167"/>
      <c r="IKP95" s="168"/>
      <c r="IKQ95" s="167"/>
      <c r="IKR95" s="168"/>
      <c r="IKS95" s="167"/>
      <c r="IKT95" s="168"/>
      <c r="IKU95" s="167"/>
      <c r="IKV95" s="168"/>
      <c r="IKW95" s="167"/>
      <c r="IKX95" s="168"/>
      <c r="IKY95" s="167"/>
      <c r="IKZ95" s="168"/>
      <c r="ILA95" s="167"/>
      <c r="ILB95" s="168"/>
      <c r="ILC95" s="167"/>
      <c r="ILD95" s="168"/>
      <c r="ILE95" s="167"/>
      <c r="ILF95" s="168"/>
      <c r="ILG95" s="167"/>
      <c r="ILH95" s="168"/>
      <c r="ILI95" s="167"/>
      <c r="ILJ95" s="168"/>
      <c r="ILK95" s="167"/>
      <c r="ILL95" s="168"/>
      <c r="ILM95" s="167"/>
      <c r="ILN95" s="168"/>
      <c r="ILO95" s="167"/>
      <c r="ILP95" s="168"/>
      <c r="ILQ95" s="167"/>
      <c r="ILR95" s="168"/>
      <c r="ILS95" s="167"/>
      <c r="ILT95" s="168"/>
      <c r="ILU95" s="167"/>
      <c r="ILV95" s="168"/>
      <c r="ILW95" s="167"/>
      <c r="ILX95" s="168"/>
      <c r="ILY95" s="167"/>
      <c r="ILZ95" s="168"/>
      <c r="IMA95" s="167"/>
      <c r="IMB95" s="168"/>
      <c r="IMC95" s="167"/>
      <c r="IMD95" s="168"/>
      <c r="IME95" s="167"/>
      <c r="IMF95" s="168"/>
      <c r="IMG95" s="167"/>
      <c r="IMH95" s="168"/>
      <c r="IMI95" s="167"/>
      <c r="IMJ95" s="168"/>
      <c r="IMK95" s="167"/>
      <c r="IML95" s="168"/>
      <c r="IMM95" s="167"/>
      <c r="IMN95" s="168"/>
      <c r="IMO95" s="167"/>
      <c r="IMP95" s="168"/>
      <c r="IMQ95" s="167"/>
      <c r="IMR95" s="168"/>
      <c r="IMS95" s="167"/>
      <c r="IMT95" s="168"/>
      <c r="IMU95" s="167"/>
      <c r="IMV95" s="168"/>
      <c r="IMW95" s="167"/>
      <c r="IMX95" s="168"/>
      <c r="IMY95" s="167"/>
      <c r="IMZ95" s="168"/>
      <c r="INA95" s="167"/>
      <c r="INB95" s="168"/>
      <c r="INC95" s="167"/>
      <c r="IND95" s="168"/>
      <c r="INE95" s="167"/>
      <c r="INF95" s="168"/>
      <c r="ING95" s="167"/>
      <c r="INH95" s="168"/>
      <c r="INI95" s="167"/>
      <c r="INJ95" s="168"/>
      <c r="INK95" s="167"/>
      <c r="INL95" s="168"/>
      <c r="INM95" s="167"/>
      <c r="INN95" s="168"/>
      <c r="INO95" s="167"/>
      <c r="INP95" s="168"/>
      <c r="INQ95" s="167"/>
      <c r="INR95" s="168"/>
      <c r="INS95" s="167"/>
      <c r="INT95" s="168"/>
      <c r="INU95" s="167"/>
      <c r="INV95" s="168"/>
      <c r="INW95" s="167"/>
      <c r="INX95" s="168"/>
      <c r="INY95" s="167"/>
      <c r="INZ95" s="168"/>
      <c r="IOA95" s="167"/>
      <c r="IOB95" s="168"/>
      <c r="IOC95" s="167"/>
      <c r="IOD95" s="168"/>
      <c r="IOE95" s="167"/>
      <c r="IOF95" s="168"/>
      <c r="IOG95" s="167"/>
      <c r="IOH95" s="168"/>
      <c r="IOI95" s="167"/>
      <c r="IOJ95" s="168"/>
      <c r="IOK95" s="167"/>
      <c r="IOL95" s="168"/>
      <c r="IOM95" s="167"/>
      <c r="ION95" s="168"/>
      <c r="IOO95" s="167"/>
      <c r="IOP95" s="168"/>
      <c r="IOQ95" s="167"/>
      <c r="IOR95" s="168"/>
      <c r="IOS95" s="167"/>
      <c r="IOT95" s="168"/>
      <c r="IOU95" s="167"/>
      <c r="IOV95" s="168"/>
      <c r="IOW95" s="167"/>
      <c r="IOX95" s="168"/>
      <c r="IOY95" s="167"/>
      <c r="IOZ95" s="168"/>
      <c r="IPA95" s="167"/>
      <c r="IPB95" s="168"/>
      <c r="IPC95" s="167"/>
      <c r="IPD95" s="168"/>
      <c r="IPE95" s="167"/>
      <c r="IPF95" s="168"/>
      <c r="IPG95" s="167"/>
      <c r="IPH95" s="168"/>
      <c r="IPI95" s="167"/>
      <c r="IPJ95" s="168"/>
      <c r="IPK95" s="167"/>
      <c r="IPL95" s="168"/>
      <c r="IPM95" s="167"/>
      <c r="IPN95" s="168"/>
      <c r="IPO95" s="167"/>
      <c r="IPP95" s="168"/>
      <c r="IPQ95" s="167"/>
      <c r="IPR95" s="168"/>
      <c r="IPS95" s="167"/>
      <c r="IPT95" s="168"/>
      <c r="IPU95" s="167"/>
      <c r="IPV95" s="168"/>
      <c r="IPW95" s="167"/>
      <c r="IPX95" s="168"/>
      <c r="IPY95" s="167"/>
      <c r="IPZ95" s="168"/>
      <c r="IQA95" s="167"/>
      <c r="IQB95" s="168"/>
      <c r="IQC95" s="167"/>
      <c r="IQD95" s="168"/>
      <c r="IQE95" s="167"/>
      <c r="IQF95" s="168"/>
      <c r="IQG95" s="167"/>
      <c r="IQH95" s="168"/>
      <c r="IQI95" s="167"/>
      <c r="IQJ95" s="168"/>
      <c r="IQK95" s="167"/>
      <c r="IQL95" s="168"/>
      <c r="IQM95" s="167"/>
      <c r="IQN95" s="168"/>
      <c r="IQO95" s="167"/>
      <c r="IQP95" s="168"/>
      <c r="IQQ95" s="167"/>
      <c r="IQR95" s="168"/>
      <c r="IQS95" s="167"/>
      <c r="IQT95" s="168"/>
      <c r="IQU95" s="167"/>
      <c r="IQV95" s="168"/>
      <c r="IQW95" s="167"/>
      <c r="IQX95" s="168"/>
      <c r="IQY95" s="167"/>
      <c r="IQZ95" s="168"/>
      <c r="IRA95" s="167"/>
      <c r="IRB95" s="168"/>
      <c r="IRC95" s="167"/>
      <c r="IRD95" s="168"/>
      <c r="IRE95" s="167"/>
      <c r="IRF95" s="168"/>
      <c r="IRG95" s="167"/>
      <c r="IRH95" s="168"/>
      <c r="IRI95" s="167"/>
      <c r="IRJ95" s="168"/>
      <c r="IRK95" s="167"/>
      <c r="IRL95" s="168"/>
      <c r="IRM95" s="167"/>
      <c r="IRN95" s="168"/>
      <c r="IRO95" s="167"/>
      <c r="IRP95" s="168"/>
      <c r="IRQ95" s="167"/>
      <c r="IRR95" s="168"/>
      <c r="IRS95" s="167"/>
      <c r="IRT95" s="168"/>
      <c r="IRU95" s="167"/>
      <c r="IRV95" s="168"/>
      <c r="IRW95" s="167"/>
      <c r="IRX95" s="168"/>
      <c r="IRY95" s="167"/>
      <c r="IRZ95" s="168"/>
      <c r="ISA95" s="167"/>
      <c r="ISB95" s="168"/>
      <c r="ISC95" s="167"/>
      <c r="ISD95" s="168"/>
      <c r="ISE95" s="167"/>
      <c r="ISF95" s="168"/>
      <c r="ISG95" s="167"/>
      <c r="ISH95" s="168"/>
      <c r="ISI95" s="167"/>
      <c r="ISJ95" s="168"/>
      <c r="ISK95" s="167"/>
      <c r="ISL95" s="168"/>
      <c r="ISM95" s="167"/>
      <c r="ISN95" s="168"/>
      <c r="ISO95" s="167"/>
      <c r="ISP95" s="168"/>
      <c r="ISQ95" s="167"/>
      <c r="ISR95" s="168"/>
      <c r="ISS95" s="167"/>
      <c r="IST95" s="168"/>
      <c r="ISU95" s="167"/>
      <c r="ISV95" s="168"/>
      <c r="ISW95" s="167"/>
      <c r="ISX95" s="168"/>
      <c r="ISY95" s="167"/>
      <c r="ISZ95" s="168"/>
      <c r="ITA95" s="167"/>
      <c r="ITB95" s="168"/>
      <c r="ITC95" s="167"/>
      <c r="ITD95" s="168"/>
      <c r="ITE95" s="167"/>
      <c r="ITF95" s="168"/>
      <c r="ITG95" s="167"/>
      <c r="ITH95" s="168"/>
      <c r="ITI95" s="167"/>
      <c r="ITJ95" s="168"/>
      <c r="ITK95" s="167"/>
      <c r="ITL95" s="168"/>
      <c r="ITM95" s="167"/>
      <c r="ITN95" s="168"/>
      <c r="ITO95" s="167"/>
      <c r="ITP95" s="168"/>
      <c r="ITQ95" s="167"/>
      <c r="ITR95" s="168"/>
      <c r="ITS95" s="167"/>
      <c r="ITT95" s="168"/>
      <c r="ITU95" s="167"/>
      <c r="ITV95" s="168"/>
      <c r="ITW95" s="167"/>
      <c r="ITX95" s="168"/>
      <c r="ITY95" s="167"/>
      <c r="ITZ95" s="168"/>
      <c r="IUA95" s="167"/>
      <c r="IUB95" s="168"/>
      <c r="IUC95" s="167"/>
      <c r="IUD95" s="168"/>
      <c r="IUE95" s="167"/>
      <c r="IUF95" s="168"/>
      <c r="IUG95" s="167"/>
      <c r="IUH95" s="168"/>
      <c r="IUI95" s="167"/>
      <c r="IUJ95" s="168"/>
      <c r="IUK95" s="167"/>
      <c r="IUL95" s="168"/>
      <c r="IUM95" s="167"/>
      <c r="IUN95" s="168"/>
      <c r="IUO95" s="167"/>
      <c r="IUP95" s="168"/>
      <c r="IUQ95" s="167"/>
      <c r="IUR95" s="168"/>
      <c r="IUS95" s="167"/>
      <c r="IUT95" s="168"/>
      <c r="IUU95" s="167"/>
      <c r="IUV95" s="168"/>
      <c r="IUW95" s="167"/>
      <c r="IUX95" s="168"/>
      <c r="IUY95" s="167"/>
      <c r="IUZ95" s="168"/>
      <c r="IVA95" s="167"/>
      <c r="IVB95" s="168"/>
      <c r="IVC95" s="167"/>
      <c r="IVD95" s="168"/>
      <c r="IVE95" s="167"/>
      <c r="IVF95" s="168"/>
      <c r="IVG95" s="167"/>
      <c r="IVH95" s="168"/>
      <c r="IVI95" s="167"/>
      <c r="IVJ95" s="168"/>
      <c r="IVK95" s="167"/>
      <c r="IVL95" s="168"/>
      <c r="IVM95" s="167"/>
      <c r="IVN95" s="168"/>
      <c r="IVO95" s="167"/>
      <c r="IVP95" s="168"/>
      <c r="IVQ95" s="167"/>
      <c r="IVR95" s="168"/>
      <c r="IVS95" s="167"/>
      <c r="IVT95" s="168"/>
      <c r="IVU95" s="167"/>
      <c r="IVV95" s="168"/>
      <c r="IVW95" s="167"/>
      <c r="IVX95" s="168"/>
      <c r="IVY95" s="167"/>
      <c r="IVZ95" s="168"/>
      <c r="IWA95" s="167"/>
      <c r="IWB95" s="168"/>
      <c r="IWC95" s="167"/>
      <c r="IWD95" s="168"/>
      <c r="IWE95" s="167"/>
      <c r="IWF95" s="168"/>
      <c r="IWG95" s="167"/>
      <c r="IWH95" s="168"/>
      <c r="IWI95" s="167"/>
      <c r="IWJ95" s="168"/>
      <c r="IWK95" s="167"/>
      <c r="IWL95" s="168"/>
      <c r="IWM95" s="167"/>
      <c r="IWN95" s="168"/>
      <c r="IWO95" s="167"/>
      <c r="IWP95" s="168"/>
      <c r="IWQ95" s="167"/>
      <c r="IWR95" s="168"/>
      <c r="IWS95" s="167"/>
      <c r="IWT95" s="168"/>
      <c r="IWU95" s="167"/>
      <c r="IWV95" s="168"/>
      <c r="IWW95" s="167"/>
      <c r="IWX95" s="168"/>
      <c r="IWY95" s="167"/>
      <c r="IWZ95" s="168"/>
      <c r="IXA95" s="167"/>
      <c r="IXB95" s="168"/>
      <c r="IXC95" s="167"/>
      <c r="IXD95" s="168"/>
      <c r="IXE95" s="167"/>
      <c r="IXF95" s="168"/>
      <c r="IXG95" s="167"/>
      <c r="IXH95" s="168"/>
      <c r="IXI95" s="167"/>
      <c r="IXJ95" s="168"/>
      <c r="IXK95" s="167"/>
      <c r="IXL95" s="168"/>
      <c r="IXM95" s="167"/>
      <c r="IXN95" s="168"/>
      <c r="IXO95" s="167"/>
      <c r="IXP95" s="168"/>
      <c r="IXQ95" s="167"/>
      <c r="IXR95" s="168"/>
      <c r="IXS95" s="167"/>
      <c r="IXT95" s="168"/>
      <c r="IXU95" s="167"/>
      <c r="IXV95" s="168"/>
      <c r="IXW95" s="167"/>
      <c r="IXX95" s="168"/>
      <c r="IXY95" s="167"/>
      <c r="IXZ95" s="168"/>
      <c r="IYA95" s="167"/>
      <c r="IYB95" s="168"/>
      <c r="IYC95" s="167"/>
      <c r="IYD95" s="168"/>
      <c r="IYE95" s="167"/>
      <c r="IYF95" s="168"/>
      <c r="IYG95" s="167"/>
      <c r="IYH95" s="168"/>
      <c r="IYI95" s="167"/>
      <c r="IYJ95" s="168"/>
      <c r="IYK95" s="167"/>
      <c r="IYL95" s="168"/>
      <c r="IYM95" s="167"/>
      <c r="IYN95" s="168"/>
      <c r="IYO95" s="167"/>
      <c r="IYP95" s="168"/>
      <c r="IYQ95" s="167"/>
      <c r="IYR95" s="168"/>
      <c r="IYS95" s="167"/>
      <c r="IYT95" s="168"/>
      <c r="IYU95" s="167"/>
      <c r="IYV95" s="168"/>
      <c r="IYW95" s="167"/>
      <c r="IYX95" s="168"/>
      <c r="IYY95" s="167"/>
      <c r="IYZ95" s="168"/>
      <c r="IZA95" s="167"/>
      <c r="IZB95" s="168"/>
      <c r="IZC95" s="167"/>
      <c r="IZD95" s="168"/>
      <c r="IZE95" s="167"/>
      <c r="IZF95" s="168"/>
      <c r="IZG95" s="167"/>
      <c r="IZH95" s="168"/>
      <c r="IZI95" s="167"/>
      <c r="IZJ95" s="168"/>
      <c r="IZK95" s="167"/>
      <c r="IZL95" s="168"/>
      <c r="IZM95" s="167"/>
      <c r="IZN95" s="168"/>
      <c r="IZO95" s="167"/>
      <c r="IZP95" s="168"/>
      <c r="IZQ95" s="167"/>
      <c r="IZR95" s="168"/>
      <c r="IZS95" s="167"/>
      <c r="IZT95" s="168"/>
      <c r="IZU95" s="167"/>
      <c r="IZV95" s="168"/>
      <c r="IZW95" s="167"/>
      <c r="IZX95" s="168"/>
      <c r="IZY95" s="167"/>
      <c r="IZZ95" s="168"/>
      <c r="JAA95" s="167"/>
      <c r="JAB95" s="168"/>
      <c r="JAC95" s="167"/>
      <c r="JAD95" s="168"/>
      <c r="JAE95" s="167"/>
      <c r="JAF95" s="168"/>
      <c r="JAG95" s="167"/>
      <c r="JAH95" s="168"/>
      <c r="JAI95" s="167"/>
      <c r="JAJ95" s="168"/>
      <c r="JAK95" s="167"/>
      <c r="JAL95" s="168"/>
      <c r="JAM95" s="167"/>
      <c r="JAN95" s="168"/>
      <c r="JAO95" s="167"/>
      <c r="JAP95" s="168"/>
      <c r="JAQ95" s="167"/>
      <c r="JAR95" s="168"/>
      <c r="JAS95" s="167"/>
      <c r="JAT95" s="168"/>
      <c r="JAU95" s="167"/>
      <c r="JAV95" s="168"/>
      <c r="JAW95" s="167"/>
      <c r="JAX95" s="168"/>
      <c r="JAY95" s="167"/>
      <c r="JAZ95" s="168"/>
      <c r="JBA95" s="167"/>
      <c r="JBB95" s="168"/>
      <c r="JBC95" s="167"/>
      <c r="JBD95" s="168"/>
      <c r="JBE95" s="167"/>
      <c r="JBF95" s="168"/>
      <c r="JBG95" s="167"/>
      <c r="JBH95" s="168"/>
      <c r="JBI95" s="167"/>
      <c r="JBJ95" s="168"/>
      <c r="JBK95" s="167"/>
      <c r="JBL95" s="168"/>
      <c r="JBM95" s="167"/>
      <c r="JBN95" s="168"/>
      <c r="JBO95" s="167"/>
      <c r="JBP95" s="168"/>
      <c r="JBQ95" s="167"/>
      <c r="JBR95" s="168"/>
      <c r="JBS95" s="167"/>
      <c r="JBT95" s="168"/>
      <c r="JBU95" s="167"/>
      <c r="JBV95" s="168"/>
      <c r="JBW95" s="167"/>
      <c r="JBX95" s="168"/>
      <c r="JBY95" s="167"/>
      <c r="JBZ95" s="168"/>
      <c r="JCA95" s="167"/>
      <c r="JCB95" s="168"/>
      <c r="JCC95" s="167"/>
      <c r="JCD95" s="168"/>
      <c r="JCE95" s="167"/>
      <c r="JCF95" s="168"/>
      <c r="JCG95" s="167"/>
      <c r="JCH95" s="168"/>
      <c r="JCI95" s="167"/>
      <c r="JCJ95" s="168"/>
      <c r="JCK95" s="167"/>
      <c r="JCL95" s="168"/>
      <c r="JCM95" s="167"/>
      <c r="JCN95" s="168"/>
      <c r="JCO95" s="167"/>
      <c r="JCP95" s="168"/>
      <c r="JCQ95" s="167"/>
      <c r="JCR95" s="168"/>
      <c r="JCS95" s="167"/>
      <c r="JCT95" s="168"/>
      <c r="JCU95" s="167"/>
      <c r="JCV95" s="168"/>
      <c r="JCW95" s="167"/>
      <c r="JCX95" s="168"/>
      <c r="JCY95" s="167"/>
      <c r="JCZ95" s="168"/>
      <c r="JDA95" s="167"/>
      <c r="JDB95" s="168"/>
      <c r="JDC95" s="167"/>
      <c r="JDD95" s="168"/>
      <c r="JDE95" s="167"/>
      <c r="JDF95" s="168"/>
      <c r="JDG95" s="167"/>
      <c r="JDH95" s="168"/>
      <c r="JDI95" s="167"/>
      <c r="JDJ95" s="168"/>
      <c r="JDK95" s="167"/>
      <c r="JDL95" s="168"/>
      <c r="JDM95" s="167"/>
      <c r="JDN95" s="168"/>
      <c r="JDO95" s="167"/>
      <c r="JDP95" s="168"/>
      <c r="JDQ95" s="167"/>
      <c r="JDR95" s="168"/>
      <c r="JDS95" s="167"/>
      <c r="JDT95" s="168"/>
      <c r="JDU95" s="167"/>
      <c r="JDV95" s="168"/>
      <c r="JDW95" s="167"/>
      <c r="JDX95" s="168"/>
      <c r="JDY95" s="167"/>
      <c r="JDZ95" s="168"/>
      <c r="JEA95" s="167"/>
      <c r="JEB95" s="168"/>
      <c r="JEC95" s="167"/>
      <c r="JED95" s="168"/>
      <c r="JEE95" s="167"/>
      <c r="JEF95" s="168"/>
      <c r="JEG95" s="167"/>
      <c r="JEH95" s="168"/>
      <c r="JEI95" s="167"/>
      <c r="JEJ95" s="168"/>
      <c r="JEK95" s="167"/>
      <c r="JEL95" s="168"/>
      <c r="JEM95" s="167"/>
      <c r="JEN95" s="168"/>
      <c r="JEO95" s="167"/>
      <c r="JEP95" s="168"/>
      <c r="JEQ95" s="167"/>
      <c r="JER95" s="168"/>
      <c r="JES95" s="167"/>
      <c r="JET95" s="168"/>
      <c r="JEU95" s="167"/>
      <c r="JEV95" s="168"/>
      <c r="JEW95" s="167"/>
      <c r="JEX95" s="168"/>
      <c r="JEY95" s="167"/>
      <c r="JEZ95" s="168"/>
      <c r="JFA95" s="167"/>
      <c r="JFB95" s="168"/>
      <c r="JFC95" s="167"/>
      <c r="JFD95" s="168"/>
      <c r="JFE95" s="167"/>
      <c r="JFF95" s="168"/>
      <c r="JFG95" s="167"/>
      <c r="JFH95" s="168"/>
      <c r="JFI95" s="167"/>
      <c r="JFJ95" s="168"/>
      <c r="JFK95" s="167"/>
      <c r="JFL95" s="168"/>
      <c r="JFM95" s="167"/>
      <c r="JFN95" s="168"/>
      <c r="JFO95" s="167"/>
      <c r="JFP95" s="168"/>
      <c r="JFQ95" s="167"/>
      <c r="JFR95" s="168"/>
      <c r="JFS95" s="167"/>
      <c r="JFT95" s="168"/>
      <c r="JFU95" s="167"/>
      <c r="JFV95" s="168"/>
      <c r="JFW95" s="167"/>
      <c r="JFX95" s="168"/>
      <c r="JFY95" s="167"/>
      <c r="JFZ95" s="168"/>
      <c r="JGA95" s="167"/>
      <c r="JGB95" s="168"/>
      <c r="JGC95" s="167"/>
      <c r="JGD95" s="168"/>
      <c r="JGE95" s="167"/>
      <c r="JGF95" s="168"/>
      <c r="JGG95" s="167"/>
      <c r="JGH95" s="168"/>
      <c r="JGI95" s="167"/>
      <c r="JGJ95" s="168"/>
      <c r="JGK95" s="167"/>
      <c r="JGL95" s="168"/>
      <c r="JGM95" s="167"/>
      <c r="JGN95" s="168"/>
      <c r="JGO95" s="167"/>
      <c r="JGP95" s="168"/>
      <c r="JGQ95" s="167"/>
      <c r="JGR95" s="168"/>
      <c r="JGS95" s="167"/>
      <c r="JGT95" s="168"/>
      <c r="JGU95" s="167"/>
      <c r="JGV95" s="168"/>
      <c r="JGW95" s="167"/>
      <c r="JGX95" s="168"/>
      <c r="JGY95" s="167"/>
      <c r="JGZ95" s="168"/>
      <c r="JHA95" s="167"/>
      <c r="JHB95" s="168"/>
      <c r="JHC95" s="167"/>
      <c r="JHD95" s="168"/>
      <c r="JHE95" s="167"/>
      <c r="JHF95" s="168"/>
      <c r="JHG95" s="167"/>
      <c r="JHH95" s="168"/>
      <c r="JHI95" s="167"/>
      <c r="JHJ95" s="168"/>
      <c r="JHK95" s="167"/>
      <c r="JHL95" s="168"/>
      <c r="JHM95" s="167"/>
      <c r="JHN95" s="168"/>
      <c r="JHO95" s="167"/>
      <c r="JHP95" s="168"/>
      <c r="JHQ95" s="167"/>
      <c r="JHR95" s="168"/>
      <c r="JHS95" s="167"/>
      <c r="JHT95" s="168"/>
      <c r="JHU95" s="167"/>
      <c r="JHV95" s="168"/>
      <c r="JHW95" s="167"/>
      <c r="JHX95" s="168"/>
      <c r="JHY95" s="167"/>
      <c r="JHZ95" s="168"/>
      <c r="JIA95" s="167"/>
      <c r="JIB95" s="168"/>
      <c r="JIC95" s="167"/>
      <c r="JID95" s="168"/>
      <c r="JIE95" s="167"/>
      <c r="JIF95" s="168"/>
      <c r="JIG95" s="167"/>
      <c r="JIH95" s="168"/>
      <c r="JII95" s="167"/>
      <c r="JIJ95" s="168"/>
      <c r="JIK95" s="167"/>
      <c r="JIL95" s="168"/>
      <c r="JIM95" s="167"/>
      <c r="JIN95" s="168"/>
      <c r="JIO95" s="167"/>
      <c r="JIP95" s="168"/>
      <c r="JIQ95" s="167"/>
      <c r="JIR95" s="168"/>
      <c r="JIS95" s="167"/>
      <c r="JIT95" s="168"/>
      <c r="JIU95" s="167"/>
      <c r="JIV95" s="168"/>
      <c r="JIW95" s="167"/>
      <c r="JIX95" s="168"/>
      <c r="JIY95" s="167"/>
      <c r="JIZ95" s="168"/>
      <c r="JJA95" s="167"/>
      <c r="JJB95" s="168"/>
      <c r="JJC95" s="167"/>
      <c r="JJD95" s="168"/>
      <c r="JJE95" s="167"/>
      <c r="JJF95" s="168"/>
      <c r="JJG95" s="167"/>
      <c r="JJH95" s="168"/>
      <c r="JJI95" s="167"/>
      <c r="JJJ95" s="168"/>
      <c r="JJK95" s="167"/>
      <c r="JJL95" s="168"/>
      <c r="JJM95" s="167"/>
      <c r="JJN95" s="168"/>
      <c r="JJO95" s="167"/>
      <c r="JJP95" s="168"/>
      <c r="JJQ95" s="167"/>
      <c r="JJR95" s="168"/>
      <c r="JJS95" s="167"/>
      <c r="JJT95" s="168"/>
      <c r="JJU95" s="167"/>
      <c r="JJV95" s="168"/>
      <c r="JJW95" s="167"/>
      <c r="JJX95" s="168"/>
      <c r="JJY95" s="167"/>
      <c r="JJZ95" s="168"/>
      <c r="JKA95" s="167"/>
      <c r="JKB95" s="168"/>
      <c r="JKC95" s="167"/>
      <c r="JKD95" s="168"/>
      <c r="JKE95" s="167"/>
      <c r="JKF95" s="168"/>
      <c r="JKG95" s="167"/>
      <c r="JKH95" s="168"/>
      <c r="JKI95" s="167"/>
      <c r="JKJ95" s="168"/>
      <c r="JKK95" s="167"/>
      <c r="JKL95" s="168"/>
      <c r="JKM95" s="167"/>
      <c r="JKN95" s="168"/>
      <c r="JKO95" s="167"/>
      <c r="JKP95" s="168"/>
      <c r="JKQ95" s="167"/>
      <c r="JKR95" s="168"/>
      <c r="JKS95" s="167"/>
      <c r="JKT95" s="168"/>
      <c r="JKU95" s="167"/>
      <c r="JKV95" s="168"/>
      <c r="JKW95" s="167"/>
      <c r="JKX95" s="168"/>
      <c r="JKY95" s="167"/>
      <c r="JKZ95" s="168"/>
      <c r="JLA95" s="167"/>
      <c r="JLB95" s="168"/>
      <c r="JLC95" s="167"/>
      <c r="JLD95" s="168"/>
      <c r="JLE95" s="167"/>
      <c r="JLF95" s="168"/>
      <c r="JLG95" s="167"/>
      <c r="JLH95" s="168"/>
      <c r="JLI95" s="167"/>
      <c r="JLJ95" s="168"/>
      <c r="JLK95" s="167"/>
      <c r="JLL95" s="168"/>
      <c r="JLM95" s="167"/>
      <c r="JLN95" s="168"/>
      <c r="JLO95" s="167"/>
      <c r="JLP95" s="168"/>
      <c r="JLQ95" s="167"/>
      <c r="JLR95" s="168"/>
      <c r="JLS95" s="167"/>
      <c r="JLT95" s="168"/>
      <c r="JLU95" s="167"/>
      <c r="JLV95" s="168"/>
      <c r="JLW95" s="167"/>
      <c r="JLX95" s="168"/>
      <c r="JLY95" s="167"/>
      <c r="JLZ95" s="168"/>
      <c r="JMA95" s="167"/>
      <c r="JMB95" s="168"/>
      <c r="JMC95" s="167"/>
      <c r="JMD95" s="168"/>
      <c r="JME95" s="167"/>
      <c r="JMF95" s="168"/>
      <c r="JMG95" s="167"/>
      <c r="JMH95" s="168"/>
      <c r="JMI95" s="167"/>
      <c r="JMJ95" s="168"/>
      <c r="JMK95" s="167"/>
      <c r="JML95" s="168"/>
      <c r="JMM95" s="167"/>
      <c r="JMN95" s="168"/>
      <c r="JMO95" s="167"/>
      <c r="JMP95" s="168"/>
      <c r="JMQ95" s="167"/>
      <c r="JMR95" s="168"/>
      <c r="JMS95" s="167"/>
      <c r="JMT95" s="168"/>
      <c r="JMU95" s="167"/>
      <c r="JMV95" s="168"/>
      <c r="JMW95" s="167"/>
      <c r="JMX95" s="168"/>
      <c r="JMY95" s="167"/>
      <c r="JMZ95" s="168"/>
      <c r="JNA95" s="167"/>
      <c r="JNB95" s="168"/>
      <c r="JNC95" s="167"/>
      <c r="JND95" s="168"/>
      <c r="JNE95" s="167"/>
      <c r="JNF95" s="168"/>
      <c r="JNG95" s="167"/>
      <c r="JNH95" s="168"/>
      <c r="JNI95" s="167"/>
      <c r="JNJ95" s="168"/>
      <c r="JNK95" s="167"/>
      <c r="JNL95" s="168"/>
      <c r="JNM95" s="167"/>
      <c r="JNN95" s="168"/>
      <c r="JNO95" s="167"/>
      <c r="JNP95" s="168"/>
      <c r="JNQ95" s="167"/>
      <c r="JNR95" s="168"/>
      <c r="JNS95" s="167"/>
      <c r="JNT95" s="168"/>
      <c r="JNU95" s="167"/>
      <c r="JNV95" s="168"/>
      <c r="JNW95" s="167"/>
      <c r="JNX95" s="168"/>
      <c r="JNY95" s="167"/>
      <c r="JNZ95" s="168"/>
      <c r="JOA95" s="167"/>
      <c r="JOB95" s="168"/>
      <c r="JOC95" s="167"/>
      <c r="JOD95" s="168"/>
      <c r="JOE95" s="167"/>
      <c r="JOF95" s="168"/>
      <c r="JOG95" s="167"/>
      <c r="JOH95" s="168"/>
      <c r="JOI95" s="167"/>
      <c r="JOJ95" s="168"/>
      <c r="JOK95" s="167"/>
      <c r="JOL95" s="168"/>
      <c r="JOM95" s="167"/>
      <c r="JON95" s="168"/>
      <c r="JOO95" s="167"/>
      <c r="JOP95" s="168"/>
      <c r="JOQ95" s="167"/>
      <c r="JOR95" s="168"/>
      <c r="JOS95" s="167"/>
      <c r="JOT95" s="168"/>
      <c r="JOU95" s="167"/>
      <c r="JOV95" s="168"/>
      <c r="JOW95" s="167"/>
      <c r="JOX95" s="168"/>
      <c r="JOY95" s="167"/>
      <c r="JOZ95" s="168"/>
      <c r="JPA95" s="167"/>
      <c r="JPB95" s="168"/>
      <c r="JPC95" s="167"/>
      <c r="JPD95" s="168"/>
      <c r="JPE95" s="167"/>
      <c r="JPF95" s="168"/>
      <c r="JPG95" s="167"/>
      <c r="JPH95" s="168"/>
      <c r="JPI95" s="167"/>
      <c r="JPJ95" s="168"/>
      <c r="JPK95" s="167"/>
      <c r="JPL95" s="168"/>
      <c r="JPM95" s="167"/>
      <c r="JPN95" s="168"/>
      <c r="JPO95" s="167"/>
      <c r="JPP95" s="168"/>
      <c r="JPQ95" s="167"/>
      <c r="JPR95" s="168"/>
      <c r="JPS95" s="167"/>
      <c r="JPT95" s="168"/>
      <c r="JPU95" s="167"/>
      <c r="JPV95" s="168"/>
      <c r="JPW95" s="167"/>
      <c r="JPX95" s="168"/>
      <c r="JPY95" s="167"/>
      <c r="JPZ95" s="168"/>
      <c r="JQA95" s="167"/>
      <c r="JQB95" s="168"/>
      <c r="JQC95" s="167"/>
      <c r="JQD95" s="168"/>
      <c r="JQE95" s="167"/>
      <c r="JQF95" s="168"/>
      <c r="JQG95" s="167"/>
      <c r="JQH95" s="168"/>
      <c r="JQI95" s="167"/>
      <c r="JQJ95" s="168"/>
      <c r="JQK95" s="167"/>
      <c r="JQL95" s="168"/>
      <c r="JQM95" s="167"/>
      <c r="JQN95" s="168"/>
      <c r="JQO95" s="167"/>
      <c r="JQP95" s="168"/>
      <c r="JQQ95" s="167"/>
      <c r="JQR95" s="168"/>
      <c r="JQS95" s="167"/>
      <c r="JQT95" s="168"/>
      <c r="JQU95" s="167"/>
      <c r="JQV95" s="168"/>
      <c r="JQW95" s="167"/>
      <c r="JQX95" s="168"/>
      <c r="JQY95" s="167"/>
      <c r="JQZ95" s="168"/>
      <c r="JRA95" s="167"/>
      <c r="JRB95" s="168"/>
      <c r="JRC95" s="167"/>
      <c r="JRD95" s="168"/>
      <c r="JRE95" s="167"/>
      <c r="JRF95" s="168"/>
      <c r="JRG95" s="167"/>
      <c r="JRH95" s="168"/>
      <c r="JRI95" s="167"/>
      <c r="JRJ95" s="168"/>
      <c r="JRK95" s="167"/>
      <c r="JRL95" s="168"/>
      <c r="JRM95" s="167"/>
      <c r="JRN95" s="168"/>
      <c r="JRO95" s="167"/>
      <c r="JRP95" s="168"/>
      <c r="JRQ95" s="167"/>
      <c r="JRR95" s="168"/>
      <c r="JRS95" s="167"/>
      <c r="JRT95" s="168"/>
      <c r="JRU95" s="167"/>
      <c r="JRV95" s="168"/>
      <c r="JRW95" s="167"/>
      <c r="JRX95" s="168"/>
      <c r="JRY95" s="167"/>
      <c r="JRZ95" s="168"/>
      <c r="JSA95" s="167"/>
      <c r="JSB95" s="168"/>
      <c r="JSC95" s="167"/>
      <c r="JSD95" s="168"/>
      <c r="JSE95" s="167"/>
      <c r="JSF95" s="168"/>
      <c r="JSG95" s="167"/>
      <c r="JSH95" s="168"/>
      <c r="JSI95" s="167"/>
      <c r="JSJ95" s="168"/>
      <c r="JSK95" s="167"/>
      <c r="JSL95" s="168"/>
      <c r="JSM95" s="167"/>
      <c r="JSN95" s="168"/>
      <c r="JSO95" s="167"/>
      <c r="JSP95" s="168"/>
      <c r="JSQ95" s="167"/>
      <c r="JSR95" s="168"/>
      <c r="JSS95" s="167"/>
      <c r="JST95" s="168"/>
      <c r="JSU95" s="167"/>
      <c r="JSV95" s="168"/>
      <c r="JSW95" s="167"/>
      <c r="JSX95" s="168"/>
      <c r="JSY95" s="167"/>
      <c r="JSZ95" s="168"/>
      <c r="JTA95" s="167"/>
      <c r="JTB95" s="168"/>
      <c r="JTC95" s="167"/>
      <c r="JTD95" s="168"/>
      <c r="JTE95" s="167"/>
      <c r="JTF95" s="168"/>
      <c r="JTG95" s="167"/>
      <c r="JTH95" s="168"/>
      <c r="JTI95" s="167"/>
      <c r="JTJ95" s="168"/>
      <c r="JTK95" s="167"/>
      <c r="JTL95" s="168"/>
      <c r="JTM95" s="167"/>
      <c r="JTN95" s="168"/>
      <c r="JTO95" s="167"/>
      <c r="JTP95" s="168"/>
      <c r="JTQ95" s="167"/>
      <c r="JTR95" s="168"/>
      <c r="JTS95" s="167"/>
      <c r="JTT95" s="168"/>
      <c r="JTU95" s="167"/>
      <c r="JTV95" s="168"/>
      <c r="JTW95" s="167"/>
      <c r="JTX95" s="168"/>
      <c r="JTY95" s="167"/>
      <c r="JTZ95" s="168"/>
      <c r="JUA95" s="167"/>
      <c r="JUB95" s="168"/>
      <c r="JUC95" s="167"/>
      <c r="JUD95" s="168"/>
      <c r="JUE95" s="167"/>
      <c r="JUF95" s="168"/>
      <c r="JUG95" s="167"/>
      <c r="JUH95" s="168"/>
      <c r="JUI95" s="167"/>
      <c r="JUJ95" s="168"/>
      <c r="JUK95" s="167"/>
      <c r="JUL95" s="168"/>
      <c r="JUM95" s="167"/>
      <c r="JUN95" s="168"/>
      <c r="JUO95" s="167"/>
      <c r="JUP95" s="168"/>
      <c r="JUQ95" s="167"/>
      <c r="JUR95" s="168"/>
      <c r="JUS95" s="167"/>
      <c r="JUT95" s="168"/>
      <c r="JUU95" s="167"/>
      <c r="JUV95" s="168"/>
      <c r="JUW95" s="167"/>
      <c r="JUX95" s="168"/>
      <c r="JUY95" s="167"/>
      <c r="JUZ95" s="168"/>
      <c r="JVA95" s="167"/>
      <c r="JVB95" s="168"/>
      <c r="JVC95" s="167"/>
      <c r="JVD95" s="168"/>
      <c r="JVE95" s="167"/>
      <c r="JVF95" s="168"/>
      <c r="JVG95" s="167"/>
      <c r="JVH95" s="168"/>
      <c r="JVI95" s="167"/>
      <c r="JVJ95" s="168"/>
      <c r="JVK95" s="167"/>
      <c r="JVL95" s="168"/>
      <c r="JVM95" s="167"/>
      <c r="JVN95" s="168"/>
      <c r="JVO95" s="167"/>
      <c r="JVP95" s="168"/>
      <c r="JVQ95" s="167"/>
      <c r="JVR95" s="168"/>
      <c r="JVS95" s="167"/>
      <c r="JVT95" s="168"/>
      <c r="JVU95" s="167"/>
      <c r="JVV95" s="168"/>
      <c r="JVW95" s="167"/>
      <c r="JVX95" s="168"/>
      <c r="JVY95" s="167"/>
      <c r="JVZ95" s="168"/>
      <c r="JWA95" s="167"/>
      <c r="JWB95" s="168"/>
      <c r="JWC95" s="167"/>
      <c r="JWD95" s="168"/>
      <c r="JWE95" s="167"/>
      <c r="JWF95" s="168"/>
      <c r="JWG95" s="167"/>
      <c r="JWH95" s="168"/>
      <c r="JWI95" s="167"/>
      <c r="JWJ95" s="168"/>
      <c r="JWK95" s="167"/>
      <c r="JWL95" s="168"/>
      <c r="JWM95" s="167"/>
      <c r="JWN95" s="168"/>
      <c r="JWO95" s="167"/>
      <c r="JWP95" s="168"/>
      <c r="JWQ95" s="167"/>
      <c r="JWR95" s="168"/>
      <c r="JWS95" s="167"/>
      <c r="JWT95" s="168"/>
      <c r="JWU95" s="167"/>
      <c r="JWV95" s="168"/>
      <c r="JWW95" s="167"/>
      <c r="JWX95" s="168"/>
      <c r="JWY95" s="167"/>
      <c r="JWZ95" s="168"/>
      <c r="JXA95" s="167"/>
      <c r="JXB95" s="168"/>
      <c r="JXC95" s="167"/>
      <c r="JXD95" s="168"/>
      <c r="JXE95" s="167"/>
      <c r="JXF95" s="168"/>
      <c r="JXG95" s="167"/>
      <c r="JXH95" s="168"/>
      <c r="JXI95" s="167"/>
      <c r="JXJ95" s="168"/>
      <c r="JXK95" s="167"/>
      <c r="JXL95" s="168"/>
      <c r="JXM95" s="167"/>
      <c r="JXN95" s="168"/>
      <c r="JXO95" s="167"/>
      <c r="JXP95" s="168"/>
      <c r="JXQ95" s="167"/>
      <c r="JXR95" s="168"/>
      <c r="JXS95" s="167"/>
      <c r="JXT95" s="168"/>
      <c r="JXU95" s="167"/>
      <c r="JXV95" s="168"/>
      <c r="JXW95" s="167"/>
      <c r="JXX95" s="168"/>
      <c r="JXY95" s="167"/>
      <c r="JXZ95" s="168"/>
      <c r="JYA95" s="167"/>
      <c r="JYB95" s="168"/>
      <c r="JYC95" s="167"/>
      <c r="JYD95" s="168"/>
      <c r="JYE95" s="167"/>
      <c r="JYF95" s="168"/>
      <c r="JYG95" s="167"/>
      <c r="JYH95" s="168"/>
      <c r="JYI95" s="167"/>
      <c r="JYJ95" s="168"/>
      <c r="JYK95" s="167"/>
      <c r="JYL95" s="168"/>
      <c r="JYM95" s="167"/>
      <c r="JYN95" s="168"/>
      <c r="JYO95" s="167"/>
      <c r="JYP95" s="168"/>
      <c r="JYQ95" s="167"/>
      <c r="JYR95" s="168"/>
      <c r="JYS95" s="167"/>
      <c r="JYT95" s="168"/>
      <c r="JYU95" s="167"/>
      <c r="JYV95" s="168"/>
      <c r="JYW95" s="167"/>
      <c r="JYX95" s="168"/>
      <c r="JYY95" s="167"/>
      <c r="JYZ95" s="168"/>
      <c r="JZA95" s="167"/>
      <c r="JZB95" s="168"/>
      <c r="JZC95" s="167"/>
      <c r="JZD95" s="168"/>
      <c r="JZE95" s="167"/>
      <c r="JZF95" s="168"/>
      <c r="JZG95" s="167"/>
      <c r="JZH95" s="168"/>
      <c r="JZI95" s="167"/>
      <c r="JZJ95" s="168"/>
      <c r="JZK95" s="167"/>
      <c r="JZL95" s="168"/>
      <c r="JZM95" s="167"/>
      <c r="JZN95" s="168"/>
      <c r="JZO95" s="167"/>
      <c r="JZP95" s="168"/>
      <c r="JZQ95" s="167"/>
      <c r="JZR95" s="168"/>
      <c r="JZS95" s="167"/>
      <c r="JZT95" s="168"/>
      <c r="JZU95" s="167"/>
      <c r="JZV95" s="168"/>
      <c r="JZW95" s="167"/>
      <c r="JZX95" s="168"/>
      <c r="JZY95" s="167"/>
      <c r="JZZ95" s="168"/>
      <c r="KAA95" s="167"/>
      <c r="KAB95" s="168"/>
      <c r="KAC95" s="167"/>
      <c r="KAD95" s="168"/>
      <c r="KAE95" s="167"/>
      <c r="KAF95" s="168"/>
      <c r="KAG95" s="167"/>
      <c r="KAH95" s="168"/>
      <c r="KAI95" s="167"/>
      <c r="KAJ95" s="168"/>
      <c r="KAK95" s="167"/>
      <c r="KAL95" s="168"/>
      <c r="KAM95" s="167"/>
      <c r="KAN95" s="168"/>
      <c r="KAO95" s="167"/>
      <c r="KAP95" s="168"/>
      <c r="KAQ95" s="167"/>
      <c r="KAR95" s="168"/>
      <c r="KAS95" s="167"/>
      <c r="KAT95" s="168"/>
      <c r="KAU95" s="167"/>
      <c r="KAV95" s="168"/>
      <c r="KAW95" s="167"/>
      <c r="KAX95" s="168"/>
      <c r="KAY95" s="167"/>
      <c r="KAZ95" s="168"/>
      <c r="KBA95" s="167"/>
      <c r="KBB95" s="168"/>
      <c r="KBC95" s="167"/>
      <c r="KBD95" s="168"/>
      <c r="KBE95" s="167"/>
      <c r="KBF95" s="168"/>
      <c r="KBG95" s="167"/>
      <c r="KBH95" s="168"/>
      <c r="KBI95" s="167"/>
      <c r="KBJ95" s="168"/>
      <c r="KBK95" s="167"/>
      <c r="KBL95" s="168"/>
      <c r="KBM95" s="167"/>
      <c r="KBN95" s="168"/>
      <c r="KBO95" s="167"/>
      <c r="KBP95" s="168"/>
      <c r="KBQ95" s="167"/>
      <c r="KBR95" s="168"/>
      <c r="KBS95" s="167"/>
      <c r="KBT95" s="168"/>
      <c r="KBU95" s="167"/>
      <c r="KBV95" s="168"/>
      <c r="KBW95" s="167"/>
      <c r="KBX95" s="168"/>
      <c r="KBY95" s="167"/>
      <c r="KBZ95" s="168"/>
      <c r="KCA95" s="167"/>
      <c r="KCB95" s="168"/>
      <c r="KCC95" s="167"/>
      <c r="KCD95" s="168"/>
      <c r="KCE95" s="167"/>
      <c r="KCF95" s="168"/>
      <c r="KCG95" s="167"/>
      <c r="KCH95" s="168"/>
      <c r="KCI95" s="167"/>
      <c r="KCJ95" s="168"/>
      <c r="KCK95" s="167"/>
      <c r="KCL95" s="168"/>
      <c r="KCM95" s="167"/>
      <c r="KCN95" s="168"/>
      <c r="KCO95" s="167"/>
      <c r="KCP95" s="168"/>
      <c r="KCQ95" s="167"/>
      <c r="KCR95" s="168"/>
      <c r="KCS95" s="167"/>
      <c r="KCT95" s="168"/>
      <c r="KCU95" s="167"/>
      <c r="KCV95" s="168"/>
      <c r="KCW95" s="167"/>
      <c r="KCX95" s="168"/>
      <c r="KCY95" s="167"/>
      <c r="KCZ95" s="168"/>
      <c r="KDA95" s="167"/>
      <c r="KDB95" s="168"/>
      <c r="KDC95" s="167"/>
      <c r="KDD95" s="168"/>
      <c r="KDE95" s="167"/>
      <c r="KDF95" s="168"/>
      <c r="KDG95" s="167"/>
      <c r="KDH95" s="168"/>
      <c r="KDI95" s="167"/>
      <c r="KDJ95" s="168"/>
      <c r="KDK95" s="167"/>
      <c r="KDL95" s="168"/>
      <c r="KDM95" s="167"/>
      <c r="KDN95" s="168"/>
      <c r="KDO95" s="167"/>
      <c r="KDP95" s="168"/>
      <c r="KDQ95" s="167"/>
      <c r="KDR95" s="168"/>
      <c r="KDS95" s="167"/>
      <c r="KDT95" s="168"/>
      <c r="KDU95" s="167"/>
      <c r="KDV95" s="168"/>
      <c r="KDW95" s="167"/>
      <c r="KDX95" s="168"/>
      <c r="KDY95" s="167"/>
      <c r="KDZ95" s="168"/>
      <c r="KEA95" s="167"/>
      <c r="KEB95" s="168"/>
      <c r="KEC95" s="167"/>
      <c r="KED95" s="168"/>
      <c r="KEE95" s="167"/>
      <c r="KEF95" s="168"/>
      <c r="KEG95" s="167"/>
      <c r="KEH95" s="168"/>
      <c r="KEI95" s="167"/>
      <c r="KEJ95" s="168"/>
      <c r="KEK95" s="167"/>
      <c r="KEL95" s="168"/>
      <c r="KEM95" s="167"/>
      <c r="KEN95" s="168"/>
      <c r="KEO95" s="167"/>
      <c r="KEP95" s="168"/>
      <c r="KEQ95" s="167"/>
      <c r="KER95" s="168"/>
      <c r="KES95" s="167"/>
      <c r="KET95" s="168"/>
      <c r="KEU95" s="167"/>
      <c r="KEV95" s="168"/>
      <c r="KEW95" s="167"/>
      <c r="KEX95" s="168"/>
      <c r="KEY95" s="167"/>
      <c r="KEZ95" s="168"/>
      <c r="KFA95" s="167"/>
      <c r="KFB95" s="168"/>
      <c r="KFC95" s="167"/>
      <c r="KFD95" s="168"/>
      <c r="KFE95" s="167"/>
      <c r="KFF95" s="168"/>
      <c r="KFG95" s="167"/>
      <c r="KFH95" s="168"/>
      <c r="KFI95" s="167"/>
      <c r="KFJ95" s="168"/>
      <c r="KFK95" s="167"/>
      <c r="KFL95" s="168"/>
      <c r="KFM95" s="167"/>
      <c r="KFN95" s="168"/>
      <c r="KFO95" s="167"/>
      <c r="KFP95" s="168"/>
      <c r="KFQ95" s="167"/>
      <c r="KFR95" s="168"/>
      <c r="KFS95" s="167"/>
      <c r="KFT95" s="168"/>
      <c r="KFU95" s="167"/>
      <c r="KFV95" s="168"/>
      <c r="KFW95" s="167"/>
      <c r="KFX95" s="168"/>
      <c r="KFY95" s="167"/>
      <c r="KFZ95" s="168"/>
      <c r="KGA95" s="167"/>
      <c r="KGB95" s="168"/>
      <c r="KGC95" s="167"/>
      <c r="KGD95" s="168"/>
      <c r="KGE95" s="167"/>
      <c r="KGF95" s="168"/>
      <c r="KGG95" s="167"/>
      <c r="KGH95" s="168"/>
      <c r="KGI95" s="167"/>
      <c r="KGJ95" s="168"/>
      <c r="KGK95" s="167"/>
      <c r="KGL95" s="168"/>
      <c r="KGM95" s="167"/>
      <c r="KGN95" s="168"/>
      <c r="KGO95" s="167"/>
      <c r="KGP95" s="168"/>
      <c r="KGQ95" s="167"/>
      <c r="KGR95" s="168"/>
      <c r="KGS95" s="167"/>
      <c r="KGT95" s="168"/>
      <c r="KGU95" s="167"/>
      <c r="KGV95" s="168"/>
      <c r="KGW95" s="167"/>
      <c r="KGX95" s="168"/>
      <c r="KGY95" s="167"/>
      <c r="KGZ95" s="168"/>
      <c r="KHA95" s="167"/>
      <c r="KHB95" s="168"/>
      <c r="KHC95" s="167"/>
      <c r="KHD95" s="168"/>
      <c r="KHE95" s="167"/>
      <c r="KHF95" s="168"/>
      <c r="KHG95" s="167"/>
      <c r="KHH95" s="168"/>
      <c r="KHI95" s="167"/>
      <c r="KHJ95" s="168"/>
      <c r="KHK95" s="167"/>
      <c r="KHL95" s="168"/>
      <c r="KHM95" s="167"/>
      <c r="KHN95" s="168"/>
      <c r="KHO95" s="167"/>
      <c r="KHP95" s="168"/>
      <c r="KHQ95" s="167"/>
      <c r="KHR95" s="168"/>
      <c r="KHS95" s="167"/>
      <c r="KHT95" s="168"/>
      <c r="KHU95" s="167"/>
      <c r="KHV95" s="168"/>
      <c r="KHW95" s="167"/>
      <c r="KHX95" s="168"/>
      <c r="KHY95" s="167"/>
      <c r="KHZ95" s="168"/>
      <c r="KIA95" s="167"/>
      <c r="KIB95" s="168"/>
      <c r="KIC95" s="167"/>
      <c r="KID95" s="168"/>
      <c r="KIE95" s="167"/>
      <c r="KIF95" s="168"/>
      <c r="KIG95" s="167"/>
      <c r="KIH95" s="168"/>
      <c r="KII95" s="167"/>
      <c r="KIJ95" s="168"/>
      <c r="KIK95" s="167"/>
      <c r="KIL95" s="168"/>
      <c r="KIM95" s="167"/>
      <c r="KIN95" s="168"/>
      <c r="KIO95" s="167"/>
      <c r="KIP95" s="168"/>
      <c r="KIQ95" s="167"/>
      <c r="KIR95" s="168"/>
      <c r="KIS95" s="167"/>
      <c r="KIT95" s="168"/>
      <c r="KIU95" s="167"/>
      <c r="KIV95" s="168"/>
      <c r="KIW95" s="167"/>
      <c r="KIX95" s="168"/>
      <c r="KIY95" s="167"/>
      <c r="KIZ95" s="168"/>
      <c r="KJA95" s="167"/>
      <c r="KJB95" s="168"/>
      <c r="KJC95" s="167"/>
      <c r="KJD95" s="168"/>
      <c r="KJE95" s="167"/>
      <c r="KJF95" s="168"/>
      <c r="KJG95" s="167"/>
      <c r="KJH95" s="168"/>
      <c r="KJI95" s="167"/>
      <c r="KJJ95" s="168"/>
      <c r="KJK95" s="167"/>
      <c r="KJL95" s="168"/>
      <c r="KJM95" s="167"/>
      <c r="KJN95" s="168"/>
      <c r="KJO95" s="167"/>
      <c r="KJP95" s="168"/>
      <c r="KJQ95" s="167"/>
      <c r="KJR95" s="168"/>
      <c r="KJS95" s="167"/>
      <c r="KJT95" s="168"/>
      <c r="KJU95" s="167"/>
      <c r="KJV95" s="168"/>
      <c r="KJW95" s="167"/>
      <c r="KJX95" s="168"/>
      <c r="KJY95" s="167"/>
      <c r="KJZ95" s="168"/>
      <c r="KKA95" s="167"/>
      <c r="KKB95" s="168"/>
      <c r="KKC95" s="167"/>
      <c r="KKD95" s="168"/>
      <c r="KKE95" s="167"/>
      <c r="KKF95" s="168"/>
      <c r="KKG95" s="167"/>
      <c r="KKH95" s="168"/>
      <c r="KKI95" s="167"/>
      <c r="KKJ95" s="168"/>
      <c r="KKK95" s="167"/>
      <c r="KKL95" s="168"/>
      <c r="KKM95" s="167"/>
      <c r="KKN95" s="168"/>
      <c r="KKO95" s="167"/>
      <c r="KKP95" s="168"/>
      <c r="KKQ95" s="167"/>
      <c r="KKR95" s="168"/>
      <c r="KKS95" s="167"/>
      <c r="KKT95" s="168"/>
      <c r="KKU95" s="167"/>
      <c r="KKV95" s="168"/>
      <c r="KKW95" s="167"/>
      <c r="KKX95" s="168"/>
      <c r="KKY95" s="167"/>
      <c r="KKZ95" s="168"/>
      <c r="KLA95" s="167"/>
      <c r="KLB95" s="168"/>
      <c r="KLC95" s="167"/>
      <c r="KLD95" s="168"/>
      <c r="KLE95" s="167"/>
      <c r="KLF95" s="168"/>
      <c r="KLG95" s="167"/>
      <c r="KLH95" s="168"/>
      <c r="KLI95" s="167"/>
      <c r="KLJ95" s="168"/>
      <c r="KLK95" s="167"/>
      <c r="KLL95" s="168"/>
      <c r="KLM95" s="167"/>
      <c r="KLN95" s="168"/>
      <c r="KLO95" s="167"/>
      <c r="KLP95" s="168"/>
      <c r="KLQ95" s="167"/>
      <c r="KLR95" s="168"/>
      <c r="KLS95" s="167"/>
      <c r="KLT95" s="168"/>
      <c r="KLU95" s="167"/>
      <c r="KLV95" s="168"/>
      <c r="KLW95" s="167"/>
      <c r="KLX95" s="168"/>
      <c r="KLY95" s="167"/>
      <c r="KLZ95" s="168"/>
      <c r="KMA95" s="167"/>
      <c r="KMB95" s="168"/>
      <c r="KMC95" s="167"/>
      <c r="KMD95" s="168"/>
      <c r="KME95" s="167"/>
      <c r="KMF95" s="168"/>
      <c r="KMG95" s="167"/>
      <c r="KMH95" s="168"/>
      <c r="KMI95" s="167"/>
      <c r="KMJ95" s="168"/>
      <c r="KMK95" s="167"/>
      <c r="KML95" s="168"/>
      <c r="KMM95" s="167"/>
      <c r="KMN95" s="168"/>
      <c r="KMO95" s="167"/>
      <c r="KMP95" s="168"/>
      <c r="KMQ95" s="167"/>
      <c r="KMR95" s="168"/>
      <c r="KMS95" s="167"/>
      <c r="KMT95" s="168"/>
      <c r="KMU95" s="167"/>
      <c r="KMV95" s="168"/>
      <c r="KMW95" s="167"/>
      <c r="KMX95" s="168"/>
      <c r="KMY95" s="167"/>
      <c r="KMZ95" s="168"/>
      <c r="KNA95" s="167"/>
      <c r="KNB95" s="168"/>
      <c r="KNC95" s="167"/>
      <c r="KND95" s="168"/>
      <c r="KNE95" s="167"/>
      <c r="KNF95" s="168"/>
      <c r="KNG95" s="167"/>
      <c r="KNH95" s="168"/>
      <c r="KNI95" s="167"/>
      <c r="KNJ95" s="168"/>
      <c r="KNK95" s="167"/>
      <c r="KNL95" s="168"/>
      <c r="KNM95" s="167"/>
      <c r="KNN95" s="168"/>
      <c r="KNO95" s="167"/>
      <c r="KNP95" s="168"/>
      <c r="KNQ95" s="167"/>
      <c r="KNR95" s="168"/>
      <c r="KNS95" s="167"/>
      <c r="KNT95" s="168"/>
      <c r="KNU95" s="167"/>
      <c r="KNV95" s="168"/>
      <c r="KNW95" s="167"/>
      <c r="KNX95" s="168"/>
      <c r="KNY95" s="167"/>
      <c r="KNZ95" s="168"/>
      <c r="KOA95" s="167"/>
      <c r="KOB95" s="168"/>
      <c r="KOC95" s="167"/>
      <c r="KOD95" s="168"/>
      <c r="KOE95" s="167"/>
      <c r="KOF95" s="168"/>
      <c r="KOG95" s="167"/>
      <c r="KOH95" s="168"/>
      <c r="KOI95" s="167"/>
      <c r="KOJ95" s="168"/>
      <c r="KOK95" s="167"/>
      <c r="KOL95" s="168"/>
      <c r="KOM95" s="167"/>
      <c r="KON95" s="168"/>
      <c r="KOO95" s="167"/>
      <c r="KOP95" s="168"/>
      <c r="KOQ95" s="167"/>
      <c r="KOR95" s="168"/>
      <c r="KOS95" s="167"/>
      <c r="KOT95" s="168"/>
      <c r="KOU95" s="167"/>
      <c r="KOV95" s="168"/>
      <c r="KOW95" s="167"/>
      <c r="KOX95" s="168"/>
      <c r="KOY95" s="167"/>
      <c r="KOZ95" s="168"/>
      <c r="KPA95" s="167"/>
      <c r="KPB95" s="168"/>
      <c r="KPC95" s="167"/>
      <c r="KPD95" s="168"/>
      <c r="KPE95" s="167"/>
      <c r="KPF95" s="168"/>
      <c r="KPG95" s="167"/>
      <c r="KPH95" s="168"/>
      <c r="KPI95" s="167"/>
      <c r="KPJ95" s="168"/>
      <c r="KPK95" s="167"/>
      <c r="KPL95" s="168"/>
      <c r="KPM95" s="167"/>
      <c r="KPN95" s="168"/>
      <c r="KPO95" s="167"/>
      <c r="KPP95" s="168"/>
      <c r="KPQ95" s="167"/>
      <c r="KPR95" s="168"/>
      <c r="KPS95" s="167"/>
      <c r="KPT95" s="168"/>
      <c r="KPU95" s="167"/>
      <c r="KPV95" s="168"/>
      <c r="KPW95" s="167"/>
      <c r="KPX95" s="168"/>
      <c r="KPY95" s="167"/>
      <c r="KPZ95" s="168"/>
      <c r="KQA95" s="167"/>
      <c r="KQB95" s="168"/>
      <c r="KQC95" s="167"/>
      <c r="KQD95" s="168"/>
      <c r="KQE95" s="167"/>
      <c r="KQF95" s="168"/>
      <c r="KQG95" s="167"/>
      <c r="KQH95" s="168"/>
      <c r="KQI95" s="167"/>
      <c r="KQJ95" s="168"/>
      <c r="KQK95" s="167"/>
      <c r="KQL95" s="168"/>
      <c r="KQM95" s="167"/>
      <c r="KQN95" s="168"/>
      <c r="KQO95" s="167"/>
      <c r="KQP95" s="168"/>
      <c r="KQQ95" s="167"/>
      <c r="KQR95" s="168"/>
      <c r="KQS95" s="167"/>
      <c r="KQT95" s="168"/>
      <c r="KQU95" s="167"/>
      <c r="KQV95" s="168"/>
      <c r="KQW95" s="167"/>
      <c r="KQX95" s="168"/>
      <c r="KQY95" s="167"/>
      <c r="KQZ95" s="168"/>
      <c r="KRA95" s="167"/>
      <c r="KRB95" s="168"/>
      <c r="KRC95" s="167"/>
      <c r="KRD95" s="168"/>
      <c r="KRE95" s="167"/>
      <c r="KRF95" s="168"/>
      <c r="KRG95" s="167"/>
      <c r="KRH95" s="168"/>
      <c r="KRI95" s="167"/>
      <c r="KRJ95" s="168"/>
      <c r="KRK95" s="167"/>
      <c r="KRL95" s="168"/>
      <c r="KRM95" s="167"/>
      <c r="KRN95" s="168"/>
      <c r="KRO95" s="167"/>
      <c r="KRP95" s="168"/>
      <c r="KRQ95" s="167"/>
      <c r="KRR95" s="168"/>
      <c r="KRS95" s="167"/>
      <c r="KRT95" s="168"/>
      <c r="KRU95" s="167"/>
      <c r="KRV95" s="168"/>
      <c r="KRW95" s="167"/>
      <c r="KRX95" s="168"/>
      <c r="KRY95" s="167"/>
      <c r="KRZ95" s="168"/>
      <c r="KSA95" s="167"/>
      <c r="KSB95" s="168"/>
      <c r="KSC95" s="167"/>
      <c r="KSD95" s="168"/>
      <c r="KSE95" s="167"/>
      <c r="KSF95" s="168"/>
      <c r="KSG95" s="167"/>
      <c r="KSH95" s="168"/>
      <c r="KSI95" s="167"/>
      <c r="KSJ95" s="168"/>
      <c r="KSK95" s="167"/>
      <c r="KSL95" s="168"/>
      <c r="KSM95" s="167"/>
      <c r="KSN95" s="168"/>
      <c r="KSO95" s="167"/>
      <c r="KSP95" s="168"/>
      <c r="KSQ95" s="167"/>
      <c r="KSR95" s="168"/>
      <c r="KSS95" s="167"/>
      <c r="KST95" s="168"/>
      <c r="KSU95" s="167"/>
      <c r="KSV95" s="168"/>
      <c r="KSW95" s="167"/>
      <c r="KSX95" s="168"/>
      <c r="KSY95" s="167"/>
      <c r="KSZ95" s="168"/>
      <c r="KTA95" s="167"/>
      <c r="KTB95" s="168"/>
      <c r="KTC95" s="167"/>
      <c r="KTD95" s="168"/>
      <c r="KTE95" s="167"/>
      <c r="KTF95" s="168"/>
      <c r="KTG95" s="167"/>
      <c r="KTH95" s="168"/>
      <c r="KTI95" s="167"/>
      <c r="KTJ95" s="168"/>
      <c r="KTK95" s="167"/>
      <c r="KTL95" s="168"/>
      <c r="KTM95" s="167"/>
      <c r="KTN95" s="168"/>
      <c r="KTO95" s="167"/>
      <c r="KTP95" s="168"/>
      <c r="KTQ95" s="167"/>
      <c r="KTR95" s="168"/>
      <c r="KTS95" s="167"/>
      <c r="KTT95" s="168"/>
      <c r="KTU95" s="167"/>
      <c r="KTV95" s="168"/>
      <c r="KTW95" s="167"/>
      <c r="KTX95" s="168"/>
      <c r="KTY95" s="167"/>
      <c r="KTZ95" s="168"/>
      <c r="KUA95" s="167"/>
      <c r="KUB95" s="168"/>
      <c r="KUC95" s="167"/>
      <c r="KUD95" s="168"/>
      <c r="KUE95" s="167"/>
      <c r="KUF95" s="168"/>
      <c r="KUG95" s="167"/>
      <c r="KUH95" s="168"/>
      <c r="KUI95" s="167"/>
      <c r="KUJ95" s="168"/>
      <c r="KUK95" s="167"/>
      <c r="KUL95" s="168"/>
      <c r="KUM95" s="167"/>
      <c r="KUN95" s="168"/>
      <c r="KUO95" s="167"/>
      <c r="KUP95" s="168"/>
      <c r="KUQ95" s="167"/>
      <c r="KUR95" s="168"/>
      <c r="KUS95" s="167"/>
      <c r="KUT95" s="168"/>
      <c r="KUU95" s="167"/>
      <c r="KUV95" s="168"/>
      <c r="KUW95" s="167"/>
      <c r="KUX95" s="168"/>
      <c r="KUY95" s="167"/>
      <c r="KUZ95" s="168"/>
      <c r="KVA95" s="167"/>
      <c r="KVB95" s="168"/>
      <c r="KVC95" s="167"/>
      <c r="KVD95" s="168"/>
      <c r="KVE95" s="167"/>
      <c r="KVF95" s="168"/>
      <c r="KVG95" s="167"/>
      <c r="KVH95" s="168"/>
      <c r="KVI95" s="167"/>
      <c r="KVJ95" s="168"/>
      <c r="KVK95" s="167"/>
      <c r="KVL95" s="168"/>
      <c r="KVM95" s="167"/>
      <c r="KVN95" s="168"/>
      <c r="KVO95" s="167"/>
      <c r="KVP95" s="168"/>
      <c r="KVQ95" s="167"/>
      <c r="KVR95" s="168"/>
      <c r="KVS95" s="167"/>
      <c r="KVT95" s="168"/>
      <c r="KVU95" s="167"/>
      <c r="KVV95" s="168"/>
      <c r="KVW95" s="167"/>
      <c r="KVX95" s="168"/>
      <c r="KVY95" s="167"/>
      <c r="KVZ95" s="168"/>
      <c r="KWA95" s="167"/>
      <c r="KWB95" s="168"/>
      <c r="KWC95" s="167"/>
      <c r="KWD95" s="168"/>
      <c r="KWE95" s="167"/>
      <c r="KWF95" s="168"/>
      <c r="KWG95" s="167"/>
      <c r="KWH95" s="168"/>
      <c r="KWI95" s="167"/>
      <c r="KWJ95" s="168"/>
      <c r="KWK95" s="167"/>
      <c r="KWL95" s="168"/>
      <c r="KWM95" s="167"/>
      <c r="KWN95" s="168"/>
      <c r="KWO95" s="167"/>
      <c r="KWP95" s="168"/>
      <c r="KWQ95" s="167"/>
      <c r="KWR95" s="168"/>
      <c r="KWS95" s="167"/>
      <c r="KWT95" s="168"/>
      <c r="KWU95" s="167"/>
      <c r="KWV95" s="168"/>
      <c r="KWW95" s="167"/>
      <c r="KWX95" s="168"/>
      <c r="KWY95" s="167"/>
      <c r="KWZ95" s="168"/>
      <c r="KXA95" s="167"/>
      <c r="KXB95" s="168"/>
      <c r="KXC95" s="167"/>
      <c r="KXD95" s="168"/>
      <c r="KXE95" s="167"/>
      <c r="KXF95" s="168"/>
      <c r="KXG95" s="167"/>
      <c r="KXH95" s="168"/>
      <c r="KXI95" s="167"/>
      <c r="KXJ95" s="168"/>
      <c r="KXK95" s="167"/>
      <c r="KXL95" s="168"/>
      <c r="KXM95" s="167"/>
      <c r="KXN95" s="168"/>
      <c r="KXO95" s="167"/>
      <c r="KXP95" s="168"/>
      <c r="KXQ95" s="167"/>
      <c r="KXR95" s="168"/>
      <c r="KXS95" s="167"/>
      <c r="KXT95" s="168"/>
      <c r="KXU95" s="167"/>
      <c r="KXV95" s="168"/>
      <c r="KXW95" s="167"/>
      <c r="KXX95" s="168"/>
      <c r="KXY95" s="167"/>
      <c r="KXZ95" s="168"/>
      <c r="KYA95" s="167"/>
      <c r="KYB95" s="168"/>
      <c r="KYC95" s="167"/>
      <c r="KYD95" s="168"/>
      <c r="KYE95" s="167"/>
      <c r="KYF95" s="168"/>
      <c r="KYG95" s="167"/>
      <c r="KYH95" s="168"/>
      <c r="KYI95" s="167"/>
      <c r="KYJ95" s="168"/>
      <c r="KYK95" s="167"/>
      <c r="KYL95" s="168"/>
      <c r="KYM95" s="167"/>
      <c r="KYN95" s="168"/>
      <c r="KYO95" s="167"/>
      <c r="KYP95" s="168"/>
      <c r="KYQ95" s="167"/>
      <c r="KYR95" s="168"/>
      <c r="KYS95" s="167"/>
      <c r="KYT95" s="168"/>
      <c r="KYU95" s="167"/>
      <c r="KYV95" s="168"/>
      <c r="KYW95" s="167"/>
      <c r="KYX95" s="168"/>
      <c r="KYY95" s="167"/>
      <c r="KYZ95" s="168"/>
      <c r="KZA95" s="167"/>
      <c r="KZB95" s="168"/>
      <c r="KZC95" s="167"/>
      <c r="KZD95" s="168"/>
      <c r="KZE95" s="167"/>
      <c r="KZF95" s="168"/>
      <c r="KZG95" s="167"/>
      <c r="KZH95" s="168"/>
      <c r="KZI95" s="167"/>
      <c r="KZJ95" s="168"/>
      <c r="KZK95" s="167"/>
      <c r="KZL95" s="168"/>
      <c r="KZM95" s="167"/>
      <c r="KZN95" s="168"/>
      <c r="KZO95" s="167"/>
      <c r="KZP95" s="168"/>
      <c r="KZQ95" s="167"/>
      <c r="KZR95" s="168"/>
      <c r="KZS95" s="167"/>
      <c r="KZT95" s="168"/>
      <c r="KZU95" s="167"/>
      <c r="KZV95" s="168"/>
      <c r="KZW95" s="167"/>
      <c r="KZX95" s="168"/>
      <c r="KZY95" s="167"/>
      <c r="KZZ95" s="168"/>
      <c r="LAA95" s="167"/>
      <c r="LAB95" s="168"/>
      <c r="LAC95" s="167"/>
      <c r="LAD95" s="168"/>
      <c r="LAE95" s="167"/>
      <c r="LAF95" s="168"/>
      <c r="LAG95" s="167"/>
      <c r="LAH95" s="168"/>
      <c r="LAI95" s="167"/>
      <c r="LAJ95" s="168"/>
      <c r="LAK95" s="167"/>
      <c r="LAL95" s="168"/>
      <c r="LAM95" s="167"/>
      <c r="LAN95" s="168"/>
      <c r="LAO95" s="167"/>
      <c r="LAP95" s="168"/>
      <c r="LAQ95" s="167"/>
      <c r="LAR95" s="168"/>
      <c r="LAS95" s="167"/>
      <c r="LAT95" s="168"/>
      <c r="LAU95" s="167"/>
      <c r="LAV95" s="168"/>
      <c r="LAW95" s="167"/>
      <c r="LAX95" s="168"/>
      <c r="LAY95" s="167"/>
      <c r="LAZ95" s="168"/>
      <c r="LBA95" s="167"/>
      <c r="LBB95" s="168"/>
      <c r="LBC95" s="167"/>
      <c r="LBD95" s="168"/>
      <c r="LBE95" s="167"/>
      <c r="LBF95" s="168"/>
      <c r="LBG95" s="167"/>
      <c r="LBH95" s="168"/>
      <c r="LBI95" s="167"/>
      <c r="LBJ95" s="168"/>
      <c r="LBK95" s="167"/>
      <c r="LBL95" s="168"/>
      <c r="LBM95" s="167"/>
      <c r="LBN95" s="168"/>
      <c r="LBO95" s="167"/>
      <c r="LBP95" s="168"/>
      <c r="LBQ95" s="167"/>
      <c r="LBR95" s="168"/>
      <c r="LBS95" s="167"/>
      <c r="LBT95" s="168"/>
      <c r="LBU95" s="167"/>
      <c r="LBV95" s="168"/>
      <c r="LBW95" s="167"/>
      <c r="LBX95" s="168"/>
      <c r="LBY95" s="167"/>
      <c r="LBZ95" s="168"/>
      <c r="LCA95" s="167"/>
      <c r="LCB95" s="168"/>
      <c r="LCC95" s="167"/>
      <c r="LCD95" s="168"/>
      <c r="LCE95" s="167"/>
      <c r="LCF95" s="168"/>
      <c r="LCG95" s="167"/>
      <c r="LCH95" s="168"/>
      <c r="LCI95" s="167"/>
      <c r="LCJ95" s="168"/>
      <c r="LCK95" s="167"/>
      <c r="LCL95" s="168"/>
      <c r="LCM95" s="167"/>
      <c r="LCN95" s="168"/>
      <c r="LCO95" s="167"/>
      <c r="LCP95" s="168"/>
      <c r="LCQ95" s="167"/>
      <c r="LCR95" s="168"/>
      <c r="LCS95" s="167"/>
      <c r="LCT95" s="168"/>
      <c r="LCU95" s="167"/>
      <c r="LCV95" s="168"/>
      <c r="LCW95" s="167"/>
      <c r="LCX95" s="168"/>
      <c r="LCY95" s="167"/>
      <c r="LCZ95" s="168"/>
      <c r="LDA95" s="167"/>
      <c r="LDB95" s="168"/>
      <c r="LDC95" s="167"/>
      <c r="LDD95" s="168"/>
      <c r="LDE95" s="167"/>
      <c r="LDF95" s="168"/>
      <c r="LDG95" s="167"/>
      <c r="LDH95" s="168"/>
      <c r="LDI95" s="167"/>
      <c r="LDJ95" s="168"/>
      <c r="LDK95" s="167"/>
      <c r="LDL95" s="168"/>
      <c r="LDM95" s="167"/>
      <c r="LDN95" s="168"/>
      <c r="LDO95" s="167"/>
      <c r="LDP95" s="168"/>
      <c r="LDQ95" s="167"/>
      <c r="LDR95" s="168"/>
      <c r="LDS95" s="167"/>
      <c r="LDT95" s="168"/>
      <c r="LDU95" s="167"/>
      <c r="LDV95" s="168"/>
      <c r="LDW95" s="167"/>
      <c r="LDX95" s="168"/>
      <c r="LDY95" s="167"/>
      <c r="LDZ95" s="168"/>
      <c r="LEA95" s="167"/>
      <c r="LEB95" s="168"/>
      <c r="LEC95" s="167"/>
      <c r="LED95" s="168"/>
      <c r="LEE95" s="167"/>
      <c r="LEF95" s="168"/>
      <c r="LEG95" s="167"/>
      <c r="LEH95" s="168"/>
      <c r="LEI95" s="167"/>
      <c r="LEJ95" s="168"/>
      <c r="LEK95" s="167"/>
      <c r="LEL95" s="168"/>
      <c r="LEM95" s="167"/>
      <c r="LEN95" s="168"/>
      <c r="LEO95" s="167"/>
      <c r="LEP95" s="168"/>
      <c r="LEQ95" s="167"/>
      <c r="LER95" s="168"/>
      <c r="LES95" s="167"/>
      <c r="LET95" s="168"/>
      <c r="LEU95" s="167"/>
      <c r="LEV95" s="168"/>
      <c r="LEW95" s="167"/>
      <c r="LEX95" s="168"/>
      <c r="LEY95" s="167"/>
      <c r="LEZ95" s="168"/>
      <c r="LFA95" s="167"/>
      <c r="LFB95" s="168"/>
      <c r="LFC95" s="167"/>
      <c r="LFD95" s="168"/>
      <c r="LFE95" s="167"/>
      <c r="LFF95" s="168"/>
      <c r="LFG95" s="167"/>
      <c r="LFH95" s="168"/>
      <c r="LFI95" s="167"/>
      <c r="LFJ95" s="168"/>
      <c r="LFK95" s="167"/>
      <c r="LFL95" s="168"/>
      <c r="LFM95" s="167"/>
      <c r="LFN95" s="168"/>
      <c r="LFO95" s="167"/>
      <c r="LFP95" s="168"/>
      <c r="LFQ95" s="167"/>
      <c r="LFR95" s="168"/>
      <c r="LFS95" s="167"/>
      <c r="LFT95" s="168"/>
      <c r="LFU95" s="167"/>
      <c r="LFV95" s="168"/>
      <c r="LFW95" s="167"/>
      <c r="LFX95" s="168"/>
      <c r="LFY95" s="167"/>
      <c r="LFZ95" s="168"/>
      <c r="LGA95" s="167"/>
      <c r="LGB95" s="168"/>
      <c r="LGC95" s="167"/>
      <c r="LGD95" s="168"/>
      <c r="LGE95" s="167"/>
      <c r="LGF95" s="168"/>
      <c r="LGG95" s="167"/>
      <c r="LGH95" s="168"/>
      <c r="LGI95" s="167"/>
      <c r="LGJ95" s="168"/>
      <c r="LGK95" s="167"/>
      <c r="LGL95" s="168"/>
      <c r="LGM95" s="167"/>
      <c r="LGN95" s="168"/>
      <c r="LGO95" s="167"/>
      <c r="LGP95" s="168"/>
      <c r="LGQ95" s="167"/>
      <c r="LGR95" s="168"/>
      <c r="LGS95" s="167"/>
      <c r="LGT95" s="168"/>
      <c r="LGU95" s="167"/>
      <c r="LGV95" s="168"/>
      <c r="LGW95" s="167"/>
      <c r="LGX95" s="168"/>
      <c r="LGY95" s="167"/>
      <c r="LGZ95" s="168"/>
      <c r="LHA95" s="167"/>
      <c r="LHB95" s="168"/>
      <c r="LHC95" s="167"/>
      <c r="LHD95" s="168"/>
      <c r="LHE95" s="167"/>
      <c r="LHF95" s="168"/>
      <c r="LHG95" s="167"/>
      <c r="LHH95" s="168"/>
      <c r="LHI95" s="167"/>
      <c r="LHJ95" s="168"/>
      <c r="LHK95" s="167"/>
      <c r="LHL95" s="168"/>
      <c r="LHM95" s="167"/>
      <c r="LHN95" s="168"/>
      <c r="LHO95" s="167"/>
      <c r="LHP95" s="168"/>
      <c r="LHQ95" s="167"/>
      <c r="LHR95" s="168"/>
      <c r="LHS95" s="167"/>
      <c r="LHT95" s="168"/>
      <c r="LHU95" s="167"/>
      <c r="LHV95" s="168"/>
      <c r="LHW95" s="167"/>
      <c r="LHX95" s="168"/>
      <c r="LHY95" s="167"/>
      <c r="LHZ95" s="168"/>
      <c r="LIA95" s="167"/>
      <c r="LIB95" s="168"/>
      <c r="LIC95" s="167"/>
      <c r="LID95" s="168"/>
      <c r="LIE95" s="167"/>
      <c r="LIF95" s="168"/>
      <c r="LIG95" s="167"/>
      <c r="LIH95" s="168"/>
      <c r="LII95" s="167"/>
      <c r="LIJ95" s="168"/>
      <c r="LIK95" s="167"/>
      <c r="LIL95" s="168"/>
      <c r="LIM95" s="167"/>
      <c r="LIN95" s="168"/>
      <c r="LIO95" s="167"/>
      <c r="LIP95" s="168"/>
      <c r="LIQ95" s="167"/>
      <c r="LIR95" s="168"/>
      <c r="LIS95" s="167"/>
      <c r="LIT95" s="168"/>
      <c r="LIU95" s="167"/>
      <c r="LIV95" s="168"/>
      <c r="LIW95" s="167"/>
      <c r="LIX95" s="168"/>
      <c r="LIY95" s="167"/>
      <c r="LIZ95" s="168"/>
      <c r="LJA95" s="167"/>
      <c r="LJB95" s="168"/>
      <c r="LJC95" s="167"/>
      <c r="LJD95" s="168"/>
      <c r="LJE95" s="167"/>
      <c r="LJF95" s="168"/>
      <c r="LJG95" s="167"/>
      <c r="LJH95" s="168"/>
      <c r="LJI95" s="167"/>
      <c r="LJJ95" s="168"/>
      <c r="LJK95" s="167"/>
      <c r="LJL95" s="168"/>
      <c r="LJM95" s="167"/>
      <c r="LJN95" s="168"/>
      <c r="LJO95" s="167"/>
      <c r="LJP95" s="168"/>
      <c r="LJQ95" s="167"/>
      <c r="LJR95" s="168"/>
      <c r="LJS95" s="167"/>
      <c r="LJT95" s="168"/>
      <c r="LJU95" s="167"/>
      <c r="LJV95" s="168"/>
      <c r="LJW95" s="167"/>
      <c r="LJX95" s="168"/>
      <c r="LJY95" s="167"/>
      <c r="LJZ95" s="168"/>
      <c r="LKA95" s="167"/>
      <c r="LKB95" s="168"/>
      <c r="LKC95" s="167"/>
      <c r="LKD95" s="168"/>
      <c r="LKE95" s="167"/>
      <c r="LKF95" s="168"/>
      <c r="LKG95" s="167"/>
      <c r="LKH95" s="168"/>
      <c r="LKI95" s="167"/>
      <c r="LKJ95" s="168"/>
      <c r="LKK95" s="167"/>
      <c r="LKL95" s="168"/>
      <c r="LKM95" s="167"/>
      <c r="LKN95" s="168"/>
      <c r="LKO95" s="167"/>
      <c r="LKP95" s="168"/>
      <c r="LKQ95" s="167"/>
      <c r="LKR95" s="168"/>
      <c r="LKS95" s="167"/>
      <c r="LKT95" s="168"/>
      <c r="LKU95" s="167"/>
      <c r="LKV95" s="168"/>
      <c r="LKW95" s="167"/>
      <c r="LKX95" s="168"/>
      <c r="LKY95" s="167"/>
      <c r="LKZ95" s="168"/>
      <c r="LLA95" s="167"/>
      <c r="LLB95" s="168"/>
      <c r="LLC95" s="167"/>
      <c r="LLD95" s="168"/>
      <c r="LLE95" s="167"/>
      <c r="LLF95" s="168"/>
      <c r="LLG95" s="167"/>
      <c r="LLH95" s="168"/>
      <c r="LLI95" s="167"/>
      <c r="LLJ95" s="168"/>
      <c r="LLK95" s="167"/>
      <c r="LLL95" s="168"/>
      <c r="LLM95" s="167"/>
      <c r="LLN95" s="168"/>
      <c r="LLO95" s="167"/>
      <c r="LLP95" s="168"/>
      <c r="LLQ95" s="167"/>
      <c r="LLR95" s="168"/>
      <c r="LLS95" s="167"/>
      <c r="LLT95" s="168"/>
      <c r="LLU95" s="167"/>
      <c r="LLV95" s="168"/>
      <c r="LLW95" s="167"/>
      <c r="LLX95" s="168"/>
      <c r="LLY95" s="167"/>
      <c r="LLZ95" s="168"/>
      <c r="LMA95" s="167"/>
      <c r="LMB95" s="168"/>
      <c r="LMC95" s="167"/>
      <c r="LMD95" s="168"/>
      <c r="LME95" s="167"/>
      <c r="LMF95" s="168"/>
      <c r="LMG95" s="167"/>
      <c r="LMH95" s="168"/>
      <c r="LMI95" s="167"/>
      <c r="LMJ95" s="168"/>
      <c r="LMK95" s="167"/>
      <c r="LML95" s="168"/>
      <c r="LMM95" s="167"/>
      <c r="LMN95" s="168"/>
      <c r="LMO95" s="167"/>
      <c r="LMP95" s="168"/>
      <c r="LMQ95" s="167"/>
      <c r="LMR95" s="168"/>
      <c r="LMS95" s="167"/>
      <c r="LMT95" s="168"/>
      <c r="LMU95" s="167"/>
      <c r="LMV95" s="168"/>
      <c r="LMW95" s="167"/>
      <c r="LMX95" s="168"/>
      <c r="LMY95" s="167"/>
      <c r="LMZ95" s="168"/>
      <c r="LNA95" s="167"/>
      <c r="LNB95" s="168"/>
      <c r="LNC95" s="167"/>
      <c r="LND95" s="168"/>
      <c r="LNE95" s="167"/>
      <c r="LNF95" s="168"/>
      <c r="LNG95" s="167"/>
      <c r="LNH95" s="168"/>
      <c r="LNI95" s="167"/>
      <c r="LNJ95" s="168"/>
      <c r="LNK95" s="167"/>
      <c r="LNL95" s="168"/>
      <c r="LNM95" s="167"/>
      <c r="LNN95" s="168"/>
      <c r="LNO95" s="167"/>
      <c r="LNP95" s="168"/>
      <c r="LNQ95" s="167"/>
      <c r="LNR95" s="168"/>
      <c r="LNS95" s="167"/>
      <c r="LNT95" s="168"/>
      <c r="LNU95" s="167"/>
      <c r="LNV95" s="168"/>
      <c r="LNW95" s="167"/>
      <c r="LNX95" s="168"/>
      <c r="LNY95" s="167"/>
      <c r="LNZ95" s="168"/>
      <c r="LOA95" s="167"/>
      <c r="LOB95" s="168"/>
      <c r="LOC95" s="167"/>
      <c r="LOD95" s="168"/>
      <c r="LOE95" s="167"/>
      <c r="LOF95" s="168"/>
      <c r="LOG95" s="167"/>
      <c r="LOH95" s="168"/>
      <c r="LOI95" s="167"/>
      <c r="LOJ95" s="168"/>
      <c r="LOK95" s="167"/>
      <c r="LOL95" s="168"/>
      <c r="LOM95" s="167"/>
      <c r="LON95" s="168"/>
      <c r="LOO95" s="167"/>
      <c r="LOP95" s="168"/>
      <c r="LOQ95" s="167"/>
      <c r="LOR95" s="168"/>
      <c r="LOS95" s="167"/>
      <c r="LOT95" s="168"/>
      <c r="LOU95" s="167"/>
      <c r="LOV95" s="168"/>
      <c r="LOW95" s="167"/>
      <c r="LOX95" s="168"/>
      <c r="LOY95" s="167"/>
      <c r="LOZ95" s="168"/>
      <c r="LPA95" s="167"/>
      <c r="LPB95" s="168"/>
      <c r="LPC95" s="167"/>
      <c r="LPD95" s="168"/>
      <c r="LPE95" s="167"/>
      <c r="LPF95" s="168"/>
      <c r="LPG95" s="167"/>
      <c r="LPH95" s="168"/>
      <c r="LPI95" s="167"/>
      <c r="LPJ95" s="168"/>
      <c r="LPK95" s="167"/>
      <c r="LPL95" s="168"/>
      <c r="LPM95" s="167"/>
      <c r="LPN95" s="168"/>
      <c r="LPO95" s="167"/>
      <c r="LPP95" s="168"/>
      <c r="LPQ95" s="167"/>
      <c r="LPR95" s="168"/>
      <c r="LPS95" s="167"/>
      <c r="LPT95" s="168"/>
      <c r="LPU95" s="167"/>
      <c r="LPV95" s="168"/>
      <c r="LPW95" s="167"/>
      <c r="LPX95" s="168"/>
      <c r="LPY95" s="167"/>
      <c r="LPZ95" s="168"/>
      <c r="LQA95" s="167"/>
      <c r="LQB95" s="168"/>
      <c r="LQC95" s="167"/>
      <c r="LQD95" s="168"/>
      <c r="LQE95" s="167"/>
      <c r="LQF95" s="168"/>
      <c r="LQG95" s="167"/>
      <c r="LQH95" s="168"/>
      <c r="LQI95" s="167"/>
      <c r="LQJ95" s="168"/>
      <c r="LQK95" s="167"/>
      <c r="LQL95" s="168"/>
      <c r="LQM95" s="167"/>
      <c r="LQN95" s="168"/>
      <c r="LQO95" s="167"/>
      <c r="LQP95" s="168"/>
      <c r="LQQ95" s="167"/>
      <c r="LQR95" s="168"/>
      <c r="LQS95" s="167"/>
      <c r="LQT95" s="168"/>
      <c r="LQU95" s="167"/>
      <c r="LQV95" s="168"/>
      <c r="LQW95" s="167"/>
      <c r="LQX95" s="168"/>
      <c r="LQY95" s="167"/>
      <c r="LQZ95" s="168"/>
      <c r="LRA95" s="167"/>
      <c r="LRB95" s="168"/>
      <c r="LRC95" s="167"/>
      <c r="LRD95" s="168"/>
      <c r="LRE95" s="167"/>
      <c r="LRF95" s="168"/>
      <c r="LRG95" s="167"/>
      <c r="LRH95" s="168"/>
      <c r="LRI95" s="167"/>
      <c r="LRJ95" s="168"/>
      <c r="LRK95" s="167"/>
      <c r="LRL95" s="168"/>
      <c r="LRM95" s="167"/>
      <c r="LRN95" s="168"/>
      <c r="LRO95" s="167"/>
      <c r="LRP95" s="168"/>
      <c r="LRQ95" s="167"/>
      <c r="LRR95" s="168"/>
      <c r="LRS95" s="167"/>
      <c r="LRT95" s="168"/>
      <c r="LRU95" s="167"/>
      <c r="LRV95" s="168"/>
      <c r="LRW95" s="167"/>
      <c r="LRX95" s="168"/>
      <c r="LRY95" s="167"/>
      <c r="LRZ95" s="168"/>
      <c r="LSA95" s="167"/>
      <c r="LSB95" s="168"/>
      <c r="LSC95" s="167"/>
      <c r="LSD95" s="168"/>
      <c r="LSE95" s="167"/>
      <c r="LSF95" s="168"/>
      <c r="LSG95" s="167"/>
      <c r="LSH95" s="168"/>
      <c r="LSI95" s="167"/>
      <c r="LSJ95" s="168"/>
      <c r="LSK95" s="167"/>
      <c r="LSL95" s="168"/>
      <c r="LSM95" s="167"/>
      <c r="LSN95" s="168"/>
      <c r="LSO95" s="167"/>
      <c r="LSP95" s="168"/>
      <c r="LSQ95" s="167"/>
      <c r="LSR95" s="168"/>
      <c r="LSS95" s="167"/>
      <c r="LST95" s="168"/>
      <c r="LSU95" s="167"/>
      <c r="LSV95" s="168"/>
      <c r="LSW95" s="167"/>
      <c r="LSX95" s="168"/>
      <c r="LSY95" s="167"/>
      <c r="LSZ95" s="168"/>
      <c r="LTA95" s="167"/>
      <c r="LTB95" s="168"/>
      <c r="LTC95" s="167"/>
      <c r="LTD95" s="168"/>
      <c r="LTE95" s="167"/>
      <c r="LTF95" s="168"/>
      <c r="LTG95" s="167"/>
      <c r="LTH95" s="168"/>
      <c r="LTI95" s="167"/>
      <c r="LTJ95" s="168"/>
      <c r="LTK95" s="167"/>
      <c r="LTL95" s="168"/>
      <c r="LTM95" s="167"/>
      <c r="LTN95" s="168"/>
      <c r="LTO95" s="167"/>
      <c r="LTP95" s="168"/>
      <c r="LTQ95" s="167"/>
      <c r="LTR95" s="168"/>
      <c r="LTS95" s="167"/>
      <c r="LTT95" s="168"/>
      <c r="LTU95" s="167"/>
      <c r="LTV95" s="168"/>
      <c r="LTW95" s="167"/>
      <c r="LTX95" s="168"/>
      <c r="LTY95" s="167"/>
      <c r="LTZ95" s="168"/>
      <c r="LUA95" s="167"/>
      <c r="LUB95" s="168"/>
      <c r="LUC95" s="167"/>
      <c r="LUD95" s="168"/>
      <c r="LUE95" s="167"/>
      <c r="LUF95" s="168"/>
      <c r="LUG95" s="167"/>
      <c r="LUH95" s="168"/>
      <c r="LUI95" s="167"/>
      <c r="LUJ95" s="168"/>
      <c r="LUK95" s="167"/>
      <c r="LUL95" s="168"/>
      <c r="LUM95" s="167"/>
      <c r="LUN95" s="168"/>
      <c r="LUO95" s="167"/>
      <c r="LUP95" s="168"/>
      <c r="LUQ95" s="167"/>
      <c r="LUR95" s="168"/>
      <c r="LUS95" s="167"/>
      <c r="LUT95" s="168"/>
      <c r="LUU95" s="167"/>
      <c r="LUV95" s="168"/>
      <c r="LUW95" s="167"/>
      <c r="LUX95" s="168"/>
      <c r="LUY95" s="167"/>
      <c r="LUZ95" s="168"/>
      <c r="LVA95" s="167"/>
      <c r="LVB95" s="168"/>
      <c r="LVC95" s="167"/>
      <c r="LVD95" s="168"/>
      <c r="LVE95" s="167"/>
      <c r="LVF95" s="168"/>
      <c r="LVG95" s="167"/>
      <c r="LVH95" s="168"/>
      <c r="LVI95" s="167"/>
      <c r="LVJ95" s="168"/>
      <c r="LVK95" s="167"/>
      <c r="LVL95" s="168"/>
      <c r="LVM95" s="167"/>
      <c r="LVN95" s="168"/>
      <c r="LVO95" s="167"/>
      <c r="LVP95" s="168"/>
      <c r="LVQ95" s="167"/>
      <c r="LVR95" s="168"/>
      <c r="LVS95" s="167"/>
      <c r="LVT95" s="168"/>
      <c r="LVU95" s="167"/>
      <c r="LVV95" s="168"/>
      <c r="LVW95" s="167"/>
      <c r="LVX95" s="168"/>
      <c r="LVY95" s="167"/>
      <c r="LVZ95" s="168"/>
      <c r="LWA95" s="167"/>
      <c r="LWB95" s="168"/>
      <c r="LWC95" s="167"/>
      <c r="LWD95" s="168"/>
      <c r="LWE95" s="167"/>
      <c r="LWF95" s="168"/>
      <c r="LWG95" s="167"/>
      <c r="LWH95" s="168"/>
      <c r="LWI95" s="167"/>
      <c r="LWJ95" s="168"/>
      <c r="LWK95" s="167"/>
      <c r="LWL95" s="168"/>
      <c r="LWM95" s="167"/>
      <c r="LWN95" s="168"/>
      <c r="LWO95" s="167"/>
      <c r="LWP95" s="168"/>
      <c r="LWQ95" s="167"/>
      <c r="LWR95" s="168"/>
      <c r="LWS95" s="167"/>
      <c r="LWT95" s="168"/>
      <c r="LWU95" s="167"/>
      <c r="LWV95" s="168"/>
      <c r="LWW95" s="167"/>
      <c r="LWX95" s="168"/>
      <c r="LWY95" s="167"/>
      <c r="LWZ95" s="168"/>
      <c r="LXA95" s="167"/>
      <c r="LXB95" s="168"/>
      <c r="LXC95" s="167"/>
      <c r="LXD95" s="168"/>
      <c r="LXE95" s="167"/>
      <c r="LXF95" s="168"/>
      <c r="LXG95" s="167"/>
      <c r="LXH95" s="168"/>
      <c r="LXI95" s="167"/>
      <c r="LXJ95" s="168"/>
      <c r="LXK95" s="167"/>
      <c r="LXL95" s="168"/>
      <c r="LXM95" s="167"/>
      <c r="LXN95" s="168"/>
      <c r="LXO95" s="167"/>
      <c r="LXP95" s="168"/>
      <c r="LXQ95" s="167"/>
      <c r="LXR95" s="168"/>
      <c r="LXS95" s="167"/>
      <c r="LXT95" s="168"/>
      <c r="LXU95" s="167"/>
      <c r="LXV95" s="168"/>
      <c r="LXW95" s="167"/>
      <c r="LXX95" s="168"/>
      <c r="LXY95" s="167"/>
      <c r="LXZ95" s="168"/>
      <c r="LYA95" s="167"/>
      <c r="LYB95" s="168"/>
      <c r="LYC95" s="167"/>
      <c r="LYD95" s="168"/>
      <c r="LYE95" s="167"/>
      <c r="LYF95" s="168"/>
      <c r="LYG95" s="167"/>
      <c r="LYH95" s="168"/>
      <c r="LYI95" s="167"/>
      <c r="LYJ95" s="168"/>
      <c r="LYK95" s="167"/>
      <c r="LYL95" s="168"/>
      <c r="LYM95" s="167"/>
      <c r="LYN95" s="168"/>
      <c r="LYO95" s="167"/>
      <c r="LYP95" s="168"/>
      <c r="LYQ95" s="167"/>
      <c r="LYR95" s="168"/>
      <c r="LYS95" s="167"/>
      <c r="LYT95" s="168"/>
      <c r="LYU95" s="167"/>
      <c r="LYV95" s="168"/>
      <c r="LYW95" s="167"/>
      <c r="LYX95" s="168"/>
      <c r="LYY95" s="167"/>
      <c r="LYZ95" s="168"/>
      <c r="LZA95" s="167"/>
      <c r="LZB95" s="168"/>
      <c r="LZC95" s="167"/>
      <c r="LZD95" s="168"/>
      <c r="LZE95" s="167"/>
      <c r="LZF95" s="168"/>
      <c r="LZG95" s="167"/>
      <c r="LZH95" s="168"/>
      <c r="LZI95" s="167"/>
      <c r="LZJ95" s="168"/>
      <c r="LZK95" s="167"/>
      <c r="LZL95" s="168"/>
      <c r="LZM95" s="167"/>
      <c r="LZN95" s="168"/>
      <c r="LZO95" s="167"/>
      <c r="LZP95" s="168"/>
      <c r="LZQ95" s="167"/>
      <c r="LZR95" s="168"/>
      <c r="LZS95" s="167"/>
      <c r="LZT95" s="168"/>
      <c r="LZU95" s="167"/>
      <c r="LZV95" s="168"/>
      <c r="LZW95" s="167"/>
      <c r="LZX95" s="168"/>
      <c r="LZY95" s="167"/>
      <c r="LZZ95" s="168"/>
      <c r="MAA95" s="167"/>
      <c r="MAB95" s="168"/>
      <c r="MAC95" s="167"/>
      <c r="MAD95" s="168"/>
      <c r="MAE95" s="167"/>
      <c r="MAF95" s="168"/>
      <c r="MAG95" s="167"/>
      <c r="MAH95" s="168"/>
      <c r="MAI95" s="167"/>
      <c r="MAJ95" s="168"/>
      <c r="MAK95" s="167"/>
      <c r="MAL95" s="168"/>
      <c r="MAM95" s="167"/>
      <c r="MAN95" s="168"/>
      <c r="MAO95" s="167"/>
      <c r="MAP95" s="168"/>
      <c r="MAQ95" s="167"/>
      <c r="MAR95" s="168"/>
      <c r="MAS95" s="167"/>
      <c r="MAT95" s="168"/>
      <c r="MAU95" s="167"/>
      <c r="MAV95" s="168"/>
      <c r="MAW95" s="167"/>
      <c r="MAX95" s="168"/>
      <c r="MAY95" s="167"/>
      <c r="MAZ95" s="168"/>
      <c r="MBA95" s="167"/>
      <c r="MBB95" s="168"/>
      <c r="MBC95" s="167"/>
      <c r="MBD95" s="168"/>
      <c r="MBE95" s="167"/>
      <c r="MBF95" s="168"/>
      <c r="MBG95" s="167"/>
      <c r="MBH95" s="168"/>
      <c r="MBI95" s="167"/>
      <c r="MBJ95" s="168"/>
      <c r="MBK95" s="167"/>
      <c r="MBL95" s="168"/>
      <c r="MBM95" s="167"/>
      <c r="MBN95" s="168"/>
      <c r="MBO95" s="167"/>
      <c r="MBP95" s="168"/>
      <c r="MBQ95" s="167"/>
      <c r="MBR95" s="168"/>
      <c r="MBS95" s="167"/>
      <c r="MBT95" s="168"/>
      <c r="MBU95" s="167"/>
      <c r="MBV95" s="168"/>
      <c r="MBW95" s="167"/>
      <c r="MBX95" s="168"/>
      <c r="MBY95" s="167"/>
      <c r="MBZ95" s="168"/>
      <c r="MCA95" s="167"/>
      <c r="MCB95" s="168"/>
      <c r="MCC95" s="167"/>
      <c r="MCD95" s="168"/>
      <c r="MCE95" s="167"/>
      <c r="MCF95" s="168"/>
      <c r="MCG95" s="167"/>
      <c r="MCH95" s="168"/>
      <c r="MCI95" s="167"/>
      <c r="MCJ95" s="168"/>
      <c r="MCK95" s="167"/>
      <c r="MCL95" s="168"/>
      <c r="MCM95" s="167"/>
      <c r="MCN95" s="168"/>
      <c r="MCO95" s="167"/>
      <c r="MCP95" s="168"/>
      <c r="MCQ95" s="167"/>
      <c r="MCR95" s="168"/>
      <c r="MCS95" s="167"/>
      <c r="MCT95" s="168"/>
      <c r="MCU95" s="167"/>
      <c r="MCV95" s="168"/>
      <c r="MCW95" s="167"/>
      <c r="MCX95" s="168"/>
      <c r="MCY95" s="167"/>
      <c r="MCZ95" s="168"/>
      <c r="MDA95" s="167"/>
      <c r="MDB95" s="168"/>
      <c r="MDC95" s="167"/>
      <c r="MDD95" s="168"/>
      <c r="MDE95" s="167"/>
      <c r="MDF95" s="168"/>
      <c r="MDG95" s="167"/>
      <c r="MDH95" s="168"/>
      <c r="MDI95" s="167"/>
      <c r="MDJ95" s="168"/>
      <c r="MDK95" s="167"/>
      <c r="MDL95" s="168"/>
      <c r="MDM95" s="167"/>
      <c r="MDN95" s="168"/>
      <c r="MDO95" s="167"/>
      <c r="MDP95" s="168"/>
      <c r="MDQ95" s="167"/>
      <c r="MDR95" s="168"/>
      <c r="MDS95" s="167"/>
      <c r="MDT95" s="168"/>
      <c r="MDU95" s="167"/>
      <c r="MDV95" s="168"/>
      <c r="MDW95" s="167"/>
      <c r="MDX95" s="168"/>
      <c r="MDY95" s="167"/>
      <c r="MDZ95" s="168"/>
      <c r="MEA95" s="167"/>
      <c r="MEB95" s="168"/>
      <c r="MEC95" s="167"/>
      <c r="MED95" s="168"/>
      <c r="MEE95" s="167"/>
      <c r="MEF95" s="168"/>
      <c r="MEG95" s="167"/>
      <c r="MEH95" s="168"/>
      <c r="MEI95" s="167"/>
      <c r="MEJ95" s="168"/>
      <c r="MEK95" s="167"/>
      <c r="MEL95" s="168"/>
      <c r="MEM95" s="167"/>
      <c r="MEN95" s="168"/>
      <c r="MEO95" s="167"/>
      <c r="MEP95" s="168"/>
      <c r="MEQ95" s="167"/>
      <c r="MER95" s="168"/>
      <c r="MES95" s="167"/>
      <c r="MET95" s="168"/>
      <c r="MEU95" s="167"/>
      <c r="MEV95" s="168"/>
      <c r="MEW95" s="167"/>
      <c r="MEX95" s="168"/>
      <c r="MEY95" s="167"/>
      <c r="MEZ95" s="168"/>
      <c r="MFA95" s="167"/>
      <c r="MFB95" s="168"/>
      <c r="MFC95" s="167"/>
      <c r="MFD95" s="168"/>
      <c r="MFE95" s="167"/>
      <c r="MFF95" s="168"/>
      <c r="MFG95" s="167"/>
      <c r="MFH95" s="168"/>
      <c r="MFI95" s="167"/>
      <c r="MFJ95" s="168"/>
      <c r="MFK95" s="167"/>
      <c r="MFL95" s="168"/>
      <c r="MFM95" s="167"/>
      <c r="MFN95" s="168"/>
      <c r="MFO95" s="167"/>
      <c r="MFP95" s="168"/>
      <c r="MFQ95" s="167"/>
      <c r="MFR95" s="168"/>
      <c r="MFS95" s="167"/>
      <c r="MFT95" s="168"/>
      <c r="MFU95" s="167"/>
      <c r="MFV95" s="168"/>
      <c r="MFW95" s="167"/>
      <c r="MFX95" s="168"/>
      <c r="MFY95" s="167"/>
      <c r="MFZ95" s="168"/>
      <c r="MGA95" s="167"/>
      <c r="MGB95" s="168"/>
      <c r="MGC95" s="167"/>
      <c r="MGD95" s="168"/>
      <c r="MGE95" s="167"/>
      <c r="MGF95" s="168"/>
      <c r="MGG95" s="167"/>
      <c r="MGH95" s="168"/>
      <c r="MGI95" s="167"/>
      <c r="MGJ95" s="168"/>
      <c r="MGK95" s="167"/>
      <c r="MGL95" s="168"/>
      <c r="MGM95" s="167"/>
      <c r="MGN95" s="168"/>
      <c r="MGO95" s="167"/>
      <c r="MGP95" s="168"/>
      <c r="MGQ95" s="167"/>
      <c r="MGR95" s="168"/>
      <c r="MGS95" s="167"/>
      <c r="MGT95" s="168"/>
      <c r="MGU95" s="167"/>
      <c r="MGV95" s="168"/>
      <c r="MGW95" s="167"/>
      <c r="MGX95" s="168"/>
      <c r="MGY95" s="167"/>
      <c r="MGZ95" s="168"/>
      <c r="MHA95" s="167"/>
      <c r="MHB95" s="168"/>
      <c r="MHC95" s="167"/>
      <c r="MHD95" s="168"/>
      <c r="MHE95" s="167"/>
      <c r="MHF95" s="168"/>
      <c r="MHG95" s="167"/>
      <c r="MHH95" s="168"/>
      <c r="MHI95" s="167"/>
      <c r="MHJ95" s="168"/>
      <c r="MHK95" s="167"/>
      <c r="MHL95" s="168"/>
      <c r="MHM95" s="167"/>
      <c r="MHN95" s="168"/>
      <c r="MHO95" s="167"/>
      <c r="MHP95" s="168"/>
      <c r="MHQ95" s="167"/>
      <c r="MHR95" s="168"/>
      <c r="MHS95" s="167"/>
      <c r="MHT95" s="168"/>
      <c r="MHU95" s="167"/>
      <c r="MHV95" s="168"/>
      <c r="MHW95" s="167"/>
      <c r="MHX95" s="168"/>
      <c r="MHY95" s="167"/>
      <c r="MHZ95" s="168"/>
      <c r="MIA95" s="167"/>
      <c r="MIB95" s="168"/>
      <c r="MIC95" s="167"/>
      <c r="MID95" s="168"/>
      <c r="MIE95" s="167"/>
      <c r="MIF95" s="168"/>
      <c r="MIG95" s="167"/>
      <c r="MIH95" s="168"/>
      <c r="MII95" s="167"/>
      <c r="MIJ95" s="168"/>
      <c r="MIK95" s="167"/>
      <c r="MIL95" s="168"/>
      <c r="MIM95" s="167"/>
      <c r="MIN95" s="168"/>
      <c r="MIO95" s="167"/>
      <c r="MIP95" s="168"/>
      <c r="MIQ95" s="167"/>
      <c r="MIR95" s="168"/>
      <c r="MIS95" s="167"/>
      <c r="MIT95" s="168"/>
      <c r="MIU95" s="167"/>
      <c r="MIV95" s="168"/>
      <c r="MIW95" s="167"/>
      <c r="MIX95" s="168"/>
      <c r="MIY95" s="167"/>
      <c r="MIZ95" s="168"/>
      <c r="MJA95" s="167"/>
      <c r="MJB95" s="168"/>
      <c r="MJC95" s="167"/>
      <c r="MJD95" s="168"/>
      <c r="MJE95" s="167"/>
      <c r="MJF95" s="168"/>
      <c r="MJG95" s="167"/>
      <c r="MJH95" s="168"/>
      <c r="MJI95" s="167"/>
      <c r="MJJ95" s="168"/>
      <c r="MJK95" s="167"/>
      <c r="MJL95" s="168"/>
      <c r="MJM95" s="167"/>
      <c r="MJN95" s="168"/>
      <c r="MJO95" s="167"/>
      <c r="MJP95" s="168"/>
      <c r="MJQ95" s="167"/>
      <c r="MJR95" s="168"/>
      <c r="MJS95" s="167"/>
      <c r="MJT95" s="168"/>
      <c r="MJU95" s="167"/>
      <c r="MJV95" s="168"/>
      <c r="MJW95" s="167"/>
      <c r="MJX95" s="168"/>
      <c r="MJY95" s="167"/>
      <c r="MJZ95" s="168"/>
      <c r="MKA95" s="167"/>
      <c r="MKB95" s="168"/>
      <c r="MKC95" s="167"/>
      <c r="MKD95" s="168"/>
      <c r="MKE95" s="167"/>
      <c r="MKF95" s="168"/>
      <c r="MKG95" s="167"/>
      <c r="MKH95" s="168"/>
      <c r="MKI95" s="167"/>
      <c r="MKJ95" s="168"/>
      <c r="MKK95" s="167"/>
      <c r="MKL95" s="168"/>
      <c r="MKM95" s="167"/>
      <c r="MKN95" s="168"/>
      <c r="MKO95" s="167"/>
      <c r="MKP95" s="168"/>
      <c r="MKQ95" s="167"/>
      <c r="MKR95" s="168"/>
      <c r="MKS95" s="167"/>
      <c r="MKT95" s="168"/>
      <c r="MKU95" s="167"/>
      <c r="MKV95" s="168"/>
      <c r="MKW95" s="167"/>
      <c r="MKX95" s="168"/>
      <c r="MKY95" s="167"/>
      <c r="MKZ95" s="168"/>
      <c r="MLA95" s="167"/>
      <c r="MLB95" s="168"/>
      <c r="MLC95" s="167"/>
      <c r="MLD95" s="168"/>
      <c r="MLE95" s="167"/>
      <c r="MLF95" s="168"/>
      <c r="MLG95" s="167"/>
      <c r="MLH95" s="168"/>
      <c r="MLI95" s="167"/>
      <c r="MLJ95" s="168"/>
      <c r="MLK95" s="167"/>
      <c r="MLL95" s="168"/>
      <c r="MLM95" s="167"/>
      <c r="MLN95" s="168"/>
      <c r="MLO95" s="167"/>
      <c r="MLP95" s="168"/>
      <c r="MLQ95" s="167"/>
      <c r="MLR95" s="168"/>
      <c r="MLS95" s="167"/>
      <c r="MLT95" s="168"/>
      <c r="MLU95" s="167"/>
      <c r="MLV95" s="168"/>
      <c r="MLW95" s="167"/>
      <c r="MLX95" s="168"/>
      <c r="MLY95" s="167"/>
      <c r="MLZ95" s="168"/>
      <c r="MMA95" s="167"/>
      <c r="MMB95" s="168"/>
      <c r="MMC95" s="167"/>
      <c r="MMD95" s="168"/>
      <c r="MME95" s="167"/>
      <c r="MMF95" s="168"/>
      <c r="MMG95" s="167"/>
      <c r="MMH95" s="168"/>
      <c r="MMI95" s="167"/>
      <c r="MMJ95" s="168"/>
      <c r="MMK95" s="167"/>
      <c r="MML95" s="168"/>
      <c r="MMM95" s="167"/>
      <c r="MMN95" s="168"/>
      <c r="MMO95" s="167"/>
      <c r="MMP95" s="168"/>
      <c r="MMQ95" s="167"/>
      <c r="MMR95" s="168"/>
      <c r="MMS95" s="167"/>
      <c r="MMT95" s="168"/>
      <c r="MMU95" s="167"/>
      <c r="MMV95" s="168"/>
      <c r="MMW95" s="167"/>
      <c r="MMX95" s="168"/>
      <c r="MMY95" s="167"/>
      <c r="MMZ95" s="168"/>
      <c r="MNA95" s="167"/>
      <c r="MNB95" s="168"/>
      <c r="MNC95" s="167"/>
      <c r="MND95" s="168"/>
      <c r="MNE95" s="167"/>
      <c r="MNF95" s="168"/>
      <c r="MNG95" s="167"/>
      <c r="MNH95" s="168"/>
      <c r="MNI95" s="167"/>
      <c r="MNJ95" s="168"/>
      <c r="MNK95" s="167"/>
      <c r="MNL95" s="168"/>
      <c r="MNM95" s="167"/>
      <c r="MNN95" s="168"/>
      <c r="MNO95" s="167"/>
      <c r="MNP95" s="168"/>
      <c r="MNQ95" s="167"/>
      <c r="MNR95" s="168"/>
      <c r="MNS95" s="167"/>
      <c r="MNT95" s="168"/>
      <c r="MNU95" s="167"/>
      <c r="MNV95" s="168"/>
      <c r="MNW95" s="167"/>
      <c r="MNX95" s="168"/>
      <c r="MNY95" s="167"/>
      <c r="MNZ95" s="168"/>
      <c r="MOA95" s="167"/>
      <c r="MOB95" s="168"/>
      <c r="MOC95" s="167"/>
      <c r="MOD95" s="168"/>
      <c r="MOE95" s="167"/>
      <c r="MOF95" s="168"/>
      <c r="MOG95" s="167"/>
      <c r="MOH95" s="168"/>
      <c r="MOI95" s="167"/>
      <c r="MOJ95" s="168"/>
      <c r="MOK95" s="167"/>
      <c r="MOL95" s="168"/>
      <c r="MOM95" s="167"/>
      <c r="MON95" s="168"/>
      <c r="MOO95" s="167"/>
      <c r="MOP95" s="168"/>
      <c r="MOQ95" s="167"/>
      <c r="MOR95" s="168"/>
      <c r="MOS95" s="167"/>
      <c r="MOT95" s="168"/>
      <c r="MOU95" s="167"/>
      <c r="MOV95" s="168"/>
      <c r="MOW95" s="167"/>
      <c r="MOX95" s="168"/>
      <c r="MOY95" s="167"/>
      <c r="MOZ95" s="168"/>
      <c r="MPA95" s="167"/>
      <c r="MPB95" s="168"/>
      <c r="MPC95" s="167"/>
      <c r="MPD95" s="168"/>
      <c r="MPE95" s="167"/>
      <c r="MPF95" s="168"/>
      <c r="MPG95" s="167"/>
      <c r="MPH95" s="168"/>
      <c r="MPI95" s="167"/>
      <c r="MPJ95" s="168"/>
      <c r="MPK95" s="167"/>
      <c r="MPL95" s="168"/>
      <c r="MPM95" s="167"/>
      <c r="MPN95" s="168"/>
      <c r="MPO95" s="167"/>
      <c r="MPP95" s="168"/>
      <c r="MPQ95" s="167"/>
      <c r="MPR95" s="168"/>
      <c r="MPS95" s="167"/>
      <c r="MPT95" s="168"/>
      <c r="MPU95" s="167"/>
      <c r="MPV95" s="168"/>
      <c r="MPW95" s="167"/>
      <c r="MPX95" s="168"/>
      <c r="MPY95" s="167"/>
      <c r="MPZ95" s="168"/>
      <c r="MQA95" s="167"/>
      <c r="MQB95" s="168"/>
      <c r="MQC95" s="167"/>
      <c r="MQD95" s="168"/>
      <c r="MQE95" s="167"/>
      <c r="MQF95" s="168"/>
      <c r="MQG95" s="167"/>
      <c r="MQH95" s="168"/>
      <c r="MQI95" s="167"/>
      <c r="MQJ95" s="168"/>
      <c r="MQK95" s="167"/>
      <c r="MQL95" s="168"/>
      <c r="MQM95" s="167"/>
      <c r="MQN95" s="168"/>
      <c r="MQO95" s="167"/>
      <c r="MQP95" s="168"/>
      <c r="MQQ95" s="167"/>
      <c r="MQR95" s="168"/>
      <c r="MQS95" s="167"/>
      <c r="MQT95" s="168"/>
      <c r="MQU95" s="167"/>
      <c r="MQV95" s="168"/>
      <c r="MQW95" s="167"/>
      <c r="MQX95" s="168"/>
      <c r="MQY95" s="167"/>
      <c r="MQZ95" s="168"/>
      <c r="MRA95" s="167"/>
      <c r="MRB95" s="168"/>
      <c r="MRC95" s="167"/>
      <c r="MRD95" s="168"/>
      <c r="MRE95" s="167"/>
      <c r="MRF95" s="168"/>
      <c r="MRG95" s="167"/>
      <c r="MRH95" s="168"/>
      <c r="MRI95" s="167"/>
      <c r="MRJ95" s="168"/>
      <c r="MRK95" s="167"/>
      <c r="MRL95" s="168"/>
      <c r="MRM95" s="167"/>
      <c r="MRN95" s="168"/>
      <c r="MRO95" s="167"/>
      <c r="MRP95" s="168"/>
      <c r="MRQ95" s="167"/>
      <c r="MRR95" s="168"/>
      <c r="MRS95" s="167"/>
      <c r="MRT95" s="168"/>
      <c r="MRU95" s="167"/>
      <c r="MRV95" s="168"/>
      <c r="MRW95" s="167"/>
      <c r="MRX95" s="168"/>
      <c r="MRY95" s="167"/>
      <c r="MRZ95" s="168"/>
      <c r="MSA95" s="167"/>
      <c r="MSB95" s="168"/>
      <c r="MSC95" s="167"/>
      <c r="MSD95" s="168"/>
      <c r="MSE95" s="167"/>
      <c r="MSF95" s="168"/>
      <c r="MSG95" s="167"/>
      <c r="MSH95" s="168"/>
      <c r="MSI95" s="167"/>
      <c r="MSJ95" s="168"/>
      <c r="MSK95" s="167"/>
      <c r="MSL95" s="168"/>
      <c r="MSM95" s="167"/>
      <c r="MSN95" s="168"/>
      <c r="MSO95" s="167"/>
      <c r="MSP95" s="168"/>
      <c r="MSQ95" s="167"/>
      <c r="MSR95" s="168"/>
      <c r="MSS95" s="167"/>
      <c r="MST95" s="168"/>
      <c r="MSU95" s="167"/>
      <c r="MSV95" s="168"/>
      <c r="MSW95" s="167"/>
      <c r="MSX95" s="168"/>
      <c r="MSY95" s="167"/>
      <c r="MSZ95" s="168"/>
      <c r="MTA95" s="167"/>
      <c r="MTB95" s="168"/>
      <c r="MTC95" s="167"/>
      <c r="MTD95" s="168"/>
      <c r="MTE95" s="167"/>
      <c r="MTF95" s="168"/>
      <c r="MTG95" s="167"/>
      <c r="MTH95" s="168"/>
      <c r="MTI95" s="167"/>
      <c r="MTJ95" s="168"/>
      <c r="MTK95" s="167"/>
      <c r="MTL95" s="168"/>
      <c r="MTM95" s="167"/>
      <c r="MTN95" s="168"/>
      <c r="MTO95" s="167"/>
      <c r="MTP95" s="168"/>
      <c r="MTQ95" s="167"/>
      <c r="MTR95" s="168"/>
      <c r="MTS95" s="167"/>
      <c r="MTT95" s="168"/>
      <c r="MTU95" s="167"/>
      <c r="MTV95" s="168"/>
      <c r="MTW95" s="167"/>
      <c r="MTX95" s="168"/>
      <c r="MTY95" s="167"/>
      <c r="MTZ95" s="168"/>
      <c r="MUA95" s="167"/>
      <c r="MUB95" s="168"/>
      <c r="MUC95" s="167"/>
      <c r="MUD95" s="168"/>
      <c r="MUE95" s="167"/>
      <c r="MUF95" s="168"/>
      <c r="MUG95" s="167"/>
      <c r="MUH95" s="168"/>
      <c r="MUI95" s="167"/>
      <c r="MUJ95" s="168"/>
      <c r="MUK95" s="167"/>
      <c r="MUL95" s="168"/>
      <c r="MUM95" s="167"/>
      <c r="MUN95" s="168"/>
      <c r="MUO95" s="167"/>
      <c r="MUP95" s="168"/>
      <c r="MUQ95" s="167"/>
      <c r="MUR95" s="168"/>
      <c r="MUS95" s="167"/>
      <c r="MUT95" s="168"/>
      <c r="MUU95" s="167"/>
      <c r="MUV95" s="168"/>
      <c r="MUW95" s="167"/>
      <c r="MUX95" s="168"/>
      <c r="MUY95" s="167"/>
      <c r="MUZ95" s="168"/>
      <c r="MVA95" s="167"/>
      <c r="MVB95" s="168"/>
      <c r="MVC95" s="167"/>
      <c r="MVD95" s="168"/>
      <c r="MVE95" s="167"/>
      <c r="MVF95" s="168"/>
      <c r="MVG95" s="167"/>
      <c r="MVH95" s="168"/>
      <c r="MVI95" s="167"/>
      <c r="MVJ95" s="168"/>
      <c r="MVK95" s="167"/>
      <c r="MVL95" s="168"/>
      <c r="MVM95" s="167"/>
      <c r="MVN95" s="168"/>
      <c r="MVO95" s="167"/>
      <c r="MVP95" s="168"/>
      <c r="MVQ95" s="167"/>
      <c r="MVR95" s="168"/>
      <c r="MVS95" s="167"/>
      <c r="MVT95" s="168"/>
      <c r="MVU95" s="167"/>
      <c r="MVV95" s="168"/>
      <c r="MVW95" s="167"/>
      <c r="MVX95" s="168"/>
      <c r="MVY95" s="167"/>
      <c r="MVZ95" s="168"/>
      <c r="MWA95" s="167"/>
      <c r="MWB95" s="168"/>
      <c r="MWC95" s="167"/>
      <c r="MWD95" s="168"/>
      <c r="MWE95" s="167"/>
      <c r="MWF95" s="168"/>
      <c r="MWG95" s="167"/>
      <c r="MWH95" s="168"/>
      <c r="MWI95" s="167"/>
      <c r="MWJ95" s="168"/>
      <c r="MWK95" s="167"/>
      <c r="MWL95" s="168"/>
      <c r="MWM95" s="167"/>
      <c r="MWN95" s="168"/>
      <c r="MWO95" s="167"/>
      <c r="MWP95" s="168"/>
      <c r="MWQ95" s="167"/>
      <c r="MWR95" s="168"/>
      <c r="MWS95" s="167"/>
      <c r="MWT95" s="168"/>
      <c r="MWU95" s="167"/>
      <c r="MWV95" s="168"/>
      <c r="MWW95" s="167"/>
      <c r="MWX95" s="168"/>
      <c r="MWY95" s="167"/>
      <c r="MWZ95" s="168"/>
      <c r="MXA95" s="167"/>
      <c r="MXB95" s="168"/>
      <c r="MXC95" s="167"/>
      <c r="MXD95" s="168"/>
      <c r="MXE95" s="167"/>
      <c r="MXF95" s="168"/>
      <c r="MXG95" s="167"/>
      <c r="MXH95" s="168"/>
      <c r="MXI95" s="167"/>
      <c r="MXJ95" s="168"/>
      <c r="MXK95" s="167"/>
      <c r="MXL95" s="168"/>
      <c r="MXM95" s="167"/>
      <c r="MXN95" s="168"/>
      <c r="MXO95" s="167"/>
      <c r="MXP95" s="168"/>
      <c r="MXQ95" s="167"/>
      <c r="MXR95" s="168"/>
      <c r="MXS95" s="167"/>
      <c r="MXT95" s="168"/>
      <c r="MXU95" s="167"/>
      <c r="MXV95" s="168"/>
      <c r="MXW95" s="167"/>
      <c r="MXX95" s="168"/>
      <c r="MXY95" s="167"/>
      <c r="MXZ95" s="168"/>
      <c r="MYA95" s="167"/>
      <c r="MYB95" s="168"/>
      <c r="MYC95" s="167"/>
      <c r="MYD95" s="168"/>
      <c r="MYE95" s="167"/>
      <c r="MYF95" s="168"/>
      <c r="MYG95" s="167"/>
      <c r="MYH95" s="168"/>
      <c r="MYI95" s="167"/>
      <c r="MYJ95" s="168"/>
      <c r="MYK95" s="167"/>
      <c r="MYL95" s="168"/>
      <c r="MYM95" s="167"/>
      <c r="MYN95" s="168"/>
      <c r="MYO95" s="167"/>
      <c r="MYP95" s="168"/>
      <c r="MYQ95" s="167"/>
      <c r="MYR95" s="168"/>
      <c r="MYS95" s="167"/>
      <c r="MYT95" s="168"/>
      <c r="MYU95" s="167"/>
      <c r="MYV95" s="168"/>
      <c r="MYW95" s="167"/>
      <c r="MYX95" s="168"/>
      <c r="MYY95" s="167"/>
      <c r="MYZ95" s="168"/>
      <c r="MZA95" s="167"/>
      <c r="MZB95" s="168"/>
      <c r="MZC95" s="167"/>
      <c r="MZD95" s="168"/>
      <c r="MZE95" s="167"/>
      <c r="MZF95" s="168"/>
      <c r="MZG95" s="167"/>
      <c r="MZH95" s="168"/>
      <c r="MZI95" s="167"/>
      <c r="MZJ95" s="168"/>
      <c r="MZK95" s="167"/>
      <c r="MZL95" s="168"/>
      <c r="MZM95" s="167"/>
      <c r="MZN95" s="168"/>
      <c r="MZO95" s="167"/>
      <c r="MZP95" s="168"/>
      <c r="MZQ95" s="167"/>
      <c r="MZR95" s="168"/>
      <c r="MZS95" s="167"/>
      <c r="MZT95" s="168"/>
      <c r="MZU95" s="167"/>
      <c r="MZV95" s="168"/>
      <c r="MZW95" s="167"/>
      <c r="MZX95" s="168"/>
      <c r="MZY95" s="167"/>
      <c r="MZZ95" s="168"/>
      <c r="NAA95" s="167"/>
      <c r="NAB95" s="168"/>
      <c r="NAC95" s="167"/>
      <c r="NAD95" s="168"/>
      <c r="NAE95" s="167"/>
      <c r="NAF95" s="168"/>
      <c r="NAG95" s="167"/>
      <c r="NAH95" s="168"/>
      <c r="NAI95" s="167"/>
      <c r="NAJ95" s="168"/>
      <c r="NAK95" s="167"/>
      <c r="NAL95" s="168"/>
      <c r="NAM95" s="167"/>
      <c r="NAN95" s="168"/>
      <c r="NAO95" s="167"/>
      <c r="NAP95" s="168"/>
      <c r="NAQ95" s="167"/>
      <c r="NAR95" s="168"/>
      <c r="NAS95" s="167"/>
      <c r="NAT95" s="168"/>
      <c r="NAU95" s="167"/>
      <c r="NAV95" s="168"/>
      <c r="NAW95" s="167"/>
      <c r="NAX95" s="168"/>
      <c r="NAY95" s="167"/>
      <c r="NAZ95" s="168"/>
      <c r="NBA95" s="167"/>
      <c r="NBB95" s="168"/>
      <c r="NBC95" s="167"/>
      <c r="NBD95" s="168"/>
      <c r="NBE95" s="167"/>
      <c r="NBF95" s="168"/>
      <c r="NBG95" s="167"/>
      <c r="NBH95" s="168"/>
      <c r="NBI95" s="167"/>
      <c r="NBJ95" s="168"/>
      <c r="NBK95" s="167"/>
      <c r="NBL95" s="168"/>
      <c r="NBM95" s="167"/>
      <c r="NBN95" s="168"/>
      <c r="NBO95" s="167"/>
      <c r="NBP95" s="168"/>
      <c r="NBQ95" s="167"/>
      <c r="NBR95" s="168"/>
      <c r="NBS95" s="167"/>
      <c r="NBT95" s="168"/>
      <c r="NBU95" s="167"/>
      <c r="NBV95" s="168"/>
      <c r="NBW95" s="167"/>
      <c r="NBX95" s="168"/>
      <c r="NBY95" s="167"/>
      <c r="NBZ95" s="168"/>
      <c r="NCA95" s="167"/>
      <c r="NCB95" s="168"/>
      <c r="NCC95" s="167"/>
      <c r="NCD95" s="168"/>
      <c r="NCE95" s="167"/>
      <c r="NCF95" s="168"/>
      <c r="NCG95" s="167"/>
      <c r="NCH95" s="168"/>
      <c r="NCI95" s="167"/>
      <c r="NCJ95" s="168"/>
      <c r="NCK95" s="167"/>
      <c r="NCL95" s="168"/>
      <c r="NCM95" s="167"/>
      <c r="NCN95" s="168"/>
      <c r="NCO95" s="167"/>
      <c r="NCP95" s="168"/>
      <c r="NCQ95" s="167"/>
      <c r="NCR95" s="168"/>
      <c r="NCS95" s="167"/>
      <c r="NCT95" s="168"/>
      <c r="NCU95" s="167"/>
      <c r="NCV95" s="168"/>
      <c r="NCW95" s="167"/>
      <c r="NCX95" s="168"/>
      <c r="NCY95" s="167"/>
      <c r="NCZ95" s="168"/>
      <c r="NDA95" s="167"/>
      <c r="NDB95" s="168"/>
      <c r="NDC95" s="167"/>
      <c r="NDD95" s="168"/>
      <c r="NDE95" s="167"/>
      <c r="NDF95" s="168"/>
      <c r="NDG95" s="167"/>
      <c r="NDH95" s="168"/>
      <c r="NDI95" s="167"/>
      <c r="NDJ95" s="168"/>
      <c r="NDK95" s="167"/>
      <c r="NDL95" s="168"/>
      <c r="NDM95" s="167"/>
      <c r="NDN95" s="168"/>
      <c r="NDO95" s="167"/>
      <c r="NDP95" s="168"/>
      <c r="NDQ95" s="167"/>
      <c r="NDR95" s="168"/>
      <c r="NDS95" s="167"/>
      <c r="NDT95" s="168"/>
      <c r="NDU95" s="167"/>
      <c r="NDV95" s="168"/>
      <c r="NDW95" s="167"/>
      <c r="NDX95" s="168"/>
      <c r="NDY95" s="167"/>
      <c r="NDZ95" s="168"/>
      <c r="NEA95" s="167"/>
      <c r="NEB95" s="168"/>
      <c r="NEC95" s="167"/>
      <c r="NED95" s="168"/>
      <c r="NEE95" s="167"/>
      <c r="NEF95" s="168"/>
      <c r="NEG95" s="167"/>
      <c r="NEH95" s="168"/>
      <c r="NEI95" s="167"/>
      <c r="NEJ95" s="168"/>
      <c r="NEK95" s="167"/>
      <c r="NEL95" s="168"/>
      <c r="NEM95" s="167"/>
      <c r="NEN95" s="168"/>
      <c r="NEO95" s="167"/>
      <c r="NEP95" s="168"/>
      <c r="NEQ95" s="167"/>
      <c r="NER95" s="168"/>
      <c r="NES95" s="167"/>
      <c r="NET95" s="168"/>
      <c r="NEU95" s="167"/>
      <c r="NEV95" s="168"/>
      <c r="NEW95" s="167"/>
      <c r="NEX95" s="168"/>
      <c r="NEY95" s="167"/>
      <c r="NEZ95" s="168"/>
      <c r="NFA95" s="167"/>
      <c r="NFB95" s="168"/>
      <c r="NFC95" s="167"/>
      <c r="NFD95" s="168"/>
      <c r="NFE95" s="167"/>
      <c r="NFF95" s="168"/>
      <c r="NFG95" s="167"/>
      <c r="NFH95" s="168"/>
      <c r="NFI95" s="167"/>
      <c r="NFJ95" s="168"/>
      <c r="NFK95" s="167"/>
      <c r="NFL95" s="168"/>
      <c r="NFM95" s="167"/>
      <c r="NFN95" s="168"/>
      <c r="NFO95" s="167"/>
      <c r="NFP95" s="168"/>
      <c r="NFQ95" s="167"/>
      <c r="NFR95" s="168"/>
      <c r="NFS95" s="167"/>
      <c r="NFT95" s="168"/>
      <c r="NFU95" s="167"/>
      <c r="NFV95" s="168"/>
      <c r="NFW95" s="167"/>
      <c r="NFX95" s="168"/>
      <c r="NFY95" s="167"/>
      <c r="NFZ95" s="168"/>
      <c r="NGA95" s="167"/>
      <c r="NGB95" s="168"/>
      <c r="NGC95" s="167"/>
      <c r="NGD95" s="168"/>
      <c r="NGE95" s="167"/>
      <c r="NGF95" s="168"/>
      <c r="NGG95" s="167"/>
      <c r="NGH95" s="168"/>
      <c r="NGI95" s="167"/>
      <c r="NGJ95" s="168"/>
      <c r="NGK95" s="167"/>
      <c r="NGL95" s="168"/>
      <c r="NGM95" s="167"/>
      <c r="NGN95" s="168"/>
      <c r="NGO95" s="167"/>
      <c r="NGP95" s="168"/>
      <c r="NGQ95" s="167"/>
      <c r="NGR95" s="168"/>
      <c r="NGS95" s="167"/>
      <c r="NGT95" s="168"/>
      <c r="NGU95" s="167"/>
      <c r="NGV95" s="168"/>
      <c r="NGW95" s="167"/>
      <c r="NGX95" s="168"/>
      <c r="NGY95" s="167"/>
      <c r="NGZ95" s="168"/>
      <c r="NHA95" s="167"/>
      <c r="NHB95" s="168"/>
      <c r="NHC95" s="167"/>
      <c r="NHD95" s="168"/>
      <c r="NHE95" s="167"/>
      <c r="NHF95" s="168"/>
      <c r="NHG95" s="167"/>
      <c r="NHH95" s="168"/>
      <c r="NHI95" s="167"/>
      <c r="NHJ95" s="168"/>
      <c r="NHK95" s="167"/>
      <c r="NHL95" s="168"/>
      <c r="NHM95" s="167"/>
      <c r="NHN95" s="168"/>
      <c r="NHO95" s="167"/>
      <c r="NHP95" s="168"/>
      <c r="NHQ95" s="167"/>
      <c r="NHR95" s="168"/>
      <c r="NHS95" s="167"/>
      <c r="NHT95" s="168"/>
      <c r="NHU95" s="167"/>
      <c r="NHV95" s="168"/>
      <c r="NHW95" s="167"/>
      <c r="NHX95" s="168"/>
      <c r="NHY95" s="167"/>
      <c r="NHZ95" s="168"/>
      <c r="NIA95" s="167"/>
      <c r="NIB95" s="168"/>
      <c r="NIC95" s="167"/>
      <c r="NID95" s="168"/>
      <c r="NIE95" s="167"/>
      <c r="NIF95" s="168"/>
      <c r="NIG95" s="167"/>
      <c r="NIH95" s="168"/>
      <c r="NII95" s="167"/>
      <c r="NIJ95" s="168"/>
      <c r="NIK95" s="167"/>
      <c r="NIL95" s="168"/>
      <c r="NIM95" s="167"/>
      <c r="NIN95" s="168"/>
      <c r="NIO95" s="167"/>
      <c r="NIP95" s="168"/>
      <c r="NIQ95" s="167"/>
      <c r="NIR95" s="168"/>
      <c r="NIS95" s="167"/>
      <c r="NIT95" s="168"/>
      <c r="NIU95" s="167"/>
      <c r="NIV95" s="168"/>
      <c r="NIW95" s="167"/>
      <c r="NIX95" s="168"/>
      <c r="NIY95" s="167"/>
      <c r="NIZ95" s="168"/>
      <c r="NJA95" s="167"/>
      <c r="NJB95" s="168"/>
      <c r="NJC95" s="167"/>
      <c r="NJD95" s="168"/>
      <c r="NJE95" s="167"/>
      <c r="NJF95" s="168"/>
      <c r="NJG95" s="167"/>
      <c r="NJH95" s="168"/>
      <c r="NJI95" s="167"/>
      <c r="NJJ95" s="168"/>
      <c r="NJK95" s="167"/>
      <c r="NJL95" s="168"/>
      <c r="NJM95" s="167"/>
      <c r="NJN95" s="168"/>
      <c r="NJO95" s="167"/>
      <c r="NJP95" s="168"/>
      <c r="NJQ95" s="167"/>
      <c r="NJR95" s="168"/>
      <c r="NJS95" s="167"/>
      <c r="NJT95" s="168"/>
      <c r="NJU95" s="167"/>
      <c r="NJV95" s="168"/>
      <c r="NJW95" s="167"/>
      <c r="NJX95" s="168"/>
      <c r="NJY95" s="167"/>
      <c r="NJZ95" s="168"/>
      <c r="NKA95" s="167"/>
      <c r="NKB95" s="168"/>
      <c r="NKC95" s="167"/>
      <c r="NKD95" s="168"/>
      <c r="NKE95" s="167"/>
      <c r="NKF95" s="168"/>
      <c r="NKG95" s="167"/>
      <c r="NKH95" s="168"/>
      <c r="NKI95" s="167"/>
      <c r="NKJ95" s="168"/>
      <c r="NKK95" s="167"/>
      <c r="NKL95" s="168"/>
      <c r="NKM95" s="167"/>
      <c r="NKN95" s="168"/>
      <c r="NKO95" s="167"/>
      <c r="NKP95" s="168"/>
      <c r="NKQ95" s="167"/>
      <c r="NKR95" s="168"/>
      <c r="NKS95" s="167"/>
      <c r="NKT95" s="168"/>
      <c r="NKU95" s="167"/>
      <c r="NKV95" s="168"/>
      <c r="NKW95" s="167"/>
      <c r="NKX95" s="168"/>
      <c r="NKY95" s="167"/>
      <c r="NKZ95" s="168"/>
      <c r="NLA95" s="167"/>
      <c r="NLB95" s="168"/>
      <c r="NLC95" s="167"/>
      <c r="NLD95" s="168"/>
      <c r="NLE95" s="167"/>
      <c r="NLF95" s="168"/>
      <c r="NLG95" s="167"/>
      <c r="NLH95" s="168"/>
      <c r="NLI95" s="167"/>
      <c r="NLJ95" s="168"/>
      <c r="NLK95" s="167"/>
      <c r="NLL95" s="168"/>
      <c r="NLM95" s="167"/>
      <c r="NLN95" s="168"/>
      <c r="NLO95" s="167"/>
      <c r="NLP95" s="168"/>
      <c r="NLQ95" s="167"/>
      <c r="NLR95" s="168"/>
      <c r="NLS95" s="167"/>
      <c r="NLT95" s="168"/>
      <c r="NLU95" s="167"/>
      <c r="NLV95" s="168"/>
      <c r="NLW95" s="167"/>
      <c r="NLX95" s="168"/>
      <c r="NLY95" s="167"/>
      <c r="NLZ95" s="168"/>
      <c r="NMA95" s="167"/>
      <c r="NMB95" s="168"/>
      <c r="NMC95" s="167"/>
      <c r="NMD95" s="168"/>
      <c r="NME95" s="167"/>
      <c r="NMF95" s="168"/>
      <c r="NMG95" s="167"/>
      <c r="NMH95" s="168"/>
      <c r="NMI95" s="167"/>
      <c r="NMJ95" s="168"/>
      <c r="NMK95" s="167"/>
      <c r="NML95" s="168"/>
      <c r="NMM95" s="167"/>
      <c r="NMN95" s="168"/>
      <c r="NMO95" s="167"/>
      <c r="NMP95" s="168"/>
      <c r="NMQ95" s="167"/>
      <c r="NMR95" s="168"/>
      <c r="NMS95" s="167"/>
      <c r="NMT95" s="168"/>
      <c r="NMU95" s="167"/>
      <c r="NMV95" s="168"/>
      <c r="NMW95" s="167"/>
      <c r="NMX95" s="168"/>
      <c r="NMY95" s="167"/>
      <c r="NMZ95" s="168"/>
      <c r="NNA95" s="167"/>
      <c r="NNB95" s="168"/>
      <c r="NNC95" s="167"/>
      <c r="NND95" s="168"/>
      <c r="NNE95" s="167"/>
      <c r="NNF95" s="168"/>
      <c r="NNG95" s="167"/>
      <c r="NNH95" s="168"/>
      <c r="NNI95" s="167"/>
      <c r="NNJ95" s="168"/>
      <c r="NNK95" s="167"/>
      <c r="NNL95" s="168"/>
      <c r="NNM95" s="167"/>
      <c r="NNN95" s="168"/>
      <c r="NNO95" s="167"/>
      <c r="NNP95" s="168"/>
      <c r="NNQ95" s="167"/>
      <c r="NNR95" s="168"/>
      <c r="NNS95" s="167"/>
      <c r="NNT95" s="168"/>
      <c r="NNU95" s="167"/>
      <c r="NNV95" s="168"/>
      <c r="NNW95" s="167"/>
      <c r="NNX95" s="168"/>
      <c r="NNY95" s="167"/>
      <c r="NNZ95" s="168"/>
      <c r="NOA95" s="167"/>
      <c r="NOB95" s="168"/>
      <c r="NOC95" s="167"/>
      <c r="NOD95" s="168"/>
      <c r="NOE95" s="167"/>
      <c r="NOF95" s="168"/>
      <c r="NOG95" s="167"/>
      <c r="NOH95" s="168"/>
      <c r="NOI95" s="167"/>
      <c r="NOJ95" s="168"/>
      <c r="NOK95" s="167"/>
      <c r="NOL95" s="168"/>
      <c r="NOM95" s="167"/>
      <c r="NON95" s="168"/>
      <c r="NOO95" s="167"/>
      <c r="NOP95" s="168"/>
      <c r="NOQ95" s="167"/>
      <c r="NOR95" s="168"/>
      <c r="NOS95" s="167"/>
      <c r="NOT95" s="168"/>
      <c r="NOU95" s="167"/>
      <c r="NOV95" s="168"/>
      <c r="NOW95" s="167"/>
      <c r="NOX95" s="168"/>
      <c r="NOY95" s="167"/>
      <c r="NOZ95" s="168"/>
      <c r="NPA95" s="167"/>
      <c r="NPB95" s="168"/>
      <c r="NPC95" s="167"/>
      <c r="NPD95" s="168"/>
      <c r="NPE95" s="167"/>
      <c r="NPF95" s="168"/>
      <c r="NPG95" s="167"/>
      <c r="NPH95" s="168"/>
      <c r="NPI95" s="167"/>
      <c r="NPJ95" s="168"/>
      <c r="NPK95" s="167"/>
      <c r="NPL95" s="168"/>
      <c r="NPM95" s="167"/>
      <c r="NPN95" s="168"/>
      <c r="NPO95" s="167"/>
      <c r="NPP95" s="168"/>
      <c r="NPQ95" s="167"/>
      <c r="NPR95" s="168"/>
      <c r="NPS95" s="167"/>
      <c r="NPT95" s="168"/>
      <c r="NPU95" s="167"/>
      <c r="NPV95" s="168"/>
      <c r="NPW95" s="167"/>
      <c r="NPX95" s="168"/>
      <c r="NPY95" s="167"/>
      <c r="NPZ95" s="168"/>
      <c r="NQA95" s="167"/>
      <c r="NQB95" s="168"/>
      <c r="NQC95" s="167"/>
      <c r="NQD95" s="168"/>
      <c r="NQE95" s="167"/>
      <c r="NQF95" s="168"/>
      <c r="NQG95" s="167"/>
      <c r="NQH95" s="168"/>
      <c r="NQI95" s="167"/>
      <c r="NQJ95" s="168"/>
      <c r="NQK95" s="167"/>
      <c r="NQL95" s="168"/>
      <c r="NQM95" s="167"/>
      <c r="NQN95" s="168"/>
      <c r="NQO95" s="167"/>
      <c r="NQP95" s="168"/>
      <c r="NQQ95" s="167"/>
      <c r="NQR95" s="168"/>
      <c r="NQS95" s="167"/>
      <c r="NQT95" s="168"/>
      <c r="NQU95" s="167"/>
      <c r="NQV95" s="168"/>
      <c r="NQW95" s="167"/>
      <c r="NQX95" s="168"/>
      <c r="NQY95" s="167"/>
      <c r="NQZ95" s="168"/>
      <c r="NRA95" s="167"/>
      <c r="NRB95" s="168"/>
      <c r="NRC95" s="167"/>
      <c r="NRD95" s="168"/>
      <c r="NRE95" s="167"/>
      <c r="NRF95" s="168"/>
      <c r="NRG95" s="167"/>
      <c r="NRH95" s="168"/>
      <c r="NRI95" s="167"/>
      <c r="NRJ95" s="168"/>
      <c r="NRK95" s="167"/>
      <c r="NRL95" s="168"/>
      <c r="NRM95" s="167"/>
      <c r="NRN95" s="168"/>
      <c r="NRO95" s="167"/>
      <c r="NRP95" s="168"/>
      <c r="NRQ95" s="167"/>
      <c r="NRR95" s="168"/>
      <c r="NRS95" s="167"/>
      <c r="NRT95" s="168"/>
      <c r="NRU95" s="167"/>
      <c r="NRV95" s="168"/>
      <c r="NRW95" s="167"/>
      <c r="NRX95" s="168"/>
      <c r="NRY95" s="167"/>
      <c r="NRZ95" s="168"/>
      <c r="NSA95" s="167"/>
      <c r="NSB95" s="168"/>
      <c r="NSC95" s="167"/>
      <c r="NSD95" s="168"/>
      <c r="NSE95" s="167"/>
      <c r="NSF95" s="168"/>
      <c r="NSG95" s="167"/>
      <c r="NSH95" s="168"/>
      <c r="NSI95" s="167"/>
      <c r="NSJ95" s="168"/>
      <c r="NSK95" s="167"/>
      <c r="NSL95" s="168"/>
      <c r="NSM95" s="167"/>
      <c r="NSN95" s="168"/>
      <c r="NSO95" s="167"/>
      <c r="NSP95" s="168"/>
      <c r="NSQ95" s="167"/>
      <c r="NSR95" s="168"/>
      <c r="NSS95" s="167"/>
      <c r="NST95" s="168"/>
      <c r="NSU95" s="167"/>
      <c r="NSV95" s="168"/>
      <c r="NSW95" s="167"/>
      <c r="NSX95" s="168"/>
      <c r="NSY95" s="167"/>
      <c r="NSZ95" s="168"/>
      <c r="NTA95" s="167"/>
      <c r="NTB95" s="168"/>
      <c r="NTC95" s="167"/>
      <c r="NTD95" s="168"/>
      <c r="NTE95" s="167"/>
      <c r="NTF95" s="168"/>
      <c r="NTG95" s="167"/>
      <c r="NTH95" s="168"/>
      <c r="NTI95" s="167"/>
      <c r="NTJ95" s="168"/>
      <c r="NTK95" s="167"/>
      <c r="NTL95" s="168"/>
      <c r="NTM95" s="167"/>
      <c r="NTN95" s="168"/>
      <c r="NTO95" s="167"/>
      <c r="NTP95" s="168"/>
      <c r="NTQ95" s="167"/>
      <c r="NTR95" s="168"/>
      <c r="NTS95" s="167"/>
      <c r="NTT95" s="168"/>
      <c r="NTU95" s="167"/>
      <c r="NTV95" s="168"/>
      <c r="NTW95" s="167"/>
      <c r="NTX95" s="168"/>
      <c r="NTY95" s="167"/>
      <c r="NTZ95" s="168"/>
      <c r="NUA95" s="167"/>
      <c r="NUB95" s="168"/>
      <c r="NUC95" s="167"/>
      <c r="NUD95" s="168"/>
      <c r="NUE95" s="167"/>
      <c r="NUF95" s="168"/>
      <c r="NUG95" s="167"/>
      <c r="NUH95" s="168"/>
      <c r="NUI95" s="167"/>
      <c r="NUJ95" s="168"/>
      <c r="NUK95" s="167"/>
      <c r="NUL95" s="168"/>
      <c r="NUM95" s="167"/>
      <c r="NUN95" s="168"/>
      <c r="NUO95" s="167"/>
      <c r="NUP95" s="168"/>
      <c r="NUQ95" s="167"/>
      <c r="NUR95" s="168"/>
      <c r="NUS95" s="167"/>
      <c r="NUT95" s="168"/>
      <c r="NUU95" s="167"/>
      <c r="NUV95" s="168"/>
      <c r="NUW95" s="167"/>
      <c r="NUX95" s="168"/>
      <c r="NUY95" s="167"/>
      <c r="NUZ95" s="168"/>
      <c r="NVA95" s="167"/>
      <c r="NVB95" s="168"/>
      <c r="NVC95" s="167"/>
      <c r="NVD95" s="168"/>
      <c r="NVE95" s="167"/>
      <c r="NVF95" s="168"/>
      <c r="NVG95" s="167"/>
      <c r="NVH95" s="168"/>
      <c r="NVI95" s="167"/>
      <c r="NVJ95" s="168"/>
      <c r="NVK95" s="167"/>
      <c r="NVL95" s="168"/>
      <c r="NVM95" s="167"/>
      <c r="NVN95" s="168"/>
      <c r="NVO95" s="167"/>
      <c r="NVP95" s="168"/>
      <c r="NVQ95" s="167"/>
      <c r="NVR95" s="168"/>
      <c r="NVS95" s="167"/>
      <c r="NVT95" s="168"/>
      <c r="NVU95" s="167"/>
      <c r="NVV95" s="168"/>
      <c r="NVW95" s="167"/>
      <c r="NVX95" s="168"/>
      <c r="NVY95" s="167"/>
      <c r="NVZ95" s="168"/>
      <c r="NWA95" s="167"/>
      <c r="NWB95" s="168"/>
      <c r="NWC95" s="167"/>
      <c r="NWD95" s="168"/>
      <c r="NWE95" s="167"/>
      <c r="NWF95" s="168"/>
      <c r="NWG95" s="167"/>
      <c r="NWH95" s="168"/>
      <c r="NWI95" s="167"/>
      <c r="NWJ95" s="168"/>
      <c r="NWK95" s="167"/>
      <c r="NWL95" s="168"/>
      <c r="NWM95" s="167"/>
      <c r="NWN95" s="168"/>
      <c r="NWO95" s="167"/>
      <c r="NWP95" s="168"/>
      <c r="NWQ95" s="167"/>
      <c r="NWR95" s="168"/>
      <c r="NWS95" s="167"/>
      <c r="NWT95" s="168"/>
      <c r="NWU95" s="167"/>
      <c r="NWV95" s="168"/>
      <c r="NWW95" s="167"/>
      <c r="NWX95" s="168"/>
      <c r="NWY95" s="167"/>
      <c r="NWZ95" s="168"/>
      <c r="NXA95" s="167"/>
      <c r="NXB95" s="168"/>
      <c r="NXC95" s="167"/>
      <c r="NXD95" s="168"/>
      <c r="NXE95" s="167"/>
      <c r="NXF95" s="168"/>
      <c r="NXG95" s="167"/>
      <c r="NXH95" s="168"/>
      <c r="NXI95" s="167"/>
      <c r="NXJ95" s="168"/>
      <c r="NXK95" s="167"/>
      <c r="NXL95" s="168"/>
      <c r="NXM95" s="167"/>
      <c r="NXN95" s="168"/>
      <c r="NXO95" s="167"/>
      <c r="NXP95" s="168"/>
      <c r="NXQ95" s="167"/>
      <c r="NXR95" s="168"/>
      <c r="NXS95" s="167"/>
      <c r="NXT95" s="168"/>
      <c r="NXU95" s="167"/>
      <c r="NXV95" s="168"/>
      <c r="NXW95" s="167"/>
      <c r="NXX95" s="168"/>
      <c r="NXY95" s="167"/>
      <c r="NXZ95" s="168"/>
      <c r="NYA95" s="167"/>
      <c r="NYB95" s="168"/>
      <c r="NYC95" s="167"/>
      <c r="NYD95" s="168"/>
      <c r="NYE95" s="167"/>
      <c r="NYF95" s="168"/>
      <c r="NYG95" s="167"/>
      <c r="NYH95" s="168"/>
      <c r="NYI95" s="167"/>
      <c r="NYJ95" s="168"/>
      <c r="NYK95" s="167"/>
      <c r="NYL95" s="168"/>
      <c r="NYM95" s="167"/>
      <c r="NYN95" s="168"/>
      <c r="NYO95" s="167"/>
      <c r="NYP95" s="168"/>
      <c r="NYQ95" s="167"/>
      <c r="NYR95" s="168"/>
      <c r="NYS95" s="167"/>
      <c r="NYT95" s="168"/>
      <c r="NYU95" s="167"/>
      <c r="NYV95" s="168"/>
      <c r="NYW95" s="167"/>
      <c r="NYX95" s="168"/>
      <c r="NYY95" s="167"/>
      <c r="NYZ95" s="168"/>
      <c r="NZA95" s="167"/>
      <c r="NZB95" s="168"/>
      <c r="NZC95" s="167"/>
      <c r="NZD95" s="168"/>
      <c r="NZE95" s="167"/>
      <c r="NZF95" s="168"/>
      <c r="NZG95" s="167"/>
      <c r="NZH95" s="168"/>
      <c r="NZI95" s="167"/>
      <c r="NZJ95" s="168"/>
      <c r="NZK95" s="167"/>
      <c r="NZL95" s="168"/>
      <c r="NZM95" s="167"/>
      <c r="NZN95" s="168"/>
      <c r="NZO95" s="167"/>
      <c r="NZP95" s="168"/>
      <c r="NZQ95" s="167"/>
      <c r="NZR95" s="168"/>
      <c r="NZS95" s="167"/>
      <c r="NZT95" s="168"/>
      <c r="NZU95" s="167"/>
      <c r="NZV95" s="168"/>
      <c r="NZW95" s="167"/>
      <c r="NZX95" s="168"/>
      <c r="NZY95" s="167"/>
      <c r="NZZ95" s="168"/>
      <c r="OAA95" s="167"/>
      <c r="OAB95" s="168"/>
      <c r="OAC95" s="167"/>
      <c r="OAD95" s="168"/>
      <c r="OAE95" s="167"/>
      <c r="OAF95" s="168"/>
      <c r="OAG95" s="167"/>
      <c r="OAH95" s="168"/>
      <c r="OAI95" s="167"/>
      <c r="OAJ95" s="168"/>
      <c r="OAK95" s="167"/>
      <c r="OAL95" s="168"/>
      <c r="OAM95" s="167"/>
      <c r="OAN95" s="168"/>
      <c r="OAO95" s="167"/>
      <c r="OAP95" s="168"/>
      <c r="OAQ95" s="167"/>
      <c r="OAR95" s="168"/>
      <c r="OAS95" s="167"/>
      <c r="OAT95" s="168"/>
      <c r="OAU95" s="167"/>
      <c r="OAV95" s="168"/>
      <c r="OAW95" s="167"/>
      <c r="OAX95" s="168"/>
      <c r="OAY95" s="167"/>
      <c r="OAZ95" s="168"/>
      <c r="OBA95" s="167"/>
      <c r="OBB95" s="168"/>
      <c r="OBC95" s="167"/>
      <c r="OBD95" s="168"/>
      <c r="OBE95" s="167"/>
      <c r="OBF95" s="168"/>
      <c r="OBG95" s="167"/>
      <c r="OBH95" s="168"/>
      <c r="OBI95" s="167"/>
      <c r="OBJ95" s="168"/>
      <c r="OBK95" s="167"/>
      <c r="OBL95" s="168"/>
      <c r="OBM95" s="167"/>
      <c r="OBN95" s="168"/>
      <c r="OBO95" s="167"/>
      <c r="OBP95" s="168"/>
      <c r="OBQ95" s="167"/>
      <c r="OBR95" s="168"/>
      <c r="OBS95" s="167"/>
      <c r="OBT95" s="168"/>
      <c r="OBU95" s="167"/>
      <c r="OBV95" s="168"/>
      <c r="OBW95" s="167"/>
      <c r="OBX95" s="168"/>
      <c r="OBY95" s="167"/>
      <c r="OBZ95" s="168"/>
      <c r="OCA95" s="167"/>
      <c r="OCB95" s="168"/>
      <c r="OCC95" s="167"/>
      <c r="OCD95" s="168"/>
      <c r="OCE95" s="167"/>
      <c r="OCF95" s="168"/>
      <c r="OCG95" s="167"/>
      <c r="OCH95" s="168"/>
      <c r="OCI95" s="167"/>
      <c r="OCJ95" s="168"/>
      <c r="OCK95" s="167"/>
      <c r="OCL95" s="168"/>
      <c r="OCM95" s="167"/>
      <c r="OCN95" s="168"/>
      <c r="OCO95" s="167"/>
      <c r="OCP95" s="168"/>
      <c r="OCQ95" s="167"/>
      <c r="OCR95" s="168"/>
      <c r="OCS95" s="167"/>
      <c r="OCT95" s="168"/>
      <c r="OCU95" s="167"/>
      <c r="OCV95" s="168"/>
      <c r="OCW95" s="167"/>
      <c r="OCX95" s="168"/>
      <c r="OCY95" s="167"/>
      <c r="OCZ95" s="168"/>
      <c r="ODA95" s="167"/>
      <c r="ODB95" s="168"/>
      <c r="ODC95" s="167"/>
      <c r="ODD95" s="168"/>
      <c r="ODE95" s="167"/>
      <c r="ODF95" s="168"/>
      <c r="ODG95" s="167"/>
      <c r="ODH95" s="168"/>
      <c r="ODI95" s="167"/>
      <c r="ODJ95" s="168"/>
      <c r="ODK95" s="167"/>
      <c r="ODL95" s="168"/>
      <c r="ODM95" s="167"/>
      <c r="ODN95" s="168"/>
      <c r="ODO95" s="167"/>
      <c r="ODP95" s="168"/>
      <c r="ODQ95" s="167"/>
      <c r="ODR95" s="168"/>
      <c r="ODS95" s="167"/>
      <c r="ODT95" s="168"/>
      <c r="ODU95" s="167"/>
      <c r="ODV95" s="168"/>
      <c r="ODW95" s="167"/>
      <c r="ODX95" s="168"/>
      <c r="ODY95" s="167"/>
      <c r="ODZ95" s="168"/>
      <c r="OEA95" s="167"/>
      <c r="OEB95" s="168"/>
      <c r="OEC95" s="167"/>
      <c r="OED95" s="168"/>
      <c r="OEE95" s="167"/>
      <c r="OEF95" s="168"/>
      <c r="OEG95" s="167"/>
      <c r="OEH95" s="168"/>
      <c r="OEI95" s="167"/>
      <c r="OEJ95" s="168"/>
      <c r="OEK95" s="167"/>
      <c r="OEL95" s="168"/>
      <c r="OEM95" s="167"/>
      <c r="OEN95" s="168"/>
      <c r="OEO95" s="167"/>
      <c r="OEP95" s="168"/>
      <c r="OEQ95" s="167"/>
      <c r="OER95" s="168"/>
      <c r="OES95" s="167"/>
      <c r="OET95" s="168"/>
      <c r="OEU95" s="167"/>
      <c r="OEV95" s="168"/>
      <c r="OEW95" s="167"/>
      <c r="OEX95" s="168"/>
      <c r="OEY95" s="167"/>
      <c r="OEZ95" s="168"/>
      <c r="OFA95" s="167"/>
      <c r="OFB95" s="168"/>
      <c r="OFC95" s="167"/>
      <c r="OFD95" s="168"/>
      <c r="OFE95" s="167"/>
      <c r="OFF95" s="168"/>
      <c r="OFG95" s="167"/>
      <c r="OFH95" s="168"/>
      <c r="OFI95" s="167"/>
      <c r="OFJ95" s="168"/>
      <c r="OFK95" s="167"/>
      <c r="OFL95" s="168"/>
      <c r="OFM95" s="167"/>
      <c r="OFN95" s="168"/>
      <c r="OFO95" s="167"/>
      <c r="OFP95" s="168"/>
      <c r="OFQ95" s="167"/>
      <c r="OFR95" s="168"/>
      <c r="OFS95" s="167"/>
      <c r="OFT95" s="168"/>
      <c r="OFU95" s="167"/>
      <c r="OFV95" s="168"/>
      <c r="OFW95" s="167"/>
      <c r="OFX95" s="168"/>
      <c r="OFY95" s="167"/>
      <c r="OFZ95" s="168"/>
      <c r="OGA95" s="167"/>
      <c r="OGB95" s="168"/>
      <c r="OGC95" s="167"/>
      <c r="OGD95" s="168"/>
      <c r="OGE95" s="167"/>
      <c r="OGF95" s="168"/>
      <c r="OGG95" s="167"/>
      <c r="OGH95" s="168"/>
      <c r="OGI95" s="167"/>
      <c r="OGJ95" s="168"/>
      <c r="OGK95" s="167"/>
      <c r="OGL95" s="168"/>
      <c r="OGM95" s="167"/>
      <c r="OGN95" s="168"/>
      <c r="OGO95" s="167"/>
      <c r="OGP95" s="168"/>
      <c r="OGQ95" s="167"/>
      <c r="OGR95" s="168"/>
      <c r="OGS95" s="167"/>
      <c r="OGT95" s="168"/>
      <c r="OGU95" s="167"/>
      <c r="OGV95" s="168"/>
      <c r="OGW95" s="167"/>
      <c r="OGX95" s="168"/>
      <c r="OGY95" s="167"/>
      <c r="OGZ95" s="168"/>
      <c r="OHA95" s="167"/>
      <c r="OHB95" s="168"/>
      <c r="OHC95" s="167"/>
      <c r="OHD95" s="168"/>
      <c r="OHE95" s="167"/>
      <c r="OHF95" s="168"/>
      <c r="OHG95" s="167"/>
      <c r="OHH95" s="168"/>
      <c r="OHI95" s="167"/>
      <c r="OHJ95" s="168"/>
      <c r="OHK95" s="167"/>
      <c r="OHL95" s="168"/>
      <c r="OHM95" s="167"/>
      <c r="OHN95" s="168"/>
      <c r="OHO95" s="167"/>
      <c r="OHP95" s="168"/>
      <c r="OHQ95" s="167"/>
      <c r="OHR95" s="168"/>
      <c r="OHS95" s="167"/>
      <c r="OHT95" s="168"/>
      <c r="OHU95" s="167"/>
      <c r="OHV95" s="168"/>
      <c r="OHW95" s="167"/>
      <c r="OHX95" s="168"/>
      <c r="OHY95" s="167"/>
      <c r="OHZ95" s="168"/>
      <c r="OIA95" s="167"/>
      <c r="OIB95" s="168"/>
      <c r="OIC95" s="167"/>
      <c r="OID95" s="168"/>
      <c r="OIE95" s="167"/>
      <c r="OIF95" s="168"/>
      <c r="OIG95" s="167"/>
      <c r="OIH95" s="168"/>
      <c r="OII95" s="167"/>
      <c r="OIJ95" s="168"/>
      <c r="OIK95" s="167"/>
      <c r="OIL95" s="168"/>
      <c r="OIM95" s="167"/>
      <c r="OIN95" s="168"/>
      <c r="OIO95" s="167"/>
      <c r="OIP95" s="168"/>
      <c r="OIQ95" s="167"/>
      <c r="OIR95" s="168"/>
      <c r="OIS95" s="167"/>
      <c r="OIT95" s="168"/>
      <c r="OIU95" s="167"/>
      <c r="OIV95" s="168"/>
      <c r="OIW95" s="167"/>
      <c r="OIX95" s="168"/>
      <c r="OIY95" s="167"/>
      <c r="OIZ95" s="168"/>
      <c r="OJA95" s="167"/>
      <c r="OJB95" s="168"/>
      <c r="OJC95" s="167"/>
      <c r="OJD95" s="168"/>
      <c r="OJE95" s="167"/>
      <c r="OJF95" s="168"/>
      <c r="OJG95" s="167"/>
      <c r="OJH95" s="168"/>
      <c r="OJI95" s="167"/>
      <c r="OJJ95" s="168"/>
      <c r="OJK95" s="167"/>
      <c r="OJL95" s="168"/>
      <c r="OJM95" s="167"/>
      <c r="OJN95" s="168"/>
      <c r="OJO95" s="167"/>
      <c r="OJP95" s="168"/>
      <c r="OJQ95" s="167"/>
      <c r="OJR95" s="168"/>
      <c r="OJS95" s="167"/>
      <c r="OJT95" s="168"/>
      <c r="OJU95" s="167"/>
      <c r="OJV95" s="168"/>
      <c r="OJW95" s="167"/>
      <c r="OJX95" s="168"/>
      <c r="OJY95" s="167"/>
      <c r="OJZ95" s="168"/>
      <c r="OKA95" s="167"/>
      <c r="OKB95" s="168"/>
      <c r="OKC95" s="167"/>
      <c r="OKD95" s="168"/>
      <c r="OKE95" s="167"/>
      <c r="OKF95" s="168"/>
      <c r="OKG95" s="167"/>
      <c r="OKH95" s="168"/>
      <c r="OKI95" s="167"/>
      <c r="OKJ95" s="168"/>
      <c r="OKK95" s="167"/>
      <c r="OKL95" s="168"/>
      <c r="OKM95" s="167"/>
      <c r="OKN95" s="168"/>
      <c r="OKO95" s="167"/>
      <c r="OKP95" s="168"/>
      <c r="OKQ95" s="167"/>
      <c r="OKR95" s="168"/>
      <c r="OKS95" s="167"/>
      <c r="OKT95" s="168"/>
      <c r="OKU95" s="167"/>
      <c r="OKV95" s="168"/>
      <c r="OKW95" s="167"/>
      <c r="OKX95" s="168"/>
      <c r="OKY95" s="167"/>
      <c r="OKZ95" s="168"/>
      <c r="OLA95" s="167"/>
      <c r="OLB95" s="168"/>
      <c r="OLC95" s="167"/>
      <c r="OLD95" s="168"/>
      <c r="OLE95" s="167"/>
      <c r="OLF95" s="168"/>
      <c r="OLG95" s="167"/>
      <c r="OLH95" s="168"/>
      <c r="OLI95" s="167"/>
      <c r="OLJ95" s="168"/>
      <c r="OLK95" s="167"/>
      <c r="OLL95" s="168"/>
      <c r="OLM95" s="167"/>
      <c r="OLN95" s="168"/>
      <c r="OLO95" s="167"/>
      <c r="OLP95" s="168"/>
      <c r="OLQ95" s="167"/>
      <c r="OLR95" s="168"/>
      <c r="OLS95" s="167"/>
      <c r="OLT95" s="168"/>
      <c r="OLU95" s="167"/>
      <c r="OLV95" s="168"/>
      <c r="OLW95" s="167"/>
      <c r="OLX95" s="168"/>
      <c r="OLY95" s="167"/>
      <c r="OLZ95" s="168"/>
      <c r="OMA95" s="167"/>
      <c r="OMB95" s="168"/>
      <c r="OMC95" s="167"/>
      <c r="OMD95" s="168"/>
      <c r="OME95" s="167"/>
      <c r="OMF95" s="168"/>
      <c r="OMG95" s="167"/>
      <c r="OMH95" s="168"/>
      <c r="OMI95" s="167"/>
      <c r="OMJ95" s="168"/>
      <c r="OMK95" s="167"/>
      <c r="OML95" s="168"/>
      <c r="OMM95" s="167"/>
      <c r="OMN95" s="168"/>
      <c r="OMO95" s="167"/>
      <c r="OMP95" s="168"/>
      <c r="OMQ95" s="167"/>
      <c r="OMR95" s="168"/>
      <c r="OMS95" s="167"/>
      <c r="OMT95" s="168"/>
      <c r="OMU95" s="167"/>
      <c r="OMV95" s="168"/>
      <c r="OMW95" s="167"/>
      <c r="OMX95" s="168"/>
      <c r="OMY95" s="167"/>
      <c r="OMZ95" s="168"/>
      <c r="ONA95" s="167"/>
      <c r="ONB95" s="168"/>
      <c r="ONC95" s="167"/>
      <c r="OND95" s="168"/>
      <c r="ONE95" s="167"/>
      <c r="ONF95" s="168"/>
      <c r="ONG95" s="167"/>
      <c r="ONH95" s="168"/>
      <c r="ONI95" s="167"/>
      <c r="ONJ95" s="168"/>
      <c r="ONK95" s="167"/>
      <c r="ONL95" s="168"/>
      <c r="ONM95" s="167"/>
      <c r="ONN95" s="168"/>
      <c r="ONO95" s="167"/>
      <c r="ONP95" s="168"/>
      <c r="ONQ95" s="167"/>
      <c r="ONR95" s="168"/>
      <c r="ONS95" s="167"/>
      <c r="ONT95" s="168"/>
      <c r="ONU95" s="167"/>
      <c r="ONV95" s="168"/>
      <c r="ONW95" s="167"/>
      <c r="ONX95" s="168"/>
      <c r="ONY95" s="167"/>
      <c r="ONZ95" s="168"/>
      <c r="OOA95" s="167"/>
      <c r="OOB95" s="168"/>
      <c r="OOC95" s="167"/>
      <c r="OOD95" s="168"/>
      <c r="OOE95" s="167"/>
      <c r="OOF95" s="168"/>
      <c r="OOG95" s="167"/>
      <c r="OOH95" s="168"/>
      <c r="OOI95" s="167"/>
      <c r="OOJ95" s="168"/>
      <c r="OOK95" s="167"/>
      <c r="OOL95" s="168"/>
      <c r="OOM95" s="167"/>
      <c r="OON95" s="168"/>
      <c r="OOO95" s="167"/>
      <c r="OOP95" s="168"/>
      <c r="OOQ95" s="167"/>
      <c r="OOR95" s="168"/>
      <c r="OOS95" s="167"/>
      <c r="OOT95" s="168"/>
      <c r="OOU95" s="167"/>
      <c r="OOV95" s="168"/>
      <c r="OOW95" s="167"/>
      <c r="OOX95" s="168"/>
      <c r="OOY95" s="167"/>
      <c r="OOZ95" s="168"/>
      <c r="OPA95" s="167"/>
      <c r="OPB95" s="168"/>
      <c r="OPC95" s="167"/>
      <c r="OPD95" s="168"/>
      <c r="OPE95" s="167"/>
      <c r="OPF95" s="168"/>
      <c r="OPG95" s="167"/>
      <c r="OPH95" s="168"/>
      <c r="OPI95" s="167"/>
      <c r="OPJ95" s="168"/>
      <c r="OPK95" s="167"/>
      <c r="OPL95" s="168"/>
      <c r="OPM95" s="167"/>
      <c r="OPN95" s="168"/>
      <c r="OPO95" s="167"/>
      <c r="OPP95" s="168"/>
      <c r="OPQ95" s="167"/>
      <c r="OPR95" s="168"/>
      <c r="OPS95" s="167"/>
      <c r="OPT95" s="168"/>
      <c r="OPU95" s="167"/>
      <c r="OPV95" s="168"/>
      <c r="OPW95" s="167"/>
      <c r="OPX95" s="168"/>
      <c r="OPY95" s="167"/>
      <c r="OPZ95" s="168"/>
      <c r="OQA95" s="167"/>
      <c r="OQB95" s="168"/>
      <c r="OQC95" s="167"/>
      <c r="OQD95" s="168"/>
      <c r="OQE95" s="167"/>
      <c r="OQF95" s="168"/>
      <c r="OQG95" s="167"/>
      <c r="OQH95" s="168"/>
      <c r="OQI95" s="167"/>
      <c r="OQJ95" s="168"/>
      <c r="OQK95" s="167"/>
      <c r="OQL95" s="168"/>
      <c r="OQM95" s="167"/>
      <c r="OQN95" s="168"/>
      <c r="OQO95" s="167"/>
      <c r="OQP95" s="168"/>
      <c r="OQQ95" s="167"/>
      <c r="OQR95" s="168"/>
      <c r="OQS95" s="167"/>
      <c r="OQT95" s="168"/>
      <c r="OQU95" s="167"/>
      <c r="OQV95" s="168"/>
      <c r="OQW95" s="167"/>
      <c r="OQX95" s="168"/>
      <c r="OQY95" s="167"/>
      <c r="OQZ95" s="168"/>
      <c r="ORA95" s="167"/>
      <c r="ORB95" s="168"/>
      <c r="ORC95" s="167"/>
      <c r="ORD95" s="168"/>
      <c r="ORE95" s="167"/>
      <c r="ORF95" s="168"/>
      <c r="ORG95" s="167"/>
      <c r="ORH95" s="168"/>
      <c r="ORI95" s="167"/>
      <c r="ORJ95" s="168"/>
      <c r="ORK95" s="167"/>
      <c r="ORL95" s="168"/>
      <c r="ORM95" s="167"/>
      <c r="ORN95" s="168"/>
      <c r="ORO95" s="167"/>
      <c r="ORP95" s="168"/>
      <c r="ORQ95" s="167"/>
      <c r="ORR95" s="168"/>
      <c r="ORS95" s="167"/>
      <c r="ORT95" s="168"/>
      <c r="ORU95" s="167"/>
      <c r="ORV95" s="168"/>
      <c r="ORW95" s="167"/>
      <c r="ORX95" s="168"/>
      <c r="ORY95" s="167"/>
      <c r="ORZ95" s="168"/>
      <c r="OSA95" s="167"/>
      <c r="OSB95" s="168"/>
      <c r="OSC95" s="167"/>
      <c r="OSD95" s="168"/>
      <c r="OSE95" s="167"/>
      <c r="OSF95" s="168"/>
      <c r="OSG95" s="167"/>
      <c r="OSH95" s="168"/>
      <c r="OSI95" s="167"/>
      <c r="OSJ95" s="168"/>
      <c r="OSK95" s="167"/>
      <c r="OSL95" s="168"/>
      <c r="OSM95" s="167"/>
      <c r="OSN95" s="168"/>
      <c r="OSO95" s="167"/>
      <c r="OSP95" s="168"/>
      <c r="OSQ95" s="167"/>
      <c r="OSR95" s="168"/>
      <c r="OSS95" s="167"/>
      <c r="OST95" s="168"/>
      <c r="OSU95" s="167"/>
      <c r="OSV95" s="168"/>
      <c r="OSW95" s="167"/>
      <c r="OSX95" s="168"/>
      <c r="OSY95" s="167"/>
      <c r="OSZ95" s="168"/>
      <c r="OTA95" s="167"/>
      <c r="OTB95" s="168"/>
      <c r="OTC95" s="167"/>
      <c r="OTD95" s="168"/>
      <c r="OTE95" s="167"/>
      <c r="OTF95" s="168"/>
      <c r="OTG95" s="167"/>
      <c r="OTH95" s="168"/>
      <c r="OTI95" s="167"/>
      <c r="OTJ95" s="168"/>
      <c r="OTK95" s="167"/>
      <c r="OTL95" s="168"/>
      <c r="OTM95" s="167"/>
      <c r="OTN95" s="168"/>
      <c r="OTO95" s="167"/>
      <c r="OTP95" s="168"/>
      <c r="OTQ95" s="167"/>
      <c r="OTR95" s="168"/>
      <c r="OTS95" s="167"/>
      <c r="OTT95" s="168"/>
      <c r="OTU95" s="167"/>
      <c r="OTV95" s="168"/>
      <c r="OTW95" s="167"/>
      <c r="OTX95" s="168"/>
      <c r="OTY95" s="167"/>
      <c r="OTZ95" s="168"/>
      <c r="OUA95" s="167"/>
      <c r="OUB95" s="168"/>
      <c r="OUC95" s="167"/>
      <c r="OUD95" s="168"/>
      <c r="OUE95" s="167"/>
      <c r="OUF95" s="168"/>
      <c r="OUG95" s="167"/>
      <c r="OUH95" s="168"/>
      <c r="OUI95" s="167"/>
      <c r="OUJ95" s="168"/>
      <c r="OUK95" s="167"/>
      <c r="OUL95" s="168"/>
      <c r="OUM95" s="167"/>
      <c r="OUN95" s="168"/>
      <c r="OUO95" s="167"/>
      <c r="OUP95" s="168"/>
      <c r="OUQ95" s="167"/>
      <c r="OUR95" s="168"/>
      <c r="OUS95" s="167"/>
      <c r="OUT95" s="168"/>
      <c r="OUU95" s="167"/>
      <c r="OUV95" s="168"/>
      <c r="OUW95" s="167"/>
      <c r="OUX95" s="168"/>
      <c r="OUY95" s="167"/>
      <c r="OUZ95" s="168"/>
      <c r="OVA95" s="167"/>
      <c r="OVB95" s="168"/>
      <c r="OVC95" s="167"/>
      <c r="OVD95" s="168"/>
      <c r="OVE95" s="167"/>
      <c r="OVF95" s="168"/>
      <c r="OVG95" s="167"/>
      <c r="OVH95" s="168"/>
      <c r="OVI95" s="167"/>
      <c r="OVJ95" s="168"/>
      <c r="OVK95" s="167"/>
      <c r="OVL95" s="168"/>
      <c r="OVM95" s="167"/>
      <c r="OVN95" s="168"/>
      <c r="OVO95" s="167"/>
      <c r="OVP95" s="168"/>
      <c r="OVQ95" s="167"/>
      <c r="OVR95" s="168"/>
      <c r="OVS95" s="167"/>
      <c r="OVT95" s="168"/>
      <c r="OVU95" s="167"/>
      <c r="OVV95" s="168"/>
      <c r="OVW95" s="167"/>
      <c r="OVX95" s="168"/>
      <c r="OVY95" s="167"/>
      <c r="OVZ95" s="168"/>
      <c r="OWA95" s="167"/>
      <c r="OWB95" s="168"/>
      <c r="OWC95" s="167"/>
      <c r="OWD95" s="168"/>
      <c r="OWE95" s="167"/>
      <c r="OWF95" s="168"/>
      <c r="OWG95" s="167"/>
      <c r="OWH95" s="168"/>
      <c r="OWI95" s="167"/>
      <c r="OWJ95" s="168"/>
      <c r="OWK95" s="167"/>
      <c r="OWL95" s="168"/>
      <c r="OWM95" s="167"/>
      <c r="OWN95" s="168"/>
      <c r="OWO95" s="167"/>
      <c r="OWP95" s="168"/>
      <c r="OWQ95" s="167"/>
      <c r="OWR95" s="168"/>
      <c r="OWS95" s="167"/>
      <c r="OWT95" s="168"/>
      <c r="OWU95" s="167"/>
      <c r="OWV95" s="168"/>
      <c r="OWW95" s="167"/>
      <c r="OWX95" s="168"/>
      <c r="OWY95" s="167"/>
      <c r="OWZ95" s="168"/>
      <c r="OXA95" s="167"/>
      <c r="OXB95" s="168"/>
      <c r="OXC95" s="167"/>
      <c r="OXD95" s="168"/>
      <c r="OXE95" s="167"/>
      <c r="OXF95" s="168"/>
      <c r="OXG95" s="167"/>
      <c r="OXH95" s="168"/>
      <c r="OXI95" s="167"/>
      <c r="OXJ95" s="168"/>
      <c r="OXK95" s="167"/>
      <c r="OXL95" s="168"/>
      <c r="OXM95" s="167"/>
      <c r="OXN95" s="168"/>
      <c r="OXO95" s="167"/>
      <c r="OXP95" s="168"/>
      <c r="OXQ95" s="167"/>
      <c r="OXR95" s="168"/>
      <c r="OXS95" s="167"/>
      <c r="OXT95" s="168"/>
      <c r="OXU95" s="167"/>
      <c r="OXV95" s="168"/>
      <c r="OXW95" s="167"/>
      <c r="OXX95" s="168"/>
      <c r="OXY95" s="167"/>
      <c r="OXZ95" s="168"/>
      <c r="OYA95" s="167"/>
      <c r="OYB95" s="168"/>
      <c r="OYC95" s="167"/>
      <c r="OYD95" s="168"/>
      <c r="OYE95" s="167"/>
      <c r="OYF95" s="168"/>
      <c r="OYG95" s="167"/>
      <c r="OYH95" s="168"/>
      <c r="OYI95" s="167"/>
      <c r="OYJ95" s="168"/>
      <c r="OYK95" s="167"/>
      <c r="OYL95" s="168"/>
      <c r="OYM95" s="167"/>
      <c r="OYN95" s="168"/>
      <c r="OYO95" s="167"/>
      <c r="OYP95" s="168"/>
      <c r="OYQ95" s="167"/>
      <c r="OYR95" s="168"/>
      <c r="OYS95" s="167"/>
      <c r="OYT95" s="168"/>
      <c r="OYU95" s="167"/>
      <c r="OYV95" s="168"/>
      <c r="OYW95" s="167"/>
      <c r="OYX95" s="168"/>
      <c r="OYY95" s="167"/>
      <c r="OYZ95" s="168"/>
      <c r="OZA95" s="167"/>
      <c r="OZB95" s="168"/>
      <c r="OZC95" s="167"/>
      <c r="OZD95" s="168"/>
      <c r="OZE95" s="167"/>
      <c r="OZF95" s="168"/>
      <c r="OZG95" s="167"/>
      <c r="OZH95" s="168"/>
      <c r="OZI95" s="167"/>
      <c r="OZJ95" s="168"/>
      <c r="OZK95" s="167"/>
      <c r="OZL95" s="168"/>
      <c r="OZM95" s="167"/>
      <c r="OZN95" s="168"/>
      <c r="OZO95" s="167"/>
      <c r="OZP95" s="168"/>
      <c r="OZQ95" s="167"/>
      <c r="OZR95" s="168"/>
      <c r="OZS95" s="167"/>
      <c r="OZT95" s="168"/>
      <c r="OZU95" s="167"/>
      <c r="OZV95" s="168"/>
      <c r="OZW95" s="167"/>
      <c r="OZX95" s="168"/>
      <c r="OZY95" s="167"/>
      <c r="OZZ95" s="168"/>
      <c r="PAA95" s="167"/>
      <c r="PAB95" s="168"/>
      <c r="PAC95" s="167"/>
      <c r="PAD95" s="168"/>
      <c r="PAE95" s="167"/>
      <c r="PAF95" s="168"/>
      <c r="PAG95" s="167"/>
      <c r="PAH95" s="168"/>
      <c r="PAI95" s="167"/>
      <c r="PAJ95" s="168"/>
      <c r="PAK95" s="167"/>
      <c r="PAL95" s="168"/>
      <c r="PAM95" s="167"/>
      <c r="PAN95" s="168"/>
      <c r="PAO95" s="167"/>
      <c r="PAP95" s="168"/>
      <c r="PAQ95" s="167"/>
      <c r="PAR95" s="168"/>
      <c r="PAS95" s="167"/>
      <c r="PAT95" s="168"/>
      <c r="PAU95" s="167"/>
      <c r="PAV95" s="168"/>
      <c r="PAW95" s="167"/>
      <c r="PAX95" s="168"/>
      <c r="PAY95" s="167"/>
      <c r="PAZ95" s="168"/>
      <c r="PBA95" s="167"/>
      <c r="PBB95" s="168"/>
      <c r="PBC95" s="167"/>
      <c r="PBD95" s="168"/>
      <c r="PBE95" s="167"/>
      <c r="PBF95" s="168"/>
      <c r="PBG95" s="167"/>
      <c r="PBH95" s="168"/>
      <c r="PBI95" s="167"/>
      <c r="PBJ95" s="168"/>
      <c r="PBK95" s="167"/>
      <c r="PBL95" s="168"/>
      <c r="PBM95" s="167"/>
      <c r="PBN95" s="168"/>
      <c r="PBO95" s="167"/>
      <c r="PBP95" s="168"/>
      <c r="PBQ95" s="167"/>
      <c r="PBR95" s="168"/>
      <c r="PBS95" s="167"/>
      <c r="PBT95" s="168"/>
      <c r="PBU95" s="167"/>
      <c r="PBV95" s="168"/>
      <c r="PBW95" s="167"/>
      <c r="PBX95" s="168"/>
      <c r="PBY95" s="167"/>
      <c r="PBZ95" s="168"/>
      <c r="PCA95" s="167"/>
      <c r="PCB95" s="168"/>
      <c r="PCC95" s="167"/>
      <c r="PCD95" s="168"/>
      <c r="PCE95" s="167"/>
      <c r="PCF95" s="168"/>
      <c r="PCG95" s="167"/>
      <c r="PCH95" s="168"/>
      <c r="PCI95" s="167"/>
      <c r="PCJ95" s="168"/>
      <c r="PCK95" s="167"/>
      <c r="PCL95" s="168"/>
      <c r="PCM95" s="167"/>
      <c r="PCN95" s="168"/>
      <c r="PCO95" s="167"/>
      <c r="PCP95" s="168"/>
      <c r="PCQ95" s="167"/>
      <c r="PCR95" s="168"/>
      <c r="PCS95" s="167"/>
      <c r="PCT95" s="168"/>
      <c r="PCU95" s="167"/>
      <c r="PCV95" s="168"/>
      <c r="PCW95" s="167"/>
      <c r="PCX95" s="168"/>
      <c r="PCY95" s="167"/>
      <c r="PCZ95" s="168"/>
      <c r="PDA95" s="167"/>
      <c r="PDB95" s="168"/>
      <c r="PDC95" s="167"/>
      <c r="PDD95" s="168"/>
      <c r="PDE95" s="167"/>
      <c r="PDF95" s="168"/>
      <c r="PDG95" s="167"/>
      <c r="PDH95" s="168"/>
      <c r="PDI95" s="167"/>
      <c r="PDJ95" s="168"/>
      <c r="PDK95" s="167"/>
      <c r="PDL95" s="168"/>
      <c r="PDM95" s="167"/>
      <c r="PDN95" s="168"/>
      <c r="PDO95" s="167"/>
      <c r="PDP95" s="168"/>
      <c r="PDQ95" s="167"/>
      <c r="PDR95" s="168"/>
      <c r="PDS95" s="167"/>
      <c r="PDT95" s="168"/>
      <c r="PDU95" s="167"/>
      <c r="PDV95" s="168"/>
      <c r="PDW95" s="167"/>
      <c r="PDX95" s="168"/>
      <c r="PDY95" s="167"/>
      <c r="PDZ95" s="168"/>
      <c r="PEA95" s="167"/>
      <c r="PEB95" s="168"/>
      <c r="PEC95" s="167"/>
      <c r="PED95" s="168"/>
      <c r="PEE95" s="167"/>
      <c r="PEF95" s="168"/>
      <c r="PEG95" s="167"/>
      <c r="PEH95" s="168"/>
      <c r="PEI95" s="167"/>
      <c r="PEJ95" s="168"/>
      <c r="PEK95" s="167"/>
      <c r="PEL95" s="168"/>
      <c r="PEM95" s="167"/>
      <c r="PEN95" s="168"/>
      <c r="PEO95" s="167"/>
      <c r="PEP95" s="168"/>
      <c r="PEQ95" s="167"/>
      <c r="PER95" s="168"/>
      <c r="PES95" s="167"/>
      <c r="PET95" s="168"/>
      <c r="PEU95" s="167"/>
      <c r="PEV95" s="168"/>
      <c r="PEW95" s="167"/>
      <c r="PEX95" s="168"/>
      <c r="PEY95" s="167"/>
      <c r="PEZ95" s="168"/>
      <c r="PFA95" s="167"/>
      <c r="PFB95" s="168"/>
      <c r="PFC95" s="167"/>
      <c r="PFD95" s="168"/>
      <c r="PFE95" s="167"/>
      <c r="PFF95" s="168"/>
      <c r="PFG95" s="167"/>
      <c r="PFH95" s="168"/>
      <c r="PFI95" s="167"/>
      <c r="PFJ95" s="168"/>
      <c r="PFK95" s="167"/>
      <c r="PFL95" s="168"/>
      <c r="PFM95" s="167"/>
      <c r="PFN95" s="168"/>
      <c r="PFO95" s="167"/>
      <c r="PFP95" s="168"/>
      <c r="PFQ95" s="167"/>
      <c r="PFR95" s="168"/>
      <c r="PFS95" s="167"/>
      <c r="PFT95" s="168"/>
      <c r="PFU95" s="167"/>
      <c r="PFV95" s="168"/>
      <c r="PFW95" s="167"/>
      <c r="PFX95" s="168"/>
      <c r="PFY95" s="167"/>
      <c r="PFZ95" s="168"/>
      <c r="PGA95" s="167"/>
      <c r="PGB95" s="168"/>
      <c r="PGC95" s="167"/>
      <c r="PGD95" s="168"/>
      <c r="PGE95" s="167"/>
      <c r="PGF95" s="168"/>
      <c r="PGG95" s="167"/>
      <c r="PGH95" s="168"/>
      <c r="PGI95" s="167"/>
      <c r="PGJ95" s="168"/>
      <c r="PGK95" s="167"/>
      <c r="PGL95" s="168"/>
      <c r="PGM95" s="167"/>
      <c r="PGN95" s="168"/>
      <c r="PGO95" s="167"/>
      <c r="PGP95" s="168"/>
      <c r="PGQ95" s="167"/>
      <c r="PGR95" s="168"/>
      <c r="PGS95" s="167"/>
      <c r="PGT95" s="168"/>
      <c r="PGU95" s="167"/>
      <c r="PGV95" s="168"/>
      <c r="PGW95" s="167"/>
      <c r="PGX95" s="168"/>
      <c r="PGY95" s="167"/>
      <c r="PGZ95" s="168"/>
      <c r="PHA95" s="167"/>
      <c r="PHB95" s="168"/>
      <c r="PHC95" s="167"/>
      <c r="PHD95" s="168"/>
      <c r="PHE95" s="167"/>
      <c r="PHF95" s="168"/>
      <c r="PHG95" s="167"/>
      <c r="PHH95" s="168"/>
      <c r="PHI95" s="167"/>
      <c r="PHJ95" s="168"/>
      <c r="PHK95" s="167"/>
      <c r="PHL95" s="168"/>
      <c r="PHM95" s="167"/>
      <c r="PHN95" s="168"/>
      <c r="PHO95" s="167"/>
      <c r="PHP95" s="168"/>
      <c r="PHQ95" s="167"/>
      <c r="PHR95" s="168"/>
      <c r="PHS95" s="167"/>
      <c r="PHT95" s="168"/>
      <c r="PHU95" s="167"/>
      <c r="PHV95" s="168"/>
      <c r="PHW95" s="167"/>
      <c r="PHX95" s="168"/>
      <c r="PHY95" s="167"/>
      <c r="PHZ95" s="168"/>
      <c r="PIA95" s="167"/>
      <c r="PIB95" s="168"/>
      <c r="PIC95" s="167"/>
      <c r="PID95" s="168"/>
      <c r="PIE95" s="167"/>
      <c r="PIF95" s="168"/>
      <c r="PIG95" s="167"/>
      <c r="PIH95" s="168"/>
      <c r="PII95" s="167"/>
      <c r="PIJ95" s="168"/>
      <c r="PIK95" s="167"/>
      <c r="PIL95" s="168"/>
      <c r="PIM95" s="167"/>
      <c r="PIN95" s="168"/>
      <c r="PIO95" s="167"/>
      <c r="PIP95" s="168"/>
      <c r="PIQ95" s="167"/>
      <c r="PIR95" s="168"/>
      <c r="PIS95" s="167"/>
      <c r="PIT95" s="168"/>
      <c r="PIU95" s="167"/>
      <c r="PIV95" s="168"/>
      <c r="PIW95" s="167"/>
      <c r="PIX95" s="168"/>
      <c r="PIY95" s="167"/>
      <c r="PIZ95" s="168"/>
      <c r="PJA95" s="167"/>
      <c r="PJB95" s="168"/>
      <c r="PJC95" s="167"/>
      <c r="PJD95" s="168"/>
      <c r="PJE95" s="167"/>
      <c r="PJF95" s="168"/>
      <c r="PJG95" s="167"/>
      <c r="PJH95" s="168"/>
      <c r="PJI95" s="167"/>
      <c r="PJJ95" s="168"/>
      <c r="PJK95" s="167"/>
      <c r="PJL95" s="168"/>
      <c r="PJM95" s="167"/>
      <c r="PJN95" s="168"/>
      <c r="PJO95" s="167"/>
      <c r="PJP95" s="168"/>
      <c r="PJQ95" s="167"/>
      <c r="PJR95" s="168"/>
      <c r="PJS95" s="167"/>
      <c r="PJT95" s="168"/>
      <c r="PJU95" s="167"/>
      <c r="PJV95" s="168"/>
      <c r="PJW95" s="167"/>
      <c r="PJX95" s="168"/>
      <c r="PJY95" s="167"/>
      <c r="PJZ95" s="168"/>
      <c r="PKA95" s="167"/>
      <c r="PKB95" s="168"/>
      <c r="PKC95" s="167"/>
      <c r="PKD95" s="168"/>
      <c r="PKE95" s="167"/>
      <c r="PKF95" s="168"/>
      <c r="PKG95" s="167"/>
      <c r="PKH95" s="168"/>
      <c r="PKI95" s="167"/>
      <c r="PKJ95" s="168"/>
      <c r="PKK95" s="167"/>
      <c r="PKL95" s="168"/>
      <c r="PKM95" s="167"/>
      <c r="PKN95" s="168"/>
      <c r="PKO95" s="167"/>
      <c r="PKP95" s="168"/>
      <c r="PKQ95" s="167"/>
      <c r="PKR95" s="168"/>
      <c r="PKS95" s="167"/>
      <c r="PKT95" s="168"/>
      <c r="PKU95" s="167"/>
      <c r="PKV95" s="168"/>
      <c r="PKW95" s="167"/>
      <c r="PKX95" s="168"/>
      <c r="PKY95" s="167"/>
      <c r="PKZ95" s="168"/>
      <c r="PLA95" s="167"/>
      <c r="PLB95" s="168"/>
      <c r="PLC95" s="167"/>
      <c r="PLD95" s="168"/>
      <c r="PLE95" s="167"/>
      <c r="PLF95" s="168"/>
      <c r="PLG95" s="167"/>
      <c r="PLH95" s="168"/>
      <c r="PLI95" s="167"/>
      <c r="PLJ95" s="168"/>
      <c r="PLK95" s="167"/>
      <c r="PLL95" s="168"/>
      <c r="PLM95" s="167"/>
      <c r="PLN95" s="168"/>
      <c r="PLO95" s="167"/>
      <c r="PLP95" s="168"/>
      <c r="PLQ95" s="167"/>
      <c r="PLR95" s="168"/>
      <c r="PLS95" s="167"/>
      <c r="PLT95" s="168"/>
      <c r="PLU95" s="167"/>
      <c r="PLV95" s="168"/>
      <c r="PLW95" s="167"/>
      <c r="PLX95" s="168"/>
      <c r="PLY95" s="167"/>
      <c r="PLZ95" s="168"/>
      <c r="PMA95" s="167"/>
      <c r="PMB95" s="168"/>
      <c r="PMC95" s="167"/>
      <c r="PMD95" s="168"/>
      <c r="PME95" s="167"/>
      <c r="PMF95" s="168"/>
      <c r="PMG95" s="167"/>
      <c r="PMH95" s="168"/>
      <c r="PMI95" s="167"/>
      <c r="PMJ95" s="168"/>
      <c r="PMK95" s="167"/>
      <c r="PML95" s="168"/>
      <c r="PMM95" s="167"/>
      <c r="PMN95" s="168"/>
      <c r="PMO95" s="167"/>
      <c r="PMP95" s="168"/>
      <c r="PMQ95" s="167"/>
      <c r="PMR95" s="168"/>
      <c r="PMS95" s="167"/>
      <c r="PMT95" s="168"/>
      <c r="PMU95" s="167"/>
      <c r="PMV95" s="168"/>
      <c r="PMW95" s="167"/>
      <c r="PMX95" s="168"/>
      <c r="PMY95" s="167"/>
      <c r="PMZ95" s="168"/>
      <c r="PNA95" s="167"/>
      <c r="PNB95" s="168"/>
      <c r="PNC95" s="167"/>
      <c r="PND95" s="168"/>
      <c r="PNE95" s="167"/>
      <c r="PNF95" s="168"/>
      <c r="PNG95" s="167"/>
      <c r="PNH95" s="168"/>
      <c r="PNI95" s="167"/>
      <c r="PNJ95" s="168"/>
      <c r="PNK95" s="167"/>
      <c r="PNL95" s="168"/>
      <c r="PNM95" s="167"/>
      <c r="PNN95" s="168"/>
      <c r="PNO95" s="167"/>
      <c r="PNP95" s="168"/>
      <c r="PNQ95" s="167"/>
      <c r="PNR95" s="168"/>
      <c r="PNS95" s="167"/>
      <c r="PNT95" s="168"/>
      <c r="PNU95" s="167"/>
      <c r="PNV95" s="168"/>
      <c r="PNW95" s="167"/>
      <c r="PNX95" s="168"/>
      <c r="PNY95" s="167"/>
      <c r="PNZ95" s="168"/>
      <c r="POA95" s="167"/>
      <c r="POB95" s="168"/>
      <c r="POC95" s="167"/>
      <c r="POD95" s="168"/>
      <c r="POE95" s="167"/>
      <c r="POF95" s="168"/>
      <c r="POG95" s="167"/>
      <c r="POH95" s="168"/>
      <c r="POI95" s="167"/>
      <c r="POJ95" s="168"/>
      <c r="POK95" s="167"/>
      <c r="POL95" s="168"/>
      <c r="POM95" s="167"/>
      <c r="PON95" s="168"/>
      <c r="POO95" s="167"/>
      <c r="POP95" s="168"/>
      <c r="POQ95" s="167"/>
      <c r="POR95" s="168"/>
      <c r="POS95" s="167"/>
      <c r="POT95" s="168"/>
      <c r="POU95" s="167"/>
      <c r="POV95" s="168"/>
      <c r="POW95" s="167"/>
      <c r="POX95" s="168"/>
      <c r="POY95" s="167"/>
      <c r="POZ95" s="168"/>
      <c r="PPA95" s="167"/>
      <c r="PPB95" s="168"/>
      <c r="PPC95" s="167"/>
      <c r="PPD95" s="168"/>
      <c r="PPE95" s="167"/>
      <c r="PPF95" s="168"/>
      <c r="PPG95" s="167"/>
      <c r="PPH95" s="168"/>
      <c r="PPI95" s="167"/>
      <c r="PPJ95" s="168"/>
      <c r="PPK95" s="167"/>
      <c r="PPL95" s="168"/>
      <c r="PPM95" s="167"/>
      <c r="PPN95" s="168"/>
      <c r="PPO95" s="167"/>
      <c r="PPP95" s="168"/>
      <c r="PPQ95" s="167"/>
      <c r="PPR95" s="168"/>
      <c r="PPS95" s="167"/>
      <c r="PPT95" s="168"/>
      <c r="PPU95" s="167"/>
      <c r="PPV95" s="168"/>
      <c r="PPW95" s="167"/>
      <c r="PPX95" s="168"/>
      <c r="PPY95" s="167"/>
      <c r="PPZ95" s="168"/>
      <c r="PQA95" s="167"/>
      <c r="PQB95" s="168"/>
      <c r="PQC95" s="167"/>
      <c r="PQD95" s="168"/>
      <c r="PQE95" s="167"/>
      <c r="PQF95" s="168"/>
      <c r="PQG95" s="167"/>
      <c r="PQH95" s="168"/>
      <c r="PQI95" s="167"/>
      <c r="PQJ95" s="168"/>
      <c r="PQK95" s="167"/>
      <c r="PQL95" s="168"/>
      <c r="PQM95" s="167"/>
      <c r="PQN95" s="168"/>
      <c r="PQO95" s="167"/>
      <c r="PQP95" s="168"/>
      <c r="PQQ95" s="167"/>
      <c r="PQR95" s="168"/>
      <c r="PQS95" s="167"/>
      <c r="PQT95" s="168"/>
      <c r="PQU95" s="167"/>
      <c r="PQV95" s="168"/>
      <c r="PQW95" s="167"/>
      <c r="PQX95" s="168"/>
      <c r="PQY95" s="167"/>
      <c r="PQZ95" s="168"/>
      <c r="PRA95" s="167"/>
      <c r="PRB95" s="168"/>
      <c r="PRC95" s="167"/>
      <c r="PRD95" s="168"/>
      <c r="PRE95" s="167"/>
      <c r="PRF95" s="168"/>
      <c r="PRG95" s="167"/>
      <c r="PRH95" s="168"/>
      <c r="PRI95" s="167"/>
      <c r="PRJ95" s="168"/>
      <c r="PRK95" s="167"/>
      <c r="PRL95" s="168"/>
      <c r="PRM95" s="167"/>
      <c r="PRN95" s="168"/>
      <c r="PRO95" s="167"/>
      <c r="PRP95" s="168"/>
      <c r="PRQ95" s="167"/>
      <c r="PRR95" s="168"/>
      <c r="PRS95" s="167"/>
      <c r="PRT95" s="168"/>
      <c r="PRU95" s="167"/>
      <c r="PRV95" s="168"/>
      <c r="PRW95" s="167"/>
      <c r="PRX95" s="168"/>
      <c r="PRY95" s="167"/>
      <c r="PRZ95" s="168"/>
      <c r="PSA95" s="167"/>
      <c r="PSB95" s="168"/>
      <c r="PSC95" s="167"/>
      <c r="PSD95" s="168"/>
      <c r="PSE95" s="167"/>
      <c r="PSF95" s="168"/>
      <c r="PSG95" s="167"/>
      <c r="PSH95" s="168"/>
      <c r="PSI95" s="167"/>
      <c r="PSJ95" s="168"/>
      <c r="PSK95" s="167"/>
      <c r="PSL95" s="168"/>
      <c r="PSM95" s="167"/>
      <c r="PSN95" s="168"/>
      <c r="PSO95" s="167"/>
      <c r="PSP95" s="168"/>
      <c r="PSQ95" s="167"/>
      <c r="PSR95" s="168"/>
      <c r="PSS95" s="167"/>
      <c r="PST95" s="168"/>
      <c r="PSU95" s="167"/>
      <c r="PSV95" s="168"/>
      <c r="PSW95" s="167"/>
      <c r="PSX95" s="168"/>
      <c r="PSY95" s="167"/>
      <c r="PSZ95" s="168"/>
      <c r="PTA95" s="167"/>
      <c r="PTB95" s="168"/>
      <c r="PTC95" s="167"/>
      <c r="PTD95" s="168"/>
      <c r="PTE95" s="167"/>
      <c r="PTF95" s="168"/>
      <c r="PTG95" s="167"/>
      <c r="PTH95" s="168"/>
      <c r="PTI95" s="167"/>
      <c r="PTJ95" s="168"/>
      <c r="PTK95" s="167"/>
      <c r="PTL95" s="168"/>
      <c r="PTM95" s="167"/>
      <c r="PTN95" s="168"/>
      <c r="PTO95" s="167"/>
      <c r="PTP95" s="168"/>
      <c r="PTQ95" s="167"/>
      <c r="PTR95" s="168"/>
      <c r="PTS95" s="167"/>
      <c r="PTT95" s="168"/>
      <c r="PTU95" s="167"/>
      <c r="PTV95" s="168"/>
      <c r="PTW95" s="167"/>
      <c r="PTX95" s="168"/>
      <c r="PTY95" s="167"/>
      <c r="PTZ95" s="168"/>
      <c r="PUA95" s="167"/>
      <c r="PUB95" s="168"/>
      <c r="PUC95" s="167"/>
      <c r="PUD95" s="168"/>
      <c r="PUE95" s="167"/>
      <c r="PUF95" s="168"/>
      <c r="PUG95" s="167"/>
      <c r="PUH95" s="168"/>
      <c r="PUI95" s="167"/>
      <c r="PUJ95" s="168"/>
      <c r="PUK95" s="167"/>
      <c r="PUL95" s="168"/>
      <c r="PUM95" s="167"/>
      <c r="PUN95" s="168"/>
      <c r="PUO95" s="167"/>
      <c r="PUP95" s="168"/>
      <c r="PUQ95" s="167"/>
      <c r="PUR95" s="168"/>
      <c r="PUS95" s="167"/>
      <c r="PUT95" s="168"/>
      <c r="PUU95" s="167"/>
      <c r="PUV95" s="168"/>
      <c r="PUW95" s="167"/>
      <c r="PUX95" s="168"/>
      <c r="PUY95" s="167"/>
      <c r="PUZ95" s="168"/>
      <c r="PVA95" s="167"/>
      <c r="PVB95" s="168"/>
      <c r="PVC95" s="167"/>
      <c r="PVD95" s="168"/>
      <c r="PVE95" s="167"/>
      <c r="PVF95" s="168"/>
      <c r="PVG95" s="167"/>
      <c r="PVH95" s="168"/>
      <c r="PVI95" s="167"/>
      <c r="PVJ95" s="168"/>
      <c r="PVK95" s="167"/>
      <c r="PVL95" s="168"/>
      <c r="PVM95" s="167"/>
      <c r="PVN95" s="168"/>
      <c r="PVO95" s="167"/>
      <c r="PVP95" s="168"/>
      <c r="PVQ95" s="167"/>
      <c r="PVR95" s="168"/>
      <c r="PVS95" s="167"/>
      <c r="PVT95" s="168"/>
      <c r="PVU95" s="167"/>
      <c r="PVV95" s="168"/>
      <c r="PVW95" s="167"/>
      <c r="PVX95" s="168"/>
      <c r="PVY95" s="167"/>
      <c r="PVZ95" s="168"/>
      <c r="PWA95" s="167"/>
      <c r="PWB95" s="168"/>
      <c r="PWC95" s="167"/>
      <c r="PWD95" s="168"/>
      <c r="PWE95" s="167"/>
      <c r="PWF95" s="168"/>
      <c r="PWG95" s="167"/>
      <c r="PWH95" s="168"/>
      <c r="PWI95" s="167"/>
      <c r="PWJ95" s="168"/>
      <c r="PWK95" s="167"/>
      <c r="PWL95" s="168"/>
      <c r="PWM95" s="167"/>
      <c r="PWN95" s="168"/>
      <c r="PWO95" s="167"/>
      <c r="PWP95" s="168"/>
      <c r="PWQ95" s="167"/>
      <c r="PWR95" s="168"/>
      <c r="PWS95" s="167"/>
      <c r="PWT95" s="168"/>
      <c r="PWU95" s="167"/>
      <c r="PWV95" s="168"/>
      <c r="PWW95" s="167"/>
      <c r="PWX95" s="168"/>
      <c r="PWY95" s="167"/>
      <c r="PWZ95" s="168"/>
      <c r="PXA95" s="167"/>
      <c r="PXB95" s="168"/>
      <c r="PXC95" s="167"/>
      <c r="PXD95" s="168"/>
      <c r="PXE95" s="167"/>
      <c r="PXF95" s="168"/>
      <c r="PXG95" s="167"/>
      <c r="PXH95" s="168"/>
      <c r="PXI95" s="167"/>
      <c r="PXJ95" s="168"/>
      <c r="PXK95" s="167"/>
      <c r="PXL95" s="168"/>
      <c r="PXM95" s="167"/>
      <c r="PXN95" s="168"/>
      <c r="PXO95" s="167"/>
      <c r="PXP95" s="168"/>
      <c r="PXQ95" s="167"/>
      <c r="PXR95" s="168"/>
      <c r="PXS95" s="167"/>
      <c r="PXT95" s="168"/>
      <c r="PXU95" s="167"/>
      <c r="PXV95" s="168"/>
      <c r="PXW95" s="167"/>
      <c r="PXX95" s="168"/>
      <c r="PXY95" s="167"/>
      <c r="PXZ95" s="168"/>
      <c r="PYA95" s="167"/>
      <c r="PYB95" s="168"/>
      <c r="PYC95" s="167"/>
      <c r="PYD95" s="168"/>
      <c r="PYE95" s="167"/>
      <c r="PYF95" s="168"/>
      <c r="PYG95" s="167"/>
      <c r="PYH95" s="168"/>
      <c r="PYI95" s="167"/>
      <c r="PYJ95" s="168"/>
      <c r="PYK95" s="167"/>
      <c r="PYL95" s="168"/>
      <c r="PYM95" s="167"/>
      <c r="PYN95" s="168"/>
      <c r="PYO95" s="167"/>
      <c r="PYP95" s="168"/>
      <c r="PYQ95" s="167"/>
      <c r="PYR95" s="168"/>
      <c r="PYS95" s="167"/>
      <c r="PYT95" s="168"/>
      <c r="PYU95" s="167"/>
      <c r="PYV95" s="168"/>
      <c r="PYW95" s="167"/>
      <c r="PYX95" s="168"/>
      <c r="PYY95" s="167"/>
      <c r="PYZ95" s="168"/>
      <c r="PZA95" s="167"/>
      <c r="PZB95" s="168"/>
      <c r="PZC95" s="167"/>
      <c r="PZD95" s="168"/>
      <c r="PZE95" s="167"/>
      <c r="PZF95" s="168"/>
      <c r="PZG95" s="167"/>
      <c r="PZH95" s="168"/>
      <c r="PZI95" s="167"/>
      <c r="PZJ95" s="168"/>
      <c r="PZK95" s="167"/>
      <c r="PZL95" s="168"/>
      <c r="PZM95" s="167"/>
      <c r="PZN95" s="168"/>
      <c r="PZO95" s="167"/>
      <c r="PZP95" s="168"/>
      <c r="PZQ95" s="167"/>
      <c r="PZR95" s="168"/>
      <c r="PZS95" s="167"/>
      <c r="PZT95" s="168"/>
      <c r="PZU95" s="167"/>
      <c r="PZV95" s="168"/>
      <c r="PZW95" s="167"/>
      <c r="PZX95" s="168"/>
      <c r="PZY95" s="167"/>
      <c r="PZZ95" s="168"/>
      <c r="QAA95" s="167"/>
      <c r="QAB95" s="168"/>
      <c r="QAC95" s="167"/>
      <c r="QAD95" s="168"/>
      <c r="QAE95" s="167"/>
      <c r="QAF95" s="168"/>
      <c r="QAG95" s="167"/>
      <c r="QAH95" s="168"/>
      <c r="QAI95" s="167"/>
      <c r="QAJ95" s="168"/>
      <c r="QAK95" s="167"/>
      <c r="QAL95" s="168"/>
      <c r="QAM95" s="167"/>
      <c r="QAN95" s="168"/>
      <c r="QAO95" s="167"/>
      <c r="QAP95" s="168"/>
      <c r="QAQ95" s="167"/>
      <c r="QAR95" s="168"/>
      <c r="QAS95" s="167"/>
      <c r="QAT95" s="168"/>
      <c r="QAU95" s="167"/>
      <c r="QAV95" s="168"/>
      <c r="QAW95" s="167"/>
      <c r="QAX95" s="168"/>
      <c r="QAY95" s="167"/>
      <c r="QAZ95" s="168"/>
      <c r="QBA95" s="167"/>
      <c r="QBB95" s="168"/>
      <c r="QBC95" s="167"/>
      <c r="QBD95" s="168"/>
      <c r="QBE95" s="167"/>
      <c r="QBF95" s="168"/>
      <c r="QBG95" s="167"/>
      <c r="QBH95" s="168"/>
      <c r="QBI95" s="167"/>
      <c r="QBJ95" s="168"/>
      <c r="QBK95" s="167"/>
      <c r="QBL95" s="168"/>
      <c r="QBM95" s="167"/>
      <c r="QBN95" s="168"/>
      <c r="QBO95" s="167"/>
      <c r="QBP95" s="168"/>
      <c r="QBQ95" s="167"/>
      <c r="QBR95" s="168"/>
      <c r="QBS95" s="167"/>
      <c r="QBT95" s="168"/>
      <c r="QBU95" s="167"/>
      <c r="QBV95" s="168"/>
      <c r="QBW95" s="167"/>
      <c r="QBX95" s="168"/>
      <c r="QBY95" s="167"/>
      <c r="QBZ95" s="168"/>
      <c r="QCA95" s="167"/>
      <c r="QCB95" s="168"/>
      <c r="QCC95" s="167"/>
      <c r="QCD95" s="168"/>
      <c r="QCE95" s="167"/>
      <c r="QCF95" s="168"/>
      <c r="QCG95" s="167"/>
      <c r="QCH95" s="168"/>
      <c r="QCI95" s="167"/>
      <c r="QCJ95" s="168"/>
      <c r="QCK95" s="167"/>
      <c r="QCL95" s="168"/>
      <c r="QCM95" s="167"/>
      <c r="QCN95" s="168"/>
      <c r="QCO95" s="167"/>
      <c r="QCP95" s="168"/>
      <c r="QCQ95" s="167"/>
      <c r="QCR95" s="168"/>
      <c r="QCS95" s="167"/>
      <c r="QCT95" s="168"/>
      <c r="QCU95" s="167"/>
      <c r="QCV95" s="168"/>
      <c r="QCW95" s="167"/>
      <c r="QCX95" s="168"/>
      <c r="QCY95" s="167"/>
      <c r="QCZ95" s="168"/>
      <c r="QDA95" s="167"/>
      <c r="QDB95" s="168"/>
      <c r="QDC95" s="167"/>
      <c r="QDD95" s="168"/>
      <c r="QDE95" s="167"/>
      <c r="QDF95" s="168"/>
      <c r="QDG95" s="167"/>
      <c r="QDH95" s="168"/>
      <c r="QDI95" s="167"/>
      <c r="QDJ95" s="168"/>
      <c r="QDK95" s="167"/>
      <c r="QDL95" s="168"/>
      <c r="QDM95" s="167"/>
      <c r="QDN95" s="168"/>
      <c r="QDO95" s="167"/>
      <c r="QDP95" s="168"/>
      <c r="QDQ95" s="167"/>
      <c r="QDR95" s="168"/>
      <c r="QDS95" s="167"/>
      <c r="QDT95" s="168"/>
      <c r="QDU95" s="167"/>
      <c r="QDV95" s="168"/>
      <c r="QDW95" s="167"/>
      <c r="QDX95" s="168"/>
      <c r="QDY95" s="167"/>
      <c r="QDZ95" s="168"/>
      <c r="QEA95" s="167"/>
      <c r="QEB95" s="168"/>
      <c r="QEC95" s="167"/>
      <c r="QED95" s="168"/>
      <c r="QEE95" s="167"/>
      <c r="QEF95" s="168"/>
      <c r="QEG95" s="167"/>
      <c r="QEH95" s="168"/>
      <c r="QEI95" s="167"/>
      <c r="QEJ95" s="168"/>
      <c r="QEK95" s="167"/>
      <c r="QEL95" s="168"/>
      <c r="QEM95" s="167"/>
      <c r="QEN95" s="168"/>
      <c r="QEO95" s="167"/>
      <c r="QEP95" s="168"/>
      <c r="QEQ95" s="167"/>
      <c r="QER95" s="168"/>
      <c r="QES95" s="167"/>
      <c r="QET95" s="168"/>
      <c r="QEU95" s="167"/>
      <c r="QEV95" s="168"/>
      <c r="QEW95" s="167"/>
      <c r="QEX95" s="168"/>
      <c r="QEY95" s="167"/>
      <c r="QEZ95" s="168"/>
      <c r="QFA95" s="167"/>
      <c r="QFB95" s="168"/>
      <c r="QFC95" s="167"/>
      <c r="QFD95" s="168"/>
      <c r="QFE95" s="167"/>
      <c r="QFF95" s="168"/>
      <c r="QFG95" s="167"/>
      <c r="QFH95" s="168"/>
      <c r="QFI95" s="167"/>
      <c r="QFJ95" s="168"/>
      <c r="QFK95" s="167"/>
      <c r="QFL95" s="168"/>
      <c r="QFM95" s="167"/>
      <c r="QFN95" s="168"/>
      <c r="QFO95" s="167"/>
      <c r="QFP95" s="168"/>
      <c r="QFQ95" s="167"/>
      <c r="QFR95" s="168"/>
      <c r="QFS95" s="167"/>
      <c r="QFT95" s="168"/>
      <c r="QFU95" s="167"/>
      <c r="QFV95" s="168"/>
      <c r="QFW95" s="167"/>
      <c r="QFX95" s="168"/>
      <c r="QFY95" s="167"/>
      <c r="QFZ95" s="168"/>
      <c r="QGA95" s="167"/>
      <c r="QGB95" s="168"/>
      <c r="QGC95" s="167"/>
      <c r="QGD95" s="168"/>
      <c r="QGE95" s="167"/>
      <c r="QGF95" s="168"/>
      <c r="QGG95" s="167"/>
      <c r="QGH95" s="168"/>
      <c r="QGI95" s="167"/>
      <c r="QGJ95" s="168"/>
      <c r="QGK95" s="167"/>
      <c r="QGL95" s="168"/>
      <c r="QGM95" s="167"/>
      <c r="QGN95" s="168"/>
      <c r="QGO95" s="167"/>
      <c r="QGP95" s="168"/>
      <c r="QGQ95" s="167"/>
      <c r="QGR95" s="168"/>
      <c r="QGS95" s="167"/>
      <c r="QGT95" s="168"/>
      <c r="QGU95" s="167"/>
      <c r="QGV95" s="168"/>
      <c r="QGW95" s="167"/>
      <c r="QGX95" s="168"/>
      <c r="QGY95" s="167"/>
      <c r="QGZ95" s="168"/>
      <c r="QHA95" s="167"/>
      <c r="QHB95" s="168"/>
      <c r="QHC95" s="167"/>
      <c r="QHD95" s="168"/>
      <c r="QHE95" s="167"/>
      <c r="QHF95" s="168"/>
      <c r="QHG95" s="167"/>
      <c r="QHH95" s="168"/>
      <c r="QHI95" s="167"/>
      <c r="QHJ95" s="168"/>
      <c r="QHK95" s="167"/>
      <c r="QHL95" s="168"/>
      <c r="QHM95" s="167"/>
      <c r="QHN95" s="168"/>
      <c r="QHO95" s="167"/>
      <c r="QHP95" s="168"/>
      <c r="QHQ95" s="167"/>
      <c r="QHR95" s="168"/>
      <c r="QHS95" s="167"/>
      <c r="QHT95" s="168"/>
      <c r="QHU95" s="167"/>
      <c r="QHV95" s="168"/>
      <c r="QHW95" s="167"/>
      <c r="QHX95" s="168"/>
      <c r="QHY95" s="167"/>
      <c r="QHZ95" s="168"/>
      <c r="QIA95" s="167"/>
      <c r="QIB95" s="168"/>
      <c r="QIC95" s="167"/>
      <c r="QID95" s="168"/>
      <c r="QIE95" s="167"/>
      <c r="QIF95" s="168"/>
      <c r="QIG95" s="167"/>
      <c r="QIH95" s="168"/>
      <c r="QII95" s="167"/>
      <c r="QIJ95" s="168"/>
      <c r="QIK95" s="167"/>
      <c r="QIL95" s="168"/>
      <c r="QIM95" s="167"/>
      <c r="QIN95" s="168"/>
      <c r="QIO95" s="167"/>
      <c r="QIP95" s="168"/>
      <c r="QIQ95" s="167"/>
      <c r="QIR95" s="168"/>
      <c r="QIS95" s="167"/>
      <c r="QIT95" s="168"/>
      <c r="QIU95" s="167"/>
      <c r="QIV95" s="168"/>
      <c r="QIW95" s="167"/>
      <c r="QIX95" s="168"/>
      <c r="QIY95" s="167"/>
      <c r="QIZ95" s="168"/>
      <c r="QJA95" s="167"/>
      <c r="QJB95" s="168"/>
      <c r="QJC95" s="167"/>
      <c r="QJD95" s="168"/>
      <c r="QJE95" s="167"/>
      <c r="QJF95" s="168"/>
      <c r="QJG95" s="167"/>
      <c r="QJH95" s="168"/>
      <c r="QJI95" s="167"/>
      <c r="QJJ95" s="168"/>
      <c r="QJK95" s="167"/>
      <c r="QJL95" s="168"/>
      <c r="QJM95" s="167"/>
      <c r="QJN95" s="168"/>
      <c r="QJO95" s="167"/>
      <c r="QJP95" s="168"/>
      <c r="QJQ95" s="167"/>
      <c r="QJR95" s="168"/>
      <c r="QJS95" s="167"/>
      <c r="QJT95" s="168"/>
      <c r="QJU95" s="167"/>
      <c r="QJV95" s="168"/>
      <c r="QJW95" s="167"/>
      <c r="QJX95" s="168"/>
      <c r="QJY95" s="167"/>
      <c r="QJZ95" s="168"/>
      <c r="QKA95" s="167"/>
      <c r="QKB95" s="168"/>
      <c r="QKC95" s="167"/>
      <c r="QKD95" s="168"/>
      <c r="QKE95" s="167"/>
      <c r="QKF95" s="168"/>
      <c r="QKG95" s="167"/>
      <c r="QKH95" s="168"/>
      <c r="QKI95" s="167"/>
      <c r="QKJ95" s="168"/>
      <c r="QKK95" s="167"/>
      <c r="QKL95" s="168"/>
      <c r="QKM95" s="167"/>
      <c r="QKN95" s="168"/>
      <c r="QKO95" s="167"/>
      <c r="QKP95" s="168"/>
      <c r="QKQ95" s="167"/>
      <c r="QKR95" s="168"/>
      <c r="QKS95" s="167"/>
      <c r="QKT95" s="168"/>
      <c r="QKU95" s="167"/>
      <c r="QKV95" s="168"/>
      <c r="QKW95" s="167"/>
      <c r="QKX95" s="168"/>
      <c r="QKY95" s="167"/>
      <c r="QKZ95" s="168"/>
      <c r="QLA95" s="167"/>
      <c r="QLB95" s="168"/>
      <c r="QLC95" s="167"/>
      <c r="QLD95" s="168"/>
      <c r="QLE95" s="167"/>
      <c r="QLF95" s="168"/>
      <c r="QLG95" s="167"/>
      <c r="QLH95" s="168"/>
      <c r="QLI95" s="167"/>
      <c r="QLJ95" s="168"/>
      <c r="QLK95" s="167"/>
      <c r="QLL95" s="168"/>
      <c r="QLM95" s="167"/>
      <c r="QLN95" s="168"/>
      <c r="QLO95" s="167"/>
      <c r="QLP95" s="168"/>
      <c r="QLQ95" s="167"/>
      <c r="QLR95" s="168"/>
      <c r="QLS95" s="167"/>
      <c r="QLT95" s="168"/>
      <c r="QLU95" s="167"/>
      <c r="QLV95" s="168"/>
      <c r="QLW95" s="167"/>
      <c r="QLX95" s="168"/>
      <c r="QLY95" s="167"/>
      <c r="QLZ95" s="168"/>
      <c r="QMA95" s="167"/>
      <c r="QMB95" s="168"/>
      <c r="QMC95" s="167"/>
      <c r="QMD95" s="168"/>
      <c r="QME95" s="167"/>
      <c r="QMF95" s="168"/>
      <c r="QMG95" s="167"/>
      <c r="QMH95" s="168"/>
      <c r="QMI95" s="167"/>
      <c r="QMJ95" s="168"/>
      <c r="QMK95" s="167"/>
      <c r="QML95" s="168"/>
      <c r="QMM95" s="167"/>
      <c r="QMN95" s="168"/>
      <c r="QMO95" s="167"/>
      <c r="QMP95" s="168"/>
      <c r="QMQ95" s="167"/>
      <c r="QMR95" s="168"/>
      <c r="QMS95" s="167"/>
      <c r="QMT95" s="168"/>
      <c r="QMU95" s="167"/>
      <c r="QMV95" s="168"/>
      <c r="QMW95" s="167"/>
      <c r="QMX95" s="168"/>
      <c r="QMY95" s="167"/>
      <c r="QMZ95" s="168"/>
      <c r="QNA95" s="167"/>
      <c r="QNB95" s="168"/>
      <c r="QNC95" s="167"/>
      <c r="QND95" s="168"/>
      <c r="QNE95" s="167"/>
      <c r="QNF95" s="168"/>
      <c r="QNG95" s="167"/>
      <c r="QNH95" s="168"/>
      <c r="QNI95" s="167"/>
      <c r="QNJ95" s="168"/>
      <c r="QNK95" s="167"/>
      <c r="QNL95" s="168"/>
      <c r="QNM95" s="167"/>
      <c r="QNN95" s="168"/>
      <c r="QNO95" s="167"/>
      <c r="QNP95" s="168"/>
      <c r="QNQ95" s="167"/>
      <c r="QNR95" s="168"/>
      <c r="QNS95" s="167"/>
      <c r="QNT95" s="168"/>
      <c r="QNU95" s="167"/>
      <c r="QNV95" s="168"/>
      <c r="QNW95" s="167"/>
      <c r="QNX95" s="168"/>
      <c r="QNY95" s="167"/>
      <c r="QNZ95" s="168"/>
      <c r="QOA95" s="167"/>
      <c r="QOB95" s="168"/>
      <c r="QOC95" s="167"/>
      <c r="QOD95" s="168"/>
      <c r="QOE95" s="167"/>
      <c r="QOF95" s="168"/>
      <c r="QOG95" s="167"/>
      <c r="QOH95" s="168"/>
      <c r="QOI95" s="167"/>
      <c r="QOJ95" s="168"/>
      <c r="QOK95" s="167"/>
      <c r="QOL95" s="168"/>
      <c r="QOM95" s="167"/>
      <c r="QON95" s="168"/>
      <c r="QOO95" s="167"/>
      <c r="QOP95" s="168"/>
      <c r="QOQ95" s="167"/>
      <c r="QOR95" s="168"/>
      <c r="QOS95" s="167"/>
      <c r="QOT95" s="168"/>
      <c r="QOU95" s="167"/>
      <c r="QOV95" s="168"/>
      <c r="QOW95" s="167"/>
      <c r="QOX95" s="168"/>
      <c r="QOY95" s="167"/>
      <c r="QOZ95" s="168"/>
      <c r="QPA95" s="167"/>
      <c r="QPB95" s="168"/>
      <c r="QPC95" s="167"/>
      <c r="QPD95" s="168"/>
      <c r="QPE95" s="167"/>
      <c r="QPF95" s="168"/>
      <c r="QPG95" s="167"/>
      <c r="QPH95" s="168"/>
      <c r="QPI95" s="167"/>
      <c r="QPJ95" s="168"/>
      <c r="QPK95" s="167"/>
      <c r="QPL95" s="168"/>
      <c r="QPM95" s="167"/>
      <c r="QPN95" s="168"/>
      <c r="QPO95" s="167"/>
      <c r="QPP95" s="168"/>
      <c r="QPQ95" s="167"/>
      <c r="QPR95" s="168"/>
      <c r="QPS95" s="167"/>
      <c r="QPT95" s="168"/>
      <c r="QPU95" s="167"/>
      <c r="QPV95" s="168"/>
      <c r="QPW95" s="167"/>
      <c r="QPX95" s="168"/>
      <c r="QPY95" s="167"/>
      <c r="QPZ95" s="168"/>
      <c r="QQA95" s="167"/>
      <c r="QQB95" s="168"/>
      <c r="QQC95" s="167"/>
      <c r="QQD95" s="168"/>
      <c r="QQE95" s="167"/>
      <c r="QQF95" s="168"/>
      <c r="QQG95" s="167"/>
      <c r="QQH95" s="168"/>
      <c r="QQI95" s="167"/>
      <c r="QQJ95" s="168"/>
      <c r="QQK95" s="167"/>
      <c r="QQL95" s="168"/>
      <c r="QQM95" s="167"/>
      <c r="QQN95" s="168"/>
      <c r="QQO95" s="167"/>
      <c r="QQP95" s="168"/>
      <c r="QQQ95" s="167"/>
      <c r="QQR95" s="168"/>
      <c r="QQS95" s="167"/>
      <c r="QQT95" s="168"/>
      <c r="QQU95" s="167"/>
      <c r="QQV95" s="168"/>
      <c r="QQW95" s="167"/>
      <c r="QQX95" s="168"/>
      <c r="QQY95" s="167"/>
      <c r="QQZ95" s="168"/>
      <c r="QRA95" s="167"/>
      <c r="QRB95" s="168"/>
      <c r="QRC95" s="167"/>
      <c r="QRD95" s="168"/>
      <c r="QRE95" s="167"/>
      <c r="QRF95" s="168"/>
      <c r="QRG95" s="167"/>
      <c r="QRH95" s="168"/>
      <c r="QRI95" s="167"/>
      <c r="QRJ95" s="168"/>
      <c r="QRK95" s="167"/>
      <c r="QRL95" s="168"/>
      <c r="QRM95" s="167"/>
      <c r="QRN95" s="168"/>
      <c r="QRO95" s="167"/>
      <c r="QRP95" s="168"/>
      <c r="QRQ95" s="167"/>
      <c r="QRR95" s="168"/>
      <c r="QRS95" s="167"/>
      <c r="QRT95" s="168"/>
      <c r="QRU95" s="167"/>
      <c r="QRV95" s="168"/>
      <c r="QRW95" s="167"/>
      <c r="QRX95" s="168"/>
      <c r="QRY95" s="167"/>
      <c r="QRZ95" s="168"/>
      <c r="QSA95" s="167"/>
      <c r="QSB95" s="168"/>
      <c r="QSC95" s="167"/>
      <c r="QSD95" s="168"/>
      <c r="QSE95" s="167"/>
      <c r="QSF95" s="168"/>
      <c r="QSG95" s="167"/>
      <c r="QSH95" s="168"/>
      <c r="QSI95" s="167"/>
      <c r="QSJ95" s="168"/>
      <c r="QSK95" s="167"/>
      <c r="QSL95" s="168"/>
      <c r="QSM95" s="167"/>
      <c r="QSN95" s="168"/>
      <c r="QSO95" s="167"/>
      <c r="QSP95" s="168"/>
      <c r="QSQ95" s="167"/>
      <c r="QSR95" s="168"/>
      <c r="QSS95" s="167"/>
      <c r="QST95" s="168"/>
      <c r="QSU95" s="167"/>
      <c r="QSV95" s="168"/>
      <c r="QSW95" s="167"/>
      <c r="QSX95" s="168"/>
      <c r="QSY95" s="167"/>
      <c r="QSZ95" s="168"/>
      <c r="QTA95" s="167"/>
      <c r="QTB95" s="168"/>
      <c r="QTC95" s="167"/>
      <c r="QTD95" s="168"/>
      <c r="QTE95" s="167"/>
      <c r="QTF95" s="168"/>
      <c r="QTG95" s="167"/>
      <c r="QTH95" s="168"/>
      <c r="QTI95" s="167"/>
      <c r="QTJ95" s="168"/>
      <c r="QTK95" s="167"/>
      <c r="QTL95" s="168"/>
      <c r="QTM95" s="167"/>
      <c r="QTN95" s="168"/>
      <c r="QTO95" s="167"/>
      <c r="QTP95" s="168"/>
      <c r="QTQ95" s="167"/>
      <c r="QTR95" s="168"/>
      <c r="QTS95" s="167"/>
      <c r="QTT95" s="168"/>
      <c r="QTU95" s="167"/>
      <c r="QTV95" s="168"/>
      <c r="QTW95" s="167"/>
      <c r="QTX95" s="168"/>
      <c r="QTY95" s="167"/>
      <c r="QTZ95" s="168"/>
      <c r="QUA95" s="167"/>
      <c r="QUB95" s="168"/>
      <c r="QUC95" s="167"/>
      <c r="QUD95" s="168"/>
      <c r="QUE95" s="167"/>
      <c r="QUF95" s="168"/>
      <c r="QUG95" s="167"/>
      <c r="QUH95" s="168"/>
      <c r="QUI95" s="167"/>
      <c r="QUJ95" s="168"/>
      <c r="QUK95" s="167"/>
      <c r="QUL95" s="168"/>
      <c r="QUM95" s="167"/>
      <c r="QUN95" s="168"/>
      <c r="QUO95" s="167"/>
      <c r="QUP95" s="168"/>
      <c r="QUQ95" s="167"/>
      <c r="QUR95" s="168"/>
      <c r="QUS95" s="167"/>
      <c r="QUT95" s="168"/>
      <c r="QUU95" s="167"/>
      <c r="QUV95" s="168"/>
      <c r="QUW95" s="167"/>
      <c r="QUX95" s="168"/>
      <c r="QUY95" s="167"/>
      <c r="QUZ95" s="168"/>
      <c r="QVA95" s="167"/>
      <c r="QVB95" s="168"/>
      <c r="QVC95" s="167"/>
      <c r="QVD95" s="168"/>
      <c r="QVE95" s="167"/>
      <c r="QVF95" s="168"/>
      <c r="QVG95" s="167"/>
      <c r="QVH95" s="168"/>
      <c r="QVI95" s="167"/>
      <c r="QVJ95" s="168"/>
      <c r="QVK95" s="167"/>
      <c r="QVL95" s="168"/>
      <c r="QVM95" s="167"/>
      <c r="QVN95" s="168"/>
      <c r="QVO95" s="167"/>
      <c r="QVP95" s="168"/>
      <c r="QVQ95" s="167"/>
      <c r="QVR95" s="168"/>
      <c r="QVS95" s="167"/>
      <c r="QVT95" s="168"/>
      <c r="QVU95" s="167"/>
      <c r="QVV95" s="168"/>
      <c r="QVW95" s="167"/>
      <c r="QVX95" s="168"/>
      <c r="QVY95" s="167"/>
      <c r="QVZ95" s="168"/>
      <c r="QWA95" s="167"/>
      <c r="QWB95" s="168"/>
      <c r="QWC95" s="167"/>
      <c r="QWD95" s="168"/>
      <c r="QWE95" s="167"/>
      <c r="QWF95" s="168"/>
      <c r="QWG95" s="167"/>
      <c r="QWH95" s="168"/>
      <c r="QWI95" s="167"/>
      <c r="QWJ95" s="168"/>
      <c r="QWK95" s="167"/>
      <c r="QWL95" s="168"/>
      <c r="QWM95" s="167"/>
      <c r="QWN95" s="168"/>
      <c r="QWO95" s="167"/>
      <c r="QWP95" s="168"/>
      <c r="QWQ95" s="167"/>
      <c r="QWR95" s="168"/>
      <c r="QWS95" s="167"/>
      <c r="QWT95" s="168"/>
      <c r="QWU95" s="167"/>
      <c r="QWV95" s="168"/>
      <c r="QWW95" s="167"/>
      <c r="QWX95" s="168"/>
      <c r="QWY95" s="167"/>
      <c r="QWZ95" s="168"/>
      <c r="QXA95" s="167"/>
      <c r="QXB95" s="168"/>
      <c r="QXC95" s="167"/>
      <c r="QXD95" s="168"/>
      <c r="QXE95" s="167"/>
      <c r="QXF95" s="168"/>
      <c r="QXG95" s="167"/>
      <c r="QXH95" s="168"/>
      <c r="QXI95" s="167"/>
      <c r="QXJ95" s="168"/>
      <c r="QXK95" s="167"/>
      <c r="QXL95" s="168"/>
      <c r="QXM95" s="167"/>
      <c r="QXN95" s="168"/>
      <c r="QXO95" s="167"/>
      <c r="QXP95" s="168"/>
      <c r="QXQ95" s="167"/>
      <c r="QXR95" s="168"/>
      <c r="QXS95" s="167"/>
      <c r="QXT95" s="168"/>
      <c r="QXU95" s="167"/>
      <c r="QXV95" s="168"/>
      <c r="QXW95" s="167"/>
      <c r="QXX95" s="168"/>
      <c r="QXY95" s="167"/>
      <c r="QXZ95" s="168"/>
      <c r="QYA95" s="167"/>
      <c r="QYB95" s="168"/>
      <c r="QYC95" s="167"/>
      <c r="QYD95" s="168"/>
      <c r="QYE95" s="167"/>
      <c r="QYF95" s="168"/>
      <c r="QYG95" s="167"/>
      <c r="QYH95" s="168"/>
      <c r="QYI95" s="167"/>
      <c r="QYJ95" s="168"/>
      <c r="QYK95" s="167"/>
      <c r="QYL95" s="168"/>
      <c r="QYM95" s="167"/>
      <c r="QYN95" s="168"/>
      <c r="QYO95" s="167"/>
      <c r="QYP95" s="168"/>
      <c r="QYQ95" s="167"/>
      <c r="QYR95" s="168"/>
      <c r="QYS95" s="167"/>
      <c r="QYT95" s="168"/>
      <c r="QYU95" s="167"/>
      <c r="QYV95" s="168"/>
      <c r="QYW95" s="167"/>
      <c r="QYX95" s="168"/>
      <c r="QYY95" s="167"/>
      <c r="QYZ95" s="168"/>
      <c r="QZA95" s="167"/>
      <c r="QZB95" s="168"/>
      <c r="QZC95" s="167"/>
      <c r="QZD95" s="168"/>
      <c r="QZE95" s="167"/>
      <c r="QZF95" s="168"/>
      <c r="QZG95" s="167"/>
      <c r="QZH95" s="168"/>
      <c r="QZI95" s="167"/>
      <c r="QZJ95" s="168"/>
      <c r="QZK95" s="167"/>
      <c r="QZL95" s="168"/>
      <c r="QZM95" s="167"/>
      <c r="QZN95" s="168"/>
      <c r="QZO95" s="167"/>
      <c r="QZP95" s="168"/>
      <c r="QZQ95" s="167"/>
      <c r="QZR95" s="168"/>
      <c r="QZS95" s="167"/>
      <c r="QZT95" s="168"/>
      <c r="QZU95" s="167"/>
      <c r="QZV95" s="168"/>
      <c r="QZW95" s="167"/>
      <c r="QZX95" s="168"/>
      <c r="QZY95" s="167"/>
      <c r="QZZ95" s="168"/>
      <c r="RAA95" s="167"/>
      <c r="RAB95" s="168"/>
      <c r="RAC95" s="167"/>
      <c r="RAD95" s="168"/>
      <c r="RAE95" s="167"/>
      <c r="RAF95" s="168"/>
      <c r="RAG95" s="167"/>
      <c r="RAH95" s="168"/>
      <c r="RAI95" s="167"/>
      <c r="RAJ95" s="168"/>
      <c r="RAK95" s="167"/>
      <c r="RAL95" s="168"/>
      <c r="RAM95" s="167"/>
      <c r="RAN95" s="168"/>
      <c r="RAO95" s="167"/>
      <c r="RAP95" s="168"/>
      <c r="RAQ95" s="167"/>
      <c r="RAR95" s="168"/>
      <c r="RAS95" s="167"/>
      <c r="RAT95" s="168"/>
      <c r="RAU95" s="167"/>
      <c r="RAV95" s="168"/>
      <c r="RAW95" s="167"/>
      <c r="RAX95" s="168"/>
      <c r="RAY95" s="167"/>
      <c r="RAZ95" s="168"/>
      <c r="RBA95" s="167"/>
      <c r="RBB95" s="168"/>
      <c r="RBC95" s="167"/>
      <c r="RBD95" s="168"/>
      <c r="RBE95" s="167"/>
      <c r="RBF95" s="168"/>
      <c r="RBG95" s="167"/>
      <c r="RBH95" s="168"/>
      <c r="RBI95" s="167"/>
      <c r="RBJ95" s="168"/>
      <c r="RBK95" s="167"/>
      <c r="RBL95" s="168"/>
      <c r="RBM95" s="167"/>
      <c r="RBN95" s="168"/>
      <c r="RBO95" s="167"/>
      <c r="RBP95" s="168"/>
      <c r="RBQ95" s="167"/>
      <c r="RBR95" s="168"/>
      <c r="RBS95" s="167"/>
      <c r="RBT95" s="168"/>
      <c r="RBU95" s="167"/>
      <c r="RBV95" s="168"/>
      <c r="RBW95" s="167"/>
      <c r="RBX95" s="168"/>
      <c r="RBY95" s="167"/>
      <c r="RBZ95" s="168"/>
      <c r="RCA95" s="167"/>
      <c r="RCB95" s="168"/>
      <c r="RCC95" s="167"/>
      <c r="RCD95" s="168"/>
      <c r="RCE95" s="167"/>
      <c r="RCF95" s="168"/>
      <c r="RCG95" s="167"/>
      <c r="RCH95" s="168"/>
      <c r="RCI95" s="167"/>
      <c r="RCJ95" s="168"/>
      <c r="RCK95" s="167"/>
      <c r="RCL95" s="168"/>
      <c r="RCM95" s="167"/>
      <c r="RCN95" s="168"/>
      <c r="RCO95" s="167"/>
      <c r="RCP95" s="168"/>
      <c r="RCQ95" s="167"/>
      <c r="RCR95" s="168"/>
      <c r="RCS95" s="167"/>
      <c r="RCT95" s="168"/>
      <c r="RCU95" s="167"/>
      <c r="RCV95" s="168"/>
      <c r="RCW95" s="167"/>
      <c r="RCX95" s="168"/>
      <c r="RCY95" s="167"/>
      <c r="RCZ95" s="168"/>
      <c r="RDA95" s="167"/>
      <c r="RDB95" s="168"/>
      <c r="RDC95" s="167"/>
      <c r="RDD95" s="168"/>
      <c r="RDE95" s="167"/>
      <c r="RDF95" s="168"/>
      <c r="RDG95" s="167"/>
      <c r="RDH95" s="168"/>
      <c r="RDI95" s="167"/>
      <c r="RDJ95" s="168"/>
      <c r="RDK95" s="167"/>
      <c r="RDL95" s="168"/>
      <c r="RDM95" s="167"/>
      <c r="RDN95" s="168"/>
      <c r="RDO95" s="167"/>
      <c r="RDP95" s="168"/>
      <c r="RDQ95" s="167"/>
      <c r="RDR95" s="168"/>
      <c r="RDS95" s="167"/>
      <c r="RDT95" s="168"/>
      <c r="RDU95" s="167"/>
      <c r="RDV95" s="168"/>
      <c r="RDW95" s="167"/>
      <c r="RDX95" s="168"/>
      <c r="RDY95" s="167"/>
      <c r="RDZ95" s="168"/>
      <c r="REA95" s="167"/>
      <c r="REB95" s="168"/>
      <c r="REC95" s="167"/>
      <c r="RED95" s="168"/>
      <c r="REE95" s="167"/>
      <c r="REF95" s="168"/>
      <c r="REG95" s="167"/>
      <c r="REH95" s="168"/>
      <c r="REI95" s="167"/>
      <c r="REJ95" s="168"/>
      <c r="REK95" s="167"/>
      <c r="REL95" s="168"/>
      <c r="REM95" s="167"/>
      <c r="REN95" s="168"/>
      <c r="REO95" s="167"/>
      <c r="REP95" s="168"/>
      <c r="REQ95" s="167"/>
      <c r="RER95" s="168"/>
      <c r="RES95" s="167"/>
      <c r="RET95" s="168"/>
      <c r="REU95" s="167"/>
      <c r="REV95" s="168"/>
      <c r="REW95" s="167"/>
      <c r="REX95" s="168"/>
      <c r="REY95" s="167"/>
      <c r="REZ95" s="168"/>
      <c r="RFA95" s="167"/>
      <c r="RFB95" s="168"/>
      <c r="RFC95" s="167"/>
      <c r="RFD95" s="168"/>
      <c r="RFE95" s="167"/>
      <c r="RFF95" s="168"/>
      <c r="RFG95" s="167"/>
      <c r="RFH95" s="168"/>
      <c r="RFI95" s="167"/>
      <c r="RFJ95" s="168"/>
      <c r="RFK95" s="167"/>
      <c r="RFL95" s="168"/>
      <c r="RFM95" s="167"/>
      <c r="RFN95" s="168"/>
      <c r="RFO95" s="167"/>
      <c r="RFP95" s="168"/>
      <c r="RFQ95" s="167"/>
      <c r="RFR95" s="168"/>
      <c r="RFS95" s="167"/>
      <c r="RFT95" s="168"/>
      <c r="RFU95" s="167"/>
      <c r="RFV95" s="168"/>
      <c r="RFW95" s="167"/>
      <c r="RFX95" s="168"/>
      <c r="RFY95" s="167"/>
      <c r="RFZ95" s="168"/>
      <c r="RGA95" s="167"/>
      <c r="RGB95" s="168"/>
      <c r="RGC95" s="167"/>
      <c r="RGD95" s="168"/>
      <c r="RGE95" s="167"/>
      <c r="RGF95" s="168"/>
      <c r="RGG95" s="167"/>
      <c r="RGH95" s="168"/>
      <c r="RGI95" s="167"/>
      <c r="RGJ95" s="168"/>
      <c r="RGK95" s="167"/>
      <c r="RGL95" s="168"/>
      <c r="RGM95" s="167"/>
      <c r="RGN95" s="168"/>
      <c r="RGO95" s="167"/>
      <c r="RGP95" s="168"/>
      <c r="RGQ95" s="167"/>
      <c r="RGR95" s="168"/>
      <c r="RGS95" s="167"/>
      <c r="RGT95" s="168"/>
      <c r="RGU95" s="167"/>
      <c r="RGV95" s="168"/>
      <c r="RGW95" s="167"/>
      <c r="RGX95" s="168"/>
      <c r="RGY95" s="167"/>
      <c r="RGZ95" s="168"/>
      <c r="RHA95" s="167"/>
      <c r="RHB95" s="168"/>
      <c r="RHC95" s="167"/>
      <c r="RHD95" s="168"/>
      <c r="RHE95" s="167"/>
      <c r="RHF95" s="168"/>
      <c r="RHG95" s="167"/>
      <c r="RHH95" s="168"/>
      <c r="RHI95" s="167"/>
      <c r="RHJ95" s="168"/>
      <c r="RHK95" s="167"/>
      <c r="RHL95" s="168"/>
      <c r="RHM95" s="167"/>
      <c r="RHN95" s="168"/>
      <c r="RHO95" s="167"/>
      <c r="RHP95" s="168"/>
      <c r="RHQ95" s="167"/>
      <c r="RHR95" s="168"/>
      <c r="RHS95" s="167"/>
      <c r="RHT95" s="168"/>
      <c r="RHU95" s="167"/>
      <c r="RHV95" s="168"/>
      <c r="RHW95" s="167"/>
      <c r="RHX95" s="168"/>
      <c r="RHY95" s="167"/>
      <c r="RHZ95" s="168"/>
      <c r="RIA95" s="167"/>
      <c r="RIB95" s="168"/>
      <c r="RIC95" s="167"/>
      <c r="RID95" s="168"/>
      <c r="RIE95" s="167"/>
      <c r="RIF95" s="168"/>
      <c r="RIG95" s="167"/>
      <c r="RIH95" s="168"/>
      <c r="RII95" s="167"/>
      <c r="RIJ95" s="168"/>
      <c r="RIK95" s="167"/>
      <c r="RIL95" s="168"/>
      <c r="RIM95" s="167"/>
      <c r="RIN95" s="168"/>
      <c r="RIO95" s="167"/>
      <c r="RIP95" s="168"/>
      <c r="RIQ95" s="167"/>
      <c r="RIR95" s="168"/>
      <c r="RIS95" s="167"/>
      <c r="RIT95" s="168"/>
      <c r="RIU95" s="167"/>
      <c r="RIV95" s="168"/>
      <c r="RIW95" s="167"/>
      <c r="RIX95" s="168"/>
      <c r="RIY95" s="167"/>
      <c r="RIZ95" s="168"/>
      <c r="RJA95" s="167"/>
      <c r="RJB95" s="168"/>
      <c r="RJC95" s="167"/>
      <c r="RJD95" s="168"/>
      <c r="RJE95" s="167"/>
      <c r="RJF95" s="168"/>
      <c r="RJG95" s="167"/>
      <c r="RJH95" s="168"/>
      <c r="RJI95" s="167"/>
      <c r="RJJ95" s="168"/>
      <c r="RJK95" s="167"/>
      <c r="RJL95" s="168"/>
      <c r="RJM95" s="167"/>
      <c r="RJN95" s="168"/>
      <c r="RJO95" s="167"/>
      <c r="RJP95" s="168"/>
      <c r="RJQ95" s="167"/>
      <c r="RJR95" s="168"/>
      <c r="RJS95" s="167"/>
      <c r="RJT95" s="168"/>
      <c r="RJU95" s="167"/>
      <c r="RJV95" s="168"/>
      <c r="RJW95" s="167"/>
      <c r="RJX95" s="168"/>
      <c r="RJY95" s="167"/>
      <c r="RJZ95" s="168"/>
      <c r="RKA95" s="167"/>
      <c r="RKB95" s="168"/>
      <c r="RKC95" s="167"/>
      <c r="RKD95" s="168"/>
      <c r="RKE95" s="167"/>
      <c r="RKF95" s="168"/>
      <c r="RKG95" s="167"/>
      <c r="RKH95" s="168"/>
      <c r="RKI95" s="167"/>
      <c r="RKJ95" s="168"/>
      <c r="RKK95" s="167"/>
      <c r="RKL95" s="168"/>
      <c r="RKM95" s="167"/>
      <c r="RKN95" s="168"/>
      <c r="RKO95" s="167"/>
      <c r="RKP95" s="168"/>
      <c r="RKQ95" s="167"/>
      <c r="RKR95" s="168"/>
      <c r="RKS95" s="167"/>
      <c r="RKT95" s="168"/>
      <c r="RKU95" s="167"/>
      <c r="RKV95" s="168"/>
      <c r="RKW95" s="167"/>
      <c r="RKX95" s="168"/>
      <c r="RKY95" s="167"/>
      <c r="RKZ95" s="168"/>
      <c r="RLA95" s="167"/>
      <c r="RLB95" s="168"/>
      <c r="RLC95" s="167"/>
      <c r="RLD95" s="168"/>
      <c r="RLE95" s="167"/>
      <c r="RLF95" s="168"/>
      <c r="RLG95" s="167"/>
      <c r="RLH95" s="168"/>
      <c r="RLI95" s="167"/>
      <c r="RLJ95" s="168"/>
      <c r="RLK95" s="167"/>
      <c r="RLL95" s="168"/>
      <c r="RLM95" s="167"/>
      <c r="RLN95" s="168"/>
      <c r="RLO95" s="167"/>
      <c r="RLP95" s="168"/>
      <c r="RLQ95" s="167"/>
      <c r="RLR95" s="168"/>
      <c r="RLS95" s="167"/>
      <c r="RLT95" s="168"/>
      <c r="RLU95" s="167"/>
      <c r="RLV95" s="168"/>
      <c r="RLW95" s="167"/>
      <c r="RLX95" s="168"/>
      <c r="RLY95" s="167"/>
      <c r="RLZ95" s="168"/>
      <c r="RMA95" s="167"/>
      <c r="RMB95" s="168"/>
      <c r="RMC95" s="167"/>
      <c r="RMD95" s="168"/>
      <c r="RME95" s="167"/>
      <c r="RMF95" s="168"/>
      <c r="RMG95" s="167"/>
      <c r="RMH95" s="168"/>
      <c r="RMI95" s="167"/>
      <c r="RMJ95" s="168"/>
      <c r="RMK95" s="167"/>
      <c r="RML95" s="168"/>
      <c r="RMM95" s="167"/>
      <c r="RMN95" s="168"/>
      <c r="RMO95" s="167"/>
      <c r="RMP95" s="168"/>
      <c r="RMQ95" s="167"/>
      <c r="RMR95" s="168"/>
      <c r="RMS95" s="167"/>
      <c r="RMT95" s="168"/>
      <c r="RMU95" s="167"/>
      <c r="RMV95" s="168"/>
      <c r="RMW95" s="167"/>
      <c r="RMX95" s="168"/>
      <c r="RMY95" s="167"/>
      <c r="RMZ95" s="168"/>
      <c r="RNA95" s="167"/>
      <c r="RNB95" s="168"/>
      <c r="RNC95" s="167"/>
      <c r="RND95" s="168"/>
      <c r="RNE95" s="167"/>
      <c r="RNF95" s="168"/>
      <c r="RNG95" s="167"/>
      <c r="RNH95" s="168"/>
      <c r="RNI95" s="167"/>
      <c r="RNJ95" s="168"/>
      <c r="RNK95" s="167"/>
      <c r="RNL95" s="168"/>
      <c r="RNM95" s="167"/>
      <c r="RNN95" s="168"/>
      <c r="RNO95" s="167"/>
      <c r="RNP95" s="168"/>
      <c r="RNQ95" s="167"/>
      <c r="RNR95" s="168"/>
      <c r="RNS95" s="167"/>
      <c r="RNT95" s="168"/>
      <c r="RNU95" s="167"/>
      <c r="RNV95" s="168"/>
      <c r="RNW95" s="167"/>
      <c r="RNX95" s="168"/>
      <c r="RNY95" s="167"/>
      <c r="RNZ95" s="168"/>
      <c r="ROA95" s="167"/>
      <c r="ROB95" s="168"/>
      <c r="ROC95" s="167"/>
      <c r="ROD95" s="168"/>
      <c r="ROE95" s="167"/>
      <c r="ROF95" s="168"/>
      <c r="ROG95" s="167"/>
      <c r="ROH95" s="168"/>
      <c r="ROI95" s="167"/>
      <c r="ROJ95" s="168"/>
      <c r="ROK95" s="167"/>
      <c r="ROL95" s="168"/>
      <c r="ROM95" s="167"/>
      <c r="RON95" s="168"/>
      <c r="ROO95" s="167"/>
      <c r="ROP95" s="168"/>
      <c r="ROQ95" s="167"/>
      <c r="ROR95" s="168"/>
      <c r="ROS95" s="167"/>
      <c r="ROT95" s="168"/>
      <c r="ROU95" s="167"/>
      <c r="ROV95" s="168"/>
      <c r="ROW95" s="167"/>
      <c r="ROX95" s="168"/>
      <c r="ROY95" s="167"/>
      <c r="ROZ95" s="168"/>
      <c r="RPA95" s="167"/>
      <c r="RPB95" s="168"/>
      <c r="RPC95" s="167"/>
      <c r="RPD95" s="168"/>
      <c r="RPE95" s="167"/>
      <c r="RPF95" s="168"/>
      <c r="RPG95" s="167"/>
      <c r="RPH95" s="168"/>
      <c r="RPI95" s="167"/>
      <c r="RPJ95" s="168"/>
      <c r="RPK95" s="167"/>
      <c r="RPL95" s="168"/>
      <c r="RPM95" s="167"/>
      <c r="RPN95" s="168"/>
      <c r="RPO95" s="167"/>
      <c r="RPP95" s="168"/>
      <c r="RPQ95" s="167"/>
      <c r="RPR95" s="168"/>
      <c r="RPS95" s="167"/>
      <c r="RPT95" s="168"/>
      <c r="RPU95" s="167"/>
      <c r="RPV95" s="168"/>
      <c r="RPW95" s="167"/>
      <c r="RPX95" s="168"/>
      <c r="RPY95" s="167"/>
      <c r="RPZ95" s="168"/>
      <c r="RQA95" s="167"/>
      <c r="RQB95" s="168"/>
      <c r="RQC95" s="167"/>
      <c r="RQD95" s="168"/>
      <c r="RQE95" s="167"/>
      <c r="RQF95" s="168"/>
      <c r="RQG95" s="167"/>
      <c r="RQH95" s="168"/>
      <c r="RQI95" s="167"/>
      <c r="RQJ95" s="168"/>
      <c r="RQK95" s="167"/>
      <c r="RQL95" s="168"/>
      <c r="RQM95" s="167"/>
      <c r="RQN95" s="168"/>
      <c r="RQO95" s="167"/>
      <c r="RQP95" s="168"/>
      <c r="RQQ95" s="167"/>
      <c r="RQR95" s="168"/>
      <c r="RQS95" s="167"/>
      <c r="RQT95" s="168"/>
      <c r="RQU95" s="167"/>
      <c r="RQV95" s="168"/>
      <c r="RQW95" s="167"/>
      <c r="RQX95" s="168"/>
      <c r="RQY95" s="167"/>
      <c r="RQZ95" s="168"/>
      <c r="RRA95" s="167"/>
      <c r="RRB95" s="168"/>
      <c r="RRC95" s="167"/>
      <c r="RRD95" s="168"/>
      <c r="RRE95" s="167"/>
      <c r="RRF95" s="168"/>
      <c r="RRG95" s="167"/>
      <c r="RRH95" s="168"/>
      <c r="RRI95" s="167"/>
      <c r="RRJ95" s="168"/>
      <c r="RRK95" s="167"/>
      <c r="RRL95" s="168"/>
      <c r="RRM95" s="167"/>
      <c r="RRN95" s="168"/>
      <c r="RRO95" s="167"/>
      <c r="RRP95" s="168"/>
      <c r="RRQ95" s="167"/>
      <c r="RRR95" s="168"/>
      <c r="RRS95" s="167"/>
      <c r="RRT95" s="168"/>
      <c r="RRU95" s="167"/>
      <c r="RRV95" s="168"/>
      <c r="RRW95" s="167"/>
      <c r="RRX95" s="168"/>
      <c r="RRY95" s="167"/>
      <c r="RRZ95" s="168"/>
      <c r="RSA95" s="167"/>
      <c r="RSB95" s="168"/>
      <c r="RSC95" s="167"/>
      <c r="RSD95" s="168"/>
      <c r="RSE95" s="167"/>
      <c r="RSF95" s="168"/>
      <c r="RSG95" s="167"/>
      <c r="RSH95" s="168"/>
      <c r="RSI95" s="167"/>
      <c r="RSJ95" s="168"/>
      <c r="RSK95" s="167"/>
      <c r="RSL95" s="168"/>
      <c r="RSM95" s="167"/>
      <c r="RSN95" s="168"/>
      <c r="RSO95" s="167"/>
      <c r="RSP95" s="168"/>
      <c r="RSQ95" s="167"/>
      <c r="RSR95" s="168"/>
      <c r="RSS95" s="167"/>
      <c r="RST95" s="168"/>
      <c r="RSU95" s="167"/>
      <c r="RSV95" s="168"/>
      <c r="RSW95" s="167"/>
      <c r="RSX95" s="168"/>
      <c r="RSY95" s="167"/>
      <c r="RSZ95" s="168"/>
      <c r="RTA95" s="167"/>
      <c r="RTB95" s="168"/>
      <c r="RTC95" s="167"/>
      <c r="RTD95" s="168"/>
      <c r="RTE95" s="167"/>
      <c r="RTF95" s="168"/>
      <c r="RTG95" s="167"/>
      <c r="RTH95" s="168"/>
      <c r="RTI95" s="167"/>
      <c r="RTJ95" s="168"/>
      <c r="RTK95" s="167"/>
      <c r="RTL95" s="168"/>
      <c r="RTM95" s="167"/>
      <c r="RTN95" s="168"/>
      <c r="RTO95" s="167"/>
      <c r="RTP95" s="168"/>
      <c r="RTQ95" s="167"/>
      <c r="RTR95" s="168"/>
      <c r="RTS95" s="167"/>
      <c r="RTT95" s="168"/>
      <c r="RTU95" s="167"/>
      <c r="RTV95" s="168"/>
      <c r="RTW95" s="167"/>
      <c r="RTX95" s="168"/>
      <c r="RTY95" s="167"/>
      <c r="RTZ95" s="168"/>
      <c r="RUA95" s="167"/>
      <c r="RUB95" s="168"/>
      <c r="RUC95" s="167"/>
      <c r="RUD95" s="168"/>
      <c r="RUE95" s="167"/>
      <c r="RUF95" s="168"/>
      <c r="RUG95" s="167"/>
      <c r="RUH95" s="168"/>
      <c r="RUI95" s="167"/>
      <c r="RUJ95" s="168"/>
      <c r="RUK95" s="167"/>
      <c r="RUL95" s="168"/>
      <c r="RUM95" s="167"/>
      <c r="RUN95" s="168"/>
      <c r="RUO95" s="167"/>
      <c r="RUP95" s="168"/>
      <c r="RUQ95" s="167"/>
      <c r="RUR95" s="168"/>
      <c r="RUS95" s="167"/>
      <c r="RUT95" s="168"/>
      <c r="RUU95" s="167"/>
      <c r="RUV95" s="168"/>
      <c r="RUW95" s="167"/>
      <c r="RUX95" s="168"/>
      <c r="RUY95" s="167"/>
      <c r="RUZ95" s="168"/>
      <c r="RVA95" s="167"/>
      <c r="RVB95" s="168"/>
      <c r="RVC95" s="167"/>
      <c r="RVD95" s="168"/>
      <c r="RVE95" s="167"/>
      <c r="RVF95" s="168"/>
      <c r="RVG95" s="167"/>
      <c r="RVH95" s="168"/>
      <c r="RVI95" s="167"/>
      <c r="RVJ95" s="168"/>
      <c r="RVK95" s="167"/>
      <c r="RVL95" s="168"/>
      <c r="RVM95" s="167"/>
      <c r="RVN95" s="168"/>
      <c r="RVO95" s="167"/>
      <c r="RVP95" s="168"/>
      <c r="RVQ95" s="167"/>
      <c r="RVR95" s="168"/>
      <c r="RVS95" s="167"/>
      <c r="RVT95" s="168"/>
      <c r="RVU95" s="167"/>
      <c r="RVV95" s="168"/>
      <c r="RVW95" s="167"/>
      <c r="RVX95" s="168"/>
      <c r="RVY95" s="167"/>
      <c r="RVZ95" s="168"/>
      <c r="RWA95" s="167"/>
      <c r="RWB95" s="168"/>
      <c r="RWC95" s="167"/>
      <c r="RWD95" s="168"/>
      <c r="RWE95" s="167"/>
      <c r="RWF95" s="168"/>
      <c r="RWG95" s="167"/>
      <c r="RWH95" s="168"/>
      <c r="RWI95" s="167"/>
      <c r="RWJ95" s="168"/>
      <c r="RWK95" s="167"/>
      <c r="RWL95" s="168"/>
      <c r="RWM95" s="167"/>
      <c r="RWN95" s="168"/>
      <c r="RWO95" s="167"/>
      <c r="RWP95" s="168"/>
      <c r="RWQ95" s="167"/>
      <c r="RWR95" s="168"/>
      <c r="RWS95" s="167"/>
      <c r="RWT95" s="168"/>
      <c r="RWU95" s="167"/>
      <c r="RWV95" s="168"/>
      <c r="RWW95" s="167"/>
      <c r="RWX95" s="168"/>
      <c r="RWY95" s="167"/>
      <c r="RWZ95" s="168"/>
      <c r="RXA95" s="167"/>
      <c r="RXB95" s="168"/>
      <c r="RXC95" s="167"/>
      <c r="RXD95" s="168"/>
      <c r="RXE95" s="167"/>
      <c r="RXF95" s="168"/>
      <c r="RXG95" s="167"/>
      <c r="RXH95" s="168"/>
      <c r="RXI95" s="167"/>
      <c r="RXJ95" s="168"/>
      <c r="RXK95" s="167"/>
      <c r="RXL95" s="168"/>
      <c r="RXM95" s="167"/>
      <c r="RXN95" s="168"/>
      <c r="RXO95" s="167"/>
      <c r="RXP95" s="168"/>
      <c r="RXQ95" s="167"/>
      <c r="RXR95" s="168"/>
      <c r="RXS95" s="167"/>
      <c r="RXT95" s="168"/>
      <c r="RXU95" s="167"/>
      <c r="RXV95" s="168"/>
      <c r="RXW95" s="167"/>
      <c r="RXX95" s="168"/>
      <c r="RXY95" s="167"/>
      <c r="RXZ95" s="168"/>
      <c r="RYA95" s="167"/>
      <c r="RYB95" s="168"/>
      <c r="RYC95" s="167"/>
      <c r="RYD95" s="168"/>
      <c r="RYE95" s="167"/>
      <c r="RYF95" s="168"/>
      <c r="RYG95" s="167"/>
      <c r="RYH95" s="168"/>
      <c r="RYI95" s="167"/>
      <c r="RYJ95" s="168"/>
      <c r="RYK95" s="167"/>
      <c r="RYL95" s="168"/>
      <c r="RYM95" s="167"/>
      <c r="RYN95" s="168"/>
      <c r="RYO95" s="167"/>
      <c r="RYP95" s="168"/>
      <c r="RYQ95" s="167"/>
      <c r="RYR95" s="168"/>
      <c r="RYS95" s="167"/>
      <c r="RYT95" s="168"/>
      <c r="RYU95" s="167"/>
      <c r="RYV95" s="168"/>
      <c r="RYW95" s="167"/>
      <c r="RYX95" s="168"/>
      <c r="RYY95" s="167"/>
      <c r="RYZ95" s="168"/>
      <c r="RZA95" s="167"/>
      <c r="RZB95" s="168"/>
      <c r="RZC95" s="167"/>
      <c r="RZD95" s="168"/>
      <c r="RZE95" s="167"/>
      <c r="RZF95" s="168"/>
      <c r="RZG95" s="167"/>
      <c r="RZH95" s="168"/>
      <c r="RZI95" s="167"/>
      <c r="RZJ95" s="168"/>
      <c r="RZK95" s="167"/>
      <c r="RZL95" s="168"/>
      <c r="RZM95" s="167"/>
      <c r="RZN95" s="168"/>
      <c r="RZO95" s="167"/>
      <c r="RZP95" s="168"/>
      <c r="RZQ95" s="167"/>
      <c r="RZR95" s="168"/>
      <c r="RZS95" s="167"/>
      <c r="RZT95" s="168"/>
      <c r="RZU95" s="167"/>
      <c r="RZV95" s="168"/>
      <c r="RZW95" s="167"/>
      <c r="RZX95" s="168"/>
      <c r="RZY95" s="167"/>
      <c r="RZZ95" s="168"/>
      <c r="SAA95" s="167"/>
      <c r="SAB95" s="168"/>
      <c r="SAC95" s="167"/>
      <c r="SAD95" s="168"/>
      <c r="SAE95" s="167"/>
      <c r="SAF95" s="168"/>
      <c r="SAG95" s="167"/>
      <c r="SAH95" s="168"/>
      <c r="SAI95" s="167"/>
      <c r="SAJ95" s="168"/>
      <c r="SAK95" s="167"/>
      <c r="SAL95" s="168"/>
      <c r="SAM95" s="167"/>
      <c r="SAN95" s="168"/>
      <c r="SAO95" s="167"/>
      <c r="SAP95" s="168"/>
      <c r="SAQ95" s="167"/>
      <c r="SAR95" s="168"/>
      <c r="SAS95" s="167"/>
      <c r="SAT95" s="168"/>
      <c r="SAU95" s="167"/>
      <c r="SAV95" s="168"/>
      <c r="SAW95" s="167"/>
      <c r="SAX95" s="168"/>
      <c r="SAY95" s="167"/>
      <c r="SAZ95" s="168"/>
      <c r="SBA95" s="167"/>
      <c r="SBB95" s="168"/>
      <c r="SBC95" s="167"/>
      <c r="SBD95" s="168"/>
      <c r="SBE95" s="167"/>
      <c r="SBF95" s="168"/>
      <c r="SBG95" s="167"/>
      <c r="SBH95" s="168"/>
      <c r="SBI95" s="167"/>
      <c r="SBJ95" s="168"/>
      <c r="SBK95" s="167"/>
      <c r="SBL95" s="168"/>
      <c r="SBM95" s="167"/>
      <c r="SBN95" s="168"/>
      <c r="SBO95" s="167"/>
      <c r="SBP95" s="168"/>
      <c r="SBQ95" s="167"/>
      <c r="SBR95" s="168"/>
      <c r="SBS95" s="167"/>
      <c r="SBT95" s="168"/>
      <c r="SBU95" s="167"/>
      <c r="SBV95" s="168"/>
      <c r="SBW95" s="167"/>
      <c r="SBX95" s="168"/>
      <c r="SBY95" s="167"/>
      <c r="SBZ95" s="168"/>
      <c r="SCA95" s="167"/>
      <c r="SCB95" s="168"/>
      <c r="SCC95" s="167"/>
      <c r="SCD95" s="168"/>
      <c r="SCE95" s="167"/>
      <c r="SCF95" s="168"/>
      <c r="SCG95" s="167"/>
      <c r="SCH95" s="168"/>
      <c r="SCI95" s="167"/>
      <c r="SCJ95" s="168"/>
      <c r="SCK95" s="167"/>
      <c r="SCL95" s="168"/>
      <c r="SCM95" s="167"/>
      <c r="SCN95" s="168"/>
      <c r="SCO95" s="167"/>
      <c r="SCP95" s="168"/>
      <c r="SCQ95" s="167"/>
      <c r="SCR95" s="168"/>
      <c r="SCS95" s="167"/>
      <c r="SCT95" s="168"/>
      <c r="SCU95" s="167"/>
      <c r="SCV95" s="168"/>
      <c r="SCW95" s="167"/>
      <c r="SCX95" s="168"/>
      <c r="SCY95" s="167"/>
      <c r="SCZ95" s="168"/>
      <c r="SDA95" s="167"/>
      <c r="SDB95" s="168"/>
      <c r="SDC95" s="167"/>
      <c r="SDD95" s="168"/>
      <c r="SDE95" s="167"/>
      <c r="SDF95" s="168"/>
      <c r="SDG95" s="167"/>
      <c r="SDH95" s="168"/>
      <c r="SDI95" s="167"/>
      <c r="SDJ95" s="168"/>
      <c r="SDK95" s="167"/>
      <c r="SDL95" s="168"/>
      <c r="SDM95" s="167"/>
      <c r="SDN95" s="168"/>
      <c r="SDO95" s="167"/>
      <c r="SDP95" s="168"/>
      <c r="SDQ95" s="167"/>
      <c r="SDR95" s="168"/>
      <c r="SDS95" s="167"/>
      <c r="SDT95" s="168"/>
      <c r="SDU95" s="167"/>
      <c r="SDV95" s="168"/>
      <c r="SDW95" s="167"/>
      <c r="SDX95" s="168"/>
      <c r="SDY95" s="167"/>
      <c r="SDZ95" s="168"/>
      <c r="SEA95" s="167"/>
      <c r="SEB95" s="168"/>
      <c r="SEC95" s="167"/>
      <c r="SED95" s="168"/>
      <c r="SEE95" s="167"/>
      <c r="SEF95" s="168"/>
      <c r="SEG95" s="167"/>
      <c r="SEH95" s="168"/>
      <c r="SEI95" s="167"/>
      <c r="SEJ95" s="168"/>
      <c r="SEK95" s="167"/>
      <c r="SEL95" s="168"/>
      <c r="SEM95" s="167"/>
      <c r="SEN95" s="168"/>
      <c r="SEO95" s="167"/>
      <c r="SEP95" s="168"/>
      <c r="SEQ95" s="167"/>
      <c r="SER95" s="168"/>
      <c r="SES95" s="167"/>
      <c r="SET95" s="168"/>
      <c r="SEU95" s="167"/>
      <c r="SEV95" s="168"/>
      <c r="SEW95" s="167"/>
      <c r="SEX95" s="168"/>
      <c r="SEY95" s="167"/>
      <c r="SEZ95" s="168"/>
      <c r="SFA95" s="167"/>
      <c r="SFB95" s="168"/>
      <c r="SFC95" s="167"/>
      <c r="SFD95" s="168"/>
      <c r="SFE95" s="167"/>
      <c r="SFF95" s="168"/>
      <c r="SFG95" s="167"/>
      <c r="SFH95" s="168"/>
      <c r="SFI95" s="167"/>
      <c r="SFJ95" s="168"/>
      <c r="SFK95" s="167"/>
      <c r="SFL95" s="168"/>
      <c r="SFM95" s="167"/>
      <c r="SFN95" s="168"/>
      <c r="SFO95" s="167"/>
      <c r="SFP95" s="168"/>
      <c r="SFQ95" s="167"/>
      <c r="SFR95" s="168"/>
      <c r="SFS95" s="167"/>
      <c r="SFT95" s="168"/>
      <c r="SFU95" s="167"/>
      <c r="SFV95" s="168"/>
      <c r="SFW95" s="167"/>
      <c r="SFX95" s="168"/>
      <c r="SFY95" s="167"/>
      <c r="SFZ95" s="168"/>
      <c r="SGA95" s="167"/>
      <c r="SGB95" s="168"/>
      <c r="SGC95" s="167"/>
      <c r="SGD95" s="168"/>
      <c r="SGE95" s="167"/>
      <c r="SGF95" s="168"/>
      <c r="SGG95" s="167"/>
      <c r="SGH95" s="168"/>
      <c r="SGI95" s="167"/>
      <c r="SGJ95" s="168"/>
      <c r="SGK95" s="167"/>
      <c r="SGL95" s="168"/>
      <c r="SGM95" s="167"/>
      <c r="SGN95" s="168"/>
      <c r="SGO95" s="167"/>
      <c r="SGP95" s="168"/>
      <c r="SGQ95" s="167"/>
      <c r="SGR95" s="168"/>
      <c r="SGS95" s="167"/>
      <c r="SGT95" s="168"/>
      <c r="SGU95" s="167"/>
      <c r="SGV95" s="168"/>
      <c r="SGW95" s="167"/>
      <c r="SGX95" s="168"/>
      <c r="SGY95" s="167"/>
      <c r="SGZ95" s="168"/>
      <c r="SHA95" s="167"/>
      <c r="SHB95" s="168"/>
      <c r="SHC95" s="167"/>
      <c r="SHD95" s="168"/>
      <c r="SHE95" s="167"/>
      <c r="SHF95" s="168"/>
      <c r="SHG95" s="167"/>
      <c r="SHH95" s="168"/>
      <c r="SHI95" s="167"/>
      <c r="SHJ95" s="168"/>
      <c r="SHK95" s="167"/>
      <c r="SHL95" s="168"/>
      <c r="SHM95" s="167"/>
      <c r="SHN95" s="168"/>
      <c r="SHO95" s="167"/>
      <c r="SHP95" s="168"/>
      <c r="SHQ95" s="167"/>
      <c r="SHR95" s="168"/>
      <c r="SHS95" s="167"/>
      <c r="SHT95" s="168"/>
      <c r="SHU95" s="167"/>
      <c r="SHV95" s="168"/>
      <c r="SHW95" s="167"/>
      <c r="SHX95" s="168"/>
      <c r="SHY95" s="167"/>
      <c r="SHZ95" s="168"/>
      <c r="SIA95" s="167"/>
      <c r="SIB95" s="168"/>
      <c r="SIC95" s="167"/>
      <c r="SID95" s="168"/>
      <c r="SIE95" s="167"/>
      <c r="SIF95" s="168"/>
      <c r="SIG95" s="167"/>
      <c r="SIH95" s="168"/>
      <c r="SII95" s="167"/>
      <c r="SIJ95" s="168"/>
      <c r="SIK95" s="167"/>
      <c r="SIL95" s="168"/>
      <c r="SIM95" s="167"/>
      <c r="SIN95" s="168"/>
      <c r="SIO95" s="167"/>
      <c r="SIP95" s="168"/>
      <c r="SIQ95" s="167"/>
      <c r="SIR95" s="168"/>
      <c r="SIS95" s="167"/>
      <c r="SIT95" s="168"/>
      <c r="SIU95" s="167"/>
      <c r="SIV95" s="168"/>
      <c r="SIW95" s="167"/>
      <c r="SIX95" s="168"/>
      <c r="SIY95" s="167"/>
      <c r="SIZ95" s="168"/>
      <c r="SJA95" s="167"/>
      <c r="SJB95" s="168"/>
      <c r="SJC95" s="167"/>
      <c r="SJD95" s="168"/>
      <c r="SJE95" s="167"/>
      <c r="SJF95" s="168"/>
      <c r="SJG95" s="167"/>
      <c r="SJH95" s="168"/>
      <c r="SJI95" s="167"/>
      <c r="SJJ95" s="168"/>
      <c r="SJK95" s="167"/>
      <c r="SJL95" s="168"/>
      <c r="SJM95" s="167"/>
      <c r="SJN95" s="168"/>
      <c r="SJO95" s="167"/>
      <c r="SJP95" s="168"/>
      <c r="SJQ95" s="167"/>
      <c r="SJR95" s="168"/>
      <c r="SJS95" s="167"/>
      <c r="SJT95" s="168"/>
      <c r="SJU95" s="167"/>
      <c r="SJV95" s="168"/>
      <c r="SJW95" s="167"/>
      <c r="SJX95" s="168"/>
      <c r="SJY95" s="167"/>
      <c r="SJZ95" s="168"/>
      <c r="SKA95" s="167"/>
      <c r="SKB95" s="168"/>
      <c r="SKC95" s="167"/>
      <c r="SKD95" s="168"/>
      <c r="SKE95" s="167"/>
      <c r="SKF95" s="168"/>
      <c r="SKG95" s="167"/>
      <c r="SKH95" s="168"/>
      <c r="SKI95" s="167"/>
      <c r="SKJ95" s="168"/>
      <c r="SKK95" s="167"/>
      <c r="SKL95" s="168"/>
      <c r="SKM95" s="167"/>
      <c r="SKN95" s="168"/>
      <c r="SKO95" s="167"/>
      <c r="SKP95" s="168"/>
      <c r="SKQ95" s="167"/>
      <c r="SKR95" s="168"/>
      <c r="SKS95" s="167"/>
      <c r="SKT95" s="168"/>
      <c r="SKU95" s="167"/>
      <c r="SKV95" s="168"/>
      <c r="SKW95" s="167"/>
      <c r="SKX95" s="168"/>
      <c r="SKY95" s="167"/>
      <c r="SKZ95" s="168"/>
      <c r="SLA95" s="167"/>
      <c r="SLB95" s="168"/>
      <c r="SLC95" s="167"/>
      <c r="SLD95" s="168"/>
      <c r="SLE95" s="167"/>
      <c r="SLF95" s="168"/>
      <c r="SLG95" s="167"/>
      <c r="SLH95" s="168"/>
      <c r="SLI95" s="167"/>
      <c r="SLJ95" s="168"/>
      <c r="SLK95" s="167"/>
      <c r="SLL95" s="168"/>
      <c r="SLM95" s="167"/>
      <c r="SLN95" s="168"/>
      <c r="SLO95" s="167"/>
      <c r="SLP95" s="168"/>
      <c r="SLQ95" s="167"/>
      <c r="SLR95" s="168"/>
      <c r="SLS95" s="167"/>
      <c r="SLT95" s="168"/>
      <c r="SLU95" s="167"/>
      <c r="SLV95" s="168"/>
      <c r="SLW95" s="167"/>
      <c r="SLX95" s="168"/>
      <c r="SLY95" s="167"/>
      <c r="SLZ95" s="168"/>
      <c r="SMA95" s="167"/>
      <c r="SMB95" s="168"/>
      <c r="SMC95" s="167"/>
      <c r="SMD95" s="168"/>
      <c r="SME95" s="167"/>
      <c r="SMF95" s="168"/>
      <c r="SMG95" s="167"/>
      <c r="SMH95" s="168"/>
      <c r="SMI95" s="167"/>
      <c r="SMJ95" s="168"/>
      <c r="SMK95" s="167"/>
      <c r="SML95" s="168"/>
      <c r="SMM95" s="167"/>
      <c r="SMN95" s="168"/>
      <c r="SMO95" s="167"/>
      <c r="SMP95" s="168"/>
      <c r="SMQ95" s="167"/>
      <c r="SMR95" s="168"/>
      <c r="SMS95" s="167"/>
      <c r="SMT95" s="168"/>
      <c r="SMU95" s="167"/>
      <c r="SMV95" s="168"/>
      <c r="SMW95" s="167"/>
      <c r="SMX95" s="168"/>
      <c r="SMY95" s="167"/>
      <c r="SMZ95" s="168"/>
      <c r="SNA95" s="167"/>
      <c r="SNB95" s="168"/>
      <c r="SNC95" s="167"/>
      <c r="SND95" s="168"/>
      <c r="SNE95" s="167"/>
      <c r="SNF95" s="168"/>
      <c r="SNG95" s="167"/>
      <c r="SNH95" s="168"/>
      <c r="SNI95" s="167"/>
      <c r="SNJ95" s="168"/>
      <c r="SNK95" s="167"/>
      <c r="SNL95" s="168"/>
      <c r="SNM95" s="167"/>
      <c r="SNN95" s="168"/>
      <c r="SNO95" s="167"/>
      <c r="SNP95" s="168"/>
      <c r="SNQ95" s="167"/>
      <c r="SNR95" s="168"/>
      <c r="SNS95" s="167"/>
      <c r="SNT95" s="168"/>
      <c r="SNU95" s="167"/>
      <c r="SNV95" s="168"/>
      <c r="SNW95" s="167"/>
      <c r="SNX95" s="168"/>
      <c r="SNY95" s="167"/>
      <c r="SNZ95" s="168"/>
      <c r="SOA95" s="167"/>
      <c r="SOB95" s="168"/>
      <c r="SOC95" s="167"/>
      <c r="SOD95" s="168"/>
      <c r="SOE95" s="167"/>
      <c r="SOF95" s="168"/>
      <c r="SOG95" s="167"/>
      <c r="SOH95" s="168"/>
      <c r="SOI95" s="167"/>
      <c r="SOJ95" s="168"/>
      <c r="SOK95" s="167"/>
      <c r="SOL95" s="168"/>
      <c r="SOM95" s="167"/>
      <c r="SON95" s="168"/>
      <c r="SOO95" s="167"/>
      <c r="SOP95" s="168"/>
      <c r="SOQ95" s="167"/>
      <c r="SOR95" s="168"/>
      <c r="SOS95" s="167"/>
      <c r="SOT95" s="168"/>
      <c r="SOU95" s="167"/>
      <c r="SOV95" s="168"/>
      <c r="SOW95" s="167"/>
      <c r="SOX95" s="168"/>
      <c r="SOY95" s="167"/>
      <c r="SOZ95" s="168"/>
      <c r="SPA95" s="167"/>
      <c r="SPB95" s="168"/>
      <c r="SPC95" s="167"/>
      <c r="SPD95" s="168"/>
      <c r="SPE95" s="167"/>
      <c r="SPF95" s="168"/>
      <c r="SPG95" s="167"/>
      <c r="SPH95" s="168"/>
      <c r="SPI95" s="167"/>
      <c r="SPJ95" s="168"/>
      <c r="SPK95" s="167"/>
      <c r="SPL95" s="168"/>
      <c r="SPM95" s="167"/>
      <c r="SPN95" s="168"/>
      <c r="SPO95" s="167"/>
      <c r="SPP95" s="168"/>
      <c r="SPQ95" s="167"/>
      <c r="SPR95" s="168"/>
      <c r="SPS95" s="167"/>
      <c r="SPT95" s="168"/>
      <c r="SPU95" s="167"/>
      <c r="SPV95" s="168"/>
      <c r="SPW95" s="167"/>
      <c r="SPX95" s="168"/>
      <c r="SPY95" s="167"/>
      <c r="SPZ95" s="168"/>
      <c r="SQA95" s="167"/>
      <c r="SQB95" s="168"/>
      <c r="SQC95" s="167"/>
      <c r="SQD95" s="168"/>
      <c r="SQE95" s="167"/>
      <c r="SQF95" s="168"/>
      <c r="SQG95" s="167"/>
      <c r="SQH95" s="168"/>
      <c r="SQI95" s="167"/>
      <c r="SQJ95" s="168"/>
      <c r="SQK95" s="167"/>
      <c r="SQL95" s="168"/>
      <c r="SQM95" s="167"/>
      <c r="SQN95" s="168"/>
      <c r="SQO95" s="167"/>
      <c r="SQP95" s="168"/>
      <c r="SQQ95" s="167"/>
      <c r="SQR95" s="168"/>
      <c r="SQS95" s="167"/>
      <c r="SQT95" s="168"/>
      <c r="SQU95" s="167"/>
      <c r="SQV95" s="168"/>
      <c r="SQW95" s="167"/>
      <c r="SQX95" s="168"/>
      <c r="SQY95" s="167"/>
      <c r="SQZ95" s="168"/>
      <c r="SRA95" s="167"/>
      <c r="SRB95" s="168"/>
      <c r="SRC95" s="167"/>
      <c r="SRD95" s="168"/>
      <c r="SRE95" s="167"/>
      <c r="SRF95" s="168"/>
      <c r="SRG95" s="167"/>
      <c r="SRH95" s="168"/>
      <c r="SRI95" s="167"/>
      <c r="SRJ95" s="168"/>
      <c r="SRK95" s="167"/>
      <c r="SRL95" s="168"/>
      <c r="SRM95" s="167"/>
      <c r="SRN95" s="168"/>
      <c r="SRO95" s="167"/>
      <c r="SRP95" s="168"/>
      <c r="SRQ95" s="167"/>
      <c r="SRR95" s="168"/>
      <c r="SRS95" s="167"/>
      <c r="SRT95" s="168"/>
      <c r="SRU95" s="167"/>
      <c r="SRV95" s="168"/>
      <c r="SRW95" s="167"/>
      <c r="SRX95" s="168"/>
      <c r="SRY95" s="167"/>
      <c r="SRZ95" s="168"/>
      <c r="SSA95" s="167"/>
      <c r="SSB95" s="168"/>
      <c r="SSC95" s="167"/>
      <c r="SSD95" s="168"/>
      <c r="SSE95" s="167"/>
      <c r="SSF95" s="168"/>
      <c r="SSG95" s="167"/>
      <c r="SSH95" s="168"/>
      <c r="SSI95" s="167"/>
      <c r="SSJ95" s="168"/>
      <c r="SSK95" s="167"/>
      <c r="SSL95" s="168"/>
      <c r="SSM95" s="167"/>
      <c r="SSN95" s="168"/>
      <c r="SSO95" s="167"/>
      <c r="SSP95" s="168"/>
      <c r="SSQ95" s="167"/>
      <c r="SSR95" s="168"/>
      <c r="SSS95" s="167"/>
      <c r="SST95" s="168"/>
      <c r="SSU95" s="167"/>
      <c r="SSV95" s="168"/>
      <c r="SSW95" s="167"/>
      <c r="SSX95" s="168"/>
      <c r="SSY95" s="167"/>
      <c r="SSZ95" s="168"/>
      <c r="STA95" s="167"/>
      <c r="STB95" s="168"/>
      <c r="STC95" s="167"/>
      <c r="STD95" s="168"/>
      <c r="STE95" s="167"/>
      <c r="STF95" s="168"/>
      <c r="STG95" s="167"/>
      <c r="STH95" s="168"/>
      <c r="STI95" s="167"/>
      <c r="STJ95" s="168"/>
      <c r="STK95" s="167"/>
      <c r="STL95" s="168"/>
      <c r="STM95" s="167"/>
      <c r="STN95" s="168"/>
      <c r="STO95" s="167"/>
      <c r="STP95" s="168"/>
      <c r="STQ95" s="167"/>
      <c r="STR95" s="168"/>
      <c r="STS95" s="167"/>
      <c r="STT95" s="168"/>
      <c r="STU95" s="167"/>
      <c r="STV95" s="168"/>
      <c r="STW95" s="167"/>
      <c r="STX95" s="168"/>
      <c r="STY95" s="167"/>
      <c r="STZ95" s="168"/>
      <c r="SUA95" s="167"/>
      <c r="SUB95" s="168"/>
      <c r="SUC95" s="167"/>
      <c r="SUD95" s="168"/>
      <c r="SUE95" s="167"/>
      <c r="SUF95" s="168"/>
      <c r="SUG95" s="167"/>
      <c r="SUH95" s="168"/>
      <c r="SUI95" s="167"/>
      <c r="SUJ95" s="168"/>
      <c r="SUK95" s="167"/>
      <c r="SUL95" s="168"/>
      <c r="SUM95" s="167"/>
      <c r="SUN95" s="168"/>
      <c r="SUO95" s="167"/>
      <c r="SUP95" s="168"/>
      <c r="SUQ95" s="167"/>
      <c r="SUR95" s="168"/>
      <c r="SUS95" s="167"/>
      <c r="SUT95" s="168"/>
      <c r="SUU95" s="167"/>
      <c r="SUV95" s="168"/>
      <c r="SUW95" s="167"/>
      <c r="SUX95" s="168"/>
      <c r="SUY95" s="167"/>
      <c r="SUZ95" s="168"/>
      <c r="SVA95" s="167"/>
      <c r="SVB95" s="168"/>
      <c r="SVC95" s="167"/>
      <c r="SVD95" s="168"/>
      <c r="SVE95" s="167"/>
      <c r="SVF95" s="168"/>
      <c r="SVG95" s="167"/>
      <c r="SVH95" s="168"/>
      <c r="SVI95" s="167"/>
      <c r="SVJ95" s="168"/>
      <c r="SVK95" s="167"/>
      <c r="SVL95" s="168"/>
      <c r="SVM95" s="167"/>
      <c r="SVN95" s="168"/>
      <c r="SVO95" s="167"/>
      <c r="SVP95" s="168"/>
      <c r="SVQ95" s="167"/>
      <c r="SVR95" s="168"/>
      <c r="SVS95" s="167"/>
      <c r="SVT95" s="168"/>
      <c r="SVU95" s="167"/>
      <c r="SVV95" s="168"/>
      <c r="SVW95" s="167"/>
      <c r="SVX95" s="168"/>
      <c r="SVY95" s="167"/>
      <c r="SVZ95" s="168"/>
      <c r="SWA95" s="167"/>
      <c r="SWB95" s="168"/>
      <c r="SWC95" s="167"/>
      <c r="SWD95" s="168"/>
      <c r="SWE95" s="167"/>
      <c r="SWF95" s="168"/>
      <c r="SWG95" s="167"/>
      <c r="SWH95" s="168"/>
      <c r="SWI95" s="167"/>
      <c r="SWJ95" s="168"/>
      <c r="SWK95" s="167"/>
      <c r="SWL95" s="168"/>
      <c r="SWM95" s="167"/>
      <c r="SWN95" s="168"/>
      <c r="SWO95" s="167"/>
      <c r="SWP95" s="168"/>
      <c r="SWQ95" s="167"/>
      <c r="SWR95" s="168"/>
      <c r="SWS95" s="167"/>
      <c r="SWT95" s="168"/>
      <c r="SWU95" s="167"/>
      <c r="SWV95" s="168"/>
      <c r="SWW95" s="167"/>
      <c r="SWX95" s="168"/>
      <c r="SWY95" s="167"/>
      <c r="SWZ95" s="168"/>
      <c r="SXA95" s="167"/>
      <c r="SXB95" s="168"/>
      <c r="SXC95" s="167"/>
      <c r="SXD95" s="168"/>
      <c r="SXE95" s="167"/>
      <c r="SXF95" s="168"/>
      <c r="SXG95" s="167"/>
      <c r="SXH95" s="168"/>
      <c r="SXI95" s="167"/>
      <c r="SXJ95" s="168"/>
      <c r="SXK95" s="167"/>
      <c r="SXL95" s="168"/>
      <c r="SXM95" s="167"/>
      <c r="SXN95" s="168"/>
      <c r="SXO95" s="167"/>
      <c r="SXP95" s="168"/>
      <c r="SXQ95" s="167"/>
      <c r="SXR95" s="168"/>
      <c r="SXS95" s="167"/>
      <c r="SXT95" s="168"/>
      <c r="SXU95" s="167"/>
      <c r="SXV95" s="168"/>
      <c r="SXW95" s="167"/>
      <c r="SXX95" s="168"/>
      <c r="SXY95" s="167"/>
      <c r="SXZ95" s="168"/>
      <c r="SYA95" s="167"/>
      <c r="SYB95" s="168"/>
      <c r="SYC95" s="167"/>
      <c r="SYD95" s="168"/>
      <c r="SYE95" s="167"/>
      <c r="SYF95" s="168"/>
      <c r="SYG95" s="167"/>
      <c r="SYH95" s="168"/>
      <c r="SYI95" s="167"/>
      <c r="SYJ95" s="168"/>
      <c r="SYK95" s="167"/>
      <c r="SYL95" s="168"/>
      <c r="SYM95" s="167"/>
      <c r="SYN95" s="168"/>
      <c r="SYO95" s="167"/>
      <c r="SYP95" s="168"/>
      <c r="SYQ95" s="167"/>
      <c r="SYR95" s="168"/>
      <c r="SYS95" s="167"/>
      <c r="SYT95" s="168"/>
      <c r="SYU95" s="167"/>
      <c r="SYV95" s="168"/>
      <c r="SYW95" s="167"/>
      <c r="SYX95" s="168"/>
      <c r="SYY95" s="167"/>
      <c r="SYZ95" s="168"/>
      <c r="SZA95" s="167"/>
      <c r="SZB95" s="168"/>
      <c r="SZC95" s="167"/>
      <c r="SZD95" s="168"/>
      <c r="SZE95" s="167"/>
      <c r="SZF95" s="168"/>
      <c r="SZG95" s="167"/>
      <c r="SZH95" s="168"/>
      <c r="SZI95" s="167"/>
      <c r="SZJ95" s="168"/>
      <c r="SZK95" s="167"/>
      <c r="SZL95" s="168"/>
      <c r="SZM95" s="167"/>
      <c r="SZN95" s="168"/>
      <c r="SZO95" s="167"/>
      <c r="SZP95" s="168"/>
      <c r="SZQ95" s="167"/>
      <c r="SZR95" s="168"/>
      <c r="SZS95" s="167"/>
      <c r="SZT95" s="168"/>
      <c r="SZU95" s="167"/>
      <c r="SZV95" s="168"/>
      <c r="SZW95" s="167"/>
      <c r="SZX95" s="168"/>
      <c r="SZY95" s="167"/>
      <c r="SZZ95" s="168"/>
      <c r="TAA95" s="167"/>
      <c r="TAB95" s="168"/>
      <c r="TAC95" s="167"/>
      <c r="TAD95" s="168"/>
      <c r="TAE95" s="167"/>
      <c r="TAF95" s="168"/>
      <c r="TAG95" s="167"/>
      <c r="TAH95" s="168"/>
      <c r="TAI95" s="167"/>
      <c r="TAJ95" s="168"/>
      <c r="TAK95" s="167"/>
      <c r="TAL95" s="168"/>
      <c r="TAM95" s="167"/>
      <c r="TAN95" s="168"/>
      <c r="TAO95" s="167"/>
      <c r="TAP95" s="168"/>
      <c r="TAQ95" s="167"/>
      <c r="TAR95" s="168"/>
      <c r="TAS95" s="167"/>
      <c r="TAT95" s="168"/>
      <c r="TAU95" s="167"/>
      <c r="TAV95" s="168"/>
      <c r="TAW95" s="167"/>
      <c r="TAX95" s="168"/>
      <c r="TAY95" s="167"/>
      <c r="TAZ95" s="168"/>
      <c r="TBA95" s="167"/>
      <c r="TBB95" s="168"/>
      <c r="TBC95" s="167"/>
      <c r="TBD95" s="168"/>
      <c r="TBE95" s="167"/>
      <c r="TBF95" s="168"/>
      <c r="TBG95" s="167"/>
      <c r="TBH95" s="168"/>
      <c r="TBI95" s="167"/>
      <c r="TBJ95" s="168"/>
      <c r="TBK95" s="167"/>
      <c r="TBL95" s="168"/>
      <c r="TBM95" s="167"/>
      <c r="TBN95" s="168"/>
      <c r="TBO95" s="167"/>
      <c r="TBP95" s="168"/>
      <c r="TBQ95" s="167"/>
      <c r="TBR95" s="168"/>
      <c r="TBS95" s="167"/>
      <c r="TBT95" s="168"/>
      <c r="TBU95" s="167"/>
      <c r="TBV95" s="168"/>
      <c r="TBW95" s="167"/>
      <c r="TBX95" s="168"/>
      <c r="TBY95" s="167"/>
      <c r="TBZ95" s="168"/>
      <c r="TCA95" s="167"/>
      <c r="TCB95" s="168"/>
      <c r="TCC95" s="167"/>
      <c r="TCD95" s="168"/>
      <c r="TCE95" s="167"/>
      <c r="TCF95" s="168"/>
      <c r="TCG95" s="167"/>
      <c r="TCH95" s="168"/>
      <c r="TCI95" s="167"/>
      <c r="TCJ95" s="168"/>
      <c r="TCK95" s="167"/>
      <c r="TCL95" s="168"/>
      <c r="TCM95" s="167"/>
      <c r="TCN95" s="168"/>
      <c r="TCO95" s="167"/>
      <c r="TCP95" s="168"/>
      <c r="TCQ95" s="167"/>
      <c r="TCR95" s="168"/>
      <c r="TCS95" s="167"/>
      <c r="TCT95" s="168"/>
      <c r="TCU95" s="167"/>
      <c r="TCV95" s="168"/>
      <c r="TCW95" s="167"/>
      <c r="TCX95" s="168"/>
      <c r="TCY95" s="167"/>
      <c r="TCZ95" s="168"/>
      <c r="TDA95" s="167"/>
      <c r="TDB95" s="168"/>
      <c r="TDC95" s="167"/>
      <c r="TDD95" s="168"/>
      <c r="TDE95" s="167"/>
      <c r="TDF95" s="168"/>
      <c r="TDG95" s="167"/>
      <c r="TDH95" s="168"/>
      <c r="TDI95" s="167"/>
      <c r="TDJ95" s="168"/>
      <c r="TDK95" s="167"/>
      <c r="TDL95" s="168"/>
      <c r="TDM95" s="167"/>
      <c r="TDN95" s="168"/>
      <c r="TDO95" s="167"/>
      <c r="TDP95" s="168"/>
      <c r="TDQ95" s="167"/>
      <c r="TDR95" s="168"/>
      <c r="TDS95" s="167"/>
      <c r="TDT95" s="168"/>
      <c r="TDU95" s="167"/>
      <c r="TDV95" s="168"/>
      <c r="TDW95" s="167"/>
      <c r="TDX95" s="168"/>
      <c r="TDY95" s="167"/>
      <c r="TDZ95" s="168"/>
      <c r="TEA95" s="167"/>
      <c r="TEB95" s="168"/>
      <c r="TEC95" s="167"/>
      <c r="TED95" s="168"/>
      <c r="TEE95" s="167"/>
      <c r="TEF95" s="168"/>
      <c r="TEG95" s="167"/>
      <c r="TEH95" s="168"/>
      <c r="TEI95" s="167"/>
      <c r="TEJ95" s="168"/>
      <c r="TEK95" s="167"/>
      <c r="TEL95" s="168"/>
      <c r="TEM95" s="167"/>
      <c r="TEN95" s="168"/>
      <c r="TEO95" s="167"/>
      <c r="TEP95" s="168"/>
      <c r="TEQ95" s="167"/>
      <c r="TER95" s="168"/>
      <c r="TES95" s="167"/>
      <c r="TET95" s="168"/>
      <c r="TEU95" s="167"/>
      <c r="TEV95" s="168"/>
      <c r="TEW95" s="167"/>
      <c r="TEX95" s="168"/>
      <c r="TEY95" s="167"/>
      <c r="TEZ95" s="168"/>
      <c r="TFA95" s="167"/>
      <c r="TFB95" s="168"/>
      <c r="TFC95" s="167"/>
      <c r="TFD95" s="168"/>
      <c r="TFE95" s="167"/>
      <c r="TFF95" s="168"/>
      <c r="TFG95" s="167"/>
      <c r="TFH95" s="168"/>
      <c r="TFI95" s="167"/>
      <c r="TFJ95" s="168"/>
      <c r="TFK95" s="167"/>
      <c r="TFL95" s="168"/>
      <c r="TFM95" s="167"/>
      <c r="TFN95" s="168"/>
      <c r="TFO95" s="167"/>
      <c r="TFP95" s="168"/>
      <c r="TFQ95" s="167"/>
      <c r="TFR95" s="168"/>
      <c r="TFS95" s="167"/>
      <c r="TFT95" s="168"/>
      <c r="TFU95" s="167"/>
      <c r="TFV95" s="168"/>
      <c r="TFW95" s="167"/>
      <c r="TFX95" s="168"/>
      <c r="TFY95" s="167"/>
      <c r="TFZ95" s="168"/>
      <c r="TGA95" s="167"/>
      <c r="TGB95" s="168"/>
      <c r="TGC95" s="167"/>
      <c r="TGD95" s="168"/>
      <c r="TGE95" s="167"/>
      <c r="TGF95" s="168"/>
      <c r="TGG95" s="167"/>
      <c r="TGH95" s="168"/>
      <c r="TGI95" s="167"/>
      <c r="TGJ95" s="168"/>
      <c r="TGK95" s="167"/>
      <c r="TGL95" s="168"/>
      <c r="TGM95" s="167"/>
      <c r="TGN95" s="168"/>
      <c r="TGO95" s="167"/>
      <c r="TGP95" s="168"/>
      <c r="TGQ95" s="167"/>
      <c r="TGR95" s="168"/>
      <c r="TGS95" s="167"/>
      <c r="TGT95" s="168"/>
      <c r="TGU95" s="167"/>
      <c r="TGV95" s="168"/>
      <c r="TGW95" s="167"/>
      <c r="TGX95" s="168"/>
      <c r="TGY95" s="167"/>
      <c r="TGZ95" s="168"/>
      <c r="THA95" s="167"/>
      <c r="THB95" s="168"/>
      <c r="THC95" s="167"/>
      <c r="THD95" s="168"/>
      <c r="THE95" s="167"/>
      <c r="THF95" s="168"/>
      <c r="THG95" s="167"/>
      <c r="THH95" s="168"/>
      <c r="THI95" s="167"/>
      <c r="THJ95" s="168"/>
      <c r="THK95" s="167"/>
      <c r="THL95" s="168"/>
      <c r="THM95" s="167"/>
      <c r="THN95" s="168"/>
      <c r="THO95" s="167"/>
      <c r="THP95" s="168"/>
      <c r="THQ95" s="167"/>
      <c r="THR95" s="168"/>
      <c r="THS95" s="167"/>
      <c r="THT95" s="168"/>
      <c r="THU95" s="167"/>
      <c r="THV95" s="168"/>
      <c r="THW95" s="167"/>
      <c r="THX95" s="168"/>
      <c r="THY95" s="167"/>
      <c r="THZ95" s="168"/>
      <c r="TIA95" s="167"/>
      <c r="TIB95" s="168"/>
      <c r="TIC95" s="167"/>
      <c r="TID95" s="168"/>
      <c r="TIE95" s="167"/>
      <c r="TIF95" s="168"/>
      <c r="TIG95" s="167"/>
      <c r="TIH95" s="168"/>
      <c r="TII95" s="167"/>
      <c r="TIJ95" s="168"/>
      <c r="TIK95" s="167"/>
      <c r="TIL95" s="168"/>
      <c r="TIM95" s="167"/>
      <c r="TIN95" s="168"/>
      <c r="TIO95" s="167"/>
      <c r="TIP95" s="168"/>
      <c r="TIQ95" s="167"/>
      <c r="TIR95" s="168"/>
      <c r="TIS95" s="167"/>
      <c r="TIT95" s="168"/>
      <c r="TIU95" s="167"/>
      <c r="TIV95" s="168"/>
      <c r="TIW95" s="167"/>
      <c r="TIX95" s="168"/>
      <c r="TIY95" s="167"/>
      <c r="TIZ95" s="168"/>
      <c r="TJA95" s="167"/>
      <c r="TJB95" s="168"/>
      <c r="TJC95" s="167"/>
      <c r="TJD95" s="168"/>
      <c r="TJE95" s="167"/>
      <c r="TJF95" s="168"/>
      <c r="TJG95" s="167"/>
      <c r="TJH95" s="168"/>
      <c r="TJI95" s="167"/>
      <c r="TJJ95" s="168"/>
      <c r="TJK95" s="167"/>
      <c r="TJL95" s="168"/>
      <c r="TJM95" s="167"/>
      <c r="TJN95" s="168"/>
      <c r="TJO95" s="167"/>
      <c r="TJP95" s="168"/>
      <c r="TJQ95" s="167"/>
      <c r="TJR95" s="168"/>
      <c r="TJS95" s="167"/>
      <c r="TJT95" s="168"/>
      <c r="TJU95" s="167"/>
      <c r="TJV95" s="168"/>
      <c r="TJW95" s="167"/>
      <c r="TJX95" s="168"/>
      <c r="TJY95" s="167"/>
      <c r="TJZ95" s="168"/>
      <c r="TKA95" s="167"/>
      <c r="TKB95" s="168"/>
      <c r="TKC95" s="167"/>
      <c r="TKD95" s="168"/>
      <c r="TKE95" s="167"/>
      <c r="TKF95" s="168"/>
      <c r="TKG95" s="167"/>
      <c r="TKH95" s="168"/>
      <c r="TKI95" s="167"/>
      <c r="TKJ95" s="168"/>
      <c r="TKK95" s="167"/>
      <c r="TKL95" s="168"/>
      <c r="TKM95" s="167"/>
      <c r="TKN95" s="168"/>
      <c r="TKO95" s="167"/>
      <c r="TKP95" s="168"/>
      <c r="TKQ95" s="167"/>
      <c r="TKR95" s="168"/>
      <c r="TKS95" s="167"/>
      <c r="TKT95" s="168"/>
      <c r="TKU95" s="167"/>
      <c r="TKV95" s="168"/>
      <c r="TKW95" s="167"/>
      <c r="TKX95" s="168"/>
      <c r="TKY95" s="167"/>
      <c r="TKZ95" s="168"/>
      <c r="TLA95" s="167"/>
      <c r="TLB95" s="168"/>
      <c r="TLC95" s="167"/>
      <c r="TLD95" s="168"/>
      <c r="TLE95" s="167"/>
      <c r="TLF95" s="168"/>
      <c r="TLG95" s="167"/>
      <c r="TLH95" s="168"/>
      <c r="TLI95" s="167"/>
      <c r="TLJ95" s="168"/>
      <c r="TLK95" s="167"/>
      <c r="TLL95" s="168"/>
      <c r="TLM95" s="167"/>
      <c r="TLN95" s="168"/>
      <c r="TLO95" s="167"/>
      <c r="TLP95" s="168"/>
      <c r="TLQ95" s="167"/>
      <c r="TLR95" s="168"/>
      <c r="TLS95" s="167"/>
      <c r="TLT95" s="168"/>
      <c r="TLU95" s="167"/>
      <c r="TLV95" s="168"/>
      <c r="TLW95" s="167"/>
      <c r="TLX95" s="168"/>
      <c r="TLY95" s="167"/>
      <c r="TLZ95" s="168"/>
      <c r="TMA95" s="167"/>
      <c r="TMB95" s="168"/>
      <c r="TMC95" s="167"/>
      <c r="TMD95" s="168"/>
      <c r="TME95" s="167"/>
      <c r="TMF95" s="168"/>
      <c r="TMG95" s="167"/>
      <c r="TMH95" s="168"/>
      <c r="TMI95" s="167"/>
      <c r="TMJ95" s="168"/>
      <c r="TMK95" s="167"/>
      <c r="TML95" s="168"/>
      <c r="TMM95" s="167"/>
      <c r="TMN95" s="168"/>
      <c r="TMO95" s="167"/>
      <c r="TMP95" s="168"/>
      <c r="TMQ95" s="167"/>
      <c r="TMR95" s="168"/>
      <c r="TMS95" s="167"/>
      <c r="TMT95" s="168"/>
      <c r="TMU95" s="167"/>
      <c r="TMV95" s="168"/>
      <c r="TMW95" s="167"/>
      <c r="TMX95" s="168"/>
      <c r="TMY95" s="167"/>
      <c r="TMZ95" s="168"/>
      <c r="TNA95" s="167"/>
      <c r="TNB95" s="168"/>
      <c r="TNC95" s="167"/>
      <c r="TND95" s="168"/>
      <c r="TNE95" s="167"/>
      <c r="TNF95" s="168"/>
      <c r="TNG95" s="167"/>
      <c r="TNH95" s="168"/>
      <c r="TNI95" s="167"/>
      <c r="TNJ95" s="168"/>
      <c r="TNK95" s="167"/>
      <c r="TNL95" s="168"/>
      <c r="TNM95" s="167"/>
      <c r="TNN95" s="168"/>
      <c r="TNO95" s="167"/>
      <c r="TNP95" s="168"/>
      <c r="TNQ95" s="167"/>
      <c r="TNR95" s="168"/>
      <c r="TNS95" s="167"/>
      <c r="TNT95" s="168"/>
      <c r="TNU95" s="167"/>
      <c r="TNV95" s="168"/>
      <c r="TNW95" s="167"/>
      <c r="TNX95" s="168"/>
      <c r="TNY95" s="167"/>
      <c r="TNZ95" s="168"/>
      <c r="TOA95" s="167"/>
      <c r="TOB95" s="168"/>
      <c r="TOC95" s="167"/>
      <c r="TOD95" s="168"/>
      <c r="TOE95" s="167"/>
      <c r="TOF95" s="168"/>
      <c r="TOG95" s="167"/>
      <c r="TOH95" s="168"/>
      <c r="TOI95" s="167"/>
      <c r="TOJ95" s="168"/>
      <c r="TOK95" s="167"/>
      <c r="TOL95" s="168"/>
      <c r="TOM95" s="167"/>
      <c r="TON95" s="168"/>
      <c r="TOO95" s="167"/>
      <c r="TOP95" s="168"/>
      <c r="TOQ95" s="167"/>
      <c r="TOR95" s="168"/>
      <c r="TOS95" s="167"/>
      <c r="TOT95" s="168"/>
      <c r="TOU95" s="167"/>
      <c r="TOV95" s="168"/>
      <c r="TOW95" s="167"/>
      <c r="TOX95" s="168"/>
      <c r="TOY95" s="167"/>
      <c r="TOZ95" s="168"/>
      <c r="TPA95" s="167"/>
      <c r="TPB95" s="168"/>
      <c r="TPC95" s="167"/>
      <c r="TPD95" s="168"/>
      <c r="TPE95" s="167"/>
      <c r="TPF95" s="168"/>
      <c r="TPG95" s="167"/>
      <c r="TPH95" s="168"/>
      <c r="TPI95" s="167"/>
      <c r="TPJ95" s="168"/>
      <c r="TPK95" s="167"/>
      <c r="TPL95" s="168"/>
      <c r="TPM95" s="167"/>
      <c r="TPN95" s="168"/>
      <c r="TPO95" s="167"/>
      <c r="TPP95" s="168"/>
      <c r="TPQ95" s="167"/>
      <c r="TPR95" s="168"/>
      <c r="TPS95" s="167"/>
      <c r="TPT95" s="168"/>
      <c r="TPU95" s="167"/>
      <c r="TPV95" s="168"/>
      <c r="TPW95" s="167"/>
      <c r="TPX95" s="168"/>
      <c r="TPY95" s="167"/>
      <c r="TPZ95" s="168"/>
      <c r="TQA95" s="167"/>
      <c r="TQB95" s="168"/>
      <c r="TQC95" s="167"/>
      <c r="TQD95" s="168"/>
      <c r="TQE95" s="167"/>
      <c r="TQF95" s="168"/>
      <c r="TQG95" s="167"/>
      <c r="TQH95" s="168"/>
      <c r="TQI95" s="167"/>
      <c r="TQJ95" s="168"/>
      <c r="TQK95" s="167"/>
      <c r="TQL95" s="168"/>
      <c r="TQM95" s="167"/>
      <c r="TQN95" s="168"/>
      <c r="TQO95" s="167"/>
      <c r="TQP95" s="168"/>
      <c r="TQQ95" s="167"/>
      <c r="TQR95" s="168"/>
      <c r="TQS95" s="167"/>
      <c r="TQT95" s="168"/>
      <c r="TQU95" s="167"/>
      <c r="TQV95" s="168"/>
      <c r="TQW95" s="167"/>
      <c r="TQX95" s="168"/>
      <c r="TQY95" s="167"/>
      <c r="TQZ95" s="168"/>
      <c r="TRA95" s="167"/>
      <c r="TRB95" s="168"/>
      <c r="TRC95" s="167"/>
      <c r="TRD95" s="168"/>
      <c r="TRE95" s="167"/>
      <c r="TRF95" s="168"/>
      <c r="TRG95" s="167"/>
      <c r="TRH95" s="168"/>
      <c r="TRI95" s="167"/>
      <c r="TRJ95" s="168"/>
      <c r="TRK95" s="167"/>
      <c r="TRL95" s="168"/>
      <c r="TRM95" s="167"/>
      <c r="TRN95" s="168"/>
      <c r="TRO95" s="167"/>
      <c r="TRP95" s="168"/>
      <c r="TRQ95" s="167"/>
      <c r="TRR95" s="168"/>
      <c r="TRS95" s="167"/>
      <c r="TRT95" s="168"/>
      <c r="TRU95" s="167"/>
      <c r="TRV95" s="168"/>
      <c r="TRW95" s="167"/>
      <c r="TRX95" s="168"/>
      <c r="TRY95" s="167"/>
      <c r="TRZ95" s="168"/>
      <c r="TSA95" s="167"/>
      <c r="TSB95" s="168"/>
      <c r="TSC95" s="167"/>
      <c r="TSD95" s="168"/>
      <c r="TSE95" s="167"/>
      <c r="TSF95" s="168"/>
      <c r="TSG95" s="167"/>
      <c r="TSH95" s="168"/>
      <c r="TSI95" s="167"/>
      <c r="TSJ95" s="168"/>
      <c r="TSK95" s="167"/>
      <c r="TSL95" s="168"/>
      <c r="TSM95" s="167"/>
      <c r="TSN95" s="168"/>
      <c r="TSO95" s="167"/>
      <c r="TSP95" s="168"/>
      <c r="TSQ95" s="167"/>
      <c r="TSR95" s="168"/>
      <c r="TSS95" s="167"/>
      <c r="TST95" s="168"/>
      <c r="TSU95" s="167"/>
      <c r="TSV95" s="168"/>
      <c r="TSW95" s="167"/>
      <c r="TSX95" s="168"/>
      <c r="TSY95" s="167"/>
      <c r="TSZ95" s="168"/>
      <c r="TTA95" s="167"/>
      <c r="TTB95" s="168"/>
      <c r="TTC95" s="167"/>
      <c r="TTD95" s="168"/>
      <c r="TTE95" s="167"/>
      <c r="TTF95" s="168"/>
      <c r="TTG95" s="167"/>
      <c r="TTH95" s="168"/>
      <c r="TTI95" s="167"/>
      <c r="TTJ95" s="168"/>
      <c r="TTK95" s="167"/>
      <c r="TTL95" s="168"/>
      <c r="TTM95" s="167"/>
      <c r="TTN95" s="168"/>
      <c r="TTO95" s="167"/>
      <c r="TTP95" s="168"/>
      <c r="TTQ95" s="167"/>
      <c r="TTR95" s="168"/>
      <c r="TTS95" s="167"/>
      <c r="TTT95" s="168"/>
      <c r="TTU95" s="167"/>
      <c r="TTV95" s="168"/>
      <c r="TTW95" s="167"/>
      <c r="TTX95" s="168"/>
      <c r="TTY95" s="167"/>
      <c r="TTZ95" s="168"/>
      <c r="TUA95" s="167"/>
      <c r="TUB95" s="168"/>
      <c r="TUC95" s="167"/>
      <c r="TUD95" s="168"/>
      <c r="TUE95" s="167"/>
      <c r="TUF95" s="168"/>
      <c r="TUG95" s="167"/>
      <c r="TUH95" s="168"/>
      <c r="TUI95" s="167"/>
      <c r="TUJ95" s="168"/>
      <c r="TUK95" s="167"/>
      <c r="TUL95" s="168"/>
      <c r="TUM95" s="167"/>
      <c r="TUN95" s="168"/>
      <c r="TUO95" s="167"/>
      <c r="TUP95" s="168"/>
      <c r="TUQ95" s="167"/>
      <c r="TUR95" s="168"/>
      <c r="TUS95" s="167"/>
      <c r="TUT95" s="168"/>
      <c r="TUU95" s="167"/>
      <c r="TUV95" s="168"/>
      <c r="TUW95" s="167"/>
      <c r="TUX95" s="168"/>
      <c r="TUY95" s="167"/>
      <c r="TUZ95" s="168"/>
      <c r="TVA95" s="167"/>
      <c r="TVB95" s="168"/>
      <c r="TVC95" s="167"/>
      <c r="TVD95" s="168"/>
      <c r="TVE95" s="167"/>
      <c r="TVF95" s="168"/>
      <c r="TVG95" s="167"/>
      <c r="TVH95" s="168"/>
      <c r="TVI95" s="167"/>
      <c r="TVJ95" s="168"/>
      <c r="TVK95" s="167"/>
      <c r="TVL95" s="168"/>
      <c r="TVM95" s="167"/>
      <c r="TVN95" s="168"/>
      <c r="TVO95" s="167"/>
      <c r="TVP95" s="168"/>
      <c r="TVQ95" s="167"/>
      <c r="TVR95" s="168"/>
      <c r="TVS95" s="167"/>
      <c r="TVT95" s="168"/>
      <c r="TVU95" s="167"/>
      <c r="TVV95" s="168"/>
      <c r="TVW95" s="167"/>
      <c r="TVX95" s="168"/>
      <c r="TVY95" s="167"/>
      <c r="TVZ95" s="168"/>
      <c r="TWA95" s="167"/>
      <c r="TWB95" s="168"/>
      <c r="TWC95" s="167"/>
      <c r="TWD95" s="168"/>
      <c r="TWE95" s="167"/>
      <c r="TWF95" s="168"/>
      <c r="TWG95" s="167"/>
      <c r="TWH95" s="168"/>
      <c r="TWI95" s="167"/>
      <c r="TWJ95" s="168"/>
      <c r="TWK95" s="167"/>
      <c r="TWL95" s="168"/>
      <c r="TWM95" s="167"/>
      <c r="TWN95" s="168"/>
      <c r="TWO95" s="167"/>
      <c r="TWP95" s="168"/>
      <c r="TWQ95" s="167"/>
      <c r="TWR95" s="168"/>
      <c r="TWS95" s="167"/>
      <c r="TWT95" s="168"/>
      <c r="TWU95" s="167"/>
      <c r="TWV95" s="168"/>
      <c r="TWW95" s="167"/>
      <c r="TWX95" s="168"/>
      <c r="TWY95" s="167"/>
      <c r="TWZ95" s="168"/>
      <c r="TXA95" s="167"/>
      <c r="TXB95" s="168"/>
      <c r="TXC95" s="167"/>
      <c r="TXD95" s="168"/>
      <c r="TXE95" s="167"/>
      <c r="TXF95" s="168"/>
      <c r="TXG95" s="167"/>
      <c r="TXH95" s="168"/>
      <c r="TXI95" s="167"/>
      <c r="TXJ95" s="168"/>
      <c r="TXK95" s="167"/>
      <c r="TXL95" s="168"/>
      <c r="TXM95" s="167"/>
      <c r="TXN95" s="168"/>
      <c r="TXO95" s="167"/>
      <c r="TXP95" s="168"/>
      <c r="TXQ95" s="167"/>
      <c r="TXR95" s="168"/>
      <c r="TXS95" s="167"/>
      <c r="TXT95" s="168"/>
      <c r="TXU95" s="167"/>
      <c r="TXV95" s="168"/>
      <c r="TXW95" s="167"/>
      <c r="TXX95" s="168"/>
      <c r="TXY95" s="167"/>
      <c r="TXZ95" s="168"/>
      <c r="TYA95" s="167"/>
      <c r="TYB95" s="168"/>
      <c r="TYC95" s="167"/>
      <c r="TYD95" s="168"/>
      <c r="TYE95" s="167"/>
      <c r="TYF95" s="168"/>
      <c r="TYG95" s="167"/>
      <c r="TYH95" s="168"/>
      <c r="TYI95" s="167"/>
      <c r="TYJ95" s="168"/>
      <c r="TYK95" s="167"/>
      <c r="TYL95" s="168"/>
      <c r="TYM95" s="167"/>
      <c r="TYN95" s="168"/>
      <c r="TYO95" s="167"/>
      <c r="TYP95" s="168"/>
      <c r="TYQ95" s="167"/>
      <c r="TYR95" s="168"/>
      <c r="TYS95" s="167"/>
      <c r="TYT95" s="168"/>
      <c r="TYU95" s="167"/>
      <c r="TYV95" s="168"/>
      <c r="TYW95" s="167"/>
      <c r="TYX95" s="168"/>
      <c r="TYY95" s="167"/>
      <c r="TYZ95" s="168"/>
      <c r="TZA95" s="167"/>
      <c r="TZB95" s="168"/>
      <c r="TZC95" s="167"/>
      <c r="TZD95" s="168"/>
      <c r="TZE95" s="167"/>
      <c r="TZF95" s="168"/>
      <c r="TZG95" s="167"/>
      <c r="TZH95" s="168"/>
      <c r="TZI95" s="167"/>
      <c r="TZJ95" s="168"/>
      <c r="TZK95" s="167"/>
      <c r="TZL95" s="168"/>
      <c r="TZM95" s="167"/>
      <c r="TZN95" s="168"/>
      <c r="TZO95" s="167"/>
      <c r="TZP95" s="168"/>
      <c r="TZQ95" s="167"/>
      <c r="TZR95" s="168"/>
      <c r="TZS95" s="167"/>
      <c r="TZT95" s="168"/>
      <c r="TZU95" s="167"/>
      <c r="TZV95" s="168"/>
      <c r="TZW95" s="167"/>
      <c r="TZX95" s="168"/>
      <c r="TZY95" s="167"/>
      <c r="TZZ95" s="168"/>
      <c r="UAA95" s="167"/>
      <c r="UAB95" s="168"/>
      <c r="UAC95" s="167"/>
      <c r="UAD95" s="168"/>
      <c r="UAE95" s="167"/>
      <c r="UAF95" s="168"/>
      <c r="UAG95" s="167"/>
      <c r="UAH95" s="168"/>
      <c r="UAI95" s="167"/>
      <c r="UAJ95" s="168"/>
      <c r="UAK95" s="167"/>
      <c r="UAL95" s="168"/>
      <c r="UAM95" s="167"/>
      <c r="UAN95" s="168"/>
      <c r="UAO95" s="167"/>
      <c r="UAP95" s="168"/>
      <c r="UAQ95" s="167"/>
      <c r="UAR95" s="168"/>
      <c r="UAS95" s="167"/>
      <c r="UAT95" s="168"/>
      <c r="UAU95" s="167"/>
      <c r="UAV95" s="168"/>
      <c r="UAW95" s="167"/>
      <c r="UAX95" s="168"/>
      <c r="UAY95" s="167"/>
      <c r="UAZ95" s="168"/>
      <c r="UBA95" s="167"/>
      <c r="UBB95" s="168"/>
      <c r="UBC95" s="167"/>
      <c r="UBD95" s="168"/>
      <c r="UBE95" s="167"/>
      <c r="UBF95" s="168"/>
      <c r="UBG95" s="167"/>
      <c r="UBH95" s="168"/>
      <c r="UBI95" s="167"/>
      <c r="UBJ95" s="168"/>
      <c r="UBK95" s="167"/>
      <c r="UBL95" s="168"/>
      <c r="UBM95" s="167"/>
      <c r="UBN95" s="168"/>
      <c r="UBO95" s="167"/>
      <c r="UBP95" s="168"/>
      <c r="UBQ95" s="167"/>
      <c r="UBR95" s="168"/>
      <c r="UBS95" s="167"/>
      <c r="UBT95" s="168"/>
      <c r="UBU95" s="167"/>
      <c r="UBV95" s="168"/>
      <c r="UBW95" s="167"/>
      <c r="UBX95" s="168"/>
      <c r="UBY95" s="167"/>
      <c r="UBZ95" s="168"/>
      <c r="UCA95" s="167"/>
      <c r="UCB95" s="168"/>
      <c r="UCC95" s="167"/>
      <c r="UCD95" s="168"/>
      <c r="UCE95" s="167"/>
      <c r="UCF95" s="168"/>
      <c r="UCG95" s="167"/>
      <c r="UCH95" s="168"/>
      <c r="UCI95" s="167"/>
      <c r="UCJ95" s="168"/>
      <c r="UCK95" s="167"/>
      <c r="UCL95" s="168"/>
      <c r="UCM95" s="167"/>
      <c r="UCN95" s="168"/>
      <c r="UCO95" s="167"/>
      <c r="UCP95" s="168"/>
      <c r="UCQ95" s="167"/>
      <c r="UCR95" s="168"/>
      <c r="UCS95" s="167"/>
      <c r="UCT95" s="168"/>
      <c r="UCU95" s="167"/>
      <c r="UCV95" s="168"/>
      <c r="UCW95" s="167"/>
      <c r="UCX95" s="168"/>
      <c r="UCY95" s="167"/>
      <c r="UCZ95" s="168"/>
      <c r="UDA95" s="167"/>
      <c r="UDB95" s="168"/>
      <c r="UDC95" s="167"/>
      <c r="UDD95" s="168"/>
      <c r="UDE95" s="167"/>
      <c r="UDF95" s="168"/>
      <c r="UDG95" s="167"/>
      <c r="UDH95" s="168"/>
      <c r="UDI95" s="167"/>
      <c r="UDJ95" s="168"/>
      <c r="UDK95" s="167"/>
      <c r="UDL95" s="168"/>
      <c r="UDM95" s="167"/>
      <c r="UDN95" s="168"/>
      <c r="UDO95" s="167"/>
      <c r="UDP95" s="168"/>
      <c r="UDQ95" s="167"/>
      <c r="UDR95" s="168"/>
      <c r="UDS95" s="167"/>
      <c r="UDT95" s="168"/>
      <c r="UDU95" s="167"/>
      <c r="UDV95" s="168"/>
      <c r="UDW95" s="167"/>
      <c r="UDX95" s="168"/>
      <c r="UDY95" s="167"/>
      <c r="UDZ95" s="168"/>
      <c r="UEA95" s="167"/>
      <c r="UEB95" s="168"/>
      <c r="UEC95" s="167"/>
      <c r="UED95" s="168"/>
      <c r="UEE95" s="167"/>
      <c r="UEF95" s="168"/>
      <c r="UEG95" s="167"/>
      <c r="UEH95" s="168"/>
      <c r="UEI95" s="167"/>
      <c r="UEJ95" s="168"/>
      <c r="UEK95" s="167"/>
      <c r="UEL95" s="168"/>
      <c r="UEM95" s="167"/>
      <c r="UEN95" s="168"/>
      <c r="UEO95" s="167"/>
      <c r="UEP95" s="168"/>
      <c r="UEQ95" s="167"/>
      <c r="UER95" s="168"/>
      <c r="UES95" s="167"/>
      <c r="UET95" s="168"/>
      <c r="UEU95" s="167"/>
      <c r="UEV95" s="168"/>
      <c r="UEW95" s="167"/>
      <c r="UEX95" s="168"/>
      <c r="UEY95" s="167"/>
      <c r="UEZ95" s="168"/>
      <c r="UFA95" s="167"/>
      <c r="UFB95" s="168"/>
      <c r="UFC95" s="167"/>
      <c r="UFD95" s="168"/>
      <c r="UFE95" s="167"/>
      <c r="UFF95" s="168"/>
      <c r="UFG95" s="167"/>
      <c r="UFH95" s="168"/>
      <c r="UFI95" s="167"/>
      <c r="UFJ95" s="168"/>
      <c r="UFK95" s="167"/>
      <c r="UFL95" s="168"/>
      <c r="UFM95" s="167"/>
      <c r="UFN95" s="168"/>
      <c r="UFO95" s="167"/>
      <c r="UFP95" s="168"/>
      <c r="UFQ95" s="167"/>
      <c r="UFR95" s="168"/>
      <c r="UFS95" s="167"/>
      <c r="UFT95" s="168"/>
      <c r="UFU95" s="167"/>
      <c r="UFV95" s="168"/>
      <c r="UFW95" s="167"/>
      <c r="UFX95" s="168"/>
      <c r="UFY95" s="167"/>
      <c r="UFZ95" s="168"/>
      <c r="UGA95" s="167"/>
      <c r="UGB95" s="168"/>
      <c r="UGC95" s="167"/>
      <c r="UGD95" s="168"/>
      <c r="UGE95" s="167"/>
      <c r="UGF95" s="168"/>
      <c r="UGG95" s="167"/>
      <c r="UGH95" s="168"/>
      <c r="UGI95" s="167"/>
      <c r="UGJ95" s="168"/>
      <c r="UGK95" s="167"/>
      <c r="UGL95" s="168"/>
      <c r="UGM95" s="167"/>
      <c r="UGN95" s="168"/>
      <c r="UGO95" s="167"/>
      <c r="UGP95" s="168"/>
      <c r="UGQ95" s="167"/>
      <c r="UGR95" s="168"/>
      <c r="UGS95" s="167"/>
      <c r="UGT95" s="168"/>
      <c r="UGU95" s="167"/>
      <c r="UGV95" s="168"/>
      <c r="UGW95" s="167"/>
      <c r="UGX95" s="168"/>
      <c r="UGY95" s="167"/>
      <c r="UGZ95" s="168"/>
      <c r="UHA95" s="167"/>
      <c r="UHB95" s="168"/>
      <c r="UHC95" s="167"/>
      <c r="UHD95" s="168"/>
      <c r="UHE95" s="167"/>
      <c r="UHF95" s="168"/>
      <c r="UHG95" s="167"/>
      <c r="UHH95" s="168"/>
      <c r="UHI95" s="167"/>
      <c r="UHJ95" s="168"/>
      <c r="UHK95" s="167"/>
      <c r="UHL95" s="168"/>
      <c r="UHM95" s="167"/>
      <c r="UHN95" s="168"/>
      <c r="UHO95" s="167"/>
      <c r="UHP95" s="168"/>
      <c r="UHQ95" s="167"/>
      <c r="UHR95" s="168"/>
      <c r="UHS95" s="167"/>
      <c r="UHT95" s="168"/>
      <c r="UHU95" s="167"/>
      <c r="UHV95" s="168"/>
      <c r="UHW95" s="167"/>
      <c r="UHX95" s="168"/>
      <c r="UHY95" s="167"/>
      <c r="UHZ95" s="168"/>
      <c r="UIA95" s="167"/>
      <c r="UIB95" s="168"/>
      <c r="UIC95" s="167"/>
      <c r="UID95" s="168"/>
      <c r="UIE95" s="167"/>
      <c r="UIF95" s="168"/>
      <c r="UIG95" s="167"/>
      <c r="UIH95" s="168"/>
      <c r="UII95" s="167"/>
      <c r="UIJ95" s="168"/>
      <c r="UIK95" s="167"/>
      <c r="UIL95" s="168"/>
      <c r="UIM95" s="167"/>
      <c r="UIN95" s="168"/>
      <c r="UIO95" s="167"/>
      <c r="UIP95" s="168"/>
      <c r="UIQ95" s="167"/>
      <c r="UIR95" s="168"/>
      <c r="UIS95" s="167"/>
      <c r="UIT95" s="168"/>
      <c r="UIU95" s="167"/>
      <c r="UIV95" s="168"/>
      <c r="UIW95" s="167"/>
      <c r="UIX95" s="168"/>
      <c r="UIY95" s="167"/>
      <c r="UIZ95" s="168"/>
      <c r="UJA95" s="167"/>
      <c r="UJB95" s="168"/>
      <c r="UJC95" s="167"/>
      <c r="UJD95" s="168"/>
      <c r="UJE95" s="167"/>
      <c r="UJF95" s="168"/>
      <c r="UJG95" s="167"/>
      <c r="UJH95" s="168"/>
      <c r="UJI95" s="167"/>
      <c r="UJJ95" s="168"/>
      <c r="UJK95" s="167"/>
      <c r="UJL95" s="168"/>
      <c r="UJM95" s="167"/>
      <c r="UJN95" s="168"/>
      <c r="UJO95" s="167"/>
      <c r="UJP95" s="168"/>
      <c r="UJQ95" s="167"/>
      <c r="UJR95" s="168"/>
      <c r="UJS95" s="167"/>
      <c r="UJT95" s="168"/>
      <c r="UJU95" s="167"/>
      <c r="UJV95" s="168"/>
      <c r="UJW95" s="167"/>
      <c r="UJX95" s="168"/>
      <c r="UJY95" s="167"/>
      <c r="UJZ95" s="168"/>
      <c r="UKA95" s="167"/>
      <c r="UKB95" s="168"/>
      <c r="UKC95" s="167"/>
      <c r="UKD95" s="168"/>
      <c r="UKE95" s="167"/>
      <c r="UKF95" s="168"/>
      <c r="UKG95" s="167"/>
      <c r="UKH95" s="168"/>
      <c r="UKI95" s="167"/>
      <c r="UKJ95" s="168"/>
      <c r="UKK95" s="167"/>
      <c r="UKL95" s="168"/>
      <c r="UKM95" s="167"/>
      <c r="UKN95" s="168"/>
      <c r="UKO95" s="167"/>
      <c r="UKP95" s="168"/>
      <c r="UKQ95" s="167"/>
      <c r="UKR95" s="168"/>
      <c r="UKS95" s="167"/>
      <c r="UKT95" s="168"/>
      <c r="UKU95" s="167"/>
      <c r="UKV95" s="168"/>
      <c r="UKW95" s="167"/>
      <c r="UKX95" s="168"/>
      <c r="UKY95" s="167"/>
      <c r="UKZ95" s="168"/>
      <c r="ULA95" s="167"/>
      <c r="ULB95" s="168"/>
      <c r="ULC95" s="167"/>
      <c r="ULD95" s="168"/>
      <c r="ULE95" s="167"/>
      <c r="ULF95" s="168"/>
      <c r="ULG95" s="167"/>
      <c r="ULH95" s="168"/>
      <c r="ULI95" s="167"/>
      <c r="ULJ95" s="168"/>
      <c r="ULK95" s="167"/>
      <c r="ULL95" s="168"/>
      <c r="ULM95" s="167"/>
      <c r="ULN95" s="168"/>
      <c r="ULO95" s="167"/>
      <c r="ULP95" s="168"/>
      <c r="ULQ95" s="167"/>
      <c r="ULR95" s="168"/>
      <c r="ULS95" s="167"/>
      <c r="ULT95" s="168"/>
      <c r="ULU95" s="167"/>
      <c r="ULV95" s="168"/>
      <c r="ULW95" s="167"/>
      <c r="ULX95" s="168"/>
      <c r="ULY95" s="167"/>
      <c r="ULZ95" s="168"/>
      <c r="UMA95" s="167"/>
      <c r="UMB95" s="168"/>
      <c r="UMC95" s="167"/>
      <c r="UMD95" s="168"/>
      <c r="UME95" s="167"/>
      <c r="UMF95" s="168"/>
      <c r="UMG95" s="167"/>
      <c r="UMH95" s="168"/>
      <c r="UMI95" s="167"/>
      <c r="UMJ95" s="168"/>
      <c r="UMK95" s="167"/>
      <c r="UML95" s="168"/>
      <c r="UMM95" s="167"/>
      <c r="UMN95" s="168"/>
      <c r="UMO95" s="167"/>
      <c r="UMP95" s="168"/>
      <c r="UMQ95" s="167"/>
      <c r="UMR95" s="168"/>
      <c r="UMS95" s="167"/>
      <c r="UMT95" s="168"/>
      <c r="UMU95" s="167"/>
      <c r="UMV95" s="168"/>
      <c r="UMW95" s="167"/>
      <c r="UMX95" s="168"/>
      <c r="UMY95" s="167"/>
      <c r="UMZ95" s="168"/>
      <c r="UNA95" s="167"/>
      <c r="UNB95" s="168"/>
      <c r="UNC95" s="167"/>
      <c r="UND95" s="168"/>
      <c r="UNE95" s="167"/>
      <c r="UNF95" s="168"/>
      <c r="UNG95" s="167"/>
      <c r="UNH95" s="168"/>
      <c r="UNI95" s="167"/>
      <c r="UNJ95" s="168"/>
      <c r="UNK95" s="167"/>
      <c r="UNL95" s="168"/>
      <c r="UNM95" s="167"/>
      <c r="UNN95" s="168"/>
      <c r="UNO95" s="167"/>
      <c r="UNP95" s="168"/>
      <c r="UNQ95" s="167"/>
      <c r="UNR95" s="168"/>
      <c r="UNS95" s="167"/>
      <c r="UNT95" s="168"/>
      <c r="UNU95" s="167"/>
      <c r="UNV95" s="168"/>
      <c r="UNW95" s="167"/>
      <c r="UNX95" s="168"/>
      <c r="UNY95" s="167"/>
      <c r="UNZ95" s="168"/>
      <c r="UOA95" s="167"/>
      <c r="UOB95" s="168"/>
      <c r="UOC95" s="167"/>
      <c r="UOD95" s="168"/>
      <c r="UOE95" s="167"/>
      <c r="UOF95" s="168"/>
      <c r="UOG95" s="167"/>
      <c r="UOH95" s="168"/>
      <c r="UOI95" s="167"/>
      <c r="UOJ95" s="168"/>
      <c r="UOK95" s="167"/>
      <c r="UOL95" s="168"/>
      <c r="UOM95" s="167"/>
      <c r="UON95" s="168"/>
      <c r="UOO95" s="167"/>
      <c r="UOP95" s="168"/>
      <c r="UOQ95" s="167"/>
      <c r="UOR95" s="168"/>
      <c r="UOS95" s="167"/>
      <c r="UOT95" s="168"/>
      <c r="UOU95" s="167"/>
      <c r="UOV95" s="168"/>
      <c r="UOW95" s="167"/>
      <c r="UOX95" s="168"/>
      <c r="UOY95" s="167"/>
      <c r="UOZ95" s="168"/>
      <c r="UPA95" s="167"/>
      <c r="UPB95" s="168"/>
      <c r="UPC95" s="167"/>
      <c r="UPD95" s="168"/>
      <c r="UPE95" s="167"/>
      <c r="UPF95" s="168"/>
      <c r="UPG95" s="167"/>
      <c r="UPH95" s="168"/>
      <c r="UPI95" s="167"/>
      <c r="UPJ95" s="168"/>
      <c r="UPK95" s="167"/>
      <c r="UPL95" s="168"/>
      <c r="UPM95" s="167"/>
      <c r="UPN95" s="168"/>
      <c r="UPO95" s="167"/>
      <c r="UPP95" s="168"/>
      <c r="UPQ95" s="167"/>
      <c r="UPR95" s="168"/>
      <c r="UPS95" s="167"/>
      <c r="UPT95" s="168"/>
      <c r="UPU95" s="167"/>
      <c r="UPV95" s="168"/>
      <c r="UPW95" s="167"/>
      <c r="UPX95" s="168"/>
      <c r="UPY95" s="167"/>
      <c r="UPZ95" s="168"/>
      <c r="UQA95" s="167"/>
      <c r="UQB95" s="168"/>
      <c r="UQC95" s="167"/>
      <c r="UQD95" s="168"/>
      <c r="UQE95" s="167"/>
      <c r="UQF95" s="168"/>
      <c r="UQG95" s="167"/>
      <c r="UQH95" s="168"/>
      <c r="UQI95" s="167"/>
      <c r="UQJ95" s="168"/>
      <c r="UQK95" s="167"/>
      <c r="UQL95" s="168"/>
      <c r="UQM95" s="167"/>
      <c r="UQN95" s="168"/>
      <c r="UQO95" s="167"/>
      <c r="UQP95" s="168"/>
      <c r="UQQ95" s="167"/>
      <c r="UQR95" s="168"/>
      <c r="UQS95" s="167"/>
      <c r="UQT95" s="168"/>
      <c r="UQU95" s="167"/>
      <c r="UQV95" s="168"/>
      <c r="UQW95" s="167"/>
      <c r="UQX95" s="168"/>
      <c r="UQY95" s="167"/>
      <c r="UQZ95" s="168"/>
      <c r="URA95" s="167"/>
      <c r="URB95" s="168"/>
      <c r="URC95" s="167"/>
      <c r="URD95" s="168"/>
      <c r="URE95" s="167"/>
      <c r="URF95" s="168"/>
      <c r="URG95" s="167"/>
      <c r="URH95" s="168"/>
      <c r="URI95" s="167"/>
      <c r="URJ95" s="168"/>
      <c r="URK95" s="167"/>
      <c r="URL95" s="168"/>
      <c r="URM95" s="167"/>
      <c r="URN95" s="168"/>
      <c r="URO95" s="167"/>
      <c r="URP95" s="168"/>
      <c r="URQ95" s="167"/>
      <c r="URR95" s="168"/>
      <c r="URS95" s="167"/>
      <c r="URT95" s="168"/>
      <c r="URU95" s="167"/>
      <c r="URV95" s="168"/>
      <c r="URW95" s="167"/>
      <c r="URX95" s="168"/>
      <c r="URY95" s="167"/>
      <c r="URZ95" s="168"/>
      <c r="USA95" s="167"/>
      <c r="USB95" s="168"/>
      <c r="USC95" s="167"/>
      <c r="USD95" s="168"/>
      <c r="USE95" s="167"/>
      <c r="USF95" s="168"/>
      <c r="USG95" s="167"/>
      <c r="USH95" s="168"/>
      <c r="USI95" s="167"/>
      <c r="USJ95" s="168"/>
      <c r="USK95" s="167"/>
      <c r="USL95" s="168"/>
      <c r="USM95" s="167"/>
      <c r="USN95" s="168"/>
      <c r="USO95" s="167"/>
      <c r="USP95" s="168"/>
      <c r="USQ95" s="167"/>
      <c r="USR95" s="168"/>
      <c r="USS95" s="167"/>
      <c r="UST95" s="168"/>
      <c r="USU95" s="167"/>
      <c r="USV95" s="168"/>
      <c r="USW95" s="167"/>
      <c r="USX95" s="168"/>
      <c r="USY95" s="167"/>
      <c r="USZ95" s="168"/>
      <c r="UTA95" s="167"/>
      <c r="UTB95" s="168"/>
      <c r="UTC95" s="167"/>
      <c r="UTD95" s="168"/>
      <c r="UTE95" s="167"/>
      <c r="UTF95" s="168"/>
      <c r="UTG95" s="167"/>
      <c r="UTH95" s="168"/>
      <c r="UTI95" s="167"/>
      <c r="UTJ95" s="168"/>
      <c r="UTK95" s="167"/>
      <c r="UTL95" s="168"/>
      <c r="UTM95" s="167"/>
      <c r="UTN95" s="168"/>
      <c r="UTO95" s="167"/>
      <c r="UTP95" s="168"/>
      <c r="UTQ95" s="167"/>
      <c r="UTR95" s="168"/>
      <c r="UTS95" s="167"/>
      <c r="UTT95" s="168"/>
      <c r="UTU95" s="167"/>
      <c r="UTV95" s="168"/>
      <c r="UTW95" s="167"/>
      <c r="UTX95" s="168"/>
      <c r="UTY95" s="167"/>
      <c r="UTZ95" s="168"/>
      <c r="UUA95" s="167"/>
      <c r="UUB95" s="168"/>
      <c r="UUC95" s="167"/>
      <c r="UUD95" s="168"/>
      <c r="UUE95" s="167"/>
      <c r="UUF95" s="168"/>
      <c r="UUG95" s="167"/>
      <c r="UUH95" s="168"/>
      <c r="UUI95" s="167"/>
      <c r="UUJ95" s="168"/>
      <c r="UUK95" s="167"/>
      <c r="UUL95" s="168"/>
      <c r="UUM95" s="167"/>
      <c r="UUN95" s="168"/>
      <c r="UUO95" s="167"/>
      <c r="UUP95" s="168"/>
      <c r="UUQ95" s="167"/>
      <c r="UUR95" s="168"/>
      <c r="UUS95" s="167"/>
      <c r="UUT95" s="168"/>
      <c r="UUU95" s="167"/>
      <c r="UUV95" s="168"/>
      <c r="UUW95" s="167"/>
      <c r="UUX95" s="168"/>
      <c r="UUY95" s="167"/>
      <c r="UUZ95" s="168"/>
      <c r="UVA95" s="167"/>
      <c r="UVB95" s="168"/>
      <c r="UVC95" s="167"/>
      <c r="UVD95" s="168"/>
      <c r="UVE95" s="167"/>
      <c r="UVF95" s="168"/>
      <c r="UVG95" s="167"/>
      <c r="UVH95" s="168"/>
      <c r="UVI95" s="167"/>
      <c r="UVJ95" s="168"/>
      <c r="UVK95" s="167"/>
      <c r="UVL95" s="168"/>
      <c r="UVM95" s="167"/>
      <c r="UVN95" s="168"/>
      <c r="UVO95" s="167"/>
      <c r="UVP95" s="168"/>
      <c r="UVQ95" s="167"/>
      <c r="UVR95" s="168"/>
      <c r="UVS95" s="167"/>
      <c r="UVT95" s="168"/>
      <c r="UVU95" s="167"/>
      <c r="UVV95" s="168"/>
      <c r="UVW95" s="167"/>
      <c r="UVX95" s="168"/>
      <c r="UVY95" s="167"/>
      <c r="UVZ95" s="168"/>
      <c r="UWA95" s="167"/>
      <c r="UWB95" s="168"/>
      <c r="UWC95" s="167"/>
      <c r="UWD95" s="168"/>
      <c r="UWE95" s="167"/>
      <c r="UWF95" s="168"/>
      <c r="UWG95" s="167"/>
      <c r="UWH95" s="168"/>
      <c r="UWI95" s="167"/>
      <c r="UWJ95" s="168"/>
      <c r="UWK95" s="167"/>
      <c r="UWL95" s="168"/>
      <c r="UWM95" s="167"/>
      <c r="UWN95" s="168"/>
      <c r="UWO95" s="167"/>
      <c r="UWP95" s="168"/>
      <c r="UWQ95" s="167"/>
      <c r="UWR95" s="168"/>
      <c r="UWS95" s="167"/>
      <c r="UWT95" s="168"/>
      <c r="UWU95" s="167"/>
      <c r="UWV95" s="168"/>
      <c r="UWW95" s="167"/>
      <c r="UWX95" s="168"/>
      <c r="UWY95" s="167"/>
      <c r="UWZ95" s="168"/>
      <c r="UXA95" s="167"/>
      <c r="UXB95" s="168"/>
      <c r="UXC95" s="167"/>
      <c r="UXD95" s="168"/>
      <c r="UXE95" s="167"/>
      <c r="UXF95" s="168"/>
      <c r="UXG95" s="167"/>
      <c r="UXH95" s="168"/>
      <c r="UXI95" s="167"/>
      <c r="UXJ95" s="168"/>
      <c r="UXK95" s="167"/>
      <c r="UXL95" s="168"/>
      <c r="UXM95" s="167"/>
      <c r="UXN95" s="168"/>
      <c r="UXO95" s="167"/>
      <c r="UXP95" s="168"/>
      <c r="UXQ95" s="167"/>
      <c r="UXR95" s="168"/>
      <c r="UXS95" s="167"/>
      <c r="UXT95" s="168"/>
      <c r="UXU95" s="167"/>
      <c r="UXV95" s="168"/>
      <c r="UXW95" s="167"/>
      <c r="UXX95" s="168"/>
      <c r="UXY95" s="167"/>
      <c r="UXZ95" s="168"/>
      <c r="UYA95" s="167"/>
      <c r="UYB95" s="168"/>
      <c r="UYC95" s="167"/>
      <c r="UYD95" s="168"/>
      <c r="UYE95" s="167"/>
      <c r="UYF95" s="168"/>
      <c r="UYG95" s="167"/>
      <c r="UYH95" s="168"/>
      <c r="UYI95" s="167"/>
      <c r="UYJ95" s="168"/>
      <c r="UYK95" s="167"/>
      <c r="UYL95" s="168"/>
      <c r="UYM95" s="167"/>
      <c r="UYN95" s="168"/>
      <c r="UYO95" s="167"/>
      <c r="UYP95" s="168"/>
      <c r="UYQ95" s="167"/>
      <c r="UYR95" s="168"/>
      <c r="UYS95" s="167"/>
      <c r="UYT95" s="168"/>
      <c r="UYU95" s="167"/>
      <c r="UYV95" s="168"/>
      <c r="UYW95" s="167"/>
      <c r="UYX95" s="168"/>
      <c r="UYY95" s="167"/>
      <c r="UYZ95" s="168"/>
      <c r="UZA95" s="167"/>
      <c r="UZB95" s="168"/>
      <c r="UZC95" s="167"/>
      <c r="UZD95" s="168"/>
      <c r="UZE95" s="167"/>
      <c r="UZF95" s="168"/>
      <c r="UZG95" s="167"/>
      <c r="UZH95" s="168"/>
      <c r="UZI95" s="167"/>
      <c r="UZJ95" s="168"/>
      <c r="UZK95" s="167"/>
      <c r="UZL95" s="168"/>
      <c r="UZM95" s="167"/>
      <c r="UZN95" s="168"/>
      <c r="UZO95" s="167"/>
      <c r="UZP95" s="168"/>
      <c r="UZQ95" s="167"/>
      <c r="UZR95" s="168"/>
      <c r="UZS95" s="167"/>
      <c r="UZT95" s="168"/>
      <c r="UZU95" s="167"/>
      <c r="UZV95" s="168"/>
      <c r="UZW95" s="167"/>
      <c r="UZX95" s="168"/>
      <c r="UZY95" s="167"/>
      <c r="UZZ95" s="168"/>
      <c r="VAA95" s="167"/>
      <c r="VAB95" s="168"/>
      <c r="VAC95" s="167"/>
      <c r="VAD95" s="168"/>
      <c r="VAE95" s="167"/>
      <c r="VAF95" s="168"/>
      <c r="VAG95" s="167"/>
      <c r="VAH95" s="168"/>
      <c r="VAI95" s="167"/>
      <c r="VAJ95" s="168"/>
      <c r="VAK95" s="167"/>
      <c r="VAL95" s="168"/>
      <c r="VAM95" s="167"/>
      <c r="VAN95" s="168"/>
      <c r="VAO95" s="167"/>
      <c r="VAP95" s="168"/>
      <c r="VAQ95" s="167"/>
      <c r="VAR95" s="168"/>
      <c r="VAS95" s="167"/>
      <c r="VAT95" s="168"/>
      <c r="VAU95" s="167"/>
      <c r="VAV95" s="168"/>
      <c r="VAW95" s="167"/>
      <c r="VAX95" s="168"/>
      <c r="VAY95" s="167"/>
      <c r="VAZ95" s="168"/>
      <c r="VBA95" s="167"/>
      <c r="VBB95" s="168"/>
      <c r="VBC95" s="167"/>
      <c r="VBD95" s="168"/>
      <c r="VBE95" s="167"/>
      <c r="VBF95" s="168"/>
      <c r="VBG95" s="167"/>
      <c r="VBH95" s="168"/>
      <c r="VBI95" s="167"/>
      <c r="VBJ95" s="168"/>
      <c r="VBK95" s="167"/>
      <c r="VBL95" s="168"/>
      <c r="VBM95" s="167"/>
      <c r="VBN95" s="168"/>
      <c r="VBO95" s="167"/>
      <c r="VBP95" s="168"/>
      <c r="VBQ95" s="167"/>
      <c r="VBR95" s="168"/>
      <c r="VBS95" s="167"/>
      <c r="VBT95" s="168"/>
      <c r="VBU95" s="167"/>
      <c r="VBV95" s="168"/>
      <c r="VBW95" s="167"/>
      <c r="VBX95" s="168"/>
      <c r="VBY95" s="167"/>
      <c r="VBZ95" s="168"/>
      <c r="VCA95" s="167"/>
      <c r="VCB95" s="168"/>
      <c r="VCC95" s="167"/>
      <c r="VCD95" s="168"/>
      <c r="VCE95" s="167"/>
      <c r="VCF95" s="168"/>
      <c r="VCG95" s="167"/>
      <c r="VCH95" s="168"/>
      <c r="VCI95" s="167"/>
      <c r="VCJ95" s="168"/>
      <c r="VCK95" s="167"/>
      <c r="VCL95" s="168"/>
      <c r="VCM95" s="167"/>
      <c r="VCN95" s="168"/>
      <c r="VCO95" s="167"/>
      <c r="VCP95" s="168"/>
      <c r="VCQ95" s="167"/>
      <c r="VCR95" s="168"/>
      <c r="VCS95" s="167"/>
      <c r="VCT95" s="168"/>
      <c r="VCU95" s="167"/>
      <c r="VCV95" s="168"/>
      <c r="VCW95" s="167"/>
      <c r="VCX95" s="168"/>
      <c r="VCY95" s="167"/>
      <c r="VCZ95" s="168"/>
      <c r="VDA95" s="167"/>
      <c r="VDB95" s="168"/>
      <c r="VDC95" s="167"/>
      <c r="VDD95" s="168"/>
      <c r="VDE95" s="167"/>
      <c r="VDF95" s="168"/>
      <c r="VDG95" s="167"/>
      <c r="VDH95" s="168"/>
      <c r="VDI95" s="167"/>
      <c r="VDJ95" s="168"/>
      <c r="VDK95" s="167"/>
      <c r="VDL95" s="168"/>
      <c r="VDM95" s="167"/>
      <c r="VDN95" s="168"/>
      <c r="VDO95" s="167"/>
      <c r="VDP95" s="168"/>
      <c r="VDQ95" s="167"/>
      <c r="VDR95" s="168"/>
      <c r="VDS95" s="167"/>
      <c r="VDT95" s="168"/>
      <c r="VDU95" s="167"/>
      <c r="VDV95" s="168"/>
      <c r="VDW95" s="167"/>
      <c r="VDX95" s="168"/>
      <c r="VDY95" s="167"/>
      <c r="VDZ95" s="168"/>
      <c r="VEA95" s="167"/>
      <c r="VEB95" s="168"/>
      <c r="VEC95" s="167"/>
      <c r="VED95" s="168"/>
      <c r="VEE95" s="167"/>
      <c r="VEF95" s="168"/>
      <c r="VEG95" s="167"/>
      <c r="VEH95" s="168"/>
      <c r="VEI95" s="167"/>
      <c r="VEJ95" s="168"/>
      <c r="VEK95" s="167"/>
      <c r="VEL95" s="168"/>
      <c r="VEM95" s="167"/>
      <c r="VEN95" s="168"/>
      <c r="VEO95" s="167"/>
      <c r="VEP95" s="168"/>
      <c r="VEQ95" s="167"/>
      <c r="VER95" s="168"/>
      <c r="VES95" s="167"/>
      <c r="VET95" s="168"/>
      <c r="VEU95" s="167"/>
      <c r="VEV95" s="168"/>
      <c r="VEW95" s="167"/>
      <c r="VEX95" s="168"/>
      <c r="VEY95" s="167"/>
      <c r="VEZ95" s="168"/>
      <c r="VFA95" s="167"/>
      <c r="VFB95" s="168"/>
      <c r="VFC95" s="167"/>
      <c r="VFD95" s="168"/>
      <c r="VFE95" s="167"/>
      <c r="VFF95" s="168"/>
      <c r="VFG95" s="167"/>
      <c r="VFH95" s="168"/>
      <c r="VFI95" s="167"/>
      <c r="VFJ95" s="168"/>
      <c r="VFK95" s="167"/>
      <c r="VFL95" s="168"/>
      <c r="VFM95" s="167"/>
      <c r="VFN95" s="168"/>
      <c r="VFO95" s="167"/>
      <c r="VFP95" s="168"/>
      <c r="VFQ95" s="167"/>
      <c r="VFR95" s="168"/>
      <c r="VFS95" s="167"/>
      <c r="VFT95" s="168"/>
      <c r="VFU95" s="167"/>
      <c r="VFV95" s="168"/>
      <c r="VFW95" s="167"/>
      <c r="VFX95" s="168"/>
      <c r="VFY95" s="167"/>
      <c r="VFZ95" s="168"/>
      <c r="VGA95" s="167"/>
      <c r="VGB95" s="168"/>
      <c r="VGC95" s="167"/>
      <c r="VGD95" s="168"/>
      <c r="VGE95" s="167"/>
      <c r="VGF95" s="168"/>
      <c r="VGG95" s="167"/>
      <c r="VGH95" s="168"/>
      <c r="VGI95" s="167"/>
      <c r="VGJ95" s="168"/>
      <c r="VGK95" s="167"/>
      <c r="VGL95" s="168"/>
      <c r="VGM95" s="167"/>
      <c r="VGN95" s="168"/>
      <c r="VGO95" s="167"/>
      <c r="VGP95" s="168"/>
      <c r="VGQ95" s="167"/>
      <c r="VGR95" s="168"/>
      <c r="VGS95" s="167"/>
      <c r="VGT95" s="168"/>
      <c r="VGU95" s="167"/>
      <c r="VGV95" s="168"/>
      <c r="VGW95" s="167"/>
      <c r="VGX95" s="168"/>
      <c r="VGY95" s="167"/>
      <c r="VGZ95" s="168"/>
      <c r="VHA95" s="167"/>
      <c r="VHB95" s="168"/>
      <c r="VHC95" s="167"/>
      <c r="VHD95" s="168"/>
      <c r="VHE95" s="167"/>
      <c r="VHF95" s="168"/>
      <c r="VHG95" s="167"/>
      <c r="VHH95" s="168"/>
      <c r="VHI95" s="167"/>
      <c r="VHJ95" s="168"/>
      <c r="VHK95" s="167"/>
      <c r="VHL95" s="168"/>
      <c r="VHM95" s="167"/>
      <c r="VHN95" s="168"/>
      <c r="VHO95" s="167"/>
      <c r="VHP95" s="168"/>
      <c r="VHQ95" s="167"/>
      <c r="VHR95" s="168"/>
      <c r="VHS95" s="167"/>
      <c r="VHT95" s="168"/>
      <c r="VHU95" s="167"/>
      <c r="VHV95" s="168"/>
      <c r="VHW95" s="167"/>
      <c r="VHX95" s="168"/>
      <c r="VHY95" s="167"/>
      <c r="VHZ95" s="168"/>
      <c r="VIA95" s="167"/>
      <c r="VIB95" s="168"/>
      <c r="VIC95" s="167"/>
      <c r="VID95" s="168"/>
      <c r="VIE95" s="167"/>
      <c r="VIF95" s="168"/>
      <c r="VIG95" s="167"/>
      <c r="VIH95" s="168"/>
      <c r="VII95" s="167"/>
      <c r="VIJ95" s="168"/>
      <c r="VIK95" s="167"/>
      <c r="VIL95" s="168"/>
      <c r="VIM95" s="167"/>
      <c r="VIN95" s="168"/>
      <c r="VIO95" s="167"/>
      <c r="VIP95" s="168"/>
      <c r="VIQ95" s="167"/>
      <c r="VIR95" s="168"/>
      <c r="VIS95" s="167"/>
      <c r="VIT95" s="168"/>
      <c r="VIU95" s="167"/>
      <c r="VIV95" s="168"/>
      <c r="VIW95" s="167"/>
      <c r="VIX95" s="168"/>
      <c r="VIY95" s="167"/>
      <c r="VIZ95" s="168"/>
      <c r="VJA95" s="167"/>
      <c r="VJB95" s="168"/>
      <c r="VJC95" s="167"/>
      <c r="VJD95" s="168"/>
      <c r="VJE95" s="167"/>
      <c r="VJF95" s="168"/>
      <c r="VJG95" s="167"/>
      <c r="VJH95" s="168"/>
      <c r="VJI95" s="167"/>
      <c r="VJJ95" s="168"/>
      <c r="VJK95" s="167"/>
      <c r="VJL95" s="168"/>
      <c r="VJM95" s="167"/>
      <c r="VJN95" s="168"/>
      <c r="VJO95" s="167"/>
      <c r="VJP95" s="168"/>
      <c r="VJQ95" s="167"/>
      <c r="VJR95" s="168"/>
      <c r="VJS95" s="167"/>
      <c r="VJT95" s="168"/>
      <c r="VJU95" s="167"/>
      <c r="VJV95" s="168"/>
      <c r="VJW95" s="167"/>
      <c r="VJX95" s="168"/>
      <c r="VJY95" s="167"/>
      <c r="VJZ95" s="168"/>
      <c r="VKA95" s="167"/>
      <c r="VKB95" s="168"/>
      <c r="VKC95" s="167"/>
      <c r="VKD95" s="168"/>
      <c r="VKE95" s="167"/>
      <c r="VKF95" s="168"/>
      <c r="VKG95" s="167"/>
      <c r="VKH95" s="168"/>
      <c r="VKI95" s="167"/>
      <c r="VKJ95" s="168"/>
      <c r="VKK95" s="167"/>
      <c r="VKL95" s="168"/>
      <c r="VKM95" s="167"/>
      <c r="VKN95" s="168"/>
      <c r="VKO95" s="167"/>
      <c r="VKP95" s="168"/>
      <c r="VKQ95" s="167"/>
      <c r="VKR95" s="168"/>
      <c r="VKS95" s="167"/>
      <c r="VKT95" s="168"/>
      <c r="VKU95" s="167"/>
      <c r="VKV95" s="168"/>
      <c r="VKW95" s="167"/>
      <c r="VKX95" s="168"/>
      <c r="VKY95" s="167"/>
      <c r="VKZ95" s="168"/>
      <c r="VLA95" s="167"/>
      <c r="VLB95" s="168"/>
      <c r="VLC95" s="167"/>
      <c r="VLD95" s="168"/>
      <c r="VLE95" s="167"/>
      <c r="VLF95" s="168"/>
      <c r="VLG95" s="167"/>
      <c r="VLH95" s="168"/>
      <c r="VLI95" s="167"/>
      <c r="VLJ95" s="168"/>
      <c r="VLK95" s="167"/>
      <c r="VLL95" s="168"/>
      <c r="VLM95" s="167"/>
      <c r="VLN95" s="168"/>
      <c r="VLO95" s="167"/>
      <c r="VLP95" s="168"/>
      <c r="VLQ95" s="167"/>
      <c r="VLR95" s="168"/>
      <c r="VLS95" s="167"/>
      <c r="VLT95" s="168"/>
      <c r="VLU95" s="167"/>
      <c r="VLV95" s="168"/>
      <c r="VLW95" s="167"/>
      <c r="VLX95" s="168"/>
      <c r="VLY95" s="167"/>
      <c r="VLZ95" s="168"/>
      <c r="VMA95" s="167"/>
      <c r="VMB95" s="168"/>
      <c r="VMC95" s="167"/>
      <c r="VMD95" s="168"/>
      <c r="VME95" s="167"/>
      <c r="VMF95" s="168"/>
      <c r="VMG95" s="167"/>
      <c r="VMH95" s="168"/>
      <c r="VMI95" s="167"/>
      <c r="VMJ95" s="168"/>
      <c r="VMK95" s="167"/>
      <c r="VML95" s="168"/>
      <c r="VMM95" s="167"/>
      <c r="VMN95" s="168"/>
      <c r="VMO95" s="167"/>
      <c r="VMP95" s="168"/>
      <c r="VMQ95" s="167"/>
      <c r="VMR95" s="168"/>
      <c r="VMS95" s="167"/>
      <c r="VMT95" s="168"/>
      <c r="VMU95" s="167"/>
      <c r="VMV95" s="168"/>
      <c r="VMW95" s="167"/>
      <c r="VMX95" s="168"/>
      <c r="VMY95" s="167"/>
      <c r="VMZ95" s="168"/>
      <c r="VNA95" s="167"/>
      <c r="VNB95" s="168"/>
      <c r="VNC95" s="167"/>
      <c r="VND95" s="168"/>
      <c r="VNE95" s="167"/>
      <c r="VNF95" s="168"/>
      <c r="VNG95" s="167"/>
      <c r="VNH95" s="168"/>
      <c r="VNI95" s="167"/>
      <c r="VNJ95" s="168"/>
      <c r="VNK95" s="167"/>
      <c r="VNL95" s="168"/>
      <c r="VNM95" s="167"/>
      <c r="VNN95" s="168"/>
      <c r="VNO95" s="167"/>
      <c r="VNP95" s="168"/>
      <c r="VNQ95" s="167"/>
      <c r="VNR95" s="168"/>
      <c r="VNS95" s="167"/>
      <c r="VNT95" s="168"/>
      <c r="VNU95" s="167"/>
      <c r="VNV95" s="168"/>
      <c r="VNW95" s="167"/>
      <c r="VNX95" s="168"/>
      <c r="VNY95" s="167"/>
      <c r="VNZ95" s="168"/>
      <c r="VOA95" s="167"/>
      <c r="VOB95" s="168"/>
      <c r="VOC95" s="167"/>
      <c r="VOD95" s="168"/>
      <c r="VOE95" s="167"/>
      <c r="VOF95" s="168"/>
      <c r="VOG95" s="167"/>
      <c r="VOH95" s="168"/>
      <c r="VOI95" s="167"/>
      <c r="VOJ95" s="168"/>
      <c r="VOK95" s="167"/>
      <c r="VOL95" s="168"/>
      <c r="VOM95" s="167"/>
      <c r="VON95" s="168"/>
      <c r="VOO95" s="167"/>
      <c r="VOP95" s="168"/>
      <c r="VOQ95" s="167"/>
      <c r="VOR95" s="168"/>
      <c r="VOS95" s="167"/>
      <c r="VOT95" s="168"/>
      <c r="VOU95" s="167"/>
      <c r="VOV95" s="168"/>
      <c r="VOW95" s="167"/>
      <c r="VOX95" s="168"/>
      <c r="VOY95" s="167"/>
      <c r="VOZ95" s="168"/>
      <c r="VPA95" s="167"/>
      <c r="VPB95" s="168"/>
      <c r="VPC95" s="167"/>
      <c r="VPD95" s="168"/>
      <c r="VPE95" s="167"/>
      <c r="VPF95" s="168"/>
      <c r="VPG95" s="167"/>
      <c r="VPH95" s="168"/>
      <c r="VPI95" s="167"/>
      <c r="VPJ95" s="168"/>
      <c r="VPK95" s="167"/>
      <c r="VPL95" s="168"/>
      <c r="VPM95" s="167"/>
      <c r="VPN95" s="168"/>
      <c r="VPO95" s="167"/>
      <c r="VPP95" s="168"/>
      <c r="VPQ95" s="167"/>
      <c r="VPR95" s="168"/>
      <c r="VPS95" s="167"/>
      <c r="VPT95" s="168"/>
      <c r="VPU95" s="167"/>
      <c r="VPV95" s="168"/>
      <c r="VPW95" s="167"/>
      <c r="VPX95" s="168"/>
      <c r="VPY95" s="167"/>
      <c r="VPZ95" s="168"/>
      <c r="VQA95" s="167"/>
      <c r="VQB95" s="168"/>
      <c r="VQC95" s="167"/>
      <c r="VQD95" s="168"/>
      <c r="VQE95" s="167"/>
      <c r="VQF95" s="168"/>
      <c r="VQG95" s="167"/>
      <c r="VQH95" s="168"/>
      <c r="VQI95" s="167"/>
      <c r="VQJ95" s="168"/>
      <c r="VQK95" s="167"/>
      <c r="VQL95" s="168"/>
      <c r="VQM95" s="167"/>
      <c r="VQN95" s="168"/>
      <c r="VQO95" s="167"/>
      <c r="VQP95" s="168"/>
      <c r="VQQ95" s="167"/>
      <c r="VQR95" s="168"/>
      <c r="VQS95" s="167"/>
      <c r="VQT95" s="168"/>
      <c r="VQU95" s="167"/>
      <c r="VQV95" s="168"/>
      <c r="VQW95" s="167"/>
      <c r="VQX95" s="168"/>
      <c r="VQY95" s="167"/>
      <c r="VQZ95" s="168"/>
      <c r="VRA95" s="167"/>
      <c r="VRB95" s="168"/>
      <c r="VRC95" s="167"/>
      <c r="VRD95" s="168"/>
      <c r="VRE95" s="167"/>
      <c r="VRF95" s="168"/>
      <c r="VRG95" s="167"/>
      <c r="VRH95" s="168"/>
      <c r="VRI95" s="167"/>
      <c r="VRJ95" s="168"/>
      <c r="VRK95" s="167"/>
      <c r="VRL95" s="168"/>
      <c r="VRM95" s="167"/>
      <c r="VRN95" s="168"/>
      <c r="VRO95" s="167"/>
      <c r="VRP95" s="168"/>
      <c r="VRQ95" s="167"/>
      <c r="VRR95" s="168"/>
      <c r="VRS95" s="167"/>
      <c r="VRT95" s="168"/>
      <c r="VRU95" s="167"/>
      <c r="VRV95" s="168"/>
      <c r="VRW95" s="167"/>
      <c r="VRX95" s="168"/>
      <c r="VRY95" s="167"/>
      <c r="VRZ95" s="168"/>
      <c r="VSA95" s="167"/>
      <c r="VSB95" s="168"/>
      <c r="VSC95" s="167"/>
      <c r="VSD95" s="168"/>
      <c r="VSE95" s="167"/>
      <c r="VSF95" s="168"/>
      <c r="VSG95" s="167"/>
      <c r="VSH95" s="168"/>
      <c r="VSI95" s="167"/>
      <c r="VSJ95" s="168"/>
      <c r="VSK95" s="167"/>
      <c r="VSL95" s="168"/>
      <c r="VSM95" s="167"/>
      <c r="VSN95" s="168"/>
      <c r="VSO95" s="167"/>
      <c r="VSP95" s="168"/>
      <c r="VSQ95" s="167"/>
      <c r="VSR95" s="168"/>
      <c r="VSS95" s="167"/>
      <c r="VST95" s="168"/>
      <c r="VSU95" s="167"/>
      <c r="VSV95" s="168"/>
      <c r="VSW95" s="167"/>
      <c r="VSX95" s="168"/>
      <c r="VSY95" s="167"/>
      <c r="VSZ95" s="168"/>
      <c r="VTA95" s="167"/>
      <c r="VTB95" s="168"/>
      <c r="VTC95" s="167"/>
      <c r="VTD95" s="168"/>
      <c r="VTE95" s="167"/>
      <c r="VTF95" s="168"/>
      <c r="VTG95" s="167"/>
      <c r="VTH95" s="168"/>
      <c r="VTI95" s="167"/>
      <c r="VTJ95" s="168"/>
      <c r="VTK95" s="167"/>
      <c r="VTL95" s="168"/>
      <c r="VTM95" s="167"/>
      <c r="VTN95" s="168"/>
      <c r="VTO95" s="167"/>
      <c r="VTP95" s="168"/>
      <c r="VTQ95" s="167"/>
      <c r="VTR95" s="168"/>
      <c r="VTS95" s="167"/>
      <c r="VTT95" s="168"/>
      <c r="VTU95" s="167"/>
      <c r="VTV95" s="168"/>
      <c r="VTW95" s="167"/>
      <c r="VTX95" s="168"/>
      <c r="VTY95" s="167"/>
      <c r="VTZ95" s="168"/>
      <c r="VUA95" s="167"/>
      <c r="VUB95" s="168"/>
      <c r="VUC95" s="167"/>
      <c r="VUD95" s="168"/>
      <c r="VUE95" s="167"/>
      <c r="VUF95" s="168"/>
      <c r="VUG95" s="167"/>
      <c r="VUH95" s="168"/>
      <c r="VUI95" s="167"/>
      <c r="VUJ95" s="168"/>
      <c r="VUK95" s="167"/>
      <c r="VUL95" s="168"/>
      <c r="VUM95" s="167"/>
      <c r="VUN95" s="168"/>
      <c r="VUO95" s="167"/>
      <c r="VUP95" s="168"/>
      <c r="VUQ95" s="167"/>
      <c r="VUR95" s="168"/>
      <c r="VUS95" s="167"/>
      <c r="VUT95" s="168"/>
      <c r="VUU95" s="167"/>
      <c r="VUV95" s="168"/>
      <c r="VUW95" s="167"/>
      <c r="VUX95" s="168"/>
      <c r="VUY95" s="167"/>
      <c r="VUZ95" s="168"/>
      <c r="VVA95" s="167"/>
      <c r="VVB95" s="168"/>
      <c r="VVC95" s="167"/>
      <c r="VVD95" s="168"/>
      <c r="VVE95" s="167"/>
      <c r="VVF95" s="168"/>
      <c r="VVG95" s="167"/>
      <c r="VVH95" s="168"/>
      <c r="VVI95" s="167"/>
      <c r="VVJ95" s="168"/>
      <c r="VVK95" s="167"/>
      <c r="VVL95" s="168"/>
      <c r="VVM95" s="167"/>
      <c r="VVN95" s="168"/>
      <c r="VVO95" s="167"/>
      <c r="VVP95" s="168"/>
      <c r="VVQ95" s="167"/>
      <c r="VVR95" s="168"/>
      <c r="VVS95" s="167"/>
      <c r="VVT95" s="168"/>
      <c r="VVU95" s="167"/>
      <c r="VVV95" s="168"/>
      <c r="VVW95" s="167"/>
      <c r="VVX95" s="168"/>
      <c r="VVY95" s="167"/>
      <c r="VVZ95" s="168"/>
      <c r="VWA95" s="167"/>
      <c r="VWB95" s="168"/>
      <c r="VWC95" s="167"/>
      <c r="VWD95" s="168"/>
      <c r="VWE95" s="167"/>
      <c r="VWF95" s="168"/>
      <c r="VWG95" s="167"/>
      <c r="VWH95" s="168"/>
      <c r="VWI95" s="167"/>
      <c r="VWJ95" s="168"/>
      <c r="VWK95" s="167"/>
      <c r="VWL95" s="168"/>
      <c r="VWM95" s="167"/>
      <c r="VWN95" s="168"/>
      <c r="VWO95" s="167"/>
      <c r="VWP95" s="168"/>
      <c r="VWQ95" s="167"/>
      <c r="VWR95" s="168"/>
      <c r="VWS95" s="167"/>
      <c r="VWT95" s="168"/>
      <c r="VWU95" s="167"/>
      <c r="VWV95" s="168"/>
      <c r="VWW95" s="167"/>
      <c r="VWX95" s="168"/>
      <c r="VWY95" s="167"/>
      <c r="VWZ95" s="168"/>
      <c r="VXA95" s="167"/>
      <c r="VXB95" s="168"/>
      <c r="VXC95" s="167"/>
      <c r="VXD95" s="168"/>
      <c r="VXE95" s="167"/>
      <c r="VXF95" s="168"/>
      <c r="VXG95" s="167"/>
      <c r="VXH95" s="168"/>
      <c r="VXI95" s="167"/>
      <c r="VXJ95" s="168"/>
      <c r="VXK95" s="167"/>
      <c r="VXL95" s="168"/>
      <c r="VXM95" s="167"/>
      <c r="VXN95" s="168"/>
      <c r="VXO95" s="167"/>
      <c r="VXP95" s="168"/>
      <c r="VXQ95" s="167"/>
      <c r="VXR95" s="168"/>
      <c r="VXS95" s="167"/>
      <c r="VXT95" s="168"/>
      <c r="VXU95" s="167"/>
      <c r="VXV95" s="168"/>
      <c r="VXW95" s="167"/>
      <c r="VXX95" s="168"/>
      <c r="VXY95" s="167"/>
      <c r="VXZ95" s="168"/>
      <c r="VYA95" s="167"/>
      <c r="VYB95" s="168"/>
      <c r="VYC95" s="167"/>
      <c r="VYD95" s="168"/>
      <c r="VYE95" s="167"/>
      <c r="VYF95" s="168"/>
      <c r="VYG95" s="167"/>
      <c r="VYH95" s="168"/>
      <c r="VYI95" s="167"/>
      <c r="VYJ95" s="168"/>
      <c r="VYK95" s="167"/>
      <c r="VYL95" s="168"/>
      <c r="VYM95" s="167"/>
      <c r="VYN95" s="168"/>
      <c r="VYO95" s="167"/>
      <c r="VYP95" s="168"/>
      <c r="VYQ95" s="167"/>
      <c r="VYR95" s="168"/>
      <c r="VYS95" s="167"/>
      <c r="VYT95" s="168"/>
      <c r="VYU95" s="167"/>
      <c r="VYV95" s="168"/>
      <c r="VYW95" s="167"/>
      <c r="VYX95" s="168"/>
      <c r="VYY95" s="167"/>
      <c r="VYZ95" s="168"/>
      <c r="VZA95" s="167"/>
      <c r="VZB95" s="168"/>
      <c r="VZC95" s="167"/>
      <c r="VZD95" s="168"/>
      <c r="VZE95" s="167"/>
      <c r="VZF95" s="168"/>
      <c r="VZG95" s="167"/>
      <c r="VZH95" s="168"/>
      <c r="VZI95" s="167"/>
      <c r="VZJ95" s="168"/>
      <c r="VZK95" s="167"/>
      <c r="VZL95" s="168"/>
      <c r="VZM95" s="167"/>
      <c r="VZN95" s="168"/>
      <c r="VZO95" s="167"/>
      <c r="VZP95" s="168"/>
      <c r="VZQ95" s="167"/>
      <c r="VZR95" s="168"/>
      <c r="VZS95" s="167"/>
      <c r="VZT95" s="168"/>
      <c r="VZU95" s="167"/>
      <c r="VZV95" s="168"/>
      <c r="VZW95" s="167"/>
      <c r="VZX95" s="168"/>
      <c r="VZY95" s="167"/>
      <c r="VZZ95" s="168"/>
      <c r="WAA95" s="167"/>
      <c r="WAB95" s="168"/>
      <c r="WAC95" s="167"/>
      <c r="WAD95" s="168"/>
      <c r="WAE95" s="167"/>
      <c r="WAF95" s="168"/>
      <c r="WAG95" s="167"/>
      <c r="WAH95" s="168"/>
      <c r="WAI95" s="167"/>
      <c r="WAJ95" s="168"/>
      <c r="WAK95" s="167"/>
      <c r="WAL95" s="168"/>
      <c r="WAM95" s="167"/>
      <c r="WAN95" s="168"/>
      <c r="WAO95" s="167"/>
      <c r="WAP95" s="168"/>
      <c r="WAQ95" s="167"/>
      <c r="WAR95" s="168"/>
      <c r="WAS95" s="167"/>
      <c r="WAT95" s="168"/>
      <c r="WAU95" s="167"/>
      <c r="WAV95" s="168"/>
      <c r="WAW95" s="167"/>
      <c r="WAX95" s="168"/>
      <c r="WAY95" s="167"/>
      <c r="WAZ95" s="168"/>
      <c r="WBA95" s="167"/>
      <c r="WBB95" s="168"/>
      <c r="WBC95" s="167"/>
      <c r="WBD95" s="168"/>
      <c r="WBE95" s="167"/>
      <c r="WBF95" s="168"/>
      <c r="WBG95" s="167"/>
      <c r="WBH95" s="168"/>
      <c r="WBI95" s="167"/>
      <c r="WBJ95" s="168"/>
      <c r="WBK95" s="167"/>
      <c r="WBL95" s="168"/>
      <c r="WBM95" s="167"/>
      <c r="WBN95" s="168"/>
      <c r="WBO95" s="167"/>
      <c r="WBP95" s="168"/>
      <c r="WBQ95" s="167"/>
      <c r="WBR95" s="168"/>
      <c r="WBS95" s="167"/>
      <c r="WBT95" s="168"/>
      <c r="WBU95" s="167"/>
      <c r="WBV95" s="168"/>
      <c r="WBW95" s="167"/>
      <c r="WBX95" s="168"/>
      <c r="WBY95" s="167"/>
      <c r="WBZ95" s="168"/>
      <c r="WCA95" s="167"/>
      <c r="WCB95" s="168"/>
      <c r="WCC95" s="167"/>
      <c r="WCD95" s="168"/>
      <c r="WCE95" s="167"/>
      <c r="WCF95" s="168"/>
      <c r="WCG95" s="167"/>
      <c r="WCH95" s="168"/>
      <c r="WCI95" s="167"/>
      <c r="WCJ95" s="168"/>
      <c r="WCK95" s="167"/>
      <c r="WCL95" s="168"/>
      <c r="WCM95" s="167"/>
      <c r="WCN95" s="168"/>
      <c r="WCO95" s="167"/>
      <c r="WCP95" s="168"/>
      <c r="WCQ95" s="167"/>
      <c r="WCR95" s="168"/>
      <c r="WCS95" s="167"/>
      <c r="WCT95" s="168"/>
      <c r="WCU95" s="167"/>
      <c r="WCV95" s="168"/>
      <c r="WCW95" s="167"/>
      <c r="WCX95" s="168"/>
      <c r="WCY95" s="167"/>
      <c r="WCZ95" s="168"/>
      <c r="WDA95" s="167"/>
      <c r="WDB95" s="168"/>
      <c r="WDC95" s="167"/>
      <c r="WDD95" s="168"/>
      <c r="WDE95" s="167"/>
      <c r="WDF95" s="168"/>
      <c r="WDG95" s="167"/>
      <c r="WDH95" s="168"/>
      <c r="WDI95" s="167"/>
      <c r="WDJ95" s="168"/>
      <c r="WDK95" s="167"/>
      <c r="WDL95" s="168"/>
      <c r="WDM95" s="167"/>
      <c r="WDN95" s="168"/>
      <c r="WDO95" s="167"/>
      <c r="WDP95" s="168"/>
      <c r="WDQ95" s="167"/>
      <c r="WDR95" s="168"/>
      <c r="WDS95" s="167"/>
      <c r="WDT95" s="168"/>
      <c r="WDU95" s="167"/>
      <c r="WDV95" s="168"/>
      <c r="WDW95" s="167"/>
      <c r="WDX95" s="168"/>
      <c r="WDY95" s="167"/>
      <c r="WDZ95" s="168"/>
      <c r="WEA95" s="167"/>
      <c r="WEB95" s="168"/>
      <c r="WEC95" s="167"/>
      <c r="WED95" s="168"/>
      <c r="WEE95" s="167"/>
      <c r="WEF95" s="168"/>
      <c r="WEG95" s="167"/>
      <c r="WEH95" s="168"/>
      <c r="WEI95" s="167"/>
      <c r="WEJ95" s="168"/>
      <c r="WEK95" s="167"/>
      <c r="WEL95" s="168"/>
      <c r="WEM95" s="167"/>
      <c r="WEN95" s="168"/>
      <c r="WEO95" s="167"/>
      <c r="WEP95" s="168"/>
      <c r="WEQ95" s="167"/>
      <c r="WER95" s="168"/>
      <c r="WES95" s="167"/>
      <c r="WET95" s="168"/>
      <c r="WEU95" s="167"/>
      <c r="WEV95" s="168"/>
      <c r="WEW95" s="167"/>
      <c r="WEX95" s="168"/>
      <c r="WEY95" s="167"/>
      <c r="WEZ95" s="168"/>
      <c r="WFA95" s="167"/>
      <c r="WFB95" s="168"/>
      <c r="WFC95" s="167"/>
      <c r="WFD95" s="168"/>
      <c r="WFE95" s="167"/>
      <c r="WFF95" s="168"/>
      <c r="WFG95" s="167"/>
      <c r="WFH95" s="168"/>
      <c r="WFI95" s="167"/>
      <c r="WFJ95" s="168"/>
      <c r="WFK95" s="167"/>
      <c r="WFL95" s="168"/>
      <c r="WFM95" s="167"/>
      <c r="WFN95" s="168"/>
      <c r="WFO95" s="167"/>
      <c r="WFP95" s="168"/>
      <c r="WFQ95" s="167"/>
      <c r="WFR95" s="168"/>
      <c r="WFS95" s="167"/>
      <c r="WFT95" s="168"/>
      <c r="WFU95" s="167"/>
      <c r="WFV95" s="168"/>
      <c r="WFW95" s="167"/>
      <c r="WFX95" s="168"/>
      <c r="WFY95" s="167"/>
      <c r="WFZ95" s="168"/>
      <c r="WGA95" s="167"/>
      <c r="WGB95" s="168"/>
      <c r="WGC95" s="167"/>
      <c r="WGD95" s="168"/>
      <c r="WGE95" s="167"/>
      <c r="WGF95" s="168"/>
      <c r="WGG95" s="167"/>
      <c r="WGH95" s="168"/>
      <c r="WGI95" s="167"/>
      <c r="WGJ95" s="168"/>
      <c r="WGK95" s="167"/>
      <c r="WGL95" s="168"/>
      <c r="WGM95" s="167"/>
      <c r="WGN95" s="168"/>
      <c r="WGO95" s="167"/>
      <c r="WGP95" s="168"/>
      <c r="WGQ95" s="167"/>
      <c r="WGR95" s="168"/>
      <c r="WGS95" s="167"/>
      <c r="WGT95" s="168"/>
      <c r="WGU95" s="167"/>
      <c r="WGV95" s="168"/>
      <c r="WGW95" s="167"/>
      <c r="WGX95" s="168"/>
      <c r="WGY95" s="167"/>
      <c r="WGZ95" s="168"/>
      <c r="WHA95" s="167"/>
      <c r="WHB95" s="168"/>
      <c r="WHC95" s="167"/>
      <c r="WHD95" s="168"/>
      <c r="WHE95" s="167"/>
      <c r="WHF95" s="168"/>
      <c r="WHG95" s="167"/>
      <c r="WHH95" s="168"/>
      <c r="WHI95" s="167"/>
      <c r="WHJ95" s="168"/>
      <c r="WHK95" s="167"/>
      <c r="WHL95" s="168"/>
      <c r="WHM95" s="167"/>
      <c r="WHN95" s="168"/>
      <c r="WHO95" s="167"/>
      <c r="WHP95" s="168"/>
      <c r="WHQ95" s="167"/>
      <c r="WHR95" s="168"/>
      <c r="WHS95" s="167"/>
      <c r="WHT95" s="168"/>
      <c r="WHU95" s="167"/>
      <c r="WHV95" s="168"/>
      <c r="WHW95" s="167"/>
      <c r="WHX95" s="168"/>
      <c r="WHY95" s="167"/>
      <c r="WHZ95" s="168"/>
      <c r="WIA95" s="167"/>
      <c r="WIB95" s="168"/>
      <c r="WIC95" s="167"/>
      <c r="WID95" s="168"/>
      <c r="WIE95" s="167"/>
      <c r="WIF95" s="168"/>
      <c r="WIG95" s="167"/>
      <c r="WIH95" s="168"/>
      <c r="WII95" s="167"/>
      <c r="WIJ95" s="168"/>
      <c r="WIK95" s="167"/>
      <c r="WIL95" s="168"/>
      <c r="WIM95" s="167"/>
      <c r="WIN95" s="168"/>
      <c r="WIO95" s="167"/>
      <c r="WIP95" s="168"/>
      <c r="WIQ95" s="167"/>
      <c r="WIR95" s="168"/>
      <c r="WIS95" s="167"/>
      <c r="WIT95" s="168"/>
      <c r="WIU95" s="167"/>
      <c r="WIV95" s="168"/>
      <c r="WIW95" s="167"/>
      <c r="WIX95" s="168"/>
      <c r="WIY95" s="167"/>
      <c r="WIZ95" s="168"/>
      <c r="WJA95" s="167"/>
      <c r="WJB95" s="168"/>
      <c r="WJC95" s="167"/>
      <c r="WJD95" s="168"/>
      <c r="WJE95" s="167"/>
      <c r="WJF95" s="168"/>
      <c r="WJG95" s="167"/>
      <c r="WJH95" s="168"/>
      <c r="WJI95" s="167"/>
      <c r="WJJ95" s="168"/>
      <c r="WJK95" s="167"/>
      <c r="WJL95" s="168"/>
      <c r="WJM95" s="167"/>
      <c r="WJN95" s="168"/>
      <c r="WJO95" s="167"/>
      <c r="WJP95" s="168"/>
      <c r="WJQ95" s="167"/>
      <c r="WJR95" s="168"/>
      <c r="WJS95" s="167"/>
      <c r="WJT95" s="168"/>
      <c r="WJU95" s="167"/>
      <c r="WJV95" s="168"/>
      <c r="WJW95" s="167"/>
      <c r="WJX95" s="168"/>
      <c r="WJY95" s="167"/>
      <c r="WJZ95" s="168"/>
      <c r="WKA95" s="167"/>
      <c r="WKB95" s="168"/>
      <c r="WKC95" s="167"/>
      <c r="WKD95" s="168"/>
      <c r="WKE95" s="167"/>
      <c r="WKF95" s="168"/>
      <c r="WKG95" s="167"/>
      <c r="WKH95" s="168"/>
      <c r="WKI95" s="167"/>
      <c r="WKJ95" s="168"/>
      <c r="WKK95" s="167"/>
      <c r="WKL95" s="168"/>
      <c r="WKM95" s="167"/>
      <c r="WKN95" s="168"/>
      <c r="WKO95" s="167"/>
      <c r="WKP95" s="168"/>
      <c r="WKQ95" s="167"/>
      <c r="WKR95" s="168"/>
      <c r="WKS95" s="167"/>
      <c r="WKT95" s="168"/>
      <c r="WKU95" s="167"/>
      <c r="WKV95" s="168"/>
      <c r="WKW95" s="167"/>
      <c r="WKX95" s="168"/>
      <c r="WKY95" s="167"/>
      <c r="WKZ95" s="168"/>
      <c r="WLA95" s="167"/>
      <c r="WLB95" s="168"/>
      <c r="WLC95" s="167"/>
      <c r="WLD95" s="168"/>
      <c r="WLE95" s="167"/>
      <c r="WLF95" s="168"/>
      <c r="WLG95" s="167"/>
      <c r="WLH95" s="168"/>
      <c r="WLI95" s="167"/>
      <c r="WLJ95" s="168"/>
      <c r="WLK95" s="167"/>
      <c r="WLL95" s="168"/>
      <c r="WLM95" s="167"/>
      <c r="WLN95" s="168"/>
      <c r="WLO95" s="167"/>
      <c r="WLP95" s="168"/>
      <c r="WLQ95" s="167"/>
      <c r="WLR95" s="168"/>
      <c r="WLS95" s="167"/>
      <c r="WLT95" s="168"/>
      <c r="WLU95" s="167"/>
      <c r="WLV95" s="168"/>
      <c r="WLW95" s="167"/>
      <c r="WLX95" s="168"/>
      <c r="WLY95" s="167"/>
      <c r="WLZ95" s="168"/>
      <c r="WMA95" s="167"/>
      <c r="WMB95" s="168"/>
      <c r="WMC95" s="167"/>
      <c r="WMD95" s="168"/>
      <c r="WME95" s="167"/>
      <c r="WMF95" s="168"/>
      <c r="WMG95" s="167"/>
      <c r="WMH95" s="168"/>
      <c r="WMI95" s="167"/>
      <c r="WMJ95" s="168"/>
      <c r="WMK95" s="167"/>
      <c r="WML95" s="168"/>
      <c r="WMM95" s="167"/>
      <c r="WMN95" s="168"/>
      <c r="WMO95" s="167"/>
      <c r="WMP95" s="168"/>
      <c r="WMQ95" s="167"/>
      <c r="WMR95" s="168"/>
      <c r="WMS95" s="167"/>
      <c r="WMT95" s="168"/>
      <c r="WMU95" s="167"/>
      <c r="WMV95" s="168"/>
      <c r="WMW95" s="167"/>
      <c r="WMX95" s="168"/>
      <c r="WMY95" s="167"/>
      <c r="WMZ95" s="168"/>
      <c r="WNA95" s="167"/>
      <c r="WNB95" s="168"/>
      <c r="WNC95" s="167"/>
      <c r="WND95" s="168"/>
      <c r="WNE95" s="167"/>
      <c r="WNF95" s="168"/>
      <c r="WNG95" s="167"/>
      <c r="WNH95" s="168"/>
      <c r="WNI95" s="167"/>
      <c r="WNJ95" s="168"/>
      <c r="WNK95" s="167"/>
      <c r="WNL95" s="168"/>
      <c r="WNM95" s="167"/>
      <c r="WNN95" s="168"/>
      <c r="WNO95" s="167"/>
      <c r="WNP95" s="168"/>
      <c r="WNQ95" s="167"/>
      <c r="WNR95" s="168"/>
      <c r="WNS95" s="167"/>
      <c r="WNT95" s="168"/>
      <c r="WNU95" s="167"/>
      <c r="WNV95" s="168"/>
      <c r="WNW95" s="167"/>
      <c r="WNX95" s="168"/>
      <c r="WNY95" s="167"/>
      <c r="WNZ95" s="168"/>
      <c r="WOA95" s="167"/>
      <c r="WOB95" s="168"/>
      <c r="WOC95" s="167"/>
      <c r="WOD95" s="168"/>
      <c r="WOE95" s="167"/>
      <c r="WOF95" s="168"/>
      <c r="WOG95" s="167"/>
      <c r="WOH95" s="168"/>
      <c r="WOI95" s="167"/>
      <c r="WOJ95" s="168"/>
      <c r="WOK95" s="167"/>
      <c r="WOL95" s="168"/>
      <c r="WOM95" s="167"/>
      <c r="WON95" s="168"/>
      <c r="WOO95" s="167"/>
      <c r="WOP95" s="168"/>
      <c r="WOQ95" s="167"/>
      <c r="WOR95" s="168"/>
      <c r="WOS95" s="167"/>
      <c r="WOT95" s="168"/>
      <c r="WOU95" s="167"/>
      <c r="WOV95" s="168"/>
      <c r="WOW95" s="167"/>
      <c r="WOX95" s="168"/>
      <c r="WOY95" s="167"/>
      <c r="WOZ95" s="168"/>
      <c r="WPA95" s="167"/>
      <c r="WPB95" s="168"/>
      <c r="WPC95" s="167"/>
      <c r="WPD95" s="168"/>
      <c r="WPE95" s="167"/>
      <c r="WPF95" s="168"/>
      <c r="WPG95" s="167"/>
      <c r="WPH95" s="168"/>
      <c r="WPI95" s="167"/>
      <c r="WPJ95" s="168"/>
      <c r="WPK95" s="167"/>
      <c r="WPL95" s="168"/>
      <c r="WPM95" s="167"/>
      <c r="WPN95" s="168"/>
      <c r="WPO95" s="167"/>
      <c r="WPP95" s="168"/>
      <c r="WPQ95" s="167"/>
      <c r="WPR95" s="168"/>
      <c r="WPS95" s="167"/>
      <c r="WPT95" s="168"/>
      <c r="WPU95" s="167"/>
      <c r="WPV95" s="168"/>
      <c r="WPW95" s="167"/>
      <c r="WPX95" s="168"/>
      <c r="WPY95" s="167"/>
      <c r="WPZ95" s="168"/>
      <c r="WQA95" s="167"/>
      <c r="WQB95" s="168"/>
      <c r="WQC95" s="167"/>
      <c r="WQD95" s="168"/>
      <c r="WQE95" s="167"/>
      <c r="WQF95" s="168"/>
      <c r="WQG95" s="167"/>
      <c r="WQH95" s="168"/>
      <c r="WQI95" s="167"/>
      <c r="WQJ95" s="168"/>
      <c r="WQK95" s="167"/>
      <c r="WQL95" s="168"/>
      <c r="WQM95" s="167"/>
      <c r="WQN95" s="168"/>
      <c r="WQO95" s="167"/>
      <c r="WQP95" s="168"/>
      <c r="WQQ95" s="167"/>
      <c r="WQR95" s="168"/>
      <c r="WQS95" s="167"/>
      <c r="WQT95" s="168"/>
      <c r="WQU95" s="167"/>
      <c r="WQV95" s="168"/>
      <c r="WQW95" s="167"/>
      <c r="WQX95" s="168"/>
      <c r="WQY95" s="167"/>
      <c r="WQZ95" s="168"/>
      <c r="WRA95" s="167"/>
      <c r="WRB95" s="168"/>
      <c r="WRC95" s="167"/>
      <c r="WRD95" s="168"/>
      <c r="WRE95" s="167"/>
      <c r="WRF95" s="168"/>
      <c r="WRG95" s="167"/>
      <c r="WRH95" s="168"/>
      <c r="WRI95" s="167"/>
      <c r="WRJ95" s="168"/>
      <c r="WRK95" s="167"/>
      <c r="WRL95" s="168"/>
      <c r="WRM95" s="167"/>
      <c r="WRN95" s="168"/>
      <c r="WRO95" s="167"/>
      <c r="WRP95" s="168"/>
      <c r="WRQ95" s="167"/>
      <c r="WRR95" s="168"/>
      <c r="WRS95" s="167"/>
      <c r="WRT95" s="168"/>
      <c r="WRU95" s="167"/>
      <c r="WRV95" s="168"/>
      <c r="WRW95" s="167"/>
      <c r="WRX95" s="168"/>
      <c r="WRY95" s="167"/>
      <c r="WRZ95" s="168"/>
      <c r="WSA95" s="167"/>
      <c r="WSB95" s="168"/>
      <c r="WSC95" s="167"/>
      <c r="WSD95" s="168"/>
      <c r="WSE95" s="167"/>
      <c r="WSF95" s="168"/>
      <c r="WSG95" s="167"/>
      <c r="WSH95" s="168"/>
      <c r="WSI95" s="167"/>
      <c r="WSJ95" s="168"/>
      <c r="WSK95" s="167"/>
      <c r="WSL95" s="168"/>
      <c r="WSM95" s="167"/>
      <c r="WSN95" s="168"/>
      <c r="WSO95" s="167"/>
      <c r="WSP95" s="168"/>
      <c r="WSQ95" s="167"/>
      <c r="WSR95" s="168"/>
      <c r="WSS95" s="167"/>
      <c r="WST95" s="168"/>
      <c r="WSU95" s="167"/>
      <c r="WSV95" s="168"/>
      <c r="WSW95" s="167"/>
      <c r="WSX95" s="168"/>
      <c r="WSY95" s="167"/>
      <c r="WSZ95" s="168"/>
      <c r="WTA95" s="167"/>
      <c r="WTB95" s="168"/>
      <c r="WTC95" s="167"/>
      <c r="WTD95" s="168"/>
      <c r="WTE95" s="167"/>
      <c r="WTF95" s="168"/>
      <c r="WTG95" s="167"/>
      <c r="WTH95" s="168"/>
      <c r="WTI95" s="167"/>
      <c r="WTJ95" s="168"/>
      <c r="WTK95" s="167"/>
      <c r="WTL95" s="168"/>
      <c r="WTM95" s="167"/>
      <c r="WTN95" s="168"/>
      <c r="WTO95" s="167"/>
      <c r="WTP95" s="168"/>
      <c r="WTQ95" s="167"/>
      <c r="WTR95" s="168"/>
      <c r="WTS95" s="167"/>
      <c r="WTT95" s="168"/>
      <c r="WTU95" s="167"/>
      <c r="WTV95" s="168"/>
      <c r="WTW95" s="167"/>
      <c r="WTX95" s="168"/>
      <c r="WTY95" s="167"/>
      <c r="WTZ95" s="168"/>
      <c r="WUA95" s="167"/>
      <c r="WUB95" s="168"/>
      <c r="WUC95" s="167"/>
      <c r="WUD95" s="168"/>
      <c r="WUE95" s="167"/>
      <c r="WUF95" s="168"/>
      <c r="WUG95" s="167"/>
      <c r="WUH95" s="168"/>
      <c r="WUI95" s="167"/>
      <c r="WUJ95" s="168"/>
      <c r="WUK95" s="167"/>
      <c r="WUL95" s="168"/>
      <c r="WUM95" s="167"/>
      <c r="WUN95" s="168"/>
      <c r="WUO95" s="167"/>
      <c r="WUP95" s="168"/>
      <c r="WUQ95" s="167"/>
      <c r="WUR95" s="168"/>
      <c r="WUS95" s="167"/>
      <c r="WUT95" s="168"/>
      <c r="WUU95" s="167"/>
      <c r="WUV95" s="168"/>
      <c r="WUW95" s="167"/>
      <c r="WUX95" s="168"/>
      <c r="WUY95" s="167"/>
      <c r="WUZ95" s="168"/>
      <c r="WVA95" s="167"/>
      <c r="WVB95" s="168"/>
      <c r="WVC95" s="167"/>
      <c r="WVD95" s="168"/>
      <c r="WVE95" s="167"/>
      <c r="WVF95" s="168"/>
      <c r="WVG95" s="167"/>
      <c r="WVH95" s="168"/>
      <c r="WVI95" s="167"/>
      <c r="WVJ95" s="168"/>
      <c r="WVK95" s="167"/>
      <c r="WVL95" s="168"/>
      <c r="WVM95" s="167"/>
      <c r="WVN95" s="168"/>
      <c r="WVO95" s="167"/>
      <c r="WVP95" s="168"/>
      <c r="WVQ95" s="167"/>
      <c r="WVR95" s="168"/>
      <c r="WVS95" s="167"/>
      <c r="WVT95" s="168"/>
      <c r="WVU95" s="167"/>
      <c r="WVV95" s="168"/>
      <c r="WVW95" s="167"/>
      <c r="WVX95" s="168"/>
      <c r="WVY95" s="167"/>
      <c r="WVZ95" s="168"/>
      <c r="WWA95" s="167"/>
      <c r="WWB95" s="168"/>
      <c r="WWC95" s="167"/>
      <c r="WWD95" s="168"/>
      <c r="WWE95" s="167"/>
      <c r="WWF95" s="168"/>
      <c r="WWG95" s="167"/>
      <c r="WWH95" s="168"/>
      <c r="WWI95" s="167"/>
      <c r="WWJ95" s="168"/>
      <c r="WWK95" s="167"/>
      <c r="WWL95" s="168"/>
      <c r="WWM95" s="167"/>
      <c r="WWN95" s="168"/>
      <c r="WWO95" s="167"/>
      <c r="WWP95" s="168"/>
      <c r="WWQ95" s="167"/>
      <c r="WWR95" s="168"/>
      <c r="WWS95" s="167"/>
      <c r="WWT95" s="168"/>
      <c r="WWU95" s="167"/>
      <c r="WWV95" s="168"/>
      <c r="WWW95" s="167"/>
      <c r="WWX95" s="168"/>
      <c r="WWY95" s="167"/>
      <c r="WWZ95" s="168"/>
      <c r="WXA95" s="167"/>
      <c r="WXB95" s="168"/>
      <c r="WXC95" s="167"/>
      <c r="WXD95" s="168"/>
      <c r="WXE95" s="167"/>
      <c r="WXF95" s="168"/>
      <c r="WXG95" s="167"/>
      <c r="WXH95" s="168"/>
      <c r="WXI95" s="167"/>
      <c r="WXJ95" s="168"/>
      <c r="WXK95" s="167"/>
      <c r="WXL95" s="168"/>
      <c r="WXM95" s="167"/>
      <c r="WXN95" s="168"/>
      <c r="WXO95" s="167"/>
      <c r="WXP95" s="168"/>
      <c r="WXQ95" s="167"/>
      <c r="WXR95" s="168"/>
      <c r="WXS95" s="167"/>
      <c r="WXT95" s="168"/>
      <c r="WXU95" s="167"/>
      <c r="WXV95" s="168"/>
      <c r="WXW95" s="167"/>
      <c r="WXX95" s="168"/>
      <c r="WXY95" s="167"/>
      <c r="WXZ95" s="168"/>
      <c r="WYA95" s="167"/>
      <c r="WYB95" s="168"/>
      <c r="WYC95" s="167"/>
      <c r="WYD95" s="168"/>
      <c r="WYE95" s="167"/>
      <c r="WYF95" s="168"/>
      <c r="WYG95" s="167"/>
      <c r="WYH95" s="168"/>
      <c r="WYI95" s="167"/>
      <c r="WYJ95" s="168"/>
      <c r="WYK95" s="167"/>
      <c r="WYL95" s="168"/>
      <c r="WYM95" s="167"/>
      <c r="WYN95" s="168"/>
      <c r="WYO95" s="167"/>
      <c r="WYP95" s="168"/>
      <c r="WYQ95" s="167"/>
      <c r="WYR95" s="168"/>
      <c r="WYS95" s="167"/>
      <c r="WYT95" s="168"/>
      <c r="WYU95" s="167"/>
      <c r="WYV95" s="168"/>
      <c r="WYW95" s="167"/>
      <c r="WYX95" s="168"/>
      <c r="WYY95" s="167"/>
      <c r="WYZ95" s="168"/>
      <c r="WZA95" s="167"/>
      <c r="WZB95" s="168"/>
      <c r="WZC95" s="167"/>
      <c r="WZD95" s="168"/>
      <c r="WZE95" s="167"/>
      <c r="WZF95" s="168"/>
      <c r="WZG95" s="167"/>
      <c r="WZH95" s="168"/>
      <c r="WZI95" s="167"/>
      <c r="WZJ95" s="168"/>
      <c r="WZK95" s="167"/>
      <c r="WZL95" s="168"/>
      <c r="WZM95" s="167"/>
      <c r="WZN95" s="168"/>
      <c r="WZO95" s="167"/>
      <c r="WZP95" s="168"/>
      <c r="WZQ95" s="167"/>
      <c r="WZR95" s="168"/>
      <c r="WZS95" s="167"/>
      <c r="WZT95" s="168"/>
      <c r="WZU95" s="167"/>
      <c r="WZV95" s="168"/>
      <c r="WZW95" s="167"/>
      <c r="WZX95" s="168"/>
      <c r="WZY95" s="167"/>
      <c r="WZZ95" s="168"/>
      <c r="XAA95" s="167"/>
      <c r="XAB95" s="168"/>
      <c r="XAC95" s="167"/>
      <c r="XAD95" s="168"/>
      <c r="XAE95" s="167"/>
      <c r="XAF95" s="168"/>
      <c r="XAG95" s="167"/>
      <c r="XAH95" s="168"/>
      <c r="XAI95" s="167"/>
      <c r="XAJ95" s="168"/>
      <c r="XAK95" s="167"/>
      <c r="XAL95" s="168"/>
      <c r="XAM95" s="167"/>
      <c r="XAN95" s="168"/>
      <c r="XAO95" s="167"/>
      <c r="XAP95" s="168"/>
      <c r="XAQ95" s="167"/>
      <c r="XAR95" s="168"/>
      <c r="XAS95" s="167"/>
      <c r="XAT95" s="168"/>
      <c r="XAU95" s="167"/>
      <c r="XAV95" s="168"/>
      <c r="XAW95" s="167"/>
      <c r="XAX95" s="168"/>
      <c r="XAY95" s="167"/>
      <c r="XAZ95" s="168"/>
      <c r="XBA95" s="167"/>
      <c r="XBB95" s="168"/>
      <c r="XBC95" s="167"/>
      <c r="XBD95" s="168"/>
      <c r="XBE95" s="167"/>
      <c r="XBF95" s="168"/>
      <c r="XBG95" s="167"/>
      <c r="XBH95" s="168"/>
      <c r="XBI95" s="167"/>
      <c r="XBJ95" s="168"/>
      <c r="XBK95" s="167"/>
      <c r="XBL95" s="168"/>
      <c r="XBM95" s="167"/>
      <c r="XBN95" s="168"/>
      <c r="XBO95" s="167"/>
      <c r="XBP95" s="168"/>
      <c r="XBQ95" s="167"/>
      <c r="XBR95" s="168"/>
      <c r="XBS95" s="167"/>
      <c r="XBT95" s="168"/>
      <c r="XBU95" s="167"/>
      <c r="XBV95" s="168"/>
      <c r="XBW95" s="167"/>
      <c r="XBX95" s="168"/>
      <c r="XBY95" s="167"/>
      <c r="XBZ95" s="168"/>
      <c r="XCA95" s="167"/>
      <c r="XCB95" s="168"/>
      <c r="XCC95" s="167"/>
      <c r="XCD95" s="168"/>
      <c r="XCE95" s="167"/>
      <c r="XCF95" s="168"/>
      <c r="XCG95" s="167"/>
      <c r="XCH95" s="168"/>
      <c r="XCI95" s="167"/>
      <c r="XCJ95" s="168"/>
      <c r="XCK95" s="167"/>
      <c r="XCL95" s="168"/>
      <c r="XCM95" s="167"/>
      <c r="XCN95" s="168"/>
      <c r="XCO95" s="167"/>
      <c r="XCP95" s="168"/>
      <c r="XCQ95" s="167"/>
      <c r="XCR95" s="168"/>
      <c r="XCS95" s="167"/>
      <c r="XCT95" s="168"/>
      <c r="XCU95" s="167"/>
      <c r="XCV95" s="168"/>
      <c r="XCW95" s="167"/>
      <c r="XCX95" s="168"/>
      <c r="XCY95" s="167"/>
      <c r="XCZ95" s="168"/>
      <c r="XDA95" s="167"/>
      <c r="XDB95" s="168"/>
      <c r="XDC95" s="167"/>
      <c r="XDD95" s="168"/>
      <c r="XDE95" s="167"/>
      <c r="XDF95" s="168"/>
      <c r="XDG95" s="167"/>
      <c r="XDH95" s="168"/>
      <c r="XDI95" s="167"/>
      <c r="XDJ95" s="168"/>
      <c r="XDK95" s="167"/>
      <c r="XDL95" s="168"/>
      <c r="XDM95" s="167"/>
      <c r="XDN95" s="168"/>
      <c r="XDO95" s="167"/>
      <c r="XDP95" s="168"/>
      <c r="XDQ95" s="167"/>
      <c r="XDR95" s="168"/>
      <c r="XDS95" s="167"/>
      <c r="XDT95" s="168"/>
      <c r="XDU95" s="167"/>
      <c r="XDV95" s="168"/>
      <c r="XDW95" s="167"/>
      <c r="XDX95" s="168"/>
      <c r="XDY95" s="167"/>
      <c r="XDZ95" s="168"/>
      <c r="XEA95" s="167"/>
      <c r="XEB95" s="168"/>
      <c r="XEC95" s="167"/>
      <c r="XED95" s="168"/>
      <c r="XEE95" s="167"/>
      <c r="XEF95" s="168"/>
      <c r="XEG95" s="167"/>
      <c r="XEH95" s="168"/>
      <c r="XEI95" s="167"/>
      <c r="XEJ95" s="168"/>
      <c r="XEK95" s="167"/>
      <c r="XEL95" s="168"/>
      <c r="XEM95" s="167"/>
      <c r="XEN95" s="168"/>
      <c r="XEO95" s="167"/>
      <c r="XEP95" s="168"/>
      <c r="XEQ95" s="167"/>
      <c r="XER95" s="168"/>
      <c r="XES95" s="167"/>
      <c r="XET95" s="168"/>
      <c r="XEU95" s="167"/>
      <c r="XEV95" s="168"/>
      <c r="XEW95" s="167"/>
      <c r="XEX95" s="168"/>
      <c r="XEY95" s="167"/>
      <c r="XEZ95" s="168"/>
      <c r="XFA95" s="167"/>
      <c r="XFB95" s="168"/>
      <c r="XFC95" s="167"/>
      <c r="XFD95" s="168"/>
    </row>
    <row r="96" spans="1:16384" s="105" customFormat="1" ht="65.150000000000006" customHeight="1">
      <c r="A96"/>
      <c r="B96"/>
      <c r="C96"/>
      <c r="D96"/>
      <c r="E96" s="107"/>
      <c r="F96"/>
      <c r="G96" s="107"/>
      <c r="H96" s="107"/>
      <c r="I96" s="108"/>
      <c r="J96" s="108"/>
      <c r="K96" s="107"/>
      <c r="L96" s="107"/>
      <c r="M96" s="107"/>
      <c r="N96" s="107"/>
      <c r="O96" s="107"/>
      <c r="P96" s="107"/>
      <c r="Q96" s="107"/>
      <c r="R96" s="107"/>
      <c r="S96" s="107"/>
      <c r="T96" s="107"/>
      <c r="U96" s="107"/>
      <c r="V96" s="107"/>
      <c r="W96" s="107"/>
      <c r="X96" s="107"/>
      <c r="Y96" s="107"/>
      <c r="Z96" s="107"/>
      <c r="AA96" s="109"/>
      <c r="AB96"/>
      <c r="AC96" s="167"/>
      <c r="AD96" s="168"/>
      <c r="AE96" s="167"/>
      <c r="AF96" s="168"/>
      <c r="AG96" s="167"/>
      <c r="AH96" s="168"/>
      <c r="AI96" s="167"/>
      <c r="AJ96" s="168"/>
      <c r="AK96" s="167"/>
      <c r="AL96" s="168"/>
      <c r="AM96" s="167"/>
      <c r="AN96" s="168"/>
      <c r="AO96" s="167"/>
      <c r="AP96" s="168"/>
      <c r="AQ96" s="167"/>
      <c r="AR96" s="168"/>
      <c r="AS96" s="167"/>
      <c r="AT96" s="168"/>
      <c r="AU96" s="167"/>
      <c r="AV96" s="168"/>
      <c r="AW96" s="167"/>
      <c r="AX96" s="168"/>
      <c r="AY96" s="167"/>
      <c r="AZ96" s="168"/>
      <c r="BA96" s="167"/>
      <c r="BB96" s="168"/>
      <c r="BC96" s="167"/>
      <c r="BD96" s="168"/>
      <c r="BE96" s="167"/>
      <c r="BF96" s="168"/>
      <c r="BG96" s="167"/>
      <c r="BH96" s="168"/>
      <c r="BI96" s="167"/>
      <c r="BJ96" s="168"/>
      <c r="BK96" s="167"/>
      <c r="BL96" s="168"/>
      <c r="BM96" s="167"/>
      <c r="BN96" s="168"/>
      <c r="BO96" s="167"/>
      <c r="BP96" s="168"/>
      <c r="BQ96" s="167"/>
      <c r="BR96" s="168"/>
      <c r="BS96" s="167"/>
      <c r="BT96" s="168"/>
      <c r="BU96" s="167"/>
      <c r="BV96" s="168"/>
      <c r="BW96" s="167"/>
      <c r="BX96" s="168"/>
      <c r="BY96" s="167"/>
      <c r="BZ96" s="168"/>
      <c r="CA96" s="167"/>
      <c r="CB96" s="168"/>
      <c r="CC96" s="167"/>
      <c r="CD96" s="168"/>
      <c r="CE96" s="167"/>
      <c r="CF96" s="168"/>
      <c r="CG96" s="167"/>
      <c r="CH96" s="168"/>
      <c r="CI96" s="167"/>
      <c r="CJ96" s="168"/>
      <c r="CK96" s="167"/>
      <c r="CL96" s="168"/>
      <c r="CM96" s="167"/>
      <c r="CN96" s="168"/>
      <c r="CO96" s="167"/>
      <c r="CP96" s="168"/>
      <c r="CQ96" s="167"/>
      <c r="CR96" s="168"/>
      <c r="CS96" s="167"/>
      <c r="CT96" s="168"/>
      <c r="CU96" s="167"/>
      <c r="CV96" s="168"/>
      <c r="CW96" s="167"/>
      <c r="CX96" s="168"/>
      <c r="CY96" s="167"/>
      <c r="CZ96" s="168"/>
      <c r="DA96" s="167"/>
      <c r="DB96" s="168"/>
      <c r="DC96" s="167"/>
      <c r="DD96" s="168"/>
      <c r="DE96" s="167"/>
      <c r="DF96" s="168"/>
      <c r="DG96" s="167"/>
      <c r="DH96" s="168"/>
      <c r="DI96" s="167"/>
      <c r="DJ96" s="168"/>
      <c r="DK96" s="167"/>
      <c r="DL96" s="168"/>
      <c r="DM96" s="167"/>
      <c r="DN96" s="168"/>
      <c r="DO96" s="167"/>
      <c r="DP96" s="168"/>
      <c r="DQ96" s="167"/>
      <c r="DR96" s="168"/>
      <c r="DS96" s="167"/>
      <c r="DT96" s="168"/>
      <c r="DU96" s="167"/>
      <c r="DV96" s="168"/>
      <c r="DW96" s="167"/>
      <c r="DX96" s="168"/>
      <c r="DY96" s="167"/>
      <c r="DZ96" s="168"/>
      <c r="EA96" s="167"/>
      <c r="EB96" s="168"/>
      <c r="EC96" s="167"/>
      <c r="ED96" s="168"/>
      <c r="EE96" s="167"/>
      <c r="EF96" s="168"/>
      <c r="EG96" s="167"/>
      <c r="EH96" s="168"/>
      <c r="EI96" s="167"/>
      <c r="EJ96" s="168"/>
      <c r="EK96" s="167"/>
      <c r="EL96" s="168"/>
      <c r="EM96" s="167"/>
      <c r="EN96" s="168"/>
      <c r="EO96" s="167"/>
      <c r="EP96" s="168"/>
      <c r="EQ96" s="167"/>
      <c r="ER96" s="168"/>
      <c r="ES96" s="167"/>
      <c r="ET96" s="168"/>
      <c r="EU96" s="167"/>
      <c r="EV96" s="168"/>
      <c r="EW96" s="167"/>
      <c r="EX96" s="168"/>
      <c r="EY96" s="167"/>
      <c r="EZ96" s="168"/>
      <c r="FA96" s="167"/>
      <c r="FB96" s="168"/>
      <c r="FC96" s="167"/>
      <c r="FD96" s="168"/>
      <c r="FE96" s="167"/>
      <c r="FF96" s="168"/>
      <c r="FG96" s="167"/>
      <c r="FH96" s="168"/>
      <c r="FI96" s="167"/>
      <c r="FJ96" s="168"/>
      <c r="FK96" s="167"/>
      <c r="FL96" s="168"/>
      <c r="FM96" s="167"/>
      <c r="FN96" s="168"/>
      <c r="FO96" s="167"/>
      <c r="FP96" s="168"/>
      <c r="FQ96" s="167"/>
      <c r="FR96" s="168"/>
      <c r="FS96" s="167"/>
      <c r="FT96" s="168"/>
      <c r="FU96" s="167"/>
      <c r="FV96" s="168"/>
      <c r="FW96" s="167"/>
      <c r="FX96" s="168"/>
      <c r="FY96" s="167"/>
      <c r="FZ96" s="168"/>
      <c r="GA96" s="167"/>
      <c r="GB96" s="168"/>
      <c r="GC96" s="167"/>
      <c r="GD96" s="168"/>
      <c r="GE96" s="167"/>
      <c r="GF96" s="168"/>
      <c r="GG96" s="167"/>
      <c r="GH96" s="168"/>
      <c r="GI96" s="167"/>
      <c r="GJ96" s="168"/>
      <c r="GK96" s="167"/>
      <c r="GL96" s="168"/>
      <c r="GM96" s="167"/>
      <c r="GN96" s="168"/>
      <c r="GO96" s="167"/>
      <c r="GP96" s="168"/>
      <c r="GQ96" s="167"/>
      <c r="GR96" s="168"/>
      <c r="GS96" s="167"/>
      <c r="GT96" s="168"/>
      <c r="GU96" s="167"/>
      <c r="GV96" s="168"/>
      <c r="GW96" s="167"/>
      <c r="GX96" s="168"/>
      <c r="GY96" s="167"/>
      <c r="GZ96" s="168"/>
      <c r="HA96" s="167"/>
      <c r="HB96" s="168"/>
      <c r="HC96" s="167"/>
      <c r="HD96" s="168"/>
      <c r="HE96" s="167"/>
      <c r="HF96" s="168"/>
      <c r="HG96" s="167"/>
      <c r="HH96" s="168"/>
      <c r="HI96" s="167"/>
      <c r="HJ96" s="168"/>
      <c r="HK96" s="167"/>
      <c r="HL96" s="168"/>
      <c r="HM96" s="167"/>
      <c r="HN96" s="168"/>
      <c r="HO96" s="167"/>
      <c r="HP96" s="168"/>
      <c r="HQ96" s="167"/>
      <c r="HR96" s="168"/>
      <c r="HS96" s="167"/>
      <c r="HT96" s="168"/>
      <c r="HU96" s="167"/>
      <c r="HV96" s="168"/>
      <c r="HW96" s="167"/>
      <c r="HX96" s="168"/>
      <c r="HY96" s="167"/>
      <c r="HZ96" s="168"/>
      <c r="IA96" s="167"/>
      <c r="IB96" s="168"/>
      <c r="IC96" s="167"/>
      <c r="ID96" s="168"/>
      <c r="IE96" s="167"/>
      <c r="IF96" s="168"/>
      <c r="IG96" s="167"/>
      <c r="IH96" s="168"/>
      <c r="II96" s="167"/>
      <c r="IJ96" s="168"/>
      <c r="IK96" s="167"/>
      <c r="IL96" s="168"/>
      <c r="IM96" s="167"/>
      <c r="IN96" s="168"/>
      <c r="IO96" s="167"/>
      <c r="IP96" s="168"/>
      <c r="IQ96" s="167"/>
      <c r="IR96" s="168"/>
      <c r="IS96" s="167"/>
      <c r="IT96" s="168"/>
      <c r="IU96" s="167"/>
      <c r="IV96" s="168"/>
      <c r="IW96" s="167"/>
      <c r="IX96" s="168"/>
      <c r="IY96" s="167"/>
      <c r="IZ96" s="168"/>
      <c r="JA96" s="167"/>
      <c r="JB96" s="168"/>
      <c r="JC96" s="167"/>
      <c r="JD96" s="168"/>
      <c r="JE96" s="167"/>
      <c r="JF96" s="168"/>
      <c r="JG96" s="167"/>
      <c r="JH96" s="168"/>
      <c r="JI96" s="167"/>
      <c r="JJ96" s="168"/>
      <c r="JK96" s="167"/>
      <c r="JL96" s="168"/>
      <c r="JM96" s="167"/>
      <c r="JN96" s="168"/>
      <c r="JO96" s="167"/>
      <c r="JP96" s="168"/>
      <c r="JQ96" s="167"/>
      <c r="JR96" s="168"/>
      <c r="JS96" s="167"/>
      <c r="JT96" s="168"/>
      <c r="JU96" s="167"/>
      <c r="JV96" s="168"/>
      <c r="JW96" s="167"/>
      <c r="JX96" s="168"/>
      <c r="JY96" s="167"/>
      <c r="JZ96" s="168"/>
      <c r="KA96" s="167"/>
      <c r="KB96" s="168"/>
      <c r="KC96" s="167"/>
      <c r="KD96" s="168"/>
      <c r="KE96" s="167"/>
      <c r="KF96" s="168"/>
      <c r="KG96" s="167"/>
      <c r="KH96" s="168"/>
      <c r="KI96" s="167"/>
      <c r="KJ96" s="168"/>
      <c r="KK96" s="167"/>
      <c r="KL96" s="168"/>
      <c r="KM96" s="167"/>
      <c r="KN96" s="168"/>
      <c r="KO96" s="167"/>
      <c r="KP96" s="168"/>
      <c r="KQ96" s="167"/>
      <c r="KR96" s="168"/>
      <c r="KS96" s="167"/>
      <c r="KT96" s="168"/>
      <c r="KU96" s="167"/>
      <c r="KV96" s="168"/>
      <c r="KW96" s="167"/>
      <c r="KX96" s="168"/>
      <c r="KY96" s="167"/>
      <c r="KZ96" s="168"/>
      <c r="LA96" s="167"/>
      <c r="LB96" s="168"/>
      <c r="LC96" s="167"/>
      <c r="LD96" s="168"/>
      <c r="LE96" s="167"/>
      <c r="LF96" s="168"/>
      <c r="LG96" s="167"/>
      <c r="LH96" s="168"/>
      <c r="LI96" s="167"/>
      <c r="LJ96" s="168"/>
      <c r="LK96" s="167"/>
      <c r="LL96" s="168"/>
      <c r="LM96" s="167"/>
      <c r="LN96" s="168"/>
      <c r="LO96" s="167"/>
      <c r="LP96" s="168"/>
      <c r="LQ96" s="167"/>
      <c r="LR96" s="168"/>
      <c r="LS96" s="167"/>
      <c r="LT96" s="168"/>
      <c r="LU96" s="167"/>
      <c r="LV96" s="168"/>
      <c r="LW96" s="167"/>
      <c r="LX96" s="168"/>
      <c r="LY96" s="167"/>
      <c r="LZ96" s="168"/>
      <c r="MA96" s="167"/>
      <c r="MB96" s="168"/>
      <c r="MC96" s="167"/>
      <c r="MD96" s="168"/>
      <c r="ME96" s="167"/>
      <c r="MF96" s="168"/>
      <c r="MG96" s="167"/>
      <c r="MH96" s="168"/>
      <c r="MI96" s="167"/>
      <c r="MJ96" s="168"/>
      <c r="MK96" s="167"/>
      <c r="ML96" s="168"/>
      <c r="MM96" s="167"/>
      <c r="MN96" s="168"/>
      <c r="MO96" s="167"/>
      <c r="MP96" s="168"/>
      <c r="MQ96" s="167"/>
      <c r="MR96" s="168"/>
      <c r="MS96" s="167"/>
      <c r="MT96" s="168"/>
      <c r="MU96" s="167"/>
      <c r="MV96" s="168"/>
      <c r="MW96" s="167"/>
      <c r="MX96" s="168"/>
      <c r="MY96" s="167"/>
      <c r="MZ96" s="168"/>
      <c r="NA96" s="167"/>
      <c r="NB96" s="168"/>
      <c r="NC96" s="167"/>
      <c r="ND96" s="168"/>
      <c r="NE96" s="167"/>
      <c r="NF96" s="168"/>
      <c r="NG96" s="167"/>
      <c r="NH96" s="168"/>
      <c r="NI96" s="167"/>
      <c r="NJ96" s="168"/>
      <c r="NK96" s="167"/>
      <c r="NL96" s="168"/>
      <c r="NM96" s="167"/>
      <c r="NN96" s="168"/>
      <c r="NO96" s="167"/>
      <c r="NP96" s="168"/>
      <c r="NQ96" s="167"/>
      <c r="NR96" s="168"/>
      <c r="NS96" s="167"/>
      <c r="NT96" s="168"/>
      <c r="NU96" s="167"/>
      <c r="NV96" s="168"/>
      <c r="NW96" s="167"/>
      <c r="NX96" s="168"/>
      <c r="NY96" s="167"/>
      <c r="NZ96" s="168"/>
      <c r="OA96" s="167"/>
      <c r="OB96" s="168"/>
      <c r="OC96" s="167"/>
      <c r="OD96" s="168"/>
      <c r="OE96" s="167"/>
      <c r="OF96" s="168"/>
      <c r="OG96" s="167"/>
      <c r="OH96" s="168"/>
      <c r="OI96" s="167"/>
      <c r="OJ96" s="168"/>
      <c r="OK96" s="167"/>
      <c r="OL96" s="168"/>
      <c r="OM96" s="167"/>
      <c r="ON96" s="168"/>
      <c r="OO96" s="167"/>
      <c r="OP96" s="168"/>
      <c r="OQ96" s="167"/>
      <c r="OR96" s="168"/>
      <c r="OS96" s="167"/>
      <c r="OT96" s="168"/>
      <c r="OU96" s="167"/>
      <c r="OV96" s="168"/>
      <c r="OW96" s="167"/>
      <c r="OX96" s="168"/>
      <c r="OY96" s="167"/>
      <c r="OZ96" s="168"/>
      <c r="PA96" s="167"/>
      <c r="PB96" s="168"/>
      <c r="PC96" s="167"/>
      <c r="PD96" s="168"/>
      <c r="PE96" s="167"/>
      <c r="PF96" s="168"/>
      <c r="PG96" s="167"/>
      <c r="PH96" s="168"/>
      <c r="PI96" s="167"/>
      <c r="PJ96" s="168"/>
      <c r="PK96" s="167"/>
      <c r="PL96" s="168"/>
      <c r="PM96" s="167"/>
      <c r="PN96" s="168"/>
      <c r="PO96" s="167"/>
      <c r="PP96" s="168"/>
      <c r="PQ96" s="167"/>
      <c r="PR96" s="168"/>
      <c r="PS96" s="167"/>
      <c r="PT96" s="168"/>
      <c r="PU96" s="167"/>
      <c r="PV96" s="168"/>
      <c r="PW96" s="167"/>
      <c r="PX96" s="168"/>
      <c r="PY96" s="167"/>
      <c r="PZ96" s="168"/>
      <c r="QA96" s="167"/>
      <c r="QB96" s="168"/>
      <c r="QC96" s="167"/>
      <c r="QD96" s="168"/>
      <c r="QE96" s="167"/>
      <c r="QF96" s="168"/>
      <c r="QG96" s="167"/>
      <c r="QH96" s="168"/>
      <c r="QI96" s="167"/>
      <c r="QJ96" s="168"/>
      <c r="QK96" s="167"/>
      <c r="QL96" s="168"/>
      <c r="QM96" s="167"/>
      <c r="QN96" s="168"/>
      <c r="QO96" s="167"/>
      <c r="QP96" s="168"/>
      <c r="QQ96" s="167"/>
      <c r="QR96" s="168"/>
      <c r="QS96" s="167"/>
      <c r="QT96" s="168"/>
      <c r="QU96" s="167"/>
      <c r="QV96" s="168"/>
      <c r="QW96" s="167"/>
      <c r="QX96" s="168"/>
      <c r="QY96" s="167"/>
      <c r="QZ96" s="168"/>
      <c r="RA96" s="167"/>
      <c r="RB96" s="168"/>
      <c r="RC96" s="167"/>
      <c r="RD96" s="168"/>
      <c r="RE96" s="167"/>
      <c r="RF96" s="168"/>
      <c r="RG96" s="167"/>
      <c r="RH96" s="168"/>
      <c r="RI96" s="167"/>
      <c r="RJ96" s="168"/>
      <c r="RK96" s="167"/>
      <c r="RL96" s="168"/>
      <c r="RM96" s="167"/>
      <c r="RN96" s="168"/>
      <c r="RO96" s="167"/>
      <c r="RP96" s="168"/>
      <c r="RQ96" s="167"/>
      <c r="RR96" s="168"/>
      <c r="RS96" s="167"/>
      <c r="RT96" s="168"/>
      <c r="RU96" s="167"/>
      <c r="RV96" s="168"/>
      <c r="RW96" s="167"/>
      <c r="RX96" s="168"/>
      <c r="RY96" s="167"/>
      <c r="RZ96" s="168"/>
      <c r="SA96" s="167"/>
      <c r="SB96" s="168"/>
      <c r="SC96" s="167"/>
      <c r="SD96" s="168"/>
      <c r="SE96" s="167"/>
      <c r="SF96" s="168"/>
      <c r="SG96" s="167"/>
      <c r="SH96" s="168"/>
      <c r="SI96" s="167"/>
      <c r="SJ96" s="168"/>
      <c r="SK96" s="167"/>
      <c r="SL96" s="168"/>
      <c r="SM96" s="167"/>
      <c r="SN96" s="168"/>
      <c r="SO96" s="167"/>
      <c r="SP96" s="168"/>
      <c r="SQ96" s="167"/>
      <c r="SR96" s="168"/>
      <c r="SS96" s="167"/>
      <c r="ST96" s="168"/>
      <c r="SU96" s="167"/>
      <c r="SV96" s="168"/>
      <c r="SW96" s="167"/>
      <c r="SX96" s="168"/>
      <c r="SY96" s="167"/>
      <c r="SZ96" s="168"/>
      <c r="TA96" s="167"/>
      <c r="TB96" s="168"/>
      <c r="TC96" s="167"/>
      <c r="TD96" s="168"/>
      <c r="TE96" s="167"/>
      <c r="TF96" s="168"/>
      <c r="TG96" s="167"/>
      <c r="TH96" s="168"/>
      <c r="TI96" s="167"/>
      <c r="TJ96" s="168"/>
      <c r="TK96" s="167"/>
      <c r="TL96" s="168"/>
      <c r="TM96" s="167"/>
      <c r="TN96" s="168"/>
      <c r="TO96" s="167"/>
      <c r="TP96" s="168"/>
      <c r="TQ96" s="167"/>
      <c r="TR96" s="168"/>
      <c r="TS96" s="167"/>
      <c r="TT96" s="168"/>
      <c r="TU96" s="167"/>
      <c r="TV96" s="168"/>
      <c r="TW96" s="167"/>
      <c r="TX96" s="168"/>
      <c r="TY96" s="167"/>
      <c r="TZ96" s="168"/>
      <c r="UA96" s="167"/>
      <c r="UB96" s="168"/>
      <c r="UC96" s="167"/>
      <c r="UD96" s="168"/>
      <c r="UE96" s="167"/>
      <c r="UF96" s="168"/>
      <c r="UG96" s="167"/>
      <c r="UH96" s="168"/>
      <c r="UI96" s="167"/>
      <c r="UJ96" s="168"/>
      <c r="UK96" s="167"/>
      <c r="UL96" s="168"/>
      <c r="UM96" s="167"/>
      <c r="UN96" s="168"/>
      <c r="UO96" s="167"/>
      <c r="UP96" s="168"/>
      <c r="UQ96" s="167"/>
      <c r="UR96" s="168"/>
      <c r="US96" s="167"/>
      <c r="UT96" s="168"/>
      <c r="UU96" s="167"/>
      <c r="UV96" s="168"/>
      <c r="UW96" s="167"/>
      <c r="UX96" s="168"/>
      <c r="UY96" s="167"/>
      <c r="UZ96" s="168"/>
      <c r="VA96" s="167"/>
      <c r="VB96" s="168"/>
      <c r="VC96" s="167"/>
      <c r="VD96" s="168"/>
      <c r="VE96" s="167"/>
      <c r="VF96" s="168"/>
      <c r="VG96" s="167"/>
      <c r="VH96" s="168"/>
      <c r="VI96" s="167"/>
      <c r="VJ96" s="168"/>
      <c r="VK96" s="167"/>
      <c r="VL96" s="168"/>
      <c r="VM96" s="167"/>
      <c r="VN96" s="168"/>
      <c r="VO96" s="167"/>
      <c r="VP96" s="168"/>
      <c r="VQ96" s="167"/>
      <c r="VR96" s="168"/>
      <c r="VS96" s="167"/>
      <c r="VT96" s="168"/>
      <c r="VU96" s="167"/>
      <c r="VV96" s="168"/>
      <c r="VW96" s="167"/>
      <c r="VX96" s="168"/>
      <c r="VY96" s="167"/>
      <c r="VZ96" s="168"/>
      <c r="WA96" s="167"/>
      <c r="WB96" s="168"/>
      <c r="WC96" s="167"/>
      <c r="WD96" s="168"/>
      <c r="WE96" s="167"/>
      <c r="WF96" s="168"/>
      <c r="WG96" s="167"/>
      <c r="WH96" s="168"/>
      <c r="WI96" s="167"/>
      <c r="WJ96" s="168"/>
      <c r="WK96" s="167"/>
      <c r="WL96" s="168"/>
      <c r="WM96" s="167"/>
      <c r="WN96" s="168"/>
      <c r="WO96" s="167"/>
      <c r="WP96" s="168"/>
      <c r="WQ96" s="167"/>
      <c r="WR96" s="168"/>
      <c r="WS96" s="167"/>
      <c r="WT96" s="168"/>
      <c r="WU96" s="167"/>
      <c r="WV96" s="168"/>
      <c r="WW96" s="167"/>
      <c r="WX96" s="168"/>
      <c r="WY96" s="167"/>
      <c r="WZ96" s="168"/>
      <c r="XA96" s="167"/>
      <c r="XB96" s="168"/>
      <c r="XC96" s="167"/>
      <c r="XD96" s="168"/>
      <c r="XE96" s="167"/>
      <c r="XF96" s="168"/>
      <c r="XG96" s="167"/>
      <c r="XH96" s="168"/>
      <c r="XI96" s="167"/>
      <c r="XJ96" s="168"/>
      <c r="XK96" s="167"/>
      <c r="XL96" s="168"/>
      <c r="XM96" s="167"/>
      <c r="XN96" s="168"/>
      <c r="XO96" s="167"/>
      <c r="XP96" s="168"/>
      <c r="XQ96" s="167"/>
      <c r="XR96" s="168"/>
      <c r="XS96" s="167"/>
      <c r="XT96" s="168"/>
      <c r="XU96" s="167"/>
      <c r="XV96" s="168"/>
      <c r="XW96" s="167"/>
      <c r="XX96" s="168"/>
      <c r="XY96" s="167"/>
      <c r="XZ96" s="168"/>
      <c r="YA96" s="167"/>
      <c r="YB96" s="168"/>
      <c r="YC96" s="167"/>
      <c r="YD96" s="168"/>
      <c r="YE96" s="167"/>
      <c r="YF96" s="168"/>
      <c r="YG96" s="167"/>
      <c r="YH96" s="168"/>
      <c r="YI96" s="167"/>
      <c r="YJ96" s="168"/>
      <c r="YK96" s="167"/>
      <c r="YL96" s="168"/>
      <c r="YM96" s="167"/>
      <c r="YN96" s="168"/>
      <c r="YO96" s="167"/>
      <c r="YP96" s="168"/>
      <c r="YQ96" s="167"/>
      <c r="YR96" s="168"/>
      <c r="YS96" s="167"/>
      <c r="YT96" s="168"/>
      <c r="YU96" s="167"/>
      <c r="YV96" s="168"/>
      <c r="YW96" s="167"/>
      <c r="YX96" s="168"/>
      <c r="YY96" s="167"/>
      <c r="YZ96" s="168"/>
      <c r="ZA96" s="167"/>
      <c r="ZB96" s="168"/>
      <c r="ZC96" s="167"/>
      <c r="ZD96" s="168"/>
      <c r="ZE96" s="167"/>
      <c r="ZF96" s="168"/>
      <c r="ZG96" s="167"/>
      <c r="ZH96" s="168"/>
      <c r="ZI96" s="167"/>
      <c r="ZJ96" s="168"/>
      <c r="ZK96" s="167"/>
      <c r="ZL96" s="168"/>
      <c r="ZM96" s="167"/>
      <c r="ZN96" s="168"/>
      <c r="ZO96" s="167"/>
      <c r="ZP96" s="168"/>
      <c r="ZQ96" s="167"/>
      <c r="ZR96" s="168"/>
      <c r="ZS96" s="167"/>
      <c r="ZT96" s="168"/>
      <c r="ZU96" s="167"/>
      <c r="ZV96" s="168"/>
      <c r="ZW96" s="167"/>
      <c r="ZX96" s="168"/>
      <c r="ZY96" s="167"/>
      <c r="ZZ96" s="168"/>
      <c r="AAA96" s="167"/>
      <c r="AAB96" s="168"/>
      <c r="AAC96" s="167"/>
      <c r="AAD96" s="168"/>
      <c r="AAE96" s="167"/>
      <c r="AAF96" s="168"/>
      <c r="AAG96" s="167"/>
      <c r="AAH96" s="168"/>
      <c r="AAI96" s="167"/>
      <c r="AAJ96" s="168"/>
      <c r="AAK96" s="167"/>
      <c r="AAL96" s="168"/>
      <c r="AAM96" s="167"/>
      <c r="AAN96" s="168"/>
      <c r="AAO96" s="167"/>
      <c r="AAP96" s="168"/>
      <c r="AAQ96" s="167"/>
      <c r="AAR96" s="168"/>
      <c r="AAS96" s="167"/>
      <c r="AAT96" s="168"/>
      <c r="AAU96" s="167"/>
      <c r="AAV96" s="168"/>
      <c r="AAW96" s="167"/>
      <c r="AAX96" s="168"/>
      <c r="AAY96" s="167"/>
      <c r="AAZ96" s="168"/>
      <c r="ABA96" s="167"/>
      <c r="ABB96" s="168"/>
      <c r="ABC96" s="167"/>
      <c r="ABD96" s="168"/>
      <c r="ABE96" s="167"/>
      <c r="ABF96" s="168"/>
      <c r="ABG96" s="167"/>
      <c r="ABH96" s="168"/>
      <c r="ABI96" s="167"/>
      <c r="ABJ96" s="168"/>
      <c r="ABK96" s="167"/>
      <c r="ABL96" s="168"/>
      <c r="ABM96" s="167"/>
      <c r="ABN96" s="168"/>
      <c r="ABO96" s="167"/>
      <c r="ABP96" s="168"/>
      <c r="ABQ96" s="167"/>
      <c r="ABR96" s="168"/>
      <c r="ABS96" s="167"/>
      <c r="ABT96" s="168"/>
      <c r="ABU96" s="167"/>
      <c r="ABV96" s="168"/>
      <c r="ABW96" s="167"/>
      <c r="ABX96" s="168"/>
      <c r="ABY96" s="167"/>
      <c r="ABZ96" s="168"/>
      <c r="ACA96" s="167"/>
      <c r="ACB96" s="168"/>
      <c r="ACC96" s="167"/>
      <c r="ACD96" s="168"/>
      <c r="ACE96" s="167"/>
      <c r="ACF96" s="168"/>
      <c r="ACG96" s="167"/>
      <c r="ACH96" s="168"/>
      <c r="ACI96" s="167"/>
      <c r="ACJ96" s="168"/>
      <c r="ACK96" s="167"/>
      <c r="ACL96" s="168"/>
      <c r="ACM96" s="167"/>
      <c r="ACN96" s="168"/>
      <c r="ACO96" s="167"/>
      <c r="ACP96" s="168"/>
      <c r="ACQ96" s="167"/>
      <c r="ACR96" s="168"/>
      <c r="ACS96" s="167"/>
      <c r="ACT96" s="168"/>
      <c r="ACU96" s="167"/>
      <c r="ACV96" s="168"/>
      <c r="ACW96" s="167"/>
      <c r="ACX96" s="168"/>
      <c r="ACY96" s="167"/>
      <c r="ACZ96" s="168"/>
      <c r="ADA96" s="167"/>
      <c r="ADB96" s="168"/>
      <c r="ADC96" s="167"/>
      <c r="ADD96" s="168"/>
      <c r="ADE96" s="167"/>
      <c r="ADF96" s="168"/>
      <c r="ADG96" s="167"/>
      <c r="ADH96" s="168"/>
      <c r="ADI96" s="167"/>
      <c r="ADJ96" s="168"/>
      <c r="ADK96" s="167"/>
      <c r="ADL96" s="168"/>
      <c r="ADM96" s="167"/>
      <c r="ADN96" s="168"/>
      <c r="ADO96" s="167"/>
      <c r="ADP96" s="168"/>
      <c r="ADQ96" s="167"/>
      <c r="ADR96" s="168"/>
      <c r="ADS96" s="167"/>
      <c r="ADT96" s="168"/>
      <c r="ADU96" s="167"/>
      <c r="ADV96" s="168"/>
      <c r="ADW96" s="167"/>
      <c r="ADX96" s="168"/>
      <c r="ADY96" s="167"/>
      <c r="ADZ96" s="168"/>
      <c r="AEA96" s="167"/>
      <c r="AEB96" s="168"/>
      <c r="AEC96" s="167"/>
      <c r="AED96" s="168"/>
      <c r="AEE96" s="167"/>
      <c r="AEF96" s="168"/>
      <c r="AEG96" s="167"/>
      <c r="AEH96" s="168"/>
      <c r="AEI96" s="167"/>
      <c r="AEJ96" s="168"/>
      <c r="AEK96" s="167"/>
      <c r="AEL96" s="168"/>
      <c r="AEM96" s="167"/>
      <c r="AEN96" s="168"/>
      <c r="AEO96" s="167"/>
      <c r="AEP96" s="168"/>
      <c r="AEQ96" s="167"/>
      <c r="AER96" s="168"/>
      <c r="AES96" s="167"/>
      <c r="AET96" s="168"/>
      <c r="AEU96" s="167"/>
      <c r="AEV96" s="168"/>
      <c r="AEW96" s="167"/>
      <c r="AEX96" s="168"/>
      <c r="AEY96" s="167"/>
      <c r="AEZ96" s="168"/>
      <c r="AFA96" s="167"/>
      <c r="AFB96" s="168"/>
      <c r="AFC96" s="167"/>
      <c r="AFD96" s="168"/>
      <c r="AFE96" s="167"/>
      <c r="AFF96" s="168"/>
      <c r="AFG96" s="167"/>
      <c r="AFH96" s="168"/>
      <c r="AFI96" s="167"/>
      <c r="AFJ96" s="168"/>
      <c r="AFK96" s="167"/>
      <c r="AFL96" s="168"/>
      <c r="AFM96" s="167"/>
      <c r="AFN96" s="168"/>
      <c r="AFO96" s="167"/>
      <c r="AFP96" s="168"/>
      <c r="AFQ96" s="167"/>
      <c r="AFR96" s="168"/>
      <c r="AFS96" s="167"/>
      <c r="AFT96" s="168"/>
      <c r="AFU96" s="167"/>
      <c r="AFV96" s="168"/>
      <c r="AFW96" s="167"/>
      <c r="AFX96" s="168"/>
      <c r="AFY96" s="167"/>
      <c r="AFZ96" s="168"/>
      <c r="AGA96" s="167"/>
      <c r="AGB96" s="168"/>
      <c r="AGC96" s="167"/>
      <c r="AGD96" s="168"/>
      <c r="AGE96" s="167"/>
      <c r="AGF96" s="168"/>
      <c r="AGG96" s="167"/>
      <c r="AGH96" s="168"/>
      <c r="AGI96" s="167"/>
      <c r="AGJ96" s="168"/>
      <c r="AGK96" s="167"/>
      <c r="AGL96" s="168"/>
      <c r="AGM96" s="167"/>
      <c r="AGN96" s="168"/>
      <c r="AGO96" s="167"/>
      <c r="AGP96" s="168"/>
      <c r="AGQ96" s="167"/>
      <c r="AGR96" s="168"/>
      <c r="AGS96" s="167"/>
      <c r="AGT96" s="168"/>
      <c r="AGU96" s="167"/>
      <c r="AGV96" s="168"/>
      <c r="AGW96" s="167"/>
      <c r="AGX96" s="168"/>
      <c r="AGY96" s="167"/>
      <c r="AGZ96" s="168"/>
      <c r="AHA96" s="167"/>
      <c r="AHB96" s="168"/>
      <c r="AHC96" s="167"/>
      <c r="AHD96" s="168"/>
      <c r="AHE96" s="167"/>
      <c r="AHF96" s="168"/>
      <c r="AHG96" s="167"/>
      <c r="AHH96" s="168"/>
      <c r="AHI96" s="167"/>
      <c r="AHJ96" s="168"/>
      <c r="AHK96" s="167"/>
      <c r="AHL96" s="168"/>
      <c r="AHM96" s="167"/>
      <c r="AHN96" s="168"/>
      <c r="AHO96" s="167"/>
      <c r="AHP96" s="168"/>
      <c r="AHQ96" s="167"/>
      <c r="AHR96" s="168"/>
      <c r="AHS96" s="167"/>
      <c r="AHT96" s="168"/>
      <c r="AHU96" s="167"/>
      <c r="AHV96" s="168"/>
      <c r="AHW96" s="167"/>
      <c r="AHX96" s="168"/>
      <c r="AHY96" s="167"/>
      <c r="AHZ96" s="168"/>
      <c r="AIA96" s="167"/>
      <c r="AIB96" s="168"/>
      <c r="AIC96" s="167"/>
      <c r="AID96" s="168"/>
      <c r="AIE96" s="167"/>
      <c r="AIF96" s="168"/>
      <c r="AIG96" s="167"/>
      <c r="AIH96" s="168"/>
      <c r="AII96" s="167"/>
      <c r="AIJ96" s="168"/>
      <c r="AIK96" s="167"/>
      <c r="AIL96" s="168"/>
      <c r="AIM96" s="167"/>
      <c r="AIN96" s="168"/>
      <c r="AIO96" s="167"/>
      <c r="AIP96" s="168"/>
      <c r="AIQ96" s="167"/>
      <c r="AIR96" s="168"/>
      <c r="AIS96" s="167"/>
      <c r="AIT96" s="168"/>
      <c r="AIU96" s="167"/>
      <c r="AIV96" s="168"/>
      <c r="AIW96" s="167"/>
      <c r="AIX96" s="168"/>
      <c r="AIY96" s="167"/>
      <c r="AIZ96" s="168"/>
      <c r="AJA96" s="167"/>
      <c r="AJB96" s="168"/>
      <c r="AJC96" s="167"/>
      <c r="AJD96" s="168"/>
      <c r="AJE96" s="167"/>
      <c r="AJF96" s="168"/>
      <c r="AJG96" s="167"/>
      <c r="AJH96" s="168"/>
      <c r="AJI96" s="167"/>
      <c r="AJJ96" s="168"/>
      <c r="AJK96" s="167"/>
      <c r="AJL96" s="168"/>
      <c r="AJM96" s="167"/>
      <c r="AJN96" s="168"/>
      <c r="AJO96" s="167"/>
      <c r="AJP96" s="168"/>
      <c r="AJQ96" s="167"/>
      <c r="AJR96" s="168"/>
      <c r="AJS96" s="167"/>
      <c r="AJT96" s="168"/>
      <c r="AJU96" s="167"/>
      <c r="AJV96" s="168"/>
      <c r="AJW96" s="167"/>
      <c r="AJX96" s="168"/>
      <c r="AJY96" s="167"/>
      <c r="AJZ96" s="168"/>
      <c r="AKA96" s="167"/>
      <c r="AKB96" s="168"/>
      <c r="AKC96" s="167"/>
      <c r="AKD96" s="168"/>
      <c r="AKE96" s="167"/>
      <c r="AKF96" s="168"/>
      <c r="AKG96" s="167"/>
      <c r="AKH96" s="168"/>
      <c r="AKI96" s="167"/>
      <c r="AKJ96" s="168"/>
      <c r="AKK96" s="167"/>
      <c r="AKL96" s="168"/>
      <c r="AKM96" s="167"/>
      <c r="AKN96" s="168"/>
      <c r="AKO96" s="167"/>
      <c r="AKP96" s="168"/>
      <c r="AKQ96" s="167"/>
      <c r="AKR96" s="168"/>
      <c r="AKS96" s="167"/>
      <c r="AKT96" s="168"/>
      <c r="AKU96" s="167"/>
      <c r="AKV96" s="168"/>
      <c r="AKW96" s="167"/>
      <c r="AKX96" s="168"/>
      <c r="AKY96" s="167"/>
      <c r="AKZ96" s="168"/>
      <c r="ALA96" s="167"/>
      <c r="ALB96" s="168"/>
      <c r="ALC96" s="167"/>
      <c r="ALD96" s="168"/>
      <c r="ALE96" s="167"/>
      <c r="ALF96" s="168"/>
      <c r="ALG96" s="167"/>
      <c r="ALH96" s="168"/>
      <c r="ALI96" s="167"/>
      <c r="ALJ96" s="168"/>
      <c r="ALK96" s="167"/>
      <c r="ALL96" s="168"/>
      <c r="ALM96" s="167"/>
      <c r="ALN96" s="168"/>
      <c r="ALO96" s="167"/>
      <c r="ALP96" s="168"/>
      <c r="ALQ96" s="167"/>
      <c r="ALR96" s="168"/>
      <c r="ALS96" s="167"/>
      <c r="ALT96" s="168"/>
      <c r="ALU96" s="167"/>
      <c r="ALV96" s="168"/>
      <c r="ALW96" s="167"/>
      <c r="ALX96" s="168"/>
      <c r="ALY96" s="167"/>
      <c r="ALZ96" s="168"/>
      <c r="AMA96" s="167"/>
      <c r="AMB96" s="168"/>
      <c r="AMC96" s="167"/>
      <c r="AMD96" s="168"/>
      <c r="AME96" s="167"/>
      <c r="AMF96" s="168"/>
      <c r="AMG96" s="167"/>
      <c r="AMH96" s="168"/>
      <c r="AMI96" s="167"/>
      <c r="AMJ96" s="168"/>
      <c r="AMK96" s="167"/>
      <c r="AML96" s="168"/>
      <c r="AMM96" s="167"/>
      <c r="AMN96" s="168"/>
      <c r="AMO96" s="167"/>
      <c r="AMP96" s="168"/>
      <c r="AMQ96" s="167"/>
      <c r="AMR96" s="168"/>
      <c r="AMS96" s="167"/>
      <c r="AMT96" s="168"/>
      <c r="AMU96" s="167"/>
      <c r="AMV96" s="168"/>
      <c r="AMW96" s="167"/>
      <c r="AMX96" s="168"/>
      <c r="AMY96" s="167"/>
      <c r="AMZ96" s="168"/>
      <c r="ANA96" s="167"/>
      <c r="ANB96" s="168"/>
      <c r="ANC96" s="167"/>
      <c r="AND96" s="168"/>
      <c r="ANE96" s="167"/>
      <c r="ANF96" s="168"/>
      <c r="ANG96" s="167"/>
      <c r="ANH96" s="168"/>
      <c r="ANI96" s="167"/>
      <c r="ANJ96" s="168"/>
      <c r="ANK96" s="167"/>
      <c r="ANL96" s="168"/>
      <c r="ANM96" s="167"/>
      <c r="ANN96" s="168"/>
      <c r="ANO96" s="167"/>
      <c r="ANP96" s="168"/>
      <c r="ANQ96" s="167"/>
      <c r="ANR96" s="168"/>
      <c r="ANS96" s="167"/>
      <c r="ANT96" s="168"/>
      <c r="ANU96" s="167"/>
      <c r="ANV96" s="168"/>
      <c r="ANW96" s="167"/>
      <c r="ANX96" s="168"/>
      <c r="ANY96" s="167"/>
      <c r="ANZ96" s="168"/>
      <c r="AOA96" s="167"/>
      <c r="AOB96" s="168"/>
      <c r="AOC96" s="167"/>
      <c r="AOD96" s="168"/>
      <c r="AOE96" s="167"/>
      <c r="AOF96" s="168"/>
      <c r="AOG96" s="167"/>
      <c r="AOH96" s="168"/>
      <c r="AOI96" s="167"/>
      <c r="AOJ96" s="168"/>
      <c r="AOK96" s="167"/>
      <c r="AOL96" s="168"/>
      <c r="AOM96" s="167"/>
      <c r="AON96" s="168"/>
      <c r="AOO96" s="167"/>
      <c r="AOP96" s="168"/>
      <c r="AOQ96" s="167"/>
      <c r="AOR96" s="168"/>
      <c r="AOS96" s="167"/>
      <c r="AOT96" s="168"/>
      <c r="AOU96" s="167"/>
      <c r="AOV96" s="168"/>
      <c r="AOW96" s="167"/>
      <c r="AOX96" s="168"/>
      <c r="AOY96" s="167"/>
      <c r="AOZ96" s="168"/>
      <c r="APA96" s="167"/>
      <c r="APB96" s="168"/>
      <c r="APC96" s="167"/>
      <c r="APD96" s="168"/>
      <c r="APE96" s="167"/>
      <c r="APF96" s="168"/>
      <c r="APG96" s="167"/>
      <c r="APH96" s="168"/>
      <c r="API96" s="167"/>
      <c r="APJ96" s="168"/>
      <c r="APK96" s="167"/>
      <c r="APL96" s="168"/>
      <c r="APM96" s="167"/>
      <c r="APN96" s="168"/>
      <c r="APO96" s="167"/>
      <c r="APP96" s="168"/>
      <c r="APQ96" s="167"/>
      <c r="APR96" s="168"/>
      <c r="APS96" s="167"/>
      <c r="APT96" s="168"/>
      <c r="APU96" s="167"/>
      <c r="APV96" s="168"/>
      <c r="APW96" s="167"/>
      <c r="APX96" s="168"/>
      <c r="APY96" s="167"/>
      <c r="APZ96" s="168"/>
      <c r="AQA96" s="167"/>
      <c r="AQB96" s="168"/>
      <c r="AQC96" s="167"/>
      <c r="AQD96" s="168"/>
      <c r="AQE96" s="167"/>
      <c r="AQF96" s="168"/>
      <c r="AQG96" s="167"/>
      <c r="AQH96" s="168"/>
      <c r="AQI96" s="167"/>
      <c r="AQJ96" s="168"/>
      <c r="AQK96" s="167"/>
      <c r="AQL96" s="168"/>
      <c r="AQM96" s="167"/>
      <c r="AQN96" s="168"/>
      <c r="AQO96" s="167"/>
      <c r="AQP96" s="168"/>
      <c r="AQQ96" s="167"/>
      <c r="AQR96" s="168"/>
      <c r="AQS96" s="167"/>
      <c r="AQT96" s="168"/>
      <c r="AQU96" s="167"/>
      <c r="AQV96" s="168"/>
      <c r="AQW96" s="167"/>
      <c r="AQX96" s="168"/>
      <c r="AQY96" s="167"/>
      <c r="AQZ96" s="168"/>
      <c r="ARA96" s="167"/>
      <c r="ARB96" s="168"/>
      <c r="ARC96" s="167"/>
      <c r="ARD96" s="168"/>
      <c r="ARE96" s="167"/>
      <c r="ARF96" s="168"/>
      <c r="ARG96" s="167"/>
      <c r="ARH96" s="168"/>
      <c r="ARI96" s="167"/>
      <c r="ARJ96" s="168"/>
      <c r="ARK96" s="167"/>
      <c r="ARL96" s="168"/>
      <c r="ARM96" s="167"/>
      <c r="ARN96" s="168"/>
      <c r="ARO96" s="167"/>
      <c r="ARP96" s="168"/>
      <c r="ARQ96" s="167"/>
      <c r="ARR96" s="168"/>
      <c r="ARS96" s="167"/>
      <c r="ART96" s="168"/>
      <c r="ARU96" s="167"/>
      <c r="ARV96" s="168"/>
      <c r="ARW96" s="167"/>
      <c r="ARX96" s="168"/>
      <c r="ARY96" s="167"/>
      <c r="ARZ96" s="168"/>
      <c r="ASA96" s="167"/>
      <c r="ASB96" s="168"/>
      <c r="ASC96" s="167"/>
      <c r="ASD96" s="168"/>
      <c r="ASE96" s="167"/>
      <c r="ASF96" s="168"/>
      <c r="ASG96" s="167"/>
      <c r="ASH96" s="168"/>
      <c r="ASI96" s="167"/>
      <c r="ASJ96" s="168"/>
      <c r="ASK96" s="167"/>
      <c r="ASL96" s="168"/>
      <c r="ASM96" s="167"/>
      <c r="ASN96" s="168"/>
      <c r="ASO96" s="167"/>
      <c r="ASP96" s="168"/>
      <c r="ASQ96" s="167"/>
      <c r="ASR96" s="168"/>
      <c r="ASS96" s="167"/>
      <c r="AST96" s="168"/>
      <c r="ASU96" s="167"/>
      <c r="ASV96" s="168"/>
      <c r="ASW96" s="167"/>
      <c r="ASX96" s="168"/>
      <c r="ASY96" s="167"/>
      <c r="ASZ96" s="168"/>
      <c r="ATA96" s="167"/>
      <c r="ATB96" s="168"/>
      <c r="ATC96" s="167"/>
      <c r="ATD96" s="168"/>
      <c r="ATE96" s="167"/>
      <c r="ATF96" s="168"/>
      <c r="ATG96" s="167"/>
      <c r="ATH96" s="168"/>
      <c r="ATI96" s="167"/>
      <c r="ATJ96" s="168"/>
      <c r="ATK96" s="167"/>
      <c r="ATL96" s="168"/>
      <c r="ATM96" s="167"/>
      <c r="ATN96" s="168"/>
      <c r="ATO96" s="167"/>
      <c r="ATP96" s="168"/>
      <c r="ATQ96" s="167"/>
      <c r="ATR96" s="168"/>
      <c r="ATS96" s="167"/>
      <c r="ATT96" s="168"/>
      <c r="ATU96" s="167"/>
      <c r="ATV96" s="168"/>
      <c r="ATW96" s="167"/>
      <c r="ATX96" s="168"/>
      <c r="ATY96" s="167"/>
      <c r="ATZ96" s="168"/>
      <c r="AUA96" s="167"/>
      <c r="AUB96" s="168"/>
      <c r="AUC96" s="167"/>
      <c r="AUD96" s="168"/>
      <c r="AUE96" s="167"/>
      <c r="AUF96" s="168"/>
      <c r="AUG96" s="167"/>
      <c r="AUH96" s="168"/>
      <c r="AUI96" s="167"/>
      <c r="AUJ96" s="168"/>
      <c r="AUK96" s="167"/>
      <c r="AUL96" s="168"/>
      <c r="AUM96" s="167"/>
      <c r="AUN96" s="168"/>
      <c r="AUO96" s="167"/>
      <c r="AUP96" s="168"/>
      <c r="AUQ96" s="167"/>
      <c r="AUR96" s="168"/>
      <c r="AUS96" s="167"/>
      <c r="AUT96" s="168"/>
      <c r="AUU96" s="167"/>
      <c r="AUV96" s="168"/>
      <c r="AUW96" s="167"/>
      <c r="AUX96" s="168"/>
      <c r="AUY96" s="167"/>
      <c r="AUZ96" s="168"/>
      <c r="AVA96" s="167"/>
      <c r="AVB96" s="168"/>
      <c r="AVC96" s="167"/>
      <c r="AVD96" s="168"/>
      <c r="AVE96" s="167"/>
      <c r="AVF96" s="168"/>
      <c r="AVG96" s="167"/>
      <c r="AVH96" s="168"/>
      <c r="AVI96" s="167"/>
      <c r="AVJ96" s="168"/>
      <c r="AVK96" s="167"/>
      <c r="AVL96" s="168"/>
      <c r="AVM96" s="167"/>
      <c r="AVN96" s="168"/>
      <c r="AVO96" s="167"/>
      <c r="AVP96" s="168"/>
      <c r="AVQ96" s="167"/>
      <c r="AVR96" s="168"/>
      <c r="AVS96" s="167"/>
      <c r="AVT96" s="168"/>
      <c r="AVU96" s="167"/>
      <c r="AVV96" s="168"/>
      <c r="AVW96" s="167"/>
      <c r="AVX96" s="168"/>
      <c r="AVY96" s="167"/>
      <c r="AVZ96" s="168"/>
      <c r="AWA96" s="167"/>
      <c r="AWB96" s="168"/>
      <c r="AWC96" s="167"/>
      <c r="AWD96" s="168"/>
      <c r="AWE96" s="167"/>
      <c r="AWF96" s="168"/>
      <c r="AWG96" s="167"/>
      <c r="AWH96" s="168"/>
      <c r="AWI96" s="167"/>
      <c r="AWJ96" s="168"/>
      <c r="AWK96" s="167"/>
      <c r="AWL96" s="168"/>
      <c r="AWM96" s="167"/>
      <c r="AWN96" s="168"/>
      <c r="AWO96" s="167"/>
      <c r="AWP96" s="168"/>
      <c r="AWQ96" s="167"/>
      <c r="AWR96" s="168"/>
      <c r="AWS96" s="167"/>
      <c r="AWT96" s="168"/>
      <c r="AWU96" s="167"/>
      <c r="AWV96" s="168"/>
      <c r="AWW96" s="167"/>
      <c r="AWX96" s="168"/>
      <c r="AWY96" s="167"/>
      <c r="AWZ96" s="168"/>
      <c r="AXA96" s="167"/>
      <c r="AXB96" s="168"/>
      <c r="AXC96" s="167"/>
      <c r="AXD96" s="168"/>
      <c r="AXE96" s="167"/>
      <c r="AXF96" s="168"/>
      <c r="AXG96" s="167"/>
      <c r="AXH96" s="168"/>
      <c r="AXI96" s="167"/>
      <c r="AXJ96" s="168"/>
      <c r="AXK96" s="167"/>
      <c r="AXL96" s="168"/>
      <c r="AXM96" s="167"/>
      <c r="AXN96" s="168"/>
      <c r="AXO96" s="167"/>
      <c r="AXP96" s="168"/>
      <c r="AXQ96" s="167"/>
      <c r="AXR96" s="168"/>
      <c r="AXS96" s="167"/>
      <c r="AXT96" s="168"/>
      <c r="AXU96" s="167"/>
      <c r="AXV96" s="168"/>
      <c r="AXW96" s="167"/>
      <c r="AXX96" s="168"/>
      <c r="AXY96" s="167"/>
      <c r="AXZ96" s="168"/>
      <c r="AYA96" s="167"/>
      <c r="AYB96" s="168"/>
      <c r="AYC96" s="167"/>
      <c r="AYD96" s="168"/>
      <c r="AYE96" s="167"/>
      <c r="AYF96" s="168"/>
      <c r="AYG96" s="167"/>
      <c r="AYH96" s="168"/>
      <c r="AYI96" s="167"/>
      <c r="AYJ96" s="168"/>
      <c r="AYK96" s="167"/>
      <c r="AYL96" s="168"/>
      <c r="AYM96" s="167"/>
      <c r="AYN96" s="168"/>
      <c r="AYO96" s="167"/>
      <c r="AYP96" s="168"/>
      <c r="AYQ96" s="167"/>
      <c r="AYR96" s="168"/>
      <c r="AYS96" s="167"/>
      <c r="AYT96" s="168"/>
      <c r="AYU96" s="167"/>
      <c r="AYV96" s="168"/>
      <c r="AYW96" s="167"/>
      <c r="AYX96" s="168"/>
      <c r="AYY96" s="167"/>
      <c r="AYZ96" s="168"/>
      <c r="AZA96" s="167"/>
      <c r="AZB96" s="168"/>
      <c r="AZC96" s="167"/>
      <c r="AZD96" s="168"/>
      <c r="AZE96" s="167"/>
      <c r="AZF96" s="168"/>
      <c r="AZG96" s="167"/>
      <c r="AZH96" s="168"/>
      <c r="AZI96" s="167"/>
      <c r="AZJ96" s="168"/>
      <c r="AZK96" s="167"/>
      <c r="AZL96" s="168"/>
      <c r="AZM96" s="167"/>
      <c r="AZN96" s="168"/>
      <c r="AZO96" s="167"/>
      <c r="AZP96" s="168"/>
      <c r="AZQ96" s="167"/>
      <c r="AZR96" s="168"/>
      <c r="AZS96" s="167"/>
      <c r="AZT96" s="168"/>
      <c r="AZU96" s="167"/>
      <c r="AZV96" s="168"/>
      <c r="AZW96" s="167"/>
      <c r="AZX96" s="168"/>
      <c r="AZY96" s="167"/>
      <c r="AZZ96" s="168"/>
      <c r="BAA96" s="167"/>
      <c r="BAB96" s="168"/>
      <c r="BAC96" s="167"/>
      <c r="BAD96" s="168"/>
      <c r="BAE96" s="167"/>
      <c r="BAF96" s="168"/>
      <c r="BAG96" s="167"/>
      <c r="BAH96" s="168"/>
      <c r="BAI96" s="167"/>
      <c r="BAJ96" s="168"/>
      <c r="BAK96" s="167"/>
      <c r="BAL96" s="168"/>
      <c r="BAM96" s="167"/>
      <c r="BAN96" s="168"/>
      <c r="BAO96" s="167"/>
      <c r="BAP96" s="168"/>
      <c r="BAQ96" s="167"/>
      <c r="BAR96" s="168"/>
      <c r="BAS96" s="167"/>
      <c r="BAT96" s="168"/>
      <c r="BAU96" s="167"/>
      <c r="BAV96" s="168"/>
      <c r="BAW96" s="167"/>
      <c r="BAX96" s="168"/>
      <c r="BAY96" s="167"/>
      <c r="BAZ96" s="168"/>
      <c r="BBA96" s="167"/>
      <c r="BBB96" s="168"/>
      <c r="BBC96" s="167"/>
      <c r="BBD96" s="168"/>
      <c r="BBE96" s="167"/>
      <c r="BBF96" s="168"/>
      <c r="BBG96" s="167"/>
      <c r="BBH96" s="168"/>
      <c r="BBI96" s="167"/>
      <c r="BBJ96" s="168"/>
      <c r="BBK96" s="167"/>
      <c r="BBL96" s="168"/>
      <c r="BBM96" s="167"/>
      <c r="BBN96" s="168"/>
      <c r="BBO96" s="167"/>
      <c r="BBP96" s="168"/>
      <c r="BBQ96" s="167"/>
      <c r="BBR96" s="168"/>
      <c r="BBS96" s="167"/>
      <c r="BBT96" s="168"/>
      <c r="BBU96" s="167"/>
      <c r="BBV96" s="168"/>
      <c r="BBW96" s="167"/>
      <c r="BBX96" s="168"/>
      <c r="BBY96" s="167"/>
      <c r="BBZ96" s="168"/>
      <c r="BCA96" s="167"/>
      <c r="BCB96" s="168"/>
      <c r="BCC96" s="167"/>
      <c r="BCD96" s="168"/>
      <c r="BCE96" s="167"/>
      <c r="BCF96" s="168"/>
      <c r="BCG96" s="167"/>
      <c r="BCH96" s="168"/>
      <c r="BCI96" s="167"/>
      <c r="BCJ96" s="168"/>
      <c r="BCK96" s="167"/>
      <c r="BCL96" s="168"/>
      <c r="BCM96" s="167"/>
      <c r="BCN96" s="168"/>
      <c r="BCO96" s="167"/>
      <c r="BCP96" s="168"/>
      <c r="BCQ96" s="167"/>
      <c r="BCR96" s="168"/>
      <c r="BCS96" s="167"/>
      <c r="BCT96" s="168"/>
      <c r="BCU96" s="167"/>
      <c r="BCV96" s="168"/>
      <c r="BCW96" s="167"/>
      <c r="BCX96" s="168"/>
      <c r="BCY96" s="167"/>
      <c r="BCZ96" s="168"/>
      <c r="BDA96" s="167"/>
      <c r="BDB96" s="168"/>
      <c r="BDC96" s="167"/>
      <c r="BDD96" s="168"/>
      <c r="BDE96" s="167"/>
      <c r="BDF96" s="168"/>
      <c r="BDG96" s="167"/>
      <c r="BDH96" s="168"/>
      <c r="BDI96" s="167"/>
      <c r="BDJ96" s="168"/>
      <c r="BDK96" s="167"/>
      <c r="BDL96" s="168"/>
      <c r="BDM96" s="167"/>
      <c r="BDN96" s="168"/>
      <c r="BDO96" s="167"/>
      <c r="BDP96" s="168"/>
      <c r="BDQ96" s="167"/>
      <c r="BDR96" s="168"/>
      <c r="BDS96" s="167"/>
      <c r="BDT96" s="168"/>
      <c r="BDU96" s="167"/>
      <c r="BDV96" s="168"/>
      <c r="BDW96" s="167"/>
      <c r="BDX96" s="168"/>
      <c r="BDY96" s="167"/>
      <c r="BDZ96" s="168"/>
      <c r="BEA96" s="167"/>
      <c r="BEB96" s="168"/>
      <c r="BEC96" s="167"/>
      <c r="BED96" s="168"/>
      <c r="BEE96" s="167"/>
      <c r="BEF96" s="168"/>
      <c r="BEG96" s="167"/>
      <c r="BEH96" s="168"/>
      <c r="BEI96" s="167"/>
      <c r="BEJ96" s="168"/>
      <c r="BEK96" s="167"/>
      <c r="BEL96" s="168"/>
      <c r="BEM96" s="167"/>
      <c r="BEN96" s="168"/>
      <c r="BEO96" s="167"/>
      <c r="BEP96" s="168"/>
      <c r="BEQ96" s="167"/>
      <c r="BER96" s="168"/>
      <c r="BES96" s="167"/>
      <c r="BET96" s="168"/>
      <c r="BEU96" s="167"/>
      <c r="BEV96" s="168"/>
      <c r="BEW96" s="167"/>
      <c r="BEX96" s="168"/>
      <c r="BEY96" s="167"/>
      <c r="BEZ96" s="168"/>
      <c r="BFA96" s="167"/>
      <c r="BFB96" s="168"/>
      <c r="BFC96" s="167"/>
      <c r="BFD96" s="168"/>
      <c r="BFE96" s="167"/>
      <c r="BFF96" s="168"/>
      <c r="BFG96" s="167"/>
      <c r="BFH96" s="168"/>
      <c r="BFI96" s="167"/>
      <c r="BFJ96" s="168"/>
      <c r="BFK96" s="167"/>
      <c r="BFL96" s="168"/>
      <c r="BFM96" s="167"/>
      <c r="BFN96" s="168"/>
      <c r="BFO96" s="167"/>
      <c r="BFP96" s="168"/>
      <c r="BFQ96" s="167"/>
      <c r="BFR96" s="168"/>
      <c r="BFS96" s="167"/>
      <c r="BFT96" s="168"/>
      <c r="BFU96" s="167"/>
      <c r="BFV96" s="168"/>
      <c r="BFW96" s="167"/>
      <c r="BFX96" s="168"/>
      <c r="BFY96" s="167"/>
      <c r="BFZ96" s="168"/>
      <c r="BGA96" s="167"/>
      <c r="BGB96" s="168"/>
      <c r="BGC96" s="167"/>
      <c r="BGD96" s="168"/>
      <c r="BGE96" s="167"/>
      <c r="BGF96" s="168"/>
      <c r="BGG96" s="167"/>
      <c r="BGH96" s="168"/>
      <c r="BGI96" s="167"/>
      <c r="BGJ96" s="168"/>
      <c r="BGK96" s="167"/>
      <c r="BGL96" s="168"/>
      <c r="BGM96" s="167"/>
      <c r="BGN96" s="168"/>
      <c r="BGO96" s="167"/>
      <c r="BGP96" s="168"/>
      <c r="BGQ96" s="167"/>
      <c r="BGR96" s="168"/>
      <c r="BGS96" s="167"/>
      <c r="BGT96" s="168"/>
      <c r="BGU96" s="167"/>
      <c r="BGV96" s="168"/>
      <c r="BGW96" s="167"/>
      <c r="BGX96" s="168"/>
      <c r="BGY96" s="167"/>
      <c r="BGZ96" s="168"/>
      <c r="BHA96" s="167"/>
      <c r="BHB96" s="168"/>
      <c r="BHC96" s="167"/>
      <c r="BHD96" s="168"/>
      <c r="BHE96" s="167"/>
      <c r="BHF96" s="168"/>
      <c r="BHG96" s="167"/>
      <c r="BHH96" s="168"/>
      <c r="BHI96" s="167"/>
      <c r="BHJ96" s="168"/>
      <c r="BHK96" s="167"/>
      <c r="BHL96" s="168"/>
      <c r="BHM96" s="167"/>
      <c r="BHN96" s="168"/>
      <c r="BHO96" s="167"/>
      <c r="BHP96" s="168"/>
      <c r="BHQ96" s="167"/>
      <c r="BHR96" s="168"/>
      <c r="BHS96" s="167"/>
      <c r="BHT96" s="168"/>
      <c r="BHU96" s="167"/>
      <c r="BHV96" s="168"/>
      <c r="BHW96" s="167"/>
      <c r="BHX96" s="168"/>
      <c r="BHY96" s="167"/>
      <c r="BHZ96" s="168"/>
      <c r="BIA96" s="167"/>
      <c r="BIB96" s="168"/>
      <c r="BIC96" s="167"/>
      <c r="BID96" s="168"/>
      <c r="BIE96" s="167"/>
      <c r="BIF96" s="168"/>
      <c r="BIG96" s="167"/>
      <c r="BIH96" s="168"/>
      <c r="BII96" s="167"/>
      <c r="BIJ96" s="168"/>
      <c r="BIK96" s="167"/>
      <c r="BIL96" s="168"/>
      <c r="BIM96" s="167"/>
      <c r="BIN96" s="168"/>
      <c r="BIO96" s="167"/>
      <c r="BIP96" s="168"/>
      <c r="BIQ96" s="167"/>
      <c r="BIR96" s="168"/>
      <c r="BIS96" s="167"/>
      <c r="BIT96" s="168"/>
      <c r="BIU96" s="167"/>
      <c r="BIV96" s="168"/>
      <c r="BIW96" s="167"/>
      <c r="BIX96" s="168"/>
      <c r="BIY96" s="167"/>
      <c r="BIZ96" s="168"/>
      <c r="BJA96" s="167"/>
      <c r="BJB96" s="168"/>
      <c r="BJC96" s="167"/>
      <c r="BJD96" s="168"/>
      <c r="BJE96" s="167"/>
      <c r="BJF96" s="168"/>
      <c r="BJG96" s="167"/>
      <c r="BJH96" s="168"/>
      <c r="BJI96" s="167"/>
      <c r="BJJ96" s="168"/>
      <c r="BJK96" s="167"/>
      <c r="BJL96" s="168"/>
      <c r="BJM96" s="167"/>
      <c r="BJN96" s="168"/>
      <c r="BJO96" s="167"/>
      <c r="BJP96" s="168"/>
      <c r="BJQ96" s="167"/>
      <c r="BJR96" s="168"/>
      <c r="BJS96" s="167"/>
      <c r="BJT96" s="168"/>
      <c r="BJU96" s="167"/>
      <c r="BJV96" s="168"/>
      <c r="BJW96" s="167"/>
      <c r="BJX96" s="168"/>
      <c r="BJY96" s="167"/>
      <c r="BJZ96" s="168"/>
      <c r="BKA96" s="167"/>
      <c r="BKB96" s="168"/>
      <c r="BKC96" s="167"/>
      <c r="BKD96" s="168"/>
      <c r="BKE96" s="167"/>
      <c r="BKF96" s="168"/>
      <c r="BKG96" s="167"/>
      <c r="BKH96" s="168"/>
      <c r="BKI96" s="167"/>
      <c r="BKJ96" s="168"/>
      <c r="BKK96" s="167"/>
      <c r="BKL96" s="168"/>
      <c r="BKM96" s="167"/>
      <c r="BKN96" s="168"/>
      <c r="BKO96" s="167"/>
      <c r="BKP96" s="168"/>
      <c r="BKQ96" s="167"/>
      <c r="BKR96" s="168"/>
      <c r="BKS96" s="167"/>
      <c r="BKT96" s="168"/>
      <c r="BKU96" s="167"/>
      <c r="BKV96" s="168"/>
      <c r="BKW96" s="167"/>
      <c r="BKX96" s="168"/>
      <c r="BKY96" s="167"/>
      <c r="BKZ96" s="168"/>
      <c r="BLA96" s="167"/>
      <c r="BLB96" s="168"/>
      <c r="BLC96" s="167"/>
      <c r="BLD96" s="168"/>
      <c r="BLE96" s="167"/>
      <c r="BLF96" s="168"/>
      <c r="BLG96" s="167"/>
      <c r="BLH96" s="168"/>
      <c r="BLI96" s="167"/>
      <c r="BLJ96" s="168"/>
      <c r="BLK96" s="167"/>
      <c r="BLL96" s="168"/>
      <c r="BLM96" s="167"/>
      <c r="BLN96" s="168"/>
      <c r="BLO96" s="167"/>
      <c r="BLP96" s="168"/>
      <c r="BLQ96" s="167"/>
      <c r="BLR96" s="168"/>
      <c r="BLS96" s="167"/>
      <c r="BLT96" s="168"/>
      <c r="BLU96" s="167"/>
      <c r="BLV96" s="168"/>
      <c r="BLW96" s="167"/>
      <c r="BLX96" s="168"/>
      <c r="BLY96" s="167"/>
      <c r="BLZ96" s="168"/>
      <c r="BMA96" s="167"/>
      <c r="BMB96" s="168"/>
      <c r="BMC96" s="167"/>
      <c r="BMD96" s="168"/>
      <c r="BME96" s="167"/>
      <c r="BMF96" s="168"/>
      <c r="BMG96" s="167"/>
      <c r="BMH96" s="168"/>
      <c r="BMI96" s="167"/>
      <c r="BMJ96" s="168"/>
      <c r="BMK96" s="167"/>
      <c r="BML96" s="168"/>
      <c r="BMM96" s="167"/>
      <c r="BMN96" s="168"/>
      <c r="BMO96" s="167"/>
      <c r="BMP96" s="168"/>
      <c r="BMQ96" s="167"/>
      <c r="BMR96" s="168"/>
      <c r="BMS96" s="167"/>
      <c r="BMT96" s="168"/>
      <c r="BMU96" s="167"/>
      <c r="BMV96" s="168"/>
      <c r="BMW96" s="167"/>
      <c r="BMX96" s="168"/>
      <c r="BMY96" s="167"/>
      <c r="BMZ96" s="168"/>
      <c r="BNA96" s="167"/>
      <c r="BNB96" s="168"/>
      <c r="BNC96" s="167"/>
      <c r="BND96" s="168"/>
      <c r="BNE96" s="167"/>
      <c r="BNF96" s="168"/>
      <c r="BNG96" s="167"/>
      <c r="BNH96" s="168"/>
      <c r="BNI96" s="167"/>
      <c r="BNJ96" s="168"/>
      <c r="BNK96" s="167"/>
      <c r="BNL96" s="168"/>
      <c r="BNM96" s="167"/>
      <c r="BNN96" s="168"/>
      <c r="BNO96" s="167"/>
      <c r="BNP96" s="168"/>
      <c r="BNQ96" s="167"/>
      <c r="BNR96" s="168"/>
      <c r="BNS96" s="167"/>
      <c r="BNT96" s="168"/>
      <c r="BNU96" s="167"/>
      <c r="BNV96" s="168"/>
      <c r="BNW96" s="167"/>
      <c r="BNX96" s="168"/>
      <c r="BNY96" s="167"/>
      <c r="BNZ96" s="168"/>
      <c r="BOA96" s="167"/>
      <c r="BOB96" s="168"/>
      <c r="BOC96" s="167"/>
      <c r="BOD96" s="168"/>
      <c r="BOE96" s="167"/>
      <c r="BOF96" s="168"/>
      <c r="BOG96" s="167"/>
      <c r="BOH96" s="168"/>
      <c r="BOI96" s="167"/>
      <c r="BOJ96" s="168"/>
      <c r="BOK96" s="167"/>
      <c r="BOL96" s="168"/>
      <c r="BOM96" s="167"/>
      <c r="BON96" s="168"/>
      <c r="BOO96" s="167"/>
      <c r="BOP96" s="168"/>
      <c r="BOQ96" s="167"/>
      <c r="BOR96" s="168"/>
      <c r="BOS96" s="167"/>
      <c r="BOT96" s="168"/>
      <c r="BOU96" s="167"/>
      <c r="BOV96" s="168"/>
      <c r="BOW96" s="167"/>
      <c r="BOX96" s="168"/>
      <c r="BOY96" s="167"/>
      <c r="BOZ96" s="168"/>
      <c r="BPA96" s="167"/>
      <c r="BPB96" s="168"/>
      <c r="BPC96" s="167"/>
      <c r="BPD96" s="168"/>
      <c r="BPE96" s="167"/>
      <c r="BPF96" s="168"/>
      <c r="BPG96" s="167"/>
      <c r="BPH96" s="168"/>
      <c r="BPI96" s="167"/>
      <c r="BPJ96" s="168"/>
      <c r="BPK96" s="167"/>
      <c r="BPL96" s="168"/>
      <c r="BPM96" s="167"/>
      <c r="BPN96" s="168"/>
      <c r="BPO96" s="167"/>
      <c r="BPP96" s="168"/>
      <c r="BPQ96" s="167"/>
      <c r="BPR96" s="168"/>
      <c r="BPS96" s="167"/>
      <c r="BPT96" s="168"/>
      <c r="BPU96" s="167"/>
      <c r="BPV96" s="168"/>
      <c r="BPW96" s="167"/>
      <c r="BPX96" s="168"/>
      <c r="BPY96" s="167"/>
      <c r="BPZ96" s="168"/>
      <c r="BQA96" s="167"/>
      <c r="BQB96" s="168"/>
      <c r="BQC96" s="167"/>
      <c r="BQD96" s="168"/>
      <c r="BQE96" s="167"/>
      <c r="BQF96" s="168"/>
      <c r="BQG96" s="167"/>
      <c r="BQH96" s="168"/>
      <c r="BQI96" s="167"/>
      <c r="BQJ96" s="168"/>
      <c r="BQK96" s="167"/>
      <c r="BQL96" s="168"/>
      <c r="BQM96" s="167"/>
      <c r="BQN96" s="168"/>
      <c r="BQO96" s="167"/>
      <c r="BQP96" s="168"/>
      <c r="BQQ96" s="167"/>
      <c r="BQR96" s="168"/>
      <c r="BQS96" s="167"/>
      <c r="BQT96" s="168"/>
      <c r="BQU96" s="167"/>
      <c r="BQV96" s="168"/>
      <c r="BQW96" s="167"/>
      <c r="BQX96" s="168"/>
      <c r="BQY96" s="167"/>
      <c r="BQZ96" s="168"/>
      <c r="BRA96" s="167"/>
      <c r="BRB96" s="168"/>
      <c r="BRC96" s="167"/>
      <c r="BRD96" s="168"/>
      <c r="BRE96" s="167"/>
      <c r="BRF96" s="168"/>
      <c r="BRG96" s="167"/>
      <c r="BRH96" s="168"/>
      <c r="BRI96" s="167"/>
      <c r="BRJ96" s="168"/>
      <c r="BRK96" s="167"/>
      <c r="BRL96" s="168"/>
      <c r="BRM96" s="167"/>
      <c r="BRN96" s="168"/>
      <c r="BRO96" s="167"/>
      <c r="BRP96" s="168"/>
      <c r="BRQ96" s="167"/>
      <c r="BRR96" s="168"/>
      <c r="BRS96" s="167"/>
      <c r="BRT96" s="168"/>
      <c r="BRU96" s="167"/>
      <c r="BRV96" s="168"/>
      <c r="BRW96" s="167"/>
      <c r="BRX96" s="168"/>
      <c r="BRY96" s="167"/>
      <c r="BRZ96" s="168"/>
      <c r="BSA96" s="167"/>
      <c r="BSB96" s="168"/>
      <c r="BSC96" s="167"/>
      <c r="BSD96" s="168"/>
      <c r="BSE96" s="167"/>
      <c r="BSF96" s="168"/>
      <c r="BSG96" s="167"/>
      <c r="BSH96" s="168"/>
      <c r="BSI96" s="167"/>
      <c r="BSJ96" s="168"/>
      <c r="BSK96" s="167"/>
      <c r="BSL96" s="168"/>
      <c r="BSM96" s="167"/>
      <c r="BSN96" s="168"/>
      <c r="BSO96" s="167"/>
      <c r="BSP96" s="168"/>
      <c r="BSQ96" s="167"/>
      <c r="BSR96" s="168"/>
      <c r="BSS96" s="167"/>
      <c r="BST96" s="168"/>
      <c r="BSU96" s="167"/>
      <c r="BSV96" s="168"/>
      <c r="BSW96" s="167"/>
      <c r="BSX96" s="168"/>
      <c r="BSY96" s="167"/>
      <c r="BSZ96" s="168"/>
      <c r="BTA96" s="167"/>
      <c r="BTB96" s="168"/>
      <c r="BTC96" s="167"/>
      <c r="BTD96" s="168"/>
      <c r="BTE96" s="167"/>
      <c r="BTF96" s="168"/>
      <c r="BTG96" s="167"/>
      <c r="BTH96" s="168"/>
      <c r="BTI96" s="167"/>
      <c r="BTJ96" s="168"/>
      <c r="BTK96" s="167"/>
      <c r="BTL96" s="168"/>
      <c r="BTM96" s="167"/>
      <c r="BTN96" s="168"/>
      <c r="BTO96" s="167"/>
      <c r="BTP96" s="168"/>
      <c r="BTQ96" s="167"/>
      <c r="BTR96" s="168"/>
      <c r="BTS96" s="167"/>
      <c r="BTT96" s="168"/>
      <c r="BTU96" s="167"/>
      <c r="BTV96" s="168"/>
      <c r="BTW96" s="167"/>
      <c r="BTX96" s="168"/>
      <c r="BTY96" s="167"/>
      <c r="BTZ96" s="168"/>
      <c r="BUA96" s="167"/>
      <c r="BUB96" s="168"/>
      <c r="BUC96" s="167"/>
      <c r="BUD96" s="168"/>
      <c r="BUE96" s="167"/>
      <c r="BUF96" s="168"/>
      <c r="BUG96" s="167"/>
      <c r="BUH96" s="168"/>
      <c r="BUI96" s="167"/>
      <c r="BUJ96" s="168"/>
      <c r="BUK96" s="167"/>
      <c r="BUL96" s="168"/>
      <c r="BUM96" s="167"/>
      <c r="BUN96" s="168"/>
      <c r="BUO96" s="167"/>
      <c r="BUP96" s="168"/>
      <c r="BUQ96" s="167"/>
      <c r="BUR96" s="168"/>
      <c r="BUS96" s="167"/>
      <c r="BUT96" s="168"/>
      <c r="BUU96" s="167"/>
      <c r="BUV96" s="168"/>
      <c r="BUW96" s="167"/>
      <c r="BUX96" s="168"/>
      <c r="BUY96" s="167"/>
      <c r="BUZ96" s="168"/>
      <c r="BVA96" s="167"/>
      <c r="BVB96" s="168"/>
      <c r="BVC96" s="167"/>
      <c r="BVD96" s="168"/>
      <c r="BVE96" s="167"/>
      <c r="BVF96" s="168"/>
      <c r="BVG96" s="167"/>
      <c r="BVH96" s="168"/>
      <c r="BVI96" s="167"/>
      <c r="BVJ96" s="168"/>
      <c r="BVK96" s="167"/>
      <c r="BVL96" s="168"/>
      <c r="BVM96" s="167"/>
      <c r="BVN96" s="168"/>
      <c r="BVO96" s="167"/>
      <c r="BVP96" s="168"/>
      <c r="BVQ96" s="167"/>
      <c r="BVR96" s="168"/>
      <c r="BVS96" s="167"/>
      <c r="BVT96" s="168"/>
      <c r="BVU96" s="167"/>
      <c r="BVV96" s="168"/>
      <c r="BVW96" s="167"/>
      <c r="BVX96" s="168"/>
      <c r="BVY96" s="167"/>
      <c r="BVZ96" s="168"/>
      <c r="BWA96" s="167"/>
      <c r="BWB96" s="168"/>
      <c r="BWC96" s="167"/>
      <c r="BWD96" s="168"/>
      <c r="BWE96" s="167"/>
      <c r="BWF96" s="168"/>
      <c r="BWG96" s="167"/>
      <c r="BWH96" s="168"/>
      <c r="BWI96" s="167"/>
      <c r="BWJ96" s="168"/>
      <c r="BWK96" s="167"/>
      <c r="BWL96" s="168"/>
      <c r="BWM96" s="167"/>
      <c r="BWN96" s="168"/>
      <c r="BWO96" s="167"/>
      <c r="BWP96" s="168"/>
      <c r="BWQ96" s="167"/>
      <c r="BWR96" s="168"/>
      <c r="BWS96" s="167"/>
      <c r="BWT96" s="168"/>
      <c r="BWU96" s="167"/>
      <c r="BWV96" s="168"/>
      <c r="BWW96" s="167"/>
      <c r="BWX96" s="168"/>
      <c r="BWY96" s="167"/>
      <c r="BWZ96" s="168"/>
      <c r="BXA96" s="167"/>
      <c r="BXB96" s="168"/>
      <c r="BXC96" s="167"/>
      <c r="BXD96" s="168"/>
      <c r="BXE96" s="167"/>
      <c r="BXF96" s="168"/>
      <c r="BXG96" s="167"/>
      <c r="BXH96" s="168"/>
      <c r="BXI96" s="167"/>
      <c r="BXJ96" s="168"/>
      <c r="BXK96" s="167"/>
      <c r="BXL96" s="168"/>
      <c r="BXM96" s="167"/>
      <c r="BXN96" s="168"/>
      <c r="BXO96" s="167"/>
      <c r="BXP96" s="168"/>
      <c r="BXQ96" s="167"/>
      <c r="BXR96" s="168"/>
      <c r="BXS96" s="167"/>
      <c r="BXT96" s="168"/>
      <c r="BXU96" s="167"/>
      <c r="BXV96" s="168"/>
      <c r="BXW96" s="167"/>
      <c r="BXX96" s="168"/>
      <c r="BXY96" s="167"/>
      <c r="BXZ96" s="168"/>
      <c r="BYA96" s="167"/>
      <c r="BYB96" s="168"/>
      <c r="BYC96" s="167"/>
      <c r="BYD96" s="168"/>
      <c r="BYE96" s="167"/>
      <c r="BYF96" s="168"/>
      <c r="BYG96" s="167"/>
      <c r="BYH96" s="168"/>
      <c r="BYI96" s="167"/>
      <c r="BYJ96" s="168"/>
      <c r="BYK96" s="167"/>
      <c r="BYL96" s="168"/>
      <c r="BYM96" s="167"/>
      <c r="BYN96" s="168"/>
      <c r="BYO96" s="167"/>
      <c r="BYP96" s="168"/>
      <c r="BYQ96" s="167"/>
      <c r="BYR96" s="168"/>
      <c r="BYS96" s="167"/>
      <c r="BYT96" s="168"/>
      <c r="BYU96" s="167"/>
      <c r="BYV96" s="168"/>
      <c r="BYW96" s="167"/>
      <c r="BYX96" s="168"/>
      <c r="BYY96" s="167"/>
      <c r="BYZ96" s="168"/>
      <c r="BZA96" s="167"/>
      <c r="BZB96" s="168"/>
      <c r="BZC96" s="167"/>
      <c r="BZD96" s="168"/>
      <c r="BZE96" s="167"/>
      <c r="BZF96" s="168"/>
      <c r="BZG96" s="167"/>
      <c r="BZH96" s="168"/>
      <c r="BZI96" s="167"/>
      <c r="BZJ96" s="168"/>
      <c r="BZK96" s="167"/>
      <c r="BZL96" s="168"/>
      <c r="BZM96" s="167"/>
      <c r="BZN96" s="168"/>
      <c r="BZO96" s="167"/>
      <c r="BZP96" s="168"/>
      <c r="BZQ96" s="167"/>
      <c r="BZR96" s="168"/>
      <c r="BZS96" s="167"/>
      <c r="BZT96" s="168"/>
      <c r="BZU96" s="167"/>
      <c r="BZV96" s="168"/>
      <c r="BZW96" s="167"/>
      <c r="BZX96" s="168"/>
      <c r="BZY96" s="167"/>
      <c r="BZZ96" s="168"/>
      <c r="CAA96" s="167"/>
      <c r="CAB96" s="168"/>
      <c r="CAC96" s="167"/>
      <c r="CAD96" s="168"/>
      <c r="CAE96" s="167"/>
      <c r="CAF96" s="168"/>
      <c r="CAG96" s="167"/>
      <c r="CAH96" s="168"/>
      <c r="CAI96" s="167"/>
      <c r="CAJ96" s="168"/>
      <c r="CAK96" s="167"/>
      <c r="CAL96" s="168"/>
      <c r="CAM96" s="167"/>
      <c r="CAN96" s="168"/>
      <c r="CAO96" s="167"/>
      <c r="CAP96" s="168"/>
      <c r="CAQ96" s="167"/>
      <c r="CAR96" s="168"/>
      <c r="CAS96" s="167"/>
      <c r="CAT96" s="168"/>
      <c r="CAU96" s="167"/>
      <c r="CAV96" s="168"/>
      <c r="CAW96" s="167"/>
      <c r="CAX96" s="168"/>
      <c r="CAY96" s="167"/>
      <c r="CAZ96" s="168"/>
      <c r="CBA96" s="167"/>
      <c r="CBB96" s="168"/>
      <c r="CBC96" s="167"/>
      <c r="CBD96" s="168"/>
      <c r="CBE96" s="167"/>
      <c r="CBF96" s="168"/>
      <c r="CBG96" s="167"/>
      <c r="CBH96" s="168"/>
      <c r="CBI96" s="167"/>
      <c r="CBJ96" s="168"/>
      <c r="CBK96" s="167"/>
      <c r="CBL96" s="168"/>
      <c r="CBM96" s="167"/>
      <c r="CBN96" s="168"/>
      <c r="CBO96" s="167"/>
      <c r="CBP96" s="168"/>
      <c r="CBQ96" s="167"/>
      <c r="CBR96" s="168"/>
      <c r="CBS96" s="167"/>
      <c r="CBT96" s="168"/>
      <c r="CBU96" s="167"/>
      <c r="CBV96" s="168"/>
      <c r="CBW96" s="167"/>
      <c r="CBX96" s="168"/>
      <c r="CBY96" s="167"/>
      <c r="CBZ96" s="168"/>
      <c r="CCA96" s="167"/>
      <c r="CCB96" s="168"/>
      <c r="CCC96" s="167"/>
      <c r="CCD96" s="168"/>
      <c r="CCE96" s="167"/>
      <c r="CCF96" s="168"/>
      <c r="CCG96" s="167"/>
      <c r="CCH96" s="168"/>
      <c r="CCI96" s="167"/>
      <c r="CCJ96" s="168"/>
      <c r="CCK96" s="167"/>
      <c r="CCL96" s="168"/>
      <c r="CCM96" s="167"/>
      <c r="CCN96" s="168"/>
      <c r="CCO96" s="167"/>
      <c r="CCP96" s="168"/>
      <c r="CCQ96" s="167"/>
      <c r="CCR96" s="168"/>
      <c r="CCS96" s="167"/>
      <c r="CCT96" s="168"/>
      <c r="CCU96" s="167"/>
      <c r="CCV96" s="168"/>
      <c r="CCW96" s="167"/>
      <c r="CCX96" s="168"/>
      <c r="CCY96" s="167"/>
      <c r="CCZ96" s="168"/>
      <c r="CDA96" s="167"/>
      <c r="CDB96" s="168"/>
      <c r="CDC96" s="167"/>
      <c r="CDD96" s="168"/>
      <c r="CDE96" s="167"/>
      <c r="CDF96" s="168"/>
      <c r="CDG96" s="167"/>
      <c r="CDH96" s="168"/>
      <c r="CDI96" s="167"/>
      <c r="CDJ96" s="168"/>
      <c r="CDK96" s="167"/>
      <c r="CDL96" s="168"/>
      <c r="CDM96" s="167"/>
      <c r="CDN96" s="168"/>
      <c r="CDO96" s="167"/>
      <c r="CDP96" s="168"/>
      <c r="CDQ96" s="167"/>
      <c r="CDR96" s="168"/>
      <c r="CDS96" s="167"/>
      <c r="CDT96" s="168"/>
      <c r="CDU96" s="167"/>
      <c r="CDV96" s="168"/>
      <c r="CDW96" s="167"/>
      <c r="CDX96" s="168"/>
      <c r="CDY96" s="167"/>
      <c r="CDZ96" s="168"/>
      <c r="CEA96" s="167"/>
      <c r="CEB96" s="168"/>
      <c r="CEC96" s="167"/>
      <c r="CED96" s="168"/>
      <c r="CEE96" s="167"/>
      <c r="CEF96" s="168"/>
      <c r="CEG96" s="167"/>
      <c r="CEH96" s="168"/>
      <c r="CEI96" s="167"/>
      <c r="CEJ96" s="168"/>
      <c r="CEK96" s="167"/>
      <c r="CEL96" s="168"/>
      <c r="CEM96" s="167"/>
      <c r="CEN96" s="168"/>
      <c r="CEO96" s="167"/>
      <c r="CEP96" s="168"/>
      <c r="CEQ96" s="167"/>
      <c r="CER96" s="168"/>
      <c r="CES96" s="167"/>
      <c r="CET96" s="168"/>
      <c r="CEU96" s="167"/>
      <c r="CEV96" s="168"/>
      <c r="CEW96" s="167"/>
      <c r="CEX96" s="168"/>
      <c r="CEY96" s="167"/>
      <c r="CEZ96" s="168"/>
      <c r="CFA96" s="167"/>
      <c r="CFB96" s="168"/>
      <c r="CFC96" s="167"/>
      <c r="CFD96" s="168"/>
      <c r="CFE96" s="167"/>
      <c r="CFF96" s="168"/>
      <c r="CFG96" s="167"/>
      <c r="CFH96" s="168"/>
      <c r="CFI96" s="167"/>
      <c r="CFJ96" s="168"/>
      <c r="CFK96" s="167"/>
      <c r="CFL96" s="168"/>
      <c r="CFM96" s="167"/>
      <c r="CFN96" s="168"/>
      <c r="CFO96" s="167"/>
      <c r="CFP96" s="168"/>
      <c r="CFQ96" s="167"/>
      <c r="CFR96" s="168"/>
      <c r="CFS96" s="167"/>
      <c r="CFT96" s="168"/>
      <c r="CFU96" s="167"/>
      <c r="CFV96" s="168"/>
      <c r="CFW96" s="167"/>
      <c r="CFX96" s="168"/>
      <c r="CFY96" s="167"/>
      <c r="CFZ96" s="168"/>
      <c r="CGA96" s="167"/>
      <c r="CGB96" s="168"/>
      <c r="CGC96" s="167"/>
      <c r="CGD96" s="168"/>
      <c r="CGE96" s="167"/>
      <c r="CGF96" s="168"/>
      <c r="CGG96" s="167"/>
      <c r="CGH96" s="168"/>
      <c r="CGI96" s="167"/>
      <c r="CGJ96" s="168"/>
      <c r="CGK96" s="167"/>
      <c r="CGL96" s="168"/>
      <c r="CGM96" s="167"/>
      <c r="CGN96" s="168"/>
      <c r="CGO96" s="167"/>
      <c r="CGP96" s="168"/>
      <c r="CGQ96" s="167"/>
      <c r="CGR96" s="168"/>
      <c r="CGS96" s="167"/>
      <c r="CGT96" s="168"/>
      <c r="CGU96" s="167"/>
      <c r="CGV96" s="168"/>
      <c r="CGW96" s="167"/>
      <c r="CGX96" s="168"/>
      <c r="CGY96" s="167"/>
      <c r="CGZ96" s="168"/>
      <c r="CHA96" s="167"/>
      <c r="CHB96" s="168"/>
      <c r="CHC96" s="167"/>
      <c r="CHD96" s="168"/>
      <c r="CHE96" s="167"/>
      <c r="CHF96" s="168"/>
      <c r="CHG96" s="167"/>
      <c r="CHH96" s="168"/>
      <c r="CHI96" s="167"/>
      <c r="CHJ96" s="168"/>
      <c r="CHK96" s="167"/>
      <c r="CHL96" s="168"/>
      <c r="CHM96" s="167"/>
      <c r="CHN96" s="168"/>
      <c r="CHO96" s="167"/>
      <c r="CHP96" s="168"/>
      <c r="CHQ96" s="167"/>
      <c r="CHR96" s="168"/>
      <c r="CHS96" s="167"/>
      <c r="CHT96" s="168"/>
      <c r="CHU96" s="167"/>
      <c r="CHV96" s="168"/>
      <c r="CHW96" s="167"/>
      <c r="CHX96" s="168"/>
      <c r="CHY96" s="167"/>
      <c r="CHZ96" s="168"/>
      <c r="CIA96" s="167"/>
      <c r="CIB96" s="168"/>
      <c r="CIC96" s="167"/>
      <c r="CID96" s="168"/>
      <c r="CIE96" s="167"/>
      <c r="CIF96" s="168"/>
      <c r="CIG96" s="167"/>
      <c r="CIH96" s="168"/>
      <c r="CII96" s="167"/>
      <c r="CIJ96" s="168"/>
      <c r="CIK96" s="167"/>
      <c r="CIL96" s="168"/>
      <c r="CIM96" s="167"/>
      <c r="CIN96" s="168"/>
      <c r="CIO96" s="167"/>
      <c r="CIP96" s="168"/>
      <c r="CIQ96" s="167"/>
      <c r="CIR96" s="168"/>
      <c r="CIS96" s="167"/>
      <c r="CIT96" s="168"/>
      <c r="CIU96" s="167"/>
      <c r="CIV96" s="168"/>
      <c r="CIW96" s="167"/>
      <c r="CIX96" s="168"/>
      <c r="CIY96" s="167"/>
      <c r="CIZ96" s="168"/>
      <c r="CJA96" s="167"/>
      <c r="CJB96" s="168"/>
      <c r="CJC96" s="167"/>
      <c r="CJD96" s="168"/>
      <c r="CJE96" s="167"/>
      <c r="CJF96" s="168"/>
      <c r="CJG96" s="167"/>
      <c r="CJH96" s="168"/>
      <c r="CJI96" s="167"/>
      <c r="CJJ96" s="168"/>
      <c r="CJK96" s="167"/>
      <c r="CJL96" s="168"/>
      <c r="CJM96" s="167"/>
      <c r="CJN96" s="168"/>
      <c r="CJO96" s="167"/>
      <c r="CJP96" s="168"/>
      <c r="CJQ96" s="167"/>
      <c r="CJR96" s="168"/>
      <c r="CJS96" s="167"/>
      <c r="CJT96" s="168"/>
      <c r="CJU96" s="167"/>
      <c r="CJV96" s="168"/>
      <c r="CJW96" s="167"/>
      <c r="CJX96" s="168"/>
      <c r="CJY96" s="167"/>
      <c r="CJZ96" s="168"/>
      <c r="CKA96" s="167"/>
      <c r="CKB96" s="168"/>
      <c r="CKC96" s="167"/>
      <c r="CKD96" s="168"/>
      <c r="CKE96" s="167"/>
      <c r="CKF96" s="168"/>
      <c r="CKG96" s="167"/>
      <c r="CKH96" s="168"/>
      <c r="CKI96" s="167"/>
      <c r="CKJ96" s="168"/>
      <c r="CKK96" s="167"/>
      <c r="CKL96" s="168"/>
      <c r="CKM96" s="167"/>
      <c r="CKN96" s="168"/>
      <c r="CKO96" s="167"/>
      <c r="CKP96" s="168"/>
      <c r="CKQ96" s="167"/>
      <c r="CKR96" s="168"/>
      <c r="CKS96" s="167"/>
      <c r="CKT96" s="168"/>
      <c r="CKU96" s="167"/>
      <c r="CKV96" s="168"/>
      <c r="CKW96" s="167"/>
      <c r="CKX96" s="168"/>
      <c r="CKY96" s="167"/>
      <c r="CKZ96" s="168"/>
      <c r="CLA96" s="167"/>
      <c r="CLB96" s="168"/>
      <c r="CLC96" s="167"/>
      <c r="CLD96" s="168"/>
      <c r="CLE96" s="167"/>
      <c r="CLF96" s="168"/>
      <c r="CLG96" s="167"/>
      <c r="CLH96" s="168"/>
      <c r="CLI96" s="167"/>
      <c r="CLJ96" s="168"/>
      <c r="CLK96" s="167"/>
      <c r="CLL96" s="168"/>
      <c r="CLM96" s="167"/>
      <c r="CLN96" s="168"/>
      <c r="CLO96" s="167"/>
      <c r="CLP96" s="168"/>
      <c r="CLQ96" s="167"/>
      <c r="CLR96" s="168"/>
      <c r="CLS96" s="167"/>
      <c r="CLT96" s="168"/>
      <c r="CLU96" s="167"/>
      <c r="CLV96" s="168"/>
      <c r="CLW96" s="167"/>
      <c r="CLX96" s="168"/>
      <c r="CLY96" s="167"/>
      <c r="CLZ96" s="168"/>
      <c r="CMA96" s="167"/>
      <c r="CMB96" s="168"/>
      <c r="CMC96" s="167"/>
      <c r="CMD96" s="168"/>
      <c r="CME96" s="167"/>
      <c r="CMF96" s="168"/>
      <c r="CMG96" s="167"/>
      <c r="CMH96" s="168"/>
      <c r="CMI96" s="167"/>
      <c r="CMJ96" s="168"/>
      <c r="CMK96" s="167"/>
      <c r="CML96" s="168"/>
      <c r="CMM96" s="167"/>
      <c r="CMN96" s="168"/>
      <c r="CMO96" s="167"/>
      <c r="CMP96" s="168"/>
      <c r="CMQ96" s="167"/>
      <c r="CMR96" s="168"/>
      <c r="CMS96" s="167"/>
      <c r="CMT96" s="168"/>
      <c r="CMU96" s="167"/>
      <c r="CMV96" s="168"/>
      <c r="CMW96" s="167"/>
      <c r="CMX96" s="168"/>
      <c r="CMY96" s="167"/>
      <c r="CMZ96" s="168"/>
      <c r="CNA96" s="167"/>
      <c r="CNB96" s="168"/>
      <c r="CNC96" s="167"/>
      <c r="CND96" s="168"/>
      <c r="CNE96" s="167"/>
      <c r="CNF96" s="168"/>
      <c r="CNG96" s="167"/>
      <c r="CNH96" s="168"/>
      <c r="CNI96" s="167"/>
      <c r="CNJ96" s="168"/>
      <c r="CNK96" s="167"/>
      <c r="CNL96" s="168"/>
      <c r="CNM96" s="167"/>
      <c r="CNN96" s="168"/>
      <c r="CNO96" s="167"/>
      <c r="CNP96" s="168"/>
      <c r="CNQ96" s="167"/>
      <c r="CNR96" s="168"/>
      <c r="CNS96" s="167"/>
      <c r="CNT96" s="168"/>
      <c r="CNU96" s="167"/>
      <c r="CNV96" s="168"/>
      <c r="CNW96" s="167"/>
      <c r="CNX96" s="168"/>
      <c r="CNY96" s="167"/>
      <c r="CNZ96" s="168"/>
      <c r="COA96" s="167"/>
      <c r="COB96" s="168"/>
      <c r="COC96" s="167"/>
      <c r="COD96" s="168"/>
      <c r="COE96" s="167"/>
      <c r="COF96" s="168"/>
      <c r="COG96" s="167"/>
      <c r="COH96" s="168"/>
      <c r="COI96" s="167"/>
      <c r="COJ96" s="168"/>
      <c r="COK96" s="167"/>
      <c r="COL96" s="168"/>
      <c r="COM96" s="167"/>
      <c r="CON96" s="168"/>
      <c r="COO96" s="167"/>
      <c r="COP96" s="168"/>
      <c r="COQ96" s="167"/>
      <c r="COR96" s="168"/>
      <c r="COS96" s="167"/>
      <c r="COT96" s="168"/>
      <c r="COU96" s="167"/>
      <c r="COV96" s="168"/>
      <c r="COW96" s="167"/>
      <c r="COX96" s="168"/>
      <c r="COY96" s="167"/>
      <c r="COZ96" s="168"/>
      <c r="CPA96" s="167"/>
      <c r="CPB96" s="168"/>
      <c r="CPC96" s="167"/>
      <c r="CPD96" s="168"/>
      <c r="CPE96" s="167"/>
      <c r="CPF96" s="168"/>
      <c r="CPG96" s="167"/>
      <c r="CPH96" s="168"/>
      <c r="CPI96" s="167"/>
      <c r="CPJ96" s="168"/>
      <c r="CPK96" s="167"/>
      <c r="CPL96" s="168"/>
      <c r="CPM96" s="167"/>
      <c r="CPN96" s="168"/>
      <c r="CPO96" s="167"/>
      <c r="CPP96" s="168"/>
      <c r="CPQ96" s="167"/>
      <c r="CPR96" s="168"/>
      <c r="CPS96" s="167"/>
      <c r="CPT96" s="168"/>
      <c r="CPU96" s="167"/>
      <c r="CPV96" s="168"/>
      <c r="CPW96" s="167"/>
      <c r="CPX96" s="168"/>
      <c r="CPY96" s="167"/>
      <c r="CPZ96" s="168"/>
      <c r="CQA96" s="167"/>
      <c r="CQB96" s="168"/>
      <c r="CQC96" s="167"/>
      <c r="CQD96" s="168"/>
      <c r="CQE96" s="167"/>
      <c r="CQF96" s="168"/>
      <c r="CQG96" s="167"/>
      <c r="CQH96" s="168"/>
      <c r="CQI96" s="167"/>
      <c r="CQJ96" s="168"/>
      <c r="CQK96" s="167"/>
      <c r="CQL96" s="168"/>
      <c r="CQM96" s="167"/>
      <c r="CQN96" s="168"/>
      <c r="CQO96" s="167"/>
      <c r="CQP96" s="168"/>
      <c r="CQQ96" s="167"/>
      <c r="CQR96" s="168"/>
      <c r="CQS96" s="167"/>
      <c r="CQT96" s="168"/>
      <c r="CQU96" s="167"/>
      <c r="CQV96" s="168"/>
      <c r="CQW96" s="167"/>
      <c r="CQX96" s="168"/>
      <c r="CQY96" s="167"/>
      <c r="CQZ96" s="168"/>
      <c r="CRA96" s="167"/>
      <c r="CRB96" s="168"/>
      <c r="CRC96" s="167"/>
      <c r="CRD96" s="168"/>
      <c r="CRE96" s="167"/>
      <c r="CRF96" s="168"/>
      <c r="CRG96" s="167"/>
      <c r="CRH96" s="168"/>
      <c r="CRI96" s="167"/>
      <c r="CRJ96" s="168"/>
      <c r="CRK96" s="167"/>
      <c r="CRL96" s="168"/>
      <c r="CRM96" s="167"/>
      <c r="CRN96" s="168"/>
      <c r="CRO96" s="167"/>
      <c r="CRP96" s="168"/>
      <c r="CRQ96" s="167"/>
      <c r="CRR96" s="168"/>
      <c r="CRS96" s="167"/>
      <c r="CRT96" s="168"/>
      <c r="CRU96" s="167"/>
      <c r="CRV96" s="168"/>
      <c r="CRW96" s="167"/>
      <c r="CRX96" s="168"/>
      <c r="CRY96" s="167"/>
      <c r="CRZ96" s="168"/>
      <c r="CSA96" s="167"/>
      <c r="CSB96" s="168"/>
      <c r="CSC96" s="167"/>
      <c r="CSD96" s="168"/>
      <c r="CSE96" s="167"/>
      <c r="CSF96" s="168"/>
      <c r="CSG96" s="167"/>
      <c r="CSH96" s="168"/>
      <c r="CSI96" s="167"/>
      <c r="CSJ96" s="168"/>
      <c r="CSK96" s="167"/>
      <c r="CSL96" s="168"/>
      <c r="CSM96" s="167"/>
      <c r="CSN96" s="168"/>
      <c r="CSO96" s="167"/>
      <c r="CSP96" s="168"/>
      <c r="CSQ96" s="167"/>
      <c r="CSR96" s="168"/>
      <c r="CSS96" s="167"/>
      <c r="CST96" s="168"/>
      <c r="CSU96" s="167"/>
      <c r="CSV96" s="168"/>
      <c r="CSW96" s="167"/>
      <c r="CSX96" s="168"/>
      <c r="CSY96" s="167"/>
      <c r="CSZ96" s="168"/>
      <c r="CTA96" s="167"/>
      <c r="CTB96" s="168"/>
      <c r="CTC96" s="167"/>
      <c r="CTD96" s="168"/>
      <c r="CTE96" s="167"/>
      <c r="CTF96" s="168"/>
      <c r="CTG96" s="167"/>
      <c r="CTH96" s="168"/>
      <c r="CTI96" s="167"/>
      <c r="CTJ96" s="168"/>
      <c r="CTK96" s="167"/>
      <c r="CTL96" s="168"/>
      <c r="CTM96" s="167"/>
      <c r="CTN96" s="168"/>
      <c r="CTO96" s="167"/>
      <c r="CTP96" s="168"/>
      <c r="CTQ96" s="167"/>
      <c r="CTR96" s="168"/>
      <c r="CTS96" s="167"/>
      <c r="CTT96" s="168"/>
      <c r="CTU96" s="167"/>
      <c r="CTV96" s="168"/>
      <c r="CTW96" s="167"/>
      <c r="CTX96" s="168"/>
      <c r="CTY96" s="167"/>
      <c r="CTZ96" s="168"/>
      <c r="CUA96" s="167"/>
      <c r="CUB96" s="168"/>
      <c r="CUC96" s="167"/>
      <c r="CUD96" s="168"/>
      <c r="CUE96" s="167"/>
      <c r="CUF96" s="168"/>
      <c r="CUG96" s="167"/>
      <c r="CUH96" s="168"/>
      <c r="CUI96" s="167"/>
      <c r="CUJ96" s="168"/>
      <c r="CUK96" s="167"/>
      <c r="CUL96" s="168"/>
      <c r="CUM96" s="167"/>
      <c r="CUN96" s="168"/>
      <c r="CUO96" s="167"/>
      <c r="CUP96" s="168"/>
      <c r="CUQ96" s="167"/>
      <c r="CUR96" s="168"/>
      <c r="CUS96" s="167"/>
      <c r="CUT96" s="168"/>
      <c r="CUU96" s="167"/>
      <c r="CUV96" s="168"/>
      <c r="CUW96" s="167"/>
      <c r="CUX96" s="168"/>
      <c r="CUY96" s="167"/>
      <c r="CUZ96" s="168"/>
      <c r="CVA96" s="167"/>
      <c r="CVB96" s="168"/>
      <c r="CVC96" s="167"/>
      <c r="CVD96" s="168"/>
      <c r="CVE96" s="167"/>
      <c r="CVF96" s="168"/>
      <c r="CVG96" s="167"/>
      <c r="CVH96" s="168"/>
      <c r="CVI96" s="167"/>
      <c r="CVJ96" s="168"/>
      <c r="CVK96" s="167"/>
      <c r="CVL96" s="168"/>
      <c r="CVM96" s="167"/>
      <c r="CVN96" s="168"/>
      <c r="CVO96" s="167"/>
      <c r="CVP96" s="168"/>
      <c r="CVQ96" s="167"/>
      <c r="CVR96" s="168"/>
      <c r="CVS96" s="167"/>
      <c r="CVT96" s="168"/>
      <c r="CVU96" s="167"/>
      <c r="CVV96" s="168"/>
      <c r="CVW96" s="167"/>
      <c r="CVX96" s="168"/>
      <c r="CVY96" s="167"/>
      <c r="CVZ96" s="168"/>
      <c r="CWA96" s="167"/>
      <c r="CWB96" s="168"/>
      <c r="CWC96" s="167"/>
      <c r="CWD96" s="168"/>
      <c r="CWE96" s="167"/>
      <c r="CWF96" s="168"/>
      <c r="CWG96" s="167"/>
      <c r="CWH96" s="168"/>
      <c r="CWI96" s="167"/>
      <c r="CWJ96" s="168"/>
      <c r="CWK96" s="167"/>
      <c r="CWL96" s="168"/>
      <c r="CWM96" s="167"/>
      <c r="CWN96" s="168"/>
      <c r="CWO96" s="167"/>
      <c r="CWP96" s="168"/>
      <c r="CWQ96" s="167"/>
      <c r="CWR96" s="168"/>
      <c r="CWS96" s="167"/>
      <c r="CWT96" s="168"/>
      <c r="CWU96" s="167"/>
      <c r="CWV96" s="168"/>
      <c r="CWW96" s="167"/>
      <c r="CWX96" s="168"/>
      <c r="CWY96" s="167"/>
      <c r="CWZ96" s="168"/>
      <c r="CXA96" s="167"/>
      <c r="CXB96" s="168"/>
      <c r="CXC96" s="167"/>
      <c r="CXD96" s="168"/>
      <c r="CXE96" s="167"/>
      <c r="CXF96" s="168"/>
      <c r="CXG96" s="167"/>
      <c r="CXH96" s="168"/>
      <c r="CXI96" s="167"/>
      <c r="CXJ96" s="168"/>
      <c r="CXK96" s="167"/>
      <c r="CXL96" s="168"/>
      <c r="CXM96" s="167"/>
      <c r="CXN96" s="168"/>
      <c r="CXO96" s="167"/>
      <c r="CXP96" s="168"/>
      <c r="CXQ96" s="167"/>
      <c r="CXR96" s="168"/>
      <c r="CXS96" s="167"/>
      <c r="CXT96" s="168"/>
      <c r="CXU96" s="167"/>
      <c r="CXV96" s="168"/>
      <c r="CXW96" s="167"/>
      <c r="CXX96" s="168"/>
      <c r="CXY96" s="167"/>
      <c r="CXZ96" s="168"/>
      <c r="CYA96" s="167"/>
      <c r="CYB96" s="168"/>
      <c r="CYC96" s="167"/>
      <c r="CYD96" s="168"/>
      <c r="CYE96" s="167"/>
      <c r="CYF96" s="168"/>
      <c r="CYG96" s="167"/>
      <c r="CYH96" s="168"/>
      <c r="CYI96" s="167"/>
      <c r="CYJ96" s="168"/>
      <c r="CYK96" s="167"/>
      <c r="CYL96" s="168"/>
      <c r="CYM96" s="167"/>
      <c r="CYN96" s="168"/>
      <c r="CYO96" s="167"/>
      <c r="CYP96" s="168"/>
      <c r="CYQ96" s="167"/>
      <c r="CYR96" s="168"/>
      <c r="CYS96" s="167"/>
      <c r="CYT96" s="168"/>
      <c r="CYU96" s="167"/>
      <c r="CYV96" s="168"/>
      <c r="CYW96" s="167"/>
      <c r="CYX96" s="168"/>
      <c r="CYY96" s="167"/>
      <c r="CYZ96" s="168"/>
      <c r="CZA96" s="167"/>
      <c r="CZB96" s="168"/>
      <c r="CZC96" s="167"/>
      <c r="CZD96" s="168"/>
      <c r="CZE96" s="167"/>
      <c r="CZF96" s="168"/>
      <c r="CZG96" s="167"/>
      <c r="CZH96" s="168"/>
      <c r="CZI96" s="167"/>
      <c r="CZJ96" s="168"/>
      <c r="CZK96" s="167"/>
      <c r="CZL96" s="168"/>
      <c r="CZM96" s="167"/>
      <c r="CZN96" s="168"/>
      <c r="CZO96" s="167"/>
      <c r="CZP96" s="168"/>
      <c r="CZQ96" s="167"/>
      <c r="CZR96" s="168"/>
      <c r="CZS96" s="167"/>
      <c r="CZT96" s="168"/>
      <c r="CZU96" s="167"/>
      <c r="CZV96" s="168"/>
      <c r="CZW96" s="167"/>
      <c r="CZX96" s="168"/>
      <c r="CZY96" s="167"/>
      <c r="CZZ96" s="168"/>
      <c r="DAA96" s="167"/>
      <c r="DAB96" s="168"/>
      <c r="DAC96" s="167"/>
      <c r="DAD96" s="168"/>
      <c r="DAE96" s="167"/>
      <c r="DAF96" s="168"/>
      <c r="DAG96" s="167"/>
      <c r="DAH96" s="168"/>
      <c r="DAI96" s="167"/>
      <c r="DAJ96" s="168"/>
      <c r="DAK96" s="167"/>
      <c r="DAL96" s="168"/>
      <c r="DAM96" s="167"/>
      <c r="DAN96" s="168"/>
      <c r="DAO96" s="167"/>
      <c r="DAP96" s="168"/>
      <c r="DAQ96" s="167"/>
      <c r="DAR96" s="168"/>
      <c r="DAS96" s="167"/>
      <c r="DAT96" s="168"/>
      <c r="DAU96" s="167"/>
      <c r="DAV96" s="168"/>
      <c r="DAW96" s="167"/>
      <c r="DAX96" s="168"/>
      <c r="DAY96" s="167"/>
      <c r="DAZ96" s="168"/>
      <c r="DBA96" s="167"/>
      <c r="DBB96" s="168"/>
      <c r="DBC96" s="167"/>
      <c r="DBD96" s="168"/>
      <c r="DBE96" s="167"/>
      <c r="DBF96" s="168"/>
      <c r="DBG96" s="167"/>
      <c r="DBH96" s="168"/>
      <c r="DBI96" s="167"/>
      <c r="DBJ96" s="168"/>
      <c r="DBK96" s="167"/>
      <c r="DBL96" s="168"/>
      <c r="DBM96" s="167"/>
      <c r="DBN96" s="168"/>
      <c r="DBO96" s="167"/>
      <c r="DBP96" s="168"/>
      <c r="DBQ96" s="167"/>
      <c r="DBR96" s="168"/>
      <c r="DBS96" s="167"/>
      <c r="DBT96" s="168"/>
      <c r="DBU96" s="167"/>
      <c r="DBV96" s="168"/>
      <c r="DBW96" s="167"/>
      <c r="DBX96" s="168"/>
      <c r="DBY96" s="167"/>
      <c r="DBZ96" s="168"/>
      <c r="DCA96" s="167"/>
      <c r="DCB96" s="168"/>
      <c r="DCC96" s="167"/>
      <c r="DCD96" s="168"/>
      <c r="DCE96" s="167"/>
      <c r="DCF96" s="168"/>
      <c r="DCG96" s="167"/>
      <c r="DCH96" s="168"/>
      <c r="DCI96" s="167"/>
      <c r="DCJ96" s="168"/>
      <c r="DCK96" s="167"/>
      <c r="DCL96" s="168"/>
      <c r="DCM96" s="167"/>
      <c r="DCN96" s="168"/>
      <c r="DCO96" s="167"/>
      <c r="DCP96" s="168"/>
      <c r="DCQ96" s="167"/>
      <c r="DCR96" s="168"/>
      <c r="DCS96" s="167"/>
      <c r="DCT96" s="168"/>
      <c r="DCU96" s="167"/>
      <c r="DCV96" s="168"/>
      <c r="DCW96" s="167"/>
      <c r="DCX96" s="168"/>
      <c r="DCY96" s="167"/>
      <c r="DCZ96" s="168"/>
      <c r="DDA96" s="167"/>
      <c r="DDB96" s="168"/>
      <c r="DDC96" s="167"/>
      <c r="DDD96" s="168"/>
      <c r="DDE96" s="167"/>
      <c r="DDF96" s="168"/>
      <c r="DDG96" s="167"/>
      <c r="DDH96" s="168"/>
      <c r="DDI96" s="167"/>
      <c r="DDJ96" s="168"/>
      <c r="DDK96" s="167"/>
      <c r="DDL96" s="168"/>
      <c r="DDM96" s="167"/>
      <c r="DDN96" s="168"/>
      <c r="DDO96" s="167"/>
      <c r="DDP96" s="168"/>
      <c r="DDQ96" s="167"/>
      <c r="DDR96" s="168"/>
      <c r="DDS96" s="167"/>
      <c r="DDT96" s="168"/>
      <c r="DDU96" s="167"/>
      <c r="DDV96" s="168"/>
      <c r="DDW96" s="167"/>
      <c r="DDX96" s="168"/>
      <c r="DDY96" s="167"/>
      <c r="DDZ96" s="168"/>
      <c r="DEA96" s="167"/>
      <c r="DEB96" s="168"/>
      <c r="DEC96" s="167"/>
      <c r="DED96" s="168"/>
      <c r="DEE96" s="167"/>
      <c r="DEF96" s="168"/>
      <c r="DEG96" s="167"/>
      <c r="DEH96" s="168"/>
      <c r="DEI96" s="167"/>
      <c r="DEJ96" s="168"/>
      <c r="DEK96" s="167"/>
      <c r="DEL96" s="168"/>
      <c r="DEM96" s="167"/>
      <c r="DEN96" s="168"/>
      <c r="DEO96" s="167"/>
      <c r="DEP96" s="168"/>
      <c r="DEQ96" s="167"/>
      <c r="DER96" s="168"/>
      <c r="DES96" s="167"/>
      <c r="DET96" s="168"/>
      <c r="DEU96" s="167"/>
      <c r="DEV96" s="168"/>
      <c r="DEW96" s="167"/>
      <c r="DEX96" s="168"/>
      <c r="DEY96" s="167"/>
      <c r="DEZ96" s="168"/>
      <c r="DFA96" s="167"/>
      <c r="DFB96" s="168"/>
      <c r="DFC96" s="167"/>
      <c r="DFD96" s="168"/>
      <c r="DFE96" s="167"/>
      <c r="DFF96" s="168"/>
      <c r="DFG96" s="167"/>
      <c r="DFH96" s="168"/>
      <c r="DFI96" s="167"/>
      <c r="DFJ96" s="168"/>
      <c r="DFK96" s="167"/>
      <c r="DFL96" s="168"/>
      <c r="DFM96" s="167"/>
      <c r="DFN96" s="168"/>
      <c r="DFO96" s="167"/>
      <c r="DFP96" s="168"/>
      <c r="DFQ96" s="167"/>
      <c r="DFR96" s="168"/>
      <c r="DFS96" s="167"/>
      <c r="DFT96" s="168"/>
      <c r="DFU96" s="167"/>
      <c r="DFV96" s="168"/>
      <c r="DFW96" s="167"/>
      <c r="DFX96" s="168"/>
      <c r="DFY96" s="167"/>
      <c r="DFZ96" s="168"/>
      <c r="DGA96" s="167"/>
      <c r="DGB96" s="168"/>
      <c r="DGC96" s="167"/>
      <c r="DGD96" s="168"/>
      <c r="DGE96" s="167"/>
      <c r="DGF96" s="168"/>
      <c r="DGG96" s="167"/>
      <c r="DGH96" s="168"/>
      <c r="DGI96" s="167"/>
      <c r="DGJ96" s="168"/>
      <c r="DGK96" s="167"/>
      <c r="DGL96" s="168"/>
      <c r="DGM96" s="167"/>
      <c r="DGN96" s="168"/>
      <c r="DGO96" s="167"/>
      <c r="DGP96" s="168"/>
      <c r="DGQ96" s="167"/>
      <c r="DGR96" s="168"/>
      <c r="DGS96" s="167"/>
      <c r="DGT96" s="168"/>
      <c r="DGU96" s="167"/>
      <c r="DGV96" s="168"/>
      <c r="DGW96" s="167"/>
      <c r="DGX96" s="168"/>
      <c r="DGY96" s="167"/>
      <c r="DGZ96" s="168"/>
      <c r="DHA96" s="167"/>
      <c r="DHB96" s="168"/>
      <c r="DHC96" s="167"/>
      <c r="DHD96" s="168"/>
      <c r="DHE96" s="167"/>
      <c r="DHF96" s="168"/>
      <c r="DHG96" s="167"/>
      <c r="DHH96" s="168"/>
      <c r="DHI96" s="167"/>
      <c r="DHJ96" s="168"/>
      <c r="DHK96" s="167"/>
      <c r="DHL96" s="168"/>
      <c r="DHM96" s="167"/>
      <c r="DHN96" s="168"/>
      <c r="DHO96" s="167"/>
      <c r="DHP96" s="168"/>
      <c r="DHQ96" s="167"/>
      <c r="DHR96" s="168"/>
      <c r="DHS96" s="167"/>
      <c r="DHT96" s="168"/>
      <c r="DHU96" s="167"/>
      <c r="DHV96" s="168"/>
      <c r="DHW96" s="167"/>
      <c r="DHX96" s="168"/>
      <c r="DHY96" s="167"/>
      <c r="DHZ96" s="168"/>
      <c r="DIA96" s="167"/>
      <c r="DIB96" s="168"/>
      <c r="DIC96" s="167"/>
      <c r="DID96" s="168"/>
      <c r="DIE96" s="167"/>
      <c r="DIF96" s="168"/>
      <c r="DIG96" s="167"/>
      <c r="DIH96" s="168"/>
      <c r="DII96" s="167"/>
      <c r="DIJ96" s="168"/>
      <c r="DIK96" s="167"/>
      <c r="DIL96" s="168"/>
      <c r="DIM96" s="167"/>
      <c r="DIN96" s="168"/>
      <c r="DIO96" s="167"/>
      <c r="DIP96" s="168"/>
      <c r="DIQ96" s="167"/>
      <c r="DIR96" s="168"/>
      <c r="DIS96" s="167"/>
      <c r="DIT96" s="168"/>
      <c r="DIU96" s="167"/>
      <c r="DIV96" s="168"/>
      <c r="DIW96" s="167"/>
      <c r="DIX96" s="168"/>
      <c r="DIY96" s="167"/>
      <c r="DIZ96" s="168"/>
      <c r="DJA96" s="167"/>
      <c r="DJB96" s="168"/>
      <c r="DJC96" s="167"/>
      <c r="DJD96" s="168"/>
      <c r="DJE96" s="167"/>
      <c r="DJF96" s="168"/>
      <c r="DJG96" s="167"/>
      <c r="DJH96" s="168"/>
      <c r="DJI96" s="167"/>
      <c r="DJJ96" s="168"/>
      <c r="DJK96" s="167"/>
      <c r="DJL96" s="168"/>
      <c r="DJM96" s="167"/>
      <c r="DJN96" s="168"/>
      <c r="DJO96" s="167"/>
      <c r="DJP96" s="168"/>
      <c r="DJQ96" s="167"/>
      <c r="DJR96" s="168"/>
      <c r="DJS96" s="167"/>
      <c r="DJT96" s="168"/>
      <c r="DJU96" s="167"/>
      <c r="DJV96" s="168"/>
      <c r="DJW96" s="167"/>
      <c r="DJX96" s="168"/>
      <c r="DJY96" s="167"/>
      <c r="DJZ96" s="168"/>
      <c r="DKA96" s="167"/>
      <c r="DKB96" s="168"/>
      <c r="DKC96" s="167"/>
      <c r="DKD96" s="168"/>
      <c r="DKE96" s="167"/>
      <c r="DKF96" s="168"/>
      <c r="DKG96" s="167"/>
      <c r="DKH96" s="168"/>
      <c r="DKI96" s="167"/>
      <c r="DKJ96" s="168"/>
      <c r="DKK96" s="167"/>
      <c r="DKL96" s="168"/>
      <c r="DKM96" s="167"/>
      <c r="DKN96" s="168"/>
      <c r="DKO96" s="167"/>
      <c r="DKP96" s="168"/>
      <c r="DKQ96" s="167"/>
      <c r="DKR96" s="168"/>
      <c r="DKS96" s="167"/>
      <c r="DKT96" s="168"/>
      <c r="DKU96" s="167"/>
      <c r="DKV96" s="168"/>
      <c r="DKW96" s="167"/>
      <c r="DKX96" s="168"/>
      <c r="DKY96" s="167"/>
      <c r="DKZ96" s="168"/>
      <c r="DLA96" s="167"/>
      <c r="DLB96" s="168"/>
      <c r="DLC96" s="167"/>
      <c r="DLD96" s="168"/>
      <c r="DLE96" s="167"/>
      <c r="DLF96" s="168"/>
      <c r="DLG96" s="167"/>
      <c r="DLH96" s="168"/>
      <c r="DLI96" s="167"/>
      <c r="DLJ96" s="168"/>
      <c r="DLK96" s="167"/>
      <c r="DLL96" s="168"/>
      <c r="DLM96" s="167"/>
      <c r="DLN96" s="168"/>
      <c r="DLO96" s="167"/>
      <c r="DLP96" s="168"/>
      <c r="DLQ96" s="167"/>
      <c r="DLR96" s="168"/>
      <c r="DLS96" s="167"/>
      <c r="DLT96" s="168"/>
      <c r="DLU96" s="167"/>
      <c r="DLV96" s="168"/>
      <c r="DLW96" s="167"/>
      <c r="DLX96" s="168"/>
      <c r="DLY96" s="167"/>
      <c r="DLZ96" s="168"/>
      <c r="DMA96" s="167"/>
      <c r="DMB96" s="168"/>
      <c r="DMC96" s="167"/>
      <c r="DMD96" s="168"/>
      <c r="DME96" s="167"/>
      <c r="DMF96" s="168"/>
      <c r="DMG96" s="167"/>
      <c r="DMH96" s="168"/>
      <c r="DMI96" s="167"/>
      <c r="DMJ96" s="168"/>
      <c r="DMK96" s="167"/>
      <c r="DML96" s="168"/>
      <c r="DMM96" s="167"/>
      <c r="DMN96" s="168"/>
      <c r="DMO96" s="167"/>
      <c r="DMP96" s="168"/>
      <c r="DMQ96" s="167"/>
      <c r="DMR96" s="168"/>
      <c r="DMS96" s="167"/>
      <c r="DMT96" s="168"/>
      <c r="DMU96" s="167"/>
      <c r="DMV96" s="168"/>
      <c r="DMW96" s="167"/>
      <c r="DMX96" s="168"/>
      <c r="DMY96" s="167"/>
      <c r="DMZ96" s="168"/>
      <c r="DNA96" s="167"/>
      <c r="DNB96" s="168"/>
      <c r="DNC96" s="167"/>
      <c r="DND96" s="168"/>
      <c r="DNE96" s="167"/>
      <c r="DNF96" s="168"/>
      <c r="DNG96" s="167"/>
      <c r="DNH96" s="168"/>
      <c r="DNI96" s="167"/>
      <c r="DNJ96" s="168"/>
      <c r="DNK96" s="167"/>
      <c r="DNL96" s="168"/>
      <c r="DNM96" s="167"/>
      <c r="DNN96" s="168"/>
      <c r="DNO96" s="167"/>
      <c r="DNP96" s="168"/>
      <c r="DNQ96" s="167"/>
      <c r="DNR96" s="168"/>
      <c r="DNS96" s="167"/>
      <c r="DNT96" s="168"/>
      <c r="DNU96" s="167"/>
      <c r="DNV96" s="168"/>
      <c r="DNW96" s="167"/>
      <c r="DNX96" s="168"/>
      <c r="DNY96" s="167"/>
      <c r="DNZ96" s="168"/>
      <c r="DOA96" s="167"/>
      <c r="DOB96" s="168"/>
      <c r="DOC96" s="167"/>
      <c r="DOD96" s="168"/>
      <c r="DOE96" s="167"/>
      <c r="DOF96" s="168"/>
      <c r="DOG96" s="167"/>
      <c r="DOH96" s="168"/>
      <c r="DOI96" s="167"/>
      <c r="DOJ96" s="168"/>
      <c r="DOK96" s="167"/>
      <c r="DOL96" s="168"/>
      <c r="DOM96" s="167"/>
      <c r="DON96" s="168"/>
      <c r="DOO96" s="167"/>
      <c r="DOP96" s="168"/>
      <c r="DOQ96" s="167"/>
      <c r="DOR96" s="168"/>
      <c r="DOS96" s="167"/>
      <c r="DOT96" s="168"/>
      <c r="DOU96" s="167"/>
      <c r="DOV96" s="168"/>
      <c r="DOW96" s="167"/>
      <c r="DOX96" s="168"/>
      <c r="DOY96" s="167"/>
      <c r="DOZ96" s="168"/>
      <c r="DPA96" s="167"/>
      <c r="DPB96" s="168"/>
      <c r="DPC96" s="167"/>
      <c r="DPD96" s="168"/>
      <c r="DPE96" s="167"/>
      <c r="DPF96" s="168"/>
      <c r="DPG96" s="167"/>
      <c r="DPH96" s="168"/>
      <c r="DPI96" s="167"/>
      <c r="DPJ96" s="168"/>
      <c r="DPK96" s="167"/>
      <c r="DPL96" s="168"/>
      <c r="DPM96" s="167"/>
      <c r="DPN96" s="168"/>
      <c r="DPO96" s="167"/>
      <c r="DPP96" s="168"/>
      <c r="DPQ96" s="167"/>
      <c r="DPR96" s="168"/>
      <c r="DPS96" s="167"/>
      <c r="DPT96" s="168"/>
      <c r="DPU96" s="167"/>
      <c r="DPV96" s="168"/>
      <c r="DPW96" s="167"/>
      <c r="DPX96" s="168"/>
      <c r="DPY96" s="167"/>
      <c r="DPZ96" s="168"/>
      <c r="DQA96" s="167"/>
      <c r="DQB96" s="168"/>
      <c r="DQC96" s="167"/>
      <c r="DQD96" s="168"/>
      <c r="DQE96" s="167"/>
      <c r="DQF96" s="168"/>
      <c r="DQG96" s="167"/>
      <c r="DQH96" s="168"/>
      <c r="DQI96" s="167"/>
      <c r="DQJ96" s="168"/>
      <c r="DQK96" s="167"/>
      <c r="DQL96" s="168"/>
      <c r="DQM96" s="167"/>
      <c r="DQN96" s="168"/>
      <c r="DQO96" s="167"/>
      <c r="DQP96" s="168"/>
      <c r="DQQ96" s="167"/>
      <c r="DQR96" s="168"/>
      <c r="DQS96" s="167"/>
      <c r="DQT96" s="168"/>
      <c r="DQU96" s="167"/>
      <c r="DQV96" s="168"/>
      <c r="DQW96" s="167"/>
      <c r="DQX96" s="168"/>
      <c r="DQY96" s="167"/>
      <c r="DQZ96" s="168"/>
      <c r="DRA96" s="167"/>
      <c r="DRB96" s="168"/>
      <c r="DRC96" s="167"/>
      <c r="DRD96" s="168"/>
      <c r="DRE96" s="167"/>
      <c r="DRF96" s="168"/>
      <c r="DRG96" s="167"/>
      <c r="DRH96" s="168"/>
      <c r="DRI96" s="167"/>
      <c r="DRJ96" s="168"/>
      <c r="DRK96" s="167"/>
      <c r="DRL96" s="168"/>
      <c r="DRM96" s="167"/>
      <c r="DRN96" s="168"/>
      <c r="DRO96" s="167"/>
      <c r="DRP96" s="168"/>
      <c r="DRQ96" s="167"/>
      <c r="DRR96" s="168"/>
      <c r="DRS96" s="167"/>
      <c r="DRT96" s="168"/>
      <c r="DRU96" s="167"/>
      <c r="DRV96" s="168"/>
      <c r="DRW96" s="167"/>
      <c r="DRX96" s="168"/>
      <c r="DRY96" s="167"/>
      <c r="DRZ96" s="168"/>
      <c r="DSA96" s="167"/>
      <c r="DSB96" s="168"/>
      <c r="DSC96" s="167"/>
      <c r="DSD96" s="168"/>
      <c r="DSE96" s="167"/>
      <c r="DSF96" s="168"/>
      <c r="DSG96" s="167"/>
      <c r="DSH96" s="168"/>
      <c r="DSI96" s="167"/>
      <c r="DSJ96" s="168"/>
      <c r="DSK96" s="167"/>
      <c r="DSL96" s="168"/>
      <c r="DSM96" s="167"/>
      <c r="DSN96" s="168"/>
      <c r="DSO96" s="167"/>
      <c r="DSP96" s="168"/>
      <c r="DSQ96" s="167"/>
      <c r="DSR96" s="168"/>
      <c r="DSS96" s="167"/>
      <c r="DST96" s="168"/>
      <c r="DSU96" s="167"/>
      <c r="DSV96" s="168"/>
      <c r="DSW96" s="167"/>
      <c r="DSX96" s="168"/>
      <c r="DSY96" s="167"/>
      <c r="DSZ96" s="168"/>
      <c r="DTA96" s="167"/>
      <c r="DTB96" s="168"/>
      <c r="DTC96" s="167"/>
      <c r="DTD96" s="168"/>
      <c r="DTE96" s="167"/>
      <c r="DTF96" s="168"/>
      <c r="DTG96" s="167"/>
      <c r="DTH96" s="168"/>
      <c r="DTI96" s="167"/>
      <c r="DTJ96" s="168"/>
      <c r="DTK96" s="167"/>
      <c r="DTL96" s="168"/>
      <c r="DTM96" s="167"/>
      <c r="DTN96" s="168"/>
      <c r="DTO96" s="167"/>
      <c r="DTP96" s="168"/>
      <c r="DTQ96" s="167"/>
      <c r="DTR96" s="168"/>
      <c r="DTS96" s="167"/>
      <c r="DTT96" s="168"/>
      <c r="DTU96" s="167"/>
      <c r="DTV96" s="168"/>
      <c r="DTW96" s="167"/>
      <c r="DTX96" s="168"/>
      <c r="DTY96" s="167"/>
      <c r="DTZ96" s="168"/>
      <c r="DUA96" s="167"/>
      <c r="DUB96" s="168"/>
      <c r="DUC96" s="167"/>
      <c r="DUD96" s="168"/>
      <c r="DUE96" s="167"/>
      <c r="DUF96" s="168"/>
      <c r="DUG96" s="167"/>
      <c r="DUH96" s="168"/>
      <c r="DUI96" s="167"/>
      <c r="DUJ96" s="168"/>
      <c r="DUK96" s="167"/>
      <c r="DUL96" s="168"/>
      <c r="DUM96" s="167"/>
      <c r="DUN96" s="168"/>
      <c r="DUO96" s="167"/>
      <c r="DUP96" s="168"/>
      <c r="DUQ96" s="167"/>
      <c r="DUR96" s="168"/>
      <c r="DUS96" s="167"/>
      <c r="DUT96" s="168"/>
      <c r="DUU96" s="167"/>
      <c r="DUV96" s="168"/>
      <c r="DUW96" s="167"/>
      <c r="DUX96" s="168"/>
      <c r="DUY96" s="167"/>
      <c r="DUZ96" s="168"/>
      <c r="DVA96" s="167"/>
      <c r="DVB96" s="168"/>
      <c r="DVC96" s="167"/>
      <c r="DVD96" s="168"/>
      <c r="DVE96" s="167"/>
      <c r="DVF96" s="168"/>
      <c r="DVG96" s="167"/>
      <c r="DVH96" s="168"/>
      <c r="DVI96" s="167"/>
      <c r="DVJ96" s="168"/>
      <c r="DVK96" s="167"/>
      <c r="DVL96" s="168"/>
      <c r="DVM96" s="167"/>
      <c r="DVN96" s="168"/>
      <c r="DVO96" s="167"/>
      <c r="DVP96" s="168"/>
      <c r="DVQ96" s="167"/>
      <c r="DVR96" s="168"/>
      <c r="DVS96" s="167"/>
      <c r="DVT96" s="168"/>
      <c r="DVU96" s="167"/>
      <c r="DVV96" s="168"/>
      <c r="DVW96" s="167"/>
      <c r="DVX96" s="168"/>
      <c r="DVY96" s="167"/>
      <c r="DVZ96" s="168"/>
      <c r="DWA96" s="167"/>
      <c r="DWB96" s="168"/>
      <c r="DWC96" s="167"/>
      <c r="DWD96" s="168"/>
      <c r="DWE96" s="167"/>
      <c r="DWF96" s="168"/>
      <c r="DWG96" s="167"/>
      <c r="DWH96" s="168"/>
      <c r="DWI96" s="167"/>
      <c r="DWJ96" s="168"/>
      <c r="DWK96" s="167"/>
      <c r="DWL96" s="168"/>
      <c r="DWM96" s="167"/>
      <c r="DWN96" s="168"/>
      <c r="DWO96" s="167"/>
      <c r="DWP96" s="168"/>
      <c r="DWQ96" s="167"/>
      <c r="DWR96" s="168"/>
      <c r="DWS96" s="167"/>
      <c r="DWT96" s="168"/>
      <c r="DWU96" s="167"/>
      <c r="DWV96" s="168"/>
      <c r="DWW96" s="167"/>
      <c r="DWX96" s="168"/>
      <c r="DWY96" s="167"/>
      <c r="DWZ96" s="168"/>
      <c r="DXA96" s="167"/>
      <c r="DXB96" s="168"/>
      <c r="DXC96" s="167"/>
      <c r="DXD96" s="168"/>
      <c r="DXE96" s="167"/>
      <c r="DXF96" s="168"/>
      <c r="DXG96" s="167"/>
      <c r="DXH96" s="168"/>
      <c r="DXI96" s="167"/>
      <c r="DXJ96" s="168"/>
      <c r="DXK96" s="167"/>
      <c r="DXL96" s="168"/>
      <c r="DXM96" s="167"/>
      <c r="DXN96" s="168"/>
      <c r="DXO96" s="167"/>
      <c r="DXP96" s="168"/>
      <c r="DXQ96" s="167"/>
      <c r="DXR96" s="168"/>
      <c r="DXS96" s="167"/>
      <c r="DXT96" s="168"/>
      <c r="DXU96" s="167"/>
      <c r="DXV96" s="168"/>
      <c r="DXW96" s="167"/>
      <c r="DXX96" s="168"/>
      <c r="DXY96" s="167"/>
      <c r="DXZ96" s="168"/>
      <c r="DYA96" s="167"/>
      <c r="DYB96" s="168"/>
      <c r="DYC96" s="167"/>
      <c r="DYD96" s="168"/>
      <c r="DYE96" s="167"/>
      <c r="DYF96" s="168"/>
      <c r="DYG96" s="167"/>
      <c r="DYH96" s="168"/>
      <c r="DYI96" s="167"/>
      <c r="DYJ96" s="168"/>
      <c r="DYK96" s="167"/>
      <c r="DYL96" s="168"/>
      <c r="DYM96" s="167"/>
      <c r="DYN96" s="168"/>
      <c r="DYO96" s="167"/>
      <c r="DYP96" s="168"/>
      <c r="DYQ96" s="167"/>
      <c r="DYR96" s="168"/>
      <c r="DYS96" s="167"/>
      <c r="DYT96" s="168"/>
      <c r="DYU96" s="167"/>
      <c r="DYV96" s="168"/>
      <c r="DYW96" s="167"/>
      <c r="DYX96" s="168"/>
      <c r="DYY96" s="167"/>
      <c r="DYZ96" s="168"/>
      <c r="DZA96" s="167"/>
      <c r="DZB96" s="168"/>
      <c r="DZC96" s="167"/>
      <c r="DZD96" s="168"/>
      <c r="DZE96" s="167"/>
      <c r="DZF96" s="168"/>
      <c r="DZG96" s="167"/>
      <c r="DZH96" s="168"/>
      <c r="DZI96" s="167"/>
      <c r="DZJ96" s="168"/>
      <c r="DZK96" s="167"/>
      <c r="DZL96" s="168"/>
      <c r="DZM96" s="167"/>
      <c r="DZN96" s="168"/>
      <c r="DZO96" s="167"/>
      <c r="DZP96" s="168"/>
      <c r="DZQ96" s="167"/>
      <c r="DZR96" s="168"/>
      <c r="DZS96" s="167"/>
      <c r="DZT96" s="168"/>
      <c r="DZU96" s="167"/>
      <c r="DZV96" s="168"/>
      <c r="DZW96" s="167"/>
      <c r="DZX96" s="168"/>
      <c r="DZY96" s="167"/>
      <c r="DZZ96" s="168"/>
      <c r="EAA96" s="167"/>
      <c r="EAB96" s="168"/>
      <c r="EAC96" s="167"/>
      <c r="EAD96" s="168"/>
      <c r="EAE96" s="167"/>
      <c r="EAF96" s="168"/>
      <c r="EAG96" s="167"/>
      <c r="EAH96" s="168"/>
      <c r="EAI96" s="167"/>
      <c r="EAJ96" s="168"/>
      <c r="EAK96" s="167"/>
      <c r="EAL96" s="168"/>
      <c r="EAM96" s="167"/>
      <c r="EAN96" s="168"/>
      <c r="EAO96" s="167"/>
      <c r="EAP96" s="168"/>
      <c r="EAQ96" s="167"/>
      <c r="EAR96" s="168"/>
      <c r="EAS96" s="167"/>
      <c r="EAT96" s="168"/>
      <c r="EAU96" s="167"/>
      <c r="EAV96" s="168"/>
      <c r="EAW96" s="167"/>
      <c r="EAX96" s="168"/>
      <c r="EAY96" s="167"/>
      <c r="EAZ96" s="168"/>
      <c r="EBA96" s="167"/>
      <c r="EBB96" s="168"/>
      <c r="EBC96" s="167"/>
      <c r="EBD96" s="168"/>
      <c r="EBE96" s="167"/>
      <c r="EBF96" s="168"/>
      <c r="EBG96" s="167"/>
      <c r="EBH96" s="168"/>
      <c r="EBI96" s="167"/>
      <c r="EBJ96" s="168"/>
      <c r="EBK96" s="167"/>
      <c r="EBL96" s="168"/>
      <c r="EBM96" s="167"/>
      <c r="EBN96" s="168"/>
      <c r="EBO96" s="167"/>
      <c r="EBP96" s="168"/>
      <c r="EBQ96" s="167"/>
      <c r="EBR96" s="168"/>
      <c r="EBS96" s="167"/>
      <c r="EBT96" s="168"/>
      <c r="EBU96" s="167"/>
      <c r="EBV96" s="168"/>
      <c r="EBW96" s="167"/>
      <c r="EBX96" s="168"/>
      <c r="EBY96" s="167"/>
      <c r="EBZ96" s="168"/>
      <c r="ECA96" s="167"/>
      <c r="ECB96" s="168"/>
      <c r="ECC96" s="167"/>
      <c r="ECD96" s="168"/>
      <c r="ECE96" s="167"/>
      <c r="ECF96" s="168"/>
      <c r="ECG96" s="167"/>
      <c r="ECH96" s="168"/>
      <c r="ECI96" s="167"/>
      <c r="ECJ96" s="168"/>
      <c r="ECK96" s="167"/>
      <c r="ECL96" s="168"/>
      <c r="ECM96" s="167"/>
      <c r="ECN96" s="168"/>
      <c r="ECO96" s="167"/>
      <c r="ECP96" s="168"/>
      <c r="ECQ96" s="167"/>
      <c r="ECR96" s="168"/>
      <c r="ECS96" s="167"/>
      <c r="ECT96" s="168"/>
      <c r="ECU96" s="167"/>
      <c r="ECV96" s="168"/>
      <c r="ECW96" s="167"/>
      <c r="ECX96" s="168"/>
      <c r="ECY96" s="167"/>
      <c r="ECZ96" s="168"/>
      <c r="EDA96" s="167"/>
      <c r="EDB96" s="168"/>
      <c r="EDC96" s="167"/>
      <c r="EDD96" s="168"/>
      <c r="EDE96" s="167"/>
      <c r="EDF96" s="168"/>
      <c r="EDG96" s="167"/>
      <c r="EDH96" s="168"/>
      <c r="EDI96" s="167"/>
      <c r="EDJ96" s="168"/>
      <c r="EDK96" s="167"/>
      <c r="EDL96" s="168"/>
      <c r="EDM96" s="167"/>
      <c r="EDN96" s="168"/>
      <c r="EDO96" s="167"/>
      <c r="EDP96" s="168"/>
      <c r="EDQ96" s="167"/>
      <c r="EDR96" s="168"/>
      <c r="EDS96" s="167"/>
      <c r="EDT96" s="168"/>
      <c r="EDU96" s="167"/>
      <c r="EDV96" s="168"/>
      <c r="EDW96" s="167"/>
      <c r="EDX96" s="168"/>
      <c r="EDY96" s="167"/>
      <c r="EDZ96" s="168"/>
      <c r="EEA96" s="167"/>
      <c r="EEB96" s="168"/>
      <c r="EEC96" s="167"/>
      <c r="EED96" s="168"/>
      <c r="EEE96" s="167"/>
      <c r="EEF96" s="168"/>
      <c r="EEG96" s="167"/>
      <c r="EEH96" s="168"/>
      <c r="EEI96" s="167"/>
      <c r="EEJ96" s="168"/>
      <c r="EEK96" s="167"/>
      <c r="EEL96" s="168"/>
      <c r="EEM96" s="167"/>
      <c r="EEN96" s="168"/>
      <c r="EEO96" s="167"/>
      <c r="EEP96" s="168"/>
      <c r="EEQ96" s="167"/>
      <c r="EER96" s="168"/>
      <c r="EES96" s="167"/>
      <c r="EET96" s="168"/>
      <c r="EEU96" s="167"/>
      <c r="EEV96" s="168"/>
      <c r="EEW96" s="167"/>
      <c r="EEX96" s="168"/>
      <c r="EEY96" s="167"/>
      <c r="EEZ96" s="168"/>
      <c r="EFA96" s="167"/>
      <c r="EFB96" s="168"/>
      <c r="EFC96" s="167"/>
      <c r="EFD96" s="168"/>
      <c r="EFE96" s="167"/>
      <c r="EFF96" s="168"/>
      <c r="EFG96" s="167"/>
      <c r="EFH96" s="168"/>
      <c r="EFI96" s="167"/>
      <c r="EFJ96" s="168"/>
      <c r="EFK96" s="167"/>
      <c r="EFL96" s="168"/>
      <c r="EFM96" s="167"/>
      <c r="EFN96" s="168"/>
      <c r="EFO96" s="167"/>
      <c r="EFP96" s="168"/>
      <c r="EFQ96" s="167"/>
      <c r="EFR96" s="168"/>
      <c r="EFS96" s="167"/>
      <c r="EFT96" s="168"/>
      <c r="EFU96" s="167"/>
      <c r="EFV96" s="168"/>
      <c r="EFW96" s="167"/>
      <c r="EFX96" s="168"/>
      <c r="EFY96" s="167"/>
      <c r="EFZ96" s="168"/>
      <c r="EGA96" s="167"/>
      <c r="EGB96" s="168"/>
      <c r="EGC96" s="167"/>
      <c r="EGD96" s="168"/>
      <c r="EGE96" s="167"/>
      <c r="EGF96" s="168"/>
      <c r="EGG96" s="167"/>
      <c r="EGH96" s="168"/>
      <c r="EGI96" s="167"/>
      <c r="EGJ96" s="168"/>
      <c r="EGK96" s="167"/>
      <c r="EGL96" s="168"/>
      <c r="EGM96" s="167"/>
      <c r="EGN96" s="168"/>
      <c r="EGO96" s="167"/>
      <c r="EGP96" s="168"/>
      <c r="EGQ96" s="167"/>
      <c r="EGR96" s="168"/>
      <c r="EGS96" s="167"/>
      <c r="EGT96" s="168"/>
      <c r="EGU96" s="167"/>
      <c r="EGV96" s="168"/>
      <c r="EGW96" s="167"/>
      <c r="EGX96" s="168"/>
      <c r="EGY96" s="167"/>
      <c r="EGZ96" s="168"/>
      <c r="EHA96" s="167"/>
      <c r="EHB96" s="168"/>
      <c r="EHC96" s="167"/>
      <c r="EHD96" s="168"/>
      <c r="EHE96" s="167"/>
      <c r="EHF96" s="168"/>
      <c r="EHG96" s="167"/>
      <c r="EHH96" s="168"/>
      <c r="EHI96" s="167"/>
      <c r="EHJ96" s="168"/>
      <c r="EHK96" s="167"/>
      <c r="EHL96" s="168"/>
      <c r="EHM96" s="167"/>
      <c r="EHN96" s="168"/>
      <c r="EHO96" s="167"/>
      <c r="EHP96" s="168"/>
      <c r="EHQ96" s="167"/>
      <c r="EHR96" s="168"/>
      <c r="EHS96" s="167"/>
      <c r="EHT96" s="168"/>
      <c r="EHU96" s="167"/>
      <c r="EHV96" s="168"/>
      <c r="EHW96" s="167"/>
      <c r="EHX96" s="168"/>
      <c r="EHY96" s="167"/>
      <c r="EHZ96" s="168"/>
      <c r="EIA96" s="167"/>
      <c r="EIB96" s="168"/>
      <c r="EIC96" s="167"/>
      <c r="EID96" s="168"/>
      <c r="EIE96" s="167"/>
      <c r="EIF96" s="168"/>
      <c r="EIG96" s="167"/>
      <c r="EIH96" s="168"/>
      <c r="EII96" s="167"/>
      <c r="EIJ96" s="168"/>
      <c r="EIK96" s="167"/>
      <c r="EIL96" s="168"/>
      <c r="EIM96" s="167"/>
      <c r="EIN96" s="168"/>
      <c r="EIO96" s="167"/>
      <c r="EIP96" s="168"/>
      <c r="EIQ96" s="167"/>
      <c r="EIR96" s="168"/>
      <c r="EIS96" s="167"/>
      <c r="EIT96" s="168"/>
      <c r="EIU96" s="167"/>
      <c r="EIV96" s="168"/>
      <c r="EIW96" s="167"/>
      <c r="EIX96" s="168"/>
      <c r="EIY96" s="167"/>
      <c r="EIZ96" s="168"/>
      <c r="EJA96" s="167"/>
      <c r="EJB96" s="168"/>
      <c r="EJC96" s="167"/>
      <c r="EJD96" s="168"/>
      <c r="EJE96" s="167"/>
      <c r="EJF96" s="168"/>
      <c r="EJG96" s="167"/>
      <c r="EJH96" s="168"/>
      <c r="EJI96" s="167"/>
      <c r="EJJ96" s="168"/>
      <c r="EJK96" s="167"/>
      <c r="EJL96" s="168"/>
      <c r="EJM96" s="167"/>
      <c r="EJN96" s="168"/>
      <c r="EJO96" s="167"/>
      <c r="EJP96" s="168"/>
      <c r="EJQ96" s="167"/>
      <c r="EJR96" s="168"/>
      <c r="EJS96" s="167"/>
      <c r="EJT96" s="168"/>
      <c r="EJU96" s="167"/>
      <c r="EJV96" s="168"/>
      <c r="EJW96" s="167"/>
      <c r="EJX96" s="168"/>
      <c r="EJY96" s="167"/>
      <c r="EJZ96" s="168"/>
      <c r="EKA96" s="167"/>
      <c r="EKB96" s="168"/>
      <c r="EKC96" s="167"/>
      <c r="EKD96" s="168"/>
      <c r="EKE96" s="167"/>
      <c r="EKF96" s="168"/>
      <c r="EKG96" s="167"/>
      <c r="EKH96" s="168"/>
      <c r="EKI96" s="167"/>
      <c r="EKJ96" s="168"/>
      <c r="EKK96" s="167"/>
      <c r="EKL96" s="168"/>
      <c r="EKM96" s="167"/>
      <c r="EKN96" s="168"/>
      <c r="EKO96" s="167"/>
      <c r="EKP96" s="168"/>
      <c r="EKQ96" s="167"/>
      <c r="EKR96" s="168"/>
      <c r="EKS96" s="167"/>
      <c r="EKT96" s="168"/>
      <c r="EKU96" s="167"/>
      <c r="EKV96" s="168"/>
      <c r="EKW96" s="167"/>
      <c r="EKX96" s="168"/>
      <c r="EKY96" s="167"/>
      <c r="EKZ96" s="168"/>
      <c r="ELA96" s="167"/>
      <c r="ELB96" s="168"/>
      <c r="ELC96" s="167"/>
      <c r="ELD96" s="168"/>
      <c r="ELE96" s="167"/>
      <c r="ELF96" s="168"/>
      <c r="ELG96" s="167"/>
      <c r="ELH96" s="168"/>
      <c r="ELI96" s="167"/>
      <c r="ELJ96" s="168"/>
      <c r="ELK96" s="167"/>
      <c r="ELL96" s="168"/>
      <c r="ELM96" s="167"/>
      <c r="ELN96" s="168"/>
      <c r="ELO96" s="167"/>
      <c r="ELP96" s="168"/>
      <c r="ELQ96" s="167"/>
      <c r="ELR96" s="168"/>
      <c r="ELS96" s="167"/>
      <c r="ELT96" s="168"/>
      <c r="ELU96" s="167"/>
      <c r="ELV96" s="168"/>
      <c r="ELW96" s="167"/>
      <c r="ELX96" s="168"/>
      <c r="ELY96" s="167"/>
      <c r="ELZ96" s="168"/>
      <c r="EMA96" s="167"/>
      <c r="EMB96" s="168"/>
      <c r="EMC96" s="167"/>
      <c r="EMD96" s="168"/>
      <c r="EME96" s="167"/>
      <c r="EMF96" s="168"/>
      <c r="EMG96" s="167"/>
      <c r="EMH96" s="168"/>
      <c r="EMI96" s="167"/>
      <c r="EMJ96" s="168"/>
      <c r="EMK96" s="167"/>
      <c r="EML96" s="168"/>
      <c r="EMM96" s="167"/>
      <c r="EMN96" s="168"/>
      <c r="EMO96" s="167"/>
      <c r="EMP96" s="168"/>
      <c r="EMQ96" s="167"/>
      <c r="EMR96" s="168"/>
      <c r="EMS96" s="167"/>
      <c r="EMT96" s="168"/>
      <c r="EMU96" s="167"/>
      <c r="EMV96" s="168"/>
      <c r="EMW96" s="167"/>
      <c r="EMX96" s="168"/>
      <c r="EMY96" s="167"/>
      <c r="EMZ96" s="168"/>
      <c r="ENA96" s="167"/>
      <c r="ENB96" s="168"/>
      <c r="ENC96" s="167"/>
      <c r="END96" s="168"/>
      <c r="ENE96" s="167"/>
      <c r="ENF96" s="168"/>
      <c r="ENG96" s="167"/>
      <c r="ENH96" s="168"/>
      <c r="ENI96" s="167"/>
      <c r="ENJ96" s="168"/>
      <c r="ENK96" s="167"/>
      <c r="ENL96" s="168"/>
      <c r="ENM96" s="167"/>
      <c r="ENN96" s="168"/>
      <c r="ENO96" s="167"/>
      <c r="ENP96" s="168"/>
      <c r="ENQ96" s="167"/>
      <c r="ENR96" s="168"/>
      <c r="ENS96" s="167"/>
      <c r="ENT96" s="168"/>
      <c r="ENU96" s="167"/>
      <c r="ENV96" s="168"/>
      <c r="ENW96" s="167"/>
      <c r="ENX96" s="168"/>
      <c r="ENY96" s="167"/>
      <c r="ENZ96" s="168"/>
      <c r="EOA96" s="167"/>
      <c r="EOB96" s="168"/>
      <c r="EOC96" s="167"/>
      <c r="EOD96" s="168"/>
      <c r="EOE96" s="167"/>
      <c r="EOF96" s="168"/>
      <c r="EOG96" s="167"/>
      <c r="EOH96" s="168"/>
      <c r="EOI96" s="167"/>
      <c r="EOJ96" s="168"/>
      <c r="EOK96" s="167"/>
      <c r="EOL96" s="168"/>
      <c r="EOM96" s="167"/>
      <c r="EON96" s="168"/>
      <c r="EOO96" s="167"/>
      <c r="EOP96" s="168"/>
      <c r="EOQ96" s="167"/>
      <c r="EOR96" s="168"/>
      <c r="EOS96" s="167"/>
      <c r="EOT96" s="168"/>
      <c r="EOU96" s="167"/>
      <c r="EOV96" s="168"/>
      <c r="EOW96" s="167"/>
      <c r="EOX96" s="168"/>
      <c r="EOY96" s="167"/>
      <c r="EOZ96" s="168"/>
      <c r="EPA96" s="167"/>
      <c r="EPB96" s="168"/>
      <c r="EPC96" s="167"/>
      <c r="EPD96" s="168"/>
      <c r="EPE96" s="167"/>
      <c r="EPF96" s="168"/>
      <c r="EPG96" s="167"/>
      <c r="EPH96" s="168"/>
      <c r="EPI96" s="167"/>
      <c r="EPJ96" s="168"/>
      <c r="EPK96" s="167"/>
      <c r="EPL96" s="168"/>
      <c r="EPM96" s="167"/>
      <c r="EPN96" s="168"/>
      <c r="EPO96" s="167"/>
      <c r="EPP96" s="168"/>
      <c r="EPQ96" s="167"/>
      <c r="EPR96" s="168"/>
      <c r="EPS96" s="167"/>
      <c r="EPT96" s="168"/>
      <c r="EPU96" s="167"/>
      <c r="EPV96" s="168"/>
      <c r="EPW96" s="167"/>
      <c r="EPX96" s="168"/>
      <c r="EPY96" s="167"/>
      <c r="EPZ96" s="168"/>
      <c r="EQA96" s="167"/>
      <c r="EQB96" s="168"/>
      <c r="EQC96" s="167"/>
      <c r="EQD96" s="168"/>
      <c r="EQE96" s="167"/>
      <c r="EQF96" s="168"/>
      <c r="EQG96" s="167"/>
      <c r="EQH96" s="168"/>
      <c r="EQI96" s="167"/>
      <c r="EQJ96" s="168"/>
      <c r="EQK96" s="167"/>
      <c r="EQL96" s="168"/>
      <c r="EQM96" s="167"/>
      <c r="EQN96" s="168"/>
      <c r="EQO96" s="167"/>
      <c r="EQP96" s="168"/>
      <c r="EQQ96" s="167"/>
      <c r="EQR96" s="168"/>
      <c r="EQS96" s="167"/>
      <c r="EQT96" s="168"/>
      <c r="EQU96" s="167"/>
      <c r="EQV96" s="168"/>
      <c r="EQW96" s="167"/>
      <c r="EQX96" s="168"/>
      <c r="EQY96" s="167"/>
      <c r="EQZ96" s="168"/>
      <c r="ERA96" s="167"/>
      <c r="ERB96" s="168"/>
      <c r="ERC96" s="167"/>
      <c r="ERD96" s="168"/>
      <c r="ERE96" s="167"/>
      <c r="ERF96" s="168"/>
      <c r="ERG96" s="167"/>
      <c r="ERH96" s="168"/>
      <c r="ERI96" s="167"/>
      <c r="ERJ96" s="168"/>
      <c r="ERK96" s="167"/>
      <c r="ERL96" s="168"/>
      <c r="ERM96" s="167"/>
      <c r="ERN96" s="168"/>
      <c r="ERO96" s="167"/>
      <c r="ERP96" s="168"/>
      <c r="ERQ96" s="167"/>
      <c r="ERR96" s="168"/>
      <c r="ERS96" s="167"/>
      <c r="ERT96" s="168"/>
      <c r="ERU96" s="167"/>
      <c r="ERV96" s="168"/>
      <c r="ERW96" s="167"/>
      <c r="ERX96" s="168"/>
      <c r="ERY96" s="167"/>
      <c r="ERZ96" s="168"/>
      <c r="ESA96" s="167"/>
      <c r="ESB96" s="168"/>
      <c r="ESC96" s="167"/>
      <c r="ESD96" s="168"/>
      <c r="ESE96" s="167"/>
      <c r="ESF96" s="168"/>
      <c r="ESG96" s="167"/>
      <c r="ESH96" s="168"/>
      <c r="ESI96" s="167"/>
      <c r="ESJ96" s="168"/>
      <c r="ESK96" s="167"/>
      <c r="ESL96" s="168"/>
      <c r="ESM96" s="167"/>
      <c r="ESN96" s="168"/>
      <c r="ESO96" s="167"/>
      <c r="ESP96" s="168"/>
      <c r="ESQ96" s="167"/>
      <c r="ESR96" s="168"/>
      <c r="ESS96" s="167"/>
      <c r="EST96" s="168"/>
      <c r="ESU96" s="167"/>
      <c r="ESV96" s="168"/>
      <c r="ESW96" s="167"/>
      <c r="ESX96" s="168"/>
      <c r="ESY96" s="167"/>
      <c r="ESZ96" s="168"/>
      <c r="ETA96" s="167"/>
      <c r="ETB96" s="168"/>
      <c r="ETC96" s="167"/>
      <c r="ETD96" s="168"/>
      <c r="ETE96" s="167"/>
      <c r="ETF96" s="168"/>
      <c r="ETG96" s="167"/>
      <c r="ETH96" s="168"/>
      <c r="ETI96" s="167"/>
      <c r="ETJ96" s="168"/>
      <c r="ETK96" s="167"/>
      <c r="ETL96" s="168"/>
      <c r="ETM96" s="167"/>
      <c r="ETN96" s="168"/>
      <c r="ETO96" s="167"/>
      <c r="ETP96" s="168"/>
      <c r="ETQ96" s="167"/>
      <c r="ETR96" s="168"/>
      <c r="ETS96" s="167"/>
      <c r="ETT96" s="168"/>
      <c r="ETU96" s="167"/>
      <c r="ETV96" s="168"/>
      <c r="ETW96" s="167"/>
      <c r="ETX96" s="168"/>
      <c r="ETY96" s="167"/>
      <c r="ETZ96" s="168"/>
      <c r="EUA96" s="167"/>
      <c r="EUB96" s="168"/>
      <c r="EUC96" s="167"/>
      <c r="EUD96" s="168"/>
      <c r="EUE96" s="167"/>
      <c r="EUF96" s="168"/>
      <c r="EUG96" s="167"/>
      <c r="EUH96" s="168"/>
      <c r="EUI96" s="167"/>
      <c r="EUJ96" s="168"/>
      <c r="EUK96" s="167"/>
      <c r="EUL96" s="168"/>
      <c r="EUM96" s="167"/>
      <c r="EUN96" s="168"/>
      <c r="EUO96" s="167"/>
      <c r="EUP96" s="168"/>
      <c r="EUQ96" s="167"/>
      <c r="EUR96" s="168"/>
      <c r="EUS96" s="167"/>
      <c r="EUT96" s="168"/>
      <c r="EUU96" s="167"/>
      <c r="EUV96" s="168"/>
      <c r="EUW96" s="167"/>
      <c r="EUX96" s="168"/>
      <c r="EUY96" s="167"/>
      <c r="EUZ96" s="168"/>
      <c r="EVA96" s="167"/>
      <c r="EVB96" s="168"/>
      <c r="EVC96" s="167"/>
      <c r="EVD96" s="168"/>
      <c r="EVE96" s="167"/>
      <c r="EVF96" s="168"/>
      <c r="EVG96" s="167"/>
      <c r="EVH96" s="168"/>
      <c r="EVI96" s="167"/>
      <c r="EVJ96" s="168"/>
      <c r="EVK96" s="167"/>
      <c r="EVL96" s="168"/>
      <c r="EVM96" s="167"/>
      <c r="EVN96" s="168"/>
      <c r="EVO96" s="167"/>
      <c r="EVP96" s="168"/>
      <c r="EVQ96" s="167"/>
      <c r="EVR96" s="168"/>
      <c r="EVS96" s="167"/>
      <c r="EVT96" s="168"/>
      <c r="EVU96" s="167"/>
      <c r="EVV96" s="168"/>
      <c r="EVW96" s="167"/>
      <c r="EVX96" s="168"/>
      <c r="EVY96" s="167"/>
      <c r="EVZ96" s="168"/>
      <c r="EWA96" s="167"/>
      <c r="EWB96" s="168"/>
      <c r="EWC96" s="167"/>
      <c r="EWD96" s="168"/>
      <c r="EWE96" s="167"/>
      <c r="EWF96" s="168"/>
      <c r="EWG96" s="167"/>
      <c r="EWH96" s="168"/>
      <c r="EWI96" s="167"/>
      <c r="EWJ96" s="168"/>
      <c r="EWK96" s="167"/>
      <c r="EWL96" s="168"/>
      <c r="EWM96" s="167"/>
      <c r="EWN96" s="168"/>
      <c r="EWO96" s="167"/>
      <c r="EWP96" s="168"/>
      <c r="EWQ96" s="167"/>
      <c r="EWR96" s="168"/>
      <c r="EWS96" s="167"/>
      <c r="EWT96" s="168"/>
      <c r="EWU96" s="167"/>
      <c r="EWV96" s="168"/>
      <c r="EWW96" s="167"/>
      <c r="EWX96" s="168"/>
      <c r="EWY96" s="167"/>
      <c r="EWZ96" s="168"/>
      <c r="EXA96" s="167"/>
      <c r="EXB96" s="168"/>
      <c r="EXC96" s="167"/>
      <c r="EXD96" s="168"/>
      <c r="EXE96" s="167"/>
      <c r="EXF96" s="168"/>
      <c r="EXG96" s="167"/>
      <c r="EXH96" s="168"/>
      <c r="EXI96" s="167"/>
      <c r="EXJ96" s="168"/>
      <c r="EXK96" s="167"/>
      <c r="EXL96" s="168"/>
      <c r="EXM96" s="167"/>
      <c r="EXN96" s="168"/>
      <c r="EXO96" s="167"/>
      <c r="EXP96" s="168"/>
      <c r="EXQ96" s="167"/>
      <c r="EXR96" s="168"/>
      <c r="EXS96" s="167"/>
      <c r="EXT96" s="168"/>
      <c r="EXU96" s="167"/>
      <c r="EXV96" s="168"/>
      <c r="EXW96" s="167"/>
      <c r="EXX96" s="168"/>
      <c r="EXY96" s="167"/>
      <c r="EXZ96" s="168"/>
      <c r="EYA96" s="167"/>
      <c r="EYB96" s="168"/>
      <c r="EYC96" s="167"/>
      <c r="EYD96" s="168"/>
      <c r="EYE96" s="167"/>
      <c r="EYF96" s="168"/>
      <c r="EYG96" s="167"/>
      <c r="EYH96" s="168"/>
      <c r="EYI96" s="167"/>
      <c r="EYJ96" s="168"/>
      <c r="EYK96" s="167"/>
      <c r="EYL96" s="168"/>
      <c r="EYM96" s="167"/>
      <c r="EYN96" s="168"/>
      <c r="EYO96" s="167"/>
      <c r="EYP96" s="168"/>
      <c r="EYQ96" s="167"/>
      <c r="EYR96" s="168"/>
      <c r="EYS96" s="167"/>
      <c r="EYT96" s="168"/>
      <c r="EYU96" s="167"/>
      <c r="EYV96" s="168"/>
      <c r="EYW96" s="167"/>
      <c r="EYX96" s="168"/>
      <c r="EYY96" s="167"/>
      <c r="EYZ96" s="168"/>
      <c r="EZA96" s="167"/>
      <c r="EZB96" s="168"/>
      <c r="EZC96" s="167"/>
      <c r="EZD96" s="168"/>
      <c r="EZE96" s="167"/>
      <c r="EZF96" s="168"/>
      <c r="EZG96" s="167"/>
      <c r="EZH96" s="168"/>
      <c r="EZI96" s="167"/>
      <c r="EZJ96" s="168"/>
      <c r="EZK96" s="167"/>
      <c r="EZL96" s="168"/>
      <c r="EZM96" s="167"/>
      <c r="EZN96" s="168"/>
      <c r="EZO96" s="167"/>
      <c r="EZP96" s="168"/>
      <c r="EZQ96" s="167"/>
      <c r="EZR96" s="168"/>
      <c r="EZS96" s="167"/>
      <c r="EZT96" s="168"/>
      <c r="EZU96" s="167"/>
      <c r="EZV96" s="168"/>
      <c r="EZW96" s="167"/>
      <c r="EZX96" s="168"/>
      <c r="EZY96" s="167"/>
      <c r="EZZ96" s="168"/>
      <c r="FAA96" s="167"/>
      <c r="FAB96" s="168"/>
      <c r="FAC96" s="167"/>
      <c r="FAD96" s="168"/>
      <c r="FAE96" s="167"/>
      <c r="FAF96" s="168"/>
      <c r="FAG96" s="167"/>
      <c r="FAH96" s="168"/>
      <c r="FAI96" s="167"/>
      <c r="FAJ96" s="168"/>
      <c r="FAK96" s="167"/>
      <c r="FAL96" s="168"/>
      <c r="FAM96" s="167"/>
      <c r="FAN96" s="168"/>
      <c r="FAO96" s="167"/>
      <c r="FAP96" s="168"/>
      <c r="FAQ96" s="167"/>
      <c r="FAR96" s="168"/>
      <c r="FAS96" s="167"/>
      <c r="FAT96" s="168"/>
      <c r="FAU96" s="167"/>
      <c r="FAV96" s="168"/>
      <c r="FAW96" s="167"/>
      <c r="FAX96" s="168"/>
      <c r="FAY96" s="167"/>
      <c r="FAZ96" s="168"/>
      <c r="FBA96" s="167"/>
      <c r="FBB96" s="168"/>
      <c r="FBC96" s="167"/>
      <c r="FBD96" s="168"/>
      <c r="FBE96" s="167"/>
      <c r="FBF96" s="168"/>
      <c r="FBG96" s="167"/>
      <c r="FBH96" s="168"/>
      <c r="FBI96" s="167"/>
      <c r="FBJ96" s="168"/>
      <c r="FBK96" s="167"/>
      <c r="FBL96" s="168"/>
      <c r="FBM96" s="167"/>
      <c r="FBN96" s="168"/>
      <c r="FBO96" s="167"/>
      <c r="FBP96" s="168"/>
      <c r="FBQ96" s="167"/>
      <c r="FBR96" s="168"/>
      <c r="FBS96" s="167"/>
      <c r="FBT96" s="168"/>
      <c r="FBU96" s="167"/>
      <c r="FBV96" s="168"/>
      <c r="FBW96" s="167"/>
      <c r="FBX96" s="168"/>
      <c r="FBY96" s="167"/>
      <c r="FBZ96" s="168"/>
      <c r="FCA96" s="167"/>
      <c r="FCB96" s="168"/>
      <c r="FCC96" s="167"/>
      <c r="FCD96" s="168"/>
      <c r="FCE96" s="167"/>
      <c r="FCF96" s="168"/>
      <c r="FCG96" s="167"/>
      <c r="FCH96" s="168"/>
      <c r="FCI96" s="167"/>
      <c r="FCJ96" s="168"/>
      <c r="FCK96" s="167"/>
      <c r="FCL96" s="168"/>
      <c r="FCM96" s="167"/>
      <c r="FCN96" s="168"/>
      <c r="FCO96" s="167"/>
      <c r="FCP96" s="168"/>
      <c r="FCQ96" s="167"/>
      <c r="FCR96" s="168"/>
      <c r="FCS96" s="167"/>
      <c r="FCT96" s="168"/>
      <c r="FCU96" s="167"/>
      <c r="FCV96" s="168"/>
      <c r="FCW96" s="167"/>
      <c r="FCX96" s="168"/>
      <c r="FCY96" s="167"/>
      <c r="FCZ96" s="168"/>
      <c r="FDA96" s="167"/>
      <c r="FDB96" s="168"/>
      <c r="FDC96" s="167"/>
      <c r="FDD96" s="168"/>
      <c r="FDE96" s="167"/>
      <c r="FDF96" s="168"/>
      <c r="FDG96" s="167"/>
      <c r="FDH96" s="168"/>
      <c r="FDI96" s="167"/>
      <c r="FDJ96" s="168"/>
      <c r="FDK96" s="167"/>
      <c r="FDL96" s="168"/>
      <c r="FDM96" s="167"/>
      <c r="FDN96" s="168"/>
      <c r="FDO96" s="167"/>
      <c r="FDP96" s="168"/>
      <c r="FDQ96" s="167"/>
      <c r="FDR96" s="168"/>
      <c r="FDS96" s="167"/>
      <c r="FDT96" s="168"/>
      <c r="FDU96" s="167"/>
      <c r="FDV96" s="168"/>
      <c r="FDW96" s="167"/>
      <c r="FDX96" s="168"/>
      <c r="FDY96" s="167"/>
      <c r="FDZ96" s="168"/>
      <c r="FEA96" s="167"/>
      <c r="FEB96" s="168"/>
      <c r="FEC96" s="167"/>
      <c r="FED96" s="168"/>
      <c r="FEE96" s="167"/>
      <c r="FEF96" s="168"/>
      <c r="FEG96" s="167"/>
      <c r="FEH96" s="168"/>
      <c r="FEI96" s="167"/>
      <c r="FEJ96" s="168"/>
      <c r="FEK96" s="167"/>
      <c r="FEL96" s="168"/>
      <c r="FEM96" s="167"/>
      <c r="FEN96" s="168"/>
      <c r="FEO96" s="167"/>
      <c r="FEP96" s="168"/>
      <c r="FEQ96" s="167"/>
      <c r="FER96" s="168"/>
      <c r="FES96" s="167"/>
      <c r="FET96" s="168"/>
      <c r="FEU96" s="167"/>
      <c r="FEV96" s="168"/>
      <c r="FEW96" s="167"/>
      <c r="FEX96" s="168"/>
      <c r="FEY96" s="167"/>
      <c r="FEZ96" s="168"/>
      <c r="FFA96" s="167"/>
      <c r="FFB96" s="168"/>
      <c r="FFC96" s="167"/>
      <c r="FFD96" s="168"/>
      <c r="FFE96" s="167"/>
      <c r="FFF96" s="168"/>
      <c r="FFG96" s="167"/>
      <c r="FFH96" s="168"/>
      <c r="FFI96" s="167"/>
      <c r="FFJ96" s="168"/>
      <c r="FFK96" s="167"/>
      <c r="FFL96" s="168"/>
      <c r="FFM96" s="167"/>
      <c r="FFN96" s="168"/>
      <c r="FFO96" s="167"/>
      <c r="FFP96" s="168"/>
      <c r="FFQ96" s="167"/>
      <c r="FFR96" s="168"/>
      <c r="FFS96" s="167"/>
      <c r="FFT96" s="168"/>
      <c r="FFU96" s="167"/>
      <c r="FFV96" s="168"/>
      <c r="FFW96" s="167"/>
      <c r="FFX96" s="168"/>
      <c r="FFY96" s="167"/>
      <c r="FFZ96" s="168"/>
      <c r="FGA96" s="167"/>
      <c r="FGB96" s="168"/>
      <c r="FGC96" s="167"/>
      <c r="FGD96" s="168"/>
      <c r="FGE96" s="167"/>
      <c r="FGF96" s="168"/>
      <c r="FGG96" s="167"/>
      <c r="FGH96" s="168"/>
      <c r="FGI96" s="167"/>
      <c r="FGJ96" s="168"/>
      <c r="FGK96" s="167"/>
      <c r="FGL96" s="168"/>
      <c r="FGM96" s="167"/>
      <c r="FGN96" s="168"/>
      <c r="FGO96" s="167"/>
      <c r="FGP96" s="168"/>
      <c r="FGQ96" s="167"/>
      <c r="FGR96" s="168"/>
      <c r="FGS96" s="167"/>
      <c r="FGT96" s="168"/>
      <c r="FGU96" s="167"/>
      <c r="FGV96" s="168"/>
      <c r="FGW96" s="167"/>
      <c r="FGX96" s="168"/>
      <c r="FGY96" s="167"/>
      <c r="FGZ96" s="168"/>
      <c r="FHA96" s="167"/>
      <c r="FHB96" s="168"/>
      <c r="FHC96" s="167"/>
      <c r="FHD96" s="168"/>
      <c r="FHE96" s="167"/>
      <c r="FHF96" s="168"/>
      <c r="FHG96" s="167"/>
      <c r="FHH96" s="168"/>
      <c r="FHI96" s="167"/>
      <c r="FHJ96" s="168"/>
      <c r="FHK96" s="167"/>
      <c r="FHL96" s="168"/>
      <c r="FHM96" s="167"/>
      <c r="FHN96" s="168"/>
      <c r="FHO96" s="167"/>
      <c r="FHP96" s="168"/>
      <c r="FHQ96" s="167"/>
      <c r="FHR96" s="168"/>
      <c r="FHS96" s="167"/>
      <c r="FHT96" s="168"/>
      <c r="FHU96" s="167"/>
      <c r="FHV96" s="168"/>
      <c r="FHW96" s="167"/>
      <c r="FHX96" s="168"/>
      <c r="FHY96" s="167"/>
      <c r="FHZ96" s="168"/>
      <c r="FIA96" s="167"/>
      <c r="FIB96" s="168"/>
      <c r="FIC96" s="167"/>
      <c r="FID96" s="168"/>
      <c r="FIE96" s="167"/>
      <c r="FIF96" s="168"/>
      <c r="FIG96" s="167"/>
      <c r="FIH96" s="168"/>
      <c r="FII96" s="167"/>
      <c r="FIJ96" s="168"/>
      <c r="FIK96" s="167"/>
      <c r="FIL96" s="168"/>
      <c r="FIM96" s="167"/>
      <c r="FIN96" s="168"/>
      <c r="FIO96" s="167"/>
      <c r="FIP96" s="168"/>
      <c r="FIQ96" s="167"/>
      <c r="FIR96" s="168"/>
      <c r="FIS96" s="167"/>
      <c r="FIT96" s="168"/>
      <c r="FIU96" s="167"/>
      <c r="FIV96" s="168"/>
      <c r="FIW96" s="167"/>
      <c r="FIX96" s="168"/>
      <c r="FIY96" s="167"/>
      <c r="FIZ96" s="168"/>
      <c r="FJA96" s="167"/>
      <c r="FJB96" s="168"/>
      <c r="FJC96" s="167"/>
      <c r="FJD96" s="168"/>
      <c r="FJE96" s="167"/>
      <c r="FJF96" s="168"/>
      <c r="FJG96" s="167"/>
      <c r="FJH96" s="168"/>
      <c r="FJI96" s="167"/>
      <c r="FJJ96" s="168"/>
      <c r="FJK96" s="167"/>
      <c r="FJL96" s="168"/>
      <c r="FJM96" s="167"/>
      <c r="FJN96" s="168"/>
      <c r="FJO96" s="167"/>
      <c r="FJP96" s="168"/>
      <c r="FJQ96" s="167"/>
      <c r="FJR96" s="168"/>
      <c r="FJS96" s="167"/>
      <c r="FJT96" s="168"/>
      <c r="FJU96" s="167"/>
      <c r="FJV96" s="168"/>
      <c r="FJW96" s="167"/>
      <c r="FJX96" s="168"/>
      <c r="FJY96" s="167"/>
      <c r="FJZ96" s="168"/>
      <c r="FKA96" s="167"/>
      <c r="FKB96" s="168"/>
      <c r="FKC96" s="167"/>
      <c r="FKD96" s="168"/>
      <c r="FKE96" s="167"/>
      <c r="FKF96" s="168"/>
      <c r="FKG96" s="167"/>
      <c r="FKH96" s="168"/>
      <c r="FKI96" s="167"/>
      <c r="FKJ96" s="168"/>
      <c r="FKK96" s="167"/>
      <c r="FKL96" s="168"/>
      <c r="FKM96" s="167"/>
      <c r="FKN96" s="168"/>
      <c r="FKO96" s="167"/>
      <c r="FKP96" s="168"/>
      <c r="FKQ96" s="167"/>
      <c r="FKR96" s="168"/>
      <c r="FKS96" s="167"/>
      <c r="FKT96" s="168"/>
      <c r="FKU96" s="167"/>
      <c r="FKV96" s="168"/>
      <c r="FKW96" s="167"/>
      <c r="FKX96" s="168"/>
      <c r="FKY96" s="167"/>
      <c r="FKZ96" s="168"/>
      <c r="FLA96" s="167"/>
      <c r="FLB96" s="168"/>
      <c r="FLC96" s="167"/>
      <c r="FLD96" s="168"/>
      <c r="FLE96" s="167"/>
      <c r="FLF96" s="168"/>
      <c r="FLG96" s="167"/>
      <c r="FLH96" s="168"/>
      <c r="FLI96" s="167"/>
      <c r="FLJ96" s="168"/>
      <c r="FLK96" s="167"/>
      <c r="FLL96" s="168"/>
      <c r="FLM96" s="167"/>
      <c r="FLN96" s="168"/>
      <c r="FLO96" s="167"/>
      <c r="FLP96" s="168"/>
      <c r="FLQ96" s="167"/>
      <c r="FLR96" s="168"/>
      <c r="FLS96" s="167"/>
      <c r="FLT96" s="168"/>
      <c r="FLU96" s="167"/>
      <c r="FLV96" s="168"/>
      <c r="FLW96" s="167"/>
      <c r="FLX96" s="168"/>
      <c r="FLY96" s="167"/>
      <c r="FLZ96" s="168"/>
      <c r="FMA96" s="167"/>
      <c r="FMB96" s="168"/>
      <c r="FMC96" s="167"/>
      <c r="FMD96" s="168"/>
      <c r="FME96" s="167"/>
      <c r="FMF96" s="168"/>
      <c r="FMG96" s="167"/>
      <c r="FMH96" s="168"/>
      <c r="FMI96" s="167"/>
      <c r="FMJ96" s="168"/>
      <c r="FMK96" s="167"/>
      <c r="FML96" s="168"/>
      <c r="FMM96" s="167"/>
      <c r="FMN96" s="168"/>
      <c r="FMO96" s="167"/>
      <c r="FMP96" s="168"/>
      <c r="FMQ96" s="167"/>
      <c r="FMR96" s="168"/>
      <c r="FMS96" s="167"/>
      <c r="FMT96" s="168"/>
      <c r="FMU96" s="167"/>
      <c r="FMV96" s="168"/>
      <c r="FMW96" s="167"/>
      <c r="FMX96" s="168"/>
      <c r="FMY96" s="167"/>
      <c r="FMZ96" s="168"/>
      <c r="FNA96" s="167"/>
      <c r="FNB96" s="168"/>
      <c r="FNC96" s="167"/>
      <c r="FND96" s="168"/>
      <c r="FNE96" s="167"/>
      <c r="FNF96" s="168"/>
      <c r="FNG96" s="167"/>
      <c r="FNH96" s="168"/>
      <c r="FNI96" s="167"/>
      <c r="FNJ96" s="168"/>
      <c r="FNK96" s="167"/>
      <c r="FNL96" s="168"/>
      <c r="FNM96" s="167"/>
      <c r="FNN96" s="168"/>
      <c r="FNO96" s="167"/>
      <c r="FNP96" s="168"/>
      <c r="FNQ96" s="167"/>
      <c r="FNR96" s="168"/>
      <c r="FNS96" s="167"/>
      <c r="FNT96" s="168"/>
      <c r="FNU96" s="167"/>
      <c r="FNV96" s="168"/>
      <c r="FNW96" s="167"/>
      <c r="FNX96" s="168"/>
      <c r="FNY96" s="167"/>
      <c r="FNZ96" s="168"/>
      <c r="FOA96" s="167"/>
      <c r="FOB96" s="168"/>
      <c r="FOC96" s="167"/>
      <c r="FOD96" s="168"/>
      <c r="FOE96" s="167"/>
      <c r="FOF96" s="168"/>
      <c r="FOG96" s="167"/>
      <c r="FOH96" s="168"/>
      <c r="FOI96" s="167"/>
      <c r="FOJ96" s="168"/>
      <c r="FOK96" s="167"/>
      <c r="FOL96" s="168"/>
      <c r="FOM96" s="167"/>
      <c r="FON96" s="168"/>
      <c r="FOO96" s="167"/>
      <c r="FOP96" s="168"/>
      <c r="FOQ96" s="167"/>
      <c r="FOR96" s="168"/>
      <c r="FOS96" s="167"/>
      <c r="FOT96" s="168"/>
      <c r="FOU96" s="167"/>
      <c r="FOV96" s="168"/>
      <c r="FOW96" s="167"/>
      <c r="FOX96" s="168"/>
      <c r="FOY96" s="167"/>
      <c r="FOZ96" s="168"/>
      <c r="FPA96" s="167"/>
      <c r="FPB96" s="168"/>
      <c r="FPC96" s="167"/>
      <c r="FPD96" s="168"/>
      <c r="FPE96" s="167"/>
      <c r="FPF96" s="168"/>
      <c r="FPG96" s="167"/>
      <c r="FPH96" s="168"/>
      <c r="FPI96" s="167"/>
      <c r="FPJ96" s="168"/>
      <c r="FPK96" s="167"/>
      <c r="FPL96" s="168"/>
      <c r="FPM96" s="167"/>
      <c r="FPN96" s="168"/>
      <c r="FPO96" s="167"/>
      <c r="FPP96" s="168"/>
      <c r="FPQ96" s="167"/>
      <c r="FPR96" s="168"/>
      <c r="FPS96" s="167"/>
      <c r="FPT96" s="168"/>
      <c r="FPU96" s="167"/>
      <c r="FPV96" s="168"/>
      <c r="FPW96" s="167"/>
      <c r="FPX96" s="168"/>
      <c r="FPY96" s="167"/>
      <c r="FPZ96" s="168"/>
      <c r="FQA96" s="167"/>
      <c r="FQB96" s="168"/>
      <c r="FQC96" s="167"/>
      <c r="FQD96" s="168"/>
      <c r="FQE96" s="167"/>
      <c r="FQF96" s="168"/>
      <c r="FQG96" s="167"/>
      <c r="FQH96" s="168"/>
      <c r="FQI96" s="167"/>
      <c r="FQJ96" s="168"/>
      <c r="FQK96" s="167"/>
      <c r="FQL96" s="168"/>
      <c r="FQM96" s="167"/>
      <c r="FQN96" s="168"/>
      <c r="FQO96" s="167"/>
      <c r="FQP96" s="168"/>
      <c r="FQQ96" s="167"/>
      <c r="FQR96" s="168"/>
      <c r="FQS96" s="167"/>
      <c r="FQT96" s="168"/>
      <c r="FQU96" s="167"/>
      <c r="FQV96" s="168"/>
      <c r="FQW96" s="167"/>
      <c r="FQX96" s="168"/>
      <c r="FQY96" s="167"/>
      <c r="FQZ96" s="168"/>
      <c r="FRA96" s="167"/>
      <c r="FRB96" s="168"/>
      <c r="FRC96" s="167"/>
      <c r="FRD96" s="168"/>
      <c r="FRE96" s="167"/>
      <c r="FRF96" s="168"/>
      <c r="FRG96" s="167"/>
      <c r="FRH96" s="168"/>
      <c r="FRI96" s="167"/>
      <c r="FRJ96" s="168"/>
      <c r="FRK96" s="167"/>
      <c r="FRL96" s="168"/>
      <c r="FRM96" s="167"/>
      <c r="FRN96" s="168"/>
      <c r="FRO96" s="167"/>
      <c r="FRP96" s="168"/>
      <c r="FRQ96" s="167"/>
      <c r="FRR96" s="168"/>
      <c r="FRS96" s="167"/>
      <c r="FRT96" s="168"/>
      <c r="FRU96" s="167"/>
      <c r="FRV96" s="168"/>
      <c r="FRW96" s="167"/>
      <c r="FRX96" s="168"/>
      <c r="FRY96" s="167"/>
      <c r="FRZ96" s="168"/>
      <c r="FSA96" s="167"/>
      <c r="FSB96" s="168"/>
      <c r="FSC96" s="167"/>
      <c r="FSD96" s="168"/>
      <c r="FSE96" s="167"/>
      <c r="FSF96" s="168"/>
      <c r="FSG96" s="167"/>
      <c r="FSH96" s="168"/>
      <c r="FSI96" s="167"/>
      <c r="FSJ96" s="168"/>
      <c r="FSK96" s="167"/>
      <c r="FSL96" s="168"/>
      <c r="FSM96" s="167"/>
      <c r="FSN96" s="168"/>
      <c r="FSO96" s="167"/>
      <c r="FSP96" s="168"/>
      <c r="FSQ96" s="167"/>
      <c r="FSR96" s="168"/>
      <c r="FSS96" s="167"/>
      <c r="FST96" s="168"/>
      <c r="FSU96" s="167"/>
      <c r="FSV96" s="168"/>
      <c r="FSW96" s="167"/>
      <c r="FSX96" s="168"/>
      <c r="FSY96" s="167"/>
      <c r="FSZ96" s="168"/>
      <c r="FTA96" s="167"/>
      <c r="FTB96" s="168"/>
      <c r="FTC96" s="167"/>
      <c r="FTD96" s="168"/>
      <c r="FTE96" s="167"/>
      <c r="FTF96" s="168"/>
      <c r="FTG96" s="167"/>
      <c r="FTH96" s="168"/>
      <c r="FTI96" s="167"/>
      <c r="FTJ96" s="168"/>
      <c r="FTK96" s="167"/>
      <c r="FTL96" s="168"/>
      <c r="FTM96" s="167"/>
      <c r="FTN96" s="168"/>
      <c r="FTO96" s="167"/>
      <c r="FTP96" s="168"/>
      <c r="FTQ96" s="167"/>
      <c r="FTR96" s="168"/>
      <c r="FTS96" s="167"/>
      <c r="FTT96" s="168"/>
      <c r="FTU96" s="167"/>
      <c r="FTV96" s="168"/>
      <c r="FTW96" s="167"/>
      <c r="FTX96" s="168"/>
      <c r="FTY96" s="167"/>
      <c r="FTZ96" s="168"/>
      <c r="FUA96" s="167"/>
      <c r="FUB96" s="168"/>
      <c r="FUC96" s="167"/>
      <c r="FUD96" s="168"/>
      <c r="FUE96" s="167"/>
      <c r="FUF96" s="168"/>
      <c r="FUG96" s="167"/>
      <c r="FUH96" s="168"/>
      <c r="FUI96" s="167"/>
      <c r="FUJ96" s="168"/>
      <c r="FUK96" s="167"/>
      <c r="FUL96" s="168"/>
      <c r="FUM96" s="167"/>
      <c r="FUN96" s="168"/>
      <c r="FUO96" s="167"/>
      <c r="FUP96" s="168"/>
      <c r="FUQ96" s="167"/>
      <c r="FUR96" s="168"/>
      <c r="FUS96" s="167"/>
      <c r="FUT96" s="168"/>
      <c r="FUU96" s="167"/>
      <c r="FUV96" s="168"/>
      <c r="FUW96" s="167"/>
      <c r="FUX96" s="168"/>
      <c r="FUY96" s="167"/>
      <c r="FUZ96" s="168"/>
      <c r="FVA96" s="167"/>
      <c r="FVB96" s="168"/>
      <c r="FVC96" s="167"/>
      <c r="FVD96" s="168"/>
      <c r="FVE96" s="167"/>
      <c r="FVF96" s="168"/>
      <c r="FVG96" s="167"/>
      <c r="FVH96" s="168"/>
      <c r="FVI96" s="167"/>
      <c r="FVJ96" s="168"/>
      <c r="FVK96" s="167"/>
      <c r="FVL96" s="168"/>
      <c r="FVM96" s="167"/>
      <c r="FVN96" s="168"/>
      <c r="FVO96" s="167"/>
      <c r="FVP96" s="168"/>
      <c r="FVQ96" s="167"/>
      <c r="FVR96" s="168"/>
      <c r="FVS96" s="167"/>
      <c r="FVT96" s="168"/>
      <c r="FVU96" s="167"/>
      <c r="FVV96" s="168"/>
      <c r="FVW96" s="167"/>
      <c r="FVX96" s="168"/>
      <c r="FVY96" s="167"/>
      <c r="FVZ96" s="168"/>
      <c r="FWA96" s="167"/>
      <c r="FWB96" s="168"/>
      <c r="FWC96" s="167"/>
      <c r="FWD96" s="168"/>
      <c r="FWE96" s="167"/>
      <c r="FWF96" s="168"/>
      <c r="FWG96" s="167"/>
      <c r="FWH96" s="168"/>
      <c r="FWI96" s="167"/>
      <c r="FWJ96" s="168"/>
      <c r="FWK96" s="167"/>
      <c r="FWL96" s="168"/>
      <c r="FWM96" s="167"/>
      <c r="FWN96" s="168"/>
      <c r="FWO96" s="167"/>
      <c r="FWP96" s="168"/>
      <c r="FWQ96" s="167"/>
      <c r="FWR96" s="168"/>
      <c r="FWS96" s="167"/>
      <c r="FWT96" s="168"/>
      <c r="FWU96" s="167"/>
      <c r="FWV96" s="168"/>
      <c r="FWW96" s="167"/>
      <c r="FWX96" s="168"/>
      <c r="FWY96" s="167"/>
      <c r="FWZ96" s="168"/>
      <c r="FXA96" s="167"/>
      <c r="FXB96" s="168"/>
      <c r="FXC96" s="167"/>
      <c r="FXD96" s="168"/>
      <c r="FXE96" s="167"/>
      <c r="FXF96" s="168"/>
      <c r="FXG96" s="167"/>
      <c r="FXH96" s="168"/>
      <c r="FXI96" s="167"/>
      <c r="FXJ96" s="168"/>
      <c r="FXK96" s="167"/>
      <c r="FXL96" s="168"/>
      <c r="FXM96" s="167"/>
      <c r="FXN96" s="168"/>
      <c r="FXO96" s="167"/>
      <c r="FXP96" s="168"/>
      <c r="FXQ96" s="167"/>
      <c r="FXR96" s="168"/>
      <c r="FXS96" s="167"/>
      <c r="FXT96" s="168"/>
      <c r="FXU96" s="167"/>
      <c r="FXV96" s="168"/>
      <c r="FXW96" s="167"/>
      <c r="FXX96" s="168"/>
      <c r="FXY96" s="167"/>
      <c r="FXZ96" s="168"/>
      <c r="FYA96" s="167"/>
      <c r="FYB96" s="168"/>
      <c r="FYC96" s="167"/>
      <c r="FYD96" s="168"/>
      <c r="FYE96" s="167"/>
      <c r="FYF96" s="168"/>
      <c r="FYG96" s="167"/>
      <c r="FYH96" s="168"/>
      <c r="FYI96" s="167"/>
      <c r="FYJ96" s="168"/>
      <c r="FYK96" s="167"/>
      <c r="FYL96" s="168"/>
      <c r="FYM96" s="167"/>
      <c r="FYN96" s="168"/>
      <c r="FYO96" s="167"/>
      <c r="FYP96" s="168"/>
      <c r="FYQ96" s="167"/>
      <c r="FYR96" s="168"/>
      <c r="FYS96" s="167"/>
      <c r="FYT96" s="168"/>
      <c r="FYU96" s="167"/>
      <c r="FYV96" s="168"/>
      <c r="FYW96" s="167"/>
      <c r="FYX96" s="168"/>
      <c r="FYY96" s="167"/>
      <c r="FYZ96" s="168"/>
      <c r="FZA96" s="167"/>
      <c r="FZB96" s="168"/>
      <c r="FZC96" s="167"/>
      <c r="FZD96" s="168"/>
      <c r="FZE96" s="167"/>
      <c r="FZF96" s="168"/>
      <c r="FZG96" s="167"/>
      <c r="FZH96" s="168"/>
      <c r="FZI96" s="167"/>
      <c r="FZJ96" s="168"/>
      <c r="FZK96" s="167"/>
      <c r="FZL96" s="168"/>
      <c r="FZM96" s="167"/>
      <c r="FZN96" s="168"/>
      <c r="FZO96" s="167"/>
      <c r="FZP96" s="168"/>
      <c r="FZQ96" s="167"/>
      <c r="FZR96" s="168"/>
      <c r="FZS96" s="167"/>
      <c r="FZT96" s="168"/>
      <c r="FZU96" s="167"/>
      <c r="FZV96" s="168"/>
      <c r="FZW96" s="167"/>
      <c r="FZX96" s="168"/>
      <c r="FZY96" s="167"/>
      <c r="FZZ96" s="168"/>
      <c r="GAA96" s="167"/>
      <c r="GAB96" s="168"/>
      <c r="GAC96" s="167"/>
      <c r="GAD96" s="168"/>
      <c r="GAE96" s="167"/>
      <c r="GAF96" s="168"/>
      <c r="GAG96" s="167"/>
      <c r="GAH96" s="168"/>
      <c r="GAI96" s="167"/>
      <c r="GAJ96" s="168"/>
      <c r="GAK96" s="167"/>
      <c r="GAL96" s="168"/>
      <c r="GAM96" s="167"/>
      <c r="GAN96" s="168"/>
      <c r="GAO96" s="167"/>
      <c r="GAP96" s="168"/>
      <c r="GAQ96" s="167"/>
      <c r="GAR96" s="168"/>
      <c r="GAS96" s="167"/>
      <c r="GAT96" s="168"/>
      <c r="GAU96" s="167"/>
      <c r="GAV96" s="168"/>
      <c r="GAW96" s="167"/>
      <c r="GAX96" s="168"/>
      <c r="GAY96" s="167"/>
      <c r="GAZ96" s="168"/>
      <c r="GBA96" s="167"/>
      <c r="GBB96" s="168"/>
      <c r="GBC96" s="167"/>
      <c r="GBD96" s="168"/>
      <c r="GBE96" s="167"/>
      <c r="GBF96" s="168"/>
      <c r="GBG96" s="167"/>
      <c r="GBH96" s="168"/>
      <c r="GBI96" s="167"/>
      <c r="GBJ96" s="168"/>
      <c r="GBK96" s="167"/>
      <c r="GBL96" s="168"/>
      <c r="GBM96" s="167"/>
      <c r="GBN96" s="168"/>
      <c r="GBO96" s="167"/>
      <c r="GBP96" s="168"/>
      <c r="GBQ96" s="167"/>
      <c r="GBR96" s="168"/>
      <c r="GBS96" s="167"/>
      <c r="GBT96" s="168"/>
      <c r="GBU96" s="167"/>
      <c r="GBV96" s="168"/>
      <c r="GBW96" s="167"/>
      <c r="GBX96" s="168"/>
      <c r="GBY96" s="167"/>
      <c r="GBZ96" s="168"/>
      <c r="GCA96" s="167"/>
      <c r="GCB96" s="168"/>
      <c r="GCC96" s="167"/>
      <c r="GCD96" s="168"/>
      <c r="GCE96" s="167"/>
      <c r="GCF96" s="168"/>
      <c r="GCG96" s="167"/>
      <c r="GCH96" s="168"/>
      <c r="GCI96" s="167"/>
      <c r="GCJ96" s="168"/>
      <c r="GCK96" s="167"/>
      <c r="GCL96" s="168"/>
      <c r="GCM96" s="167"/>
      <c r="GCN96" s="168"/>
      <c r="GCO96" s="167"/>
      <c r="GCP96" s="168"/>
      <c r="GCQ96" s="167"/>
      <c r="GCR96" s="168"/>
      <c r="GCS96" s="167"/>
      <c r="GCT96" s="168"/>
      <c r="GCU96" s="167"/>
      <c r="GCV96" s="168"/>
      <c r="GCW96" s="167"/>
      <c r="GCX96" s="168"/>
      <c r="GCY96" s="167"/>
      <c r="GCZ96" s="168"/>
      <c r="GDA96" s="167"/>
      <c r="GDB96" s="168"/>
      <c r="GDC96" s="167"/>
      <c r="GDD96" s="168"/>
      <c r="GDE96" s="167"/>
      <c r="GDF96" s="168"/>
      <c r="GDG96" s="167"/>
      <c r="GDH96" s="168"/>
      <c r="GDI96" s="167"/>
      <c r="GDJ96" s="168"/>
      <c r="GDK96" s="167"/>
      <c r="GDL96" s="168"/>
      <c r="GDM96" s="167"/>
      <c r="GDN96" s="168"/>
      <c r="GDO96" s="167"/>
      <c r="GDP96" s="168"/>
      <c r="GDQ96" s="167"/>
      <c r="GDR96" s="168"/>
      <c r="GDS96" s="167"/>
      <c r="GDT96" s="168"/>
      <c r="GDU96" s="167"/>
      <c r="GDV96" s="168"/>
      <c r="GDW96" s="167"/>
      <c r="GDX96" s="168"/>
      <c r="GDY96" s="167"/>
      <c r="GDZ96" s="168"/>
      <c r="GEA96" s="167"/>
      <c r="GEB96" s="168"/>
      <c r="GEC96" s="167"/>
      <c r="GED96" s="168"/>
      <c r="GEE96" s="167"/>
      <c r="GEF96" s="168"/>
      <c r="GEG96" s="167"/>
      <c r="GEH96" s="168"/>
      <c r="GEI96" s="167"/>
      <c r="GEJ96" s="168"/>
      <c r="GEK96" s="167"/>
      <c r="GEL96" s="168"/>
      <c r="GEM96" s="167"/>
      <c r="GEN96" s="168"/>
      <c r="GEO96" s="167"/>
      <c r="GEP96" s="168"/>
      <c r="GEQ96" s="167"/>
      <c r="GER96" s="168"/>
      <c r="GES96" s="167"/>
      <c r="GET96" s="168"/>
      <c r="GEU96" s="167"/>
      <c r="GEV96" s="168"/>
      <c r="GEW96" s="167"/>
      <c r="GEX96" s="168"/>
      <c r="GEY96" s="167"/>
      <c r="GEZ96" s="168"/>
      <c r="GFA96" s="167"/>
      <c r="GFB96" s="168"/>
      <c r="GFC96" s="167"/>
      <c r="GFD96" s="168"/>
      <c r="GFE96" s="167"/>
      <c r="GFF96" s="168"/>
      <c r="GFG96" s="167"/>
      <c r="GFH96" s="168"/>
      <c r="GFI96" s="167"/>
      <c r="GFJ96" s="168"/>
      <c r="GFK96" s="167"/>
      <c r="GFL96" s="168"/>
      <c r="GFM96" s="167"/>
      <c r="GFN96" s="168"/>
      <c r="GFO96" s="167"/>
      <c r="GFP96" s="168"/>
      <c r="GFQ96" s="167"/>
      <c r="GFR96" s="168"/>
      <c r="GFS96" s="167"/>
      <c r="GFT96" s="168"/>
      <c r="GFU96" s="167"/>
      <c r="GFV96" s="168"/>
      <c r="GFW96" s="167"/>
      <c r="GFX96" s="168"/>
      <c r="GFY96" s="167"/>
      <c r="GFZ96" s="168"/>
      <c r="GGA96" s="167"/>
      <c r="GGB96" s="168"/>
      <c r="GGC96" s="167"/>
      <c r="GGD96" s="168"/>
      <c r="GGE96" s="167"/>
      <c r="GGF96" s="168"/>
      <c r="GGG96" s="167"/>
      <c r="GGH96" s="168"/>
      <c r="GGI96" s="167"/>
      <c r="GGJ96" s="168"/>
      <c r="GGK96" s="167"/>
      <c r="GGL96" s="168"/>
      <c r="GGM96" s="167"/>
      <c r="GGN96" s="168"/>
      <c r="GGO96" s="167"/>
      <c r="GGP96" s="168"/>
      <c r="GGQ96" s="167"/>
      <c r="GGR96" s="168"/>
      <c r="GGS96" s="167"/>
      <c r="GGT96" s="168"/>
      <c r="GGU96" s="167"/>
      <c r="GGV96" s="168"/>
      <c r="GGW96" s="167"/>
      <c r="GGX96" s="168"/>
      <c r="GGY96" s="167"/>
      <c r="GGZ96" s="168"/>
      <c r="GHA96" s="167"/>
      <c r="GHB96" s="168"/>
      <c r="GHC96" s="167"/>
      <c r="GHD96" s="168"/>
      <c r="GHE96" s="167"/>
      <c r="GHF96" s="168"/>
      <c r="GHG96" s="167"/>
      <c r="GHH96" s="168"/>
      <c r="GHI96" s="167"/>
      <c r="GHJ96" s="168"/>
      <c r="GHK96" s="167"/>
      <c r="GHL96" s="168"/>
      <c r="GHM96" s="167"/>
      <c r="GHN96" s="168"/>
      <c r="GHO96" s="167"/>
      <c r="GHP96" s="168"/>
      <c r="GHQ96" s="167"/>
      <c r="GHR96" s="168"/>
      <c r="GHS96" s="167"/>
      <c r="GHT96" s="168"/>
      <c r="GHU96" s="167"/>
      <c r="GHV96" s="168"/>
      <c r="GHW96" s="167"/>
      <c r="GHX96" s="168"/>
      <c r="GHY96" s="167"/>
      <c r="GHZ96" s="168"/>
      <c r="GIA96" s="167"/>
      <c r="GIB96" s="168"/>
      <c r="GIC96" s="167"/>
      <c r="GID96" s="168"/>
      <c r="GIE96" s="167"/>
      <c r="GIF96" s="168"/>
      <c r="GIG96" s="167"/>
      <c r="GIH96" s="168"/>
      <c r="GII96" s="167"/>
      <c r="GIJ96" s="168"/>
      <c r="GIK96" s="167"/>
      <c r="GIL96" s="168"/>
      <c r="GIM96" s="167"/>
      <c r="GIN96" s="168"/>
      <c r="GIO96" s="167"/>
      <c r="GIP96" s="168"/>
      <c r="GIQ96" s="167"/>
      <c r="GIR96" s="168"/>
      <c r="GIS96" s="167"/>
      <c r="GIT96" s="168"/>
      <c r="GIU96" s="167"/>
      <c r="GIV96" s="168"/>
      <c r="GIW96" s="167"/>
      <c r="GIX96" s="168"/>
      <c r="GIY96" s="167"/>
      <c r="GIZ96" s="168"/>
      <c r="GJA96" s="167"/>
      <c r="GJB96" s="168"/>
      <c r="GJC96" s="167"/>
      <c r="GJD96" s="168"/>
      <c r="GJE96" s="167"/>
      <c r="GJF96" s="168"/>
      <c r="GJG96" s="167"/>
      <c r="GJH96" s="168"/>
      <c r="GJI96" s="167"/>
      <c r="GJJ96" s="168"/>
      <c r="GJK96" s="167"/>
      <c r="GJL96" s="168"/>
      <c r="GJM96" s="167"/>
      <c r="GJN96" s="168"/>
      <c r="GJO96" s="167"/>
      <c r="GJP96" s="168"/>
      <c r="GJQ96" s="167"/>
      <c r="GJR96" s="168"/>
      <c r="GJS96" s="167"/>
      <c r="GJT96" s="168"/>
      <c r="GJU96" s="167"/>
      <c r="GJV96" s="168"/>
      <c r="GJW96" s="167"/>
      <c r="GJX96" s="168"/>
      <c r="GJY96" s="167"/>
      <c r="GJZ96" s="168"/>
      <c r="GKA96" s="167"/>
      <c r="GKB96" s="168"/>
      <c r="GKC96" s="167"/>
      <c r="GKD96" s="168"/>
      <c r="GKE96" s="167"/>
      <c r="GKF96" s="168"/>
      <c r="GKG96" s="167"/>
      <c r="GKH96" s="168"/>
      <c r="GKI96" s="167"/>
      <c r="GKJ96" s="168"/>
      <c r="GKK96" s="167"/>
      <c r="GKL96" s="168"/>
      <c r="GKM96" s="167"/>
      <c r="GKN96" s="168"/>
      <c r="GKO96" s="167"/>
      <c r="GKP96" s="168"/>
      <c r="GKQ96" s="167"/>
      <c r="GKR96" s="168"/>
      <c r="GKS96" s="167"/>
      <c r="GKT96" s="168"/>
      <c r="GKU96" s="167"/>
      <c r="GKV96" s="168"/>
      <c r="GKW96" s="167"/>
      <c r="GKX96" s="168"/>
      <c r="GKY96" s="167"/>
      <c r="GKZ96" s="168"/>
      <c r="GLA96" s="167"/>
      <c r="GLB96" s="168"/>
      <c r="GLC96" s="167"/>
      <c r="GLD96" s="168"/>
      <c r="GLE96" s="167"/>
      <c r="GLF96" s="168"/>
      <c r="GLG96" s="167"/>
      <c r="GLH96" s="168"/>
      <c r="GLI96" s="167"/>
      <c r="GLJ96" s="168"/>
      <c r="GLK96" s="167"/>
      <c r="GLL96" s="168"/>
      <c r="GLM96" s="167"/>
      <c r="GLN96" s="168"/>
      <c r="GLO96" s="167"/>
      <c r="GLP96" s="168"/>
      <c r="GLQ96" s="167"/>
      <c r="GLR96" s="168"/>
      <c r="GLS96" s="167"/>
      <c r="GLT96" s="168"/>
      <c r="GLU96" s="167"/>
      <c r="GLV96" s="168"/>
      <c r="GLW96" s="167"/>
      <c r="GLX96" s="168"/>
      <c r="GLY96" s="167"/>
      <c r="GLZ96" s="168"/>
      <c r="GMA96" s="167"/>
      <c r="GMB96" s="168"/>
      <c r="GMC96" s="167"/>
      <c r="GMD96" s="168"/>
      <c r="GME96" s="167"/>
      <c r="GMF96" s="168"/>
      <c r="GMG96" s="167"/>
      <c r="GMH96" s="168"/>
      <c r="GMI96" s="167"/>
      <c r="GMJ96" s="168"/>
      <c r="GMK96" s="167"/>
      <c r="GML96" s="168"/>
      <c r="GMM96" s="167"/>
      <c r="GMN96" s="168"/>
      <c r="GMO96" s="167"/>
      <c r="GMP96" s="168"/>
      <c r="GMQ96" s="167"/>
      <c r="GMR96" s="168"/>
      <c r="GMS96" s="167"/>
      <c r="GMT96" s="168"/>
      <c r="GMU96" s="167"/>
      <c r="GMV96" s="168"/>
      <c r="GMW96" s="167"/>
      <c r="GMX96" s="168"/>
      <c r="GMY96" s="167"/>
      <c r="GMZ96" s="168"/>
      <c r="GNA96" s="167"/>
      <c r="GNB96" s="168"/>
      <c r="GNC96" s="167"/>
      <c r="GND96" s="168"/>
      <c r="GNE96" s="167"/>
      <c r="GNF96" s="168"/>
      <c r="GNG96" s="167"/>
      <c r="GNH96" s="168"/>
      <c r="GNI96" s="167"/>
      <c r="GNJ96" s="168"/>
      <c r="GNK96" s="167"/>
      <c r="GNL96" s="168"/>
      <c r="GNM96" s="167"/>
      <c r="GNN96" s="168"/>
      <c r="GNO96" s="167"/>
      <c r="GNP96" s="168"/>
      <c r="GNQ96" s="167"/>
      <c r="GNR96" s="168"/>
      <c r="GNS96" s="167"/>
      <c r="GNT96" s="168"/>
      <c r="GNU96" s="167"/>
      <c r="GNV96" s="168"/>
      <c r="GNW96" s="167"/>
      <c r="GNX96" s="168"/>
      <c r="GNY96" s="167"/>
      <c r="GNZ96" s="168"/>
      <c r="GOA96" s="167"/>
      <c r="GOB96" s="168"/>
      <c r="GOC96" s="167"/>
      <c r="GOD96" s="168"/>
      <c r="GOE96" s="167"/>
      <c r="GOF96" s="168"/>
      <c r="GOG96" s="167"/>
      <c r="GOH96" s="168"/>
      <c r="GOI96" s="167"/>
      <c r="GOJ96" s="168"/>
      <c r="GOK96" s="167"/>
      <c r="GOL96" s="168"/>
      <c r="GOM96" s="167"/>
      <c r="GON96" s="168"/>
      <c r="GOO96" s="167"/>
      <c r="GOP96" s="168"/>
      <c r="GOQ96" s="167"/>
      <c r="GOR96" s="168"/>
      <c r="GOS96" s="167"/>
      <c r="GOT96" s="168"/>
      <c r="GOU96" s="167"/>
      <c r="GOV96" s="168"/>
      <c r="GOW96" s="167"/>
      <c r="GOX96" s="168"/>
      <c r="GOY96" s="167"/>
      <c r="GOZ96" s="168"/>
      <c r="GPA96" s="167"/>
      <c r="GPB96" s="168"/>
      <c r="GPC96" s="167"/>
      <c r="GPD96" s="168"/>
      <c r="GPE96" s="167"/>
      <c r="GPF96" s="168"/>
      <c r="GPG96" s="167"/>
      <c r="GPH96" s="168"/>
      <c r="GPI96" s="167"/>
      <c r="GPJ96" s="168"/>
      <c r="GPK96" s="167"/>
      <c r="GPL96" s="168"/>
      <c r="GPM96" s="167"/>
      <c r="GPN96" s="168"/>
      <c r="GPO96" s="167"/>
      <c r="GPP96" s="168"/>
      <c r="GPQ96" s="167"/>
      <c r="GPR96" s="168"/>
      <c r="GPS96" s="167"/>
      <c r="GPT96" s="168"/>
      <c r="GPU96" s="167"/>
      <c r="GPV96" s="168"/>
      <c r="GPW96" s="167"/>
      <c r="GPX96" s="168"/>
      <c r="GPY96" s="167"/>
      <c r="GPZ96" s="168"/>
      <c r="GQA96" s="167"/>
      <c r="GQB96" s="168"/>
      <c r="GQC96" s="167"/>
      <c r="GQD96" s="168"/>
      <c r="GQE96" s="167"/>
      <c r="GQF96" s="168"/>
      <c r="GQG96" s="167"/>
      <c r="GQH96" s="168"/>
      <c r="GQI96" s="167"/>
      <c r="GQJ96" s="168"/>
      <c r="GQK96" s="167"/>
      <c r="GQL96" s="168"/>
      <c r="GQM96" s="167"/>
      <c r="GQN96" s="168"/>
      <c r="GQO96" s="167"/>
      <c r="GQP96" s="168"/>
      <c r="GQQ96" s="167"/>
      <c r="GQR96" s="168"/>
      <c r="GQS96" s="167"/>
      <c r="GQT96" s="168"/>
      <c r="GQU96" s="167"/>
      <c r="GQV96" s="168"/>
      <c r="GQW96" s="167"/>
      <c r="GQX96" s="168"/>
      <c r="GQY96" s="167"/>
      <c r="GQZ96" s="168"/>
      <c r="GRA96" s="167"/>
      <c r="GRB96" s="168"/>
      <c r="GRC96" s="167"/>
      <c r="GRD96" s="168"/>
      <c r="GRE96" s="167"/>
      <c r="GRF96" s="168"/>
      <c r="GRG96" s="167"/>
      <c r="GRH96" s="168"/>
      <c r="GRI96" s="167"/>
      <c r="GRJ96" s="168"/>
      <c r="GRK96" s="167"/>
      <c r="GRL96" s="168"/>
      <c r="GRM96" s="167"/>
      <c r="GRN96" s="168"/>
      <c r="GRO96" s="167"/>
      <c r="GRP96" s="168"/>
      <c r="GRQ96" s="167"/>
      <c r="GRR96" s="168"/>
      <c r="GRS96" s="167"/>
      <c r="GRT96" s="168"/>
      <c r="GRU96" s="167"/>
      <c r="GRV96" s="168"/>
      <c r="GRW96" s="167"/>
      <c r="GRX96" s="168"/>
      <c r="GRY96" s="167"/>
      <c r="GRZ96" s="168"/>
      <c r="GSA96" s="167"/>
      <c r="GSB96" s="168"/>
      <c r="GSC96" s="167"/>
      <c r="GSD96" s="168"/>
      <c r="GSE96" s="167"/>
      <c r="GSF96" s="168"/>
      <c r="GSG96" s="167"/>
      <c r="GSH96" s="168"/>
      <c r="GSI96" s="167"/>
      <c r="GSJ96" s="168"/>
      <c r="GSK96" s="167"/>
      <c r="GSL96" s="168"/>
      <c r="GSM96" s="167"/>
      <c r="GSN96" s="168"/>
      <c r="GSO96" s="167"/>
      <c r="GSP96" s="168"/>
      <c r="GSQ96" s="167"/>
      <c r="GSR96" s="168"/>
      <c r="GSS96" s="167"/>
      <c r="GST96" s="168"/>
      <c r="GSU96" s="167"/>
      <c r="GSV96" s="168"/>
      <c r="GSW96" s="167"/>
      <c r="GSX96" s="168"/>
      <c r="GSY96" s="167"/>
      <c r="GSZ96" s="168"/>
      <c r="GTA96" s="167"/>
      <c r="GTB96" s="168"/>
      <c r="GTC96" s="167"/>
      <c r="GTD96" s="168"/>
      <c r="GTE96" s="167"/>
      <c r="GTF96" s="168"/>
      <c r="GTG96" s="167"/>
      <c r="GTH96" s="168"/>
      <c r="GTI96" s="167"/>
      <c r="GTJ96" s="168"/>
      <c r="GTK96" s="167"/>
      <c r="GTL96" s="168"/>
      <c r="GTM96" s="167"/>
      <c r="GTN96" s="168"/>
      <c r="GTO96" s="167"/>
      <c r="GTP96" s="168"/>
      <c r="GTQ96" s="167"/>
      <c r="GTR96" s="168"/>
      <c r="GTS96" s="167"/>
      <c r="GTT96" s="168"/>
      <c r="GTU96" s="167"/>
      <c r="GTV96" s="168"/>
      <c r="GTW96" s="167"/>
      <c r="GTX96" s="168"/>
      <c r="GTY96" s="167"/>
      <c r="GTZ96" s="168"/>
      <c r="GUA96" s="167"/>
      <c r="GUB96" s="168"/>
      <c r="GUC96" s="167"/>
      <c r="GUD96" s="168"/>
      <c r="GUE96" s="167"/>
      <c r="GUF96" s="168"/>
      <c r="GUG96" s="167"/>
      <c r="GUH96" s="168"/>
      <c r="GUI96" s="167"/>
      <c r="GUJ96" s="168"/>
      <c r="GUK96" s="167"/>
      <c r="GUL96" s="168"/>
      <c r="GUM96" s="167"/>
      <c r="GUN96" s="168"/>
      <c r="GUO96" s="167"/>
      <c r="GUP96" s="168"/>
      <c r="GUQ96" s="167"/>
      <c r="GUR96" s="168"/>
      <c r="GUS96" s="167"/>
      <c r="GUT96" s="168"/>
      <c r="GUU96" s="167"/>
      <c r="GUV96" s="168"/>
      <c r="GUW96" s="167"/>
      <c r="GUX96" s="168"/>
      <c r="GUY96" s="167"/>
      <c r="GUZ96" s="168"/>
      <c r="GVA96" s="167"/>
      <c r="GVB96" s="168"/>
      <c r="GVC96" s="167"/>
      <c r="GVD96" s="168"/>
      <c r="GVE96" s="167"/>
      <c r="GVF96" s="168"/>
      <c r="GVG96" s="167"/>
      <c r="GVH96" s="168"/>
      <c r="GVI96" s="167"/>
      <c r="GVJ96" s="168"/>
      <c r="GVK96" s="167"/>
      <c r="GVL96" s="168"/>
      <c r="GVM96" s="167"/>
      <c r="GVN96" s="168"/>
      <c r="GVO96" s="167"/>
      <c r="GVP96" s="168"/>
      <c r="GVQ96" s="167"/>
      <c r="GVR96" s="168"/>
      <c r="GVS96" s="167"/>
      <c r="GVT96" s="168"/>
      <c r="GVU96" s="167"/>
      <c r="GVV96" s="168"/>
      <c r="GVW96" s="167"/>
      <c r="GVX96" s="168"/>
      <c r="GVY96" s="167"/>
      <c r="GVZ96" s="168"/>
      <c r="GWA96" s="167"/>
      <c r="GWB96" s="168"/>
      <c r="GWC96" s="167"/>
      <c r="GWD96" s="168"/>
      <c r="GWE96" s="167"/>
      <c r="GWF96" s="168"/>
      <c r="GWG96" s="167"/>
      <c r="GWH96" s="168"/>
      <c r="GWI96" s="167"/>
      <c r="GWJ96" s="168"/>
      <c r="GWK96" s="167"/>
      <c r="GWL96" s="168"/>
      <c r="GWM96" s="167"/>
      <c r="GWN96" s="168"/>
      <c r="GWO96" s="167"/>
      <c r="GWP96" s="168"/>
      <c r="GWQ96" s="167"/>
      <c r="GWR96" s="168"/>
      <c r="GWS96" s="167"/>
      <c r="GWT96" s="168"/>
      <c r="GWU96" s="167"/>
      <c r="GWV96" s="168"/>
      <c r="GWW96" s="167"/>
      <c r="GWX96" s="168"/>
      <c r="GWY96" s="167"/>
      <c r="GWZ96" s="168"/>
      <c r="GXA96" s="167"/>
      <c r="GXB96" s="168"/>
      <c r="GXC96" s="167"/>
      <c r="GXD96" s="168"/>
      <c r="GXE96" s="167"/>
      <c r="GXF96" s="168"/>
      <c r="GXG96" s="167"/>
      <c r="GXH96" s="168"/>
      <c r="GXI96" s="167"/>
      <c r="GXJ96" s="168"/>
      <c r="GXK96" s="167"/>
      <c r="GXL96" s="168"/>
      <c r="GXM96" s="167"/>
      <c r="GXN96" s="168"/>
      <c r="GXO96" s="167"/>
      <c r="GXP96" s="168"/>
      <c r="GXQ96" s="167"/>
      <c r="GXR96" s="168"/>
      <c r="GXS96" s="167"/>
      <c r="GXT96" s="168"/>
      <c r="GXU96" s="167"/>
      <c r="GXV96" s="168"/>
      <c r="GXW96" s="167"/>
      <c r="GXX96" s="168"/>
      <c r="GXY96" s="167"/>
      <c r="GXZ96" s="168"/>
      <c r="GYA96" s="167"/>
      <c r="GYB96" s="168"/>
      <c r="GYC96" s="167"/>
      <c r="GYD96" s="168"/>
      <c r="GYE96" s="167"/>
      <c r="GYF96" s="168"/>
      <c r="GYG96" s="167"/>
      <c r="GYH96" s="168"/>
      <c r="GYI96" s="167"/>
      <c r="GYJ96" s="168"/>
      <c r="GYK96" s="167"/>
      <c r="GYL96" s="168"/>
      <c r="GYM96" s="167"/>
      <c r="GYN96" s="168"/>
      <c r="GYO96" s="167"/>
      <c r="GYP96" s="168"/>
      <c r="GYQ96" s="167"/>
      <c r="GYR96" s="168"/>
      <c r="GYS96" s="167"/>
      <c r="GYT96" s="168"/>
      <c r="GYU96" s="167"/>
      <c r="GYV96" s="168"/>
      <c r="GYW96" s="167"/>
      <c r="GYX96" s="168"/>
      <c r="GYY96" s="167"/>
      <c r="GYZ96" s="168"/>
      <c r="GZA96" s="167"/>
      <c r="GZB96" s="168"/>
      <c r="GZC96" s="167"/>
      <c r="GZD96" s="168"/>
      <c r="GZE96" s="167"/>
      <c r="GZF96" s="168"/>
      <c r="GZG96" s="167"/>
      <c r="GZH96" s="168"/>
      <c r="GZI96" s="167"/>
      <c r="GZJ96" s="168"/>
      <c r="GZK96" s="167"/>
      <c r="GZL96" s="168"/>
      <c r="GZM96" s="167"/>
      <c r="GZN96" s="168"/>
      <c r="GZO96" s="167"/>
      <c r="GZP96" s="168"/>
      <c r="GZQ96" s="167"/>
      <c r="GZR96" s="168"/>
      <c r="GZS96" s="167"/>
      <c r="GZT96" s="168"/>
      <c r="GZU96" s="167"/>
      <c r="GZV96" s="168"/>
      <c r="GZW96" s="167"/>
      <c r="GZX96" s="168"/>
      <c r="GZY96" s="167"/>
      <c r="GZZ96" s="168"/>
      <c r="HAA96" s="167"/>
      <c r="HAB96" s="168"/>
      <c r="HAC96" s="167"/>
      <c r="HAD96" s="168"/>
      <c r="HAE96" s="167"/>
      <c r="HAF96" s="168"/>
      <c r="HAG96" s="167"/>
      <c r="HAH96" s="168"/>
      <c r="HAI96" s="167"/>
      <c r="HAJ96" s="168"/>
      <c r="HAK96" s="167"/>
      <c r="HAL96" s="168"/>
      <c r="HAM96" s="167"/>
      <c r="HAN96" s="168"/>
      <c r="HAO96" s="167"/>
      <c r="HAP96" s="168"/>
      <c r="HAQ96" s="167"/>
      <c r="HAR96" s="168"/>
      <c r="HAS96" s="167"/>
      <c r="HAT96" s="168"/>
      <c r="HAU96" s="167"/>
      <c r="HAV96" s="168"/>
      <c r="HAW96" s="167"/>
      <c r="HAX96" s="168"/>
      <c r="HAY96" s="167"/>
      <c r="HAZ96" s="168"/>
      <c r="HBA96" s="167"/>
      <c r="HBB96" s="168"/>
      <c r="HBC96" s="167"/>
      <c r="HBD96" s="168"/>
      <c r="HBE96" s="167"/>
      <c r="HBF96" s="168"/>
      <c r="HBG96" s="167"/>
      <c r="HBH96" s="168"/>
      <c r="HBI96" s="167"/>
      <c r="HBJ96" s="168"/>
      <c r="HBK96" s="167"/>
      <c r="HBL96" s="168"/>
      <c r="HBM96" s="167"/>
      <c r="HBN96" s="168"/>
      <c r="HBO96" s="167"/>
      <c r="HBP96" s="168"/>
      <c r="HBQ96" s="167"/>
      <c r="HBR96" s="168"/>
      <c r="HBS96" s="167"/>
      <c r="HBT96" s="168"/>
      <c r="HBU96" s="167"/>
      <c r="HBV96" s="168"/>
      <c r="HBW96" s="167"/>
      <c r="HBX96" s="168"/>
      <c r="HBY96" s="167"/>
      <c r="HBZ96" s="168"/>
      <c r="HCA96" s="167"/>
      <c r="HCB96" s="168"/>
      <c r="HCC96" s="167"/>
      <c r="HCD96" s="168"/>
      <c r="HCE96" s="167"/>
      <c r="HCF96" s="168"/>
      <c r="HCG96" s="167"/>
      <c r="HCH96" s="168"/>
      <c r="HCI96" s="167"/>
      <c r="HCJ96" s="168"/>
      <c r="HCK96" s="167"/>
      <c r="HCL96" s="168"/>
      <c r="HCM96" s="167"/>
      <c r="HCN96" s="168"/>
      <c r="HCO96" s="167"/>
      <c r="HCP96" s="168"/>
      <c r="HCQ96" s="167"/>
      <c r="HCR96" s="168"/>
      <c r="HCS96" s="167"/>
      <c r="HCT96" s="168"/>
      <c r="HCU96" s="167"/>
      <c r="HCV96" s="168"/>
      <c r="HCW96" s="167"/>
      <c r="HCX96" s="168"/>
      <c r="HCY96" s="167"/>
      <c r="HCZ96" s="168"/>
      <c r="HDA96" s="167"/>
      <c r="HDB96" s="168"/>
      <c r="HDC96" s="167"/>
      <c r="HDD96" s="168"/>
      <c r="HDE96" s="167"/>
      <c r="HDF96" s="168"/>
      <c r="HDG96" s="167"/>
      <c r="HDH96" s="168"/>
      <c r="HDI96" s="167"/>
      <c r="HDJ96" s="168"/>
      <c r="HDK96" s="167"/>
      <c r="HDL96" s="168"/>
      <c r="HDM96" s="167"/>
      <c r="HDN96" s="168"/>
      <c r="HDO96" s="167"/>
      <c r="HDP96" s="168"/>
      <c r="HDQ96" s="167"/>
      <c r="HDR96" s="168"/>
      <c r="HDS96" s="167"/>
      <c r="HDT96" s="168"/>
      <c r="HDU96" s="167"/>
      <c r="HDV96" s="168"/>
      <c r="HDW96" s="167"/>
      <c r="HDX96" s="168"/>
      <c r="HDY96" s="167"/>
      <c r="HDZ96" s="168"/>
      <c r="HEA96" s="167"/>
      <c r="HEB96" s="168"/>
      <c r="HEC96" s="167"/>
      <c r="HED96" s="168"/>
      <c r="HEE96" s="167"/>
      <c r="HEF96" s="168"/>
      <c r="HEG96" s="167"/>
      <c r="HEH96" s="168"/>
      <c r="HEI96" s="167"/>
      <c r="HEJ96" s="168"/>
      <c r="HEK96" s="167"/>
      <c r="HEL96" s="168"/>
      <c r="HEM96" s="167"/>
      <c r="HEN96" s="168"/>
      <c r="HEO96" s="167"/>
      <c r="HEP96" s="168"/>
      <c r="HEQ96" s="167"/>
      <c r="HER96" s="168"/>
      <c r="HES96" s="167"/>
      <c r="HET96" s="168"/>
      <c r="HEU96" s="167"/>
      <c r="HEV96" s="168"/>
      <c r="HEW96" s="167"/>
      <c r="HEX96" s="168"/>
      <c r="HEY96" s="167"/>
      <c r="HEZ96" s="168"/>
      <c r="HFA96" s="167"/>
      <c r="HFB96" s="168"/>
      <c r="HFC96" s="167"/>
      <c r="HFD96" s="168"/>
      <c r="HFE96" s="167"/>
      <c r="HFF96" s="168"/>
      <c r="HFG96" s="167"/>
      <c r="HFH96" s="168"/>
      <c r="HFI96" s="167"/>
      <c r="HFJ96" s="168"/>
      <c r="HFK96" s="167"/>
      <c r="HFL96" s="168"/>
      <c r="HFM96" s="167"/>
      <c r="HFN96" s="168"/>
      <c r="HFO96" s="167"/>
      <c r="HFP96" s="168"/>
      <c r="HFQ96" s="167"/>
      <c r="HFR96" s="168"/>
      <c r="HFS96" s="167"/>
      <c r="HFT96" s="168"/>
      <c r="HFU96" s="167"/>
      <c r="HFV96" s="168"/>
      <c r="HFW96" s="167"/>
      <c r="HFX96" s="168"/>
      <c r="HFY96" s="167"/>
      <c r="HFZ96" s="168"/>
      <c r="HGA96" s="167"/>
      <c r="HGB96" s="168"/>
      <c r="HGC96" s="167"/>
      <c r="HGD96" s="168"/>
      <c r="HGE96" s="167"/>
      <c r="HGF96" s="168"/>
      <c r="HGG96" s="167"/>
      <c r="HGH96" s="168"/>
      <c r="HGI96" s="167"/>
      <c r="HGJ96" s="168"/>
      <c r="HGK96" s="167"/>
      <c r="HGL96" s="168"/>
      <c r="HGM96" s="167"/>
      <c r="HGN96" s="168"/>
      <c r="HGO96" s="167"/>
      <c r="HGP96" s="168"/>
      <c r="HGQ96" s="167"/>
      <c r="HGR96" s="168"/>
      <c r="HGS96" s="167"/>
      <c r="HGT96" s="168"/>
      <c r="HGU96" s="167"/>
      <c r="HGV96" s="168"/>
      <c r="HGW96" s="167"/>
      <c r="HGX96" s="168"/>
      <c r="HGY96" s="167"/>
      <c r="HGZ96" s="168"/>
      <c r="HHA96" s="167"/>
      <c r="HHB96" s="168"/>
      <c r="HHC96" s="167"/>
      <c r="HHD96" s="168"/>
      <c r="HHE96" s="167"/>
      <c r="HHF96" s="168"/>
      <c r="HHG96" s="167"/>
      <c r="HHH96" s="168"/>
      <c r="HHI96" s="167"/>
      <c r="HHJ96" s="168"/>
      <c r="HHK96" s="167"/>
      <c r="HHL96" s="168"/>
      <c r="HHM96" s="167"/>
      <c r="HHN96" s="168"/>
      <c r="HHO96" s="167"/>
      <c r="HHP96" s="168"/>
      <c r="HHQ96" s="167"/>
      <c r="HHR96" s="168"/>
      <c r="HHS96" s="167"/>
      <c r="HHT96" s="168"/>
      <c r="HHU96" s="167"/>
      <c r="HHV96" s="168"/>
      <c r="HHW96" s="167"/>
      <c r="HHX96" s="168"/>
      <c r="HHY96" s="167"/>
      <c r="HHZ96" s="168"/>
      <c r="HIA96" s="167"/>
      <c r="HIB96" s="168"/>
      <c r="HIC96" s="167"/>
      <c r="HID96" s="168"/>
      <c r="HIE96" s="167"/>
      <c r="HIF96" s="168"/>
      <c r="HIG96" s="167"/>
      <c r="HIH96" s="168"/>
      <c r="HII96" s="167"/>
      <c r="HIJ96" s="168"/>
      <c r="HIK96" s="167"/>
      <c r="HIL96" s="168"/>
      <c r="HIM96" s="167"/>
      <c r="HIN96" s="168"/>
      <c r="HIO96" s="167"/>
      <c r="HIP96" s="168"/>
      <c r="HIQ96" s="167"/>
      <c r="HIR96" s="168"/>
      <c r="HIS96" s="167"/>
      <c r="HIT96" s="168"/>
      <c r="HIU96" s="167"/>
      <c r="HIV96" s="168"/>
      <c r="HIW96" s="167"/>
      <c r="HIX96" s="168"/>
      <c r="HIY96" s="167"/>
      <c r="HIZ96" s="168"/>
      <c r="HJA96" s="167"/>
      <c r="HJB96" s="168"/>
      <c r="HJC96" s="167"/>
      <c r="HJD96" s="168"/>
      <c r="HJE96" s="167"/>
      <c r="HJF96" s="168"/>
      <c r="HJG96" s="167"/>
      <c r="HJH96" s="168"/>
      <c r="HJI96" s="167"/>
      <c r="HJJ96" s="168"/>
      <c r="HJK96" s="167"/>
      <c r="HJL96" s="168"/>
      <c r="HJM96" s="167"/>
      <c r="HJN96" s="168"/>
      <c r="HJO96" s="167"/>
      <c r="HJP96" s="168"/>
      <c r="HJQ96" s="167"/>
      <c r="HJR96" s="168"/>
      <c r="HJS96" s="167"/>
      <c r="HJT96" s="168"/>
      <c r="HJU96" s="167"/>
      <c r="HJV96" s="168"/>
      <c r="HJW96" s="167"/>
      <c r="HJX96" s="168"/>
      <c r="HJY96" s="167"/>
      <c r="HJZ96" s="168"/>
      <c r="HKA96" s="167"/>
      <c r="HKB96" s="168"/>
      <c r="HKC96" s="167"/>
      <c r="HKD96" s="168"/>
      <c r="HKE96" s="167"/>
      <c r="HKF96" s="168"/>
      <c r="HKG96" s="167"/>
      <c r="HKH96" s="168"/>
      <c r="HKI96" s="167"/>
      <c r="HKJ96" s="168"/>
      <c r="HKK96" s="167"/>
      <c r="HKL96" s="168"/>
      <c r="HKM96" s="167"/>
      <c r="HKN96" s="168"/>
      <c r="HKO96" s="167"/>
      <c r="HKP96" s="168"/>
      <c r="HKQ96" s="167"/>
      <c r="HKR96" s="168"/>
      <c r="HKS96" s="167"/>
      <c r="HKT96" s="168"/>
      <c r="HKU96" s="167"/>
      <c r="HKV96" s="168"/>
      <c r="HKW96" s="167"/>
      <c r="HKX96" s="168"/>
      <c r="HKY96" s="167"/>
      <c r="HKZ96" s="168"/>
      <c r="HLA96" s="167"/>
      <c r="HLB96" s="168"/>
      <c r="HLC96" s="167"/>
      <c r="HLD96" s="168"/>
      <c r="HLE96" s="167"/>
      <c r="HLF96" s="168"/>
      <c r="HLG96" s="167"/>
      <c r="HLH96" s="168"/>
      <c r="HLI96" s="167"/>
      <c r="HLJ96" s="168"/>
      <c r="HLK96" s="167"/>
      <c r="HLL96" s="168"/>
      <c r="HLM96" s="167"/>
      <c r="HLN96" s="168"/>
      <c r="HLO96" s="167"/>
      <c r="HLP96" s="168"/>
      <c r="HLQ96" s="167"/>
      <c r="HLR96" s="168"/>
      <c r="HLS96" s="167"/>
      <c r="HLT96" s="168"/>
      <c r="HLU96" s="167"/>
      <c r="HLV96" s="168"/>
      <c r="HLW96" s="167"/>
      <c r="HLX96" s="168"/>
      <c r="HLY96" s="167"/>
      <c r="HLZ96" s="168"/>
      <c r="HMA96" s="167"/>
      <c r="HMB96" s="168"/>
      <c r="HMC96" s="167"/>
      <c r="HMD96" s="168"/>
      <c r="HME96" s="167"/>
      <c r="HMF96" s="168"/>
      <c r="HMG96" s="167"/>
      <c r="HMH96" s="168"/>
      <c r="HMI96" s="167"/>
      <c r="HMJ96" s="168"/>
      <c r="HMK96" s="167"/>
      <c r="HML96" s="168"/>
      <c r="HMM96" s="167"/>
      <c r="HMN96" s="168"/>
      <c r="HMO96" s="167"/>
      <c r="HMP96" s="168"/>
      <c r="HMQ96" s="167"/>
      <c r="HMR96" s="168"/>
      <c r="HMS96" s="167"/>
      <c r="HMT96" s="168"/>
      <c r="HMU96" s="167"/>
      <c r="HMV96" s="168"/>
      <c r="HMW96" s="167"/>
      <c r="HMX96" s="168"/>
      <c r="HMY96" s="167"/>
      <c r="HMZ96" s="168"/>
      <c r="HNA96" s="167"/>
      <c r="HNB96" s="168"/>
      <c r="HNC96" s="167"/>
      <c r="HND96" s="168"/>
      <c r="HNE96" s="167"/>
      <c r="HNF96" s="168"/>
      <c r="HNG96" s="167"/>
      <c r="HNH96" s="168"/>
      <c r="HNI96" s="167"/>
      <c r="HNJ96" s="168"/>
      <c r="HNK96" s="167"/>
      <c r="HNL96" s="168"/>
      <c r="HNM96" s="167"/>
      <c r="HNN96" s="168"/>
      <c r="HNO96" s="167"/>
      <c r="HNP96" s="168"/>
      <c r="HNQ96" s="167"/>
      <c r="HNR96" s="168"/>
      <c r="HNS96" s="167"/>
      <c r="HNT96" s="168"/>
      <c r="HNU96" s="167"/>
      <c r="HNV96" s="168"/>
      <c r="HNW96" s="167"/>
      <c r="HNX96" s="168"/>
      <c r="HNY96" s="167"/>
      <c r="HNZ96" s="168"/>
      <c r="HOA96" s="167"/>
      <c r="HOB96" s="168"/>
      <c r="HOC96" s="167"/>
      <c r="HOD96" s="168"/>
      <c r="HOE96" s="167"/>
      <c r="HOF96" s="168"/>
      <c r="HOG96" s="167"/>
      <c r="HOH96" s="168"/>
      <c r="HOI96" s="167"/>
      <c r="HOJ96" s="168"/>
      <c r="HOK96" s="167"/>
      <c r="HOL96" s="168"/>
      <c r="HOM96" s="167"/>
      <c r="HON96" s="168"/>
      <c r="HOO96" s="167"/>
      <c r="HOP96" s="168"/>
      <c r="HOQ96" s="167"/>
      <c r="HOR96" s="168"/>
      <c r="HOS96" s="167"/>
      <c r="HOT96" s="168"/>
      <c r="HOU96" s="167"/>
      <c r="HOV96" s="168"/>
      <c r="HOW96" s="167"/>
      <c r="HOX96" s="168"/>
      <c r="HOY96" s="167"/>
      <c r="HOZ96" s="168"/>
      <c r="HPA96" s="167"/>
      <c r="HPB96" s="168"/>
      <c r="HPC96" s="167"/>
      <c r="HPD96" s="168"/>
      <c r="HPE96" s="167"/>
      <c r="HPF96" s="168"/>
      <c r="HPG96" s="167"/>
      <c r="HPH96" s="168"/>
      <c r="HPI96" s="167"/>
      <c r="HPJ96" s="168"/>
      <c r="HPK96" s="167"/>
      <c r="HPL96" s="168"/>
      <c r="HPM96" s="167"/>
      <c r="HPN96" s="168"/>
      <c r="HPO96" s="167"/>
      <c r="HPP96" s="168"/>
      <c r="HPQ96" s="167"/>
      <c r="HPR96" s="168"/>
      <c r="HPS96" s="167"/>
      <c r="HPT96" s="168"/>
      <c r="HPU96" s="167"/>
      <c r="HPV96" s="168"/>
      <c r="HPW96" s="167"/>
      <c r="HPX96" s="168"/>
      <c r="HPY96" s="167"/>
      <c r="HPZ96" s="168"/>
      <c r="HQA96" s="167"/>
      <c r="HQB96" s="168"/>
      <c r="HQC96" s="167"/>
      <c r="HQD96" s="168"/>
      <c r="HQE96" s="167"/>
      <c r="HQF96" s="168"/>
      <c r="HQG96" s="167"/>
      <c r="HQH96" s="168"/>
      <c r="HQI96" s="167"/>
      <c r="HQJ96" s="168"/>
      <c r="HQK96" s="167"/>
      <c r="HQL96" s="168"/>
      <c r="HQM96" s="167"/>
      <c r="HQN96" s="168"/>
      <c r="HQO96" s="167"/>
      <c r="HQP96" s="168"/>
      <c r="HQQ96" s="167"/>
      <c r="HQR96" s="168"/>
      <c r="HQS96" s="167"/>
      <c r="HQT96" s="168"/>
      <c r="HQU96" s="167"/>
      <c r="HQV96" s="168"/>
      <c r="HQW96" s="167"/>
      <c r="HQX96" s="168"/>
      <c r="HQY96" s="167"/>
      <c r="HQZ96" s="168"/>
      <c r="HRA96" s="167"/>
      <c r="HRB96" s="168"/>
      <c r="HRC96" s="167"/>
      <c r="HRD96" s="168"/>
      <c r="HRE96" s="167"/>
      <c r="HRF96" s="168"/>
      <c r="HRG96" s="167"/>
      <c r="HRH96" s="168"/>
      <c r="HRI96" s="167"/>
      <c r="HRJ96" s="168"/>
      <c r="HRK96" s="167"/>
      <c r="HRL96" s="168"/>
      <c r="HRM96" s="167"/>
      <c r="HRN96" s="168"/>
      <c r="HRO96" s="167"/>
      <c r="HRP96" s="168"/>
      <c r="HRQ96" s="167"/>
      <c r="HRR96" s="168"/>
      <c r="HRS96" s="167"/>
      <c r="HRT96" s="168"/>
      <c r="HRU96" s="167"/>
      <c r="HRV96" s="168"/>
      <c r="HRW96" s="167"/>
      <c r="HRX96" s="168"/>
      <c r="HRY96" s="167"/>
      <c r="HRZ96" s="168"/>
      <c r="HSA96" s="167"/>
      <c r="HSB96" s="168"/>
      <c r="HSC96" s="167"/>
      <c r="HSD96" s="168"/>
      <c r="HSE96" s="167"/>
      <c r="HSF96" s="168"/>
      <c r="HSG96" s="167"/>
      <c r="HSH96" s="168"/>
      <c r="HSI96" s="167"/>
      <c r="HSJ96" s="168"/>
      <c r="HSK96" s="167"/>
      <c r="HSL96" s="168"/>
      <c r="HSM96" s="167"/>
      <c r="HSN96" s="168"/>
      <c r="HSO96" s="167"/>
      <c r="HSP96" s="168"/>
      <c r="HSQ96" s="167"/>
      <c r="HSR96" s="168"/>
      <c r="HSS96" s="167"/>
      <c r="HST96" s="168"/>
      <c r="HSU96" s="167"/>
      <c r="HSV96" s="168"/>
      <c r="HSW96" s="167"/>
      <c r="HSX96" s="168"/>
      <c r="HSY96" s="167"/>
      <c r="HSZ96" s="168"/>
      <c r="HTA96" s="167"/>
      <c r="HTB96" s="168"/>
      <c r="HTC96" s="167"/>
      <c r="HTD96" s="168"/>
      <c r="HTE96" s="167"/>
      <c r="HTF96" s="168"/>
      <c r="HTG96" s="167"/>
      <c r="HTH96" s="168"/>
      <c r="HTI96" s="167"/>
      <c r="HTJ96" s="168"/>
      <c r="HTK96" s="167"/>
      <c r="HTL96" s="168"/>
      <c r="HTM96" s="167"/>
      <c r="HTN96" s="168"/>
      <c r="HTO96" s="167"/>
      <c r="HTP96" s="168"/>
      <c r="HTQ96" s="167"/>
      <c r="HTR96" s="168"/>
      <c r="HTS96" s="167"/>
      <c r="HTT96" s="168"/>
      <c r="HTU96" s="167"/>
      <c r="HTV96" s="168"/>
      <c r="HTW96" s="167"/>
      <c r="HTX96" s="168"/>
      <c r="HTY96" s="167"/>
      <c r="HTZ96" s="168"/>
      <c r="HUA96" s="167"/>
      <c r="HUB96" s="168"/>
      <c r="HUC96" s="167"/>
      <c r="HUD96" s="168"/>
      <c r="HUE96" s="167"/>
      <c r="HUF96" s="168"/>
      <c r="HUG96" s="167"/>
      <c r="HUH96" s="168"/>
      <c r="HUI96" s="167"/>
      <c r="HUJ96" s="168"/>
      <c r="HUK96" s="167"/>
      <c r="HUL96" s="168"/>
      <c r="HUM96" s="167"/>
      <c r="HUN96" s="168"/>
      <c r="HUO96" s="167"/>
      <c r="HUP96" s="168"/>
      <c r="HUQ96" s="167"/>
      <c r="HUR96" s="168"/>
      <c r="HUS96" s="167"/>
      <c r="HUT96" s="168"/>
      <c r="HUU96" s="167"/>
      <c r="HUV96" s="168"/>
      <c r="HUW96" s="167"/>
      <c r="HUX96" s="168"/>
      <c r="HUY96" s="167"/>
      <c r="HUZ96" s="168"/>
      <c r="HVA96" s="167"/>
      <c r="HVB96" s="168"/>
      <c r="HVC96" s="167"/>
      <c r="HVD96" s="168"/>
      <c r="HVE96" s="167"/>
      <c r="HVF96" s="168"/>
      <c r="HVG96" s="167"/>
      <c r="HVH96" s="168"/>
      <c r="HVI96" s="167"/>
      <c r="HVJ96" s="168"/>
      <c r="HVK96" s="167"/>
      <c r="HVL96" s="168"/>
      <c r="HVM96" s="167"/>
      <c r="HVN96" s="168"/>
      <c r="HVO96" s="167"/>
      <c r="HVP96" s="168"/>
      <c r="HVQ96" s="167"/>
      <c r="HVR96" s="168"/>
      <c r="HVS96" s="167"/>
      <c r="HVT96" s="168"/>
      <c r="HVU96" s="167"/>
      <c r="HVV96" s="168"/>
      <c r="HVW96" s="167"/>
      <c r="HVX96" s="168"/>
      <c r="HVY96" s="167"/>
      <c r="HVZ96" s="168"/>
      <c r="HWA96" s="167"/>
      <c r="HWB96" s="168"/>
      <c r="HWC96" s="167"/>
      <c r="HWD96" s="168"/>
      <c r="HWE96" s="167"/>
      <c r="HWF96" s="168"/>
      <c r="HWG96" s="167"/>
      <c r="HWH96" s="168"/>
      <c r="HWI96" s="167"/>
      <c r="HWJ96" s="168"/>
      <c r="HWK96" s="167"/>
      <c r="HWL96" s="168"/>
      <c r="HWM96" s="167"/>
      <c r="HWN96" s="168"/>
      <c r="HWO96" s="167"/>
      <c r="HWP96" s="168"/>
      <c r="HWQ96" s="167"/>
      <c r="HWR96" s="168"/>
      <c r="HWS96" s="167"/>
      <c r="HWT96" s="168"/>
      <c r="HWU96" s="167"/>
      <c r="HWV96" s="168"/>
      <c r="HWW96" s="167"/>
      <c r="HWX96" s="168"/>
      <c r="HWY96" s="167"/>
      <c r="HWZ96" s="168"/>
      <c r="HXA96" s="167"/>
      <c r="HXB96" s="168"/>
      <c r="HXC96" s="167"/>
      <c r="HXD96" s="168"/>
      <c r="HXE96" s="167"/>
      <c r="HXF96" s="168"/>
      <c r="HXG96" s="167"/>
      <c r="HXH96" s="168"/>
      <c r="HXI96" s="167"/>
      <c r="HXJ96" s="168"/>
      <c r="HXK96" s="167"/>
      <c r="HXL96" s="168"/>
      <c r="HXM96" s="167"/>
      <c r="HXN96" s="168"/>
      <c r="HXO96" s="167"/>
      <c r="HXP96" s="168"/>
      <c r="HXQ96" s="167"/>
      <c r="HXR96" s="168"/>
      <c r="HXS96" s="167"/>
      <c r="HXT96" s="168"/>
      <c r="HXU96" s="167"/>
      <c r="HXV96" s="168"/>
      <c r="HXW96" s="167"/>
      <c r="HXX96" s="168"/>
      <c r="HXY96" s="167"/>
      <c r="HXZ96" s="168"/>
      <c r="HYA96" s="167"/>
      <c r="HYB96" s="168"/>
      <c r="HYC96" s="167"/>
      <c r="HYD96" s="168"/>
      <c r="HYE96" s="167"/>
      <c r="HYF96" s="168"/>
      <c r="HYG96" s="167"/>
      <c r="HYH96" s="168"/>
      <c r="HYI96" s="167"/>
      <c r="HYJ96" s="168"/>
      <c r="HYK96" s="167"/>
      <c r="HYL96" s="168"/>
      <c r="HYM96" s="167"/>
      <c r="HYN96" s="168"/>
      <c r="HYO96" s="167"/>
      <c r="HYP96" s="168"/>
      <c r="HYQ96" s="167"/>
      <c r="HYR96" s="168"/>
      <c r="HYS96" s="167"/>
      <c r="HYT96" s="168"/>
      <c r="HYU96" s="167"/>
      <c r="HYV96" s="168"/>
      <c r="HYW96" s="167"/>
      <c r="HYX96" s="168"/>
      <c r="HYY96" s="167"/>
      <c r="HYZ96" s="168"/>
      <c r="HZA96" s="167"/>
      <c r="HZB96" s="168"/>
      <c r="HZC96" s="167"/>
      <c r="HZD96" s="168"/>
      <c r="HZE96" s="167"/>
      <c r="HZF96" s="168"/>
      <c r="HZG96" s="167"/>
      <c r="HZH96" s="168"/>
      <c r="HZI96" s="167"/>
      <c r="HZJ96" s="168"/>
      <c r="HZK96" s="167"/>
      <c r="HZL96" s="168"/>
      <c r="HZM96" s="167"/>
      <c r="HZN96" s="168"/>
      <c r="HZO96" s="167"/>
      <c r="HZP96" s="168"/>
      <c r="HZQ96" s="167"/>
      <c r="HZR96" s="168"/>
      <c r="HZS96" s="167"/>
      <c r="HZT96" s="168"/>
      <c r="HZU96" s="167"/>
      <c r="HZV96" s="168"/>
      <c r="HZW96" s="167"/>
      <c r="HZX96" s="168"/>
      <c r="HZY96" s="167"/>
      <c r="HZZ96" s="168"/>
      <c r="IAA96" s="167"/>
      <c r="IAB96" s="168"/>
      <c r="IAC96" s="167"/>
      <c r="IAD96" s="168"/>
      <c r="IAE96" s="167"/>
      <c r="IAF96" s="168"/>
      <c r="IAG96" s="167"/>
      <c r="IAH96" s="168"/>
      <c r="IAI96" s="167"/>
      <c r="IAJ96" s="168"/>
      <c r="IAK96" s="167"/>
      <c r="IAL96" s="168"/>
      <c r="IAM96" s="167"/>
      <c r="IAN96" s="168"/>
      <c r="IAO96" s="167"/>
      <c r="IAP96" s="168"/>
      <c r="IAQ96" s="167"/>
      <c r="IAR96" s="168"/>
      <c r="IAS96" s="167"/>
      <c r="IAT96" s="168"/>
      <c r="IAU96" s="167"/>
      <c r="IAV96" s="168"/>
      <c r="IAW96" s="167"/>
      <c r="IAX96" s="168"/>
      <c r="IAY96" s="167"/>
      <c r="IAZ96" s="168"/>
      <c r="IBA96" s="167"/>
      <c r="IBB96" s="168"/>
      <c r="IBC96" s="167"/>
      <c r="IBD96" s="168"/>
      <c r="IBE96" s="167"/>
      <c r="IBF96" s="168"/>
      <c r="IBG96" s="167"/>
      <c r="IBH96" s="168"/>
      <c r="IBI96" s="167"/>
      <c r="IBJ96" s="168"/>
      <c r="IBK96" s="167"/>
      <c r="IBL96" s="168"/>
      <c r="IBM96" s="167"/>
      <c r="IBN96" s="168"/>
      <c r="IBO96" s="167"/>
      <c r="IBP96" s="168"/>
      <c r="IBQ96" s="167"/>
      <c r="IBR96" s="168"/>
      <c r="IBS96" s="167"/>
      <c r="IBT96" s="168"/>
      <c r="IBU96" s="167"/>
      <c r="IBV96" s="168"/>
      <c r="IBW96" s="167"/>
      <c r="IBX96" s="168"/>
      <c r="IBY96" s="167"/>
      <c r="IBZ96" s="168"/>
      <c r="ICA96" s="167"/>
      <c r="ICB96" s="168"/>
      <c r="ICC96" s="167"/>
      <c r="ICD96" s="168"/>
      <c r="ICE96" s="167"/>
      <c r="ICF96" s="168"/>
      <c r="ICG96" s="167"/>
      <c r="ICH96" s="168"/>
      <c r="ICI96" s="167"/>
      <c r="ICJ96" s="168"/>
      <c r="ICK96" s="167"/>
      <c r="ICL96" s="168"/>
      <c r="ICM96" s="167"/>
      <c r="ICN96" s="168"/>
      <c r="ICO96" s="167"/>
      <c r="ICP96" s="168"/>
      <c r="ICQ96" s="167"/>
      <c r="ICR96" s="168"/>
      <c r="ICS96" s="167"/>
      <c r="ICT96" s="168"/>
      <c r="ICU96" s="167"/>
      <c r="ICV96" s="168"/>
      <c r="ICW96" s="167"/>
      <c r="ICX96" s="168"/>
      <c r="ICY96" s="167"/>
      <c r="ICZ96" s="168"/>
      <c r="IDA96" s="167"/>
      <c r="IDB96" s="168"/>
      <c r="IDC96" s="167"/>
      <c r="IDD96" s="168"/>
      <c r="IDE96" s="167"/>
      <c r="IDF96" s="168"/>
      <c r="IDG96" s="167"/>
      <c r="IDH96" s="168"/>
      <c r="IDI96" s="167"/>
      <c r="IDJ96" s="168"/>
      <c r="IDK96" s="167"/>
      <c r="IDL96" s="168"/>
      <c r="IDM96" s="167"/>
      <c r="IDN96" s="168"/>
      <c r="IDO96" s="167"/>
      <c r="IDP96" s="168"/>
      <c r="IDQ96" s="167"/>
      <c r="IDR96" s="168"/>
      <c r="IDS96" s="167"/>
      <c r="IDT96" s="168"/>
      <c r="IDU96" s="167"/>
      <c r="IDV96" s="168"/>
      <c r="IDW96" s="167"/>
      <c r="IDX96" s="168"/>
      <c r="IDY96" s="167"/>
      <c r="IDZ96" s="168"/>
      <c r="IEA96" s="167"/>
      <c r="IEB96" s="168"/>
      <c r="IEC96" s="167"/>
      <c r="IED96" s="168"/>
      <c r="IEE96" s="167"/>
      <c r="IEF96" s="168"/>
      <c r="IEG96" s="167"/>
      <c r="IEH96" s="168"/>
      <c r="IEI96" s="167"/>
      <c r="IEJ96" s="168"/>
      <c r="IEK96" s="167"/>
      <c r="IEL96" s="168"/>
      <c r="IEM96" s="167"/>
      <c r="IEN96" s="168"/>
      <c r="IEO96" s="167"/>
      <c r="IEP96" s="168"/>
      <c r="IEQ96" s="167"/>
      <c r="IER96" s="168"/>
      <c r="IES96" s="167"/>
      <c r="IET96" s="168"/>
      <c r="IEU96" s="167"/>
      <c r="IEV96" s="168"/>
      <c r="IEW96" s="167"/>
      <c r="IEX96" s="168"/>
      <c r="IEY96" s="167"/>
      <c r="IEZ96" s="168"/>
      <c r="IFA96" s="167"/>
      <c r="IFB96" s="168"/>
      <c r="IFC96" s="167"/>
      <c r="IFD96" s="168"/>
      <c r="IFE96" s="167"/>
      <c r="IFF96" s="168"/>
      <c r="IFG96" s="167"/>
      <c r="IFH96" s="168"/>
      <c r="IFI96" s="167"/>
      <c r="IFJ96" s="168"/>
      <c r="IFK96" s="167"/>
      <c r="IFL96" s="168"/>
      <c r="IFM96" s="167"/>
      <c r="IFN96" s="168"/>
      <c r="IFO96" s="167"/>
      <c r="IFP96" s="168"/>
      <c r="IFQ96" s="167"/>
      <c r="IFR96" s="168"/>
      <c r="IFS96" s="167"/>
      <c r="IFT96" s="168"/>
      <c r="IFU96" s="167"/>
      <c r="IFV96" s="168"/>
      <c r="IFW96" s="167"/>
      <c r="IFX96" s="168"/>
      <c r="IFY96" s="167"/>
      <c r="IFZ96" s="168"/>
      <c r="IGA96" s="167"/>
      <c r="IGB96" s="168"/>
      <c r="IGC96" s="167"/>
      <c r="IGD96" s="168"/>
      <c r="IGE96" s="167"/>
      <c r="IGF96" s="168"/>
      <c r="IGG96" s="167"/>
      <c r="IGH96" s="168"/>
      <c r="IGI96" s="167"/>
      <c r="IGJ96" s="168"/>
      <c r="IGK96" s="167"/>
      <c r="IGL96" s="168"/>
      <c r="IGM96" s="167"/>
      <c r="IGN96" s="168"/>
      <c r="IGO96" s="167"/>
      <c r="IGP96" s="168"/>
      <c r="IGQ96" s="167"/>
      <c r="IGR96" s="168"/>
      <c r="IGS96" s="167"/>
      <c r="IGT96" s="168"/>
      <c r="IGU96" s="167"/>
      <c r="IGV96" s="168"/>
      <c r="IGW96" s="167"/>
      <c r="IGX96" s="168"/>
      <c r="IGY96" s="167"/>
      <c r="IGZ96" s="168"/>
      <c r="IHA96" s="167"/>
      <c r="IHB96" s="168"/>
      <c r="IHC96" s="167"/>
      <c r="IHD96" s="168"/>
      <c r="IHE96" s="167"/>
      <c r="IHF96" s="168"/>
      <c r="IHG96" s="167"/>
      <c r="IHH96" s="168"/>
      <c r="IHI96" s="167"/>
      <c r="IHJ96" s="168"/>
      <c r="IHK96" s="167"/>
      <c r="IHL96" s="168"/>
      <c r="IHM96" s="167"/>
      <c r="IHN96" s="168"/>
      <c r="IHO96" s="167"/>
      <c r="IHP96" s="168"/>
      <c r="IHQ96" s="167"/>
      <c r="IHR96" s="168"/>
      <c r="IHS96" s="167"/>
      <c r="IHT96" s="168"/>
      <c r="IHU96" s="167"/>
      <c r="IHV96" s="168"/>
      <c r="IHW96" s="167"/>
      <c r="IHX96" s="168"/>
      <c r="IHY96" s="167"/>
      <c r="IHZ96" s="168"/>
      <c r="IIA96" s="167"/>
      <c r="IIB96" s="168"/>
      <c r="IIC96" s="167"/>
      <c r="IID96" s="168"/>
      <c r="IIE96" s="167"/>
      <c r="IIF96" s="168"/>
      <c r="IIG96" s="167"/>
      <c r="IIH96" s="168"/>
      <c r="III96" s="167"/>
      <c r="IIJ96" s="168"/>
      <c r="IIK96" s="167"/>
      <c r="IIL96" s="168"/>
      <c r="IIM96" s="167"/>
      <c r="IIN96" s="168"/>
      <c r="IIO96" s="167"/>
      <c r="IIP96" s="168"/>
      <c r="IIQ96" s="167"/>
      <c r="IIR96" s="168"/>
      <c r="IIS96" s="167"/>
      <c r="IIT96" s="168"/>
      <c r="IIU96" s="167"/>
      <c r="IIV96" s="168"/>
      <c r="IIW96" s="167"/>
      <c r="IIX96" s="168"/>
      <c r="IIY96" s="167"/>
      <c r="IIZ96" s="168"/>
      <c r="IJA96" s="167"/>
      <c r="IJB96" s="168"/>
      <c r="IJC96" s="167"/>
      <c r="IJD96" s="168"/>
      <c r="IJE96" s="167"/>
      <c r="IJF96" s="168"/>
      <c r="IJG96" s="167"/>
      <c r="IJH96" s="168"/>
      <c r="IJI96" s="167"/>
      <c r="IJJ96" s="168"/>
      <c r="IJK96" s="167"/>
      <c r="IJL96" s="168"/>
      <c r="IJM96" s="167"/>
      <c r="IJN96" s="168"/>
      <c r="IJO96" s="167"/>
      <c r="IJP96" s="168"/>
      <c r="IJQ96" s="167"/>
      <c r="IJR96" s="168"/>
      <c r="IJS96" s="167"/>
      <c r="IJT96" s="168"/>
      <c r="IJU96" s="167"/>
      <c r="IJV96" s="168"/>
      <c r="IJW96" s="167"/>
      <c r="IJX96" s="168"/>
      <c r="IJY96" s="167"/>
      <c r="IJZ96" s="168"/>
      <c r="IKA96" s="167"/>
      <c r="IKB96" s="168"/>
      <c r="IKC96" s="167"/>
      <c r="IKD96" s="168"/>
      <c r="IKE96" s="167"/>
      <c r="IKF96" s="168"/>
      <c r="IKG96" s="167"/>
      <c r="IKH96" s="168"/>
      <c r="IKI96" s="167"/>
      <c r="IKJ96" s="168"/>
      <c r="IKK96" s="167"/>
      <c r="IKL96" s="168"/>
      <c r="IKM96" s="167"/>
      <c r="IKN96" s="168"/>
      <c r="IKO96" s="167"/>
      <c r="IKP96" s="168"/>
      <c r="IKQ96" s="167"/>
      <c r="IKR96" s="168"/>
      <c r="IKS96" s="167"/>
      <c r="IKT96" s="168"/>
      <c r="IKU96" s="167"/>
      <c r="IKV96" s="168"/>
      <c r="IKW96" s="167"/>
      <c r="IKX96" s="168"/>
      <c r="IKY96" s="167"/>
      <c r="IKZ96" s="168"/>
      <c r="ILA96" s="167"/>
      <c r="ILB96" s="168"/>
      <c r="ILC96" s="167"/>
      <c r="ILD96" s="168"/>
      <c r="ILE96" s="167"/>
      <c r="ILF96" s="168"/>
      <c r="ILG96" s="167"/>
      <c r="ILH96" s="168"/>
      <c r="ILI96" s="167"/>
      <c r="ILJ96" s="168"/>
      <c r="ILK96" s="167"/>
      <c r="ILL96" s="168"/>
      <c r="ILM96" s="167"/>
      <c r="ILN96" s="168"/>
      <c r="ILO96" s="167"/>
      <c r="ILP96" s="168"/>
      <c r="ILQ96" s="167"/>
      <c r="ILR96" s="168"/>
      <c r="ILS96" s="167"/>
      <c r="ILT96" s="168"/>
      <c r="ILU96" s="167"/>
      <c r="ILV96" s="168"/>
      <c r="ILW96" s="167"/>
      <c r="ILX96" s="168"/>
      <c r="ILY96" s="167"/>
      <c r="ILZ96" s="168"/>
      <c r="IMA96" s="167"/>
      <c r="IMB96" s="168"/>
      <c r="IMC96" s="167"/>
      <c r="IMD96" s="168"/>
      <c r="IME96" s="167"/>
      <c r="IMF96" s="168"/>
      <c r="IMG96" s="167"/>
      <c r="IMH96" s="168"/>
      <c r="IMI96" s="167"/>
      <c r="IMJ96" s="168"/>
      <c r="IMK96" s="167"/>
      <c r="IML96" s="168"/>
      <c r="IMM96" s="167"/>
      <c r="IMN96" s="168"/>
      <c r="IMO96" s="167"/>
      <c r="IMP96" s="168"/>
      <c r="IMQ96" s="167"/>
      <c r="IMR96" s="168"/>
      <c r="IMS96" s="167"/>
      <c r="IMT96" s="168"/>
      <c r="IMU96" s="167"/>
      <c r="IMV96" s="168"/>
      <c r="IMW96" s="167"/>
      <c r="IMX96" s="168"/>
      <c r="IMY96" s="167"/>
      <c r="IMZ96" s="168"/>
      <c r="INA96" s="167"/>
      <c r="INB96" s="168"/>
      <c r="INC96" s="167"/>
      <c r="IND96" s="168"/>
      <c r="INE96" s="167"/>
      <c r="INF96" s="168"/>
      <c r="ING96" s="167"/>
      <c r="INH96" s="168"/>
      <c r="INI96" s="167"/>
      <c r="INJ96" s="168"/>
      <c r="INK96" s="167"/>
      <c r="INL96" s="168"/>
      <c r="INM96" s="167"/>
      <c r="INN96" s="168"/>
      <c r="INO96" s="167"/>
      <c r="INP96" s="168"/>
      <c r="INQ96" s="167"/>
      <c r="INR96" s="168"/>
      <c r="INS96" s="167"/>
      <c r="INT96" s="168"/>
      <c r="INU96" s="167"/>
      <c r="INV96" s="168"/>
      <c r="INW96" s="167"/>
      <c r="INX96" s="168"/>
      <c r="INY96" s="167"/>
      <c r="INZ96" s="168"/>
      <c r="IOA96" s="167"/>
      <c r="IOB96" s="168"/>
      <c r="IOC96" s="167"/>
      <c r="IOD96" s="168"/>
      <c r="IOE96" s="167"/>
      <c r="IOF96" s="168"/>
      <c r="IOG96" s="167"/>
      <c r="IOH96" s="168"/>
      <c r="IOI96" s="167"/>
      <c r="IOJ96" s="168"/>
      <c r="IOK96" s="167"/>
      <c r="IOL96" s="168"/>
      <c r="IOM96" s="167"/>
      <c r="ION96" s="168"/>
      <c r="IOO96" s="167"/>
      <c r="IOP96" s="168"/>
      <c r="IOQ96" s="167"/>
      <c r="IOR96" s="168"/>
      <c r="IOS96" s="167"/>
      <c r="IOT96" s="168"/>
      <c r="IOU96" s="167"/>
      <c r="IOV96" s="168"/>
      <c r="IOW96" s="167"/>
      <c r="IOX96" s="168"/>
      <c r="IOY96" s="167"/>
      <c r="IOZ96" s="168"/>
      <c r="IPA96" s="167"/>
      <c r="IPB96" s="168"/>
      <c r="IPC96" s="167"/>
      <c r="IPD96" s="168"/>
      <c r="IPE96" s="167"/>
      <c r="IPF96" s="168"/>
      <c r="IPG96" s="167"/>
      <c r="IPH96" s="168"/>
      <c r="IPI96" s="167"/>
      <c r="IPJ96" s="168"/>
      <c r="IPK96" s="167"/>
      <c r="IPL96" s="168"/>
      <c r="IPM96" s="167"/>
      <c r="IPN96" s="168"/>
      <c r="IPO96" s="167"/>
      <c r="IPP96" s="168"/>
      <c r="IPQ96" s="167"/>
      <c r="IPR96" s="168"/>
      <c r="IPS96" s="167"/>
      <c r="IPT96" s="168"/>
      <c r="IPU96" s="167"/>
      <c r="IPV96" s="168"/>
      <c r="IPW96" s="167"/>
      <c r="IPX96" s="168"/>
      <c r="IPY96" s="167"/>
      <c r="IPZ96" s="168"/>
      <c r="IQA96" s="167"/>
      <c r="IQB96" s="168"/>
      <c r="IQC96" s="167"/>
      <c r="IQD96" s="168"/>
      <c r="IQE96" s="167"/>
      <c r="IQF96" s="168"/>
      <c r="IQG96" s="167"/>
      <c r="IQH96" s="168"/>
      <c r="IQI96" s="167"/>
      <c r="IQJ96" s="168"/>
      <c r="IQK96" s="167"/>
      <c r="IQL96" s="168"/>
      <c r="IQM96" s="167"/>
      <c r="IQN96" s="168"/>
      <c r="IQO96" s="167"/>
      <c r="IQP96" s="168"/>
      <c r="IQQ96" s="167"/>
      <c r="IQR96" s="168"/>
      <c r="IQS96" s="167"/>
      <c r="IQT96" s="168"/>
      <c r="IQU96" s="167"/>
      <c r="IQV96" s="168"/>
      <c r="IQW96" s="167"/>
      <c r="IQX96" s="168"/>
      <c r="IQY96" s="167"/>
      <c r="IQZ96" s="168"/>
      <c r="IRA96" s="167"/>
      <c r="IRB96" s="168"/>
      <c r="IRC96" s="167"/>
      <c r="IRD96" s="168"/>
      <c r="IRE96" s="167"/>
      <c r="IRF96" s="168"/>
      <c r="IRG96" s="167"/>
      <c r="IRH96" s="168"/>
      <c r="IRI96" s="167"/>
      <c r="IRJ96" s="168"/>
      <c r="IRK96" s="167"/>
      <c r="IRL96" s="168"/>
      <c r="IRM96" s="167"/>
      <c r="IRN96" s="168"/>
      <c r="IRO96" s="167"/>
      <c r="IRP96" s="168"/>
      <c r="IRQ96" s="167"/>
      <c r="IRR96" s="168"/>
      <c r="IRS96" s="167"/>
      <c r="IRT96" s="168"/>
      <c r="IRU96" s="167"/>
      <c r="IRV96" s="168"/>
      <c r="IRW96" s="167"/>
      <c r="IRX96" s="168"/>
      <c r="IRY96" s="167"/>
      <c r="IRZ96" s="168"/>
      <c r="ISA96" s="167"/>
      <c r="ISB96" s="168"/>
      <c r="ISC96" s="167"/>
      <c r="ISD96" s="168"/>
      <c r="ISE96" s="167"/>
      <c r="ISF96" s="168"/>
      <c r="ISG96" s="167"/>
      <c r="ISH96" s="168"/>
      <c r="ISI96" s="167"/>
      <c r="ISJ96" s="168"/>
      <c r="ISK96" s="167"/>
      <c r="ISL96" s="168"/>
      <c r="ISM96" s="167"/>
      <c r="ISN96" s="168"/>
      <c r="ISO96" s="167"/>
      <c r="ISP96" s="168"/>
      <c r="ISQ96" s="167"/>
      <c r="ISR96" s="168"/>
      <c r="ISS96" s="167"/>
      <c r="IST96" s="168"/>
      <c r="ISU96" s="167"/>
      <c r="ISV96" s="168"/>
      <c r="ISW96" s="167"/>
      <c r="ISX96" s="168"/>
      <c r="ISY96" s="167"/>
      <c r="ISZ96" s="168"/>
      <c r="ITA96" s="167"/>
      <c r="ITB96" s="168"/>
      <c r="ITC96" s="167"/>
      <c r="ITD96" s="168"/>
      <c r="ITE96" s="167"/>
      <c r="ITF96" s="168"/>
      <c r="ITG96" s="167"/>
      <c r="ITH96" s="168"/>
      <c r="ITI96" s="167"/>
      <c r="ITJ96" s="168"/>
      <c r="ITK96" s="167"/>
      <c r="ITL96" s="168"/>
      <c r="ITM96" s="167"/>
      <c r="ITN96" s="168"/>
      <c r="ITO96" s="167"/>
      <c r="ITP96" s="168"/>
      <c r="ITQ96" s="167"/>
      <c r="ITR96" s="168"/>
      <c r="ITS96" s="167"/>
      <c r="ITT96" s="168"/>
      <c r="ITU96" s="167"/>
      <c r="ITV96" s="168"/>
      <c r="ITW96" s="167"/>
      <c r="ITX96" s="168"/>
      <c r="ITY96" s="167"/>
      <c r="ITZ96" s="168"/>
      <c r="IUA96" s="167"/>
      <c r="IUB96" s="168"/>
      <c r="IUC96" s="167"/>
      <c r="IUD96" s="168"/>
      <c r="IUE96" s="167"/>
      <c r="IUF96" s="168"/>
      <c r="IUG96" s="167"/>
      <c r="IUH96" s="168"/>
      <c r="IUI96" s="167"/>
      <c r="IUJ96" s="168"/>
      <c r="IUK96" s="167"/>
      <c r="IUL96" s="168"/>
      <c r="IUM96" s="167"/>
      <c r="IUN96" s="168"/>
      <c r="IUO96" s="167"/>
      <c r="IUP96" s="168"/>
      <c r="IUQ96" s="167"/>
      <c r="IUR96" s="168"/>
      <c r="IUS96" s="167"/>
      <c r="IUT96" s="168"/>
      <c r="IUU96" s="167"/>
      <c r="IUV96" s="168"/>
      <c r="IUW96" s="167"/>
      <c r="IUX96" s="168"/>
      <c r="IUY96" s="167"/>
      <c r="IUZ96" s="168"/>
      <c r="IVA96" s="167"/>
      <c r="IVB96" s="168"/>
      <c r="IVC96" s="167"/>
      <c r="IVD96" s="168"/>
      <c r="IVE96" s="167"/>
      <c r="IVF96" s="168"/>
      <c r="IVG96" s="167"/>
      <c r="IVH96" s="168"/>
      <c r="IVI96" s="167"/>
      <c r="IVJ96" s="168"/>
      <c r="IVK96" s="167"/>
      <c r="IVL96" s="168"/>
      <c r="IVM96" s="167"/>
      <c r="IVN96" s="168"/>
      <c r="IVO96" s="167"/>
      <c r="IVP96" s="168"/>
      <c r="IVQ96" s="167"/>
      <c r="IVR96" s="168"/>
      <c r="IVS96" s="167"/>
      <c r="IVT96" s="168"/>
      <c r="IVU96" s="167"/>
      <c r="IVV96" s="168"/>
      <c r="IVW96" s="167"/>
      <c r="IVX96" s="168"/>
      <c r="IVY96" s="167"/>
      <c r="IVZ96" s="168"/>
      <c r="IWA96" s="167"/>
      <c r="IWB96" s="168"/>
      <c r="IWC96" s="167"/>
      <c r="IWD96" s="168"/>
      <c r="IWE96" s="167"/>
      <c r="IWF96" s="168"/>
      <c r="IWG96" s="167"/>
      <c r="IWH96" s="168"/>
      <c r="IWI96" s="167"/>
      <c r="IWJ96" s="168"/>
      <c r="IWK96" s="167"/>
      <c r="IWL96" s="168"/>
      <c r="IWM96" s="167"/>
      <c r="IWN96" s="168"/>
      <c r="IWO96" s="167"/>
      <c r="IWP96" s="168"/>
      <c r="IWQ96" s="167"/>
      <c r="IWR96" s="168"/>
      <c r="IWS96" s="167"/>
      <c r="IWT96" s="168"/>
      <c r="IWU96" s="167"/>
      <c r="IWV96" s="168"/>
      <c r="IWW96" s="167"/>
      <c r="IWX96" s="168"/>
      <c r="IWY96" s="167"/>
      <c r="IWZ96" s="168"/>
      <c r="IXA96" s="167"/>
      <c r="IXB96" s="168"/>
      <c r="IXC96" s="167"/>
      <c r="IXD96" s="168"/>
      <c r="IXE96" s="167"/>
      <c r="IXF96" s="168"/>
      <c r="IXG96" s="167"/>
      <c r="IXH96" s="168"/>
      <c r="IXI96" s="167"/>
      <c r="IXJ96" s="168"/>
      <c r="IXK96" s="167"/>
      <c r="IXL96" s="168"/>
      <c r="IXM96" s="167"/>
      <c r="IXN96" s="168"/>
      <c r="IXO96" s="167"/>
      <c r="IXP96" s="168"/>
      <c r="IXQ96" s="167"/>
      <c r="IXR96" s="168"/>
      <c r="IXS96" s="167"/>
      <c r="IXT96" s="168"/>
      <c r="IXU96" s="167"/>
      <c r="IXV96" s="168"/>
      <c r="IXW96" s="167"/>
      <c r="IXX96" s="168"/>
      <c r="IXY96" s="167"/>
      <c r="IXZ96" s="168"/>
      <c r="IYA96" s="167"/>
      <c r="IYB96" s="168"/>
      <c r="IYC96" s="167"/>
      <c r="IYD96" s="168"/>
      <c r="IYE96" s="167"/>
      <c r="IYF96" s="168"/>
      <c r="IYG96" s="167"/>
      <c r="IYH96" s="168"/>
      <c r="IYI96" s="167"/>
      <c r="IYJ96" s="168"/>
      <c r="IYK96" s="167"/>
      <c r="IYL96" s="168"/>
      <c r="IYM96" s="167"/>
      <c r="IYN96" s="168"/>
      <c r="IYO96" s="167"/>
      <c r="IYP96" s="168"/>
      <c r="IYQ96" s="167"/>
      <c r="IYR96" s="168"/>
      <c r="IYS96" s="167"/>
      <c r="IYT96" s="168"/>
      <c r="IYU96" s="167"/>
      <c r="IYV96" s="168"/>
      <c r="IYW96" s="167"/>
      <c r="IYX96" s="168"/>
      <c r="IYY96" s="167"/>
      <c r="IYZ96" s="168"/>
      <c r="IZA96" s="167"/>
      <c r="IZB96" s="168"/>
      <c r="IZC96" s="167"/>
      <c r="IZD96" s="168"/>
      <c r="IZE96" s="167"/>
      <c r="IZF96" s="168"/>
      <c r="IZG96" s="167"/>
      <c r="IZH96" s="168"/>
      <c r="IZI96" s="167"/>
      <c r="IZJ96" s="168"/>
      <c r="IZK96" s="167"/>
      <c r="IZL96" s="168"/>
      <c r="IZM96" s="167"/>
      <c r="IZN96" s="168"/>
      <c r="IZO96" s="167"/>
      <c r="IZP96" s="168"/>
      <c r="IZQ96" s="167"/>
      <c r="IZR96" s="168"/>
      <c r="IZS96" s="167"/>
      <c r="IZT96" s="168"/>
      <c r="IZU96" s="167"/>
      <c r="IZV96" s="168"/>
      <c r="IZW96" s="167"/>
      <c r="IZX96" s="168"/>
      <c r="IZY96" s="167"/>
      <c r="IZZ96" s="168"/>
      <c r="JAA96" s="167"/>
      <c r="JAB96" s="168"/>
      <c r="JAC96" s="167"/>
      <c r="JAD96" s="168"/>
      <c r="JAE96" s="167"/>
      <c r="JAF96" s="168"/>
      <c r="JAG96" s="167"/>
      <c r="JAH96" s="168"/>
      <c r="JAI96" s="167"/>
      <c r="JAJ96" s="168"/>
      <c r="JAK96" s="167"/>
      <c r="JAL96" s="168"/>
      <c r="JAM96" s="167"/>
      <c r="JAN96" s="168"/>
      <c r="JAO96" s="167"/>
      <c r="JAP96" s="168"/>
      <c r="JAQ96" s="167"/>
      <c r="JAR96" s="168"/>
      <c r="JAS96" s="167"/>
      <c r="JAT96" s="168"/>
      <c r="JAU96" s="167"/>
      <c r="JAV96" s="168"/>
      <c r="JAW96" s="167"/>
      <c r="JAX96" s="168"/>
      <c r="JAY96" s="167"/>
      <c r="JAZ96" s="168"/>
      <c r="JBA96" s="167"/>
      <c r="JBB96" s="168"/>
      <c r="JBC96" s="167"/>
      <c r="JBD96" s="168"/>
      <c r="JBE96" s="167"/>
      <c r="JBF96" s="168"/>
      <c r="JBG96" s="167"/>
      <c r="JBH96" s="168"/>
      <c r="JBI96" s="167"/>
      <c r="JBJ96" s="168"/>
      <c r="JBK96" s="167"/>
      <c r="JBL96" s="168"/>
      <c r="JBM96" s="167"/>
      <c r="JBN96" s="168"/>
      <c r="JBO96" s="167"/>
      <c r="JBP96" s="168"/>
      <c r="JBQ96" s="167"/>
      <c r="JBR96" s="168"/>
      <c r="JBS96" s="167"/>
      <c r="JBT96" s="168"/>
      <c r="JBU96" s="167"/>
      <c r="JBV96" s="168"/>
      <c r="JBW96" s="167"/>
      <c r="JBX96" s="168"/>
      <c r="JBY96" s="167"/>
      <c r="JBZ96" s="168"/>
      <c r="JCA96" s="167"/>
      <c r="JCB96" s="168"/>
      <c r="JCC96" s="167"/>
      <c r="JCD96" s="168"/>
      <c r="JCE96" s="167"/>
      <c r="JCF96" s="168"/>
      <c r="JCG96" s="167"/>
      <c r="JCH96" s="168"/>
      <c r="JCI96" s="167"/>
      <c r="JCJ96" s="168"/>
      <c r="JCK96" s="167"/>
      <c r="JCL96" s="168"/>
      <c r="JCM96" s="167"/>
      <c r="JCN96" s="168"/>
      <c r="JCO96" s="167"/>
      <c r="JCP96" s="168"/>
      <c r="JCQ96" s="167"/>
      <c r="JCR96" s="168"/>
      <c r="JCS96" s="167"/>
      <c r="JCT96" s="168"/>
      <c r="JCU96" s="167"/>
      <c r="JCV96" s="168"/>
      <c r="JCW96" s="167"/>
      <c r="JCX96" s="168"/>
      <c r="JCY96" s="167"/>
      <c r="JCZ96" s="168"/>
      <c r="JDA96" s="167"/>
      <c r="JDB96" s="168"/>
      <c r="JDC96" s="167"/>
      <c r="JDD96" s="168"/>
      <c r="JDE96" s="167"/>
      <c r="JDF96" s="168"/>
      <c r="JDG96" s="167"/>
      <c r="JDH96" s="168"/>
      <c r="JDI96" s="167"/>
      <c r="JDJ96" s="168"/>
      <c r="JDK96" s="167"/>
      <c r="JDL96" s="168"/>
      <c r="JDM96" s="167"/>
      <c r="JDN96" s="168"/>
      <c r="JDO96" s="167"/>
      <c r="JDP96" s="168"/>
      <c r="JDQ96" s="167"/>
      <c r="JDR96" s="168"/>
      <c r="JDS96" s="167"/>
      <c r="JDT96" s="168"/>
      <c r="JDU96" s="167"/>
      <c r="JDV96" s="168"/>
      <c r="JDW96" s="167"/>
      <c r="JDX96" s="168"/>
      <c r="JDY96" s="167"/>
      <c r="JDZ96" s="168"/>
      <c r="JEA96" s="167"/>
      <c r="JEB96" s="168"/>
      <c r="JEC96" s="167"/>
      <c r="JED96" s="168"/>
      <c r="JEE96" s="167"/>
      <c r="JEF96" s="168"/>
      <c r="JEG96" s="167"/>
      <c r="JEH96" s="168"/>
      <c r="JEI96" s="167"/>
      <c r="JEJ96" s="168"/>
      <c r="JEK96" s="167"/>
      <c r="JEL96" s="168"/>
      <c r="JEM96" s="167"/>
      <c r="JEN96" s="168"/>
      <c r="JEO96" s="167"/>
      <c r="JEP96" s="168"/>
      <c r="JEQ96" s="167"/>
      <c r="JER96" s="168"/>
      <c r="JES96" s="167"/>
      <c r="JET96" s="168"/>
      <c r="JEU96" s="167"/>
      <c r="JEV96" s="168"/>
      <c r="JEW96" s="167"/>
      <c r="JEX96" s="168"/>
      <c r="JEY96" s="167"/>
      <c r="JEZ96" s="168"/>
      <c r="JFA96" s="167"/>
      <c r="JFB96" s="168"/>
      <c r="JFC96" s="167"/>
      <c r="JFD96" s="168"/>
      <c r="JFE96" s="167"/>
      <c r="JFF96" s="168"/>
      <c r="JFG96" s="167"/>
      <c r="JFH96" s="168"/>
      <c r="JFI96" s="167"/>
      <c r="JFJ96" s="168"/>
      <c r="JFK96" s="167"/>
      <c r="JFL96" s="168"/>
      <c r="JFM96" s="167"/>
      <c r="JFN96" s="168"/>
      <c r="JFO96" s="167"/>
      <c r="JFP96" s="168"/>
      <c r="JFQ96" s="167"/>
      <c r="JFR96" s="168"/>
      <c r="JFS96" s="167"/>
      <c r="JFT96" s="168"/>
      <c r="JFU96" s="167"/>
      <c r="JFV96" s="168"/>
      <c r="JFW96" s="167"/>
      <c r="JFX96" s="168"/>
      <c r="JFY96" s="167"/>
      <c r="JFZ96" s="168"/>
      <c r="JGA96" s="167"/>
      <c r="JGB96" s="168"/>
      <c r="JGC96" s="167"/>
      <c r="JGD96" s="168"/>
      <c r="JGE96" s="167"/>
      <c r="JGF96" s="168"/>
      <c r="JGG96" s="167"/>
      <c r="JGH96" s="168"/>
      <c r="JGI96" s="167"/>
      <c r="JGJ96" s="168"/>
      <c r="JGK96" s="167"/>
      <c r="JGL96" s="168"/>
      <c r="JGM96" s="167"/>
      <c r="JGN96" s="168"/>
      <c r="JGO96" s="167"/>
      <c r="JGP96" s="168"/>
      <c r="JGQ96" s="167"/>
      <c r="JGR96" s="168"/>
      <c r="JGS96" s="167"/>
      <c r="JGT96" s="168"/>
      <c r="JGU96" s="167"/>
      <c r="JGV96" s="168"/>
      <c r="JGW96" s="167"/>
      <c r="JGX96" s="168"/>
      <c r="JGY96" s="167"/>
      <c r="JGZ96" s="168"/>
      <c r="JHA96" s="167"/>
      <c r="JHB96" s="168"/>
      <c r="JHC96" s="167"/>
      <c r="JHD96" s="168"/>
      <c r="JHE96" s="167"/>
      <c r="JHF96" s="168"/>
      <c r="JHG96" s="167"/>
      <c r="JHH96" s="168"/>
      <c r="JHI96" s="167"/>
      <c r="JHJ96" s="168"/>
      <c r="JHK96" s="167"/>
      <c r="JHL96" s="168"/>
      <c r="JHM96" s="167"/>
      <c r="JHN96" s="168"/>
      <c r="JHO96" s="167"/>
      <c r="JHP96" s="168"/>
      <c r="JHQ96" s="167"/>
      <c r="JHR96" s="168"/>
      <c r="JHS96" s="167"/>
      <c r="JHT96" s="168"/>
      <c r="JHU96" s="167"/>
      <c r="JHV96" s="168"/>
      <c r="JHW96" s="167"/>
      <c r="JHX96" s="168"/>
      <c r="JHY96" s="167"/>
      <c r="JHZ96" s="168"/>
      <c r="JIA96" s="167"/>
      <c r="JIB96" s="168"/>
      <c r="JIC96" s="167"/>
      <c r="JID96" s="168"/>
      <c r="JIE96" s="167"/>
      <c r="JIF96" s="168"/>
      <c r="JIG96" s="167"/>
      <c r="JIH96" s="168"/>
      <c r="JII96" s="167"/>
      <c r="JIJ96" s="168"/>
      <c r="JIK96" s="167"/>
      <c r="JIL96" s="168"/>
      <c r="JIM96" s="167"/>
      <c r="JIN96" s="168"/>
      <c r="JIO96" s="167"/>
      <c r="JIP96" s="168"/>
      <c r="JIQ96" s="167"/>
      <c r="JIR96" s="168"/>
      <c r="JIS96" s="167"/>
      <c r="JIT96" s="168"/>
      <c r="JIU96" s="167"/>
      <c r="JIV96" s="168"/>
      <c r="JIW96" s="167"/>
      <c r="JIX96" s="168"/>
      <c r="JIY96" s="167"/>
      <c r="JIZ96" s="168"/>
      <c r="JJA96" s="167"/>
      <c r="JJB96" s="168"/>
      <c r="JJC96" s="167"/>
      <c r="JJD96" s="168"/>
      <c r="JJE96" s="167"/>
      <c r="JJF96" s="168"/>
      <c r="JJG96" s="167"/>
      <c r="JJH96" s="168"/>
      <c r="JJI96" s="167"/>
      <c r="JJJ96" s="168"/>
      <c r="JJK96" s="167"/>
      <c r="JJL96" s="168"/>
      <c r="JJM96" s="167"/>
      <c r="JJN96" s="168"/>
      <c r="JJO96" s="167"/>
      <c r="JJP96" s="168"/>
      <c r="JJQ96" s="167"/>
      <c r="JJR96" s="168"/>
      <c r="JJS96" s="167"/>
      <c r="JJT96" s="168"/>
      <c r="JJU96" s="167"/>
      <c r="JJV96" s="168"/>
      <c r="JJW96" s="167"/>
      <c r="JJX96" s="168"/>
      <c r="JJY96" s="167"/>
      <c r="JJZ96" s="168"/>
      <c r="JKA96" s="167"/>
      <c r="JKB96" s="168"/>
      <c r="JKC96" s="167"/>
      <c r="JKD96" s="168"/>
      <c r="JKE96" s="167"/>
      <c r="JKF96" s="168"/>
      <c r="JKG96" s="167"/>
      <c r="JKH96" s="168"/>
      <c r="JKI96" s="167"/>
      <c r="JKJ96" s="168"/>
      <c r="JKK96" s="167"/>
      <c r="JKL96" s="168"/>
      <c r="JKM96" s="167"/>
      <c r="JKN96" s="168"/>
      <c r="JKO96" s="167"/>
      <c r="JKP96" s="168"/>
      <c r="JKQ96" s="167"/>
      <c r="JKR96" s="168"/>
      <c r="JKS96" s="167"/>
      <c r="JKT96" s="168"/>
      <c r="JKU96" s="167"/>
      <c r="JKV96" s="168"/>
      <c r="JKW96" s="167"/>
      <c r="JKX96" s="168"/>
      <c r="JKY96" s="167"/>
      <c r="JKZ96" s="168"/>
      <c r="JLA96" s="167"/>
      <c r="JLB96" s="168"/>
      <c r="JLC96" s="167"/>
      <c r="JLD96" s="168"/>
      <c r="JLE96" s="167"/>
      <c r="JLF96" s="168"/>
      <c r="JLG96" s="167"/>
      <c r="JLH96" s="168"/>
      <c r="JLI96" s="167"/>
      <c r="JLJ96" s="168"/>
      <c r="JLK96" s="167"/>
      <c r="JLL96" s="168"/>
      <c r="JLM96" s="167"/>
      <c r="JLN96" s="168"/>
      <c r="JLO96" s="167"/>
      <c r="JLP96" s="168"/>
      <c r="JLQ96" s="167"/>
      <c r="JLR96" s="168"/>
      <c r="JLS96" s="167"/>
      <c r="JLT96" s="168"/>
      <c r="JLU96" s="167"/>
      <c r="JLV96" s="168"/>
      <c r="JLW96" s="167"/>
      <c r="JLX96" s="168"/>
      <c r="JLY96" s="167"/>
      <c r="JLZ96" s="168"/>
      <c r="JMA96" s="167"/>
      <c r="JMB96" s="168"/>
      <c r="JMC96" s="167"/>
      <c r="JMD96" s="168"/>
      <c r="JME96" s="167"/>
      <c r="JMF96" s="168"/>
      <c r="JMG96" s="167"/>
      <c r="JMH96" s="168"/>
      <c r="JMI96" s="167"/>
      <c r="JMJ96" s="168"/>
      <c r="JMK96" s="167"/>
      <c r="JML96" s="168"/>
      <c r="JMM96" s="167"/>
      <c r="JMN96" s="168"/>
      <c r="JMO96" s="167"/>
      <c r="JMP96" s="168"/>
      <c r="JMQ96" s="167"/>
      <c r="JMR96" s="168"/>
      <c r="JMS96" s="167"/>
      <c r="JMT96" s="168"/>
      <c r="JMU96" s="167"/>
      <c r="JMV96" s="168"/>
      <c r="JMW96" s="167"/>
      <c r="JMX96" s="168"/>
      <c r="JMY96" s="167"/>
      <c r="JMZ96" s="168"/>
      <c r="JNA96" s="167"/>
      <c r="JNB96" s="168"/>
      <c r="JNC96" s="167"/>
      <c r="JND96" s="168"/>
      <c r="JNE96" s="167"/>
      <c r="JNF96" s="168"/>
      <c r="JNG96" s="167"/>
      <c r="JNH96" s="168"/>
      <c r="JNI96" s="167"/>
      <c r="JNJ96" s="168"/>
      <c r="JNK96" s="167"/>
      <c r="JNL96" s="168"/>
      <c r="JNM96" s="167"/>
      <c r="JNN96" s="168"/>
      <c r="JNO96" s="167"/>
      <c r="JNP96" s="168"/>
      <c r="JNQ96" s="167"/>
      <c r="JNR96" s="168"/>
      <c r="JNS96" s="167"/>
      <c r="JNT96" s="168"/>
      <c r="JNU96" s="167"/>
      <c r="JNV96" s="168"/>
      <c r="JNW96" s="167"/>
      <c r="JNX96" s="168"/>
      <c r="JNY96" s="167"/>
      <c r="JNZ96" s="168"/>
      <c r="JOA96" s="167"/>
      <c r="JOB96" s="168"/>
      <c r="JOC96" s="167"/>
      <c r="JOD96" s="168"/>
      <c r="JOE96" s="167"/>
      <c r="JOF96" s="168"/>
      <c r="JOG96" s="167"/>
      <c r="JOH96" s="168"/>
      <c r="JOI96" s="167"/>
      <c r="JOJ96" s="168"/>
      <c r="JOK96" s="167"/>
      <c r="JOL96" s="168"/>
      <c r="JOM96" s="167"/>
      <c r="JON96" s="168"/>
      <c r="JOO96" s="167"/>
      <c r="JOP96" s="168"/>
      <c r="JOQ96" s="167"/>
      <c r="JOR96" s="168"/>
      <c r="JOS96" s="167"/>
      <c r="JOT96" s="168"/>
      <c r="JOU96" s="167"/>
      <c r="JOV96" s="168"/>
      <c r="JOW96" s="167"/>
      <c r="JOX96" s="168"/>
      <c r="JOY96" s="167"/>
      <c r="JOZ96" s="168"/>
      <c r="JPA96" s="167"/>
      <c r="JPB96" s="168"/>
      <c r="JPC96" s="167"/>
      <c r="JPD96" s="168"/>
      <c r="JPE96" s="167"/>
      <c r="JPF96" s="168"/>
      <c r="JPG96" s="167"/>
      <c r="JPH96" s="168"/>
      <c r="JPI96" s="167"/>
      <c r="JPJ96" s="168"/>
      <c r="JPK96" s="167"/>
      <c r="JPL96" s="168"/>
      <c r="JPM96" s="167"/>
      <c r="JPN96" s="168"/>
      <c r="JPO96" s="167"/>
      <c r="JPP96" s="168"/>
      <c r="JPQ96" s="167"/>
      <c r="JPR96" s="168"/>
      <c r="JPS96" s="167"/>
      <c r="JPT96" s="168"/>
      <c r="JPU96" s="167"/>
      <c r="JPV96" s="168"/>
      <c r="JPW96" s="167"/>
      <c r="JPX96" s="168"/>
      <c r="JPY96" s="167"/>
      <c r="JPZ96" s="168"/>
      <c r="JQA96" s="167"/>
      <c r="JQB96" s="168"/>
      <c r="JQC96" s="167"/>
      <c r="JQD96" s="168"/>
      <c r="JQE96" s="167"/>
      <c r="JQF96" s="168"/>
      <c r="JQG96" s="167"/>
      <c r="JQH96" s="168"/>
      <c r="JQI96" s="167"/>
      <c r="JQJ96" s="168"/>
      <c r="JQK96" s="167"/>
      <c r="JQL96" s="168"/>
      <c r="JQM96" s="167"/>
      <c r="JQN96" s="168"/>
      <c r="JQO96" s="167"/>
      <c r="JQP96" s="168"/>
      <c r="JQQ96" s="167"/>
      <c r="JQR96" s="168"/>
      <c r="JQS96" s="167"/>
      <c r="JQT96" s="168"/>
      <c r="JQU96" s="167"/>
      <c r="JQV96" s="168"/>
      <c r="JQW96" s="167"/>
      <c r="JQX96" s="168"/>
      <c r="JQY96" s="167"/>
      <c r="JQZ96" s="168"/>
      <c r="JRA96" s="167"/>
      <c r="JRB96" s="168"/>
      <c r="JRC96" s="167"/>
      <c r="JRD96" s="168"/>
      <c r="JRE96" s="167"/>
      <c r="JRF96" s="168"/>
      <c r="JRG96" s="167"/>
      <c r="JRH96" s="168"/>
      <c r="JRI96" s="167"/>
      <c r="JRJ96" s="168"/>
      <c r="JRK96" s="167"/>
      <c r="JRL96" s="168"/>
      <c r="JRM96" s="167"/>
      <c r="JRN96" s="168"/>
      <c r="JRO96" s="167"/>
      <c r="JRP96" s="168"/>
      <c r="JRQ96" s="167"/>
      <c r="JRR96" s="168"/>
      <c r="JRS96" s="167"/>
      <c r="JRT96" s="168"/>
      <c r="JRU96" s="167"/>
      <c r="JRV96" s="168"/>
      <c r="JRW96" s="167"/>
      <c r="JRX96" s="168"/>
      <c r="JRY96" s="167"/>
      <c r="JRZ96" s="168"/>
      <c r="JSA96" s="167"/>
      <c r="JSB96" s="168"/>
      <c r="JSC96" s="167"/>
      <c r="JSD96" s="168"/>
      <c r="JSE96" s="167"/>
      <c r="JSF96" s="168"/>
      <c r="JSG96" s="167"/>
      <c r="JSH96" s="168"/>
      <c r="JSI96" s="167"/>
      <c r="JSJ96" s="168"/>
      <c r="JSK96" s="167"/>
      <c r="JSL96" s="168"/>
      <c r="JSM96" s="167"/>
      <c r="JSN96" s="168"/>
      <c r="JSO96" s="167"/>
      <c r="JSP96" s="168"/>
      <c r="JSQ96" s="167"/>
      <c r="JSR96" s="168"/>
      <c r="JSS96" s="167"/>
      <c r="JST96" s="168"/>
      <c r="JSU96" s="167"/>
      <c r="JSV96" s="168"/>
      <c r="JSW96" s="167"/>
      <c r="JSX96" s="168"/>
      <c r="JSY96" s="167"/>
      <c r="JSZ96" s="168"/>
      <c r="JTA96" s="167"/>
      <c r="JTB96" s="168"/>
      <c r="JTC96" s="167"/>
      <c r="JTD96" s="168"/>
      <c r="JTE96" s="167"/>
      <c r="JTF96" s="168"/>
      <c r="JTG96" s="167"/>
      <c r="JTH96" s="168"/>
      <c r="JTI96" s="167"/>
      <c r="JTJ96" s="168"/>
      <c r="JTK96" s="167"/>
      <c r="JTL96" s="168"/>
      <c r="JTM96" s="167"/>
      <c r="JTN96" s="168"/>
      <c r="JTO96" s="167"/>
      <c r="JTP96" s="168"/>
      <c r="JTQ96" s="167"/>
      <c r="JTR96" s="168"/>
      <c r="JTS96" s="167"/>
      <c r="JTT96" s="168"/>
      <c r="JTU96" s="167"/>
      <c r="JTV96" s="168"/>
      <c r="JTW96" s="167"/>
      <c r="JTX96" s="168"/>
      <c r="JTY96" s="167"/>
      <c r="JTZ96" s="168"/>
      <c r="JUA96" s="167"/>
      <c r="JUB96" s="168"/>
      <c r="JUC96" s="167"/>
      <c r="JUD96" s="168"/>
      <c r="JUE96" s="167"/>
      <c r="JUF96" s="168"/>
      <c r="JUG96" s="167"/>
      <c r="JUH96" s="168"/>
      <c r="JUI96" s="167"/>
      <c r="JUJ96" s="168"/>
      <c r="JUK96" s="167"/>
      <c r="JUL96" s="168"/>
      <c r="JUM96" s="167"/>
      <c r="JUN96" s="168"/>
      <c r="JUO96" s="167"/>
      <c r="JUP96" s="168"/>
      <c r="JUQ96" s="167"/>
      <c r="JUR96" s="168"/>
      <c r="JUS96" s="167"/>
      <c r="JUT96" s="168"/>
      <c r="JUU96" s="167"/>
      <c r="JUV96" s="168"/>
      <c r="JUW96" s="167"/>
      <c r="JUX96" s="168"/>
      <c r="JUY96" s="167"/>
      <c r="JUZ96" s="168"/>
      <c r="JVA96" s="167"/>
      <c r="JVB96" s="168"/>
      <c r="JVC96" s="167"/>
      <c r="JVD96" s="168"/>
      <c r="JVE96" s="167"/>
      <c r="JVF96" s="168"/>
      <c r="JVG96" s="167"/>
      <c r="JVH96" s="168"/>
      <c r="JVI96" s="167"/>
      <c r="JVJ96" s="168"/>
      <c r="JVK96" s="167"/>
      <c r="JVL96" s="168"/>
      <c r="JVM96" s="167"/>
      <c r="JVN96" s="168"/>
      <c r="JVO96" s="167"/>
      <c r="JVP96" s="168"/>
      <c r="JVQ96" s="167"/>
      <c r="JVR96" s="168"/>
      <c r="JVS96" s="167"/>
      <c r="JVT96" s="168"/>
      <c r="JVU96" s="167"/>
      <c r="JVV96" s="168"/>
      <c r="JVW96" s="167"/>
      <c r="JVX96" s="168"/>
      <c r="JVY96" s="167"/>
      <c r="JVZ96" s="168"/>
      <c r="JWA96" s="167"/>
      <c r="JWB96" s="168"/>
      <c r="JWC96" s="167"/>
      <c r="JWD96" s="168"/>
      <c r="JWE96" s="167"/>
      <c r="JWF96" s="168"/>
      <c r="JWG96" s="167"/>
      <c r="JWH96" s="168"/>
      <c r="JWI96" s="167"/>
      <c r="JWJ96" s="168"/>
      <c r="JWK96" s="167"/>
      <c r="JWL96" s="168"/>
      <c r="JWM96" s="167"/>
      <c r="JWN96" s="168"/>
      <c r="JWO96" s="167"/>
      <c r="JWP96" s="168"/>
      <c r="JWQ96" s="167"/>
      <c r="JWR96" s="168"/>
      <c r="JWS96" s="167"/>
      <c r="JWT96" s="168"/>
      <c r="JWU96" s="167"/>
      <c r="JWV96" s="168"/>
      <c r="JWW96" s="167"/>
      <c r="JWX96" s="168"/>
      <c r="JWY96" s="167"/>
      <c r="JWZ96" s="168"/>
      <c r="JXA96" s="167"/>
      <c r="JXB96" s="168"/>
      <c r="JXC96" s="167"/>
      <c r="JXD96" s="168"/>
      <c r="JXE96" s="167"/>
      <c r="JXF96" s="168"/>
      <c r="JXG96" s="167"/>
      <c r="JXH96" s="168"/>
      <c r="JXI96" s="167"/>
      <c r="JXJ96" s="168"/>
      <c r="JXK96" s="167"/>
      <c r="JXL96" s="168"/>
      <c r="JXM96" s="167"/>
      <c r="JXN96" s="168"/>
      <c r="JXO96" s="167"/>
      <c r="JXP96" s="168"/>
      <c r="JXQ96" s="167"/>
      <c r="JXR96" s="168"/>
      <c r="JXS96" s="167"/>
      <c r="JXT96" s="168"/>
      <c r="JXU96" s="167"/>
      <c r="JXV96" s="168"/>
      <c r="JXW96" s="167"/>
      <c r="JXX96" s="168"/>
      <c r="JXY96" s="167"/>
      <c r="JXZ96" s="168"/>
      <c r="JYA96" s="167"/>
      <c r="JYB96" s="168"/>
      <c r="JYC96" s="167"/>
      <c r="JYD96" s="168"/>
      <c r="JYE96" s="167"/>
      <c r="JYF96" s="168"/>
      <c r="JYG96" s="167"/>
      <c r="JYH96" s="168"/>
      <c r="JYI96" s="167"/>
      <c r="JYJ96" s="168"/>
      <c r="JYK96" s="167"/>
      <c r="JYL96" s="168"/>
      <c r="JYM96" s="167"/>
      <c r="JYN96" s="168"/>
      <c r="JYO96" s="167"/>
      <c r="JYP96" s="168"/>
      <c r="JYQ96" s="167"/>
      <c r="JYR96" s="168"/>
      <c r="JYS96" s="167"/>
      <c r="JYT96" s="168"/>
      <c r="JYU96" s="167"/>
      <c r="JYV96" s="168"/>
      <c r="JYW96" s="167"/>
      <c r="JYX96" s="168"/>
      <c r="JYY96" s="167"/>
      <c r="JYZ96" s="168"/>
      <c r="JZA96" s="167"/>
      <c r="JZB96" s="168"/>
      <c r="JZC96" s="167"/>
      <c r="JZD96" s="168"/>
      <c r="JZE96" s="167"/>
      <c r="JZF96" s="168"/>
      <c r="JZG96" s="167"/>
      <c r="JZH96" s="168"/>
      <c r="JZI96" s="167"/>
      <c r="JZJ96" s="168"/>
      <c r="JZK96" s="167"/>
      <c r="JZL96" s="168"/>
      <c r="JZM96" s="167"/>
      <c r="JZN96" s="168"/>
      <c r="JZO96" s="167"/>
      <c r="JZP96" s="168"/>
      <c r="JZQ96" s="167"/>
      <c r="JZR96" s="168"/>
      <c r="JZS96" s="167"/>
      <c r="JZT96" s="168"/>
      <c r="JZU96" s="167"/>
      <c r="JZV96" s="168"/>
      <c r="JZW96" s="167"/>
      <c r="JZX96" s="168"/>
      <c r="JZY96" s="167"/>
      <c r="JZZ96" s="168"/>
      <c r="KAA96" s="167"/>
      <c r="KAB96" s="168"/>
      <c r="KAC96" s="167"/>
      <c r="KAD96" s="168"/>
      <c r="KAE96" s="167"/>
      <c r="KAF96" s="168"/>
      <c r="KAG96" s="167"/>
      <c r="KAH96" s="168"/>
      <c r="KAI96" s="167"/>
      <c r="KAJ96" s="168"/>
      <c r="KAK96" s="167"/>
      <c r="KAL96" s="168"/>
      <c r="KAM96" s="167"/>
      <c r="KAN96" s="168"/>
      <c r="KAO96" s="167"/>
      <c r="KAP96" s="168"/>
      <c r="KAQ96" s="167"/>
      <c r="KAR96" s="168"/>
      <c r="KAS96" s="167"/>
      <c r="KAT96" s="168"/>
      <c r="KAU96" s="167"/>
      <c r="KAV96" s="168"/>
      <c r="KAW96" s="167"/>
      <c r="KAX96" s="168"/>
      <c r="KAY96" s="167"/>
      <c r="KAZ96" s="168"/>
      <c r="KBA96" s="167"/>
      <c r="KBB96" s="168"/>
      <c r="KBC96" s="167"/>
      <c r="KBD96" s="168"/>
      <c r="KBE96" s="167"/>
      <c r="KBF96" s="168"/>
      <c r="KBG96" s="167"/>
      <c r="KBH96" s="168"/>
      <c r="KBI96" s="167"/>
      <c r="KBJ96" s="168"/>
      <c r="KBK96" s="167"/>
      <c r="KBL96" s="168"/>
      <c r="KBM96" s="167"/>
      <c r="KBN96" s="168"/>
      <c r="KBO96" s="167"/>
      <c r="KBP96" s="168"/>
      <c r="KBQ96" s="167"/>
      <c r="KBR96" s="168"/>
      <c r="KBS96" s="167"/>
      <c r="KBT96" s="168"/>
      <c r="KBU96" s="167"/>
      <c r="KBV96" s="168"/>
      <c r="KBW96" s="167"/>
      <c r="KBX96" s="168"/>
      <c r="KBY96" s="167"/>
      <c r="KBZ96" s="168"/>
      <c r="KCA96" s="167"/>
      <c r="KCB96" s="168"/>
      <c r="KCC96" s="167"/>
      <c r="KCD96" s="168"/>
      <c r="KCE96" s="167"/>
      <c r="KCF96" s="168"/>
      <c r="KCG96" s="167"/>
      <c r="KCH96" s="168"/>
      <c r="KCI96" s="167"/>
      <c r="KCJ96" s="168"/>
      <c r="KCK96" s="167"/>
      <c r="KCL96" s="168"/>
      <c r="KCM96" s="167"/>
      <c r="KCN96" s="168"/>
      <c r="KCO96" s="167"/>
      <c r="KCP96" s="168"/>
      <c r="KCQ96" s="167"/>
      <c r="KCR96" s="168"/>
      <c r="KCS96" s="167"/>
      <c r="KCT96" s="168"/>
      <c r="KCU96" s="167"/>
      <c r="KCV96" s="168"/>
      <c r="KCW96" s="167"/>
      <c r="KCX96" s="168"/>
      <c r="KCY96" s="167"/>
      <c r="KCZ96" s="168"/>
      <c r="KDA96" s="167"/>
      <c r="KDB96" s="168"/>
      <c r="KDC96" s="167"/>
      <c r="KDD96" s="168"/>
      <c r="KDE96" s="167"/>
      <c r="KDF96" s="168"/>
      <c r="KDG96" s="167"/>
      <c r="KDH96" s="168"/>
      <c r="KDI96" s="167"/>
      <c r="KDJ96" s="168"/>
      <c r="KDK96" s="167"/>
      <c r="KDL96" s="168"/>
      <c r="KDM96" s="167"/>
      <c r="KDN96" s="168"/>
      <c r="KDO96" s="167"/>
      <c r="KDP96" s="168"/>
      <c r="KDQ96" s="167"/>
      <c r="KDR96" s="168"/>
      <c r="KDS96" s="167"/>
      <c r="KDT96" s="168"/>
      <c r="KDU96" s="167"/>
      <c r="KDV96" s="168"/>
      <c r="KDW96" s="167"/>
      <c r="KDX96" s="168"/>
      <c r="KDY96" s="167"/>
      <c r="KDZ96" s="168"/>
      <c r="KEA96" s="167"/>
      <c r="KEB96" s="168"/>
      <c r="KEC96" s="167"/>
      <c r="KED96" s="168"/>
      <c r="KEE96" s="167"/>
      <c r="KEF96" s="168"/>
      <c r="KEG96" s="167"/>
      <c r="KEH96" s="168"/>
      <c r="KEI96" s="167"/>
      <c r="KEJ96" s="168"/>
      <c r="KEK96" s="167"/>
      <c r="KEL96" s="168"/>
      <c r="KEM96" s="167"/>
      <c r="KEN96" s="168"/>
      <c r="KEO96" s="167"/>
      <c r="KEP96" s="168"/>
      <c r="KEQ96" s="167"/>
      <c r="KER96" s="168"/>
      <c r="KES96" s="167"/>
      <c r="KET96" s="168"/>
      <c r="KEU96" s="167"/>
      <c r="KEV96" s="168"/>
      <c r="KEW96" s="167"/>
      <c r="KEX96" s="168"/>
      <c r="KEY96" s="167"/>
      <c r="KEZ96" s="168"/>
      <c r="KFA96" s="167"/>
      <c r="KFB96" s="168"/>
      <c r="KFC96" s="167"/>
      <c r="KFD96" s="168"/>
      <c r="KFE96" s="167"/>
      <c r="KFF96" s="168"/>
      <c r="KFG96" s="167"/>
      <c r="KFH96" s="168"/>
      <c r="KFI96" s="167"/>
      <c r="KFJ96" s="168"/>
      <c r="KFK96" s="167"/>
      <c r="KFL96" s="168"/>
      <c r="KFM96" s="167"/>
      <c r="KFN96" s="168"/>
      <c r="KFO96" s="167"/>
      <c r="KFP96" s="168"/>
      <c r="KFQ96" s="167"/>
      <c r="KFR96" s="168"/>
      <c r="KFS96" s="167"/>
      <c r="KFT96" s="168"/>
      <c r="KFU96" s="167"/>
      <c r="KFV96" s="168"/>
      <c r="KFW96" s="167"/>
      <c r="KFX96" s="168"/>
      <c r="KFY96" s="167"/>
      <c r="KFZ96" s="168"/>
      <c r="KGA96" s="167"/>
      <c r="KGB96" s="168"/>
      <c r="KGC96" s="167"/>
      <c r="KGD96" s="168"/>
      <c r="KGE96" s="167"/>
      <c r="KGF96" s="168"/>
      <c r="KGG96" s="167"/>
      <c r="KGH96" s="168"/>
      <c r="KGI96" s="167"/>
      <c r="KGJ96" s="168"/>
      <c r="KGK96" s="167"/>
      <c r="KGL96" s="168"/>
      <c r="KGM96" s="167"/>
      <c r="KGN96" s="168"/>
      <c r="KGO96" s="167"/>
      <c r="KGP96" s="168"/>
      <c r="KGQ96" s="167"/>
      <c r="KGR96" s="168"/>
      <c r="KGS96" s="167"/>
      <c r="KGT96" s="168"/>
      <c r="KGU96" s="167"/>
      <c r="KGV96" s="168"/>
      <c r="KGW96" s="167"/>
      <c r="KGX96" s="168"/>
      <c r="KGY96" s="167"/>
      <c r="KGZ96" s="168"/>
      <c r="KHA96" s="167"/>
      <c r="KHB96" s="168"/>
      <c r="KHC96" s="167"/>
      <c r="KHD96" s="168"/>
      <c r="KHE96" s="167"/>
      <c r="KHF96" s="168"/>
      <c r="KHG96" s="167"/>
      <c r="KHH96" s="168"/>
      <c r="KHI96" s="167"/>
      <c r="KHJ96" s="168"/>
      <c r="KHK96" s="167"/>
      <c r="KHL96" s="168"/>
      <c r="KHM96" s="167"/>
      <c r="KHN96" s="168"/>
      <c r="KHO96" s="167"/>
      <c r="KHP96" s="168"/>
      <c r="KHQ96" s="167"/>
      <c r="KHR96" s="168"/>
      <c r="KHS96" s="167"/>
      <c r="KHT96" s="168"/>
      <c r="KHU96" s="167"/>
      <c r="KHV96" s="168"/>
      <c r="KHW96" s="167"/>
      <c r="KHX96" s="168"/>
      <c r="KHY96" s="167"/>
      <c r="KHZ96" s="168"/>
      <c r="KIA96" s="167"/>
      <c r="KIB96" s="168"/>
      <c r="KIC96" s="167"/>
      <c r="KID96" s="168"/>
      <c r="KIE96" s="167"/>
      <c r="KIF96" s="168"/>
      <c r="KIG96" s="167"/>
      <c r="KIH96" s="168"/>
      <c r="KII96" s="167"/>
      <c r="KIJ96" s="168"/>
      <c r="KIK96" s="167"/>
      <c r="KIL96" s="168"/>
      <c r="KIM96" s="167"/>
      <c r="KIN96" s="168"/>
      <c r="KIO96" s="167"/>
      <c r="KIP96" s="168"/>
      <c r="KIQ96" s="167"/>
      <c r="KIR96" s="168"/>
      <c r="KIS96" s="167"/>
      <c r="KIT96" s="168"/>
      <c r="KIU96" s="167"/>
      <c r="KIV96" s="168"/>
      <c r="KIW96" s="167"/>
      <c r="KIX96" s="168"/>
      <c r="KIY96" s="167"/>
      <c r="KIZ96" s="168"/>
      <c r="KJA96" s="167"/>
      <c r="KJB96" s="168"/>
      <c r="KJC96" s="167"/>
      <c r="KJD96" s="168"/>
      <c r="KJE96" s="167"/>
      <c r="KJF96" s="168"/>
      <c r="KJG96" s="167"/>
      <c r="KJH96" s="168"/>
      <c r="KJI96" s="167"/>
      <c r="KJJ96" s="168"/>
      <c r="KJK96" s="167"/>
      <c r="KJL96" s="168"/>
      <c r="KJM96" s="167"/>
      <c r="KJN96" s="168"/>
      <c r="KJO96" s="167"/>
      <c r="KJP96" s="168"/>
      <c r="KJQ96" s="167"/>
      <c r="KJR96" s="168"/>
      <c r="KJS96" s="167"/>
      <c r="KJT96" s="168"/>
      <c r="KJU96" s="167"/>
      <c r="KJV96" s="168"/>
      <c r="KJW96" s="167"/>
      <c r="KJX96" s="168"/>
      <c r="KJY96" s="167"/>
      <c r="KJZ96" s="168"/>
      <c r="KKA96" s="167"/>
      <c r="KKB96" s="168"/>
      <c r="KKC96" s="167"/>
      <c r="KKD96" s="168"/>
      <c r="KKE96" s="167"/>
      <c r="KKF96" s="168"/>
      <c r="KKG96" s="167"/>
      <c r="KKH96" s="168"/>
      <c r="KKI96" s="167"/>
      <c r="KKJ96" s="168"/>
      <c r="KKK96" s="167"/>
      <c r="KKL96" s="168"/>
      <c r="KKM96" s="167"/>
      <c r="KKN96" s="168"/>
      <c r="KKO96" s="167"/>
      <c r="KKP96" s="168"/>
      <c r="KKQ96" s="167"/>
      <c r="KKR96" s="168"/>
      <c r="KKS96" s="167"/>
      <c r="KKT96" s="168"/>
      <c r="KKU96" s="167"/>
      <c r="KKV96" s="168"/>
      <c r="KKW96" s="167"/>
      <c r="KKX96" s="168"/>
      <c r="KKY96" s="167"/>
      <c r="KKZ96" s="168"/>
      <c r="KLA96" s="167"/>
      <c r="KLB96" s="168"/>
      <c r="KLC96" s="167"/>
      <c r="KLD96" s="168"/>
      <c r="KLE96" s="167"/>
      <c r="KLF96" s="168"/>
      <c r="KLG96" s="167"/>
      <c r="KLH96" s="168"/>
      <c r="KLI96" s="167"/>
      <c r="KLJ96" s="168"/>
      <c r="KLK96" s="167"/>
      <c r="KLL96" s="168"/>
      <c r="KLM96" s="167"/>
      <c r="KLN96" s="168"/>
      <c r="KLO96" s="167"/>
      <c r="KLP96" s="168"/>
      <c r="KLQ96" s="167"/>
      <c r="KLR96" s="168"/>
      <c r="KLS96" s="167"/>
      <c r="KLT96" s="168"/>
      <c r="KLU96" s="167"/>
      <c r="KLV96" s="168"/>
      <c r="KLW96" s="167"/>
      <c r="KLX96" s="168"/>
      <c r="KLY96" s="167"/>
      <c r="KLZ96" s="168"/>
      <c r="KMA96" s="167"/>
      <c r="KMB96" s="168"/>
      <c r="KMC96" s="167"/>
      <c r="KMD96" s="168"/>
      <c r="KME96" s="167"/>
      <c r="KMF96" s="168"/>
      <c r="KMG96" s="167"/>
      <c r="KMH96" s="168"/>
      <c r="KMI96" s="167"/>
      <c r="KMJ96" s="168"/>
      <c r="KMK96" s="167"/>
      <c r="KML96" s="168"/>
      <c r="KMM96" s="167"/>
      <c r="KMN96" s="168"/>
      <c r="KMO96" s="167"/>
      <c r="KMP96" s="168"/>
      <c r="KMQ96" s="167"/>
      <c r="KMR96" s="168"/>
      <c r="KMS96" s="167"/>
      <c r="KMT96" s="168"/>
      <c r="KMU96" s="167"/>
      <c r="KMV96" s="168"/>
      <c r="KMW96" s="167"/>
      <c r="KMX96" s="168"/>
      <c r="KMY96" s="167"/>
      <c r="KMZ96" s="168"/>
      <c r="KNA96" s="167"/>
      <c r="KNB96" s="168"/>
      <c r="KNC96" s="167"/>
      <c r="KND96" s="168"/>
      <c r="KNE96" s="167"/>
      <c r="KNF96" s="168"/>
      <c r="KNG96" s="167"/>
      <c r="KNH96" s="168"/>
      <c r="KNI96" s="167"/>
      <c r="KNJ96" s="168"/>
      <c r="KNK96" s="167"/>
      <c r="KNL96" s="168"/>
      <c r="KNM96" s="167"/>
      <c r="KNN96" s="168"/>
      <c r="KNO96" s="167"/>
      <c r="KNP96" s="168"/>
      <c r="KNQ96" s="167"/>
      <c r="KNR96" s="168"/>
      <c r="KNS96" s="167"/>
      <c r="KNT96" s="168"/>
      <c r="KNU96" s="167"/>
      <c r="KNV96" s="168"/>
      <c r="KNW96" s="167"/>
      <c r="KNX96" s="168"/>
      <c r="KNY96" s="167"/>
      <c r="KNZ96" s="168"/>
      <c r="KOA96" s="167"/>
      <c r="KOB96" s="168"/>
      <c r="KOC96" s="167"/>
      <c r="KOD96" s="168"/>
      <c r="KOE96" s="167"/>
      <c r="KOF96" s="168"/>
      <c r="KOG96" s="167"/>
      <c r="KOH96" s="168"/>
      <c r="KOI96" s="167"/>
      <c r="KOJ96" s="168"/>
      <c r="KOK96" s="167"/>
      <c r="KOL96" s="168"/>
      <c r="KOM96" s="167"/>
      <c r="KON96" s="168"/>
      <c r="KOO96" s="167"/>
      <c r="KOP96" s="168"/>
      <c r="KOQ96" s="167"/>
      <c r="KOR96" s="168"/>
      <c r="KOS96" s="167"/>
      <c r="KOT96" s="168"/>
      <c r="KOU96" s="167"/>
      <c r="KOV96" s="168"/>
      <c r="KOW96" s="167"/>
      <c r="KOX96" s="168"/>
      <c r="KOY96" s="167"/>
      <c r="KOZ96" s="168"/>
      <c r="KPA96" s="167"/>
      <c r="KPB96" s="168"/>
      <c r="KPC96" s="167"/>
      <c r="KPD96" s="168"/>
      <c r="KPE96" s="167"/>
      <c r="KPF96" s="168"/>
      <c r="KPG96" s="167"/>
      <c r="KPH96" s="168"/>
      <c r="KPI96" s="167"/>
      <c r="KPJ96" s="168"/>
      <c r="KPK96" s="167"/>
      <c r="KPL96" s="168"/>
      <c r="KPM96" s="167"/>
      <c r="KPN96" s="168"/>
      <c r="KPO96" s="167"/>
      <c r="KPP96" s="168"/>
      <c r="KPQ96" s="167"/>
      <c r="KPR96" s="168"/>
      <c r="KPS96" s="167"/>
      <c r="KPT96" s="168"/>
      <c r="KPU96" s="167"/>
      <c r="KPV96" s="168"/>
      <c r="KPW96" s="167"/>
      <c r="KPX96" s="168"/>
      <c r="KPY96" s="167"/>
      <c r="KPZ96" s="168"/>
      <c r="KQA96" s="167"/>
      <c r="KQB96" s="168"/>
      <c r="KQC96" s="167"/>
      <c r="KQD96" s="168"/>
      <c r="KQE96" s="167"/>
      <c r="KQF96" s="168"/>
      <c r="KQG96" s="167"/>
      <c r="KQH96" s="168"/>
      <c r="KQI96" s="167"/>
      <c r="KQJ96" s="168"/>
      <c r="KQK96" s="167"/>
      <c r="KQL96" s="168"/>
      <c r="KQM96" s="167"/>
      <c r="KQN96" s="168"/>
      <c r="KQO96" s="167"/>
      <c r="KQP96" s="168"/>
      <c r="KQQ96" s="167"/>
      <c r="KQR96" s="168"/>
      <c r="KQS96" s="167"/>
      <c r="KQT96" s="168"/>
      <c r="KQU96" s="167"/>
      <c r="KQV96" s="168"/>
      <c r="KQW96" s="167"/>
      <c r="KQX96" s="168"/>
      <c r="KQY96" s="167"/>
      <c r="KQZ96" s="168"/>
      <c r="KRA96" s="167"/>
      <c r="KRB96" s="168"/>
      <c r="KRC96" s="167"/>
      <c r="KRD96" s="168"/>
      <c r="KRE96" s="167"/>
      <c r="KRF96" s="168"/>
      <c r="KRG96" s="167"/>
      <c r="KRH96" s="168"/>
      <c r="KRI96" s="167"/>
      <c r="KRJ96" s="168"/>
      <c r="KRK96" s="167"/>
      <c r="KRL96" s="168"/>
      <c r="KRM96" s="167"/>
      <c r="KRN96" s="168"/>
      <c r="KRO96" s="167"/>
      <c r="KRP96" s="168"/>
      <c r="KRQ96" s="167"/>
      <c r="KRR96" s="168"/>
      <c r="KRS96" s="167"/>
      <c r="KRT96" s="168"/>
      <c r="KRU96" s="167"/>
      <c r="KRV96" s="168"/>
      <c r="KRW96" s="167"/>
      <c r="KRX96" s="168"/>
      <c r="KRY96" s="167"/>
      <c r="KRZ96" s="168"/>
      <c r="KSA96" s="167"/>
      <c r="KSB96" s="168"/>
      <c r="KSC96" s="167"/>
      <c r="KSD96" s="168"/>
      <c r="KSE96" s="167"/>
      <c r="KSF96" s="168"/>
      <c r="KSG96" s="167"/>
      <c r="KSH96" s="168"/>
      <c r="KSI96" s="167"/>
      <c r="KSJ96" s="168"/>
      <c r="KSK96" s="167"/>
      <c r="KSL96" s="168"/>
      <c r="KSM96" s="167"/>
      <c r="KSN96" s="168"/>
      <c r="KSO96" s="167"/>
      <c r="KSP96" s="168"/>
      <c r="KSQ96" s="167"/>
      <c r="KSR96" s="168"/>
      <c r="KSS96" s="167"/>
      <c r="KST96" s="168"/>
      <c r="KSU96" s="167"/>
      <c r="KSV96" s="168"/>
      <c r="KSW96" s="167"/>
      <c r="KSX96" s="168"/>
      <c r="KSY96" s="167"/>
      <c r="KSZ96" s="168"/>
      <c r="KTA96" s="167"/>
      <c r="KTB96" s="168"/>
      <c r="KTC96" s="167"/>
      <c r="KTD96" s="168"/>
      <c r="KTE96" s="167"/>
      <c r="KTF96" s="168"/>
      <c r="KTG96" s="167"/>
      <c r="KTH96" s="168"/>
      <c r="KTI96" s="167"/>
      <c r="KTJ96" s="168"/>
      <c r="KTK96" s="167"/>
      <c r="KTL96" s="168"/>
      <c r="KTM96" s="167"/>
      <c r="KTN96" s="168"/>
      <c r="KTO96" s="167"/>
      <c r="KTP96" s="168"/>
      <c r="KTQ96" s="167"/>
      <c r="KTR96" s="168"/>
      <c r="KTS96" s="167"/>
      <c r="KTT96" s="168"/>
      <c r="KTU96" s="167"/>
      <c r="KTV96" s="168"/>
      <c r="KTW96" s="167"/>
      <c r="KTX96" s="168"/>
      <c r="KTY96" s="167"/>
      <c r="KTZ96" s="168"/>
      <c r="KUA96" s="167"/>
      <c r="KUB96" s="168"/>
      <c r="KUC96" s="167"/>
      <c r="KUD96" s="168"/>
      <c r="KUE96" s="167"/>
      <c r="KUF96" s="168"/>
      <c r="KUG96" s="167"/>
      <c r="KUH96" s="168"/>
      <c r="KUI96" s="167"/>
      <c r="KUJ96" s="168"/>
      <c r="KUK96" s="167"/>
      <c r="KUL96" s="168"/>
      <c r="KUM96" s="167"/>
      <c r="KUN96" s="168"/>
      <c r="KUO96" s="167"/>
      <c r="KUP96" s="168"/>
      <c r="KUQ96" s="167"/>
      <c r="KUR96" s="168"/>
      <c r="KUS96" s="167"/>
      <c r="KUT96" s="168"/>
      <c r="KUU96" s="167"/>
      <c r="KUV96" s="168"/>
      <c r="KUW96" s="167"/>
      <c r="KUX96" s="168"/>
      <c r="KUY96" s="167"/>
      <c r="KUZ96" s="168"/>
      <c r="KVA96" s="167"/>
      <c r="KVB96" s="168"/>
      <c r="KVC96" s="167"/>
      <c r="KVD96" s="168"/>
      <c r="KVE96" s="167"/>
      <c r="KVF96" s="168"/>
      <c r="KVG96" s="167"/>
      <c r="KVH96" s="168"/>
      <c r="KVI96" s="167"/>
      <c r="KVJ96" s="168"/>
      <c r="KVK96" s="167"/>
      <c r="KVL96" s="168"/>
      <c r="KVM96" s="167"/>
      <c r="KVN96" s="168"/>
      <c r="KVO96" s="167"/>
      <c r="KVP96" s="168"/>
      <c r="KVQ96" s="167"/>
      <c r="KVR96" s="168"/>
      <c r="KVS96" s="167"/>
      <c r="KVT96" s="168"/>
      <c r="KVU96" s="167"/>
      <c r="KVV96" s="168"/>
      <c r="KVW96" s="167"/>
      <c r="KVX96" s="168"/>
      <c r="KVY96" s="167"/>
      <c r="KVZ96" s="168"/>
      <c r="KWA96" s="167"/>
      <c r="KWB96" s="168"/>
      <c r="KWC96" s="167"/>
      <c r="KWD96" s="168"/>
      <c r="KWE96" s="167"/>
      <c r="KWF96" s="168"/>
      <c r="KWG96" s="167"/>
      <c r="KWH96" s="168"/>
      <c r="KWI96" s="167"/>
      <c r="KWJ96" s="168"/>
      <c r="KWK96" s="167"/>
      <c r="KWL96" s="168"/>
      <c r="KWM96" s="167"/>
      <c r="KWN96" s="168"/>
      <c r="KWO96" s="167"/>
      <c r="KWP96" s="168"/>
      <c r="KWQ96" s="167"/>
      <c r="KWR96" s="168"/>
      <c r="KWS96" s="167"/>
      <c r="KWT96" s="168"/>
      <c r="KWU96" s="167"/>
      <c r="KWV96" s="168"/>
      <c r="KWW96" s="167"/>
      <c r="KWX96" s="168"/>
      <c r="KWY96" s="167"/>
      <c r="KWZ96" s="168"/>
      <c r="KXA96" s="167"/>
      <c r="KXB96" s="168"/>
      <c r="KXC96" s="167"/>
      <c r="KXD96" s="168"/>
      <c r="KXE96" s="167"/>
      <c r="KXF96" s="168"/>
      <c r="KXG96" s="167"/>
      <c r="KXH96" s="168"/>
      <c r="KXI96" s="167"/>
      <c r="KXJ96" s="168"/>
      <c r="KXK96" s="167"/>
      <c r="KXL96" s="168"/>
      <c r="KXM96" s="167"/>
      <c r="KXN96" s="168"/>
      <c r="KXO96" s="167"/>
      <c r="KXP96" s="168"/>
      <c r="KXQ96" s="167"/>
      <c r="KXR96" s="168"/>
      <c r="KXS96" s="167"/>
      <c r="KXT96" s="168"/>
      <c r="KXU96" s="167"/>
      <c r="KXV96" s="168"/>
      <c r="KXW96" s="167"/>
      <c r="KXX96" s="168"/>
      <c r="KXY96" s="167"/>
      <c r="KXZ96" s="168"/>
      <c r="KYA96" s="167"/>
      <c r="KYB96" s="168"/>
      <c r="KYC96" s="167"/>
      <c r="KYD96" s="168"/>
      <c r="KYE96" s="167"/>
      <c r="KYF96" s="168"/>
      <c r="KYG96" s="167"/>
      <c r="KYH96" s="168"/>
      <c r="KYI96" s="167"/>
      <c r="KYJ96" s="168"/>
      <c r="KYK96" s="167"/>
      <c r="KYL96" s="168"/>
      <c r="KYM96" s="167"/>
      <c r="KYN96" s="168"/>
      <c r="KYO96" s="167"/>
      <c r="KYP96" s="168"/>
      <c r="KYQ96" s="167"/>
      <c r="KYR96" s="168"/>
      <c r="KYS96" s="167"/>
      <c r="KYT96" s="168"/>
      <c r="KYU96" s="167"/>
      <c r="KYV96" s="168"/>
      <c r="KYW96" s="167"/>
      <c r="KYX96" s="168"/>
      <c r="KYY96" s="167"/>
      <c r="KYZ96" s="168"/>
      <c r="KZA96" s="167"/>
      <c r="KZB96" s="168"/>
      <c r="KZC96" s="167"/>
      <c r="KZD96" s="168"/>
      <c r="KZE96" s="167"/>
      <c r="KZF96" s="168"/>
      <c r="KZG96" s="167"/>
      <c r="KZH96" s="168"/>
      <c r="KZI96" s="167"/>
      <c r="KZJ96" s="168"/>
      <c r="KZK96" s="167"/>
      <c r="KZL96" s="168"/>
      <c r="KZM96" s="167"/>
      <c r="KZN96" s="168"/>
      <c r="KZO96" s="167"/>
      <c r="KZP96" s="168"/>
      <c r="KZQ96" s="167"/>
      <c r="KZR96" s="168"/>
      <c r="KZS96" s="167"/>
      <c r="KZT96" s="168"/>
      <c r="KZU96" s="167"/>
      <c r="KZV96" s="168"/>
      <c r="KZW96" s="167"/>
      <c r="KZX96" s="168"/>
      <c r="KZY96" s="167"/>
      <c r="KZZ96" s="168"/>
      <c r="LAA96" s="167"/>
      <c r="LAB96" s="168"/>
      <c r="LAC96" s="167"/>
      <c r="LAD96" s="168"/>
      <c r="LAE96" s="167"/>
      <c r="LAF96" s="168"/>
      <c r="LAG96" s="167"/>
      <c r="LAH96" s="168"/>
      <c r="LAI96" s="167"/>
      <c r="LAJ96" s="168"/>
      <c r="LAK96" s="167"/>
      <c r="LAL96" s="168"/>
      <c r="LAM96" s="167"/>
      <c r="LAN96" s="168"/>
      <c r="LAO96" s="167"/>
      <c r="LAP96" s="168"/>
      <c r="LAQ96" s="167"/>
      <c r="LAR96" s="168"/>
      <c r="LAS96" s="167"/>
      <c r="LAT96" s="168"/>
      <c r="LAU96" s="167"/>
      <c r="LAV96" s="168"/>
      <c r="LAW96" s="167"/>
      <c r="LAX96" s="168"/>
      <c r="LAY96" s="167"/>
      <c r="LAZ96" s="168"/>
      <c r="LBA96" s="167"/>
      <c r="LBB96" s="168"/>
      <c r="LBC96" s="167"/>
      <c r="LBD96" s="168"/>
      <c r="LBE96" s="167"/>
      <c r="LBF96" s="168"/>
      <c r="LBG96" s="167"/>
      <c r="LBH96" s="168"/>
      <c r="LBI96" s="167"/>
      <c r="LBJ96" s="168"/>
      <c r="LBK96" s="167"/>
      <c r="LBL96" s="168"/>
      <c r="LBM96" s="167"/>
      <c r="LBN96" s="168"/>
      <c r="LBO96" s="167"/>
      <c r="LBP96" s="168"/>
      <c r="LBQ96" s="167"/>
      <c r="LBR96" s="168"/>
      <c r="LBS96" s="167"/>
      <c r="LBT96" s="168"/>
      <c r="LBU96" s="167"/>
      <c r="LBV96" s="168"/>
      <c r="LBW96" s="167"/>
      <c r="LBX96" s="168"/>
      <c r="LBY96" s="167"/>
      <c r="LBZ96" s="168"/>
      <c r="LCA96" s="167"/>
      <c r="LCB96" s="168"/>
      <c r="LCC96" s="167"/>
      <c r="LCD96" s="168"/>
      <c r="LCE96" s="167"/>
      <c r="LCF96" s="168"/>
      <c r="LCG96" s="167"/>
      <c r="LCH96" s="168"/>
      <c r="LCI96" s="167"/>
      <c r="LCJ96" s="168"/>
      <c r="LCK96" s="167"/>
      <c r="LCL96" s="168"/>
      <c r="LCM96" s="167"/>
      <c r="LCN96" s="168"/>
      <c r="LCO96" s="167"/>
      <c r="LCP96" s="168"/>
      <c r="LCQ96" s="167"/>
      <c r="LCR96" s="168"/>
      <c r="LCS96" s="167"/>
      <c r="LCT96" s="168"/>
      <c r="LCU96" s="167"/>
      <c r="LCV96" s="168"/>
      <c r="LCW96" s="167"/>
      <c r="LCX96" s="168"/>
      <c r="LCY96" s="167"/>
      <c r="LCZ96" s="168"/>
      <c r="LDA96" s="167"/>
      <c r="LDB96" s="168"/>
      <c r="LDC96" s="167"/>
      <c r="LDD96" s="168"/>
      <c r="LDE96" s="167"/>
      <c r="LDF96" s="168"/>
      <c r="LDG96" s="167"/>
      <c r="LDH96" s="168"/>
      <c r="LDI96" s="167"/>
      <c r="LDJ96" s="168"/>
      <c r="LDK96" s="167"/>
      <c r="LDL96" s="168"/>
      <c r="LDM96" s="167"/>
      <c r="LDN96" s="168"/>
      <c r="LDO96" s="167"/>
      <c r="LDP96" s="168"/>
      <c r="LDQ96" s="167"/>
      <c r="LDR96" s="168"/>
      <c r="LDS96" s="167"/>
      <c r="LDT96" s="168"/>
      <c r="LDU96" s="167"/>
      <c r="LDV96" s="168"/>
      <c r="LDW96" s="167"/>
      <c r="LDX96" s="168"/>
      <c r="LDY96" s="167"/>
      <c r="LDZ96" s="168"/>
      <c r="LEA96" s="167"/>
      <c r="LEB96" s="168"/>
      <c r="LEC96" s="167"/>
      <c r="LED96" s="168"/>
      <c r="LEE96" s="167"/>
      <c r="LEF96" s="168"/>
      <c r="LEG96" s="167"/>
      <c r="LEH96" s="168"/>
      <c r="LEI96" s="167"/>
      <c r="LEJ96" s="168"/>
      <c r="LEK96" s="167"/>
      <c r="LEL96" s="168"/>
      <c r="LEM96" s="167"/>
      <c r="LEN96" s="168"/>
      <c r="LEO96" s="167"/>
      <c r="LEP96" s="168"/>
      <c r="LEQ96" s="167"/>
      <c r="LER96" s="168"/>
      <c r="LES96" s="167"/>
      <c r="LET96" s="168"/>
      <c r="LEU96" s="167"/>
      <c r="LEV96" s="168"/>
      <c r="LEW96" s="167"/>
      <c r="LEX96" s="168"/>
      <c r="LEY96" s="167"/>
      <c r="LEZ96" s="168"/>
      <c r="LFA96" s="167"/>
      <c r="LFB96" s="168"/>
      <c r="LFC96" s="167"/>
      <c r="LFD96" s="168"/>
      <c r="LFE96" s="167"/>
      <c r="LFF96" s="168"/>
      <c r="LFG96" s="167"/>
      <c r="LFH96" s="168"/>
      <c r="LFI96" s="167"/>
      <c r="LFJ96" s="168"/>
      <c r="LFK96" s="167"/>
      <c r="LFL96" s="168"/>
      <c r="LFM96" s="167"/>
      <c r="LFN96" s="168"/>
      <c r="LFO96" s="167"/>
      <c r="LFP96" s="168"/>
      <c r="LFQ96" s="167"/>
      <c r="LFR96" s="168"/>
      <c r="LFS96" s="167"/>
      <c r="LFT96" s="168"/>
      <c r="LFU96" s="167"/>
      <c r="LFV96" s="168"/>
      <c r="LFW96" s="167"/>
      <c r="LFX96" s="168"/>
      <c r="LFY96" s="167"/>
      <c r="LFZ96" s="168"/>
      <c r="LGA96" s="167"/>
      <c r="LGB96" s="168"/>
      <c r="LGC96" s="167"/>
      <c r="LGD96" s="168"/>
      <c r="LGE96" s="167"/>
      <c r="LGF96" s="168"/>
      <c r="LGG96" s="167"/>
      <c r="LGH96" s="168"/>
      <c r="LGI96" s="167"/>
      <c r="LGJ96" s="168"/>
      <c r="LGK96" s="167"/>
      <c r="LGL96" s="168"/>
      <c r="LGM96" s="167"/>
      <c r="LGN96" s="168"/>
      <c r="LGO96" s="167"/>
      <c r="LGP96" s="168"/>
      <c r="LGQ96" s="167"/>
      <c r="LGR96" s="168"/>
      <c r="LGS96" s="167"/>
      <c r="LGT96" s="168"/>
      <c r="LGU96" s="167"/>
      <c r="LGV96" s="168"/>
      <c r="LGW96" s="167"/>
      <c r="LGX96" s="168"/>
      <c r="LGY96" s="167"/>
      <c r="LGZ96" s="168"/>
      <c r="LHA96" s="167"/>
      <c r="LHB96" s="168"/>
      <c r="LHC96" s="167"/>
      <c r="LHD96" s="168"/>
      <c r="LHE96" s="167"/>
      <c r="LHF96" s="168"/>
      <c r="LHG96" s="167"/>
      <c r="LHH96" s="168"/>
      <c r="LHI96" s="167"/>
      <c r="LHJ96" s="168"/>
      <c r="LHK96" s="167"/>
      <c r="LHL96" s="168"/>
      <c r="LHM96" s="167"/>
      <c r="LHN96" s="168"/>
      <c r="LHO96" s="167"/>
      <c r="LHP96" s="168"/>
      <c r="LHQ96" s="167"/>
      <c r="LHR96" s="168"/>
      <c r="LHS96" s="167"/>
      <c r="LHT96" s="168"/>
      <c r="LHU96" s="167"/>
      <c r="LHV96" s="168"/>
      <c r="LHW96" s="167"/>
      <c r="LHX96" s="168"/>
      <c r="LHY96" s="167"/>
      <c r="LHZ96" s="168"/>
      <c r="LIA96" s="167"/>
      <c r="LIB96" s="168"/>
      <c r="LIC96" s="167"/>
      <c r="LID96" s="168"/>
      <c r="LIE96" s="167"/>
      <c r="LIF96" s="168"/>
      <c r="LIG96" s="167"/>
      <c r="LIH96" s="168"/>
      <c r="LII96" s="167"/>
      <c r="LIJ96" s="168"/>
      <c r="LIK96" s="167"/>
      <c r="LIL96" s="168"/>
      <c r="LIM96" s="167"/>
      <c r="LIN96" s="168"/>
      <c r="LIO96" s="167"/>
      <c r="LIP96" s="168"/>
      <c r="LIQ96" s="167"/>
      <c r="LIR96" s="168"/>
      <c r="LIS96" s="167"/>
      <c r="LIT96" s="168"/>
      <c r="LIU96" s="167"/>
      <c r="LIV96" s="168"/>
      <c r="LIW96" s="167"/>
      <c r="LIX96" s="168"/>
      <c r="LIY96" s="167"/>
      <c r="LIZ96" s="168"/>
      <c r="LJA96" s="167"/>
      <c r="LJB96" s="168"/>
      <c r="LJC96" s="167"/>
      <c r="LJD96" s="168"/>
      <c r="LJE96" s="167"/>
      <c r="LJF96" s="168"/>
      <c r="LJG96" s="167"/>
      <c r="LJH96" s="168"/>
      <c r="LJI96" s="167"/>
      <c r="LJJ96" s="168"/>
      <c r="LJK96" s="167"/>
      <c r="LJL96" s="168"/>
      <c r="LJM96" s="167"/>
      <c r="LJN96" s="168"/>
      <c r="LJO96" s="167"/>
      <c r="LJP96" s="168"/>
      <c r="LJQ96" s="167"/>
      <c r="LJR96" s="168"/>
      <c r="LJS96" s="167"/>
      <c r="LJT96" s="168"/>
      <c r="LJU96" s="167"/>
      <c r="LJV96" s="168"/>
      <c r="LJW96" s="167"/>
      <c r="LJX96" s="168"/>
      <c r="LJY96" s="167"/>
      <c r="LJZ96" s="168"/>
      <c r="LKA96" s="167"/>
      <c r="LKB96" s="168"/>
      <c r="LKC96" s="167"/>
      <c r="LKD96" s="168"/>
      <c r="LKE96" s="167"/>
      <c r="LKF96" s="168"/>
      <c r="LKG96" s="167"/>
      <c r="LKH96" s="168"/>
      <c r="LKI96" s="167"/>
      <c r="LKJ96" s="168"/>
      <c r="LKK96" s="167"/>
      <c r="LKL96" s="168"/>
      <c r="LKM96" s="167"/>
      <c r="LKN96" s="168"/>
      <c r="LKO96" s="167"/>
      <c r="LKP96" s="168"/>
      <c r="LKQ96" s="167"/>
      <c r="LKR96" s="168"/>
      <c r="LKS96" s="167"/>
      <c r="LKT96" s="168"/>
      <c r="LKU96" s="167"/>
      <c r="LKV96" s="168"/>
      <c r="LKW96" s="167"/>
      <c r="LKX96" s="168"/>
      <c r="LKY96" s="167"/>
      <c r="LKZ96" s="168"/>
      <c r="LLA96" s="167"/>
      <c r="LLB96" s="168"/>
      <c r="LLC96" s="167"/>
      <c r="LLD96" s="168"/>
      <c r="LLE96" s="167"/>
      <c r="LLF96" s="168"/>
      <c r="LLG96" s="167"/>
      <c r="LLH96" s="168"/>
      <c r="LLI96" s="167"/>
      <c r="LLJ96" s="168"/>
      <c r="LLK96" s="167"/>
      <c r="LLL96" s="168"/>
      <c r="LLM96" s="167"/>
      <c r="LLN96" s="168"/>
      <c r="LLO96" s="167"/>
      <c r="LLP96" s="168"/>
      <c r="LLQ96" s="167"/>
      <c r="LLR96" s="168"/>
      <c r="LLS96" s="167"/>
      <c r="LLT96" s="168"/>
      <c r="LLU96" s="167"/>
      <c r="LLV96" s="168"/>
      <c r="LLW96" s="167"/>
      <c r="LLX96" s="168"/>
      <c r="LLY96" s="167"/>
      <c r="LLZ96" s="168"/>
      <c r="LMA96" s="167"/>
      <c r="LMB96" s="168"/>
      <c r="LMC96" s="167"/>
      <c r="LMD96" s="168"/>
      <c r="LME96" s="167"/>
      <c r="LMF96" s="168"/>
      <c r="LMG96" s="167"/>
      <c r="LMH96" s="168"/>
      <c r="LMI96" s="167"/>
      <c r="LMJ96" s="168"/>
      <c r="LMK96" s="167"/>
      <c r="LML96" s="168"/>
      <c r="LMM96" s="167"/>
      <c r="LMN96" s="168"/>
      <c r="LMO96" s="167"/>
      <c r="LMP96" s="168"/>
      <c r="LMQ96" s="167"/>
      <c r="LMR96" s="168"/>
      <c r="LMS96" s="167"/>
      <c r="LMT96" s="168"/>
      <c r="LMU96" s="167"/>
      <c r="LMV96" s="168"/>
      <c r="LMW96" s="167"/>
      <c r="LMX96" s="168"/>
      <c r="LMY96" s="167"/>
      <c r="LMZ96" s="168"/>
      <c r="LNA96" s="167"/>
      <c r="LNB96" s="168"/>
      <c r="LNC96" s="167"/>
      <c r="LND96" s="168"/>
      <c r="LNE96" s="167"/>
      <c r="LNF96" s="168"/>
      <c r="LNG96" s="167"/>
      <c r="LNH96" s="168"/>
      <c r="LNI96" s="167"/>
      <c r="LNJ96" s="168"/>
      <c r="LNK96" s="167"/>
      <c r="LNL96" s="168"/>
      <c r="LNM96" s="167"/>
      <c r="LNN96" s="168"/>
      <c r="LNO96" s="167"/>
      <c r="LNP96" s="168"/>
      <c r="LNQ96" s="167"/>
      <c r="LNR96" s="168"/>
      <c r="LNS96" s="167"/>
      <c r="LNT96" s="168"/>
      <c r="LNU96" s="167"/>
      <c r="LNV96" s="168"/>
      <c r="LNW96" s="167"/>
      <c r="LNX96" s="168"/>
      <c r="LNY96" s="167"/>
      <c r="LNZ96" s="168"/>
      <c r="LOA96" s="167"/>
      <c r="LOB96" s="168"/>
      <c r="LOC96" s="167"/>
      <c r="LOD96" s="168"/>
      <c r="LOE96" s="167"/>
      <c r="LOF96" s="168"/>
      <c r="LOG96" s="167"/>
      <c r="LOH96" s="168"/>
      <c r="LOI96" s="167"/>
      <c r="LOJ96" s="168"/>
      <c r="LOK96" s="167"/>
      <c r="LOL96" s="168"/>
      <c r="LOM96" s="167"/>
      <c r="LON96" s="168"/>
      <c r="LOO96" s="167"/>
      <c r="LOP96" s="168"/>
      <c r="LOQ96" s="167"/>
      <c r="LOR96" s="168"/>
      <c r="LOS96" s="167"/>
      <c r="LOT96" s="168"/>
      <c r="LOU96" s="167"/>
      <c r="LOV96" s="168"/>
      <c r="LOW96" s="167"/>
      <c r="LOX96" s="168"/>
      <c r="LOY96" s="167"/>
      <c r="LOZ96" s="168"/>
      <c r="LPA96" s="167"/>
      <c r="LPB96" s="168"/>
      <c r="LPC96" s="167"/>
      <c r="LPD96" s="168"/>
      <c r="LPE96" s="167"/>
      <c r="LPF96" s="168"/>
      <c r="LPG96" s="167"/>
      <c r="LPH96" s="168"/>
      <c r="LPI96" s="167"/>
      <c r="LPJ96" s="168"/>
      <c r="LPK96" s="167"/>
      <c r="LPL96" s="168"/>
      <c r="LPM96" s="167"/>
      <c r="LPN96" s="168"/>
      <c r="LPO96" s="167"/>
      <c r="LPP96" s="168"/>
      <c r="LPQ96" s="167"/>
      <c r="LPR96" s="168"/>
      <c r="LPS96" s="167"/>
      <c r="LPT96" s="168"/>
      <c r="LPU96" s="167"/>
      <c r="LPV96" s="168"/>
      <c r="LPW96" s="167"/>
      <c r="LPX96" s="168"/>
      <c r="LPY96" s="167"/>
      <c r="LPZ96" s="168"/>
      <c r="LQA96" s="167"/>
      <c r="LQB96" s="168"/>
      <c r="LQC96" s="167"/>
      <c r="LQD96" s="168"/>
      <c r="LQE96" s="167"/>
      <c r="LQF96" s="168"/>
      <c r="LQG96" s="167"/>
      <c r="LQH96" s="168"/>
      <c r="LQI96" s="167"/>
      <c r="LQJ96" s="168"/>
      <c r="LQK96" s="167"/>
      <c r="LQL96" s="168"/>
      <c r="LQM96" s="167"/>
      <c r="LQN96" s="168"/>
      <c r="LQO96" s="167"/>
      <c r="LQP96" s="168"/>
      <c r="LQQ96" s="167"/>
      <c r="LQR96" s="168"/>
      <c r="LQS96" s="167"/>
      <c r="LQT96" s="168"/>
      <c r="LQU96" s="167"/>
      <c r="LQV96" s="168"/>
      <c r="LQW96" s="167"/>
      <c r="LQX96" s="168"/>
      <c r="LQY96" s="167"/>
      <c r="LQZ96" s="168"/>
      <c r="LRA96" s="167"/>
      <c r="LRB96" s="168"/>
      <c r="LRC96" s="167"/>
      <c r="LRD96" s="168"/>
      <c r="LRE96" s="167"/>
      <c r="LRF96" s="168"/>
      <c r="LRG96" s="167"/>
      <c r="LRH96" s="168"/>
      <c r="LRI96" s="167"/>
      <c r="LRJ96" s="168"/>
      <c r="LRK96" s="167"/>
      <c r="LRL96" s="168"/>
      <c r="LRM96" s="167"/>
      <c r="LRN96" s="168"/>
      <c r="LRO96" s="167"/>
      <c r="LRP96" s="168"/>
      <c r="LRQ96" s="167"/>
      <c r="LRR96" s="168"/>
      <c r="LRS96" s="167"/>
      <c r="LRT96" s="168"/>
      <c r="LRU96" s="167"/>
      <c r="LRV96" s="168"/>
      <c r="LRW96" s="167"/>
      <c r="LRX96" s="168"/>
      <c r="LRY96" s="167"/>
      <c r="LRZ96" s="168"/>
      <c r="LSA96" s="167"/>
      <c r="LSB96" s="168"/>
      <c r="LSC96" s="167"/>
      <c r="LSD96" s="168"/>
      <c r="LSE96" s="167"/>
      <c r="LSF96" s="168"/>
      <c r="LSG96" s="167"/>
      <c r="LSH96" s="168"/>
      <c r="LSI96" s="167"/>
      <c r="LSJ96" s="168"/>
      <c r="LSK96" s="167"/>
      <c r="LSL96" s="168"/>
      <c r="LSM96" s="167"/>
      <c r="LSN96" s="168"/>
      <c r="LSO96" s="167"/>
      <c r="LSP96" s="168"/>
      <c r="LSQ96" s="167"/>
      <c r="LSR96" s="168"/>
      <c r="LSS96" s="167"/>
      <c r="LST96" s="168"/>
      <c r="LSU96" s="167"/>
      <c r="LSV96" s="168"/>
      <c r="LSW96" s="167"/>
      <c r="LSX96" s="168"/>
      <c r="LSY96" s="167"/>
      <c r="LSZ96" s="168"/>
      <c r="LTA96" s="167"/>
      <c r="LTB96" s="168"/>
      <c r="LTC96" s="167"/>
      <c r="LTD96" s="168"/>
      <c r="LTE96" s="167"/>
      <c r="LTF96" s="168"/>
      <c r="LTG96" s="167"/>
      <c r="LTH96" s="168"/>
      <c r="LTI96" s="167"/>
      <c r="LTJ96" s="168"/>
      <c r="LTK96" s="167"/>
      <c r="LTL96" s="168"/>
      <c r="LTM96" s="167"/>
      <c r="LTN96" s="168"/>
      <c r="LTO96" s="167"/>
      <c r="LTP96" s="168"/>
      <c r="LTQ96" s="167"/>
      <c r="LTR96" s="168"/>
      <c r="LTS96" s="167"/>
      <c r="LTT96" s="168"/>
      <c r="LTU96" s="167"/>
      <c r="LTV96" s="168"/>
      <c r="LTW96" s="167"/>
      <c r="LTX96" s="168"/>
      <c r="LTY96" s="167"/>
      <c r="LTZ96" s="168"/>
      <c r="LUA96" s="167"/>
      <c r="LUB96" s="168"/>
      <c r="LUC96" s="167"/>
      <c r="LUD96" s="168"/>
      <c r="LUE96" s="167"/>
      <c r="LUF96" s="168"/>
      <c r="LUG96" s="167"/>
      <c r="LUH96" s="168"/>
      <c r="LUI96" s="167"/>
      <c r="LUJ96" s="168"/>
      <c r="LUK96" s="167"/>
      <c r="LUL96" s="168"/>
      <c r="LUM96" s="167"/>
      <c r="LUN96" s="168"/>
      <c r="LUO96" s="167"/>
      <c r="LUP96" s="168"/>
      <c r="LUQ96" s="167"/>
      <c r="LUR96" s="168"/>
      <c r="LUS96" s="167"/>
      <c r="LUT96" s="168"/>
      <c r="LUU96" s="167"/>
      <c r="LUV96" s="168"/>
      <c r="LUW96" s="167"/>
      <c r="LUX96" s="168"/>
      <c r="LUY96" s="167"/>
      <c r="LUZ96" s="168"/>
      <c r="LVA96" s="167"/>
      <c r="LVB96" s="168"/>
      <c r="LVC96" s="167"/>
      <c r="LVD96" s="168"/>
      <c r="LVE96" s="167"/>
      <c r="LVF96" s="168"/>
      <c r="LVG96" s="167"/>
      <c r="LVH96" s="168"/>
      <c r="LVI96" s="167"/>
      <c r="LVJ96" s="168"/>
      <c r="LVK96" s="167"/>
      <c r="LVL96" s="168"/>
      <c r="LVM96" s="167"/>
      <c r="LVN96" s="168"/>
      <c r="LVO96" s="167"/>
      <c r="LVP96" s="168"/>
      <c r="LVQ96" s="167"/>
      <c r="LVR96" s="168"/>
      <c r="LVS96" s="167"/>
      <c r="LVT96" s="168"/>
      <c r="LVU96" s="167"/>
      <c r="LVV96" s="168"/>
      <c r="LVW96" s="167"/>
      <c r="LVX96" s="168"/>
      <c r="LVY96" s="167"/>
      <c r="LVZ96" s="168"/>
      <c r="LWA96" s="167"/>
      <c r="LWB96" s="168"/>
      <c r="LWC96" s="167"/>
      <c r="LWD96" s="168"/>
      <c r="LWE96" s="167"/>
      <c r="LWF96" s="168"/>
      <c r="LWG96" s="167"/>
      <c r="LWH96" s="168"/>
      <c r="LWI96" s="167"/>
      <c r="LWJ96" s="168"/>
      <c r="LWK96" s="167"/>
      <c r="LWL96" s="168"/>
      <c r="LWM96" s="167"/>
      <c r="LWN96" s="168"/>
      <c r="LWO96" s="167"/>
      <c r="LWP96" s="168"/>
      <c r="LWQ96" s="167"/>
      <c r="LWR96" s="168"/>
      <c r="LWS96" s="167"/>
      <c r="LWT96" s="168"/>
      <c r="LWU96" s="167"/>
      <c r="LWV96" s="168"/>
      <c r="LWW96" s="167"/>
      <c r="LWX96" s="168"/>
      <c r="LWY96" s="167"/>
      <c r="LWZ96" s="168"/>
      <c r="LXA96" s="167"/>
      <c r="LXB96" s="168"/>
      <c r="LXC96" s="167"/>
      <c r="LXD96" s="168"/>
      <c r="LXE96" s="167"/>
      <c r="LXF96" s="168"/>
      <c r="LXG96" s="167"/>
      <c r="LXH96" s="168"/>
      <c r="LXI96" s="167"/>
      <c r="LXJ96" s="168"/>
      <c r="LXK96" s="167"/>
      <c r="LXL96" s="168"/>
      <c r="LXM96" s="167"/>
      <c r="LXN96" s="168"/>
      <c r="LXO96" s="167"/>
      <c r="LXP96" s="168"/>
      <c r="LXQ96" s="167"/>
      <c r="LXR96" s="168"/>
      <c r="LXS96" s="167"/>
      <c r="LXT96" s="168"/>
      <c r="LXU96" s="167"/>
      <c r="LXV96" s="168"/>
      <c r="LXW96" s="167"/>
      <c r="LXX96" s="168"/>
      <c r="LXY96" s="167"/>
      <c r="LXZ96" s="168"/>
      <c r="LYA96" s="167"/>
      <c r="LYB96" s="168"/>
      <c r="LYC96" s="167"/>
      <c r="LYD96" s="168"/>
      <c r="LYE96" s="167"/>
      <c r="LYF96" s="168"/>
      <c r="LYG96" s="167"/>
      <c r="LYH96" s="168"/>
      <c r="LYI96" s="167"/>
      <c r="LYJ96" s="168"/>
      <c r="LYK96" s="167"/>
      <c r="LYL96" s="168"/>
      <c r="LYM96" s="167"/>
      <c r="LYN96" s="168"/>
      <c r="LYO96" s="167"/>
      <c r="LYP96" s="168"/>
      <c r="LYQ96" s="167"/>
      <c r="LYR96" s="168"/>
      <c r="LYS96" s="167"/>
      <c r="LYT96" s="168"/>
      <c r="LYU96" s="167"/>
      <c r="LYV96" s="168"/>
      <c r="LYW96" s="167"/>
      <c r="LYX96" s="168"/>
      <c r="LYY96" s="167"/>
      <c r="LYZ96" s="168"/>
      <c r="LZA96" s="167"/>
      <c r="LZB96" s="168"/>
      <c r="LZC96" s="167"/>
      <c r="LZD96" s="168"/>
      <c r="LZE96" s="167"/>
      <c r="LZF96" s="168"/>
      <c r="LZG96" s="167"/>
      <c r="LZH96" s="168"/>
      <c r="LZI96" s="167"/>
      <c r="LZJ96" s="168"/>
      <c r="LZK96" s="167"/>
      <c r="LZL96" s="168"/>
      <c r="LZM96" s="167"/>
      <c r="LZN96" s="168"/>
      <c r="LZO96" s="167"/>
      <c r="LZP96" s="168"/>
      <c r="LZQ96" s="167"/>
      <c r="LZR96" s="168"/>
      <c r="LZS96" s="167"/>
      <c r="LZT96" s="168"/>
      <c r="LZU96" s="167"/>
      <c r="LZV96" s="168"/>
      <c r="LZW96" s="167"/>
      <c r="LZX96" s="168"/>
      <c r="LZY96" s="167"/>
      <c r="LZZ96" s="168"/>
      <c r="MAA96" s="167"/>
      <c r="MAB96" s="168"/>
      <c r="MAC96" s="167"/>
      <c r="MAD96" s="168"/>
      <c r="MAE96" s="167"/>
      <c r="MAF96" s="168"/>
      <c r="MAG96" s="167"/>
      <c r="MAH96" s="168"/>
      <c r="MAI96" s="167"/>
      <c r="MAJ96" s="168"/>
      <c r="MAK96" s="167"/>
      <c r="MAL96" s="168"/>
      <c r="MAM96" s="167"/>
      <c r="MAN96" s="168"/>
      <c r="MAO96" s="167"/>
      <c r="MAP96" s="168"/>
      <c r="MAQ96" s="167"/>
      <c r="MAR96" s="168"/>
      <c r="MAS96" s="167"/>
      <c r="MAT96" s="168"/>
      <c r="MAU96" s="167"/>
      <c r="MAV96" s="168"/>
      <c r="MAW96" s="167"/>
      <c r="MAX96" s="168"/>
      <c r="MAY96" s="167"/>
      <c r="MAZ96" s="168"/>
      <c r="MBA96" s="167"/>
      <c r="MBB96" s="168"/>
      <c r="MBC96" s="167"/>
      <c r="MBD96" s="168"/>
      <c r="MBE96" s="167"/>
      <c r="MBF96" s="168"/>
      <c r="MBG96" s="167"/>
      <c r="MBH96" s="168"/>
      <c r="MBI96" s="167"/>
      <c r="MBJ96" s="168"/>
      <c r="MBK96" s="167"/>
      <c r="MBL96" s="168"/>
      <c r="MBM96" s="167"/>
      <c r="MBN96" s="168"/>
      <c r="MBO96" s="167"/>
      <c r="MBP96" s="168"/>
      <c r="MBQ96" s="167"/>
      <c r="MBR96" s="168"/>
      <c r="MBS96" s="167"/>
      <c r="MBT96" s="168"/>
      <c r="MBU96" s="167"/>
      <c r="MBV96" s="168"/>
      <c r="MBW96" s="167"/>
      <c r="MBX96" s="168"/>
      <c r="MBY96" s="167"/>
      <c r="MBZ96" s="168"/>
      <c r="MCA96" s="167"/>
      <c r="MCB96" s="168"/>
      <c r="MCC96" s="167"/>
      <c r="MCD96" s="168"/>
      <c r="MCE96" s="167"/>
      <c r="MCF96" s="168"/>
      <c r="MCG96" s="167"/>
      <c r="MCH96" s="168"/>
      <c r="MCI96" s="167"/>
      <c r="MCJ96" s="168"/>
      <c r="MCK96" s="167"/>
      <c r="MCL96" s="168"/>
      <c r="MCM96" s="167"/>
      <c r="MCN96" s="168"/>
      <c r="MCO96" s="167"/>
      <c r="MCP96" s="168"/>
      <c r="MCQ96" s="167"/>
      <c r="MCR96" s="168"/>
      <c r="MCS96" s="167"/>
      <c r="MCT96" s="168"/>
      <c r="MCU96" s="167"/>
      <c r="MCV96" s="168"/>
      <c r="MCW96" s="167"/>
      <c r="MCX96" s="168"/>
      <c r="MCY96" s="167"/>
      <c r="MCZ96" s="168"/>
      <c r="MDA96" s="167"/>
      <c r="MDB96" s="168"/>
      <c r="MDC96" s="167"/>
      <c r="MDD96" s="168"/>
      <c r="MDE96" s="167"/>
      <c r="MDF96" s="168"/>
      <c r="MDG96" s="167"/>
      <c r="MDH96" s="168"/>
      <c r="MDI96" s="167"/>
      <c r="MDJ96" s="168"/>
      <c r="MDK96" s="167"/>
      <c r="MDL96" s="168"/>
      <c r="MDM96" s="167"/>
      <c r="MDN96" s="168"/>
      <c r="MDO96" s="167"/>
      <c r="MDP96" s="168"/>
      <c r="MDQ96" s="167"/>
      <c r="MDR96" s="168"/>
      <c r="MDS96" s="167"/>
      <c r="MDT96" s="168"/>
      <c r="MDU96" s="167"/>
      <c r="MDV96" s="168"/>
      <c r="MDW96" s="167"/>
      <c r="MDX96" s="168"/>
      <c r="MDY96" s="167"/>
      <c r="MDZ96" s="168"/>
      <c r="MEA96" s="167"/>
      <c r="MEB96" s="168"/>
      <c r="MEC96" s="167"/>
      <c r="MED96" s="168"/>
      <c r="MEE96" s="167"/>
      <c r="MEF96" s="168"/>
      <c r="MEG96" s="167"/>
      <c r="MEH96" s="168"/>
      <c r="MEI96" s="167"/>
      <c r="MEJ96" s="168"/>
      <c r="MEK96" s="167"/>
      <c r="MEL96" s="168"/>
      <c r="MEM96" s="167"/>
      <c r="MEN96" s="168"/>
      <c r="MEO96" s="167"/>
      <c r="MEP96" s="168"/>
      <c r="MEQ96" s="167"/>
      <c r="MER96" s="168"/>
      <c r="MES96" s="167"/>
      <c r="MET96" s="168"/>
      <c r="MEU96" s="167"/>
      <c r="MEV96" s="168"/>
      <c r="MEW96" s="167"/>
      <c r="MEX96" s="168"/>
      <c r="MEY96" s="167"/>
      <c r="MEZ96" s="168"/>
      <c r="MFA96" s="167"/>
      <c r="MFB96" s="168"/>
      <c r="MFC96" s="167"/>
      <c r="MFD96" s="168"/>
      <c r="MFE96" s="167"/>
      <c r="MFF96" s="168"/>
      <c r="MFG96" s="167"/>
      <c r="MFH96" s="168"/>
      <c r="MFI96" s="167"/>
      <c r="MFJ96" s="168"/>
      <c r="MFK96" s="167"/>
      <c r="MFL96" s="168"/>
      <c r="MFM96" s="167"/>
      <c r="MFN96" s="168"/>
      <c r="MFO96" s="167"/>
      <c r="MFP96" s="168"/>
      <c r="MFQ96" s="167"/>
      <c r="MFR96" s="168"/>
      <c r="MFS96" s="167"/>
      <c r="MFT96" s="168"/>
      <c r="MFU96" s="167"/>
      <c r="MFV96" s="168"/>
      <c r="MFW96" s="167"/>
      <c r="MFX96" s="168"/>
      <c r="MFY96" s="167"/>
      <c r="MFZ96" s="168"/>
      <c r="MGA96" s="167"/>
      <c r="MGB96" s="168"/>
      <c r="MGC96" s="167"/>
      <c r="MGD96" s="168"/>
      <c r="MGE96" s="167"/>
      <c r="MGF96" s="168"/>
      <c r="MGG96" s="167"/>
      <c r="MGH96" s="168"/>
      <c r="MGI96" s="167"/>
      <c r="MGJ96" s="168"/>
      <c r="MGK96" s="167"/>
      <c r="MGL96" s="168"/>
      <c r="MGM96" s="167"/>
      <c r="MGN96" s="168"/>
      <c r="MGO96" s="167"/>
      <c r="MGP96" s="168"/>
      <c r="MGQ96" s="167"/>
      <c r="MGR96" s="168"/>
      <c r="MGS96" s="167"/>
      <c r="MGT96" s="168"/>
      <c r="MGU96" s="167"/>
      <c r="MGV96" s="168"/>
      <c r="MGW96" s="167"/>
      <c r="MGX96" s="168"/>
      <c r="MGY96" s="167"/>
      <c r="MGZ96" s="168"/>
      <c r="MHA96" s="167"/>
      <c r="MHB96" s="168"/>
      <c r="MHC96" s="167"/>
      <c r="MHD96" s="168"/>
      <c r="MHE96" s="167"/>
      <c r="MHF96" s="168"/>
      <c r="MHG96" s="167"/>
      <c r="MHH96" s="168"/>
      <c r="MHI96" s="167"/>
      <c r="MHJ96" s="168"/>
      <c r="MHK96" s="167"/>
      <c r="MHL96" s="168"/>
      <c r="MHM96" s="167"/>
      <c r="MHN96" s="168"/>
      <c r="MHO96" s="167"/>
      <c r="MHP96" s="168"/>
      <c r="MHQ96" s="167"/>
      <c r="MHR96" s="168"/>
      <c r="MHS96" s="167"/>
      <c r="MHT96" s="168"/>
      <c r="MHU96" s="167"/>
      <c r="MHV96" s="168"/>
      <c r="MHW96" s="167"/>
      <c r="MHX96" s="168"/>
      <c r="MHY96" s="167"/>
      <c r="MHZ96" s="168"/>
      <c r="MIA96" s="167"/>
      <c r="MIB96" s="168"/>
      <c r="MIC96" s="167"/>
      <c r="MID96" s="168"/>
      <c r="MIE96" s="167"/>
      <c r="MIF96" s="168"/>
      <c r="MIG96" s="167"/>
      <c r="MIH96" s="168"/>
      <c r="MII96" s="167"/>
      <c r="MIJ96" s="168"/>
      <c r="MIK96" s="167"/>
      <c r="MIL96" s="168"/>
      <c r="MIM96" s="167"/>
      <c r="MIN96" s="168"/>
      <c r="MIO96" s="167"/>
      <c r="MIP96" s="168"/>
      <c r="MIQ96" s="167"/>
      <c r="MIR96" s="168"/>
      <c r="MIS96" s="167"/>
      <c r="MIT96" s="168"/>
      <c r="MIU96" s="167"/>
      <c r="MIV96" s="168"/>
      <c r="MIW96" s="167"/>
      <c r="MIX96" s="168"/>
      <c r="MIY96" s="167"/>
      <c r="MIZ96" s="168"/>
      <c r="MJA96" s="167"/>
      <c r="MJB96" s="168"/>
      <c r="MJC96" s="167"/>
      <c r="MJD96" s="168"/>
      <c r="MJE96" s="167"/>
      <c r="MJF96" s="168"/>
      <c r="MJG96" s="167"/>
      <c r="MJH96" s="168"/>
      <c r="MJI96" s="167"/>
      <c r="MJJ96" s="168"/>
      <c r="MJK96" s="167"/>
      <c r="MJL96" s="168"/>
      <c r="MJM96" s="167"/>
      <c r="MJN96" s="168"/>
      <c r="MJO96" s="167"/>
      <c r="MJP96" s="168"/>
      <c r="MJQ96" s="167"/>
      <c r="MJR96" s="168"/>
      <c r="MJS96" s="167"/>
      <c r="MJT96" s="168"/>
      <c r="MJU96" s="167"/>
      <c r="MJV96" s="168"/>
      <c r="MJW96" s="167"/>
      <c r="MJX96" s="168"/>
      <c r="MJY96" s="167"/>
      <c r="MJZ96" s="168"/>
      <c r="MKA96" s="167"/>
      <c r="MKB96" s="168"/>
      <c r="MKC96" s="167"/>
      <c r="MKD96" s="168"/>
      <c r="MKE96" s="167"/>
      <c r="MKF96" s="168"/>
      <c r="MKG96" s="167"/>
      <c r="MKH96" s="168"/>
      <c r="MKI96" s="167"/>
      <c r="MKJ96" s="168"/>
      <c r="MKK96" s="167"/>
      <c r="MKL96" s="168"/>
      <c r="MKM96" s="167"/>
      <c r="MKN96" s="168"/>
      <c r="MKO96" s="167"/>
      <c r="MKP96" s="168"/>
      <c r="MKQ96" s="167"/>
      <c r="MKR96" s="168"/>
      <c r="MKS96" s="167"/>
      <c r="MKT96" s="168"/>
      <c r="MKU96" s="167"/>
      <c r="MKV96" s="168"/>
      <c r="MKW96" s="167"/>
      <c r="MKX96" s="168"/>
      <c r="MKY96" s="167"/>
      <c r="MKZ96" s="168"/>
      <c r="MLA96" s="167"/>
      <c r="MLB96" s="168"/>
      <c r="MLC96" s="167"/>
      <c r="MLD96" s="168"/>
      <c r="MLE96" s="167"/>
      <c r="MLF96" s="168"/>
      <c r="MLG96" s="167"/>
      <c r="MLH96" s="168"/>
      <c r="MLI96" s="167"/>
      <c r="MLJ96" s="168"/>
      <c r="MLK96" s="167"/>
      <c r="MLL96" s="168"/>
      <c r="MLM96" s="167"/>
      <c r="MLN96" s="168"/>
      <c r="MLO96" s="167"/>
      <c r="MLP96" s="168"/>
      <c r="MLQ96" s="167"/>
      <c r="MLR96" s="168"/>
      <c r="MLS96" s="167"/>
      <c r="MLT96" s="168"/>
      <c r="MLU96" s="167"/>
      <c r="MLV96" s="168"/>
      <c r="MLW96" s="167"/>
      <c r="MLX96" s="168"/>
      <c r="MLY96" s="167"/>
      <c r="MLZ96" s="168"/>
      <c r="MMA96" s="167"/>
      <c r="MMB96" s="168"/>
      <c r="MMC96" s="167"/>
      <c r="MMD96" s="168"/>
      <c r="MME96" s="167"/>
      <c r="MMF96" s="168"/>
      <c r="MMG96" s="167"/>
      <c r="MMH96" s="168"/>
      <c r="MMI96" s="167"/>
      <c r="MMJ96" s="168"/>
      <c r="MMK96" s="167"/>
      <c r="MML96" s="168"/>
      <c r="MMM96" s="167"/>
      <c r="MMN96" s="168"/>
      <c r="MMO96" s="167"/>
      <c r="MMP96" s="168"/>
      <c r="MMQ96" s="167"/>
      <c r="MMR96" s="168"/>
      <c r="MMS96" s="167"/>
      <c r="MMT96" s="168"/>
      <c r="MMU96" s="167"/>
      <c r="MMV96" s="168"/>
      <c r="MMW96" s="167"/>
      <c r="MMX96" s="168"/>
      <c r="MMY96" s="167"/>
      <c r="MMZ96" s="168"/>
      <c r="MNA96" s="167"/>
      <c r="MNB96" s="168"/>
      <c r="MNC96" s="167"/>
      <c r="MND96" s="168"/>
      <c r="MNE96" s="167"/>
      <c r="MNF96" s="168"/>
      <c r="MNG96" s="167"/>
      <c r="MNH96" s="168"/>
      <c r="MNI96" s="167"/>
      <c r="MNJ96" s="168"/>
      <c r="MNK96" s="167"/>
      <c r="MNL96" s="168"/>
      <c r="MNM96" s="167"/>
      <c r="MNN96" s="168"/>
      <c r="MNO96" s="167"/>
      <c r="MNP96" s="168"/>
      <c r="MNQ96" s="167"/>
      <c r="MNR96" s="168"/>
      <c r="MNS96" s="167"/>
      <c r="MNT96" s="168"/>
      <c r="MNU96" s="167"/>
      <c r="MNV96" s="168"/>
      <c r="MNW96" s="167"/>
      <c r="MNX96" s="168"/>
      <c r="MNY96" s="167"/>
      <c r="MNZ96" s="168"/>
      <c r="MOA96" s="167"/>
      <c r="MOB96" s="168"/>
      <c r="MOC96" s="167"/>
      <c r="MOD96" s="168"/>
      <c r="MOE96" s="167"/>
      <c r="MOF96" s="168"/>
      <c r="MOG96" s="167"/>
      <c r="MOH96" s="168"/>
      <c r="MOI96" s="167"/>
      <c r="MOJ96" s="168"/>
      <c r="MOK96" s="167"/>
      <c r="MOL96" s="168"/>
      <c r="MOM96" s="167"/>
      <c r="MON96" s="168"/>
      <c r="MOO96" s="167"/>
      <c r="MOP96" s="168"/>
      <c r="MOQ96" s="167"/>
      <c r="MOR96" s="168"/>
      <c r="MOS96" s="167"/>
      <c r="MOT96" s="168"/>
      <c r="MOU96" s="167"/>
      <c r="MOV96" s="168"/>
      <c r="MOW96" s="167"/>
      <c r="MOX96" s="168"/>
      <c r="MOY96" s="167"/>
      <c r="MOZ96" s="168"/>
      <c r="MPA96" s="167"/>
      <c r="MPB96" s="168"/>
      <c r="MPC96" s="167"/>
      <c r="MPD96" s="168"/>
      <c r="MPE96" s="167"/>
      <c r="MPF96" s="168"/>
      <c r="MPG96" s="167"/>
      <c r="MPH96" s="168"/>
      <c r="MPI96" s="167"/>
      <c r="MPJ96" s="168"/>
      <c r="MPK96" s="167"/>
      <c r="MPL96" s="168"/>
      <c r="MPM96" s="167"/>
      <c r="MPN96" s="168"/>
      <c r="MPO96" s="167"/>
      <c r="MPP96" s="168"/>
      <c r="MPQ96" s="167"/>
      <c r="MPR96" s="168"/>
      <c r="MPS96" s="167"/>
      <c r="MPT96" s="168"/>
      <c r="MPU96" s="167"/>
      <c r="MPV96" s="168"/>
      <c r="MPW96" s="167"/>
      <c r="MPX96" s="168"/>
      <c r="MPY96" s="167"/>
      <c r="MPZ96" s="168"/>
      <c r="MQA96" s="167"/>
      <c r="MQB96" s="168"/>
      <c r="MQC96" s="167"/>
      <c r="MQD96" s="168"/>
      <c r="MQE96" s="167"/>
      <c r="MQF96" s="168"/>
      <c r="MQG96" s="167"/>
      <c r="MQH96" s="168"/>
      <c r="MQI96" s="167"/>
      <c r="MQJ96" s="168"/>
      <c r="MQK96" s="167"/>
      <c r="MQL96" s="168"/>
      <c r="MQM96" s="167"/>
      <c r="MQN96" s="168"/>
      <c r="MQO96" s="167"/>
      <c r="MQP96" s="168"/>
      <c r="MQQ96" s="167"/>
      <c r="MQR96" s="168"/>
      <c r="MQS96" s="167"/>
      <c r="MQT96" s="168"/>
      <c r="MQU96" s="167"/>
      <c r="MQV96" s="168"/>
      <c r="MQW96" s="167"/>
      <c r="MQX96" s="168"/>
      <c r="MQY96" s="167"/>
      <c r="MQZ96" s="168"/>
      <c r="MRA96" s="167"/>
      <c r="MRB96" s="168"/>
      <c r="MRC96" s="167"/>
      <c r="MRD96" s="168"/>
      <c r="MRE96" s="167"/>
      <c r="MRF96" s="168"/>
      <c r="MRG96" s="167"/>
      <c r="MRH96" s="168"/>
      <c r="MRI96" s="167"/>
      <c r="MRJ96" s="168"/>
      <c r="MRK96" s="167"/>
      <c r="MRL96" s="168"/>
      <c r="MRM96" s="167"/>
      <c r="MRN96" s="168"/>
      <c r="MRO96" s="167"/>
      <c r="MRP96" s="168"/>
      <c r="MRQ96" s="167"/>
      <c r="MRR96" s="168"/>
      <c r="MRS96" s="167"/>
      <c r="MRT96" s="168"/>
      <c r="MRU96" s="167"/>
      <c r="MRV96" s="168"/>
      <c r="MRW96" s="167"/>
      <c r="MRX96" s="168"/>
      <c r="MRY96" s="167"/>
      <c r="MRZ96" s="168"/>
      <c r="MSA96" s="167"/>
      <c r="MSB96" s="168"/>
      <c r="MSC96" s="167"/>
      <c r="MSD96" s="168"/>
      <c r="MSE96" s="167"/>
      <c r="MSF96" s="168"/>
      <c r="MSG96" s="167"/>
      <c r="MSH96" s="168"/>
      <c r="MSI96" s="167"/>
      <c r="MSJ96" s="168"/>
      <c r="MSK96" s="167"/>
      <c r="MSL96" s="168"/>
      <c r="MSM96" s="167"/>
      <c r="MSN96" s="168"/>
      <c r="MSO96" s="167"/>
      <c r="MSP96" s="168"/>
      <c r="MSQ96" s="167"/>
      <c r="MSR96" s="168"/>
      <c r="MSS96" s="167"/>
      <c r="MST96" s="168"/>
      <c r="MSU96" s="167"/>
      <c r="MSV96" s="168"/>
      <c r="MSW96" s="167"/>
      <c r="MSX96" s="168"/>
      <c r="MSY96" s="167"/>
      <c r="MSZ96" s="168"/>
      <c r="MTA96" s="167"/>
      <c r="MTB96" s="168"/>
      <c r="MTC96" s="167"/>
      <c r="MTD96" s="168"/>
      <c r="MTE96" s="167"/>
      <c r="MTF96" s="168"/>
      <c r="MTG96" s="167"/>
      <c r="MTH96" s="168"/>
      <c r="MTI96" s="167"/>
      <c r="MTJ96" s="168"/>
      <c r="MTK96" s="167"/>
      <c r="MTL96" s="168"/>
      <c r="MTM96" s="167"/>
      <c r="MTN96" s="168"/>
      <c r="MTO96" s="167"/>
      <c r="MTP96" s="168"/>
      <c r="MTQ96" s="167"/>
      <c r="MTR96" s="168"/>
      <c r="MTS96" s="167"/>
      <c r="MTT96" s="168"/>
      <c r="MTU96" s="167"/>
      <c r="MTV96" s="168"/>
      <c r="MTW96" s="167"/>
      <c r="MTX96" s="168"/>
      <c r="MTY96" s="167"/>
      <c r="MTZ96" s="168"/>
      <c r="MUA96" s="167"/>
      <c r="MUB96" s="168"/>
      <c r="MUC96" s="167"/>
      <c r="MUD96" s="168"/>
      <c r="MUE96" s="167"/>
      <c r="MUF96" s="168"/>
      <c r="MUG96" s="167"/>
      <c r="MUH96" s="168"/>
      <c r="MUI96" s="167"/>
      <c r="MUJ96" s="168"/>
      <c r="MUK96" s="167"/>
      <c r="MUL96" s="168"/>
      <c r="MUM96" s="167"/>
      <c r="MUN96" s="168"/>
      <c r="MUO96" s="167"/>
      <c r="MUP96" s="168"/>
      <c r="MUQ96" s="167"/>
      <c r="MUR96" s="168"/>
      <c r="MUS96" s="167"/>
      <c r="MUT96" s="168"/>
      <c r="MUU96" s="167"/>
      <c r="MUV96" s="168"/>
      <c r="MUW96" s="167"/>
      <c r="MUX96" s="168"/>
      <c r="MUY96" s="167"/>
      <c r="MUZ96" s="168"/>
      <c r="MVA96" s="167"/>
      <c r="MVB96" s="168"/>
      <c r="MVC96" s="167"/>
      <c r="MVD96" s="168"/>
      <c r="MVE96" s="167"/>
      <c r="MVF96" s="168"/>
      <c r="MVG96" s="167"/>
      <c r="MVH96" s="168"/>
      <c r="MVI96" s="167"/>
      <c r="MVJ96" s="168"/>
      <c r="MVK96" s="167"/>
      <c r="MVL96" s="168"/>
      <c r="MVM96" s="167"/>
      <c r="MVN96" s="168"/>
      <c r="MVO96" s="167"/>
      <c r="MVP96" s="168"/>
      <c r="MVQ96" s="167"/>
      <c r="MVR96" s="168"/>
      <c r="MVS96" s="167"/>
      <c r="MVT96" s="168"/>
      <c r="MVU96" s="167"/>
      <c r="MVV96" s="168"/>
      <c r="MVW96" s="167"/>
      <c r="MVX96" s="168"/>
      <c r="MVY96" s="167"/>
      <c r="MVZ96" s="168"/>
      <c r="MWA96" s="167"/>
      <c r="MWB96" s="168"/>
      <c r="MWC96" s="167"/>
      <c r="MWD96" s="168"/>
      <c r="MWE96" s="167"/>
      <c r="MWF96" s="168"/>
      <c r="MWG96" s="167"/>
      <c r="MWH96" s="168"/>
      <c r="MWI96" s="167"/>
      <c r="MWJ96" s="168"/>
      <c r="MWK96" s="167"/>
      <c r="MWL96" s="168"/>
      <c r="MWM96" s="167"/>
      <c r="MWN96" s="168"/>
      <c r="MWO96" s="167"/>
      <c r="MWP96" s="168"/>
      <c r="MWQ96" s="167"/>
      <c r="MWR96" s="168"/>
      <c r="MWS96" s="167"/>
      <c r="MWT96" s="168"/>
      <c r="MWU96" s="167"/>
      <c r="MWV96" s="168"/>
      <c r="MWW96" s="167"/>
      <c r="MWX96" s="168"/>
      <c r="MWY96" s="167"/>
      <c r="MWZ96" s="168"/>
      <c r="MXA96" s="167"/>
      <c r="MXB96" s="168"/>
      <c r="MXC96" s="167"/>
      <c r="MXD96" s="168"/>
      <c r="MXE96" s="167"/>
      <c r="MXF96" s="168"/>
      <c r="MXG96" s="167"/>
      <c r="MXH96" s="168"/>
      <c r="MXI96" s="167"/>
      <c r="MXJ96" s="168"/>
      <c r="MXK96" s="167"/>
      <c r="MXL96" s="168"/>
      <c r="MXM96" s="167"/>
      <c r="MXN96" s="168"/>
      <c r="MXO96" s="167"/>
      <c r="MXP96" s="168"/>
      <c r="MXQ96" s="167"/>
      <c r="MXR96" s="168"/>
      <c r="MXS96" s="167"/>
      <c r="MXT96" s="168"/>
      <c r="MXU96" s="167"/>
      <c r="MXV96" s="168"/>
      <c r="MXW96" s="167"/>
      <c r="MXX96" s="168"/>
      <c r="MXY96" s="167"/>
      <c r="MXZ96" s="168"/>
      <c r="MYA96" s="167"/>
      <c r="MYB96" s="168"/>
      <c r="MYC96" s="167"/>
      <c r="MYD96" s="168"/>
      <c r="MYE96" s="167"/>
      <c r="MYF96" s="168"/>
      <c r="MYG96" s="167"/>
      <c r="MYH96" s="168"/>
      <c r="MYI96" s="167"/>
      <c r="MYJ96" s="168"/>
      <c r="MYK96" s="167"/>
      <c r="MYL96" s="168"/>
      <c r="MYM96" s="167"/>
      <c r="MYN96" s="168"/>
      <c r="MYO96" s="167"/>
      <c r="MYP96" s="168"/>
      <c r="MYQ96" s="167"/>
      <c r="MYR96" s="168"/>
      <c r="MYS96" s="167"/>
      <c r="MYT96" s="168"/>
      <c r="MYU96" s="167"/>
      <c r="MYV96" s="168"/>
      <c r="MYW96" s="167"/>
      <c r="MYX96" s="168"/>
      <c r="MYY96" s="167"/>
      <c r="MYZ96" s="168"/>
      <c r="MZA96" s="167"/>
      <c r="MZB96" s="168"/>
      <c r="MZC96" s="167"/>
      <c r="MZD96" s="168"/>
      <c r="MZE96" s="167"/>
      <c r="MZF96" s="168"/>
      <c r="MZG96" s="167"/>
      <c r="MZH96" s="168"/>
      <c r="MZI96" s="167"/>
      <c r="MZJ96" s="168"/>
      <c r="MZK96" s="167"/>
      <c r="MZL96" s="168"/>
      <c r="MZM96" s="167"/>
      <c r="MZN96" s="168"/>
      <c r="MZO96" s="167"/>
      <c r="MZP96" s="168"/>
      <c r="MZQ96" s="167"/>
      <c r="MZR96" s="168"/>
      <c r="MZS96" s="167"/>
      <c r="MZT96" s="168"/>
      <c r="MZU96" s="167"/>
      <c r="MZV96" s="168"/>
      <c r="MZW96" s="167"/>
      <c r="MZX96" s="168"/>
      <c r="MZY96" s="167"/>
      <c r="MZZ96" s="168"/>
      <c r="NAA96" s="167"/>
      <c r="NAB96" s="168"/>
      <c r="NAC96" s="167"/>
      <c r="NAD96" s="168"/>
      <c r="NAE96" s="167"/>
      <c r="NAF96" s="168"/>
      <c r="NAG96" s="167"/>
      <c r="NAH96" s="168"/>
      <c r="NAI96" s="167"/>
      <c r="NAJ96" s="168"/>
      <c r="NAK96" s="167"/>
      <c r="NAL96" s="168"/>
      <c r="NAM96" s="167"/>
      <c r="NAN96" s="168"/>
      <c r="NAO96" s="167"/>
      <c r="NAP96" s="168"/>
      <c r="NAQ96" s="167"/>
      <c r="NAR96" s="168"/>
      <c r="NAS96" s="167"/>
      <c r="NAT96" s="168"/>
      <c r="NAU96" s="167"/>
      <c r="NAV96" s="168"/>
      <c r="NAW96" s="167"/>
      <c r="NAX96" s="168"/>
      <c r="NAY96" s="167"/>
      <c r="NAZ96" s="168"/>
      <c r="NBA96" s="167"/>
      <c r="NBB96" s="168"/>
      <c r="NBC96" s="167"/>
      <c r="NBD96" s="168"/>
      <c r="NBE96" s="167"/>
      <c r="NBF96" s="168"/>
      <c r="NBG96" s="167"/>
      <c r="NBH96" s="168"/>
      <c r="NBI96" s="167"/>
      <c r="NBJ96" s="168"/>
      <c r="NBK96" s="167"/>
      <c r="NBL96" s="168"/>
      <c r="NBM96" s="167"/>
      <c r="NBN96" s="168"/>
      <c r="NBO96" s="167"/>
      <c r="NBP96" s="168"/>
      <c r="NBQ96" s="167"/>
      <c r="NBR96" s="168"/>
      <c r="NBS96" s="167"/>
      <c r="NBT96" s="168"/>
      <c r="NBU96" s="167"/>
      <c r="NBV96" s="168"/>
      <c r="NBW96" s="167"/>
      <c r="NBX96" s="168"/>
      <c r="NBY96" s="167"/>
      <c r="NBZ96" s="168"/>
      <c r="NCA96" s="167"/>
      <c r="NCB96" s="168"/>
      <c r="NCC96" s="167"/>
      <c r="NCD96" s="168"/>
      <c r="NCE96" s="167"/>
      <c r="NCF96" s="168"/>
      <c r="NCG96" s="167"/>
      <c r="NCH96" s="168"/>
      <c r="NCI96" s="167"/>
      <c r="NCJ96" s="168"/>
      <c r="NCK96" s="167"/>
      <c r="NCL96" s="168"/>
      <c r="NCM96" s="167"/>
      <c r="NCN96" s="168"/>
      <c r="NCO96" s="167"/>
      <c r="NCP96" s="168"/>
      <c r="NCQ96" s="167"/>
      <c r="NCR96" s="168"/>
      <c r="NCS96" s="167"/>
      <c r="NCT96" s="168"/>
      <c r="NCU96" s="167"/>
      <c r="NCV96" s="168"/>
      <c r="NCW96" s="167"/>
      <c r="NCX96" s="168"/>
      <c r="NCY96" s="167"/>
      <c r="NCZ96" s="168"/>
      <c r="NDA96" s="167"/>
      <c r="NDB96" s="168"/>
      <c r="NDC96" s="167"/>
      <c r="NDD96" s="168"/>
      <c r="NDE96" s="167"/>
      <c r="NDF96" s="168"/>
      <c r="NDG96" s="167"/>
      <c r="NDH96" s="168"/>
      <c r="NDI96" s="167"/>
      <c r="NDJ96" s="168"/>
      <c r="NDK96" s="167"/>
      <c r="NDL96" s="168"/>
      <c r="NDM96" s="167"/>
      <c r="NDN96" s="168"/>
      <c r="NDO96" s="167"/>
      <c r="NDP96" s="168"/>
      <c r="NDQ96" s="167"/>
      <c r="NDR96" s="168"/>
      <c r="NDS96" s="167"/>
      <c r="NDT96" s="168"/>
      <c r="NDU96" s="167"/>
      <c r="NDV96" s="168"/>
      <c r="NDW96" s="167"/>
      <c r="NDX96" s="168"/>
      <c r="NDY96" s="167"/>
      <c r="NDZ96" s="168"/>
      <c r="NEA96" s="167"/>
      <c r="NEB96" s="168"/>
      <c r="NEC96" s="167"/>
      <c r="NED96" s="168"/>
      <c r="NEE96" s="167"/>
      <c r="NEF96" s="168"/>
      <c r="NEG96" s="167"/>
      <c r="NEH96" s="168"/>
      <c r="NEI96" s="167"/>
      <c r="NEJ96" s="168"/>
      <c r="NEK96" s="167"/>
      <c r="NEL96" s="168"/>
      <c r="NEM96" s="167"/>
      <c r="NEN96" s="168"/>
      <c r="NEO96" s="167"/>
      <c r="NEP96" s="168"/>
      <c r="NEQ96" s="167"/>
      <c r="NER96" s="168"/>
      <c r="NES96" s="167"/>
      <c r="NET96" s="168"/>
      <c r="NEU96" s="167"/>
      <c r="NEV96" s="168"/>
      <c r="NEW96" s="167"/>
      <c r="NEX96" s="168"/>
      <c r="NEY96" s="167"/>
      <c r="NEZ96" s="168"/>
      <c r="NFA96" s="167"/>
      <c r="NFB96" s="168"/>
      <c r="NFC96" s="167"/>
      <c r="NFD96" s="168"/>
      <c r="NFE96" s="167"/>
      <c r="NFF96" s="168"/>
      <c r="NFG96" s="167"/>
      <c r="NFH96" s="168"/>
      <c r="NFI96" s="167"/>
      <c r="NFJ96" s="168"/>
      <c r="NFK96" s="167"/>
      <c r="NFL96" s="168"/>
      <c r="NFM96" s="167"/>
      <c r="NFN96" s="168"/>
      <c r="NFO96" s="167"/>
      <c r="NFP96" s="168"/>
      <c r="NFQ96" s="167"/>
      <c r="NFR96" s="168"/>
      <c r="NFS96" s="167"/>
      <c r="NFT96" s="168"/>
      <c r="NFU96" s="167"/>
      <c r="NFV96" s="168"/>
      <c r="NFW96" s="167"/>
      <c r="NFX96" s="168"/>
      <c r="NFY96" s="167"/>
      <c r="NFZ96" s="168"/>
      <c r="NGA96" s="167"/>
      <c r="NGB96" s="168"/>
      <c r="NGC96" s="167"/>
      <c r="NGD96" s="168"/>
      <c r="NGE96" s="167"/>
      <c r="NGF96" s="168"/>
      <c r="NGG96" s="167"/>
      <c r="NGH96" s="168"/>
      <c r="NGI96" s="167"/>
      <c r="NGJ96" s="168"/>
      <c r="NGK96" s="167"/>
      <c r="NGL96" s="168"/>
      <c r="NGM96" s="167"/>
      <c r="NGN96" s="168"/>
      <c r="NGO96" s="167"/>
      <c r="NGP96" s="168"/>
      <c r="NGQ96" s="167"/>
      <c r="NGR96" s="168"/>
      <c r="NGS96" s="167"/>
      <c r="NGT96" s="168"/>
      <c r="NGU96" s="167"/>
      <c r="NGV96" s="168"/>
      <c r="NGW96" s="167"/>
      <c r="NGX96" s="168"/>
      <c r="NGY96" s="167"/>
      <c r="NGZ96" s="168"/>
      <c r="NHA96" s="167"/>
      <c r="NHB96" s="168"/>
      <c r="NHC96" s="167"/>
      <c r="NHD96" s="168"/>
      <c r="NHE96" s="167"/>
      <c r="NHF96" s="168"/>
      <c r="NHG96" s="167"/>
      <c r="NHH96" s="168"/>
      <c r="NHI96" s="167"/>
      <c r="NHJ96" s="168"/>
      <c r="NHK96" s="167"/>
      <c r="NHL96" s="168"/>
      <c r="NHM96" s="167"/>
      <c r="NHN96" s="168"/>
      <c r="NHO96" s="167"/>
      <c r="NHP96" s="168"/>
      <c r="NHQ96" s="167"/>
      <c r="NHR96" s="168"/>
      <c r="NHS96" s="167"/>
      <c r="NHT96" s="168"/>
      <c r="NHU96" s="167"/>
      <c r="NHV96" s="168"/>
      <c r="NHW96" s="167"/>
      <c r="NHX96" s="168"/>
      <c r="NHY96" s="167"/>
      <c r="NHZ96" s="168"/>
      <c r="NIA96" s="167"/>
      <c r="NIB96" s="168"/>
      <c r="NIC96" s="167"/>
      <c r="NID96" s="168"/>
      <c r="NIE96" s="167"/>
      <c r="NIF96" s="168"/>
      <c r="NIG96" s="167"/>
      <c r="NIH96" s="168"/>
      <c r="NII96" s="167"/>
      <c r="NIJ96" s="168"/>
      <c r="NIK96" s="167"/>
      <c r="NIL96" s="168"/>
      <c r="NIM96" s="167"/>
      <c r="NIN96" s="168"/>
      <c r="NIO96" s="167"/>
      <c r="NIP96" s="168"/>
      <c r="NIQ96" s="167"/>
      <c r="NIR96" s="168"/>
      <c r="NIS96" s="167"/>
      <c r="NIT96" s="168"/>
      <c r="NIU96" s="167"/>
      <c r="NIV96" s="168"/>
      <c r="NIW96" s="167"/>
      <c r="NIX96" s="168"/>
      <c r="NIY96" s="167"/>
      <c r="NIZ96" s="168"/>
      <c r="NJA96" s="167"/>
      <c r="NJB96" s="168"/>
      <c r="NJC96" s="167"/>
      <c r="NJD96" s="168"/>
      <c r="NJE96" s="167"/>
      <c r="NJF96" s="168"/>
      <c r="NJG96" s="167"/>
      <c r="NJH96" s="168"/>
      <c r="NJI96" s="167"/>
      <c r="NJJ96" s="168"/>
      <c r="NJK96" s="167"/>
      <c r="NJL96" s="168"/>
      <c r="NJM96" s="167"/>
      <c r="NJN96" s="168"/>
      <c r="NJO96" s="167"/>
      <c r="NJP96" s="168"/>
      <c r="NJQ96" s="167"/>
      <c r="NJR96" s="168"/>
      <c r="NJS96" s="167"/>
      <c r="NJT96" s="168"/>
      <c r="NJU96" s="167"/>
      <c r="NJV96" s="168"/>
      <c r="NJW96" s="167"/>
      <c r="NJX96" s="168"/>
      <c r="NJY96" s="167"/>
      <c r="NJZ96" s="168"/>
      <c r="NKA96" s="167"/>
      <c r="NKB96" s="168"/>
      <c r="NKC96" s="167"/>
      <c r="NKD96" s="168"/>
      <c r="NKE96" s="167"/>
      <c r="NKF96" s="168"/>
      <c r="NKG96" s="167"/>
      <c r="NKH96" s="168"/>
      <c r="NKI96" s="167"/>
      <c r="NKJ96" s="168"/>
      <c r="NKK96" s="167"/>
      <c r="NKL96" s="168"/>
      <c r="NKM96" s="167"/>
      <c r="NKN96" s="168"/>
      <c r="NKO96" s="167"/>
      <c r="NKP96" s="168"/>
      <c r="NKQ96" s="167"/>
      <c r="NKR96" s="168"/>
      <c r="NKS96" s="167"/>
      <c r="NKT96" s="168"/>
      <c r="NKU96" s="167"/>
      <c r="NKV96" s="168"/>
      <c r="NKW96" s="167"/>
      <c r="NKX96" s="168"/>
      <c r="NKY96" s="167"/>
      <c r="NKZ96" s="168"/>
      <c r="NLA96" s="167"/>
      <c r="NLB96" s="168"/>
      <c r="NLC96" s="167"/>
      <c r="NLD96" s="168"/>
      <c r="NLE96" s="167"/>
      <c r="NLF96" s="168"/>
      <c r="NLG96" s="167"/>
      <c r="NLH96" s="168"/>
      <c r="NLI96" s="167"/>
      <c r="NLJ96" s="168"/>
      <c r="NLK96" s="167"/>
      <c r="NLL96" s="168"/>
      <c r="NLM96" s="167"/>
      <c r="NLN96" s="168"/>
      <c r="NLO96" s="167"/>
      <c r="NLP96" s="168"/>
      <c r="NLQ96" s="167"/>
      <c r="NLR96" s="168"/>
      <c r="NLS96" s="167"/>
      <c r="NLT96" s="168"/>
      <c r="NLU96" s="167"/>
      <c r="NLV96" s="168"/>
      <c r="NLW96" s="167"/>
      <c r="NLX96" s="168"/>
      <c r="NLY96" s="167"/>
      <c r="NLZ96" s="168"/>
      <c r="NMA96" s="167"/>
      <c r="NMB96" s="168"/>
      <c r="NMC96" s="167"/>
      <c r="NMD96" s="168"/>
      <c r="NME96" s="167"/>
      <c r="NMF96" s="168"/>
      <c r="NMG96" s="167"/>
      <c r="NMH96" s="168"/>
      <c r="NMI96" s="167"/>
      <c r="NMJ96" s="168"/>
      <c r="NMK96" s="167"/>
      <c r="NML96" s="168"/>
      <c r="NMM96" s="167"/>
      <c r="NMN96" s="168"/>
      <c r="NMO96" s="167"/>
      <c r="NMP96" s="168"/>
      <c r="NMQ96" s="167"/>
      <c r="NMR96" s="168"/>
      <c r="NMS96" s="167"/>
      <c r="NMT96" s="168"/>
      <c r="NMU96" s="167"/>
      <c r="NMV96" s="168"/>
      <c r="NMW96" s="167"/>
      <c r="NMX96" s="168"/>
      <c r="NMY96" s="167"/>
      <c r="NMZ96" s="168"/>
      <c r="NNA96" s="167"/>
      <c r="NNB96" s="168"/>
      <c r="NNC96" s="167"/>
      <c r="NND96" s="168"/>
      <c r="NNE96" s="167"/>
      <c r="NNF96" s="168"/>
      <c r="NNG96" s="167"/>
      <c r="NNH96" s="168"/>
      <c r="NNI96" s="167"/>
      <c r="NNJ96" s="168"/>
      <c r="NNK96" s="167"/>
      <c r="NNL96" s="168"/>
      <c r="NNM96" s="167"/>
      <c r="NNN96" s="168"/>
      <c r="NNO96" s="167"/>
      <c r="NNP96" s="168"/>
      <c r="NNQ96" s="167"/>
      <c r="NNR96" s="168"/>
      <c r="NNS96" s="167"/>
      <c r="NNT96" s="168"/>
      <c r="NNU96" s="167"/>
      <c r="NNV96" s="168"/>
      <c r="NNW96" s="167"/>
      <c r="NNX96" s="168"/>
      <c r="NNY96" s="167"/>
      <c r="NNZ96" s="168"/>
      <c r="NOA96" s="167"/>
      <c r="NOB96" s="168"/>
      <c r="NOC96" s="167"/>
      <c r="NOD96" s="168"/>
      <c r="NOE96" s="167"/>
      <c r="NOF96" s="168"/>
      <c r="NOG96" s="167"/>
      <c r="NOH96" s="168"/>
      <c r="NOI96" s="167"/>
      <c r="NOJ96" s="168"/>
      <c r="NOK96" s="167"/>
      <c r="NOL96" s="168"/>
      <c r="NOM96" s="167"/>
      <c r="NON96" s="168"/>
      <c r="NOO96" s="167"/>
      <c r="NOP96" s="168"/>
      <c r="NOQ96" s="167"/>
      <c r="NOR96" s="168"/>
      <c r="NOS96" s="167"/>
      <c r="NOT96" s="168"/>
      <c r="NOU96" s="167"/>
      <c r="NOV96" s="168"/>
      <c r="NOW96" s="167"/>
      <c r="NOX96" s="168"/>
      <c r="NOY96" s="167"/>
      <c r="NOZ96" s="168"/>
      <c r="NPA96" s="167"/>
      <c r="NPB96" s="168"/>
      <c r="NPC96" s="167"/>
      <c r="NPD96" s="168"/>
      <c r="NPE96" s="167"/>
      <c r="NPF96" s="168"/>
      <c r="NPG96" s="167"/>
      <c r="NPH96" s="168"/>
      <c r="NPI96" s="167"/>
      <c r="NPJ96" s="168"/>
      <c r="NPK96" s="167"/>
      <c r="NPL96" s="168"/>
      <c r="NPM96" s="167"/>
      <c r="NPN96" s="168"/>
      <c r="NPO96" s="167"/>
      <c r="NPP96" s="168"/>
      <c r="NPQ96" s="167"/>
      <c r="NPR96" s="168"/>
      <c r="NPS96" s="167"/>
      <c r="NPT96" s="168"/>
      <c r="NPU96" s="167"/>
      <c r="NPV96" s="168"/>
      <c r="NPW96" s="167"/>
      <c r="NPX96" s="168"/>
      <c r="NPY96" s="167"/>
      <c r="NPZ96" s="168"/>
      <c r="NQA96" s="167"/>
      <c r="NQB96" s="168"/>
      <c r="NQC96" s="167"/>
      <c r="NQD96" s="168"/>
      <c r="NQE96" s="167"/>
      <c r="NQF96" s="168"/>
      <c r="NQG96" s="167"/>
      <c r="NQH96" s="168"/>
      <c r="NQI96" s="167"/>
      <c r="NQJ96" s="168"/>
      <c r="NQK96" s="167"/>
      <c r="NQL96" s="168"/>
      <c r="NQM96" s="167"/>
      <c r="NQN96" s="168"/>
      <c r="NQO96" s="167"/>
      <c r="NQP96" s="168"/>
      <c r="NQQ96" s="167"/>
      <c r="NQR96" s="168"/>
      <c r="NQS96" s="167"/>
      <c r="NQT96" s="168"/>
      <c r="NQU96" s="167"/>
      <c r="NQV96" s="168"/>
      <c r="NQW96" s="167"/>
      <c r="NQX96" s="168"/>
      <c r="NQY96" s="167"/>
      <c r="NQZ96" s="168"/>
      <c r="NRA96" s="167"/>
      <c r="NRB96" s="168"/>
      <c r="NRC96" s="167"/>
      <c r="NRD96" s="168"/>
      <c r="NRE96" s="167"/>
      <c r="NRF96" s="168"/>
      <c r="NRG96" s="167"/>
      <c r="NRH96" s="168"/>
      <c r="NRI96" s="167"/>
      <c r="NRJ96" s="168"/>
      <c r="NRK96" s="167"/>
      <c r="NRL96" s="168"/>
      <c r="NRM96" s="167"/>
      <c r="NRN96" s="168"/>
      <c r="NRO96" s="167"/>
      <c r="NRP96" s="168"/>
      <c r="NRQ96" s="167"/>
      <c r="NRR96" s="168"/>
      <c r="NRS96" s="167"/>
      <c r="NRT96" s="168"/>
      <c r="NRU96" s="167"/>
      <c r="NRV96" s="168"/>
      <c r="NRW96" s="167"/>
      <c r="NRX96" s="168"/>
      <c r="NRY96" s="167"/>
      <c r="NRZ96" s="168"/>
      <c r="NSA96" s="167"/>
      <c r="NSB96" s="168"/>
      <c r="NSC96" s="167"/>
      <c r="NSD96" s="168"/>
      <c r="NSE96" s="167"/>
      <c r="NSF96" s="168"/>
      <c r="NSG96" s="167"/>
      <c r="NSH96" s="168"/>
      <c r="NSI96" s="167"/>
      <c r="NSJ96" s="168"/>
      <c r="NSK96" s="167"/>
      <c r="NSL96" s="168"/>
      <c r="NSM96" s="167"/>
      <c r="NSN96" s="168"/>
      <c r="NSO96" s="167"/>
      <c r="NSP96" s="168"/>
      <c r="NSQ96" s="167"/>
      <c r="NSR96" s="168"/>
      <c r="NSS96" s="167"/>
      <c r="NST96" s="168"/>
      <c r="NSU96" s="167"/>
      <c r="NSV96" s="168"/>
      <c r="NSW96" s="167"/>
      <c r="NSX96" s="168"/>
      <c r="NSY96" s="167"/>
      <c r="NSZ96" s="168"/>
      <c r="NTA96" s="167"/>
      <c r="NTB96" s="168"/>
      <c r="NTC96" s="167"/>
      <c r="NTD96" s="168"/>
      <c r="NTE96" s="167"/>
      <c r="NTF96" s="168"/>
      <c r="NTG96" s="167"/>
      <c r="NTH96" s="168"/>
      <c r="NTI96" s="167"/>
      <c r="NTJ96" s="168"/>
      <c r="NTK96" s="167"/>
      <c r="NTL96" s="168"/>
      <c r="NTM96" s="167"/>
      <c r="NTN96" s="168"/>
      <c r="NTO96" s="167"/>
      <c r="NTP96" s="168"/>
      <c r="NTQ96" s="167"/>
      <c r="NTR96" s="168"/>
      <c r="NTS96" s="167"/>
      <c r="NTT96" s="168"/>
      <c r="NTU96" s="167"/>
      <c r="NTV96" s="168"/>
      <c r="NTW96" s="167"/>
      <c r="NTX96" s="168"/>
      <c r="NTY96" s="167"/>
      <c r="NTZ96" s="168"/>
      <c r="NUA96" s="167"/>
      <c r="NUB96" s="168"/>
      <c r="NUC96" s="167"/>
      <c r="NUD96" s="168"/>
      <c r="NUE96" s="167"/>
      <c r="NUF96" s="168"/>
      <c r="NUG96" s="167"/>
      <c r="NUH96" s="168"/>
      <c r="NUI96" s="167"/>
      <c r="NUJ96" s="168"/>
      <c r="NUK96" s="167"/>
      <c r="NUL96" s="168"/>
      <c r="NUM96" s="167"/>
      <c r="NUN96" s="168"/>
      <c r="NUO96" s="167"/>
      <c r="NUP96" s="168"/>
      <c r="NUQ96" s="167"/>
      <c r="NUR96" s="168"/>
      <c r="NUS96" s="167"/>
      <c r="NUT96" s="168"/>
      <c r="NUU96" s="167"/>
      <c r="NUV96" s="168"/>
      <c r="NUW96" s="167"/>
      <c r="NUX96" s="168"/>
      <c r="NUY96" s="167"/>
      <c r="NUZ96" s="168"/>
      <c r="NVA96" s="167"/>
      <c r="NVB96" s="168"/>
      <c r="NVC96" s="167"/>
      <c r="NVD96" s="168"/>
      <c r="NVE96" s="167"/>
      <c r="NVF96" s="168"/>
      <c r="NVG96" s="167"/>
      <c r="NVH96" s="168"/>
      <c r="NVI96" s="167"/>
      <c r="NVJ96" s="168"/>
      <c r="NVK96" s="167"/>
      <c r="NVL96" s="168"/>
      <c r="NVM96" s="167"/>
      <c r="NVN96" s="168"/>
      <c r="NVO96" s="167"/>
      <c r="NVP96" s="168"/>
      <c r="NVQ96" s="167"/>
      <c r="NVR96" s="168"/>
      <c r="NVS96" s="167"/>
      <c r="NVT96" s="168"/>
      <c r="NVU96" s="167"/>
      <c r="NVV96" s="168"/>
      <c r="NVW96" s="167"/>
      <c r="NVX96" s="168"/>
      <c r="NVY96" s="167"/>
      <c r="NVZ96" s="168"/>
      <c r="NWA96" s="167"/>
      <c r="NWB96" s="168"/>
      <c r="NWC96" s="167"/>
      <c r="NWD96" s="168"/>
      <c r="NWE96" s="167"/>
      <c r="NWF96" s="168"/>
      <c r="NWG96" s="167"/>
      <c r="NWH96" s="168"/>
      <c r="NWI96" s="167"/>
      <c r="NWJ96" s="168"/>
      <c r="NWK96" s="167"/>
      <c r="NWL96" s="168"/>
      <c r="NWM96" s="167"/>
      <c r="NWN96" s="168"/>
      <c r="NWO96" s="167"/>
      <c r="NWP96" s="168"/>
      <c r="NWQ96" s="167"/>
      <c r="NWR96" s="168"/>
      <c r="NWS96" s="167"/>
      <c r="NWT96" s="168"/>
      <c r="NWU96" s="167"/>
      <c r="NWV96" s="168"/>
      <c r="NWW96" s="167"/>
      <c r="NWX96" s="168"/>
      <c r="NWY96" s="167"/>
      <c r="NWZ96" s="168"/>
      <c r="NXA96" s="167"/>
      <c r="NXB96" s="168"/>
      <c r="NXC96" s="167"/>
      <c r="NXD96" s="168"/>
      <c r="NXE96" s="167"/>
      <c r="NXF96" s="168"/>
      <c r="NXG96" s="167"/>
      <c r="NXH96" s="168"/>
      <c r="NXI96" s="167"/>
      <c r="NXJ96" s="168"/>
      <c r="NXK96" s="167"/>
      <c r="NXL96" s="168"/>
      <c r="NXM96" s="167"/>
      <c r="NXN96" s="168"/>
      <c r="NXO96" s="167"/>
      <c r="NXP96" s="168"/>
      <c r="NXQ96" s="167"/>
      <c r="NXR96" s="168"/>
      <c r="NXS96" s="167"/>
      <c r="NXT96" s="168"/>
      <c r="NXU96" s="167"/>
      <c r="NXV96" s="168"/>
      <c r="NXW96" s="167"/>
      <c r="NXX96" s="168"/>
      <c r="NXY96" s="167"/>
      <c r="NXZ96" s="168"/>
      <c r="NYA96" s="167"/>
      <c r="NYB96" s="168"/>
      <c r="NYC96" s="167"/>
      <c r="NYD96" s="168"/>
      <c r="NYE96" s="167"/>
      <c r="NYF96" s="168"/>
      <c r="NYG96" s="167"/>
      <c r="NYH96" s="168"/>
      <c r="NYI96" s="167"/>
      <c r="NYJ96" s="168"/>
      <c r="NYK96" s="167"/>
      <c r="NYL96" s="168"/>
      <c r="NYM96" s="167"/>
      <c r="NYN96" s="168"/>
      <c r="NYO96" s="167"/>
      <c r="NYP96" s="168"/>
      <c r="NYQ96" s="167"/>
      <c r="NYR96" s="168"/>
      <c r="NYS96" s="167"/>
      <c r="NYT96" s="168"/>
      <c r="NYU96" s="167"/>
      <c r="NYV96" s="168"/>
      <c r="NYW96" s="167"/>
      <c r="NYX96" s="168"/>
      <c r="NYY96" s="167"/>
      <c r="NYZ96" s="168"/>
      <c r="NZA96" s="167"/>
      <c r="NZB96" s="168"/>
      <c r="NZC96" s="167"/>
      <c r="NZD96" s="168"/>
      <c r="NZE96" s="167"/>
      <c r="NZF96" s="168"/>
      <c r="NZG96" s="167"/>
      <c r="NZH96" s="168"/>
      <c r="NZI96" s="167"/>
      <c r="NZJ96" s="168"/>
      <c r="NZK96" s="167"/>
      <c r="NZL96" s="168"/>
      <c r="NZM96" s="167"/>
      <c r="NZN96" s="168"/>
      <c r="NZO96" s="167"/>
      <c r="NZP96" s="168"/>
      <c r="NZQ96" s="167"/>
      <c r="NZR96" s="168"/>
      <c r="NZS96" s="167"/>
      <c r="NZT96" s="168"/>
      <c r="NZU96" s="167"/>
      <c r="NZV96" s="168"/>
      <c r="NZW96" s="167"/>
      <c r="NZX96" s="168"/>
      <c r="NZY96" s="167"/>
      <c r="NZZ96" s="168"/>
      <c r="OAA96" s="167"/>
      <c r="OAB96" s="168"/>
      <c r="OAC96" s="167"/>
      <c r="OAD96" s="168"/>
      <c r="OAE96" s="167"/>
      <c r="OAF96" s="168"/>
      <c r="OAG96" s="167"/>
      <c r="OAH96" s="168"/>
      <c r="OAI96" s="167"/>
      <c r="OAJ96" s="168"/>
      <c r="OAK96" s="167"/>
      <c r="OAL96" s="168"/>
      <c r="OAM96" s="167"/>
      <c r="OAN96" s="168"/>
      <c r="OAO96" s="167"/>
      <c r="OAP96" s="168"/>
      <c r="OAQ96" s="167"/>
      <c r="OAR96" s="168"/>
      <c r="OAS96" s="167"/>
      <c r="OAT96" s="168"/>
      <c r="OAU96" s="167"/>
      <c r="OAV96" s="168"/>
      <c r="OAW96" s="167"/>
      <c r="OAX96" s="168"/>
      <c r="OAY96" s="167"/>
      <c r="OAZ96" s="168"/>
      <c r="OBA96" s="167"/>
      <c r="OBB96" s="168"/>
      <c r="OBC96" s="167"/>
      <c r="OBD96" s="168"/>
      <c r="OBE96" s="167"/>
      <c r="OBF96" s="168"/>
      <c r="OBG96" s="167"/>
      <c r="OBH96" s="168"/>
      <c r="OBI96" s="167"/>
      <c r="OBJ96" s="168"/>
      <c r="OBK96" s="167"/>
      <c r="OBL96" s="168"/>
      <c r="OBM96" s="167"/>
      <c r="OBN96" s="168"/>
      <c r="OBO96" s="167"/>
      <c r="OBP96" s="168"/>
      <c r="OBQ96" s="167"/>
      <c r="OBR96" s="168"/>
      <c r="OBS96" s="167"/>
      <c r="OBT96" s="168"/>
      <c r="OBU96" s="167"/>
      <c r="OBV96" s="168"/>
      <c r="OBW96" s="167"/>
      <c r="OBX96" s="168"/>
      <c r="OBY96" s="167"/>
      <c r="OBZ96" s="168"/>
      <c r="OCA96" s="167"/>
      <c r="OCB96" s="168"/>
      <c r="OCC96" s="167"/>
      <c r="OCD96" s="168"/>
      <c r="OCE96" s="167"/>
      <c r="OCF96" s="168"/>
      <c r="OCG96" s="167"/>
      <c r="OCH96" s="168"/>
      <c r="OCI96" s="167"/>
      <c r="OCJ96" s="168"/>
      <c r="OCK96" s="167"/>
      <c r="OCL96" s="168"/>
      <c r="OCM96" s="167"/>
      <c r="OCN96" s="168"/>
      <c r="OCO96" s="167"/>
      <c r="OCP96" s="168"/>
      <c r="OCQ96" s="167"/>
      <c r="OCR96" s="168"/>
      <c r="OCS96" s="167"/>
      <c r="OCT96" s="168"/>
      <c r="OCU96" s="167"/>
      <c r="OCV96" s="168"/>
      <c r="OCW96" s="167"/>
      <c r="OCX96" s="168"/>
      <c r="OCY96" s="167"/>
      <c r="OCZ96" s="168"/>
      <c r="ODA96" s="167"/>
      <c r="ODB96" s="168"/>
      <c r="ODC96" s="167"/>
      <c r="ODD96" s="168"/>
      <c r="ODE96" s="167"/>
      <c r="ODF96" s="168"/>
      <c r="ODG96" s="167"/>
      <c r="ODH96" s="168"/>
      <c r="ODI96" s="167"/>
      <c r="ODJ96" s="168"/>
      <c r="ODK96" s="167"/>
      <c r="ODL96" s="168"/>
      <c r="ODM96" s="167"/>
      <c r="ODN96" s="168"/>
      <c r="ODO96" s="167"/>
      <c r="ODP96" s="168"/>
      <c r="ODQ96" s="167"/>
      <c r="ODR96" s="168"/>
      <c r="ODS96" s="167"/>
      <c r="ODT96" s="168"/>
      <c r="ODU96" s="167"/>
      <c r="ODV96" s="168"/>
      <c r="ODW96" s="167"/>
      <c r="ODX96" s="168"/>
      <c r="ODY96" s="167"/>
      <c r="ODZ96" s="168"/>
      <c r="OEA96" s="167"/>
      <c r="OEB96" s="168"/>
      <c r="OEC96" s="167"/>
      <c r="OED96" s="168"/>
      <c r="OEE96" s="167"/>
      <c r="OEF96" s="168"/>
      <c r="OEG96" s="167"/>
      <c r="OEH96" s="168"/>
      <c r="OEI96" s="167"/>
      <c r="OEJ96" s="168"/>
      <c r="OEK96" s="167"/>
      <c r="OEL96" s="168"/>
      <c r="OEM96" s="167"/>
      <c r="OEN96" s="168"/>
      <c r="OEO96" s="167"/>
      <c r="OEP96" s="168"/>
      <c r="OEQ96" s="167"/>
      <c r="OER96" s="168"/>
      <c r="OES96" s="167"/>
      <c r="OET96" s="168"/>
      <c r="OEU96" s="167"/>
      <c r="OEV96" s="168"/>
      <c r="OEW96" s="167"/>
      <c r="OEX96" s="168"/>
      <c r="OEY96" s="167"/>
      <c r="OEZ96" s="168"/>
      <c r="OFA96" s="167"/>
      <c r="OFB96" s="168"/>
      <c r="OFC96" s="167"/>
      <c r="OFD96" s="168"/>
      <c r="OFE96" s="167"/>
      <c r="OFF96" s="168"/>
      <c r="OFG96" s="167"/>
      <c r="OFH96" s="168"/>
      <c r="OFI96" s="167"/>
      <c r="OFJ96" s="168"/>
      <c r="OFK96" s="167"/>
      <c r="OFL96" s="168"/>
      <c r="OFM96" s="167"/>
      <c r="OFN96" s="168"/>
      <c r="OFO96" s="167"/>
      <c r="OFP96" s="168"/>
      <c r="OFQ96" s="167"/>
      <c r="OFR96" s="168"/>
      <c r="OFS96" s="167"/>
      <c r="OFT96" s="168"/>
      <c r="OFU96" s="167"/>
      <c r="OFV96" s="168"/>
      <c r="OFW96" s="167"/>
      <c r="OFX96" s="168"/>
      <c r="OFY96" s="167"/>
      <c r="OFZ96" s="168"/>
      <c r="OGA96" s="167"/>
      <c r="OGB96" s="168"/>
      <c r="OGC96" s="167"/>
      <c r="OGD96" s="168"/>
      <c r="OGE96" s="167"/>
      <c r="OGF96" s="168"/>
      <c r="OGG96" s="167"/>
      <c r="OGH96" s="168"/>
      <c r="OGI96" s="167"/>
      <c r="OGJ96" s="168"/>
      <c r="OGK96" s="167"/>
      <c r="OGL96" s="168"/>
      <c r="OGM96" s="167"/>
      <c r="OGN96" s="168"/>
      <c r="OGO96" s="167"/>
      <c r="OGP96" s="168"/>
      <c r="OGQ96" s="167"/>
      <c r="OGR96" s="168"/>
      <c r="OGS96" s="167"/>
      <c r="OGT96" s="168"/>
      <c r="OGU96" s="167"/>
      <c r="OGV96" s="168"/>
      <c r="OGW96" s="167"/>
      <c r="OGX96" s="168"/>
      <c r="OGY96" s="167"/>
      <c r="OGZ96" s="168"/>
      <c r="OHA96" s="167"/>
      <c r="OHB96" s="168"/>
      <c r="OHC96" s="167"/>
      <c r="OHD96" s="168"/>
      <c r="OHE96" s="167"/>
      <c r="OHF96" s="168"/>
      <c r="OHG96" s="167"/>
      <c r="OHH96" s="168"/>
      <c r="OHI96" s="167"/>
      <c r="OHJ96" s="168"/>
      <c r="OHK96" s="167"/>
      <c r="OHL96" s="168"/>
      <c r="OHM96" s="167"/>
      <c r="OHN96" s="168"/>
      <c r="OHO96" s="167"/>
      <c r="OHP96" s="168"/>
      <c r="OHQ96" s="167"/>
      <c r="OHR96" s="168"/>
      <c r="OHS96" s="167"/>
      <c r="OHT96" s="168"/>
      <c r="OHU96" s="167"/>
      <c r="OHV96" s="168"/>
      <c r="OHW96" s="167"/>
      <c r="OHX96" s="168"/>
      <c r="OHY96" s="167"/>
      <c r="OHZ96" s="168"/>
      <c r="OIA96" s="167"/>
      <c r="OIB96" s="168"/>
      <c r="OIC96" s="167"/>
      <c r="OID96" s="168"/>
      <c r="OIE96" s="167"/>
      <c r="OIF96" s="168"/>
      <c r="OIG96" s="167"/>
      <c r="OIH96" s="168"/>
      <c r="OII96" s="167"/>
      <c r="OIJ96" s="168"/>
      <c r="OIK96" s="167"/>
      <c r="OIL96" s="168"/>
      <c r="OIM96" s="167"/>
      <c r="OIN96" s="168"/>
      <c r="OIO96" s="167"/>
      <c r="OIP96" s="168"/>
      <c r="OIQ96" s="167"/>
      <c r="OIR96" s="168"/>
      <c r="OIS96" s="167"/>
      <c r="OIT96" s="168"/>
      <c r="OIU96" s="167"/>
      <c r="OIV96" s="168"/>
      <c r="OIW96" s="167"/>
      <c r="OIX96" s="168"/>
      <c r="OIY96" s="167"/>
      <c r="OIZ96" s="168"/>
      <c r="OJA96" s="167"/>
      <c r="OJB96" s="168"/>
      <c r="OJC96" s="167"/>
      <c r="OJD96" s="168"/>
      <c r="OJE96" s="167"/>
      <c r="OJF96" s="168"/>
      <c r="OJG96" s="167"/>
      <c r="OJH96" s="168"/>
      <c r="OJI96" s="167"/>
      <c r="OJJ96" s="168"/>
      <c r="OJK96" s="167"/>
      <c r="OJL96" s="168"/>
      <c r="OJM96" s="167"/>
      <c r="OJN96" s="168"/>
      <c r="OJO96" s="167"/>
      <c r="OJP96" s="168"/>
      <c r="OJQ96" s="167"/>
      <c r="OJR96" s="168"/>
      <c r="OJS96" s="167"/>
      <c r="OJT96" s="168"/>
      <c r="OJU96" s="167"/>
      <c r="OJV96" s="168"/>
      <c r="OJW96" s="167"/>
      <c r="OJX96" s="168"/>
      <c r="OJY96" s="167"/>
      <c r="OJZ96" s="168"/>
      <c r="OKA96" s="167"/>
      <c r="OKB96" s="168"/>
      <c r="OKC96" s="167"/>
      <c r="OKD96" s="168"/>
      <c r="OKE96" s="167"/>
      <c r="OKF96" s="168"/>
      <c r="OKG96" s="167"/>
      <c r="OKH96" s="168"/>
      <c r="OKI96" s="167"/>
      <c r="OKJ96" s="168"/>
      <c r="OKK96" s="167"/>
      <c r="OKL96" s="168"/>
      <c r="OKM96" s="167"/>
      <c r="OKN96" s="168"/>
      <c r="OKO96" s="167"/>
      <c r="OKP96" s="168"/>
      <c r="OKQ96" s="167"/>
      <c r="OKR96" s="168"/>
      <c r="OKS96" s="167"/>
      <c r="OKT96" s="168"/>
      <c r="OKU96" s="167"/>
      <c r="OKV96" s="168"/>
      <c r="OKW96" s="167"/>
      <c r="OKX96" s="168"/>
      <c r="OKY96" s="167"/>
      <c r="OKZ96" s="168"/>
      <c r="OLA96" s="167"/>
      <c r="OLB96" s="168"/>
      <c r="OLC96" s="167"/>
      <c r="OLD96" s="168"/>
      <c r="OLE96" s="167"/>
      <c r="OLF96" s="168"/>
      <c r="OLG96" s="167"/>
      <c r="OLH96" s="168"/>
      <c r="OLI96" s="167"/>
      <c r="OLJ96" s="168"/>
      <c r="OLK96" s="167"/>
      <c r="OLL96" s="168"/>
      <c r="OLM96" s="167"/>
      <c r="OLN96" s="168"/>
      <c r="OLO96" s="167"/>
      <c r="OLP96" s="168"/>
      <c r="OLQ96" s="167"/>
      <c r="OLR96" s="168"/>
      <c r="OLS96" s="167"/>
      <c r="OLT96" s="168"/>
      <c r="OLU96" s="167"/>
      <c r="OLV96" s="168"/>
      <c r="OLW96" s="167"/>
      <c r="OLX96" s="168"/>
      <c r="OLY96" s="167"/>
      <c r="OLZ96" s="168"/>
      <c r="OMA96" s="167"/>
      <c r="OMB96" s="168"/>
      <c r="OMC96" s="167"/>
      <c r="OMD96" s="168"/>
      <c r="OME96" s="167"/>
      <c r="OMF96" s="168"/>
      <c r="OMG96" s="167"/>
      <c r="OMH96" s="168"/>
      <c r="OMI96" s="167"/>
      <c r="OMJ96" s="168"/>
      <c r="OMK96" s="167"/>
      <c r="OML96" s="168"/>
      <c r="OMM96" s="167"/>
      <c r="OMN96" s="168"/>
      <c r="OMO96" s="167"/>
      <c r="OMP96" s="168"/>
      <c r="OMQ96" s="167"/>
      <c r="OMR96" s="168"/>
      <c r="OMS96" s="167"/>
      <c r="OMT96" s="168"/>
      <c r="OMU96" s="167"/>
      <c r="OMV96" s="168"/>
      <c r="OMW96" s="167"/>
      <c r="OMX96" s="168"/>
      <c r="OMY96" s="167"/>
      <c r="OMZ96" s="168"/>
      <c r="ONA96" s="167"/>
      <c r="ONB96" s="168"/>
      <c r="ONC96" s="167"/>
      <c r="OND96" s="168"/>
      <c r="ONE96" s="167"/>
      <c r="ONF96" s="168"/>
      <c r="ONG96" s="167"/>
      <c r="ONH96" s="168"/>
      <c r="ONI96" s="167"/>
      <c r="ONJ96" s="168"/>
      <c r="ONK96" s="167"/>
      <c r="ONL96" s="168"/>
      <c r="ONM96" s="167"/>
      <c r="ONN96" s="168"/>
      <c r="ONO96" s="167"/>
      <c r="ONP96" s="168"/>
      <c r="ONQ96" s="167"/>
      <c r="ONR96" s="168"/>
      <c r="ONS96" s="167"/>
      <c r="ONT96" s="168"/>
      <c r="ONU96" s="167"/>
      <c r="ONV96" s="168"/>
      <c r="ONW96" s="167"/>
      <c r="ONX96" s="168"/>
      <c r="ONY96" s="167"/>
      <c r="ONZ96" s="168"/>
      <c r="OOA96" s="167"/>
      <c r="OOB96" s="168"/>
      <c r="OOC96" s="167"/>
      <c r="OOD96" s="168"/>
      <c r="OOE96" s="167"/>
      <c r="OOF96" s="168"/>
      <c r="OOG96" s="167"/>
      <c r="OOH96" s="168"/>
      <c r="OOI96" s="167"/>
      <c r="OOJ96" s="168"/>
      <c r="OOK96" s="167"/>
      <c r="OOL96" s="168"/>
      <c r="OOM96" s="167"/>
      <c r="OON96" s="168"/>
      <c r="OOO96" s="167"/>
      <c r="OOP96" s="168"/>
      <c r="OOQ96" s="167"/>
      <c r="OOR96" s="168"/>
      <c r="OOS96" s="167"/>
      <c r="OOT96" s="168"/>
      <c r="OOU96" s="167"/>
      <c r="OOV96" s="168"/>
      <c r="OOW96" s="167"/>
      <c r="OOX96" s="168"/>
      <c r="OOY96" s="167"/>
      <c r="OOZ96" s="168"/>
      <c r="OPA96" s="167"/>
      <c r="OPB96" s="168"/>
      <c r="OPC96" s="167"/>
      <c r="OPD96" s="168"/>
      <c r="OPE96" s="167"/>
      <c r="OPF96" s="168"/>
      <c r="OPG96" s="167"/>
      <c r="OPH96" s="168"/>
      <c r="OPI96" s="167"/>
      <c r="OPJ96" s="168"/>
      <c r="OPK96" s="167"/>
      <c r="OPL96" s="168"/>
      <c r="OPM96" s="167"/>
      <c r="OPN96" s="168"/>
      <c r="OPO96" s="167"/>
      <c r="OPP96" s="168"/>
      <c r="OPQ96" s="167"/>
      <c r="OPR96" s="168"/>
      <c r="OPS96" s="167"/>
      <c r="OPT96" s="168"/>
      <c r="OPU96" s="167"/>
      <c r="OPV96" s="168"/>
      <c r="OPW96" s="167"/>
      <c r="OPX96" s="168"/>
      <c r="OPY96" s="167"/>
      <c r="OPZ96" s="168"/>
      <c r="OQA96" s="167"/>
      <c r="OQB96" s="168"/>
      <c r="OQC96" s="167"/>
      <c r="OQD96" s="168"/>
      <c r="OQE96" s="167"/>
      <c r="OQF96" s="168"/>
      <c r="OQG96" s="167"/>
      <c r="OQH96" s="168"/>
      <c r="OQI96" s="167"/>
      <c r="OQJ96" s="168"/>
      <c r="OQK96" s="167"/>
      <c r="OQL96" s="168"/>
      <c r="OQM96" s="167"/>
      <c r="OQN96" s="168"/>
      <c r="OQO96" s="167"/>
      <c r="OQP96" s="168"/>
      <c r="OQQ96" s="167"/>
      <c r="OQR96" s="168"/>
      <c r="OQS96" s="167"/>
      <c r="OQT96" s="168"/>
      <c r="OQU96" s="167"/>
      <c r="OQV96" s="168"/>
      <c r="OQW96" s="167"/>
      <c r="OQX96" s="168"/>
      <c r="OQY96" s="167"/>
      <c r="OQZ96" s="168"/>
      <c r="ORA96" s="167"/>
      <c r="ORB96" s="168"/>
      <c r="ORC96" s="167"/>
      <c r="ORD96" s="168"/>
      <c r="ORE96" s="167"/>
      <c r="ORF96" s="168"/>
      <c r="ORG96" s="167"/>
      <c r="ORH96" s="168"/>
      <c r="ORI96" s="167"/>
      <c r="ORJ96" s="168"/>
      <c r="ORK96" s="167"/>
      <c r="ORL96" s="168"/>
      <c r="ORM96" s="167"/>
      <c r="ORN96" s="168"/>
      <c r="ORO96" s="167"/>
      <c r="ORP96" s="168"/>
      <c r="ORQ96" s="167"/>
      <c r="ORR96" s="168"/>
      <c r="ORS96" s="167"/>
      <c r="ORT96" s="168"/>
      <c r="ORU96" s="167"/>
      <c r="ORV96" s="168"/>
      <c r="ORW96" s="167"/>
      <c r="ORX96" s="168"/>
      <c r="ORY96" s="167"/>
      <c r="ORZ96" s="168"/>
      <c r="OSA96" s="167"/>
      <c r="OSB96" s="168"/>
      <c r="OSC96" s="167"/>
      <c r="OSD96" s="168"/>
      <c r="OSE96" s="167"/>
      <c r="OSF96" s="168"/>
      <c r="OSG96" s="167"/>
      <c r="OSH96" s="168"/>
      <c r="OSI96" s="167"/>
      <c r="OSJ96" s="168"/>
      <c r="OSK96" s="167"/>
      <c r="OSL96" s="168"/>
      <c r="OSM96" s="167"/>
      <c r="OSN96" s="168"/>
      <c r="OSO96" s="167"/>
      <c r="OSP96" s="168"/>
      <c r="OSQ96" s="167"/>
      <c r="OSR96" s="168"/>
      <c r="OSS96" s="167"/>
      <c r="OST96" s="168"/>
      <c r="OSU96" s="167"/>
      <c r="OSV96" s="168"/>
      <c r="OSW96" s="167"/>
      <c r="OSX96" s="168"/>
      <c r="OSY96" s="167"/>
      <c r="OSZ96" s="168"/>
      <c r="OTA96" s="167"/>
      <c r="OTB96" s="168"/>
      <c r="OTC96" s="167"/>
      <c r="OTD96" s="168"/>
      <c r="OTE96" s="167"/>
      <c r="OTF96" s="168"/>
      <c r="OTG96" s="167"/>
      <c r="OTH96" s="168"/>
      <c r="OTI96" s="167"/>
      <c r="OTJ96" s="168"/>
      <c r="OTK96" s="167"/>
      <c r="OTL96" s="168"/>
      <c r="OTM96" s="167"/>
      <c r="OTN96" s="168"/>
      <c r="OTO96" s="167"/>
      <c r="OTP96" s="168"/>
      <c r="OTQ96" s="167"/>
      <c r="OTR96" s="168"/>
      <c r="OTS96" s="167"/>
      <c r="OTT96" s="168"/>
      <c r="OTU96" s="167"/>
      <c r="OTV96" s="168"/>
      <c r="OTW96" s="167"/>
      <c r="OTX96" s="168"/>
      <c r="OTY96" s="167"/>
      <c r="OTZ96" s="168"/>
      <c r="OUA96" s="167"/>
      <c r="OUB96" s="168"/>
      <c r="OUC96" s="167"/>
      <c r="OUD96" s="168"/>
      <c r="OUE96" s="167"/>
      <c r="OUF96" s="168"/>
      <c r="OUG96" s="167"/>
      <c r="OUH96" s="168"/>
      <c r="OUI96" s="167"/>
      <c r="OUJ96" s="168"/>
      <c r="OUK96" s="167"/>
      <c r="OUL96" s="168"/>
      <c r="OUM96" s="167"/>
      <c r="OUN96" s="168"/>
      <c r="OUO96" s="167"/>
      <c r="OUP96" s="168"/>
      <c r="OUQ96" s="167"/>
      <c r="OUR96" s="168"/>
      <c r="OUS96" s="167"/>
      <c r="OUT96" s="168"/>
      <c r="OUU96" s="167"/>
      <c r="OUV96" s="168"/>
      <c r="OUW96" s="167"/>
      <c r="OUX96" s="168"/>
      <c r="OUY96" s="167"/>
      <c r="OUZ96" s="168"/>
      <c r="OVA96" s="167"/>
      <c r="OVB96" s="168"/>
      <c r="OVC96" s="167"/>
      <c r="OVD96" s="168"/>
      <c r="OVE96" s="167"/>
      <c r="OVF96" s="168"/>
      <c r="OVG96" s="167"/>
      <c r="OVH96" s="168"/>
      <c r="OVI96" s="167"/>
      <c r="OVJ96" s="168"/>
      <c r="OVK96" s="167"/>
      <c r="OVL96" s="168"/>
      <c r="OVM96" s="167"/>
      <c r="OVN96" s="168"/>
      <c r="OVO96" s="167"/>
      <c r="OVP96" s="168"/>
      <c r="OVQ96" s="167"/>
      <c r="OVR96" s="168"/>
      <c r="OVS96" s="167"/>
      <c r="OVT96" s="168"/>
      <c r="OVU96" s="167"/>
      <c r="OVV96" s="168"/>
      <c r="OVW96" s="167"/>
      <c r="OVX96" s="168"/>
      <c r="OVY96" s="167"/>
      <c r="OVZ96" s="168"/>
      <c r="OWA96" s="167"/>
      <c r="OWB96" s="168"/>
      <c r="OWC96" s="167"/>
      <c r="OWD96" s="168"/>
      <c r="OWE96" s="167"/>
      <c r="OWF96" s="168"/>
      <c r="OWG96" s="167"/>
      <c r="OWH96" s="168"/>
      <c r="OWI96" s="167"/>
      <c r="OWJ96" s="168"/>
      <c r="OWK96" s="167"/>
      <c r="OWL96" s="168"/>
      <c r="OWM96" s="167"/>
      <c r="OWN96" s="168"/>
      <c r="OWO96" s="167"/>
      <c r="OWP96" s="168"/>
      <c r="OWQ96" s="167"/>
      <c r="OWR96" s="168"/>
      <c r="OWS96" s="167"/>
      <c r="OWT96" s="168"/>
      <c r="OWU96" s="167"/>
      <c r="OWV96" s="168"/>
      <c r="OWW96" s="167"/>
      <c r="OWX96" s="168"/>
      <c r="OWY96" s="167"/>
      <c r="OWZ96" s="168"/>
      <c r="OXA96" s="167"/>
      <c r="OXB96" s="168"/>
      <c r="OXC96" s="167"/>
      <c r="OXD96" s="168"/>
      <c r="OXE96" s="167"/>
      <c r="OXF96" s="168"/>
      <c r="OXG96" s="167"/>
      <c r="OXH96" s="168"/>
      <c r="OXI96" s="167"/>
      <c r="OXJ96" s="168"/>
      <c r="OXK96" s="167"/>
      <c r="OXL96" s="168"/>
      <c r="OXM96" s="167"/>
      <c r="OXN96" s="168"/>
      <c r="OXO96" s="167"/>
      <c r="OXP96" s="168"/>
      <c r="OXQ96" s="167"/>
      <c r="OXR96" s="168"/>
      <c r="OXS96" s="167"/>
      <c r="OXT96" s="168"/>
      <c r="OXU96" s="167"/>
      <c r="OXV96" s="168"/>
      <c r="OXW96" s="167"/>
      <c r="OXX96" s="168"/>
      <c r="OXY96" s="167"/>
      <c r="OXZ96" s="168"/>
      <c r="OYA96" s="167"/>
      <c r="OYB96" s="168"/>
      <c r="OYC96" s="167"/>
      <c r="OYD96" s="168"/>
      <c r="OYE96" s="167"/>
      <c r="OYF96" s="168"/>
      <c r="OYG96" s="167"/>
      <c r="OYH96" s="168"/>
      <c r="OYI96" s="167"/>
      <c r="OYJ96" s="168"/>
      <c r="OYK96" s="167"/>
      <c r="OYL96" s="168"/>
      <c r="OYM96" s="167"/>
      <c r="OYN96" s="168"/>
      <c r="OYO96" s="167"/>
      <c r="OYP96" s="168"/>
      <c r="OYQ96" s="167"/>
      <c r="OYR96" s="168"/>
      <c r="OYS96" s="167"/>
      <c r="OYT96" s="168"/>
      <c r="OYU96" s="167"/>
      <c r="OYV96" s="168"/>
      <c r="OYW96" s="167"/>
      <c r="OYX96" s="168"/>
      <c r="OYY96" s="167"/>
      <c r="OYZ96" s="168"/>
      <c r="OZA96" s="167"/>
      <c r="OZB96" s="168"/>
      <c r="OZC96" s="167"/>
      <c r="OZD96" s="168"/>
      <c r="OZE96" s="167"/>
      <c r="OZF96" s="168"/>
      <c r="OZG96" s="167"/>
      <c r="OZH96" s="168"/>
      <c r="OZI96" s="167"/>
      <c r="OZJ96" s="168"/>
      <c r="OZK96" s="167"/>
      <c r="OZL96" s="168"/>
      <c r="OZM96" s="167"/>
      <c r="OZN96" s="168"/>
      <c r="OZO96" s="167"/>
      <c r="OZP96" s="168"/>
      <c r="OZQ96" s="167"/>
      <c r="OZR96" s="168"/>
      <c r="OZS96" s="167"/>
      <c r="OZT96" s="168"/>
      <c r="OZU96" s="167"/>
      <c r="OZV96" s="168"/>
      <c r="OZW96" s="167"/>
      <c r="OZX96" s="168"/>
      <c r="OZY96" s="167"/>
      <c r="OZZ96" s="168"/>
      <c r="PAA96" s="167"/>
      <c r="PAB96" s="168"/>
      <c r="PAC96" s="167"/>
      <c r="PAD96" s="168"/>
      <c r="PAE96" s="167"/>
      <c r="PAF96" s="168"/>
      <c r="PAG96" s="167"/>
      <c r="PAH96" s="168"/>
      <c r="PAI96" s="167"/>
      <c r="PAJ96" s="168"/>
      <c r="PAK96" s="167"/>
      <c r="PAL96" s="168"/>
      <c r="PAM96" s="167"/>
      <c r="PAN96" s="168"/>
      <c r="PAO96" s="167"/>
      <c r="PAP96" s="168"/>
      <c r="PAQ96" s="167"/>
      <c r="PAR96" s="168"/>
      <c r="PAS96" s="167"/>
      <c r="PAT96" s="168"/>
      <c r="PAU96" s="167"/>
      <c r="PAV96" s="168"/>
      <c r="PAW96" s="167"/>
      <c r="PAX96" s="168"/>
      <c r="PAY96" s="167"/>
      <c r="PAZ96" s="168"/>
      <c r="PBA96" s="167"/>
      <c r="PBB96" s="168"/>
      <c r="PBC96" s="167"/>
      <c r="PBD96" s="168"/>
      <c r="PBE96" s="167"/>
      <c r="PBF96" s="168"/>
      <c r="PBG96" s="167"/>
      <c r="PBH96" s="168"/>
      <c r="PBI96" s="167"/>
      <c r="PBJ96" s="168"/>
      <c r="PBK96" s="167"/>
      <c r="PBL96" s="168"/>
      <c r="PBM96" s="167"/>
      <c r="PBN96" s="168"/>
      <c r="PBO96" s="167"/>
      <c r="PBP96" s="168"/>
      <c r="PBQ96" s="167"/>
      <c r="PBR96" s="168"/>
      <c r="PBS96" s="167"/>
      <c r="PBT96" s="168"/>
      <c r="PBU96" s="167"/>
      <c r="PBV96" s="168"/>
      <c r="PBW96" s="167"/>
      <c r="PBX96" s="168"/>
      <c r="PBY96" s="167"/>
      <c r="PBZ96" s="168"/>
      <c r="PCA96" s="167"/>
      <c r="PCB96" s="168"/>
      <c r="PCC96" s="167"/>
      <c r="PCD96" s="168"/>
      <c r="PCE96" s="167"/>
      <c r="PCF96" s="168"/>
      <c r="PCG96" s="167"/>
      <c r="PCH96" s="168"/>
      <c r="PCI96" s="167"/>
      <c r="PCJ96" s="168"/>
      <c r="PCK96" s="167"/>
      <c r="PCL96" s="168"/>
      <c r="PCM96" s="167"/>
      <c r="PCN96" s="168"/>
      <c r="PCO96" s="167"/>
      <c r="PCP96" s="168"/>
      <c r="PCQ96" s="167"/>
      <c r="PCR96" s="168"/>
      <c r="PCS96" s="167"/>
      <c r="PCT96" s="168"/>
      <c r="PCU96" s="167"/>
      <c r="PCV96" s="168"/>
      <c r="PCW96" s="167"/>
      <c r="PCX96" s="168"/>
      <c r="PCY96" s="167"/>
      <c r="PCZ96" s="168"/>
      <c r="PDA96" s="167"/>
      <c r="PDB96" s="168"/>
      <c r="PDC96" s="167"/>
      <c r="PDD96" s="168"/>
      <c r="PDE96" s="167"/>
      <c r="PDF96" s="168"/>
      <c r="PDG96" s="167"/>
      <c r="PDH96" s="168"/>
      <c r="PDI96" s="167"/>
      <c r="PDJ96" s="168"/>
      <c r="PDK96" s="167"/>
      <c r="PDL96" s="168"/>
      <c r="PDM96" s="167"/>
      <c r="PDN96" s="168"/>
      <c r="PDO96" s="167"/>
      <c r="PDP96" s="168"/>
      <c r="PDQ96" s="167"/>
      <c r="PDR96" s="168"/>
      <c r="PDS96" s="167"/>
      <c r="PDT96" s="168"/>
      <c r="PDU96" s="167"/>
      <c r="PDV96" s="168"/>
      <c r="PDW96" s="167"/>
      <c r="PDX96" s="168"/>
      <c r="PDY96" s="167"/>
      <c r="PDZ96" s="168"/>
      <c r="PEA96" s="167"/>
      <c r="PEB96" s="168"/>
      <c r="PEC96" s="167"/>
      <c r="PED96" s="168"/>
      <c r="PEE96" s="167"/>
      <c r="PEF96" s="168"/>
      <c r="PEG96" s="167"/>
      <c r="PEH96" s="168"/>
      <c r="PEI96" s="167"/>
      <c r="PEJ96" s="168"/>
      <c r="PEK96" s="167"/>
      <c r="PEL96" s="168"/>
      <c r="PEM96" s="167"/>
      <c r="PEN96" s="168"/>
      <c r="PEO96" s="167"/>
      <c r="PEP96" s="168"/>
      <c r="PEQ96" s="167"/>
      <c r="PER96" s="168"/>
      <c r="PES96" s="167"/>
      <c r="PET96" s="168"/>
      <c r="PEU96" s="167"/>
      <c r="PEV96" s="168"/>
      <c r="PEW96" s="167"/>
      <c r="PEX96" s="168"/>
      <c r="PEY96" s="167"/>
      <c r="PEZ96" s="168"/>
      <c r="PFA96" s="167"/>
      <c r="PFB96" s="168"/>
      <c r="PFC96" s="167"/>
      <c r="PFD96" s="168"/>
      <c r="PFE96" s="167"/>
      <c r="PFF96" s="168"/>
      <c r="PFG96" s="167"/>
      <c r="PFH96" s="168"/>
      <c r="PFI96" s="167"/>
      <c r="PFJ96" s="168"/>
      <c r="PFK96" s="167"/>
      <c r="PFL96" s="168"/>
      <c r="PFM96" s="167"/>
      <c r="PFN96" s="168"/>
      <c r="PFO96" s="167"/>
      <c r="PFP96" s="168"/>
      <c r="PFQ96" s="167"/>
      <c r="PFR96" s="168"/>
      <c r="PFS96" s="167"/>
      <c r="PFT96" s="168"/>
      <c r="PFU96" s="167"/>
      <c r="PFV96" s="168"/>
      <c r="PFW96" s="167"/>
      <c r="PFX96" s="168"/>
      <c r="PFY96" s="167"/>
      <c r="PFZ96" s="168"/>
      <c r="PGA96" s="167"/>
      <c r="PGB96" s="168"/>
      <c r="PGC96" s="167"/>
      <c r="PGD96" s="168"/>
      <c r="PGE96" s="167"/>
      <c r="PGF96" s="168"/>
      <c r="PGG96" s="167"/>
      <c r="PGH96" s="168"/>
      <c r="PGI96" s="167"/>
      <c r="PGJ96" s="168"/>
      <c r="PGK96" s="167"/>
      <c r="PGL96" s="168"/>
      <c r="PGM96" s="167"/>
      <c r="PGN96" s="168"/>
      <c r="PGO96" s="167"/>
      <c r="PGP96" s="168"/>
      <c r="PGQ96" s="167"/>
      <c r="PGR96" s="168"/>
      <c r="PGS96" s="167"/>
      <c r="PGT96" s="168"/>
      <c r="PGU96" s="167"/>
      <c r="PGV96" s="168"/>
      <c r="PGW96" s="167"/>
      <c r="PGX96" s="168"/>
      <c r="PGY96" s="167"/>
      <c r="PGZ96" s="168"/>
      <c r="PHA96" s="167"/>
      <c r="PHB96" s="168"/>
      <c r="PHC96" s="167"/>
      <c r="PHD96" s="168"/>
      <c r="PHE96" s="167"/>
      <c r="PHF96" s="168"/>
      <c r="PHG96" s="167"/>
      <c r="PHH96" s="168"/>
      <c r="PHI96" s="167"/>
      <c r="PHJ96" s="168"/>
      <c r="PHK96" s="167"/>
      <c r="PHL96" s="168"/>
      <c r="PHM96" s="167"/>
      <c r="PHN96" s="168"/>
      <c r="PHO96" s="167"/>
      <c r="PHP96" s="168"/>
      <c r="PHQ96" s="167"/>
      <c r="PHR96" s="168"/>
      <c r="PHS96" s="167"/>
      <c r="PHT96" s="168"/>
      <c r="PHU96" s="167"/>
      <c r="PHV96" s="168"/>
      <c r="PHW96" s="167"/>
      <c r="PHX96" s="168"/>
      <c r="PHY96" s="167"/>
      <c r="PHZ96" s="168"/>
      <c r="PIA96" s="167"/>
      <c r="PIB96" s="168"/>
      <c r="PIC96" s="167"/>
      <c r="PID96" s="168"/>
      <c r="PIE96" s="167"/>
      <c r="PIF96" s="168"/>
      <c r="PIG96" s="167"/>
      <c r="PIH96" s="168"/>
      <c r="PII96" s="167"/>
      <c r="PIJ96" s="168"/>
      <c r="PIK96" s="167"/>
      <c r="PIL96" s="168"/>
      <c r="PIM96" s="167"/>
      <c r="PIN96" s="168"/>
      <c r="PIO96" s="167"/>
      <c r="PIP96" s="168"/>
      <c r="PIQ96" s="167"/>
      <c r="PIR96" s="168"/>
      <c r="PIS96" s="167"/>
      <c r="PIT96" s="168"/>
      <c r="PIU96" s="167"/>
      <c r="PIV96" s="168"/>
      <c r="PIW96" s="167"/>
      <c r="PIX96" s="168"/>
      <c r="PIY96" s="167"/>
      <c r="PIZ96" s="168"/>
      <c r="PJA96" s="167"/>
      <c r="PJB96" s="168"/>
      <c r="PJC96" s="167"/>
      <c r="PJD96" s="168"/>
      <c r="PJE96" s="167"/>
      <c r="PJF96" s="168"/>
      <c r="PJG96" s="167"/>
      <c r="PJH96" s="168"/>
      <c r="PJI96" s="167"/>
      <c r="PJJ96" s="168"/>
      <c r="PJK96" s="167"/>
      <c r="PJL96" s="168"/>
      <c r="PJM96" s="167"/>
      <c r="PJN96" s="168"/>
      <c r="PJO96" s="167"/>
      <c r="PJP96" s="168"/>
      <c r="PJQ96" s="167"/>
      <c r="PJR96" s="168"/>
      <c r="PJS96" s="167"/>
      <c r="PJT96" s="168"/>
      <c r="PJU96" s="167"/>
      <c r="PJV96" s="168"/>
      <c r="PJW96" s="167"/>
      <c r="PJX96" s="168"/>
      <c r="PJY96" s="167"/>
      <c r="PJZ96" s="168"/>
      <c r="PKA96" s="167"/>
      <c r="PKB96" s="168"/>
      <c r="PKC96" s="167"/>
      <c r="PKD96" s="168"/>
      <c r="PKE96" s="167"/>
      <c r="PKF96" s="168"/>
      <c r="PKG96" s="167"/>
      <c r="PKH96" s="168"/>
      <c r="PKI96" s="167"/>
      <c r="PKJ96" s="168"/>
      <c r="PKK96" s="167"/>
      <c r="PKL96" s="168"/>
      <c r="PKM96" s="167"/>
      <c r="PKN96" s="168"/>
      <c r="PKO96" s="167"/>
      <c r="PKP96" s="168"/>
      <c r="PKQ96" s="167"/>
      <c r="PKR96" s="168"/>
      <c r="PKS96" s="167"/>
      <c r="PKT96" s="168"/>
      <c r="PKU96" s="167"/>
      <c r="PKV96" s="168"/>
      <c r="PKW96" s="167"/>
      <c r="PKX96" s="168"/>
      <c r="PKY96" s="167"/>
      <c r="PKZ96" s="168"/>
      <c r="PLA96" s="167"/>
      <c r="PLB96" s="168"/>
      <c r="PLC96" s="167"/>
      <c r="PLD96" s="168"/>
      <c r="PLE96" s="167"/>
      <c r="PLF96" s="168"/>
      <c r="PLG96" s="167"/>
      <c r="PLH96" s="168"/>
      <c r="PLI96" s="167"/>
      <c r="PLJ96" s="168"/>
      <c r="PLK96" s="167"/>
      <c r="PLL96" s="168"/>
      <c r="PLM96" s="167"/>
      <c r="PLN96" s="168"/>
      <c r="PLO96" s="167"/>
      <c r="PLP96" s="168"/>
      <c r="PLQ96" s="167"/>
      <c r="PLR96" s="168"/>
      <c r="PLS96" s="167"/>
      <c r="PLT96" s="168"/>
      <c r="PLU96" s="167"/>
      <c r="PLV96" s="168"/>
      <c r="PLW96" s="167"/>
      <c r="PLX96" s="168"/>
      <c r="PLY96" s="167"/>
      <c r="PLZ96" s="168"/>
      <c r="PMA96" s="167"/>
      <c r="PMB96" s="168"/>
      <c r="PMC96" s="167"/>
      <c r="PMD96" s="168"/>
      <c r="PME96" s="167"/>
      <c r="PMF96" s="168"/>
      <c r="PMG96" s="167"/>
      <c r="PMH96" s="168"/>
      <c r="PMI96" s="167"/>
      <c r="PMJ96" s="168"/>
      <c r="PMK96" s="167"/>
      <c r="PML96" s="168"/>
      <c r="PMM96" s="167"/>
      <c r="PMN96" s="168"/>
      <c r="PMO96" s="167"/>
      <c r="PMP96" s="168"/>
      <c r="PMQ96" s="167"/>
      <c r="PMR96" s="168"/>
      <c r="PMS96" s="167"/>
      <c r="PMT96" s="168"/>
      <c r="PMU96" s="167"/>
      <c r="PMV96" s="168"/>
      <c r="PMW96" s="167"/>
      <c r="PMX96" s="168"/>
      <c r="PMY96" s="167"/>
      <c r="PMZ96" s="168"/>
      <c r="PNA96" s="167"/>
      <c r="PNB96" s="168"/>
      <c r="PNC96" s="167"/>
      <c r="PND96" s="168"/>
      <c r="PNE96" s="167"/>
      <c r="PNF96" s="168"/>
      <c r="PNG96" s="167"/>
      <c r="PNH96" s="168"/>
      <c r="PNI96" s="167"/>
      <c r="PNJ96" s="168"/>
      <c r="PNK96" s="167"/>
      <c r="PNL96" s="168"/>
      <c r="PNM96" s="167"/>
      <c r="PNN96" s="168"/>
      <c r="PNO96" s="167"/>
      <c r="PNP96" s="168"/>
      <c r="PNQ96" s="167"/>
      <c r="PNR96" s="168"/>
      <c r="PNS96" s="167"/>
      <c r="PNT96" s="168"/>
      <c r="PNU96" s="167"/>
      <c r="PNV96" s="168"/>
      <c r="PNW96" s="167"/>
      <c r="PNX96" s="168"/>
      <c r="PNY96" s="167"/>
      <c r="PNZ96" s="168"/>
      <c r="POA96" s="167"/>
      <c r="POB96" s="168"/>
      <c r="POC96" s="167"/>
      <c r="POD96" s="168"/>
      <c r="POE96" s="167"/>
      <c r="POF96" s="168"/>
      <c r="POG96" s="167"/>
      <c r="POH96" s="168"/>
      <c r="POI96" s="167"/>
      <c r="POJ96" s="168"/>
      <c r="POK96" s="167"/>
      <c r="POL96" s="168"/>
      <c r="POM96" s="167"/>
      <c r="PON96" s="168"/>
      <c r="POO96" s="167"/>
      <c r="POP96" s="168"/>
      <c r="POQ96" s="167"/>
      <c r="POR96" s="168"/>
      <c r="POS96" s="167"/>
      <c r="POT96" s="168"/>
      <c r="POU96" s="167"/>
      <c r="POV96" s="168"/>
      <c r="POW96" s="167"/>
      <c r="POX96" s="168"/>
      <c r="POY96" s="167"/>
      <c r="POZ96" s="168"/>
      <c r="PPA96" s="167"/>
      <c r="PPB96" s="168"/>
      <c r="PPC96" s="167"/>
      <c r="PPD96" s="168"/>
      <c r="PPE96" s="167"/>
      <c r="PPF96" s="168"/>
      <c r="PPG96" s="167"/>
      <c r="PPH96" s="168"/>
      <c r="PPI96" s="167"/>
      <c r="PPJ96" s="168"/>
      <c r="PPK96" s="167"/>
      <c r="PPL96" s="168"/>
      <c r="PPM96" s="167"/>
      <c r="PPN96" s="168"/>
      <c r="PPO96" s="167"/>
      <c r="PPP96" s="168"/>
      <c r="PPQ96" s="167"/>
      <c r="PPR96" s="168"/>
      <c r="PPS96" s="167"/>
      <c r="PPT96" s="168"/>
      <c r="PPU96" s="167"/>
      <c r="PPV96" s="168"/>
      <c r="PPW96" s="167"/>
      <c r="PPX96" s="168"/>
      <c r="PPY96" s="167"/>
      <c r="PPZ96" s="168"/>
      <c r="PQA96" s="167"/>
      <c r="PQB96" s="168"/>
      <c r="PQC96" s="167"/>
      <c r="PQD96" s="168"/>
      <c r="PQE96" s="167"/>
      <c r="PQF96" s="168"/>
      <c r="PQG96" s="167"/>
      <c r="PQH96" s="168"/>
      <c r="PQI96" s="167"/>
      <c r="PQJ96" s="168"/>
      <c r="PQK96" s="167"/>
      <c r="PQL96" s="168"/>
      <c r="PQM96" s="167"/>
      <c r="PQN96" s="168"/>
      <c r="PQO96" s="167"/>
      <c r="PQP96" s="168"/>
      <c r="PQQ96" s="167"/>
      <c r="PQR96" s="168"/>
      <c r="PQS96" s="167"/>
      <c r="PQT96" s="168"/>
      <c r="PQU96" s="167"/>
      <c r="PQV96" s="168"/>
      <c r="PQW96" s="167"/>
      <c r="PQX96" s="168"/>
      <c r="PQY96" s="167"/>
      <c r="PQZ96" s="168"/>
      <c r="PRA96" s="167"/>
      <c r="PRB96" s="168"/>
      <c r="PRC96" s="167"/>
      <c r="PRD96" s="168"/>
      <c r="PRE96" s="167"/>
      <c r="PRF96" s="168"/>
      <c r="PRG96" s="167"/>
      <c r="PRH96" s="168"/>
      <c r="PRI96" s="167"/>
      <c r="PRJ96" s="168"/>
      <c r="PRK96" s="167"/>
      <c r="PRL96" s="168"/>
      <c r="PRM96" s="167"/>
      <c r="PRN96" s="168"/>
      <c r="PRO96" s="167"/>
      <c r="PRP96" s="168"/>
      <c r="PRQ96" s="167"/>
      <c r="PRR96" s="168"/>
      <c r="PRS96" s="167"/>
      <c r="PRT96" s="168"/>
      <c r="PRU96" s="167"/>
      <c r="PRV96" s="168"/>
      <c r="PRW96" s="167"/>
      <c r="PRX96" s="168"/>
      <c r="PRY96" s="167"/>
      <c r="PRZ96" s="168"/>
      <c r="PSA96" s="167"/>
      <c r="PSB96" s="168"/>
      <c r="PSC96" s="167"/>
      <c r="PSD96" s="168"/>
      <c r="PSE96" s="167"/>
      <c r="PSF96" s="168"/>
      <c r="PSG96" s="167"/>
      <c r="PSH96" s="168"/>
      <c r="PSI96" s="167"/>
      <c r="PSJ96" s="168"/>
      <c r="PSK96" s="167"/>
      <c r="PSL96" s="168"/>
      <c r="PSM96" s="167"/>
      <c r="PSN96" s="168"/>
      <c r="PSO96" s="167"/>
      <c r="PSP96" s="168"/>
      <c r="PSQ96" s="167"/>
      <c r="PSR96" s="168"/>
      <c r="PSS96" s="167"/>
      <c r="PST96" s="168"/>
      <c r="PSU96" s="167"/>
      <c r="PSV96" s="168"/>
      <c r="PSW96" s="167"/>
      <c r="PSX96" s="168"/>
      <c r="PSY96" s="167"/>
      <c r="PSZ96" s="168"/>
      <c r="PTA96" s="167"/>
      <c r="PTB96" s="168"/>
      <c r="PTC96" s="167"/>
      <c r="PTD96" s="168"/>
      <c r="PTE96" s="167"/>
      <c r="PTF96" s="168"/>
      <c r="PTG96" s="167"/>
      <c r="PTH96" s="168"/>
      <c r="PTI96" s="167"/>
      <c r="PTJ96" s="168"/>
      <c r="PTK96" s="167"/>
      <c r="PTL96" s="168"/>
      <c r="PTM96" s="167"/>
      <c r="PTN96" s="168"/>
      <c r="PTO96" s="167"/>
      <c r="PTP96" s="168"/>
      <c r="PTQ96" s="167"/>
      <c r="PTR96" s="168"/>
      <c r="PTS96" s="167"/>
      <c r="PTT96" s="168"/>
      <c r="PTU96" s="167"/>
      <c r="PTV96" s="168"/>
      <c r="PTW96" s="167"/>
      <c r="PTX96" s="168"/>
      <c r="PTY96" s="167"/>
      <c r="PTZ96" s="168"/>
      <c r="PUA96" s="167"/>
      <c r="PUB96" s="168"/>
      <c r="PUC96" s="167"/>
      <c r="PUD96" s="168"/>
      <c r="PUE96" s="167"/>
      <c r="PUF96" s="168"/>
      <c r="PUG96" s="167"/>
      <c r="PUH96" s="168"/>
      <c r="PUI96" s="167"/>
      <c r="PUJ96" s="168"/>
      <c r="PUK96" s="167"/>
      <c r="PUL96" s="168"/>
      <c r="PUM96" s="167"/>
      <c r="PUN96" s="168"/>
      <c r="PUO96" s="167"/>
      <c r="PUP96" s="168"/>
      <c r="PUQ96" s="167"/>
      <c r="PUR96" s="168"/>
      <c r="PUS96" s="167"/>
      <c r="PUT96" s="168"/>
      <c r="PUU96" s="167"/>
      <c r="PUV96" s="168"/>
      <c r="PUW96" s="167"/>
      <c r="PUX96" s="168"/>
      <c r="PUY96" s="167"/>
      <c r="PUZ96" s="168"/>
      <c r="PVA96" s="167"/>
      <c r="PVB96" s="168"/>
      <c r="PVC96" s="167"/>
      <c r="PVD96" s="168"/>
      <c r="PVE96" s="167"/>
      <c r="PVF96" s="168"/>
      <c r="PVG96" s="167"/>
      <c r="PVH96" s="168"/>
      <c r="PVI96" s="167"/>
      <c r="PVJ96" s="168"/>
      <c r="PVK96" s="167"/>
      <c r="PVL96" s="168"/>
      <c r="PVM96" s="167"/>
      <c r="PVN96" s="168"/>
      <c r="PVO96" s="167"/>
      <c r="PVP96" s="168"/>
      <c r="PVQ96" s="167"/>
      <c r="PVR96" s="168"/>
      <c r="PVS96" s="167"/>
      <c r="PVT96" s="168"/>
      <c r="PVU96" s="167"/>
      <c r="PVV96" s="168"/>
      <c r="PVW96" s="167"/>
      <c r="PVX96" s="168"/>
      <c r="PVY96" s="167"/>
      <c r="PVZ96" s="168"/>
      <c r="PWA96" s="167"/>
      <c r="PWB96" s="168"/>
      <c r="PWC96" s="167"/>
      <c r="PWD96" s="168"/>
      <c r="PWE96" s="167"/>
      <c r="PWF96" s="168"/>
      <c r="PWG96" s="167"/>
      <c r="PWH96" s="168"/>
      <c r="PWI96" s="167"/>
      <c r="PWJ96" s="168"/>
      <c r="PWK96" s="167"/>
      <c r="PWL96" s="168"/>
      <c r="PWM96" s="167"/>
      <c r="PWN96" s="168"/>
      <c r="PWO96" s="167"/>
      <c r="PWP96" s="168"/>
      <c r="PWQ96" s="167"/>
      <c r="PWR96" s="168"/>
      <c r="PWS96" s="167"/>
      <c r="PWT96" s="168"/>
      <c r="PWU96" s="167"/>
      <c r="PWV96" s="168"/>
      <c r="PWW96" s="167"/>
      <c r="PWX96" s="168"/>
      <c r="PWY96" s="167"/>
      <c r="PWZ96" s="168"/>
      <c r="PXA96" s="167"/>
      <c r="PXB96" s="168"/>
      <c r="PXC96" s="167"/>
      <c r="PXD96" s="168"/>
      <c r="PXE96" s="167"/>
      <c r="PXF96" s="168"/>
      <c r="PXG96" s="167"/>
      <c r="PXH96" s="168"/>
      <c r="PXI96" s="167"/>
      <c r="PXJ96" s="168"/>
      <c r="PXK96" s="167"/>
      <c r="PXL96" s="168"/>
      <c r="PXM96" s="167"/>
      <c r="PXN96" s="168"/>
      <c r="PXO96" s="167"/>
      <c r="PXP96" s="168"/>
      <c r="PXQ96" s="167"/>
      <c r="PXR96" s="168"/>
      <c r="PXS96" s="167"/>
      <c r="PXT96" s="168"/>
      <c r="PXU96" s="167"/>
      <c r="PXV96" s="168"/>
      <c r="PXW96" s="167"/>
      <c r="PXX96" s="168"/>
      <c r="PXY96" s="167"/>
      <c r="PXZ96" s="168"/>
      <c r="PYA96" s="167"/>
      <c r="PYB96" s="168"/>
      <c r="PYC96" s="167"/>
      <c r="PYD96" s="168"/>
      <c r="PYE96" s="167"/>
      <c r="PYF96" s="168"/>
      <c r="PYG96" s="167"/>
      <c r="PYH96" s="168"/>
      <c r="PYI96" s="167"/>
      <c r="PYJ96" s="168"/>
      <c r="PYK96" s="167"/>
      <c r="PYL96" s="168"/>
      <c r="PYM96" s="167"/>
      <c r="PYN96" s="168"/>
      <c r="PYO96" s="167"/>
      <c r="PYP96" s="168"/>
      <c r="PYQ96" s="167"/>
      <c r="PYR96" s="168"/>
      <c r="PYS96" s="167"/>
      <c r="PYT96" s="168"/>
      <c r="PYU96" s="167"/>
      <c r="PYV96" s="168"/>
      <c r="PYW96" s="167"/>
      <c r="PYX96" s="168"/>
      <c r="PYY96" s="167"/>
      <c r="PYZ96" s="168"/>
      <c r="PZA96" s="167"/>
      <c r="PZB96" s="168"/>
      <c r="PZC96" s="167"/>
      <c r="PZD96" s="168"/>
      <c r="PZE96" s="167"/>
      <c r="PZF96" s="168"/>
      <c r="PZG96" s="167"/>
      <c r="PZH96" s="168"/>
      <c r="PZI96" s="167"/>
      <c r="PZJ96" s="168"/>
      <c r="PZK96" s="167"/>
      <c r="PZL96" s="168"/>
      <c r="PZM96" s="167"/>
      <c r="PZN96" s="168"/>
      <c r="PZO96" s="167"/>
      <c r="PZP96" s="168"/>
      <c r="PZQ96" s="167"/>
      <c r="PZR96" s="168"/>
      <c r="PZS96" s="167"/>
      <c r="PZT96" s="168"/>
      <c r="PZU96" s="167"/>
      <c r="PZV96" s="168"/>
      <c r="PZW96" s="167"/>
      <c r="PZX96" s="168"/>
      <c r="PZY96" s="167"/>
      <c r="PZZ96" s="168"/>
      <c r="QAA96" s="167"/>
      <c r="QAB96" s="168"/>
      <c r="QAC96" s="167"/>
      <c r="QAD96" s="168"/>
      <c r="QAE96" s="167"/>
      <c r="QAF96" s="168"/>
      <c r="QAG96" s="167"/>
      <c r="QAH96" s="168"/>
      <c r="QAI96" s="167"/>
      <c r="QAJ96" s="168"/>
      <c r="QAK96" s="167"/>
      <c r="QAL96" s="168"/>
      <c r="QAM96" s="167"/>
      <c r="QAN96" s="168"/>
      <c r="QAO96" s="167"/>
      <c r="QAP96" s="168"/>
      <c r="QAQ96" s="167"/>
      <c r="QAR96" s="168"/>
      <c r="QAS96" s="167"/>
      <c r="QAT96" s="168"/>
      <c r="QAU96" s="167"/>
      <c r="QAV96" s="168"/>
      <c r="QAW96" s="167"/>
      <c r="QAX96" s="168"/>
      <c r="QAY96" s="167"/>
      <c r="QAZ96" s="168"/>
      <c r="QBA96" s="167"/>
      <c r="QBB96" s="168"/>
      <c r="QBC96" s="167"/>
      <c r="QBD96" s="168"/>
      <c r="QBE96" s="167"/>
      <c r="QBF96" s="168"/>
      <c r="QBG96" s="167"/>
      <c r="QBH96" s="168"/>
      <c r="QBI96" s="167"/>
      <c r="QBJ96" s="168"/>
      <c r="QBK96" s="167"/>
      <c r="QBL96" s="168"/>
      <c r="QBM96" s="167"/>
      <c r="QBN96" s="168"/>
      <c r="QBO96" s="167"/>
      <c r="QBP96" s="168"/>
      <c r="QBQ96" s="167"/>
      <c r="QBR96" s="168"/>
      <c r="QBS96" s="167"/>
      <c r="QBT96" s="168"/>
      <c r="QBU96" s="167"/>
      <c r="QBV96" s="168"/>
      <c r="QBW96" s="167"/>
      <c r="QBX96" s="168"/>
      <c r="QBY96" s="167"/>
      <c r="QBZ96" s="168"/>
      <c r="QCA96" s="167"/>
      <c r="QCB96" s="168"/>
      <c r="QCC96" s="167"/>
      <c r="QCD96" s="168"/>
      <c r="QCE96" s="167"/>
      <c r="QCF96" s="168"/>
      <c r="QCG96" s="167"/>
      <c r="QCH96" s="168"/>
      <c r="QCI96" s="167"/>
      <c r="QCJ96" s="168"/>
      <c r="QCK96" s="167"/>
      <c r="QCL96" s="168"/>
      <c r="QCM96" s="167"/>
      <c r="QCN96" s="168"/>
      <c r="QCO96" s="167"/>
      <c r="QCP96" s="168"/>
      <c r="QCQ96" s="167"/>
      <c r="QCR96" s="168"/>
      <c r="QCS96" s="167"/>
      <c r="QCT96" s="168"/>
      <c r="QCU96" s="167"/>
      <c r="QCV96" s="168"/>
      <c r="QCW96" s="167"/>
      <c r="QCX96" s="168"/>
      <c r="QCY96" s="167"/>
      <c r="QCZ96" s="168"/>
      <c r="QDA96" s="167"/>
      <c r="QDB96" s="168"/>
      <c r="QDC96" s="167"/>
      <c r="QDD96" s="168"/>
      <c r="QDE96" s="167"/>
      <c r="QDF96" s="168"/>
      <c r="QDG96" s="167"/>
      <c r="QDH96" s="168"/>
      <c r="QDI96" s="167"/>
      <c r="QDJ96" s="168"/>
      <c r="QDK96" s="167"/>
      <c r="QDL96" s="168"/>
      <c r="QDM96" s="167"/>
      <c r="QDN96" s="168"/>
      <c r="QDO96" s="167"/>
      <c r="QDP96" s="168"/>
      <c r="QDQ96" s="167"/>
      <c r="QDR96" s="168"/>
      <c r="QDS96" s="167"/>
      <c r="QDT96" s="168"/>
      <c r="QDU96" s="167"/>
      <c r="QDV96" s="168"/>
      <c r="QDW96" s="167"/>
      <c r="QDX96" s="168"/>
      <c r="QDY96" s="167"/>
      <c r="QDZ96" s="168"/>
      <c r="QEA96" s="167"/>
      <c r="QEB96" s="168"/>
      <c r="QEC96" s="167"/>
      <c r="QED96" s="168"/>
      <c r="QEE96" s="167"/>
      <c r="QEF96" s="168"/>
      <c r="QEG96" s="167"/>
      <c r="QEH96" s="168"/>
      <c r="QEI96" s="167"/>
      <c r="QEJ96" s="168"/>
      <c r="QEK96" s="167"/>
      <c r="QEL96" s="168"/>
      <c r="QEM96" s="167"/>
      <c r="QEN96" s="168"/>
      <c r="QEO96" s="167"/>
      <c r="QEP96" s="168"/>
      <c r="QEQ96" s="167"/>
      <c r="QER96" s="168"/>
      <c r="QES96" s="167"/>
      <c r="QET96" s="168"/>
      <c r="QEU96" s="167"/>
      <c r="QEV96" s="168"/>
      <c r="QEW96" s="167"/>
      <c r="QEX96" s="168"/>
      <c r="QEY96" s="167"/>
      <c r="QEZ96" s="168"/>
      <c r="QFA96" s="167"/>
      <c r="QFB96" s="168"/>
      <c r="QFC96" s="167"/>
      <c r="QFD96" s="168"/>
      <c r="QFE96" s="167"/>
      <c r="QFF96" s="168"/>
      <c r="QFG96" s="167"/>
      <c r="QFH96" s="168"/>
      <c r="QFI96" s="167"/>
      <c r="QFJ96" s="168"/>
      <c r="QFK96" s="167"/>
      <c r="QFL96" s="168"/>
      <c r="QFM96" s="167"/>
      <c r="QFN96" s="168"/>
      <c r="QFO96" s="167"/>
      <c r="QFP96" s="168"/>
      <c r="QFQ96" s="167"/>
      <c r="QFR96" s="168"/>
      <c r="QFS96" s="167"/>
      <c r="QFT96" s="168"/>
      <c r="QFU96" s="167"/>
      <c r="QFV96" s="168"/>
      <c r="QFW96" s="167"/>
      <c r="QFX96" s="168"/>
      <c r="QFY96" s="167"/>
      <c r="QFZ96" s="168"/>
      <c r="QGA96" s="167"/>
      <c r="QGB96" s="168"/>
      <c r="QGC96" s="167"/>
      <c r="QGD96" s="168"/>
      <c r="QGE96" s="167"/>
      <c r="QGF96" s="168"/>
      <c r="QGG96" s="167"/>
      <c r="QGH96" s="168"/>
      <c r="QGI96" s="167"/>
      <c r="QGJ96" s="168"/>
      <c r="QGK96" s="167"/>
      <c r="QGL96" s="168"/>
      <c r="QGM96" s="167"/>
      <c r="QGN96" s="168"/>
      <c r="QGO96" s="167"/>
      <c r="QGP96" s="168"/>
      <c r="QGQ96" s="167"/>
      <c r="QGR96" s="168"/>
      <c r="QGS96" s="167"/>
      <c r="QGT96" s="168"/>
      <c r="QGU96" s="167"/>
      <c r="QGV96" s="168"/>
      <c r="QGW96" s="167"/>
      <c r="QGX96" s="168"/>
      <c r="QGY96" s="167"/>
      <c r="QGZ96" s="168"/>
      <c r="QHA96" s="167"/>
      <c r="QHB96" s="168"/>
      <c r="QHC96" s="167"/>
      <c r="QHD96" s="168"/>
      <c r="QHE96" s="167"/>
      <c r="QHF96" s="168"/>
      <c r="QHG96" s="167"/>
      <c r="QHH96" s="168"/>
      <c r="QHI96" s="167"/>
      <c r="QHJ96" s="168"/>
      <c r="QHK96" s="167"/>
      <c r="QHL96" s="168"/>
      <c r="QHM96" s="167"/>
      <c r="QHN96" s="168"/>
      <c r="QHO96" s="167"/>
      <c r="QHP96" s="168"/>
      <c r="QHQ96" s="167"/>
      <c r="QHR96" s="168"/>
      <c r="QHS96" s="167"/>
      <c r="QHT96" s="168"/>
      <c r="QHU96" s="167"/>
      <c r="QHV96" s="168"/>
      <c r="QHW96" s="167"/>
      <c r="QHX96" s="168"/>
      <c r="QHY96" s="167"/>
      <c r="QHZ96" s="168"/>
      <c r="QIA96" s="167"/>
      <c r="QIB96" s="168"/>
      <c r="QIC96" s="167"/>
      <c r="QID96" s="168"/>
      <c r="QIE96" s="167"/>
      <c r="QIF96" s="168"/>
      <c r="QIG96" s="167"/>
      <c r="QIH96" s="168"/>
      <c r="QII96" s="167"/>
      <c r="QIJ96" s="168"/>
      <c r="QIK96" s="167"/>
      <c r="QIL96" s="168"/>
      <c r="QIM96" s="167"/>
      <c r="QIN96" s="168"/>
      <c r="QIO96" s="167"/>
      <c r="QIP96" s="168"/>
      <c r="QIQ96" s="167"/>
      <c r="QIR96" s="168"/>
      <c r="QIS96" s="167"/>
      <c r="QIT96" s="168"/>
      <c r="QIU96" s="167"/>
      <c r="QIV96" s="168"/>
      <c r="QIW96" s="167"/>
      <c r="QIX96" s="168"/>
      <c r="QIY96" s="167"/>
      <c r="QIZ96" s="168"/>
      <c r="QJA96" s="167"/>
      <c r="QJB96" s="168"/>
      <c r="QJC96" s="167"/>
      <c r="QJD96" s="168"/>
      <c r="QJE96" s="167"/>
      <c r="QJF96" s="168"/>
      <c r="QJG96" s="167"/>
      <c r="QJH96" s="168"/>
      <c r="QJI96" s="167"/>
      <c r="QJJ96" s="168"/>
      <c r="QJK96" s="167"/>
      <c r="QJL96" s="168"/>
      <c r="QJM96" s="167"/>
      <c r="QJN96" s="168"/>
      <c r="QJO96" s="167"/>
      <c r="QJP96" s="168"/>
      <c r="QJQ96" s="167"/>
      <c r="QJR96" s="168"/>
      <c r="QJS96" s="167"/>
      <c r="QJT96" s="168"/>
      <c r="QJU96" s="167"/>
      <c r="QJV96" s="168"/>
      <c r="QJW96" s="167"/>
      <c r="QJX96" s="168"/>
      <c r="QJY96" s="167"/>
      <c r="QJZ96" s="168"/>
      <c r="QKA96" s="167"/>
      <c r="QKB96" s="168"/>
      <c r="QKC96" s="167"/>
      <c r="QKD96" s="168"/>
      <c r="QKE96" s="167"/>
      <c r="QKF96" s="168"/>
      <c r="QKG96" s="167"/>
      <c r="QKH96" s="168"/>
      <c r="QKI96" s="167"/>
      <c r="QKJ96" s="168"/>
      <c r="QKK96" s="167"/>
      <c r="QKL96" s="168"/>
      <c r="QKM96" s="167"/>
      <c r="QKN96" s="168"/>
      <c r="QKO96" s="167"/>
      <c r="QKP96" s="168"/>
      <c r="QKQ96" s="167"/>
      <c r="QKR96" s="168"/>
      <c r="QKS96" s="167"/>
      <c r="QKT96" s="168"/>
      <c r="QKU96" s="167"/>
      <c r="QKV96" s="168"/>
      <c r="QKW96" s="167"/>
      <c r="QKX96" s="168"/>
      <c r="QKY96" s="167"/>
      <c r="QKZ96" s="168"/>
      <c r="QLA96" s="167"/>
      <c r="QLB96" s="168"/>
      <c r="QLC96" s="167"/>
      <c r="QLD96" s="168"/>
      <c r="QLE96" s="167"/>
      <c r="QLF96" s="168"/>
      <c r="QLG96" s="167"/>
      <c r="QLH96" s="168"/>
      <c r="QLI96" s="167"/>
      <c r="QLJ96" s="168"/>
      <c r="QLK96" s="167"/>
      <c r="QLL96" s="168"/>
      <c r="QLM96" s="167"/>
      <c r="QLN96" s="168"/>
      <c r="QLO96" s="167"/>
      <c r="QLP96" s="168"/>
      <c r="QLQ96" s="167"/>
      <c r="QLR96" s="168"/>
      <c r="QLS96" s="167"/>
      <c r="QLT96" s="168"/>
      <c r="QLU96" s="167"/>
      <c r="QLV96" s="168"/>
      <c r="QLW96" s="167"/>
      <c r="QLX96" s="168"/>
      <c r="QLY96" s="167"/>
      <c r="QLZ96" s="168"/>
      <c r="QMA96" s="167"/>
      <c r="QMB96" s="168"/>
      <c r="QMC96" s="167"/>
      <c r="QMD96" s="168"/>
      <c r="QME96" s="167"/>
      <c r="QMF96" s="168"/>
      <c r="QMG96" s="167"/>
      <c r="QMH96" s="168"/>
      <c r="QMI96" s="167"/>
      <c r="QMJ96" s="168"/>
      <c r="QMK96" s="167"/>
      <c r="QML96" s="168"/>
      <c r="QMM96" s="167"/>
      <c r="QMN96" s="168"/>
      <c r="QMO96" s="167"/>
      <c r="QMP96" s="168"/>
      <c r="QMQ96" s="167"/>
      <c r="QMR96" s="168"/>
      <c r="QMS96" s="167"/>
      <c r="QMT96" s="168"/>
      <c r="QMU96" s="167"/>
      <c r="QMV96" s="168"/>
      <c r="QMW96" s="167"/>
      <c r="QMX96" s="168"/>
      <c r="QMY96" s="167"/>
      <c r="QMZ96" s="168"/>
      <c r="QNA96" s="167"/>
      <c r="QNB96" s="168"/>
      <c r="QNC96" s="167"/>
      <c r="QND96" s="168"/>
      <c r="QNE96" s="167"/>
      <c r="QNF96" s="168"/>
      <c r="QNG96" s="167"/>
      <c r="QNH96" s="168"/>
      <c r="QNI96" s="167"/>
      <c r="QNJ96" s="168"/>
      <c r="QNK96" s="167"/>
      <c r="QNL96" s="168"/>
      <c r="QNM96" s="167"/>
      <c r="QNN96" s="168"/>
      <c r="QNO96" s="167"/>
      <c r="QNP96" s="168"/>
      <c r="QNQ96" s="167"/>
      <c r="QNR96" s="168"/>
      <c r="QNS96" s="167"/>
      <c r="QNT96" s="168"/>
      <c r="QNU96" s="167"/>
      <c r="QNV96" s="168"/>
      <c r="QNW96" s="167"/>
      <c r="QNX96" s="168"/>
      <c r="QNY96" s="167"/>
      <c r="QNZ96" s="168"/>
      <c r="QOA96" s="167"/>
      <c r="QOB96" s="168"/>
      <c r="QOC96" s="167"/>
      <c r="QOD96" s="168"/>
      <c r="QOE96" s="167"/>
      <c r="QOF96" s="168"/>
      <c r="QOG96" s="167"/>
      <c r="QOH96" s="168"/>
      <c r="QOI96" s="167"/>
      <c r="QOJ96" s="168"/>
      <c r="QOK96" s="167"/>
      <c r="QOL96" s="168"/>
      <c r="QOM96" s="167"/>
      <c r="QON96" s="168"/>
      <c r="QOO96" s="167"/>
      <c r="QOP96" s="168"/>
      <c r="QOQ96" s="167"/>
      <c r="QOR96" s="168"/>
      <c r="QOS96" s="167"/>
      <c r="QOT96" s="168"/>
      <c r="QOU96" s="167"/>
      <c r="QOV96" s="168"/>
      <c r="QOW96" s="167"/>
      <c r="QOX96" s="168"/>
      <c r="QOY96" s="167"/>
      <c r="QOZ96" s="168"/>
      <c r="QPA96" s="167"/>
      <c r="QPB96" s="168"/>
      <c r="QPC96" s="167"/>
      <c r="QPD96" s="168"/>
      <c r="QPE96" s="167"/>
      <c r="QPF96" s="168"/>
      <c r="QPG96" s="167"/>
      <c r="QPH96" s="168"/>
      <c r="QPI96" s="167"/>
      <c r="QPJ96" s="168"/>
      <c r="QPK96" s="167"/>
      <c r="QPL96" s="168"/>
      <c r="QPM96" s="167"/>
      <c r="QPN96" s="168"/>
      <c r="QPO96" s="167"/>
      <c r="QPP96" s="168"/>
      <c r="QPQ96" s="167"/>
      <c r="QPR96" s="168"/>
      <c r="QPS96" s="167"/>
      <c r="QPT96" s="168"/>
      <c r="QPU96" s="167"/>
      <c r="QPV96" s="168"/>
      <c r="QPW96" s="167"/>
      <c r="QPX96" s="168"/>
      <c r="QPY96" s="167"/>
      <c r="QPZ96" s="168"/>
      <c r="QQA96" s="167"/>
      <c r="QQB96" s="168"/>
      <c r="QQC96" s="167"/>
      <c r="QQD96" s="168"/>
      <c r="QQE96" s="167"/>
      <c r="QQF96" s="168"/>
      <c r="QQG96" s="167"/>
      <c r="QQH96" s="168"/>
      <c r="QQI96" s="167"/>
      <c r="QQJ96" s="168"/>
      <c r="QQK96" s="167"/>
      <c r="QQL96" s="168"/>
      <c r="QQM96" s="167"/>
      <c r="QQN96" s="168"/>
      <c r="QQO96" s="167"/>
      <c r="QQP96" s="168"/>
      <c r="QQQ96" s="167"/>
      <c r="QQR96" s="168"/>
      <c r="QQS96" s="167"/>
      <c r="QQT96" s="168"/>
      <c r="QQU96" s="167"/>
      <c r="QQV96" s="168"/>
      <c r="QQW96" s="167"/>
      <c r="QQX96" s="168"/>
      <c r="QQY96" s="167"/>
      <c r="QQZ96" s="168"/>
      <c r="QRA96" s="167"/>
      <c r="QRB96" s="168"/>
      <c r="QRC96" s="167"/>
      <c r="QRD96" s="168"/>
      <c r="QRE96" s="167"/>
      <c r="QRF96" s="168"/>
      <c r="QRG96" s="167"/>
      <c r="QRH96" s="168"/>
      <c r="QRI96" s="167"/>
      <c r="QRJ96" s="168"/>
      <c r="QRK96" s="167"/>
      <c r="QRL96" s="168"/>
      <c r="QRM96" s="167"/>
      <c r="QRN96" s="168"/>
      <c r="QRO96" s="167"/>
      <c r="QRP96" s="168"/>
      <c r="QRQ96" s="167"/>
      <c r="QRR96" s="168"/>
      <c r="QRS96" s="167"/>
      <c r="QRT96" s="168"/>
      <c r="QRU96" s="167"/>
      <c r="QRV96" s="168"/>
      <c r="QRW96" s="167"/>
      <c r="QRX96" s="168"/>
      <c r="QRY96" s="167"/>
      <c r="QRZ96" s="168"/>
      <c r="QSA96" s="167"/>
      <c r="QSB96" s="168"/>
      <c r="QSC96" s="167"/>
      <c r="QSD96" s="168"/>
      <c r="QSE96" s="167"/>
      <c r="QSF96" s="168"/>
      <c r="QSG96" s="167"/>
      <c r="QSH96" s="168"/>
      <c r="QSI96" s="167"/>
      <c r="QSJ96" s="168"/>
      <c r="QSK96" s="167"/>
      <c r="QSL96" s="168"/>
      <c r="QSM96" s="167"/>
      <c r="QSN96" s="168"/>
      <c r="QSO96" s="167"/>
      <c r="QSP96" s="168"/>
      <c r="QSQ96" s="167"/>
      <c r="QSR96" s="168"/>
      <c r="QSS96" s="167"/>
      <c r="QST96" s="168"/>
      <c r="QSU96" s="167"/>
      <c r="QSV96" s="168"/>
      <c r="QSW96" s="167"/>
      <c r="QSX96" s="168"/>
      <c r="QSY96" s="167"/>
      <c r="QSZ96" s="168"/>
      <c r="QTA96" s="167"/>
      <c r="QTB96" s="168"/>
      <c r="QTC96" s="167"/>
      <c r="QTD96" s="168"/>
      <c r="QTE96" s="167"/>
      <c r="QTF96" s="168"/>
      <c r="QTG96" s="167"/>
      <c r="QTH96" s="168"/>
      <c r="QTI96" s="167"/>
      <c r="QTJ96" s="168"/>
      <c r="QTK96" s="167"/>
      <c r="QTL96" s="168"/>
      <c r="QTM96" s="167"/>
      <c r="QTN96" s="168"/>
      <c r="QTO96" s="167"/>
      <c r="QTP96" s="168"/>
      <c r="QTQ96" s="167"/>
      <c r="QTR96" s="168"/>
      <c r="QTS96" s="167"/>
      <c r="QTT96" s="168"/>
      <c r="QTU96" s="167"/>
      <c r="QTV96" s="168"/>
      <c r="QTW96" s="167"/>
      <c r="QTX96" s="168"/>
      <c r="QTY96" s="167"/>
      <c r="QTZ96" s="168"/>
      <c r="QUA96" s="167"/>
      <c r="QUB96" s="168"/>
      <c r="QUC96" s="167"/>
      <c r="QUD96" s="168"/>
      <c r="QUE96" s="167"/>
      <c r="QUF96" s="168"/>
      <c r="QUG96" s="167"/>
      <c r="QUH96" s="168"/>
      <c r="QUI96" s="167"/>
      <c r="QUJ96" s="168"/>
      <c r="QUK96" s="167"/>
      <c r="QUL96" s="168"/>
      <c r="QUM96" s="167"/>
      <c r="QUN96" s="168"/>
      <c r="QUO96" s="167"/>
      <c r="QUP96" s="168"/>
      <c r="QUQ96" s="167"/>
      <c r="QUR96" s="168"/>
      <c r="QUS96" s="167"/>
      <c r="QUT96" s="168"/>
      <c r="QUU96" s="167"/>
      <c r="QUV96" s="168"/>
      <c r="QUW96" s="167"/>
      <c r="QUX96" s="168"/>
      <c r="QUY96" s="167"/>
      <c r="QUZ96" s="168"/>
      <c r="QVA96" s="167"/>
      <c r="QVB96" s="168"/>
      <c r="QVC96" s="167"/>
      <c r="QVD96" s="168"/>
      <c r="QVE96" s="167"/>
      <c r="QVF96" s="168"/>
      <c r="QVG96" s="167"/>
      <c r="QVH96" s="168"/>
      <c r="QVI96" s="167"/>
      <c r="QVJ96" s="168"/>
      <c r="QVK96" s="167"/>
      <c r="QVL96" s="168"/>
      <c r="QVM96" s="167"/>
      <c r="QVN96" s="168"/>
      <c r="QVO96" s="167"/>
      <c r="QVP96" s="168"/>
      <c r="QVQ96" s="167"/>
      <c r="QVR96" s="168"/>
      <c r="QVS96" s="167"/>
      <c r="QVT96" s="168"/>
      <c r="QVU96" s="167"/>
      <c r="QVV96" s="168"/>
      <c r="QVW96" s="167"/>
      <c r="QVX96" s="168"/>
      <c r="QVY96" s="167"/>
      <c r="QVZ96" s="168"/>
      <c r="QWA96" s="167"/>
      <c r="QWB96" s="168"/>
      <c r="QWC96" s="167"/>
      <c r="QWD96" s="168"/>
      <c r="QWE96" s="167"/>
      <c r="QWF96" s="168"/>
      <c r="QWG96" s="167"/>
      <c r="QWH96" s="168"/>
      <c r="QWI96" s="167"/>
      <c r="QWJ96" s="168"/>
      <c r="QWK96" s="167"/>
      <c r="QWL96" s="168"/>
      <c r="QWM96" s="167"/>
      <c r="QWN96" s="168"/>
      <c r="QWO96" s="167"/>
      <c r="QWP96" s="168"/>
      <c r="QWQ96" s="167"/>
      <c r="QWR96" s="168"/>
      <c r="QWS96" s="167"/>
      <c r="QWT96" s="168"/>
      <c r="QWU96" s="167"/>
      <c r="QWV96" s="168"/>
      <c r="QWW96" s="167"/>
      <c r="QWX96" s="168"/>
      <c r="QWY96" s="167"/>
      <c r="QWZ96" s="168"/>
      <c r="QXA96" s="167"/>
      <c r="QXB96" s="168"/>
      <c r="QXC96" s="167"/>
      <c r="QXD96" s="168"/>
      <c r="QXE96" s="167"/>
      <c r="QXF96" s="168"/>
      <c r="QXG96" s="167"/>
      <c r="QXH96" s="168"/>
      <c r="QXI96" s="167"/>
      <c r="QXJ96" s="168"/>
      <c r="QXK96" s="167"/>
      <c r="QXL96" s="168"/>
      <c r="QXM96" s="167"/>
      <c r="QXN96" s="168"/>
      <c r="QXO96" s="167"/>
      <c r="QXP96" s="168"/>
      <c r="QXQ96" s="167"/>
      <c r="QXR96" s="168"/>
      <c r="QXS96" s="167"/>
      <c r="QXT96" s="168"/>
      <c r="QXU96" s="167"/>
      <c r="QXV96" s="168"/>
      <c r="QXW96" s="167"/>
      <c r="QXX96" s="168"/>
      <c r="QXY96" s="167"/>
      <c r="QXZ96" s="168"/>
      <c r="QYA96" s="167"/>
      <c r="QYB96" s="168"/>
      <c r="QYC96" s="167"/>
      <c r="QYD96" s="168"/>
      <c r="QYE96" s="167"/>
      <c r="QYF96" s="168"/>
      <c r="QYG96" s="167"/>
      <c r="QYH96" s="168"/>
      <c r="QYI96" s="167"/>
      <c r="QYJ96" s="168"/>
      <c r="QYK96" s="167"/>
      <c r="QYL96" s="168"/>
      <c r="QYM96" s="167"/>
      <c r="QYN96" s="168"/>
      <c r="QYO96" s="167"/>
      <c r="QYP96" s="168"/>
      <c r="QYQ96" s="167"/>
      <c r="QYR96" s="168"/>
      <c r="QYS96" s="167"/>
      <c r="QYT96" s="168"/>
      <c r="QYU96" s="167"/>
      <c r="QYV96" s="168"/>
      <c r="QYW96" s="167"/>
      <c r="QYX96" s="168"/>
      <c r="QYY96" s="167"/>
      <c r="QYZ96" s="168"/>
      <c r="QZA96" s="167"/>
      <c r="QZB96" s="168"/>
      <c r="QZC96" s="167"/>
      <c r="QZD96" s="168"/>
      <c r="QZE96" s="167"/>
      <c r="QZF96" s="168"/>
      <c r="QZG96" s="167"/>
      <c r="QZH96" s="168"/>
      <c r="QZI96" s="167"/>
      <c r="QZJ96" s="168"/>
      <c r="QZK96" s="167"/>
      <c r="QZL96" s="168"/>
      <c r="QZM96" s="167"/>
      <c r="QZN96" s="168"/>
      <c r="QZO96" s="167"/>
      <c r="QZP96" s="168"/>
      <c r="QZQ96" s="167"/>
      <c r="QZR96" s="168"/>
      <c r="QZS96" s="167"/>
      <c r="QZT96" s="168"/>
      <c r="QZU96" s="167"/>
      <c r="QZV96" s="168"/>
      <c r="QZW96" s="167"/>
      <c r="QZX96" s="168"/>
      <c r="QZY96" s="167"/>
      <c r="QZZ96" s="168"/>
      <c r="RAA96" s="167"/>
      <c r="RAB96" s="168"/>
      <c r="RAC96" s="167"/>
      <c r="RAD96" s="168"/>
      <c r="RAE96" s="167"/>
      <c r="RAF96" s="168"/>
      <c r="RAG96" s="167"/>
      <c r="RAH96" s="168"/>
      <c r="RAI96" s="167"/>
      <c r="RAJ96" s="168"/>
      <c r="RAK96" s="167"/>
      <c r="RAL96" s="168"/>
      <c r="RAM96" s="167"/>
      <c r="RAN96" s="168"/>
      <c r="RAO96" s="167"/>
      <c r="RAP96" s="168"/>
      <c r="RAQ96" s="167"/>
      <c r="RAR96" s="168"/>
      <c r="RAS96" s="167"/>
      <c r="RAT96" s="168"/>
      <c r="RAU96" s="167"/>
      <c r="RAV96" s="168"/>
      <c r="RAW96" s="167"/>
      <c r="RAX96" s="168"/>
      <c r="RAY96" s="167"/>
      <c r="RAZ96" s="168"/>
      <c r="RBA96" s="167"/>
      <c r="RBB96" s="168"/>
      <c r="RBC96" s="167"/>
      <c r="RBD96" s="168"/>
      <c r="RBE96" s="167"/>
      <c r="RBF96" s="168"/>
      <c r="RBG96" s="167"/>
      <c r="RBH96" s="168"/>
      <c r="RBI96" s="167"/>
      <c r="RBJ96" s="168"/>
      <c r="RBK96" s="167"/>
      <c r="RBL96" s="168"/>
      <c r="RBM96" s="167"/>
      <c r="RBN96" s="168"/>
      <c r="RBO96" s="167"/>
      <c r="RBP96" s="168"/>
      <c r="RBQ96" s="167"/>
      <c r="RBR96" s="168"/>
      <c r="RBS96" s="167"/>
      <c r="RBT96" s="168"/>
      <c r="RBU96" s="167"/>
      <c r="RBV96" s="168"/>
      <c r="RBW96" s="167"/>
      <c r="RBX96" s="168"/>
      <c r="RBY96" s="167"/>
      <c r="RBZ96" s="168"/>
      <c r="RCA96" s="167"/>
      <c r="RCB96" s="168"/>
      <c r="RCC96" s="167"/>
      <c r="RCD96" s="168"/>
      <c r="RCE96" s="167"/>
      <c r="RCF96" s="168"/>
      <c r="RCG96" s="167"/>
      <c r="RCH96" s="168"/>
      <c r="RCI96" s="167"/>
      <c r="RCJ96" s="168"/>
      <c r="RCK96" s="167"/>
      <c r="RCL96" s="168"/>
      <c r="RCM96" s="167"/>
      <c r="RCN96" s="168"/>
      <c r="RCO96" s="167"/>
      <c r="RCP96" s="168"/>
      <c r="RCQ96" s="167"/>
      <c r="RCR96" s="168"/>
      <c r="RCS96" s="167"/>
      <c r="RCT96" s="168"/>
      <c r="RCU96" s="167"/>
      <c r="RCV96" s="168"/>
      <c r="RCW96" s="167"/>
      <c r="RCX96" s="168"/>
      <c r="RCY96" s="167"/>
      <c r="RCZ96" s="168"/>
      <c r="RDA96" s="167"/>
      <c r="RDB96" s="168"/>
      <c r="RDC96" s="167"/>
      <c r="RDD96" s="168"/>
      <c r="RDE96" s="167"/>
      <c r="RDF96" s="168"/>
      <c r="RDG96" s="167"/>
      <c r="RDH96" s="168"/>
      <c r="RDI96" s="167"/>
      <c r="RDJ96" s="168"/>
      <c r="RDK96" s="167"/>
      <c r="RDL96" s="168"/>
      <c r="RDM96" s="167"/>
      <c r="RDN96" s="168"/>
      <c r="RDO96" s="167"/>
      <c r="RDP96" s="168"/>
      <c r="RDQ96" s="167"/>
      <c r="RDR96" s="168"/>
      <c r="RDS96" s="167"/>
      <c r="RDT96" s="168"/>
      <c r="RDU96" s="167"/>
      <c r="RDV96" s="168"/>
      <c r="RDW96" s="167"/>
      <c r="RDX96" s="168"/>
      <c r="RDY96" s="167"/>
      <c r="RDZ96" s="168"/>
      <c r="REA96" s="167"/>
      <c r="REB96" s="168"/>
      <c r="REC96" s="167"/>
      <c r="RED96" s="168"/>
      <c r="REE96" s="167"/>
      <c r="REF96" s="168"/>
      <c r="REG96" s="167"/>
      <c r="REH96" s="168"/>
      <c r="REI96" s="167"/>
      <c r="REJ96" s="168"/>
      <c r="REK96" s="167"/>
      <c r="REL96" s="168"/>
      <c r="REM96" s="167"/>
      <c r="REN96" s="168"/>
      <c r="REO96" s="167"/>
      <c r="REP96" s="168"/>
      <c r="REQ96" s="167"/>
      <c r="RER96" s="168"/>
      <c r="RES96" s="167"/>
      <c r="RET96" s="168"/>
      <c r="REU96" s="167"/>
      <c r="REV96" s="168"/>
      <c r="REW96" s="167"/>
      <c r="REX96" s="168"/>
      <c r="REY96" s="167"/>
      <c r="REZ96" s="168"/>
      <c r="RFA96" s="167"/>
      <c r="RFB96" s="168"/>
      <c r="RFC96" s="167"/>
      <c r="RFD96" s="168"/>
      <c r="RFE96" s="167"/>
      <c r="RFF96" s="168"/>
      <c r="RFG96" s="167"/>
      <c r="RFH96" s="168"/>
      <c r="RFI96" s="167"/>
      <c r="RFJ96" s="168"/>
      <c r="RFK96" s="167"/>
      <c r="RFL96" s="168"/>
      <c r="RFM96" s="167"/>
      <c r="RFN96" s="168"/>
      <c r="RFO96" s="167"/>
      <c r="RFP96" s="168"/>
      <c r="RFQ96" s="167"/>
      <c r="RFR96" s="168"/>
      <c r="RFS96" s="167"/>
      <c r="RFT96" s="168"/>
      <c r="RFU96" s="167"/>
      <c r="RFV96" s="168"/>
      <c r="RFW96" s="167"/>
      <c r="RFX96" s="168"/>
      <c r="RFY96" s="167"/>
      <c r="RFZ96" s="168"/>
      <c r="RGA96" s="167"/>
      <c r="RGB96" s="168"/>
      <c r="RGC96" s="167"/>
      <c r="RGD96" s="168"/>
      <c r="RGE96" s="167"/>
      <c r="RGF96" s="168"/>
      <c r="RGG96" s="167"/>
      <c r="RGH96" s="168"/>
      <c r="RGI96" s="167"/>
      <c r="RGJ96" s="168"/>
      <c r="RGK96" s="167"/>
      <c r="RGL96" s="168"/>
      <c r="RGM96" s="167"/>
      <c r="RGN96" s="168"/>
      <c r="RGO96" s="167"/>
      <c r="RGP96" s="168"/>
      <c r="RGQ96" s="167"/>
      <c r="RGR96" s="168"/>
      <c r="RGS96" s="167"/>
      <c r="RGT96" s="168"/>
      <c r="RGU96" s="167"/>
      <c r="RGV96" s="168"/>
      <c r="RGW96" s="167"/>
      <c r="RGX96" s="168"/>
      <c r="RGY96" s="167"/>
      <c r="RGZ96" s="168"/>
      <c r="RHA96" s="167"/>
      <c r="RHB96" s="168"/>
      <c r="RHC96" s="167"/>
      <c r="RHD96" s="168"/>
      <c r="RHE96" s="167"/>
      <c r="RHF96" s="168"/>
      <c r="RHG96" s="167"/>
      <c r="RHH96" s="168"/>
      <c r="RHI96" s="167"/>
      <c r="RHJ96" s="168"/>
      <c r="RHK96" s="167"/>
      <c r="RHL96" s="168"/>
      <c r="RHM96" s="167"/>
      <c r="RHN96" s="168"/>
      <c r="RHO96" s="167"/>
      <c r="RHP96" s="168"/>
      <c r="RHQ96" s="167"/>
      <c r="RHR96" s="168"/>
      <c r="RHS96" s="167"/>
      <c r="RHT96" s="168"/>
      <c r="RHU96" s="167"/>
      <c r="RHV96" s="168"/>
      <c r="RHW96" s="167"/>
      <c r="RHX96" s="168"/>
      <c r="RHY96" s="167"/>
      <c r="RHZ96" s="168"/>
      <c r="RIA96" s="167"/>
      <c r="RIB96" s="168"/>
      <c r="RIC96" s="167"/>
      <c r="RID96" s="168"/>
      <c r="RIE96" s="167"/>
      <c r="RIF96" s="168"/>
      <c r="RIG96" s="167"/>
      <c r="RIH96" s="168"/>
      <c r="RII96" s="167"/>
      <c r="RIJ96" s="168"/>
      <c r="RIK96" s="167"/>
      <c r="RIL96" s="168"/>
      <c r="RIM96" s="167"/>
      <c r="RIN96" s="168"/>
      <c r="RIO96" s="167"/>
      <c r="RIP96" s="168"/>
      <c r="RIQ96" s="167"/>
      <c r="RIR96" s="168"/>
      <c r="RIS96" s="167"/>
      <c r="RIT96" s="168"/>
      <c r="RIU96" s="167"/>
      <c r="RIV96" s="168"/>
      <c r="RIW96" s="167"/>
      <c r="RIX96" s="168"/>
      <c r="RIY96" s="167"/>
      <c r="RIZ96" s="168"/>
      <c r="RJA96" s="167"/>
      <c r="RJB96" s="168"/>
      <c r="RJC96" s="167"/>
      <c r="RJD96" s="168"/>
      <c r="RJE96" s="167"/>
      <c r="RJF96" s="168"/>
      <c r="RJG96" s="167"/>
      <c r="RJH96" s="168"/>
      <c r="RJI96" s="167"/>
      <c r="RJJ96" s="168"/>
      <c r="RJK96" s="167"/>
      <c r="RJL96" s="168"/>
      <c r="RJM96" s="167"/>
      <c r="RJN96" s="168"/>
      <c r="RJO96" s="167"/>
      <c r="RJP96" s="168"/>
      <c r="RJQ96" s="167"/>
      <c r="RJR96" s="168"/>
      <c r="RJS96" s="167"/>
      <c r="RJT96" s="168"/>
      <c r="RJU96" s="167"/>
      <c r="RJV96" s="168"/>
      <c r="RJW96" s="167"/>
      <c r="RJX96" s="168"/>
      <c r="RJY96" s="167"/>
      <c r="RJZ96" s="168"/>
      <c r="RKA96" s="167"/>
      <c r="RKB96" s="168"/>
      <c r="RKC96" s="167"/>
      <c r="RKD96" s="168"/>
      <c r="RKE96" s="167"/>
      <c r="RKF96" s="168"/>
      <c r="RKG96" s="167"/>
      <c r="RKH96" s="168"/>
      <c r="RKI96" s="167"/>
      <c r="RKJ96" s="168"/>
      <c r="RKK96" s="167"/>
      <c r="RKL96" s="168"/>
      <c r="RKM96" s="167"/>
      <c r="RKN96" s="168"/>
      <c r="RKO96" s="167"/>
      <c r="RKP96" s="168"/>
      <c r="RKQ96" s="167"/>
      <c r="RKR96" s="168"/>
      <c r="RKS96" s="167"/>
      <c r="RKT96" s="168"/>
      <c r="RKU96" s="167"/>
      <c r="RKV96" s="168"/>
      <c r="RKW96" s="167"/>
      <c r="RKX96" s="168"/>
      <c r="RKY96" s="167"/>
      <c r="RKZ96" s="168"/>
      <c r="RLA96" s="167"/>
      <c r="RLB96" s="168"/>
      <c r="RLC96" s="167"/>
      <c r="RLD96" s="168"/>
      <c r="RLE96" s="167"/>
      <c r="RLF96" s="168"/>
      <c r="RLG96" s="167"/>
      <c r="RLH96" s="168"/>
      <c r="RLI96" s="167"/>
      <c r="RLJ96" s="168"/>
      <c r="RLK96" s="167"/>
      <c r="RLL96" s="168"/>
      <c r="RLM96" s="167"/>
      <c r="RLN96" s="168"/>
      <c r="RLO96" s="167"/>
      <c r="RLP96" s="168"/>
      <c r="RLQ96" s="167"/>
      <c r="RLR96" s="168"/>
      <c r="RLS96" s="167"/>
      <c r="RLT96" s="168"/>
      <c r="RLU96" s="167"/>
      <c r="RLV96" s="168"/>
      <c r="RLW96" s="167"/>
      <c r="RLX96" s="168"/>
      <c r="RLY96" s="167"/>
      <c r="RLZ96" s="168"/>
      <c r="RMA96" s="167"/>
      <c r="RMB96" s="168"/>
      <c r="RMC96" s="167"/>
      <c r="RMD96" s="168"/>
      <c r="RME96" s="167"/>
      <c r="RMF96" s="168"/>
      <c r="RMG96" s="167"/>
      <c r="RMH96" s="168"/>
      <c r="RMI96" s="167"/>
      <c r="RMJ96" s="168"/>
      <c r="RMK96" s="167"/>
      <c r="RML96" s="168"/>
      <c r="RMM96" s="167"/>
      <c r="RMN96" s="168"/>
      <c r="RMO96" s="167"/>
      <c r="RMP96" s="168"/>
      <c r="RMQ96" s="167"/>
      <c r="RMR96" s="168"/>
      <c r="RMS96" s="167"/>
      <c r="RMT96" s="168"/>
      <c r="RMU96" s="167"/>
      <c r="RMV96" s="168"/>
      <c r="RMW96" s="167"/>
      <c r="RMX96" s="168"/>
      <c r="RMY96" s="167"/>
      <c r="RMZ96" s="168"/>
      <c r="RNA96" s="167"/>
      <c r="RNB96" s="168"/>
      <c r="RNC96" s="167"/>
      <c r="RND96" s="168"/>
      <c r="RNE96" s="167"/>
      <c r="RNF96" s="168"/>
      <c r="RNG96" s="167"/>
      <c r="RNH96" s="168"/>
      <c r="RNI96" s="167"/>
      <c r="RNJ96" s="168"/>
      <c r="RNK96" s="167"/>
      <c r="RNL96" s="168"/>
      <c r="RNM96" s="167"/>
      <c r="RNN96" s="168"/>
      <c r="RNO96" s="167"/>
      <c r="RNP96" s="168"/>
      <c r="RNQ96" s="167"/>
      <c r="RNR96" s="168"/>
      <c r="RNS96" s="167"/>
      <c r="RNT96" s="168"/>
      <c r="RNU96" s="167"/>
      <c r="RNV96" s="168"/>
      <c r="RNW96" s="167"/>
      <c r="RNX96" s="168"/>
      <c r="RNY96" s="167"/>
      <c r="RNZ96" s="168"/>
      <c r="ROA96" s="167"/>
      <c r="ROB96" s="168"/>
      <c r="ROC96" s="167"/>
      <c r="ROD96" s="168"/>
      <c r="ROE96" s="167"/>
      <c r="ROF96" s="168"/>
      <c r="ROG96" s="167"/>
      <c r="ROH96" s="168"/>
      <c r="ROI96" s="167"/>
      <c r="ROJ96" s="168"/>
      <c r="ROK96" s="167"/>
      <c r="ROL96" s="168"/>
      <c r="ROM96" s="167"/>
      <c r="RON96" s="168"/>
      <c r="ROO96" s="167"/>
      <c r="ROP96" s="168"/>
      <c r="ROQ96" s="167"/>
      <c r="ROR96" s="168"/>
      <c r="ROS96" s="167"/>
      <c r="ROT96" s="168"/>
      <c r="ROU96" s="167"/>
      <c r="ROV96" s="168"/>
      <c r="ROW96" s="167"/>
      <c r="ROX96" s="168"/>
      <c r="ROY96" s="167"/>
      <c r="ROZ96" s="168"/>
      <c r="RPA96" s="167"/>
      <c r="RPB96" s="168"/>
      <c r="RPC96" s="167"/>
      <c r="RPD96" s="168"/>
      <c r="RPE96" s="167"/>
      <c r="RPF96" s="168"/>
      <c r="RPG96" s="167"/>
      <c r="RPH96" s="168"/>
      <c r="RPI96" s="167"/>
      <c r="RPJ96" s="168"/>
      <c r="RPK96" s="167"/>
      <c r="RPL96" s="168"/>
      <c r="RPM96" s="167"/>
      <c r="RPN96" s="168"/>
      <c r="RPO96" s="167"/>
      <c r="RPP96" s="168"/>
      <c r="RPQ96" s="167"/>
      <c r="RPR96" s="168"/>
      <c r="RPS96" s="167"/>
      <c r="RPT96" s="168"/>
      <c r="RPU96" s="167"/>
      <c r="RPV96" s="168"/>
      <c r="RPW96" s="167"/>
      <c r="RPX96" s="168"/>
      <c r="RPY96" s="167"/>
      <c r="RPZ96" s="168"/>
      <c r="RQA96" s="167"/>
      <c r="RQB96" s="168"/>
      <c r="RQC96" s="167"/>
      <c r="RQD96" s="168"/>
      <c r="RQE96" s="167"/>
      <c r="RQF96" s="168"/>
      <c r="RQG96" s="167"/>
      <c r="RQH96" s="168"/>
      <c r="RQI96" s="167"/>
      <c r="RQJ96" s="168"/>
      <c r="RQK96" s="167"/>
      <c r="RQL96" s="168"/>
      <c r="RQM96" s="167"/>
      <c r="RQN96" s="168"/>
      <c r="RQO96" s="167"/>
      <c r="RQP96" s="168"/>
      <c r="RQQ96" s="167"/>
      <c r="RQR96" s="168"/>
      <c r="RQS96" s="167"/>
      <c r="RQT96" s="168"/>
      <c r="RQU96" s="167"/>
      <c r="RQV96" s="168"/>
      <c r="RQW96" s="167"/>
      <c r="RQX96" s="168"/>
      <c r="RQY96" s="167"/>
      <c r="RQZ96" s="168"/>
      <c r="RRA96" s="167"/>
      <c r="RRB96" s="168"/>
      <c r="RRC96" s="167"/>
      <c r="RRD96" s="168"/>
      <c r="RRE96" s="167"/>
      <c r="RRF96" s="168"/>
      <c r="RRG96" s="167"/>
      <c r="RRH96" s="168"/>
      <c r="RRI96" s="167"/>
      <c r="RRJ96" s="168"/>
      <c r="RRK96" s="167"/>
      <c r="RRL96" s="168"/>
      <c r="RRM96" s="167"/>
      <c r="RRN96" s="168"/>
      <c r="RRO96" s="167"/>
      <c r="RRP96" s="168"/>
      <c r="RRQ96" s="167"/>
      <c r="RRR96" s="168"/>
      <c r="RRS96" s="167"/>
      <c r="RRT96" s="168"/>
      <c r="RRU96" s="167"/>
      <c r="RRV96" s="168"/>
      <c r="RRW96" s="167"/>
      <c r="RRX96" s="168"/>
      <c r="RRY96" s="167"/>
      <c r="RRZ96" s="168"/>
      <c r="RSA96" s="167"/>
      <c r="RSB96" s="168"/>
      <c r="RSC96" s="167"/>
      <c r="RSD96" s="168"/>
      <c r="RSE96" s="167"/>
      <c r="RSF96" s="168"/>
      <c r="RSG96" s="167"/>
      <c r="RSH96" s="168"/>
      <c r="RSI96" s="167"/>
      <c r="RSJ96" s="168"/>
      <c r="RSK96" s="167"/>
      <c r="RSL96" s="168"/>
      <c r="RSM96" s="167"/>
      <c r="RSN96" s="168"/>
      <c r="RSO96" s="167"/>
      <c r="RSP96" s="168"/>
      <c r="RSQ96" s="167"/>
      <c r="RSR96" s="168"/>
      <c r="RSS96" s="167"/>
      <c r="RST96" s="168"/>
      <c r="RSU96" s="167"/>
      <c r="RSV96" s="168"/>
      <c r="RSW96" s="167"/>
      <c r="RSX96" s="168"/>
      <c r="RSY96" s="167"/>
      <c r="RSZ96" s="168"/>
      <c r="RTA96" s="167"/>
      <c r="RTB96" s="168"/>
      <c r="RTC96" s="167"/>
      <c r="RTD96" s="168"/>
      <c r="RTE96" s="167"/>
      <c r="RTF96" s="168"/>
      <c r="RTG96" s="167"/>
      <c r="RTH96" s="168"/>
      <c r="RTI96" s="167"/>
      <c r="RTJ96" s="168"/>
      <c r="RTK96" s="167"/>
      <c r="RTL96" s="168"/>
      <c r="RTM96" s="167"/>
      <c r="RTN96" s="168"/>
      <c r="RTO96" s="167"/>
      <c r="RTP96" s="168"/>
      <c r="RTQ96" s="167"/>
      <c r="RTR96" s="168"/>
      <c r="RTS96" s="167"/>
      <c r="RTT96" s="168"/>
      <c r="RTU96" s="167"/>
      <c r="RTV96" s="168"/>
      <c r="RTW96" s="167"/>
      <c r="RTX96" s="168"/>
      <c r="RTY96" s="167"/>
      <c r="RTZ96" s="168"/>
      <c r="RUA96" s="167"/>
      <c r="RUB96" s="168"/>
      <c r="RUC96" s="167"/>
      <c r="RUD96" s="168"/>
      <c r="RUE96" s="167"/>
      <c r="RUF96" s="168"/>
      <c r="RUG96" s="167"/>
      <c r="RUH96" s="168"/>
      <c r="RUI96" s="167"/>
      <c r="RUJ96" s="168"/>
      <c r="RUK96" s="167"/>
      <c r="RUL96" s="168"/>
      <c r="RUM96" s="167"/>
      <c r="RUN96" s="168"/>
      <c r="RUO96" s="167"/>
      <c r="RUP96" s="168"/>
      <c r="RUQ96" s="167"/>
      <c r="RUR96" s="168"/>
      <c r="RUS96" s="167"/>
      <c r="RUT96" s="168"/>
      <c r="RUU96" s="167"/>
      <c r="RUV96" s="168"/>
      <c r="RUW96" s="167"/>
      <c r="RUX96" s="168"/>
      <c r="RUY96" s="167"/>
      <c r="RUZ96" s="168"/>
      <c r="RVA96" s="167"/>
      <c r="RVB96" s="168"/>
      <c r="RVC96" s="167"/>
      <c r="RVD96" s="168"/>
      <c r="RVE96" s="167"/>
      <c r="RVF96" s="168"/>
      <c r="RVG96" s="167"/>
      <c r="RVH96" s="168"/>
      <c r="RVI96" s="167"/>
      <c r="RVJ96" s="168"/>
      <c r="RVK96" s="167"/>
      <c r="RVL96" s="168"/>
      <c r="RVM96" s="167"/>
      <c r="RVN96" s="168"/>
      <c r="RVO96" s="167"/>
      <c r="RVP96" s="168"/>
      <c r="RVQ96" s="167"/>
      <c r="RVR96" s="168"/>
      <c r="RVS96" s="167"/>
      <c r="RVT96" s="168"/>
      <c r="RVU96" s="167"/>
      <c r="RVV96" s="168"/>
      <c r="RVW96" s="167"/>
      <c r="RVX96" s="168"/>
      <c r="RVY96" s="167"/>
      <c r="RVZ96" s="168"/>
      <c r="RWA96" s="167"/>
      <c r="RWB96" s="168"/>
      <c r="RWC96" s="167"/>
      <c r="RWD96" s="168"/>
      <c r="RWE96" s="167"/>
      <c r="RWF96" s="168"/>
      <c r="RWG96" s="167"/>
      <c r="RWH96" s="168"/>
      <c r="RWI96" s="167"/>
      <c r="RWJ96" s="168"/>
      <c r="RWK96" s="167"/>
      <c r="RWL96" s="168"/>
      <c r="RWM96" s="167"/>
      <c r="RWN96" s="168"/>
      <c r="RWO96" s="167"/>
      <c r="RWP96" s="168"/>
      <c r="RWQ96" s="167"/>
      <c r="RWR96" s="168"/>
      <c r="RWS96" s="167"/>
      <c r="RWT96" s="168"/>
      <c r="RWU96" s="167"/>
      <c r="RWV96" s="168"/>
      <c r="RWW96" s="167"/>
      <c r="RWX96" s="168"/>
      <c r="RWY96" s="167"/>
      <c r="RWZ96" s="168"/>
      <c r="RXA96" s="167"/>
      <c r="RXB96" s="168"/>
      <c r="RXC96" s="167"/>
      <c r="RXD96" s="168"/>
      <c r="RXE96" s="167"/>
      <c r="RXF96" s="168"/>
      <c r="RXG96" s="167"/>
      <c r="RXH96" s="168"/>
      <c r="RXI96" s="167"/>
      <c r="RXJ96" s="168"/>
      <c r="RXK96" s="167"/>
      <c r="RXL96" s="168"/>
      <c r="RXM96" s="167"/>
      <c r="RXN96" s="168"/>
      <c r="RXO96" s="167"/>
      <c r="RXP96" s="168"/>
      <c r="RXQ96" s="167"/>
      <c r="RXR96" s="168"/>
      <c r="RXS96" s="167"/>
      <c r="RXT96" s="168"/>
      <c r="RXU96" s="167"/>
      <c r="RXV96" s="168"/>
      <c r="RXW96" s="167"/>
      <c r="RXX96" s="168"/>
      <c r="RXY96" s="167"/>
      <c r="RXZ96" s="168"/>
      <c r="RYA96" s="167"/>
      <c r="RYB96" s="168"/>
      <c r="RYC96" s="167"/>
      <c r="RYD96" s="168"/>
      <c r="RYE96" s="167"/>
      <c r="RYF96" s="168"/>
      <c r="RYG96" s="167"/>
      <c r="RYH96" s="168"/>
      <c r="RYI96" s="167"/>
      <c r="RYJ96" s="168"/>
      <c r="RYK96" s="167"/>
      <c r="RYL96" s="168"/>
      <c r="RYM96" s="167"/>
      <c r="RYN96" s="168"/>
      <c r="RYO96" s="167"/>
      <c r="RYP96" s="168"/>
      <c r="RYQ96" s="167"/>
      <c r="RYR96" s="168"/>
      <c r="RYS96" s="167"/>
      <c r="RYT96" s="168"/>
      <c r="RYU96" s="167"/>
      <c r="RYV96" s="168"/>
      <c r="RYW96" s="167"/>
      <c r="RYX96" s="168"/>
      <c r="RYY96" s="167"/>
      <c r="RYZ96" s="168"/>
      <c r="RZA96" s="167"/>
      <c r="RZB96" s="168"/>
      <c r="RZC96" s="167"/>
      <c r="RZD96" s="168"/>
      <c r="RZE96" s="167"/>
      <c r="RZF96" s="168"/>
      <c r="RZG96" s="167"/>
      <c r="RZH96" s="168"/>
      <c r="RZI96" s="167"/>
      <c r="RZJ96" s="168"/>
      <c r="RZK96" s="167"/>
      <c r="RZL96" s="168"/>
      <c r="RZM96" s="167"/>
      <c r="RZN96" s="168"/>
      <c r="RZO96" s="167"/>
      <c r="RZP96" s="168"/>
      <c r="RZQ96" s="167"/>
      <c r="RZR96" s="168"/>
      <c r="RZS96" s="167"/>
      <c r="RZT96" s="168"/>
      <c r="RZU96" s="167"/>
      <c r="RZV96" s="168"/>
      <c r="RZW96" s="167"/>
      <c r="RZX96" s="168"/>
      <c r="RZY96" s="167"/>
      <c r="RZZ96" s="168"/>
      <c r="SAA96" s="167"/>
      <c r="SAB96" s="168"/>
      <c r="SAC96" s="167"/>
      <c r="SAD96" s="168"/>
      <c r="SAE96" s="167"/>
      <c r="SAF96" s="168"/>
      <c r="SAG96" s="167"/>
      <c r="SAH96" s="168"/>
      <c r="SAI96" s="167"/>
      <c r="SAJ96" s="168"/>
      <c r="SAK96" s="167"/>
      <c r="SAL96" s="168"/>
      <c r="SAM96" s="167"/>
      <c r="SAN96" s="168"/>
      <c r="SAO96" s="167"/>
      <c r="SAP96" s="168"/>
      <c r="SAQ96" s="167"/>
      <c r="SAR96" s="168"/>
      <c r="SAS96" s="167"/>
      <c r="SAT96" s="168"/>
      <c r="SAU96" s="167"/>
      <c r="SAV96" s="168"/>
      <c r="SAW96" s="167"/>
      <c r="SAX96" s="168"/>
      <c r="SAY96" s="167"/>
      <c r="SAZ96" s="168"/>
      <c r="SBA96" s="167"/>
      <c r="SBB96" s="168"/>
      <c r="SBC96" s="167"/>
      <c r="SBD96" s="168"/>
      <c r="SBE96" s="167"/>
      <c r="SBF96" s="168"/>
      <c r="SBG96" s="167"/>
      <c r="SBH96" s="168"/>
      <c r="SBI96" s="167"/>
      <c r="SBJ96" s="168"/>
      <c r="SBK96" s="167"/>
      <c r="SBL96" s="168"/>
      <c r="SBM96" s="167"/>
      <c r="SBN96" s="168"/>
      <c r="SBO96" s="167"/>
      <c r="SBP96" s="168"/>
      <c r="SBQ96" s="167"/>
      <c r="SBR96" s="168"/>
      <c r="SBS96" s="167"/>
      <c r="SBT96" s="168"/>
      <c r="SBU96" s="167"/>
      <c r="SBV96" s="168"/>
      <c r="SBW96" s="167"/>
      <c r="SBX96" s="168"/>
      <c r="SBY96" s="167"/>
      <c r="SBZ96" s="168"/>
      <c r="SCA96" s="167"/>
      <c r="SCB96" s="168"/>
      <c r="SCC96" s="167"/>
      <c r="SCD96" s="168"/>
      <c r="SCE96" s="167"/>
      <c r="SCF96" s="168"/>
      <c r="SCG96" s="167"/>
      <c r="SCH96" s="168"/>
      <c r="SCI96" s="167"/>
      <c r="SCJ96" s="168"/>
      <c r="SCK96" s="167"/>
      <c r="SCL96" s="168"/>
      <c r="SCM96" s="167"/>
      <c r="SCN96" s="168"/>
      <c r="SCO96" s="167"/>
      <c r="SCP96" s="168"/>
      <c r="SCQ96" s="167"/>
      <c r="SCR96" s="168"/>
      <c r="SCS96" s="167"/>
      <c r="SCT96" s="168"/>
      <c r="SCU96" s="167"/>
      <c r="SCV96" s="168"/>
      <c r="SCW96" s="167"/>
      <c r="SCX96" s="168"/>
      <c r="SCY96" s="167"/>
      <c r="SCZ96" s="168"/>
      <c r="SDA96" s="167"/>
      <c r="SDB96" s="168"/>
      <c r="SDC96" s="167"/>
      <c r="SDD96" s="168"/>
      <c r="SDE96" s="167"/>
      <c r="SDF96" s="168"/>
      <c r="SDG96" s="167"/>
      <c r="SDH96" s="168"/>
      <c r="SDI96" s="167"/>
      <c r="SDJ96" s="168"/>
      <c r="SDK96" s="167"/>
      <c r="SDL96" s="168"/>
      <c r="SDM96" s="167"/>
      <c r="SDN96" s="168"/>
      <c r="SDO96" s="167"/>
      <c r="SDP96" s="168"/>
      <c r="SDQ96" s="167"/>
      <c r="SDR96" s="168"/>
      <c r="SDS96" s="167"/>
      <c r="SDT96" s="168"/>
      <c r="SDU96" s="167"/>
      <c r="SDV96" s="168"/>
      <c r="SDW96" s="167"/>
      <c r="SDX96" s="168"/>
      <c r="SDY96" s="167"/>
      <c r="SDZ96" s="168"/>
      <c r="SEA96" s="167"/>
      <c r="SEB96" s="168"/>
      <c r="SEC96" s="167"/>
      <c r="SED96" s="168"/>
      <c r="SEE96" s="167"/>
      <c r="SEF96" s="168"/>
      <c r="SEG96" s="167"/>
      <c r="SEH96" s="168"/>
      <c r="SEI96" s="167"/>
      <c r="SEJ96" s="168"/>
      <c r="SEK96" s="167"/>
      <c r="SEL96" s="168"/>
      <c r="SEM96" s="167"/>
      <c r="SEN96" s="168"/>
      <c r="SEO96" s="167"/>
      <c r="SEP96" s="168"/>
      <c r="SEQ96" s="167"/>
      <c r="SER96" s="168"/>
      <c r="SES96" s="167"/>
      <c r="SET96" s="168"/>
      <c r="SEU96" s="167"/>
      <c r="SEV96" s="168"/>
      <c r="SEW96" s="167"/>
      <c r="SEX96" s="168"/>
      <c r="SEY96" s="167"/>
      <c r="SEZ96" s="168"/>
      <c r="SFA96" s="167"/>
      <c r="SFB96" s="168"/>
      <c r="SFC96" s="167"/>
      <c r="SFD96" s="168"/>
      <c r="SFE96" s="167"/>
      <c r="SFF96" s="168"/>
      <c r="SFG96" s="167"/>
      <c r="SFH96" s="168"/>
      <c r="SFI96" s="167"/>
      <c r="SFJ96" s="168"/>
      <c r="SFK96" s="167"/>
      <c r="SFL96" s="168"/>
      <c r="SFM96" s="167"/>
      <c r="SFN96" s="168"/>
      <c r="SFO96" s="167"/>
      <c r="SFP96" s="168"/>
      <c r="SFQ96" s="167"/>
      <c r="SFR96" s="168"/>
      <c r="SFS96" s="167"/>
      <c r="SFT96" s="168"/>
      <c r="SFU96" s="167"/>
      <c r="SFV96" s="168"/>
      <c r="SFW96" s="167"/>
      <c r="SFX96" s="168"/>
      <c r="SFY96" s="167"/>
      <c r="SFZ96" s="168"/>
      <c r="SGA96" s="167"/>
      <c r="SGB96" s="168"/>
      <c r="SGC96" s="167"/>
      <c r="SGD96" s="168"/>
      <c r="SGE96" s="167"/>
      <c r="SGF96" s="168"/>
      <c r="SGG96" s="167"/>
      <c r="SGH96" s="168"/>
      <c r="SGI96" s="167"/>
      <c r="SGJ96" s="168"/>
      <c r="SGK96" s="167"/>
      <c r="SGL96" s="168"/>
      <c r="SGM96" s="167"/>
      <c r="SGN96" s="168"/>
      <c r="SGO96" s="167"/>
      <c r="SGP96" s="168"/>
      <c r="SGQ96" s="167"/>
      <c r="SGR96" s="168"/>
      <c r="SGS96" s="167"/>
      <c r="SGT96" s="168"/>
      <c r="SGU96" s="167"/>
      <c r="SGV96" s="168"/>
      <c r="SGW96" s="167"/>
      <c r="SGX96" s="168"/>
      <c r="SGY96" s="167"/>
      <c r="SGZ96" s="168"/>
      <c r="SHA96" s="167"/>
      <c r="SHB96" s="168"/>
      <c r="SHC96" s="167"/>
      <c r="SHD96" s="168"/>
      <c r="SHE96" s="167"/>
      <c r="SHF96" s="168"/>
      <c r="SHG96" s="167"/>
      <c r="SHH96" s="168"/>
      <c r="SHI96" s="167"/>
      <c r="SHJ96" s="168"/>
      <c r="SHK96" s="167"/>
      <c r="SHL96" s="168"/>
      <c r="SHM96" s="167"/>
      <c r="SHN96" s="168"/>
      <c r="SHO96" s="167"/>
      <c r="SHP96" s="168"/>
      <c r="SHQ96" s="167"/>
      <c r="SHR96" s="168"/>
      <c r="SHS96" s="167"/>
      <c r="SHT96" s="168"/>
      <c r="SHU96" s="167"/>
      <c r="SHV96" s="168"/>
      <c r="SHW96" s="167"/>
      <c r="SHX96" s="168"/>
      <c r="SHY96" s="167"/>
      <c r="SHZ96" s="168"/>
      <c r="SIA96" s="167"/>
      <c r="SIB96" s="168"/>
      <c r="SIC96" s="167"/>
      <c r="SID96" s="168"/>
      <c r="SIE96" s="167"/>
      <c r="SIF96" s="168"/>
      <c r="SIG96" s="167"/>
      <c r="SIH96" s="168"/>
      <c r="SII96" s="167"/>
      <c r="SIJ96" s="168"/>
      <c r="SIK96" s="167"/>
      <c r="SIL96" s="168"/>
      <c r="SIM96" s="167"/>
      <c r="SIN96" s="168"/>
      <c r="SIO96" s="167"/>
      <c r="SIP96" s="168"/>
      <c r="SIQ96" s="167"/>
      <c r="SIR96" s="168"/>
      <c r="SIS96" s="167"/>
      <c r="SIT96" s="168"/>
      <c r="SIU96" s="167"/>
      <c r="SIV96" s="168"/>
      <c r="SIW96" s="167"/>
      <c r="SIX96" s="168"/>
      <c r="SIY96" s="167"/>
      <c r="SIZ96" s="168"/>
      <c r="SJA96" s="167"/>
      <c r="SJB96" s="168"/>
      <c r="SJC96" s="167"/>
      <c r="SJD96" s="168"/>
      <c r="SJE96" s="167"/>
      <c r="SJF96" s="168"/>
      <c r="SJG96" s="167"/>
      <c r="SJH96" s="168"/>
      <c r="SJI96" s="167"/>
      <c r="SJJ96" s="168"/>
      <c r="SJK96" s="167"/>
      <c r="SJL96" s="168"/>
      <c r="SJM96" s="167"/>
      <c r="SJN96" s="168"/>
      <c r="SJO96" s="167"/>
      <c r="SJP96" s="168"/>
      <c r="SJQ96" s="167"/>
      <c r="SJR96" s="168"/>
      <c r="SJS96" s="167"/>
      <c r="SJT96" s="168"/>
      <c r="SJU96" s="167"/>
      <c r="SJV96" s="168"/>
      <c r="SJW96" s="167"/>
      <c r="SJX96" s="168"/>
      <c r="SJY96" s="167"/>
      <c r="SJZ96" s="168"/>
      <c r="SKA96" s="167"/>
      <c r="SKB96" s="168"/>
      <c r="SKC96" s="167"/>
      <c r="SKD96" s="168"/>
      <c r="SKE96" s="167"/>
      <c r="SKF96" s="168"/>
      <c r="SKG96" s="167"/>
      <c r="SKH96" s="168"/>
      <c r="SKI96" s="167"/>
      <c r="SKJ96" s="168"/>
      <c r="SKK96" s="167"/>
      <c r="SKL96" s="168"/>
      <c r="SKM96" s="167"/>
      <c r="SKN96" s="168"/>
      <c r="SKO96" s="167"/>
      <c r="SKP96" s="168"/>
      <c r="SKQ96" s="167"/>
      <c r="SKR96" s="168"/>
      <c r="SKS96" s="167"/>
      <c r="SKT96" s="168"/>
      <c r="SKU96" s="167"/>
      <c r="SKV96" s="168"/>
      <c r="SKW96" s="167"/>
      <c r="SKX96" s="168"/>
      <c r="SKY96" s="167"/>
      <c r="SKZ96" s="168"/>
      <c r="SLA96" s="167"/>
      <c r="SLB96" s="168"/>
      <c r="SLC96" s="167"/>
      <c r="SLD96" s="168"/>
      <c r="SLE96" s="167"/>
      <c r="SLF96" s="168"/>
      <c r="SLG96" s="167"/>
      <c r="SLH96" s="168"/>
      <c r="SLI96" s="167"/>
      <c r="SLJ96" s="168"/>
      <c r="SLK96" s="167"/>
      <c r="SLL96" s="168"/>
      <c r="SLM96" s="167"/>
      <c r="SLN96" s="168"/>
      <c r="SLO96" s="167"/>
      <c r="SLP96" s="168"/>
      <c r="SLQ96" s="167"/>
      <c r="SLR96" s="168"/>
      <c r="SLS96" s="167"/>
      <c r="SLT96" s="168"/>
      <c r="SLU96" s="167"/>
      <c r="SLV96" s="168"/>
      <c r="SLW96" s="167"/>
      <c r="SLX96" s="168"/>
      <c r="SLY96" s="167"/>
      <c r="SLZ96" s="168"/>
      <c r="SMA96" s="167"/>
      <c r="SMB96" s="168"/>
      <c r="SMC96" s="167"/>
      <c r="SMD96" s="168"/>
      <c r="SME96" s="167"/>
      <c r="SMF96" s="168"/>
      <c r="SMG96" s="167"/>
      <c r="SMH96" s="168"/>
      <c r="SMI96" s="167"/>
      <c r="SMJ96" s="168"/>
      <c r="SMK96" s="167"/>
      <c r="SML96" s="168"/>
      <c r="SMM96" s="167"/>
      <c r="SMN96" s="168"/>
      <c r="SMO96" s="167"/>
      <c r="SMP96" s="168"/>
      <c r="SMQ96" s="167"/>
      <c r="SMR96" s="168"/>
      <c r="SMS96" s="167"/>
      <c r="SMT96" s="168"/>
      <c r="SMU96" s="167"/>
      <c r="SMV96" s="168"/>
      <c r="SMW96" s="167"/>
      <c r="SMX96" s="168"/>
      <c r="SMY96" s="167"/>
      <c r="SMZ96" s="168"/>
      <c r="SNA96" s="167"/>
      <c r="SNB96" s="168"/>
      <c r="SNC96" s="167"/>
      <c r="SND96" s="168"/>
      <c r="SNE96" s="167"/>
      <c r="SNF96" s="168"/>
      <c r="SNG96" s="167"/>
      <c r="SNH96" s="168"/>
      <c r="SNI96" s="167"/>
      <c r="SNJ96" s="168"/>
      <c r="SNK96" s="167"/>
      <c r="SNL96" s="168"/>
      <c r="SNM96" s="167"/>
      <c r="SNN96" s="168"/>
      <c r="SNO96" s="167"/>
      <c r="SNP96" s="168"/>
      <c r="SNQ96" s="167"/>
      <c r="SNR96" s="168"/>
      <c r="SNS96" s="167"/>
      <c r="SNT96" s="168"/>
      <c r="SNU96" s="167"/>
      <c r="SNV96" s="168"/>
      <c r="SNW96" s="167"/>
      <c r="SNX96" s="168"/>
      <c r="SNY96" s="167"/>
      <c r="SNZ96" s="168"/>
      <c r="SOA96" s="167"/>
      <c r="SOB96" s="168"/>
      <c r="SOC96" s="167"/>
      <c r="SOD96" s="168"/>
      <c r="SOE96" s="167"/>
      <c r="SOF96" s="168"/>
      <c r="SOG96" s="167"/>
      <c r="SOH96" s="168"/>
      <c r="SOI96" s="167"/>
      <c r="SOJ96" s="168"/>
      <c r="SOK96" s="167"/>
      <c r="SOL96" s="168"/>
      <c r="SOM96" s="167"/>
      <c r="SON96" s="168"/>
      <c r="SOO96" s="167"/>
      <c r="SOP96" s="168"/>
      <c r="SOQ96" s="167"/>
      <c r="SOR96" s="168"/>
      <c r="SOS96" s="167"/>
      <c r="SOT96" s="168"/>
      <c r="SOU96" s="167"/>
      <c r="SOV96" s="168"/>
      <c r="SOW96" s="167"/>
      <c r="SOX96" s="168"/>
      <c r="SOY96" s="167"/>
      <c r="SOZ96" s="168"/>
      <c r="SPA96" s="167"/>
      <c r="SPB96" s="168"/>
      <c r="SPC96" s="167"/>
      <c r="SPD96" s="168"/>
      <c r="SPE96" s="167"/>
      <c r="SPF96" s="168"/>
      <c r="SPG96" s="167"/>
      <c r="SPH96" s="168"/>
      <c r="SPI96" s="167"/>
      <c r="SPJ96" s="168"/>
      <c r="SPK96" s="167"/>
      <c r="SPL96" s="168"/>
      <c r="SPM96" s="167"/>
      <c r="SPN96" s="168"/>
      <c r="SPO96" s="167"/>
      <c r="SPP96" s="168"/>
      <c r="SPQ96" s="167"/>
      <c r="SPR96" s="168"/>
      <c r="SPS96" s="167"/>
      <c r="SPT96" s="168"/>
      <c r="SPU96" s="167"/>
      <c r="SPV96" s="168"/>
      <c r="SPW96" s="167"/>
      <c r="SPX96" s="168"/>
      <c r="SPY96" s="167"/>
      <c r="SPZ96" s="168"/>
      <c r="SQA96" s="167"/>
      <c r="SQB96" s="168"/>
      <c r="SQC96" s="167"/>
      <c r="SQD96" s="168"/>
      <c r="SQE96" s="167"/>
      <c r="SQF96" s="168"/>
      <c r="SQG96" s="167"/>
      <c r="SQH96" s="168"/>
      <c r="SQI96" s="167"/>
      <c r="SQJ96" s="168"/>
      <c r="SQK96" s="167"/>
      <c r="SQL96" s="168"/>
      <c r="SQM96" s="167"/>
      <c r="SQN96" s="168"/>
      <c r="SQO96" s="167"/>
      <c r="SQP96" s="168"/>
      <c r="SQQ96" s="167"/>
      <c r="SQR96" s="168"/>
      <c r="SQS96" s="167"/>
      <c r="SQT96" s="168"/>
      <c r="SQU96" s="167"/>
      <c r="SQV96" s="168"/>
      <c r="SQW96" s="167"/>
      <c r="SQX96" s="168"/>
      <c r="SQY96" s="167"/>
      <c r="SQZ96" s="168"/>
      <c r="SRA96" s="167"/>
      <c r="SRB96" s="168"/>
      <c r="SRC96" s="167"/>
      <c r="SRD96" s="168"/>
      <c r="SRE96" s="167"/>
      <c r="SRF96" s="168"/>
      <c r="SRG96" s="167"/>
      <c r="SRH96" s="168"/>
      <c r="SRI96" s="167"/>
      <c r="SRJ96" s="168"/>
      <c r="SRK96" s="167"/>
      <c r="SRL96" s="168"/>
      <c r="SRM96" s="167"/>
      <c r="SRN96" s="168"/>
      <c r="SRO96" s="167"/>
      <c r="SRP96" s="168"/>
      <c r="SRQ96" s="167"/>
      <c r="SRR96" s="168"/>
      <c r="SRS96" s="167"/>
      <c r="SRT96" s="168"/>
      <c r="SRU96" s="167"/>
      <c r="SRV96" s="168"/>
      <c r="SRW96" s="167"/>
      <c r="SRX96" s="168"/>
      <c r="SRY96" s="167"/>
      <c r="SRZ96" s="168"/>
      <c r="SSA96" s="167"/>
      <c r="SSB96" s="168"/>
      <c r="SSC96" s="167"/>
      <c r="SSD96" s="168"/>
      <c r="SSE96" s="167"/>
      <c r="SSF96" s="168"/>
      <c r="SSG96" s="167"/>
      <c r="SSH96" s="168"/>
      <c r="SSI96" s="167"/>
      <c r="SSJ96" s="168"/>
      <c r="SSK96" s="167"/>
      <c r="SSL96" s="168"/>
      <c r="SSM96" s="167"/>
      <c r="SSN96" s="168"/>
      <c r="SSO96" s="167"/>
      <c r="SSP96" s="168"/>
      <c r="SSQ96" s="167"/>
      <c r="SSR96" s="168"/>
      <c r="SSS96" s="167"/>
      <c r="SST96" s="168"/>
      <c r="SSU96" s="167"/>
      <c r="SSV96" s="168"/>
      <c r="SSW96" s="167"/>
      <c r="SSX96" s="168"/>
      <c r="SSY96" s="167"/>
      <c r="SSZ96" s="168"/>
      <c r="STA96" s="167"/>
      <c r="STB96" s="168"/>
      <c r="STC96" s="167"/>
      <c r="STD96" s="168"/>
      <c r="STE96" s="167"/>
      <c r="STF96" s="168"/>
      <c r="STG96" s="167"/>
      <c r="STH96" s="168"/>
      <c r="STI96" s="167"/>
      <c r="STJ96" s="168"/>
      <c r="STK96" s="167"/>
      <c r="STL96" s="168"/>
      <c r="STM96" s="167"/>
      <c r="STN96" s="168"/>
      <c r="STO96" s="167"/>
      <c r="STP96" s="168"/>
      <c r="STQ96" s="167"/>
      <c r="STR96" s="168"/>
      <c r="STS96" s="167"/>
      <c r="STT96" s="168"/>
      <c r="STU96" s="167"/>
      <c r="STV96" s="168"/>
      <c r="STW96" s="167"/>
      <c r="STX96" s="168"/>
      <c r="STY96" s="167"/>
      <c r="STZ96" s="168"/>
      <c r="SUA96" s="167"/>
      <c r="SUB96" s="168"/>
      <c r="SUC96" s="167"/>
      <c r="SUD96" s="168"/>
      <c r="SUE96" s="167"/>
      <c r="SUF96" s="168"/>
      <c r="SUG96" s="167"/>
      <c r="SUH96" s="168"/>
      <c r="SUI96" s="167"/>
      <c r="SUJ96" s="168"/>
      <c r="SUK96" s="167"/>
      <c r="SUL96" s="168"/>
      <c r="SUM96" s="167"/>
      <c r="SUN96" s="168"/>
      <c r="SUO96" s="167"/>
      <c r="SUP96" s="168"/>
      <c r="SUQ96" s="167"/>
      <c r="SUR96" s="168"/>
      <c r="SUS96" s="167"/>
      <c r="SUT96" s="168"/>
      <c r="SUU96" s="167"/>
      <c r="SUV96" s="168"/>
      <c r="SUW96" s="167"/>
      <c r="SUX96" s="168"/>
      <c r="SUY96" s="167"/>
      <c r="SUZ96" s="168"/>
      <c r="SVA96" s="167"/>
      <c r="SVB96" s="168"/>
      <c r="SVC96" s="167"/>
      <c r="SVD96" s="168"/>
      <c r="SVE96" s="167"/>
      <c r="SVF96" s="168"/>
      <c r="SVG96" s="167"/>
      <c r="SVH96" s="168"/>
      <c r="SVI96" s="167"/>
      <c r="SVJ96" s="168"/>
      <c r="SVK96" s="167"/>
      <c r="SVL96" s="168"/>
      <c r="SVM96" s="167"/>
      <c r="SVN96" s="168"/>
      <c r="SVO96" s="167"/>
      <c r="SVP96" s="168"/>
      <c r="SVQ96" s="167"/>
      <c r="SVR96" s="168"/>
      <c r="SVS96" s="167"/>
      <c r="SVT96" s="168"/>
      <c r="SVU96" s="167"/>
      <c r="SVV96" s="168"/>
      <c r="SVW96" s="167"/>
      <c r="SVX96" s="168"/>
      <c r="SVY96" s="167"/>
      <c r="SVZ96" s="168"/>
      <c r="SWA96" s="167"/>
      <c r="SWB96" s="168"/>
      <c r="SWC96" s="167"/>
      <c r="SWD96" s="168"/>
      <c r="SWE96" s="167"/>
      <c r="SWF96" s="168"/>
      <c r="SWG96" s="167"/>
      <c r="SWH96" s="168"/>
      <c r="SWI96" s="167"/>
      <c r="SWJ96" s="168"/>
      <c r="SWK96" s="167"/>
      <c r="SWL96" s="168"/>
      <c r="SWM96" s="167"/>
      <c r="SWN96" s="168"/>
      <c r="SWO96" s="167"/>
      <c r="SWP96" s="168"/>
      <c r="SWQ96" s="167"/>
      <c r="SWR96" s="168"/>
      <c r="SWS96" s="167"/>
      <c r="SWT96" s="168"/>
      <c r="SWU96" s="167"/>
      <c r="SWV96" s="168"/>
      <c r="SWW96" s="167"/>
      <c r="SWX96" s="168"/>
      <c r="SWY96" s="167"/>
      <c r="SWZ96" s="168"/>
      <c r="SXA96" s="167"/>
      <c r="SXB96" s="168"/>
      <c r="SXC96" s="167"/>
      <c r="SXD96" s="168"/>
      <c r="SXE96" s="167"/>
      <c r="SXF96" s="168"/>
      <c r="SXG96" s="167"/>
      <c r="SXH96" s="168"/>
      <c r="SXI96" s="167"/>
      <c r="SXJ96" s="168"/>
      <c r="SXK96" s="167"/>
      <c r="SXL96" s="168"/>
      <c r="SXM96" s="167"/>
      <c r="SXN96" s="168"/>
      <c r="SXO96" s="167"/>
      <c r="SXP96" s="168"/>
      <c r="SXQ96" s="167"/>
      <c r="SXR96" s="168"/>
      <c r="SXS96" s="167"/>
      <c r="SXT96" s="168"/>
      <c r="SXU96" s="167"/>
      <c r="SXV96" s="168"/>
      <c r="SXW96" s="167"/>
      <c r="SXX96" s="168"/>
      <c r="SXY96" s="167"/>
      <c r="SXZ96" s="168"/>
      <c r="SYA96" s="167"/>
      <c r="SYB96" s="168"/>
      <c r="SYC96" s="167"/>
      <c r="SYD96" s="168"/>
      <c r="SYE96" s="167"/>
      <c r="SYF96" s="168"/>
      <c r="SYG96" s="167"/>
      <c r="SYH96" s="168"/>
      <c r="SYI96" s="167"/>
      <c r="SYJ96" s="168"/>
      <c r="SYK96" s="167"/>
      <c r="SYL96" s="168"/>
      <c r="SYM96" s="167"/>
      <c r="SYN96" s="168"/>
      <c r="SYO96" s="167"/>
      <c r="SYP96" s="168"/>
      <c r="SYQ96" s="167"/>
      <c r="SYR96" s="168"/>
      <c r="SYS96" s="167"/>
      <c r="SYT96" s="168"/>
      <c r="SYU96" s="167"/>
      <c r="SYV96" s="168"/>
      <c r="SYW96" s="167"/>
      <c r="SYX96" s="168"/>
      <c r="SYY96" s="167"/>
      <c r="SYZ96" s="168"/>
      <c r="SZA96" s="167"/>
      <c r="SZB96" s="168"/>
      <c r="SZC96" s="167"/>
      <c r="SZD96" s="168"/>
      <c r="SZE96" s="167"/>
      <c r="SZF96" s="168"/>
      <c r="SZG96" s="167"/>
      <c r="SZH96" s="168"/>
      <c r="SZI96" s="167"/>
      <c r="SZJ96" s="168"/>
      <c r="SZK96" s="167"/>
      <c r="SZL96" s="168"/>
      <c r="SZM96" s="167"/>
      <c r="SZN96" s="168"/>
      <c r="SZO96" s="167"/>
      <c r="SZP96" s="168"/>
      <c r="SZQ96" s="167"/>
      <c r="SZR96" s="168"/>
      <c r="SZS96" s="167"/>
      <c r="SZT96" s="168"/>
      <c r="SZU96" s="167"/>
      <c r="SZV96" s="168"/>
      <c r="SZW96" s="167"/>
      <c r="SZX96" s="168"/>
      <c r="SZY96" s="167"/>
      <c r="SZZ96" s="168"/>
      <c r="TAA96" s="167"/>
      <c r="TAB96" s="168"/>
      <c r="TAC96" s="167"/>
      <c r="TAD96" s="168"/>
      <c r="TAE96" s="167"/>
      <c r="TAF96" s="168"/>
      <c r="TAG96" s="167"/>
      <c r="TAH96" s="168"/>
      <c r="TAI96" s="167"/>
      <c r="TAJ96" s="168"/>
      <c r="TAK96" s="167"/>
      <c r="TAL96" s="168"/>
      <c r="TAM96" s="167"/>
      <c r="TAN96" s="168"/>
      <c r="TAO96" s="167"/>
      <c r="TAP96" s="168"/>
      <c r="TAQ96" s="167"/>
      <c r="TAR96" s="168"/>
      <c r="TAS96" s="167"/>
      <c r="TAT96" s="168"/>
      <c r="TAU96" s="167"/>
      <c r="TAV96" s="168"/>
      <c r="TAW96" s="167"/>
      <c r="TAX96" s="168"/>
      <c r="TAY96" s="167"/>
      <c r="TAZ96" s="168"/>
      <c r="TBA96" s="167"/>
      <c r="TBB96" s="168"/>
      <c r="TBC96" s="167"/>
      <c r="TBD96" s="168"/>
      <c r="TBE96" s="167"/>
      <c r="TBF96" s="168"/>
      <c r="TBG96" s="167"/>
      <c r="TBH96" s="168"/>
      <c r="TBI96" s="167"/>
      <c r="TBJ96" s="168"/>
      <c r="TBK96" s="167"/>
      <c r="TBL96" s="168"/>
      <c r="TBM96" s="167"/>
      <c r="TBN96" s="168"/>
      <c r="TBO96" s="167"/>
      <c r="TBP96" s="168"/>
      <c r="TBQ96" s="167"/>
      <c r="TBR96" s="168"/>
      <c r="TBS96" s="167"/>
      <c r="TBT96" s="168"/>
      <c r="TBU96" s="167"/>
      <c r="TBV96" s="168"/>
      <c r="TBW96" s="167"/>
      <c r="TBX96" s="168"/>
      <c r="TBY96" s="167"/>
      <c r="TBZ96" s="168"/>
      <c r="TCA96" s="167"/>
      <c r="TCB96" s="168"/>
      <c r="TCC96" s="167"/>
      <c r="TCD96" s="168"/>
      <c r="TCE96" s="167"/>
      <c r="TCF96" s="168"/>
      <c r="TCG96" s="167"/>
      <c r="TCH96" s="168"/>
      <c r="TCI96" s="167"/>
      <c r="TCJ96" s="168"/>
      <c r="TCK96" s="167"/>
      <c r="TCL96" s="168"/>
      <c r="TCM96" s="167"/>
      <c r="TCN96" s="168"/>
      <c r="TCO96" s="167"/>
      <c r="TCP96" s="168"/>
      <c r="TCQ96" s="167"/>
      <c r="TCR96" s="168"/>
      <c r="TCS96" s="167"/>
      <c r="TCT96" s="168"/>
      <c r="TCU96" s="167"/>
      <c r="TCV96" s="168"/>
      <c r="TCW96" s="167"/>
      <c r="TCX96" s="168"/>
      <c r="TCY96" s="167"/>
      <c r="TCZ96" s="168"/>
      <c r="TDA96" s="167"/>
      <c r="TDB96" s="168"/>
      <c r="TDC96" s="167"/>
      <c r="TDD96" s="168"/>
      <c r="TDE96" s="167"/>
      <c r="TDF96" s="168"/>
      <c r="TDG96" s="167"/>
      <c r="TDH96" s="168"/>
      <c r="TDI96" s="167"/>
      <c r="TDJ96" s="168"/>
      <c r="TDK96" s="167"/>
      <c r="TDL96" s="168"/>
      <c r="TDM96" s="167"/>
      <c r="TDN96" s="168"/>
      <c r="TDO96" s="167"/>
      <c r="TDP96" s="168"/>
      <c r="TDQ96" s="167"/>
      <c r="TDR96" s="168"/>
      <c r="TDS96" s="167"/>
      <c r="TDT96" s="168"/>
      <c r="TDU96" s="167"/>
      <c r="TDV96" s="168"/>
      <c r="TDW96" s="167"/>
      <c r="TDX96" s="168"/>
      <c r="TDY96" s="167"/>
      <c r="TDZ96" s="168"/>
      <c r="TEA96" s="167"/>
      <c r="TEB96" s="168"/>
      <c r="TEC96" s="167"/>
      <c r="TED96" s="168"/>
      <c r="TEE96" s="167"/>
      <c r="TEF96" s="168"/>
      <c r="TEG96" s="167"/>
      <c r="TEH96" s="168"/>
      <c r="TEI96" s="167"/>
      <c r="TEJ96" s="168"/>
      <c r="TEK96" s="167"/>
      <c r="TEL96" s="168"/>
      <c r="TEM96" s="167"/>
      <c r="TEN96" s="168"/>
      <c r="TEO96" s="167"/>
      <c r="TEP96" s="168"/>
      <c r="TEQ96" s="167"/>
      <c r="TER96" s="168"/>
      <c r="TES96" s="167"/>
      <c r="TET96" s="168"/>
      <c r="TEU96" s="167"/>
      <c r="TEV96" s="168"/>
      <c r="TEW96" s="167"/>
      <c r="TEX96" s="168"/>
      <c r="TEY96" s="167"/>
      <c r="TEZ96" s="168"/>
      <c r="TFA96" s="167"/>
      <c r="TFB96" s="168"/>
      <c r="TFC96" s="167"/>
      <c r="TFD96" s="168"/>
      <c r="TFE96" s="167"/>
      <c r="TFF96" s="168"/>
      <c r="TFG96" s="167"/>
      <c r="TFH96" s="168"/>
      <c r="TFI96" s="167"/>
      <c r="TFJ96" s="168"/>
      <c r="TFK96" s="167"/>
      <c r="TFL96" s="168"/>
      <c r="TFM96" s="167"/>
      <c r="TFN96" s="168"/>
      <c r="TFO96" s="167"/>
      <c r="TFP96" s="168"/>
      <c r="TFQ96" s="167"/>
      <c r="TFR96" s="168"/>
      <c r="TFS96" s="167"/>
      <c r="TFT96" s="168"/>
      <c r="TFU96" s="167"/>
      <c r="TFV96" s="168"/>
      <c r="TFW96" s="167"/>
      <c r="TFX96" s="168"/>
      <c r="TFY96" s="167"/>
      <c r="TFZ96" s="168"/>
      <c r="TGA96" s="167"/>
      <c r="TGB96" s="168"/>
      <c r="TGC96" s="167"/>
      <c r="TGD96" s="168"/>
      <c r="TGE96" s="167"/>
      <c r="TGF96" s="168"/>
      <c r="TGG96" s="167"/>
      <c r="TGH96" s="168"/>
      <c r="TGI96" s="167"/>
      <c r="TGJ96" s="168"/>
      <c r="TGK96" s="167"/>
      <c r="TGL96" s="168"/>
      <c r="TGM96" s="167"/>
      <c r="TGN96" s="168"/>
      <c r="TGO96" s="167"/>
      <c r="TGP96" s="168"/>
      <c r="TGQ96" s="167"/>
      <c r="TGR96" s="168"/>
      <c r="TGS96" s="167"/>
      <c r="TGT96" s="168"/>
      <c r="TGU96" s="167"/>
      <c r="TGV96" s="168"/>
      <c r="TGW96" s="167"/>
      <c r="TGX96" s="168"/>
      <c r="TGY96" s="167"/>
      <c r="TGZ96" s="168"/>
      <c r="THA96" s="167"/>
      <c r="THB96" s="168"/>
      <c r="THC96" s="167"/>
      <c r="THD96" s="168"/>
      <c r="THE96" s="167"/>
      <c r="THF96" s="168"/>
      <c r="THG96" s="167"/>
      <c r="THH96" s="168"/>
      <c r="THI96" s="167"/>
      <c r="THJ96" s="168"/>
      <c r="THK96" s="167"/>
      <c r="THL96" s="168"/>
      <c r="THM96" s="167"/>
      <c r="THN96" s="168"/>
      <c r="THO96" s="167"/>
      <c r="THP96" s="168"/>
      <c r="THQ96" s="167"/>
      <c r="THR96" s="168"/>
      <c r="THS96" s="167"/>
      <c r="THT96" s="168"/>
      <c r="THU96" s="167"/>
      <c r="THV96" s="168"/>
      <c r="THW96" s="167"/>
      <c r="THX96" s="168"/>
      <c r="THY96" s="167"/>
      <c r="THZ96" s="168"/>
      <c r="TIA96" s="167"/>
      <c r="TIB96" s="168"/>
      <c r="TIC96" s="167"/>
      <c r="TID96" s="168"/>
      <c r="TIE96" s="167"/>
      <c r="TIF96" s="168"/>
      <c r="TIG96" s="167"/>
      <c r="TIH96" s="168"/>
      <c r="TII96" s="167"/>
      <c r="TIJ96" s="168"/>
      <c r="TIK96" s="167"/>
      <c r="TIL96" s="168"/>
      <c r="TIM96" s="167"/>
      <c r="TIN96" s="168"/>
      <c r="TIO96" s="167"/>
      <c r="TIP96" s="168"/>
      <c r="TIQ96" s="167"/>
      <c r="TIR96" s="168"/>
      <c r="TIS96" s="167"/>
      <c r="TIT96" s="168"/>
      <c r="TIU96" s="167"/>
      <c r="TIV96" s="168"/>
      <c r="TIW96" s="167"/>
      <c r="TIX96" s="168"/>
      <c r="TIY96" s="167"/>
      <c r="TIZ96" s="168"/>
      <c r="TJA96" s="167"/>
      <c r="TJB96" s="168"/>
      <c r="TJC96" s="167"/>
      <c r="TJD96" s="168"/>
      <c r="TJE96" s="167"/>
      <c r="TJF96" s="168"/>
      <c r="TJG96" s="167"/>
      <c r="TJH96" s="168"/>
      <c r="TJI96" s="167"/>
      <c r="TJJ96" s="168"/>
      <c r="TJK96" s="167"/>
      <c r="TJL96" s="168"/>
      <c r="TJM96" s="167"/>
      <c r="TJN96" s="168"/>
      <c r="TJO96" s="167"/>
      <c r="TJP96" s="168"/>
      <c r="TJQ96" s="167"/>
      <c r="TJR96" s="168"/>
      <c r="TJS96" s="167"/>
      <c r="TJT96" s="168"/>
      <c r="TJU96" s="167"/>
      <c r="TJV96" s="168"/>
      <c r="TJW96" s="167"/>
      <c r="TJX96" s="168"/>
      <c r="TJY96" s="167"/>
      <c r="TJZ96" s="168"/>
      <c r="TKA96" s="167"/>
      <c r="TKB96" s="168"/>
      <c r="TKC96" s="167"/>
      <c r="TKD96" s="168"/>
      <c r="TKE96" s="167"/>
      <c r="TKF96" s="168"/>
      <c r="TKG96" s="167"/>
      <c r="TKH96" s="168"/>
      <c r="TKI96" s="167"/>
      <c r="TKJ96" s="168"/>
      <c r="TKK96" s="167"/>
      <c r="TKL96" s="168"/>
      <c r="TKM96" s="167"/>
      <c r="TKN96" s="168"/>
      <c r="TKO96" s="167"/>
      <c r="TKP96" s="168"/>
      <c r="TKQ96" s="167"/>
      <c r="TKR96" s="168"/>
      <c r="TKS96" s="167"/>
      <c r="TKT96" s="168"/>
      <c r="TKU96" s="167"/>
      <c r="TKV96" s="168"/>
      <c r="TKW96" s="167"/>
      <c r="TKX96" s="168"/>
      <c r="TKY96" s="167"/>
      <c r="TKZ96" s="168"/>
      <c r="TLA96" s="167"/>
      <c r="TLB96" s="168"/>
      <c r="TLC96" s="167"/>
      <c r="TLD96" s="168"/>
      <c r="TLE96" s="167"/>
      <c r="TLF96" s="168"/>
      <c r="TLG96" s="167"/>
      <c r="TLH96" s="168"/>
      <c r="TLI96" s="167"/>
      <c r="TLJ96" s="168"/>
      <c r="TLK96" s="167"/>
      <c r="TLL96" s="168"/>
      <c r="TLM96" s="167"/>
      <c r="TLN96" s="168"/>
      <c r="TLO96" s="167"/>
      <c r="TLP96" s="168"/>
      <c r="TLQ96" s="167"/>
      <c r="TLR96" s="168"/>
      <c r="TLS96" s="167"/>
      <c r="TLT96" s="168"/>
      <c r="TLU96" s="167"/>
      <c r="TLV96" s="168"/>
      <c r="TLW96" s="167"/>
      <c r="TLX96" s="168"/>
      <c r="TLY96" s="167"/>
      <c r="TLZ96" s="168"/>
      <c r="TMA96" s="167"/>
      <c r="TMB96" s="168"/>
      <c r="TMC96" s="167"/>
      <c r="TMD96" s="168"/>
      <c r="TME96" s="167"/>
      <c r="TMF96" s="168"/>
      <c r="TMG96" s="167"/>
      <c r="TMH96" s="168"/>
      <c r="TMI96" s="167"/>
      <c r="TMJ96" s="168"/>
      <c r="TMK96" s="167"/>
      <c r="TML96" s="168"/>
      <c r="TMM96" s="167"/>
      <c r="TMN96" s="168"/>
      <c r="TMO96" s="167"/>
      <c r="TMP96" s="168"/>
      <c r="TMQ96" s="167"/>
      <c r="TMR96" s="168"/>
      <c r="TMS96" s="167"/>
      <c r="TMT96" s="168"/>
      <c r="TMU96" s="167"/>
      <c r="TMV96" s="168"/>
      <c r="TMW96" s="167"/>
      <c r="TMX96" s="168"/>
      <c r="TMY96" s="167"/>
      <c r="TMZ96" s="168"/>
      <c r="TNA96" s="167"/>
      <c r="TNB96" s="168"/>
      <c r="TNC96" s="167"/>
      <c r="TND96" s="168"/>
      <c r="TNE96" s="167"/>
      <c r="TNF96" s="168"/>
      <c r="TNG96" s="167"/>
      <c r="TNH96" s="168"/>
      <c r="TNI96" s="167"/>
      <c r="TNJ96" s="168"/>
      <c r="TNK96" s="167"/>
      <c r="TNL96" s="168"/>
      <c r="TNM96" s="167"/>
      <c r="TNN96" s="168"/>
      <c r="TNO96" s="167"/>
      <c r="TNP96" s="168"/>
      <c r="TNQ96" s="167"/>
      <c r="TNR96" s="168"/>
      <c r="TNS96" s="167"/>
      <c r="TNT96" s="168"/>
      <c r="TNU96" s="167"/>
      <c r="TNV96" s="168"/>
      <c r="TNW96" s="167"/>
      <c r="TNX96" s="168"/>
      <c r="TNY96" s="167"/>
      <c r="TNZ96" s="168"/>
      <c r="TOA96" s="167"/>
      <c r="TOB96" s="168"/>
      <c r="TOC96" s="167"/>
      <c r="TOD96" s="168"/>
      <c r="TOE96" s="167"/>
      <c r="TOF96" s="168"/>
      <c r="TOG96" s="167"/>
      <c r="TOH96" s="168"/>
      <c r="TOI96" s="167"/>
      <c r="TOJ96" s="168"/>
      <c r="TOK96" s="167"/>
      <c r="TOL96" s="168"/>
      <c r="TOM96" s="167"/>
      <c r="TON96" s="168"/>
      <c r="TOO96" s="167"/>
      <c r="TOP96" s="168"/>
      <c r="TOQ96" s="167"/>
      <c r="TOR96" s="168"/>
      <c r="TOS96" s="167"/>
      <c r="TOT96" s="168"/>
      <c r="TOU96" s="167"/>
      <c r="TOV96" s="168"/>
      <c r="TOW96" s="167"/>
      <c r="TOX96" s="168"/>
      <c r="TOY96" s="167"/>
      <c r="TOZ96" s="168"/>
      <c r="TPA96" s="167"/>
      <c r="TPB96" s="168"/>
      <c r="TPC96" s="167"/>
      <c r="TPD96" s="168"/>
      <c r="TPE96" s="167"/>
      <c r="TPF96" s="168"/>
      <c r="TPG96" s="167"/>
      <c r="TPH96" s="168"/>
      <c r="TPI96" s="167"/>
      <c r="TPJ96" s="168"/>
      <c r="TPK96" s="167"/>
      <c r="TPL96" s="168"/>
      <c r="TPM96" s="167"/>
      <c r="TPN96" s="168"/>
      <c r="TPO96" s="167"/>
      <c r="TPP96" s="168"/>
      <c r="TPQ96" s="167"/>
      <c r="TPR96" s="168"/>
      <c r="TPS96" s="167"/>
      <c r="TPT96" s="168"/>
      <c r="TPU96" s="167"/>
      <c r="TPV96" s="168"/>
      <c r="TPW96" s="167"/>
      <c r="TPX96" s="168"/>
      <c r="TPY96" s="167"/>
      <c r="TPZ96" s="168"/>
      <c r="TQA96" s="167"/>
      <c r="TQB96" s="168"/>
      <c r="TQC96" s="167"/>
      <c r="TQD96" s="168"/>
      <c r="TQE96" s="167"/>
      <c r="TQF96" s="168"/>
      <c r="TQG96" s="167"/>
      <c r="TQH96" s="168"/>
      <c r="TQI96" s="167"/>
      <c r="TQJ96" s="168"/>
      <c r="TQK96" s="167"/>
      <c r="TQL96" s="168"/>
      <c r="TQM96" s="167"/>
      <c r="TQN96" s="168"/>
      <c r="TQO96" s="167"/>
      <c r="TQP96" s="168"/>
      <c r="TQQ96" s="167"/>
      <c r="TQR96" s="168"/>
      <c r="TQS96" s="167"/>
      <c r="TQT96" s="168"/>
      <c r="TQU96" s="167"/>
      <c r="TQV96" s="168"/>
      <c r="TQW96" s="167"/>
      <c r="TQX96" s="168"/>
      <c r="TQY96" s="167"/>
      <c r="TQZ96" s="168"/>
      <c r="TRA96" s="167"/>
      <c r="TRB96" s="168"/>
      <c r="TRC96" s="167"/>
      <c r="TRD96" s="168"/>
      <c r="TRE96" s="167"/>
      <c r="TRF96" s="168"/>
      <c r="TRG96" s="167"/>
      <c r="TRH96" s="168"/>
      <c r="TRI96" s="167"/>
      <c r="TRJ96" s="168"/>
      <c r="TRK96" s="167"/>
      <c r="TRL96" s="168"/>
      <c r="TRM96" s="167"/>
      <c r="TRN96" s="168"/>
      <c r="TRO96" s="167"/>
      <c r="TRP96" s="168"/>
      <c r="TRQ96" s="167"/>
      <c r="TRR96" s="168"/>
      <c r="TRS96" s="167"/>
      <c r="TRT96" s="168"/>
      <c r="TRU96" s="167"/>
      <c r="TRV96" s="168"/>
      <c r="TRW96" s="167"/>
      <c r="TRX96" s="168"/>
      <c r="TRY96" s="167"/>
      <c r="TRZ96" s="168"/>
      <c r="TSA96" s="167"/>
      <c r="TSB96" s="168"/>
      <c r="TSC96" s="167"/>
      <c r="TSD96" s="168"/>
      <c r="TSE96" s="167"/>
      <c r="TSF96" s="168"/>
      <c r="TSG96" s="167"/>
      <c r="TSH96" s="168"/>
      <c r="TSI96" s="167"/>
      <c r="TSJ96" s="168"/>
      <c r="TSK96" s="167"/>
      <c r="TSL96" s="168"/>
      <c r="TSM96" s="167"/>
      <c r="TSN96" s="168"/>
      <c r="TSO96" s="167"/>
      <c r="TSP96" s="168"/>
      <c r="TSQ96" s="167"/>
      <c r="TSR96" s="168"/>
      <c r="TSS96" s="167"/>
      <c r="TST96" s="168"/>
      <c r="TSU96" s="167"/>
      <c r="TSV96" s="168"/>
      <c r="TSW96" s="167"/>
      <c r="TSX96" s="168"/>
      <c r="TSY96" s="167"/>
      <c r="TSZ96" s="168"/>
      <c r="TTA96" s="167"/>
      <c r="TTB96" s="168"/>
      <c r="TTC96" s="167"/>
      <c r="TTD96" s="168"/>
      <c r="TTE96" s="167"/>
      <c r="TTF96" s="168"/>
      <c r="TTG96" s="167"/>
      <c r="TTH96" s="168"/>
      <c r="TTI96" s="167"/>
      <c r="TTJ96" s="168"/>
      <c r="TTK96" s="167"/>
      <c r="TTL96" s="168"/>
      <c r="TTM96" s="167"/>
      <c r="TTN96" s="168"/>
      <c r="TTO96" s="167"/>
      <c r="TTP96" s="168"/>
      <c r="TTQ96" s="167"/>
      <c r="TTR96" s="168"/>
      <c r="TTS96" s="167"/>
      <c r="TTT96" s="168"/>
      <c r="TTU96" s="167"/>
      <c r="TTV96" s="168"/>
      <c r="TTW96" s="167"/>
      <c r="TTX96" s="168"/>
      <c r="TTY96" s="167"/>
      <c r="TTZ96" s="168"/>
      <c r="TUA96" s="167"/>
      <c r="TUB96" s="168"/>
      <c r="TUC96" s="167"/>
      <c r="TUD96" s="168"/>
      <c r="TUE96" s="167"/>
      <c r="TUF96" s="168"/>
      <c r="TUG96" s="167"/>
      <c r="TUH96" s="168"/>
      <c r="TUI96" s="167"/>
      <c r="TUJ96" s="168"/>
      <c r="TUK96" s="167"/>
      <c r="TUL96" s="168"/>
      <c r="TUM96" s="167"/>
      <c r="TUN96" s="168"/>
      <c r="TUO96" s="167"/>
      <c r="TUP96" s="168"/>
      <c r="TUQ96" s="167"/>
      <c r="TUR96" s="168"/>
      <c r="TUS96" s="167"/>
      <c r="TUT96" s="168"/>
      <c r="TUU96" s="167"/>
      <c r="TUV96" s="168"/>
      <c r="TUW96" s="167"/>
      <c r="TUX96" s="168"/>
      <c r="TUY96" s="167"/>
      <c r="TUZ96" s="168"/>
      <c r="TVA96" s="167"/>
      <c r="TVB96" s="168"/>
      <c r="TVC96" s="167"/>
      <c r="TVD96" s="168"/>
      <c r="TVE96" s="167"/>
      <c r="TVF96" s="168"/>
      <c r="TVG96" s="167"/>
      <c r="TVH96" s="168"/>
      <c r="TVI96" s="167"/>
      <c r="TVJ96" s="168"/>
      <c r="TVK96" s="167"/>
      <c r="TVL96" s="168"/>
      <c r="TVM96" s="167"/>
      <c r="TVN96" s="168"/>
      <c r="TVO96" s="167"/>
      <c r="TVP96" s="168"/>
      <c r="TVQ96" s="167"/>
      <c r="TVR96" s="168"/>
      <c r="TVS96" s="167"/>
      <c r="TVT96" s="168"/>
      <c r="TVU96" s="167"/>
      <c r="TVV96" s="168"/>
      <c r="TVW96" s="167"/>
      <c r="TVX96" s="168"/>
      <c r="TVY96" s="167"/>
      <c r="TVZ96" s="168"/>
      <c r="TWA96" s="167"/>
      <c r="TWB96" s="168"/>
      <c r="TWC96" s="167"/>
      <c r="TWD96" s="168"/>
      <c r="TWE96" s="167"/>
      <c r="TWF96" s="168"/>
      <c r="TWG96" s="167"/>
      <c r="TWH96" s="168"/>
      <c r="TWI96" s="167"/>
      <c r="TWJ96" s="168"/>
      <c r="TWK96" s="167"/>
      <c r="TWL96" s="168"/>
      <c r="TWM96" s="167"/>
      <c r="TWN96" s="168"/>
      <c r="TWO96" s="167"/>
      <c r="TWP96" s="168"/>
      <c r="TWQ96" s="167"/>
      <c r="TWR96" s="168"/>
      <c r="TWS96" s="167"/>
      <c r="TWT96" s="168"/>
      <c r="TWU96" s="167"/>
      <c r="TWV96" s="168"/>
      <c r="TWW96" s="167"/>
      <c r="TWX96" s="168"/>
      <c r="TWY96" s="167"/>
      <c r="TWZ96" s="168"/>
      <c r="TXA96" s="167"/>
      <c r="TXB96" s="168"/>
      <c r="TXC96" s="167"/>
      <c r="TXD96" s="168"/>
      <c r="TXE96" s="167"/>
      <c r="TXF96" s="168"/>
      <c r="TXG96" s="167"/>
      <c r="TXH96" s="168"/>
      <c r="TXI96" s="167"/>
      <c r="TXJ96" s="168"/>
      <c r="TXK96" s="167"/>
      <c r="TXL96" s="168"/>
      <c r="TXM96" s="167"/>
      <c r="TXN96" s="168"/>
      <c r="TXO96" s="167"/>
      <c r="TXP96" s="168"/>
      <c r="TXQ96" s="167"/>
      <c r="TXR96" s="168"/>
      <c r="TXS96" s="167"/>
      <c r="TXT96" s="168"/>
      <c r="TXU96" s="167"/>
      <c r="TXV96" s="168"/>
      <c r="TXW96" s="167"/>
      <c r="TXX96" s="168"/>
      <c r="TXY96" s="167"/>
      <c r="TXZ96" s="168"/>
      <c r="TYA96" s="167"/>
      <c r="TYB96" s="168"/>
      <c r="TYC96" s="167"/>
      <c r="TYD96" s="168"/>
      <c r="TYE96" s="167"/>
      <c r="TYF96" s="168"/>
      <c r="TYG96" s="167"/>
      <c r="TYH96" s="168"/>
      <c r="TYI96" s="167"/>
      <c r="TYJ96" s="168"/>
      <c r="TYK96" s="167"/>
      <c r="TYL96" s="168"/>
      <c r="TYM96" s="167"/>
      <c r="TYN96" s="168"/>
      <c r="TYO96" s="167"/>
      <c r="TYP96" s="168"/>
      <c r="TYQ96" s="167"/>
      <c r="TYR96" s="168"/>
      <c r="TYS96" s="167"/>
      <c r="TYT96" s="168"/>
      <c r="TYU96" s="167"/>
      <c r="TYV96" s="168"/>
      <c r="TYW96" s="167"/>
      <c r="TYX96" s="168"/>
      <c r="TYY96" s="167"/>
      <c r="TYZ96" s="168"/>
      <c r="TZA96" s="167"/>
      <c r="TZB96" s="168"/>
      <c r="TZC96" s="167"/>
      <c r="TZD96" s="168"/>
      <c r="TZE96" s="167"/>
      <c r="TZF96" s="168"/>
      <c r="TZG96" s="167"/>
      <c r="TZH96" s="168"/>
      <c r="TZI96" s="167"/>
      <c r="TZJ96" s="168"/>
      <c r="TZK96" s="167"/>
      <c r="TZL96" s="168"/>
      <c r="TZM96" s="167"/>
      <c r="TZN96" s="168"/>
      <c r="TZO96" s="167"/>
      <c r="TZP96" s="168"/>
      <c r="TZQ96" s="167"/>
      <c r="TZR96" s="168"/>
      <c r="TZS96" s="167"/>
      <c r="TZT96" s="168"/>
      <c r="TZU96" s="167"/>
      <c r="TZV96" s="168"/>
      <c r="TZW96" s="167"/>
      <c r="TZX96" s="168"/>
      <c r="TZY96" s="167"/>
      <c r="TZZ96" s="168"/>
      <c r="UAA96" s="167"/>
      <c r="UAB96" s="168"/>
      <c r="UAC96" s="167"/>
      <c r="UAD96" s="168"/>
      <c r="UAE96" s="167"/>
      <c r="UAF96" s="168"/>
      <c r="UAG96" s="167"/>
      <c r="UAH96" s="168"/>
      <c r="UAI96" s="167"/>
      <c r="UAJ96" s="168"/>
      <c r="UAK96" s="167"/>
      <c r="UAL96" s="168"/>
      <c r="UAM96" s="167"/>
      <c r="UAN96" s="168"/>
      <c r="UAO96" s="167"/>
      <c r="UAP96" s="168"/>
      <c r="UAQ96" s="167"/>
      <c r="UAR96" s="168"/>
      <c r="UAS96" s="167"/>
      <c r="UAT96" s="168"/>
      <c r="UAU96" s="167"/>
      <c r="UAV96" s="168"/>
      <c r="UAW96" s="167"/>
      <c r="UAX96" s="168"/>
      <c r="UAY96" s="167"/>
      <c r="UAZ96" s="168"/>
      <c r="UBA96" s="167"/>
      <c r="UBB96" s="168"/>
      <c r="UBC96" s="167"/>
      <c r="UBD96" s="168"/>
      <c r="UBE96" s="167"/>
      <c r="UBF96" s="168"/>
      <c r="UBG96" s="167"/>
      <c r="UBH96" s="168"/>
      <c r="UBI96" s="167"/>
      <c r="UBJ96" s="168"/>
      <c r="UBK96" s="167"/>
      <c r="UBL96" s="168"/>
      <c r="UBM96" s="167"/>
      <c r="UBN96" s="168"/>
      <c r="UBO96" s="167"/>
      <c r="UBP96" s="168"/>
      <c r="UBQ96" s="167"/>
      <c r="UBR96" s="168"/>
      <c r="UBS96" s="167"/>
      <c r="UBT96" s="168"/>
      <c r="UBU96" s="167"/>
      <c r="UBV96" s="168"/>
      <c r="UBW96" s="167"/>
      <c r="UBX96" s="168"/>
      <c r="UBY96" s="167"/>
      <c r="UBZ96" s="168"/>
      <c r="UCA96" s="167"/>
      <c r="UCB96" s="168"/>
      <c r="UCC96" s="167"/>
      <c r="UCD96" s="168"/>
      <c r="UCE96" s="167"/>
      <c r="UCF96" s="168"/>
      <c r="UCG96" s="167"/>
      <c r="UCH96" s="168"/>
      <c r="UCI96" s="167"/>
      <c r="UCJ96" s="168"/>
      <c r="UCK96" s="167"/>
      <c r="UCL96" s="168"/>
      <c r="UCM96" s="167"/>
      <c r="UCN96" s="168"/>
      <c r="UCO96" s="167"/>
      <c r="UCP96" s="168"/>
      <c r="UCQ96" s="167"/>
      <c r="UCR96" s="168"/>
      <c r="UCS96" s="167"/>
      <c r="UCT96" s="168"/>
      <c r="UCU96" s="167"/>
      <c r="UCV96" s="168"/>
      <c r="UCW96" s="167"/>
      <c r="UCX96" s="168"/>
      <c r="UCY96" s="167"/>
      <c r="UCZ96" s="168"/>
      <c r="UDA96" s="167"/>
      <c r="UDB96" s="168"/>
      <c r="UDC96" s="167"/>
      <c r="UDD96" s="168"/>
      <c r="UDE96" s="167"/>
      <c r="UDF96" s="168"/>
      <c r="UDG96" s="167"/>
      <c r="UDH96" s="168"/>
      <c r="UDI96" s="167"/>
      <c r="UDJ96" s="168"/>
      <c r="UDK96" s="167"/>
      <c r="UDL96" s="168"/>
      <c r="UDM96" s="167"/>
      <c r="UDN96" s="168"/>
      <c r="UDO96" s="167"/>
      <c r="UDP96" s="168"/>
      <c r="UDQ96" s="167"/>
      <c r="UDR96" s="168"/>
      <c r="UDS96" s="167"/>
      <c r="UDT96" s="168"/>
      <c r="UDU96" s="167"/>
      <c r="UDV96" s="168"/>
      <c r="UDW96" s="167"/>
      <c r="UDX96" s="168"/>
      <c r="UDY96" s="167"/>
      <c r="UDZ96" s="168"/>
      <c r="UEA96" s="167"/>
      <c r="UEB96" s="168"/>
      <c r="UEC96" s="167"/>
      <c r="UED96" s="168"/>
      <c r="UEE96" s="167"/>
      <c r="UEF96" s="168"/>
      <c r="UEG96" s="167"/>
      <c r="UEH96" s="168"/>
      <c r="UEI96" s="167"/>
      <c r="UEJ96" s="168"/>
      <c r="UEK96" s="167"/>
      <c r="UEL96" s="168"/>
      <c r="UEM96" s="167"/>
      <c r="UEN96" s="168"/>
      <c r="UEO96" s="167"/>
      <c r="UEP96" s="168"/>
      <c r="UEQ96" s="167"/>
      <c r="UER96" s="168"/>
      <c r="UES96" s="167"/>
      <c r="UET96" s="168"/>
      <c r="UEU96" s="167"/>
      <c r="UEV96" s="168"/>
      <c r="UEW96" s="167"/>
      <c r="UEX96" s="168"/>
      <c r="UEY96" s="167"/>
      <c r="UEZ96" s="168"/>
      <c r="UFA96" s="167"/>
      <c r="UFB96" s="168"/>
      <c r="UFC96" s="167"/>
      <c r="UFD96" s="168"/>
      <c r="UFE96" s="167"/>
      <c r="UFF96" s="168"/>
      <c r="UFG96" s="167"/>
      <c r="UFH96" s="168"/>
      <c r="UFI96" s="167"/>
      <c r="UFJ96" s="168"/>
      <c r="UFK96" s="167"/>
      <c r="UFL96" s="168"/>
      <c r="UFM96" s="167"/>
      <c r="UFN96" s="168"/>
      <c r="UFO96" s="167"/>
      <c r="UFP96" s="168"/>
      <c r="UFQ96" s="167"/>
      <c r="UFR96" s="168"/>
      <c r="UFS96" s="167"/>
      <c r="UFT96" s="168"/>
      <c r="UFU96" s="167"/>
      <c r="UFV96" s="168"/>
      <c r="UFW96" s="167"/>
      <c r="UFX96" s="168"/>
      <c r="UFY96" s="167"/>
      <c r="UFZ96" s="168"/>
      <c r="UGA96" s="167"/>
      <c r="UGB96" s="168"/>
      <c r="UGC96" s="167"/>
      <c r="UGD96" s="168"/>
      <c r="UGE96" s="167"/>
      <c r="UGF96" s="168"/>
      <c r="UGG96" s="167"/>
      <c r="UGH96" s="168"/>
      <c r="UGI96" s="167"/>
      <c r="UGJ96" s="168"/>
      <c r="UGK96" s="167"/>
      <c r="UGL96" s="168"/>
      <c r="UGM96" s="167"/>
      <c r="UGN96" s="168"/>
      <c r="UGO96" s="167"/>
      <c r="UGP96" s="168"/>
      <c r="UGQ96" s="167"/>
      <c r="UGR96" s="168"/>
      <c r="UGS96" s="167"/>
      <c r="UGT96" s="168"/>
      <c r="UGU96" s="167"/>
      <c r="UGV96" s="168"/>
      <c r="UGW96" s="167"/>
      <c r="UGX96" s="168"/>
      <c r="UGY96" s="167"/>
      <c r="UGZ96" s="168"/>
      <c r="UHA96" s="167"/>
      <c r="UHB96" s="168"/>
      <c r="UHC96" s="167"/>
      <c r="UHD96" s="168"/>
      <c r="UHE96" s="167"/>
      <c r="UHF96" s="168"/>
      <c r="UHG96" s="167"/>
      <c r="UHH96" s="168"/>
      <c r="UHI96" s="167"/>
      <c r="UHJ96" s="168"/>
      <c r="UHK96" s="167"/>
      <c r="UHL96" s="168"/>
      <c r="UHM96" s="167"/>
      <c r="UHN96" s="168"/>
      <c r="UHO96" s="167"/>
      <c r="UHP96" s="168"/>
      <c r="UHQ96" s="167"/>
      <c r="UHR96" s="168"/>
      <c r="UHS96" s="167"/>
      <c r="UHT96" s="168"/>
      <c r="UHU96" s="167"/>
      <c r="UHV96" s="168"/>
      <c r="UHW96" s="167"/>
      <c r="UHX96" s="168"/>
      <c r="UHY96" s="167"/>
      <c r="UHZ96" s="168"/>
      <c r="UIA96" s="167"/>
      <c r="UIB96" s="168"/>
      <c r="UIC96" s="167"/>
      <c r="UID96" s="168"/>
      <c r="UIE96" s="167"/>
      <c r="UIF96" s="168"/>
      <c r="UIG96" s="167"/>
      <c r="UIH96" s="168"/>
      <c r="UII96" s="167"/>
      <c r="UIJ96" s="168"/>
      <c r="UIK96" s="167"/>
      <c r="UIL96" s="168"/>
      <c r="UIM96" s="167"/>
      <c r="UIN96" s="168"/>
      <c r="UIO96" s="167"/>
      <c r="UIP96" s="168"/>
      <c r="UIQ96" s="167"/>
      <c r="UIR96" s="168"/>
      <c r="UIS96" s="167"/>
      <c r="UIT96" s="168"/>
      <c r="UIU96" s="167"/>
      <c r="UIV96" s="168"/>
      <c r="UIW96" s="167"/>
      <c r="UIX96" s="168"/>
      <c r="UIY96" s="167"/>
      <c r="UIZ96" s="168"/>
      <c r="UJA96" s="167"/>
      <c r="UJB96" s="168"/>
      <c r="UJC96" s="167"/>
      <c r="UJD96" s="168"/>
      <c r="UJE96" s="167"/>
      <c r="UJF96" s="168"/>
      <c r="UJG96" s="167"/>
      <c r="UJH96" s="168"/>
      <c r="UJI96" s="167"/>
      <c r="UJJ96" s="168"/>
      <c r="UJK96" s="167"/>
      <c r="UJL96" s="168"/>
      <c r="UJM96" s="167"/>
      <c r="UJN96" s="168"/>
      <c r="UJO96" s="167"/>
      <c r="UJP96" s="168"/>
      <c r="UJQ96" s="167"/>
      <c r="UJR96" s="168"/>
      <c r="UJS96" s="167"/>
      <c r="UJT96" s="168"/>
      <c r="UJU96" s="167"/>
      <c r="UJV96" s="168"/>
      <c r="UJW96" s="167"/>
      <c r="UJX96" s="168"/>
      <c r="UJY96" s="167"/>
      <c r="UJZ96" s="168"/>
      <c r="UKA96" s="167"/>
      <c r="UKB96" s="168"/>
      <c r="UKC96" s="167"/>
      <c r="UKD96" s="168"/>
      <c r="UKE96" s="167"/>
      <c r="UKF96" s="168"/>
      <c r="UKG96" s="167"/>
      <c r="UKH96" s="168"/>
      <c r="UKI96" s="167"/>
      <c r="UKJ96" s="168"/>
      <c r="UKK96" s="167"/>
      <c r="UKL96" s="168"/>
      <c r="UKM96" s="167"/>
      <c r="UKN96" s="168"/>
      <c r="UKO96" s="167"/>
      <c r="UKP96" s="168"/>
      <c r="UKQ96" s="167"/>
      <c r="UKR96" s="168"/>
      <c r="UKS96" s="167"/>
      <c r="UKT96" s="168"/>
      <c r="UKU96" s="167"/>
      <c r="UKV96" s="168"/>
      <c r="UKW96" s="167"/>
      <c r="UKX96" s="168"/>
      <c r="UKY96" s="167"/>
      <c r="UKZ96" s="168"/>
      <c r="ULA96" s="167"/>
      <c r="ULB96" s="168"/>
      <c r="ULC96" s="167"/>
      <c r="ULD96" s="168"/>
      <c r="ULE96" s="167"/>
      <c r="ULF96" s="168"/>
      <c r="ULG96" s="167"/>
      <c r="ULH96" s="168"/>
      <c r="ULI96" s="167"/>
      <c r="ULJ96" s="168"/>
      <c r="ULK96" s="167"/>
      <c r="ULL96" s="168"/>
      <c r="ULM96" s="167"/>
      <c r="ULN96" s="168"/>
      <c r="ULO96" s="167"/>
      <c r="ULP96" s="168"/>
      <c r="ULQ96" s="167"/>
      <c r="ULR96" s="168"/>
      <c r="ULS96" s="167"/>
      <c r="ULT96" s="168"/>
      <c r="ULU96" s="167"/>
      <c r="ULV96" s="168"/>
      <c r="ULW96" s="167"/>
      <c r="ULX96" s="168"/>
      <c r="ULY96" s="167"/>
      <c r="ULZ96" s="168"/>
      <c r="UMA96" s="167"/>
      <c r="UMB96" s="168"/>
      <c r="UMC96" s="167"/>
      <c r="UMD96" s="168"/>
      <c r="UME96" s="167"/>
      <c r="UMF96" s="168"/>
      <c r="UMG96" s="167"/>
      <c r="UMH96" s="168"/>
      <c r="UMI96" s="167"/>
      <c r="UMJ96" s="168"/>
      <c r="UMK96" s="167"/>
      <c r="UML96" s="168"/>
      <c r="UMM96" s="167"/>
      <c r="UMN96" s="168"/>
      <c r="UMO96" s="167"/>
      <c r="UMP96" s="168"/>
      <c r="UMQ96" s="167"/>
      <c r="UMR96" s="168"/>
      <c r="UMS96" s="167"/>
      <c r="UMT96" s="168"/>
      <c r="UMU96" s="167"/>
      <c r="UMV96" s="168"/>
      <c r="UMW96" s="167"/>
      <c r="UMX96" s="168"/>
      <c r="UMY96" s="167"/>
      <c r="UMZ96" s="168"/>
      <c r="UNA96" s="167"/>
      <c r="UNB96" s="168"/>
      <c r="UNC96" s="167"/>
      <c r="UND96" s="168"/>
      <c r="UNE96" s="167"/>
      <c r="UNF96" s="168"/>
      <c r="UNG96" s="167"/>
      <c r="UNH96" s="168"/>
      <c r="UNI96" s="167"/>
      <c r="UNJ96" s="168"/>
      <c r="UNK96" s="167"/>
      <c r="UNL96" s="168"/>
      <c r="UNM96" s="167"/>
      <c r="UNN96" s="168"/>
      <c r="UNO96" s="167"/>
      <c r="UNP96" s="168"/>
      <c r="UNQ96" s="167"/>
      <c r="UNR96" s="168"/>
      <c r="UNS96" s="167"/>
      <c r="UNT96" s="168"/>
      <c r="UNU96" s="167"/>
      <c r="UNV96" s="168"/>
      <c r="UNW96" s="167"/>
      <c r="UNX96" s="168"/>
      <c r="UNY96" s="167"/>
      <c r="UNZ96" s="168"/>
      <c r="UOA96" s="167"/>
      <c r="UOB96" s="168"/>
      <c r="UOC96" s="167"/>
      <c r="UOD96" s="168"/>
      <c r="UOE96" s="167"/>
      <c r="UOF96" s="168"/>
      <c r="UOG96" s="167"/>
      <c r="UOH96" s="168"/>
      <c r="UOI96" s="167"/>
      <c r="UOJ96" s="168"/>
      <c r="UOK96" s="167"/>
      <c r="UOL96" s="168"/>
      <c r="UOM96" s="167"/>
      <c r="UON96" s="168"/>
      <c r="UOO96" s="167"/>
      <c r="UOP96" s="168"/>
      <c r="UOQ96" s="167"/>
      <c r="UOR96" s="168"/>
      <c r="UOS96" s="167"/>
      <c r="UOT96" s="168"/>
      <c r="UOU96" s="167"/>
      <c r="UOV96" s="168"/>
      <c r="UOW96" s="167"/>
      <c r="UOX96" s="168"/>
      <c r="UOY96" s="167"/>
      <c r="UOZ96" s="168"/>
      <c r="UPA96" s="167"/>
      <c r="UPB96" s="168"/>
      <c r="UPC96" s="167"/>
      <c r="UPD96" s="168"/>
      <c r="UPE96" s="167"/>
      <c r="UPF96" s="168"/>
      <c r="UPG96" s="167"/>
      <c r="UPH96" s="168"/>
      <c r="UPI96" s="167"/>
      <c r="UPJ96" s="168"/>
      <c r="UPK96" s="167"/>
      <c r="UPL96" s="168"/>
      <c r="UPM96" s="167"/>
      <c r="UPN96" s="168"/>
      <c r="UPO96" s="167"/>
      <c r="UPP96" s="168"/>
      <c r="UPQ96" s="167"/>
      <c r="UPR96" s="168"/>
      <c r="UPS96" s="167"/>
      <c r="UPT96" s="168"/>
      <c r="UPU96" s="167"/>
      <c r="UPV96" s="168"/>
      <c r="UPW96" s="167"/>
      <c r="UPX96" s="168"/>
      <c r="UPY96" s="167"/>
      <c r="UPZ96" s="168"/>
      <c r="UQA96" s="167"/>
      <c r="UQB96" s="168"/>
      <c r="UQC96" s="167"/>
      <c r="UQD96" s="168"/>
      <c r="UQE96" s="167"/>
      <c r="UQF96" s="168"/>
      <c r="UQG96" s="167"/>
      <c r="UQH96" s="168"/>
      <c r="UQI96" s="167"/>
      <c r="UQJ96" s="168"/>
      <c r="UQK96" s="167"/>
      <c r="UQL96" s="168"/>
      <c r="UQM96" s="167"/>
      <c r="UQN96" s="168"/>
      <c r="UQO96" s="167"/>
      <c r="UQP96" s="168"/>
      <c r="UQQ96" s="167"/>
      <c r="UQR96" s="168"/>
      <c r="UQS96" s="167"/>
      <c r="UQT96" s="168"/>
      <c r="UQU96" s="167"/>
      <c r="UQV96" s="168"/>
      <c r="UQW96" s="167"/>
      <c r="UQX96" s="168"/>
      <c r="UQY96" s="167"/>
      <c r="UQZ96" s="168"/>
      <c r="URA96" s="167"/>
      <c r="URB96" s="168"/>
      <c r="URC96" s="167"/>
      <c r="URD96" s="168"/>
      <c r="URE96" s="167"/>
      <c r="URF96" s="168"/>
      <c r="URG96" s="167"/>
      <c r="URH96" s="168"/>
      <c r="URI96" s="167"/>
      <c r="URJ96" s="168"/>
      <c r="URK96" s="167"/>
      <c r="URL96" s="168"/>
      <c r="URM96" s="167"/>
      <c r="URN96" s="168"/>
      <c r="URO96" s="167"/>
      <c r="URP96" s="168"/>
      <c r="URQ96" s="167"/>
      <c r="URR96" s="168"/>
      <c r="URS96" s="167"/>
      <c r="URT96" s="168"/>
      <c r="URU96" s="167"/>
      <c r="URV96" s="168"/>
      <c r="URW96" s="167"/>
      <c r="URX96" s="168"/>
      <c r="URY96" s="167"/>
      <c r="URZ96" s="168"/>
      <c r="USA96" s="167"/>
      <c r="USB96" s="168"/>
      <c r="USC96" s="167"/>
      <c r="USD96" s="168"/>
      <c r="USE96" s="167"/>
      <c r="USF96" s="168"/>
      <c r="USG96" s="167"/>
      <c r="USH96" s="168"/>
      <c r="USI96" s="167"/>
      <c r="USJ96" s="168"/>
      <c r="USK96" s="167"/>
      <c r="USL96" s="168"/>
      <c r="USM96" s="167"/>
      <c r="USN96" s="168"/>
      <c r="USO96" s="167"/>
      <c r="USP96" s="168"/>
      <c r="USQ96" s="167"/>
      <c r="USR96" s="168"/>
      <c r="USS96" s="167"/>
      <c r="UST96" s="168"/>
      <c r="USU96" s="167"/>
      <c r="USV96" s="168"/>
      <c r="USW96" s="167"/>
      <c r="USX96" s="168"/>
      <c r="USY96" s="167"/>
      <c r="USZ96" s="168"/>
      <c r="UTA96" s="167"/>
      <c r="UTB96" s="168"/>
      <c r="UTC96" s="167"/>
      <c r="UTD96" s="168"/>
      <c r="UTE96" s="167"/>
      <c r="UTF96" s="168"/>
      <c r="UTG96" s="167"/>
      <c r="UTH96" s="168"/>
      <c r="UTI96" s="167"/>
      <c r="UTJ96" s="168"/>
      <c r="UTK96" s="167"/>
      <c r="UTL96" s="168"/>
      <c r="UTM96" s="167"/>
      <c r="UTN96" s="168"/>
      <c r="UTO96" s="167"/>
      <c r="UTP96" s="168"/>
      <c r="UTQ96" s="167"/>
      <c r="UTR96" s="168"/>
      <c r="UTS96" s="167"/>
      <c r="UTT96" s="168"/>
      <c r="UTU96" s="167"/>
      <c r="UTV96" s="168"/>
      <c r="UTW96" s="167"/>
      <c r="UTX96" s="168"/>
      <c r="UTY96" s="167"/>
      <c r="UTZ96" s="168"/>
      <c r="UUA96" s="167"/>
      <c r="UUB96" s="168"/>
      <c r="UUC96" s="167"/>
      <c r="UUD96" s="168"/>
      <c r="UUE96" s="167"/>
      <c r="UUF96" s="168"/>
      <c r="UUG96" s="167"/>
      <c r="UUH96" s="168"/>
      <c r="UUI96" s="167"/>
      <c r="UUJ96" s="168"/>
      <c r="UUK96" s="167"/>
      <c r="UUL96" s="168"/>
      <c r="UUM96" s="167"/>
      <c r="UUN96" s="168"/>
      <c r="UUO96" s="167"/>
      <c r="UUP96" s="168"/>
      <c r="UUQ96" s="167"/>
      <c r="UUR96" s="168"/>
      <c r="UUS96" s="167"/>
      <c r="UUT96" s="168"/>
      <c r="UUU96" s="167"/>
      <c r="UUV96" s="168"/>
      <c r="UUW96" s="167"/>
      <c r="UUX96" s="168"/>
      <c r="UUY96" s="167"/>
      <c r="UUZ96" s="168"/>
      <c r="UVA96" s="167"/>
      <c r="UVB96" s="168"/>
      <c r="UVC96" s="167"/>
      <c r="UVD96" s="168"/>
      <c r="UVE96" s="167"/>
      <c r="UVF96" s="168"/>
      <c r="UVG96" s="167"/>
      <c r="UVH96" s="168"/>
      <c r="UVI96" s="167"/>
      <c r="UVJ96" s="168"/>
      <c r="UVK96" s="167"/>
      <c r="UVL96" s="168"/>
      <c r="UVM96" s="167"/>
      <c r="UVN96" s="168"/>
      <c r="UVO96" s="167"/>
      <c r="UVP96" s="168"/>
      <c r="UVQ96" s="167"/>
      <c r="UVR96" s="168"/>
      <c r="UVS96" s="167"/>
      <c r="UVT96" s="168"/>
      <c r="UVU96" s="167"/>
      <c r="UVV96" s="168"/>
      <c r="UVW96" s="167"/>
      <c r="UVX96" s="168"/>
      <c r="UVY96" s="167"/>
      <c r="UVZ96" s="168"/>
      <c r="UWA96" s="167"/>
      <c r="UWB96" s="168"/>
      <c r="UWC96" s="167"/>
      <c r="UWD96" s="168"/>
      <c r="UWE96" s="167"/>
      <c r="UWF96" s="168"/>
      <c r="UWG96" s="167"/>
      <c r="UWH96" s="168"/>
      <c r="UWI96" s="167"/>
      <c r="UWJ96" s="168"/>
      <c r="UWK96" s="167"/>
      <c r="UWL96" s="168"/>
      <c r="UWM96" s="167"/>
      <c r="UWN96" s="168"/>
      <c r="UWO96" s="167"/>
      <c r="UWP96" s="168"/>
      <c r="UWQ96" s="167"/>
      <c r="UWR96" s="168"/>
      <c r="UWS96" s="167"/>
      <c r="UWT96" s="168"/>
      <c r="UWU96" s="167"/>
      <c r="UWV96" s="168"/>
      <c r="UWW96" s="167"/>
      <c r="UWX96" s="168"/>
      <c r="UWY96" s="167"/>
      <c r="UWZ96" s="168"/>
      <c r="UXA96" s="167"/>
      <c r="UXB96" s="168"/>
      <c r="UXC96" s="167"/>
      <c r="UXD96" s="168"/>
      <c r="UXE96" s="167"/>
      <c r="UXF96" s="168"/>
      <c r="UXG96" s="167"/>
      <c r="UXH96" s="168"/>
      <c r="UXI96" s="167"/>
      <c r="UXJ96" s="168"/>
      <c r="UXK96" s="167"/>
      <c r="UXL96" s="168"/>
      <c r="UXM96" s="167"/>
      <c r="UXN96" s="168"/>
      <c r="UXO96" s="167"/>
      <c r="UXP96" s="168"/>
      <c r="UXQ96" s="167"/>
      <c r="UXR96" s="168"/>
      <c r="UXS96" s="167"/>
      <c r="UXT96" s="168"/>
      <c r="UXU96" s="167"/>
      <c r="UXV96" s="168"/>
      <c r="UXW96" s="167"/>
      <c r="UXX96" s="168"/>
      <c r="UXY96" s="167"/>
      <c r="UXZ96" s="168"/>
      <c r="UYA96" s="167"/>
      <c r="UYB96" s="168"/>
      <c r="UYC96" s="167"/>
      <c r="UYD96" s="168"/>
      <c r="UYE96" s="167"/>
      <c r="UYF96" s="168"/>
      <c r="UYG96" s="167"/>
      <c r="UYH96" s="168"/>
      <c r="UYI96" s="167"/>
      <c r="UYJ96" s="168"/>
      <c r="UYK96" s="167"/>
      <c r="UYL96" s="168"/>
      <c r="UYM96" s="167"/>
      <c r="UYN96" s="168"/>
      <c r="UYO96" s="167"/>
      <c r="UYP96" s="168"/>
      <c r="UYQ96" s="167"/>
      <c r="UYR96" s="168"/>
      <c r="UYS96" s="167"/>
      <c r="UYT96" s="168"/>
      <c r="UYU96" s="167"/>
      <c r="UYV96" s="168"/>
      <c r="UYW96" s="167"/>
      <c r="UYX96" s="168"/>
      <c r="UYY96" s="167"/>
      <c r="UYZ96" s="168"/>
      <c r="UZA96" s="167"/>
      <c r="UZB96" s="168"/>
      <c r="UZC96" s="167"/>
      <c r="UZD96" s="168"/>
      <c r="UZE96" s="167"/>
      <c r="UZF96" s="168"/>
      <c r="UZG96" s="167"/>
      <c r="UZH96" s="168"/>
      <c r="UZI96" s="167"/>
      <c r="UZJ96" s="168"/>
      <c r="UZK96" s="167"/>
      <c r="UZL96" s="168"/>
      <c r="UZM96" s="167"/>
      <c r="UZN96" s="168"/>
      <c r="UZO96" s="167"/>
      <c r="UZP96" s="168"/>
      <c r="UZQ96" s="167"/>
      <c r="UZR96" s="168"/>
      <c r="UZS96" s="167"/>
      <c r="UZT96" s="168"/>
      <c r="UZU96" s="167"/>
      <c r="UZV96" s="168"/>
      <c r="UZW96" s="167"/>
      <c r="UZX96" s="168"/>
      <c r="UZY96" s="167"/>
      <c r="UZZ96" s="168"/>
      <c r="VAA96" s="167"/>
      <c r="VAB96" s="168"/>
      <c r="VAC96" s="167"/>
      <c r="VAD96" s="168"/>
      <c r="VAE96" s="167"/>
      <c r="VAF96" s="168"/>
      <c r="VAG96" s="167"/>
      <c r="VAH96" s="168"/>
      <c r="VAI96" s="167"/>
      <c r="VAJ96" s="168"/>
      <c r="VAK96" s="167"/>
      <c r="VAL96" s="168"/>
      <c r="VAM96" s="167"/>
      <c r="VAN96" s="168"/>
      <c r="VAO96" s="167"/>
      <c r="VAP96" s="168"/>
      <c r="VAQ96" s="167"/>
      <c r="VAR96" s="168"/>
      <c r="VAS96" s="167"/>
      <c r="VAT96" s="168"/>
      <c r="VAU96" s="167"/>
      <c r="VAV96" s="168"/>
      <c r="VAW96" s="167"/>
      <c r="VAX96" s="168"/>
      <c r="VAY96" s="167"/>
      <c r="VAZ96" s="168"/>
      <c r="VBA96" s="167"/>
      <c r="VBB96" s="168"/>
      <c r="VBC96" s="167"/>
      <c r="VBD96" s="168"/>
      <c r="VBE96" s="167"/>
      <c r="VBF96" s="168"/>
      <c r="VBG96" s="167"/>
      <c r="VBH96" s="168"/>
      <c r="VBI96" s="167"/>
      <c r="VBJ96" s="168"/>
      <c r="VBK96" s="167"/>
      <c r="VBL96" s="168"/>
      <c r="VBM96" s="167"/>
      <c r="VBN96" s="168"/>
      <c r="VBO96" s="167"/>
      <c r="VBP96" s="168"/>
      <c r="VBQ96" s="167"/>
      <c r="VBR96" s="168"/>
      <c r="VBS96" s="167"/>
      <c r="VBT96" s="168"/>
      <c r="VBU96" s="167"/>
      <c r="VBV96" s="168"/>
      <c r="VBW96" s="167"/>
      <c r="VBX96" s="168"/>
      <c r="VBY96" s="167"/>
      <c r="VBZ96" s="168"/>
      <c r="VCA96" s="167"/>
      <c r="VCB96" s="168"/>
      <c r="VCC96" s="167"/>
      <c r="VCD96" s="168"/>
      <c r="VCE96" s="167"/>
      <c r="VCF96" s="168"/>
      <c r="VCG96" s="167"/>
      <c r="VCH96" s="168"/>
      <c r="VCI96" s="167"/>
      <c r="VCJ96" s="168"/>
      <c r="VCK96" s="167"/>
      <c r="VCL96" s="168"/>
      <c r="VCM96" s="167"/>
      <c r="VCN96" s="168"/>
      <c r="VCO96" s="167"/>
      <c r="VCP96" s="168"/>
      <c r="VCQ96" s="167"/>
      <c r="VCR96" s="168"/>
      <c r="VCS96" s="167"/>
      <c r="VCT96" s="168"/>
      <c r="VCU96" s="167"/>
      <c r="VCV96" s="168"/>
      <c r="VCW96" s="167"/>
      <c r="VCX96" s="168"/>
      <c r="VCY96" s="167"/>
      <c r="VCZ96" s="168"/>
      <c r="VDA96" s="167"/>
      <c r="VDB96" s="168"/>
      <c r="VDC96" s="167"/>
      <c r="VDD96" s="168"/>
      <c r="VDE96" s="167"/>
      <c r="VDF96" s="168"/>
      <c r="VDG96" s="167"/>
      <c r="VDH96" s="168"/>
      <c r="VDI96" s="167"/>
      <c r="VDJ96" s="168"/>
      <c r="VDK96" s="167"/>
      <c r="VDL96" s="168"/>
      <c r="VDM96" s="167"/>
      <c r="VDN96" s="168"/>
      <c r="VDO96" s="167"/>
      <c r="VDP96" s="168"/>
      <c r="VDQ96" s="167"/>
      <c r="VDR96" s="168"/>
      <c r="VDS96" s="167"/>
      <c r="VDT96" s="168"/>
      <c r="VDU96" s="167"/>
      <c r="VDV96" s="168"/>
      <c r="VDW96" s="167"/>
      <c r="VDX96" s="168"/>
      <c r="VDY96" s="167"/>
      <c r="VDZ96" s="168"/>
      <c r="VEA96" s="167"/>
      <c r="VEB96" s="168"/>
      <c r="VEC96" s="167"/>
      <c r="VED96" s="168"/>
      <c r="VEE96" s="167"/>
      <c r="VEF96" s="168"/>
      <c r="VEG96" s="167"/>
      <c r="VEH96" s="168"/>
      <c r="VEI96" s="167"/>
      <c r="VEJ96" s="168"/>
      <c r="VEK96" s="167"/>
      <c r="VEL96" s="168"/>
      <c r="VEM96" s="167"/>
      <c r="VEN96" s="168"/>
      <c r="VEO96" s="167"/>
      <c r="VEP96" s="168"/>
      <c r="VEQ96" s="167"/>
      <c r="VER96" s="168"/>
      <c r="VES96" s="167"/>
      <c r="VET96" s="168"/>
      <c r="VEU96" s="167"/>
      <c r="VEV96" s="168"/>
      <c r="VEW96" s="167"/>
      <c r="VEX96" s="168"/>
      <c r="VEY96" s="167"/>
      <c r="VEZ96" s="168"/>
      <c r="VFA96" s="167"/>
      <c r="VFB96" s="168"/>
      <c r="VFC96" s="167"/>
      <c r="VFD96" s="168"/>
      <c r="VFE96" s="167"/>
      <c r="VFF96" s="168"/>
      <c r="VFG96" s="167"/>
      <c r="VFH96" s="168"/>
      <c r="VFI96" s="167"/>
      <c r="VFJ96" s="168"/>
      <c r="VFK96" s="167"/>
      <c r="VFL96" s="168"/>
      <c r="VFM96" s="167"/>
      <c r="VFN96" s="168"/>
      <c r="VFO96" s="167"/>
      <c r="VFP96" s="168"/>
      <c r="VFQ96" s="167"/>
      <c r="VFR96" s="168"/>
      <c r="VFS96" s="167"/>
      <c r="VFT96" s="168"/>
      <c r="VFU96" s="167"/>
      <c r="VFV96" s="168"/>
      <c r="VFW96" s="167"/>
      <c r="VFX96" s="168"/>
      <c r="VFY96" s="167"/>
      <c r="VFZ96" s="168"/>
      <c r="VGA96" s="167"/>
      <c r="VGB96" s="168"/>
      <c r="VGC96" s="167"/>
      <c r="VGD96" s="168"/>
      <c r="VGE96" s="167"/>
      <c r="VGF96" s="168"/>
      <c r="VGG96" s="167"/>
      <c r="VGH96" s="168"/>
      <c r="VGI96" s="167"/>
      <c r="VGJ96" s="168"/>
      <c r="VGK96" s="167"/>
      <c r="VGL96" s="168"/>
      <c r="VGM96" s="167"/>
      <c r="VGN96" s="168"/>
      <c r="VGO96" s="167"/>
      <c r="VGP96" s="168"/>
      <c r="VGQ96" s="167"/>
      <c r="VGR96" s="168"/>
      <c r="VGS96" s="167"/>
      <c r="VGT96" s="168"/>
      <c r="VGU96" s="167"/>
      <c r="VGV96" s="168"/>
      <c r="VGW96" s="167"/>
      <c r="VGX96" s="168"/>
      <c r="VGY96" s="167"/>
      <c r="VGZ96" s="168"/>
      <c r="VHA96" s="167"/>
      <c r="VHB96" s="168"/>
      <c r="VHC96" s="167"/>
      <c r="VHD96" s="168"/>
      <c r="VHE96" s="167"/>
      <c r="VHF96" s="168"/>
      <c r="VHG96" s="167"/>
      <c r="VHH96" s="168"/>
      <c r="VHI96" s="167"/>
      <c r="VHJ96" s="168"/>
      <c r="VHK96" s="167"/>
      <c r="VHL96" s="168"/>
      <c r="VHM96" s="167"/>
      <c r="VHN96" s="168"/>
      <c r="VHO96" s="167"/>
      <c r="VHP96" s="168"/>
      <c r="VHQ96" s="167"/>
      <c r="VHR96" s="168"/>
      <c r="VHS96" s="167"/>
      <c r="VHT96" s="168"/>
      <c r="VHU96" s="167"/>
      <c r="VHV96" s="168"/>
      <c r="VHW96" s="167"/>
      <c r="VHX96" s="168"/>
      <c r="VHY96" s="167"/>
      <c r="VHZ96" s="168"/>
      <c r="VIA96" s="167"/>
      <c r="VIB96" s="168"/>
      <c r="VIC96" s="167"/>
      <c r="VID96" s="168"/>
      <c r="VIE96" s="167"/>
      <c r="VIF96" s="168"/>
      <c r="VIG96" s="167"/>
      <c r="VIH96" s="168"/>
      <c r="VII96" s="167"/>
      <c r="VIJ96" s="168"/>
      <c r="VIK96" s="167"/>
      <c r="VIL96" s="168"/>
      <c r="VIM96" s="167"/>
      <c r="VIN96" s="168"/>
      <c r="VIO96" s="167"/>
      <c r="VIP96" s="168"/>
      <c r="VIQ96" s="167"/>
      <c r="VIR96" s="168"/>
      <c r="VIS96" s="167"/>
      <c r="VIT96" s="168"/>
      <c r="VIU96" s="167"/>
      <c r="VIV96" s="168"/>
      <c r="VIW96" s="167"/>
      <c r="VIX96" s="168"/>
      <c r="VIY96" s="167"/>
      <c r="VIZ96" s="168"/>
      <c r="VJA96" s="167"/>
      <c r="VJB96" s="168"/>
      <c r="VJC96" s="167"/>
      <c r="VJD96" s="168"/>
      <c r="VJE96" s="167"/>
      <c r="VJF96" s="168"/>
      <c r="VJG96" s="167"/>
      <c r="VJH96" s="168"/>
      <c r="VJI96" s="167"/>
      <c r="VJJ96" s="168"/>
      <c r="VJK96" s="167"/>
      <c r="VJL96" s="168"/>
      <c r="VJM96" s="167"/>
      <c r="VJN96" s="168"/>
      <c r="VJO96" s="167"/>
      <c r="VJP96" s="168"/>
      <c r="VJQ96" s="167"/>
      <c r="VJR96" s="168"/>
      <c r="VJS96" s="167"/>
      <c r="VJT96" s="168"/>
      <c r="VJU96" s="167"/>
      <c r="VJV96" s="168"/>
      <c r="VJW96" s="167"/>
      <c r="VJX96" s="168"/>
      <c r="VJY96" s="167"/>
      <c r="VJZ96" s="168"/>
      <c r="VKA96" s="167"/>
      <c r="VKB96" s="168"/>
      <c r="VKC96" s="167"/>
      <c r="VKD96" s="168"/>
      <c r="VKE96" s="167"/>
      <c r="VKF96" s="168"/>
      <c r="VKG96" s="167"/>
      <c r="VKH96" s="168"/>
      <c r="VKI96" s="167"/>
      <c r="VKJ96" s="168"/>
      <c r="VKK96" s="167"/>
      <c r="VKL96" s="168"/>
      <c r="VKM96" s="167"/>
      <c r="VKN96" s="168"/>
      <c r="VKO96" s="167"/>
      <c r="VKP96" s="168"/>
      <c r="VKQ96" s="167"/>
      <c r="VKR96" s="168"/>
      <c r="VKS96" s="167"/>
      <c r="VKT96" s="168"/>
      <c r="VKU96" s="167"/>
      <c r="VKV96" s="168"/>
      <c r="VKW96" s="167"/>
      <c r="VKX96" s="168"/>
      <c r="VKY96" s="167"/>
      <c r="VKZ96" s="168"/>
      <c r="VLA96" s="167"/>
      <c r="VLB96" s="168"/>
      <c r="VLC96" s="167"/>
      <c r="VLD96" s="168"/>
      <c r="VLE96" s="167"/>
      <c r="VLF96" s="168"/>
      <c r="VLG96" s="167"/>
      <c r="VLH96" s="168"/>
      <c r="VLI96" s="167"/>
      <c r="VLJ96" s="168"/>
      <c r="VLK96" s="167"/>
      <c r="VLL96" s="168"/>
      <c r="VLM96" s="167"/>
      <c r="VLN96" s="168"/>
      <c r="VLO96" s="167"/>
      <c r="VLP96" s="168"/>
      <c r="VLQ96" s="167"/>
      <c r="VLR96" s="168"/>
      <c r="VLS96" s="167"/>
      <c r="VLT96" s="168"/>
      <c r="VLU96" s="167"/>
      <c r="VLV96" s="168"/>
      <c r="VLW96" s="167"/>
      <c r="VLX96" s="168"/>
      <c r="VLY96" s="167"/>
      <c r="VLZ96" s="168"/>
      <c r="VMA96" s="167"/>
      <c r="VMB96" s="168"/>
      <c r="VMC96" s="167"/>
      <c r="VMD96" s="168"/>
      <c r="VME96" s="167"/>
      <c r="VMF96" s="168"/>
      <c r="VMG96" s="167"/>
      <c r="VMH96" s="168"/>
      <c r="VMI96" s="167"/>
      <c r="VMJ96" s="168"/>
      <c r="VMK96" s="167"/>
      <c r="VML96" s="168"/>
      <c r="VMM96" s="167"/>
      <c r="VMN96" s="168"/>
      <c r="VMO96" s="167"/>
      <c r="VMP96" s="168"/>
      <c r="VMQ96" s="167"/>
      <c r="VMR96" s="168"/>
      <c r="VMS96" s="167"/>
      <c r="VMT96" s="168"/>
      <c r="VMU96" s="167"/>
      <c r="VMV96" s="168"/>
      <c r="VMW96" s="167"/>
      <c r="VMX96" s="168"/>
      <c r="VMY96" s="167"/>
      <c r="VMZ96" s="168"/>
      <c r="VNA96" s="167"/>
      <c r="VNB96" s="168"/>
      <c r="VNC96" s="167"/>
      <c r="VND96" s="168"/>
      <c r="VNE96" s="167"/>
      <c r="VNF96" s="168"/>
      <c r="VNG96" s="167"/>
      <c r="VNH96" s="168"/>
      <c r="VNI96" s="167"/>
      <c r="VNJ96" s="168"/>
      <c r="VNK96" s="167"/>
      <c r="VNL96" s="168"/>
      <c r="VNM96" s="167"/>
      <c r="VNN96" s="168"/>
      <c r="VNO96" s="167"/>
      <c r="VNP96" s="168"/>
      <c r="VNQ96" s="167"/>
      <c r="VNR96" s="168"/>
      <c r="VNS96" s="167"/>
      <c r="VNT96" s="168"/>
      <c r="VNU96" s="167"/>
      <c r="VNV96" s="168"/>
      <c r="VNW96" s="167"/>
      <c r="VNX96" s="168"/>
      <c r="VNY96" s="167"/>
      <c r="VNZ96" s="168"/>
      <c r="VOA96" s="167"/>
      <c r="VOB96" s="168"/>
      <c r="VOC96" s="167"/>
      <c r="VOD96" s="168"/>
      <c r="VOE96" s="167"/>
      <c r="VOF96" s="168"/>
      <c r="VOG96" s="167"/>
      <c r="VOH96" s="168"/>
      <c r="VOI96" s="167"/>
      <c r="VOJ96" s="168"/>
      <c r="VOK96" s="167"/>
      <c r="VOL96" s="168"/>
      <c r="VOM96" s="167"/>
      <c r="VON96" s="168"/>
      <c r="VOO96" s="167"/>
      <c r="VOP96" s="168"/>
      <c r="VOQ96" s="167"/>
      <c r="VOR96" s="168"/>
      <c r="VOS96" s="167"/>
      <c r="VOT96" s="168"/>
      <c r="VOU96" s="167"/>
      <c r="VOV96" s="168"/>
      <c r="VOW96" s="167"/>
      <c r="VOX96" s="168"/>
      <c r="VOY96" s="167"/>
      <c r="VOZ96" s="168"/>
      <c r="VPA96" s="167"/>
      <c r="VPB96" s="168"/>
      <c r="VPC96" s="167"/>
      <c r="VPD96" s="168"/>
      <c r="VPE96" s="167"/>
      <c r="VPF96" s="168"/>
      <c r="VPG96" s="167"/>
      <c r="VPH96" s="168"/>
      <c r="VPI96" s="167"/>
      <c r="VPJ96" s="168"/>
      <c r="VPK96" s="167"/>
      <c r="VPL96" s="168"/>
      <c r="VPM96" s="167"/>
      <c r="VPN96" s="168"/>
      <c r="VPO96" s="167"/>
      <c r="VPP96" s="168"/>
      <c r="VPQ96" s="167"/>
      <c r="VPR96" s="168"/>
      <c r="VPS96" s="167"/>
      <c r="VPT96" s="168"/>
      <c r="VPU96" s="167"/>
      <c r="VPV96" s="168"/>
      <c r="VPW96" s="167"/>
      <c r="VPX96" s="168"/>
      <c r="VPY96" s="167"/>
      <c r="VPZ96" s="168"/>
      <c r="VQA96" s="167"/>
      <c r="VQB96" s="168"/>
      <c r="VQC96" s="167"/>
      <c r="VQD96" s="168"/>
      <c r="VQE96" s="167"/>
      <c r="VQF96" s="168"/>
      <c r="VQG96" s="167"/>
      <c r="VQH96" s="168"/>
      <c r="VQI96" s="167"/>
      <c r="VQJ96" s="168"/>
      <c r="VQK96" s="167"/>
      <c r="VQL96" s="168"/>
      <c r="VQM96" s="167"/>
      <c r="VQN96" s="168"/>
      <c r="VQO96" s="167"/>
      <c r="VQP96" s="168"/>
      <c r="VQQ96" s="167"/>
      <c r="VQR96" s="168"/>
      <c r="VQS96" s="167"/>
      <c r="VQT96" s="168"/>
      <c r="VQU96" s="167"/>
      <c r="VQV96" s="168"/>
      <c r="VQW96" s="167"/>
      <c r="VQX96" s="168"/>
      <c r="VQY96" s="167"/>
      <c r="VQZ96" s="168"/>
      <c r="VRA96" s="167"/>
      <c r="VRB96" s="168"/>
      <c r="VRC96" s="167"/>
      <c r="VRD96" s="168"/>
      <c r="VRE96" s="167"/>
      <c r="VRF96" s="168"/>
      <c r="VRG96" s="167"/>
      <c r="VRH96" s="168"/>
      <c r="VRI96" s="167"/>
      <c r="VRJ96" s="168"/>
      <c r="VRK96" s="167"/>
      <c r="VRL96" s="168"/>
      <c r="VRM96" s="167"/>
      <c r="VRN96" s="168"/>
      <c r="VRO96" s="167"/>
      <c r="VRP96" s="168"/>
      <c r="VRQ96" s="167"/>
      <c r="VRR96" s="168"/>
      <c r="VRS96" s="167"/>
      <c r="VRT96" s="168"/>
      <c r="VRU96" s="167"/>
      <c r="VRV96" s="168"/>
      <c r="VRW96" s="167"/>
      <c r="VRX96" s="168"/>
      <c r="VRY96" s="167"/>
      <c r="VRZ96" s="168"/>
      <c r="VSA96" s="167"/>
      <c r="VSB96" s="168"/>
      <c r="VSC96" s="167"/>
      <c r="VSD96" s="168"/>
      <c r="VSE96" s="167"/>
      <c r="VSF96" s="168"/>
      <c r="VSG96" s="167"/>
      <c r="VSH96" s="168"/>
      <c r="VSI96" s="167"/>
      <c r="VSJ96" s="168"/>
      <c r="VSK96" s="167"/>
      <c r="VSL96" s="168"/>
      <c r="VSM96" s="167"/>
      <c r="VSN96" s="168"/>
      <c r="VSO96" s="167"/>
      <c r="VSP96" s="168"/>
      <c r="VSQ96" s="167"/>
      <c r="VSR96" s="168"/>
      <c r="VSS96" s="167"/>
      <c r="VST96" s="168"/>
      <c r="VSU96" s="167"/>
      <c r="VSV96" s="168"/>
      <c r="VSW96" s="167"/>
      <c r="VSX96" s="168"/>
      <c r="VSY96" s="167"/>
      <c r="VSZ96" s="168"/>
      <c r="VTA96" s="167"/>
      <c r="VTB96" s="168"/>
      <c r="VTC96" s="167"/>
      <c r="VTD96" s="168"/>
      <c r="VTE96" s="167"/>
      <c r="VTF96" s="168"/>
      <c r="VTG96" s="167"/>
      <c r="VTH96" s="168"/>
      <c r="VTI96" s="167"/>
      <c r="VTJ96" s="168"/>
      <c r="VTK96" s="167"/>
      <c r="VTL96" s="168"/>
      <c r="VTM96" s="167"/>
      <c r="VTN96" s="168"/>
      <c r="VTO96" s="167"/>
      <c r="VTP96" s="168"/>
      <c r="VTQ96" s="167"/>
      <c r="VTR96" s="168"/>
      <c r="VTS96" s="167"/>
      <c r="VTT96" s="168"/>
      <c r="VTU96" s="167"/>
      <c r="VTV96" s="168"/>
      <c r="VTW96" s="167"/>
      <c r="VTX96" s="168"/>
      <c r="VTY96" s="167"/>
      <c r="VTZ96" s="168"/>
      <c r="VUA96" s="167"/>
      <c r="VUB96" s="168"/>
      <c r="VUC96" s="167"/>
      <c r="VUD96" s="168"/>
      <c r="VUE96" s="167"/>
      <c r="VUF96" s="168"/>
      <c r="VUG96" s="167"/>
      <c r="VUH96" s="168"/>
      <c r="VUI96" s="167"/>
      <c r="VUJ96" s="168"/>
      <c r="VUK96" s="167"/>
      <c r="VUL96" s="168"/>
      <c r="VUM96" s="167"/>
      <c r="VUN96" s="168"/>
      <c r="VUO96" s="167"/>
      <c r="VUP96" s="168"/>
      <c r="VUQ96" s="167"/>
      <c r="VUR96" s="168"/>
      <c r="VUS96" s="167"/>
      <c r="VUT96" s="168"/>
      <c r="VUU96" s="167"/>
      <c r="VUV96" s="168"/>
      <c r="VUW96" s="167"/>
      <c r="VUX96" s="168"/>
      <c r="VUY96" s="167"/>
      <c r="VUZ96" s="168"/>
      <c r="VVA96" s="167"/>
      <c r="VVB96" s="168"/>
      <c r="VVC96" s="167"/>
      <c r="VVD96" s="168"/>
      <c r="VVE96" s="167"/>
      <c r="VVF96" s="168"/>
      <c r="VVG96" s="167"/>
      <c r="VVH96" s="168"/>
      <c r="VVI96" s="167"/>
      <c r="VVJ96" s="168"/>
      <c r="VVK96" s="167"/>
      <c r="VVL96" s="168"/>
      <c r="VVM96" s="167"/>
      <c r="VVN96" s="168"/>
      <c r="VVO96" s="167"/>
      <c r="VVP96" s="168"/>
      <c r="VVQ96" s="167"/>
      <c r="VVR96" s="168"/>
      <c r="VVS96" s="167"/>
      <c r="VVT96" s="168"/>
      <c r="VVU96" s="167"/>
      <c r="VVV96" s="168"/>
      <c r="VVW96" s="167"/>
      <c r="VVX96" s="168"/>
      <c r="VVY96" s="167"/>
      <c r="VVZ96" s="168"/>
      <c r="VWA96" s="167"/>
      <c r="VWB96" s="168"/>
      <c r="VWC96" s="167"/>
      <c r="VWD96" s="168"/>
      <c r="VWE96" s="167"/>
      <c r="VWF96" s="168"/>
      <c r="VWG96" s="167"/>
      <c r="VWH96" s="168"/>
      <c r="VWI96" s="167"/>
      <c r="VWJ96" s="168"/>
      <c r="VWK96" s="167"/>
      <c r="VWL96" s="168"/>
      <c r="VWM96" s="167"/>
      <c r="VWN96" s="168"/>
      <c r="VWO96" s="167"/>
      <c r="VWP96" s="168"/>
      <c r="VWQ96" s="167"/>
      <c r="VWR96" s="168"/>
      <c r="VWS96" s="167"/>
      <c r="VWT96" s="168"/>
      <c r="VWU96" s="167"/>
      <c r="VWV96" s="168"/>
      <c r="VWW96" s="167"/>
      <c r="VWX96" s="168"/>
      <c r="VWY96" s="167"/>
      <c r="VWZ96" s="168"/>
      <c r="VXA96" s="167"/>
      <c r="VXB96" s="168"/>
      <c r="VXC96" s="167"/>
      <c r="VXD96" s="168"/>
      <c r="VXE96" s="167"/>
      <c r="VXF96" s="168"/>
      <c r="VXG96" s="167"/>
      <c r="VXH96" s="168"/>
      <c r="VXI96" s="167"/>
      <c r="VXJ96" s="168"/>
      <c r="VXK96" s="167"/>
      <c r="VXL96" s="168"/>
      <c r="VXM96" s="167"/>
      <c r="VXN96" s="168"/>
      <c r="VXO96" s="167"/>
      <c r="VXP96" s="168"/>
      <c r="VXQ96" s="167"/>
      <c r="VXR96" s="168"/>
      <c r="VXS96" s="167"/>
      <c r="VXT96" s="168"/>
      <c r="VXU96" s="167"/>
      <c r="VXV96" s="168"/>
      <c r="VXW96" s="167"/>
      <c r="VXX96" s="168"/>
      <c r="VXY96" s="167"/>
      <c r="VXZ96" s="168"/>
      <c r="VYA96" s="167"/>
      <c r="VYB96" s="168"/>
      <c r="VYC96" s="167"/>
      <c r="VYD96" s="168"/>
      <c r="VYE96" s="167"/>
      <c r="VYF96" s="168"/>
      <c r="VYG96" s="167"/>
      <c r="VYH96" s="168"/>
      <c r="VYI96" s="167"/>
      <c r="VYJ96" s="168"/>
      <c r="VYK96" s="167"/>
      <c r="VYL96" s="168"/>
      <c r="VYM96" s="167"/>
      <c r="VYN96" s="168"/>
      <c r="VYO96" s="167"/>
      <c r="VYP96" s="168"/>
      <c r="VYQ96" s="167"/>
      <c r="VYR96" s="168"/>
      <c r="VYS96" s="167"/>
      <c r="VYT96" s="168"/>
      <c r="VYU96" s="167"/>
      <c r="VYV96" s="168"/>
      <c r="VYW96" s="167"/>
      <c r="VYX96" s="168"/>
      <c r="VYY96" s="167"/>
      <c r="VYZ96" s="168"/>
      <c r="VZA96" s="167"/>
      <c r="VZB96" s="168"/>
      <c r="VZC96" s="167"/>
      <c r="VZD96" s="168"/>
      <c r="VZE96" s="167"/>
      <c r="VZF96" s="168"/>
      <c r="VZG96" s="167"/>
      <c r="VZH96" s="168"/>
      <c r="VZI96" s="167"/>
      <c r="VZJ96" s="168"/>
      <c r="VZK96" s="167"/>
      <c r="VZL96" s="168"/>
      <c r="VZM96" s="167"/>
      <c r="VZN96" s="168"/>
      <c r="VZO96" s="167"/>
      <c r="VZP96" s="168"/>
      <c r="VZQ96" s="167"/>
      <c r="VZR96" s="168"/>
      <c r="VZS96" s="167"/>
      <c r="VZT96" s="168"/>
      <c r="VZU96" s="167"/>
      <c r="VZV96" s="168"/>
      <c r="VZW96" s="167"/>
      <c r="VZX96" s="168"/>
      <c r="VZY96" s="167"/>
      <c r="VZZ96" s="168"/>
      <c r="WAA96" s="167"/>
      <c r="WAB96" s="168"/>
      <c r="WAC96" s="167"/>
      <c r="WAD96" s="168"/>
      <c r="WAE96" s="167"/>
      <c r="WAF96" s="168"/>
      <c r="WAG96" s="167"/>
      <c r="WAH96" s="168"/>
      <c r="WAI96" s="167"/>
      <c r="WAJ96" s="168"/>
      <c r="WAK96" s="167"/>
      <c r="WAL96" s="168"/>
      <c r="WAM96" s="167"/>
      <c r="WAN96" s="168"/>
      <c r="WAO96" s="167"/>
      <c r="WAP96" s="168"/>
      <c r="WAQ96" s="167"/>
      <c r="WAR96" s="168"/>
      <c r="WAS96" s="167"/>
      <c r="WAT96" s="168"/>
      <c r="WAU96" s="167"/>
      <c r="WAV96" s="168"/>
      <c r="WAW96" s="167"/>
      <c r="WAX96" s="168"/>
      <c r="WAY96" s="167"/>
      <c r="WAZ96" s="168"/>
      <c r="WBA96" s="167"/>
      <c r="WBB96" s="168"/>
      <c r="WBC96" s="167"/>
      <c r="WBD96" s="168"/>
      <c r="WBE96" s="167"/>
      <c r="WBF96" s="168"/>
      <c r="WBG96" s="167"/>
      <c r="WBH96" s="168"/>
      <c r="WBI96" s="167"/>
      <c r="WBJ96" s="168"/>
      <c r="WBK96" s="167"/>
      <c r="WBL96" s="168"/>
      <c r="WBM96" s="167"/>
      <c r="WBN96" s="168"/>
      <c r="WBO96" s="167"/>
      <c r="WBP96" s="168"/>
      <c r="WBQ96" s="167"/>
      <c r="WBR96" s="168"/>
      <c r="WBS96" s="167"/>
      <c r="WBT96" s="168"/>
      <c r="WBU96" s="167"/>
      <c r="WBV96" s="168"/>
      <c r="WBW96" s="167"/>
      <c r="WBX96" s="168"/>
      <c r="WBY96" s="167"/>
      <c r="WBZ96" s="168"/>
      <c r="WCA96" s="167"/>
      <c r="WCB96" s="168"/>
      <c r="WCC96" s="167"/>
      <c r="WCD96" s="168"/>
      <c r="WCE96" s="167"/>
      <c r="WCF96" s="168"/>
      <c r="WCG96" s="167"/>
      <c r="WCH96" s="168"/>
      <c r="WCI96" s="167"/>
      <c r="WCJ96" s="168"/>
      <c r="WCK96" s="167"/>
      <c r="WCL96" s="168"/>
      <c r="WCM96" s="167"/>
      <c r="WCN96" s="168"/>
      <c r="WCO96" s="167"/>
      <c r="WCP96" s="168"/>
      <c r="WCQ96" s="167"/>
      <c r="WCR96" s="168"/>
      <c r="WCS96" s="167"/>
      <c r="WCT96" s="168"/>
      <c r="WCU96" s="167"/>
      <c r="WCV96" s="168"/>
      <c r="WCW96" s="167"/>
      <c r="WCX96" s="168"/>
      <c r="WCY96" s="167"/>
      <c r="WCZ96" s="168"/>
      <c r="WDA96" s="167"/>
      <c r="WDB96" s="168"/>
      <c r="WDC96" s="167"/>
      <c r="WDD96" s="168"/>
      <c r="WDE96" s="167"/>
      <c r="WDF96" s="168"/>
      <c r="WDG96" s="167"/>
      <c r="WDH96" s="168"/>
      <c r="WDI96" s="167"/>
      <c r="WDJ96" s="168"/>
      <c r="WDK96" s="167"/>
      <c r="WDL96" s="168"/>
      <c r="WDM96" s="167"/>
      <c r="WDN96" s="168"/>
      <c r="WDO96" s="167"/>
      <c r="WDP96" s="168"/>
      <c r="WDQ96" s="167"/>
      <c r="WDR96" s="168"/>
      <c r="WDS96" s="167"/>
      <c r="WDT96" s="168"/>
      <c r="WDU96" s="167"/>
      <c r="WDV96" s="168"/>
      <c r="WDW96" s="167"/>
      <c r="WDX96" s="168"/>
      <c r="WDY96" s="167"/>
      <c r="WDZ96" s="168"/>
      <c r="WEA96" s="167"/>
      <c r="WEB96" s="168"/>
      <c r="WEC96" s="167"/>
      <c r="WED96" s="168"/>
      <c r="WEE96" s="167"/>
      <c r="WEF96" s="168"/>
      <c r="WEG96" s="167"/>
      <c r="WEH96" s="168"/>
      <c r="WEI96" s="167"/>
      <c r="WEJ96" s="168"/>
      <c r="WEK96" s="167"/>
      <c r="WEL96" s="168"/>
      <c r="WEM96" s="167"/>
      <c r="WEN96" s="168"/>
      <c r="WEO96" s="167"/>
      <c r="WEP96" s="168"/>
      <c r="WEQ96" s="167"/>
      <c r="WER96" s="168"/>
      <c r="WES96" s="167"/>
      <c r="WET96" s="168"/>
      <c r="WEU96" s="167"/>
      <c r="WEV96" s="168"/>
      <c r="WEW96" s="167"/>
      <c r="WEX96" s="168"/>
      <c r="WEY96" s="167"/>
      <c r="WEZ96" s="168"/>
      <c r="WFA96" s="167"/>
      <c r="WFB96" s="168"/>
      <c r="WFC96" s="167"/>
      <c r="WFD96" s="168"/>
      <c r="WFE96" s="167"/>
      <c r="WFF96" s="168"/>
      <c r="WFG96" s="167"/>
      <c r="WFH96" s="168"/>
      <c r="WFI96" s="167"/>
      <c r="WFJ96" s="168"/>
      <c r="WFK96" s="167"/>
      <c r="WFL96" s="168"/>
      <c r="WFM96" s="167"/>
      <c r="WFN96" s="168"/>
      <c r="WFO96" s="167"/>
      <c r="WFP96" s="168"/>
      <c r="WFQ96" s="167"/>
      <c r="WFR96" s="168"/>
      <c r="WFS96" s="167"/>
      <c r="WFT96" s="168"/>
      <c r="WFU96" s="167"/>
      <c r="WFV96" s="168"/>
      <c r="WFW96" s="167"/>
      <c r="WFX96" s="168"/>
      <c r="WFY96" s="167"/>
      <c r="WFZ96" s="168"/>
      <c r="WGA96" s="167"/>
      <c r="WGB96" s="168"/>
      <c r="WGC96" s="167"/>
      <c r="WGD96" s="168"/>
      <c r="WGE96" s="167"/>
      <c r="WGF96" s="168"/>
      <c r="WGG96" s="167"/>
      <c r="WGH96" s="168"/>
      <c r="WGI96" s="167"/>
      <c r="WGJ96" s="168"/>
      <c r="WGK96" s="167"/>
      <c r="WGL96" s="168"/>
      <c r="WGM96" s="167"/>
      <c r="WGN96" s="168"/>
      <c r="WGO96" s="167"/>
      <c r="WGP96" s="168"/>
      <c r="WGQ96" s="167"/>
      <c r="WGR96" s="168"/>
      <c r="WGS96" s="167"/>
      <c r="WGT96" s="168"/>
      <c r="WGU96" s="167"/>
      <c r="WGV96" s="168"/>
      <c r="WGW96" s="167"/>
      <c r="WGX96" s="168"/>
      <c r="WGY96" s="167"/>
      <c r="WGZ96" s="168"/>
      <c r="WHA96" s="167"/>
      <c r="WHB96" s="168"/>
      <c r="WHC96" s="167"/>
      <c r="WHD96" s="168"/>
      <c r="WHE96" s="167"/>
      <c r="WHF96" s="168"/>
      <c r="WHG96" s="167"/>
      <c r="WHH96" s="168"/>
      <c r="WHI96" s="167"/>
      <c r="WHJ96" s="168"/>
      <c r="WHK96" s="167"/>
      <c r="WHL96" s="168"/>
      <c r="WHM96" s="167"/>
      <c r="WHN96" s="168"/>
      <c r="WHO96" s="167"/>
      <c r="WHP96" s="168"/>
      <c r="WHQ96" s="167"/>
      <c r="WHR96" s="168"/>
      <c r="WHS96" s="167"/>
      <c r="WHT96" s="168"/>
      <c r="WHU96" s="167"/>
      <c r="WHV96" s="168"/>
      <c r="WHW96" s="167"/>
      <c r="WHX96" s="168"/>
      <c r="WHY96" s="167"/>
      <c r="WHZ96" s="168"/>
      <c r="WIA96" s="167"/>
      <c r="WIB96" s="168"/>
      <c r="WIC96" s="167"/>
      <c r="WID96" s="168"/>
      <c r="WIE96" s="167"/>
      <c r="WIF96" s="168"/>
      <c r="WIG96" s="167"/>
      <c r="WIH96" s="168"/>
      <c r="WII96" s="167"/>
      <c r="WIJ96" s="168"/>
      <c r="WIK96" s="167"/>
      <c r="WIL96" s="168"/>
      <c r="WIM96" s="167"/>
      <c r="WIN96" s="168"/>
      <c r="WIO96" s="167"/>
      <c r="WIP96" s="168"/>
      <c r="WIQ96" s="167"/>
      <c r="WIR96" s="168"/>
      <c r="WIS96" s="167"/>
      <c r="WIT96" s="168"/>
      <c r="WIU96" s="167"/>
      <c r="WIV96" s="168"/>
      <c r="WIW96" s="167"/>
      <c r="WIX96" s="168"/>
      <c r="WIY96" s="167"/>
      <c r="WIZ96" s="168"/>
      <c r="WJA96" s="167"/>
      <c r="WJB96" s="168"/>
      <c r="WJC96" s="167"/>
      <c r="WJD96" s="168"/>
      <c r="WJE96" s="167"/>
      <c r="WJF96" s="168"/>
      <c r="WJG96" s="167"/>
      <c r="WJH96" s="168"/>
      <c r="WJI96" s="167"/>
      <c r="WJJ96" s="168"/>
      <c r="WJK96" s="167"/>
      <c r="WJL96" s="168"/>
      <c r="WJM96" s="167"/>
      <c r="WJN96" s="168"/>
      <c r="WJO96" s="167"/>
      <c r="WJP96" s="168"/>
      <c r="WJQ96" s="167"/>
      <c r="WJR96" s="168"/>
      <c r="WJS96" s="167"/>
      <c r="WJT96" s="168"/>
      <c r="WJU96" s="167"/>
      <c r="WJV96" s="168"/>
      <c r="WJW96" s="167"/>
      <c r="WJX96" s="168"/>
      <c r="WJY96" s="167"/>
      <c r="WJZ96" s="168"/>
      <c r="WKA96" s="167"/>
      <c r="WKB96" s="168"/>
      <c r="WKC96" s="167"/>
      <c r="WKD96" s="168"/>
      <c r="WKE96" s="167"/>
      <c r="WKF96" s="168"/>
      <c r="WKG96" s="167"/>
      <c r="WKH96" s="168"/>
      <c r="WKI96" s="167"/>
      <c r="WKJ96" s="168"/>
      <c r="WKK96" s="167"/>
      <c r="WKL96" s="168"/>
      <c r="WKM96" s="167"/>
      <c r="WKN96" s="168"/>
      <c r="WKO96" s="167"/>
      <c r="WKP96" s="168"/>
      <c r="WKQ96" s="167"/>
      <c r="WKR96" s="168"/>
      <c r="WKS96" s="167"/>
      <c r="WKT96" s="168"/>
      <c r="WKU96" s="167"/>
      <c r="WKV96" s="168"/>
      <c r="WKW96" s="167"/>
      <c r="WKX96" s="168"/>
      <c r="WKY96" s="167"/>
      <c r="WKZ96" s="168"/>
      <c r="WLA96" s="167"/>
      <c r="WLB96" s="168"/>
      <c r="WLC96" s="167"/>
      <c r="WLD96" s="168"/>
      <c r="WLE96" s="167"/>
      <c r="WLF96" s="168"/>
      <c r="WLG96" s="167"/>
      <c r="WLH96" s="168"/>
      <c r="WLI96" s="167"/>
      <c r="WLJ96" s="168"/>
      <c r="WLK96" s="167"/>
      <c r="WLL96" s="168"/>
      <c r="WLM96" s="167"/>
      <c r="WLN96" s="168"/>
      <c r="WLO96" s="167"/>
      <c r="WLP96" s="168"/>
      <c r="WLQ96" s="167"/>
      <c r="WLR96" s="168"/>
      <c r="WLS96" s="167"/>
      <c r="WLT96" s="168"/>
      <c r="WLU96" s="167"/>
      <c r="WLV96" s="168"/>
      <c r="WLW96" s="167"/>
      <c r="WLX96" s="168"/>
      <c r="WLY96" s="167"/>
      <c r="WLZ96" s="168"/>
      <c r="WMA96" s="167"/>
      <c r="WMB96" s="168"/>
      <c r="WMC96" s="167"/>
      <c r="WMD96" s="168"/>
      <c r="WME96" s="167"/>
      <c r="WMF96" s="168"/>
      <c r="WMG96" s="167"/>
      <c r="WMH96" s="168"/>
      <c r="WMI96" s="167"/>
      <c r="WMJ96" s="168"/>
      <c r="WMK96" s="167"/>
      <c r="WML96" s="168"/>
      <c r="WMM96" s="167"/>
      <c r="WMN96" s="168"/>
      <c r="WMO96" s="167"/>
      <c r="WMP96" s="168"/>
      <c r="WMQ96" s="167"/>
      <c r="WMR96" s="168"/>
      <c r="WMS96" s="167"/>
      <c r="WMT96" s="168"/>
      <c r="WMU96" s="167"/>
      <c r="WMV96" s="168"/>
      <c r="WMW96" s="167"/>
      <c r="WMX96" s="168"/>
      <c r="WMY96" s="167"/>
      <c r="WMZ96" s="168"/>
      <c r="WNA96" s="167"/>
      <c r="WNB96" s="168"/>
      <c r="WNC96" s="167"/>
      <c r="WND96" s="168"/>
      <c r="WNE96" s="167"/>
      <c r="WNF96" s="168"/>
      <c r="WNG96" s="167"/>
      <c r="WNH96" s="168"/>
      <c r="WNI96" s="167"/>
      <c r="WNJ96" s="168"/>
      <c r="WNK96" s="167"/>
      <c r="WNL96" s="168"/>
      <c r="WNM96" s="167"/>
      <c r="WNN96" s="168"/>
      <c r="WNO96" s="167"/>
      <c r="WNP96" s="168"/>
      <c r="WNQ96" s="167"/>
      <c r="WNR96" s="168"/>
      <c r="WNS96" s="167"/>
      <c r="WNT96" s="168"/>
      <c r="WNU96" s="167"/>
      <c r="WNV96" s="168"/>
      <c r="WNW96" s="167"/>
      <c r="WNX96" s="168"/>
      <c r="WNY96" s="167"/>
      <c r="WNZ96" s="168"/>
      <c r="WOA96" s="167"/>
      <c r="WOB96" s="168"/>
      <c r="WOC96" s="167"/>
      <c r="WOD96" s="168"/>
      <c r="WOE96" s="167"/>
      <c r="WOF96" s="168"/>
      <c r="WOG96" s="167"/>
      <c r="WOH96" s="168"/>
      <c r="WOI96" s="167"/>
      <c r="WOJ96" s="168"/>
      <c r="WOK96" s="167"/>
      <c r="WOL96" s="168"/>
      <c r="WOM96" s="167"/>
      <c r="WON96" s="168"/>
      <c r="WOO96" s="167"/>
      <c r="WOP96" s="168"/>
      <c r="WOQ96" s="167"/>
      <c r="WOR96" s="168"/>
      <c r="WOS96" s="167"/>
      <c r="WOT96" s="168"/>
      <c r="WOU96" s="167"/>
      <c r="WOV96" s="168"/>
      <c r="WOW96" s="167"/>
      <c r="WOX96" s="168"/>
      <c r="WOY96" s="167"/>
      <c r="WOZ96" s="168"/>
      <c r="WPA96" s="167"/>
      <c r="WPB96" s="168"/>
      <c r="WPC96" s="167"/>
      <c r="WPD96" s="168"/>
      <c r="WPE96" s="167"/>
      <c r="WPF96" s="168"/>
      <c r="WPG96" s="167"/>
      <c r="WPH96" s="168"/>
      <c r="WPI96" s="167"/>
      <c r="WPJ96" s="168"/>
      <c r="WPK96" s="167"/>
      <c r="WPL96" s="168"/>
      <c r="WPM96" s="167"/>
      <c r="WPN96" s="168"/>
      <c r="WPO96" s="167"/>
      <c r="WPP96" s="168"/>
      <c r="WPQ96" s="167"/>
      <c r="WPR96" s="168"/>
      <c r="WPS96" s="167"/>
      <c r="WPT96" s="168"/>
      <c r="WPU96" s="167"/>
      <c r="WPV96" s="168"/>
      <c r="WPW96" s="167"/>
      <c r="WPX96" s="168"/>
      <c r="WPY96" s="167"/>
      <c r="WPZ96" s="168"/>
      <c r="WQA96" s="167"/>
      <c r="WQB96" s="168"/>
      <c r="WQC96" s="167"/>
      <c r="WQD96" s="168"/>
      <c r="WQE96" s="167"/>
      <c r="WQF96" s="168"/>
      <c r="WQG96" s="167"/>
      <c r="WQH96" s="168"/>
      <c r="WQI96" s="167"/>
      <c r="WQJ96" s="168"/>
      <c r="WQK96" s="167"/>
      <c r="WQL96" s="168"/>
      <c r="WQM96" s="167"/>
      <c r="WQN96" s="168"/>
      <c r="WQO96" s="167"/>
      <c r="WQP96" s="168"/>
      <c r="WQQ96" s="167"/>
      <c r="WQR96" s="168"/>
      <c r="WQS96" s="167"/>
      <c r="WQT96" s="168"/>
      <c r="WQU96" s="167"/>
      <c r="WQV96" s="168"/>
      <c r="WQW96" s="167"/>
      <c r="WQX96" s="168"/>
      <c r="WQY96" s="167"/>
      <c r="WQZ96" s="168"/>
      <c r="WRA96" s="167"/>
      <c r="WRB96" s="168"/>
      <c r="WRC96" s="167"/>
      <c r="WRD96" s="168"/>
      <c r="WRE96" s="167"/>
      <c r="WRF96" s="168"/>
      <c r="WRG96" s="167"/>
      <c r="WRH96" s="168"/>
      <c r="WRI96" s="167"/>
      <c r="WRJ96" s="168"/>
      <c r="WRK96" s="167"/>
      <c r="WRL96" s="168"/>
      <c r="WRM96" s="167"/>
      <c r="WRN96" s="168"/>
      <c r="WRO96" s="167"/>
      <c r="WRP96" s="168"/>
      <c r="WRQ96" s="167"/>
      <c r="WRR96" s="168"/>
      <c r="WRS96" s="167"/>
      <c r="WRT96" s="168"/>
      <c r="WRU96" s="167"/>
      <c r="WRV96" s="168"/>
      <c r="WRW96" s="167"/>
      <c r="WRX96" s="168"/>
      <c r="WRY96" s="167"/>
      <c r="WRZ96" s="168"/>
      <c r="WSA96" s="167"/>
      <c r="WSB96" s="168"/>
      <c r="WSC96" s="167"/>
      <c r="WSD96" s="168"/>
      <c r="WSE96" s="167"/>
      <c r="WSF96" s="168"/>
      <c r="WSG96" s="167"/>
      <c r="WSH96" s="168"/>
      <c r="WSI96" s="167"/>
      <c r="WSJ96" s="168"/>
      <c r="WSK96" s="167"/>
      <c r="WSL96" s="168"/>
      <c r="WSM96" s="167"/>
      <c r="WSN96" s="168"/>
      <c r="WSO96" s="167"/>
      <c r="WSP96" s="168"/>
      <c r="WSQ96" s="167"/>
      <c r="WSR96" s="168"/>
      <c r="WSS96" s="167"/>
      <c r="WST96" s="168"/>
      <c r="WSU96" s="167"/>
      <c r="WSV96" s="168"/>
      <c r="WSW96" s="167"/>
      <c r="WSX96" s="168"/>
      <c r="WSY96" s="167"/>
      <c r="WSZ96" s="168"/>
      <c r="WTA96" s="167"/>
      <c r="WTB96" s="168"/>
      <c r="WTC96" s="167"/>
      <c r="WTD96" s="168"/>
      <c r="WTE96" s="167"/>
      <c r="WTF96" s="168"/>
      <c r="WTG96" s="167"/>
      <c r="WTH96" s="168"/>
      <c r="WTI96" s="167"/>
      <c r="WTJ96" s="168"/>
      <c r="WTK96" s="167"/>
      <c r="WTL96" s="168"/>
      <c r="WTM96" s="167"/>
      <c r="WTN96" s="168"/>
      <c r="WTO96" s="167"/>
      <c r="WTP96" s="168"/>
      <c r="WTQ96" s="167"/>
      <c r="WTR96" s="168"/>
      <c r="WTS96" s="167"/>
      <c r="WTT96" s="168"/>
      <c r="WTU96" s="167"/>
      <c r="WTV96" s="168"/>
      <c r="WTW96" s="167"/>
      <c r="WTX96" s="168"/>
      <c r="WTY96" s="167"/>
      <c r="WTZ96" s="168"/>
      <c r="WUA96" s="167"/>
      <c r="WUB96" s="168"/>
      <c r="WUC96" s="167"/>
      <c r="WUD96" s="168"/>
      <c r="WUE96" s="167"/>
      <c r="WUF96" s="168"/>
      <c r="WUG96" s="167"/>
      <c r="WUH96" s="168"/>
      <c r="WUI96" s="167"/>
      <c r="WUJ96" s="168"/>
      <c r="WUK96" s="167"/>
      <c r="WUL96" s="168"/>
      <c r="WUM96" s="167"/>
      <c r="WUN96" s="168"/>
      <c r="WUO96" s="167"/>
      <c r="WUP96" s="168"/>
      <c r="WUQ96" s="167"/>
      <c r="WUR96" s="168"/>
      <c r="WUS96" s="167"/>
      <c r="WUT96" s="168"/>
      <c r="WUU96" s="167"/>
      <c r="WUV96" s="168"/>
      <c r="WUW96" s="167"/>
      <c r="WUX96" s="168"/>
      <c r="WUY96" s="167"/>
      <c r="WUZ96" s="168"/>
      <c r="WVA96" s="167"/>
      <c r="WVB96" s="168"/>
      <c r="WVC96" s="167"/>
      <c r="WVD96" s="168"/>
      <c r="WVE96" s="167"/>
      <c r="WVF96" s="168"/>
      <c r="WVG96" s="167"/>
      <c r="WVH96" s="168"/>
      <c r="WVI96" s="167"/>
      <c r="WVJ96" s="168"/>
      <c r="WVK96" s="167"/>
      <c r="WVL96" s="168"/>
      <c r="WVM96" s="167"/>
      <c r="WVN96" s="168"/>
      <c r="WVO96" s="167"/>
      <c r="WVP96" s="168"/>
      <c r="WVQ96" s="167"/>
      <c r="WVR96" s="168"/>
      <c r="WVS96" s="167"/>
      <c r="WVT96" s="168"/>
      <c r="WVU96" s="167"/>
      <c r="WVV96" s="168"/>
      <c r="WVW96" s="167"/>
      <c r="WVX96" s="168"/>
      <c r="WVY96" s="167"/>
      <c r="WVZ96" s="168"/>
      <c r="WWA96" s="167"/>
      <c r="WWB96" s="168"/>
      <c r="WWC96" s="167"/>
      <c r="WWD96" s="168"/>
      <c r="WWE96" s="167"/>
      <c r="WWF96" s="168"/>
      <c r="WWG96" s="167"/>
      <c r="WWH96" s="168"/>
      <c r="WWI96" s="167"/>
      <c r="WWJ96" s="168"/>
      <c r="WWK96" s="167"/>
      <c r="WWL96" s="168"/>
      <c r="WWM96" s="167"/>
      <c r="WWN96" s="168"/>
      <c r="WWO96" s="167"/>
      <c r="WWP96" s="168"/>
      <c r="WWQ96" s="167"/>
      <c r="WWR96" s="168"/>
      <c r="WWS96" s="167"/>
      <c r="WWT96" s="168"/>
      <c r="WWU96" s="167"/>
      <c r="WWV96" s="168"/>
      <c r="WWW96" s="167"/>
      <c r="WWX96" s="168"/>
      <c r="WWY96" s="167"/>
      <c r="WWZ96" s="168"/>
      <c r="WXA96" s="167"/>
      <c r="WXB96" s="168"/>
      <c r="WXC96" s="167"/>
      <c r="WXD96" s="168"/>
      <c r="WXE96" s="167"/>
      <c r="WXF96" s="168"/>
      <c r="WXG96" s="167"/>
      <c r="WXH96" s="168"/>
      <c r="WXI96" s="167"/>
      <c r="WXJ96" s="168"/>
      <c r="WXK96" s="167"/>
      <c r="WXL96" s="168"/>
      <c r="WXM96" s="167"/>
      <c r="WXN96" s="168"/>
      <c r="WXO96" s="167"/>
      <c r="WXP96" s="168"/>
      <c r="WXQ96" s="167"/>
      <c r="WXR96" s="168"/>
      <c r="WXS96" s="167"/>
      <c r="WXT96" s="168"/>
      <c r="WXU96" s="167"/>
      <c r="WXV96" s="168"/>
      <c r="WXW96" s="167"/>
      <c r="WXX96" s="168"/>
      <c r="WXY96" s="167"/>
      <c r="WXZ96" s="168"/>
      <c r="WYA96" s="167"/>
      <c r="WYB96" s="168"/>
      <c r="WYC96" s="167"/>
      <c r="WYD96" s="168"/>
      <c r="WYE96" s="167"/>
      <c r="WYF96" s="168"/>
      <c r="WYG96" s="167"/>
      <c r="WYH96" s="168"/>
      <c r="WYI96" s="167"/>
      <c r="WYJ96" s="168"/>
      <c r="WYK96" s="167"/>
      <c r="WYL96" s="168"/>
      <c r="WYM96" s="167"/>
      <c r="WYN96" s="168"/>
      <c r="WYO96" s="167"/>
      <c r="WYP96" s="168"/>
      <c r="WYQ96" s="167"/>
      <c r="WYR96" s="168"/>
      <c r="WYS96" s="167"/>
      <c r="WYT96" s="168"/>
      <c r="WYU96" s="167"/>
      <c r="WYV96" s="168"/>
      <c r="WYW96" s="167"/>
      <c r="WYX96" s="168"/>
      <c r="WYY96" s="167"/>
      <c r="WYZ96" s="168"/>
      <c r="WZA96" s="167"/>
      <c r="WZB96" s="168"/>
      <c r="WZC96" s="167"/>
      <c r="WZD96" s="168"/>
      <c r="WZE96" s="167"/>
      <c r="WZF96" s="168"/>
      <c r="WZG96" s="167"/>
      <c r="WZH96" s="168"/>
      <c r="WZI96" s="167"/>
      <c r="WZJ96" s="168"/>
      <c r="WZK96" s="167"/>
      <c r="WZL96" s="168"/>
      <c r="WZM96" s="167"/>
      <c r="WZN96" s="168"/>
      <c r="WZO96" s="167"/>
      <c r="WZP96" s="168"/>
      <c r="WZQ96" s="167"/>
      <c r="WZR96" s="168"/>
      <c r="WZS96" s="167"/>
      <c r="WZT96" s="168"/>
      <c r="WZU96" s="167"/>
      <c r="WZV96" s="168"/>
      <c r="WZW96" s="167"/>
      <c r="WZX96" s="168"/>
      <c r="WZY96" s="167"/>
      <c r="WZZ96" s="168"/>
      <c r="XAA96" s="167"/>
      <c r="XAB96" s="168"/>
      <c r="XAC96" s="167"/>
      <c r="XAD96" s="168"/>
      <c r="XAE96" s="167"/>
      <c r="XAF96" s="168"/>
      <c r="XAG96" s="167"/>
      <c r="XAH96" s="168"/>
      <c r="XAI96" s="167"/>
      <c r="XAJ96" s="168"/>
      <c r="XAK96" s="167"/>
      <c r="XAL96" s="168"/>
      <c r="XAM96" s="167"/>
      <c r="XAN96" s="168"/>
      <c r="XAO96" s="167"/>
      <c r="XAP96" s="168"/>
      <c r="XAQ96" s="167"/>
      <c r="XAR96" s="168"/>
      <c r="XAS96" s="167"/>
      <c r="XAT96" s="168"/>
      <c r="XAU96" s="167"/>
      <c r="XAV96" s="168"/>
      <c r="XAW96" s="167"/>
      <c r="XAX96" s="168"/>
      <c r="XAY96" s="167"/>
      <c r="XAZ96" s="168"/>
      <c r="XBA96" s="167"/>
      <c r="XBB96" s="168"/>
      <c r="XBC96" s="167"/>
      <c r="XBD96" s="168"/>
      <c r="XBE96" s="167"/>
      <c r="XBF96" s="168"/>
      <c r="XBG96" s="167"/>
      <c r="XBH96" s="168"/>
      <c r="XBI96" s="167"/>
      <c r="XBJ96" s="168"/>
      <c r="XBK96" s="167"/>
      <c r="XBL96" s="168"/>
      <c r="XBM96" s="167"/>
      <c r="XBN96" s="168"/>
      <c r="XBO96" s="167"/>
      <c r="XBP96" s="168"/>
      <c r="XBQ96" s="167"/>
      <c r="XBR96" s="168"/>
      <c r="XBS96" s="167"/>
      <c r="XBT96" s="168"/>
      <c r="XBU96" s="167"/>
      <c r="XBV96" s="168"/>
      <c r="XBW96" s="167"/>
      <c r="XBX96" s="168"/>
      <c r="XBY96" s="167"/>
      <c r="XBZ96" s="168"/>
      <c r="XCA96" s="167"/>
      <c r="XCB96" s="168"/>
      <c r="XCC96" s="167"/>
      <c r="XCD96" s="168"/>
      <c r="XCE96" s="167"/>
      <c r="XCF96" s="168"/>
      <c r="XCG96" s="167"/>
      <c r="XCH96" s="168"/>
      <c r="XCI96" s="167"/>
      <c r="XCJ96" s="168"/>
      <c r="XCK96" s="167"/>
      <c r="XCL96" s="168"/>
      <c r="XCM96" s="167"/>
      <c r="XCN96" s="168"/>
      <c r="XCO96" s="167"/>
      <c r="XCP96" s="168"/>
      <c r="XCQ96" s="167"/>
      <c r="XCR96" s="168"/>
      <c r="XCS96" s="167"/>
      <c r="XCT96" s="168"/>
      <c r="XCU96" s="167"/>
      <c r="XCV96" s="168"/>
      <c r="XCW96" s="167"/>
      <c r="XCX96" s="168"/>
      <c r="XCY96" s="167"/>
      <c r="XCZ96" s="168"/>
      <c r="XDA96" s="167"/>
      <c r="XDB96" s="168"/>
      <c r="XDC96" s="167"/>
      <c r="XDD96" s="168"/>
      <c r="XDE96" s="167"/>
      <c r="XDF96" s="168"/>
      <c r="XDG96" s="167"/>
      <c r="XDH96" s="168"/>
      <c r="XDI96" s="167"/>
      <c r="XDJ96" s="168"/>
      <c r="XDK96" s="167"/>
      <c r="XDL96" s="168"/>
      <c r="XDM96" s="167"/>
      <c r="XDN96" s="168"/>
      <c r="XDO96" s="167"/>
      <c r="XDP96" s="168"/>
      <c r="XDQ96" s="167"/>
      <c r="XDR96" s="168"/>
      <c r="XDS96" s="167"/>
      <c r="XDT96" s="168"/>
      <c r="XDU96" s="167"/>
      <c r="XDV96" s="168"/>
      <c r="XDW96" s="167"/>
      <c r="XDX96" s="168"/>
      <c r="XDY96" s="167"/>
      <c r="XDZ96" s="168"/>
      <c r="XEA96" s="167"/>
      <c r="XEB96" s="168"/>
      <c r="XEC96" s="167"/>
      <c r="XED96" s="168"/>
      <c r="XEE96" s="167"/>
      <c r="XEF96" s="168"/>
      <c r="XEG96" s="167"/>
      <c r="XEH96" s="168"/>
      <c r="XEI96" s="167"/>
      <c r="XEJ96" s="168"/>
      <c r="XEK96" s="167"/>
      <c r="XEL96" s="168"/>
      <c r="XEM96" s="167"/>
      <c r="XEN96" s="168"/>
      <c r="XEO96" s="167"/>
      <c r="XEP96" s="168"/>
      <c r="XEQ96" s="167"/>
      <c r="XER96" s="168"/>
      <c r="XES96" s="167"/>
      <c r="XET96" s="168"/>
      <c r="XEU96" s="167"/>
      <c r="XEV96" s="168"/>
      <c r="XEW96" s="167"/>
      <c r="XEX96" s="168"/>
      <c r="XEY96" s="167"/>
      <c r="XEZ96" s="168"/>
      <c r="XFA96" s="167"/>
      <c r="XFB96" s="168"/>
      <c r="XFC96" s="167"/>
      <c r="XFD96" s="168"/>
    </row>
    <row r="97" spans="1:16384" s="105" customFormat="1" ht="65.150000000000006" customHeight="1">
      <c r="A97"/>
      <c r="B97"/>
      <c r="C97"/>
      <c r="D97"/>
      <c r="E97" s="107"/>
      <c r="F97"/>
      <c r="G97" s="107"/>
      <c r="H97" s="107"/>
      <c r="I97" s="108"/>
      <c r="J97" s="108"/>
      <c r="K97" s="107"/>
      <c r="L97" s="107"/>
      <c r="M97" s="107"/>
      <c r="N97" s="107"/>
      <c r="O97" s="107"/>
      <c r="P97" s="107"/>
      <c r="Q97" s="107"/>
      <c r="R97" s="107"/>
      <c r="S97" s="107"/>
      <c r="T97" s="107"/>
      <c r="U97" s="107"/>
      <c r="V97" s="107"/>
      <c r="W97" s="107"/>
      <c r="X97" s="107"/>
      <c r="Y97" s="107"/>
      <c r="Z97" s="107"/>
      <c r="AA97" s="109"/>
      <c r="AB97"/>
      <c r="AC97" s="167"/>
      <c r="AD97" s="168"/>
      <c r="AE97" s="167"/>
      <c r="AF97" s="168"/>
      <c r="AG97" s="167"/>
      <c r="AH97" s="168"/>
      <c r="AI97" s="167"/>
      <c r="AJ97" s="168"/>
      <c r="AK97" s="167"/>
      <c r="AL97" s="168"/>
      <c r="AM97" s="167"/>
      <c r="AN97" s="168"/>
      <c r="AO97" s="167"/>
      <c r="AP97" s="168"/>
      <c r="AQ97" s="167"/>
      <c r="AR97" s="168"/>
      <c r="AS97" s="167"/>
      <c r="AT97" s="168"/>
      <c r="AU97" s="167"/>
      <c r="AV97" s="168"/>
      <c r="AW97" s="167"/>
      <c r="AX97" s="168"/>
      <c r="AY97" s="167"/>
      <c r="AZ97" s="168"/>
      <c r="BA97" s="167"/>
      <c r="BB97" s="168"/>
      <c r="BC97" s="167"/>
      <c r="BD97" s="168"/>
      <c r="BE97" s="167"/>
      <c r="BF97" s="168"/>
      <c r="BG97" s="167"/>
      <c r="BH97" s="168"/>
      <c r="BI97" s="167"/>
      <c r="BJ97" s="168"/>
      <c r="BK97" s="167"/>
      <c r="BL97" s="168"/>
      <c r="BM97" s="167"/>
      <c r="BN97" s="168"/>
      <c r="BO97" s="167"/>
      <c r="BP97" s="168"/>
      <c r="BQ97" s="167"/>
      <c r="BR97" s="168"/>
      <c r="BS97" s="167"/>
      <c r="BT97" s="168"/>
      <c r="BU97" s="167"/>
      <c r="BV97" s="168"/>
      <c r="BW97" s="167"/>
      <c r="BX97" s="168"/>
      <c r="BY97" s="167"/>
      <c r="BZ97" s="168"/>
      <c r="CA97" s="167"/>
      <c r="CB97" s="168"/>
      <c r="CC97" s="167"/>
      <c r="CD97" s="168"/>
      <c r="CE97" s="167"/>
      <c r="CF97" s="168"/>
      <c r="CG97" s="167"/>
      <c r="CH97" s="168"/>
      <c r="CI97" s="167"/>
      <c r="CJ97" s="168"/>
      <c r="CK97" s="167"/>
      <c r="CL97" s="168"/>
      <c r="CM97" s="167"/>
      <c r="CN97" s="168"/>
      <c r="CO97" s="167"/>
      <c r="CP97" s="168"/>
      <c r="CQ97" s="167"/>
      <c r="CR97" s="168"/>
      <c r="CS97" s="167"/>
      <c r="CT97" s="168"/>
      <c r="CU97" s="167"/>
      <c r="CV97" s="168"/>
      <c r="CW97" s="167"/>
      <c r="CX97" s="168"/>
      <c r="CY97" s="167"/>
      <c r="CZ97" s="168"/>
      <c r="DA97" s="167"/>
      <c r="DB97" s="168"/>
      <c r="DC97" s="167"/>
      <c r="DD97" s="168"/>
      <c r="DE97" s="167"/>
      <c r="DF97" s="168"/>
      <c r="DG97" s="167"/>
      <c r="DH97" s="168"/>
      <c r="DI97" s="167"/>
      <c r="DJ97" s="168"/>
      <c r="DK97" s="167"/>
      <c r="DL97" s="168"/>
      <c r="DM97" s="167"/>
      <c r="DN97" s="168"/>
      <c r="DO97" s="167"/>
      <c r="DP97" s="168"/>
      <c r="DQ97" s="167"/>
      <c r="DR97" s="168"/>
      <c r="DS97" s="167"/>
      <c r="DT97" s="168"/>
      <c r="DU97" s="167"/>
      <c r="DV97" s="168"/>
      <c r="DW97" s="167"/>
      <c r="DX97" s="168"/>
      <c r="DY97" s="167"/>
      <c r="DZ97" s="168"/>
      <c r="EA97" s="167"/>
      <c r="EB97" s="168"/>
      <c r="EC97" s="167"/>
      <c r="ED97" s="168"/>
      <c r="EE97" s="167"/>
      <c r="EF97" s="168"/>
      <c r="EG97" s="167"/>
      <c r="EH97" s="168"/>
      <c r="EI97" s="167"/>
      <c r="EJ97" s="168"/>
      <c r="EK97" s="167"/>
      <c r="EL97" s="168"/>
      <c r="EM97" s="167"/>
      <c r="EN97" s="168"/>
      <c r="EO97" s="167"/>
      <c r="EP97" s="168"/>
      <c r="EQ97" s="167"/>
      <c r="ER97" s="168"/>
      <c r="ES97" s="167"/>
      <c r="ET97" s="168"/>
      <c r="EU97" s="167"/>
      <c r="EV97" s="168"/>
      <c r="EW97" s="167"/>
      <c r="EX97" s="168"/>
      <c r="EY97" s="167"/>
      <c r="EZ97" s="168"/>
      <c r="FA97" s="167"/>
      <c r="FB97" s="168"/>
      <c r="FC97" s="167"/>
      <c r="FD97" s="168"/>
      <c r="FE97" s="167"/>
      <c r="FF97" s="168"/>
      <c r="FG97" s="167"/>
      <c r="FH97" s="168"/>
      <c r="FI97" s="167"/>
      <c r="FJ97" s="168"/>
      <c r="FK97" s="167"/>
      <c r="FL97" s="168"/>
      <c r="FM97" s="167"/>
      <c r="FN97" s="168"/>
      <c r="FO97" s="167"/>
      <c r="FP97" s="168"/>
      <c r="FQ97" s="167"/>
      <c r="FR97" s="168"/>
      <c r="FS97" s="167"/>
      <c r="FT97" s="168"/>
      <c r="FU97" s="167"/>
      <c r="FV97" s="168"/>
      <c r="FW97" s="167"/>
      <c r="FX97" s="168"/>
      <c r="FY97" s="167"/>
      <c r="FZ97" s="168"/>
      <c r="GA97" s="167"/>
      <c r="GB97" s="168"/>
      <c r="GC97" s="167"/>
      <c r="GD97" s="168"/>
      <c r="GE97" s="167"/>
      <c r="GF97" s="168"/>
      <c r="GG97" s="167"/>
      <c r="GH97" s="168"/>
      <c r="GI97" s="167"/>
      <c r="GJ97" s="168"/>
      <c r="GK97" s="167"/>
      <c r="GL97" s="168"/>
      <c r="GM97" s="167"/>
      <c r="GN97" s="168"/>
      <c r="GO97" s="167"/>
      <c r="GP97" s="168"/>
      <c r="GQ97" s="167"/>
      <c r="GR97" s="168"/>
      <c r="GS97" s="167"/>
      <c r="GT97" s="168"/>
      <c r="GU97" s="167"/>
      <c r="GV97" s="168"/>
      <c r="GW97" s="167"/>
      <c r="GX97" s="168"/>
      <c r="GY97" s="167"/>
      <c r="GZ97" s="168"/>
      <c r="HA97" s="167"/>
      <c r="HB97" s="168"/>
      <c r="HC97" s="167"/>
      <c r="HD97" s="168"/>
      <c r="HE97" s="167"/>
      <c r="HF97" s="168"/>
      <c r="HG97" s="167"/>
      <c r="HH97" s="168"/>
      <c r="HI97" s="167"/>
      <c r="HJ97" s="168"/>
      <c r="HK97" s="167"/>
      <c r="HL97" s="168"/>
      <c r="HM97" s="167"/>
      <c r="HN97" s="168"/>
      <c r="HO97" s="167"/>
      <c r="HP97" s="168"/>
      <c r="HQ97" s="167"/>
      <c r="HR97" s="168"/>
      <c r="HS97" s="167"/>
      <c r="HT97" s="168"/>
      <c r="HU97" s="167"/>
      <c r="HV97" s="168"/>
      <c r="HW97" s="167"/>
      <c r="HX97" s="168"/>
      <c r="HY97" s="167"/>
      <c r="HZ97" s="168"/>
      <c r="IA97" s="167"/>
      <c r="IB97" s="168"/>
      <c r="IC97" s="167"/>
      <c r="ID97" s="168"/>
      <c r="IE97" s="167"/>
      <c r="IF97" s="168"/>
      <c r="IG97" s="167"/>
      <c r="IH97" s="168"/>
      <c r="II97" s="167"/>
      <c r="IJ97" s="168"/>
      <c r="IK97" s="167"/>
      <c r="IL97" s="168"/>
      <c r="IM97" s="167"/>
      <c r="IN97" s="168"/>
      <c r="IO97" s="167"/>
      <c r="IP97" s="168"/>
      <c r="IQ97" s="167"/>
      <c r="IR97" s="168"/>
      <c r="IS97" s="167"/>
      <c r="IT97" s="168"/>
      <c r="IU97" s="167"/>
      <c r="IV97" s="168"/>
      <c r="IW97" s="167"/>
      <c r="IX97" s="168"/>
      <c r="IY97" s="167"/>
      <c r="IZ97" s="168"/>
      <c r="JA97" s="167"/>
      <c r="JB97" s="168"/>
      <c r="JC97" s="167"/>
      <c r="JD97" s="168"/>
      <c r="JE97" s="167"/>
      <c r="JF97" s="168"/>
      <c r="JG97" s="167"/>
      <c r="JH97" s="168"/>
      <c r="JI97" s="167"/>
      <c r="JJ97" s="168"/>
      <c r="JK97" s="167"/>
      <c r="JL97" s="168"/>
      <c r="JM97" s="167"/>
      <c r="JN97" s="168"/>
      <c r="JO97" s="167"/>
      <c r="JP97" s="168"/>
      <c r="JQ97" s="167"/>
      <c r="JR97" s="168"/>
      <c r="JS97" s="167"/>
      <c r="JT97" s="168"/>
      <c r="JU97" s="167"/>
      <c r="JV97" s="168"/>
      <c r="JW97" s="167"/>
      <c r="JX97" s="168"/>
      <c r="JY97" s="167"/>
      <c r="JZ97" s="168"/>
      <c r="KA97" s="167"/>
      <c r="KB97" s="168"/>
      <c r="KC97" s="167"/>
      <c r="KD97" s="168"/>
      <c r="KE97" s="167"/>
      <c r="KF97" s="168"/>
      <c r="KG97" s="167"/>
      <c r="KH97" s="168"/>
      <c r="KI97" s="167"/>
      <c r="KJ97" s="168"/>
      <c r="KK97" s="167"/>
      <c r="KL97" s="168"/>
      <c r="KM97" s="167"/>
      <c r="KN97" s="168"/>
      <c r="KO97" s="167"/>
      <c r="KP97" s="168"/>
      <c r="KQ97" s="167"/>
      <c r="KR97" s="168"/>
      <c r="KS97" s="167"/>
      <c r="KT97" s="168"/>
      <c r="KU97" s="167"/>
      <c r="KV97" s="168"/>
      <c r="KW97" s="167"/>
      <c r="KX97" s="168"/>
      <c r="KY97" s="167"/>
      <c r="KZ97" s="168"/>
      <c r="LA97" s="167"/>
      <c r="LB97" s="168"/>
      <c r="LC97" s="167"/>
      <c r="LD97" s="168"/>
      <c r="LE97" s="167"/>
      <c r="LF97" s="168"/>
      <c r="LG97" s="167"/>
      <c r="LH97" s="168"/>
      <c r="LI97" s="167"/>
      <c r="LJ97" s="168"/>
      <c r="LK97" s="167"/>
      <c r="LL97" s="168"/>
      <c r="LM97" s="167"/>
      <c r="LN97" s="168"/>
      <c r="LO97" s="167"/>
      <c r="LP97" s="168"/>
      <c r="LQ97" s="167"/>
      <c r="LR97" s="168"/>
      <c r="LS97" s="167"/>
      <c r="LT97" s="168"/>
      <c r="LU97" s="167"/>
      <c r="LV97" s="168"/>
      <c r="LW97" s="167"/>
      <c r="LX97" s="168"/>
      <c r="LY97" s="167"/>
      <c r="LZ97" s="168"/>
      <c r="MA97" s="167"/>
      <c r="MB97" s="168"/>
      <c r="MC97" s="167"/>
      <c r="MD97" s="168"/>
      <c r="ME97" s="167"/>
      <c r="MF97" s="168"/>
      <c r="MG97" s="167"/>
      <c r="MH97" s="168"/>
      <c r="MI97" s="167"/>
      <c r="MJ97" s="168"/>
      <c r="MK97" s="167"/>
      <c r="ML97" s="168"/>
      <c r="MM97" s="167"/>
      <c r="MN97" s="168"/>
      <c r="MO97" s="167"/>
      <c r="MP97" s="168"/>
      <c r="MQ97" s="167"/>
      <c r="MR97" s="168"/>
      <c r="MS97" s="167"/>
      <c r="MT97" s="168"/>
      <c r="MU97" s="167"/>
      <c r="MV97" s="168"/>
      <c r="MW97" s="167"/>
      <c r="MX97" s="168"/>
      <c r="MY97" s="167"/>
      <c r="MZ97" s="168"/>
      <c r="NA97" s="167"/>
      <c r="NB97" s="168"/>
      <c r="NC97" s="167"/>
      <c r="ND97" s="168"/>
      <c r="NE97" s="167"/>
      <c r="NF97" s="168"/>
      <c r="NG97" s="167"/>
      <c r="NH97" s="168"/>
      <c r="NI97" s="167"/>
      <c r="NJ97" s="168"/>
      <c r="NK97" s="167"/>
      <c r="NL97" s="168"/>
      <c r="NM97" s="167"/>
      <c r="NN97" s="168"/>
      <c r="NO97" s="167"/>
      <c r="NP97" s="168"/>
      <c r="NQ97" s="167"/>
      <c r="NR97" s="168"/>
      <c r="NS97" s="167"/>
      <c r="NT97" s="168"/>
      <c r="NU97" s="167"/>
      <c r="NV97" s="168"/>
      <c r="NW97" s="167"/>
      <c r="NX97" s="168"/>
      <c r="NY97" s="167"/>
      <c r="NZ97" s="168"/>
      <c r="OA97" s="167"/>
      <c r="OB97" s="168"/>
      <c r="OC97" s="167"/>
      <c r="OD97" s="168"/>
      <c r="OE97" s="167"/>
      <c r="OF97" s="168"/>
      <c r="OG97" s="167"/>
      <c r="OH97" s="168"/>
      <c r="OI97" s="167"/>
      <c r="OJ97" s="168"/>
      <c r="OK97" s="167"/>
      <c r="OL97" s="168"/>
      <c r="OM97" s="167"/>
      <c r="ON97" s="168"/>
      <c r="OO97" s="167"/>
      <c r="OP97" s="168"/>
      <c r="OQ97" s="167"/>
      <c r="OR97" s="168"/>
      <c r="OS97" s="167"/>
      <c r="OT97" s="168"/>
      <c r="OU97" s="167"/>
      <c r="OV97" s="168"/>
      <c r="OW97" s="167"/>
      <c r="OX97" s="168"/>
      <c r="OY97" s="167"/>
      <c r="OZ97" s="168"/>
      <c r="PA97" s="167"/>
      <c r="PB97" s="168"/>
      <c r="PC97" s="167"/>
      <c r="PD97" s="168"/>
      <c r="PE97" s="167"/>
      <c r="PF97" s="168"/>
      <c r="PG97" s="167"/>
      <c r="PH97" s="168"/>
      <c r="PI97" s="167"/>
      <c r="PJ97" s="168"/>
      <c r="PK97" s="167"/>
      <c r="PL97" s="168"/>
      <c r="PM97" s="167"/>
      <c r="PN97" s="168"/>
      <c r="PO97" s="167"/>
      <c r="PP97" s="168"/>
      <c r="PQ97" s="167"/>
      <c r="PR97" s="168"/>
      <c r="PS97" s="167"/>
      <c r="PT97" s="168"/>
      <c r="PU97" s="167"/>
      <c r="PV97" s="168"/>
      <c r="PW97" s="167"/>
      <c r="PX97" s="168"/>
      <c r="PY97" s="167"/>
      <c r="PZ97" s="168"/>
      <c r="QA97" s="167"/>
      <c r="QB97" s="168"/>
      <c r="QC97" s="167"/>
      <c r="QD97" s="168"/>
      <c r="QE97" s="167"/>
      <c r="QF97" s="168"/>
      <c r="QG97" s="167"/>
      <c r="QH97" s="168"/>
      <c r="QI97" s="167"/>
      <c r="QJ97" s="168"/>
      <c r="QK97" s="167"/>
      <c r="QL97" s="168"/>
      <c r="QM97" s="167"/>
      <c r="QN97" s="168"/>
      <c r="QO97" s="167"/>
      <c r="QP97" s="168"/>
      <c r="QQ97" s="167"/>
      <c r="QR97" s="168"/>
      <c r="QS97" s="167"/>
      <c r="QT97" s="168"/>
      <c r="QU97" s="167"/>
      <c r="QV97" s="168"/>
      <c r="QW97" s="167"/>
      <c r="QX97" s="168"/>
      <c r="QY97" s="167"/>
      <c r="QZ97" s="168"/>
      <c r="RA97" s="167"/>
      <c r="RB97" s="168"/>
      <c r="RC97" s="167"/>
      <c r="RD97" s="168"/>
      <c r="RE97" s="167"/>
      <c r="RF97" s="168"/>
      <c r="RG97" s="167"/>
      <c r="RH97" s="168"/>
      <c r="RI97" s="167"/>
      <c r="RJ97" s="168"/>
      <c r="RK97" s="167"/>
      <c r="RL97" s="168"/>
      <c r="RM97" s="167"/>
      <c r="RN97" s="168"/>
      <c r="RO97" s="167"/>
      <c r="RP97" s="168"/>
      <c r="RQ97" s="167"/>
      <c r="RR97" s="168"/>
      <c r="RS97" s="167"/>
      <c r="RT97" s="168"/>
      <c r="RU97" s="167"/>
      <c r="RV97" s="168"/>
      <c r="RW97" s="167"/>
      <c r="RX97" s="168"/>
      <c r="RY97" s="167"/>
      <c r="RZ97" s="168"/>
      <c r="SA97" s="167"/>
      <c r="SB97" s="168"/>
      <c r="SC97" s="167"/>
      <c r="SD97" s="168"/>
      <c r="SE97" s="167"/>
      <c r="SF97" s="168"/>
      <c r="SG97" s="167"/>
      <c r="SH97" s="168"/>
      <c r="SI97" s="167"/>
      <c r="SJ97" s="168"/>
      <c r="SK97" s="167"/>
      <c r="SL97" s="168"/>
      <c r="SM97" s="167"/>
      <c r="SN97" s="168"/>
      <c r="SO97" s="167"/>
      <c r="SP97" s="168"/>
      <c r="SQ97" s="167"/>
      <c r="SR97" s="168"/>
      <c r="SS97" s="167"/>
      <c r="ST97" s="168"/>
      <c r="SU97" s="167"/>
      <c r="SV97" s="168"/>
      <c r="SW97" s="167"/>
      <c r="SX97" s="168"/>
      <c r="SY97" s="167"/>
      <c r="SZ97" s="168"/>
      <c r="TA97" s="167"/>
      <c r="TB97" s="168"/>
      <c r="TC97" s="167"/>
      <c r="TD97" s="168"/>
      <c r="TE97" s="167"/>
      <c r="TF97" s="168"/>
      <c r="TG97" s="167"/>
      <c r="TH97" s="168"/>
      <c r="TI97" s="167"/>
      <c r="TJ97" s="168"/>
      <c r="TK97" s="167"/>
      <c r="TL97" s="168"/>
      <c r="TM97" s="167"/>
      <c r="TN97" s="168"/>
      <c r="TO97" s="167"/>
      <c r="TP97" s="168"/>
      <c r="TQ97" s="167"/>
      <c r="TR97" s="168"/>
      <c r="TS97" s="167"/>
      <c r="TT97" s="168"/>
      <c r="TU97" s="167"/>
      <c r="TV97" s="168"/>
      <c r="TW97" s="167"/>
      <c r="TX97" s="168"/>
      <c r="TY97" s="167"/>
      <c r="TZ97" s="168"/>
      <c r="UA97" s="167"/>
      <c r="UB97" s="168"/>
      <c r="UC97" s="167"/>
      <c r="UD97" s="168"/>
      <c r="UE97" s="167"/>
      <c r="UF97" s="168"/>
      <c r="UG97" s="167"/>
      <c r="UH97" s="168"/>
      <c r="UI97" s="167"/>
      <c r="UJ97" s="168"/>
      <c r="UK97" s="167"/>
      <c r="UL97" s="168"/>
      <c r="UM97" s="167"/>
      <c r="UN97" s="168"/>
      <c r="UO97" s="167"/>
      <c r="UP97" s="168"/>
      <c r="UQ97" s="167"/>
      <c r="UR97" s="168"/>
      <c r="US97" s="167"/>
      <c r="UT97" s="168"/>
      <c r="UU97" s="167"/>
      <c r="UV97" s="168"/>
      <c r="UW97" s="167"/>
      <c r="UX97" s="168"/>
      <c r="UY97" s="167"/>
      <c r="UZ97" s="168"/>
      <c r="VA97" s="167"/>
      <c r="VB97" s="168"/>
      <c r="VC97" s="167"/>
      <c r="VD97" s="168"/>
      <c r="VE97" s="167"/>
      <c r="VF97" s="168"/>
      <c r="VG97" s="167"/>
      <c r="VH97" s="168"/>
      <c r="VI97" s="167"/>
      <c r="VJ97" s="168"/>
      <c r="VK97" s="167"/>
      <c r="VL97" s="168"/>
      <c r="VM97" s="167"/>
      <c r="VN97" s="168"/>
      <c r="VO97" s="167"/>
      <c r="VP97" s="168"/>
      <c r="VQ97" s="167"/>
      <c r="VR97" s="168"/>
      <c r="VS97" s="167"/>
      <c r="VT97" s="168"/>
      <c r="VU97" s="167"/>
      <c r="VV97" s="168"/>
      <c r="VW97" s="167"/>
      <c r="VX97" s="168"/>
      <c r="VY97" s="167"/>
      <c r="VZ97" s="168"/>
      <c r="WA97" s="167"/>
      <c r="WB97" s="168"/>
      <c r="WC97" s="167"/>
      <c r="WD97" s="168"/>
      <c r="WE97" s="167"/>
      <c r="WF97" s="168"/>
      <c r="WG97" s="167"/>
      <c r="WH97" s="168"/>
      <c r="WI97" s="167"/>
      <c r="WJ97" s="168"/>
      <c r="WK97" s="167"/>
      <c r="WL97" s="168"/>
      <c r="WM97" s="167"/>
      <c r="WN97" s="168"/>
      <c r="WO97" s="167"/>
      <c r="WP97" s="168"/>
      <c r="WQ97" s="167"/>
      <c r="WR97" s="168"/>
      <c r="WS97" s="167"/>
      <c r="WT97" s="168"/>
      <c r="WU97" s="167"/>
      <c r="WV97" s="168"/>
      <c r="WW97" s="167"/>
      <c r="WX97" s="168"/>
      <c r="WY97" s="167"/>
      <c r="WZ97" s="168"/>
      <c r="XA97" s="167"/>
      <c r="XB97" s="168"/>
      <c r="XC97" s="167"/>
      <c r="XD97" s="168"/>
      <c r="XE97" s="167"/>
      <c r="XF97" s="168"/>
      <c r="XG97" s="167"/>
      <c r="XH97" s="168"/>
      <c r="XI97" s="167"/>
      <c r="XJ97" s="168"/>
      <c r="XK97" s="167"/>
      <c r="XL97" s="168"/>
      <c r="XM97" s="167"/>
      <c r="XN97" s="168"/>
      <c r="XO97" s="167"/>
      <c r="XP97" s="168"/>
      <c r="XQ97" s="167"/>
      <c r="XR97" s="168"/>
      <c r="XS97" s="167"/>
      <c r="XT97" s="168"/>
      <c r="XU97" s="167"/>
      <c r="XV97" s="168"/>
      <c r="XW97" s="167"/>
      <c r="XX97" s="168"/>
      <c r="XY97" s="167"/>
      <c r="XZ97" s="168"/>
      <c r="YA97" s="167"/>
      <c r="YB97" s="168"/>
      <c r="YC97" s="167"/>
      <c r="YD97" s="168"/>
      <c r="YE97" s="167"/>
      <c r="YF97" s="168"/>
      <c r="YG97" s="167"/>
      <c r="YH97" s="168"/>
      <c r="YI97" s="167"/>
      <c r="YJ97" s="168"/>
      <c r="YK97" s="167"/>
      <c r="YL97" s="168"/>
      <c r="YM97" s="167"/>
      <c r="YN97" s="168"/>
      <c r="YO97" s="167"/>
      <c r="YP97" s="168"/>
      <c r="YQ97" s="167"/>
      <c r="YR97" s="168"/>
      <c r="YS97" s="167"/>
      <c r="YT97" s="168"/>
      <c r="YU97" s="167"/>
      <c r="YV97" s="168"/>
      <c r="YW97" s="167"/>
      <c r="YX97" s="168"/>
      <c r="YY97" s="167"/>
      <c r="YZ97" s="168"/>
      <c r="ZA97" s="167"/>
      <c r="ZB97" s="168"/>
      <c r="ZC97" s="167"/>
      <c r="ZD97" s="168"/>
      <c r="ZE97" s="167"/>
      <c r="ZF97" s="168"/>
      <c r="ZG97" s="167"/>
      <c r="ZH97" s="168"/>
      <c r="ZI97" s="167"/>
      <c r="ZJ97" s="168"/>
      <c r="ZK97" s="167"/>
      <c r="ZL97" s="168"/>
      <c r="ZM97" s="167"/>
      <c r="ZN97" s="168"/>
      <c r="ZO97" s="167"/>
      <c r="ZP97" s="168"/>
      <c r="ZQ97" s="167"/>
      <c r="ZR97" s="168"/>
      <c r="ZS97" s="167"/>
      <c r="ZT97" s="168"/>
      <c r="ZU97" s="167"/>
      <c r="ZV97" s="168"/>
      <c r="ZW97" s="167"/>
      <c r="ZX97" s="168"/>
      <c r="ZY97" s="167"/>
      <c r="ZZ97" s="168"/>
      <c r="AAA97" s="167"/>
      <c r="AAB97" s="168"/>
      <c r="AAC97" s="167"/>
      <c r="AAD97" s="168"/>
      <c r="AAE97" s="167"/>
      <c r="AAF97" s="168"/>
      <c r="AAG97" s="167"/>
      <c r="AAH97" s="168"/>
      <c r="AAI97" s="167"/>
      <c r="AAJ97" s="168"/>
      <c r="AAK97" s="167"/>
      <c r="AAL97" s="168"/>
      <c r="AAM97" s="167"/>
      <c r="AAN97" s="168"/>
      <c r="AAO97" s="167"/>
      <c r="AAP97" s="168"/>
      <c r="AAQ97" s="167"/>
      <c r="AAR97" s="168"/>
      <c r="AAS97" s="167"/>
      <c r="AAT97" s="168"/>
      <c r="AAU97" s="167"/>
      <c r="AAV97" s="168"/>
      <c r="AAW97" s="167"/>
      <c r="AAX97" s="168"/>
      <c r="AAY97" s="167"/>
      <c r="AAZ97" s="168"/>
      <c r="ABA97" s="167"/>
      <c r="ABB97" s="168"/>
      <c r="ABC97" s="167"/>
      <c r="ABD97" s="168"/>
      <c r="ABE97" s="167"/>
      <c r="ABF97" s="168"/>
      <c r="ABG97" s="167"/>
      <c r="ABH97" s="168"/>
      <c r="ABI97" s="167"/>
      <c r="ABJ97" s="168"/>
      <c r="ABK97" s="167"/>
      <c r="ABL97" s="168"/>
      <c r="ABM97" s="167"/>
      <c r="ABN97" s="168"/>
      <c r="ABO97" s="167"/>
      <c r="ABP97" s="168"/>
      <c r="ABQ97" s="167"/>
      <c r="ABR97" s="168"/>
      <c r="ABS97" s="167"/>
      <c r="ABT97" s="168"/>
      <c r="ABU97" s="167"/>
      <c r="ABV97" s="168"/>
      <c r="ABW97" s="167"/>
      <c r="ABX97" s="168"/>
      <c r="ABY97" s="167"/>
      <c r="ABZ97" s="168"/>
      <c r="ACA97" s="167"/>
      <c r="ACB97" s="168"/>
      <c r="ACC97" s="167"/>
      <c r="ACD97" s="168"/>
      <c r="ACE97" s="167"/>
      <c r="ACF97" s="168"/>
      <c r="ACG97" s="167"/>
      <c r="ACH97" s="168"/>
      <c r="ACI97" s="167"/>
      <c r="ACJ97" s="168"/>
      <c r="ACK97" s="167"/>
      <c r="ACL97" s="168"/>
      <c r="ACM97" s="167"/>
      <c r="ACN97" s="168"/>
      <c r="ACO97" s="167"/>
      <c r="ACP97" s="168"/>
      <c r="ACQ97" s="167"/>
      <c r="ACR97" s="168"/>
      <c r="ACS97" s="167"/>
      <c r="ACT97" s="168"/>
      <c r="ACU97" s="167"/>
      <c r="ACV97" s="168"/>
      <c r="ACW97" s="167"/>
      <c r="ACX97" s="168"/>
      <c r="ACY97" s="167"/>
      <c r="ACZ97" s="168"/>
      <c r="ADA97" s="167"/>
      <c r="ADB97" s="168"/>
      <c r="ADC97" s="167"/>
      <c r="ADD97" s="168"/>
      <c r="ADE97" s="167"/>
      <c r="ADF97" s="168"/>
      <c r="ADG97" s="167"/>
      <c r="ADH97" s="168"/>
      <c r="ADI97" s="167"/>
      <c r="ADJ97" s="168"/>
      <c r="ADK97" s="167"/>
      <c r="ADL97" s="168"/>
      <c r="ADM97" s="167"/>
      <c r="ADN97" s="168"/>
      <c r="ADO97" s="167"/>
      <c r="ADP97" s="168"/>
      <c r="ADQ97" s="167"/>
      <c r="ADR97" s="168"/>
      <c r="ADS97" s="167"/>
      <c r="ADT97" s="168"/>
      <c r="ADU97" s="167"/>
      <c r="ADV97" s="168"/>
      <c r="ADW97" s="167"/>
      <c r="ADX97" s="168"/>
      <c r="ADY97" s="167"/>
      <c r="ADZ97" s="168"/>
      <c r="AEA97" s="167"/>
      <c r="AEB97" s="168"/>
      <c r="AEC97" s="167"/>
      <c r="AED97" s="168"/>
      <c r="AEE97" s="167"/>
      <c r="AEF97" s="168"/>
      <c r="AEG97" s="167"/>
      <c r="AEH97" s="168"/>
      <c r="AEI97" s="167"/>
      <c r="AEJ97" s="168"/>
      <c r="AEK97" s="167"/>
      <c r="AEL97" s="168"/>
      <c r="AEM97" s="167"/>
      <c r="AEN97" s="168"/>
      <c r="AEO97" s="167"/>
      <c r="AEP97" s="168"/>
      <c r="AEQ97" s="167"/>
      <c r="AER97" s="168"/>
      <c r="AES97" s="167"/>
      <c r="AET97" s="168"/>
      <c r="AEU97" s="167"/>
      <c r="AEV97" s="168"/>
      <c r="AEW97" s="167"/>
      <c r="AEX97" s="168"/>
      <c r="AEY97" s="167"/>
      <c r="AEZ97" s="168"/>
      <c r="AFA97" s="167"/>
      <c r="AFB97" s="168"/>
      <c r="AFC97" s="167"/>
      <c r="AFD97" s="168"/>
      <c r="AFE97" s="167"/>
      <c r="AFF97" s="168"/>
      <c r="AFG97" s="167"/>
      <c r="AFH97" s="168"/>
      <c r="AFI97" s="167"/>
      <c r="AFJ97" s="168"/>
      <c r="AFK97" s="167"/>
      <c r="AFL97" s="168"/>
      <c r="AFM97" s="167"/>
      <c r="AFN97" s="168"/>
      <c r="AFO97" s="167"/>
      <c r="AFP97" s="168"/>
      <c r="AFQ97" s="167"/>
      <c r="AFR97" s="168"/>
      <c r="AFS97" s="167"/>
      <c r="AFT97" s="168"/>
      <c r="AFU97" s="167"/>
      <c r="AFV97" s="168"/>
      <c r="AFW97" s="167"/>
      <c r="AFX97" s="168"/>
      <c r="AFY97" s="167"/>
      <c r="AFZ97" s="168"/>
      <c r="AGA97" s="167"/>
      <c r="AGB97" s="168"/>
      <c r="AGC97" s="167"/>
      <c r="AGD97" s="168"/>
      <c r="AGE97" s="167"/>
      <c r="AGF97" s="168"/>
      <c r="AGG97" s="167"/>
      <c r="AGH97" s="168"/>
      <c r="AGI97" s="167"/>
      <c r="AGJ97" s="168"/>
      <c r="AGK97" s="167"/>
      <c r="AGL97" s="168"/>
      <c r="AGM97" s="167"/>
      <c r="AGN97" s="168"/>
      <c r="AGO97" s="167"/>
      <c r="AGP97" s="168"/>
      <c r="AGQ97" s="167"/>
      <c r="AGR97" s="168"/>
      <c r="AGS97" s="167"/>
      <c r="AGT97" s="168"/>
      <c r="AGU97" s="167"/>
      <c r="AGV97" s="168"/>
      <c r="AGW97" s="167"/>
      <c r="AGX97" s="168"/>
      <c r="AGY97" s="167"/>
      <c r="AGZ97" s="168"/>
      <c r="AHA97" s="167"/>
      <c r="AHB97" s="168"/>
      <c r="AHC97" s="167"/>
      <c r="AHD97" s="168"/>
      <c r="AHE97" s="167"/>
      <c r="AHF97" s="168"/>
      <c r="AHG97" s="167"/>
      <c r="AHH97" s="168"/>
      <c r="AHI97" s="167"/>
      <c r="AHJ97" s="168"/>
      <c r="AHK97" s="167"/>
      <c r="AHL97" s="168"/>
      <c r="AHM97" s="167"/>
      <c r="AHN97" s="168"/>
      <c r="AHO97" s="167"/>
      <c r="AHP97" s="168"/>
      <c r="AHQ97" s="167"/>
      <c r="AHR97" s="168"/>
      <c r="AHS97" s="167"/>
      <c r="AHT97" s="168"/>
      <c r="AHU97" s="167"/>
      <c r="AHV97" s="168"/>
      <c r="AHW97" s="167"/>
      <c r="AHX97" s="168"/>
      <c r="AHY97" s="167"/>
      <c r="AHZ97" s="168"/>
      <c r="AIA97" s="167"/>
      <c r="AIB97" s="168"/>
      <c r="AIC97" s="167"/>
      <c r="AID97" s="168"/>
      <c r="AIE97" s="167"/>
      <c r="AIF97" s="168"/>
      <c r="AIG97" s="167"/>
      <c r="AIH97" s="168"/>
      <c r="AII97" s="167"/>
      <c r="AIJ97" s="168"/>
      <c r="AIK97" s="167"/>
      <c r="AIL97" s="168"/>
      <c r="AIM97" s="167"/>
      <c r="AIN97" s="168"/>
      <c r="AIO97" s="167"/>
      <c r="AIP97" s="168"/>
      <c r="AIQ97" s="167"/>
      <c r="AIR97" s="168"/>
      <c r="AIS97" s="167"/>
      <c r="AIT97" s="168"/>
      <c r="AIU97" s="167"/>
      <c r="AIV97" s="168"/>
      <c r="AIW97" s="167"/>
      <c r="AIX97" s="168"/>
      <c r="AIY97" s="167"/>
      <c r="AIZ97" s="168"/>
      <c r="AJA97" s="167"/>
      <c r="AJB97" s="168"/>
      <c r="AJC97" s="167"/>
      <c r="AJD97" s="168"/>
      <c r="AJE97" s="167"/>
      <c r="AJF97" s="168"/>
      <c r="AJG97" s="167"/>
      <c r="AJH97" s="168"/>
      <c r="AJI97" s="167"/>
      <c r="AJJ97" s="168"/>
      <c r="AJK97" s="167"/>
      <c r="AJL97" s="168"/>
      <c r="AJM97" s="167"/>
      <c r="AJN97" s="168"/>
      <c r="AJO97" s="167"/>
      <c r="AJP97" s="168"/>
      <c r="AJQ97" s="167"/>
      <c r="AJR97" s="168"/>
      <c r="AJS97" s="167"/>
      <c r="AJT97" s="168"/>
      <c r="AJU97" s="167"/>
      <c r="AJV97" s="168"/>
      <c r="AJW97" s="167"/>
      <c r="AJX97" s="168"/>
      <c r="AJY97" s="167"/>
      <c r="AJZ97" s="168"/>
      <c r="AKA97" s="167"/>
      <c r="AKB97" s="168"/>
      <c r="AKC97" s="167"/>
      <c r="AKD97" s="168"/>
      <c r="AKE97" s="167"/>
      <c r="AKF97" s="168"/>
      <c r="AKG97" s="167"/>
      <c r="AKH97" s="168"/>
      <c r="AKI97" s="167"/>
      <c r="AKJ97" s="168"/>
      <c r="AKK97" s="167"/>
      <c r="AKL97" s="168"/>
      <c r="AKM97" s="167"/>
      <c r="AKN97" s="168"/>
      <c r="AKO97" s="167"/>
      <c r="AKP97" s="168"/>
      <c r="AKQ97" s="167"/>
      <c r="AKR97" s="168"/>
      <c r="AKS97" s="167"/>
      <c r="AKT97" s="168"/>
      <c r="AKU97" s="167"/>
      <c r="AKV97" s="168"/>
      <c r="AKW97" s="167"/>
      <c r="AKX97" s="168"/>
      <c r="AKY97" s="167"/>
      <c r="AKZ97" s="168"/>
      <c r="ALA97" s="167"/>
      <c r="ALB97" s="168"/>
      <c r="ALC97" s="167"/>
      <c r="ALD97" s="168"/>
      <c r="ALE97" s="167"/>
      <c r="ALF97" s="168"/>
      <c r="ALG97" s="167"/>
      <c r="ALH97" s="168"/>
      <c r="ALI97" s="167"/>
      <c r="ALJ97" s="168"/>
      <c r="ALK97" s="167"/>
      <c r="ALL97" s="168"/>
      <c r="ALM97" s="167"/>
      <c r="ALN97" s="168"/>
      <c r="ALO97" s="167"/>
      <c r="ALP97" s="168"/>
      <c r="ALQ97" s="167"/>
      <c r="ALR97" s="168"/>
      <c r="ALS97" s="167"/>
      <c r="ALT97" s="168"/>
      <c r="ALU97" s="167"/>
      <c r="ALV97" s="168"/>
      <c r="ALW97" s="167"/>
      <c r="ALX97" s="168"/>
      <c r="ALY97" s="167"/>
      <c r="ALZ97" s="168"/>
      <c r="AMA97" s="167"/>
      <c r="AMB97" s="168"/>
      <c r="AMC97" s="167"/>
      <c r="AMD97" s="168"/>
      <c r="AME97" s="167"/>
      <c r="AMF97" s="168"/>
      <c r="AMG97" s="167"/>
      <c r="AMH97" s="168"/>
      <c r="AMI97" s="167"/>
      <c r="AMJ97" s="168"/>
      <c r="AMK97" s="167"/>
      <c r="AML97" s="168"/>
      <c r="AMM97" s="167"/>
      <c r="AMN97" s="168"/>
      <c r="AMO97" s="167"/>
      <c r="AMP97" s="168"/>
      <c r="AMQ97" s="167"/>
      <c r="AMR97" s="168"/>
      <c r="AMS97" s="167"/>
      <c r="AMT97" s="168"/>
      <c r="AMU97" s="167"/>
      <c r="AMV97" s="168"/>
      <c r="AMW97" s="167"/>
      <c r="AMX97" s="168"/>
      <c r="AMY97" s="167"/>
      <c r="AMZ97" s="168"/>
      <c r="ANA97" s="167"/>
      <c r="ANB97" s="168"/>
      <c r="ANC97" s="167"/>
      <c r="AND97" s="168"/>
      <c r="ANE97" s="167"/>
      <c r="ANF97" s="168"/>
      <c r="ANG97" s="167"/>
      <c r="ANH97" s="168"/>
      <c r="ANI97" s="167"/>
      <c r="ANJ97" s="168"/>
      <c r="ANK97" s="167"/>
      <c r="ANL97" s="168"/>
      <c r="ANM97" s="167"/>
      <c r="ANN97" s="168"/>
      <c r="ANO97" s="167"/>
      <c r="ANP97" s="168"/>
      <c r="ANQ97" s="167"/>
      <c r="ANR97" s="168"/>
      <c r="ANS97" s="167"/>
      <c r="ANT97" s="168"/>
      <c r="ANU97" s="167"/>
      <c r="ANV97" s="168"/>
      <c r="ANW97" s="167"/>
      <c r="ANX97" s="168"/>
      <c r="ANY97" s="167"/>
      <c r="ANZ97" s="168"/>
      <c r="AOA97" s="167"/>
      <c r="AOB97" s="168"/>
      <c r="AOC97" s="167"/>
      <c r="AOD97" s="168"/>
      <c r="AOE97" s="167"/>
      <c r="AOF97" s="168"/>
      <c r="AOG97" s="167"/>
      <c r="AOH97" s="168"/>
      <c r="AOI97" s="167"/>
      <c r="AOJ97" s="168"/>
      <c r="AOK97" s="167"/>
      <c r="AOL97" s="168"/>
      <c r="AOM97" s="167"/>
      <c r="AON97" s="168"/>
      <c r="AOO97" s="167"/>
      <c r="AOP97" s="168"/>
      <c r="AOQ97" s="167"/>
      <c r="AOR97" s="168"/>
      <c r="AOS97" s="167"/>
      <c r="AOT97" s="168"/>
      <c r="AOU97" s="167"/>
      <c r="AOV97" s="168"/>
      <c r="AOW97" s="167"/>
      <c r="AOX97" s="168"/>
      <c r="AOY97" s="167"/>
      <c r="AOZ97" s="168"/>
      <c r="APA97" s="167"/>
      <c r="APB97" s="168"/>
      <c r="APC97" s="167"/>
      <c r="APD97" s="168"/>
      <c r="APE97" s="167"/>
      <c r="APF97" s="168"/>
      <c r="APG97" s="167"/>
      <c r="APH97" s="168"/>
      <c r="API97" s="167"/>
      <c r="APJ97" s="168"/>
      <c r="APK97" s="167"/>
      <c r="APL97" s="168"/>
      <c r="APM97" s="167"/>
      <c r="APN97" s="168"/>
      <c r="APO97" s="167"/>
      <c r="APP97" s="168"/>
      <c r="APQ97" s="167"/>
      <c r="APR97" s="168"/>
      <c r="APS97" s="167"/>
      <c r="APT97" s="168"/>
      <c r="APU97" s="167"/>
      <c r="APV97" s="168"/>
      <c r="APW97" s="167"/>
      <c r="APX97" s="168"/>
      <c r="APY97" s="167"/>
      <c r="APZ97" s="168"/>
      <c r="AQA97" s="167"/>
      <c r="AQB97" s="168"/>
      <c r="AQC97" s="167"/>
      <c r="AQD97" s="168"/>
      <c r="AQE97" s="167"/>
      <c r="AQF97" s="168"/>
      <c r="AQG97" s="167"/>
      <c r="AQH97" s="168"/>
      <c r="AQI97" s="167"/>
      <c r="AQJ97" s="168"/>
      <c r="AQK97" s="167"/>
      <c r="AQL97" s="168"/>
      <c r="AQM97" s="167"/>
      <c r="AQN97" s="168"/>
      <c r="AQO97" s="167"/>
      <c r="AQP97" s="168"/>
      <c r="AQQ97" s="167"/>
      <c r="AQR97" s="168"/>
      <c r="AQS97" s="167"/>
      <c r="AQT97" s="168"/>
      <c r="AQU97" s="167"/>
      <c r="AQV97" s="168"/>
      <c r="AQW97" s="167"/>
      <c r="AQX97" s="168"/>
      <c r="AQY97" s="167"/>
      <c r="AQZ97" s="168"/>
      <c r="ARA97" s="167"/>
      <c r="ARB97" s="168"/>
      <c r="ARC97" s="167"/>
      <c r="ARD97" s="168"/>
      <c r="ARE97" s="167"/>
      <c r="ARF97" s="168"/>
      <c r="ARG97" s="167"/>
      <c r="ARH97" s="168"/>
      <c r="ARI97" s="167"/>
      <c r="ARJ97" s="168"/>
      <c r="ARK97" s="167"/>
      <c r="ARL97" s="168"/>
      <c r="ARM97" s="167"/>
      <c r="ARN97" s="168"/>
      <c r="ARO97" s="167"/>
      <c r="ARP97" s="168"/>
      <c r="ARQ97" s="167"/>
      <c r="ARR97" s="168"/>
      <c r="ARS97" s="167"/>
      <c r="ART97" s="168"/>
      <c r="ARU97" s="167"/>
      <c r="ARV97" s="168"/>
      <c r="ARW97" s="167"/>
      <c r="ARX97" s="168"/>
      <c r="ARY97" s="167"/>
      <c r="ARZ97" s="168"/>
      <c r="ASA97" s="167"/>
      <c r="ASB97" s="168"/>
      <c r="ASC97" s="167"/>
      <c r="ASD97" s="168"/>
      <c r="ASE97" s="167"/>
      <c r="ASF97" s="168"/>
      <c r="ASG97" s="167"/>
      <c r="ASH97" s="168"/>
      <c r="ASI97" s="167"/>
      <c r="ASJ97" s="168"/>
      <c r="ASK97" s="167"/>
      <c r="ASL97" s="168"/>
      <c r="ASM97" s="167"/>
      <c r="ASN97" s="168"/>
      <c r="ASO97" s="167"/>
      <c r="ASP97" s="168"/>
      <c r="ASQ97" s="167"/>
      <c r="ASR97" s="168"/>
      <c r="ASS97" s="167"/>
      <c r="AST97" s="168"/>
      <c r="ASU97" s="167"/>
      <c r="ASV97" s="168"/>
      <c r="ASW97" s="167"/>
      <c r="ASX97" s="168"/>
      <c r="ASY97" s="167"/>
      <c r="ASZ97" s="168"/>
      <c r="ATA97" s="167"/>
      <c r="ATB97" s="168"/>
      <c r="ATC97" s="167"/>
      <c r="ATD97" s="168"/>
      <c r="ATE97" s="167"/>
      <c r="ATF97" s="168"/>
      <c r="ATG97" s="167"/>
      <c r="ATH97" s="168"/>
      <c r="ATI97" s="167"/>
      <c r="ATJ97" s="168"/>
      <c r="ATK97" s="167"/>
      <c r="ATL97" s="168"/>
      <c r="ATM97" s="167"/>
      <c r="ATN97" s="168"/>
      <c r="ATO97" s="167"/>
      <c r="ATP97" s="168"/>
      <c r="ATQ97" s="167"/>
      <c r="ATR97" s="168"/>
      <c r="ATS97" s="167"/>
      <c r="ATT97" s="168"/>
      <c r="ATU97" s="167"/>
      <c r="ATV97" s="168"/>
      <c r="ATW97" s="167"/>
      <c r="ATX97" s="168"/>
      <c r="ATY97" s="167"/>
      <c r="ATZ97" s="168"/>
      <c r="AUA97" s="167"/>
      <c r="AUB97" s="168"/>
      <c r="AUC97" s="167"/>
      <c r="AUD97" s="168"/>
      <c r="AUE97" s="167"/>
      <c r="AUF97" s="168"/>
      <c r="AUG97" s="167"/>
      <c r="AUH97" s="168"/>
      <c r="AUI97" s="167"/>
      <c r="AUJ97" s="168"/>
      <c r="AUK97" s="167"/>
      <c r="AUL97" s="168"/>
      <c r="AUM97" s="167"/>
      <c r="AUN97" s="168"/>
      <c r="AUO97" s="167"/>
      <c r="AUP97" s="168"/>
      <c r="AUQ97" s="167"/>
      <c r="AUR97" s="168"/>
      <c r="AUS97" s="167"/>
      <c r="AUT97" s="168"/>
      <c r="AUU97" s="167"/>
      <c r="AUV97" s="168"/>
      <c r="AUW97" s="167"/>
      <c r="AUX97" s="168"/>
      <c r="AUY97" s="167"/>
      <c r="AUZ97" s="168"/>
      <c r="AVA97" s="167"/>
      <c r="AVB97" s="168"/>
      <c r="AVC97" s="167"/>
      <c r="AVD97" s="168"/>
      <c r="AVE97" s="167"/>
      <c r="AVF97" s="168"/>
      <c r="AVG97" s="167"/>
      <c r="AVH97" s="168"/>
      <c r="AVI97" s="167"/>
      <c r="AVJ97" s="168"/>
      <c r="AVK97" s="167"/>
      <c r="AVL97" s="168"/>
      <c r="AVM97" s="167"/>
      <c r="AVN97" s="168"/>
      <c r="AVO97" s="167"/>
      <c r="AVP97" s="168"/>
      <c r="AVQ97" s="167"/>
      <c r="AVR97" s="168"/>
      <c r="AVS97" s="167"/>
      <c r="AVT97" s="168"/>
      <c r="AVU97" s="167"/>
      <c r="AVV97" s="168"/>
      <c r="AVW97" s="167"/>
      <c r="AVX97" s="168"/>
      <c r="AVY97" s="167"/>
      <c r="AVZ97" s="168"/>
      <c r="AWA97" s="167"/>
      <c r="AWB97" s="168"/>
      <c r="AWC97" s="167"/>
      <c r="AWD97" s="168"/>
      <c r="AWE97" s="167"/>
      <c r="AWF97" s="168"/>
      <c r="AWG97" s="167"/>
      <c r="AWH97" s="168"/>
      <c r="AWI97" s="167"/>
      <c r="AWJ97" s="168"/>
      <c r="AWK97" s="167"/>
      <c r="AWL97" s="168"/>
      <c r="AWM97" s="167"/>
      <c r="AWN97" s="168"/>
      <c r="AWO97" s="167"/>
      <c r="AWP97" s="168"/>
      <c r="AWQ97" s="167"/>
      <c r="AWR97" s="168"/>
      <c r="AWS97" s="167"/>
      <c r="AWT97" s="168"/>
      <c r="AWU97" s="167"/>
      <c r="AWV97" s="168"/>
      <c r="AWW97" s="167"/>
      <c r="AWX97" s="168"/>
      <c r="AWY97" s="167"/>
      <c r="AWZ97" s="168"/>
      <c r="AXA97" s="167"/>
      <c r="AXB97" s="168"/>
      <c r="AXC97" s="167"/>
      <c r="AXD97" s="168"/>
      <c r="AXE97" s="167"/>
      <c r="AXF97" s="168"/>
      <c r="AXG97" s="167"/>
      <c r="AXH97" s="168"/>
      <c r="AXI97" s="167"/>
      <c r="AXJ97" s="168"/>
      <c r="AXK97" s="167"/>
      <c r="AXL97" s="168"/>
      <c r="AXM97" s="167"/>
      <c r="AXN97" s="168"/>
      <c r="AXO97" s="167"/>
      <c r="AXP97" s="168"/>
      <c r="AXQ97" s="167"/>
      <c r="AXR97" s="168"/>
      <c r="AXS97" s="167"/>
      <c r="AXT97" s="168"/>
      <c r="AXU97" s="167"/>
      <c r="AXV97" s="168"/>
      <c r="AXW97" s="167"/>
      <c r="AXX97" s="168"/>
      <c r="AXY97" s="167"/>
      <c r="AXZ97" s="168"/>
      <c r="AYA97" s="167"/>
      <c r="AYB97" s="168"/>
      <c r="AYC97" s="167"/>
      <c r="AYD97" s="168"/>
      <c r="AYE97" s="167"/>
      <c r="AYF97" s="168"/>
      <c r="AYG97" s="167"/>
      <c r="AYH97" s="168"/>
      <c r="AYI97" s="167"/>
      <c r="AYJ97" s="168"/>
      <c r="AYK97" s="167"/>
      <c r="AYL97" s="168"/>
      <c r="AYM97" s="167"/>
      <c r="AYN97" s="168"/>
      <c r="AYO97" s="167"/>
      <c r="AYP97" s="168"/>
      <c r="AYQ97" s="167"/>
      <c r="AYR97" s="168"/>
      <c r="AYS97" s="167"/>
      <c r="AYT97" s="168"/>
      <c r="AYU97" s="167"/>
      <c r="AYV97" s="168"/>
      <c r="AYW97" s="167"/>
      <c r="AYX97" s="168"/>
      <c r="AYY97" s="167"/>
      <c r="AYZ97" s="168"/>
      <c r="AZA97" s="167"/>
      <c r="AZB97" s="168"/>
      <c r="AZC97" s="167"/>
      <c r="AZD97" s="168"/>
      <c r="AZE97" s="167"/>
      <c r="AZF97" s="168"/>
      <c r="AZG97" s="167"/>
      <c r="AZH97" s="168"/>
      <c r="AZI97" s="167"/>
      <c r="AZJ97" s="168"/>
      <c r="AZK97" s="167"/>
      <c r="AZL97" s="168"/>
      <c r="AZM97" s="167"/>
      <c r="AZN97" s="168"/>
      <c r="AZO97" s="167"/>
      <c r="AZP97" s="168"/>
      <c r="AZQ97" s="167"/>
      <c r="AZR97" s="168"/>
      <c r="AZS97" s="167"/>
      <c r="AZT97" s="168"/>
      <c r="AZU97" s="167"/>
      <c r="AZV97" s="168"/>
      <c r="AZW97" s="167"/>
      <c r="AZX97" s="168"/>
      <c r="AZY97" s="167"/>
      <c r="AZZ97" s="168"/>
      <c r="BAA97" s="167"/>
      <c r="BAB97" s="168"/>
      <c r="BAC97" s="167"/>
      <c r="BAD97" s="168"/>
      <c r="BAE97" s="167"/>
      <c r="BAF97" s="168"/>
      <c r="BAG97" s="167"/>
      <c r="BAH97" s="168"/>
      <c r="BAI97" s="167"/>
      <c r="BAJ97" s="168"/>
      <c r="BAK97" s="167"/>
      <c r="BAL97" s="168"/>
      <c r="BAM97" s="167"/>
      <c r="BAN97" s="168"/>
      <c r="BAO97" s="167"/>
      <c r="BAP97" s="168"/>
      <c r="BAQ97" s="167"/>
      <c r="BAR97" s="168"/>
      <c r="BAS97" s="167"/>
      <c r="BAT97" s="168"/>
      <c r="BAU97" s="167"/>
      <c r="BAV97" s="168"/>
      <c r="BAW97" s="167"/>
      <c r="BAX97" s="168"/>
      <c r="BAY97" s="167"/>
      <c r="BAZ97" s="168"/>
      <c r="BBA97" s="167"/>
      <c r="BBB97" s="168"/>
      <c r="BBC97" s="167"/>
      <c r="BBD97" s="168"/>
      <c r="BBE97" s="167"/>
      <c r="BBF97" s="168"/>
      <c r="BBG97" s="167"/>
      <c r="BBH97" s="168"/>
      <c r="BBI97" s="167"/>
      <c r="BBJ97" s="168"/>
      <c r="BBK97" s="167"/>
      <c r="BBL97" s="168"/>
      <c r="BBM97" s="167"/>
      <c r="BBN97" s="168"/>
      <c r="BBO97" s="167"/>
      <c r="BBP97" s="168"/>
      <c r="BBQ97" s="167"/>
      <c r="BBR97" s="168"/>
      <c r="BBS97" s="167"/>
      <c r="BBT97" s="168"/>
      <c r="BBU97" s="167"/>
      <c r="BBV97" s="168"/>
      <c r="BBW97" s="167"/>
      <c r="BBX97" s="168"/>
      <c r="BBY97" s="167"/>
      <c r="BBZ97" s="168"/>
      <c r="BCA97" s="167"/>
      <c r="BCB97" s="168"/>
      <c r="BCC97" s="167"/>
      <c r="BCD97" s="168"/>
      <c r="BCE97" s="167"/>
      <c r="BCF97" s="168"/>
      <c r="BCG97" s="167"/>
      <c r="BCH97" s="168"/>
      <c r="BCI97" s="167"/>
      <c r="BCJ97" s="168"/>
      <c r="BCK97" s="167"/>
      <c r="BCL97" s="168"/>
      <c r="BCM97" s="167"/>
      <c r="BCN97" s="168"/>
      <c r="BCO97" s="167"/>
      <c r="BCP97" s="168"/>
      <c r="BCQ97" s="167"/>
      <c r="BCR97" s="168"/>
      <c r="BCS97" s="167"/>
      <c r="BCT97" s="168"/>
      <c r="BCU97" s="167"/>
      <c r="BCV97" s="168"/>
      <c r="BCW97" s="167"/>
      <c r="BCX97" s="168"/>
      <c r="BCY97" s="167"/>
      <c r="BCZ97" s="168"/>
      <c r="BDA97" s="167"/>
      <c r="BDB97" s="168"/>
      <c r="BDC97" s="167"/>
      <c r="BDD97" s="168"/>
      <c r="BDE97" s="167"/>
      <c r="BDF97" s="168"/>
      <c r="BDG97" s="167"/>
      <c r="BDH97" s="168"/>
      <c r="BDI97" s="167"/>
      <c r="BDJ97" s="168"/>
      <c r="BDK97" s="167"/>
      <c r="BDL97" s="168"/>
      <c r="BDM97" s="167"/>
      <c r="BDN97" s="168"/>
      <c r="BDO97" s="167"/>
      <c r="BDP97" s="168"/>
      <c r="BDQ97" s="167"/>
      <c r="BDR97" s="168"/>
      <c r="BDS97" s="167"/>
      <c r="BDT97" s="168"/>
      <c r="BDU97" s="167"/>
      <c r="BDV97" s="168"/>
      <c r="BDW97" s="167"/>
      <c r="BDX97" s="168"/>
      <c r="BDY97" s="167"/>
      <c r="BDZ97" s="168"/>
      <c r="BEA97" s="167"/>
      <c r="BEB97" s="168"/>
      <c r="BEC97" s="167"/>
      <c r="BED97" s="168"/>
      <c r="BEE97" s="167"/>
      <c r="BEF97" s="168"/>
      <c r="BEG97" s="167"/>
      <c r="BEH97" s="168"/>
      <c r="BEI97" s="167"/>
      <c r="BEJ97" s="168"/>
      <c r="BEK97" s="167"/>
      <c r="BEL97" s="168"/>
      <c r="BEM97" s="167"/>
      <c r="BEN97" s="168"/>
      <c r="BEO97" s="167"/>
      <c r="BEP97" s="168"/>
      <c r="BEQ97" s="167"/>
      <c r="BER97" s="168"/>
      <c r="BES97" s="167"/>
      <c r="BET97" s="168"/>
      <c r="BEU97" s="167"/>
      <c r="BEV97" s="168"/>
      <c r="BEW97" s="167"/>
      <c r="BEX97" s="168"/>
      <c r="BEY97" s="167"/>
      <c r="BEZ97" s="168"/>
      <c r="BFA97" s="167"/>
      <c r="BFB97" s="168"/>
      <c r="BFC97" s="167"/>
      <c r="BFD97" s="168"/>
      <c r="BFE97" s="167"/>
      <c r="BFF97" s="168"/>
      <c r="BFG97" s="167"/>
      <c r="BFH97" s="168"/>
      <c r="BFI97" s="167"/>
      <c r="BFJ97" s="168"/>
      <c r="BFK97" s="167"/>
      <c r="BFL97" s="168"/>
      <c r="BFM97" s="167"/>
      <c r="BFN97" s="168"/>
      <c r="BFO97" s="167"/>
      <c r="BFP97" s="168"/>
      <c r="BFQ97" s="167"/>
      <c r="BFR97" s="168"/>
      <c r="BFS97" s="167"/>
      <c r="BFT97" s="168"/>
      <c r="BFU97" s="167"/>
      <c r="BFV97" s="168"/>
      <c r="BFW97" s="167"/>
      <c r="BFX97" s="168"/>
      <c r="BFY97" s="167"/>
      <c r="BFZ97" s="168"/>
      <c r="BGA97" s="167"/>
      <c r="BGB97" s="168"/>
      <c r="BGC97" s="167"/>
      <c r="BGD97" s="168"/>
      <c r="BGE97" s="167"/>
      <c r="BGF97" s="168"/>
      <c r="BGG97" s="167"/>
      <c r="BGH97" s="168"/>
      <c r="BGI97" s="167"/>
      <c r="BGJ97" s="168"/>
      <c r="BGK97" s="167"/>
      <c r="BGL97" s="168"/>
      <c r="BGM97" s="167"/>
      <c r="BGN97" s="168"/>
      <c r="BGO97" s="167"/>
      <c r="BGP97" s="168"/>
      <c r="BGQ97" s="167"/>
      <c r="BGR97" s="168"/>
      <c r="BGS97" s="167"/>
      <c r="BGT97" s="168"/>
      <c r="BGU97" s="167"/>
      <c r="BGV97" s="168"/>
      <c r="BGW97" s="167"/>
      <c r="BGX97" s="168"/>
      <c r="BGY97" s="167"/>
      <c r="BGZ97" s="168"/>
      <c r="BHA97" s="167"/>
      <c r="BHB97" s="168"/>
      <c r="BHC97" s="167"/>
      <c r="BHD97" s="168"/>
      <c r="BHE97" s="167"/>
      <c r="BHF97" s="168"/>
      <c r="BHG97" s="167"/>
      <c r="BHH97" s="168"/>
      <c r="BHI97" s="167"/>
      <c r="BHJ97" s="168"/>
      <c r="BHK97" s="167"/>
      <c r="BHL97" s="168"/>
      <c r="BHM97" s="167"/>
      <c r="BHN97" s="168"/>
      <c r="BHO97" s="167"/>
      <c r="BHP97" s="168"/>
      <c r="BHQ97" s="167"/>
      <c r="BHR97" s="168"/>
      <c r="BHS97" s="167"/>
      <c r="BHT97" s="168"/>
      <c r="BHU97" s="167"/>
      <c r="BHV97" s="168"/>
      <c r="BHW97" s="167"/>
      <c r="BHX97" s="168"/>
      <c r="BHY97" s="167"/>
      <c r="BHZ97" s="168"/>
      <c r="BIA97" s="167"/>
      <c r="BIB97" s="168"/>
      <c r="BIC97" s="167"/>
      <c r="BID97" s="168"/>
      <c r="BIE97" s="167"/>
      <c r="BIF97" s="168"/>
      <c r="BIG97" s="167"/>
      <c r="BIH97" s="168"/>
      <c r="BII97" s="167"/>
      <c r="BIJ97" s="168"/>
      <c r="BIK97" s="167"/>
      <c r="BIL97" s="168"/>
      <c r="BIM97" s="167"/>
      <c r="BIN97" s="168"/>
      <c r="BIO97" s="167"/>
      <c r="BIP97" s="168"/>
      <c r="BIQ97" s="167"/>
      <c r="BIR97" s="168"/>
      <c r="BIS97" s="167"/>
      <c r="BIT97" s="168"/>
      <c r="BIU97" s="167"/>
      <c r="BIV97" s="168"/>
      <c r="BIW97" s="167"/>
      <c r="BIX97" s="168"/>
      <c r="BIY97" s="167"/>
      <c r="BIZ97" s="168"/>
      <c r="BJA97" s="167"/>
      <c r="BJB97" s="168"/>
      <c r="BJC97" s="167"/>
      <c r="BJD97" s="168"/>
      <c r="BJE97" s="167"/>
      <c r="BJF97" s="168"/>
      <c r="BJG97" s="167"/>
      <c r="BJH97" s="168"/>
      <c r="BJI97" s="167"/>
      <c r="BJJ97" s="168"/>
      <c r="BJK97" s="167"/>
      <c r="BJL97" s="168"/>
      <c r="BJM97" s="167"/>
      <c r="BJN97" s="168"/>
      <c r="BJO97" s="167"/>
      <c r="BJP97" s="168"/>
      <c r="BJQ97" s="167"/>
      <c r="BJR97" s="168"/>
      <c r="BJS97" s="167"/>
      <c r="BJT97" s="168"/>
      <c r="BJU97" s="167"/>
      <c r="BJV97" s="168"/>
      <c r="BJW97" s="167"/>
      <c r="BJX97" s="168"/>
      <c r="BJY97" s="167"/>
      <c r="BJZ97" s="168"/>
      <c r="BKA97" s="167"/>
      <c r="BKB97" s="168"/>
      <c r="BKC97" s="167"/>
      <c r="BKD97" s="168"/>
      <c r="BKE97" s="167"/>
      <c r="BKF97" s="168"/>
      <c r="BKG97" s="167"/>
      <c r="BKH97" s="168"/>
      <c r="BKI97" s="167"/>
      <c r="BKJ97" s="168"/>
      <c r="BKK97" s="167"/>
      <c r="BKL97" s="168"/>
      <c r="BKM97" s="167"/>
      <c r="BKN97" s="168"/>
      <c r="BKO97" s="167"/>
      <c r="BKP97" s="168"/>
      <c r="BKQ97" s="167"/>
      <c r="BKR97" s="168"/>
      <c r="BKS97" s="167"/>
      <c r="BKT97" s="168"/>
      <c r="BKU97" s="167"/>
      <c r="BKV97" s="168"/>
      <c r="BKW97" s="167"/>
      <c r="BKX97" s="168"/>
      <c r="BKY97" s="167"/>
      <c r="BKZ97" s="168"/>
      <c r="BLA97" s="167"/>
      <c r="BLB97" s="168"/>
      <c r="BLC97" s="167"/>
      <c r="BLD97" s="168"/>
      <c r="BLE97" s="167"/>
      <c r="BLF97" s="168"/>
      <c r="BLG97" s="167"/>
      <c r="BLH97" s="168"/>
      <c r="BLI97" s="167"/>
      <c r="BLJ97" s="168"/>
      <c r="BLK97" s="167"/>
      <c r="BLL97" s="168"/>
      <c r="BLM97" s="167"/>
      <c r="BLN97" s="168"/>
      <c r="BLO97" s="167"/>
      <c r="BLP97" s="168"/>
      <c r="BLQ97" s="167"/>
      <c r="BLR97" s="168"/>
      <c r="BLS97" s="167"/>
      <c r="BLT97" s="168"/>
      <c r="BLU97" s="167"/>
      <c r="BLV97" s="168"/>
      <c r="BLW97" s="167"/>
      <c r="BLX97" s="168"/>
      <c r="BLY97" s="167"/>
      <c r="BLZ97" s="168"/>
      <c r="BMA97" s="167"/>
      <c r="BMB97" s="168"/>
      <c r="BMC97" s="167"/>
      <c r="BMD97" s="168"/>
      <c r="BME97" s="167"/>
      <c r="BMF97" s="168"/>
      <c r="BMG97" s="167"/>
      <c r="BMH97" s="168"/>
      <c r="BMI97" s="167"/>
      <c r="BMJ97" s="168"/>
      <c r="BMK97" s="167"/>
      <c r="BML97" s="168"/>
      <c r="BMM97" s="167"/>
      <c r="BMN97" s="168"/>
      <c r="BMO97" s="167"/>
      <c r="BMP97" s="168"/>
      <c r="BMQ97" s="167"/>
      <c r="BMR97" s="168"/>
      <c r="BMS97" s="167"/>
      <c r="BMT97" s="168"/>
      <c r="BMU97" s="167"/>
      <c r="BMV97" s="168"/>
      <c r="BMW97" s="167"/>
      <c r="BMX97" s="168"/>
      <c r="BMY97" s="167"/>
      <c r="BMZ97" s="168"/>
      <c r="BNA97" s="167"/>
      <c r="BNB97" s="168"/>
      <c r="BNC97" s="167"/>
      <c r="BND97" s="168"/>
      <c r="BNE97" s="167"/>
      <c r="BNF97" s="168"/>
      <c r="BNG97" s="167"/>
      <c r="BNH97" s="168"/>
      <c r="BNI97" s="167"/>
      <c r="BNJ97" s="168"/>
      <c r="BNK97" s="167"/>
      <c r="BNL97" s="168"/>
      <c r="BNM97" s="167"/>
      <c r="BNN97" s="168"/>
      <c r="BNO97" s="167"/>
      <c r="BNP97" s="168"/>
      <c r="BNQ97" s="167"/>
      <c r="BNR97" s="168"/>
      <c r="BNS97" s="167"/>
      <c r="BNT97" s="168"/>
      <c r="BNU97" s="167"/>
      <c r="BNV97" s="168"/>
      <c r="BNW97" s="167"/>
      <c r="BNX97" s="168"/>
      <c r="BNY97" s="167"/>
      <c r="BNZ97" s="168"/>
      <c r="BOA97" s="167"/>
      <c r="BOB97" s="168"/>
      <c r="BOC97" s="167"/>
      <c r="BOD97" s="168"/>
      <c r="BOE97" s="167"/>
      <c r="BOF97" s="168"/>
      <c r="BOG97" s="167"/>
      <c r="BOH97" s="168"/>
      <c r="BOI97" s="167"/>
      <c r="BOJ97" s="168"/>
      <c r="BOK97" s="167"/>
      <c r="BOL97" s="168"/>
      <c r="BOM97" s="167"/>
      <c r="BON97" s="168"/>
      <c r="BOO97" s="167"/>
      <c r="BOP97" s="168"/>
      <c r="BOQ97" s="167"/>
      <c r="BOR97" s="168"/>
      <c r="BOS97" s="167"/>
      <c r="BOT97" s="168"/>
      <c r="BOU97" s="167"/>
      <c r="BOV97" s="168"/>
      <c r="BOW97" s="167"/>
      <c r="BOX97" s="168"/>
      <c r="BOY97" s="167"/>
      <c r="BOZ97" s="168"/>
      <c r="BPA97" s="167"/>
      <c r="BPB97" s="168"/>
      <c r="BPC97" s="167"/>
      <c r="BPD97" s="168"/>
      <c r="BPE97" s="167"/>
      <c r="BPF97" s="168"/>
      <c r="BPG97" s="167"/>
      <c r="BPH97" s="168"/>
      <c r="BPI97" s="167"/>
      <c r="BPJ97" s="168"/>
      <c r="BPK97" s="167"/>
      <c r="BPL97" s="168"/>
      <c r="BPM97" s="167"/>
      <c r="BPN97" s="168"/>
      <c r="BPO97" s="167"/>
      <c r="BPP97" s="168"/>
      <c r="BPQ97" s="167"/>
      <c r="BPR97" s="168"/>
      <c r="BPS97" s="167"/>
      <c r="BPT97" s="168"/>
      <c r="BPU97" s="167"/>
      <c r="BPV97" s="168"/>
      <c r="BPW97" s="167"/>
      <c r="BPX97" s="168"/>
      <c r="BPY97" s="167"/>
      <c r="BPZ97" s="168"/>
      <c r="BQA97" s="167"/>
      <c r="BQB97" s="168"/>
      <c r="BQC97" s="167"/>
      <c r="BQD97" s="168"/>
      <c r="BQE97" s="167"/>
      <c r="BQF97" s="168"/>
      <c r="BQG97" s="167"/>
      <c r="BQH97" s="168"/>
      <c r="BQI97" s="167"/>
      <c r="BQJ97" s="168"/>
      <c r="BQK97" s="167"/>
      <c r="BQL97" s="168"/>
      <c r="BQM97" s="167"/>
      <c r="BQN97" s="168"/>
      <c r="BQO97" s="167"/>
      <c r="BQP97" s="168"/>
      <c r="BQQ97" s="167"/>
      <c r="BQR97" s="168"/>
      <c r="BQS97" s="167"/>
      <c r="BQT97" s="168"/>
      <c r="BQU97" s="167"/>
      <c r="BQV97" s="168"/>
      <c r="BQW97" s="167"/>
      <c r="BQX97" s="168"/>
      <c r="BQY97" s="167"/>
      <c r="BQZ97" s="168"/>
      <c r="BRA97" s="167"/>
      <c r="BRB97" s="168"/>
      <c r="BRC97" s="167"/>
      <c r="BRD97" s="168"/>
      <c r="BRE97" s="167"/>
      <c r="BRF97" s="168"/>
      <c r="BRG97" s="167"/>
      <c r="BRH97" s="168"/>
      <c r="BRI97" s="167"/>
      <c r="BRJ97" s="168"/>
      <c r="BRK97" s="167"/>
      <c r="BRL97" s="168"/>
      <c r="BRM97" s="167"/>
      <c r="BRN97" s="168"/>
      <c r="BRO97" s="167"/>
      <c r="BRP97" s="168"/>
      <c r="BRQ97" s="167"/>
      <c r="BRR97" s="168"/>
      <c r="BRS97" s="167"/>
      <c r="BRT97" s="168"/>
      <c r="BRU97" s="167"/>
      <c r="BRV97" s="168"/>
      <c r="BRW97" s="167"/>
      <c r="BRX97" s="168"/>
      <c r="BRY97" s="167"/>
      <c r="BRZ97" s="168"/>
      <c r="BSA97" s="167"/>
      <c r="BSB97" s="168"/>
      <c r="BSC97" s="167"/>
      <c r="BSD97" s="168"/>
      <c r="BSE97" s="167"/>
      <c r="BSF97" s="168"/>
      <c r="BSG97" s="167"/>
      <c r="BSH97" s="168"/>
      <c r="BSI97" s="167"/>
      <c r="BSJ97" s="168"/>
      <c r="BSK97" s="167"/>
      <c r="BSL97" s="168"/>
      <c r="BSM97" s="167"/>
      <c r="BSN97" s="168"/>
      <c r="BSO97" s="167"/>
      <c r="BSP97" s="168"/>
      <c r="BSQ97" s="167"/>
      <c r="BSR97" s="168"/>
      <c r="BSS97" s="167"/>
      <c r="BST97" s="168"/>
      <c r="BSU97" s="167"/>
      <c r="BSV97" s="168"/>
      <c r="BSW97" s="167"/>
      <c r="BSX97" s="168"/>
      <c r="BSY97" s="167"/>
      <c r="BSZ97" s="168"/>
      <c r="BTA97" s="167"/>
      <c r="BTB97" s="168"/>
      <c r="BTC97" s="167"/>
      <c r="BTD97" s="168"/>
      <c r="BTE97" s="167"/>
      <c r="BTF97" s="168"/>
      <c r="BTG97" s="167"/>
      <c r="BTH97" s="168"/>
      <c r="BTI97" s="167"/>
      <c r="BTJ97" s="168"/>
      <c r="BTK97" s="167"/>
      <c r="BTL97" s="168"/>
      <c r="BTM97" s="167"/>
      <c r="BTN97" s="168"/>
      <c r="BTO97" s="167"/>
      <c r="BTP97" s="168"/>
      <c r="BTQ97" s="167"/>
      <c r="BTR97" s="168"/>
      <c r="BTS97" s="167"/>
      <c r="BTT97" s="168"/>
      <c r="BTU97" s="167"/>
      <c r="BTV97" s="168"/>
      <c r="BTW97" s="167"/>
      <c r="BTX97" s="168"/>
      <c r="BTY97" s="167"/>
      <c r="BTZ97" s="168"/>
      <c r="BUA97" s="167"/>
      <c r="BUB97" s="168"/>
      <c r="BUC97" s="167"/>
      <c r="BUD97" s="168"/>
      <c r="BUE97" s="167"/>
      <c r="BUF97" s="168"/>
      <c r="BUG97" s="167"/>
      <c r="BUH97" s="168"/>
      <c r="BUI97" s="167"/>
      <c r="BUJ97" s="168"/>
      <c r="BUK97" s="167"/>
      <c r="BUL97" s="168"/>
      <c r="BUM97" s="167"/>
      <c r="BUN97" s="168"/>
      <c r="BUO97" s="167"/>
      <c r="BUP97" s="168"/>
      <c r="BUQ97" s="167"/>
      <c r="BUR97" s="168"/>
      <c r="BUS97" s="167"/>
      <c r="BUT97" s="168"/>
      <c r="BUU97" s="167"/>
      <c r="BUV97" s="168"/>
      <c r="BUW97" s="167"/>
      <c r="BUX97" s="168"/>
      <c r="BUY97" s="167"/>
      <c r="BUZ97" s="168"/>
      <c r="BVA97" s="167"/>
      <c r="BVB97" s="168"/>
      <c r="BVC97" s="167"/>
      <c r="BVD97" s="168"/>
      <c r="BVE97" s="167"/>
      <c r="BVF97" s="168"/>
      <c r="BVG97" s="167"/>
      <c r="BVH97" s="168"/>
      <c r="BVI97" s="167"/>
      <c r="BVJ97" s="168"/>
      <c r="BVK97" s="167"/>
      <c r="BVL97" s="168"/>
      <c r="BVM97" s="167"/>
      <c r="BVN97" s="168"/>
      <c r="BVO97" s="167"/>
      <c r="BVP97" s="168"/>
      <c r="BVQ97" s="167"/>
      <c r="BVR97" s="168"/>
      <c r="BVS97" s="167"/>
      <c r="BVT97" s="168"/>
      <c r="BVU97" s="167"/>
      <c r="BVV97" s="168"/>
      <c r="BVW97" s="167"/>
      <c r="BVX97" s="168"/>
      <c r="BVY97" s="167"/>
      <c r="BVZ97" s="168"/>
      <c r="BWA97" s="167"/>
      <c r="BWB97" s="168"/>
      <c r="BWC97" s="167"/>
      <c r="BWD97" s="168"/>
      <c r="BWE97" s="167"/>
      <c r="BWF97" s="168"/>
      <c r="BWG97" s="167"/>
      <c r="BWH97" s="168"/>
      <c r="BWI97" s="167"/>
      <c r="BWJ97" s="168"/>
      <c r="BWK97" s="167"/>
      <c r="BWL97" s="168"/>
      <c r="BWM97" s="167"/>
      <c r="BWN97" s="168"/>
      <c r="BWO97" s="167"/>
      <c r="BWP97" s="168"/>
      <c r="BWQ97" s="167"/>
      <c r="BWR97" s="168"/>
      <c r="BWS97" s="167"/>
      <c r="BWT97" s="168"/>
      <c r="BWU97" s="167"/>
      <c r="BWV97" s="168"/>
      <c r="BWW97" s="167"/>
      <c r="BWX97" s="168"/>
      <c r="BWY97" s="167"/>
      <c r="BWZ97" s="168"/>
      <c r="BXA97" s="167"/>
      <c r="BXB97" s="168"/>
      <c r="BXC97" s="167"/>
      <c r="BXD97" s="168"/>
      <c r="BXE97" s="167"/>
      <c r="BXF97" s="168"/>
      <c r="BXG97" s="167"/>
      <c r="BXH97" s="168"/>
      <c r="BXI97" s="167"/>
      <c r="BXJ97" s="168"/>
      <c r="BXK97" s="167"/>
      <c r="BXL97" s="168"/>
      <c r="BXM97" s="167"/>
      <c r="BXN97" s="168"/>
      <c r="BXO97" s="167"/>
      <c r="BXP97" s="168"/>
      <c r="BXQ97" s="167"/>
      <c r="BXR97" s="168"/>
      <c r="BXS97" s="167"/>
      <c r="BXT97" s="168"/>
      <c r="BXU97" s="167"/>
      <c r="BXV97" s="168"/>
      <c r="BXW97" s="167"/>
      <c r="BXX97" s="168"/>
      <c r="BXY97" s="167"/>
      <c r="BXZ97" s="168"/>
      <c r="BYA97" s="167"/>
      <c r="BYB97" s="168"/>
      <c r="BYC97" s="167"/>
      <c r="BYD97" s="168"/>
      <c r="BYE97" s="167"/>
      <c r="BYF97" s="168"/>
      <c r="BYG97" s="167"/>
      <c r="BYH97" s="168"/>
      <c r="BYI97" s="167"/>
      <c r="BYJ97" s="168"/>
      <c r="BYK97" s="167"/>
      <c r="BYL97" s="168"/>
      <c r="BYM97" s="167"/>
      <c r="BYN97" s="168"/>
      <c r="BYO97" s="167"/>
      <c r="BYP97" s="168"/>
      <c r="BYQ97" s="167"/>
      <c r="BYR97" s="168"/>
      <c r="BYS97" s="167"/>
      <c r="BYT97" s="168"/>
      <c r="BYU97" s="167"/>
      <c r="BYV97" s="168"/>
      <c r="BYW97" s="167"/>
      <c r="BYX97" s="168"/>
      <c r="BYY97" s="167"/>
      <c r="BYZ97" s="168"/>
      <c r="BZA97" s="167"/>
      <c r="BZB97" s="168"/>
      <c r="BZC97" s="167"/>
      <c r="BZD97" s="168"/>
      <c r="BZE97" s="167"/>
      <c r="BZF97" s="168"/>
      <c r="BZG97" s="167"/>
      <c r="BZH97" s="168"/>
      <c r="BZI97" s="167"/>
      <c r="BZJ97" s="168"/>
      <c r="BZK97" s="167"/>
      <c r="BZL97" s="168"/>
      <c r="BZM97" s="167"/>
      <c r="BZN97" s="168"/>
      <c r="BZO97" s="167"/>
      <c r="BZP97" s="168"/>
      <c r="BZQ97" s="167"/>
      <c r="BZR97" s="168"/>
      <c r="BZS97" s="167"/>
      <c r="BZT97" s="168"/>
      <c r="BZU97" s="167"/>
      <c r="BZV97" s="168"/>
      <c r="BZW97" s="167"/>
      <c r="BZX97" s="168"/>
      <c r="BZY97" s="167"/>
      <c r="BZZ97" s="168"/>
      <c r="CAA97" s="167"/>
      <c r="CAB97" s="168"/>
      <c r="CAC97" s="167"/>
      <c r="CAD97" s="168"/>
      <c r="CAE97" s="167"/>
      <c r="CAF97" s="168"/>
      <c r="CAG97" s="167"/>
      <c r="CAH97" s="168"/>
      <c r="CAI97" s="167"/>
      <c r="CAJ97" s="168"/>
      <c r="CAK97" s="167"/>
      <c r="CAL97" s="168"/>
      <c r="CAM97" s="167"/>
      <c r="CAN97" s="168"/>
      <c r="CAO97" s="167"/>
      <c r="CAP97" s="168"/>
      <c r="CAQ97" s="167"/>
      <c r="CAR97" s="168"/>
      <c r="CAS97" s="167"/>
      <c r="CAT97" s="168"/>
      <c r="CAU97" s="167"/>
      <c r="CAV97" s="168"/>
      <c r="CAW97" s="167"/>
      <c r="CAX97" s="168"/>
      <c r="CAY97" s="167"/>
      <c r="CAZ97" s="168"/>
      <c r="CBA97" s="167"/>
      <c r="CBB97" s="168"/>
      <c r="CBC97" s="167"/>
      <c r="CBD97" s="168"/>
      <c r="CBE97" s="167"/>
      <c r="CBF97" s="168"/>
      <c r="CBG97" s="167"/>
      <c r="CBH97" s="168"/>
      <c r="CBI97" s="167"/>
      <c r="CBJ97" s="168"/>
      <c r="CBK97" s="167"/>
      <c r="CBL97" s="168"/>
      <c r="CBM97" s="167"/>
      <c r="CBN97" s="168"/>
      <c r="CBO97" s="167"/>
      <c r="CBP97" s="168"/>
      <c r="CBQ97" s="167"/>
      <c r="CBR97" s="168"/>
      <c r="CBS97" s="167"/>
      <c r="CBT97" s="168"/>
      <c r="CBU97" s="167"/>
      <c r="CBV97" s="168"/>
      <c r="CBW97" s="167"/>
      <c r="CBX97" s="168"/>
      <c r="CBY97" s="167"/>
      <c r="CBZ97" s="168"/>
      <c r="CCA97" s="167"/>
      <c r="CCB97" s="168"/>
      <c r="CCC97" s="167"/>
      <c r="CCD97" s="168"/>
      <c r="CCE97" s="167"/>
      <c r="CCF97" s="168"/>
      <c r="CCG97" s="167"/>
      <c r="CCH97" s="168"/>
      <c r="CCI97" s="167"/>
      <c r="CCJ97" s="168"/>
      <c r="CCK97" s="167"/>
      <c r="CCL97" s="168"/>
      <c r="CCM97" s="167"/>
      <c r="CCN97" s="168"/>
      <c r="CCO97" s="167"/>
      <c r="CCP97" s="168"/>
      <c r="CCQ97" s="167"/>
      <c r="CCR97" s="168"/>
      <c r="CCS97" s="167"/>
      <c r="CCT97" s="168"/>
      <c r="CCU97" s="167"/>
      <c r="CCV97" s="168"/>
      <c r="CCW97" s="167"/>
      <c r="CCX97" s="168"/>
      <c r="CCY97" s="167"/>
      <c r="CCZ97" s="168"/>
      <c r="CDA97" s="167"/>
      <c r="CDB97" s="168"/>
      <c r="CDC97" s="167"/>
      <c r="CDD97" s="168"/>
      <c r="CDE97" s="167"/>
      <c r="CDF97" s="168"/>
      <c r="CDG97" s="167"/>
      <c r="CDH97" s="168"/>
      <c r="CDI97" s="167"/>
      <c r="CDJ97" s="168"/>
      <c r="CDK97" s="167"/>
      <c r="CDL97" s="168"/>
      <c r="CDM97" s="167"/>
      <c r="CDN97" s="168"/>
      <c r="CDO97" s="167"/>
      <c r="CDP97" s="168"/>
      <c r="CDQ97" s="167"/>
      <c r="CDR97" s="168"/>
      <c r="CDS97" s="167"/>
      <c r="CDT97" s="168"/>
      <c r="CDU97" s="167"/>
      <c r="CDV97" s="168"/>
      <c r="CDW97" s="167"/>
      <c r="CDX97" s="168"/>
      <c r="CDY97" s="167"/>
      <c r="CDZ97" s="168"/>
      <c r="CEA97" s="167"/>
      <c r="CEB97" s="168"/>
      <c r="CEC97" s="167"/>
      <c r="CED97" s="168"/>
      <c r="CEE97" s="167"/>
      <c r="CEF97" s="168"/>
      <c r="CEG97" s="167"/>
      <c r="CEH97" s="168"/>
      <c r="CEI97" s="167"/>
      <c r="CEJ97" s="168"/>
      <c r="CEK97" s="167"/>
      <c r="CEL97" s="168"/>
      <c r="CEM97" s="167"/>
      <c r="CEN97" s="168"/>
      <c r="CEO97" s="167"/>
      <c r="CEP97" s="168"/>
      <c r="CEQ97" s="167"/>
      <c r="CER97" s="168"/>
      <c r="CES97" s="167"/>
      <c r="CET97" s="168"/>
      <c r="CEU97" s="167"/>
      <c r="CEV97" s="168"/>
      <c r="CEW97" s="167"/>
      <c r="CEX97" s="168"/>
      <c r="CEY97" s="167"/>
      <c r="CEZ97" s="168"/>
      <c r="CFA97" s="167"/>
      <c r="CFB97" s="168"/>
      <c r="CFC97" s="167"/>
      <c r="CFD97" s="168"/>
      <c r="CFE97" s="167"/>
      <c r="CFF97" s="168"/>
      <c r="CFG97" s="167"/>
      <c r="CFH97" s="168"/>
      <c r="CFI97" s="167"/>
      <c r="CFJ97" s="168"/>
      <c r="CFK97" s="167"/>
      <c r="CFL97" s="168"/>
      <c r="CFM97" s="167"/>
      <c r="CFN97" s="168"/>
      <c r="CFO97" s="167"/>
      <c r="CFP97" s="168"/>
      <c r="CFQ97" s="167"/>
      <c r="CFR97" s="168"/>
      <c r="CFS97" s="167"/>
      <c r="CFT97" s="168"/>
      <c r="CFU97" s="167"/>
      <c r="CFV97" s="168"/>
      <c r="CFW97" s="167"/>
      <c r="CFX97" s="168"/>
      <c r="CFY97" s="167"/>
      <c r="CFZ97" s="168"/>
      <c r="CGA97" s="167"/>
      <c r="CGB97" s="168"/>
      <c r="CGC97" s="167"/>
      <c r="CGD97" s="168"/>
      <c r="CGE97" s="167"/>
      <c r="CGF97" s="168"/>
      <c r="CGG97" s="167"/>
      <c r="CGH97" s="168"/>
      <c r="CGI97" s="167"/>
      <c r="CGJ97" s="168"/>
      <c r="CGK97" s="167"/>
      <c r="CGL97" s="168"/>
      <c r="CGM97" s="167"/>
      <c r="CGN97" s="168"/>
      <c r="CGO97" s="167"/>
      <c r="CGP97" s="168"/>
      <c r="CGQ97" s="167"/>
      <c r="CGR97" s="168"/>
      <c r="CGS97" s="167"/>
      <c r="CGT97" s="168"/>
      <c r="CGU97" s="167"/>
      <c r="CGV97" s="168"/>
      <c r="CGW97" s="167"/>
      <c r="CGX97" s="168"/>
      <c r="CGY97" s="167"/>
      <c r="CGZ97" s="168"/>
      <c r="CHA97" s="167"/>
      <c r="CHB97" s="168"/>
      <c r="CHC97" s="167"/>
      <c r="CHD97" s="168"/>
      <c r="CHE97" s="167"/>
      <c r="CHF97" s="168"/>
      <c r="CHG97" s="167"/>
      <c r="CHH97" s="168"/>
      <c r="CHI97" s="167"/>
      <c r="CHJ97" s="168"/>
      <c r="CHK97" s="167"/>
      <c r="CHL97" s="168"/>
      <c r="CHM97" s="167"/>
      <c r="CHN97" s="168"/>
      <c r="CHO97" s="167"/>
      <c r="CHP97" s="168"/>
      <c r="CHQ97" s="167"/>
      <c r="CHR97" s="168"/>
      <c r="CHS97" s="167"/>
      <c r="CHT97" s="168"/>
      <c r="CHU97" s="167"/>
      <c r="CHV97" s="168"/>
      <c r="CHW97" s="167"/>
      <c r="CHX97" s="168"/>
      <c r="CHY97" s="167"/>
      <c r="CHZ97" s="168"/>
      <c r="CIA97" s="167"/>
      <c r="CIB97" s="168"/>
      <c r="CIC97" s="167"/>
      <c r="CID97" s="168"/>
      <c r="CIE97" s="167"/>
      <c r="CIF97" s="168"/>
      <c r="CIG97" s="167"/>
      <c r="CIH97" s="168"/>
      <c r="CII97" s="167"/>
      <c r="CIJ97" s="168"/>
      <c r="CIK97" s="167"/>
      <c r="CIL97" s="168"/>
      <c r="CIM97" s="167"/>
      <c r="CIN97" s="168"/>
      <c r="CIO97" s="167"/>
      <c r="CIP97" s="168"/>
      <c r="CIQ97" s="167"/>
      <c r="CIR97" s="168"/>
      <c r="CIS97" s="167"/>
      <c r="CIT97" s="168"/>
      <c r="CIU97" s="167"/>
      <c r="CIV97" s="168"/>
      <c r="CIW97" s="167"/>
      <c r="CIX97" s="168"/>
      <c r="CIY97" s="167"/>
      <c r="CIZ97" s="168"/>
      <c r="CJA97" s="167"/>
      <c r="CJB97" s="168"/>
      <c r="CJC97" s="167"/>
      <c r="CJD97" s="168"/>
      <c r="CJE97" s="167"/>
      <c r="CJF97" s="168"/>
      <c r="CJG97" s="167"/>
      <c r="CJH97" s="168"/>
      <c r="CJI97" s="167"/>
      <c r="CJJ97" s="168"/>
      <c r="CJK97" s="167"/>
      <c r="CJL97" s="168"/>
      <c r="CJM97" s="167"/>
      <c r="CJN97" s="168"/>
      <c r="CJO97" s="167"/>
      <c r="CJP97" s="168"/>
      <c r="CJQ97" s="167"/>
      <c r="CJR97" s="168"/>
      <c r="CJS97" s="167"/>
      <c r="CJT97" s="168"/>
      <c r="CJU97" s="167"/>
      <c r="CJV97" s="168"/>
      <c r="CJW97" s="167"/>
      <c r="CJX97" s="168"/>
      <c r="CJY97" s="167"/>
      <c r="CJZ97" s="168"/>
      <c r="CKA97" s="167"/>
      <c r="CKB97" s="168"/>
      <c r="CKC97" s="167"/>
      <c r="CKD97" s="168"/>
      <c r="CKE97" s="167"/>
      <c r="CKF97" s="168"/>
      <c r="CKG97" s="167"/>
      <c r="CKH97" s="168"/>
      <c r="CKI97" s="167"/>
      <c r="CKJ97" s="168"/>
      <c r="CKK97" s="167"/>
      <c r="CKL97" s="168"/>
      <c r="CKM97" s="167"/>
      <c r="CKN97" s="168"/>
      <c r="CKO97" s="167"/>
      <c r="CKP97" s="168"/>
      <c r="CKQ97" s="167"/>
      <c r="CKR97" s="168"/>
      <c r="CKS97" s="167"/>
      <c r="CKT97" s="168"/>
      <c r="CKU97" s="167"/>
      <c r="CKV97" s="168"/>
      <c r="CKW97" s="167"/>
      <c r="CKX97" s="168"/>
      <c r="CKY97" s="167"/>
      <c r="CKZ97" s="168"/>
      <c r="CLA97" s="167"/>
      <c r="CLB97" s="168"/>
      <c r="CLC97" s="167"/>
      <c r="CLD97" s="168"/>
      <c r="CLE97" s="167"/>
      <c r="CLF97" s="168"/>
      <c r="CLG97" s="167"/>
      <c r="CLH97" s="168"/>
      <c r="CLI97" s="167"/>
      <c r="CLJ97" s="168"/>
      <c r="CLK97" s="167"/>
      <c r="CLL97" s="168"/>
      <c r="CLM97" s="167"/>
      <c r="CLN97" s="168"/>
      <c r="CLO97" s="167"/>
      <c r="CLP97" s="168"/>
      <c r="CLQ97" s="167"/>
      <c r="CLR97" s="168"/>
      <c r="CLS97" s="167"/>
      <c r="CLT97" s="168"/>
      <c r="CLU97" s="167"/>
      <c r="CLV97" s="168"/>
      <c r="CLW97" s="167"/>
      <c r="CLX97" s="168"/>
      <c r="CLY97" s="167"/>
      <c r="CLZ97" s="168"/>
      <c r="CMA97" s="167"/>
      <c r="CMB97" s="168"/>
      <c r="CMC97" s="167"/>
      <c r="CMD97" s="168"/>
      <c r="CME97" s="167"/>
      <c r="CMF97" s="168"/>
      <c r="CMG97" s="167"/>
      <c r="CMH97" s="168"/>
      <c r="CMI97" s="167"/>
      <c r="CMJ97" s="168"/>
      <c r="CMK97" s="167"/>
      <c r="CML97" s="168"/>
      <c r="CMM97" s="167"/>
      <c r="CMN97" s="168"/>
      <c r="CMO97" s="167"/>
      <c r="CMP97" s="168"/>
      <c r="CMQ97" s="167"/>
      <c r="CMR97" s="168"/>
      <c r="CMS97" s="167"/>
      <c r="CMT97" s="168"/>
      <c r="CMU97" s="167"/>
      <c r="CMV97" s="168"/>
      <c r="CMW97" s="167"/>
      <c r="CMX97" s="168"/>
      <c r="CMY97" s="167"/>
      <c r="CMZ97" s="168"/>
      <c r="CNA97" s="167"/>
      <c r="CNB97" s="168"/>
      <c r="CNC97" s="167"/>
      <c r="CND97" s="168"/>
      <c r="CNE97" s="167"/>
      <c r="CNF97" s="168"/>
      <c r="CNG97" s="167"/>
      <c r="CNH97" s="168"/>
      <c r="CNI97" s="167"/>
      <c r="CNJ97" s="168"/>
      <c r="CNK97" s="167"/>
      <c r="CNL97" s="168"/>
      <c r="CNM97" s="167"/>
      <c r="CNN97" s="168"/>
      <c r="CNO97" s="167"/>
      <c r="CNP97" s="168"/>
      <c r="CNQ97" s="167"/>
      <c r="CNR97" s="168"/>
      <c r="CNS97" s="167"/>
      <c r="CNT97" s="168"/>
      <c r="CNU97" s="167"/>
      <c r="CNV97" s="168"/>
      <c r="CNW97" s="167"/>
      <c r="CNX97" s="168"/>
      <c r="CNY97" s="167"/>
      <c r="CNZ97" s="168"/>
      <c r="COA97" s="167"/>
      <c r="COB97" s="168"/>
      <c r="COC97" s="167"/>
      <c r="COD97" s="168"/>
      <c r="COE97" s="167"/>
      <c r="COF97" s="168"/>
      <c r="COG97" s="167"/>
      <c r="COH97" s="168"/>
      <c r="COI97" s="167"/>
      <c r="COJ97" s="168"/>
      <c r="COK97" s="167"/>
      <c r="COL97" s="168"/>
      <c r="COM97" s="167"/>
      <c r="CON97" s="168"/>
      <c r="COO97" s="167"/>
      <c r="COP97" s="168"/>
      <c r="COQ97" s="167"/>
      <c r="COR97" s="168"/>
      <c r="COS97" s="167"/>
      <c r="COT97" s="168"/>
      <c r="COU97" s="167"/>
      <c r="COV97" s="168"/>
      <c r="COW97" s="167"/>
      <c r="COX97" s="168"/>
      <c r="COY97" s="167"/>
      <c r="COZ97" s="168"/>
      <c r="CPA97" s="167"/>
      <c r="CPB97" s="168"/>
      <c r="CPC97" s="167"/>
      <c r="CPD97" s="168"/>
      <c r="CPE97" s="167"/>
      <c r="CPF97" s="168"/>
      <c r="CPG97" s="167"/>
      <c r="CPH97" s="168"/>
      <c r="CPI97" s="167"/>
      <c r="CPJ97" s="168"/>
      <c r="CPK97" s="167"/>
      <c r="CPL97" s="168"/>
      <c r="CPM97" s="167"/>
      <c r="CPN97" s="168"/>
      <c r="CPO97" s="167"/>
      <c r="CPP97" s="168"/>
      <c r="CPQ97" s="167"/>
      <c r="CPR97" s="168"/>
      <c r="CPS97" s="167"/>
      <c r="CPT97" s="168"/>
      <c r="CPU97" s="167"/>
      <c r="CPV97" s="168"/>
      <c r="CPW97" s="167"/>
      <c r="CPX97" s="168"/>
      <c r="CPY97" s="167"/>
      <c r="CPZ97" s="168"/>
      <c r="CQA97" s="167"/>
      <c r="CQB97" s="168"/>
      <c r="CQC97" s="167"/>
      <c r="CQD97" s="168"/>
      <c r="CQE97" s="167"/>
      <c r="CQF97" s="168"/>
      <c r="CQG97" s="167"/>
      <c r="CQH97" s="168"/>
      <c r="CQI97" s="167"/>
      <c r="CQJ97" s="168"/>
      <c r="CQK97" s="167"/>
      <c r="CQL97" s="168"/>
      <c r="CQM97" s="167"/>
      <c r="CQN97" s="168"/>
      <c r="CQO97" s="167"/>
      <c r="CQP97" s="168"/>
      <c r="CQQ97" s="167"/>
      <c r="CQR97" s="168"/>
      <c r="CQS97" s="167"/>
      <c r="CQT97" s="168"/>
      <c r="CQU97" s="167"/>
      <c r="CQV97" s="168"/>
      <c r="CQW97" s="167"/>
      <c r="CQX97" s="168"/>
      <c r="CQY97" s="167"/>
      <c r="CQZ97" s="168"/>
      <c r="CRA97" s="167"/>
      <c r="CRB97" s="168"/>
      <c r="CRC97" s="167"/>
      <c r="CRD97" s="168"/>
      <c r="CRE97" s="167"/>
      <c r="CRF97" s="168"/>
      <c r="CRG97" s="167"/>
      <c r="CRH97" s="168"/>
      <c r="CRI97" s="167"/>
      <c r="CRJ97" s="168"/>
      <c r="CRK97" s="167"/>
      <c r="CRL97" s="168"/>
      <c r="CRM97" s="167"/>
      <c r="CRN97" s="168"/>
      <c r="CRO97" s="167"/>
      <c r="CRP97" s="168"/>
      <c r="CRQ97" s="167"/>
      <c r="CRR97" s="168"/>
      <c r="CRS97" s="167"/>
      <c r="CRT97" s="168"/>
      <c r="CRU97" s="167"/>
      <c r="CRV97" s="168"/>
      <c r="CRW97" s="167"/>
      <c r="CRX97" s="168"/>
      <c r="CRY97" s="167"/>
      <c r="CRZ97" s="168"/>
      <c r="CSA97" s="167"/>
      <c r="CSB97" s="168"/>
      <c r="CSC97" s="167"/>
      <c r="CSD97" s="168"/>
      <c r="CSE97" s="167"/>
      <c r="CSF97" s="168"/>
      <c r="CSG97" s="167"/>
      <c r="CSH97" s="168"/>
      <c r="CSI97" s="167"/>
      <c r="CSJ97" s="168"/>
      <c r="CSK97" s="167"/>
      <c r="CSL97" s="168"/>
      <c r="CSM97" s="167"/>
      <c r="CSN97" s="168"/>
      <c r="CSO97" s="167"/>
      <c r="CSP97" s="168"/>
      <c r="CSQ97" s="167"/>
      <c r="CSR97" s="168"/>
      <c r="CSS97" s="167"/>
      <c r="CST97" s="168"/>
      <c r="CSU97" s="167"/>
      <c r="CSV97" s="168"/>
      <c r="CSW97" s="167"/>
      <c r="CSX97" s="168"/>
      <c r="CSY97" s="167"/>
      <c r="CSZ97" s="168"/>
      <c r="CTA97" s="167"/>
      <c r="CTB97" s="168"/>
      <c r="CTC97" s="167"/>
      <c r="CTD97" s="168"/>
      <c r="CTE97" s="167"/>
      <c r="CTF97" s="168"/>
      <c r="CTG97" s="167"/>
      <c r="CTH97" s="168"/>
      <c r="CTI97" s="167"/>
      <c r="CTJ97" s="168"/>
      <c r="CTK97" s="167"/>
      <c r="CTL97" s="168"/>
      <c r="CTM97" s="167"/>
      <c r="CTN97" s="168"/>
      <c r="CTO97" s="167"/>
      <c r="CTP97" s="168"/>
      <c r="CTQ97" s="167"/>
      <c r="CTR97" s="168"/>
      <c r="CTS97" s="167"/>
      <c r="CTT97" s="168"/>
      <c r="CTU97" s="167"/>
      <c r="CTV97" s="168"/>
      <c r="CTW97" s="167"/>
      <c r="CTX97" s="168"/>
      <c r="CTY97" s="167"/>
      <c r="CTZ97" s="168"/>
      <c r="CUA97" s="167"/>
      <c r="CUB97" s="168"/>
      <c r="CUC97" s="167"/>
      <c r="CUD97" s="168"/>
      <c r="CUE97" s="167"/>
      <c r="CUF97" s="168"/>
      <c r="CUG97" s="167"/>
      <c r="CUH97" s="168"/>
      <c r="CUI97" s="167"/>
      <c r="CUJ97" s="168"/>
      <c r="CUK97" s="167"/>
      <c r="CUL97" s="168"/>
      <c r="CUM97" s="167"/>
      <c r="CUN97" s="168"/>
      <c r="CUO97" s="167"/>
      <c r="CUP97" s="168"/>
      <c r="CUQ97" s="167"/>
      <c r="CUR97" s="168"/>
      <c r="CUS97" s="167"/>
      <c r="CUT97" s="168"/>
      <c r="CUU97" s="167"/>
      <c r="CUV97" s="168"/>
      <c r="CUW97" s="167"/>
      <c r="CUX97" s="168"/>
      <c r="CUY97" s="167"/>
      <c r="CUZ97" s="168"/>
      <c r="CVA97" s="167"/>
      <c r="CVB97" s="168"/>
      <c r="CVC97" s="167"/>
      <c r="CVD97" s="168"/>
      <c r="CVE97" s="167"/>
      <c r="CVF97" s="168"/>
      <c r="CVG97" s="167"/>
      <c r="CVH97" s="168"/>
      <c r="CVI97" s="167"/>
      <c r="CVJ97" s="168"/>
      <c r="CVK97" s="167"/>
      <c r="CVL97" s="168"/>
      <c r="CVM97" s="167"/>
      <c r="CVN97" s="168"/>
      <c r="CVO97" s="167"/>
      <c r="CVP97" s="168"/>
      <c r="CVQ97" s="167"/>
      <c r="CVR97" s="168"/>
      <c r="CVS97" s="167"/>
      <c r="CVT97" s="168"/>
      <c r="CVU97" s="167"/>
      <c r="CVV97" s="168"/>
      <c r="CVW97" s="167"/>
      <c r="CVX97" s="168"/>
      <c r="CVY97" s="167"/>
      <c r="CVZ97" s="168"/>
      <c r="CWA97" s="167"/>
      <c r="CWB97" s="168"/>
      <c r="CWC97" s="167"/>
      <c r="CWD97" s="168"/>
      <c r="CWE97" s="167"/>
      <c r="CWF97" s="168"/>
      <c r="CWG97" s="167"/>
      <c r="CWH97" s="168"/>
      <c r="CWI97" s="167"/>
      <c r="CWJ97" s="168"/>
      <c r="CWK97" s="167"/>
      <c r="CWL97" s="168"/>
      <c r="CWM97" s="167"/>
      <c r="CWN97" s="168"/>
      <c r="CWO97" s="167"/>
      <c r="CWP97" s="168"/>
      <c r="CWQ97" s="167"/>
      <c r="CWR97" s="168"/>
      <c r="CWS97" s="167"/>
      <c r="CWT97" s="168"/>
      <c r="CWU97" s="167"/>
      <c r="CWV97" s="168"/>
      <c r="CWW97" s="167"/>
      <c r="CWX97" s="168"/>
      <c r="CWY97" s="167"/>
      <c r="CWZ97" s="168"/>
      <c r="CXA97" s="167"/>
      <c r="CXB97" s="168"/>
      <c r="CXC97" s="167"/>
      <c r="CXD97" s="168"/>
      <c r="CXE97" s="167"/>
      <c r="CXF97" s="168"/>
      <c r="CXG97" s="167"/>
      <c r="CXH97" s="168"/>
      <c r="CXI97" s="167"/>
      <c r="CXJ97" s="168"/>
      <c r="CXK97" s="167"/>
      <c r="CXL97" s="168"/>
      <c r="CXM97" s="167"/>
      <c r="CXN97" s="168"/>
      <c r="CXO97" s="167"/>
      <c r="CXP97" s="168"/>
      <c r="CXQ97" s="167"/>
      <c r="CXR97" s="168"/>
      <c r="CXS97" s="167"/>
      <c r="CXT97" s="168"/>
      <c r="CXU97" s="167"/>
      <c r="CXV97" s="168"/>
      <c r="CXW97" s="167"/>
      <c r="CXX97" s="168"/>
      <c r="CXY97" s="167"/>
      <c r="CXZ97" s="168"/>
      <c r="CYA97" s="167"/>
      <c r="CYB97" s="168"/>
      <c r="CYC97" s="167"/>
      <c r="CYD97" s="168"/>
      <c r="CYE97" s="167"/>
      <c r="CYF97" s="168"/>
      <c r="CYG97" s="167"/>
      <c r="CYH97" s="168"/>
      <c r="CYI97" s="167"/>
      <c r="CYJ97" s="168"/>
      <c r="CYK97" s="167"/>
      <c r="CYL97" s="168"/>
      <c r="CYM97" s="167"/>
      <c r="CYN97" s="168"/>
      <c r="CYO97" s="167"/>
      <c r="CYP97" s="168"/>
      <c r="CYQ97" s="167"/>
      <c r="CYR97" s="168"/>
      <c r="CYS97" s="167"/>
      <c r="CYT97" s="168"/>
      <c r="CYU97" s="167"/>
      <c r="CYV97" s="168"/>
      <c r="CYW97" s="167"/>
      <c r="CYX97" s="168"/>
      <c r="CYY97" s="167"/>
      <c r="CYZ97" s="168"/>
      <c r="CZA97" s="167"/>
      <c r="CZB97" s="168"/>
      <c r="CZC97" s="167"/>
      <c r="CZD97" s="168"/>
      <c r="CZE97" s="167"/>
      <c r="CZF97" s="168"/>
      <c r="CZG97" s="167"/>
      <c r="CZH97" s="168"/>
      <c r="CZI97" s="167"/>
      <c r="CZJ97" s="168"/>
      <c r="CZK97" s="167"/>
      <c r="CZL97" s="168"/>
      <c r="CZM97" s="167"/>
      <c r="CZN97" s="168"/>
      <c r="CZO97" s="167"/>
      <c r="CZP97" s="168"/>
      <c r="CZQ97" s="167"/>
      <c r="CZR97" s="168"/>
      <c r="CZS97" s="167"/>
      <c r="CZT97" s="168"/>
      <c r="CZU97" s="167"/>
      <c r="CZV97" s="168"/>
      <c r="CZW97" s="167"/>
      <c r="CZX97" s="168"/>
      <c r="CZY97" s="167"/>
      <c r="CZZ97" s="168"/>
      <c r="DAA97" s="167"/>
      <c r="DAB97" s="168"/>
      <c r="DAC97" s="167"/>
      <c r="DAD97" s="168"/>
      <c r="DAE97" s="167"/>
      <c r="DAF97" s="168"/>
      <c r="DAG97" s="167"/>
      <c r="DAH97" s="168"/>
      <c r="DAI97" s="167"/>
      <c r="DAJ97" s="168"/>
      <c r="DAK97" s="167"/>
      <c r="DAL97" s="168"/>
      <c r="DAM97" s="167"/>
      <c r="DAN97" s="168"/>
      <c r="DAO97" s="167"/>
      <c r="DAP97" s="168"/>
      <c r="DAQ97" s="167"/>
      <c r="DAR97" s="168"/>
      <c r="DAS97" s="167"/>
      <c r="DAT97" s="168"/>
      <c r="DAU97" s="167"/>
      <c r="DAV97" s="168"/>
      <c r="DAW97" s="167"/>
      <c r="DAX97" s="168"/>
      <c r="DAY97" s="167"/>
      <c r="DAZ97" s="168"/>
      <c r="DBA97" s="167"/>
      <c r="DBB97" s="168"/>
      <c r="DBC97" s="167"/>
      <c r="DBD97" s="168"/>
      <c r="DBE97" s="167"/>
      <c r="DBF97" s="168"/>
      <c r="DBG97" s="167"/>
      <c r="DBH97" s="168"/>
      <c r="DBI97" s="167"/>
      <c r="DBJ97" s="168"/>
      <c r="DBK97" s="167"/>
      <c r="DBL97" s="168"/>
      <c r="DBM97" s="167"/>
      <c r="DBN97" s="168"/>
      <c r="DBO97" s="167"/>
      <c r="DBP97" s="168"/>
      <c r="DBQ97" s="167"/>
      <c r="DBR97" s="168"/>
      <c r="DBS97" s="167"/>
      <c r="DBT97" s="168"/>
      <c r="DBU97" s="167"/>
      <c r="DBV97" s="168"/>
      <c r="DBW97" s="167"/>
      <c r="DBX97" s="168"/>
      <c r="DBY97" s="167"/>
      <c r="DBZ97" s="168"/>
      <c r="DCA97" s="167"/>
      <c r="DCB97" s="168"/>
      <c r="DCC97" s="167"/>
      <c r="DCD97" s="168"/>
      <c r="DCE97" s="167"/>
      <c r="DCF97" s="168"/>
      <c r="DCG97" s="167"/>
      <c r="DCH97" s="168"/>
      <c r="DCI97" s="167"/>
      <c r="DCJ97" s="168"/>
      <c r="DCK97" s="167"/>
      <c r="DCL97" s="168"/>
      <c r="DCM97" s="167"/>
      <c r="DCN97" s="168"/>
      <c r="DCO97" s="167"/>
      <c r="DCP97" s="168"/>
      <c r="DCQ97" s="167"/>
      <c r="DCR97" s="168"/>
      <c r="DCS97" s="167"/>
      <c r="DCT97" s="168"/>
      <c r="DCU97" s="167"/>
      <c r="DCV97" s="168"/>
      <c r="DCW97" s="167"/>
      <c r="DCX97" s="168"/>
      <c r="DCY97" s="167"/>
      <c r="DCZ97" s="168"/>
      <c r="DDA97" s="167"/>
      <c r="DDB97" s="168"/>
      <c r="DDC97" s="167"/>
      <c r="DDD97" s="168"/>
      <c r="DDE97" s="167"/>
      <c r="DDF97" s="168"/>
      <c r="DDG97" s="167"/>
      <c r="DDH97" s="168"/>
      <c r="DDI97" s="167"/>
      <c r="DDJ97" s="168"/>
      <c r="DDK97" s="167"/>
      <c r="DDL97" s="168"/>
      <c r="DDM97" s="167"/>
      <c r="DDN97" s="168"/>
      <c r="DDO97" s="167"/>
      <c r="DDP97" s="168"/>
      <c r="DDQ97" s="167"/>
      <c r="DDR97" s="168"/>
      <c r="DDS97" s="167"/>
      <c r="DDT97" s="168"/>
      <c r="DDU97" s="167"/>
      <c r="DDV97" s="168"/>
      <c r="DDW97" s="167"/>
      <c r="DDX97" s="168"/>
      <c r="DDY97" s="167"/>
      <c r="DDZ97" s="168"/>
      <c r="DEA97" s="167"/>
      <c r="DEB97" s="168"/>
      <c r="DEC97" s="167"/>
      <c r="DED97" s="168"/>
      <c r="DEE97" s="167"/>
      <c r="DEF97" s="168"/>
      <c r="DEG97" s="167"/>
      <c r="DEH97" s="168"/>
      <c r="DEI97" s="167"/>
      <c r="DEJ97" s="168"/>
      <c r="DEK97" s="167"/>
      <c r="DEL97" s="168"/>
      <c r="DEM97" s="167"/>
      <c r="DEN97" s="168"/>
      <c r="DEO97" s="167"/>
      <c r="DEP97" s="168"/>
      <c r="DEQ97" s="167"/>
      <c r="DER97" s="168"/>
      <c r="DES97" s="167"/>
      <c r="DET97" s="168"/>
      <c r="DEU97" s="167"/>
      <c r="DEV97" s="168"/>
      <c r="DEW97" s="167"/>
      <c r="DEX97" s="168"/>
      <c r="DEY97" s="167"/>
      <c r="DEZ97" s="168"/>
      <c r="DFA97" s="167"/>
      <c r="DFB97" s="168"/>
      <c r="DFC97" s="167"/>
      <c r="DFD97" s="168"/>
      <c r="DFE97" s="167"/>
      <c r="DFF97" s="168"/>
      <c r="DFG97" s="167"/>
      <c r="DFH97" s="168"/>
      <c r="DFI97" s="167"/>
      <c r="DFJ97" s="168"/>
      <c r="DFK97" s="167"/>
      <c r="DFL97" s="168"/>
      <c r="DFM97" s="167"/>
      <c r="DFN97" s="168"/>
      <c r="DFO97" s="167"/>
      <c r="DFP97" s="168"/>
      <c r="DFQ97" s="167"/>
      <c r="DFR97" s="168"/>
      <c r="DFS97" s="167"/>
      <c r="DFT97" s="168"/>
      <c r="DFU97" s="167"/>
      <c r="DFV97" s="168"/>
      <c r="DFW97" s="167"/>
      <c r="DFX97" s="168"/>
      <c r="DFY97" s="167"/>
      <c r="DFZ97" s="168"/>
      <c r="DGA97" s="167"/>
      <c r="DGB97" s="168"/>
      <c r="DGC97" s="167"/>
      <c r="DGD97" s="168"/>
      <c r="DGE97" s="167"/>
      <c r="DGF97" s="168"/>
      <c r="DGG97" s="167"/>
      <c r="DGH97" s="168"/>
      <c r="DGI97" s="167"/>
      <c r="DGJ97" s="168"/>
      <c r="DGK97" s="167"/>
      <c r="DGL97" s="168"/>
      <c r="DGM97" s="167"/>
      <c r="DGN97" s="168"/>
      <c r="DGO97" s="167"/>
      <c r="DGP97" s="168"/>
      <c r="DGQ97" s="167"/>
      <c r="DGR97" s="168"/>
      <c r="DGS97" s="167"/>
      <c r="DGT97" s="168"/>
      <c r="DGU97" s="167"/>
      <c r="DGV97" s="168"/>
      <c r="DGW97" s="167"/>
      <c r="DGX97" s="168"/>
      <c r="DGY97" s="167"/>
      <c r="DGZ97" s="168"/>
      <c r="DHA97" s="167"/>
      <c r="DHB97" s="168"/>
      <c r="DHC97" s="167"/>
      <c r="DHD97" s="168"/>
      <c r="DHE97" s="167"/>
      <c r="DHF97" s="168"/>
      <c r="DHG97" s="167"/>
      <c r="DHH97" s="168"/>
      <c r="DHI97" s="167"/>
      <c r="DHJ97" s="168"/>
      <c r="DHK97" s="167"/>
      <c r="DHL97" s="168"/>
      <c r="DHM97" s="167"/>
      <c r="DHN97" s="168"/>
      <c r="DHO97" s="167"/>
      <c r="DHP97" s="168"/>
      <c r="DHQ97" s="167"/>
      <c r="DHR97" s="168"/>
      <c r="DHS97" s="167"/>
      <c r="DHT97" s="168"/>
      <c r="DHU97" s="167"/>
      <c r="DHV97" s="168"/>
      <c r="DHW97" s="167"/>
      <c r="DHX97" s="168"/>
      <c r="DHY97" s="167"/>
      <c r="DHZ97" s="168"/>
      <c r="DIA97" s="167"/>
      <c r="DIB97" s="168"/>
      <c r="DIC97" s="167"/>
      <c r="DID97" s="168"/>
      <c r="DIE97" s="167"/>
      <c r="DIF97" s="168"/>
      <c r="DIG97" s="167"/>
      <c r="DIH97" s="168"/>
      <c r="DII97" s="167"/>
      <c r="DIJ97" s="168"/>
      <c r="DIK97" s="167"/>
      <c r="DIL97" s="168"/>
      <c r="DIM97" s="167"/>
      <c r="DIN97" s="168"/>
      <c r="DIO97" s="167"/>
      <c r="DIP97" s="168"/>
      <c r="DIQ97" s="167"/>
      <c r="DIR97" s="168"/>
      <c r="DIS97" s="167"/>
      <c r="DIT97" s="168"/>
      <c r="DIU97" s="167"/>
      <c r="DIV97" s="168"/>
      <c r="DIW97" s="167"/>
      <c r="DIX97" s="168"/>
      <c r="DIY97" s="167"/>
      <c r="DIZ97" s="168"/>
      <c r="DJA97" s="167"/>
      <c r="DJB97" s="168"/>
      <c r="DJC97" s="167"/>
      <c r="DJD97" s="168"/>
      <c r="DJE97" s="167"/>
      <c r="DJF97" s="168"/>
      <c r="DJG97" s="167"/>
      <c r="DJH97" s="168"/>
      <c r="DJI97" s="167"/>
      <c r="DJJ97" s="168"/>
      <c r="DJK97" s="167"/>
      <c r="DJL97" s="168"/>
      <c r="DJM97" s="167"/>
      <c r="DJN97" s="168"/>
      <c r="DJO97" s="167"/>
      <c r="DJP97" s="168"/>
      <c r="DJQ97" s="167"/>
      <c r="DJR97" s="168"/>
      <c r="DJS97" s="167"/>
      <c r="DJT97" s="168"/>
      <c r="DJU97" s="167"/>
      <c r="DJV97" s="168"/>
      <c r="DJW97" s="167"/>
      <c r="DJX97" s="168"/>
      <c r="DJY97" s="167"/>
      <c r="DJZ97" s="168"/>
      <c r="DKA97" s="167"/>
      <c r="DKB97" s="168"/>
      <c r="DKC97" s="167"/>
      <c r="DKD97" s="168"/>
      <c r="DKE97" s="167"/>
      <c r="DKF97" s="168"/>
      <c r="DKG97" s="167"/>
      <c r="DKH97" s="168"/>
      <c r="DKI97" s="167"/>
      <c r="DKJ97" s="168"/>
      <c r="DKK97" s="167"/>
      <c r="DKL97" s="168"/>
      <c r="DKM97" s="167"/>
      <c r="DKN97" s="168"/>
      <c r="DKO97" s="167"/>
      <c r="DKP97" s="168"/>
      <c r="DKQ97" s="167"/>
      <c r="DKR97" s="168"/>
      <c r="DKS97" s="167"/>
      <c r="DKT97" s="168"/>
      <c r="DKU97" s="167"/>
      <c r="DKV97" s="168"/>
      <c r="DKW97" s="167"/>
      <c r="DKX97" s="168"/>
      <c r="DKY97" s="167"/>
      <c r="DKZ97" s="168"/>
      <c r="DLA97" s="167"/>
      <c r="DLB97" s="168"/>
      <c r="DLC97" s="167"/>
      <c r="DLD97" s="168"/>
      <c r="DLE97" s="167"/>
      <c r="DLF97" s="168"/>
      <c r="DLG97" s="167"/>
      <c r="DLH97" s="168"/>
      <c r="DLI97" s="167"/>
      <c r="DLJ97" s="168"/>
      <c r="DLK97" s="167"/>
      <c r="DLL97" s="168"/>
      <c r="DLM97" s="167"/>
      <c r="DLN97" s="168"/>
      <c r="DLO97" s="167"/>
      <c r="DLP97" s="168"/>
      <c r="DLQ97" s="167"/>
      <c r="DLR97" s="168"/>
      <c r="DLS97" s="167"/>
      <c r="DLT97" s="168"/>
      <c r="DLU97" s="167"/>
      <c r="DLV97" s="168"/>
      <c r="DLW97" s="167"/>
      <c r="DLX97" s="168"/>
      <c r="DLY97" s="167"/>
      <c r="DLZ97" s="168"/>
      <c r="DMA97" s="167"/>
      <c r="DMB97" s="168"/>
      <c r="DMC97" s="167"/>
      <c r="DMD97" s="168"/>
      <c r="DME97" s="167"/>
      <c r="DMF97" s="168"/>
      <c r="DMG97" s="167"/>
      <c r="DMH97" s="168"/>
      <c r="DMI97" s="167"/>
      <c r="DMJ97" s="168"/>
      <c r="DMK97" s="167"/>
      <c r="DML97" s="168"/>
      <c r="DMM97" s="167"/>
      <c r="DMN97" s="168"/>
      <c r="DMO97" s="167"/>
      <c r="DMP97" s="168"/>
      <c r="DMQ97" s="167"/>
      <c r="DMR97" s="168"/>
      <c r="DMS97" s="167"/>
      <c r="DMT97" s="168"/>
      <c r="DMU97" s="167"/>
      <c r="DMV97" s="168"/>
      <c r="DMW97" s="167"/>
      <c r="DMX97" s="168"/>
      <c r="DMY97" s="167"/>
      <c r="DMZ97" s="168"/>
      <c r="DNA97" s="167"/>
      <c r="DNB97" s="168"/>
      <c r="DNC97" s="167"/>
      <c r="DND97" s="168"/>
      <c r="DNE97" s="167"/>
      <c r="DNF97" s="168"/>
      <c r="DNG97" s="167"/>
      <c r="DNH97" s="168"/>
      <c r="DNI97" s="167"/>
      <c r="DNJ97" s="168"/>
      <c r="DNK97" s="167"/>
      <c r="DNL97" s="168"/>
      <c r="DNM97" s="167"/>
      <c r="DNN97" s="168"/>
      <c r="DNO97" s="167"/>
      <c r="DNP97" s="168"/>
      <c r="DNQ97" s="167"/>
      <c r="DNR97" s="168"/>
      <c r="DNS97" s="167"/>
      <c r="DNT97" s="168"/>
      <c r="DNU97" s="167"/>
      <c r="DNV97" s="168"/>
      <c r="DNW97" s="167"/>
      <c r="DNX97" s="168"/>
      <c r="DNY97" s="167"/>
      <c r="DNZ97" s="168"/>
      <c r="DOA97" s="167"/>
      <c r="DOB97" s="168"/>
      <c r="DOC97" s="167"/>
      <c r="DOD97" s="168"/>
      <c r="DOE97" s="167"/>
      <c r="DOF97" s="168"/>
      <c r="DOG97" s="167"/>
      <c r="DOH97" s="168"/>
      <c r="DOI97" s="167"/>
      <c r="DOJ97" s="168"/>
      <c r="DOK97" s="167"/>
      <c r="DOL97" s="168"/>
      <c r="DOM97" s="167"/>
      <c r="DON97" s="168"/>
      <c r="DOO97" s="167"/>
      <c r="DOP97" s="168"/>
      <c r="DOQ97" s="167"/>
      <c r="DOR97" s="168"/>
      <c r="DOS97" s="167"/>
      <c r="DOT97" s="168"/>
      <c r="DOU97" s="167"/>
      <c r="DOV97" s="168"/>
      <c r="DOW97" s="167"/>
      <c r="DOX97" s="168"/>
      <c r="DOY97" s="167"/>
      <c r="DOZ97" s="168"/>
      <c r="DPA97" s="167"/>
      <c r="DPB97" s="168"/>
      <c r="DPC97" s="167"/>
      <c r="DPD97" s="168"/>
      <c r="DPE97" s="167"/>
      <c r="DPF97" s="168"/>
      <c r="DPG97" s="167"/>
      <c r="DPH97" s="168"/>
      <c r="DPI97" s="167"/>
      <c r="DPJ97" s="168"/>
      <c r="DPK97" s="167"/>
      <c r="DPL97" s="168"/>
      <c r="DPM97" s="167"/>
      <c r="DPN97" s="168"/>
      <c r="DPO97" s="167"/>
      <c r="DPP97" s="168"/>
      <c r="DPQ97" s="167"/>
      <c r="DPR97" s="168"/>
      <c r="DPS97" s="167"/>
      <c r="DPT97" s="168"/>
      <c r="DPU97" s="167"/>
      <c r="DPV97" s="168"/>
      <c r="DPW97" s="167"/>
      <c r="DPX97" s="168"/>
      <c r="DPY97" s="167"/>
      <c r="DPZ97" s="168"/>
      <c r="DQA97" s="167"/>
      <c r="DQB97" s="168"/>
      <c r="DQC97" s="167"/>
      <c r="DQD97" s="168"/>
      <c r="DQE97" s="167"/>
      <c r="DQF97" s="168"/>
      <c r="DQG97" s="167"/>
      <c r="DQH97" s="168"/>
      <c r="DQI97" s="167"/>
      <c r="DQJ97" s="168"/>
      <c r="DQK97" s="167"/>
      <c r="DQL97" s="168"/>
      <c r="DQM97" s="167"/>
      <c r="DQN97" s="168"/>
      <c r="DQO97" s="167"/>
      <c r="DQP97" s="168"/>
      <c r="DQQ97" s="167"/>
      <c r="DQR97" s="168"/>
      <c r="DQS97" s="167"/>
      <c r="DQT97" s="168"/>
      <c r="DQU97" s="167"/>
      <c r="DQV97" s="168"/>
      <c r="DQW97" s="167"/>
      <c r="DQX97" s="168"/>
      <c r="DQY97" s="167"/>
      <c r="DQZ97" s="168"/>
      <c r="DRA97" s="167"/>
      <c r="DRB97" s="168"/>
      <c r="DRC97" s="167"/>
      <c r="DRD97" s="168"/>
      <c r="DRE97" s="167"/>
      <c r="DRF97" s="168"/>
      <c r="DRG97" s="167"/>
      <c r="DRH97" s="168"/>
      <c r="DRI97" s="167"/>
      <c r="DRJ97" s="168"/>
      <c r="DRK97" s="167"/>
      <c r="DRL97" s="168"/>
      <c r="DRM97" s="167"/>
      <c r="DRN97" s="168"/>
      <c r="DRO97" s="167"/>
      <c r="DRP97" s="168"/>
      <c r="DRQ97" s="167"/>
      <c r="DRR97" s="168"/>
      <c r="DRS97" s="167"/>
      <c r="DRT97" s="168"/>
      <c r="DRU97" s="167"/>
      <c r="DRV97" s="168"/>
      <c r="DRW97" s="167"/>
      <c r="DRX97" s="168"/>
      <c r="DRY97" s="167"/>
      <c r="DRZ97" s="168"/>
      <c r="DSA97" s="167"/>
      <c r="DSB97" s="168"/>
      <c r="DSC97" s="167"/>
      <c r="DSD97" s="168"/>
      <c r="DSE97" s="167"/>
      <c r="DSF97" s="168"/>
      <c r="DSG97" s="167"/>
      <c r="DSH97" s="168"/>
      <c r="DSI97" s="167"/>
      <c r="DSJ97" s="168"/>
      <c r="DSK97" s="167"/>
      <c r="DSL97" s="168"/>
      <c r="DSM97" s="167"/>
      <c r="DSN97" s="168"/>
      <c r="DSO97" s="167"/>
      <c r="DSP97" s="168"/>
      <c r="DSQ97" s="167"/>
      <c r="DSR97" s="168"/>
      <c r="DSS97" s="167"/>
      <c r="DST97" s="168"/>
      <c r="DSU97" s="167"/>
      <c r="DSV97" s="168"/>
      <c r="DSW97" s="167"/>
      <c r="DSX97" s="168"/>
      <c r="DSY97" s="167"/>
      <c r="DSZ97" s="168"/>
      <c r="DTA97" s="167"/>
      <c r="DTB97" s="168"/>
      <c r="DTC97" s="167"/>
      <c r="DTD97" s="168"/>
      <c r="DTE97" s="167"/>
      <c r="DTF97" s="168"/>
      <c r="DTG97" s="167"/>
      <c r="DTH97" s="168"/>
      <c r="DTI97" s="167"/>
      <c r="DTJ97" s="168"/>
      <c r="DTK97" s="167"/>
      <c r="DTL97" s="168"/>
      <c r="DTM97" s="167"/>
      <c r="DTN97" s="168"/>
      <c r="DTO97" s="167"/>
      <c r="DTP97" s="168"/>
      <c r="DTQ97" s="167"/>
      <c r="DTR97" s="168"/>
      <c r="DTS97" s="167"/>
      <c r="DTT97" s="168"/>
      <c r="DTU97" s="167"/>
      <c r="DTV97" s="168"/>
      <c r="DTW97" s="167"/>
      <c r="DTX97" s="168"/>
      <c r="DTY97" s="167"/>
      <c r="DTZ97" s="168"/>
      <c r="DUA97" s="167"/>
      <c r="DUB97" s="168"/>
      <c r="DUC97" s="167"/>
      <c r="DUD97" s="168"/>
      <c r="DUE97" s="167"/>
      <c r="DUF97" s="168"/>
      <c r="DUG97" s="167"/>
      <c r="DUH97" s="168"/>
      <c r="DUI97" s="167"/>
      <c r="DUJ97" s="168"/>
      <c r="DUK97" s="167"/>
      <c r="DUL97" s="168"/>
      <c r="DUM97" s="167"/>
      <c r="DUN97" s="168"/>
      <c r="DUO97" s="167"/>
      <c r="DUP97" s="168"/>
      <c r="DUQ97" s="167"/>
      <c r="DUR97" s="168"/>
      <c r="DUS97" s="167"/>
      <c r="DUT97" s="168"/>
      <c r="DUU97" s="167"/>
      <c r="DUV97" s="168"/>
      <c r="DUW97" s="167"/>
      <c r="DUX97" s="168"/>
      <c r="DUY97" s="167"/>
      <c r="DUZ97" s="168"/>
      <c r="DVA97" s="167"/>
      <c r="DVB97" s="168"/>
      <c r="DVC97" s="167"/>
      <c r="DVD97" s="168"/>
      <c r="DVE97" s="167"/>
      <c r="DVF97" s="168"/>
      <c r="DVG97" s="167"/>
      <c r="DVH97" s="168"/>
      <c r="DVI97" s="167"/>
      <c r="DVJ97" s="168"/>
      <c r="DVK97" s="167"/>
      <c r="DVL97" s="168"/>
      <c r="DVM97" s="167"/>
      <c r="DVN97" s="168"/>
      <c r="DVO97" s="167"/>
      <c r="DVP97" s="168"/>
      <c r="DVQ97" s="167"/>
      <c r="DVR97" s="168"/>
      <c r="DVS97" s="167"/>
      <c r="DVT97" s="168"/>
      <c r="DVU97" s="167"/>
      <c r="DVV97" s="168"/>
      <c r="DVW97" s="167"/>
      <c r="DVX97" s="168"/>
      <c r="DVY97" s="167"/>
      <c r="DVZ97" s="168"/>
      <c r="DWA97" s="167"/>
      <c r="DWB97" s="168"/>
      <c r="DWC97" s="167"/>
      <c r="DWD97" s="168"/>
      <c r="DWE97" s="167"/>
      <c r="DWF97" s="168"/>
      <c r="DWG97" s="167"/>
      <c r="DWH97" s="168"/>
      <c r="DWI97" s="167"/>
      <c r="DWJ97" s="168"/>
      <c r="DWK97" s="167"/>
      <c r="DWL97" s="168"/>
      <c r="DWM97" s="167"/>
      <c r="DWN97" s="168"/>
      <c r="DWO97" s="167"/>
      <c r="DWP97" s="168"/>
      <c r="DWQ97" s="167"/>
      <c r="DWR97" s="168"/>
      <c r="DWS97" s="167"/>
      <c r="DWT97" s="168"/>
      <c r="DWU97" s="167"/>
      <c r="DWV97" s="168"/>
      <c r="DWW97" s="167"/>
      <c r="DWX97" s="168"/>
      <c r="DWY97" s="167"/>
      <c r="DWZ97" s="168"/>
      <c r="DXA97" s="167"/>
      <c r="DXB97" s="168"/>
      <c r="DXC97" s="167"/>
      <c r="DXD97" s="168"/>
      <c r="DXE97" s="167"/>
      <c r="DXF97" s="168"/>
      <c r="DXG97" s="167"/>
      <c r="DXH97" s="168"/>
      <c r="DXI97" s="167"/>
      <c r="DXJ97" s="168"/>
      <c r="DXK97" s="167"/>
      <c r="DXL97" s="168"/>
      <c r="DXM97" s="167"/>
      <c r="DXN97" s="168"/>
      <c r="DXO97" s="167"/>
      <c r="DXP97" s="168"/>
      <c r="DXQ97" s="167"/>
      <c r="DXR97" s="168"/>
      <c r="DXS97" s="167"/>
      <c r="DXT97" s="168"/>
      <c r="DXU97" s="167"/>
      <c r="DXV97" s="168"/>
      <c r="DXW97" s="167"/>
      <c r="DXX97" s="168"/>
      <c r="DXY97" s="167"/>
      <c r="DXZ97" s="168"/>
      <c r="DYA97" s="167"/>
      <c r="DYB97" s="168"/>
      <c r="DYC97" s="167"/>
      <c r="DYD97" s="168"/>
      <c r="DYE97" s="167"/>
      <c r="DYF97" s="168"/>
      <c r="DYG97" s="167"/>
      <c r="DYH97" s="168"/>
      <c r="DYI97" s="167"/>
      <c r="DYJ97" s="168"/>
      <c r="DYK97" s="167"/>
      <c r="DYL97" s="168"/>
      <c r="DYM97" s="167"/>
      <c r="DYN97" s="168"/>
      <c r="DYO97" s="167"/>
      <c r="DYP97" s="168"/>
      <c r="DYQ97" s="167"/>
      <c r="DYR97" s="168"/>
      <c r="DYS97" s="167"/>
      <c r="DYT97" s="168"/>
      <c r="DYU97" s="167"/>
      <c r="DYV97" s="168"/>
      <c r="DYW97" s="167"/>
      <c r="DYX97" s="168"/>
      <c r="DYY97" s="167"/>
      <c r="DYZ97" s="168"/>
      <c r="DZA97" s="167"/>
      <c r="DZB97" s="168"/>
      <c r="DZC97" s="167"/>
      <c r="DZD97" s="168"/>
      <c r="DZE97" s="167"/>
      <c r="DZF97" s="168"/>
      <c r="DZG97" s="167"/>
      <c r="DZH97" s="168"/>
      <c r="DZI97" s="167"/>
      <c r="DZJ97" s="168"/>
      <c r="DZK97" s="167"/>
      <c r="DZL97" s="168"/>
      <c r="DZM97" s="167"/>
      <c r="DZN97" s="168"/>
      <c r="DZO97" s="167"/>
      <c r="DZP97" s="168"/>
      <c r="DZQ97" s="167"/>
      <c r="DZR97" s="168"/>
      <c r="DZS97" s="167"/>
      <c r="DZT97" s="168"/>
      <c r="DZU97" s="167"/>
      <c r="DZV97" s="168"/>
      <c r="DZW97" s="167"/>
      <c r="DZX97" s="168"/>
      <c r="DZY97" s="167"/>
      <c r="DZZ97" s="168"/>
      <c r="EAA97" s="167"/>
      <c r="EAB97" s="168"/>
      <c r="EAC97" s="167"/>
      <c r="EAD97" s="168"/>
      <c r="EAE97" s="167"/>
      <c r="EAF97" s="168"/>
      <c r="EAG97" s="167"/>
      <c r="EAH97" s="168"/>
      <c r="EAI97" s="167"/>
      <c r="EAJ97" s="168"/>
      <c r="EAK97" s="167"/>
      <c r="EAL97" s="168"/>
      <c r="EAM97" s="167"/>
      <c r="EAN97" s="168"/>
      <c r="EAO97" s="167"/>
      <c r="EAP97" s="168"/>
      <c r="EAQ97" s="167"/>
      <c r="EAR97" s="168"/>
      <c r="EAS97" s="167"/>
      <c r="EAT97" s="168"/>
      <c r="EAU97" s="167"/>
      <c r="EAV97" s="168"/>
      <c r="EAW97" s="167"/>
      <c r="EAX97" s="168"/>
      <c r="EAY97" s="167"/>
      <c r="EAZ97" s="168"/>
      <c r="EBA97" s="167"/>
      <c r="EBB97" s="168"/>
      <c r="EBC97" s="167"/>
      <c r="EBD97" s="168"/>
      <c r="EBE97" s="167"/>
      <c r="EBF97" s="168"/>
      <c r="EBG97" s="167"/>
      <c r="EBH97" s="168"/>
      <c r="EBI97" s="167"/>
      <c r="EBJ97" s="168"/>
      <c r="EBK97" s="167"/>
      <c r="EBL97" s="168"/>
      <c r="EBM97" s="167"/>
      <c r="EBN97" s="168"/>
      <c r="EBO97" s="167"/>
      <c r="EBP97" s="168"/>
      <c r="EBQ97" s="167"/>
      <c r="EBR97" s="168"/>
      <c r="EBS97" s="167"/>
      <c r="EBT97" s="168"/>
      <c r="EBU97" s="167"/>
      <c r="EBV97" s="168"/>
      <c r="EBW97" s="167"/>
      <c r="EBX97" s="168"/>
      <c r="EBY97" s="167"/>
      <c r="EBZ97" s="168"/>
      <c r="ECA97" s="167"/>
      <c r="ECB97" s="168"/>
      <c r="ECC97" s="167"/>
      <c r="ECD97" s="168"/>
      <c r="ECE97" s="167"/>
      <c r="ECF97" s="168"/>
      <c r="ECG97" s="167"/>
      <c r="ECH97" s="168"/>
      <c r="ECI97" s="167"/>
      <c r="ECJ97" s="168"/>
      <c r="ECK97" s="167"/>
      <c r="ECL97" s="168"/>
      <c r="ECM97" s="167"/>
      <c r="ECN97" s="168"/>
      <c r="ECO97" s="167"/>
      <c r="ECP97" s="168"/>
      <c r="ECQ97" s="167"/>
      <c r="ECR97" s="168"/>
      <c r="ECS97" s="167"/>
      <c r="ECT97" s="168"/>
      <c r="ECU97" s="167"/>
      <c r="ECV97" s="168"/>
      <c r="ECW97" s="167"/>
      <c r="ECX97" s="168"/>
      <c r="ECY97" s="167"/>
      <c r="ECZ97" s="168"/>
      <c r="EDA97" s="167"/>
      <c r="EDB97" s="168"/>
      <c r="EDC97" s="167"/>
      <c r="EDD97" s="168"/>
      <c r="EDE97" s="167"/>
      <c r="EDF97" s="168"/>
      <c r="EDG97" s="167"/>
      <c r="EDH97" s="168"/>
      <c r="EDI97" s="167"/>
      <c r="EDJ97" s="168"/>
      <c r="EDK97" s="167"/>
      <c r="EDL97" s="168"/>
      <c r="EDM97" s="167"/>
      <c r="EDN97" s="168"/>
      <c r="EDO97" s="167"/>
      <c r="EDP97" s="168"/>
      <c r="EDQ97" s="167"/>
      <c r="EDR97" s="168"/>
      <c r="EDS97" s="167"/>
      <c r="EDT97" s="168"/>
      <c r="EDU97" s="167"/>
      <c r="EDV97" s="168"/>
      <c r="EDW97" s="167"/>
      <c r="EDX97" s="168"/>
      <c r="EDY97" s="167"/>
      <c r="EDZ97" s="168"/>
      <c r="EEA97" s="167"/>
      <c r="EEB97" s="168"/>
      <c r="EEC97" s="167"/>
      <c r="EED97" s="168"/>
      <c r="EEE97" s="167"/>
      <c r="EEF97" s="168"/>
      <c r="EEG97" s="167"/>
      <c r="EEH97" s="168"/>
      <c r="EEI97" s="167"/>
      <c r="EEJ97" s="168"/>
      <c r="EEK97" s="167"/>
      <c r="EEL97" s="168"/>
      <c r="EEM97" s="167"/>
      <c r="EEN97" s="168"/>
      <c r="EEO97" s="167"/>
      <c r="EEP97" s="168"/>
      <c r="EEQ97" s="167"/>
      <c r="EER97" s="168"/>
      <c r="EES97" s="167"/>
      <c r="EET97" s="168"/>
      <c r="EEU97" s="167"/>
      <c r="EEV97" s="168"/>
      <c r="EEW97" s="167"/>
      <c r="EEX97" s="168"/>
      <c r="EEY97" s="167"/>
      <c r="EEZ97" s="168"/>
      <c r="EFA97" s="167"/>
      <c r="EFB97" s="168"/>
      <c r="EFC97" s="167"/>
      <c r="EFD97" s="168"/>
      <c r="EFE97" s="167"/>
      <c r="EFF97" s="168"/>
      <c r="EFG97" s="167"/>
      <c r="EFH97" s="168"/>
      <c r="EFI97" s="167"/>
      <c r="EFJ97" s="168"/>
      <c r="EFK97" s="167"/>
      <c r="EFL97" s="168"/>
      <c r="EFM97" s="167"/>
      <c r="EFN97" s="168"/>
      <c r="EFO97" s="167"/>
      <c r="EFP97" s="168"/>
      <c r="EFQ97" s="167"/>
      <c r="EFR97" s="168"/>
      <c r="EFS97" s="167"/>
      <c r="EFT97" s="168"/>
      <c r="EFU97" s="167"/>
      <c r="EFV97" s="168"/>
      <c r="EFW97" s="167"/>
      <c r="EFX97" s="168"/>
      <c r="EFY97" s="167"/>
      <c r="EFZ97" s="168"/>
      <c r="EGA97" s="167"/>
      <c r="EGB97" s="168"/>
      <c r="EGC97" s="167"/>
      <c r="EGD97" s="168"/>
      <c r="EGE97" s="167"/>
      <c r="EGF97" s="168"/>
      <c r="EGG97" s="167"/>
      <c r="EGH97" s="168"/>
      <c r="EGI97" s="167"/>
      <c r="EGJ97" s="168"/>
      <c r="EGK97" s="167"/>
      <c r="EGL97" s="168"/>
      <c r="EGM97" s="167"/>
      <c r="EGN97" s="168"/>
      <c r="EGO97" s="167"/>
      <c r="EGP97" s="168"/>
      <c r="EGQ97" s="167"/>
      <c r="EGR97" s="168"/>
      <c r="EGS97" s="167"/>
      <c r="EGT97" s="168"/>
      <c r="EGU97" s="167"/>
      <c r="EGV97" s="168"/>
      <c r="EGW97" s="167"/>
      <c r="EGX97" s="168"/>
      <c r="EGY97" s="167"/>
      <c r="EGZ97" s="168"/>
      <c r="EHA97" s="167"/>
      <c r="EHB97" s="168"/>
      <c r="EHC97" s="167"/>
      <c r="EHD97" s="168"/>
      <c r="EHE97" s="167"/>
      <c r="EHF97" s="168"/>
      <c r="EHG97" s="167"/>
      <c r="EHH97" s="168"/>
      <c r="EHI97" s="167"/>
      <c r="EHJ97" s="168"/>
      <c r="EHK97" s="167"/>
      <c r="EHL97" s="168"/>
      <c r="EHM97" s="167"/>
      <c r="EHN97" s="168"/>
      <c r="EHO97" s="167"/>
      <c r="EHP97" s="168"/>
      <c r="EHQ97" s="167"/>
      <c r="EHR97" s="168"/>
      <c r="EHS97" s="167"/>
      <c r="EHT97" s="168"/>
      <c r="EHU97" s="167"/>
      <c r="EHV97" s="168"/>
      <c r="EHW97" s="167"/>
      <c r="EHX97" s="168"/>
      <c r="EHY97" s="167"/>
      <c r="EHZ97" s="168"/>
      <c r="EIA97" s="167"/>
      <c r="EIB97" s="168"/>
      <c r="EIC97" s="167"/>
      <c r="EID97" s="168"/>
      <c r="EIE97" s="167"/>
      <c r="EIF97" s="168"/>
      <c r="EIG97" s="167"/>
      <c r="EIH97" s="168"/>
      <c r="EII97" s="167"/>
      <c r="EIJ97" s="168"/>
      <c r="EIK97" s="167"/>
      <c r="EIL97" s="168"/>
      <c r="EIM97" s="167"/>
      <c r="EIN97" s="168"/>
      <c r="EIO97" s="167"/>
      <c r="EIP97" s="168"/>
      <c r="EIQ97" s="167"/>
      <c r="EIR97" s="168"/>
      <c r="EIS97" s="167"/>
      <c r="EIT97" s="168"/>
      <c r="EIU97" s="167"/>
      <c r="EIV97" s="168"/>
      <c r="EIW97" s="167"/>
      <c r="EIX97" s="168"/>
      <c r="EIY97" s="167"/>
      <c r="EIZ97" s="168"/>
      <c r="EJA97" s="167"/>
      <c r="EJB97" s="168"/>
      <c r="EJC97" s="167"/>
      <c r="EJD97" s="168"/>
      <c r="EJE97" s="167"/>
      <c r="EJF97" s="168"/>
      <c r="EJG97" s="167"/>
      <c r="EJH97" s="168"/>
      <c r="EJI97" s="167"/>
      <c r="EJJ97" s="168"/>
      <c r="EJK97" s="167"/>
      <c r="EJL97" s="168"/>
      <c r="EJM97" s="167"/>
      <c r="EJN97" s="168"/>
      <c r="EJO97" s="167"/>
      <c r="EJP97" s="168"/>
      <c r="EJQ97" s="167"/>
      <c r="EJR97" s="168"/>
      <c r="EJS97" s="167"/>
      <c r="EJT97" s="168"/>
      <c r="EJU97" s="167"/>
      <c r="EJV97" s="168"/>
      <c r="EJW97" s="167"/>
      <c r="EJX97" s="168"/>
      <c r="EJY97" s="167"/>
      <c r="EJZ97" s="168"/>
      <c r="EKA97" s="167"/>
      <c r="EKB97" s="168"/>
      <c r="EKC97" s="167"/>
      <c r="EKD97" s="168"/>
      <c r="EKE97" s="167"/>
      <c r="EKF97" s="168"/>
      <c r="EKG97" s="167"/>
      <c r="EKH97" s="168"/>
      <c r="EKI97" s="167"/>
      <c r="EKJ97" s="168"/>
      <c r="EKK97" s="167"/>
      <c r="EKL97" s="168"/>
      <c r="EKM97" s="167"/>
      <c r="EKN97" s="168"/>
      <c r="EKO97" s="167"/>
      <c r="EKP97" s="168"/>
      <c r="EKQ97" s="167"/>
      <c r="EKR97" s="168"/>
      <c r="EKS97" s="167"/>
      <c r="EKT97" s="168"/>
      <c r="EKU97" s="167"/>
      <c r="EKV97" s="168"/>
      <c r="EKW97" s="167"/>
      <c r="EKX97" s="168"/>
      <c r="EKY97" s="167"/>
      <c r="EKZ97" s="168"/>
      <c r="ELA97" s="167"/>
      <c r="ELB97" s="168"/>
      <c r="ELC97" s="167"/>
      <c r="ELD97" s="168"/>
      <c r="ELE97" s="167"/>
      <c r="ELF97" s="168"/>
      <c r="ELG97" s="167"/>
      <c r="ELH97" s="168"/>
      <c r="ELI97" s="167"/>
      <c r="ELJ97" s="168"/>
      <c r="ELK97" s="167"/>
      <c r="ELL97" s="168"/>
      <c r="ELM97" s="167"/>
      <c r="ELN97" s="168"/>
      <c r="ELO97" s="167"/>
      <c r="ELP97" s="168"/>
      <c r="ELQ97" s="167"/>
      <c r="ELR97" s="168"/>
      <c r="ELS97" s="167"/>
      <c r="ELT97" s="168"/>
      <c r="ELU97" s="167"/>
      <c r="ELV97" s="168"/>
      <c r="ELW97" s="167"/>
      <c r="ELX97" s="168"/>
      <c r="ELY97" s="167"/>
      <c r="ELZ97" s="168"/>
      <c r="EMA97" s="167"/>
      <c r="EMB97" s="168"/>
      <c r="EMC97" s="167"/>
      <c r="EMD97" s="168"/>
      <c r="EME97" s="167"/>
      <c r="EMF97" s="168"/>
      <c r="EMG97" s="167"/>
      <c r="EMH97" s="168"/>
      <c r="EMI97" s="167"/>
      <c r="EMJ97" s="168"/>
      <c r="EMK97" s="167"/>
      <c r="EML97" s="168"/>
      <c r="EMM97" s="167"/>
      <c r="EMN97" s="168"/>
      <c r="EMO97" s="167"/>
      <c r="EMP97" s="168"/>
      <c r="EMQ97" s="167"/>
      <c r="EMR97" s="168"/>
      <c r="EMS97" s="167"/>
      <c r="EMT97" s="168"/>
      <c r="EMU97" s="167"/>
      <c r="EMV97" s="168"/>
      <c r="EMW97" s="167"/>
      <c r="EMX97" s="168"/>
      <c r="EMY97" s="167"/>
      <c r="EMZ97" s="168"/>
      <c r="ENA97" s="167"/>
      <c r="ENB97" s="168"/>
      <c r="ENC97" s="167"/>
      <c r="END97" s="168"/>
      <c r="ENE97" s="167"/>
      <c r="ENF97" s="168"/>
      <c r="ENG97" s="167"/>
      <c r="ENH97" s="168"/>
      <c r="ENI97" s="167"/>
      <c r="ENJ97" s="168"/>
      <c r="ENK97" s="167"/>
      <c r="ENL97" s="168"/>
      <c r="ENM97" s="167"/>
      <c r="ENN97" s="168"/>
      <c r="ENO97" s="167"/>
      <c r="ENP97" s="168"/>
      <c r="ENQ97" s="167"/>
      <c r="ENR97" s="168"/>
      <c r="ENS97" s="167"/>
      <c r="ENT97" s="168"/>
      <c r="ENU97" s="167"/>
      <c r="ENV97" s="168"/>
      <c r="ENW97" s="167"/>
      <c r="ENX97" s="168"/>
      <c r="ENY97" s="167"/>
      <c r="ENZ97" s="168"/>
      <c r="EOA97" s="167"/>
      <c r="EOB97" s="168"/>
      <c r="EOC97" s="167"/>
      <c r="EOD97" s="168"/>
      <c r="EOE97" s="167"/>
      <c r="EOF97" s="168"/>
      <c r="EOG97" s="167"/>
      <c r="EOH97" s="168"/>
      <c r="EOI97" s="167"/>
      <c r="EOJ97" s="168"/>
      <c r="EOK97" s="167"/>
      <c r="EOL97" s="168"/>
      <c r="EOM97" s="167"/>
      <c r="EON97" s="168"/>
      <c r="EOO97" s="167"/>
      <c r="EOP97" s="168"/>
      <c r="EOQ97" s="167"/>
      <c r="EOR97" s="168"/>
      <c r="EOS97" s="167"/>
      <c r="EOT97" s="168"/>
      <c r="EOU97" s="167"/>
      <c r="EOV97" s="168"/>
      <c r="EOW97" s="167"/>
      <c r="EOX97" s="168"/>
      <c r="EOY97" s="167"/>
      <c r="EOZ97" s="168"/>
      <c r="EPA97" s="167"/>
      <c r="EPB97" s="168"/>
      <c r="EPC97" s="167"/>
      <c r="EPD97" s="168"/>
      <c r="EPE97" s="167"/>
      <c r="EPF97" s="168"/>
      <c r="EPG97" s="167"/>
      <c r="EPH97" s="168"/>
      <c r="EPI97" s="167"/>
      <c r="EPJ97" s="168"/>
      <c r="EPK97" s="167"/>
      <c r="EPL97" s="168"/>
      <c r="EPM97" s="167"/>
      <c r="EPN97" s="168"/>
      <c r="EPO97" s="167"/>
      <c r="EPP97" s="168"/>
      <c r="EPQ97" s="167"/>
      <c r="EPR97" s="168"/>
      <c r="EPS97" s="167"/>
      <c r="EPT97" s="168"/>
      <c r="EPU97" s="167"/>
      <c r="EPV97" s="168"/>
      <c r="EPW97" s="167"/>
      <c r="EPX97" s="168"/>
      <c r="EPY97" s="167"/>
      <c r="EPZ97" s="168"/>
      <c r="EQA97" s="167"/>
      <c r="EQB97" s="168"/>
      <c r="EQC97" s="167"/>
      <c r="EQD97" s="168"/>
      <c r="EQE97" s="167"/>
      <c r="EQF97" s="168"/>
      <c r="EQG97" s="167"/>
      <c r="EQH97" s="168"/>
      <c r="EQI97" s="167"/>
      <c r="EQJ97" s="168"/>
      <c r="EQK97" s="167"/>
      <c r="EQL97" s="168"/>
      <c r="EQM97" s="167"/>
      <c r="EQN97" s="168"/>
      <c r="EQO97" s="167"/>
      <c r="EQP97" s="168"/>
      <c r="EQQ97" s="167"/>
      <c r="EQR97" s="168"/>
      <c r="EQS97" s="167"/>
      <c r="EQT97" s="168"/>
      <c r="EQU97" s="167"/>
      <c r="EQV97" s="168"/>
      <c r="EQW97" s="167"/>
      <c r="EQX97" s="168"/>
      <c r="EQY97" s="167"/>
      <c r="EQZ97" s="168"/>
      <c r="ERA97" s="167"/>
      <c r="ERB97" s="168"/>
      <c r="ERC97" s="167"/>
      <c r="ERD97" s="168"/>
      <c r="ERE97" s="167"/>
      <c r="ERF97" s="168"/>
      <c r="ERG97" s="167"/>
      <c r="ERH97" s="168"/>
      <c r="ERI97" s="167"/>
      <c r="ERJ97" s="168"/>
      <c r="ERK97" s="167"/>
      <c r="ERL97" s="168"/>
      <c r="ERM97" s="167"/>
      <c r="ERN97" s="168"/>
      <c r="ERO97" s="167"/>
      <c r="ERP97" s="168"/>
      <c r="ERQ97" s="167"/>
      <c r="ERR97" s="168"/>
      <c r="ERS97" s="167"/>
      <c r="ERT97" s="168"/>
      <c r="ERU97" s="167"/>
      <c r="ERV97" s="168"/>
      <c r="ERW97" s="167"/>
      <c r="ERX97" s="168"/>
      <c r="ERY97" s="167"/>
      <c r="ERZ97" s="168"/>
      <c r="ESA97" s="167"/>
      <c r="ESB97" s="168"/>
      <c r="ESC97" s="167"/>
      <c r="ESD97" s="168"/>
      <c r="ESE97" s="167"/>
      <c r="ESF97" s="168"/>
      <c r="ESG97" s="167"/>
      <c r="ESH97" s="168"/>
      <c r="ESI97" s="167"/>
      <c r="ESJ97" s="168"/>
      <c r="ESK97" s="167"/>
      <c r="ESL97" s="168"/>
      <c r="ESM97" s="167"/>
      <c r="ESN97" s="168"/>
      <c r="ESO97" s="167"/>
      <c r="ESP97" s="168"/>
      <c r="ESQ97" s="167"/>
      <c r="ESR97" s="168"/>
      <c r="ESS97" s="167"/>
      <c r="EST97" s="168"/>
      <c r="ESU97" s="167"/>
      <c r="ESV97" s="168"/>
      <c r="ESW97" s="167"/>
      <c r="ESX97" s="168"/>
      <c r="ESY97" s="167"/>
      <c r="ESZ97" s="168"/>
      <c r="ETA97" s="167"/>
      <c r="ETB97" s="168"/>
      <c r="ETC97" s="167"/>
      <c r="ETD97" s="168"/>
      <c r="ETE97" s="167"/>
      <c r="ETF97" s="168"/>
      <c r="ETG97" s="167"/>
      <c r="ETH97" s="168"/>
      <c r="ETI97" s="167"/>
      <c r="ETJ97" s="168"/>
      <c r="ETK97" s="167"/>
      <c r="ETL97" s="168"/>
      <c r="ETM97" s="167"/>
      <c r="ETN97" s="168"/>
      <c r="ETO97" s="167"/>
      <c r="ETP97" s="168"/>
      <c r="ETQ97" s="167"/>
      <c r="ETR97" s="168"/>
      <c r="ETS97" s="167"/>
      <c r="ETT97" s="168"/>
      <c r="ETU97" s="167"/>
      <c r="ETV97" s="168"/>
      <c r="ETW97" s="167"/>
      <c r="ETX97" s="168"/>
      <c r="ETY97" s="167"/>
      <c r="ETZ97" s="168"/>
      <c r="EUA97" s="167"/>
      <c r="EUB97" s="168"/>
      <c r="EUC97" s="167"/>
      <c r="EUD97" s="168"/>
      <c r="EUE97" s="167"/>
      <c r="EUF97" s="168"/>
      <c r="EUG97" s="167"/>
      <c r="EUH97" s="168"/>
      <c r="EUI97" s="167"/>
      <c r="EUJ97" s="168"/>
      <c r="EUK97" s="167"/>
      <c r="EUL97" s="168"/>
      <c r="EUM97" s="167"/>
      <c r="EUN97" s="168"/>
      <c r="EUO97" s="167"/>
      <c r="EUP97" s="168"/>
      <c r="EUQ97" s="167"/>
      <c r="EUR97" s="168"/>
      <c r="EUS97" s="167"/>
      <c r="EUT97" s="168"/>
      <c r="EUU97" s="167"/>
      <c r="EUV97" s="168"/>
      <c r="EUW97" s="167"/>
      <c r="EUX97" s="168"/>
      <c r="EUY97" s="167"/>
      <c r="EUZ97" s="168"/>
      <c r="EVA97" s="167"/>
      <c r="EVB97" s="168"/>
      <c r="EVC97" s="167"/>
      <c r="EVD97" s="168"/>
      <c r="EVE97" s="167"/>
      <c r="EVF97" s="168"/>
      <c r="EVG97" s="167"/>
      <c r="EVH97" s="168"/>
      <c r="EVI97" s="167"/>
      <c r="EVJ97" s="168"/>
      <c r="EVK97" s="167"/>
      <c r="EVL97" s="168"/>
      <c r="EVM97" s="167"/>
      <c r="EVN97" s="168"/>
      <c r="EVO97" s="167"/>
      <c r="EVP97" s="168"/>
      <c r="EVQ97" s="167"/>
      <c r="EVR97" s="168"/>
      <c r="EVS97" s="167"/>
      <c r="EVT97" s="168"/>
      <c r="EVU97" s="167"/>
      <c r="EVV97" s="168"/>
      <c r="EVW97" s="167"/>
      <c r="EVX97" s="168"/>
      <c r="EVY97" s="167"/>
      <c r="EVZ97" s="168"/>
      <c r="EWA97" s="167"/>
      <c r="EWB97" s="168"/>
      <c r="EWC97" s="167"/>
      <c r="EWD97" s="168"/>
      <c r="EWE97" s="167"/>
      <c r="EWF97" s="168"/>
      <c r="EWG97" s="167"/>
      <c r="EWH97" s="168"/>
      <c r="EWI97" s="167"/>
      <c r="EWJ97" s="168"/>
      <c r="EWK97" s="167"/>
      <c r="EWL97" s="168"/>
      <c r="EWM97" s="167"/>
      <c r="EWN97" s="168"/>
      <c r="EWO97" s="167"/>
      <c r="EWP97" s="168"/>
      <c r="EWQ97" s="167"/>
      <c r="EWR97" s="168"/>
      <c r="EWS97" s="167"/>
      <c r="EWT97" s="168"/>
      <c r="EWU97" s="167"/>
      <c r="EWV97" s="168"/>
      <c r="EWW97" s="167"/>
      <c r="EWX97" s="168"/>
      <c r="EWY97" s="167"/>
      <c r="EWZ97" s="168"/>
      <c r="EXA97" s="167"/>
      <c r="EXB97" s="168"/>
      <c r="EXC97" s="167"/>
      <c r="EXD97" s="168"/>
      <c r="EXE97" s="167"/>
      <c r="EXF97" s="168"/>
      <c r="EXG97" s="167"/>
      <c r="EXH97" s="168"/>
      <c r="EXI97" s="167"/>
      <c r="EXJ97" s="168"/>
      <c r="EXK97" s="167"/>
      <c r="EXL97" s="168"/>
      <c r="EXM97" s="167"/>
      <c r="EXN97" s="168"/>
      <c r="EXO97" s="167"/>
      <c r="EXP97" s="168"/>
      <c r="EXQ97" s="167"/>
      <c r="EXR97" s="168"/>
      <c r="EXS97" s="167"/>
      <c r="EXT97" s="168"/>
      <c r="EXU97" s="167"/>
      <c r="EXV97" s="168"/>
      <c r="EXW97" s="167"/>
      <c r="EXX97" s="168"/>
      <c r="EXY97" s="167"/>
      <c r="EXZ97" s="168"/>
      <c r="EYA97" s="167"/>
      <c r="EYB97" s="168"/>
      <c r="EYC97" s="167"/>
      <c r="EYD97" s="168"/>
      <c r="EYE97" s="167"/>
      <c r="EYF97" s="168"/>
      <c r="EYG97" s="167"/>
      <c r="EYH97" s="168"/>
      <c r="EYI97" s="167"/>
      <c r="EYJ97" s="168"/>
      <c r="EYK97" s="167"/>
      <c r="EYL97" s="168"/>
      <c r="EYM97" s="167"/>
      <c r="EYN97" s="168"/>
      <c r="EYO97" s="167"/>
      <c r="EYP97" s="168"/>
      <c r="EYQ97" s="167"/>
      <c r="EYR97" s="168"/>
      <c r="EYS97" s="167"/>
      <c r="EYT97" s="168"/>
      <c r="EYU97" s="167"/>
      <c r="EYV97" s="168"/>
      <c r="EYW97" s="167"/>
      <c r="EYX97" s="168"/>
      <c r="EYY97" s="167"/>
      <c r="EYZ97" s="168"/>
      <c r="EZA97" s="167"/>
      <c r="EZB97" s="168"/>
      <c r="EZC97" s="167"/>
      <c r="EZD97" s="168"/>
      <c r="EZE97" s="167"/>
      <c r="EZF97" s="168"/>
      <c r="EZG97" s="167"/>
      <c r="EZH97" s="168"/>
      <c r="EZI97" s="167"/>
      <c r="EZJ97" s="168"/>
      <c r="EZK97" s="167"/>
      <c r="EZL97" s="168"/>
      <c r="EZM97" s="167"/>
      <c r="EZN97" s="168"/>
      <c r="EZO97" s="167"/>
      <c r="EZP97" s="168"/>
      <c r="EZQ97" s="167"/>
      <c r="EZR97" s="168"/>
      <c r="EZS97" s="167"/>
      <c r="EZT97" s="168"/>
      <c r="EZU97" s="167"/>
      <c r="EZV97" s="168"/>
      <c r="EZW97" s="167"/>
      <c r="EZX97" s="168"/>
      <c r="EZY97" s="167"/>
      <c r="EZZ97" s="168"/>
      <c r="FAA97" s="167"/>
      <c r="FAB97" s="168"/>
      <c r="FAC97" s="167"/>
      <c r="FAD97" s="168"/>
      <c r="FAE97" s="167"/>
      <c r="FAF97" s="168"/>
      <c r="FAG97" s="167"/>
      <c r="FAH97" s="168"/>
      <c r="FAI97" s="167"/>
      <c r="FAJ97" s="168"/>
      <c r="FAK97" s="167"/>
      <c r="FAL97" s="168"/>
      <c r="FAM97" s="167"/>
      <c r="FAN97" s="168"/>
      <c r="FAO97" s="167"/>
      <c r="FAP97" s="168"/>
      <c r="FAQ97" s="167"/>
      <c r="FAR97" s="168"/>
      <c r="FAS97" s="167"/>
      <c r="FAT97" s="168"/>
      <c r="FAU97" s="167"/>
      <c r="FAV97" s="168"/>
      <c r="FAW97" s="167"/>
      <c r="FAX97" s="168"/>
      <c r="FAY97" s="167"/>
      <c r="FAZ97" s="168"/>
      <c r="FBA97" s="167"/>
      <c r="FBB97" s="168"/>
      <c r="FBC97" s="167"/>
      <c r="FBD97" s="168"/>
      <c r="FBE97" s="167"/>
      <c r="FBF97" s="168"/>
      <c r="FBG97" s="167"/>
      <c r="FBH97" s="168"/>
      <c r="FBI97" s="167"/>
      <c r="FBJ97" s="168"/>
      <c r="FBK97" s="167"/>
      <c r="FBL97" s="168"/>
      <c r="FBM97" s="167"/>
      <c r="FBN97" s="168"/>
      <c r="FBO97" s="167"/>
      <c r="FBP97" s="168"/>
      <c r="FBQ97" s="167"/>
      <c r="FBR97" s="168"/>
      <c r="FBS97" s="167"/>
      <c r="FBT97" s="168"/>
      <c r="FBU97" s="167"/>
      <c r="FBV97" s="168"/>
      <c r="FBW97" s="167"/>
      <c r="FBX97" s="168"/>
      <c r="FBY97" s="167"/>
      <c r="FBZ97" s="168"/>
      <c r="FCA97" s="167"/>
      <c r="FCB97" s="168"/>
      <c r="FCC97" s="167"/>
      <c r="FCD97" s="168"/>
      <c r="FCE97" s="167"/>
      <c r="FCF97" s="168"/>
      <c r="FCG97" s="167"/>
      <c r="FCH97" s="168"/>
      <c r="FCI97" s="167"/>
      <c r="FCJ97" s="168"/>
      <c r="FCK97" s="167"/>
      <c r="FCL97" s="168"/>
      <c r="FCM97" s="167"/>
      <c r="FCN97" s="168"/>
      <c r="FCO97" s="167"/>
      <c r="FCP97" s="168"/>
      <c r="FCQ97" s="167"/>
      <c r="FCR97" s="168"/>
      <c r="FCS97" s="167"/>
      <c r="FCT97" s="168"/>
      <c r="FCU97" s="167"/>
      <c r="FCV97" s="168"/>
      <c r="FCW97" s="167"/>
      <c r="FCX97" s="168"/>
      <c r="FCY97" s="167"/>
      <c r="FCZ97" s="168"/>
      <c r="FDA97" s="167"/>
      <c r="FDB97" s="168"/>
      <c r="FDC97" s="167"/>
      <c r="FDD97" s="168"/>
      <c r="FDE97" s="167"/>
      <c r="FDF97" s="168"/>
      <c r="FDG97" s="167"/>
      <c r="FDH97" s="168"/>
      <c r="FDI97" s="167"/>
      <c r="FDJ97" s="168"/>
      <c r="FDK97" s="167"/>
      <c r="FDL97" s="168"/>
      <c r="FDM97" s="167"/>
      <c r="FDN97" s="168"/>
      <c r="FDO97" s="167"/>
      <c r="FDP97" s="168"/>
      <c r="FDQ97" s="167"/>
      <c r="FDR97" s="168"/>
      <c r="FDS97" s="167"/>
      <c r="FDT97" s="168"/>
      <c r="FDU97" s="167"/>
      <c r="FDV97" s="168"/>
      <c r="FDW97" s="167"/>
      <c r="FDX97" s="168"/>
      <c r="FDY97" s="167"/>
      <c r="FDZ97" s="168"/>
      <c r="FEA97" s="167"/>
      <c r="FEB97" s="168"/>
      <c r="FEC97" s="167"/>
      <c r="FED97" s="168"/>
      <c r="FEE97" s="167"/>
      <c r="FEF97" s="168"/>
      <c r="FEG97" s="167"/>
      <c r="FEH97" s="168"/>
      <c r="FEI97" s="167"/>
      <c r="FEJ97" s="168"/>
      <c r="FEK97" s="167"/>
      <c r="FEL97" s="168"/>
      <c r="FEM97" s="167"/>
      <c r="FEN97" s="168"/>
      <c r="FEO97" s="167"/>
      <c r="FEP97" s="168"/>
      <c r="FEQ97" s="167"/>
      <c r="FER97" s="168"/>
      <c r="FES97" s="167"/>
      <c r="FET97" s="168"/>
      <c r="FEU97" s="167"/>
      <c r="FEV97" s="168"/>
      <c r="FEW97" s="167"/>
      <c r="FEX97" s="168"/>
      <c r="FEY97" s="167"/>
      <c r="FEZ97" s="168"/>
      <c r="FFA97" s="167"/>
      <c r="FFB97" s="168"/>
      <c r="FFC97" s="167"/>
      <c r="FFD97" s="168"/>
      <c r="FFE97" s="167"/>
      <c r="FFF97" s="168"/>
      <c r="FFG97" s="167"/>
      <c r="FFH97" s="168"/>
      <c r="FFI97" s="167"/>
      <c r="FFJ97" s="168"/>
      <c r="FFK97" s="167"/>
      <c r="FFL97" s="168"/>
      <c r="FFM97" s="167"/>
      <c r="FFN97" s="168"/>
      <c r="FFO97" s="167"/>
      <c r="FFP97" s="168"/>
      <c r="FFQ97" s="167"/>
      <c r="FFR97" s="168"/>
      <c r="FFS97" s="167"/>
      <c r="FFT97" s="168"/>
      <c r="FFU97" s="167"/>
      <c r="FFV97" s="168"/>
      <c r="FFW97" s="167"/>
      <c r="FFX97" s="168"/>
      <c r="FFY97" s="167"/>
      <c r="FFZ97" s="168"/>
      <c r="FGA97" s="167"/>
      <c r="FGB97" s="168"/>
      <c r="FGC97" s="167"/>
      <c r="FGD97" s="168"/>
      <c r="FGE97" s="167"/>
      <c r="FGF97" s="168"/>
      <c r="FGG97" s="167"/>
      <c r="FGH97" s="168"/>
      <c r="FGI97" s="167"/>
      <c r="FGJ97" s="168"/>
      <c r="FGK97" s="167"/>
      <c r="FGL97" s="168"/>
      <c r="FGM97" s="167"/>
      <c r="FGN97" s="168"/>
      <c r="FGO97" s="167"/>
      <c r="FGP97" s="168"/>
      <c r="FGQ97" s="167"/>
      <c r="FGR97" s="168"/>
      <c r="FGS97" s="167"/>
      <c r="FGT97" s="168"/>
      <c r="FGU97" s="167"/>
      <c r="FGV97" s="168"/>
      <c r="FGW97" s="167"/>
      <c r="FGX97" s="168"/>
      <c r="FGY97" s="167"/>
      <c r="FGZ97" s="168"/>
      <c r="FHA97" s="167"/>
      <c r="FHB97" s="168"/>
      <c r="FHC97" s="167"/>
      <c r="FHD97" s="168"/>
      <c r="FHE97" s="167"/>
      <c r="FHF97" s="168"/>
      <c r="FHG97" s="167"/>
      <c r="FHH97" s="168"/>
      <c r="FHI97" s="167"/>
      <c r="FHJ97" s="168"/>
      <c r="FHK97" s="167"/>
      <c r="FHL97" s="168"/>
      <c r="FHM97" s="167"/>
      <c r="FHN97" s="168"/>
      <c r="FHO97" s="167"/>
      <c r="FHP97" s="168"/>
      <c r="FHQ97" s="167"/>
      <c r="FHR97" s="168"/>
      <c r="FHS97" s="167"/>
      <c r="FHT97" s="168"/>
      <c r="FHU97" s="167"/>
      <c r="FHV97" s="168"/>
      <c r="FHW97" s="167"/>
      <c r="FHX97" s="168"/>
      <c r="FHY97" s="167"/>
      <c r="FHZ97" s="168"/>
      <c r="FIA97" s="167"/>
      <c r="FIB97" s="168"/>
      <c r="FIC97" s="167"/>
      <c r="FID97" s="168"/>
      <c r="FIE97" s="167"/>
      <c r="FIF97" s="168"/>
      <c r="FIG97" s="167"/>
      <c r="FIH97" s="168"/>
      <c r="FII97" s="167"/>
      <c r="FIJ97" s="168"/>
      <c r="FIK97" s="167"/>
      <c r="FIL97" s="168"/>
      <c r="FIM97" s="167"/>
      <c r="FIN97" s="168"/>
      <c r="FIO97" s="167"/>
      <c r="FIP97" s="168"/>
      <c r="FIQ97" s="167"/>
      <c r="FIR97" s="168"/>
      <c r="FIS97" s="167"/>
      <c r="FIT97" s="168"/>
      <c r="FIU97" s="167"/>
      <c r="FIV97" s="168"/>
      <c r="FIW97" s="167"/>
      <c r="FIX97" s="168"/>
      <c r="FIY97" s="167"/>
      <c r="FIZ97" s="168"/>
      <c r="FJA97" s="167"/>
      <c r="FJB97" s="168"/>
      <c r="FJC97" s="167"/>
      <c r="FJD97" s="168"/>
      <c r="FJE97" s="167"/>
      <c r="FJF97" s="168"/>
      <c r="FJG97" s="167"/>
      <c r="FJH97" s="168"/>
      <c r="FJI97" s="167"/>
      <c r="FJJ97" s="168"/>
      <c r="FJK97" s="167"/>
      <c r="FJL97" s="168"/>
      <c r="FJM97" s="167"/>
      <c r="FJN97" s="168"/>
      <c r="FJO97" s="167"/>
      <c r="FJP97" s="168"/>
      <c r="FJQ97" s="167"/>
      <c r="FJR97" s="168"/>
      <c r="FJS97" s="167"/>
      <c r="FJT97" s="168"/>
      <c r="FJU97" s="167"/>
      <c r="FJV97" s="168"/>
      <c r="FJW97" s="167"/>
      <c r="FJX97" s="168"/>
      <c r="FJY97" s="167"/>
      <c r="FJZ97" s="168"/>
      <c r="FKA97" s="167"/>
      <c r="FKB97" s="168"/>
      <c r="FKC97" s="167"/>
      <c r="FKD97" s="168"/>
      <c r="FKE97" s="167"/>
      <c r="FKF97" s="168"/>
      <c r="FKG97" s="167"/>
      <c r="FKH97" s="168"/>
      <c r="FKI97" s="167"/>
      <c r="FKJ97" s="168"/>
      <c r="FKK97" s="167"/>
      <c r="FKL97" s="168"/>
      <c r="FKM97" s="167"/>
      <c r="FKN97" s="168"/>
      <c r="FKO97" s="167"/>
      <c r="FKP97" s="168"/>
      <c r="FKQ97" s="167"/>
      <c r="FKR97" s="168"/>
      <c r="FKS97" s="167"/>
      <c r="FKT97" s="168"/>
      <c r="FKU97" s="167"/>
      <c r="FKV97" s="168"/>
      <c r="FKW97" s="167"/>
      <c r="FKX97" s="168"/>
      <c r="FKY97" s="167"/>
      <c r="FKZ97" s="168"/>
      <c r="FLA97" s="167"/>
      <c r="FLB97" s="168"/>
      <c r="FLC97" s="167"/>
      <c r="FLD97" s="168"/>
      <c r="FLE97" s="167"/>
      <c r="FLF97" s="168"/>
      <c r="FLG97" s="167"/>
      <c r="FLH97" s="168"/>
      <c r="FLI97" s="167"/>
      <c r="FLJ97" s="168"/>
      <c r="FLK97" s="167"/>
      <c r="FLL97" s="168"/>
      <c r="FLM97" s="167"/>
      <c r="FLN97" s="168"/>
      <c r="FLO97" s="167"/>
      <c r="FLP97" s="168"/>
      <c r="FLQ97" s="167"/>
      <c r="FLR97" s="168"/>
      <c r="FLS97" s="167"/>
      <c r="FLT97" s="168"/>
      <c r="FLU97" s="167"/>
      <c r="FLV97" s="168"/>
      <c r="FLW97" s="167"/>
      <c r="FLX97" s="168"/>
      <c r="FLY97" s="167"/>
      <c r="FLZ97" s="168"/>
      <c r="FMA97" s="167"/>
      <c r="FMB97" s="168"/>
      <c r="FMC97" s="167"/>
      <c r="FMD97" s="168"/>
      <c r="FME97" s="167"/>
      <c r="FMF97" s="168"/>
      <c r="FMG97" s="167"/>
      <c r="FMH97" s="168"/>
      <c r="FMI97" s="167"/>
      <c r="FMJ97" s="168"/>
      <c r="FMK97" s="167"/>
      <c r="FML97" s="168"/>
      <c r="FMM97" s="167"/>
      <c r="FMN97" s="168"/>
      <c r="FMO97" s="167"/>
      <c r="FMP97" s="168"/>
      <c r="FMQ97" s="167"/>
      <c r="FMR97" s="168"/>
      <c r="FMS97" s="167"/>
      <c r="FMT97" s="168"/>
      <c r="FMU97" s="167"/>
      <c r="FMV97" s="168"/>
      <c r="FMW97" s="167"/>
      <c r="FMX97" s="168"/>
      <c r="FMY97" s="167"/>
      <c r="FMZ97" s="168"/>
      <c r="FNA97" s="167"/>
      <c r="FNB97" s="168"/>
      <c r="FNC97" s="167"/>
      <c r="FND97" s="168"/>
      <c r="FNE97" s="167"/>
      <c r="FNF97" s="168"/>
      <c r="FNG97" s="167"/>
      <c r="FNH97" s="168"/>
      <c r="FNI97" s="167"/>
      <c r="FNJ97" s="168"/>
      <c r="FNK97" s="167"/>
      <c r="FNL97" s="168"/>
      <c r="FNM97" s="167"/>
      <c r="FNN97" s="168"/>
      <c r="FNO97" s="167"/>
      <c r="FNP97" s="168"/>
      <c r="FNQ97" s="167"/>
      <c r="FNR97" s="168"/>
      <c r="FNS97" s="167"/>
      <c r="FNT97" s="168"/>
      <c r="FNU97" s="167"/>
      <c r="FNV97" s="168"/>
      <c r="FNW97" s="167"/>
      <c r="FNX97" s="168"/>
      <c r="FNY97" s="167"/>
      <c r="FNZ97" s="168"/>
      <c r="FOA97" s="167"/>
      <c r="FOB97" s="168"/>
      <c r="FOC97" s="167"/>
      <c r="FOD97" s="168"/>
      <c r="FOE97" s="167"/>
      <c r="FOF97" s="168"/>
      <c r="FOG97" s="167"/>
      <c r="FOH97" s="168"/>
      <c r="FOI97" s="167"/>
      <c r="FOJ97" s="168"/>
      <c r="FOK97" s="167"/>
      <c r="FOL97" s="168"/>
      <c r="FOM97" s="167"/>
      <c r="FON97" s="168"/>
      <c r="FOO97" s="167"/>
      <c r="FOP97" s="168"/>
      <c r="FOQ97" s="167"/>
      <c r="FOR97" s="168"/>
      <c r="FOS97" s="167"/>
      <c r="FOT97" s="168"/>
      <c r="FOU97" s="167"/>
      <c r="FOV97" s="168"/>
      <c r="FOW97" s="167"/>
      <c r="FOX97" s="168"/>
      <c r="FOY97" s="167"/>
      <c r="FOZ97" s="168"/>
      <c r="FPA97" s="167"/>
      <c r="FPB97" s="168"/>
      <c r="FPC97" s="167"/>
      <c r="FPD97" s="168"/>
      <c r="FPE97" s="167"/>
      <c r="FPF97" s="168"/>
      <c r="FPG97" s="167"/>
      <c r="FPH97" s="168"/>
      <c r="FPI97" s="167"/>
      <c r="FPJ97" s="168"/>
      <c r="FPK97" s="167"/>
      <c r="FPL97" s="168"/>
      <c r="FPM97" s="167"/>
      <c r="FPN97" s="168"/>
      <c r="FPO97" s="167"/>
      <c r="FPP97" s="168"/>
      <c r="FPQ97" s="167"/>
      <c r="FPR97" s="168"/>
      <c r="FPS97" s="167"/>
      <c r="FPT97" s="168"/>
      <c r="FPU97" s="167"/>
      <c r="FPV97" s="168"/>
      <c r="FPW97" s="167"/>
      <c r="FPX97" s="168"/>
      <c r="FPY97" s="167"/>
      <c r="FPZ97" s="168"/>
      <c r="FQA97" s="167"/>
      <c r="FQB97" s="168"/>
      <c r="FQC97" s="167"/>
      <c r="FQD97" s="168"/>
      <c r="FQE97" s="167"/>
      <c r="FQF97" s="168"/>
      <c r="FQG97" s="167"/>
      <c r="FQH97" s="168"/>
      <c r="FQI97" s="167"/>
      <c r="FQJ97" s="168"/>
      <c r="FQK97" s="167"/>
      <c r="FQL97" s="168"/>
      <c r="FQM97" s="167"/>
      <c r="FQN97" s="168"/>
      <c r="FQO97" s="167"/>
      <c r="FQP97" s="168"/>
      <c r="FQQ97" s="167"/>
      <c r="FQR97" s="168"/>
      <c r="FQS97" s="167"/>
      <c r="FQT97" s="168"/>
      <c r="FQU97" s="167"/>
      <c r="FQV97" s="168"/>
      <c r="FQW97" s="167"/>
      <c r="FQX97" s="168"/>
      <c r="FQY97" s="167"/>
      <c r="FQZ97" s="168"/>
      <c r="FRA97" s="167"/>
      <c r="FRB97" s="168"/>
      <c r="FRC97" s="167"/>
      <c r="FRD97" s="168"/>
      <c r="FRE97" s="167"/>
      <c r="FRF97" s="168"/>
      <c r="FRG97" s="167"/>
      <c r="FRH97" s="168"/>
      <c r="FRI97" s="167"/>
      <c r="FRJ97" s="168"/>
      <c r="FRK97" s="167"/>
      <c r="FRL97" s="168"/>
      <c r="FRM97" s="167"/>
      <c r="FRN97" s="168"/>
      <c r="FRO97" s="167"/>
      <c r="FRP97" s="168"/>
      <c r="FRQ97" s="167"/>
      <c r="FRR97" s="168"/>
      <c r="FRS97" s="167"/>
      <c r="FRT97" s="168"/>
      <c r="FRU97" s="167"/>
      <c r="FRV97" s="168"/>
      <c r="FRW97" s="167"/>
      <c r="FRX97" s="168"/>
      <c r="FRY97" s="167"/>
      <c r="FRZ97" s="168"/>
      <c r="FSA97" s="167"/>
      <c r="FSB97" s="168"/>
      <c r="FSC97" s="167"/>
      <c r="FSD97" s="168"/>
      <c r="FSE97" s="167"/>
      <c r="FSF97" s="168"/>
      <c r="FSG97" s="167"/>
      <c r="FSH97" s="168"/>
      <c r="FSI97" s="167"/>
      <c r="FSJ97" s="168"/>
      <c r="FSK97" s="167"/>
      <c r="FSL97" s="168"/>
      <c r="FSM97" s="167"/>
      <c r="FSN97" s="168"/>
      <c r="FSO97" s="167"/>
      <c r="FSP97" s="168"/>
      <c r="FSQ97" s="167"/>
      <c r="FSR97" s="168"/>
      <c r="FSS97" s="167"/>
      <c r="FST97" s="168"/>
      <c r="FSU97" s="167"/>
      <c r="FSV97" s="168"/>
      <c r="FSW97" s="167"/>
      <c r="FSX97" s="168"/>
      <c r="FSY97" s="167"/>
      <c r="FSZ97" s="168"/>
      <c r="FTA97" s="167"/>
      <c r="FTB97" s="168"/>
      <c r="FTC97" s="167"/>
      <c r="FTD97" s="168"/>
      <c r="FTE97" s="167"/>
      <c r="FTF97" s="168"/>
      <c r="FTG97" s="167"/>
      <c r="FTH97" s="168"/>
      <c r="FTI97" s="167"/>
      <c r="FTJ97" s="168"/>
      <c r="FTK97" s="167"/>
      <c r="FTL97" s="168"/>
      <c r="FTM97" s="167"/>
      <c r="FTN97" s="168"/>
      <c r="FTO97" s="167"/>
      <c r="FTP97" s="168"/>
      <c r="FTQ97" s="167"/>
      <c r="FTR97" s="168"/>
      <c r="FTS97" s="167"/>
      <c r="FTT97" s="168"/>
      <c r="FTU97" s="167"/>
      <c r="FTV97" s="168"/>
      <c r="FTW97" s="167"/>
      <c r="FTX97" s="168"/>
      <c r="FTY97" s="167"/>
      <c r="FTZ97" s="168"/>
      <c r="FUA97" s="167"/>
      <c r="FUB97" s="168"/>
      <c r="FUC97" s="167"/>
      <c r="FUD97" s="168"/>
      <c r="FUE97" s="167"/>
      <c r="FUF97" s="168"/>
      <c r="FUG97" s="167"/>
      <c r="FUH97" s="168"/>
      <c r="FUI97" s="167"/>
      <c r="FUJ97" s="168"/>
      <c r="FUK97" s="167"/>
      <c r="FUL97" s="168"/>
      <c r="FUM97" s="167"/>
      <c r="FUN97" s="168"/>
      <c r="FUO97" s="167"/>
      <c r="FUP97" s="168"/>
      <c r="FUQ97" s="167"/>
      <c r="FUR97" s="168"/>
      <c r="FUS97" s="167"/>
      <c r="FUT97" s="168"/>
      <c r="FUU97" s="167"/>
      <c r="FUV97" s="168"/>
      <c r="FUW97" s="167"/>
      <c r="FUX97" s="168"/>
      <c r="FUY97" s="167"/>
      <c r="FUZ97" s="168"/>
      <c r="FVA97" s="167"/>
      <c r="FVB97" s="168"/>
      <c r="FVC97" s="167"/>
      <c r="FVD97" s="168"/>
      <c r="FVE97" s="167"/>
      <c r="FVF97" s="168"/>
      <c r="FVG97" s="167"/>
      <c r="FVH97" s="168"/>
      <c r="FVI97" s="167"/>
      <c r="FVJ97" s="168"/>
      <c r="FVK97" s="167"/>
      <c r="FVL97" s="168"/>
      <c r="FVM97" s="167"/>
      <c r="FVN97" s="168"/>
      <c r="FVO97" s="167"/>
      <c r="FVP97" s="168"/>
      <c r="FVQ97" s="167"/>
      <c r="FVR97" s="168"/>
      <c r="FVS97" s="167"/>
      <c r="FVT97" s="168"/>
      <c r="FVU97" s="167"/>
      <c r="FVV97" s="168"/>
      <c r="FVW97" s="167"/>
      <c r="FVX97" s="168"/>
      <c r="FVY97" s="167"/>
      <c r="FVZ97" s="168"/>
      <c r="FWA97" s="167"/>
      <c r="FWB97" s="168"/>
      <c r="FWC97" s="167"/>
      <c r="FWD97" s="168"/>
      <c r="FWE97" s="167"/>
      <c r="FWF97" s="168"/>
      <c r="FWG97" s="167"/>
      <c r="FWH97" s="168"/>
      <c r="FWI97" s="167"/>
      <c r="FWJ97" s="168"/>
      <c r="FWK97" s="167"/>
      <c r="FWL97" s="168"/>
      <c r="FWM97" s="167"/>
      <c r="FWN97" s="168"/>
      <c r="FWO97" s="167"/>
      <c r="FWP97" s="168"/>
      <c r="FWQ97" s="167"/>
      <c r="FWR97" s="168"/>
      <c r="FWS97" s="167"/>
      <c r="FWT97" s="168"/>
      <c r="FWU97" s="167"/>
      <c r="FWV97" s="168"/>
      <c r="FWW97" s="167"/>
      <c r="FWX97" s="168"/>
      <c r="FWY97" s="167"/>
      <c r="FWZ97" s="168"/>
      <c r="FXA97" s="167"/>
      <c r="FXB97" s="168"/>
      <c r="FXC97" s="167"/>
      <c r="FXD97" s="168"/>
      <c r="FXE97" s="167"/>
      <c r="FXF97" s="168"/>
      <c r="FXG97" s="167"/>
      <c r="FXH97" s="168"/>
      <c r="FXI97" s="167"/>
      <c r="FXJ97" s="168"/>
      <c r="FXK97" s="167"/>
      <c r="FXL97" s="168"/>
      <c r="FXM97" s="167"/>
      <c r="FXN97" s="168"/>
      <c r="FXO97" s="167"/>
      <c r="FXP97" s="168"/>
      <c r="FXQ97" s="167"/>
      <c r="FXR97" s="168"/>
      <c r="FXS97" s="167"/>
      <c r="FXT97" s="168"/>
      <c r="FXU97" s="167"/>
      <c r="FXV97" s="168"/>
      <c r="FXW97" s="167"/>
      <c r="FXX97" s="168"/>
      <c r="FXY97" s="167"/>
      <c r="FXZ97" s="168"/>
      <c r="FYA97" s="167"/>
      <c r="FYB97" s="168"/>
      <c r="FYC97" s="167"/>
      <c r="FYD97" s="168"/>
      <c r="FYE97" s="167"/>
      <c r="FYF97" s="168"/>
      <c r="FYG97" s="167"/>
      <c r="FYH97" s="168"/>
      <c r="FYI97" s="167"/>
      <c r="FYJ97" s="168"/>
      <c r="FYK97" s="167"/>
      <c r="FYL97" s="168"/>
      <c r="FYM97" s="167"/>
      <c r="FYN97" s="168"/>
      <c r="FYO97" s="167"/>
      <c r="FYP97" s="168"/>
      <c r="FYQ97" s="167"/>
      <c r="FYR97" s="168"/>
      <c r="FYS97" s="167"/>
      <c r="FYT97" s="168"/>
      <c r="FYU97" s="167"/>
      <c r="FYV97" s="168"/>
      <c r="FYW97" s="167"/>
      <c r="FYX97" s="168"/>
      <c r="FYY97" s="167"/>
      <c r="FYZ97" s="168"/>
      <c r="FZA97" s="167"/>
      <c r="FZB97" s="168"/>
      <c r="FZC97" s="167"/>
      <c r="FZD97" s="168"/>
      <c r="FZE97" s="167"/>
      <c r="FZF97" s="168"/>
      <c r="FZG97" s="167"/>
      <c r="FZH97" s="168"/>
      <c r="FZI97" s="167"/>
      <c r="FZJ97" s="168"/>
      <c r="FZK97" s="167"/>
      <c r="FZL97" s="168"/>
      <c r="FZM97" s="167"/>
      <c r="FZN97" s="168"/>
      <c r="FZO97" s="167"/>
      <c r="FZP97" s="168"/>
      <c r="FZQ97" s="167"/>
      <c r="FZR97" s="168"/>
      <c r="FZS97" s="167"/>
      <c r="FZT97" s="168"/>
      <c r="FZU97" s="167"/>
      <c r="FZV97" s="168"/>
      <c r="FZW97" s="167"/>
      <c r="FZX97" s="168"/>
      <c r="FZY97" s="167"/>
      <c r="FZZ97" s="168"/>
      <c r="GAA97" s="167"/>
      <c r="GAB97" s="168"/>
      <c r="GAC97" s="167"/>
      <c r="GAD97" s="168"/>
      <c r="GAE97" s="167"/>
      <c r="GAF97" s="168"/>
      <c r="GAG97" s="167"/>
      <c r="GAH97" s="168"/>
      <c r="GAI97" s="167"/>
      <c r="GAJ97" s="168"/>
      <c r="GAK97" s="167"/>
      <c r="GAL97" s="168"/>
      <c r="GAM97" s="167"/>
      <c r="GAN97" s="168"/>
      <c r="GAO97" s="167"/>
      <c r="GAP97" s="168"/>
      <c r="GAQ97" s="167"/>
      <c r="GAR97" s="168"/>
      <c r="GAS97" s="167"/>
      <c r="GAT97" s="168"/>
      <c r="GAU97" s="167"/>
      <c r="GAV97" s="168"/>
      <c r="GAW97" s="167"/>
      <c r="GAX97" s="168"/>
      <c r="GAY97" s="167"/>
      <c r="GAZ97" s="168"/>
      <c r="GBA97" s="167"/>
      <c r="GBB97" s="168"/>
      <c r="GBC97" s="167"/>
      <c r="GBD97" s="168"/>
      <c r="GBE97" s="167"/>
      <c r="GBF97" s="168"/>
      <c r="GBG97" s="167"/>
      <c r="GBH97" s="168"/>
      <c r="GBI97" s="167"/>
      <c r="GBJ97" s="168"/>
      <c r="GBK97" s="167"/>
      <c r="GBL97" s="168"/>
      <c r="GBM97" s="167"/>
      <c r="GBN97" s="168"/>
      <c r="GBO97" s="167"/>
      <c r="GBP97" s="168"/>
      <c r="GBQ97" s="167"/>
      <c r="GBR97" s="168"/>
      <c r="GBS97" s="167"/>
      <c r="GBT97" s="168"/>
      <c r="GBU97" s="167"/>
      <c r="GBV97" s="168"/>
      <c r="GBW97" s="167"/>
      <c r="GBX97" s="168"/>
      <c r="GBY97" s="167"/>
      <c r="GBZ97" s="168"/>
      <c r="GCA97" s="167"/>
      <c r="GCB97" s="168"/>
      <c r="GCC97" s="167"/>
      <c r="GCD97" s="168"/>
      <c r="GCE97" s="167"/>
      <c r="GCF97" s="168"/>
      <c r="GCG97" s="167"/>
      <c r="GCH97" s="168"/>
      <c r="GCI97" s="167"/>
      <c r="GCJ97" s="168"/>
      <c r="GCK97" s="167"/>
      <c r="GCL97" s="168"/>
      <c r="GCM97" s="167"/>
      <c r="GCN97" s="168"/>
      <c r="GCO97" s="167"/>
      <c r="GCP97" s="168"/>
      <c r="GCQ97" s="167"/>
      <c r="GCR97" s="168"/>
      <c r="GCS97" s="167"/>
      <c r="GCT97" s="168"/>
      <c r="GCU97" s="167"/>
      <c r="GCV97" s="168"/>
      <c r="GCW97" s="167"/>
      <c r="GCX97" s="168"/>
      <c r="GCY97" s="167"/>
      <c r="GCZ97" s="168"/>
      <c r="GDA97" s="167"/>
      <c r="GDB97" s="168"/>
      <c r="GDC97" s="167"/>
      <c r="GDD97" s="168"/>
      <c r="GDE97" s="167"/>
      <c r="GDF97" s="168"/>
      <c r="GDG97" s="167"/>
      <c r="GDH97" s="168"/>
      <c r="GDI97" s="167"/>
      <c r="GDJ97" s="168"/>
      <c r="GDK97" s="167"/>
      <c r="GDL97" s="168"/>
      <c r="GDM97" s="167"/>
      <c r="GDN97" s="168"/>
      <c r="GDO97" s="167"/>
      <c r="GDP97" s="168"/>
      <c r="GDQ97" s="167"/>
      <c r="GDR97" s="168"/>
      <c r="GDS97" s="167"/>
      <c r="GDT97" s="168"/>
      <c r="GDU97" s="167"/>
      <c r="GDV97" s="168"/>
      <c r="GDW97" s="167"/>
      <c r="GDX97" s="168"/>
      <c r="GDY97" s="167"/>
      <c r="GDZ97" s="168"/>
      <c r="GEA97" s="167"/>
      <c r="GEB97" s="168"/>
      <c r="GEC97" s="167"/>
      <c r="GED97" s="168"/>
      <c r="GEE97" s="167"/>
      <c r="GEF97" s="168"/>
      <c r="GEG97" s="167"/>
      <c r="GEH97" s="168"/>
      <c r="GEI97" s="167"/>
      <c r="GEJ97" s="168"/>
      <c r="GEK97" s="167"/>
      <c r="GEL97" s="168"/>
      <c r="GEM97" s="167"/>
      <c r="GEN97" s="168"/>
      <c r="GEO97" s="167"/>
      <c r="GEP97" s="168"/>
      <c r="GEQ97" s="167"/>
      <c r="GER97" s="168"/>
      <c r="GES97" s="167"/>
      <c r="GET97" s="168"/>
      <c r="GEU97" s="167"/>
      <c r="GEV97" s="168"/>
      <c r="GEW97" s="167"/>
      <c r="GEX97" s="168"/>
      <c r="GEY97" s="167"/>
      <c r="GEZ97" s="168"/>
      <c r="GFA97" s="167"/>
      <c r="GFB97" s="168"/>
      <c r="GFC97" s="167"/>
      <c r="GFD97" s="168"/>
      <c r="GFE97" s="167"/>
      <c r="GFF97" s="168"/>
      <c r="GFG97" s="167"/>
      <c r="GFH97" s="168"/>
      <c r="GFI97" s="167"/>
      <c r="GFJ97" s="168"/>
      <c r="GFK97" s="167"/>
      <c r="GFL97" s="168"/>
      <c r="GFM97" s="167"/>
      <c r="GFN97" s="168"/>
      <c r="GFO97" s="167"/>
      <c r="GFP97" s="168"/>
      <c r="GFQ97" s="167"/>
      <c r="GFR97" s="168"/>
      <c r="GFS97" s="167"/>
      <c r="GFT97" s="168"/>
      <c r="GFU97" s="167"/>
      <c r="GFV97" s="168"/>
      <c r="GFW97" s="167"/>
      <c r="GFX97" s="168"/>
      <c r="GFY97" s="167"/>
      <c r="GFZ97" s="168"/>
      <c r="GGA97" s="167"/>
      <c r="GGB97" s="168"/>
      <c r="GGC97" s="167"/>
      <c r="GGD97" s="168"/>
      <c r="GGE97" s="167"/>
      <c r="GGF97" s="168"/>
      <c r="GGG97" s="167"/>
      <c r="GGH97" s="168"/>
      <c r="GGI97" s="167"/>
      <c r="GGJ97" s="168"/>
      <c r="GGK97" s="167"/>
      <c r="GGL97" s="168"/>
      <c r="GGM97" s="167"/>
      <c r="GGN97" s="168"/>
      <c r="GGO97" s="167"/>
      <c r="GGP97" s="168"/>
      <c r="GGQ97" s="167"/>
      <c r="GGR97" s="168"/>
      <c r="GGS97" s="167"/>
      <c r="GGT97" s="168"/>
      <c r="GGU97" s="167"/>
      <c r="GGV97" s="168"/>
      <c r="GGW97" s="167"/>
      <c r="GGX97" s="168"/>
      <c r="GGY97" s="167"/>
      <c r="GGZ97" s="168"/>
      <c r="GHA97" s="167"/>
      <c r="GHB97" s="168"/>
      <c r="GHC97" s="167"/>
      <c r="GHD97" s="168"/>
      <c r="GHE97" s="167"/>
      <c r="GHF97" s="168"/>
      <c r="GHG97" s="167"/>
      <c r="GHH97" s="168"/>
      <c r="GHI97" s="167"/>
      <c r="GHJ97" s="168"/>
      <c r="GHK97" s="167"/>
      <c r="GHL97" s="168"/>
      <c r="GHM97" s="167"/>
      <c r="GHN97" s="168"/>
      <c r="GHO97" s="167"/>
      <c r="GHP97" s="168"/>
      <c r="GHQ97" s="167"/>
      <c r="GHR97" s="168"/>
      <c r="GHS97" s="167"/>
      <c r="GHT97" s="168"/>
      <c r="GHU97" s="167"/>
      <c r="GHV97" s="168"/>
      <c r="GHW97" s="167"/>
      <c r="GHX97" s="168"/>
      <c r="GHY97" s="167"/>
      <c r="GHZ97" s="168"/>
      <c r="GIA97" s="167"/>
      <c r="GIB97" s="168"/>
      <c r="GIC97" s="167"/>
      <c r="GID97" s="168"/>
      <c r="GIE97" s="167"/>
      <c r="GIF97" s="168"/>
      <c r="GIG97" s="167"/>
      <c r="GIH97" s="168"/>
      <c r="GII97" s="167"/>
      <c r="GIJ97" s="168"/>
      <c r="GIK97" s="167"/>
      <c r="GIL97" s="168"/>
      <c r="GIM97" s="167"/>
      <c r="GIN97" s="168"/>
      <c r="GIO97" s="167"/>
      <c r="GIP97" s="168"/>
      <c r="GIQ97" s="167"/>
      <c r="GIR97" s="168"/>
      <c r="GIS97" s="167"/>
      <c r="GIT97" s="168"/>
      <c r="GIU97" s="167"/>
      <c r="GIV97" s="168"/>
      <c r="GIW97" s="167"/>
      <c r="GIX97" s="168"/>
      <c r="GIY97" s="167"/>
      <c r="GIZ97" s="168"/>
      <c r="GJA97" s="167"/>
      <c r="GJB97" s="168"/>
      <c r="GJC97" s="167"/>
      <c r="GJD97" s="168"/>
      <c r="GJE97" s="167"/>
      <c r="GJF97" s="168"/>
      <c r="GJG97" s="167"/>
      <c r="GJH97" s="168"/>
      <c r="GJI97" s="167"/>
      <c r="GJJ97" s="168"/>
      <c r="GJK97" s="167"/>
      <c r="GJL97" s="168"/>
      <c r="GJM97" s="167"/>
      <c r="GJN97" s="168"/>
      <c r="GJO97" s="167"/>
      <c r="GJP97" s="168"/>
      <c r="GJQ97" s="167"/>
      <c r="GJR97" s="168"/>
      <c r="GJS97" s="167"/>
      <c r="GJT97" s="168"/>
      <c r="GJU97" s="167"/>
      <c r="GJV97" s="168"/>
      <c r="GJW97" s="167"/>
      <c r="GJX97" s="168"/>
      <c r="GJY97" s="167"/>
      <c r="GJZ97" s="168"/>
      <c r="GKA97" s="167"/>
      <c r="GKB97" s="168"/>
      <c r="GKC97" s="167"/>
      <c r="GKD97" s="168"/>
      <c r="GKE97" s="167"/>
      <c r="GKF97" s="168"/>
      <c r="GKG97" s="167"/>
      <c r="GKH97" s="168"/>
      <c r="GKI97" s="167"/>
      <c r="GKJ97" s="168"/>
      <c r="GKK97" s="167"/>
      <c r="GKL97" s="168"/>
      <c r="GKM97" s="167"/>
      <c r="GKN97" s="168"/>
      <c r="GKO97" s="167"/>
      <c r="GKP97" s="168"/>
      <c r="GKQ97" s="167"/>
      <c r="GKR97" s="168"/>
      <c r="GKS97" s="167"/>
      <c r="GKT97" s="168"/>
      <c r="GKU97" s="167"/>
      <c r="GKV97" s="168"/>
      <c r="GKW97" s="167"/>
      <c r="GKX97" s="168"/>
      <c r="GKY97" s="167"/>
      <c r="GKZ97" s="168"/>
      <c r="GLA97" s="167"/>
      <c r="GLB97" s="168"/>
      <c r="GLC97" s="167"/>
      <c r="GLD97" s="168"/>
      <c r="GLE97" s="167"/>
      <c r="GLF97" s="168"/>
      <c r="GLG97" s="167"/>
      <c r="GLH97" s="168"/>
      <c r="GLI97" s="167"/>
      <c r="GLJ97" s="168"/>
      <c r="GLK97" s="167"/>
      <c r="GLL97" s="168"/>
      <c r="GLM97" s="167"/>
      <c r="GLN97" s="168"/>
      <c r="GLO97" s="167"/>
      <c r="GLP97" s="168"/>
      <c r="GLQ97" s="167"/>
      <c r="GLR97" s="168"/>
      <c r="GLS97" s="167"/>
      <c r="GLT97" s="168"/>
      <c r="GLU97" s="167"/>
      <c r="GLV97" s="168"/>
      <c r="GLW97" s="167"/>
      <c r="GLX97" s="168"/>
      <c r="GLY97" s="167"/>
      <c r="GLZ97" s="168"/>
      <c r="GMA97" s="167"/>
      <c r="GMB97" s="168"/>
      <c r="GMC97" s="167"/>
      <c r="GMD97" s="168"/>
      <c r="GME97" s="167"/>
      <c r="GMF97" s="168"/>
      <c r="GMG97" s="167"/>
      <c r="GMH97" s="168"/>
      <c r="GMI97" s="167"/>
      <c r="GMJ97" s="168"/>
      <c r="GMK97" s="167"/>
      <c r="GML97" s="168"/>
      <c r="GMM97" s="167"/>
      <c r="GMN97" s="168"/>
      <c r="GMO97" s="167"/>
      <c r="GMP97" s="168"/>
      <c r="GMQ97" s="167"/>
      <c r="GMR97" s="168"/>
      <c r="GMS97" s="167"/>
      <c r="GMT97" s="168"/>
      <c r="GMU97" s="167"/>
      <c r="GMV97" s="168"/>
      <c r="GMW97" s="167"/>
      <c r="GMX97" s="168"/>
      <c r="GMY97" s="167"/>
      <c r="GMZ97" s="168"/>
      <c r="GNA97" s="167"/>
      <c r="GNB97" s="168"/>
      <c r="GNC97" s="167"/>
      <c r="GND97" s="168"/>
      <c r="GNE97" s="167"/>
      <c r="GNF97" s="168"/>
      <c r="GNG97" s="167"/>
      <c r="GNH97" s="168"/>
      <c r="GNI97" s="167"/>
      <c r="GNJ97" s="168"/>
      <c r="GNK97" s="167"/>
      <c r="GNL97" s="168"/>
      <c r="GNM97" s="167"/>
      <c r="GNN97" s="168"/>
      <c r="GNO97" s="167"/>
      <c r="GNP97" s="168"/>
      <c r="GNQ97" s="167"/>
      <c r="GNR97" s="168"/>
      <c r="GNS97" s="167"/>
      <c r="GNT97" s="168"/>
      <c r="GNU97" s="167"/>
      <c r="GNV97" s="168"/>
      <c r="GNW97" s="167"/>
      <c r="GNX97" s="168"/>
      <c r="GNY97" s="167"/>
      <c r="GNZ97" s="168"/>
      <c r="GOA97" s="167"/>
      <c r="GOB97" s="168"/>
      <c r="GOC97" s="167"/>
      <c r="GOD97" s="168"/>
      <c r="GOE97" s="167"/>
      <c r="GOF97" s="168"/>
      <c r="GOG97" s="167"/>
      <c r="GOH97" s="168"/>
      <c r="GOI97" s="167"/>
      <c r="GOJ97" s="168"/>
      <c r="GOK97" s="167"/>
      <c r="GOL97" s="168"/>
      <c r="GOM97" s="167"/>
      <c r="GON97" s="168"/>
      <c r="GOO97" s="167"/>
      <c r="GOP97" s="168"/>
      <c r="GOQ97" s="167"/>
      <c r="GOR97" s="168"/>
      <c r="GOS97" s="167"/>
      <c r="GOT97" s="168"/>
      <c r="GOU97" s="167"/>
      <c r="GOV97" s="168"/>
      <c r="GOW97" s="167"/>
      <c r="GOX97" s="168"/>
      <c r="GOY97" s="167"/>
      <c r="GOZ97" s="168"/>
      <c r="GPA97" s="167"/>
      <c r="GPB97" s="168"/>
      <c r="GPC97" s="167"/>
      <c r="GPD97" s="168"/>
      <c r="GPE97" s="167"/>
      <c r="GPF97" s="168"/>
      <c r="GPG97" s="167"/>
      <c r="GPH97" s="168"/>
      <c r="GPI97" s="167"/>
      <c r="GPJ97" s="168"/>
      <c r="GPK97" s="167"/>
      <c r="GPL97" s="168"/>
      <c r="GPM97" s="167"/>
      <c r="GPN97" s="168"/>
      <c r="GPO97" s="167"/>
      <c r="GPP97" s="168"/>
      <c r="GPQ97" s="167"/>
      <c r="GPR97" s="168"/>
      <c r="GPS97" s="167"/>
      <c r="GPT97" s="168"/>
      <c r="GPU97" s="167"/>
      <c r="GPV97" s="168"/>
      <c r="GPW97" s="167"/>
      <c r="GPX97" s="168"/>
      <c r="GPY97" s="167"/>
      <c r="GPZ97" s="168"/>
      <c r="GQA97" s="167"/>
      <c r="GQB97" s="168"/>
      <c r="GQC97" s="167"/>
      <c r="GQD97" s="168"/>
      <c r="GQE97" s="167"/>
      <c r="GQF97" s="168"/>
      <c r="GQG97" s="167"/>
      <c r="GQH97" s="168"/>
      <c r="GQI97" s="167"/>
      <c r="GQJ97" s="168"/>
      <c r="GQK97" s="167"/>
      <c r="GQL97" s="168"/>
      <c r="GQM97" s="167"/>
      <c r="GQN97" s="168"/>
      <c r="GQO97" s="167"/>
      <c r="GQP97" s="168"/>
      <c r="GQQ97" s="167"/>
      <c r="GQR97" s="168"/>
      <c r="GQS97" s="167"/>
      <c r="GQT97" s="168"/>
      <c r="GQU97" s="167"/>
      <c r="GQV97" s="168"/>
      <c r="GQW97" s="167"/>
      <c r="GQX97" s="168"/>
      <c r="GQY97" s="167"/>
      <c r="GQZ97" s="168"/>
      <c r="GRA97" s="167"/>
      <c r="GRB97" s="168"/>
      <c r="GRC97" s="167"/>
      <c r="GRD97" s="168"/>
      <c r="GRE97" s="167"/>
      <c r="GRF97" s="168"/>
      <c r="GRG97" s="167"/>
      <c r="GRH97" s="168"/>
      <c r="GRI97" s="167"/>
      <c r="GRJ97" s="168"/>
      <c r="GRK97" s="167"/>
      <c r="GRL97" s="168"/>
      <c r="GRM97" s="167"/>
      <c r="GRN97" s="168"/>
      <c r="GRO97" s="167"/>
      <c r="GRP97" s="168"/>
      <c r="GRQ97" s="167"/>
      <c r="GRR97" s="168"/>
      <c r="GRS97" s="167"/>
      <c r="GRT97" s="168"/>
      <c r="GRU97" s="167"/>
      <c r="GRV97" s="168"/>
      <c r="GRW97" s="167"/>
      <c r="GRX97" s="168"/>
      <c r="GRY97" s="167"/>
      <c r="GRZ97" s="168"/>
      <c r="GSA97" s="167"/>
      <c r="GSB97" s="168"/>
      <c r="GSC97" s="167"/>
      <c r="GSD97" s="168"/>
      <c r="GSE97" s="167"/>
      <c r="GSF97" s="168"/>
      <c r="GSG97" s="167"/>
      <c r="GSH97" s="168"/>
      <c r="GSI97" s="167"/>
      <c r="GSJ97" s="168"/>
      <c r="GSK97" s="167"/>
      <c r="GSL97" s="168"/>
      <c r="GSM97" s="167"/>
      <c r="GSN97" s="168"/>
      <c r="GSO97" s="167"/>
      <c r="GSP97" s="168"/>
      <c r="GSQ97" s="167"/>
      <c r="GSR97" s="168"/>
      <c r="GSS97" s="167"/>
      <c r="GST97" s="168"/>
      <c r="GSU97" s="167"/>
      <c r="GSV97" s="168"/>
      <c r="GSW97" s="167"/>
      <c r="GSX97" s="168"/>
      <c r="GSY97" s="167"/>
      <c r="GSZ97" s="168"/>
      <c r="GTA97" s="167"/>
      <c r="GTB97" s="168"/>
      <c r="GTC97" s="167"/>
      <c r="GTD97" s="168"/>
      <c r="GTE97" s="167"/>
      <c r="GTF97" s="168"/>
      <c r="GTG97" s="167"/>
      <c r="GTH97" s="168"/>
      <c r="GTI97" s="167"/>
      <c r="GTJ97" s="168"/>
      <c r="GTK97" s="167"/>
      <c r="GTL97" s="168"/>
      <c r="GTM97" s="167"/>
      <c r="GTN97" s="168"/>
      <c r="GTO97" s="167"/>
      <c r="GTP97" s="168"/>
      <c r="GTQ97" s="167"/>
      <c r="GTR97" s="168"/>
      <c r="GTS97" s="167"/>
      <c r="GTT97" s="168"/>
      <c r="GTU97" s="167"/>
      <c r="GTV97" s="168"/>
      <c r="GTW97" s="167"/>
      <c r="GTX97" s="168"/>
      <c r="GTY97" s="167"/>
      <c r="GTZ97" s="168"/>
      <c r="GUA97" s="167"/>
      <c r="GUB97" s="168"/>
      <c r="GUC97" s="167"/>
      <c r="GUD97" s="168"/>
      <c r="GUE97" s="167"/>
      <c r="GUF97" s="168"/>
      <c r="GUG97" s="167"/>
      <c r="GUH97" s="168"/>
      <c r="GUI97" s="167"/>
      <c r="GUJ97" s="168"/>
      <c r="GUK97" s="167"/>
      <c r="GUL97" s="168"/>
      <c r="GUM97" s="167"/>
      <c r="GUN97" s="168"/>
      <c r="GUO97" s="167"/>
      <c r="GUP97" s="168"/>
      <c r="GUQ97" s="167"/>
      <c r="GUR97" s="168"/>
      <c r="GUS97" s="167"/>
      <c r="GUT97" s="168"/>
      <c r="GUU97" s="167"/>
      <c r="GUV97" s="168"/>
      <c r="GUW97" s="167"/>
      <c r="GUX97" s="168"/>
      <c r="GUY97" s="167"/>
      <c r="GUZ97" s="168"/>
      <c r="GVA97" s="167"/>
      <c r="GVB97" s="168"/>
      <c r="GVC97" s="167"/>
      <c r="GVD97" s="168"/>
      <c r="GVE97" s="167"/>
      <c r="GVF97" s="168"/>
      <c r="GVG97" s="167"/>
      <c r="GVH97" s="168"/>
      <c r="GVI97" s="167"/>
      <c r="GVJ97" s="168"/>
      <c r="GVK97" s="167"/>
      <c r="GVL97" s="168"/>
      <c r="GVM97" s="167"/>
      <c r="GVN97" s="168"/>
      <c r="GVO97" s="167"/>
      <c r="GVP97" s="168"/>
      <c r="GVQ97" s="167"/>
      <c r="GVR97" s="168"/>
      <c r="GVS97" s="167"/>
      <c r="GVT97" s="168"/>
      <c r="GVU97" s="167"/>
      <c r="GVV97" s="168"/>
      <c r="GVW97" s="167"/>
      <c r="GVX97" s="168"/>
      <c r="GVY97" s="167"/>
      <c r="GVZ97" s="168"/>
      <c r="GWA97" s="167"/>
      <c r="GWB97" s="168"/>
      <c r="GWC97" s="167"/>
      <c r="GWD97" s="168"/>
      <c r="GWE97" s="167"/>
      <c r="GWF97" s="168"/>
      <c r="GWG97" s="167"/>
      <c r="GWH97" s="168"/>
      <c r="GWI97" s="167"/>
      <c r="GWJ97" s="168"/>
      <c r="GWK97" s="167"/>
      <c r="GWL97" s="168"/>
      <c r="GWM97" s="167"/>
      <c r="GWN97" s="168"/>
      <c r="GWO97" s="167"/>
      <c r="GWP97" s="168"/>
      <c r="GWQ97" s="167"/>
      <c r="GWR97" s="168"/>
      <c r="GWS97" s="167"/>
      <c r="GWT97" s="168"/>
      <c r="GWU97" s="167"/>
      <c r="GWV97" s="168"/>
      <c r="GWW97" s="167"/>
      <c r="GWX97" s="168"/>
      <c r="GWY97" s="167"/>
      <c r="GWZ97" s="168"/>
      <c r="GXA97" s="167"/>
      <c r="GXB97" s="168"/>
      <c r="GXC97" s="167"/>
      <c r="GXD97" s="168"/>
      <c r="GXE97" s="167"/>
      <c r="GXF97" s="168"/>
      <c r="GXG97" s="167"/>
      <c r="GXH97" s="168"/>
      <c r="GXI97" s="167"/>
      <c r="GXJ97" s="168"/>
      <c r="GXK97" s="167"/>
      <c r="GXL97" s="168"/>
      <c r="GXM97" s="167"/>
      <c r="GXN97" s="168"/>
      <c r="GXO97" s="167"/>
      <c r="GXP97" s="168"/>
      <c r="GXQ97" s="167"/>
      <c r="GXR97" s="168"/>
      <c r="GXS97" s="167"/>
      <c r="GXT97" s="168"/>
      <c r="GXU97" s="167"/>
      <c r="GXV97" s="168"/>
      <c r="GXW97" s="167"/>
      <c r="GXX97" s="168"/>
      <c r="GXY97" s="167"/>
      <c r="GXZ97" s="168"/>
      <c r="GYA97" s="167"/>
      <c r="GYB97" s="168"/>
      <c r="GYC97" s="167"/>
      <c r="GYD97" s="168"/>
      <c r="GYE97" s="167"/>
      <c r="GYF97" s="168"/>
      <c r="GYG97" s="167"/>
      <c r="GYH97" s="168"/>
      <c r="GYI97" s="167"/>
      <c r="GYJ97" s="168"/>
      <c r="GYK97" s="167"/>
      <c r="GYL97" s="168"/>
      <c r="GYM97" s="167"/>
      <c r="GYN97" s="168"/>
      <c r="GYO97" s="167"/>
      <c r="GYP97" s="168"/>
      <c r="GYQ97" s="167"/>
      <c r="GYR97" s="168"/>
      <c r="GYS97" s="167"/>
      <c r="GYT97" s="168"/>
      <c r="GYU97" s="167"/>
      <c r="GYV97" s="168"/>
      <c r="GYW97" s="167"/>
      <c r="GYX97" s="168"/>
      <c r="GYY97" s="167"/>
      <c r="GYZ97" s="168"/>
      <c r="GZA97" s="167"/>
      <c r="GZB97" s="168"/>
      <c r="GZC97" s="167"/>
      <c r="GZD97" s="168"/>
      <c r="GZE97" s="167"/>
      <c r="GZF97" s="168"/>
      <c r="GZG97" s="167"/>
      <c r="GZH97" s="168"/>
      <c r="GZI97" s="167"/>
      <c r="GZJ97" s="168"/>
      <c r="GZK97" s="167"/>
      <c r="GZL97" s="168"/>
      <c r="GZM97" s="167"/>
      <c r="GZN97" s="168"/>
      <c r="GZO97" s="167"/>
      <c r="GZP97" s="168"/>
      <c r="GZQ97" s="167"/>
      <c r="GZR97" s="168"/>
      <c r="GZS97" s="167"/>
      <c r="GZT97" s="168"/>
      <c r="GZU97" s="167"/>
      <c r="GZV97" s="168"/>
      <c r="GZW97" s="167"/>
      <c r="GZX97" s="168"/>
      <c r="GZY97" s="167"/>
      <c r="GZZ97" s="168"/>
      <c r="HAA97" s="167"/>
      <c r="HAB97" s="168"/>
      <c r="HAC97" s="167"/>
      <c r="HAD97" s="168"/>
      <c r="HAE97" s="167"/>
      <c r="HAF97" s="168"/>
      <c r="HAG97" s="167"/>
      <c r="HAH97" s="168"/>
      <c r="HAI97" s="167"/>
      <c r="HAJ97" s="168"/>
      <c r="HAK97" s="167"/>
      <c r="HAL97" s="168"/>
      <c r="HAM97" s="167"/>
      <c r="HAN97" s="168"/>
      <c r="HAO97" s="167"/>
      <c r="HAP97" s="168"/>
      <c r="HAQ97" s="167"/>
      <c r="HAR97" s="168"/>
      <c r="HAS97" s="167"/>
      <c r="HAT97" s="168"/>
      <c r="HAU97" s="167"/>
      <c r="HAV97" s="168"/>
      <c r="HAW97" s="167"/>
      <c r="HAX97" s="168"/>
      <c r="HAY97" s="167"/>
      <c r="HAZ97" s="168"/>
      <c r="HBA97" s="167"/>
      <c r="HBB97" s="168"/>
      <c r="HBC97" s="167"/>
      <c r="HBD97" s="168"/>
      <c r="HBE97" s="167"/>
      <c r="HBF97" s="168"/>
      <c r="HBG97" s="167"/>
      <c r="HBH97" s="168"/>
      <c r="HBI97" s="167"/>
      <c r="HBJ97" s="168"/>
      <c r="HBK97" s="167"/>
      <c r="HBL97" s="168"/>
      <c r="HBM97" s="167"/>
      <c r="HBN97" s="168"/>
      <c r="HBO97" s="167"/>
      <c r="HBP97" s="168"/>
      <c r="HBQ97" s="167"/>
      <c r="HBR97" s="168"/>
      <c r="HBS97" s="167"/>
      <c r="HBT97" s="168"/>
      <c r="HBU97" s="167"/>
      <c r="HBV97" s="168"/>
      <c r="HBW97" s="167"/>
      <c r="HBX97" s="168"/>
      <c r="HBY97" s="167"/>
      <c r="HBZ97" s="168"/>
      <c r="HCA97" s="167"/>
      <c r="HCB97" s="168"/>
      <c r="HCC97" s="167"/>
      <c r="HCD97" s="168"/>
      <c r="HCE97" s="167"/>
      <c r="HCF97" s="168"/>
      <c r="HCG97" s="167"/>
      <c r="HCH97" s="168"/>
      <c r="HCI97" s="167"/>
      <c r="HCJ97" s="168"/>
      <c r="HCK97" s="167"/>
      <c r="HCL97" s="168"/>
      <c r="HCM97" s="167"/>
      <c r="HCN97" s="168"/>
      <c r="HCO97" s="167"/>
      <c r="HCP97" s="168"/>
      <c r="HCQ97" s="167"/>
      <c r="HCR97" s="168"/>
      <c r="HCS97" s="167"/>
      <c r="HCT97" s="168"/>
      <c r="HCU97" s="167"/>
      <c r="HCV97" s="168"/>
      <c r="HCW97" s="167"/>
      <c r="HCX97" s="168"/>
      <c r="HCY97" s="167"/>
      <c r="HCZ97" s="168"/>
      <c r="HDA97" s="167"/>
      <c r="HDB97" s="168"/>
      <c r="HDC97" s="167"/>
      <c r="HDD97" s="168"/>
      <c r="HDE97" s="167"/>
      <c r="HDF97" s="168"/>
      <c r="HDG97" s="167"/>
      <c r="HDH97" s="168"/>
      <c r="HDI97" s="167"/>
      <c r="HDJ97" s="168"/>
      <c r="HDK97" s="167"/>
      <c r="HDL97" s="168"/>
      <c r="HDM97" s="167"/>
      <c r="HDN97" s="168"/>
      <c r="HDO97" s="167"/>
      <c r="HDP97" s="168"/>
      <c r="HDQ97" s="167"/>
      <c r="HDR97" s="168"/>
      <c r="HDS97" s="167"/>
      <c r="HDT97" s="168"/>
      <c r="HDU97" s="167"/>
      <c r="HDV97" s="168"/>
      <c r="HDW97" s="167"/>
      <c r="HDX97" s="168"/>
      <c r="HDY97" s="167"/>
      <c r="HDZ97" s="168"/>
      <c r="HEA97" s="167"/>
      <c r="HEB97" s="168"/>
      <c r="HEC97" s="167"/>
      <c r="HED97" s="168"/>
      <c r="HEE97" s="167"/>
      <c r="HEF97" s="168"/>
      <c r="HEG97" s="167"/>
      <c r="HEH97" s="168"/>
      <c r="HEI97" s="167"/>
      <c r="HEJ97" s="168"/>
      <c r="HEK97" s="167"/>
      <c r="HEL97" s="168"/>
      <c r="HEM97" s="167"/>
      <c r="HEN97" s="168"/>
      <c r="HEO97" s="167"/>
      <c r="HEP97" s="168"/>
      <c r="HEQ97" s="167"/>
      <c r="HER97" s="168"/>
      <c r="HES97" s="167"/>
      <c r="HET97" s="168"/>
      <c r="HEU97" s="167"/>
      <c r="HEV97" s="168"/>
      <c r="HEW97" s="167"/>
      <c r="HEX97" s="168"/>
      <c r="HEY97" s="167"/>
      <c r="HEZ97" s="168"/>
      <c r="HFA97" s="167"/>
      <c r="HFB97" s="168"/>
      <c r="HFC97" s="167"/>
      <c r="HFD97" s="168"/>
      <c r="HFE97" s="167"/>
      <c r="HFF97" s="168"/>
      <c r="HFG97" s="167"/>
      <c r="HFH97" s="168"/>
      <c r="HFI97" s="167"/>
      <c r="HFJ97" s="168"/>
      <c r="HFK97" s="167"/>
      <c r="HFL97" s="168"/>
      <c r="HFM97" s="167"/>
      <c r="HFN97" s="168"/>
      <c r="HFO97" s="167"/>
      <c r="HFP97" s="168"/>
      <c r="HFQ97" s="167"/>
      <c r="HFR97" s="168"/>
      <c r="HFS97" s="167"/>
      <c r="HFT97" s="168"/>
      <c r="HFU97" s="167"/>
      <c r="HFV97" s="168"/>
      <c r="HFW97" s="167"/>
      <c r="HFX97" s="168"/>
      <c r="HFY97" s="167"/>
      <c r="HFZ97" s="168"/>
      <c r="HGA97" s="167"/>
      <c r="HGB97" s="168"/>
      <c r="HGC97" s="167"/>
      <c r="HGD97" s="168"/>
      <c r="HGE97" s="167"/>
      <c r="HGF97" s="168"/>
      <c r="HGG97" s="167"/>
      <c r="HGH97" s="168"/>
      <c r="HGI97" s="167"/>
      <c r="HGJ97" s="168"/>
      <c r="HGK97" s="167"/>
      <c r="HGL97" s="168"/>
      <c r="HGM97" s="167"/>
      <c r="HGN97" s="168"/>
      <c r="HGO97" s="167"/>
      <c r="HGP97" s="168"/>
      <c r="HGQ97" s="167"/>
      <c r="HGR97" s="168"/>
      <c r="HGS97" s="167"/>
      <c r="HGT97" s="168"/>
      <c r="HGU97" s="167"/>
      <c r="HGV97" s="168"/>
      <c r="HGW97" s="167"/>
      <c r="HGX97" s="168"/>
      <c r="HGY97" s="167"/>
      <c r="HGZ97" s="168"/>
      <c r="HHA97" s="167"/>
      <c r="HHB97" s="168"/>
      <c r="HHC97" s="167"/>
      <c r="HHD97" s="168"/>
      <c r="HHE97" s="167"/>
      <c r="HHF97" s="168"/>
      <c r="HHG97" s="167"/>
      <c r="HHH97" s="168"/>
      <c r="HHI97" s="167"/>
      <c r="HHJ97" s="168"/>
      <c r="HHK97" s="167"/>
      <c r="HHL97" s="168"/>
      <c r="HHM97" s="167"/>
      <c r="HHN97" s="168"/>
      <c r="HHO97" s="167"/>
      <c r="HHP97" s="168"/>
      <c r="HHQ97" s="167"/>
      <c r="HHR97" s="168"/>
      <c r="HHS97" s="167"/>
      <c r="HHT97" s="168"/>
      <c r="HHU97" s="167"/>
      <c r="HHV97" s="168"/>
      <c r="HHW97" s="167"/>
      <c r="HHX97" s="168"/>
      <c r="HHY97" s="167"/>
      <c r="HHZ97" s="168"/>
      <c r="HIA97" s="167"/>
      <c r="HIB97" s="168"/>
      <c r="HIC97" s="167"/>
      <c r="HID97" s="168"/>
      <c r="HIE97" s="167"/>
      <c r="HIF97" s="168"/>
      <c r="HIG97" s="167"/>
      <c r="HIH97" s="168"/>
      <c r="HII97" s="167"/>
      <c r="HIJ97" s="168"/>
      <c r="HIK97" s="167"/>
      <c r="HIL97" s="168"/>
      <c r="HIM97" s="167"/>
      <c r="HIN97" s="168"/>
      <c r="HIO97" s="167"/>
      <c r="HIP97" s="168"/>
      <c r="HIQ97" s="167"/>
      <c r="HIR97" s="168"/>
      <c r="HIS97" s="167"/>
      <c r="HIT97" s="168"/>
      <c r="HIU97" s="167"/>
      <c r="HIV97" s="168"/>
      <c r="HIW97" s="167"/>
      <c r="HIX97" s="168"/>
      <c r="HIY97" s="167"/>
      <c r="HIZ97" s="168"/>
      <c r="HJA97" s="167"/>
      <c r="HJB97" s="168"/>
      <c r="HJC97" s="167"/>
      <c r="HJD97" s="168"/>
      <c r="HJE97" s="167"/>
      <c r="HJF97" s="168"/>
      <c r="HJG97" s="167"/>
      <c r="HJH97" s="168"/>
      <c r="HJI97" s="167"/>
      <c r="HJJ97" s="168"/>
      <c r="HJK97" s="167"/>
      <c r="HJL97" s="168"/>
      <c r="HJM97" s="167"/>
      <c r="HJN97" s="168"/>
      <c r="HJO97" s="167"/>
      <c r="HJP97" s="168"/>
      <c r="HJQ97" s="167"/>
      <c r="HJR97" s="168"/>
      <c r="HJS97" s="167"/>
      <c r="HJT97" s="168"/>
      <c r="HJU97" s="167"/>
      <c r="HJV97" s="168"/>
      <c r="HJW97" s="167"/>
      <c r="HJX97" s="168"/>
      <c r="HJY97" s="167"/>
      <c r="HJZ97" s="168"/>
      <c r="HKA97" s="167"/>
      <c r="HKB97" s="168"/>
      <c r="HKC97" s="167"/>
      <c r="HKD97" s="168"/>
      <c r="HKE97" s="167"/>
      <c r="HKF97" s="168"/>
      <c r="HKG97" s="167"/>
      <c r="HKH97" s="168"/>
      <c r="HKI97" s="167"/>
      <c r="HKJ97" s="168"/>
      <c r="HKK97" s="167"/>
      <c r="HKL97" s="168"/>
      <c r="HKM97" s="167"/>
      <c r="HKN97" s="168"/>
      <c r="HKO97" s="167"/>
      <c r="HKP97" s="168"/>
      <c r="HKQ97" s="167"/>
      <c r="HKR97" s="168"/>
      <c r="HKS97" s="167"/>
      <c r="HKT97" s="168"/>
      <c r="HKU97" s="167"/>
      <c r="HKV97" s="168"/>
      <c r="HKW97" s="167"/>
      <c r="HKX97" s="168"/>
      <c r="HKY97" s="167"/>
      <c r="HKZ97" s="168"/>
      <c r="HLA97" s="167"/>
      <c r="HLB97" s="168"/>
      <c r="HLC97" s="167"/>
      <c r="HLD97" s="168"/>
      <c r="HLE97" s="167"/>
      <c r="HLF97" s="168"/>
      <c r="HLG97" s="167"/>
      <c r="HLH97" s="168"/>
      <c r="HLI97" s="167"/>
      <c r="HLJ97" s="168"/>
      <c r="HLK97" s="167"/>
      <c r="HLL97" s="168"/>
      <c r="HLM97" s="167"/>
      <c r="HLN97" s="168"/>
      <c r="HLO97" s="167"/>
      <c r="HLP97" s="168"/>
      <c r="HLQ97" s="167"/>
      <c r="HLR97" s="168"/>
      <c r="HLS97" s="167"/>
      <c r="HLT97" s="168"/>
      <c r="HLU97" s="167"/>
      <c r="HLV97" s="168"/>
      <c r="HLW97" s="167"/>
      <c r="HLX97" s="168"/>
      <c r="HLY97" s="167"/>
      <c r="HLZ97" s="168"/>
      <c r="HMA97" s="167"/>
      <c r="HMB97" s="168"/>
      <c r="HMC97" s="167"/>
      <c r="HMD97" s="168"/>
      <c r="HME97" s="167"/>
      <c r="HMF97" s="168"/>
      <c r="HMG97" s="167"/>
      <c r="HMH97" s="168"/>
      <c r="HMI97" s="167"/>
      <c r="HMJ97" s="168"/>
      <c r="HMK97" s="167"/>
      <c r="HML97" s="168"/>
      <c r="HMM97" s="167"/>
      <c r="HMN97" s="168"/>
      <c r="HMO97" s="167"/>
      <c r="HMP97" s="168"/>
      <c r="HMQ97" s="167"/>
      <c r="HMR97" s="168"/>
      <c r="HMS97" s="167"/>
      <c r="HMT97" s="168"/>
      <c r="HMU97" s="167"/>
      <c r="HMV97" s="168"/>
      <c r="HMW97" s="167"/>
      <c r="HMX97" s="168"/>
      <c r="HMY97" s="167"/>
      <c r="HMZ97" s="168"/>
      <c r="HNA97" s="167"/>
      <c r="HNB97" s="168"/>
      <c r="HNC97" s="167"/>
      <c r="HND97" s="168"/>
      <c r="HNE97" s="167"/>
      <c r="HNF97" s="168"/>
      <c r="HNG97" s="167"/>
      <c r="HNH97" s="168"/>
      <c r="HNI97" s="167"/>
      <c r="HNJ97" s="168"/>
      <c r="HNK97" s="167"/>
      <c r="HNL97" s="168"/>
      <c r="HNM97" s="167"/>
      <c r="HNN97" s="168"/>
      <c r="HNO97" s="167"/>
      <c r="HNP97" s="168"/>
      <c r="HNQ97" s="167"/>
      <c r="HNR97" s="168"/>
      <c r="HNS97" s="167"/>
      <c r="HNT97" s="168"/>
      <c r="HNU97" s="167"/>
      <c r="HNV97" s="168"/>
      <c r="HNW97" s="167"/>
      <c r="HNX97" s="168"/>
      <c r="HNY97" s="167"/>
      <c r="HNZ97" s="168"/>
      <c r="HOA97" s="167"/>
      <c r="HOB97" s="168"/>
      <c r="HOC97" s="167"/>
      <c r="HOD97" s="168"/>
      <c r="HOE97" s="167"/>
      <c r="HOF97" s="168"/>
      <c r="HOG97" s="167"/>
      <c r="HOH97" s="168"/>
      <c r="HOI97" s="167"/>
      <c r="HOJ97" s="168"/>
      <c r="HOK97" s="167"/>
      <c r="HOL97" s="168"/>
      <c r="HOM97" s="167"/>
      <c r="HON97" s="168"/>
      <c r="HOO97" s="167"/>
      <c r="HOP97" s="168"/>
      <c r="HOQ97" s="167"/>
      <c r="HOR97" s="168"/>
      <c r="HOS97" s="167"/>
      <c r="HOT97" s="168"/>
      <c r="HOU97" s="167"/>
      <c r="HOV97" s="168"/>
      <c r="HOW97" s="167"/>
      <c r="HOX97" s="168"/>
      <c r="HOY97" s="167"/>
      <c r="HOZ97" s="168"/>
      <c r="HPA97" s="167"/>
      <c r="HPB97" s="168"/>
      <c r="HPC97" s="167"/>
      <c r="HPD97" s="168"/>
      <c r="HPE97" s="167"/>
      <c r="HPF97" s="168"/>
      <c r="HPG97" s="167"/>
      <c r="HPH97" s="168"/>
      <c r="HPI97" s="167"/>
      <c r="HPJ97" s="168"/>
      <c r="HPK97" s="167"/>
      <c r="HPL97" s="168"/>
      <c r="HPM97" s="167"/>
      <c r="HPN97" s="168"/>
      <c r="HPO97" s="167"/>
      <c r="HPP97" s="168"/>
      <c r="HPQ97" s="167"/>
      <c r="HPR97" s="168"/>
      <c r="HPS97" s="167"/>
      <c r="HPT97" s="168"/>
      <c r="HPU97" s="167"/>
      <c r="HPV97" s="168"/>
      <c r="HPW97" s="167"/>
      <c r="HPX97" s="168"/>
      <c r="HPY97" s="167"/>
      <c r="HPZ97" s="168"/>
      <c r="HQA97" s="167"/>
      <c r="HQB97" s="168"/>
      <c r="HQC97" s="167"/>
      <c r="HQD97" s="168"/>
      <c r="HQE97" s="167"/>
      <c r="HQF97" s="168"/>
      <c r="HQG97" s="167"/>
      <c r="HQH97" s="168"/>
      <c r="HQI97" s="167"/>
      <c r="HQJ97" s="168"/>
      <c r="HQK97" s="167"/>
      <c r="HQL97" s="168"/>
      <c r="HQM97" s="167"/>
      <c r="HQN97" s="168"/>
      <c r="HQO97" s="167"/>
      <c r="HQP97" s="168"/>
      <c r="HQQ97" s="167"/>
      <c r="HQR97" s="168"/>
      <c r="HQS97" s="167"/>
      <c r="HQT97" s="168"/>
      <c r="HQU97" s="167"/>
      <c r="HQV97" s="168"/>
      <c r="HQW97" s="167"/>
      <c r="HQX97" s="168"/>
      <c r="HQY97" s="167"/>
      <c r="HQZ97" s="168"/>
      <c r="HRA97" s="167"/>
      <c r="HRB97" s="168"/>
      <c r="HRC97" s="167"/>
      <c r="HRD97" s="168"/>
      <c r="HRE97" s="167"/>
      <c r="HRF97" s="168"/>
      <c r="HRG97" s="167"/>
      <c r="HRH97" s="168"/>
      <c r="HRI97" s="167"/>
      <c r="HRJ97" s="168"/>
      <c r="HRK97" s="167"/>
      <c r="HRL97" s="168"/>
      <c r="HRM97" s="167"/>
      <c r="HRN97" s="168"/>
      <c r="HRO97" s="167"/>
      <c r="HRP97" s="168"/>
      <c r="HRQ97" s="167"/>
      <c r="HRR97" s="168"/>
      <c r="HRS97" s="167"/>
      <c r="HRT97" s="168"/>
      <c r="HRU97" s="167"/>
      <c r="HRV97" s="168"/>
      <c r="HRW97" s="167"/>
      <c r="HRX97" s="168"/>
      <c r="HRY97" s="167"/>
      <c r="HRZ97" s="168"/>
      <c r="HSA97" s="167"/>
      <c r="HSB97" s="168"/>
      <c r="HSC97" s="167"/>
      <c r="HSD97" s="168"/>
      <c r="HSE97" s="167"/>
      <c r="HSF97" s="168"/>
      <c r="HSG97" s="167"/>
      <c r="HSH97" s="168"/>
      <c r="HSI97" s="167"/>
      <c r="HSJ97" s="168"/>
      <c r="HSK97" s="167"/>
      <c r="HSL97" s="168"/>
      <c r="HSM97" s="167"/>
      <c r="HSN97" s="168"/>
      <c r="HSO97" s="167"/>
      <c r="HSP97" s="168"/>
      <c r="HSQ97" s="167"/>
      <c r="HSR97" s="168"/>
      <c r="HSS97" s="167"/>
      <c r="HST97" s="168"/>
      <c r="HSU97" s="167"/>
      <c r="HSV97" s="168"/>
      <c r="HSW97" s="167"/>
      <c r="HSX97" s="168"/>
      <c r="HSY97" s="167"/>
      <c r="HSZ97" s="168"/>
      <c r="HTA97" s="167"/>
      <c r="HTB97" s="168"/>
      <c r="HTC97" s="167"/>
      <c r="HTD97" s="168"/>
      <c r="HTE97" s="167"/>
      <c r="HTF97" s="168"/>
      <c r="HTG97" s="167"/>
      <c r="HTH97" s="168"/>
      <c r="HTI97" s="167"/>
      <c r="HTJ97" s="168"/>
      <c r="HTK97" s="167"/>
      <c r="HTL97" s="168"/>
      <c r="HTM97" s="167"/>
      <c r="HTN97" s="168"/>
      <c r="HTO97" s="167"/>
      <c r="HTP97" s="168"/>
      <c r="HTQ97" s="167"/>
      <c r="HTR97" s="168"/>
      <c r="HTS97" s="167"/>
      <c r="HTT97" s="168"/>
      <c r="HTU97" s="167"/>
      <c r="HTV97" s="168"/>
      <c r="HTW97" s="167"/>
      <c r="HTX97" s="168"/>
      <c r="HTY97" s="167"/>
      <c r="HTZ97" s="168"/>
      <c r="HUA97" s="167"/>
      <c r="HUB97" s="168"/>
      <c r="HUC97" s="167"/>
      <c r="HUD97" s="168"/>
      <c r="HUE97" s="167"/>
      <c r="HUF97" s="168"/>
      <c r="HUG97" s="167"/>
      <c r="HUH97" s="168"/>
      <c r="HUI97" s="167"/>
      <c r="HUJ97" s="168"/>
      <c r="HUK97" s="167"/>
      <c r="HUL97" s="168"/>
      <c r="HUM97" s="167"/>
      <c r="HUN97" s="168"/>
      <c r="HUO97" s="167"/>
      <c r="HUP97" s="168"/>
      <c r="HUQ97" s="167"/>
      <c r="HUR97" s="168"/>
      <c r="HUS97" s="167"/>
      <c r="HUT97" s="168"/>
      <c r="HUU97" s="167"/>
      <c r="HUV97" s="168"/>
      <c r="HUW97" s="167"/>
      <c r="HUX97" s="168"/>
      <c r="HUY97" s="167"/>
      <c r="HUZ97" s="168"/>
      <c r="HVA97" s="167"/>
      <c r="HVB97" s="168"/>
      <c r="HVC97" s="167"/>
      <c r="HVD97" s="168"/>
      <c r="HVE97" s="167"/>
      <c r="HVF97" s="168"/>
      <c r="HVG97" s="167"/>
      <c r="HVH97" s="168"/>
      <c r="HVI97" s="167"/>
      <c r="HVJ97" s="168"/>
      <c r="HVK97" s="167"/>
      <c r="HVL97" s="168"/>
      <c r="HVM97" s="167"/>
      <c r="HVN97" s="168"/>
      <c r="HVO97" s="167"/>
      <c r="HVP97" s="168"/>
      <c r="HVQ97" s="167"/>
      <c r="HVR97" s="168"/>
      <c r="HVS97" s="167"/>
      <c r="HVT97" s="168"/>
      <c r="HVU97" s="167"/>
      <c r="HVV97" s="168"/>
      <c r="HVW97" s="167"/>
      <c r="HVX97" s="168"/>
      <c r="HVY97" s="167"/>
      <c r="HVZ97" s="168"/>
      <c r="HWA97" s="167"/>
      <c r="HWB97" s="168"/>
      <c r="HWC97" s="167"/>
      <c r="HWD97" s="168"/>
      <c r="HWE97" s="167"/>
      <c r="HWF97" s="168"/>
      <c r="HWG97" s="167"/>
      <c r="HWH97" s="168"/>
      <c r="HWI97" s="167"/>
      <c r="HWJ97" s="168"/>
      <c r="HWK97" s="167"/>
      <c r="HWL97" s="168"/>
      <c r="HWM97" s="167"/>
      <c r="HWN97" s="168"/>
      <c r="HWO97" s="167"/>
      <c r="HWP97" s="168"/>
      <c r="HWQ97" s="167"/>
      <c r="HWR97" s="168"/>
      <c r="HWS97" s="167"/>
      <c r="HWT97" s="168"/>
      <c r="HWU97" s="167"/>
      <c r="HWV97" s="168"/>
      <c r="HWW97" s="167"/>
      <c r="HWX97" s="168"/>
      <c r="HWY97" s="167"/>
      <c r="HWZ97" s="168"/>
      <c r="HXA97" s="167"/>
      <c r="HXB97" s="168"/>
      <c r="HXC97" s="167"/>
      <c r="HXD97" s="168"/>
      <c r="HXE97" s="167"/>
      <c r="HXF97" s="168"/>
      <c r="HXG97" s="167"/>
      <c r="HXH97" s="168"/>
      <c r="HXI97" s="167"/>
      <c r="HXJ97" s="168"/>
      <c r="HXK97" s="167"/>
      <c r="HXL97" s="168"/>
      <c r="HXM97" s="167"/>
      <c r="HXN97" s="168"/>
      <c r="HXO97" s="167"/>
      <c r="HXP97" s="168"/>
      <c r="HXQ97" s="167"/>
      <c r="HXR97" s="168"/>
      <c r="HXS97" s="167"/>
      <c r="HXT97" s="168"/>
      <c r="HXU97" s="167"/>
      <c r="HXV97" s="168"/>
      <c r="HXW97" s="167"/>
      <c r="HXX97" s="168"/>
      <c r="HXY97" s="167"/>
      <c r="HXZ97" s="168"/>
      <c r="HYA97" s="167"/>
      <c r="HYB97" s="168"/>
      <c r="HYC97" s="167"/>
      <c r="HYD97" s="168"/>
      <c r="HYE97" s="167"/>
      <c r="HYF97" s="168"/>
      <c r="HYG97" s="167"/>
      <c r="HYH97" s="168"/>
      <c r="HYI97" s="167"/>
      <c r="HYJ97" s="168"/>
      <c r="HYK97" s="167"/>
      <c r="HYL97" s="168"/>
      <c r="HYM97" s="167"/>
      <c r="HYN97" s="168"/>
      <c r="HYO97" s="167"/>
      <c r="HYP97" s="168"/>
      <c r="HYQ97" s="167"/>
      <c r="HYR97" s="168"/>
      <c r="HYS97" s="167"/>
      <c r="HYT97" s="168"/>
      <c r="HYU97" s="167"/>
      <c r="HYV97" s="168"/>
      <c r="HYW97" s="167"/>
      <c r="HYX97" s="168"/>
      <c r="HYY97" s="167"/>
      <c r="HYZ97" s="168"/>
      <c r="HZA97" s="167"/>
      <c r="HZB97" s="168"/>
      <c r="HZC97" s="167"/>
      <c r="HZD97" s="168"/>
      <c r="HZE97" s="167"/>
      <c r="HZF97" s="168"/>
      <c r="HZG97" s="167"/>
      <c r="HZH97" s="168"/>
      <c r="HZI97" s="167"/>
      <c r="HZJ97" s="168"/>
      <c r="HZK97" s="167"/>
      <c r="HZL97" s="168"/>
      <c r="HZM97" s="167"/>
      <c r="HZN97" s="168"/>
      <c r="HZO97" s="167"/>
      <c r="HZP97" s="168"/>
      <c r="HZQ97" s="167"/>
      <c r="HZR97" s="168"/>
      <c r="HZS97" s="167"/>
      <c r="HZT97" s="168"/>
      <c r="HZU97" s="167"/>
      <c r="HZV97" s="168"/>
      <c r="HZW97" s="167"/>
      <c r="HZX97" s="168"/>
      <c r="HZY97" s="167"/>
      <c r="HZZ97" s="168"/>
      <c r="IAA97" s="167"/>
      <c r="IAB97" s="168"/>
      <c r="IAC97" s="167"/>
      <c r="IAD97" s="168"/>
      <c r="IAE97" s="167"/>
      <c r="IAF97" s="168"/>
      <c r="IAG97" s="167"/>
      <c r="IAH97" s="168"/>
      <c r="IAI97" s="167"/>
      <c r="IAJ97" s="168"/>
      <c r="IAK97" s="167"/>
      <c r="IAL97" s="168"/>
      <c r="IAM97" s="167"/>
      <c r="IAN97" s="168"/>
      <c r="IAO97" s="167"/>
      <c r="IAP97" s="168"/>
      <c r="IAQ97" s="167"/>
      <c r="IAR97" s="168"/>
      <c r="IAS97" s="167"/>
      <c r="IAT97" s="168"/>
      <c r="IAU97" s="167"/>
      <c r="IAV97" s="168"/>
      <c r="IAW97" s="167"/>
      <c r="IAX97" s="168"/>
      <c r="IAY97" s="167"/>
      <c r="IAZ97" s="168"/>
      <c r="IBA97" s="167"/>
      <c r="IBB97" s="168"/>
      <c r="IBC97" s="167"/>
      <c r="IBD97" s="168"/>
      <c r="IBE97" s="167"/>
      <c r="IBF97" s="168"/>
      <c r="IBG97" s="167"/>
      <c r="IBH97" s="168"/>
      <c r="IBI97" s="167"/>
      <c r="IBJ97" s="168"/>
      <c r="IBK97" s="167"/>
      <c r="IBL97" s="168"/>
      <c r="IBM97" s="167"/>
      <c r="IBN97" s="168"/>
      <c r="IBO97" s="167"/>
      <c r="IBP97" s="168"/>
      <c r="IBQ97" s="167"/>
      <c r="IBR97" s="168"/>
      <c r="IBS97" s="167"/>
      <c r="IBT97" s="168"/>
      <c r="IBU97" s="167"/>
      <c r="IBV97" s="168"/>
      <c r="IBW97" s="167"/>
      <c r="IBX97" s="168"/>
      <c r="IBY97" s="167"/>
      <c r="IBZ97" s="168"/>
      <c r="ICA97" s="167"/>
      <c r="ICB97" s="168"/>
      <c r="ICC97" s="167"/>
      <c r="ICD97" s="168"/>
      <c r="ICE97" s="167"/>
      <c r="ICF97" s="168"/>
      <c r="ICG97" s="167"/>
      <c r="ICH97" s="168"/>
      <c r="ICI97" s="167"/>
      <c r="ICJ97" s="168"/>
      <c r="ICK97" s="167"/>
      <c r="ICL97" s="168"/>
      <c r="ICM97" s="167"/>
      <c r="ICN97" s="168"/>
      <c r="ICO97" s="167"/>
      <c r="ICP97" s="168"/>
      <c r="ICQ97" s="167"/>
      <c r="ICR97" s="168"/>
      <c r="ICS97" s="167"/>
      <c r="ICT97" s="168"/>
      <c r="ICU97" s="167"/>
      <c r="ICV97" s="168"/>
      <c r="ICW97" s="167"/>
      <c r="ICX97" s="168"/>
      <c r="ICY97" s="167"/>
      <c r="ICZ97" s="168"/>
      <c r="IDA97" s="167"/>
      <c r="IDB97" s="168"/>
      <c r="IDC97" s="167"/>
      <c r="IDD97" s="168"/>
      <c r="IDE97" s="167"/>
      <c r="IDF97" s="168"/>
      <c r="IDG97" s="167"/>
      <c r="IDH97" s="168"/>
      <c r="IDI97" s="167"/>
      <c r="IDJ97" s="168"/>
      <c r="IDK97" s="167"/>
      <c r="IDL97" s="168"/>
      <c r="IDM97" s="167"/>
      <c r="IDN97" s="168"/>
      <c r="IDO97" s="167"/>
      <c r="IDP97" s="168"/>
      <c r="IDQ97" s="167"/>
      <c r="IDR97" s="168"/>
      <c r="IDS97" s="167"/>
      <c r="IDT97" s="168"/>
      <c r="IDU97" s="167"/>
      <c r="IDV97" s="168"/>
      <c r="IDW97" s="167"/>
      <c r="IDX97" s="168"/>
      <c r="IDY97" s="167"/>
      <c r="IDZ97" s="168"/>
      <c r="IEA97" s="167"/>
      <c r="IEB97" s="168"/>
      <c r="IEC97" s="167"/>
      <c r="IED97" s="168"/>
      <c r="IEE97" s="167"/>
      <c r="IEF97" s="168"/>
      <c r="IEG97" s="167"/>
      <c r="IEH97" s="168"/>
      <c r="IEI97" s="167"/>
      <c r="IEJ97" s="168"/>
      <c r="IEK97" s="167"/>
      <c r="IEL97" s="168"/>
      <c r="IEM97" s="167"/>
      <c r="IEN97" s="168"/>
      <c r="IEO97" s="167"/>
      <c r="IEP97" s="168"/>
      <c r="IEQ97" s="167"/>
      <c r="IER97" s="168"/>
      <c r="IES97" s="167"/>
      <c r="IET97" s="168"/>
      <c r="IEU97" s="167"/>
      <c r="IEV97" s="168"/>
      <c r="IEW97" s="167"/>
      <c r="IEX97" s="168"/>
      <c r="IEY97" s="167"/>
      <c r="IEZ97" s="168"/>
      <c r="IFA97" s="167"/>
      <c r="IFB97" s="168"/>
      <c r="IFC97" s="167"/>
      <c r="IFD97" s="168"/>
      <c r="IFE97" s="167"/>
      <c r="IFF97" s="168"/>
      <c r="IFG97" s="167"/>
      <c r="IFH97" s="168"/>
      <c r="IFI97" s="167"/>
      <c r="IFJ97" s="168"/>
      <c r="IFK97" s="167"/>
      <c r="IFL97" s="168"/>
      <c r="IFM97" s="167"/>
      <c r="IFN97" s="168"/>
      <c r="IFO97" s="167"/>
      <c r="IFP97" s="168"/>
      <c r="IFQ97" s="167"/>
      <c r="IFR97" s="168"/>
      <c r="IFS97" s="167"/>
      <c r="IFT97" s="168"/>
      <c r="IFU97" s="167"/>
      <c r="IFV97" s="168"/>
      <c r="IFW97" s="167"/>
      <c r="IFX97" s="168"/>
      <c r="IFY97" s="167"/>
      <c r="IFZ97" s="168"/>
      <c r="IGA97" s="167"/>
      <c r="IGB97" s="168"/>
      <c r="IGC97" s="167"/>
      <c r="IGD97" s="168"/>
      <c r="IGE97" s="167"/>
      <c r="IGF97" s="168"/>
      <c r="IGG97" s="167"/>
      <c r="IGH97" s="168"/>
      <c r="IGI97" s="167"/>
      <c r="IGJ97" s="168"/>
      <c r="IGK97" s="167"/>
      <c r="IGL97" s="168"/>
      <c r="IGM97" s="167"/>
      <c r="IGN97" s="168"/>
      <c r="IGO97" s="167"/>
      <c r="IGP97" s="168"/>
      <c r="IGQ97" s="167"/>
      <c r="IGR97" s="168"/>
      <c r="IGS97" s="167"/>
      <c r="IGT97" s="168"/>
      <c r="IGU97" s="167"/>
      <c r="IGV97" s="168"/>
      <c r="IGW97" s="167"/>
      <c r="IGX97" s="168"/>
      <c r="IGY97" s="167"/>
      <c r="IGZ97" s="168"/>
      <c r="IHA97" s="167"/>
      <c r="IHB97" s="168"/>
      <c r="IHC97" s="167"/>
      <c r="IHD97" s="168"/>
      <c r="IHE97" s="167"/>
      <c r="IHF97" s="168"/>
      <c r="IHG97" s="167"/>
      <c r="IHH97" s="168"/>
      <c r="IHI97" s="167"/>
      <c r="IHJ97" s="168"/>
      <c r="IHK97" s="167"/>
      <c r="IHL97" s="168"/>
      <c r="IHM97" s="167"/>
      <c r="IHN97" s="168"/>
      <c r="IHO97" s="167"/>
      <c r="IHP97" s="168"/>
      <c r="IHQ97" s="167"/>
      <c r="IHR97" s="168"/>
      <c r="IHS97" s="167"/>
      <c r="IHT97" s="168"/>
      <c r="IHU97" s="167"/>
      <c r="IHV97" s="168"/>
      <c r="IHW97" s="167"/>
      <c r="IHX97" s="168"/>
      <c r="IHY97" s="167"/>
      <c r="IHZ97" s="168"/>
      <c r="IIA97" s="167"/>
      <c r="IIB97" s="168"/>
      <c r="IIC97" s="167"/>
      <c r="IID97" s="168"/>
      <c r="IIE97" s="167"/>
      <c r="IIF97" s="168"/>
      <c r="IIG97" s="167"/>
      <c r="IIH97" s="168"/>
      <c r="III97" s="167"/>
      <c r="IIJ97" s="168"/>
      <c r="IIK97" s="167"/>
      <c r="IIL97" s="168"/>
      <c r="IIM97" s="167"/>
      <c r="IIN97" s="168"/>
      <c r="IIO97" s="167"/>
      <c r="IIP97" s="168"/>
      <c r="IIQ97" s="167"/>
      <c r="IIR97" s="168"/>
      <c r="IIS97" s="167"/>
      <c r="IIT97" s="168"/>
      <c r="IIU97" s="167"/>
      <c r="IIV97" s="168"/>
      <c r="IIW97" s="167"/>
      <c r="IIX97" s="168"/>
      <c r="IIY97" s="167"/>
      <c r="IIZ97" s="168"/>
      <c r="IJA97" s="167"/>
      <c r="IJB97" s="168"/>
      <c r="IJC97" s="167"/>
      <c r="IJD97" s="168"/>
      <c r="IJE97" s="167"/>
      <c r="IJF97" s="168"/>
      <c r="IJG97" s="167"/>
      <c r="IJH97" s="168"/>
      <c r="IJI97" s="167"/>
      <c r="IJJ97" s="168"/>
      <c r="IJK97" s="167"/>
      <c r="IJL97" s="168"/>
      <c r="IJM97" s="167"/>
      <c r="IJN97" s="168"/>
      <c r="IJO97" s="167"/>
      <c r="IJP97" s="168"/>
      <c r="IJQ97" s="167"/>
      <c r="IJR97" s="168"/>
      <c r="IJS97" s="167"/>
      <c r="IJT97" s="168"/>
      <c r="IJU97" s="167"/>
      <c r="IJV97" s="168"/>
      <c r="IJW97" s="167"/>
      <c r="IJX97" s="168"/>
      <c r="IJY97" s="167"/>
      <c r="IJZ97" s="168"/>
      <c r="IKA97" s="167"/>
      <c r="IKB97" s="168"/>
      <c r="IKC97" s="167"/>
      <c r="IKD97" s="168"/>
      <c r="IKE97" s="167"/>
      <c r="IKF97" s="168"/>
      <c r="IKG97" s="167"/>
      <c r="IKH97" s="168"/>
      <c r="IKI97" s="167"/>
      <c r="IKJ97" s="168"/>
      <c r="IKK97" s="167"/>
      <c r="IKL97" s="168"/>
      <c r="IKM97" s="167"/>
      <c r="IKN97" s="168"/>
      <c r="IKO97" s="167"/>
      <c r="IKP97" s="168"/>
      <c r="IKQ97" s="167"/>
      <c r="IKR97" s="168"/>
      <c r="IKS97" s="167"/>
      <c r="IKT97" s="168"/>
      <c r="IKU97" s="167"/>
      <c r="IKV97" s="168"/>
      <c r="IKW97" s="167"/>
      <c r="IKX97" s="168"/>
      <c r="IKY97" s="167"/>
      <c r="IKZ97" s="168"/>
      <c r="ILA97" s="167"/>
      <c r="ILB97" s="168"/>
      <c r="ILC97" s="167"/>
      <c r="ILD97" s="168"/>
      <c r="ILE97" s="167"/>
      <c r="ILF97" s="168"/>
      <c r="ILG97" s="167"/>
      <c r="ILH97" s="168"/>
      <c r="ILI97" s="167"/>
      <c r="ILJ97" s="168"/>
      <c r="ILK97" s="167"/>
      <c r="ILL97" s="168"/>
      <c r="ILM97" s="167"/>
      <c r="ILN97" s="168"/>
      <c r="ILO97" s="167"/>
      <c r="ILP97" s="168"/>
      <c r="ILQ97" s="167"/>
      <c r="ILR97" s="168"/>
      <c r="ILS97" s="167"/>
      <c r="ILT97" s="168"/>
      <c r="ILU97" s="167"/>
      <c r="ILV97" s="168"/>
      <c r="ILW97" s="167"/>
      <c r="ILX97" s="168"/>
      <c r="ILY97" s="167"/>
      <c r="ILZ97" s="168"/>
      <c r="IMA97" s="167"/>
      <c r="IMB97" s="168"/>
      <c r="IMC97" s="167"/>
      <c r="IMD97" s="168"/>
      <c r="IME97" s="167"/>
      <c r="IMF97" s="168"/>
      <c r="IMG97" s="167"/>
      <c r="IMH97" s="168"/>
      <c r="IMI97" s="167"/>
      <c r="IMJ97" s="168"/>
      <c r="IMK97" s="167"/>
      <c r="IML97" s="168"/>
      <c r="IMM97" s="167"/>
      <c r="IMN97" s="168"/>
      <c r="IMO97" s="167"/>
      <c r="IMP97" s="168"/>
      <c r="IMQ97" s="167"/>
      <c r="IMR97" s="168"/>
      <c r="IMS97" s="167"/>
      <c r="IMT97" s="168"/>
      <c r="IMU97" s="167"/>
      <c r="IMV97" s="168"/>
      <c r="IMW97" s="167"/>
      <c r="IMX97" s="168"/>
      <c r="IMY97" s="167"/>
      <c r="IMZ97" s="168"/>
      <c r="INA97" s="167"/>
      <c r="INB97" s="168"/>
      <c r="INC97" s="167"/>
      <c r="IND97" s="168"/>
      <c r="INE97" s="167"/>
      <c r="INF97" s="168"/>
      <c r="ING97" s="167"/>
      <c r="INH97" s="168"/>
      <c r="INI97" s="167"/>
      <c r="INJ97" s="168"/>
      <c r="INK97" s="167"/>
      <c r="INL97" s="168"/>
      <c r="INM97" s="167"/>
      <c r="INN97" s="168"/>
      <c r="INO97" s="167"/>
      <c r="INP97" s="168"/>
      <c r="INQ97" s="167"/>
      <c r="INR97" s="168"/>
      <c r="INS97" s="167"/>
      <c r="INT97" s="168"/>
      <c r="INU97" s="167"/>
      <c r="INV97" s="168"/>
      <c r="INW97" s="167"/>
      <c r="INX97" s="168"/>
      <c r="INY97" s="167"/>
      <c r="INZ97" s="168"/>
      <c r="IOA97" s="167"/>
      <c r="IOB97" s="168"/>
      <c r="IOC97" s="167"/>
      <c r="IOD97" s="168"/>
      <c r="IOE97" s="167"/>
      <c r="IOF97" s="168"/>
      <c r="IOG97" s="167"/>
      <c r="IOH97" s="168"/>
      <c r="IOI97" s="167"/>
      <c r="IOJ97" s="168"/>
      <c r="IOK97" s="167"/>
      <c r="IOL97" s="168"/>
      <c r="IOM97" s="167"/>
      <c r="ION97" s="168"/>
      <c r="IOO97" s="167"/>
      <c r="IOP97" s="168"/>
      <c r="IOQ97" s="167"/>
      <c r="IOR97" s="168"/>
      <c r="IOS97" s="167"/>
      <c r="IOT97" s="168"/>
      <c r="IOU97" s="167"/>
      <c r="IOV97" s="168"/>
      <c r="IOW97" s="167"/>
      <c r="IOX97" s="168"/>
      <c r="IOY97" s="167"/>
      <c r="IOZ97" s="168"/>
      <c r="IPA97" s="167"/>
      <c r="IPB97" s="168"/>
      <c r="IPC97" s="167"/>
      <c r="IPD97" s="168"/>
      <c r="IPE97" s="167"/>
      <c r="IPF97" s="168"/>
      <c r="IPG97" s="167"/>
      <c r="IPH97" s="168"/>
      <c r="IPI97" s="167"/>
      <c r="IPJ97" s="168"/>
      <c r="IPK97" s="167"/>
      <c r="IPL97" s="168"/>
      <c r="IPM97" s="167"/>
      <c r="IPN97" s="168"/>
      <c r="IPO97" s="167"/>
      <c r="IPP97" s="168"/>
      <c r="IPQ97" s="167"/>
      <c r="IPR97" s="168"/>
      <c r="IPS97" s="167"/>
      <c r="IPT97" s="168"/>
      <c r="IPU97" s="167"/>
      <c r="IPV97" s="168"/>
      <c r="IPW97" s="167"/>
      <c r="IPX97" s="168"/>
      <c r="IPY97" s="167"/>
      <c r="IPZ97" s="168"/>
      <c r="IQA97" s="167"/>
      <c r="IQB97" s="168"/>
      <c r="IQC97" s="167"/>
      <c r="IQD97" s="168"/>
      <c r="IQE97" s="167"/>
      <c r="IQF97" s="168"/>
      <c r="IQG97" s="167"/>
      <c r="IQH97" s="168"/>
      <c r="IQI97" s="167"/>
      <c r="IQJ97" s="168"/>
      <c r="IQK97" s="167"/>
      <c r="IQL97" s="168"/>
      <c r="IQM97" s="167"/>
      <c r="IQN97" s="168"/>
      <c r="IQO97" s="167"/>
      <c r="IQP97" s="168"/>
      <c r="IQQ97" s="167"/>
      <c r="IQR97" s="168"/>
      <c r="IQS97" s="167"/>
      <c r="IQT97" s="168"/>
      <c r="IQU97" s="167"/>
      <c r="IQV97" s="168"/>
      <c r="IQW97" s="167"/>
      <c r="IQX97" s="168"/>
      <c r="IQY97" s="167"/>
      <c r="IQZ97" s="168"/>
      <c r="IRA97" s="167"/>
      <c r="IRB97" s="168"/>
      <c r="IRC97" s="167"/>
      <c r="IRD97" s="168"/>
      <c r="IRE97" s="167"/>
      <c r="IRF97" s="168"/>
      <c r="IRG97" s="167"/>
      <c r="IRH97" s="168"/>
      <c r="IRI97" s="167"/>
      <c r="IRJ97" s="168"/>
      <c r="IRK97" s="167"/>
      <c r="IRL97" s="168"/>
      <c r="IRM97" s="167"/>
      <c r="IRN97" s="168"/>
      <c r="IRO97" s="167"/>
      <c r="IRP97" s="168"/>
      <c r="IRQ97" s="167"/>
      <c r="IRR97" s="168"/>
      <c r="IRS97" s="167"/>
      <c r="IRT97" s="168"/>
      <c r="IRU97" s="167"/>
      <c r="IRV97" s="168"/>
      <c r="IRW97" s="167"/>
      <c r="IRX97" s="168"/>
      <c r="IRY97" s="167"/>
      <c r="IRZ97" s="168"/>
      <c r="ISA97" s="167"/>
      <c r="ISB97" s="168"/>
      <c r="ISC97" s="167"/>
      <c r="ISD97" s="168"/>
      <c r="ISE97" s="167"/>
      <c r="ISF97" s="168"/>
      <c r="ISG97" s="167"/>
      <c r="ISH97" s="168"/>
      <c r="ISI97" s="167"/>
      <c r="ISJ97" s="168"/>
      <c r="ISK97" s="167"/>
      <c r="ISL97" s="168"/>
      <c r="ISM97" s="167"/>
      <c r="ISN97" s="168"/>
      <c r="ISO97" s="167"/>
      <c r="ISP97" s="168"/>
      <c r="ISQ97" s="167"/>
      <c r="ISR97" s="168"/>
      <c r="ISS97" s="167"/>
      <c r="IST97" s="168"/>
      <c r="ISU97" s="167"/>
      <c r="ISV97" s="168"/>
      <c r="ISW97" s="167"/>
      <c r="ISX97" s="168"/>
      <c r="ISY97" s="167"/>
      <c r="ISZ97" s="168"/>
      <c r="ITA97" s="167"/>
      <c r="ITB97" s="168"/>
      <c r="ITC97" s="167"/>
      <c r="ITD97" s="168"/>
      <c r="ITE97" s="167"/>
      <c r="ITF97" s="168"/>
      <c r="ITG97" s="167"/>
      <c r="ITH97" s="168"/>
      <c r="ITI97" s="167"/>
      <c r="ITJ97" s="168"/>
      <c r="ITK97" s="167"/>
      <c r="ITL97" s="168"/>
      <c r="ITM97" s="167"/>
      <c r="ITN97" s="168"/>
      <c r="ITO97" s="167"/>
      <c r="ITP97" s="168"/>
      <c r="ITQ97" s="167"/>
      <c r="ITR97" s="168"/>
      <c r="ITS97" s="167"/>
      <c r="ITT97" s="168"/>
      <c r="ITU97" s="167"/>
      <c r="ITV97" s="168"/>
      <c r="ITW97" s="167"/>
      <c r="ITX97" s="168"/>
      <c r="ITY97" s="167"/>
      <c r="ITZ97" s="168"/>
      <c r="IUA97" s="167"/>
      <c r="IUB97" s="168"/>
      <c r="IUC97" s="167"/>
      <c r="IUD97" s="168"/>
      <c r="IUE97" s="167"/>
      <c r="IUF97" s="168"/>
      <c r="IUG97" s="167"/>
      <c r="IUH97" s="168"/>
      <c r="IUI97" s="167"/>
      <c r="IUJ97" s="168"/>
      <c r="IUK97" s="167"/>
      <c r="IUL97" s="168"/>
      <c r="IUM97" s="167"/>
      <c r="IUN97" s="168"/>
      <c r="IUO97" s="167"/>
      <c r="IUP97" s="168"/>
      <c r="IUQ97" s="167"/>
      <c r="IUR97" s="168"/>
      <c r="IUS97" s="167"/>
      <c r="IUT97" s="168"/>
      <c r="IUU97" s="167"/>
      <c r="IUV97" s="168"/>
      <c r="IUW97" s="167"/>
      <c r="IUX97" s="168"/>
      <c r="IUY97" s="167"/>
      <c r="IUZ97" s="168"/>
      <c r="IVA97" s="167"/>
      <c r="IVB97" s="168"/>
      <c r="IVC97" s="167"/>
      <c r="IVD97" s="168"/>
      <c r="IVE97" s="167"/>
      <c r="IVF97" s="168"/>
      <c r="IVG97" s="167"/>
      <c r="IVH97" s="168"/>
      <c r="IVI97" s="167"/>
      <c r="IVJ97" s="168"/>
      <c r="IVK97" s="167"/>
      <c r="IVL97" s="168"/>
      <c r="IVM97" s="167"/>
      <c r="IVN97" s="168"/>
      <c r="IVO97" s="167"/>
      <c r="IVP97" s="168"/>
      <c r="IVQ97" s="167"/>
      <c r="IVR97" s="168"/>
      <c r="IVS97" s="167"/>
      <c r="IVT97" s="168"/>
      <c r="IVU97" s="167"/>
      <c r="IVV97" s="168"/>
      <c r="IVW97" s="167"/>
      <c r="IVX97" s="168"/>
      <c r="IVY97" s="167"/>
      <c r="IVZ97" s="168"/>
      <c r="IWA97" s="167"/>
      <c r="IWB97" s="168"/>
      <c r="IWC97" s="167"/>
      <c r="IWD97" s="168"/>
      <c r="IWE97" s="167"/>
      <c r="IWF97" s="168"/>
      <c r="IWG97" s="167"/>
      <c r="IWH97" s="168"/>
      <c r="IWI97" s="167"/>
      <c r="IWJ97" s="168"/>
      <c r="IWK97" s="167"/>
      <c r="IWL97" s="168"/>
      <c r="IWM97" s="167"/>
      <c r="IWN97" s="168"/>
      <c r="IWO97" s="167"/>
      <c r="IWP97" s="168"/>
      <c r="IWQ97" s="167"/>
      <c r="IWR97" s="168"/>
      <c r="IWS97" s="167"/>
      <c r="IWT97" s="168"/>
      <c r="IWU97" s="167"/>
      <c r="IWV97" s="168"/>
      <c r="IWW97" s="167"/>
      <c r="IWX97" s="168"/>
      <c r="IWY97" s="167"/>
      <c r="IWZ97" s="168"/>
      <c r="IXA97" s="167"/>
      <c r="IXB97" s="168"/>
      <c r="IXC97" s="167"/>
      <c r="IXD97" s="168"/>
      <c r="IXE97" s="167"/>
      <c r="IXF97" s="168"/>
      <c r="IXG97" s="167"/>
      <c r="IXH97" s="168"/>
      <c r="IXI97" s="167"/>
      <c r="IXJ97" s="168"/>
      <c r="IXK97" s="167"/>
      <c r="IXL97" s="168"/>
      <c r="IXM97" s="167"/>
      <c r="IXN97" s="168"/>
      <c r="IXO97" s="167"/>
      <c r="IXP97" s="168"/>
      <c r="IXQ97" s="167"/>
      <c r="IXR97" s="168"/>
      <c r="IXS97" s="167"/>
      <c r="IXT97" s="168"/>
      <c r="IXU97" s="167"/>
      <c r="IXV97" s="168"/>
      <c r="IXW97" s="167"/>
      <c r="IXX97" s="168"/>
      <c r="IXY97" s="167"/>
      <c r="IXZ97" s="168"/>
      <c r="IYA97" s="167"/>
      <c r="IYB97" s="168"/>
      <c r="IYC97" s="167"/>
      <c r="IYD97" s="168"/>
      <c r="IYE97" s="167"/>
      <c r="IYF97" s="168"/>
      <c r="IYG97" s="167"/>
      <c r="IYH97" s="168"/>
      <c r="IYI97" s="167"/>
      <c r="IYJ97" s="168"/>
      <c r="IYK97" s="167"/>
      <c r="IYL97" s="168"/>
      <c r="IYM97" s="167"/>
      <c r="IYN97" s="168"/>
      <c r="IYO97" s="167"/>
      <c r="IYP97" s="168"/>
      <c r="IYQ97" s="167"/>
      <c r="IYR97" s="168"/>
      <c r="IYS97" s="167"/>
      <c r="IYT97" s="168"/>
      <c r="IYU97" s="167"/>
      <c r="IYV97" s="168"/>
      <c r="IYW97" s="167"/>
      <c r="IYX97" s="168"/>
      <c r="IYY97" s="167"/>
      <c r="IYZ97" s="168"/>
      <c r="IZA97" s="167"/>
      <c r="IZB97" s="168"/>
      <c r="IZC97" s="167"/>
      <c r="IZD97" s="168"/>
      <c r="IZE97" s="167"/>
      <c r="IZF97" s="168"/>
      <c r="IZG97" s="167"/>
      <c r="IZH97" s="168"/>
      <c r="IZI97" s="167"/>
      <c r="IZJ97" s="168"/>
      <c r="IZK97" s="167"/>
      <c r="IZL97" s="168"/>
      <c r="IZM97" s="167"/>
      <c r="IZN97" s="168"/>
      <c r="IZO97" s="167"/>
      <c r="IZP97" s="168"/>
      <c r="IZQ97" s="167"/>
      <c r="IZR97" s="168"/>
      <c r="IZS97" s="167"/>
      <c r="IZT97" s="168"/>
      <c r="IZU97" s="167"/>
      <c r="IZV97" s="168"/>
      <c r="IZW97" s="167"/>
      <c r="IZX97" s="168"/>
      <c r="IZY97" s="167"/>
      <c r="IZZ97" s="168"/>
      <c r="JAA97" s="167"/>
      <c r="JAB97" s="168"/>
      <c r="JAC97" s="167"/>
      <c r="JAD97" s="168"/>
      <c r="JAE97" s="167"/>
      <c r="JAF97" s="168"/>
      <c r="JAG97" s="167"/>
      <c r="JAH97" s="168"/>
      <c r="JAI97" s="167"/>
      <c r="JAJ97" s="168"/>
      <c r="JAK97" s="167"/>
      <c r="JAL97" s="168"/>
      <c r="JAM97" s="167"/>
      <c r="JAN97" s="168"/>
      <c r="JAO97" s="167"/>
      <c r="JAP97" s="168"/>
      <c r="JAQ97" s="167"/>
      <c r="JAR97" s="168"/>
      <c r="JAS97" s="167"/>
      <c r="JAT97" s="168"/>
      <c r="JAU97" s="167"/>
      <c r="JAV97" s="168"/>
      <c r="JAW97" s="167"/>
      <c r="JAX97" s="168"/>
      <c r="JAY97" s="167"/>
      <c r="JAZ97" s="168"/>
      <c r="JBA97" s="167"/>
      <c r="JBB97" s="168"/>
      <c r="JBC97" s="167"/>
      <c r="JBD97" s="168"/>
      <c r="JBE97" s="167"/>
      <c r="JBF97" s="168"/>
      <c r="JBG97" s="167"/>
      <c r="JBH97" s="168"/>
      <c r="JBI97" s="167"/>
      <c r="JBJ97" s="168"/>
      <c r="JBK97" s="167"/>
      <c r="JBL97" s="168"/>
      <c r="JBM97" s="167"/>
      <c r="JBN97" s="168"/>
      <c r="JBO97" s="167"/>
      <c r="JBP97" s="168"/>
      <c r="JBQ97" s="167"/>
      <c r="JBR97" s="168"/>
      <c r="JBS97" s="167"/>
      <c r="JBT97" s="168"/>
      <c r="JBU97" s="167"/>
      <c r="JBV97" s="168"/>
      <c r="JBW97" s="167"/>
      <c r="JBX97" s="168"/>
      <c r="JBY97" s="167"/>
      <c r="JBZ97" s="168"/>
      <c r="JCA97" s="167"/>
      <c r="JCB97" s="168"/>
      <c r="JCC97" s="167"/>
      <c r="JCD97" s="168"/>
      <c r="JCE97" s="167"/>
      <c r="JCF97" s="168"/>
      <c r="JCG97" s="167"/>
      <c r="JCH97" s="168"/>
      <c r="JCI97" s="167"/>
      <c r="JCJ97" s="168"/>
      <c r="JCK97" s="167"/>
      <c r="JCL97" s="168"/>
      <c r="JCM97" s="167"/>
      <c r="JCN97" s="168"/>
      <c r="JCO97" s="167"/>
      <c r="JCP97" s="168"/>
      <c r="JCQ97" s="167"/>
      <c r="JCR97" s="168"/>
      <c r="JCS97" s="167"/>
      <c r="JCT97" s="168"/>
      <c r="JCU97" s="167"/>
      <c r="JCV97" s="168"/>
      <c r="JCW97" s="167"/>
      <c r="JCX97" s="168"/>
      <c r="JCY97" s="167"/>
      <c r="JCZ97" s="168"/>
      <c r="JDA97" s="167"/>
      <c r="JDB97" s="168"/>
      <c r="JDC97" s="167"/>
      <c r="JDD97" s="168"/>
      <c r="JDE97" s="167"/>
      <c r="JDF97" s="168"/>
      <c r="JDG97" s="167"/>
      <c r="JDH97" s="168"/>
      <c r="JDI97" s="167"/>
      <c r="JDJ97" s="168"/>
      <c r="JDK97" s="167"/>
      <c r="JDL97" s="168"/>
      <c r="JDM97" s="167"/>
      <c r="JDN97" s="168"/>
      <c r="JDO97" s="167"/>
      <c r="JDP97" s="168"/>
      <c r="JDQ97" s="167"/>
      <c r="JDR97" s="168"/>
      <c r="JDS97" s="167"/>
      <c r="JDT97" s="168"/>
      <c r="JDU97" s="167"/>
      <c r="JDV97" s="168"/>
      <c r="JDW97" s="167"/>
      <c r="JDX97" s="168"/>
      <c r="JDY97" s="167"/>
      <c r="JDZ97" s="168"/>
      <c r="JEA97" s="167"/>
      <c r="JEB97" s="168"/>
      <c r="JEC97" s="167"/>
      <c r="JED97" s="168"/>
      <c r="JEE97" s="167"/>
      <c r="JEF97" s="168"/>
      <c r="JEG97" s="167"/>
      <c r="JEH97" s="168"/>
      <c r="JEI97" s="167"/>
      <c r="JEJ97" s="168"/>
      <c r="JEK97" s="167"/>
      <c r="JEL97" s="168"/>
      <c r="JEM97" s="167"/>
      <c r="JEN97" s="168"/>
      <c r="JEO97" s="167"/>
      <c r="JEP97" s="168"/>
      <c r="JEQ97" s="167"/>
      <c r="JER97" s="168"/>
      <c r="JES97" s="167"/>
      <c r="JET97" s="168"/>
      <c r="JEU97" s="167"/>
      <c r="JEV97" s="168"/>
      <c r="JEW97" s="167"/>
      <c r="JEX97" s="168"/>
      <c r="JEY97" s="167"/>
      <c r="JEZ97" s="168"/>
      <c r="JFA97" s="167"/>
      <c r="JFB97" s="168"/>
      <c r="JFC97" s="167"/>
      <c r="JFD97" s="168"/>
      <c r="JFE97" s="167"/>
      <c r="JFF97" s="168"/>
      <c r="JFG97" s="167"/>
      <c r="JFH97" s="168"/>
      <c r="JFI97" s="167"/>
      <c r="JFJ97" s="168"/>
      <c r="JFK97" s="167"/>
      <c r="JFL97" s="168"/>
      <c r="JFM97" s="167"/>
      <c r="JFN97" s="168"/>
      <c r="JFO97" s="167"/>
      <c r="JFP97" s="168"/>
      <c r="JFQ97" s="167"/>
      <c r="JFR97" s="168"/>
      <c r="JFS97" s="167"/>
      <c r="JFT97" s="168"/>
      <c r="JFU97" s="167"/>
      <c r="JFV97" s="168"/>
      <c r="JFW97" s="167"/>
      <c r="JFX97" s="168"/>
      <c r="JFY97" s="167"/>
      <c r="JFZ97" s="168"/>
      <c r="JGA97" s="167"/>
      <c r="JGB97" s="168"/>
      <c r="JGC97" s="167"/>
      <c r="JGD97" s="168"/>
      <c r="JGE97" s="167"/>
      <c r="JGF97" s="168"/>
      <c r="JGG97" s="167"/>
      <c r="JGH97" s="168"/>
      <c r="JGI97" s="167"/>
      <c r="JGJ97" s="168"/>
      <c r="JGK97" s="167"/>
      <c r="JGL97" s="168"/>
      <c r="JGM97" s="167"/>
      <c r="JGN97" s="168"/>
      <c r="JGO97" s="167"/>
      <c r="JGP97" s="168"/>
      <c r="JGQ97" s="167"/>
      <c r="JGR97" s="168"/>
      <c r="JGS97" s="167"/>
      <c r="JGT97" s="168"/>
      <c r="JGU97" s="167"/>
      <c r="JGV97" s="168"/>
      <c r="JGW97" s="167"/>
      <c r="JGX97" s="168"/>
      <c r="JGY97" s="167"/>
      <c r="JGZ97" s="168"/>
      <c r="JHA97" s="167"/>
      <c r="JHB97" s="168"/>
      <c r="JHC97" s="167"/>
      <c r="JHD97" s="168"/>
      <c r="JHE97" s="167"/>
      <c r="JHF97" s="168"/>
      <c r="JHG97" s="167"/>
      <c r="JHH97" s="168"/>
      <c r="JHI97" s="167"/>
      <c r="JHJ97" s="168"/>
      <c r="JHK97" s="167"/>
      <c r="JHL97" s="168"/>
      <c r="JHM97" s="167"/>
      <c r="JHN97" s="168"/>
      <c r="JHO97" s="167"/>
      <c r="JHP97" s="168"/>
      <c r="JHQ97" s="167"/>
      <c r="JHR97" s="168"/>
      <c r="JHS97" s="167"/>
      <c r="JHT97" s="168"/>
      <c r="JHU97" s="167"/>
      <c r="JHV97" s="168"/>
      <c r="JHW97" s="167"/>
      <c r="JHX97" s="168"/>
      <c r="JHY97" s="167"/>
      <c r="JHZ97" s="168"/>
      <c r="JIA97" s="167"/>
      <c r="JIB97" s="168"/>
      <c r="JIC97" s="167"/>
      <c r="JID97" s="168"/>
      <c r="JIE97" s="167"/>
      <c r="JIF97" s="168"/>
      <c r="JIG97" s="167"/>
      <c r="JIH97" s="168"/>
      <c r="JII97" s="167"/>
      <c r="JIJ97" s="168"/>
      <c r="JIK97" s="167"/>
      <c r="JIL97" s="168"/>
      <c r="JIM97" s="167"/>
      <c r="JIN97" s="168"/>
      <c r="JIO97" s="167"/>
      <c r="JIP97" s="168"/>
      <c r="JIQ97" s="167"/>
      <c r="JIR97" s="168"/>
      <c r="JIS97" s="167"/>
      <c r="JIT97" s="168"/>
      <c r="JIU97" s="167"/>
      <c r="JIV97" s="168"/>
      <c r="JIW97" s="167"/>
      <c r="JIX97" s="168"/>
      <c r="JIY97" s="167"/>
      <c r="JIZ97" s="168"/>
      <c r="JJA97" s="167"/>
      <c r="JJB97" s="168"/>
      <c r="JJC97" s="167"/>
      <c r="JJD97" s="168"/>
      <c r="JJE97" s="167"/>
      <c r="JJF97" s="168"/>
      <c r="JJG97" s="167"/>
      <c r="JJH97" s="168"/>
      <c r="JJI97" s="167"/>
      <c r="JJJ97" s="168"/>
      <c r="JJK97" s="167"/>
      <c r="JJL97" s="168"/>
      <c r="JJM97" s="167"/>
      <c r="JJN97" s="168"/>
      <c r="JJO97" s="167"/>
      <c r="JJP97" s="168"/>
      <c r="JJQ97" s="167"/>
      <c r="JJR97" s="168"/>
      <c r="JJS97" s="167"/>
      <c r="JJT97" s="168"/>
      <c r="JJU97" s="167"/>
      <c r="JJV97" s="168"/>
      <c r="JJW97" s="167"/>
      <c r="JJX97" s="168"/>
      <c r="JJY97" s="167"/>
      <c r="JJZ97" s="168"/>
      <c r="JKA97" s="167"/>
      <c r="JKB97" s="168"/>
      <c r="JKC97" s="167"/>
      <c r="JKD97" s="168"/>
      <c r="JKE97" s="167"/>
      <c r="JKF97" s="168"/>
      <c r="JKG97" s="167"/>
      <c r="JKH97" s="168"/>
      <c r="JKI97" s="167"/>
      <c r="JKJ97" s="168"/>
      <c r="JKK97" s="167"/>
      <c r="JKL97" s="168"/>
      <c r="JKM97" s="167"/>
      <c r="JKN97" s="168"/>
      <c r="JKO97" s="167"/>
      <c r="JKP97" s="168"/>
      <c r="JKQ97" s="167"/>
      <c r="JKR97" s="168"/>
      <c r="JKS97" s="167"/>
      <c r="JKT97" s="168"/>
      <c r="JKU97" s="167"/>
      <c r="JKV97" s="168"/>
      <c r="JKW97" s="167"/>
      <c r="JKX97" s="168"/>
      <c r="JKY97" s="167"/>
      <c r="JKZ97" s="168"/>
      <c r="JLA97" s="167"/>
      <c r="JLB97" s="168"/>
      <c r="JLC97" s="167"/>
      <c r="JLD97" s="168"/>
      <c r="JLE97" s="167"/>
      <c r="JLF97" s="168"/>
      <c r="JLG97" s="167"/>
      <c r="JLH97" s="168"/>
      <c r="JLI97" s="167"/>
      <c r="JLJ97" s="168"/>
      <c r="JLK97" s="167"/>
      <c r="JLL97" s="168"/>
      <c r="JLM97" s="167"/>
      <c r="JLN97" s="168"/>
      <c r="JLO97" s="167"/>
      <c r="JLP97" s="168"/>
      <c r="JLQ97" s="167"/>
      <c r="JLR97" s="168"/>
      <c r="JLS97" s="167"/>
      <c r="JLT97" s="168"/>
      <c r="JLU97" s="167"/>
      <c r="JLV97" s="168"/>
      <c r="JLW97" s="167"/>
      <c r="JLX97" s="168"/>
      <c r="JLY97" s="167"/>
      <c r="JLZ97" s="168"/>
      <c r="JMA97" s="167"/>
      <c r="JMB97" s="168"/>
      <c r="JMC97" s="167"/>
      <c r="JMD97" s="168"/>
      <c r="JME97" s="167"/>
      <c r="JMF97" s="168"/>
      <c r="JMG97" s="167"/>
      <c r="JMH97" s="168"/>
      <c r="JMI97" s="167"/>
      <c r="JMJ97" s="168"/>
      <c r="JMK97" s="167"/>
      <c r="JML97" s="168"/>
      <c r="JMM97" s="167"/>
      <c r="JMN97" s="168"/>
      <c r="JMO97" s="167"/>
      <c r="JMP97" s="168"/>
      <c r="JMQ97" s="167"/>
      <c r="JMR97" s="168"/>
      <c r="JMS97" s="167"/>
      <c r="JMT97" s="168"/>
      <c r="JMU97" s="167"/>
      <c r="JMV97" s="168"/>
      <c r="JMW97" s="167"/>
      <c r="JMX97" s="168"/>
      <c r="JMY97" s="167"/>
      <c r="JMZ97" s="168"/>
      <c r="JNA97" s="167"/>
      <c r="JNB97" s="168"/>
      <c r="JNC97" s="167"/>
      <c r="JND97" s="168"/>
      <c r="JNE97" s="167"/>
      <c r="JNF97" s="168"/>
      <c r="JNG97" s="167"/>
      <c r="JNH97" s="168"/>
      <c r="JNI97" s="167"/>
      <c r="JNJ97" s="168"/>
      <c r="JNK97" s="167"/>
      <c r="JNL97" s="168"/>
      <c r="JNM97" s="167"/>
      <c r="JNN97" s="168"/>
      <c r="JNO97" s="167"/>
      <c r="JNP97" s="168"/>
      <c r="JNQ97" s="167"/>
      <c r="JNR97" s="168"/>
      <c r="JNS97" s="167"/>
      <c r="JNT97" s="168"/>
      <c r="JNU97" s="167"/>
      <c r="JNV97" s="168"/>
      <c r="JNW97" s="167"/>
      <c r="JNX97" s="168"/>
      <c r="JNY97" s="167"/>
      <c r="JNZ97" s="168"/>
      <c r="JOA97" s="167"/>
      <c r="JOB97" s="168"/>
      <c r="JOC97" s="167"/>
      <c r="JOD97" s="168"/>
      <c r="JOE97" s="167"/>
      <c r="JOF97" s="168"/>
      <c r="JOG97" s="167"/>
      <c r="JOH97" s="168"/>
      <c r="JOI97" s="167"/>
      <c r="JOJ97" s="168"/>
      <c r="JOK97" s="167"/>
      <c r="JOL97" s="168"/>
      <c r="JOM97" s="167"/>
      <c r="JON97" s="168"/>
      <c r="JOO97" s="167"/>
      <c r="JOP97" s="168"/>
      <c r="JOQ97" s="167"/>
      <c r="JOR97" s="168"/>
      <c r="JOS97" s="167"/>
      <c r="JOT97" s="168"/>
      <c r="JOU97" s="167"/>
      <c r="JOV97" s="168"/>
      <c r="JOW97" s="167"/>
      <c r="JOX97" s="168"/>
      <c r="JOY97" s="167"/>
      <c r="JOZ97" s="168"/>
      <c r="JPA97" s="167"/>
      <c r="JPB97" s="168"/>
      <c r="JPC97" s="167"/>
      <c r="JPD97" s="168"/>
      <c r="JPE97" s="167"/>
      <c r="JPF97" s="168"/>
      <c r="JPG97" s="167"/>
      <c r="JPH97" s="168"/>
      <c r="JPI97" s="167"/>
      <c r="JPJ97" s="168"/>
      <c r="JPK97" s="167"/>
      <c r="JPL97" s="168"/>
      <c r="JPM97" s="167"/>
      <c r="JPN97" s="168"/>
      <c r="JPO97" s="167"/>
      <c r="JPP97" s="168"/>
      <c r="JPQ97" s="167"/>
      <c r="JPR97" s="168"/>
      <c r="JPS97" s="167"/>
      <c r="JPT97" s="168"/>
      <c r="JPU97" s="167"/>
      <c r="JPV97" s="168"/>
      <c r="JPW97" s="167"/>
      <c r="JPX97" s="168"/>
      <c r="JPY97" s="167"/>
      <c r="JPZ97" s="168"/>
      <c r="JQA97" s="167"/>
      <c r="JQB97" s="168"/>
      <c r="JQC97" s="167"/>
      <c r="JQD97" s="168"/>
      <c r="JQE97" s="167"/>
      <c r="JQF97" s="168"/>
      <c r="JQG97" s="167"/>
      <c r="JQH97" s="168"/>
      <c r="JQI97" s="167"/>
      <c r="JQJ97" s="168"/>
      <c r="JQK97" s="167"/>
      <c r="JQL97" s="168"/>
      <c r="JQM97" s="167"/>
      <c r="JQN97" s="168"/>
      <c r="JQO97" s="167"/>
      <c r="JQP97" s="168"/>
      <c r="JQQ97" s="167"/>
      <c r="JQR97" s="168"/>
      <c r="JQS97" s="167"/>
      <c r="JQT97" s="168"/>
      <c r="JQU97" s="167"/>
      <c r="JQV97" s="168"/>
      <c r="JQW97" s="167"/>
      <c r="JQX97" s="168"/>
      <c r="JQY97" s="167"/>
      <c r="JQZ97" s="168"/>
      <c r="JRA97" s="167"/>
      <c r="JRB97" s="168"/>
      <c r="JRC97" s="167"/>
      <c r="JRD97" s="168"/>
      <c r="JRE97" s="167"/>
      <c r="JRF97" s="168"/>
      <c r="JRG97" s="167"/>
      <c r="JRH97" s="168"/>
      <c r="JRI97" s="167"/>
      <c r="JRJ97" s="168"/>
      <c r="JRK97" s="167"/>
      <c r="JRL97" s="168"/>
      <c r="JRM97" s="167"/>
      <c r="JRN97" s="168"/>
      <c r="JRO97" s="167"/>
      <c r="JRP97" s="168"/>
      <c r="JRQ97" s="167"/>
      <c r="JRR97" s="168"/>
      <c r="JRS97" s="167"/>
      <c r="JRT97" s="168"/>
      <c r="JRU97" s="167"/>
      <c r="JRV97" s="168"/>
      <c r="JRW97" s="167"/>
      <c r="JRX97" s="168"/>
      <c r="JRY97" s="167"/>
      <c r="JRZ97" s="168"/>
      <c r="JSA97" s="167"/>
      <c r="JSB97" s="168"/>
      <c r="JSC97" s="167"/>
      <c r="JSD97" s="168"/>
      <c r="JSE97" s="167"/>
      <c r="JSF97" s="168"/>
      <c r="JSG97" s="167"/>
      <c r="JSH97" s="168"/>
      <c r="JSI97" s="167"/>
      <c r="JSJ97" s="168"/>
      <c r="JSK97" s="167"/>
      <c r="JSL97" s="168"/>
      <c r="JSM97" s="167"/>
      <c r="JSN97" s="168"/>
      <c r="JSO97" s="167"/>
      <c r="JSP97" s="168"/>
      <c r="JSQ97" s="167"/>
      <c r="JSR97" s="168"/>
      <c r="JSS97" s="167"/>
      <c r="JST97" s="168"/>
      <c r="JSU97" s="167"/>
      <c r="JSV97" s="168"/>
      <c r="JSW97" s="167"/>
      <c r="JSX97" s="168"/>
      <c r="JSY97" s="167"/>
      <c r="JSZ97" s="168"/>
      <c r="JTA97" s="167"/>
      <c r="JTB97" s="168"/>
      <c r="JTC97" s="167"/>
      <c r="JTD97" s="168"/>
      <c r="JTE97" s="167"/>
      <c r="JTF97" s="168"/>
      <c r="JTG97" s="167"/>
      <c r="JTH97" s="168"/>
      <c r="JTI97" s="167"/>
      <c r="JTJ97" s="168"/>
      <c r="JTK97" s="167"/>
      <c r="JTL97" s="168"/>
      <c r="JTM97" s="167"/>
      <c r="JTN97" s="168"/>
      <c r="JTO97" s="167"/>
      <c r="JTP97" s="168"/>
      <c r="JTQ97" s="167"/>
      <c r="JTR97" s="168"/>
      <c r="JTS97" s="167"/>
      <c r="JTT97" s="168"/>
      <c r="JTU97" s="167"/>
      <c r="JTV97" s="168"/>
      <c r="JTW97" s="167"/>
      <c r="JTX97" s="168"/>
      <c r="JTY97" s="167"/>
      <c r="JTZ97" s="168"/>
      <c r="JUA97" s="167"/>
      <c r="JUB97" s="168"/>
      <c r="JUC97" s="167"/>
      <c r="JUD97" s="168"/>
      <c r="JUE97" s="167"/>
      <c r="JUF97" s="168"/>
      <c r="JUG97" s="167"/>
      <c r="JUH97" s="168"/>
      <c r="JUI97" s="167"/>
      <c r="JUJ97" s="168"/>
      <c r="JUK97" s="167"/>
      <c r="JUL97" s="168"/>
      <c r="JUM97" s="167"/>
      <c r="JUN97" s="168"/>
      <c r="JUO97" s="167"/>
      <c r="JUP97" s="168"/>
      <c r="JUQ97" s="167"/>
      <c r="JUR97" s="168"/>
      <c r="JUS97" s="167"/>
      <c r="JUT97" s="168"/>
      <c r="JUU97" s="167"/>
      <c r="JUV97" s="168"/>
      <c r="JUW97" s="167"/>
      <c r="JUX97" s="168"/>
      <c r="JUY97" s="167"/>
      <c r="JUZ97" s="168"/>
      <c r="JVA97" s="167"/>
      <c r="JVB97" s="168"/>
      <c r="JVC97" s="167"/>
      <c r="JVD97" s="168"/>
      <c r="JVE97" s="167"/>
      <c r="JVF97" s="168"/>
      <c r="JVG97" s="167"/>
      <c r="JVH97" s="168"/>
      <c r="JVI97" s="167"/>
      <c r="JVJ97" s="168"/>
      <c r="JVK97" s="167"/>
      <c r="JVL97" s="168"/>
      <c r="JVM97" s="167"/>
      <c r="JVN97" s="168"/>
      <c r="JVO97" s="167"/>
      <c r="JVP97" s="168"/>
      <c r="JVQ97" s="167"/>
      <c r="JVR97" s="168"/>
      <c r="JVS97" s="167"/>
      <c r="JVT97" s="168"/>
      <c r="JVU97" s="167"/>
      <c r="JVV97" s="168"/>
      <c r="JVW97" s="167"/>
      <c r="JVX97" s="168"/>
      <c r="JVY97" s="167"/>
      <c r="JVZ97" s="168"/>
      <c r="JWA97" s="167"/>
      <c r="JWB97" s="168"/>
      <c r="JWC97" s="167"/>
      <c r="JWD97" s="168"/>
      <c r="JWE97" s="167"/>
      <c r="JWF97" s="168"/>
      <c r="JWG97" s="167"/>
      <c r="JWH97" s="168"/>
      <c r="JWI97" s="167"/>
      <c r="JWJ97" s="168"/>
      <c r="JWK97" s="167"/>
      <c r="JWL97" s="168"/>
      <c r="JWM97" s="167"/>
      <c r="JWN97" s="168"/>
      <c r="JWO97" s="167"/>
      <c r="JWP97" s="168"/>
      <c r="JWQ97" s="167"/>
      <c r="JWR97" s="168"/>
      <c r="JWS97" s="167"/>
      <c r="JWT97" s="168"/>
      <c r="JWU97" s="167"/>
      <c r="JWV97" s="168"/>
      <c r="JWW97" s="167"/>
      <c r="JWX97" s="168"/>
      <c r="JWY97" s="167"/>
      <c r="JWZ97" s="168"/>
      <c r="JXA97" s="167"/>
      <c r="JXB97" s="168"/>
      <c r="JXC97" s="167"/>
      <c r="JXD97" s="168"/>
      <c r="JXE97" s="167"/>
      <c r="JXF97" s="168"/>
      <c r="JXG97" s="167"/>
      <c r="JXH97" s="168"/>
      <c r="JXI97" s="167"/>
      <c r="JXJ97" s="168"/>
      <c r="JXK97" s="167"/>
      <c r="JXL97" s="168"/>
      <c r="JXM97" s="167"/>
      <c r="JXN97" s="168"/>
      <c r="JXO97" s="167"/>
      <c r="JXP97" s="168"/>
      <c r="JXQ97" s="167"/>
      <c r="JXR97" s="168"/>
      <c r="JXS97" s="167"/>
      <c r="JXT97" s="168"/>
      <c r="JXU97" s="167"/>
      <c r="JXV97" s="168"/>
      <c r="JXW97" s="167"/>
      <c r="JXX97" s="168"/>
      <c r="JXY97" s="167"/>
      <c r="JXZ97" s="168"/>
      <c r="JYA97" s="167"/>
      <c r="JYB97" s="168"/>
      <c r="JYC97" s="167"/>
      <c r="JYD97" s="168"/>
      <c r="JYE97" s="167"/>
      <c r="JYF97" s="168"/>
      <c r="JYG97" s="167"/>
      <c r="JYH97" s="168"/>
      <c r="JYI97" s="167"/>
      <c r="JYJ97" s="168"/>
      <c r="JYK97" s="167"/>
      <c r="JYL97" s="168"/>
      <c r="JYM97" s="167"/>
      <c r="JYN97" s="168"/>
      <c r="JYO97" s="167"/>
      <c r="JYP97" s="168"/>
      <c r="JYQ97" s="167"/>
      <c r="JYR97" s="168"/>
      <c r="JYS97" s="167"/>
      <c r="JYT97" s="168"/>
      <c r="JYU97" s="167"/>
      <c r="JYV97" s="168"/>
      <c r="JYW97" s="167"/>
      <c r="JYX97" s="168"/>
      <c r="JYY97" s="167"/>
      <c r="JYZ97" s="168"/>
      <c r="JZA97" s="167"/>
      <c r="JZB97" s="168"/>
      <c r="JZC97" s="167"/>
      <c r="JZD97" s="168"/>
      <c r="JZE97" s="167"/>
      <c r="JZF97" s="168"/>
      <c r="JZG97" s="167"/>
      <c r="JZH97" s="168"/>
      <c r="JZI97" s="167"/>
      <c r="JZJ97" s="168"/>
      <c r="JZK97" s="167"/>
      <c r="JZL97" s="168"/>
      <c r="JZM97" s="167"/>
      <c r="JZN97" s="168"/>
      <c r="JZO97" s="167"/>
      <c r="JZP97" s="168"/>
      <c r="JZQ97" s="167"/>
      <c r="JZR97" s="168"/>
      <c r="JZS97" s="167"/>
      <c r="JZT97" s="168"/>
      <c r="JZU97" s="167"/>
      <c r="JZV97" s="168"/>
      <c r="JZW97" s="167"/>
      <c r="JZX97" s="168"/>
      <c r="JZY97" s="167"/>
      <c r="JZZ97" s="168"/>
      <c r="KAA97" s="167"/>
      <c r="KAB97" s="168"/>
      <c r="KAC97" s="167"/>
      <c r="KAD97" s="168"/>
      <c r="KAE97" s="167"/>
      <c r="KAF97" s="168"/>
      <c r="KAG97" s="167"/>
      <c r="KAH97" s="168"/>
      <c r="KAI97" s="167"/>
      <c r="KAJ97" s="168"/>
      <c r="KAK97" s="167"/>
      <c r="KAL97" s="168"/>
      <c r="KAM97" s="167"/>
      <c r="KAN97" s="168"/>
      <c r="KAO97" s="167"/>
      <c r="KAP97" s="168"/>
      <c r="KAQ97" s="167"/>
      <c r="KAR97" s="168"/>
      <c r="KAS97" s="167"/>
      <c r="KAT97" s="168"/>
      <c r="KAU97" s="167"/>
      <c r="KAV97" s="168"/>
      <c r="KAW97" s="167"/>
      <c r="KAX97" s="168"/>
      <c r="KAY97" s="167"/>
      <c r="KAZ97" s="168"/>
      <c r="KBA97" s="167"/>
      <c r="KBB97" s="168"/>
      <c r="KBC97" s="167"/>
      <c r="KBD97" s="168"/>
      <c r="KBE97" s="167"/>
      <c r="KBF97" s="168"/>
      <c r="KBG97" s="167"/>
      <c r="KBH97" s="168"/>
      <c r="KBI97" s="167"/>
      <c r="KBJ97" s="168"/>
      <c r="KBK97" s="167"/>
      <c r="KBL97" s="168"/>
      <c r="KBM97" s="167"/>
      <c r="KBN97" s="168"/>
      <c r="KBO97" s="167"/>
      <c r="KBP97" s="168"/>
      <c r="KBQ97" s="167"/>
      <c r="KBR97" s="168"/>
      <c r="KBS97" s="167"/>
      <c r="KBT97" s="168"/>
      <c r="KBU97" s="167"/>
      <c r="KBV97" s="168"/>
      <c r="KBW97" s="167"/>
      <c r="KBX97" s="168"/>
      <c r="KBY97" s="167"/>
      <c r="KBZ97" s="168"/>
      <c r="KCA97" s="167"/>
      <c r="KCB97" s="168"/>
      <c r="KCC97" s="167"/>
      <c r="KCD97" s="168"/>
      <c r="KCE97" s="167"/>
      <c r="KCF97" s="168"/>
      <c r="KCG97" s="167"/>
      <c r="KCH97" s="168"/>
      <c r="KCI97" s="167"/>
      <c r="KCJ97" s="168"/>
      <c r="KCK97" s="167"/>
      <c r="KCL97" s="168"/>
      <c r="KCM97" s="167"/>
      <c r="KCN97" s="168"/>
      <c r="KCO97" s="167"/>
      <c r="KCP97" s="168"/>
      <c r="KCQ97" s="167"/>
      <c r="KCR97" s="168"/>
      <c r="KCS97" s="167"/>
      <c r="KCT97" s="168"/>
      <c r="KCU97" s="167"/>
      <c r="KCV97" s="168"/>
      <c r="KCW97" s="167"/>
      <c r="KCX97" s="168"/>
      <c r="KCY97" s="167"/>
      <c r="KCZ97" s="168"/>
      <c r="KDA97" s="167"/>
      <c r="KDB97" s="168"/>
      <c r="KDC97" s="167"/>
      <c r="KDD97" s="168"/>
      <c r="KDE97" s="167"/>
      <c r="KDF97" s="168"/>
      <c r="KDG97" s="167"/>
      <c r="KDH97" s="168"/>
      <c r="KDI97" s="167"/>
      <c r="KDJ97" s="168"/>
      <c r="KDK97" s="167"/>
      <c r="KDL97" s="168"/>
      <c r="KDM97" s="167"/>
      <c r="KDN97" s="168"/>
      <c r="KDO97" s="167"/>
      <c r="KDP97" s="168"/>
      <c r="KDQ97" s="167"/>
      <c r="KDR97" s="168"/>
      <c r="KDS97" s="167"/>
      <c r="KDT97" s="168"/>
      <c r="KDU97" s="167"/>
      <c r="KDV97" s="168"/>
      <c r="KDW97" s="167"/>
      <c r="KDX97" s="168"/>
      <c r="KDY97" s="167"/>
      <c r="KDZ97" s="168"/>
      <c r="KEA97" s="167"/>
      <c r="KEB97" s="168"/>
      <c r="KEC97" s="167"/>
      <c r="KED97" s="168"/>
      <c r="KEE97" s="167"/>
      <c r="KEF97" s="168"/>
      <c r="KEG97" s="167"/>
      <c r="KEH97" s="168"/>
      <c r="KEI97" s="167"/>
      <c r="KEJ97" s="168"/>
      <c r="KEK97" s="167"/>
      <c r="KEL97" s="168"/>
      <c r="KEM97" s="167"/>
      <c r="KEN97" s="168"/>
      <c r="KEO97" s="167"/>
      <c r="KEP97" s="168"/>
      <c r="KEQ97" s="167"/>
      <c r="KER97" s="168"/>
      <c r="KES97" s="167"/>
      <c r="KET97" s="168"/>
      <c r="KEU97" s="167"/>
      <c r="KEV97" s="168"/>
      <c r="KEW97" s="167"/>
      <c r="KEX97" s="168"/>
      <c r="KEY97" s="167"/>
      <c r="KEZ97" s="168"/>
      <c r="KFA97" s="167"/>
      <c r="KFB97" s="168"/>
      <c r="KFC97" s="167"/>
      <c r="KFD97" s="168"/>
      <c r="KFE97" s="167"/>
      <c r="KFF97" s="168"/>
      <c r="KFG97" s="167"/>
      <c r="KFH97" s="168"/>
      <c r="KFI97" s="167"/>
      <c r="KFJ97" s="168"/>
      <c r="KFK97" s="167"/>
      <c r="KFL97" s="168"/>
      <c r="KFM97" s="167"/>
      <c r="KFN97" s="168"/>
      <c r="KFO97" s="167"/>
      <c r="KFP97" s="168"/>
      <c r="KFQ97" s="167"/>
      <c r="KFR97" s="168"/>
      <c r="KFS97" s="167"/>
      <c r="KFT97" s="168"/>
      <c r="KFU97" s="167"/>
      <c r="KFV97" s="168"/>
      <c r="KFW97" s="167"/>
      <c r="KFX97" s="168"/>
      <c r="KFY97" s="167"/>
      <c r="KFZ97" s="168"/>
      <c r="KGA97" s="167"/>
      <c r="KGB97" s="168"/>
      <c r="KGC97" s="167"/>
      <c r="KGD97" s="168"/>
      <c r="KGE97" s="167"/>
      <c r="KGF97" s="168"/>
      <c r="KGG97" s="167"/>
      <c r="KGH97" s="168"/>
      <c r="KGI97" s="167"/>
      <c r="KGJ97" s="168"/>
      <c r="KGK97" s="167"/>
      <c r="KGL97" s="168"/>
      <c r="KGM97" s="167"/>
      <c r="KGN97" s="168"/>
      <c r="KGO97" s="167"/>
      <c r="KGP97" s="168"/>
      <c r="KGQ97" s="167"/>
      <c r="KGR97" s="168"/>
      <c r="KGS97" s="167"/>
      <c r="KGT97" s="168"/>
      <c r="KGU97" s="167"/>
      <c r="KGV97" s="168"/>
      <c r="KGW97" s="167"/>
      <c r="KGX97" s="168"/>
      <c r="KGY97" s="167"/>
      <c r="KGZ97" s="168"/>
      <c r="KHA97" s="167"/>
      <c r="KHB97" s="168"/>
      <c r="KHC97" s="167"/>
      <c r="KHD97" s="168"/>
      <c r="KHE97" s="167"/>
      <c r="KHF97" s="168"/>
      <c r="KHG97" s="167"/>
      <c r="KHH97" s="168"/>
      <c r="KHI97" s="167"/>
      <c r="KHJ97" s="168"/>
      <c r="KHK97" s="167"/>
      <c r="KHL97" s="168"/>
      <c r="KHM97" s="167"/>
      <c r="KHN97" s="168"/>
      <c r="KHO97" s="167"/>
      <c r="KHP97" s="168"/>
      <c r="KHQ97" s="167"/>
      <c r="KHR97" s="168"/>
      <c r="KHS97" s="167"/>
      <c r="KHT97" s="168"/>
      <c r="KHU97" s="167"/>
      <c r="KHV97" s="168"/>
      <c r="KHW97" s="167"/>
      <c r="KHX97" s="168"/>
      <c r="KHY97" s="167"/>
      <c r="KHZ97" s="168"/>
      <c r="KIA97" s="167"/>
      <c r="KIB97" s="168"/>
      <c r="KIC97" s="167"/>
      <c r="KID97" s="168"/>
      <c r="KIE97" s="167"/>
      <c r="KIF97" s="168"/>
      <c r="KIG97" s="167"/>
      <c r="KIH97" s="168"/>
      <c r="KII97" s="167"/>
      <c r="KIJ97" s="168"/>
      <c r="KIK97" s="167"/>
      <c r="KIL97" s="168"/>
      <c r="KIM97" s="167"/>
      <c r="KIN97" s="168"/>
      <c r="KIO97" s="167"/>
      <c r="KIP97" s="168"/>
      <c r="KIQ97" s="167"/>
      <c r="KIR97" s="168"/>
      <c r="KIS97" s="167"/>
      <c r="KIT97" s="168"/>
      <c r="KIU97" s="167"/>
      <c r="KIV97" s="168"/>
      <c r="KIW97" s="167"/>
      <c r="KIX97" s="168"/>
      <c r="KIY97" s="167"/>
      <c r="KIZ97" s="168"/>
      <c r="KJA97" s="167"/>
      <c r="KJB97" s="168"/>
      <c r="KJC97" s="167"/>
      <c r="KJD97" s="168"/>
      <c r="KJE97" s="167"/>
      <c r="KJF97" s="168"/>
      <c r="KJG97" s="167"/>
      <c r="KJH97" s="168"/>
      <c r="KJI97" s="167"/>
      <c r="KJJ97" s="168"/>
      <c r="KJK97" s="167"/>
      <c r="KJL97" s="168"/>
      <c r="KJM97" s="167"/>
      <c r="KJN97" s="168"/>
      <c r="KJO97" s="167"/>
      <c r="KJP97" s="168"/>
      <c r="KJQ97" s="167"/>
      <c r="KJR97" s="168"/>
      <c r="KJS97" s="167"/>
      <c r="KJT97" s="168"/>
      <c r="KJU97" s="167"/>
      <c r="KJV97" s="168"/>
      <c r="KJW97" s="167"/>
      <c r="KJX97" s="168"/>
      <c r="KJY97" s="167"/>
      <c r="KJZ97" s="168"/>
      <c r="KKA97" s="167"/>
      <c r="KKB97" s="168"/>
      <c r="KKC97" s="167"/>
      <c r="KKD97" s="168"/>
      <c r="KKE97" s="167"/>
      <c r="KKF97" s="168"/>
      <c r="KKG97" s="167"/>
      <c r="KKH97" s="168"/>
      <c r="KKI97" s="167"/>
      <c r="KKJ97" s="168"/>
      <c r="KKK97" s="167"/>
      <c r="KKL97" s="168"/>
      <c r="KKM97" s="167"/>
      <c r="KKN97" s="168"/>
      <c r="KKO97" s="167"/>
      <c r="KKP97" s="168"/>
      <c r="KKQ97" s="167"/>
      <c r="KKR97" s="168"/>
      <c r="KKS97" s="167"/>
      <c r="KKT97" s="168"/>
      <c r="KKU97" s="167"/>
      <c r="KKV97" s="168"/>
      <c r="KKW97" s="167"/>
      <c r="KKX97" s="168"/>
      <c r="KKY97" s="167"/>
      <c r="KKZ97" s="168"/>
      <c r="KLA97" s="167"/>
      <c r="KLB97" s="168"/>
      <c r="KLC97" s="167"/>
      <c r="KLD97" s="168"/>
      <c r="KLE97" s="167"/>
      <c r="KLF97" s="168"/>
      <c r="KLG97" s="167"/>
      <c r="KLH97" s="168"/>
      <c r="KLI97" s="167"/>
      <c r="KLJ97" s="168"/>
      <c r="KLK97" s="167"/>
      <c r="KLL97" s="168"/>
      <c r="KLM97" s="167"/>
      <c r="KLN97" s="168"/>
      <c r="KLO97" s="167"/>
      <c r="KLP97" s="168"/>
      <c r="KLQ97" s="167"/>
      <c r="KLR97" s="168"/>
      <c r="KLS97" s="167"/>
      <c r="KLT97" s="168"/>
      <c r="KLU97" s="167"/>
      <c r="KLV97" s="168"/>
      <c r="KLW97" s="167"/>
      <c r="KLX97" s="168"/>
      <c r="KLY97" s="167"/>
      <c r="KLZ97" s="168"/>
      <c r="KMA97" s="167"/>
      <c r="KMB97" s="168"/>
      <c r="KMC97" s="167"/>
      <c r="KMD97" s="168"/>
      <c r="KME97" s="167"/>
      <c r="KMF97" s="168"/>
      <c r="KMG97" s="167"/>
      <c r="KMH97" s="168"/>
      <c r="KMI97" s="167"/>
      <c r="KMJ97" s="168"/>
      <c r="KMK97" s="167"/>
      <c r="KML97" s="168"/>
      <c r="KMM97" s="167"/>
      <c r="KMN97" s="168"/>
      <c r="KMO97" s="167"/>
      <c r="KMP97" s="168"/>
      <c r="KMQ97" s="167"/>
      <c r="KMR97" s="168"/>
      <c r="KMS97" s="167"/>
      <c r="KMT97" s="168"/>
      <c r="KMU97" s="167"/>
      <c r="KMV97" s="168"/>
      <c r="KMW97" s="167"/>
      <c r="KMX97" s="168"/>
      <c r="KMY97" s="167"/>
      <c r="KMZ97" s="168"/>
      <c r="KNA97" s="167"/>
      <c r="KNB97" s="168"/>
      <c r="KNC97" s="167"/>
      <c r="KND97" s="168"/>
      <c r="KNE97" s="167"/>
      <c r="KNF97" s="168"/>
      <c r="KNG97" s="167"/>
      <c r="KNH97" s="168"/>
      <c r="KNI97" s="167"/>
      <c r="KNJ97" s="168"/>
      <c r="KNK97" s="167"/>
      <c r="KNL97" s="168"/>
      <c r="KNM97" s="167"/>
      <c r="KNN97" s="168"/>
      <c r="KNO97" s="167"/>
      <c r="KNP97" s="168"/>
      <c r="KNQ97" s="167"/>
      <c r="KNR97" s="168"/>
      <c r="KNS97" s="167"/>
      <c r="KNT97" s="168"/>
      <c r="KNU97" s="167"/>
      <c r="KNV97" s="168"/>
      <c r="KNW97" s="167"/>
      <c r="KNX97" s="168"/>
      <c r="KNY97" s="167"/>
      <c r="KNZ97" s="168"/>
      <c r="KOA97" s="167"/>
      <c r="KOB97" s="168"/>
      <c r="KOC97" s="167"/>
      <c r="KOD97" s="168"/>
      <c r="KOE97" s="167"/>
      <c r="KOF97" s="168"/>
      <c r="KOG97" s="167"/>
      <c r="KOH97" s="168"/>
      <c r="KOI97" s="167"/>
      <c r="KOJ97" s="168"/>
      <c r="KOK97" s="167"/>
      <c r="KOL97" s="168"/>
      <c r="KOM97" s="167"/>
      <c r="KON97" s="168"/>
      <c r="KOO97" s="167"/>
      <c r="KOP97" s="168"/>
      <c r="KOQ97" s="167"/>
      <c r="KOR97" s="168"/>
      <c r="KOS97" s="167"/>
      <c r="KOT97" s="168"/>
      <c r="KOU97" s="167"/>
      <c r="KOV97" s="168"/>
      <c r="KOW97" s="167"/>
      <c r="KOX97" s="168"/>
      <c r="KOY97" s="167"/>
      <c r="KOZ97" s="168"/>
      <c r="KPA97" s="167"/>
      <c r="KPB97" s="168"/>
      <c r="KPC97" s="167"/>
      <c r="KPD97" s="168"/>
      <c r="KPE97" s="167"/>
      <c r="KPF97" s="168"/>
      <c r="KPG97" s="167"/>
      <c r="KPH97" s="168"/>
      <c r="KPI97" s="167"/>
      <c r="KPJ97" s="168"/>
      <c r="KPK97" s="167"/>
      <c r="KPL97" s="168"/>
      <c r="KPM97" s="167"/>
      <c r="KPN97" s="168"/>
      <c r="KPO97" s="167"/>
      <c r="KPP97" s="168"/>
      <c r="KPQ97" s="167"/>
      <c r="KPR97" s="168"/>
      <c r="KPS97" s="167"/>
      <c r="KPT97" s="168"/>
      <c r="KPU97" s="167"/>
      <c r="KPV97" s="168"/>
      <c r="KPW97" s="167"/>
      <c r="KPX97" s="168"/>
      <c r="KPY97" s="167"/>
      <c r="KPZ97" s="168"/>
      <c r="KQA97" s="167"/>
      <c r="KQB97" s="168"/>
      <c r="KQC97" s="167"/>
      <c r="KQD97" s="168"/>
      <c r="KQE97" s="167"/>
      <c r="KQF97" s="168"/>
      <c r="KQG97" s="167"/>
      <c r="KQH97" s="168"/>
      <c r="KQI97" s="167"/>
      <c r="KQJ97" s="168"/>
      <c r="KQK97" s="167"/>
      <c r="KQL97" s="168"/>
      <c r="KQM97" s="167"/>
      <c r="KQN97" s="168"/>
      <c r="KQO97" s="167"/>
      <c r="KQP97" s="168"/>
      <c r="KQQ97" s="167"/>
      <c r="KQR97" s="168"/>
      <c r="KQS97" s="167"/>
      <c r="KQT97" s="168"/>
      <c r="KQU97" s="167"/>
      <c r="KQV97" s="168"/>
      <c r="KQW97" s="167"/>
      <c r="KQX97" s="168"/>
      <c r="KQY97" s="167"/>
      <c r="KQZ97" s="168"/>
      <c r="KRA97" s="167"/>
      <c r="KRB97" s="168"/>
      <c r="KRC97" s="167"/>
      <c r="KRD97" s="168"/>
      <c r="KRE97" s="167"/>
      <c r="KRF97" s="168"/>
      <c r="KRG97" s="167"/>
      <c r="KRH97" s="168"/>
      <c r="KRI97" s="167"/>
      <c r="KRJ97" s="168"/>
      <c r="KRK97" s="167"/>
      <c r="KRL97" s="168"/>
      <c r="KRM97" s="167"/>
      <c r="KRN97" s="168"/>
      <c r="KRO97" s="167"/>
      <c r="KRP97" s="168"/>
      <c r="KRQ97" s="167"/>
      <c r="KRR97" s="168"/>
      <c r="KRS97" s="167"/>
      <c r="KRT97" s="168"/>
      <c r="KRU97" s="167"/>
      <c r="KRV97" s="168"/>
      <c r="KRW97" s="167"/>
      <c r="KRX97" s="168"/>
      <c r="KRY97" s="167"/>
      <c r="KRZ97" s="168"/>
      <c r="KSA97" s="167"/>
      <c r="KSB97" s="168"/>
      <c r="KSC97" s="167"/>
      <c r="KSD97" s="168"/>
      <c r="KSE97" s="167"/>
      <c r="KSF97" s="168"/>
      <c r="KSG97" s="167"/>
      <c r="KSH97" s="168"/>
      <c r="KSI97" s="167"/>
      <c r="KSJ97" s="168"/>
      <c r="KSK97" s="167"/>
      <c r="KSL97" s="168"/>
      <c r="KSM97" s="167"/>
      <c r="KSN97" s="168"/>
      <c r="KSO97" s="167"/>
      <c r="KSP97" s="168"/>
      <c r="KSQ97" s="167"/>
      <c r="KSR97" s="168"/>
      <c r="KSS97" s="167"/>
      <c r="KST97" s="168"/>
      <c r="KSU97" s="167"/>
      <c r="KSV97" s="168"/>
      <c r="KSW97" s="167"/>
      <c r="KSX97" s="168"/>
      <c r="KSY97" s="167"/>
      <c r="KSZ97" s="168"/>
      <c r="KTA97" s="167"/>
      <c r="KTB97" s="168"/>
      <c r="KTC97" s="167"/>
      <c r="KTD97" s="168"/>
      <c r="KTE97" s="167"/>
      <c r="KTF97" s="168"/>
      <c r="KTG97" s="167"/>
      <c r="KTH97" s="168"/>
      <c r="KTI97" s="167"/>
      <c r="KTJ97" s="168"/>
      <c r="KTK97" s="167"/>
      <c r="KTL97" s="168"/>
      <c r="KTM97" s="167"/>
      <c r="KTN97" s="168"/>
      <c r="KTO97" s="167"/>
      <c r="KTP97" s="168"/>
      <c r="KTQ97" s="167"/>
      <c r="KTR97" s="168"/>
      <c r="KTS97" s="167"/>
      <c r="KTT97" s="168"/>
      <c r="KTU97" s="167"/>
      <c r="KTV97" s="168"/>
      <c r="KTW97" s="167"/>
      <c r="KTX97" s="168"/>
      <c r="KTY97" s="167"/>
      <c r="KTZ97" s="168"/>
      <c r="KUA97" s="167"/>
      <c r="KUB97" s="168"/>
      <c r="KUC97" s="167"/>
      <c r="KUD97" s="168"/>
      <c r="KUE97" s="167"/>
      <c r="KUF97" s="168"/>
      <c r="KUG97" s="167"/>
      <c r="KUH97" s="168"/>
      <c r="KUI97" s="167"/>
      <c r="KUJ97" s="168"/>
      <c r="KUK97" s="167"/>
      <c r="KUL97" s="168"/>
      <c r="KUM97" s="167"/>
      <c r="KUN97" s="168"/>
      <c r="KUO97" s="167"/>
      <c r="KUP97" s="168"/>
      <c r="KUQ97" s="167"/>
      <c r="KUR97" s="168"/>
      <c r="KUS97" s="167"/>
      <c r="KUT97" s="168"/>
      <c r="KUU97" s="167"/>
      <c r="KUV97" s="168"/>
      <c r="KUW97" s="167"/>
      <c r="KUX97" s="168"/>
      <c r="KUY97" s="167"/>
      <c r="KUZ97" s="168"/>
      <c r="KVA97" s="167"/>
      <c r="KVB97" s="168"/>
      <c r="KVC97" s="167"/>
      <c r="KVD97" s="168"/>
      <c r="KVE97" s="167"/>
      <c r="KVF97" s="168"/>
      <c r="KVG97" s="167"/>
      <c r="KVH97" s="168"/>
      <c r="KVI97" s="167"/>
      <c r="KVJ97" s="168"/>
      <c r="KVK97" s="167"/>
      <c r="KVL97" s="168"/>
      <c r="KVM97" s="167"/>
      <c r="KVN97" s="168"/>
      <c r="KVO97" s="167"/>
      <c r="KVP97" s="168"/>
      <c r="KVQ97" s="167"/>
      <c r="KVR97" s="168"/>
      <c r="KVS97" s="167"/>
      <c r="KVT97" s="168"/>
      <c r="KVU97" s="167"/>
      <c r="KVV97" s="168"/>
      <c r="KVW97" s="167"/>
      <c r="KVX97" s="168"/>
      <c r="KVY97" s="167"/>
      <c r="KVZ97" s="168"/>
      <c r="KWA97" s="167"/>
      <c r="KWB97" s="168"/>
      <c r="KWC97" s="167"/>
      <c r="KWD97" s="168"/>
      <c r="KWE97" s="167"/>
      <c r="KWF97" s="168"/>
      <c r="KWG97" s="167"/>
      <c r="KWH97" s="168"/>
      <c r="KWI97" s="167"/>
      <c r="KWJ97" s="168"/>
      <c r="KWK97" s="167"/>
      <c r="KWL97" s="168"/>
      <c r="KWM97" s="167"/>
      <c r="KWN97" s="168"/>
      <c r="KWO97" s="167"/>
      <c r="KWP97" s="168"/>
      <c r="KWQ97" s="167"/>
      <c r="KWR97" s="168"/>
      <c r="KWS97" s="167"/>
      <c r="KWT97" s="168"/>
      <c r="KWU97" s="167"/>
      <c r="KWV97" s="168"/>
      <c r="KWW97" s="167"/>
      <c r="KWX97" s="168"/>
      <c r="KWY97" s="167"/>
      <c r="KWZ97" s="168"/>
      <c r="KXA97" s="167"/>
      <c r="KXB97" s="168"/>
      <c r="KXC97" s="167"/>
      <c r="KXD97" s="168"/>
      <c r="KXE97" s="167"/>
      <c r="KXF97" s="168"/>
      <c r="KXG97" s="167"/>
      <c r="KXH97" s="168"/>
      <c r="KXI97" s="167"/>
      <c r="KXJ97" s="168"/>
      <c r="KXK97" s="167"/>
      <c r="KXL97" s="168"/>
      <c r="KXM97" s="167"/>
      <c r="KXN97" s="168"/>
      <c r="KXO97" s="167"/>
      <c r="KXP97" s="168"/>
      <c r="KXQ97" s="167"/>
      <c r="KXR97" s="168"/>
      <c r="KXS97" s="167"/>
      <c r="KXT97" s="168"/>
      <c r="KXU97" s="167"/>
      <c r="KXV97" s="168"/>
      <c r="KXW97" s="167"/>
      <c r="KXX97" s="168"/>
      <c r="KXY97" s="167"/>
      <c r="KXZ97" s="168"/>
      <c r="KYA97" s="167"/>
      <c r="KYB97" s="168"/>
      <c r="KYC97" s="167"/>
      <c r="KYD97" s="168"/>
      <c r="KYE97" s="167"/>
      <c r="KYF97" s="168"/>
      <c r="KYG97" s="167"/>
      <c r="KYH97" s="168"/>
      <c r="KYI97" s="167"/>
      <c r="KYJ97" s="168"/>
      <c r="KYK97" s="167"/>
      <c r="KYL97" s="168"/>
      <c r="KYM97" s="167"/>
      <c r="KYN97" s="168"/>
      <c r="KYO97" s="167"/>
      <c r="KYP97" s="168"/>
      <c r="KYQ97" s="167"/>
      <c r="KYR97" s="168"/>
      <c r="KYS97" s="167"/>
      <c r="KYT97" s="168"/>
      <c r="KYU97" s="167"/>
      <c r="KYV97" s="168"/>
      <c r="KYW97" s="167"/>
      <c r="KYX97" s="168"/>
      <c r="KYY97" s="167"/>
      <c r="KYZ97" s="168"/>
      <c r="KZA97" s="167"/>
      <c r="KZB97" s="168"/>
      <c r="KZC97" s="167"/>
      <c r="KZD97" s="168"/>
      <c r="KZE97" s="167"/>
      <c r="KZF97" s="168"/>
      <c r="KZG97" s="167"/>
      <c r="KZH97" s="168"/>
      <c r="KZI97" s="167"/>
      <c r="KZJ97" s="168"/>
      <c r="KZK97" s="167"/>
      <c r="KZL97" s="168"/>
      <c r="KZM97" s="167"/>
      <c r="KZN97" s="168"/>
      <c r="KZO97" s="167"/>
      <c r="KZP97" s="168"/>
      <c r="KZQ97" s="167"/>
      <c r="KZR97" s="168"/>
      <c r="KZS97" s="167"/>
      <c r="KZT97" s="168"/>
      <c r="KZU97" s="167"/>
      <c r="KZV97" s="168"/>
      <c r="KZW97" s="167"/>
      <c r="KZX97" s="168"/>
      <c r="KZY97" s="167"/>
      <c r="KZZ97" s="168"/>
      <c r="LAA97" s="167"/>
      <c r="LAB97" s="168"/>
      <c r="LAC97" s="167"/>
      <c r="LAD97" s="168"/>
      <c r="LAE97" s="167"/>
      <c r="LAF97" s="168"/>
      <c r="LAG97" s="167"/>
      <c r="LAH97" s="168"/>
      <c r="LAI97" s="167"/>
      <c r="LAJ97" s="168"/>
      <c r="LAK97" s="167"/>
      <c r="LAL97" s="168"/>
      <c r="LAM97" s="167"/>
      <c r="LAN97" s="168"/>
      <c r="LAO97" s="167"/>
      <c r="LAP97" s="168"/>
      <c r="LAQ97" s="167"/>
      <c r="LAR97" s="168"/>
      <c r="LAS97" s="167"/>
      <c r="LAT97" s="168"/>
      <c r="LAU97" s="167"/>
      <c r="LAV97" s="168"/>
      <c r="LAW97" s="167"/>
      <c r="LAX97" s="168"/>
      <c r="LAY97" s="167"/>
      <c r="LAZ97" s="168"/>
      <c r="LBA97" s="167"/>
      <c r="LBB97" s="168"/>
      <c r="LBC97" s="167"/>
      <c r="LBD97" s="168"/>
      <c r="LBE97" s="167"/>
      <c r="LBF97" s="168"/>
      <c r="LBG97" s="167"/>
      <c r="LBH97" s="168"/>
      <c r="LBI97" s="167"/>
      <c r="LBJ97" s="168"/>
      <c r="LBK97" s="167"/>
      <c r="LBL97" s="168"/>
      <c r="LBM97" s="167"/>
      <c r="LBN97" s="168"/>
      <c r="LBO97" s="167"/>
      <c r="LBP97" s="168"/>
      <c r="LBQ97" s="167"/>
      <c r="LBR97" s="168"/>
      <c r="LBS97" s="167"/>
      <c r="LBT97" s="168"/>
      <c r="LBU97" s="167"/>
      <c r="LBV97" s="168"/>
      <c r="LBW97" s="167"/>
      <c r="LBX97" s="168"/>
      <c r="LBY97" s="167"/>
      <c r="LBZ97" s="168"/>
      <c r="LCA97" s="167"/>
      <c r="LCB97" s="168"/>
      <c r="LCC97" s="167"/>
      <c r="LCD97" s="168"/>
      <c r="LCE97" s="167"/>
      <c r="LCF97" s="168"/>
      <c r="LCG97" s="167"/>
      <c r="LCH97" s="168"/>
      <c r="LCI97" s="167"/>
      <c r="LCJ97" s="168"/>
      <c r="LCK97" s="167"/>
      <c r="LCL97" s="168"/>
      <c r="LCM97" s="167"/>
      <c r="LCN97" s="168"/>
      <c r="LCO97" s="167"/>
      <c r="LCP97" s="168"/>
      <c r="LCQ97" s="167"/>
      <c r="LCR97" s="168"/>
      <c r="LCS97" s="167"/>
      <c r="LCT97" s="168"/>
      <c r="LCU97" s="167"/>
      <c r="LCV97" s="168"/>
      <c r="LCW97" s="167"/>
      <c r="LCX97" s="168"/>
      <c r="LCY97" s="167"/>
      <c r="LCZ97" s="168"/>
      <c r="LDA97" s="167"/>
      <c r="LDB97" s="168"/>
      <c r="LDC97" s="167"/>
      <c r="LDD97" s="168"/>
      <c r="LDE97" s="167"/>
      <c r="LDF97" s="168"/>
      <c r="LDG97" s="167"/>
      <c r="LDH97" s="168"/>
      <c r="LDI97" s="167"/>
      <c r="LDJ97" s="168"/>
      <c r="LDK97" s="167"/>
      <c r="LDL97" s="168"/>
      <c r="LDM97" s="167"/>
      <c r="LDN97" s="168"/>
      <c r="LDO97" s="167"/>
      <c r="LDP97" s="168"/>
      <c r="LDQ97" s="167"/>
      <c r="LDR97" s="168"/>
      <c r="LDS97" s="167"/>
      <c r="LDT97" s="168"/>
      <c r="LDU97" s="167"/>
      <c r="LDV97" s="168"/>
      <c r="LDW97" s="167"/>
      <c r="LDX97" s="168"/>
      <c r="LDY97" s="167"/>
      <c r="LDZ97" s="168"/>
      <c r="LEA97" s="167"/>
      <c r="LEB97" s="168"/>
      <c r="LEC97" s="167"/>
      <c r="LED97" s="168"/>
      <c r="LEE97" s="167"/>
      <c r="LEF97" s="168"/>
      <c r="LEG97" s="167"/>
      <c r="LEH97" s="168"/>
      <c r="LEI97" s="167"/>
      <c r="LEJ97" s="168"/>
      <c r="LEK97" s="167"/>
      <c r="LEL97" s="168"/>
      <c r="LEM97" s="167"/>
      <c r="LEN97" s="168"/>
      <c r="LEO97" s="167"/>
      <c r="LEP97" s="168"/>
      <c r="LEQ97" s="167"/>
      <c r="LER97" s="168"/>
      <c r="LES97" s="167"/>
      <c r="LET97" s="168"/>
      <c r="LEU97" s="167"/>
      <c r="LEV97" s="168"/>
      <c r="LEW97" s="167"/>
      <c r="LEX97" s="168"/>
      <c r="LEY97" s="167"/>
      <c r="LEZ97" s="168"/>
      <c r="LFA97" s="167"/>
      <c r="LFB97" s="168"/>
      <c r="LFC97" s="167"/>
      <c r="LFD97" s="168"/>
      <c r="LFE97" s="167"/>
      <c r="LFF97" s="168"/>
      <c r="LFG97" s="167"/>
      <c r="LFH97" s="168"/>
      <c r="LFI97" s="167"/>
      <c r="LFJ97" s="168"/>
      <c r="LFK97" s="167"/>
      <c r="LFL97" s="168"/>
      <c r="LFM97" s="167"/>
      <c r="LFN97" s="168"/>
      <c r="LFO97" s="167"/>
      <c r="LFP97" s="168"/>
      <c r="LFQ97" s="167"/>
      <c r="LFR97" s="168"/>
      <c r="LFS97" s="167"/>
      <c r="LFT97" s="168"/>
      <c r="LFU97" s="167"/>
      <c r="LFV97" s="168"/>
      <c r="LFW97" s="167"/>
      <c r="LFX97" s="168"/>
      <c r="LFY97" s="167"/>
      <c r="LFZ97" s="168"/>
      <c r="LGA97" s="167"/>
      <c r="LGB97" s="168"/>
      <c r="LGC97" s="167"/>
      <c r="LGD97" s="168"/>
      <c r="LGE97" s="167"/>
      <c r="LGF97" s="168"/>
      <c r="LGG97" s="167"/>
      <c r="LGH97" s="168"/>
      <c r="LGI97" s="167"/>
      <c r="LGJ97" s="168"/>
      <c r="LGK97" s="167"/>
      <c r="LGL97" s="168"/>
      <c r="LGM97" s="167"/>
      <c r="LGN97" s="168"/>
      <c r="LGO97" s="167"/>
      <c r="LGP97" s="168"/>
      <c r="LGQ97" s="167"/>
      <c r="LGR97" s="168"/>
      <c r="LGS97" s="167"/>
      <c r="LGT97" s="168"/>
      <c r="LGU97" s="167"/>
      <c r="LGV97" s="168"/>
      <c r="LGW97" s="167"/>
      <c r="LGX97" s="168"/>
      <c r="LGY97" s="167"/>
      <c r="LGZ97" s="168"/>
      <c r="LHA97" s="167"/>
      <c r="LHB97" s="168"/>
      <c r="LHC97" s="167"/>
      <c r="LHD97" s="168"/>
      <c r="LHE97" s="167"/>
      <c r="LHF97" s="168"/>
      <c r="LHG97" s="167"/>
      <c r="LHH97" s="168"/>
      <c r="LHI97" s="167"/>
      <c r="LHJ97" s="168"/>
      <c r="LHK97" s="167"/>
      <c r="LHL97" s="168"/>
      <c r="LHM97" s="167"/>
      <c r="LHN97" s="168"/>
      <c r="LHO97" s="167"/>
      <c r="LHP97" s="168"/>
      <c r="LHQ97" s="167"/>
      <c r="LHR97" s="168"/>
      <c r="LHS97" s="167"/>
      <c r="LHT97" s="168"/>
      <c r="LHU97" s="167"/>
      <c r="LHV97" s="168"/>
      <c r="LHW97" s="167"/>
      <c r="LHX97" s="168"/>
      <c r="LHY97" s="167"/>
      <c r="LHZ97" s="168"/>
      <c r="LIA97" s="167"/>
      <c r="LIB97" s="168"/>
      <c r="LIC97" s="167"/>
      <c r="LID97" s="168"/>
      <c r="LIE97" s="167"/>
      <c r="LIF97" s="168"/>
      <c r="LIG97" s="167"/>
      <c r="LIH97" s="168"/>
      <c r="LII97" s="167"/>
      <c r="LIJ97" s="168"/>
      <c r="LIK97" s="167"/>
      <c r="LIL97" s="168"/>
      <c r="LIM97" s="167"/>
      <c r="LIN97" s="168"/>
      <c r="LIO97" s="167"/>
      <c r="LIP97" s="168"/>
      <c r="LIQ97" s="167"/>
      <c r="LIR97" s="168"/>
      <c r="LIS97" s="167"/>
      <c r="LIT97" s="168"/>
      <c r="LIU97" s="167"/>
      <c r="LIV97" s="168"/>
      <c r="LIW97" s="167"/>
      <c r="LIX97" s="168"/>
      <c r="LIY97" s="167"/>
      <c r="LIZ97" s="168"/>
      <c r="LJA97" s="167"/>
      <c r="LJB97" s="168"/>
      <c r="LJC97" s="167"/>
      <c r="LJD97" s="168"/>
      <c r="LJE97" s="167"/>
      <c r="LJF97" s="168"/>
      <c r="LJG97" s="167"/>
      <c r="LJH97" s="168"/>
      <c r="LJI97" s="167"/>
      <c r="LJJ97" s="168"/>
      <c r="LJK97" s="167"/>
      <c r="LJL97" s="168"/>
      <c r="LJM97" s="167"/>
      <c r="LJN97" s="168"/>
      <c r="LJO97" s="167"/>
      <c r="LJP97" s="168"/>
      <c r="LJQ97" s="167"/>
      <c r="LJR97" s="168"/>
      <c r="LJS97" s="167"/>
      <c r="LJT97" s="168"/>
      <c r="LJU97" s="167"/>
      <c r="LJV97" s="168"/>
      <c r="LJW97" s="167"/>
      <c r="LJX97" s="168"/>
      <c r="LJY97" s="167"/>
      <c r="LJZ97" s="168"/>
      <c r="LKA97" s="167"/>
      <c r="LKB97" s="168"/>
      <c r="LKC97" s="167"/>
      <c r="LKD97" s="168"/>
      <c r="LKE97" s="167"/>
      <c r="LKF97" s="168"/>
      <c r="LKG97" s="167"/>
      <c r="LKH97" s="168"/>
      <c r="LKI97" s="167"/>
      <c r="LKJ97" s="168"/>
      <c r="LKK97" s="167"/>
      <c r="LKL97" s="168"/>
      <c r="LKM97" s="167"/>
      <c r="LKN97" s="168"/>
      <c r="LKO97" s="167"/>
      <c r="LKP97" s="168"/>
      <c r="LKQ97" s="167"/>
      <c r="LKR97" s="168"/>
      <c r="LKS97" s="167"/>
      <c r="LKT97" s="168"/>
      <c r="LKU97" s="167"/>
      <c r="LKV97" s="168"/>
      <c r="LKW97" s="167"/>
      <c r="LKX97" s="168"/>
      <c r="LKY97" s="167"/>
      <c r="LKZ97" s="168"/>
      <c r="LLA97" s="167"/>
      <c r="LLB97" s="168"/>
      <c r="LLC97" s="167"/>
      <c r="LLD97" s="168"/>
      <c r="LLE97" s="167"/>
      <c r="LLF97" s="168"/>
      <c r="LLG97" s="167"/>
      <c r="LLH97" s="168"/>
      <c r="LLI97" s="167"/>
      <c r="LLJ97" s="168"/>
      <c r="LLK97" s="167"/>
      <c r="LLL97" s="168"/>
      <c r="LLM97" s="167"/>
      <c r="LLN97" s="168"/>
      <c r="LLO97" s="167"/>
      <c r="LLP97" s="168"/>
      <c r="LLQ97" s="167"/>
      <c r="LLR97" s="168"/>
      <c r="LLS97" s="167"/>
      <c r="LLT97" s="168"/>
      <c r="LLU97" s="167"/>
      <c r="LLV97" s="168"/>
      <c r="LLW97" s="167"/>
      <c r="LLX97" s="168"/>
      <c r="LLY97" s="167"/>
      <c r="LLZ97" s="168"/>
      <c r="LMA97" s="167"/>
      <c r="LMB97" s="168"/>
      <c r="LMC97" s="167"/>
      <c r="LMD97" s="168"/>
      <c r="LME97" s="167"/>
      <c r="LMF97" s="168"/>
      <c r="LMG97" s="167"/>
      <c r="LMH97" s="168"/>
      <c r="LMI97" s="167"/>
      <c r="LMJ97" s="168"/>
      <c r="LMK97" s="167"/>
      <c r="LML97" s="168"/>
      <c r="LMM97" s="167"/>
      <c r="LMN97" s="168"/>
      <c r="LMO97" s="167"/>
      <c r="LMP97" s="168"/>
      <c r="LMQ97" s="167"/>
      <c r="LMR97" s="168"/>
      <c r="LMS97" s="167"/>
      <c r="LMT97" s="168"/>
      <c r="LMU97" s="167"/>
      <c r="LMV97" s="168"/>
      <c r="LMW97" s="167"/>
      <c r="LMX97" s="168"/>
      <c r="LMY97" s="167"/>
      <c r="LMZ97" s="168"/>
      <c r="LNA97" s="167"/>
      <c r="LNB97" s="168"/>
      <c r="LNC97" s="167"/>
      <c r="LND97" s="168"/>
      <c r="LNE97" s="167"/>
      <c r="LNF97" s="168"/>
      <c r="LNG97" s="167"/>
      <c r="LNH97" s="168"/>
      <c r="LNI97" s="167"/>
      <c r="LNJ97" s="168"/>
      <c r="LNK97" s="167"/>
      <c r="LNL97" s="168"/>
      <c r="LNM97" s="167"/>
      <c r="LNN97" s="168"/>
      <c r="LNO97" s="167"/>
      <c r="LNP97" s="168"/>
      <c r="LNQ97" s="167"/>
      <c r="LNR97" s="168"/>
      <c r="LNS97" s="167"/>
      <c r="LNT97" s="168"/>
      <c r="LNU97" s="167"/>
      <c r="LNV97" s="168"/>
      <c r="LNW97" s="167"/>
      <c r="LNX97" s="168"/>
      <c r="LNY97" s="167"/>
      <c r="LNZ97" s="168"/>
      <c r="LOA97" s="167"/>
      <c r="LOB97" s="168"/>
      <c r="LOC97" s="167"/>
      <c r="LOD97" s="168"/>
      <c r="LOE97" s="167"/>
      <c r="LOF97" s="168"/>
      <c r="LOG97" s="167"/>
      <c r="LOH97" s="168"/>
      <c r="LOI97" s="167"/>
      <c r="LOJ97" s="168"/>
      <c r="LOK97" s="167"/>
      <c r="LOL97" s="168"/>
      <c r="LOM97" s="167"/>
      <c r="LON97" s="168"/>
      <c r="LOO97" s="167"/>
      <c r="LOP97" s="168"/>
      <c r="LOQ97" s="167"/>
      <c r="LOR97" s="168"/>
      <c r="LOS97" s="167"/>
      <c r="LOT97" s="168"/>
      <c r="LOU97" s="167"/>
      <c r="LOV97" s="168"/>
      <c r="LOW97" s="167"/>
      <c r="LOX97" s="168"/>
      <c r="LOY97" s="167"/>
      <c r="LOZ97" s="168"/>
      <c r="LPA97" s="167"/>
      <c r="LPB97" s="168"/>
      <c r="LPC97" s="167"/>
      <c r="LPD97" s="168"/>
      <c r="LPE97" s="167"/>
      <c r="LPF97" s="168"/>
      <c r="LPG97" s="167"/>
      <c r="LPH97" s="168"/>
      <c r="LPI97" s="167"/>
      <c r="LPJ97" s="168"/>
      <c r="LPK97" s="167"/>
      <c r="LPL97" s="168"/>
      <c r="LPM97" s="167"/>
      <c r="LPN97" s="168"/>
      <c r="LPO97" s="167"/>
      <c r="LPP97" s="168"/>
      <c r="LPQ97" s="167"/>
      <c r="LPR97" s="168"/>
      <c r="LPS97" s="167"/>
      <c r="LPT97" s="168"/>
      <c r="LPU97" s="167"/>
      <c r="LPV97" s="168"/>
      <c r="LPW97" s="167"/>
      <c r="LPX97" s="168"/>
      <c r="LPY97" s="167"/>
      <c r="LPZ97" s="168"/>
      <c r="LQA97" s="167"/>
      <c r="LQB97" s="168"/>
      <c r="LQC97" s="167"/>
      <c r="LQD97" s="168"/>
      <c r="LQE97" s="167"/>
      <c r="LQF97" s="168"/>
      <c r="LQG97" s="167"/>
      <c r="LQH97" s="168"/>
      <c r="LQI97" s="167"/>
      <c r="LQJ97" s="168"/>
      <c r="LQK97" s="167"/>
      <c r="LQL97" s="168"/>
      <c r="LQM97" s="167"/>
      <c r="LQN97" s="168"/>
      <c r="LQO97" s="167"/>
      <c r="LQP97" s="168"/>
      <c r="LQQ97" s="167"/>
      <c r="LQR97" s="168"/>
      <c r="LQS97" s="167"/>
      <c r="LQT97" s="168"/>
      <c r="LQU97" s="167"/>
      <c r="LQV97" s="168"/>
      <c r="LQW97" s="167"/>
      <c r="LQX97" s="168"/>
      <c r="LQY97" s="167"/>
      <c r="LQZ97" s="168"/>
      <c r="LRA97" s="167"/>
      <c r="LRB97" s="168"/>
      <c r="LRC97" s="167"/>
      <c r="LRD97" s="168"/>
      <c r="LRE97" s="167"/>
      <c r="LRF97" s="168"/>
      <c r="LRG97" s="167"/>
      <c r="LRH97" s="168"/>
      <c r="LRI97" s="167"/>
      <c r="LRJ97" s="168"/>
      <c r="LRK97" s="167"/>
      <c r="LRL97" s="168"/>
      <c r="LRM97" s="167"/>
      <c r="LRN97" s="168"/>
      <c r="LRO97" s="167"/>
      <c r="LRP97" s="168"/>
      <c r="LRQ97" s="167"/>
      <c r="LRR97" s="168"/>
      <c r="LRS97" s="167"/>
      <c r="LRT97" s="168"/>
      <c r="LRU97" s="167"/>
      <c r="LRV97" s="168"/>
      <c r="LRW97" s="167"/>
      <c r="LRX97" s="168"/>
      <c r="LRY97" s="167"/>
      <c r="LRZ97" s="168"/>
      <c r="LSA97" s="167"/>
      <c r="LSB97" s="168"/>
      <c r="LSC97" s="167"/>
      <c r="LSD97" s="168"/>
      <c r="LSE97" s="167"/>
      <c r="LSF97" s="168"/>
      <c r="LSG97" s="167"/>
      <c r="LSH97" s="168"/>
      <c r="LSI97" s="167"/>
      <c r="LSJ97" s="168"/>
      <c r="LSK97" s="167"/>
      <c r="LSL97" s="168"/>
      <c r="LSM97" s="167"/>
      <c r="LSN97" s="168"/>
      <c r="LSO97" s="167"/>
      <c r="LSP97" s="168"/>
      <c r="LSQ97" s="167"/>
      <c r="LSR97" s="168"/>
      <c r="LSS97" s="167"/>
      <c r="LST97" s="168"/>
      <c r="LSU97" s="167"/>
      <c r="LSV97" s="168"/>
      <c r="LSW97" s="167"/>
      <c r="LSX97" s="168"/>
      <c r="LSY97" s="167"/>
      <c r="LSZ97" s="168"/>
      <c r="LTA97" s="167"/>
      <c r="LTB97" s="168"/>
      <c r="LTC97" s="167"/>
      <c r="LTD97" s="168"/>
      <c r="LTE97" s="167"/>
      <c r="LTF97" s="168"/>
      <c r="LTG97" s="167"/>
      <c r="LTH97" s="168"/>
      <c r="LTI97" s="167"/>
      <c r="LTJ97" s="168"/>
      <c r="LTK97" s="167"/>
      <c r="LTL97" s="168"/>
      <c r="LTM97" s="167"/>
      <c r="LTN97" s="168"/>
      <c r="LTO97" s="167"/>
      <c r="LTP97" s="168"/>
      <c r="LTQ97" s="167"/>
      <c r="LTR97" s="168"/>
      <c r="LTS97" s="167"/>
      <c r="LTT97" s="168"/>
      <c r="LTU97" s="167"/>
      <c r="LTV97" s="168"/>
      <c r="LTW97" s="167"/>
      <c r="LTX97" s="168"/>
      <c r="LTY97" s="167"/>
      <c r="LTZ97" s="168"/>
      <c r="LUA97" s="167"/>
      <c r="LUB97" s="168"/>
      <c r="LUC97" s="167"/>
      <c r="LUD97" s="168"/>
      <c r="LUE97" s="167"/>
      <c r="LUF97" s="168"/>
      <c r="LUG97" s="167"/>
      <c r="LUH97" s="168"/>
      <c r="LUI97" s="167"/>
      <c r="LUJ97" s="168"/>
      <c r="LUK97" s="167"/>
      <c r="LUL97" s="168"/>
      <c r="LUM97" s="167"/>
      <c r="LUN97" s="168"/>
      <c r="LUO97" s="167"/>
      <c r="LUP97" s="168"/>
      <c r="LUQ97" s="167"/>
      <c r="LUR97" s="168"/>
      <c r="LUS97" s="167"/>
      <c r="LUT97" s="168"/>
      <c r="LUU97" s="167"/>
      <c r="LUV97" s="168"/>
      <c r="LUW97" s="167"/>
      <c r="LUX97" s="168"/>
      <c r="LUY97" s="167"/>
      <c r="LUZ97" s="168"/>
      <c r="LVA97" s="167"/>
      <c r="LVB97" s="168"/>
      <c r="LVC97" s="167"/>
      <c r="LVD97" s="168"/>
      <c r="LVE97" s="167"/>
      <c r="LVF97" s="168"/>
      <c r="LVG97" s="167"/>
      <c r="LVH97" s="168"/>
      <c r="LVI97" s="167"/>
      <c r="LVJ97" s="168"/>
      <c r="LVK97" s="167"/>
      <c r="LVL97" s="168"/>
      <c r="LVM97" s="167"/>
      <c r="LVN97" s="168"/>
      <c r="LVO97" s="167"/>
      <c r="LVP97" s="168"/>
      <c r="LVQ97" s="167"/>
      <c r="LVR97" s="168"/>
      <c r="LVS97" s="167"/>
      <c r="LVT97" s="168"/>
      <c r="LVU97" s="167"/>
      <c r="LVV97" s="168"/>
      <c r="LVW97" s="167"/>
      <c r="LVX97" s="168"/>
      <c r="LVY97" s="167"/>
      <c r="LVZ97" s="168"/>
      <c r="LWA97" s="167"/>
      <c r="LWB97" s="168"/>
      <c r="LWC97" s="167"/>
      <c r="LWD97" s="168"/>
      <c r="LWE97" s="167"/>
      <c r="LWF97" s="168"/>
      <c r="LWG97" s="167"/>
      <c r="LWH97" s="168"/>
      <c r="LWI97" s="167"/>
      <c r="LWJ97" s="168"/>
      <c r="LWK97" s="167"/>
      <c r="LWL97" s="168"/>
      <c r="LWM97" s="167"/>
      <c r="LWN97" s="168"/>
      <c r="LWO97" s="167"/>
      <c r="LWP97" s="168"/>
      <c r="LWQ97" s="167"/>
      <c r="LWR97" s="168"/>
      <c r="LWS97" s="167"/>
      <c r="LWT97" s="168"/>
      <c r="LWU97" s="167"/>
      <c r="LWV97" s="168"/>
      <c r="LWW97" s="167"/>
      <c r="LWX97" s="168"/>
      <c r="LWY97" s="167"/>
      <c r="LWZ97" s="168"/>
      <c r="LXA97" s="167"/>
      <c r="LXB97" s="168"/>
      <c r="LXC97" s="167"/>
      <c r="LXD97" s="168"/>
      <c r="LXE97" s="167"/>
      <c r="LXF97" s="168"/>
      <c r="LXG97" s="167"/>
      <c r="LXH97" s="168"/>
      <c r="LXI97" s="167"/>
      <c r="LXJ97" s="168"/>
      <c r="LXK97" s="167"/>
      <c r="LXL97" s="168"/>
      <c r="LXM97" s="167"/>
      <c r="LXN97" s="168"/>
      <c r="LXO97" s="167"/>
      <c r="LXP97" s="168"/>
      <c r="LXQ97" s="167"/>
      <c r="LXR97" s="168"/>
      <c r="LXS97" s="167"/>
      <c r="LXT97" s="168"/>
      <c r="LXU97" s="167"/>
      <c r="LXV97" s="168"/>
      <c r="LXW97" s="167"/>
      <c r="LXX97" s="168"/>
      <c r="LXY97" s="167"/>
      <c r="LXZ97" s="168"/>
      <c r="LYA97" s="167"/>
      <c r="LYB97" s="168"/>
      <c r="LYC97" s="167"/>
      <c r="LYD97" s="168"/>
      <c r="LYE97" s="167"/>
      <c r="LYF97" s="168"/>
      <c r="LYG97" s="167"/>
      <c r="LYH97" s="168"/>
      <c r="LYI97" s="167"/>
      <c r="LYJ97" s="168"/>
      <c r="LYK97" s="167"/>
      <c r="LYL97" s="168"/>
      <c r="LYM97" s="167"/>
      <c r="LYN97" s="168"/>
      <c r="LYO97" s="167"/>
      <c r="LYP97" s="168"/>
      <c r="LYQ97" s="167"/>
      <c r="LYR97" s="168"/>
      <c r="LYS97" s="167"/>
      <c r="LYT97" s="168"/>
      <c r="LYU97" s="167"/>
      <c r="LYV97" s="168"/>
      <c r="LYW97" s="167"/>
      <c r="LYX97" s="168"/>
      <c r="LYY97" s="167"/>
      <c r="LYZ97" s="168"/>
      <c r="LZA97" s="167"/>
      <c r="LZB97" s="168"/>
      <c r="LZC97" s="167"/>
      <c r="LZD97" s="168"/>
      <c r="LZE97" s="167"/>
      <c r="LZF97" s="168"/>
      <c r="LZG97" s="167"/>
      <c r="LZH97" s="168"/>
      <c r="LZI97" s="167"/>
      <c r="LZJ97" s="168"/>
      <c r="LZK97" s="167"/>
      <c r="LZL97" s="168"/>
      <c r="LZM97" s="167"/>
      <c r="LZN97" s="168"/>
      <c r="LZO97" s="167"/>
      <c r="LZP97" s="168"/>
      <c r="LZQ97" s="167"/>
      <c r="LZR97" s="168"/>
      <c r="LZS97" s="167"/>
      <c r="LZT97" s="168"/>
      <c r="LZU97" s="167"/>
      <c r="LZV97" s="168"/>
      <c r="LZW97" s="167"/>
      <c r="LZX97" s="168"/>
      <c r="LZY97" s="167"/>
      <c r="LZZ97" s="168"/>
      <c r="MAA97" s="167"/>
      <c r="MAB97" s="168"/>
      <c r="MAC97" s="167"/>
      <c r="MAD97" s="168"/>
      <c r="MAE97" s="167"/>
      <c r="MAF97" s="168"/>
      <c r="MAG97" s="167"/>
      <c r="MAH97" s="168"/>
      <c r="MAI97" s="167"/>
      <c r="MAJ97" s="168"/>
      <c r="MAK97" s="167"/>
      <c r="MAL97" s="168"/>
      <c r="MAM97" s="167"/>
      <c r="MAN97" s="168"/>
      <c r="MAO97" s="167"/>
      <c r="MAP97" s="168"/>
      <c r="MAQ97" s="167"/>
      <c r="MAR97" s="168"/>
      <c r="MAS97" s="167"/>
      <c r="MAT97" s="168"/>
      <c r="MAU97" s="167"/>
      <c r="MAV97" s="168"/>
      <c r="MAW97" s="167"/>
      <c r="MAX97" s="168"/>
      <c r="MAY97" s="167"/>
      <c r="MAZ97" s="168"/>
      <c r="MBA97" s="167"/>
      <c r="MBB97" s="168"/>
      <c r="MBC97" s="167"/>
      <c r="MBD97" s="168"/>
      <c r="MBE97" s="167"/>
      <c r="MBF97" s="168"/>
      <c r="MBG97" s="167"/>
      <c r="MBH97" s="168"/>
      <c r="MBI97" s="167"/>
      <c r="MBJ97" s="168"/>
      <c r="MBK97" s="167"/>
      <c r="MBL97" s="168"/>
      <c r="MBM97" s="167"/>
      <c r="MBN97" s="168"/>
      <c r="MBO97" s="167"/>
      <c r="MBP97" s="168"/>
      <c r="MBQ97" s="167"/>
      <c r="MBR97" s="168"/>
      <c r="MBS97" s="167"/>
      <c r="MBT97" s="168"/>
      <c r="MBU97" s="167"/>
      <c r="MBV97" s="168"/>
      <c r="MBW97" s="167"/>
      <c r="MBX97" s="168"/>
      <c r="MBY97" s="167"/>
      <c r="MBZ97" s="168"/>
      <c r="MCA97" s="167"/>
      <c r="MCB97" s="168"/>
      <c r="MCC97" s="167"/>
      <c r="MCD97" s="168"/>
      <c r="MCE97" s="167"/>
      <c r="MCF97" s="168"/>
      <c r="MCG97" s="167"/>
      <c r="MCH97" s="168"/>
      <c r="MCI97" s="167"/>
      <c r="MCJ97" s="168"/>
      <c r="MCK97" s="167"/>
      <c r="MCL97" s="168"/>
      <c r="MCM97" s="167"/>
      <c r="MCN97" s="168"/>
      <c r="MCO97" s="167"/>
      <c r="MCP97" s="168"/>
      <c r="MCQ97" s="167"/>
      <c r="MCR97" s="168"/>
      <c r="MCS97" s="167"/>
      <c r="MCT97" s="168"/>
      <c r="MCU97" s="167"/>
      <c r="MCV97" s="168"/>
      <c r="MCW97" s="167"/>
      <c r="MCX97" s="168"/>
      <c r="MCY97" s="167"/>
      <c r="MCZ97" s="168"/>
      <c r="MDA97" s="167"/>
      <c r="MDB97" s="168"/>
      <c r="MDC97" s="167"/>
      <c r="MDD97" s="168"/>
      <c r="MDE97" s="167"/>
      <c r="MDF97" s="168"/>
      <c r="MDG97" s="167"/>
      <c r="MDH97" s="168"/>
      <c r="MDI97" s="167"/>
      <c r="MDJ97" s="168"/>
      <c r="MDK97" s="167"/>
      <c r="MDL97" s="168"/>
      <c r="MDM97" s="167"/>
      <c r="MDN97" s="168"/>
      <c r="MDO97" s="167"/>
      <c r="MDP97" s="168"/>
      <c r="MDQ97" s="167"/>
      <c r="MDR97" s="168"/>
      <c r="MDS97" s="167"/>
      <c r="MDT97" s="168"/>
      <c r="MDU97" s="167"/>
      <c r="MDV97" s="168"/>
      <c r="MDW97" s="167"/>
      <c r="MDX97" s="168"/>
      <c r="MDY97" s="167"/>
      <c r="MDZ97" s="168"/>
      <c r="MEA97" s="167"/>
      <c r="MEB97" s="168"/>
      <c r="MEC97" s="167"/>
      <c r="MED97" s="168"/>
      <c r="MEE97" s="167"/>
      <c r="MEF97" s="168"/>
      <c r="MEG97" s="167"/>
      <c r="MEH97" s="168"/>
      <c r="MEI97" s="167"/>
      <c r="MEJ97" s="168"/>
      <c r="MEK97" s="167"/>
      <c r="MEL97" s="168"/>
      <c r="MEM97" s="167"/>
      <c r="MEN97" s="168"/>
      <c r="MEO97" s="167"/>
      <c r="MEP97" s="168"/>
      <c r="MEQ97" s="167"/>
      <c r="MER97" s="168"/>
      <c r="MES97" s="167"/>
      <c r="MET97" s="168"/>
      <c r="MEU97" s="167"/>
      <c r="MEV97" s="168"/>
      <c r="MEW97" s="167"/>
      <c r="MEX97" s="168"/>
      <c r="MEY97" s="167"/>
      <c r="MEZ97" s="168"/>
      <c r="MFA97" s="167"/>
      <c r="MFB97" s="168"/>
      <c r="MFC97" s="167"/>
      <c r="MFD97" s="168"/>
      <c r="MFE97" s="167"/>
      <c r="MFF97" s="168"/>
      <c r="MFG97" s="167"/>
      <c r="MFH97" s="168"/>
      <c r="MFI97" s="167"/>
      <c r="MFJ97" s="168"/>
      <c r="MFK97" s="167"/>
      <c r="MFL97" s="168"/>
      <c r="MFM97" s="167"/>
      <c r="MFN97" s="168"/>
      <c r="MFO97" s="167"/>
      <c r="MFP97" s="168"/>
      <c r="MFQ97" s="167"/>
      <c r="MFR97" s="168"/>
      <c r="MFS97" s="167"/>
      <c r="MFT97" s="168"/>
      <c r="MFU97" s="167"/>
      <c r="MFV97" s="168"/>
      <c r="MFW97" s="167"/>
      <c r="MFX97" s="168"/>
      <c r="MFY97" s="167"/>
      <c r="MFZ97" s="168"/>
      <c r="MGA97" s="167"/>
      <c r="MGB97" s="168"/>
      <c r="MGC97" s="167"/>
      <c r="MGD97" s="168"/>
      <c r="MGE97" s="167"/>
      <c r="MGF97" s="168"/>
      <c r="MGG97" s="167"/>
      <c r="MGH97" s="168"/>
      <c r="MGI97" s="167"/>
      <c r="MGJ97" s="168"/>
      <c r="MGK97" s="167"/>
      <c r="MGL97" s="168"/>
      <c r="MGM97" s="167"/>
      <c r="MGN97" s="168"/>
      <c r="MGO97" s="167"/>
      <c r="MGP97" s="168"/>
      <c r="MGQ97" s="167"/>
      <c r="MGR97" s="168"/>
      <c r="MGS97" s="167"/>
      <c r="MGT97" s="168"/>
      <c r="MGU97" s="167"/>
      <c r="MGV97" s="168"/>
      <c r="MGW97" s="167"/>
      <c r="MGX97" s="168"/>
      <c r="MGY97" s="167"/>
      <c r="MGZ97" s="168"/>
      <c r="MHA97" s="167"/>
      <c r="MHB97" s="168"/>
      <c r="MHC97" s="167"/>
      <c r="MHD97" s="168"/>
      <c r="MHE97" s="167"/>
      <c r="MHF97" s="168"/>
      <c r="MHG97" s="167"/>
      <c r="MHH97" s="168"/>
      <c r="MHI97" s="167"/>
      <c r="MHJ97" s="168"/>
      <c r="MHK97" s="167"/>
      <c r="MHL97" s="168"/>
      <c r="MHM97" s="167"/>
      <c r="MHN97" s="168"/>
      <c r="MHO97" s="167"/>
      <c r="MHP97" s="168"/>
      <c r="MHQ97" s="167"/>
      <c r="MHR97" s="168"/>
      <c r="MHS97" s="167"/>
      <c r="MHT97" s="168"/>
      <c r="MHU97" s="167"/>
      <c r="MHV97" s="168"/>
      <c r="MHW97" s="167"/>
      <c r="MHX97" s="168"/>
      <c r="MHY97" s="167"/>
      <c r="MHZ97" s="168"/>
      <c r="MIA97" s="167"/>
      <c r="MIB97" s="168"/>
      <c r="MIC97" s="167"/>
      <c r="MID97" s="168"/>
      <c r="MIE97" s="167"/>
      <c r="MIF97" s="168"/>
      <c r="MIG97" s="167"/>
      <c r="MIH97" s="168"/>
      <c r="MII97" s="167"/>
      <c r="MIJ97" s="168"/>
      <c r="MIK97" s="167"/>
      <c r="MIL97" s="168"/>
      <c r="MIM97" s="167"/>
      <c r="MIN97" s="168"/>
      <c r="MIO97" s="167"/>
      <c r="MIP97" s="168"/>
      <c r="MIQ97" s="167"/>
      <c r="MIR97" s="168"/>
      <c r="MIS97" s="167"/>
      <c r="MIT97" s="168"/>
      <c r="MIU97" s="167"/>
      <c r="MIV97" s="168"/>
      <c r="MIW97" s="167"/>
      <c r="MIX97" s="168"/>
      <c r="MIY97" s="167"/>
      <c r="MIZ97" s="168"/>
      <c r="MJA97" s="167"/>
      <c r="MJB97" s="168"/>
      <c r="MJC97" s="167"/>
      <c r="MJD97" s="168"/>
      <c r="MJE97" s="167"/>
      <c r="MJF97" s="168"/>
      <c r="MJG97" s="167"/>
      <c r="MJH97" s="168"/>
      <c r="MJI97" s="167"/>
      <c r="MJJ97" s="168"/>
      <c r="MJK97" s="167"/>
      <c r="MJL97" s="168"/>
      <c r="MJM97" s="167"/>
      <c r="MJN97" s="168"/>
      <c r="MJO97" s="167"/>
      <c r="MJP97" s="168"/>
      <c r="MJQ97" s="167"/>
      <c r="MJR97" s="168"/>
      <c r="MJS97" s="167"/>
      <c r="MJT97" s="168"/>
      <c r="MJU97" s="167"/>
      <c r="MJV97" s="168"/>
      <c r="MJW97" s="167"/>
      <c r="MJX97" s="168"/>
      <c r="MJY97" s="167"/>
      <c r="MJZ97" s="168"/>
      <c r="MKA97" s="167"/>
      <c r="MKB97" s="168"/>
      <c r="MKC97" s="167"/>
      <c r="MKD97" s="168"/>
      <c r="MKE97" s="167"/>
      <c r="MKF97" s="168"/>
      <c r="MKG97" s="167"/>
      <c r="MKH97" s="168"/>
      <c r="MKI97" s="167"/>
      <c r="MKJ97" s="168"/>
      <c r="MKK97" s="167"/>
      <c r="MKL97" s="168"/>
      <c r="MKM97" s="167"/>
      <c r="MKN97" s="168"/>
      <c r="MKO97" s="167"/>
      <c r="MKP97" s="168"/>
      <c r="MKQ97" s="167"/>
      <c r="MKR97" s="168"/>
      <c r="MKS97" s="167"/>
      <c r="MKT97" s="168"/>
      <c r="MKU97" s="167"/>
      <c r="MKV97" s="168"/>
      <c r="MKW97" s="167"/>
      <c r="MKX97" s="168"/>
      <c r="MKY97" s="167"/>
      <c r="MKZ97" s="168"/>
      <c r="MLA97" s="167"/>
      <c r="MLB97" s="168"/>
      <c r="MLC97" s="167"/>
      <c r="MLD97" s="168"/>
      <c r="MLE97" s="167"/>
      <c r="MLF97" s="168"/>
      <c r="MLG97" s="167"/>
      <c r="MLH97" s="168"/>
      <c r="MLI97" s="167"/>
      <c r="MLJ97" s="168"/>
      <c r="MLK97" s="167"/>
      <c r="MLL97" s="168"/>
      <c r="MLM97" s="167"/>
      <c r="MLN97" s="168"/>
      <c r="MLO97" s="167"/>
      <c r="MLP97" s="168"/>
      <c r="MLQ97" s="167"/>
      <c r="MLR97" s="168"/>
      <c r="MLS97" s="167"/>
      <c r="MLT97" s="168"/>
      <c r="MLU97" s="167"/>
      <c r="MLV97" s="168"/>
      <c r="MLW97" s="167"/>
      <c r="MLX97" s="168"/>
      <c r="MLY97" s="167"/>
      <c r="MLZ97" s="168"/>
      <c r="MMA97" s="167"/>
      <c r="MMB97" s="168"/>
      <c r="MMC97" s="167"/>
      <c r="MMD97" s="168"/>
      <c r="MME97" s="167"/>
      <c r="MMF97" s="168"/>
      <c r="MMG97" s="167"/>
      <c r="MMH97" s="168"/>
      <c r="MMI97" s="167"/>
      <c r="MMJ97" s="168"/>
      <c r="MMK97" s="167"/>
      <c r="MML97" s="168"/>
      <c r="MMM97" s="167"/>
      <c r="MMN97" s="168"/>
      <c r="MMO97" s="167"/>
      <c r="MMP97" s="168"/>
      <c r="MMQ97" s="167"/>
      <c r="MMR97" s="168"/>
      <c r="MMS97" s="167"/>
      <c r="MMT97" s="168"/>
      <c r="MMU97" s="167"/>
      <c r="MMV97" s="168"/>
      <c r="MMW97" s="167"/>
      <c r="MMX97" s="168"/>
      <c r="MMY97" s="167"/>
      <c r="MMZ97" s="168"/>
      <c r="MNA97" s="167"/>
      <c r="MNB97" s="168"/>
      <c r="MNC97" s="167"/>
      <c r="MND97" s="168"/>
      <c r="MNE97" s="167"/>
      <c r="MNF97" s="168"/>
      <c r="MNG97" s="167"/>
      <c r="MNH97" s="168"/>
      <c r="MNI97" s="167"/>
      <c r="MNJ97" s="168"/>
      <c r="MNK97" s="167"/>
      <c r="MNL97" s="168"/>
      <c r="MNM97" s="167"/>
      <c r="MNN97" s="168"/>
      <c r="MNO97" s="167"/>
      <c r="MNP97" s="168"/>
      <c r="MNQ97" s="167"/>
      <c r="MNR97" s="168"/>
      <c r="MNS97" s="167"/>
      <c r="MNT97" s="168"/>
      <c r="MNU97" s="167"/>
      <c r="MNV97" s="168"/>
      <c r="MNW97" s="167"/>
      <c r="MNX97" s="168"/>
      <c r="MNY97" s="167"/>
      <c r="MNZ97" s="168"/>
      <c r="MOA97" s="167"/>
      <c r="MOB97" s="168"/>
      <c r="MOC97" s="167"/>
      <c r="MOD97" s="168"/>
      <c r="MOE97" s="167"/>
      <c r="MOF97" s="168"/>
      <c r="MOG97" s="167"/>
      <c r="MOH97" s="168"/>
      <c r="MOI97" s="167"/>
      <c r="MOJ97" s="168"/>
      <c r="MOK97" s="167"/>
      <c r="MOL97" s="168"/>
      <c r="MOM97" s="167"/>
      <c r="MON97" s="168"/>
      <c r="MOO97" s="167"/>
      <c r="MOP97" s="168"/>
      <c r="MOQ97" s="167"/>
      <c r="MOR97" s="168"/>
      <c r="MOS97" s="167"/>
      <c r="MOT97" s="168"/>
      <c r="MOU97" s="167"/>
      <c r="MOV97" s="168"/>
      <c r="MOW97" s="167"/>
      <c r="MOX97" s="168"/>
      <c r="MOY97" s="167"/>
      <c r="MOZ97" s="168"/>
      <c r="MPA97" s="167"/>
      <c r="MPB97" s="168"/>
      <c r="MPC97" s="167"/>
      <c r="MPD97" s="168"/>
      <c r="MPE97" s="167"/>
      <c r="MPF97" s="168"/>
      <c r="MPG97" s="167"/>
      <c r="MPH97" s="168"/>
      <c r="MPI97" s="167"/>
      <c r="MPJ97" s="168"/>
      <c r="MPK97" s="167"/>
      <c r="MPL97" s="168"/>
      <c r="MPM97" s="167"/>
      <c r="MPN97" s="168"/>
      <c r="MPO97" s="167"/>
      <c r="MPP97" s="168"/>
      <c r="MPQ97" s="167"/>
      <c r="MPR97" s="168"/>
      <c r="MPS97" s="167"/>
      <c r="MPT97" s="168"/>
      <c r="MPU97" s="167"/>
      <c r="MPV97" s="168"/>
      <c r="MPW97" s="167"/>
      <c r="MPX97" s="168"/>
      <c r="MPY97" s="167"/>
      <c r="MPZ97" s="168"/>
      <c r="MQA97" s="167"/>
      <c r="MQB97" s="168"/>
      <c r="MQC97" s="167"/>
      <c r="MQD97" s="168"/>
      <c r="MQE97" s="167"/>
      <c r="MQF97" s="168"/>
      <c r="MQG97" s="167"/>
      <c r="MQH97" s="168"/>
      <c r="MQI97" s="167"/>
      <c r="MQJ97" s="168"/>
      <c r="MQK97" s="167"/>
      <c r="MQL97" s="168"/>
      <c r="MQM97" s="167"/>
      <c r="MQN97" s="168"/>
      <c r="MQO97" s="167"/>
      <c r="MQP97" s="168"/>
      <c r="MQQ97" s="167"/>
      <c r="MQR97" s="168"/>
      <c r="MQS97" s="167"/>
      <c r="MQT97" s="168"/>
      <c r="MQU97" s="167"/>
      <c r="MQV97" s="168"/>
      <c r="MQW97" s="167"/>
      <c r="MQX97" s="168"/>
      <c r="MQY97" s="167"/>
      <c r="MQZ97" s="168"/>
      <c r="MRA97" s="167"/>
      <c r="MRB97" s="168"/>
      <c r="MRC97" s="167"/>
      <c r="MRD97" s="168"/>
      <c r="MRE97" s="167"/>
      <c r="MRF97" s="168"/>
      <c r="MRG97" s="167"/>
      <c r="MRH97" s="168"/>
      <c r="MRI97" s="167"/>
      <c r="MRJ97" s="168"/>
      <c r="MRK97" s="167"/>
      <c r="MRL97" s="168"/>
      <c r="MRM97" s="167"/>
      <c r="MRN97" s="168"/>
      <c r="MRO97" s="167"/>
      <c r="MRP97" s="168"/>
      <c r="MRQ97" s="167"/>
      <c r="MRR97" s="168"/>
      <c r="MRS97" s="167"/>
      <c r="MRT97" s="168"/>
      <c r="MRU97" s="167"/>
      <c r="MRV97" s="168"/>
      <c r="MRW97" s="167"/>
      <c r="MRX97" s="168"/>
      <c r="MRY97" s="167"/>
      <c r="MRZ97" s="168"/>
      <c r="MSA97" s="167"/>
      <c r="MSB97" s="168"/>
      <c r="MSC97" s="167"/>
      <c r="MSD97" s="168"/>
      <c r="MSE97" s="167"/>
      <c r="MSF97" s="168"/>
      <c r="MSG97" s="167"/>
      <c r="MSH97" s="168"/>
      <c r="MSI97" s="167"/>
      <c r="MSJ97" s="168"/>
      <c r="MSK97" s="167"/>
      <c r="MSL97" s="168"/>
      <c r="MSM97" s="167"/>
      <c r="MSN97" s="168"/>
      <c r="MSO97" s="167"/>
      <c r="MSP97" s="168"/>
      <c r="MSQ97" s="167"/>
      <c r="MSR97" s="168"/>
      <c r="MSS97" s="167"/>
      <c r="MST97" s="168"/>
      <c r="MSU97" s="167"/>
      <c r="MSV97" s="168"/>
      <c r="MSW97" s="167"/>
      <c r="MSX97" s="168"/>
      <c r="MSY97" s="167"/>
      <c r="MSZ97" s="168"/>
      <c r="MTA97" s="167"/>
      <c r="MTB97" s="168"/>
      <c r="MTC97" s="167"/>
      <c r="MTD97" s="168"/>
      <c r="MTE97" s="167"/>
      <c r="MTF97" s="168"/>
      <c r="MTG97" s="167"/>
      <c r="MTH97" s="168"/>
      <c r="MTI97" s="167"/>
      <c r="MTJ97" s="168"/>
      <c r="MTK97" s="167"/>
      <c r="MTL97" s="168"/>
      <c r="MTM97" s="167"/>
      <c r="MTN97" s="168"/>
      <c r="MTO97" s="167"/>
      <c r="MTP97" s="168"/>
      <c r="MTQ97" s="167"/>
      <c r="MTR97" s="168"/>
      <c r="MTS97" s="167"/>
      <c r="MTT97" s="168"/>
      <c r="MTU97" s="167"/>
      <c r="MTV97" s="168"/>
      <c r="MTW97" s="167"/>
      <c r="MTX97" s="168"/>
      <c r="MTY97" s="167"/>
      <c r="MTZ97" s="168"/>
      <c r="MUA97" s="167"/>
      <c r="MUB97" s="168"/>
      <c r="MUC97" s="167"/>
      <c r="MUD97" s="168"/>
      <c r="MUE97" s="167"/>
      <c r="MUF97" s="168"/>
      <c r="MUG97" s="167"/>
      <c r="MUH97" s="168"/>
      <c r="MUI97" s="167"/>
      <c r="MUJ97" s="168"/>
      <c r="MUK97" s="167"/>
      <c r="MUL97" s="168"/>
      <c r="MUM97" s="167"/>
      <c r="MUN97" s="168"/>
      <c r="MUO97" s="167"/>
      <c r="MUP97" s="168"/>
      <c r="MUQ97" s="167"/>
      <c r="MUR97" s="168"/>
      <c r="MUS97" s="167"/>
      <c r="MUT97" s="168"/>
      <c r="MUU97" s="167"/>
      <c r="MUV97" s="168"/>
      <c r="MUW97" s="167"/>
      <c r="MUX97" s="168"/>
      <c r="MUY97" s="167"/>
      <c r="MUZ97" s="168"/>
      <c r="MVA97" s="167"/>
      <c r="MVB97" s="168"/>
      <c r="MVC97" s="167"/>
      <c r="MVD97" s="168"/>
      <c r="MVE97" s="167"/>
      <c r="MVF97" s="168"/>
      <c r="MVG97" s="167"/>
      <c r="MVH97" s="168"/>
      <c r="MVI97" s="167"/>
      <c r="MVJ97" s="168"/>
      <c r="MVK97" s="167"/>
      <c r="MVL97" s="168"/>
      <c r="MVM97" s="167"/>
      <c r="MVN97" s="168"/>
      <c r="MVO97" s="167"/>
      <c r="MVP97" s="168"/>
      <c r="MVQ97" s="167"/>
      <c r="MVR97" s="168"/>
      <c r="MVS97" s="167"/>
      <c r="MVT97" s="168"/>
      <c r="MVU97" s="167"/>
      <c r="MVV97" s="168"/>
      <c r="MVW97" s="167"/>
      <c r="MVX97" s="168"/>
      <c r="MVY97" s="167"/>
      <c r="MVZ97" s="168"/>
      <c r="MWA97" s="167"/>
      <c r="MWB97" s="168"/>
      <c r="MWC97" s="167"/>
      <c r="MWD97" s="168"/>
      <c r="MWE97" s="167"/>
      <c r="MWF97" s="168"/>
      <c r="MWG97" s="167"/>
      <c r="MWH97" s="168"/>
      <c r="MWI97" s="167"/>
      <c r="MWJ97" s="168"/>
      <c r="MWK97" s="167"/>
      <c r="MWL97" s="168"/>
      <c r="MWM97" s="167"/>
      <c r="MWN97" s="168"/>
      <c r="MWO97" s="167"/>
      <c r="MWP97" s="168"/>
      <c r="MWQ97" s="167"/>
      <c r="MWR97" s="168"/>
      <c r="MWS97" s="167"/>
      <c r="MWT97" s="168"/>
      <c r="MWU97" s="167"/>
      <c r="MWV97" s="168"/>
      <c r="MWW97" s="167"/>
      <c r="MWX97" s="168"/>
      <c r="MWY97" s="167"/>
      <c r="MWZ97" s="168"/>
      <c r="MXA97" s="167"/>
      <c r="MXB97" s="168"/>
      <c r="MXC97" s="167"/>
      <c r="MXD97" s="168"/>
      <c r="MXE97" s="167"/>
      <c r="MXF97" s="168"/>
      <c r="MXG97" s="167"/>
      <c r="MXH97" s="168"/>
      <c r="MXI97" s="167"/>
      <c r="MXJ97" s="168"/>
      <c r="MXK97" s="167"/>
      <c r="MXL97" s="168"/>
      <c r="MXM97" s="167"/>
      <c r="MXN97" s="168"/>
      <c r="MXO97" s="167"/>
      <c r="MXP97" s="168"/>
      <c r="MXQ97" s="167"/>
      <c r="MXR97" s="168"/>
      <c r="MXS97" s="167"/>
      <c r="MXT97" s="168"/>
      <c r="MXU97" s="167"/>
      <c r="MXV97" s="168"/>
      <c r="MXW97" s="167"/>
      <c r="MXX97" s="168"/>
      <c r="MXY97" s="167"/>
      <c r="MXZ97" s="168"/>
      <c r="MYA97" s="167"/>
      <c r="MYB97" s="168"/>
      <c r="MYC97" s="167"/>
      <c r="MYD97" s="168"/>
      <c r="MYE97" s="167"/>
      <c r="MYF97" s="168"/>
      <c r="MYG97" s="167"/>
      <c r="MYH97" s="168"/>
      <c r="MYI97" s="167"/>
      <c r="MYJ97" s="168"/>
      <c r="MYK97" s="167"/>
      <c r="MYL97" s="168"/>
      <c r="MYM97" s="167"/>
      <c r="MYN97" s="168"/>
      <c r="MYO97" s="167"/>
      <c r="MYP97" s="168"/>
      <c r="MYQ97" s="167"/>
      <c r="MYR97" s="168"/>
      <c r="MYS97" s="167"/>
      <c r="MYT97" s="168"/>
      <c r="MYU97" s="167"/>
      <c r="MYV97" s="168"/>
      <c r="MYW97" s="167"/>
      <c r="MYX97" s="168"/>
      <c r="MYY97" s="167"/>
      <c r="MYZ97" s="168"/>
      <c r="MZA97" s="167"/>
      <c r="MZB97" s="168"/>
      <c r="MZC97" s="167"/>
      <c r="MZD97" s="168"/>
      <c r="MZE97" s="167"/>
      <c r="MZF97" s="168"/>
      <c r="MZG97" s="167"/>
      <c r="MZH97" s="168"/>
      <c r="MZI97" s="167"/>
      <c r="MZJ97" s="168"/>
      <c r="MZK97" s="167"/>
      <c r="MZL97" s="168"/>
      <c r="MZM97" s="167"/>
      <c r="MZN97" s="168"/>
      <c r="MZO97" s="167"/>
      <c r="MZP97" s="168"/>
      <c r="MZQ97" s="167"/>
      <c r="MZR97" s="168"/>
      <c r="MZS97" s="167"/>
      <c r="MZT97" s="168"/>
      <c r="MZU97" s="167"/>
      <c r="MZV97" s="168"/>
      <c r="MZW97" s="167"/>
      <c r="MZX97" s="168"/>
      <c r="MZY97" s="167"/>
      <c r="MZZ97" s="168"/>
      <c r="NAA97" s="167"/>
      <c r="NAB97" s="168"/>
      <c r="NAC97" s="167"/>
      <c r="NAD97" s="168"/>
      <c r="NAE97" s="167"/>
      <c r="NAF97" s="168"/>
      <c r="NAG97" s="167"/>
      <c r="NAH97" s="168"/>
      <c r="NAI97" s="167"/>
      <c r="NAJ97" s="168"/>
      <c r="NAK97" s="167"/>
      <c r="NAL97" s="168"/>
      <c r="NAM97" s="167"/>
      <c r="NAN97" s="168"/>
      <c r="NAO97" s="167"/>
      <c r="NAP97" s="168"/>
      <c r="NAQ97" s="167"/>
      <c r="NAR97" s="168"/>
      <c r="NAS97" s="167"/>
      <c r="NAT97" s="168"/>
      <c r="NAU97" s="167"/>
      <c r="NAV97" s="168"/>
      <c r="NAW97" s="167"/>
      <c r="NAX97" s="168"/>
      <c r="NAY97" s="167"/>
      <c r="NAZ97" s="168"/>
      <c r="NBA97" s="167"/>
      <c r="NBB97" s="168"/>
      <c r="NBC97" s="167"/>
      <c r="NBD97" s="168"/>
      <c r="NBE97" s="167"/>
      <c r="NBF97" s="168"/>
      <c r="NBG97" s="167"/>
      <c r="NBH97" s="168"/>
      <c r="NBI97" s="167"/>
      <c r="NBJ97" s="168"/>
      <c r="NBK97" s="167"/>
      <c r="NBL97" s="168"/>
      <c r="NBM97" s="167"/>
      <c r="NBN97" s="168"/>
      <c r="NBO97" s="167"/>
      <c r="NBP97" s="168"/>
      <c r="NBQ97" s="167"/>
      <c r="NBR97" s="168"/>
      <c r="NBS97" s="167"/>
      <c r="NBT97" s="168"/>
      <c r="NBU97" s="167"/>
      <c r="NBV97" s="168"/>
      <c r="NBW97" s="167"/>
      <c r="NBX97" s="168"/>
      <c r="NBY97" s="167"/>
      <c r="NBZ97" s="168"/>
      <c r="NCA97" s="167"/>
      <c r="NCB97" s="168"/>
      <c r="NCC97" s="167"/>
      <c r="NCD97" s="168"/>
      <c r="NCE97" s="167"/>
      <c r="NCF97" s="168"/>
      <c r="NCG97" s="167"/>
      <c r="NCH97" s="168"/>
      <c r="NCI97" s="167"/>
      <c r="NCJ97" s="168"/>
      <c r="NCK97" s="167"/>
      <c r="NCL97" s="168"/>
      <c r="NCM97" s="167"/>
      <c r="NCN97" s="168"/>
      <c r="NCO97" s="167"/>
      <c r="NCP97" s="168"/>
      <c r="NCQ97" s="167"/>
      <c r="NCR97" s="168"/>
      <c r="NCS97" s="167"/>
      <c r="NCT97" s="168"/>
      <c r="NCU97" s="167"/>
      <c r="NCV97" s="168"/>
      <c r="NCW97" s="167"/>
      <c r="NCX97" s="168"/>
      <c r="NCY97" s="167"/>
      <c r="NCZ97" s="168"/>
      <c r="NDA97" s="167"/>
      <c r="NDB97" s="168"/>
      <c r="NDC97" s="167"/>
      <c r="NDD97" s="168"/>
      <c r="NDE97" s="167"/>
      <c r="NDF97" s="168"/>
      <c r="NDG97" s="167"/>
      <c r="NDH97" s="168"/>
      <c r="NDI97" s="167"/>
      <c r="NDJ97" s="168"/>
      <c r="NDK97" s="167"/>
      <c r="NDL97" s="168"/>
      <c r="NDM97" s="167"/>
      <c r="NDN97" s="168"/>
      <c r="NDO97" s="167"/>
      <c r="NDP97" s="168"/>
      <c r="NDQ97" s="167"/>
      <c r="NDR97" s="168"/>
      <c r="NDS97" s="167"/>
      <c r="NDT97" s="168"/>
      <c r="NDU97" s="167"/>
      <c r="NDV97" s="168"/>
      <c r="NDW97" s="167"/>
      <c r="NDX97" s="168"/>
      <c r="NDY97" s="167"/>
      <c r="NDZ97" s="168"/>
      <c r="NEA97" s="167"/>
      <c r="NEB97" s="168"/>
      <c r="NEC97" s="167"/>
      <c r="NED97" s="168"/>
      <c r="NEE97" s="167"/>
      <c r="NEF97" s="168"/>
      <c r="NEG97" s="167"/>
      <c r="NEH97" s="168"/>
      <c r="NEI97" s="167"/>
      <c r="NEJ97" s="168"/>
      <c r="NEK97" s="167"/>
      <c r="NEL97" s="168"/>
      <c r="NEM97" s="167"/>
      <c r="NEN97" s="168"/>
      <c r="NEO97" s="167"/>
      <c r="NEP97" s="168"/>
      <c r="NEQ97" s="167"/>
      <c r="NER97" s="168"/>
      <c r="NES97" s="167"/>
      <c r="NET97" s="168"/>
      <c r="NEU97" s="167"/>
      <c r="NEV97" s="168"/>
      <c r="NEW97" s="167"/>
      <c r="NEX97" s="168"/>
      <c r="NEY97" s="167"/>
      <c r="NEZ97" s="168"/>
      <c r="NFA97" s="167"/>
      <c r="NFB97" s="168"/>
      <c r="NFC97" s="167"/>
      <c r="NFD97" s="168"/>
      <c r="NFE97" s="167"/>
      <c r="NFF97" s="168"/>
      <c r="NFG97" s="167"/>
      <c r="NFH97" s="168"/>
      <c r="NFI97" s="167"/>
      <c r="NFJ97" s="168"/>
      <c r="NFK97" s="167"/>
      <c r="NFL97" s="168"/>
      <c r="NFM97" s="167"/>
      <c r="NFN97" s="168"/>
      <c r="NFO97" s="167"/>
      <c r="NFP97" s="168"/>
      <c r="NFQ97" s="167"/>
      <c r="NFR97" s="168"/>
      <c r="NFS97" s="167"/>
      <c r="NFT97" s="168"/>
      <c r="NFU97" s="167"/>
      <c r="NFV97" s="168"/>
      <c r="NFW97" s="167"/>
      <c r="NFX97" s="168"/>
      <c r="NFY97" s="167"/>
      <c r="NFZ97" s="168"/>
      <c r="NGA97" s="167"/>
      <c r="NGB97" s="168"/>
      <c r="NGC97" s="167"/>
      <c r="NGD97" s="168"/>
      <c r="NGE97" s="167"/>
      <c r="NGF97" s="168"/>
      <c r="NGG97" s="167"/>
      <c r="NGH97" s="168"/>
      <c r="NGI97" s="167"/>
      <c r="NGJ97" s="168"/>
      <c r="NGK97" s="167"/>
      <c r="NGL97" s="168"/>
      <c r="NGM97" s="167"/>
      <c r="NGN97" s="168"/>
      <c r="NGO97" s="167"/>
      <c r="NGP97" s="168"/>
      <c r="NGQ97" s="167"/>
      <c r="NGR97" s="168"/>
      <c r="NGS97" s="167"/>
      <c r="NGT97" s="168"/>
      <c r="NGU97" s="167"/>
      <c r="NGV97" s="168"/>
      <c r="NGW97" s="167"/>
      <c r="NGX97" s="168"/>
      <c r="NGY97" s="167"/>
      <c r="NGZ97" s="168"/>
      <c r="NHA97" s="167"/>
      <c r="NHB97" s="168"/>
      <c r="NHC97" s="167"/>
      <c r="NHD97" s="168"/>
      <c r="NHE97" s="167"/>
      <c r="NHF97" s="168"/>
      <c r="NHG97" s="167"/>
      <c r="NHH97" s="168"/>
      <c r="NHI97" s="167"/>
      <c r="NHJ97" s="168"/>
      <c r="NHK97" s="167"/>
      <c r="NHL97" s="168"/>
      <c r="NHM97" s="167"/>
      <c r="NHN97" s="168"/>
      <c r="NHO97" s="167"/>
      <c r="NHP97" s="168"/>
      <c r="NHQ97" s="167"/>
      <c r="NHR97" s="168"/>
      <c r="NHS97" s="167"/>
      <c r="NHT97" s="168"/>
      <c r="NHU97" s="167"/>
      <c r="NHV97" s="168"/>
      <c r="NHW97" s="167"/>
      <c r="NHX97" s="168"/>
      <c r="NHY97" s="167"/>
      <c r="NHZ97" s="168"/>
      <c r="NIA97" s="167"/>
      <c r="NIB97" s="168"/>
      <c r="NIC97" s="167"/>
      <c r="NID97" s="168"/>
      <c r="NIE97" s="167"/>
      <c r="NIF97" s="168"/>
      <c r="NIG97" s="167"/>
      <c r="NIH97" s="168"/>
      <c r="NII97" s="167"/>
      <c r="NIJ97" s="168"/>
      <c r="NIK97" s="167"/>
      <c r="NIL97" s="168"/>
      <c r="NIM97" s="167"/>
      <c r="NIN97" s="168"/>
      <c r="NIO97" s="167"/>
      <c r="NIP97" s="168"/>
      <c r="NIQ97" s="167"/>
      <c r="NIR97" s="168"/>
      <c r="NIS97" s="167"/>
      <c r="NIT97" s="168"/>
      <c r="NIU97" s="167"/>
      <c r="NIV97" s="168"/>
      <c r="NIW97" s="167"/>
      <c r="NIX97" s="168"/>
      <c r="NIY97" s="167"/>
      <c r="NIZ97" s="168"/>
      <c r="NJA97" s="167"/>
      <c r="NJB97" s="168"/>
      <c r="NJC97" s="167"/>
      <c r="NJD97" s="168"/>
      <c r="NJE97" s="167"/>
      <c r="NJF97" s="168"/>
      <c r="NJG97" s="167"/>
      <c r="NJH97" s="168"/>
      <c r="NJI97" s="167"/>
      <c r="NJJ97" s="168"/>
      <c r="NJK97" s="167"/>
      <c r="NJL97" s="168"/>
      <c r="NJM97" s="167"/>
      <c r="NJN97" s="168"/>
      <c r="NJO97" s="167"/>
      <c r="NJP97" s="168"/>
      <c r="NJQ97" s="167"/>
      <c r="NJR97" s="168"/>
      <c r="NJS97" s="167"/>
      <c r="NJT97" s="168"/>
      <c r="NJU97" s="167"/>
      <c r="NJV97" s="168"/>
      <c r="NJW97" s="167"/>
      <c r="NJX97" s="168"/>
      <c r="NJY97" s="167"/>
      <c r="NJZ97" s="168"/>
      <c r="NKA97" s="167"/>
      <c r="NKB97" s="168"/>
      <c r="NKC97" s="167"/>
      <c r="NKD97" s="168"/>
      <c r="NKE97" s="167"/>
      <c r="NKF97" s="168"/>
      <c r="NKG97" s="167"/>
      <c r="NKH97" s="168"/>
      <c r="NKI97" s="167"/>
      <c r="NKJ97" s="168"/>
      <c r="NKK97" s="167"/>
      <c r="NKL97" s="168"/>
      <c r="NKM97" s="167"/>
      <c r="NKN97" s="168"/>
      <c r="NKO97" s="167"/>
      <c r="NKP97" s="168"/>
      <c r="NKQ97" s="167"/>
      <c r="NKR97" s="168"/>
      <c r="NKS97" s="167"/>
      <c r="NKT97" s="168"/>
      <c r="NKU97" s="167"/>
      <c r="NKV97" s="168"/>
      <c r="NKW97" s="167"/>
      <c r="NKX97" s="168"/>
      <c r="NKY97" s="167"/>
      <c r="NKZ97" s="168"/>
      <c r="NLA97" s="167"/>
      <c r="NLB97" s="168"/>
      <c r="NLC97" s="167"/>
      <c r="NLD97" s="168"/>
      <c r="NLE97" s="167"/>
      <c r="NLF97" s="168"/>
      <c r="NLG97" s="167"/>
      <c r="NLH97" s="168"/>
      <c r="NLI97" s="167"/>
      <c r="NLJ97" s="168"/>
      <c r="NLK97" s="167"/>
      <c r="NLL97" s="168"/>
      <c r="NLM97" s="167"/>
      <c r="NLN97" s="168"/>
      <c r="NLO97" s="167"/>
      <c r="NLP97" s="168"/>
      <c r="NLQ97" s="167"/>
      <c r="NLR97" s="168"/>
      <c r="NLS97" s="167"/>
      <c r="NLT97" s="168"/>
      <c r="NLU97" s="167"/>
      <c r="NLV97" s="168"/>
      <c r="NLW97" s="167"/>
      <c r="NLX97" s="168"/>
      <c r="NLY97" s="167"/>
      <c r="NLZ97" s="168"/>
      <c r="NMA97" s="167"/>
      <c r="NMB97" s="168"/>
      <c r="NMC97" s="167"/>
      <c r="NMD97" s="168"/>
      <c r="NME97" s="167"/>
      <c r="NMF97" s="168"/>
      <c r="NMG97" s="167"/>
      <c r="NMH97" s="168"/>
      <c r="NMI97" s="167"/>
      <c r="NMJ97" s="168"/>
      <c r="NMK97" s="167"/>
      <c r="NML97" s="168"/>
      <c r="NMM97" s="167"/>
      <c r="NMN97" s="168"/>
      <c r="NMO97" s="167"/>
      <c r="NMP97" s="168"/>
      <c r="NMQ97" s="167"/>
      <c r="NMR97" s="168"/>
      <c r="NMS97" s="167"/>
      <c r="NMT97" s="168"/>
      <c r="NMU97" s="167"/>
      <c r="NMV97" s="168"/>
      <c r="NMW97" s="167"/>
      <c r="NMX97" s="168"/>
      <c r="NMY97" s="167"/>
      <c r="NMZ97" s="168"/>
      <c r="NNA97" s="167"/>
      <c r="NNB97" s="168"/>
      <c r="NNC97" s="167"/>
      <c r="NND97" s="168"/>
      <c r="NNE97" s="167"/>
      <c r="NNF97" s="168"/>
      <c r="NNG97" s="167"/>
      <c r="NNH97" s="168"/>
      <c r="NNI97" s="167"/>
      <c r="NNJ97" s="168"/>
      <c r="NNK97" s="167"/>
      <c r="NNL97" s="168"/>
      <c r="NNM97" s="167"/>
      <c r="NNN97" s="168"/>
      <c r="NNO97" s="167"/>
      <c r="NNP97" s="168"/>
      <c r="NNQ97" s="167"/>
      <c r="NNR97" s="168"/>
      <c r="NNS97" s="167"/>
      <c r="NNT97" s="168"/>
      <c r="NNU97" s="167"/>
      <c r="NNV97" s="168"/>
      <c r="NNW97" s="167"/>
      <c r="NNX97" s="168"/>
      <c r="NNY97" s="167"/>
      <c r="NNZ97" s="168"/>
      <c r="NOA97" s="167"/>
      <c r="NOB97" s="168"/>
      <c r="NOC97" s="167"/>
      <c r="NOD97" s="168"/>
      <c r="NOE97" s="167"/>
      <c r="NOF97" s="168"/>
      <c r="NOG97" s="167"/>
      <c r="NOH97" s="168"/>
      <c r="NOI97" s="167"/>
      <c r="NOJ97" s="168"/>
      <c r="NOK97" s="167"/>
      <c r="NOL97" s="168"/>
      <c r="NOM97" s="167"/>
      <c r="NON97" s="168"/>
      <c r="NOO97" s="167"/>
      <c r="NOP97" s="168"/>
      <c r="NOQ97" s="167"/>
      <c r="NOR97" s="168"/>
      <c r="NOS97" s="167"/>
      <c r="NOT97" s="168"/>
      <c r="NOU97" s="167"/>
      <c r="NOV97" s="168"/>
      <c r="NOW97" s="167"/>
      <c r="NOX97" s="168"/>
      <c r="NOY97" s="167"/>
      <c r="NOZ97" s="168"/>
      <c r="NPA97" s="167"/>
      <c r="NPB97" s="168"/>
      <c r="NPC97" s="167"/>
      <c r="NPD97" s="168"/>
      <c r="NPE97" s="167"/>
      <c r="NPF97" s="168"/>
      <c r="NPG97" s="167"/>
      <c r="NPH97" s="168"/>
      <c r="NPI97" s="167"/>
      <c r="NPJ97" s="168"/>
      <c r="NPK97" s="167"/>
      <c r="NPL97" s="168"/>
      <c r="NPM97" s="167"/>
      <c r="NPN97" s="168"/>
      <c r="NPO97" s="167"/>
      <c r="NPP97" s="168"/>
      <c r="NPQ97" s="167"/>
      <c r="NPR97" s="168"/>
      <c r="NPS97" s="167"/>
      <c r="NPT97" s="168"/>
      <c r="NPU97" s="167"/>
      <c r="NPV97" s="168"/>
      <c r="NPW97" s="167"/>
      <c r="NPX97" s="168"/>
      <c r="NPY97" s="167"/>
      <c r="NPZ97" s="168"/>
      <c r="NQA97" s="167"/>
      <c r="NQB97" s="168"/>
      <c r="NQC97" s="167"/>
      <c r="NQD97" s="168"/>
      <c r="NQE97" s="167"/>
      <c r="NQF97" s="168"/>
      <c r="NQG97" s="167"/>
      <c r="NQH97" s="168"/>
      <c r="NQI97" s="167"/>
      <c r="NQJ97" s="168"/>
      <c r="NQK97" s="167"/>
      <c r="NQL97" s="168"/>
      <c r="NQM97" s="167"/>
      <c r="NQN97" s="168"/>
      <c r="NQO97" s="167"/>
      <c r="NQP97" s="168"/>
      <c r="NQQ97" s="167"/>
      <c r="NQR97" s="168"/>
      <c r="NQS97" s="167"/>
      <c r="NQT97" s="168"/>
      <c r="NQU97" s="167"/>
      <c r="NQV97" s="168"/>
      <c r="NQW97" s="167"/>
      <c r="NQX97" s="168"/>
      <c r="NQY97" s="167"/>
      <c r="NQZ97" s="168"/>
      <c r="NRA97" s="167"/>
      <c r="NRB97" s="168"/>
      <c r="NRC97" s="167"/>
      <c r="NRD97" s="168"/>
      <c r="NRE97" s="167"/>
      <c r="NRF97" s="168"/>
      <c r="NRG97" s="167"/>
      <c r="NRH97" s="168"/>
      <c r="NRI97" s="167"/>
      <c r="NRJ97" s="168"/>
      <c r="NRK97" s="167"/>
      <c r="NRL97" s="168"/>
      <c r="NRM97" s="167"/>
      <c r="NRN97" s="168"/>
      <c r="NRO97" s="167"/>
      <c r="NRP97" s="168"/>
      <c r="NRQ97" s="167"/>
      <c r="NRR97" s="168"/>
      <c r="NRS97" s="167"/>
      <c r="NRT97" s="168"/>
      <c r="NRU97" s="167"/>
      <c r="NRV97" s="168"/>
      <c r="NRW97" s="167"/>
      <c r="NRX97" s="168"/>
      <c r="NRY97" s="167"/>
      <c r="NRZ97" s="168"/>
      <c r="NSA97" s="167"/>
      <c r="NSB97" s="168"/>
      <c r="NSC97" s="167"/>
      <c r="NSD97" s="168"/>
      <c r="NSE97" s="167"/>
      <c r="NSF97" s="168"/>
      <c r="NSG97" s="167"/>
      <c r="NSH97" s="168"/>
      <c r="NSI97" s="167"/>
      <c r="NSJ97" s="168"/>
      <c r="NSK97" s="167"/>
      <c r="NSL97" s="168"/>
      <c r="NSM97" s="167"/>
      <c r="NSN97" s="168"/>
      <c r="NSO97" s="167"/>
      <c r="NSP97" s="168"/>
      <c r="NSQ97" s="167"/>
      <c r="NSR97" s="168"/>
      <c r="NSS97" s="167"/>
      <c r="NST97" s="168"/>
      <c r="NSU97" s="167"/>
      <c r="NSV97" s="168"/>
      <c r="NSW97" s="167"/>
      <c r="NSX97" s="168"/>
      <c r="NSY97" s="167"/>
      <c r="NSZ97" s="168"/>
      <c r="NTA97" s="167"/>
      <c r="NTB97" s="168"/>
      <c r="NTC97" s="167"/>
      <c r="NTD97" s="168"/>
      <c r="NTE97" s="167"/>
      <c r="NTF97" s="168"/>
      <c r="NTG97" s="167"/>
      <c r="NTH97" s="168"/>
      <c r="NTI97" s="167"/>
      <c r="NTJ97" s="168"/>
      <c r="NTK97" s="167"/>
      <c r="NTL97" s="168"/>
      <c r="NTM97" s="167"/>
      <c r="NTN97" s="168"/>
      <c r="NTO97" s="167"/>
      <c r="NTP97" s="168"/>
      <c r="NTQ97" s="167"/>
      <c r="NTR97" s="168"/>
      <c r="NTS97" s="167"/>
      <c r="NTT97" s="168"/>
      <c r="NTU97" s="167"/>
      <c r="NTV97" s="168"/>
      <c r="NTW97" s="167"/>
      <c r="NTX97" s="168"/>
      <c r="NTY97" s="167"/>
      <c r="NTZ97" s="168"/>
      <c r="NUA97" s="167"/>
      <c r="NUB97" s="168"/>
      <c r="NUC97" s="167"/>
      <c r="NUD97" s="168"/>
      <c r="NUE97" s="167"/>
      <c r="NUF97" s="168"/>
      <c r="NUG97" s="167"/>
      <c r="NUH97" s="168"/>
      <c r="NUI97" s="167"/>
      <c r="NUJ97" s="168"/>
      <c r="NUK97" s="167"/>
      <c r="NUL97" s="168"/>
      <c r="NUM97" s="167"/>
      <c r="NUN97" s="168"/>
      <c r="NUO97" s="167"/>
      <c r="NUP97" s="168"/>
      <c r="NUQ97" s="167"/>
      <c r="NUR97" s="168"/>
      <c r="NUS97" s="167"/>
      <c r="NUT97" s="168"/>
      <c r="NUU97" s="167"/>
      <c r="NUV97" s="168"/>
      <c r="NUW97" s="167"/>
      <c r="NUX97" s="168"/>
      <c r="NUY97" s="167"/>
      <c r="NUZ97" s="168"/>
      <c r="NVA97" s="167"/>
      <c r="NVB97" s="168"/>
      <c r="NVC97" s="167"/>
      <c r="NVD97" s="168"/>
      <c r="NVE97" s="167"/>
      <c r="NVF97" s="168"/>
      <c r="NVG97" s="167"/>
      <c r="NVH97" s="168"/>
      <c r="NVI97" s="167"/>
      <c r="NVJ97" s="168"/>
      <c r="NVK97" s="167"/>
      <c r="NVL97" s="168"/>
      <c r="NVM97" s="167"/>
      <c r="NVN97" s="168"/>
      <c r="NVO97" s="167"/>
      <c r="NVP97" s="168"/>
      <c r="NVQ97" s="167"/>
      <c r="NVR97" s="168"/>
      <c r="NVS97" s="167"/>
      <c r="NVT97" s="168"/>
      <c r="NVU97" s="167"/>
      <c r="NVV97" s="168"/>
      <c r="NVW97" s="167"/>
      <c r="NVX97" s="168"/>
      <c r="NVY97" s="167"/>
      <c r="NVZ97" s="168"/>
      <c r="NWA97" s="167"/>
      <c r="NWB97" s="168"/>
      <c r="NWC97" s="167"/>
      <c r="NWD97" s="168"/>
      <c r="NWE97" s="167"/>
      <c r="NWF97" s="168"/>
      <c r="NWG97" s="167"/>
      <c r="NWH97" s="168"/>
      <c r="NWI97" s="167"/>
      <c r="NWJ97" s="168"/>
      <c r="NWK97" s="167"/>
      <c r="NWL97" s="168"/>
      <c r="NWM97" s="167"/>
      <c r="NWN97" s="168"/>
      <c r="NWO97" s="167"/>
      <c r="NWP97" s="168"/>
      <c r="NWQ97" s="167"/>
      <c r="NWR97" s="168"/>
      <c r="NWS97" s="167"/>
      <c r="NWT97" s="168"/>
      <c r="NWU97" s="167"/>
      <c r="NWV97" s="168"/>
      <c r="NWW97" s="167"/>
      <c r="NWX97" s="168"/>
      <c r="NWY97" s="167"/>
      <c r="NWZ97" s="168"/>
      <c r="NXA97" s="167"/>
      <c r="NXB97" s="168"/>
      <c r="NXC97" s="167"/>
      <c r="NXD97" s="168"/>
      <c r="NXE97" s="167"/>
      <c r="NXF97" s="168"/>
      <c r="NXG97" s="167"/>
      <c r="NXH97" s="168"/>
      <c r="NXI97" s="167"/>
      <c r="NXJ97" s="168"/>
      <c r="NXK97" s="167"/>
      <c r="NXL97" s="168"/>
      <c r="NXM97" s="167"/>
      <c r="NXN97" s="168"/>
      <c r="NXO97" s="167"/>
      <c r="NXP97" s="168"/>
      <c r="NXQ97" s="167"/>
      <c r="NXR97" s="168"/>
      <c r="NXS97" s="167"/>
      <c r="NXT97" s="168"/>
      <c r="NXU97" s="167"/>
      <c r="NXV97" s="168"/>
      <c r="NXW97" s="167"/>
      <c r="NXX97" s="168"/>
      <c r="NXY97" s="167"/>
      <c r="NXZ97" s="168"/>
      <c r="NYA97" s="167"/>
      <c r="NYB97" s="168"/>
      <c r="NYC97" s="167"/>
      <c r="NYD97" s="168"/>
      <c r="NYE97" s="167"/>
      <c r="NYF97" s="168"/>
      <c r="NYG97" s="167"/>
      <c r="NYH97" s="168"/>
      <c r="NYI97" s="167"/>
      <c r="NYJ97" s="168"/>
      <c r="NYK97" s="167"/>
      <c r="NYL97" s="168"/>
      <c r="NYM97" s="167"/>
      <c r="NYN97" s="168"/>
      <c r="NYO97" s="167"/>
      <c r="NYP97" s="168"/>
      <c r="NYQ97" s="167"/>
      <c r="NYR97" s="168"/>
      <c r="NYS97" s="167"/>
      <c r="NYT97" s="168"/>
      <c r="NYU97" s="167"/>
      <c r="NYV97" s="168"/>
      <c r="NYW97" s="167"/>
      <c r="NYX97" s="168"/>
      <c r="NYY97" s="167"/>
      <c r="NYZ97" s="168"/>
      <c r="NZA97" s="167"/>
      <c r="NZB97" s="168"/>
      <c r="NZC97" s="167"/>
      <c r="NZD97" s="168"/>
      <c r="NZE97" s="167"/>
      <c r="NZF97" s="168"/>
      <c r="NZG97" s="167"/>
      <c r="NZH97" s="168"/>
      <c r="NZI97" s="167"/>
      <c r="NZJ97" s="168"/>
      <c r="NZK97" s="167"/>
      <c r="NZL97" s="168"/>
      <c r="NZM97" s="167"/>
      <c r="NZN97" s="168"/>
      <c r="NZO97" s="167"/>
      <c r="NZP97" s="168"/>
      <c r="NZQ97" s="167"/>
      <c r="NZR97" s="168"/>
      <c r="NZS97" s="167"/>
      <c r="NZT97" s="168"/>
      <c r="NZU97" s="167"/>
      <c r="NZV97" s="168"/>
      <c r="NZW97" s="167"/>
      <c r="NZX97" s="168"/>
      <c r="NZY97" s="167"/>
      <c r="NZZ97" s="168"/>
      <c r="OAA97" s="167"/>
      <c r="OAB97" s="168"/>
      <c r="OAC97" s="167"/>
      <c r="OAD97" s="168"/>
      <c r="OAE97" s="167"/>
      <c r="OAF97" s="168"/>
      <c r="OAG97" s="167"/>
      <c r="OAH97" s="168"/>
      <c r="OAI97" s="167"/>
      <c r="OAJ97" s="168"/>
      <c r="OAK97" s="167"/>
      <c r="OAL97" s="168"/>
      <c r="OAM97" s="167"/>
      <c r="OAN97" s="168"/>
      <c r="OAO97" s="167"/>
      <c r="OAP97" s="168"/>
      <c r="OAQ97" s="167"/>
      <c r="OAR97" s="168"/>
      <c r="OAS97" s="167"/>
      <c r="OAT97" s="168"/>
      <c r="OAU97" s="167"/>
      <c r="OAV97" s="168"/>
      <c r="OAW97" s="167"/>
      <c r="OAX97" s="168"/>
      <c r="OAY97" s="167"/>
      <c r="OAZ97" s="168"/>
      <c r="OBA97" s="167"/>
      <c r="OBB97" s="168"/>
      <c r="OBC97" s="167"/>
      <c r="OBD97" s="168"/>
      <c r="OBE97" s="167"/>
      <c r="OBF97" s="168"/>
      <c r="OBG97" s="167"/>
      <c r="OBH97" s="168"/>
      <c r="OBI97" s="167"/>
      <c r="OBJ97" s="168"/>
      <c r="OBK97" s="167"/>
      <c r="OBL97" s="168"/>
      <c r="OBM97" s="167"/>
      <c r="OBN97" s="168"/>
      <c r="OBO97" s="167"/>
      <c r="OBP97" s="168"/>
      <c r="OBQ97" s="167"/>
      <c r="OBR97" s="168"/>
      <c r="OBS97" s="167"/>
      <c r="OBT97" s="168"/>
      <c r="OBU97" s="167"/>
      <c r="OBV97" s="168"/>
      <c r="OBW97" s="167"/>
      <c r="OBX97" s="168"/>
      <c r="OBY97" s="167"/>
      <c r="OBZ97" s="168"/>
      <c r="OCA97" s="167"/>
      <c r="OCB97" s="168"/>
      <c r="OCC97" s="167"/>
      <c r="OCD97" s="168"/>
      <c r="OCE97" s="167"/>
      <c r="OCF97" s="168"/>
      <c r="OCG97" s="167"/>
      <c r="OCH97" s="168"/>
      <c r="OCI97" s="167"/>
      <c r="OCJ97" s="168"/>
      <c r="OCK97" s="167"/>
      <c r="OCL97" s="168"/>
      <c r="OCM97" s="167"/>
      <c r="OCN97" s="168"/>
      <c r="OCO97" s="167"/>
      <c r="OCP97" s="168"/>
      <c r="OCQ97" s="167"/>
      <c r="OCR97" s="168"/>
      <c r="OCS97" s="167"/>
      <c r="OCT97" s="168"/>
      <c r="OCU97" s="167"/>
      <c r="OCV97" s="168"/>
      <c r="OCW97" s="167"/>
      <c r="OCX97" s="168"/>
      <c r="OCY97" s="167"/>
      <c r="OCZ97" s="168"/>
      <c r="ODA97" s="167"/>
      <c r="ODB97" s="168"/>
      <c r="ODC97" s="167"/>
      <c r="ODD97" s="168"/>
      <c r="ODE97" s="167"/>
      <c r="ODF97" s="168"/>
      <c r="ODG97" s="167"/>
      <c r="ODH97" s="168"/>
      <c r="ODI97" s="167"/>
      <c r="ODJ97" s="168"/>
      <c r="ODK97" s="167"/>
      <c r="ODL97" s="168"/>
      <c r="ODM97" s="167"/>
      <c r="ODN97" s="168"/>
      <c r="ODO97" s="167"/>
      <c r="ODP97" s="168"/>
      <c r="ODQ97" s="167"/>
      <c r="ODR97" s="168"/>
      <c r="ODS97" s="167"/>
      <c r="ODT97" s="168"/>
      <c r="ODU97" s="167"/>
      <c r="ODV97" s="168"/>
      <c r="ODW97" s="167"/>
      <c r="ODX97" s="168"/>
      <c r="ODY97" s="167"/>
      <c r="ODZ97" s="168"/>
      <c r="OEA97" s="167"/>
      <c r="OEB97" s="168"/>
      <c r="OEC97" s="167"/>
      <c r="OED97" s="168"/>
      <c r="OEE97" s="167"/>
      <c r="OEF97" s="168"/>
      <c r="OEG97" s="167"/>
      <c r="OEH97" s="168"/>
      <c r="OEI97" s="167"/>
      <c r="OEJ97" s="168"/>
      <c r="OEK97" s="167"/>
      <c r="OEL97" s="168"/>
      <c r="OEM97" s="167"/>
      <c r="OEN97" s="168"/>
      <c r="OEO97" s="167"/>
      <c r="OEP97" s="168"/>
      <c r="OEQ97" s="167"/>
      <c r="OER97" s="168"/>
      <c r="OES97" s="167"/>
      <c r="OET97" s="168"/>
      <c r="OEU97" s="167"/>
      <c r="OEV97" s="168"/>
      <c r="OEW97" s="167"/>
      <c r="OEX97" s="168"/>
      <c r="OEY97" s="167"/>
      <c r="OEZ97" s="168"/>
      <c r="OFA97" s="167"/>
      <c r="OFB97" s="168"/>
      <c r="OFC97" s="167"/>
      <c r="OFD97" s="168"/>
      <c r="OFE97" s="167"/>
      <c r="OFF97" s="168"/>
      <c r="OFG97" s="167"/>
      <c r="OFH97" s="168"/>
      <c r="OFI97" s="167"/>
      <c r="OFJ97" s="168"/>
      <c r="OFK97" s="167"/>
      <c r="OFL97" s="168"/>
      <c r="OFM97" s="167"/>
      <c r="OFN97" s="168"/>
      <c r="OFO97" s="167"/>
      <c r="OFP97" s="168"/>
      <c r="OFQ97" s="167"/>
      <c r="OFR97" s="168"/>
      <c r="OFS97" s="167"/>
      <c r="OFT97" s="168"/>
      <c r="OFU97" s="167"/>
      <c r="OFV97" s="168"/>
      <c r="OFW97" s="167"/>
      <c r="OFX97" s="168"/>
      <c r="OFY97" s="167"/>
      <c r="OFZ97" s="168"/>
      <c r="OGA97" s="167"/>
      <c r="OGB97" s="168"/>
      <c r="OGC97" s="167"/>
      <c r="OGD97" s="168"/>
      <c r="OGE97" s="167"/>
      <c r="OGF97" s="168"/>
      <c r="OGG97" s="167"/>
      <c r="OGH97" s="168"/>
      <c r="OGI97" s="167"/>
      <c r="OGJ97" s="168"/>
      <c r="OGK97" s="167"/>
      <c r="OGL97" s="168"/>
      <c r="OGM97" s="167"/>
      <c r="OGN97" s="168"/>
      <c r="OGO97" s="167"/>
      <c r="OGP97" s="168"/>
      <c r="OGQ97" s="167"/>
      <c r="OGR97" s="168"/>
      <c r="OGS97" s="167"/>
      <c r="OGT97" s="168"/>
      <c r="OGU97" s="167"/>
      <c r="OGV97" s="168"/>
      <c r="OGW97" s="167"/>
      <c r="OGX97" s="168"/>
      <c r="OGY97" s="167"/>
      <c r="OGZ97" s="168"/>
      <c r="OHA97" s="167"/>
      <c r="OHB97" s="168"/>
      <c r="OHC97" s="167"/>
      <c r="OHD97" s="168"/>
      <c r="OHE97" s="167"/>
      <c r="OHF97" s="168"/>
      <c r="OHG97" s="167"/>
      <c r="OHH97" s="168"/>
      <c r="OHI97" s="167"/>
      <c r="OHJ97" s="168"/>
      <c r="OHK97" s="167"/>
      <c r="OHL97" s="168"/>
      <c r="OHM97" s="167"/>
      <c r="OHN97" s="168"/>
      <c r="OHO97" s="167"/>
      <c r="OHP97" s="168"/>
      <c r="OHQ97" s="167"/>
      <c r="OHR97" s="168"/>
      <c r="OHS97" s="167"/>
      <c r="OHT97" s="168"/>
      <c r="OHU97" s="167"/>
      <c r="OHV97" s="168"/>
      <c r="OHW97" s="167"/>
      <c r="OHX97" s="168"/>
      <c r="OHY97" s="167"/>
      <c r="OHZ97" s="168"/>
      <c r="OIA97" s="167"/>
      <c r="OIB97" s="168"/>
      <c r="OIC97" s="167"/>
      <c r="OID97" s="168"/>
      <c r="OIE97" s="167"/>
      <c r="OIF97" s="168"/>
      <c r="OIG97" s="167"/>
      <c r="OIH97" s="168"/>
      <c r="OII97" s="167"/>
      <c r="OIJ97" s="168"/>
      <c r="OIK97" s="167"/>
      <c r="OIL97" s="168"/>
      <c r="OIM97" s="167"/>
      <c r="OIN97" s="168"/>
      <c r="OIO97" s="167"/>
      <c r="OIP97" s="168"/>
      <c r="OIQ97" s="167"/>
      <c r="OIR97" s="168"/>
      <c r="OIS97" s="167"/>
      <c r="OIT97" s="168"/>
      <c r="OIU97" s="167"/>
      <c r="OIV97" s="168"/>
      <c r="OIW97" s="167"/>
      <c r="OIX97" s="168"/>
      <c r="OIY97" s="167"/>
      <c r="OIZ97" s="168"/>
      <c r="OJA97" s="167"/>
      <c r="OJB97" s="168"/>
      <c r="OJC97" s="167"/>
      <c r="OJD97" s="168"/>
      <c r="OJE97" s="167"/>
      <c r="OJF97" s="168"/>
      <c r="OJG97" s="167"/>
      <c r="OJH97" s="168"/>
      <c r="OJI97" s="167"/>
      <c r="OJJ97" s="168"/>
      <c r="OJK97" s="167"/>
      <c r="OJL97" s="168"/>
      <c r="OJM97" s="167"/>
      <c r="OJN97" s="168"/>
      <c r="OJO97" s="167"/>
      <c r="OJP97" s="168"/>
      <c r="OJQ97" s="167"/>
      <c r="OJR97" s="168"/>
      <c r="OJS97" s="167"/>
      <c r="OJT97" s="168"/>
      <c r="OJU97" s="167"/>
      <c r="OJV97" s="168"/>
      <c r="OJW97" s="167"/>
      <c r="OJX97" s="168"/>
      <c r="OJY97" s="167"/>
      <c r="OJZ97" s="168"/>
      <c r="OKA97" s="167"/>
      <c r="OKB97" s="168"/>
      <c r="OKC97" s="167"/>
      <c r="OKD97" s="168"/>
      <c r="OKE97" s="167"/>
      <c r="OKF97" s="168"/>
      <c r="OKG97" s="167"/>
      <c r="OKH97" s="168"/>
      <c r="OKI97" s="167"/>
      <c r="OKJ97" s="168"/>
      <c r="OKK97" s="167"/>
      <c r="OKL97" s="168"/>
      <c r="OKM97" s="167"/>
      <c r="OKN97" s="168"/>
      <c r="OKO97" s="167"/>
      <c r="OKP97" s="168"/>
      <c r="OKQ97" s="167"/>
      <c r="OKR97" s="168"/>
      <c r="OKS97" s="167"/>
      <c r="OKT97" s="168"/>
      <c r="OKU97" s="167"/>
      <c r="OKV97" s="168"/>
      <c r="OKW97" s="167"/>
      <c r="OKX97" s="168"/>
      <c r="OKY97" s="167"/>
      <c r="OKZ97" s="168"/>
      <c r="OLA97" s="167"/>
      <c r="OLB97" s="168"/>
      <c r="OLC97" s="167"/>
      <c r="OLD97" s="168"/>
      <c r="OLE97" s="167"/>
      <c r="OLF97" s="168"/>
      <c r="OLG97" s="167"/>
      <c r="OLH97" s="168"/>
      <c r="OLI97" s="167"/>
      <c r="OLJ97" s="168"/>
      <c r="OLK97" s="167"/>
      <c r="OLL97" s="168"/>
      <c r="OLM97" s="167"/>
      <c r="OLN97" s="168"/>
      <c r="OLO97" s="167"/>
      <c r="OLP97" s="168"/>
      <c r="OLQ97" s="167"/>
      <c r="OLR97" s="168"/>
      <c r="OLS97" s="167"/>
      <c r="OLT97" s="168"/>
      <c r="OLU97" s="167"/>
      <c r="OLV97" s="168"/>
      <c r="OLW97" s="167"/>
      <c r="OLX97" s="168"/>
      <c r="OLY97" s="167"/>
      <c r="OLZ97" s="168"/>
      <c r="OMA97" s="167"/>
      <c r="OMB97" s="168"/>
      <c r="OMC97" s="167"/>
      <c r="OMD97" s="168"/>
      <c r="OME97" s="167"/>
      <c r="OMF97" s="168"/>
      <c r="OMG97" s="167"/>
      <c r="OMH97" s="168"/>
      <c r="OMI97" s="167"/>
      <c r="OMJ97" s="168"/>
      <c r="OMK97" s="167"/>
      <c r="OML97" s="168"/>
      <c r="OMM97" s="167"/>
      <c r="OMN97" s="168"/>
      <c r="OMO97" s="167"/>
      <c r="OMP97" s="168"/>
      <c r="OMQ97" s="167"/>
      <c r="OMR97" s="168"/>
      <c r="OMS97" s="167"/>
      <c r="OMT97" s="168"/>
      <c r="OMU97" s="167"/>
      <c r="OMV97" s="168"/>
      <c r="OMW97" s="167"/>
      <c r="OMX97" s="168"/>
      <c r="OMY97" s="167"/>
      <c r="OMZ97" s="168"/>
      <c r="ONA97" s="167"/>
      <c r="ONB97" s="168"/>
      <c r="ONC97" s="167"/>
      <c r="OND97" s="168"/>
      <c r="ONE97" s="167"/>
      <c r="ONF97" s="168"/>
      <c r="ONG97" s="167"/>
      <c r="ONH97" s="168"/>
      <c r="ONI97" s="167"/>
      <c r="ONJ97" s="168"/>
      <c r="ONK97" s="167"/>
      <c r="ONL97" s="168"/>
      <c r="ONM97" s="167"/>
      <c r="ONN97" s="168"/>
      <c r="ONO97" s="167"/>
      <c r="ONP97" s="168"/>
      <c r="ONQ97" s="167"/>
      <c r="ONR97" s="168"/>
      <c r="ONS97" s="167"/>
      <c r="ONT97" s="168"/>
      <c r="ONU97" s="167"/>
      <c r="ONV97" s="168"/>
      <c r="ONW97" s="167"/>
      <c r="ONX97" s="168"/>
      <c r="ONY97" s="167"/>
      <c r="ONZ97" s="168"/>
      <c r="OOA97" s="167"/>
      <c r="OOB97" s="168"/>
      <c r="OOC97" s="167"/>
      <c r="OOD97" s="168"/>
      <c r="OOE97" s="167"/>
      <c r="OOF97" s="168"/>
      <c r="OOG97" s="167"/>
      <c r="OOH97" s="168"/>
      <c r="OOI97" s="167"/>
      <c r="OOJ97" s="168"/>
      <c r="OOK97" s="167"/>
      <c r="OOL97" s="168"/>
      <c r="OOM97" s="167"/>
      <c r="OON97" s="168"/>
      <c r="OOO97" s="167"/>
      <c r="OOP97" s="168"/>
      <c r="OOQ97" s="167"/>
      <c r="OOR97" s="168"/>
      <c r="OOS97" s="167"/>
      <c r="OOT97" s="168"/>
      <c r="OOU97" s="167"/>
      <c r="OOV97" s="168"/>
      <c r="OOW97" s="167"/>
      <c r="OOX97" s="168"/>
      <c r="OOY97" s="167"/>
      <c r="OOZ97" s="168"/>
      <c r="OPA97" s="167"/>
      <c r="OPB97" s="168"/>
      <c r="OPC97" s="167"/>
      <c r="OPD97" s="168"/>
      <c r="OPE97" s="167"/>
      <c r="OPF97" s="168"/>
      <c r="OPG97" s="167"/>
      <c r="OPH97" s="168"/>
      <c r="OPI97" s="167"/>
      <c r="OPJ97" s="168"/>
      <c r="OPK97" s="167"/>
      <c r="OPL97" s="168"/>
      <c r="OPM97" s="167"/>
      <c r="OPN97" s="168"/>
      <c r="OPO97" s="167"/>
      <c r="OPP97" s="168"/>
      <c r="OPQ97" s="167"/>
      <c r="OPR97" s="168"/>
      <c r="OPS97" s="167"/>
      <c r="OPT97" s="168"/>
      <c r="OPU97" s="167"/>
      <c r="OPV97" s="168"/>
      <c r="OPW97" s="167"/>
      <c r="OPX97" s="168"/>
      <c r="OPY97" s="167"/>
      <c r="OPZ97" s="168"/>
      <c r="OQA97" s="167"/>
      <c r="OQB97" s="168"/>
      <c r="OQC97" s="167"/>
      <c r="OQD97" s="168"/>
      <c r="OQE97" s="167"/>
      <c r="OQF97" s="168"/>
      <c r="OQG97" s="167"/>
      <c r="OQH97" s="168"/>
      <c r="OQI97" s="167"/>
      <c r="OQJ97" s="168"/>
      <c r="OQK97" s="167"/>
      <c r="OQL97" s="168"/>
      <c r="OQM97" s="167"/>
      <c r="OQN97" s="168"/>
      <c r="OQO97" s="167"/>
      <c r="OQP97" s="168"/>
      <c r="OQQ97" s="167"/>
      <c r="OQR97" s="168"/>
      <c r="OQS97" s="167"/>
      <c r="OQT97" s="168"/>
      <c r="OQU97" s="167"/>
      <c r="OQV97" s="168"/>
      <c r="OQW97" s="167"/>
      <c r="OQX97" s="168"/>
      <c r="OQY97" s="167"/>
      <c r="OQZ97" s="168"/>
      <c r="ORA97" s="167"/>
      <c r="ORB97" s="168"/>
      <c r="ORC97" s="167"/>
      <c r="ORD97" s="168"/>
      <c r="ORE97" s="167"/>
      <c r="ORF97" s="168"/>
      <c r="ORG97" s="167"/>
      <c r="ORH97" s="168"/>
      <c r="ORI97" s="167"/>
      <c r="ORJ97" s="168"/>
      <c r="ORK97" s="167"/>
      <c r="ORL97" s="168"/>
      <c r="ORM97" s="167"/>
      <c r="ORN97" s="168"/>
      <c r="ORO97" s="167"/>
      <c r="ORP97" s="168"/>
      <c r="ORQ97" s="167"/>
      <c r="ORR97" s="168"/>
      <c r="ORS97" s="167"/>
      <c r="ORT97" s="168"/>
      <c r="ORU97" s="167"/>
      <c r="ORV97" s="168"/>
      <c r="ORW97" s="167"/>
      <c r="ORX97" s="168"/>
      <c r="ORY97" s="167"/>
      <c r="ORZ97" s="168"/>
      <c r="OSA97" s="167"/>
      <c r="OSB97" s="168"/>
      <c r="OSC97" s="167"/>
      <c r="OSD97" s="168"/>
      <c r="OSE97" s="167"/>
      <c r="OSF97" s="168"/>
      <c r="OSG97" s="167"/>
      <c r="OSH97" s="168"/>
      <c r="OSI97" s="167"/>
      <c r="OSJ97" s="168"/>
      <c r="OSK97" s="167"/>
      <c r="OSL97" s="168"/>
      <c r="OSM97" s="167"/>
      <c r="OSN97" s="168"/>
      <c r="OSO97" s="167"/>
      <c r="OSP97" s="168"/>
      <c r="OSQ97" s="167"/>
      <c r="OSR97" s="168"/>
      <c r="OSS97" s="167"/>
      <c r="OST97" s="168"/>
      <c r="OSU97" s="167"/>
      <c r="OSV97" s="168"/>
      <c r="OSW97" s="167"/>
      <c r="OSX97" s="168"/>
      <c r="OSY97" s="167"/>
      <c r="OSZ97" s="168"/>
      <c r="OTA97" s="167"/>
      <c r="OTB97" s="168"/>
      <c r="OTC97" s="167"/>
      <c r="OTD97" s="168"/>
      <c r="OTE97" s="167"/>
      <c r="OTF97" s="168"/>
      <c r="OTG97" s="167"/>
      <c r="OTH97" s="168"/>
      <c r="OTI97" s="167"/>
      <c r="OTJ97" s="168"/>
      <c r="OTK97" s="167"/>
      <c r="OTL97" s="168"/>
      <c r="OTM97" s="167"/>
      <c r="OTN97" s="168"/>
      <c r="OTO97" s="167"/>
      <c r="OTP97" s="168"/>
      <c r="OTQ97" s="167"/>
      <c r="OTR97" s="168"/>
      <c r="OTS97" s="167"/>
      <c r="OTT97" s="168"/>
      <c r="OTU97" s="167"/>
      <c r="OTV97" s="168"/>
      <c r="OTW97" s="167"/>
      <c r="OTX97" s="168"/>
      <c r="OTY97" s="167"/>
      <c r="OTZ97" s="168"/>
      <c r="OUA97" s="167"/>
      <c r="OUB97" s="168"/>
      <c r="OUC97" s="167"/>
      <c r="OUD97" s="168"/>
      <c r="OUE97" s="167"/>
      <c r="OUF97" s="168"/>
      <c r="OUG97" s="167"/>
      <c r="OUH97" s="168"/>
      <c r="OUI97" s="167"/>
      <c r="OUJ97" s="168"/>
      <c r="OUK97" s="167"/>
      <c r="OUL97" s="168"/>
      <c r="OUM97" s="167"/>
      <c r="OUN97" s="168"/>
      <c r="OUO97" s="167"/>
      <c r="OUP97" s="168"/>
      <c r="OUQ97" s="167"/>
      <c r="OUR97" s="168"/>
      <c r="OUS97" s="167"/>
      <c r="OUT97" s="168"/>
      <c r="OUU97" s="167"/>
      <c r="OUV97" s="168"/>
      <c r="OUW97" s="167"/>
      <c r="OUX97" s="168"/>
      <c r="OUY97" s="167"/>
      <c r="OUZ97" s="168"/>
      <c r="OVA97" s="167"/>
      <c r="OVB97" s="168"/>
      <c r="OVC97" s="167"/>
      <c r="OVD97" s="168"/>
      <c r="OVE97" s="167"/>
      <c r="OVF97" s="168"/>
      <c r="OVG97" s="167"/>
      <c r="OVH97" s="168"/>
      <c r="OVI97" s="167"/>
      <c r="OVJ97" s="168"/>
      <c r="OVK97" s="167"/>
      <c r="OVL97" s="168"/>
      <c r="OVM97" s="167"/>
      <c r="OVN97" s="168"/>
      <c r="OVO97" s="167"/>
      <c r="OVP97" s="168"/>
      <c r="OVQ97" s="167"/>
      <c r="OVR97" s="168"/>
      <c r="OVS97" s="167"/>
      <c r="OVT97" s="168"/>
      <c r="OVU97" s="167"/>
      <c r="OVV97" s="168"/>
      <c r="OVW97" s="167"/>
      <c r="OVX97" s="168"/>
      <c r="OVY97" s="167"/>
      <c r="OVZ97" s="168"/>
      <c r="OWA97" s="167"/>
      <c r="OWB97" s="168"/>
      <c r="OWC97" s="167"/>
      <c r="OWD97" s="168"/>
      <c r="OWE97" s="167"/>
      <c r="OWF97" s="168"/>
      <c r="OWG97" s="167"/>
      <c r="OWH97" s="168"/>
      <c r="OWI97" s="167"/>
      <c r="OWJ97" s="168"/>
      <c r="OWK97" s="167"/>
      <c r="OWL97" s="168"/>
      <c r="OWM97" s="167"/>
      <c r="OWN97" s="168"/>
      <c r="OWO97" s="167"/>
      <c r="OWP97" s="168"/>
      <c r="OWQ97" s="167"/>
      <c r="OWR97" s="168"/>
      <c r="OWS97" s="167"/>
      <c r="OWT97" s="168"/>
      <c r="OWU97" s="167"/>
      <c r="OWV97" s="168"/>
      <c r="OWW97" s="167"/>
      <c r="OWX97" s="168"/>
      <c r="OWY97" s="167"/>
      <c r="OWZ97" s="168"/>
      <c r="OXA97" s="167"/>
      <c r="OXB97" s="168"/>
      <c r="OXC97" s="167"/>
      <c r="OXD97" s="168"/>
      <c r="OXE97" s="167"/>
      <c r="OXF97" s="168"/>
      <c r="OXG97" s="167"/>
      <c r="OXH97" s="168"/>
      <c r="OXI97" s="167"/>
      <c r="OXJ97" s="168"/>
      <c r="OXK97" s="167"/>
      <c r="OXL97" s="168"/>
      <c r="OXM97" s="167"/>
      <c r="OXN97" s="168"/>
      <c r="OXO97" s="167"/>
      <c r="OXP97" s="168"/>
      <c r="OXQ97" s="167"/>
      <c r="OXR97" s="168"/>
      <c r="OXS97" s="167"/>
      <c r="OXT97" s="168"/>
      <c r="OXU97" s="167"/>
      <c r="OXV97" s="168"/>
      <c r="OXW97" s="167"/>
      <c r="OXX97" s="168"/>
      <c r="OXY97" s="167"/>
      <c r="OXZ97" s="168"/>
      <c r="OYA97" s="167"/>
      <c r="OYB97" s="168"/>
      <c r="OYC97" s="167"/>
      <c r="OYD97" s="168"/>
      <c r="OYE97" s="167"/>
      <c r="OYF97" s="168"/>
      <c r="OYG97" s="167"/>
      <c r="OYH97" s="168"/>
      <c r="OYI97" s="167"/>
      <c r="OYJ97" s="168"/>
      <c r="OYK97" s="167"/>
      <c r="OYL97" s="168"/>
      <c r="OYM97" s="167"/>
      <c r="OYN97" s="168"/>
      <c r="OYO97" s="167"/>
      <c r="OYP97" s="168"/>
      <c r="OYQ97" s="167"/>
      <c r="OYR97" s="168"/>
      <c r="OYS97" s="167"/>
      <c r="OYT97" s="168"/>
      <c r="OYU97" s="167"/>
      <c r="OYV97" s="168"/>
      <c r="OYW97" s="167"/>
      <c r="OYX97" s="168"/>
      <c r="OYY97" s="167"/>
      <c r="OYZ97" s="168"/>
      <c r="OZA97" s="167"/>
      <c r="OZB97" s="168"/>
      <c r="OZC97" s="167"/>
      <c r="OZD97" s="168"/>
      <c r="OZE97" s="167"/>
      <c r="OZF97" s="168"/>
      <c r="OZG97" s="167"/>
      <c r="OZH97" s="168"/>
      <c r="OZI97" s="167"/>
      <c r="OZJ97" s="168"/>
      <c r="OZK97" s="167"/>
      <c r="OZL97" s="168"/>
      <c r="OZM97" s="167"/>
      <c r="OZN97" s="168"/>
      <c r="OZO97" s="167"/>
      <c r="OZP97" s="168"/>
      <c r="OZQ97" s="167"/>
      <c r="OZR97" s="168"/>
      <c r="OZS97" s="167"/>
      <c r="OZT97" s="168"/>
      <c r="OZU97" s="167"/>
      <c r="OZV97" s="168"/>
      <c r="OZW97" s="167"/>
      <c r="OZX97" s="168"/>
      <c r="OZY97" s="167"/>
      <c r="OZZ97" s="168"/>
      <c r="PAA97" s="167"/>
      <c r="PAB97" s="168"/>
      <c r="PAC97" s="167"/>
      <c r="PAD97" s="168"/>
      <c r="PAE97" s="167"/>
      <c r="PAF97" s="168"/>
      <c r="PAG97" s="167"/>
      <c r="PAH97" s="168"/>
      <c r="PAI97" s="167"/>
      <c r="PAJ97" s="168"/>
      <c r="PAK97" s="167"/>
      <c r="PAL97" s="168"/>
      <c r="PAM97" s="167"/>
      <c r="PAN97" s="168"/>
      <c r="PAO97" s="167"/>
      <c r="PAP97" s="168"/>
      <c r="PAQ97" s="167"/>
      <c r="PAR97" s="168"/>
      <c r="PAS97" s="167"/>
      <c r="PAT97" s="168"/>
      <c r="PAU97" s="167"/>
      <c r="PAV97" s="168"/>
      <c r="PAW97" s="167"/>
      <c r="PAX97" s="168"/>
      <c r="PAY97" s="167"/>
      <c r="PAZ97" s="168"/>
      <c r="PBA97" s="167"/>
      <c r="PBB97" s="168"/>
      <c r="PBC97" s="167"/>
      <c r="PBD97" s="168"/>
      <c r="PBE97" s="167"/>
      <c r="PBF97" s="168"/>
      <c r="PBG97" s="167"/>
      <c r="PBH97" s="168"/>
      <c r="PBI97" s="167"/>
      <c r="PBJ97" s="168"/>
      <c r="PBK97" s="167"/>
      <c r="PBL97" s="168"/>
      <c r="PBM97" s="167"/>
      <c r="PBN97" s="168"/>
      <c r="PBO97" s="167"/>
      <c r="PBP97" s="168"/>
      <c r="PBQ97" s="167"/>
      <c r="PBR97" s="168"/>
      <c r="PBS97" s="167"/>
      <c r="PBT97" s="168"/>
      <c r="PBU97" s="167"/>
      <c r="PBV97" s="168"/>
      <c r="PBW97" s="167"/>
      <c r="PBX97" s="168"/>
      <c r="PBY97" s="167"/>
      <c r="PBZ97" s="168"/>
      <c r="PCA97" s="167"/>
      <c r="PCB97" s="168"/>
      <c r="PCC97" s="167"/>
      <c r="PCD97" s="168"/>
      <c r="PCE97" s="167"/>
      <c r="PCF97" s="168"/>
      <c r="PCG97" s="167"/>
      <c r="PCH97" s="168"/>
      <c r="PCI97" s="167"/>
      <c r="PCJ97" s="168"/>
      <c r="PCK97" s="167"/>
      <c r="PCL97" s="168"/>
      <c r="PCM97" s="167"/>
      <c r="PCN97" s="168"/>
      <c r="PCO97" s="167"/>
      <c r="PCP97" s="168"/>
      <c r="PCQ97" s="167"/>
      <c r="PCR97" s="168"/>
      <c r="PCS97" s="167"/>
      <c r="PCT97" s="168"/>
      <c r="PCU97" s="167"/>
      <c r="PCV97" s="168"/>
      <c r="PCW97" s="167"/>
      <c r="PCX97" s="168"/>
      <c r="PCY97" s="167"/>
      <c r="PCZ97" s="168"/>
      <c r="PDA97" s="167"/>
      <c r="PDB97" s="168"/>
      <c r="PDC97" s="167"/>
      <c r="PDD97" s="168"/>
      <c r="PDE97" s="167"/>
      <c r="PDF97" s="168"/>
      <c r="PDG97" s="167"/>
      <c r="PDH97" s="168"/>
      <c r="PDI97" s="167"/>
      <c r="PDJ97" s="168"/>
      <c r="PDK97" s="167"/>
      <c r="PDL97" s="168"/>
      <c r="PDM97" s="167"/>
      <c r="PDN97" s="168"/>
      <c r="PDO97" s="167"/>
      <c r="PDP97" s="168"/>
      <c r="PDQ97" s="167"/>
      <c r="PDR97" s="168"/>
      <c r="PDS97" s="167"/>
      <c r="PDT97" s="168"/>
      <c r="PDU97" s="167"/>
      <c r="PDV97" s="168"/>
      <c r="PDW97" s="167"/>
      <c r="PDX97" s="168"/>
      <c r="PDY97" s="167"/>
      <c r="PDZ97" s="168"/>
      <c r="PEA97" s="167"/>
      <c r="PEB97" s="168"/>
      <c r="PEC97" s="167"/>
      <c r="PED97" s="168"/>
      <c r="PEE97" s="167"/>
      <c r="PEF97" s="168"/>
      <c r="PEG97" s="167"/>
      <c r="PEH97" s="168"/>
      <c r="PEI97" s="167"/>
      <c r="PEJ97" s="168"/>
      <c r="PEK97" s="167"/>
      <c r="PEL97" s="168"/>
      <c r="PEM97" s="167"/>
      <c r="PEN97" s="168"/>
      <c r="PEO97" s="167"/>
      <c r="PEP97" s="168"/>
      <c r="PEQ97" s="167"/>
      <c r="PER97" s="168"/>
      <c r="PES97" s="167"/>
      <c r="PET97" s="168"/>
      <c r="PEU97" s="167"/>
      <c r="PEV97" s="168"/>
      <c r="PEW97" s="167"/>
      <c r="PEX97" s="168"/>
      <c r="PEY97" s="167"/>
      <c r="PEZ97" s="168"/>
      <c r="PFA97" s="167"/>
      <c r="PFB97" s="168"/>
      <c r="PFC97" s="167"/>
      <c r="PFD97" s="168"/>
      <c r="PFE97" s="167"/>
      <c r="PFF97" s="168"/>
      <c r="PFG97" s="167"/>
      <c r="PFH97" s="168"/>
      <c r="PFI97" s="167"/>
      <c r="PFJ97" s="168"/>
      <c r="PFK97" s="167"/>
      <c r="PFL97" s="168"/>
      <c r="PFM97" s="167"/>
      <c r="PFN97" s="168"/>
      <c r="PFO97" s="167"/>
      <c r="PFP97" s="168"/>
      <c r="PFQ97" s="167"/>
      <c r="PFR97" s="168"/>
      <c r="PFS97" s="167"/>
      <c r="PFT97" s="168"/>
      <c r="PFU97" s="167"/>
      <c r="PFV97" s="168"/>
      <c r="PFW97" s="167"/>
      <c r="PFX97" s="168"/>
      <c r="PFY97" s="167"/>
      <c r="PFZ97" s="168"/>
      <c r="PGA97" s="167"/>
      <c r="PGB97" s="168"/>
      <c r="PGC97" s="167"/>
      <c r="PGD97" s="168"/>
      <c r="PGE97" s="167"/>
      <c r="PGF97" s="168"/>
      <c r="PGG97" s="167"/>
      <c r="PGH97" s="168"/>
      <c r="PGI97" s="167"/>
      <c r="PGJ97" s="168"/>
      <c r="PGK97" s="167"/>
      <c r="PGL97" s="168"/>
      <c r="PGM97" s="167"/>
      <c r="PGN97" s="168"/>
      <c r="PGO97" s="167"/>
      <c r="PGP97" s="168"/>
      <c r="PGQ97" s="167"/>
      <c r="PGR97" s="168"/>
      <c r="PGS97" s="167"/>
      <c r="PGT97" s="168"/>
      <c r="PGU97" s="167"/>
      <c r="PGV97" s="168"/>
      <c r="PGW97" s="167"/>
      <c r="PGX97" s="168"/>
      <c r="PGY97" s="167"/>
      <c r="PGZ97" s="168"/>
      <c r="PHA97" s="167"/>
      <c r="PHB97" s="168"/>
      <c r="PHC97" s="167"/>
      <c r="PHD97" s="168"/>
      <c r="PHE97" s="167"/>
      <c r="PHF97" s="168"/>
      <c r="PHG97" s="167"/>
      <c r="PHH97" s="168"/>
      <c r="PHI97" s="167"/>
      <c r="PHJ97" s="168"/>
      <c r="PHK97" s="167"/>
      <c r="PHL97" s="168"/>
      <c r="PHM97" s="167"/>
      <c r="PHN97" s="168"/>
      <c r="PHO97" s="167"/>
      <c r="PHP97" s="168"/>
      <c r="PHQ97" s="167"/>
      <c r="PHR97" s="168"/>
      <c r="PHS97" s="167"/>
      <c r="PHT97" s="168"/>
      <c r="PHU97" s="167"/>
      <c r="PHV97" s="168"/>
      <c r="PHW97" s="167"/>
      <c r="PHX97" s="168"/>
      <c r="PHY97" s="167"/>
      <c r="PHZ97" s="168"/>
      <c r="PIA97" s="167"/>
      <c r="PIB97" s="168"/>
      <c r="PIC97" s="167"/>
      <c r="PID97" s="168"/>
      <c r="PIE97" s="167"/>
      <c r="PIF97" s="168"/>
      <c r="PIG97" s="167"/>
      <c r="PIH97" s="168"/>
      <c r="PII97" s="167"/>
      <c r="PIJ97" s="168"/>
      <c r="PIK97" s="167"/>
      <c r="PIL97" s="168"/>
      <c r="PIM97" s="167"/>
      <c r="PIN97" s="168"/>
      <c r="PIO97" s="167"/>
      <c r="PIP97" s="168"/>
      <c r="PIQ97" s="167"/>
      <c r="PIR97" s="168"/>
      <c r="PIS97" s="167"/>
      <c r="PIT97" s="168"/>
      <c r="PIU97" s="167"/>
      <c r="PIV97" s="168"/>
      <c r="PIW97" s="167"/>
      <c r="PIX97" s="168"/>
      <c r="PIY97" s="167"/>
      <c r="PIZ97" s="168"/>
      <c r="PJA97" s="167"/>
      <c r="PJB97" s="168"/>
      <c r="PJC97" s="167"/>
      <c r="PJD97" s="168"/>
      <c r="PJE97" s="167"/>
      <c r="PJF97" s="168"/>
      <c r="PJG97" s="167"/>
      <c r="PJH97" s="168"/>
      <c r="PJI97" s="167"/>
      <c r="PJJ97" s="168"/>
      <c r="PJK97" s="167"/>
      <c r="PJL97" s="168"/>
      <c r="PJM97" s="167"/>
      <c r="PJN97" s="168"/>
      <c r="PJO97" s="167"/>
      <c r="PJP97" s="168"/>
      <c r="PJQ97" s="167"/>
      <c r="PJR97" s="168"/>
      <c r="PJS97" s="167"/>
      <c r="PJT97" s="168"/>
      <c r="PJU97" s="167"/>
      <c r="PJV97" s="168"/>
      <c r="PJW97" s="167"/>
      <c r="PJX97" s="168"/>
      <c r="PJY97" s="167"/>
      <c r="PJZ97" s="168"/>
      <c r="PKA97" s="167"/>
      <c r="PKB97" s="168"/>
      <c r="PKC97" s="167"/>
      <c r="PKD97" s="168"/>
      <c r="PKE97" s="167"/>
      <c r="PKF97" s="168"/>
      <c r="PKG97" s="167"/>
      <c r="PKH97" s="168"/>
      <c r="PKI97" s="167"/>
      <c r="PKJ97" s="168"/>
      <c r="PKK97" s="167"/>
      <c r="PKL97" s="168"/>
      <c r="PKM97" s="167"/>
      <c r="PKN97" s="168"/>
      <c r="PKO97" s="167"/>
      <c r="PKP97" s="168"/>
      <c r="PKQ97" s="167"/>
      <c r="PKR97" s="168"/>
      <c r="PKS97" s="167"/>
      <c r="PKT97" s="168"/>
      <c r="PKU97" s="167"/>
      <c r="PKV97" s="168"/>
      <c r="PKW97" s="167"/>
      <c r="PKX97" s="168"/>
      <c r="PKY97" s="167"/>
      <c r="PKZ97" s="168"/>
      <c r="PLA97" s="167"/>
      <c r="PLB97" s="168"/>
      <c r="PLC97" s="167"/>
      <c r="PLD97" s="168"/>
      <c r="PLE97" s="167"/>
      <c r="PLF97" s="168"/>
      <c r="PLG97" s="167"/>
      <c r="PLH97" s="168"/>
      <c r="PLI97" s="167"/>
      <c r="PLJ97" s="168"/>
      <c r="PLK97" s="167"/>
      <c r="PLL97" s="168"/>
      <c r="PLM97" s="167"/>
      <c r="PLN97" s="168"/>
      <c r="PLO97" s="167"/>
      <c r="PLP97" s="168"/>
      <c r="PLQ97" s="167"/>
      <c r="PLR97" s="168"/>
      <c r="PLS97" s="167"/>
      <c r="PLT97" s="168"/>
      <c r="PLU97" s="167"/>
      <c r="PLV97" s="168"/>
      <c r="PLW97" s="167"/>
      <c r="PLX97" s="168"/>
      <c r="PLY97" s="167"/>
      <c r="PLZ97" s="168"/>
      <c r="PMA97" s="167"/>
      <c r="PMB97" s="168"/>
      <c r="PMC97" s="167"/>
      <c r="PMD97" s="168"/>
      <c r="PME97" s="167"/>
      <c r="PMF97" s="168"/>
      <c r="PMG97" s="167"/>
      <c r="PMH97" s="168"/>
      <c r="PMI97" s="167"/>
      <c r="PMJ97" s="168"/>
      <c r="PMK97" s="167"/>
      <c r="PML97" s="168"/>
      <c r="PMM97" s="167"/>
      <c r="PMN97" s="168"/>
      <c r="PMO97" s="167"/>
      <c r="PMP97" s="168"/>
      <c r="PMQ97" s="167"/>
      <c r="PMR97" s="168"/>
      <c r="PMS97" s="167"/>
      <c r="PMT97" s="168"/>
      <c r="PMU97" s="167"/>
      <c r="PMV97" s="168"/>
      <c r="PMW97" s="167"/>
      <c r="PMX97" s="168"/>
      <c r="PMY97" s="167"/>
      <c r="PMZ97" s="168"/>
      <c r="PNA97" s="167"/>
      <c r="PNB97" s="168"/>
      <c r="PNC97" s="167"/>
      <c r="PND97" s="168"/>
      <c r="PNE97" s="167"/>
      <c r="PNF97" s="168"/>
      <c r="PNG97" s="167"/>
      <c r="PNH97" s="168"/>
      <c r="PNI97" s="167"/>
      <c r="PNJ97" s="168"/>
      <c r="PNK97" s="167"/>
      <c r="PNL97" s="168"/>
      <c r="PNM97" s="167"/>
      <c r="PNN97" s="168"/>
      <c r="PNO97" s="167"/>
      <c r="PNP97" s="168"/>
      <c r="PNQ97" s="167"/>
      <c r="PNR97" s="168"/>
      <c r="PNS97" s="167"/>
      <c r="PNT97" s="168"/>
      <c r="PNU97" s="167"/>
      <c r="PNV97" s="168"/>
      <c r="PNW97" s="167"/>
      <c r="PNX97" s="168"/>
      <c r="PNY97" s="167"/>
      <c r="PNZ97" s="168"/>
      <c r="POA97" s="167"/>
      <c r="POB97" s="168"/>
      <c r="POC97" s="167"/>
      <c r="POD97" s="168"/>
      <c r="POE97" s="167"/>
      <c r="POF97" s="168"/>
      <c r="POG97" s="167"/>
      <c r="POH97" s="168"/>
      <c r="POI97" s="167"/>
      <c r="POJ97" s="168"/>
      <c r="POK97" s="167"/>
      <c r="POL97" s="168"/>
      <c r="POM97" s="167"/>
      <c r="PON97" s="168"/>
      <c r="POO97" s="167"/>
      <c r="POP97" s="168"/>
      <c r="POQ97" s="167"/>
      <c r="POR97" s="168"/>
      <c r="POS97" s="167"/>
      <c r="POT97" s="168"/>
      <c r="POU97" s="167"/>
      <c r="POV97" s="168"/>
      <c r="POW97" s="167"/>
      <c r="POX97" s="168"/>
      <c r="POY97" s="167"/>
      <c r="POZ97" s="168"/>
      <c r="PPA97" s="167"/>
      <c r="PPB97" s="168"/>
      <c r="PPC97" s="167"/>
      <c r="PPD97" s="168"/>
      <c r="PPE97" s="167"/>
      <c r="PPF97" s="168"/>
      <c r="PPG97" s="167"/>
      <c r="PPH97" s="168"/>
      <c r="PPI97" s="167"/>
      <c r="PPJ97" s="168"/>
      <c r="PPK97" s="167"/>
      <c r="PPL97" s="168"/>
      <c r="PPM97" s="167"/>
      <c r="PPN97" s="168"/>
      <c r="PPO97" s="167"/>
      <c r="PPP97" s="168"/>
      <c r="PPQ97" s="167"/>
      <c r="PPR97" s="168"/>
      <c r="PPS97" s="167"/>
      <c r="PPT97" s="168"/>
      <c r="PPU97" s="167"/>
      <c r="PPV97" s="168"/>
      <c r="PPW97" s="167"/>
      <c r="PPX97" s="168"/>
      <c r="PPY97" s="167"/>
      <c r="PPZ97" s="168"/>
      <c r="PQA97" s="167"/>
      <c r="PQB97" s="168"/>
      <c r="PQC97" s="167"/>
      <c r="PQD97" s="168"/>
      <c r="PQE97" s="167"/>
      <c r="PQF97" s="168"/>
      <c r="PQG97" s="167"/>
      <c r="PQH97" s="168"/>
      <c r="PQI97" s="167"/>
      <c r="PQJ97" s="168"/>
      <c r="PQK97" s="167"/>
      <c r="PQL97" s="168"/>
      <c r="PQM97" s="167"/>
      <c r="PQN97" s="168"/>
      <c r="PQO97" s="167"/>
      <c r="PQP97" s="168"/>
      <c r="PQQ97" s="167"/>
      <c r="PQR97" s="168"/>
      <c r="PQS97" s="167"/>
      <c r="PQT97" s="168"/>
      <c r="PQU97" s="167"/>
      <c r="PQV97" s="168"/>
      <c r="PQW97" s="167"/>
      <c r="PQX97" s="168"/>
      <c r="PQY97" s="167"/>
      <c r="PQZ97" s="168"/>
      <c r="PRA97" s="167"/>
      <c r="PRB97" s="168"/>
      <c r="PRC97" s="167"/>
      <c r="PRD97" s="168"/>
      <c r="PRE97" s="167"/>
      <c r="PRF97" s="168"/>
      <c r="PRG97" s="167"/>
      <c r="PRH97" s="168"/>
      <c r="PRI97" s="167"/>
      <c r="PRJ97" s="168"/>
      <c r="PRK97" s="167"/>
      <c r="PRL97" s="168"/>
      <c r="PRM97" s="167"/>
      <c r="PRN97" s="168"/>
      <c r="PRO97" s="167"/>
      <c r="PRP97" s="168"/>
      <c r="PRQ97" s="167"/>
      <c r="PRR97" s="168"/>
      <c r="PRS97" s="167"/>
      <c r="PRT97" s="168"/>
      <c r="PRU97" s="167"/>
      <c r="PRV97" s="168"/>
      <c r="PRW97" s="167"/>
      <c r="PRX97" s="168"/>
      <c r="PRY97" s="167"/>
      <c r="PRZ97" s="168"/>
      <c r="PSA97" s="167"/>
      <c r="PSB97" s="168"/>
      <c r="PSC97" s="167"/>
      <c r="PSD97" s="168"/>
      <c r="PSE97" s="167"/>
      <c r="PSF97" s="168"/>
      <c r="PSG97" s="167"/>
      <c r="PSH97" s="168"/>
      <c r="PSI97" s="167"/>
      <c r="PSJ97" s="168"/>
      <c r="PSK97" s="167"/>
      <c r="PSL97" s="168"/>
      <c r="PSM97" s="167"/>
      <c r="PSN97" s="168"/>
      <c r="PSO97" s="167"/>
      <c r="PSP97" s="168"/>
      <c r="PSQ97" s="167"/>
      <c r="PSR97" s="168"/>
      <c r="PSS97" s="167"/>
      <c r="PST97" s="168"/>
      <c r="PSU97" s="167"/>
      <c r="PSV97" s="168"/>
      <c r="PSW97" s="167"/>
      <c r="PSX97" s="168"/>
      <c r="PSY97" s="167"/>
      <c r="PSZ97" s="168"/>
      <c r="PTA97" s="167"/>
      <c r="PTB97" s="168"/>
      <c r="PTC97" s="167"/>
      <c r="PTD97" s="168"/>
      <c r="PTE97" s="167"/>
      <c r="PTF97" s="168"/>
      <c r="PTG97" s="167"/>
      <c r="PTH97" s="168"/>
      <c r="PTI97" s="167"/>
      <c r="PTJ97" s="168"/>
      <c r="PTK97" s="167"/>
      <c r="PTL97" s="168"/>
      <c r="PTM97" s="167"/>
      <c r="PTN97" s="168"/>
      <c r="PTO97" s="167"/>
      <c r="PTP97" s="168"/>
      <c r="PTQ97" s="167"/>
      <c r="PTR97" s="168"/>
      <c r="PTS97" s="167"/>
      <c r="PTT97" s="168"/>
      <c r="PTU97" s="167"/>
      <c r="PTV97" s="168"/>
      <c r="PTW97" s="167"/>
      <c r="PTX97" s="168"/>
      <c r="PTY97" s="167"/>
      <c r="PTZ97" s="168"/>
      <c r="PUA97" s="167"/>
      <c r="PUB97" s="168"/>
      <c r="PUC97" s="167"/>
      <c r="PUD97" s="168"/>
      <c r="PUE97" s="167"/>
      <c r="PUF97" s="168"/>
      <c r="PUG97" s="167"/>
      <c r="PUH97" s="168"/>
      <c r="PUI97" s="167"/>
      <c r="PUJ97" s="168"/>
      <c r="PUK97" s="167"/>
      <c r="PUL97" s="168"/>
      <c r="PUM97" s="167"/>
      <c r="PUN97" s="168"/>
      <c r="PUO97" s="167"/>
      <c r="PUP97" s="168"/>
      <c r="PUQ97" s="167"/>
      <c r="PUR97" s="168"/>
      <c r="PUS97" s="167"/>
      <c r="PUT97" s="168"/>
      <c r="PUU97" s="167"/>
      <c r="PUV97" s="168"/>
      <c r="PUW97" s="167"/>
      <c r="PUX97" s="168"/>
      <c r="PUY97" s="167"/>
      <c r="PUZ97" s="168"/>
      <c r="PVA97" s="167"/>
      <c r="PVB97" s="168"/>
      <c r="PVC97" s="167"/>
      <c r="PVD97" s="168"/>
      <c r="PVE97" s="167"/>
      <c r="PVF97" s="168"/>
      <c r="PVG97" s="167"/>
      <c r="PVH97" s="168"/>
      <c r="PVI97" s="167"/>
      <c r="PVJ97" s="168"/>
      <c r="PVK97" s="167"/>
      <c r="PVL97" s="168"/>
      <c r="PVM97" s="167"/>
      <c r="PVN97" s="168"/>
      <c r="PVO97" s="167"/>
      <c r="PVP97" s="168"/>
      <c r="PVQ97" s="167"/>
      <c r="PVR97" s="168"/>
      <c r="PVS97" s="167"/>
      <c r="PVT97" s="168"/>
      <c r="PVU97" s="167"/>
      <c r="PVV97" s="168"/>
      <c r="PVW97" s="167"/>
      <c r="PVX97" s="168"/>
      <c r="PVY97" s="167"/>
      <c r="PVZ97" s="168"/>
      <c r="PWA97" s="167"/>
      <c r="PWB97" s="168"/>
      <c r="PWC97" s="167"/>
      <c r="PWD97" s="168"/>
      <c r="PWE97" s="167"/>
      <c r="PWF97" s="168"/>
      <c r="PWG97" s="167"/>
      <c r="PWH97" s="168"/>
      <c r="PWI97" s="167"/>
      <c r="PWJ97" s="168"/>
      <c r="PWK97" s="167"/>
      <c r="PWL97" s="168"/>
      <c r="PWM97" s="167"/>
      <c r="PWN97" s="168"/>
      <c r="PWO97" s="167"/>
      <c r="PWP97" s="168"/>
      <c r="PWQ97" s="167"/>
      <c r="PWR97" s="168"/>
      <c r="PWS97" s="167"/>
      <c r="PWT97" s="168"/>
      <c r="PWU97" s="167"/>
      <c r="PWV97" s="168"/>
      <c r="PWW97" s="167"/>
      <c r="PWX97" s="168"/>
      <c r="PWY97" s="167"/>
      <c r="PWZ97" s="168"/>
      <c r="PXA97" s="167"/>
      <c r="PXB97" s="168"/>
      <c r="PXC97" s="167"/>
      <c r="PXD97" s="168"/>
      <c r="PXE97" s="167"/>
      <c r="PXF97" s="168"/>
      <c r="PXG97" s="167"/>
      <c r="PXH97" s="168"/>
      <c r="PXI97" s="167"/>
      <c r="PXJ97" s="168"/>
      <c r="PXK97" s="167"/>
      <c r="PXL97" s="168"/>
      <c r="PXM97" s="167"/>
      <c r="PXN97" s="168"/>
      <c r="PXO97" s="167"/>
      <c r="PXP97" s="168"/>
      <c r="PXQ97" s="167"/>
      <c r="PXR97" s="168"/>
      <c r="PXS97" s="167"/>
      <c r="PXT97" s="168"/>
      <c r="PXU97" s="167"/>
      <c r="PXV97" s="168"/>
      <c r="PXW97" s="167"/>
      <c r="PXX97" s="168"/>
      <c r="PXY97" s="167"/>
      <c r="PXZ97" s="168"/>
      <c r="PYA97" s="167"/>
      <c r="PYB97" s="168"/>
      <c r="PYC97" s="167"/>
      <c r="PYD97" s="168"/>
      <c r="PYE97" s="167"/>
      <c r="PYF97" s="168"/>
      <c r="PYG97" s="167"/>
      <c r="PYH97" s="168"/>
      <c r="PYI97" s="167"/>
      <c r="PYJ97" s="168"/>
      <c r="PYK97" s="167"/>
      <c r="PYL97" s="168"/>
      <c r="PYM97" s="167"/>
      <c r="PYN97" s="168"/>
      <c r="PYO97" s="167"/>
      <c r="PYP97" s="168"/>
      <c r="PYQ97" s="167"/>
      <c r="PYR97" s="168"/>
      <c r="PYS97" s="167"/>
      <c r="PYT97" s="168"/>
      <c r="PYU97" s="167"/>
      <c r="PYV97" s="168"/>
      <c r="PYW97" s="167"/>
      <c r="PYX97" s="168"/>
      <c r="PYY97" s="167"/>
      <c r="PYZ97" s="168"/>
      <c r="PZA97" s="167"/>
      <c r="PZB97" s="168"/>
      <c r="PZC97" s="167"/>
      <c r="PZD97" s="168"/>
      <c r="PZE97" s="167"/>
      <c r="PZF97" s="168"/>
      <c r="PZG97" s="167"/>
      <c r="PZH97" s="168"/>
      <c r="PZI97" s="167"/>
      <c r="PZJ97" s="168"/>
      <c r="PZK97" s="167"/>
      <c r="PZL97" s="168"/>
      <c r="PZM97" s="167"/>
      <c r="PZN97" s="168"/>
      <c r="PZO97" s="167"/>
      <c r="PZP97" s="168"/>
      <c r="PZQ97" s="167"/>
      <c r="PZR97" s="168"/>
      <c r="PZS97" s="167"/>
      <c r="PZT97" s="168"/>
      <c r="PZU97" s="167"/>
      <c r="PZV97" s="168"/>
      <c r="PZW97" s="167"/>
      <c r="PZX97" s="168"/>
      <c r="PZY97" s="167"/>
      <c r="PZZ97" s="168"/>
      <c r="QAA97" s="167"/>
      <c r="QAB97" s="168"/>
      <c r="QAC97" s="167"/>
      <c r="QAD97" s="168"/>
      <c r="QAE97" s="167"/>
      <c r="QAF97" s="168"/>
      <c r="QAG97" s="167"/>
      <c r="QAH97" s="168"/>
      <c r="QAI97" s="167"/>
      <c r="QAJ97" s="168"/>
      <c r="QAK97" s="167"/>
      <c r="QAL97" s="168"/>
      <c r="QAM97" s="167"/>
      <c r="QAN97" s="168"/>
      <c r="QAO97" s="167"/>
      <c r="QAP97" s="168"/>
      <c r="QAQ97" s="167"/>
      <c r="QAR97" s="168"/>
      <c r="QAS97" s="167"/>
      <c r="QAT97" s="168"/>
      <c r="QAU97" s="167"/>
      <c r="QAV97" s="168"/>
      <c r="QAW97" s="167"/>
      <c r="QAX97" s="168"/>
      <c r="QAY97" s="167"/>
      <c r="QAZ97" s="168"/>
      <c r="QBA97" s="167"/>
      <c r="QBB97" s="168"/>
      <c r="QBC97" s="167"/>
      <c r="QBD97" s="168"/>
      <c r="QBE97" s="167"/>
      <c r="QBF97" s="168"/>
      <c r="QBG97" s="167"/>
      <c r="QBH97" s="168"/>
      <c r="QBI97" s="167"/>
      <c r="QBJ97" s="168"/>
      <c r="QBK97" s="167"/>
      <c r="QBL97" s="168"/>
      <c r="QBM97" s="167"/>
      <c r="QBN97" s="168"/>
      <c r="QBO97" s="167"/>
      <c r="QBP97" s="168"/>
      <c r="QBQ97" s="167"/>
      <c r="QBR97" s="168"/>
      <c r="QBS97" s="167"/>
      <c r="QBT97" s="168"/>
      <c r="QBU97" s="167"/>
      <c r="QBV97" s="168"/>
      <c r="QBW97" s="167"/>
      <c r="QBX97" s="168"/>
      <c r="QBY97" s="167"/>
      <c r="QBZ97" s="168"/>
      <c r="QCA97" s="167"/>
      <c r="QCB97" s="168"/>
      <c r="QCC97" s="167"/>
      <c r="QCD97" s="168"/>
      <c r="QCE97" s="167"/>
      <c r="QCF97" s="168"/>
      <c r="QCG97" s="167"/>
      <c r="QCH97" s="168"/>
      <c r="QCI97" s="167"/>
      <c r="QCJ97" s="168"/>
      <c r="QCK97" s="167"/>
      <c r="QCL97" s="168"/>
      <c r="QCM97" s="167"/>
      <c r="QCN97" s="168"/>
      <c r="QCO97" s="167"/>
      <c r="QCP97" s="168"/>
      <c r="QCQ97" s="167"/>
      <c r="QCR97" s="168"/>
      <c r="QCS97" s="167"/>
      <c r="QCT97" s="168"/>
      <c r="QCU97" s="167"/>
      <c r="QCV97" s="168"/>
      <c r="QCW97" s="167"/>
      <c r="QCX97" s="168"/>
      <c r="QCY97" s="167"/>
      <c r="QCZ97" s="168"/>
      <c r="QDA97" s="167"/>
      <c r="QDB97" s="168"/>
      <c r="QDC97" s="167"/>
      <c r="QDD97" s="168"/>
      <c r="QDE97" s="167"/>
      <c r="QDF97" s="168"/>
      <c r="QDG97" s="167"/>
      <c r="QDH97" s="168"/>
      <c r="QDI97" s="167"/>
      <c r="QDJ97" s="168"/>
      <c r="QDK97" s="167"/>
      <c r="QDL97" s="168"/>
      <c r="QDM97" s="167"/>
      <c r="QDN97" s="168"/>
      <c r="QDO97" s="167"/>
      <c r="QDP97" s="168"/>
      <c r="QDQ97" s="167"/>
      <c r="QDR97" s="168"/>
      <c r="QDS97" s="167"/>
      <c r="QDT97" s="168"/>
      <c r="QDU97" s="167"/>
      <c r="QDV97" s="168"/>
      <c r="QDW97" s="167"/>
      <c r="QDX97" s="168"/>
      <c r="QDY97" s="167"/>
      <c r="QDZ97" s="168"/>
      <c r="QEA97" s="167"/>
      <c r="QEB97" s="168"/>
      <c r="QEC97" s="167"/>
      <c r="QED97" s="168"/>
      <c r="QEE97" s="167"/>
      <c r="QEF97" s="168"/>
      <c r="QEG97" s="167"/>
      <c r="QEH97" s="168"/>
      <c r="QEI97" s="167"/>
      <c r="QEJ97" s="168"/>
      <c r="QEK97" s="167"/>
      <c r="QEL97" s="168"/>
      <c r="QEM97" s="167"/>
      <c r="QEN97" s="168"/>
      <c r="QEO97" s="167"/>
      <c r="QEP97" s="168"/>
      <c r="QEQ97" s="167"/>
      <c r="QER97" s="168"/>
      <c r="QES97" s="167"/>
      <c r="QET97" s="168"/>
      <c r="QEU97" s="167"/>
      <c r="QEV97" s="168"/>
      <c r="QEW97" s="167"/>
      <c r="QEX97" s="168"/>
      <c r="QEY97" s="167"/>
      <c r="QEZ97" s="168"/>
      <c r="QFA97" s="167"/>
      <c r="QFB97" s="168"/>
      <c r="QFC97" s="167"/>
      <c r="QFD97" s="168"/>
      <c r="QFE97" s="167"/>
      <c r="QFF97" s="168"/>
      <c r="QFG97" s="167"/>
      <c r="QFH97" s="168"/>
      <c r="QFI97" s="167"/>
      <c r="QFJ97" s="168"/>
      <c r="QFK97" s="167"/>
      <c r="QFL97" s="168"/>
      <c r="QFM97" s="167"/>
      <c r="QFN97" s="168"/>
      <c r="QFO97" s="167"/>
      <c r="QFP97" s="168"/>
      <c r="QFQ97" s="167"/>
      <c r="QFR97" s="168"/>
      <c r="QFS97" s="167"/>
      <c r="QFT97" s="168"/>
      <c r="QFU97" s="167"/>
      <c r="QFV97" s="168"/>
      <c r="QFW97" s="167"/>
      <c r="QFX97" s="168"/>
      <c r="QFY97" s="167"/>
      <c r="QFZ97" s="168"/>
      <c r="QGA97" s="167"/>
      <c r="QGB97" s="168"/>
      <c r="QGC97" s="167"/>
      <c r="QGD97" s="168"/>
      <c r="QGE97" s="167"/>
      <c r="QGF97" s="168"/>
      <c r="QGG97" s="167"/>
      <c r="QGH97" s="168"/>
      <c r="QGI97" s="167"/>
      <c r="QGJ97" s="168"/>
      <c r="QGK97" s="167"/>
      <c r="QGL97" s="168"/>
      <c r="QGM97" s="167"/>
      <c r="QGN97" s="168"/>
      <c r="QGO97" s="167"/>
      <c r="QGP97" s="168"/>
      <c r="QGQ97" s="167"/>
      <c r="QGR97" s="168"/>
      <c r="QGS97" s="167"/>
      <c r="QGT97" s="168"/>
      <c r="QGU97" s="167"/>
      <c r="QGV97" s="168"/>
      <c r="QGW97" s="167"/>
      <c r="QGX97" s="168"/>
      <c r="QGY97" s="167"/>
      <c r="QGZ97" s="168"/>
      <c r="QHA97" s="167"/>
      <c r="QHB97" s="168"/>
      <c r="QHC97" s="167"/>
      <c r="QHD97" s="168"/>
      <c r="QHE97" s="167"/>
      <c r="QHF97" s="168"/>
      <c r="QHG97" s="167"/>
      <c r="QHH97" s="168"/>
      <c r="QHI97" s="167"/>
      <c r="QHJ97" s="168"/>
      <c r="QHK97" s="167"/>
      <c r="QHL97" s="168"/>
      <c r="QHM97" s="167"/>
      <c r="QHN97" s="168"/>
      <c r="QHO97" s="167"/>
      <c r="QHP97" s="168"/>
      <c r="QHQ97" s="167"/>
      <c r="QHR97" s="168"/>
      <c r="QHS97" s="167"/>
      <c r="QHT97" s="168"/>
      <c r="QHU97" s="167"/>
      <c r="QHV97" s="168"/>
      <c r="QHW97" s="167"/>
      <c r="QHX97" s="168"/>
      <c r="QHY97" s="167"/>
      <c r="QHZ97" s="168"/>
      <c r="QIA97" s="167"/>
      <c r="QIB97" s="168"/>
      <c r="QIC97" s="167"/>
      <c r="QID97" s="168"/>
      <c r="QIE97" s="167"/>
      <c r="QIF97" s="168"/>
      <c r="QIG97" s="167"/>
      <c r="QIH97" s="168"/>
      <c r="QII97" s="167"/>
      <c r="QIJ97" s="168"/>
      <c r="QIK97" s="167"/>
      <c r="QIL97" s="168"/>
      <c r="QIM97" s="167"/>
      <c r="QIN97" s="168"/>
      <c r="QIO97" s="167"/>
      <c r="QIP97" s="168"/>
      <c r="QIQ97" s="167"/>
      <c r="QIR97" s="168"/>
      <c r="QIS97" s="167"/>
      <c r="QIT97" s="168"/>
      <c r="QIU97" s="167"/>
      <c r="QIV97" s="168"/>
      <c r="QIW97" s="167"/>
      <c r="QIX97" s="168"/>
      <c r="QIY97" s="167"/>
      <c r="QIZ97" s="168"/>
      <c r="QJA97" s="167"/>
      <c r="QJB97" s="168"/>
      <c r="QJC97" s="167"/>
      <c r="QJD97" s="168"/>
      <c r="QJE97" s="167"/>
      <c r="QJF97" s="168"/>
      <c r="QJG97" s="167"/>
      <c r="QJH97" s="168"/>
      <c r="QJI97" s="167"/>
      <c r="QJJ97" s="168"/>
      <c r="QJK97" s="167"/>
      <c r="QJL97" s="168"/>
      <c r="QJM97" s="167"/>
      <c r="QJN97" s="168"/>
      <c r="QJO97" s="167"/>
      <c r="QJP97" s="168"/>
      <c r="QJQ97" s="167"/>
      <c r="QJR97" s="168"/>
      <c r="QJS97" s="167"/>
      <c r="QJT97" s="168"/>
      <c r="QJU97" s="167"/>
      <c r="QJV97" s="168"/>
      <c r="QJW97" s="167"/>
      <c r="QJX97" s="168"/>
      <c r="QJY97" s="167"/>
      <c r="QJZ97" s="168"/>
      <c r="QKA97" s="167"/>
      <c r="QKB97" s="168"/>
      <c r="QKC97" s="167"/>
      <c r="QKD97" s="168"/>
      <c r="QKE97" s="167"/>
      <c r="QKF97" s="168"/>
      <c r="QKG97" s="167"/>
      <c r="QKH97" s="168"/>
      <c r="QKI97" s="167"/>
      <c r="QKJ97" s="168"/>
      <c r="QKK97" s="167"/>
      <c r="QKL97" s="168"/>
      <c r="QKM97" s="167"/>
      <c r="QKN97" s="168"/>
      <c r="QKO97" s="167"/>
      <c r="QKP97" s="168"/>
      <c r="QKQ97" s="167"/>
      <c r="QKR97" s="168"/>
      <c r="QKS97" s="167"/>
      <c r="QKT97" s="168"/>
      <c r="QKU97" s="167"/>
      <c r="QKV97" s="168"/>
      <c r="QKW97" s="167"/>
      <c r="QKX97" s="168"/>
      <c r="QKY97" s="167"/>
      <c r="QKZ97" s="168"/>
      <c r="QLA97" s="167"/>
      <c r="QLB97" s="168"/>
      <c r="QLC97" s="167"/>
      <c r="QLD97" s="168"/>
      <c r="QLE97" s="167"/>
      <c r="QLF97" s="168"/>
      <c r="QLG97" s="167"/>
      <c r="QLH97" s="168"/>
      <c r="QLI97" s="167"/>
      <c r="QLJ97" s="168"/>
      <c r="QLK97" s="167"/>
      <c r="QLL97" s="168"/>
      <c r="QLM97" s="167"/>
      <c r="QLN97" s="168"/>
      <c r="QLO97" s="167"/>
      <c r="QLP97" s="168"/>
      <c r="QLQ97" s="167"/>
      <c r="QLR97" s="168"/>
      <c r="QLS97" s="167"/>
      <c r="QLT97" s="168"/>
      <c r="QLU97" s="167"/>
      <c r="QLV97" s="168"/>
      <c r="QLW97" s="167"/>
      <c r="QLX97" s="168"/>
      <c r="QLY97" s="167"/>
      <c r="QLZ97" s="168"/>
      <c r="QMA97" s="167"/>
      <c r="QMB97" s="168"/>
      <c r="QMC97" s="167"/>
      <c r="QMD97" s="168"/>
      <c r="QME97" s="167"/>
      <c r="QMF97" s="168"/>
      <c r="QMG97" s="167"/>
      <c r="QMH97" s="168"/>
      <c r="QMI97" s="167"/>
      <c r="QMJ97" s="168"/>
      <c r="QMK97" s="167"/>
      <c r="QML97" s="168"/>
      <c r="QMM97" s="167"/>
      <c r="QMN97" s="168"/>
      <c r="QMO97" s="167"/>
      <c r="QMP97" s="168"/>
      <c r="QMQ97" s="167"/>
      <c r="QMR97" s="168"/>
      <c r="QMS97" s="167"/>
      <c r="QMT97" s="168"/>
      <c r="QMU97" s="167"/>
      <c r="QMV97" s="168"/>
      <c r="QMW97" s="167"/>
      <c r="QMX97" s="168"/>
      <c r="QMY97" s="167"/>
      <c r="QMZ97" s="168"/>
      <c r="QNA97" s="167"/>
      <c r="QNB97" s="168"/>
      <c r="QNC97" s="167"/>
      <c r="QND97" s="168"/>
      <c r="QNE97" s="167"/>
      <c r="QNF97" s="168"/>
      <c r="QNG97" s="167"/>
      <c r="QNH97" s="168"/>
      <c r="QNI97" s="167"/>
      <c r="QNJ97" s="168"/>
      <c r="QNK97" s="167"/>
      <c r="QNL97" s="168"/>
      <c r="QNM97" s="167"/>
      <c r="QNN97" s="168"/>
      <c r="QNO97" s="167"/>
      <c r="QNP97" s="168"/>
      <c r="QNQ97" s="167"/>
      <c r="QNR97" s="168"/>
      <c r="QNS97" s="167"/>
      <c r="QNT97" s="168"/>
      <c r="QNU97" s="167"/>
      <c r="QNV97" s="168"/>
      <c r="QNW97" s="167"/>
      <c r="QNX97" s="168"/>
      <c r="QNY97" s="167"/>
      <c r="QNZ97" s="168"/>
      <c r="QOA97" s="167"/>
      <c r="QOB97" s="168"/>
      <c r="QOC97" s="167"/>
      <c r="QOD97" s="168"/>
      <c r="QOE97" s="167"/>
      <c r="QOF97" s="168"/>
      <c r="QOG97" s="167"/>
      <c r="QOH97" s="168"/>
      <c r="QOI97" s="167"/>
      <c r="QOJ97" s="168"/>
      <c r="QOK97" s="167"/>
      <c r="QOL97" s="168"/>
      <c r="QOM97" s="167"/>
      <c r="QON97" s="168"/>
      <c r="QOO97" s="167"/>
      <c r="QOP97" s="168"/>
      <c r="QOQ97" s="167"/>
      <c r="QOR97" s="168"/>
      <c r="QOS97" s="167"/>
      <c r="QOT97" s="168"/>
      <c r="QOU97" s="167"/>
      <c r="QOV97" s="168"/>
      <c r="QOW97" s="167"/>
      <c r="QOX97" s="168"/>
      <c r="QOY97" s="167"/>
      <c r="QOZ97" s="168"/>
      <c r="QPA97" s="167"/>
      <c r="QPB97" s="168"/>
      <c r="QPC97" s="167"/>
      <c r="QPD97" s="168"/>
      <c r="QPE97" s="167"/>
      <c r="QPF97" s="168"/>
      <c r="QPG97" s="167"/>
      <c r="QPH97" s="168"/>
      <c r="QPI97" s="167"/>
      <c r="QPJ97" s="168"/>
      <c r="QPK97" s="167"/>
      <c r="QPL97" s="168"/>
      <c r="QPM97" s="167"/>
      <c r="QPN97" s="168"/>
      <c r="QPO97" s="167"/>
      <c r="QPP97" s="168"/>
      <c r="QPQ97" s="167"/>
      <c r="QPR97" s="168"/>
      <c r="QPS97" s="167"/>
      <c r="QPT97" s="168"/>
      <c r="QPU97" s="167"/>
      <c r="QPV97" s="168"/>
      <c r="QPW97" s="167"/>
      <c r="QPX97" s="168"/>
      <c r="QPY97" s="167"/>
      <c r="QPZ97" s="168"/>
      <c r="QQA97" s="167"/>
      <c r="QQB97" s="168"/>
      <c r="QQC97" s="167"/>
      <c r="QQD97" s="168"/>
      <c r="QQE97" s="167"/>
      <c r="QQF97" s="168"/>
      <c r="QQG97" s="167"/>
      <c r="QQH97" s="168"/>
      <c r="QQI97" s="167"/>
      <c r="QQJ97" s="168"/>
      <c r="QQK97" s="167"/>
      <c r="QQL97" s="168"/>
      <c r="QQM97" s="167"/>
      <c r="QQN97" s="168"/>
      <c r="QQO97" s="167"/>
      <c r="QQP97" s="168"/>
      <c r="QQQ97" s="167"/>
      <c r="QQR97" s="168"/>
      <c r="QQS97" s="167"/>
      <c r="QQT97" s="168"/>
      <c r="QQU97" s="167"/>
      <c r="QQV97" s="168"/>
      <c r="QQW97" s="167"/>
      <c r="QQX97" s="168"/>
      <c r="QQY97" s="167"/>
      <c r="QQZ97" s="168"/>
      <c r="QRA97" s="167"/>
      <c r="QRB97" s="168"/>
      <c r="QRC97" s="167"/>
      <c r="QRD97" s="168"/>
      <c r="QRE97" s="167"/>
      <c r="QRF97" s="168"/>
      <c r="QRG97" s="167"/>
      <c r="QRH97" s="168"/>
      <c r="QRI97" s="167"/>
      <c r="QRJ97" s="168"/>
      <c r="QRK97" s="167"/>
      <c r="QRL97" s="168"/>
      <c r="QRM97" s="167"/>
      <c r="QRN97" s="168"/>
      <c r="QRO97" s="167"/>
      <c r="QRP97" s="168"/>
      <c r="QRQ97" s="167"/>
      <c r="QRR97" s="168"/>
      <c r="QRS97" s="167"/>
      <c r="QRT97" s="168"/>
      <c r="QRU97" s="167"/>
      <c r="QRV97" s="168"/>
      <c r="QRW97" s="167"/>
      <c r="QRX97" s="168"/>
      <c r="QRY97" s="167"/>
      <c r="QRZ97" s="168"/>
      <c r="QSA97" s="167"/>
      <c r="QSB97" s="168"/>
      <c r="QSC97" s="167"/>
      <c r="QSD97" s="168"/>
      <c r="QSE97" s="167"/>
      <c r="QSF97" s="168"/>
      <c r="QSG97" s="167"/>
      <c r="QSH97" s="168"/>
      <c r="QSI97" s="167"/>
      <c r="QSJ97" s="168"/>
      <c r="QSK97" s="167"/>
      <c r="QSL97" s="168"/>
      <c r="QSM97" s="167"/>
      <c r="QSN97" s="168"/>
      <c r="QSO97" s="167"/>
      <c r="QSP97" s="168"/>
      <c r="QSQ97" s="167"/>
      <c r="QSR97" s="168"/>
      <c r="QSS97" s="167"/>
      <c r="QST97" s="168"/>
      <c r="QSU97" s="167"/>
      <c r="QSV97" s="168"/>
      <c r="QSW97" s="167"/>
      <c r="QSX97" s="168"/>
      <c r="QSY97" s="167"/>
      <c r="QSZ97" s="168"/>
      <c r="QTA97" s="167"/>
      <c r="QTB97" s="168"/>
      <c r="QTC97" s="167"/>
      <c r="QTD97" s="168"/>
      <c r="QTE97" s="167"/>
      <c r="QTF97" s="168"/>
      <c r="QTG97" s="167"/>
      <c r="QTH97" s="168"/>
      <c r="QTI97" s="167"/>
      <c r="QTJ97" s="168"/>
      <c r="QTK97" s="167"/>
      <c r="QTL97" s="168"/>
      <c r="QTM97" s="167"/>
      <c r="QTN97" s="168"/>
      <c r="QTO97" s="167"/>
      <c r="QTP97" s="168"/>
      <c r="QTQ97" s="167"/>
      <c r="QTR97" s="168"/>
      <c r="QTS97" s="167"/>
      <c r="QTT97" s="168"/>
      <c r="QTU97" s="167"/>
      <c r="QTV97" s="168"/>
      <c r="QTW97" s="167"/>
      <c r="QTX97" s="168"/>
      <c r="QTY97" s="167"/>
      <c r="QTZ97" s="168"/>
      <c r="QUA97" s="167"/>
      <c r="QUB97" s="168"/>
      <c r="QUC97" s="167"/>
      <c r="QUD97" s="168"/>
      <c r="QUE97" s="167"/>
      <c r="QUF97" s="168"/>
      <c r="QUG97" s="167"/>
      <c r="QUH97" s="168"/>
      <c r="QUI97" s="167"/>
      <c r="QUJ97" s="168"/>
      <c r="QUK97" s="167"/>
      <c r="QUL97" s="168"/>
      <c r="QUM97" s="167"/>
      <c r="QUN97" s="168"/>
      <c r="QUO97" s="167"/>
      <c r="QUP97" s="168"/>
      <c r="QUQ97" s="167"/>
      <c r="QUR97" s="168"/>
      <c r="QUS97" s="167"/>
      <c r="QUT97" s="168"/>
      <c r="QUU97" s="167"/>
      <c r="QUV97" s="168"/>
      <c r="QUW97" s="167"/>
      <c r="QUX97" s="168"/>
      <c r="QUY97" s="167"/>
      <c r="QUZ97" s="168"/>
      <c r="QVA97" s="167"/>
      <c r="QVB97" s="168"/>
      <c r="QVC97" s="167"/>
      <c r="QVD97" s="168"/>
      <c r="QVE97" s="167"/>
      <c r="QVF97" s="168"/>
      <c r="QVG97" s="167"/>
      <c r="QVH97" s="168"/>
      <c r="QVI97" s="167"/>
      <c r="QVJ97" s="168"/>
      <c r="QVK97" s="167"/>
      <c r="QVL97" s="168"/>
      <c r="QVM97" s="167"/>
      <c r="QVN97" s="168"/>
      <c r="QVO97" s="167"/>
      <c r="QVP97" s="168"/>
      <c r="QVQ97" s="167"/>
      <c r="QVR97" s="168"/>
      <c r="QVS97" s="167"/>
      <c r="QVT97" s="168"/>
      <c r="QVU97" s="167"/>
      <c r="QVV97" s="168"/>
      <c r="QVW97" s="167"/>
      <c r="QVX97" s="168"/>
      <c r="QVY97" s="167"/>
      <c r="QVZ97" s="168"/>
      <c r="QWA97" s="167"/>
      <c r="QWB97" s="168"/>
      <c r="QWC97" s="167"/>
      <c r="QWD97" s="168"/>
      <c r="QWE97" s="167"/>
      <c r="QWF97" s="168"/>
      <c r="QWG97" s="167"/>
      <c r="QWH97" s="168"/>
      <c r="QWI97" s="167"/>
      <c r="QWJ97" s="168"/>
      <c r="QWK97" s="167"/>
      <c r="QWL97" s="168"/>
      <c r="QWM97" s="167"/>
      <c r="QWN97" s="168"/>
      <c r="QWO97" s="167"/>
      <c r="QWP97" s="168"/>
      <c r="QWQ97" s="167"/>
      <c r="QWR97" s="168"/>
      <c r="QWS97" s="167"/>
      <c r="QWT97" s="168"/>
      <c r="QWU97" s="167"/>
      <c r="QWV97" s="168"/>
      <c r="QWW97" s="167"/>
      <c r="QWX97" s="168"/>
      <c r="QWY97" s="167"/>
      <c r="QWZ97" s="168"/>
      <c r="QXA97" s="167"/>
      <c r="QXB97" s="168"/>
      <c r="QXC97" s="167"/>
      <c r="QXD97" s="168"/>
      <c r="QXE97" s="167"/>
      <c r="QXF97" s="168"/>
      <c r="QXG97" s="167"/>
      <c r="QXH97" s="168"/>
      <c r="QXI97" s="167"/>
      <c r="QXJ97" s="168"/>
      <c r="QXK97" s="167"/>
      <c r="QXL97" s="168"/>
      <c r="QXM97" s="167"/>
      <c r="QXN97" s="168"/>
      <c r="QXO97" s="167"/>
      <c r="QXP97" s="168"/>
      <c r="QXQ97" s="167"/>
      <c r="QXR97" s="168"/>
      <c r="QXS97" s="167"/>
      <c r="QXT97" s="168"/>
      <c r="QXU97" s="167"/>
      <c r="QXV97" s="168"/>
      <c r="QXW97" s="167"/>
      <c r="QXX97" s="168"/>
      <c r="QXY97" s="167"/>
      <c r="QXZ97" s="168"/>
      <c r="QYA97" s="167"/>
      <c r="QYB97" s="168"/>
      <c r="QYC97" s="167"/>
      <c r="QYD97" s="168"/>
      <c r="QYE97" s="167"/>
      <c r="QYF97" s="168"/>
      <c r="QYG97" s="167"/>
      <c r="QYH97" s="168"/>
      <c r="QYI97" s="167"/>
      <c r="QYJ97" s="168"/>
      <c r="QYK97" s="167"/>
      <c r="QYL97" s="168"/>
      <c r="QYM97" s="167"/>
      <c r="QYN97" s="168"/>
      <c r="QYO97" s="167"/>
      <c r="QYP97" s="168"/>
      <c r="QYQ97" s="167"/>
      <c r="QYR97" s="168"/>
      <c r="QYS97" s="167"/>
      <c r="QYT97" s="168"/>
      <c r="QYU97" s="167"/>
      <c r="QYV97" s="168"/>
      <c r="QYW97" s="167"/>
      <c r="QYX97" s="168"/>
      <c r="QYY97" s="167"/>
      <c r="QYZ97" s="168"/>
      <c r="QZA97" s="167"/>
      <c r="QZB97" s="168"/>
      <c r="QZC97" s="167"/>
      <c r="QZD97" s="168"/>
      <c r="QZE97" s="167"/>
      <c r="QZF97" s="168"/>
      <c r="QZG97" s="167"/>
      <c r="QZH97" s="168"/>
      <c r="QZI97" s="167"/>
      <c r="QZJ97" s="168"/>
      <c r="QZK97" s="167"/>
      <c r="QZL97" s="168"/>
      <c r="QZM97" s="167"/>
      <c r="QZN97" s="168"/>
      <c r="QZO97" s="167"/>
      <c r="QZP97" s="168"/>
      <c r="QZQ97" s="167"/>
      <c r="QZR97" s="168"/>
      <c r="QZS97" s="167"/>
      <c r="QZT97" s="168"/>
      <c r="QZU97" s="167"/>
      <c r="QZV97" s="168"/>
      <c r="QZW97" s="167"/>
      <c r="QZX97" s="168"/>
      <c r="QZY97" s="167"/>
      <c r="QZZ97" s="168"/>
      <c r="RAA97" s="167"/>
      <c r="RAB97" s="168"/>
      <c r="RAC97" s="167"/>
      <c r="RAD97" s="168"/>
      <c r="RAE97" s="167"/>
      <c r="RAF97" s="168"/>
      <c r="RAG97" s="167"/>
      <c r="RAH97" s="168"/>
      <c r="RAI97" s="167"/>
      <c r="RAJ97" s="168"/>
      <c r="RAK97" s="167"/>
      <c r="RAL97" s="168"/>
      <c r="RAM97" s="167"/>
      <c r="RAN97" s="168"/>
      <c r="RAO97" s="167"/>
      <c r="RAP97" s="168"/>
      <c r="RAQ97" s="167"/>
      <c r="RAR97" s="168"/>
      <c r="RAS97" s="167"/>
      <c r="RAT97" s="168"/>
      <c r="RAU97" s="167"/>
      <c r="RAV97" s="168"/>
      <c r="RAW97" s="167"/>
      <c r="RAX97" s="168"/>
      <c r="RAY97" s="167"/>
      <c r="RAZ97" s="168"/>
      <c r="RBA97" s="167"/>
      <c r="RBB97" s="168"/>
      <c r="RBC97" s="167"/>
      <c r="RBD97" s="168"/>
      <c r="RBE97" s="167"/>
      <c r="RBF97" s="168"/>
      <c r="RBG97" s="167"/>
      <c r="RBH97" s="168"/>
      <c r="RBI97" s="167"/>
      <c r="RBJ97" s="168"/>
      <c r="RBK97" s="167"/>
      <c r="RBL97" s="168"/>
      <c r="RBM97" s="167"/>
      <c r="RBN97" s="168"/>
      <c r="RBO97" s="167"/>
      <c r="RBP97" s="168"/>
      <c r="RBQ97" s="167"/>
      <c r="RBR97" s="168"/>
      <c r="RBS97" s="167"/>
      <c r="RBT97" s="168"/>
      <c r="RBU97" s="167"/>
      <c r="RBV97" s="168"/>
      <c r="RBW97" s="167"/>
      <c r="RBX97" s="168"/>
      <c r="RBY97" s="167"/>
      <c r="RBZ97" s="168"/>
      <c r="RCA97" s="167"/>
      <c r="RCB97" s="168"/>
      <c r="RCC97" s="167"/>
      <c r="RCD97" s="168"/>
      <c r="RCE97" s="167"/>
      <c r="RCF97" s="168"/>
      <c r="RCG97" s="167"/>
      <c r="RCH97" s="168"/>
      <c r="RCI97" s="167"/>
      <c r="RCJ97" s="168"/>
      <c r="RCK97" s="167"/>
      <c r="RCL97" s="168"/>
      <c r="RCM97" s="167"/>
      <c r="RCN97" s="168"/>
      <c r="RCO97" s="167"/>
      <c r="RCP97" s="168"/>
      <c r="RCQ97" s="167"/>
      <c r="RCR97" s="168"/>
      <c r="RCS97" s="167"/>
      <c r="RCT97" s="168"/>
      <c r="RCU97" s="167"/>
      <c r="RCV97" s="168"/>
      <c r="RCW97" s="167"/>
      <c r="RCX97" s="168"/>
      <c r="RCY97" s="167"/>
      <c r="RCZ97" s="168"/>
      <c r="RDA97" s="167"/>
      <c r="RDB97" s="168"/>
      <c r="RDC97" s="167"/>
      <c r="RDD97" s="168"/>
      <c r="RDE97" s="167"/>
      <c r="RDF97" s="168"/>
      <c r="RDG97" s="167"/>
      <c r="RDH97" s="168"/>
      <c r="RDI97" s="167"/>
      <c r="RDJ97" s="168"/>
      <c r="RDK97" s="167"/>
      <c r="RDL97" s="168"/>
      <c r="RDM97" s="167"/>
      <c r="RDN97" s="168"/>
      <c r="RDO97" s="167"/>
      <c r="RDP97" s="168"/>
      <c r="RDQ97" s="167"/>
      <c r="RDR97" s="168"/>
      <c r="RDS97" s="167"/>
      <c r="RDT97" s="168"/>
      <c r="RDU97" s="167"/>
      <c r="RDV97" s="168"/>
      <c r="RDW97" s="167"/>
      <c r="RDX97" s="168"/>
      <c r="RDY97" s="167"/>
      <c r="RDZ97" s="168"/>
      <c r="REA97" s="167"/>
      <c r="REB97" s="168"/>
      <c r="REC97" s="167"/>
      <c r="RED97" s="168"/>
      <c r="REE97" s="167"/>
      <c r="REF97" s="168"/>
      <c r="REG97" s="167"/>
      <c r="REH97" s="168"/>
      <c r="REI97" s="167"/>
      <c r="REJ97" s="168"/>
      <c r="REK97" s="167"/>
      <c r="REL97" s="168"/>
      <c r="REM97" s="167"/>
      <c r="REN97" s="168"/>
      <c r="REO97" s="167"/>
      <c r="REP97" s="168"/>
      <c r="REQ97" s="167"/>
      <c r="RER97" s="168"/>
      <c r="RES97" s="167"/>
      <c r="RET97" s="168"/>
      <c r="REU97" s="167"/>
      <c r="REV97" s="168"/>
      <c r="REW97" s="167"/>
      <c r="REX97" s="168"/>
      <c r="REY97" s="167"/>
      <c r="REZ97" s="168"/>
      <c r="RFA97" s="167"/>
      <c r="RFB97" s="168"/>
      <c r="RFC97" s="167"/>
      <c r="RFD97" s="168"/>
      <c r="RFE97" s="167"/>
      <c r="RFF97" s="168"/>
      <c r="RFG97" s="167"/>
      <c r="RFH97" s="168"/>
      <c r="RFI97" s="167"/>
      <c r="RFJ97" s="168"/>
      <c r="RFK97" s="167"/>
      <c r="RFL97" s="168"/>
      <c r="RFM97" s="167"/>
      <c r="RFN97" s="168"/>
      <c r="RFO97" s="167"/>
      <c r="RFP97" s="168"/>
      <c r="RFQ97" s="167"/>
      <c r="RFR97" s="168"/>
      <c r="RFS97" s="167"/>
      <c r="RFT97" s="168"/>
      <c r="RFU97" s="167"/>
      <c r="RFV97" s="168"/>
      <c r="RFW97" s="167"/>
      <c r="RFX97" s="168"/>
      <c r="RFY97" s="167"/>
      <c r="RFZ97" s="168"/>
      <c r="RGA97" s="167"/>
      <c r="RGB97" s="168"/>
      <c r="RGC97" s="167"/>
      <c r="RGD97" s="168"/>
      <c r="RGE97" s="167"/>
      <c r="RGF97" s="168"/>
      <c r="RGG97" s="167"/>
      <c r="RGH97" s="168"/>
      <c r="RGI97" s="167"/>
      <c r="RGJ97" s="168"/>
      <c r="RGK97" s="167"/>
      <c r="RGL97" s="168"/>
      <c r="RGM97" s="167"/>
      <c r="RGN97" s="168"/>
      <c r="RGO97" s="167"/>
      <c r="RGP97" s="168"/>
      <c r="RGQ97" s="167"/>
      <c r="RGR97" s="168"/>
      <c r="RGS97" s="167"/>
      <c r="RGT97" s="168"/>
      <c r="RGU97" s="167"/>
      <c r="RGV97" s="168"/>
      <c r="RGW97" s="167"/>
      <c r="RGX97" s="168"/>
      <c r="RGY97" s="167"/>
      <c r="RGZ97" s="168"/>
      <c r="RHA97" s="167"/>
      <c r="RHB97" s="168"/>
      <c r="RHC97" s="167"/>
      <c r="RHD97" s="168"/>
      <c r="RHE97" s="167"/>
      <c r="RHF97" s="168"/>
      <c r="RHG97" s="167"/>
      <c r="RHH97" s="168"/>
      <c r="RHI97" s="167"/>
      <c r="RHJ97" s="168"/>
      <c r="RHK97" s="167"/>
      <c r="RHL97" s="168"/>
      <c r="RHM97" s="167"/>
      <c r="RHN97" s="168"/>
      <c r="RHO97" s="167"/>
      <c r="RHP97" s="168"/>
      <c r="RHQ97" s="167"/>
      <c r="RHR97" s="168"/>
      <c r="RHS97" s="167"/>
      <c r="RHT97" s="168"/>
      <c r="RHU97" s="167"/>
      <c r="RHV97" s="168"/>
      <c r="RHW97" s="167"/>
      <c r="RHX97" s="168"/>
      <c r="RHY97" s="167"/>
      <c r="RHZ97" s="168"/>
      <c r="RIA97" s="167"/>
      <c r="RIB97" s="168"/>
      <c r="RIC97" s="167"/>
      <c r="RID97" s="168"/>
      <c r="RIE97" s="167"/>
      <c r="RIF97" s="168"/>
      <c r="RIG97" s="167"/>
      <c r="RIH97" s="168"/>
      <c r="RII97" s="167"/>
      <c r="RIJ97" s="168"/>
      <c r="RIK97" s="167"/>
      <c r="RIL97" s="168"/>
      <c r="RIM97" s="167"/>
      <c r="RIN97" s="168"/>
      <c r="RIO97" s="167"/>
      <c r="RIP97" s="168"/>
      <c r="RIQ97" s="167"/>
      <c r="RIR97" s="168"/>
      <c r="RIS97" s="167"/>
      <c r="RIT97" s="168"/>
      <c r="RIU97" s="167"/>
      <c r="RIV97" s="168"/>
      <c r="RIW97" s="167"/>
      <c r="RIX97" s="168"/>
      <c r="RIY97" s="167"/>
      <c r="RIZ97" s="168"/>
      <c r="RJA97" s="167"/>
      <c r="RJB97" s="168"/>
      <c r="RJC97" s="167"/>
      <c r="RJD97" s="168"/>
      <c r="RJE97" s="167"/>
      <c r="RJF97" s="168"/>
      <c r="RJG97" s="167"/>
      <c r="RJH97" s="168"/>
      <c r="RJI97" s="167"/>
      <c r="RJJ97" s="168"/>
      <c r="RJK97" s="167"/>
      <c r="RJL97" s="168"/>
      <c r="RJM97" s="167"/>
      <c r="RJN97" s="168"/>
      <c r="RJO97" s="167"/>
      <c r="RJP97" s="168"/>
      <c r="RJQ97" s="167"/>
      <c r="RJR97" s="168"/>
      <c r="RJS97" s="167"/>
      <c r="RJT97" s="168"/>
      <c r="RJU97" s="167"/>
      <c r="RJV97" s="168"/>
      <c r="RJW97" s="167"/>
      <c r="RJX97" s="168"/>
      <c r="RJY97" s="167"/>
      <c r="RJZ97" s="168"/>
      <c r="RKA97" s="167"/>
      <c r="RKB97" s="168"/>
      <c r="RKC97" s="167"/>
      <c r="RKD97" s="168"/>
      <c r="RKE97" s="167"/>
      <c r="RKF97" s="168"/>
      <c r="RKG97" s="167"/>
      <c r="RKH97" s="168"/>
      <c r="RKI97" s="167"/>
      <c r="RKJ97" s="168"/>
      <c r="RKK97" s="167"/>
      <c r="RKL97" s="168"/>
      <c r="RKM97" s="167"/>
      <c r="RKN97" s="168"/>
      <c r="RKO97" s="167"/>
      <c r="RKP97" s="168"/>
      <c r="RKQ97" s="167"/>
      <c r="RKR97" s="168"/>
      <c r="RKS97" s="167"/>
      <c r="RKT97" s="168"/>
      <c r="RKU97" s="167"/>
      <c r="RKV97" s="168"/>
      <c r="RKW97" s="167"/>
      <c r="RKX97" s="168"/>
      <c r="RKY97" s="167"/>
      <c r="RKZ97" s="168"/>
      <c r="RLA97" s="167"/>
      <c r="RLB97" s="168"/>
      <c r="RLC97" s="167"/>
      <c r="RLD97" s="168"/>
      <c r="RLE97" s="167"/>
      <c r="RLF97" s="168"/>
      <c r="RLG97" s="167"/>
      <c r="RLH97" s="168"/>
      <c r="RLI97" s="167"/>
      <c r="RLJ97" s="168"/>
      <c r="RLK97" s="167"/>
      <c r="RLL97" s="168"/>
      <c r="RLM97" s="167"/>
      <c r="RLN97" s="168"/>
      <c r="RLO97" s="167"/>
      <c r="RLP97" s="168"/>
      <c r="RLQ97" s="167"/>
      <c r="RLR97" s="168"/>
      <c r="RLS97" s="167"/>
      <c r="RLT97" s="168"/>
      <c r="RLU97" s="167"/>
      <c r="RLV97" s="168"/>
      <c r="RLW97" s="167"/>
      <c r="RLX97" s="168"/>
      <c r="RLY97" s="167"/>
      <c r="RLZ97" s="168"/>
      <c r="RMA97" s="167"/>
      <c r="RMB97" s="168"/>
      <c r="RMC97" s="167"/>
      <c r="RMD97" s="168"/>
      <c r="RME97" s="167"/>
      <c r="RMF97" s="168"/>
      <c r="RMG97" s="167"/>
      <c r="RMH97" s="168"/>
      <c r="RMI97" s="167"/>
      <c r="RMJ97" s="168"/>
      <c r="RMK97" s="167"/>
      <c r="RML97" s="168"/>
      <c r="RMM97" s="167"/>
      <c r="RMN97" s="168"/>
      <c r="RMO97" s="167"/>
      <c r="RMP97" s="168"/>
      <c r="RMQ97" s="167"/>
      <c r="RMR97" s="168"/>
      <c r="RMS97" s="167"/>
      <c r="RMT97" s="168"/>
      <c r="RMU97" s="167"/>
      <c r="RMV97" s="168"/>
      <c r="RMW97" s="167"/>
      <c r="RMX97" s="168"/>
      <c r="RMY97" s="167"/>
      <c r="RMZ97" s="168"/>
      <c r="RNA97" s="167"/>
      <c r="RNB97" s="168"/>
      <c r="RNC97" s="167"/>
      <c r="RND97" s="168"/>
      <c r="RNE97" s="167"/>
      <c r="RNF97" s="168"/>
      <c r="RNG97" s="167"/>
      <c r="RNH97" s="168"/>
      <c r="RNI97" s="167"/>
      <c r="RNJ97" s="168"/>
      <c r="RNK97" s="167"/>
      <c r="RNL97" s="168"/>
      <c r="RNM97" s="167"/>
      <c r="RNN97" s="168"/>
      <c r="RNO97" s="167"/>
      <c r="RNP97" s="168"/>
      <c r="RNQ97" s="167"/>
      <c r="RNR97" s="168"/>
      <c r="RNS97" s="167"/>
      <c r="RNT97" s="168"/>
      <c r="RNU97" s="167"/>
      <c r="RNV97" s="168"/>
      <c r="RNW97" s="167"/>
      <c r="RNX97" s="168"/>
      <c r="RNY97" s="167"/>
      <c r="RNZ97" s="168"/>
      <c r="ROA97" s="167"/>
      <c r="ROB97" s="168"/>
      <c r="ROC97" s="167"/>
      <c r="ROD97" s="168"/>
      <c r="ROE97" s="167"/>
      <c r="ROF97" s="168"/>
      <c r="ROG97" s="167"/>
      <c r="ROH97" s="168"/>
      <c r="ROI97" s="167"/>
      <c r="ROJ97" s="168"/>
      <c r="ROK97" s="167"/>
      <c r="ROL97" s="168"/>
      <c r="ROM97" s="167"/>
      <c r="RON97" s="168"/>
      <c r="ROO97" s="167"/>
      <c r="ROP97" s="168"/>
      <c r="ROQ97" s="167"/>
      <c r="ROR97" s="168"/>
      <c r="ROS97" s="167"/>
      <c r="ROT97" s="168"/>
      <c r="ROU97" s="167"/>
      <c r="ROV97" s="168"/>
      <c r="ROW97" s="167"/>
      <c r="ROX97" s="168"/>
      <c r="ROY97" s="167"/>
      <c r="ROZ97" s="168"/>
      <c r="RPA97" s="167"/>
      <c r="RPB97" s="168"/>
      <c r="RPC97" s="167"/>
      <c r="RPD97" s="168"/>
      <c r="RPE97" s="167"/>
      <c r="RPF97" s="168"/>
      <c r="RPG97" s="167"/>
      <c r="RPH97" s="168"/>
      <c r="RPI97" s="167"/>
      <c r="RPJ97" s="168"/>
      <c r="RPK97" s="167"/>
      <c r="RPL97" s="168"/>
      <c r="RPM97" s="167"/>
      <c r="RPN97" s="168"/>
      <c r="RPO97" s="167"/>
      <c r="RPP97" s="168"/>
      <c r="RPQ97" s="167"/>
      <c r="RPR97" s="168"/>
      <c r="RPS97" s="167"/>
      <c r="RPT97" s="168"/>
      <c r="RPU97" s="167"/>
      <c r="RPV97" s="168"/>
      <c r="RPW97" s="167"/>
      <c r="RPX97" s="168"/>
      <c r="RPY97" s="167"/>
      <c r="RPZ97" s="168"/>
      <c r="RQA97" s="167"/>
      <c r="RQB97" s="168"/>
      <c r="RQC97" s="167"/>
      <c r="RQD97" s="168"/>
      <c r="RQE97" s="167"/>
      <c r="RQF97" s="168"/>
      <c r="RQG97" s="167"/>
      <c r="RQH97" s="168"/>
      <c r="RQI97" s="167"/>
      <c r="RQJ97" s="168"/>
      <c r="RQK97" s="167"/>
      <c r="RQL97" s="168"/>
      <c r="RQM97" s="167"/>
      <c r="RQN97" s="168"/>
      <c r="RQO97" s="167"/>
      <c r="RQP97" s="168"/>
      <c r="RQQ97" s="167"/>
      <c r="RQR97" s="168"/>
      <c r="RQS97" s="167"/>
      <c r="RQT97" s="168"/>
      <c r="RQU97" s="167"/>
      <c r="RQV97" s="168"/>
      <c r="RQW97" s="167"/>
      <c r="RQX97" s="168"/>
      <c r="RQY97" s="167"/>
      <c r="RQZ97" s="168"/>
      <c r="RRA97" s="167"/>
      <c r="RRB97" s="168"/>
      <c r="RRC97" s="167"/>
      <c r="RRD97" s="168"/>
      <c r="RRE97" s="167"/>
      <c r="RRF97" s="168"/>
      <c r="RRG97" s="167"/>
      <c r="RRH97" s="168"/>
      <c r="RRI97" s="167"/>
      <c r="RRJ97" s="168"/>
      <c r="RRK97" s="167"/>
      <c r="RRL97" s="168"/>
      <c r="RRM97" s="167"/>
      <c r="RRN97" s="168"/>
      <c r="RRO97" s="167"/>
      <c r="RRP97" s="168"/>
      <c r="RRQ97" s="167"/>
      <c r="RRR97" s="168"/>
      <c r="RRS97" s="167"/>
      <c r="RRT97" s="168"/>
      <c r="RRU97" s="167"/>
      <c r="RRV97" s="168"/>
      <c r="RRW97" s="167"/>
      <c r="RRX97" s="168"/>
      <c r="RRY97" s="167"/>
      <c r="RRZ97" s="168"/>
      <c r="RSA97" s="167"/>
      <c r="RSB97" s="168"/>
      <c r="RSC97" s="167"/>
      <c r="RSD97" s="168"/>
      <c r="RSE97" s="167"/>
      <c r="RSF97" s="168"/>
      <c r="RSG97" s="167"/>
      <c r="RSH97" s="168"/>
      <c r="RSI97" s="167"/>
      <c r="RSJ97" s="168"/>
      <c r="RSK97" s="167"/>
      <c r="RSL97" s="168"/>
      <c r="RSM97" s="167"/>
      <c r="RSN97" s="168"/>
      <c r="RSO97" s="167"/>
      <c r="RSP97" s="168"/>
      <c r="RSQ97" s="167"/>
      <c r="RSR97" s="168"/>
      <c r="RSS97" s="167"/>
      <c r="RST97" s="168"/>
      <c r="RSU97" s="167"/>
      <c r="RSV97" s="168"/>
      <c r="RSW97" s="167"/>
      <c r="RSX97" s="168"/>
      <c r="RSY97" s="167"/>
      <c r="RSZ97" s="168"/>
      <c r="RTA97" s="167"/>
      <c r="RTB97" s="168"/>
      <c r="RTC97" s="167"/>
      <c r="RTD97" s="168"/>
      <c r="RTE97" s="167"/>
      <c r="RTF97" s="168"/>
      <c r="RTG97" s="167"/>
      <c r="RTH97" s="168"/>
      <c r="RTI97" s="167"/>
      <c r="RTJ97" s="168"/>
      <c r="RTK97" s="167"/>
      <c r="RTL97" s="168"/>
      <c r="RTM97" s="167"/>
      <c r="RTN97" s="168"/>
      <c r="RTO97" s="167"/>
      <c r="RTP97" s="168"/>
      <c r="RTQ97" s="167"/>
      <c r="RTR97" s="168"/>
      <c r="RTS97" s="167"/>
      <c r="RTT97" s="168"/>
      <c r="RTU97" s="167"/>
      <c r="RTV97" s="168"/>
      <c r="RTW97" s="167"/>
      <c r="RTX97" s="168"/>
      <c r="RTY97" s="167"/>
      <c r="RTZ97" s="168"/>
      <c r="RUA97" s="167"/>
      <c r="RUB97" s="168"/>
      <c r="RUC97" s="167"/>
      <c r="RUD97" s="168"/>
      <c r="RUE97" s="167"/>
      <c r="RUF97" s="168"/>
      <c r="RUG97" s="167"/>
      <c r="RUH97" s="168"/>
      <c r="RUI97" s="167"/>
      <c r="RUJ97" s="168"/>
      <c r="RUK97" s="167"/>
      <c r="RUL97" s="168"/>
      <c r="RUM97" s="167"/>
      <c r="RUN97" s="168"/>
      <c r="RUO97" s="167"/>
      <c r="RUP97" s="168"/>
      <c r="RUQ97" s="167"/>
      <c r="RUR97" s="168"/>
      <c r="RUS97" s="167"/>
      <c r="RUT97" s="168"/>
      <c r="RUU97" s="167"/>
      <c r="RUV97" s="168"/>
      <c r="RUW97" s="167"/>
      <c r="RUX97" s="168"/>
      <c r="RUY97" s="167"/>
      <c r="RUZ97" s="168"/>
      <c r="RVA97" s="167"/>
      <c r="RVB97" s="168"/>
      <c r="RVC97" s="167"/>
      <c r="RVD97" s="168"/>
      <c r="RVE97" s="167"/>
      <c r="RVF97" s="168"/>
      <c r="RVG97" s="167"/>
      <c r="RVH97" s="168"/>
      <c r="RVI97" s="167"/>
      <c r="RVJ97" s="168"/>
      <c r="RVK97" s="167"/>
      <c r="RVL97" s="168"/>
      <c r="RVM97" s="167"/>
      <c r="RVN97" s="168"/>
      <c r="RVO97" s="167"/>
      <c r="RVP97" s="168"/>
      <c r="RVQ97" s="167"/>
      <c r="RVR97" s="168"/>
      <c r="RVS97" s="167"/>
      <c r="RVT97" s="168"/>
      <c r="RVU97" s="167"/>
      <c r="RVV97" s="168"/>
      <c r="RVW97" s="167"/>
      <c r="RVX97" s="168"/>
      <c r="RVY97" s="167"/>
      <c r="RVZ97" s="168"/>
      <c r="RWA97" s="167"/>
      <c r="RWB97" s="168"/>
      <c r="RWC97" s="167"/>
      <c r="RWD97" s="168"/>
      <c r="RWE97" s="167"/>
      <c r="RWF97" s="168"/>
      <c r="RWG97" s="167"/>
      <c r="RWH97" s="168"/>
      <c r="RWI97" s="167"/>
      <c r="RWJ97" s="168"/>
      <c r="RWK97" s="167"/>
      <c r="RWL97" s="168"/>
      <c r="RWM97" s="167"/>
      <c r="RWN97" s="168"/>
      <c r="RWO97" s="167"/>
      <c r="RWP97" s="168"/>
      <c r="RWQ97" s="167"/>
      <c r="RWR97" s="168"/>
      <c r="RWS97" s="167"/>
      <c r="RWT97" s="168"/>
      <c r="RWU97" s="167"/>
      <c r="RWV97" s="168"/>
      <c r="RWW97" s="167"/>
      <c r="RWX97" s="168"/>
      <c r="RWY97" s="167"/>
      <c r="RWZ97" s="168"/>
      <c r="RXA97" s="167"/>
      <c r="RXB97" s="168"/>
      <c r="RXC97" s="167"/>
      <c r="RXD97" s="168"/>
      <c r="RXE97" s="167"/>
      <c r="RXF97" s="168"/>
      <c r="RXG97" s="167"/>
      <c r="RXH97" s="168"/>
      <c r="RXI97" s="167"/>
      <c r="RXJ97" s="168"/>
      <c r="RXK97" s="167"/>
      <c r="RXL97" s="168"/>
      <c r="RXM97" s="167"/>
      <c r="RXN97" s="168"/>
      <c r="RXO97" s="167"/>
      <c r="RXP97" s="168"/>
      <c r="RXQ97" s="167"/>
      <c r="RXR97" s="168"/>
      <c r="RXS97" s="167"/>
      <c r="RXT97" s="168"/>
      <c r="RXU97" s="167"/>
      <c r="RXV97" s="168"/>
      <c r="RXW97" s="167"/>
      <c r="RXX97" s="168"/>
      <c r="RXY97" s="167"/>
      <c r="RXZ97" s="168"/>
      <c r="RYA97" s="167"/>
      <c r="RYB97" s="168"/>
      <c r="RYC97" s="167"/>
      <c r="RYD97" s="168"/>
      <c r="RYE97" s="167"/>
      <c r="RYF97" s="168"/>
      <c r="RYG97" s="167"/>
      <c r="RYH97" s="168"/>
      <c r="RYI97" s="167"/>
      <c r="RYJ97" s="168"/>
      <c r="RYK97" s="167"/>
      <c r="RYL97" s="168"/>
      <c r="RYM97" s="167"/>
      <c r="RYN97" s="168"/>
      <c r="RYO97" s="167"/>
      <c r="RYP97" s="168"/>
      <c r="RYQ97" s="167"/>
      <c r="RYR97" s="168"/>
      <c r="RYS97" s="167"/>
      <c r="RYT97" s="168"/>
      <c r="RYU97" s="167"/>
      <c r="RYV97" s="168"/>
      <c r="RYW97" s="167"/>
      <c r="RYX97" s="168"/>
      <c r="RYY97" s="167"/>
      <c r="RYZ97" s="168"/>
      <c r="RZA97" s="167"/>
      <c r="RZB97" s="168"/>
      <c r="RZC97" s="167"/>
      <c r="RZD97" s="168"/>
      <c r="RZE97" s="167"/>
      <c r="RZF97" s="168"/>
      <c r="RZG97" s="167"/>
      <c r="RZH97" s="168"/>
      <c r="RZI97" s="167"/>
      <c r="RZJ97" s="168"/>
      <c r="RZK97" s="167"/>
      <c r="RZL97" s="168"/>
      <c r="RZM97" s="167"/>
      <c r="RZN97" s="168"/>
      <c r="RZO97" s="167"/>
      <c r="RZP97" s="168"/>
      <c r="RZQ97" s="167"/>
      <c r="RZR97" s="168"/>
      <c r="RZS97" s="167"/>
      <c r="RZT97" s="168"/>
      <c r="RZU97" s="167"/>
      <c r="RZV97" s="168"/>
      <c r="RZW97" s="167"/>
      <c r="RZX97" s="168"/>
      <c r="RZY97" s="167"/>
      <c r="RZZ97" s="168"/>
      <c r="SAA97" s="167"/>
      <c r="SAB97" s="168"/>
      <c r="SAC97" s="167"/>
      <c r="SAD97" s="168"/>
      <c r="SAE97" s="167"/>
      <c r="SAF97" s="168"/>
      <c r="SAG97" s="167"/>
      <c r="SAH97" s="168"/>
      <c r="SAI97" s="167"/>
      <c r="SAJ97" s="168"/>
      <c r="SAK97" s="167"/>
      <c r="SAL97" s="168"/>
      <c r="SAM97" s="167"/>
      <c r="SAN97" s="168"/>
      <c r="SAO97" s="167"/>
      <c r="SAP97" s="168"/>
      <c r="SAQ97" s="167"/>
      <c r="SAR97" s="168"/>
      <c r="SAS97" s="167"/>
      <c r="SAT97" s="168"/>
      <c r="SAU97" s="167"/>
      <c r="SAV97" s="168"/>
      <c r="SAW97" s="167"/>
      <c r="SAX97" s="168"/>
      <c r="SAY97" s="167"/>
      <c r="SAZ97" s="168"/>
      <c r="SBA97" s="167"/>
      <c r="SBB97" s="168"/>
      <c r="SBC97" s="167"/>
      <c r="SBD97" s="168"/>
      <c r="SBE97" s="167"/>
      <c r="SBF97" s="168"/>
      <c r="SBG97" s="167"/>
      <c r="SBH97" s="168"/>
      <c r="SBI97" s="167"/>
      <c r="SBJ97" s="168"/>
      <c r="SBK97" s="167"/>
      <c r="SBL97" s="168"/>
      <c r="SBM97" s="167"/>
      <c r="SBN97" s="168"/>
      <c r="SBO97" s="167"/>
      <c r="SBP97" s="168"/>
      <c r="SBQ97" s="167"/>
      <c r="SBR97" s="168"/>
      <c r="SBS97" s="167"/>
      <c r="SBT97" s="168"/>
      <c r="SBU97" s="167"/>
      <c r="SBV97" s="168"/>
      <c r="SBW97" s="167"/>
      <c r="SBX97" s="168"/>
      <c r="SBY97" s="167"/>
      <c r="SBZ97" s="168"/>
      <c r="SCA97" s="167"/>
      <c r="SCB97" s="168"/>
      <c r="SCC97" s="167"/>
      <c r="SCD97" s="168"/>
      <c r="SCE97" s="167"/>
      <c r="SCF97" s="168"/>
      <c r="SCG97" s="167"/>
      <c r="SCH97" s="168"/>
      <c r="SCI97" s="167"/>
      <c r="SCJ97" s="168"/>
      <c r="SCK97" s="167"/>
      <c r="SCL97" s="168"/>
      <c r="SCM97" s="167"/>
      <c r="SCN97" s="168"/>
      <c r="SCO97" s="167"/>
      <c r="SCP97" s="168"/>
      <c r="SCQ97" s="167"/>
      <c r="SCR97" s="168"/>
      <c r="SCS97" s="167"/>
      <c r="SCT97" s="168"/>
      <c r="SCU97" s="167"/>
      <c r="SCV97" s="168"/>
      <c r="SCW97" s="167"/>
      <c r="SCX97" s="168"/>
      <c r="SCY97" s="167"/>
      <c r="SCZ97" s="168"/>
      <c r="SDA97" s="167"/>
      <c r="SDB97" s="168"/>
      <c r="SDC97" s="167"/>
      <c r="SDD97" s="168"/>
      <c r="SDE97" s="167"/>
      <c r="SDF97" s="168"/>
      <c r="SDG97" s="167"/>
      <c r="SDH97" s="168"/>
      <c r="SDI97" s="167"/>
      <c r="SDJ97" s="168"/>
      <c r="SDK97" s="167"/>
      <c r="SDL97" s="168"/>
      <c r="SDM97" s="167"/>
      <c r="SDN97" s="168"/>
      <c r="SDO97" s="167"/>
      <c r="SDP97" s="168"/>
      <c r="SDQ97" s="167"/>
      <c r="SDR97" s="168"/>
      <c r="SDS97" s="167"/>
      <c r="SDT97" s="168"/>
      <c r="SDU97" s="167"/>
      <c r="SDV97" s="168"/>
      <c r="SDW97" s="167"/>
      <c r="SDX97" s="168"/>
      <c r="SDY97" s="167"/>
      <c r="SDZ97" s="168"/>
      <c r="SEA97" s="167"/>
      <c r="SEB97" s="168"/>
      <c r="SEC97" s="167"/>
      <c r="SED97" s="168"/>
      <c r="SEE97" s="167"/>
      <c r="SEF97" s="168"/>
      <c r="SEG97" s="167"/>
      <c r="SEH97" s="168"/>
      <c r="SEI97" s="167"/>
      <c r="SEJ97" s="168"/>
      <c r="SEK97" s="167"/>
      <c r="SEL97" s="168"/>
      <c r="SEM97" s="167"/>
      <c r="SEN97" s="168"/>
      <c r="SEO97" s="167"/>
      <c r="SEP97" s="168"/>
      <c r="SEQ97" s="167"/>
      <c r="SER97" s="168"/>
      <c r="SES97" s="167"/>
      <c r="SET97" s="168"/>
      <c r="SEU97" s="167"/>
      <c r="SEV97" s="168"/>
      <c r="SEW97" s="167"/>
      <c r="SEX97" s="168"/>
      <c r="SEY97" s="167"/>
      <c r="SEZ97" s="168"/>
      <c r="SFA97" s="167"/>
      <c r="SFB97" s="168"/>
      <c r="SFC97" s="167"/>
      <c r="SFD97" s="168"/>
      <c r="SFE97" s="167"/>
      <c r="SFF97" s="168"/>
      <c r="SFG97" s="167"/>
      <c r="SFH97" s="168"/>
      <c r="SFI97" s="167"/>
      <c r="SFJ97" s="168"/>
      <c r="SFK97" s="167"/>
      <c r="SFL97" s="168"/>
      <c r="SFM97" s="167"/>
      <c r="SFN97" s="168"/>
      <c r="SFO97" s="167"/>
      <c r="SFP97" s="168"/>
      <c r="SFQ97" s="167"/>
      <c r="SFR97" s="168"/>
      <c r="SFS97" s="167"/>
      <c r="SFT97" s="168"/>
      <c r="SFU97" s="167"/>
      <c r="SFV97" s="168"/>
      <c r="SFW97" s="167"/>
      <c r="SFX97" s="168"/>
      <c r="SFY97" s="167"/>
      <c r="SFZ97" s="168"/>
      <c r="SGA97" s="167"/>
      <c r="SGB97" s="168"/>
      <c r="SGC97" s="167"/>
      <c r="SGD97" s="168"/>
      <c r="SGE97" s="167"/>
      <c r="SGF97" s="168"/>
      <c r="SGG97" s="167"/>
      <c r="SGH97" s="168"/>
      <c r="SGI97" s="167"/>
      <c r="SGJ97" s="168"/>
      <c r="SGK97" s="167"/>
      <c r="SGL97" s="168"/>
      <c r="SGM97" s="167"/>
      <c r="SGN97" s="168"/>
      <c r="SGO97" s="167"/>
      <c r="SGP97" s="168"/>
      <c r="SGQ97" s="167"/>
      <c r="SGR97" s="168"/>
      <c r="SGS97" s="167"/>
      <c r="SGT97" s="168"/>
      <c r="SGU97" s="167"/>
      <c r="SGV97" s="168"/>
      <c r="SGW97" s="167"/>
      <c r="SGX97" s="168"/>
      <c r="SGY97" s="167"/>
      <c r="SGZ97" s="168"/>
      <c r="SHA97" s="167"/>
      <c r="SHB97" s="168"/>
      <c r="SHC97" s="167"/>
      <c r="SHD97" s="168"/>
      <c r="SHE97" s="167"/>
      <c r="SHF97" s="168"/>
      <c r="SHG97" s="167"/>
      <c r="SHH97" s="168"/>
      <c r="SHI97" s="167"/>
      <c r="SHJ97" s="168"/>
      <c r="SHK97" s="167"/>
      <c r="SHL97" s="168"/>
      <c r="SHM97" s="167"/>
      <c r="SHN97" s="168"/>
      <c r="SHO97" s="167"/>
      <c r="SHP97" s="168"/>
      <c r="SHQ97" s="167"/>
      <c r="SHR97" s="168"/>
      <c r="SHS97" s="167"/>
      <c r="SHT97" s="168"/>
      <c r="SHU97" s="167"/>
      <c r="SHV97" s="168"/>
      <c r="SHW97" s="167"/>
      <c r="SHX97" s="168"/>
      <c r="SHY97" s="167"/>
      <c r="SHZ97" s="168"/>
      <c r="SIA97" s="167"/>
      <c r="SIB97" s="168"/>
      <c r="SIC97" s="167"/>
      <c r="SID97" s="168"/>
      <c r="SIE97" s="167"/>
      <c r="SIF97" s="168"/>
      <c r="SIG97" s="167"/>
      <c r="SIH97" s="168"/>
      <c r="SII97" s="167"/>
      <c r="SIJ97" s="168"/>
      <c r="SIK97" s="167"/>
      <c r="SIL97" s="168"/>
      <c r="SIM97" s="167"/>
      <c r="SIN97" s="168"/>
      <c r="SIO97" s="167"/>
      <c r="SIP97" s="168"/>
      <c r="SIQ97" s="167"/>
      <c r="SIR97" s="168"/>
      <c r="SIS97" s="167"/>
      <c r="SIT97" s="168"/>
      <c r="SIU97" s="167"/>
      <c r="SIV97" s="168"/>
      <c r="SIW97" s="167"/>
      <c r="SIX97" s="168"/>
      <c r="SIY97" s="167"/>
      <c r="SIZ97" s="168"/>
      <c r="SJA97" s="167"/>
      <c r="SJB97" s="168"/>
      <c r="SJC97" s="167"/>
      <c r="SJD97" s="168"/>
      <c r="SJE97" s="167"/>
      <c r="SJF97" s="168"/>
      <c r="SJG97" s="167"/>
      <c r="SJH97" s="168"/>
      <c r="SJI97" s="167"/>
      <c r="SJJ97" s="168"/>
      <c r="SJK97" s="167"/>
      <c r="SJL97" s="168"/>
      <c r="SJM97" s="167"/>
      <c r="SJN97" s="168"/>
      <c r="SJO97" s="167"/>
      <c r="SJP97" s="168"/>
      <c r="SJQ97" s="167"/>
      <c r="SJR97" s="168"/>
      <c r="SJS97" s="167"/>
      <c r="SJT97" s="168"/>
      <c r="SJU97" s="167"/>
      <c r="SJV97" s="168"/>
      <c r="SJW97" s="167"/>
      <c r="SJX97" s="168"/>
      <c r="SJY97" s="167"/>
      <c r="SJZ97" s="168"/>
      <c r="SKA97" s="167"/>
      <c r="SKB97" s="168"/>
      <c r="SKC97" s="167"/>
      <c r="SKD97" s="168"/>
      <c r="SKE97" s="167"/>
      <c r="SKF97" s="168"/>
      <c r="SKG97" s="167"/>
      <c r="SKH97" s="168"/>
      <c r="SKI97" s="167"/>
      <c r="SKJ97" s="168"/>
      <c r="SKK97" s="167"/>
      <c r="SKL97" s="168"/>
      <c r="SKM97" s="167"/>
      <c r="SKN97" s="168"/>
      <c r="SKO97" s="167"/>
      <c r="SKP97" s="168"/>
      <c r="SKQ97" s="167"/>
      <c r="SKR97" s="168"/>
      <c r="SKS97" s="167"/>
      <c r="SKT97" s="168"/>
      <c r="SKU97" s="167"/>
      <c r="SKV97" s="168"/>
      <c r="SKW97" s="167"/>
      <c r="SKX97" s="168"/>
      <c r="SKY97" s="167"/>
      <c r="SKZ97" s="168"/>
      <c r="SLA97" s="167"/>
      <c r="SLB97" s="168"/>
      <c r="SLC97" s="167"/>
      <c r="SLD97" s="168"/>
      <c r="SLE97" s="167"/>
      <c r="SLF97" s="168"/>
      <c r="SLG97" s="167"/>
      <c r="SLH97" s="168"/>
      <c r="SLI97" s="167"/>
      <c r="SLJ97" s="168"/>
      <c r="SLK97" s="167"/>
      <c r="SLL97" s="168"/>
      <c r="SLM97" s="167"/>
      <c r="SLN97" s="168"/>
      <c r="SLO97" s="167"/>
      <c r="SLP97" s="168"/>
      <c r="SLQ97" s="167"/>
      <c r="SLR97" s="168"/>
      <c r="SLS97" s="167"/>
      <c r="SLT97" s="168"/>
      <c r="SLU97" s="167"/>
      <c r="SLV97" s="168"/>
      <c r="SLW97" s="167"/>
      <c r="SLX97" s="168"/>
      <c r="SLY97" s="167"/>
      <c r="SLZ97" s="168"/>
      <c r="SMA97" s="167"/>
      <c r="SMB97" s="168"/>
      <c r="SMC97" s="167"/>
      <c r="SMD97" s="168"/>
      <c r="SME97" s="167"/>
      <c r="SMF97" s="168"/>
      <c r="SMG97" s="167"/>
      <c r="SMH97" s="168"/>
      <c r="SMI97" s="167"/>
      <c r="SMJ97" s="168"/>
      <c r="SMK97" s="167"/>
      <c r="SML97" s="168"/>
      <c r="SMM97" s="167"/>
      <c r="SMN97" s="168"/>
      <c r="SMO97" s="167"/>
      <c r="SMP97" s="168"/>
      <c r="SMQ97" s="167"/>
      <c r="SMR97" s="168"/>
      <c r="SMS97" s="167"/>
      <c r="SMT97" s="168"/>
      <c r="SMU97" s="167"/>
      <c r="SMV97" s="168"/>
      <c r="SMW97" s="167"/>
      <c r="SMX97" s="168"/>
      <c r="SMY97" s="167"/>
      <c r="SMZ97" s="168"/>
      <c r="SNA97" s="167"/>
      <c r="SNB97" s="168"/>
      <c r="SNC97" s="167"/>
      <c r="SND97" s="168"/>
      <c r="SNE97" s="167"/>
      <c r="SNF97" s="168"/>
      <c r="SNG97" s="167"/>
      <c r="SNH97" s="168"/>
      <c r="SNI97" s="167"/>
      <c r="SNJ97" s="168"/>
      <c r="SNK97" s="167"/>
      <c r="SNL97" s="168"/>
      <c r="SNM97" s="167"/>
      <c r="SNN97" s="168"/>
      <c r="SNO97" s="167"/>
      <c r="SNP97" s="168"/>
      <c r="SNQ97" s="167"/>
      <c r="SNR97" s="168"/>
      <c r="SNS97" s="167"/>
      <c r="SNT97" s="168"/>
      <c r="SNU97" s="167"/>
      <c r="SNV97" s="168"/>
      <c r="SNW97" s="167"/>
      <c r="SNX97" s="168"/>
      <c r="SNY97" s="167"/>
      <c r="SNZ97" s="168"/>
      <c r="SOA97" s="167"/>
      <c r="SOB97" s="168"/>
      <c r="SOC97" s="167"/>
      <c r="SOD97" s="168"/>
      <c r="SOE97" s="167"/>
      <c r="SOF97" s="168"/>
      <c r="SOG97" s="167"/>
      <c r="SOH97" s="168"/>
      <c r="SOI97" s="167"/>
      <c r="SOJ97" s="168"/>
      <c r="SOK97" s="167"/>
      <c r="SOL97" s="168"/>
      <c r="SOM97" s="167"/>
      <c r="SON97" s="168"/>
      <c r="SOO97" s="167"/>
      <c r="SOP97" s="168"/>
      <c r="SOQ97" s="167"/>
      <c r="SOR97" s="168"/>
      <c r="SOS97" s="167"/>
      <c r="SOT97" s="168"/>
      <c r="SOU97" s="167"/>
      <c r="SOV97" s="168"/>
      <c r="SOW97" s="167"/>
      <c r="SOX97" s="168"/>
      <c r="SOY97" s="167"/>
      <c r="SOZ97" s="168"/>
      <c r="SPA97" s="167"/>
      <c r="SPB97" s="168"/>
      <c r="SPC97" s="167"/>
      <c r="SPD97" s="168"/>
      <c r="SPE97" s="167"/>
      <c r="SPF97" s="168"/>
      <c r="SPG97" s="167"/>
      <c r="SPH97" s="168"/>
      <c r="SPI97" s="167"/>
      <c r="SPJ97" s="168"/>
      <c r="SPK97" s="167"/>
      <c r="SPL97" s="168"/>
      <c r="SPM97" s="167"/>
      <c r="SPN97" s="168"/>
      <c r="SPO97" s="167"/>
      <c r="SPP97" s="168"/>
      <c r="SPQ97" s="167"/>
      <c r="SPR97" s="168"/>
      <c r="SPS97" s="167"/>
      <c r="SPT97" s="168"/>
      <c r="SPU97" s="167"/>
      <c r="SPV97" s="168"/>
      <c r="SPW97" s="167"/>
      <c r="SPX97" s="168"/>
      <c r="SPY97" s="167"/>
      <c r="SPZ97" s="168"/>
      <c r="SQA97" s="167"/>
      <c r="SQB97" s="168"/>
      <c r="SQC97" s="167"/>
      <c r="SQD97" s="168"/>
      <c r="SQE97" s="167"/>
      <c r="SQF97" s="168"/>
      <c r="SQG97" s="167"/>
      <c r="SQH97" s="168"/>
      <c r="SQI97" s="167"/>
      <c r="SQJ97" s="168"/>
      <c r="SQK97" s="167"/>
      <c r="SQL97" s="168"/>
      <c r="SQM97" s="167"/>
      <c r="SQN97" s="168"/>
      <c r="SQO97" s="167"/>
      <c r="SQP97" s="168"/>
      <c r="SQQ97" s="167"/>
      <c r="SQR97" s="168"/>
      <c r="SQS97" s="167"/>
      <c r="SQT97" s="168"/>
      <c r="SQU97" s="167"/>
      <c r="SQV97" s="168"/>
      <c r="SQW97" s="167"/>
      <c r="SQX97" s="168"/>
      <c r="SQY97" s="167"/>
      <c r="SQZ97" s="168"/>
      <c r="SRA97" s="167"/>
      <c r="SRB97" s="168"/>
      <c r="SRC97" s="167"/>
      <c r="SRD97" s="168"/>
      <c r="SRE97" s="167"/>
      <c r="SRF97" s="168"/>
      <c r="SRG97" s="167"/>
      <c r="SRH97" s="168"/>
      <c r="SRI97" s="167"/>
      <c r="SRJ97" s="168"/>
      <c r="SRK97" s="167"/>
      <c r="SRL97" s="168"/>
      <c r="SRM97" s="167"/>
      <c r="SRN97" s="168"/>
      <c r="SRO97" s="167"/>
      <c r="SRP97" s="168"/>
      <c r="SRQ97" s="167"/>
      <c r="SRR97" s="168"/>
      <c r="SRS97" s="167"/>
      <c r="SRT97" s="168"/>
      <c r="SRU97" s="167"/>
      <c r="SRV97" s="168"/>
      <c r="SRW97" s="167"/>
      <c r="SRX97" s="168"/>
      <c r="SRY97" s="167"/>
      <c r="SRZ97" s="168"/>
      <c r="SSA97" s="167"/>
      <c r="SSB97" s="168"/>
      <c r="SSC97" s="167"/>
      <c r="SSD97" s="168"/>
      <c r="SSE97" s="167"/>
      <c r="SSF97" s="168"/>
      <c r="SSG97" s="167"/>
      <c r="SSH97" s="168"/>
      <c r="SSI97" s="167"/>
      <c r="SSJ97" s="168"/>
      <c r="SSK97" s="167"/>
      <c r="SSL97" s="168"/>
      <c r="SSM97" s="167"/>
      <c r="SSN97" s="168"/>
      <c r="SSO97" s="167"/>
      <c r="SSP97" s="168"/>
      <c r="SSQ97" s="167"/>
      <c r="SSR97" s="168"/>
      <c r="SSS97" s="167"/>
      <c r="SST97" s="168"/>
      <c r="SSU97" s="167"/>
      <c r="SSV97" s="168"/>
      <c r="SSW97" s="167"/>
      <c r="SSX97" s="168"/>
      <c r="SSY97" s="167"/>
      <c r="SSZ97" s="168"/>
      <c r="STA97" s="167"/>
      <c r="STB97" s="168"/>
      <c r="STC97" s="167"/>
      <c r="STD97" s="168"/>
      <c r="STE97" s="167"/>
      <c r="STF97" s="168"/>
      <c r="STG97" s="167"/>
      <c r="STH97" s="168"/>
      <c r="STI97" s="167"/>
      <c r="STJ97" s="168"/>
      <c r="STK97" s="167"/>
      <c r="STL97" s="168"/>
      <c r="STM97" s="167"/>
      <c r="STN97" s="168"/>
      <c r="STO97" s="167"/>
      <c r="STP97" s="168"/>
      <c r="STQ97" s="167"/>
      <c r="STR97" s="168"/>
      <c r="STS97" s="167"/>
      <c r="STT97" s="168"/>
      <c r="STU97" s="167"/>
      <c r="STV97" s="168"/>
      <c r="STW97" s="167"/>
      <c r="STX97" s="168"/>
      <c r="STY97" s="167"/>
      <c r="STZ97" s="168"/>
      <c r="SUA97" s="167"/>
      <c r="SUB97" s="168"/>
      <c r="SUC97" s="167"/>
      <c r="SUD97" s="168"/>
      <c r="SUE97" s="167"/>
      <c r="SUF97" s="168"/>
      <c r="SUG97" s="167"/>
      <c r="SUH97" s="168"/>
      <c r="SUI97" s="167"/>
      <c r="SUJ97" s="168"/>
      <c r="SUK97" s="167"/>
      <c r="SUL97" s="168"/>
      <c r="SUM97" s="167"/>
      <c r="SUN97" s="168"/>
      <c r="SUO97" s="167"/>
      <c r="SUP97" s="168"/>
      <c r="SUQ97" s="167"/>
      <c r="SUR97" s="168"/>
      <c r="SUS97" s="167"/>
      <c r="SUT97" s="168"/>
      <c r="SUU97" s="167"/>
      <c r="SUV97" s="168"/>
      <c r="SUW97" s="167"/>
      <c r="SUX97" s="168"/>
      <c r="SUY97" s="167"/>
      <c r="SUZ97" s="168"/>
      <c r="SVA97" s="167"/>
      <c r="SVB97" s="168"/>
      <c r="SVC97" s="167"/>
      <c r="SVD97" s="168"/>
      <c r="SVE97" s="167"/>
      <c r="SVF97" s="168"/>
      <c r="SVG97" s="167"/>
      <c r="SVH97" s="168"/>
      <c r="SVI97" s="167"/>
      <c r="SVJ97" s="168"/>
      <c r="SVK97" s="167"/>
      <c r="SVL97" s="168"/>
      <c r="SVM97" s="167"/>
      <c r="SVN97" s="168"/>
      <c r="SVO97" s="167"/>
      <c r="SVP97" s="168"/>
      <c r="SVQ97" s="167"/>
      <c r="SVR97" s="168"/>
      <c r="SVS97" s="167"/>
      <c r="SVT97" s="168"/>
      <c r="SVU97" s="167"/>
      <c r="SVV97" s="168"/>
      <c r="SVW97" s="167"/>
      <c r="SVX97" s="168"/>
      <c r="SVY97" s="167"/>
      <c r="SVZ97" s="168"/>
      <c r="SWA97" s="167"/>
      <c r="SWB97" s="168"/>
      <c r="SWC97" s="167"/>
      <c r="SWD97" s="168"/>
      <c r="SWE97" s="167"/>
      <c r="SWF97" s="168"/>
      <c r="SWG97" s="167"/>
      <c r="SWH97" s="168"/>
      <c r="SWI97" s="167"/>
      <c r="SWJ97" s="168"/>
      <c r="SWK97" s="167"/>
      <c r="SWL97" s="168"/>
      <c r="SWM97" s="167"/>
      <c r="SWN97" s="168"/>
      <c r="SWO97" s="167"/>
      <c r="SWP97" s="168"/>
      <c r="SWQ97" s="167"/>
      <c r="SWR97" s="168"/>
      <c r="SWS97" s="167"/>
      <c r="SWT97" s="168"/>
      <c r="SWU97" s="167"/>
      <c r="SWV97" s="168"/>
      <c r="SWW97" s="167"/>
      <c r="SWX97" s="168"/>
      <c r="SWY97" s="167"/>
      <c r="SWZ97" s="168"/>
      <c r="SXA97" s="167"/>
      <c r="SXB97" s="168"/>
      <c r="SXC97" s="167"/>
      <c r="SXD97" s="168"/>
      <c r="SXE97" s="167"/>
      <c r="SXF97" s="168"/>
      <c r="SXG97" s="167"/>
      <c r="SXH97" s="168"/>
      <c r="SXI97" s="167"/>
      <c r="SXJ97" s="168"/>
      <c r="SXK97" s="167"/>
      <c r="SXL97" s="168"/>
      <c r="SXM97" s="167"/>
      <c r="SXN97" s="168"/>
      <c r="SXO97" s="167"/>
      <c r="SXP97" s="168"/>
      <c r="SXQ97" s="167"/>
      <c r="SXR97" s="168"/>
      <c r="SXS97" s="167"/>
      <c r="SXT97" s="168"/>
      <c r="SXU97" s="167"/>
      <c r="SXV97" s="168"/>
      <c r="SXW97" s="167"/>
      <c r="SXX97" s="168"/>
      <c r="SXY97" s="167"/>
      <c r="SXZ97" s="168"/>
      <c r="SYA97" s="167"/>
      <c r="SYB97" s="168"/>
      <c r="SYC97" s="167"/>
      <c r="SYD97" s="168"/>
      <c r="SYE97" s="167"/>
      <c r="SYF97" s="168"/>
      <c r="SYG97" s="167"/>
      <c r="SYH97" s="168"/>
      <c r="SYI97" s="167"/>
      <c r="SYJ97" s="168"/>
      <c r="SYK97" s="167"/>
      <c r="SYL97" s="168"/>
      <c r="SYM97" s="167"/>
      <c r="SYN97" s="168"/>
      <c r="SYO97" s="167"/>
      <c r="SYP97" s="168"/>
      <c r="SYQ97" s="167"/>
      <c r="SYR97" s="168"/>
      <c r="SYS97" s="167"/>
      <c r="SYT97" s="168"/>
      <c r="SYU97" s="167"/>
      <c r="SYV97" s="168"/>
      <c r="SYW97" s="167"/>
      <c r="SYX97" s="168"/>
      <c r="SYY97" s="167"/>
      <c r="SYZ97" s="168"/>
      <c r="SZA97" s="167"/>
      <c r="SZB97" s="168"/>
      <c r="SZC97" s="167"/>
      <c r="SZD97" s="168"/>
      <c r="SZE97" s="167"/>
      <c r="SZF97" s="168"/>
      <c r="SZG97" s="167"/>
      <c r="SZH97" s="168"/>
      <c r="SZI97" s="167"/>
      <c r="SZJ97" s="168"/>
      <c r="SZK97" s="167"/>
      <c r="SZL97" s="168"/>
      <c r="SZM97" s="167"/>
      <c r="SZN97" s="168"/>
      <c r="SZO97" s="167"/>
      <c r="SZP97" s="168"/>
      <c r="SZQ97" s="167"/>
      <c r="SZR97" s="168"/>
      <c r="SZS97" s="167"/>
      <c r="SZT97" s="168"/>
      <c r="SZU97" s="167"/>
      <c r="SZV97" s="168"/>
      <c r="SZW97" s="167"/>
      <c r="SZX97" s="168"/>
      <c r="SZY97" s="167"/>
      <c r="SZZ97" s="168"/>
      <c r="TAA97" s="167"/>
      <c r="TAB97" s="168"/>
      <c r="TAC97" s="167"/>
      <c r="TAD97" s="168"/>
      <c r="TAE97" s="167"/>
      <c r="TAF97" s="168"/>
      <c r="TAG97" s="167"/>
      <c r="TAH97" s="168"/>
      <c r="TAI97" s="167"/>
      <c r="TAJ97" s="168"/>
      <c r="TAK97" s="167"/>
      <c r="TAL97" s="168"/>
      <c r="TAM97" s="167"/>
      <c r="TAN97" s="168"/>
      <c r="TAO97" s="167"/>
      <c r="TAP97" s="168"/>
      <c r="TAQ97" s="167"/>
      <c r="TAR97" s="168"/>
      <c r="TAS97" s="167"/>
      <c r="TAT97" s="168"/>
      <c r="TAU97" s="167"/>
      <c r="TAV97" s="168"/>
      <c r="TAW97" s="167"/>
      <c r="TAX97" s="168"/>
      <c r="TAY97" s="167"/>
      <c r="TAZ97" s="168"/>
      <c r="TBA97" s="167"/>
      <c r="TBB97" s="168"/>
      <c r="TBC97" s="167"/>
      <c r="TBD97" s="168"/>
      <c r="TBE97" s="167"/>
      <c r="TBF97" s="168"/>
      <c r="TBG97" s="167"/>
      <c r="TBH97" s="168"/>
      <c r="TBI97" s="167"/>
      <c r="TBJ97" s="168"/>
      <c r="TBK97" s="167"/>
      <c r="TBL97" s="168"/>
      <c r="TBM97" s="167"/>
      <c r="TBN97" s="168"/>
      <c r="TBO97" s="167"/>
      <c r="TBP97" s="168"/>
      <c r="TBQ97" s="167"/>
      <c r="TBR97" s="168"/>
      <c r="TBS97" s="167"/>
      <c r="TBT97" s="168"/>
      <c r="TBU97" s="167"/>
      <c r="TBV97" s="168"/>
      <c r="TBW97" s="167"/>
      <c r="TBX97" s="168"/>
      <c r="TBY97" s="167"/>
      <c r="TBZ97" s="168"/>
      <c r="TCA97" s="167"/>
      <c r="TCB97" s="168"/>
      <c r="TCC97" s="167"/>
      <c r="TCD97" s="168"/>
      <c r="TCE97" s="167"/>
      <c r="TCF97" s="168"/>
      <c r="TCG97" s="167"/>
      <c r="TCH97" s="168"/>
      <c r="TCI97" s="167"/>
      <c r="TCJ97" s="168"/>
      <c r="TCK97" s="167"/>
      <c r="TCL97" s="168"/>
      <c r="TCM97" s="167"/>
      <c r="TCN97" s="168"/>
      <c r="TCO97" s="167"/>
      <c r="TCP97" s="168"/>
      <c r="TCQ97" s="167"/>
      <c r="TCR97" s="168"/>
      <c r="TCS97" s="167"/>
      <c r="TCT97" s="168"/>
      <c r="TCU97" s="167"/>
      <c r="TCV97" s="168"/>
      <c r="TCW97" s="167"/>
      <c r="TCX97" s="168"/>
      <c r="TCY97" s="167"/>
      <c r="TCZ97" s="168"/>
      <c r="TDA97" s="167"/>
      <c r="TDB97" s="168"/>
      <c r="TDC97" s="167"/>
      <c r="TDD97" s="168"/>
      <c r="TDE97" s="167"/>
      <c r="TDF97" s="168"/>
      <c r="TDG97" s="167"/>
      <c r="TDH97" s="168"/>
      <c r="TDI97" s="167"/>
      <c r="TDJ97" s="168"/>
      <c r="TDK97" s="167"/>
      <c r="TDL97" s="168"/>
      <c r="TDM97" s="167"/>
      <c r="TDN97" s="168"/>
      <c r="TDO97" s="167"/>
      <c r="TDP97" s="168"/>
      <c r="TDQ97" s="167"/>
      <c r="TDR97" s="168"/>
      <c r="TDS97" s="167"/>
      <c r="TDT97" s="168"/>
      <c r="TDU97" s="167"/>
      <c r="TDV97" s="168"/>
      <c r="TDW97" s="167"/>
      <c r="TDX97" s="168"/>
      <c r="TDY97" s="167"/>
      <c r="TDZ97" s="168"/>
      <c r="TEA97" s="167"/>
      <c r="TEB97" s="168"/>
      <c r="TEC97" s="167"/>
      <c r="TED97" s="168"/>
      <c r="TEE97" s="167"/>
      <c r="TEF97" s="168"/>
      <c r="TEG97" s="167"/>
      <c r="TEH97" s="168"/>
      <c r="TEI97" s="167"/>
      <c r="TEJ97" s="168"/>
      <c r="TEK97" s="167"/>
      <c r="TEL97" s="168"/>
      <c r="TEM97" s="167"/>
      <c r="TEN97" s="168"/>
      <c r="TEO97" s="167"/>
      <c r="TEP97" s="168"/>
      <c r="TEQ97" s="167"/>
      <c r="TER97" s="168"/>
      <c r="TES97" s="167"/>
      <c r="TET97" s="168"/>
      <c r="TEU97" s="167"/>
      <c r="TEV97" s="168"/>
      <c r="TEW97" s="167"/>
      <c r="TEX97" s="168"/>
      <c r="TEY97" s="167"/>
      <c r="TEZ97" s="168"/>
      <c r="TFA97" s="167"/>
      <c r="TFB97" s="168"/>
      <c r="TFC97" s="167"/>
      <c r="TFD97" s="168"/>
      <c r="TFE97" s="167"/>
      <c r="TFF97" s="168"/>
      <c r="TFG97" s="167"/>
      <c r="TFH97" s="168"/>
      <c r="TFI97" s="167"/>
      <c r="TFJ97" s="168"/>
      <c r="TFK97" s="167"/>
      <c r="TFL97" s="168"/>
      <c r="TFM97" s="167"/>
      <c r="TFN97" s="168"/>
      <c r="TFO97" s="167"/>
      <c r="TFP97" s="168"/>
      <c r="TFQ97" s="167"/>
      <c r="TFR97" s="168"/>
      <c r="TFS97" s="167"/>
      <c r="TFT97" s="168"/>
      <c r="TFU97" s="167"/>
      <c r="TFV97" s="168"/>
      <c r="TFW97" s="167"/>
      <c r="TFX97" s="168"/>
      <c r="TFY97" s="167"/>
      <c r="TFZ97" s="168"/>
      <c r="TGA97" s="167"/>
      <c r="TGB97" s="168"/>
      <c r="TGC97" s="167"/>
      <c r="TGD97" s="168"/>
      <c r="TGE97" s="167"/>
      <c r="TGF97" s="168"/>
      <c r="TGG97" s="167"/>
      <c r="TGH97" s="168"/>
      <c r="TGI97" s="167"/>
      <c r="TGJ97" s="168"/>
      <c r="TGK97" s="167"/>
      <c r="TGL97" s="168"/>
      <c r="TGM97" s="167"/>
      <c r="TGN97" s="168"/>
      <c r="TGO97" s="167"/>
      <c r="TGP97" s="168"/>
      <c r="TGQ97" s="167"/>
      <c r="TGR97" s="168"/>
      <c r="TGS97" s="167"/>
      <c r="TGT97" s="168"/>
      <c r="TGU97" s="167"/>
      <c r="TGV97" s="168"/>
      <c r="TGW97" s="167"/>
      <c r="TGX97" s="168"/>
      <c r="TGY97" s="167"/>
      <c r="TGZ97" s="168"/>
      <c r="THA97" s="167"/>
      <c r="THB97" s="168"/>
      <c r="THC97" s="167"/>
      <c r="THD97" s="168"/>
      <c r="THE97" s="167"/>
      <c r="THF97" s="168"/>
      <c r="THG97" s="167"/>
      <c r="THH97" s="168"/>
      <c r="THI97" s="167"/>
      <c r="THJ97" s="168"/>
      <c r="THK97" s="167"/>
      <c r="THL97" s="168"/>
      <c r="THM97" s="167"/>
      <c r="THN97" s="168"/>
      <c r="THO97" s="167"/>
      <c r="THP97" s="168"/>
      <c r="THQ97" s="167"/>
      <c r="THR97" s="168"/>
      <c r="THS97" s="167"/>
      <c r="THT97" s="168"/>
      <c r="THU97" s="167"/>
      <c r="THV97" s="168"/>
      <c r="THW97" s="167"/>
      <c r="THX97" s="168"/>
      <c r="THY97" s="167"/>
      <c r="THZ97" s="168"/>
      <c r="TIA97" s="167"/>
      <c r="TIB97" s="168"/>
      <c r="TIC97" s="167"/>
      <c r="TID97" s="168"/>
      <c r="TIE97" s="167"/>
      <c r="TIF97" s="168"/>
      <c r="TIG97" s="167"/>
      <c r="TIH97" s="168"/>
      <c r="TII97" s="167"/>
      <c r="TIJ97" s="168"/>
      <c r="TIK97" s="167"/>
      <c r="TIL97" s="168"/>
      <c r="TIM97" s="167"/>
      <c r="TIN97" s="168"/>
      <c r="TIO97" s="167"/>
      <c r="TIP97" s="168"/>
      <c r="TIQ97" s="167"/>
      <c r="TIR97" s="168"/>
      <c r="TIS97" s="167"/>
      <c r="TIT97" s="168"/>
      <c r="TIU97" s="167"/>
      <c r="TIV97" s="168"/>
      <c r="TIW97" s="167"/>
      <c r="TIX97" s="168"/>
      <c r="TIY97" s="167"/>
      <c r="TIZ97" s="168"/>
      <c r="TJA97" s="167"/>
      <c r="TJB97" s="168"/>
      <c r="TJC97" s="167"/>
      <c r="TJD97" s="168"/>
      <c r="TJE97" s="167"/>
      <c r="TJF97" s="168"/>
      <c r="TJG97" s="167"/>
      <c r="TJH97" s="168"/>
      <c r="TJI97" s="167"/>
      <c r="TJJ97" s="168"/>
      <c r="TJK97" s="167"/>
      <c r="TJL97" s="168"/>
      <c r="TJM97" s="167"/>
      <c r="TJN97" s="168"/>
      <c r="TJO97" s="167"/>
      <c r="TJP97" s="168"/>
      <c r="TJQ97" s="167"/>
      <c r="TJR97" s="168"/>
      <c r="TJS97" s="167"/>
      <c r="TJT97" s="168"/>
      <c r="TJU97" s="167"/>
      <c r="TJV97" s="168"/>
      <c r="TJW97" s="167"/>
      <c r="TJX97" s="168"/>
      <c r="TJY97" s="167"/>
      <c r="TJZ97" s="168"/>
      <c r="TKA97" s="167"/>
      <c r="TKB97" s="168"/>
      <c r="TKC97" s="167"/>
      <c r="TKD97" s="168"/>
      <c r="TKE97" s="167"/>
      <c r="TKF97" s="168"/>
      <c r="TKG97" s="167"/>
      <c r="TKH97" s="168"/>
      <c r="TKI97" s="167"/>
      <c r="TKJ97" s="168"/>
      <c r="TKK97" s="167"/>
      <c r="TKL97" s="168"/>
      <c r="TKM97" s="167"/>
      <c r="TKN97" s="168"/>
      <c r="TKO97" s="167"/>
      <c r="TKP97" s="168"/>
      <c r="TKQ97" s="167"/>
      <c r="TKR97" s="168"/>
      <c r="TKS97" s="167"/>
      <c r="TKT97" s="168"/>
      <c r="TKU97" s="167"/>
      <c r="TKV97" s="168"/>
      <c r="TKW97" s="167"/>
      <c r="TKX97" s="168"/>
      <c r="TKY97" s="167"/>
      <c r="TKZ97" s="168"/>
      <c r="TLA97" s="167"/>
      <c r="TLB97" s="168"/>
      <c r="TLC97" s="167"/>
      <c r="TLD97" s="168"/>
      <c r="TLE97" s="167"/>
      <c r="TLF97" s="168"/>
      <c r="TLG97" s="167"/>
      <c r="TLH97" s="168"/>
      <c r="TLI97" s="167"/>
      <c r="TLJ97" s="168"/>
      <c r="TLK97" s="167"/>
      <c r="TLL97" s="168"/>
      <c r="TLM97" s="167"/>
      <c r="TLN97" s="168"/>
      <c r="TLO97" s="167"/>
      <c r="TLP97" s="168"/>
      <c r="TLQ97" s="167"/>
      <c r="TLR97" s="168"/>
      <c r="TLS97" s="167"/>
      <c r="TLT97" s="168"/>
      <c r="TLU97" s="167"/>
      <c r="TLV97" s="168"/>
      <c r="TLW97" s="167"/>
      <c r="TLX97" s="168"/>
      <c r="TLY97" s="167"/>
      <c r="TLZ97" s="168"/>
      <c r="TMA97" s="167"/>
      <c r="TMB97" s="168"/>
      <c r="TMC97" s="167"/>
      <c r="TMD97" s="168"/>
      <c r="TME97" s="167"/>
      <c r="TMF97" s="168"/>
      <c r="TMG97" s="167"/>
      <c r="TMH97" s="168"/>
      <c r="TMI97" s="167"/>
      <c r="TMJ97" s="168"/>
      <c r="TMK97" s="167"/>
      <c r="TML97" s="168"/>
      <c r="TMM97" s="167"/>
      <c r="TMN97" s="168"/>
      <c r="TMO97" s="167"/>
      <c r="TMP97" s="168"/>
      <c r="TMQ97" s="167"/>
      <c r="TMR97" s="168"/>
      <c r="TMS97" s="167"/>
      <c r="TMT97" s="168"/>
      <c r="TMU97" s="167"/>
      <c r="TMV97" s="168"/>
      <c r="TMW97" s="167"/>
      <c r="TMX97" s="168"/>
      <c r="TMY97" s="167"/>
      <c r="TMZ97" s="168"/>
      <c r="TNA97" s="167"/>
      <c r="TNB97" s="168"/>
      <c r="TNC97" s="167"/>
      <c r="TND97" s="168"/>
      <c r="TNE97" s="167"/>
      <c r="TNF97" s="168"/>
      <c r="TNG97" s="167"/>
      <c r="TNH97" s="168"/>
      <c r="TNI97" s="167"/>
      <c r="TNJ97" s="168"/>
      <c r="TNK97" s="167"/>
      <c r="TNL97" s="168"/>
      <c r="TNM97" s="167"/>
      <c r="TNN97" s="168"/>
      <c r="TNO97" s="167"/>
      <c r="TNP97" s="168"/>
      <c r="TNQ97" s="167"/>
      <c r="TNR97" s="168"/>
      <c r="TNS97" s="167"/>
      <c r="TNT97" s="168"/>
      <c r="TNU97" s="167"/>
      <c r="TNV97" s="168"/>
      <c r="TNW97" s="167"/>
      <c r="TNX97" s="168"/>
      <c r="TNY97" s="167"/>
      <c r="TNZ97" s="168"/>
      <c r="TOA97" s="167"/>
      <c r="TOB97" s="168"/>
      <c r="TOC97" s="167"/>
      <c r="TOD97" s="168"/>
      <c r="TOE97" s="167"/>
      <c r="TOF97" s="168"/>
      <c r="TOG97" s="167"/>
      <c r="TOH97" s="168"/>
      <c r="TOI97" s="167"/>
      <c r="TOJ97" s="168"/>
      <c r="TOK97" s="167"/>
      <c r="TOL97" s="168"/>
      <c r="TOM97" s="167"/>
      <c r="TON97" s="168"/>
      <c r="TOO97" s="167"/>
      <c r="TOP97" s="168"/>
      <c r="TOQ97" s="167"/>
      <c r="TOR97" s="168"/>
      <c r="TOS97" s="167"/>
      <c r="TOT97" s="168"/>
      <c r="TOU97" s="167"/>
      <c r="TOV97" s="168"/>
      <c r="TOW97" s="167"/>
      <c r="TOX97" s="168"/>
      <c r="TOY97" s="167"/>
      <c r="TOZ97" s="168"/>
      <c r="TPA97" s="167"/>
      <c r="TPB97" s="168"/>
      <c r="TPC97" s="167"/>
      <c r="TPD97" s="168"/>
      <c r="TPE97" s="167"/>
      <c r="TPF97" s="168"/>
      <c r="TPG97" s="167"/>
      <c r="TPH97" s="168"/>
      <c r="TPI97" s="167"/>
      <c r="TPJ97" s="168"/>
      <c r="TPK97" s="167"/>
      <c r="TPL97" s="168"/>
      <c r="TPM97" s="167"/>
      <c r="TPN97" s="168"/>
      <c r="TPO97" s="167"/>
      <c r="TPP97" s="168"/>
      <c r="TPQ97" s="167"/>
      <c r="TPR97" s="168"/>
      <c r="TPS97" s="167"/>
      <c r="TPT97" s="168"/>
      <c r="TPU97" s="167"/>
      <c r="TPV97" s="168"/>
      <c r="TPW97" s="167"/>
      <c r="TPX97" s="168"/>
      <c r="TPY97" s="167"/>
      <c r="TPZ97" s="168"/>
      <c r="TQA97" s="167"/>
      <c r="TQB97" s="168"/>
      <c r="TQC97" s="167"/>
      <c r="TQD97" s="168"/>
      <c r="TQE97" s="167"/>
      <c r="TQF97" s="168"/>
      <c r="TQG97" s="167"/>
      <c r="TQH97" s="168"/>
      <c r="TQI97" s="167"/>
      <c r="TQJ97" s="168"/>
      <c r="TQK97" s="167"/>
      <c r="TQL97" s="168"/>
      <c r="TQM97" s="167"/>
      <c r="TQN97" s="168"/>
      <c r="TQO97" s="167"/>
      <c r="TQP97" s="168"/>
      <c r="TQQ97" s="167"/>
      <c r="TQR97" s="168"/>
      <c r="TQS97" s="167"/>
      <c r="TQT97" s="168"/>
      <c r="TQU97" s="167"/>
      <c r="TQV97" s="168"/>
      <c r="TQW97" s="167"/>
      <c r="TQX97" s="168"/>
      <c r="TQY97" s="167"/>
      <c r="TQZ97" s="168"/>
      <c r="TRA97" s="167"/>
      <c r="TRB97" s="168"/>
      <c r="TRC97" s="167"/>
      <c r="TRD97" s="168"/>
      <c r="TRE97" s="167"/>
      <c r="TRF97" s="168"/>
      <c r="TRG97" s="167"/>
      <c r="TRH97" s="168"/>
      <c r="TRI97" s="167"/>
      <c r="TRJ97" s="168"/>
      <c r="TRK97" s="167"/>
      <c r="TRL97" s="168"/>
      <c r="TRM97" s="167"/>
      <c r="TRN97" s="168"/>
      <c r="TRO97" s="167"/>
      <c r="TRP97" s="168"/>
      <c r="TRQ97" s="167"/>
      <c r="TRR97" s="168"/>
      <c r="TRS97" s="167"/>
      <c r="TRT97" s="168"/>
      <c r="TRU97" s="167"/>
      <c r="TRV97" s="168"/>
      <c r="TRW97" s="167"/>
      <c r="TRX97" s="168"/>
      <c r="TRY97" s="167"/>
      <c r="TRZ97" s="168"/>
      <c r="TSA97" s="167"/>
      <c r="TSB97" s="168"/>
      <c r="TSC97" s="167"/>
      <c r="TSD97" s="168"/>
      <c r="TSE97" s="167"/>
      <c r="TSF97" s="168"/>
      <c r="TSG97" s="167"/>
      <c r="TSH97" s="168"/>
      <c r="TSI97" s="167"/>
      <c r="TSJ97" s="168"/>
      <c r="TSK97" s="167"/>
      <c r="TSL97" s="168"/>
      <c r="TSM97" s="167"/>
      <c r="TSN97" s="168"/>
      <c r="TSO97" s="167"/>
      <c r="TSP97" s="168"/>
      <c r="TSQ97" s="167"/>
      <c r="TSR97" s="168"/>
      <c r="TSS97" s="167"/>
      <c r="TST97" s="168"/>
      <c r="TSU97" s="167"/>
      <c r="TSV97" s="168"/>
      <c r="TSW97" s="167"/>
      <c r="TSX97" s="168"/>
      <c r="TSY97" s="167"/>
      <c r="TSZ97" s="168"/>
      <c r="TTA97" s="167"/>
      <c r="TTB97" s="168"/>
      <c r="TTC97" s="167"/>
      <c r="TTD97" s="168"/>
      <c r="TTE97" s="167"/>
      <c r="TTF97" s="168"/>
      <c r="TTG97" s="167"/>
      <c r="TTH97" s="168"/>
      <c r="TTI97" s="167"/>
      <c r="TTJ97" s="168"/>
      <c r="TTK97" s="167"/>
      <c r="TTL97" s="168"/>
      <c r="TTM97" s="167"/>
      <c r="TTN97" s="168"/>
      <c r="TTO97" s="167"/>
      <c r="TTP97" s="168"/>
      <c r="TTQ97" s="167"/>
      <c r="TTR97" s="168"/>
      <c r="TTS97" s="167"/>
      <c r="TTT97" s="168"/>
      <c r="TTU97" s="167"/>
      <c r="TTV97" s="168"/>
      <c r="TTW97" s="167"/>
      <c r="TTX97" s="168"/>
      <c r="TTY97" s="167"/>
      <c r="TTZ97" s="168"/>
      <c r="TUA97" s="167"/>
      <c r="TUB97" s="168"/>
      <c r="TUC97" s="167"/>
      <c r="TUD97" s="168"/>
      <c r="TUE97" s="167"/>
      <c r="TUF97" s="168"/>
      <c r="TUG97" s="167"/>
      <c r="TUH97" s="168"/>
      <c r="TUI97" s="167"/>
      <c r="TUJ97" s="168"/>
      <c r="TUK97" s="167"/>
      <c r="TUL97" s="168"/>
      <c r="TUM97" s="167"/>
      <c r="TUN97" s="168"/>
      <c r="TUO97" s="167"/>
      <c r="TUP97" s="168"/>
      <c r="TUQ97" s="167"/>
      <c r="TUR97" s="168"/>
      <c r="TUS97" s="167"/>
      <c r="TUT97" s="168"/>
      <c r="TUU97" s="167"/>
      <c r="TUV97" s="168"/>
      <c r="TUW97" s="167"/>
      <c r="TUX97" s="168"/>
      <c r="TUY97" s="167"/>
      <c r="TUZ97" s="168"/>
      <c r="TVA97" s="167"/>
      <c r="TVB97" s="168"/>
      <c r="TVC97" s="167"/>
      <c r="TVD97" s="168"/>
      <c r="TVE97" s="167"/>
      <c r="TVF97" s="168"/>
      <c r="TVG97" s="167"/>
      <c r="TVH97" s="168"/>
      <c r="TVI97" s="167"/>
      <c r="TVJ97" s="168"/>
      <c r="TVK97" s="167"/>
      <c r="TVL97" s="168"/>
      <c r="TVM97" s="167"/>
      <c r="TVN97" s="168"/>
      <c r="TVO97" s="167"/>
      <c r="TVP97" s="168"/>
      <c r="TVQ97" s="167"/>
      <c r="TVR97" s="168"/>
      <c r="TVS97" s="167"/>
      <c r="TVT97" s="168"/>
      <c r="TVU97" s="167"/>
      <c r="TVV97" s="168"/>
      <c r="TVW97" s="167"/>
      <c r="TVX97" s="168"/>
      <c r="TVY97" s="167"/>
      <c r="TVZ97" s="168"/>
      <c r="TWA97" s="167"/>
      <c r="TWB97" s="168"/>
      <c r="TWC97" s="167"/>
      <c r="TWD97" s="168"/>
      <c r="TWE97" s="167"/>
      <c r="TWF97" s="168"/>
      <c r="TWG97" s="167"/>
      <c r="TWH97" s="168"/>
      <c r="TWI97" s="167"/>
      <c r="TWJ97" s="168"/>
      <c r="TWK97" s="167"/>
      <c r="TWL97" s="168"/>
      <c r="TWM97" s="167"/>
      <c r="TWN97" s="168"/>
      <c r="TWO97" s="167"/>
      <c r="TWP97" s="168"/>
      <c r="TWQ97" s="167"/>
      <c r="TWR97" s="168"/>
      <c r="TWS97" s="167"/>
      <c r="TWT97" s="168"/>
      <c r="TWU97" s="167"/>
      <c r="TWV97" s="168"/>
      <c r="TWW97" s="167"/>
      <c r="TWX97" s="168"/>
      <c r="TWY97" s="167"/>
      <c r="TWZ97" s="168"/>
      <c r="TXA97" s="167"/>
      <c r="TXB97" s="168"/>
      <c r="TXC97" s="167"/>
      <c r="TXD97" s="168"/>
      <c r="TXE97" s="167"/>
      <c r="TXF97" s="168"/>
      <c r="TXG97" s="167"/>
      <c r="TXH97" s="168"/>
      <c r="TXI97" s="167"/>
      <c r="TXJ97" s="168"/>
      <c r="TXK97" s="167"/>
      <c r="TXL97" s="168"/>
      <c r="TXM97" s="167"/>
      <c r="TXN97" s="168"/>
      <c r="TXO97" s="167"/>
      <c r="TXP97" s="168"/>
      <c r="TXQ97" s="167"/>
      <c r="TXR97" s="168"/>
      <c r="TXS97" s="167"/>
      <c r="TXT97" s="168"/>
      <c r="TXU97" s="167"/>
      <c r="TXV97" s="168"/>
      <c r="TXW97" s="167"/>
      <c r="TXX97" s="168"/>
      <c r="TXY97" s="167"/>
      <c r="TXZ97" s="168"/>
      <c r="TYA97" s="167"/>
      <c r="TYB97" s="168"/>
      <c r="TYC97" s="167"/>
      <c r="TYD97" s="168"/>
      <c r="TYE97" s="167"/>
      <c r="TYF97" s="168"/>
      <c r="TYG97" s="167"/>
      <c r="TYH97" s="168"/>
      <c r="TYI97" s="167"/>
      <c r="TYJ97" s="168"/>
      <c r="TYK97" s="167"/>
      <c r="TYL97" s="168"/>
      <c r="TYM97" s="167"/>
      <c r="TYN97" s="168"/>
      <c r="TYO97" s="167"/>
      <c r="TYP97" s="168"/>
      <c r="TYQ97" s="167"/>
      <c r="TYR97" s="168"/>
      <c r="TYS97" s="167"/>
      <c r="TYT97" s="168"/>
      <c r="TYU97" s="167"/>
      <c r="TYV97" s="168"/>
      <c r="TYW97" s="167"/>
      <c r="TYX97" s="168"/>
      <c r="TYY97" s="167"/>
      <c r="TYZ97" s="168"/>
      <c r="TZA97" s="167"/>
      <c r="TZB97" s="168"/>
      <c r="TZC97" s="167"/>
      <c r="TZD97" s="168"/>
      <c r="TZE97" s="167"/>
      <c r="TZF97" s="168"/>
      <c r="TZG97" s="167"/>
      <c r="TZH97" s="168"/>
      <c r="TZI97" s="167"/>
      <c r="TZJ97" s="168"/>
      <c r="TZK97" s="167"/>
      <c r="TZL97" s="168"/>
      <c r="TZM97" s="167"/>
      <c r="TZN97" s="168"/>
      <c r="TZO97" s="167"/>
      <c r="TZP97" s="168"/>
      <c r="TZQ97" s="167"/>
      <c r="TZR97" s="168"/>
      <c r="TZS97" s="167"/>
      <c r="TZT97" s="168"/>
      <c r="TZU97" s="167"/>
      <c r="TZV97" s="168"/>
      <c r="TZW97" s="167"/>
      <c r="TZX97" s="168"/>
      <c r="TZY97" s="167"/>
      <c r="TZZ97" s="168"/>
      <c r="UAA97" s="167"/>
      <c r="UAB97" s="168"/>
      <c r="UAC97" s="167"/>
      <c r="UAD97" s="168"/>
      <c r="UAE97" s="167"/>
      <c r="UAF97" s="168"/>
      <c r="UAG97" s="167"/>
      <c r="UAH97" s="168"/>
      <c r="UAI97" s="167"/>
      <c r="UAJ97" s="168"/>
      <c r="UAK97" s="167"/>
      <c r="UAL97" s="168"/>
      <c r="UAM97" s="167"/>
      <c r="UAN97" s="168"/>
      <c r="UAO97" s="167"/>
      <c r="UAP97" s="168"/>
      <c r="UAQ97" s="167"/>
      <c r="UAR97" s="168"/>
      <c r="UAS97" s="167"/>
      <c r="UAT97" s="168"/>
      <c r="UAU97" s="167"/>
      <c r="UAV97" s="168"/>
      <c r="UAW97" s="167"/>
      <c r="UAX97" s="168"/>
      <c r="UAY97" s="167"/>
      <c r="UAZ97" s="168"/>
      <c r="UBA97" s="167"/>
      <c r="UBB97" s="168"/>
      <c r="UBC97" s="167"/>
      <c r="UBD97" s="168"/>
      <c r="UBE97" s="167"/>
      <c r="UBF97" s="168"/>
      <c r="UBG97" s="167"/>
      <c r="UBH97" s="168"/>
      <c r="UBI97" s="167"/>
      <c r="UBJ97" s="168"/>
      <c r="UBK97" s="167"/>
      <c r="UBL97" s="168"/>
      <c r="UBM97" s="167"/>
      <c r="UBN97" s="168"/>
      <c r="UBO97" s="167"/>
      <c r="UBP97" s="168"/>
      <c r="UBQ97" s="167"/>
      <c r="UBR97" s="168"/>
      <c r="UBS97" s="167"/>
      <c r="UBT97" s="168"/>
      <c r="UBU97" s="167"/>
      <c r="UBV97" s="168"/>
      <c r="UBW97" s="167"/>
      <c r="UBX97" s="168"/>
      <c r="UBY97" s="167"/>
      <c r="UBZ97" s="168"/>
      <c r="UCA97" s="167"/>
      <c r="UCB97" s="168"/>
      <c r="UCC97" s="167"/>
      <c r="UCD97" s="168"/>
      <c r="UCE97" s="167"/>
      <c r="UCF97" s="168"/>
      <c r="UCG97" s="167"/>
      <c r="UCH97" s="168"/>
      <c r="UCI97" s="167"/>
      <c r="UCJ97" s="168"/>
      <c r="UCK97" s="167"/>
      <c r="UCL97" s="168"/>
      <c r="UCM97" s="167"/>
      <c r="UCN97" s="168"/>
      <c r="UCO97" s="167"/>
      <c r="UCP97" s="168"/>
      <c r="UCQ97" s="167"/>
      <c r="UCR97" s="168"/>
      <c r="UCS97" s="167"/>
      <c r="UCT97" s="168"/>
      <c r="UCU97" s="167"/>
      <c r="UCV97" s="168"/>
      <c r="UCW97" s="167"/>
      <c r="UCX97" s="168"/>
      <c r="UCY97" s="167"/>
      <c r="UCZ97" s="168"/>
      <c r="UDA97" s="167"/>
      <c r="UDB97" s="168"/>
      <c r="UDC97" s="167"/>
      <c r="UDD97" s="168"/>
      <c r="UDE97" s="167"/>
      <c r="UDF97" s="168"/>
      <c r="UDG97" s="167"/>
      <c r="UDH97" s="168"/>
      <c r="UDI97" s="167"/>
      <c r="UDJ97" s="168"/>
      <c r="UDK97" s="167"/>
      <c r="UDL97" s="168"/>
      <c r="UDM97" s="167"/>
      <c r="UDN97" s="168"/>
      <c r="UDO97" s="167"/>
      <c r="UDP97" s="168"/>
      <c r="UDQ97" s="167"/>
      <c r="UDR97" s="168"/>
      <c r="UDS97" s="167"/>
      <c r="UDT97" s="168"/>
      <c r="UDU97" s="167"/>
      <c r="UDV97" s="168"/>
      <c r="UDW97" s="167"/>
      <c r="UDX97" s="168"/>
      <c r="UDY97" s="167"/>
      <c r="UDZ97" s="168"/>
      <c r="UEA97" s="167"/>
      <c r="UEB97" s="168"/>
      <c r="UEC97" s="167"/>
      <c r="UED97" s="168"/>
      <c r="UEE97" s="167"/>
      <c r="UEF97" s="168"/>
      <c r="UEG97" s="167"/>
      <c r="UEH97" s="168"/>
      <c r="UEI97" s="167"/>
      <c r="UEJ97" s="168"/>
      <c r="UEK97" s="167"/>
      <c r="UEL97" s="168"/>
      <c r="UEM97" s="167"/>
      <c r="UEN97" s="168"/>
      <c r="UEO97" s="167"/>
      <c r="UEP97" s="168"/>
      <c r="UEQ97" s="167"/>
      <c r="UER97" s="168"/>
      <c r="UES97" s="167"/>
      <c r="UET97" s="168"/>
      <c r="UEU97" s="167"/>
      <c r="UEV97" s="168"/>
      <c r="UEW97" s="167"/>
      <c r="UEX97" s="168"/>
      <c r="UEY97" s="167"/>
      <c r="UEZ97" s="168"/>
      <c r="UFA97" s="167"/>
      <c r="UFB97" s="168"/>
      <c r="UFC97" s="167"/>
      <c r="UFD97" s="168"/>
      <c r="UFE97" s="167"/>
      <c r="UFF97" s="168"/>
      <c r="UFG97" s="167"/>
      <c r="UFH97" s="168"/>
      <c r="UFI97" s="167"/>
      <c r="UFJ97" s="168"/>
      <c r="UFK97" s="167"/>
      <c r="UFL97" s="168"/>
      <c r="UFM97" s="167"/>
      <c r="UFN97" s="168"/>
      <c r="UFO97" s="167"/>
      <c r="UFP97" s="168"/>
      <c r="UFQ97" s="167"/>
      <c r="UFR97" s="168"/>
      <c r="UFS97" s="167"/>
      <c r="UFT97" s="168"/>
      <c r="UFU97" s="167"/>
      <c r="UFV97" s="168"/>
      <c r="UFW97" s="167"/>
      <c r="UFX97" s="168"/>
      <c r="UFY97" s="167"/>
      <c r="UFZ97" s="168"/>
      <c r="UGA97" s="167"/>
      <c r="UGB97" s="168"/>
      <c r="UGC97" s="167"/>
      <c r="UGD97" s="168"/>
      <c r="UGE97" s="167"/>
      <c r="UGF97" s="168"/>
      <c r="UGG97" s="167"/>
      <c r="UGH97" s="168"/>
      <c r="UGI97" s="167"/>
      <c r="UGJ97" s="168"/>
      <c r="UGK97" s="167"/>
      <c r="UGL97" s="168"/>
      <c r="UGM97" s="167"/>
      <c r="UGN97" s="168"/>
      <c r="UGO97" s="167"/>
      <c r="UGP97" s="168"/>
      <c r="UGQ97" s="167"/>
      <c r="UGR97" s="168"/>
      <c r="UGS97" s="167"/>
      <c r="UGT97" s="168"/>
      <c r="UGU97" s="167"/>
      <c r="UGV97" s="168"/>
      <c r="UGW97" s="167"/>
      <c r="UGX97" s="168"/>
      <c r="UGY97" s="167"/>
      <c r="UGZ97" s="168"/>
      <c r="UHA97" s="167"/>
      <c r="UHB97" s="168"/>
      <c r="UHC97" s="167"/>
      <c r="UHD97" s="168"/>
      <c r="UHE97" s="167"/>
      <c r="UHF97" s="168"/>
      <c r="UHG97" s="167"/>
      <c r="UHH97" s="168"/>
      <c r="UHI97" s="167"/>
      <c r="UHJ97" s="168"/>
      <c r="UHK97" s="167"/>
      <c r="UHL97" s="168"/>
      <c r="UHM97" s="167"/>
      <c r="UHN97" s="168"/>
      <c r="UHO97" s="167"/>
      <c r="UHP97" s="168"/>
      <c r="UHQ97" s="167"/>
      <c r="UHR97" s="168"/>
      <c r="UHS97" s="167"/>
      <c r="UHT97" s="168"/>
      <c r="UHU97" s="167"/>
      <c r="UHV97" s="168"/>
      <c r="UHW97" s="167"/>
      <c r="UHX97" s="168"/>
      <c r="UHY97" s="167"/>
      <c r="UHZ97" s="168"/>
      <c r="UIA97" s="167"/>
      <c r="UIB97" s="168"/>
      <c r="UIC97" s="167"/>
      <c r="UID97" s="168"/>
      <c r="UIE97" s="167"/>
      <c r="UIF97" s="168"/>
      <c r="UIG97" s="167"/>
      <c r="UIH97" s="168"/>
      <c r="UII97" s="167"/>
      <c r="UIJ97" s="168"/>
      <c r="UIK97" s="167"/>
      <c r="UIL97" s="168"/>
      <c r="UIM97" s="167"/>
      <c r="UIN97" s="168"/>
      <c r="UIO97" s="167"/>
      <c r="UIP97" s="168"/>
      <c r="UIQ97" s="167"/>
      <c r="UIR97" s="168"/>
      <c r="UIS97" s="167"/>
      <c r="UIT97" s="168"/>
      <c r="UIU97" s="167"/>
      <c r="UIV97" s="168"/>
      <c r="UIW97" s="167"/>
      <c r="UIX97" s="168"/>
      <c r="UIY97" s="167"/>
      <c r="UIZ97" s="168"/>
      <c r="UJA97" s="167"/>
      <c r="UJB97" s="168"/>
      <c r="UJC97" s="167"/>
      <c r="UJD97" s="168"/>
      <c r="UJE97" s="167"/>
      <c r="UJF97" s="168"/>
      <c r="UJG97" s="167"/>
      <c r="UJH97" s="168"/>
      <c r="UJI97" s="167"/>
      <c r="UJJ97" s="168"/>
      <c r="UJK97" s="167"/>
      <c r="UJL97" s="168"/>
      <c r="UJM97" s="167"/>
      <c r="UJN97" s="168"/>
      <c r="UJO97" s="167"/>
      <c r="UJP97" s="168"/>
      <c r="UJQ97" s="167"/>
      <c r="UJR97" s="168"/>
      <c r="UJS97" s="167"/>
      <c r="UJT97" s="168"/>
      <c r="UJU97" s="167"/>
      <c r="UJV97" s="168"/>
      <c r="UJW97" s="167"/>
      <c r="UJX97" s="168"/>
      <c r="UJY97" s="167"/>
      <c r="UJZ97" s="168"/>
      <c r="UKA97" s="167"/>
      <c r="UKB97" s="168"/>
      <c r="UKC97" s="167"/>
      <c r="UKD97" s="168"/>
      <c r="UKE97" s="167"/>
      <c r="UKF97" s="168"/>
      <c r="UKG97" s="167"/>
      <c r="UKH97" s="168"/>
      <c r="UKI97" s="167"/>
      <c r="UKJ97" s="168"/>
      <c r="UKK97" s="167"/>
      <c r="UKL97" s="168"/>
      <c r="UKM97" s="167"/>
      <c r="UKN97" s="168"/>
      <c r="UKO97" s="167"/>
      <c r="UKP97" s="168"/>
      <c r="UKQ97" s="167"/>
      <c r="UKR97" s="168"/>
      <c r="UKS97" s="167"/>
      <c r="UKT97" s="168"/>
      <c r="UKU97" s="167"/>
      <c r="UKV97" s="168"/>
      <c r="UKW97" s="167"/>
      <c r="UKX97" s="168"/>
      <c r="UKY97" s="167"/>
      <c r="UKZ97" s="168"/>
      <c r="ULA97" s="167"/>
      <c r="ULB97" s="168"/>
      <c r="ULC97" s="167"/>
      <c r="ULD97" s="168"/>
      <c r="ULE97" s="167"/>
      <c r="ULF97" s="168"/>
      <c r="ULG97" s="167"/>
      <c r="ULH97" s="168"/>
      <c r="ULI97" s="167"/>
      <c r="ULJ97" s="168"/>
      <c r="ULK97" s="167"/>
      <c r="ULL97" s="168"/>
      <c r="ULM97" s="167"/>
      <c r="ULN97" s="168"/>
      <c r="ULO97" s="167"/>
      <c r="ULP97" s="168"/>
      <c r="ULQ97" s="167"/>
      <c r="ULR97" s="168"/>
      <c r="ULS97" s="167"/>
      <c r="ULT97" s="168"/>
      <c r="ULU97" s="167"/>
      <c r="ULV97" s="168"/>
      <c r="ULW97" s="167"/>
      <c r="ULX97" s="168"/>
      <c r="ULY97" s="167"/>
      <c r="ULZ97" s="168"/>
      <c r="UMA97" s="167"/>
      <c r="UMB97" s="168"/>
      <c r="UMC97" s="167"/>
      <c r="UMD97" s="168"/>
      <c r="UME97" s="167"/>
      <c r="UMF97" s="168"/>
      <c r="UMG97" s="167"/>
      <c r="UMH97" s="168"/>
      <c r="UMI97" s="167"/>
      <c r="UMJ97" s="168"/>
      <c r="UMK97" s="167"/>
      <c r="UML97" s="168"/>
      <c r="UMM97" s="167"/>
      <c r="UMN97" s="168"/>
      <c r="UMO97" s="167"/>
      <c r="UMP97" s="168"/>
      <c r="UMQ97" s="167"/>
      <c r="UMR97" s="168"/>
      <c r="UMS97" s="167"/>
      <c r="UMT97" s="168"/>
      <c r="UMU97" s="167"/>
      <c r="UMV97" s="168"/>
      <c r="UMW97" s="167"/>
      <c r="UMX97" s="168"/>
      <c r="UMY97" s="167"/>
      <c r="UMZ97" s="168"/>
      <c r="UNA97" s="167"/>
      <c r="UNB97" s="168"/>
      <c r="UNC97" s="167"/>
      <c r="UND97" s="168"/>
      <c r="UNE97" s="167"/>
      <c r="UNF97" s="168"/>
      <c r="UNG97" s="167"/>
      <c r="UNH97" s="168"/>
      <c r="UNI97" s="167"/>
      <c r="UNJ97" s="168"/>
      <c r="UNK97" s="167"/>
      <c r="UNL97" s="168"/>
      <c r="UNM97" s="167"/>
      <c r="UNN97" s="168"/>
      <c r="UNO97" s="167"/>
      <c r="UNP97" s="168"/>
      <c r="UNQ97" s="167"/>
      <c r="UNR97" s="168"/>
      <c r="UNS97" s="167"/>
      <c r="UNT97" s="168"/>
      <c r="UNU97" s="167"/>
      <c r="UNV97" s="168"/>
      <c r="UNW97" s="167"/>
      <c r="UNX97" s="168"/>
      <c r="UNY97" s="167"/>
      <c r="UNZ97" s="168"/>
      <c r="UOA97" s="167"/>
      <c r="UOB97" s="168"/>
      <c r="UOC97" s="167"/>
      <c r="UOD97" s="168"/>
      <c r="UOE97" s="167"/>
      <c r="UOF97" s="168"/>
      <c r="UOG97" s="167"/>
      <c r="UOH97" s="168"/>
      <c r="UOI97" s="167"/>
      <c r="UOJ97" s="168"/>
      <c r="UOK97" s="167"/>
      <c r="UOL97" s="168"/>
      <c r="UOM97" s="167"/>
      <c r="UON97" s="168"/>
      <c r="UOO97" s="167"/>
      <c r="UOP97" s="168"/>
      <c r="UOQ97" s="167"/>
      <c r="UOR97" s="168"/>
      <c r="UOS97" s="167"/>
      <c r="UOT97" s="168"/>
      <c r="UOU97" s="167"/>
      <c r="UOV97" s="168"/>
      <c r="UOW97" s="167"/>
      <c r="UOX97" s="168"/>
      <c r="UOY97" s="167"/>
      <c r="UOZ97" s="168"/>
      <c r="UPA97" s="167"/>
      <c r="UPB97" s="168"/>
      <c r="UPC97" s="167"/>
      <c r="UPD97" s="168"/>
      <c r="UPE97" s="167"/>
      <c r="UPF97" s="168"/>
      <c r="UPG97" s="167"/>
      <c r="UPH97" s="168"/>
      <c r="UPI97" s="167"/>
      <c r="UPJ97" s="168"/>
      <c r="UPK97" s="167"/>
      <c r="UPL97" s="168"/>
      <c r="UPM97" s="167"/>
      <c r="UPN97" s="168"/>
      <c r="UPO97" s="167"/>
      <c r="UPP97" s="168"/>
      <c r="UPQ97" s="167"/>
      <c r="UPR97" s="168"/>
      <c r="UPS97" s="167"/>
      <c r="UPT97" s="168"/>
      <c r="UPU97" s="167"/>
      <c r="UPV97" s="168"/>
      <c r="UPW97" s="167"/>
      <c r="UPX97" s="168"/>
      <c r="UPY97" s="167"/>
      <c r="UPZ97" s="168"/>
      <c r="UQA97" s="167"/>
      <c r="UQB97" s="168"/>
      <c r="UQC97" s="167"/>
      <c r="UQD97" s="168"/>
      <c r="UQE97" s="167"/>
      <c r="UQF97" s="168"/>
      <c r="UQG97" s="167"/>
      <c r="UQH97" s="168"/>
      <c r="UQI97" s="167"/>
      <c r="UQJ97" s="168"/>
      <c r="UQK97" s="167"/>
      <c r="UQL97" s="168"/>
      <c r="UQM97" s="167"/>
      <c r="UQN97" s="168"/>
      <c r="UQO97" s="167"/>
      <c r="UQP97" s="168"/>
      <c r="UQQ97" s="167"/>
      <c r="UQR97" s="168"/>
      <c r="UQS97" s="167"/>
      <c r="UQT97" s="168"/>
      <c r="UQU97" s="167"/>
      <c r="UQV97" s="168"/>
      <c r="UQW97" s="167"/>
      <c r="UQX97" s="168"/>
      <c r="UQY97" s="167"/>
      <c r="UQZ97" s="168"/>
      <c r="URA97" s="167"/>
      <c r="URB97" s="168"/>
      <c r="URC97" s="167"/>
      <c r="URD97" s="168"/>
      <c r="URE97" s="167"/>
      <c r="URF97" s="168"/>
      <c r="URG97" s="167"/>
      <c r="URH97" s="168"/>
      <c r="URI97" s="167"/>
      <c r="URJ97" s="168"/>
      <c r="URK97" s="167"/>
      <c r="URL97" s="168"/>
      <c r="URM97" s="167"/>
      <c r="URN97" s="168"/>
      <c r="URO97" s="167"/>
      <c r="URP97" s="168"/>
      <c r="URQ97" s="167"/>
      <c r="URR97" s="168"/>
      <c r="URS97" s="167"/>
      <c r="URT97" s="168"/>
      <c r="URU97" s="167"/>
      <c r="URV97" s="168"/>
      <c r="URW97" s="167"/>
      <c r="URX97" s="168"/>
      <c r="URY97" s="167"/>
      <c r="URZ97" s="168"/>
      <c r="USA97" s="167"/>
      <c r="USB97" s="168"/>
      <c r="USC97" s="167"/>
      <c r="USD97" s="168"/>
      <c r="USE97" s="167"/>
      <c r="USF97" s="168"/>
      <c r="USG97" s="167"/>
      <c r="USH97" s="168"/>
      <c r="USI97" s="167"/>
      <c r="USJ97" s="168"/>
      <c r="USK97" s="167"/>
      <c r="USL97" s="168"/>
      <c r="USM97" s="167"/>
      <c r="USN97" s="168"/>
      <c r="USO97" s="167"/>
      <c r="USP97" s="168"/>
      <c r="USQ97" s="167"/>
      <c r="USR97" s="168"/>
      <c r="USS97" s="167"/>
      <c r="UST97" s="168"/>
      <c r="USU97" s="167"/>
      <c r="USV97" s="168"/>
      <c r="USW97" s="167"/>
      <c r="USX97" s="168"/>
      <c r="USY97" s="167"/>
      <c r="USZ97" s="168"/>
      <c r="UTA97" s="167"/>
      <c r="UTB97" s="168"/>
      <c r="UTC97" s="167"/>
      <c r="UTD97" s="168"/>
      <c r="UTE97" s="167"/>
      <c r="UTF97" s="168"/>
      <c r="UTG97" s="167"/>
      <c r="UTH97" s="168"/>
      <c r="UTI97" s="167"/>
      <c r="UTJ97" s="168"/>
      <c r="UTK97" s="167"/>
      <c r="UTL97" s="168"/>
      <c r="UTM97" s="167"/>
      <c r="UTN97" s="168"/>
      <c r="UTO97" s="167"/>
      <c r="UTP97" s="168"/>
      <c r="UTQ97" s="167"/>
      <c r="UTR97" s="168"/>
      <c r="UTS97" s="167"/>
      <c r="UTT97" s="168"/>
      <c r="UTU97" s="167"/>
      <c r="UTV97" s="168"/>
      <c r="UTW97" s="167"/>
      <c r="UTX97" s="168"/>
      <c r="UTY97" s="167"/>
      <c r="UTZ97" s="168"/>
      <c r="UUA97" s="167"/>
      <c r="UUB97" s="168"/>
      <c r="UUC97" s="167"/>
      <c r="UUD97" s="168"/>
      <c r="UUE97" s="167"/>
      <c r="UUF97" s="168"/>
      <c r="UUG97" s="167"/>
      <c r="UUH97" s="168"/>
      <c r="UUI97" s="167"/>
      <c r="UUJ97" s="168"/>
      <c r="UUK97" s="167"/>
      <c r="UUL97" s="168"/>
      <c r="UUM97" s="167"/>
      <c r="UUN97" s="168"/>
      <c r="UUO97" s="167"/>
      <c r="UUP97" s="168"/>
      <c r="UUQ97" s="167"/>
      <c r="UUR97" s="168"/>
      <c r="UUS97" s="167"/>
      <c r="UUT97" s="168"/>
      <c r="UUU97" s="167"/>
      <c r="UUV97" s="168"/>
      <c r="UUW97" s="167"/>
      <c r="UUX97" s="168"/>
      <c r="UUY97" s="167"/>
      <c r="UUZ97" s="168"/>
      <c r="UVA97" s="167"/>
      <c r="UVB97" s="168"/>
      <c r="UVC97" s="167"/>
      <c r="UVD97" s="168"/>
      <c r="UVE97" s="167"/>
      <c r="UVF97" s="168"/>
      <c r="UVG97" s="167"/>
      <c r="UVH97" s="168"/>
      <c r="UVI97" s="167"/>
      <c r="UVJ97" s="168"/>
      <c r="UVK97" s="167"/>
      <c r="UVL97" s="168"/>
      <c r="UVM97" s="167"/>
      <c r="UVN97" s="168"/>
      <c r="UVO97" s="167"/>
      <c r="UVP97" s="168"/>
      <c r="UVQ97" s="167"/>
      <c r="UVR97" s="168"/>
      <c r="UVS97" s="167"/>
      <c r="UVT97" s="168"/>
      <c r="UVU97" s="167"/>
      <c r="UVV97" s="168"/>
      <c r="UVW97" s="167"/>
      <c r="UVX97" s="168"/>
      <c r="UVY97" s="167"/>
      <c r="UVZ97" s="168"/>
      <c r="UWA97" s="167"/>
      <c r="UWB97" s="168"/>
      <c r="UWC97" s="167"/>
      <c r="UWD97" s="168"/>
      <c r="UWE97" s="167"/>
      <c r="UWF97" s="168"/>
      <c r="UWG97" s="167"/>
      <c r="UWH97" s="168"/>
      <c r="UWI97" s="167"/>
      <c r="UWJ97" s="168"/>
      <c r="UWK97" s="167"/>
      <c r="UWL97" s="168"/>
      <c r="UWM97" s="167"/>
      <c r="UWN97" s="168"/>
      <c r="UWO97" s="167"/>
      <c r="UWP97" s="168"/>
      <c r="UWQ97" s="167"/>
      <c r="UWR97" s="168"/>
      <c r="UWS97" s="167"/>
      <c r="UWT97" s="168"/>
      <c r="UWU97" s="167"/>
      <c r="UWV97" s="168"/>
      <c r="UWW97" s="167"/>
      <c r="UWX97" s="168"/>
      <c r="UWY97" s="167"/>
      <c r="UWZ97" s="168"/>
      <c r="UXA97" s="167"/>
      <c r="UXB97" s="168"/>
      <c r="UXC97" s="167"/>
      <c r="UXD97" s="168"/>
      <c r="UXE97" s="167"/>
      <c r="UXF97" s="168"/>
      <c r="UXG97" s="167"/>
      <c r="UXH97" s="168"/>
      <c r="UXI97" s="167"/>
      <c r="UXJ97" s="168"/>
      <c r="UXK97" s="167"/>
      <c r="UXL97" s="168"/>
      <c r="UXM97" s="167"/>
      <c r="UXN97" s="168"/>
      <c r="UXO97" s="167"/>
      <c r="UXP97" s="168"/>
      <c r="UXQ97" s="167"/>
      <c r="UXR97" s="168"/>
      <c r="UXS97" s="167"/>
      <c r="UXT97" s="168"/>
      <c r="UXU97" s="167"/>
      <c r="UXV97" s="168"/>
      <c r="UXW97" s="167"/>
      <c r="UXX97" s="168"/>
      <c r="UXY97" s="167"/>
      <c r="UXZ97" s="168"/>
      <c r="UYA97" s="167"/>
      <c r="UYB97" s="168"/>
      <c r="UYC97" s="167"/>
      <c r="UYD97" s="168"/>
      <c r="UYE97" s="167"/>
      <c r="UYF97" s="168"/>
      <c r="UYG97" s="167"/>
      <c r="UYH97" s="168"/>
      <c r="UYI97" s="167"/>
      <c r="UYJ97" s="168"/>
      <c r="UYK97" s="167"/>
      <c r="UYL97" s="168"/>
      <c r="UYM97" s="167"/>
      <c r="UYN97" s="168"/>
      <c r="UYO97" s="167"/>
      <c r="UYP97" s="168"/>
      <c r="UYQ97" s="167"/>
      <c r="UYR97" s="168"/>
      <c r="UYS97" s="167"/>
      <c r="UYT97" s="168"/>
      <c r="UYU97" s="167"/>
      <c r="UYV97" s="168"/>
      <c r="UYW97" s="167"/>
      <c r="UYX97" s="168"/>
      <c r="UYY97" s="167"/>
      <c r="UYZ97" s="168"/>
      <c r="UZA97" s="167"/>
      <c r="UZB97" s="168"/>
      <c r="UZC97" s="167"/>
      <c r="UZD97" s="168"/>
      <c r="UZE97" s="167"/>
      <c r="UZF97" s="168"/>
      <c r="UZG97" s="167"/>
      <c r="UZH97" s="168"/>
      <c r="UZI97" s="167"/>
      <c r="UZJ97" s="168"/>
      <c r="UZK97" s="167"/>
      <c r="UZL97" s="168"/>
      <c r="UZM97" s="167"/>
      <c r="UZN97" s="168"/>
      <c r="UZO97" s="167"/>
      <c r="UZP97" s="168"/>
      <c r="UZQ97" s="167"/>
      <c r="UZR97" s="168"/>
      <c r="UZS97" s="167"/>
      <c r="UZT97" s="168"/>
      <c r="UZU97" s="167"/>
      <c r="UZV97" s="168"/>
      <c r="UZW97" s="167"/>
      <c r="UZX97" s="168"/>
      <c r="UZY97" s="167"/>
      <c r="UZZ97" s="168"/>
      <c r="VAA97" s="167"/>
      <c r="VAB97" s="168"/>
      <c r="VAC97" s="167"/>
      <c r="VAD97" s="168"/>
      <c r="VAE97" s="167"/>
      <c r="VAF97" s="168"/>
      <c r="VAG97" s="167"/>
      <c r="VAH97" s="168"/>
      <c r="VAI97" s="167"/>
      <c r="VAJ97" s="168"/>
      <c r="VAK97" s="167"/>
      <c r="VAL97" s="168"/>
      <c r="VAM97" s="167"/>
      <c r="VAN97" s="168"/>
      <c r="VAO97" s="167"/>
      <c r="VAP97" s="168"/>
      <c r="VAQ97" s="167"/>
      <c r="VAR97" s="168"/>
      <c r="VAS97" s="167"/>
      <c r="VAT97" s="168"/>
      <c r="VAU97" s="167"/>
      <c r="VAV97" s="168"/>
      <c r="VAW97" s="167"/>
      <c r="VAX97" s="168"/>
      <c r="VAY97" s="167"/>
      <c r="VAZ97" s="168"/>
      <c r="VBA97" s="167"/>
      <c r="VBB97" s="168"/>
      <c r="VBC97" s="167"/>
      <c r="VBD97" s="168"/>
      <c r="VBE97" s="167"/>
      <c r="VBF97" s="168"/>
      <c r="VBG97" s="167"/>
      <c r="VBH97" s="168"/>
      <c r="VBI97" s="167"/>
      <c r="VBJ97" s="168"/>
      <c r="VBK97" s="167"/>
      <c r="VBL97" s="168"/>
      <c r="VBM97" s="167"/>
      <c r="VBN97" s="168"/>
      <c r="VBO97" s="167"/>
      <c r="VBP97" s="168"/>
      <c r="VBQ97" s="167"/>
      <c r="VBR97" s="168"/>
      <c r="VBS97" s="167"/>
      <c r="VBT97" s="168"/>
      <c r="VBU97" s="167"/>
      <c r="VBV97" s="168"/>
      <c r="VBW97" s="167"/>
      <c r="VBX97" s="168"/>
      <c r="VBY97" s="167"/>
      <c r="VBZ97" s="168"/>
      <c r="VCA97" s="167"/>
      <c r="VCB97" s="168"/>
      <c r="VCC97" s="167"/>
      <c r="VCD97" s="168"/>
      <c r="VCE97" s="167"/>
      <c r="VCF97" s="168"/>
      <c r="VCG97" s="167"/>
      <c r="VCH97" s="168"/>
      <c r="VCI97" s="167"/>
      <c r="VCJ97" s="168"/>
      <c r="VCK97" s="167"/>
      <c r="VCL97" s="168"/>
      <c r="VCM97" s="167"/>
      <c r="VCN97" s="168"/>
      <c r="VCO97" s="167"/>
      <c r="VCP97" s="168"/>
      <c r="VCQ97" s="167"/>
      <c r="VCR97" s="168"/>
      <c r="VCS97" s="167"/>
      <c r="VCT97" s="168"/>
      <c r="VCU97" s="167"/>
      <c r="VCV97" s="168"/>
      <c r="VCW97" s="167"/>
      <c r="VCX97" s="168"/>
      <c r="VCY97" s="167"/>
      <c r="VCZ97" s="168"/>
      <c r="VDA97" s="167"/>
      <c r="VDB97" s="168"/>
      <c r="VDC97" s="167"/>
      <c r="VDD97" s="168"/>
      <c r="VDE97" s="167"/>
      <c r="VDF97" s="168"/>
      <c r="VDG97" s="167"/>
      <c r="VDH97" s="168"/>
      <c r="VDI97" s="167"/>
      <c r="VDJ97" s="168"/>
      <c r="VDK97" s="167"/>
      <c r="VDL97" s="168"/>
      <c r="VDM97" s="167"/>
      <c r="VDN97" s="168"/>
      <c r="VDO97" s="167"/>
      <c r="VDP97" s="168"/>
      <c r="VDQ97" s="167"/>
      <c r="VDR97" s="168"/>
      <c r="VDS97" s="167"/>
      <c r="VDT97" s="168"/>
      <c r="VDU97" s="167"/>
      <c r="VDV97" s="168"/>
      <c r="VDW97" s="167"/>
      <c r="VDX97" s="168"/>
      <c r="VDY97" s="167"/>
      <c r="VDZ97" s="168"/>
      <c r="VEA97" s="167"/>
      <c r="VEB97" s="168"/>
      <c r="VEC97" s="167"/>
      <c r="VED97" s="168"/>
      <c r="VEE97" s="167"/>
      <c r="VEF97" s="168"/>
      <c r="VEG97" s="167"/>
      <c r="VEH97" s="168"/>
      <c r="VEI97" s="167"/>
      <c r="VEJ97" s="168"/>
      <c r="VEK97" s="167"/>
      <c r="VEL97" s="168"/>
      <c r="VEM97" s="167"/>
      <c r="VEN97" s="168"/>
      <c r="VEO97" s="167"/>
      <c r="VEP97" s="168"/>
      <c r="VEQ97" s="167"/>
      <c r="VER97" s="168"/>
      <c r="VES97" s="167"/>
      <c r="VET97" s="168"/>
      <c r="VEU97" s="167"/>
      <c r="VEV97" s="168"/>
      <c r="VEW97" s="167"/>
      <c r="VEX97" s="168"/>
      <c r="VEY97" s="167"/>
      <c r="VEZ97" s="168"/>
      <c r="VFA97" s="167"/>
      <c r="VFB97" s="168"/>
      <c r="VFC97" s="167"/>
      <c r="VFD97" s="168"/>
      <c r="VFE97" s="167"/>
      <c r="VFF97" s="168"/>
      <c r="VFG97" s="167"/>
      <c r="VFH97" s="168"/>
      <c r="VFI97" s="167"/>
      <c r="VFJ97" s="168"/>
      <c r="VFK97" s="167"/>
      <c r="VFL97" s="168"/>
      <c r="VFM97" s="167"/>
      <c r="VFN97" s="168"/>
      <c r="VFO97" s="167"/>
      <c r="VFP97" s="168"/>
      <c r="VFQ97" s="167"/>
      <c r="VFR97" s="168"/>
      <c r="VFS97" s="167"/>
      <c r="VFT97" s="168"/>
      <c r="VFU97" s="167"/>
      <c r="VFV97" s="168"/>
      <c r="VFW97" s="167"/>
      <c r="VFX97" s="168"/>
      <c r="VFY97" s="167"/>
      <c r="VFZ97" s="168"/>
      <c r="VGA97" s="167"/>
      <c r="VGB97" s="168"/>
      <c r="VGC97" s="167"/>
      <c r="VGD97" s="168"/>
      <c r="VGE97" s="167"/>
      <c r="VGF97" s="168"/>
      <c r="VGG97" s="167"/>
      <c r="VGH97" s="168"/>
      <c r="VGI97" s="167"/>
      <c r="VGJ97" s="168"/>
      <c r="VGK97" s="167"/>
      <c r="VGL97" s="168"/>
      <c r="VGM97" s="167"/>
      <c r="VGN97" s="168"/>
      <c r="VGO97" s="167"/>
      <c r="VGP97" s="168"/>
      <c r="VGQ97" s="167"/>
      <c r="VGR97" s="168"/>
      <c r="VGS97" s="167"/>
      <c r="VGT97" s="168"/>
      <c r="VGU97" s="167"/>
      <c r="VGV97" s="168"/>
      <c r="VGW97" s="167"/>
      <c r="VGX97" s="168"/>
      <c r="VGY97" s="167"/>
      <c r="VGZ97" s="168"/>
      <c r="VHA97" s="167"/>
      <c r="VHB97" s="168"/>
      <c r="VHC97" s="167"/>
      <c r="VHD97" s="168"/>
      <c r="VHE97" s="167"/>
      <c r="VHF97" s="168"/>
      <c r="VHG97" s="167"/>
      <c r="VHH97" s="168"/>
      <c r="VHI97" s="167"/>
      <c r="VHJ97" s="168"/>
      <c r="VHK97" s="167"/>
      <c r="VHL97" s="168"/>
      <c r="VHM97" s="167"/>
      <c r="VHN97" s="168"/>
      <c r="VHO97" s="167"/>
      <c r="VHP97" s="168"/>
      <c r="VHQ97" s="167"/>
      <c r="VHR97" s="168"/>
      <c r="VHS97" s="167"/>
      <c r="VHT97" s="168"/>
      <c r="VHU97" s="167"/>
      <c r="VHV97" s="168"/>
      <c r="VHW97" s="167"/>
      <c r="VHX97" s="168"/>
      <c r="VHY97" s="167"/>
      <c r="VHZ97" s="168"/>
      <c r="VIA97" s="167"/>
      <c r="VIB97" s="168"/>
      <c r="VIC97" s="167"/>
      <c r="VID97" s="168"/>
      <c r="VIE97" s="167"/>
      <c r="VIF97" s="168"/>
      <c r="VIG97" s="167"/>
      <c r="VIH97" s="168"/>
      <c r="VII97" s="167"/>
      <c r="VIJ97" s="168"/>
      <c r="VIK97" s="167"/>
      <c r="VIL97" s="168"/>
      <c r="VIM97" s="167"/>
      <c r="VIN97" s="168"/>
      <c r="VIO97" s="167"/>
      <c r="VIP97" s="168"/>
      <c r="VIQ97" s="167"/>
      <c r="VIR97" s="168"/>
      <c r="VIS97" s="167"/>
      <c r="VIT97" s="168"/>
      <c r="VIU97" s="167"/>
      <c r="VIV97" s="168"/>
      <c r="VIW97" s="167"/>
      <c r="VIX97" s="168"/>
      <c r="VIY97" s="167"/>
      <c r="VIZ97" s="168"/>
      <c r="VJA97" s="167"/>
      <c r="VJB97" s="168"/>
      <c r="VJC97" s="167"/>
      <c r="VJD97" s="168"/>
      <c r="VJE97" s="167"/>
      <c r="VJF97" s="168"/>
      <c r="VJG97" s="167"/>
      <c r="VJH97" s="168"/>
      <c r="VJI97" s="167"/>
      <c r="VJJ97" s="168"/>
      <c r="VJK97" s="167"/>
      <c r="VJL97" s="168"/>
      <c r="VJM97" s="167"/>
      <c r="VJN97" s="168"/>
      <c r="VJO97" s="167"/>
      <c r="VJP97" s="168"/>
      <c r="VJQ97" s="167"/>
      <c r="VJR97" s="168"/>
      <c r="VJS97" s="167"/>
      <c r="VJT97" s="168"/>
      <c r="VJU97" s="167"/>
      <c r="VJV97" s="168"/>
      <c r="VJW97" s="167"/>
      <c r="VJX97" s="168"/>
      <c r="VJY97" s="167"/>
      <c r="VJZ97" s="168"/>
      <c r="VKA97" s="167"/>
      <c r="VKB97" s="168"/>
      <c r="VKC97" s="167"/>
      <c r="VKD97" s="168"/>
      <c r="VKE97" s="167"/>
      <c r="VKF97" s="168"/>
      <c r="VKG97" s="167"/>
      <c r="VKH97" s="168"/>
      <c r="VKI97" s="167"/>
      <c r="VKJ97" s="168"/>
      <c r="VKK97" s="167"/>
      <c r="VKL97" s="168"/>
      <c r="VKM97" s="167"/>
      <c r="VKN97" s="168"/>
      <c r="VKO97" s="167"/>
      <c r="VKP97" s="168"/>
      <c r="VKQ97" s="167"/>
      <c r="VKR97" s="168"/>
      <c r="VKS97" s="167"/>
      <c r="VKT97" s="168"/>
      <c r="VKU97" s="167"/>
      <c r="VKV97" s="168"/>
      <c r="VKW97" s="167"/>
      <c r="VKX97" s="168"/>
      <c r="VKY97" s="167"/>
      <c r="VKZ97" s="168"/>
      <c r="VLA97" s="167"/>
      <c r="VLB97" s="168"/>
      <c r="VLC97" s="167"/>
      <c r="VLD97" s="168"/>
      <c r="VLE97" s="167"/>
      <c r="VLF97" s="168"/>
      <c r="VLG97" s="167"/>
      <c r="VLH97" s="168"/>
      <c r="VLI97" s="167"/>
      <c r="VLJ97" s="168"/>
      <c r="VLK97" s="167"/>
      <c r="VLL97" s="168"/>
      <c r="VLM97" s="167"/>
      <c r="VLN97" s="168"/>
      <c r="VLO97" s="167"/>
      <c r="VLP97" s="168"/>
      <c r="VLQ97" s="167"/>
      <c r="VLR97" s="168"/>
      <c r="VLS97" s="167"/>
      <c r="VLT97" s="168"/>
      <c r="VLU97" s="167"/>
      <c r="VLV97" s="168"/>
      <c r="VLW97" s="167"/>
      <c r="VLX97" s="168"/>
      <c r="VLY97" s="167"/>
      <c r="VLZ97" s="168"/>
      <c r="VMA97" s="167"/>
      <c r="VMB97" s="168"/>
      <c r="VMC97" s="167"/>
      <c r="VMD97" s="168"/>
      <c r="VME97" s="167"/>
      <c r="VMF97" s="168"/>
      <c r="VMG97" s="167"/>
      <c r="VMH97" s="168"/>
      <c r="VMI97" s="167"/>
      <c r="VMJ97" s="168"/>
      <c r="VMK97" s="167"/>
      <c r="VML97" s="168"/>
      <c r="VMM97" s="167"/>
      <c r="VMN97" s="168"/>
      <c r="VMO97" s="167"/>
      <c r="VMP97" s="168"/>
      <c r="VMQ97" s="167"/>
      <c r="VMR97" s="168"/>
      <c r="VMS97" s="167"/>
      <c r="VMT97" s="168"/>
      <c r="VMU97" s="167"/>
      <c r="VMV97" s="168"/>
      <c r="VMW97" s="167"/>
      <c r="VMX97" s="168"/>
      <c r="VMY97" s="167"/>
      <c r="VMZ97" s="168"/>
      <c r="VNA97" s="167"/>
      <c r="VNB97" s="168"/>
      <c r="VNC97" s="167"/>
      <c r="VND97" s="168"/>
      <c r="VNE97" s="167"/>
      <c r="VNF97" s="168"/>
      <c r="VNG97" s="167"/>
      <c r="VNH97" s="168"/>
      <c r="VNI97" s="167"/>
      <c r="VNJ97" s="168"/>
      <c r="VNK97" s="167"/>
      <c r="VNL97" s="168"/>
      <c r="VNM97" s="167"/>
      <c r="VNN97" s="168"/>
      <c r="VNO97" s="167"/>
      <c r="VNP97" s="168"/>
      <c r="VNQ97" s="167"/>
      <c r="VNR97" s="168"/>
      <c r="VNS97" s="167"/>
      <c r="VNT97" s="168"/>
      <c r="VNU97" s="167"/>
      <c r="VNV97" s="168"/>
      <c r="VNW97" s="167"/>
      <c r="VNX97" s="168"/>
      <c r="VNY97" s="167"/>
      <c r="VNZ97" s="168"/>
      <c r="VOA97" s="167"/>
      <c r="VOB97" s="168"/>
      <c r="VOC97" s="167"/>
      <c r="VOD97" s="168"/>
      <c r="VOE97" s="167"/>
      <c r="VOF97" s="168"/>
      <c r="VOG97" s="167"/>
      <c r="VOH97" s="168"/>
      <c r="VOI97" s="167"/>
      <c r="VOJ97" s="168"/>
      <c r="VOK97" s="167"/>
      <c r="VOL97" s="168"/>
      <c r="VOM97" s="167"/>
      <c r="VON97" s="168"/>
      <c r="VOO97" s="167"/>
      <c r="VOP97" s="168"/>
      <c r="VOQ97" s="167"/>
      <c r="VOR97" s="168"/>
      <c r="VOS97" s="167"/>
      <c r="VOT97" s="168"/>
      <c r="VOU97" s="167"/>
      <c r="VOV97" s="168"/>
      <c r="VOW97" s="167"/>
      <c r="VOX97" s="168"/>
      <c r="VOY97" s="167"/>
      <c r="VOZ97" s="168"/>
      <c r="VPA97" s="167"/>
      <c r="VPB97" s="168"/>
      <c r="VPC97" s="167"/>
      <c r="VPD97" s="168"/>
      <c r="VPE97" s="167"/>
      <c r="VPF97" s="168"/>
      <c r="VPG97" s="167"/>
      <c r="VPH97" s="168"/>
      <c r="VPI97" s="167"/>
      <c r="VPJ97" s="168"/>
      <c r="VPK97" s="167"/>
      <c r="VPL97" s="168"/>
      <c r="VPM97" s="167"/>
      <c r="VPN97" s="168"/>
      <c r="VPO97" s="167"/>
      <c r="VPP97" s="168"/>
      <c r="VPQ97" s="167"/>
      <c r="VPR97" s="168"/>
      <c r="VPS97" s="167"/>
      <c r="VPT97" s="168"/>
      <c r="VPU97" s="167"/>
      <c r="VPV97" s="168"/>
      <c r="VPW97" s="167"/>
      <c r="VPX97" s="168"/>
      <c r="VPY97" s="167"/>
      <c r="VPZ97" s="168"/>
      <c r="VQA97" s="167"/>
      <c r="VQB97" s="168"/>
      <c r="VQC97" s="167"/>
      <c r="VQD97" s="168"/>
      <c r="VQE97" s="167"/>
      <c r="VQF97" s="168"/>
      <c r="VQG97" s="167"/>
      <c r="VQH97" s="168"/>
      <c r="VQI97" s="167"/>
      <c r="VQJ97" s="168"/>
      <c r="VQK97" s="167"/>
      <c r="VQL97" s="168"/>
      <c r="VQM97" s="167"/>
      <c r="VQN97" s="168"/>
      <c r="VQO97" s="167"/>
      <c r="VQP97" s="168"/>
      <c r="VQQ97" s="167"/>
      <c r="VQR97" s="168"/>
      <c r="VQS97" s="167"/>
      <c r="VQT97" s="168"/>
      <c r="VQU97" s="167"/>
      <c r="VQV97" s="168"/>
      <c r="VQW97" s="167"/>
      <c r="VQX97" s="168"/>
      <c r="VQY97" s="167"/>
      <c r="VQZ97" s="168"/>
      <c r="VRA97" s="167"/>
      <c r="VRB97" s="168"/>
      <c r="VRC97" s="167"/>
      <c r="VRD97" s="168"/>
      <c r="VRE97" s="167"/>
      <c r="VRF97" s="168"/>
      <c r="VRG97" s="167"/>
      <c r="VRH97" s="168"/>
      <c r="VRI97" s="167"/>
      <c r="VRJ97" s="168"/>
      <c r="VRK97" s="167"/>
      <c r="VRL97" s="168"/>
      <c r="VRM97" s="167"/>
      <c r="VRN97" s="168"/>
      <c r="VRO97" s="167"/>
      <c r="VRP97" s="168"/>
      <c r="VRQ97" s="167"/>
      <c r="VRR97" s="168"/>
      <c r="VRS97" s="167"/>
      <c r="VRT97" s="168"/>
      <c r="VRU97" s="167"/>
      <c r="VRV97" s="168"/>
      <c r="VRW97" s="167"/>
      <c r="VRX97" s="168"/>
      <c r="VRY97" s="167"/>
      <c r="VRZ97" s="168"/>
      <c r="VSA97" s="167"/>
      <c r="VSB97" s="168"/>
      <c r="VSC97" s="167"/>
      <c r="VSD97" s="168"/>
      <c r="VSE97" s="167"/>
      <c r="VSF97" s="168"/>
      <c r="VSG97" s="167"/>
      <c r="VSH97" s="168"/>
      <c r="VSI97" s="167"/>
      <c r="VSJ97" s="168"/>
      <c r="VSK97" s="167"/>
      <c r="VSL97" s="168"/>
      <c r="VSM97" s="167"/>
      <c r="VSN97" s="168"/>
      <c r="VSO97" s="167"/>
      <c r="VSP97" s="168"/>
      <c r="VSQ97" s="167"/>
      <c r="VSR97" s="168"/>
      <c r="VSS97" s="167"/>
      <c r="VST97" s="168"/>
      <c r="VSU97" s="167"/>
      <c r="VSV97" s="168"/>
      <c r="VSW97" s="167"/>
      <c r="VSX97" s="168"/>
      <c r="VSY97" s="167"/>
      <c r="VSZ97" s="168"/>
      <c r="VTA97" s="167"/>
      <c r="VTB97" s="168"/>
      <c r="VTC97" s="167"/>
      <c r="VTD97" s="168"/>
      <c r="VTE97" s="167"/>
      <c r="VTF97" s="168"/>
      <c r="VTG97" s="167"/>
      <c r="VTH97" s="168"/>
      <c r="VTI97" s="167"/>
      <c r="VTJ97" s="168"/>
      <c r="VTK97" s="167"/>
      <c r="VTL97" s="168"/>
      <c r="VTM97" s="167"/>
      <c r="VTN97" s="168"/>
      <c r="VTO97" s="167"/>
      <c r="VTP97" s="168"/>
      <c r="VTQ97" s="167"/>
      <c r="VTR97" s="168"/>
      <c r="VTS97" s="167"/>
      <c r="VTT97" s="168"/>
      <c r="VTU97" s="167"/>
      <c r="VTV97" s="168"/>
      <c r="VTW97" s="167"/>
      <c r="VTX97" s="168"/>
      <c r="VTY97" s="167"/>
      <c r="VTZ97" s="168"/>
      <c r="VUA97" s="167"/>
      <c r="VUB97" s="168"/>
      <c r="VUC97" s="167"/>
      <c r="VUD97" s="168"/>
      <c r="VUE97" s="167"/>
      <c r="VUF97" s="168"/>
      <c r="VUG97" s="167"/>
      <c r="VUH97" s="168"/>
      <c r="VUI97" s="167"/>
      <c r="VUJ97" s="168"/>
      <c r="VUK97" s="167"/>
      <c r="VUL97" s="168"/>
      <c r="VUM97" s="167"/>
      <c r="VUN97" s="168"/>
      <c r="VUO97" s="167"/>
      <c r="VUP97" s="168"/>
      <c r="VUQ97" s="167"/>
      <c r="VUR97" s="168"/>
      <c r="VUS97" s="167"/>
      <c r="VUT97" s="168"/>
      <c r="VUU97" s="167"/>
      <c r="VUV97" s="168"/>
      <c r="VUW97" s="167"/>
      <c r="VUX97" s="168"/>
      <c r="VUY97" s="167"/>
      <c r="VUZ97" s="168"/>
      <c r="VVA97" s="167"/>
      <c r="VVB97" s="168"/>
      <c r="VVC97" s="167"/>
      <c r="VVD97" s="168"/>
      <c r="VVE97" s="167"/>
      <c r="VVF97" s="168"/>
      <c r="VVG97" s="167"/>
      <c r="VVH97" s="168"/>
      <c r="VVI97" s="167"/>
      <c r="VVJ97" s="168"/>
      <c r="VVK97" s="167"/>
      <c r="VVL97" s="168"/>
      <c r="VVM97" s="167"/>
      <c r="VVN97" s="168"/>
      <c r="VVO97" s="167"/>
      <c r="VVP97" s="168"/>
      <c r="VVQ97" s="167"/>
      <c r="VVR97" s="168"/>
      <c r="VVS97" s="167"/>
      <c r="VVT97" s="168"/>
      <c r="VVU97" s="167"/>
      <c r="VVV97" s="168"/>
      <c r="VVW97" s="167"/>
      <c r="VVX97" s="168"/>
      <c r="VVY97" s="167"/>
      <c r="VVZ97" s="168"/>
      <c r="VWA97" s="167"/>
      <c r="VWB97" s="168"/>
      <c r="VWC97" s="167"/>
      <c r="VWD97" s="168"/>
      <c r="VWE97" s="167"/>
      <c r="VWF97" s="168"/>
      <c r="VWG97" s="167"/>
      <c r="VWH97" s="168"/>
      <c r="VWI97" s="167"/>
      <c r="VWJ97" s="168"/>
      <c r="VWK97" s="167"/>
      <c r="VWL97" s="168"/>
      <c r="VWM97" s="167"/>
      <c r="VWN97" s="168"/>
      <c r="VWO97" s="167"/>
      <c r="VWP97" s="168"/>
      <c r="VWQ97" s="167"/>
      <c r="VWR97" s="168"/>
      <c r="VWS97" s="167"/>
      <c r="VWT97" s="168"/>
      <c r="VWU97" s="167"/>
      <c r="VWV97" s="168"/>
      <c r="VWW97" s="167"/>
      <c r="VWX97" s="168"/>
      <c r="VWY97" s="167"/>
      <c r="VWZ97" s="168"/>
      <c r="VXA97" s="167"/>
      <c r="VXB97" s="168"/>
      <c r="VXC97" s="167"/>
      <c r="VXD97" s="168"/>
      <c r="VXE97" s="167"/>
      <c r="VXF97" s="168"/>
      <c r="VXG97" s="167"/>
      <c r="VXH97" s="168"/>
      <c r="VXI97" s="167"/>
      <c r="VXJ97" s="168"/>
      <c r="VXK97" s="167"/>
      <c r="VXL97" s="168"/>
      <c r="VXM97" s="167"/>
      <c r="VXN97" s="168"/>
      <c r="VXO97" s="167"/>
      <c r="VXP97" s="168"/>
      <c r="VXQ97" s="167"/>
      <c r="VXR97" s="168"/>
      <c r="VXS97" s="167"/>
      <c r="VXT97" s="168"/>
      <c r="VXU97" s="167"/>
      <c r="VXV97" s="168"/>
      <c r="VXW97" s="167"/>
      <c r="VXX97" s="168"/>
      <c r="VXY97" s="167"/>
      <c r="VXZ97" s="168"/>
      <c r="VYA97" s="167"/>
      <c r="VYB97" s="168"/>
      <c r="VYC97" s="167"/>
      <c r="VYD97" s="168"/>
      <c r="VYE97" s="167"/>
      <c r="VYF97" s="168"/>
      <c r="VYG97" s="167"/>
      <c r="VYH97" s="168"/>
      <c r="VYI97" s="167"/>
      <c r="VYJ97" s="168"/>
      <c r="VYK97" s="167"/>
      <c r="VYL97" s="168"/>
      <c r="VYM97" s="167"/>
      <c r="VYN97" s="168"/>
      <c r="VYO97" s="167"/>
      <c r="VYP97" s="168"/>
      <c r="VYQ97" s="167"/>
      <c r="VYR97" s="168"/>
      <c r="VYS97" s="167"/>
      <c r="VYT97" s="168"/>
      <c r="VYU97" s="167"/>
      <c r="VYV97" s="168"/>
      <c r="VYW97" s="167"/>
      <c r="VYX97" s="168"/>
      <c r="VYY97" s="167"/>
      <c r="VYZ97" s="168"/>
      <c r="VZA97" s="167"/>
      <c r="VZB97" s="168"/>
      <c r="VZC97" s="167"/>
      <c r="VZD97" s="168"/>
      <c r="VZE97" s="167"/>
      <c r="VZF97" s="168"/>
      <c r="VZG97" s="167"/>
      <c r="VZH97" s="168"/>
      <c r="VZI97" s="167"/>
      <c r="VZJ97" s="168"/>
      <c r="VZK97" s="167"/>
      <c r="VZL97" s="168"/>
      <c r="VZM97" s="167"/>
      <c r="VZN97" s="168"/>
      <c r="VZO97" s="167"/>
      <c r="VZP97" s="168"/>
      <c r="VZQ97" s="167"/>
      <c r="VZR97" s="168"/>
      <c r="VZS97" s="167"/>
      <c r="VZT97" s="168"/>
      <c r="VZU97" s="167"/>
      <c r="VZV97" s="168"/>
      <c r="VZW97" s="167"/>
      <c r="VZX97" s="168"/>
      <c r="VZY97" s="167"/>
      <c r="VZZ97" s="168"/>
      <c r="WAA97" s="167"/>
      <c r="WAB97" s="168"/>
      <c r="WAC97" s="167"/>
      <c r="WAD97" s="168"/>
      <c r="WAE97" s="167"/>
      <c r="WAF97" s="168"/>
      <c r="WAG97" s="167"/>
      <c r="WAH97" s="168"/>
      <c r="WAI97" s="167"/>
      <c r="WAJ97" s="168"/>
      <c r="WAK97" s="167"/>
      <c r="WAL97" s="168"/>
      <c r="WAM97" s="167"/>
      <c r="WAN97" s="168"/>
      <c r="WAO97" s="167"/>
      <c r="WAP97" s="168"/>
      <c r="WAQ97" s="167"/>
      <c r="WAR97" s="168"/>
      <c r="WAS97" s="167"/>
      <c r="WAT97" s="168"/>
      <c r="WAU97" s="167"/>
      <c r="WAV97" s="168"/>
      <c r="WAW97" s="167"/>
      <c r="WAX97" s="168"/>
      <c r="WAY97" s="167"/>
      <c r="WAZ97" s="168"/>
      <c r="WBA97" s="167"/>
      <c r="WBB97" s="168"/>
      <c r="WBC97" s="167"/>
      <c r="WBD97" s="168"/>
      <c r="WBE97" s="167"/>
      <c r="WBF97" s="168"/>
      <c r="WBG97" s="167"/>
      <c r="WBH97" s="168"/>
      <c r="WBI97" s="167"/>
      <c r="WBJ97" s="168"/>
      <c r="WBK97" s="167"/>
      <c r="WBL97" s="168"/>
      <c r="WBM97" s="167"/>
      <c r="WBN97" s="168"/>
      <c r="WBO97" s="167"/>
      <c r="WBP97" s="168"/>
      <c r="WBQ97" s="167"/>
      <c r="WBR97" s="168"/>
      <c r="WBS97" s="167"/>
      <c r="WBT97" s="168"/>
      <c r="WBU97" s="167"/>
      <c r="WBV97" s="168"/>
      <c r="WBW97" s="167"/>
      <c r="WBX97" s="168"/>
      <c r="WBY97" s="167"/>
      <c r="WBZ97" s="168"/>
      <c r="WCA97" s="167"/>
      <c r="WCB97" s="168"/>
      <c r="WCC97" s="167"/>
      <c r="WCD97" s="168"/>
      <c r="WCE97" s="167"/>
      <c r="WCF97" s="168"/>
      <c r="WCG97" s="167"/>
      <c r="WCH97" s="168"/>
      <c r="WCI97" s="167"/>
      <c r="WCJ97" s="168"/>
      <c r="WCK97" s="167"/>
      <c r="WCL97" s="168"/>
      <c r="WCM97" s="167"/>
      <c r="WCN97" s="168"/>
      <c r="WCO97" s="167"/>
      <c r="WCP97" s="168"/>
      <c r="WCQ97" s="167"/>
      <c r="WCR97" s="168"/>
      <c r="WCS97" s="167"/>
      <c r="WCT97" s="168"/>
      <c r="WCU97" s="167"/>
      <c r="WCV97" s="168"/>
      <c r="WCW97" s="167"/>
      <c r="WCX97" s="168"/>
      <c r="WCY97" s="167"/>
      <c r="WCZ97" s="168"/>
      <c r="WDA97" s="167"/>
      <c r="WDB97" s="168"/>
      <c r="WDC97" s="167"/>
      <c r="WDD97" s="168"/>
      <c r="WDE97" s="167"/>
      <c r="WDF97" s="168"/>
      <c r="WDG97" s="167"/>
      <c r="WDH97" s="168"/>
      <c r="WDI97" s="167"/>
      <c r="WDJ97" s="168"/>
      <c r="WDK97" s="167"/>
      <c r="WDL97" s="168"/>
      <c r="WDM97" s="167"/>
      <c r="WDN97" s="168"/>
      <c r="WDO97" s="167"/>
      <c r="WDP97" s="168"/>
      <c r="WDQ97" s="167"/>
      <c r="WDR97" s="168"/>
      <c r="WDS97" s="167"/>
      <c r="WDT97" s="168"/>
      <c r="WDU97" s="167"/>
      <c r="WDV97" s="168"/>
      <c r="WDW97" s="167"/>
      <c r="WDX97" s="168"/>
      <c r="WDY97" s="167"/>
      <c r="WDZ97" s="168"/>
      <c r="WEA97" s="167"/>
      <c r="WEB97" s="168"/>
      <c r="WEC97" s="167"/>
      <c r="WED97" s="168"/>
      <c r="WEE97" s="167"/>
      <c r="WEF97" s="168"/>
      <c r="WEG97" s="167"/>
      <c r="WEH97" s="168"/>
      <c r="WEI97" s="167"/>
      <c r="WEJ97" s="168"/>
      <c r="WEK97" s="167"/>
      <c r="WEL97" s="168"/>
      <c r="WEM97" s="167"/>
      <c r="WEN97" s="168"/>
      <c r="WEO97" s="167"/>
      <c r="WEP97" s="168"/>
      <c r="WEQ97" s="167"/>
      <c r="WER97" s="168"/>
      <c r="WES97" s="167"/>
      <c r="WET97" s="168"/>
      <c r="WEU97" s="167"/>
      <c r="WEV97" s="168"/>
      <c r="WEW97" s="167"/>
      <c r="WEX97" s="168"/>
      <c r="WEY97" s="167"/>
      <c r="WEZ97" s="168"/>
      <c r="WFA97" s="167"/>
      <c r="WFB97" s="168"/>
      <c r="WFC97" s="167"/>
      <c r="WFD97" s="168"/>
      <c r="WFE97" s="167"/>
      <c r="WFF97" s="168"/>
      <c r="WFG97" s="167"/>
      <c r="WFH97" s="168"/>
      <c r="WFI97" s="167"/>
      <c r="WFJ97" s="168"/>
      <c r="WFK97" s="167"/>
      <c r="WFL97" s="168"/>
      <c r="WFM97" s="167"/>
      <c r="WFN97" s="168"/>
      <c r="WFO97" s="167"/>
      <c r="WFP97" s="168"/>
      <c r="WFQ97" s="167"/>
      <c r="WFR97" s="168"/>
      <c r="WFS97" s="167"/>
      <c r="WFT97" s="168"/>
      <c r="WFU97" s="167"/>
      <c r="WFV97" s="168"/>
      <c r="WFW97" s="167"/>
      <c r="WFX97" s="168"/>
      <c r="WFY97" s="167"/>
      <c r="WFZ97" s="168"/>
      <c r="WGA97" s="167"/>
      <c r="WGB97" s="168"/>
      <c r="WGC97" s="167"/>
      <c r="WGD97" s="168"/>
      <c r="WGE97" s="167"/>
      <c r="WGF97" s="168"/>
      <c r="WGG97" s="167"/>
      <c r="WGH97" s="168"/>
      <c r="WGI97" s="167"/>
      <c r="WGJ97" s="168"/>
      <c r="WGK97" s="167"/>
      <c r="WGL97" s="168"/>
      <c r="WGM97" s="167"/>
      <c r="WGN97" s="168"/>
      <c r="WGO97" s="167"/>
      <c r="WGP97" s="168"/>
      <c r="WGQ97" s="167"/>
      <c r="WGR97" s="168"/>
      <c r="WGS97" s="167"/>
      <c r="WGT97" s="168"/>
      <c r="WGU97" s="167"/>
      <c r="WGV97" s="168"/>
      <c r="WGW97" s="167"/>
      <c r="WGX97" s="168"/>
      <c r="WGY97" s="167"/>
      <c r="WGZ97" s="168"/>
      <c r="WHA97" s="167"/>
      <c r="WHB97" s="168"/>
      <c r="WHC97" s="167"/>
      <c r="WHD97" s="168"/>
      <c r="WHE97" s="167"/>
      <c r="WHF97" s="168"/>
      <c r="WHG97" s="167"/>
      <c r="WHH97" s="168"/>
      <c r="WHI97" s="167"/>
      <c r="WHJ97" s="168"/>
      <c r="WHK97" s="167"/>
      <c r="WHL97" s="168"/>
      <c r="WHM97" s="167"/>
      <c r="WHN97" s="168"/>
      <c r="WHO97" s="167"/>
      <c r="WHP97" s="168"/>
      <c r="WHQ97" s="167"/>
      <c r="WHR97" s="168"/>
      <c r="WHS97" s="167"/>
      <c r="WHT97" s="168"/>
      <c r="WHU97" s="167"/>
      <c r="WHV97" s="168"/>
      <c r="WHW97" s="167"/>
      <c r="WHX97" s="168"/>
      <c r="WHY97" s="167"/>
      <c r="WHZ97" s="168"/>
      <c r="WIA97" s="167"/>
      <c r="WIB97" s="168"/>
      <c r="WIC97" s="167"/>
      <c r="WID97" s="168"/>
      <c r="WIE97" s="167"/>
      <c r="WIF97" s="168"/>
      <c r="WIG97" s="167"/>
      <c r="WIH97" s="168"/>
      <c r="WII97" s="167"/>
      <c r="WIJ97" s="168"/>
      <c r="WIK97" s="167"/>
      <c r="WIL97" s="168"/>
      <c r="WIM97" s="167"/>
      <c r="WIN97" s="168"/>
      <c r="WIO97" s="167"/>
      <c r="WIP97" s="168"/>
      <c r="WIQ97" s="167"/>
      <c r="WIR97" s="168"/>
      <c r="WIS97" s="167"/>
      <c r="WIT97" s="168"/>
      <c r="WIU97" s="167"/>
      <c r="WIV97" s="168"/>
      <c r="WIW97" s="167"/>
      <c r="WIX97" s="168"/>
      <c r="WIY97" s="167"/>
      <c r="WIZ97" s="168"/>
      <c r="WJA97" s="167"/>
      <c r="WJB97" s="168"/>
      <c r="WJC97" s="167"/>
      <c r="WJD97" s="168"/>
      <c r="WJE97" s="167"/>
      <c r="WJF97" s="168"/>
      <c r="WJG97" s="167"/>
      <c r="WJH97" s="168"/>
      <c r="WJI97" s="167"/>
      <c r="WJJ97" s="168"/>
      <c r="WJK97" s="167"/>
      <c r="WJL97" s="168"/>
      <c r="WJM97" s="167"/>
      <c r="WJN97" s="168"/>
      <c r="WJO97" s="167"/>
      <c r="WJP97" s="168"/>
      <c r="WJQ97" s="167"/>
      <c r="WJR97" s="168"/>
      <c r="WJS97" s="167"/>
      <c r="WJT97" s="168"/>
      <c r="WJU97" s="167"/>
      <c r="WJV97" s="168"/>
      <c r="WJW97" s="167"/>
      <c r="WJX97" s="168"/>
      <c r="WJY97" s="167"/>
      <c r="WJZ97" s="168"/>
      <c r="WKA97" s="167"/>
      <c r="WKB97" s="168"/>
      <c r="WKC97" s="167"/>
      <c r="WKD97" s="168"/>
      <c r="WKE97" s="167"/>
      <c r="WKF97" s="168"/>
      <c r="WKG97" s="167"/>
      <c r="WKH97" s="168"/>
      <c r="WKI97" s="167"/>
      <c r="WKJ97" s="168"/>
      <c r="WKK97" s="167"/>
      <c r="WKL97" s="168"/>
      <c r="WKM97" s="167"/>
      <c r="WKN97" s="168"/>
      <c r="WKO97" s="167"/>
      <c r="WKP97" s="168"/>
      <c r="WKQ97" s="167"/>
      <c r="WKR97" s="168"/>
      <c r="WKS97" s="167"/>
      <c r="WKT97" s="168"/>
      <c r="WKU97" s="167"/>
      <c r="WKV97" s="168"/>
      <c r="WKW97" s="167"/>
      <c r="WKX97" s="168"/>
      <c r="WKY97" s="167"/>
      <c r="WKZ97" s="168"/>
      <c r="WLA97" s="167"/>
      <c r="WLB97" s="168"/>
      <c r="WLC97" s="167"/>
      <c r="WLD97" s="168"/>
      <c r="WLE97" s="167"/>
      <c r="WLF97" s="168"/>
      <c r="WLG97" s="167"/>
      <c r="WLH97" s="168"/>
      <c r="WLI97" s="167"/>
      <c r="WLJ97" s="168"/>
      <c r="WLK97" s="167"/>
      <c r="WLL97" s="168"/>
      <c r="WLM97" s="167"/>
      <c r="WLN97" s="168"/>
      <c r="WLO97" s="167"/>
      <c r="WLP97" s="168"/>
      <c r="WLQ97" s="167"/>
      <c r="WLR97" s="168"/>
      <c r="WLS97" s="167"/>
      <c r="WLT97" s="168"/>
      <c r="WLU97" s="167"/>
      <c r="WLV97" s="168"/>
      <c r="WLW97" s="167"/>
      <c r="WLX97" s="168"/>
      <c r="WLY97" s="167"/>
      <c r="WLZ97" s="168"/>
      <c r="WMA97" s="167"/>
      <c r="WMB97" s="168"/>
      <c r="WMC97" s="167"/>
      <c r="WMD97" s="168"/>
      <c r="WME97" s="167"/>
      <c r="WMF97" s="168"/>
      <c r="WMG97" s="167"/>
      <c r="WMH97" s="168"/>
      <c r="WMI97" s="167"/>
      <c r="WMJ97" s="168"/>
      <c r="WMK97" s="167"/>
      <c r="WML97" s="168"/>
      <c r="WMM97" s="167"/>
      <c r="WMN97" s="168"/>
      <c r="WMO97" s="167"/>
      <c r="WMP97" s="168"/>
      <c r="WMQ97" s="167"/>
      <c r="WMR97" s="168"/>
      <c r="WMS97" s="167"/>
      <c r="WMT97" s="168"/>
      <c r="WMU97" s="167"/>
      <c r="WMV97" s="168"/>
      <c r="WMW97" s="167"/>
      <c r="WMX97" s="168"/>
      <c r="WMY97" s="167"/>
      <c r="WMZ97" s="168"/>
      <c r="WNA97" s="167"/>
      <c r="WNB97" s="168"/>
      <c r="WNC97" s="167"/>
      <c r="WND97" s="168"/>
      <c r="WNE97" s="167"/>
      <c r="WNF97" s="168"/>
      <c r="WNG97" s="167"/>
      <c r="WNH97" s="168"/>
      <c r="WNI97" s="167"/>
      <c r="WNJ97" s="168"/>
      <c r="WNK97" s="167"/>
      <c r="WNL97" s="168"/>
      <c r="WNM97" s="167"/>
      <c r="WNN97" s="168"/>
      <c r="WNO97" s="167"/>
      <c r="WNP97" s="168"/>
      <c r="WNQ97" s="167"/>
      <c r="WNR97" s="168"/>
      <c r="WNS97" s="167"/>
      <c r="WNT97" s="168"/>
      <c r="WNU97" s="167"/>
      <c r="WNV97" s="168"/>
      <c r="WNW97" s="167"/>
      <c r="WNX97" s="168"/>
      <c r="WNY97" s="167"/>
      <c r="WNZ97" s="168"/>
      <c r="WOA97" s="167"/>
      <c r="WOB97" s="168"/>
      <c r="WOC97" s="167"/>
      <c r="WOD97" s="168"/>
      <c r="WOE97" s="167"/>
      <c r="WOF97" s="168"/>
      <c r="WOG97" s="167"/>
      <c r="WOH97" s="168"/>
      <c r="WOI97" s="167"/>
      <c r="WOJ97" s="168"/>
      <c r="WOK97" s="167"/>
      <c r="WOL97" s="168"/>
      <c r="WOM97" s="167"/>
      <c r="WON97" s="168"/>
      <c r="WOO97" s="167"/>
      <c r="WOP97" s="168"/>
      <c r="WOQ97" s="167"/>
      <c r="WOR97" s="168"/>
      <c r="WOS97" s="167"/>
      <c r="WOT97" s="168"/>
      <c r="WOU97" s="167"/>
      <c r="WOV97" s="168"/>
      <c r="WOW97" s="167"/>
      <c r="WOX97" s="168"/>
      <c r="WOY97" s="167"/>
      <c r="WOZ97" s="168"/>
      <c r="WPA97" s="167"/>
      <c r="WPB97" s="168"/>
      <c r="WPC97" s="167"/>
      <c r="WPD97" s="168"/>
      <c r="WPE97" s="167"/>
      <c r="WPF97" s="168"/>
      <c r="WPG97" s="167"/>
      <c r="WPH97" s="168"/>
      <c r="WPI97" s="167"/>
      <c r="WPJ97" s="168"/>
      <c r="WPK97" s="167"/>
      <c r="WPL97" s="168"/>
      <c r="WPM97" s="167"/>
      <c r="WPN97" s="168"/>
      <c r="WPO97" s="167"/>
      <c r="WPP97" s="168"/>
      <c r="WPQ97" s="167"/>
      <c r="WPR97" s="168"/>
      <c r="WPS97" s="167"/>
      <c r="WPT97" s="168"/>
      <c r="WPU97" s="167"/>
      <c r="WPV97" s="168"/>
      <c r="WPW97" s="167"/>
      <c r="WPX97" s="168"/>
      <c r="WPY97" s="167"/>
      <c r="WPZ97" s="168"/>
      <c r="WQA97" s="167"/>
      <c r="WQB97" s="168"/>
      <c r="WQC97" s="167"/>
      <c r="WQD97" s="168"/>
      <c r="WQE97" s="167"/>
      <c r="WQF97" s="168"/>
      <c r="WQG97" s="167"/>
      <c r="WQH97" s="168"/>
      <c r="WQI97" s="167"/>
      <c r="WQJ97" s="168"/>
      <c r="WQK97" s="167"/>
      <c r="WQL97" s="168"/>
      <c r="WQM97" s="167"/>
      <c r="WQN97" s="168"/>
      <c r="WQO97" s="167"/>
      <c r="WQP97" s="168"/>
      <c r="WQQ97" s="167"/>
      <c r="WQR97" s="168"/>
      <c r="WQS97" s="167"/>
      <c r="WQT97" s="168"/>
      <c r="WQU97" s="167"/>
      <c r="WQV97" s="168"/>
      <c r="WQW97" s="167"/>
      <c r="WQX97" s="168"/>
      <c r="WQY97" s="167"/>
      <c r="WQZ97" s="168"/>
      <c r="WRA97" s="167"/>
      <c r="WRB97" s="168"/>
      <c r="WRC97" s="167"/>
      <c r="WRD97" s="168"/>
      <c r="WRE97" s="167"/>
      <c r="WRF97" s="168"/>
      <c r="WRG97" s="167"/>
      <c r="WRH97" s="168"/>
      <c r="WRI97" s="167"/>
      <c r="WRJ97" s="168"/>
      <c r="WRK97" s="167"/>
      <c r="WRL97" s="168"/>
      <c r="WRM97" s="167"/>
      <c r="WRN97" s="168"/>
      <c r="WRO97" s="167"/>
      <c r="WRP97" s="168"/>
      <c r="WRQ97" s="167"/>
      <c r="WRR97" s="168"/>
      <c r="WRS97" s="167"/>
      <c r="WRT97" s="168"/>
      <c r="WRU97" s="167"/>
      <c r="WRV97" s="168"/>
      <c r="WRW97" s="167"/>
      <c r="WRX97" s="168"/>
      <c r="WRY97" s="167"/>
      <c r="WRZ97" s="168"/>
      <c r="WSA97" s="167"/>
      <c r="WSB97" s="168"/>
      <c r="WSC97" s="167"/>
      <c r="WSD97" s="168"/>
      <c r="WSE97" s="167"/>
      <c r="WSF97" s="168"/>
      <c r="WSG97" s="167"/>
      <c r="WSH97" s="168"/>
      <c r="WSI97" s="167"/>
      <c r="WSJ97" s="168"/>
      <c r="WSK97" s="167"/>
      <c r="WSL97" s="168"/>
      <c r="WSM97" s="167"/>
      <c r="WSN97" s="168"/>
      <c r="WSO97" s="167"/>
      <c r="WSP97" s="168"/>
      <c r="WSQ97" s="167"/>
      <c r="WSR97" s="168"/>
      <c r="WSS97" s="167"/>
      <c r="WST97" s="168"/>
      <c r="WSU97" s="167"/>
      <c r="WSV97" s="168"/>
      <c r="WSW97" s="167"/>
      <c r="WSX97" s="168"/>
      <c r="WSY97" s="167"/>
      <c r="WSZ97" s="168"/>
      <c r="WTA97" s="167"/>
      <c r="WTB97" s="168"/>
      <c r="WTC97" s="167"/>
      <c r="WTD97" s="168"/>
      <c r="WTE97" s="167"/>
      <c r="WTF97" s="168"/>
      <c r="WTG97" s="167"/>
      <c r="WTH97" s="168"/>
      <c r="WTI97" s="167"/>
      <c r="WTJ97" s="168"/>
      <c r="WTK97" s="167"/>
      <c r="WTL97" s="168"/>
      <c r="WTM97" s="167"/>
      <c r="WTN97" s="168"/>
      <c r="WTO97" s="167"/>
      <c r="WTP97" s="168"/>
      <c r="WTQ97" s="167"/>
      <c r="WTR97" s="168"/>
      <c r="WTS97" s="167"/>
      <c r="WTT97" s="168"/>
      <c r="WTU97" s="167"/>
      <c r="WTV97" s="168"/>
      <c r="WTW97" s="167"/>
      <c r="WTX97" s="168"/>
      <c r="WTY97" s="167"/>
      <c r="WTZ97" s="168"/>
      <c r="WUA97" s="167"/>
      <c r="WUB97" s="168"/>
      <c r="WUC97" s="167"/>
      <c r="WUD97" s="168"/>
      <c r="WUE97" s="167"/>
      <c r="WUF97" s="168"/>
      <c r="WUG97" s="167"/>
      <c r="WUH97" s="168"/>
      <c r="WUI97" s="167"/>
      <c r="WUJ97" s="168"/>
      <c r="WUK97" s="167"/>
      <c r="WUL97" s="168"/>
      <c r="WUM97" s="167"/>
      <c r="WUN97" s="168"/>
      <c r="WUO97" s="167"/>
      <c r="WUP97" s="168"/>
      <c r="WUQ97" s="167"/>
      <c r="WUR97" s="168"/>
      <c r="WUS97" s="167"/>
      <c r="WUT97" s="168"/>
      <c r="WUU97" s="167"/>
      <c r="WUV97" s="168"/>
      <c r="WUW97" s="167"/>
      <c r="WUX97" s="168"/>
      <c r="WUY97" s="167"/>
      <c r="WUZ97" s="168"/>
      <c r="WVA97" s="167"/>
      <c r="WVB97" s="168"/>
      <c r="WVC97" s="167"/>
      <c r="WVD97" s="168"/>
      <c r="WVE97" s="167"/>
      <c r="WVF97" s="168"/>
      <c r="WVG97" s="167"/>
      <c r="WVH97" s="168"/>
      <c r="WVI97" s="167"/>
      <c r="WVJ97" s="168"/>
      <c r="WVK97" s="167"/>
      <c r="WVL97" s="168"/>
      <c r="WVM97" s="167"/>
      <c r="WVN97" s="168"/>
      <c r="WVO97" s="167"/>
      <c r="WVP97" s="168"/>
      <c r="WVQ97" s="167"/>
      <c r="WVR97" s="168"/>
      <c r="WVS97" s="167"/>
      <c r="WVT97" s="168"/>
      <c r="WVU97" s="167"/>
      <c r="WVV97" s="168"/>
      <c r="WVW97" s="167"/>
      <c r="WVX97" s="168"/>
      <c r="WVY97" s="167"/>
      <c r="WVZ97" s="168"/>
      <c r="WWA97" s="167"/>
      <c r="WWB97" s="168"/>
      <c r="WWC97" s="167"/>
      <c r="WWD97" s="168"/>
      <c r="WWE97" s="167"/>
      <c r="WWF97" s="168"/>
      <c r="WWG97" s="167"/>
      <c r="WWH97" s="168"/>
      <c r="WWI97" s="167"/>
      <c r="WWJ97" s="168"/>
      <c r="WWK97" s="167"/>
      <c r="WWL97" s="168"/>
      <c r="WWM97" s="167"/>
      <c r="WWN97" s="168"/>
      <c r="WWO97" s="167"/>
      <c r="WWP97" s="168"/>
      <c r="WWQ97" s="167"/>
      <c r="WWR97" s="168"/>
      <c r="WWS97" s="167"/>
      <c r="WWT97" s="168"/>
      <c r="WWU97" s="167"/>
      <c r="WWV97" s="168"/>
      <c r="WWW97" s="167"/>
      <c r="WWX97" s="168"/>
      <c r="WWY97" s="167"/>
      <c r="WWZ97" s="168"/>
      <c r="WXA97" s="167"/>
      <c r="WXB97" s="168"/>
      <c r="WXC97" s="167"/>
      <c r="WXD97" s="168"/>
      <c r="WXE97" s="167"/>
      <c r="WXF97" s="168"/>
      <c r="WXG97" s="167"/>
      <c r="WXH97" s="168"/>
      <c r="WXI97" s="167"/>
      <c r="WXJ97" s="168"/>
      <c r="WXK97" s="167"/>
      <c r="WXL97" s="168"/>
      <c r="WXM97" s="167"/>
      <c r="WXN97" s="168"/>
      <c r="WXO97" s="167"/>
      <c r="WXP97" s="168"/>
      <c r="WXQ97" s="167"/>
      <c r="WXR97" s="168"/>
      <c r="WXS97" s="167"/>
      <c r="WXT97" s="168"/>
      <c r="WXU97" s="167"/>
      <c r="WXV97" s="168"/>
      <c r="WXW97" s="167"/>
      <c r="WXX97" s="168"/>
      <c r="WXY97" s="167"/>
      <c r="WXZ97" s="168"/>
      <c r="WYA97" s="167"/>
      <c r="WYB97" s="168"/>
      <c r="WYC97" s="167"/>
      <c r="WYD97" s="168"/>
      <c r="WYE97" s="167"/>
      <c r="WYF97" s="168"/>
      <c r="WYG97" s="167"/>
      <c r="WYH97" s="168"/>
      <c r="WYI97" s="167"/>
      <c r="WYJ97" s="168"/>
      <c r="WYK97" s="167"/>
      <c r="WYL97" s="168"/>
      <c r="WYM97" s="167"/>
      <c r="WYN97" s="168"/>
      <c r="WYO97" s="167"/>
      <c r="WYP97" s="168"/>
      <c r="WYQ97" s="167"/>
      <c r="WYR97" s="168"/>
      <c r="WYS97" s="167"/>
      <c r="WYT97" s="168"/>
      <c r="WYU97" s="167"/>
      <c r="WYV97" s="168"/>
      <c r="WYW97" s="167"/>
      <c r="WYX97" s="168"/>
      <c r="WYY97" s="167"/>
      <c r="WYZ97" s="168"/>
      <c r="WZA97" s="167"/>
      <c r="WZB97" s="168"/>
      <c r="WZC97" s="167"/>
      <c r="WZD97" s="168"/>
      <c r="WZE97" s="167"/>
      <c r="WZF97" s="168"/>
      <c r="WZG97" s="167"/>
      <c r="WZH97" s="168"/>
      <c r="WZI97" s="167"/>
      <c r="WZJ97" s="168"/>
      <c r="WZK97" s="167"/>
      <c r="WZL97" s="168"/>
      <c r="WZM97" s="167"/>
      <c r="WZN97" s="168"/>
      <c r="WZO97" s="167"/>
      <c r="WZP97" s="168"/>
      <c r="WZQ97" s="167"/>
      <c r="WZR97" s="168"/>
      <c r="WZS97" s="167"/>
      <c r="WZT97" s="168"/>
      <c r="WZU97" s="167"/>
      <c r="WZV97" s="168"/>
      <c r="WZW97" s="167"/>
      <c r="WZX97" s="168"/>
      <c r="WZY97" s="167"/>
      <c r="WZZ97" s="168"/>
      <c r="XAA97" s="167"/>
      <c r="XAB97" s="168"/>
      <c r="XAC97" s="167"/>
      <c r="XAD97" s="168"/>
      <c r="XAE97" s="167"/>
      <c r="XAF97" s="168"/>
      <c r="XAG97" s="167"/>
      <c r="XAH97" s="168"/>
      <c r="XAI97" s="167"/>
      <c r="XAJ97" s="168"/>
      <c r="XAK97" s="167"/>
      <c r="XAL97" s="168"/>
      <c r="XAM97" s="167"/>
      <c r="XAN97" s="168"/>
      <c r="XAO97" s="167"/>
      <c r="XAP97" s="168"/>
      <c r="XAQ97" s="167"/>
      <c r="XAR97" s="168"/>
      <c r="XAS97" s="167"/>
      <c r="XAT97" s="168"/>
      <c r="XAU97" s="167"/>
      <c r="XAV97" s="168"/>
      <c r="XAW97" s="167"/>
      <c r="XAX97" s="168"/>
      <c r="XAY97" s="167"/>
      <c r="XAZ97" s="168"/>
      <c r="XBA97" s="167"/>
      <c r="XBB97" s="168"/>
      <c r="XBC97" s="167"/>
      <c r="XBD97" s="168"/>
      <c r="XBE97" s="167"/>
      <c r="XBF97" s="168"/>
      <c r="XBG97" s="167"/>
      <c r="XBH97" s="168"/>
      <c r="XBI97" s="167"/>
      <c r="XBJ97" s="168"/>
      <c r="XBK97" s="167"/>
      <c r="XBL97" s="168"/>
      <c r="XBM97" s="167"/>
      <c r="XBN97" s="168"/>
      <c r="XBO97" s="167"/>
      <c r="XBP97" s="168"/>
      <c r="XBQ97" s="167"/>
      <c r="XBR97" s="168"/>
      <c r="XBS97" s="167"/>
      <c r="XBT97" s="168"/>
      <c r="XBU97" s="167"/>
      <c r="XBV97" s="168"/>
      <c r="XBW97" s="167"/>
      <c r="XBX97" s="168"/>
      <c r="XBY97" s="167"/>
      <c r="XBZ97" s="168"/>
      <c r="XCA97" s="167"/>
      <c r="XCB97" s="168"/>
      <c r="XCC97" s="167"/>
      <c r="XCD97" s="168"/>
      <c r="XCE97" s="167"/>
      <c r="XCF97" s="168"/>
      <c r="XCG97" s="167"/>
      <c r="XCH97" s="168"/>
      <c r="XCI97" s="167"/>
      <c r="XCJ97" s="168"/>
      <c r="XCK97" s="167"/>
      <c r="XCL97" s="168"/>
      <c r="XCM97" s="167"/>
      <c r="XCN97" s="168"/>
      <c r="XCO97" s="167"/>
      <c r="XCP97" s="168"/>
      <c r="XCQ97" s="167"/>
      <c r="XCR97" s="168"/>
      <c r="XCS97" s="167"/>
      <c r="XCT97" s="168"/>
      <c r="XCU97" s="167"/>
      <c r="XCV97" s="168"/>
      <c r="XCW97" s="167"/>
      <c r="XCX97" s="168"/>
      <c r="XCY97" s="167"/>
      <c r="XCZ97" s="168"/>
      <c r="XDA97" s="167"/>
      <c r="XDB97" s="168"/>
      <c r="XDC97" s="167"/>
      <c r="XDD97" s="168"/>
      <c r="XDE97" s="167"/>
      <c r="XDF97" s="168"/>
      <c r="XDG97" s="167"/>
      <c r="XDH97" s="168"/>
      <c r="XDI97" s="167"/>
      <c r="XDJ97" s="168"/>
      <c r="XDK97" s="167"/>
      <c r="XDL97" s="168"/>
      <c r="XDM97" s="167"/>
      <c r="XDN97" s="168"/>
      <c r="XDO97" s="167"/>
      <c r="XDP97" s="168"/>
      <c r="XDQ97" s="167"/>
      <c r="XDR97" s="168"/>
      <c r="XDS97" s="167"/>
      <c r="XDT97" s="168"/>
      <c r="XDU97" s="167"/>
      <c r="XDV97" s="168"/>
      <c r="XDW97" s="167"/>
      <c r="XDX97" s="168"/>
      <c r="XDY97" s="167"/>
      <c r="XDZ97" s="168"/>
      <c r="XEA97" s="167"/>
      <c r="XEB97" s="168"/>
      <c r="XEC97" s="167"/>
      <c r="XED97" s="168"/>
      <c r="XEE97" s="167"/>
      <c r="XEF97" s="168"/>
      <c r="XEG97" s="167"/>
      <c r="XEH97" s="168"/>
      <c r="XEI97" s="167"/>
      <c r="XEJ97" s="168"/>
      <c r="XEK97" s="167"/>
      <c r="XEL97" s="168"/>
      <c r="XEM97" s="167"/>
      <c r="XEN97" s="168"/>
      <c r="XEO97" s="167"/>
      <c r="XEP97" s="168"/>
      <c r="XEQ97" s="167"/>
      <c r="XER97" s="168"/>
      <c r="XES97" s="167"/>
      <c r="XET97" s="168"/>
      <c r="XEU97" s="167"/>
      <c r="XEV97" s="168"/>
      <c r="XEW97" s="167"/>
      <c r="XEX97" s="168"/>
      <c r="XEY97" s="167"/>
      <c r="XEZ97" s="168"/>
      <c r="XFA97" s="167"/>
      <c r="XFB97" s="168"/>
      <c r="XFC97" s="167"/>
      <c r="XFD97" s="168"/>
    </row>
    <row r="98" spans="1:16384" s="105" customFormat="1" ht="95.15" customHeight="1">
      <c r="A98"/>
      <c r="B98"/>
      <c r="C98"/>
      <c r="D98"/>
      <c r="E98" s="107"/>
      <c r="F98"/>
      <c r="G98" s="107"/>
      <c r="H98" s="107"/>
      <c r="I98" s="108"/>
      <c r="J98" s="108"/>
      <c r="K98" s="107"/>
      <c r="L98" s="107"/>
      <c r="M98" s="107"/>
      <c r="N98" s="107"/>
      <c r="O98" s="107"/>
      <c r="P98" s="107"/>
      <c r="Q98" s="107"/>
      <c r="R98" s="107"/>
      <c r="S98" s="107"/>
      <c r="T98" s="107"/>
      <c r="U98" s="107"/>
      <c r="V98" s="107"/>
      <c r="W98" s="107"/>
      <c r="X98" s="107"/>
      <c r="Y98" s="107"/>
      <c r="Z98" s="107"/>
      <c r="AA98" s="109"/>
      <c r="AB98"/>
      <c r="AC98" s="167"/>
      <c r="AD98" s="168"/>
      <c r="AE98" s="167"/>
      <c r="AF98" s="168"/>
      <c r="AG98" s="167"/>
      <c r="AH98" s="168"/>
      <c r="AI98" s="167"/>
      <c r="AJ98" s="168"/>
      <c r="AK98" s="167"/>
      <c r="AL98" s="168"/>
      <c r="AM98" s="167"/>
      <c r="AN98" s="168"/>
      <c r="AO98" s="167"/>
      <c r="AP98" s="168"/>
      <c r="AQ98" s="167"/>
      <c r="AR98" s="168"/>
      <c r="AS98" s="167"/>
      <c r="AT98" s="168"/>
      <c r="AU98" s="167"/>
      <c r="AV98" s="168"/>
      <c r="AW98" s="167"/>
      <c r="AX98" s="168"/>
      <c r="AY98" s="167"/>
      <c r="AZ98" s="168"/>
      <c r="BA98" s="167"/>
      <c r="BB98" s="168"/>
      <c r="BC98" s="167"/>
      <c r="BD98" s="168"/>
      <c r="BE98" s="167"/>
      <c r="BF98" s="168"/>
      <c r="BG98" s="167"/>
      <c r="BH98" s="168"/>
      <c r="BI98" s="167"/>
      <c r="BJ98" s="168"/>
      <c r="BK98" s="167"/>
      <c r="BL98" s="168"/>
      <c r="BM98" s="167"/>
      <c r="BN98" s="168"/>
      <c r="BO98" s="167"/>
      <c r="BP98" s="168"/>
      <c r="BQ98" s="167"/>
      <c r="BR98" s="168"/>
      <c r="BS98" s="167"/>
      <c r="BT98" s="168"/>
      <c r="BU98" s="167"/>
      <c r="BV98" s="168"/>
      <c r="BW98" s="167"/>
      <c r="BX98" s="168"/>
      <c r="BY98" s="167"/>
      <c r="BZ98" s="168"/>
      <c r="CA98" s="167"/>
      <c r="CB98" s="168"/>
      <c r="CC98" s="167"/>
      <c r="CD98" s="168"/>
      <c r="CE98" s="167"/>
      <c r="CF98" s="168"/>
      <c r="CG98" s="167"/>
      <c r="CH98" s="168"/>
      <c r="CI98" s="167"/>
      <c r="CJ98" s="168"/>
      <c r="CK98" s="167"/>
      <c r="CL98" s="168"/>
      <c r="CM98" s="167"/>
      <c r="CN98" s="168"/>
      <c r="CO98" s="167"/>
      <c r="CP98" s="168"/>
      <c r="CQ98" s="167"/>
      <c r="CR98" s="168"/>
      <c r="CS98" s="167"/>
      <c r="CT98" s="168"/>
      <c r="CU98" s="167"/>
      <c r="CV98" s="168"/>
      <c r="CW98" s="167"/>
      <c r="CX98" s="168"/>
      <c r="CY98" s="167"/>
      <c r="CZ98" s="168"/>
      <c r="DA98" s="167"/>
      <c r="DB98" s="168"/>
      <c r="DC98" s="167"/>
      <c r="DD98" s="168"/>
      <c r="DE98" s="167"/>
      <c r="DF98" s="168"/>
      <c r="DG98" s="167"/>
      <c r="DH98" s="168"/>
      <c r="DI98" s="167"/>
      <c r="DJ98" s="168"/>
      <c r="DK98" s="167"/>
      <c r="DL98" s="168"/>
      <c r="DM98" s="167"/>
      <c r="DN98" s="168"/>
      <c r="DO98" s="167"/>
      <c r="DP98" s="168"/>
      <c r="DQ98" s="167"/>
      <c r="DR98" s="168"/>
      <c r="DS98" s="167"/>
      <c r="DT98" s="168"/>
      <c r="DU98" s="167"/>
      <c r="DV98" s="168"/>
      <c r="DW98" s="167"/>
      <c r="DX98" s="168"/>
      <c r="DY98" s="167"/>
      <c r="DZ98" s="168"/>
      <c r="EA98" s="167"/>
      <c r="EB98" s="168"/>
      <c r="EC98" s="167"/>
      <c r="ED98" s="168"/>
      <c r="EE98" s="167"/>
      <c r="EF98" s="168"/>
      <c r="EG98" s="167"/>
      <c r="EH98" s="168"/>
      <c r="EI98" s="167"/>
      <c r="EJ98" s="168"/>
      <c r="EK98" s="167"/>
      <c r="EL98" s="168"/>
      <c r="EM98" s="167"/>
      <c r="EN98" s="168"/>
      <c r="EO98" s="167"/>
      <c r="EP98" s="168"/>
      <c r="EQ98" s="167"/>
      <c r="ER98" s="168"/>
      <c r="ES98" s="167"/>
      <c r="ET98" s="168"/>
      <c r="EU98" s="167"/>
      <c r="EV98" s="168"/>
      <c r="EW98" s="167"/>
      <c r="EX98" s="168"/>
      <c r="EY98" s="167"/>
      <c r="EZ98" s="168"/>
      <c r="FA98" s="167"/>
      <c r="FB98" s="168"/>
      <c r="FC98" s="167"/>
      <c r="FD98" s="168"/>
      <c r="FE98" s="167"/>
      <c r="FF98" s="168"/>
      <c r="FG98" s="167"/>
      <c r="FH98" s="168"/>
      <c r="FI98" s="167"/>
      <c r="FJ98" s="168"/>
      <c r="FK98" s="167"/>
      <c r="FL98" s="168"/>
      <c r="FM98" s="167"/>
      <c r="FN98" s="168"/>
      <c r="FO98" s="167"/>
      <c r="FP98" s="168"/>
      <c r="FQ98" s="167"/>
      <c r="FR98" s="168"/>
      <c r="FS98" s="167"/>
      <c r="FT98" s="168"/>
      <c r="FU98" s="167"/>
      <c r="FV98" s="168"/>
      <c r="FW98" s="167"/>
      <c r="FX98" s="168"/>
      <c r="FY98" s="167"/>
      <c r="FZ98" s="168"/>
      <c r="GA98" s="167"/>
      <c r="GB98" s="168"/>
      <c r="GC98" s="167"/>
      <c r="GD98" s="168"/>
      <c r="GE98" s="167"/>
      <c r="GF98" s="168"/>
      <c r="GG98" s="167"/>
      <c r="GH98" s="168"/>
      <c r="GI98" s="167"/>
      <c r="GJ98" s="168"/>
      <c r="GK98" s="167"/>
      <c r="GL98" s="168"/>
      <c r="GM98" s="167"/>
      <c r="GN98" s="168"/>
      <c r="GO98" s="167"/>
      <c r="GP98" s="168"/>
      <c r="GQ98" s="167"/>
      <c r="GR98" s="168"/>
      <c r="GS98" s="167"/>
      <c r="GT98" s="168"/>
      <c r="GU98" s="167"/>
      <c r="GV98" s="168"/>
      <c r="GW98" s="167"/>
      <c r="GX98" s="168"/>
      <c r="GY98" s="167"/>
      <c r="GZ98" s="168"/>
      <c r="HA98" s="167"/>
      <c r="HB98" s="168"/>
      <c r="HC98" s="167"/>
      <c r="HD98" s="168"/>
      <c r="HE98" s="167"/>
      <c r="HF98" s="168"/>
      <c r="HG98" s="167"/>
      <c r="HH98" s="168"/>
      <c r="HI98" s="167"/>
      <c r="HJ98" s="168"/>
      <c r="HK98" s="167"/>
      <c r="HL98" s="168"/>
      <c r="HM98" s="167"/>
      <c r="HN98" s="168"/>
      <c r="HO98" s="167"/>
      <c r="HP98" s="168"/>
      <c r="HQ98" s="167"/>
      <c r="HR98" s="168"/>
      <c r="HS98" s="167"/>
      <c r="HT98" s="168"/>
      <c r="HU98" s="167"/>
      <c r="HV98" s="168"/>
      <c r="HW98" s="167"/>
      <c r="HX98" s="168"/>
      <c r="HY98" s="167"/>
      <c r="HZ98" s="168"/>
      <c r="IA98" s="167"/>
      <c r="IB98" s="168"/>
      <c r="IC98" s="167"/>
      <c r="ID98" s="168"/>
      <c r="IE98" s="167"/>
      <c r="IF98" s="168"/>
      <c r="IG98" s="167"/>
      <c r="IH98" s="168"/>
      <c r="II98" s="167"/>
      <c r="IJ98" s="168"/>
      <c r="IK98" s="167"/>
      <c r="IL98" s="168"/>
      <c r="IM98" s="167"/>
      <c r="IN98" s="168"/>
      <c r="IO98" s="167"/>
      <c r="IP98" s="168"/>
      <c r="IQ98" s="167"/>
      <c r="IR98" s="168"/>
      <c r="IS98" s="167"/>
      <c r="IT98" s="168"/>
      <c r="IU98" s="167"/>
      <c r="IV98" s="168"/>
      <c r="IW98" s="167"/>
      <c r="IX98" s="168"/>
      <c r="IY98" s="167"/>
      <c r="IZ98" s="168"/>
      <c r="JA98" s="167"/>
      <c r="JB98" s="168"/>
      <c r="JC98" s="167"/>
      <c r="JD98" s="168"/>
      <c r="JE98" s="167"/>
      <c r="JF98" s="168"/>
      <c r="JG98" s="167"/>
      <c r="JH98" s="168"/>
      <c r="JI98" s="167"/>
      <c r="JJ98" s="168"/>
      <c r="JK98" s="167"/>
      <c r="JL98" s="168"/>
      <c r="JM98" s="167"/>
      <c r="JN98" s="168"/>
      <c r="JO98" s="167"/>
      <c r="JP98" s="168"/>
      <c r="JQ98" s="167"/>
      <c r="JR98" s="168"/>
      <c r="JS98" s="167"/>
      <c r="JT98" s="168"/>
      <c r="JU98" s="167"/>
      <c r="JV98" s="168"/>
      <c r="JW98" s="167"/>
      <c r="JX98" s="168"/>
      <c r="JY98" s="167"/>
      <c r="JZ98" s="168"/>
      <c r="KA98" s="167"/>
      <c r="KB98" s="168"/>
      <c r="KC98" s="167"/>
      <c r="KD98" s="168"/>
      <c r="KE98" s="167"/>
      <c r="KF98" s="168"/>
      <c r="KG98" s="167"/>
      <c r="KH98" s="168"/>
      <c r="KI98" s="167"/>
      <c r="KJ98" s="168"/>
      <c r="KK98" s="167"/>
      <c r="KL98" s="168"/>
      <c r="KM98" s="167"/>
      <c r="KN98" s="168"/>
      <c r="KO98" s="167"/>
      <c r="KP98" s="168"/>
      <c r="KQ98" s="167"/>
      <c r="KR98" s="168"/>
      <c r="KS98" s="167"/>
      <c r="KT98" s="168"/>
      <c r="KU98" s="167"/>
      <c r="KV98" s="168"/>
      <c r="KW98" s="167"/>
      <c r="KX98" s="168"/>
      <c r="KY98" s="167"/>
      <c r="KZ98" s="168"/>
      <c r="LA98" s="167"/>
      <c r="LB98" s="168"/>
      <c r="LC98" s="167"/>
      <c r="LD98" s="168"/>
      <c r="LE98" s="167"/>
      <c r="LF98" s="168"/>
      <c r="LG98" s="167"/>
      <c r="LH98" s="168"/>
      <c r="LI98" s="167"/>
      <c r="LJ98" s="168"/>
      <c r="LK98" s="167"/>
      <c r="LL98" s="168"/>
      <c r="LM98" s="167"/>
      <c r="LN98" s="168"/>
      <c r="LO98" s="167"/>
      <c r="LP98" s="168"/>
      <c r="LQ98" s="167"/>
      <c r="LR98" s="168"/>
      <c r="LS98" s="167"/>
      <c r="LT98" s="168"/>
      <c r="LU98" s="167"/>
      <c r="LV98" s="168"/>
      <c r="LW98" s="167"/>
      <c r="LX98" s="168"/>
      <c r="LY98" s="167"/>
      <c r="LZ98" s="168"/>
      <c r="MA98" s="167"/>
      <c r="MB98" s="168"/>
      <c r="MC98" s="167"/>
      <c r="MD98" s="168"/>
      <c r="ME98" s="167"/>
      <c r="MF98" s="168"/>
      <c r="MG98" s="167"/>
      <c r="MH98" s="168"/>
      <c r="MI98" s="167"/>
      <c r="MJ98" s="168"/>
      <c r="MK98" s="167"/>
      <c r="ML98" s="168"/>
      <c r="MM98" s="167"/>
      <c r="MN98" s="168"/>
      <c r="MO98" s="167"/>
      <c r="MP98" s="168"/>
      <c r="MQ98" s="167"/>
      <c r="MR98" s="168"/>
      <c r="MS98" s="167"/>
      <c r="MT98" s="168"/>
      <c r="MU98" s="167"/>
      <c r="MV98" s="168"/>
      <c r="MW98" s="167"/>
      <c r="MX98" s="168"/>
      <c r="MY98" s="167"/>
      <c r="MZ98" s="168"/>
      <c r="NA98" s="167"/>
      <c r="NB98" s="168"/>
      <c r="NC98" s="167"/>
      <c r="ND98" s="168"/>
      <c r="NE98" s="167"/>
      <c r="NF98" s="168"/>
      <c r="NG98" s="167"/>
      <c r="NH98" s="168"/>
      <c r="NI98" s="167"/>
      <c r="NJ98" s="168"/>
      <c r="NK98" s="167"/>
      <c r="NL98" s="168"/>
      <c r="NM98" s="167"/>
      <c r="NN98" s="168"/>
      <c r="NO98" s="167"/>
      <c r="NP98" s="168"/>
      <c r="NQ98" s="167"/>
      <c r="NR98" s="168"/>
      <c r="NS98" s="167"/>
      <c r="NT98" s="168"/>
      <c r="NU98" s="167"/>
      <c r="NV98" s="168"/>
      <c r="NW98" s="167"/>
      <c r="NX98" s="168"/>
      <c r="NY98" s="167"/>
      <c r="NZ98" s="168"/>
      <c r="OA98" s="167"/>
      <c r="OB98" s="168"/>
      <c r="OC98" s="167"/>
      <c r="OD98" s="168"/>
      <c r="OE98" s="167"/>
      <c r="OF98" s="168"/>
      <c r="OG98" s="167"/>
      <c r="OH98" s="168"/>
      <c r="OI98" s="167"/>
      <c r="OJ98" s="168"/>
      <c r="OK98" s="167"/>
      <c r="OL98" s="168"/>
      <c r="OM98" s="167"/>
      <c r="ON98" s="168"/>
      <c r="OO98" s="167"/>
      <c r="OP98" s="168"/>
      <c r="OQ98" s="167"/>
      <c r="OR98" s="168"/>
      <c r="OS98" s="167"/>
      <c r="OT98" s="168"/>
      <c r="OU98" s="167"/>
      <c r="OV98" s="168"/>
      <c r="OW98" s="167"/>
      <c r="OX98" s="168"/>
      <c r="OY98" s="167"/>
      <c r="OZ98" s="168"/>
      <c r="PA98" s="167"/>
      <c r="PB98" s="168"/>
      <c r="PC98" s="167"/>
      <c r="PD98" s="168"/>
      <c r="PE98" s="167"/>
      <c r="PF98" s="168"/>
      <c r="PG98" s="167"/>
      <c r="PH98" s="168"/>
      <c r="PI98" s="167"/>
      <c r="PJ98" s="168"/>
      <c r="PK98" s="167"/>
      <c r="PL98" s="168"/>
      <c r="PM98" s="167"/>
      <c r="PN98" s="168"/>
      <c r="PO98" s="167"/>
      <c r="PP98" s="168"/>
      <c r="PQ98" s="167"/>
      <c r="PR98" s="168"/>
      <c r="PS98" s="167"/>
      <c r="PT98" s="168"/>
      <c r="PU98" s="167"/>
      <c r="PV98" s="168"/>
      <c r="PW98" s="167"/>
      <c r="PX98" s="168"/>
      <c r="PY98" s="167"/>
      <c r="PZ98" s="168"/>
      <c r="QA98" s="167"/>
      <c r="QB98" s="168"/>
      <c r="QC98" s="167"/>
      <c r="QD98" s="168"/>
      <c r="QE98" s="167"/>
      <c r="QF98" s="168"/>
      <c r="QG98" s="167"/>
      <c r="QH98" s="168"/>
      <c r="QI98" s="167"/>
      <c r="QJ98" s="168"/>
      <c r="QK98" s="167"/>
      <c r="QL98" s="168"/>
      <c r="QM98" s="167"/>
      <c r="QN98" s="168"/>
      <c r="QO98" s="167"/>
      <c r="QP98" s="168"/>
      <c r="QQ98" s="167"/>
      <c r="QR98" s="168"/>
      <c r="QS98" s="167"/>
      <c r="QT98" s="168"/>
      <c r="QU98" s="167"/>
      <c r="QV98" s="168"/>
      <c r="QW98" s="167"/>
      <c r="QX98" s="168"/>
      <c r="QY98" s="167"/>
      <c r="QZ98" s="168"/>
      <c r="RA98" s="167"/>
      <c r="RB98" s="168"/>
      <c r="RC98" s="167"/>
      <c r="RD98" s="168"/>
      <c r="RE98" s="167"/>
      <c r="RF98" s="168"/>
      <c r="RG98" s="167"/>
      <c r="RH98" s="168"/>
      <c r="RI98" s="167"/>
      <c r="RJ98" s="168"/>
      <c r="RK98" s="167"/>
      <c r="RL98" s="168"/>
      <c r="RM98" s="167"/>
      <c r="RN98" s="168"/>
      <c r="RO98" s="167"/>
      <c r="RP98" s="168"/>
      <c r="RQ98" s="167"/>
      <c r="RR98" s="168"/>
      <c r="RS98" s="167"/>
      <c r="RT98" s="168"/>
      <c r="RU98" s="167"/>
      <c r="RV98" s="168"/>
      <c r="RW98" s="167"/>
      <c r="RX98" s="168"/>
      <c r="RY98" s="167"/>
      <c r="RZ98" s="168"/>
      <c r="SA98" s="167"/>
      <c r="SB98" s="168"/>
      <c r="SC98" s="167"/>
      <c r="SD98" s="168"/>
      <c r="SE98" s="167"/>
      <c r="SF98" s="168"/>
      <c r="SG98" s="167"/>
      <c r="SH98" s="168"/>
      <c r="SI98" s="167"/>
      <c r="SJ98" s="168"/>
      <c r="SK98" s="167"/>
      <c r="SL98" s="168"/>
      <c r="SM98" s="167"/>
      <c r="SN98" s="168"/>
      <c r="SO98" s="167"/>
      <c r="SP98" s="168"/>
      <c r="SQ98" s="167"/>
      <c r="SR98" s="168"/>
      <c r="SS98" s="167"/>
      <c r="ST98" s="168"/>
      <c r="SU98" s="167"/>
      <c r="SV98" s="168"/>
      <c r="SW98" s="167"/>
      <c r="SX98" s="168"/>
      <c r="SY98" s="167"/>
      <c r="SZ98" s="168"/>
      <c r="TA98" s="167"/>
      <c r="TB98" s="168"/>
      <c r="TC98" s="167"/>
      <c r="TD98" s="168"/>
      <c r="TE98" s="167"/>
      <c r="TF98" s="168"/>
      <c r="TG98" s="167"/>
      <c r="TH98" s="168"/>
      <c r="TI98" s="167"/>
      <c r="TJ98" s="168"/>
      <c r="TK98" s="167"/>
      <c r="TL98" s="168"/>
      <c r="TM98" s="167"/>
      <c r="TN98" s="168"/>
      <c r="TO98" s="167"/>
      <c r="TP98" s="168"/>
      <c r="TQ98" s="167"/>
      <c r="TR98" s="168"/>
      <c r="TS98" s="167"/>
      <c r="TT98" s="168"/>
      <c r="TU98" s="167"/>
      <c r="TV98" s="168"/>
      <c r="TW98" s="167"/>
      <c r="TX98" s="168"/>
      <c r="TY98" s="167"/>
      <c r="TZ98" s="168"/>
      <c r="UA98" s="167"/>
      <c r="UB98" s="168"/>
      <c r="UC98" s="167"/>
      <c r="UD98" s="168"/>
      <c r="UE98" s="167"/>
      <c r="UF98" s="168"/>
      <c r="UG98" s="167"/>
      <c r="UH98" s="168"/>
      <c r="UI98" s="167"/>
      <c r="UJ98" s="168"/>
      <c r="UK98" s="167"/>
      <c r="UL98" s="168"/>
      <c r="UM98" s="167"/>
      <c r="UN98" s="168"/>
      <c r="UO98" s="167"/>
      <c r="UP98" s="168"/>
      <c r="UQ98" s="167"/>
      <c r="UR98" s="168"/>
      <c r="US98" s="167"/>
      <c r="UT98" s="168"/>
      <c r="UU98" s="167"/>
      <c r="UV98" s="168"/>
      <c r="UW98" s="167"/>
      <c r="UX98" s="168"/>
      <c r="UY98" s="167"/>
      <c r="UZ98" s="168"/>
      <c r="VA98" s="167"/>
      <c r="VB98" s="168"/>
      <c r="VC98" s="167"/>
      <c r="VD98" s="168"/>
      <c r="VE98" s="167"/>
      <c r="VF98" s="168"/>
      <c r="VG98" s="167"/>
      <c r="VH98" s="168"/>
      <c r="VI98" s="167"/>
      <c r="VJ98" s="168"/>
      <c r="VK98" s="167"/>
      <c r="VL98" s="168"/>
      <c r="VM98" s="167"/>
      <c r="VN98" s="168"/>
      <c r="VO98" s="167"/>
      <c r="VP98" s="168"/>
      <c r="VQ98" s="167"/>
      <c r="VR98" s="168"/>
      <c r="VS98" s="167"/>
      <c r="VT98" s="168"/>
      <c r="VU98" s="167"/>
      <c r="VV98" s="168"/>
      <c r="VW98" s="167"/>
      <c r="VX98" s="168"/>
      <c r="VY98" s="167"/>
      <c r="VZ98" s="168"/>
      <c r="WA98" s="167"/>
      <c r="WB98" s="168"/>
      <c r="WC98" s="167"/>
      <c r="WD98" s="168"/>
      <c r="WE98" s="167"/>
      <c r="WF98" s="168"/>
      <c r="WG98" s="167"/>
      <c r="WH98" s="168"/>
      <c r="WI98" s="167"/>
      <c r="WJ98" s="168"/>
      <c r="WK98" s="167"/>
      <c r="WL98" s="168"/>
      <c r="WM98" s="167"/>
      <c r="WN98" s="168"/>
      <c r="WO98" s="167"/>
      <c r="WP98" s="168"/>
      <c r="WQ98" s="167"/>
      <c r="WR98" s="168"/>
      <c r="WS98" s="167"/>
      <c r="WT98" s="168"/>
      <c r="WU98" s="167"/>
      <c r="WV98" s="168"/>
      <c r="WW98" s="167"/>
      <c r="WX98" s="168"/>
      <c r="WY98" s="167"/>
      <c r="WZ98" s="168"/>
      <c r="XA98" s="167"/>
      <c r="XB98" s="168"/>
      <c r="XC98" s="167"/>
      <c r="XD98" s="168"/>
      <c r="XE98" s="167"/>
      <c r="XF98" s="168"/>
      <c r="XG98" s="167"/>
      <c r="XH98" s="168"/>
      <c r="XI98" s="167"/>
      <c r="XJ98" s="168"/>
      <c r="XK98" s="167"/>
      <c r="XL98" s="168"/>
      <c r="XM98" s="167"/>
      <c r="XN98" s="168"/>
      <c r="XO98" s="167"/>
      <c r="XP98" s="168"/>
      <c r="XQ98" s="167"/>
      <c r="XR98" s="168"/>
      <c r="XS98" s="167"/>
      <c r="XT98" s="168"/>
      <c r="XU98" s="167"/>
      <c r="XV98" s="168"/>
      <c r="XW98" s="167"/>
      <c r="XX98" s="168"/>
      <c r="XY98" s="167"/>
      <c r="XZ98" s="168"/>
      <c r="YA98" s="167"/>
      <c r="YB98" s="168"/>
      <c r="YC98" s="167"/>
      <c r="YD98" s="168"/>
      <c r="YE98" s="167"/>
      <c r="YF98" s="168"/>
      <c r="YG98" s="167"/>
      <c r="YH98" s="168"/>
      <c r="YI98" s="167"/>
      <c r="YJ98" s="168"/>
      <c r="YK98" s="167"/>
      <c r="YL98" s="168"/>
      <c r="YM98" s="167"/>
      <c r="YN98" s="168"/>
      <c r="YO98" s="167"/>
      <c r="YP98" s="168"/>
      <c r="YQ98" s="167"/>
      <c r="YR98" s="168"/>
      <c r="YS98" s="167"/>
      <c r="YT98" s="168"/>
      <c r="YU98" s="167"/>
      <c r="YV98" s="168"/>
      <c r="YW98" s="167"/>
      <c r="YX98" s="168"/>
      <c r="YY98" s="167"/>
      <c r="YZ98" s="168"/>
      <c r="ZA98" s="167"/>
      <c r="ZB98" s="168"/>
      <c r="ZC98" s="167"/>
      <c r="ZD98" s="168"/>
      <c r="ZE98" s="167"/>
      <c r="ZF98" s="168"/>
      <c r="ZG98" s="167"/>
      <c r="ZH98" s="168"/>
      <c r="ZI98" s="167"/>
      <c r="ZJ98" s="168"/>
      <c r="ZK98" s="167"/>
      <c r="ZL98" s="168"/>
      <c r="ZM98" s="167"/>
      <c r="ZN98" s="168"/>
      <c r="ZO98" s="167"/>
      <c r="ZP98" s="168"/>
      <c r="ZQ98" s="167"/>
      <c r="ZR98" s="168"/>
      <c r="ZS98" s="167"/>
      <c r="ZT98" s="168"/>
      <c r="ZU98" s="167"/>
      <c r="ZV98" s="168"/>
      <c r="ZW98" s="167"/>
      <c r="ZX98" s="168"/>
      <c r="ZY98" s="167"/>
      <c r="ZZ98" s="168"/>
      <c r="AAA98" s="167"/>
      <c r="AAB98" s="168"/>
      <c r="AAC98" s="167"/>
      <c r="AAD98" s="168"/>
      <c r="AAE98" s="167"/>
      <c r="AAF98" s="168"/>
      <c r="AAG98" s="167"/>
      <c r="AAH98" s="168"/>
      <c r="AAI98" s="167"/>
      <c r="AAJ98" s="168"/>
      <c r="AAK98" s="167"/>
      <c r="AAL98" s="168"/>
      <c r="AAM98" s="167"/>
      <c r="AAN98" s="168"/>
      <c r="AAO98" s="167"/>
      <c r="AAP98" s="168"/>
      <c r="AAQ98" s="167"/>
      <c r="AAR98" s="168"/>
      <c r="AAS98" s="167"/>
      <c r="AAT98" s="168"/>
      <c r="AAU98" s="167"/>
      <c r="AAV98" s="168"/>
      <c r="AAW98" s="167"/>
      <c r="AAX98" s="168"/>
      <c r="AAY98" s="167"/>
      <c r="AAZ98" s="168"/>
      <c r="ABA98" s="167"/>
      <c r="ABB98" s="168"/>
      <c r="ABC98" s="167"/>
      <c r="ABD98" s="168"/>
      <c r="ABE98" s="167"/>
      <c r="ABF98" s="168"/>
      <c r="ABG98" s="167"/>
      <c r="ABH98" s="168"/>
      <c r="ABI98" s="167"/>
      <c r="ABJ98" s="168"/>
      <c r="ABK98" s="167"/>
      <c r="ABL98" s="168"/>
      <c r="ABM98" s="167"/>
      <c r="ABN98" s="168"/>
      <c r="ABO98" s="167"/>
      <c r="ABP98" s="168"/>
      <c r="ABQ98" s="167"/>
      <c r="ABR98" s="168"/>
      <c r="ABS98" s="167"/>
      <c r="ABT98" s="168"/>
      <c r="ABU98" s="167"/>
      <c r="ABV98" s="168"/>
      <c r="ABW98" s="167"/>
      <c r="ABX98" s="168"/>
      <c r="ABY98" s="167"/>
      <c r="ABZ98" s="168"/>
      <c r="ACA98" s="167"/>
      <c r="ACB98" s="168"/>
      <c r="ACC98" s="167"/>
      <c r="ACD98" s="168"/>
      <c r="ACE98" s="167"/>
      <c r="ACF98" s="168"/>
      <c r="ACG98" s="167"/>
      <c r="ACH98" s="168"/>
      <c r="ACI98" s="167"/>
      <c r="ACJ98" s="168"/>
      <c r="ACK98" s="167"/>
      <c r="ACL98" s="168"/>
      <c r="ACM98" s="167"/>
      <c r="ACN98" s="168"/>
      <c r="ACO98" s="167"/>
      <c r="ACP98" s="168"/>
      <c r="ACQ98" s="167"/>
      <c r="ACR98" s="168"/>
      <c r="ACS98" s="167"/>
      <c r="ACT98" s="168"/>
      <c r="ACU98" s="167"/>
      <c r="ACV98" s="168"/>
      <c r="ACW98" s="167"/>
      <c r="ACX98" s="168"/>
      <c r="ACY98" s="167"/>
      <c r="ACZ98" s="168"/>
      <c r="ADA98" s="167"/>
      <c r="ADB98" s="168"/>
      <c r="ADC98" s="167"/>
      <c r="ADD98" s="168"/>
      <c r="ADE98" s="167"/>
      <c r="ADF98" s="168"/>
      <c r="ADG98" s="167"/>
      <c r="ADH98" s="168"/>
      <c r="ADI98" s="167"/>
      <c r="ADJ98" s="168"/>
      <c r="ADK98" s="167"/>
      <c r="ADL98" s="168"/>
      <c r="ADM98" s="167"/>
      <c r="ADN98" s="168"/>
      <c r="ADO98" s="167"/>
      <c r="ADP98" s="168"/>
      <c r="ADQ98" s="167"/>
      <c r="ADR98" s="168"/>
      <c r="ADS98" s="167"/>
      <c r="ADT98" s="168"/>
      <c r="ADU98" s="167"/>
      <c r="ADV98" s="168"/>
      <c r="ADW98" s="167"/>
      <c r="ADX98" s="168"/>
      <c r="ADY98" s="167"/>
      <c r="ADZ98" s="168"/>
      <c r="AEA98" s="167"/>
      <c r="AEB98" s="168"/>
      <c r="AEC98" s="167"/>
      <c r="AED98" s="168"/>
      <c r="AEE98" s="167"/>
      <c r="AEF98" s="168"/>
      <c r="AEG98" s="167"/>
      <c r="AEH98" s="168"/>
      <c r="AEI98" s="167"/>
      <c r="AEJ98" s="168"/>
      <c r="AEK98" s="167"/>
      <c r="AEL98" s="168"/>
      <c r="AEM98" s="167"/>
      <c r="AEN98" s="168"/>
      <c r="AEO98" s="167"/>
      <c r="AEP98" s="168"/>
      <c r="AEQ98" s="167"/>
      <c r="AER98" s="168"/>
      <c r="AES98" s="167"/>
      <c r="AET98" s="168"/>
      <c r="AEU98" s="167"/>
      <c r="AEV98" s="168"/>
      <c r="AEW98" s="167"/>
      <c r="AEX98" s="168"/>
      <c r="AEY98" s="167"/>
      <c r="AEZ98" s="168"/>
      <c r="AFA98" s="167"/>
      <c r="AFB98" s="168"/>
      <c r="AFC98" s="167"/>
      <c r="AFD98" s="168"/>
      <c r="AFE98" s="167"/>
      <c r="AFF98" s="168"/>
      <c r="AFG98" s="167"/>
      <c r="AFH98" s="168"/>
      <c r="AFI98" s="167"/>
      <c r="AFJ98" s="168"/>
      <c r="AFK98" s="167"/>
      <c r="AFL98" s="168"/>
      <c r="AFM98" s="167"/>
      <c r="AFN98" s="168"/>
      <c r="AFO98" s="167"/>
      <c r="AFP98" s="168"/>
      <c r="AFQ98" s="167"/>
      <c r="AFR98" s="168"/>
      <c r="AFS98" s="167"/>
      <c r="AFT98" s="168"/>
      <c r="AFU98" s="167"/>
      <c r="AFV98" s="168"/>
      <c r="AFW98" s="167"/>
      <c r="AFX98" s="168"/>
      <c r="AFY98" s="167"/>
      <c r="AFZ98" s="168"/>
      <c r="AGA98" s="167"/>
      <c r="AGB98" s="168"/>
      <c r="AGC98" s="167"/>
      <c r="AGD98" s="168"/>
      <c r="AGE98" s="167"/>
      <c r="AGF98" s="168"/>
      <c r="AGG98" s="167"/>
      <c r="AGH98" s="168"/>
      <c r="AGI98" s="167"/>
      <c r="AGJ98" s="168"/>
      <c r="AGK98" s="167"/>
      <c r="AGL98" s="168"/>
      <c r="AGM98" s="167"/>
      <c r="AGN98" s="168"/>
      <c r="AGO98" s="167"/>
      <c r="AGP98" s="168"/>
      <c r="AGQ98" s="167"/>
      <c r="AGR98" s="168"/>
      <c r="AGS98" s="167"/>
      <c r="AGT98" s="168"/>
      <c r="AGU98" s="167"/>
      <c r="AGV98" s="168"/>
      <c r="AGW98" s="167"/>
      <c r="AGX98" s="168"/>
      <c r="AGY98" s="167"/>
      <c r="AGZ98" s="168"/>
      <c r="AHA98" s="167"/>
      <c r="AHB98" s="168"/>
      <c r="AHC98" s="167"/>
      <c r="AHD98" s="168"/>
      <c r="AHE98" s="167"/>
      <c r="AHF98" s="168"/>
      <c r="AHG98" s="167"/>
      <c r="AHH98" s="168"/>
      <c r="AHI98" s="167"/>
      <c r="AHJ98" s="168"/>
      <c r="AHK98" s="167"/>
      <c r="AHL98" s="168"/>
      <c r="AHM98" s="167"/>
      <c r="AHN98" s="168"/>
      <c r="AHO98" s="167"/>
      <c r="AHP98" s="168"/>
      <c r="AHQ98" s="167"/>
      <c r="AHR98" s="168"/>
      <c r="AHS98" s="167"/>
      <c r="AHT98" s="168"/>
      <c r="AHU98" s="167"/>
      <c r="AHV98" s="168"/>
      <c r="AHW98" s="167"/>
      <c r="AHX98" s="168"/>
      <c r="AHY98" s="167"/>
      <c r="AHZ98" s="168"/>
      <c r="AIA98" s="167"/>
      <c r="AIB98" s="168"/>
      <c r="AIC98" s="167"/>
      <c r="AID98" s="168"/>
      <c r="AIE98" s="167"/>
      <c r="AIF98" s="168"/>
      <c r="AIG98" s="167"/>
      <c r="AIH98" s="168"/>
      <c r="AII98" s="167"/>
      <c r="AIJ98" s="168"/>
      <c r="AIK98" s="167"/>
      <c r="AIL98" s="168"/>
      <c r="AIM98" s="167"/>
      <c r="AIN98" s="168"/>
      <c r="AIO98" s="167"/>
      <c r="AIP98" s="168"/>
      <c r="AIQ98" s="167"/>
      <c r="AIR98" s="168"/>
      <c r="AIS98" s="167"/>
      <c r="AIT98" s="168"/>
      <c r="AIU98" s="167"/>
      <c r="AIV98" s="168"/>
      <c r="AIW98" s="167"/>
      <c r="AIX98" s="168"/>
      <c r="AIY98" s="167"/>
      <c r="AIZ98" s="168"/>
      <c r="AJA98" s="167"/>
      <c r="AJB98" s="168"/>
      <c r="AJC98" s="167"/>
      <c r="AJD98" s="168"/>
      <c r="AJE98" s="167"/>
      <c r="AJF98" s="168"/>
      <c r="AJG98" s="167"/>
      <c r="AJH98" s="168"/>
      <c r="AJI98" s="167"/>
      <c r="AJJ98" s="168"/>
      <c r="AJK98" s="167"/>
      <c r="AJL98" s="168"/>
      <c r="AJM98" s="167"/>
      <c r="AJN98" s="168"/>
      <c r="AJO98" s="167"/>
      <c r="AJP98" s="168"/>
      <c r="AJQ98" s="167"/>
      <c r="AJR98" s="168"/>
      <c r="AJS98" s="167"/>
      <c r="AJT98" s="168"/>
      <c r="AJU98" s="167"/>
      <c r="AJV98" s="168"/>
      <c r="AJW98" s="167"/>
      <c r="AJX98" s="168"/>
      <c r="AJY98" s="167"/>
      <c r="AJZ98" s="168"/>
      <c r="AKA98" s="167"/>
      <c r="AKB98" s="168"/>
      <c r="AKC98" s="167"/>
      <c r="AKD98" s="168"/>
      <c r="AKE98" s="167"/>
      <c r="AKF98" s="168"/>
      <c r="AKG98" s="167"/>
      <c r="AKH98" s="168"/>
      <c r="AKI98" s="167"/>
      <c r="AKJ98" s="168"/>
      <c r="AKK98" s="167"/>
      <c r="AKL98" s="168"/>
      <c r="AKM98" s="167"/>
      <c r="AKN98" s="168"/>
      <c r="AKO98" s="167"/>
      <c r="AKP98" s="168"/>
      <c r="AKQ98" s="167"/>
      <c r="AKR98" s="168"/>
      <c r="AKS98" s="167"/>
      <c r="AKT98" s="168"/>
      <c r="AKU98" s="167"/>
      <c r="AKV98" s="168"/>
      <c r="AKW98" s="167"/>
      <c r="AKX98" s="168"/>
      <c r="AKY98" s="167"/>
      <c r="AKZ98" s="168"/>
      <c r="ALA98" s="167"/>
      <c r="ALB98" s="168"/>
      <c r="ALC98" s="167"/>
      <c r="ALD98" s="168"/>
      <c r="ALE98" s="167"/>
      <c r="ALF98" s="168"/>
      <c r="ALG98" s="167"/>
      <c r="ALH98" s="168"/>
      <c r="ALI98" s="167"/>
      <c r="ALJ98" s="168"/>
      <c r="ALK98" s="167"/>
      <c r="ALL98" s="168"/>
      <c r="ALM98" s="167"/>
      <c r="ALN98" s="168"/>
      <c r="ALO98" s="167"/>
      <c r="ALP98" s="168"/>
      <c r="ALQ98" s="167"/>
      <c r="ALR98" s="168"/>
      <c r="ALS98" s="167"/>
      <c r="ALT98" s="168"/>
      <c r="ALU98" s="167"/>
      <c r="ALV98" s="168"/>
      <c r="ALW98" s="167"/>
      <c r="ALX98" s="168"/>
      <c r="ALY98" s="167"/>
      <c r="ALZ98" s="168"/>
      <c r="AMA98" s="167"/>
      <c r="AMB98" s="168"/>
      <c r="AMC98" s="167"/>
      <c r="AMD98" s="168"/>
      <c r="AME98" s="167"/>
      <c r="AMF98" s="168"/>
      <c r="AMG98" s="167"/>
      <c r="AMH98" s="168"/>
      <c r="AMI98" s="167"/>
      <c r="AMJ98" s="168"/>
      <c r="AMK98" s="167"/>
      <c r="AML98" s="168"/>
      <c r="AMM98" s="167"/>
      <c r="AMN98" s="168"/>
      <c r="AMO98" s="167"/>
      <c r="AMP98" s="168"/>
      <c r="AMQ98" s="167"/>
      <c r="AMR98" s="168"/>
      <c r="AMS98" s="167"/>
      <c r="AMT98" s="168"/>
      <c r="AMU98" s="167"/>
      <c r="AMV98" s="168"/>
      <c r="AMW98" s="167"/>
      <c r="AMX98" s="168"/>
      <c r="AMY98" s="167"/>
      <c r="AMZ98" s="168"/>
      <c r="ANA98" s="167"/>
      <c r="ANB98" s="168"/>
      <c r="ANC98" s="167"/>
      <c r="AND98" s="168"/>
      <c r="ANE98" s="167"/>
      <c r="ANF98" s="168"/>
      <c r="ANG98" s="167"/>
      <c r="ANH98" s="168"/>
      <c r="ANI98" s="167"/>
      <c r="ANJ98" s="168"/>
      <c r="ANK98" s="167"/>
      <c r="ANL98" s="168"/>
      <c r="ANM98" s="167"/>
      <c r="ANN98" s="168"/>
      <c r="ANO98" s="167"/>
      <c r="ANP98" s="168"/>
      <c r="ANQ98" s="167"/>
      <c r="ANR98" s="168"/>
      <c r="ANS98" s="167"/>
      <c r="ANT98" s="168"/>
      <c r="ANU98" s="167"/>
      <c r="ANV98" s="168"/>
      <c r="ANW98" s="167"/>
      <c r="ANX98" s="168"/>
      <c r="ANY98" s="167"/>
      <c r="ANZ98" s="168"/>
      <c r="AOA98" s="167"/>
      <c r="AOB98" s="168"/>
      <c r="AOC98" s="167"/>
      <c r="AOD98" s="168"/>
      <c r="AOE98" s="167"/>
      <c r="AOF98" s="168"/>
      <c r="AOG98" s="167"/>
      <c r="AOH98" s="168"/>
      <c r="AOI98" s="167"/>
      <c r="AOJ98" s="168"/>
      <c r="AOK98" s="167"/>
      <c r="AOL98" s="168"/>
      <c r="AOM98" s="167"/>
      <c r="AON98" s="168"/>
      <c r="AOO98" s="167"/>
      <c r="AOP98" s="168"/>
      <c r="AOQ98" s="167"/>
      <c r="AOR98" s="168"/>
      <c r="AOS98" s="167"/>
      <c r="AOT98" s="168"/>
      <c r="AOU98" s="167"/>
      <c r="AOV98" s="168"/>
      <c r="AOW98" s="167"/>
      <c r="AOX98" s="168"/>
      <c r="AOY98" s="167"/>
      <c r="AOZ98" s="168"/>
      <c r="APA98" s="167"/>
      <c r="APB98" s="168"/>
      <c r="APC98" s="167"/>
      <c r="APD98" s="168"/>
      <c r="APE98" s="167"/>
      <c r="APF98" s="168"/>
      <c r="APG98" s="167"/>
      <c r="APH98" s="168"/>
      <c r="API98" s="167"/>
      <c r="APJ98" s="168"/>
      <c r="APK98" s="167"/>
      <c r="APL98" s="168"/>
      <c r="APM98" s="167"/>
      <c r="APN98" s="168"/>
      <c r="APO98" s="167"/>
      <c r="APP98" s="168"/>
      <c r="APQ98" s="167"/>
      <c r="APR98" s="168"/>
      <c r="APS98" s="167"/>
      <c r="APT98" s="168"/>
      <c r="APU98" s="167"/>
      <c r="APV98" s="168"/>
      <c r="APW98" s="167"/>
      <c r="APX98" s="168"/>
      <c r="APY98" s="167"/>
      <c r="APZ98" s="168"/>
      <c r="AQA98" s="167"/>
      <c r="AQB98" s="168"/>
      <c r="AQC98" s="167"/>
      <c r="AQD98" s="168"/>
      <c r="AQE98" s="167"/>
      <c r="AQF98" s="168"/>
      <c r="AQG98" s="167"/>
      <c r="AQH98" s="168"/>
      <c r="AQI98" s="167"/>
      <c r="AQJ98" s="168"/>
      <c r="AQK98" s="167"/>
      <c r="AQL98" s="168"/>
      <c r="AQM98" s="167"/>
      <c r="AQN98" s="168"/>
      <c r="AQO98" s="167"/>
      <c r="AQP98" s="168"/>
      <c r="AQQ98" s="167"/>
      <c r="AQR98" s="168"/>
      <c r="AQS98" s="167"/>
      <c r="AQT98" s="168"/>
      <c r="AQU98" s="167"/>
      <c r="AQV98" s="168"/>
      <c r="AQW98" s="167"/>
      <c r="AQX98" s="168"/>
      <c r="AQY98" s="167"/>
      <c r="AQZ98" s="168"/>
      <c r="ARA98" s="167"/>
      <c r="ARB98" s="168"/>
      <c r="ARC98" s="167"/>
      <c r="ARD98" s="168"/>
      <c r="ARE98" s="167"/>
      <c r="ARF98" s="168"/>
      <c r="ARG98" s="167"/>
      <c r="ARH98" s="168"/>
      <c r="ARI98" s="167"/>
      <c r="ARJ98" s="168"/>
      <c r="ARK98" s="167"/>
      <c r="ARL98" s="168"/>
      <c r="ARM98" s="167"/>
      <c r="ARN98" s="168"/>
      <c r="ARO98" s="167"/>
      <c r="ARP98" s="168"/>
      <c r="ARQ98" s="167"/>
      <c r="ARR98" s="168"/>
      <c r="ARS98" s="167"/>
      <c r="ART98" s="168"/>
      <c r="ARU98" s="167"/>
      <c r="ARV98" s="168"/>
      <c r="ARW98" s="167"/>
      <c r="ARX98" s="168"/>
      <c r="ARY98" s="167"/>
      <c r="ARZ98" s="168"/>
      <c r="ASA98" s="167"/>
      <c r="ASB98" s="168"/>
      <c r="ASC98" s="167"/>
      <c r="ASD98" s="168"/>
      <c r="ASE98" s="167"/>
      <c r="ASF98" s="168"/>
      <c r="ASG98" s="167"/>
      <c r="ASH98" s="168"/>
      <c r="ASI98" s="167"/>
      <c r="ASJ98" s="168"/>
      <c r="ASK98" s="167"/>
      <c r="ASL98" s="168"/>
      <c r="ASM98" s="167"/>
      <c r="ASN98" s="168"/>
      <c r="ASO98" s="167"/>
      <c r="ASP98" s="168"/>
      <c r="ASQ98" s="167"/>
      <c r="ASR98" s="168"/>
      <c r="ASS98" s="167"/>
      <c r="AST98" s="168"/>
      <c r="ASU98" s="167"/>
      <c r="ASV98" s="168"/>
      <c r="ASW98" s="167"/>
      <c r="ASX98" s="168"/>
      <c r="ASY98" s="167"/>
      <c r="ASZ98" s="168"/>
      <c r="ATA98" s="167"/>
      <c r="ATB98" s="168"/>
      <c r="ATC98" s="167"/>
      <c r="ATD98" s="168"/>
      <c r="ATE98" s="167"/>
      <c r="ATF98" s="168"/>
      <c r="ATG98" s="167"/>
      <c r="ATH98" s="168"/>
      <c r="ATI98" s="167"/>
      <c r="ATJ98" s="168"/>
      <c r="ATK98" s="167"/>
      <c r="ATL98" s="168"/>
      <c r="ATM98" s="167"/>
      <c r="ATN98" s="168"/>
      <c r="ATO98" s="167"/>
      <c r="ATP98" s="168"/>
      <c r="ATQ98" s="167"/>
      <c r="ATR98" s="168"/>
      <c r="ATS98" s="167"/>
      <c r="ATT98" s="168"/>
      <c r="ATU98" s="167"/>
      <c r="ATV98" s="168"/>
      <c r="ATW98" s="167"/>
      <c r="ATX98" s="168"/>
      <c r="ATY98" s="167"/>
      <c r="ATZ98" s="168"/>
      <c r="AUA98" s="167"/>
      <c r="AUB98" s="168"/>
      <c r="AUC98" s="167"/>
      <c r="AUD98" s="168"/>
      <c r="AUE98" s="167"/>
      <c r="AUF98" s="168"/>
      <c r="AUG98" s="167"/>
      <c r="AUH98" s="168"/>
      <c r="AUI98" s="167"/>
      <c r="AUJ98" s="168"/>
      <c r="AUK98" s="167"/>
      <c r="AUL98" s="168"/>
      <c r="AUM98" s="167"/>
      <c r="AUN98" s="168"/>
      <c r="AUO98" s="167"/>
      <c r="AUP98" s="168"/>
      <c r="AUQ98" s="167"/>
      <c r="AUR98" s="168"/>
      <c r="AUS98" s="167"/>
      <c r="AUT98" s="168"/>
      <c r="AUU98" s="167"/>
      <c r="AUV98" s="168"/>
      <c r="AUW98" s="167"/>
      <c r="AUX98" s="168"/>
      <c r="AUY98" s="167"/>
      <c r="AUZ98" s="168"/>
      <c r="AVA98" s="167"/>
      <c r="AVB98" s="168"/>
      <c r="AVC98" s="167"/>
      <c r="AVD98" s="168"/>
      <c r="AVE98" s="167"/>
      <c r="AVF98" s="168"/>
      <c r="AVG98" s="167"/>
      <c r="AVH98" s="168"/>
      <c r="AVI98" s="167"/>
      <c r="AVJ98" s="168"/>
      <c r="AVK98" s="167"/>
      <c r="AVL98" s="168"/>
      <c r="AVM98" s="167"/>
      <c r="AVN98" s="168"/>
      <c r="AVO98" s="167"/>
      <c r="AVP98" s="168"/>
      <c r="AVQ98" s="167"/>
      <c r="AVR98" s="168"/>
      <c r="AVS98" s="167"/>
      <c r="AVT98" s="168"/>
      <c r="AVU98" s="167"/>
      <c r="AVV98" s="168"/>
      <c r="AVW98" s="167"/>
      <c r="AVX98" s="168"/>
      <c r="AVY98" s="167"/>
      <c r="AVZ98" s="168"/>
      <c r="AWA98" s="167"/>
      <c r="AWB98" s="168"/>
      <c r="AWC98" s="167"/>
      <c r="AWD98" s="168"/>
      <c r="AWE98" s="167"/>
      <c r="AWF98" s="168"/>
      <c r="AWG98" s="167"/>
      <c r="AWH98" s="168"/>
      <c r="AWI98" s="167"/>
      <c r="AWJ98" s="168"/>
      <c r="AWK98" s="167"/>
      <c r="AWL98" s="168"/>
      <c r="AWM98" s="167"/>
      <c r="AWN98" s="168"/>
      <c r="AWO98" s="167"/>
      <c r="AWP98" s="168"/>
      <c r="AWQ98" s="167"/>
      <c r="AWR98" s="168"/>
      <c r="AWS98" s="167"/>
      <c r="AWT98" s="168"/>
      <c r="AWU98" s="167"/>
      <c r="AWV98" s="168"/>
      <c r="AWW98" s="167"/>
      <c r="AWX98" s="168"/>
      <c r="AWY98" s="167"/>
      <c r="AWZ98" s="168"/>
      <c r="AXA98" s="167"/>
      <c r="AXB98" s="168"/>
      <c r="AXC98" s="167"/>
      <c r="AXD98" s="168"/>
      <c r="AXE98" s="167"/>
      <c r="AXF98" s="168"/>
      <c r="AXG98" s="167"/>
      <c r="AXH98" s="168"/>
      <c r="AXI98" s="167"/>
      <c r="AXJ98" s="168"/>
      <c r="AXK98" s="167"/>
      <c r="AXL98" s="168"/>
      <c r="AXM98" s="167"/>
      <c r="AXN98" s="168"/>
      <c r="AXO98" s="167"/>
      <c r="AXP98" s="168"/>
      <c r="AXQ98" s="167"/>
      <c r="AXR98" s="168"/>
      <c r="AXS98" s="167"/>
      <c r="AXT98" s="168"/>
      <c r="AXU98" s="167"/>
      <c r="AXV98" s="168"/>
      <c r="AXW98" s="167"/>
      <c r="AXX98" s="168"/>
      <c r="AXY98" s="167"/>
      <c r="AXZ98" s="168"/>
      <c r="AYA98" s="167"/>
      <c r="AYB98" s="168"/>
      <c r="AYC98" s="167"/>
      <c r="AYD98" s="168"/>
      <c r="AYE98" s="167"/>
      <c r="AYF98" s="168"/>
      <c r="AYG98" s="167"/>
      <c r="AYH98" s="168"/>
      <c r="AYI98" s="167"/>
      <c r="AYJ98" s="168"/>
      <c r="AYK98" s="167"/>
      <c r="AYL98" s="168"/>
      <c r="AYM98" s="167"/>
      <c r="AYN98" s="168"/>
      <c r="AYO98" s="167"/>
      <c r="AYP98" s="168"/>
      <c r="AYQ98" s="167"/>
      <c r="AYR98" s="168"/>
      <c r="AYS98" s="167"/>
      <c r="AYT98" s="168"/>
      <c r="AYU98" s="167"/>
      <c r="AYV98" s="168"/>
      <c r="AYW98" s="167"/>
      <c r="AYX98" s="168"/>
      <c r="AYY98" s="167"/>
      <c r="AYZ98" s="168"/>
      <c r="AZA98" s="167"/>
      <c r="AZB98" s="168"/>
      <c r="AZC98" s="167"/>
      <c r="AZD98" s="168"/>
      <c r="AZE98" s="167"/>
      <c r="AZF98" s="168"/>
      <c r="AZG98" s="167"/>
      <c r="AZH98" s="168"/>
      <c r="AZI98" s="167"/>
      <c r="AZJ98" s="168"/>
      <c r="AZK98" s="167"/>
      <c r="AZL98" s="168"/>
      <c r="AZM98" s="167"/>
      <c r="AZN98" s="168"/>
      <c r="AZO98" s="167"/>
      <c r="AZP98" s="168"/>
      <c r="AZQ98" s="167"/>
      <c r="AZR98" s="168"/>
      <c r="AZS98" s="167"/>
      <c r="AZT98" s="168"/>
      <c r="AZU98" s="167"/>
      <c r="AZV98" s="168"/>
      <c r="AZW98" s="167"/>
      <c r="AZX98" s="168"/>
      <c r="AZY98" s="167"/>
      <c r="AZZ98" s="168"/>
      <c r="BAA98" s="167"/>
      <c r="BAB98" s="168"/>
      <c r="BAC98" s="167"/>
      <c r="BAD98" s="168"/>
      <c r="BAE98" s="167"/>
      <c r="BAF98" s="168"/>
      <c r="BAG98" s="167"/>
      <c r="BAH98" s="168"/>
      <c r="BAI98" s="167"/>
      <c r="BAJ98" s="168"/>
      <c r="BAK98" s="167"/>
      <c r="BAL98" s="168"/>
      <c r="BAM98" s="167"/>
      <c r="BAN98" s="168"/>
      <c r="BAO98" s="167"/>
      <c r="BAP98" s="168"/>
      <c r="BAQ98" s="167"/>
      <c r="BAR98" s="168"/>
      <c r="BAS98" s="167"/>
      <c r="BAT98" s="168"/>
      <c r="BAU98" s="167"/>
      <c r="BAV98" s="168"/>
      <c r="BAW98" s="167"/>
      <c r="BAX98" s="168"/>
      <c r="BAY98" s="167"/>
      <c r="BAZ98" s="168"/>
      <c r="BBA98" s="167"/>
      <c r="BBB98" s="168"/>
      <c r="BBC98" s="167"/>
      <c r="BBD98" s="168"/>
      <c r="BBE98" s="167"/>
      <c r="BBF98" s="168"/>
      <c r="BBG98" s="167"/>
      <c r="BBH98" s="168"/>
      <c r="BBI98" s="167"/>
      <c r="BBJ98" s="168"/>
      <c r="BBK98" s="167"/>
      <c r="BBL98" s="168"/>
      <c r="BBM98" s="167"/>
      <c r="BBN98" s="168"/>
      <c r="BBO98" s="167"/>
      <c r="BBP98" s="168"/>
      <c r="BBQ98" s="167"/>
      <c r="BBR98" s="168"/>
      <c r="BBS98" s="167"/>
      <c r="BBT98" s="168"/>
      <c r="BBU98" s="167"/>
      <c r="BBV98" s="168"/>
      <c r="BBW98" s="167"/>
      <c r="BBX98" s="168"/>
      <c r="BBY98" s="167"/>
      <c r="BBZ98" s="168"/>
      <c r="BCA98" s="167"/>
      <c r="BCB98" s="168"/>
      <c r="BCC98" s="167"/>
      <c r="BCD98" s="168"/>
      <c r="BCE98" s="167"/>
      <c r="BCF98" s="168"/>
      <c r="BCG98" s="167"/>
      <c r="BCH98" s="168"/>
      <c r="BCI98" s="167"/>
      <c r="BCJ98" s="168"/>
      <c r="BCK98" s="167"/>
      <c r="BCL98" s="168"/>
      <c r="BCM98" s="167"/>
      <c r="BCN98" s="168"/>
      <c r="BCO98" s="167"/>
      <c r="BCP98" s="168"/>
      <c r="BCQ98" s="167"/>
      <c r="BCR98" s="168"/>
      <c r="BCS98" s="167"/>
      <c r="BCT98" s="168"/>
      <c r="BCU98" s="167"/>
      <c r="BCV98" s="168"/>
      <c r="BCW98" s="167"/>
      <c r="BCX98" s="168"/>
      <c r="BCY98" s="167"/>
      <c r="BCZ98" s="168"/>
      <c r="BDA98" s="167"/>
      <c r="BDB98" s="168"/>
      <c r="BDC98" s="167"/>
      <c r="BDD98" s="168"/>
      <c r="BDE98" s="167"/>
      <c r="BDF98" s="168"/>
      <c r="BDG98" s="167"/>
      <c r="BDH98" s="168"/>
      <c r="BDI98" s="167"/>
      <c r="BDJ98" s="168"/>
      <c r="BDK98" s="167"/>
      <c r="BDL98" s="168"/>
      <c r="BDM98" s="167"/>
      <c r="BDN98" s="168"/>
      <c r="BDO98" s="167"/>
      <c r="BDP98" s="168"/>
      <c r="BDQ98" s="167"/>
      <c r="BDR98" s="168"/>
      <c r="BDS98" s="167"/>
      <c r="BDT98" s="168"/>
      <c r="BDU98" s="167"/>
      <c r="BDV98" s="168"/>
      <c r="BDW98" s="167"/>
      <c r="BDX98" s="168"/>
      <c r="BDY98" s="167"/>
      <c r="BDZ98" s="168"/>
      <c r="BEA98" s="167"/>
      <c r="BEB98" s="168"/>
      <c r="BEC98" s="167"/>
      <c r="BED98" s="168"/>
      <c r="BEE98" s="167"/>
      <c r="BEF98" s="168"/>
      <c r="BEG98" s="167"/>
      <c r="BEH98" s="168"/>
      <c r="BEI98" s="167"/>
      <c r="BEJ98" s="168"/>
      <c r="BEK98" s="167"/>
      <c r="BEL98" s="168"/>
      <c r="BEM98" s="167"/>
      <c r="BEN98" s="168"/>
      <c r="BEO98" s="167"/>
      <c r="BEP98" s="168"/>
      <c r="BEQ98" s="167"/>
      <c r="BER98" s="168"/>
      <c r="BES98" s="167"/>
      <c r="BET98" s="168"/>
      <c r="BEU98" s="167"/>
      <c r="BEV98" s="168"/>
      <c r="BEW98" s="167"/>
      <c r="BEX98" s="168"/>
      <c r="BEY98" s="167"/>
      <c r="BEZ98" s="168"/>
      <c r="BFA98" s="167"/>
      <c r="BFB98" s="168"/>
      <c r="BFC98" s="167"/>
      <c r="BFD98" s="168"/>
      <c r="BFE98" s="167"/>
      <c r="BFF98" s="168"/>
      <c r="BFG98" s="167"/>
      <c r="BFH98" s="168"/>
      <c r="BFI98" s="167"/>
      <c r="BFJ98" s="168"/>
      <c r="BFK98" s="167"/>
      <c r="BFL98" s="168"/>
      <c r="BFM98" s="167"/>
      <c r="BFN98" s="168"/>
      <c r="BFO98" s="167"/>
      <c r="BFP98" s="168"/>
      <c r="BFQ98" s="167"/>
      <c r="BFR98" s="168"/>
      <c r="BFS98" s="167"/>
      <c r="BFT98" s="168"/>
      <c r="BFU98" s="167"/>
      <c r="BFV98" s="168"/>
      <c r="BFW98" s="167"/>
      <c r="BFX98" s="168"/>
      <c r="BFY98" s="167"/>
      <c r="BFZ98" s="168"/>
      <c r="BGA98" s="167"/>
      <c r="BGB98" s="168"/>
      <c r="BGC98" s="167"/>
      <c r="BGD98" s="168"/>
      <c r="BGE98" s="167"/>
      <c r="BGF98" s="168"/>
      <c r="BGG98" s="167"/>
      <c r="BGH98" s="168"/>
      <c r="BGI98" s="167"/>
      <c r="BGJ98" s="168"/>
      <c r="BGK98" s="167"/>
      <c r="BGL98" s="168"/>
      <c r="BGM98" s="167"/>
      <c r="BGN98" s="168"/>
      <c r="BGO98" s="167"/>
      <c r="BGP98" s="168"/>
      <c r="BGQ98" s="167"/>
      <c r="BGR98" s="168"/>
      <c r="BGS98" s="167"/>
      <c r="BGT98" s="168"/>
      <c r="BGU98" s="167"/>
      <c r="BGV98" s="168"/>
      <c r="BGW98" s="167"/>
      <c r="BGX98" s="168"/>
      <c r="BGY98" s="167"/>
      <c r="BGZ98" s="168"/>
      <c r="BHA98" s="167"/>
      <c r="BHB98" s="168"/>
      <c r="BHC98" s="167"/>
      <c r="BHD98" s="168"/>
      <c r="BHE98" s="167"/>
      <c r="BHF98" s="168"/>
      <c r="BHG98" s="167"/>
      <c r="BHH98" s="168"/>
      <c r="BHI98" s="167"/>
      <c r="BHJ98" s="168"/>
      <c r="BHK98" s="167"/>
      <c r="BHL98" s="168"/>
      <c r="BHM98" s="167"/>
      <c r="BHN98" s="168"/>
      <c r="BHO98" s="167"/>
      <c r="BHP98" s="168"/>
      <c r="BHQ98" s="167"/>
      <c r="BHR98" s="168"/>
      <c r="BHS98" s="167"/>
      <c r="BHT98" s="168"/>
      <c r="BHU98" s="167"/>
      <c r="BHV98" s="168"/>
      <c r="BHW98" s="167"/>
      <c r="BHX98" s="168"/>
      <c r="BHY98" s="167"/>
      <c r="BHZ98" s="168"/>
      <c r="BIA98" s="167"/>
      <c r="BIB98" s="168"/>
      <c r="BIC98" s="167"/>
      <c r="BID98" s="168"/>
      <c r="BIE98" s="167"/>
      <c r="BIF98" s="168"/>
      <c r="BIG98" s="167"/>
      <c r="BIH98" s="168"/>
      <c r="BII98" s="167"/>
      <c r="BIJ98" s="168"/>
      <c r="BIK98" s="167"/>
      <c r="BIL98" s="168"/>
      <c r="BIM98" s="167"/>
      <c r="BIN98" s="168"/>
      <c r="BIO98" s="167"/>
      <c r="BIP98" s="168"/>
      <c r="BIQ98" s="167"/>
      <c r="BIR98" s="168"/>
      <c r="BIS98" s="167"/>
      <c r="BIT98" s="168"/>
      <c r="BIU98" s="167"/>
      <c r="BIV98" s="168"/>
      <c r="BIW98" s="167"/>
      <c r="BIX98" s="168"/>
      <c r="BIY98" s="167"/>
      <c r="BIZ98" s="168"/>
      <c r="BJA98" s="167"/>
      <c r="BJB98" s="168"/>
      <c r="BJC98" s="167"/>
      <c r="BJD98" s="168"/>
      <c r="BJE98" s="167"/>
      <c r="BJF98" s="168"/>
      <c r="BJG98" s="167"/>
      <c r="BJH98" s="168"/>
      <c r="BJI98" s="167"/>
      <c r="BJJ98" s="168"/>
      <c r="BJK98" s="167"/>
      <c r="BJL98" s="168"/>
      <c r="BJM98" s="167"/>
      <c r="BJN98" s="168"/>
      <c r="BJO98" s="167"/>
      <c r="BJP98" s="168"/>
      <c r="BJQ98" s="167"/>
      <c r="BJR98" s="168"/>
      <c r="BJS98" s="167"/>
      <c r="BJT98" s="168"/>
      <c r="BJU98" s="167"/>
      <c r="BJV98" s="168"/>
      <c r="BJW98" s="167"/>
      <c r="BJX98" s="168"/>
      <c r="BJY98" s="167"/>
      <c r="BJZ98" s="168"/>
      <c r="BKA98" s="167"/>
      <c r="BKB98" s="168"/>
      <c r="BKC98" s="167"/>
      <c r="BKD98" s="168"/>
      <c r="BKE98" s="167"/>
      <c r="BKF98" s="168"/>
      <c r="BKG98" s="167"/>
      <c r="BKH98" s="168"/>
      <c r="BKI98" s="167"/>
      <c r="BKJ98" s="168"/>
      <c r="BKK98" s="167"/>
      <c r="BKL98" s="168"/>
      <c r="BKM98" s="167"/>
      <c r="BKN98" s="168"/>
      <c r="BKO98" s="167"/>
      <c r="BKP98" s="168"/>
      <c r="BKQ98" s="167"/>
      <c r="BKR98" s="168"/>
      <c r="BKS98" s="167"/>
      <c r="BKT98" s="168"/>
      <c r="BKU98" s="167"/>
      <c r="BKV98" s="168"/>
      <c r="BKW98" s="167"/>
      <c r="BKX98" s="168"/>
      <c r="BKY98" s="167"/>
      <c r="BKZ98" s="168"/>
      <c r="BLA98" s="167"/>
      <c r="BLB98" s="168"/>
      <c r="BLC98" s="167"/>
      <c r="BLD98" s="168"/>
      <c r="BLE98" s="167"/>
      <c r="BLF98" s="168"/>
      <c r="BLG98" s="167"/>
      <c r="BLH98" s="168"/>
      <c r="BLI98" s="167"/>
      <c r="BLJ98" s="168"/>
      <c r="BLK98" s="167"/>
      <c r="BLL98" s="168"/>
      <c r="BLM98" s="167"/>
      <c r="BLN98" s="168"/>
      <c r="BLO98" s="167"/>
      <c r="BLP98" s="168"/>
      <c r="BLQ98" s="167"/>
      <c r="BLR98" s="168"/>
      <c r="BLS98" s="167"/>
      <c r="BLT98" s="168"/>
      <c r="BLU98" s="167"/>
      <c r="BLV98" s="168"/>
      <c r="BLW98" s="167"/>
      <c r="BLX98" s="168"/>
      <c r="BLY98" s="167"/>
      <c r="BLZ98" s="168"/>
      <c r="BMA98" s="167"/>
      <c r="BMB98" s="168"/>
      <c r="BMC98" s="167"/>
      <c r="BMD98" s="168"/>
      <c r="BME98" s="167"/>
      <c r="BMF98" s="168"/>
      <c r="BMG98" s="167"/>
      <c r="BMH98" s="168"/>
      <c r="BMI98" s="167"/>
      <c r="BMJ98" s="168"/>
      <c r="BMK98" s="167"/>
      <c r="BML98" s="168"/>
      <c r="BMM98" s="167"/>
      <c r="BMN98" s="168"/>
      <c r="BMO98" s="167"/>
      <c r="BMP98" s="168"/>
      <c r="BMQ98" s="167"/>
      <c r="BMR98" s="168"/>
      <c r="BMS98" s="167"/>
      <c r="BMT98" s="168"/>
      <c r="BMU98" s="167"/>
      <c r="BMV98" s="168"/>
      <c r="BMW98" s="167"/>
      <c r="BMX98" s="168"/>
      <c r="BMY98" s="167"/>
      <c r="BMZ98" s="168"/>
      <c r="BNA98" s="167"/>
      <c r="BNB98" s="168"/>
      <c r="BNC98" s="167"/>
      <c r="BND98" s="168"/>
      <c r="BNE98" s="167"/>
      <c r="BNF98" s="168"/>
      <c r="BNG98" s="167"/>
      <c r="BNH98" s="168"/>
      <c r="BNI98" s="167"/>
      <c r="BNJ98" s="168"/>
      <c r="BNK98" s="167"/>
      <c r="BNL98" s="168"/>
      <c r="BNM98" s="167"/>
      <c r="BNN98" s="168"/>
      <c r="BNO98" s="167"/>
      <c r="BNP98" s="168"/>
      <c r="BNQ98" s="167"/>
      <c r="BNR98" s="168"/>
      <c r="BNS98" s="167"/>
      <c r="BNT98" s="168"/>
      <c r="BNU98" s="167"/>
      <c r="BNV98" s="168"/>
      <c r="BNW98" s="167"/>
      <c r="BNX98" s="168"/>
      <c r="BNY98" s="167"/>
      <c r="BNZ98" s="168"/>
      <c r="BOA98" s="167"/>
      <c r="BOB98" s="168"/>
      <c r="BOC98" s="167"/>
      <c r="BOD98" s="168"/>
      <c r="BOE98" s="167"/>
      <c r="BOF98" s="168"/>
      <c r="BOG98" s="167"/>
      <c r="BOH98" s="168"/>
      <c r="BOI98" s="167"/>
      <c r="BOJ98" s="168"/>
      <c r="BOK98" s="167"/>
      <c r="BOL98" s="168"/>
      <c r="BOM98" s="167"/>
      <c r="BON98" s="168"/>
      <c r="BOO98" s="167"/>
      <c r="BOP98" s="168"/>
      <c r="BOQ98" s="167"/>
      <c r="BOR98" s="168"/>
      <c r="BOS98" s="167"/>
      <c r="BOT98" s="168"/>
      <c r="BOU98" s="167"/>
      <c r="BOV98" s="168"/>
      <c r="BOW98" s="167"/>
      <c r="BOX98" s="168"/>
      <c r="BOY98" s="167"/>
      <c r="BOZ98" s="168"/>
      <c r="BPA98" s="167"/>
      <c r="BPB98" s="168"/>
      <c r="BPC98" s="167"/>
      <c r="BPD98" s="168"/>
      <c r="BPE98" s="167"/>
      <c r="BPF98" s="168"/>
      <c r="BPG98" s="167"/>
      <c r="BPH98" s="168"/>
      <c r="BPI98" s="167"/>
      <c r="BPJ98" s="168"/>
      <c r="BPK98" s="167"/>
      <c r="BPL98" s="168"/>
      <c r="BPM98" s="167"/>
      <c r="BPN98" s="168"/>
      <c r="BPO98" s="167"/>
      <c r="BPP98" s="168"/>
      <c r="BPQ98" s="167"/>
      <c r="BPR98" s="168"/>
      <c r="BPS98" s="167"/>
      <c r="BPT98" s="168"/>
      <c r="BPU98" s="167"/>
      <c r="BPV98" s="168"/>
      <c r="BPW98" s="167"/>
      <c r="BPX98" s="168"/>
      <c r="BPY98" s="167"/>
      <c r="BPZ98" s="168"/>
      <c r="BQA98" s="167"/>
      <c r="BQB98" s="168"/>
      <c r="BQC98" s="167"/>
      <c r="BQD98" s="168"/>
      <c r="BQE98" s="167"/>
      <c r="BQF98" s="168"/>
      <c r="BQG98" s="167"/>
      <c r="BQH98" s="168"/>
      <c r="BQI98" s="167"/>
      <c r="BQJ98" s="168"/>
      <c r="BQK98" s="167"/>
      <c r="BQL98" s="168"/>
      <c r="BQM98" s="167"/>
      <c r="BQN98" s="168"/>
      <c r="BQO98" s="167"/>
      <c r="BQP98" s="168"/>
      <c r="BQQ98" s="167"/>
      <c r="BQR98" s="168"/>
      <c r="BQS98" s="167"/>
      <c r="BQT98" s="168"/>
      <c r="BQU98" s="167"/>
      <c r="BQV98" s="168"/>
      <c r="BQW98" s="167"/>
      <c r="BQX98" s="168"/>
      <c r="BQY98" s="167"/>
      <c r="BQZ98" s="168"/>
      <c r="BRA98" s="167"/>
      <c r="BRB98" s="168"/>
      <c r="BRC98" s="167"/>
      <c r="BRD98" s="168"/>
      <c r="BRE98" s="167"/>
      <c r="BRF98" s="168"/>
      <c r="BRG98" s="167"/>
      <c r="BRH98" s="168"/>
      <c r="BRI98" s="167"/>
      <c r="BRJ98" s="168"/>
      <c r="BRK98" s="167"/>
      <c r="BRL98" s="168"/>
      <c r="BRM98" s="167"/>
      <c r="BRN98" s="168"/>
      <c r="BRO98" s="167"/>
      <c r="BRP98" s="168"/>
      <c r="BRQ98" s="167"/>
      <c r="BRR98" s="168"/>
      <c r="BRS98" s="167"/>
      <c r="BRT98" s="168"/>
      <c r="BRU98" s="167"/>
      <c r="BRV98" s="168"/>
      <c r="BRW98" s="167"/>
      <c r="BRX98" s="168"/>
      <c r="BRY98" s="167"/>
      <c r="BRZ98" s="168"/>
      <c r="BSA98" s="167"/>
      <c r="BSB98" s="168"/>
      <c r="BSC98" s="167"/>
      <c r="BSD98" s="168"/>
      <c r="BSE98" s="167"/>
      <c r="BSF98" s="168"/>
      <c r="BSG98" s="167"/>
      <c r="BSH98" s="168"/>
      <c r="BSI98" s="167"/>
      <c r="BSJ98" s="168"/>
      <c r="BSK98" s="167"/>
      <c r="BSL98" s="168"/>
      <c r="BSM98" s="167"/>
      <c r="BSN98" s="168"/>
      <c r="BSO98" s="167"/>
      <c r="BSP98" s="168"/>
      <c r="BSQ98" s="167"/>
      <c r="BSR98" s="168"/>
      <c r="BSS98" s="167"/>
      <c r="BST98" s="168"/>
      <c r="BSU98" s="167"/>
      <c r="BSV98" s="168"/>
      <c r="BSW98" s="167"/>
      <c r="BSX98" s="168"/>
      <c r="BSY98" s="167"/>
      <c r="BSZ98" s="168"/>
      <c r="BTA98" s="167"/>
      <c r="BTB98" s="168"/>
      <c r="BTC98" s="167"/>
      <c r="BTD98" s="168"/>
      <c r="BTE98" s="167"/>
      <c r="BTF98" s="168"/>
      <c r="BTG98" s="167"/>
      <c r="BTH98" s="168"/>
      <c r="BTI98" s="167"/>
      <c r="BTJ98" s="168"/>
      <c r="BTK98" s="167"/>
      <c r="BTL98" s="168"/>
      <c r="BTM98" s="167"/>
      <c r="BTN98" s="168"/>
      <c r="BTO98" s="167"/>
      <c r="BTP98" s="168"/>
      <c r="BTQ98" s="167"/>
      <c r="BTR98" s="168"/>
      <c r="BTS98" s="167"/>
      <c r="BTT98" s="168"/>
      <c r="BTU98" s="167"/>
      <c r="BTV98" s="168"/>
      <c r="BTW98" s="167"/>
      <c r="BTX98" s="168"/>
      <c r="BTY98" s="167"/>
      <c r="BTZ98" s="168"/>
      <c r="BUA98" s="167"/>
      <c r="BUB98" s="168"/>
      <c r="BUC98" s="167"/>
      <c r="BUD98" s="168"/>
      <c r="BUE98" s="167"/>
      <c r="BUF98" s="168"/>
      <c r="BUG98" s="167"/>
      <c r="BUH98" s="168"/>
      <c r="BUI98" s="167"/>
      <c r="BUJ98" s="168"/>
      <c r="BUK98" s="167"/>
      <c r="BUL98" s="168"/>
      <c r="BUM98" s="167"/>
      <c r="BUN98" s="168"/>
      <c r="BUO98" s="167"/>
      <c r="BUP98" s="168"/>
      <c r="BUQ98" s="167"/>
      <c r="BUR98" s="168"/>
      <c r="BUS98" s="167"/>
      <c r="BUT98" s="168"/>
      <c r="BUU98" s="167"/>
      <c r="BUV98" s="168"/>
      <c r="BUW98" s="167"/>
      <c r="BUX98" s="168"/>
      <c r="BUY98" s="167"/>
      <c r="BUZ98" s="168"/>
      <c r="BVA98" s="167"/>
      <c r="BVB98" s="168"/>
      <c r="BVC98" s="167"/>
      <c r="BVD98" s="168"/>
      <c r="BVE98" s="167"/>
      <c r="BVF98" s="168"/>
      <c r="BVG98" s="167"/>
      <c r="BVH98" s="168"/>
      <c r="BVI98" s="167"/>
      <c r="BVJ98" s="168"/>
      <c r="BVK98" s="167"/>
      <c r="BVL98" s="168"/>
      <c r="BVM98" s="167"/>
      <c r="BVN98" s="168"/>
      <c r="BVO98" s="167"/>
      <c r="BVP98" s="168"/>
      <c r="BVQ98" s="167"/>
      <c r="BVR98" s="168"/>
      <c r="BVS98" s="167"/>
      <c r="BVT98" s="168"/>
      <c r="BVU98" s="167"/>
      <c r="BVV98" s="168"/>
      <c r="BVW98" s="167"/>
      <c r="BVX98" s="168"/>
      <c r="BVY98" s="167"/>
      <c r="BVZ98" s="168"/>
      <c r="BWA98" s="167"/>
      <c r="BWB98" s="168"/>
      <c r="BWC98" s="167"/>
      <c r="BWD98" s="168"/>
      <c r="BWE98" s="167"/>
      <c r="BWF98" s="168"/>
      <c r="BWG98" s="167"/>
      <c r="BWH98" s="168"/>
      <c r="BWI98" s="167"/>
      <c r="BWJ98" s="168"/>
      <c r="BWK98" s="167"/>
      <c r="BWL98" s="168"/>
      <c r="BWM98" s="167"/>
      <c r="BWN98" s="168"/>
      <c r="BWO98" s="167"/>
      <c r="BWP98" s="168"/>
      <c r="BWQ98" s="167"/>
      <c r="BWR98" s="168"/>
      <c r="BWS98" s="167"/>
      <c r="BWT98" s="168"/>
      <c r="BWU98" s="167"/>
      <c r="BWV98" s="168"/>
      <c r="BWW98" s="167"/>
      <c r="BWX98" s="168"/>
      <c r="BWY98" s="167"/>
      <c r="BWZ98" s="168"/>
      <c r="BXA98" s="167"/>
      <c r="BXB98" s="168"/>
      <c r="BXC98" s="167"/>
      <c r="BXD98" s="168"/>
      <c r="BXE98" s="167"/>
      <c r="BXF98" s="168"/>
      <c r="BXG98" s="167"/>
      <c r="BXH98" s="168"/>
      <c r="BXI98" s="167"/>
      <c r="BXJ98" s="168"/>
      <c r="BXK98" s="167"/>
      <c r="BXL98" s="168"/>
      <c r="BXM98" s="167"/>
      <c r="BXN98" s="168"/>
      <c r="BXO98" s="167"/>
      <c r="BXP98" s="168"/>
      <c r="BXQ98" s="167"/>
      <c r="BXR98" s="168"/>
      <c r="BXS98" s="167"/>
      <c r="BXT98" s="168"/>
      <c r="BXU98" s="167"/>
      <c r="BXV98" s="168"/>
      <c r="BXW98" s="167"/>
      <c r="BXX98" s="168"/>
      <c r="BXY98" s="167"/>
      <c r="BXZ98" s="168"/>
      <c r="BYA98" s="167"/>
      <c r="BYB98" s="168"/>
      <c r="BYC98" s="167"/>
      <c r="BYD98" s="168"/>
      <c r="BYE98" s="167"/>
      <c r="BYF98" s="168"/>
      <c r="BYG98" s="167"/>
      <c r="BYH98" s="168"/>
      <c r="BYI98" s="167"/>
      <c r="BYJ98" s="168"/>
      <c r="BYK98" s="167"/>
      <c r="BYL98" s="168"/>
      <c r="BYM98" s="167"/>
      <c r="BYN98" s="168"/>
      <c r="BYO98" s="167"/>
      <c r="BYP98" s="168"/>
      <c r="BYQ98" s="167"/>
      <c r="BYR98" s="168"/>
      <c r="BYS98" s="167"/>
      <c r="BYT98" s="168"/>
      <c r="BYU98" s="167"/>
      <c r="BYV98" s="168"/>
      <c r="BYW98" s="167"/>
      <c r="BYX98" s="168"/>
      <c r="BYY98" s="167"/>
      <c r="BYZ98" s="168"/>
      <c r="BZA98" s="167"/>
      <c r="BZB98" s="168"/>
      <c r="BZC98" s="167"/>
      <c r="BZD98" s="168"/>
      <c r="BZE98" s="167"/>
      <c r="BZF98" s="168"/>
      <c r="BZG98" s="167"/>
      <c r="BZH98" s="168"/>
      <c r="BZI98" s="167"/>
      <c r="BZJ98" s="168"/>
      <c r="BZK98" s="167"/>
      <c r="BZL98" s="168"/>
      <c r="BZM98" s="167"/>
      <c r="BZN98" s="168"/>
      <c r="BZO98" s="167"/>
      <c r="BZP98" s="168"/>
      <c r="BZQ98" s="167"/>
      <c r="BZR98" s="168"/>
      <c r="BZS98" s="167"/>
      <c r="BZT98" s="168"/>
      <c r="BZU98" s="167"/>
      <c r="BZV98" s="168"/>
      <c r="BZW98" s="167"/>
      <c r="BZX98" s="168"/>
      <c r="BZY98" s="167"/>
      <c r="BZZ98" s="168"/>
      <c r="CAA98" s="167"/>
      <c r="CAB98" s="168"/>
      <c r="CAC98" s="167"/>
      <c r="CAD98" s="168"/>
      <c r="CAE98" s="167"/>
      <c r="CAF98" s="168"/>
      <c r="CAG98" s="167"/>
      <c r="CAH98" s="168"/>
      <c r="CAI98" s="167"/>
      <c r="CAJ98" s="168"/>
      <c r="CAK98" s="167"/>
      <c r="CAL98" s="168"/>
      <c r="CAM98" s="167"/>
      <c r="CAN98" s="168"/>
      <c r="CAO98" s="167"/>
      <c r="CAP98" s="168"/>
      <c r="CAQ98" s="167"/>
      <c r="CAR98" s="168"/>
      <c r="CAS98" s="167"/>
      <c r="CAT98" s="168"/>
      <c r="CAU98" s="167"/>
      <c r="CAV98" s="168"/>
      <c r="CAW98" s="167"/>
      <c r="CAX98" s="168"/>
      <c r="CAY98" s="167"/>
      <c r="CAZ98" s="168"/>
      <c r="CBA98" s="167"/>
      <c r="CBB98" s="168"/>
      <c r="CBC98" s="167"/>
      <c r="CBD98" s="168"/>
      <c r="CBE98" s="167"/>
      <c r="CBF98" s="168"/>
      <c r="CBG98" s="167"/>
      <c r="CBH98" s="168"/>
      <c r="CBI98" s="167"/>
      <c r="CBJ98" s="168"/>
      <c r="CBK98" s="167"/>
      <c r="CBL98" s="168"/>
      <c r="CBM98" s="167"/>
      <c r="CBN98" s="168"/>
      <c r="CBO98" s="167"/>
      <c r="CBP98" s="168"/>
      <c r="CBQ98" s="167"/>
      <c r="CBR98" s="168"/>
      <c r="CBS98" s="167"/>
      <c r="CBT98" s="168"/>
      <c r="CBU98" s="167"/>
      <c r="CBV98" s="168"/>
      <c r="CBW98" s="167"/>
      <c r="CBX98" s="168"/>
      <c r="CBY98" s="167"/>
      <c r="CBZ98" s="168"/>
      <c r="CCA98" s="167"/>
      <c r="CCB98" s="168"/>
      <c r="CCC98" s="167"/>
      <c r="CCD98" s="168"/>
      <c r="CCE98" s="167"/>
      <c r="CCF98" s="168"/>
      <c r="CCG98" s="167"/>
      <c r="CCH98" s="168"/>
      <c r="CCI98" s="167"/>
      <c r="CCJ98" s="168"/>
      <c r="CCK98" s="167"/>
      <c r="CCL98" s="168"/>
      <c r="CCM98" s="167"/>
      <c r="CCN98" s="168"/>
      <c r="CCO98" s="167"/>
      <c r="CCP98" s="168"/>
      <c r="CCQ98" s="167"/>
      <c r="CCR98" s="168"/>
      <c r="CCS98" s="167"/>
      <c r="CCT98" s="168"/>
      <c r="CCU98" s="167"/>
      <c r="CCV98" s="168"/>
      <c r="CCW98" s="167"/>
      <c r="CCX98" s="168"/>
      <c r="CCY98" s="167"/>
      <c r="CCZ98" s="168"/>
      <c r="CDA98" s="167"/>
      <c r="CDB98" s="168"/>
      <c r="CDC98" s="167"/>
      <c r="CDD98" s="168"/>
      <c r="CDE98" s="167"/>
      <c r="CDF98" s="168"/>
      <c r="CDG98" s="167"/>
      <c r="CDH98" s="168"/>
      <c r="CDI98" s="167"/>
      <c r="CDJ98" s="168"/>
      <c r="CDK98" s="167"/>
      <c r="CDL98" s="168"/>
      <c r="CDM98" s="167"/>
      <c r="CDN98" s="168"/>
      <c r="CDO98" s="167"/>
      <c r="CDP98" s="168"/>
      <c r="CDQ98" s="167"/>
      <c r="CDR98" s="168"/>
      <c r="CDS98" s="167"/>
      <c r="CDT98" s="168"/>
      <c r="CDU98" s="167"/>
      <c r="CDV98" s="168"/>
      <c r="CDW98" s="167"/>
      <c r="CDX98" s="168"/>
      <c r="CDY98" s="167"/>
      <c r="CDZ98" s="168"/>
      <c r="CEA98" s="167"/>
      <c r="CEB98" s="168"/>
      <c r="CEC98" s="167"/>
      <c r="CED98" s="168"/>
      <c r="CEE98" s="167"/>
      <c r="CEF98" s="168"/>
      <c r="CEG98" s="167"/>
      <c r="CEH98" s="168"/>
      <c r="CEI98" s="167"/>
      <c r="CEJ98" s="168"/>
      <c r="CEK98" s="167"/>
      <c r="CEL98" s="168"/>
      <c r="CEM98" s="167"/>
      <c r="CEN98" s="168"/>
      <c r="CEO98" s="167"/>
      <c r="CEP98" s="168"/>
      <c r="CEQ98" s="167"/>
      <c r="CER98" s="168"/>
      <c r="CES98" s="167"/>
      <c r="CET98" s="168"/>
      <c r="CEU98" s="167"/>
      <c r="CEV98" s="168"/>
      <c r="CEW98" s="167"/>
      <c r="CEX98" s="168"/>
      <c r="CEY98" s="167"/>
      <c r="CEZ98" s="168"/>
      <c r="CFA98" s="167"/>
      <c r="CFB98" s="168"/>
      <c r="CFC98" s="167"/>
      <c r="CFD98" s="168"/>
      <c r="CFE98" s="167"/>
      <c r="CFF98" s="168"/>
      <c r="CFG98" s="167"/>
      <c r="CFH98" s="168"/>
      <c r="CFI98" s="167"/>
      <c r="CFJ98" s="168"/>
      <c r="CFK98" s="167"/>
      <c r="CFL98" s="168"/>
      <c r="CFM98" s="167"/>
      <c r="CFN98" s="168"/>
      <c r="CFO98" s="167"/>
      <c r="CFP98" s="168"/>
      <c r="CFQ98" s="167"/>
      <c r="CFR98" s="168"/>
      <c r="CFS98" s="167"/>
      <c r="CFT98" s="168"/>
      <c r="CFU98" s="167"/>
      <c r="CFV98" s="168"/>
      <c r="CFW98" s="167"/>
      <c r="CFX98" s="168"/>
      <c r="CFY98" s="167"/>
      <c r="CFZ98" s="168"/>
      <c r="CGA98" s="167"/>
      <c r="CGB98" s="168"/>
      <c r="CGC98" s="167"/>
      <c r="CGD98" s="168"/>
      <c r="CGE98" s="167"/>
      <c r="CGF98" s="168"/>
      <c r="CGG98" s="167"/>
      <c r="CGH98" s="168"/>
      <c r="CGI98" s="167"/>
      <c r="CGJ98" s="168"/>
      <c r="CGK98" s="167"/>
      <c r="CGL98" s="168"/>
      <c r="CGM98" s="167"/>
      <c r="CGN98" s="168"/>
      <c r="CGO98" s="167"/>
      <c r="CGP98" s="168"/>
      <c r="CGQ98" s="167"/>
      <c r="CGR98" s="168"/>
      <c r="CGS98" s="167"/>
      <c r="CGT98" s="168"/>
      <c r="CGU98" s="167"/>
      <c r="CGV98" s="168"/>
      <c r="CGW98" s="167"/>
      <c r="CGX98" s="168"/>
      <c r="CGY98" s="167"/>
      <c r="CGZ98" s="168"/>
      <c r="CHA98" s="167"/>
      <c r="CHB98" s="168"/>
      <c r="CHC98" s="167"/>
      <c r="CHD98" s="168"/>
      <c r="CHE98" s="167"/>
      <c r="CHF98" s="168"/>
      <c r="CHG98" s="167"/>
      <c r="CHH98" s="168"/>
      <c r="CHI98" s="167"/>
      <c r="CHJ98" s="168"/>
      <c r="CHK98" s="167"/>
      <c r="CHL98" s="168"/>
      <c r="CHM98" s="167"/>
      <c r="CHN98" s="168"/>
      <c r="CHO98" s="167"/>
      <c r="CHP98" s="168"/>
      <c r="CHQ98" s="167"/>
      <c r="CHR98" s="168"/>
      <c r="CHS98" s="167"/>
      <c r="CHT98" s="168"/>
      <c r="CHU98" s="167"/>
      <c r="CHV98" s="168"/>
      <c r="CHW98" s="167"/>
      <c r="CHX98" s="168"/>
      <c r="CHY98" s="167"/>
      <c r="CHZ98" s="168"/>
      <c r="CIA98" s="167"/>
      <c r="CIB98" s="168"/>
      <c r="CIC98" s="167"/>
      <c r="CID98" s="168"/>
      <c r="CIE98" s="167"/>
      <c r="CIF98" s="168"/>
      <c r="CIG98" s="167"/>
      <c r="CIH98" s="168"/>
      <c r="CII98" s="167"/>
      <c r="CIJ98" s="168"/>
      <c r="CIK98" s="167"/>
      <c r="CIL98" s="168"/>
      <c r="CIM98" s="167"/>
      <c r="CIN98" s="168"/>
      <c r="CIO98" s="167"/>
      <c r="CIP98" s="168"/>
      <c r="CIQ98" s="167"/>
      <c r="CIR98" s="168"/>
      <c r="CIS98" s="167"/>
      <c r="CIT98" s="168"/>
      <c r="CIU98" s="167"/>
      <c r="CIV98" s="168"/>
      <c r="CIW98" s="167"/>
      <c r="CIX98" s="168"/>
      <c r="CIY98" s="167"/>
      <c r="CIZ98" s="168"/>
      <c r="CJA98" s="167"/>
      <c r="CJB98" s="168"/>
      <c r="CJC98" s="167"/>
      <c r="CJD98" s="168"/>
      <c r="CJE98" s="167"/>
      <c r="CJF98" s="168"/>
      <c r="CJG98" s="167"/>
      <c r="CJH98" s="168"/>
      <c r="CJI98" s="167"/>
      <c r="CJJ98" s="168"/>
      <c r="CJK98" s="167"/>
      <c r="CJL98" s="168"/>
      <c r="CJM98" s="167"/>
      <c r="CJN98" s="168"/>
      <c r="CJO98" s="167"/>
      <c r="CJP98" s="168"/>
      <c r="CJQ98" s="167"/>
      <c r="CJR98" s="168"/>
      <c r="CJS98" s="167"/>
      <c r="CJT98" s="168"/>
      <c r="CJU98" s="167"/>
      <c r="CJV98" s="168"/>
      <c r="CJW98" s="167"/>
      <c r="CJX98" s="168"/>
      <c r="CJY98" s="167"/>
      <c r="CJZ98" s="168"/>
      <c r="CKA98" s="167"/>
      <c r="CKB98" s="168"/>
      <c r="CKC98" s="167"/>
      <c r="CKD98" s="168"/>
      <c r="CKE98" s="167"/>
      <c r="CKF98" s="168"/>
      <c r="CKG98" s="167"/>
      <c r="CKH98" s="168"/>
      <c r="CKI98" s="167"/>
      <c r="CKJ98" s="168"/>
      <c r="CKK98" s="167"/>
      <c r="CKL98" s="168"/>
      <c r="CKM98" s="167"/>
      <c r="CKN98" s="168"/>
      <c r="CKO98" s="167"/>
      <c r="CKP98" s="168"/>
      <c r="CKQ98" s="167"/>
      <c r="CKR98" s="168"/>
      <c r="CKS98" s="167"/>
      <c r="CKT98" s="168"/>
      <c r="CKU98" s="167"/>
      <c r="CKV98" s="168"/>
      <c r="CKW98" s="167"/>
      <c r="CKX98" s="168"/>
      <c r="CKY98" s="167"/>
      <c r="CKZ98" s="168"/>
      <c r="CLA98" s="167"/>
      <c r="CLB98" s="168"/>
      <c r="CLC98" s="167"/>
      <c r="CLD98" s="168"/>
      <c r="CLE98" s="167"/>
      <c r="CLF98" s="168"/>
      <c r="CLG98" s="167"/>
      <c r="CLH98" s="168"/>
      <c r="CLI98" s="167"/>
      <c r="CLJ98" s="168"/>
      <c r="CLK98" s="167"/>
      <c r="CLL98" s="168"/>
      <c r="CLM98" s="167"/>
      <c r="CLN98" s="168"/>
      <c r="CLO98" s="167"/>
      <c r="CLP98" s="168"/>
      <c r="CLQ98" s="167"/>
      <c r="CLR98" s="168"/>
      <c r="CLS98" s="167"/>
      <c r="CLT98" s="168"/>
      <c r="CLU98" s="167"/>
      <c r="CLV98" s="168"/>
      <c r="CLW98" s="167"/>
      <c r="CLX98" s="168"/>
      <c r="CLY98" s="167"/>
      <c r="CLZ98" s="168"/>
      <c r="CMA98" s="167"/>
      <c r="CMB98" s="168"/>
      <c r="CMC98" s="167"/>
      <c r="CMD98" s="168"/>
      <c r="CME98" s="167"/>
      <c r="CMF98" s="168"/>
      <c r="CMG98" s="167"/>
      <c r="CMH98" s="168"/>
      <c r="CMI98" s="167"/>
      <c r="CMJ98" s="168"/>
      <c r="CMK98" s="167"/>
      <c r="CML98" s="168"/>
      <c r="CMM98" s="167"/>
      <c r="CMN98" s="168"/>
      <c r="CMO98" s="167"/>
      <c r="CMP98" s="168"/>
      <c r="CMQ98" s="167"/>
      <c r="CMR98" s="168"/>
      <c r="CMS98" s="167"/>
      <c r="CMT98" s="168"/>
      <c r="CMU98" s="167"/>
      <c r="CMV98" s="168"/>
      <c r="CMW98" s="167"/>
      <c r="CMX98" s="168"/>
      <c r="CMY98" s="167"/>
      <c r="CMZ98" s="168"/>
      <c r="CNA98" s="167"/>
      <c r="CNB98" s="168"/>
      <c r="CNC98" s="167"/>
      <c r="CND98" s="168"/>
      <c r="CNE98" s="167"/>
      <c r="CNF98" s="168"/>
      <c r="CNG98" s="167"/>
      <c r="CNH98" s="168"/>
      <c r="CNI98" s="167"/>
      <c r="CNJ98" s="168"/>
      <c r="CNK98" s="167"/>
      <c r="CNL98" s="168"/>
      <c r="CNM98" s="167"/>
      <c r="CNN98" s="168"/>
      <c r="CNO98" s="167"/>
      <c r="CNP98" s="168"/>
      <c r="CNQ98" s="167"/>
      <c r="CNR98" s="168"/>
      <c r="CNS98" s="167"/>
      <c r="CNT98" s="168"/>
      <c r="CNU98" s="167"/>
      <c r="CNV98" s="168"/>
      <c r="CNW98" s="167"/>
      <c r="CNX98" s="168"/>
      <c r="CNY98" s="167"/>
      <c r="CNZ98" s="168"/>
      <c r="COA98" s="167"/>
      <c r="COB98" s="168"/>
      <c r="COC98" s="167"/>
      <c r="COD98" s="168"/>
      <c r="COE98" s="167"/>
      <c r="COF98" s="168"/>
      <c r="COG98" s="167"/>
      <c r="COH98" s="168"/>
      <c r="COI98" s="167"/>
      <c r="COJ98" s="168"/>
      <c r="COK98" s="167"/>
      <c r="COL98" s="168"/>
      <c r="COM98" s="167"/>
      <c r="CON98" s="168"/>
      <c r="COO98" s="167"/>
      <c r="COP98" s="168"/>
      <c r="COQ98" s="167"/>
      <c r="COR98" s="168"/>
      <c r="COS98" s="167"/>
      <c r="COT98" s="168"/>
      <c r="COU98" s="167"/>
      <c r="COV98" s="168"/>
      <c r="COW98" s="167"/>
      <c r="COX98" s="168"/>
      <c r="COY98" s="167"/>
      <c r="COZ98" s="168"/>
      <c r="CPA98" s="167"/>
      <c r="CPB98" s="168"/>
      <c r="CPC98" s="167"/>
      <c r="CPD98" s="168"/>
      <c r="CPE98" s="167"/>
      <c r="CPF98" s="168"/>
      <c r="CPG98" s="167"/>
      <c r="CPH98" s="168"/>
      <c r="CPI98" s="167"/>
      <c r="CPJ98" s="168"/>
      <c r="CPK98" s="167"/>
      <c r="CPL98" s="168"/>
      <c r="CPM98" s="167"/>
      <c r="CPN98" s="168"/>
      <c r="CPO98" s="167"/>
      <c r="CPP98" s="168"/>
      <c r="CPQ98" s="167"/>
      <c r="CPR98" s="168"/>
      <c r="CPS98" s="167"/>
      <c r="CPT98" s="168"/>
      <c r="CPU98" s="167"/>
      <c r="CPV98" s="168"/>
      <c r="CPW98" s="167"/>
      <c r="CPX98" s="168"/>
      <c r="CPY98" s="167"/>
      <c r="CPZ98" s="168"/>
      <c r="CQA98" s="167"/>
      <c r="CQB98" s="168"/>
      <c r="CQC98" s="167"/>
      <c r="CQD98" s="168"/>
      <c r="CQE98" s="167"/>
      <c r="CQF98" s="168"/>
      <c r="CQG98" s="167"/>
      <c r="CQH98" s="168"/>
      <c r="CQI98" s="167"/>
      <c r="CQJ98" s="168"/>
      <c r="CQK98" s="167"/>
      <c r="CQL98" s="168"/>
      <c r="CQM98" s="167"/>
      <c r="CQN98" s="168"/>
      <c r="CQO98" s="167"/>
      <c r="CQP98" s="168"/>
      <c r="CQQ98" s="167"/>
      <c r="CQR98" s="168"/>
      <c r="CQS98" s="167"/>
      <c r="CQT98" s="168"/>
      <c r="CQU98" s="167"/>
      <c r="CQV98" s="168"/>
      <c r="CQW98" s="167"/>
      <c r="CQX98" s="168"/>
      <c r="CQY98" s="167"/>
      <c r="CQZ98" s="168"/>
      <c r="CRA98" s="167"/>
      <c r="CRB98" s="168"/>
      <c r="CRC98" s="167"/>
      <c r="CRD98" s="168"/>
      <c r="CRE98" s="167"/>
      <c r="CRF98" s="168"/>
      <c r="CRG98" s="167"/>
      <c r="CRH98" s="168"/>
      <c r="CRI98" s="167"/>
      <c r="CRJ98" s="168"/>
      <c r="CRK98" s="167"/>
      <c r="CRL98" s="168"/>
      <c r="CRM98" s="167"/>
      <c r="CRN98" s="168"/>
      <c r="CRO98" s="167"/>
      <c r="CRP98" s="168"/>
      <c r="CRQ98" s="167"/>
      <c r="CRR98" s="168"/>
      <c r="CRS98" s="167"/>
      <c r="CRT98" s="168"/>
      <c r="CRU98" s="167"/>
      <c r="CRV98" s="168"/>
      <c r="CRW98" s="167"/>
      <c r="CRX98" s="168"/>
      <c r="CRY98" s="167"/>
      <c r="CRZ98" s="168"/>
      <c r="CSA98" s="167"/>
      <c r="CSB98" s="168"/>
      <c r="CSC98" s="167"/>
      <c r="CSD98" s="168"/>
      <c r="CSE98" s="167"/>
      <c r="CSF98" s="168"/>
      <c r="CSG98" s="167"/>
      <c r="CSH98" s="168"/>
      <c r="CSI98" s="167"/>
      <c r="CSJ98" s="168"/>
      <c r="CSK98" s="167"/>
      <c r="CSL98" s="168"/>
      <c r="CSM98" s="167"/>
      <c r="CSN98" s="168"/>
      <c r="CSO98" s="167"/>
      <c r="CSP98" s="168"/>
      <c r="CSQ98" s="167"/>
      <c r="CSR98" s="168"/>
      <c r="CSS98" s="167"/>
      <c r="CST98" s="168"/>
      <c r="CSU98" s="167"/>
      <c r="CSV98" s="168"/>
      <c r="CSW98" s="167"/>
      <c r="CSX98" s="168"/>
      <c r="CSY98" s="167"/>
      <c r="CSZ98" s="168"/>
      <c r="CTA98" s="167"/>
      <c r="CTB98" s="168"/>
      <c r="CTC98" s="167"/>
      <c r="CTD98" s="168"/>
      <c r="CTE98" s="167"/>
      <c r="CTF98" s="168"/>
      <c r="CTG98" s="167"/>
      <c r="CTH98" s="168"/>
      <c r="CTI98" s="167"/>
      <c r="CTJ98" s="168"/>
      <c r="CTK98" s="167"/>
      <c r="CTL98" s="168"/>
      <c r="CTM98" s="167"/>
      <c r="CTN98" s="168"/>
      <c r="CTO98" s="167"/>
      <c r="CTP98" s="168"/>
      <c r="CTQ98" s="167"/>
      <c r="CTR98" s="168"/>
      <c r="CTS98" s="167"/>
      <c r="CTT98" s="168"/>
      <c r="CTU98" s="167"/>
      <c r="CTV98" s="168"/>
      <c r="CTW98" s="167"/>
      <c r="CTX98" s="168"/>
      <c r="CTY98" s="167"/>
      <c r="CTZ98" s="168"/>
      <c r="CUA98" s="167"/>
      <c r="CUB98" s="168"/>
      <c r="CUC98" s="167"/>
      <c r="CUD98" s="168"/>
      <c r="CUE98" s="167"/>
      <c r="CUF98" s="168"/>
      <c r="CUG98" s="167"/>
      <c r="CUH98" s="168"/>
      <c r="CUI98" s="167"/>
      <c r="CUJ98" s="168"/>
      <c r="CUK98" s="167"/>
      <c r="CUL98" s="168"/>
      <c r="CUM98" s="167"/>
      <c r="CUN98" s="168"/>
      <c r="CUO98" s="167"/>
      <c r="CUP98" s="168"/>
      <c r="CUQ98" s="167"/>
      <c r="CUR98" s="168"/>
      <c r="CUS98" s="167"/>
      <c r="CUT98" s="168"/>
      <c r="CUU98" s="167"/>
      <c r="CUV98" s="168"/>
      <c r="CUW98" s="167"/>
      <c r="CUX98" s="168"/>
      <c r="CUY98" s="167"/>
      <c r="CUZ98" s="168"/>
      <c r="CVA98" s="167"/>
      <c r="CVB98" s="168"/>
      <c r="CVC98" s="167"/>
      <c r="CVD98" s="168"/>
      <c r="CVE98" s="167"/>
      <c r="CVF98" s="168"/>
      <c r="CVG98" s="167"/>
      <c r="CVH98" s="168"/>
      <c r="CVI98" s="167"/>
      <c r="CVJ98" s="168"/>
      <c r="CVK98" s="167"/>
      <c r="CVL98" s="168"/>
      <c r="CVM98" s="167"/>
      <c r="CVN98" s="168"/>
      <c r="CVO98" s="167"/>
      <c r="CVP98" s="168"/>
      <c r="CVQ98" s="167"/>
      <c r="CVR98" s="168"/>
      <c r="CVS98" s="167"/>
      <c r="CVT98" s="168"/>
      <c r="CVU98" s="167"/>
      <c r="CVV98" s="168"/>
      <c r="CVW98" s="167"/>
      <c r="CVX98" s="168"/>
      <c r="CVY98" s="167"/>
      <c r="CVZ98" s="168"/>
      <c r="CWA98" s="167"/>
      <c r="CWB98" s="168"/>
      <c r="CWC98" s="167"/>
      <c r="CWD98" s="168"/>
      <c r="CWE98" s="167"/>
      <c r="CWF98" s="168"/>
      <c r="CWG98" s="167"/>
      <c r="CWH98" s="168"/>
      <c r="CWI98" s="167"/>
      <c r="CWJ98" s="168"/>
      <c r="CWK98" s="167"/>
      <c r="CWL98" s="168"/>
      <c r="CWM98" s="167"/>
      <c r="CWN98" s="168"/>
      <c r="CWO98" s="167"/>
      <c r="CWP98" s="168"/>
      <c r="CWQ98" s="167"/>
      <c r="CWR98" s="168"/>
      <c r="CWS98" s="167"/>
      <c r="CWT98" s="168"/>
      <c r="CWU98" s="167"/>
      <c r="CWV98" s="168"/>
      <c r="CWW98" s="167"/>
      <c r="CWX98" s="168"/>
      <c r="CWY98" s="167"/>
      <c r="CWZ98" s="168"/>
      <c r="CXA98" s="167"/>
      <c r="CXB98" s="168"/>
      <c r="CXC98" s="167"/>
      <c r="CXD98" s="168"/>
      <c r="CXE98" s="167"/>
      <c r="CXF98" s="168"/>
      <c r="CXG98" s="167"/>
      <c r="CXH98" s="168"/>
      <c r="CXI98" s="167"/>
      <c r="CXJ98" s="168"/>
      <c r="CXK98" s="167"/>
      <c r="CXL98" s="168"/>
      <c r="CXM98" s="167"/>
      <c r="CXN98" s="168"/>
      <c r="CXO98" s="167"/>
      <c r="CXP98" s="168"/>
      <c r="CXQ98" s="167"/>
      <c r="CXR98" s="168"/>
      <c r="CXS98" s="167"/>
      <c r="CXT98" s="168"/>
      <c r="CXU98" s="167"/>
      <c r="CXV98" s="168"/>
      <c r="CXW98" s="167"/>
      <c r="CXX98" s="168"/>
      <c r="CXY98" s="167"/>
      <c r="CXZ98" s="168"/>
      <c r="CYA98" s="167"/>
      <c r="CYB98" s="168"/>
      <c r="CYC98" s="167"/>
      <c r="CYD98" s="168"/>
      <c r="CYE98" s="167"/>
      <c r="CYF98" s="168"/>
      <c r="CYG98" s="167"/>
      <c r="CYH98" s="168"/>
      <c r="CYI98" s="167"/>
      <c r="CYJ98" s="168"/>
      <c r="CYK98" s="167"/>
      <c r="CYL98" s="168"/>
      <c r="CYM98" s="167"/>
      <c r="CYN98" s="168"/>
      <c r="CYO98" s="167"/>
      <c r="CYP98" s="168"/>
      <c r="CYQ98" s="167"/>
      <c r="CYR98" s="168"/>
      <c r="CYS98" s="167"/>
      <c r="CYT98" s="168"/>
      <c r="CYU98" s="167"/>
      <c r="CYV98" s="168"/>
      <c r="CYW98" s="167"/>
      <c r="CYX98" s="168"/>
      <c r="CYY98" s="167"/>
      <c r="CYZ98" s="168"/>
      <c r="CZA98" s="167"/>
      <c r="CZB98" s="168"/>
      <c r="CZC98" s="167"/>
      <c r="CZD98" s="168"/>
      <c r="CZE98" s="167"/>
      <c r="CZF98" s="168"/>
      <c r="CZG98" s="167"/>
      <c r="CZH98" s="168"/>
      <c r="CZI98" s="167"/>
      <c r="CZJ98" s="168"/>
      <c r="CZK98" s="167"/>
      <c r="CZL98" s="168"/>
      <c r="CZM98" s="167"/>
      <c r="CZN98" s="168"/>
      <c r="CZO98" s="167"/>
      <c r="CZP98" s="168"/>
      <c r="CZQ98" s="167"/>
      <c r="CZR98" s="168"/>
      <c r="CZS98" s="167"/>
      <c r="CZT98" s="168"/>
      <c r="CZU98" s="167"/>
      <c r="CZV98" s="168"/>
      <c r="CZW98" s="167"/>
      <c r="CZX98" s="168"/>
      <c r="CZY98" s="167"/>
      <c r="CZZ98" s="168"/>
      <c r="DAA98" s="167"/>
      <c r="DAB98" s="168"/>
      <c r="DAC98" s="167"/>
      <c r="DAD98" s="168"/>
      <c r="DAE98" s="167"/>
      <c r="DAF98" s="168"/>
      <c r="DAG98" s="167"/>
      <c r="DAH98" s="168"/>
      <c r="DAI98" s="167"/>
      <c r="DAJ98" s="168"/>
      <c r="DAK98" s="167"/>
      <c r="DAL98" s="168"/>
      <c r="DAM98" s="167"/>
      <c r="DAN98" s="168"/>
      <c r="DAO98" s="167"/>
      <c r="DAP98" s="168"/>
      <c r="DAQ98" s="167"/>
      <c r="DAR98" s="168"/>
      <c r="DAS98" s="167"/>
      <c r="DAT98" s="168"/>
      <c r="DAU98" s="167"/>
      <c r="DAV98" s="168"/>
      <c r="DAW98" s="167"/>
      <c r="DAX98" s="168"/>
      <c r="DAY98" s="167"/>
      <c r="DAZ98" s="168"/>
      <c r="DBA98" s="167"/>
      <c r="DBB98" s="168"/>
      <c r="DBC98" s="167"/>
      <c r="DBD98" s="168"/>
      <c r="DBE98" s="167"/>
      <c r="DBF98" s="168"/>
      <c r="DBG98" s="167"/>
      <c r="DBH98" s="168"/>
      <c r="DBI98" s="167"/>
      <c r="DBJ98" s="168"/>
      <c r="DBK98" s="167"/>
      <c r="DBL98" s="168"/>
      <c r="DBM98" s="167"/>
      <c r="DBN98" s="168"/>
      <c r="DBO98" s="167"/>
      <c r="DBP98" s="168"/>
      <c r="DBQ98" s="167"/>
      <c r="DBR98" s="168"/>
      <c r="DBS98" s="167"/>
      <c r="DBT98" s="168"/>
      <c r="DBU98" s="167"/>
      <c r="DBV98" s="168"/>
      <c r="DBW98" s="167"/>
      <c r="DBX98" s="168"/>
      <c r="DBY98" s="167"/>
      <c r="DBZ98" s="168"/>
      <c r="DCA98" s="167"/>
      <c r="DCB98" s="168"/>
      <c r="DCC98" s="167"/>
      <c r="DCD98" s="168"/>
      <c r="DCE98" s="167"/>
      <c r="DCF98" s="168"/>
      <c r="DCG98" s="167"/>
      <c r="DCH98" s="168"/>
      <c r="DCI98" s="167"/>
      <c r="DCJ98" s="168"/>
      <c r="DCK98" s="167"/>
      <c r="DCL98" s="168"/>
      <c r="DCM98" s="167"/>
      <c r="DCN98" s="168"/>
      <c r="DCO98" s="167"/>
      <c r="DCP98" s="168"/>
      <c r="DCQ98" s="167"/>
      <c r="DCR98" s="168"/>
      <c r="DCS98" s="167"/>
      <c r="DCT98" s="168"/>
      <c r="DCU98" s="167"/>
      <c r="DCV98" s="168"/>
      <c r="DCW98" s="167"/>
      <c r="DCX98" s="168"/>
      <c r="DCY98" s="167"/>
      <c r="DCZ98" s="168"/>
      <c r="DDA98" s="167"/>
      <c r="DDB98" s="168"/>
      <c r="DDC98" s="167"/>
      <c r="DDD98" s="168"/>
      <c r="DDE98" s="167"/>
      <c r="DDF98" s="168"/>
      <c r="DDG98" s="167"/>
      <c r="DDH98" s="168"/>
      <c r="DDI98" s="167"/>
      <c r="DDJ98" s="168"/>
      <c r="DDK98" s="167"/>
      <c r="DDL98" s="168"/>
      <c r="DDM98" s="167"/>
      <c r="DDN98" s="168"/>
      <c r="DDO98" s="167"/>
      <c r="DDP98" s="168"/>
      <c r="DDQ98" s="167"/>
      <c r="DDR98" s="168"/>
      <c r="DDS98" s="167"/>
      <c r="DDT98" s="168"/>
      <c r="DDU98" s="167"/>
      <c r="DDV98" s="168"/>
      <c r="DDW98" s="167"/>
      <c r="DDX98" s="168"/>
      <c r="DDY98" s="167"/>
      <c r="DDZ98" s="168"/>
      <c r="DEA98" s="167"/>
      <c r="DEB98" s="168"/>
      <c r="DEC98" s="167"/>
      <c r="DED98" s="168"/>
      <c r="DEE98" s="167"/>
      <c r="DEF98" s="168"/>
      <c r="DEG98" s="167"/>
      <c r="DEH98" s="168"/>
      <c r="DEI98" s="167"/>
      <c r="DEJ98" s="168"/>
      <c r="DEK98" s="167"/>
      <c r="DEL98" s="168"/>
      <c r="DEM98" s="167"/>
      <c r="DEN98" s="168"/>
      <c r="DEO98" s="167"/>
      <c r="DEP98" s="168"/>
      <c r="DEQ98" s="167"/>
      <c r="DER98" s="168"/>
      <c r="DES98" s="167"/>
      <c r="DET98" s="168"/>
      <c r="DEU98" s="167"/>
      <c r="DEV98" s="168"/>
      <c r="DEW98" s="167"/>
      <c r="DEX98" s="168"/>
      <c r="DEY98" s="167"/>
      <c r="DEZ98" s="168"/>
      <c r="DFA98" s="167"/>
      <c r="DFB98" s="168"/>
      <c r="DFC98" s="167"/>
      <c r="DFD98" s="168"/>
      <c r="DFE98" s="167"/>
      <c r="DFF98" s="168"/>
      <c r="DFG98" s="167"/>
      <c r="DFH98" s="168"/>
      <c r="DFI98" s="167"/>
      <c r="DFJ98" s="168"/>
      <c r="DFK98" s="167"/>
      <c r="DFL98" s="168"/>
      <c r="DFM98" s="167"/>
      <c r="DFN98" s="168"/>
      <c r="DFO98" s="167"/>
      <c r="DFP98" s="168"/>
      <c r="DFQ98" s="167"/>
      <c r="DFR98" s="168"/>
      <c r="DFS98" s="167"/>
      <c r="DFT98" s="168"/>
      <c r="DFU98" s="167"/>
      <c r="DFV98" s="168"/>
      <c r="DFW98" s="167"/>
      <c r="DFX98" s="168"/>
      <c r="DFY98" s="167"/>
      <c r="DFZ98" s="168"/>
      <c r="DGA98" s="167"/>
      <c r="DGB98" s="168"/>
      <c r="DGC98" s="167"/>
      <c r="DGD98" s="168"/>
      <c r="DGE98" s="167"/>
      <c r="DGF98" s="168"/>
      <c r="DGG98" s="167"/>
      <c r="DGH98" s="168"/>
      <c r="DGI98" s="167"/>
      <c r="DGJ98" s="168"/>
      <c r="DGK98" s="167"/>
      <c r="DGL98" s="168"/>
      <c r="DGM98" s="167"/>
      <c r="DGN98" s="168"/>
      <c r="DGO98" s="167"/>
      <c r="DGP98" s="168"/>
      <c r="DGQ98" s="167"/>
      <c r="DGR98" s="168"/>
      <c r="DGS98" s="167"/>
      <c r="DGT98" s="168"/>
      <c r="DGU98" s="167"/>
      <c r="DGV98" s="168"/>
      <c r="DGW98" s="167"/>
      <c r="DGX98" s="168"/>
      <c r="DGY98" s="167"/>
      <c r="DGZ98" s="168"/>
      <c r="DHA98" s="167"/>
      <c r="DHB98" s="168"/>
      <c r="DHC98" s="167"/>
      <c r="DHD98" s="168"/>
      <c r="DHE98" s="167"/>
      <c r="DHF98" s="168"/>
      <c r="DHG98" s="167"/>
      <c r="DHH98" s="168"/>
      <c r="DHI98" s="167"/>
      <c r="DHJ98" s="168"/>
      <c r="DHK98" s="167"/>
      <c r="DHL98" s="168"/>
      <c r="DHM98" s="167"/>
      <c r="DHN98" s="168"/>
      <c r="DHO98" s="167"/>
      <c r="DHP98" s="168"/>
      <c r="DHQ98" s="167"/>
      <c r="DHR98" s="168"/>
      <c r="DHS98" s="167"/>
      <c r="DHT98" s="168"/>
      <c r="DHU98" s="167"/>
      <c r="DHV98" s="168"/>
      <c r="DHW98" s="167"/>
      <c r="DHX98" s="168"/>
      <c r="DHY98" s="167"/>
      <c r="DHZ98" s="168"/>
      <c r="DIA98" s="167"/>
      <c r="DIB98" s="168"/>
      <c r="DIC98" s="167"/>
      <c r="DID98" s="168"/>
      <c r="DIE98" s="167"/>
      <c r="DIF98" s="168"/>
      <c r="DIG98" s="167"/>
      <c r="DIH98" s="168"/>
      <c r="DII98" s="167"/>
      <c r="DIJ98" s="168"/>
      <c r="DIK98" s="167"/>
      <c r="DIL98" s="168"/>
      <c r="DIM98" s="167"/>
      <c r="DIN98" s="168"/>
      <c r="DIO98" s="167"/>
      <c r="DIP98" s="168"/>
      <c r="DIQ98" s="167"/>
      <c r="DIR98" s="168"/>
      <c r="DIS98" s="167"/>
      <c r="DIT98" s="168"/>
      <c r="DIU98" s="167"/>
      <c r="DIV98" s="168"/>
      <c r="DIW98" s="167"/>
      <c r="DIX98" s="168"/>
      <c r="DIY98" s="167"/>
      <c r="DIZ98" s="168"/>
      <c r="DJA98" s="167"/>
      <c r="DJB98" s="168"/>
      <c r="DJC98" s="167"/>
      <c r="DJD98" s="168"/>
      <c r="DJE98" s="167"/>
      <c r="DJF98" s="168"/>
      <c r="DJG98" s="167"/>
      <c r="DJH98" s="168"/>
      <c r="DJI98" s="167"/>
      <c r="DJJ98" s="168"/>
      <c r="DJK98" s="167"/>
      <c r="DJL98" s="168"/>
      <c r="DJM98" s="167"/>
      <c r="DJN98" s="168"/>
      <c r="DJO98" s="167"/>
      <c r="DJP98" s="168"/>
      <c r="DJQ98" s="167"/>
      <c r="DJR98" s="168"/>
      <c r="DJS98" s="167"/>
      <c r="DJT98" s="168"/>
      <c r="DJU98" s="167"/>
      <c r="DJV98" s="168"/>
      <c r="DJW98" s="167"/>
      <c r="DJX98" s="168"/>
      <c r="DJY98" s="167"/>
      <c r="DJZ98" s="168"/>
      <c r="DKA98" s="167"/>
      <c r="DKB98" s="168"/>
      <c r="DKC98" s="167"/>
      <c r="DKD98" s="168"/>
      <c r="DKE98" s="167"/>
      <c r="DKF98" s="168"/>
      <c r="DKG98" s="167"/>
      <c r="DKH98" s="168"/>
      <c r="DKI98" s="167"/>
      <c r="DKJ98" s="168"/>
      <c r="DKK98" s="167"/>
      <c r="DKL98" s="168"/>
      <c r="DKM98" s="167"/>
      <c r="DKN98" s="168"/>
      <c r="DKO98" s="167"/>
      <c r="DKP98" s="168"/>
      <c r="DKQ98" s="167"/>
      <c r="DKR98" s="168"/>
      <c r="DKS98" s="167"/>
      <c r="DKT98" s="168"/>
      <c r="DKU98" s="167"/>
      <c r="DKV98" s="168"/>
      <c r="DKW98" s="167"/>
      <c r="DKX98" s="168"/>
      <c r="DKY98" s="167"/>
      <c r="DKZ98" s="168"/>
      <c r="DLA98" s="167"/>
      <c r="DLB98" s="168"/>
      <c r="DLC98" s="167"/>
      <c r="DLD98" s="168"/>
      <c r="DLE98" s="167"/>
      <c r="DLF98" s="168"/>
      <c r="DLG98" s="167"/>
      <c r="DLH98" s="168"/>
      <c r="DLI98" s="167"/>
      <c r="DLJ98" s="168"/>
      <c r="DLK98" s="167"/>
      <c r="DLL98" s="168"/>
      <c r="DLM98" s="167"/>
      <c r="DLN98" s="168"/>
      <c r="DLO98" s="167"/>
      <c r="DLP98" s="168"/>
      <c r="DLQ98" s="167"/>
      <c r="DLR98" s="168"/>
      <c r="DLS98" s="167"/>
      <c r="DLT98" s="168"/>
      <c r="DLU98" s="167"/>
      <c r="DLV98" s="168"/>
      <c r="DLW98" s="167"/>
      <c r="DLX98" s="168"/>
      <c r="DLY98" s="167"/>
      <c r="DLZ98" s="168"/>
      <c r="DMA98" s="167"/>
      <c r="DMB98" s="168"/>
      <c r="DMC98" s="167"/>
      <c r="DMD98" s="168"/>
      <c r="DME98" s="167"/>
      <c r="DMF98" s="168"/>
      <c r="DMG98" s="167"/>
      <c r="DMH98" s="168"/>
      <c r="DMI98" s="167"/>
      <c r="DMJ98" s="168"/>
      <c r="DMK98" s="167"/>
      <c r="DML98" s="168"/>
      <c r="DMM98" s="167"/>
      <c r="DMN98" s="168"/>
      <c r="DMO98" s="167"/>
      <c r="DMP98" s="168"/>
      <c r="DMQ98" s="167"/>
      <c r="DMR98" s="168"/>
      <c r="DMS98" s="167"/>
      <c r="DMT98" s="168"/>
      <c r="DMU98" s="167"/>
      <c r="DMV98" s="168"/>
      <c r="DMW98" s="167"/>
      <c r="DMX98" s="168"/>
      <c r="DMY98" s="167"/>
      <c r="DMZ98" s="168"/>
      <c r="DNA98" s="167"/>
      <c r="DNB98" s="168"/>
      <c r="DNC98" s="167"/>
      <c r="DND98" s="168"/>
      <c r="DNE98" s="167"/>
      <c r="DNF98" s="168"/>
      <c r="DNG98" s="167"/>
      <c r="DNH98" s="168"/>
      <c r="DNI98" s="167"/>
      <c r="DNJ98" s="168"/>
      <c r="DNK98" s="167"/>
      <c r="DNL98" s="168"/>
      <c r="DNM98" s="167"/>
      <c r="DNN98" s="168"/>
      <c r="DNO98" s="167"/>
      <c r="DNP98" s="168"/>
      <c r="DNQ98" s="167"/>
      <c r="DNR98" s="168"/>
      <c r="DNS98" s="167"/>
      <c r="DNT98" s="168"/>
      <c r="DNU98" s="167"/>
      <c r="DNV98" s="168"/>
      <c r="DNW98" s="167"/>
      <c r="DNX98" s="168"/>
      <c r="DNY98" s="167"/>
      <c r="DNZ98" s="168"/>
      <c r="DOA98" s="167"/>
      <c r="DOB98" s="168"/>
      <c r="DOC98" s="167"/>
      <c r="DOD98" s="168"/>
      <c r="DOE98" s="167"/>
      <c r="DOF98" s="168"/>
      <c r="DOG98" s="167"/>
      <c r="DOH98" s="168"/>
      <c r="DOI98" s="167"/>
      <c r="DOJ98" s="168"/>
      <c r="DOK98" s="167"/>
      <c r="DOL98" s="168"/>
      <c r="DOM98" s="167"/>
      <c r="DON98" s="168"/>
      <c r="DOO98" s="167"/>
      <c r="DOP98" s="168"/>
      <c r="DOQ98" s="167"/>
      <c r="DOR98" s="168"/>
      <c r="DOS98" s="167"/>
      <c r="DOT98" s="168"/>
      <c r="DOU98" s="167"/>
      <c r="DOV98" s="168"/>
      <c r="DOW98" s="167"/>
      <c r="DOX98" s="168"/>
      <c r="DOY98" s="167"/>
      <c r="DOZ98" s="168"/>
      <c r="DPA98" s="167"/>
      <c r="DPB98" s="168"/>
      <c r="DPC98" s="167"/>
      <c r="DPD98" s="168"/>
      <c r="DPE98" s="167"/>
      <c r="DPF98" s="168"/>
      <c r="DPG98" s="167"/>
      <c r="DPH98" s="168"/>
      <c r="DPI98" s="167"/>
      <c r="DPJ98" s="168"/>
      <c r="DPK98" s="167"/>
      <c r="DPL98" s="168"/>
      <c r="DPM98" s="167"/>
      <c r="DPN98" s="168"/>
      <c r="DPO98" s="167"/>
      <c r="DPP98" s="168"/>
      <c r="DPQ98" s="167"/>
      <c r="DPR98" s="168"/>
      <c r="DPS98" s="167"/>
      <c r="DPT98" s="168"/>
      <c r="DPU98" s="167"/>
      <c r="DPV98" s="168"/>
      <c r="DPW98" s="167"/>
      <c r="DPX98" s="168"/>
      <c r="DPY98" s="167"/>
      <c r="DPZ98" s="168"/>
      <c r="DQA98" s="167"/>
      <c r="DQB98" s="168"/>
      <c r="DQC98" s="167"/>
      <c r="DQD98" s="168"/>
      <c r="DQE98" s="167"/>
      <c r="DQF98" s="168"/>
      <c r="DQG98" s="167"/>
      <c r="DQH98" s="168"/>
      <c r="DQI98" s="167"/>
      <c r="DQJ98" s="168"/>
      <c r="DQK98" s="167"/>
      <c r="DQL98" s="168"/>
      <c r="DQM98" s="167"/>
      <c r="DQN98" s="168"/>
      <c r="DQO98" s="167"/>
      <c r="DQP98" s="168"/>
      <c r="DQQ98" s="167"/>
      <c r="DQR98" s="168"/>
      <c r="DQS98" s="167"/>
      <c r="DQT98" s="168"/>
      <c r="DQU98" s="167"/>
      <c r="DQV98" s="168"/>
      <c r="DQW98" s="167"/>
      <c r="DQX98" s="168"/>
      <c r="DQY98" s="167"/>
      <c r="DQZ98" s="168"/>
      <c r="DRA98" s="167"/>
      <c r="DRB98" s="168"/>
      <c r="DRC98" s="167"/>
      <c r="DRD98" s="168"/>
      <c r="DRE98" s="167"/>
      <c r="DRF98" s="168"/>
      <c r="DRG98" s="167"/>
      <c r="DRH98" s="168"/>
      <c r="DRI98" s="167"/>
      <c r="DRJ98" s="168"/>
      <c r="DRK98" s="167"/>
      <c r="DRL98" s="168"/>
      <c r="DRM98" s="167"/>
      <c r="DRN98" s="168"/>
      <c r="DRO98" s="167"/>
      <c r="DRP98" s="168"/>
      <c r="DRQ98" s="167"/>
      <c r="DRR98" s="168"/>
      <c r="DRS98" s="167"/>
      <c r="DRT98" s="168"/>
      <c r="DRU98" s="167"/>
      <c r="DRV98" s="168"/>
      <c r="DRW98" s="167"/>
      <c r="DRX98" s="168"/>
      <c r="DRY98" s="167"/>
      <c r="DRZ98" s="168"/>
      <c r="DSA98" s="167"/>
      <c r="DSB98" s="168"/>
      <c r="DSC98" s="167"/>
      <c r="DSD98" s="168"/>
      <c r="DSE98" s="167"/>
      <c r="DSF98" s="168"/>
      <c r="DSG98" s="167"/>
      <c r="DSH98" s="168"/>
      <c r="DSI98" s="167"/>
      <c r="DSJ98" s="168"/>
      <c r="DSK98" s="167"/>
      <c r="DSL98" s="168"/>
      <c r="DSM98" s="167"/>
      <c r="DSN98" s="168"/>
      <c r="DSO98" s="167"/>
      <c r="DSP98" s="168"/>
      <c r="DSQ98" s="167"/>
      <c r="DSR98" s="168"/>
      <c r="DSS98" s="167"/>
      <c r="DST98" s="168"/>
      <c r="DSU98" s="167"/>
      <c r="DSV98" s="168"/>
      <c r="DSW98" s="167"/>
      <c r="DSX98" s="168"/>
      <c r="DSY98" s="167"/>
      <c r="DSZ98" s="168"/>
      <c r="DTA98" s="167"/>
      <c r="DTB98" s="168"/>
      <c r="DTC98" s="167"/>
      <c r="DTD98" s="168"/>
      <c r="DTE98" s="167"/>
      <c r="DTF98" s="168"/>
      <c r="DTG98" s="167"/>
      <c r="DTH98" s="168"/>
      <c r="DTI98" s="167"/>
      <c r="DTJ98" s="168"/>
      <c r="DTK98" s="167"/>
      <c r="DTL98" s="168"/>
      <c r="DTM98" s="167"/>
      <c r="DTN98" s="168"/>
      <c r="DTO98" s="167"/>
      <c r="DTP98" s="168"/>
      <c r="DTQ98" s="167"/>
      <c r="DTR98" s="168"/>
      <c r="DTS98" s="167"/>
      <c r="DTT98" s="168"/>
      <c r="DTU98" s="167"/>
      <c r="DTV98" s="168"/>
      <c r="DTW98" s="167"/>
      <c r="DTX98" s="168"/>
      <c r="DTY98" s="167"/>
      <c r="DTZ98" s="168"/>
      <c r="DUA98" s="167"/>
      <c r="DUB98" s="168"/>
      <c r="DUC98" s="167"/>
      <c r="DUD98" s="168"/>
      <c r="DUE98" s="167"/>
      <c r="DUF98" s="168"/>
      <c r="DUG98" s="167"/>
      <c r="DUH98" s="168"/>
      <c r="DUI98" s="167"/>
      <c r="DUJ98" s="168"/>
      <c r="DUK98" s="167"/>
      <c r="DUL98" s="168"/>
      <c r="DUM98" s="167"/>
      <c r="DUN98" s="168"/>
      <c r="DUO98" s="167"/>
      <c r="DUP98" s="168"/>
      <c r="DUQ98" s="167"/>
      <c r="DUR98" s="168"/>
      <c r="DUS98" s="167"/>
      <c r="DUT98" s="168"/>
      <c r="DUU98" s="167"/>
      <c r="DUV98" s="168"/>
      <c r="DUW98" s="167"/>
      <c r="DUX98" s="168"/>
      <c r="DUY98" s="167"/>
      <c r="DUZ98" s="168"/>
      <c r="DVA98" s="167"/>
      <c r="DVB98" s="168"/>
      <c r="DVC98" s="167"/>
      <c r="DVD98" s="168"/>
      <c r="DVE98" s="167"/>
      <c r="DVF98" s="168"/>
      <c r="DVG98" s="167"/>
      <c r="DVH98" s="168"/>
      <c r="DVI98" s="167"/>
      <c r="DVJ98" s="168"/>
      <c r="DVK98" s="167"/>
      <c r="DVL98" s="168"/>
      <c r="DVM98" s="167"/>
      <c r="DVN98" s="168"/>
      <c r="DVO98" s="167"/>
      <c r="DVP98" s="168"/>
      <c r="DVQ98" s="167"/>
      <c r="DVR98" s="168"/>
      <c r="DVS98" s="167"/>
      <c r="DVT98" s="168"/>
      <c r="DVU98" s="167"/>
      <c r="DVV98" s="168"/>
      <c r="DVW98" s="167"/>
      <c r="DVX98" s="168"/>
      <c r="DVY98" s="167"/>
      <c r="DVZ98" s="168"/>
      <c r="DWA98" s="167"/>
      <c r="DWB98" s="168"/>
      <c r="DWC98" s="167"/>
      <c r="DWD98" s="168"/>
      <c r="DWE98" s="167"/>
      <c r="DWF98" s="168"/>
      <c r="DWG98" s="167"/>
      <c r="DWH98" s="168"/>
      <c r="DWI98" s="167"/>
      <c r="DWJ98" s="168"/>
      <c r="DWK98" s="167"/>
      <c r="DWL98" s="168"/>
      <c r="DWM98" s="167"/>
      <c r="DWN98" s="168"/>
      <c r="DWO98" s="167"/>
      <c r="DWP98" s="168"/>
      <c r="DWQ98" s="167"/>
      <c r="DWR98" s="168"/>
      <c r="DWS98" s="167"/>
      <c r="DWT98" s="168"/>
      <c r="DWU98" s="167"/>
      <c r="DWV98" s="168"/>
      <c r="DWW98" s="167"/>
      <c r="DWX98" s="168"/>
      <c r="DWY98" s="167"/>
      <c r="DWZ98" s="168"/>
      <c r="DXA98" s="167"/>
      <c r="DXB98" s="168"/>
      <c r="DXC98" s="167"/>
      <c r="DXD98" s="168"/>
      <c r="DXE98" s="167"/>
      <c r="DXF98" s="168"/>
      <c r="DXG98" s="167"/>
      <c r="DXH98" s="168"/>
      <c r="DXI98" s="167"/>
      <c r="DXJ98" s="168"/>
      <c r="DXK98" s="167"/>
      <c r="DXL98" s="168"/>
      <c r="DXM98" s="167"/>
      <c r="DXN98" s="168"/>
      <c r="DXO98" s="167"/>
      <c r="DXP98" s="168"/>
      <c r="DXQ98" s="167"/>
      <c r="DXR98" s="168"/>
      <c r="DXS98" s="167"/>
      <c r="DXT98" s="168"/>
      <c r="DXU98" s="167"/>
      <c r="DXV98" s="168"/>
      <c r="DXW98" s="167"/>
      <c r="DXX98" s="168"/>
      <c r="DXY98" s="167"/>
      <c r="DXZ98" s="168"/>
      <c r="DYA98" s="167"/>
      <c r="DYB98" s="168"/>
      <c r="DYC98" s="167"/>
      <c r="DYD98" s="168"/>
      <c r="DYE98" s="167"/>
      <c r="DYF98" s="168"/>
      <c r="DYG98" s="167"/>
      <c r="DYH98" s="168"/>
      <c r="DYI98" s="167"/>
      <c r="DYJ98" s="168"/>
      <c r="DYK98" s="167"/>
      <c r="DYL98" s="168"/>
      <c r="DYM98" s="167"/>
      <c r="DYN98" s="168"/>
      <c r="DYO98" s="167"/>
      <c r="DYP98" s="168"/>
      <c r="DYQ98" s="167"/>
      <c r="DYR98" s="168"/>
      <c r="DYS98" s="167"/>
      <c r="DYT98" s="168"/>
      <c r="DYU98" s="167"/>
      <c r="DYV98" s="168"/>
      <c r="DYW98" s="167"/>
      <c r="DYX98" s="168"/>
      <c r="DYY98" s="167"/>
      <c r="DYZ98" s="168"/>
      <c r="DZA98" s="167"/>
      <c r="DZB98" s="168"/>
      <c r="DZC98" s="167"/>
      <c r="DZD98" s="168"/>
      <c r="DZE98" s="167"/>
      <c r="DZF98" s="168"/>
      <c r="DZG98" s="167"/>
      <c r="DZH98" s="168"/>
      <c r="DZI98" s="167"/>
      <c r="DZJ98" s="168"/>
      <c r="DZK98" s="167"/>
      <c r="DZL98" s="168"/>
      <c r="DZM98" s="167"/>
      <c r="DZN98" s="168"/>
      <c r="DZO98" s="167"/>
      <c r="DZP98" s="168"/>
      <c r="DZQ98" s="167"/>
      <c r="DZR98" s="168"/>
      <c r="DZS98" s="167"/>
      <c r="DZT98" s="168"/>
      <c r="DZU98" s="167"/>
      <c r="DZV98" s="168"/>
      <c r="DZW98" s="167"/>
      <c r="DZX98" s="168"/>
      <c r="DZY98" s="167"/>
      <c r="DZZ98" s="168"/>
      <c r="EAA98" s="167"/>
      <c r="EAB98" s="168"/>
      <c r="EAC98" s="167"/>
      <c r="EAD98" s="168"/>
      <c r="EAE98" s="167"/>
      <c r="EAF98" s="168"/>
      <c r="EAG98" s="167"/>
      <c r="EAH98" s="168"/>
      <c r="EAI98" s="167"/>
      <c r="EAJ98" s="168"/>
      <c r="EAK98" s="167"/>
      <c r="EAL98" s="168"/>
      <c r="EAM98" s="167"/>
      <c r="EAN98" s="168"/>
      <c r="EAO98" s="167"/>
      <c r="EAP98" s="168"/>
      <c r="EAQ98" s="167"/>
      <c r="EAR98" s="168"/>
      <c r="EAS98" s="167"/>
      <c r="EAT98" s="168"/>
      <c r="EAU98" s="167"/>
      <c r="EAV98" s="168"/>
      <c r="EAW98" s="167"/>
      <c r="EAX98" s="168"/>
      <c r="EAY98" s="167"/>
      <c r="EAZ98" s="168"/>
      <c r="EBA98" s="167"/>
      <c r="EBB98" s="168"/>
      <c r="EBC98" s="167"/>
      <c r="EBD98" s="168"/>
      <c r="EBE98" s="167"/>
      <c r="EBF98" s="168"/>
      <c r="EBG98" s="167"/>
      <c r="EBH98" s="168"/>
      <c r="EBI98" s="167"/>
      <c r="EBJ98" s="168"/>
      <c r="EBK98" s="167"/>
      <c r="EBL98" s="168"/>
      <c r="EBM98" s="167"/>
      <c r="EBN98" s="168"/>
      <c r="EBO98" s="167"/>
      <c r="EBP98" s="168"/>
      <c r="EBQ98" s="167"/>
      <c r="EBR98" s="168"/>
      <c r="EBS98" s="167"/>
      <c r="EBT98" s="168"/>
      <c r="EBU98" s="167"/>
      <c r="EBV98" s="168"/>
      <c r="EBW98" s="167"/>
      <c r="EBX98" s="168"/>
      <c r="EBY98" s="167"/>
      <c r="EBZ98" s="168"/>
      <c r="ECA98" s="167"/>
      <c r="ECB98" s="168"/>
      <c r="ECC98" s="167"/>
      <c r="ECD98" s="168"/>
      <c r="ECE98" s="167"/>
      <c r="ECF98" s="168"/>
      <c r="ECG98" s="167"/>
      <c r="ECH98" s="168"/>
      <c r="ECI98" s="167"/>
      <c r="ECJ98" s="168"/>
      <c r="ECK98" s="167"/>
      <c r="ECL98" s="168"/>
      <c r="ECM98" s="167"/>
      <c r="ECN98" s="168"/>
      <c r="ECO98" s="167"/>
      <c r="ECP98" s="168"/>
      <c r="ECQ98" s="167"/>
      <c r="ECR98" s="168"/>
      <c r="ECS98" s="167"/>
      <c r="ECT98" s="168"/>
      <c r="ECU98" s="167"/>
      <c r="ECV98" s="168"/>
      <c r="ECW98" s="167"/>
      <c r="ECX98" s="168"/>
      <c r="ECY98" s="167"/>
      <c r="ECZ98" s="168"/>
      <c r="EDA98" s="167"/>
      <c r="EDB98" s="168"/>
      <c r="EDC98" s="167"/>
      <c r="EDD98" s="168"/>
      <c r="EDE98" s="167"/>
      <c r="EDF98" s="168"/>
      <c r="EDG98" s="167"/>
      <c r="EDH98" s="168"/>
      <c r="EDI98" s="167"/>
      <c r="EDJ98" s="168"/>
      <c r="EDK98" s="167"/>
      <c r="EDL98" s="168"/>
      <c r="EDM98" s="167"/>
      <c r="EDN98" s="168"/>
      <c r="EDO98" s="167"/>
      <c r="EDP98" s="168"/>
      <c r="EDQ98" s="167"/>
      <c r="EDR98" s="168"/>
      <c r="EDS98" s="167"/>
      <c r="EDT98" s="168"/>
      <c r="EDU98" s="167"/>
      <c r="EDV98" s="168"/>
      <c r="EDW98" s="167"/>
      <c r="EDX98" s="168"/>
      <c r="EDY98" s="167"/>
      <c r="EDZ98" s="168"/>
      <c r="EEA98" s="167"/>
      <c r="EEB98" s="168"/>
      <c r="EEC98" s="167"/>
      <c r="EED98" s="168"/>
      <c r="EEE98" s="167"/>
      <c r="EEF98" s="168"/>
      <c r="EEG98" s="167"/>
      <c r="EEH98" s="168"/>
      <c r="EEI98" s="167"/>
      <c r="EEJ98" s="168"/>
      <c r="EEK98" s="167"/>
      <c r="EEL98" s="168"/>
      <c r="EEM98" s="167"/>
      <c r="EEN98" s="168"/>
      <c r="EEO98" s="167"/>
      <c r="EEP98" s="168"/>
      <c r="EEQ98" s="167"/>
      <c r="EER98" s="168"/>
      <c r="EES98" s="167"/>
      <c r="EET98" s="168"/>
      <c r="EEU98" s="167"/>
      <c r="EEV98" s="168"/>
      <c r="EEW98" s="167"/>
      <c r="EEX98" s="168"/>
      <c r="EEY98" s="167"/>
      <c r="EEZ98" s="168"/>
      <c r="EFA98" s="167"/>
      <c r="EFB98" s="168"/>
      <c r="EFC98" s="167"/>
      <c r="EFD98" s="168"/>
      <c r="EFE98" s="167"/>
      <c r="EFF98" s="168"/>
      <c r="EFG98" s="167"/>
      <c r="EFH98" s="168"/>
      <c r="EFI98" s="167"/>
      <c r="EFJ98" s="168"/>
      <c r="EFK98" s="167"/>
      <c r="EFL98" s="168"/>
      <c r="EFM98" s="167"/>
      <c r="EFN98" s="168"/>
      <c r="EFO98" s="167"/>
      <c r="EFP98" s="168"/>
      <c r="EFQ98" s="167"/>
      <c r="EFR98" s="168"/>
      <c r="EFS98" s="167"/>
      <c r="EFT98" s="168"/>
      <c r="EFU98" s="167"/>
      <c r="EFV98" s="168"/>
      <c r="EFW98" s="167"/>
      <c r="EFX98" s="168"/>
      <c r="EFY98" s="167"/>
      <c r="EFZ98" s="168"/>
      <c r="EGA98" s="167"/>
      <c r="EGB98" s="168"/>
      <c r="EGC98" s="167"/>
      <c r="EGD98" s="168"/>
      <c r="EGE98" s="167"/>
      <c r="EGF98" s="168"/>
      <c r="EGG98" s="167"/>
      <c r="EGH98" s="168"/>
      <c r="EGI98" s="167"/>
      <c r="EGJ98" s="168"/>
      <c r="EGK98" s="167"/>
      <c r="EGL98" s="168"/>
      <c r="EGM98" s="167"/>
      <c r="EGN98" s="168"/>
      <c r="EGO98" s="167"/>
      <c r="EGP98" s="168"/>
      <c r="EGQ98" s="167"/>
      <c r="EGR98" s="168"/>
      <c r="EGS98" s="167"/>
      <c r="EGT98" s="168"/>
      <c r="EGU98" s="167"/>
      <c r="EGV98" s="168"/>
      <c r="EGW98" s="167"/>
      <c r="EGX98" s="168"/>
      <c r="EGY98" s="167"/>
      <c r="EGZ98" s="168"/>
      <c r="EHA98" s="167"/>
      <c r="EHB98" s="168"/>
      <c r="EHC98" s="167"/>
      <c r="EHD98" s="168"/>
      <c r="EHE98" s="167"/>
      <c r="EHF98" s="168"/>
      <c r="EHG98" s="167"/>
      <c r="EHH98" s="168"/>
      <c r="EHI98" s="167"/>
      <c r="EHJ98" s="168"/>
      <c r="EHK98" s="167"/>
      <c r="EHL98" s="168"/>
      <c r="EHM98" s="167"/>
      <c r="EHN98" s="168"/>
      <c r="EHO98" s="167"/>
      <c r="EHP98" s="168"/>
      <c r="EHQ98" s="167"/>
      <c r="EHR98" s="168"/>
      <c r="EHS98" s="167"/>
      <c r="EHT98" s="168"/>
      <c r="EHU98" s="167"/>
      <c r="EHV98" s="168"/>
      <c r="EHW98" s="167"/>
      <c r="EHX98" s="168"/>
      <c r="EHY98" s="167"/>
      <c r="EHZ98" s="168"/>
      <c r="EIA98" s="167"/>
      <c r="EIB98" s="168"/>
      <c r="EIC98" s="167"/>
      <c r="EID98" s="168"/>
      <c r="EIE98" s="167"/>
      <c r="EIF98" s="168"/>
      <c r="EIG98" s="167"/>
      <c r="EIH98" s="168"/>
      <c r="EII98" s="167"/>
      <c r="EIJ98" s="168"/>
      <c r="EIK98" s="167"/>
      <c r="EIL98" s="168"/>
      <c r="EIM98" s="167"/>
      <c r="EIN98" s="168"/>
      <c r="EIO98" s="167"/>
      <c r="EIP98" s="168"/>
      <c r="EIQ98" s="167"/>
      <c r="EIR98" s="168"/>
      <c r="EIS98" s="167"/>
      <c r="EIT98" s="168"/>
      <c r="EIU98" s="167"/>
      <c r="EIV98" s="168"/>
      <c r="EIW98" s="167"/>
      <c r="EIX98" s="168"/>
      <c r="EIY98" s="167"/>
      <c r="EIZ98" s="168"/>
      <c r="EJA98" s="167"/>
      <c r="EJB98" s="168"/>
      <c r="EJC98" s="167"/>
      <c r="EJD98" s="168"/>
      <c r="EJE98" s="167"/>
      <c r="EJF98" s="168"/>
      <c r="EJG98" s="167"/>
      <c r="EJH98" s="168"/>
      <c r="EJI98" s="167"/>
      <c r="EJJ98" s="168"/>
      <c r="EJK98" s="167"/>
      <c r="EJL98" s="168"/>
      <c r="EJM98" s="167"/>
      <c r="EJN98" s="168"/>
      <c r="EJO98" s="167"/>
      <c r="EJP98" s="168"/>
      <c r="EJQ98" s="167"/>
      <c r="EJR98" s="168"/>
      <c r="EJS98" s="167"/>
      <c r="EJT98" s="168"/>
      <c r="EJU98" s="167"/>
      <c r="EJV98" s="168"/>
      <c r="EJW98" s="167"/>
      <c r="EJX98" s="168"/>
      <c r="EJY98" s="167"/>
      <c r="EJZ98" s="168"/>
      <c r="EKA98" s="167"/>
      <c r="EKB98" s="168"/>
      <c r="EKC98" s="167"/>
      <c r="EKD98" s="168"/>
      <c r="EKE98" s="167"/>
      <c r="EKF98" s="168"/>
      <c r="EKG98" s="167"/>
      <c r="EKH98" s="168"/>
      <c r="EKI98" s="167"/>
      <c r="EKJ98" s="168"/>
      <c r="EKK98" s="167"/>
      <c r="EKL98" s="168"/>
      <c r="EKM98" s="167"/>
      <c r="EKN98" s="168"/>
      <c r="EKO98" s="167"/>
      <c r="EKP98" s="168"/>
      <c r="EKQ98" s="167"/>
      <c r="EKR98" s="168"/>
      <c r="EKS98" s="167"/>
      <c r="EKT98" s="168"/>
      <c r="EKU98" s="167"/>
      <c r="EKV98" s="168"/>
      <c r="EKW98" s="167"/>
      <c r="EKX98" s="168"/>
      <c r="EKY98" s="167"/>
      <c r="EKZ98" s="168"/>
      <c r="ELA98" s="167"/>
      <c r="ELB98" s="168"/>
      <c r="ELC98" s="167"/>
      <c r="ELD98" s="168"/>
      <c r="ELE98" s="167"/>
      <c r="ELF98" s="168"/>
      <c r="ELG98" s="167"/>
      <c r="ELH98" s="168"/>
      <c r="ELI98" s="167"/>
      <c r="ELJ98" s="168"/>
      <c r="ELK98" s="167"/>
      <c r="ELL98" s="168"/>
      <c r="ELM98" s="167"/>
      <c r="ELN98" s="168"/>
      <c r="ELO98" s="167"/>
      <c r="ELP98" s="168"/>
      <c r="ELQ98" s="167"/>
      <c r="ELR98" s="168"/>
      <c r="ELS98" s="167"/>
      <c r="ELT98" s="168"/>
      <c r="ELU98" s="167"/>
      <c r="ELV98" s="168"/>
      <c r="ELW98" s="167"/>
      <c r="ELX98" s="168"/>
      <c r="ELY98" s="167"/>
      <c r="ELZ98" s="168"/>
      <c r="EMA98" s="167"/>
      <c r="EMB98" s="168"/>
      <c r="EMC98" s="167"/>
      <c r="EMD98" s="168"/>
      <c r="EME98" s="167"/>
      <c r="EMF98" s="168"/>
      <c r="EMG98" s="167"/>
      <c r="EMH98" s="168"/>
      <c r="EMI98" s="167"/>
      <c r="EMJ98" s="168"/>
      <c r="EMK98" s="167"/>
      <c r="EML98" s="168"/>
      <c r="EMM98" s="167"/>
      <c r="EMN98" s="168"/>
      <c r="EMO98" s="167"/>
      <c r="EMP98" s="168"/>
      <c r="EMQ98" s="167"/>
      <c r="EMR98" s="168"/>
      <c r="EMS98" s="167"/>
      <c r="EMT98" s="168"/>
      <c r="EMU98" s="167"/>
      <c r="EMV98" s="168"/>
      <c r="EMW98" s="167"/>
      <c r="EMX98" s="168"/>
      <c r="EMY98" s="167"/>
      <c r="EMZ98" s="168"/>
      <c r="ENA98" s="167"/>
      <c r="ENB98" s="168"/>
      <c r="ENC98" s="167"/>
      <c r="END98" s="168"/>
      <c r="ENE98" s="167"/>
      <c r="ENF98" s="168"/>
      <c r="ENG98" s="167"/>
      <c r="ENH98" s="168"/>
      <c r="ENI98" s="167"/>
      <c r="ENJ98" s="168"/>
      <c r="ENK98" s="167"/>
      <c r="ENL98" s="168"/>
      <c r="ENM98" s="167"/>
      <c r="ENN98" s="168"/>
      <c r="ENO98" s="167"/>
      <c r="ENP98" s="168"/>
      <c r="ENQ98" s="167"/>
      <c r="ENR98" s="168"/>
      <c r="ENS98" s="167"/>
      <c r="ENT98" s="168"/>
      <c r="ENU98" s="167"/>
      <c r="ENV98" s="168"/>
      <c r="ENW98" s="167"/>
      <c r="ENX98" s="168"/>
      <c r="ENY98" s="167"/>
      <c r="ENZ98" s="168"/>
      <c r="EOA98" s="167"/>
      <c r="EOB98" s="168"/>
      <c r="EOC98" s="167"/>
      <c r="EOD98" s="168"/>
      <c r="EOE98" s="167"/>
      <c r="EOF98" s="168"/>
      <c r="EOG98" s="167"/>
      <c r="EOH98" s="168"/>
      <c r="EOI98" s="167"/>
      <c r="EOJ98" s="168"/>
      <c r="EOK98" s="167"/>
      <c r="EOL98" s="168"/>
      <c r="EOM98" s="167"/>
      <c r="EON98" s="168"/>
      <c r="EOO98" s="167"/>
      <c r="EOP98" s="168"/>
      <c r="EOQ98" s="167"/>
      <c r="EOR98" s="168"/>
      <c r="EOS98" s="167"/>
      <c r="EOT98" s="168"/>
      <c r="EOU98" s="167"/>
      <c r="EOV98" s="168"/>
      <c r="EOW98" s="167"/>
      <c r="EOX98" s="168"/>
      <c r="EOY98" s="167"/>
      <c r="EOZ98" s="168"/>
      <c r="EPA98" s="167"/>
      <c r="EPB98" s="168"/>
      <c r="EPC98" s="167"/>
      <c r="EPD98" s="168"/>
      <c r="EPE98" s="167"/>
      <c r="EPF98" s="168"/>
      <c r="EPG98" s="167"/>
      <c r="EPH98" s="168"/>
      <c r="EPI98" s="167"/>
      <c r="EPJ98" s="168"/>
      <c r="EPK98" s="167"/>
      <c r="EPL98" s="168"/>
      <c r="EPM98" s="167"/>
      <c r="EPN98" s="168"/>
      <c r="EPO98" s="167"/>
      <c r="EPP98" s="168"/>
      <c r="EPQ98" s="167"/>
      <c r="EPR98" s="168"/>
      <c r="EPS98" s="167"/>
      <c r="EPT98" s="168"/>
      <c r="EPU98" s="167"/>
      <c r="EPV98" s="168"/>
      <c r="EPW98" s="167"/>
      <c r="EPX98" s="168"/>
      <c r="EPY98" s="167"/>
      <c r="EPZ98" s="168"/>
      <c r="EQA98" s="167"/>
      <c r="EQB98" s="168"/>
      <c r="EQC98" s="167"/>
      <c r="EQD98" s="168"/>
      <c r="EQE98" s="167"/>
      <c r="EQF98" s="168"/>
      <c r="EQG98" s="167"/>
      <c r="EQH98" s="168"/>
      <c r="EQI98" s="167"/>
      <c r="EQJ98" s="168"/>
      <c r="EQK98" s="167"/>
      <c r="EQL98" s="168"/>
      <c r="EQM98" s="167"/>
      <c r="EQN98" s="168"/>
      <c r="EQO98" s="167"/>
      <c r="EQP98" s="168"/>
      <c r="EQQ98" s="167"/>
      <c r="EQR98" s="168"/>
      <c r="EQS98" s="167"/>
      <c r="EQT98" s="168"/>
      <c r="EQU98" s="167"/>
      <c r="EQV98" s="168"/>
      <c r="EQW98" s="167"/>
      <c r="EQX98" s="168"/>
      <c r="EQY98" s="167"/>
      <c r="EQZ98" s="168"/>
      <c r="ERA98" s="167"/>
      <c r="ERB98" s="168"/>
      <c r="ERC98" s="167"/>
      <c r="ERD98" s="168"/>
      <c r="ERE98" s="167"/>
      <c r="ERF98" s="168"/>
      <c r="ERG98" s="167"/>
      <c r="ERH98" s="168"/>
      <c r="ERI98" s="167"/>
      <c r="ERJ98" s="168"/>
      <c r="ERK98" s="167"/>
      <c r="ERL98" s="168"/>
      <c r="ERM98" s="167"/>
      <c r="ERN98" s="168"/>
      <c r="ERO98" s="167"/>
      <c r="ERP98" s="168"/>
      <c r="ERQ98" s="167"/>
      <c r="ERR98" s="168"/>
      <c r="ERS98" s="167"/>
      <c r="ERT98" s="168"/>
      <c r="ERU98" s="167"/>
      <c r="ERV98" s="168"/>
      <c r="ERW98" s="167"/>
      <c r="ERX98" s="168"/>
      <c r="ERY98" s="167"/>
      <c r="ERZ98" s="168"/>
      <c r="ESA98" s="167"/>
      <c r="ESB98" s="168"/>
      <c r="ESC98" s="167"/>
      <c r="ESD98" s="168"/>
      <c r="ESE98" s="167"/>
      <c r="ESF98" s="168"/>
      <c r="ESG98" s="167"/>
      <c r="ESH98" s="168"/>
      <c r="ESI98" s="167"/>
      <c r="ESJ98" s="168"/>
      <c r="ESK98" s="167"/>
      <c r="ESL98" s="168"/>
      <c r="ESM98" s="167"/>
      <c r="ESN98" s="168"/>
      <c r="ESO98" s="167"/>
      <c r="ESP98" s="168"/>
      <c r="ESQ98" s="167"/>
      <c r="ESR98" s="168"/>
      <c r="ESS98" s="167"/>
      <c r="EST98" s="168"/>
      <c r="ESU98" s="167"/>
      <c r="ESV98" s="168"/>
      <c r="ESW98" s="167"/>
      <c r="ESX98" s="168"/>
      <c r="ESY98" s="167"/>
      <c r="ESZ98" s="168"/>
      <c r="ETA98" s="167"/>
      <c r="ETB98" s="168"/>
      <c r="ETC98" s="167"/>
      <c r="ETD98" s="168"/>
      <c r="ETE98" s="167"/>
      <c r="ETF98" s="168"/>
      <c r="ETG98" s="167"/>
      <c r="ETH98" s="168"/>
      <c r="ETI98" s="167"/>
      <c r="ETJ98" s="168"/>
      <c r="ETK98" s="167"/>
      <c r="ETL98" s="168"/>
      <c r="ETM98" s="167"/>
      <c r="ETN98" s="168"/>
      <c r="ETO98" s="167"/>
      <c r="ETP98" s="168"/>
      <c r="ETQ98" s="167"/>
      <c r="ETR98" s="168"/>
      <c r="ETS98" s="167"/>
      <c r="ETT98" s="168"/>
      <c r="ETU98" s="167"/>
      <c r="ETV98" s="168"/>
      <c r="ETW98" s="167"/>
      <c r="ETX98" s="168"/>
      <c r="ETY98" s="167"/>
      <c r="ETZ98" s="168"/>
      <c r="EUA98" s="167"/>
      <c r="EUB98" s="168"/>
      <c r="EUC98" s="167"/>
      <c r="EUD98" s="168"/>
      <c r="EUE98" s="167"/>
      <c r="EUF98" s="168"/>
      <c r="EUG98" s="167"/>
      <c r="EUH98" s="168"/>
      <c r="EUI98" s="167"/>
      <c r="EUJ98" s="168"/>
      <c r="EUK98" s="167"/>
      <c r="EUL98" s="168"/>
      <c r="EUM98" s="167"/>
      <c r="EUN98" s="168"/>
      <c r="EUO98" s="167"/>
      <c r="EUP98" s="168"/>
      <c r="EUQ98" s="167"/>
      <c r="EUR98" s="168"/>
      <c r="EUS98" s="167"/>
      <c r="EUT98" s="168"/>
      <c r="EUU98" s="167"/>
      <c r="EUV98" s="168"/>
      <c r="EUW98" s="167"/>
      <c r="EUX98" s="168"/>
      <c r="EUY98" s="167"/>
      <c r="EUZ98" s="168"/>
      <c r="EVA98" s="167"/>
      <c r="EVB98" s="168"/>
      <c r="EVC98" s="167"/>
      <c r="EVD98" s="168"/>
      <c r="EVE98" s="167"/>
      <c r="EVF98" s="168"/>
      <c r="EVG98" s="167"/>
      <c r="EVH98" s="168"/>
      <c r="EVI98" s="167"/>
      <c r="EVJ98" s="168"/>
      <c r="EVK98" s="167"/>
      <c r="EVL98" s="168"/>
      <c r="EVM98" s="167"/>
      <c r="EVN98" s="168"/>
      <c r="EVO98" s="167"/>
      <c r="EVP98" s="168"/>
      <c r="EVQ98" s="167"/>
      <c r="EVR98" s="168"/>
      <c r="EVS98" s="167"/>
      <c r="EVT98" s="168"/>
      <c r="EVU98" s="167"/>
      <c r="EVV98" s="168"/>
      <c r="EVW98" s="167"/>
      <c r="EVX98" s="168"/>
      <c r="EVY98" s="167"/>
      <c r="EVZ98" s="168"/>
      <c r="EWA98" s="167"/>
      <c r="EWB98" s="168"/>
      <c r="EWC98" s="167"/>
      <c r="EWD98" s="168"/>
      <c r="EWE98" s="167"/>
      <c r="EWF98" s="168"/>
      <c r="EWG98" s="167"/>
      <c r="EWH98" s="168"/>
      <c r="EWI98" s="167"/>
      <c r="EWJ98" s="168"/>
      <c r="EWK98" s="167"/>
      <c r="EWL98" s="168"/>
      <c r="EWM98" s="167"/>
      <c r="EWN98" s="168"/>
      <c r="EWO98" s="167"/>
      <c r="EWP98" s="168"/>
      <c r="EWQ98" s="167"/>
      <c r="EWR98" s="168"/>
      <c r="EWS98" s="167"/>
      <c r="EWT98" s="168"/>
      <c r="EWU98" s="167"/>
      <c r="EWV98" s="168"/>
      <c r="EWW98" s="167"/>
      <c r="EWX98" s="168"/>
      <c r="EWY98" s="167"/>
      <c r="EWZ98" s="168"/>
      <c r="EXA98" s="167"/>
      <c r="EXB98" s="168"/>
      <c r="EXC98" s="167"/>
      <c r="EXD98" s="168"/>
      <c r="EXE98" s="167"/>
      <c r="EXF98" s="168"/>
      <c r="EXG98" s="167"/>
      <c r="EXH98" s="168"/>
      <c r="EXI98" s="167"/>
      <c r="EXJ98" s="168"/>
      <c r="EXK98" s="167"/>
      <c r="EXL98" s="168"/>
      <c r="EXM98" s="167"/>
      <c r="EXN98" s="168"/>
      <c r="EXO98" s="167"/>
      <c r="EXP98" s="168"/>
      <c r="EXQ98" s="167"/>
      <c r="EXR98" s="168"/>
      <c r="EXS98" s="167"/>
      <c r="EXT98" s="168"/>
      <c r="EXU98" s="167"/>
      <c r="EXV98" s="168"/>
      <c r="EXW98" s="167"/>
      <c r="EXX98" s="168"/>
      <c r="EXY98" s="167"/>
      <c r="EXZ98" s="168"/>
      <c r="EYA98" s="167"/>
      <c r="EYB98" s="168"/>
      <c r="EYC98" s="167"/>
      <c r="EYD98" s="168"/>
      <c r="EYE98" s="167"/>
      <c r="EYF98" s="168"/>
      <c r="EYG98" s="167"/>
      <c r="EYH98" s="168"/>
      <c r="EYI98" s="167"/>
      <c r="EYJ98" s="168"/>
      <c r="EYK98" s="167"/>
      <c r="EYL98" s="168"/>
      <c r="EYM98" s="167"/>
      <c r="EYN98" s="168"/>
      <c r="EYO98" s="167"/>
      <c r="EYP98" s="168"/>
      <c r="EYQ98" s="167"/>
      <c r="EYR98" s="168"/>
      <c r="EYS98" s="167"/>
      <c r="EYT98" s="168"/>
      <c r="EYU98" s="167"/>
      <c r="EYV98" s="168"/>
      <c r="EYW98" s="167"/>
      <c r="EYX98" s="168"/>
      <c r="EYY98" s="167"/>
      <c r="EYZ98" s="168"/>
      <c r="EZA98" s="167"/>
      <c r="EZB98" s="168"/>
      <c r="EZC98" s="167"/>
      <c r="EZD98" s="168"/>
      <c r="EZE98" s="167"/>
      <c r="EZF98" s="168"/>
      <c r="EZG98" s="167"/>
      <c r="EZH98" s="168"/>
      <c r="EZI98" s="167"/>
      <c r="EZJ98" s="168"/>
      <c r="EZK98" s="167"/>
      <c r="EZL98" s="168"/>
      <c r="EZM98" s="167"/>
      <c r="EZN98" s="168"/>
      <c r="EZO98" s="167"/>
      <c r="EZP98" s="168"/>
      <c r="EZQ98" s="167"/>
      <c r="EZR98" s="168"/>
      <c r="EZS98" s="167"/>
      <c r="EZT98" s="168"/>
      <c r="EZU98" s="167"/>
      <c r="EZV98" s="168"/>
      <c r="EZW98" s="167"/>
      <c r="EZX98" s="168"/>
      <c r="EZY98" s="167"/>
      <c r="EZZ98" s="168"/>
      <c r="FAA98" s="167"/>
      <c r="FAB98" s="168"/>
      <c r="FAC98" s="167"/>
      <c r="FAD98" s="168"/>
      <c r="FAE98" s="167"/>
      <c r="FAF98" s="168"/>
      <c r="FAG98" s="167"/>
      <c r="FAH98" s="168"/>
      <c r="FAI98" s="167"/>
      <c r="FAJ98" s="168"/>
      <c r="FAK98" s="167"/>
      <c r="FAL98" s="168"/>
      <c r="FAM98" s="167"/>
      <c r="FAN98" s="168"/>
      <c r="FAO98" s="167"/>
      <c r="FAP98" s="168"/>
      <c r="FAQ98" s="167"/>
      <c r="FAR98" s="168"/>
      <c r="FAS98" s="167"/>
      <c r="FAT98" s="168"/>
      <c r="FAU98" s="167"/>
      <c r="FAV98" s="168"/>
      <c r="FAW98" s="167"/>
      <c r="FAX98" s="168"/>
      <c r="FAY98" s="167"/>
      <c r="FAZ98" s="168"/>
      <c r="FBA98" s="167"/>
      <c r="FBB98" s="168"/>
      <c r="FBC98" s="167"/>
      <c r="FBD98" s="168"/>
      <c r="FBE98" s="167"/>
      <c r="FBF98" s="168"/>
      <c r="FBG98" s="167"/>
      <c r="FBH98" s="168"/>
      <c r="FBI98" s="167"/>
      <c r="FBJ98" s="168"/>
      <c r="FBK98" s="167"/>
      <c r="FBL98" s="168"/>
      <c r="FBM98" s="167"/>
      <c r="FBN98" s="168"/>
      <c r="FBO98" s="167"/>
      <c r="FBP98" s="168"/>
      <c r="FBQ98" s="167"/>
      <c r="FBR98" s="168"/>
      <c r="FBS98" s="167"/>
      <c r="FBT98" s="168"/>
      <c r="FBU98" s="167"/>
      <c r="FBV98" s="168"/>
      <c r="FBW98" s="167"/>
      <c r="FBX98" s="168"/>
      <c r="FBY98" s="167"/>
      <c r="FBZ98" s="168"/>
      <c r="FCA98" s="167"/>
      <c r="FCB98" s="168"/>
      <c r="FCC98" s="167"/>
      <c r="FCD98" s="168"/>
      <c r="FCE98" s="167"/>
      <c r="FCF98" s="168"/>
      <c r="FCG98" s="167"/>
      <c r="FCH98" s="168"/>
      <c r="FCI98" s="167"/>
      <c r="FCJ98" s="168"/>
      <c r="FCK98" s="167"/>
      <c r="FCL98" s="168"/>
      <c r="FCM98" s="167"/>
      <c r="FCN98" s="168"/>
      <c r="FCO98" s="167"/>
      <c r="FCP98" s="168"/>
      <c r="FCQ98" s="167"/>
      <c r="FCR98" s="168"/>
      <c r="FCS98" s="167"/>
      <c r="FCT98" s="168"/>
      <c r="FCU98" s="167"/>
      <c r="FCV98" s="168"/>
      <c r="FCW98" s="167"/>
      <c r="FCX98" s="168"/>
      <c r="FCY98" s="167"/>
      <c r="FCZ98" s="168"/>
      <c r="FDA98" s="167"/>
      <c r="FDB98" s="168"/>
      <c r="FDC98" s="167"/>
      <c r="FDD98" s="168"/>
      <c r="FDE98" s="167"/>
      <c r="FDF98" s="168"/>
      <c r="FDG98" s="167"/>
      <c r="FDH98" s="168"/>
      <c r="FDI98" s="167"/>
      <c r="FDJ98" s="168"/>
      <c r="FDK98" s="167"/>
      <c r="FDL98" s="168"/>
      <c r="FDM98" s="167"/>
      <c r="FDN98" s="168"/>
      <c r="FDO98" s="167"/>
      <c r="FDP98" s="168"/>
      <c r="FDQ98" s="167"/>
      <c r="FDR98" s="168"/>
      <c r="FDS98" s="167"/>
      <c r="FDT98" s="168"/>
      <c r="FDU98" s="167"/>
      <c r="FDV98" s="168"/>
      <c r="FDW98" s="167"/>
      <c r="FDX98" s="168"/>
      <c r="FDY98" s="167"/>
      <c r="FDZ98" s="168"/>
      <c r="FEA98" s="167"/>
      <c r="FEB98" s="168"/>
      <c r="FEC98" s="167"/>
      <c r="FED98" s="168"/>
      <c r="FEE98" s="167"/>
      <c r="FEF98" s="168"/>
      <c r="FEG98" s="167"/>
      <c r="FEH98" s="168"/>
      <c r="FEI98" s="167"/>
      <c r="FEJ98" s="168"/>
      <c r="FEK98" s="167"/>
      <c r="FEL98" s="168"/>
      <c r="FEM98" s="167"/>
      <c r="FEN98" s="168"/>
      <c r="FEO98" s="167"/>
      <c r="FEP98" s="168"/>
      <c r="FEQ98" s="167"/>
      <c r="FER98" s="168"/>
      <c r="FES98" s="167"/>
      <c r="FET98" s="168"/>
      <c r="FEU98" s="167"/>
      <c r="FEV98" s="168"/>
      <c r="FEW98" s="167"/>
      <c r="FEX98" s="168"/>
      <c r="FEY98" s="167"/>
      <c r="FEZ98" s="168"/>
      <c r="FFA98" s="167"/>
      <c r="FFB98" s="168"/>
      <c r="FFC98" s="167"/>
      <c r="FFD98" s="168"/>
      <c r="FFE98" s="167"/>
      <c r="FFF98" s="168"/>
      <c r="FFG98" s="167"/>
      <c r="FFH98" s="168"/>
      <c r="FFI98" s="167"/>
      <c r="FFJ98" s="168"/>
      <c r="FFK98" s="167"/>
      <c r="FFL98" s="168"/>
      <c r="FFM98" s="167"/>
      <c r="FFN98" s="168"/>
      <c r="FFO98" s="167"/>
      <c r="FFP98" s="168"/>
      <c r="FFQ98" s="167"/>
      <c r="FFR98" s="168"/>
      <c r="FFS98" s="167"/>
      <c r="FFT98" s="168"/>
      <c r="FFU98" s="167"/>
      <c r="FFV98" s="168"/>
      <c r="FFW98" s="167"/>
      <c r="FFX98" s="168"/>
      <c r="FFY98" s="167"/>
      <c r="FFZ98" s="168"/>
      <c r="FGA98" s="167"/>
      <c r="FGB98" s="168"/>
      <c r="FGC98" s="167"/>
      <c r="FGD98" s="168"/>
      <c r="FGE98" s="167"/>
      <c r="FGF98" s="168"/>
      <c r="FGG98" s="167"/>
      <c r="FGH98" s="168"/>
      <c r="FGI98" s="167"/>
      <c r="FGJ98" s="168"/>
      <c r="FGK98" s="167"/>
      <c r="FGL98" s="168"/>
      <c r="FGM98" s="167"/>
      <c r="FGN98" s="168"/>
      <c r="FGO98" s="167"/>
      <c r="FGP98" s="168"/>
      <c r="FGQ98" s="167"/>
      <c r="FGR98" s="168"/>
      <c r="FGS98" s="167"/>
      <c r="FGT98" s="168"/>
      <c r="FGU98" s="167"/>
      <c r="FGV98" s="168"/>
      <c r="FGW98" s="167"/>
      <c r="FGX98" s="168"/>
      <c r="FGY98" s="167"/>
      <c r="FGZ98" s="168"/>
      <c r="FHA98" s="167"/>
      <c r="FHB98" s="168"/>
      <c r="FHC98" s="167"/>
      <c r="FHD98" s="168"/>
      <c r="FHE98" s="167"/>
      <c r="FHF98" s="168"/>
      <c r="FHG98" s="167"/>
      <c r="FHH98" s="168"/>
      <c r="FHI98" s="167"/>
      <c r="FHJ98" s="168"/>
      <c r="FHK98" s="167"/>
      <c r="FHL98" s="168"/>
      <c r="FHM98" s="167"/>
      <c r="FHN98" s="168"/>
      <c r="FHO98" s="167"/>
      <c r="FHP98" s="168"/>
      <c r="FHQ98" s="167"/>
      <c r="FHR98" s="168"/>
      <c r="FHS98" s="167"/>
      <c r="FHT98" s="168"/>
      <c r="FHU98" s="167"/>
      <c r="FHV98" s="168"/>
      <c r="FHW98" s="167"/>
      <c r="FHX98" s="168"/>
      <c r="FHY98" s="167"/>
      <c r="FHZ98" s="168"/>
      <c r="FIA98" s="167"/>
      <c r="FIB98" s="168"/>
      <c r="FIC98" s="167"/>
      <c r="FID98" s="168"/>
      <c r="FIE98" s="167"/>
      <c r="FIF98" s="168"/>
      <c r="FIG98" s="167"/>
      <c r="FIH98" s="168"/>
      <c r="FII98" s="167"/>
      <c r="FIJ98" s="168"/>
      <c r="FIK98" s="167"/>
      <c r="FIL98" s="168"/>
      <c r="FIM98" s="167"/>
      <c r="FIN98" s="168"/>
      <c r="FIO98" s="167"/>
      <c r="FIP98" s="168"/>
      <c r="FIQ98" s="167"/>
      <c r="FIR98" s="168"/>
      <c r="FIS98" s="167"/>
      <c r="FIT98" s="168"/>
      <c r="FIU98" s="167"/>
      <c r="FIV98" s="168"/>
      <c r="FIW98" s="167"/>
      <c r="FIX98" s="168"/>
      <c r="FIY98" s="167"/>
      <c r="FIZ98" s="168"/>
      <c r="FJA98" s="167"/>
      <c r="FJB98" s="168"/>
      <c r="FJC98" s="167"/>
      <c r="FJD98" s="168"/>
      <c r="FJE98" s="167"/>
      <c r="FJF98" s="168"/>
      <c r="FJG98" s="167"/>
      <c r="FJH98" s="168"/>
      <c r="FJI98" s="167"/>
      <c r="FJJ98" s="168"/>
      <c r="FJK98" s="167"/>
      <c r="FJL98" s="168"/>
      <c r="FJM98" s="167"/>
      <c r="FJN98" s="168"/>
      <c r="FJO98" s="167"/>
      <c r="FJP98" s="168"/>
      <c r="FJQ98" s="167"/>
      <c r="FJR98" s="168"/>
      <c r="FJS98" s="167"/>
      <c r="FJT98" s="168"/>
      <c r="FJU98" s="167"/>
      <c r="FJV98" s="168"/>
      <c r="FJW98" s="167"/>
      <c r="FJX98" s="168"/>
      <c r="FJY98" s="167"/>
      <c r="FJZ98" s="168"/>
      <c r="FKA98" s="167"/>
      <c r="FKB98" s="168"/>
      <c r="FKC98" s="167"/>
      <c r="FKD98" s="168"/>
      <c r="FKE98" s="167"/>
      <c r="FKF98" s="168"/>
      <c r="FKG98" s="167"/>
      <c r="FKH98" s="168"/>
      <c r="FKI98" s="167"/>
      <c r="FKJ98" s="168"/>
      <c r="FKK98" s="167"/>
      <c r="FKL98" s="168"/>
      <c r="FKM98" s="167"/>
      <c r="FKN98" s="168"/>
      <c r="FKO98" s="167"/>
      <c r="FKP98" s="168"/>
      <c r="FKQ98" s="167"/>
      <c r="FKR98" s="168"/>
      <c r="FKS98" s="167"/>
      <c r="FKT98" s="168"/>
      <c r="FKU98" s="167"/>
      <c r="FKV98" s="168"/>
      <c r="FKW98" s="167"/>
      <c r="FKX98" s="168"/>
      <c r="FKY98" s="167"/>
      <c r="FKZ98" s="168"/>
      <c r="FLA98" s="167"/>
      <c r="FLB98" s="168"/>
      <c r="FLC98" s="167"/>
      <c r="FLD98" s="168"/>
      <c r="FLE98" s="167"/>
      <c r="FLF98" s="168"/>
      <c r="FLG98" s="167"/>
      <c r="FLH98" s="168"/>
      <c r="FLI98" s="167"/>
      <c r="FLJ98" s="168"/>
      <c r="FLK98" s="167"/>
      <c r="FLL98" s="168"/>
      <c r="FLM98" s="167"/>
      <c r="FLN98" s="168"/>
      <c r="FLO98" s="167"/>
      <c r="FLP98" s="168"/>
      <c r="FLQ98" s="167"/>
      <c r="FLR98" s="168"/>
      <c r="FLS98" s="167"/>
      <c r="FLT98" s="168"/>
      <c r="FLU98" s="167"/>
      <c r="FLV98" s="168"/>
      <c r="FLW98" s="167"/>
      <c r="FLX98" s="168"/>
      <c r="FLY98" s="167"/>
      <c r="FLZ98" s="168"/>
      <c r="FMA98" s="167"/>
      <c r="FMB98" s="168"/>
      <c r="FMC98" s="167"/>
      <c r="FMD98" s="168"/>
      <c r="FME98" s="167"/>
      <c r="FMF98" s="168"/>
      <c r="FMG98" s="167"/>
      <c r="FMH98" s="168"/>
      <c r="FMI98" s="167"/>
      <c r="FMJ98" s="168"/>
      <c r="FMK98" s="167"/>
      <c r="FML98" s="168"/>
      <c r="FMM98" s="167"/>
      <c r="FMN98" s="168"/>
      <c r="FMO98" s="167"/>
      <c r="FMP98" s="168"/>
      <c r="FMQ98" s="167"/>
      <c r="FMR98" s="168"/>
      <c r="FMS98" s="167"/>
      <c r="FMT98" s="168"/>
      <c r="FMU98" s="167"/>
      <c r="FMV98" s="168"/>
      <c r="FMW98" s="167"/>
      <c r="FMX98" s="168"/>
      <c r="FMY98" s="167"/>
      <c r="FMZ98" s="168"/>
      <c r="FNA98" s="167"/>
      <c r="FNB98" s="168"/>
      <c r="FNC98" s="167"/>
      <c r="FND98" s="168"/>
      <c r="FNE98" s="167"/>
      <c r="FNF98" s="168"/>
      <c r="FNG98" s="167"/>
      <c r="FNH98" s="168"/>
      <c r="FNI98" s="167"/>
      <c r="FNJ98" s="168"/>
      <c r="FNK98" s="167"/>
      <c r="FNL98" s="168"/>
      <c r="FNM98" s="167"/>
      <c r="FNN98" s="168"/>
      <c r="FNO98" s="167"/>
      <c r="FNP98" s="168"/>
      <c r="FNQ98" s="167"/>
      <c r="FNR98" s="168"/>
      <c r="FNS98" s="167"/>
      <c r="FNT98" s="168"/>
      <c r="FNU98" s="167"/>
      <c r="FNV98" s="168"/>
      <c r="FNW98" s="167"/>
      <c r="FNX98" s="168"/>
      <c r="FNY98" s="167"/>
      <c r="FNZ98" s="168"/>
      <c r="FOA98" s="167"/>
      <c r="FOB98" s="168"/>
      <c r="FOC98" s="167"/>
      <c r="FOD98" s="168"/>
      <c r="FOE98" s="167"/>
      <c r="FOF98" s="168"/>
      <c r="FOG98" s="167"/>
      <c r="FOH98" s="168"/>
      <c r="FOI98" s="167"/>
      <c r="FOJ98" s="168"/>
      <c r="FOK98" s="167"/>
      <c r="FOL98" s="168"/>
      <c r="FOM98" s="167"/>
      <c r="FON98" s="168"/>
      <c r="FOO98" s="167"/>
      <c r="FOP98" s="168"/>
      <c r="FOQ98" s="167"/>
      <c r="FOR98" s="168"/>
      <c r="FOS98" s="167"/>
      <c r="FOT98" s="168"/>
      <c r="FOU98" s="167"/>
      <c r="FOV98" s="168"/>
      <c r="FOW98" s="167"/>
      <c r="FOX98" s="168"/>
      <c r="FOY98" s="167"/>
      <c r="FOZ98" s="168"/>
      <c r="FPA98" s="167"/>
      <c r="FPB98" s="168"/>
      <c r="FPC98" s="167"/>
      <c r="FPD98" s="168"/>
      <c r="FPE98" s="167"/>
      <c r="FPF98" s="168"/>
      <c r="FPG98" s="167"/>
      <c r="FPH98" s="168"/>
      <c r="FPI98" s="167"/>
      <c r="FPJ98" s="168"/>
      <c r="FPK98" s="167"/>
      <c r="FPL98" s="168"/>
      <c r="FPM98" s="167"/>
      <c r="FPN98" s="168"/>
      <c r="FPO98" s="167"/>
      <c r="FPP98" s="168"/>
      <c r="FPQ98" s="167"/>
      <c r="FPR98" s="168"/>
      <c r="FPS98" s="167"/>
      <c r="FPT98" s="168"/>
      <c r="FPU98" s="167"/>
      <c r="FPV98" s="168"/>
      <c r="FPW98" s="167"/>
      <c r="FPX98" s="168"/>
      <c r="FPY98" s="167"/>
      <c r="FPZ98" s="168"/>
      <c r="FQA98" s="167"/>
      <c r="FQB98" s="168"/>
      <c r="FQC98" s="167"/>
      <c r="FQD98" s="168"/>
      <c r="FQE98" s="167"/>
      <c r="FQF98" s="168"/>
      <c r="FQG98" s="167"/>
      <c r="FQH98" s="168"/>
      <c r="FQI98" s="167"/>
      <c r="FQJ98" s="168"/>
      <c r="FQK98" s="167"/>
      <c r="FQL98" s="168"/>
      <c r="FQM98" s="167"/>
      <c r="FQN98" s="168"/>
      <c r="FQO98" s="167"/>
      <c r="FQP98" s="168"/>
      <c r="FQQ98" s="167"/>
      <c r="FQR98" s="168"/>
      <c r="FQS98" s="167"/>
      <c r="FQT98" s="168"/>
      <c r="FQU98" s="167"/>
      <c r="FQV98" s="168"/>
      <c r="FQW98" s="167"/>
      <c r="FQX98" s="168"/>
      <c r="FQY98" s="167"/>
      <c r="FQZ98" s="168"/>
      <c r="FRA98" s="167"/>
      <c r="FRB98" s="168"/>
      <c r="FRC98" s="167"/>
      <c r="FRD98" s="168"/>
      <c r="FRE98" s="167"/>
      <c r="FRF98" s="168"/>
      <c r="FRG98" s="167"/>
      <c r="FRH98" s="168"/>
      <c r="FRI98" s="167"/>
      <c r="FRJ98" s="168"/>
      <c r="FRK98" s="167"/>
      <c r="FRL98" s="168"/>
      <c r="FRM98" s="167"/>
      <c r="FRN98" s="168"/>
      <c r="FRO98" s="167"/>
      <c r="FRP98" s="168"/>
      <c r="FRQ98" s="167"/>
      <c r="FRR98" s="168"/>
      <c r="FRS98" s="167"/>
      <c r="FRT98" s="168"/>
      <c r="FRU98" s="167"/>
      <c r="FRV98" s="168"/>
      <c r="FRW98" s="167"/>
      <c r="FRX98" s="168"/>
      <c r="FRY98" s="167"/>
      <c r="FRZ98" s="168"/>
      <c r="FSA98" s="167"/>
      <c r="FSB98" s="168"/>
      <c r="FSC98" s="167"/>
      <c r="FSD98" s="168"/>
      <c r="FSE98" s="167"/>
      <c r="FSF98" s="168"/>
      <c r="FSG98" s="167"/>
      <c r="FSH98" s="168"/>
      <c r="FSI98" s="167"/>
      <c r="FSJ98" s="168"/>
      <c r="FSK98" s="167"/>
      <c r="FSL98" s="168"/>
      <c r="FSM98" s="167"/>
      <c r="FSN98" s="168"/>
      <c r="FSO98" s="167"/>
      <c r="FSP98" s="168"/>
      <c r="FSQ98" s="167"/>
      <c r="FSR98" s="168"/>
      <c r="FSS98" s="167"/>
      <c r="FST98" s="168"/>
      <c r="FSU98" s="167"/>
      <c r="FSV98" s="168"/>
      <c r="FSW98" s="167"/>
      <c r="FSX98" s="168"/>
      <c r="FSY98" s="167"/>
      <c r="FSZ98" s="168"/>
      <c r="FTA98" s="167"/>
      <c r="FTB98" s="168"/>
      <c r="FTC98" s="167"/>
      <c r="FTD98" s="168"/>
      <c r="FTE98" s="167"/>
      <c r="FTF98" s="168"/>
      <c r="FTG98" s="167"/>
      <c r="FTH98" s="168"/>
      <c r="FTI98" s="167"/>
      <c r="FTJ98" s="168"/>
      <c r="FTK98" s="167"/>
      <c r="FTL98" s="168"/>
      <c r="FTM98" s="167"/>
      <c r="FTN98" s="168"/>
      <c r="FTO98" s="167"/>
      <c r="FTP98" s="168"/>
      <c r="FTQ98" s="167"/>
      <c r="FTR98" s="168"/>
      <c r="FTS98" s="167"/>
      <c r="FTT98" s="168"/>
      <c r="FTU98" s="167"/>
      <c r="FTV98" s="168"/>
      <c r="FTW98" s="167"/>
      <c r="FTX98" s="168"/>
      <c r="FTY98" s="167"/>
      <c r="FTZ98" s="168"/>
      <c r="FUA98" s="167"/>
      <c r="FUB98" s="168"/>
      <c r="FUC98" s="167"/>
      <c r="FUD98" s="168"/>
      <c r="FUE98" s="167"/>
      <c r="FUF98" s="168"/>
      <c r="FUG98" s="167"/>
      <c r="FUH98" s="168"/>
      <c r="FUI98" s="167"/>
      <c r="FUJ98" s="168"/>
      <c r="FUK98" s="167"/>
      <c r="FUL98" s="168"/>
      <c r="FUM98" s="167"/>
      <c r="FUN98" s="168"/>
      <c r="FUO98" s="167"/>
      <c r="FUP98" s="168"/>
      <c r="FUQ98" s="167"/>
      <c r="FUR98" s="168"/>
      <c r="FUS98" s="167"/>
      <c r="FUT98" s="168"/>
      <c r="FUU98" s="167"/>
      <c r="FUV98" s="168"/>
      <c r="FUW98" s="167"/>
      <c r="FUX98" s="168"/>
      <c r="FUY98" s="167"/>
      <c r="FUZ98" s="168"/>
      <c r="FVA98" s="167"/>
      <c r="FVB98" s="168"/>
      <c r="FVC98" s="167"/>
      <c r="FVD98" s="168"/>
      <c r="FVE98" s="167"/>
      <c r="FVF98" s="168"/>
      <c r="FVG98" s="167"/>
      <c r="FVH98" s="168"/>
      <c r="FVI98" s="167"/>
      <c r="FVJ98" s="168"/>
      <c r="FVK98" s="167"/>
      <c r="FVL98" s="168"/>
      <c r="FVM98" s="167"/>
      <c r="FVN98" s="168"/>
      <c r="FVO98" s="167"/>
      <c r="FVP98" s="168"/>
      <c r="FVQ98" s="167"/>
      <c r="FVR98" s="168"/>
      <c r="FVS98" s="167"/>
      <c r="FVT98" s="168"/>
      <c r="FVU98" s="167"/>
      <c r="FVV98" s="168"/>
      <c r="FVW98" s="167"/>
      <c r="FVX98" s="168"/>
      <c r="FVY98" s="167"/>
      <c r="FVZ98" s="168"/>
      <c r="FWA98" s="167"/>
      <c r="FWB98" s="168"/>
      <c r="FWC98" s="167"/>
      <c r="FWD98" s="168"/>
      <c r="FWE98" s="167"/>
      <c r="FWF98" s="168"/>
      <c r="FWG98" s="167"/>
      <c r="FWH98" s="168"/>
      <c r="FWI98" s="167"/>
      <c r="FWJ98" s="168"/>
      <c r="FWK98" s="167"/>
      <c r="FWL98" s="168"/>
      <c r="FWM98" s="167"/>
      <c r="FWN98" s="168"/>
      <c r="FWO98" s="167"/>
      <c r="FWP98" s="168"/>
      <c r="FWQ98" s="167"/>
      <c r="FWR98" s="168"/>
      <c r="FWS98" s="167"/>
      <c r="FWT98" s="168"/>
      <c r="FWU98" s="167"/>
      <c r="FWV98" s="168"/>
      <c r="FWW98" s="167"/>
      <c r="FWX98" s="168"/>
      <c r="FWY98" s="167"/>
      <c r="FWZ98" s="168"/>
      <c r="FXA98" s="167"/>
      <c r="FXB98" s="168"/>
      <c r="FXC98" s="167"/>
      <c r="FXD98" s="168"/>
      <c r="FXE98" s="167"/>
      <c r="FXF98" s="168"/>
      <c r="FXG98" s="167"/>
      <c r="FXH98" s="168"/>
      <c r="FXI98" s="167"/>
      <c r="FXJ98" s="168"/>
      <c r="FXK98" s="167"/>
      <c r="FXL98" s="168"/>
      <c r="FXM98" s="167"/>
      <c r="FXN98" s="168"/>
      <c r="FXO98" s="167"/>
      <c r="FXP98" s="168"/>
      <c r="FXQ98" s="167"/>
      <c r="FXR98" s="168"/>
      <c r="FXS98" s="167"/>
      <c r="FXT98" s="168"/>
      <c r="FXU98" s="167"/>
      <c r="FXV98" s="168"/>
      <c r="FXW98" s="167"/>
      <c r="FXX98" s="168"/>
      <c r="FXY98" s="167"/>
      <c r="FXZ98" s="168"/>
      <c r="FYA98" s="167"/>
      <c r="FYB98" s="168"/>
      <c r="FYC98" s="167"/>
      <c r="FYD98" s="168"/>
      <c r="FYE98" s="167"/>
      <c r="FYF98" s="168"/>
      <c r="FYG98" s="167"/>
      <c r="FYH98" s="168"/>
      <c r="FYI98" s="167"/>
      <c r="FYJ98" s="168"/>
      <c r="FYK98" s="167"/>
      <c r="FYL98" s="168"/>
      <c r="FYM98" s="167"/>
      <c r="FYN98" s="168"/>
      <c r="FYO98" s="167"/>
      <c r="FYP98" s="168"/>
      <c r="FYQ98" s="167"/>
      <c r="FYR98" s="168"/>
      <c r="FYS98" s="167"/>
      <c r="FYT98" s="168"/>
      <c r="FYU98" s="167"/>
      <c r="FYV98" s="168"/>
      <c r="FYW98" s="167"/>
      <c r="FYX98" s="168"/>
      <c r="FYY98" s="167"/>
      <c r="FYZ98" s="168"/>
      <c r="FZA98" s="167"/>
      <c r="FZB98" s="168"/>
      <c r="FZC98" s="167"/>
      <c r="FZD98" s="168"/>
      <c r="FZE98" s="167"/>
      <c r="FZF98" s="168"/>
      <c r="FZG98" s="167"/>
      <c r="FZH98" s="168"/>
      <c r="FZI98" s="167"/>
      <c r="FZJ98" s="168"/>
      <c r="FZK98" s="167"/>
      <c r="FZL98" s="168"/>
      <c r="FZM98" s="167"/>
      <c r="FZN98" s="168"/>
      <c r="FZO98" s="167"/>
      <c r="FZP98" s="168"/>
      <c r="FZQ98" s="167"/>
      <c r="FZR98" s="168"/>
      <c r="FZS98" s="167"/>
      <c r="FZT98" s="168"/>
      <c r="FZU98" s="167"/>
      <c r="FZV98" s="168"/>
      <c r="FZW98" s="167"/>
      <c r="FZX98" s="168"/>
      <c r="FZY98" s="167"/>
      <c r="FZZ98" s="168"/>
      <c r="GAA98" s="167"/>
      <c r="GAB98" s="168"/>
      <c r="GAC98" s="167"/>
      <c r="GAD98" s="168"/>
      <c r="GAE98" s="167"/>
      <c r="GAF98" s="168"/>
      <c r="GAG98" s="167"/>
      <c r="GAH98" s="168"/>
      <c r="GAI98" s="167"/>
      <c r="GAJ98" s="168"/>
      <c r="GAK98" s="167"/>
      <c r="GAL98" s="168"/>
      <c r="GAM98" s="167"/>
      <c r="GAN98" s="168"/>
      <c r="GAO98" s="167"/>
      <c r="GAP98" s="168"/>
      <c r="GAQ98" s="167"/>
      <c r="GAR98" s="168"/>
      <c r="GAS98" s="167"/>
      <c r="GAT98" s="168"/>
      <c r="GAU98" s="167"/>
      <c r="GAV98" s="168"/>
      <c r="GAW98" s="167"/>
      <c r="GAX98" s="168"/>
      <c r="GAY98" s="167"/>
      <c r="GAZ98" s="168"/>
      <c r="GBA98" s="167"/>
      <c r="GBB98" s="168"/>
      <c r="GBC98" s="167"/>
      <c r="GBD98" s="168"/>
      <c r="GBE98" s="167"/>
      <c r="GBF98" s="168"/>
      <c r="GBG98" s="167"/>
      <c r="GBH98" s="168"/>
      <c r="GBI98" s="167"/>
      <c r="GBJ98" s="168"/>
      <c r="GBK98" s="167"/>
      <c r="GBL98" s="168"/>
      <c r="GBM98" s="167"/>
      <c r="GBN98" s="168"/>
      <c r="GBO98" s="167"/>
      <c r="GBP98" s="168"/>
      <c r="GBQ98" s="167"/>
      <c r="GBR98" s="168"/>
      <c r="GBS98" s="167"/>
      <c r="GBT98" s="168"/>
      <c r="GBU98" s="167"/>
      <c r="GBV98" s="168"/>
      <c r="GBW98" s="167"/>
      <c r="GBX98" s="168"/>
      <c r="GBY98" s="167"/>
      <c r="GBZ98" s="168"/>
      <c r="GCA98" s="167"/>
      <c r="GCB98" s="168"/>
      <c r="GCC98" s="167"/>
      <c r="GCD98" s="168"/>
      <c r="GCE98" s="167"/>
      <c r="GCF98" s="168"/>
      <c r="GCG98" s="167"/>
      <c r="GCH98" s="168"/>
      <c r="GCI98" s="167"/>
      <c r="GCJ98" s="168"/>
      <c r="GCK98" s="167"/>
      <c r="GCL98" s="168"/>
      <c r="GCM98" s="167"/>
      <c r="GCN98" s="168"/>
      <c r="GCO98" s="167"/>
      <c r="GCP98" s="168"/>
      <c r="GCQ98" s="167"/>
      <c r="GCR98" s="168"/>
      <c r="GCS98" s="167"/>
      <c r="GCT98" s="168"/>
      <c r="GCU98" s="167"/>
      <c r="GCV98" s="168"/>
      <c r="GCW98" s="167"/>
      <c r="GCX98" s="168"/>
      <c r="GCY98" s="167"/>
      <c r="GCZ98" s="168"/>
      <c r="GDA98" s="167"/>
      <c r="GDB98" s="168"/>
      <c r="GDC98" s="167"/>
      <c r="GDD98" s="168"/>
      <c r="GDE98" s="167"/>
      <c r="GDF98" s="168"/>
      <c r="GDG98" s="167"/>
      <c r="GDH98" s="168"/>
      <c r="GDI98" s="167"/>
      <c r="GDJ98" s="168"/>
      <c r="GDK98" s="167"/>
      <c r="GDL98" s="168"/>
      <c r="GDM98" s="167"/>
      <c r="GDN98" s="168"/>
      <c r="GDO98" s="167"/>
      <c r="GDP98" s="168"/>
      <c r="GDQ98" s="167"/>
      <c r="GDR98" s="168"/>
      <c r="GDS98" s="167"/>
      <c r="GDT98" s="168"/>
      <c r="GDU98" s="167"/>
      <c r="GDV98" s="168"/>
      <c r="GDW98" s="167"/>
      <c r="GDX98" s="168"/>
      <c r="GDY98" s="167"/>
      <c r="GDZ98" s="168"/>
      <c r="GEA98" s="167"/>
      <c r="GEB98" s="168"/>
      <c r="GEC98" s="167"/>
      <c r="GED98" s="168"/>
      <c r="GEE98" s="167"/>
      <c r="GEF98" s="168"/>
      <c r="GEG98" s="167"/>
      <c r="GEH98" s="168"/>
      <c r="GEI98" s="167"/>
      <c r="GEJ98" s="168"/>
      <c r="GEK98" s="167"/>
      <c r="GEL98" s="168"/>
      <c r="GEM98" s="167"/>
      <c r="GEN98" s="168"/>
      <c r="GEO98" s="167"/>
      <c r="GEP98" s="168"/>
      <c r="GEQ98" s="167"/>
      <c r="GER98" s="168"/>
      <c r="GES98" s="167"/>
      <c r="GET98" s="168"/>
      <c r="GEU98" s="167"/>
      <c r="GEV98" s="168"/>
      <c r="GEW98" s="167"/>
      <c r="GEX98" s="168"/>
      <c r="GEY98" s="167"/>
      <c r="GEZ98" s="168"/>
      <c r="GFA98" s="167"/>
      <c r="GFB98" s="168"/>
      <c r="GFC98" s="167"/>
      <c r="GFD98" s="168"/>
      <c r="GFE98" s="167"/>
      <c r="GFF98" s="168"/>
      <c r="GFG98" s="167"/>
      <c r="GFH98" s="168"/>
      <c r="GFI98" s="167"/>
      <c r="GFJ98" s="168"/>
      <c r="GFK98" s="167"/>
      <c r="GFL98" s="168"/>
      <c r="GFM98" s="167"/>
      <c r="GFN98" s="168"/>
      <c r="GFO98" s="167"/>
      <c r="GFP98" s="168"/>
      <c r="GFQ98" s="167"/>
      <c r="GFR98" s="168"/>
      <c r="GFS98" s="167"/>
      <c r="GFT98" s="168"/>
      <c r="GFU98" s="167"/>
      <c r="GFV98" s="168"/>
      <c r="GFW98" s="167"/>
      <c r="GFX98" s="168"/>
      <c r="GFY98" s="167"/>
      <c r="GFZ98" s="168"/>
      <c r="GGA98" s="167"/>
      <c r="GGB98" s="168"/>
      <c r="GGC98" s="167"/>
      <c r="GGD98" s="168"/>
      <c r="GGE98" s="167"/>
      <c r="GGF98" s="168"/>
      <c r="GGG98" s="167"/>
      <c r="GGH98" s="168"/>
      <c r="GGI98" s="167"/>
      <c r="GGJ98" s="168"/>
      <c r="GGK98" s="167"/>
      <c r="GGL98" s="168"/>
      <c r="GGM98" s="167"/>
      <c r="GGN98" s="168"/>
      <c r="GGO98" s="167"/>
      <c r="GGP98" s="168"/>
      <c r="GGQ98" s="167"/>
      <c r="GGR98" s="168"/>
      <c r="GGS98" s="167"/>
      <c r="GGT98" s="168"/>
      <c r="GGU98" s="167"/>
      <c r="GGV98" s="168"/>
      <c r="GGW98" s="167"/>
      <c r="GGX98" s="168"/>
      <c r="GGY98" s="167"/>
      <c r="GGZ98" s="168"/>
      <c r="GHA98" s="167"/>
      <c r="GHB98" s="168"/>
      <c r="GHC98" s="167"/>
      <c r="GHD98" s="168"/>
      <c r="GHE98" s="167"/>
      <c r="GHF98" s="168"/>
      <c r="GHG98" s="167"/>
      <c r="GHH98" s="168"/>
      <c r="GHI98" s="167"/>
      <c r="GHJ98" s="168"/>
      <c r="GHK98" s="167"/>
      <c r="GHL98" s="168"/>
      <c r="GHM98" s="167"/>
      <c r="GHN98" s="168"/>
      <c r="GHO98" s="167"/>
      <c r="GHP98" s="168"/>
      <c r="GHQ98" s="167"/>
      <c r="GHR98" s="168"/>
      <c r="GHS98" s="167"/>
      <c r="GHT98" s="168"/>
      <c r="GHU98" s="167"/>
      <c r="GHV98" s="168"/>
      <c r="GHW98" s="167"/>
      <c r="GHX98" s="168"/>
      <c r="GHY98" s="167"/>
      <c r="GHZ98" s="168"/>
      <c r="GIA98" s="167"/>
      <c r="GIB98" s="168"/>
      <c r="GIC98" s="167"/>
      <c r="GID98" s="168"/>
      <c r="GIE98" s="167"/>
      <c r="GIF98" s="168"/>
      <c r="GIG98" s="167"/>
      <c r="GIH98" s="168"/>
      <c r="GII98" s="167"/>
      <c r="GIJ98" s="168"/>
      <c r="GIK98" s="167"/>
      <c r="GIL98" s="168"/>
      <c r="GIM98" s="167"/>
      <c r="GIN98" s="168"/>
      <c r="GIO98" s="167"/>
      <c r="GIP98" s="168"/>
      <c r="GIQ98" s="167"/>
      <c r="GIR98" s="168"/>
      <c r="GIS98" s="167"/>
      <c r="GIT98" s="168"/>
      <c r="GIU98" s="167"/>
      <c r="GIV98" s="168"/>
      <c r="GIW98" s="167"/>
      <c r="GIX98" s="168"/>
      <c r="GIY98" s="167"/>
      <c r="GIZ98" s="168"/>
      <c r="GJA98" s="167"/>
      <c r="GJB98" s="168"/>
      <c r="GJC98" s="167"/>
      <c r="GJD98" s="168"/>
      <c r="GJE98" s="167"/>
      <c r="GJF98" s="168"/>
      <c r="GJG98" s="167"/>
      <c r="GJH98" s="168"/>
      <c r="GJI98" s="167"/>
      <c r="GJJ98" s="168"/>
      <c r="GJK98" s="167"/>
      <c r="GJL98" s="168"/>
      <c r="GJM98" s="167"/>
      <c r="GJN98" s="168"/>
      <c r="GJO98" s="167"/>
      <c r="GJP98" s="168"/>
      <c r="GJQ98" s="167"/>
      <c r="GJR98" s="168"/>
      <c r="GJS98" s="167"/>
      <c r="GJT98" s="168"/>
      <c r="GJU98" s="167"/>
      <c r="GJV98" s="168"/>
      <c r="GJW98" s="167"/>
      <c r="GJX98" s="168"/>
      <c r="GJY98" s="167"/>
      <c r="GJZ98" s="168"/>
      <c r="GKA98" s="167"/>
      <c r="GKB98" s="168"/>
      <c r="GKC98" s="167"/>
      <c r="GKD98" s="168"/>
      <c r="GKE98" s="167"/>
      <c r="GKF98" s="168"/>
      <c r="GKG98" s="167"/>
      <c r="GKH98" s="168"/>
      <c r="GKI98" s="167"/>
      <c r="GKJ98" s="168"/>
      <c r="GKK98" s="167"/>
      <c r="GKL98" s="168"/>
      <c r="GKM98" s="167"/>
      <c r="GKN98" s="168"/>
      <c r="GKO98" s="167"/>
      <c r="GKP98" s="168"/>
      <c r="GKQ98" s="167"/>
      <c r="GKR98" s="168"/>
      <c r="GKS98" s="167"/>
      <c r="GKT98" s="168"/>
      <c r="GKU98" s="167"/>
      <c r="GKV98" s="168"/>
      <c r="GKW98" s="167"/>
      <c r="GKX98" s="168"/>
      <c r="GKY98" s="167"/>
      <c r="GKZ98" s="168"/>
      <c r="GLA98" s="167"/>
      <c r="GLB98" s="168"/>
      <c r="GLC98" s="167"/>
      <c r="GLD98" s="168"/>
      <c r="GLE98" s="167"/>
      <c r="GLF98" s="168"/>
      <c r="GLG98" s="167"/>
      <c r="GLH98" s="168"/>
      <c r="GLI98" s="167"/>
      <c r="GLJ98" s="168"/>
      <c r="GLK98" s="167"/>
      <c r="GLL98" s="168"/>
      <c r="GLM98" s="167"/>
      <c r="GLN98" s="168"/>
      <c r="GLO98" s="167"/>
      <c r="GLP98" s="168"/>
      <c r="GLQ98" s="167"/>
      <c r="GLR98" s="168"/>
      <c r="GLS98" s="167"/>
      <c r="GLT98" s="168"/>
      <c r="GLU98" s="167"/>
      <c r="GLV98" s="168"/>
      <c r="GLW98" s="167"/>
      <c r="GLX98" s="168"/>
      <c r="GLY98" s="167"/>
      <c r="GLZ98" s="168"/>
      <c r="GMA98" s="167"/>
      <c r="GMB98" s="168"/>
      <c r="GMC98" s="167"/>
      <c r="GMD98" s="168"/>
      <c r="GME98" s="167"/>
      <c r="GMF98" s="168"/>
      <c r="GMG98" s="167"/>
      <c r="GMH98" s="168"/>
      <c r="GMI98" s="167"/>
      <c r="GMJ98" s="168"/>
      <c r="GMK98" s="167"/>
      <c r="GML98" s="168"/>
      <c r="GMM98" s="167"/>
      <c r="GMN98" s="168"/>
      <c r="GMO98" s="167"/>
      <c r="GMP98" s="168"/>
      <c r="GMQ98" s="167"/>
      <c r="GMR98" s="168"/>
      <c r="GMS98" s="167"/>
      <c r="GMT98" s="168"/>
      <c r="GMU98" s="167"/>
      <c r="GMV98" s="168"/>
      <c r="GMW98" s="167"/>
      <c r="GMX98" s="168"/>
      <c r="GMY98" s="167"/>
      <c r="GMZ98" s="168"/>
      <c r="GNA98" s="167"/>
      <c r="GNB98" s="168"/>
      <c r="GNC98" s="167"/>
      <c r="GND98" s="168"/>
      <c r="GNE98" s="167"/>
      <c r="GNF98" s="168"/>
      <c r="GNG98" s="167"/>
      <c r="GNH98" s="168"/>
      <c r="GNI98" s="167"/>
      <c r="GNJ98" s="168"/>
      <c r="GNK98" s="167"/>
      <c r="GNL98" s="168"/>
      <c r="GNM98" s="167"/>
      <c r="GNN98" s="168"/>
      <c r="GNO98" s="167"/>
      <c r="GNP98" s="168"/>
      <c r="GNQ98" s="167"/>
      <c r="GNR98" s="168"/>
      <c r="GNS98" s="167"/>
      <c r="GNT98" s="168"/>
      <c r="GNU98" s="167"/>
      <c r="GNV98" s="168"/>
      <c r="GNW98" s="167"/>
      <c r="GNX98" s="168"/>
      <c r="GNY98" s="167"/>
      <c r="GNZ98" s="168"/>
      <c r="GOA98" s="167"/>
      <c r="GOB98" s="168"/>
      <c r="GOC98" s="167"/>
      <c r="GOD98" s="168"/>
      <c r="GOE98" s="167"/>
      <c r="GOF98" s="168"/>
      <c r="GOG98" s="167"/>
      <c r="GOH98" s="168"/>
      <c r="GOI98" s="167"/>
      <c r="GOJ98" s="168"/>
      <c r="GOK98" s="167"/>
      <c r="GOL98" s="168"/>
      <c r="GOM98" s="167"/>
      <c r="GON98" s="168"/>
      <c r="GOO98" s="167"/>
      <c r="GOP98" s="168"/>
      <c r="GOQ98" s="167"/>
      <c r="GOR98" s="168"/>
      <c r="GOS98" s="167"/>
      <c r="GOT98" s="168"/>
      <c r="GOU98" s="167"/>
      <c r="GOV98" s="168"/>
      <c r="GOW98" s="167"/>
      <c r="GOX98" s="168"/>
      <c r="GOY98" s="167"/>
      <c r="GOZ98" s="168"/>
      <c r="GPA98" s="167"/>
      <c r="GPB98" s="168"/>
      <c r="GPC98" s="167"/>
      <c r="GPD98" s="168"/>
      <c r="GPE98" s="167"/>
      <c r="GPF98" s="168"/>
      <c r="GPG98" s="167"/>
      <c r="GPH98" s="168"/>
      <c r="GPI98" s="167"/>
      <c r="GPJ98" s="168"/>
      <c r="GPK98" s="167"/>
      <c r="GPL98" s="168"/>
      <c r="GPM98" s="167"/>
      <c r="GPN98" s="168"/>
      <c r="GPO98" s="167"/>
      <c r="GPP98" s="168"/>
      <c r="GPQ98" s="167"/>
      <c r="GPR98" s="168"/>
      <c r="GPS98" s="167"/>
      <c r="GPT98" s="168"/>
      <c r="GPU98" s="167"/>
      <c r="GPV98" s="168"/>
      <c r="GPW98" s="167"/>
      <c r="GPX98" s="168"/>
      <c r="GPY98" s="167"/>
      <c r="GPZ98" s="168"/>
      <c r="GQA98" s="167"/>
      <c r="GQB98" s="168"/>
      <c r="GQC98" s="167"/>
      <c r="GQD98" s="168"/>
      <c r="GQE98" s="167"/>
      <c r="GQF98" s="168"/>
      <c r="GQG98" s="167"/>
      <c r="GQH98" s="168"/>
      <c r="GQI98" s="167"/>
      <c r="GQJ98" s="168"/>
      <c r="GQK98" s="167"/>
      <c r="GQL98" s="168"/>
      <c r="GQM98" s="167"/>
      <c r="GQN98" s="168"/>
      <c r="GQO98" s="167"/>
      <c r="GQP98" s="168"/>
      <c r="GQQ98" s="167"/>
      <c r="GQR98" s="168"/>
      <c r="GQS98" s="167"/>
      <c r="GQT98" s="168"/>
      <c r="GQU98" s="167"/>
      <c r="GQV98" s="168"/>
      <c r="GQW98" s="167"/>
      <c r="GQX98" s="168"/>
      <c r="GQY98" s="167"/>
      <c r="GQZ98" s="168"/>
      <c r="GRA98" s="167"/>
      <c r="GRB98" s="168"/>
      <c r="GRC98" s="167"/>
      <c r="GRD98" s="168"/>
      <c r="GRE98" s="167"/>
      <c r="GRF98" s="168"/>
      <c r="GRG98" s="167"/>
      <c r="GRH98" s="168"/>
      <c r="GRI98" s="167"/>
      <c r="GRJ98" s="168"/>
      <c r="GRK98" s="167"/>
      <c r="GRL98" s="168"/>
      <c r="GRM98" s="167"/>
      <c r="GRN98" s="168"/>
      <c r="GRO98" s="167"/>
      <c r="GRP98" s="168"/>
      <c r="GRQ98" s="167"/>
      <c r="GRR98" s="168"/>
      <c r="GRS98" s="167"/>
      <c r="GRT98" s="168"/>
      <c r="GRU98" s="167"/>
      <c r="GRV98" s="168"/>
      <c r="GRW98" s="167"/>
      <c r="GRX98" s="168"/>
      <c r="GRY98" s="167"/>
      <c r="GRZ98" s="168"/>
      <c r="GSA98" s="167"/>
      <c r="GSB98" s="168"/>
      <c r="GSC98" s="167"/>
      <c r="GSD98" s="168"/>
      <c r="GSE98" s="167"/>
      <c r="GSF98" s="168"/>
      <c r="GSG98" s="167"/>
      <c r="GSH98" s="168"/>
      <c r="GSI98" s="167"/>
      <c r="GSJ98" s="168"/>
      <c r="GSK98" s="167"/>
      <c r="GSL98" s="168"/>
      <c r="GSM98" s="167"/>
      <c r="GSN98" s="168"/>
      <c r="GSO98" s="167"/>
      <c r="GSP98" s="168"/>
      <c r="GSQ98" s="167"/>
      <c r="GSR98" s="168"/>
      <c r="GSS98" s="167"/>
      <c r="GST98" s="168"/>
      <c r="GSU98" s="167"/>
      <c r="GSV98" s="168"/>
      <c r="GSW98" s="167"/>
      <c r="GSX98" s="168"/>
      <c r="GSY98" s="167"/>
      <c r="GSZ98" s="168"/>
      <c r="GTA98" s="167"/>
      <c r="GTB98" s="168"/>
      <c r="GTC98" s="167"/>
      <c r="GTD98" s="168"/>
      <c r="GTE98" s="167"/>
      <c r="GTF98" s="168"/>
      <c r="GTG98" s="167"/>
      <c r="GTH98" s="168"/>
      <c r="GTI98" s="167"/>
      <c r="GTJ98" s="168"/>
      <c r="GTK98" s="167"/>
      <c r="GTL98" s="168"/>
      <c r="GTM98" s="167"/>
      <c r="GTN98" s="168"/>
      <c r="GTO98" s="167"/>
      <c r="GTP98" s="168"/>
      <c r="GTQ98" s="167"/>
      <c r="GTR98" s="168"/>
      <c r="GTS98" s="167"/>
      <c r="GTT98" s="168"/>
      <c r="GTU98" s="167"/>
      <c r="GTV98" s="168"/>
      <c r="GTW98" s="167"/>
      <c r="GTX98" s="168"/>
      <c r="GTY98" s="167"/>
      <c r="GTZ98" s="168"/>
      <c r="GUA98" s="167"/>
      <c r="GUB98" s="168"/>
      <c r="GUC98" s="167"/>
      <c r="GUD98" s="168"/>
      <c r="GUE98" s="167"/>
      <c r="GUF98" s="168"/>
      <c r="GUG98" s="167"/>
      <c r="GUH98" s="168"/>
      <c r="GUI98" s="167"/>
      <c r="GUJ98" s="168"/>
      <c r="GUK98" s="167"/>
      <c r="GUL98" s="168"/>
      <c r="GUM98" s="167"/>
      <c r="GUN98" s="168"/>
      <c r="GUO98" s="167"/>
      <c r="GUP98" s="168"/>
      <c r="GUQ98" s="167"/>
      <c r="GUR98" s="168"/>
      <c r="GUS98" s="167"/>
      <c r="GUT98" s="168"/>
      <c r="GUU98" s="167"/>
      <c r="GUV98" s="168"/>
      <c r="GUW98" s="167"/>
      <c r="GUX98" s="168"/>
      <c r="GUY98" s="167"/>
      <c r="GUZ98" s="168"/>
      <c r="GVA98" s="167"/>
      <c r="GVB98" s="168"/>
      <c r="GVC98" s="167"/>
      <c r="GVD98" s="168"/>
      <c r="GVE98" s="167"/>
      <c r="GVF98" s="168"/>
      <c r="GVG98" s="167"/>
      <c r="GVH98" s="168"/>
      <c r="GVI98" s="167"/>
      <c r="GVJ98" s="168"/>
      <c r="GVK98" s="167"/>
      <c r="GVL98" s="168"/>
      <c r="GVM98" s="167"/>
      <c r="GVN98" s="168"/>
      <c r="GVO98" s="167"/>
      <c r="GVP98" s="168"/>
      <c r="GVQ98" s="167"/>
      <c r="GVR98" s="168"/>
      <c r="GVS98" s="167"/>
      <c r="GVT98" s="168"/>
      <c r="GVU98" s="167"/>
      <c r="GVV98" s="168"/>
      <c r="GVW98" s="167"/>
      <c r="GVX98" s="168"/>
      <c r="GVY98" s="167"/>
      <c r="GVZ98" s="168"/>
      <c r="GWA98" s="167"/>
      <c r="GWB98" s="168"/>
      <c r="GWC98" s="167"/>
      <c r="GWD98" s="168"/>
      <c r="GWE98" s="167"/>
      <c r="GWF98" s="168"/>
      <c r="GWG98" s="167"/>
      <c r="GWH98" s="168"/>
      <c r="GWI98" s="167"/>
      <c r="GWJ98" s="168"/>
      <c r="GWK98" s="167"/>
      <c r="GWL98" s="168"/>
      <c r="GWM98" s="167"/>
      <c r="GWN98" s="168"/>
      <c r="GWO98" s="167"/>
      <c r="GWP98" s="168"/>
      <c r="GWQ98" s="167"/>
      <c r="GWR98" s="168"/>
      <c r="GWS98" s="167"/>
      <c r="GWT98" s="168"/>
      <c r="GWU98" s="167"/>
      <c r="GWV98" s="168"/>
      <c r="GWW98" s="167"/>
      <c r="GWX98" s="168"/>
      <c r="GWY98" s="167"/>
      <c r="GWZ98" s="168"/>
      <c r="GXA98" s="167"/>
      <c r="GXB98" s="168"/>
      <c r="GXC98" s="167"/>
      <c r="GXD98" s="168"/>
      <c r="GXE98" s="167"/>
      <c r="GXF98" s="168"/>
      <c r="GXG98" s="167"/>
      <c r="GXH98" s="168"/>
      <c r="GXI98" s="167"/>
      <c r="GXJ98" s="168"/>
      <c r="GXK98" s="167"/>
      <c r="GXL98" s="168"/>
      <c r="GXM98" s="167"/>
      <c r="GXN98" s="168"/>
      <c r="GXO98" s="167"/>
      <c r="GXP98" s="168"/>
      <c r="GXQ98" s="167"/>
      <c r="GXR98" s="168"/>
      <c r="GXS98" s="167"/>
      <c r="GXT98" s="168"/>
      <c r="GXU98" s="167"/>
      <c r="GXV98" s="168"/>
      <c r="GXW98" s="167"/>
      <c r="GXX98" s="168"/>
      <c r="GXY98" s="167"/>
      <c r="GXZ98" s="168"/>
      <c r="GYA98" s="167"/>
      <c r="GYB98" s="168"/>
      <c r="GYC98" s="167"/>
      <c r="GYD98" s="168"/>
      <c r="GYE98" s="167"/>
      <c r="GYF98" s="168"/>
      <c r="GYG98" s="167"/>
      <c r="GYH98" s="168"/>
      <c r="GYI98" s="167"/>
      <c r="GYJ98" s="168"/>
      <c r="GYK98" s="167"/>
      <c r="GYL98" s="168"/>
      <c r="GYM98" s="167"/>
      <c r="GYN98" s="168"/>
      <c r="GYO98" s="167"/>
      <c r="GYP98" s="168"/>
      <c r="GYQ98" s="167"/>
      <c r="GYR98" s="168"/>
      <c r="GYS98" s="167"/>
      <c r="GYT98" s="168"/>
      <c r="GYU98" s="167"/>
      <c r="GYV98" s="168"/>
      <c r="GYW98" s="167"/>
      <c r="GYX98" s="168"/>
      <c r="GYY98" s="167"/>
      <c r="GYZ98" s="168"/>
      <c r="GZA98" s="167"/>
      <c r="GZB98" s="168"/>
      <c r="GZC98" s="167"/>
      <c r="GZD98" s="168"/>
      <c r="GZE98" s="167"/>
      <c r="GZF98" s="168"/>
      <c r="GZG98" s="167"/>
      <c r="GZH98" s="168"/>
      <c r="GZI98" s="167"/>
      <c r="GZJ98" s="168"/>
      <c r="GZK98" s="167"/>
      <c r="GZL98" s="168"/>
      <c r="GZM98" s="167"/>
      <c r="GZN98" s="168"/>
      <c r="GZO98" s="167"/>
      <c r="GZP98" s="168"/>
      <c r="GZQ98" s="167"/>
      <c r="GZR98" s="168"/>
      <c r="GZS98" s="167"/>
      <c r="GZT98" s="168"/>
      <c r="GZU98" s="167"/>
      <c r="GZV98" s="168"/>
      <c r="GZW98" s="167"/>
      <c r="GZX98" s="168"/>
      <c r="GZY98" s="167"/>
      <c r="GZZ98" s="168"/>
      <c r="HAA98" s="167"/>
      <c r="HAB98" s="168"/>
      <c r="HAC98" s="167"/>
      <c r="HAD98" s="168"/>
      <c r="HAE98" s="167"/>
      <c r="HAF98" s="168"/>
      <c r="HAG98" s="167"/>
      <c r="HAH98" s="168"/>
      <c r="HAI98" s="167"/>
      <c r="HAJ98" s="168"/>
      <c r="HAK98" s="167"/>
      <c r="HAL98" s="168"/>
      <c r="HAM98" s="167"/>
      <c r="HAN98" s="168"/>
      <c r="HAO98" s="167"/>
      <c r="HAP98" s="168"/>
      <c r="HAQ98" s="167"/>
      <c r="HAR98" s="168"/>
      <c r="HAS98" s="167"/>
      <c r="HAT98" s="168"/>
      <c r="HAU98" s="167"/>
      <c r="HAV98" s="168"/>
      <c r="HAW98" s="167"/>
      <c r="HAX98" s="168"/>
      <c r="HAY98" s="167"/>
      <c r="HAZ98" s="168"/>
      <c r="HBA98" s="167"/>
      <c r="HBB98" s="168"/>
      <c r="HBC98" s="167"/>
      <c r="HBD98" s="168"/>
      <c r="HBE98" s="167"/>
      <c r="HBF98" s="168"/>
      <c r="HBG98" s="167"/>
      <c r="HBH98" s="168"/>
      <c r="HBI98" s="167"/>
      <c r="HBJ98" s="168"/>
      <c r="HBK98" s="167"/>
      <c r="HBL98" s="168"/>
      <c r="HBM98" s="167"/>
      <c r="HBN98" s="168"/>
      <c r="HBO98" s="167"/>
      <c r="HBP98" s="168"/>
      <c r="HBQ98" s="167"/>
      <c r="HBR98" s="168"/>
      <c r="HBS98" s="167"/>
      <c r="HBT98" s="168"/>
      <c r="HBU98" s="167"/>
      <c r="HBV98" s="168"/>
      <c r="HBW98" s="167"/>
      <c r="HBX98" s="168"/>
      <c r="HBY98" s="167"/>
      <c r="HBZ98" s="168"/>
      <c r="HCA98" s="167"/>
      <c r="HCB98" s="168"/>
      <c r="HCC98" s="167"/>
      <c r="HCD98" s="168"/>
      <c r="HCE98" s="167"/>
      <c r="HCF98" s="168"/>
      <c r="HCG98" s="167"/>
      <c r="HCH98" s="168"/>
      <c r="HCI98" s="167"/>
      <c r="HCJ98" s="168"/>
      <c r="HCK98" s="167"/>
      <c r="HCL98" s="168"/>
      <c r="HCM98" s="167"/>
      <c r="HCN98" s="168"/>
      <c r="HCO98" s="167"/>
      <c r="HCP98" s="168"/>
      <c r="HCQ98" s="167"/>
      <c r="HCR98" s="168"/>
      <c r="HCS98" s="167"/>
      <c r="HCT98" s="168"/>
      <c r="HCU98" s="167"/>
      <c r="HCV98" s="168"/>
      <c r="HCW98" s="167"/>
      <c r="HCX98" s="168"/>
      <c r="HCY98" s="167"/>
      <c r="HCZ98" s="168"/>
      <c r="HDA98" s="167"/>
      <c r="HDB98" s="168"/>
      <c r="HDC98" s="167"/>
      <c r="HDD98" s="168"/>
      <c r="HDE98" s="167"/>
      <c r="HDF98" s="168"/>
      <c r="HDG98" s="167"/>
      <c r="HDH98" s="168"/>
      <c r="HDI98" s="167"/>
      <c r="HDJ98" s="168"/>
      <c r="HDK98" s="167"/>
      <c r="HDL98" s="168"/>
      <c r="HDM98" s="167"/>
      <c r="HDN98" s="168"/>
      <c r="HDO98" s="167"/>
      <c r="HDP98" s="168"/>
      <c r="HDQ98" s="167"/>
      <c r="HDR98" s="168"/>
      <c r="HDS98" s="167"/>
      <c r="HDT98" s="168"/>
      <c r="HDU98" s="167"/>
      <c r="HDV98" s="168"/>
      <c r="HDW98" s="167"/>
      <c r="HDX98" s="168"/>
      <c r="HDY98" s="167"/>
      <c r="HDZ98" s="168"/>
      <c r="HEA98" s="167"/>
      <c r="HEB98" s="168"/>
      <c r="HEC98" s="167"/>
      <c r="HED98" s="168"/>
      <c r="HEE98" s="167"/>
      <c r="HEF98" s="168"/>
      <c r="HEG98" s="167"/>
      <c r="HEH98" s="168"/>
      <c r="HEI98" s="167"/>
      <c r="HEJ98" s="168"/>
      <c r="HEK98" s="167"/>
      <c r="HEL98" s="168"/>
      <c r="HEM98" s="167"/>
      <c r="HEN98" s="168"/>
      <c r="HEO98" s="167"/>
      <c r="HEP98" s="168"/>
      <c r="HEQ98" s="167"/>
      <c r="HER98" s="168"/>
      <c r="HES98" s="167"/>
      <c r="HET98" s="168"/>
      <c r="HEU98" s="167"/>
      <c r="HEV98" s="168"/>
      <c r="HEW98" s="167"/>
      <c r="HEX98" s="168"/>
      <c r="HEY98" s="167"/>
      <c r="HEZ98" s="168"/>
      <c r="HFA98" s="167"/>
      <c r="HFB98" s="168"/>
      <c r="HFC98" s="167"/>
      <c r="HFD98" s="168"/>
      <c r="HFE98" s="167"/>
      <c r="HFF98" s="168"/>
      <c r="HFG98" s="167"/>
      <c r="HFH98" s="168"/>
      <c r="HFI98" s="167"/>
      <c r="HFJ98" s="168"/>
      <c r="HFK98" s="167"/>
      <c r="HFL98" s="168"/>
      <c r="HFM98" s="167"/>
      <c r="HFN98" s="168"/>
      <c r="HFO98" s="167"/>
      <c r="HFP98" s="168"/>
      <c r="HFQ98" s="167"/>
      <c r="HFR98" s="168"/>
      <c r="HFS98" s="167"/>
      <c r="HFT98" s="168"/>
      <c r="HFU98" s="167"/>
      <c r="HFV98" s="168"/>
      <c r="HFW98" s="167"/>
      <c r="HFX98" s="168"/>
      <c r="HFY98" s="167"/>
      <c r="HFZ98" s="168"/>
      <c r="HGA98" s="167"/>
      <c r="HGB98" s="168"/>
      <c r="HGC98" s="167"/>
      <c r="HGD98" s="168"/>
      <c r="HGE98" s="167"/>
      <c r="HGF98" s="168"/>
      <c r="HGG98" s="167"/>
      <c r="HGH98" s="168"/>
      <c r="HGI98" s="167"/>
      <c r="HGJ98" s="168"/>
      <c r="HGK98" s="167"/>
      <c r="HGL98" s="168"/>
      <c r="HGM98" s="167"/>
      <c r="HGN98" s="168"/>
      <c r="HGO98" s="167"/>
      <c r="HGP98" s="168"/>
      <c r="HGQ98" s="167"/>
      <c r="HGR98" s="168"/>
      <c r="HGS98" s="167"/>
      <c r="HGT98" s="168"/>
      <c r="HGU98" s="167"/>
      <c r="HGV98" s="168"/>
      <c r="HGW98" s="167"/>
      <c r="HGX98" s="168"/>
      <c r="HGY98" s="167"/>
      <c r="HGZ98" s="168"/>
      <c r="HHA98" s="167"/>
      <c r="HHB98" s="168"/>
      <c r="HHC98" s="167"/>
      <c r="HHD98" s="168"/>
      <c r="HHE98" s="167"/>
      <c r="HHF98" s="168"/>
      <c r="HHG98" s="167"/>
      <c r="HHH98" s="168"/>
      <c r="HHI98" s="167"/>
      <c r="HHJ98" s="168"/>
      <c r="HHK98" s="167"/>
      <c r="HHL98" s="168"/>
      <c r="HHM98" s="167"/>
      <c r="HHN98" s="168"/>
      <c r="HHO98" s="167"/>
      <c r="HHP98" s="168"/>
      <c r="HHQ98" s="167"/>
      <c r="HHR98" s="168"/>
      <c r="HHS98" s="167"/>
      <c r="HHT98" s="168"/>
      <c r="HHU98" s="167"/>
      <c r="HHV98" s="168"/>
      <c r="HHW98" s="167"/>
      <c r="HHX98" s="168"/>
      <c r="HHY98" s="167"/>
      <c r="HHZ98" s="168"/>
      <c r="HIA98" s="167"/>
      <c r="HIB98" s="168"/>
      <c r="HIC98" s="167"/>
      <c r="HID98" s="168"/>
      <c r="HIE98" s="167"/>
      <c r="HIF98" s="168"/>
      <c r="HIG98" s="167"/>
      <c r="HIH98" s="168"/>
      <c r="HII98" s="167"/>
      <c r="HIJ98" s="168"/>
      <c r="HIK98" s="167"/>
      <c r="HIL98" s="168"/>
      <c r="HIM98" s="167"/>
      <c r="HIN98" s="168"/>
      <c r="HIO98" s="167"/>
      <c r="HIP98" s="168"/>
      <c r="HIQ98" s="167"/>
      <c r="HIR98" s="168"/>
      <c r="HIS98" s="167"/>
      <c r="HIT98" s="168"/>
      <c r="HIU98" s="167"/>
      <c r="HIV98" s="168"/>
      <c r="HIW98" s="167"/>
      <c r="HIX98" s="168"/>
      <c r="HIY98" s="167"/>
      <c r="HIZ98" s="168"/>
      <c r="HJA98" s="167"/>
      <c r="HJB98" s="168"/>
      <c r="HJC98" s="167"/>
      <c r="HJD98" s="168"/>
      <c r="HJE98" s="167"/>
      <c r="HJF98" s="168"/>
      <c r="HJG98" s="167"/>
      <c r="HJH98" s="168"/>
      <c r="HJI98" s="167"/>
      <c r="HJJ98" s="168"/>
      <c r="HJK98" s="167"/>
      <c r="HJL98" s="168"/>
      <c r="HJM98" s="167"/>
      <c r="HJN98" s="168"/>
      <c r="HJO98" s="167"/>
      <c r="HJP98" s="168"/>
      <c r="HJQ98" s="167"/>
      <c r="HJR98" s="168"/>
      <c r="HJS98" s="167"/>
      <c r="HJT98" s="168"/>
      <c r="HJU98" s="167"/>
      <c r="HJV98" s="168"/>
      <c r="HJW98" s="167"/>
      <c r="HJX98" s="168"/>
      <c r="HJY98" s="167"/>
      <c r="HJZ98" s="168"/>
      <c r="HKA98" s="167"/>
      <c r="HKB98" s="168"/>
      <c r="HKC98" s="167"/>
      <c r="HKD98" s="168"/>
      <c r="HKE98" s="167"/>
      <c r="HKF98" s="168"/>
      <c r="HKG98" s="167"/>
      <c r="HKH98" s="168"/>
      <c r="HKI98" s="167"/>
      <c r="HKJ98" s="168"/>
      <c r="HKK98" s="167"/>
      <c r="HKL98" s="168"/>
      <c r="HKM98" s="167"/>
      <c r="HKN98" s="168"/>
      <c r="HKO98" s="167"/>
      <c r="HKP98" s="168"/>
      <c r="HKQ98" s="167"/>
      <c r="HKR98" s="168"/>
      <c r="HKS98" s="167"/>
      <c r="HKT98" s="168"/>
      <c r="HKU98" s="167"/>
      <c r="HKV98" s="168"/>
      <c r="HKW98" s="167"/>
      <c r="HKX98" s="168"/>
      <c r="HKY98" s="167"/>
      <c r="HKZ98" s="168"/>
      <c r="HLA98" s="167"/>
      <c r="HLB98" s="168"/>
      <c r="HLC98" s="167"/>
      <c r="HLD98" s="168"/>
      <c r="HLE98" s="167"/>
      <c r="HLF98" s="168"/>
      <c r="HLG98" s="167"/>
      <c r="HLH98" s="168"/>
      <c r="HLI98" s="167"/>
      <c r="HLJ98" s="168"/>
      <c r="HLK98" s="167"/>
      <c r="HLL98" s="168"/>
      <c r="HLM98" s="167"/>
      <c r="HLN98" s="168"/>
      <c r="HLO98" s="167"/>
      <c r="HLP98" s="168"/>
      <c r="HLQ98" s="167"/>
      <c r="HLR98" s="168"/>
      <c r="HLS98" s="167"/>
      <c r="HLT98" s="168"/>
      <c r="HLU98" s="167"/>
      <c r="HLV98" s="168"/>
      <c r="HLW98" s="167"/>
      <c r="HLX98" s="168"/>
      <c r="HLY98" s="167"/>
      <c r="HLZ98" s="168"/>
      <c r="HMA98" s="167"/>
      <c r="HMB98" s="168"/>
      <c r="HMC98" s="167"/>
      <c r="HMD98" s="168"/>
      <c r="HME98" s="167"/>
      <c r="HMF98" s="168"/>
      <c r="HMG98" s="167"/>
      <c r="HMH98" s="168"/>
      <c r="HMI98" s="167"/>
      <c r="HMJ98" s="168"/>
      <c r="HMK98" s="167"/>
      <c r="HML98" s="168"/>
      <c r="HMM98" s="167"/>
      <c r="HMN98" s="168"/>
      <c r="HMO98" s="167"/>
      <c r="HMP98" s="168"/>
      <c r="HMQ98" s="167"/>
      <c r="HMR98" s="168"/>
      <c r="HMS98" s="167"/>
      <c r="HMT98" s="168"/>
      <c r="HMU98" s="167"/>
      <c r="HMV98" s="168"/>
      <c r="HMW98" s="167"/>
      <c r="HMX98" s="168"/>
      <c r="HMY98" s="167"/>
      <c r="HMZ98" s="168"/>
      <c r="HNA98" s="167"/>
      <c r="HNB98" s="168"/>
      <c r="HNC98" s="167"/>
      <c r="HND98" s="168"/>
      <c r="HNE98" s="167"/>
      <c r="HNF98" s="168"/>
      <c r="HNG98" s="167"/>
      <c r="HNH98" s="168"/>
      <c r="HNI98" s="167"/>
      <c r="HNJ98" s="168"/>
      <c r="HNK98" s="167"/>
      <c r="HNL98" s="168"/>
      <c r="HNM98" s="167"/>
      <c r="HNN98" s="168"/>
      <c r="HNO98" s="167"/>
      <c r="HNP98" s="168"/>
      <c r="HNQ98" s="167"/>
      <c r="HNR98" s="168"/>
      <c r="HNS98" s="167"/>
      <c r="HNT98" s="168"/>
      <c r="HNU98" s="167"/>
      <c r="HNV98" s="168"/>
      <c r="HNW98" s="167"/>
      <c r="HNX98" s="168"/>
      <c r="HNY98" s="167"/>
      <c r="HNZ98" s="168"/>
      <c r="HOA98" s="167"/>
      <c r="HOB98" s="168"/>
      <c r="HOC98" s="167"/>
      <c r="HOD98" s="168"/>
      <c r="HOE98" s="167"/>
      <c r="HOF98" s="168"/>
      <c r="HOG98" s="167"/>
      <c r="HOH98" s="168"/>
      <c r="HOI98" s="167"/>
      <c r="HOJ98" s="168"/>
      <c r="HOK98" s="167"/>
      <c r="HOL98" s="168"/>
      <c r="HOM98" s="167"/>
      <c r="HON98" s="168"/>
      <c r="HOO98" s="167"/>
      <c r="HOP98" s="168"/>
      <c r="HOQ98" s="167"/>
      <c r="HOR98" s="168"/>
      <c r="HOS98" s="167"/>
      <c r="HOT98" s="168"/>
      <c r="HOU98" s="167"/>
      <c r="HOV98" s="168"/>
      <c r="HOW98" s="167"/>
      <c r="HOX98" s="168"/>
      <c r="HOY98" s="167"/>
      <c r="HOZ98" s="168"/>
      <c r="HPA98" s="167"/>
      <c r="HPB98" s="168"/>
      <c r="HPC98" s="167"/>
      <c r="HPD98" s="168"/>
      <c r="HPE98" s="167"/>
      <c r="HPF98" s="168"/>
      <c r="HPG98" s="167"/>
      <c r="HPH98" s="168"/>
      <c r="HPI98" s="167"/>
      <c r="HPJ98" s="168"/>
      <c r="HPK98" s="167"/>
      <c r="HPL98" s="168"/>
      <c r="HPM98" s="167"/>
      <c r="HPN98" s="168"/>
      <c r="HPO98" s="167"/>
      <c r="HPP98" s="168"/>
      <c r="HPQ98" s="167"/>
      <c r="HPR98" s="168"/>
      <c r="HPS98" s="167"/>
      <c r="HPT98" s="168"/>
      <c r="HPU98" s="167"/>
      <c r="HPV98" s="168"/>
      <c r="HPW98" s="167"/>
      <c r="HPX98" s="168"/>
      <c r="HPY98" s="167"/>
      <c r="HPZ98" s="168"/>
      <c r="HQA98" s="167"/>
      <c r="HQB98" s="168"/>
      <c r="HQC98" s="167"/>
      <c r="HQD98" s="168"/>
      <c r="HQE98" s="167"/>
      <c r="HQF98" s="168"/>
      <c r="HQG98" s="167"/>
      <c r="HQH98" s="168"/>
      <c r="HQI98" s="167"/>
      <c r="HQJ98" s="168"/>
      <c r="HQK98" s="167"/>
      <c r="HQL98" s="168"/>
      <c r="HQM98" s="167"/>
      <c r="HQN98" s="168"/>
      <c r="HQO98" s="167"/>
      <c r="HQP98" s="168"/>
      <c r="HQQ98" s="167"/>
      <c r="HQR98" s="168"/>
      <c r="HQS98" s="167"/>
      <c r="HQT98" s="168"/>
      <c r="HQU98" s="167"/>
      <c r="HQV98" s="168"/>
      <c r="HQW98" s="167"/>
      <c r="HQX98" s="168"/>
      <c r="HQY98" s="167"/>
      <c r="HQZ98" s="168"/>
      <c r="HRA98" s="167"/>
      <c r="HRB98" s="168"/>
      <c r="HRC98" s="167"/>
      <c r="HRD98" s="168"/>
      <c r="HRE98" s="167"/>
      <c r="HRF98" s="168"/>
      <c r="HRG98" s="167"/>
      <c r="HRH98" s="168"/>
      <c r="HRI98" s="167"/>
      <c r="HRJ98" s="168"/>
      <c r="HRK98" s="167"/>
      <c r="HRL98" s="168"/>
      <c r="HRM98" s="167"/>
      <c r="HRN98" s="168"/>
      <c r="HRO98" s="167"/>
      <c r="HRP98" s="168"/>
      <c r="HRQ98" s="167"/>
      <c r="HRR98" s="168"/>
      <c r="HRS98" s="167"/>
      <c r="HRT98" s="168"/>
      <c r="HRU98" s="167"/>
      <c r="HRV98" s="168"/>
      <c r="HRW98" s="167"/>
      <c r="HRX98" s="168"/>
      <c r="HRY98" s="167"/>
      <c r="HRZ98" s="168"/>
      <c r="HSA98" s="167"/>
      <c r="HSB98" s="168"/>
      <c r="HSC98" s="167"/>
      <c r="HSD98" s="168"/>
      <c r="HSE98" s="167"/>
      <c r="HSF98" s="168"/>
      <c r="HSG98" s="167"/>
      <c r="HSH98" s="168"/>
      <c r="HSI98" s="167"/>
      <c r="HSJ98" s="168"/>
      <c r="HSK98" s="167"/>
      <c r="HSL98" s="168"/>
      <c r="HSM98" s="167"/>
      <c r="HSN98" s="168"/>
      <c r="HSO98" s="167"/>
      <c r="HSP98" s="168"/>
      <c r="HSQ98" s="167"/>
      <c r="HSR98" s="168"/>
      <c r="HSS98" s="167"/>
      <c r="HST98" s="168"/>
      <c r="HSU98" s="167"/>
      <c r="HSV98" s="168"/>
      <c r="HSW98" s="167"/>
      <c r="HSX98" s="168"/>
      <c r="HSY98" s="167"/>
      <c r="HSZ98" s="168"/>
      <c r="HTA98" s="167"/>
      <c r="HTB98" s="168"/>
      <c r="HTC98" s="167"/>
      <c r="HTD98" s="168"/>
      <c r="HTE98" s="167"/>
      <c r="HTF98" s="168"/>
      <c r="HTG98" s="167"/>
      <c r="HTH98" s="168"/>
      <c r="HTI98" s="167"/>
      <c r="HTJ98" s="168"/>
      <c r="HTK98" s="167"/>
      <c r="HTL98" s="168"/>
      <c r="HTM98" s="167"/>
      <c r="HTN98" s="168"/>
      <c r="HTO98" s="167"/>
      <c r="HTP98" s="168"/>
      <c r="HTQ98" s="167"/>
      <c r="HTR98" s="168"/>
      <c r="HTS98" s="167"/>
      <c r="HTT98" s="168"/>
      <c r="HTU98" s="167"/>
      <c r="HTV98" s="168"/>
      <c r="HTW98" s="167"/>
      <c r="HTX98" s="168"/>
      <c r="HTY98" s="167"/>
      <c r="HTZ98" s="168"/>
      <c r="HUA98" s="167"/>
      <c r="HUB98" s="168"/>
      <c r="HUC98" s="167"/>
      <c r="HUD98" s="168"/>
      <c r="HUE98" s="167"/>
      <c r="HUF98" s="168"/>
      <c r="HUG98" s="167"/>
      <c r="HUH98" s="168"/>
      <c r="HUI98" s="167"/>
      <c r="HUJ98" s="168"/>
      <c r="HUK98" s="167"/>
      <c r="HUL98" s="168"/>
      <c r="HUM98" s="167"/>
      <c r="HUN98" s="168"/>
      <c r="HUO98" s="167"/>
      <c r="HUP98" s="168"/>
      <c r="HUQ98" s="167"/>
      <c r="HUR98" s="168"/>
      <c r="HUS98" s="167"/>
      <c r="HUT98" s="168"/>
      <c r="HUU98" s="167"/>
      <c r="HUV98" s="168"/>
      <c r="HUW98" s="167"/>
      <c r="HUX98" s="168"/>
      <c r="HUY98" s="167"/>
      <c r="HUZ98" s="168"/>
      <c r="HVA98" s="167"/>
      <c r="HVB98" s="168"/>
      <c r="HVC98" s="167"/>
      <c r="HVD98" s="168"/>
      <c r="HVE98" s="167"/>
      <c r="HVF98" s="168"/>
      <c r="HVG98" s="167"/>
      <c r="HVH98" s="168"/>
      <c r="HVI98" s="167"/>
      <c r="HVJ98" s="168"/>
      <c r="HVK98" s="167"/>
      <c r="HVL98" s="168"/>
      <c r="HVM98" s="167"/>
      <c r="HVN98" s="168"/>
      <c r="HVO98" s="167"/>
      <c r="HVP98" s="168"/>
      <c r="HVQ98" s="167"/>
      <c r="HVR98" s="168"/>
      <c r="HVS98" s="167"/>
      <c r="HVT98" s="168"/>
      <c r="HVU98" s="167"/>
      <c r="HVV98" s="168"/>
      <c r="HVW98" s="167"/>
      <c r="HVX98" s="168"/>
      <c r="HVY98" s="167"/>
      <c r="HVZ98" s="168"/>
      <c r="HWA98" s="167"/>
      <c r="HWB98" s="168"/>
      <c r="HWC98" s="167"/>
      <c r="HWD98" s="168"/>
      <c r="HWE98" s="167"/>
      <c r="HWF98" s="168"/>
      <c r="HWG98" s="167"/>
      <c r="HWH98" s="168"/>
      <c r="HWI98" s="167"/>
      <c r="HWJ98" s="168"/>
      <c r="HWK98" s="167"/>
      <c r="HWL98" s="168"/>
      <c r="HWM98" s="167"/>
      <c r="HWN98" s="168"/>
      <c r="HWO98" s="167"/>
      <c r="HWP98" s="168"/>
      <c r="HWQ98" s="167"/>
      <c r="HWR98" s="168"/>
      <c r="HWS98" s="167"/>
      <c r="HWT98" s="168"/>
      <c r="HWU98" s="167"/>
      <c r="HWV98" s="168"/>
      <c r="HWW98" s="167"/>
      <c r="HWX98" s="168"/>
      <c r="HWY98" s="167"/>
      <c r="HWZ98" s="168"/>
      <c r="HXA98" s="167"/>
      <c r="HXB98" s="168"/>
      <c r="HXC98" s="167"/>
      <c r="HXD98" s="168"/>
      <c r="HXE98" s="167"/>
      <c r="HXF98" s="168"/>
      <c r="HXG98" s="167"/>
      <c r="HXH98" s="168"/>
      <c r="HXI98" s="167"/>
      <c r="HXJ98" s="168"/>
      <c r="HXK98" s="167"/>
      <c r="HXL98" s="168"/>
      <c r="HXM98" s="167"/>
      <c r="HXN98" s="168"/>
      <c r="HXO98" s="167"/>
      <c r="HXP98" s="168"/>
      <c r="HXQ98" s="167"/>
      <c r="HXR98" s="168"/>
      <c r="HXS98" s="167"/>
      <c r="HXT98" s="168"/>
      <c r="HXU98" s="167"/>
      <c r="HXV98" s="168"/>
      <c r="HXW98" s="167"/>
      <c r="HXX98" s="168"/>
      <c r="HXY98" s="167"/>
      <c r="HXZ98" s="168"/>
      <c r="HYA98" s="167"/>
      <c r="HYB98" s="168"/>
      <c r="HYC98" s="167"/>
      <c r="HYD98" s="168"/>
      <c r="HYE98" s="167"/>
      <c r="HYF98" s="168"/>
      <c r="HYG98" s="167"/>
      <c r="HYH98" s="168"/>
      <c r="HYI98" s="167"/>
      <c r="HYJ98" s="168"/>
      <c r="HYK98" s="167"/>
      <c r="HYL98" s="168"/>
      <c r="HYM98" s="167"/>
      <c r="HYN98" s="168"/>
      <c r="HYO98" s="167"/>
      <c r="HYP98" s="168"/>
      <c r="HYQ98" s="167"/>
      <c r="HYR98" s="168"/>
      <c r="HYS98" s="167"/>
      <c r="HYT98" s="168"/>
      <c r="HYU98" s="167"/>
      <c r="HYV98" s="168"/>
      <c r="HYW98" s="167"/>
      <c r="HYX98" s="168"/>
      <c r="HYY98" s="167"/>
      <c r="HYZ98" s="168"/>
      <c r="HZA98" s="167"/>
      <c r="HZB98" s="168"/>
      <c r="HZC98" s="167"/>
      <c r="HZD98" s="168"/>
      <c r="HZE98" s="167"/>
      <c r="HZF98" s="168"/>
      <c r="HZG98" s="167"/>
      <c r="HZH98" s="168"/>
      <c r="HZI98" s="167"/>
      <c r="HZJ98" s="168"/>
      <c r="HZK98" s="167"/>
      <c r="HZL98" s="168"/>
      <c r="HZM98" s="167"/>
      <c r="HZN98" s="168"/>
      <c r="HZO98" s="167"/>
      <c r="HZP98" s="168"/>
      <c r="HZQ98" s="167"/>
      <c r="HZR98" s="168"/>
      <c r="HZS98" s="167"/>
      <c r="HZT98" s="168"/>
      <c r="HZU98" s="167"/>
      <c r="HZV98" s="168"/>
      <c r="HZW98" s="167"/>
      <c r="HZX98" s="168"/>
      <c r="HZY98" s="167"/>
      <c r="HZZ98" s="168"/>
      <c r="IAA98" s="167"/>
      <c r="IAB98" s="168"/>
      <c r="IAC98" s="167"/>
      <c r="IAD98" s="168"/>
      <c r="IAE98" s="167"/>
      <c r="IAF98" s="168"/>
      <c r="IAG98" s="167"/>
      <c r="IAH98" s="168"/>
      <c r="IAI98" s="167"/>
      <c r="IAJ98" s="168"/>
      <c r="IAK98" s="167"/>
      <c r="IAL98" s="168"/>
      <c r="IAM98" s="167"/>
      <c r="IAN98" s="168"/>
      <c r="IAO98" s="167"/>
      <c r="IAP98" s="168"/>
      <c r="IAQ98" s="167"/>
      <c r="IAR98" s="168"/>
      <c r="IAS98" s="167"/>
      <c r="IAT98" s="168"/>
      <c r="IAU98" s="167"/>
      <c r="IAV98" s="168"/>
      <c r="IAW98" s="167"/>
      <c r="IAX98" s="168"/>
      <c r="IAY98" s="167"/>
      <c r="IAZ98" s="168"/>
      <c r="IBA98" s="167"/>
      <c r="IBB98" s="168"/>
      <c r="IBC98" s="167"/>
      <c r="IBD98" s="168"/>
      <c r="IBE98" s="167"/>
      <c r="IBF98" s="168"/>
      <c r="IBG98" s="167"/>
      <c r="IBH98" s="168"/>
      <c r="IBI98" s="167"/>
      <c r="IBJ98" s="168"/>
      <c r="IBK98" s="167"/>
      <c r="IBL98" s="168"/>
      <c r="IBM98" s="167"/>
      <c r="IBN98" s="168"/>
      <c r="IBO98" s="167"/>
      <c r="IBP98" s="168"/>
      <c r="IBQ98" s="167"/>
      <c r="IBR98" s="168"/>
      <c r="IBS98" s="167"/>
      <c r="IBT98" s="168"/>
      <c r="IBU98" s="167"/>
      <c r="IBV98" s="168"/>
      <c r="IBW98" s="167"/>
      <c r="IBX98" s="168"/>
      <c r="IBY98" s="167"/>
      <c r="IBZ98" s="168"/>
      <c r="ICA98" s="167"/>
      <c r="ICB98" s="168"/>
      <c r="ICC98" s="167"/>
      <c r="ICD98" s="168"/>
      <c r="ICE98" s="167"/>
      <c r="ICF98" s="168"/>
      <c r="ICG98" s="167"/>
      <c r="ICH98" s="168"/>
      <c r="ICI98" s="167"/>
      <c r="ICJ98" s="168"/>
      <c r="ICK98" s="167"/>
      <c r="ICL98" s="168"/>
      <c r="ICM98" s="167"/>
      <c r="ICN98" s="168"/>
      <c r="ICO98" s="167"/>
      <c r="ICP98" s="168"/>
      <c r="ICQ98" s="167"/>
      <c r="ICR98" s="168"/>
      <c r="ICS98" s="167"/>
      <c r="ICT98" s="168"/>
      <c r="ICU98" s="167"/>
      <c r="ICV98" s="168"/>
      <c r="ICW98" s="167"/>
      <c r="ICX98" s="168"/>
      <c r="ICY98" s="167"/>
      <c r="ICZ98" s="168"/>
      <c r="IDA98" s="167"/>
      <c r="IDB98" s="168"/>
      <c r="IDC98" s="167"/>
      <c r="IDD98" s="168"/>
      <c r="IDE98" s="167"/>
      <c r="IDF98" s="168"/>
      <c r="IDG98" s="167"/>
      <c r="IDH98" s="168"/>
      <c r="IDI98" s="167"/>
      <c r="IDJ98" s="168"/>
      <c r="IDK98" s="167"/>
      <c r="IDL98" s="168"/>
      <c r="IDM98" s="167"/>
      <c r="IDN98" s="168"/>
      <c r="IDO98" s="167"/>
      <c r="IDP98" s="168"/>
      <c r="IDQ98" s="167"/>
      <c r="IDR98" s="168"/>
      <c r="IDS98" s="167"/>
      <c r="IDT98" s="168"/>
      <c r="IDU98" s="167"/>
      <c r="IDV98" s="168"/>
      <c r="IDW98" s="167"/>
      <c r="IDX98" s="168"/>
      <c r="IDY98" s="167"/>
      <c r="IDZ98" s="168"/>
      <c r="IEA98" s="167"/>
      <c r="IEB98" s="168"/>
      <c r="IEC98" s="167"/>
      <c r="IED98" s="168"/>
      <c r="IEE98" s="167"/>
      <c r="IEF98" s="168"/>
      <c r="IEG98" s="167"/>
      <c r="IEH98" s="168"/>
      <c r="IEI98" s="167"/>
      <c r="IEJ98" s="168"/>
      <c r="IEK98" s="167"/>
      <c r="IEL98" s="168"/>
      <c r="IEM98" s="167"/>
      <c r="IEN98" s="168"/>
      <c r="IEO98" s="167"/>
      <c r="IEP98" s="168"/>
      <c r="IEQ98" s="167"/>
      <c r="IER98" s="168"/>
      <c r="IES98" s="167"/>
      <c r="IET98" s="168"/>
      <c r="IEU98" s="167"/>
      <c r="IEV98" s="168"/>
      <c r="IEW98" s="167"/>
      <c r="IEX98" s="168"/>
      <c r="IEY98" s="167"/>
      <c r="IEZ98" s="168"/>
      <c r="IFA98" s="167"/>
      <c r="IFB98" s="168"/>
      <c r="IFC98" s="167"/>
      <c r="IFD98" s="168"/>
      <c r="IFE98" s="167"/>
      <c r="IFF98" s="168"/>
      <c r="IFG98" s="167"/>
      <c r="IFH98" s="168"/>
      <c r="IFI98" s="167"/>
      <c r="IFJ98" s="168"/>
      <c r="IFK98" s="167"/>
      <c r="IFL98" s="168"/>
      <c r="IFM98" s="167"/>
      <c r="IFN98" s="168"/>
      <c r="IFO98" s="167"/>
      <c r="IFP98" s="168"/>
      <c r="IFQ98" s="167"/>
      <c r="IFR98" s="168"/>
      <c r="IFS98" s="167"/>
      <c r="IFT98" s="168"/>
      <c r="IFU98" s="167"/>
      <c r="IFV98" s="168"/>
      <c r="IFW98" s="167"/>
      <c r="IFX98" s="168"/>
      <c r="IFY98" s="167"/>
      <c r="IFZ98" s="168"/>
      <c r="IGA98" s="167"/>
      <c r="IGB98" s="168"/>
      <c r="IGC98" s="167"/>
      <c r="IGD98" s="168"/>
      <c r="IGE98" s="167"/>
      <c r="IGF98" s="168"/>
      <c r="IGG98" s="167"/>
      <c r="IGH98" s="168"/>
      <c r="IGI98" s="167"/>
      <c r="IGJ98" s="168"/>
      <c r="IGK98" s="167"/>
      <c r="IGL98" s="168"/>
      <c r="IGM98" s="167"/>
      <c r="IGN98" s="168"/>
      <c r="IGO98" s="167"/>
      <c r="IGP98" s="168"/>
      <c r="IGQ98" s="167"/>
      <c r="IGR98" s="168"/>
      <c r="IGS98" s="167"/>
      <c r="IGT98" s="168"/>
      <c r="IGU98" s="167"/>
      <c r="IGV98" s="168"/>
      <c r="IGW98" s="167"/>
      <c r="IGX98" s="168"/>
      <c r="IGY98" s="167"/>
      <c r="IGZ98" s="168"/>
      <c r="IHA98" s="167"/>
      <c r="IHB98" s="168"/>
      <c r="IHC98" s="167"/>
      <c r="IHD98" s="168"/>
      <c r="IHE98" s="167"/>
      <c r="IHF98" s="168"/>
      <c r="IHG98" s="167"/>
      <c r="IHH98" s="168"/>
      <c r="IHI98" s="167"/>
      <c r="IHJ98" s="168"/>
      <c r="IHK98" s="167"/>
      <c r="IHL98" s="168"/>
      <c r="IHM98" s="167"/>
      <c r="IHN98" s="168"/>
      <c r="IHO98" s="167"/>
      <c r="IHP98" s="168"/>
      <c r="IHQ98" s="167"/>
      <c r="IHR98" s="168"/>
      <c r="IHS98" s="167"/>
      <c r="IHT98" s="168"/>
      <c r="IHU98" s="167"/>
      <c r="IHV98" s="168"/>
      <c r="IHW98" s="167"/>
      <c r="IHX98" s="168"/>
      <c r="IHY98" s="167"/>
      <c r="IHZ98" s="168"/>
      <c r="IIA98" s="167"/>
      <c r="IIB98" s="168"/>
      <c r="IIC98" s="167"/>
      <c r="IID98" s="168"/>
      <c r="IIE98" s="167"/>
      <c r="IIF98" s="168"/>
      <c r="IIG98" s="167"/>
      <c r="IIH98" s="168"/>
      <c r="III98" s="167"/>
      <c r="IIJ98" s="168"/>
      <c r="IIK98" s="167"/>
      <c r="IIL98" s="168"/>
      <c r="IIM98" s="167"/>
      <c r="IIN98" s="168"/>
      <c r="IIO98" s="167"/>
      <c r="IIP98" s="168"/>
      <c r="IIQ98" s="167"/>
      <c r="IIR98" s="168"/>
      <c r="IIS98" s="167"/>
      <c r="IIT98" s="168"/>
      <c r="IIU98" s="167"/>
      <c r="IIV98" s="168"/>
      <c r="IIW98" s="167"/>
      <c r="IIX98" s="168"/>
      <c r="IIY98" s="167"/>
      <c r="IIZ98" s="168"/>
      <c r="IJA98" s="167"/>
      <c r="IJB98" s="168"/>
      <c r="IJC98" s="167"/>
      <c r="IJD98" s="168"/>
      <c r="IJE98" s="167"/>
      <c r="IJF98" s="168"/>
      <c r="IJG98" s="167"/>
      <c r="IJH98" s="168"/>
      <c r="IJI98" s="167"/>
      <c r="IJJ98" s="168"/>
      <c r="IJK98" s="167"/>
      <c r="IJL98" s="168"/>
      <c r="IJM98" s="167"/>
      <c r="IJN98" s="168"/>
      <c r="IJO98" s="167"/>
      <c r="IJP98" s="168"/>
      <c r="IJQ98" s="167"/>
      <c r="IJR98" s="168"/>
      <c r="IJS98" s="167"/>
      <c r="IJT98" s="168"/>
      <c r="IJU98" s="167"/>
      <c r="IJV98" s="168"/>
      <c r="IJW98" s="167"/>
      <c r="IJX98" s="168"/>
      <c r="IJY98" s="167"/>
      <c r="IJZ98" s="168"/>
      <c r="IKA98" s="167"/>
      <c r="IKB98" s="168"/>
      <c r="IKC98" s="167"/>
      <c r="IKD98" s="168"/>
      <c r="IKE98" s="167"/>
      <c r="IKF98" s="168"/>
      <c r="IKG98" s="167"/>
      <c r="IKH98" s="168"/>
      <c r="IKI98" s="167"/>
      <c r="IKJ98" s="168"/>
      <c r="IKK98" s="167"/>
      <c r="IKL98" s="168"/>
      <c r="IKM98" s="167"/>
      <c r="IKN98" s="168"/>
      <c r="IKO98" s="167"/>
      <c r="IKP98" s="168"/>
      <c r="IKQ98" s="167"/>
      <c r="IKR98" s="168"/>
      <c r="IKS98" s="167"/>
      <c r="IKT98" s="168"/>
      <c r="IKU98" s="167"/>
      <c r="IKV98" s="168"/>
      <c r="IKW98" s="167"/>
      <c r="IKX98" s="168"/>
      <c r="IKY98" s="167"/>
      <c r="IKZ98" s="168"/>
      <c r="ILA98" s="167"/>
      <c r="ILB98" s="168"/>
      <c r="ILC98" s="167"/>
      <c r="ILD98" s="168"/>
      <c r="ILE98" s="167"/>
      <c r="ILF98" s="168"/>
      <c r="ILG98" s="167"/>
      <c r="ILH98" s="168"/>
      <c r="ILI98" s="167"/>
      <c r="ILJ98" s="168"/>
      <c r="ILK98" s="167"/>
      <c r="ILL98" s="168"/>
      <c r="ILM98" s="167"/>
      <c r="ILN98" s="168"/>
      <c r="ILO98" s="167"/>
      <c r="ILP98" s="168"/>
      <c r="ILQ98" s="167"/>
      <c r="ILR98" s="168"/>
      <c r="ILS98" s="167"/>
      <c r="ILT98" s="168"/>
      <c r="ILU98" s="167"/>
      <c r="ILV98" s="168"/>
      <c r="ILW98" s="167"/>
      <c r="ILX98" s="168"/>
      <c r="ILY98" s="167"/>
      <c r="ILZ98" s="168"/>
      <c r="IMA98" s="167"/>
      <c r="IMB98" s="168"/>
      <c r="IMC98" s="167"/>
      <c r="IMD98" s="168"/>
      <c r="IME98" s="167"/>
      <c r="IMF98" s="168"/>
      <c r="IMG98" s="167"/>
      <c r="IMH98" s="168"/>
      <c r="IMI98" s="167"/>
      <c r="IMJ98" s="168"/>
      <c r="IMK98" s="167"/>
      <c r="IML98" s="168"/>
      <c r="IMM98" s="167"/>
      <c r="IMN98" s="168"/>
      <c r="IMO98" s="167"/>
      <c r="IMP98" s="168"/>
      <c r="IMQ98" s="167"/>
      <c r="IMR98" s="168"/>
      <c r="IMS98" s="167"/>
      <c r="IMT98" s="168"/>
      <c r="IMU98" s="167"/>
      <c r="IMV98" s="168"/>
      <c r="IMW98" s="167"/>
      <c r="IMX98" s="168"/>
      <c r="IMY98" s="167"/>
      <c r="IMZ98" s="168"/>
      <c r="INA98" s="167"/>
      <c r="INB98" s="168"/>
      <c r="INC98" s="167"/>
      <c r="IND98" s="168"/>
      <c r="INE98" s="167"/>
      <c r="INF98" s="168"/>
      <c r="ING98" s="167"/>
      <c r="INH98" s="168"/>
      <c r="INI98" s="167"/>
      <c r="INJ98" s="168"/>
      <c r="INK98" s="167"/>
      <c r="INL98" s="168"/>
      <c r="INM98" s="167"/>
      <c r="INN98" s="168"/>
      <c r="INO98" s="167"/>
      <c r="INP98" s="168"/>
      <c r="INQ98" s="167"/>
      <c r="INR98" s="168"/>
      <c r="INS98" s="167"/>
      <c r="INT98" s="168"/>
      <c r="INU98" s="167"/>
      <c r="INV98" s="168"/>
      <c r="INW98" s="167"/>
      <c r="INX98" s="168"/>
      <c r="INY98" s="167"/>
      <c r="INZ98" s="168"/>
      <c r="IOA98" s="167"/>
      <c r="IOB98" s="168"/>
      <c r="IOC98" s="167"/>
      <c r="IOD98" s="168"/>
      <c r="IOE98" s="167"/>
      <c r="IOF98" s="168"/>
      <c r="IOG98" s="167"/>
      <c r="IOH98" s="168"/>
      <c r="IOI98" s="167"/>
      <c r="IOJ98" s="168"/>
      <c r="IOK98" s="167"/>
      <c r="IOL98" s="168"/>
      <c r="IOM98" s="167"/>
      <c r="ION98" s="168"/>
      <c r="IOO98" s="167"/>
      <c r="IOP98" s="168"/>
      <c r="IOQ98" s="167"/>
      <c r="IOR98" s="168"/>
      <c r="IOS98" s="167"/>
      <c r="IOT98" s="168"/>
      <c r="IOU98" s="167"/>
      <c r="IOV98" s="168"/>
      <c r="IOW98" s="167"/>
      <c r="IOX98" s="168"/>
      <c r="IOY98" s="167"/>
      <c r="IOZ98" s="168"/>
      <c r="IPA98" s="167"/>
      <c r="IPB98" s="168"/>
      <c r="IPC98" s="167"/>
      <c r="IPD98" s="168"/>
      <c r="IPE98" s="167"/>
      <c r="IPF98" s="168"/>
      <c r="IPG98" s="167"/>
      <c r="IPH98" s="168"/>
      <c r="IPI98" s="167"/>
      <c r="IPJ98" s="168"/>
      <c r="IPK98" s="167"/>
      <c r="IPL98" s="168"/>
      <c r="IPM98" s="167"/>
      <c r="IPN98" s="168"/>
      <c r="IPO98" s="167"/>
      <c r="IPP98" s="168"/>
      <c r="IPQ98" s="167"/>
      <c r="IPR98" s="168"/>
      <c r="IPS98" s="167"/>
      <c r="IPT98" s="168"/>
      <c r="IPU98" s="167"/>
      <c r="IPV98" s="168"/>
      <c r="IPW98" s="167"/>
      <c r="IPX98" s="168"/>
      <c r="IPY98" s="167"/>
      <c r="IPZ98" s="168"/>
      <c r="IQA98" s="167"/>
      <c r="IQB98" s="168"/>
      <c r="IQC98" s="167"/>
      <c r="IQD98" s="168"/>
      <c r="IQE98" s="167"/>
      <c r="IQF98" s="168"/>
      <c r="IQG98" s="167"/>
      <c r="IQH98" s="168"/>
      <c r="IQI98" s="167"/>
      <c r="IQJ98" s="168"/>
      <c r="IQK98" s="167"/>
      <c r="IQL98" s="168"/>
      <c r="IQM98" s="167"/>
      <c r="IQN98" s="168"/>
      <c r="IQO98" s="167"/>
      <c r="IQP98" s="168"/>
      <c r="IQQ98" s="167"/>
      <c r="IQR98" s="168"/>
      <c r="IQS98" s="167"/>
      <c r="IQT98" s="168"/>
      <c r="IQU98" s="167"/>
      <c r="IQV98" s="168"/>
      <c r="IQW98" s="167"/>
      <c r="IQX98" s="168"/>
      <c r="IQY98" s="167"/>
      <c r="IQZ98" s="168"/>
      <c r="IRA98" s="167"/>
      <c r="IRB98" s="168"/>
      <c r="IRC98" s="167"/>
      <c r="IRD98" s="168"/>
      <c r="IRE98" s="167"/>
      <c r="IRF98" s="168"/>
      <c r="IRG98" s="167"/>
      <c r="IRH98" s="168"/>
      <c r="IRI98" s="167"/>
      <c r="IRJ98" s="168"/>
      <c r="IRK98" s="167"/>
      <c r="IRL98" s="168"/>
      <c r="IRM98" s="167"/>
      <c r="IRN98" s="168"/>
      <c r="IRO98" s="167"/>
      <c r="IRP98" s="168"/>
      <c r="IRQ98" s="167"/>
      <c r="IRR98" s="168"/>
      <c r="IRS98" s="167"/>
      <c r="IRT98" s="168"/>
      <c r="IRU98" s="167"/>
      <c r="IRV98" s="168"/>
      <c r="IRW98" s="167"/>
      <c r="IRX98" s="168"/>
      <c r="IRY98" s="167"/>
      <c r="IRZ98" s="168"/>
      <c r="ISA98" s="167"/>
      <c r="ISB98" s="168"/>
      <c r="ISC98" s="167"/>
      <c r="ISD98" s="168"/>
      <c r="ISE98" s="167"/>
      <c r="ISF98" s="168"/>
      <c r="ISG98" s="167"/>
      <c r="ISH98" s="168"/>
      <c r="ISI98" s="167"/>
      <c r="ISJ98" s="168"/>
      <c r="ISK98" s="167"/>
      <c r="ISL98" s="168"/>
      <c r="ISM98" s="167"/>
      <c r="ISN98" s="168"/>
      <c r="ISO98" s="167"/>
      <c r="ISP98" s="168"/>
      <c r="ISQ98" s="167"/>
      <c r="ISR98" s="168"/>
      <c r="ISS98" s="167"/>
      <c r="IST98" s="168"/>
      <c r="ISU98" s="167"/>
      <c r="ISV98" s="168"/>
      <c r="ISW98" s="167"/>
      <c r="ISX98" s="168"/>
      <c r="ISY98" s="167"/>
      <c r="ISZ98" s="168"/>
      <c r="ITA98" s="167"/>
      <c r="ITB98" s="168"/>
      <c r="ITC98" s="167"/>
      <c r="ITD98" s="168"/>
      <c r="ITE98" s="167"/>
      <c r="ITF98" s="168"/>
      <c r="ITG98" s="167"/>
      <c r="ITH98" s="168"/>
      <c r="ITI98" s="167"/>
      <c r="ITJ98" s="168"/>
      <c r="ITK98" s="167"/>
      <c r="ITL98" s="168"/>
      <c r="ITM98" s="167"/>
      <c r="ITN98" s="168"/>
      <c r="ITO98" s="167"/>
      <c r="ITP98" s="168"/>
      <c r="ITQ98" s="167"/>
      <c r="ITR98" s="168"/>
      <c r="ITS98" s="167"/>
      <c r="ITT98" s="168"/>
      <c r="ITU98" s="167"/>
      <c r="ITV98" s="168"/>
      <c r="ITW98" s="167"/>
      <c r="ITX98" s="168"/>
      <c r="ITY98" s="167"/>
      <c r="ITZ98" s="168"/>
      <c r="IUA98" s="167"/>
      <c r="IUB98" s="168"/>
      <c r="IUC98" s="167"/>
      <c r="IUD98" s="168"/>
      <c r="IUE98" s="167"/>
      <c r="IUF98" s="168"/>
      <c r="IUG98" s="167"/>
      <c r="IUH98" s="168"/>
      <c r="IUI98" s="167"/>
      <c r="IUJ98" s="168"/>
      <c r="IUK98" s="167"/>
      <c r="IUL98" s="168"/>
      <c r="IUM98" s="167"/>
      <c r="IUN98" s="168"/>
      <c r="IUO98" s="167"/>
      <c r="IUP98" s="168"/>
      <c r="IUQ98" s="167"/>
      <c r="IUR98" s="168"/>
      <c r="IUS98" s="167"/>
      <c r="IUT98" s="168"/>
      <c r="IUU98" s="167"/>
      <c r="IUV98" s="168"/>
      <c r="IUW98" s="167"/>
      <c r="IUX98" s="168"/>
      <c r="IUY98" s="167"/>
      <c r="IUZ98" s="168"/>
      <c r="IVA98" s="167"/>
      <c r="IVB98" s="168"/>
      <c r="IVC98" s="167"/>
      <c r="IVD98" s="168"/>
      <c r="IVE98" s="167"/>
      <c r="IVF98" s="168"/>
      <c r="IVG98" s="167"/>
      <c r="IVH98" s="168"/>
      <c r="IVI98" s="167"/>
      <c r="IVJ98" s="168"/>
      <c r="IVK98" s="167"/>
      <c r="IVL98" s="168"/>
      <c r="IVM98" s="167"/>
      <c r="IVN98" s="168"/>
      <c r="IVO98" s="167"/>
      <c r="IVP98" s="168"/>
      <c r="IVQ98" s="167"/>
      <c r="IVR98" s="168"/>
      <c r="IVS98" s="167"/>
      <c r="IVT98" s="168"/>
      <c r="IVU98" s="167"/>
      <c r="IVV98" s="168"/>
      <c r="IVW98" s="167"/>
      <c r="IVX98" s="168"/>
      <c r="IVY98" s="167"/>
      <c r="IVZ98" s="168"/>
      <c r="IWA98" s="167"/>
      <c r="IWB98" s="168"/>
      <c r="IWC98" s="167"/>
      <c r="IWD98" s="168"/>
      <c r="IWE98" s="167"/>
      <c r="IWF98" s="168"/>
      <c r="IWG98" s="167"/>
      <c r="IWH98" s="168"/>
      <c r="IWI98" s="167"/>
      <c r="IWJ98" s="168"/>
      <c r="IWK98" s="167"/>
      <c r="IWL98" s="168"/>
      <c r="IWM98" s="167"/>
      <c r="IWN98" s="168"/>
      <c r="IWO98" s="167"/>
      <c r="IWP98" s="168"/>
      <c r="IWQ98" s="167"/>
      <c r="IWR98" s="168"/>
      <c r="IWS98" s="167"/>
      <c r="IWT98" s="168"/>
      <c r="IWU98" s="167"/>
      <c r="IWV98" s="168"/>
      <c r="IWW98" s="167"/>
      <c r="IWX98" s="168"/>
      <c r="IWY98" s="167"/>
      <c r="IWZ98" s="168"/>
      <c r="IXA98" s="167"/>
      <c r="IXB98" s="168"/>
      <c r="IXC98" s="167"/>
      <c r="IXD98" s="168"/>
      <c r="IXE98" s="167"/>
      <c r="IXF98" s="168"/>
      <c r="IXG98" s="167"/>
      <c r="IXH98" s="168"/>
      <c r="IXI98" s="167"/>
      <c r="IXJ98" s="168"/>
      <c r="IXK98" s="167"/>
      <c r="IXL98" s="168"/>
      <c r="IXM98" s="167"/>
      <c r="IXN98" s="168"/>
      <c r="IXO98" s="167"/>
      <c r="IXP98" s="168"/>
      <c r="IXQ98" s="167"/>
      <c r="IXR98" s="168"/>
      <c r="IXS98" s="167"/>
      <c r="IXT98" s="168"/>
      <c r="IXU98" s="167"/>
      <c r="IXV98" s="168"/>
      <c r="IXW98" s="167"/>
      <c r="IXX98" s="168"/>
      <c r="IXY98" s="167"/>
      <c r="IXZ98" s="168"/>
      <c r="IYA98" s="167"/>
      <c r="IYB98" s="168"/>
      <c r="IYC98" s="167"/>
      <c r="IYD98" s="168"/>
      <c r="IYE98" s="167"/>
      <c r="IYF98" s="168"/>
      <c r="IYG98" s="167"/>
      <c r="IYH98" s="168"/>
      <c r="IYI98" s="167"/>
      <c r="IYJ98" s="168"/>
      <c r="IYK98" s="167"/>
      <c r="IYL98" s="168"/>
      <c r="IYM98" s="167"/>
      <c r="IYN98" s="168"/>
      <c r="IYO98" s="167"/>
      <c r="IYP98" s="168"/>
      <c r="IYQ98" s="167"/>
      <c r="IYR98" s="168"/>
      <c r="IYS98" s="167"/>
      <c r="IYT98" s="168"/>
      <c r="IYU98" s="167"/>
      <c r="IYV98" s="168"/>
      <c r="IYW98" s="167"/>
      <c r="IYX98" s="168"/>
      <c r="IYY98" s="167"/>
      <c r="IYZ98" s="168"/>
      <c r="IZA98" s="167"/>
      <c r="IZB98" s="168"/>
      <c r="IZC98" s="167"/>
      <c r="IZD98" s="168"/>
      <c r="IZE98" s="167"/>
      <c r="IZF98" s="168"/>
      <c r="IZG98" s="167"/>
      <c r="IZH98" s="168"/>
      <c r="IZI98" s="167"/>
      <c r="IZJ98" s="168"/>
      <c r="IZK98" s="167"/>
      <c r="IZL98" s="168"/>
      <c r="IZM98" s="167"/>
      <c r="IZN98" s="168"/>
      <c r="IZO98" s="167"/>
      <c r="IZP98" s="168"/>
      <c r="IZQ98" s="167"/>
      <c r="IZR98" s="168"/>
      <c r="IZS98" s="167"/>
      <c r="IZT98" s="168"/>
      <c r="IZU98" s="167"/>
      <c r="IZV98" s="168"/>
      <c r="IZW98" s="167"/>
      <c r="IZX98" s="168"/>
      <c r="IZY98" s="167"/>
      <c r="IZZ98" s="168"/>
      <c r="JAA98" s="167"/>
      <c r="JAB98" s="168"/>
      <c r="JAC98" s="167"/>
      <c r="JAD98" s="168"/>
      <c r="JAE98" s="167"/>
      <c r="JAF98" s="168"/>
      <c r="JAG98" s="167"/>
      <c r="JAH98" s="168"/>
      <c r="JAI98" s="167"/>
      <c r="JAJ98" s="168"/>
      <c r="JAK98" s="167"/>
      <c r="JAL98" s="168"/>
      <c r="JAM98" s="167"/>
      <c r="JAN98" s="168"/>
      <c r="JAO98" s="167"/>
      <c r="JAP98" s="168"/>
      <c r="JAQ98" s="167"/>
      <c r="JAR98" s="168"/>
      <c r="JAS98" s="167"/>
      <c r="JAT98" s="168"/>
      <c r="JAU98" s="167"/>
      <c r="JAV98" s="168"/>
      <c r="JAW98" s="167"/>
      <c r="JAX98" s="168"/>
      <c r="JAY98" s="167"/>
      <c r="JAZ98" s="168"/>
      <c r="JBA98" s="167"/>
      <c r="JBB98" s="168"/>
      <c r="JBC98" s="167"/>
      <c r="JBD98" s="168"/>
      <c r="JBE98" s="167"/>
      <c r="JBF98" s="168"/>
      <c r="JBG98" s="167"/>
      <c r="JBH98" s="168"/>
      <c r="JBI98" s="167"/>
      <c r="JBJ98" s="168"/>
      <c r="JBK98" s="167"/>
      <c r="JBL98" s="168"/>
      <c r="JBM98" s="167"/>
      <c r="JBN98" s="168"/>
      <c r="JBO98" s="167"/>
      <c r="JBP98" s="168"/>
      <c r="JBQ98" s="167"/>
      <c r="JBR98" s="168"/>
      <c r="JBS98" s="167"/>
      <c r="JBT98" s="168"/>
      <c r="JBU98" s="167"/>
      <c r="JBV98" s="168"/>
      <c r="JBW98" s="167"/>
      <c r="JBX98" s="168"/>
      <c r="JBY98" s="167"/>
      <c r="JBZ98" s="168"/>
      <c r="JCA98" s="167"/>
      <c r="JCB98" s="168"/>
      <c r="JCC98" s="167"/>
      <c r="JCD98" s="168"/>
      <c r="JCE98" s="167"/>
      <c r="JCF98" s="168"/>
      <c r="JCG98" s="167"/>
      <c r="JCH98" s="168"/>
      <c r="JCI98" s="167"/>
      <c r="JCJ98" s="168"/>
      <c r="JCK98" s="167"/>
      <c r="JCL98" s="168"/>
      <c r="JCM98" s="167"/>
      <c r="JCN98" s="168"/>
      <c r="JCO98" s="167"/>
      <c r="JCP98" s="168"/>
      <c r="JCQ98" s="167"/>
      <c r="JCR98" s="168"/>
      <c r="JCS98" s="167"/>
      <c r="JCT98" s="168"/>
      <c r="JCU98" s="167"/>
      <c r="JCV98" s="168"/>
      <c r="JCW98" s="167"/>
      <c r="JCX98" s="168"/>
      <c r="JCY98" s="167"/>
      <c r="JCZ98" s="168"/>
      <c r="JDA98" s="167"/>
      <c r="JDB98" s="168"/>
      <c r="JDC98" s="167"/>
      <c r="JDD98" s="168"/>
      <c r="JDE98" s="167"/>
      <c r="JDF98" s="168"/>
      <c r="JDG98" s="167"/>
      <c r="JDH98" s="168"/>
      <c r="JDI98" s="167"/>
      <c r="JDJ98" s="168"/>
      <c r="JDK98" s="167"/>
      <c r="JDL98" s="168"/>
      <c r="JDM98" s="167"/>
      <c r="JDN98" s="168"/>
      <c r="JDO98" s="167"/>
      <c r="JDP98" s="168"/>
      <c r="JDQ98" s="167"/>
      <c r="JDR98" s="168"/>
      <c r="JDS98" s="167"/>
      <c r="JDT98" s="168"/>
      <c r="JDU98" s="167"/>
      <c r="JDV98" s="168"/>
      <c r="JDW98" s="167"/>
      <c r="JDX98" s="168"/>
      <c r="JDY98" s="167"/>
      <c r="JDZ98" s="168"/>
      <c r="JEA98" s="167"/>
      <c r="JEB98" s="168"/>
      <c r="JEC98" s="167"/>
      <c r="JED98" s="168"/>
      <c r="JEE98" s="167"/>
      <c r="JEF98" s="168"/>
      <c r="JEG98" s="167"/>
      <c r="JEH98" s="168"/>
      <c r="JEI98" s="167"/>
      <c r="JEJ98" s="168"/>
      <c r="JEK98" s="167"/>
      <c r="JEL98" s="168"/>
      <c r="JEM98" s="167"/>
      <c r="JEN98" s="168"/>
      <c r="JEO98" s="167"/>
      <c r="JEP98" s="168"/>
      <c r="JEQ98" s="167"/>
      <c r="JER98" s="168"/>
      <c r="JES98" s="167"/>
      <c r="JET98" s="168"/>
      <c r="JEU98" s="167"/>
      <c r="JEV98" s="168"/>
      <c r="JEW98" s="167"/>
      <c r="JEX98" s="168"/>
      <c r="JEY98" s="167"/>
      <c r="JEZ98" s="168"/>
      <c r="JFA98" s="167"/>
      <c r="JFB98" s="168"/>
      <c r="JFC98" s="167"/>
      <c r="JFD98" s="168"/>
      <c r="JFE98" s="167"/>
      <c r="JFF98" s="168"/>
      <c r="JFG98" s="167"/>
      <c r="JFH98" s="168"/>
      <c r="JFI98" s="167"/>
      <c r="JFJ98" s="168"/>
      <c r="JFK98" s="167"/>
      <c r="JFL98" s="168"/>
      <c r="JFM98" s="167"/>
      <c r="JFN98" s="168"/>
      <c r="JFO98" s="167"/>
      <c r="JFP98" s="168"/>
      <c r="JFQ98" s="167"/>
      <c r="JFR98" s="168"/>
      <c r="JFS98" s="167"/>
      <c r="JFT98" s="168"/>
      <c r="JFU98" s="167"/>
      <c r="JFV98" s="168"/>
      <c r="JFW98" s="167"/>
      <c r="JFX98" s="168"/>
      <c r="JFY98" s="167"/>
      <c r="JFZ98" s="168"/>
      <c r="JGA98" s="167"/>
      <c r="JGB98" s="168"/>
      <c r="JGC98" s="167"/>
      <c r="JGD98" s="168"/>
      <c r="JGE98" s="167"/>
      <c r="JGF98" s="168"/>
      <c r="JGG98" s="167"/>
      <c r="JGH98" s="168"/>
      <c r="JGI98" s="167"/>
      <c r="JGJ98" s="168"/>
      <c r="JGK98" s="167"/>
      <c r="JGL98" s="168"/>
      <c r="JGM98" s="167"/>
      <c r="JGN98" s="168"/>
      <c r="JGO98" s="167"/>
      <c r="JGP98" s="168"/>
      <c r="JGQ98" s="167"/>
      <c r="JGR98" s="168"/>
      <c r="JGS98" s="167"/>
      <c r="JGT98" s="168"/>
      <c r="JGU98" s="167"/>
      <c r="JGV98" s="168"/>
      <c r="JGW98" s="167"/>
      <c r="JGX98" s="168"/>
      <c r="JGY98" s="167"/>
      <c r="JGZ98" s="168"/>
      <c r="JHA98" s="167"/>
      <c r="JHB98" s="168"/>
      <c r="JHC98" s="167"/>
      <c r="JHD98" s="168"/>
      <c r="JHE98" s="167"/>
      <c r="JHF98" s="168"/>
      <c r="JHG98" s="167"/>
      <c r="JHH98" s="168"/>
      <c r="JHI98" s="167"/>
      <c r="JHJ98" s="168"/>
      <c r="JHK98" s="167"/>
      <c r="JHL98" s="168"/>
      <c r="JHM98" s="167"/>
      <c r="JHN98" s="168"/>
      <c r="JHO98" s="167"/>
      <c r="JHP98" s="168"/>
      <c r="JHQ98" s="167"/>
      <c r="JHR98" s="168"/>
      <c r="JHS98" s="167"/>
      <c r="JHT98" s="168"/>
      <c r="JHU98" s="167"/>
      <c r="JHV98" s="168"/>
      <c r="JHW98" s="167"/>
      <c r="JHX98" s="168"/>
      <c r="JHY98" s="167"/>
      <c r="JHZ98" s="168"/>
      <c r="JIA98" s="167"/>
      <c r="JIB98" s="168"/>
      <c r="JIC98" s="167"/>
      <c r="JID98" s="168"/>
      <c r="JIE98" s="167"/>
      <c r="JIF98" s="168"/>
      <c r="JIG98" s="167"/>
      <c r="JIH98" s="168"/>
      <c r="JII98" s="167"/>
      <c r="JIJ98" s="168"/>
      <c r="JIK98" s="167"/>
      <c r="JIL98" s="168"/>
      <c r="JIM98" s="167"/>
      <c r="JIN98" s="168"/>
      <c r="JIO98" s="167"/>
      <c r="JIP98" s="168"/>
      <c r="JIQ98" s="167"/>
      <c r="JIR98" s="168"/>
      <c r="JIS98" s="167"/>
      <c r="JIT98" s="168"/>
      <c r="JIU98" s="167"/>
      <c r="JIV98" s="168"/>
      <c r="JIW98" s="167"/>
      <c r="JIX98" s="168"/>
      <c r="JIY98" s="167"/>
      <c r="JIZ98" s="168"/>
      <c r="JJA98" s="167"/>
      <c r="JJB98" s="168"/>
      <c r="JJC98" s="167"/>
      <c r="JJD98" s="168"/>
      <c r="JJE98" s="167"/>
      <c r="JJF98" s="168"/>
      <c r="JJG98" s="167"/>
      <c r="JJH98" s="168"/>
      <c r="JJI98" s="167"/>
      <c r="JJJ98" s="168"/>
      <c r="JJK98" s="167"/>
      <c r="JJL98" s="168"/>
      <c r="JJM98" s="167"/>
      <c r="JJN98" s="168"/>
      <c r="JJO98" s="167"/>
      <c r="JJP98" s="168"/>
      <c r="JJQ98" s="167"/>
      <c r="JJR98" s="168"/>
      <c r="JJS98" s="167"/>
      <c r="JJT98" s="168"/>
      <c r="JJU98" s="167"/>
      <c r="JJV98" s="168"/>
      <c r="JJW98" s="167"/>
      <c r="JJX98" s="168"/>
      <c r="JJY98" s="167"/>
      <c r="JJZ98" s="168"/>
      <c r="JKA98" s="167"/>
      <c r="JKB98" s="168"/>
      <c r="JKC98" s="167"/>
      <c r="JKD98" s="168"/>
      <c r="JKE98" s="167"/>
      <c r="JKF98" s="168"/>
      <c r="JKG98" s="167"/>
      <c r="JKH98" s="168"/>
      <c r="JKI98" s="167"/>
      <c r="JKJ98" s="168"/>
      <c r="JKK98" s="167"/>
      <c r="JKL98" s="168"/>
      <c r="JKM98" s="167"/>
      <c r="JKN98" s="168"/>
      <c r="JKO98" s="167"/>
      <c r="JKP98" s="168"/>
      <c r="JKQ98" s="167"/>
      <c r="JKR98" s="168"/>
      <c r="JKS98" s="167"/>
      <c r="JKT98" s="168"/>
      <c r="JKU98" s="167"/>
      <c r="JKV98" s="168"/>
      <c r="JKW98" s="167"/>
      <c r="JKX98" s="168"/>
      <c r="JKY98" s="167"/>
      <c r="JKZ98" s="168"/>
      <c r="JLA98" s="167"/>
      <c r="JLB98" s="168"/>
      <c r="JLC98" s="167"/>
      <c r="JLD98" s="168"/>
      <c r="JLE98" s="167"/>
      <c r="JLF98" s="168"/>
      <c r="JLG98" s="167"/>
      <c r="JLH98" s="168"/>
      <c r="JLI98" s="167"/>
      <c r="JLJ98" s="168"/>
      <c r="JLK98" s="167"/>
      <c r="JLL98" s="168"/>
      <c r="JLM98" s="167"/>
      <c r="JLN98" s="168"/>
      <c r="JLO98" s="167"/>
      <c r="JLP98" s="168"/>
      <c r="JLQ98" s="167"/>
      <c r="JLR98" s="168"/>
      <c r="JLS98" s="167"/>
      <c r="JLT98" s="168"/>
      <c r="JLU98" s="167"/>
      <c r="JLV98" s="168"/>
      <c r="JLW98" s="167"/>
      <c r="JLX98" s="168"/>
      <c r="JLY98" s="167"/>
      <c r="JLZ98" s="168"/>
      <c r="JMA98" s="167"/>
      <c r="JMB98" s="168"/>
      <c r="JMC98" s="167"/>
      <c r="JMD98" s="168"/>
      <c r="JME98" s="167"/>
      <c r="JMF98" s="168"/>
      <c r="JMG98" s="167"/>
      <c r="JMH98" s="168"/>
      <c r="JMI98" s="167"/>
      <c r="JMJ98" s="168"/>
      <c r="JMK98" s="167"/>
      <c r="JML98" s="168"/>
      <c r="JMM98" s="167"/>
      <c r="JMN98" s="168"/>
      <c r="JMO98" s="167"/>
      <c r="JMP98" s="168"/>
      <c r="JMQ98" s="167"/>
      <c r="JMR98" s="168"/>
      <c r="JMS98" s="167"/>
      <c r="JMT98" s="168"/>
      <c r="JMU98" s="167"/>
      <c r="JMV98" s="168"/>
      <c r="JMW98" s="167"/>
      <c r="JMX98" s="168"/>
      <c r="JMY98" s="167"/>
      <c r="JMZ98" s="168"/>
      <c r="JNA98" s="167"/>
      <c r="JNB98" s="168"/>
      <c r="JNC98" s="167"/>
      <c r="JND98" s="168"/>
      <c r="JNE98" s="167"/>
      <c r="JNF98" s="168"/>
      <c r="JNG98" s="167"/>
      <c r="JNH98" s="168"/>
      <c r="JNI98" s="167"/>
      <c r="JNJ98" s="168"/>
      <c r="JNK98" s="167"/>
      <c r="JNL98" s="168"/>
      <c r="JNM98" s="167"/>
      <c r="JNN98" s="168"/>
      <c r="JNO98" s="167"/>
      <c r="JNP98" s="168"/>
      <c r="JNQ98" s="167"/>
      <c r="JNR98" s="168"/>
      <c r="JNS98" s="167"/>
      <c r="JNT98" s="168"/>
      <c r="JNU98" s="167"/>
      <c r="JNV98" s="168"/>
      <c r="JNW98" s="167"/>
      <c r="JNX98" s="168"/>
      <c r="JNY98" s="167"/>
      <c r="JNZ98" s="168"/>
      <c r="JOA98" s="167"/>
      <c r="JOB98" s="168"/>
      <c r="JOC98" s="167"/>
      <c r="JOD98" s="168"/>
      <c r="JOE98" s="167"/>
      <c r="JOF98" s="168"/>
      <c r="JOG98" s="167"/>
      <c r="JOH98" s="168"/>
      <c r="JOI98" s="167"/>
      <c r="JOJ98" s="168"/>
      <c r="JOK98" s="167"/>
      <c r="JOL98" s="168"/>
      <c r="JOM98" s="167"/>
      <c r="JON98" s="168"/>
      <c r="JOO98" s="167"/>
      <c r="JOP98" s="168"/>
      <c r="JOQ98" s="167"/>
      <c r="JOR98" s="168"/>
      <c r="JOS98" s="167"/>
      <c r="JOT98" s="168"/>
      <c r="JOU98" s="167"/>
      <c r="JOV98" s="168"/>
      <c r="JOW98" s="167"/>
      <c r="JOX98" s="168"/>
      <c r="JOY98" s="167"/>
      <c r="JOZ98" s="168"/>
      <c r="JPA98" s="167"/>
      <c r="JPB98" s="168"/>
      <c r="JPC98" s="167"/>
      <c r="JPD98" s="168"/>
      <c r="JPE98" s="167"/>
      <c r="JPF98" s="168"/>
      <c r="JPG98" s="167"/>
      <c r="JPH98" s="168"/>
      <c r="JPI98" s="167"/>
      <c r="JPJ98" s="168"/>
      <c r="JPK98" s="167"/>
      <c r="JPL98" s="168"/>
      <c r="JPM98" s="167"/>
      <c r="JPN98" s="168"/>
      <c r="JPO98" s="167"/>
      <c r="JPP98" s="168"/>
      <c r="JPQ98" s="167"/>
      <c r="JPR98" s="168"/>
      <c r="JPS98" s="167"/>
      <c r="JPT98" s="168"/>
      <c r="JPU98" s="167"/>
      <c r="JPV98" s="168"/>
      <c r="JPW98" s="167"/>
      <c r="JPX98" s="168"/>
      <c r="JPY98" s="167"/>
      <c r="JPZ98" s="168"/>
      <c r="JQA98" s="167"/>
      <c r="JQB98" s="168"/>
      <c r="JQC98" s="167"/>
      <c r="JQD98" s="168"/>
      <c r="JQE98" s="167"/>
      <c r="JQF98" s="168"/>
      <c r="JQG98" s="167"/>
      <c r="JQH98" s="168"/>
      <c r="JQI98" s="167"/>
      <c r="JQJ98" s="168"/>
      <c r="JQK98" s="167"/>
      <c r="JQL98" s="168"/>
      <c r="JQM98" s="167"/>
      <c r="JQN98" s="168"/>
      <c r="JQO98" s="167"/>
      <c r="JQP98" s="168"/>
      <c r="JQQ98" s="167"/>
      <c r="JQR98" s="168"/>
      <c r="JQS98" s="167"/>
      <c r="JQT98" s="168"/>
      <c r="JQU98" s="167"/>
      <c r="JQV98" s="168"/>
      <c r="JQW98" s="167"/>
      <c r="JQX98" s="168"/>
      <c r="JQY98" s="167"/>
      <c r="JQZ98" s="168"/>
      <c r="JRA98" s="167"/>
      <c r="JRB98" s="168"/>
      <c r="JRC98" s="167"/>
      <c r="JRD98" s="168"/>
      <c r="JRE98" s="167"/>
      <c r="JRF98" s="168"/>
      <c r="JRG98" s="167"/>
      <c r="JRH98" s="168"/>
      <c r="JRI98" s="167"/>
      <c r="JRJ98" s="168"/>
      <c r="JRK98" s="167"/>
      <c r="JRL98" s="168"/>
      <c r="JRM98" s="167"/>
      <c r="JRN98" s="168"/>
      <c r="JRO98" s="167"/>
      <c r="JRP98" s="168"/>
      <c r="JRQ98" s="167"/>
      <c r="JRR98" s="168"/>
      <c r="JRS98" s="167"/>
      <c r="JRT98" s="168"/>
      <c r="JRU98" s="167"/>
      <c r="JRV98" s="168"/>
      <c r="JRW98" s="167"/>
      <c r="JRX98" s="168"/>
      <c r="JRY98" s="167"/>
      <c r="JRZ98" s="168"/>
      <c r="JSA98" s="167"/>
      <c r="JSB98" s="168"/>
      <c r="JSC98" s="167"/>
      <c r="JSD98" s="168"/>
      <c r="JSE98" s="167"/>
      <c r="JSF98" s="168"/>
      <c r="JSG98" s="167"/>
      <c r="JSH98" s="168"/>
      <c r="JSI98" s="167"/>
      <c r="JSJ98" s="168"/>
      <c r="JSK98" s="167"/>
      <c r="JSL98" s="168"/>
      <c r="JSM98" s="167"/>
      <c r="JSN98" s="168"/>
      <c r="JSO98" s="167"/>
      <c r="JSP98" s="168"/>
      <c r="JSQ98" s="167"/>
      <c r="JSR98" s="168"/>
      <c r="JSS98" s="167"/>
      <c r="JST98" s="168"/>
      <c r="JSU98" s="167"/>
      <c r="JSV98" s="168"/>
      <c r="JSW98" s="167"/>
      <c r="JSX98" s="168"/>
      <c r="JSY98" s="167"/>
      <c r="JSZ98" s="168"/>
      <c r="JTA98" s="167"/>
      <c r="JTB98" s="168"/>
      <c r="JTC98" s="167"/>
      <c r="JTD98" s="168"/>
      <c r="JTE98" s="167"/>
      <c r="JTF98" s="168"/>
      <c r="JTG98" s="167"/>
      <c r="JTH98" s="168"/>
      <c r="JTI98" s="167"/>
      <c r="JTJ98" s="168"/>
      <c r="JTK98" s="167"/>
      <c r="JTL98" s="168"/>
      <c r="JTM98" s="167"/>
      <c r="JTN98" s="168"/>
      <c r="JTO98" s="167"/>
      <c r="JTP98" s="168"/>
      <c r="JTQ98" s="167"/>
      <c r="JTR98" s="168"/>
      <c r="JTS98" s="167"/>
      <c r="JTT98" s="168"/>
      <c r="JTU98" s="167"/>
      <c r="JTV98" s="168"/>
      <c r="JTW98" s="167"/>
      <c r="JTX98" s="168"/>
      <c r="JTY98" s="167"/>
      <c r="JTZ98" s="168"/>
      <c r="JUA98" s="167"/>
      <c r="JUB98" s="168"/>
      <c r="JUC98" s="167"/>
      <c r="JUD98" s="168"/>
      <c r="JUE98" s="167"/>
      <c r="JUF98" s="168"/>
      <c r="JUG98" s="167"/>
      <c r="JUH98" s="168"/>
      <c r="JUI98" s="167"/>
      <c r="JUJ98" s="168"/>
      <c r="JUK98" s="167"/>
      <c r="JUL98" s="168"/>
      <c r="JUM98" s="167"/>
      <c r="JUN98" s="168"/>
      <c r="JUO98" s="167"/>
      <c r="JUP98" s="168"/>
      <c r="JUQ98" s="167"/>
      <c r="JUR98" s="168"/>
      <c r="JUS98" s="167"/>
      <c r="JUT98" s="168"/>
      <c r="JUU98" s="167"/>
      <c r="JUV98" s="168"/>
      <c r="JUW98" s="167"/>
      <c r="JUX98" s="168"/>
      <c r="JUY98" s="167"/>
      <c r="JUZ98" s="168"/>
      <c r="JVA98" s="167"/>
      <c r="JVB98" s="168"/>
      <c r="JVC98" s="167"/>
      <c r="JVD98" s="168"/>
      <c r="JVE98" s="167"/>
      <c r="JVF98" s="168"/>
      <c r="JVG98" s="167"/>
      <c r="JVH98" s="168"/>
      <c r="JVI98" s="167"/>
      <c r="JVJ98" s="168"/>
      <c r="JVK98" s="167"/>
      <c r="JVL98" s="168"/>
      <c r="JVM98" s="167"/>
      <c r="JVN98" s="168"/>
      <c r="JVO98" s="167"/>
      <c r="JVP98" s="168"/>
      <c r="JVQ98" s="167"/>
      <c r="JVR98" s="168"/>
      <c r="JVS98" s="167"/>
      <c r="JVT98" s="168"/>
      <c r="JVU98" s="167"/>
      <c r="JVV98" s="168"/>
      <c r="JVW98" s="167"/>
      <c r="JVX98" s="168"/>
      <c r="JVY98" s="167"/>
      <c r="JVZ98" s="168"/>
      <c r="JWA98" s="167"/>
      <c r="JWB98" s="168"/>
      <c r="JWC98" s="167"/>
      <c r="JWD98" s="168"/>
      <c r="JWE98" s="167"/>
      <c r="JWF98" s="168"/>
      <c r="JWG98" s="167"/>
      <c r="JWH98" s="168"/>
      <c r="JWI98" s="167"/>
      <c r="JWJ98" s="168"/>
      <c r="JWK98" s="167"/>
      <c r="JWL98" s="168"/>
      <c r="JWM98" s="167"/>
      <c r="JWN98" s="168"/>
      <c r="JWO98" s="167"/>
      <c r="JWP98" s="168"/>
      <c r="JWQ98" s="167"/>
      <c r="JWR98" s="168"/>
      <c r="JWS98" s="167"/>
      <c r="JWT98" s="168"/>
      <c r="JWU98" s="167"/>
      <c r="JWV98" s="168"/>
      <c r="JWW98" s="167"/>
      <c r="JWX98" s="168"/>
      <c r="JWY98" s="167"/>
      <c r="JWZ98" s="168"/>
      <c r="JXA98" s="167"/>
      <c r="JXB98" s="168"/>
      <c r="JXC98" s="167"/>
      <c r="JXD98" s="168"/>
      <c r="JXE98" s="167"/>
      <c r="JXF98" s="168"/>
      <c r="JXG98" s="167"/>
      <c r="JXH98" s="168"/>
      <c r="JXI98" s="167"/>
      <c r="JXJ98" s="168"/>
      <c r="JXK98" s="167"/>
      <c r="JXL98" s="168"/>
      <c r="JXM98" s="167"/>
      <c r="JXN98" s="168"/>
      <c r="JXO98" s="167"/>
      <c r="JXP98" s="168"/>
      <c r="JXQ98" s="167"/>
      <c r="JXR98" s="168"/>
      <c r="JXS98" s="167"/>
      <c r="JXT98" s="168"/>
      <c r="JXU98" s="167"/>
      <c r="JXV98" s="168"/>
      <c r="JXW98" s="167"/>
      <c r="JXX98" s="168"/>
      <c r="JXY98" s="167"/>
      <c r="JXZ98" s="168"/>
      <c r="JYA98" s="167"/>
      <c r="JYB98" s="168"/>
      <c r="JYC98" s="167"/>
      <c r="JYD98" s="168"/>
      <c r="JYE98" s="167"/>
      <c r="JYF98" s="168"/>
      <c r="JYG98" s="167"/>
      <c r="JYH98" s="168"/>
      <c r="JYI98" s="167"/>
      <c r="JYJ98" s="168"/>
      <c r="JYK98" s="167"/>
      <c r="JYL98" s="168"/>
      <c r="JYM98" s="167"/>
      <c r="JYN98" s="168"/>
      <c r="JYO98" s="167"/>
      <c r="JYP98" s="168"/>
      <c r="JYQ98" s="167"/>
      <c r="JYR98" s="168"/>
      <c r="JYS98" s="167"/>
      <c r="JYT98" s="168"/>
      <c r="JYU98" s="167"/>
      <c r="JYV98" s="168"/>
      <c r="JYW98" s="167"/>
      <c r="JYX98" s="168"/>
      <c r="JYY98" s="167"/>
      <c r="JYZ98" s="168"/>
      <c r="JZA98" s="167"/>
      <c r="JZB98" s="168"/>
      <c r="JZC98" s="167"/>
      <c r="JZD98" s="168"/>
      <c r="JZE98" s="167"/>
      <c r="JZF98" s="168"/>
      <c r="JZG98" s="167"/>
      <c r="JZH98" s="168"/>
      <c r="JZI98" s="167"/>
      <c r="JZJ98" s="168"/>
      <c r="JZK98" s="167"/>
      <c r="JZL98" s="168"/>
      <c r="JZM98" s="167"/>
      <c r="JZN98" s="168"/>
      <c r="JZO98" s="167"/>
      <c r="JZP98" s="168"/>
      <c r="JZQ98" s="167"/>
      <c r="JZR98" s="168"/>
      <c r="JZS98" s="167"/>
      <c r="JZT98" s="168"/>
      <c r="JZU98" s="167"/>
      <c r="JZV98" s="168"/>
      <c r="JZW98" s="167"/>
      <c r="JZX98" s="168"/>
      <c r="JZY98" s="167"/>
      <c r="JZZ98" s="168"/>
      <c r="KAA98" s="167"/>
      <c r="KAB98" s="168"/>
      <c r="KAC98" s="167"/>
      <c r="KAD98" s="168"/>
      <c r="KAE98" s="167"/>
      <c r="KAF98" s="168"/>
      <c r="KAG98" s="167"/>
      <c r="KAH98" s="168"/>
      <c r="KAI98" s="167"/>
      <c r="KAJ98" s="168"/>
      <c r="KAK98" s="167"/>
      <c r="KAL98" s="168"/>
      <c r="KAM98" s="167"/>
      <c r="KAN98" s="168"/>
      <c r="KAO98" s="167"/>
      <c r="KAP98" s="168"/>
      <c r="KAQ98" s="167"/>
      <c r="KAR98" s="168"/>
      <c r="KAS98" s="167"/>
      <c r="KAT98" s="168"/>
      <c r="KAU98" s="167"/>
      <c r="KAV98" s="168"/>
      <c r="KAW98" s="167"/>
      <c r="KAX98" s="168"/>
      <c r="KAY98" s="167"/>
      <c r="KAZ98" s="168"/>
      <c r="KBA98" s="167"/>
      <c r="KBB98" s="168"/>
      <c r="KBC98" s="167"/>
      <c r="KBD98" s="168"/>
      <c r="KBE98" s="167"/>
      <c r="KBF98" s="168"/>
      <c r="KBG98" s="167"/>
      <c r="KBH98" s="168"/>
      <c r="KBI98" s="167"/>
      <c r="KBJ98" s="168"/>
      <c r="KBK98" s="167"/>
      <c r="KBL98" s="168"/>
      <c r="KBM98" s="167"/>
      <c r="KBN98" s="168"/>
      <c r="KBO98" s="167"/>
      <c r="KBP98" s="168"/>
      <c r="KBQ98" s="167"/>
      <c r="KBR98" s="168"/>
      <c r="KBS98" s="167"/>
      <c r="KBT98" s="168"/>
      <c r="KBU98" s="167"/>
      <c r="KBV98" s="168"/>
      <c r="KBW98" s="167"/>
      <c r="KBX98" s="168"/>
      <c r="KBY98" s="167"/>
      <c r="KBZ98" s="168"/>
      <c r="KCA98" s="167"/>
      <c r="KCB98" s="168"/>
      <c r="KCC98" s="167"/>
      <c r="KCD98" s="168"/>
      <c r="KCE98" s="167"/>
      <c r="KCF98" s="168"/>
      <c r="KCG98" s="167"/>
      <c r="KCH98" s="168"/>
      <c r="KCI98" s="167"/>
      <c r="KCJ98" s="168"/>
      <c r="KCK98" s="167"/>
      <c r="KCL98" s="168"/>
      <c r="KCM98" s="167"/>
      <c r="KCN98" s="168"/>
      <c r="KCO98" s="167"/>
      <c r="KCP98" s="168"/>
      <c r="KCQ98" s="167"/>
      <c r="KCR98" s="168"/>
      <c r="KCS98" s="167"/>
      <c r="KCT98" s="168"/>
      <c r="KCU98" s="167"/>
      <c r="KCV98" s="168"/>
      <c r="KCW98" s="167"/>
      <c r="KCX98" s="168"/>
      <c r="KCY98" s="167"/>
      <c r="KCZ98" s="168"/>
      <c r="KDA98" s="167"/>
      <c r="KDB98" s="168"/>
      <c r="KDC98" s="167"/>
      <c r="KDD98" s="168"/>
      <c r="KDE98" s="167"/>
      <c r="KDF98" s="168"/>
      <c r="KDG98" s="167"/>
      <c r="KDH98" s="168"/>
      <c r="KDI98" s="167"/>
      <c r="KDJ98" s="168"/>
      <c r="KDK98" s="167"/>
      <c r="KDL98" s="168"/>
      <c r="KDM98" s="167"/>
      <c r="KDN98" s="168"/>
      <c r="KDO98" s="167"/>
      <c r="KDP98" s="168"/>
      <c r="KDQ98" s="167"/>
      <c r="KDR98" s="168"/>
      <c r="KDS98" s="167"/>
      <c r="KDT98" s="168"/>
      <c r="KDU98" s="167"/>
      <c r="KDV98" s="168"/>
      <c r="KDW98" s="167"/>
      <c r="KDX98" s="168"/>
      <c r="KDY98" s="167"/>
      <c r="KDZ98" s="168"/>
      <c r="KEA98" s="167"/>
      <c r="KEB98" s="168"/>
      <c r="KEC98" s="167"/>
      <c r="KED98" s="168"/>
      <c r="KEE98" s="167"/>
      <c r="KEF98" s="168"/>
      <c r="KEG98" s="167"/>
      <c r="KEH98" s="168"/>
      <c r="KEI98" s="167"/>
      <c r="KEJ98" s="168"/>
      <c r="KEK98" s="167"/>
      <c r="KEL98" s="168"/>
      <c r="KEM98" s="167"/>
      <c r="KEN98" s="168"/>
      <c r="KEO98" s="167"/>
      <c r="KEP98" s="168"/>
      <c r="KEQ98" s="167"/>
      <c r="KER98" s="168"/>
      <c r="KES98" s="167"/>
      <c r="KET98" s="168"/>
      <c r="KEU98" s="167"/>
      <c r="KEV98" s="168"/>
      <c r="KEW98" s="167"/>
      <c r="KEX98" s="168"/>
      <c r="KEY98" s="167"/>
      <c r="KEZ98" s="168"/>
      <c r="KFA98" s="167"/>
      <c r="KFB98" s="168"/>
      <c r="KFC98" s="167"/>
      <c r="KFD98" s="168"/>
      <c r="KFE98" s="167"/>
      <c r="KFF98" s="168"/>
      <c r="KFG98" s="167"/>
      <c r="KFH98" s="168"/>
      <c r="KFI98" s="167"/>
      <c r="KFJ98" s="168"/>
      <c r="KFK98" s="167"/>
      <c r="KFL98" s="168"/>
      <c r="KFM98" s="167"/>
      <c r="KFN98" s="168"/>
      <c r="KFO98" s="167"/>
      <c r="KFP98" s="168"/>
      <c r="KFQ98" s="167"/>
      <c r="KFR98" s="168"/>
      <c r="KFS98" s="167"/>
      <c r="KFT98" s="168"/>
      <c r="KFU98" s="167"/>
      <c r="KFV98" s="168"/>
      <c r="KFW98" s="167"/>
      <c r="KFX98" s="168"/>
      <c r="KFY98" s="167"/>
      <c r="KFZ98" s="168"/>
      <c r="KGA98" s="167"/>
      <c r="KGB98" s="168"/>
      <c r="KGC98" s="167"/>
      <c r="KGD98" s="168"/>
      <c r="KGE98" s="167"/>
      <c r="KGF98" s="168"/>
      <c r="KGG98" s="167"/>
      <c r="KGH98" s="168"/>
      <c r="KGI98" s="167"/>
      <c r="KGJ98" s="168"/>
      <c r="KGK98" s="167"/>
      <c r="KGL98" s="168"/>
      <c r="KGM98" s="167"/>
      <c r="KGN98" s="168"/>
      <c r="KGO98" s="167"/>
      <c r="KGP98" s="168"/>
      <c r="KGQ98" s="167"/>
      <c r="KGR98" s="168"/>
      <c r="KGS98" s="167"/>
      <c r="KGT98" s="168"/>
      <c r="KGU98" s="167"/>
      <c r="KGV98" s="168"/>
      <c r="KGW98" s="167"/>
      <c r="KGX98" s="168"/>
      <c r="KGY98" s="167"/>
      <c r="KGZ98" s="168"/>
      <c r="KHA98" s="167"/>
      <c r="KHB98" s="168"/>
      <c r="KHC98" s="167"/>
      <c r="KHD98" s="168"/>
      <c r="KHE98" s="167"/>
      <c r="KHF98" s="168"/>
      <c r="KHG98" s="167"/>
      <c r="KHH98" s="168"/>
      <c r="KHI98" s="167"/>
      <c r="KHJ98" s="168"/>
      <c r="KHK98" s="167"/>
      <c r="KHL98" s="168"/>
      <c r="KHM98" s="167"/>
      <c r="KHN98" s="168"/>
      <c r="KHO98" s="167"/>
      <c r="KHP98" s="168"/>
      <c r="KHQ98" s="167"/>
      <c r="KHR98" s="168"/>
      <c r="KHS98" s="167"/>
      <c r="KHT98" s="168"/>
      <c r="KHU98" s="167"/>
      <c r="KHV98" s="168"/>
      <c r="KHW98" s="167"/>
      <c r="KHX98" s="168"/>
      <c r="KHY98" s="167"/>
      <c r="KHZ98" s="168"/>
      <c r="KIA98" s="167"/>
      <c r="KIB98" s="168"/>
      <c r="KIC98" s="167"/>
      <c r="KID98" s="168"/>
      <c r="KIE98" s="167"/>
      <c r="KIF98" s="168"/>
      <c r="KIG98" s="167"/>
      <c r="KIH98" s="168"/>
      <c r="KII98" s="167"/>
      <c r="KIJ98" s="168"/>
      <c r="KIK98" s="167"/>
      <c r="KIL98" s="168"/>
      <c r="KIM98" s="167"/>
      <c r="KIN98" s="168"/>
      <c r="KIO98" s="167"/>
      <c r="KIP98" s="168"/>
      <c r="KIQ98" s="167"/>
      <c r="KIR98" s="168"/>
      <c r="KIS98" s="167"/>
      <c r="KIT98" s="168"/>
      <c r="KIU98" s="167"/>
      <c r="KIV98" s="168"/>
      <c r="KIW98" s="167"/>
      <c r="KIX98" s="168"/>
      <c r="KIY98" s="167"/>
      <c r="KIZ98" s="168"/>
      <c r="KJA98" s="167"/>
      <c r="KJB98" s="168"/>
      <c r="KJC98" s="167"/>
      <c r="KJD98" s="168"/>
      <c r="KJE98" s="167"/>
      <c r="KJF98" s="168"/>
      <c r="KJG98" s="167"/>
      <c r="KJH98" s="168"/>
      <c r="KJI98" s="167"/>
      <c r="KJJ98" s="168"/>
      <c r="KJK98" s="167"/>
      <c r="KJL98" s="168"/>
      <c r="KJM98" s="167"/>
      <c r="KJN98" s="168"/>
      <c r="KJO98" s="167"/>
      <c r="KJP98" s="168"/>
      <c r="KJQ98" s="167"/>
      <c r="KJR98" s="168"/>
      <c r="KJS98" s="167"/>
      <c r="KJT98" s="168"/>
      <c r="KJU98" s="167"/>
      <c r="KJV98" s="168"/>
      <c r="KJW98" s="167"/>
      <c r="KJX98" s="168"/>
      <c r="KJY98" s="167"/>
      <c r="KJZ98" s="168"/>
      <c r="KKA98" s="167"/>
      <c r="KKB98" s="168"/>
      <c r="KKC98" s="167"/>
      <c r="KKD98" s="168"/>
      <c r="KKE98" s="167"/>
      <c r="KKF98" s="168"/>
      <c r="KKG98" s="167"/>
      <c r="KKH98" s="168"/>
      <c r="KKI98" s="167"/>
      <c r="KKJ98" s="168"/>
      <c r="KKK98" s="167"/>
      <c r="KKL98" s="168"/>
      <c r="KKM98" s="167"/>
      <c r="KKN98" s="168"/>
      <c r="KKO98" s="167"/>
      <c r="KKP98" s="168"/>
      <c r="KKQ98" s="167"/>
      <c r="KKR98" s="168"/>
      <c r="KKS98" s="167"/>
      <c r="KKT98" s="168"/>
      <c r="KKU98" s="167"/>
      <c r="KKV98" s="168"/>
      <c r="KKW98" s="167"/>
      <c r="KKX98" s="168"/>
      <c r="KKY98" s="167"/>
      <c r="KKZ98" s="168"/>
      <c r="KLA98" s="167"/>
      <c r="KLB98" s="168"/>
      <c r="KLC98" s="167"/>
      <c r="KLD98" s="168"/>
      <c r="KLE98" s="167"/>
      <c r="KLF98" s="168"/>
      <c r="KLG98" s="167"/>
      <c r="KLH98" s="168"/>
      <c r="KLI98" s="167"/>
      <c r="KLJ98" s="168"/>
      <c r="KLK98" s="167"/>
      <c r="KLL98" s="168"/>
      <c r="KLM98" s="167"/>
      <c r="KLN98" s="168"/>
      <c r="KLO98" s="167"/>
      <c r="KLP98" s="168"/>
      <c r="KLQ98" s="167"/>
      <c r="KLR98" s="168"/>
      <c r="KLS98" s="167"/>
      <c r="KLT98" s="168"/>
      <c r="KLU98" s="167"/>
      <c r="KLV98" s="168"/>
      <c r="KLW98" s="167"/>
      <c r="KLX98" s="168"/>
      <c r="KLY98" s="167"/>
      <c r="KLZ98" s="168"/>
      <c r="KMA98" s="167"/>
      <c r="KMB98" s="168"/>
      <c r="KMC98" s="167"/>
      <c r="KMD98" s="168"/>
      <c r="KME98" s="167"/>
      <c r="KMF98" s="168"/>
      <c r="KMG98" s="167"/>
      <c r="KMH98" s="168"/>
      <c r="KMI98" s="167"/>
      <c r="KMJ98" s="168"/>
      <c r="KMK98" s="167"/>
      <c r="KML98" s="168"/>
      <c r="KMM98" s="167"/>
      <c r="KMN98" s="168"/>
      <c r="KMO98" s="167"/>
      <c r="KMP98" s="168"/>
      <c r="KMQ98" s="167"/>
      <c r="KMR98" s="168"/>
      <c r="KMS98" s="167"/>
      <c r="KMT98" s="168"/>
      <c r="KMU98" s="167"/>
      <c r="KMV98" s="168"/>
      <c r="KMW98" s="167"/>
      <c r="KMX98" s="168"/>
      <c r="KMY98" s="167"/>
      <c r="KMZ98" s="168"/>
      <c r="KNA98" s="167"/>
      <c r="KNB98" s="168"/>
      <c r="KNC98" s="167"/>
      <c r="KND98" s="168"/>
      <c r="KNE98" s="167"/>
      <c r="KNF98" s="168"/>
      <c r="KNG98" s="167"/>
      <c r="KNH98" s="168"/>
      <c r="KNI98" s="167"/>
      <c r="KNJ98" s="168"/>
      <c r="KNK98" s="167"/>
      <c r="KNL98" s="168"/>
      <c r="KNM98" s="167"/>
      <c r="KNN98" s="168"/>
      <c r="KNO98" s="167"/>
      <c r="KNP98" s="168"/>
      <c r="KNQ98" s="167"/>
      <c r="KNR98" s="168"/>
      <c r="KNS98" s="167"/>
      <c r="KNT98" s="168"/>
      <c r="KNU98" s="167"/>
      <c r="KNV98" s="168"/>
      <c r="KNW98" s="167"/>
      <c r="KNX98" s="168"/>
      <c r="KNY98" s="167"/>
      <c r="KNZ98" s="168"/>
      <c r="KOA98" s="167"/>
      <c r="KOB98" s="168"/>
      <c r="KOC98" s="167"/>
      <c r="KOD98" s="168"/>
      <c r="KOE98" s="167"/>
      <c r="KOF98" s="168"/>
      <c r="KOG98" s="167"/>
      <c r="KOH98" s="168"/>
      <c r="KOI98" s="167"/>
      <c r="KOJ98" s="168"/>
      <c r="KOK98" s="167"/>
      <c r="KOL98" s="168"/>
      <c r="KOM98" s="167"/>
      <c r="KON98" s="168"/>
      <c r="KOO98" s="167"/>
      <c r="KOP98" s="168"/>
      <c r="KOQ98" s="167"/>
      <c r="KOR98" s="168"/>
      <c r="KOS98" s="167"/>
      <c r="KOT98" s="168"/>
      <c r="KOU98" s="167"/>
      <c r="KOV98" s="168"/>
      <c r="KOW98" s="167"/>
      <c r="KOX98" s="168"/>
      <c r="KOY98" s="167"/>
      <c r="KOZ98" s="168"/>
      <c r="KPA98" s="167"/>
      <c r="KPB98" s="168"/>
      <c r="KPC98" s="167"/>
      <c r="KPD98" s="168"/>
      <c r="KPE98" s="167"/>
      <c r="KPF98" s="168"/>
      <c r="KPG98" s="167"/>
      <c r="KPH98" s="168"/>
      <c r="KPI98" s="167"/>
      <c r="KPJ98" s="168"/>
      <c r="KPK98" s="167"/>
      <c r="KPL98" s="168"/>
      <c r="KPM98" s="167"/>
      <c r="KPN98" s="168"/>
      <c r="KPO98" s="167"/>
      <c r="KPP98" s="168"/>
      <c r="KPQ98" s="167"/>
      <c r="KPR98" s="168"/>
      <c r="KPS98" s="167"/>
      <c r="KPT98" s="168"/>
      <c r="KPU98" s="167"/>
      <c r="KPV98" s="168"/>
      <c r="KPW98" s="167"/>
      <c r="KPX98" s="168"/>
      <c r="KPY98" s="167"/>
      <c r="KPZ98" s="168"/>
      <c r="KQA98" s="167"/>
      <c r="KQB98" s="168"/>
      <c r="KQC98" s="167"/>
      <c r="KQD98" s="168"/>
      <c r="KQE98" s="167"/>
      <c r="KQF98" s="168"/>
      <c r="KQG98" s="167"/>
      <c r="KQH98" s="168"/>
      <c r="KQI98" s="167"/>
      <c r="KQJ98" s="168"/>
      <c r="KQK98" s="167"/>
      <c r="KQL98" s="168"/>
      <c r="KQM98" s="167"/>
      <c r="KQN98" s="168"/>
      <c r="KQO98" s="167"/>
      <c r="KQP98" s="168"/>
      <c r="KQQ98" s="167"/>
      <c r="KQR98" s="168"/>
      <c r="KQS98" s="167"/>
      <c r="KQT98" s="168"/>
      <c r="KQU98" s="167"/>
      <c r="KQV98" s="168"/>
      <c r="KQW98" s="167"/>
      <c r="KQX98" s="168"/>
      <c r="KQY98" s="167"/>
      <c r="KQZ98" s="168"/>
      <c r="KRA98" s="167"/>
      <c r="KRB98" s="168"/>
      <c r="KRC98" s="167"/>
      <c r="KRD98" s="168"/>
      <c r="KRE98" s="167"/>
      <c r="KRF98" s="168"/>
      <c r="KRG98" s="167"/>
      <c r="KRH98" s="168"/>
      <c r="KRI98" s="167"/>
      <c r="KRJ98" s="168"/>
      <c r="KRK98" s="167"/>
      <c r="KRL98" s="168"/>
      <c r="KRM98" s="167"/>
      <c r="KRN98" s="168"/>
      <c r="KRO98" s="167"/>
      <c r="KRP98" s="168"/>
      <c r="KRQ98" s="167"/>
      <c r="KRR98" s="168"/>
      <c r="KRS98" s="167"/>
      <c r="KRT98" s="168"/>
      <c r="KRU98" s="167"/>
      <c r="KRV98" s="168"/>
      <c r="KRW98" s="167"/>
      <c r="KRX98" s="168"/>
      <c r="KRY98" s="167"/>
      <c r="KRZ98" s="168"/>
      <c r="KSA98" s="167"/>
      <c r="KSB98" s="168"/>
      <c r="KSC98" s="167"/>
      <c r="KSD98" s="168"/>
      <c r="KSE98" s="167"/>
      <c r="KSF98" s="168"/>
      <c r="KSG98" s="167"/>
      <c r="KSH98" s="168"/>
      <c r="KSI98" s="167"/>
      <c r="KSJ98" s="168"/>
      <c r="KSK98" s="167"/>
      <c r="KSL98" s="168"/>
      <c r="KSM98" s="167"/>
      <c r="KSN98" s="168"/>
      <c r="KSO98" s="167"/>
      <c r="KSP98" s="168"/>
      <c r="KSQ98" s="167"/>
      <c r="KSR98" s="168"/>
      <c r="KSS98" s="167"/>
      <c r="KST98" s="168"/>
      <c r="KSU98" s="167"/>
      <c r="KSV98" s="168"/>
      <c r="KSW98" s="167"/>
      <c r="KSX98" s="168"/>
      <c r="KSY98" s="167"/>
      <c r="KSZ98" s="168"/>
      <c r="KTA98" s="167"/>
      <c r="KTB98" s="168"/>
      <c r="KTC98" s="167"/>
      <c r="KTD98" s="168"/>
      <c r="KTE98" s="167"/>
      <c r="KTF98" s="168"/>
      <c r="KTG98" s="167"/>
      <c r="KTH98" s="168"/>
      <c r="KTI98" s="167"/>
      <c r="KTJ98" s="168"/>
      <c r="KTK98" s="167"/>
      <c r="KTL98" s="168"/>
      <c r="KTM98" s="167"/>
      <c r="KTN98" s="168"/>
      <c r="KTO98" s="167"/>
      <c r="KTP98" s="168"/>
      <c r="KTQ98" s="167"/>
      <c r="KTR98" s="168"/>
      <c r="KTS98" s="167"/>
      <c r="KTT98" s="168"/>
      <c r="KTU98" s="167"/>
      <c r="KTV98" s="168"/>
      <c r="KTW98" s="167"/>
      <c r="KTX98" s="168"/>
      <c r="KTY98" s="167"/>
      <c r="KTZ98" s="168"/>
      <c r="KUA98" s="167"/>
      <c r="KUB98" s="168"/>
      <c r="KUC98" s="167"/>
      <c r="KUD98" s="168"/>
      <c r="KUE98" s="167"/>
      <c r="KUF98" s="168"/>
      <c r="KUG98" s="167"/>
      <c r="KUH98" s="168"/>
      <c r="KUI98" s="167"/>
      <c r="KUJ98" s="168"/>
      <c r="KUK98" s="167"/>
      <c r="KUL98" s="168"/>
      <c r="KUM98" s="167"/>
      <c r="KUN98" s="168"/>
      <c r="KUO98" s="167"/>
      <c r="KUP98" s="168"/>
      <c r="KUQ98" s="167"/>
      <c r="KUR98" s="168"/>
      <c r="KUS98" s="167"/>
      <c r="KUT98" s="168"/>
      <c r="KUU98" s="167"/>
      <c r="KUV98" s="168"/>
      <c r="KUW98" s="167"/>
      <c r="KUX98" s="168"/>
      <c r="KUY98" s="167"/>
      <c r="KUZ98" s="168"/>
      <c r="KVA98" s="167"/>
      <c r="KVB98" s="168"/>
      <c r="KVC98" s="167"/>
      <c r="KVD98" s="168"/>
      <c r="KVE98" s="167"/>
      <c r="KVF98" s="168"/>
      <c r="KVG98" s="167"/>
      <c r="KVH98" s="168"/>
      <c r="KVI98" s="167"/>
      <c r="KVJ98" s="168"/>
      <c r="KVK98" s="167"/>
      <c r="KVL98" s="168"/>
      <c r="KVM98" s="167"/>
      <c r="KVN98" s="168"/>
      <c r="KVO98" s="167"/>
      <c r="KVP98" s="168"/>
      <c r="KVQ98" s="167"/>
      <c r="KVR98" s="168"/>
      <c r="KVS98" s="167"/>
      <c r="KVT98" s="168"/>
      <c r="KVU98" s="167"/>
      <c r="KVV98" s="168"/>
      <c r="KVW98" s="167"/>
      <c r="KVX98" s="168"/>
      <c r="KVY98" s="167"/>
      <c r="KVZ98" s="168"/>
      <c r="KWA98" s="167"/>
      <c r="KWB98" s="168"/>
      <c r="KWC98" s="167"/>
      <c r="KWD98" s="168"/>
      <c r="KWE98" s="167"/>
      <c r="KWF98" s="168"/>
      <c r="KWG98" s="167"/>
      <c r="KWH98" s="168"/>
      <c r="KWI98" s="167"/>
      <c r="KWJ98" s="168"/>
      <c r="KWK98" s="167"/>
      <c r="KWL98" s="168"/>
      <c r="KWM98" s="167"/>
      <c r="KWN98" s="168"/>
      <c r="KWO98" s="167"/>
      <c r="KWP98" s="168"/>
      <c r="KWQ98" s="167"/>
      <c r="KWR98" s="168"/>
      <c r="KWS98" s="167"/>
      <c r="KWT98" s="168"/>
      <c r="KWU98" s="167"/>
      <c r="KWV98" s="168"/>
      <c r="KWW98" s="167"/>
      <c r="KWX98" s="168"/>
      <c r="KWY98" s="167"/>
      <c r="KWZ98" s="168"/>
      <c r="KXA98" s="167"/>
      <c r="KXB98" s="168"/>
      <c r="KXC98" s="167"/>
      <c r="KXD98" s="168"/>
      <c r="KXE98" s="167"/>
      <c r="KXF98" s="168"/>
      <c r="KXG98" s="167"/>
      <c r="KXH98" s="168"/>
      <c r="KXI98" s="167"/>
      <c r="KXJ98" s="168"/>
      <c r="KXK98" s="167"/>
      <c r="KXL98" s="168"/>
      <c r="KXM98" s="167"/>
      <c r="KXN98" s="168"/>
      <c r="KXO98" s="167"/>
      <c r="KXP98" s="168"/>
      <c r="KXQ98" s="167"/>
      <c r="KXR98" s="168"/>
      <c r="KXS98" s="167"/>
      <c r="KXT98" s="168"/>
      <c r="KXU98" s="167"/>
      <c r="KXV98" s="168"/>
      <c r="KXW98" s="167"/>
      <c r="KXX98" s="168"/>
      <c r="KXY98" s="167"/>
      <c r="KXZ98" s="168"/>
      <c r="KYA98" s="167"/>
      <c r="KYB98" s="168"/>
      <c r="KYC98" s="167"/>
      <c r="KYD98" s="168"/>
      <c r="KYE98" s="167"/>
      <c r="KYF98" s="168"/>
      <c r="KYG98" s="167"/>
      <c r="KYH98" s="168"/>
      <c r="KYI98" s="167"/>
      <c r="KYJ98" s="168"/>
      <c r="KYK98" s="167"/>
      <c r="KYL98" s="168"/>
      <c r="KYM98" s="167"/>
      <c r="KYN98" s="168"/>
      <c r="KYO98" s="167"/>
      <c r="KYP98" s="168"/>
      <c r="KYQ98" s="167"/>
      <c r="KYR98" s="168"/>
      <c r="KYS98" s="167"/>
      <c r="KYT98" s="168"/>
      <c r="KYU98" s="167"/>
      <c r="KYV98" s="168"/>
      <c r="KYW98" s="167"/>
      <c r="KYX98" s="168"/>
      <c r="KYY98" s="167"/>
      <c r="KYZ98" s="168"/>
      <c r="KZA98" s="167"/>
      <c r="KZB98" s="168"/>
      <c r="KZC98" s="167"/>
      <c r="KZD98" s="168"/>
      <c r="KZE98" s="167"/>
      <c r="KZF98" s="168"/>
      <c r="KZG98" s="167"/>
      <c r="KZH98" s="168"/>
      <c r="KZI98" s="167"/>
      <c r="KZJ98" s="168"/>
      <c r="KZK98" s="167"/>
      <c r="KZL98" s="168"/>
      <c r="KZM98" s="167"/>
      <c r="KZN98" s="168"/>
      <c r="KZO98" s="167"/>
      <c r="KZP98" s="168"/>
      <c r="KZQ98" s="167"/>
      <c r="KZR98" s="168"/>
      <c r="KZS98" s="167"/>
      <c r="KZT98" s="168"/>
      <c r="KZU98" s="167"/>
      <c r="KZV98" s="168"/>
      <c r="KZW98" s="167"/>
      <c r="KZX98" s="168"/>
      <c r="KZY98" s="167"/>
      <c r="KZZ98" s="168"/>
      <c r="LAA98" s="167"/>
      <c r="LAB98" s="168"/>
      <c r="LAC98" s="167"/>
      <c r="LAD98" s="168"/>
      <c r="LAE98" s="167"/>
      <c r="LAF98" s="168"/>
      <c r="LAG98" s="167"/>
      <c r="LAH98" s="168"/>
      <c r="LAI98" s="167"/>
      <c r="LAJ98" s="168"/>
      <c r="LAK98" s="167"/>
      <c r="LAL98" s="168"/>
      <c r="LAM98" s="167"/>
      <c r="LAN98" s="168"/>
      <c r="LAO98" s="167"/>
      <c r="LAP98" s="168"/>
      <c r="LAQ98" s="167"/>
      <c r="LAR98" s="168"/>
      <c r="LAS98" s="167"/>
      <c r="LAT98" s="168"/>
      <c r="LAU98" s="167"/>
      <c r="LAV98" s="168"/>
      <c r="LAW98" s="167"/>
      <c r="LAX98" s="168"/>
      <c r="LAY98" s="167"/>
      <c r="LAZ98" s="168"/>
      <c r="LBA98" s="167"/>
      <c r="LBB98" s="168"/>
      <c r="LBC98" s="167"/>
      <c r="LBD98" s="168"/>
      <c r="LBE98" s="167"/>
      <c r="LBF98" s="168"/>
      <c r="LBG98" s="167"/>
      <c r="LBH98" s="168"/>
      <c r="LBI98" s="167"/>
      <c r="LBJ98" s="168"/>
      <c r="LBK98" s="167"/>
      <c r="LBL98" s="168"/>
      <c r="LBM98" s="167"/>
      <c r="LBN98" s="168"/>
      <c r="LBO98" s="167"/>
      <c r="LBP98" s="168"/>
      <c r="LBQ98" s="167"/>
      <c r="LBR98" s="168"/>
      <c r="LBS98" s="167"/>
      <c r="LBT98" s="168"/>
      <c r="LBU98" s="167"/>
      <c r="LBV98" s="168"/>
      <c r="LBW98" s="167"/>
      <c r="LBX98" s="168"/>
      <c r="LBY98" s="167"/>
      <c r="LBZ98" s="168"/>
      <c r="LCA98" s="167"/>
      <c r="LCB98" s="168"/>
      <c r="LCC98" s="167"/>
      <c r="LCD98" s="168"/>
      <c r="LCE98" s="167"/>
      <c r="LCF98" s="168"/>
      <c r="LCG98" s="167"/>
      <c r="LCH98" s="168"/>
      <c r="LCI98" s="167"/>
      <c r="LCJ98" s="168"/>
      <c r="LCK98" s="167"/>
      <c r="LCL98" s="168"/>
      <c r="LCM98" s="167"/>
      <c r="LCN98" s="168"/>
      <c r="LCO98" s="167"/>
      <c r="LCP98" s="168"/>
      <c r="LCQ98" s="167"/>
      <c r="LCR98" s="168"/>
      <c r="LCS98" s="167"/>
      <c r="LCT98" s="168"/>
      <c r="LCU98" s="167"/>
      <c r="LCV98" s="168"/>
      <c r="LCW98" s="167"/>
      <c r="LCX98" s="168"/>
      <c r="LCY98" s="167"/>
      <c r="LCZ98" s="168"/>
      <c r="LDA98" s="167"/>
      <c r="LDB98" s="168"/>
      <c r="LDC98" s="167"/>
      <c r="LDD98" s="168"/>
      <c r="LDE98" s="167"/>
      <c r="LDF98" s="168"/>
      <c r="LDG98" s="167"/>
      <c r="LDH98" s="168"/>
      <c r="LDI98" s="167"/>
      <c r="LDJ98" s="168"/>
      <c r="LDK98" s="167"/>
      <c r="LDL98" s="168"/>
      <c r="LDM98" s="167"/>
      <c r="LDN98" s="168"/>
      <c r="LDO98" s="167"/>
      <c r="LDP98" s="168"/>
      <c r="LDQ98" s="167"/>
      <c r="LDR98" s="168"/>
      <c r="LDS98" s="167"/>
      <c r="LDT98" s="168"/>
      <c r="LDU98" s="167"/>
      <c r="LDV98" s="168"/>
      <c r="LDW98" s="167"/>
      <c r="LDX98" s="168"/>
      <c r="LDY98" s="167"/>
      <c r="LDZ98" s="168"/>
      <c r="LEA98" s="167"/>
      <c r="LEB98" s="168"/>
      <c r="LEC98" s="167"/>
      <c r="LED98" s="168"/>
      <c r="LEE98" s="167"/>
      <c r="LEF98" s="168"/>
      <c r="LEG98" s="167"/>
      <c r="LEH98" s="168"/>
      <c r="LEI98" s="167"/>
      <c r="LEJ98" s="168"/>
      <c r="LEK98" s="167"/>
      <c r="LEL98" s="168"/>
      <c r="LEM98" s="167"/>
      <c r="LEN98" s="168"/>
      <c r="LEO98" s="167"/>
      <c r="LEP98" s="168"/>
      <c r="LEQ98" s="167"/>
      <c r="LER98" s="168"/>
      <c r="LES98" s="167"/>
      <c r="LET98" s="168"/>
      <c r="LEU98" s="167"/>
      <c r="LEV98" s="168"/>
      <c r="LEW98" s="167"/>
      <c r="LEX98" s="168"/>
      <c r="LEY98" s="167"/>
      <c r="LEZ98" s="168"/>
      <c r="LFA98" s="167"/>
      <c r="LFB98" s="168"/>
      <c r="LFC98" s="167"/>
      <c r="LFD98" s="168"/>
      <c r="LFE98" s="167"/>
      <c r="LFF98" s="168"/>
      <c r="LFG98" s="167"/>
      <c r="LFH98" s="168"/>
      <c r="LFI98" s="167"/>
      <c r="LFJ98" s="168"/>
      <c r="LFK98" s="167"/>
      <c r="LFL98" s="168"/>
      <c r="LFM98" s="167"/>
      <c r="LFN98" s="168"/>
      <c r="LFO98" s="167"/>
      <c r="LFP98" s="168"/>
      <c r="LFQ98" s="167"/>
      <c r="LFR98" s="168"/>
      <c r="LFS98" s="167"/>
      <c r="LFT98" s="168"/>
      <c r="LFU98" s="167"/>
      <c r="LFV98" s="168"/>
      <c r="LFW98" s="167"/>
      <c r="LFX98" s="168"/>
      <c r="LFY98" s="167"/>
      <c r="LFZ98" s="168"/>
      <c r="LGA98" s="167"/>
      <c r="LGB98" s="168"/>
      <c r="LGC98" s="167"/>
      <c r="LGD98" s="168"/>
      <c r="LGE98" s="167"/>
      <c r="LGF98" s="168"/>
      <c r="LGG98" s="167"/>
      <c r="LGH98" s="168"/>
      <c r="LGI98" s="167"/>
      <c r="LGJ98" s="168"/>
      <c r="LGK98" s="167"/>
      <c r="LGL98" s="168"/>
      <c r="LGM98" s="167"/>
      <c r="LGN98" s="168"/>
      <c r="LGO98" s="167"/>
      <c r="LGP98" s="168"/>
      <c r="LGQ98" s="167"/>
      <c r="LGR98" s="168"/>
      <c r="LGS98" s="167"/>
      <c r="LGT98" s="168"/>
      <c r="LGU98" s="167"/>
      <c r="LGV98" s="168"/>
      <c r="LGW98" s="167"/>
      <c r="LGX98" s="168"/>
      <c r="LGY98" s="167"/>
      <c r="LGZ98" s="168"/>
      <c r="LHA98" s="167"/>
      <c r="LHB98" s="168"/>
      <c r="LHC98" s="167"/>
      <c r="LHD98" s="168"/>
      <c r="LHE98" s="167"/>
      <c r="LHF98" s="168"/>
      <c r="LHG98" s="167"/>
      <c r="LHH98" s="168"/>
      <c r="LHI98" s="167"/>
      <c r="LHJ98" s="168"/>
      <c r="LHK98" s="167"/>
      <c r="LHL98" s="168"/>
      <c r="LHM98" s="167"/>
      <c r="LHN98" s="168"/>
      <c r="LHO98" s="167"/>
      <c r="LHP98" s="168"/>
      <c r="LHQ98" s="167"/>
      <c r="LHR98" s="168"/>
      <c r="LHS98" s="167"/>
      <c r="LHT98" s="168"/>
      <c r="LHU98" s="167"/>
      <c r="LHV98" s="168"/>
      <c r="LHW98" s="167"/>
      <c r="LHX98" s="168"/>
      <c r="LHY98" s="167"/>
      <c r="LHZ98" s="168"/>
      <c r="LIA98" s="167"/>
      <c r="LIB98" s="168"/>
      <c r="LIC98" s="167"/>
      <c r="LID98" s="168"/>
      <c r="LIE98" s="167"/>
      <c r="LIF98" s="168"/>
      <c r="LIG98" s="167"/>
      <c r="LIH98" s="168"/>
      <c r="LII98" s="167"/>
      <c r="LIJ98" s="168"/>
      <c r="LIK98" s="167"/>
      <c r="LIL98" s="168"/>
      <c r="LIM98" s="167"/>
      <c r="LIN98" s="168"/>
      <c r="LIO98" s="167"/>
      <c r="LIP98" s="168"/>
      <c r="LIQ98" s="167"/>
      <c r="LIR98" s="168"/>
      <c r="LIS98" s="167"/>
      <c r="LIT98" s="168"/>
      <c r="LIU98" s="167"/>
      <c r="LIV98" s="168"/>
      <c r="LIW98" s="167"/>
      <c r="LIX98" s="168"/>
      <c r="LIY98" s="167"/>
      <c r="LIZ98" s="168"/>
      <c r="LJA98" s="167"/>
      <c r="LJB98" s="168"/>
      <c r="LJC98" s="167"/>
      <c r="LJD98" s="168"/>
      <c r="LJE98" s="167"/>
      <c r="LJF98" s="168"/>
      <c r="LJG98" s="167"/>
      <c r="LJH98" s="168"/>
      <c r="LJI98" s="167"/>
      <c r="LJJ98" s="168"/>
      <c r="LJK98" s="167"/>
      <c r="LJL98" s="168"/>
      <c r="LJM98" s="167"/>
      <c r="LJN98" s="168"/>
      <c r="LJO98" s="167"/>
      <c r="LJP98" s="168"/>
      <c r="LJQ98" s="167"/>
      <c r="LJR98" s="168"/>
      <c r="LJS98" s="167"/>
      <c r="LJT98" s="168"/>
      <c r="LJU98" s="167"/>
      <c r="LJV98" s="168"/>
      <c r="LJW98" s="167"/>
      <c r="LJX98" s="168"/>
      <c r="LJY98" s="167"/>
      <c r="LJZ98" s="168"/>
      <c r="LKA98" s="167"/>
      <c r="LKB98" s="168"/>
      <c r="LKC98" s="167"/>
      <c r="LKD98" s="168"/>
      <c r="LKE98" s="167"/>
      <c r="LKF98" s="168"/>
      <c r="LKG98" s="167"/>
      <c r="LKH98" s="168"/>
      <c r="LKI98" s="167"/>
      <c r="LKJ98" s="168"/>
      <c r="LKK98" s="167"/>
      <c r="LKL98" s="168"/>
      <c r="LKM98" s="167"/>
      <c r="LKN98" s="168"/>
      <c r="LKO98" s="167"/>
      <c r="LKP98" s="168"/>
      <c r="LKQ98" s="167"/>
      <c r="LKR98" s="168"/>
      <c r="LKS98" s="167"/>
      <c r="LKT98" s="168"/>
      <c r="LKU98" s="167"/>
      <c r="LKV98" s="168"/>
      <c r="LKW98" s="167"/>
      <c r="LKX98" s="168"/>
      <c r="LKY98" s="167"/>
      <c r="LKZ98" s="168"/>
      <c r="LLA98" s="167"/>
      <c r="LLB98" s="168"/>
      <c r="LLC98" s="167"/>
      <c r="LLD98" s="168"/>
      <c r="LLE98" s="167"/>
      <c r="LLF98" s="168"/>
      <c r="LLG98" s="167"/>
      <c r="LLH98" s="168"/>
      <c r="LLI98" s="167"/>
      <c r="LLJ98" s="168"/>
      <c r="LLK98" s="167"/>
      <c r="LLL98" s="168"/>
      <c r="LLM98" s="167"/>
      <c r="LLN98" s="168"/>
      <c r="LLO98" s="167"/>
      <c r="LLP98" s="168"/>
      <c r="LLQ98" s="167"/>
      <c r="LLR98" s="168"/>
      <c r="LLS98" s="167"/>
      <c r="LLT98" s="168"/>
      <c r="LLU98" s="167"/>
      <c r="LLV98" s="168"/>
      <c r="LLW98" s="167"/>
      <c r="LLX98" s="168"/>
      <c r="LLY98" s="167"/>
      <c r="LLZ98" s="168"/>
      <c r="LMA98" s="167"/>
      <c r="LMB98" s="168"/>
      <c r="LMC98" s="167"/>
      <c r="LMD98" s="168"/>
      <c r="LME98" s="167"/>
      <c r="LMF98" s="168"/>
      <c r="LMG98" s="167"/>
      <c r="LMH98" s="168"/>
      <c r="LMI98" s="167"/>
      <c r="LMJ98" s="168"/>
      <c r="LMK98" s="167"/>
      <c r="LML98" s="168"/>
      <c r="LMM98" s="167"/>
      <c r="LMN98" s="168"/>
      <c r="LMO98" s="167"/>
      <c r="LMP98" s="168"/>
      <c r="LMQ98" s="167"/>
      <c r="LMR98" s="168"/>
      <c r="LMS98" s="167"/>
      <c r="LMT98" s="168"/>
      <c r="LMU98" s="167"/>
      <c r="LMV98" s="168"/>
      <c r="LMW98" s="167"/>
      <c r="LMX98" s="168"/>
      <c r="LMY98" s="167"/>
      <c r="LMZ98" s="168"/>
      <c r="LNA98" s="167"/>
      <c r="LNB98" s="168"/>
      <c r="LNC98" s="167"/>
      <c r="LND98" s="168"/>
      <c r="LNE98" s="167"/>
      <c r="LNF98" s="168"/>
      <c r="LNG98" s="167"/>
      <c r="LNH98" s="168"/>
      <c r="LNI98" s="167"/>
      <c r="LNJ98" s="168"/>
      <c r="LNK98" s="167"/>
      <c r="LNL98" s="168"/>
      <c r="LNM98" s="167"/>
      <c r="LNN98" s="168"/>
      <c r="LNO98" s="167"/>
      <c r="LNP98" s="168"/>
      <c r="LNQ98" s="167"/>
      <c r="LNR98" s="168"/>
      <c r="LNS98" s="167"/>
      <c r="LNT98" s="168"/>
      <c r="LNU98" s="167"/>
      <c r="LNV98" s="168"/>
      <c r="LNW98" s="167"/>
      <c r="LNX98" s="168"/>
      <c r="LNY98" s="167"/>
      <c r="LNZ98" s="168"/>
      <c r="LOA98" s="167"/>
      <c r="LOB98" s="168"/>
      <c r="LOC98" s="167"/>
      <c r="LOD98" s="168"/>
      <c r="LOE98" s="167"/>
      <c r="LOF98" s="168"/>
      <c r="LOG98" s="167"/>
      <c r="LOH98" s="168"/>
      <c r="LOI98" s="167"/>
      <c r="LOJ98" s="168"/>
      <c r="LOK98" s="167"/>
      <c r="LOL98" s="168"/>
      <c r="LOM98" s="167"/>
      <c r="LON98" s="168"/>
      <c r="LOO98" s="167"/>
      <c r="LOP98" s="168"/>
      <c r="LOQ98" s="167"/>
      <c r="LOR98" s="168"/>
      <c r="LOS98" s="167"/>
      <c r="LOT98" s="168"/>
      <c r="LOU98" s="167"/>
      <c r="LOV98" s="168"/>
      <c r="LOW98" s="167"/>
      <c r="LOX98" s="168"/>
      <c r="LOY98" s="167"/>
      <c r="LOZ98" s="168"/>
      <c r="LPA98" s="167"/>
      <c r="LPB98" s="168"/>
      <c r="LPC98" s="167"/>
      <c r="LPD98" s="168"/>
      <c r="LPE98" s="167"/>
      <c r="LPF98" s="168"/>
      <c r="LPG98" s="167"/>
      <c r="LPH98" s="168"/>
      <c r="LPI98" s="167"/>
      <c r="LPJ98" s="168"/>
      <c r="LPK98" s="167"/>
      <c r="LPL98" s="168"/>
      <c r="LPM98" s="167"/>
      <c r="LPN98" s="168"/>
      <c r="LPO98" s="167"/>
      <c r="LPP98" s="168"/>
      <c r="LPQ98" s="167"/>
      <c r="LPR98" s="168"/>
      <c r="LPS98" s="167"/>
      <c r="LPT98" s="168"/>
      <c r="LPU98" s="167"/>
      <c r="LPV98" s="168"/>
      <c r="LPW98" s="167"/>
      <c r="LPX98" s="168"/>
      <c r="LPY98" s="167"/>
      <c r="LPZ98" s="168"/>
      <c r="LQA98" s="167"/>
      <c r="LQB98" s="168"/>
      <c r="LQC98" s="167"/>
      <c r="LQD98" s="168"/>
      <c r="LQE98" s="167"/>
      <c r="LQF98" s="168"/>
      <c r="LQG98" s="167"/>
      <c r="LQH98" s="168"/>
      <c r="LQI98" s="167"/>
      <c r="LQJ98" s="168"/>
      <c r="LQK98" s="167"/>
      <c r="LQL98" s="168"/>
      <c r="LQM98" s="167"/>
      <c r="LQN98" s="168"/>
      <c r="LQO98" s="167"/>
      <c r="LQP98" s="168"/>
      <c r="LQQ98" s="167"/>
      <c r="LQR98" s="168"/>
      <c r="LQS98" s="167"/>
      <c r="LQT98" s="168"/>
      <c r="LQU98" s="167"/>
      <c r="LQV98" s="168"/>
      <c r="LQW98" s="167"/>
      <c r="LQX98" s="168"/>
      <c r="LQY98" s="167"/>
      <c r="LQZ98" s="168"/>
      <c r="LRA98" s="167"/>
      <c r="LRB98" s="168"/>
      <c r="LRC98" s="167"/>
      <c r="LRD98" s="168"/>
      <c r="LRE98" s="167"/>
      <c r="LRF98" s="168"/>
      <c r="LRG98" s="167"/>
      <c r="LRH98" s="168"/>
      <c r="LRI98" s="167"/>
      <c r="LRJ98" s="168"/>
      <c r="LRK98" s="167"/>
      <c r="LRL98" s="168"/>
      <c r="LRM98" s="167"/>
      <c r="LRN98" s="168"/>
      <c r="LRO98" s="167"/>
      <c r="LRP98" s="168"/>
      <c r="LRQ98" s="167"/>
      <c r="LRR98" s="168"/>
      <c r="LRS98" s="167"/>
      <c r="LRT98" s="168"/>
      <c r="LRU98" s="167"/>
      <c r="LRV98" s="168"/>
      <c r="LRW98" s="167"/>
      <c r="LRX98" s="168"/>
      <c r="LRY98" s="167"/>
      <c r="LRZ98" s="168"/>
      <c r="LSA98" s="167"/>
      <c r="LSB98" s="168"/>
      <c r="LSC98" s="167"/>
      <c r="LSD98" s="168"/>
      <c r="LSE98" s="167"/>
      <c r="LSF98" s="168"/>
      <c r="LSG98" s="167"/>
      <c r="LSH98" s="168"/>
      <c r="LSI98" s="167"/>
      <c r="LSJ98" s="168"/>
      <c r="LSK98" s="167"/>
      <c r="LSL98" s="168"/>
      <c r="LSM98" s="167"/>
      <c r="LSN98" s="168"/>
      <c r="LSO98" s="167"/>
      <c r="LSP98" s="168"/>
      <c r="LSQ98" s="167"/>
      <c r="LSR98" s="168"/>
      <c r="LSS98" s="167"/>
      <c r="LST98" s="168"/>
      <c r="LSU98" s="167"/>
      <c r="LSV98" s="168"/>
      <c r="LSW98" s="167"/>
      <c r="LSX98" s="168"/>
      <c r="LSY98" s="167"/>
      <c r="LSZ98" s="168"/>
      <c r="LTA98" s="167"/>
      <c r="LTB98" s="168"/>
      <c r="LTC98" s="167"/>
      <c r="LTD98" s="168"/>
      <c r="LTE98" s="167"/>
      <c r="LTF98" s="168"/>
      <c r="LTG98" s="167"/>
      <c r="LTH98" s="168"/>
      <c r="LTI98" s="167"/>
      <c r="LTJ98" s="168"/>
      <c r="LTK98" s="167"/>
      <c r="LTL98" s="168"/>
      <c r="LTM98" s="167"/>
      <c r="LTN98" s="168"/>
      <c r="LTO98" s="167"/>
      <c r="LTP98" s="168"/>
      <c r="LTQ98" s="167"/>
      <c r="LTR98" s="168"/>
      <c r="LTS98" s="167"/>
      <c r="LTT98" s="168"/>
      <c r="LTU98" s="167"/>
      <c r="LTV98" s="168"/>
      <c r="LTW98" s="167"/>
      <c r="LTX98" s="168"/>
      <c r="LTY98" s="167"/>
      <c r="LTZ98" s="168"/>
      <c r="LUA98" s="167"/>
      <c r="LUB98" s="168"/>
      <c r="LUC98" s="167"/>
      <c r="LUD98" s="168"/>
      <c r="LUE98" s="167"/>
      <c r="LUF98" s="168"/>
      <c r="LUG98" s="167"/>
      <c r="LUH98" s="168"/>
      <c r="LUI98" s="167"/>
      <c r="LUJ98" s="168"/>
      <c r="LUK98" s="167"/>
      <c r="LUL98" s="168"/>
      <c r="LUM98" s="167"/>
      <c r="LUN98" s="168"/>
      <c r="LUO98" s="167"/>
      <c r="LUP98" s="168"/>
      <c r="LUQ98" s="167"/>
      <c r="LUR98" s="168"/>
      <c r="LUS98" s="167"/>
      <c r="LUT98" s="168"/>
      <c r="LUU98" s="167"/>
      <c r="LUV98" s="168"/>
      <c r="LUW98" s="167"/>
      <c r="LUX98" s="168"/>
      <c r="LUY98" s="167"/>
      <c r="LUZ98" s="168"/>
      <c r="LVA98" s="167"/>
      <c r="LVB98" s="168"/>
      <c r="LVC98" s="167"/>
      <c r="LVD98" s="168"/>
      <c r="LVE98" s="167"/>
      <c r="LVF98" s="168"/>
      <c r="LVG98" s="167"/>
      <c r="LVH98" s="168"/>
      <c r="LVI98" s="167"/>
      <c r="LVJ98" s="168"/>
      <c r="LVK98" s="167"/>
      <c r="LVL98" s="168"/>
      <c r="LVM98" s="167"/>
      <c r="LVN98" s="168"/>
      <c r="LVO98" s="167"/>
      <c r="LVP98" s="168"/>
      <c r="LVQ98" s="167"/>
      <c r="LVR98" s="168"/>
      <c r="LVS98" s="167"/>
      <c r="LVT98" s="168"/>
      <c r="LVU98" s="167"/>
      <c r="LVV98" s="168"/>
      <c r="LVW98" s="167"/>
      <c r="LVX98" s="168"/>
      <c r="LVY98" s="167"/>
      <c r="LVZ98" s="168"/>
      <c r="LWA98" s="167"/>
      <c r="LWB98" s="168"/>
      <c r="LWC98" s="167"/>
      <c r="LWD98" s="168"/>
      <c r="LWE98" s="167"/>
      <c r="LWF98" s="168"/>
      <c r="LWG98" s="167"/>
      <c r="LWH98" s="168"/>
      <c r="LWI98" s="167"/>
      <c r="LWJ98" s="168"/>
      <c r="LWK98" s="167"/>
      <c r="LWL98" s="168"/>
      <c r="LWM98" s="167"/>
      <c r="LWN98" s="168"/>
      <c r="LWO98" s="167"/>
      <c r="LWP98" s="168"/>
      <c r="LWQ98" s="167"/>
      <c r="LWR98" s="168"/>
      <c r="LWS98" s="167"/>
      <c r="LWT98" s="168"/>
      <c r="LWU98" s="167"/>
      <c r="LWV98" s="168"/>
      <c r="LWW98" s="167"/>
      <c r="LWX98" s="168"/>
      <c r="LWY98" s="167"/>
      <c r="LWZ98" s="168"/>
      <c r="LXA98" s="167"/>
      <c r="LXB98" s="168"/>
      <c r="LXC98" s="167"/>
      <c r="LXD98" s="168"/>
      <c r="LXE98" s="167"/>
      <c r="LXF98" s="168"/>
      <c r="LXG98" s="167"/>
      <c r="LXH98" s="168"/>
      <c r="LXI98" s="167"/>
      <c r="LXJ98" s="168"/>
      <c r="LXK98" s="167"/>
      <c r="LXL98" s="168"/>
      <c r="LXM98" s="167"/>
      <c r="LXN98" s="168"/>
      <c r="LXO98" s="167"/>
      <c r="LXP98" s="168"/>
      <c r="LXQ98" s="167"/>
      <c r="LXR98" s="168"/>
      <c r="LXS98" s="167"/>
      <c r="LXT98" s="168"/>
      <c r="LXU98" s="167"/>
      <c r="LXV98" s="168"/>
      <c r="LXW98" s="167"/>
      <c r="LXX98" s="168"/>
      <c r="LXY98" s="167"/>
      <c r="LXZ98" s="168"/>
      <c r="LYA98" s="167"/>
      <c r="LYB98" s="168"/>
      <c r="LYC98" s="167"/>
      <c r="LYD98" s="168"/>
      <c r="LYE98" s="167"/>
      <c r="LYF98" s="168"/>
      <c r="LYG98" s="167"/>
      <c r="LYH98" s="168"/>
      <c r="LYI98" s="167"/>
      <c r="LYJ98" s="168"/>
      <c r="LYK98" s="167"/>
      <c r="LYL98" s="168"/>
      <c r="LYM98" s="167"/>
      <c r="LYN98" s="168"/>
      <c r="LYO98" s="167"/>
      <c r="LYP98" s="168"/>
      <c r="LYQ98" s="167"/>
      <c r="LYR98" s="168"/>
      <c r="LYS98" s="167"/>
      <c r="LYT98" s="168"/>
      <c r="LYU98" s="167"/>
      <c r="LYV98" s="168"/>
      <c r="LYW98" s="167"/>
      <c r="LYX98" s="168"/>
      <c r="LYY98" s="167"/>
      <c r="LYZ98" s="168"/>
      <c r="LZA98" s="167"/>
      <c r="LZB98" s="168"/>
      <c r="LZC98" s="167"/>
      <c r="LZD98" s="168"/>
      <c r="LZE98" s="167"/>
      <c r="LZF98" s="168"/>
      <c r="LZG98" s="167"/>
      <c r="LZH98" s="168"/>
      <c r="LZI98" s="167"/>
      <c r="LZJ98" s="168"/>
      <c r="LZK98" s="167"/>
      <c r="LZL98" s="168"/>
      <c r="LZM98" s="167"/>
      <c r="LZN98" s="168"/>
      <c r="LZO98" s="167"/>
      <c r="LZP98" s="168"/>
      <c r="LZQ98" s="167"/>
      <c r="LZR98" s="168"/>
      <c r="LZS98" s="167"/>
      <c r="LZT98" s="168"/>
      <c r="LZU98" s="167"/>
      <c r="LZV98" s="168"/>
      <c r="LZW98" s="167"/>
      <c r="LZX98" s="168"/>
      <c r="LZY98" s="167"/>
      <c r="LZZ98" s="168"/>
      <c r="MAA98" s="167"/>
      <c r="MAB98" s="168"/>
      <c r="MAC98" s="167"/>
      <c r="MAD98" s="168"/>
      <c r="MAE98" s="167"/>
      <c r="MAF98" s="168"/>
      <c r="MAG98" s="167"/>
      <c r="MAH98" s="168"/>
      <c r="MAI98" s="167"/>
      <c r="MAJ98" s="168"/>
      <c r="MAK98" s="167"/>
      <c r="MAL98" s="168"/>
      <c r="MAM98" s="167"/>
      <c r="MAN98" s="168"/>
      <c r="MAO98" s="167"/>
      <c r="MAP98" s="168"/>
      <c r="MAQ98" s="167"/>
      <c r="MAR98" s="168"/>
      <c r="MAS98" s="167"/>
      <c r="MAT98" s="168"/>
      <c r="MAU98" s="167"/>
      <c r="MAV98" s="168"/>
      <c r="MAW98" s="167"/>
      <c r="MAX98" s="168"/>
      <c r="MAY98" s="167"/>
      <c r="MAZ98" s="168"/>
      <c r="MBA98" s="167"/>
      <c r="MBB98" s="168"/>
      <c r="MBC98" s="167"/>
      <c r="MBD98" s="168"/>
      <c r="MBE98" s="167"/>
      <c r="MBF98" s="168"/>
      <c r="MBG98" s="167"/>
      <c r="MBH98" s="168"/>
      <c r="MBI98" s="167"/>
      <c r="MBJ98" s="168"/>
      <c r="MBK98" s="167"/>
      <c r="MBL98" s="168"/>
      <c r="MBM98" s="167"/>
      <c r="MBN98" s="168"/>
      <c r="MBO98" s="167"/>
      <c r="MBP98" s="168"/>
      <c r="MBQ98" s="167"/>
      <c r="MBR98" s="168"/>
      <c r="MBS98" s="167"/>
      <c r="MBT98" s="168"/>
      <c r="MBU98" s="167"/>
      <c r="MBV98" s="168"/>
      <c r="MBW98" s="167"/>
      <c r="MBX98" s="168"/>
      <c r="MBY98" s="167"/>
      <c r="MBZ98" s="168"/>
      <c r="MCA98" s="167"/>
      <c r="MCB98" s="168"/>
      <c r="MCC98" s="167"/>
      <c r="MCD98" s="168"/>
      <c r="MCE98" s="167"/>
      <c r="MCF98" s="168"/>
      <c r="MCG98" s="167"/>
      <c r="MCH98" s="168"/>
      <c r="MCI98" s="167"/>
      <c r="MCJ98" s="168"/>
      <c r="MCK98" s="167"/>
      <c r="MCL98" s="168"/>
      <c r="MCM98" s="167"/>
      <c r="MCN98" s="168"/>
      <c r="MCO98" s="167"/>
      <c r="MCP98" s="168"/>
      <c r="MCQ98" s="167"/>
      <c r="MCR98" s="168"/>
      <c r="MCS98" s="167"/>
      <c r="MCT98" s="168"/>
      <c r="MCU98" s="167"/>
      <c r="MCV98" s="168"/>
      <c r="MCW98" s="167"/>
      <c r="MCX98" s="168"/>
      <c r="MCY98" s="167"/>
      <c r="MCZ98" s="168"/>
      <c r="MDA98" s="167"/>
      <c r="MDB98" s="168"/>
      <c r="MDC98" s="167"/>
      <c r="MDD98" s="168"/>
      <c r="MDE98" s="167"/>
      <c r="MDF98" s="168"/>
      <c r="MDG98" s="167"/>
      <c r="MDH98" s="168"/>
      <c r="MDI98" s="167"/>
      <c r="MDJ98" s="168"/>
      <c r="MDK98" s="167"/>
      <c r="MDL98" s="168"/>
      <c r="MDM98" s="167"/>
      <c r="MDN98" s="168"/>
      <c r="MDO98" s="167"/>
      <c r="MDP98" s="168"/>
      <c r="MDQ98" s="167"/>
      <c r="MDR98" s="168"/>
      <c r="MDS98" s="167"/>
      <c r="MDT98" s="168"/>
      <c r="MDU98" s="167"/>
      <c r="MDV98" s="168"/>
      <c r="MDW98" s="167"/>
      <c r="MDX98" s="168"/>
      <c r="MDY98" s="167"/>
      <c r="MDZ98" s="168"/>
      <c r="MEA98" s="167"/>
      <c r="MEB98" s="168"/>
      <c r="MEC98" s="167"/>
      <c r="MED98" s="168"/>
      <c r="MEE98" s="167"/>
      <c r="MEF98" s="168"/>
      <c r="MEG98" s="167"/>
      <c r="MEH98" s="168"/>
      <c r="MEI98" s="167"/>
      <c r="MEJ98" s="168"/>
      <c r="MEK98" s="167"/>
      <c r="MEL98" s="168"/>
      <c r="MEM98" s="167"/>
      <c r="MEN98" s="168"/>
      <c r="MEO98" s="167"/>
      <c r="MEP98" s="168"/>
      <c r="MEQ98" s="167"/>
      <c r="MER98" s="168"/>
      <c r="MES98" s="167"/>
      <c r="MET98" s="168"/>
      <c r="MEU98" s="167"/>
      <c r="MEV98" s="168"/>
      <c r="MEW98" s="167"/>
      <c r="MEX98" s="168"/>
      <c r="MEY98" s="167"/>
      <c r="MEZ98" s="168"/>
      <c r="MFA98" s="167"/>
      <c r="MFB98" s="168"/>
      <c r="MFC98" s="167"/>
      <c r="MFD98" s="168"/>
      <c r="MFE98" s="167"/>
      <c r="MFF98" s="168"/>
      <c r="MFG98" s="167"/>
      <c r="MFH98" s="168"/>
      <c r="MFI98" s="167"/>
      <c r="MFJ98" s="168"/>
      <c r="MFK98" s="167"/>
      <c r="MFL98" s="168"/>
      <c r="MFM98" s="167"/>
      <c r="MFN98" s="168"/>
      <c r="MFO98" s="167"/>
      <c r="MFP98" s="168"/>
      <c r="MFQ98" s="167"/>
      <c r="MFR98" s="168"/>
      <c r="MFS98" s="167"/>
      <c r="MFT98" s="168"/>
      <c r="MFU98" s="167"/>
      <c r="MFV98" s="168"/>
      <c r="MFW98" s="167"/>
      <c r="MFX98" s="168"/>
      <c r="MFY98" s="167"/>
      <c r="MFZ98" s="168"/>
      <c r="MGA98" s="167"/>
      <c r="MGB98" s="168"/>
      <c r="MGC98" s="167"/>
      <c r="MGD98" s="168"/>
      <c r="MGE98" s="167"/>
      <c r="MGF98" s="168"/>
      <c r="MGG98" s="167"/>
      <c r="MGH98" s="168"/>
      <c r="MGI98" s="167"/>
      <c r="MGJ98" s="168"/>
      <c r="MGK98" s="167"/>
      <c r="MGL98" s="168"/>
      <c r="MGM98" s="167"/>
      <c r="MGN98" s="168"/>
      <c r="MGO98" s="167"/>
      <c r="MGP98" s="168"/>
      <c r="MGQ98" s="167"/>
      <c r="MGR98" s="168"/>
      <c r="MGS98" s="167"/>
      <c r="MGT98" s="168"/>
      <c r="MGU98" s="167"/>
      <c r="MGV98" s="168"/>
      <c r="MGW98" s="167"/>
      <c r="MGX98" s="168"/>
      <c r="MGY98" s="167"/>
      <c r="MGZ98" s="168"/>
      <c r="MHA98" s="167"/>
      <c r="MHB98" s="168"/>
      <c r="MHC98" s="167"/>
      <c r="MHD98" s="168"/>
      <c r="MHE98" s="167"/>
      <c r="MHF98" s="168"/>
      <c r="MHG98" s="167"/>
      <c r="MHH98" s="168"/>
      <c r="MHI98" s="167"/>
      <c r="MHJ98" s="168"/>
      <c r="MHK98" s="167"/>
      <c r="MHL98" s="168"/>
      <c r="MHM98" s="167"/>
      <c r="MHN98" s="168"/>
      <c r="MHO98" s="167"/>
      <c r="MHP98" s="168"/>
      <c r="MHQ98" s="167"/>
      <c r="MHR98" s="168"/>
      <c r="MHS98" s="167"/>
      <c r="MHT98" s="168"/>
      <c r="MHU98" s="167"/>
      <c r="MHV98" s="168"/>
      <c r="MHW98" s="167"/>
      <c r="MHX98" s="168"/>
      <c r="MHY98" s="167"/>
      <c r="MHZ98" s="168"/>
      <c r="MIA98" s="167"/>
      <c r="MIB98" s="168"/>
      <c r="MIC98" s="167"/>
      <c r="MID98" s="168"/>
      <c r="MIE98" s="167"/>
      <c r="MIF98" s="168"/>
      <c r="MIG98" s="167"/>
      <c r="MIH98" s="168"/>
      <c r="MII98" s="167"/>
      <c r="MIJ98" s="168"/>
      <c r="MIK98" s="167"/>
      <c r="MIL98" s="168"/>
      <c r="MIM98" s="167"/>
      <c r="MIN98" s="168"/>
      <c r="MIO98" s="167"/>
      <c r="MIP98" s="168"/>
      <c r="MIQ98" s="167"/>
      <c r="MIR98" s="168"/>
      <c r="MIS98" s="167"/>
      <c r="MIT98" s="168"/>
      <c r="MIU98" s="167"/>
      <c r="MIV98" s="168"/>
      <c r="MIW98" s="167"/>
      <c r="MIX98" s="168"/>
      <c r="MIY98" s="167"/>
      <c r="MIZ98" s="168"/>
      <c r="MJA98" s="167"/>
      <c r="MJB98" s="168"/>
      <c r="MJC98" s="167"/>
      <c r="MJD98" s="168"/>
      <c r="MJE98" s="167"/>
      <c r="MJF98" s="168"/>
      <c r="MJG98" s="167"/>
      <c r="MJH98" s="168"/>
      <c r="MJI98" s="167"/>
      <c r="MJJ98" s="168"/>
      <c r="MJK98" s="167"/>
      <c r="MJL98" s="168"/>
      <c r="MJM98" s="167"/>
      <c r="MJN98" s="168"/>
      <c r="MJO98" s="167"/>
      <c r="MJP98" s="168"/>
      <c r="MJQ98" s="167"/>
      <c r="MJR98" s="168"/>
      <c r="MJS98" s="167"/>
      <c r="MJT98" s="168"/>
      <c r="MJU98" s="167"/>
      <c r="MJV98" s="168"/>
      <c r="MJW98" s="167"/>
      <c r="MJX98" s="168"/>
      <c r="MJY98" s="167"/>
      <c r="MJZ98" s="168"/>
      <c r="MKA98" s="167"/>
      <c r="MKB98" s="168"/>
      <c r="MKC98" s="167"/>
      <c r="MKD98" s="168"/>
      <c r="MKE98" s="167"/>
      <c r="MKF98" s="168"/>
      <c r="MKG98" s="167"/>
      <c r="MKH98" s="168"/>
      <c r="MKI98" s="167"/>
      <c r="MKJ98" s="168"/>
      <c r="MKK98" s="167"/>
      <c r="MKL98" s="168"/>
      <c r="MKM98" s="167"/>
      <c r="MKN98" s="168"/>
      <c r="MKO98" s="167"/>
      <c r="MKP98" s="168"/>
      <c r="MKQ98" s="167"/>
      <c r="MKR98" s="168"/>
      <c r="MKS98" s="167"/>
      <c r="MKT98" s="168"/>
      <c r="MKU98" s="167"/>
      <c r="MKV98" s="168"/>
      <c r="MKW98" s="167"/>
      <c r="MKX98" s="168"/>
      <c r="MKY98" s="167"/>
      <c r="MKZ98" s="168"/>
      <c r="MLA98" s="167"/>
      <c r="MLB98" s="168"/>
      <c r="MLC98" s="167"/>
      <c r="MLD98" s="168"/>
      <c r="MLE98" s="167"/>
      <c r="MLF98" s="168"/>
      <c r="MLG98" s="167"/>
      <c r="MLH98" s="168"/>
      <c r="MLI98" s="167"/>
      <c r="MLJ98" s="168"/>
      <c r="MLK98" s="167"/>
      <c r="MLL98" s="168"/>
      <c r="MLM98" s="167"/>
      <c r="MLN98" s="168"/>
      <c r="MLO98" s="167"/>
      <c r="MLP98" s="168"/>
      <c r="MLQ98" s="167"/>
      <c r="MLR98" s="168"/>
      <c r="MLS98" s="167"/>
      <c r="MLT98" s="168"/>
      <c r="MLU98" s="167"/>
      <c r="MLV98" s="168"/>
      <c r="MLW98" s="167"/>
      <c r="MLX98" s="168"/>
      <c r="MLY98" s="167"/>
      <c r="MLZ98" s="168"/>
      <c r="MMA98" s="167"/>
      <c r="MMB98" s="168"/>
      <c r="MMC98" s="167"/>
      <c r="MMD98" s="168"/>
      <c r="MME98" s="167"/>
      <c r="MMF98" s="168"/>
      <c r="MMG98" s="167"/>
      <c r="MMH98" s="168"/>
      <c r="MMI98" s="167"/>
      <c r="MMJ98" s="168"/>
      <c r="MMK98" s="167"/>
      <c r="MML98" s="168"/>
      <c r="MMM98" s="167"/>
      <c r="MMN98" s="168"/>
      <c r="MMO98" s="167"/>
      <c r="MMP98" s="168"/>
      <c r="MMQ98" s="167"/>
      <c r="MMR98" s="168"/>
      <c r="MMS98" s="167"/>
      <c r="MMT98" s="168"/>
      <c r="MMU98" s="167"/>
      <c r="MMV98" s="168"/>
      <c r="MMW98" s="167"/>
      <c r="MMX98" s="168"/>
      <c r="MMY98" s="167"/>
      <c r="MMZ98" s="168"/>
      <c r="MNA98" s="167"/>
      <c r="MNB98" s="168"/>
      <c r="MNC98" s="167"/>
      <c r="MND98" s="168"/>
      <c r="MNE98" s="167"/>
      <c r="MNF98" s="168"/>
      <c r="MNG98" s="167"/>
      <c r="MNH98" s="168"/>
      <c r="MNI98" s="167"/>
      <c r="MNJ98" s="168"/>
      <c r="MNK98" s="167"/>
      <c r="MNL98" s="168"/>
      <c r="MNM98" s="167"/>
      <c r="MNN98" s="168"/>
      <c r="MNO98" s="167"/>
      <c r="MNP98" s="168"/>
      <c r="MNQ98" s="167"/>
      <c r="MNR98" s="168"/>
      <c r="MNS98" s="167"/>
      <c r="MNT98" s="168"/>
      <c r="MNU98" s="167"/>
      <c r="MNV98" s="168"/>
      <c r="MNW98" s="167"/>
      <c r="MNX98" s="168"/>
      <c r="MNY98" s="167"/>
      <c r="MNZ98" s="168"/>
      <c r="MOA98" s="167"/>
      <c r="MOB98" s="168"/>
      <c r="MOC98" s="167"/>
      <c r="MOD98" s="168"/>
      <c r="MOE98" s="167"/>
      <c r="MOF98" s="168"/>
      <c r="MOG98" s="167"/>
      <c r="MOH98" s="168"/>
      <c r="MOI98" s="167"/>
      <c r="MOJ98" s="168"/>
      <c r="MOK98" s="167"/>
      <c r="MOL98" s="168"/>
      <c r="MOM98" s="167"/>
      <c r="MON98" s="168"/>
      <c r="MOO98" s="167"/>
      <c r="MOP98" s="168"/>
      <c r="MOQ98" s="167"/>
      <c r="MOR98" s="168"/>
      <c r="MOS98" s="167"/>
      <c r="MOT98" s="168"/>
      <c r="MOU98" s="167"/>
      <c r="MOV98" s="168"/>
      <c r="MOW98" s="167"/>
      <c r="MOX98" s="168"/>
      <c r="MOY98" s="167"/>
      <c r="MOZ98" s="168"/>
      <c r="MPA98" s="167"/>
      <c r="MPB98" s="168"/>
      <c r="MPC98" s="167"/>
      <c r="MPD98" s="168"/>
      <c r="MPE98" s="167"/>
      <c r="MPF98" s="168"/>
      <c r="MPG98" s="167"/>
      <c r="MPH98" s="168"/>
      <c r="MPI98" s="167"/>
      <c r="MPJ98" s="168"/>
      <c r="MPK98" s="167"/>
      <c r="MPL98" s="168"/>
      <c r="MPM98" s="167"/>
      <c r="MPN98" s="168"/>
      <c r="MPO98" s="167"/>
      <c r="MPP98" s="168"/>
      <c r="MPQ98" s="167"/>
      <c r="MPR98" s="168"/>
      <c r="MPS98" s="167"/>
      <c r="MPT98" s="168"/>
      <c r="MPU98" s="167"/>
      <c r="MPV98" s="168"/>
      <c r="MPW98" s="167"/>
      <c r="MPX98" s="168"/>
      <c r="MPY98" s="167"/>
      <c r="MPZ98" s="168"/>
      <c r="MQA98" s="167"/>
      <c r="MQB98" s="168"/>
      <c r="MQC98" s="167"/>
      <c r="MQD98" s="168"/>
      <c r="MQE98" s="167"/>
      <c r="MQF98" s="168"/>
      <c r="MQG98" s="167"/>
      <c r="MQH98" s="168"/>
      <c r="MQI98" s="167"/>
      <c r="MQJ98" s="168"/>
      <c r="MQK98" s="167"/>
      <c r="MQL98" s="168"/>
      <c r="MQM98" s="167"/>
      <c r="MQN98" s="168"/>
      <c r="MQO98" s="167"/>
      <c r="MQP98" s="168"/>
      <c r="MQQ98" s="167"/>
      <c r="MQR98" s="168"/>
      <c r="MQS98" s="167"/>
      <c r="MQT98" s="168"/>
      <c r="MQU98" s="167"/>
      <c r="MQV98" s="168"/>
      <c r="MQW98" s="167"/>
      <c r="MQX98" s="168"/>
      <c r="MQY98" s="167"/>
      <c r="MQZ98" s="168"/>
      <c r="MRA98" s="167"/>
      <c r="MRB98" s="168"/>
      <c r="MRC98" s="167"/>
      <c r="MRD98" s="168"/>
      <c r="MRE98" s="167"/>
      <c r="MRF98" s="168"/>
      <c r="MRG98" s="167"/>
      <c r="MRH98" s="168"/>
      <c r="MRI98" s="167"/>
      <c r="MRJ98" s="168"/>
      <c r="MRK98" s="167"/>
      <c r="MRL98" s="168"/>
      <c r="MRM98" s="167"/>
      <c r="MRN98" s="168"/>
      <c r="MRO98" s="167"/>
      <c r="MRP98" s="168"/>
      <c r="MRQ98" s="167"/>
      <c r="MRR98" s="168"/>
      <c r="MRS98" s="167"/>
      <c r="MRT98" s="168"/>
      <c r="MRU98" s="167"/>
      <c r="MRV98" s="168"/>
      <c r="MRW98" s="167"/>
      <c r="MRX98" s="168"/>
      <c r="MRY98" s="167"/>
      <c r="MRZ98" s="168"/>
      <c r="MSA98" s="167"/>
      <c r="MSB98" s="168"/>
      <c r="MSC98" s="167"/>
      <c r="MSD98" s="168"/>
      <c r="MSE98" s="167"/>
      <c r="MSF98" s="168"/>
      <c r="MSG98" s="167"/>
      <c r="MSH98" s="168"/>
      <c r="MSI98" s="167"/>
      <c r="MSJ98" s="168"/>
      <c r="MSK98" s="167"/>
      <c r="MSL98" s="168"/>
      <c r="MSM98" s="167"/>
      <c r="MSN98" s="168"/>
      <c r="MSO98" s="167"/>
      <c r="MSP98" s="168"/>
      <c r="MSQ98" s="167"/>
      <c r="MSR98" s="168"/>
      <c r="MSS98" s="167"/>
      <c r="MST98" s="168"/>
      <c r="MSU98" s="167"/>
      <c r="MSV98" s="168"/>
      <c r="MSW98" s="167"/>
      <c r="MSX98" s="168"/>
      <c r="MSY98" s="167"/>
      <c r="MSZ98" s="168"/>
      <c r="MTA98" s="167"/>
      <c r="MTB98" s="168"/>
      <c r="MTC98" s="167"/>
      <c r="MTD98" s="168"/>
      <c r="MTE98" s="167"/>
      <c r="MTF98" s="168"/>
      <c r="MTG98" s="167"/>
      <c r="MTH98" s="168"/>
      <c r="MTI98" s="167"/>
      <c r="MTJ98" s="168"/>
      <c r="MTK98" s="167"/>
      <c r="MTL98" s="168"/>
      <c r="MTM98" s="167"/>
      <c r="MTN98" s="168"/>
      <c r="MTO98" s="167"/>
      <c r="MTP98" s="168"/>
      <c r="MTQ98" s="167"/>
      <c r="MTR98" s="168"/>
      <c r="MTS98" s="167"/>
      <c r="MTT98" s="168"/>
      <c r="MTU98" s="167"/>
      <c r="MTV98" s="168"/>
      <c r="MTW98" s="167"/>
      <c r="MTX98" s="168"/>
      <c r="MTY98" s="167"/>
      <c r="MTZ98" s="168"/>
      <c r="MUA98" s="167"/>
      <c r="MUB98" s="168"/>
      <c r="MUC98" s="167"/>
      <c r="MUD98" s="168"/>
      <c r="MUE98" s="167"/>
      <c r="MUF98" s="168"/>
      <c r="MUG98" s="167"/>
      <c r="MUH98" s="168"/>
      <c r="MUI98" s="167"/>
      <c r="MUJ98" s="168"/>
      <c r="MUK98" s="167"/>
      <c r="MUL98" s="168"/>
      <c r="MUM98" s="167"/>
      <c r="MUN98" s="168"/>
      <c r="MUO98" s="167"/>
      <c r="MUP98" s="168"/>
      <c r="MUQ98" s="167"/>
      <c r="MUR98" s="168"/>
      <c r="MUS98" s="167"/>
      <c r="MUT98" s="168"/>
      <c r="MUU98" s="167"/>
      <c r="MUV98" s="168"/>
      <c r="MUW98" s="167"/>
      <c r="MUX98" s="168"/>
      <c r="MUY98" s="167"/>
      <c r="MUZ98" s="168"/>
      <c r="MVA98" s="167"/>
      <c r="MVB98" s="168"/>
      <c r="MVC98" s="167"/>
      <c r="MVD98" s="168"/>
      <c r="MVE98" s="167"/>
      <c r="MVF98" s="168"/>
      <c r="MVG98" s="167"/>
      <c r="MVH98" s="168"/>
      <c r="MVI98" s="167"/>
      <c r="MVJ98" s="168"/>
      <c r="MVK98" s="167"/>
      <c r="MVL98" s="168"/>
      <c r="MVM98" s="167"/>
      <c r="MVN98" s="168"/>
      <c r="MVO98" s="167"/>
      <c r="MVP98" s="168"/>
      <c r="MVQ98" s="167"/>
      <c r="MVR98" s="168"/>
      <c r="MVS98" s="167"/>
      <c r="MVT98" s="168"/>
      <c r="MVU98" s="167"/>
      <c r="MVV98" s="168"/>
      <c r="MVW98" s="167"/>
      <c r="MVX98" s="168"/>
      <c r="MVY98" s="167"/>
      <c r="MVZ98" s="168"/>
      <c r="MWA98" s="167"/>
      <c r="MWB98" s="168"/>
      <c r="MWC98" s="167"/>
      <c r="MWD98" s="168"/>
      <c r="MWE98" s="167"/>
      <c r="MWF98" s="168"/>
      <c r="MWG98" s="167"/>
      <c r="MWH98" s="168"/>
      <c r="MWI98" s="167"/>
      <c r="MWJ98" s="168"/>
      <c r="MWK98" s="167"/>
      <c r="MWL98" s="168"/>
      <c r="MWM98" s="167"/>
      <c r="MWN98" s="168"/>
      <c r="MWO98" s="167"/>
      <c r="MWP98" s="168"/>
      <c r="MWQ98" s="167"/>
      <c r="MWR98" s="168"/>
      <c r="MWS98" s="167"/>
      <c r="MWT98" s="168"/>
      <c r="MWU98" s="167"/>
      <c r="MWV98" s="168"/>
      <c r="MWW98" s="167"/>
      <c r="MWX98" s="168"/>
      <c r="MWY98" s="167"/>
      <c r="MWZ98" s="168"/>
      <c r="MXA98" s="167"/>
      <c r="MXB98" s="168"/>
      <c r="MXC98" s="167"/>
      <c r="MXD98" s="168"/>
      <c r="MXE98" s="167"/>
      <c r="MXF98" s="168"/>
      <c r="MXG98" s="167"/>
      <c r="MXH98" s="168"/>
      <c r="MXI98" s="167"/>
      <c r="MXJ98" s="168"/>
      <c r="MXK98" s="167"/>
      <c r="MXL98" s="168"/>
      <c r="MXM98" s="167"/>
      <c r="MXN98" s="168"/>
      <c r="MXO98" s="167"/>
      <c r="MXP98" s="168"/>
      <c r="MXQ98" s="167"/>
      <c r="MXR98" s="168"/>
      <c r="MXS98" s="167"/>
      <c r="MXT98" s="168"/>
      <c r="MXU98" s="167"/>
      <c r="MXV98" s="168"/>
      <c r="MXW98" s="167"/>
      <c r="MXX98" s="168"/>
      <c r="MXY98" s="167"/>
      <c r="MXZ98" s="168"/>
      <c r="MYA98" s="167"/>
      <c r="MYB98" s="168"/>
      <c r="MYC98" s="167"/>
      <c r="MYD98" s="168"/>
      <c r="MYE98" s="167"/>
      <c r="MYF98" s="168"/>
      <c r="MYG98" s="167"/>
      <c r="MYH98" s="168"/>
      <c r="MYI98" s="167"/>
      <c r="MYJ98" s="168"/>
      <c r="MYK98" s="167"/>
      <c r="MYL98" s="168"/>
      <c r="MYM98" s="167"/>
      <c r="MYN98" s="168"/>
      <c r="MYO98" s="167"/>
      <c r="MYP98" s="168"/>
      <c r="MYQ98" s="167"/>
      <c r="MYR98" s="168"/>
      <c r="MYS98" s="167"/>
      <c r="MYT98" s="168"/>
      <c r="MYU98" s="167"/>
      <c r="MYV98" s="168"/>
      <c r="MYW98" s="167"/>
      <c r="MYX98" s="168"/>
      <c r="MYY98" s="167"/>
      <c r="MYZ98" s="168"/>
      <c r="MZA98" s="167"/>
      <c r="MZB98" s="168"/>
      <c r="MZC98" s="167"/>
      <c r="MZD98" s="168"/>
      <c r="MZE98" s="167"/>
      <c r="MZF98" s="168"/>
      <c r="MZG98" s="167"/>
      <c r="MZH98" s="168"/>
      <c r="MZI98" s="167"/>
      <c r="MZJ98" s="168"/>
      <c r="MZK98" s="167"/>
      <c r="MZL98" s="168"/>
      <c r="MZM98" s="167"/>
      <c r="MZN98" s="168"/>
      <c r="MZO98" s="167"/>
      <c r="MZP98" s="168"/>
      <c r="MZQ98" s="167"/>
      <c r="MZR98" s="168"/>
      <c r="MZS98" s="167"/>
      <c r="MZT98" s="168"/>
      <c r="MZU98" s="167"/>
      <c r="MZV98" s="168"/>
      <c r="MZW98" s="167"/>
      <c r="MZX98" s="168"/>
      <c r="MZY98" s="167"/>
      <c r="MZZ98" s="168"/>
      <c r="NAA98" s="167"/>
      <c r="NAB98" s="168"/>
      <c r="NAC98" s="167"/>
      <c r="NAD98" s="168"/>
      <c r="NAE98" s="167"/>
      <c r="NAF98" s="168"/>
      <c r="NAG98" s="167"/>
      <c r="NAH98" s="168"/>
      <c r="NAI98" s="167"/>
      <c r="NAJ98" s="168"/>
      <c r="NAK98" s="167"/>
      <c r="NAL98" s="168"/>
      <c r="NAM98" s="167"/>
      <c r="NAN98" s="168"/>
      <c r="NAO98" s="167"/>
      <c r="NAP98" s="168"/>
      <c r="NAQ98" s="167"/>
      <c r="NAR98" s="168"/>
      <c r="NAS98" s="167"/>
      <c r="NAT98" s="168"/>
      <c r="NAU98" s="167"/>
      <c r="NAV98" s="168"/>
      <c r="NAW98" s="167"/>
      <c r="NAX98" s="168"/>
      <c r="NAY98" s="167"/>
      <c r="NAZ98" s="168"/>
      <c r="NBA98" s="167"/>
      <c r="NBB98" s="168"/>
      <c r="NBC98" s="167"/>
      <c r="NBD98" s="168"/>
      <c r="NBE98" s="167"/>
      <c r="NBF98" s="168"/>
      <c r="NBG98" s="167"/>
      <c r="NBH98" s="168"/>
      <c r="NBI98" s="167"/>
      <c r="NBJ98" s="168"/>
      <c r="NBK98" s="167"/>
      <c r="NBL98" s="168"/>
      <c r="NBM98" s="167"/>
      <c r="NBN98" s="168"/>
      <c r="NBO98" s="167"/>
      <c r="NBP98" s="168"/>
      <c r="NBQ98" s="167"/>
      <c r="NBR98" s="168"/>
      <c r="NBS98" s="167"/>
      <c r="NBT98" s="168"/>
      <c r="NBU98" s="167"/>
      <c r="NBV98" s="168"/>
      <c r="NBW98" s="167"/>
      <c r="NBX98" s="168"/>
      <c r="NBY98" s="167"/>
      <c r="NBZ98" s="168"/>
      <c r="NCA98" s="167"/>
      <c r="NCB98" s="168"/>
      <c r="NCC98" s="167"/>
      <c r="NCD98" s="168"/>
      <c r="NCE98" s="167"/>
      <c r="NCF98" s="168"/>
      <c r="NCG98" s="167"/>
      <c r="NCH98" s="168"/>
      <c r="NCI98" s="167"/>
      <c r="NCJ98" s="168"/>
      <c r="NCK98" s="167"/>
      <c r="NCL98" s="168"/>
      <c r="NCM98" s="167"/>
      <c r="NCN98" s="168"/>
      <c r="NCO98" s="167"/>
      <c r="NCP98" s="168"/>
      <c r="NCQ98" s="167"/>
      <c r="NCR98" s="168"/>
      <c r="NCS98" s="167"/>
      <c r="NCT98" s="168"/>
      <c r="NCU98" s="167"/>
      <c r="NCV98" s="168"/>
      <c r="NCW98" s="167"/>
      <c r="NCX98" s="168"/>
      <c r="NCY98" s="167"/>
      <c r="NCZ98" s="168"/>
      <c r="NDA98" s="167"/>
      <c r="NDB98" s="168"/>
      <c r="NDC98" s="167"/>
      <c r="NDD98" s="168"/>
      <c r="NDE98" s="167"/>
      <c r="NDF98" s="168"/>
      <c r="NDG98" s="167"/>
      <c r="NDH98" s="168"/>
      <c r="NDI98" s="167"/>
      <c r="NDJ98" s="168"/>
      <c r="NDK98" s="167"/>
      <c r="NDL98" s="168"/>
      <c r="NDM98" s="167"/>
      <c r="NDN98" s="168"/>
      <c r="NDO98" s="167"/>
      <c r="NDP98" s="168"/>
      <c r="NDQ98" s="167"/>
      <c r="NDR98" s="168"/>
      <c r="NDS98" s="167"/>
      <c r="NDT98" s="168"/>
      <c r="NDU98" s="167"/>
      <c r="NDV98" s="168"/>
      <c r="NDW98" s="167"/>
      <c r="NDX98" s="168"/>
      <c r="NDY98" s="167"/>
      <c r="NDZ98" s="168"/>
      <c r="NEA98" s="167"/>
      <c r="NEB98" s="168"/>
      <c r="NEC98" s="167"/>
      <c r="NED98" s="168"/>
      <c r="NEE98" s="167"/>
      <c r="NEF98" s="168"/>
      <c r="NEG98" s="167"/>
      <c r="NEH98" s="168"/>
      <c r="NEI98" s="167"/>
      <c r="NEJ98" s="168"/>
      <c r="NEK98" s="167"/>
      <c r="NEL98" s="168"/>
      <c r="NEM98" s="167"/>
      <c r="NEN98" s="168"/>
      <c r="NEO98" s="167"/>
      <c r="NEP98" s="168"/>
      <c r="NEQ98" s="167"/>
      <c r="NER98" s="168"/>
      <c r="NES98" s="167"/>
      <c r="NET98" s="168"/>
      <c r="NEU98" s="167"/>
      <c r="NEV98" s="168"/>
      <c r="NEW98" s="167"/>
      <c r="NEX98" s="168"/>
      <c r="NEY98" s="167"/>
      <c r="NEZ98" s="168"/>
      <c r="NFA98" s="167"/>
      <c r="NFB98" s="168"/>
      <c r="NFC98" s="167"/>
      <c r="NFD98" s="168"/>
      <c r="NFE98" s="167"/>
      <c r="NFF98" s="168"/>
      <c r="NFG98" s="167"/>
      <c r="NFH98" s="168"/>
      <c r="NFI98" s="167"/>
      <c r="NFJ98" s="168"/>
      <c r="NFK98" s="167"/>
      <c r="NFL98" s="168"/>
      <c r="NFM98" s="167"/>
      <c r="NFN98" s="168"/>
      <c r="NFO98" s="167"/>
      <c r="NFP98" s="168"/>
      <c r="NFQ98" s="167"/>
      <c r="NFR98" s="168"/>
      <c r="NFS98" s="167"/>
      <c r="NFT98" s="168"/>
      <c r="NFU98" s="167"/>
      <c r="NFV98" s="168"/>
      <c r="NFW98" s="167"/>
      <c r="NFX98" s="168"/>
      <c r="NFY98" s="167"/>
      <c r="NFZ98" s="168"/>
      <c r="NGA98" s="167"/>
      <c r="NGB98" s="168"/>
      <c r="NGC98" s="167"/>
      <c r="NGD98" s="168"/>
      <c r="NGE98" s="167"/>
      <c r="NGF98" s="168"/>
      <c r="NGG98" s="167"/>
      <c r="NGH98" s="168"/>
      <c r="NGI98" s="167"/>
      <c r="NGJ98" s="168"/>
      <c r="NGK98" s="167"/>
      <c r="NGL98" s="168"/>
      <c r="NGM98" s="167"/>
      <c r="NGN98" s="168"/>
      <c r="NGO98" s="167"/>
      <c r="NGP98" s="168"/>
      <c r="NGQ98" s="167"/>
      <c r="NGR98" s="168"/>
      <c r="NGS98" s="167"/>
      <c r="NGT98" s="168"/>
      <c r="NGU98" s="167"/>
      <c r="NGV98" s="168"/>
      <c r="NGW98" s="167"/>
      <c r="NGX98" s="168"/>
      <c r="NGY98" s="167"/>
      <c r="NGZ98" s="168"/>
      <c r="NHA98" s="167"/>
      <c r="NHB98" s="168"/>
      <c r="NHC98" s="167"/>
      <c r="NHD98" s="168"/>
      <c r="NHE98" s="167"/>
      <c r="NHF98" s="168"/>
      <c r="NHG98" s="167"/>
      <c r="NHH98" s="168"/>
      <c r="NHI98" s="167"/>
      <c r="NHJ98" s="168"/>
      <c r="NHK98" s="167"/>
      <c r="NHL98" s="168"/>
      <c r="NHM98" s="167"/>
      <c r="NHN98" s="168"/>
      <c r="NHO98" s="167"/>
      <c r="NHP98" s="168"/>
      <c r="NHQ98" s="167"/>
      <c r="NHR98" s="168"/>
      <c r="NHS98" s="167"/>
      <c r="NHT98" s="168"/>
      <c r="NHU98" s="167"/>
      <c r="NHV98" s="168"/>
      <c r="NHW98" s="167"/>
      <c r="NHX98" s="168"/>
      <c r="NHY98" s="167"/>
      <c r="NHZ98" s="168"/>
      <c r="NIA98" s="167"/>
      <c r="NIB98" s="168"/>
      <c r="NIC98" s="167"/>
      <c r="NID98" s="168"/>
      <c r="NIE98" s="167"/>
      <c r="NIF98" s="168"/>
      <c r="NIG98" s="167"/>
      <c r="NIH98" s="168"/>
      <c r="NII98" s="167"/>
      <c r="NIJ98" s="168"/>
      <c r="NIK98" s="167"/>
      <c r="NIL98" s="168"/>
      <c r="NIM98" s="167"/>
      <c r="NIN98" s="168"/>
      <c r="NIO98" s="167"/>
      <c r="NIP98" s="168"/>
      <c r="NIQ98" s="167"/>
      <c r="NIR98" s="168"/>
      <c r="NIS98" s="167"/>
      <c r="NIT98" s="168"/>
      <c r="NIU98" s="167"/>
      <c r="NIV98" s="168"/>
      <c r="NIW98" s="167"/>
      <c r="NIX98" s="168"/>
      <c r="NIY98" s="167"/>
      <c r="NIZ98" s="168"/>
      <c r="NJA98" s="167"/>
      <c r="NJB98" s="168"/>
      <c r="NJC98" s="167"/>
      <c r="NJD98" s="168"/>
      <c r="NJE98" s="167"/>
      <c r="NJF98" s="168"/>
      <c r="NJG98" s="167"/>
      <c r="NJH98" s="168"/>
      <c r="NJI98" s="167"/>
      <c r="NJJ98" s="168"/>
      <c r="NJK98" s="167"/>
      <c r="NJL98" s="168"/>
      <c r="NJM98" s="167"/>
      <c r="NJN98" s="168"/>
      <c r="NJO98" s="167"/>
      <c r="NJP98" s="168"/>
      <c r="NJQ98" s="167"/>
      <c r="NJR98" s="168"/>
      <c r="NJS98" s="167"/>
      <c r="NJT98" s="168"/>
      <c r="NJU98" s="167"/>
      <c r="NJV98" s="168"/>
      <c r="NJW98" s="167"/>
      <c r="NJX98" s="168"/>
      <c r="NJY98" s="167"/>
      <c r="NJZ98" s="168"/>
      <c r="NKA98" s="167"/>
      <c r="NKB98" s="168"/>
      <c r="NKC98" s="167"/>
      <c r="NKD98" s="168"/>
      <c r="NKE98" s="167"/>
      <c r="NKF98" s="168"/>
      <c r="NKG98" s="167"/>
      <c r="NKH98" s="168"/>
      <c r="NKI98" s="167"/>
      <c r="NKJ98" s="168"/>
      <c r="NKK98" s="167"/>
      <c r="NKL98" s="168"/>
      <c r="NKM98" s="167"/>
      <c r="NKN98" s="168"/>
      <c r="NKO98" s="167"/>
      <c r="NKP98" s="168"/>
      <c r="NKQ98" s="167"/>
      <c r="NKR98" s="168"/>
      <c r="NKS98" s="167"/>
      <c r="NKT98" s="168"/>
      <c r="NKU98" s="167"/>
      <c r="NKV98" s="168"/>
      <c r="NKW98" s="167"/>
      <c r="NKX98" s="168"/>
      <c r="NKY98" s="167"/>
      <c r="NKZ98" s="168"/>
      <c r="NLA98" s="167"/>
      <c r="NLB98" s="168"/>
      <c r="NLC98" s="167"/>
      <c r="NLD98" s="168"/>
      <c r="NLE98" s="167"/>
      <c r="NLF98" s="168"/>
      <c r="NLG98" s="167"/>
      <c r="NLH98" s="168"/>
      <c r="NLI98" s="167"/>
      <c r="NLJ98" s="168"/>
      <c r="NLK98" s="167"/>
      <c r="NLL98" s="168"/>
      <c r="NLM98" s="167"/>
      <c r="NLN98" s="168"/>
      <c r="NLO98" s="167"/>
      <c r="NLP98" s="168"/>
      <c r="NLQ98" s="167"/>
      <c r="NLR98" s="168"/>
      <c r="NLS98" s="167"/>
      <c r="NLT98" s="168"/>
      <c r="NLU98" s="167"/>
      <c r="NLV98" s="168"/>
      <c r="NLW98" s="167"/>
      <c r="NLX98" s="168"/>
      <c r="NLY98" s="167"/>
      <c r="NLZ98" s="168"/>
      <c r="NMA98" s="167"/>
      <c r="NMB98" s="168"/>
      <c r="NMC98" s="167"/>
      <c r="NMD98" s="168"/>
      <c r="NME98" s="167"/>
      <c r="NMF98" s="168"/>
      <c r="NMG98" s="167"/>
      <c r="NMH98" s="168"/>
      <c r="NMI98" s="167"/>
      <c r="NMJ98" s="168"/>
      <c r="NMK98" s="167"/>
      <c r="NML98" s="168"/>
      <c r="NMM98" s="167"/>
      <c r="NMN98" s="168"/>
      <c r="NMO98" s="167"/>
      <c r="NMP98" s="168"/>
      <c r="NMQ98" s="167"/>
      <c r="NMR98" s="168"/>
      <c r="NMS98" s="167"/>
      <c r="NMT98" s="168"/>
      <c r="NMU98" s="167"/>
      <c r="NMV98" s="168"/>
      <c r="NMW98" s="167"/>
      <c r="NMX98" s="168"/>
      <c r="NMY98" s="167"/>
      <c r="NMZ98" s="168"/>
      <c r="NNA98" s="167"/>
      <c r="NNB98" s="168"/>
      <c r="NNC98" s="167"/>
      <c r="NND98" s="168"/>
      <c r="NNE98" s="167"/>
      <c r="NNF98" s="168"/>
      <c r="NNG98" s="167"/>
      <c r="NNH98" s="168"/>
      <c r="NNI98" s="167"/>
      <c r="NNJ98" s="168"/>
      <c r="NNK98" s="167"/>
      <c r="NNL98" s="168"/>
      <c r="NNM98" s="167"/>
      <c r="NNN98" s="168"/>
      <c r="NNO98" s="167"/>
      <c r="NNP98" s="168"/>
      <c r="NNQ98" s="167"/>
      <c r="NNR98" s="168"/>
      <c r="NNS98" s="167"/>
      <c r="NNT98" s="168"/>
      <c r="NNU98" s="167"/>
      <c r="NNV98" s="168"/>
      <c r="NNW98" s="167"/>
      <c r="NNX98" s="168"/>
      <c r="NNY98" s="167"/>
      <c r="NNZ98" s="168"/>
      <c r="NOA98" s="167"/>
      <c r="NOB98" s="168"/>
      <c r="NOC98" s="167"/>
      <c r="NOD98" s="168"/>
      <c r="NOE98" s="167"/>
      <c r="NOF98" s="168"/>
      <c r="NOG98" s="167"/>
      <c r="NOH98" s="168"/>
      <c r="NOI98" s="167"/>
      <c r="NOJ98" s="168"/>
      <c r="NOK98" s="167"/>
      <c r="NOL98" s="168"/>
      <c r="NOM98" s="167"/>
      <c r="NON98" s="168"/>
      <c r="NOO98" s="167"/>
      <c r="NOP98" s="168"/>
      <c r="NOQ98" s="167"/>
      <c r="NOR98" s="168"/>
      <c r="NOS98" s="167"/>
      <c r="NOT98" s="168"/>
      <c r="NOU98" s="167"/>
      <c r="NOV98" s="168"/>
      <c r="NOW98" s="167"/>
      <c r="NOX98" s="168"/>
      <c r="NOY98" s="167"/>
      <c r="NOZ98" s="168"/>
      <c r="NPA98" s="167"/>
      <c r="NPB98" s="168"/>
      <c r="NPC98" s="167"/>
      <c r="NPD98" s="168"/>
      <c r="NPE98" s="167"/>
      <c r="NPF98" s="168"/>
      <c r="NPG98" s="167"/>
      <c r="NPH98" s="168"/>
      <c r="NPI98" s="167"/>
      <c r="NPJ98" s="168"/>
      <c r="NPK98" s="167"/>
      <c r="NPL98" s="168"/>
      <c r="NPM98" s="167"/>
      <c r="NPN98" s="168"/>
      <c r="NPO98" s="167"/>
      <c r="NPP98" s="168"/>
      <c r="NPQ98" s="167"/>
      <c r="NPR98" s="168"/>
      <c r="NPS98" s="167"/>
      <c r="NPT98" s="168"/>
      <c r="NPU98" s="167"/>
      <c r="NPV98" s="168"/>
      <c r="NPW98" s="167"/>
      <c r="NPX98" s="168"/>
      <c r="NPY98" s="167"/>
      <c r="NPZ98" s="168"/>
      <c r="NQA98" s="167"/>
      <c r="NQB98" s="168"/>
      <c r="NQC98" s="167"/>
      <c r="NQD98" s="168"/>
      <c r="NQE98" s="167"/>
      <c r="NQF98" s="168"/>
      <c r="NQG98" s="167"/>
      <c r="NQH98" s="168"/>
      <c r="NQI98" s="167"/>
      <c r="NQJ98" s="168"/>
      <c r="NQK98" s="167"/>
      <c r="NQL98" s="168"/>
      <c r="NQM98" s="167"/>
      <c r="NQN98" s="168"/>
      <c r="NQO98" s="167"/>
      <c r="NQP98" s="168"/>
      <c r="NQQ98" s="167"/>
      <c r="NQR98" s="168"/>
      <c r="NQS98" s="167"/>
      <c r="NQT98" s="168"/>
      <c r="NQU98" s="167"/>
      <c r="NQV98" s="168"/>
      <c r="NQW98" s="167"/>
      <c r="NQX98" s="168"/>
      <c r="NQY98" s="167"/>
      <c r="NQZ98" s="168"/>
      <c r="NRA98" s="167"/>
      <c r="NRB98" s="168"/>
      <c r="NRC98" s="167"/>
      <c r="NRD98" s="168"/>
      <c r="NRE98" s="167"/>
      <c r="NRF98" s="168"/>
      <c r="NRG98" s="167"/>
      <c r="NRH98" s="168"/>
      <c r="NRI98" s="167"/>
      <c r="NRJ98" s="168"/>
      <c r="NRK98" s="167"/>
      <c r="NRL98" s="168"/>
      <c r="NRM98" s="167"/>
      <c r="NRN98" s="168"/>
      <c r="NRO98" s="167"/>
      <c r="NRP98" s="168"/>
      <c r="NRQ98" s="167"/>
      <c r="NRR98" s="168"/>
      <c r="NRS98" s="167"/>
      <c r="NRT98" s="168"/>
      <c r="NRU98" s="167"/>
      <c r="NRV98" s="168"/>
      <c r="NRW98" s="167"/>
      <c r="NRX98" s="168"/>
      <c r="NRY98" s="167"/>
      <c r="NRZ98" s="168"/>
      <c r="NSA98" s="167"/>
      <c r="NSB98" s="168"/>
      <c r="NSC98" s="167"/>
      <c r="NSD98" s="168"/>
      <c r="NSE98" s="167"/>
      <c r="NSF98" s="168"/>
      <c r="NSG98" s="167"/>
      <c r="NSH98" s="168"/>
      <c r="NSI98" s="167"/>
      <c r="NSJ98" s="168"/>
      <c r="NSK98" s="167"/>
      <c r="NSL98" s="168"/>
      <c r="NSM98" s="167"/>
      <c r="NSN98" s="168"/>
      <c r="NSO98" s="167"/>
      <c r="NSP98" s="168"/>
      <c r="NSQ98" s="167"/>
      <c r="NSR98" s="168"/>
      <c r="NSS98" s="167"/>
      <c r="NST98" s="168"/>
      <c r="NSU98" s="167"/>
      <c r="NSV98" s="168"/>
      <c r="NSW98" s="167"/>
      <c r="NSX98" s="168"/>
      <c r="NSY98" s="167"/>
      <c r="NSZ98" s="168"/>
      <c r="NTA98" s="167"/>
      <c r="NTB98" s="168"/>
      <c r="NTC98" s="167"/>
      <c r="NTD98" s="168"/>
      <c r="NTE98" s="167"/>
      <c r="NTF98" s="168"/>
      <c r="NTG98" s="167"/>
      <c r="NTH98" s="168"/>
      <c r="NTI98" s="167"/>
      <c r="NTJ98" s="168"/>
      <c r="NTK98" s="167"/>
      <c r="NTL98" s="168"/>
      <c r="NTM98" s="167"/>
      <c r="NTN98" s="168"/>
      <c r="NTO98" s="167"/>
      <c r="NTP98" s="168"/>
      <c r="NTQ98" s="167"/>
      <c r="NTR98" s="168"/>
      <c r="NTS98" s="167"/>
      <c r="NTT98" s="168"/>
      <c r="NTU98" s="167"/>
      <c r="NTV98" s="168"/>
      <c r="NTW98" s="167"/>
      <c r="NTX98" s="168"/>
      <c r="NTY98" s="167"/>
      <c r="NTZ98" s="168"/>
      <c r="NUA98" s="167"/>
      <c r="NUB98" s="168"/>
      <c r="NUC98" s="167"/>
      <c r="NUD98" s="168"/>
      <c r="NUE98" s="167"/>
      <c r="NUF98" s="168"/>
      <c r="NUG98" s="167"/>
      <c r="NUH98" s="168"/>
      <c r="NUI98" s="167"/>
      <c r="NUJ98" s="168"/>
      <c r="NUK98" s="167"/>
      <c r="NUL98" s="168"/>
      <c r="NUM98" s="167"/>
      <c r="NUN98" s="168"/>
      <c r="NUO98" s="167"/>
      <c r="NUP98" s="168"/>
      <c r="NUQ98" s="167"/>
      <c r="NUR98" s="168"/>
      <c r="NUS98" s="167"/>
      <c r="NUT98" s="168"/>
      <c r="NUU98" s="167"/>
      <c r="NUV98" s="168"/>
      <c r="NUW98" s="167"/>
      <c r="NUX98" s="168"/>
      <c r="NUY98" s="167"/>
      <c r="NUZ98" s="168"/>
      <c r="NVA98" s="167"/>
      <c r="NVB98" s="168"/>
      <c r="NVC98" s="167"/>
      <c r="NVD98" s="168"/>
      <c r="NVE98" s="167"/>
      <c r="NVF98" s="168"/>
      <c r="NVG98" s="167"/>
      <c r="NVH98" s="168"/>
      <c r="NVI98" s="167"/>
      <c r="NVJ98" s="168"/>
      <c r="NVK98" s="167"/>
      <c r="NVL98" s="168"/>
      <c r="NVM98" s="167"/>
      <c r="NVN98" s="168"/>
      <c r="NVO98" s="167"/>
      <c r="NVP98" s="168"/>
      <c r="NVQ98" s="167"/>
      <c r="NVR98" s="168"/>
      <c r="NVS98" s="167"/>
      <c r="NVT98" s="168"/>
      <c r="NVU98" s="167"/>
      <c r="NVV98" s="168"/>
      <c r="NVW98" s="167"/>
      <c r="NVX98" s="168"/>
      <c r="NVY98" s="167"/>
      <c r="NVZ98" s="168"/>
      <c r="NWA98" s="167"/>
      <c r="NWB98" s="168"/>
      <c r="NWC98" s="167"/>
      <c r="NWD98" s="168"/>
      <c r="NWE98" s="167"/>
      <c r="NWF98" s="168"/>
      <c r="NWG98" s="167"/>
      <c r="NWH98" s="168"/>
      <c r="NWI98" s="167"/>
      <c r="NWJ98" s="168"/>
      <c r="NWK98" s="167"/>
      <c r="NWL98" s="168"/>
      <c r="NWM98" s="167"/>
      <c r="NWN98" s="168"/>
      <c r="NWO98" s="167"/>
      <c r="NWP98" s="168"/>
      <c r="NWQ98" s="167"/>
      <c r="NWR98" s="168"/>
      <c r="NWS98" s="167"/>
      <c r="NWT98" s="168"/>
      <c r="NWU98" s="167"/>
      <c r="NWV98" s="168"/>
      <c r="NWW98" s="167"/>
      <c r="NWX98" s="168"/>
      <c r="NWY98" s="167"/>
      <c r="NWZ98" s="168"/>
      <c r="NXA98" s="167"/>
      <c r="NXB98" s="168"/>
      <c r="NXC98" s="167"/>
      <c r="NXD98" s="168"/>
      <c r="NXE98" s="167"/>
      <c r="NXF98" s="168"/>
      <c r="NXG98" s="167"/>
      <c r="NXH98" s="168"/>
      <c r="NXI98" s="167"/>
      <c r="NXJ98" s="168"/>
      <c r="NXK98" s="167"/>
      <c r="NXL98" s="168"/>
      <c r="NXM98" s="167"/>
      <c r="NXN98" s="168"/>
      <c r="NXO98" s="167"/>
      <c r="NXP98" s="168"/>
      <c r="NXQ98" s="167"/>
      <c r="NXR98" s="168"/>
      <c r="NXS98" s="167"/>
      <c r="NXT98" s="168"/>
      <c r="NXU98" s="167"/>
      <c r="NXV98" s="168"/>
      <c r="NXW98" s="167"/>
      <c r="NXX98" s="168"/>
      <c r="NXY98" s="167"/>
      <c r="NXZ98" s="168"/>
      <c r="NYA98" s="167"/>
      <c r="NYB98" s="168"/>
      <c r="NYC98" s="167"/>
      <c r="NYD98" s="168"/>
      <c r="NYE98" s="167"/>
      <c r="NYF98" s="168"/>
      <c r="NYG98" s="167"/>
      <c r="NYH98" s="168"/>
      <c r="NYI98" s="167"/>
      <c r="NYJ98" s="168"/>
      <c r="NYK98" s="167"/>
      <c r="NYL98" s="168"/>
      <c r="NYM98" s="167"/>
      <c r="NYN98" s="168"/>
      <c r="NYO98" s="167"/>
      <c r="NYP98" s="168"/>
      <c r="NYQ98" s="167"/>
      <c r="NYR98" s="168"/>
      <c r="NYS98" s="167"/>
      <c r="NYT98" s="168"/>
      <c r="NYU98" s="167"/>
      <c r="NYV98" s="168"/>
      <c r="NYW98" s="167"/>
      <c r="NYX98" s="168"/>
      <c r="NYY98" s="167"/>
      <c r="NYZ98" s="168"/>
      <c r="NZA98" s="167"/>
      <c r="NZB98" s="168"/>
      <c r="NZC98" s="167"/>
      <c r="NZD98" s="168"/>
      <c r="NZE98" s="167"/>
      <c r="NZF98" s="168"/>
      <c r="NZG98" s="167"/>
      <c r="NZH98" s="168"/>
      <c r="NZI98" s="167"/>
      <c r="NZJ98" s="168"/>
      <c r="NZK98" s="167"/>
      <c r="NZL98" s="168"/>
      <c r="NZM98" s="167"/>
      <c r="NZN98" s="168"/>
      <c r="NZO98" s="167"/>
      <c r="NZP98" s="168"/>
      <c r="NZQ98" s="167"/>
      <c r="NZR98" s="168"/>
      <c r="NZS98" s="167"/>
      <c r="NZT98" s="168"/>
      <c r="NZU98" s="167"/>
      <c r="NZV98" s="168"/>
      <c r="NZW98" s="167"/>
      <c r="NZX98" s="168"/>
      <c r="NZY98" s="167"/>
      <c r="NZZ98" s="168"/>
      <c r="OAA98" s="167"/>
      <c r="OAB98" s="168"/>
      <c r="OAC98" s="167"/>
      <c r="OAD98" s="168"/>
      <c r="OAE98" s="167"/>
      <c r="OAF98" s="168"/>
      <c r="OAG98" s="167"/>
      <c r="OAH98" s="168"/>
      <c r="OAI98" s="167"/>
      <c r="OAJ98" s="168"/>
      <c r="OAK98" s="167"/>
      <c r="OAL98" s="168"/>
      <c r="OAM98" s="167"/>
      <c r="OAN98" s="168"/>
      <c r="OAO98" s="167"/>
      <c r="OAP98" s="168"/>
      <c r="OAQ98" s="167"/>
      <c r="OAR98" s="168"/>
      <c r="OAS98" s="167"/>
      <c r="OAT98" s="168"/>
      <c r="OAU98" s="167"/>
      <c r="OAV98" s="168"/>
      <c r="OAW98" s="167"/>
      <c r="OAX98" s="168"/>
      <c r="OAY98" s="167"/>
      <c r="OAZ98" s="168"/>
      <c r="OBA98" s="167"/>
      <c r="OBB98" s="168"/>
      <c r="OBC98" s="167"/>
      <c r="OBD98" s="168"/>
      <c r="OBE98" s="167"/>
      <c r="OBF98" s="168"/>
      <c r="OBG98" s="167"/>
      <c r="OBH98" s="168"/>
      <c r="OBI98" s="167"/>
      <c r="OBJ98" s="168"/>
      <c r="OBK98" s="167"/>
      <c r="OBL98" s="168"/>
      <c r="OBM98" s="167"/>
      <c r="OBN98" s="168"/>
      <c r="OBO98" s="167"/>
      <c r="OBP98" s="168"/>
      <c r="OBQ98" s="167"/>
      <c r="OBR98" s="168"/>
      <c r="OBS98" s="167"/>
      <c r="OBT98" s="168"/>
      <c r="OBU98" s="167"/>
      <c r="OBV98" s="168"/>
      <c r="OBW98" s="167"/>
      <c r="OBX98" s="168"/>
      <c r="OBY98" s="167"/>
      <c r="OBZ98" s="168"/>
      <c r="OCA98" s="167"/>
      <c r="OCB98" s="168"/>
      <c r="OCC98" s="167"/>
      <c r="OCD98" s="168"/>
      <c r="OCE98" s="167"/>
      <c r="OCF98" s="168"/>
      <c r="OCG98" s="167"/>
      <c r="OCH98" s="168"/>
      <c r="OCI98" s="167"/>
      <c r="OCJ98" s="168"/>
      <c r="OCK98" s="167"/>
      <c r="OCL98" s="168"/>
      <c r="OCM98" s="167"/>
      <c r="OCN98" s="168"/>
      <c r="OCO98" s="167"/>
      <c r="OCP98" s="168"/>
      <c r="OCQ98" s="167"/>
      <c r="OCR98" s="168"/>
      <c r="OCS98" s="167"/>
      <c r="OCT98" s="168"/>
      <c r="OCU98" s="167"/>
      <c r="OCV98" s="168"/>
      <c r="OCW98" s="167"/>
      <c r="OCX98" s="168"/>
      <c r="OCY98" s="167"/>
      <c r="OCZ98" s="168"/>
      <c r="ODA98" s="167"/>
      <c r="ODB98" s="168"/>
      <c r="ODC98" s="167"/>
      <c r="ODD98" s="168"/>
      <c r="ODE98" s="167"/>
      <c r="ODF98" s="168"/>
      <c r="ODG98" s="167"/>
      <c r="ODH98" s="168"/>
      <c r="ODI98" s="167"/>
      <c r="ODJ98" s="168"/>
      <c r="ODK98" s="167"/>
      <c r="ODL98" s="168"/>
      <c r="ODM98" s="167"/>
      <c r="ODN98" s="168"/>
      <c r="ODO98" s="167"/>
      <c r="ODP98" s="168"/>
      <c r="ODQ98" s="167"/>
      <c r="ODR98" s="168"/>
      <c r="ODS98" s="167"/>
      <c r="ODT98" s="168"/>
      <c r="ODU98" s="167"/>
      <c r="ODV98" s="168"/>
      <c r="ODW98" s="167"/>
      <c r="ODX98" s="168"/>
      <c r="ODY98" s="167"/>
      <c r="ODZ98" s="168"/>
      <c r="OEA98" s="167"/>
      <c r="OEB98" s="168"/>
      <c r="OEC98" s="167"/>
      <c r="OED98" s="168"/>
      <c r="OEE98" s="167"/>
      <c r="OEF98" s="168"/>
      <c r="OEG98" s="167"/>
      <c r="OEH98" s="168"/>
      <c r="OEI98" s="167"/>
      <c r="OEJ98" s="168"/>
      <c r="OEK98" s="167"/>
      <c r="OEL98" s="168"/>
      <c r="OEM98" s="167"/>
      <c r="OEN98" s="168"/>
      <c r="OEO98" s="167"/>
      <c r="OEP98" s="168"/>
      <c r="OEQ98" s="167"/>
      <c r="OER98" s="168"/>
      <c r="OES98" s="167"/>
      <c r="OET98" s="168"/>
      <c r="OEU98" s="167"/>
      <c r="OEV98" s="168"/>
      <c r="OEW98" s="167"/>
      <c r="OEX98" s="168"/>
      <c r="OEY98" s="167"/>
      <c r="OEZ98" s="168"/>
      <c r="OFA98" s="167"/>
      <c r="OFB98" s="168"/>
      <c r="OFC98" s="167"/>
      <c r="OFD98" s="168"/>
      <c r="OFE98" s="167"/>
      <c r="OFF98" s="168"/>
      <c r="OFG98" s="167"/>
      <c r="OFH98" s="168"/>
      <c r="OFI98" s="167"/>
      <c r="OFJ98" s="168"/>
      <c r="OFK98" s="167"/>
      <c r="OFL98" s="168"/>
      <c r="OFM98" s="167"/>
      <c r="OFN98" s="168"/>
      <c r="OFO98" s="167"/>
      <c r="OFP98" s="168"/>
      <c r="OFQ98" s="167"/>
      <c r="OFR98" s="168"/>
      <c r="OFS98" s="167"/>
      <c r="OFT98" s="168"/>
      <c r="OFU98" s="167"/>
      <c r="OFV98" s="168"/>
      <c r="OFW98" s="167"/>
      <c r="OFX98" s="168"/>
      <c r="OFY98" s="167"/>
      <c r="OFZ98" s="168"/>
      <c r="OGA98" s="167"/>
      <c r="OGB98" s="168"/>
      <c r="OGC98" s="167"/>
      <c r="OGD98" s="168"/>
      <c r="OGE98" s="167"/>
      <c r="OGF98" s="168"/>
      <c r="OGG98" s="167"/>
      <c r="OGH98" s="168"/>
      <c r="OGI98" s="167"/>
      <c r="OGJ98" s="168"/>
      <c r="OGK98" s="167"/>
      <c r="OGL98" s="168"/>
      <c r="OGM98" s="167"/>
      <c r="OGN98" s="168"/>
      <c r="OGO98" s="167"/>
      <c r="OGP98" s="168"/>
      <c r="OGQ98" s="167"/>
      <c r="OGR98" s="168"/>
      <c r="OGS98" s="167"/>
      <c r="OGT98" s="168"/>
      <c r="OGU98" s="167"/>
      <c r="OGV98" s="168"/>
      <c r="OGW98" s="167"/>
      <c r="OGX98" s="168"/>
      <c r="OGY98" s="167"/>
      <c r="OGZ98" s="168"/>
      <c r="OHA98" s="167"/>
      <c r="OHB98" s="168"/>
      <c r="OHC98" s="167"/>
      <c r="OHD98" s="168"/>
      <c r="OHE98" s="167"/>
      <c r="OHF98" s="168"/>
      <c r="OHG98" s="167"/>
      <c r="OHH98" s="168"/>
      <c r="OHI98" s="167"/>
      <c r="OHJ98" s="168"/>
      <c r="OHK98" s="167"/>
      <c r="OHL98" s="168"/>
      <c r="OHM98" s="167"/>
      <c r="OHN98" s="168"/>
      <c r="OHO98" s="167"/>
      <c r="OHP98" s="168"/>
      <c r="OHQ98" s="167"/>
      <c r="OHR98" s="168"/>
      <c r="OHS98" s="167"/>
      <c r="OHT98" s="168"/>
      <c r="OHU98" s="167"/>
      <c r="OHV98" s="168"/>
      <c r="OHW98" s="167"/>
      <c r="OHX98" s="168"/>
      <c r="OHY98" s="167"/>
      <c r="OHZ98" s="168"/>
      <c r="OIA98" s="167"/>
      <c r="OIB98" s="168"/>
      <c r="OIC98" s="167"/>
      <c r="OID98" s="168"/>
      <c r="OIE98" s="167"/>
      <c r="OIF98" s="168"/>
      <c r="OIG98" s="167"/>
      <c r="OIH98" s="168"/>
      <c r="OII98" s="167"/>
      <c r="OIJ98" s="168"/>
      <c r="OIK98" s="167"/>
      <c r="OIL98" s="168"/>
      <c r="OIM98" s="167"/>
      <c r="OIN98" s="168"/>
      <c r="OIO98" s="167"/>
      <c r="OIP98" s="168"/>
      <c r="OIQ98" s="167"/>
      <c r="OIR98" s="168"/>
      <c r="OIS98" s="167"/>
      <c r="OIT98" s="168"/>
      <c r="OIU98" s="167"/>
      <c r="OIV98" s="168"/>
      <c r="OIW98" s="167"/>
      <c r="OIX98" s="168"/>
      <c r="OIY98" s="167"/>
      <c r="OIZ98" s="168"/>
      <c r="OJA98" s="167"/>
      <c r="OJB98" s="168"/>
      <c r="OJC98" s="167"/>
      <c r="OJD98" s="168"/>
      <c r="OJE98" s="167"/>
      <c r="OJF98" s="168"/>
      <c r="OJG98" s="167"/>
      <c r="OJH98" s="168"/>
      <c r="OJI98" s="167"/>
      <c r="OJJ98" s="168"/>
      <c r="OJK98" s="167"/>
      <c r="OJL98" s="168"/>
      <c r="OJM98" s="167"/>
      <c r="OJN98" s="168"/>
      <c r="OJO98" s="167"/>
      <c r="OJP98" s="168"/>
      <c r="OJQ98" s="167"/>
      <c r="OJR98" s="168"/>
      <c r="OJS98" s="167"/>
      <c r="OJT98" s="168"/>
      <c r="OJU98" s="167"/>
      <c r="OJV98" s="168"/>
      <c r="OJW98" s="167"/>
      <c r="OJX98" s="168"/>
      <c r="OJY98" s="167"/>
      <c r="OJZ98" s="168"/>
      <c r="OKA98" s="167"/>
      <c r="OKB98" s="168"/>
      <c r="OKC98" s="167"/>
      <c r="OKD98" s="168"/>
      <c r="OKE98" s="167"/>
      <c r="OKF98" s="168"/>
      <c r="OKG98" s="167"/>
      <c r="OKH98" s="168"/>
      <c r="OKI98" s="167"/>
      <c r="OKJ98" s="168"/>
      <c r="OKK98" s="167"/>
      <c r="OKL98" s="168"/>
      <c r="OKM98" s="167"/>
      <c r="OKN98" s="168"/>
      <c r="OKO98" s="167"/>
      <c r="OKP98" s="168"/>
      <c r="OKQ98" s="167"/>
      <c r="OKR98" s="168"/>
      <c r="OKS98" s="167"/>
      <c r="OKT98" s="168"/>
      <c r="OKU98" s="167"/>
      <c r="OKV98" s="168"/>
      <c r="OKW98" s="167"/>
      <c r="OKX98" s="168"/>
      <c r="OKY98" s="167"/>
      <c r="OKZ98" s="168"/>
      <c r="OLA98" s="167"/>
      <c r="OLB98" s="168"/>
      <c r="OLC98" s="167"/>
      <c r="OLD98" s="168"/>
      <c r="OLE98" s="167"/>
      <c r="OLF98" s="168"/>
      <c r="OLG98" s="167"/>
      <c r="OLH98" s="168"/>
      <c r="OLI98" s="167"/>
      <c r="OLJ98" s="168"/>
      <c r="OLK98" s="167"/>
      <c r="OLL98" s="168"/>
      <c r="OLM98" s="167"/>
      <c r="OLN98" s="168"/>
      <c r="OLO98" s="167"/>
      <c r="OLP98" s="168"/>
      <c r="OLQ98" s="167"/>
      <c r="OLR98" s="168"/>
      <c r="OLS98" s="167"/>
      <c r="OLT98" s="168"/>
      <c r="OLU98" s="167"/>
      <c r="OLV98" s="168"/>
      <c r="OLW98" s="167"/>
      <c r="OLX98" s="168"/>
      <c r="OLY98" s="167"/>
      <c r="OLZ98" s="168"/>
      <c r="OMA98" s="167"/>
      <c r="OMB98" s="168"/>
      <c r="OMC98" s="167"/>
      <c r="OMD98" s="168"/>
      <c r="OME98" s="167"/>
      <c r="OMF98" s="168"/>
      <c r="OMG98" s="167"/>
      <c r="OMH98" s="168"/>
      <c r="OMI98" s="167"/>
      <c r="OMJ98" s="168"/>
      <c r="OMK98" s="167"/>
      <c r="OML98" s="168"/>
      <c r="OMM98" s="167"/>
      <c r="OMN98" s="168"/>
      <c r="OMO98" s="167"/>
      <c r="OMP98" s="168"/>
      <c r="OMQ98" s="167"/>
      <c r="OMR98" s="168"/>
      <c r="OMS98" s="167"/>
      <c r="OMT98" s="168"/>
      <c r="OMU98" s="167"/>
      <c r="OMV98" s="168"/>
      <c r="OMW98" s="167"/>
      <c r="OMX98" s="168"/>
      <c r="OMY98" s="167"/>
      <c r="OMZ98" s="168"/>
      <c r="ONA98" s="167"/>
      <c r="ONB98" s="168"/>
      <c r="ONC98" s="167"/>
      <c r="OND98" s="168"/>
      <c r="ONE98" s="167"/>
      <c r="ONF98" s="168"/>
      <c r="ONG98" s="167"/>
      <c r="ONH98" s="168"/>
      <c r="ONI98" s="167"/>
      <c r="ONJ98" s="168"/>
      <c r="ONK98" s="167"/>
      <c r="ONL98" s="168"/>
      <c r="ONM98" s="167"/>
      <c r="ONN98" s="168"/>
      <c r="ONO98" s="167"/>
      <c r="ONP98" s="168"/>
      <c r="ONQ98" s="167"/>
      <c r="ONR98" s="168"/>
      <c r="ONS98" s="167"/>
      <c r="ONT98" s="168"/>
      <c r="ONU98" s="167"/>
      <c r="ONV98" s="168"/>
      <c r="ONW98" s="167"/>
      <c r="ONX98" s="168"/>
      <c r="ONY98" s="167"/>
      <c r="ONZ98" s="168"/>
      <c r="OOA98" s="167"/>
      <c r="OOB98" s="168"/>
      <c r="OOC98" s="167"/>
      <c r="OOD98" s="168"/>
      <c r="OOE98" s="167"/>
      <c r="OOF98" s="168"/>
      <c r="OOG98" s="167"/>
      <c r="OOH98" s="168"/>
      <c r="OOI98" s="167"/>
      <c r="OOJ98" s="168"/>
      <c r="OOK98" s="167"/>
      <c r="OOL98" s="168"/>
      <c r="OOM98" s="167"/>
      <c r="OON98" s="168"/>
      <c r="OOO98" s="167"/>
      <c r="OOP98" s="168"/>
      <c r="OOQ98" s="167"/>
      <c r="OOR98" s="168"/>
      <c r="OOS98" s="167"/>
      <c r="OOT98" s="168"/>
      <c r="OOU98" s="167"/>
      <c r="OOV98" s="168"/>
      <c r="OOW98" s="167"/>
      <c r="OOX98" s="168"/>
      <c r="OOY98" s="167"/>
      <c r="OOZ98" s="168"/>
      <c r="OPA98" s="167"/>
      <c r="OPB98" s="168"/>
      <c r="OPC98" s="167"/>
      <c r="OPD98" s="168"/>
      <c r="OPE98" s="167"/>
      <c r="OPF98" s="168"/>
      <c r="OPG98" s="167"/>
      <c r="OPH98" s="168"/>
      <c r="OPI98" s="167"/>
      <c r="OPJ98" s="168"/>
      <c r="OPK98" s="167"/>
      <c r="OPL98" s="168"/>
      <c r="OPM98" s="167"/>
      <c r="OPN98" s="168"/>
      <c r="OPO98" s="167"/>
      <c r="OPP98" s="168"/>
      <c r="OPQ98" s="167"/>
      <c r="OPR98" s="168"/>
      <c r="OPS98" s="167"/>
      <c r="OPT98" s="168"/>
      <c r="OPU98" s="167"/>
      <c r="OPV98" s="168"/>
      <c r="OPW98" s="167"/>
      <c r="OPX98" s="168"/>
      <c r="OPY98" s="167"/>
      <c r="OPZ98" s="168"/>
      <c r="OQA98" s="167"/>
      <c r="OQB98" s="168"/>
      <c r="OQC98" s="167"/>
      <c r="OQD98" s="168"/>
      <c r="OQE98" s="167"/>
      <c r="OQF98" s="168"/>
      <c r="OQG98" s="167"/>
      <c r="OQH98" s="168"/>
      <c r="OQI98" s="167"/>
      <c r="OQJ98" s="168"/>
      <c r="OQK98" s="167"/>
      <c r="OQL98" s="168"/>
      <c r="OQM98" s="167"/>
      <c r="OQN98" s="168"/>
      <c r="OQO98" s="167"/>
      <c r="OQP98" s="168"/>
      <c r="OQQ98" s="167"/>
      <c r="OQR98" s="168"/>
      <c r="OQS98" s="167"/>
      <c r="OQT98" s="168"/>
      <c r="OQU98" s="167"/>
      <c r="OQV98" s="168"/>
      <c r="OQW98" s="167"/>
      <c r="OQX98" s="168"/>
      <c r="OQY98" s="167"/>
      <c r="OQZ98" s="168"/>
      <c r="ORA98" s="167"/>
      <c r="ORB98" s="168"/>
      <c r="ORC98" s="167"/>
      <c r="ORD98" s="168"/>
      <c r="ORE98" s="167"/>
      <c r="ORF98" s="168"/>
      <c r="ORG98" s="167"/>
      <c r="ORH98" s="168"/>
      <c r="ORI98" s="167"/>
      <c r="ORJ98" s="168"/>
      <c r="ORK98" s="167"/>
      <c r="ORL98" s="168"/>
      <c r="ORM98" s="167"/>
      <c r="ORN98" s="168"/>
      <c r="ORO98" s="167"/>
      <c r="ORP98" s="168"/>
      <c r="ORQ98" s="167"/>
      <c r="ORR98" s="168"/>
      <c r="ORS98" s="167"/>
      <c r="ORT98" s="168"/>
      <c r="ORU98" s="167"/>
      <c r="ORV98" s="168"/>
      <c r="ORW98" s="167"/>
      <c r="ORX98" s="168"/>
      <c r="ORY98" s="167"/>
      <c r="ORZ98" s="168"/>
      <c r="OSA98" s="167"/>
      <c r="OSB98" s="168"/>
      <c r="OSC98" s="167"/>
      <c r="OSD98" s="168"/>
      <c r="OSE98" s="167"/>
      <c r="OSF98" s="168"/>
      <c r="OSG98" s="167"/>
      <c r="OSH98" s="168"/>
      <c r="OSI98" s="167"/>
      <c r="OSJ98" s="168"/>
      <c r="OSK98" s="167"/>
      <c r="OSL98" s="168"/>
      <c r="OSM98" s="167"/>
      <c r="OSN98" s="168"/>
      <c r="OSO98" s="167"/>
      <c r="OSP98" s="168"/>
      <c r="OSQ98" s="167"/>
      <c r="OSR98" s="168"/>
      <c r="OSS98" s="167"/>
      <c r="OST98" s="168"/>
      <c r="OSU98" s="167"/>
      <c r="OSV98" s="168"/>
      <c r="OSW98" s="167"/>
      <c r="OSX98" s="168"/>
      <c r="OSY98" s="167"/>
      <c r="OSZ98" s="168"/>
      <c r="OTA98" s="167"/>
      <c r="OTB98" s="168"/>
      <c r="OTC98" s="167"/>
      <c r="OTD98" s="168"/>
      <c r="OTE98" s="167"/>
      <c r="OTF98" s="168"/>
      <c r="OTG98" s="167"/>
      <c r="OTH98" s="168"/>
      <c r="OTI98" s="167"/>
      <c r="OTJ98" s="168"/>
      <c r="OTK98" s="167"/>
      <c r="OTL98" s="168"/>
      <c r="OTM98" s="167"/>
      <c r="OTN98" s="168"/>
      <c r="OTO98" s="167"/>
      <c r="OTP98" s="168"/>
      <c r="OTQ98" s="167"/>
      <c r="OTR98" s="168"/>
      <c r="OTS98" s="167"/>
      <c r="OTT98" s="168"/>
      <c r="OTU98" s="167"/>
      <c r="OTV98" s="168"/>
      <c r="OTW98" s="167"/>
      <c r="OTX98" s="168"/>
      <c r="OTY98" s="167"/>
      <c r="OTZ98" s="168"/>
      <c r="OUA98" s="167"/>
      <c r="OUB98" s="168"/>
      <c r="OUC98" s="167"/>
      <c r="OUD98" s="168"/>
      <c r="OUE98" s="167"/>
      <c r="OUF98" s="168"/>
      <c r="OUG98" s="167"/>
      <c r="OUH98" s="168"/>
      <c r="OUI98" s="167"/>
      <c r="OUJ98" s="168"/>
      <c r="OUK98" s="167"/>
      <c r="OUL98" s="168"/>
      <c r="OUM98" s="167"/>
      <c r="OUN98" s="168"/>
      <c r="OUO98" s="167"/>
      <c r="OUP98" s="168"/>
      <c r="OUQ98" s="167"/>
      <c r="OUR98" s="168"/>
      <c r="OUS98" s="167"/>
      <c r="OUT98" s="168"/>
      <c r="OUU98" s="167"/>
      <c r="OUV98" s="168"/>
      <c r="OUW98" s="167"/>
      <c r="OUX98" s="168"/>
      <c r="OUY98" s="167"/>
      <c r="OUZ98" s="168"/>
      <c r="OVA98" s="167"/>
      <c r="OVB98" s="168"/>
      <c r="OVC98" s="167"/>
      <c r="OVD98" s="168"/>
      <c r="OVE98" s="167"/>
      <c r="OVF98" s="168"/>
      <c r="OVG98" s="167"/>
      <c r="OVH98" s="168"/>
      <c r="OVI98" s="167"/>
      <c r="OVJ98" s="168"/>
      <c r="OVK98" s="167"/>
      <c r="OVL98" s="168"/>
      <c r="OVM98" s="167"/>
      <c r="OVN98" s="168"/>
      <c r="OVO98" s="167"/>
      <c r="OVP98" s="168"/>
      <c r="OVQ98" s="167"/>
      <c r="OVR98" s="168"/>
      <c r="OVS98" s="167"/>
      <c r="OVT98" s="168"/>
      <c r="OVU98" s="167"/>
      <c r="OVV98" s="168"/>
      <c r="OVW98" s="167"/>
      <c r="OVX98" s="168"/>
      <c r="OVY98" s="167"/>
      <c r="OVZ98" s="168"/>
      <c r="OWA98" s="167"/>
      <c r="OWB98" s="168"/>
      <c r="OWC98" s="167"/>
      <c r="OWD98" s="168"/>
      <c r="OWE98" s="167"/>
      <c r="OWF98" s="168"/>
      <c r="OWG98" s="167"/>
      <c r="OWH98" s="168"/>
      <c r="OWI98" s="167"/>
      <c r="OWJ98" s="168"/>
      <c r="OWK98" s="167"/>
      <c r="OWL98" s="168"/>
      <c r="OWM98" s="167"/>
      <c r="OWN98" s="168"/>
      <c r="OWO98" s="167"/>
      <c r="OWP98" s="168"/>
      <c r="OWQ98" s="167"/>
      <c r="OWR98" s="168"/>
      <c r="OWS98" s="167"/>
      <c r="OWT98" s="168"/>
      <c r="OWU98" s="167"/>
      <c r="OWV98" s="168"/>
      <c r="OWW98" s="167"/>
      <c r="OWX98" s="168"/>
      <c r="OWY98" s="167"/>
      <c r="OWZ98" s="168"/>
      <c r="OXA98" s="167"/>
      <c r="OXB98" s="168"/>
      <c r="OXC98" s="167"/>
      <c r="OXD98" s="168"/>
      <c r="OXE98" s="167"/>
      <c r="OXF98" s="168"/>
      <c r="OXG98" s="167"/>
      <c r="OXH98" s="168"/>
      <c r="OXI98" s="167"/>
      <c r="OXJ98" s="168"/>
      <c r="OXK98" s="167"/>
      <c r="OXL98" s="168"/>
      <c r="OXM98" s="167"/>
      <c r="OXN98" s="168"/>
      <c r="OXO98" s="167"/>
      <c r="OXP98" s="168"/>
      <c r="OXQ98" s="167"/>
      <c r="OXR98" s="168"/>
      <c r="OXS98" s="167"/>
      <c r="OXT98" s="168"/>
      <c r="OXU98" s="167"/>
      <c r="OXV98" s="168"/>
      <c r="OXW98" s="167"/>
      <c r="OXX98" s="168"/>
      <c r="OXY98" s="167"/>
      <c r="OXZ98" s="168"/>
      <c r="OYA98" s="167"/>
      <c r="OYB98" s="168"/>
      <c r="OYC98" s="167"/>
      <c r="OYD98" s="168"/>
      <c r="OYE98" s="167"/>
      <c r="OYF98" s="168"/>
      <c r="OYG98" s="167"/>
      <c r="OYH98" s="168"/>
      <c r="OYI98" s="167"/>
      <c r="OYJ98" s="168"/>
      <c r="OYK98" s="167"/>
      <c r="OYL98" s="168"/>
      <c r="OYM98" s="167"/>
      <c r="OYN98" s="168"/>
      <c r="OYO98" s="167"/>
      <c r="OYP98" s="168"/>
      <c r="OYQ98" s="167"/>
      <c r="OYR98" s="168"/>
      <c r="OYS98" s="167"/>
      <c r="OYT98" s="168"/>
      <c r="OYU98" s="167"/>
      <c r="OYV98" s="168"/>
      <c r="OYW98" s="167"/>
      <c r="OYX98" s="168"/>
      <c r="OYY98" s="167"/>
      <c r="OYZ98" s="168"/>
      <c r="OZA98" s="167"/>
      <c r="OZB98" s="168"/>
      <c r="OZC98" s="167"/>
      <c r="OZD98" s="168"/>
      <c r="OZE98" s="167"/>
      <c r="OZF98" s="168"/>
      <c r="OZG98" s="167"/>
      <c r="OZH98" s="168"/>
      <c r="OZI98" s="167"/>
      <c r="OZJ98" s="168"/>
      <c r="OZK98" s="167"/>
      <c r="OZL98" s="168"/>
      <c r="OZM98" s="167"/>
      <c r="OZN98" s="168"/>
      <c r="OZO98" s="167"/>
      <c r="OZP98" s="168"/>
      <c r="OZQ98" s="167"/>
      <c r="OZR98" s="168"/>
      <c r="OZS98" s="167"/>
      <c r="OZT98" s="168"/>
      <c r="OZU98" s="167"/>
      <c r="OZV98" s="168"/>
      <c r="OZW98" s="167"/>
      <c r="OZX98" s="168"/>
      <c r="OZY98" s="167"/>
      <c r="OZZ98" s="168"/>
      <c r="PAA98" s="167"/>
      <c r="PAB98" s="168"/>
      <c r="PAC98" s="167"/>
      <c r="PAD98" s="168"/>
      <c r="PAE98" s="167"/>
      <c r="PAF98" s="168"/>
      <c r="PAG98" s="167"/>
      <c r="PAH98" s="168"/>
      <c r="PAI98" s="167"/>
      <c r="PAJ98" s="168"/>
      <c r="PAK98" s="167"/>
      <c r="PAL98" s="168"/>
      <c r="PAM98" s="167"/>
      <c r="PAN98" s="168"/>
      <c r="PAO98" s="167"/>
      <c r="PAP98" s="168"/>
      <c r="PAQ98" s="167"/>
      <c r="PAR98" s="168"/>
      <c r="PAS98" s="167"/>
      <c r="PAT98" s="168"/>
      <c r="PAU98" s="167"/>
      <c r="PAV98" s="168"/>
      <c r="PAW98" s="167"/>
      <c r="PAX98" s="168"/>
      <c r="PAY98" s="167"/>
      <c r="PAZ98" s="168"/>
      <c r="PBA98" s="167"/>
      <c r="PBB98" s="168"/>
      <c r="PBC98" s="167"/>
      <c r="PBD98" s="168"/>
      <c r="PBE98" s="167"/>
      <c r="PBF98" s="168"/>
      <c r="PBG98" s="167"/>
      <c r="PBH98" s="168"/>
      <c r="PBI98" s="167"/>
      <c r="PBJ98" s="168"/>
      <c r="PBK98" s="167"/>
      <c r="PBL98" s="168"/>
      <c r="PBM98" s="167"/>
      <c r="PBN98" s="168"/>
      <c r="PBO98" s="167"/>
      <c r="PBP98" s="168"/>
      <c r="PBQ98" s="167"/>
      <c r="PBR98" s="168"/>
      <c r="PBS98" s="167"/>
      <c r="PBT98" s="168"/>
      <c r="PBU98" s="167"/>
      <c r="PBV98" s="168"/>
      <c r="PBW98" s="167"/>
      <c r="PBX98" s="168"/>
      <c r="PBY98" s="167"/>
      <c r="PBZ98" s="168"/>
      <c r="PCA98" s="167"/>
      <c r="PCB98" s="168"/>
      <c r="PCC98" s="167"/>
      <c r="PCD98" s="168"/>
      <c r="PCE98" s="167"/>
      <c r="PCF98" s="168"/>
      <c r="PCG98" s="167"/>
      <c r="PCH98" s="168"/>
      <c r="PCI98" s="167"/>
      <c r="PCJ98" s="168"/>
      <c r="PCK98" s="167"/>
      <c r="PCL98" s="168"/>
      <c r="PCM98" s="167"/>
      <c r="PCN98" s="168"/>
      <c r="PCO98" s="167"/>
      <c r="PCP98" s="168"/>
      <c r="PCQ98" s="167"/>
      <c r="PCR98" s="168"/>
      <c r="PCS98" s="167"/>
      <c r="PCT98" s="168"/>
      <c r="PCU98" s="167"/>
      <c r="PCV98" s="168"/>
      <c r="PCW98" s="167"/>
      <c r="PCX98" s="168"/>
      <c r="PCY98" s="167"/>
      <c r="PCZ98" s="168"/>
      <c r="PDA98" s="167"/>
      <c r="PDB98" s="168"/>
      <c r="PDC98" s="167"/>
      <c r="PDD98" s="168"/>
      <c r="PDE98" s="167"/>
      <c r="PDF98" s="168"/>
      <c r="PDG98" s="167"/>
      <c r="PDH98" s="168"/>
      <c r="PDI98" s="167"/>
      <c r="PDJ98" s="168"/>
      <c r="PDK98" s="167"/>
      <c r="PDL98" s="168"/>
      <c r="PDM98" s="167"/>
      <c r="PDN98" s="168"/>
      <c r="PDO98" s="167"/>
      <c r="PDP98" s="168"/>
      <c r="PDQ98" s="167"/>
      <c r="PDR98" s="168"/>
      <c r="PDS98" s="167"/>
      <c r="PDT98" s="168"/>
      <c r="PDU98" s="167"/>
      <c r="PDV98" s="168"/>
      <c r="PDW98" s="167"/>
      <c r="PDX98" s="168"/>
      <c r="PDY98" s="167"/>
      <c r="PDZ98" s="168"/>
      <c r="PEA98" s="167"/>
      <c r="PEB98" s="168"/>
      <c r="PEC98" s="167"/>
      <c r="PED98" s="168"/>
      <c r="PEE98" s="167"/>
      <c r="PEF98" s="168"/>
      <c r="PEG98" s="167"/>
      <c r="PEH98" s="168"/>
      <c r="PEI98" s="167"/>
      <c r="PEJ98" s="168"/>
      <c r="PEK98" s="167"/>
      <c r="PEL98" s="168"/>
      <c r="PEM98" s="167"/>
      <c r="PEN98" s="168"/>
      <c r="PEO98" s="167"/>
      <c r="PEP98" s="168"/>
      <c r="PEQ98" s="167"/>
      <c r="PER98" s="168"/>
      <c r="PES98" s="167"/>
      <c r="PET98" s="168"/>
      <c r="PEU98" s="167"/>
      <c r="PEV98" s="168"/>
      <c r="PEW98" s="167"/>
      <c r="PEX98" s="168"/>
      <c r="PEY98" s="167"/>
      <c r="PEZ98" s="168"/>
      <c r="PFA98" s="167"/>
      <c r="PFB98" s="168"/>
      <c r="PFC98" s="167"/>
      <c r="PFD98" s="168"/>
      <c r="PFE98" s="167"/>
      <c r="PFF98" s="168"/>
      <c r="PFG98" s="167"/>
      <c r="PFH98" s="168"/>
      <c r="PFI98" s="167"/>
      <c r="PFJ98" s="168"/>
      <c r="PFK98" s="167"/>
      <c r="PFL98" s="168"/>
      <c r="PFM98" s="167"/>
      <c r="PFN98" s="168"/>
      <c r="PFO98" s="167"/>
      <c r="PFP98" s="168"/>
      <c r="PFQ98" s="167"/>
      <c r="PFR98" s="168"/>
      <c r="PFS98" s="167"/>
      <c r="PFT98" s="168"/>
      <c r="PFU98" s="167"/>
      <c r="PFV98" s="168"/>
      <c r="PFW98" s="167"/>
      <c r="PFX98" s="168"/>
      <c r="PFY98" s="167"/>
      <c r="PFZ98" s="168"/>
      <c r="PGA98" s="167"/>
      <c r="PGB98" s="168"/>
      <c r="PGC98" s="167"/>
      <c r="PGD98" s="168"/>
      <c r="PGE98" s="167"/>
      <c r="PGF98" s="168"/>
      <c r="PGG98" s="167"/>
      <c r="PGH98" s="168"/>
      <c r="PGI98" s="167"/>
      <c r="PGJ98" s="168"/>
      <c r="PGK98" s="167"/>
      <c r="PGL98" s="168"/>
      <c r="PGM98" s="167"/>
      <c r="PGN98" s="168"/>
      <c r="PGO98" s="167"/>
      <c r="PGP98" s="168"/>
      <c r="PGQ98" s="167"/>
      <c r="PGR98" s="168"/>
      <c r="PGS98" s="167"/>
      <c r="PGT98" s="168"/>
      <c r="PGU98" s="167"/>
      <c r="PGV98" s="168"/>
      <c r="PGW98" s="167"/>
      <c r="PGX98" s="168"/>
      <c r="PGY98" s="167"/>
      <c r="PGZ98" s="168"/>
      <c r="PHA98" s="167"/>
      <c r="PHB98" s="168"/>
      <c r="PHC98" s="167"/>
      <c r="PHD98" s="168"/>
      <c r="PHE98" s="167"/>
      <c r="PHF98" s="168"/>
      <c r="PHG98" s="167"/>
      <c r="PHH98" s="168"/>
      <c r="PHI98" s="167"/>
      <c r="PHJ98" s="168"/>
      <c r="PHK98" s="167"/>
      <c r="PHL98" s="168"/>
      <c r="PHM98" s="167"/>
      <c r="PHN98" s="168"/>
      <c r="PHO98" s="167"/>
      <c r="PHP98" s="168"/>
      <c r="PHQ98" s="167"/>
      <c r="PHR98" s="168"/>
      <c r="PHS98" s="167"/>
      <c r="PHT98" s="168"/>
      <c r="PHU98" s="167"/>
      <c r="PHV98" s="168"/>
      <c r="PHW98" s="167"/>
      <c r="PHX98" s="168"/>
      <c r="PHY98" s="167"/>
      <c r="PHZ98" s="168"/>
      <c r="PIA98" s="167"/>
      <c r="PIB98" s="168"/>
      <c r="PIC98" s="167"/>
      <c r="PID98" s="168"/>
      <c r="PIE98" s="167"/>
      <c r="PIF98" s="168"/>
      <c r="PIG98" s="167"/>
      <c r="PIH98" s="168"/>
      <c r="PII98" s="167"/>
      <c r="PIJ98" s="168"/>
      <c r="PIK98" s="167"/>
      <c r="PIL98" s="168"/>
      <c r="PIM98" s="167"/>
      <c r="PIN98" s="168"/>
      <c r="PIO98" s="167"/>
      <c r="PIP98" s="168"/>
      <c r="PIQ98" s="167"/>
      <c r="PIR98" s="168"/>
      <c r="PIS98" s="167"/>
      <c r="PIT98" s="168"/>
      <c r="PIU98" s="167"/>
      <c r="PIV98" s="168"/>
      <c r="PIW98" s="167"/>
      <c r="PIX98" s="168"/>
      <c r="PIY98" s="167"/>
      <c r="PIZ98" s="168"/>
      <c r="PJA98" s="167"/>
      <c r="PJB98" s="168"/>
      <c r="PJC98" s="167"/>
      <c r="PJD98" s="168"/>
      <c r="PJE98" s="167"/>
      <c r="PJF98" s="168"/>
      <c r="PJG98" s="167"/>
      <c r="PJH98" s="168"/>
      <c r="PJI98" s="167"/>
      <c r="PJJ98" s="168"/>
      <c r="PJK98" s="167"/>
      <c r="PJL98" s="168"/>
      <c r="PJM98" s="167"/>
      <c r="PJN98" s="168"/>
      <c r="PJO98" s="167"/>
      <c r="PJP98" s="168"/>
      <c r="PJQ98" s="167"/>
      <c r="PJR98" s="168"/>
      <c r="PJS98" s="167"/>
      <c r="PJT98" s="168"/>
      <c r="PJU98" s="167"/>
      <c r="PJV98" s="168"/>
      <c r="PJW98" s="167"/>
      <c r="PJX98" s="168"/>
      <c r="PJY98" s="167"/>
      <c r="PJZ98" s="168"/>
      <c r="PKA98" s="167"/>
      <c r="PKB98" s="168"/>
      <c r="PKC98" s="167"/>
      <c r="PKD98" s="168"/>
      <c r="PKE98" s="167"/>
      <c r="PKF98" s="168"/>
      <c r="PKG98" s="167"/>
      <c r="PKH98" s="168"/>
      <c r="PKI98" s="167"/>
      <c r="PKJ98" s="168"/>
      <c r="PKK98" s="167"/>
      <c r="PKL98" s="168"/>
      <c r="PKM98" s="167"/>
      <c r="PKN98" s="168"/>
      <c r="PKO98" s="167"/>
      <c r="PKP98" s="168"/>
      <c r="PKQ98" s="167"/>
      <c r="PKR98" s="168"/>
      <c r="PKS98" s="167"/>
      <c r="PKT98" s="168"/>
      <c r="PKU98" s="167"/>
      <c r="PKV98" s="168"/>
      <c r="PKW98" s="167"/>
      <c r="PKX98" s="168"/>
      <c r="PKY98" s="167"/>
      <c r="PKZ98" s="168"/>
      <c r="PLA98" s="167"/>
      <c r="PLB98" s="168"/>
      <c r="PLC98" s="167"/>
      <c r="PLD98" s="168"/>
      <c r="PLE98" s="167"/>
      <c r="PLF98" s="168"/>
      <c r="PLG98" s="167"/>
      <c r="PLH98" s="168"/>
      <c r="PLI98" s="167"/>
      <c r="PLJ98" s="168"/>
      <c r="PLK98" s="167"/>
      <c r="PLL98" s="168"/>
      <c r="PLM98" s="167"/>
      <c r="PLN98" s="168"/>
      <c r="PLO98" s="167"/>
      <c r="PLP98" s="168"/>
      <c r="PLQ98" s="167"/>
      <c r="PLR98" s="168"/>
      <c r="PLS98" s="167"/>
      <c r="PLT98" s="168"/>
      <c r="PLU98" s="167"/>
      <c r="PLV98" s="168"/>
      <c r="PLW98" s="167"/>
      <c r="PLX98" s="168"/>
      <c r="PLY98" s="167"/>
      <c r="PLZ98" s="168"/>
      <c r="PMA98" s="167"/>
      <c r="PMB98" s="168"/>
      <c r="PMC98" s="167"/>
      <c r="PMD98" s="168"/>
      <c r="PME98" s="167"/>
      <c r="PMF98" s="168"/>
      <c r="PMG98" s="167"/>
      <c r="PMH98" s="168"/>
      <c r="PMI98" s="167"/>
      <c r="PMJ98" s="168"/>
      <c r="PMK98" s="167"/>
      <c r="PML98" s="168"/>
      <c r="PMM98" s="167"/>
      <c r="PMN98" s="168"/>
      <c r="PMO98" s="167"/>
      <c r="PMP98" s="168"/>
      <c r="PMQ98" s="167"/>
      <c r="PMR98" s="168"/>
      <c r="PMS98" s="167"/>
      <c r="PMT98" s="168"/>
      <c r="PMU98" s="167"/>
      <c r="PMV98" s="168"/>
      <c r="PMW98" s="167"/>
      <c r="PMX98" s="168"/>
      <c r="PMY98" s="167"/>
      <c r="PMZ98" s="168"/>
      <c r="PNA98" s="167"/>
      <c r="PNB98" s="168"/>
      <c r="PNC98" s="167"/>
      <c r="PND98" s="168"/>
      <c r="PNE98" s="167"/>
      <c r="PNF98" s="168"/>
      <c r="PNG98" s="167"/>
      <c r="PNH98" s="168"/>
      <c r="PNI98" s="167"/>
      <c r="PNJ98" s="168"/>
      <c r="PNK98" s="167"/>
      <c r="PNL98" s="168"/>
      <c r="PNM98" s="167"/>
      <c r="PNN98" s="168"/>
      <c r="PNO98" s="167"/>
      <c r="PNP98" s="168"/>
      <c r="PNQ98" s="167"/>
      <c r="PNR98" s="168"/>
      <c r="PNS98" s="167"/>
      <c r="PNT98" s="168"/>
      <c r="PNU98" s="167"/>
      <c r="PNV98" s="168"/>
      <c r="PNW98" s="167"/>
      <c r="PNX98" s="168"/>
      <c r="PNY98" s="167"/>
      <c r="PNZ98" s="168"/>
      <c r="POA98" s="167"/>
      <c r="POB98" s="168"/>
      <c r="POC98" s="167"/>
      <c r="POD98" s="168"/>
      <c r="POE98" s="167"/>
      <c r="POF98" s="168"/>
      <c r="POG98" s="167"/>
      <c r="POH98" s="168"/>
      <c r="POI98" s="167"/>
      <c r="POJ98" s="168"/>
      <c r="POK98" s="167"/>
      <c r="POL98" s="168"/>
      <c r="POM98" s="167"/>
      <c r="PON98" s="168"/>
      <c r="POO98" s="167"/>
      <c r="POP98" s="168"/>
      <c r="POQ98" s="167"/>
      <c r="POR98" s="168"/>
      <c r="POS98" s="167"/>
      <c r="POT98" s="168"/>
      <c r="POU98" s="167"/>
      <c r="POV98" s="168"/>
      <c r="POW98" s="167"/>
      <c r="POX98" s="168"/>
      <c r="POY98" s="167"/>
      <c r="POZ98" s="168"/>
      <c r="PPA98" s="167"/>
      <c r="PPB98" s="168"/>
      <c r="PPC98" s="167"/>
      <c r="PPD98" s="168"/>
      <c r="PPE98" s="167"/>
      <c r="PPF98" s="168"/>
      <c r="PPG98" s="167"/>
      <c r="PPH98" s="168"/>
      <c r="PPI98" s="167"/>
      <c r="PPJ98" s="168"/>
      <c r="PPK98" s="167"/>
      <c r="PPL98" s="168"/>
      <c r="PPM98" s="167"/>
      <c r="PPN98" s="168"/>
      <c r="PPO98" s="167"/>
      <c r="PPP98" s="168"/>
      <c r="PPQ98" s="167"/>
      <c r="PPR98" s="168"/>
      <c r="PPS98" s="167"/>
      <c r="PPT98" s="168"/>
      <c r="PPU98" s="167"/>
      <c r="PPV98" s="168"/>
      <c r="PPW98" s="167"/>
      <c r="PPX98" s="168"/>
      <c r="PPY98" s="167"/>
      <c r="PPZ98" s="168"/>
      <c r="PQA98" s="167"/>
      <c r="PQB98" s="168"/>
      <c r="PQC98" s="167"/>
      <c r="PQD98" s="168"/>
      <c r="PQE98" s="167"/>
      <c r="PQF98" s="168"/>
      <c r="PQG98" s="167"/>
      <c r="PQH98" s="168"/>
      <c r="PQI98" s="167"/>
      <c r="PQJ98" s="168"/>
      <c r="PQK98" s="167"/>
      <c r="PQL98" s="168"/>
      <c r="PQM98" s="167"/>
      <c r="PQN98" s="168"/>
      <c r="PQO98" s="167"/>
      <c r="PQP98" s="168"/>
      <c r="PQQ98" s="167"/>
      <c r="PQR98" s="168"/>
      <c r="PQS98" s="167"/>
      <c r="PQT98" s="168"/>
      <c r="PQU98" s="167"/>
      <c r="PQV98" s="168"/>
      <c r="PQW98" s="167"/>
      <c r="PQX98" s="168"/>
      <c r="PQY98" s="167"/>
      <c r="PQZ98" s="168"/>
      <c r="PRA98" s="167"/>
      <c r="PRB98" s="168"/>
      <c r="PRC98" s="167"/>
      <c r="PRD98" s="168"/>
      <c r="PRE98" s="167"/>
      <c r="PRF98" s="168"/>
      <c r="PRG98" s="167"/>
      <c r="PRH98" s="168"/>
      <c r="PRI98" s="167"/>
      <c r="PRJ98" s="168"/>
      <c r="PRK98" s="167"/>
      <c r="PRL98" s="168"/>
      <c r="PRM98" s="167"/>
      <c r="PRN98" s="168"/>
      <c r="PRO98" s="167"/>
      <c r="PRP98" s="168"/>
      <c r="PRQ98" s="167"/>
      <c r="PRR98" s="168"/>
      <c r="PRS98" s="167"/>
      <c r="PRT98" s="168"/>
      <c r="PRU98" s="167"/>
      <c r="PRV98" s="168"/>
      <c r="PRW98" s="167"/>
      <c r="PRX98" s="168"/>
      <c r="PRY98" s="167"/>
      <c r="PRZ98" s="168"/>
      <c r="PSA98" s="167"/>
      <c r="PSB98" s="168"/>
      <c r="PSC98" s="167"/>
      <c r="PSD98" s="168"/>
      <c r="PSE98" s="167"/>
      <c r="PSF98" s="168"/>
      <c r="PSG98" s="167"/>
      <c r="PSH98" s="168"/>
      <c r="PSI98" s="167"/>
      <c r="PSJ98" s="168"/>
      <c r="PSK98" s="167"/>
      <c r="PSL98" s="168"/>
      <c r="PSM98" s="167"/>
      <c r="PSN98" s="168"/>
      <c r="PSO98" s="167"/>
      <c r="PSP98" s="168"/>
      <c r="PSQ98" s="167"/>
      <c r="PSR98" s="168"/>
      <c r="PSS98" s="167"/>
      <c r="PST98" s="168"/>
      <c r="PSU98" s="167"/>
      <c r="PSV98" s="168"/>
      <c r="PSW98" s="167"/>
      <c r="PSX98" s="168"/>
      <c r="PSY98" s="167"/>
      <c r="PSZ98" s="168"/>
      <c r="PTA98" s="167"/>
      <c r="PTB98" s="168"/>
      <c r="PTC98" s="167"/>
      <c r="PTD98" s="168"/>
      <c r="PTE98" s="167"/>
      <c r="PTF98" s="168"/>
      <c r="PTG98" s="167"/>
      <c r="PTH98" s="168"/>
      <c r="PTI98" s="167"/>
      <c r="PTJ98" s="168"/>
      <c r="PTK98" s="167"/>
      <c r="PTL98" s="168"/>
      <c r="PTM98" s="167"/>
      <c r="PTN98" s="168"/>
      <c r="PTO98" s="167"/>
      <c r="PTP98" s="168"/>
      <c r="PTQ98" s="167"/>
      <c r="PTR98" s="168"/>
      <c r="PTS98" s="167"/>
      <c r="PTT98" s="168"/>
      <c r="PTU98" s="167"/>
      <c r="PTV98" s="168"/>
      <c r="PTW98" s="167"/>
      <c r="PTX98" s="168"/>
      <c r="PTY98" s="167"/>
      <c r="PTZ98" s="168"/>
      <c r="PUA98" s="167"/>
      <c r="PUB98" s="168"/>
      <c r="PUC98" s="167"/>
      <c r="PUD98" s="168"/>
      <c r="PUE98" s="167"/>
      <c r="PUF98" s="168"/>
      <c r="PUG98" s="167"/>
      <c r="PUH98" s="168"/>
      <c r="PUI98" s="167"/>
      <c r="PUJ98" s="168"/>
      <c r="PUK98" s="167"/>
      <c r="PUL98" s="168"/>
      <c r="PUM98" s="167"/>
      <c r="PUN98" s="168"/>
      <c r="PUO98" s="167"/>
      <c r="PUP98" s="168"/>
      <c r="PUQ98" s="167"/>
      <c r="PUR98" s="168"/>
      <c r="PUS98" s="167"/>
      <c r="PUT98" s="168"/>
      <c r="PUU98" s="167"/>
      <c r="PUV98" s="168"/>
      <c r="PUW98" s="167"/>
      <c r="PUX98" s="168"/>
      <c r="PUY98" s="167"/>
      <c r="PUZ98" s="168"/>
      <c r="PVA98" s="167"/>
      <c r="PVB98" s="168"/>
      <c r="PVC98" s="167"/>
      <c r="PVD98" s="168"/>
      <c r="PVE98" s="167"/>
      <c r="PVF98" s="168"/>
      <c r="PVG98" s="167"/>
      <c r="PVH98" s="168"/>
      <c r="PVI98" s="167"/>
      <c r="PVJ98" s="168"/>
      <c r="PVK98" s="167"/>
      <c r="PVL98" s="168"/>
      <c r="PVM98" s="167"/>
      <c r="PVN98" s="168"/>
      <c r="PVO98" s="167"/>
      <c r="PVP98" s="168"/>
      <c r="PVQ98" s="167"/>
      <c r="PVR98" s="168"/>
      <c r="PVS98" s="167"/>
      <c r="PVT98" s="168"/>
      <c r="PVU98" s="167"/>
      <c r="PVV98" s="168"/>
      <c r="PVW98" s="167"/>
      <c r="PVX98" s="168"/>
      <c r="PVY98" s="167"/>
      <c r="PVZ98" s="168"/>
      <c r="PWA98" s="167"/>
      <c r="PWB98" s="168"/>
      <c r="PWC98" s="167"/>
      <c r="PWD98" s="168"/>
      <c r="PWE98" s="167"/>
      <c r="PWF98" s="168"/>
      <c r="PWG98" s="167"/>
      <c r="PWH98" s="168"/>
      <c r="PWI98" s="167"/>
      <c r="PWJ98" s="168"/>
      <c r="PWK98" s="167"/>
      <c r="PWL98" s="168"/>
      <c r="PWM98" s="167"/>
      <c r="PWN98" s="168"/>
      <c r="PWO98" s="167"/>
      <c r="PWP98" s="168"/>
      <c r="PWQ98" s="167"/>
      <c r="PWR98" s="168"/>
      <c r="PWS98" s="167"/>
      <c r="PWT98" s="168"/>
      <c r="PWU98" s="167"/>
      <c r="PWV98" s="168"/>
      <c r="PWW98" s="167"/>
      <c r="PWX98" s="168"/>
      <c r="PWY98" s="167"/>
      <c r="PWZ98" s="168"/>
      <c r="PXA98" s="167"/>
      <c r="PXB98" s="168"/>
      <c r="PXC98" s="167"/>
      <c r="PXD98" s="168"/>
      <c r="PXE98" s="167"/>
      <c r="PXF98" s="168"/>
      <c r="PXG98" s="167"/>
      <c r="PXH98" s="168"/>
      <c r="PXI98" s="167"/>
      <c r="PXJ98" s="168"/>
      <c r="PXK98" s="167"/>
      <c r="PXL98" s="168"/>
      <c r="PXM98" s="167"/>
      <c r="PXN98" s="168"/>
      <c r="PXO98" s="167"/>
      <c r="PXP98" s="168"/>
      <c r="PXQ98" s="167"/>
      <c r="PXR98" s="168"/>
      <c r="PXS98" s="167"/>
      <c r="PXT98" s="168"/>
      <c r="PXU98" s="167"/>
      <c r="PXV98" s="168"/>
      <c r="PXW98" s="167"/>
      <c r="PXX98" s="168"/>
      <c r="PXY98" s="167"/>
      <c r="PXZ98" s="168"/>
      <c r="PYA98" s="167"/>
      <c r="PYB98" s="168"/>
      <c r="PYC98" s="167"/>
      <c r="PYD98" s="168"/>
      <c r="PYE98" s="167"/>
      <c r="PYF98" s="168"/>
      <c r="PYG98" s="167"/>
      <c r="PYH98" s="168"/>
      <c r="PYI98" s="167"/>
      <c r="PYJ98" s="168"/>
      <c r="PYK98" s="167"/>
      <c r="PYL98" s="168"/>
      <c r="PYM98" s="167"/>
      <c r="PYN98" s="168"/>
      <c r="PYO98" s="167"/>
      <c r="PYP98" s="168"/>
      <c r="PYQ98" s="167"/>
      <c r="PYR98" s="168"/>
      <c r="PYS98" s="167"/>
      <c r="PYT98" s="168"/>
      <c r="PYU98" s="167"/>
      <c r="PYV98" s="168"/>
      <c r="PYW98" s="167"/>
      <c r="PYX98" s="168"/>
      <c r="PYY98" s="167"/>
      <c r="PYZ98" s="168"/>
      <c r="PZA98" s="167"/>
      <c r="PZB98" s="168"/>
      <c r="PZC98" s="167"/>
      <c r="PZD98" s="168"/>
      <c r="PZE98" s="167"/>
      <c r="PZF98" s="168"/>
      <c r="PZG98" s="167"/>
      <c r="PZH98" s="168"/>
      <c r="PZI98" s="167"/>
      <c r="PZJ98" s="168"/>
      <c r="PZK98" s="167"/>
      <c r="PZL98" s="168"/>
      <c r="PZM98" s="167"/>
      <c r="PZN98" s="168"/>
      <c r="PZO98" s="167"/>
      <c r="PZP98" s="168"/>
      <c r="PZQ98" s="167"/>
      <c r="PZR98" s="168"/>
      <c r="PZS98" s="167"/>
      <c r="PZT98" s="168"/>
      <c r="PZU98" s="167"/>
      <c r="PZV98" s="168"/>
      <c r="PZW98" s="167"/>
      <c r="PZX98" s="168"/>
      <c r="PZY98" s="167"/>
      <c r="PZZ98" s="168"/>
      <c r="QAA98" s="167"/>
      <c r="QAB98" s="168"/>
      <c r="QAC98" s="167"/>
      <c r="QAD98" s="168"/>
      <c r="QAE98" s="167"/>
      <c r="QAF98" s="168"/>
      <c r="QAG98" s="167"/>
      <c r="QAH98" s="168"/>
      <c r="QAI98" s="167"/>
      <c r="QAJ98" s="168"/>
      <c r="QAK98" s="167"/>
      <c r="QAL98" s="168"/>
      <c r="QAM98" s="167"/>
      <c r="QAN98" s="168"/>
      <c r="QAO98" s="167"/>
      <c r="QAP98" s="168"/>
      <c r="QAQ98" s="167"/>
      <c r="QAR98" s="168"/>
      <c r="QAS98" s="167"/>
      <c r="QAT98" s="168"/>
      <c r="QAU98" s="167"/>
      <c r="QAV98" s="168"/>
      <c r="QAW98" s="167"/>
      <c r="QAX98" s="168"/>
      <c r="QAY98" s="167"/>
      <c r="QAZ98" s="168"/>
      <c r="QBA98" s="167"/>
      <c r="QBB98" s="168"/>
      <c r="QBC98" s="167"/>
      <c r="QBD98" s="168"/>
      <c r="QBE98" s="167"/>
      <c r="QBF98" s="168"/>
      <c r="QBG98" s="167"/>
      <c r="QBH98" s="168"/>
      <c r="QBI98" s="167"/>
      <c r="QBJ98" s="168"/>
      <c r="QBK98" s="167"/>
      <c r="QBL98" s="168"/>
      <c r="QBM98" s="167"/>
      <c r="QBN98" s="168"/>
      <c r="QBO98" s="167"/>
      <c r="QBP98" s="168"/>
      <c r="QBQ98" s="167"/>
      <c r="QBR98" s="168"/>
      <c r="QBS98" s="167"/>
      <c r="QBT98" s="168"/>
      <c r="QBU98" s="167"/>
      <c r="QBV98" s="168"/>
      <c r="QBW98" s="167"/>
      <c r="QBX98" s="168"/>
      <c r="QBY98" s="167"/>
      <c r="QBZ98" s="168"/>
      <c r="QCA98" s="167"/>
      <c r="QCB98" s="168"/>
      <c r="QCC98" s="167"/>
      <c r="QCD98" s="168"/>
      <c r="QCE98" s="167"/>
      <c r="QCF98" s="168"/>
      <c r="QCG98" s="167"/>
      <c r="QCH98" s="168"/>
      <c r="QCI98" s="167"/>
      <c r="QCJ98" s="168"/>
      <c r="QCK98" s="167"/>
      <c r="QCL98" s="168"/>
      <c r="QCM98" s="167"/>
      <c r="QCN98" s="168"/>
      <c r="QCO98" s="167"/>
      <c r="QCP98" s="168"/>
      <c r="QCQ98" s="167"/>
      <c r="QCR98" s="168"/>
      <c r="QCS98" s="167"/>
      <c r="QCT98" s="168"/>
      <c r="QCU98" s="167"/>
      <c r="QCV98" s="168"/>
      <c r="QCW98" s="167"/>
      <c r="QCX98" s="168"/>
      <c r="QCY98" s="167"/>
      <c r="QCZ98" s="168"/>
      <c r="QDA98" s="167"/>
      <c r="QDB98" s="168"/>
      <c r="QDC98" s="167"/>
      <c r="QDD98" s="168"/>
      <c r="QDE98" s="167"/>
      <c r="QDF98" s="168"/>
      <c r="QDG98" s="167"/>
      <c r="QDH98" s="168"/>
      <c r="QDI98" s="167"/>
      <c r="QDJ98" s="168"/>
      <c r="QDK98" s="167"/>
      <c r="QDL98" s="168"/>
      <c r="QDM98" s="167"/>
      <c r="QDN98" s="168"/>
      <c r="QDO98" s="167"/>
      <c r="QDP98" s="168"/>
      <c r="QDQ98" s="167"/>
      <c r="QDR98" s="168"/>
      <c r="QDS98" s="167"/>
      <c r="QDT98" s="168"/>
      <c r="QDU98" s="167"/>
      <c r="QDV98" s="168"/>
      <c r="QDW98" s="167"/>
      <c r="QDX98" s="168"/>
      <c r="QDY98" s="167"/>
      <c r="QDZ98" s="168"/>
      <c r="QEA98" s="167"/>
      <c r="QEB98" s="168"/>
      <c r="QEC98" s="167"/>
      <c r="QED98" s="168"/>
      <c r="QEE98" s="167"/>
      <c r="QEF98" s="168"/>
      <c r="QEG98" s="167"/>
      <c r="QEH98" s="168"/>
      <c r="QEI98" s="167"/>
      <c r="QEJ98" s="168"/>
      <c r="QEK98" s="167"/>
      <c r="QEL98" s="168"/>
      <c r="QEM98" s="167"/>
      <c r="QEN98" s="168"/>
      <c r="QEO98" s="167"/>
      <c r="QEP98" s="168"/>
      <c r="QEQ98" s="167"/>
      <c r="QER98" s="168"/>
      <c r="QES98" s="167"/>
      <c r="QET98" s="168"/>
      <c r="QEU98" s="167"/>
      <c r="QEV98" s="168"/>
      <c r="QEW98" s="167"/>
      <c r="QEX98" s="168"/>
      <c r="QEY98" s="167"/>
      <c r="QEZ98" s="168"/>
      <c r="QFA98" s="167"/>
      <c r="QFB98" s="168"/>
      <c r="QFC98" s="167"/>
      <c r="QFD98" s="168"/>
      <c r="QFE98" s="167"/>
      <c r="QFF98" s="168"/>
      <c r="QFG98" s="167"/>
      <c r="QFH98" s="168"/>
      <c r="QFI98" s="167"/>
      <c r="QFJ98" s="168"/>
      <c r="QFK98" s="167"/>
      <c r="QFL98" s="168"/>
      <c r="QFM98" s="167"/>
      <c r="QFN98" s="168"/>
      <c r="QFO98" s="167"/>
      <c r="QFP98" s="168"/>
      <c r="QFQ98" s="167"/>
      <c r="QFR98" s="168"/>
      <c r="QFS98" s="167"/>
      <c r="QFT98" s="168"/>
      <c r="QFU98" s="167"/>
      <c r="QFV98" s="168"/>
      <c r="QFW98" s="167"/>
      <c r="QFX98" s="168"/>
      <c r="QFY98" s="167"/>
      <c r="QFZ98" s="168"/>
      <c r="QGA98" s="167"/>
      <c r="QGB98" s="168"/>
      <c r="QGC98" s="167"/>
      <c r="QGD98" s="168"/>
      <c r="QGE98" s="167"/>
      <c r="QGF98" s="168"/>
      <c r="QGG98" s="167"/>
      <c r="QGH98" s="168"/>
      <c r="QGI98" s="167"/>
      <c r="QGJ98" s="168"/>
      <c r="QGK98" s="167"/>
      <c r="QGL98" s="168"/>
      <c r="QGM98" s="167"/>
      <c r="QGN98" s="168"/>
      <c r="QGO98" s="167"/>
      <c r="QGP98" s="168"/>
      <c r="QGQ98" s="167"/>
      <c r="QGR98" s="168"/>
      <c r="QGS98" s="167"/>
      <c r="QGT98" s="168"/>
      <c r="QGU98" s="167"/>
      <c r="QGV98" s="168"/>
      <c r="QGW98" s="167"/>
      <c r="QGX98" s="168"/>
      <c r="QGY98" s="167"/>
      <c r="QGZ98" s="168"/>
      <c r="QHA98" s="167"/>
      <c r="QHB98" s="168"/>
      <c r="QHC98" s="167"/>
      <c r="QHD98" s="168"/>
      <c r="QHE98" s="167"/>
      <c r="QHF98" s="168"/>
      <c r="QHG98" s="167"/>
      <c r="QHH98" s="168"/>
      <c r="QHI98" s="167"/>
      <c r="QHJ98" s="168"/>
      <c r="QHK98" s="167"/>
      <c r="QHL98" s="168"/>
      <c r="QHM98" s="167"/>
      <c r="QHN98" s="168"/>
      <c r="QHO98" s="167"/>
      <c r="QHP98" s="168"/>
      <c r="QHQ98" s="167"/>
      <c r="QHR98" s="168"/>
      <c r="QHS98" s="167"/>
      <c r="QHT98" s="168"/>
      <c r="QHU98" s="167"/>
      <c r="QHV98" s="168"/>
      <c r="QHW98" s="167"/>
      <c r="QHX98" s="168"/>
      <c r="QHY98" s="167"/>
      <c r="QHZ98" s="168"/>
      <c r="QIA98" s="167"/>
      <c r="QIB98" s="168"/>
      <c r="QIC98" s="167"/>
      <c r="QID98" s="168"/>
      <c r="QIE98" s="167"/>
      <c r="QIF98" s="168"/>
      <c r="QIG98" s="167"/>
      <c r="QIH98" s="168"/>
      <c r="QII98" s="167"/>
      <c r="QIJ98" s="168"/>
      <c r="QIK98" s="167"/>
      <c r="QIL98" s="168"/>
      <c r="QIM98" s="167"/>
      <c r="QIN98" s="168"/>
      <c r="QIO98" s="167"/>
      <c r="QIP98" s="168"/>
      <c r="QIQ98" s="167"/>
      <c r="QIR98" s="168"/>
      <c r="QIS98" s="167"/>
      <c r="QIT98" s="168"/>
      <c r="QIU98" s="167"/>
      <c r="QIV98" s="168"/>
      <c r="QIW98" s="167"/>
      <c r="QIX98" s="168"/>
      <c r="QIY98" s="167"/>
      <c r="QIZ98" s="168"/>
      <c r="QJA98" s="167"/>
      <c r="QJB98" s="168"/>
      <c r="QJC98" s="167"/>
      <c r="QJD98" s="168"/>
      <c r="QJE98" s="167"/>
      <c r="QJF98" s="168"/>
      <c r="QJG98" s="167"/>
      <c r="QJH98" s="168"/>
      <c r="QJI98" s="167"/>
      <c r="QJJ98" s="168"/>
      <c r="QJK98" s="167"/>
      <c r="QJL98" s="168"/>
      <c r="QJM98" s="167"/>
      <c r="QJN98" s="168"/>
      <c r="QJO98" s="167"/>
      <c r="QJP98" s="168"/>
      <c r="QJQ98" s="167"/>
      <c r="QJR98" s="168"/>
      <c r="QJS98" s="167"/>
      <c r="QJT98" s="168"/>
      <c r="QJU98" s="167"/>
      <c r="QJV98" s="168"/>
      <c r="QJW98" s="167"/>
      <c r="QJX98" s="168"/>
      <c r="QJY98" s="167"/>
      <c r="QJZ98" s="168"/>
      <c r="QKA98" s="167"/>
      <c r="QKB98" s="168"/>
      <c r="QKC98" s="167"/>
      <c r="QKD98" s="168"/>
      <c r="QKE98" s="167"/>
      <c r="QKF98" s="168"/>
      <c r="QKG98" s="167"/>
      <c r="QKH98" s="168"/>
      <c r="QKI98" s="167"/>
      <c r="QKJ98" s="168"/>
      <c r="QKK98" s="167"/>
      <c r="QKL98" s="168"/>
      <c r="QKM98" s="167"/>
      <c r="QKN98" s="168"/>
      <c r="QKO98" s="167"/>
      <c r="QKP98" s="168"/>
      <c r="QKQ98" s="167"/>
      <c r="QKR98" s="168"/>
      <c r="QKS98" s="167"/>
      <c r="QKT98" s="168"/>
      <c r="QKU98" s="167"/>
      <c r="QKV98" s="168"/>
      <c r="QKW98" s="167"/>
      <c r="QKX98" s="168"/>
      <c r="QKY98" s="167"/>
      <c r="QKZ98" s="168"/>
      <c r="QLA98" s="167"/>
      <c r="QLB98" s="168"/>
      <c r="QLC98" s="167"/>
      <c r="QLD98" s="168"/>
      <c r="QLE98" s="167"/>
      <c r="QLF98" s="168"/>
      <c r="QLG98" s="167"/>
      <c r="QLH98" s="168"/>
      <c r="QLI98" s="167"/>
      <c r="QLJ98" s="168"/>
      <c r="QLK98" s="167"/>
      <c r="QLL98" s="168"/>
      <c r="QLM98" s="167"/>
      <c r="QLN98" s="168"/>
      <c r="QLO98" s="167"/>
      <c r="QLP98" s="168"/>
      <c r="QLQ98" s="167"/>
      <c r="QLR98" s="168"/>
      <c r="QLS98" s="167"/>
      <c r="QLT98" s="168"/>
      <c r="QLU98" s="167"/>
      <c r="QLV98" s="168"/>
      <c r="QLW98" s="167"/>
      <c r="QLX98" s="168"/>
      <c r="QLY98" s="167"/>
      <c r="QLZ98" s="168"/>
      <c r="QMA98" s="167"/>
      <c r="QMB98" s="168"/>
      <c r="QMC98" s="167"/>
      <c r="QMD98" s="168"/>
      <c r="QME98" s="167"/>
      <c r="QMF98" s="168"/>
      <c r="QMG98" s="167"/>
      <c r="QMH98" s="168"/>
      <c r="QMI98" s="167"/>
      <c r="QMJ98" s="168"/>
      <c r="QMK98" s="167"/>
      <c r="QML98" s="168"/>
      <c r="QMM98" s="167"/>
      <c r="QMN98" s="168"/>
      <c r="QMO98" s="167"/>
      <c r="QMP98" s="168"/>
      <c r="QMQ98" s="167"/>
      <c r="QMR98" s="168"/>
      <c r="QMS98" s="167"/>
      <c r="QMT98" s="168"/>
      <c r="QMU98" s="167"/>
      <c r="QMV98" s="168"/>
      <c r="QMW98" s="167"/>
      <c r="QMX98" s="168"/>
      <c r="QMY98" s="167"/>
      <c r="QMZ98" s="168"/>
      <c r="QNA98" s="167"/>
      <c r="QNB98" s="168"/>
      <c r="QNC98" s="167"/>
      <c r="QND98" s="168"/>
      <c r="QNE98" s="167"/>
      <c r="QNF98" s="168"/>
      <c r="QNG98" s="167"/>
      <c r="QNH98" s="168"/>
      <c r="QNI98" s="167"/>
      <c r="QNJ98" s="168"/>
      <c r="QNK98" s="167"/>
      <c r="QNL98" s="168"/>
      <c r="QNM98" s="167"/>
      <c r="QNN98" s="168"/>
      <c r="QNO98" s="167"/>
      <c r="QNP98" s="168"/>
      <c r="QNQ98" s="167"/>
      <c r="QNR98" s="168"/>
      <c r="QNS98" s="167"/>
      <c r="QNT98" s="168"/>
      <c r="QNU98" s="167"/>
      <c r="QNV98" s="168"/>
      <c r="QNW98" s="167"/>
      <c r="QNX98" s="168"/>
      <c r="QNY98" s="167"/>
      <c r="QNZ98" s="168"/>
      <c r="QOA98" s="167"/>
      <c r="QOB98" s="168"/>
      <c r="QOC98" s="167"/>
      <c r="QOD98" s="168"/>
      <c r="QOE98" s="167"/>
      <c r="QOF98" s="168"/>
      <c r="QOG98" s="167"/>
      <c r="QOH98" s="168"/>
      <c r="QOI98" s="167"/>
      <c r="QOJ98" s="168"/>
      <c r="QOK98" s="167"/>
      <c r="QOL98" s="168"/>
      <c r="QOM98" s="167"/>
      <c r="QON98" s="168"/>
      <c r="QOO98" s="167"/>
      <c r="QOP98" s="168"/>
      <c r="QOQ98" s="167"/>
      <c r="QOR98" s="168"/>
      <c r="QOS98" s="167"/>
      <c r="QOT98" s="168"/>
      <c r="QOU98" s="167"/>
      <c r="QOV98" s="168"/>
      <c r="QOW98" s="167"/>
      <c r="QOX98" s="168"/>
      <c r="QOY98" s="167"/>
      <c r="QOZ98" s="168"/>
      <c r="QPA98" s="167"/>
      <c r="QPB98" s="168"/>
      <c r="QPC98" s="167"/>
      <c r="QPD98" s="168"/>
      <c r="QPE98" s="167"/>
      <c r="QPF98" s="168"/>
      <c r="QPG98" s="167"/>
      <c r="QPH98" s="168"/>
      <c r="QPI98" s="167"/>
      <c r="QPJ98" s="168"/>
      <c r="QPK98" s="167"/>
      <c r="QPL98" s="168"/>
      <c r="QPM98" s="167"/>
      <c r="QPN98" s="168"/>
      <c r="QPO98" s="167"/>
      <c r="QPP98" s="168"/>
      <c r="QPQ98" s="167"/>
      <c r="QPR98" s="168"/>
      <c r="QPS98" s="167"/>
      <c r="QPT98" s="168"/>
      <c r="QPU98" s="167"/>
      <c r="QPV98" s="168"/>
      <c r="QPW98" s="167"/>
      <c r="QPX98" s="168"/>
      <c r="QPY98" s="167"/>
      <c r="QPZ98" s="168"/>
      <c r="QQA98" s="167"/>
      <c r="QQB98" s="168"/>
      <c r="QQC98" s="167"/>
      <c r="QQD98" s="168"/>
      <c r="QQE98" s="167"/>
      <c r="QQF98" s="168"/>
      <c r="QQG98" s="167"/>
      <c r="QQH98" s="168"/>
      <c r="QQI98" s="167"/>
      <c r="QQJ98" s="168"/>
      <c r="QQK98" s="167"/>
      <c r="QQL98" s="168"/>
      <c r="QQM98" s="167"/>
      <c r="QQN98" s="168"/>
      <c r="QQO98" s="167"/>
      <c r="QQP98" s="168"/>
      <c r="QQQ98" s="167"/>
      <c r="QQR98" s="168"/>
      <c r="QQS98" s="167"/>
      <c r="QQT98" s="168"/>
      <c r="QQU98" s="167"/>
      <c r="QQV98" s="168"/>
      <c r="QQW98" s="167"/>
      <c r="QQX98" s="168"/>
      <c r="QQY98" s="167"/>
      <c r="QQZ98" s="168"/>
      <c r="QRA98" s="167"/>
      <c r="QRB98" s="168"/>
      <c r="QRC98" s="167"/>
      <c r="QRD98" s="168"/>
      <c r="QRE98" s="167"/>
      <c r="QRF98" s="168"/>
      <c r="QRG98" s="167"/>
      <c r="QRH98" s="168"/>
      <c r="QRI98" s="167"/>
      <c r="QRJ98" s="168"/>
      <c r="QRK98" s="167"/>
      <c r="QRL98" s="168"/>
      <c r="QRM98" s="167"/>
      <c r="QRN98" s="168"/>
      <c r="QRO98" s="167"/>
      <c r="QRP98" s="168"/>
      <c r="QRQ98" s="167"/>
      <c r="QRR98" s="168"/>
      <c r="QRS98" s="167"/>
      <c r="QRT98" s="168"/>
      <c r="QRU98" s="167"/>
      <c r="QRV98" s="168"/>
      <c r="QRW98" s="167"/>
      <c r="QRX98" s="168"/>
      <c r="QRY98" s="167"/>
      <c r="QRZ98" s="168"/>
      <c r="QSA98" s="167"/>
      <c r="QSB98" s="168"/>
      <c r="QSC98" s="167"/>
      <c r="QSD98" s="168"/>
      <c r="QSE98" s="167"/>
      <c r="QSF98" s="168"/>
      <c r="QSG98" s="167"/>
      <c r="QSH98" s="168"/>
      <c r="QSI98" s="167"/>
      <c r="QSJ98" s="168"/>
      <c r="QSK98" s="167"/>
      <c r="QSL98" s="168"/>
      <c r="QSM98" s="167"/>
      <c r="QSN98" s="168"/>
      <c r="QSO98" s="167"/>
      <c r="QSP98" s="168"/>
      <c r="QSQ98" s="167"/>
      <c r="QSR98" s="168"/>
      <c r="QSS98" s="167"/>
      <c r="QST98" s="168"/>
      <c r="QSU98" s="167"/>
      <c r="QSV98" s="168"/>
      <c r="QSW98" s="167"/>
      <c r="QSX98" s="168"/>
      <c r="QSY98" s="167"/>
      <c r="QSZ98" s="168"/>
      <c r="QTA98" s="167"/>
      <c r="QTB98" s="168"/>
      <c r="QTC98" s="167"/>
      <c r="QTD98" s="168"/>
      <c r="QTE98" s="167"/>
      <c r="QTF98" s="168"/>
      <c r="QTG98" s="167"/>
      <c r="QTH98" s="168"/>
      <c r="QTI98" s="167"/>
      <c r="QTJ98" s="168"/>
      <c r="QTK98" s="167"/>
      <c r="QTL98" s="168"/>
      <c r="QTM98" s="167"/>
      <c r="QTN98" s="168"/>
      <c r="QTO98" s="167"/>
      <c r="QTP98" s="168"/>
      <c r="QTQ98" s="167"/>
      <c r="QTR98" s="168"/>
      <c r="QTS98" s="167"/>
      <c r="QTT98" s="168"/>
      <c r="QTU98" s="167"/>
      <c r="QTV98" s="168"/>
      <c r="QTW98" s="167"/>
      <c r="QTX98" s="168"/>
      <c r="QTY98" s="167"/>
      <c r="QTZ98" s="168"/>
      <c r="QUA98" s="167"/>
      <c r="QUB98" s="168"/>
      <c r="QUC98" s="167"/>
      <c r="QUD98" s="168"/>
      <c r="QUE98" s="167"/>
      <c r="QUF98" s="168"/>
      <c r="QUG98" s="167"/>
      <c r="QUH98" s="168"/>
      <c r="QUI98" s="167"/>
      <c r="QUJ98" s="168"/>
      <c r="QUK98" s="167"/>
      <c r="QUL98" s="168"/>
      <c r="QUM98" s="167"/>
      <c r="QUN98" s="168"/>
      <c r="QUO98" s="167"/>
      <c r="QUP98" s="168"/>
      <c r="QUQ98" s="167"/>
      <c r="QUR98" s="168"/>
      <c r="QUS98" s="167"/>
      <c r="QUT98" s="168"/>
      <c r="QUU98" s="167"/>
      <c r="QUV98" s="168"/>
      <c r="QUW98" s="167"/>
      <c r="QUX98" s="168"/>
      <c r="QUY98" s="167"/>
      <c r="QUZ98" s="168"/>
      <c r="QVA98" s="167"/>
      <c r="QVB98" s="168"/>
      <c r="QVC98" s="167"/>
      <c r="QVD98" s="168"/>
      <c r="QVE98" s="167"/>
      <c r="QVF98" s="168"/>
      <c r="QVG98" s="167"/>
      <c r="QVH98" s="168"/>
      <c r="QVI98" s="167"/>
      <c r="QVJ98" s="168"/>
      <c r="QVK98" s="167"/>
      <c r="QVL98" s="168"/>
      <c r="QVM98" s="167"/>
      <c r="QVN98" s="168"/>
      <c r="QVO98" s="167"/>
      <c r="QVP98" s="168"/>
      <c r="QVQ98" s="167"/>
      <c r="QVR98" s="168"/>
      <c r="QVS98" s="167"/>
      <c r="QVT98" s="168"/>
      <c r="QVU98" s="167"/>
      <c r="QVV98" s="168"/>
      <c r="QVW98" s="167"/>
      <c r="QVX98" s="168"/>
      <c r="QVY98" s="167"/>
      <c r="QVZ98" s="168"/>
      <c r="QWA98" s="167"/>
      <c r="QWB98" s="168"/>
      <c r="QWC98" s="167"/>
      <c r="QWD98" s="168"/>
      <c r="QWE98" s="167"/>
      <c r="QWF98" s="168"/>
      <c r="QWG98" s="167"/>
      <c r="QWH98" s="168"/>
      <c r="QWI98" s="167"/>
      <c r="QWJ98" s="168"/>
      <c r="QWK98" s="167"/>
      <c r="QWL98" s="168"/>
      <c r="QWM98" s="167"/>
      <c r="QWN98" s="168"/>
      <c r="QWO98" s="167"/>
      <c r="QWP98" s="168"/>
      <c r="QWQ98" s="167"/>
      <c r="QWR98" s="168"/>
      <c r="QWS98" s="167"/>
      <c r="QWT98" s="168"/>
      <c r="QWU98" s="167"/>
      <c r="QWV98" s="168"/>
      <c r="QWW98" s="167"/>
      <c r="QWX98" s="168"/>
      <c r="QWY98" s="167"/>
      <c r="QWZ98" s="168"/>
      <c r="QXA98" s="167"/>
      <c r="QXB98" s="168"/>
      <c r="QXC98" s="167"/>
      <c r="QXD98" s="168"/>
      <c r="QXE98" s="167"/>
      <c r="QXF98" s="168"/>
      <c r="QXG98" s="167"/>
      <c r="QXH98" s="168"/>
      <c r="QXI98" s="167"/>
      <c r="QXJ98" s="168"/>
      <c r="QXK98" s="167"/>
      <c r="QXL98" s="168"/>
      <c r="QXM98" s="167"/>
      <c r="QXN98" s="168"/>
      <c r="QXO98" s="167"/>
      <c r="QXP98" s="168"/>
      <c r="QXQ98" s="167"/>
      <c r="QXR98" s="168"/>
      <c r="QXS98" s="167"/>
      <c r="QXT98" s="168"/>
      <c r="QXU98" s="167"/>
      <c r="QXV98" s="168"/>
      <c r="QXW98" s="167"/>
      <c r="QXX98" s="168"/>
      <c r="QXY98" s="167"/>
      <c r="QXZ98" s="168"/>
      <c r="QYA98" s="167"/>
      <c r="QYB98" s="168"/>
      <c r="QYC98" s="167"/>
      <c r="QYD98" s="168"/>
      <c r="QYE98" s="167"/>
      <c r="QYF98" s="168"/>
      <c r="QYG98" s="167"/>
      <c r="QYH98" s="168"/>
      <c r="QYI98" s="167"/>
      <c r="QYJ98" s="168"/>
      <c r="QYK98" s="167"/>
      <c r="QYL98" s="168"/>
      <c r="QYM98" s="167"/>
      <c r="QYN98" s="168"/>
      <c r="QYO98" s="167"/>
      <c r="QYP98" s="168"/>
      <c r="QYQ98" s="167"/>
      <c r="QYR98" s="168"/>
      <c r="QYS98" s="167"/>
      <c r="QYT98" s="168"/>
      <c r="QYU98" s="167"/>
      <c r="QYV98" s="168"/>
      <c r="QYW98" s="167"/>
      <c r="QYX98" s="168"/>
      <c r="QYY98" s="167"/>
      <c r="QYZ98" s="168"/>
      <c r="QZA98" s="167"/>
      <c r="QZB98" s="168"/>
      <c r="QZC98" s="167"/>
      <c r="QZD98" s="168"/>
      <c r="QZE98" s="167"/>
      <c r="QZF98" s="168"/>
      <c r="QZG98" s="167"/>
      <c r="QZH98" s="168"/>
      <c r="QZI98" s="167"/>
      <c r="QZJ98" s="168"/>
      <c r="QZK98" s="167"/>
      <c r="QZL98" s="168"/>
      <c r="QZM98" s="167"/>
      <c r="QZN98" s="168"/>
      <c r="QZO98" s="167"/>
      <c r="QZP98" s="168"/>
      <c r="QZQ98" s="167"/>
      <c r="QZR98" s="168"/>
      <c r="QZS98" s="167"/>
      <c r="QZT98" s="168"/>
      <c r="QZU98" s="167"/>
      <c r="QZV98" s="168"/>
      <c r="QZW98" s="167"/>
      <c r="QZX98" s="168"/>
      <c r="QZY98" s="167"/>
      <c r="QZZ98" s="168"/>
      <c r="RAA98" s="167"/>
      <c r="RAB98" s="168"/>
      <c r="RAC98" s="167"/>
      <c r="RAD98" s="168"/>
      <c r="RAE98" s="167"/>
      <c r="RAF98" s="168"/>
      <c r="RAG98" s="167"/>
      <c r="RAH98" s="168"/>
      <c r="RAI98" s="167"/>
      <c r="RAJ98" s="168"/>
      <c r="RAK98" s="167"/>
      <c r="RAL98" s="168"/>
      <c r="RAM98" s="167"/>
      <c r="RAN98" s="168"/>
      <c r="RAO98" s="167"/>
      <c r="RAP98" s="168"/>
      <c r="RAQ98" s="167"/>
      <c r="RAR98" s="168"/>
      <c r="RAS98" s="167"/>
      <c r="RAT98" s="168"/>
      <c r="RAU98" s="167"/>
      <c r="RAV98" s="168"/>
      <c r="RAW98" s="167"/>
      <c r="RAX98" s="168"/>
      <c r="RAY98" s="167"/>
      <c r="RAZ98" s="168"/>
      <c r="RBA98" s="167"/>
      <c r="RBB98" s="168"/>
      <c r="RBC98" s="167"/>
      <c r="RBD98" s="168"/>
      <c r="RBE98" s="167"/>
      <c r="RBF98" s="168"/>
      <c r="RBG98" s="167"/>
      <c r="RBH98" s="168"/>
      <c r="RBI98" s="167"/>
      <c r="RBJ98" s="168"/>
      <c r="RBK98" s="167"/>
      <c r="RBL98" s="168"/>
      <c r="RBM98" s="167"/>
      <c r="RBN98" s="168"/>
      <c r="RBO98" s="167"/>
      <c r="RBP98" s="168"/>
      <c r="RBQ98" s="167"/>
      <c r="RBR98" s="168"/>
      <c r="RBS98" s="167"/>
      <c r="RBT98" s="168"/>
      <c r="RBU98" s="167"/>
      <c r="RBV98" s="168"/>
      <c r="RBW98" s="167"/>
      <c r="RBX98" s="168"/>
      <c r="RBY98" s="167"/>
      <c r="RBZ98" s="168"/>
      <c r="RCA98" s="167"/>
      <c r="RCB98" s="168"/>
      <c r="RCC98" s="167"/>
      <c r="RCD98" s="168"/>
      <c r="RCE98" s="167"/>
      <c r="RCF98" s="168"/>
      <c r="RCG98" s="167"/>
      <c r="RCH98" s="168"/>
      <c r="RCI98" s="167"/>
      <c r="RCJ98" s="168"/>
      <c r="RCK98" s="167"/>
      <c r="RCL98" s="168"/>
      <c r="RCM98" s="167"/>
      <c r="RCN98" s="168"/>
      <c r="RCO98" s="167"/>
      <c r="RCP98" s="168"/>
      <c r="RCQ98" s="167"/>
      <c r="RCR98" s="168"/>
      <c r="RCS98" s="167"/>
      <c r="RCT98" s="168"/>
      <c r="RCU98" s="167"/>
      <c r="RCV98" s="168"/>
      <c r="RCW98" s="167"/>
      <c r="RCX98" s="168"/>
      <c r="RCY98" s="167"/>
      <c r="RCZ98" s="168"/>
      <c r="RDA98" s="167"/>
      <c r="RDB98" s="168"/>
      <c r="RDC98" s="167"/>
      <c r="RDD98" s="168"/>
      <c r="RDE98" s="167"/>
      <c r="RDF98" s="168"/>
      <c r="RDG98" s="167"/>
      <c r="RDH98" s="168"/>
      <c r="RDI98" s="167"/>
      <c r="RDJ98" s="168"/>
      <c r="RDK98" s="167"/>
      <c r="RDL98" s="168"/>
      <c r="RDM98" s="167"/>
      <c r="RDN98" s="168"/>
      <c r="RDO98" s="167"/>
      <c r="RDP98" s="168"/>
      <c r="RDQ98" s="167"/>
      <c r="RDR98" s="168"/>
      <c r="RDS98" s="167"/>
      <c r="RDT98" s="168"/>
      <c r="RDU98" s="167"/>
      <c r="RDV98" s="168"/>
      <c r="RDW98" s="167"/>
      <c r="RDX98" s="168"/>
      <c r="RDY98" s="167"/>
      <c r="RDZ98" s="168"/>
      <c r="REA98" s="167"/>
      <c r="REB98" s="168"/>
      <c r="REC98" s="167"/>
      <c r="RED98" s="168"/>
      <c r="REE98" s="167"/>
      <c r="REF98" s="168"/>
      <c r="REG98" s="167"/>
      <c r="REH98" s="168"/>
      <c r="REI98" s="167"/>
      <c r="REJ98" s="168"/>
      <c r="REK98" s="167"/>
      <c r="REL98" s="168"/>
      <c r="REM98" s="167"/>
      <c r="REN98" s="168"/>
      <c r="REO98" s="167"/>
      <c r="REP98" s="168"/>
      <c r="REQ98" s="167"/>
      <c r="RER98" s="168"/>
      <c r="RES98" s="167"/>
      <c r="RET98" s="168"/>
      <c r="REU98" s="167"/>
      <c r="REV98" s="168"/>
      <c r="REW98" s="167"/>
      <c r="REX98" s="168"/>
      <c r="REY98" s="167"/>
      <c r="REZ98" s="168"/>
      <c r="RFA98" s="167"/>
      <c r="RFB98" s="168"/>
      <c r="RFC98" s="167"/>
      <c r="RFD98" s="168"/>
      <c r="RFE98" s="167"/>
      <c r="RFF98" s="168"/>
      <c r="RFG98" s="167"/>
      <c r="RFH98" s="168"/>
      <c r="RFI98" s="167"/>
      <c r="RFJ98" s="168"/>
      <c r="RFK98" s="167"/>
      <c r="RFL98" s="168"/>
      <c r="RFM98" s="167"/>
      <c r="RFN98" s="168"/>
      <c r="RFO98" s="167"/>
      <c r="RFP98" s="168"/>
      <c r="RFQ98" s="167"/>
      <c r="RFR98" s="168"/>
      <c r="RFS98" s="167"/>
      <c r="RFT98" s="168"/>
      <c r="RFU98" s="167"/>
      <c r="RFV98" s="168"/>
      <c r="RFW98" s="167"/>
      <c r="RFX98" s="168"/>
      <c r="RFY98" s="167"/>
      <c r="RFZ98" s="168"/>
      <c r="RGA98" s="167"/>
      <c r="RGB98" s="168"/>
      <c r="RGC98" s="167"/>
      <c r="RGD98" s="168"/>
      <c r="RGE98" s="167"/>
      <c r="RGF98" s="168"/>
      <c r="RGG98" s="167"/>
      <c r="RGH98" s="168"/>
      <c r="RGI98" s="167"/>
      <c r="RGJ98" s="168"/>
      <c r="RGK98" s="167"/>
      <c r="RGL98" s="168"/>
      <c r="RGM98" s="167"/>
      <c r="RGN98" s="168"/>
      <c r="RGO98" s="167"/>
      <c r="RGP98" s="168"/>
      <c r="RGQ98" s="167"/>
      <c r="RGR98" s="168"/>
      <c r="RGS98" s="167"/>
      <c r="RGT98" s="168"/>
      <c r="RGU98" s="167"/>
      <c r="RGV98" s="168"/>
      <c r="RGW98" s="167"/>
      <c r="RGX98" s="168"/>
      <c r="RGY98" s="167"/>
      <c r="RGZ98" s="168"/>
      <c r="RHA98" s="167"/>
      <c r="RHB98" s="168"/>
      <c r="RHC98" s="167"/>
      <c r="RHD98" s="168"/>
      <c r="RHE98" s="167"/>
      <c r="RHF98" s="168"/>
      <c r="RHG98" s="167"/>
      <c r="RHH98" s="168"/>
      <c r="RHI98" s="167"/>
      <c r="RHJ98" s="168"/>
      <c r="RHK98" s="167"/>
      <c r="RHL98" s="168"/>
      <c r="RHM98" s="167"/>
      <c r="RHN98" s="168"/>
      <c r="RHO98" s="167"/>
      <c r="RHP98" s="168"/>
      <c r="RHQ98" s="167"/>
      <c r="RHR98" s="168"/>
      <c r="RHS98" s="167"/>
      <c r="RHT98" s="168"/>
      <c r="RHU98" s="167"/>
      <c r="RHV98" s="168"/>
      <c r="RHW98" s="167"/>
      <c r="RHX98" s="168"/>
      <c r="RHY98" s="167"/>
      <c r="RHZ98" s="168"/>
      <c r="RIA98" s="167"/>
      <c r="RIB98" s="168"/>
      <c r="RIC98" s="167"/>
      <c r="RID98" s="168"/>
      <c r="RIE98" s="167"/>
      <c r="RIF98" s="168"/>
      <c r="RIG98" s="167"/>
      <c r="RIH98" s="168"/>
      <c r="RII98" s="167"/>
      <c r="RIJ98" s="168"/>
      <c r="RIK98" s="167"/>
      <c r="RIL98" s="168"/>
      <c r="RIM98" s="167"/>
      <c r="RIN98" s="168"/>
      <c r="RIO98" s="167"/>
      <c r="RIP98" s="168"/>
      <c r="RIQ98" s="167"/>
      <c r="RIR98" s="168"/>
      <c r="RIS98" s="167"/>
      <c r="RIT98" s="168"/>
      <c r="RIU98" s="167"/>
      <c r="RIV98" s="168"/>
      <c r="RIW98" s="167"/>
      <c r="RIX98" s="168"/>
      <c r="RIY98" s="167"/>
      <c r="RIZ98" s="168"/>
      <c r="RJA98" s="167"/>
      <c r="RJB98" s="168"/>
      <c r="RJC98" s="167"/>
      <c r="RJD98" s="168"/>
      <c r="RJE98" s="167"/>
      <c r="RJF98" s="168"/>
      <c r="RJG98" s="167"/>
      <c r="RJH98" s="168"/>
      <c r="RJI98" s="167"/>
      <c r="RJJ98" s="168"/>
      <c r="RJK98" s="167"/>
      <c r="RJL98" s="168"/>
      <c r="RJM98" s="167"/>
      <c r="RJN98" s="168"/>
      <c r="RJO98" s="167"/>
      <c r="RJP98" s="168"/>
      <c r="RJQ98" s="167"/>
      <c r="RJR98" s="168"/>
      <c r="RJS98" s="167"/>
      <c r="RJT98" s="168"/>
      <c r="RJU98" s="167"/>
      <c r="RJV98" s="168"/>
      <c r="RJW98" s="167"/>
      <c r="RJX98" s="168"/>
      <c r="RJY98" s="167"/>
      <c r="RJZ98" s="168"/>
      <c r="RKA98" s="167"/>
      <c r="RKB98" s="168"/>
      <c r="RKC98" s="167"/>
      <c r="RKD98" s="168"/>
      <c r="RKE98" s="167"/>
      <c r="RKF98" s="168"/>
      <c r="RKG98" s="167"/>
      <c r="RKH98" s="168"/>
      <c r="RKI98" s="167"/>
      <c r="RKJ98" s="168"/>
      <c r="RKK98" s="167"/>
      <c r="RKL98" s="168"/>
      <c r="RKM98" s="167"/>
      <c r="RKN98" s="168"/>
      <c r="RKO98" s="167"/>
      <c r="RKP98" s="168"/>
      <c r="RKQ98" s="167"/>
      <c r="RKR98" s="168"/>
      <c r="RKS98" s="167"/>
      <c r="RKT98" s="168"/>
      <c r="RKU98" s="167"/>
      <c r="RKV98" s="168"/>
      <c r="RKW98" s="167"/>
      <c r="RKX98" s="168"/>
      <c r="RKY98" s="167"/>
      <c r="RKZ98" s="168"/>
      <c r="RLA98" s="167"/>
      <c r="RLB98" s="168"/>
      <c r="RLC98" s="167"/>
      <c r="RLD98" s="168"/>
      <c r="RLE98" s="167"/>
      <c r="RLF98" s="168"/>
      <c r="RLG98" s="167"/>
      <c r="RLH98" s="168"/>
      <c r="RLI98" s="167"/>
      <c r="RLJ98" s="168"/>
      <c r="RLK98" s="167"/>
      <c r="RLL98" s="168"/>
      <c r="RLM98" s="167"/>
      <c r="RLN98" s="168"/>
      <c r="RLO98" s="167"/>
      <c r="RLP98" s="168"/>
      <c r="RLQ98" s="167"/>
      <c r="RLR98" s="168"/>
      <c r="RLS98" s="167"/>
      <c r="RLT98" s="168"/>
      <c r="RLU98" s="167"/>
      <c r="RLV98" s="168"/>
      <c r="RLW98" s="167"/>
      <c r="RLX98" s="168"/>
      <c r="RLY98" s="167"/>
      <c r="RLZ98" s="168"/>
      <c r="RMA98" s="167"/>
      <c r="RMB98" s="168"/>
      <c r="RMC98" s="167"/>
      <c r="RMD98" s="168"/>
      <c r="RME98" s="167"/>
      <c r="RMF98" s="168"/>
      <c r="RMG98" s="167"/>
      <c r="RMH98" s="168"/>
      <c r="RMI98" s="167"/>
      <c r="RMJ98" s="168"/>
      <c r="RMK98" s="167"/>
      <c r="RML98" s="168"/>
      <c r="RMM98" s="167"/>
      <c r="RMN98" s="168"/>
      <c r="RMO98" s="167"/>
      <c r="RMP98" s="168"/>
      <c r="RMQ98" s="167"/>
      <c r="RMR98" s="168"/>
      <c r="RMS98" s="167"/>
      <c r="RMT98" s="168"/>
      <c r="RMU98" s="167"/>
      <c r="RMV98" s="168"/>
      <c r="RMW98" s="167"/>
      <c r="RMX98" s="168"/>
      <c r="RMY98" s="167"/>
      <c r="RMZ98" s="168"/>
      <c r="RNA98" s="167"/>
      <c r="RNB98" s="168"/>
      <c r="RNC98" s="167"/>
      <c r="RND98" s="168"/>
      <c r="RNE98" s="167"/>
      <c r="RNF98" s="168"/>
      <c r="RNG98" s="167"/>
      <c r="RNH98" s="168"/>
      <c r="RNI98" s="167"/>
      <c r="RNJ98" s="168"/>
      <c r="RNK98" s="167"/>
      <c r="RNL98" s="168"/>
      <c r="RNM98" s="167"/>
      <c r="RNN98" s="168"/>
      <c r="RNO98" s="167"/>
      <c r="RNP98" s="168"/>
      <c r="RNQ98" s="167"/>
      <c r="RNR98" s="168"/>
      <c r="RNS98" s="167"/>
      <c r="RNT98" s="168"/>
      <c r="RNU98" s="167"/>
      <c r="RNV98" s="168"/>
      <c r="RNW98" s="167"/>
      <c r="RNX98" s="168"/>
      <c r="RNY98" s="167"/>
      <c r="RNZ98" s="168"/>
      <c r="ROA98" s="167"/>
      <c r="ROB98" s="168"/>
      <c r="ROC98" s="167"/>
      <c r="ROD98" s="168"/>
      <c r="ROE98" s="167"/>
      <c r="ROF98" s="168"/>
      <c r="ROG98" s="167"/>
      <c r="ROH98" s="168"/>
      <c r="ROI98" s="167"/>
      <c r="ROJ98" s="168"/>
      <c r="ROK98" s="167"/>
      <c r="ROL98" s="168"/>
      <c r="ROM98" s="167"/>
      <c r="RON98" s="168"/>
      <c r="ROO98" s="167"/>
      <c r="ROP98" s="168"/>
      <c r="ROQ98" s="167"/>
      <c r="ROR98" s="168"/>
      <c r="ROS98" s="167"/>
      <c r="ROT98" s="168"/>
      <c r="ROU98" s="167"/>
      <c r="ROV98" s="168"/>
      <c r="ROW98" s="167"/>
      <c r="ROX98" s="168"/>
      <c r="ROY98" s="167"/>
      <c r="ROZ98" s="168"/>
      <c r="RPA98" s="167"/>
      <c r="RPB98" s="168"/>
      <c r="RPC98" s="167"/>
      <c r="RPD98" s="168"/>
      <c r="RPE98" s="167"/>
      <c r="RPF98" s="168"/>
      <c r="RPG98" s="167"/>
      <c r="RPH98" s="168"/>
      <c r="RPI98" s="167"/>
      <c r="RPJ98" s="168"/>
      <c r="RPK98" s="167"/>
      <c r="RPL98" s="168"/>
      <c r="RPM98" s="167"/>
      <c r="RPN98" s="168"/>
      <c r="RPO98" s="167"/>
      <c r="RPP98" s="168"/>
      <c r="RPQ98" s="167"/>
      <c r="RPR98" s="168"/>
      <c r="RPS98" s="167"/>
      <c r="RPT98" s="168"/>
      <c r="RPU98" s="167"/>
      <c r="RPV98" s="168"/>
      <c r="RPW98" s="167"/>
      <c r="RPX98" s="168"/>
      <c r="RPY98" s="167"/>
      <c r="RPZ98" s="168"/>
      <c r="RQA98" s="167"/>
      <c r="RQB98" s="168"/>
      <c r="RQC98" s="167"/>
      <c r="RQD98" s="168"/>
      <c r="RQE98" s="167"/>
      <c r="RQF98" s="168"/>
      <c r="RQG98" s="167"/>
      <c r="RQH98" s="168"/>
      <c r="RQI98" s="167"/>
      <c r="RQJ98" s="168"/>
      <c r="RQK98" s="167"/>
      <c r="RQL98" s="168"/>
      <c r="RQM98" s="167"/>
      <c r="RQN98" s="168"/>
      <c r="RQO98" s="167"/>
      <c r="RQP98" s="168"/>
      <c r="RQQ98" s="167"/>
      <c r="RQR98" s="168"/>
      <c r="RQS98" s="167"/>
      <c r="RQT98" s="168"/>
      <c r="RQU98" s="167"/>
      <c r="RQV98" s="168"/>
      <c r="RQW98" s="167"/>
      <c r="RQX98" s="168"/>
      <c r="RQY98" s="167"/>
      <c r="RQZ98" s="168"/>
      <c r="RRA98" s="167"/>
      <c r="RRB98" s="168"/>
      <c r="RRC98" s="167"/>
      <c r="RRD98" s="168"/>
      <c r="RRE98" s="167"/>
      <c r="RRF98" s="168"/>
      <c r="RRG98" s="167"/>
      <c r="RRH98" s="168"/>
      <c r="RRI98" s="167"/>
      <c r="RRJ98" s="168"/>
      <c r="RRK98" s="167"/>
      <c r="RRL98" s="168"/>
      <c r="RRM98" s="167"/>
      <c r="RRN98" s="168"/>
      <c r="RRO98" s="167"/>
      <c r="RRP98" s="168"/>
      <c r="RRQ98" s="167"/>
      <c r="RRR98" s="168"/>
      <c r="RRS98" s="167"/>
      <c r="RRT98" s="168"/>
      <c r="RRU98" s="167"/>
      <c r="RRV98" s="168"/>
      <c r="RRW98" s="167"/>
      <c r="RRX98" s="168"/>
      <c r="RRY98" s="167"/>
      <c r="RRZ98" s="168"/>
      <c r="RSA98" s="167"/>
      <c r="RSB98" s="168"/>
      <c r="RSC98" s="167"/>
      <c r="RSD98" s="168"/>
      <c r="RSE98" s="167"/>
      <c r="RSF98" s="168"/>
      <c r="RSG98" s="167"/>
      <c r="RSH98" s="168"/>
      <c r="RSI98" s="167"/>
      <c r="RSJ98" s="168"/>
      <c r="RSK98" s="167"/>
      <c r="RSL98" s="168"/>
      <c r="RSM98" s="167"/>
      <c r="RSN98" s="168"/>
      <c r="RSO98" s="167"/>
      <c r="RSP98" s="168"/>
      <c r="RSQ98" s="167"/>
      <c r="RSR98" s="168"/>
      <c r="RSS98" s="167"/>
      <c r="RST98" s="168"/>
      <c r="RSU98" s="167"/>
      <c r="RSV98" s="168"/>
      <c r="RSW98" s="167"/>
      <c r="RSX98" s="168"/>
      <c r="RSY98" s="167"/>
      <c r="RSZ98" s="168"/>
      <c r="RTA98" s="167"/>
      <c r="RTB98" s="168"/>
      <c r="RTC98" s="167"/>
      <c r="RTD98" s="168"/>
      <c r="RTE98" s="167"/>
      <c r="RTF98" s="168"/>
      <c r="RTG98" s="167"/>
      <c r="RTH98" s="168"/>
      <c r="RTI98" s="167"/>
      <c r="RTJ98" s="168"/>
      <c r="RTK98" s="167"/>
      <c r="RTL98" s="168"/>
      <c r="RTM98" s="167"/>
      <c r="RTN98" s="168"/>
      <c r="RTO98" s="167"/>
      <c r="RTP98" s="168"/>
      <c r="RTQ98" s="167"/>
      <c r="RTR98" s="168"/>
      <c r="RTS98" s="167"/>
      <c r="RTT98" s="168"/>
      <c r="RTU98" s="167"/>
      <c r="RTV98" s="168"/>
      <c r="RTW98" s="167"/>
      <c r="RTX98" s="168"/>
      <c r="RTY98" s="167"/>
      <c r="RTZ98" s="168"/>
      <c r="RUA98" s="167"/>
      <c r="RUB98" s="168"/>
      <c r="RUC98" s="167"/>
      <c r="RUD98" s="168"/>
      <c r="RUE98" s="167"/>
      <c r="RUF98" s="168"/>
      <c r="RUG98" s="167"/>
      <c r="RUH98" s="168"/>
      <c r="RUI98" s="167"/>
      <c r="RUJ98" s="168"/>
      <c r="RUK98" s="167"/>
      <c r="RUL98" s="168"/>
      <c r="RUM98" s="167"/>
      <c r="RUN98" s="168"/>
      <c r="RUO98" s="167"/>
      <c r="RUP98" s="168"/>
      <c r="RUQ98" s="167"/>
      <c r="RUR98" s="168"/>
      <c r="RUS98" s="167"/>
      <c r="RUT98" s="168"/>
      <c r="RUU98" s="167"/>
      <c r="RUV98" s="168"/>
      <c r="RUW98" s="167"/>
      <c r="RUX98" s="168"/>
      <c r="RUY98" s="167"/>
      <c r="RUZ98" s="168"/>
      <c r="RVA98" s="167"/>
      <c r="RVB98" s="168"/>
      <c r="RVC98" s="167"/>
      <c r="RVD98" s="168"/>
      <c r="RVE98" s="167"/>
      <c r="RVF98" s="168"/>
      <c r="RVG98" s="167"/>
      <c r="RVH98" s="168"/>
      <c r="RVI98" s="167"/>
      <c r="RVJ98" s="168"/>
      <c r="RVK98" s="167"/>
      <c r="RVL98" s="168"/>
      <c r="RVM98" s="167"/>
      <c r="RVN98" s="168"/>
      <c r="RVO98" s="167"/>
      <c r="RVP98" s="168"/>
      <c r="RVQ98" s="167"/>
      <c r="RVR98" s="168"/>
      <c r="RVS98" s="167"/>
      <c r="RVT98" s="168"/>
      <c r="RVU98" s="167"/>
      <c r="RVV98" s="168"/>
      <c r="RVW98" s="167"/>
      <c r="RVX98" s="168"/>
      <c r="RVY98" s="167"/>
      <c r="RVZ98" s="168"/>
      <c r="RWA98" s="167"/>
      <c r="RWB98" s="168"/>
      <c r="RWC98" s="167"/>
      <c r="RWD98" s="168"/>
      <c r="RWE98" s="167"/>
      <c r="RWF98" s="168"/>
      <c r="RWG98" s="167"/>
      <c r="RWH98" s="168"/>
      <c r="RWI98" s="167"/>
      <c r="RWJ98" s="168"/>
      <c r="RWK98" s="167"/>
      <c r="RWL98" s="168"/>
      <c r="RWM98" s="167"/>
      <c r="RWN98" s="168"/>
      <c r="RWO98" s="167"/>
      <c r="RWP98" s="168"/>
      <c r="RWQ98" s="167"/>
      <c r="RWR98" s="168"/>
      <c r="RWS98" s="167"/>
      <c r="RWT98" s="168"/>
      <c r="RWU98" s="167"/>
      <c r="RWV98" s="168"/>
      <c r="RWW98" s="167"/>
      <c r="RWX98" s="168"/>
      <c r="RWY98" s="167"/>
      <c r="RWZ98" s="168"/>
      <c r="RXA98" s="167"/>
      <c r="RXB98" s="168"/>
      <c r="RXC98" s="167"/>
      <c r="RXD98" s="168"/>
      <c r="RXE98" s="167"/>
      <c r="RXF98" s="168"/>
      <c r="RXG98" s="167"/>
      <c r="RXH98" s="168"/>
      <c r="RXI98" s="167"/>
      <c r="RXJ98" s="168"/>
      <c r="RXK98" s="167"/>
      <c r="RXL98" s="168"/>
      <c r="RXM98" s="167"/>
      <c r="RXN98" s="168"/>
      <c r="RXO98" s="167"/>
      <c r="RXP98" s="168"/>
      <c r="RXQ98" s="167"/>
      <c r="RXR98" s="168"/>
      <c r="RXS98" s="167"/>
      <c r="RXT98" s="168"/>
      <c r="RXU98" s="167"/>
      <c r="RXV98" s="168"/>
      <c r="RXW98" s="167"/>
      <c r="RXX98" s="168"/>
      <c r="RXY98" s="167"/>
      <c r="RXZ98" s="168"/>
      <c r="RYA98" s="167"/>
      <c r="RYB98" s="168"/>
      <c r="RYC98" s="167"/>
      <c r="RYD98" s="168"/>
      <c r="RYE98" s="167"/>
      <c r="RYF98" s="168"/>
      <c r="RYG98" s="167"/>
      <c r="RYH98" s="168"/>
      <c r="RYI98" s="167"/>
      <c r="RYJ98" s="168"/>
      <c r="RYK98" s="167"/>
      <c r="RYL98" s="168"/>
      <c r="RYM98" s="167"/>
      <c r="RYN98" s="168"/>
      <c r="RYO98" s="167"/>
      <c r="RYP98" s="168"/>
      <c r="RYQ98" s="167"/>
      <c r="RYR98" s="168"/>
      <c r="RYS98" s="167"/>
      <c r="RYT98" s="168"/>
      <c r="RYU98" s="167"/>
      <c r="RYV98" s="168"/>
      <c r="RYW98" s="167"/>
      <c r="RYX98" s="168"/>
      <c r="RYY98" s="167"/>
      <c r="RYZ98" s="168"/>
      <c r="RZA98" s="167"/>
      <c r="RZB98" s="168"/>
      <c r="RZC98" s="167"/>
      <c r="RZD98" s="168"/>
      <c r="RZE98" s="167"/>
      <c r="RZF98" s="168"/>
      <c r="RZG98" s="167"/>
      <c r="RZH98" s="168"/>
      <c r="RZI98" s="167"/>
      <c r="RZJ98" s="168"/>
      <c r="RZK98" s="167"/>
      <c r="RZL98" s="168"/>
      <c r="RZM98" s="167"/>
      <c r="RZN98" s="168"/>
      <c r="RZO98" s="167"/>
      <c r="RZP98" s="168"/>
      <c r="RZQ98" s="167"/>
      <c r="RZR98" s="168"/>
      <c r="RZS98" s="167"/>
      <c r="RZT98" s="168"/>
      <c r="RZU98" s="167"/>
      <c r="RZV98" s="168"/>
      <c r="RZW98" s="167"/>
      <c r="RZX98" s="168"/>
      <c r="RZY98" s="167"/>
      <c r="RZZ98" s="168"/>
      <c r="SAA98" s="167"/>
      <c r="SAB98" s="168"/>
      <c r="SAC98" s="167"/>
      <c r="SAD98" s="168"/>
      <c r="SAE98" s="167"/>
      <c r="SAF98" s="168"/>
      <c r="SAG98" s="167"/>
      <c r="SAH98" s="168"/>
      <c r="SAI98" s="167"/>
      <c r="SAJ98" s="168"/>
      <c r="SAK98" s="167"/>
      <c r="SAL98" s="168"/>
      <c r="SAM98" s="167"/>
      <c r="SAN98" s="168"/>
      <c r="SAO98" s="167"/>
      <c r="SAP98" s="168"/>
      <c r="SAQ98" s="167"/>
      <c r="SAR98" s="168"/>
      <c r="SAS98" s="167"/>
      <c r="SAT98" s="168"/>
      <c r="SAU98" s="167"/>
      <c r="SAV98" s="168"/>
      <c r="SAW98" s="167"/>
      <c r="SAX98" s="168"/>
      <c r="SAY98" s="167"/>
      <c r="SAZ98" s="168"/>
      <c r="SBA98" s="167"/>
      <c r="SBB98" s="168"/>
      <c r="SBC98" s="167"/>
      <c r="SBD98" s="168"/>
      <c r="SBE98" s="167"/>
      <c r="SBF98" s="168"/>
      <c r="SBG98" s="167"/>
      <c r="SBH98" s="168"/>
      <c r="SBI98" s="167"/>
      <c r="SBJ98" s="168"/>
      <c r="SBK98" s="167"/>
      <c r="SBL98" s="168"/>
      <c r="SBM98" s="167"/>
      <c r="SBN98" s="168"/>
      <c r="SBO98" s="167"/>
      <c r="SBP98" s="168"/>
      <c r="SBQ98" s="167"/>
      <c r="SBR98" s="168"/>
      <c r="SBS98" s="167"/>
      <c r="SBT98" s="168"/>
      <c r="SBU98" s="167"/>
      <c r="SBV98" s="168"/>
      <c r="SBW98" s="167"/>
      <c r="SBX98" s="168"/>
      <c r="SBY98" s="167"/>
      <c r="SBZ98" s="168"/>
      <c r="SCA98" s="167"/>
      <c r="SCB98" s="168"/>
      <c r="SCC98" s="167"/>
      <c r="SCD98" s="168"/>
      <c r="SCE98" s="167"/>
      <c r="SCF98" s="168"/>
      <c r="SCG98" s="167"/>
      <c r="SCH98" s="168"/>
      <c r="SCI98" s="167"/>
      <c r="SCJ98" s="168"/>
      <c r="SCK98" s="167"/>
      <c r="SCL98" s="168"/>
      <c r="SCM98" s="167"/>
      <c r="SCN98" s="168"/>
      <c r="SCO98" s="167"/>
      <c r="SCP98" s="168"/>
      <c r="SCQ98" s="167"/>
      <c r="SCR98" s="168"/>
      <c r="SCS98" s="167"/>
      <c r="SCT98" s="168"/>
      <c r="SCU98" s="167"/>
      <c r="SCV98" s="168"/>
      <c r="SCW98" s="167"/>
      <c r="SCX98" s="168"/>
      <c r="SCY98" s="167"/>
      <c r="SCZ98" s="168"/>
      <c r="SDA98" s="167"/>
      <c r="SDB98" s="168"/>
      <c r="SDC98" s="167"/>
      <c r="SDD98" s="168"/>
      <c r="SDE98" s="167"/>
      <c r="SDF98" s="168"/>
      <c r="SDG98" s="167"/>
      <c r="SDH98" s="168"/>
      <c r="SDI98" s="167"/>
      <c r="SDJ98" s="168"/>
      <c r="SDK98" s="167"/>
      <c r="SDL98" s="168"/>
      <c r="SDM98" s="167"/>
      <c r="SDN98" s="168"/>
      <c r="SDO98" s="167"/>
      <c r="SDP98" s="168"/>
      <c r="SDQ98" s="167"/>
      <c r="SDR98" s="168"/>
      <c r="SDS98" s="167"/>
      <c r="SDT98" s="168"/>
      <c r="SDU98" s="167"/>
      <c r="SDV98" s="168"/>
      <c r="SDW98" s="167"/>
      <c r="SDX98" s="168"/>
      <c r="SDY98" s="167"/>
      <c r="SDZ98" s="168"/>
      <c r="SEA98" s="167"/>
      <c r="SEB98" s="168"/>
      <c r="SEC98" s="167"/>
      <c r="SED98" s="168"/>
      <c r="SEE98" s="167"/>
      <c r="SEF98" s="168"/>
      <c r="SEG98" s="167"/>
      <c r="SEH98" s="168"/>
      <c r="SEI98" s="167"/>
      <c r="SEJ98" s="168"/>
      <c r="SEK98" s="167"/>
      <c r="SEL98" s="168"/>
      <c r="SEM98" s="167"/>
      <c r="SEN98" s="168"/>
      <c r="SEO98" s="167"/>
      <c r="SEP98" s="168"/>
      <c r="SEQ98" s="167"/>
      <c r="SER98" s="168"/>
      <c r="SES98" s="167"/>
      <c r="SET98" s="168"/>
      <c r="SEU98" s="167"/>
      <c r="SEV98" s="168"/>
      <c r="SEW98" s="167"/>
      <c r="SEX98" s="168"/>
      <c r="SEY98" s="167"/>
      <c r="SEZ98" s="168"/>
      <c r="SFA98" s="167"/>
      <c r="SFB98" s="168"/>
      <c r="SFC98" s="167"/>
      <c r="SFD98" s="168"/>
      <c r="SFE98" s="167"/>
      <c r="SFF98" s="168"/>
      <c r="SFG98" s="167"/>
      <c r="SFH98" s="168"/>
      <c r="SFI98" s="167"/>
      <c r="SFJ98" s="168"/>
      <c r="SFK98" s="167"/>
      <c r="SFL98" s="168"/>
      <c r="SFM98" s="167"/>
      <c r="SFN98" s="168"/>
      <c r="SFO98" s="167"/>
      <c r="SFP98" s="168"/>
      <c r="SFQ98" s="167"/>
      <c r="SFR98" s="168"/>
      <c r="SFS98" s="167"/>
      <c r="SFT98" s="168"/>
      <c r="SFU98" s="167"/>
      <c r="SFV98" s="168"/>
      <c r="SFW98" s="167"/>
      <c r="SFX98" s="168"/>
      <c r="SFY98" s="167"/>
      <c r="SFZ98" s="168"/>
      <c r="SGA98" s="167"/>
      <c r="SGB98" s="168"/>
      <c r="SGC98" s="167"/>
      <c r="SGD98" s="168"/>
      <c r="SGE98" s="167"/>
      <c r="SGF98" s="168"/>
      <c r="SGG98" s="167"/>
      <c r="SGH98" s="168"/>
      <c r="SGI98" s="167"/>
      <c r="SGJ98" s="168"/>
      <c r="SGK98" s="167"/>
      <c r="SGL98" s="168"/>
      <c r="SGM98" s="167"/>
      <c r="SGN98" s="168"/>
      <c r="SGO98" s="167"/>
      <c r="SGP98" s="168"/>
      <c r="SGQ98" s="167"/>
      <c r="SGR98" s="168"/>
      <c r="SGS98" s="167"/>
      <c r="SGT98" s="168"/>
      <c r="SGU98" s="167"/>
      <c r="SGV98" s="168"/>
      <c r="SGW98" s="167"/>
      <c r="SGX98" s="168"/>
      <c r="SGY98" s="167"/>
      <c r="SGZ98" s="168"/>
      <c r="SHA98" s="167"/>
      <c r="SHB98" s="168"/>
      <c r="SHC98" s="167"/>
      <c r="SHD98" s="168"/>
      <c r="SHE98" s="167"/>
      <c r="SHF98" s="168"/>
      <c r="SHG98" s="167"/>
      <c r="SHH98" s="168"/>
      <c r="SHI98" s="167"/>
      <c r="SHJ98" s="168"/>
      <c r="SHK98" s="167"/>
      <c r="SHL98" s="168"/>
      <c r="SHM98" s="167"/>
      <c r="SHN98" s="168"/>
      <c r="SHO98" s="167"/>
      <c r="SHP98" s="168"/>
      <c r="SHQ98" s="167"/>
      <c r="SHR98" s="168"/>
      <c r="SHS98" s="167"/>
      <c r="SHT98" s="168"/>
      <c r="SHU98" s="167"/>
      <c r="SHV98" s="168"/>
      <c r="SHW98" s="167"/>
      <c r="SHX98" s="168"/>
      <c r="SHY98" s="167"/>
      <c r="SHZ98" s="168"/>
      <c r="SIA98" s="167"/>
      <c r="SIB98" s="168"/>
      <c r="SIC98" s="167"/>
      <c r="SID98" s="168"/>
      <c r="SIE98" s="167"/>
      <c r="SIF98" s="168"/>
      <c r="SIG98" s="167"/>
      <c r="SIH98" s="168"/>
      <c r="SII98" s="167"/>
      <c r="SIJ98" s="168"/>
      <c r="SIK98" s="167"/>
      <c r="SIL98" s="168"/>
      <c r="SIM98" s="167"/>
      <c r="SIN98" s="168"/>
      <c r="SIO98" s="167"/>
      <c r="SIP98" s="168"/>
      <c r="SIQ98" s="167"/>
      <c r="SIR98" s="168"/>
      <c r="SIS98" s="167"/>
      <c r="SIT98" s="168"/>
      <c r="SIU98" s="167"/>
      <c r="SIV98" s="168"/>
      <c r="SIW98" s="167"/>
      <c r="SIX98" s="168"/>
      <c r="SIY98" s="167"/>
      <c r="SIZ98" s="168"/>
      <c r="SJA98" s="167"/>
      <c r="SJB98" s="168"/>
      <c r="SJC98" s="167"/>
      <c r="SJD98" s="168"/>
      <c r="SJE98" s="167"/>
      <c r="SJF98" s="168"/>
      <c r="SJG98" s="167"/>
      <c r="SJH98" s="168"/>
      <c r="SJI98" s="167"/>
      <c r="SJJ98" s="168"/>
      <c r="SJK98" s="167"/>
      <c r="SJL98" s="168"/>
      <c r="SJM98" s="167"/>
      <c r="SJN98" s="168"/>
      <c r="SJO98" s="167"/>
      <c r="SJP98" s="168"/>
      <c r="SJQ98" s="167"/>
      <c r="SJR98" s="168"/>
      <c r="SJS98" s="167"/>
      <c r="SJT98" s="168"/>
      <c r="SJU98" s="167"/>
      <c r="SJV98" s="168"/>
      <c r="SJW98" s="167"/>
      <c r="SJX98" s="168"/>
      <c r="SJY98" s="167"/>
      <c r="SJZ98" s="168"/>
      <c r="SKA98" s="167"/>
      <c r="SKB98" s="168"/>
      <c r="SKC98" s="167"/>
      <c r="SKD98" s="168"/>
      <c r="SKE98" s="167"/>
      <c r="SKF98" s="168"/>
      <c r="SKG98" s="167"/>
      <c r="SKH98" s="168"/>
      <c r="SKI98" s="167"/>
      <c r="SKJ98" s="168"/>
      <c r="SKK98" s="167"/>
      <c r="SKL98" s="168"/>
      <c r="SKM98" s="167"/>
      <c r="SKN98" s="168"/>
      <c r="SKO98" s="167"/>
      <c r="SKP98" s="168"/>
      <c r="SKQ98" s="167"/>
      <c r="SKR98" s="168"/>
      <c r="SKS98" s="167"/>
      <c r="SKT98" s="168"/>
      <c r="SKU98" s="167"/>
      <c r="SKV98" s="168"/>
      <c r="SKW98" s="167"/>
      <c r="SKX98" s="168"/>
      <c r="SKY98" s="167"/>
      <c r="SKZ98" s="168"/>
      <c r="SLA98" s="167"/>
      <c r="SLB98" s="168"/>
      <c r="SLC98" s="167"/>
      <c r="SLD98" s="168"/>
      <c r="SLE98" s="167"/>
      <c r="SLF98" s="168"/>
      <c r="SLG98" s="167"/>
      <c r="SLH98" s="168"/>
      <c r="SLI98" s="167"/>
      <c r="SLJ98" s="168"/>
      <c r="SLK98" s="167"/>
      <c r="SLL98" s="168"/>
      <c r="SLM98" s="167"/>
      <c r="SLN98" s="168"/>
      <c r="SLO98" s="167"/>
      <c r="SLP98" s="168"/>
      <c r="SLQ98" s="167"/>
      <c r="SLR98" s="168"/>
      <c r="SLS98" s="167"/>
      <c r="SLT98" s="168"/>
      <c r="SLU98" s="167"/>
      <c r="SLV98" s="168"/>
      <c r="SLW98" s="167"/>
      <c r="SLX98" s="168"/>
      <c r="SLY98" s="167"/>
      <c r="SLZ98" s="168"/>
      <c r="SMA98" s="167"/>
      <c r="SMB98" s="168"/>
      <c r="SMC98" s="167"/>
      <c r="SMD98" s="168"/>
      <c r="SME98" s="167"/>
      <c r="SMF98" s="168"/>
      <c r="SMG98" s="167"/>
      <c r="SMH98" s="168"/>
      <c r="SMI98" s="167"/>
      <c r="SMJ98" s="168"/>
      <c r="SMK98" s="167"/>
      <c r="SML98" s="168"/>
      <c r="SMM98" s="167"/>
      <c r="SMN98" s="168"/>
      <c r="SMO98" s="167"/>
      <c r="SMP98" s="168"/>
      <c r="SMQ98" s="167"/>
      <c r="SMR98" s="168"/>
      <c r="SMS98" s="167"/>
      <c r="SMT98" s="168"/>
      <c r="SMU98" s="167"/>
      <c r="SMV98" s="168"/>
      <c r="SMW98" s="167"/>
      <c r="SMX98" s="168"/>
      <c r="SMY98" s="167"/>
      <c r="SMZ98" s="168"/>
      <c r="SNA98" s="167"/>
      <c r="SNB98" s="168"/>
      <c r="SNC98" s="167"/>
      <c r="SND98" s="168"/>
      <c r="SNE98" s="167"/>
      <c r="SNF98" s="168"/>
      <c r="SNG98" s="167"/>
      <c r="SNH98" s="168"/>
      <c r="SNI98" s="167"/>
      <c r="SNJ98" s="168"/>
      <c r="SNK98" s="167"/>
      <c r="SNL98" s="168"/>
      <c r="SNM98" s="167"/>
      <c r="SNN98" s="168"/>
      <c r="SNO98" s="167"/>
      <c r="SNP98" s="168"/>
      <c r="SNQ98" s="167"/>
      <c r="SNR98" s="168"/>
      <c r="SNS98" s="167"/>
      <c r="SNT98" s="168"/>
      <c r="SNU98" s="167"/>
      <c r="SNV98" s="168"/>
      <c r="SNW98" s="167"/>
      <c r="SNX98" s="168"/>
      <c r="SNY98" s="167"/>
      <c r="SNZ98" s="168"/>
      <c r="SOA98" s="167"/>
      <c r="SOB98" s="168"/>
      <c r="SOC98" s="167"/>
      <c r="SOD98" s="168"/>
      <c r="SOE98" s="167"/>
      <c r="SOF98" s="168"/>
      <c r="SOG98" s="167"/>
      <c r="SOH98" s="168"/>
      <c r="SOI98" s="167"/>
      <c r="SOJ98" s="168"/>
      <c r="SOK98" s="167"/>
      <c r="SOL98" s="168"/>
      <c r="SOM98" s="167"/>
      <c r="SON98" s="168"/>
      <c r="SOO98" s="167"/>
      <c r="SOP98" s="168"/>
      <c r="SOQ98" s="167"/>
      <c r="SOR98" s="168"/>
      <c r="SOS98" s="167"/>
      <c r="SOT98" s="168"/>
      <c r="SOU98" s="167"/>
      <c r="SOV98" s="168"/>
      <c r="SOW98" s="167"/>
      <c r="SOX98" s="168"/>
      <c r="SOY98" s="167"/>
      <c r="SOZ98" s="168"/>
      <c r="SPA98" s="167"/>
      <c r="SPB98" s="168"/>
      <c r="SPC98" s="167"/>
      <c r="SPD98" s="168"/>
      <c r="SPE98" s="167"/>
      <c r="SPF98" s="168"/>
      <c r="SPG98" s="167"/>
      <c r="SPH98" s="168"/>
      <c r="SPI98" s="167"/>
      <c r="SPJ98" s="168"/>
      <c r="SPK98" s="167"/>
      <c r="SPL98" s="168"/>
      <c r="SPM98" s="167"/>
      <c r="SPN98" s="168"/>
      <c r="SPO98" s="167"/>
      <c r="SPP98" s="168"/>
      <c r="SPQ98" s="167"/>
      <c r="SPR98" s="168"/>
      <c r="SPS98" s="167"/>
      <c r="SPT98" s="168"/>
      <c r="SPU98" s="167"/>
      <c r="SPV98" s="168"/>
      <c r="SPW98" s="167"/>
      <c r="SPX98" s="168"/>
      <c r="SPY98" s="167"/>
      <c r="SPZ98" s="168"/>
      <c r="SQA98" s="167"/>
      <c r="SQB98" s="168"/>
      <c r="SQC98" s="167"/>
      <c r="SQD98" s="168"/>
      <c r="SQE98" s="167"/>
      <c r="SQF98" s="168"/>
      <c r="SQG98" s="167"/>
      <c r="SQH98" s="168"/>
      <c r="SQI98" s="167"/>
      <c r="SQJ98" s="168"/>
      <c r="SQK98" s="167"/>
      <c r="SQL98" s="168"/>
      <c r="SQM98" s="167"/>
      <c r="SQN98" s="168"/>
      <c r="SQO98" s="167"/>
      <c r="SQP98" s="168"/>
      <c r="SQQ98" s="167"/>
      <c r="SQR98" s="168"/>
      <c r="SQS98" s="167"/>
      <c r="SQT98" s="168"/>
      <c r="SQU98" s="167"/>
      <c r="SQV98" s="168"/>
      <c r="SQW98" s="167"/>
      <c r="SQX98" s="168"/>
      <c r="SQY98" s="167"/>
      <c r="SQZ98" s="168"/>
      <c r="SRA98" s="167"/>
      <c r="SRB98" s="168"/>
      <c r="SRC98" s="167"/>
      <c r="SRD98" s="168"/>
      <c r="SRE98" s="167"/>
      <c r="SRF98" s="168"/>
      <c r="SRG98" s="167"/>
      <c r="SRH98" s="168"/>
      <c r="SRI98" s="167"/>
      <c r="SRJ98" s="168"/>
      <c r="SRK98" s="167"/>
      <c r="SRL98" s="168"/>
      <c r="SRM98" s="167"/>
      <c r="SRN98" s="168"/>
      <c r="SRO98" s="167"/>
      <c r="SRP98" s="168"/>
      <c r="SRQ98" s="167"/>
      <c r="SRR98" s="168"/>
      <c r="SRS98" s="167"/>
      <c r="SRT98" s="168"/>
      <c r="SRU98" s="167"/>
      <c r="SRV98" s="168"/>
      <c r="SRW98" s="167"/>
      <c r="SRX98" s="168"/>
      <c r="SRY98" s="167"/>
      <c r="SRZ98" s="168"/>
      <c r="SSA98" s="167"/>
      <c r="SSB98" s="168"/>
      <c r="SSC98" s="167"/>
      <c r="SSD98" s="168"/>
      <c r="SSE98" s="167"/>
      <c r="SSF98" s="168"/>
      <c r="SSG98" s="167"/>
      <c r="SSH98" s="168"/>
      <c r="SSI98" s="167"/>
      <c r="SSJ98" s="168"/>
      <c r="SSK98" s="167"/>
      <c r="SSL98" s="168"/>
      <c r="SSM98" s="167"/>
      <c r="SSN98" s="168"/>
      <c r="SSO98" s="167"/>
      <c r="SSP98" s="168"/>
      <c r="SSQ98" s="167"/>
      <c r="SSR98" s="168"/>
      <c r="SSS98" s="167"/>
      <c r="SST98" s="168"/>
      <c r="SSU98" s="167"/>
      <c r="SSV98" s="168"/>
      <c r="SSW98" s="167"/>
      <c r="SSX98" s="168"/>
      <c r="SSY98" s="167"/>
      <c r="SSZ98" s="168"/>
      <c r="STA98" s="167"/>
      <c r="STB98" s="168"/>
      <c r="STC98" s="167"/>
      <c r="STD98" s="168"/>
      <c r="STE98" s="167"/>
      <c r="STF98" s="168"/>
      <c r="STG98" s="167"/>
      <c r="STH98" s="168"/>
      <c r="STI98" s="167"/>
      <c r="STJ98" s="168"/>
      <c r="STK98" s="167"/>
      <c r="STL98" s="168"/>
      <c r="STM98" s="167"/>
      <c r="STN98" s="168"/>
      <c r="STO98" s="167"/>
      <c r="STP98" s="168"/>
      <c r="STQ98" s="167"/>
      <c r="STR98" s="168"/>
      <c r="STS98" s="167"/>
      <c r="STT98" s="168"/>
      <c r="STU98" s="167"/>
      <c r="STV98" s="168"/>
      <c r="STW98" s="167"/>
      <c r="STX98" s="168"/>
      <c r="STY98" s="167"/>
      <c r="STZ98" s="168"/>
      <c r="SUA98" s="167"/>
      <c r="SUB98" s="168"/>
      <c r="SUC98" s="167"/>
      <c r="SUD98" s="168"/>
      <c r="SUE98" s="167"/>
      <c r="SUF98" s="168"/>
      <c r="SUG98" s="167"/>
      <c r="SUH98" s="168"/>
      <c r="SUI98" s="167"/>
      <c r="SUJ98" s="168"/>
      <c r="SUK98" s="167"/>
      <c r="SUL98" s="168"/>
      <c r="SUM98" s="167"/>
      <c r="SUN98" s="168"/>
      <c r="SUO98" s="167"/>
      <c r="SUP98" s="168"/>
      <c r="SUQ98" s="167"/>
      <c r="SUR98" s="168"/>
      <c r="SUS98" s="167"/>
      <c r="SUT98" s="168"/>
      <c r="SUU98" s="167"/>
      <c r="SUV98" s="168"/>
      <c r="SUW98" s="167"/>
      <c r="SUX98" s="168"/>
      <c r="SUY98" s="167"/>
      <c r="SUZ98" s="168"/>
      <c r="SVA98" s="167"/>
      <c r="SVB98" s="168"/>
      <c r="SVC98" s="167"/>
      <c r="SVD98" s="168"/>
      <c r="SVE98" s="167"/>
      <c r="SVF98" s="168"/>
      <c r="SVG98" s="167"/>
      <c r="SVH98" s="168"/>
      <c r="SVI98" s="167"/>
      <c r="SVJ98" s="168"/>
      <c r="SVK98" s="167"/>
      <c r="SVL98" s="168"/>
      <c r="SVM98" s="167"/>
      <c r="SVN98" s="168"/>
      <c r="SVO98" s="167"/>
      <c r="SVP98" s="168"/>
      <c r="SVQ98" s="167"/>
      <c r="SVR98" s="168"/>
      <c r="SVS98" s="167"/>
      <c r="SVT98" s="168"/>
      <c r="SVU98" s="167"/>
      <c r="SVV98" s="168"/>
      <c r="SVW98" s="167"/>
      <c r="SVX98" s="168"/>
      <c r="SVY98" s="167"/>
      <c r="SVZ98" s="168"/>
      <c r="SWA98" s="167"/>
      <c r="SWB98" s="168"/>
      <c r="SWC98" s="167"/>
      <c r="SWD98" s="168"/>
      <c r="SWE98" s="167"/>
      <c r="SWF98" s="168"/>
      <c r="SWG98" s="167"/>
      <c r="SWH98" s="168"/>
      <c r="SWI98" s="167"/>
      <c r="SWJ98" s="168"/>
      <c r="SWK98" s="167"/>
      <c r="SWL98" s="168"/>
      <c r="SWM98" s="167"/>
      <c r="SWN98" s="168"/>
      <c r="SWO98" s="167"/>
      <c r="SWP98" s="168"/>
      <c r="SWQ98" s="167"/>
      <c r="SWR98" s="168"/>
      <c r="SWS98" s="167"/>
      <c r="SWT98" s="168"/>
      <c r="SWU98" s="167"/>
      <c r="SWV98" s="168"/>
      <c r="SWW98" s="167"/>
      <c r="SWX98" s="168"/>
      <c r="SWY98" s="167"/>
      <c r="SWZ98" s="168"/>
      <c r="SXA98" s="167"/>
      <c r="SXB98" s="168"/>
      <c r="SXC98" s="167"/>
      <c r="SXD98" s="168"/>
      <c r="SXE98" s="167"/>
      <c r="SXF98" s="168"/>
      <c r="SXG98" s="167"/>
      <c r="SXH98" s="168"/>
      <c r="SXI98" s="167"/>
      <c r="SXJ98" s="168"/>
      <c r="SXK98" s="167"/>
      <c r="SXL98" s="168"/>
      <c r="SXM98" s="167"/>
      <c r="SXN98" s="168"/>
      <c r="SXO98" s="167"/>
      <c r="SXP98" s="168"/>
      <c r="SXQ98" s="167"/>
      <c r="SXR98" s="168"/>
      <c r="SXS98" s="167"/>
      <c r="SXT98" s="168"/>
      <c r="SXU98" s="167"/>
      <c r="SXV98" s="168"/>
      <c r="SXW98" s="167"/>
      <c r="SXX98" s="168"/>
      <c r="SXY98" s="167"/>
      <c r="SXZ98" s="168"/>
      <c r="SYA98" s="167"/>
      <c r="SYB98" s="168"/>
      <c r="SYC98" s="167"/>
      <c r="SYD98" s="168"/>
      <c r="SYE98" s="167"/>
      <c r="SYF98" s="168"/>
      <c r="SYG98" s="167"/>
      <c r="SYH98" s="168"/>
      <c r="SYI98" s="167"/>
      <c r="SYJ98" s="168"/>
      <c r="SYK98" s="167"/>
      <c r="SYL98" s="168"/>
      <c r="SYM98" s="167"/>
      <c r="SYN98" s="168"/>
      <c r="SYO98" s="167"/>
      <c r="SYP98" s="168"/>
      <c r="SYQ98" s="167"/>
      <c r="SYR98" s="168"/>
      <c r="SYS98" s="167"/>
      <c r="SYT98" s="168"/>
      <c r="SYU98" s="167"/>
      <c r="SYV98" s="168"/>
      <c r="SYW98" s="167"/>
      <c r="SYX98" s="168"/>
      <c r="SYY98" s="167"/>
      <c r="SYZ98" s="168"/>
      <c r="SZA98" s="167"/>
      <c r="SZB98" s="168"/>
      <c r="SZC98" s="167"/>
      <c r="SZD98" s="168"/>
      <c r="SZE98" s="167"/>
      <c r="SZF98" s="168"/>
      <c r="SZG98" s="167"/>
      <c r="SZH98" s="168"/>
      <c r="SZI98" s="167"/>
      <c r="SZJ98" s="168"/>
      <c r="SZK98" s="167"/>
      <c r="SZL98" s="168"/>
      <c r="SZM98" s="167"/>
      <c r="SZN98" s="168"/>
      <c r="SZO98" s="167"/>
      <c r="SZP98" s="168"/>
      <c r="SZQ98" s="167"/>
      <c r="SZR98" s="168"/>
      <c r="SZS98" s="167"/>
      <c r="SZT98" s="168"/>
      <c r="SZU98" s="167"/>
      <c r="SZV98" s="168"/>
      <c r="SZW98" s="167"/>
      <c r="SZX98" s="168"/>
      <c r="SZY98" s="167"/>
      <c r="SZZ98" s="168"/>
      <c r="TAA98" s="167"/>
      <c r="TAB98" s="168"/>
      <c r="TAC98" s="167"/>
      <c r="TAD98" s="168"/>
      <c r="TAE98" s="167"/>
      <c r="TAF98" s="168"/>
      <c r="TAG98" s="167"/>
      <c r="TAH98" s="168"/>
      <c r="TAI98" s="167"/>
      <c r="TAJ98" s="168"/>
      <c r="TAK98" s="167"/>
      <c r="TAL98" s="168"/>
      <c r="TAM98" s="167"/>
      <c r="TAN98" s="168"/>
      <c r="TAO98" s="167"/>
      <c r="TAP98" s="168"/>
      <c r="TAQ98" s="167"/>
      <c r="TAR98" s="168"/>
      <c r="TAS98" s="167"/>
      <c r="TAT98" s="168"/>
      <c r="TAU98" s="167"/>
      <c r="TAV98" s="168"/>
      <c r="TAW98" s="167"/>
      <c r="TAX98" s="168"/>
      <c r="TAY98" s="167"/>
      <c r="TAZ98" s="168"/>
      <c r="TBA98" s="167"/>
      <c r="TBB98" s="168"/>
      <c r="TBC98" s="167"/>
      <c r="TBD98" s="168"/>
      <c r="TBE98" s="167"/>
      <c r="TBF98" s="168"/>
      <c r="TBG98" s="167"/>
      <c r="TBH98" s="168"/>
      <c r="TBI98" s="167"/>
      <c r="TBJ98" s="168"/>
      <c r="TBK98" s="167"/>
      <c r="TBL98" s="168"/>
      <c r="TBM98" s="167"/>
      <c r="TBN98" s="168"/>
      <c r="TBO98" s="167"/>
      <c r="TBP98" s="168"/>
      <c r="TBQ98" s="167"/>
      <c r="TBR98" s="168"/>
      <c r="TBS98" s="167"/>
      <c r="TBT98" s="168"/>
      <c r="TBU98" s="167"/>
      <c r="TBV98" s="168"/>
      <c r="TBW98" s="167"/>
      <c r="TBX98" s="168"/>
      <c r="TBY98" s="167"/>
      <c r="TBZ98" s="168"/>
      <c r="TCA98" s="167"/>
      <c r="TCB98" s="168"/>
      <c r="TCC98" s="167"/>
      <c r="TCD98" s="168"/>
      <c r="TCE98" s="167"/>
      <c r="TCF98" s="168"/>
      <c r="TCG98" s="167"/>
      <c r="TCH98" s="168"/>
      <c r="TCI98" s="167"/>
      <c r="TCJ98" s="168"/>
      <c r="TCK98" s="167"/>
      <c r="TCL98" s="168"/>
      <c r="TCM98" s="167"/>
      <c r="TCN98" s="168"/>
      <c r="TCO98" s="167"/>
      <c r="TCP98" s="168"/>
      <c r="TCQ98" s="167"/>
      <c r="TCR98" s="168"/>
      <c r="TCS98" s="167"/>
      <c r="TCT98" s="168"/>
      <c r="TCU98" s="167"/>
      <c r="TCV98" s="168"/>
      <c r="TCW98" s="167"/>
      <c r="TCX98" s="168"/>
      <c r="TCY98" s="167"/>
      <c r="TCZ98" s="168"/>
      <c r="TDA98" s="167"/>
      <c r="TDB98" s="168"/>
      <c r="TDC98" s="167"/>
      <c r="TDD98" s="168"/>
      <c r="TDE98" s="167"/>
      <c r="TDF98" s="168"/>
      <c r="TDG98" s="167"/>
      <c r="TDH98" s="168"/>
      <c r="TDI98" s="167"/>
      <c r="TDJ98" s="168"/>
      <c r="TDK98" s="167"/>
      <c r="TDL98" s="168"/>
      <c r="TDM98" s="167"/>
      <c r="TDN98" s="168"/>
      <c r="TDO98" s="167"/>
      <c r="TDP98" s="168"/>
      <c r="TDQ98" s="167"/>
      <c r="TDR98" s="168"/>
      <c r="TDS98" s="167"/>
      <c r="TDT98" s="168"/>
      <c r="TDU98" s="167"/>
      <c r="TDV98" s="168"/>
      <c r="TDW98" s="167"/>
      <c r="TDX98" s="168"/>
      <c r="TDY98" s="167"/>
      <c r="TDZ98" s="168"/>
      <c r="TEA98" s="167"/>
      <c r="TEB98" s="168"/>
      <c r="TEC98" s="167"/>
      <c r="TED98" s="168"/>
      <c r="TEE98" s="167"/>
      <c r="TEF98" s="168"/>
      <c r="TEG98" s="167"/>
      <c r="TEH98" s="168"/>
      <c r="TEI98" s="167"/>
      <c r="TEJ98" s="168"/>
      <c r="TEK98" s="167"/>
      <c r="TEL98" s="168"/>
      <c r="TEM98" s="167"/>
      <c r="TEN98" s="168"/>
      <c r="TEO98" s="167"/>
      <c r="TEP98" s="168"/>
      <c r="TEQ98" s="167"/>
      <c r="TER98" s="168"/>
      <c r="TES98" s="167"/>
      <c r="TET98" s="168"/>
      <c r="TEU98" s="167"/>
      <c r="TEV98" s="168"/>
      <c r="TEW98" s="167"/>
      <c r="TEX98" s="168"/>
      <c r="TEY98" s="167"/>
      <c r="TEZ98" s="168"/>
      <c r="TFA98" s="167"/>
      <c r="TFB98" s="168"/>
      <c r="TFC98" s="167"/>
      <c r="TFD98" s="168"/>
      <c r="TFE98" s="167"/>
      <c r="TFF98" s="168"/>
      <c r="TFG98" s="167"/>
      <c r="TFH98" s="168"/>
      <c r="TFI98" s="167"/>
      <c r="TFJ98" s="168"/>
      <c r="TFK98" s="167"/>
      <c r="TFL98" s="168"/>
      <c r="TFM98" s="167"/>
      <c r="TFN98" s="168"/>
      <c r="TFO98" s="167"/>
      <c r="TFP98" s="168"/>
      <c r="TFQ98" s="167"/>
      <c r="TFR98" s="168"/>
      <c r="TFS98" s="167"/>
      <c r="TFT98" s="168"/>
      <c r="TFU98" s="167"/>
      <c r="TFV98" s="168"/>
      <c r="TFW98" s="167"/>
      <c r="TFX98" s="168"/>
      <c r="TFY98" s="167"/>
      <c r="TFZ98" s="168"/>
      <c r="TGA98" s="167"/>
      <c r="TGB98" s="168"/>
      <c r="TGC98" s="167"/>
      <c r="TGD98" s="168"/>
      <c r="TGE98" s="167"/>
      <c r="TGF98" s="168"/>
      <c r="TGG98" s="167"/>
      <c r="TGH98" s="168"/>
      <c r="TGI98" s="167"/>
      <c r="TGJ98" s="168"/>
      <c r="TGK98" s="167"/>
      <c r="TGL98" s="168"/>
      <c r="TGM98" s="167"/>
      <c r="TGN98" s="168"/>
      <c r="TGO98" s="167"/>
      <c r="TGP98" s="168"/>
      <c r="TGQ98" s="167"/>
      <c r="TGR98" s="168"/>
      <c r="TGS98" s="167"/>
      <c r="TGT98" s="168"/>
      <c r="TGU98" s="167"/>
      <c r="TGV98" s="168"/>
      <c r="TGW98" s="167"/>
      <c r="TGX98" s="168"/>
      <c r="TGY98" s="167"/>
      <c r="TGZ98" s="168"/>
      <c r="THA98" s="167"/>
      <c r="THB98" s="168"/>
      <c r="THC98" s="167"/>
      <c r="THD98" s="168"/>
      <c r="THE98" s="167"/>
      <c r="THF98" s="168"/>
      <c r="THG98" s="167"/>
      <c r="THH98" s="168"/>
      <c r="THI98" s="167"/>
      <c r="THJ98" s="168"/>
      <c r="THK98" s="167"/>
      <c r="THL98" s="168"/>
      <c r="THM98" s="167"/>
      <c r="THN98" s="168"/>
      <c r="THO98" s="167"/>
      <c r="THP98" s="168"/>
      <c r="THQ98" s="167"/>
      <c r="THR98" s="168"/>
      <c r="THS98" s="167"/>
      <c r="THT98" s="168"/>
      <c r="THU98" s="167"/>
      <c r="THV98" s="168"/>
      <c r="THW98" s="167"/>
      <c r="THX98" s="168"/>
      <c r="THY98" s="167"/>
      <c r="THZ98" s="168"/>
      <c r="TIA98" s="167"/>
      <c r="TIB98" s="168"/>
      <c r="TIC98" s="167"/>
      <c r="TID98" s="168"/>
      <c r="TIE98" s="167"/>
      <c r="TIF98" s="168"/>
      <c r="TIG98" s="167"/>
      <c r="TIH98" s="168"/>
      <c r="TII98" s="167"/>
      <c r="TIJ98" s="168"/>
      <c r="TIK98" s="167"/>
      <c r="TIL98" s="168"/>
      <c r="TIM98" s="167"/>
      <c r="TIN98" s="168"/>
      <c r="TIO98" s="167"/>
      <c r="TIP98" s="168"/>
      <c r="TIQ98" s="167"/>
      <c r="TIR98" s="168"/>
      <c r="TIS98" s="167"/>
      <c r="TIT98" s="168"/>
      <c r="TIU98" s="167"/>
      <c r="TIV98" s="168"/>
      <c r="TIW98" s="167"/>
      <c r="TIX98" s="168"/>
      <c r="TIY98" s="167"/>
      <c r="TIZ98" s="168"/>
      <c r="TJA98" s="167"/>
      <c r="TJB98" s="168"/>
      <c r="TJC98" s="167"/>
      <c r="TJD98" s="168"/>
      <c r="TJE98" s="167"/>
      <c r="TJF98" s="168"/>
      <c r="TJG98" s="167"/>
      <c r="TJH98" s="168"/>
      <c r="TJI98" s="167"/>
      <c r="TJJ98" s="168"/>
      <c r="TJK98" s="167"/>
      <c r="TJL98" s="168"/>
      <c r="TJM98" s="167"/>
      <c r="TJN98" s="168"/>
      <c r="TJO98" s="167"/>
      <c r="TJP98" s="168"/>
      <c r="TJQ98" s="167"/>
      <c r="TJR98" s="168"/>
      <c r="TJS98" s="167"/>
      <c r="TJT98" s="168"/>
      <c r="TJU98" s="167"/>
      <c r="TJV98" s="168"/>
      <c r="TJW98" s="167"/>
      <c r="TJX98" s="168"/>
      <c r="TJY98" s="167"/>
      <c r="TJZ98" s="168"/>
      <c r="TKA98" s="167"/>
      <c r="TKB98" s="168"/>
      <c r="TKC98" s="167"/>
      <c r="TKD98" s="168"/>
      <c r="TKE98" s="167"/>
      <c r="TKF98" s="168"/>
      <c r="TKG98" s="167"/>
      <c r="TKH98" s="168"/>
      <c r="TKI98" s="167"/>
      <c r="TKJ98" s="168"/>
      <c r="TKK98" s="167"/>
      <c r="TKL98" s="168"/>
      <c r="TKM98" s="167"/>
      <c r="TKN98" s="168"/>
      <c r="TKO98" s="167"/>
      <c r="TKP98" s="168"/>
      <c r="TKQ98" s="167"/>
      <c r="TKR98" s="168"/>
      <c r="TKS98" s="167"/>
      <c r="TKT98" s="168"/>
      <c r="TKU98" s="167"/>
      <c r="TKV98" s="168"/>
      <c r="TKW98" s="167"/>
      <c r="TKX98" s="168"/>
      <c r="TKY98" s="167"/>
      <c r="TKZ98" s="168"/>
      <c r="TLA98" s="167"/>
      <c r="TLB98" s="168"/>
      <c r="TLC98" s="167"/>
      <c r="TLD98" s="168"/>
      <c r="TLE98" s="167"/>
      <c r="TLF98" s="168"/>
      <c r="TLG98" s="167"/>
      <c r="TLH98" s="168"/>
      <c r="TLI98" s="167"/>
      <c r="TLJ98" s="168"/>
      <c r="TLK98" s="167"/>
      <c r="TLL98" s="168"/>
      <c r="TLM98" s="167"/>
      <c r="TLN98" s="168"/>
      <c r="TLO98" s="167"/>
      <c r="TLP98" s="168"/>
      <c r="TLQ98" s="167"/>
      <c r="TLR98" s="168"/>
      <c r="TLS98" s="167"/>
      <c r="TLT98" s="168"/>
      <c r="TLU98" s="167"/>
      <c r="TLV98" s="168"/>
      <c r="TLW98" s="167"/>
      <c r="TLX98" s="168"/>
      <c r="TLY98" s="167"/>
      <c r="TLZ98" s="168"/>
      <c r="TMA98" s="167"/>
      <c r="TMB98" s="168"/>
      <c r="TMC98" s="167"/>
      <c r="TMD98" s="168"/>
      <c r="TME98" s="167"/>
      <c r="TMF98" s="168"/>
      <c r="TMG98" s="167"/>
      <c r="TMH98" s="168"/>
      <c r="TMI98" s="167"/>
      <c r="TMJ98" s="168"/>
      <c r="TMK98" s="167"/>
      <c r="TML98" s="168"/>
      <c r="TMM98" s="167"/>
      <c r="TMN98" s="168"/>
      <c r="TMO98" s="167"/>
      <c r="TMP98" s="168"/>
      <c r="TMQ98" s="167"/>
      <c r="TMR98" s="168"/>
      <c r="TMS98" s="167"/>
      <c r="TMT98" s="168"/>
      <c r="TMU98" s="167"/>
      <c r="TMV98" s="168"/>
      <c r="TMW98" s="167"/>
      <c r="TMX98" s="168"/>
      <c r="TMY98" s="167"/>
      <c r="TMZ98" s="168"/>
      <c r="TNA98" s="167"/>
      <c r="TNB98" s="168"/>
      <c r="TNC98" s="167"/>
      <c r="TND98" s="168"/>
      <c r="TNE98" s="167"/>
      <c r="TNF98" s="168"/>
      <c r="TNG98" s="167"/>
      <c r="TNH98" s="168"/>
      <c r="TNI98" s="167"/>
      <c r="TNJ98" s="168"/>
      <c r="TNK98" s="167"/>
      <c r="TNL98" s="168"/>
      <c r="TNM98" s="167"/>
      <c r="TNN98" s="168"/>
      <c r="TNO98" s="167"/>
      <c r="TNP98" s="168"/>
      <c r="TNQ98" s="167"/>
      <c r="TNR98" s="168"/>
      <c r="TNS98" s="167"/>
      <c r="TNT98" s="168"/>
      <c r="TNU98" s="167"/>
      <c r="TNV98" s="168"/>
      <c r="TNW98" s="167"/>
      <c r="TNX98" s="168"/>
      <c r="TNY98" s="167"/>
      <c r="TNZ98" s="168"/>
      <c r="TOA98" s="167"/>
      <c r="TOB98" s="168"/>
      <c r="TOC98" s="167"/>
      <c r="TOD98" s="168"/>
      <c r="TOE98" s="167"/>
      <c r="TOF98" s="168"/>
      <c r="TOG98" s="167"/>
      <c r="TOH98" s="168"/>
      <c r="TOI98" s="167"/>
      <c r="TOJ98" s="168"/>
      <c r="TOK98" s="167"/>
      <c r="TOL98" s="168"/>
      <c r="TOM98" s="167"/>
      <c r="TON98" s="168"/>
      <c r="TOO98" s="167"/>
      <c r="TOP98" s="168"/>
      <c r="TOQ98" s="167"/>
      <c r="TOR98" s="168"/>
      <c r="TOS98" s="167"/>
      <c r="TOT98" s="168"/>
      <c r="TOU98" s="167"/>
      <c r="TOV98" s="168"/>
      <c r="TOW98" s="167"/>
      <c r="TOX98" s="168"/>
      <c r="TOY98" s="167"/>
      <c r="TOZ98" s="168"/>
      <c r="TPA98" s="167"/>
      <c r="TPB98" s="168"/>
      <c r="TPC98" s="167"/>
      <c r="TPD98" s="168"/>
      <c r="TPE98" s="167"/>
      <c r="TPF98" s="168"/>
      <c r="TPG98" s="167"/>
      <c r="TPH98" s="168"/>
      <c r="TPI98" s="167"/>
      <c r="TPJ98" s="168"/>
      <c r="TPK98" s="167"/>
      <c r="TPL98" s="168"/>
      <c r="TPM98" s="167"/>
      <c r="TPN98" s="168"/>
      <c r="TPO98" s="167"/>
      <c r="TPP98" s="168"/>
      <c r="TPQ98" s="167"/>
      <c r="TPR98" s="168"/>
      <c r="TPS98" s="167"/>
      <c r="TPT98" s="168"/>
      <c r="TPU98" s="167"/>
      <c r="TPV98" s="168"/>
      <c r="TPW98" s="167"/>
      <c r="TPX98" s="168"/>
      <c r="TPY98" s="167"/>
      <c r="TPZ98" s="168"/>
      <c r="TQA98" s="167"/>
      <c r="TQB98" s="168"/>
      <c r="TQC98" s="167"/>
      <c r="TQD98" s="168"/>
      <c r="TQE98" s="167"/>
      <c r="TQF98" s="168"/>
      <c r="TQG98" s="167"/>
      <c r="TQH98" s="168"/>
      <c r="TQI98" s="167"/>
      <c r="TQJ98" s="168"/>
      <c r="TQK98" s="167"/>
      <c r="TQL98" s="168"/>
      <c r="TQM98" s="167"/>
      <c r="TQN98" s="168"/>
      <c r="TQO98" s="167"/>
      <c r="TQP98" s="168"/>
      <c r="TQQ98" s="167"/>
      <c r="TQR98" s="168"/>
      <c r="TQS98" s="167"/>
      <c r="TQT98" s="168"/>
      <c r="TQU98" s="167"/>
      <c r="TQV98" s="168"/>
      <c r="TQW98" s="167"/>
      <c r="TQX98" s="168"/>
      <c r="TQY98" s="167"/>
      <c r="TQZ98" s="168"/>
      <c r="TRA98" s="167"/>
      <c r="TRB98" s="168"/>
      <c r="TRC98" s="167"/>
      <c r="TRD98" s="168"/>
      <c r="TRE98" s="167"/>
      <c r="TRF98" s="168"/>
      <c r="TRG98" s="167"/>
      <c r="TRH98" s="168"/>
      <c r="TRI98" s="167"/>
      <c r="TRJ98" s="168"/>
      <c r="TRK98" s="167"/>
      <c r="TRL98" s="168"/>
      <c r="TRM98" s="167"/>
      <c r="TRN98" s="168"/>
      <c r="TRO98" s="167"/>
      <c r="TRP98" s="168"/>
      <c r="TRQ98" s="167"/>
      <c r="TRR98" s="168"/>
      <c r="TRS98" s="167"/>
      <c r="TRT98" s="168"/>
      <c r="TRU98" s="167"/>
      <c r="TRV98" s="168"/>
      <c r="TRW98" s="167"/>
      <c r="TRX98" s="168"/>
      <c r="TRY98" s="167"/>
      <c r="TRZ98" s="168"/>
      <c r="TSA98" s="167"/>
      <c r="TSB98" s="168"/>
      <c r="TSC98" s="167"/>
      <c r="TSD98" s="168"/>
      <c r="TSE98" s="167"/>
      <c r="TSF98" s="168"/>
      <c r="TSG98" s="167"/>
      <c r="TSH98" s="168"/>
      <c r="TSI98" s="167"/>
      <c r="TSJ98" s="168"/>
      <c r="TSK98" s="167"/>
      <c r="TSL98" s="168"/>
      <c r="TSM98" s="167"/>
      <c r="TSN98" s="168"/>
      <c r="TSO98" s="167"/>
      <c r="TSP98" s="168"/>
      <c r="TSQ98" s="167"/>
      <c r="TSR98" s="168"/>
      <c r="TSS98" s="167"/>
      <c r="TST98" s="168"/>
      <c r="TSU98" s="167"/>
      <c r="TSV98" s="168"/>
      <c r="TSW98" s="167"/>
      <c r="TSX98" s="168"/>
      <c r="TSY98" s="167"/>
      <c r="TSZ98" s="168"/>
      <c r="TTA98" s="167"/>
      <c r="TTB98" s="168"/>
      <c r="TTC98" s="167"/>
      <c r="TTD98" s="168"/>
      <c r="TTE98" s="167"/>
      <c r="TTF98" s="168"/>
      <c r="TTG98" s="167"/>
      <c r="TTH98" s="168"/>
      <c r="TTI98" s="167"/>
      <c r="TTJ98" s="168"/>
      <c r="TTK98" s="167"/>
      <c r="TTL98" s="168"/>
      <c r="TTM98" s="167"/>
      <c r="TTN98" s="168"/>
      <c r="TTO98" s="167"/>
      <c r="TTP98" s="168"/>
      <c r="TTQ98" s="167"/>
      <c r="TTR98" s="168"/>
      <c r="TTS98" s="167"/>
      <c r="TTT98" s="168"/>
      <c r="TTU98" s="167"/>
      <c r="TTV98" s="168"/>
      <c r="TTW98" s="167"/>
      <c r="TTX98" s="168"/>
      <c r="TTY98" s="167"/>
      <c r="TTZ98" s="168"/>
      <c r="TUA98" s="167"/>
      <c r="TUB98" s="168"/>
      <c r="TUC98" s="167"/>
      <c r="TUD98" s="168"/>
      <c r="TUE98" s="167"/>
      <c r="TUF98" s="168"/>
      <c r="TUG98" s="167"/>
      <c r="TUH98" s="168"/>
      <c r="TUI98" s="167"/>
      <c r="TUJ98" s="168"/>
      <c r="TUK98" s="167"/>
      <c r="TUL98" s="168"/>
      <c r="TUM98" s="167"/>
      <c r="TUN98" s="168"/>
      <c r="TUO98" s="167"/>
      <c r="TUP98" s="168"/>
      <c r="TUQ98" s="167"/>
      <c r="TUR98" s="168"/>
      <c r="TUS98" s="167"/>
      <c r="TUT98" s="168"/>
      <c r="TUU98" s="167"/>
      <c r="TUV98" s="168"/>
      <c r="TUW98" s="167"/>
      <c r="TUX98" s="168"/>
      <c r="TUY98" s="167"/>
      <c r="TUZ98" s="168"/>
      <c r="TVA98" s="167"/>
      <c r="TVB98" s="168"/>
      <c r="TVC98" s="167"/>
      <c r="TVD98" s="168"/>
      <c r="TVE98" s="167"/>
      <c r="TVF98" s="168"/>
      <c r="TVG98" s="167"/>
      <c r="TVH98" s="168"/>
      <c r="TVI98" s="167"/>
      <c r="TVJ98" s="168"/>
      <c r="TVK98" s="167"/>
      <c r="TVL98" s="168"/>
      <c r="TVM98" s="167"/>
      <c r="TVN98" s="168"/>
      <c r="TVO98" s="167"/>
      <c r="TVP98" s="168"/>
      <c r="TVQ98" s="167"/>
      <c r="TVR98" s="168"/>
      <c r="TVS98" s="167"/>
      <c r="TVT98" s="168"/>
      <c r="TVU98" s="167"/>
      <c r="TVV98" s="168"/>
      <c r="TVW98" s="167"/>
      <c r="TVX98" s="168"/>
      <c r="TVY98" s="167"/>
      <c r="TVZ98" s="168"/>
      <c r="TWA98" s="167"/>
      <c r="TWB98" s="168"/>
      <c r="TWC98" s="167"/>
      <c r="TWD98" s="168"/>
      <c r="TWE98" s="167"/>
      <c r="TWF98" s="168"/>
      <c r="TWG98" s="167"/>
      <c r="TWH98" s="168"/>
      <c r="TWI98" s="167"/>
      <c r="TWJ98" s="168"/>
      <c r="TWK98" s="167"/>
      <c r="TWL98" s="168"/>
      <c r="TWM98" s="167"/>
      <c r="TWN98" s="168"/>
      <c r="TWO98" s="167"/>
      <c r="TWP98" s="168"/>
      <c r="TWQ98" s="167"/>
      <c r="TWR98" s="168"/>
      <c r="TWS98" s="167"/>
      <c r="TWT98" s="168"/>
      <c r="TWU98" s="167"/>
      <c r="TWV98" s="168"/>
      <c r="TWW98" s="167"/>
      <c r="TWX98" s="168"/>
      <c r="TWY98" s="167"/>
      <c r="TWZ98" s="168"/>
      <c r="TXA98" s="167"/>
      <c r="TXB98" s="168"/>
      <c r="TXC98" s="167"/>
      <c r="TXD98" s="168"/>
      <c r="TXE98" s="167"/>
      <c r="TXF98" s="168"/>
      <c r="TXG98" s="167"/>
      <c r="TXH98" s="168"/>
      <c r="TXI98" s="167"/>
      <c r="TXJ98" s="168"/>
      <c r="TXK98" s="167"/>
      <c r="TXL98" s="168"/>
      <c r="TXM98" s="167"/>
      <c r="TXN98" s="168"/>
      <c r="TXO98" s="167"/>
      <c r="TXP98" s="168"/>
      <c r="TXQ98" s="167"/>
      <c r="TXR98" s="168"/>
      <c r="TXS98" s="167"/>
      <c r="TXT98" s="168"/>
      <c r="TXU98" s="167"/>
      <c r="TXV98" s="168"/>
      <c r="TXW98" s="167"/>
      <c r="TXX98" s="168"/>
      <c r="TXY98" s="167"/>
      <c r="TXZ98" s="168"/>
      <c r="TYA98" s="167"/>
      <c r="TYB98" s="168"/>
      <c r="TYC98" s="167"/>
      <c r="TYD98" s="168"/>
      <c r="TYE98" s="167"/>
      <c r="TYF98" s="168"/>
      <c r="TYG98" s="167"/>
      <c r="TYH98" s="168"/>
      <c r="TYI98" s="167"/>
      <c r="TYJ98" s="168"/>
      <c r="TYK98" s="167"/>
      <c r="TYL98" s="168"/>
      <c r="TYM98" s="167"/>
      <c r="TYN98" s="168"/>
      <c r="TYO98" s="167"/>
      <c r="TYP98" s="168"/>
      <c r="TYQ98" s="167"/>
      <c r="TYR98" s="168"/>
      <c r="TYS98" s="167"/>
      <c r="TYT98" s="168"/>
      <c r="TYU98" s="167"/>
      <c r="TYV98" s="168"/>
      <c r="TYW98" s="167"/>
      <c r="TYX98" s="168"/>
      <c r="TYY98" s="167"/>
      <c r="TYZ98" s="168"/>
      <c r="TZA98" s="167"/>
      <c r="TZB98" s="168"/>
      <c r="TZC98" s="167"/>
      <c r="TZD98" s="168"/>
      <c r="TZE98" s="167"/>
      <c r="TZF98" s="168"/>
      <c r="TZG98" s="167"/>
      <c r="TZH98" s="168"/>
      <c r="TZI98" s="167"/>
      <c r="TZJ98" s="168"/>
      <c r="TZK98" s="167"/>
      <c r="TZL98" s="168"/>
      <c r="TZM98" s="167"/>
      <c r="TZN98" s="168"/>
      <c r="TZO98" s="167"/>
      <c r="TZP98" s="168"/>
      <c r="TZQ98" s="167"/>
      <c r="TZR98" s="168"/>
      <c r="TZS98" s="167"/>
      <c r="TZT98" s="168"/>
      <c r="TZU98" s="167"/>
      <c r="TZV98" s="168"/>
      <c r="TZW98" s="167"/>
      <c r="TZX98" s="168"/>
      <c r="TZY98" s="167"/>
      <c r="TZZ98" s="168"/>
      <c r="UAA98" s="167"/>
      <c r="UAB98" s="168"/>
      <c r="UAC98" s="167"/>
      <c r="UAD98" s="168"/>
      <c r="UAE98" s="167"/>
      <c r="UAF98" s="168"/>
      <c r="UAG98" s="167"/>
      <c r="UAH98" s="168"/>
      <c r="UAI98" s="167"/>
      <c r="UAJ98" s="168"/>
      <c r="UAK98" s="167"/>
      <c r="UAL98" s="168"/>
      <c r="UAM98" s="167"/>
      <c r="UAN98" s="168"/>
      <c r="UAO98" s="167"/>
      <c r="UAP98" s="168"/>
      <c r="UAQ98" s="167"/>
      <c r="UAR98" s="168"/>
      <c r="UAS98" s="167"/>
      <c r="UAT98" s="168"/>
      <c r="UAU98" s="167"/>
      <c r="UAV98" s="168"/>
      <c r="UAW98" s="167"/>
      <c r="UAX98" s="168"/>
      <c r="UAY98" s="167"/>
      <c r="UAZ98" s="168"/>
      <c r="UBA98" s="167"/>
      <c r="UBB98" s="168"/>
      <c r="UBC98" s="167"/>
      <c r="UBD98" s="168"/>
      <c r="UBE98" s="167"/>
      <c r="UBF98" s="168"/>
      <c r="UBG98" s="167"/>
      <c r="UBH98" s="168"/>
      <c r="UBI98" s="167"/>
      <c r="UBJ98" s="168"/>
      <c r="UBK98" s="167"/>
      <c r="UBL98" s="168"/>
      <c r="UBM98" s="167"/>
      <c r="UBN98" s="168"/>
      <c r="UBO98" s="167"/>
      <c r="UBP98" s="168"/>
      <c r="UBQ98" s="167"/>
      <c r="UBR98" s="168"/>
      <c r="UBS98" s="167"/>
      <c r="UBT98" s="168"/>
      <c r="UBU98" s="167"/>
      <c r="UBV98" s="168"/>
      <c r="UBW98" s="167"/>
      <c r="UBX98" s="168"/>
      <c r="UBY98" s="167"/>
      <c r="UBZ98" s="168"/>
      <c r="UCA98" s="167"/>
      <c r="UCB98" s="168"/>
      <c r="UCC98" s="167"/>
      <c r="UCD98" s="168"/>
      <c r="UCE98" s="167"/>
      <c r="UCF98" s="168"/>
      <c r="UCG98" s="167"/>
      <c r="UCH98" s="168"/>
      <c r="UCI98" s="167"/>
      <c r="UCJ98" s="168"/>
      <c r="UCK98" s="167"/>
      <c r="UCL98" s="168"/>
      <c r="UCM98" s="167"/>
      <c r="UCN98" s="168"/>
      <c r="UCO98" s="167"/>
      <c r="UCP98" s="168"/>
      <c r="UCQ98" s="167"/>
      <c r="UCR98" s="168"/>
      <c r="UCS98" s="167"/>
      <c r="UCT98" s="168"/>
      <c r="UCU98" s="167"/>
      <c r="UCV98" s="168"/>
      <c r="UCW98" s="167"/>
      <c r="UCX98" s="168"/>
      <c r="UCY98" s="167"/>
      <c r="UCZ98" s="168"/>
      <c r="UDA98" s="167"/>
      <c r="UDB98" s="168"/>
      <c r="UDC98" s="167"/>
      <c r="UDD98" s="168"/>
      <c r="UDE98" s="167"/>
      <c r="UDF98" s="168"/>
      <c r="UDG98" s="167"/>
      <c r="UDH98" s="168"/>
      <c r="UDI98" s="167"/>
      <c r="UDJ98" s="168"/>
      <c r="UDK98" s="167"/>
      <c r="UDL98" s="168"/>
      <c r="UDM98" s="167"/>
      <c r="UDN98" s="168"/>
      <c r="UDO98" s="167"/>
      <c r="UDP98" s="168"/>
      <c r="UDQ98" s="167"/>
      <c r="UDR98" s="168"/>
      <c r="UDS98" s="167"/>
      <c r="UDT98" s="168"/>
      <c r="UDU98" s="167"/>
      <c r="UDV98" s="168"/>
      <c r="UDW98" s="167"/>
      <c r="UDX98" s="168"/>
      <c r="UDY98" s="167"/>
      <c r="UDZ98" s="168"/>
      <c r="UEA98" s="167"/>
      <c r="UEB98" s="168"/>
      <c r="UEC98" s="167"/>
      <c r="UED98" s="168"/>
      <c r="UEE98" s="167"/>
      <c r="UEF98" s="168"/>
      <c r="UEG98" s="167"/>
      <c r="UEH98" s="168"/>
      <c r="UEI98" s="167"/>
      <c r="UEJ98" s="168"/>
      <c r="UEK98" s="167"/>
      <c r="UEL98" s="168"/>
      <c r="UEM98" s="167"/>
      <c r="UEN98" s="168"/>
      <c r="UEO98" s="167"/>
      <c r="UEP98" s="168"/>
      <c r="UEQ98" s="167"/>
      <c r="UER98" s="168"/>
      <c r="UES98" s="167"/>
      <c r="UET98" s="168"/>
      <c r="UEU98" s="167"/>
      <c r="UEV98" s="168"/>
      <c r="UEW98" s="167"/>
      <c r="UEX98" s="168"/>
      <c r="UEY98" s="167"/>
      <c r="UEZ98" s="168"/>
      <c r="UFA98" s="167"/>
      <c r="UFB98" s="168"/>
      <c r="UFC98" s="167"/>
      <c r="UFD98" s="168"/>
      <c r="UFE98" s="167"/>
      <c r="UFF98" s="168"/>
      <c r="UFG98" s="167"/>
      <c r="UFH98" s="168"/>
      <c r="UFI98" s="167"/>
      <c r="UFJ98" s="168"/>
      <c r="UFK98" s="167"/>
      <c r="UFL98" s="168"/>
      <c r="UFM98" s="167"/>
      <c r="UFN98" s="168"/>
      <c r="UFO98" s="167"/>
      <c r="UFP98" s="168"/>
      <c r="UFQ98" s="167"/>
      <c r="UFR98" s="168"/>
      <c r="UFS98" s="167"/>
      <c r="UFT98" s="168"/>
      <c r="UFU98" s="167"/>
      <c r="UFV98" s="168"/>
      <c r="UFW98" s="167"/>
      <c r="UFX98" s="168"/>
      <c r="UFY98" s="167"/>
      <c r="UFZ98" s="168"/>
      <c r="UGA98" s="167"/>
      <c r="UGB98" s="168"/>
      <c r="UGC98" s="167"/>
      <c r="UGD98" s="168"/>
      <c r="UGE98" s="167"/>
      <c r="UGF98" s="168"/>
      <c r="UGG98" s="167"/>
      <c r="UGH98" s="168"/>
      <c r="UGI98" s="167"/>
      <c r="UGJ98" s="168"/>
      <c r="UGK98" s="167"/>
      <c r="UGL98" s="168"/>
      <c r="UGM98" s="167"/>
      <c r="UGN98" s="168"/>
      <c r="UGO98" s="167"/>
      <c r="UGP98" s="168"/>
      <c r="UGQ98" s="167"/>
      <c r="UGR98" s="168"/>
      <c r="UGS98" s="167"/>
      <c r="UGT98" s="168"/>
      <c r="UGU98" s="167"/>
      <c r="UGV98" s="168"/>
      <c r="UGW98" s="167"/>
      <c r="UGX98" s="168"/>
      <c r="UGY98" s="167"/>
      <c r="UGZ98" s="168"/>
      <c r="UHA98" s="167"/>
      <c r="UHB98" s="168"/>
      <c r="UHC98" s="167"/>
      <c r="UHD98" s="168"/>
      <c r="UHE98" s="167"/>
      <c r="UHF98" s="168"/>
      <c r="UHG98" s="167"/>
      <c r="UHH98" s="168"/>
      <c r="UHI98" s="167"/>
      <c r="UHJ98" s="168"/>
      <c r="UHK98" s="167"/>
      <c r="UHL98" s="168"/>
      <c r="UHM98" s="167"/>
      <c r="UHN98" s="168"/>
      <c r="UHO98" s="167"/>
      <c r="UHP98" s="168"/>
      <c r="UHQ98" s="167"/>
      <c r="UHR98" s="168"/>
      <c r="UHS98" s="167"/>
      <c r="UHT98" s="168"/>
      <c r="UHU98" s="167"/>
      <c r="UHV98" s="168"/>
      <c r="UHW98" s="167"/>
      <c r="UHX98" s="168"/>
      <c r="UHY98" s="167"/>
      <c r="UHZ98" s="168"/>
      <c r="UIA98" s="167"/>
      <c r="UIB98" s="168"/>
      <c r="UIC98" s="167"/>
      <c r="UID98" s="168"/>
      <c r="UIE98" s="167"/>
      <c r="UIF98" s="168"/>
      <c r="UIG98" s="167"/>
      <c r="UIH98" s="168"/>
      <c r="UII98" s="167"/>
      <c r="UIJ98" s="168"/>
      <c r="UIK98" s="167"/>
      <c r="UIL98" s="168"/>
      <c r="UIM98" s="167"/>
      <c r="UIN98" s="168"/>
      <c r="UIO98" s="167"/>
      <c r="UIP98" s="168"/>
      <c r="UIQ98" s="167"/>
      <c r="UIR98" s="168"/>
      <c r="UIS98" s="167"/>
      <c r="UIT98" s="168"/>
      <c r="UIU98" s="167"/>
      <c r="UIV98" s="168"/>
      <c r="UIW98" s="167"/>
      <c r="UIX98" s="168"/>
      <c r="UIY98" s="167"/>
      <c r="UIZ98" s="168"/>
      <c r="UJA98" s="167"/>
      <c r="UJB98" s="168"/>
      <c r="UJC98" s="167"/>
      <c r="UJD98" s="168"/>
      <c r="UJE98" s="167"/>
      <c r="UJF98" s="168"/>
      <c r="UJG98" s="167"/>
      <c r="UJH98" s="168"/>
      <c r="UJI98" s="167"/>
      <c r="UJJ98" s="168"/>
      <c r="UJK98" s="167"/>
      <c r="UJL98" s="168"/>
      <c r="UJM98" s="167"/>
      <c r="UJN98" s="168"/>
      <c r="UJO98" s="167"/>
      <c r="UJP98" s="168"/>
      <c r="UJQ98" s="167"/>
      <c r="UJR98" s="168"/>
      <c r="UJS98" s="167"/>
      <c r="UJT98" s="168"/>
      <c r="UJU98" s="167"/>
      <c r="UJV98" s="168"/>
      <c r="UJW98" s="167"/>
      <c r="UJX98" s="168"/>
      <c r="UJY98" s="167"/>
      <c r="UJZ98" s="168"/>
      <c r="UKA98" s="167"/>
      <c r="UKB98" s="168"/>
      <c r="UKC98" s="167"/>
      <c r="UKD98" s="168"/>
      <c r="UKE98" s="167"/>
      <c r="UKF98" s="168"/>
      <c r="UKG98" s="167"/>
      <c r="UKH98" s="168"/>
      <c r="UKI98" s="167"/>
      <c r="UKJ98" s="168"/>
      <c r="UKK98" s="167"/>
      <c r="UKL98" s="168"/>
      <c r="UKM98" s="167"/>
      <c r="UKN98" s="168"/>
      <c r="UKO98" s="167"/>
      <c r="UKP98" s="168"/>
      <c r="UKQ98" s="167"/>
      <c r="UKR98" s="168"/>
      <c r="UKS98" s="167"/>
      <c r="UKT98" s="168"/>
      <c r="UKU98" s="167"/>
      <c r="UKV98" s="168"/>
      <c r="UKW98" s="167"/>
      <c r="UKX98" s="168"/>
      <c r="UKY98" s="167"/>
      <c r="UKZ98" s="168"/>
      <c r="ULA98" s="167"/>
      <c r="ULB98" s="168"/>
      <c r="ULC98" s="167"/>
      <c r="ULD98" s="168"/>
      <c r="ULE98" s="167"/>
      <c r="ULF98" s="168"/>
      <c r="ULG98" s="167"/>
      <c r="ULH98" s="168"/>
      <c r="ULI98" s="167"/>
      <c r="ULJ98" s="168"/>
      <c r="ULK98" s="167"/>
      <c r="ULL98" s="168"/>
      <c r="ULM98" s="167"/>
      <c r="ULN98" s="168"/>
      <c r="ULO98" s="167"/>
      <c r="ULP98" s="168"/>
      <c r="ULQ98" s="167"/>
      <c r="ULR98" s="168"/>
      <c r="ULS98" s="167"/>
      <c r="ULT98" s="168"/>
      <c r="ULU98" s="167"/>
      <c r="ULV98" s="168"/>
      <c r="ULW98" s="167"/>
      <c r="ULX98" s="168"/>
      <c r="ULY98" s="167"/>
      <c r="ULZ98" s="168"/>
      <c r="UMA98" s="167"/>
      <c r="UMB98" s="168"/>
      <c r="UMC98" s="167"/>
      <c r="UMD98" s="168"/>
      <c r="UME98" s="167"/>
      <c r="UMF98" s="168"/>
      <c r="UMG98" s="167"/>
      <c r="UMH98" s="168"/>
      <c r="UMI98" s="167"/>
      <c r="UMJ98" s="168"/>
      <c r="UMK98" s="167"/>
      <c r="UML98" s="168"/>
      <c r="UMM98" s="167"/>
      <c r="UMN98" s="168"/>
      <c r="UMO98" s="167"/>
      <c r="UMP98" s="168"/>
      <c r="UMQ98" s="167"/>
      <c r="UMR98" s="168"/>
      <c r="UMS98" s="167"/>
      <c r="UMT98" s="168"/>
      <c r="UMU98" s="167"/>
      <c r="UMV98" s="168"/>
      <c r="UMW98" s="167"/>
      <c r="UMX98" s="168"/>
      <c r="UMY98" s="167"/>
      <c r="UMZ98" s="168"/>
      <c r="UNA98" s="167"/>
      <c r="UNB98" s="168"/>
      <c r="UNC98" s="167"/>
      <c r="UND98" s="168"/>
      <c r="UNE98" s="167"/>
      <c r="UNF98" s="168"/>
      <c r="UNG98" s="167"/>
      <c r="UNH98" s="168"/>
      <c r="UNI98" s="167"/>
      <c r="UNJ98" s="168"/>
      <c r="UNK98" s="167"/>
      <c r="UNL98" s="168"/>
      <c r="UNM98" s="167"/>
      <c r="UNN98" s="168"/>
      <c r="UNO98" s="167"/>
      <c r="UNP98" s="168"/>
      <c r="UNQ98" s="167"/>
      <c r="UNR98" s="168"/>
      <c r="UNS98" s="167"/>
      <c r="UNT98" s="168"/>
      <c r="UNU98" s="167"/>
      <c r="UNV98" s="168"/>
      <c r="UNW98" s="167"/>
      <c r="UNX98" s="168"/>
      <c r="UNY98" s="167"/>
      <c r="UNZ98" s="168"/>
      <c r="UOA98" s="167"/>
      <c r="UOB98" s="168"/>
      <c r="UOC98" s="167"/>
      <c r="UOD98" s="168"/>
      <c r="UOE98" s="167"/>
      <c r="UOF98" s="168"/>
      <c r="UOG98" s="167"/>
      <c r="UOH98" s="168"/>
      <c r="UOI98" s="167"/>
      <c r="UOJ98" s="168"/>
      <c r="UOK98" s="167"/>
      <c r="UOL98" s="168"/>
      <c r="UOM98" s="167"/>
      <c r="UON98" s="168"/>
      <c r="UOO98" s="167"/>
      <c r="UOP98" s="168"/>
      <c r="UOQ98" s="167"/>
      <c r="UOR98" s="168"/>
      <c r="UOS98" s="167"/>
      <c r="UOT98" s="168"/>
      <c r="UOU98" s="167"/>
      <c r="UOV98" s="168"/>
      <c r="UOW98" s="167"/>
      <c r="UOX98" s="168"/>
      <c r="UOY98" s="167"/>
      <c r="UOZ98" s="168"/>
      <c r="UPA98" s="167"/>
      <c r="UPB98" s="168"/>
      <c r="UPC98" s="167"/>
      <c r="UPD98" s="168"/>
      <c r="UPE98" s="167"/>
      <c r="UPF98" s="168"/>
      <c r="UPG98" s="167"/>
      <c r="UPH98" s="168"/>
      <c r="UPI98" s="167"/>
      <c r="UPJ98" s="168"/>
      <c r="UPK98" s="167"/>
      <c r="UPL98" s="168"/>
      <c r="UPM98" s="167"/>
      <c r="UPN98" s="168"/>
      <c r="UPO98" s="167"/>
      <c r="UPP98" s="168"/>
      <c r="UPQ98" s="167"/>
      <c r="UPR98" s="168"/>
      <c r="UPS98" s="167"/>
      <c r="UPT98" s="168"/>
      <c r="UPU98" s="167"/>
      <c r="UPV98" s="168"/>
      <c r="UPW98" s="167"/>
      <c r="UPX98" s="168"/>
      <c r="UPY98" s="167"/>
      <c r="UPZ98" s="168"/>
      <c r="UQA98" s="167"/>
      <c r="UQB98" s="168"/>
      <c r="UQC98" s="167"/>
      <c r="UQD98" s="168"/>
      <c r="UQE98" s="167"/>
      <c r="UQF98" s="168"/>
      <c r="UQG98" s="167"/>
      <c r="UQH98" s="168"/>
      <c r="UQI98" s="167"/>
      <c r="UQJ98" s="168"/>
      <c r="UQK98" s="167"/>
      <c r="UQL98" s="168"/>
      <c r="UQM98" s="167"/>
      <c r="UQN98" s="168"/>
      <c r="UQO98" s="167"/>
      <c r="UQP98" s="168"/>
      <c r="UQQ98" s="167"/>
      <c r="UQR98" s="168"/>
      <c r="UQS98" s="167"/>
      <c r="UQT98" s="168"/>
      <c r="UQU98" s="167"/>
      <c r="UQV98" s="168"/>
      <c r="UQW98" s="167"/>
      <c r="UQX98" s="168"/>
      <c r="UQY98" s="167"/>
      <c r="UQZ98" s="168"/>
      <c r="URA98" s="167"/>
      <c r="URB98" s="168"/>
      <c r="URC98" s="167"/>
      <c r="URD98" s="168"/>
      <c r="URE98" s="167"/>
      <c r="URF98" s="168"/>
      <c r="URG98" s="167"/>
      <c r="URH98" s="168"/>
      <c r="URI98" s="167"/>
      <c r="URJ98" s="168"/>
      <c r="URK98" s="167"/>
      <c r="URL98" s="168"/>
      <c r="URM98" s="167"/>
      <c r="URN98" s="168"/>
      <c r="URO98" s="167"/>
      <c r="URP98" s="168"/>
      <c r="URQ98" s="167"/>
      <c r="URR98" s="168"/>
      <c r="URS98" s="167"/>
      <c r="URT98" s="168"/>
      <c r="URU98" s="167"/>
      <c r="URV98" s="168"/>
      <c r="URW98" s="167"/>
      <c r="URX98" s="168"/>
      <c r="URY98" s="167"/>
      <c r="URZ98" s="168"/>
      <c r="USA98" s="167"/>
      <c r="USB98" s="168"/>
      <c r="USC98" s="167"/>
      <c r="USD98" s="168"/>
      <c r="USE98" s="167"/>
      <c r="USF98" s="168"/>
      <c r="USG98" s="167"/>
      <c r="USH98" s="168"/>
      <c r="USI98" s="167"/>
      <c r="USJ98" s="168"/>
      <c r="USK98" s="167"/>
      <c r="USL98" s="168"/>
      <c r="USM98" s="167"/>
      <c r="USN98" s="168"/>
      <c r="USO98" s="167"/>
      <c r="USP98" s="168"/>
      <c r="USQ98" s="167"/>
      <c r="USR98" s="168"/>
      <c r="USS98" s="167"/>
      <c r="UST98" s="168"/>
      <c r="USU98" s="167"/>
      <c r="USV98" s="168"/>
      <c r="USW98" s="167"/>
      <c r="USX98" s="168"/>
      <c r="USY98" s="167"/>
      <c r="USZ98" s="168"/>
      <c r="UTA98" s="167"/>
      <c r="UTB98" s="168"/>
      <c r="UTC98" s="167"/>
      <c r="UTD98" s="168"/>
      <c r="UTE98" s="167"/>
      <c r="UTF98" s="168"/>
      <c r="UTG98" s="167"/>
      <c r="UTH98" s="168"/>
      <c r="UTI98" s="167"/>
      <c r="UTJ98" s="168"/>
      <c r="UTK98" s="167"/>
      <c r="UTL98" s="168"/>
      <c r="UTM98" s="167"/>
      <c r="UTN98" s="168"/>
      <c r="UTO98" s="167"/>
      <c r="UTP98" s="168"/>
      <c r="UTQ98" s="167"/>
      <c r="UTR98" s="168"/>
      <c r="UTS98" s="167"/>
      <c r="UTT98" s="168"/>
      <c r="UTU98" s="167"/>
      <c r="UTV98" s="168"/>
      <c r="UTW98" s="167"/>
      <c r="UTX98" s="168"/>
      <c r="UTY98" s="167"/>
      <c r="UTZ98" s="168"/>
      <c r="UUA98" s="167"/>
      <c r="UUB98" s="168"/>
      <c r="UUC98" s="167"/>
      <c r="UUD98" s="168"/>
      <c r="UUE98" s="167"/>
      <c r="UUF98" s="168"/>
      <c r="UUG98" s="167"/>
      <c r="UUH98" s="168"/>
      <c r="UUI98" s="167"/>
      <c r="UUJ98" s="168"/>
      <c r="UUK98" s="167"/>
      <c r="UUL98" s="168"/>
      <c r="UUM98" s="167"/>
      <c r="UUN98" s="168"/>
      <c r="UUO98" s="167"/>
      <c r="UUP98" s="168"/>
      <c r="UUQ98" s="167"/>
      <c r="UUR98" s="168"/>
      <c r="UUS98" s="167"/>
      <c r="UUT98" s="168"/>
      <c r="UUU98" s="167"/>
      <c r="UUV98" s="168"/>
      <c r="UUW98" s="167"/>
      <c r="UUX98" s="168"/>
      <c r="UUY98" s="167"/>
      <c r="UUZ98" s="168"/>
      <c r="UVA98" s="167"/>
      <c r="UVB98" s="168"/>
      <c r="UVC98" s="167"/>
      <c r="UVD98" s="168"/>
      <c r="UVE98" s="167"/>
      <c r="UVF98" s="168"/>
      <c r="UVG98" s="167"/>
      <c r="UVH98" s="168"/>
      <c r="UVI98" s="167"/>
      <c r="UVJ98" s="168"/>
      <c r="UVK98" s="167"/>
      <c r="UVL98" s="168"/>
      <c r="UVM98" s="167"/>
      <c r="UVN98" s="168"/>
      <c r="UVO98" s="167"/>
      <c r="UVP98" s="168"/>
      <c r="UVQ98" s="167"/>
      <c r="UVR98" s="168"/>
      <c r="UVS98" s="167"/>
      <c r="UVT98" s="168"/>
      <c r="UVU98" s="167"/>
      <c r="UVV98" s="168"/>
      <c r="UVW98" s="167"/>
      <c r="UVX98" s="168"/>
      <c r="UVY98" s="167"/>
      <c r="UVZ98" s="168"/>
      <c r="UWA98" s="167"/>
      <c r="UWB98" s="168"/>
      <c r="UWC98" s="167"/>
      <c r="UWD98" s="168"/>
      <c r="UWE98" s="167"/>
      <c r="UWF98" s="168"/>
      <c r="UWG98" s="167"/>
      <c r="UWH98" s="168"/>
      <c r="UWI98" s="167"/>
      <c r="UWJ98" s="168"/>
      <c r="UWK98" s="167"/>
      <c r="UWL98" s="168"/>
      <c r="UWM98" s="167"/>
      <c r="UWN98" s="168"/>
      <c r="UWO98" s="167"/>
      <c r="UWP98" s="168"/>
      <c r="UWQ98" s="167"/>
      <c r="UWR98" s="168"/>
      <c r="UWS98" s="167"/>
      <c r="UWT98" s="168"/>
      <c r="UWU98" s="167"/>
      <c r="UWV98" s="168"/>
      <c r="UWW98" s="167"/>
      <c r="UWX98" s="168"/>
      <c r="UWY98" s="167"/>
      <c r="UWZ98" s="168"/>
      <c r="UXA98" s="167"/>
      <c r="UXB98" s="168"/>
      <c r="UXC98" s="167"/>
      <c r="UXD98" s="168"/>
      <c r="UXE98" s="167"/>
      <c r="UXF98" s="168"/>
      <c r="UXG98" s="167"/>
      <c r="UXH98" s="168"/>
      <c r="UXI98" s="167"/>
      <c r="UXJ98" s="168"/>
      <c r="UXK98" s="167"/>
      <c r="UXL98" s="168"/>
      <c r="UXM98" s="167"/>
      <c r="UXN98" s="168"/>
      <c r="UXO98" s="167"/>
      <c r="UXP98" s="168"/>
      <c r="UXQ98" s="167"/>
      <c r="UXR98" s="168"/>
      <c r="UXS98" s="167"/>
      <c r="UXT98" s="168"/>
      <c r="UXU98" s="167"/>
      <c r="UXV98" s="168"/>
      <c r="UXW98" s="167"/>
      <c r="UXX98" s="168"/>
      <c r="UXY98" s="167"/>
      <c r="UXZ98" s="168"/>
      <c r="UYA98" s="167"/>
      <c r="UYB98" s="168"/>
      <c r="UYC98" s="167"/>
      <c r="UYD98" s="168"/>
      <c r="UYE98" s="167"/>
      <c r="UYF98" s="168"/>
      <c r="UYG98" s="167"/>
      <c r="UYH98" s="168"/>
      <c r="UYI98" s="167"/>
      <c r="UYJ98" s="168"/>
      <c r="UYK98" s="167"/>
      <c r="UYL98" s="168"/>
      <c r="UYM98" s="167"/>
      <c r="UYN98" s="168"/>
      <c r="UYO98" s="167"/>
      <c r="UYP98" s="168"/>
      <c r="UYQ98" s="167"/>
      <c r="UYR98" s="168"/>
      <c r="UYS98" s="167"/>
      <c r="UYT98" s="168"/>
      <c r="UYU98" s="167"/>
      <c r="UYV98" s="168"/>
      <c r="UYW98" s="167"/>
      <c r="UYX98" s="168"/>
      <c r="UYY98" s="167"/>
      <c r="UYZ98" s="168"/>
      <c r="UZA98" s="167"/>
      <c r="UZB98" s="168"/>
      <c r="UZC98" s="167"/>
      <c r="UZD98" s="168"/>
      <c r="UZE98" s="167"/>
      <c r="UZF98" s="168"/>
      <c r="UZG98" s="167"/>
      <c r="UZH98" s="168"/>
      <c r="UZI98" s="167"/>
      <c r="UZJ98" s="168"/>
      <c r="UZK98" s="167"/>
      <c r="UZL98" s="168"/>
      <c r="UZM98" s="167"/>
      <c r="UZN98" s="168"/>
      <c r="UZO98" s="167"/>
      <c r="UZP98" s="168"/>
      <c r="UZQ98" s="167"/>
      <c r="UZR98" s="168"/>
      <c r="UZS98" s="167"/>
      <c r="UZT98" s="168"/>
      <c r="UZU98" s="167"/>
      <c r="UZV98" s="168"/>
      <c r="UZW98" s="167"/>
      <c r="UZX98" s="168"/>
      <c r="UZY98" s="167"/>
      <c r="UZZ98" s="168"/>
      <c r="VAA98" s="167"/>
      <c r="VAB98" s="168"/>
      <c r="VAC98" s="167"/>
      <c r="VAD98" s="168"/>
      <c r="VAE98" s="167"/>
      <c r="VAF98" s="168"/>
      <c r="VAG98" s="167"/>
      <c r="VAH98" s="168"/>
      <c r="VAI98" s="167"/>
      <c r="VAJ98" s="168"/>
      <c r="VAK98" s="167"/>
      <c r="VAL98" s="168"/>
      <c r="VAM98" s="167"/>
      <c r="VAN98" s="168"/>
      <c r="VAO98" s="167"/>
      <c r="VAP98" s="168"/>
      <c r="VAQ98" s="167"/>
      <c r="VAR98" s="168"/>
      <c r="VAS98" s="167"/>
      <c r="VAT98" s="168"/>
      <c r="VAU98" s="167"/>
      <c r="VAV98" s="168"/>
      <c r="VAW98" s="167"/>
      <c r="VAX98" s="168"/>
      <c r="VAY98" s="167"/>
      <c r="VAZ98" s="168"/>
      <c r="VBA98" s="167"/>
      <c r="VBB98" s="168"/>
      <c r="VBC98" s="167"/>
      <c r="VBD98" s="168"/>
      <c r="VBE98" s="167"/>
      <c r="VBF98" s="168"/>
      <c r="VBG98" s="167"/>
      <c r="VBH98" s="168"/>
      <c r="VBI98" s="167"/>
      <c r="VBJ98" s="168"/>
      <c r="VBK98" s="167"/>
      <c r="VBL98" s="168"/>
      <c r="VBM98" s="167"/>
      <c r="VBN98" s="168"/>
      <c r="VBO98" s="167"/>
      <c r="VBP98" s="168"/>
      <c r="VBQ98" s="167"/>
      <c r="VBR98" s="168"/>
      <c r="VBS98" s="167"/>
      <c r="VBT98" s="168"/>
      <c r="VBU98" s="167"/>
      <c r="VBV98" s="168"/>
      <c r="VBW98" s="167"/>
      <c r="VBX98" s="168"/>
      <c r="VBY98" s="167"/>
      <c r="VBZ98" s="168"/>
      <c r="VCA98" s="167"/>
      <c r="VCB98" s="168"/>
      <c r="VCC98" s="167"/>
      <c r="VCD98" s="168"/>
      <c r="VCE98" s="167"/>
      <c r="VCF98" s="168"/>
      <c r="VCG98" s="167"/>
      <c r="VCH98" s="168"/>
      <c r="VCI98" s="167"/>
      <c r="VCJ98" s="168"/>
      <c r="VCK98" s="167"/>
      <c r="VCL98" s="168"/>
      <c r="VCM98" s="167"/>
      <c r="VCN98" s="168"/>
      <c r="VCO98" s="167"/>
      <c r="VCP98" s="168"/>
      <c r="VCQ98" s="167"/>
      <c r="VCR98" s="168"/>
      <c r="VCS98" s="167"/>
      <c r="VCT98" s="168"/>
      <c r="VCU98" s="167"/>
      <c r="VCV98" s="168"/>
      <c r="VCW98" s="167"/>
      <c r="VCX98" s="168"/>
      <c r="VCY98" s="167"/>
      <c r="VCZ98" s="168"/>
      <c r="VDA98" s="167"/>
      <c r="VDB98" s="168"/>
      <c r="VDC98" s="167"/>
      <c r="VDD98" s="168"/>
      <c r="VDE98" s="167"/>
      <c r="VDF98" s="168"/>
      <c r="VDG98" s="167"/>
      <c r="VDH98" s="168"/>
      <c r="VDI98" s="167"/>
      <c r="VDJ98" s="168"/>
      <c r="VDK98" s="167"/>
      <c r="VDL98" s="168"/>
      <c r="VDM98" s="167"/>
      <c r="VDN98" s="168"/>
      <c r="VDO98" s="167"/>
      <c r="VDP98" s="168"/>
      <c r="VDQ98" s="167"/>
      <c r="VDR98" s="168"/>
      <c r="VDS98" s="167"/>
      <c r="VDT98" s="168"/>
      <c r="VDU98" s="167"/>
      <c r="VDV98" s="168"/>
      <c r="VDW98" s="167"/>
      <c r="VDX98" s="168"/>
      <c r="VDY98" s="167"/>
      <c r="VDZ98" s="168"/>
      <c r="VEA98" s="167"/>
      <c r="VEB98" s="168"/>
      <c r="VEC98" s="167"/>
      <c r="VED98" s="168"/>
      <c r="VEE98" s="167"/>
      <c r="VEF98" s="168"/>
      <c r="VEG98" s="167"/>
      <c r="VEH98" s="168"/>
      <c r="VEI98" s="167"/>
      <c r="VEJ98" s="168"/>
      <c r="VEK98" s="167"/>
      <c r="VEL98" s="168"/>
      <c r="VEM98" s="167"/>
      <c r="VEN98" s="168"/>
      <c r="VEO98" s="167"/>
      <c r="VEP98" s="168"/>
      <c r="VEQ98" s="167"/>
      <c r="VER98" s="168"/>
      <c r="VES98" s="167"/>
      <c r="VET98" s="168"/>
      <c r="VEU98" s="167"/>
      <c r="VEV98" s="168"/>
      <c r="VEW98" s="167"/>
      <c r="VEX98" s="168"/>
      <c r="VEY98" s="167"/>
      <c r="VEZ98" s="168"/>
      <c r="VFA98" s="167"/>
      <c r="VFB98" s="168"/>
      <c r="VFC98" s="167"/>
      <c r="VFD98" s="168"/>
      <c r="VFE98" s="167"/>
      <c r="VFF98" s="168"/>
      <c r="VFG98" s="167"/>
      <c r="VFH98" s="168"/>
      <c r="VFI98" s="167"/>
      <c r="VFJ98" s="168"/>
      <c r="VFK98" s="167"/>
      <c r="VFL98" s="168"/>
      <c r="VFM98" s="167"/>
      <c r="VFN98" s="168"/>
      <c r="VFO98" s="167"/>
      <c r="VFP98" s="168"/>
      <c r="VFQ98" s="167"/>
      <c r="VFR98" s="168"/>
      <c r="VFS98" s="167"/>
      <c r="VFT98" s="168"/>
      <c r="VFU98" s="167"/>
      <c r="VFV98" s="168"/>
      <c r="VFW98" s="167"/>
      <c r="VFX98" s="168"/>
      <c r="VFY98" s="167"/>
      <c r="VFZ98" s="168"/>
      <c r="VGA98" s="167"/>
      <c r="VGB98" s="168"/>
      <c r="VGC98" s="167"/>
      <c r="VGD98" s="168"/>
      <c r="VGE98" s="167"/>
      <c r="VGF98" s="168"/>
      <c r="VGG98" s="167"/>
      <c r="VGH98" s="168"/>
      <c r="VGI98" s="167"/>
      <c r="VGJ98" s="168"/>
      <c r="VGK98" s="167"/>
      <c r="VGL98" s="168"/>
      <c r="VGM98" s="167"/>
      <c r="VGN98" s="168"/>
      <c r="VGO98" s="167"/>
      <c r="VGP98" s="168"/>
      <c r="VGQ98" s="167"/>
      <c r="VGR98" s="168"/>
      <c r="VGS98" s="167"/>
      <c r="VGT98" s="168"/>
      <c r="VGU98" s="167"/>
      <c r="VGV98" s="168"/>
      <c r="VGW98" s="167"/>
      <c r="VGX98" s="168"/>
      <c r="VGY98" s="167"/>
      <c r="VGZ98" s="168"/>
      <c r="VHA98" s="167"/>
      <c r="VHB98" s="168"/>
      <c r="VHC98" s="167"/>
      <c r="VHD98" s="168"/>
      <c r="VHE98" s="167"/>
      <c r="VHF98" s="168"/>
      <c r="VHG98" s="167"/>
      <c r="VHH98" s="168"/>
      <c r="VHI98" s="167"/>
      <c r="VHJ98" s="168"/>
      <c r="VHK98" s="167"/>
      <c r="VHL98" s="168"/>
      <c r="VHM98" s="167"/>
      <c r="VHN98" s="168"/>
      <c r="VHO98" s="167"/>
      <c r="VHP98" s="168"/>
      <c r="VHQ98" s="167"/>
      <c r="VHR98" s="168"/>
      <c r="VHS98" s="167"/>
      <c r="VHT98" s="168"/>
      <c r="VHU98" s="167"/>
      <c r="VHV98" s="168"/>
      <c r="VHW98" s="167"/>
      <c r="VHX98" s="168"/>
      <c r="VHY98" s="167"/>
      <c r="VHZ98" s="168"/>
      <c r="VIA98" s="167"/>
      <c r="VIB98" s="168"/>
      <c r="VIC98" s="167"/>
      <c r="VID98" s="168"/>
      <c r="VIE98" s="167"/>
      <c r="VIF98" s="168"/>
      <c r="VIG98" s="167"/>
      <c r="VIH98" s="168"/>
      <c r="VII98" s="167"/>
      <c r="VIJ98" s="168"/>
      <c r="VIK98" s="167"/>
      <c r="VIL98" s="168"/>
      <c r="VIM98" s="167"/>
      <c r="VIN98" s="168"/>
      <c r="VIO98" s="167"/>
      <c r="VIP98" s="168"/>
      <c r="VIQ98" s="167"/>
      <c r="VIR98" s="168"/>
      <c r="VIS98" s="167"/>
      <c r="VIT98" s="168"/>
      <c r="VIU98" s="167"/>
      <c r="VIV98" s="168"/>
      <c r="VIW98" s="167"/>
      <c r="VIX98" s="168"/>
      <c r="VIY98" s="167"/>
      <c r="VIZ98" s="168"/>
      <c r="VJA98" s="167"/>
      <c r="VJB98" s="168"/>
      <c r="VJC98" s="167"/>
      <c r="VJD98" s="168"/>
      <c r="VJE98" s="167"/>
      <c r="VJF98" s="168"/>
      <c r="VJG98" s="167"/>
      <c r="VJH98" s="168"/>
      <c r="VJI98" s="167"/>
      <c r="VJJ98" s="168"/>
      <c r="VJK98" s="167"/>
      <c r="VJL98" s="168"/>
      <c r="VJM98" s="167"/>
      <c r="VJN98" s="168"/>
      <c r="VJO98" s="167"/>
      <c r="VJP98" s="168"/>
      <c r="VJQ98" s="167"/>
      <c r="VJR98" s="168"/>
      <c r="VJS98" s="167"/>
      <c r="VJT98" s="168"/>
      <c r="VJU98" s="167"/>
      <c r="VJV98" s="168"/>
      <c r="VJW98" s="167"/>
      <c r="VJX98" s="168"/>
      <c r="VJY98" s="167"/>
      <c r="VJZ98" s="168"/>
      <c r="VKA98" s="167"/>
      <c r="VKB98" s="168"/>
      <c r="VKC98" s="167"/>
      <c r="VKD98" s="168"/>
      <c r="VKE98" s="167"/>
      <c r="VKF98" s="168"/>
      <c r="VKG98" s="167"/>
      <c r="VKH98" s="168"/>
      <c r="VKI98" s="167"/>
      <c r="VKJ98" s="168"/>
      <c r="VKK98" s="167"/>
      <c r="VKL98" s="168"/>
      <c r="VKM98" s="167"/>
      <c r="VKN98" s="168"/>
      <c r="VKO98" s="167"/>
      <c r="VKP98" s="168"/>
      <c r="VKQ98" s="167"/>
      <c r="VKR98" s="168"/>
      <c r="VKS98" s="167"/>
      <c r="VKT98" s="168"/>
      <c r="VKU98" s="167"/>
      <c r="VKV98" s="168"/>
      <c r="VKW98" s="167"/>
      <c r="VKX98" s="168"/>
      <c r="VKY98" s="167"/>
      <c r="VKZ98" s="168"/>
      <c r="VLA98" s="167"/>
      <c r="VLB98" s="168"/>
      <c r="VLC98" s="167"/>
      <c r="VLD98" s="168"/>
      <c r="VLE98" s="167"/>
      <c r="VLF98" s="168"/>
      <c r="VLG98" s="167"/>
      <c r="VLH98" s="168"/>
      <c r="VLI98" s="167"/>
      <c r="VLJ98" s="168"/>
      <c r="VLK98" s="167"/>
      <c r="VLL98" s="168"/>
      <c r="VLM98" s="167"/>
      <c r="VLN98" s="168"/>
      <c r="VLO98" s="167"/>
      <c r="VLP98" s="168"/>
      <c r="VLQ98" s="167"/>
      <c r="VLR98" s="168"/>
      <c r="VLS98" s="167"/>
      <c r="VLT98" s="168"/>
      <c r="VLU98" s="167"/>
      <c r="VLV98" s="168"/>
      <c r="VLW98" s="167"/>
      <c r="VLX98" s="168"/>
      <c r="VLY98" s="167"/>
      <c r="VLZ98" s="168"/>
      <c r="VMA98" s="167"/>
      <c r="VMB98" s="168"/>
      <c r="VMC98" s="167"/>
      <c r="VMD98" s="168"/>
      <c r="VME98" s="167"/>
      <c r="VMF98" s="168"/>
      <c r="VMG98" s="167"/>
      <c r="VMH98" s="168"/>
      <c r="VMI98" s="167"/>
      <c r="VMJ98" s="168"/>
      <c r="VMK98" s="167"/>
      <c r="VML98" s="168"/>
      <c r="VMM98" s="167"/>
      <c r="VMN98" s="168"/>
      <c r="VMO98" s="167"/>
      <c r="VMP98" s="168"/>
      <c r="VMQ98" s="167"/>
      <c r="VMR98" s="168"/>
      <c r="VMS98" s="167"/>
      <c r="VMT98" s="168"/>
      <c r="VMU98" s="167"/>
      <c r="VMV98" s="168"/>
      <c r="VMW98" s="167"/>
      <c r="VMX98" s="168"/>
      <c r="VMY98" s="167"/>
      <c r="VMZ98" s="168"/>
      <c r="VNA98" s="167"/>
      <c r="VNB98" s="168"/>
      <c r="VNC98" s="167"/>
      <c r="VND98" s="168"/>
      <c r="VNE98" s="167"/>
      <c r="VNF98" s="168"/>
      <c r="VNG98" s="167"/>
      <c r="VNH98" s="168"/>
      <c r="VNI98" s="167"/>
      <c r="VNJ98" s="168"/>
      <c r="VNK98" s="167"/>
      <c r="VNL98" s="168"/>
      <c r="VNM98" s="167"/>
      <c r="VNN98" s="168"/>
      <c r="VNO98" s="167"/>
      <c r="VNP98" s="168"/>
      <c r="VNQ98" s="167"/>
      <c r="VNR98" s="168"/>
      <c r="VNS98" s="167"/>
      <c r="VNT98" s="168"/>
      <c r="VNU98" s="167"/>
      <c r="VNV98" s="168"/>
      <c r="VNW98" s="167"/>
      <c r="VNX98" s="168"/>
      <c r="VNY98" s="167"/>
      <c r="VNZ98" s="168"/>
      <c r="VOA98" s="167"/>
      <c r="VOB98" s="168"/>
      <c r="VOC98" s="167"/>
      <c r="VOD98" s="168"/>
      <c r="VOE98" s="167"/>
      <c r="VOF98" s="168"/>
      <c r="VOG98" s="167"/>
      <c r="VOH98" s="168"/>
      <c r="VOI98" s="167"/>
      <c r="VOJ98" s="168"/>
      <c r="VOK98" s="167"/>
      <c r="VOL98" s="168"/>
      <c r="VOM98" s="167"/>
      <c r="VON98" s="168"/>
      <c r="VOO98" s="167"/>
      <c r="VOP98" s="168"/>
      <c r="VOQ98" s="167"/>
      <c r="VOR98" s="168"/>
      <c r="VOS98" s="167"/>
      <c r="VOT98" s="168"/>
      <c r="VOU98" s="167"/>
      <c r="VOV98" s="168"/>
      <c r="VOW98" s="167"/>
      <c r="VOX98" s="168"/>
      <c r="VOY98" s="167"/>
      <c r="VOZ98" s="168"/>
      <c r="VPA98" s="167"/>
      <c r="VPB98" s="168"/>
      <c r="VPC98" s="167"/>
      <c r="VPD98" s="168"/>
      <c r="VPE98" s="167"/>
      <c r="VPF98" s="168"/>
      <c r="VPG98" s="167"/>
      <c r="VPH98" s="168"/>
      <c r="VPI98" s="167"/>
      <c r="VPJ98" s="168"/>
      <c r="VPK98" s="167"/>
      <c r="VPL98" s="168"/>
      <c r="VPM98" s="167"/>
      <c r="VPN98" s="168"/>
      <c r="VPO98" s="167"/>
      <c r="VPP98" s="168"/>
      <c r="VPQ98" s="167"/>
      <c r="VPR98" s="168"/>
      <c r="VPS98" s="167"/>
      <c r="VPT98" s="168"/>
      <c r="VPU98" s="167"/>
      <c r="VPV98" s="168"/>
      <c r="VPW98" s="167"/>
      <c r="VPX98" s="168"/>
      <c r="VPY98" s="167"/>
      <c r="VPZ98" s="168"/>
      <c r="VQA98" s="167"/>
      <c r="VQB98" s="168"/>
      <c r="VQC98" s="167"/>
      <c r="VQD98" s="168"/>
      <c r="VQE98" s="167"/>
      <c r="VQF98" s="168"/>
      <c r="VQG98" s="167"/>
      <c r="VQH98" s="168"/>
      <c r="VQI98" s="167"/>
      <c r="VQJ98" s="168"/>
      <c r="VQK98" s="167"/>
      <c r="VQL98" s="168"/>
      <c r="VQM98" s="167"/>
      <c r="VQN98" s="168"/>
      <c r="VQO98" s="167"/>
      <c r="VQP98" s="168"/>
      <c r="VQQ98" s="167"/>
      <c r="VQR98" s="168"/>
      <c r="VQS98" s="167"/>
      <c r="VQT98" s="168"/>
      <c r="VQU98" s="167"/>
      <c r="VQV98" s="168"/>
      <c r="VQW98" s="167"/>
      <c r="VQX98" s="168"/>
      <c r="VQY98" s="167"/>
      <c r="VQZ98" s="168"/>
      <c r="VRA98" s="167"/>
      <c r="VRB98" s="168"/>
      <c r="VRC98" s="167"/>
      <c r="VRD98" s="168"/>
      <c r="VRE98" s="167"/>
      <c r="VRF98" s="168"/>
      <c r="VRG98" s="167"/>
      <c r="VRH98" s="168"/>
      <c r="VRI98" s="167"/>
      <c r="VRJ98" s="168"/>
      <c r="VRK98" s="167"/>
      <c r="VRL98" s="168"/>
      <c r="VRM98" s="167"/>
      <c r="VRN98" s="168"/>
      <c r="VRO98" s="167"/>
      <c r="VRP98" s="168"/>
      <c r="VRQ98" s="167"/>
      <c r="VRR98" s="168"/>
      <c r="VRS98" s="167"/>
      <c r="VRT98" s="168"/>
      <c r="VRU98" s="167"/>
      <c r="VRV98" s="168"/>
      <c r="VRW98" s="167"/>
      <c r="VRX98" s="168"/>
      <c r="VRY98" s="167"/>
      <c r="VRZ98" s="168"/>
      <c r="VSA98" s="167"/>
      <c r="VSB98" s="168"/>
      <c r="VSC98" s="167"/>
      <c r="VSD98" s="168"/>
      <c r="VSE98" s="167"/>
      <c r="VSF98" s="168"/>
      <c r="VSG98" s="167"/>
      <c r="VSH98" s="168"/>
      <c r="VSI98" s="167"/>
      <c r="VSJ98" s="168"/>
      <c r="VSK98" s="167"/>
      <c r="VSL98" s="168"/>
      <c r="VSM98" s="167"/>
      <c r="VSN98" s="168"/>
      <c r="VSO98" s="167"/>
      <c r="VSP98" s="168"/>
      <c r="VSQ98" s="167"/>
      <c r="VSR98" s="168"/>
      <c r="VSS98" s="167"/>
      <c r="VST98" s="168"/>
      <c r="VSU98" s="167"/>
      <c r="VSV98" s="168"/>
      <c r="VSW98" s="167"/>
      <c r="VSX98" s="168"/>
      <c r="VSY98" s="167"/>
      <c r="VSZ98" s="168"/>
      <c r="VTA98" s="167"/>
      <c r="VTB98" s="168"/>
      <c r="VTC98" s="167"/>
      <c r="VTD98" s="168"/>
      <c r="VTE98" s="167"/>
      <c r="VTF98" s="168"/>
      <c r="VTG98" s="167"/>
      <c r="VTH98" s="168"/>
      <c r="VTI98" s="167"/>
      <c r="VTJ98" s="168"/>
      <c r="VTK98" s="167"/>
      <c r="VTL98" s="168"/>
      <c r="VTM98" s="167"/>
      <c r="VTN98" s="168"/>
      <c r="VTO98" s="167"/>
      <c r="VTP98" s="168"/>
      <c r="VTQ98" s="167"/>
      <c r="VTR98" s="168"/>
      <c r="VTS98" s="167"/>
      <c r="VTT98" s="168"/>
      <c r="VTU98" s="167"/>
      <c r="VTV98" s="168"/>
      <c r="VTW98" s="167"/>
      <c r="VTX98" s="168"/>
      <c r="VTY98" s="167"/>
      <c r="VTZ98" s="168"/>
      <c r="VUA98" s="167"/>
      <c r="VUB98" s="168"/>
      <c r="VUC98" s="167"/>
      <c r="VUD98" s="168"/>
      <c r="VUE98" s="167"/>
      <c r="VUF98" s="168"/>
      <c r="VUG98" s="167"/>
      <c r="VUH98" s="168"/>
      <c r="VUI98" s="167"/>
      <c r="VUJ98" s="168"/>
      <c r="VUK98" s="167"/>
      <c r="VUL98" s="168"/>
      <c r="VUM98" s="167"/>
      <c r="VUN98" s="168"/>
      <c r="VUO98" s="167"/>
      <c r="VUP98" s="168"/>
      <c r="VUQ98" s="167"/>
      <c r="VUR98" s="168"/>
      <c r="VUS98" s="167"/>
      <c r="VUT98" s="168"/>
      <c r="VUU98" s="167"/>
      <c r="VUV98" s="168"/>
      <c r="VUW98" s="167"/>
      <c r="VUX98" s="168"/>
      <c r="VUY98" s="167"/>
      <c r="VUZ98" s="168"/>
      <c r="VVA98" s="167"/>
      <c r="VVB98" s="168"/>
      <c r="VVC98" s="167"/>
      <c r="VVD98" s="168"/>
      <c r="VVE98" s="167"/>
      <c r="VVF98" s="168"/>
      <c r="VVG98" s="167"/>
      <c r="VVH98" s="168"/>
      <c r="VVI98" s="167"/>
      <c r="VVJ98" s="168"/>
      <c r="VVK98" s="167"/>
      <c r="VVL98" s="168"/>
      <c r="VVM98" s="167"/>
      <c r="VVN98" s="168"/>
      <c r="VVO98" s="167"/>
      <c r="VVP98" s="168"/>
      <c r="VVQ98" s="167"/>
      <c r="VVR98" s="168"/>
      <c r="VVS98" s="167"/>
      <c r="VVT98" s="168"/>
      <c r="VVU98" s="167"/>
      <c r="VVV98" s="168"/>
      <c r="VVW98" s="167"/>
      <c r="VVX98" s="168"/>
      <c r="VVY98" s="167"/>
      <c r="VVZ98" s="168"/>
      <c r="VWA98" s="167"/>
      <c r="VWB98" s="168"/>
      <c r="VWC98" s="167"/>
      <c r="VWD98" s="168"/>
      <c r="VWE98" s="167"/>
      <c r="VWF98" s="168"/>
      <c r="VWG98" s="167"/>
      <c r="VWH98" s="168"/>
      <c r="VWI98" s="167"/>
      <c r="VWJ98" s="168"/>
      <c r="VWK98" s="167"/>
      <c r="VWL98" s="168"/>
      <c r="VWM98" s="167"/>
      <c r="VWN98" s="168"/>
      <c r="VWO98" s="167"/>
      <c r="VWP98" s="168"/>
      <c r="VWQ98" s="167"/>
      <c r="VWR98" s="168"/>
      <c r="VWS98" s="167"/>
      <c r="VWT98" s="168"/>
      <c r="VWU98" s="167"/>
      <c r="VWV98" s="168"/>
      <c r="VWW98" s="167"/>
      <c r="VWX98" s="168"/>
      <c r="VWY98" s="167"/>
      <c r="VWZ98" s="168"/>
      <c r="VXA98" s="167"/>
      <c r="VXB98" s="168"/>
      <c r="VXC98" s="167"/>
      <c r="VXD98" s="168"/>
      <c r="VXE98" s="167"/>
      <c r="VXF98" s="168"/>
      <c r="VXG98" s="167"/>
      <c r="VXH98" s="168"/>
      <c r="VXI98" s="167"/>
      <c r="VXJ98" s="168"/>
      <c r="VXK98" s="167"/>
      <c r="VXL98" s="168"/>
      <c r="VXM98" s="167"/>
      <c r="VXN98" s="168"/>
      <c r="VXO98" s="167"/>
      <c r="VXP98" s="168"/>
      <c r="VXQ98" s="167"/>
      <c r="VXR98" s="168"/>
      <c r="VXS98" s="167"/>
      <c r="VXT98" s="168"/>
      <c r="VXU98" s="167"/>
      <c r="VXV98" s="168"/>
      <c r="VXW98" s="167"/>
      <c r="VXX98" s="168"/>
      <c r="VXY98" s="167"/>
      <c r="VXZ98" s="168"/>
      <c r="VYA98" s="167"/>
      <c r="VYB98" s="168"/>
      <c r="VYC98" s="167"/>
      <c r="VYD98" s="168"/>
      <c r="VYE98" s="167"/>
      <c r="VYF98" s="168"/>
      <c r="VYG98" s="167"/>
      <c r="VYH98" s="168"/>
      <c r="VYI98" s="167"/>
      <c r="VYJ98" s="168"/>
      <c r="VYK98" s="167"/>
      <c r="VYL98" s="168"/>
      <c r="VYM98" s="167"/>
      <c r="VYN98" s="168"/>
      <c r="VYO98" s="167"/>
      <c r="VYP98" s="168"/>
      <c r="VYQ98" s="167"/>
      <c r="VYR98" s="168"/>
      <c r="VYS98" s="167"/>
      <c r="VYT98" s="168"/>
      <c r="VYU98" s="167"/>
      <c r="VYV98" s="168"/>
      <c r="VYW98" s="167"/>
      <c r="VYX98" s="168"/>
      <c r="VYY98" s="167"/>
      <c r="VYZ98" s="168"/>
      <c r="VZA98" s="167"/>
      <c r="VZB98" s="168"/>
      <c r="VZC98" s="167"/>
      <c r="VZD98" s="168"/>
      <c r="VZE98" s="167"/>
      <c r="VZF98" s="168"/>
      <c r="VZG98" s="167"/>
      <c r="VZH98" s="168"/>
      <c r="VZI98" s="167"/>
      <c r="VZJ98" s="168"/>
      <c r="VZK98" s="167"/>
      <c r="VZL98" s="168"/>
      <c r="VZM98" s="167"/>
      <c r="VZN98" s="168"/>
      <c r="VZO98" s="167"/>
      <c r="VZP98" s="168"/>
      <c r="VZQ98" s="167"/>
      <c r="VZR98" s="168"/>
      <c r="VZS98" s="167"/>
      <c r="VZT98" s="168"/>
      <c r="VZU98" s="167"/>
      <c r="VZV98" s="168"/>
      <c r="VZW98" s="167"/>
      <c r="VZX98" s="168"/>
      <c r="VZY98" s="167"/>
      <c r="VZZ98" s="168"/>
      <c r="WAA98" s="167"/>
      <c r="WAB98" s="168"/>
      <c r="WAC98" s="167"/>
      <c r="WAD98" s="168"/>
      <c r="WAE98" s="167"/>
      <c r="WAF98" s="168"/>
      <c r="WAG98" s="167"/>
      <c r="WAH98" s="168"/>
      <c r="WAI98" s="167"/>
      <c r="WAJ98" s="168"/>
      <c r="WAK98" s="167"/>
      <c r="WAL98" s="168"/>
      <c r="WAM98" s="167"/>
      <c r="WAN98" s="168"/>
      <c r="WAO98" s="167"/>
      <c r="WAP98" s="168"/>
      <c r="WAQ98" s="167"/>
      <c r="WAR98" s="168"/>
      <c r="WAS98" s="167"/>
      <c r="WAT98" s="168"/>
      <c r="WAU98" s="167"/>
      <c r="WAV98" s="168"/>
      <c r="WAW98" s="167"/>
      <c r="WAX98" s="168"/>
      <c r="WAY98" s="167"/>
      <c r="WAZ98" s="168"/>
      <c r="WBA98" s="167"/>
      <c r="WBB98" s="168"/>
      <c r="WBC98" s="167"/>
      <c r="WBD98" s="168"/>
      <c r="WBE98" s="167"/>
      <c r="WBF98" s="168"/>
      <c r="WBG98" s="167"/>
      <c r="WBH98" s="168"/>
      <c r="WBI98" s="167"/>
      <c r="WBJ98" s="168"/>
      <c r="WBK98" s="167"/>
      <c r="WBL98" s="168"/>
      <c r="WBM98" s="167"/>
      <c r="WBN98" s="168"/>
      <c r="WBO98" s="167"/>
      <c r="WBP98" s="168"/>
      <c r="WBQ98" s="167"/>
      <c r="WBR98" s="168"/>
      <c r="WBS98" s="167"/>
      <c r="WBT98" s="168"/>
      <c r="WBU98" s="167"/>
      <c r="WBV98" s="168"/>
      <c r="WBW98" s="167"/>
      <c r="WBX98" s="168"/>
      <c r="WBY98" s="167"/>
      <c r="WBZ98" s="168"/>
      <c r="WCA98" s="167"/>
      <c r="WCB98" s="168"/>
      <c r="WCC98" s="167"/>
      <c r="WCD98" s="168"/>
      <c r="WCE98" s="167"/>
      <c r="WCF98" s="168"/>
      <c r="WCG98" s="167"/>
      <c r="WCH98" s="168"/>
      <c r="WCI98" s="167"/>
      <c r="WCJ98" s="168"/>
      <c r="WCK98" s="167"/>
      <c r="WCL98" s="168"/>
      <c r="WCM98" s="167"/>
      <c r="WCN98" s="168"/>
      <c r="WCO98" s="167"/>
      <c r="WCP98" s="168"/>
      <c r="WCQ98" s="167"/>
      <c r="WCR98" s="168"/>
      <c r="WCS98" s="167"/>
      <c r="WCT98" s="168"/>
      <c r="WCU98" s="167"/>
      <c r="WCV98" s="168"/>
      <c r="WCW98" s="167"/>
      <c r="WCX98" s="168"/>
      <c r="WCY98" s="167"/>
      <c r="WCZ98" s="168"/>
      <c r="WDA98" s="167"/>
      <c r="WDB98" s="168"/>
      <c r="WDC98" s="167"/>
      <c r="WDD98" s="168"/>
      <c r="WDE98" s="167"/>
      <c r="WDF98" s="168"/>
      <c r="WDG98" s="167"/>
      <c r="WDH98" s="168"/>
      <c r="WDI98" s="167"/>
      <c r="WDJ98" s="168"/>
      <c r="WDK98" s="167"/>
      <c r="WDL98" s="168"/>
      <c r="WDM98" s="167"/>
      <c r="WDN98" s="168"/>
      <c r="WDO98" s="167"/>
      <c r="WDP98" s="168"/>
      <c r="WDQ98" s="167"/>
      <c r="WDR98" s="168"/>
      <c r="WDS98" s="167"/>
      <c r="WDT98" s="168"/>
      <c r="WDU98" s="167"/>
      <c r="WDV98" s="168"/>
      <c r="WDW98" s="167"/>
      <c r="WDX98" s="168"/>
      <c r="WDY98" s="167"/>
      <c r="WDZ98" s="168"/>
      <c r="WEA98" s="167"/>
      <c r="WEB98" s="168"/>
      <c r="WEC98" s="167"/>
      <c r="WED98" s="168"/>
      <c r="WEE98" s="167"/>
      <c r="WEF98" s="168"/>
      <c r="WEG98" s="167"/>
      <c r="WEH98" s="168"/>
      <c r="WEI98" s="167"/>
      <c r="WEJ98" s="168"/>
      <c r="WEK98" s="167"/>
      <c r="WEL98" s="168"/>
      <c r="WEM98" s="167"/>
      <c r="WEN98" s="168"/>
      <c r="WEO98" s="167"/>
      <c r="WEP98" s="168"/>
      <c r="WEQ98" s="167"/>
      <c r="WER98" s="168"/>
      <c r="WES98" s="167"/>
      <c r="WET98" s="168"/>
      <c r="WEU98" s="167"/>
      <c r="WEV98" s="168"/>
      <c r="WEW98" s="167"/>
      <c r="WEX98" s="168"/>
      <c r="WEY98" s="167"/>
      <c r="WEZ98" s="168"/>
      <c r="WFA98" s="167"/>
      <c r="WFB98" s="168"/>
      <c r="WFC98" s="167"/>
      <c r="WFD98" s="168"/>
      <c r="WFE98" s="167"/>
      <c r="WFF98" s="168"/>
      <c r="WFG98" s="167"/>
      <c r="WFH98" s="168"/>
      <c r="WFI98" s="167"/>
      <c r="WFJ98" s="168"/>
      <c r="WFK98" s="167"/>
      <c r="WFL98" s="168"/>
      <c r="WFM98" s="167"/>
      <c r="WFN98" s="168"/>
      <c r="WFO98" s="167"/>
      <c r="WFP98" s="168"/>
      <c r="WFQ98" s="167"/>
      <c r="WFR98" s="168"/>
      <c r="WFS98" s="167"/>
      <c r="WFT98" s="168"/>
      <c r="WFU98" s="167"/>
      <c r="WFV98" s="168"/>
      <c r="WFW98" s="167"/>
      <c r="WFX98" s="168"/>
      <c r="WFY98" s="167"/>
      <c r="WFZ98" s="168"/>
      <c r="WGA98" s="167"/>
      <c r="WGB98" s="168"/>
      <c r="WGC98" s="167"/>
      <c r="WGD98" s="168"/>
      <c r="WGE98" s="167"/>
      <c r="WGF98" s="168"/>
      <c r="WGG98" s="167"/>
      <c r="WGH98" s="168"/>
      <c r="WGI98" s="167"/>
      <c r="WGJ98" s="168"/>
      <c r="WGK98" s="167"/>
      <c r="WGL98" s="168"/>
      <c r="WGM98" s="167"/>
      <c r="WGN98" s="168"/>
      <c r="WGO98" s="167"/>
      <c r="WGP98" s="168"/>
      <c r="WGQ98" s="167"/>
      <c r="WGR98" s="168"/>
      <c r="WGS98" s="167"/>
      <c r="WGT98" s="168"/>
      <c r="WGU98" s="167"/>
      <c r="WGV98" s="168"/>
      <c r="WGW98" s="167"/>
      <c r="WGX98" s="168"/>
      <c r="WGY98" s="167"/>
      <c r="WGZ98" s="168"/>
      <c r="WHA98" s="167"/>
      <c r="WHB98" s="168"/>
      <c r="WHC98" s="167"/>
      <c r="WHD98" s="168"/>
      <c r="WHE98" s="167"/>
      <c r="WHF98" s="168"/>
      <c r="WHG98" s="167"/>
      <c r="WHH98" s="168"/>
      <c r="WHI98" s="167"/>
      <c r="WHJ98" s="168"/>
      <c r="WHK98" s="167"/>
      <c r="WHL98" s="168"/>
      <c r="WHM98" s="167"/>
      <c r="WHN98" s="168"/>
      <c r="WHO98" s="167"/>
      <c r="WHP98" s="168"/>
      <c r="WHQ98" s="167"/>
      <c r="WHR98" s="168"/>
      <c r="WHS98" s="167"/>
      <c r="WHT98" s="168"/>
      <c r="WHU98" s="167"/>
      <c r="WHV98" s="168"/>
      <c r="WHW98" s="167"/>
      <c r="WHX98" s="168"/>
      <c r="WHY98" s="167"/>
      <c r="WHZ98" s="168"/>
      <c r="WIA98" s="167"/>
      <c r="WIB98" s="168"/>
      <c r="WIC98" s="167"/>
      <c r="WID98" s="168"/>
      <c r="WIE98" s="167"/>
      <c r="WIF98" s="168"/>
      <c r="WIG98" s="167"/>
      <c r="WIH98" s="168"/>
      <c r="WII98" s="167"/>
      <c r="WIJ98" s="168"/>
      <c r="WIK98" s="167"/>
      <c r="WIL98" s="168"/>
      <c r="WIM98" s="167"/>
      <c r="WIN98" s="168"/>
      <c r="WIO98" s="167"/>
      <c r="WIP98" s="168"/>
      <c r="WIQ98" s="167"/>
      <c r="WIR98" s="168"/>
      <c r="WIS98" s="167"/>
      <c r="WIT98" s="168"/>
      <c r="WIU98" s="167"/>
      <c r="WIV98" s="168"/>
      <c r="WIW98" s="167"/>
      <c r="WIX98" s="168"/>
      <c r="WIY98" s="167"/>
      <c r="WIZ98" s="168"/>
      <c r="WJA98" s="167"/>
      <c r="WJB98" s="168"/>
      <c r="WJC98" s="167"/>
      <c r="WJD98" s="168"/>
      <c r="WJE98" s="167"/>
      <c r="WJF98" s="168"/>
      <c r="WJG98" s="167"/>
      <c r="WJH98" s="168"/>
      <c r="WJI98" s="167"/>
      <c r="WJJ98" s="168"/>
      <c r="WJK98" s="167"/>
      <c r="WJL98" s="168"/>
      <c r="WJM98" s="167"/>
      <c r="WJN98" s="168"/>
      <c r="WJO98" s="167"/>
      <c r="WJP98" s="168"/>
      <c r="WJQ98" s="167"/>
      <c r="WJR98" s="168"/>
      <c r="WJS98" s="167"/>
      <c r="WJT98" s="168"/>
      <c r="WJU98" s="167"/>
      <c r="WJV98" s="168"/>
      <c r="WJW98" s="167"/>
      <c r="WJX98" s="168"/>
      <c r="WJY98" s="167"/>
      <c r="WJZ98" s="168"/>
      <c r="WKA98" s="167"/>
      <c r="WKB98" s="168"/>
      <c r="WKC98" s="167"/>
      <c r="WKD98" s="168"/>
      <c r="WKE98" s="167"/>
      <c r="WKF98" s="168"/>
      <c r="WKG98" s="167"/>
      <c r="WKH98" s="168"/>
      <c r="WKI98" s="167"/>
      <c r="WKJ98" s="168"/>
      <c r="WKK98" s="167"/>
      <c r="WKL98" s="168"/>
      <c r="WKM98" s="167"/>
      <c r="WKN98" s="168"/>
      <c r="WKO98" s="167"/>
      <c r="WKP98" s="168"/>
      <c r="WKQ98" s="167"/>
      <c r="WKR98" s="168"/>
      <c r="WKS98" s="167"/>
      <c r="WKT98" s="168"/>
      <c r="WKU98" s="167"/>
      <c r="WKV98" s="168"/>
      <c r="WKW98" s="167"/>
      <c r="WKX98" s="168"/>
      <c r="WKY98" s="167"/>
      <c r="WKZ98" s="168"/>
      <c r="WLA98" s="167"/>
      <c r="WLB98" s="168"/>
      <c r="WLC98" s="167"/>
      <c r="WLD98" s="168"/>
      <c r="WLE98" s="167"/>
      <c r="WLF98" s="168"/>
      <c r="WLG98" s="167"/>
      <c r="WLH98" s="168"/>
      <c r="WLI98" s="167"/>
      <c r="WLJ98" s="168"/>
      <c r="WLK98" s="167"/>
      <c r="WLL98" s="168"/>
      <c r="WLM98" s="167"/>
      <c r="WLN98" s="168"/>
      <c r="WLO98" s="167"/>
      <c r="WLP98" s="168"/>
      <c r="WLQ98" s="167"/>
      <c r="WLR98" s="168"/>
      <c r="WLS98" s="167"/>
      <c r="WLT98" s="168"/>
      <c r="WLU98" s="167"/>
      <c r="WLV98" s="168"/>
      <c r="WLW98" s="167"/>
      <c r="WLX98" s="168"/>
      <c r="WLY98" s="167"/>
      <c r="WLZ98" s="168"/>
      <c r="WMA98" s="167"/>
      <c r="WMB98" s="168"/>
      <c r="WMC98" s="167"/>
      <c r="WMD98" s="168"/>
      <c r="WME98" s="167"/>
      <c r="WMF98" s="168"/>
      <c r="WMG98" s="167"/>
      <c r="WMH98" s="168"/>
      <c r="WMI98" s="167"/>
      <c r="WMJ98" s="168"/>
      <c r="WMK98" s="167"/>
      <c r="WML98" s="168"/>
      <c r="WMM98" s="167"/>
      <c r="WMN98" s="168"/>
      <c r="WMO98" s="167"/>
      <c r="WMP98" s="168"/>
      <c r="WMQ98" s="167"/>
      <c r="WMR98" s="168"/>
      <c r="WMS98" s="167"/>
      <c r="WMT98" s="168"/>
      <c r="WMU98" s="167"/>
      <c r="WMV98" s="168"/>
      <c r="WMW98" s="167"/>
      <c r="WMX98" s="168"/>
      <c r="WMY98" s="167"/>
      <c r="WMZ98" s="168"/>
      <c r="WNA98" s="167"/>
      <c r="WNB98" s="168"/>
      <c r="WNC98" s="167"/>
      <c r="WND98" s="168"/>
      <c r="WNE98" s="167"/>
      <c r="WNF98" s="168"/>
      <c r="WNG98" s="167"/>
      <c r="WNH98" s="168"/>
      <c r="WNI98" s="167"/>
      <c r="WNJ98" s="168"/>
      <c r="WNK98" s="167"/>
      <c r="WNL98" s="168"/>
      <c r="WNM98" s="167"/>
      <c r="WNN98" s="168"/>
      <c r="WNO98" s="167"/>
      <c r="WNP98" s="168"/>
      <c r="WNQ98" s="167"/>
      <c r="WNR98" s="168"/>
      <c r="WNS98" s="167"/>
      <c r="WNT98" s="168"/>
      <c r="WNU98" s="167"/>
      <c r="WNV98" s="168"/>
      <c r="WNW98" s="167"/>
      <c r="WNX98" s="168"/>
      <c r="WNY98" s="167"/>
      <c r="WNZ98" s="168"/>
      <c r="WOA98" s="167"/>
      <c r="WOB98" s="168"/>
      <c r="WOC98" s="167"/>
      <c r="WOD98" s="168"/>
      <c r="WOE98" s="167"/>
      <c r="WOF98" s="168"/>
      <c r="WOG98" s="167"/>
      <c r="WOH98" s="168"/>
      <c r="WOI98" s="167"/>
      <c r="WOJ98" s="168"/>
      <c r="WOK98" s="167"/>
      <c r="WOL98" s="168"/>
      <c r="WOM98" s="167"/>
      <c r="WON98" s="168"/>
      <c r="WOO98" s="167"/>
      <c r="WOP98" s="168"/>
      <c r="WOQ98" s="167"/>
      <c r="WOR98" s="168"/>
      <c r="WOS98" s="167"/>
      <c r="WOT98" s="168"/>
      <c r="WOU98" s="167"/>
      <c r="WOV98" s="168"/>
      <c r="WOW98" s="167"/>
      <c r="WOX98" s="168"/>
      <c r="WOY98" s="167"/>
      <c r="WOZ98" s="168"/>
      <c r="WPA98" s="167"/>
      <c r="WPB98" s="168"/>
      <c r="WPC98" s="167"/>
      <c r="WPD98" s="168"/>
      <c r="WPE98" s="167"/>
      <c r="WPF98" s="168"/>
      <c r="WPG98" s="167"/>
      <c r="WPH98" s="168"/>
      <c r="WPI98" s="167"/>
      <c r="WPJ98" s="168"/>
      <c r="WPK98" s="167"/>
      <c r="WPL98" s="168"/>
      <c r="WPM98" s="167"/>
      <c r="WPN98" s="168"/>
      <c r="WPO98" s="167"/>
      <c r="WPP98" s="168"/>
      <c r="WPQ98" s="167"/>
      <c r="WPR98" s="168"/>
      <c r="WPS98" s="167"/>
      <c r="WPT98" s="168"/>
      <c r="WPU98" s="167"/>
      <c r="WPV98" s="168"/>
      <c r="WPW98" s="167"/>
      <c r="WPX98" s="168"/>
      <c r="WPY98" s="167"/>
      <c r="WPZ98" s="168"/>
      <c r="WQA98" s="167"/>
      <c r="WQB98" s="168"/>
      <c r="WQC98" s="167"/>
      <c r="WQD98" s="168"/>
      <c r="WQE98" s="167"/>
      <c r="WQF98" s="168"/>
      <c r="WQG98" s="167"/>
      <c r="WQH98" s="168"/>
      <c r="WQI98" s="167"/>
      <c r="WQJ98" s="168"/>
      <c r="WQK98" s="167"/>
      <c r="WQL98" s="168"/>
      <c r="WQM98" s="167"/>
      <c r="WQN98" s="168"/>
      <c r="WQO98" s="167"/>
      <c r="WQP98" s="168"/>
      <c r="WQQ98" s="167"/>
      <c r="WQR98" s="168"/>
      <c r="WQS98" s="167"/>
      <c r="WQT98" s="168"/>
      <c r="WQU98" s="167"/>
      <c r="WQV98" s="168"/>
      <c r="WQW98" s="167"/>
      <c r="WQX98" s="168"/>
      <c r="WQY98" s="167"/>
      <c r="WQZ98" s="168"/>
      <c r="WRA98" s="167"/>
      <c r="WRB98" s="168"/>
      <c r="WRC98" s="167"/>
      <c r="WRD98" s="168"/>
      <c r="WRE98" s="167"/>
      <c r="WRF98" s="168"/>
      <c r="WRG98" s="167"/>
      <c r="WRH98" s="168"/>
      <c r="WRI98" s="167"/>
      <c r="WRJ98" s="168"/>
      <c r="WRK98" s="167"/>
      <c r="WRL98" s="168"/>
      <c r="WRM98" s="167"/>
      <c r="WRN98" s="168"/>
      <c r="WRO98" s="167"/>
      <c r="WRP98" s="168"/>
      <c r="WRQ98" s="167"/>
      <c r="WRR98" s="168"/>
      <c r="WRS98" s="167"/>
      <c r="WRT98" s="168"/>
      <c r="WRU98" s="167"/>
      <c r="WRV98" s="168"/>
      <c r="WRW98" s="167"/>
      <c r="WRX98" s="168"/>
      <c r="WRY98" s="167"/>
      <c r="WRZ98" s="168"/>
      <c r="WSA98" s="167"/>
      <c r="WSB98" s="168"/>
      <c r="WSC98" s="167"/>
      <c r="WSD98" s="168"/>
      <c r="WSE98" s="167"/>
      <c r="WSF98" s="168"/>
      <c r="WSG98" s="167"/>
      <c r="WSH98" s="168"/>
      <c r="WSI98" s="167"/>
      <c r="WSJ98" s="168"/>
      <c r="WSK98" s="167"/>
      <c r="WSL98" s="168"/>
      <c r="WSM98" s="167"/>
      <c r="WSN98" s="168"/>
      <c r="WSO98" s="167"/>
      <c r="WSP98" s="168"/>
      <c r="WSQ98" s="167"/>
      <c r="WSR98" s="168"/>
      <c r="WSS98" s="167"/>
      <c r="WST98" s="168"/>
      <c r="WSU98" s="167"/>
      <c r="WSV98" s="168"/>
      <c r="WSW98" s="167"/>
      <c r="WSX98" s="168"/>
      <c r="WSY98" s="167"/>
      <c r="WSZ98" s="168"/>
      <c r="WTA98" s="167"/>
      <c r="WTB98" s="168"/>
      <c r="WTC98" s="167"/>
      <c r="WTD98" s="168"/>
      <c r="WTE98" s="167"/>
      <c r="WTF98" s="168"/>
      <c r="WTG98" s="167"/>
      <c r="WTH98" s="168"/>
      <c r="WTI98" s="167"/>
      <c r="WTJ98" s="168"/>
      <c r="WTK98" s="167"/>
      <c r="WTL98" s="168"/>
      <c r="WTM98" s="167"/>
      <c r="WTN98" s="168"/>
      <c r="WTO98" s="167"/>
      <c r="WTP98" s="168"/>
      <c r="WTQ98" s="167"/>
      <c r="WTR98" s="168"/>
      <c r="WTS98" s="167"/>
      <c r="WTT98" s="168"/>
      <c r="WTU98" s="167"/>
      <c r="WTV98" s="168"/>
      <c r="WTW98" s="167"/>
      <c r="WTX98" s="168"/>
      <c r="WTY98" s="167"/>
      <c r="WTZ98" s="168"/>
      <c r="WUA98" s="167"/>
      <c r="WUB98" s="168"/>
      <c r="WUC98" s="167"/>
      <c r="WUD98" s="168"/>
      <c r="WUE98" s="167"/>
      <c r="WUF98" s="168"/>
      <c r="WUG98" s="167"/>
      <c r="WUH98" s="168"/>
      <c r="WUI98" s="167"/>
      <c r="WUJ98" s="168"/>
      <c r="WUK98" s="167"/>
      <c r="WUL98" s="168"/>
      <c r="WUM98" s="167"/>
      <c r="WUN98" s="168"/>
      <c r="WUO98" s="167"/>
      <c r="WUP98" s="168"/>
      <c r="WUQ98" s="167"/>
      <c r="WUR98" s="168"/>
      <c r="WUS98" s="167"/>
      <c r="WUT98" s="168"/>
      <c r="WUU98" s="167"/>
      <c r="WUV98" s="168"/>
      <c r="WUW98" s="167"/>
      <c r="WUX98" s="168"/>
      <c r="WUY98" s="167"/>
      <c r="WUZ98" s="168"/>
      <c r="WVA98" s="167"/>
      <c r="WVB98" s="168"/>
      <c r="WVC98" s="167"/>
      <c r="WVD98" s="168"/>
      <c r="WVE98" s="167"/>
      <c r="WVF98" s="168"/>
      <c r="WVG98" s="167"/>
      <c r="WVH98" s="168"/>
      <c r="WVI98" s="167"/>
      <c r="WVJ98" s="168"/>
      <c r="WVK98" s="167"/>
      <c r="WVL98" s="168"/>
      <c r="WVM98" s="167"/>
      <c r="WVN98" s="168"/>
      <c r="WVO98" s="167"/>
      <c r="WVP98" s="168"/>
      <c r="WVQ98" s="167"/>
      <c r="WVR98" s="168"/>
      <c r="WVS98" s="167"/>
      <c r="WVT98" s="168"/>
      <c r="WVU98" s="167"/>
      <c r="WVV98" s="168"/>
      <c r="WVW98" s="167"/>
      <c r="WVX98" s="168"/>
      <c r="WVY98" s="167"/>
      <c r="WVZ98" s="168"/>
      <c r="WWA98" s="167"/>
      <c r="WWB98" s="168"/>
      <c r="WWC98" s="167"/>
      <c r="WWD98" s="168"/>
      <c r="WWE98" s="167"/>
      <c r="WWF98" s="168"/>
      <c r="WWG98" s="167"/>
      <c r="WWH98" s="168"/>
      <c r="WWI98" s="167"/>
      <c r="WWJ98" s="168"/>
      <c r="WWK98" s="167"/>
      <c r="WWL98" s="168"/>
      <c r="WWM98" s="167"/>
      <c r="WWN98" s="168"/>
      <c r="WWO98" s="167"/>
      <c r="WWP98" s="168"/>
      <c r="WWQ98" s="167"/>
      <c r="WWR98" s="168"/>
      <c r="WWS98" s="167"/>
      <c r="WWT98" s="168"/>
      <c r="WWU98" s="167"/>
      <c r="WWV98" s="168"/>
      <c r="WWW98" s="167"/>
      <c r="WWX98" s="168"/>
      <c r="WWY98" s="167"/>
      <c r="WWZ98" s="168"/>
      <c r="WXA98" s="167"/>
      <c r="WXB98" s="168"/>
      <c r="WXC98" s="167"/>
      <c r="WXD98" s="168"/>
      <c r="WXE98" s="167"/>
      <c r="WXF98" s="168"/>
      <c r="WXG98" s="167"/>
      <c r="WXH98" s="168"/>
      <c r="WXI98" s="167"/>
      <c r="WXJ98" s="168"/>
      <c r="WXK98" s="167"/>
      <c r="WXL98" s="168"/>
      <c r="WXM98" s="167"/>
      <c r="WXN98" s="168"/>
      <c r="WXO98" s="167"/>
      <c r="WXP98" s="168"/>
      <c r="WXQ98" s="167"/>
      <c r="WXR98" s="168"/>
      <c r="WXS98" s="167"/>
      <c r="WXT98" s="168"/>
      <c r="WXU98" s="167"/>
      <c r="WXV98" s="168"/>
      <c r="WXW98" s="167"/>
      <c r="WXX98" s="168"/>
      <c r="WXY98" s="167"/>
      <c r="WXZ98" s="168"/>
      <c r="WYA98" s="167"/>
      <c r="WYB98" s="168"/>
      <c r="WYC98" s="167"/>
      <c r="WYD98" s="168"/>
      <c r="WYE98" s="167"/>
      <c r="WYF98" s="168"/>
      <c r="WYG98" s="167"/>
      <c r="WYH98" s="168"/>
      <c r="WYI98" s="167"/>
      <c r="WYJ98" s="168"/>
      <c r="WYK98" s="167"/>
      <c r="WYL98" s="168"/>
      <c r="WYM98" s="167"/>
      <c r="WYN98" s="168"/>
      <c r="WYO98" s="167"/>
      <c r="WYP98" s="168"/>
      <c r="WYQ98" s="167"/>
      <c r="WYR98" s="168"/>
      <c r="WYS98" s="167"/>
      <c r="WYT98" s="168"/>
      <c r="WYU98" s="167"/>
      <c r="WYV98" s="168"/>
      <c r="WYW98" s="167"/>
      <c r="WYX98" s="168"/>
      <c r="WYY98" s="167"/>
      <c r="WYZ98" s="168"/>
      <c r="WZA98" s="167"/>
      <c r="WZB98" s="168"/>
      <c r="WZC98" s="167"/>
      <c r="WZD98" s="168"/>
      <c r="WZE98" s="167"/>
      <c r="WZF98" s="168"/>
      <c r="WZG98" s="167"/>
      <c r="WZH98" s="168"/>
      <c r="WZI98" s="167"/>
      <c r="WZJ98" s="168"/>
      <c r="WZK98" s="167"/>
      <c r="WZL98" s="168"/>
      <c r="WZM98" s="167"/>
      <c r="WZN98" s="168"/>
      <c r="WZO98" s="167"/>
      <c r="WZP98" s="168"/>
      <c r="WZQ98" s="167"/>
      <c r="WZR98" s="168"/>
      <c r="WZS98" s="167"/>
      <c r="WZT98" s="168"/>
      <c r="WZU98" s="167"/>
      <c r="WZV98" s="168"/>
      <c r="WZW98" s="167"/>
      <c r="WZX98" s="168"/>
      <c r="WZY98" s="167"/>
      <c r="WZZ98" s="168"/>
      <c r="XAA98" s="167"/>
      <c r="XAB98" s="168"/>
      <c r="XAC98" s="167"/>
      <c r="XAD98" s="168"/>
      <c r="XAE98" s="167"/>
      <c r="XAF98" s="168"/>
      <c r="XAG98" s="167"/>
      <c r="XAH98" s="168"/>
      <c r="XAI98" s="167"/>
      <c r="XAJ98" s="168"/>
      <c r="XAK98" s="167"/>
      <c r="XAL98" s="168"/>
      <c r="XAM98" s="167"/>
      <c r="XAN98" s="168"/>
      <c r="XAO98" s="167"/>
      <c r="XAP98" s="168"/>
      <c r="XAQ98" s="167"/>
      <c r="XAR98" s="168"/>
      <c r="XAS98" s="167"/>
      <c r="XAT98" s="168"/>
      <c r="XAU98" s="167"/>
      <c r="XAV98" s="168"/>
      <c r="XAW98" s="167"/>
      <c r="XAX98" s="168"/>
      <c r="XAY98" s="167"/>
      <c r="XAZ98" s="168"/>
      <c r="XBA98" s="167"/>
      <c r="XBB98" s="168"/>
      <c r="XBC98" s="167"/>
      <c r="XBD98" s="168"/>
      <c r="XBE98" s="167"/>
      <c r="XBF98" s="168"/>
      <c r="XBG98" s="167"/>
      <c r="XBH98" s="168"/>
      <c r="XBI98" s="167"/>
      <c r="XBJ98" s="168"/>
      <c r="XBK98" s="167"/>
      <c r="XBL98" s="168"/>
      <c r="XBM98" s="167"/>
      <c r="XBN98" s="168"/>
      <c r="XBO98" s="167"/>
      <c r="XBP98" s="168"/>
      <c r="XBQ98" s="167"/>
      <c r="XBR98" s="168"/>
      <c r="XBS98" s="167"/>
      <c r="XBT98" s="168"/>
      <c r="XBU98" s="167"/>
      <c r="XBV98" s="168"/>
      <c r="XBW98" s="167"/>
      <c r="XBX98" s="168"/>
      <c r="XBY98" s="167"/>
      <c r="XBZ98" s="168"/>
      <c r="XCA98" s="167"/>
      <c r="XCB98" s="168"/>
      <c r="XCC98" s="167"/>
      <c r="XCD98" s="168"/>
      <c r="XCE98" s="167"/>
      <c r="XCF98" s="168"/>
      <c r="XCG98" s="167"/>
      <c r="XCH98" s="168"/>
      <c r="XCI98" s="167"/>
      <c r="XCJ98" s="168"/>
      <c r="XCK98" s="167"/>
      <c r="XCL98" s="168"/>
      <c r="XCM98" s="167"/>
      <c r="XCN98" s="168"/>
      <c r="XCO98" s="167"/>
      <c r="XCP98" s="168"/>
      <c r="XCQ98" s="167"/>
      <c r="XCR98" s="168"/>
      <c r="XCS98" s="167"/>
      <c r="XCT98" s="168"/>
      <c r="XCU98" s="167"/>
      <c r="XCV98" s="168"/>
      <c r="XCW98" s="167"/>
      <c r="XCX98" s="168"/>
      <c r="XCY98" s="167"/>
      <c r="XCZ98" s="168"/>
      <c r="XDA98" s="167"/>
      <c r="XDB98" s="168"/>
      <c r="XDC98" s="167"/>
      <c r="XDD98" s="168"/>
      <c r="XDE98" s="167"/>
      <c r="XDF98" s="168"/>
      <c r="XDG98" s="167"/>
      <c r="XDH98" s="168"/>
      <c r="XDI98" s="167"/>
      <c r="XDJ98" s="168"/>
      <c r="XDK98" s="167"/>
      <c r="XDL98" s="168"/>
      <c r="XDM98" s="167"/>
      <c r="XDN98" s="168"/>
      <c r="XDO98" s="167"/>
      <c r="XDP98" s="168"/>
      <c r="XDQ98" s="167"/>
      <c r="XDR98" s="168"/>
      <c r="XDS98" s="167"/>
      <c r="XDT98" s="168"/>
      <c r="XDU98" s="167"/>
      <c r="XDV98" s="168"/>
      <c r="XDW98" s="167"/>
      <c r="XDX98" s="168"/>
      <c r="XDY98" s="167"/>
      <c r="XDZ98" s="168"/>
      <c r="XEA98" s="167"/>
      <c r="XEB98" s="168"/>
      <c r="XEC98" s="167"/>
      <c r="XED98" s="168"/>
      <c r="XEE98" s="167"/>
      <c r="XEF98" s="168"/>
      <c r="XEG98" s="167"/>
      <c r="XEH98" s="168"/>
      <c r="XEI98" s="167"/>
      <c r="XEJ98" s="168"/>
      <c r="XEK98" s="167"/>
      <c r="XEL98" s="168"/>
      <c r="XEM98" s="167"/>
      <c r="XEN98" s="168"/>
      <c r="XEO98" s="167"/>
      <c r="XEP98" s="168"/>
      <c r="XEQ98" s="167"/>
      <c r="XER98" s="168"/>
      <c r="XES98" s="167"/>
      <c r="XET98" s="168"/>
      <c r="XEU98" s="167"/>
      <c r="XEV98" s="168"/>
      <c r="XEW98" s="167"/>
      <c r="XEX98" s="168"/>
      <c r="XEY98" s="167"/>
      <c r="XEZ98" s="168"/>
      <c r="XFA98" s="167"/>
      <c r="XFB98" s="168"/>
      <c r="XFC98" s="167"/>
      <c r="XFD98" s="168"/>
    </row>
    <row r="99" spans="1:16384" s="105" customFormat="1" ht="95.15" customHeight="1">
      <c r="A99"/>
      <c r="B99"/>
      <c r="C99"/>
      <c r="D99"/>
      <c r="E99" s="107"/>
      <c r="F99"/>
      <c r="G99" s="107"/>
      <c r="H99" s="107"/>
      <c r="I99" s="108"/>
      <c r="J99" s="108"/>
      <c r="K99" s="107"/>
      <c r="L99" s="107"/>
      <c r="M99" s="107"/>
      <c r="N99" s="107"/>
      <c r="O99" s="107"/>
      <c r="P99" s="107"/>
      <c r="Q99" s="107"/>
      <c r="R99" s="107"/>
      <c r="S99" s="107"/>
      <c r="T99" s="107"/>
      <c r="U99" s="107"/>
      <c r="V99" s="107"/>
      <c r="W99" s="107"/>
      <c r="X99" s="107"/>
      <c r="Y99" s="107"/>
      <c r="Z99" s="107"/>
      <c r="AA99" s="109"/>
      <c r="AB99"/>
      <c r="AC99" s="167"/>
      <c r="AD99" s="168"/>
      <c r="AE99" s="167"/>
      <c r="AF99" s="168"/>
      <c r="AG99" s="167"/>
      <c r="AH99" s="168"/>
      <c r="AI99" s="167"/>
      <c r="AJ99" s="168"/>
      <c r="AK99" s="167"/>
      <c r="AL99" s="168"/>
      <c r="AM99" s="167"/>
      <c r="AN99" s="168"/>
      <c r="AO99" s="167"/>
      <c r="AP99" s="168"/>
      <c r="AQ99" s="167"/>
      <c r="AR99" s="168"/>
      <c r="AS99" s="167"/>
      <c r="AT99" s="168"/>
      <c r="AU99" s="167"/>
      <c r="AV99" s="168"/>
      <c r="AW99" s="167"/>
      <c r="AX99" s="168"/>
      <c r="AY99" s="167"/>
      <c r="AZ99" s="168"/>
      <c r="BA99" s="167"/>
      <c r="BB99" s="168"/>
      <c r="BC99" s="167"/>
      <c r="BD99" s="168"/>
      <c r="BE99" s="167"/>
      <c r="BF99" s="168"/>
      <c r="BG99" s="167"/>
      <c r="BH99" s="168"/>
      <c r="BI99" s="167"/>
      <c r="BJ99" s="168"/>
      <c r="BK99" s="167"/>
      <c r="BL99" s="168"/>
      <c r="BM99" s="167"/>
      <c r="BN99" s="168"/>
      <c r="BO99" s="167"/>
      <c r="BP99" s="168"/>
      <c r="BQ99" s="167"/>
      <c r="BR99" s="168"/>
      <c r="BS99" s="167"/>
      <c r="BT99" s="168"/>
      <c r="BU99" s="167"/>
      <c r="BV99" s="168"/>
      <c r="BW99" s="167"/>
      <c r="BX99" s="168"/>
      <c r="BY99" s="167"/>
      <c r="BZ99" s="168"/>
      <c r="CA99" s="167"/>
      <c r="CB99" s="168"/>
      <c r="CC99" s="167"/>
      <c r="CD99" s="168"/>
      <c r="CE99" s="167"/>
      <c r="CF99" s="168"/>
      <c r="CG99" s="167"/>
      <c r="CH99" s="168"/>
      <c r="CI99" s="167"/>
      <c r="CJ99" s="168"/>
      <c r="CK99" s="167"/>
      <c r="CL99" s="168"/>
      <c r="CM99" s="167"/>
      <c r="CN99" s="168"/>
      <c r="CO99" s="167"/>
      <c r="CP99" s="168"/>
      <c r="CQ99" s="167"/>
      <c r="CR99" s="168"/>
      <c r="CS99" s="167"/>
      <c r="CT99" s="168"/>
      <c r="CU99" s="167"/>
      <c r="CV99" s="168"/>
      <c r="CW99" s="167"/>
      <c r="CX99" s="168"/>
      <c r="CY99" s="167"/>
      <c r="CZ99" s="168"/>
      <c r="DA99" s="167"/>
      <c r="DB99" s="168"/>
      <c r="DC99" s="167"/>
      <c r="DD99" s="168"/>
      <c r="DE99" s="167"/>
      <c r="DF99" s="168"/>
      <c r="DG99" s="167"/>
      <c r="DH99" s="168"/>
      <c r="DI99" s="167"/>
      <c r="DJ99" s="168"/>
      <c r="DK99" s="167"/>
      <c r="DL99" s="168"/>
      <c r="DM99" s="167"/>
      <c r="DN99" s="168"/>
      <c r="DO99" s="167"/>
      <c r="DP99" s="168"/>
      <c r="DQ99" s="167"/>
      <c r="DR99" s="168"/>
      <c r="DS99" s="167"/>
      <c r="DT99" s="168"/>
      <c r="DU99" s="167"/>
      <c r="DV99" s="168"/>
      <c r="DW99" s="167"/>
      <c r="DX99" s="168"/>
      <c r="DY99" s="167"/>
      <c r="DZ99" s="168"/>
      <c r="EA99" s="167"/>
      <c r="EB99" s="168"/>
      <c r="EC99" s="167"/>
      <c r="ED99" s="168"/>
      <c r="EE99" s="167"/>
      <c r="EF99" s="168"/>
      <c r="EG99" s="167"/>
      <c r="EH99" s="168"/>
      <c r="EI99" s="167"/>
      <c r="EJ99" s="168"/>
      <c r="EK99" s="167"/>
      <c r="EL99" s="168"/>
      <c r="EM99" s="167"/>
      <c r="EN99" s="168"/>
      <c r="EO99" s="167"/>
      <c r="EP99" s="168"/>
      <c r="EQ99" s="167"/>
      <c r="ER99" s="168"/>
      <c r="ES99" s="167"/>
      <c r="ET99" s="168"/>
      <c r="EU99" s="167"/>
      <c r="EV99" s="168"/>
      <c r="EW99" s="167"/>
      <c r="EX99" s="168"/>
      <c r="EY99" s="167"/>
      <c r="EZ99" s="168"/>
      <c r="FA99" s="167"/>
      <c r="FB99" s="168"/>
      <c r="FC99" s="167"/>
      <c r="FD99" s="168"/>
      <c r="FE99" s="167"/>
      <c r="FF99" s="168"/>
      <c r="FG99" s="167"/>
      <c r="FH99" s="168"/>
      <c r="FI99" s="167"/>
      <c r="FJ99" s="168"/>
      <c r="FK99" s="167"/>
      <c r="FL99" s="168"/>
      <c r="FM99" s="167"/>
      <c r="FN99" s="168"/>
      <c r="FO99" s="167"/>
      <c r="FP99" s="168"/>
      <c r="FQ99" s="167"/>
      <c r="FR99" s="168"/>
      <c r="FS99" s="167"/>
      <c r="FT99" s="168"/>
      <c r="FU99" s="167"/>
      <c r="FV99" s="168"/>
      <c r="FW99" s="167"/>
      <c r="FX99" s="168"/>
      <c r="FY99" s="167"/>
      <c r="FZ99" s="168"/>
      <c r="GA99" s="167"/>
      <c r="GB99" s="168"/>
      <c r="GC99" s="167"/>
      <c r="GD99" s="168"/>
      <c r="GE99" s="167"/>
      <c r="GF99" s="168"/>
      <c r="GG99" s="167"/>
      <c r="GH99" s="168"/>
      <c r="GI99" s="167"/>
      <c r="GJ99" s="168"/>
      <c r="GK99" s="167"/>
      <c r="GL99" s="168"/>
      <c r="GM99" s="167"/>
      <c r="GN99" s="168"/>
      <c r="GO99" s="167"/>
      <c r="GP99" s="168"/>
      <c r="GQ99" s="167"/>
      <c r="GR99" s="168"/>
      <c r="GS99" s="167"/>
      <c r="GT99" s="168"/>
      <c r="GU99" s="167"/>
      <c r="GV99" s="168"/>
      <c r="GW99" s="167"/>
      <c r="GX99" s="168"/>
      <c r="GY99" s="167"/>
      <c r="GZ99" s="168"/>
      <c r="HA99" s="167"/>
      <c r="HB99" s="168"/>
      <c r="HC99" s="167"/>
      <c r="HD99" s="168"/>
      <c r="HE99" s="167"/>
      <c r="HF99" s="168"/>
      <c r="HG99" s="167"/>
      <c r="HH99" s="168"/>
      <c r="HI99" s="167"/>
      <c r="HJ99" s="168"/>
      <c r="HK99" s="167"/>
      <c r="HL99" s="168"/>
      <c r="HM99" s="167"/>
      <c r="HN99" s="168"/>
      <c r="HO99" s="167"/>
      <c r="HP99" s="168"/>
      <c r="HQ99" s="167"/>
      <c r="HR99" s="168"/>
      <c r="HS99" s="167"/>
      <c r="HT99" s="168"/>
      <c r="HU99" s="167"/>
      <c r="HV99" s="168"/>
      <c r="HW99" s="167"/>
      <c r="HX99" s="168"/>
      <c r="HY99" s="167"/>
      <c r="HZ99" s="168"/>
      <c r="IA99" s="167"/>
      <c r="IB99" s="168"/>
      <c r="IC99" s="167"/>
      <c r="ID99" s="168"/>
      <c r="IE99" s="167"/>
      <c r="IF99" s="168"/>
      <c r="IG99" s="167"/>
      <c r="IH99" s="168"/>
      <c r="II99" s="167"/>
      <c r="IJ99" s="168"/>
      <c r="IK99" s="167"/>
      <c r="IL99" s="168"/>
      <c r="IM99" s="167"/>
      <c r="IN99" s="168"/>
      <c r="IO99" s="167"/>
      <c r="IP99" s="168"/>
      <c r="IQ99" s="167"/>
      <c r="IR99" s="168"/>
      <c r="IS99" s="167"/>
      <c r="IT99" s="168"/>
      <c r="IU99" s="167"/>
      <c r="IV99" s="168"/>
      <c r="IW99" s="167"/>
      <c r="IX99" s="168"/>
      <c r="IY99" s="167"/>
      <c r="IZ99" s="168"/>
      <c r="JA99" s="167"/>
      <c r="JB99" s="168"/>
      <c r="JC99" s="167"/>
      <c r="JD99" s="168"/>
      <c r="JE99" s="167"/>
      <c r="JF99" s="168"/>
      <c r="JG99" s="167"/>
      <c r="JH99" s="168"/>
      <c r="JI99" s="167"/>
      <c r="JJ99" s="168"/>
      <c r="JK99" s="167"/>
      <c r="JL99" s="168"/>
      <c r="JM99" s="167"/>
      <c r="JN99" s="168"/>
      <c r="JO99" s="167"/>
      <c r="JP99" s="168"/>
      <c r="JQ99" s="167"/>
      <c r="JR99" s="168"/>
      <c r="JS99" s="167"/>
      <c r="JT99" s="168"/>
      <c r="JU99" s="167"/>
      <c r="JV99" s="168"/>
      <c r="JW99" s="167"/>
      <c r="JX99" s="168"/>
      <c r="JY99" s="167"/>
      <c r="JZ99" s="168"/>
      <c r="KA99" s="167"/>
      <c r="KB99" s="168"/>
      <c r="KC99" s="167"/>
      <c r="KD99" s="168"/>
      <c r="KE99" s="167"/>
      <c r="KF99" s="168"/>
      <c r="KG99" s="167"/>
      <c r="KH99" s="168"/>
      <c r="KI99" s="167"/>
      <c r="KJ99" s="168"/>
      <c r="KK99" s="167"/>
      <c r="KL99" s="168"/>
      <c r="KM99" s="167"/>
      <c r="KN99" s="168"/>
      <c r="KO99" s="167"/>
      <c r="KP99" s="168"/>
      <c r="KQ99" s="167"/>
      <c r="KR99" s="168"/>
      <c r="KS99" s="167"/>
      <c r="KT99" s="168"/>
      <c r="KU99" s="167"/>
      <c r="KV99" s="168"/>
      <c r="KW99" s="167"/>
      <c r="KX99" s="168"/>
      <c r="KY99" s="167"/>
      <c r="KZ99" s="168"/>
      <c r="LA99" s="167"/>
      <c r="LB99" s="168"/>
      <c r="LC99" s="167"/>
      <c r="LD99" s="168"/>
      <c r="LE99" s="167"/>
      <c r="LF99" s="168"/>
      <c r="LG99" s="167"/>
      <c r="LH99" s="168"/>
      <c r="LI99" s="167"/>
      <c r="LJ99" s="168"/>
      <c r="LK99" s="167"/>
      <c r="LL99" s="168"/>
      <c r="LM99" s="167"/>
      <c r="LN99" s="168"/>
      <c r="LO99" s="167"/>
      <c r="LP99" s="168"/>
      <c r="LQ99" s="167"/>
      <c r="LR99" s="168"/>
      <c r="LS99" s="167"/>
      <c r="LT99" s="168"/>
      <c r="LU99" s="167"/>
      <c r="LV99" s="168"/>
      <c r="LW99" s="167"/>
      <c r="LX99" s="168"/>
      <c r="LY99" s="167"/>
      <c r="LZ99" s="168"/>
      <c r="MA99" s="167"/>
      <c r="MB99" s="168"/>
      <c r="MC99" s="167"/>
      <c r="MD99" s="168"/>
      <c r="ME99" s="167"/>
      <c r="MF99" s="168"/>
      <c r="MG99" s="167"/>
      <c r="MH99" s="168"/>
      <c r="MI99" s="167"/>
      <c r="MJ99" s="168"/>
      <c r="MK99" s="167"/>
      <c r="ML99" s="168"/>
      <c r="MM99" s="167"/>
      <c r="MN99" s="168"/>
      <c r="MO99" s="167"/>
      <c r="MP99" s="168"/>
      <c r="MQ99" s="167"/>
      <c r="MR99" s="168"/>
      <c r="MS99" s="167"/>
      <c r="MT99" s="168"/>
      <c r="MU99" s="167"/>
      <c r="MV99" s="168"/>
      <c r="MW99" s="167"/>
      <c r="MX99" s="168"/>
      <c r="MY99" s="167"/>
      <c r="MZ99" s="168"/>
      <c r="NA99" s="167"/>
      <c r="NB99" s="168"/>
      <c r="NC99" s="167"/>
      <c r="ND99" s="168"/>
      <c r="NE99" s="167"/>
      <c r="NF99" s="168"/>
      <c r="NG99" s="167"/>
      <c r="NH99" s="168"/>
      <c r="NI99" s="167"/>
      <c r="NJ99" s="168"/>
      <c r="NK99" s="167"/>
      <c r="NL99" s="168"/>
      <c r="NM99" s="167"/>
      <c r="NN99" s="168"/>
      <c r="NO99" s="167"/>
      <c r="NP99" s="168"/>
      <c r="NQ99" s="167"/>
      <c r="NR99" s="168"/>
      <c r="NS99" s="167"/>
      <c r="NT99" s="168"/>
      <c r="NU99" s="167"/>
      <c r="NV99" s="168"/>
      <c r="NW99" s="167"/>
      <c r="NX99" s="168"/>
      <c r="NY99" s="167"/>
      <c r="NZ99" s="168"/>
      <c r="OA99" s="167"/>
      <c r="OB99" s="168"/>
      <c r="OC99" s="167"/>
      <c r="OD99" s="168"/>
      <c r="OE99" s="167"/>
      <c r="OF99" s="168"/>
      <c r="OG99" s="167"/>
      <c r="OH99" s="168"/>
      <c r="OI99" s="167"/>
      <c r="OJ99" s="168"/>
      <c r="OK99" s="167"/>
      <c r="OL99" s="168"/>
      <c r="OM99" s="167"/>
      <c r="ON99" s="168"/>
      <c r="OO99" s="167"/>
      <c r="OP99" s="168"/>
      <c r="OQ99" s="167"/>
      <c r="OR99" s="168"/>
      <c r="OS99" s="167"/>
      <c r="OT99" s="168"/>
      <c r="OU99" s="167"/>
      <c r="OV99" s="168"/>
      <c r="OW99" s="167"/>
      <c r="OX99" s="168"/>
      <c r="OY99" s="167"/>
      <c r="OZ99" s="168"/>
      <c r="PA99" s="167"/>
      <c r="PB99" s="168"/>
      <c r="PC99" s="167"/>
      <c r="PD99" s="168"/>
      <c r="PE99" s="167"/>
      <c r="PF99" s="168"/>
      <c r="PG99" s="167"/>
      <c r="PH99" s="168"/>
      <c r="PI99" s="167"/>
      <c r="PJ99" s="168"/>
      <c r="PK99" s="167"/>
      <c r="PL99" s="168"/>
      <c r="PM99" s="167"/>
      <c r="PN99" s="168"/>
      <c r="PO99" s="167"/>
      <c r="PP99" s="168"/>
      <c r="PQ99" s="167"/>
      <c r="PR99" s="168"/>
      <c r="PS99" s="167"/>
      <c r="PT99" s="168"/>
      <c r="PU99" s="167"/>
      <c r="PV99" s="168"/>
      <c r="PW99" s="167"/>
      <c r="PX99" s="168"/>
      <c r="PY99" s="167"/>
      <c r="PZ99" s="168"/>
      <c r="QA99" s="167"/>
      <c r="QB99" s="168"/>
      <c r="QC99" s="167"/>
      <c r="QD99" s="168"/>
      <c r="QE99" s="167"/>
      <c r="QF99" s="168"/>
      <c r="QG99" s="167"/>
      <c r="QH99" s="168"/>
      <c r="QI99" s="167"/>
      <c r="QJ99" s="168"/>
      <c r="QK99" s="167"/>
      <c r="QL99" s="168"/>
      <c r="QM99" s="167"/>
      <c r="QN99" s="168"/>
      <c r="QO99" s="167"/>
      <c r="QP99" s="168"/>
      <c r="QQ99" s="167"/>
      <c r="QR99" s="168"/>
      <c r="QS99" s="167"/>
      <c r="QT99" s="168"/>
      <c r="QU99" s="167"/>
      <c r="QV99" s="168"/>
      <c r="QW99" s="167"/>
      <c r="QX99" s="168"/>
      <c r="QY99" s="167"/>
      <c r="QZ99" s="168"/>
      <c r="RA99" s="167"/>
      <c r="RB99" s="168"/>
      <c r="RC99" s="167"/>
      <c r="RD99" s="168"/>
      <c r="RE99" s="167"/>
      <c r="RF99" s="168"/>
      <c r="RG99" s="167"/>
      <c r="RH99" s="168"/>
      <c r="RI99" s="167"/>
      <c r="RJ99" s="168"/>
      <c r="RK99" s="167"/>
      <c r="RL99" s="168"/>
      <c r="RM99" s="167"/>
      <c r="RN99" s="168"/>
      <c r="RO99" s="167"/>
      <c r="RP99" s="168"/>
      <c r="RQ99" s="167"/>
      <c r="RR99" s="168"/>
      <c r="RS99" s="167"/>
      <c r="RT99" s="168"/>
      <c r="RU99" s="167"/>
      <c r="RV99" s="168"/>
      <c r="RW99" s="167"/>
      <c r="RX99" s="168"/>
      <c r="RY99" s="167"/>
      <c r="RZ99" s="168"/>
      <c r="SA99" s="167"/>
      <c r="SB99" s="168"/>
      <c r="SC99" s="167"/>
      <c r="SD99" s="168"/>
      <c r="SE99" s="167"/>
      <c r="SF99" s="168"/>
      <c r="SG99" s="167"/>
      <c r="SH99" s="168"/>
      <c r="SI99" s="167"/>
      <c r="SJ99" s="168"/>
      <c r="SK99" s="167"/>
      <c r="SL99" s="168"/>
      <c r="SM99" s="167"/>
      <c r="SN99" s="168"/>
      <c r="SO99" s="167"/>
      <c r="SP99" s="168"/>
      <c r="SQ99" s="167"/>
      <c r="SR99" s="168"/>
      <c r="SS99" s="167"/>
      <c r="ST99" s="168"/>
      <c r="SU99" s="167"/>
      <c r="SV99" s="168"/>
      <c r="SW99" s="167"/>
      <c r="SX99" s="168"/>
      <c r="SY99" s="167"/>
      <c r="SZ99" s="168"/>
      <c r="TA99" s="167"/>
      <c r="TB99" s="168"/>
      <c r="TC99" s="167"/>
      <c r="TD99" s="168"/>
      <c r="TE99" s="167"/>
      <c r="TF99" s="168"/>
      <c r="TG99" s="167"/>
      <c r="TH99" s="168"/>
      <c r="TI99" s="167"/>
      <c r="TJ99" s="168"/>
      <c r="TK99" s="167"/>
      <c r="TL99" s="168"/>
      <c r="TM99" s="167"/>
      <c r="TN99" s="168"/>
      <c r="TO99" s="167"/>
      <c r="TP99" s="168"/>
      <c r="TQ99" s="167"/>
      <c r="TR99" s="168"/>
      <c r="TS99" s="167"/>
      <c r="TT99" s="168"/>
      <c r="TU99" s="167"/>
      <c r="TV99" s="168"/>
      <c r="TW99" s="167"/>
      <c r="TX99" s="168"/>
      <c r="TY99" s="167"/>
      <c r="TZ99" s="168"/>
      <c r="UA99" s="167"/>
      <c r="UB99" s="168"/>
      <c r="UC99" s="167"/>
      <c r="UD99" s="168"/>
      <c r="UE99" s="167"/>
      <c r="UF99" s="168"/>
      <c r="UG99" s="167"/>
      <c r="UH99" s="168"/>
      <c r="UI99" s="167"/>
      <c r="UJ99" s="168"/>
      <c r="UK99" s="167"/>
      <c r="UL99" s="168"/>
      <c r="UM99" s="167"/>
      <c r="UN99" s="168"/>
      <c r="UO99" s="167"/>
      <c r="UP99" s="168"/>
      <c r="UQ99" s="167"/>
      <c r="UR99" s="168"/>
      <c r="US99" s="167"/>
      <c r="UT99" s="168"/>
      <c r="UU99" s="167"/>
      <c r="UV99" s="168"/>
      <c r="UW99" s="167"/>
      <c r="UX99" s="168"/>
      <c r="UY99" s="167"/>
      <c r="UZ99" s="168"/>
      <c r="VA99" s="167"/>
      <c r="VB99" s="168"/>
      <c r="VC99" s="167"/>
      <c r="VD99" s="168"/>
      <c r="VE99" s="167"/>
      <c r="VF99" s="168"/>
      <c r="VG99" s="167"/>
      <c r="VH99" s="168"/>
      <c r="VI99" s="167"/>
      <c r="VJ99" s="168"/>
      <c r="VK99" s="167"/>
      <c r="VL99" s="168"/>
      <c r="VM99" s="167"/>
      <c r="VN99" s="168"/>
      <c r="VO99" s="167"/>
      <c r="VP99" s="168"/>
      <c r="VQ99" s="167"/>
      <c r="VR99" s="168"/>
      <c r="VS99" s="167"/>
      <c r="VT99" s="168"/>
      <c r="VU99" s="167"/>
      <c r="VV99" s="168"/>
      <c r="VW99" s="167"/>
      <c r="VX99" s="168"/>
      <c r="VY99" s="167"/>
      <c r="VZ99" s="168"/>
      <c r="WA99" s="167"/>
      <c r="WB99" s="168"/>
      <c r="WC99" s="167"/>
      <c r="WD99" s="168"/>
      <c r="WE99" s="167"/>
      <c r="WF99" s="168"/>
      <c r="WG99" s="167"/>
      <c r="WH99" s="168"/>
      <c r="WI99" s="167"/>
      <c r="WJ99" s="168"/>
      <c r="WK99" s="167"/>
      <c r="WL99" s="168"/>
      <c r="WM99" s="167"/>
      <c r="WN99" s="168"/>
      <c r="WO99" s="167"/>
      <c r="WP99" s="168"/>
      <c r="WQ99" s="167"/>
      <c r="WR99" s="168"/>
      <c r="WS99" s="167"/>
      <c r="WT99" s="168"/>
      <c r="WU99" s="167"/>
      <c r="WV99" s="168"/>
      <c r="WW99" s="167"/>
      <c r="WX99" s="168"/>
      <c r="WY99" s="167"/>
      <c r="WZ99" s="168"/>
      <c r="XA99" s="167"/>
      <c r="XB99" s="168"/>
      <c r="XC99" s="167"/>
      <c r="XD99" s="168"/>
      <c r="XE99" s="167"/>
      <c r="XF99" s="168"/>
      <c r="XG99" s="167"/>
      <c r="XH99" s="168"/>
      <c r="XI99" s="167"/>
      <c r="XJ99" s="168"/>
      <c r="XK99" s="167"/>
      <c r="XL99" s="168"/>
      <c r="XM99" s="167"/>
      <c r="XN99" s="168"/>
      <c r="XO99" s="167"/>
      <c r="XP99" s="168"/>
      <c r="XQ99" s="167"/>
      <c r="XR99" s="168"/>
      <c r="XS99" s="167"/>
      <c r="XT99" s="168"/>
      <c r="XU99" s="167"/>
      <c r="XV99" s="168"/>
      <c r="XW99" s="167"/>
      <c r="XX99" s="168"/>
      <c r="XY99" s="167"/>
      <c r="XZ99" s="168"/>
      <c r="YA99" s="167"/>
      <c r="YB99" s="168"/>
      <c r="YC99" s="167"/>
      <c r="YD99" s="168"/>
      <c r="YE99" s="167"/>
      <c r="YF99" s="168"/>
      <c r="YG99" s="167"/>
      <c r="YH99" s="168"/>
      <c r="YI99" s="167"/>
      <c r="YJ99" s="168"/>
      <c r="YK99" s="167"/>
      <c r="YL99" s="168"/>
      <c r="YM99" s="167"/>
      <c r="YN99" s="168"/>
      <c r="YO99" s="167"/>
      <c r="YP99" s="168"/>
      <c r="YQ99" s="167"/>
      <c r="YR99" s="168"/>
      <c r="YS99" s="167"/>
      <c r="YT99" s="168"/>
      <c r="YU99" s="167"/>
      <c r="YV99" s="168"/>
      <c r="YW99" s="167"/>
      <c r="YX99" s="168"/>
      <c r="YY99" s="167"/>
      <c r="YZ99" s="168"/>
      <c r="ZA99" s="167"/>
      <c r="ZB99" s="168"/>
      <c r="ZC99" s="167"/>
      <c r="ZD99" s="168"/>
      <c r="ZE99" s="167"/>
      <c r="ZF99" s="168"/>
      <c r="ZG99" s="167"/>
      <c r="ZH99" s="168"/>
      <c r="ZI99" s="167"/>
      <c r="ZJ99" s="168"/>
      <c r="ZK99" s="167"/>
      <c r="ZL99" s="168"/>
      <c r="ZM99" s="167"/>
      <c r="ZN99" s="168"/>
      <c r="ZO99" s="167"/>
      <c r="ZP99" s="168"/>
      <c r="ZQ99" s="167"/>
      <c r="ZR99" s="168"/>
      <c r="ZS99" s="167"/>
      <c r="ZT99" s="168"/>
      <c r="ZU99" s="167"/>
      <c r="ZV99" s="168"/>
      <c r="ZW99" s="167"/>
      <c r="ZX99" s="168"/>
      <c r="ZY99" s="167"/>
      <c r="ZZ99" s="168"/>
      <c r="AAA99" s="167"/>
      <c r="AAB99" s="168"/>
      <c r="AAC99" s="167"/>
      <c r="AAD99" s="168"/>
      <c r="AAE99" s="167"/>
      <c r="AAF99" s="168"/>
      <c r="AAG99" s="167"/>
      <c r="AAH99" s="168"/>
      <c r="AAI99" s="167"/>
      <c r="AAJ99" s="168"/>
      <c r="AAK99" s="167"/>
      <c r="AAL99" s="168"/>
      <c r="AAM99" s="167"/>
      <c r="AAN99" s="168"/>
      <c r="AAO99" s="167"/>
      <c r="AAP99" s="168"/>
      <c r="AAQ99" s="167"/>
      <c r="AAR99" s="168"/>
      <c r="AAS99" s="167"/>
      <c r="AAT99" s="168"/>
      <c r="AAU99" s="167"/>
      <c r="AAV99" s="168"/>
      <c r="AAW99" s="167"/>
      <c r="AAX99" s="168"/>
      <c r="AAY99" s="167"/>
      <c r="AAZ99" s="168"/>
      <c r="ABA99" s="167"/>
      <c r="ABB99" s="168"/>
      <c r="ABC99" s="167"/>
      <c r="ABD99" s="168"/>
      <c r="ABE99" s="167"/>
      <c r="ABF99" s="168"/>
      <c r="ABG99" s="167"/>
      <c r="ABH99" s="168"/>
      <c r="ABI99" s="167"/>
      <c r="ABJ99" s="168"/>
      <c r="ABK99" s="167"/>
      <c r="ABL99" s="168"/>
      <c r="ABM99" s="167"/>
      <c r="ABN99" s="168"/>
      <c r="ABO99" s="167"/>
      <c r="ABP99" s="168"/>
      <c r="ABQ99" s="167"/>
      <c r="ABR99" s="168"/>
      <c r="ABS99" s="167"/>
      <c r="ABT99" s="168"/>
      <c r="ABU99" s="167"/>
      <c r="ABV99" s="168"/>
      <c r="ABW99" s="167"/>
      <c r="ABX99" s="168"/>
      <c r="ABY99" s="167"/>
      <c r="ABZ99" s="168"/>
      <c r="ACA99" s="167"/>
      <c r="ACB99" s="168"/>
      <c r="ACC99" s="167"/>
      <c r="ACD99" s="168"/>
      <c r="ACE99" s="167"/>
      <c r="ACF99" s="168"/>
      <c r="ACG99" s="167"/>
      <c r="ACH99" s="168"/>
      <c r="ACI99" s="167"/>
      <c r="ACJ99" s="168"/>
      <c r="ACK99" s="167"/>
      <c r="ACL99" s="168"/>
      <c r="ACM99" s="167"/>
      <c r="ACN99" s="168"/>
      <c r="ACO99" s="167"/>
      <c r="ACP99" s="168"/>
      <c r="ACQ99" s="167"/>
      <c r="ACR99" s="168"/>
      <c r="ACS99" s="167"/>
      <c r="ACT99" s="168"/>
      <c r="ACU99" s="167"/>
      <c r="ACV99" s="168"/>
      <c r="ACW99" s="167"/>
      <c r="ACX99" s="168"/>
      <c r="ACY99" s="167"/>
      <c r="ACZ99" s="168"/>
      <c r="ADA99" s="167"/>
      <c r="ADB99" s="168"/>
      <c r="ADC99" s="167"/>
      <c r="ADD99" s="168"/>
      <c r="ADE99" s="167"/>
      <c r="ADF99" s="168"/>
      <c r="ADG99" s="167"/>
      <c r="ADH99" s="168"/>
      <c r="ADI99" s="167"/>
      <c r="ADJ99" s="168"/>
      <c r="ADK99" s="167"/>
      <c r="ADL99" s="168"/>
      <c r="ADM99" s="167"/>
      <c r="ADN99" s="168"/>
      <c r="ADO99" s="167"/>
      <c r="ADP99" s="168"/>
      <c r="ADQ99" s="167"/>
      <c r="ADR99" s="168"/>
      <c r="ADS99" s="167"/>
      <c r="ADT99" s="168"/>
      <c r="ADU99" s="167"/>
      <c r="ADV99" s="168"/>
      <c r="ADW99" s="167"/>
      <c r="ADX99" s="168"/>
      <c r="ADY99" s="167"/>
      <c r="ADZ99" s="168"/>
      <c r="AEA99" s="167"/>
      <c r="AEB99" s="168"/>
      <c r="AEC99" s="167"/>
      <c r="AED99" s="168"/>
      <c r="AEE99" s="167"/>
      <c r="AEF99" s="168"/>
      <c r="AEG99" s="167"/>
      <c r="AEH99" s="168"/>
      <c r="AEI99" s="167"/>
      <c r="AEJ99" s="168"/>
      <c r="AEK99" s="167"/>
      <c r="AEL99" s="168"/>
      <c r="AEM99" s="167"/>
      <c r="AEN99" s="168"/>
      <c r="AEO99" s="167"/>
      <c r="AEP99" s="168"/>
      <c r="AEQ99" s="167"/>
      <c r="AER99" s="168"/>
      <c r="AES99" s="167"/>
      <c r="AET99" s="168"/>
      <c r="AEU99" s="167"/>
      <c r="AEV99" s="168"/>
      <c r="AEW99" s="167"/>
      <c r="AEX99" s="168"/>
      <c r="AEY99" s="167"/>
      <c r="AEZ99" s="168"/>
      <c r="AFA99" s="167"/>
      <c r="AFB99" s="168"/>
      <c r="AFC99" s="167"/>
      <c r="AFD99" s="168"/>
      <c r="AFE99" s="167"/>
      <c r="AFF99" s="168"/>
      <c r="AFG99" s="167"/>
      <c r="AFH99" s="168"/>
      <c r="AFI99" s="167"/>
      <c r="AFJ99" s="168"/>
      <c r="AFK99" s="167"/>
      <c r="AFL99" s="168"/>
      <c r="AFM99" s="167"/>
      <c r="AFN99" s="168"/>
      <c r="AFO99" s="167"/>
      <c r="AFP99" s="168"/>
      <c r="AFQ99" s="167"/>
      <c r="AFR99" s="168"/>
      <c r="AFS99" s="167"/>
      <c r="AFT99" s="168"/>
      <c r="AFU99" s="167"/>
      <c r="AFV99" s="168"/>
      <c r="AFW99" s="167"/>
      <c r="AFX99" s="168"/>
      <c r="AFY99" s="167"/>
      <c r="AFZ99" s="168"/>
      <c r="AGA99" s="167"/>
      <c r="AGB99" s="168"/>
      <c r="AGC99" s="167"/>
      <c r="AGD99" s="168"/>
      <c r="AGE99" s="167"/>
      <c r="AGF99" s="168"/>
      <c r="AGG99" s="167"/>
      <c r="AGH99" s="168"/>
      <c r="AGI99" s="167"/>
      <c r="AGJ99" s="168"/>
      <c r="AGK99" s="167"/>
      <c r="AGL99" s="168"/>
      <c r="AGM99" s="167"/>
      <c r="AGN99" s="168"/>
      <c r="AGO99" s="167"/>
      <c r="AGP99" s="168"/>
      <c r="AGQ99" s="167"/>
      <c r="AGR99" s="168"/>
      <c r="AGS99" s="167"/>
      <c r="AGT99" s="168"/>
      <c r="AGU99" s="167"/>
      <c r="AGV99" s="168"/>
      <c r="AGW99" s="167"/>
      <c r="AGX99" s="168"/>
      <c r="AGY99" s="167"/>
      <c r="AGZ99" s="168"/>
      <c r="AHA99" s="167"/>
      <c r="AHB99" s="168"/>
      <c r="AHC99" s="167"/>
      <c r="AHD99" s="168"/>
      <c r="AHE99" s="167"/>
      <c r="AHF99" s="168"/>
      <c r="AHG99" s="167"/>
      <c r="AHH99" s="168"/>
      <c r="AHI99" s="167"/>
      <c r="AHJ99" s="168"/>
      <c r="AHK99" s="167"/>
      <c r="AHL99" s="168"/>
      <c r="AHM99" s="167"/>
      <c r="AHN99" s="168"/>
      <c r="AHO99" s="167"/>
      <c r="AHP99" s="168"/>
      <c r="AHQ99" s="167"/>
      <c r="AHR99" s="168"/>
      <c r="AHS99" s="167"/>
      <c r="AHT99" s="168"/>
      <c r="AHU99" s="167"/>
      <c r="AHV99" s="168"/>
      <c r="AHW99" s="167"/>
      <c r="AHX99" s="168"/>
      <c r="AHY99" s="167"/>
      <c r="AHZ99" s="168"/>
      <c r="AIA99" s="167"/>
      <c r="AIB99" s="168"/>
      <c r="AIC99" s="167"/>
      <c r="AID99" s="168"/>
      <c r="AIE99" s="167"/>
      <c r="AIF99" s="168"/>
      <c r="AIG99" s="167"/>
      <c r="AIH99" s="168"/>
      <c r="AII99" s="167"/>
      <c r="AIJ99" s="168"/>
      <c r="AIK99" s="167"/>
      <c r="AIL99" s="168"/>
      <c r="AIM99" s="167"/>
      <c r="AIN99" s="168"/>
      <c r="AIO99" s="167"/>
      <c r="AIP99" s="168"/>
      <c r="AIQ99" s="167"/>
      <c r="AIR99" s="168"/>
      <c r="AIS99" s="167"/>
      <c r="AIT99" s="168"/>
      <c r="AIU99" s="167"/>
      <c r="AIV99" s="168"/>
      <c r="AIW99" s="167"/>
      <c r="AIX99" s="168"/>
      <c r="AIY99" s="167"/>
      <c r="AIZ99" s="168"/>
      <c r="AJA99" s="167"/>
      <c r="AJB99" s="168"/>
      <c r="AJC99" s="167"/>
      <c r="AJD99" s="168"/>
      <c r="AJE99" s="167"/>
      <c r="AJF99" s="168"/>
      <c r="AJG99" s="167"/>
      <c r="AJH99" s="168"/>
      <c r="AJI99" s="167"/>
      <c r="AJJ99" s="168"/>
      <c r="AJK99" s="167"/>
      <c r="AJL99" s="168"/>
      <c r="AJM99" s="167"/>
      <c r="AJN99" s="168"/>
      <c r="AJO99" s="167"/>
      <c r="AJP99" s="168"/>
      <c r="AJQ99" s="167"/>
      <c r="AJR99" s="168"/>
      <c r="AJS99" s="167"/>
      <c r="AJT99" s="168"/>
      <c r="AJU99" s="167"/>
      <c r="AJV99" s="168"/>
      <c r="AJW99" s="167"/>
      <c r="AJX99" s="168"/>
      <c r="AJY99" s="167"/>
      <c r="AJZ99" s="168"/>
      <c r="AKA99" s="167"/>
      <c r="AKB99" s="168"/>
      <c r="AKC99" s="167"/>
      <c r="AKD99" s="168"/>
      <c r="AKE99" s="167"/>
      <c r="AKF99" s="168"/>
      <c r="AKG99" s="167"/>
      <c r="AKH99" s="168"/>
      <c r="AKI99" s="167"/>
      <c r="AKJ99" s="168"/>
      <c r="AKK99" s="167"/>
      <c r="AKL99" s="168"/>
      <c r="AKM99" s="167"/>
      <c r="AKN99" s="168"/>
      <c r="AKO99" s="167"/>
      <c r="AKP99" s="168"/>
      <c r="AKQ99" s="167"/>
      <c r="AKR99" s="168"/>
      <c r="AKS99" s="167"/>
      <c r="AKT99" s="168"/>
      <c r="AKU99" s="167"/>
      <c r="AKV99" s="168"/>
      <c r="AKW99" s="167"/>
      <c r="AKX99" s="168"/>
      <c r="AKY99" s="167"/>
      <c r="AKZ99" s="168"/>
      <c r="ALA99" s="167"/>
      <c r="ALB99" s="168"/>
      <c r="ALC99" s="167"/>
      <c r="ALD99" s="168"/>
      <c r="ALE99" s="167"/>
      <c r="ALF99" s="168"/>
      <c r="ALG99" s="167"/>
      <c r="ALH99" s="168"/>
      <c r="ALI99" s="167"/>
      <c r="ALJ99" s="168"/>
      <c r="ALK99" s="167"/>
      <c r="ALL99" s="168"/>
      <c r="ALM99" s="167"/>
      <c r="ALN99" s="168"/>
      <c r="ALO99" s="167"/>
      <c r="ALP99" s="168"/>
      <c r="ALQ99" s="167"/>
      <c r="ALR99" s="168"/>
      <c r="ALS99" s="167"/>
      <c r="ALT99" s="168"/>
      <c r="ALU99" s="167"/>
      <c r="ALV99" s="168"/>
      <c r="ALW99" s="167"/>
      <c r="ALX99" s="168"/>
      <c r="ALY99" s="167"/>
      <c r="ALZ99" s="168"/>
      <c r="AMA99" s="167"/>
      <c r="AMB99" s="168"/>
      <c r="AMC99" s="167"/>
      <c r="AMD99" s="168"/>
      <c r="AME99" s="167"/>
      <c r="AMF99" s="168"/>
      <c r="AMG99" s="167"/>
      <c r="AMH99" s="168"/>
      <c r="AMI99" s="167"/>
      <c r="AMJ99" s="168"/>
      <c r="AMK99" s="167"/>
      <c r="AML99" s="168"/>
      <c r="AMM99" s="167"/>
      <c r="AMN99" s="168"/>
      <c r="AMO99" s="167"/>
      <c r="AMP99" s="168"/>
      <c r="AMQ99" s="167"/>
      <c r="AMR99" s="168"/>
      <c r="AMS99" s="167"/>
      <c r="AMT99" s="168"/>
      <c r="AMU99" s="167"/>
      <c r="AMV99" s="168"/>
      <c r="AMW99" s="167"/>
      <c r="AMX99" s="168"/>
      <c r="AMY99" s="167"/>
      <c r="AMZ99" s="168"/>
      <c r="ANA99" s="167"/>
      <c r="ANB99" s="168"/>
      <c r="ANC99" s="167"/>
      <c r="AND99" s="168"/>
      <c r="ANE99" s="167"/>
      <c r="ANF99" s="168"/>
      <c r="ANG99" s="167"/>
      <c r="ANH99" s="168"/>
      <c r="ANI99" s="167"/>
      <c r="ANJ99" s="168"/>
      <c r="ANK99" s="167"/>
      <c r="ANL99" s="168"/>
      <c r="ANM99" s="167"/>
      <c r="ANN99" s="168"/>
      <c r="ANO99" s="167"/>
      <c r="ANP99" s="168"/>
      <c r="ANQ99" s="167"/>
      <c r="ANR99" s="168"/>
      <c r="ANS99" s="167"/>
      <c r="ANT99" s="168"/>
      <c r="ANU99" s="167"/>
      <c r="ANV99" s="168"/>
      <c r="ANW99" s="167"/>
      <c r="ANX99" s="168"/>
      <c r="ANY99" s="167"/>
      <c r="ANZ99" s="168"/>
      <c r="AOA99" s="167"/>
      <c r="AOB99" s="168"/>
      <c r="AOC99" s="167"/>
      <c r="AOD99" s="168"/>
      <c r="AOE99" s="167"/>
      <c r="AOF99" s="168"/>
      <c r="AOG99" s="167"/>
      <c r="AOH99" s="168"/>
      <c r="AOI99" s="167"/>
      <c r="AOJ99" s="168"/>
      <c r="AOK99" s="167"/>
      <c r="AOL99" s="168"/>
      <c r="AOM99" s="167"/>
      <c r="AON99" s="168"/>
      <c r="AOO99" s="167"/>
      <c r="AOP99" s="168"/>
      <c r="AOQ99" s="167"/>
      <c r="AOR99" s="168"/>
      <c r="AOS99" s="167"/>
      <c r="AOT99" s="168"/>
      <c r="AOU99" s="167"/>
      <c r="AOV99" s="168"/>
      <c r="AOW99" s="167"/>
      <c r="AOX99" s="168"/>
      <c r="AOY99" s="167"/>
      <c r="AOZ99" s="168"/>
      <c r="APA99" s="167"/>
      <c r="APB99" s="168"/>
      <c r="APC99" s="167"/>
      <c r="APD99" s="168"/>
      <c r="APE99" s="167"/>
      <c r="APF99" s="168"/>
      <c r="APG99" s="167"/>
      <c r="APH99" s="168"/>
      <c r="API99" s="167"/>
      <c r="APJ99" s="168"/>
      <c r="APK99" s="167"/>
      <c r="APL99" s="168"/>
      <c r="APM99" s="167"/>
      <c r="APN99" s="168"/>
      <c r="APO99" s="167"/>
      <c r="APP99" s="168"/>
      <c r="APQ99" s="167"/>
      <c r="APR99" s="168"/>
      <c r="APS99" s="167"/>
      <c r="APT99" s="168"/>
      <c r="APU99" s="167"/>
      <c r="APV99" s="168"/>
      <c r="APW99" s="167"/>
      <c r="APX99" s="168"/>
      <c r="APY99" s="167"/>
      <c r="APZ99" s="168"/>
      <c r="AQA99" s="167"/>
      <c r="AQB99" s="168"/>
      <c r="AQC99" s="167"/>
      <c r="AQD99" s="168"/>
      <c r="AQE99" s="167"/>
      <c r="AQF99" s="168"/>
      <c r="AQG99" s="167"/>
      <c r="AQH99" s="168"/>
      <c r="AQI99" s="167"/>
      <c r="AQJ99" s="168"/>
      <c r="AQK99" s="167"/>
      <c r="AQL99" s="168"/>
      <c r="AQM99" s="167"/>
      <c r="AQN99" s="168"/>
      <c r="AQO99" s="167"/>
      <c r="AQP99" s="168"/>
      <c r="AQQ99" s="167"/>
      <c r="AQR99" s="168"/>
      <c r="AQS99" s="167"/>
      <c r="AQT99" s="168"/>
      <c r="AQU99" s="167"/>
      <c r="AQV99" s="168"/>
      <c r="AQW99" s="167"/>
      <c r="AQX99" s="168"/>
      <c r="AQY99" s="167"/>
      <c r="AQZ99" s="168"/>
      <c r="ARA99" s="167"/>
      <c r="ARB99" s="168"/>
      <c r="ARC99" s="167"/>
      <c r="ARD99" s="168"/>
      <c r="ARE99" s="167"/>
      <c r="ARF99" s="168"/>
      <c r="ARG99" s="167"/>
      <c r="ARH99" s="168"/>
      <c r="ARI99" s="167"/>
      <c r="ARJ99" s="168"/>
      <c r="ARK99" s="167"/>
      <c r="ARL99" s="168"/>
      <c r="ARM99" s="167"/>
      <c r="ARN99" s="168"/>
      <c r="ARO99" s="167"/>
      <c r="ARP99" s="168"/>
      <c r="ARQ99" s="167"/>
      <c r="ARR99" s="168"/>
      <c r="ARS99" s="167"/>
      <c r="ART99" s="168"/>
      <c r="ARU99" s="167"/>
      <c r="ARV99" s="168"/>
      <c r="ARW99" s="167"/>
      <c r="ARX99" s="168"/>
      <c r="ARY99" s="167"/>
      <c r="ARZ99" s="168"/>
      <c r="ASA99" s="167"/>
      <c r="ASB99" s="168"/>
      <c r="ASC99" s="167"/>
      <c r="ASD99" s="168"/>
      <c r="ASE99" s="167"/>
      <c r="ASF99" s="168"/>
      <c r="ASG99" s="167"/>
      <c r="ASH99" s="168"/>
      <c r="ASI99" s="167"/>
      <c r="ASJ99" s="168"/>
      <c r="ASK99" s="167"/>
      <c r="ASL99" s="168"/>
      <c r="ASM99" s="167"/>
      <c r="ASN99" s="168"/>
      <c r="ASO99" s="167"/>
      <c r="ASP99" s="168"/>
      <c r="ASQ99" s="167"/>
      <c r="ASR99" s="168"/>
      <c r="ASS99" s="167"/>
      <c r="AST99" s="168"/>
      <c r="ASU99" s="167"/>
      <c r="ASV99" s="168"/>
      <c r="ASW99" s="167"/>
      <c r="ASX99" s="168"/>
      <c r="ASY99" s="167"/>
      <c r="ASZ99" s="168"/>
      <c r="ATA99" s="167"/>
      <c r="ATB99" s="168"/>
      <c r="ATC99" s="167"/>
      <c r="ATD99" s="168"/>
      <c r="ATE99" s="167"/>
      <c r="ATF99" s="168"/>
      <c r="ATG99" s="167"/>
      <c r="ATH99" s="168"/>
      <c r="ATI99" s="167"/>
      <c r="ATJ99" s="168"/>
      <c r="ATK99" s="167"/>
      <c r="ATL99" s="168"/>
      <c r="ATM99" s="167"/>
      <c r="ATN99" s="168"/>
      <c r="ATO99" s="167"/>
      <c r="ATP99" s="168"/>
      <c r="ATQ99" s="167"/>
      <c r="ATR99" s="168"/>
      <c r="ATS99" s="167"/>
      <c r="ATT99" s="168"/>
      <c r="ATU99" s="167"/>
      <c r="ATV99" s="168"/>
      <c r="ATW99" s="167"/>
      <c r="ATX99" s="168"/>
      <c r="ATY99" s="167"/>
      <c r="ATZ99" s="168"/>
      <c r="AUA99" s="167"/>
      <c r="AUB99" s="168"/>
      <c r="AUC99" s="167"/>
      <c r="AUD99" s="168"/>
      <c r="AUE99" s="167"/>
      <c r="AUF99" s="168"/>
      <c r="AUG99" s="167"/>
      <c r="AUH99" s="168"/>
      <c r="AUI99" s="167"/>
      <c r="AUJ99" s="168"/>
      <c r="AUK99" s="167"/>
      <c r="AUL99" s="168"/>
      <c r="AUM99" s="167"/>
      <c r="AUN99" s="168"/>
      <c r="AUO99" s="167"/>
      <c r="AUP99" s="168"/>
      <c r="AUQ99" s="167"/>
      <c r="AUR99" s="168"/>
      <c r="AUS99" s="167"/>
      <c r="AUT99" s="168"/>
      <c r="AUU99" s="167"/>
      <c r="AUV99" s="168"/>
      <c r="AUW99" s="167"/>
      <c r="AUX99" s="168"/>
      <c r="AUY99" s="167"/>
      <c r="AUZ99" s="168"/>
      <c r="AVA99" s="167"/>
      <c r="AVB99" s="168"/>
      <c r="AVC99" s="167"/>
      <c r="AVD99" s="168"/>
      <c r="AVE99" s="167"/>
      <c r="AVF99" s="168"/>
      <c r="AVG99" s="167"/>
      <c r="AVH99" s="168"/>
      <c r="AVI99" s="167"/>
      <c r="AVJ99" s="168"/>
      <c r="AVK99" s="167"/>
      <c r="AVL99" s="168"/>
      <c r="AVM99" s="167"/>
      <c r="AVN99" s="168"/>
      <c r="AVO99" s="167"/>
      <c r="AVP99" s="168"/>
      <c r="AVQ99" s="167"/>
      <c r="AVR99" s="168"/>
      <c r="AVS99" s="167"/>
      <c r="AVT99" s="168"/>
      <c r="AVU99" s="167"/>
      <c r="AVV99" s="168"/>
      <c r="AVW99" s="167"/>
      <c r="AVX99" s="168"/>
      <c r="AVY99" s="167"/>
      <c r="AVZ99" s="168"/>
      <c r="AWA99" s="167"/>
      <c r="AWB99" s="168"/>
      <c r="AWC99" s="167"/>
      <c r="AWD99" s="168"/>
      <c r="AWE99" s="167"/>
      <c r="AWF99" s="168"/>
      <c r="AWG99" s="167"/>
      <c r="AWH99" s="168"/>
      <c r="AWI99" s="167"/>
      <c r="AWJ99" s="168"/>
      <c r="AWK99" s="167"/>
      <c r="AWL99" s="168"/>
      <c r="AWM99" s="167"/>
      <c r="AWN99" s="168"/>
      <c r="AWO99" s="167"/>
      <c r="AWP99" s="168"/>
      <c r="AWQ99" s="167"/>
      <c r="AWR99" s="168"/>
      <c r="AWS99" s="167"/>
      <c r="AWT99" s="168"/>
      <c r="AWU99" s="167"/>
      <c r="AWV99" s="168"/>
      <c r="AWW99" s="167"/>
      <c r="AWX99" s="168"/>
      <c r="AWY99" s="167"/>
      <c r="AWZ99" s="168"/>
      <c r="AXA99" s="167"/>
      <c r="AXB99" s="168"/>
      <c r="AXC99" s="167"/>
      <c r="AXD99" s="168"/>
      <c r="AXE99" s="167"/>
      <c r="AXF99" s="168"/>
      <c r="AXG99" s="167"/>
      <c r="AXH99" s="168"/>
      <c r="AXI99" s="167"/>
      <c r="AXJ99" s="168"/>
      <c r="AXK99" s="167"/>
      <c r="AXL99" s="168"/>
      <c r="AXM99" s="167"/>
      <c r="AXN99" s="168"/>
      <c r="AXO99" s="167"/>
      <c r="AXP99" s="168"/>
      <c r="AXQ99" s="167"/>
      <c r="AXR99" s="168"/>
      <c r="AXS99" s="167"/>
      <c r="AXT99" s="168"/>
      <c r="AXU99" s="167"/>
      <c r="AXV99" s="168"/>
      <c r="AXW99" s="167"/>
      <c r="AXX99" s="168"/>
      <c r="AXY99" s="167"/>
      <c r="AXZ99" s="168"/>
      <c r="AYA99" s="167"/>
      <c r="AYB99" s="168"/>
      <c r="AYC99" s="167"/>
      <c r="AYD99" s="168"/>
      <c r="AYE99" s="167"/>
      <c r="AYF99" s="168"/>
      <c r="AYG99" s="167"/>
      <c r="AYH99" s="168"/>
      <c r="AYI99" s="167"/>
      <c r="AYJ99" s="168"/>
      <c r="AYK99" s="167"/>
      <c r="AYL99" s="168"/>
      <c r="AYM99" s="167"/>
      <c r="AYN99" s="168"/>
      <c r="AYO99" s="167"/>
      <c r="AYP99" s="168"/>
      <c r="AYQ99" s="167"/>
      <c r="AYR99" s="168"/>
      <c r="AYS99" s="167"/>
      <c r="AYT99" s="168"/>
      <c r="AYU99" s="167"/>
      <c r="AYV99" s="168"/>
      <c r="AYW99" s="167"/>
      <c r="AYX99" s="168"/>
      <c r="AYY99" s="167"/>
      <c r="AYZ99" s="168"/>
      <c r="AZA99" s="167"/>
      <c r="AZB99" s="168"/>
      <c r="AZC99" s="167"/>
      <c r="AZD99" s="168"/>
      <c r="AZE99" s="167"/>
      <c r="AZF99" s="168"/>
      <c r="AZG99" s="167"/>
      <c r="AZH99" s="168"/>
      <c r="AZI99" s="167"/>
      <c r="AZJ99" s="168"/>
      <c r="AZK99" s="167"/>
      <c r="AZL99" s="168"/>
      <c r="AZM99" s="167"/>
      <c r="AZN99" s="168"/>
      <c r="AZO99" s="167"/>
      <c r="AZP99" s="168"/>
      <c r="AZQ99" s="167"/>
      <c r="AZR99" s="168"/>
      <c r="AZS99" s="167"/>
      <c r="AZT99" s="168"/>
      <c r="AZU99" s="167"/>
      <c r="AZV99" s="168"/>
      <c r="AZW99" s="167"/>
      <c r="AZX99" s="168"/>
      <c r="AZY99" s="167"/>
      <c r="AZZ99" s="168"/>
      <c r="BAA99" s="167"/>
      <c r="BAB99" s="168"/>
      <c r="BAC99" s="167"/>
      <c r="BAD99" s="168"/>
      <c r="BAE99" s="167"/>
      <c r="BAF99" s="168"/>
      <c r="BAG99" s="167"/>
      <c r="BAH99" s="168"/>
      <c r="BAI99" s="167"/>
      <c r="BAJ99" s="168"/>
      <c r="BAK99" s="167"/>
      <c r="BAL99" s="168"/>
      <c r="BAM99" s="167"/>
      <c r="BAN99" s="168"/>
      <c r="BAO99" s="167"/>
      <c r="BAP99" s="168"/>
      <c r="BAQ99" s="167"/>
      <c r="BAR99" s="168"/>
      <c r="BAS99" s="167"/>
      <c r="BAT99" s="168"/>
      <c r="BAU99" s="167"/>
      <c r="BAV99" s="168"/>
      <c r="BAW99" s="167"/>
      <c r="BAX99" s="168"/>
      <c r="BAY99" s="167"/>
      <c r="BAZ99" s="168"/>
      <c r="BBA99" s="167"/>
      <c r="BBB99" s="168"/>
      <c r="BBC99" s="167"/>
      <c r="BBD99" s="168"/>
      <c r="BBE99" s="167"/>
      <c r="BBF99" s="168"/>
      <c r="BBG99" s="167"/>
      <c r="BBH99" s="168"/>
      <c r="BBI99" s="167"/>
      <c r="BBJ99" s="168"/>
      <c r="BBK99" s="167"/>
      <c r="BBL99" s="168"/>
      <c r="BBM99" s="167"/>
      <c r="BBN99" s="168"/>
      <c r="BBO99" s="167"/>
      <c r="BBP99" s="168"/>
      <c r="BBQ99" s="167"/>
      <c r="BBR99" s="168"/>
      <c r="BBS99" s="167"/>
      <c r="BBT99" s="168"/>
      <c r="BBU99" s="167"/>
      <c r="BBV99" s="168"/>
      <c r="BBW99" s="167"/>
      <c r="BBX99" s="168"/>
      <c r="BBY99" s="167"/>
      <c r="BBZ99" s="168"/>
      <c r="BCA99" s="167"/>
      <c r="BCB99" s="168"/>
      <c r="BCC99" s="167"/>
      <c r="BCD99" s="168"/>
      <c r="BCE99" s="167"/>
      <c r="BCF99" s="168"/>
      <c r="BCG99" s="167"/>
      <c r="BCH99" s="168"/>
      <c r="BCI99" s="167"/>
      <c r="BCJ99" s="168"/>
      <c r="BCK99" s="167"/>
      <c r="BCL99" s="168"/>
      <c r="BCM99" s="167"/>
      <c r="BCN99" s="168"/>
      <c r="BCO99" s="167"/>
      <c r="BCP99" s="168"/>
      <c r="BCQ99" s="167"/>
      <c r="BCR99" s="168"/>
      <c r="BCS99" s="167"/>
      <c r="BCT99" s="168"/>
      <c r="BCU99" s="167"/>
      <c r="BCV99" s="168"/>
      <c r="BCW99" s="167"/>
      <c r="BCX99" s="168"/>
      <c r="BCY99" s="167"/>
      <c r="BCZ99" s="168"/>
      <c r="BDA99" s="167"/>
      <c r="BDB99" s="168"/>
      <c r="BDC99" s="167"/>
      <c r="BDD99" s="168"/>
      <c r="BDE99" s="167"/>
      <c r="BDF99" s="168"/>
      <c r="BDG99" s="167"/>
      <c r="BDH99" s="168"/>
      <c r="BDI99" s="167"/>
      <c r="BDJ99" s="168"/>
      <c r="BDK99" s="167"/>
      <c r="BDL99" s="168"/>
      <c r="BDM99" s="167"/>
      <c r="BDN99" s="168"/>
      <c r="BDO99" s="167"/>
      <c r="BDP99" s="168"/>
      <c r="BDQ99" s="167"/>
      <c r="BDR99" s="168"/>
      <c r="BDS99" s="167"/>
      <c r="BDT99" s="168"/>
      <c r="BDU99" s="167"/>
      <c r="BDV99" s="168"/>
      <c r="BDW99" s="167"/>
      <c r="BDX99" s="168"/>
      <c r="BDY99" s="167"/>
      <c r="BDZ99" s="168"/>
      <c r="BEA99" s="167"/>
      <c r="BEB99" s="168"/>
      <c r="BEC99" s="167"/>
      <c r="BED99" s="168"/>
      <c r="BEE99" s="167"/>
      <c r="BEF99" s="168"/>
      <c r="BEG99" s="167"/>
      <c r="BEH99" s="168"/>
      <c r="BEI99" s="167"/>
      <c r="BEJ99" s="168"/>
      <c r="BEK99" s="167"/>
      <c r="BEL99" s="168"/>
      <c r="BEM99" s="167"/>
      <c r="BEN99" s="168"/>
      <c r="BEO99" s="167"/>
      <c r="BEP99" s="168"/>
      <c r="BEQ99" s="167"/>
      <c r="BER99" s="168"/>
      <c r="BES99" s="167"/>
      <c r="BET99" s="168"/>
      <c r="BEU99" s="167"/>
      <c r="BEV99" s="168"/>
      <c r="BEW99" s="167"/>
      <c r="BEX99" s="168"/>
      <c r="BEY99" s="167"/>
      <c r="BEZ99" s="168"/>
      <c r="BFA99" s="167"/>
      <c r="BFB99" s="168"/>
      <c r="BFC99" s="167"/>
      <c r="BFD99" s="168"/>
      <c r="BFE99" s="167"/>
      <c r="BFF99" s="168"/>
      <c r="BFG99" s="167"/>
      <c r="BFH99" s="168"/>
      <c r="BFI99" s="167"/>
      <c r="BFJ99" s="168"/>
      <c r="BFK99" s="167"/>
      <c r="BFL99" s="168"/>
      <c r="BFM99" s="167"/>
      <c r="BFN99" s="168"/>
      <c r="BFO99" s="167"/>
      <c r="BFP99" s="168"/>
      <c r="BFQ99" s="167"/>
      <c r="BFR99" s="168"/>
      <c r="BFS99" s="167"/>
      <c r="BFT99" s="168"/>
      <c r="BFU99" s="167"/>
      <c r="BFV99" s="168"/>
      <c r="BFW99" s="167"/>
      <c r="BFX99" s="168"/>
      <c r="BFY99" s="167"/>
      <c r="BFZ99" s="168"/>
      <c r="BGA99" s="167"/>
      <c r="BGB99" s="168"/>
      <c r="BGC99" s="167"/>
      <c r="BGD99" s="168"/>
      <c r="BGE99" s="167"/>
      <c r="BGF99" s="168"/>
      <c r="BGG99" s="167"/>
      <c r="BGH99" s="168"/>
      <c r="BGI99" s="167"/>
      <c r="BGJ99" s="168"/>
      <c r="BGK99" s="167"/>
      <c r="BGL99" s="168"/>
      <c r="BGM99" s="167"/>
      <c r="BGN99" s="168"/>
      <c r="BGO99" s="167"/>
      <c r="BGP99" s="168"/>
      <c r="BGQ99" s="167"/>
      <c r="BGR99" s="168"/>
      <c r="BGS99" s="167"/>
      <c r="BGT99" s="168"/>
      <c r="BGU99" s="167"/>
      <c r="BGV99" s="168"/>
      <c r="BGW99" s="167"/>
      <c r="BGX99" s="168"/>
      <c r="BGY99" s="167"/>
      <c r="BGZ99" s="168"/>
      <c r="BHA99" s="167"/>
      <c r="BHB99" s="168"/>
      <c r="BHC99" s="167"/>
      <c r="BHD99" s="168"/>
      <c r="BHE99" s="167"/>
      <c r="BHF99" s="168"/>
      <c r="BHG99" s="167"/>
      <c r="BHH99" s="168"/>
      <c r="BHI99" s="167"/>
      <c r="BHJ99" s="168"/>
      <c r="BHK99" s="167"/>
      <c r="BHL99" s="168"/>
      <c r="BHM99" s="167"/>
      <c r="BHN99" s="168"/>
      <c r="BHO99" s="167"/>
      <c r="BHP99" s="168"/>
      <c r="BHQ99" s="167"/>
      <c r="BHR99" s="168"/>
      <c r="BHS99" s="167"/>
      <c r="BHT99" s="168"/>
      <c r="BHU99" s="167"/>
      <c r="BHV99" s="168"/>
      <c r="BHW99" s="167"/>
      <c r="BHX99" s="168"/>
      <c r="BHY99" s="167"/>
      <c r="BHZ99" s="168"/>
      <c r="BIA99" s="167"/>
      <c r="BIB99" s="168"/>
      <c r="BIC99" s="167"/>
      <c r="BID99" s="168"/>
      <c r="BIE99" s="167"/>
      <c r="BIF99" s="168"/>
      <c r="BIG99" s="167"/>
      <c r="BIH99" s="168"/>
      <c r="BII99" s="167"/>
      <c r="BIJ99" s="168"/>
      <c r="BIK99" s="167"/>
      <c r="BIL99" s="168"/>
      <c r="BIM99" s="167"/>
      <c r="BIN99" s="168"/>
      <c r="BIO99" s="167"/>
      <c r="BIP99" s="168"/>
      <c r="BIQ99" s="167"/>
      <c r="BIR99" s="168"/>
      <c r="BIS99" s="167"/>
      <c r="BIT99" s="168"/>
      <c r="BIU99" s="167"/>
      <c r="BIV99" s="168"/>
      <c r="BIW99" s="167"/>
      <c r="BIX99" s="168"/>
      <c r="BIY99" s="167"/>
      <c r="BIZ99" s="168"/>
      <c r="BJA99" s="167"/>
      <c r="BJB99" s="168"/>
      <c r="BJC99" s="167"/>
      <c r="BJD99" s="168"/>
      <c r="BJE99" s="167"/>
      <c r="BJF99" s="168"/>
      <c r="BJG99" s="167"/>
      <c r="BJH99" s="168"/>
      <c r="BJI99" s="167"/>
      <c r="BJJ99" s="168"/>
      <c r="BJK99" s="167"/>
      <c r="BJL99" s="168"/>
      <c r="BJM99" s="167"/>
      <c r="BJN99" s="168"/>
      <c r="BJO99" s="167"/>
      <c r="BJP99" s="168"/>
      <c r="BJQ99" s="167"/>
      <c r="BJR99" s="168"/>
      <c r="BJS99" s="167"/>
      <c r="BJT99" s="168"/>
      <c r="BJU99" s="167"/>
      <c r="BJV99" s="168"/>
      <c r="BJW99" s="167"/>
      <c r="BJX99" s="168"/>
      <c r="BJY99" s="167"/>
      <c r="BJZ99" s="168"/>
      <c r="BKA99" s="167"/>
      <c r="BKB99" s="168"/>
      <c r="BKC99" s="167"/>
      <c r="BKD99" s="168"/>
      <c r="BKE99" s="167"/>
      <c r="BKF99" s="168"/>
      <c r="BKG99" s="167"/>
      <c r="BKH99" s="168"/>
      <c r="BKI99" s="167"/>
      <c r="BKJ99" s="168"/>
      <c r="BKK99" s="167"/>
      <c r="BKL99" s="168"/>
      <c r="BKM99" s="167"/>
      <c r="BKN99" s="168"/>
      <c r="BKO99" s="167"/>
      <c r="BKP99" s="168"/>
      <c r="BKQ99" s="167"/>
      <c r="BKR99" s="168"/>
      <c r="BKS99" s="167"/>
      <c r="BKT99" s="168"/>
      <c r="BKU99" s="167"/>
      <c r="BKV99" s="168"/>
      <c r="BKW99" s="167"/>
      <c r="BKX99" s="168"/>
      <c r="BKY99" s="167"/>
      <c r="BKZ99" s="168"/>
      <c r="BLA99" s="167"/>
      <c r="BLB99" s="168"/>
      <c r="BLC99" s="167"/>
      <c r="BLD99" s="168"/>
      <c r="BLE99" s="167"/>
      <c r="BLF99" s="168"/>
      <c r="BLG99" s="167"/>
      <c r="BLH99" s="168"/>
      <c r="BLI99" s="167"/>
      <c r="BLJ99" s="168"/>
      <c r="BLK99" s="167"/>
      <c r="BLL99" s="168"/>
      <c r="BLM99" s="167"/>
      <c r="BLN99" s="168"/>
      <c r="BLO99" s="167"/>
      <c r="BLP99" s="168"/>
      <c r="BLQ99" s="167"/>
      <c r="BLR99" s="168"/>
      <c r="BLS99" s="167"/>
      <c r="BLT99" s="168"/>
      <c r="BLU99" s="167"/>
      <c r="BLV99" s="168"/>
      <c r="BLW99" s="167"/>
      <c r="BLX99" s="168"/>
      <c r="BLY99" s="167"/>
      <c r="BLZ99" s="168"/>
      <c r="BMA99" s="167"/>
      <c r="BMB99" s="168"/>
      <c r="BMC99" s="167"/>
      <c r="BMD99" s="168"/>
      <c r="BME99" s="167"/>
      <c r="BMF99" s="168"/>
      <c r="BMG99" s="167"/>
      <c r="BMH99" s="168"/>
      <c r="BMI99" s="167"/>
      <c r="BMJ99" s="168"/>
      <c r="BMK99" s="167"/>
      <c r="BML99" s="168"/>
      <c r="BMM99" s="167"/>
      <c r="BMN99" s="168"/>
      <c r="BMO99" s="167"/>
      <c r="BMP99" s="168"/>
      <c r="BMQ99" s="167"/>
      <c r="BMR99" s="168"/>
      <c r="BMS99" s="167"/>
      <c r="BMT99" s="168"/>
      <c r="BMU99" s="167"/>
      <c r="BMV99" s="168"/>
      <c r="BMW99" s="167"/>
      <c r="BMX99" s="168"/>
      <c r="BMY99" s="167"/>
      <c r="BMZ99" s="168"/>
      <c r="BNA99" s="167"/>
      <c r="BNB99" s="168"/>
      <c r="BNC99" s="167"/>
      <c r="BND99" s="168"/>
      <c r="BNE99" s="167"/>
      <c r="BNF99" s="168"/>
      <c r="BNG99" s="167"/>
      <c r="BNH99" s="168"/>
      <c r="BNI99" s="167"/>
      <c r="BNJ99" s="168"/>
      <c r="BNK99" s="167"/>
      <c r="BNL99" s="168"/>
      <c r="BNM99" s="167"/>
      <c r="BNN99" s="168"/>
      <c r="BNO99" s="167"/>
      <c r="BNP99" s="168"/>
      <c r="BNQ99" s="167"/>
      <c r="BNR99" s="168"/>
      <c r="BNS99" s="167"/>
      <c r="BNT99" s="168"/>
      <c r="BNU99" s="167"/>
      <c r="BNV99" s="168"/>
      <c r="BNW99" s="167"/>
      <c r="BNX99" s="168"/>
      <c r="BNY99" s="167"/>
      <c r="BNZ99" s="168"/>
      <c r="BOA99" s="167"/>
      <c r="BOB99" s="168"/>
      <c r="BOC99" s="167"/>
      <c r="BOD99" s="168"/>
      <c r="BOE99" s="167"/>
      <c r="BOF99" s="168"/>
      <c r="BOG99" s="167"/>
      <c r="BOH99" s="168"/>
      <c r="BOI99" s="167"/>
      <c r="BOJ99" s="168"/>
      <c r="BOK99" s="167"/>
      <c r="BOL99" s="168"/>
      <c r="BOM99" s="167"/>
      <c r="BON99" s="168"/>
      <c r="BOO99" s="167"/>
      <c r="BOP99" s="168"/>
      <c r="BOQ99" s="167"/>
      <c r="BOR99" s="168"/>
      <c r="BOS99" s="167"/>
      <c r="BOT99" s="168"/>
      <c r="BOU99" s="167"/>
      <c r="BOV99" s="168"/>
      <c r="BOW99" s="167"/>
      <c r="BOX99" s="168"/>
      <c r="BOY99" s="167"/>
      <c r="BOZ99" s="168"/>
      <c r="BPA99" s="167"/>
      <c r="BPB99" s="168"/>
      <c r="BPC99" s="167"/>
      <c r="BPD99" s="168"/>
      <c r="BPE99" s="167"/>
      <c r="BPF99" s="168"/>
      <c r="BPG99" s="167"/>
      <c r="BPH99" s="168"/>
      <c r="BPI99" s="167"/>
      <c r="BPJ99" s="168"/>
      <c r="BPK99" s="167"/>
      <c r="BPL99" s="168"/>
      <c r="BPM99" s="167"/>
      <c r="BPN99" s="168"/>
      <c r="BPO99" s="167"/>
      <c r="BPP99" s="168"/>
      <c r="BPQ99" s="167"/>
      <c r="BPR99" s="168"/>
      <c r="BPS99" s="167"/>
      <c r="BPT99" s="168"/>
      <c r="BPU99" s="167"/>
      <c r="BPV99" s="168"/>
      <c r="BPW99" s="167"/>
      <c r="BPX99" s="168"/>
      <c r="BPY99" s="167"/>
      <c r="BPZ99" s="168"/>
      <c r="BQA99" s="167"/>
      <c r="BQB99" s="168"/>
      <c r="BQC99" s="167"/>
      <c r="BQD99" s="168"/>
      <c r="BQE99" s="167"/>
      <c r="BQF99" s="168"/>
      <c r="BQG99" s="167"/>
      <c r="BQH99" s="168"/>
      <c r="BQI99" s="167"/>
      <c r="BQJ99" s="168"/>
      <c r="BQK99" s="167"/>
      <c r="BQL99" s="168"/>
      <c r="BQM99" s="167"/>
      <c r="BQN99" s="168"/>
      <c r="BQO99" s="167"/>
      <c r="BQP99" s="168"/>
      <c r="BQQ99" s="167"/>
      <c r="BQR99" s="168"/>
      <c r="BQS99" s="167"/>
      <c r="BQT99" s="168"/>
      <c r="BQU99" s="167"/>
      <c r="BQV99" s="168"/>
      <c r="BQW99" s="167"/>
      <c r="BQX99" s="168"/>
      <c r="BQY99" s="167"/>
      <c r="BQZ99" s="168"/>
      <c r="BRA99" s="167"/>
      <c r="BRB99" s="168"/>
      <c r="BRC99" s="167"/>
      <c r="BRD99" s="168"/>
      <c r="BRE99" s="167"/>
      <c r="BRF99" s="168"/>
      <c r="BRG99" s="167"/>
      <c r="BRH99" s="168"/>
      <c r="BRI99" s="167"/>
      <c r="BRJ99" s="168"/>
      <c r="BRK99" s="167"/>
      <c r="BRL99" s="168"/>
      <c r="BRM99" s="167"/>
      <c r="BRN99" s="168"/>
      <c r="BRO99" s="167"/>
      <c r="BRP99" s="168"/>
      <c r="BRQ99" s="167"/>
      <c r="BRR99" s="168"/>
      <c r="BRS99" s="167"/>
      <c r="BRT99" s="168"/>
      <c r="BRU99" s="167"/>
      <c r="BRV99" s="168"/>
      <c r="BRW99" s="167"/>
      <c r="BRX99" s="168"/>
      <c r="BRY99" s="167"/>
      <c r="BRZ99" s="168"/>
      <c r="BSA99" s="167"/>
      <c r="BSB99" s="168"/>
      <c r="BSC99" s="167"/>
      <c r="BSD99" s="168"/>
      <c r="BSE99" s="167"/>
      <c r="BSF99" s="168"/>
      <c r="BSG99" s="167"/>
      <c r="BSH99" s="168"/>
      <c r="BSI99" s="167"/>
      <c r="BSJ99" s="168"/>
      <c r="BSK99" s="167"/>
      <c r="BSL99" s="168"/>
      <c r="BSM99" s="167"/>
      <c r="BSN99" s="168"/>
      <c r="BSO99" s="167"/>
      <c r="BSP99" s="168"/>
      <c r="BSQ99" s="167"/>
      <c r="BSR99" s="168"/>
      <c r="BSS99" s="167"/>
      <c r="BST99" s="168"/>
      <c r="BSU99" s="167"/>
      <c r="BSV99" s="168"/>
      <c r="BSW99" s="167"/>
      <c r="BSX99" s="168"/>
      <c r="BSY99" s="167"/>
      <c r="BSZ99" s="168"/>
      <c r="BTA99" s="167"/>
      <c r="BTB99" s="168"/>
      <c r="BTC99" s="167"/>
      <c r="BTD99" s="168"/>
      <c r="BTE99" s="167"/>
      <c r="BTF99" s="168"/>
      <c r="BTG99" s="167"/>
      <c r="BTH99" s="168"/>
      <c r="BTI99" s="167"/>
      <c r="BTJ99" s="168"/>
      <c r="BTK99" s="167"/>
      <c r="BTL99" s="168"/>
      <c r="BTM99" s="167"/>
      <c r="BTN99" s="168"/>
      <c r="BTO99" s="167"/>
      <c r="BTP99" s="168"/>
      <c r="BTQ99" s="167"/>
      <c r="BTR99" s="168"/>
      <c r="BTS99" s="167"/>
      <c r="BTT99" s="168"/>
      <c r="BTU99" s="167"/>
      <c r="BTV99" s="168"/>
      <c r="BTW99" s="167"/>
      <c r="BTX99" s="168"/>
      <c r="BTY99" s="167"/>
      <c r="BTZ99" s="168"/>
      <c r="BUA99" s="167"/>
      <c r="BUB99" s="168"/>
      <c r="BUC99" s="167"/>
      <c r="BUD99" s="168"/>
      <c r="BUE99" s="167"/>
      <c r="BUF99" s="168"/>
      <c r="BUG99" s="167"/>
      <c r="BUH99" s="168"/>
      <c r="BUI99" s="167"/>
      <c r="BUJ99" s="168"/>
      <c r="BUK99" s="167"/>
      <c r="BUL99" s="168"/>
      <c r="BUM99" s="167"/>
      <c r="BUN99" s="168"/>
      <c r="BUO99" s="167"/>
      <c r="BUP99" s="168"/>
      <c r="BUQ99" s="167"/>
      <c r="BUR99" s="168"/>
      <c r="BUS99" s="167"/>
      <c r="BUT99" s="168"/>
      <c r="BUU99" s="167"/>
      <c r="BUV99" s="168"/>
      <c r="BUW99" s="167"/>
      <c r="BUX99" s="168"/>
      <c r="BUY99" s="167"/>
      <c r="BUZ99" s="168"/>
      <c r="BVA99" s="167"/>
      <c r="BVB99" s="168"/>
      <c r="BVC99" s="167"/>
      <c r="BVD99" s="168"/>
      <c r="BVE99" s="167"/>
      <c r="BVF99" s="168"/>
      <c r="BVG99" s="167"/>
      <c r="BVH99" s="168"/>
      <c r="BVI99" s="167"/>
      <c r="BVJ99" s="168"/>
      <c r="BVK99" s="167"/>
      <c r="BVL99" s="168"/>
      <c r="BVM99" s="167"/>
      <c r="BVN99" s="168"/>
      <c r="BVO99" s="167"/>
      <c r="BVP99" s="168"/>
      <c r="BVQ99" s="167"/>
      <c r="BVR99" s="168"/>
      <c r="BVS99" s="167"/>
      <c r="BVT99" s="168"/>
      <c r="BVU99" s="167"/>
      <c r="BVV99" s="168"/>
      <c r="BVW99" s="167"/>
      <c r="BVX99" s="168"/>
      <c r="BVY99" s="167"/>
      <c r="BVZ99" s="168"/>
      <c r="BWA99" s="167"/>
      <c r="BWB99" s="168"/>
      <c r="BWC99" s="167"/>
      <c r="BWD99" s="168"/>
      <c r="BWE99" s="167"/>
      <c r="BWF99" s="168"/>
      <c r="BWG99" s="167"/>
      <c r="BWH99" s="168"/>
      <c r="BWI99" s="167"/>
      <c r="BWJ99" s="168"/>
      <c r="BWK99" s="167"/>
      <c r="BWL99" s="168"/>
      <c r="BWM99" s="167"/>
      <c r="BWN99" s="168"/>
      <c r="BWO99" s="167"/>
      <c r="BWP99" s="168"/>
      <c r="BWQ99" s="167"/>
      <c r="BWR99" s="168"/>
      <c r="BWS99" s="167"/>
      <c r="BWT99" s="168"/>
      <c r="BWU99" s="167"/>
      <c r="BWV99" s="168"/>
      <c r="BWW99" s="167"/>
      <c r="BWX99" s="168"/>
      <c r="BWY99" s="167"/>
      <c r="BWZ99" s="168"/>
      <c r="BXA99" s="167"/>
      <c r="BXB99" s="168"/>
      <c r="BXC99" s="167"/>
      <c r="BXD99" s="168"/>
      <c r="BXE99" s="167"/>
      <c r="BXF99" s="168"/>
      <c r="BXG99" s="167"/>
      <c r="BXH99" s="168"/>
      <c r="BXI99" s="167"/>
      <c r="BXJ99" s="168"/>
      <c r="BXK99" s="167"/>
      <c r="BXL99" s="168"/>
      <c r="BXM99" s="167"/>
      <c r="BXN99" s="168"/>
      <c r="BXO99" s="167"/>
      <c r="BXP99" s="168"/>
      <c r="BXQ99" s="167"/>
      <c r="BXR99" s="168"/>
      <c r="BXS99" s="167"/>
      <c r="BXT99" s="168"/>
      <c r="BXU99" s="167"/>
      <c r="BXV99" s="168"/>
      <c r="BXW99" s="167"/>
      <c r="BXX99" s="168"/>
      <c r="BXY99" s="167"/>
      <c r="BXZ99" s="168"/>
      <c r="BYA99" s="167"/>
      <c r="BYB99" s="168"/>
      <c r="BYC99" s="167"/>
      <c r="BYD99" s="168"/>
      <c r="BYE99" s="167"/>
      <c r="BYF99" s="168"/>
      <c r="BYG99" s="167"/>
      <c r="BYH99" s="168"/>
      <c r="BYI99" s="167"/>
      <c r="BYJ99" s="168"/>
      <c r="BYK99" s="167"/>
      <c r="BYL99" s="168"/>
      <c r="BYM99" s="167"/>
      <c r="BYN99" s="168"/>
      <c r="BYO99" s="167"/>
      <c r="BYP99" s="168"/>
      <c r="BYQ99" s="167"/>
      <c r="BYR99" s="168"/>
      <c r="BYS99" s="167"/>
      <c r="BYT99" s="168"/>
      <c r="BYU99" s="167"/>
      <c r="BYV99" s="168"/>
      <c r="BYW99" s="167"/>
      <c r="BYX99" s="168"/>
      <c r="BYY99" s="167"/>
      <c r="BYZ99" s="168"/>
      <c r="BZA99" s="167"/>
      <c r="BZB99" s="168"/>
      <c r="BZC99" s="167"/>
      <c r="BZD99" s="168"/>
      <c r="BZE99" s="167"/>
      <c r="BZF99" s="168"/>
      <c r="BZG99" s="167"/>
      <c r="BZH99" s="168"/>
      <c r="BZI99" s="167"/>
      <c r="BZJ99" s="168"/>
      <c r="BZK99" s="167"/>
      <c r="BZL99" s="168"/>
      <c r="BZM99" s="167"/>
      <c r="BZN99" s="168"/>
      <c r="BZO99" s="167"/>
      <c r="BZP99" s="168"/>
      <c r="BZQ99" s="167"/>
      <c r="BZR99" s="168"/>
      <c r="BZS99" s="167"/>
      <c r="BZT99" s="168"/>
      <c r="BZU99" s="167"/>
      <c r="BZV99" s="168"/>
      <c r="BZW99" s="167"/>
      <c r="BZX99" s="168"/>
      <c r="BZY99" s="167"/>
      <c r="BZZ99" s="168"/>
      <c r="CAA99" s="167"/>
      <c r="CAB99" s="168"/>
      <c r="CAC99" s="167"/>
      <c r="CAD99" s="168"/>
      <c r="CAE99" s="167"/>
      <c r="CAF99" s="168"/>
      <c r="CAG99" s="167"/>
      <c r="CAH99" s="168"/>
      <c r="CAI99" s="167"/>
      <c r="CAJ99" s="168"/>
      <c r="CAK99" s="167"/>
      <c r="CAL99" s="168"/>
      <c r="CAM99" s="167"/>
      <c r="CAN99" s="168"/>
      <c r="CAO99" s="167"/>
      <c r="CAP99" s="168"/>
      <c r="CAQ99" s="167"/>
      <c r="CAR99" s="168"/>
      <c r="CAS99" s="167"/>
      <c r="CAT99" s="168"/>
      <c r="CAU99" s="167"/>
      <c r="CAV99" s="168"/>
      <c r="CAW99" s="167"/>
      <c r="CAX99" s="168"/>
      <c r="CAY99" s="167"/>
      <c r="CAZ99" s="168"/>
      <c r="CBA99" s="167"/>
      <c r="CBB99" s="168"/>
      <c r="CBC99" s="167"/>
      <c r="CBD99" s="168"/>
      <c r="CBE99" s="167"/>
      <c r="CBF99" s="168"/>
      <c r="CBG99" s="167"/>
      <c r="CBH99" s="168"/>
      <c r="CBI99" s="167"/>
      <c r="CBJ99" s="168"/>
      <c r="CBK99" s="167"/>
      <c r="CBL99" s="168"/>
      <c r="CBM99" s="167"/>
      <c r="CBN99" s="168"/>
      <c r="CBO99" s="167"/>
      <c r="CBP99" s="168"/>
      <c r="CBQ99" s="167"/>
      <c r="CBR99" s="168"/>
      <c r="CBS99" s="167"/>
      <c r="CBT99" s="168"/>
      <c r="CBU99" s="167"/>
      <c r="CBV99" s="168"/>
      <c r="CBW99" s="167"/>
      <c r="CBX99" s="168"/>
      <c r="CBY99" s="167"/>
      <c r="CBZ99" s="168"/>
      <c r="CCA99" s="167"/>
      <c r="CCB99" s="168"/>
      <c r="CCC99" s="167"/>
      <c r="CCD99" s="168"/>
      <c r="CCE99" s="167"/>
      <c r="CCF99" s="168"/>
      <c r="CCG99" s="167"/>
      <c r="CCH99" s="168"/>
      <c r="CCI99" s="167"/>
      <c r="CCJ99" s="168"/>
      <c r="CCK99" s="167"/>
      <c r="CCL99" s="168"/>
      <c r="CCM99" s="167"/>
      <c r="CCN99" s="168"/>
      <c r="CCO99" s="167"/>
      <c r="CCP99" s="168"/>
      <c r="CCQ99" s="167"/>
      <c r="CCR99" s="168"/>
      <c r="CCS99" s="167"/>
      <c r="CCT99" s="168"/>
      <c r="CCU99" s="167"/>
      <c r="CCV99" s="168"/>
      <c r="CCW99" s="167"/>
      <c r="CCX99" s="168"/>
      <c r="CCY99" s="167"/>
      <c r="CCZ99" s="168"/>
      <c r="CDA99" s="167"/>
      <c r="CDB99" s="168"/>
      <c r="CDC99" s="167"/>
      <c r="CDD99" s="168"/>
      <c r="CDE99" s="167"/>
      <c r="CDF99" s="168"/>
      <c r="CDG99" s="167"/>
      <c r="CDH99" s="168"/>
      <c r="CDI99" s="167"/>
      <c r="CDJ99" s="168"/>
      <c r="CDK99" s="167"/>
      <c r="CDL99" s="168"/>
      <c r="CDM99" s="167"/>
      <c r="CDN99" s="168"/>
      <c r="CDO99" s="167"/>
      <c r="CDP99" s="168"/>
      <c r="CDQ99" s="167"/>
      <c r="CDR99" s="168"/>
      <c r="CDS99" s="167"/>
      <c r="CDT99" s="168"/>
      <c r="CDU99" s="167"/>
      <c r="CDV99" s="168"/>
      <c r="CDW99" s="167"/>
      <c r="CDX99" s="168"/>
      <c r="CDY99" s="167"/>
      <c r="CDZ99" s="168"/>
      <c r="CEA99" s="167"/>
      <c r="CEB99" s="168"/>
      <c r="CEC99" s="167"/>
      <c r="CED99" s="168"/>
      <c r="CEE99" s="167"/>
      <c r="CEF99" s="168"/>
      <c r="CEG99" s="167"/>
      <c r="CEH99" s="168"/>
      <c r="CEI99" s="167"/>
      <c r="CEJ99" s="168"/>
      <c r="CEK99" s="167"/>
      <c r="CEL99" s="168"/>
      <c r="CEM99" s="167"/>
      <c r="CEN99" s="168"/>
      <c r="CEO99" s="167"/>
      <c r="CEP99" s="168"/>
      <c r="CEQ99" s="167"/>
      <c r="CER99" s="168"/>
      <c r="CES99" s="167"/>
      <c r="CET99" s="168"/>
      <c r="CEU99" s="167"/>
      <c r="CEV99" s="168"/>
      <c r="CEW99" s="167"/>
      <c r="CEX99" s="168"/>
      <c r="CEY99" s="167"/>
      <c r="CEZ99" s="168"/>
      <c r="CFA99" s="167"/>
      <c r="CFB99" s="168"/>
      <c r="CFC99" s="167"/>
      <c r="CFD99" s="168"/>
      <c r="CFE99" s="167"/>
      <c r="CFF99" s="168"/>
      <c r="CFG99" s="167"/>
      <c r="CFH99" s="168"/>
      <c r="CFI99" s="167"/>
      <c r="CFJ99" s="168"/>
      <c r="CFK99" s="167"/>
      <c r="CFL99" s="168"/>
      <c r="CFM99" s="167"/>
      <c r="CFN99" s="168"/>
      <c r="CFO99" s="167"/>
      <c r="CFP99" s="168"/>
      <c r="CFQ99" s="167"/>
      <c r="CFR99" s="168"/>
      <c r="CFS99" s="167"/>
      <c r="CFT99" s="168"/>
      <c r="CFU99" s="167"/>
      <c r="CFV99" s="168"/>
      <c r="CFW99" s="167"/>
      <c r="CFX99" s="168"/>
      <c r="CFY99" s="167"/>
      <c r="CFZ99" s="168"/>
      <c r="CGA99" s="167"/>
      <c r="CGB99" s="168"/>
      <c r="CGC99" s="167"/>
      <c r="CGD99" s="168"/>
      <c r="CGE99" s="167"/>
      <c r="CGF99" s="168"/>
      <c r="CGG99" s="167"/>
      <c r="CGH99" s="168"/>
      <c r="CGI99" s="167"/>
      <c r="CGJ99" s="168"/>
      <c r="CGK99" s="167"/>
      <c r="CGL99" s="168"/>
      <c r="CGM99" s="167"/>
      <c r="CGN99" s="168"/>
      <c r="CGO99" s="167"/>
      <c r="CGP99" s="168"/>
      <c r="CGQ99" s="167"/>
      <c r="CGR99" s="168"/>
      <c r="CGS99" s="167"/>
      <c r="CGT99" s="168"/>
      <c r="CGU99" s="167"/>
      <c r="CGV99" s="168"/>
      <c r="CGW99" s="167"/>
      <c r="CGX99" s="168"/>
      <c r="CGY99" s="167"/>
      <c r="CGZ99" s="168"/>
      <c r="CHA99" s="167"/>
      <c r="CHB99" s="168"/>
      <c r="CHC99" s="167"/>
      <c r="CHD99" s="168"/>
      <c r="CHE99" s="167"/>
      <c r="CHF99" s="168"/>
      <c r="CHG99" s="167"/>
      <c r="CHH99" s="168"/>
      <c r="CHI99" s="167"/>
      <c r="CHJ99" s="168"/>
      <c r="CHK99" s="167"/>
      <c r="CHL99" s="168"/>
      <c r="CHM99" s="167"/>
      <c r="CHN99" s="168"/>
      <c r="CHO99" s="167"/>
      <c r="CHP99" s="168"/>
      <c r="CHQ99" s="167"/>
      <c r="CHR99" s="168"/>
      <c r="CHS99" s="167"/>
      <c r="CHT99" s="168"/>
      <c r="CHU99" s="167"/>
      <c r="CHV99" s="168"/>
      <c r="CHW99" s="167"/>
      <c r="CHX99" s="168"/>
      <c r="CHY99" s="167"/>
      <c r="CHZ99" s="168"/>
      <c r="CIA99" s="167"/>
      <c r="CIB99" s="168"/>
      <c r="CIC99" s="167"/>
      <c r="CID99" s="168"/>
      <c r="CIE99" s="167"/>
      <c r="CIF99" s="168"/>
      <c r="CIG99" s="167"/>
      <c r="CIH99" s="168"/>
      <c r="CII99" s="167"/>
      <c r="CIJ99" s="168"/>
      <c r="CIK99" s="167"/>
      <c r="CIL99" s="168"/>
      <c r="CIM99" s="167"/>
      <c r="CIN99" s="168"/>
      <c r="CIO99" s="167"/>
      <c r="CIP99" s="168"/>
      <c r="CIQ99" s="167"/>
      <c r="CIR99" s="168"/>
      <c r="CIS99" s="167"/>
      <c r="CIT99" s="168"/>
      <c r="CIU99" s="167"/>
      <c r="CIV99" s="168"/>
      <c r="CIW99" s="167"/>
      <c r="CIX99" s="168"/>
      <c r="CIY99" s="167"/>
      <c r="CIZ99" s="168"/>
      <c r="CJA99" s="167"/>
      <c r="CJB99" s="168"/>
      <c r="CJC99" s="167"/>
      <c r="CJD99" s="168"/>
      <c r="CJE99" s="167"/>
      <c r="CJF99" s="168"/>
      <c r="CJG99" s="167"/>
      <c r="CJH99" s="168"/>
      <c r="CJI99" s="167"/>
      <c r="CJJ99" s="168"/>
      <c r="CJK99" s="167"/>
      <c r="CJL99" s="168"/>
      <c r="CJM99" s="167"/>
      <c r="CJN99" s="168"/>
      <c r="CJO99" s="167"/>
      <c r="CJP99" s="168"/>
      <c r="CJQ99" s="167"/>
      <c r="CJR99" s="168"/>
      <c r="CJS99" s="167"/>
      <c r="CJT99" s="168"/>
      <c r="CJU99" s="167"/>
      <c r="CJV99" s="168"/>
      <c r="CJW99" s="167"/>
      <c r="CJX99" s="168"/>
      <c r="CJY99" s="167"/>
      <c r="CJZ99" s="168"/>
      <c r="CKA99" s="167"/>
      <c r="CKB99" s="168"/>
      <c r="CKC99" s="167"/>
      <c r="CKD99" s="168"/>
      <c r="CKE99" s="167"/>
      <c r="CKF99" s="168"/>
      <c r="CKG99" s="167"/>
      <c r="CKH99" s="168"/>
      <c r="CKI99" s="167"/>
      <c r="CKJ99" s="168"/>
      <c r="CKK99" s="167"/>
      <c r="CKL99" s="168"/>
      <c r="CKM99" s="167"/>
      <c r="CKN99" s="168"/>
      <c r="CKO99" s="167"/>
      <c r="CKP99" s="168"/>
      <c r="CKQ99" s="167"/>
      <c r="CKR99" s="168"/>
      <c r="CKS99" s="167"/>
      <c r="CKT99" s="168"/>
      <c r="CKU99" s="167"/>
      <c r="CKV99" s="168"/>
      <c r="CKW99" s="167"/>
      <c r="CKX99" s="168"/>
      <c r="CKY99" s="167"/>
      <c r="CKZ99" s="168"/>
      <c r="CLA99" s="167"/>
      <c r="CLB99" s="168"/>
      <c r="CLC99" s="167"/>
      <c r="CLD99" s="168"/>
      <c r="CLE99" s="167"/>
      <c r="CLF99" s="168"/>
      <c r="CLG99" s="167"/>
      <c r="CLH99" s="168"/>
      <c r="CLI99" s="167"/>
      <c r="CLJ99" s="168"/>
      <c r="CLK99" s="167"/>
      <c r="CLL99" s="168"/>
      <c r="CLM99" s="167"/>
      <c r="CLN99" s="168"/>
      <c r="CLO99" s="167"/>
      <c r="CLP99" s="168"/>
      <c r="CLQ99" s="167"/>
      <c r="CLR99" s="168"/>
      <c r="CLS99" s="167"/>
      <c r="CLT99" s="168"/>
      <c r="CLU99" s="167"/>
      <c r="CLV99" s="168"/>
      <c r="CLW99" s="167"/>
      <c r="CLX99" s="168"/>
      <c r="CLY99" s="167"/>
      <c r="CLZ99" s="168"/>
      <c r="CMA99" s="167"/>
      <c r="CMB99" s="168"/>
      <c r="CMC99" s="167"/>
      <c r="CMD99" s="168"/>
      <c r="CME99" s="167"/>
      <c r="CMF99" s="168"/>
      <c r="CMG99" s="167"/>
      <c r="CMH99" s="168"/>
      <c r="CMI99" s="167"/>
      <c r="CMJ99" s="168"/>
      <c r="CMK99" s="167"/>
      <c r="CML99" s="168"/>
      <c r="CMM99" s="167"/>
      <c r="CMN99" s="168"/>
      <c r="CMO99" s="167"/>
      <c r="CMP99" s="168"/>
      <c r="CMQ99" s="167"/>
      <c r="CMR99" s="168"/>
      <c r="CMS99" s="167"/>
      <c r="CMT99" s="168"/>
      <c r="CMU99" s="167"/>
      <c r="CMV99" s="168"/>
      <c r="CMW99" s="167"/>
      <c r="CMX99" s="168"/>
      <c r="CMY99" s="167"/>
      <c r="CMZ99" s="168"/>
      <c r="CNA99" s="167"/>
      <c r="CNB99" s="168"/>
      <c r="CNC99" s="167"/>
      <c r="CND99" s="168"/>
      <c r="CNE99" s="167"/>
      <c r="CNF99" s="168"/>
      <c r="CNG99" s="167"/>
      <c r="CNH99" s="168"/>
      <c r="CNI99" s="167"/>
      <c r="CNJ99" s="168"/>
      <c r="CNK99" s="167"/>
      <c r="CNL99" s="168"/>
      <c r="CNM99" s="167"/>
      <c r="CNN99" s="168"/>
      <c r="CNO99" s="167"/>
      <c r="CNP99" s="168"/>
      <c r="CNQ99" s="167"/>
      <c r="CNR99" s="168"/>
      <c r="CNS99" s="167"/>
      <c r="CNT99" s="168"/>
      <c r="CNU99" s="167"/>
      <c r="CNV99" s="168"/>
      <c r="CNW99" s="167"/>
      <c r="CNX99" s="168"/>
      <c r="CNY99" s="167"/>
      <c r="CNZ99" s="168"/>
      <c r="COA99" s="167"/>
      <c r="COB99" s="168"/>
      <c r="COC99" s="167"/>
      <c r="COD99" s="168"/>
      <c r="COE99" s="167"/>
      <c r="COF99" s="168"/>
      <c r="COG99" s="167"/>
      <c r="COH99" s="168"/>
      <c r="COI99" s="167"/>
      <c r="COJ99" s="168"/>
      <c r="COK99" s="167"/>
      <c r="COL99" s="168"/>
      <c r="COM99" s="167"/>
      <c r="CON99" s="168"/>
      <c r="COO99" s="167"/>
      <c r="COP99" s="168"/>
      <c r="COQ99" s="167"/>
      <c r="COR99" s="168"/>
      <c r="COS99" s="167"/>
      <c r="COT99" s="168"/>
      <c r="COU99" s="167"/>
      <c r="COV99" s="168"/>
      <c r="COW99" s="167"/>
      <c r="COX99" s="168"/>
      <c r="COY99" s="167"/>
      <c r="COZ99" s="168"/>
      <c r="CPA99" s="167"/>
      <c r="CPB99" s="168"/>
      <c r="CPC99" s="167"/>
      <c r="CPD99" s="168"/>
      <c r="CPE99" s="167"/>
      <c r="CPF99" s="168"/>
      <c r="CPG99" s="167"/>
      <c r="CPH99" s="168"/>
      <c r="CPI99" s="167"/>
      <c r="CPJ99" s="168"/>
      <c r="CPK99" s="167"/>
      <c r="CPL99" s="168"/>
      <c r="CPM99" s="167"/>
      <c r="CPN99" s="168"/>
      <c r="CPO99" s="167"/>
      <c r="CPP99" s="168"/>
      <c r="CPQ99" s="167"/>
      <c r="CPR99" s="168"/>
      <c r="CPS99" s="167"/>
      <c r="CPT99" s="168"/>
      <c r="CPU99" s="167"/>
      <c r="CPV99" s="168"/>
      <c r="CPW99" s="167"/>
      <c r="CPX99" s="168"/>
      <c r="CPY99" s="167"/>
      <c r="CPZ99" s="168"/>
      <c r="CQA99" s="167"/>
      <c r="CQB99" s="168"/>
      <c r="CQC99" s="167"/>
      <c r="CQD99" s="168"/>
      <c r="CQE99" s="167"/>
      <c r="CQF99" s="168"/>
      <c r="CQG99" s="167"/>
      <c r="CQH99" s="168"/>
      <c r="CQI99" s="167"/>
      <c r="CQJ99" s="168"/>
      <c r="CQK99" s="167"/>
      <c r="CQL99" s="168"/>
      <c r="CQM99" s="167"/>
      <c r="CQN99" s="168"/>
      <c r="CQO99" s="167"/>
      <c r="CQP99" s="168"/>
      <c r="CQQ99" s="167"/>
      <c r="CQR99" s="168"/>
      <c r="CQS99" s="167"/>
      <c r="CQT99" s="168"/>
      <c r="CQU99" s="167"/>
      <c r="CQV99" s="168"/>
      <c r="CQW99" s="167"/>
      <c r="CQX99" s="168"/>
      <c r="CQY99" s="167"/>
      <c r="CQZ99" s="168"/>
      <c r="CRA99" s="167"/>
      <c r="CRB99" s="168"/>
      <c r="CRC99" s="167"/>
      <c r="CRD99" s="168"/>
      <c r="CRE99" s="167"/>
      <c r="CRF99" s="168"/>
      <c r="CRG99" s="167"/>
      <c r="CRH99" s="168"/>
      <c r="CRI99" s="167"/>
      <c r="CRJ99" s="168"/>
      <c r="CRK99" s="167"/>
      <c r="CRL99" s="168"/>
      <c r="CRM99" s="167"/>
      <c r="CRN99" s="168"/>
      <c r="CRO99" s="167"/>
      <c r="CRP99" s="168"/>
      <c r="CRQ99" s="167"/>
      <c r="CRR99" s="168"/>
      <c r="CRS99" s="167"/>
      <c r="CRT99" s="168"/>
      <c r="CRU99" s="167"/>
      <c r="CRV99" s="168"/>
      <c r="CRW99" s="167"/>
      <c r="CRX99" s="168"/>
      <c r="CRY99" s="167"/>
      <c r="CRZ99" s="168"/>
      <c r="CSA99" s="167"/>
      <c r="CSB99" s="168"/>
      <c r="CSC99" s="167"/>
      <c r="CSD99" s="168"/>
      <c r="CSE99" s="167"/>
      <c r="CSF99" s="168"/>
      <c r="CSG99" s="167"/>
      <c r="CSH99" s="168"/>
      <c r="CSI99" s="167"/>
      <c r="CSJ99" s="168"/>
      <c r="CSK99" s="167"/>
      <c r="CSL99" s="168"/>
      <c r="CSM99" s="167"/>
      <c r="CSN99" s="168"/>
      <c r="CSO99" s="167"/>
      <c r="CSP99" s="168"/>
      <c r="CSQ99" s="167"/>
      <c r="CSR99" s="168"/>
      <c r="CSS99" s="167"/>
      <c r="CST99" s="168"/>
      <c r="CSU99" s="167"/>
      <c r="CSV99" s="168"/>
      <c r="CSW99" s="167"/>
      <c r="CSX99" s="168"/>
      <c r="CSY99" s="167"/>
      <c r="CSZ99" s="168"/>
      <c r="CTA99" s="167"/>
      <c r="CTB99" s="168"/>
      <c r="CTC99" s="167"/>
      <c r="CTD99" s="168"/>
      <c r="CTE99" s="167"/>
      <c r="CTF99" s="168"/>
      <c r="CTG99" s="167"/>
      <c r="CTH99" s="168"/>
      <c r="CTI99" s="167"/>
      <c r="CTJ99" s="168"/>
      <c r="CTK99" s="167"/>
      <c r="CTL99" s="168"/>
      <c r="CTM99" s="167"/>
      <c r="CTN99" s="168"/>
      <c r="CTO99" s="167"/>
      <c r="CTP99" s="168"/>
      <c r="CTQ99" s="167"/>
      <c r="CTR99" s="168"/>
      <c r="CTS99" s="167"/>
      <c r="CTT99" s="168"/>
      <c r="CTU99" s="167"/>
      <c r="CTV99" s="168"/>
      <c r="CTW99" s="167"/>
      <c r="CTX99" s="168"/>
      <c r="CTY99" s="167"/>
      <c r="CTZ99" s="168"/>
      <c r="CUA99" s="167"/>
      <c r="CUB99" s="168"/>
      <c r="CUC99" s="167"/>
      <c r="CUD99" s="168"/>
      <c r="CUE99" s="167"/>
      <c r="CUF99" s="168"/>
      <c r="CUG99" s="167"/>
      <c r="CUH99" s="168"/>
      <c r="CUI99" s="167"/>
      <c r="CUJ99" s="168"/>
      <c r="CUK99" s="167"/>
      <c r="CUL99" s="168"/>
      <c r="CUM99" s="167"/>
      <c r="CUN99" s="168"/>
      <c r="CUO99" s="167"/>
      <c r="CUP99" s="168"/>
      <c r="CUQ99" s="167"/>
      <c r="CUR99" s="168"/>
      <c r="CUS99" s="167"/>
      <c r="CUT99" s="168"/>
      <c r="CUU99" s="167"/>
      <c r="CUV99" s="168"/>
      <c r="CUW99" s="167"/>
      <c r="CUX99" s="168"/>
      <c r="CUY99" s="167"/>
      <c r="CUZ99" s="168"/>
      <c r="CVA99" s="167"/>
      <c r="CVB99" s="168"/>
      <c r="CVC99" s="167"/>
      <c r="CVD99" s="168"/>
      <c r="CVE99" s="167"/>
      <c r="CVF99" s="168"/>
      <c r="CVG99" s="167"/>
      <c r="CVH99" s="168"/>
      <c r="CVI99" s="167"/>
      <c r="CVJ99" s="168"/>
      <c r="CVK99" s="167"/>
      <c r="CVL99" s="168"/>
      <c r="CVM99" s="167"/>
      <c r="CVN99" s="168"/>
      <c r="CVO99" s="167"/>
      <c r="CVP99" s="168"/>
      <c r="CVQ99" s="167"/>
      <c r="CVR99" s="168"/>
      <c r="CVS99" s="167"/>
      <c r="CVT99" s="168"/>
      <c r="CVU99" s="167"/>
      <c r="CVV99" s="168"/>
      <c r="CVW99" s="167"/>
      <c r="CVX99" s="168"/>
      <c r="CVY99" s="167"/>
      <c r="CVZ99" s="168"/>
      <c r="CWA99" s="167"/>
      <c r="CWB99" s="168"/>
      <c r="CWC99" s="167"/>
      <c r="CWD99" s="168"/>
      <c r="CWE99" s="167"/>
      <c r="CWF99" s="168"/>
      <c r="CWG99" s="167"/>
      <c r="CWH99" s="168"/>
      <c r="CWI99" s="167"/>
      <c r="CWJ99" s="168"/>
      <c r="CWK99" s="167"/>
      <c r="CWL99" s="168"/>
      <c r="CWM99" s="167"/>
      <c r="CWN99" s="168"/>
      <c r="CWO99" s="167"/>
      <c r="CWP99" s="168"/>
      <c r="CWQ99" s="167"/>
      <c r="CWR99" s="168"/>
      <c r="CWS99" s="167"/>
      <c r="CWT99" s="168"/>
      <c r="CWU99" s="167"/>
      <c r="CWV99" s="168"/>
      <c r="CWW99" s="167"/>
      <c r="CWX99" s="168"/>
      <c r="CWY99" s="167"/>
      <c r="CWZ99" s="168"/>
      <c r="CXA99" s="167"/>
      <c r="CXB99" s="168"/>
      <c r="CXC99" s="167"/>
      <c r="CXD99" s="168"/>
      <c r="CXE99" s="167"/>
      <c r="CXF99" s="168"/>
      <c r="CXG99" s="167"/>
      <c r="CXH99" s="168"/>
      <c r="CXI99" s="167"/>
      <c r="CXJ99" s="168"/>
      <c r="CXK99" s="167"/>
      <c r="CXL99" s="168"/>
      <c r="CXM99" s="167"/>
      <c r="CXN99" s="168"/>
      <c r="CXO99" s="167"/>
      <c r="CXP99" s="168"/>
      <c r="CXQ99" s="167"/>
      <c r="CXR99" s="168"/>
      <c r="CXS99" s="167"/>
      <c r="CXT99" s="168"/>
      <c r="CXU99" s="167"/>
      <c r="CXV99" s="168"/>
      <c r="CXW99" s="167"/>
      <c r="CXX99" s="168"/>
      <c r="CXY99" s="167"/>
      <c r="CXZ99" s="168"/>
      <c r="CYA99" s="167"/>
      <c r="CYB99" s="168"/>
      <c r="CYC99" s="167"/>
      <c r="CYD99" s="168"/>
      <c r="CYE99" s="167"/>
      <c r="CYF99" s="168"/>
      <c r="CYG99" s="167"/>
      <c r="CYH99" s="168"/>
      <c r="CYI99" s="167"/>
      <c r="CYJ99" s="168"/>
      <c r="CYK99" s="167"/>
      <c r="CYL99" s="168"/>
      <c r="CYM99" s="167"/>
      <c r="CYN99" s="168"/>
      <c r="CYO99" s="167"/>
      <c r="CYP99" s="168"/>
      <c r="CYQ99" s="167"/>
      <c r="CYR99" s="168"/>
      <c r="CYS99" s="167"/>
      <c r="CYT99" s="168"/>
      <c r="CYU99" s="167"/>
      <c r="CYV99" s="168"/>
      <c r="CYW99" s="167"/>
      <c r="CYX99" s="168"/>
      <c r="CYY99" s="167"/>
      <c r="CYZ99" s="168"/>
      <c r="CZA99" s="167"/>
      <c r="CZB99" s="168"/>
      <c r="CZC99" s="167"/>
      <c r="CZD99" s="168"/>
      <c r="CZE99" s="167"/>
      <c r="CZF99" s="168"/>
      <c r="CZG99" s="167"/>
      <c r="CZH99" s="168"/>
      <c r="CZI99" s="167"/>
      <c r="CZJ99" s="168"/>
      <c r="CZK99" s="167"/>
      <c r="CZL99" s="168"/>
      <c r="CZM99" s="167"/>
      <c r="CZN99" s="168"/>
      <c r="CZO99" s="167"/>
      <c r="CZP99" s="168"/>
      <c r="CZQ99" s="167"/>
      <c r="CZR99" s="168"/>
      <c r="CZS99" s="167"/>
      <c r="CZT99" s="168"/>
      <c r="CZU99" s="167"/>
      <c r="CZV99" s="168"/>
      <c r="CZW99" s="167"/>
      <c r="CZX99" s="168"/>
      <c r="CZY99" s="167"/>
      <c r="CZZ99" s="168"/>
      <c r="DAA99" s="167"/>
      <c r="DAB99" s="168"/>
      <c r="DAC99" s="167"/>
      <c r="DAD99" s="168"/>
      <c r="DAE99" s="167"/>
      <c r="DAF99" s="168"/>
      <c r="DAG99" s="167"/>
      <c r="DAH99" s="168"/>
      <c r="DAI99" s="167"/>
      <c r="DAJ99" s="168"/>
      <c r="DAK99" s="167"/>
      <c r="DAL99" s="168"/>
      <c r="DAM99" s="167"/>
      <c r="DAN99" s="168"/>
      <c r="DAO99" s="167"/>
      <c r="DAP99" s="168"/>
      <c r="DAQ99" s="167"/>
      <c r="DAR99" s="168"/>
      <c r="DAS99" s="167"/>
      <c r="DAT99" s="168"/>
      <c r="DAU99" s="167"/>
      <c r="DAV99" s="168"/>
      <c r="DAW99" s="167"/>
      <c r="DAX99" s="168"/>
      <c r="DAY99" s="167"/>
      <c r="DAZ99" s="168"/>
      <c r="DBA99" s="167"/>
      <c r="DBB99" s="168"/>
      <c r="DBC99" s="167"/>
      <c r="DBD99" s="168"/>
      <c r="DBE99" s="167"/>
      <c r="DBF99" s="168"/>
      <c r="DBG99" s="167"/>
      <c r="DBH99" s="168"/>
      <c r="DBI99" s="167"/>
      <c r="DBJ99" s="168"/>
      <c r="DBK99" s="167"/>
      <c r="DBL99" s="168"/>
      <c r="DBM99" s="167"/>
      <c r="DBN99" s="168"/>
      <c r="DBO99" s="167"/>
      <c r="DBP99" s="168"/>
      <c r="DBQ99" s="167"/>
      <c r="DBR99" s="168"/>
      <c r="DBS99" s="167"/>
      <c r="DBT99" s="168"/>
      <c r="DBU99" s="167"/>
      <c r="DBV99" s="168"/>
      <c r="DBW99" s="167"/>
      <c r="DBX99" s="168"/>
      <c r="DBY99" s="167"/>
      <c r="DBZ99" s="168"/>
      <c r="DCA99" s="167"/>
      <c r="DCB99" s="168"/>
      <c r="DCC99" s="167"/>
      <c r="DCD99" s="168"/>
      <c r="DCE99" s="167"/>
      <c r="DCF99" s="168"/>
      <c r="DCG99" s="167"/>
      <c r="DCH99" s="168"/>
      <c r="DCI99" s="167"/>
      <c r="DCJ99" s="168"/>
      <c r="DCK99" s="167"/>
      <c r="DCL99" s="168"/>
      <c r="DCM99" s="167"/>
      <c r="DCN99" s="168"/>
      <c r="DCO99" s="167"/>
      <c r="DCP99" s="168"/>
      <c r="DCQ99" s="167"/>
      <c r="DCR99" s="168"/>
      <c r="DCS99" s="167"/>
      <c r="DCT99" s="168"/>
      <c r="DCU99" s="167"/>
      <c r="DCV99" s="168"/>
      <c r="DCW99" s="167"/>
      <c r="DCX99" s="168"/>
      <c r="DCY99" s="167"/>
      <c r="DCZ99" s="168"/>
      <c r="DDA99" s="167"/>
      <c r="DDB99" s="168"/>
      <c r="DDC99" s="167"/>
      <c r="DDD99" s="168"/>
      <c r="DDE99" s="167"/>
      <c r="DDF99" s="168"/>
      <c r="DDG99" s="167"/>
      <c r="DDH99" s="168"/>
      <c r="DDI99" s="167"/>
      <c r="DDJ99" s="168"/>
      <c r="DDK99" s="167"/>
      <c r="DDL99" s="168"/>
      <c r="DDM99" s="167"/>
      <c r="DDN99" s="168"/>
      <c r="DDO99" s="167"/>
      <c r="DDP99" s="168"/>
      <c r="DDQ99" s="167"/>
      <c r="DDR99" s="168"/>
      <c r="DDS99" s="167"/>
      <c r="DDT99" s="168"/>
      <c r="DDU99" s="167"/>
      <c r="DDV99" s="168"/>
      <c r="DDW99" s="167"/>
      <c r="DDX99" s="168"/>
      <c r="DDY99" s="167"/>
      <c r="DDZ99" s="168"/>
      <c r="DEA99" s="167"/>
      <c r="DEB99" s="168"/>
      <c r="DEC99" s="167"/>
      <c r="DED99" s="168"/>
      <c r="DEE99" s="167"/>
      <c r="DEF99" s="168"/>
      <c r="DEG99" s="167"/>
      <c r="DEH99" s="168"/>
      <c r="DEI99" s="167"/>
      <c r="DEJ99" s="168"/>
      <c r="DEK99" s="167"/>
      <c r="DEL99" s="168"/>
      <c r="DEM99" s="167"/>
      <c r="DEN99" s="168"/>
      <c r="DEO99" s="167"/>
      <c r="DEP99" s="168"/>
      <c r="DEQ99" s="167"/>
      <c r="DER99" s="168"/>
      <c r="DES99" s="167"/>
      <c r="DET99" s="168"/>
      <c r="DEU99" s="167"/>
      <c r="DEV99" s="168"/>
      <c r="DEW99" s="167"/>
      <c r="DEX99" s="168"/>
      <c r="DEY99" s="167"/>
      <c r="DEZ99" s="168"/>
      <c r="DFA99" s="167"/>
      <c r="DFB99" s="168"/>
      <c r="DFC99" s="167"/>
      <c r="DFD99" s="168"/>
      <c r="DFE99" s="167"/>
      <c r="DFF99" s="168"/>
      <c r="DFG99" s="167"/>
      <c r="DFH99" s="168"/>
      <c r="DFI99" s="167"/>
      <c r="DFJ99" s="168"/>
      <c r="DFK99" s="167"/>
      <c r="DFL99" s="168"/>
      <c r="DFM99" s="167"/>
      <c r="DFN99" s="168"/>
      <c r="DFO99" s="167"/>
      <c r="DFP99" s="168"/>
      <c r="DFQ99" s="167"/>
      <c r="DFR99" s="168"/>
      <c r="DFS99" s="167"/>
      <c r="DFT99" s="168"/>
      <c r="DFU99" s="167"/>
      <c r="DFV99" s="168"/>
      <c r="DFW99" s="167"/>
      <c r="DFX99" s="168"/>
      <c r="DFY99" s="167"/>
      <c r="DFZ99" s="168"/>
      <c r="DGA99" s="167"/>
      <c r="DGB99" s="168"/>
      <c r="DGC99" s="167"/>
      <c r="DGD99" s="168"/>
      <c r="DGE99" s="167"/>
      <c r="DGF99" s="168"/>
      <c r="DGG99" s="167"/>
      <c r="DGH99" s="168"/>
      <c r="DGI99" s="167"/>
      <c r="DGJ99" s="168"/>
      <c r="DGK99" s="167"/>
      <c r="DGL99" s="168"/>
      <c r="DGM99" s="167"/>
      <c r="DGN99" s="168"/>
      <c r="DGO99" s="167"/>
      <c r="DGP99" s="168"/>
      <c r="DGQ99" s="167"/>
      <c r="DGR99" s="168"/>
      <c r="DGS99" s="167"/>
      <c r="DGT99" s="168"/>
      <c r="DGU99" s="167"/>
      <c r="DGV99" s="168"/>
      <c r="DGW99" s="167"/>
      <c r="DGX99" s="168"/>
      <c r="DGY99" s="167"/>
      <c r="DGZ99" s="168"/>
      <c r="DHA99" s="167"/>
      <c r="DHB99" s="168"/>
      <c r="DHC99" s="167"/>
      <c r="DHD99" s="168"/>
      <c r="DHE99" s="167"/>
      <c r="DHF99" s="168"/>
      <c r="DHG99" s="167"/>
      <c r="DHH99" s="168"/>
      <c r="DHI99" s="167"/>
      <c r="DHJ99" s="168"/>
      <c r="DHK99" s="167"/>
      <c r="DHL99" s="168"/>
      <c r="DHM99" s="167"/>
      <c r="DHN99" s="168"/>
      <c r="DHO99" s="167"/>
      <c r="DHP99" s="168"/>
      <c r="DHQ99" s="167"/>
      <c r="DHR99" s="168"/>
      <c r="DHS99" s="167"/>
      <c r="DHT99" s="168"/>
      <c r="DHU99" s="167"/>
      <c r="DHV99" s="168"/>
      <c r="DHW99" s="167"/>
      <c r="DHX99" s="168"/>
      <c r="DHY99" s="167"/>
      <c r="DHZ99" s="168"/>
      <c r="DIA99" s="167"/>
      <c r="DIB99" s="168"/>
      <c r="DIC99" s="167"/>
      <c r="DID99" s="168"/>
      <c r="DIE99" s="167"/>
      <c r="DIF99" s="168"/>
      <c r="DIG99" s="167"/>
      <c r="DIH99" s="168"/>
      <c r="DII99" s="167"/>
      <c r="DIJ99" s="168"/>
      <c r="DIK99" s="167"/>
      <c r="DIL99" s="168"/>
      <c r="DIM99" s="167"/>
      <c r="DIN99" s="168"/>
      <c r="DIO99" s="167"/>
      <c r="DIP99" s="168"/>
      <c r="DIQ99" s="167"/>
      <c r="DIR99" s="168"/>
      <c r="DIS99" s="167"/>
      <c r="DIT99" s="168"/>
      <c r="DIU99" s="167"/>
      <c r="DIV99" s="168"/>
      <c r="DIW99" s="167"/>
      <c r="DIX99" s="168"/>
      <c r="DIY99" s="167"/>
      <c r="DIZ99" s="168"/>
      <c r="DJA99" s="167"/>
      <c r="DJB99" s="168"/>
      <c r="DJC99" s="167"/>
      <c r="DJD99" s="168"/>
      <c r="DJE99" s="167"/>
      <c r="DJF99" s="168"/>
      <c r="DJG99" s="167"/>
      <c r="DJH99" s="168"/>
      <c r="DJI99" s="167"/>
      <c r="DJJ99" s="168"/>
      <c r="DJK99" s="167"/>
      <c r="DJL99" s="168"/>
      <c r="DJM99" s="167"/>
      <c r="DJN99" s="168"/>
      <c r="DJO99" s="167"/>
      <c r="DJP99" s="168"/>
      <c r="DJQ99" s="167"/>
      <c r="DJR99" s="168"/>
      <c r="DJS99" s="167"/>
      <c r="DJT99" s="168"/>
      <c r="DJU99" s="167"/>
      <c r="DJV99" s="168"/>
      <c r="DJW99" s="167"/>
      <c r="DJX99" s="168"/>
      <c r="DJY99" s="167"/>
      <c r="DJZ99" s="168"/>
      <c r="DKA99" s="167"/>
      <c r="DKB99" s="168"/>
      <c r="DKC99" s="167"/>
      <c r="DKD99" s="168"/>
      <c r="DKE99" s="167"/>
      <c r="DKF99" s="168"/>
      <c r="DKG99" s="167"/>
      <c r="DKH99" s="168"/>
      <c r="DKI99" s="167"/>
      <c r="DKJ99" s="168"/>
      <c r="DKK99" s="167"/>
      <c r="DKL99" s="168"/>
      <c r="DKM99" s="167"/>
      <c r="DKN99" s="168"/>
      <c r="DKO99" s="167"/>
      <c r="DKP99" s="168"/>
      <c r="DKQ99" s="167"/>
      <c r="DKR99" s="168"/>
      <c r="DKS99" s="167"/>
      <c r="DKT99" s="168"/>
      <c r="DKU99" s="167"/>
      <c r="DKV99" s="168"/>
      <c r="DKW99" s="167"/>
      <c r="DKX99" s="168"/>
      <c r="DKY99" s="167"/>
      <c r="DKZ99" s="168"/>
      <c r="DLA99" s="167"/>
      <c r="DLB99" s="168"/>
      <c r="DLC99" s="167"/>
      <c r="DLD99" s="168"/>
      <c r="DLE99" s="167"/>
      <c r="DLF99" s="168"/>
      <c r="DLG99" s="167"/>
      <c r="DLH99" s="168"/>
      <c r="DLI99" s="167"/>
      <c r="DLJ99" s="168"/>
      <c r="DLK99" s="167"/>
      <c r="DLL99" s="168"/>
      <c r="DLM99" s="167"/>
      <c r="DLN99" s="168"/>
      <c r="DLO99" s="167"/>
      <c r="DLP99" s="168"/>
      <c r="DLQ99" s="167"/>
      <c r="DLR99" s="168"/>
      <c r="DLS99" s="167"/>
      <c r="DLT99" s="168"/>
      <c r="DLU99" s="167"/>
      <c r="DLV99" s="168"/>
      <c r="DLW99" s="167"/>
      <c r="DLX99" s="168"/>
      <c r="DLY99" s="167"/>
      <c r="DLZ99" s="168"/>
      <c r="DMA99" s="167"/>
      <c r="DMB99" s="168"/>
      <c r="DMC99" s="167"/>
      <c r="DMD99" s="168"/>
      <c r="DME99" s="167"/>
      <c r="DMF99" s="168"/>
      <c r="DMG99" s="167"/>
      <c r="DMH99" s="168"/>
      <c r="DMI99" s="167"/>
      <c r="DMJ99" s="168"/>
      <c r="DMK99" s="167"/>
      <c r="DML99" s="168"/>
      <c r="DMM99" s="167"/>
      <c r="DMN99" s="168"/>
      <c r="DMO99" s="167"/>
      <c r="DMP99" s="168"/>
      <c r="DMQ99" s="167"/>
      <c r="DMR99" s="168"/>
      <c r="DMS99" s="167"/>
      <c r="DMT99" s="168"/>
      <c r="DMU99" s="167"/>
      <c r="DMV99" s="168"/>
      <c r="DMW99" s="167"/>
      <c r="DMX99" s="168"/>
      <c r="DMY99" s="167"/>
      <c r="DMZ99" s="168"/>
      <c r="DNA99" s="167"/>
      <c r="DNB99" s="168"/>
      <c r="DNC99" s="167"/>
      <c r="DND99" s="168"/>
      <c r="DNE99" s="167"/>
      <c r="DNF99" s="168"/>
      <c r="DNG99" s="167"/>
      <c r="DNH99" s="168"/>
      <c r="DNI99" s="167"/>
      <c r="DNJ99" s="168"/>
      <c r="DNK99" s="167"/>
      <c r="DNL99" s="168"/>
      <c r="DNM99" s="167"/>
      <c r="DNN99" s="168"/>
      <c r="DNO99" s="167"/>
      <c r="DNP99" s="168"/>
      <c r="DNQ99" s="167"/>
      <c r="DNR99" s="168"/>
      <c r="DNS99" s="167"/>
      <c r="DNT99" s="168"/>
      <c r="DNU99" s="167"/>
      <c r="DNV99" s="168"/>
      <c r="DNW99" s="167"/>
      <c r="DNX99" s="168"/>
      <c r="DNY99" s="167"/>
      <c r="DNZ99" s="168"/>
      <c r="DOA99" s="167"/>
      <c r="DOB99" s="168"/>
      <c r="DOC99" s="167"/>
      <c r="DOD99" s="168"/>
      <c r="DOE99" s="167"/>
      <c r="DOF99" s="168"/>
      <c r="DOG99" s="167"/>
      <c r="DOH99" s="168"/>
      <c r="DOI99" s="167"/>
      <c r="DOJ99" s="168"/>
      <c r="DOK99" s="167"/>
      <c r="DOL99" s="168"/>
      <c r="DOM99" s="167"/>
      <c r="DON99" s="168"/>
      <c r="DOO99" s="167"/>
      <c r="DOP99" s="168"/>
      <c r="DOQ99" s="167"/>
      <c r="DOR99" s="168"/>
      <c r="DOS99" s="167"/>
      <c r="DOT99" s="168"/>
      <c r="DOU99" s="167"/>
      <c r="DOV99" s="168"/>
      <c r="DOW99" s="167"/>
      <c r="DOX99" s="168"/>
      <c r="DOY99" s="167"/>
      <c r="DOZ99" s="168"/>
      <c r="DPA99" s="167"/>
      <c r="DPB99" s="168"/>
      <c r="DPC99" s="167"/>
      <c r="DPD99" s="168"/>
      <c r="DPE99" s="167"/>
      <c r="DPF99" s="168"/>
      <c r="DPG99" s="167"/>
      <c r="DPH99" s="168"/>
      <c r="DPI99" s="167"/>
      <c r="DPJ99" s="168"/>
      <c r="DPK99" s="167"/>
      <c r="DPL99" s="168"/>
      <c r="DPM99" s="167"/>
      <c r="DPN99" s="168"/>
      <c r="DPO99" s="167"/>
      <c r="DPP99" s="168"/>
      <c r="DPQ99" s="167"/>
      <c r="DPR99" s="168"/>
      <c r="DPS99" s="167"/>
      <c r="DPT99" s="168"/>
      <c r="DPU99" s="167"/>
      <c r="DPV99" s="168"/>
      <c r="DPW99" s="167"/>
      <c r="DPX99" s="168"/>
      <c r="DPY99" s="167"/>
      <c r="DPZ99" s="168"/>
      <c r="DQA99" s="167"/>
      <c r="DQB99" s="168"/>
      <c r="DQC99" s="167"/>
      <c r="DQD99" s="168"/>
      <c r="DQE99" s="167"/>
      <c r="DQF99" s="168"/>
      <c r="DQG99" s="167"/>
      <c r="DQH99" s="168"/>
      <c r="DQI99" s="167"/>
      <c r="DQJ99" s="168"/>
      <c r="DQK99" s="167"/>
      <c r="DQL99" s="168"/>
      <c r="DQM99" s="167"/>
      <c r="DQN99" s="168"/>
      <c r="DQO99" s="167"/>
      <c r="DQP99" s="168"/>
      <c r="DQQ99" s="167"/>
      <c r="DQR99" s="168"/>
      <c r="DQS99" s="167"/>
      <c r="DQT99" s="168"/>
      <c r="DQU99" s="167"/>
      <c r="DQV99" s="168"/>
      <c r="DQW99" s="167"/>
      <c r="DQX99" s="168"/>
      <c r="DQY99" s="167"/>
      <c r="DQZ99" s="168"/>
      <c r="DRA99" s="167"/>
      <c r="DRB99" s="168"/>
      <c r="DRC99" s="167"/>
      <c r="DRD99" s="168"/>
      <c r="DRE99" s="167"/>
      <c r="DRF99" s="168"/>
      <c r="DRG99" s="167"/>
      <c r="DRH99" s="168"/>
      <c r="DRI99" s="167"/>
      <c r="DRJ99" s="168"/>
      <c r="DRK99" s="167"/>
      <c r="DRL99" s="168"/>
      <c r="DRM99" s="167"/>
      <c r="DRN99" s="168"/>
      <c r="DRO99" s="167"/>
      <c r="DRP99" s="168"/>
      <c r="DRQ99" s="167"/>
      <c r="DRR99" s="168"/>
      <c r="DRS99" s="167"/>
      <c r="DRT99" s="168"/>
      <c r="DRU99" s="167"/>
      <c r="DRV99" s="168"/>
      <c r="DRW99" s="167"/>
      <c r="DRX99" s="168"/>
      <c r="DRY99" s="167"/>
      <c r="DRZ99" s="168"/>
      <c r="DSA99" s="167"/>
      <c r="DSB99" s="168"/>
      <c r="DSC99" s="167"/>
      <c r="DSD99" s="168"/>
      <c r="DSE99" s="167"/>
      <c r="DSF99" s="168"/>
      <c r="DSG99" s="167"/>
      <c r="DSH99" s="168"/>
      <c r="DSI99" s="167"/>
      <c r="DSJ99" s="168"/>
      <c r="DSK99" s="167"/>
      <c r="DSL99" s="168"/>
      <c r="DSM99" s="167"/>
      <c r="DSN99" s="168"/>
      <c r="DSO99" s="167"/>
      <c r="DSP99" s="168"/>
      <c r="DSQ99" s="167"/>
      <c r="DSR99" s="168"/>
      <c r="DSS99" s="167"/>
      <c r="DST99" s="168"/>
      <c r="DSU99" s="167"/>
      <c r="DSV99" s="168"/>
      <c r="DSW99" s="167"/>
      <c r="DSX99" s="168"/>
      <c r="DSY99" s="167"/>
      <c r="DSZ99" s="168"/>
      <c r="DTA99" s="167"/>
      <c r="DTB99" s="168"/>
      <c r="DTC99" s="167"/>
      <c r="DTD99" s="168"/>
      <c r="DTE99" s="167"/>
      <c r="DTF99" s="168"/>
      <c r="DTG99" s="167"/>
      <c r="DTH99" s="168"/>
      <c r="DTI99" s="167"/>
      <c r="DTJ99" s="168"/>
      <c r="DTK99" s="167"/>
      <c r="DTL99" s="168"/>
      <c r="DTM99" s="167"/>
      <c r="DTN99" s="168"/>
      <c r="DTO99" s="167"/>
      <c r="DTP99" s="168"/>
      <c r="DTQ99" s="167"/>
      <c r="DTR99" s="168"/>
      <c r="DTS99" s="167"/>
      <c r="DTT99" s="168"/>
      <c r="DTU99" s="167"/>
      <c r="DTV99" s="168"/>
      <c r="DTW99" s="167"/>
      <c r="DTX99" s="168"/>
      <c r="DTY99" s="167"/>
      <c r="DTZ99" s="168"/>
      <c r="DUA99" s="167"/>
      <c r="DUB99" s="168"/>
      <c r="DUC99" s="167"/>
      <c r="DUD99" s="168"/>
      <c r="DUE99" s="167"/>
      <c r="DUF99" s="168"/>
      <c r="DUG99" s="167"/>
      <c r="DUH99" s="168"/>
      <c r="DUI99" s="167"/>
      <c r="DUJ99" s="168"/>
      <c r="DUK99" s="167"/>
      <c r="DUL99" s="168"/>
      <c r="DUM99" s="167"/>
      <c r="DUN99" s="168"/>
      <c r="DUO99" s="167"/>
      <c r="DUP99" s="168"/>
      <c r="DUQ99" s="167"/>
      <c r="DUR99" s="168"/>
      <c r="DUS99" s="167"/>
      <c r="DUT99" s="168"/>
      <c r="DUU99" s="167"/>
      <c r="DUV99" s="168"/>
      <c r="DUW99" s="167"/>
      <c r="DUX99" s="168"/>
      <c r="DUY99" s="167"/>
      <c r="DUZ99" s="168"/>
      <c r="DVA99" s="167"/>
      <c r="DVB99" s="168"/>
      <c r="DVC99" s="167"/>
      <c r="DVD99" s="168"/>
      <c r="DVE99" s="167"/>
      <c r="DVF99" s="168"/>
      <c r="DVG99" s="167"/>
      <c r="DVH99" s="168"/>
      <c r="DVI99" s="167"/>
      <c r="DVJ99" s="168"/>
      <c r="DVK99" s="167"/>
      <c r="DVL99" s="168"/>
      <c r="DVM99" s="167"/>
      <c r="DVN99" s="168"/>
      <c r="DVO99" s="167"/>
      <c r="DVP99" s="168"/>
      <c r="DVQ99" s="167"/>
      <c r="DVR99" s="168"/>
      <c r="DVS99" s="167"/>
      <c r="DVT99" s="168"/>
      <c r="DVU99" s="167"/>
      <c r="DVV99" s="168"/>
      <c r="DVW99" s="167"/>
      <c r="DVX99" s="168"/>
      <c r="DVY99" s="167"/>
      <c r="DVZ99" s="168"/>
      <c r="DWA99" s="167"/>
      <c r="DWB99" s="168"/>
      <c r="DWC99" s="167"/>
      <c r="DWD99" s="168"/>
      <c r="DWE99" s="167"/>
      <c r="DWF99" s="168"/>
      <c r="DWG99" s="167"/>
      <c r="DWH99" s="168"/>
      <c r="DWI99" s="167"/>
      <c r="DWJ99" s="168"/>
      <c r="DWK99" s="167"/>
      <c r="DWL99" s="168"/>
      <c r="DWM99" s="167"/>
      <c r="DWN99" s="168"/>
      <c r="DWO99" s="167"/>
      <c r="DWP99" s="168"/>
      <c r="DWQ99" s="167"/>
      <c r="DWR99" s="168"/>
      <c r="DWS99" s="167"/>
      <c r="DWT99" s="168"/>
      <c r="DWU99" s="167"/>
      <c r="DWV99" s="168"/>
      <c r="DWW99" s="167"/>
      <c r="DWX99" s="168"/>
      <c r="DWY99" s="167"/>
      <c r="DWZ99" s="168"/>
      <c r="DXA99" s="167"/>
      <c r="DXB99" s="168"/>
      <c r="DXC99" s="167"/>
      <c r="DXD99" s="168"/>
      <c r="DXE99" s="167"/>
      <c r="DXF99" s="168"/>
      <c r="DXG99" s="167"/>
      <c r="DXH99" s="168"/>
      <c r="DXI99" s="167"/>
      <c r="DXJ99" s="168"/>
      <c r="DXK99" s="167"/>
      <c r="DXL99" s="168"/>
      <c r="DXM99" s="167"/>
      <c r="DXN99" s="168"/>
      <c r="DXO99" s="167"/>
      <c r="DXP99" s="168"/>
      <c r="DXQ99" s="167"/>
      <c r="DXR99" s="168"/>
      <c r="DXS99" s="167"/>
      <c r="DXT99" s="168"/>
      <c r="DXU99" s="167"/>
      <c r="DXV99" s="168"/>
      <c r="DXW99" s="167"/>
      <c r="DXX99" s="168"/>
      <c r="DXY99" s="167"/>
      <c r="DXZ99" s="168"/>
      <c r="DYA99" s="167"/>
      <c r="DYB99" s="168"/>
      <c r="DYC99" s="167"/>
      <c r="DYD99" s="168"/>
      <c r="DYE99" s="167"/>
      <c r="DYF99" s="168"/>
      <c r="DYG99" s="167"/>
      <c r="DYH99" s="168"/>
      <c r="DYI99" s="167"/>
      <c r="DYJ99" s="168"/>
      <c r="DYK99" s="167"/>
      <c r="DYL99" s="168"/>
      <c r="DYM99" s="167"/>
      <c r="DYN99" s="168"/>
      <c r="DYO99" s="167"/>
      <c r="DYP99" s="168"/>
      <c r="DYQ99" s="167"/>
      <c r="DYR99" s="168"/>
      <c r="DYS99" s="167"/>
      <c r="DYT99" s="168"/>
      <c r="DYU99" s="167"/>
      <c r="DYV99" s="168"/>
      <c r="DYW99" s="167"/>
      <c r="DYX99" s="168"/>
      <c r="DYY99" s="167"/>
      <c r="DYZ99" s="168"/>
      <c r="DZA99" s="167"/>
      <c r="DZB99" s="168"/>
      <c r="DZC99" s="167"/>
      <c r="DZD99" s="168"/>
      <c r="DZE99" s="167"/>
      <c r="DZF99" s="168"/>
      <c r="DZG99" s="167"/>
      <c r="DZH99" s="168"/>
      <c r="DZI99" s="167"/>
      <c r="DZJ99" s="168"/>
      <c r="DZK99" s="167"/>
      <c r="DZL99" s="168"/>
      <c r="DZM99" s="167"/>
      <c r="DZN99" s="168"/>
      <c r="DZO99" s="167"/>
      <c r="DZP99" s="168"/>
      <c r="DZQ99" s="167"/>
      <c r="DZR99" s="168"/>
      <c r="DZS99" s="167"/>
      <c r="DZT99" s="168"/>
      <c r="DZU99" s="167"/>
      <c r="DZV99" s="168"/>
      <c r="DZW99" s="167"/>
      <c r="DZX99" s="168"/>
      <c r="DZY99" s="167"/>
      <c r="DZZ99" s="168"/>
      <c r="EAA99" s="167"/>
      <c r="EAB99" s="168"/>
      <c r="EAC99" s="167"/>
      <c r="EAD99" s="168"/>
      <c r="EAE99" s="167"/>
      <c r="EAF99" s="168"/>
      <c r="EAG99" s="167"/>
      <c r="EAH99" s="168"/>
      <c r="EAI99" s="167"/>
      <c r="EAJ99" s="168"/>
      <c r="EAK99" s="167"/>
      <c r="EAL99" s="168"/>
      <c r="EAM99" s="167"/>
      <c r="EAN99" s="168"/>
      <c r="EAO99" s="167"/>
      <c r="EAP99" s="168"/>
      <c r="EAQ99" s="167"/>
      <c r="EAR99" s="168"/>
      <c r="EAS99" s="167"/>
      <c r="EAT99" s="168"/>
      <c r="EAU99" s="167"/>
      <c r="EAV99" s="168"/>
      <c r="EAW99" s="167"/>
      <c r="EAX99" s="168"/>
      <c r="EAY99" s="167"/>
      <c r="EAZ99" s="168"/>
      <c r="EBA99" s="167"/>
      <c r="EBB99" s="168"/>
      <c r="EBC99" s="167"/>
      <c r="EBD99" s="168"/>
      <c r="EBE99" s="167"/>
      <c r="EBF99" s="168"/>
      <c r="EBG99" s="167"/>
      <c r="EBH99" s="168"/>
      <c r="EBI99" s="167"/>
      <c r="EBJ99" s="168"/>
      <c r="EBK99" s="167"/>
      <c r="EBL99" s="168"/>
      <c r="EBM99" s="167"/>
      <c r="EBN99" s="168"/>
      <c r="EBO99" s="167"/>
      <c r="EBP99" s="168"/>
      <c r="EBQ99" s="167"/>
      <c r="EBR99" s="168"/>
      <c r="EBS99" s="167"/>
      <c r="EBT99" s="168"/>
      <c r="EBU99" s="167"/>
      <c r="EBV99" s="168"/>
      <c r="EBW99" s="167"/>
      <c r="EBX99" s="168"/>
      <c r="EBY99" s="167"/>
      <c r="EBZ99" s="168"/>
      <c r="ECA99" s="167"/>
      <c r="ECB99" s="168"/>
      <c r="ECC99" s="167"/>
      <c r="ECD99" s="168"/>
      <c r="ECE99" s="167"/>
      <c r="ECF99" s="168"/>
      <c r="ECG99" s="167"/>
      <c r="ECH99" s="168"/>
      <c r="ECI99" s="167"/>
      <c r="ECJ99" s="168"/>
      <c r="ECK99" s="167"/>
      <c r="ECL99" s="168"/>
      <c r="ECM99" s="167"/>
      <c r="ECN99" s="168"/>
      <c r="ECO99" s="167"/>
      <c r="ECP99" s="168"/>
      <c r="ECQ99" s="167"/>
      <c r="ECR99" s="168"/>
      <c r="ECS99" s="167"/>
      <c r="ECT99" s="168"/>
      <c r="ECU99" s="167"/>
      <c r="ECV99" s="168"/>
      <c r="ECW99" s="167"/>
      <c r="ECX99" s="168"/>
      <c r="ECY99" s="167"/>
      <c r="ECZ99" s="168"/>
      <c r="EDA99" s="167"/>
      <c r="EDB99" s="168"/>
      <c r="EDC99" s="167"/>
      <c r="EDD99" s="168"/>
      <c r="EDE99" s="167"/>
      <c r="EDF99" s="168"/>
      <c r="EDG99" s="167"/>
      <c r="EDH99" s="168"/>
      <c r="EDI99" s="167"/>
      <c r="EDJ99" s="168"/>
      <c r="EDK99" s="167"/>
      <c r="EDL99" s="168"/>
      <c r="EDM99" s="167"/>
      <c r="EDN99" s="168"/>
      <c r="EDO99" s="167"/>
      <c r="EDP99" s="168"/>
      <c r="EDQ99" s="167"/>
      <c r="EDR99" s="168"/>
      <c r="EDS99" s="167"/>
      <c r="EDT99" s="168"/>
      <c r="EDU99" s="167"/>
      <c r="EDV99" s="168"/>
      <c r="EDW99" s="167"/>
      <c r="EDX99" s="168"/>
      <c r="EDY99" s="167"/>
      <c r="EDZ99" s="168"/>
      <c r="EEA99" s="167"/>
      <c r="EEB99" s="168"/>
      <c r="EEC99" s="167"/>
      <c r="EED99" s="168"/>
      <c r="EEE99" s="167"/>
      <c r="EEF99" s="168"/>
      <c r="EEG99" s="167"/>
      <c r="EEH99" s="168"/>
      <c r="EEI99" s="167"/>
      <c r="EEJ99" s="168"/>
      <c r="EEK99" s="167"/>
      <c r="EEL99" s="168"/>
      <c r="EEM99" s="167"/>
      <c r="EEN99" s="168"/>
      <c r="EEO99" s="167"/>
      <c r="EEP99" s="168"/>
      <c r="EEQ99" s="167"/>
      <c r="EER99" s="168"/>
      <c r="EES99" s="167"/>
      <c r="EET99" s="168"/>
      <c r="EEU99" s="167"/>
      <c r="EEV99" s="168"/>
      <c r="EEW99" s="167"/>
      <c r="EEX99" s="168"/>
      <c r="EEY99" s="167"/>
      <c r="EEZ99" s="168"/>
      <c r="EFA99" s="167"/>
      <c r="EFB99" s="168"/>
      <c r="EFC99" s="167"/>
      <c r="EFD99" s="168"/>
      <c r="EFE99" s="167"/>
      <c r="EFF99" s="168"/>
      <c r="EFG99" s="167"/>
      <c r="EFH99" s="168"/>
      <c r="EFI99" s="167"/>
      <c r="EFJ99" s="168"/>
      <c r="EFK99" s="167"/>
      <c r="EFL99" s="168"/>
      <c r="EFM99" s="167"/>
      <c r="EFN99" s="168"/>
      <c r="EFO99" s="167"/>
      <c r="EFP99" s="168"/>
      <c r="EFQ99" s="167"/>
      <c r="EFR99" s="168"/>
      <c r="EFS99" s="167"/>
      <c r="EFT99" s="168"/>
      <c r="EFU99" s="167"/>
      <c r="EFV99" s="168"/>
      <c r="EFW99" s="167"/>
      <c r="EFX99" s="168"/>
      <c r="EFY99" s="167"/>
      <c r="EFZ99" s="168"/>
      <c r="EGA99" s="167"/>
      <c r="EGB99" s="168"/>
      <c r="EGC99" s="167"/>
      <c r="EGD99" s="168"/>
      <c r="EGE99" s="167"/>
      <c r="EGF99" s="168"/>
      <c r="EGG99" s="167"/>
      <c r="EGH99" s="168"/>
      <c r="EGI99" s="167"/>
      <c r="EGJ99" s="168"/>
      <c r="EGK99" s="167"/>
      <c r="EGL99" s="168"/>
      <c r="EGM99" s="167"/>
      <c r="EGN99" s="168"/>
      <c r="EGO99" s="167"/>
      <c r="EGP99" s="168"/>
      <c r="EGQ99" s="167"/>
      <c r="EGR99" s="168"/>
      <c r="EGS99" s="167"/>
      <c r="EGT99" s="168"/>
      <c r="EGU99" s="167"/>
      <c r="EGV99" s="168"/>
      <c r="EGW99" s="167"/>
      <c r="EGX99" s="168"/>
      <c r="EGY99" s="167"/>
      <c r="EGZ99" s="168"/>
      <c r="EHA99" s="167"/>
      <c r="EHB99" s="168"/>
      <c r="EHC99" s="167"/>
      <c r="EHD99" s="168"/>
      <c r="EHE99" s="167"/>
      <c r="EHF99" s="168"/>
      <c r="EHG99" s="167"/>
      <c r="EHH99" s="168"/>
      <c r="EHI99" s="167"/>
      <c r="EHJ99" s="168"/>
      <c r="EHK99" s="167"/>
      <c r="EHL99" s="168"/>
      <c r="EHM99" s="167"/>
      <c r="EHN99" s="168"/>
      <c r="EHO99" s="167"/>
      <c r="EHP99" s="168"/>
      <c r="EHQ99" s="167"/>
      <c r="EHR99" s="168"/>
      <c r="EHS99" s="167"/>
      <c r="EHT99" s="168"/>
      <c r="EHU99" s="167"/>
      <c r="EHV99" s="168"/>
      <c r="EHW99" s="167"/>
      <c r="EHX99" s="168"/>
      <c r="EHY99" s="167"/>
      <c r="EHZ99" s="168"/>
      <c r="EIA99" s="167"/>
      <c r="EIB99" s="168"/>
      <c r="EIC99" s="167"/>
      <c r="EID99" s="168"/>
      <c r="EIE99" s="167"/>
      <c r="EIF99" s="168"/>
      <c r="EIG99" s="167"/>
      <c r="EIH99" s="168"/>
      <c r="EII99" s="167"/>
      <c r="EIJ99" s="168"/>
      <c r="EIK99" s="167"/>
      <c r="EIL99" s="168"/>
      <c r="EIM99" s="167"/>
      <c r="EIN99" s="168"/>
      <c r="EIO99" s="167"/>
      <c r="EIP99" s="168"/>
      <c r="EIQ99" s="167"/>
      <c r="EIR99" s="168"/>
      <c r="EIS99" s="167"/>
      <c r="EIT99" s="168"/>
      <c r="EIU99" s="167"/>
      <c r="EIV99" s="168"/>
      <c r="EIW99" s="167"/>
      <c r="EIX99" s="168"/>
      <c r="EIY99" s="167"/>
      <c r="EIZ99" s="168"/>
      <c r="EJA99" s="167"/>
      <c r="EJB99" s="168"/>
      <c r="EJC99" s="167"/>
      <c r="EJD99" s="168"/>
      <c r="EJE99" s="167"/>
      <c r="EJF99" s="168"/>
      <c r="EJG99" s="167"/>
      <c r="EJH99" s="168"/>
      <c r="EJI99" s="167"/>
      <c r="EJJ99" s="168"/>
      <c r="EJK99" s="167"/>
      <c r="EJL99" s="168"/>
      <c r="EJM99" s="167"/>
      <c r="EJN99" s="168"/>
      <c r="EJO99" s="167"/>
      <c r="EJP99" s="168"/>
      <c r="EJQ99" s="167"/>
      <c r="EJR99" s="168"/>
      <c r="EJS99" s="167"/>
      <c r="EJT99" s="168"/>
      <c r="EJU99" s="167"/>
      <c r="EJV99" s="168"/>
      <c r="EJW99" s="167"/>
      <c r="EJX99" s="168"/>
      <c r="EJY99" s="167"/>
      <c r="EJZ99" s="168"/>
      <c r="EKA99" s="167"/>
      <c r="EKB99" s="168"/>
      <c r="EKC99" s="167"/>
      <c r="EKD99" s="168"/>
      <c r="EKE99" s="167"/>
      <c r="EKF99" s="168"/>
      <c r="EKG99" s="167"/>
      <c r="EKH99" s="168"/>
      <c r="EKI99" s="167"/>
      <c r="EKJ99" s="168"/>
      <c r="EKK99" s="167"/>
      <c r="EKL99" s="168"/>
      <c r="EKM99" s="167"/>
      <c r="EKN99" s="168"/>
      <c r="EKO99" s="167"/>
      <c r="EKP99" s="168"/>
      <c r="EKQ99" s="167"/>
      <c r="EKR99" s="168"/>
      <c r="EKS99" s="167"/>
      <c r="EKT99" s="168"/>
      <c r="EKU99" s="167"/>
      <c r="EKV99" s="168"/>
      <c r="EKW99" s="167"/>
      <c r="EKX99" s="168"/>
      <c r="EKY99" s="167"/>
      <c r="EKZ99" s="168"/>
      <c r="ELA99" s="167"/>
      <c r="ELB99" s="168"/>
      <c r="ELC99" s="167"/>
      <c r="ELD99" s="168"/>
      <c r="ELE99" s="167"/>
      <c r="ELF99" s="168"/>
      <c r="ELG99" s="167"/>
      <c r="ELH99" s="168"/>
      <c r="ELI99" s="167"/>
      <c r="ELJ99" s="168"/>
      <c r="ELK99" s="167"/>
      <c r="ELL99" s="168"/>
      <c r="ELM99" s="167"/>
      <c r="ELN99" s="168"/>
      <c r="ELO99" s="167"/>
      <c r="ELP99" s="168"/>
      <c r="ELQ99" s="167"/>
      <c r="ELR99" s="168"/>
      <c r="ELS99" s="167"/>
      <c r="ELT99" s="168"/>
      <c r="ELU99" s="167"/>
      <c r="ELV99" s="168"/>
      <c r="ELW99" s="167"/>
      <c r="ELX99" s="168"/>
      <c r="ELY99" s="167"/>
      <c r="ELZ99" s="168"/>
      <c r="EMA99" s="167"/>
      <c r="EMB99" s="168"/>
      <c r="EMC99" s="167"/>
      <c r="EMD99" s="168"/>
      <c r="EME99" s="167"/>
      <c r="EMF99" s="168"/>
      <c r="EMG99" s="167"/>
      <c r="EMH99" s="168"/>
      <c r="EMI99" s="167"/>
      <c r="EMJ99" s="168"/>
      <c r="EMK99" s="167"/>
      <c r="EML99" s="168"/>
      <c r="EMM99" s="167"/>
      <c r="EMN99" s="168"/>
      <c r="EMO99" s="167"/>
      <c r="EMP99" s="168"/>
      <c r="EMQ99" s="167"/>
      <c r="EMR99" s="168"/>
      <c r="EMS99" s="167"/>
      <c r="EMT99" s="168"/>
      <c r="EMU99" s="167"/>
      <c r="EMV99" s="168"/>
      <c r="EMW99" s="167"/>
      <c r="EMX99" s="168"/>
      <c r="EMY99" s="167"/>
      <c r="EMZ99" s="168"/>
      <c r="ENA99" s="167"/>
      <c r="ENB99" s="168"/>
      <c r="ENC99" s="167"/>
      <c r="END99" s="168"/>
      <c r="ENE99" s="167"/>
      <c r="ENF99" s="168"/>
      <c r="ENG99" s="167"/>
      <c r="ENH99" s="168"/>
      <c r="ENI99" s="167"/>
      <c r="ENJ99" s="168"/>
      <c r="ENK99" s="167"/>
      <c r="ENL99" s="168"/>
      <c r="ENM99" s="167"/>
      <c r="ENN99" s="168"/>
      <c r="ENO99" s="167"/>
      <c r="ENP99" s="168"/>
      <c r="ENQ99" s="167"/>
      <c r="ENR99" s="168"/>
      <c r="ENS99" s="167"/>
      <c r="ENT99" s="168"/>
      <c r="ENU99" s="167"/>
      <c r="ENV99" s="168"/>
      <c r="ENW99" s="167"/>
      <c r="ENX99" s="168"/>
      <c r="ENY99" s="167"/>
      <c r="ENZ99" s="168"/>
      <c r="EOA99" s="167"/>
      <c r="EOB99" s="168"/>
      <c r="EOC99" s="167"/>
      <c r="EOD99" s="168"/>
      <c r="EOE99" s="167"/>
      <c r="EOF99" s="168"/>
      <c r="EOG99" s="167"/>
      <c r="EOH99" s="168"/>
      <c r="EOI99" s="167"/>
      <c r="EOJ99" s="168"/>
      <c r="EOK99" s="167"/>
      <c r="EOL99" s="168"/>
      <c r="EOM99" s="167"/>
      <c r="EON99" s="168"/>
      <c r="EOO99" s="167"/>
      <c r="EOP99" s="168"/>
      <c r="EOQ99" s="167"/>
      <c r="EOR99" s="168"/>
      <c r="EOS99" s="167"/>
      <c r="EOT99" s="168"/>
      <c r="EOU99" s="167"/>
      <c r="EOV99" s="168"/>
      <c r="EOW99" s="167"/>
      <c r="EOX99" s="168"/>
      <c r="EOY99" s="167"/>
      <c r="EOZ99" s="168"/>
      <c r="EPA99" s="167"/>
      <c r="EPB99" s="168"/>
      <c r="EPC99" s="167"/>
      <c r="EPD99" s="168"/>
      <c r="EPE99" s="167"/>
      <c r="EPF99" s="168"/>
      <c r="EPG99" s="167"/>
      <c r="EPH99" s="168"/>
      <c r="EPI99" s="167"/>
      <c r="EPJ99" s="168"/>
      <c r="EPK99" s="167"/>
      <c r="EPL99" s="168"/>
      <c r="EPM99" s="167"/>
      <c r="EPN99" s="168"/>
      <c r="EPO99" s="167"/>
      <c r="EPP99" s="168"/>
      <c r="EPQ99" s="167"/>
      <c r="EPR99" s="168"/>
      <c r="EPS99" s="167"/>
      <c r="EPT99" s="168"/>
      <c r="EPU99" s="167"/>
      <c r="EPV99" s="168"/>
      <c r="EPW99" s="167"/>
      <c r="EPX99" s="168"/>
      <c r="EPY99" s="167"/>
      <c r="EPZ99" s="168"/>
      <c r="EQA99" s="167"/>
      <c r="EQB99" s="168"/>
      <c r="EQC99" s="167"/>
      <c r="EQD99" s="168"/>
      <c r="EQE99" s="167"/>
      <c r="EQF99" s="168"/>
      <c r="EQG99" s="167"/>
      <c r="EQH99" s="168"/>
      <c r="EQI99" s="167"/>
      <c r="EQJ99" s="168"/>
      <c r="EQK99" s="167"/>
      <c r="EQL99" s="168"/>
      <c r="EQM99" s="167"/>
      <c r="EQN99" s="168"/>
      <c r="EQO99" s="167"/>
      <c r="EQP99" s="168"/>
      <c r="EQQ99" s="167"/>
      <c r="EQR99" s="168"/>
      <c r="EQS99" s="167"/>
      <c r="EQT99" s="168"/>
      <c r="EQU99" s="167"/>
      <c r="EQV99" s="168"/>
      <c r="EQW99" s="167"/>
      <c r="EQX99" s="168"/>
      <c r="EQY99" s="167"/>
      <c r="EQZ99" s="168"/>
      <c r="ERA99" s="167"/>
      <c r="ERB99" s="168"/>
      <c r="ERC99" s="167"/>
      <c r="ERD99" s="168"/>
      <c r="ERE99" s="167"/>
      <c r="ERF99" s="168"/>
      <c r="ERG99" s="167"/>
      <c r="ERH99" s="168"/>
      <c r="ERI99" s="167"/>
      <c r="ERJ99" s="168"/>
      <c r="ERK99" s="167"/>
      <c r="ERL99" s="168"/>
      <c r="ERM99" s="167"/>
      <c r="ERN99" s="168"/>
      <c r="ERO99" s="167"/>
      <c r="ERP99" s="168"/>
      <c r="ERQ99" s="167"/>
      <c r="ERR99" s="168"/>
      <c r="ERS99" s="167"/>
      <c r="ERT99" s="168"/>
      <c r="ERU99" s="167"/>
      <c r="ERV99" s="168"/>
      <c r="ERW99" s="167"/>
      <c r="ERX99" s="168"/>
      <c r="ERY99" s="167"/>
      <c r="ERZ99" s="168"/>
      <c r="ESA99" s="167"/>
      <c r="ESB99" s="168"/>
      <c r="ESC99" s="167"/>
      <c r="ESD99" s="168"/>
      <c r="ESE99" s="167"/>
      <c r="ESF99" s="168"/>
      <c r="ESG99" s="167"/>
      <c r="ESH99" s="168"/>
      <c r="ESI99" s="167"/>
      <c r="ESJ99" s="168"/>
      <c r="ESK99" s="167"/>
      <c r="ESL99" s="168"/>
      <c r="ESM99" s="167"/>
      <c r="ESN99" s="168"/>
      <c r="ESO99" s="167"/>
      <c r="ESP99" s="168"/>
      <c r="ESQ99" s="167"/>
      <c r="ESR99" s="168"/>
      <c r="ESS99" s="167"/>
      <c r="EST99" s="168"/>
      <c r="ESU99" s="167"/>
      <c r="ESV99" s="168"/>
      <c r="ESW99" s="167"/>
      <c r="ESX99" s="168"/>
      <c r="ESY99" s="167"/>
      <c r="ESZ99" s="168"/>
      <c r="ETA99" s="167"/>
      <c r="ETB99" s="168"/>
      <c r="ETC99" s="167"/>
      <c r="ETD99" s="168"/>
      <c r="ETE99" s="167"/>
      <c r="ETF99" s="168"/>
      <c r="ETG99" s="167"/>
      <c r="ETH99" s="168"/>
      <c r="ETI99" s="167"/>
      <c r="ETJ99" s="168"/>
      <c r="ETK99" s="167"/>
      <c r="ETL99" s="168"/>
      <c r="ETM99" s="167"/>
      <c r="ETN99" s="168"/>
      <c r="ETO99" s="167"/>
      <c r="ETP99" s="168"/>
      <c r="ETQ99" s="167"/>
      <c r="ETR99" s="168"/>
      <c r="ETS99" s="167"/>
      <c r="ETT99" s="168"/>
      <c r="ETU99" s="167"/>
      <c r="ETV99" s="168"/>
      <c r="ETW99" s="167"/>
      <c r="ETX99" s="168"/>
      <c r="ETY99" s="167"/>
      <c r="ETZ99" s="168"/>
      <c r="EUA99" s="167"/>
      <c r="EUB99" s="168"/>
      <c r="EUC99" s="167"/>
      <c r="EUD99" s="168"/>
      <c r="EUE99" s="167"/>
      <c r="EUF99" s="168"/>
      <c r="EUG99" s="167"/>
      <c r="EUH99" s="168"/>
      <c r="EUI99" s="167"/>
      <c r="EUJ99" s="168"/>
      <c r="EUK99" s="167"/>
      <c r="EUL99" s="168"/>
      <c r="EUM99" s="167"/>
      <c r="EUN99" s="168"/>
      <c r="EUO99" s="167"/>
      <c r="EUP99" s="168"/>
      <c r="EUQ99" s="167"/>
      <c r="EUR99" s="168"/>
      <c r="EUS99" s="167"/>
      <c r="EUT99" s="168"/>
      <c r="EUU99" s="167"/>
      <c r="EUV99" s="168"/>
      <c r="EUW99" s="167"/>
      <c r="EUX99" s="168"/>
      <c r="EUY99" s="167"/>
      <c r="EUZ99" s="168"/>
      <c r="EVA99" s="167"/>
      <c r="EVB99" s="168"/>
      <c r="EVC99" s="167"/>
      <c r="EVD99" s="168"/>
      <c r="EVE99" s="167"/>
      <c r="EVF99" s="168"/>
      <c r="EVG99" s="167"/>
      <c r="EVH99" s="168"/>
      <c r="EVI99" s="167"/>
      <c r="EVJ99" s="168"/>
      <c r="EVK99" s="167"/>
      <c r="EVL99" s="168"/>
      <c r="EVM99" s="167"/>
      <c r="EVN99" s="168"/>
      <c r="EVO99" s="167"/>
      <c r="EVP99" s="168"/>
      <c r="EVQ99" s="167"/>
      <c r="EVR99" s="168"/>
      <c r="EVS99" s="167"/>
      <c r="EVT99" s="168"/>
      <c r="EVU99" s="167"/>
      <c r="EVV99" s="168"/>
      <c r="EVW99" s="167"/>
      <c r="EVX99" s="168"/>
      <c r="EVY99" s="167"/>
      <c r="EVZ99" s="168"/>
      <c r="EWA99" s="167"/>
      <c r="EWB99" s="168"/>
      <c r="EWC99" s="167"/>
      <c r="EWD99" s="168"/>
      <c r="EWE99" s="167"/>
      <c r="EWF99" s="168"/>
      <c r="EWG99" s="167"/>
      <c r="EWH99" s="168"/>
      <c r="EWI99" s="167"/>
      <c r="EWJ99" s="168"/>
      <c r="EWK99" s="167"/>
      <c r="EWL99" s="168"/>
      <c r="EWM99" s="167"/>
      <c r="EWN99" s="168"/>
      <c r="EWO99" s="167"/>
      <c r="EWP99" s="168"/>
      <c r="EWQ99" s="167"/>
      <c r="EWR99" s="168"/>
      <c r="EWS99" s="167"/>
      <c r="EWT99" s="168"/>
      <c r="EWU99" s="167"/>
      <c r="EWV99" s="168"/>
      <c r="EWW99" s="167"/>
      <c r="EWX99" s="168"/>
      <c r="EWY99" s="167"/>
      <c r="EWZ99" s="168"/>
      <c r="EXA99" s="167"/>
      <c r="EXB99" s="168"/>
      <c r="EXC99" s="167"/>
      <c r="EXD99" s="168"/>
      <c r="EXE99" s="167"/>
      <c r="EXF99" s="168"/>
      <c r="EXG99" s="167"/>
      <c r="EXH99" s="168"/>
      <c r="EXI99" s="167"/>
      <c r="EXJ99" s="168"/>
      <c r="EXK99" s="167"/>
      <c r="EXL99" s="168"/>
      <c r="EXM99" s="167"/>
      <c r="EXN99" s="168"/>
      <c r="EXO99" s="167"/>
      <c r="EXP99" s="168"/>
      <c r="EXQ99" s="167"/>
      <c r="EXR99" s="168"/>
      <c r="EXS99" s="167"/>
      <c r="EXT99" s="168"/>
      <c r="EXU99" s="167"/>
      <c r="EXV99" s="168"/>
      <c r="EXW99" s="167"/>
      <c r="EXX99" s="168"/>
      <c r="EXY99" s="167"/>
      <c r="EXZ99" s="168"/>
      <c r="EYA99" s="167"/>
      <c r="EYB99" s="168"/>
      <c r="EYC99" s="167"/>
      <c r="EYD99" s="168"/>
      <c r="EYE99" s="167"/>
      <c r="EYF99" s="168"/>
      <c r="EYG99" s="167"/>
      <c r="EYH99" s="168"/>
      <c r="EYI99" s="167"/>
      <c r="EYJ99" s="168"/>
      <c r="EYK99" s="167"/>
      <c r="EYL99" s="168"/>
      <c r="EYM99" s="167"/>
      <c r="EYN99" s="168"/>
      <c r="EYO99" s="167"/>
      <c r="EYP99" s="168"/>
      <c r="EYQ99" s="167"/>
      <c r="EYR99" s="168"/>
      <c r="EYS99" s="167"/>
      <c r="EYT99" s="168"/>
      <c r="EYU99" s="167"/>
      <c r="EYV99" s="168"/>
      <c r="EYW99" s="167"/>
      <c r="EYX99" s="168"/>
      <c r="EYY99" s="167"/>
      <c r="EYZ99" s="168"/>
      <c r="EZA99" s="167"/>
      <c r="EZB99" s="168"/>
      <c r="EZC99" s="167"/>
      <c r="EZD99" s="168"/>
      <c r="EZE99" s="167"/>
      <c r="EZF99" s="168"/>
      <c r="EZG99" s="167"/>
      <c r="EZH99" s="168"/>
      <c r="EZI99" s="167"/>
      <c r="EZJ99" s="168"/>
      <c r="EZK99" s="167"/>
      <c r="EZL99" s="168"/>
      <c r="EZM99" s="167"/>
      <c r="EZN99" s="168"/>
      <c r="EZO99" s="167"/>
      <c r="EZP99" s="168"/>
      <c r="EZQ99" s="167"/>
      <c r="EZR99" s="168"/>
      <c r="EZS99" s="167"/>
      <c r="EZT99" s="168"/>
      <c r="EZU99" s="167"/>
      <c r="EZV99" s="168"/>
      <c r="EZW99" s="167"/>
      <c r="EZX99" s="168"/>
      <c r="EZY99" s="167"/>
      <c r="EZZ99" s="168"/>
      <c r="FAA99" s="167"/>
      <c r="FAB99" s="168"/>
      <c r="FAC99" s="167"/>
      <c r="FAD99" s="168"/>
      <c r="FAE99" s="167"/>
      <c r="FAF99" s="168"/>
      <c r="FAG99" s="167"/>
      <c r="FAH99" s="168"/>
      <c r="FAI99" s="167"/>
      <c r="FAJ99" s="168"/>
      <c r="FAK99" s="167"/>
      <c r="FAL99" s="168"/>
      <c r="FAM99" s="167"/>
      <c r="FAN99" s="168"/>
      <c r="FAO99" s="167"/>
      <c r="FAP99" s="168"/>
      <c r="FAQ99" s="167"/>
      <c r="FAR99" s="168"/>
      <c r="FAS99" s="167"/>
      <c r="FAT99" s="168"/>
      <c r="FAU99" s="167"/>
      <c r="FAV99" s="168"/>
      <c r="FAW99" s="167"/>
      <c r="FAX99" s="168"/>
      <c r="FAY99" s="167"/>
      <c r="FAZ99" s="168"/>
      <c r="FBA99" s="167"/>
      <c r="FBB99" s="168"/>
      <c r="FBC99" s="167"/>
      <c r="FBD99" s="168"/>
      <c r="FBE99" s="167"/>
      <c r="FBF99" s="168"/>
      <c r="FBG99" s="167"/>
      <c r="FBH99" s="168"/>
      <c r="FBI99" s="167"/>
      <c r="FBJ99" s="168"/>
      <c r="FBK99" s="167"/>
      <c r="FBL99" s="168"/>
      <c r="FBM99" s="167"/>
      <c r="FBN99" s="168"/>
      <c r="FBO99" s="167"/>
      <c r="FBP99" s="168"/>
      <c r="FBQ99" s="167"/>
      <c r="FBR99" s="168"/>
      <c r="FBS99" s="167"/>
      <c r="FBT99" s="168"/>
      <c r="FBU99" s="167"/>
      <c r="FBV99" s="168"/>
      <c r="FBW99" s="167"/>
      <c r="FBX99" s="168"/>
      <c r="FBY99" s="167"/>
      <c r="FBZ99" s="168"/>
      <c r="FCA99" s="167"/>
      <c r="FCB99" s="168"/>
      <c r="FCC99" s="167"/>
      <c r="FCD99" s="168"/>
      <c r="FCE99" s="167"/>
      <c r="FCF99" s="168"/>
      <c r="FCG99" s="167"/>
      <c r="FCH99" s="168"/>
      <c r="FCI99" s="167"/>
      <c r="FCJ99" s="168"/>
      <c r="FCK99" s="167"/>
      <c r="FCL99" s="168"/>
      <c r="FCM99" s="167"/>
      <c r="FCN99" s="168"/>
      <c r="FCO99" s="167"/>
      <c r="FCP99" s="168"/>
      <c r="FCQ99" s="167"/>
      <c r="FCR99" s="168"/>
      <c r="FCS99" s="167"/>
      <c r="FCT99" s="168"/>
      <c r="FCU99" s="167"/>
      <c r="FCV99" s="168"/>
      <c r="FCW99" s="167"/>
      <c r="FCX99" s="168"/>
      <c r="FCY99" s="167"/>
      <c r="FCZ99" s="168"/>
      <c r="FDA99" s="167"/>
      <c r="FDB99" s="168"/>
      <c r="FDC99" s="167"/>
      <c r="FDD99" s="168"/>
      <c r="FDE99" s="167"/>
      <c r="FDF99" s="168"/>
      <c r="FDG99" s="167"/>
      <c r="FDH99" s="168"/>
      <c r="FDI99" s="167"/>
      <c r="FDJ99" s="168"/>
      <c r="FDK99" s="167"/>
      <c r="FDL99" s="168"/>
      <c r="FDM99" s="167"/>
      <c r="FDN99" s="168"/>
      <c r="FDO99" s="167"/>
      <c r="FDP99" s="168"/>
      <c r="FDQ99" s="167"/>
      <c r="FDR99" s="168"/>
      <c r="FDS99" s="167"/>
      <c r="FDT99" s="168"/>
      <c r="FDU99" s="167"/>
      <c r="FDV99" s="168"/>
      <c r="FDW99" s="167"/>
      <c r="FDX99" s="168"/>
      <c r="FDY99" s="167"/>
      <c r="FDZ99" s="168"/>
      <c r="FEA99" s="167"/>
      <c r="FEB99" s="168"/>
      <c r="FEC99" s="167"/>
      <c r="FED99" s="168"/>
      <c r="FEE99" s="167"/>
      <c r="FEF99" s="168"/>
      <c r="FEG99" s="167"/>
      <c r="FEH99" s="168"/>
      <c r="FEI99" s="167"/>
      <c r="FEJ99" s="168"/>
      <c r="FEK99" s="167"/>
      <c r="FEL99" s="168"/>
      <c r="FEM99" s="167"/>
      <c r="FEN99" s="168"/>
      <c r="FEO99" s="167"/>
      <c r="FEP99" s="168"/>
      <c r="FEQ99" s="167"/>
      <c r="FER99" s="168"/>
      <c r="FES99" s="167"/>
      <c r="FET99" s="168"/>
      <c r="FEU99" s="167"/>
      <c r="FEV99" s="168"/>
      <c r="FEW99" s="167"/>
      <c r="FEX99" s="168"/>
      <c r="FEY99" s="167"/>
      <c r="FEZ99" s="168"/>
      <c r="FFA99" s="167"/>
      <c r="FFB99" s="168"/>
      <c r="FFC99" s="167"/>
      <c r="FFD99" s="168"/>
      <c r="FFE99" s="167"/>
      <c r="FFF99" s="168"/>
      <c r="FFG99" s="167"/>
      <c r="FFH99" s="168"/>
      <c r="FFI99" s="167"/>
      <c r="FFJ99" s="168"/>
      <c r="FFK99" s="167"/>
      <c r="FFL99" s="168"/>
      <c r="FFM99" s="167"/>
      <c r="FFN99" s="168"/>
      <c r="FFO99" s="167"/>
      <c r="FFP99" s="168"/>
      <c r="FFQ99" s="167"/>
      <c r="FFR99" s="168"/>
      <c r="FFS99" s="167"/>
      <c r="FFT99" s="168"/>
      <c r="FFU99" s="167"/>
      <c r="FFV99" s="168"/>
      <c r="FFW99" s="167"/>
      <c r="FFX99" s="168"/>
      <c r="FFY99" s="167"/>
      <c r="FFZ99" s="168"/>
      <c r="FGA99" s="167"/>
      <c r="FGB99" s="168"/>
      <c r="FGC99" s="167"/>
      <c r="FGD99" s="168"/>
      <c r="FGE99" s="167"/>
      <c r="FGF99" s="168"/>
      <c r="FGG99" s="167"/>
      <c r="FGH99" s="168"/>
      <c r="FGI99" s="167"/>
      <c r="FGJ99" s="168"/>
      <c r="FGK99" s="167"/>
      <c r="FGL99" s="168"/>
      <c r="FGM99" s="167"/>
      <c r="FGN99" s="168"/>
      <c r="FGO99" s="167"/>
      <c r="FGP99" s="168"/>
      <c r="FGQ99" s="167"/>
      <c r="FGR99" s="168"/>
      <c r="FGS99" s="167"/>
      <c r="FGT99" s="168"/>
      <c r="FGU99" s="167"/>
      <c r="FGV99" s="168"/>
      <c r="FGW99" s="167"/>
      <c r="FGX99" s="168"/>
      <c r="FGY99" s="167"/>
      <c r="FGZ99" s="168"/>
      <c r="FHA99" s="167"/>
      <c r="FHB99" s="168"/>
      <c r="FHC99" s="167"/>
      <c r="FHD99" s="168"/>
      <c r="FHE99" s="167"/>
      <c r="FHF99" s="168"/>
      <c r="FHG99" s="167"/>
      <c r="FHH99" s="168"/>
      <c r="FHI99" s="167"/>
      <c r="FHJ99" s="168"/>
      <c r="FHK99" s="167"/>
      <c r="FHL99" s="168"/>
      <c r="FHM99" s="167"/>
      <c r="FHN99" s="168"/>
      <c r="FHO99" s="167"/>
      <c r="FHP99" s="168"/>
      <c r="FHQ99" s="167"/>
      <c r="FHR99" s="168"/>
      <c r="FHS99" s="167"/>
      <c r="FHT99" s="168"/>
      <c r="FHU99" s="167"/>
      <c r="FHV99" s="168"/>
      <c r="FHW99" s="167"/>
      <c r="FHX99" s="168"/>
      <c r="FHY99" s="167"/>
      <c r="FHZ99" s="168"/>
      <c r="FIA99" s="167"/>
      <c r="FIB99" s="168"/>
      <c r="FIC99" s="167"/>
      <c r="FID99" s="168"/>
      <c r="FIE99" s="167"/>
      <c r="FIF99" s="168"/>
      <c r="FIG99" s="167"/>
      <c r="FIH99" s="168"/>
      <c r="FII99" s="167"/>
      <c r="FIJ99" s="168"/>
      <c r="FIK99" s="167"/>
      <c r="FIL99" s="168"/>
      <c r="FIM99" s="167"/>
      <c r="FIN99" s="168"/>
      <c r="FIO99" s="167"/>
      <c r="FIP99" s="168"/>
      <c r="FIQ99" s="167"/>
      <c r="FIR99" s="168"/>
      <c r="FIS99" s="167"/>
      <c r="FIT99" s="168"/>
      <c r="FIU99" s="167"/>
      <c r="FIV99" s="168"/>
      <c r="FIW99" s="167"/>
      <c r="FIX99" s="168"/>
      <c r="FIY99" s="167"/>
      <c r="FIZ99" s="168"/>
      <c r="FJA99" s="167"/>
      <c r="FJB99" s="168"/>
      <c r="FJC99" s="167"/>
      <c r="FJD99" s="168"/>
      <c r="FJE99" s="167"/>
      <c r="FJF99" s="168"/>
      <c r="FJG99" s="167"/>
      <c r="FJH99" s="168"/>
      <c r="FJI99" s="167"/>
      <c r="FJJ99" s="168"/>
      <c r="FJK99" s="167"/>
      <c r="FJL99" s="168"/>
      <c r="FJM99" s="167"/>
      <c r="FJN99" s="168"/>
      <c r="FJO99" s="167"/>
      <c r="FJP99" s="168"/>
      <c r="FJQ99" s="167"/>
      <c r="FJR99" s="168"/>
      <c r="FJS99" s="167"/>
      <c r="FJT99" s="168"/>
      <c r="FJU99" s="167"/>
      <c r="FJV99" s="168"/>
      <c r="FJW99" s="167"/>
      <c r="FJX99" s="168"/>
      <c r="FJY99" s="167"/>
      <c r="FJZ99" s="168"/>
      <c r="FKA99" s="167"/>
      <c r="FKB99" s="168"/>
      <c r="FKC99" s="167"/>
      <c r="FKD99" s="168"/>
      <c r="FKE99" s="167"/>
      <c r="FKF99" s="168"/>
      <c r="FKG99" s="167"/>
      <c r="FKH99" s="168"/>
      <c r="FKI99" s="167"/>
      <c r="FKJ99" s="168"/>
      <c r="FKK99" s="167"/>
      <c r="FKL99" s="168"/>
      <c r="FKM99" s="167"/>
      <c r="FKN99" s="168"/>
      <c r="FKO99" s="167"/>
      <c r="FKP99" s="168"/>
      <c r="FKQ99" s="167"/>
      <c r="FKR99" s="168"/>
      <c r="FKS99" s="167"/>
      <c r="FKT99" s="168"/>
      <c r="FKU99" s="167"/>
      <c r="FKV99" s="168"/>
      <c r="FKW99" s="167"/>
      <c r="FKX99" s="168"/>
      <c r="FKY99" s="167"/>
      <c r="FKZ99" s="168"/>
      <c r="FLA99" s="167"/>
      <c r="FLB99" s="168"/>
      <c r="FLC99" s="167"/>
      <c r="FLD99" s="168"/>
      <c r="FLE99" s="167"/>
      <c r="FLF99" s="168"/>
      <c r="FLG99" s="167"/>
      <c r="FLH99" s="168"/>
      <c r="FLI99" s="167"/>
      <c r="FLJ99" s="168"/>
      <c r="FLK99" s="167"/>
      <c r="FLL99" s="168"/>
      <c r="FLM99" s="167"/>
      <c r="FLN99" s="168"/>
      <c r="FLO99" s="167"/>
      <c r="FLP99" s="168"/>
      <c r="FLQ99" s="167"/>
      <c r="FLR99" s="168"/>
      <c r="FLS99" s="167"/>
      <c r="FLT99" s="168"/>
      <c r="FLU99" s="167"/>
      <c r="FLV99" s="168"/>
      <c r="FLW99" s="167"/>
      <c r="FLX99" s="168"/>
      <c r="FLY99" s="167"/>
      <c r="FLZ99" s="168"/>
      <c r="FMA99" s="167"/>
      <c r="FMB99" s="168"/>
      <c r="FMC99" s="167"/>
      <c r="FMD99" s="168"/>
      <c r="FME99" s="167"/>
      <c r="FMF99" s="168"/>
      <c r="FMG99" s="167"/>
      <c r="FMH99" s="168"/>
      <c r="FMI99" s="167"/>
      <c r="FMJ99" s="168"/>
      <c r="FMK99" s="167"/>
      <c r="FML99" s="168"/>
      <c r="FMM99" s="167"/>
      <c r="FMN99" s="168"/>
      <c r="FMO99" s="167"/>
      <c r="FMP99" s="168"/>
      <c r="FMQ99" s="167"/>
      <c r="FMR99" s="168"/>
      <c r="FMS99" s="167"/>
      <c r="FMT99" s="168"/>
      <c r="FMU99" s="167"/>
      <c r="FMV99" s="168"/>
      <c r="FMW99" s="167"/>
      <c r="FMX99" s="168"/>
      <c r="FMY99" s="167"/>
      <c r="FMZ99" s="168"/>
      <c r="FNA99" s="167"/>
      <c r="FNB99" s="168"/>
      <c r="FNC99" s="167"/>
      <c r="FND99" s="168"/>
      <c r="FNE99" s="167"/>
      <c r="FNF99" s="168"/>
      <c r="FNG99" s="167"/>
      <c r="FNH99" s="168"/>
      <c r="FNI99" s="167"/>
      <c r="FNJ99" s="168"/>
      <c r="FNK99" s="167"/>
      <c r="FNL99" s="168"/>
      <c r="FNM99" s="167"/>
      <c r="FNN99" s="168"/>
      <c r="FNO99" s="167"/>
      <c r="FNP99" s="168"/>
      <c r="FNQ99" s="167"/>
      <c r="FNR99" s="168"/>
      <c r="FNS99" s="167"/>
      <c r="FNT99" s="168"/>
      <c r="FNU99" s="167"/>
      <c r="FNV99" s="168"/>
      <c r="FNW99" s="167"/>
      <c r="FNX99" s="168"/>
      <c r="FNY99" s="167"/>
      <c r="FNZ99" s="168"/>
      <c r="FOA99" s="167"/>
      <c r="FOB99" s="168"/>
      <c r="FOC99" s="167"/>
      <c r="FOD99" s="168"/>
      <c r="FOE99" s="167"/>
      <c r="FOF99" s="168"/>
      <c r="FOG99" s="167"/>
      <c r="FOH99" s="168"/>
      <c r="FOI99" s="167"/>
      <c r="FOJ99" s="168"/>
      <c r="FOK99" s="167"/>
      <c r="FOL99" s="168"/>
      <c r="FOM99" s="167"/>
      <c r="FON99" s="168"/>
      <c r="FOO99" s="167"/>
      <c r="FOP99" s="168"/>
      <c r="FOQ99" s="167"/>
      <c r="FOR99" s="168"/>
      <c r="FOS99" s="167"/>
      <c r="FOT99" s="168"/>
      <c r="FOU99" s="167"/>
      <c r="FOV99" s="168"/>
      <c r="FOW99" s="167"/>
      <c r="FOX99" s="168"/>
      <c r="FOY99" s="167"/>
      <c r="FOZ99" s="168"/>
      <c r="FPA99" s="167"/>
      <c r="FPB99" s="168"/>
      <c r="FPC99" s="167"/>
      <c r="FPD99" s="168"/>
      <c r="FPE99" s="167"/>
      <c r="FPF99" s="168"/>
      <c r="FPG99" s="167"/>
      <c r="FPH99" s="168"/>
      <c r="FPI99" s="167"/>
      <c r="FPJ99" s="168"/>
      <c r="FPK99" s="167"/>
      <c r="FPL99" s="168"/>
      <c r="FPM99" s="167"/>
      <c r="FPN99" s="168"/>
      <c r="FPO99" s="167"/>
      <c r="FPP99" s="168"/>
      <c r="FPQ99" s="167"/>
      <c r="FPR99" s="168"/>
      <c r="FPS99" s="167"/>
      <c r="FPT99" s="168"/>
      <c r="FPU99" s="167"/>
      <c r="FPV99" s="168"/>
      <c r="FPW99" s="167"/>
      <c r="FPX99" s="168"/>
      <c r="FPY99" s="167"/>
      <c r="FPZ99" s="168"/>
      <c r="FQA99" s="167"/>
      <c r="FQB99" s="168"/>
      <c r="FQC99" s="167"/>
      <c r="FQD99" s="168"/>
      <c r="FQE99" s="167"/>
      <c r="FQF99" s="168"/>
      <c r="FQG99" s="167"/>
      <c r="FQH99" s="168"/>
      <c r="FQI99" s="167"/>
      <c r="FQJ99" s="168"/>
      <c r="FQK99" s="167"/>
      <c r="FQL99" s="168"/>
      <c r="FQM99" s="167"/>
      <c r="FQN99" s="168"/>
      <c r="FQO99" s="167"/>
      <c r="FQP99" s="168"/>
      <c r="FQQ99" s="167"/>
      <c r="FQR99" s="168"/>
      <c r="FQS99" s="167"/>
      <c r="FQT99" s="168"/>
      <c r="FQU99" s="167"/>
      <c r="FQV99" s="168"/>
      <c r="FQW99" s="167"/>
      <c r="FQX99" s="168"/>
      <c r="FQY99" s="167"/>
      <c r="FQZ99" s="168"/>
      <c r="FRA99" s="167"/>
      <c r="FRB99" s="168"/>
      <c r="FRC99" s="167"/>
      <c r="FRD99" s="168"/>
      <c r="FRE99" s="167"/>
      <c r="FRF99" s="168"/>
      <c r="FRG99" s="167"/>
      <c r="FRH99" s="168"/>
      <c r="FRI99" s="167"/>
      <c r="FRJ99" s="168"/>
      <c r="FRK99" s="167"/>
      <c r="FRL99" s="168"/>
      <c r="FRM99" s="167"/>
      <c r="FRN99" s="168"/>
      <c r="FRO99" s="167"/>
      <c r="FRP99" s="168"/>
      <c r="FRQ99" s="167"/>
      <c r="FRR99" s="168"/>
      <c r="FRS99" s="167"/>
      <c r="FRT99" s="168"/>
      <c r="FRU99" s="167"/>
      <c r="FRV99" s="168"/>
      <c r="FRW99" s="167"/>
      <c r="FRX99" s="168"/>
      <c r="FRY99" s="167"/>
      <c r="FRZ99" s="168"/>
      <c r="FSA99" s="167"/>
      <c r="FSB99" s="168"/>
      <c r="FSC99" s="167"/>
      <c r="FSD99" s="168"/>
      <c r="FSE99" s="167"/>
      <c r="FSF99" s="168"/>
      <c r="FSG99" s="167"/>
      <c r="FSH99" s="168"/>
      <c r="FSI99" s="167"/>
      <c r="FSJ99" s="168"/>
      <c r="FSK99" s="167"/>
      <c r="FSL99" s="168"/>
      <c r="FSM99" s="167"/>
      <c r="FSN99" s="168"/>
      <c r="FSO99" s="167"/>
      <c r="FSP99" s="168"/>
      <c r="FSQ99" s="167"/>
      <c r="FSR99" s="168"/>
      <c r="FSS99" s="167"/>
      <c r="FST99" s="168"/>
      <c r="FSU99" s="167"/>
      <c r="FSV99" s="168"/>
      <c r="FSW99" s="167"/>
      <c r="FSX99" s="168"/>
      <c r="FSY99" s="167"/>
      <c r="FSZ99" s="168"/>
      <c r="FTA99" s="167"/>
      <c r="FTB99" s="168"/>
      <c r="FTC99" s="167"/>
      <c r="FTD99" s="168"/>
      <c r="FTE99" s="167"/>
      <c r="FTF99" s="168"/>
      <c r="FTG99" s="167"/>
      <c r="FTH99" s="168"/>
      <c r="FTI99" s="167"/>
      <c r="FTJ99" s="168"/>
      <c r="FTK99" s="167"/>
      <c r="FTL99" s="168"/>
      <c r="FTM99" s="167"/>
      <c r="FTN99" s="168"/>
      <c r="FTO99" s="167"/>
      <c r="FTP99" s="168"/>
      <c r="FTQ99" s="167"/>
      <c r="FTR99" s="168"/>
      <c r="FTS99" s="167"/>
      <c r="FTT99" s="168"/>
      <c r="FTU99" s="167"/>
      <c r="FTV99" s="168"/>
      <c r="FTW99" s="167"/>
      <c r="FTX99" s="168"/>
      <c r="FTY99" s="167"/>
      <c r="FTZ99" s="168"/>
      <c r="FUA99" s="167"/>
      <c r="FUB99" s="168"/>
      <c r="FUC99" s="167"/>
      <c r="FUD99" s="168"/>
      <c r="FUE99" s="167"/>
      <c r="FUF99" s="168"/>
      <c r="FUG99" s="167"/>
      <c r="FUH99" s="168"/>
      <c r="FUI99" s="167"/>
      <c r="FUJ99" s="168"/>
      <c r="FUK99" s="167"/>
      <c r="FUL99" s="168"/>
      <c r="FUM99" s="167"/>
      <c r="FUN99" s="168"/>
      <c r="FUO99" s="167"/>
      <c r="FUP99" s="168"/>
      <c r="FUQ99" s="167"/>
      <c r="FUR99" s="168"/>
      <c r="FUS99" s="167"/>
      <c r="FUT99" s="168"/>
      <c r="FUU99" s="167"/>
      <c r="FUV99" s="168"/>
      <c r="FUW99" s="167"/>
      <c r="FUX99" s="168"/>
      <c r="FUY99" s="167"/>
      <c r="FUZ99" s="168"/>
      <c r="FVA99" s="167"/>
      <c r="FVB99" s="168"/>
      <c r="FVC99" s="167"/>
      <c r="FVD99" s="168"/>
      <c r="FVE99" s="167"/>
      <c r="FVF99" s="168"/>
      <c r="FVG99" s="167"/>
      <c r="FVH99" s="168"/>
      <c r="FVI99" s="167"/>
      <c r="FVJ99" s="168"/>
      <c r="FVK99" s="167"/>
      <c r="FVL99" s="168"/>
      <c r="FVM99" s="167"/>
      <c r="FVN99" s="168"/>
      <c r="FVO99" s="167"/>
      <c r="FVP99" s="168"/>
      <c r="FVQ99" s="167"/>
      <c r="FVR99" s="168"/>
      <c r="FVS99" s="167"/>
      <c r="FVT99" s="168"/>
      <c r="FVU99" s="167"/>
      <c r="FVV99" s="168"/>
      <c r="FVW99" s="167"/>
      <c r="FVX99" s="168"/>
      <c r="FVY99" s="167"/>
      <c r="FVZ99" s="168"/>
      <c r="FWA99" s="167"/>
      <c r="FWB99" s="168"/>
      <c r="FWC99" s="167"/>
      <c r="FWD99" s="168"/>
      <c r="FWE99" s="167"/>
      <c r="FWF99" s="168"/>
      <c r="FWG99" s="167"/>
      <c r="FWH99" s="168"/>
      <c r="FWI99" s="167"/>
      <c r="FWJ99" s="168"/>
      <c r="FWK99" s="167"/>
      <c r="FWL99" s="168"/>
      <c r="FWM99" s="167"/>
      <c r="FWN99" s="168"/>
      <c r="FWO99" s="167"/>
      <c r="FWP99" s="168"/>
      <c r="FWQ99" s="167"/>
      <c r="FWR99" s="168"/>
      <c r="FWS99" s="167"/>
      <c r="FWT99" s="168"/>
      <c r="FWU99" s="167"/>
      <c r="FWV99" s="168"/>
      <c r="FWW99" s="167"/>
      <c r="FWX99" s="168"/>
      <c r="FWY99" s="167"/>
      <c r="FWZ99" s="168"/>
      <c r="FXA99" s="167"/>
      <c r="FXB99" s="168"/>
      <c r="FXC99" s="167"/>
      <c r="FXD99" s="168"/>
      <c r="FXE99" s="167"/>
      <c r="FXF99" s="168"/>
      <c r="FXG99" s="167"/>
      <c r="FXH99" s="168"/>
      <c r="FXI99" s="167"/>
      <c r="FXJ99" s="168"/>
      <c r="FXK99" s="167"/>
      <c r="FXL99" s="168"/>
      <c r="FXM99" s="167"/>
      <c r="FXN99" s="168"/>
      <c r="FXO99" s="167"/>
      <c r="FXP99" s="168"/>
      <c r="FXQ99" s="167"/>
      <c r="FXR99" s="168"/>
      <c r="FXS99" s="167"/>
      <c r="FXT99" s="168"/>
      <c r="FXU99" s="167"/>
      <c r="FXV99" s="168"/>
      <c r="FXW99" s="167"/>
      <c r="FXX99" s="168"/>
      <c r="FXY99" s="167"/>
      <c r="FXZ99" s="168"/>
      <c r="FYA99" s="167"/>
      <c r="FYB99" s="168"/>
      <c r="FYC99" s="167"/>
      <c r="FYD99" s="168"/>
      <c r="FYE99" s="167"/>
      <c r="FYF99" s="168"/>
      <c r="FYG99" s="167"/>
      <c r="FYH99" s="168"/>
      <c r="FYI99" s="167"/>
      <c r="FYJ99" s="168"/>
      <c r="FYK99" s="167"/>
      <c r="FYL99" s="168"/>
      <c r="FYM99" s="167"/>
      <c r="FYN99" s="168"/>
      <c r="FYO99" s="167"/>
      <c r="FYP99" s="168"/>
      <c r="FYQ99" s="167"/>
      <c r="FYR99" s="168"/>
      <c r="FYS99" s="167"/>
      <c r="FYT99" s="168"/>
      <c r="FYU99" s="167"/>
      <c r="FYV99" s="168"/>
      <c r="FYW99" s="167"/>
      <c r="FYX99" s="168"/>
      <c r="FYY99" s="167"/>
      <c r="FYZ99" s="168"/>
      <c r="FZA99" s="167"/>
      <c r="FZB99" s="168"/>
      <c r="FZC99" s="167"/>
      <c r="FZD99" s="168"/>
      <c r="FZE99" s="167"/>
      <c r="FZF99" s="168"/>
      <c r="FZG99" s="167"/>
      <c r="FZH99" s="168"/>
      <c r="FZI99" s="167"/>
      <c r="FZJ99" s="168"/>
      <c r="FZK99" s="167"/>
      <c r="FZL99" s="168"/>
      <c r="FZM99" s="167"/>
      <c r="FZN99" s="168"/>
      <c r="FZO99" s="167"/>
      <c r="FZP99" s="168"/>
      <c r="FZQ99" s="167"/>
      <c r="FZR99" s="168"/>
      <c r="FZS99" s="167"/>
      <c r="FZT99" s="168"/>
      <c r="FZU99" s="167"/>
      <c r="FZV99" s="168"/>
      <c r="FZW99" s="167"/>
      <c r="FZX99" s="168"/>
      <c r="FZY99" s="167"/>
      <c r="FZZ99" s="168"/>
      <c r="GAA99" s="167"/>
      <c r="GAB99" s="168"/>
      <c r="GAC99" s="167"/>
      <c r="GAD99" s="168"/>
      <c r="GAE99" s="167"/>
      <c r="GAF99" s="168"/>
      <c r="GAG99" s="167"/>
      <c r="GAH99" s="168"/>
      <c r="GAI99" s="167"/>
      <c r="GAJ99" s="168"/>
      <c r="GAK99" s="167"/>
      <c r="GAL99" s="168"/>
      <c r="GAM99" s="167"/>
      <c r="GAN99" s="168"/>
      <c r="GAO99" s="167"/>
      <c r="GAP99" s="168"/>
      <c r="GAQ99" s="167"/>
      <c r="GAR99" s="168"/>
      <c r="GAS99" s="167"/>
      <c r="GAT99" s="168"/>
      <c r="GAU99" s="167"/>
      <c r="GAV99" s="168"/>
      <c r="GAW99" s="167"/>
      <c r="GAX99" s="168"/>
      <c r="GAY99" s="167"/>
      <c r="GAZ99" s="168"/>
      <c r="GBA99" s="167"/>
      <c r="GBB99" s="168"/>
      <c r="GBC99" s="167"/>
      <c r="GBD99" s="168"/>
      <c r="GBE99" s="167"/>
      <c r="GBF99" s="168"/>
      <c r="GBG99" s="167"/>
      <c r="GBH99" s="168"/>
      <c r="GBI99" s="167"/>
      <c r="GBJ99" s="168"/>
      <c r="GBK99" s="167"/>
      <c r="GBL99" s="168"/>
      <c r="GBM99" s="167"/>
      <c r="GBN99" s="168"/>
      <c r="GBO99" s="167"/>
      <c r="GBP99" s="168"/>
      <c r="GBQ99" s="167"/>
      <c r="GBR99" s="168"/>
      <c r="GBS99" s="167"/>
      <c r="GBT99" s="168"/>
      <c r="GBU99" s="167"/>
      <c r="GBV99" s="168"/>
      <c r="GBW99" s="167"/>
      <c r="GBX99" s="168"/>
      <c r="GBY99" s="167"/>
      <c r="GBZ99" s="168"/>
      <c r="GCA99" s="167"/>
      <c r="GCB99" s="168"/>
      <c r="GCC99" s="167"/>
      <c r="GCD99" s="168"/>
      <c r="GCE99" s="167"/>
      <c r="GCF99" s="168"/>
      <c r="GCG99" s="167"/>
      <c r="GCH99" s="168"/>
      <c r="GCI99" s="167"/>
      <c r="GCJ99" s="168"/>
      <c r="GCK99" s="167"/>
      <c r="GCL99" s="168"/>
      <c r="GCM99" s="167"/>
      <c r="GCN99" s="168"/>
      <c r="GCO99" s="167"/>
      <c r="GCP99" s="168"/>
      <c r="GCQ99" s="167"/>
      <c r="GCR99" s="168"/>
      <c r="GCS99" s="167"/>
      <c r="GCT99" s="168"/>
      <c r="GCU99" s="167"/>
      <c r="GCV99" s="168"/>
      <c r="GCW99" s="167"/>
      <c r="GCX99" s="168"/>
      <c r="GCY99" s="167"/>
      <c r="GCZ99" s="168"/>
      <c r="GDA99" s="167"/>
      <c r="GDB99" s="168"/>
      <c r="GDC99" s="167"/>
      <c r="GDD99" s="168"/>
      <c r="GDE99" s="167"/>
      <c r="GDF99" s="168"/>
      <c r="GDG99" s="167"/>
      <c r="GDH99" s="168"/>
      <c r="GDI99" s="167"/>
      <c r="GDJ99" s="168"/>
      <c r="GDK99" s="167"/>
      <c r="GDL99" s="168"/>
      <c r="GDM99" s="167"/>
      <c r="GDN99" s="168"/>
      <c r="GDO99" s="167"/>
      <c r="GDP99" s="168"/>
      <c r="GDQ99" s="167"/>
      <c r="GDR99" s="168"/>
      <c r="GDS99" s="167"/>
      <c r="GDT99" s="168"/>
      <c r="GDU99" s="167"/>
      <c r="GDV99" s="168"/>
      <c r="GDW99" s="167"/>
      <c r="GDX99" s="168"/>
      <c r="GDY99" s="167"/>
      <c r="GDZ99" s="168"/>
      <c r="GEA99" s="167"/>
      <c r="GEB99" s="168"/>
      <c r="GEC99" s="167"/>
      <c r="GED99" s="168"/>
      <c r="GEE99" s="167"/>
      <c r="GEF99" s="168"/>
      <c r="GEG99" s="167"/>
      <c r="GEH99" s="168"/>
      <c r="GEI99" s="167"/>
      <c r="GEJ99" s="168"/>
      <c r="GEK99" s="167"/>
      <c r="GEL99" s="168"/>
      <c r="GEM99" s="167"/>
      <c r="GEN99" s="168"/>
      <c r="GEO99" s="167"/>
      <c r="GEP99" s="168"/>
      <c r="GEQ99" s="167"/>
      <c r="GER99" s="168"/>
      <c r="GES99" s="167"/>
      <c r="GET99" s="168"/>
      <c r="GEU99" s="167"/>
      <c r="GEV99" s="168"/>
      <c r="GEW99" s="167"/>
      <c r="GEX99" s="168"/>
      <c r="GEY99" s="167"/>
      <c r="GEZ99" s="168"/>
      <c r="GFA99" s="167"/>
      <c r="GFB99" s="168"/>
      <c r="GFC99" s="167"/>
      <c r="GFD99" s="168"/>
      <c r="GFE99" s="167"/>
      <c r="GFF99" s="168"/>
      <c r="GFG99" s="167"/>
      <c r="GFH99" s="168"/>
      <c r="GFI99" s="167"/>
      <c r="GFJ99" s="168"/>
      <c r="GFK99" s="167"/>
      <c r="GFL99" s="168"/>
      <c r="GFM99" s="167"/>
      <c r="GFN99" s="168"/>
      <c r="GFO99" s="167"/>
      <c r="GFP99" s="168"/>
      <c r="GFQ99" s="167"/>
      <c r="GFR99" s="168"/>
      <c r="GFS99" s="167"/>
      <c r="GFT99" s="168"/>
      <c r="GFU99" s="167"/>
      <c r="GFV99" s="168"/>
      <c r="GFW99" s="167"/>
      <c r="GFX99" s="168"/>
      <c r="GFY99" s="167"/>
      <c r="GFZ99" s="168"/>
      <c r="GGA99" s="167"/>
      <c r="GGB99" s="168"/>
      <c r="GGC99" s="167"/>
      <c r="GGD99" s="168"/>
      <c r="GGE99" s="167"/>
      <c r="GGF99" s="168"/>
      <c r="GGG99" s="167"/>
      <c r="GGH99" s="168"/>
      <c r="GGI99" s="167"/>
      <c r="GGJ99" s="168"/>
      <c r="GGK99" s="167"/>
      <c r="GGL99" s="168"/>
      <c r="GGM99" s="167"/>
      <c r="GGN99" s="168"/>
      <c r="GGO99" s="167"/>
      <c r="GGP99" s="168"/>
      <c r="GGQ99" s="167"/>
      <c r="GGR99" s="168"/>
      <c r="GGS99" s="167"/>
      <c r="GGT99" s="168"/>
      <c r="GGU99" s="167"/>
      <c r="GGV99" s="168"/>
      <c r="GGW99" s="167"/>
      <c r="GGX99" s="168"/>
      <c r="GGY99" s="167"/>
      <c r="GGZ99" s="168"/>
      <c r="GHA99" s="167"/>
      <c r="GHB99" s="168"/>
      <c r="GHC99" s="167"/>
      <c r="GHD99" s="168"/>
      <c r="GHE99" s="167"/>
      <c r="GHF99" s="168"/>
      <c r="GHG99" s="167"/>
      <c r="GHH99" s="168"/>
      <c r="GHI99" s="167"/>
      <c r="GHJ99" s="168"/>
      <c r="GHK99" s="167"/>
      <c r="GHL99" s="168"/>
      <c r="GHM99" s="167"/>
      <c r="GHN99" s="168"/>
      <c r="GHO99" s="167"/>
      <c r="GHP99" s="168"/>
      <c r="GHQ99" s="167"/>
      <c r="GHR99" s="168"/>
      <c r="GHS99" s="167"/>
      <c r="GHT99" s="168"/>
      <c r="GHU99" s="167"/>
      <c r="GHV99" s="168"/>
      <c r="GHW99" s="167"/>
      <c r="GHX99" s="168"/>
      <c r="GHY99" s="167"/>
      <c r="GHZ99" s="168"/>
      <c r="GIA99" s="167"/>
      <c r="GIB99" s="168"/>
      <c r="GIC99" s="167"/>
      <c r="GID99" s="168"/>
      <c r="GIE99" s="167"/>
      <c r="GIF99" s="168"/>
      <c r="GIG99" s="167"/>
      <c r="GIH99" s="168"/>
      <c r="GII99" s="167"/>
      <c r="GIJ99" s="168"/>
      <c r="GIK99" s="167"/>
      <c r="GIL99" s="168"/>
      <c r="GIM99" s="167"/>
      <c r="GIN99" s="168"/>
      <c r="GIO99" s="167"/>
      <c r="GIP99" s="168"/>
      <c r="GIQ99" s="167"/>
      <c r="GIR99" s="168"/>
      <c r="GIS99" s="167"/>
      <c r="GIT99" s="168"/>
      <c r="GIU99" s="167"/>
      <c r="GIV99" s="168"/>
      <c r="GIW99" s="167"/>
      <c r="GIX99" s="168"/>
      <c r="GIY99" s="167"/>
      <c r="GIZ99" s="168"/>
      <c r="GJA99" s="167"/>
      <c r="GJB99" s="168"/>
      <c r="GJC99" s="167"/>
      <c r="GJD99" s="168"/>
      <c r="GJE99" s="167"/>
      <c r="GJF99" s="168"/>
      <c r="GJG99" s="167"/>
      <c r="GJH99" s="168"/>
      <c r="GJI99" s="167"/>
      <c r="GJJ99" s="168"/>
      <c r="GJK99" s="167"/>
      <c r="GJL99" s="168"/>
      <c r="GJM99" s="167"/>
      <c r="GJN99" s="168"/>
      <c r="GJO99" s="167"/>
      <c r="GJP99" s="168"/>
      <c r="GJQ99" s="167"/>
      <c r="GJR99" s="168"/>
      <c r="GJS99" s="167"/>
      <c r="GJT99" s="168"/>
      <c r="GJU99" s="167"/>
      <c r="GJV99" s="168"/>
      <c r="GJW99" s="167"/>
      <c r="GJX99" s="168"/>
      <c r="GJY99" s="167"/>
      <c r="GJZ99" s="168"/>
      <c r="GKA99" s="167"/>
      <c r="GKB99" s="168"/>
      <c r="GKC99" s="167"/>
      <c r="GKD99" s="168"/>
      <c r="GKE99" s="167"/>
      <c r="GKF99" s="168"/>
      <c r="GKG99" s="167"/>
      <c r="GKH99" s="168"/>
      <c r="GKI99" s="167"/>
      <c r="GKJ99" s="168"/>
      <c r="GKK99" s="167"/>
      <c r="GKL99" s="168"/>
      <c r="GKM99" s="167"/>
      <c r="GKN99" s="168"/>
      <c r="GKO99" s="167"/>
      <c r="GKP99" s="168"/>
      <c r="GKQ99" s="167"/>
      <c r="GKR99" s="168"/>
      <c r="GKS99" s="167"/>
      <c r="GKT99" s="168"/>
      <c r="GKU99" s="167"/>
      <c r="GKV99" s="168"/>
      <c r="GKW99" s="167"/>
      <c r="GKX99" s="168"/>
      <c r="GKY99" s="167"/>
      <c r="GKZ99" s="168"/>
      <c r="GLA99" s="167"/>
      <c r="GLB99" s="168"/>
      <c r="GLC99" s="167"/>
      <c r="GLD99" s="168"/>
      <c r="GLE99" s="167"/>
      <c r="GLF99" s="168"/>
      <c r="GLG99" s="167"/>
      <c r="GLH99" s="168"/>
      <c r="GLI99" s="167"/>
      <c r="GLJ99" s="168"/>
      <c r="GLK99" s="167"/>
      <c r="GLL99" s="168"/>
      <c r="GLM99" s="167"/>
      <c r="GLN99" s="168"/>
      <c r="GLO99" s="167"/>
      <c r="GLP99" s="168"/>
      <c r="GLQ99" s="167"/>
      <c r="GLR99" s="168"/>
      <c r="GLS99" s="167"/>
      <c r="GLT99" s="168"/>
      <c r="GLU99" s="167"/>
      <c r="GLV99" s="168"/>
      <c r="GLW99" s="167"/>
      <c r="GLX99" s="168"/>
      <c r="GLY99" s="167"/>
      <c r="GLZ99" s="168"/>
      <c r="GMA99" s="167"/>
      <c r="GMB99" s="168"/>
      <c r="GMC99" s="167"/>
      <c r="GMD99" s="168"/>
      <c r="GME99" s="167"/>
      <c r="GMF99" s="168"/>
      <c r="GMG99" s="167"/>
      <c r="GMH99" s="168"/>
      <c r="GMI99" s="167"/>
      <c r="GMJ99" s="168"/>
      <c r="GMK99" s="167"/>
      <c r="GML99" s="168"/>
      <c r="GMM99" s="167"/>
      <c r="GMN99" s="168"/>
      <c r="GMO99" s="167"/>
      <c r="GMP99" s="168"/>
      <c r="GMQ99" s="167"/>
      <c r="GMR99" s="168"/>
      <c r="GMS99" s="167"/>
      <c r="GMT99" s="168"/>
      <c r="GMU99" s="167"/>
      <c r="GMV99" s="168"/>
      <c r="GMW99" s="167"/>
      <c r="GMX99" s="168"/>
      <c r="GMY99" s="167"/>
      <c r="GMZ99" s="168"/>
      <c r="GNA99" s="167"/>
      <c r="GNB99" s="168"/>
      <c r="GNC99" s="167"/>
      <c r="GND99" s="168"/>
      <c r="GNE99" s="167"/>
      <c r="GNF99" s="168"/>
      <c r="GNG99" s="167"/>
      <c r="GNH99" s="168"/>
      <c r="GNI99" s="167"/>
      <c r="GNJ99" s="168"/>
      <c r="GNK99" s="167"/>
      <c r="GNL99" s="168"/>
      <c r="GNM99" s="167"/>
      <c r="GNN99" s="168"/>
      <c r="GNO99" s="167"/>
      <c r="GNP99" s="168"/>
      <c r="GNQ99" s="167"/>
      <c r="GNR99" s="168"/>
      <c r="GNS99" s="167"/>
      <c r="GNT99" s="168"/>
      <c r="GNU99" s="167"/>
      <c r="GNV99" s="168"/>
      <c r="GNW99" s="167"/>
      <c r="GNX99" s="168"/>
      <c r="GNY99" s="167"/>
      <c r="GNZ99" s="168"/>
      <c r="GOA99" s="167"/>
      <c r="GOB99" s="168"/>
      <c r="GOC99" s="167"/>
      <c r="GOD99" s="168"/>
      <c r="GOE99" s="167"/>
      <c r="GOF99" s="168"/>
      <c r="GOG99" s="167"/>
      <c r="GOH99" s="168"/>
      <c r="GOI99" s="167"/>
      <c r="GOJ99" s="168"/>
      <c r="GOK99" s="167"/>
      <c r="GOL99" s="168"/>
      <c r="GOM99" s="167"/>
      <c r="GON99" s="168"/>
      <c r="GOO99" s="167"/>
      <c r="GOP99" s="168"/>
      <c r="GOQ99" s="167"/>
      <c r="GOR99" s="168"/>
      <c r="GOS99" s="167"/>
      <c r="GOT99" s="168"/>
      <c r="GOU99" s="167"/>
      <c r="GOV99" s="168"/>
      <c r="GOW99" s="167"/>
      <c r="GOX99" s="168"/>
      <c r="GOY99" s="167"/>
      <c r="GOZ99" s="168"/>
      <c r="GPA99" s="167"/>
      <c r="GPB99" s="168"/>
      <c r="GPC99" s="167"/>
      <c r="GPD99" s="168"/>
      <c r="GPE99" s="167"/>
      <c r="GPF99" s="168"/>
      <c r="GPG99" s="167"/>
      <c r="GPH99" s="168"/>
      <c r="GPI99" s="167"/>
      <c r="GPJ99" s="168"/>
      <c r="GPK99" s="167"/>
      <c r="GPL99" s="168"/>
      <c r="GPM99" s="167"/>
      <c r="GPN99" s="168"/>
      <c r="GPO99" s="167"/>
      <c r="GPP99" s="168"/>
      <c r="GPQ99" s="167"/>
      <c r="GPR99" s="168"/>
      <c r="GPS99" s="167"/>
      <c r="GPT99" s="168"/>
      <c r="GPU99" s="167"/>
      <c r="GPV99" s="168"/>
      <c r="GPW99" s="167"/>
      <c r="GPX99" s="168"/>
      <c r="GPY99" s="167"/>
      <c r="GPZ99" s="168"/>
      <c r="GQA99" s="167"/>
      <c r="GQB99" s="168"/>
      <c r="GQC99" s="167"/>
      <c r="GQD99" s="168"/>
      <c r="GQE99" s="167"/>
      <c r="GQF99" s="168"/>
      <c r="GQG99" s="167"/>
      <c r="GQH99" s="168"/>
      <c r="GQI99" s="167"/>
      <c r="GQJ99" s="168"/>
      <c r="GQK99" s="167"/>
      <c r="GQL99" s="168"/>
      <c r="GQM99" s="167"/>
      <c r="GQN99" s="168"/>
      <c r="GQO99" s="167"/>
      <c r="GQP99" s="168"/>
      <c r="GQQ99" s="167"/>
      <c r="GQR99" s="168"/>
      <c r="GQS99" s="167"/>
      <c r="GQT99" s="168"/>
      <c r="GQU99" s="167"/>
      <c r="GQV99" s="168"/>
      <c r="GQW99" s="167"/>
      <c r="GQX99" s="168"/>
      <c r="GQY99" s="167"/>
      <c r="GQZ99" s="168"/>
      <c r="GRA99" s="167"/>
      <c r="GRB99" s="168"/>
      <c r="GRC99" s="167"/>
      <c r="GRD99" s="168"/>
      <c r="GRE99" s="167"/>
      <c r="GRF99" s="168"/>
      <c r="GRG99" s="167"/>
      <c r="GRH99" s="168"/>
      <c r="GRI99" s="167"/>
      <c r="GRJ99" s="168"/>
      <c r="GRK99" s="167"/>
      <c r="GRL99" s="168"/>
      <c r="GRM99" s="167"/>
      <c r="GRN99" s="168"/>
      <c r="GRO99" s="167"/>
      <c r="GRP99" s="168"/>
      <c r="GRQ99" s="167"/>
      <c r="GRR99" s="168"/>
      <c r="GRS99" s="167"/>
      <c r="GRT99" s="168"/>
      <c r="GRU99" s="167"/>
      <c r="GRV99" s="168"/>
      <c r="GRW99" s="167"/>
      <c r="GRX99" s="168"/>
      <c r="GRY99" s="167"/>
      <c r="GRZ99" s="168"/>
      <c r="GSA99" s="167"/>
      <c r="GSB99" s="168"/>
      <c r="GSC99" s="167"/>
      <c r="GSD99" s="168"/>
      <c r="GSE99" s="167"/>
      <c r="GSF99" s="168"/>
      <c r="GSG99" s="167"/>
      <c r="GSH99" s="168"/>
      <c r="GSI99" s="167"/>
      <c r="GSJ99" s="168"/>
      <c r="GSK99" s="167"/>
      <c r="GSL99" s="168"/>
      <c r="GSM99" s="167"/>
      <c r="GSN99" s="168"/>
      <c r="GSO99" s="167"/>
      <c r="GSP99" s="168"/>
      <c r="GSQ99" s="167"/>
      <c r="GSR99" s="168"/>
      <c r="GSS99" s="167"/>
      <c r="GST99" s="168"/>
      <c r="GSU99" s="167"/>
      <c r="GSV99" s="168"/>
      <c r="GSW99" s="167"/>
      <c r="GSX99" s="168"/>
      <c r="GSY99" s="167"/>
      <c r="GSZ99" s="168"/>
      <c r="GTA99" s="167"/>
      <c r="GTB99" s="168"/>
      <c r="GTC99" s="167"/>
      <c r="GTD99" s="168"/>
      <c r="GTE99" s="167"/>
      <c r="GTF99" s="168"/>
      <c r="GTG99" s="167"/>
      <c r="GTH99" s="168"/>
      <c r="GTI99" s="167"/>
      <c r="GTJ99" s="168"/>
      <c r="GTK99" s="167"/>
      <c r="GTL99" s="168"/>
      <c r="GTM99" s="167"/>
      <c r="GTN99" s="168"/>
      <c r="GTO99" s="167"/>
      <c r="GTP99" s="168"/>
      <c r="GTQ99" s="167"/>
      <c r="GTR99" s="168"/>
      <c r="GTS99" s="167"/>
      <c r="GTT99" s="168"/>
      <c r="GTU99" s="167"/>
      <c r="GTV99" s="168"/>
      <c r="GTW99" s="167"/>
      <c r="GTX99" s="168"/>
      <c r="GTY99" s="167"/>
      <c r="GTZ99" s="168"/>
      <c r="GUA99" s="167"/>
      <c r="GUB99" s="168"/>
      <c r="GUC99" s="167"/>
      <c r="GUD99" s="168"/>
      <c r="GUE99" s="167"/>
      <c r="GUF99" s="168"/>
      <c r="GUG99" s="167"/>
      <c r="GUH99" s="168"/>
      <c r="GUI99" s="167"/>
      <c r="GUJ99" s="168"/>
      <c r="GUK99" s="167"/>
      <c r="GUL99" s="168"/>
      <c r="GUM99" s="167"/>
      <c r="GUN99" s="168"/>
      <c r="GUO99" s="167"/>
      <c r="GUP99" s="168"/>
      <c r="GUQ99" s="167"/>
      <c r="GUR99" s="168"/>
      <c r="GUS99" s="167"/>
      <c r="GUT99" s="168"/>
      <c r="GUU99" s="167"/>
      <c r="GUV99" s="168"/>
      <c r="GUW99" s="167"/>
      <c r="GUX99" s="168"/>
      <c r="GUY99" s="167"/>
      <c r="GUZ99" s="168"/>
      <c r="GVA99" s="167"/>
      <c r="GVB99" s="168"/>
      <c r="GVC99" s="167"/>
      <c r="GVD99" s="168"/>
      <c r="GVE99" s="167"/>
      <c r="GVF99" s="168"/>
      <c r="GVG99" s="167"/>
      <c r="GVH99" s="168"/>
      <c r="GVI99" s="167"/>
      <c r="GVJ99" s="168"/>
      <c r="GVK99" s="167"/>
      <c r="GVL99" s="168"/>
      <c r="GVM99" s="167"/>
      <c r="GVN99" s="168"/>
      <c r="GVO99" s="167"/>
      <c r="GVP99" s="168"/>
      <c r="GVQ99" s="167"/>
      <c r="GVR99" s="168"/>
      <c r="GVS99" s="167"/>
      <c r="GVT99" s="168"/>
      <c r="GVU99" s="167"/>
      <c r="GVV99" s="168"/>
      <c r="GVW99" s="167"/>
      <c r="GVX99" s="168"/>
      <c r="GVY99" s="167"/>
      <c r="GVZ99" s="168"/>
      <c r="GWA99" s="167"/>
      <c r="GWB99" s="168"/>
      <c r="GWC99" s="167"/>
      <c r="GWD99" s="168"/>
      <c r="GWE99" s="167"/>
      <c r="GWF99" s="168"/>
      <c r="GWG99" s="167"/>
      <c r="GWH99" s="168"/>
      <c r="GWI99" s="167"/>
      <c r="GWJ99" s="168"/>
      <c r="GWK99" s="167"/>
      <c r="GWL99" s="168"/>
      <c r="GWM99" s="167"/>
      <c r="GWN99" s="168"/>
      <c r="GWO99" s="167"/>
      <c r="GWP99" s="168"/>
      <c r="GWQ99" s="167"/>
      <c r="GWR99" s="168"/>
      <c r="GWS99" s="167"/>
      <c r="GWT99" s="168"/>
      <c r="GWU99" s="167"/>
      <c r="GWV99" s="168"/>
      <c r="GWW99" s="167"/>
      <c r="GWX99" s="168"/>
      <c r="GWY99" s="167"/>
      <c r="GWZ99" s="168"/>
      <c r="GXA99" s="167"/>
      <c r="GXB99" s="168"/>
      <c r="GXC99" s="167"/>
      <c r="GXD99" s="168"/>
      <c r="GXE99" s="167"/>
      <c r="GXF99" s="168"/>
      <c r="GXG99" s="167"/>
      <c r="GXH99" s="168"/>
      <c r="GXI99" s="167"/>
      <c r="GXJ99" s="168"/>
      <c r="GXK99" s="167"/>
      <c r="GXL99" s="168"/>
      <c r="GXM99" s="167"/>
      <c r="GXN99" s="168"/>
      <c r="GXO99" s="167"/>
      <c r="GXP99" s="168"/>
      <c r="GXQ99" s="167"/>
      <c r="GXR99" s="168"/>
      <c r="GXS99" s="167"/>
      <c r="GXT99" s="168"/>
      <c r="GXU99" s="167"/>
      <c r="GXV99" s="168"/>
      <c r="GXW99" s="167"/>
      <c r="GXX99" s="168"/>
      <c r="GXY99" s="167"/>
      <c r="GXZ99" s="168"/>
      <c r="GYA99" s="167"/>
      <c r="GYB99" s="168"/>
      <c r="GYC99" s="167"/>
      <c r="GYD99" s="168"/>
      <c r="GYE99" s="167"/>
      <c r="GYF99" s="168"/>
      <c r="GYG99" s="167"/>
      <c r="GYH99" s="168"/>
      <c r="GYI99" s="167"/>
      <c r="GYJ99" s="168"/>
      <c r="GYK99" s="167"/>
      <c r="GYL99" s="168"/>
      <c r="GYM99" s="167"/>
      <c r="GYN99" s="168"/>
      <c r="GYO99" s="167"/>
      <c r="GYP99" s="168"/>
      <c r="GYQ99" s="167"/>
      <c r="GYR99" s="168"/>
      <c r="GYS99" s="167"/>
      <c r="GYT99" s="168"/>
      <c r="GYU99" s="167"/>
      <c r="GYV99" s="168"/>
      <c r="GYW99" s="167"/>
      <c r="GYX99" s="168"/>
      <c r="GYY99" s="167"/>
      <c r="GYZ99" s="168"/>
      <c r="GZA99" s="167"/>
      <c r="GZB99" s="168"/>
      <c r="GZC99" s="167"/>
      <c r="GZD99" s="168"/>
      <c r="GZE99" s="167"/>
      <c r="GZF99" s="168"/>
      <c r="GZG99" s="167"/>
      <c r="GZH99" s="168"/>
      <c r="GZI99" s="167"/>
      <c r="GZJ99" s="168"/>
      <c r="GZK99" s="167"/>
      <c r="GZL99" s="168"/>
      <c r="GZM99" s="167"/>
      <c r="GZN99" s="168"/>
      <c r="GZO99" s="167"/>
      <c r="GZP99" s="168"/>
      <c r="GZQ99" s="167"/>
      <c r="GZR99" s="168"/>
      <c r="GZS99" s="167"/>
      <c r="GZT99" s="168"/>
      <c r="GZU99" s="167"/>
      <c r="GZV99" s="168"/>
      <c r="GZW99" s="167"/>
      <c r="GZX99" s="168"/>
      <c r="GZY99" s="167"/>
      <c r="GZZ99" s="168"/>
      <c r="HAA99" s="167"/>
      <c r="HAB99" s="168"/>
      <c r="HAC99" s="167"/>
      <c r="HAD99" s="168"/>
      <c r="HAE99" s="167"/>
      <c r="HAF99" s="168"/>
      <c r="HAG99" s="167"/>
      <c r="HAH99" s="168"/>
      <c r="HAI99" s="167"/>
      <c r="HAJ99" s="168"/>
      <c r="HAK99" s="167"/>
      <c r="HAL99" s="168"/>
      <c r="HAM99" s="167"/>
      <c r="HAN99" s="168"/>
      <c r="HAO99" s="167"/>
      <c r="HAP99" s="168"/>
      <c r="HAQ99" s="167"/>
      <c r="HAR99" s="168"/>
      <c r="HAS99" s="167"/>
      <c r="HAT99" s="168"/>
      <c r="HAU99" s="167"/>
      <c r="HAV99" s="168"/>
      <c r="HAW99" s="167"/>
      <c r="HAX99" s="168"/>
      <c r="HAY99" s="167"/>
      <c r="HAZ99" s="168"/>
      <c r="HBA99" s="167"/>
      <c r="HBB99" s="168"/>
      <c r="HBC99" s="167"/>
      <c r="HBD99" s="168"/>
      <c r="HBE99" s="167"/>
      <c r="HBF99" s="168"/>
      <c r="HBG99" s="167"/>
      <c r="HBH99" s="168"/>
      <c r="HBI99" s="167"/>
      <c r="HBJ99" s="168"/>
      <c r="HBK99" s="167"/>
      <c r="HBL99" s="168"/>
      <c r="HBM99" s="167"/>
      <c r="HBN99" s="168"/>
      <c r="HBO99" s="167"/>
      <c r="HBP99" s="168"/>
      <c r="HBQ99" s="167"/>
      <c r="HBR99" s="168"/>
      <c r="HBS99" s="167"/>
      <c r="HBT99" s="168"/>
      <c r="HBU99" s="167"/>
      <c r="HBV99" s="168"/>
      <c r="HBW99" s="167"/>
      <c r="HBX99" s="168"/>
      <c r="HBY99" s="167"/>
      <c r="HBZ99" s="168"/>
      <c r="HCA99" s="167"/>
      <c r="HCB99" s="168"/>
      <c r="HCC99" s="167"/>
      <c r="HCD99" s="168"/>
      <c r="HCE99" s="167"/>
      <c r="HCF99" s="168"/>
      <c r="HCG99" s="167"/>
      <c r="HCH99" s="168"/>
      <c r="HCI99" s="167"/>
      <c r="HCJ99" s="168"/>
      <c r="HCK99" s="167"/>
      <c r="HCL99" s="168"/>
      <c r="HCM99" s="167"/>
      <c r="HCN99" s="168"/>
      <c r="HCO99" s="167"/>
      <c r="HCP99" s="168"/>
      <c r="HCQ99" s="167"/>
      <c r="HCR99" s="168"/>
      <c r="HCS99" s="167"/>
      <c r="HCT99" s="168"/>
      <c r="HCU99" s="167"/>
      <c r="HCV99" s="168"/>
      <c r="HCW99" s="167"/>
      <c r="HCX99" s="168"/>
      <c r="HCY99" s="167"/>
      <c r="HCZ99" s="168"/>
      <c r="HDA99" s="167"/>
      <c r="HDB99" s="168"/>
      <c r="HDC99" s="167"/>
      <c r="HDD99" s="168"/>
      <c r="HDE99" s="167"/>
      <c r="HDF99" s="168"/>
      <c r="HDG99" s="167"/>
      <c r="HDH99" s="168"/>
      <c r="HDI99" s="167"/>
      <c r="HDJ99" s="168"/>
      <c r="HDK99" s="167"/>
      <c r="HDL99" s="168"/>
      <c r="HDM99" s="167"/>
      <c r="HDN99" s="168"/>
      <c r="HDO99" s="167"/>
      <c r="HDP99" s="168"/>
      <c r="HDQ99" s="167"/>
      <c r="HDR99" s="168"/>
      <c r="HDS99" s="167"/>
      <c r="HDT99" s="168"/>
      <c r="HDU99" s="167"/>
      <c r="HDV99" s="168"/>
      <c r="HDW99" s="167"/>
      <c r="HDX99" s="168"/>
      <c r="HDY99" s="167"/>
      <c r="HDZ99" s="168"/>
      <c r="HEA99" s="167"/>
      <c r="HEB99" s="168"/>
      <c r="HEC99" s="167"/>
      <c r="HED99" s="168"/>
      <c r="HEE99" s="167"/>
      <c r="HEF99" s="168"/>
      <c r="HEG99" s="167"/>
      <c r="HEH99" s="168"/>
      <c r="HEI99" s="167"/>
      <c r="HEJ99" s="168"/>
      <c r="HEK99" s="167"/>
      <c r="HEL99" s="168"/>
      <c r="HEM99" s="167"/>
      <c r="HEN99" s="168"/>
      <c r="HEO99" s="167"/>
      <c r="HEP99" s="168"/>
      <c r="HEQ99" s="167"/>
      <c r="HER99" s="168"/>
      <c r="HES99" s="167"/>
      <c r="HET99" s="168"/>
      <c r="HEU99" s="167"/>
      <c r="HEV99" s="168"/>
      <c r="HEW99" s="167"/>
      <c r="HEX99" s="168"/>
      <c r="HEY99" s="167"/>
      <c r="HEZ99" s="168"/>
      <c r="HFA99" s="167"/>
      <c r="HFB99" s="168"/>
      <c r="HFC99" s="167"/>
      <c r="HFD99" s="168"/>
      <c r="HFE99" s="167"/>
      <c r="HFF99" s="168"/>
      <c r="HFG99" s="167"/>
      <c r="HFH99" s="168"/>
      <c r="HFI99" s="167"/>
      <c r="HFJ99" s="168"/>
      <c r="HFK99" s="167"/>
      <c r="HFL99" s="168"/>
      <c r="HFM99" s="167"/>
      <c r="HFN99" s="168"/>
      <c r="HFO99" s="167"/>
      <c r="HFP99" s="168"/>
      <c r="HFQ99" s="167"/>
      <c r="HFR99" s="168"/>
      <c r="HFS99" s="167"/>
      <c r="HFT99" s="168"/>
      <c r="HFU99" s="167"/>
      <c r="HFV99" s="168"/>
      <c r="HFW99" s="167"/>
      <c r="HFX99" s="168"/>
      <c r="HFY99" s="167"/>
      <c r="HFZ99" s="168"/>
      <c r="HGA99" s="167"/>
      <c r="HGB99" s="168"/>
      <c r="HGC99" s="167"/>
      <c r="HGD99" s="168"/>
      <c r="HGE99" s="167"/>
      <c r="HGF99" s="168"/>
      <c r="HGG99" s="167"/>
      <c r="HGH99" s="168"/>
      <c r="HGI99" s="167"/>
      <c r="HGJ99" s="168"/>
      <c r="HGK99" s="167"/>
      <c r="HGL99" s="168"/>
      <c r="HGM99" s="167"/>
      <c r="HGN99" s="168"/>
      <c r="HGO99" s="167"/>
      <c r="HGP99" s="168"/>
      <c r="HGQ99" s="167"/>
      <c r="HGR99" s="168"/>
      <c r="HGS99" s="167"/>
      <c r="HGT99" s="168"/>
      <c r="HGU99" s="167"/>
      <c r="HGV99" s="168"/>
      <c r="HGW99" s="167"/>
      <c r="HGX99" s="168"/>
      <c r="HGY99" s="167"/>
      <c r="HGZ99" s="168"/>
      <c r="HHA99" s="167"/>
      <c r="HHB99" s="168"/>
      <c r="HHC99" s="167"/>
      <c r="HHD99" s="168"/>
      <c r="HHE99" s="167"/>
      <c r="HHF99" s="168"/>
      <c r="HHG99" s="167"/>
      <c r="HHH99" s="168"/>
      <c r="HHI99" s="167"/>
      <c r="HHJ99" s="168"/>
      <c r="HHK99" s="167"/>
      <c r="HHL99" s="168"/>
      <c r="HHM99" s="167"/>
      <c r="HHN99" s="168"/>
      <c r="HHO99" s="167"/>
      <c r="HHP99" s="168"/>
      <c r="HHQ99" s="167"/>
      <c r="HHR99" s="168"/>
      <c r="HHS99" s="167"/>
      <c r="HHT99" s="168"/>
      <c r="HHU99" s="167"/>
      <c r="HHV99" s="168"/>
      <c r="HHW99" s="167"/>
      <c r="HHX99" s="168"/>
      <c r="HHY99" s="167"/>
      <c r="HHZ99" s="168"/>
      <c r="HIA99" s="167"/>
      <c r="HIB99" s="168"/>
      <c r="HIC99" s="167"/>
      <c r="HID99" s="168"/>
      <c r="HIE99" s="167"/>
      <c r="HIF99" s="168"/>
      <c r="HIG99" s="167"/>
      <c r="HIH99" s="168"/>
      <c r="HII99" s="167"/>
      <c r="HIJ99" s="168"/>
      <c r="HIK99" s="167"/>
      <c r="HIL99" s="168"/>
      <c r="HIM99" s="167"/>
      <c r="HIN99" s="168"/>
      <c r="HIO99" s="167"/>
      <c r="HIP99" s="168"/>
      <c r="HIQ99" s="167"/>
      <c r="HIR99" s="168"/>
      <c r="HIS99" s="167"/>
      <c r="HIT99" s="168"/>
      <c r="HIU99" s="167"/>
      <c r="HIV99" s="168"/>
      <c r="HIW99" s="167"/>
      <c r="HIX99" s="168"/>
      <c r="HIY99" s="167"/>
      <c r="HIZ99" s="168"/>
      <c r="HJA99" s="167"/>
      <c r="HJB99" s="168"/>
      <c r="HJC99" s="167"/>
      <c r="HJD99" s="168"/>
      <c r="HJE99" s="167"/>
      <c r="HJF99" s="168"/>
      <c r="HJG99" s="167"/>
      <c r="HJH99" s="168"/>
      <c r="HJI99" s="167"/>
      <c r="HJJ99" s="168"/>
      <c r="HJK99" s="167"/>
      <c r="HJL99" s="168"/>
      <c r="HJM99" s="167"/>
      <c r="HJN99" s="168"/>
      <c r="HJO99" s="167"/>
      <c r="HJP99" s="168"/>
      <c r="HJQ99" s="167"/>
      <c r="HJR99" s="168"/>
      <c r="HJS99" s="167"/>
      <c r="HJT99" s="168"/>
      <c r="HJU99" s="167"/>
      <c r="HJV99" s="168"/>
      <c r="HJW99" s="167"/>
      <c r="HJX99" s="168"/>
      <c r="HJY99" s="167"/>
      <c r="HJZ99" s="168"/>
      <c r="HKA99" s="167"/>
      <c r="HKB99" s="168"/>
      <c r="HKC99" s="167"/>
      <c r="HKD99" s="168"/>
      <c r="HKE99" s="167"/>
      <c r="HKF99" s="168"/>
      <c r="HKG99" s="167"/>
      <c r="HKH99" s="168"/>
      <c r="HKI99" s="167"/>
      <c r="HKJ99" s="168"/>
      <c r="HKK99" s="167"/>
      <c r="HKL99" s="168"/>
      <c r="HKM99" s="167"/>
      <c r="HKN99" s="168"/>
      <c r="HKO99" s="167"/>
      <c r="HKP99" s="168"/>
      <c r="HKQ99" s="167"/>
      <c r="HKR99" s="168"/>
      <c r="HKS99" s="167"/>
      <c r="HKT99" s="168"/>
      <c r="HKU99" s="167"/>
      <c r="HKV99" s="168"/>
      <c r="HKW99" s="167"/>
      <c r="HKX99" s="168"/>
      <c r="HKY99" s="167"/>
      <c r="HKZ99" s="168"/>
      <c r="HLA99" s="167"/>
      <c r="HLB99" s="168"/>
      <c r="HLC99" s="167"/>
      <c r="HLD99" s="168"/>
      <c r="HLE99" s="167"/>
      <c r="HLF99" s="168"/>
      <c r="HLG99" s="167"/>
      <c r="HLH99" s="168"/>
      <c r="HLI99" s="167"/>
      <c r="HLJ99" s="168"/>
      <c r="HLK99" s="167"/>
      <c r="HLL99" s="168"/>
      <c r="HLM99" s="167"/>
      <c r="HLN99" s="168"/>
      <c r="HLO99" s="167"/>
      <c r="HLP99" s="168"/>
      <c r="HLQ99" s="167"/>
      <c r="HLR99" s="168"/>
      <c r="HLS99" s="167"/>
      <c r="HLT99" s="168"/>
      <c r="HLU99" s="167"/>
      <c r="HLV99" s="168"/>
      <c r="HLW99" s="167"/>
      <c r="HLX99" s="168"/>
      <c r="HLY99" s="167"/>
      <c r="HLZ99" s="168"/>
      <c r="HMA99" s="167"/>
      <c r="HMB99" s="168"/>
      <c r="HMC99" s="167"/>
      <c r="HMD99" s="168"/>
      <c r="HME99" s="167"/>
      <c r="HMF99" s="168"/>
      <c r="HMG99" s="167"/>
      <c r="HMH99" s="168"/>
      <c r="HMI99" s="167"/>
      <c r="HMJ99" s="168"/>
      <c r="HMK99" s="167"/>
      <c r="HML99" s="168"/>
      <c r="HMM99" s="167"/>
      <c r="HMN99" s="168"/>
      <c r="HMO99" s="167"/>
      <c r="HMP99" s="168"/>
      <c r="HMQ99" s="167"/>
      <c r="HMR99" s="168"/>
      <c r="HMS99" s="167"/>
      <c r="HMT99" s="168"/>
      <c r="HMU99" s="167"/>
      <c r="HMV99" s="168"/>
      <c r="HMW99" s="167"/>
      <c r="HMX99" s="168"/>
      <c r="HMY99" s="167"/>
      <c r="HMZ99" s="168"/>
      <c r="HNA99" s="167"/>
      <c r="HNB99" s="168"/>
      <c r="HNC99" s="167"/>
      <c r="HND99" s="168"/>
      <c r="HNE99" s="167"/>
      <c r="HNF99" s="168"/>
      <c r="HNG99" s="167"/>
      <c r="HNH99" s="168"/>
      <c r="HNI99" s="167"/>
      <c r="HNJ99" s="168"/>
      <c r="HNK99" s="167"/>
      <c r="HNL99" s="168"/>
      <c r="HNM99" s="167"/>
      <c r="HNN99" s="168"/>
      <c r="HNO99" s="167"/>
      <c r="HNP99" s="168"/>
      <c r="HNQ99" s="167"/>
      <c r="HNR99" s="168"/>
      <c r="HNS99" s="167"/>
      <c r="HNT99" s="168"/>
      <c r="HNU99" s="167"/>
      <c r="HNV99" s="168"/>
      <c r="HNW99" s="167"/>
      <c r="HNX99" s="168"/>
      <c r="HNY99" s="167"/>
      <c r="HNZ99" s="168"/>
      <c r="HOA99" s="167"/>
      <c r="HOB99" s="168"/>
      <c r="HOC99" s="167"/>
      <c r="HOD99" s="168"/>
      <c r="HOE99" s="167"/>
      <c r="HOF99" s="168"/>
      <c r="HOG99" s="167"/>
      <c r="HOH99" s="168"/>
      <c r="HOI99" s="167"/>
      <c r="HOJ99" s="168"/>
      <c r="HOK99" s="167"/>
      <c r="HOL99" s="168"/>
      <c r="HOM99" s="167"/>
      <c r="HON99" s="168"/>
      <c r="HOO99" s="167"/>
      <c r="HOP99" s="168"/>
      <c r="HOQ99" s="167"/>
      <c r="HOR99" s="168"/>
      <c r="HOS99" s="167"/>
      <c r="HOT99" s="168"/>
      <c r="HOU99" s="167"/>
      <c r="HOV99" s="168"/>
      <c r="HOW99" s="167"/>
      <c r="HOX99" s="168"/>
      <c r="HOY99" s="167"/>
      <c r="HOZ99" s="168"/>
      <c r="HPA99" s="167"/>
      <c r="HPB99" s="168"/>
      <c r="HPC99" s="167"/>
      <c r="HPD99" s="168"/>
      <c r="HPE99" s="167"/>
      <c r="HPF99" s="168"/>
      <c r="HPG99" s="167"/>
      <c r="HPH99" s="168"/>
      <c r="HPI99" s="167"/>
      <c r="HPJ99" s="168"/>
      <c r="HPK99" s="167"/>
      <c r="HPL99" s="168"/>
      <c r="HPM99" s="167"/>
      <c r="HPN99" s="168"/>
      <c r="HPO99" s="167"/>
      <c r="HPP99" s="168"/>
      <c r="HPQ99" s="167"/>
      <c r="HPR99" s="168"/>
      <c r="HPS99" s="167"/>
      <c r="HPT99" s="168"/>
      <c r="HPU99" s="167"/>
      <c r="HPV99" s="168"/>
      <c r="HPW99" s="167"/>
      <c r="HPX99" s="168"/>
      <c r="HPY99" s="167"/>
      <c r="HPZ99" s="168"/>
      <c r="HQA99" s="167"/>
      <c r="HQB99" s="168"/>
      <c r="HQC99" s="167"/>
      <c r="HQD99" s="168"/>
      <c r="HQE99" s="167"/>
      <c r="HQF99" s="168"/>
      <c r="HQG99" s="167"/>
      <c r="HQH99" s="168"/>
      <c r="HQI99" s="167"/>
      <c r="HQJ99" s="168"/>
      <c r="HQK99" s="167"/>
      <c r="HQL99" s="168"/>
      <c r="HQM99" s="167"/>
      <c r="HQN99" s="168"/>
      <c r="HQO99" s="167"/>
      <c r="HQP99" s="168"/>
      <c r="HQQ99" s="167"/>
      <c r="HQR99" s="168"/>
      <c r="HQS99" s="167"/>
      <c r="HQT99" s="168"/>
      <c r="HQU99" s="167"/>
      <c r="HQV99" s="168"/>
      <c r="HQW99" s="167"/>
      <c r="HQX99" s="168"/>
      <c r="HQY99" s="167"/>
      <c r="HQZ99" s="168"/>
      <c r="HRA99" s="167"/>
      <c r="HRB99" s="168"/>
      <c r="HRC99" s="167"/>
      <c r="HRD99" s="168"/>
      <c r="HRE99" s="167"/>
      <c r="HRF99" s="168"/>
      <c r="HRG99" s="167"/>
      <c r="HRH99" s="168"/>
      <c r="HRI99" s="167"/>
      <c r="HRJ99" s="168"/>
      <c r="HRK99" s="167"/>
      <c r="HRL99" s="168"/>
      <c r="HRM99" s="167"/>
      <c r="HRN99" s="168"/>
      <c r="HRO99" s="167"/>
      <c r="HRP99" s="168"/>
      <c r="HRQ99" s="167"/>
      <c r="HRR99" s="168"/>
      <c r="HRS99" s="167"/>
      <c r="HRT99" s="168"/>
      <c r="HRU99" s="167"/>
      <c r="HRV99" s="168"/>
      <c r="HRW99" s="167"/>
      <c r="HRX99" s="168"/>
      <c r="HRY99" s="167"/>
      <c r="HRZ99" s="168"/>
      <c r="HSA99" s="167"/>
      <c r="HSB99" s="168"/>
      <c r="HSC99" s="167"/>
      <c r="HSD99" s="168"/>
      <c r="HSE99" s="167"/>
      <c r="HSF99" s="168"/>
      <c r="HSG99" s="167"/>
      <c r="HSH99" s="168"/>
      <c r="HSI99" s="167"/>
      <c r="HSJ99" s="168"/>
      <c r="HSK99" s="167"/>
      <c r="HSL99" s="168"/>
      <c r="HSM99" s="167"/>
      <c r="HSN99" s="168"/>
      <c r="HSO99" s="167"/>
      <c r="HSP99" s="168"/>
      <c r="HSQ99" s="167"/>
      <c r="HSR99" s="168"/>
      <c r="HSS99" s="167"/>
      <c r="HST99" s="168"/>
      <c r="HSU99" s="167"/>
      <c r="HSV99" s="168"/>
      <c r="HSW99" s="167"/>
      <c r="HSX99" s="168"/>
      <c r="HSY99" s="167"/>
      <c r="HSZ99" s="168"/>
      <c r="HTA99" s="167"/>
      <c r="HTB99" s="168"/>
      <c r="HTC99" s="167"/>
      <c r="HTD99" s="168"/>
      <c r="HTE99" s="167"/>
      <c r="HTF99" s="168"/>
      <c r="HTG99" s="167"/>
      <c r="HTH99" s="168"/>
      <c r="HTI99" s="167"/>
      <c r="HTJ99" s="168"/>
      <c r="HTK99" s="167"/>
      <c r="HTL99" s="168"/>
      <c r="HTM99" s="167"/>
      <c r="HTN99" s="168"/>
      <c r="HTO99" s="167"/>
      <c r="HTP99" s="168"/>
      <c r="HTQ99" s="167"/>
      <c r="HTR99" s="168"/>
      <c r="HTS99" s="167"/>
      <c r="HTT99" s="168"/>
      <c r="HTU99" s="167"/>
      <c r="HTV99" s="168"/>
      <c r="HTW99" s="167"/>
      <c r="HTX99" s="168"/>
      <c r="HTY99" s="167"/>
      <c r="HTZ99" s="168"/>
      <c r="HUA99" s="167"/>
      <c r="HUB99" s="168"/>
      <c r="HUC99" s="167"/>
      <c r="HUD99" s="168"/>
      <c r="HUE99" s="167"/>
      <c r="HUF99" s="168"/>
      <c r="HUG99" s="167"/>
      <c r="HUH99" s="168"/>
      <c r="HUI99" s="167"/>
      <c r="HUJ99" s="168"/>
      <c r="HUK99" s="167"/>
      <c r="HUL99" s="168"/>
      <c r="HUM99" s="167"/>
      <c r="HUN99" s="168"/>
      <c r="HUO99" s="167"/>
      <c r="HUP99" s="168"/>
      <c r="HUQ99" s="167"/>
      <c r="HUR99" s="168"/>
      <c r="HUS99" s="167"/>
      <c r="HUT99" s="168"/>
      <c r="HUU99" s="167"/>
      <c r="HUV99" s="168"/>
      <c r="HUW99" s="167"/>
      <c r="HUX99" s="168"/>
      <c r="HUY99" s="167"/>
      <c r="HUZ99" s="168"/>
      <c r="HVA99" s="167"/>
      <c r="HVB99" s="168"/>
      <c r="HVC99" s="167"/>
      <c r="HVD99" s="168"/>
      <c r="HVE99" s="167"/>
      <c r="HVF99" s="168"/>
      <c r="HVG99" s="167"/>
      <c r="HVH99" s="168"/>
      <c r="HVI99" s="167"/>
      <c r="HVJ99" s="168"/>
      <c r="HVK99" s="167"/>
      <c r="HVL99" s="168"/>
      <c r="HVM99" s="167"/>
      <c r="HVN99" s="168"/>
      <c r="HVO99" s="167"/>
      <c r="HVP99" s="168"/>
      <c r="HVQ99" s="167"/>
      <c r="HVR99" s="168"/>
      <c r="HVS99" s="167"/>
      <c r="HVT99" s="168"/>
      <c r="HVU99" s="167"/>
      <c r="HVV99" s="168"/>
      <c r="HVW99" s="167"/>
      <c r="HVX99" s="168"/>
      <c r="HVY99" s="167"/>
      <c r="HVZ99" s="168"/>
      <c r="HWA99" s="167"/>
      <c r="HWB99" s="168"/>
      <c r="HWC99" s="167"/>
      <c r="HWD99" s="168"/>
      <c r="HWE99" s="167"/>
      <c r="HWF99" s="168"/>
      <c r="HWG99" s="167"/>
      <c r="HWH99" s="168"/>
      <c r="HWI99" s="167"/>
      <c r="HWJ99" s="168"/>
      <c r="HWK99" s="167"/>
      <c r="HWL99" s="168"/>
      <c r="HWM99" s="167"/>
      <c r="HWN99" s="168"/>
      <c r="HWO99" s="167"/>
      <c r="HWP99" s="168"/>
      <c r="HWQ99" s="167"/>
      <c r="HWR99" s="168"/>
      <c r="HWS99" s="167"/>
      <c r="HWT99" s="168"/>
      <c r="HWU99" s="167"/>
      <c r="HWV99" s="168"/>
      <c r="HWW99" s="167"/>
      <c r="HWX99" s="168"/>
      <c r="HWY99" s="167"/>
      <c r="HWZ99" s="168"/>
      <c r="HXA99" s="167"/>
      <c r="HXB99" s="168"/>
      <c r="HXC99" s="167"/>
      <c r="HXD99" s="168"/>
      <c r="HXE99" s="167"/>
      <c r="HXF99" s="168"/>
      <c r="HXG99" s="167"/>
      <c r="HXH99" s="168"/>
      <c r="HXI99" s="167"/>
      <c r="HXJ99" s="168"/>
      <c r="HXK99" s="167"/>
      <c r="HXL99" s="168"/>
      <c r="HXM99" s="167"/>
      <c r="HXN99" s="168"/>
      <c r="HXO99" s="167"/>
      <c r="HXP99" s="168"/>
      <c r="HXQ99" s="167"/>
      <c r="HXR99" s="168"/>
      <c r="HXS99" s="167"/>
      <c r="HXT99" s="168"/>
      <c r="HXU99" s="167"/>
      <c r="HXV99" s="168"/>
      <c r="HXW99" s="167"/>
      <c r="HXX99" s="168"/>
      <c r="HXY99" s="167"/>
      <c r="HXZ99" s="168"/>
      <c r="HYA99" s="167"/>
      <c r="HYB99" s="168"/>
      <c r="HYC99" s="167"/>
      <c r="HYD99" s="168"/>
      <c r="HYE99" s="167"/>
      <c r="HYF99" s="168"/>
      <c r="HYG99" s="167"/>
      <c r="HYH99" s="168"/>
      <c r="HYI99" s="167"/>
      <c r="HYJ99" s="168"/>
      <c r="HYK99" s="167"/>
      <c r="HYL99" s="168"/>
      <c r="HYM99" s="167"/>
      <c r="HYN99" s="168"/>
      <c r="HYO99" s="167"/>
      <c r="HYP99" s="168"/>
      <c r="HYQ99" s="167"/>
      <c r="HYR99" s="168"/>
      <c r="HYS99" s="167"/>
      <c r="HYT99" s="168"/>
      <c r="HYU99" s="167"/>
      <c r="HYV99" s="168"/>
      <c r="HYW99" s="167"/>
      <c r="HYX99" s="168"/>
      <c r="HYY99" s="167"/>
      <c r="HYZ99" s="168"/>
      <c r="HZA99" s="167"/>
      <c r="HZB99" s="168"/>
      <c r="HZC99" s="167"/>
      <c r="HZD99" s="168"/>
      <c r="HZE99" s="167"/>
      <c r="HZF99" s="168"/>
      <c r="HZG99" s="167"/>
      <c r="HZH99" s="168"/>
      <c r="HZI99" s="167"/>
      <c r="HZJ99" s="168"/>
      <c r="HZK99" s="167"/>
      <c r="HZL99" s="168"/>
      <c r="HZM99" s="167"/>
      <c r="HZN99" s="168"/>
      <c r="HZO99" s="167"/>
      <c r="HZP99" s="168"/>
      <c r="HZQ99" s="167"/>
      <c r="HZR99" s="168"/>
      <c r="HZS99" s="167"/>
      <c r="HZT99" s="168"/>
      <c r="HZU99" s="167"/>
      <c r="HZV99" s="168"/>
      <c r="HZW99" s="167"/>
      <c r="HZX99" s="168"/>
      <c r="HZY99" s="167"/>
      <c r="HZZ99" s="168"/>
      <c r="IAA99" s="167"/>
      <c r="IAB99" s="168"/>
      <c r="IAC99" s="167"/>
      <c r="IAD99" s="168"/>
      <c r="IAE99" s="167"/>
      <c r="IAF99" s="168"/>
      <c r="IAG99" s="167"/>
      <c r="IAH99" s="168"/>
      <c r="IAI99" s="167"/>
      <c r="IAJ99" s="168"/>
      <c r="IAK99" s="167"/>
      <c r="IAL99" s="168"/>
      <c r="IAM99" s="167"/>
      <c r="IAN99" s="168"/>
      <c r="IAO99" s="167"/>
      <c r="IAP99" s="168"/>
      <c r="IAQ99" s="167"/>
      <c r="IAR99" s="168"/>
      <c r="IAS99" s="167"/>
      <c r="IAT99" s="168"/>
      <c r="IAU99" s="167"/>
      <c r="IAV99" s="168"/>
      <c r="IAW99" s="167"/>
      <c r="IAX99" s="168"/>
      <c r="IAY99" s="167"/>
      <c r="IAZ99" s="168"/>
      <c r="IBA99" s="167"/>
      <c r="IBB99" s="168"/>
      <c r="IBC99" s="167"/>
      <c r="IBD99" s="168"/>
      <c r="IBE99" s="167"/>
      <c r="IBF99" s="168"/>
      <c r="IBG99" s="167"/>
      <c r="IBH99" s="168"/>
      <c r="IBI99" s="167"/>
      <c r="IBJ99" s="168"/>
      <c r="IBK99" s="167"/>
      <c r="IBL99" s="168"/>
      <c r="IBM99" s="167"/>
      <c r="IBN99" s="168"/>
      <c r="IBO99" s="167"/>
      <c r="IBP99" s="168"/>
      <c r="IBQ99" s="167"/>
      <c r="IBR99" s="168"/>
      <c r="IBS99" s="167"/>
      <c r="IBT99" s="168"/>
      <c r="IBU99" s="167"/>
      <c r="IBV99" s="168"/>
      <c r="IBW99" s="167"/>
      <c r="IBX99" s="168"/>
      <c r="IBY99" s="167"/>
      <c r="IBZ99" s="168"/>
      <c r="ICA99" s="167"/>
      <c r="ICB99" s="168"/>
      <c r="ICC99" s="167"/>
      <c r="ICD99" s="168"/>
      <c r="ICE99" s="167"/>
      <c r="ICF99" s="168"/>
      <c r="ICG99" s="167"/>
      <c r="ICH99" s="168"/>
      <c r="ICI99" s="167"/>
      <c r="ICJ99" s="168"/>
      <c r="ICK99" s="167"/>
      <c r="ICL99" s="168"/>
      <c r="ICM99" s="167"/>
      <c r="ICN99" s="168"/>
      <c r="ICO99" s="167"/>
      <c r="ICP99" s="168"/>
      <c r="ICQ99" s="167"/>
      <c r="ICR99" s="168"/>
      <c r="ICS99" s="167"/>
      <c r="ICT99" s="168"/>
      <c r="ICU99" s="167"/>
      <c r="ICV99" s="168"/>
      <c r="ICW99" s="167"/>
      <c r="ICX99" s="168"/>
      <c r="ICY99" s="167"/>
      <c r="ICZ99" s="168"/>
      <c r="IDA99" s="167"/>
      <c r="IDB99" s="168"/>
      <c r="IDC99" s="167"/>
      <c r="IDD99" s="168"/>
      <c r="IDE99" s="167"/>
      <c r="IDF99" s="168"/>
      <c r="IDG99" s="167"/>
      <c r="IDH99" s="168"/>
      <c r="IDI99" s="167"/>
      <c r="IDJ99" s="168"/>
      <c r="IDK99" s="167"/>
      <c r="IDL99" s="168"/>
      <c r="IDM99" s="167"/>
      <c r="IDN99" s="168"/>
      <c r="IDO99" s="167"/>
      <c r="IDP99" s="168"/>
      <c r="IDQ99" s="167"/>
      <c r="IDR99" s="168"/>
      <c r="IDS99" s="167"/>
      <c r="IDT99" s="168"/>
      <c r="IDU99" s="167"/>
      <c r="IDV99" s="168"/>
      <c r="IDW99" s="167"/>
      <c r="IDX99" s="168"/>
      <c r="IDY99" s="167"/>
      <c r="IDZ99" s="168"/>
      <c r="IEA99" s="167"/>
      <c r="IEB99" s="168"/>
      <c r="IEC99" s="167"/>
      <c r="IED99" s="168"/>
      <c r="IEE99" s="167"/>
      <c r="IEF99" s="168"/>
      <c r="IEG99" s="167"/>
      <c r="IEH99" s="168"/>
      <c r="IEI99" s="167"/>
      <c r="IEJ99" s="168"/>
      <c r="IEK99" s="167"/>
      <c r="IEL99" s="168"/>
      <c r="IEM99" s="167"/>
      <c r="IEN99" s="168"/>
      <c r="IEO99" s="167"/>
      <c r="IEP99" s="168"/>
      <c r="IEQ99" s="167"/>
      <c r="IER99" s="168"/>
      <c r="IES99" s="167"/>
      <c r="IET99" s="168"/>
      <c r="IEU99" s="167"/>
      <c r="IEV99" s="168"/>
      <c r="IEW99" s="167"/>
      <c r="IEX99" s="168"/>
      <c r="IEY99" s="167"/>
      <c r="IEZ99" s="168"/>
      <c r="IFA99" s="167"/>
      <c r="IFB99" s="168"/>
      <c r="IFC99" s="167"/>
      <c r="IFD99" s="168"/>
      <c r="IFE99" s="167"/>
      <c r="IFF99" s="168"/>
      <c r="IFG99" s="167"/>
      <c r="IFH99" s="168"/>
      <c r="IFI99" s="167"/>
      <c r="IFJ99" s="168"/>
      <c r="IFK99" s="167"/>
      <c r="IFL99" s="168"/>
      <c r="IFM99" s="167"/>
      <c r="IFN99" s="168"/>
      <c r="IFO99" s="167"/>
      <c r="IFP99" s="168"/>
      <c r="IFQ99" s="167"/>
      <c r="IFR99" s="168"/>
      <c r="IFS99" s="167"/>
      <c r="IFT99" s="168"/>
      <c r="IFU99" s="167"/>
      <c r="IFV99" s="168"/>
      <c r="IFW99" s="167"/>
      <c r="IFX99" s="168"/>
      <c r="IFY99" s="167"/>
      <c r="IFZ99" s="168"/>
      <c r="IGA99" s="167"/>
      <c r="IGB99" s="168"/>
      <c r="IGC99" s="167"/>
      <c r="IGD99" s="168"/>
      <c r="IGE99" s="167"/>
      <c r="IGF99" s="168"/>
      <c r="IGG99" s="167"/>
      <c r="IGH99" s="168"/>
      <c r="IGI99" s="167"/>
      <c r="IGJ99" s="168"/>
      <c r="IGK99" s="167"/>
      <c r="IGL99" s="168"/>
      <c r="IGM99" s="167"/>
      <c r="IGN99" s="168"/>
      <c r="IGO99" s="167"/>
      <c r="IGP99" s="168"/>
      <c r="IGQ99" s="167"/>
      <c r="IGR99" s="168"/>
      <c r="IGS99" s="167"/>
      <c r="IGT99" s="168"/>
      <c r="IGU99" s="167"/>
      <c r="IGV99" s="168"/>
      <c r="IGW99" s="167"/>
      <c r="IGX99" s="168"/>
      <c r="IGY99" s="167"/>
      <c r="IGZ99" s="168"/>
      <c r="IHA99" s="167"/>
      <c r="IHB99" s="168"/>
      <c r="IHC99" s="167"/>
      <c r="IHD99" s="168"/>
      <c r="IHE99" s="167"/>
      <c r="IHF99" s="168"/>
      <c r="IHG99" s="167"/>
      <c r="IHH99" s="168"/>
      <c r="IHI99" s="167"/>
      <c r="IHJ99" s="168"/>
      <c r="IHK99" s="167"/>
      <c r="IHL99" s="168"/>
      <c r="IHM99" s="167"/>
      <c r="IHN99" s="168"/>
      <c r="IHO99" s="167"/>
      <c r="IHP99" s="168"/>
      <c r="IHQ99" s="167"/>
      <c r="IHR99" s="168"/>
      <c r="IHS99" s="167"/>
      <c r="IHT99" s="168"/>
      <c r="IHU99" s="167"/>
      <c r="IHV99" s="168"/>
      <c r="IHW99" s="167"/>
      <c r="IHX99" s="168"/>
      <c r="IHY99" s="167"/>
      <c r="IHZ99" s="168"/>
      <c r="IIA99" s="167"/>
      <c r="IIB99" s="168"/>
      <c r="IIC99" s="167"/>
      <c r="IID99" s="168"/>
      <c r="IIE99" s="167"/>
      <c r="IIF99" s="168"/>
      <c r="IIG99" s="167"/>
      <c r="IIH99" s="168"/>
      <c r="III99" s="167"/>
      <c r="IIJ99" s="168"/>
      <c r="IIK99" s="167"/>
      <c r="IIL99" s="168"/>
      <c r="IIM99" s="167"/>
      <c r="IIN99" s="168"/>
      <c r="IIO99" s="167"/>
      <c r="IIP99" s="168"/>
      <c r="IIQ99" s="167"/>
      <c r="IIR99" s="168"/>
      <c r="IIS99" s="167"/>
      <c r="IIT99" s="168"/>
      <c r="IIU99" s="167"/>
      <c r="IIV99" s="168"/>
      <c r="IIW99" s="167"/>
      <c r="IIX99" s="168"/>
      <c r="IIY99" s="167"/>
      <c r="IIZ99" s="168"/>
      <c r="IJA99" s="167"/>
      <c r="IJB99" s="168"/>
      <c r="IJC99" s="167"/>
      <c r="IJD99" s="168"/>
      <c r="IJE99" s="167"/>
      <c r="IJF99" s="168"/>
      <c r="IJG99" s="167"/>
      <c r="IJH99" s="168"/>
      <c r="IJI99" s="167"/>
      <c r="IJJ99" s="168"/>
      <c r="IJK99" s="167"/>
      <c r="IJL99" s="168"/>
      <c r="IJM99" s="167"/>
      <c r="IJN99" s="168"/>
      <c r="IJO99" s="167"/>
      <c r="IJP99" s="168"/>
      <c r="IJQ99" s="167"/>
      <c r="IJR99" s="168"/>
      <c r="IJS99" s="167"/>
      <c r="IJT99" s="168"/>
      <c r="IJU99" s="167"/>
      <c r="IJV99" s="168"/>
      <c r="IJW99" s="167"/>
      <c r="IJX99" s="168"/>
      <c r="IJY99" s="167"/>
      <c r="IJZ99" s="168"/>
      <c r="IKA99" s="167"/>
      <c r="IKB99" s="168"/>
      <c r="IKC99" s="167"/>
      <c r="IKD99" s="168"/>
      <c r="IKE99" s="167"/>
      <c r="IKF99" s="168"/>
      <c r="IKG99" s="167"/>
      <c r="IKH99" s="168"/>
      <c r="IKI99" s="167"/>
      <c r="IKJ99" s="168"/>
      <c r="IKK99" s="167"/>
      <c r="IKL99" s="168"/>
      <c r="IKM99" s="167"/>
      <c r="IKN99" s="168"/>
      <c r="IKO99" s="167"/>
      <c r="IKP99" s="168"/>
      <c r="IKQ99" s="167"/>
      <c r="IKR99" s="168"/>
      <c r="IKS99" s="167"/>
      <c r="IKT99" s="168"/>
      <c r="IKU99" s="167"/>
      <c r="IKV99" s="168"/>
      <c r="IKW99" s="167"/>
      <c r="IKX99" s="168"/>
      <c r="IKY99" s="167"/>
      <c r="IKZ99" s="168"/>
      <c r="ILA99" s="167"/>
      <c r="ILB99" s="168"/>
      <c r="ILC99" s="167"/>
      <c r="ILD99" s="168"/>
      <c r="ILE99" s="167"/>
      <c r="ILF99" s="168"/>
      <c r="ILG99" s="167"/>
      <c r="ILH99" s="168"/>
      <c r="ILI99" s="167"/>
      <c r="ILJ99" s="168"/>
      <c r="ILK99" s="167"/>
      <c r="ILL99" s="168"/>
      <c r="ILM99" s="167"/>
      <c r="ILN99" s="168"/>
      <c r="ILO99" s="167"/>
      <c r="ILP99" s="168"/>
      <c r="ILQ99" s="167"/>
      <c r="ILR99" s="168"/>
      <c r="ILS99" s="167"/>
      <c r="ILT99" s="168"/>
      <c r="ILU99" s="167"/>
      <c r="ILV99" s="168"/>
      <c r="ILW99" s="167"/>
      <c r="ILX99" s="168"/>
      <c r="ILY99" s="167"/>
      <c r="ILZ99" s="168"/>
      <c r="IMA99" s="167"/>
      <c r="IMB99" s="168"/>
      <c r="IMC99" s="167"/>
      <c r="IMD99" s="168"/>
      <c r="IME99" s="167"/>
      <c r="IMF99" s="168"/>
      <c r="IMG99" s="167"/>
      <c r="IMH99" s="168"/>
      <c r="IMI99" s="167"/>
      <c r="IMJ99" s="168"/>
      <c r="IMK99" s="167"/>
      <c r="IML99" s="168"/>
      <c r="IMM99" s="167"/>
      <c r="IMN99" s="168"/>
      <c r="IMO99" s="167"/>
      <c r="IMP99" s="168"/>
      <c r="IMQ99" s="167"/>
      <c r="IMR99" s="168"/>
      <c r="IMS99" s="167"/>
      <c r="IMT99" s="168"/>
      <c r="IMU99" s="167"/>
      <c r="IMV99" s="168"/>
      <c r="IMW99" s="167"/>
      <c r="IMX99" s="168"/>
      <c r="IMY99" s="167"/>
      <c r="IMZ99" s="168"/>
      <c r="INA99" s="167"/>
      <c r="INB99" s="168"/>
      <c r="INC99" s="167"/>
      <c r="IND99" s="168"/>
      <c r="INE99" s="167"/>
      <c r="INF99" s="168"/>
      <c r="ING99" s="167"/>
      <c r="INH99" s="168"/>
      <c r="INI99" s="167"/>
      <c r="INJ99" s="168"/>
      <c r="INK99" s="167"/>
      <c r="INL99" s="168"/>
      <c r="INM99" s="167"/>
      <c r="INN99" s="168"/>
      <c r="INO99" s="167"/>
      <c r="INP99" s="168"/>
      <c r="INQ99" s="167"/>
      <c r="INR99" s="168"/>
      <c r="INS99" s="167"/>
      <c r="INT99" s="168"/>
      <c r="INU99" s="167"/>
      <c r="INV99" s="168"/>
      <c r="INW99" s="167"/>
      <c r="INX99" s="168"/>
      <c r="INY99" s="167"/>
      <c r="INZ99" s="168"/>
      <c r="IOA99" s="167"/>
      <c r="IOB99" s="168"/>
      <c r="IOC99" s="167"/>
      <c r="IOD99" s="168"/>
      <c r="IOE99" s="167"/>
      <c r="IOF99" s="168"/>
      <c r="IOG99" s="167"/>
      <c r="IOH99" s="168"/>
      <c r="IOI99" s="167"/>
      <c r="IOJ99" s="168"/>
      <c r="IOK99" s="167"/>
      <c r="IOL99" s="168"/>
      <c r="IOM99" s="167"/>
      <c r="ION99" s="168"/>
      <c r="IOO99" s="167"/>
      <c r="IOP99" s="168"/>
      <c r="IOQ99" s="167"/>
      <c r="IOR99" s="168"/>
      <c r="IOS99" s="167"/>
      <c r="IOT99" s="168"/>
      <c r="IOU99" s="167"/>
      <c r="IOV99" s="168"/>
      <c r="IOW99" s="167"/>
      <c r="IOX99" s="168"/>
      <c r="IOY99" s="167"/>
      <c r="IOZ99" s="168"/>
      <c r="IPA99" s="167"/>
      <c r="IPB99" s="168"/>
      <c r="IPC99" s="167"/>
      <c r="IPD99" s="168"/>
      <c r="IPE99" s="167"/>
      <c r="IPF99" s="168"/>
      <c r="IPG99" s="167"/>
      <c r="IPH99" s="168"/>
      <c r="IPI99" s="167"/>
      <c r="IPJ99" s="168"/>
      <c r="IPK99" s="167"/>
      <c r="IPL99" s="168"/>
      <c r="IPM99" s="167"/>
      <c r="IPN99" s="168"/>
      <c r="IPO99" s="167"/>
      <c r="IPP99" s="168"/>
      <c r="IPQ99" s="167"/>
      <c r="IPR99" s="168"/>
      <c r="IPS99" s="167"/>
      <c r="IPT99" s="168"/>
      <c r="IPU99" s="167"/>
      <c r="IPV99" s="168"/>
      <c r="IPW99" s="167"/>
      <c r="IPX99" s="168"/>
      <c r="IPY99" s="167"/>
      <c r="IPZ99" s="168"/>
      <c r="IQA99" s="167"/>
      <c r="IQB99" s="168"/>
      <c r="IQC99" s="167"/>
      <c r="IQD99" s="168"/>
      <c r="IQE99" s="167"/>
      <c r="IQF99" s="168"/>
      <c r="IQG99" s="167"/>
      <c r="IQH99" s="168"/>
      <c r="IQI99" s="167"/>
      <c r="IQJ99" s="168"/>
      <c r="IQK99" s="167"/>
      <c r="IQL99" s="168"/>
      <c r="IQM99" s="167"/>
      <c r="IQN99" s="168"/>
      <c r="IQO99" s="167"/>
      <c r="IQP99" s="168"/>
      <c r="IQQ99" s="167"/>
      <c r="IQR99" s="168"/>
      <c r="IQS99" s="167"/>
      <c r="IQT99" s="168"/>
      <c r="IQU99" s="167"/>
      <c r="IQV99" s="168"/>
      <c r="IQW99" s="167"/>
      <c r="IQX99" s="168"/>
      <c r="IQY99" s="167"/>
      <c r="IQZ99" s="168"/>
      <c r="IRA99" s="167"/>
      <c r="IRB99" s="168"/>
      <c r="IRC99" s="167"/>
      <c r="IRD99" s="168"/>
      <c r="IRE99" s="167"/>
      <c r="IRF99" s="168"/>
      <c r="IRG99" s="167"/>
      <c r="IRH99" s="168"/>
      <c r="IRI99" s="167"/>
      <c r="IRJ99" s="168"/>
      <c r="IRK99" s="167"/>
      <c r="IRL99" s="168"/>
      <c r="IRM99" s="167"/>
      <c r="IRN99" s="168"/>
      <c r="IRO99" s="167"/>
      <c r="IRP99" s="168"/>
      <c r="IRQ99" s="167"/>
      <c r="IRR99" s="168"/>
      <c r="IRS99" s="167"/>
      <c r="IRT99" s="168"/>
      <c r="IRU99" s="167"/>
      <c r="IRV99" s="168"/>
      <c r="IRW99" s="167"/>
      <c r="IRX99" s="168"/>
      <c r="IRY99" s="167"/>
      <c r="IRZ99" s="168"/>
      <c r="ISA99" s="167"/>
      <c r="ISB99" s="168"/>
      <c r="ISC99" s="167"/>
      <c r="ISD99" s="168"/>
      <c r="ISE99" s="167"/>
      <c r="ISF99" s="168"/>
      <c r="ISG99" s="167"/>
      <c r="ISH99" s="168"/>
      <c r="ISI99" s="167"/>
      <c r="ISJ99" s="168"/>
      <c r="ISK99" s="167"/>
      <c r="ISL99" s="168"/>
      <c r="ISM99" s="167"/>
      <c r="ISN99" s="168"/>
      <c r="ISO99" s="167"/>
      <c r="ISP99" s="168"/>
      <c r="ISQ99" s="167"/>
      <c r="ISR99" s="168"/>
      <c r="ISS99" s="167"/>
      <c r="IST99" s="168"/>
      <c r="ISU99" s="167"/>
      <c r="ISV99" s="168"/>
      <c r="ISW99" s="167"/>
      <c r="ISX99" s="168"/>
      <c r="ISY99" s="167"/>
      <c r="ISZ99" s="168"/>
      <c r="ITA99" s="167"/>
      <c r="ITB99" s="168"/>
      <c r="ITC99" s="167"/>
      <c r="ITD99" s="168"/>
      <c r="ITE99" s="167"/>
      <c r="ITF99" s="168"/>
      <c r="ITG99" s="167"/>
      <c r="ITH99" s="168"/>
      <c r="ITI99" s="167"/>
      <c r="ITJ99" s="168"/>
      <c r="ITK99" s="167"/>
      <c r="ITL99" s="168"/>
      <c r="ITM99" s="167"/>
      <c r="ITN99" s="168"/>
      <c r="ITO99" s="167"/>
      <c r="ITP99" s="168"/>
      <c r="ITQ99" s="167"/>
      <c r="ITR99" s="168"/>
      <c r="ITS99" s="167"/>
      <c r="ITT99" s="168"/>
      <c r="ITU99" s="167"/>
      <c r="ITV99" s="168"/>
      <c r="ITW99" s="167"/>
      <c r="ITX99" s="168"/>
      <c r="ITY99" s="167"/>
      <c r="ITZ99" s="168"/>
      <c r="IUA99" s="167"/>
      <c r="IUB99" s="168"/>
      <c r="IUC99" s="167"/>
      <c r="IUD99" s="168"/>
      <c r="IUE99" s="167"/>
      <c r="IUF99" s="168"/>
      <c r="IUG99" s="167"/>
      <c r="IUH99" s="168"/>
      <c r="IUI99" s="167"/>
      <c r="IUJ99" s="168"/>
      <c r="IUK99" s="167"/>
      <c r="IUL99" s="168"/>
      <c r="IUM99" s="167"/>
      <c r="IUN99" s="168"/>
      <c r="IUO99" s="167"/>
      <c r="IUP99" s="168"/>
      <c r="IUQ99" s="167"/>
      <c r="IUR99" s="168"/>
      <c r="IUS99" s="167"/>
      <c r="IUT99" s="168"/>
      <c r="IUU99" s="167"/>
      <c r="IUV99" s="168"/>
      <c r="IUW99" s="167"/>
      <c r="IUX99" s="168"/>
      <c r="IUY99" s="167"/>
      <c r="IUZ99" s="168"/>
      <c r="IVA99" s="167"/>
      <c r="IVB99" s="168"/>
      <c r="IVC99" s="167"/>
      <c r="IVD99" s="168"/>
      <c r="IVE99" s="167"/>
      <c r="IVF99" s="168"/>
      <c r="IVG99" s="167"/>
      <c r="IVH99" s="168"/>
      <c r="IVI99" s="167"/>
      <c r="IVJ99" s="168"/>
      <c r="IVK99" s="167"/>
      <c r="IVL99" s="168"/>
      <c r="IVM99" s="167"/>
      <c r="IVN99" s="168"/>
      <c r="IVO99" s="167"/>
      <c r="IVP99" s="168"/>
      <c r="IVQ99" s="167"/>
      <c r="IVR99" s="168"/>
      <c r="IVS99" s="167"/>
      <c r="IVT99" s="168"/>
      <c r="IVU99" s="167"/>
      <c r="IVV99" s="168"/>
      <c r="IVW99" s="167"/>
      <c r="IVX99" s="168"/>
      <c r="IVY99" s="167"/>
      <c r="IVZ99" s="168"/>
      <c r="IWA99" s="167"/>
      <c r="IWB99" s="168"/>
      <c r="IWC99" s="167"/>
      <c r="IWD99" s="168"/>
      <c r="IWE99" s="167"/>
      <c r="IWF99" s="168"/>
      <c r="IWG99" s="167"/>
      <c r="IWH99" s="168"/>
      <c r="IWI99" s="167"/>
      <c r="IWJ99" s="168"/>
      <c r="IWK99" s="167"/>
      <c r="IWL99" s="168"/>
      <c r="IWM99" s="167"/>
      <c r="IWN99" s="168"/>
      <c r="IWO99" s="167"/>
      <c r="IWP99" s="168"/>
      <c r="IWQ99" s="167"/>
      <c r="IWR99" s="168"/>
      <c r="IWS99" s="167"/>
      <c r="IWT99" s="168"/>
      <c r="IWU99" s="167"/>
      <c r="IWV99" s="168"/>
      <c r="IWW99" s="167"/>
      <c r="IWX99" s="168"/>
      <c r="IWY99" s="167"/>
      <c r="IWZ99" s="168"/>
      <c r="IXA99" s="167"/>
      <c r="IXB99" s="168"/>
      <c r="IXC99" s="167"/>
      <c r="IXD99" s="168"/>
      <c r="IXE99" s="167"/>
      <c r="IXF99" s="168"/>
      <c r="IXG99" s="167"/>
      <c r="IXH99" s="168"/>
      <c r="IXI99" s="167"/>
      <c r="IXJ99" s="168"/>
      <c r="IXK99" s="167"/>
      <c r="IXL99" s="168"/>
      <c r="IXM99" s="167"/>
      <c r="IXN99" s="168"/>
      <c r="IXO99" s="167"/>
      <c r="IXP99" s="168"/>
      <c r="IXQ99" s="167"/>
      <c r="IXR99" s="168"/>
      <c r="IXS99" s="167"/>
      <c r="IXT99" s="168"/>
      <c r="IXU99" s="167"/>
      <c r="IXV99" s="168"/>
      <c r="IXW99" s="167"/>
      <c r="IXX99" s="168"/>
      <c r="IXY99" s="167"/>
      <c r="IXZ99" s="168"/>
      <c r="IYA99" s="167"/>
      <c r="IYB99" s="168"/>
      <c r="IYC99" s="167"/>
      <c r="IYD99" s="168"/>
      <c r="IYE99" s="167"/>
      <c r="IYF99" s="168"/>
      <c r="IYG99" s="167"/>
      <c r="IYH99" s="168"/>
      <c r="IYI99" s="167"/>
      <c r="IYJ99" s="168"/>
      <c r="IYK99" s="167"/>
      <c r="IYL99" s="168"/>
      <c r="IYM99" s="167"/>
      <c r="IYN99" s="168"/>
      <c r="IYO99" s="167"/>
      <c r="IYP99" s="168"/>
      <c r="IYQ99" s="167"/>
      <c r="IYR99" s="168"/>
      <c r="IYS99" s="167"/>
      <c r="IYT99" s="168"/>
      <c r="IYU99" s="167"/>
      <c r="IYV99" s="168"/>
      <c r="IYW99" s="167"/>
      <c r="IYX99" s="168"/>
      <c r="IYY99" s="167"/>
      <c r="IYZ99" s="168"/>
      <c r="IZA99" s="167"/>
      <c r="IZB99" s="168"/>
      <c r="IZC99" s="167"/>
      <c r="IZD99" s="168"/>
      <c r="IZE99" s="167"/>
      <c r="IZF99" s="168"/>
      <c r="IZG99" s="167"/>
      <c r="IZH99" s="168"/>
      <c r="IZI99" s="167"/>
      <c r="IZJ99" s="168"/>
      <c r="IZK99" s="167"/>
      <c r="IZL99" s="168"/>
      <c r="IZM99" s="167"/>
      <c r="IZN99" s="168"/>
      <c r="IZO99" s="167"/>
      <c r="IZP99" s="168"/>
      <c r="IZQ99" s="167"/>
      <c r="IZR99" s="168"/>
      <c r="IZS99" s="167"/>
      <c r="IZT99" s="168"/>
      <c r="IZU99" s="167"/>
      <c r="IZV99" s="168"/>
      <c r="IZW99" s="167"/>
      <c r="IZX99" s="168"/>
      <c r="IZY99" s="167"/>
      <c r="IZZ99" s="168"/>
      <c r="JAA99" s="167"/>
      <c r="JAB99" s="168"/>
      <c r="JAC99" s="167"/>
      <c r="JAD99" s="168"/>
      <c r="JAE99" s="167"/>
      <c r="JAF99" s="168"/>
      <c r="JAG99" s="167"/>
      <c r="JAH99" s="168"/>
      <c r="JAI99" s="167"/>
      <c r="JAJ99" s="168"/>
      <c r="JAK99" s="167"/>
      <c r="JAL99" s="168"/>
      <c r="JAM99" s="167"/>
      <c r="JAN99" s="168"/>
      <c r="JAO99" s="167"/>
      <c r="JAP99" s="168"/>
      <c r="JAQ99" s="167"/>
      <c r="JAR99" s="168"/>
      <c r="JAS99" s="167"/>
      <c r="JAT99" s="168"/>
      <c r="JAU99" s="167"/>
      <c r="JAV99" s="168"/>
      <c r="JAW99" s="167"/>
      <c r="JAX99" s="168"/>
      <c r="JAY99" s="167"/>
      <c r="JAZ99" s="168"/>
      <c r="JBA99" s="167"/>
      <c r="JBB99" s="168"/>
      <c r="JBC99" s="167"/>
      <c r="JBD99" s="168"/>
      <c r="JBE99" s="167"/>
      <c r="JBF99" s="168"/>
      <c r="JBG99" s="167"/>
      <c r="JBH99" s="168"/>
      <c r="JBI99" s="167"/>
      <c r="JBJ99" s="168"/>
      <c r="JBK99" s="167"/>
      <c r="JBL99" s="168"/>
      <c r="JBM99" s="167"/>
      <c r="JBN99" s="168"/>
      <c r="JBO99" s="167"/>
      <c r="JBP99" s="168"/>
      <c r="JBQ99" s="167"/>
      <c r="JBR99" s="168"/>
      <c r="JBS99" s="167"/>
      <c r="JBT99" s="168"/>
      <c r="JBU99" s="167"/>
      <c r="JBV99" s="168"/>
      <c r="JBW99" s="167"/>
      <c r="JBX99" s="168"/>
      <c r="JBY99" s="167"/>
      <c r="JBZ99" s="168"/>
      <c r="JCA99" s="167"/>
      <c r="JCB99" s="168"/>
      <c r="JCC99" s="167"/>
      <c r="JCD99" s="168"/>
      <c r="JCE99" s="167"/>
      <c r="JCF99" s="168"/>
      <c r="JCG99" s="167"/>
      <c r="JCH99" s="168"/>
      <c r="JCI99" s="167"/>
      <c r="JCJ99" s="168"/>
      <c r="JCK99" s="167"/>
      <c r="JCL99" s="168"/>
      <c r="JCM99" s="167"/>
      <c r="JCN99" s="168"/>
      <c r="JCO99" s="167"/>
      <c r="JCP99" s="168"/>
      <c r="JCQ99" s="167"/>
      <c r="JCR99" s="168"/>
      <c r="JCS99" s="167"/>
      <c r="JCT99" s="168"/>
      <c r="JCU99" s="167"/>
      <c r="JCV99" s="168"/>
      <c r="JCW99" s="167"/>
      <c r="JCX99" s="168"/>
      <c r="JCY99" s="167"/>
      <c r="JCZ99" s="168"/>
      <c r="JDA99" s="167"/>
      <c r="JDB99" s="168"/>
      <c r="JDC99" s="167"/>
      <c r="JDD99" s="168"/>
      <c r="JDE99" s="167"/>
      <c r="JDF99" s="168"/>
      <c r="JDG99" s="167"/>
      <c r="JDH99" s="168"/>
      <c r="JDI99" s="167"/>
      <c r="JDJ99" s="168"/>
      <c r="JDK99" s="167"/>
      <c r="JDL99" s="168"/>
      <c r="JDM99" s="167"/>
      <c r="JDN99" s="168"/>
      <c r="JDO99" s="167"/>
      <c r="JDP99" s="168"/>
      <c r="JDQ99" s="167"/>
      <c r="JDR99" s="168"/>
      <c r="JDS99" s="167"/>
      <c r="JDT99" s="168"/>
      <c r="JDU99" s="167"/>
      <c r="JDV99" s="168"/>
      <c r="JDW99" s="167"/>
      <c r="JDX99" s="168"/>
      <c r="JDY99" s="167"/>
      <c r="JDZ99" s="168"/>
      <c r="JEA99" s="167"/>
      <c r="JEB99" s="168"/>
      <c r="JEC99" s="167"/>
      <c r="JED99" s="168"/>
      <c r="JEE99" s="167"/>
      <c r="JEF99" s="168"/>
      <c r="JEG99" s="167"/>
      <c r="JEH99" s="168"/>
      <c r="JEI99" s="167"/>
      <c r="JEJ99" s="168"/>
      <c r="JEK99" s="167"/>
      <c r="JEL99" s="168"/>
      <c r="JEM99" s="167"/>
      <c r="JEN99" s="168"/>
      <c r="JEO99" s="167"/>
      <c r="JEP99" s="168"/>
      <c r="JEQ99" s="167"/>
      <c r="JER99" s="168"/>
      <c r="JES99" s="167"/>
      <c r="JET99" s="168"/>
      <c r="JEU99" s="167"/>
      <c r="JEV99" s="168"/>
      <c r="JEW99" s="167"/>
      <c r="JEX99" s="168"/>
      <c r="JEY99" s="167"/>
      <c r="JEZ99" s="168"/>
      <c r="JFA99" s="167"/>
      <c r="JFB99" s="168"/>
      <c r="JFC99" s="167"/>
      <c r="JFD99" s="168"/>
      <c r="JFE99" s="167"/>
      <c r="JFF99" s="168"/>
      <c r="JFG99" s="167"/>
      <c r="JFH99" s="168"/>
      <c r="JFI99" s="167"/>
      <c r="JFJ99" s="168"/>
      <c r="JFK99" s="167"/>
      <c r="JFL99" s="168"/>
      <c r="JFM99" s="167"/>
      <c r="JFN99" s="168"/>
      <c r="JFO99" s="167"/>
      <c r="JFP99" s="168"/>
      <c r="JFQ99" s="167"/>
      <c r="JFR99" s="168"/>
      <c r="JFS99" s="167"/>
      <c r="JFT99" s="168"/>
      <c r="JFU99" s="167"/>
      <c r="JFV99" s="168"/>
      <c r="JFW99" s="167"/>
      <c r="JFX99" s="168"/>
      <c r="JFY99" s="167"/>
      <c r="JFZ99" s="168"/>
      <c r="JGA99" s="167"/>
      <c r="JGB99" s="168"/>
      <c r="JGC99" s="167"/>
      <c r="JGD99" s="168"/>
      <c r="JGE99" s="167"/>
      <c r="JGF99" s="168"/>
      <c r="JGG99" s="167"/>
      <c r="JGH99" s="168"/>
      <c r="JGI99" s="167"/>
      <c r="JGJ99" s="168"/>
      <c r="JGK99" s="167"/>
      <c r="JGL99" s="168"/>
      <c r="JGM99" s="167"/>
      <c r="JGN99" s="168"/>
      <c r="JGO99" s="167"/>
      <c r="JGP99" s="168"/>
      <c r="JGQ99" s="167"/>
      <c r="JGR99" s="168"/>
      <c r="JGS99" s="167"/>
      <c r="JGT99" s="168"/>
      <c r="JGU99" s="167"/>
      <c r="JGV99" s="168"/>
      <c r="JGW99" s="167"/>
      <c r="JGX99" s="168"/>
      <c r="JGY99" s="167"/>
      <c r="JGZ99" s="168"/>
      <c r="JHA99" s="167"/>
      <c r="JHB99" s="168"/>
      <c r="JHC99" s="167"/>
      <c r="JHD99" s="168"/>
      <c r="JHE99" s="167"/>
      <c r="JHF99" s="168"/>
      <c r="JHG99" s="167"/>
      <c r="JHH99" s="168"/>
      <c r="JHI99" s="167"/>
      <c r="JHJ99" s="168"/>
      <c r="JHK99" s="167"/>
      <c r="JHL99" s="168"/>
      <c r="JHM99" s="167"/>
      <c r="JHN99" s="168"/>
      <c r="JHO99" s="167"/>
      <c r="JHP99" s="168"/>
      <c r="JHQ99" s="167"/>
      <c r="JHR99" s="168"/>
      <c r="JHS99" s="167"/>
      <c r="JHT99" s="168"/>
      <c r="JHU99" s="167"/>
      <c r="JHV99" s="168"/>
      <c r="JHW99" s="167"/>
      <c r="JHX99" s="168"/>
      <c r="JHY99" s="167"/>
      <c r="JHZ99" s="168"/>
      <c r="JIA99" s="167"/>
      <c r="JIB99" s="168"/>
      <c r="JIC99" s="167"/>
      <c r="JID99" s="168"/>
      <c r="JIE99" s="167"/>
      <c r="JIF99" s="168"/>
      <c r="JIG99" s="167"/>
      <c r="JIH99" s="168"/>
      <c r="JII99" s="167"/>
      <c r="JIJ99" s="168"/>
      <c r="JIK99" s="167"/>
      <c r="JIL99" s="168"/>
      <c r="JIM99" s="167"/>
      <c r="JIN99" s="168"/>
      <c r="JIO99" s="167"/>
      <c r="JIP99" s="168"/>
      <c r="JIQ99" s="167"/>
      <c r="JIR99" s="168"/>
      <c r="JIS99" s="167"/>
      <c r="JIT99" s="168"/>
      <c r="JIU99" s="167"/>
      <c r="JIV99" s="168"/>
      <c r="JIW99" s="167"/>
      <c r="JIX99" s="168"/>
      <c r="JIY99" s="167"/>
      <c r="JIZ99" s="168"/>
      <c r="JJA99" s="167"/>
      <c r="JJB99" s="168"/>
      <c r="JJC99" s="167"/>
      <c r="JJD99" s="168"/>
      <c r="JJE99" s="167"/>
      <c r="JJF99" s="168"/>
      <c r="JJG99" s="167"/>
      <c r="JJH99" s="168"/>
      <c r="JJI99" s="167"/>
      <c r="JJJ99" s="168"/>
      <c r="JJK99" s="167"/>
      <c r="JJL99" s="168"/>
      <c r="JJM99" s="167"/>
      <c r="JJN99" s="168"/>
      <c r="JJO99" s="167"/>
      <c r="JJP99" s="168"/>
      <c r="JJQ99" s="167"/>
      <c r="JJR99" s="168"/>
      <c r="JJS99" s="167"/>
      <c r="JJT99" s="168"/>
      <c r="JJU99" s="167"/>
      <c r="JJV99" s="168"/>
      <c r="JJW99" s="167"/>
      <c r="JJX99" s="168"/>
      <c r="JJY99" s="167"/>
      <c r="JJZ99" s="168"/>
      <c r="JKA99" s="167"/>
      <c r="JKB99" s="168"/>
      <c r="JKC99" s="167"/>
      <c r="JKD99" s="168"/>
      <c r="JKE99" s="167"/>
      <c r="JKF99" s="168"/>
      <c r="JKG99" s="167"/>
      <c r="JKH99" s="168"/>
      <c r="JKI99" s="167"/>
      <c r="JKJ99" s="168"/>
      <c r="JKK99" s="167"/>
      <c r="JKL99" s="168"/>
      <c r="JKM99" s="167"/>
      <c r="JKN99" s="168"/>
      <c r="JKO99" s="167"/>
      <c r="JKP99" s="168"/>
      <c r="JKQ99" s="167"/>
      <c r="JKR99" s="168"/>
      <c r="JKS99" s="167"/>
      <c r="JKT99" s="168"/>
      <c r="JKU99" s="167"/>
      <c r="JKV99" s="168"/>
      <c r="JKW99" s="167"/>
      <c r="JKX99" s="168"/>
      <c r="JKY99" s="167"/>
      <c r="JKZ99" s="168"/>
      <c r="JLA99" s="167"/>
      <c r="JLB99" s="168"/>
      <c r="JLC99" s="167"/>
      <c r="JLD99" s="168"/>
      <c r="JLE99" s="167"/>
      <c r="JLF99" s="168"/>
      <c r="JLG99" s="167"/>
      <c r="JLH99" s="168"/>
      <c r="JLI99" s="167"/>
      <c r="JLJ99" s="168"/>
      <c r="JLK99" s="167"/>
      <c r="JLL99" s="168"/>
      <c r="JLM99" s="167"/>
      <c r="JLN99" s="168"/>
      <c r="JLO99" s="167"/>
      <c r="JLP99" s="168"/>
      <c r="JLQ99" s="167"/>
      <c r="JLR99" s="168"/>
      <c r="JLS99" s="167"/>
      <c r="JLT99" s="168"/>
      <c r="JLU99" s="167"/>
      <c r="JLV99" s="168"/>
      <c r="JLW99" s="167"/>
      <c r="JLX99" s="168"/>
      <c r="JLY99" s="167"/>
      <c r="JLZ99" s="168"/>
      <c r="JMA99" s="167"/>
      <c r="JMB99" s="168"/>
      <c r="JMC99" s="167"/>
      <c r="JMD99" s="168"/>
      <c r="JME99" s="167"/>
      <c r="JMF99" s="168"/>
      <c r="JMG99" s="167"/>
      <c r="JMH99" s="168"/>
      <c r="JMI99" s="167"/>
      <c r="JMJ99" s="168"/>
      <c r="JMK99" s="167"/>
      <c r="JML99" s="168"/>
      <c r="JMM99" s="167"/>
      <c r="JMN99" s="168"/>
      <c r="JMO99" s="167"/>
      <c r="JMP99" s="168"/>
      <c r="JMQ99" s="167"/>
      <c r="JMR99" s="168"/>
      <c r="JMS99" s="167"/>
      <c r="JMT99" s="168"/>
      <c r="JMU99" s="167"/>
      <c r="JMV99" s="168"/>
      <c r="JMW99" s="167"/>
      <c r="JMX99" s="168"/>
      <c r="JMY99" s="167"/>
      <c r="JMZ99" s="168"/>
      <c r="JNA99" s="167"/>
      <c r="JNB99" s="168"/>
      <c r="JNC99" s="167"/>
      <c r="JND99" s="168"/>
      <c r="JNE99" s="167"/>
      <c r="JNF99" s="168"/>
      <c r="JNG99" s="167"/>
      <c r="JNH99" s="168"/>
      <c r="JNI99" s="167"/>
      <c r="JNJ99" s="168"/>
      <c r="JNK99" s="167"/>
      <c r="JNL99" s="168"/>
      <c r="JNM99" s="167"/>
      <c r="JNN99" s="168"/>
      <c r="JNO99" s="167"/>
      <c r="JNP99" s="168"/>
      <c r="JNQ99" s="167"/>
      <c r="JNR99" s="168"/>
      <c r="JNS99" s="167"/>
      <c r="JNT99" s="168"/>
      <c r="JNU99" s="167"/>
      <c r="JNV99" s="168"/>
      <c r="JNW99" s="167"/>
      <c r="JNX99" s="168"/>
      <c r="JNY99" s="167"/>
      <c r="JNZ99" s="168"/>
      <c r="JOA99" s="167"/>
      <c r="JOB99" s="168"/>
      <c r="JOC99" s="167"/>
      <c r="JOD99" s="168"/>
      <c r="JOE99" s="167"/>
      <c r="JOF99" s="168"/>
      <c r="JOG99" s="167"/>
      <c r="JOH99" s="168"/>
      <c r="JOI99" s="167"/>
      <c r="JOJ99" s="168"/>
      <c r="JOK99" s="167"/>
      <c r="JOL99" s="168"/>
      <c r="JOM99" s="167"/>
      <c r="JON99" s="168"/>
      <c r="JOO99" s="167"/>
      <c r="JOP99" s="168"/>
      <c r="JOQ99" s="167"/>
      <c r="JOR99" s="168"/>
      <c r="JOS99" s="167"/>
      <c r="JOT99" s="168"/>
      <c r="JOU99" s="167"/>
      <c r="JOV99" s="168"/>
      <c r="JOW99" s="167"/>
      <c r="JOX99" s="168"/>
      <c r="JOY99" s="167"/>
      <c r="JOZ99" s="168"/>
      <c r="JPA99" s="167"/>
      <c r="JPB99" s="168"/>
      <c r="JPC99" s="167"/>
      <c r="JPD99" s="168"/>
      <c r="JPE99" s="167"/>
      <c r="JPF99" s="168"/>
      <c r="JPG99" s="167"/>
      <c r="JPH99" s="168"/>
      <c r="JPI99" s="167"/>
      <c r="JPJ99" s="168"/>
      <c r="JPK99" s="167"/>
      <c r="JPL99" s="168"/>
      <c r="JPM99" s="167"/>
      <c r="JPN99" s="168"/>
      <c r="JPO99" s="167"/>
      <c r="JPP99" s="168"/>
      <c r="JPQ99" s="167"/>
      <c r="JPR99" s="168"/>
      <c r="JPS99" s="167"/>
      <c r="JPT99" s="168"/>
      <c r="JPU99" s="167"/>
      <c r="JPV99" s="168"/>
      <c r="JPW99" s="167"/>
      <c r="JPX99" s="168"/>
      <c r="JPY99" s="167"/>
      <c r="JPZ99" s="168"/>
      <c r="JQA99" s="167"/>
      <c r="JQB99" s="168"/>
      <c r="JQC99" s="167"/>
      <c r="JQD99" s="168"/>
      <c r="JQE99" s="167"/>
      <c r="JQF99" s="168"/>
      <c r="JQG99" s="167"/>
      <c r="JQH99" s="168"/>
      <c r="JQI99" s="167"/>
      <c r="JQJ99" s="168"/>
      <c r="JQK99" s="167"/>
      <c r="JQL99" s="168"/>
      <c r="JQM99" s="167"/>
      <c r="JQN99" s="168"/>
      <c r="JQO99" s="167"/>
      <c r="JQP99" s="168"/>
      <c r="JQQ99" s="167"/>
      <c r="JQR99" s="168"/>
      <c r="JQS99" s="167"/>
      <c r="JQT99" s="168"/>
      <c r="JQU99" s="167"/>
      <c r="JQV99" s="168"/>
      <c r="JQW99" s="167"/>
      <c r="JQX99" s="168"/>
      <c r="JQY99" s="167"/>
      <c r="JQZ99" s="168"/>
      <c r="JRA99" s="167"/>
      <c r="JRB99" s="168"/>
      <c r="JRC99" s="167"/>
      <c r="JRD99" s="168"/>
      <c r="JRE99" s="167"/>
      <c r="JRF99" s="168"/>
      <c r="JRG99" s="167"/>
      <c r="JRH99" s="168"/>
      <c r="JRI99" s="167"/>
      <c r="JRJ99" s="168"/>
      <c r="JRK99" s="167"/>
      <c r="JRL99" s="168"/>
      <c r="JRM99" s="167"/>
      <c r="JRN99" s="168"/>
      <c r="JRO99" s="167"/>
      <c r="JRP99" s="168"/>
      <c r="JRQ99" s="167"/>
      <c r="JRR99" s="168"/>
      <c r="JRS99" s="167"/>
      <c r="JRT99" s="168"/>
      <c r="JRU99" s="167"/>
      <c r="JRV99" s="168"/>
      <c r="JRW99" s="167"/>
      <c r="JRX99" s="168"/>
      <c r="JRY99" s="167"/>
      <c r="JRZ99" s="168"/>
      <c r="JSA99" s="167"/>
      <c r="JSB99" s="168"/>
      <c r="JSC99" s="167"/>
      <c r="JSD99" s="168"/>
      <c r="JSE99" s="167"/>
      <c r="JSF99" s="168"/>
      <c r="JSG99" s="167"/>
      <c r="JSH99" s="168"/>
      <c r="JSI99" s="167"/>
      <c r="JSJ99" s="168"/>
      <c r="JSK99" s="167"/>
      <c r="JSL99" s="168"/>
      <c r="JSM99" s="167"/>
      <c r="JSN99" s="168"/>
      <c r="JSO99" s="167"/>
      <c r="JSP99" s="168"/>
      <c r="JSQ99" s="167"/>
      <c r="JSR99" s="168"/>
      <c r="JSS99" s="167"/>
      <c r="JST99" s="168"/>
      <c r="JSU99" s="167"/>
      <c r="JSV99" s="168"/>
      <c r="JSW99" s="167"/>
      <c r="JSX99" s="168"/>
      <c r="JSY99" s="167"/>
      <c r="JSZ99" s="168"/>
      <c r="JTA99" s="167"/>
      <c r="JTB99" s="168"/>
      <c r="JTC99" s="167"/>
      <c r="JTD99" s="168"/>
      <c r="JTE99" s="167"/>
      <c r="JTF99" s="168"/>
      <c r="JTG99" s="167"/>
      <c r="JTH99" s="168"/>
      <c r="JTI99" s="167"/>
      <c r="JTJ99" s="168"/>
      <c r="JTK99" s="167"/>
      <c r="JTL99" s="168"/>
      <c r="JTM99" s="167"/>
      <c r="JTN99" s="168"/>
      <c r="JTO99" s="167"/>
      <c r="JTP99" s="168"/>
      <c r="JTQ99" s="167"/>
      <c r="JTR99" s="168"/>
      <c r="JTS99" s="167"/>
      <c r="JTT99" s="168"/>
      <c r="JTU99" s="167"/>
      <c r="JTV99" s="168"/>
      <c r="JTW99" s="167"/>
      <c r="JTX99" s="168"/>
      <c r="JTY99" s="167"/>
      <c r="JTZ99" s="168"/>
      <c r="JUA99" s="167"/>
      <c r="JUB99" s="168"/>
      <c r="JUC99" s="167"/>
      <c r="JUD99" s="168"/>
      <c r="JUE99" s="167"/>
      <c r="JUF99" s="168"/>
      <c r="JUG99" s="167"/>
      <c r="JUH99" s="168"/>
      <c r="JUI99" s="167"/>
      <c r="JUJ99" s="168"/>
      <c r="JUK99" s="167"/>
      <c r="JUL99" s="168"/>
      <c r="JUM99" s="167"/>
      <c r="JUN99" s="168"/>
      <c r="JUO99" s="167"/>
      <c r="JUP99" s="168"/>
      <c r="JUQ99" s="167"/>
      <c r="JUR99" s="168"/>
      <c r="JUS99" s="167"/>
      <c r="JUT99" s="168"/>
      <c r="JUU99" s="167"/>
      <c r="JUV99" s="168"/>
      <c r="JUW99" s="167"/>
      <c r="JUX99" s="168"/>
      <c r="JUY99" s="167"/>
      <c r="JUZ99" s="168"/>
      <c r="JVA99" s="167"/>
      <c r="JVB99" s="168"/>
      <c r="JVC99" s="167"/>
      <c r="JVD99" s="168"/>
      <c r="JVE99" s="167"/>
      <c r="JVF99" s="168"/>
      <c r="JVG99" s="167"/>
      <c r="JVH99" s="168"/>
      <c r="JVI99" s="167"/>
      <c r="JVJ99" s="168"/>
      <c r="JVK99" s="167"/>
      <c r="JVL99" s="168"/>
      <c r="JVM99" s="167"/>
      <c r="JVN99" s="168"/>
      <c r="JVO99" s="167"/>
      <c r="JVP99" s="168"/>
      <c r="JVQ99" s="167"/>
      <c r="JVR99" s="168"/>
      <c r="JVS99" s="167"/>
      <c r="JVT99" s="168"/>
      <c r="JVU99" s="167"/>
      <c r="JVV99" s="168"/>
      <c r="JVW99" s="167"/>
      <c r="JVX99" s="168"/>
      <c r="JVY99" s="167"/>
      <c r="JVZ99" s="168"/>
      <c r="JWA99" s="167"/>
      <c r="JWB99" s="168"/>
      <c r="JWC99" s="167"/>
      <c r="JWD99" s="168"/>
      <c r="JWE99" s="167"/>
      <c r="JWF99" s="168"/>
      <c r="JWG99" s="167"/>
      <c r="JWH99" s="168"/>
      <c r="JWI99" s="167"/>
      <c r="JWJ99" s="168"/>
      <c r="JWK99" s="167"/>
      <c r="JWL99" s="168"/>
      <c r="JWM99" s="167"/>
      <c r="JWN99" s="168"/>
      <c r="JWO99" s="167"/>
      <c r="JWP99" s="168"/>
      <c r="JWQ99" s="167"/>
      <c r="JWR99" s="168"/>
      <c r="JWS99" s="167"/>
      <c r="JWT99" s="168"/>
      <c r="JWU99" s="167"/>
      <c r="JWV99" s="168"/>
      <c r="JWW99" s="167"/>
      <c r="JWX99" s="168"/>
      <c r="JWY99" s="167"/>
      <c r="JWZ99" s="168"/>
      <c r="JXA99" s="167"/>
      <c r="JXB99" s="168"/>
      <c r="JXC99" s="167"/>
      <c r="JXD99" s="168"/>
      <c r="JXE99" s="167"/>
      <c r="JXF99" s="168"/>
      <c r="JXG99" s="167"/>
      <c r="JXH99" s="168"/>
      <c r="JXI99" s="167"/>
      <c r="JXJ99" s="168"/>
      <c r="JXK99" s="167"/>
      <c r="JXL99" s="168"/>
      <c r="JXM99" s="167"/>
      <c r="JXN99" s="168"/>
      <c r="JXO99" s="167"/>
      <c r="JXP99" s="168"/>
      <c r="JXQ99" s="167"/>
      <c r="JXR99" s="168"/>
      <c r="JXS99" s="167"/>
      <c r="JXT99" s="168"/>
      <c r="JXU99" s="167"/>
      <c r="JXV99" s="168"/>
      <c r="JXW99" s="167"/>
      <c r="JXX99" s="168"/>
      <c r="JXY99" s="167"/>
      <c r="JXZ99" s="168"/>
      <c r="JYA99" s="167"/>
      <c r="JYB99" s="168"/>
      <c r="JYC99" s="167"/>
      <c r="JYD99" s="168"/>
      <c r="JYE99" s="167"/>
      <c r="JYF99" s="168"/>
      <c r="JYG99" s="167"/>
      <c r="JYH99" s="168"/>
      <c r="JYI99" s="167"/>
      <c r="JYJ99" s="168"/>
      <c r="JYK99" s="167"/>
      <c r="JYL99" s="168"/>
      <c r="JYM99" s="167"/>
      <c r="JYN99" s="168"/>
      <c r="JYO99" s="167"/>
      <c r="JYP99" s="168"/>
      <c r="JYQ99" s="167"/>
      <c r="JYR99" s="168"/>
      <c r="JYS99" s="167"/>
      <c r="JYT99" s="168"/>
      <c r="JYU99" s="167"/>
      <c r="JYV99" s="168"/>
      <c r="JYW99" s="167"/>
      <c r="JYX99" s="168"/>
      <c r="JYY99" s="167"/>
      <c r="JYZ99" s="168"/>
      <c r="JZA99" s="167"/>
      <c r="JZB99" s="168"/>
      <c r="JZC99" s="167"/>
      <c r="JZD99" s="168"/>
      <c r="JZE99" s="167"/>
      <c r="JZF99" s="168"/>
      <c r="JZG99" s="167"/>
      <c r="JZH99" s="168"/>
      <c r="JZI99" s="167"/>
      <c r="JZJ99" s="168"/>
      <c r="JZK99" s="167"/>
      <c r="JZL99" s="168"/>
      <c r="JZM99" s="167"/>
      <c r="JZN99" s="168"/>
      <c r="JZO99" s="167"/>
      <c r="JZP99" s="168"/>
      <c r="JZQ99" s="167"/>
      <c r="JZR99" s="168"/>
      <c r="JZS99" s="167"/>
      <c r="JZT99" s="168"/>
      <c r="JZU99" s="167"/>
      <c r="JZV99" s="168"/>
      <c r="JZW99" s="167"/>
      <c r="JZX99" s="168"/>
      <c r="JZY99" s="167"/>
      <c r="JZZ99" s="168"/>
      <c r="KAA99" s="167"/>
      <c r="KAB99" s="168"/>
      <c r="KAC99" s="167"/>
      <c r="KAD99" s="168"/>
      <c r="KAE99" s="167"/>
      <c r="KAF99" s="168"/>
      <c r="KAG99" s="167"/>
      <c r="KAH99" s="168"/>
      <c r="KAI99" s="167"/>
      <c r="KAJ99" s="168"/>
      <c r="KAK99" s="167"/>
      <c r="KAL99" s="168"/>
      <c r="KAM99" s="167"/>
      <c r="KAN99" s="168"/>
      <c r="KAO99" s="167"/>
      <c r="KAP99" s="168"/>
      <c r="KAQ99" s="167"/>
      <c r="KAR99" s="168"/>
      <c r="KAS99" s="167"/>
      <c r="KAT99" s="168"/>
      <c r="KAU99" s="167"/>
      <c r="KAV99" s="168"/>
      <c r="KAW99" s="167"/>
      <c r="KAX99" s="168"/>
      <c r="KAY99" s="167"/>
      <c r="KAZ99" s="168"/>
      <c r="KBA99" s="167"/>
      <c r="KBB99" s="168"/>
      <c r="KBC99" s="167"/>
      <c r="KBD99" s="168"/>
      <c r="KBE99" s="167"/>
      <c r="KBF99" s="168"/>
      <c r="KBG99" s="167"/>
      <c r="KBH99" s="168"/>
      <c r="KBI99" s="167"/>
      <c r="KBJ99" s="168"/>
      <c r="KBK99" s="167"/>
      <c r="KBL99" s="168"/>
      <c r="KBM99" s="167"/>
      <c r="KBN99" s="168"/>
      <c r="KBO99" s="167"/>
      <c r="KBP99" s="168"/>
      <c r="KBQ99" s="167"/>
      <c r="KBR99" s="168"/>
      <c r="KBS99" s="167"/>
      <c r="KBT99" s="168"/>
      <c r="KBU99" s="167"/>
      <c r="KBV99" s="168"/>
      <c r="KBW99" s="167"/>
      <c r="KBX99" s="168"/>
      <c r="KBY99" s="167"/>
      <c r="KBZ99" s="168"/>
      <c r="KCA99" s="167"/>
      <c r="KCB99" s="168"/>
      <c r="KCC99" s="167"/>
      <c r="KCD99" s="168"/>
      <c r="KCE99" s="167"/>
      <c r="KCF99" s="168"/>
      <c r="KCG99" s="167"/>
      <c r="KCH99" s="168"/>
      <c r="KCI99" s="167"/>
      <c r="KCJ99" s="168"/>
      <c r="KCK99" s="167"/>
      <c r="KCL99" s="168"/>
      <c r="KCM99" s="167"/>
      <c r="KCN99" s="168"/>
      <c r="KCO99" s="167"/>
      <c r="KCP99" s="168"/>
      <c r="KCQ99" s="167"/>
      <c r="KCR99" s="168"/>
      <c r="KCS99" s="167"/>
      <c r="KCT99" s="168"/>
      <c r="KCU99" s="167"/>
      <c r="KCV99" s="168"/>
      <c r="KCW99" s="167"/>
      <c r="KCX99" s="168"/>
      <c r="KCY99" s="167"/>
      <c r="KCZ99" s="168"/>
      <c r="KDA99" s="167"/>
      <c r="KDB99" s="168"/>
      <c r="KDC99" s="167"/>
      <c r="KDD99" s="168"/>
      <c r="KDE99" s="167"/>
      <c r="KDF99" s="168"/>
      <c r="KDG99" s="167"/>
      <c r="KDH99" s="168"/>
      <c r="KDI99" s="167"/>
      <c r="KDJ99" s="168"/>
      <c r="KDK99" s="167"/>
      <c r="KDL99" s="168"/>
      <c r="KDM99" s="167"/>
      <c r="KDN99" s="168"/>
      <c r="KDO99" s="167"/>
      <c r="KDP99" s="168"/>
      <c r="KDQ99" s="167"/>
      <c r="KDR99" s="168"/>
      <c r="KDS99" s="167"/>
      <c r="KDT99" s="168"/>
      <c r="KDU99" s="167"/>
      <c r="KDV99" s="168"/>
      <c r="KDW99" s="167"/>
      <c r="KDX99" s="168"/>
      <c r="KDY99" s="167"/>
      <c r="KDZ99" s="168"/>
      <c r="KEA99" s="167"/>
      <c r="KEB99" s="168"/>
      <c r="KEC99" s="167"/>
      <c r="KED99" s="168"/>
      <c r="KEE99" s="167"/>
      <c r="KEF99" s="168"/>
      <c r="KEG99" s="167"/>
      <c r="KEH99" s="168"/>
      <c r="KEI99" s="167"/>
      <c r="KEJ99" s="168"/>
      <c r="KEK99" s="167"/>
      <c r="KEL99" s="168"/>
      <c r="KEM99" s="167"/>
      <c r="KEN99" s="168"/>
      <c r="KEO99" s="167"/>
      <c r="KEP99" s="168"/>
      <c r="KEQ99" s="167"/>
      <c r="KER99" s="168"/>
      <c r="KES99" s="167"/>
      <c r="KET99" s="168"/>
      <c r="KEU99" s="167"/>
      <c r="KEV99" s="168"/>
      <c r="KEW99" s="167"/>
      <c r="KEX99" s="168"/>
      <c r="KEY99" s="167"/>
      <c r="KEZ99" s="168"/>
      <c r="KFA99" s="167"/>
      <c r="KFB99" s="168"/>
      <c r="KFC99" s="167"/>
      <c r="KFD99" s="168"/>
      <c r="KFE99" s="167"/>
      <c r="KFF99" s="168"/>
      <c r="KFG99" s="167"/>
      <c r="KFH99" s="168"/>
      <c r="KFI99" s="167"/>
      <c r="KFJ99" s="168"/>
      <c r="KFK99" s="167"/>
      <c r="KFL99" s="168"/>
      <c r="KFM99" s="167"/>
      <c r="KFN99" s="168"/>
      <c r="KFO99" s="167"/>
      <c r="KFP99" s="168"/>
      <c r="KFQ99" s="167"/>
      <c r="KFR99" s="168"/>
      <c r="KFS99" s="167"/>
      <c r="KFT99" s="168"/>
      <c r="KFU99" s="167"/>
      <c r="KFV99" s="168"/>
      <c r="KFW99" s="167"/>
      <c r="KFX99" s="168"/>
      <c r="KFY99" s="167"/>
      <c r="KFZ99" s="168"/>
      <c r="KGA99" s="167"/>
      <c r="KGB99" s="168"/>
      <c r="KGC99" s="167"/>
      <c r="KGD99" s="168"/>
      <c r="KGE99" s="167"/>
      <c r="KGF99" s="168"/>
      <c r="KGG99" s="167"/>
      <c r="KGH99" s="168"/>
      <c r="KGI99" s="167"/>
      <c r="KGJ99" s="168"/>
      <c r="KGK99" s="167"/>
      <c r="KGL99" s="168"/>
      <c r="KGM99" s="167"/>
      <c r="KGN99" s="168"/>
      <c r="KGO99" s="167"/>
      <c r="KGP99" s="168"/>
      <c r="KGQ99" s="167"/>
      <c r="KGR99" s="168"/>
      <c r="KGS99" s="167"/>
      <c r="KGT99" s="168"/>
      <c r="KGU99" s="167"/>
      <c r="KGV99" s="168"/>
      <c r="KGW99" s="167"/>
      <c r="KGX99" s="168"/>
      <c r="KGY99" s="167"/>
      <c r="KGZ99" s="168"/>
      <c r="KHA99" s="167"/>
      <c r="KHB99" s="168"/>
      <c r="KHC99" s="167"/>
      <c r="KHD99" s="168"/>
      <c r="KHE99" s="167"/>
      <c r="KHF99" s="168"/>
      <c r="KHG99" s="167"/>
      <c r="KHH99" s="168"/>
      <c r="KHI99" s="167"/>
      <c r="KHJ99" s="168"/>
      <c r="KHK99" s="167"/>
      <c r="KHL99" s="168"/>
      <c r="KHM99" s="167"/>
      <c r="KHN99" s="168"/>
      <c r="KHO99" s="167"/>
      <c r="KHP99" s="168"/>
      <c r="KHQ99" s="167"/>
      <c r="KHR99" s="168"/>
      <c r="KHS99" s="167"/>
      <c r="KHT99" s="168"/>
      <c r="KHU99" s="167"/>
      <c r="KHV99" s="168"/>
      <c r="KHW99" s="167"/>
      <c r="KHX99" s="168"/>
      <c r="KHY99" s="167"/>
      <c r="KHZ99" s="168"/>
      <c r="KIA99" s="167"/>
      <c r="KIB99" s="168"/>
      <c r="KIC99" s="167"/>
      <c r="KID99" s="168"/>
      <c r="KIE99" s="167"/>
      <c r="KIF99" s="168"/>
      <c r="KIG99" s="167"/>
      <c r="KIH99" s="168"/>
      <c r="KII99" s="167"/>
      <c r="KIJ99" s="168"/>
      <c r="KIK99" s="167"/>
      <c r="KIL99" s="168"/>
      <c r="KIM99" s="167"/>
      <c r="KIN99" s="168"/>
      <c r="KIO99" s="167"/>
      <c r="KIP99" s="168"/>
      <c r="KIQ99" s="167"/>
      <c r="KIR99" s="168"/>
      <c r="KIS99" s="167"/>
      <c r="KIT99" s="168"/>
      <c r="KIU99" s="167"/>
      <c r="KIV99" s="168"/>
      <c r="KIW99" s="167"/>
      <c r="KIX99" s="168"/>
      <c r="KIY99" s="167"/>
      <c r="KIZ99" s="168"/>
      <c r="KJA99" s="167"/>
      <c r="KJB99" s="168"/>
      <c r="KJC99" s="167"/>
      <c r="KJD99" s="168"/>
      <c r="KJE99" s="167"/>
      <c r="KJF99" s="168"/>
      <c r="KJG99" s="167"/>
      <c r="KJH99" s="168"/>
      <c r="KJI99" s="167"/>
      <c r="KJJ99" s="168"/>
      <c r="KJK99" s="167"/>
      <c r="KJL99" s="168"/>
      <c r="KJM99" s="167"/>
      <c r="KJN99" s="168"/>
      <c r="KJO99" s="167"/>
      <c r="KJP99" s="168"/>
      <c r="KJQ99" s="167"/>
      <c r="KJR99" s="168"/>
      <c r="KJS99" s="167"/>
      <c r="KJT99" s="168"/>
      <c r="KJU99" s="167"/>
      <c r="KJV99" s="168"/>
      <c r="KJW99" s="167"/>
      <c r="KJX99" s="168"/>
      <c r="KJY99" s="167"/>
      <c r="KJZ99" s="168"/>
      <c r="KKA99" s="167"/>
      <c r="KKB99" s="168"/>
      <c r="KKC99" s="167"/>
      <c r="KKD99" s="168"/>
      <c r="KKE99" s="167"/>
      <c r="KKF99" s="168"/>
      <c r="KKG99" s="167"/>
      <c r="KKH99" s="168"/>
      <c r="KKI99" s="167"/>
      <c r="KKJ99" s="168"/>
      <c r="KKK99" s="167"/>
      <c r="KKL99" s="168"/>
      <c r="KKM99" s="167"/>
      <c r="KKN99" s="168"/>
      <c r="KKO99" s="167"/>
      <c r="KKP99" s="168"/>
      <c r="KKQ99" s="167"/>
      <c r="KKR99" s="168"/>
      <c r="KKS99" s="167"/>
      <c r="KKT99" s="168"/>
      <c r="KKU99" s="167"/>
      <c r="KKV99" s="168"/>
      <c r="KKW99" s="167"/>
      <c r="KKX99" s="168"/>
      <c r="KKY99" s="167"/>
      <c r="KKZ99" s="168"/>
      <c r="KLA99" s="167"/>
      <c r="KLB99" s="168"/>
      <c r="KLC99" s="167"/>
      <c r="KLD99" s="168"/>
      <c r="KLE99" s="167"/>
      <c r="KLF99" s="168"/>
      <c r="KLG99" s="167"/>
      <c r="KLH99" s="168"/>
      <c r="KLI99" s="167"/>
      <c r="KLJ99" s="168"/>
      <c r="KLK99" s="167"/>
      <c r="KLL99" s="168"/>
      <c r="KLM99" s="167"/>
      <c r="KLN99" s="168"/>
      <c r="KLO99" s="167"/>
      <c r="KLP99" s="168"/>
      <c r="KLQ99" s="167"/>
      <c r="KLR99" s="168"/>
      <c r="KLS99" s="167"/>
      <c r="KLT99" s="168"/>
      <c r="KLU99" s="167"/>
      <c r="KLV99" s="168"/>
      <c r="KLW99" s="167"/>
      <c r="KLX99" s="168"/>
      <c r="KLY99" s="167"/>
      <c r="KLZ99" s="168"/>
      <c r="KMA99" s="167"/>
      <c r="KMB99" s="168"/>
      <c r="KMC99" s="167"/>
      <c r="KMD99" s="168"/>
      <c r="KME99" s="167"/>
      <c r="KMF99" s="168"/>
      <c r="KMG99" s="167"/>
      <c r="KMH99" s="168"/>
      <c r="KMI99" s="167"/>
      <c r="KMJ99" s="168"/>
      <c r="KMK99" s="167"/>
      <c r="KML99" s="168"/>
      <c r="KMM99" s="167"/>
      <c r="KMN99" s="168"/>
      <c r="KMO99" s="167"/>
      <c r="KMP99" s="168"/>
      <c r="KMQ99" s="167"/>
      <c r="KMR99" s="168"/>
      <c r="KMS99" s="167"/>
      <c r="KMT99" s="168"/>
      <c r="KMU99" s="167"/>
      <c r="KMV99" s="168"/>
      <c r="KMW99" s="167"/>
      <c r="KMX99" s="168"/>
      <c r="KMY99" s="167"/>
      <c r="KMZ99" s="168"/>
      <c r="KNA99" s="167"/>
      <c r="KNB99" s="168"/>
      <c r="KNC99" s="167"/>
      <c r="KND99" s="168"/>
      <c r="KNE99" s="167"/>
      <c r="KNF99" s="168"/>
      <c r="KNG99" s="167"/>
      <c r="KNH99" s="168"/>
      <c r="KNI99" s="167"/>
      <c r="KNJ99" s="168"/>
      <c r="KNK99" s="167"/>
      <c r="KNL99" s="168"/>
      <c r="KNM99" s="167"/>
      <c r="KNN99" s="168"/>
      <c r="KNO99" s="167"/>
      <c r="KNP99" s="168"/>
      <c r="KNQ99" s="167"/>
      <c r="KNR99" s="168"/>
      <c r="KNS99" s="167"/>
      <c r="KNT99" s="168"/>
      <c r="KNU99" s="167"/>
      <c r="KNV99" s="168"/>
      <c r="KNW99" s="167"/>
      <c r="KNX99" s="168"/>
      <c r="KNY99" s="167"/>
      <c r="KNZ99" s="168"/>
      <c r="KOA99" s="167"/>
      <c r="KOB99" s="168"/>
      <c r="KOC99" s="167"/>
      <c r="KOD99" s="168"/>
      <c r="KOE99" s="167"/>
      <c r="KOF99" s="168"/>
      <c r="KOG99" s="167"/>
      <c r="KOH99" s="168"/>
      <c r="KOI99" s="167"/>
      <c r="KOJ99" s="168"/>
      <c r="KOK99" s="167"/>
      <c r="KOL99" s="168"/>
      <c r="KOM99" s="167"/>
      <c r="KON99" s="168"/>
      <c r="KOO99" s="167"/>
      <c r="KOP99" s="168"/>
      <c r="KOQ99" s="167"/>
      <c r="KOR99" s="168"/>
      <c r="KOS99" s="167"/>
      <c r="KOT99" s="168"/>
      <c r="KOU99" s="167"/>
      <c r="KOV99" s="168"/>
      <c r="KOW99" s="167"/>
      <c r="KOX99" s="168"/>
      <c r="KOY99" s="167"/>
      <c r="KOZ99" s="168"/>
      <c r="KPA99" s="167"/>
      <c r="KPB99" s="168"/>
      <c r="KPC99" s="167"/>
      <c r="KPD99" s="168"/>
      <c r="KPE99" s="167"/>
      <c r="KPF99" s="168"/>
      <c r="KPG99" s="167"/>
      <c r="KPH99" s="168"/>
      <c r="KPI99" s="167"/>
      <c r="KPJ99" s="168"/>
      <c r="KPK99" s="167"/>
      <c r="KPL99" s="168"/>
      <c r="KPM99" s="167"/>
      <c r="KPN99" s="168"/>
      <c r="KPO99" s="167"/>
      <c r="KPP99" s="168"/>
      <c r="KPQ99" s="167"/>
      <c r="KPR99" s="168"/>
      <c r="KPS99" s="167"/>
      <c r="KPT99" s="168"/>
      <c r="KPU99" s="167"/>
      <c r="KPV99" s="168"/>
      <c r="KPW99" s="167"/>
      <c r="KPX99" s="168"/>
      <c r="KPY99" s="167"/>
      <c r="KPZ99" s="168"/>
      <c r="KQA99" s="167"/>
      <c r="KQB99" s="168"/>
      <c r="KQC99" s="167"/>
      <c r="KQD99" s="168"/>
      <c r="KQE99" s="167"/>
      <c r="KQF99" s="168"/>
      <c r="KQG99" s="167"/>
      <c r="KQH99" s="168"/>
      <c r="KQI99" s="167"/>
      <c r="KQJ99" s="168"/>
      <c r="KQK99" s="167"/>
      <c r="KQL99" s="168"/>
      <c r="KQM99" s="167"/>
      <c r="KQN99" s="168"/>
      <c r="KQO99" s="167"/>
      <c r="KQP99" s="168"/>
      <c r="KQQ99" s="167"/>
      <c r="KQR99" s="168"/>
      <c r="KQS99" s="167"/>
      <c r="KQT99" s="168"/>
      <c r="KQU99" s="167"/>
      <c r="KQV99" s="168"/>
      <c r="KQW99" s="167"/>
      <c r="KQX99" s="168"/>
      <c r="KQY99" s="167"/>
      <c r="KQZ99" s="168"/>
      <c r="KRA99" s="167"/>
      <c r="KRB99" s="168"/>
      <c r="KRC99" s="167"/>
      <c r="KRD99" s="168"/>
      <c r="KRE99" s="167"/>
      <c r="KRF99" s="168"/>
      <c r="KRG99" s="167"/>
      <c r="KRH99" s="168"/>
      <c r="KRI99" s="167"/>
      <c r="KRJ99" s="168"/>
      <c r="KRK99" s="167"/>
      <c r="KRL99" s="168"/>
      <c r="KRM99" s="167"/>
      <c r="KRN99" s="168"/>
      <c r="KRO99" s="167"/>
      <c r="KRP99" s="168"/>
      <c r="KRQ99" s="167"/>
      <c r="KRR99" s="168"/>
      <c r="KRS99" s="167"/>
      <c r="KRT99" s="168"/>
      <c r="KRU99" s="167"/>
      <c r="KRV99" s="168"/>
      <c r="KRW99" s="167"/>
      <c r="KRX99" s="168"/>
      <c r="KRY99" s="167"/>
      <c r="KRZ99" s="168"/>
      <c r="KSA99" s="167"/>
      <c r="KSB99" s="168"/>
      <c r="KSC99" s="167"/>
      <c r="KSD99" s="168"/>
      <c r="KSE99" s="167"/>
      <c r="KSF99" s="168"/>
      <c r="KSG99" s="167"/>
      <c r="KSH99" s="168"/>
      <c r="KSI99" s="167"/>
      <c r="KSJ99" s="168"/>
      <c r="KSK99" s="167"/>
      <c r="KSL99" s="168"/>
      <c r="KSM99" s="167"/>
      <c r="KSN99" s="168"/>
      <c r="KSO99" s="167"/>
      <c r="KSP99" s="168"/>
      <c r="KSQ99" s="167"/>
      <c r="KSR99" s="168"/>
      <c r="KSS99" s="167"/>
      <c r="KST99" s="168"/>
      <c r="KSU99" s="167"/>
      <c r="KSV99" s="168"/>
      <c r="KSW99" s="167"/>
      <c r="KSX99" s="168"/>
      <c r="KSY99" s="167"/>
      <c r="KSZ99" s="168"/>
      <c r="KTA99" s="167"/>
      <c r="KTB99" s="168"/>
      <c r="KTC99" s="167"/>
      <c r="KTD99" s="168"/>
      <c r="KTE99" s="167"/>
      <c r="KTF99" s="168"/>
      <c r="KTG99" s="167"/>
      <c r="KTH99" s="168"/>
      <c r="KTI99" s="167"/>
      <c r="KTJ99" s="168"/>
      <c r="KTK99" s="167"/>
      <c r="KTL99" s="168"/>
      <c r="KTM99" s="167"/>
      <c r="KTN99" s="168"/>
      <c r="KTO99" s="167"/>
      <c r="KTP99" s="168"/>
      <c r="KTQ99" s="167"/>
      <c r="KTR99" s="168"/>
      <c r="KTS99" s="167"/>
      <c r="KTT99" s="168"/>
      <c r="KTU99" s="167"/>
      <c r="KTV99" s="168"/>
      <c r="KTW99" s="167"/>
      <c r="KTX99" s="168"/>
      <c r="KTY99" s="167"/>
      <c r="KTZ99" s="168"/>
      <c r="KUA99" s="167"/>
      <c r="KUB99" s="168"/>
      <c r="KUC99" s="167"/>
      <c r="KUD99" s="168"/>
      <c r="KUE99" s="167"/>
      <c r="KUF99" s="168"/>
      <c r="KUG99" s="167"/>
      <c r="KUH99" s="168"/>
      <c r="KUI99" s="167"/>
      <c r="KUJ99" s="168"/>
      <c r="KUK99" s="167"/>
      <c r="KUL99" s="168"/>
      <c r="KUM99" s="167"/>
      <c r="KUN99" s="168"/>
      <c r="KUO99" s="167"/>
      <c r="KUP99" s="168"/>
      <c r="KUQ99" s="167"/>
      <c r="KUR99" s="168"/>
      <c r="KUS99" s="167"/>
      <c r="KUT99" s="168"/>
      <c r="KUU99" s="167"/>
      <c r="KUV99" s="168"/>
      <c r="KUW99" s="167"/>
      <c r="KUX99" s="168"/>
      <c r="KUY99" s="167"/>
      <c r="KUZ99" s="168"/>
      <c r="KVA99" s="167"/>
      <c r="KVB99" s="168"/>
      <c r="KVC99" s="167"/>
      <c r="KVD99" s="168"/>
      <c r="KVE99" s="167"/>
      <c r="KVF99" s="168"/>
      <c r="KVG99" s="167"/>
      <c r="KVH99" s="168"/>
      <c r="KVI99" s="167"/>
      <c r="KVJ99" s="168"/>
      <c r="KVK99" s="167"/>
      <c r="KVL99" s="168"/>
      <c r="KVM99" s="167"/>
      <c r="KVN99" s="168"/>
      <c r="KVO99" s="167"/>
      <c r="KVP99" s="168"/>
      <c r="KVQ99" s="167"/>
      <c r="KVR99" s="168"/>
      <c r="KVS99" s="167"/>
      <c r="KVT99" s="168"/>
      <c r="KVU99" s="167"/>
      <c r="KVV99" s="168"/>
      <c r="KVW99" s="167"/>
      <c r="KVX99" s="168"/>
      <c r="KVY99" s="167"/>
      <c r="KVZ99" s="168"/>
      <c r="KWA99" s="167"/>
      <c r="KWB99" s="168"/>
      <c r="KWC99" s="167"/>
      <c r="KWD99" s="168"/>
      <c r="KWE99" s="167"/>
      <c r="KWF99" s="168"/>
      <c r="KWG99" s="167"/>
      <c r="KWH99" s="168"/>
      <c r="KWI99" s="167"/>
      <c r="KWJ99" s="168"/>
      <c r="KWK99" s="167"/>
      <c r="KWL99" s="168"/>
      <c r="KWM99" s="167"/>
      <c r="KWN99" s="168"/>
      <c r="KWO99" s="167"/>
      <c r="KWP99" s="168"/>
      <c r="KWQ99" s="167"/>
      <c r="KWR99" s="168"/>
      <c r="KWS99" s="167"/>
      <c r="KWT99" s="168"/>
      <c r="KWU99" s="167"/>
      <c r="KWV99" s="168"/>
      <c r="KWW99" s="167"/>
      <c r="KWX99" s="168"/>
      <c r="KWY99" s="167"/>
      <c r="KWZ99" s="168"/>
      <c r="KXA99" s="167"/>
      <c r="KXB99" s="168"/>
      <c r="KXC99" s="167"/>
      <c r="KXD99" s="168"/>
      <c r="KXE99" s="167"/>
      <c r="KXF99" s="168"/>
      <c r="KXG99" s="167"/>
      <c r="KXH99" s="168"/>
      <c r="KXI99" s="167"/>
      <c r="KXJ99" s="168"/>
      <c r="KXK99" s="167"/>
      <c r="KXL99" s="168"/>
      <c r="KXM99" s="167"/>
      <c r="KXN99" s="168"/>
      <c r="KXO99" s="167"/>
      <c r="KXP99" s="168"/>
      <c r="KXQ99" s="167"/>
      <c r="KXR99" s="168"/>
      <c r="KXS99" s="167"/>
      <c r="KXT99" s="168"/>
      <c r="KXU99" s="167"/>
      <c r="KXV99" s="168"/>
      <c r="KXW99" s="167"/>
      <c r="KXX99" s="168"/>
      <c r="KXY99" s="167"/>
      <c r="KXZ99" s="168"/>
      <c r="KYA99" s="167"/>
      <c r="KYB99" s="168"/>
      <c r="KYC99" s="167"/>
      <c r="KYD99" s="168"/>
      <c r="KYE99" s="167"/>
      <c r="KYF99" s="168"/>
      <c r="KYG99" s="167"/>
      <c r="KYH99" s="168"/>
      <c r="KYI99" s="167"/>
      <c r="KYJ99" s="168"/>
      <c r="KYK99" s="167"/>
      <c r="KYL99" s="168"/>
      <c r="KYM99" s="167"/>
      <c r="KYN99" s="168"/>
      <c r="KYO99" s="167"/>
      <c r="KYP99" s="168"/>
      <c r="KYQ99" s="167"/>
      <c r="KYR99" s="168"/>
      <c r="KYS99" s="167"/>
      <c r="KYT99" s="168"/>
      <c r="KYU99" s="167"/>
      <c r="KYV99" s="168"/>
      <c r="KYW99" s="167"/>
      <c r="KYX99" s="168"/>
      <c r="KYY99" s="167"/>
      <c r="KYZ99" s="168"/>
      <c r="KZA99" s="167"/>
      <c r="KZB99" s="168"/>
      <c r="KZC99" s="167"/>
      <c r="KZD99" s="168"/>
      <c r="KZE99" s="167"/>
      <c r="KZF99" s="168"/>
      <c r="KZG99" s="167"/>
      <c r="KZH99" s="168"/>
      <c r="KZI99" s="167"/>
      <c r="KZJ99" s="168"/>
      <c r="KZK99" s="167"/>
      <c r="KZL99" s="168"/>
      <c r="KZM99" s="167"/>
      <c r="KZN99" s="168"/>
      <c r="KZO99" s="167"/>
      <c r="KZP99" s="168"/>
      <c r="KZQ99" s="167"/>
      <c r="KZR99" s="168"/>
      <c r="KZS99" s="167"/>
      <c r="KZT99" s="168"/>
      <c r="KZU99" s="167"/>
      <c r="KZV99" s="168"/>
      <c r="KZW99" s="167"/>
      <c r="KZX99" s="168"/>
      <c r="KZY99" s="167"/>
      <c r="KZZ99" s="168"/>
      <c r="LAA99" s="167"/>
      <c r="LAB99" s="168"/>
      <c r="LAC99" s="167"/>
      <c r="LAD99" s="168"/>
      <c r="LAE99" s="167"/>
      <c r="LAF99" s="168"/>
      <c r="LAG99" s="167"/>
      <c r="LAH99" s="168"/>
      <c r="LAI99" s="167"/>
      <c r="LAJ99" s="168"/>
      <c r="LAK99" s="167"/>
      <c r="LAL99" s="168"/>
      <c r="LAM99" s="167"/>
      <c r="LAN99" s="168"/>
      <c r="LAO99" s="167"/>
      <c r="LAP99" s="168"/>
      <c r="LAQ99" s="167"/>
      <c r="LAR99" s="168"/>
      <c r="LAS99" s="167"/>
      <c r="LAT99" s="168"/>
      <c r="LAU99" s="167"/>
      <c r="LAV99" s="168"/>
      <c r="LAW99" s="167"/>
      <c r="LAX99" s="168"/>
      <c r="LAY99" s="167"/>
      <c r="LAZ99" s="168"/>
      <c r="LBA99" s="167"/>
      <c r="LBB99" s="168"/>
      <c r="LBC99" s="167"/>
      <c r="LBD99" s="168"/>
      <c r="LBE99" s="167"/>
      <c r="LBF99" s="168"/>
      <c r="LBG99" s="167"/>
      <c r="LBH99" s="168"/>
      <c r="LBI99" s="167"/>
      <c r="LBJ99" s="168"/>
      <c r="LBK99" s="167"/>
      <c r="LBL99" s="168"/>
      <c r="LBM99" s="167"/>
      <c r="LBN99" s="168"/>
      <c r="LBO99" s="167"/>
      <c r="LBP99" s="168"/>
      <c r="LBQ99" s="167"/>
      <c r="LBR99" s="168"/>
      <c r="LBS99" s="167"/>
      <c r="LBT99" s="168"/>
      <c r="LBU99" s="167"/>
      <c r="LBV99" s="168"/>
      <c r="LBW99" s="167"/>
      <c r="LBX99" s="168"/>
      <c r="LBY99" s="167"/>
      <c r="LBZ99" s="168"/>
      <c r="LCA99" s="167"/>
      <c r="LCB99" s="168"/>
      <c r="LCC99" s="167"/>
      <c r="LCD99" s="168"/>
      <c r="LCE99" s="167"/>
      <c r="LCF99" s="168"/>
      <c r="LCG99" s="167"/>
      <c r="LCH99" s="168"/>
      <c r="LCI99" s="167"/>
      <c r="LCJ99" s="168"/>
      <c r="LCK99" s="167"/>
      <c r="LCL99" s="168"/>
      <c r="LCM99" s="167"/>
      <c r="LCN99" s="168"/>
      <c r="LCO99" s="167"/>
      <c r="LCP99" s="168"/>
      <c r="LCQ99" s="167"/>
      <c r="LCR99" s="168"/>
      <c r="LCS99" s="167"/>
      <c r="LCT99" s="168"/>
      <c r="LCU99" s="167"/>
      <c r="LCV99" s="168"/>
      <c r="LCW99" s="167"/>
      <c r="LCX99" s="168"/>
      <c r="LCY99" s="167"/>
      <c r="LCZ99" s="168"/>
      <c r="LDA99" s="167"/>
      <c r="LDB99" s="168"/>
      <c r="LDC99" s="167"/>
      <c r="LDD99" s="168"/>
      <c r="LDE99" s="167"/>
      <c r="LDF99" s="168"/>
      <c r="LDG99" s="167"/>
      <c r="LDH99" s="168"/>
      <c r="LDI99" s="167"/>
      <c r="LDJ99" s="168"/>
      <c r="LDK99" s="167"/>
      <c r="LDL99" s="168"/>
      <c r="LDM99" s="167"/>
      <c r="LDN99" s="168"/>
      <c r="LDO99" s="167"/>
      <c r="LDP99" s="168"/>
      <c r="LDQ99" s="167"/>
      <c r="LDR99" s="168"/>
      <c r="LDS99" s="167"/>
      <c r="LDT99" s="168"/>
      <c r="LDU99" s="167"/>
      <c r="LDV99" s="168"/>
      <c r="LDW99" s="167"/>
      <c r="LDX99" s="168"/>
      <c r="LDY99" s="167"/>
      <c r="LDZ99" s="168"/>
      <c r="LEA99" s="167"/>
      <c r="LEB99" s="168"/>
      <c r="LEC99" s="167"/>
      <c r="LED99" s="168"/>
      <c r="LEE99" s="167"/>
      <c r="LEF99" s="168"/>
      <c r="LEG99" s="167"/>
      <c r="LEH99" s="168"/>
      <c r="LEI99" s="167"/>
      <c r="LEJ99" s="168"/>
      <c r="LEK99" s="167"/>
      <c r="LEL99" s="168"/>
      <c r="LEM99" s="167"/>
      <c r="LEN99" s="168"/>
      <c r="LEO99" s="167"/>
      <c r="LEP99" s="168"/>
      <c r="LEQ99" s="167"/>
      <c r="LER99" s="168"/>
      <c r="LES99" s="167"/>
      <c r="LET99" s="168"/>
      <c r="LEU99" s="167"/>
      <c r="LEV99" s="168"/>
      <c r="LEW99" s="167"/>
      <c r="LEX99" s="168"/>
      <c r="LEY99" s="167"/>
      <c r="LEZ99" s="168"/>
      <c r="LFA99" s="167"/>
      <c r="LFB99" s="168"/>
      <c r="LFC99" s="167"/>
      <c r="LFD99" s="168"/>
      <c r="LFE99" s="167"/>
      <c r="LFF99" s="168"/>
      <c r="LFG99" s="167"/>
      <c r="LFH99" s="168"/>
      <c r="LFI99" s="167"/>
      <c r="LFJ99" s="168"/>
      <c r="LFK99" s="167"/>
      <c r="LFL99" s="168"/>
      <c r="LFM99" s="167"/>
      <c r="LFN99" s="168"/>
      <c r="LFO99" s="167"/>
      <c r="LFP99" s="168"/>
      <c r="LFQ99" s="167"/>
      <c r="LFR99" s="168"/>
      <c r="LFS99" s="167"/>
      <c r="LFT99" s="168"/>
      <c r="LFU99" s="167"/>
      <c r="LFV99" s="168"/>
      <c r="LFW99" s="167"/>
      <c r="LFX99" s="168"/>
      <c r="LFY99" s="167"/>
      <c r="LFZ99" s="168"/>
      <c r="LGA99" s="167"/>
      <c r="LGB99" s="168"/>
      <c r="LGC99" s="167"/>
      <c r="LGD99" s="168"/>
      <c r="LGE99" s="167"/>
      <c r="LGF99" s="168"/>
      <c r="LGG99" s="167"/>
      <c r="LGH99" s="168"/>
      <c r="LGI99" s="167"/>
      <c r="LGJ99" s="168"/>
      <c r="LGK99" s="167"/>
      <c r="LGL99" s="168"/>
      <c r="LGM99" s="167"/>
      <c r="LGN99" s="168"/>
      <c r="LGO99" s="167"/>
      <c r="LGP99" s="168"/>
      <c r="LGQ99" s="167"/>
      <c r="LGR99" s="168"/>
      <c r="LGS99" s="167"/>
      <c r="LGT99" s="168"/>
      <c r="LGU99" s="167"/>
      <c r="LGV99" s="168"/>
      <c r="LGW99" s="167"/>
      <c r="LGX99" s="168"/>
      <c r="LGY99" s="167"/>
      <c r="LGZ99" s="168"/>
      <c r="LHA99" s="167"/>
      <c r="LHB99" s="168"/>
      <c r="LHC99" s="167"/>
      <c r="LHD99" s="168"/>
      <c r="LHE99" s="167"/>
      <c r="LHF99" s="168"/>
      <c r="LHG99" s="167"/>
      <c r="LHH99" s="168"/>
      <c r="LHI99" s="167"/>
      <c r="LHJ99" s="168"/>
      <c r="LHK99" s="167"/>
      <c r="LHL99" s="168"/>
      <c r="LHM99" s="167"/>
      <c r="LHN99" s="168"/>
      <c r="LHO99" s="167"/>
      <c r="LHP99" s="168"/>
      <c r="LHQ99" s="167"/>
      <c r="LHR99" s="168"/>
      <c r="LHS99" s="167"/>
      <c r="LHT99" s="168"/>
      <c r="LHU99" s="167"/>
      <c r="LHV99" s="168"/>
      <c r="LHW99" s="167"/>
      <c r="LHX99" s="168"/>
      <c r="LHY99" s="167"/>
      <c r="LHZ99" s="168"/>
      <c r="LIA99" s="167"/>
      <c r="LIB99" s="168"/>
      <c r="LIC99" s="167"/>
      <c r="LID99" s="168"/>
      <c r="LIE99" s="167"/>
      <c r="LIF99" s="168"/>
      <c r="LIG99" s="167"/>
      <c r="LIH99" s="168"/>
      <c r="LII99" s="167"/>
      <c r="LIJ99" s="168"/>
      <c r="LIK99" s="167"/>
      <c r="LIL99" s="168"/>
      <c r="LIM99" s="167"/>
      <c r="LIN99" s="168"/>
      <c r="LIO99" s="167"/>
      <c r="LIP99" s="168"/>
      <c r="LIQ99" s="167"/>
      <c r="LIR99" s="168"/>
      <c r="LIS99" s="167"/>
      <c r="LIT99" s="168"/>
      <c r="LIU99" s="167"/>
      <c r="LIV99" s="168"/>
      <c r="LIW99" s="167"/>
      <c r="LIX99" s="168"/>
      <c r="LIY99" s="167"/>
      <c r="LIZ99" s="168"/>
      <c r="LJA99" s="167"/>
      <c r="LJB99" s="168"/>
      <c r="LJC99" s="167"/>
      <c r="LJD99" s="168"/>
      <c r="LJE99" s="167"/>
      <c r="LJF99" s="168"/>
      <c r="LJG99" s="167"/>
      <c r="LJH99" s="168"/>
      <c r="LJI99" s="167"/>
      <c r="LJJ99" s="168"/>
      <c r="LJK99" s="167"/>
      <c r="LJL99" s="168"/>
      <c r="LJM99" s="167"/>
      <c r="LJN99" s="168"/>
      <c r="LJO99" s="167"/>
      <c r="LJP99" s="168"/>
      <c r="LJQ99" s="167"/>
      <c r="LJR99" s="168"/>
      <c r="LJS99" s="167"/>
      <c r="LJT99" s="168"/>
      <c r="LJU99" s="167"/>
      <c r="LJV99" s="168"/>
      <c r="LJW99" s="167"/>
      <c r="LJX99" s="168"/>
      <c r="LJY99" s="167"/>
      <c r="LJZ99" s="168"/>
      <c r="LKA99" s="167"/>
      <c r="LKB99" s="168"/>
      <c r="LKC99" s="167"/>
      <c r="LKD99" s="168"/>
      <c r="LKE99" s="167"/>
      <c r="LKF99" s="168"/>
      <c r="LKG99" s="167"/>
      <c r="LKH99" s="168"/>
      <c r="LKI99" s="167"/>
      <c r="LKJ99" s="168"/>
      <c r="LKK99" s="167"/>
      <c r="LKL99" s="168"/>
      <c r="LKM99" s="167"/>
      <c r="LKN99" s="168"/>
      <c r="LKO99" s="167"/>
      <c r="LKP99" s="168"/>
      <c r="LKQ99" s="167"/>
      <c r="LKR99" s="168"/>
      <c r="LKS99" s="167"/>
      <c r="LKT99" s="168"/>
      <c r="LKU99" s="167"/>
      <c r="LKV99" s="168"/>
      <c r="LKW99" s="167"/>
      <c r="LKX99" s="168"/>
      <c r="LKY99" s="167"/>
      <c r="LKZ99" s="168"/>
      <c r="LLA99" s="167"/>
      <c r="LLB99" s="168"/>
      <c r="LLC99" s="167"/>
      <c r="LLD99" s="168"/>
      <c r="LLE99" s="167"/>
      <c r="LLF99" s="168"/>
      <c r="LLG99" s="167"/>
      <c r="LLH99" s="168"/>
      <c r="LLI99" s="167"/>
      <c r="LLJ99" s="168"/>
      <c r="LLK99" s="167"/>
      <c r="LLL99" s="168"/>
      <c r="LLM99" s="167"/>
      <c r="LLN99" s="168"/>
      <c r="LLO99" s="167"/>
      <c r="LLP99" s="168"/>
      <c r="LLQ99" s="167"/>
      <c r="LLR99" s="168"/>
      <c r="LLS99" s="167"/>
      <c r="LLT99" s="168"/>
      <c r="LLU99" s="167"/>
      <c r="LLV99" s="168"/>
      <c r="LLW99" s="167"/>
      <c r="LLX99" s="168"/>
      <c r="LLY99" s="167"/>
      <c r="LLZ99" s="168"/>
      <c r="LMA99" s="167"/>
      <c r="LMB99" s="168"/>
      <c r="LMC99" s="167"/>
      <c r="LMD99" s="168"/>
      <c r="LME99" s="167"/>
      <c r="LMF99" s="168"/>
      <c r="LMG99" s="167"/>
      <c r="LMH99" s="168"/>
      <c r="LMI99" s="167"/>
      <c r="LMJ99" s="168"/>
      <c r="LMK99" s="167"/>
      <c r="LML99" s="168"/>
      <c r="LMM99" s="167"/>
      <c r="LMN99" s="168"/>
      <c r="LMO99" s="167"/>
      <c r="LMP99" s="168"/>
      <c r="LMQ99" s="167"/>
      <c r="LMR99" s="168"/>
      <c r="LMS99" s="167"/>
      <c r="LMT99" s="168"/>
      <c r="LMU99" s="167"/>
      <c r="LMV99" s="168"/>
      <c r="LMW99" s="167"/>
      <c r="LMX99" s="168"/>
      <c r="LMY99" s="167"/>
      <c r="LMZ99" s="168"/>
      <c r="LNA99" s="167"/>
      <c r="LNB99" s="168"/>
      <c r="LNC99" s="167"/>
      <c r="LND99" s="168"/>
      <c r="LNE99" s="167"/>
      <c r="LNF99" s="168"/>
      <c r="LNG99" s="167"/>
      <c r="LNH99" s="168"/>
      <c r="LNI99" s="167"/>
      <c r="LNJ99" s="168"/>
      <c r="LNK99" s="167"/>
      <c r="LNL99" s="168"/>
      <c r="LNM99" s="167"/>
      <c r="LNN99" s="168"/>
      <c r="LNO99" s="167"/>
      <c r="LNP99" s="168"/>
      <c r="LNQ99" s="167"/>
      <c r="LNR99" s="168"/>
      <c r="LNS99" s="167"/>
      <c r="LNT99" s="168"/>
      <c r="LNU99" s="167"/>
      <c r="LNV99" s="168"/>
      <c r="LNW99" s="167"/>
      <c r="LNX99" s="168"/>
      <c r="LNY99" s="167"/>
      <c r="LNZ99" s="168"/>
      <c r="LOA99" s="167"/>
      <c r="LOB99" s="168"/>
      <c r="LOC99" s="167"/>
      <c r="LOD99" s="168"/>
      <c r="LOE99" s="167"/>
      <c r="LOF99" s="168"/>
      <c r="LOG99" s="167"/>
      <c r="LOH99" s="168"/>
      <c r="LOI99" s="167"/>
      <c r="LOJ99" s="168"/>
      <c r="LOK99" s="167"/>
      <c r="LOL99" s="168"/>
      <c r="LOM99" s="167"/>
      <c r="LON99" s="168"/>
      <c r="LOO99" s="167"/>
      <c r="LOP99" s="168"/>
      <c r="LOQ99" s="167"/>
      <c r="LOR99" s="168"/>
      <c r="LOS99" s="167"/>
      <c r="LOT99" s="168"/>
      <c r="LOU99" s="167"/>
      <c r="LOV99" s="168"/>
      <c r="LOW99" s="167"/>
      <c r="LOX99" s="168"/>
      <c r="LOY99" s="167"/>
      <c r="LOZ99" s="168"/>
      <c r="LPA99" s="167"/>
      <c r="LPB99" s="168"/>
      <c r="LPC99" s="167"/>
      <c r="LPD99" s="168"/>
      <c r="LPE99" s="167"/>
      <c r="LPF99" s="168"/>
      <c r="LPG99" s="167"/>
      <c r="LPH99" s="168"/>
      <c r="LPI99" s="167"/>
      <c r="LPJ99" s="168"/>
      <c r="LPK99" s="167"/>
      <c r="LPL99" s="168"/>
      <c r="LPM99" s="167"/>
      <c r="LPN99" s="168"/>
      <c r="LPO99" s="167"/>
      <c r="LPP99" s="168"/>
      <c r="LPQ99" s="167"/>
      <c r="LPR99" s="168"/>
      <c r="LPS99" s="167"/>
      <c r="LPT99" s="168"/>
      <c r="LPU99" s="167"/>
      <c r="LPV99" s="168"/>
      <c r="LPW99" s="167"/>
      <c r="LPX99" s="168"/>
      <c r="LPY99" s="167"/>
      <c r="LPZ99" s="168"/>
      <c r="LQA99" s="167"/>
      <c r="LQB99" s="168"/>
      <c r="LQC99" s="167"/>
      <c r="LQD99" s="168"/>
      <c r="LQE99" s="167"/>
      <c r="LQF99" s="168"/>
      <c r="LQG99" s="167"/>
      <c r="LQH99" s="168"/>
      <c r="LQI99" s="167"/>
      <c r="LQJ99" s="168"/>
      <c r="LQK99" s="167"/>
      <c r="LQL99" s="168"/>
      <c r="LQM99" s="167"/>
      <c r="LQN99" s="168"/>
      <c r="LQO99" s="167"/>
      <c r="LQP99" s="168"/>
      <c r="LQQ99" s="167"/>
      <c r="LQR99" s="168"/>
      <c r="LQS99" s="167"/>
      <c r="LQT99" s="168"/>
      <c r="LQU99" s="167"/>
      <c r="LQV99" s="168"/>
      <c r="LQW99" s="167"/>
      <c r="LQX99" s="168"/>
      <c r="LQY99" s="167"/>
      <c r="LQZ99" s="168"/>
      <c r="LRA99" s="167"/>
      <c r="LRB99" s="168"/>
      <c r="LRC99" s="167"/>
      <c r="LRD99" s="168"/>
      <c r="LRE99" s="167"/>
      <c r="LRF99" s="168"/>
      <c r="LRG99" s="167"/>
      <c r="LRH99" s="168"/>
      <c r="LRI99" s="167"/>
      <c r="LRJ99" s="168"/>
      <c r="LRK99" s="167"/>
      <c r="LRL99" s="168"/>
      <c r="LRM99" s="167"/>
      <c r="LRN99" s="168"/>
      <c r="LRO99" s="167"/>
      <c r="LRP99" s="168"/>
      <c r="LRQ99" s="167"/>
      <c r="LRR99" s="168"/>
      <c r="LRS99" s="167"/>
      <c r="LRT99" s="168"/>
      <c r="LRU99" s="167"/>
      <c r="LRV99" s="168"/>
      <c r="LRW99" s="167"/>
      <c r="LRX99" s="168"/>
      <c r="LRY99" s="167"/>
      <c r="LRZ99" s="168"/>
      <c r="LSA99" s="167"/>
      <c r="LSB99" s="168"/>
      <c r="LSC99" s="167"/>
      <c r="LSD99" s="168"/>
      <c r="LSE99" s="167"/>
      <c r="LSF99" s="168"/>
      <c r="LSG99" s="167"/>
      <c r="LSH99" s="168"/>
      <c r="LSI99" s="167"/>
      <c r="LSJ99" s="168"/>
      <c r="LSK99" s="167"/>
      <c r="LSL99" s="168"/>
      <c r="LSM99" s="167"/>
      <c r="LSN99" s="168"/>
      <c r="LSO99" s="167"/>
      <c r="LSP99" s="168"/>
      <c r="LSQ99" s="167"/>
      <c r="LSR99" s="168"/>
      <c r="LSS99" s="167"/>
      <c r="LST99" s="168"/>
      <c r="LSU99" s="167"/>
      <c r="LSV99" s="168"/>
      <c r="LSW99" s="167"/>
      <c r="LSX99" s="168"/>
      <c r="LSY99" s="167"/>
      <c r="LSZ99" s="168"/>
      <c r="LTA99" s="167"/>
      <c r="LTB99" s="168"/>
      <c r="LTC99" s="167"/>
      <c r="LTD99" s="168"/>
      <c r="LTE99" s="167"/>
      <c r="LTF99" s="168"/>
      <c r="LTG99" s="167"/>
      <c r="LTH99" s="168"/>
      <c r="LTI99" s="167"/>
      <c r="LTJ99" s="168"/>
      <c r="LTK99" s="167"/>
      <c r="LTL99" s="168"/>
      <c r="LTM99" s="167"/>
      <c r="LTN99" s="168"/>
      <c r="LTO99" s="167"/>
      <c r="LTP99" s="168"/>
      <c r="LTQ99" s="167"/>
      <c r="LTR99" s="168"/>
      <c r="LTS99" s="167"/>
      <c r="LTT99" s="168"/>
      <c r="LTU99" s="167"/>
      <c r="LTV99" s="168"/>
      <c r="LTW99" s="167"/>
      <c r="LTX99" s="168"/>
      <c r="LTY99" s="167"/>
      <c r="LTZ99" s="168"/>
      <c r="LUA99" s="167"/>
      <c r="LUB99" s="168"/>
      <c r="LUC99" s="167"/>
      <c r="LUD99" s="168"/>
      <c r="LUE99" s="167"/>
      <c r="LUF99" s="168"/>
      <c r="LUG99" s="167"/>
      <c r="LUH99" s="168"/>
      <c r="LUI99" s="167"/>
      <c r="LUJ99" s="168"/>
      <c r="LUK99" s="167"/>
      <c r="LUL99" s="168"/>
      <c r="LUM99" s="167"/>
      <c r="LUN99" s="168"/>
      <c r="LUO99" s="167"/>
      <c r="LUP99" s="168"/>
      <c r="LUQ99" s="167"/>
      <c r="LUR99" s="168"/>
      <c r="LUS99" s="167"/>
      <c r="LUT99" s="168"/>
      <c r="LUU99" s="167"/>
      <c r="LUV99" s="168"/>
      <c r="LUW99" s="167"/>
      <c r="LUX99" s="168"/>
      <c r="LUY99" s="167"/>
      <c r="LUZ99" s="168"/>
      <c r="LVA99" s="167"/>
      <c r="LVB99" s="168"/>
      <c r="LVC99" s="167"/>
      <c r="LVD99" s="168"/>
      <c r="LVE99" s="167"/>
      <c r="LVF99" s="168"/>
      <c r="LVG99" s="167"/>
      <c r="LVH99" s="168"/>
      <c r="LVI99" s="167"/>
      <c r="LVJ99" s="168"/>
      <c r="LVK99" s="167"/>
      <c r="LVL99" s="168"/>
      <c r="LVM99" s="167"/>
      <c r="LVN99" s="168"/>
      <c r="LVO99" s="167"/>
      <c r="LVP99" s="168"/>
      <c r="LVQ99" s="167"/>
      <c r="LVR99" s="168"/>
      <c r="LVS99" s="167"/>
      <c r="LVT99" s="168"/>
      <c r="LVU99" s="167"/>
      <c r="LVV99" s="168"/>
      <c r="LVW99" s="167"/>
      <c r="LVX99" s="168"/>
      <c r="LVY99" s="167"/>
      <c r="LVZ99" s="168"/>
      <c r="LWA99" s="167"/>
      <c r="LWB99" s="168"/>
      <c r="LWC99" s="167"/>
      <c r="LWD99" s="168"/>
      <c r="LWE99" s="167"/>
      <c r="LWF99" s="168"/>
      <c r="LWG99" s="167"/>
      <c r="LWH99" s="168"/>
      <c r="LWI99" s="167"/>
      <c r="LWJ99" s="168"/>
      <c r="LWK99" s="167"/>
      <c r="LWL99" s="168"/>
      <c r="LWM99" s="167"/>
      <c r="LWN99" s="168"/>
      <c r="LWO99" s="167"/>
      <c r="LWP99" s="168"/>
      <c r="LWQ99" s="167"/>
      <c r="LWR99" s="168"/>
      <c r="LWS99" s="167"/>
      <c r="LWT99" s="168"/>
      <c r="LWU99" s="167"/>
      <c r="LWV99" s="168"/>
      <c r="LWW99" s="167"/>
      <c r="LWX99" s="168"/>
      <c r="LWY99" s="167"/>
      <c r="LWZ99" s="168"/>
      <c r="LXA99" s="167"/>
      <c r="LXB99" s="168"/>
      <c r="LXC99" s="167"/>
      <c r="LXD99" s="168"/>
      <c r="LXE99" s="167"/>
      <c r="LXF99" s="168"/>
      <c r="LXG99" s="167"/>
      <c r="LXH99" s="168"/>
      <c r="LXI99" s="167"/>
      <c r="LXJ99" s="168"/>
      <c r="LXK99" s="167"/>
      <c r="LXL99" s="168"/>
      <c r="LXM99" s="167"/>
      <c r="LXN99" s="168"/>
      <c r="LXO99" s="167"/>
      <c r="LXP99" s="168"/>
      <c r="LXQ99" s="167"/>
      <c r="LXR99" s="168"/>
      <c r="LXS99" s="167"/>
      <c r="LXT99" s="168"/>
      <c r="LXU99" s="167"/>
      <c r="LXV99" s="168"/>
      <c r="LXW99" s="167"/>
      <c r="LXX99" s="168"/>
      <c r="LXY99" s="167"/>
      <c r="LXZ99" s="168"/>
      <c r="LYA99" s="167"/>
      <c r="LYB99" s="168"/>
      <c r="LYC99" s="167"/>
      <c r="LYD99" s="168"/>
      <c r="LYE99" s="167"/>
      <c r="LYF99" s="168"/>
      <c r="LYG99" s="167"/>
      <c r="LYH99" s="168"/>
      <c r="LYI99" s="167"/>
      <c r="LYJ99" s="168"/>
      <c r="LYK99" s="167"/>
      <c r="LYL99" s="168"/>
      <c r="LYM99" s="167"/>
      <c r="LYN99" s="168"/>
      <c r="LYO99" s="167"/>
      <c r="LYP99" s="168"/>
      <c r="LYQ99" s="167"/>
      <c r="LYR99" s="168"/>
      <c r="LYS99" s="167"/>
      <c r="LYT99" s="168"/>
      <c r="LYU99" s="167"/>
      <c r="LYV99" s="168"/>
      <c r="LYW99" s="167"/>
      <c r="LYX99" s="168"/>
      <c r="LYY99" s="167"/>
      <c r="LYZ99" s="168"/>
      <c r="LZA99" s="167"/>
      <c r="LZB99" s="168"/>
      <c r="LZC99" s="167"/>
      <c r="LZD99" s="168"/>
      <c r="LZE99" s="167"/>
      <c r="LZF99" s="168"/>
      <c r="LZG99" s="167"/>
      <c r="LZH99" s="168"/>
      <c r="LZI99" s="167"/>
      <c r="LZJ99" s="168"/>
      <c r="LZK99" s="167"/>
      <c r="LZL99" s="168"/>
      <c r="LZM99" s="167"/>
      <c r="LZN99" s="168"/>
      <c r="LZO99" s="167"/>
      <c r="LZP99" s="168"/>
      <c r="LZQ99" s="167"/>
      <c r="LZR99" s="168"/>
      <c r="LZS99" s="167"/>
      <c r="LZT99" s="168"/>
      <c r="LZU99" s="167"/>
      <c r="LZV99" s="168"/>
      <c r="LZW99" s="167"/>
      <c r="LZX99" s="168"/>
      <c r="LZY99" s="167"/>
      <c r="LZZ99" s="168"/>
      <c r="MAA99" s="167"/>
      <c r="MAB99" s="168"/>
      <c r="MAC99" s="167"/>
      <c r="MAD99" s="168"/>
      <c r="MAE99" s="167"/>
      <c r="MAF99" s="168"/>
      <c r="MAG99" s="167"/>
      <c r="MAH99" s="168"/>
      <c r="MAI99" s="167"/>
      <c r="MAJ99" s="168"/>
      <c r="MAK99" s="167"/>
      <c r="MAL99" s="168"/>
      <c r="MAM99" s="167"/>
      <c r="MAN99" s="168"/>
      <c r="MAO99" s="167"/>
      <c r="MAP99" s="168"/>
      <c r="MAQ99" s="167"/>
      <c r="MAR99" s="168"/>
      <c r="MAS99" s="167"/>
      <c r="MAT99" s="168"/>
      <c r="MAU99" s="167"/>
      <c r="MAV99" s="168"/>
      <c r="MAW99" s="167"/>
      <c r="MAX99" s="168"/>
      <c r="MAY99" s="167"/>
      <c r="MAZ99" s="168"/>
      <c r="MBA99" s="167"/>
      <c r="MBB99" s="168"/>
      <c r="MBC99" s="167"/>
      <c r="MBD99" s="168"/>
      <c r="MBE99" s="167"/>
      <c r="MBF99" s="168"/>
      <c r="MBG99" s="167"/>
      <c r="MBH99" s="168"/>
      <c r="MBI99" s="167"/>
      <c r="MBJ99" s="168"/>
      <c r="MBK99" s="167"/>
      <c r="MBL99" s="168"/>
      <c r="MBM99" s="167"/>
      <c r="MBN99" s="168"/>
      <c r="MBO99" s="167"/>
      <c r="MBP99" s="168"/>
      <c r="MBQ99" s="167"/>
      <c r="MBR99" s="168"/>
      <c r="MBS99" s="167"/>
      <c r="MBT99" s="168"/>
      <c r="MBU99" s="167"/>
      <c r="MBV99" s="168"/>
      <c r="MBW99" s="167"/>
      <c r="MBX99" s="168"/>
      <c r="MBY99" s="167"/>
      <c r="MBZ99" s="168"/>
      <c r="MCA99" s="167"/>
      <c r="MCB99" s="168"/>
      <c r="MCC99" s="167"/>
      <c r="MCD99" s="168"/>
      <c r="MCE99" s="167"/>
      <c r="MCF99" s="168"/>
      <c r="MCG99" s="167"/>
      <c r="MCH99" s="168"/>
      <c r="MCI99" s="167"/>
      <c r="MCJ99" s="168"/>
      <c r="MCK99" s="167"/>
      <c r="MCL99" s="168"/>
      <c r="MCM99" s="167"/>
      <c r="MCN99" s="168"/>
      <c r="MCO99" s="167"/>
      <c r="MCP99" s="168"/>
      <c r="MCQ99" s="167"/>
      <c r="MCR99" s="168"/>
      <c r="MCS99" s="167"/>
      <c r="MCT99" s="168"/>
      <c r="MCU99" s="167"/>
      <c r="MCV99" s="168"/>
      <c r="MCW99" s="167"/>
      <c r="MCX99" s="168"/>
      <c r="MCY99" s="167"/>
      <c r="MCZ99" s="168"/>
      <c r="MDA99" s="167"/>
      <c r="MDB99" s="168"/>
      <c r="MDC99" s="167"/>
      <c r="MDD99" s="168"/>
      <c r="MDE99" s="167"/>
      <c r="MDF99" s="168"/>
      <c r="MDG99" s="167"/>
      <c r="MDH99" s="168"/>
      <c r="MDI99" s="167"/>
      <c r="MDJ99" s="168"/>
      <c r="MDK99" s="167"/>
      <c r="MDL99" s="168"/>
      <c r="MDM99" s="167"/>
      <c r="MDN99" s="168"/>
      <c r="MDO99" s="167"/>
      <c r="MDP99" s="168"/>
      <c r="MDQ99" s="167"/>
      <c r="MDR99" s="168"/>
      <c r="MDS99" s="167"/>
      <c r="MDT99" s="168"/>
      <c r="MDU99" s="167"/>
      <c r="MDV99" s="168"/>
      <c r="MDW99" s="167"/>
      <c r="MDX99" s="168"/>
      <c r="MDY99" s="167"/>
      <c r="MDZ99" s="168"/>
      <c r="MEA99" s="167"/>
      <c r="MEB99" s="168"/>
      <c r="MEC99" s="167"/>
      <c r="MED99" s="168"/>
      <c r="MEE99" s="167"/>
      <c r="MEF99" s="168"/>
      <c r="MEG99" s="167"/>
      <c r="MEH99" s="168"/>
      <c r="MEI99" s="167"/>
      <c r="MEJ99" s="168"/>
      <c r="MEK99" s="167"/>
      <c r="MEL99" s="168"/>
      <c r="MEM99" s="167"/>
      <c r="MEN99" s="168"/>
      <c r="MEO99" s="167"/>
      <c r="MEP99" s="168"/>
      <c r="MEQ99" s="167"/>
      <c r="MER99" s="168"/>
      <c r="MES99" s="167"/>
      <c r="MET99" s="168"/>
      <c r="MEU99" s="167"/>
      <c r="MEV99" s="168"/>
      <c r="MEW99" s="167"/>
      <c r="MEX99" s="168"/>
      <c r="MEY99" s="167"/>
      <c r="MEZ99" s="168"/>
      <c r="MFA99" s="167"/>
      <c r="MFB99" s="168"/>
      <c r="MFC99" s="167"/>
      <c r="MFD99" s="168"/>
      <c r="MFE99" s="167"/>
      <c r="MFF99" s="168"/>
      <c r="MFG99" s="167"/>
      <c r="MFH99" s="168"/>
      <c r="MFI99" s="167"/>
      <c r="MFJ99" s="168"/>
      <c r="MFK99" s="167"/>
      <c r="MFL99" s="168"/>
      <c r="MFM99" s="167"/>
      <c r="MFN99" s="168"/>
      <c r="MFO99" s="167"/>
      <c r="MFP99" s="168"/>
      <c r="MFQ99" s="167"/>
      <c r="MFR99" s="168"/>
      <c r="MFS99" s="167"/>
      <c r="MFT99" s="168"/>
      <c r="MFU99" s="167"/>
      <c r="MFV99" s="168"/>
      <c r="MFW99" s="167"/>
      <c r="MFX99" s="168"/>
      <c r="MFY99" s="167"/>
      <c r="MFZ99" s="168"/>
      <c r="MGA99" s="167"/>
      <c r="MGB99" s="168"/>
      <c r="MGC99" s="167"/>
      <c r="MGD99" s="168"/>
      <c r="MGE99" s="167"/>
      <c r="MGF99" s="168"/>
      <c r="MGG99" s="167"/>
      <c r="MGH99" s="168"/>
      <c r="MGI99" s="167"/>
      <c r="MGJ99" s="168"/>
      <c r="MGK99" s="167"/>
      <c r="MGL99" s="168"/>
      <c r="MGM99" s="167"/>
      <c r="MGN99" s="168"/>
      <c r="MGO99" s="167"/>
      <c r="MGP99" s="168"/>
      <c r="MGQ99" s="167"/>
      <c r="MGR99" s="168"/>
      <c r="MGS99" s="167"/>
      <c r="MGT99" s="168"/>
      <c r="MGU99" s="167"/>
      <c r="MGV99" s="168"/>
      <c r="MGW99" s="167"/>
      <c r="MGX99" s="168"/>
      <c r="MGY99" s="167"/>
      <c r="MGZ99" s="168"/>
      <c r="MHA99" s="167"/>
      <c r="MHB99" s="168"/>
      <c r="MHC99" s="167"/>
      <c r="MHD99" s="168"/>
      <c r="MHE99" s="167"/>
      <c r="MHF99" s="168"/>
      <c r="MHG99" s="167"/>
      <c r="MHH99" s="168"/>
      <c r="MHI99" s="167"/>
      <c r="MHJ99" s="168"/>
      <c r="MHK99" s="167"/>
      <c r="MHL99" s="168"/>
      <c r="MHM99" s="167"/>
      <c r="MHN99" s="168"/>
      <c r="MHO99" s="167"/>
      <c r="MHP99" s="168"/>
      <c r="MHQ99" s="167"/>
      <c r="MHR99" s="168"/>
      <c r="MHS99" s="167"/>
      <c r="MHT99" s="168"/>
      <c r="MHU99" s="167"/>
      <c r="MHV99" s="168"/>
      <c r="MHW99" s="167"/>
      <c r="MHX99" s="168"/>
      <c r="MHY99" s="167"/>
      <c r="MHZ99" s="168"/>
      <c r="MIA99" s="167"/>
      <c r="MIB99" s="168"/>
      <c r="MIC99" s="167"/>
      <c r="MID99" s="168"/>
      <c r="MIE99" s="167"/>
      <c r="MIF99" s="168"/>
      <c r="MIG99" s="167"/>
      <c r="MIH99" s="168"/>
      <c r="MII99" s="167"/>
      <c r="MIJ99" s="168"/>
      <c r="MIK99" s="167"/>
      <c r="MIL99" s="168"/>
      <c r="MIM99" s="167"/>
      <c r="MIN99" s="168"/>
      <c r="MIO99" s="167"/>
      <c r="MIP99" s="168"/>
      <c r="MIQ99" s="167"/>
      <c r="MIR99" s="168"/>
      <c r="MIS99" s="167"/>
      <c r="MIT99" s="168"/>
      <c r="MIU99" s="167"/>
      <c r="MIV99" s="168"/>
      <c r="MIW99" s="167"/>
      <c r="MIX99" s="168"/>
      <c r="MIY99" s="167"/>
      <c r="MIZ99" s="168"/>
      <c r="MJA99" s="167"/>
      <c r="MJB99" s="168"/>
      <c r="MJC99" s="167"/>
      <c r="MJD99" s="168"/>
      <c r="MJE99" s="167"/>
      <c r="MJF99" s="168"/>
      <c r="MJG99" s="167"/>
      <c r="MJH99" s="168"/>
      <c r="MJI99" s="167"/>
      <c r="MJJ99" s="168"/>
      <c r="MJK99" s="167"/>
      <c r="MJL99" s="168"/>
      <c r="MJM99" s="167"/>
      <c r="MJN99" s="168"/>
      <c r="MJO99" s="167"/>
      <c r="MJP99" s="168"/>
      <c r="MJQ99" s="167"/>
      <c r="MJR99" s="168"/>
      <c r="MJS99" s="167"/>
      <c r="MJT99" s="168"/>
      <c r="MJU99" s="167"/>
      <c r="MJV99" s="168"/>
      <c r="MJW99" s="167"/>
      <c r="MJX99" s="168"/>
      <c r="MJY99" s="167"/>
      <c r="MJZ99" s="168"/>
      <c r="MKA99" s="167"/>
      <c r="MKB99" s="168"/>
      <c r="MKC99" s="167"/>
      <c r="MKD99" s="168"/>
      <c r="MKE99" s="167"/>
      <c r="MKF99" s="168"/>
      <c r="MKG99" s="167"/>
      <c r="MKH99" s="168"/>
      <c r="MKI99" s="167"/>
      <c r="MKJ99" s="168"/>
      <c r="MKK99" s="167"/>
      <c r="MKL99" s="168"/>
      <c r="MKM99" s="167"/>
      <c r="MKN99" s="168"/>
      <c r="MKO99" s="167"/>
      <c r="MKP99" s="168"/>
      <c r="MKQ99" s="167"/>
      <c r="MKR99" s="168"/>
      <c r="MKS99" s="167"/>
      <c r="MKT99" s="168"/>
      <c r="MKU99" s="167"/>
      <c r="MKV99" s="168"/>
      <c r="MKW99" s="167"/>
      <c r="MKX99" s="168"/>
      <c r="MKY99" s="167"/>
      <c r="MKZ99" s="168"/>
      <c r="MLA99" s="167"/>
      <c r="MLB99" s="168"/>
      <c r="MLC99" s="167"/>
      <c r="MLD99" s="168"/>
      <c r="MLE99" s="167"/>
      <c r="MLF99" s="168"/>
      <c r="MLG99" s="167"/>
      <c r="MLH99" s="168"/>
      <c r="MLI99" s="167"/>
      <c r="MLJ99" s="168"/>
      <c r="MLK99" s="167"/>
      <c r="MLL99" s="168"/>
      <c r="MLM99" s="167"/>
      <c r="MLN99" s="168"/>
      <c r="MLO99" s="167"/>
      <c r="MLP99" s="168"/>
      <c r="MLQ99" s="167"/>
      <c r="MLR99" s="168"/>
      <c r="MLS99" s="167"/>
      <c r="MLT99" s="168"/>
      <c r="MLU99" s="167"/>
      <c r="MLV99" s="168"/>
      <c r="MLW99" s="167"/>
      <c r="MLX99" s="168"/>
      <c r="MLY99" s="167"/>
      <c r="MLZ99" s="168"/>
      <c r="MMA99" s="167"/>
      <c r="MMB99" s="168"/>
      <c r="MMC99" s="167"/>
      <c r="MMD99" s="168"/>
      <c r="MME99" s="167"/>
      <c r="MMF99" s="168"/>
      <c r="MMG99" s="167"/>
      <c r="MMH99" s="168"/>
      <c r="MMI99" s="167"/>
      <c r="MMJ99" s="168"/>
      <c r="MMK99" s="167"/>
      <c r="MML99" s="168"/>
      <c r="MMM99" s="167"/>
      <c r="MMN99" s="168"/>
      <c r="MMO99" s="167"/>
      <c r="MMP99" s="168"/>
      <c r="MMQ99" s="167"/>
      <c r="MMR99" s="168"/>
      <c r="MMS99" s="167"/>
      <c r="MMT99" s="168"/>
      <c r="MMU99" s="167"/>
      <c r="MMV99" s="168"/>
      <c r="MMW99" s="167"/>
      <c r="MMX99" s="168"/>
      <c r="MMY99" s="167"/>
      <c r="MMZ99" s="168"/>
      <c r="MNA99" s="167"/>
      <c r="MNB99" s="168"/>
      <c r="MNC99" s="167"/>
      <c r="MND99" s="168"/>
      <c r="MNE99" s="167"/>
      <c r="MNF99" s="168"/>
      <c r="MNG99" s="167"/>
      <c r="MNH99" s="168"/>
      <c r="MNI99" s="167"/>
      <c r="MNJ99" s="168"/>
      <c r="MNK99" s="167"/>
      <c r="MNL99" s="168"/>
      <c r="MNM99" s="167"/>
      <c r="MNN99" s="168"/>
      <c r="MNO99" s="167"/>
      <c r="MNP99" s="168"/>
      <c r="MNQ99" s="167"/>
      <c r="MNR99" s="168"/>
      <c r="MNS99" s="167"/>
      <c r="MNT99" s="168"/>
      <c r="MNU99" s="167"/>
      <c r="MNV99" s="168"/>
      <c r="MNW99" s="167"/>
      <c r="MNX99" s="168"/>
      <c r="MNY99" s="167"/>
      <c r="MNZ99" s="168"/>
      <c r="MOA99" s="167"/>
      <c r="MOB99" s="168"/>
      <c r="MOC99" s="167"/>
      <c r="MOD99" s="168"/>
      <c r="MOE99" s="167"/>
      <c r="MOF99" s="168"/>
      <c r="MOG99" s="167"/>
      <c r="MOH99" s="168"/>
      <c r="MOI99" s="167"/>
      <c r="MOJ99" s="168"/>
      <c r="MOK99" s="167"/>
      <c r="MOL99" s="168"/>
      <c r="MOM99" s="167"/>
      <c r="MON99" s="168"/>
      <c r="MOO99" s="167"/>
      <c r="MOP99" s="168"/>
      <c r="MOQ99" s="167"/>
      <c r="MOR99" s="168"/>
      <c r="MOS99" s="167"/>
      <c r="MOT99" s="168"/>
      <c r="MOU99" s="167"/>
      <c r="MOV99" s="168"/>
      <c r="MOW99" s="167"/>
      <c r="MOX99" s="168"/>
      <c r="MOY99" s="167"/>
      <c r="MOZ99" s="168"/>
      <c r="MPA99" s="167"/>
      <c r="MPB99" s="168"/>
      <c r="MPC99" s="167"/>
      <c r="MPD99" s="168"/>
      <c r="MPE99" s="167"/>
      <c r="MPF99" s="168"/>
      <c r="MPG99" s="167"/>
      <c r="MPH99" s="168"/>
      <c r="MPI99" s="167"/>
      <c r="MPJ99" s="168"/>
      <c r="MPK99" s="167"/>
      <c r="MPL99" s="168"/>
      <c r="MPM99" s="167"/>
      <c r="MPN99" s="168"/>
      <c r="MPO99" s="167"/>
      <c r="MPP99" s="168"/>
      <c r="MPQ99" s="167"/>
      <c r="MPR99" s="168"/>
      <c r="MPS99" s="167"/>
      <c r="MPT99" s="168"/>
      <c r="MPU99" s="167"/>
      <c r="MPV99" s="168"/>
      <c r="MPW99" s="167"/>
      <c r="MPX99" s="168"/>
      <c r="MPY99" s="167"/>
      <c r="MPZ99" s="168"/>
      <c r="MQA99" s="167"/>
      <c r="MQB99" s="168"/>
      <c r="MQC99" s="167"/>
      <c r="MQD99" s="168"/>
      <c r="MQE99" s="167"/>
      <c r="MQF99" s="168"/>
      <c r="MQG99" s="167"/>
      <c r="MQH99" s="168"/>
      <c r="MQI99" s="167"/>
      <c r="MQJ99" s="168"/>
      <c r="MQK99" s="167"/>
      <c r="MQL99" s="168"/>
      <c r="MQM99" s="167"/>
      <c r="MQN99" s="168"/>
      <c r="MQO99" s="167"/>
      <c r="MQP99" s="168"/>
      <c r="MQQ99" s="167"/>
      <c r="MQR99" s="168"/>
      <c r="MQS99" s="167"/>
      <c r="MQT99" s="168"/>
      <c r="MQU99" s="167"/>
      <c r="MQV99" s="168"/>
      <c r="MQW99" s="167"/>
      <c r="MQX99" s="168"/>
      <c r="MQY99" s="167"/>
      <c r="MQZ99" s="168"/>
      <c r="MRA99" s="167"/>
      <c r="MRB99" s="168"/>
      <c r="MRC99" s="167"/>
      <c r="MRD99" s="168"/>
      <c r="MRE99" s="167"/>
      <c r="MRF99" s="168"/>
      <c r="MRG99" s="167"/>
      <c r="MRH99" s="168"/>
      <c r="MRI99" s="167"/>
      <c r="MRJ99" s="168"/>
      <c r="MRK99" s="167"/>
      <c r="MRL99" s="168"/>
      <c r="MRM99" s="167"/>
      <c r="MRN99" s="168"/>
      <c r="MRO99" s="167"/>
      <c r="MRP99" s="168"/>
      <c r="MRQ99" s="167"/>
      <c r="MRR99" s="168"/>
      <c r="MRS99" s="167"/>
      <c r="MRT99" s="168"/>
      <c r="MRU99" s="167"/>
      <c r="MRV99" s="168"/>
      <c r="MRW99" s="167"/>
      <c r="MRX99" s="168"/>
      <c r="MRY99" s="167"/>
      <c r="MRZ99" s="168"/>
      <c r="MSA99" s="167"/>
      <c r="MSB99" s="168"/>
      <c r="MSC99" s="167"/>
      <c r="MSD99" s="168"/>
      <c r="MSE99" s="167"/>
      <c r="MSF99" s="168"/>
      <c r="MSG99" s="167"/>
      <c r="MSH99" s="168"/>
      <c r="MSI99" s="167"/>
      <c r="MSJ99" s="168"/>
      <c r="MSK99" s="167"/>
      <c r="MSL99" s="168"/>
      <c r="MSM99" s="167"/>
      <c r="MSN99" s="168"/>
      <c r="MSO99" s="167"/>
      <c r="MSP99" s="168"/>
      <c r="MSQ99" s="167"/>
      <c r="MSR99" s="168"/>
      <c r="MSS99" s="167"/>
      <c r="MST99" s="168"/>
      <c r="MSU99" s="167"/>
      <c r="MSV99" s="168"/>
      <c r="MSW99" s="167"/>
      <c r="MSX99" s="168"/>
      <c r="MSY99" s="167"/>
      <c r="MSZ99" s="168"/>
      <c r="MTA99" s="167"/>
      <c r="MTB99" s="168"/>
      <c r="MTC99" s="167"/>
      <c r="MTD99" s="168"/>
      <c r="MTE99" s="167"/>
      <c r="MTF99" s="168"/>
      <c r="MTG99" s="167"/>
      <c r="MTH99" s="168"/>
      <c r="MTI99" s="167"/>
      <c r="MTJ99" s="168"/>
      <c r="MTK99" s="167"/>
      <c r="MTL99" s="168"/>
      <c r="MTM99" s="167"/>
      <c r="MTN99" s="168"/>
      <c r="MTO99" s="167"/>
      <c r="MTP99" s="168"/>
      <c r="MTQ99" s="167"/>
      <c r="MTR99" s="168"/>
      <c r="MTS99" s="167"/>
      <c r="MTT99" s="168"/>
      <c r="MTU99" s="167"/>
      <c r="MTV99" s="168"/>
      <c r="MTW99" s="167"/>
      <c r="MTX99" s="168"/>
      <c r="MTY99" s="167"/>
      <c r="MTZ99" s="168"/>
      <c r="MUA99" s="167"/>
      <c r="MUB99" s="168"/>
      <c r="MUC99" s="167"/>
      <c r="MUD99" s="168"/>
      <c r="MUE99" s="167"/>
      <c r="MUF99" s="168"/>
      <c r="MUG99" s="167"/>
      <c r="MUH99" s="168"/>
      <c r="MUI99" s="167"/>
      <c r="MUJ99" s="168"/>
      <c r="MUK99" s="167"/>
      <c r="MUL99" s="168"/>
      <c r="MUM99" s="167"/>
      <c r="MUN99" s="168"/>
      <c r="MUO99" s="167"/>
      <c r="MUP99" s="168"/>
      <c r="MUQ99" s="167"/>
      <c r="MUR99" s="168"/>
      <c r="MUS99" s="167"/>
      <c r="MUT99" s="168"/>
      <c r="MUU99" s="167"/>
      <c r="MUV99" s="168"/>
      <c r="MUW99" s="167"/>
      <c r="MUX99" s="168"/>
      <c r="MUY99" s="167"/>
      <c r="MUZ99" s="168"/>
      <c r="MVA99" s="167"/>
      <c r="MVB99" s="168"/>
      <c r="MVC99" s="167"/>
      <c r="MVD99" s="168"/>
      <c r="MVE99" s="167"/>
      <c r="MVF99" s="168"/>
      <c r="MVG99" s="167"/>
      <c r="MVH99" s="168"/>
      <c r="MVI99" s="167"/>
      <c r="MVJ99" s="168"/>
      <c r="MVK99" s="167"/>
      <c r="MVL99" s="168"/>
      <c r="MVM99" s="167"/>
      <c r="MVN99" s="168"/>
      <c r="MVO99" s="167"/>
      <c r="MVP99" s="168"/>
      <c r="MVQ99" s="167"/>
      <c r="MVR99" s="168"/>
      <c r="MVS99" s="167"/>
      <c r="MVT99" s="168"/>
      <c r="MVU99" s="167"/>
      <c r="MVV99" s="168"/>
      <c r="MVW99" s="167"/>
      <c r="MVX99" s="168"/>
      <c r="MVY99" s="167"/>
      <c r="MVZ99" s="168"/>
      <c r="MWA99" s="167"/>
      <c r="MWB99" s="168"/>
      <c r="MWC99" s="167"/>
      <c r="MWD99" s="168"/>
      <c r="MWE99" s="167"/>
      <c r="MWF99" s="168"/>
      <c r="MWG99" s="167"/>
      <c r="MWH99" s="168"/>
      <c r="MWI99" s="167"/>
      <c r="MWJ99" s="168"/>
      <c r="MWK99" s="167"/>
      <c r="MWL99" s="168"/>
      <c r="MWM99" s="167"/>
      <c r="MWN99" s="168"/>
      <c r="MWO99" s="167"/>
      <c r="MWP99" s="168"/>
      <c r="MWQ99" s="167"/>
      <c r="MWR99" s="168"/>
      <c r="MWS99" s="167"/>
      <c r="MWT99" s="168"/>
      <c r="MWU99" s="167"/>
      <c r="MWV99" s="168"/>
      <c r="MWW99" s="167"/>
      <c r="MWX99" s="168"/>
      <c r="MWY99" s="167"/>
      <c r="MWZ99" s="168"/>
      <c r="MXA99" s="167"/>
      <c r="MXB99" s="168"/>
      <c r="MXC99" s="167"/>
      <c r="MXD99" s="168"/>
      <c r="MXE99" s="167"/>
      <c r="MXF99" s="168"/>
      <c r="MXG99" s="167"/>
      <c r="MXH99" s="168"/>
      <c r="MXI99" s="167"/>
      <c r="MXJ99" s="168"/>
      <c r="MXK99" s="167"/>
      <c r="MXL99" s="168"/>
      <c r="MXM99" s="167"/>
      <c r="MXN99" s="168"/>
      <c r="MXO99" s="167"/>
      <c r="MXP99" s="168"/>
      <c r="MXQ99" s="167"/>
      <c r="MXR99" s="168"/>
      <c r="MXS99" s="167"/>
      <c r="MXT99" s="168"/>
      <c r="MXU99" s="167"/>
      <c r="MXV99" s="168"/>
      <c r="MXW99" s="167"/>
      <c r="MXX99" s="168"/>
      <c r="MXY99" s="167"/>
      <c r="MXZ99" s="168"/>
      <c r="MYA99" s="167"/>
      <c r="MYB99" s="168"/>
      <c r="MYC99" s="167"/>
      <c r="MYD99" s="168"/>
      <c r="MYE99" s="167"/>
      <c r="MYF99" s="168"/>
      <c r="MYG99" s="167"/>
      <c r="MYH99" s="168"/>
      <c r="MYI99" s="167"/>
      <c r="MYJ99" s="168"/>
      <c r="MYK99" s="167"/>
      <c r="MYL99" s="168"/>
      <c r="MYM99" s="167"/>
      <c r="MYN99" s="168"/>
      <c r="MYO99" s="167"/>
      <c r="MYP99" s="168"/>
      <c r="MYQ99" s="167"/>
      <c r="MYR99" s="168"/>
      <c r="MYS99" s="167"/>
      <c r="MYT99" s="168"/>
      <c r="MYU99" s="167"/>
      <c r="MYV99" s="168"/>
      <c r="MYW99" s="167"/>
      <c r="MYX99" s="168"/>
      <c r="MYY99" s="167"/>
      <c r="MYZ99" s="168"/>
      <c r="MZA99" s="167"/>
      <c r="MZB99" s="168"/>
      <c r="MZC99" s="167"/>
      <c r="MZD99" s="168"/>
      <c r="MZE99" s="167"/>
      <c r="MZF99" s="168"/>
      <c r="MZG99" s="167"/>
      <c r="MZH99" s="168"/>
      <c r="MZI99" s="167"/>
      <c r="MZJ99" s="168"/>
      <c r="MZK99" s="167"/>
      <c r="MZL99" s="168"/>
      <c r="MZM99" s="167"/>
      <c r="MZN99" s="168"/>
      <c r="MZO99" s="167"/>
      <c r="MZP99" s="168"/>
      <c r="MZQ99" s="167"/>
      <c r="MZR99" s="168"/>
      <c r="MZS99" s="167"/>
      <c r="MZT99" s="168"/>
      <c r="MZU99" s="167"/>
      <c r="MZV99" s="168"/>
      <c r="MZW99" s="167"/>
      <c r="MZX99" s="168"/>
      <c r="MZY99" s="167"/>
      <c r="MZZ99" s="168"/>
      <c r="NAA99" s="167"/>
      <c r="NAB99" s="168"/>
      <c r="NAC99" s="167"/>
      <c r="NAD99" s="168"/>
      <c r="NAE99" s="167"/>
      <c r="NAF99" s="168"/>
      <c r="NAG99" s="167"/>
      <c r="NAH99" s="168"/>
      <c r="NAI99" s="167"/>
      <c r="NAJ99" s="168"/>
      <c r="NAK99" s="167"/>
      <c r="NAL99" s="168"/>
      <c r="NAM99" s="167"/>
      <c r="NAN99" s="168"/>
      <c r="NAO99" s="167"/>
      <c r="NAP99" s="168"/>
      <c r="NAQ99" s="167"/>
      <c r="NAR99" s="168"/>
      <c r="NAS99" s="167"/>
      <c r="NAT99" s="168"/>
      <c r="NAU99" s="167"/>
      <c r="NAV99" s="168"/>
      <c r="NAW99" s="167"/>
      <c r="NAX99" s="168"/>
      <c r="NAY99" s="167"/>
      <c r="NAZ99" s="168"/>
      <c r="NBA99" s="167"/>
      <c r="NBB99" s="168"/>
      <c r="NBC99" s="167"/>
      <c r="NBD99" s="168"/>
      <c r="NBE99" s="167"/>
      <c r="NBF99" s="168"/>
      <c r="NBG99" s="167"/>
      <c r="NBH99" s="168"/>
      <c r="NBI99" s="167"/>
      <c r="NBJ99" s="168"/>
      <c r="NBK99" s="167"/>
      <c r="NBL99" s="168"/>
      <c r="NBM99" s="167"/>
      <c r="NBN99" s="168"/>
      <c r="NBO99" s="167"/>
      <c r="NBP99" s="168"/>
      <c r="NBQ99" s="167"/>
      <c r="NBR99" s="168"/>
      <c r="NBS99" s="167"/>
      <c r="NBT99" s="168"/>
      <c r="NBU99" s="167"/>
      <c r="NBV99" s="168"/>
      <c r="NBW99" s="167"/>
      <c r="NBX99" s="168"/>
      <c r="NBY99" s="167"/>
      <c r="NBZ99" s="168"/>
      <c r="NCA99" s="167"/>
      <c r="NCB99" s="168"/>
      <c r="NCC99" s="167"/>
      <c r="NCD99" s="168"/>
      <c r="NCE99" s="167"/>
      <c r="NCF99" s="168"/>
      <c r="NCG99" s="167"/>
      <c r="NCH99" s="168"/>
      <c r="NCI99" s="167"/>
      <c r="NCJ99" s="168"/>
      <c r="NCK99" s="167"/>
      <c r="NCL99" s="168"/>
      <c r="NCM99" s="167"/>
      <c r="NCN99" s="168"/>
      <c r="NCO99" s="167"/>
      <c r="NCP99" s="168"/>
      <c r="NCQ99" s="167"/>
      <c r="NCR99" s="168"/>
      <c r="NCS99" s="167"/>
      <c r="NCT99" s="168"/>
      <c r="NCU99" s="167"/>
      <c r="NCV99" s="168"/>
      <c r="NCW99" s="167"/>
      <c r="NCX99" s="168"/>
      <c r="NCY99" s="167"/>
      <c r="NCZ99" s="168"/>
      <c r="NDA99" s="167"/>
      <c r="NDB99" s="168"/>
      <c r="NDC99" s="167"/>
      <c r="NDD99" s="168"/>
      <c r="NDE99" s="167"/>
      <c r="NDF99" s="168"/>
      <c r="NDG99" s="167"/>
      <c r="NDH99" s="168"/>
      <c r="NDI99" s="167"/>
      <c r="NDJ99" s="168"/>
      <c r="NDK99" s="167"/>
      <c r="NDL99" s="168"/>
      <c r="NDM99" s="167"/>
      <c r="NDN99" s="168"/>
      <c r="NDO99" s="167"/>
      <c r="NDP99" s="168"/>
      <c r="NDQ99" s="167"/>
      <c r="NDR99" s="168"/>
      <c r="NDS99" s="167"/>
      <c r="NDT99" s="168"/>
      <c r="NDU99" s="167"/>
      <c r="NDV99" s="168"/>
      <c r="NDW99" s="167"/>
      <c r="NDX99" s="168"/>
      <c r="NDY99" s="167"/>
      <c r="NDZ99" s="168"/>
      <c r="NEA99" s="167"/>
      <c r="NEB99" s="168"/>
      <c r="NEC99" s="167"/>
      <c r="NED99" s="168"/>
      <c r="NEE99" s="167"/>
      <c r="NEF99" s="168"/>
      <c r="NEG99" s="167"/>
      <c r="NEH99" s="168"/>
      <c r="NEI99" s="167"/>
      <c r="NEJ99" s="168"/>
      <c r="NEK99" s="167"/>
      <c r="NEL99" s="168"/>
      <c r="NEM99" s="167"/>
      <c r="NEN99" s="168"/>
      <c r="NEO99" s="167"/>
      <c r="NEP99" s="168"/>
      <c r="NEQ99" s="167"/>
      <c r="NER99" s="168"/>
      <c r="NES99" s="167"/>
      <c r="NET99" s="168"/>
      <c r="NEU99" s="167"/>
      <c r="NEV99" s="168"/>
      <c r="NEW99" s="167"/>
      <c r="NEX99" s="168"/>
      <c r="NEY99" s="167"/>
      <c r="NEZ99" s="168"/>
      <c r="NFA99" s="167"/>
      <c r="NFB99" s="168"/>
      <c r="NFC99" s="167"/>
      <c r="NFD99" s="168"/>
      <c r="NFE99" s="167"/>
      <c r="NFF99" s="168"/>
      <c r="NFG99" s="167"/>
      <c r="NFH99" s="168"/>
      <c r="NFI99" s="167"/>
      <c r="NFJ99" s="168"/>
      <c r="NFK99" s="167"/>
      <c r="NFL99" s="168"/>
      <c r="NFM99" s="167"/>
      <c r="NFN99" s="168"/>
      <c r="NFO99" s="167"/>
      <c r="NFP99" s="168"/>
      <c r="NFQ99" s="167"/>
      <c r="NFR99" s="168"/>
      <c r="NFS99" s="167"/>
      <c r="NFT99" s="168"/>
      <c r="NFU99" s="167"/>
      <c r="NFV99" s="168"/>
      <c r="NFW99" s="167"/>
      <c r="NFX99" s="168"/>
      <c r="NFY99" s="167"/>
      <c r="NFZ99" s="168"/>
      <c r="NGA99" s="167"/>
      <c r="NGB99" s="168"/>
      <c r="NGC99" s="167"/>
      <c r="NGD99" s="168"/>
      <c r="NGE99" s="167"/>
      <c r="NGF99" s="168"/>
      <c r="NGG99" s="167"/>
      <c r="NGH99" s="168"/>
      <c r="NGI99" s="167"/>
      <c r="NGJ99" s="168"/>
      <c r="NGK99" s="167"/>
      <c r="NGL99" s="168"/>
      <c r="NGM99" s="167"/>
      <c r="NGN99" s="168"/>
      <c r="NGO99" s="167"/>
      <c r="NGP99" s="168"/>
      <c r="NGQ99" s="167"/>
      <c r="NGR99" s="168"/>
      <c r="NGS99" s="167"/>
      <c r="NGT99" s="168"/>
      <c r="NGU99" s="167"/>
      <c r="NGV99" s="168"/>
      <c r="NGW99" s="167"/>
      <c r="NGX99" s="168"/>
      <c r="NGY99" s="167"/>
      <c r="NGZ99" s="168"/>
      <c r="NHA99" s="167"/>
      <c r="NHB99" s="168"/>
      <c r="NHC99" s="167"/>
      <c r="NHD99" s="168"/>
      <c r="NHE99" s="167"/>
      <c r="NHF99" s="168"/>
      <c r="NHG99" s="167"/>
      <c r="NHH99" s="168"/>
      <c r="NHI99" s="167"/>
      <c r="NHJ99" s="168"/>
      <c r="NHK99" s="167"/>
      <c r="NHL99" s="168"/>
      <c r="NHM99" s="167"/>
      <c r="NHN99" s="168"/>
      <c r="NHO99" s="167"/>
      <c r="NHP99" s="168"/>
      <c r="NHQ99" s="167"/>
      <c r="NHR99" s="168"/>
      <c r="NHS99" s="167"/>
      <c r="NHT99" s="168"/>
      <c r="NHU99" s="167"/>
      <c r="NHV99" s="168"/>
      <c r="NHW99" s="167"/>
      <c r="NHX99" s="168"/>
      <c r="NHY99" s="167"/>
      <c r="NHZ99" s="168"/>
      <c r="NIA99" s="167"/>
      <c r="NIB99" s="168"/>
      <c r="NIC99" s="167"/>
      <c r="NID99" s="168"/>
      <c r="NIE99" s="167"/>
      <c r="NIF99" s="168"/>
      <c r="NIG99" s="167"/>
      <c r="NIH99" s="168"/>
      <c r="NII99" s="167"/>
      <c r="NIJ99" s="168"/>
      <c r="NIK99" s="167"/>
      <c r="NIL99" s="168"/>
      <c r="NIM99" s="167"/>
      <c r="NIN99" s="168"/>
      <c r="NIO99" s="167"/>
      <c r="NIP99" s="168"/>
      <c r="NIQ99" s="167"/>
      <c r="NIR99" s="168"/>
      <c r="NIS99" s="167"/>
      <c r="NIT99" s="168"/>
      <c r="NIU99" s="167"/>
      <c r="NIV99" s="168"/>
      <c r="NIW99" s="167"/>
      <c r="NIX99" s="168"/>
      <c r="NIY99" s="167"/>
      <c r="NIZ99" s="168"/>
      <c r="NJA99" s="167"/>
      <c r="NJB99" s="168"/>
      <c r="NJC99" s="167"/>
      <c r="NJD99" s="168"/>
      <c r="NJE99" s="167"/>
      <c r="NJF99" s="168"/>
      <c r="NJG99" s="167"/>
      <c r="NJH99" s="168"/>
      <c r="NJI99" s="167"/>
      <c r="NJJ99" s="168"/>
      <c r="NJK99" s="167"/>
      <c r="NJL99" s="168"/>
      <c r="NJM99" s="167"/>
      <c r="NJN99" s="168"/>
      <c r="NJO99" s="167"/>
      <c r="NJP99" s="168"/>
      <c r="NJQ99" s="167"/>
      <c r="NJR99" s="168"/>
      <c r="NJS99" s="167"/>
      <c r="NJT99" s="168"/>
      <c r="NJU99" s="167"/>
      <c r="NJV99" s="168"/>
      <c r="NJW99" s="167"/>
      <c r="NJX99" s="168"/>
      <c r="NJY99" s="167"/>
      <c r="NJZ99" s="168"/>
      <c r="NKA99" s="167"/>
      <c r="NKB99" s="168"/>
      <c r="NKC99" s="167"/>
      <c r="NKD99" s="168"/>
      <c r="NKE99" s="167"/>
      <c r="NKF99" s="168"/>
      <c r="NKG99" s="167"/>
      <c r="NKH99" s="168"/>
      <c r="NKI99" s="167"/>
      <c r="NKJ99" s="168"/>
      <c r="NKK99" s="167"/>
      <c r="NKL99" s="168"/>
      <c r="NKM99" s="167"/>
      <c r="NKN99" s="168"/>
      <c r="NKO99" s="167"/>
      <c r="NKP99" s="168"/>
      <c r="NKQ99" s="167"/>
      <c r="NKR99" s="168"/>
      <c r="NKS99" s="167"/>
      <c r="NKT99" s="168"/>
      <c r="NKU99" s="167"/>
      <c r="NKV99" s="168"/>
      <c r="NKW99" s="167"/>
      <c r="NKX99" s="168"/>
      <c r="NKY99" s="167"/>
      <c r="NKZ99" s="168"/>
      <c r="NLA99" s="167"/>
      <c r="NLB99" s="168"/>
      <c r="NLC99" s="167"/>
      <c r="NLD99" s="168"/>
      <c r="NLE99" s="167"/>
      <c r="NLF99" s="168"/>
      <c r="NLG99" s="167"/>
      <c r="NLH99" s="168"/>
      <c r="NLI99" s="167"/>
      <c r="NLJ99" s="168"/>
      <c r="NLK99" s="167"/>
      <c r="NLL99" s="168"/>
      <c r="NLM99" s="167"/>
      <c r="NLN99" s="168"/>
      <c r="NLO99" s="167"/>
      <c r="NLP99" s="168"/>
      <c r="NLQ99" s="167"/>
      <c r="NLR99" s="168"/>
      <c r="NLS99" s="167"/>
      <c r="NLT99" s="168"/>
      <c r="NLU99" s="167"/>
      <c r="NLV99" s="168"/>
      <c r="NLW99" s="167"/>
      <c r="NLX99" s="168"/>
      <c r="NLY99" s="167"/>
      <c r="NLZ99" s="168"/>
      <c r="NMA99" s="167"/>
      <c r="NMB99" s="168"/>
      <c r="NMC99" s="167"/>
      <c r="NMD99" s="168"/>
      <c r="NME99" s="167"/>
      <c r="NMF99" s="168"/>
      <c r="NMG99" s="167"/>
      <c r="NMH99" s="168"/>
      <c r="NMI99" s="167"/>
      <c r="NMJ99" s="168"/>
      <c r="NMK99" s="167"/>
      <c r="NML99" s="168"/>
      <c r="NMM99" s="167"/>
      <c r="NMN99" s="168"/>
      <c r="NMO99" s="167"/>
      <c r="NMP99" s="168"/>
      <c r="NMQ99" s="167"/>
      <c r="NMR99" s="168"/>
      <c r="NMS99" s="167"/>
      <c r="NMT99" s="168"/>
      <c r="NMU99" s="167"/>
      <c r="NMV99" s="168"/>
      <c r="NMW99" s="167"/>
      <c r="NMX99" s="168"/>
      <c r="NMY99" s="167"/>
      <c r="NMZ99" s="168"/>
      <c r="NNA99" s="167"/>
      <c r="NNB99" s="168"/>
      <c r="NNC99" s="167"/>
      <c r="NND99" s="168"/>
      <c r="NNE99" s="167"/>
      <c r="NNF99" s="168"/>
      <c r="NNG99" s="167"/>
      <c r="NNH99" s="168"/>
      <c r="NNI99" s="167"/>
      <c r="NNJ99" s="168"/>
      <c r="NNK99" s="167"/>
      <c r="NNL99" s="168"/>
      <c r="NNM99" s="167"/>
      <c r="NNN99" s="168"/>
      <c r="NNO99" s="167"/>
      <c r="NNP99" s="168"/>
      <c r="NNQ99" s="167"/>
      <c r="NNR99" s="168"/>
      <c r="NNS99" s="167"/>
      <c r="NNT99" s="168"/>
      <c r="NNU99" s="167"/>
      <c r="NNV99" s="168"/>
      <c r="NNW99" s="167"/>
      <c r="NNX99" s="168"/>
      <c r="NNY99" s="167"/>
      <c r="NNZ99" s="168"/>
      <c r="NOA99" s="167"/>
      <c r="NOB99" s="168"/>
      <c r="NOC99" s="167"/>
      <c r="NOD99" s="168"/>
      <c r="NOE99" s="167"/>
      <c r="NOF99" s="168"/>
      <c r="NOG99" s="167"/>
      <c r="NOH99" s="168"/>
      <c r="NOI99" s="167"/>
      <c r="NOJ99" s="168"/>
      <c r="NOK99" s="167"/>
      <c r="NOL99" s="168"/>
      <c r="NOM99" s="167"/>
      <c r="NON99" s="168"/>
      <c r="NOO99" s="167"/>
      <c r="NOP99" s="168"/>
      <c r="NOQ99" s="167"/>
      <c r="NOR99" s="168"/>
      <c r="NOS99" s="167"/>
      <c r="NOT99" s="168"/>
      <c r="NOU99" s="167"/>
      <c r="NOV99" s="168"/>
      <c r="NOW99" s="167"/>
      <c r="NOX99" s="168"/>
      <c r="NOY99" s="167"/>
      <c r="NOZ99" s="168"/>
      <c r="NPA99" s="167"/>
      <c r="NPB99" s="168"/>
      <c r="NPC99" s="167"/>
      <c r="NPD99" s="168"/>
      <c r="NPE99" s="167"/>
      <c r="NPF99" s="168"/>
      <c r="NPG99" s="167"/>
      <c r="NPH99" s="168"/>
      <c r="NPI99" s="167"/>
      <c r="NPJ99" s="168"/>
      <c r="NPK99" s="167"/>
      <c r="NPL99" s="168"/>
      <c r="NPM99" s="167"/>
      <c r="NPN99" s="168"/>
      <c r="NPO99" s="167"/>
      <c r="NPP99" s="168"/>
      <c r="NPQ99" s="167"/>
      <c r="NPR99" s="168"/>
      <c r="NPS99" s="167"/>
      <c r="NPT99" s="168"/>
      <c r="NPU99" s="167"/>
      <c r="NPV99" s="168"/>
      <c r="NPW99" s="167"/>
      <c r="NPX99" s="168"/>
      <c r="NPY99" s="167"/>
      <c r="NPZ99" s="168"/>
      <c r="NQA99" s="167"/>
      <c r="NQB99" s="168"/>
      <c r="NQC99" s="167"/>
      <c r="NQD99" s="168"/>
      <c r="NQE99" s="167"/>
      <c r="NQF99" s="168"/>
      <c r="NQG99" s="167"/>
      <c r="NQH99" s="168"/>
      <c r="NQI99" s="167"/>
      <c r="NQJ99" s="168"/>
      <c r="NQK99" s="167"/>
      <c r="NQL99" s="168"/>
      <c r="NQM99" s="167"/>
      <c r="NQN99" s="168"/>
      <c r="NQO99" s="167"/>
      <c r="NQP99" s="168"/>
      <c r="NQQ99" s="167"/>
      <c r="NQR99" s="168"/>
      <c r="NQS99" s="167"/>
      <c r="NQT99" s="168"/>
      <c r="NQU99" s="167"/>
      <c r="NQV99" s="168"/>
      <c r="NQW99" s="167"/>
      <c r="NQX99" s="168"/>
      <c r="NQY99" s="167"/>
      <c r="NQZ99" s="168"/>
      <c r="NRA99" s="167"/>
      <c r="NRB99" s="168"/>
      <c r="NRC99" s="167"/>
      <c r="NRD99" s="168"/>
      <c r="NRE99" s="167"/>
      <c r="NRF99" s="168"/>
      <c r="NRG99" s="167"/>
      <c r="NRH99" s="168"/>
      <c r="NRI99" s="167"/>
      <c r="NRJ99" s="168"/>
      <c r="NRK99" s="167"/>
      <c r="NRL99" s="168"/>
      <c r="NRM99" s="167"/>
      <c r="NRN99" s="168"/>
      <c r="NRO99" s="167"/>
      <c r="NRP99" s="168"/>
      <c r="NRQ99" s="167"/>
      <c r="NRR99" s="168"/>
      <c r="NRS99" s="167"/>
      <c r="NRT99" s="168"/>
      <c r="NRU99" s="167"/>
      <c r="NRV99" s="168"/>
      <c r="NRW99" s="167"/>
      <c r="NRX99" s="168"/>
      <c r="NRY99" s="167"/>
      <c r="NRZ99" s="168"/>
      <c r="NSA99" s="167"/>
      <c r="NSB99" s="168"/>
      <c r="NSC99" s="167"/>
      <c r="NSD99" s="168"/>
      <c r="NSE99" s="167"/>
      <c r="NSF99" s="168"/>
      <c r="NSG99" s="167"/>
      <c r="NSH99" s="168"/>
      <c r="NSI99" s="167"/>
      <c r="NSJ99" s="168"/>
      <c r="NSK99" s="167"/>
      <c r="NSL99" s="168"/>
      <c r="NSM99" s="167"/>
      <c r="NSN99" s="168"/>
      <c r="NSO99" s="167"/>
      <c r="NSP99" s="168"/>
      <c r="NSQ99" s="167"/>
      <c r="NSR99" s="168"/>
      <c r="NSS99" s="167"/>
      <c r="NST99" s="168"/>
      <c r="NSU99" s="167"/>
      <c r="NSV99" s="168"/>
      <c r="NSW99" s="167"/>
      <c r="NSX99" s="168"/>
      <c r="NSY99" s="167"/>
      <c r="NSZ99" s="168"/>
      <c r="NTA99" s="167"/>
      <c r="NTB99" s="168"/>
      <c r="NTC99" s="167"/>
      <c r="NTD99" s="168"/>
      <c r="NTE99" s="167"/>
      <c r="NTF99" s="168"/>
      <c r="NTG99" s="167"/>
      <c r="NTH99" s="168"/>
      <c r="NTI99" s="167"/>
      <c r="NTJ99" s="168"/>
      <c r="NTK99" s="167"/>
      <c r="NTL99" s="168"/>
      <c r="NTM99" s="167"/>
      <c r="NTN99" s="168"/>
      <c r="NTO99" s="167"/>
      <c r="NTP99" s="168"/>
      <c r="NTQ99" s="167"/>
      <c r="NTR99" s="168"/>
      <c r="NTS99" s="167"/>
      <c r="NTT99" s="168"/>
      <c r="NTU99" s="167"/>
      <c r="NTV99" s="168"/>
      <c r="NTW99" s="167"/>
      <c r="NTX99" s="168"/>
      <c r="NTY99" s="167"/>
      <c r="NTZ99" s="168"/>
      <c r="NUA99" s="167"/>
      <c r="NUB99" s="168"/>
      <c r="NUC99" s="167"/>
      <c r="NUD99" s="168"/>
      <c r="NUE99" s="167"/>
      <c r="NUF99" s="168"/>
      <c r="NUG99" s="167"/>
      <c r="NUH99" s="168"/>
      <c r="NUI99" s="167"/>
      <c r="NUJ99" s="168"/>
      <c r="NUK99" s="167"/>
      <c r="NUL99" s="168"/>
      <c r="NUM99" s="167"/>
      <c r="NUN99" s="168"/>
      <c r="NUO99" s="167"/>
      <c r="NUP99" s="168"/>
      <c r="NUQ99" s="167"/>
      <c r="NUR99" s="168"/>
      <c r="NUS99" s="167"/>
      <c r="NUT99" s="168"/>
      <c r="NUU99" s="167"/>
      <c r="NUV99" s="168"/>
      <c r="NUW99" s="167"/>
      <c r="NUX99" s="168"/>
      <c r="NUY99" s="167"/>
      <c r="NUZ99" s="168"/>
      <c r="NVA99" s="167"/>
      <c r="NVB99" s="168"/>
      <c r="NVC99" s="167"/>
      <c r="NVD99" s="168"/>
      <c r="NVE99" s="167"/>
      <c r="NVF99" s="168"/>
      <c r="NVG99" s="167"/>
      <c r="NVH99" s="168"/>
      <c r="NVI99" s="167"/>
      <c r="NVJ99" s="168"/>
      <c r="NVK99" s="167"/>
      <c r="NVL99" s="168"/>
      <c r="NVM99" s="167"/>
      <c r="NVN99" s="168"/>
      <c r="NVO99" s="167"/>
      <c r="NVP99" s="168"/>
      <c r="NVQ99" s="167"/>
      <c r="NVR99" s="168"/>
      <c r="NVS99" s="167"/>
      <c r="NVT99" s="168"/>
      <c r="NVU99" s="167"/>
      <c r="NVV99" s="168"/>
      <c r="NVW99" s="167"/>
      <c r="NVX99" s="168"/>
      <c r="NVY99" s="167"/>
      <c r="NVZ99" s="168"/>
      <c r="NWA99" s="167"/>
      <c r="NWB99" s="168"/>
      <c r="NWC99" s="167"/>
      <c r="NWD99" s="168"/>
      <c r="NWE99" s="167"/>
      <c r="NWF99" s="168"/>
      <c r="NWG99" s="167"/>
      <c r="NWH99" s="168"/>
      <c r="NWI99" s="167"/>
      <c r="NWJ99" s="168"/>
      <c r="NWK99" s="167"/>
      <c r="NWL99" s="168"/>
      <c r="NWM99" s="167"/>
      <c r="NWN99" s="168"/>
      <c r="NWO99" s="167"/>
      <c r="NWP99" s="168"/>
      <c r="NWQ99" s="167"/>
      <c r="NWR99" s="168"/>
      <c r="NWS99" s="167"/>
      <c r="NWT99" s="168"/>
      <c r="NWU99" s="167"/>
      <c r="NWV99" s="168"/>
      <c r="NWW99" s="167"/>
      <c r="NWX99" s="168"/>
      <c r="NWY99" s="167"/>
      <c r="NWZ99" s="168"/>
      <c r="NXA99" s="167"/>
      <c r="NXB99" s="168"/>
      <c r="NXC99" s="167"/>
      <c r="NXD99" s="168"/>
      <c r="NXE99" s="167"/>
      <c r="NXF99" s="168"/>
      <c r="NXG99" s="167"/>
      <c r="NXH99" s="168"/>
      <c r="NXI99" s="167"/>
      <c r="NXJ99" s="168"/>
      <c r="NXK99" s="167"/>
      <c r="NXL99" s="168"/>
      <c r="NXM99" s="167"/>
      <c r="NXN99" s="168"/>
      <c r="NXO99" s="167"/>
      <c r="NXP99" s="168"/>
      <c r="NXQ99" s="167"/>
      <c r="NXR99" s="168"/>
      <c r="NXS99" s="167"/>
      <c r="NXT99" s="168"/>
      <c r="NXU99" s="167"/>
      <c r="NXV99" s="168"/>
      <c r="NXW99" s="167"/>
      <c r="NXX99" s="168"/>
      <c r="NXY99" s="167"/>
      <c r="NXZ99" s="168"/>
      <c r="NYA99" s="167"/>
      <c r="NYB99" s="168"/>
      <c r="NYC99" s="167"/>
      <c r="NYD99" s="168"/>
      <c r="NYE99" s="167"/>
      <c r="NYF99" s="168"/>
      <c r="NYG99" s="167"/>
      <c r="NYH99" s="168"/>
      <c r="NYI99" s="167"/>
      <c r="NYJ99" s="168"/>
      <c r="NYK99" s="167"/>
      <c r="NYL99" s="168"/>
      <c r="NYM99" s="167"/>
      <c r="NYN99" s="168"/>
      <c r="NYO99" s="167"/>
      <c r="NYP99" s="168"/>
      <c r="NYQ99" s="167"/>
      <c r="NYR99" s="168"/>
      <c r="NYS99" s="167"/>
      <c r="NYT99" s="168"/>
      <c r="NYU99" s="167"/>
      <c r="NYV99" s="168"/>
      <c r="NYW99" s="167"/>
      <c r="NYX99" s="168"/>
      <c r="NYY99" s="167"/>
      <c r="NYZ99" s="168"/>
      <c r="NZA99" s="167"/>
      <c r="NZB99" s="168"/>
      <c r="NZC99" s="167"/>
      <c r="NZD99" s="168"/>
      <c r="NZE99" s="167"/>
      <c r="NZF99" s="168"/>
      <c r="NZG99" s="167"/>
      <c r="NZH99" s="168"/>
      <c r="NZI99" s="167"/>
      <c r="NZJ99" s="168"/>
      <c r="NZK99" s="167"/>
      <c r="NZL99" s="168"/>
      <c r="NZM99" s="167"/>
      <c r="NZN99" s="168"/>
      <c r="NZO99" s="167"/>
      <c r="NZP99" s="168"/>
      <c r="NZQ99" s="167"/>
      <c r="NZR99" s="168"/>
      <c r="NZS99" s="167"/>
      <c r="NZT99" s="168"/>
      <c r="NZU99" s="167"/>
      <c r="NZV99" s="168"/>
      <c r="NZW99" s="167"/>
      <c r="NZX99" s="168"/>
      <c r="NZY99" s="167"/>
      <c r="NZZ99" s="168"/>
      <c r="OAA99" s="167"/>
      <c r="OAB99" s="168"/>
      <c r="OAC99" s="167"/>
      <c r="OAD99" s="168"/>
      <c r="OAE99" s="167"/>
      <c r="OAF99" s="168"/>
      <c r="OAG99" s="167"/>
      <c r="OAH99" s="168"/>
      <c r="OAI99" s="167"/>
      <c r="OAJ99" s="168"/>
      <c r="OAK99" s="167"/>
      <c r="OAL99" s="168"/>
      <c r="OAM99" s="167"/>
      <c r="OAN99" s="168"/>
      <c r="OAO99" s="167"/>
      <c r="OAP99" s="168"/>
      <c r="OAQ99" s="167"/>
      <c r="OAR99" s="168"/>
      <c r="OAS99" s="167"/>
      <c r="OAT99" s="168"/>
      <c r="OAU99" s="167"/>
      <c r="OAV99" s="168"/>
      <c r="OAW99" s="167"/>
      <c r="OAX99" s="168"/>
      <c r="OAY99" s="167"/>
      <c r="OAZ99" s="168"/>
      <c r="OBA99" s="167"/>
      <c r="OBB99" s="168"/>
      <c r="OBC99" s="167"/>
      <c r="OBD99" s="168"/>
      <c r="OBE99" s="167"/>
      <c r="OBF99" s="168"/>
      <c r="OBG99" s="167"/>
      <c r="OBH99" s="168"/>
      <c r="OBI99" s="167"/>
      <c r="OBJ99" s="168"/>
      <c r="OBK99" s="167"/>
      <c r="OBL99" s="168"/>
      <c r="OBM99" s="167"/>
      <c r="OBN99" s="168"/>
      <c r="OBO99" s="167"/>
      <c r="OBP99" s="168"/>
      <c r="OBQ99" s="167"/>
      <c r="OBR99" s="168"/>
      <c r="OBS99" s="167"/>
      <c r="OBT99" s="168"/>
      <c r="OBU99" s="167"/>
      <c r="OBV99" s="168"/>
      <c r="OBW99" s="167"/>
      <c r="OBX99" s="168"/>
      <c r="OBY99" s="167"/>
      <c r="OBZ99" s="168"/>
      <c r="OCA99" s="167"/>
      <c r="OCB99" s="168"/>
      <c r="OCC99" s="167"/>
      <c r="OCD99" s="168"/>
      <c r="OCE99" s="167"/>
      <c r="OCF99" s="168"/>
      <c r="OCG99" s="167"/>
      <c r="OCH99" s="168"/>
      <c r="OCI99" s="167"/>
      <c r="OCJ99" s="168"/>
      <c r="OCK99" s="167"/>
      <c r="OCL99" s="168"/>
      <c r="OCM99" s="167"/>
      <c r="OCN99" s="168"/>
      <c r="OCO99" s="167"/>
      <c r="OCP99" s="168"/>
      <c r="OCQ99" s="167"/>
      <c r="OCR99" s="168"/>
      <c r="OCS99" s="167"/>
      <c r="OCT99" s="168"/>
      <c r="OCU99" s="167"/>
      <c r="OCV99" s="168"/>
      <c r="OCW99" s="167"/>
      <c r="OCX99" s="168"/>
      <c r="OCY99" s="167"/>
      <c r="OCZ99" s="168"/>
      <c r="ODA99" s="167"/>
      <c r="ODB99" s="168"/>
      <c r="ODC99" s="167"/>
      <c r="ODD99" s="168"/>
      <c r="ODE99" s="167"/>
      <c r="ODF99" s="168"/>
      <c r="ODG99" s="167"/>
      <c r="ODH99" s="168"/>
      <c r="ODI99" s="167"/>
      <c r="ODJ99" s="168"/>
      <c r="ODK99" s="167"/>
      <c r="ODL99" s="168"/>
      <c r="ODM99" s="167"/>
      <c r="ODN99" s="168"/>
      <c r="ODO99" s="167"/>
      <c r="ODP99" s="168"/>
      <c r="ODQ99" s="167"/>
      <c r="ODR99" s="168"/>
      <c r="ODS99" s="167"/>
      <c r="ODT99" s="168"/>
      <c r="ODU99" s="167"/>
      <c r="ODV99" s="168"/>
      <c r="ODW99" s="167"/>
      <c r="ODX99" s="168"/>
      <c r="ODY99" s="167"/>
      <c r="ODZ99" s="168"/>
      <c r="OEA99" s="167"/>
      <c r="OEB99" s="168"/>
      <c r="OEC99" s="167"/>
      <c r="OED99" s="168"/>
      <c r="OEE99" s="167"/>
      <c r="OEF99" s="168"/>
      <c r="OEG99" s="167"/>
      <c r="OEH99" s="168"/>
      <c r="OEI99" s="167"/>
      <c r="OEJ99" s="168"/>
      <c r="OEK99" s="167"/>
      <c r="OEL99" s="168"/>
      <c r="OEM99" s="167"/>
      <c r="OEN99" s="168"/>
      <c r="OEO99" s="167"/>
      <c r="OEP99" s="168"/>
      <c r="OEQ99" s="167"/>
      <c r="OER99" s="168"/>
      <c r="OES99" s="167"/>
      <c r="OET99" s="168"/>
      <c r="OEU99" s="167"/>
      <c r="OEV99" s="168"/>
      <c r="OEW99" s="167"/>
      <c r="OEX99" s="168"/>
      <c r="OEY99" s="167"/>
      <c r="OEZ99" s="168"/>
      <c r="OFA99" s="167"/>
      <c r="OFB99" s="168"/>
      <c r="OFC99" s="167"/>
      <c r="OFD99" s="168"/>
      <c r="OFE99" s="167"/>
      <c r="OFF99" s="168"/>
      <c r="OFG99" s="167"/>
      <c r="OFH99" s="168"/>
      <c r="OFI99" s="167"/>
      <c r="OFJ99" s="168"/>
      <c r="OFK99" s="167"/>
      <c r="OFL99" s="168"/>
      <c r="OFM99" s="167"/>
      <c r="OFN99" s="168"/>
      <c r="OFO99" s="167"/>
      <c r="OFP99" s="168"/>
      <c r="OFQ99" s="167"/>
      <c r="OFR99" s="168"/>
      <c r="OFS99" s="167"/>
      <c r="OFT99" s="168"/>
      <c r="OFU99" s="167"/>
      <c r="OFV99" s="168"/>
      <c r="OFW99" s="167"/>
      <c r="OFX99" s="168"/>
      <c r="OFY99" s="167"/>
      <c r="OFZ99" s="168"/>
      <c r="OGA99" s="167"/>
      <c r="OGB99" s="168"/>
      <c r="OGC99" s="167"/>
      <c r="OGD99" s="168"/>
      <c r="OGE99" s="167"/>
      <c r="OGF99" s="168"/>
      <c r="OGG99" s="167"/>
      <c r="OGH99" s="168"/>
      <c r="OGI99" s="167"/>
      <c r="OGJ99" s="168"/>
      <c r="OGK99" s="167"/>
      <c r="OGL99" s="168"/>
      <c r="OGM99" s="167"/>
      <c r="OGN99" s="168"/>
      <c r="OGO99" s="167"/>
      <c r="OGP99" s="168"/>
      <c r="OGQ99" s="167"/>
      <c r="OGR99" s="168"/>
      <c r="OGS99" s="167"/>
      <c r="OGT99" s="168"/>
      <c r="OGU99" s="167"/>
      <c r="OGV99" s="168"/>
      <c r="OGW99" s="167"/>
      <c r="OGX99" s="168"/>
      <c r="OGY99" s="167"/>
      <c r="OGZ99" s="168"/>
      <c r="OHA99" s="167"/>
      <c r="OHB99" s="168"/>
      <c r="OHC99" s="167"/>
      <c r="OHD99" s="168"/>
      <c r="OHE99" s="167"/>
      <c r="OHF99" s="168"/>
      <c r="OHG99" s="167"/>
      <c r="OHH99" s="168"/>
      <c r="OHI99" s="167"/>
      <c r="OHJ99" s="168"/>
      <c r="OHK99" s="167"/>
      <c r="OHL99" s="168"/>
      <c r="OHM99" s="167"/>
      <c r="OHN99" s="168"/>
      <c r="OHO99" s="167"/>
      <c r="OHP99" s="168"/>
      <c r="OHQ99" s="167"/>
      <c r="OHR99" s="168"/>
      <c r="OHS99" s="167"/>
      <c r="OHT99" s="168"/>
      <c r="OHU99" s="167"/>
      <c r="OHV99" s="168"/>
      <c r="OHW99" s="167"/>
      <c r="OHX99" s="168"/>
      <c r="OHY99" s="167"/>
      <c r="OHZ99" s="168"/>
      <c r="OIA99" s="167"/>
      <c r="OIB99" s="168"/>
      <c r="OIC99" s="167"/>
      <c r="OID99" s="168"/>
      <c r="OIE99" s="167"/>
      <c r="OIF99" s="168"/>
      <c r="OIG99" s="167"/>
      <c r="OIH99" s="168"/>
      <c r="OII99" s="167"/>
      <c r="OIJ99" s="168"/>
      <c r="OIK99" s="167"/>
      <c r="OIL99" s="168"/>
      <c r="OIM99" s="167"/>
      <c r="OIN99" s="168"/>
      <c r="OIO99" s="167"/>
      <c r="OIP99" s="168"/>
      <c r="OIQ99" s="167"/>
      <c r="OIR99" s="168"/>
      <c r="OIS99" s="167"/>
      <c r="OIT99" s="168"/>
      <c r="OIU99" s="167"/>
      <c r="OIV99" s="168"/>
      <c r="OIW99" s="167"/>
      <c r="OIX99" s="168"/>
      <c r="OIY99" s="167"/>
      <c r="OIZ99" s="168"/>
      <c r="OJA99" s="167"/>
      <c r="OJB99" s="168"/>
      <c r="OJC99" s="167"/>
      <c r="OJD99" s="168"/>
      <c r="OJE99" s="167"/>
      <c r="OJF99" s="168"/>
      <c r="OJG99" s="167"/>
      <c r="OJH99" s="168"/>
      <c r="OJI99" s="167"/>
      <c r="OJJ99" s="168"/>
      <c r="OJK99" s="167"/>
      <c r="OJL99" s="168"/>
      <c r="OJM99" s="167"/>
      <c r="OJN99" s="168"/>
      <c r="OJO99" s="167"/>
      <c r="OJP99" s="168"/>
      <c r="OJQ99" s="167"/>
      <c r="OJR99" s="168"/>
      <c r="OJS99" s="167"/>
      <c r="OJT99" s="168"/>
      <c r="OJU99" s="167"/>
      <c r="OJV99" s="168"/>
      <c r="OJW99" s="167"/>
      <c r="OJX99" s="168"/>
      <c r="OJY99" s="167"/>
      <c r="OJZ99" s="168"/>
      <c r="OKA99" s="167"/>
      <c r="OKB99" s="168"/>
      <c r="OKC99" s="167"/>
      <c r="OKD99" s="168"/>
      <c r="OKE99" s="167"/>
      <c r="OKF99" s="168"/>
      <c r="OKG99" s="167"/>
      <c r="OKH99" s="168"/>
      <c r="OKI99" s="167"/>
      <c r="OKJ99" s="168"/>
      <c r="OKK99" s="167"/>
      <c r="OKL99" s="168"/>
      <c r="OKM99" s="167"/>
      <c r="OKN99" s="168"/>
      <c r="OKO99" s="167"/>
      <c r="OKP99" s="168"/>
      <c r="OKQ99" s="167"/>
      <c r="OKR99" s="168"/>
      <c r="OKS99" s="167"/>
      <c r="OKT99" s="168"/>
      <c r="OKU99" s="167"/>
      <c r="OKV99" s="168"/>
      <c r="OKW99" s="167"/>
      <c r="OKX99" s="168"/>
      <c r="OKY99" s="167"/>
      <c r="OKZ99" s="168"/>
      <c r="OLA99" s="167"/>
      <c r="OLB99" s="168"/>
      <c r="OLC99" s="167"/>
      <c r="OLD99" s="168"/>
      <c r="OLE99" s="167"/>
      <c r="OLF99" s="168"/>
      <c r="OLG99" s="167"/>
      <c r="OLH99" s="168"/>
      <c r="OLI99" s="167"/>
      <c r="OLJ99" s="168"/>
      <c r="OLK99" s="167"/>
      <c r="OLL99" s="168"/>
      <c r="OLM99" s="167"/>
      <c r="OLN99" s="168"/>
      <c r="OLO99" s="167"/>
      <c r="OLP99" s="168"/>
      <c r="OLQ99" s="167"/>
      <c r="OLR99" s="168"/>
      <c r="OLS99" s="167"/>
      <c r="OLT99" s="168"/>
      <c r="OLU99" s="167"/>
      <c r="OLV99" s="168"/>
      <c r="OLW99" s="167"/>
      <c r="OLX99" s="168"/>
      <c r="OLY99" s="167"/>
      <c r="OLZ99" s="168"/>
      <c r="OMA99" s="167"/>
      <c r="OMB99" s="168"/>
      <c r="OMC99" s="167"/>
      <c r="OMD99" s="168"/>
      <c r="OME99" s="167"/>
      <c r="OMF99" s="168"/>
      <c r="OMG99" s="167"/>
      <c r="OMH99" s="168"/>
      <c r="OMI99" s="167"/>
      <c r="OMJ99" s="168"/>
      <c r="OMK99" s="167"/>
      <c r="OML99" s="168"/>
      <c r="OMM99" s="167"/>
      <c r="OMN99" s="168"/>
      <c r="OMO99" s="167"/>
      <c r="OMP99" s="168"/>
      <c r="OMQ99" s="167"/>
      <c r="OMR99" s="168"/>
      <c r="OMS99" s="167"/>
      <c r="OMT99" s="168"/>
      <c r="OMU99" s="167"/>
      <c r="OMV99" s="168"/>
      <c r="OMW99" s="167"/>
      <c r="OMX99" s="168"/>
      <c r="OMY99" s="167"/>
      <c r="OMZ99" s="168"/>
      <c r="ONA99" s="167"/>
      <c r="ONB99" s="168"/>
      <c r="ONC99" s="167"/>
      <c r="OND99" s="168"/>
      <c r="ONE99" s="167"/>
      <c r="ONF99" s="168"/>
      <c r="ONG99" s="167"/>
      <c r="ONH99" s="168"/>
      <c r="ONI99" s="167"/>
      <c r="ONJ99" s="168"/>
      <c r="ONK99" s="167"/>
      <c r="ONL99" s="168"/>
      <c r="ONM99" s="167"/>
      <c r="ONN99" s="168"/>
      <c r="ONO99" s="167"/>
      <c r="ONP99" s="168"/>
      <c r="ONQ99" s="167"/>
      <c r="ONR99" s="168"/>
      <c r="ONS99" s="167"/>
      <c r="ONT99" s="168"/>
      <c r="ONU99" s="167"/>
      <c r="ONV99" s="168"/>
      <c r="ONW99" s="167"/>
      <c r="ONX99" s="168"/>
      <c r="ONY99" s="167"/>
      <c r="ONZ99" s="168"/>
      <c r="OOA99" s="167"/>
      <c r="OOB99" s="168"/>
      <c r="OOC99" s="167"/>
      <c r="OOD99" s="168"/>
      <c r="OOE99" s="167"/>
      <c r="OOF99" s="168"/>
      <c r="OOG99" s="167"/>
      <c r="OOH99" s="168"/>
      <c r="OOI99" s="167"/>
      <c r="OOJ99" s="168"/>
      <c r="OOK99" s="167"/>
      <c r="OOL99" s="168"/>
      <c r="OOM99" s="167"/>
      <c r="OON99" s="168"/>
      <c r="OOO99" s="167"/>
      <c r="OOP99" s="168"/>
      <c r="OOQ99" s="167"/>
      <c r="OOR99" s="168"/>
      <c r="OOS99" s="167"/>
      <c r="OOT99" s="168"/>
      <c r="OOU99" s="167"/>
      <c r="OOV99" s="168"/>
      <c r="OOW99" s="167"/>
      <c r="OOX99" s="168"/>
      <c r="OOY99" s="167"/>
      <c r="OOZ99" s="168"/>
      <c r="OPA99" s="167"/>
      <c r="OPB99" s="168"/>
      <c r="OPC99" s="167"/>
      <c r="OPD99" s="168"/>
      <c r="OPE99" s="167"/>
      <c r="OPF99" s="168"/>
      <c r="OPG99" s="167"/>
      <c r="OPH99" s="168"/>
      <c r="OPI99" s="167"/>
      <c r="OPJ99" s="168"/>
      <c r="OPK99" s="167"/>
      <c r="OPL99" s="168"/>
      <c r="OPM99" s="167"/>
      <c r="OPN99" s="168"/>
      <c r="OPO99" s="167"/>
      <c r="OPP99" s="168"/>
      <c r="OPQ99" s="167"/>
      <c r="OPR99" s="168"/>
      <c r="OPS99" s="167"/>
      <c r="OPT99" s="168"/>
      <c r="OPU99" s="167"/>
      <c r="OPV99" s="168"/>
      <c r="OPW99" s="167"/>
      <c r="OPX99" s="168"/>
      <c r="OPY99" s="167"/>
      <c r="OPZ99" s="168"/>
      <c r="OQA99" s="167"/>
      <c r="OQB99" s="168"/>
      <c r="OQC99" s="167"/>
      <c r="OQD99" s="168"/>
      <c r="OQE99" s="167"/>
      <c r="OQF99" s="168"/>
      <c r="OQG99" s="167"/>
      <c r="OQH99" s="168"/>
      <c r="OQI99" s="167"/>
      <c r="OQJ99" s="168"/>
      <c r="OQK99" s="167"/>
      <c r="OQL99" s="168"/>
      <c r="OQM99" s="167"/>
      <c r="OQN99" s="168"/>
      <c r="OQO99" s="167"/>
      <c r="OQP99" s="168"/>
      <c r="OQQ99" s="167"/>
      <c r="OQR99" s="168"/>
      <c r="OQS99" s="167"/>
      <c r="OQT99" s="168"/>
      <c r="OQU99" s="167"/>
      <c r="OQV99" s="168"/>
      <c r="OQW99" s="167"/>
      <c r="OQX99" s="168"/>
      <c r="OQY99" s="167"/>
      <c r="OQZ99" s="168"/>
      <c r="ORA99" s="167"/>
      <c r="ORB99" s="168"/>
      <c r="ORC99" s="167"/>
      <c r="ORD99" s="168"/>
      <c r="ORE99" s="167"/>
      <c r="ORF99" s="168"/>
      <c r="ORG99" s="167"/>
      <c r="ORH99" s="168"/>
      <c r="ORI99" s="167"/>
      <c r="ORJ99" s="168"/>
      <c r="ORK99" s="167"/>
      <c r="ORL99" s="168"/>
      <c r="ORM99" s="167"/>
      <c r="ORN99" s="168"/>
      <c r="ORO99" s="167"/>
      <c r="ORP99" s="168"/>
      <c r="ORQ99" s="167"/>
      <c r="ORR99" s="168"/>
      <c r="ORS99" s="167"/>
      <c r="ORT99" s="168"/>
      <c r="ORU99" s="167"/>
      <c r="ORV99" s="168"/>
      <c r="ORW99" s="167"/>
      <c r="ORX99" s="168"/>
      <c r="ORY99" s="167"/>
      <c r="ORZ99" s="168"/>
      <c r="OSA99" s="167"/>
      <c r="OSB99" s="168"/>
      <c r="OSC99" s="167"/>
      <c r="OSD99" s="168"/>
      <c r="OSE99" s="167"/>
      <c r="OSF99" s="168"/>
      <c r="OSG99" s="167"/>
      <c r="OSH99" s="168"/>
      <c r="OSI99" s="167"/>
      <c r="OSJ99" s="168"/>
      <c r="OSK99" s="167"/>
      <c r="OSL99" s="168"/>
      <c r="OSM99" s="167"/>
      <c r="OSN99" s="168"/>
      <c r="OSO99" s="167"/>
      <c r="OSP99" s="168"/>
      <c r="OSQ99" s="167"/>
      <c r="OSR99" s="168"/>
      <c r="OSS99" s="167"/>
      <c r="OST99" s="168"/>
      <c r="OSU99" s="167"/>
      <c r="OSV99" s="168"/>
      <c r="OSW99" s="167"/>
      <c r="OSX99" s="168"/>
      <c r="OSY99" s="167"/>
      <c r="OSZ99" s="168"/>
      <c r="OTA99" s="167"/>
      <c r="OTB99" s="168"/>
      <c r="OTC99" s="167"/>
      <c r="OTD99" s="168"/>
      <c r="OTE99" s="167"/>
      <c r="OTF99" s="168"/>
      <c r="OTG99" s="167"/>
      <c r="OTH99" s="168"/>
      <c r="OTI99" s="167"/>
      <c r="OTJ99" s="168"/>
      <c r="OTK99" s="167"/>
      <c r="OTL99" s="168"/>
      <c r="OTM99" s="167"/>
      <c r="OTN99" s="168"/>
      <c r="OTO99" s="167"/>
      <c r="OTP99" s="168"/>
      <c r="OTQ99" s="167"/>
      <c r="OTR99" s="168"/>
      <c r="OTS99" s="167"/>
      <c r="OTT99" s="168"/>
      <c r="OTU99" s="167"/>
      <c r="OTV99" s="168"/>
      <c r="OTW99" s="167"/>
      <c r="OTX99" s="168"/>
      <c r="OTY99" s="167"/>
      <c r="OTZ99" s="168"/>
      <c r="OUA99" s="167"/>
      <c r="OUB99" s="168"/>
      <c r="OUC99" s="167"/>
      <c r="OUD99" s="168"/>
      <c r="OUE99" s="167"/>
      <c r="OUF99" s="168"/>
      <c r="OUG99" s="167"/>
      <c r="OUH99" s="168"/>
      <c r="OUI99" s="167"/>
      <c r="OUJ99" s="168"/>
      <c r="OUK99" s="167"/>
      <c r="OUL99" s="168"/>
      <c r="OUM99" s="167"/>
      <c r="OUN99" s="168"/>
      <c r="OUO99" s="167"/>
      <c r="OUP99" s="168"/>
      <c r="OUQ99" s="167"/>
      <c r="OUR99" s="168"/>
      <c r="OUS99" s="167"/>
      <c r="OUT99" s="168"/>
      <c r="OUU99" s="167"/>
      <c r="OUV99" s="168"/>
      <c r="OUW99" s="167"/>
      <c r="OUX99" s="168"/>
      <c r="OUY99" s="167"/>
      <c r="OUZ99" s="168"/>
      <c r="OVA99" s="167"/>
      <c r="OVB99" s="168"/>
      <c r="OVC99" s="167"/>
      <c r="OVD99" s="168"/>
      <c r="OVE99" s="167"/>
      <c r="OVF99" s="168"/>
      <c r="OVG99" s="167"/>
      <c r="OVH99" s="168"/>
      <c r="OVI99" s="167"/>
      <c r="OVJ99" s="168"/>
      <c r="OVK99" s="167"/>
      <c r="OVL99" s="168"/>
      <c r="OVM99" s="167"/>
      <c r="OVN99" s="168"/>
      <c r="OVO99" s="167"/>
      <c r="OVP99" s="168"/>
      <c r="OVQ99" s="167"/>
      <c r="OVR99" s="168"/>
      <c r="OVS99" s="167"/>
      <c r="OVT99" s="168"/>
      <c r="OVU99" s="167"/>
      <c r="OVV99" s="168"/>
      <c r="OVW99" s="167"/>
      <c r="OVX99" s="168"/>
      <c r="OVY99" s="167"/>
      <c r="OVZ99" s="168"/>
      <c r="OWA99" s="167"/>
      <c r="OWB99" s="168"/>
      <c r="OWC99" s="167"/>
      <c r="OWD99" s="168"/>
      <c r="OWE99" s="167"/>
      <c r="OWF99" s="168"/>
      <c r="OWG99" s="167"/>
      <c r="OWH99" s="168"/>
      <c r="OWI99" s="167"/>
      <c r="OWJ99" s="168"/>
      <c r="OWK99" s="167"/>
      <c r="OWL99" s="168"/>
      <c r="OWM99" s="167"/>
      <c r="OWN99" s="168"/>
      <c r="OWO99" s="167"/>
      <c r="OWP99" s="168"/>
      <c r="OWQ99" s="167"/>
      <c r="OWR99" s="168"/>
      <c r="OWS99" s="167"/>
      <c r="OWT99" s="168"/>
      <c r="OWU99" s="167"/>
      <c r="OWV99" s="168"/>
      <c r="OWW99" s="167"/>
      <c r="OWX99" s="168"/>
      <c r="OWY99" s="167"/>
      <c r="OWZ99" s="168"/>
      <c r="OXA99" s="167"/>
      <c r="OXB99" s="168"/>
      <c r="OXC99" s="167"/>
      <c r="OXD99" s="168"/>
      <c r="OXE99" s="167"/>
      <c r="OXF99" s="168"/>
      <c r="OXG99" s="167"/>
      <c r="OXH99" s="168"/>
      <c r="OXI99" s="167"/>
      <c r="OXJ99" s="168"/>
      <c r="OXK99" s="167"/>
      <c r="OXL99" s="168"/>
      <c r="OXM99" s="167"/>
      <c r="OXN99" s="168"/>
      <c r="OXO99" s="167"/>
      <c r="OXP99" s="168"/>
      <c r="OXQ99" s="167"/>
      <c r="OXR99" s="168"/>
      <c r="OXS99" s="167"/>
      <c r="OXT99" s="168"/>
      <c r="OXU99" s="167"/>
      <c r="OXV99" s="168"/>
      <c r="OXW99" s="167"/>
      <c r="OXX99" s="168"/>
      <c r="OXY99" s="167"/>
      <c r="OXZ99" s="168"/>
      <c r="OYA99" s="167"/>
      <c r="OYB99" s="168"/>
      <c r="OYC99" s="167"/>
      <c r="OYD99" s="168"/>
      <c r="OYE99" s="167"/>
      <c r="OYF99" s="168"/>
      <c r="OYG99" s="167"/>
      <c r="OYH99" s="168"/>
      <c r="OYI99" s="167"/>
      <c r="OYJ99" s="168"/>
      <c r="OYK99" s="167"/>
      <c r="OYL99" s="168"/>
      <c r="OYM99" s="167"/>
      <c r="OYN99" s="168"/>
      <c r="OYO99" s="167"/>
      <c r="OYP99" s="168"/>
      <c r="OYQ99" s="167"/>
      <c r="OYR99" s="168"/>
      <c r="OYS99" s="167"/>
      <c r="OYT99" s="168"/>
      <c r="OYU99" s="167"/>
      <c r="OYV99" s="168"/>
      <c r="OYW99" s="167"/>
      <c r="OYX99" s="168"/>
      <c r="OYY99" s="167"/>
      <c r="OYZ99" s="168"/>
      <c r="OZA99" s="167"/>
      <c r="OZB99" s="168"/>
      <c r="OZC99" s="167"/>
      <c r="OZD99" s="168"/>
      <c r="OZE99" s="167"/>
      <c r="OZF99" s="168"/>
      <c r="OZG99" s="167"/>
      <c r="OZH99" s="168"/>
      <c r="OZI99" s="167"/>
      <c r="OZJ99" s="168"/>
      <c r="OZK99" s="167"/>
      <c r="OZL99" s="168"/>
      <c r="OZM99" s="167"/>
      <c r="OZN99" s="168"/>
      <c r="OZO99" s="167"/>
      <c r="OZP99" s="168"/>
      <c r="OZQ99" s="167"/>
      <c r="OZR99" s="168"/>
      <c r="OZS99" s="167"/>
      <c r="OZT99" s="168"/>
      <c r="OZU99" s="167"/>
      <c r="OZV99" s="168"/>
      <c r="OZW99" s="167"/>
      <c r="OZX99" s="168"/>
      <c r="OZY99" s="167"/>
      <c r="OZZ99" s="168"/>
      <c r="PAA99" s="167"/>
      <c r="PAB99" s="168"/>
      <c r="PAC99" s="167"/>
      <c r="PAD99" s="168"/>
      <c r="PAE99" s="167"/>
      <c r="PAF99" s="168"/>
      <c r="PAG99" s="167"/>
      <c r="PAH99" s="168"/>
      <c r="PAI99" s="167"/>
      <c r="PAJ99" s="168"/>
      <c r="PAK99" s="167"/>
      <c r="PAL99" s="168"/>
      <c r="PAM99" s="167"/>
      <c r="PAN99" s="168"/>
      <c r="PAO99" s="167"/>
      <c r="PAP99" s="168"/>
      <c r="PAQ99" s="167"/>
      <c r="PAR99" s="168"/>
      <c r="PAS99" s="167"/>
      <c r="PAT99" s="168"/>
      <c r="PAU99" s="167"/>
      <c r="PAV99" s="168"/>
      <c r="PAW99" s="167"/>
      <c r="PAX99" s="168"/>
      <c r="PAY99" s="167"/>
      <c r="PAZ99" s="168"/>
      <c r="PBA99" s="167"/>
      <c r="PBB99" s="168"/>
      <c r="PBC99" s="167"/>
      <c r="PBD99" s="168"/>
      <c r="PBE99" s="167"/>
      <c r="PBF99" s="168"/>
      <c r="PBG99" s="167"/>
      <c r="PBH99" s="168"/>
      <c r="PBI99" s="167"/>
      <c r="PBJ99" s="168"/>
      <c r="PBK99" s="167"/>
      <c r="PBL99" s="168"/>
      <c r="PBM99" s="167"/>
      <c r="PBN99" s="168"/>
      <c r="PBO99" s="167"/>
      <c r="PBP99" s="168"/>
      <c r="PBQ99" s="167"/>
      <c r="PBR99" s="168"/>
      <c r="PBS99" s="167"/>
      <c r="PBT99" s="168"/>
      <c r="PBU99" s="167"/>
      <c r="PBV99" s="168"/>
      <c r="PBW99" s="167"/>
      <c r="PBX99" s="168"/>
      <c r="PBY99" s="167"/>
      <c r="PBZ99" s="168"/>
      <c r="PCA99" s="167"/>
      <c r="PCB99" s="168"/>
      <c r="PCC99" s="167"/>
      <c r="PCD99" s="168"/>
      <c r="PCE99" s="167"/>
      <c r="PCF99" s="168"/>
      <c r="PCG99" s="167"/>
      <c r="PCH99" s="168"/>
      <c r="PCI99" s="167"/>
      <c r="PCJ99" s="168"/>
      <c r="PCK99" s="167"/>
      <c r="PCL99" s="168"/>
      <c r="PCM99" s="167"/>
      <c r="PCN99" s="168"/>
      <c r="PCO99" s="167"/>
      <c r="PCP99" s="168"/>
      <c r="PCQ99" s="167"/>
      <c r="PCR99" s="168"/>
      <c r="PCS99" s="167"/>
      <c r="PCT99" s="168"/>
      <c r="PCU99" s="167"/>
      <c r="PCV99" s="168"/>
      <c r="PCW99" s="167"/>
      <c r="PCX99" s="168"/>
      <c r="PCY99" s="167"/>
      <c r="PCZ99" s="168"/>
      <c r="PDA99" s="167"/>
      <c r="PDB99" s="168"/>
      <c r="PDC99" s="167"/>
      <c r="PDD99" s="168"/>
      <c r="PDE99" s="167"/>
      <c r="PDF99" s="168"/>
      <c r="PDG99" s="167"/>
      <c r="PDH99" s="168"/>
      <c r="PDI99" s="167"/>
      <c r="PDJ99" s="168"/>
      <c r="PDK99" s="167"/>
      <c r="PDL99" s="168"/>
      <c r="PDM99" s="167"/>
      <c r="PDN99" s="168"/>
      <c r="PDO99" s="167"/>
      <c r="PDP99" s="168"/>
      <c r="PDQ99" s="167"/>
      <c r="PDR99" s="168"/>
      <c r="PDS99" s="167"/>
      <c r="PDT99" s="168"/>
      <c r="PDU99" s="167"/>
      <c r="PDV99" s="168"/>
      <c r="PDW99" s="167"/>
      <c r="PDX99" s="168"/>
      <c r="PDY99" s="167"/>
      <c r="PDZ99" s="168"/>
      <c r="PEA99" s="167"/>
      <c r="PEB99" s="168"/>
      <c r="PEC99" s="167"/>
      <c r="PED99" s="168"/>
      <c r="PEE99" s="167"/>
      <c r="PEF99" s="168"/>
      <c r="PEG99" s="167"/>
      <c r="PEH99" s="168"/>
      <c r="PEI99" s="167"/>
      <c r="PEJ99" s="168"/>
      <c r="PEK99" s="167"/>
      <c r="PEL99" s="168"/>
      <c r="PEM99" s="167"/>
      <c r="PEN99" s="168"/>
      <c r="PEO99" s="167"/>
      <c r="PEP99" s="168"/>
      <c r="PEQ99" s="167"/>
      <c r="PER99" s="168"/>
      <c r="PES99" s="167"/>
      <c r="PET99" s="168"/>
      <c r="PEU99" s="167"/>
      <c r="PEV99" s="168"/>
      <c r="PEW99" s="167"/>
      <c r="PEX99" s="168"/>
      <c r="PEY99" s="167"/>
      <c r="PEZ99" s="168"/>
      <c r="PFA99" s="167"/>
      <c r="PFB99" s="168"/>
      <c r="PFC99" s="167"/>
      <c r="PFD99" s="168"/>
      <c r="PFE99" s="167"/>
      <c r="PFF99" s="168"/>
      <c r="PFG99" s="167"/>
      <c r="PFH99" s="168"/>
      <c r="PFI99" s="167"/>
      <c r="PFJ99" s="168"/>
      <c r="PFK99" s="167"/>
      <c r="PFL99" s="168"/>
      <c r="PFM99" s="167"/>
      <c r="PFN99" s="168"/>
      <c r="PFO99" s="167"/>
      <c r="PFP99" s="168"/>
      <c r="PFQ99" s="167"/>
      <c r="PFR99" s="168"/>
      <c r="PFS99" s="167"/>
      <c r="PFT99" s="168"/>
      <c r="PFU99" s="167"/>
      <c r="PFV99" s="168"/>
      <c r="PFW99" s="167"/>
      <c r="PFX99" s="168"/>
      <c r="PFY99" s="167"/>
      <c r="PFZ99" s="168"/>
      <c r="PGA99" s="167"/>
      <c r="PGB99" s="168"/>
      <c r="PGC99" s="167"/>
      <c r="PGD99" s="168"/>
      <c r="PGE99" s="167"/>
      <c r="PGF99" s="168"/>
      <c r="PGG99" s="167"/>
      <c r="PGH99" s="168"/>
      <c r="PGI99" s="167"/>
      <c r="PGJ99" s="168"/>
      <c r="PGK99" s="167"/>
      <c r="PGL99" s="168"/>
      <c r="PGM99" s="167"/>
      <c r="PGN99" s="168"/>
      <c r="PGO99" s="167"/>
      <c r="PGP99" s="168"/>
      <c r="PGQ99" s="167"/>
      <c r="PGR99" s="168"/>
      <c r="PGS99" s="167"/>
      <c r="PGT99" s="168"/>
      <c r="PGU99" s="167"/>
      <c r="PGV99" s="168"/>
      <c r="PGW99" s="167"/>
      <c r="PGX99" s="168"/>
      <c r="PGY99" s="167"/>
      <c r="PGZ99" s="168"/>
      <c r="PHA99" s="167"/>
      <c r="PHB99" s="168"/>
      <c r="PHC99" s="167"/>
      <c r="PHD99" s="168"/>
      <c r="PHE99" s="167"/>
      <c r="PHF99" s="168"/>
      <c r="PHG99" s="167"/>
      <c r="PHH99" s="168"/>
      <c r="PHI99" s="167"/>
      <c r="PHJ99" s="168"/>
      <c r="PHK99" s="167"/>
      <c r="PHL99" s="168"/>
      <c r="PHM99" s="167"/>
      <c r="PHN99" s="168"/>
      <c r="PHO99" s="167"/>
      <c r="PHP99" s="168"/>
      <c r="PHQ99" s="167"/>
      <c r="PHR99" s="168"/>
      <c r="PHS99" s="167"/>
      <c r="PHT99" s="168"/>
      <c r="PHU99" s="167"/>
      <c r="PHV99" s="168"/>
      <c r="PHW99" s="167"/>
      <c r="PHX99" s="168"/>
      <c r="PHY99" s="167"/>
      <c r="PHZ99" s="168"/>
      <c r="PIA99" s="167"/>
      <c r="PIB99" s="168"/>
      <c r="PIC99" s="167"/>
      <c r="PID99" s="168"/>
      <c r="PIE99" s="167"/>
      <c r="PIF99" s="168"/>
      <c r="PIG99" s="167"/>
      <c r="PIH99" s="168"/>
      <c r="PII99" s="167"/>
      <c r="PIJ99" s="168"/>
      <c r="PIK99" s="167"/>
      <c r="PIL99" s="168"/>
      <c r="PIM99" s="167"/>
      <c r="PIN99" s="168"/>
      <c r="PIO99" s="167"/>
      <c r="PIP99" s="168"/>
      <c r="PIQ99" s="167"/>
      <c r="PIR99" s="168"/>
      <c r="PIS99" s="167"/>
      <c r="PIT99" s="168"/>
      <c r="PIU99" s="167"/>
      <c r="PIV99" s="168"/>
      <c r="PIW99" s="167"/>
      <c r="PIX99" s="168"/>
      <c r="PIY99" s="167"/>
      <c r="PIZ99" s="168"/>
      <c r="PJA99" s="167"/>
      <c r="PJB99" s="168"/>
      <c r="PJC99" s="167"/>
      <c r="PJD99" s="168"/>
      <c r="PJE99" s="167"/>
      <c r="PJF99" s="168"/>
      <c r="PJG99" s="167"/>
      <c r="PJH99" s="168"/>
      <c r="PJI99" s="167"/>
      <c r="PJJ99" s="168"/>
      <c r="PJK99" s="167"/>
      <c r="PJL99" s="168"/>
      <c r="PJM99" s="167"/>
      <c r="PJN99" s="168"/>
      <c r="PJO99" s="167"/>
      <c r="PJP99" s="168"/>
      <c r="PJQ99" s="167"/>
      <c r="PJR99" s="168"/>
      <c r="PJS99" s="167"/>
      <c r="PJT99" s="168"/>
      <c r="PJU99" s="167"/>
      <c r="PJV99" s="168"/>
      <c r="PJW99" s="167"/>
      <c r="PJX99" s="168"/>
      <c r="PJY99" s="167"/>
      <c r="PJZ99" s="168"/>
      <c r="PKA99" s="167"/>
      <c r="PKB99" s="168"/>
      <c r="PKC99" s="167"/>
      <c r="PKD99" s="168"/>
      <c r="PKE99" s="167"/>
      <c r="PKF99" s="168"/>
      <c r="PKG99" s="167"/>
      <c r="PKH99" s="168"/>
      <c r="PKI99" s="167"/>
      <c r="PKJ99" s="168"/>
      <c r="PKK99" s="167"/>
      <c r="PKL99" s="168"/>
      <c r="PKM99" s="167"/>
      <c r="PKN99" s="168"/>
      <c r="PKO99" s="167"/>
      <c r="PKP99" s="168"/>
      <c r="PKQ99" s="167"/>
      <c r="PKR99" s="168"/>
      <c r="PKS99" s="167"/>
      <c r="PKT99" s="168"/>
      <c r="PKU99" s="167"/>
      <c r="PKV99" s="168"/>
      <c r="PKW99" s="167"/>
      <c r="PKX99" s="168"/>
      <c r="PKY99" s="167"/>
      <c r="PKZ99" s="168"/>
      <c r="PLA99" s="167"/>
      <c r="PLB99" s="168"/>
      <c r="PLC99" s="167"/>
      <c r="PLD99" s="168"/>
      <c r="PLE99" s="167"/>
      <c r="PLF99" s="168"/>
      <c r="PLG99" s="167"/>
      <c r="PLH99" s="168"/>
      <c r="PLI99" s="167"/>
      <c r="PLJ99" s="168"/>
      <c r="PLK99" s="167"/>
      <c r="PLL99" s="168"/>
      <c r="PLM99" s="167"/>
      <c r="PLN99" s="168"/>
      <c r="PLO99" s="167"/>
      <c r="PLP99" s="168"/>
      <c r="PLQ99" s="167"/>
      <c r="PLR99" s="168"/>
      <c r="PLS99" s="167"/>
      <c r="PLT99" s="168"/>
      <c r="PLU99" s="167"/>
      <c r="PLV99" s="168"/>
      <c r="PLW99" s="167"/>
      <c r="PLX99" s="168"/>
      <c r="PLY99" s="167"/>
      <c r="PLZ99" s="168"/>
      <c r="PMA99" s="167"/>
      <c r="PMB99" s="168"/>
      <c r="PMC99" s="167"/>
      <c r="PMD99" s="168"/>
      <c r="PME99" s="167"/>
      <c r="PMF99" s="168"/>
      <c r="PMG99" s="167"/>
      <c r="PMH99" s="168"/>
      <c r="PMI99" s="167"/>
      <c r="PMJ99" s="168"/>
      <c r="PMK99" s="167"/>
      <c r="PML99" s="168"/>
      <c r="PMM99" s="167"/>
      <c r="PMN99" s="168"/>
      <c r="PMO99" s="167"/>
      <c r="PMP99" s="168"/>
      <c r="PMQ99" s="167"/>
      <c r="PMR99" s="168"/>
      <c r="PMS99" s="167"/>
      <c r="PMT99" s="168"/>
      <c r="PMU99" s="167"/>
      <c r="PMV99" s="168"/>
      <c r="PMW99" s="167"/>
      <c r="PMX99" s="168"/>
      <c r="PMY99" s="167"/>
      <c r="PMZ99" s="168"/>
      <c r="PNA99" s="167"/>
      <c r="PNB99" s="168"/>
      <c r="PNC99" s="167"/>
      <c r="PND99" s="168"/>
      <c r="PNE99" s="167"/>
      <c r="PNF99" s="168"/>
      <c r="PNG99" s="167"/>
      <c r="PNH99" s="168"/>
      <c r="PNI99" s="167"/>
      <c r="PNJ99" s="168"/>
      <c r="PNK99" s="167"/>
      <c r="PNL99" s="168"/>
      <c r="PNM99" s="167"/>
      <c r="PNN99" s="168"/>
      <c r="PNO99" s="167"/>
      <c r="PNP99" s="168"/>
      <c r="PNQ99" s="167"/>
      <c r="PNR99" s="168"/>
      <c r="PNS99" s="167"/>
      <c r="PNT99" s="168"/>
      <c r="PNU99" s="167"/>
      <c r="PNV99" s="168"/>
      <c r="PNW99" s="167"/>
      <c r="PNX99" s="168"/>
      <c r="PNY99" s="167"/>
      <c r="PNZ99" s="168"/>
      <c r="POA99" s="167"/>
      <c r="POB99" s="168"/>
      <c r="POC99" s="167"/>
      <c r="POD99" s="168"/>
      <c r="POE99" s="167"/>
      <c r="POF99" s="168"/>
      <c r="POG99" s="167"/>
      <c r="POH99" s="168"/>
      <c r="POI99" s="167"/>
      <c r="POJ99" s="168"/>
      <c r="POK99" s="167"/>
      <c r="POL99" s="168"/>
      <c r="POM99" s="167"/>
      <c r="PON99" s="168"/>
      <c r="POO99" s="167"/>
      <c r="POP99" s="168"/>
      <c r="POQ99" s="167"/>
      <c r="POR99" s="168"/>
      <c r="POS99" s="167"/>
      <c r="POT99" s="168"/>
      <c r="POU99" s="167"/>
      <c r="POV99" s="168"/>
      <c r="POW99" s="167"/>
      <c r="POX99" s="168"/>
      <c r="POY99" s="167"/>
      <c r="POZ99" s="168"/>
      <c r="PPA99" s="167"/>
      <c r="PPB99" s="168"/>
      <c r="PPC99" s="167"/>
      <c r="PPD99" s="168"/>
      <c r="PPE99" s="167"/>
      <c r="PPF99" s="168"/>
      <c r="PPG99" s="167"/>
      <c r="PPH99" s="168"/>
      <c r="PPI99" s="167"/>
      <c r="PPJ99" s="168"/>
      <c r="PPK99" s="167"/>
      <c r="PPL99" s="168"/>
      <c r="PPM99" s="167"/>
      <c r="PPN99" s="168"/>
      <c r="PPO99" s="167"/>
      <c r="PPP99" s="168"/>
      <c r="PPQ99" s="167"/>
      <c r="PPR99" s="168"/>
      <c r="PPS99" s="167"/>
      <c r="PPT99" s="168"/>
      <c r="PPU99" s="167"/>
      <c r="PPV99" s="168"/>
      <c r="PPW99" s="167"/>
      <c r="PPX99" s="168"/>
      <c r="PPY99" s="167"/>
      <c r="PPZ99" s="168"/>
      <c r="PQA99" s="167"/>
      <c r="PQB99" s="168"/>
      <c r="PQC99" s="167"/>
      <c r="PQD99" s="168"/>
      <c r="PQE99" s="167"/>
      <c r="PQF99" s="168"/>
      <c r="PQG99" s="167"/>
      <c r="PQH99" s="168"/>
      <c r="PQI99" s="167"/>
      <c r="PQJ99" s="168"/>
      <c r="PQK99" s="167"/>
      <c r="PQL99" s="168"/>
      <c r="PQM99" s="167"/>
      <c r="PQN99" s="168"/>
      <c r="PQO99" s="167"/>
      <c r="PQP99" s="168"/>
      <c r="PQQ99" s="167"/>
      <c r="PQR99" s="168"/>
      <c r="PQS99" s="167"/>
      <c r="PQT99" s="168"/>
      <c r="PQU99" s="167"/>
      <c r="PQV99" s="168"/>
      <c r="PQW99" s="167"/>
      <c r="PQX99" s="168"/>
      <c r="PQY99" s="167"/>
      <c r="PQZ99" s="168"/>
      <c r="PRA99" s="167"/>
      <c r="PRB99" s="168"/>
      <c r="PRC99" s="167"/>
      <c r="PRD99" s="168"/>
      <c r="PRE99" s="167"/>
      <c r="PRF99" s="168"/>
      <c r="PRG99" s="167"/>
      <c r="PRH99" s="168"/>
      <c r="PRI99" s="167"/>
      <c r="PRJ99" s="168"/>
      <c r="PRK99" s="167"/>
      <c r="PRL99" s="168"/>
      <c r="PRM99" s="167"/>
      <c r="PRN99" s="168"/>
      <c r="PRO99" s="167"/>
      <c r="PRP99" s="168"/>
      <c r="PRQ99" s="167"/>
      <c r="PRR99" s="168"/>
      <c r="PRS99" s="167"/>
      <c r="PRT99" s="168"/>
      <c r="PRU99" s="167"/>
      <c r="PRV99" s="168"/>
      <c r="PRW99" s="167"/>
      <c r="PRX99" s="168"/>
      <c r="PRY99" s="167"/>
      <c r="PRZ99" s="168"/>
      <c r="PSA99" s="167"/>
      <c r="PSB99" s="168"/>
      <c r="PSC99" s="167"/>
      <c r="PSD99" s="168"/>
      <c r="PSE99" s="167"/>
      <c r="PSF99" s="168"/>
      <c r="PSG99" s="167"/>
      <c r="PSH99" s="168"/>
      <c r="PSI99" s="167"/>
      <c r="PSJ99" s="168"/>
      <c r="PSK99" s="167"/>
      <c r="PSL99" s="168"/>
      <c r="PSM99" s="167"/>
      <c r="PSN99" s="168"/>
      <c r="PSO99" s="167"/>
      <c r="PSP99" s="168"/>
      <c r="PSQ99" s="167"/>
      <c r="PSR99" s="168"/>
      <c r="PSS99" s="167"/>
      <c r="PST99" s="168"/>
      <c r="PSU99" s="167"/>
      <c r="PSV99" s="168"/>
      <c r="PSW99" s="167"/>
      <c r="PSX99" s="168"/>
      <c r="PSY99" s="167"/>
      <c r="PSZ99" s="168"/>
      <c r="PTA99" s="167"/>
      <c r="PTB99" s="168"/>
      <c r="PTC99" s="167"/>
      <c r="PTD99" s="168"/>
      <c r="PTE99" s="167"/>
      <c r="PTF99" s="168"/>
      <c r="PTG99" s="167"/>
      <c r="PTH99" s="168"/>
      <c r="PTI99" s="167"/>
      <c r="PTJ99" s="168"/>
      <c r="PTK99" s="167"/>
      <c r="PTL99" s="168"/>
      <c r="PTM99" s="167"/>
      <c r="PTN99" s="168"/>
      <c r="PTO99" s="167"/>
      <c r="PTP99" s="168"/>
      <c r="PTQ99" s="167"/>
      <c r="PTR99" s="168"/>
      <c r="PTS99" s="167"/>
      <c r="PTT99" s="168"/>
      <c r="PTU99" s="167"/>
      <c r="PTV99" s="168"/>
      <c r="PTW99" s="167"/>
      <c r="PTX99" s="168"/>
      <c r="PTY99" s="167"/>
      <c r="PTZ99" s="168"/>
      <c r="PUA99" s="167"/>
      <c r="PUB99" s="168"/>
      <c r="PUC99" s="167"/>
      <c r="PUD99" s="168"/>
      <c r="PUE99" s="167"/>
      <c r="PUF99" s="168"/>
      <c r="PUG99" s="167"/>
      <c r="PUH99" s="168"/>
      <c r="PUI99" s="167"/>
      <c r="PUJ99" s="168"/>
      <c r="PUK99" s="167"/>
      <c r="PUL99" s="168"/>
      <c r="PUM99" s="167"/>
      <c r="PUN99" s="168"/>
      <c r="PUO99" s="167"/>
      <c r="PUP99" s="168"/>
      <c r="PUQ99" s="167"/>
      <c r="PUR99" s="168"/>
      <c r="PUS99" s="167"/>
      <c r="PUT99" s="168"/>
      <c r="PUU99" s="167"/>
      <c r="PUV99" s="168"/>
      <c r="PUW99" s="167"/>
      <c r="PUX99" s="168"/>
      <c r="PUY99" s="167"/>
      <c r="PUZ99" s="168"/>
      <c r="PVA99" s="167"/>
      <c r="PVB99" s="168"/>
      <c r="PVC99" s="167"/>
      <c r="PVD99" s="168"/>
      <c r="PVE99" s="167"/>
      <c r="PVF99" s="168"/>
      <c r="PVG99" s="167"/>
      <c r="PVH99" s="168"/>
      <c r="PVI99" s="167"/>
      <c r="PVJ99" s="168"/>
      <c r="PVK99" s="167"/>
      <c r="PVL99" s="168"/>
      <c r="PVM99" s="167"/>
      <c r="PVN99" s="168"/>
      <c r="PVO99" s="167"/>
      <c r="PVP99" s="168"/>
      <c r="PVQ99" s="167"/>
      <c r="PVR99" s="168"/>
      <c r="PVS99" s="167"/>
      <c r="PVT99" s="168"/>
      <c r="PVU99" s="167"/>
      <c r="PVV99" s="168"/>
      <c r="PVW99" s="167"/>
      <c r="PVX99" s="168"/>
      <c r="PVY99" s="167"/>
      <c r="PVZ99" s="168"/>
      <c r="PWA99" s="167"/>
      <c r="PWB99" s="168"/>
      <c r="PWC99" s="167"/>
      <c r="PWD99" s="168"/>
      <c r="PWE99" s="167"/>
      <c r="PWF99" s="168"/>
      <c r="PWG99" s="167"/>
      <c r="PWH99" s="168"/>
      <c r="PWI99" s="167"/>
      <c r="PWJ99" s="168"/>
      <c r="PWK99" s="167"/>
      <c r="PWL99" s="168"/>
      <c r="PWM99" s="167"/>
      <c r="PWN99" s="168"/>
      <c r="PWO99" s="167"/>
      <c r="PWP99" s="168"/>
      <c r="PWQ99" s="167"/>
      <c r="PWR99" s="168"/>
      <c r="PWS99" s="167"/>
      <c r="PWT99" s="168"/>
      <c r="PWU99" s="167"/>
      <c r="PWV99" s="168"/>
      <c r="PWW99" s="167"/>
      <c r="PWX99" s="168"/>
      <c r="PWY99" s="167"/>
      <c r="PWZ99" s="168"/>
      <c r="PXA99" s="167"/>
      <c r="PXB99" s="168"/>
      <c r="PXC99" s="167"/>
      <c r="PXD99" s="168"/>
      <c r="PXE99" s="167"/>
      <c r="PXF99" s="168"/>
      <c r="PXG99" s="167"/>
      <c r="PXH99" s="168"/>
      <c r="PXI99" s="167"/>
      <c r="PXJ99" s="168"/>
      <c r="PXK99" s="167"/>
      <c r="PXL99" s="168"/>
      <c r="PXM99" s="167"/>
      <c r="PXN99" s="168"/>
      <c r="PXO99" s="167"/>
      <c r="PXP99" s="168"/>
      <c r="PXQ99" s="167"/>
      <c r="PXR99" s="168"/>
      <c r="PXS99" s="167"/>
      <c r="PXT99" s="168"/>
      <c r="PXU99" s="167"/>
      <c r="PXV99" s="168"/>
      <c r="PXW99" s="167"/>
      <c r="PXX99" s="168"/>
      <c r="PXY99" s="167"/>
      <c r="PXZ99" s="168"/>
      <c r="PYA99" s="167"/>
      <c r="PYB99" s="168"/>
      <c r="PYC99" s="167"/>
      <c r="PYD99" s="168"/>
      <c r="PYE99" s="167"/>
      <c r="PYF99" s="168"/>
      <c r="PYG99" s="167"/>
      <c r="PYH99" s="168"/>
      <c r="PYI99" s="167"/>
      <c r="PYJ99" s="168"/>
      <c r="PYK99" s="167"/>
      <c r="PYL99" s="168"/>
      <c r="PYM99" s="167"/>
      <c r="PYN99" s="168"/>
      <c r="PYO99" s="167"/>
      <c r="PYP99" s="168"/>
      <c r="PYQ99" s="167"/>
      <c r="PYR99" s="168"/>
      <c r="PYS99" s="167"/>
      <c r="PYT99" s="168"/>
      <c r="PYU99" s="167"/>
      <c r="PYV99" s="168"/>
      <c r="PYW99" s="167"/>
      <c r="PYX99" s="168"/>
      <c r="PYY99" s="167"/>
      <c r="PYZ99" s="168"/>
      <c r="PZA99" s="167"/>
      <c r="PZB99" s="168"/>
      <c r="PZC99" s="167"/>
      <c r="PZD99" s="168"/>
      <c r="PZE99" s="167"/>
      <c r="PZF99" s="168"/>
      <c r="PZG99" s="167"/>
      <c r="PZH99" s="168"/>
      <c r="PZI99" s="167"/>
      <c r="PZJ99" s="168"/>
      <c r="PZK99" s="167"/>
      <c r="PZL99" s="168"/>
      <c r="PZM99" s="167"/>
      <c r="PZN99" s="168"/>
      <c r="PZO99" s="167"/>
      <c r="PZP99" s="168"/>
      <c r="PZQ99" s="167"/>
      <c r="PZR99" s="168"/>
      <c r="PZS99" s="167"/>
      <c r="PZT99" s="168"/>
      <c r="PZU99" s="167"/>
      <c r="PZV99" s="168"/>
      <c r="PZW99" s="167"/>
      <c r="PZX99" s="168"/>
      <c r="PZY99" s="167"/>
      <c r="PZZ99" s="168"/>
      <c r="QAA99" s="167"/>
      <c r="QAB99" s="168"/>
      <c r="QAC99" s="167"/>
      <c r="QAD99" s="168"/>
      <c r="QAE99" s="167"/>
      <c r="QAF99" s="168"/>
      <c r="QAG99" s="167"/>
      <c r="QAH99" s="168"/>
      <c r="QAI99" s="167"/>
      <c r="QAJ99" s="168"/>
      <c r="QAK99" s="167"/>
      <c r="QAL99" s="168"/>
      <c r="QAM99" s="167"/>
      <c r="QAN99" s="168"/>
      <c r="QAO99" s="167"/>
      <c r="QAP99" s="168"/>
      <c r="QAQ99" s="167"/>
      <c r="QAR99" s="168"/>
      <c r="QAS99" s="167"/>
      <c r="QAT99" s="168"/>
      <c r="QAU99" s="167"/>
      <c r="QAV99" s="168"/>
      <c r="QAW99" s="167"/>
      <c r="QAX99" s="168"/>
      <c r="QAY99" s="167"/>
      <c r="QAZ99" s="168"/>
      <c r="QBA99" s="167"/>
      <c r="QBB99" s="168"/>
      <c r="QBC99" s="167"/>
      <c r="QBD99" s="168"/>
      <c r="QBE99" s="167"/>
      <c r="QBF99" s="168"/>
      <c r="QBG99" s="167"/>
      <c r="QBH99" s="168"/>
      <c r="QBI99" s="167"/>
      <c r="QBJ99" s="168"/>
      <c r="QBK99" s="167"/>
      <c r="QBL99" s="168"/>
      <c r="QBM99" s="167"/>
      <c r="QBN99" s="168"/>
      <c r="QBO99" s="167"/>
      <c r="QBP99" s="168"/>
      <c r="QBQ99" s="167"/>
      <c r="QBR99" s="168"/>
      <c r="QBS99" s="167"/>
      <c r="QBT99" s="168"/>
      <c r="QBU99" s="167"/>
      <c r="QBV99" s="168"/>
      <c r="QBW99" s="167"/>
      <c r="QBX99" s="168"/>
      <c r="QBY99" s="167"/>
      <c r="QBZ99" s="168"/>
      <c r="QCA99" s="167"/>
      <c r="QCB99" s="168"/>
      <c r="QCC99" s="167"/>
      <c r="QCD99" s="168"/>
      <c r="QCE99" s="167"/>
      <c r="QCF99" s="168"/>
      <c r="QCG99" s="167"/>
      <c r="QCH99" s="168"/>
      <c r="QCI99" s="167"/>
      <c r="QCJ99" s="168"/>
      <c r="QCK99" s="167"/>
      <c r="QCL99" s="168"/>
      <c r="QCM99" s="167"/>
      <c r="QCN99" s="168"/>
      <c r="QCO99" s="167"/>
      <c r="QCP99" s="168"/>
      <c r="QCQ99" s="167"/>
      <c r="QCR99" s="168"/>
      <c r="QCS99" s="167"/>
      <c r="QCT99" s="168"/>
      <c r="QCU99" s="167"/>
      <c r="QCV99" s="168"/>
      <c r="QCW99" s="167"/>
      <c r="QCX99" s="168"/>
      <c r="QCY99" s="167"/>
      <c r="QCZ99" s="168"/>
      <c r="QDA99" s="167"/>
      <c r="QDB99" s="168"/>
      <c r="QDC99" s="167"/>
      <c r="QDD99" s="168"/>
      <c r="QDE99" s="167"/>
      <c r="QDF99" s="168"/>
      <c r="QDG99" s="167"/>
      <c r="QDH99" s="168"/>
      <c r="QDI99" s="167"/>
      <c r="QDJ99" s="168"/>
      <c r="QDK99" s="167"/>
      <c r="QDL99" s="168"/>
      <c r="QDM99" s="167"/>
      <c r="QDN99" s="168"/>
      <c r="QDO99" s="167"/>
      <c r="QDP99" s="168"/>
      <c r="QDQ99" s="167"/>
      <c r="QDR99" s="168"/>
      <c r="QDS99" s="167"/>
      <c r="QDT99" s="168"/>
      <c r="QDU99" s="167"/>
      <c r="QDV99" s="168"/>
      <c r="QDW99" s="167"/>
      <c r="QDX99" s="168"/>
      <c r="QDY99" s="167"/>
      <c r="QDZ99" s="168"/>
      <c r="QEA99" s="167"/>
      <c r="QEB99" s="168"/>
      <c r="QEC99" s="167"/>
      <c r="QED99" s="168"/>
      <c r="QEE99" s="167"/>
      <c r="QEF99" s="168"/>
      <c r="QEG99" s="167"/>
      <c r="QEH99" s="168"/>
      <c r="QEI99" s="167"/>
      <c r="QEJ99" s="168"/>
      <c r="QEK99" s="167"/>
      <c r="QEL99" s="168"/>
      <c r="QEM99" s="167"/>
      <c r="QEN99" s="168"/>
      <c r="QEO99" s="167"/>
      <c r="QEP99" s="168"/>
      <c r="QEQ99" s="167"/>
      <c r="QER99" s="168"/>
      <c r="QES99" s="167"/>
      <c r="QET99" s="168"/>
      <c r="QEU99" s="167"/>
      <c r="QEV99" s="168"/>
      <c r="QEW99" s="167"/>
      <c r="QEX99" s="168"/>
      <c r="QEY99" s="167"/>
      <c r="QEZ99" s="168"/>
      <c r="QFA99" s="167"/>
      <c r="QFB99" s="168"/>
      <c r="QFC99" s="167"/>
      <c r="QFD99" s="168"/>
      <c r="QFE99" s="167"/>
      <c r="QFF99" s="168"/>
      <c r="QFG99" s="167"/>
      <c r="QFH99" s="168"/>
      <c r="QFI99" s="167"/>
      <c r="QFJ99" s="168"/>
      <c r="QFK99" s="167"/>
      <c r="QFL99" s="168"/>
      <c r="QFM99" s="167"/>
      <c r="QFN99" s="168"/>
      <c r="QFO99" s="167"/>
      <c r="QFP99" s="168"/>
      <c r="QFQ99" s="167"/>
      <c r="QFR99" s="168"/>
      <c r="QFS99" s="167"/>
      <c r="QFT99" s="168"/>
      <c r="QFU99" s="167"/>
      <c r="QFV99" s="168"/>
      <c r="QFW99" s="167"/>
      <c r="QFX99" s="168"/>
      <c r="QFY99" s="167"/>
      <c r="QFZ99" s="168"/>
      <c r="QGA99" s="167"/>
      <c r="QGB99" s="168"/>
      <c r="QGC99" s="167"/>
      <c r="QGD99" s="168"/>
      <c r="QGE99" s="167"/>
      <c r="QGF99" s="168"/>
      <c r="QGG99" s="167"/>
      <c r="QGH99" s="168"/>
      <c r="QGI99" s="167"/>
      <c r="QGJ99" s="168"/>
      <c r="QGK99" s="167"/>
      <c r="QGL99" s="168"/>
      <c r="QGM99" s="167"/>
      <c r="QGN99" s="168"/>
      <c r="QGO99" s="167"/>
      <c r="QGP99" s="168"/>
      <c r="QGQ99" s="167"/>
      <c r="QGR99" s="168"/>
      <c r="QGS99" s="167"/>
      <c r="QGT99" s="168"/>
      <c r="QGU99" s="167"/>
      <c r="QGV99" s="168"/>
      <c r="QGW99" s="167"/>
      <c r="QGX99" s="168"/>
      <c r="QGY99" s="167"/>
      <c r="QGZ99" s="168"/>
      <c r="QHA99" s="167"/>
      <c r="QHB99" s="168"/>
      <c r="QHC99" s="167"/>
      <c r="QHD99" s="168"/>
      <c r="QHE99" s="167"/>
      <c r="QHF99" s="168"/>
      <c r="QHG99" s="167"/>
      <c r="QHH99" s="168"/>
      <c r="QHI99" s="167"/>
      <c r="QHJ99" s="168"/>
      <c r="QHK99" s="167"/>
      <c r="QHL99" s="168"/>
      <c r="QHM99" s="167"/>
      <c r="QHN99" s="168"/>
      <c r="QHO99" s="167"/>
      <c r="QHP99" s="168"/>
      <c r="QHQ99" s="167"/>
      <c r="QHR99" s="168"/>
      <c r="QHS99" s="167"/>
      <c r="QHT99" s="168"/>
      <c r="QHU99" s="167"/>
      <c r="QHV99" s="168"/>
      <c r="QHW99" s="167"/>
      <c r="QHX99" s="168"/>
      <c r="QHY99" s="167"/>
      <c r="QHZ99" s="168"/>
      <c r="QIA99" s="167"/>
      <c r="QIB99" s="168"/>
      <c r="QIC99" s="167"/>
      <c r="QID99" s="168"/>
      <c r="QIE99" s="167"/>
      <c r="QIF99" s="168"/>
      <c r="QIG99" s="167"/>
      <c r="QIH99" s="168"/>
      <c r="QII99" s="167"/>
      <c r="QIJ99" s="168"/>
      <c r="QIK99" s="167"/>
      <c r="QIL99" s="168"/>
      <c r="QIM99" s="167"/>
      <c r="QIN99" s="168"/>
      <c r="QIO99" s="167"/>
      <c r="QIP99" s="168"/>
      <c r="QIQ99" s="167"/>
      <c r="QIR99" s="168"/>
      <c r="QIS99" s="167"/>
      <c r="QIT99" s="168"/>
      <c r="QIU99" s="167"/>
      <c r="QIV99" s="168"/>
      <c r="QIW99" s="167"/>
      <c r="QIX99" s="168"/>
      <c r="QIY99" s="167"/>
      <c r="QIZ99" s="168"/>
      <c r="QJA99" s="167"/>
      <c r="QJB99" s="168"/>
      <c r="QJC99" s="167"/>
      <c r="QJD99" s="168"/>
      <c r="QJE99" s="167"/>
      <c r="QJF99" s="168"/>
      <c r="QJG99" s="167"/>
      <c r="QJH99" s="168"/>
      <c r="QJI99" s="167"/>
      <c r="QJJ99" s="168"/>
      <c r="QJK99" s="167"/>
      <c r="QJL99" s="168"/>
      <c r="QJM99" s="167"/>
      <c r="QJN99" s="168"/>
      <c r="QJO99" s="167"/>
      <c r="QJP99" s="168"/>
      <c r="QJQ99" s="167"/>
      <c r="QJR99" s="168"/>
      <c r="QJS99" s="167"/>
      <c r="QJT99" s="168"/>
      <c r="QJU99" s="167"/>
      <c r="QJV99" s="168"/>
      <c r="QJW99" s="167"/>
      <c r="QJX99" s="168"/>
      <c r="QJY99" s="167"/>
      <c r="QJZ99" s="168"/>
      <c r="QKA99" s="167"/>
      <c r="QKB99" s="168"/>
      <c r="QKC99" s="167"/>
      <c r="QKD99" s="168"/>
      <c r="QKE99" s="167"/>
      <c r="QKF99" s="168"/>
      <c r="QKG99" s="167"/>
      <c r="QKH99" s="168"/>
      <c r="QKI99" s="167"/>
      <c r="QKJ99" s="168"/>
      <c r="QKK99" s="167"/>
      <c r="QKL99" s="168"/>
      <c r="QKM99" s="167"/>
      <c r="QKN99" s="168"/>
      <c r="QKO99" s="167"/>
      <c r="QKP99" s="168"/>
      <c r="QKQ99" s="167"/>
      <c r="QKR99" s="168"/>
      <c r="QKS99" s="167"/>
      <c r="QKT99" s="168"/>
      <c r="QKU99" s="167"/>
      <c r="QKV99" s="168"/>
      <c r="QKW99" s="167"/>
      <c r="QKX99" s="168"/>
      <c r="QKY99" s="167"/>
      <c r="QKZ99" s="168"/>
      <c r="QLA99" s="167"/>
      <c r="QLB99" s="168"/>
      <c r="QLC99" s="167"/>
      <c r="QLD99" s="168"/>
      <c r="QLE99" s="167"/>
      <c r="QLF99" s="168"/>
      <c r="QLG99" s="167"/>
      <c r="QLH99" s="168"/>
      <c r="QLI99" s="167"/>
      <c r="QLJ99" s="168"/>
      <c r="QLK99" s="167"/>
      <c r="QLL99" s="168"/>
      <c r="QLM99" s="167"/>
      <c r="QLN99" s="168"/>
      <c r="QLO99" s="167"/>
      <c r="QLP99" s="168"/>
      <c r="QLQ99" s="167"/>
      <c r="QLR99" s="168"/>
      <c r="QLS99" s="167"/>
      <c r="QLT99" s="168"/>
      <c r="QLU99" s="167"/>
      <c r="QLV99" s="168"/>
      <c r="QLW99" s="167"/>
      <c r="QLX99" s="168"/>
      <c r="QLY99" s="167"/>
      <c r="QLZ99" s="168"/>
      <c r="QMA99" s="167"/>
      <c r="QMB99" s="168"/>
      <c r="QMC99" s="167"/>
      <c r="QMD99" s="168"/>
      <c r="QME99" s="167"/>
      <c r="QMF99" s="168"/>
      <c r="QMG99" s="167"/>
      <c r="QMH99" s="168"/>
      <c r="QMI99" s="167"/>
      <c r="QMJ99" s="168"/>
      <c r="QMK99" s="167"/>
      <c r="QML99" s="168"/>
      <c r="QMM99" s="167"/>
      <c r="QMN99" s="168"/>
      <c r="QMO99" s="167"/>
      <c r="QMP99" s="168"/>
      <c r="QMQ99" s="167"/>
      <c r="QMR99" s="168"/>
      <c r="QMS99" s="167"/>
      <c r="QMT99" s="168"/>
      <c r="QMU99" s="167"/>
      <c r="QMV99" s="168"/>
      <c r="QMW99" s="167"/>
      <c r="QMX99" s="168"/>
      <c r="QMY99" s="167"/>
      <c r="QMZ99" s="168"/>
      <c r="QNA99" s="167"/>
      <c r="QNB99" s="168"/>
      <c r="QNC99" s="167"/>
      <c r="QND99" s="168"/>
      <c r="QNE99" s="167"/>
      <c r="QNF99" s="168"/>
      <c r="QNG99" s="167"/>
      <c r="QNH99" s="168"/>
      <c r="QNI99" s="167"/>
      <c r="QNJ99" s="168"/>
      <c r="QNK99" s="167"/>
      <c r="QNL99" s="168"/>
      <c r="QNM99" s="167"/>
      <c r="QNN99" s="168"/>
      <c r="QNO99" s="167"/>
      <c r="QNP99" s="168"/>
      <c r="QNQ99" s="167"/>
      <c r="QNR99" s="168"/>
      <c r="QNS99" s="167"/>
      <c r="QNT99" s="168"/>
      <c r="QNU99" s="167"/>
      <c r="QNV99" s="168"/>
      <c r="QNW99" s="167"/>
      <c r="QNX99" s="168"/>
      <c r="QNY99" s="167"/>
      <c r="QNZ99" s="168"/>
      <c r="QOA99" s="167"/>
      <c r="QOB99" s="168"/>
      <c r="QOC99" s="167"/>
      <c r="QOD99" s="168"/>
      <c r="QOE99" s="167"/>
      <c r="QOF99" s="168"/>
      <c r="QOG99" s="167"/>
      <c r="QOH99" s="168"/>
      <c r="QOI99" s="167"/>
      <c r="QOJ99" s="168"/>
      <c r="QOK99" s="167"/>
      <c r="QOL99" s="168"/>
      <c r="QOM99" s="167"/>
      <c r="QON99" s="168"/>
      <c r="QOO99" s="167"/>
      <c r="QOP99" s="168"/>
      <c r="QOQ99" s="167"/>
      <c r="QOR99" s="168"/>
      <c r="QOS99" s="167"/>
      <c r="QOT99" s="168"/>
      <c r="QOU99" s="167"/>
      <c r="QOV99" s="168"/>
      <c r="QOW99" s="167"/>
      <c r="QOX99" s="168"/>
      <c r="QOY99" s="167"/>
      <c r="QOZ99" s="168"/>
      <c r="QPA99" s="167"/>
      <c r="QPB99" s="168"/>
      <c r="QPC99" s="167"/>
      <c r="QPD99" s="168"/>
      <c r="QPE99" s="167"/>
      <c r="QPF99" s="168"/>
      <c r="QPG99" s="167"/>
      <c r="QPH99" s="168"/>
      <c r="QPI99" s="167"/>
      <c r="QPJ99" s="168"/>
      <c r="QPK99" s="167"/>
      <c r="QPL99" s="168"/>
      <c r="QPM99" s="167"/>
      <c r="QPN99" s="168"/>
      <c r="QPO99" s="167"/>
      <c r="QPP99" s="168"/>
      <c r="QPQ99" s="167"/>
      <c r="QPR99" s="168"/>
      <c r="QPS99" s="167"/>
      <c r="QPT99" s="168"/>
      <c r="QPU99" s="167"/>
      <c r="QPV99" s="168"/>
      <c r="QPW99" s="167"/>
      <c r="QPX99" s="168"/>
      <c r="QPY99" s="167"/>
      <c r="QPZ99" s="168"/>
      <c r="QQA99" s="167"/>
      <c r="QQB99" s="168"/>
      <c r="QQC99" s="167"/>
      <c r="QQD99" s="168"/>
      <c r="QQE99" s="167"/>
      <c r="QQF99" s="168"/>
      <c r="QQG99" s="167"/>
      <c r="QQH99" s="168"/>
      <c r="QQI99" s="167"/>
      <c r="QQJ99" s="168"/>
      <c r="QQK99" s="167"/>
      <c r="QQL99" s="168"/>
      <c r="QQM99" s="167"/>
      <c r="QQN99" s="168"/>
      <c r="QQO99" s="167"/>
      <c r="QQP99" s="168"/>
      <c r="QQQ99" s="167"/>
      <c r="QQR99" s="168"/>
      <c r="QQS99" s="167"/>
      <c r="QQT99" s="168"/>
      <c r="QQU99" s="167"/>
      <c r="QQV99" s="168"/>
      <c r="QQW99" s="167"/>
      <c r="QQX99" s="168"/>
      <c r="QQY99" s="167"/>
      <c r="QQZ99" s="168"/>
      <c r="QRA99" s="167"/>
      <c r="QRB99" s="168"/>
      <c r="QRC99" s="167"/>
      <c r="QRD99" s="168"/>
      <c r="QRE99" s="167"/>
      <c r="QRF99" s="168"/>
      <c r="QRG99" s="167"/>
      <c r="QRH99" s="168"/>
      <c r="QRI99" s="167"/>
      <c r="QRJ99" s="168"/>
      <c r="QRK99" s="167"/>
      <c r="QRL99" s="168"/>
      <c r="QRM99" s="167"/>
      <c r="QRN99" s="168"/>
      <c r="QRO99" s="167"/>
      <c r="QRP99" s="168"/>
      <c r="QRQ99" s="167"/>
      <c r="QRR99" s="168"/>
      <c r="QRS99" s="167"/>
      <c r="QRT99" s="168"/>
      <c r="QRU99" s="167"/>
      <c r="QRV99" s="168"/>
      <c r="QRW99" s="167"/>
      <c r="QRX99" s="168"/>
      <c r="QRY99" s="167"/>
      <c r="QRZ99" s="168"/>
      <c r="QSA99" s="167"/>
      <c r="QSB99" s="168"/>
      <c r="QSC99" s="167"/>
      <c r="QSD99" s="168"/>
      <c r="QSE99" s="167"/>
      <c r="QSF99" s="168"/>
      <c r="QSG99" s="167"/>
      <c r="QSH99" s="168"/>
      <c r="QSI99" s="167"/>
      <c r="QSJ99" s="168"/>
      <c r="QSK99" s="167"/>
      <c r="QSL99" s="168"/>
      <c r="QSM99" s="167"/>
      <c r="QSN99" s="168"/>
      <c r="QSO99" s="167"/>
      <c r="QSP99" s="168"/>
      <c r="QSQ99" s="167"/>
      <c r="QSR99" s="168"/>
      <c r="QSS99" s="167"/>
      <c r="QST99" s="168"/>
      <c r="QSU99" s="167"/>
      <c r="QSV99" s="168"/>
      <c r="QSW99" s="167"/>
      <c r="QSX99" s="168"/>
      <c r="QSY99" s="167"/>
      <c r="QSZ99" s="168"/>
      <c r="QTA99" s="167"/>
      <c r="QTB99" s="168"/>
      <c r="QTC99" s="167"/>
      <c r="QTD99" s="168"/>
      <c r="QTE99" s="167"/>
      <c r="QTF99" s="168"/>
      <c r="QTG99" s="167"/>
      <c r="QTH99" s="168"/>
      <c r="QTI99" s="167"/>
      <c r="QTJ99" s="168"/>
      <c r="QTK99" s="167"/>
      <c r="QTL99" s="168"/>
      <c r="QTM99" s="167"/>
      <c r="QTN99" s="168"/>
      <c r="QTO99" s="167"/>
      <c r="QTP99" s="168"/>
      <c r="QTQ99" s="167"/>
      <c r="QTR99" s="168"/>
      <c r="QTS99" s="167"/>
      <c r="QTT99" s="168"/>
      <c r="QTU99" s="167"/>
      <c r="QTV99" s="168"/>
      <c r="QTW99" s="167"/>
      <c r="QTX99" s="168"/>
      <c r="QTY99" s="167"/>
      <c r="QTZ99" s="168"/>
      <c r="QUA99" s="167"/>
      <c r="QUB99" s="168"/>
      <c r="QUC99" s="167"/>
      <c r="QUD99" s="168"/>
      <c r="QUE99" s="167"/>
      <c r="QUF99" s="168"/>
      <c r="QUG99" s="167"/>
      <c r="QUH99" s="168"/>
      <c r="QUI99" s="167"/>
      <c r="QUJ99" s="168"/>
      <c r="QUK99" s="167"/>
      <c r="QUL99" s="168"/>
      <c r="QUM99" s="167"/>
      <c r="QUN99" s="168"/>
      <c r="QUO99" s="167"/>
      <c r="QUP99" s="168"/>
      <c r="QUQ99" s="167"/>
      <c r="QUR99" s="168"/>
      <c r="QUS99" s="167"/>
      <c r="QUT99" s="168"/>
      <c r="QUU99" s="167"/>
      <c r="QUV99" s="168"/>
      <c r="QUW99" s="167"/>
      <c r="QUX99" s="168"/>
      <c r="QUY99" s="167"/>
      <c r="QUZ99" s="168"/>
      <c r="QVA99" s="167"/>
      <c r="QVB99" s="168"/>
      <c r="QVC99" s="167"/>
      <c r="QVD99" s="168"/>
      <c r="QVE99" s="167"/>
      <c r="QVF99" s="168"/>
      <c r="QVG99" s="167"/>
      <c r="QVH99" s="168"/>
      <c r="QVI99" s="167"/>
      <c r="QVJ99" s="168"/>
      <c r="QVK99" s="167"/>
      <c r="QVL99" s="168"/>
      <c r="QVM99" s="167"/>
      <c r="QVN99" s="168"/>
      <c r="QVO99" s="167"/>
      <c r="QVP99" s="168"/>
      <c r="QVQ99" s="167"/>
      <c r="QVR99" s="168"/>
      <c r="QVS99" s="167"/>
      <c r="QVT99" s="168"/>
      <c r="QVU99" s="167"/>
      <c r="QVV99" s="168"/>
      <c r="QVW99" s="167"/>
      <c r="QVX99" s="168"/>
      <c r="QVY99" s="167"/>
      <c r="QVZ99" s="168"/>
      <c r="QWA99" s="167"/>
      <c r="QWB99" s="168"/>
      <c r="QWC99" s="167"/>
      <c r="QWD99" s="168"/>
      <c r="QWE99" s="167"/>
      <c r="QWF99" s="168"/>
      <c r="QWG99" s="167"/>
      <c r="QWH99" s="168"/>
      <c r="QWI99" s="167"/>
      <c r="QWJ99" s="168"/>
      <c r="QWK99" s="167"/>
      <c r="QWL99" s="168"/>
      <c r="QWM99" s="167"/>
      <c r="QWN99" s="168"/>
      <c r="QWO99" s="167"/>
      <c r="QWP99" s="168"/>
      <c r="QWQ99" s="167"/>
      <c r="QWR99" s="168"/>
      <c r="QWS99" s="167"/>
      <c r="QWT99" s="168"/>
      <c r="QWU99" s="167"/>
      <c r="QWV99" s="168"/>
      <c r="QWW99" s="167"/>
      <c r="QWX99" s="168"/>
      <c r="QWY99" s="167"/>
      <c r="QWZ99" s="168"/>
      <c r="QXA99" s="167"/>
      <c r="QXB99" s="168"/>
      <c r="QXC99" s="167"/>
      <c r="QXD99" s="168"/>
      <c r="QXE99" s="167"/>
      <c r="QXF99" s="168"/>
      <c r="QXG99" s="167"/>
      <c r="QXH99" s="168"/>
      <c r="QXI99" s="167"/>
      <c r="QXJ99" s="168"/>
      <c r="QXK99" s="167"/>
      <c r="QXL99" s="168"/>
      <c r="QXM99" s="167"/>
      <c r="QXN99" s="168"/>
      <c r="QXO99" s="167"/>
      <c r="QXP99" s="168"/>
      <c r="QXQ99" s="167"/>
      <c r="QXR99" s="168"/>
      <c r="QXS99" s="167"/>
      <c r="QXT99" s="168"/>
      <c r="QXU99" s="167"/>
      <c r="QXV99" s="168"/>
      <c r="QXW99" s="167"/>
      <c r="QXX99" s="168"/>
      <c r="QXY99" s="167"/>
      <c r="QXZ99" s="168"/>
      <c r="QYA99" s="167"/>
      <c r="QYB99" s="168"/>
      <c r="QYC99" s="167"/>
      <c r="QYD99" s="168"/>
      <c r="QYE99" s="167"/>
      <c r="QYF99" s="168"/>
      <c r="QYG99" s="167"/>
      <c r="QYH99" s="168"/>
      <c r="QYI99" s="167"/>
      <c r="QYJ99" s="168"/>
      <c r="QYK99" s="167"/>
      <c r="QYL99" s="168"/>
      <c r="QYM99" s="167"/>
      <c r="QYN99" s="168"/>
      <c r="QYO99" s="167"/>
      <c r="QYP99" s="168"/>
      <c r="QYQ99" s="167"/>
      <c r="QYR99" s="168"/>
      <c r="QYS99" s="167"/>
      <c r="QYT99" s="168"/>
      <c r="QYU99" s="167"/>
      <c r="QYV99" s="168"/>
      <c r="QYW99" s="167"/>
      <c r="QYX99" s="168"/>
      <c r="QYY99" s="167"/>
      <c r="QYZ99" s="168"/>
      <c r="QZA99" s="167"/>
      <c r="QZB99" s="168"/>
      <c r="QZC99" s="167"/>
      <c r="QZD99" s="168"/>
      <c r="QZE99" s="167"/>
      <c r="QZF99" s="168"/>
      <c r="QZG99" s="167"/>
      <c r="QZH99" s="168"/>
      <c r="QZI99" s="167"/>
      <c r="QZJ99" s="168"/>
      <c r="QZK99" s="167"/>
      <c r="QZL99" s="168"/>
      <c r="QZM99" s="167"/>
      <c r="QZN99" s="168"/>
      <c r="QZO99" s="167"/>
      <c r="QZP99" s="168"/>
      <c r="QZQ99" s="167"/>
      <c r="QZR99" s="168"/>
      <c r="QZS99" s="167"/>
      <c r="QZT99" s="168"/>
      <c r="QZU99" s="167"/>
      <c r="QZV99" s="168"/>
      <c r="QZW99" s="167"/>
      <c r="QZX99" s="168"/>
      <c r="QZY99" s="167"/>
      <c r="QZZ99" s="168"/>
      <c r="RAA99" s="167"/>
      <c r="RAB99" s="168"/>
      <c r="RAC99" s="167"/>
      <c r="RAD99" s="168"/>
      <c r="RAE99" s="167"/>
      <c r="RAF99" s="168"/>
      <c r="RAG99" s="167"/>
      <c r="RAH99" s="168"/>
      <c r="RAI99" s="167"/>
      <c r="RAJ99" s="168"/>
      <c r="RAK99" s="167"/>
      <c r="RAL99" s="168"/>
      <c r="RAM99" s="167"/>
      <c r="RAN99" s="168"/>
      <c r="RAO99" s="167"/>
      <c r="RAP99" s="168"/>
      <c r="RAQ99" s="167"/>
      <c r="RAR99" s="168"/>
      <c r="RAS99" s="167"/>
      <c r="RAT99" s="168"/>
      <c r="RAU99" s="167"/>
      <c r="RAV99" s="168"/>
      <c r="RAW99" s="167"/>
      <c r="RAX99" s="168"/>
      <c r="RAY99" s="167"/>
      <c r="RAZ99" s="168"/>
      <c r="RBA99" s="167"/>
      <c r="RBB99" s="168"/>
      <c r="RBC99" s="167"/>
      <c r="RBD99" s="168"/>
      <c r="RBE99" s="167"/>
      <c r="RBF99" s="168"/>
      <c r="RBG99" s="167"/>
      <c r="RBH99" s="168"/>
      <c r="RBI99" s="167"/>
      <c r="RBJ99" s="168"/>
      <c r="RBK99" s="167"/>
      <c r="RBL99" s="168"/>
      <c r="RBM99" s="167"/>
      <c r="RBN99" s="168"/>
      <c r="RBO99" s="167"/>
      <c r="RBP99" s="168"/>
      <c r="RBQ99" s="167"/>
      <c r="RBR99" s="168"/>
      <c r="RBS99" s="167"/>
      <c r="RBT99" s="168"/>
      <c r="RBU99" s="167"/>
      <c r="RBV99" s="168"/>
      <c r="RBW99" s="167"/>
      <c r="RBX99" s="168"/>
      <c r="RBY99" s="167"/>
      <c r="RBZ99" s="168"/>
      <c r="RCA99" s="167"/>
      <c r="RCB99" s="168"/>
      <c r="RCC99" s="167"/>
      <c r="RCD99" s="168"/>
      <c r="RCE99" s="167"/>
      <c r="RCF99" s="168"/>
      <c r="RCG99" s="167"/>
      <c r="RCH99" s="168"/>
      <c r="RCI99" s="167"/>
      <c r="RCJ99" s="168"/>
      <c r="RCK99" s="167"/>
      <c r="RCL99" s="168"/>
      <c r="RCM99" s="167"/>
      <c r="RCN99" s="168"/>
      <c r="RCO99" s="167"/>
      <c r="RCP99" s="168"/>
      <c r="RCQ99" s="167"/>
      <c r="RCR99" s="168"/>
      <c r="RCS99" s="167"/>
      <c r="RCT99" s="168"/>
      <c r="RCU99" s="167"/>
      <c r="RCV99" s="168"/>
      <c r="RCW99" s="167"/>
      <c r="RCX99" s="168"/>
      <c r="RCY99" s="167"/>
      <c r="RCZ99" s="168"/>
      <c r="RDA99" s="167"/>
      <c r="RDB99" s="168"/>
      <c r="RDC99" s="167"/>
      <c r="RDD99" s="168"/>
      <c r="RDE99" s="167"/>
      <c r="RDF99" s="168"/>
      <c r="RDG99" s="167"/>
      <c r="RDH99" s="168"/>
      <c r="RDI99" s="167"/>
      <c r="RDJ99" s="168"/>
      <c r="RDK99" s="167"/>
      <c r="RDL99" s="168"/>
      <c r="RDM99" s="167"/>
      <c r="RDN99" s="168"/>
      <c r="RDO99" s="167"/>
      <c r="RDP99" s="168"/>
      <c r="RDQ99" s="167"/>
      <c r="RDR99" s="168"/>
      <c r="RDS99" s="167"/>
      <c r="RDT99" s="168"/>
      <c r="RDU99" s="167"/>
      <c r="RDV99" s="168"/>
      <c r="RDW99" s="167"/>
      <c r="RDX99" s="168"/>
      <c r="RDY99" s="167"/>
      <c r="RDZ99" s="168"/>
      <c r="REA99" s="167"/>
      <c r="REB99" s="168"/>
      <c r="REC99" s="167"/>
      <c r="RED99" s="168"/>
      <c r="REE99" s="167"/>
      <c r="REF99" s="168"/>
      <c r="REG99" s="167"/>
      <c r="REH99" s="168"/>
      <c r="REI99" s="167"/>
      <c r="REJ99" s="168"/>
      <c r="REK99" s="167"/>
      <c r="REL99" s="168"/>
      <c r="REM99" s="167"/>
      <c r="REN99" s="168"/>
      <c r="REO99" s="167"/>
      <c r="REP99" s="168"/>
      <c r="REQ99" s="167"/>
      <c r="RER99" s="168"/>
      <c r="RES99" s="167"/>
      <c r="RET99" s="168"/>
      <c r="REU99" s="167"/>
      <c r="REV99" s="168"/>
      <c r="REW99" s="167"/>
      <c r="REX99" s="168"/>
      <c r="REY99" s="167"/>
      <c r="REZ99" s="168"/>
      <c r="RFA99" s="167"/>
      <c r="RFB99" s="168"/>
      <c r="RFC99" s="167"/>
      <c r="RFD99" s="168"/>
      <c r="RFE99" s="167"/>
      <c r="RFF99" s="168"/>
      <c r="RFG99" s="167"/>
      <c r="RFH99" s="168"/>
      <c r="RFI99" s="167"/>
      <c r="RFJ99" s="168"/>
      <c r="RFK99" s="167"/>
      <c r="RFL99" s="168"/>
      <c r="RFM99" s="167"/>
      <c r="RFN99" s="168"/>
      <c r="RFO99" s="167"/>
      <c r="RFP99" s="168"/>
      <c r="RFQ99" s="167"/>
      <c r="RFR99" s="168"/>
      <c r="RFS99" s="167"/>
      <c r="RFT99" s="168"/>
      <c r="RFU99" s="167"/>
      <c r="RFV99" s="168"/>
      <c r="RFW99" s="167"/>
      <c r="RFX99" s="168"/>
      <c r="RFY99" s="167"/>
      <c r="RFZ99" s="168"/>
      <c r="RGA99" s="167"/>
      <c r="RGB99" s="168"/>
      <c r="RGC99" s="167"/>
      <c r="RGD99" s="168"/>
      <c r="RGE99" s="167"/>
      <c r="RGF99" s="168"/>
      <c r="RGG99" s="167"/>
      <c r="RGH99" s="168"/>
      <c r="RGI99" s="167"/>
      <c r="RGJ99" s="168"/>
      <c r="RGK99" s="167"/>
      <c r="RGL99" s="168"/>
      <c r="RGM99" s="167"/>
      <c r="RGN99" s="168"/>
      <c r="RGO99" s="167"/>
      <c r="RGP99" s="168"/>
      <c r="RGQ99" s="167"/>
      <c r="RGR99" s="168"/>
      <c r="RGS99" s="167"/>
      <c r="RGT99" s="168"/>
      <c r="RGU99" s="167"/>
      <c r="RGV99" s="168"/>
      <c r="RGW99" s="167"/>
      <c r="RGX99" s="168"/>
      <c r="RGY99" s="167"/>
      <c r="RGZ99" s="168"/>
      <c r="RHA99" s="167"/>
      <c r="RHB99" s="168"/>
      <c r="RHC99" s="167"/>
      <c r="RHD99" s="168"/>
      <c r="RHE99" s="167"/>
      <c r="RHF99" s="168"/>
      <c r="RHG99" s="167"/>
      <c r="RHH99" s="168"/>
      <c r="RHI99" s="167"/>
      <c r="RHJ99" s="168"/>
      <c r="RHK99" s="167"/>
      <c r="RHL99" s="168"/>
      <c r="RHM99" s="167"/>
      <c r="RHN99" s="168"/>
      <c r="RHO99" s="167"/>
      <c r="RHP99" s="168"/>
      <c r="RHQ99" s="167"/>
      <c r="RHR99" s="168"/>
      <c r="RHS99" s="167"/>
      <c r="RHT99" s="168"/>
      <c r="RHU99" s="167"/>
      <c r="RHV99" s="168"/>
      <c r="RHW99" s="167"/>
      <c r="RHX99" s="168"/>
      <c r="RHY99" s="167"/>
      <c r="RHZ99" s="168"/>
      <c r="RIA99" s="167"/>
      <c r="RIB99" s="168"/>
      <c r="RIC99" s="167"/>
      <c r="RID99" s="168"/>
      <c r="RIE99" s="167"/>
      <c r="RIF99" s="168"/>
      <c r="RIG99" s="167"/>
      <c r="RIH99" s="168"/>
      <c r="RII99" s="167"/>
      <c r="RIJ99" s="168"/>
      <c r="RIK99" s="167"/>
      <c r="RIL99" s="168"/>
      <c r="RIM99" s="167"/>
      <c r="RIN99" s="168"/>
      <c r="RIO99" s="167"/>
      <c r="RIP99" s="168"/>
      <c r="RIQ99" s="167"/>
      <c r="RIR99" s="168"/>
      <c r="RIS99" s="167"/>
      <c r="RIT99" s="168"/>
      <c r="RIU99" s="167"/>
      <c r="RIV99" s="168"/>
      <c r="RIW99" s="167"/>
      <c r="RIX99" s="168"/>
      <c r="RIY99" s="167"/>
      <c r="RIZ99" s="168"/>
      <c r="RJA99" s="167"/>
      <c r="RJB99" s="168"/>
      <c r="RJC99" s="167"/>
      <c r="RJD99" s="168"/>
      <c r="RJE99" s="167"/>
      <c r="RJF99" s="168"/>
      <c r="RJG99" s="167"/>
      <c r="RJH99" s="168"/>
      <c r="RJI99" s="167"/>
      <c r="RJJ99" s="168"/>
      <c r="RJK99" s="167"/>
      <c r="RJL99" s="168"/>
      <c r="RJM99" s="167"/>
      <c r="RJN99" s="168"/>
      <c r="RJO99" s="167"/>
      <c r="RJP99" s="168"/>
      <c r="RJQ99" s="167"/>
      <c r="RJR99" s="168"/>
      <c r="RJS99" s="167"/>
      <c r="RJT99" s="168"/>
      <c r="RJU99" s="167"/>
      <c r="RJV99" s="168"/>
      <c r="RJW99" s="167"/>
      <c r="RJX99" s="168"/>
      <c r="RJY99" s="167"/>
      <c r="RJZ99" s="168"/>
      <c r="RKA99" s="167"/>
      <c r="RKB99" s="168"/>
      <c r="RKC99" s="167"/>
      <c r="RKD99" s="168"/>
      <c r="RKE99" s="167"/>
      <c r="RKF99" s="168"/>
      <c r="RKG99" s="167"/>
      <c r="RKH99" s="168"/>
      <c r="RKI99" s="167"/>
      <c r="RKJ99" s="168"/>
      <c r="RKK99" s="167"/>
      <c r="RKL99" s="168"/>
      <c r="RKM99" s="167"/>
      <c r="RKN99" s="168"/>
      <c r="RKO99" s="167"/>
      <c r="RKP99" s="168"/>
      <c r="RKQ99" s="167"/>
      <c r="RKR99" s="168"/>
      <c r="RKS99" s="167"/>
      <c r="RKT99" s="168"/>
      <c r="RKU99" s="167"/>
      <c r="RKV99" s="168"/>
      <c r="RKW99" s="167"/>
      <c r="RKX99" s="168"/>
      <c r="RKY99" s="167"/>
      <c r="RKZ99" s="168"/>
      <c r="RLA99" s="167"/>
      <c r="RLB99" s="168"/>
      <c r="RLC99" s="167"/>
      <c r="RLD99" s="168"/>
      <c r="RLE99" s="167"/>
      <c r="RLF99" s="168"/>
      <c r="RLG99" s="167"/>
      <c r="RLH99" s="168"/>
      <c r="RLI99" s="167"/>
      <c r="RLJ99" s="168"/>
      <c r="RLK99" s="167"/>
      <c r="RLL99" s="168"/>
      <c r="RLM99" s="167"/>
      <c r="RLN99" s="168"/>
      <c r="RLO99" s="167"/>
      <c r="RLP99" s="168"/>
      <c r="RLQ99" s="167"/>
      <c r="RLR99" s="168"/>
      <c r="RLS99" s="167"/>
      <c r="RLT99" s="168"/>
      <c r="RLU99" s="167"/>
      <c r="RLV99" s="168"/>
      <c r="RLW99" s="167"/>
      <c r="RLX99" s="168"/>
      <c r="RLY99" s="167"/>
      <c r="RLZ99" s="168"/>
      <c r="RMA99" s="167"/>
      <c r="RMB99" s="168"/>
      <c r="RMC99" s="167"/>
      <c r="RMD99" s="168"/>
      <c r="RME99" s="167"/>
      <c r="RMF99" s="168"/>
      <c r="RMG99" s="167"/>
      <c r="RMH99" s="168"/>
      <c r="RMI99" s="167"/>
      <c r="RMJ99" s="168"/>
      <c r="RMK99" s="167"/>
      <c r="RML99" s="168"/>
      <c r="RMM99" s="167"/>
      <c r="RMN99" s="168"/>
      <c r="RMO99" s="167"/>
      <c r="RMP99" s="168"/>
      <c r="RMQ99" s="167"/>
      <c r="RMR99" s="168"/>
      <c r="RMS99" s="167"/>
      <c r="RMT99" s="168"/>
      <c r="RMU99" s="167"/>
      <c r="RMV99" s="168"/>
      <c r="RMW99" s="167"/>
      <c r="RMX99" s="168"/>
      <c r="RMY99" s="167"/>
      <c r="RMZ99" s="168"/>
      <c r="RNA99" s="167"/>
      <c r="RNB99" s="168"/>
      <c r="RNC99" s="167"/>
      <c r="RND99" s="168"/>
      <c r="RNE99" s="167"/>
      <c r="RNF99" s="168"/>
      <c r="RNG99" s="167"/>
      <c r="RNH99" s="168"/>
      <c r="RNI99" s="167"/>
      <c r="RNJ99" s="168"/>
      <c r="RNK99" s="167"/>
      <c r="RNL99" s="168"/>
      <c r="RNM99" s="167"/>
      <c r="RNN99" s="168"/>
      <c r="RNO99" s="167"/>
      <c r="RNP99" s="168"/>
      <c r="RNQ99" s="167"/>
      <c r="RNR99" s="168"/>
      <c r="RNS99" s="167"/>
      <c r="RNT99" s="168"/>
      <c r="RNU99" s="167"/>
      <c r="RNV99" s="168"/>
      <c r="RNW99" s="167"/>
      <c r="RNX99" s="168"/>
      <c r="RNY99" s="167"/>
      <c r="RNZ99" s="168"/>
      <c r="ROA99" s="167"/>
      <c r="ROB99" s="168"/>
      <c r="ROC99" s="167"/>
      <c r="ROD99" s="168"/>
      <c r="ROE99" s="167"/>
      <c r="ROF99" s="168"/>
      <c r="ROG99" s="167"/>
      <c r="ROH99" s="168"/>
      <c r="ROI99" s="167"/>
      <c r="ROJ99" s="168"/>
      <c r="ROK99" s="167"/>
      <c r="ROL99" s="168"/>
      <c r="ROM99" s="167"/>
      <c r="RON99" s="168"/>
      <c r="ROO99" s="167"/>
      <c r="ROP99" s="168"/>
      <c r="ROQ99" s="167"/>
      <c r="ROR99" s="168"/>
      <c r="ROS99" s="167"/>
      <c r="ROT99" s="168"/>
      <c r="ROU99" s="167"/>
      <c r="ROV99" s="168"/>
      <c r="ROW99" s="167"/>
      <c r="ROX99" s="168"/>
      <c r="ROY99" s="167"/>
      <c r="ROZ99" s="168"/>
      <c r="RPA99" s="167"/>
      <c r="RPB99" s="168"/>
      <c r="RPC99" s="167"/>
      <c r="RPD99" s="168"/>
      <c r="RPE99" s="167"/>
      <c r="RPF99" s="168"/>
      <c r="RPG99" s="167"/>
      <c r="RPH99" s="168"/>
      <c r="RPI99" s="167"/>
      <c r="RPJ99" s="168"/>
      <c r="RPK99" s="167"/>
      <c r="RPL99" s="168"/>
      <c r="RPM99" s="167"/>
      <c r="RPN99" s="168"/>
      <c r="RPO99" s="167"/>
      <c r="RPP99" s="168"/>
      <c r="RPQ99" s="167"/>
      <c r="RPR99" s="168"/>
      <c r="RPS99" s="167"/>
      <c r="RPT99" s="168"/>
      <c r="RPU99" s="167"/>
      <c r="RPV99" s="168"/>
      <c r="RPW99" s="167"/>
      <c r="RPX99" s="168"/>
      <c r="RPY99" s="167"/>
      <c r="RPZ99" s="168"/>
      <c r="RQA99" s="167"/>
      <c r="RQB99" s="168"/>
      <c r="RQC99" s="167"/>
      <c r="RQD99" s="168"/>
      <c r="RQE99" s="167"/>
      <c r="RQF99" s="168"/>
      <c r="RQG99" s="167"/>
      <c r="RQH99" s="168"/>
      <c r="RQI99" s="167"/>
      <c r="RQJ99" s="168"/>
      <c r="RQK99" s="167"/>
      <c r="RQL99" s="168"/>
      <c r="RQM99" s="167"/>
      <c r="RQN99" s="168"/>
      <c r="RQO99" s="167"/>
      <c r="RQP99" s="168"/>
      <c r="RQQ99" s="167"/>
      <c r="RQR99" s="168"/>
      <c r="RQS99" s="167"/>
      <c r="RQT99" s="168"/>
      <c r="RQU99" s="167"/>
      <c r="RQV99" s="168"/>
      <c r="RQW99" s="167"/>
      <c r="RQX99" s="168"/>
      <c r="RQY99" s="167"/>
      <c r="RQZ99" s="168"/>
      <c r="RRA99" s="167"/>
      <c r="RRB99" s="168"/>
      <c r="RRC99" s="167"/>
      <c r="RRD99" s="168"/>
      <c r="RRE99" s="167"/>
      <c r="RRF99" s="168"/>
      <c r="RRG99" s="167"/>
      <c r="RRH99" s="168"/>
      <c r="RRI99" s="167"/>
      <c r="RRJ99" s="168"/>
      <c r="RRK99" s="167"/>
      <c r="RRL99" s="168"/>
      <c r="RRM99" s="167"/>
      <c r="RRN99" s="168"/>
      <c r="RRO99" s="167"/>
      <c r="RRP99" s="168"/>
      <c r="RRQ99" s="167"/>
      <c r="RRR99" s="168"/>
      <c r="RRS99" s="167"/>
      <c r="RRT99" s="168"/>
      <c r="RRU99" s="167"/>
      <c r="RRV99" s="168"/>
      <c r="RRW99" s="167"/>
      <c r="RRX99" s="168"/>
      <c r="RRY99" s="167"/>
      <c r="RRZ99" s="168"/>
      <c r="RSA99" s="167"/>
      <c r="RSB99" s="168"/>
      <c r="RSC99" s="167"/>
      <c r="RSD99" s="168"/>
      <c r="RSE99" s="167"/>
      <c r="RSF99" s="168"/>
      <c r="RSG99" s="167"/>
      <c r="RSH99" s="168"/>
      <c r="RSI99" s="167"/>
      <c r="RSJ99" s="168"/>
      <c r="RSK99" s="167"/>
      <c r="RSL99" s="168"/>
      <c r="RSM99" s="167"/>
      <c r="RSN99" s="168"/>
      <c r="RSO99" s="167"/>
      <c r="RSP99" s="168"/>
      <c r="RSQ99" s="167"/>
      <c r="RSR99" s="168"/>
      <c r="RSS99" s="167"/>
      <c r="RST99" s="168"/>
      <c r="RSU99" s="167"/>
      <c r="RSV99" s="168"/>
      <c r="RSW99" s="167"/>
      <c r="RSX99" s="168"/>
      <c r="RSY99" s="167"/>
      <c r="RSZ99" s="168"/>
      <c r="RTA99" s="167"/>
      <c r="RTB99" s="168"/>
      <c r="RTC99" s="167"/>
      <c r="RTD99" s="168"/>
      <c r="RTE99" s="167"/>
      <c r="RTF99" s="168"/>
      <c r="RTG99" s="167"/>
      <c r="RTH99" s="168"/>
      <c r="RTI99" s="167"/>
      <c r="RTJ99" s="168"/>
      <c r="RTK99" s="167"/>
      <c r="RTL99" s="168"/>
      <c r="RTM99" s="167"/>
      <c r="RTN99" s="168"/>
      <c r="RTO99" s="167"/>
      <c r="RTP99" s="168"/>
      <c r="RTQ99" s="167"/>
      <c r="RTR99" s="168"/>
      <c r="RTS99" s="167"/>
      <c r="RTT99" s="168"/>
      <c r="RTU99" s="167"/>
      <c r="RTV99" s="168"/>
      <c r="RTW99" s="167"/>
      <c r="RTX99" s="168"/>
      <c r="RTY99" s="167"/>
      <c r="RTZ99" s="168"/>
      <c r="RUA99" s="167"/>
      <c r="RUB99" s="168"/>
      <c r="RUC99" s="167"/>
      <c r="RUD99" s="168"/>
      <c r="RUE99" s="167"/>
      <c r="RUF99" s="168"/>
      <c r="RUG99" s="167"/>
      <c r="RUH99" s="168"/>
      <c r="RUI99" s="167"/>
      <c r="RUJ99" s="168"/>
      <c r="RUK99" s="167"/>
      <c r="RUL99" s="168"/>
      <c r="RUM99" s="167"/>
      <c r="RUN99" s="168"/>
      <c r="RUO99" s="167"/>
      <c r="RUP99" s="168"/>
      <c r="RUQ99" s="167"/>
      <c r="RUR99" s="168"/>
      <c r="RUS99" s="167"/>
      <c r="RUT99" s="168"/>
      <c r="RUU99" s="167"/>
      <c r="RUV99" s="168"/>
      <c r="RUW99" s="167"/>
      <c r="RUX99" s="168"/>
      <c r="RUY99" s="167"/>
      <c r="RUZ99" s="168"/>
      <c r="RVA99" s="167"/>
      <c r="RVB99" s="168"/>
      <c r="RVC99" s="167"/>
      <c r="RVD99" s="168"/>
      <c r="RVE99" s="167"/>
      <c r="RVF99" s="168"/>
      <c r="RVG99" s="167"/>
      <c r="RVH99" s="168"/>
      <c r="RVI99" s="167"/>
      <c r="RVJ99" s="168"/>
      <c r="RVK99" s="167"/>
      <c r="RVL99" s="168"/>
      <c r="RVM99" s="167"/>
      <c r="RVN99" s="168"/>
      <c r="RVO99" s="167"/>
      <c r="RVP99" s="168"/>
      <c r="RVQ99" s="167"/>
      <c r="RVR99" s="168"/>
      <c r="RVS99" s="167"/>
      <c r="RVT99" s="168"/>
      <c r="RVU99" s="167"/>
      <c r="RVV99" s="168"/>
      <c r="RVW99" s="167"/>
      <c r="RVX99" s="168"/>
      <c r="RVY99" s="167"/>
      <c r="RVZ99" s="168"/>
      <c r="RWA99" s="167"/>
      <c r="RWB99" s="168"/>
      <c r="RWC99" s="167"/>
      <c r="RWD99" s="168"/>
      <c r="RWE99" s="167"/>
      <c r="RWF99" s="168"/>
      <c r="RWG99" s="167"/>
      <c r="RWH99" s="168"/>
      <c r="RWI99" s="167"/>
      <c r="RWJ99" s="168"/>
      <c r="RWK99" s="167"/>
      <c r="RWL99" s="168"/>
      <c r="RWM99" s="167"/>
      <c r="RWN99" s="168"/>
      <c r="RWO99" s="167"/>
      <c r="RWP99" s="168"/>
      <c r="RWQ99" s="167"/>
      <c r="RWR99" s="168"/>
      <c r="RWS99" s="167"/>
      <c r="RWT99" s="168"/>
      <c r="RWU99" s="167"/>
      <c r="RWV99" s="168"/>
      <c r="RWW99" s="167"/>
      <c r="RWX99" s="168"/>
      <c r="RWY99" s="167"/>
      <c r="RWZ99" s="168"/>
      <c r="RXA99" s="167"/>
      <c r="RXB99" s="168"/>
      <c r="RXC99" s="167"/>
      <c r="RXD99" s="168"/>
      <c r="RXE99" s="167"/>
      <c r="RXF99" s="168"/>
      <c r="RXG99" s="167"/>
      <c r="RXH99" s="168"/>
      <c r="RXI99" s="167"/>
      <c r="RXJ99" s="168"/>
      <c r="RXK99" s="167"/>
      <c r="RXL99" s="168"/>
      <c r="RXM99" s="167"/>
      <c r="RXN99" s="168"/>
      <c r="RXO99" s="167"/>
      <c r="RXP99" s="168"/>
      <c r="RXQ99" s="167"/>
      <c r="RXR99" s="168"/>
      <c r="RXS99" s="167"/>
      <c r="RXT99" s="168"/>
      <c r="RXU99" s="167"/>
      <c r="RXV99" s="168"/>
      <c r="RXW99" s="167"/>
      <c r="RXX99" s="168"/>
      <c r="RXY99" s="167"/>
      <c r="RXZ99" s="168"/>
      <c r="RYA99" s="167"/>
      <c r="RYB99" s="168"/>
      <c r="RYC99" s="167"/>
      <c r="RYD99" s="168"/>
      <c r="RYE99" s="167"/>
      <c r="RYF99" s="168"/>
      <c r="RYG99" s="167"/>
      <c r="RYH99" s="168"/>
      <c r="RYI99" s="167"/>
      <c r="RYJ99" s="168"/>
      <c r="RYK99" s="167"/>
      <c r="RYL99" s="168"/>
      <c r="RYM99" s="167"/>
      <c r="RYN99" s="168"/>
      <c r="RYO99" s="167"/>
      <c r="RYP99" s="168"/>
      <c r="RYQ99" s="167"/>
      <c r="RYR99" s="168"/>
      <c r="RYS99" s="167"/>
      <c r="RYT99" s="168"/>
      <c r="RYU99" s="167"/>
      <c r="RYV99" s="168"/>
      <c r="RYW99" s="167"/>
      <c r="RYX99" s="168"/>
      <c r="RYY99" s="167"/>
      <c r="RYZ99" s="168"/>
      <c r="RZA99" s="167"/>
      <c r="RZB99" s="168"/>
      <c r="RZC99" s="167"/>
      <c r="RZD99" s="168"/>
      <c r="RZE99" s="167"/>
      <c r="RZF99" s="168"/>
      <c r="RZG99" s="167"/>
      <c r="RZH99" s="168"/>
      <c r="RZI99" s="167"/>
      <c r="RZJ99" s="168"/>
      <c r="RZK99" s="167"/>
      <c r="RZL99" s="168"/>
      <c r="RZM99" s="167"/>
      <c r="RZN99" s="168"/>
      <c r="RZO99" s="167"/>
      <c r="RZP99" s="168"/>
      <c r="RZQ99" s="167"/>
      <c r="RZR99" s="168"/>
      <c r="RZS99" s="167"/>
      <c r="RZT99" s="168"/>
      <c r="RZU99" s="167"/>
      <c r="RZV99" s="168"/>
      <c r="RZW99" s="167"/>
      <c r="RZX99" s="168"/>
      <c r="RZY99" s="167"/>
      <c r="RZZ99" s="168"/>
      <c r="SAA99" s="167"/>
      <c r="SAB99" s="168"/>
      <c r="SAC99" s="167"/>
      <c r="SAD99" s="168"/>
      <c r="SAE99" s="167"/>
      <c r="SAF99" s="168"/>
      <c r="SAG99" s="167"/>
      <c r="SAH99" s="168"/>
      <c r="SAI99" s="167"/>
      <c r="SAJ99" s="168"/>
      <c r="SAK99" s="167"/>
      <c r="SAL99" s="168"/>
      <c r="SAM99" s="167"/>
      <c r="SAN99" s="168"/>
      <c r="SAO99" s="167"/>
      <c r="SAP99" s="168"/>
      <c r="SAQ99" s="167"/>
      <c r="SAR99" s="168"/>
      <c r="SAS99" s="167"/>
      <c r="SAT99" s="168"/>
      <c r="SAU99" s="167"/>
      <c r="SAV99" s="168"/>
      <c r="SAW99" s="167"/>
      <c r="SAX99" s="168"/>
      <c r="SAY99" s="167"/>
      <c r="SAZ99" s="168"/>
      <c r="SBA99" s="167"/>
      <c r="SBB99" s="168"/>
      <c r="SBC99" s="167"/>
      <c r="SBD99" s="168"/>
      <c r="SBE99" s="167"/>
      <c r="SBF99" s="168"/>
      <c r="SBG99" s="167"/>
      <c r="SBH99" s="168"/>
      <c r="SBI99" s="167"/>
      <c r="SBJ99" s="168"/>
      <c r="SBK99" s="167"/>
      <c r="SBL99" s="168"/>
      <c r="SBM99" s="167"/>
      <c r="SBN99" s="168"/>
      <c r="SBO99" s="167"/>
      <c r="SBP99" s="168"/>
      <c r="SBQ99" s="167"/>
      <c r="SBR99" s="168"/>
      <c r="SBS99" s="167"/>
      <c r="SBT99" s="168"/>
      <c r="SBU99" s="167"/>
      <c r="SBV99" s="168"/>
      <c r="SBW99" s="167"/>
      <c r="SBX99" s="168"/>
      <c r="SBY99" s="167"/>
      <c r="SBZ99" s="168"/>
      <c r="SCA99" s="167"/>
      <c r="SCB99" s="168"/>
      <c r="SCC99" s="167"/>
      <c r="SCD99" s="168"/>
      <c r="SCE99" s="167"/>
      <c r="SCF99" s="168"/>
      <c r="SCG99" s="167"/>
      <c r="SCH99" s="168"/>
      <c r="SCI99" s="167"/>
      <c r="SCJ99" s="168"/>
      <c r="SCK99" s="167"/>
      <c r="SCL99" s="168"/>
      <c r="SCM99" s="167"/>
      <c r="SCN99" s="168"/>
      <c r="SCO99" s="167"/>
      <c r="SCP99" s="168"/>
      <c r="SCQ99" s="167"/>
      <c r="SCR99" s="168"/>
      <c r="SCS99" s="167"/>
      <c r="SCT99" s="168"/>
      <c r="SCU99" s="167"/>
      <c r="SCV99" s="168"/>
      <c r="SCW99" s="167"/>
      <c r="SCX99" s="168"/>
      <c r="SCY99" s="167"/>
      <c r="SCZ99" s="168"/>
      <c r="SDA99" s="167"/>
      <c r="SDB99" s="168"/>
      <c r="SDC99" s="167"/>
      <c r="SDD99" s="168"/>
      <c r="SDE99" s="167"/>
      <c r="SDF99" s="168"/>
      <c r="SDG99" s="167"/>
      <c r="SDH99" s="168"/>
      <c r="SDI99" s="167"/>
      <c r="SDJ99" s="168"/>
      <c r="SDK99" s="167"/>
      <c r="SDL99" s="168"/>
      <c r="SDM99" s="167"/>
      <c r="SDN99" s="168"/>
      <c r="SDO99" s="167"/>
      <c r="SDP99" s="168"/>
      <c r="SDQ99" s="167"/>
      <c r="SDR99" s="168"/>
      <c r="SDS99" s="167"/>
      <c r="SDT99" s="168"/>
      <c r="SDU99" s="167"/>
      <c r="SDV99" s="168"/>
      <c r="SDW99" s="167"/>
      <c r="SDX99" s="168"/>
      <c r="SDY99" s="167"/>
      <c r="SDZ99" s="168"/>
      <c r="SEA99" s="167"/>
      <c r="SEB99" s="168"/>
      <c r="SEC99" s="167"/>
      <c r="SED99" s="168"/>
      <c r="SEE99" s="167"/>
      <c r="SEF99" s="168"/>
      <c r="SEG99" s="167"/>
      <c r="SEH99" s="168"/>
      <c r="SEI99" s="167"/>
      <c r="SEJ99" s="168"/>
      <c r="SEK99" s="167"/>
      <c r="SEL99" s="168"/>
      <c r="SEM99" s="167"/>
      <c r="SEN99" s="168"/>
      <c r="SEO99" s="167"/>
      <c r="SEP99" s="168"/>
      <c r="SEQ99" s="167"/>
      <c r="SER99" s="168"/>
      <c r="SES99" s="167"/>
      <c r="SET99" s="168"/>
      <c r="SEU99" s="167"/>
      <c r="SEV99" s="168"/>
      <c r="SEW99" s="167"/>
      <c r="SEX99" s="168"/>
      <c r="SEY99" s="167"/>
      <c r="SEZ99" s="168"/>
      <c r="SFA99" s="167"/>
      <c r="SFB99" s="168"/>
      <c r="SFC99" s="167"/>
      <c r="SFD99" s="168"/>
      <c r="SFE99" s="167"/>
      <c r="SFF99" s="168"/>
      <c r="SFG99" s="167"/>
      <c r="SFH99" s="168"/>
      <c r="SFI99" s="167"/>
      <c r="SFJ99" s="168"/>
      <c r="SFK99" s="167"/>
      <c r="SFL99" s="168"/>
      <c r="SFM99" s="167"/>
      <c r="SFN99" s="168"/>
      <c r="SFO99" s="167"/>
      <c r="SFP99" s="168"/>
      <c r="SFQ99" s="167"/>
      <c r="SFR99" s="168"/>
      <c r="SFS99" s="167"/>
      <c r="SFT99" s="168"/>
      <c r="SFU99" s="167"/>
      <c r="SFV99" s="168"/>
      <c r="SFW99" s="167"/>
      <c r="SFX99" s="168"/>
      <c r="SFY99" s="167"/>
      <c r="SFZ99" s="168"/>
      <c r="SGA99" s="167"/>
      <c r="SGB99" s="168"/>
      <c r="SGC99" s="167"/>
      <c r="SGD99" s="168"/>
      <c r="SGE99" s="167"/>
      <c r="SGF99" s="168"/>
      <c r="SGG99" s="167"/>
      <c r="SGH99" s="168"/>
      <c r="SGI99" s="167"/>
      <c r="SGJ99" s="168"/>
      <c r="SGK99" s="167"/>
      <c r="SGL99" s="168"/>
      <c r="SGM99" s="167"/>
      <c r="SGN99" s="168"/>
      <c r="SGO99" s="167"/>
      <c r="SGP99" s="168"/>
      <c r="SGQ99" s="167"/>
      <c r="SGR99" s="168"/>
      <c r="SGS99" s="167"/>
      <c r="SGT99" s="168"/>
      <c r="SGU99" s="167"/>
      <c r="SGV99" s="168"/>
      <c r="SGW99" s="167"/>
      <c r="SGX99" s="168"/>
      <c r="SGY99" s="167"/>
      <c r="SGZ99" s="168"/>
      <c r="SHA99" s="167"/>
      <c r="SHB99" s="168"/>
      <c r="SHC99" s="167"/>
      <c r="SHD99" s="168"/>
      <c r="SHE99" s="167"/>
      <c r="SHF99" s="168"/>
      <c r="SHG99" s="167"/>
      <c r="SHH99" s="168"/>
      <c r="SHI99" s="167"/>
      <c r="SHJ99" s="168"/>
      <c r="SHK99" s="167"/>
      <c r="SHL99" s="168"/>
      <c r="SHM99" s="167"/>
      <c r="SHN99" s="168"/>
      <c r="SHO99" s="167"/>
      <c r="SHP99" s="168"/>
      <c r="SHQ99" s="167"/>
      <c r="SHR99" s="168"/>
      <c r="SHS99" s="167"/>
      <c r="SHT99" s="168"/>
      <c r="SHU99" s="167"/>
      <c r="SHV99" s="168"/>
      <c r="SHW99" s="167"/>
      <c r="SHX99" s="168"/>
      <c r="SHY99" s="167"/>
      <c r="SHZ99" s="168"/>
      <c r="SIA99" s="167"/>
      <c r="SIB99" s="168"/>
      <c r="SIC99" s="167"/>
      <c r="SID99" s="168"/>
      <c r="SIE99" s="167"/>
      <c r="SIF99" s="168"/>
      <c r="SIG99" s="167"/>
      <c r="SIH99" s="168"/>
      <c r="SII99" s="167"/>
      <c r="SIJ99" s="168"/>
      <c r="SIK99" s="167"/>
      <c r="SIL99" s="168"/>
      <c r="SIM99" s="167"/>
      <c r="SIN99" s="168"/>
      <c r="SIO99" s="167"/>
      <c r="SIP99" s="168"/>
      <c r="SIQ99" s="167"/>
      <c r="SIR99" s="168"/>
      <c r="SIS99" s="167"/>
      <c r="SIT99" s="168"/>
      <c r="SIU99" s="167"/>
      <c r="SIV99" s="168"/>
      <c r="SIW99" s="167"/>
      <c r="SIX99" s="168"/>
      <c r="SIY99" s="167"/>
      <c r="SIZ99" s="168"/>
      <c r="SJA99" s="167"/>
      <c r="SJB99" s="168"/>
      <c r="SJC99" s="167"/>
      <c r="SJD99" s="168"/>
      <c r="SJE99" s="167"/>
      <c r="SJF99" s="168"/>
      <c r="SJG99" s="167"/>
      <c r="SJH99" s="168"/>
      <c r="SJI99" s="167"/>
      <c r="SJJ99" s="168"/>
      <c r="SJK99" s="167"/>
      <c r="SJL99" s="168"/>
      <c r="SJM99" s="167"/>
      <c r="SJN99" s="168"/>
      <c r="SJO99" s="167"/>
      <c r="SJP99" s="168"/>
      <c r="SJQ99" s="167"/>
      <c r="SJR99" s="168"/>
      <c r="SJS99" s="167"/>
      <c r="SJT99" s="168"/>
      <c r="SJU99" s="167"/>
      <c r="SJV99" s="168"/>
      <c r="SJW99" s="167"/>
      <c r="SJX99" s="168"/>
      <c r="SJY99" s="167"/>
      <c r="SJZ99" s="168"/>
      <c r="SKA99" s="167"/>
      <c r="SKB99" s="168"/>
      <c r="SKC99" s="167"/>
      <c r="SKD99" s="168"/>
      <c r="SKE99" s="167"/>
      <c r="SKF99" s="168"/>
      <c r="SKG99" s="167"/>
      <c r="SKH99" s="168"/>
      <c r="SKI99" s="167"/>
      <c r="SKJ99" s="168"/>
      <c r="SKK99" s="167"/>
      <c r="SKL99" s="168"/>
      <c r="SKM99" s="167"/>
      <c r="SKN99" s="168"/>
      <c r="SKO99" s="167"/>
      <c r="SKP99" s="168"/>
      <c r="SKQ99" s="167"/>
      <c r="SKR99" s="168"/>
      <c r="SKS99" s="167"/>
      <c r="SKT99" s="168"/>
      <c r="SKU99" s="167"/>
      <c r="SKV99" s="168"/>
      <c r="SKW99" s="167"/>
      <c r="SKX99" s="168"/>
      <c r="SKY99" s="167"/>
      <c r="SKZ99" s="168"/>
      <c r="SLA99" s="167"/>
      <c r="SLB99" s="168"/>
      <c r="SLC99" s="167"/>
      <c r="SLD99" s="168"/>
      <c r="SLE99" s="167"/>
      <c r="SLF99" s="168"/>
      <c r="SLG99" s="167"/>
      <c r="SLH99" s="168"/>
      <c r="SLI99" s="167"/>
      <c r="SLJ99" s="168"/>
      <c r="SLK99" s="167"/>
      <c r="SLL99" s="168"/>
      <c r="SLM99" s="167"/>
      <c r="SLN99" s="168"/>
      <c r="SLO99" s="167"/>
      <c r="SLP99" s="168"/>
      <c r="SLQ99" s="167"/>
      <c r="SLR99" s="168"/>
      <c r="SLS99" s="167"/>
      <c r="SLT99" s="168"/>
      <c r="SLU99" s="167"/>
      <c r="SLV99" s="168"/>
      <c r="SLW99" s="167"/>
      <c r="SLX99" s="168"/>
      <c r="SLY99" s="167"/>
      <c r="SLZ99" s="168"/>
      <c r="SMA99" s="167"/>
      <c r="SMB99" s="168"/>
      <c r="SMC99" s="167"/>
      <c r="SMD99" s="168"/>
      <c r="SME99" s="167"/>
      <c r="SMF99" s="168"/>
      <c r="SMG99" s="167"/>
      <c r="SMH99" s="168"/>
      <c r="SMI99" s="167"/>
      <c r="SMJ99" s="168"/>
      <c r="SMK99" s="167"/>
      <c r="SML99" s="168"/>
      <c r="SMM99" s="167"/>
      <c r="SMN99" s="168"/>
      <c r="SMO99" s="167"/>
      <c r="SMP99" s="168"/>
      <c r="SMQ99" s="167"/>
      <c r="SMR99" s="168"/>
      <c r="SMS99" s="167"/>
      <c r="SMT99" s="168"/>
      <c r="SMU99" s="167"/>
      <c r="SMV99" s="168"/>
      <c r="SMW99" s="167"/>
      <c r="SMX99" s="168"/>
      <c r="SMY99" s="167"/>
      <c r="SMZ99" s="168"/>
      <c r="SNA99" s="167"/>
      <c r="SNB99" s="168"/>
      <c r="SNC99" s="167"/>
      <c r="SND99" s="168"/>
      <c r="SNE99" s="167"/>
      <c r="SNF99" s="168"/>
      <c r="SNG99" s="167"/>
      <c r="SNH99" s="168"/>
      <c r="SNI99" s="167"/>
      <c r="SNJ99" s="168"/>
      <c r="SNK99" s="167"/>
      <c r="SNL99" s="168"/>
      <c r="SNM99" s="167"/>
      <c r="SNN99" s="168"/>
      <c r="SNO99" s="167"/>
      <c r="SNP99" s="168"/>
      <c r="SNQ99" s="167"/>
      <c r="SNR99" s="168"/>
      <c r="SNS99" s="167"/>
      <c r="SNT99" s="168"/>
      <c r="SNU99" s="167"/>
      <c r="SNV99" s="168"/>
      <c r="SNW99" s="167"/>
      <c r="SNX99" s="168"/>
      <c r="SNY99" s="167"/>
      <c r="SNZ99" s="168"/>
      <c r="SOA99" s="167"/>
      <c r="SOB99" s="168"/>
      <c r="SOC99" s="167"/>
      <c r="SOD99" s="168"/>
      <c r="SOE99" s="167"/>
      <c r="SOF99" s="168"/>
      <c r="SOG99" s="167"/>
      <c r="SOH99" s="168"/>
      <c r="SOI99" s="167"/>
      <c r="SOJ99" s="168"/>
      <c r="SOK99" s="167"/>
      <c r="SOL99" s="168"/>
      <c r="SOM99" s="167"/>
      <c r="SON99" s="168"/>
      <c r="SOO99" s="167"/>
      <c r="SOP99" s="168"/>
      <c r="SOQ99" s="167"/>
      <c r="SOR99" s="168"/>
      <c r="SOS99" s="167"/>
      <c r="SOT99" s="168"/>
      <c r="SOU99" s="167"/>
      <c r="SOV99" s="168"/>
      <c r="SOW99" s="167"/>
      <c r="SOX99" s="168"/>
      <c r="SOY99" s="167"/>
      <c r="SOZ99" s="168"/>
      <c r="SPA99" s="167"/>
      <c r="SPB99" s="168"/>
      <c r="SPC99" s="167"/>
      <c r="SPD99" s="168"/>
      <c r="SPE99" s="167"/>
      <c r="SPF99" s="168"/>
      <c r="SPG99" s="167"/>
      <c r="SPH99" s="168"/>
      <c r="SPI99" s="167"/>
      <c r="SPJ99" s="168"/>
      <c r="SPK99" s="167"/>
      <c r="SPL99" s="168"/>
      <c r="SPM99" s="167"/>
      <c r="SPN99" s="168"/>
      <c r="SPO99" s="167"/>
      <c r="SPP99" s="168"/>
      <c r="SPQ99" s="167"/>
      <c r="SPR99" s="168"/>
      <c r="SPS99" s="167"/>
      <c r="SPT99" s="168"/>
      <c r="SPU99" s="167"/>
      <c r="SPV99" s="168"/>
      <c r="SPW99" s="167"/>
      <c r="SPX99" s="168"/>
      <c r="SPY99" s="167"/>
      <c r="SPZ99" s="168"/>
      <c r="SQA99" s="167"/>
      <c r="SQB99" s="168"/>
      <c r="SQC99" s="167"/>
      <c r="SQD99" s="168"/>
      <c r="SQE99" s="167"/>
      <c r="SQF99" s="168"/>
      <c r="SQG99" s="167"/>
      <c r="SQH99" s="168"/>
      <c r="SQI99" s="167"/>
      <c r="SQJ99" s="168"/>
      <c r="SQK99" s="167"/>
      <c r="SQL99" s="168"/>
      <c r="SQM99" s="167"/>
      <c r="SQN99" s="168"/>
      <c r="SQO99" s="167"/>
      <c r="SQP99" s="168"/>
      <c r="SQQ99" s="167"/>
      <c r="SQR99" s="168"/>
      <c r="SQS99" s="167"/>
      <c r="SQT99" s="168"/>
      <c r="SQU99" s="167"/>
      <c r="SQV99" s="168"/>
      <c r="SQW99" s="167"/>
      <c r="SQX99" s="168"/>
      <c r="SQY99" s="167"/>
      <c r="SQZ99" s="168"/>
      <c r="SRA99" s="167"/>
      <c r="SRB99" s="168"/>
      <c r="SRC99" s="167"/>
      <c r="SRD99" s="168"/>
      <c r="SRE99" s="167"/>
      <c r="SRF99" s="168"/>
      <c r="SRG99" s="167"/>
      <c r="SRH99" s="168"/>
      <c r="SRI99" s="167"/>
      <c r="SRJ99" s="168"/>
      <c r="SRK99" s="167"/>
      <c r="SRL99" s="168"/>
      <c r="SRM99" s="167"/>
      <c r="SRN99" s="168"/>
      <c r="SRO99" s="167"/>
      <c r="SRP99" s="168"/>
      <c r="SRQ99" s="167"/>
      <c r="SRR99" s="168"/>
      <c r="SRS99" s="167"/>
      <c r="SRT99" s="168"/>
      <c r="SRU99" s="167"/>
      <c r="SRV99" s="168"/>
      <c r="SRW99" s="167"/>
      <c r="SRX99" s="168"/>
      <c r="SRY99" s="167"/>
      <c r="SRZ99" s="168"/>
      <c r="SSA99" s="167"/>
      <c r="SSB99" s="168"/>
      <c r="SSC99" s="167"/>
      <c r="SSD99" s="168"/>
      <c r="SSE99" s="167"/>
      <c r="SSF99" s="168"/>
      <c r="SSG99" s="167"/>
      <c r="SSH99" s="168"/>
      <c r="SSI99" s="167"/>
      <c r="SSJ99" s="168"/>
      <c r="SSK99" s="167"/>
      <c r="SSL99" s="168"/>
      <c r="SSM99" s="167"/>
      <c r="SSN99" s="168"/>
      <c r="SSO99" s="167"/>
      <c r="SSP99" s="168"/>
      <c r="SSQ99" s="167"/>
      <c r="SSR99" s="168"/>
      <c r="SSS99" s="167"/>
      <c r="SST99" s="168"/>
      <c r="SSU99" s="167"/>
      <c r="SSV99" s="168"/>
      <c r="SSW99" s="167"/>
      <c r="SSX99" s="168"/>
      <c r="SSY99" s="167"/>
      <c r="SSZ99" s="168"/>
      <c r="STA99" s="167"/>
      <c r="STB99" s="168"/>
      <c r="STC99" s="167"/>
      <c r="STD99" s="168"/>
      <c r="STE99" s="167"/>
      <c r="STF99" s="168"/>
      <c r="STG99" s="167"/>
      <c r="STH99" s="168"/>
      <c r="STI99" s="167"/>
      <c r="STJ99" s="168"/>
      <c r="STK99" s="167"/>
      <c r="STL99" s="168"/>
      <c r="STM99" s="167"/>
      <c r="STN99" s="168"/>
      <c r="STO99" s="167"/>
      <c r="STP99" s="168"/>
      <c r="STQ99" s="167"/>
      <c r="STR99" s="168"/>
      <c r="STS99" s="167"/>
      <c r="STT99" s="168"/>
      <c r="STU99" s="167"/>
      <c r="STV99" s="168"/>
      <c r="STW99" s="167"/>
      <c r="STX99" s="168"/>
      <c r="STY99" s="167"/>
      <c r="STZ99" s="168"/>
      <c r="SUA99" s="167"/>
      <c r="SUB99" s="168"/>
      <c r="SUC99" s="167"/>
      <c r="SUD99" s="168"/>
      <c r="SUE99" s="167"/>
      <c r="SUF99" s="168"/>
      <c r="SUG99" s="167"/>
      <c r="SUH99" s="168"/>
      <c r="SUI99" s="167"/>
      <c r="SUJ99" s="168"/>
      <c r="SUK99" s="167"/>
      <c r="SUL99" s="168"/>
      <c r="SUM99" s="167"/>
      <c r="SUN99" s="168"/>
      <c r="SUO99" s="167"/>
      <c r="SUP99" s="168"/>
      <c r="SUQ99" s="167"/>
      <c r="SUR99" s="168"/>
      <c r="SUS99" s="167"/>
      <c r="SUT99" s="168"/>
      <c r="SUU99" s="167"/>
      <c r="SUV99" s="168"/>
      <c r="SUW99" s="167"/>
      <c r="SUX99" s="168"/>
      <c r="SUY99" s="167"/>
      <c r="SUZ99" s="168"/>
      <c r="SVA99" s="167"/>
      <c r="SVB99" s="168"/>
      <c r="SVC99" s="167"/>
      <c r="SVD99" s="168"/>
      <c r="SVE99" s="167"/>
      <c r="SVF99" s="168"/>
      <c r="SVG99" s="167"/>
      <c r="SVH99" s="168"/>
      <c r="SVI99" s="167"/>
      <c r="SVJ99" s="168"/>
      <c r="SVK99" s="167"/>
      <c r="SVL99" s="168"/>
      <c r="SVM99" s="167"/>
      <c r="SVN99" s="168"/>
      <c r="SVO99" s="167"/>
      <c r="SVP99" s="168"/>
      <c r="SVQ99" s="167"/>
      <c r="SVR99" s="168"/>
      <c r="SVS99" s="167"/>
      <c r="SVT99" s="168"/>
      <c r="SVU99" s="167"/>
      <c r="SVV99" s="168"/>
      <c r="SVW99" s="167"/>
      <c r="SVX99" s="168"/>
      <c r="SVY99" s="167"/>
      <c r="SVZ99" s="168"/>
      <c r="SWA99" s="167"/>
      <c r="SWB99" s="168"/>
      <c r="SWC99" s="167"/>
      <c r="SWD99" s="168"/>
      <c r="SWE99" s="167"/>
      <c r="SWF99" s="168"/>
      <c r="SWG99" s="167"/>
      <c r="SWH99" s="168"/>
      <c r="SWI99" s="167"/>
      <c r="SWJ99" s="168"/>
      <c r="SWK99" s="167"/>
      <c r="SWL99" s="168"/>
      <c r="SWM99" s="167"/>
      <c r="SWN99" s="168"/>
      <c r="SWO99" s="167"/>
      <c r="SWP99" s="168"/>
      <c r="SWQ99" s="167"/>
      <c r="SWR99" s="168"/>
      <c r="SWS99" s="167"/>
      <c r="SWT99" s="168"/>
      <c r="SWU99" s="167"/>
      <c r="SWV99" s="168"/>
      <c r="SWW99" s="167"/>
      <c r="SWX99" s="168"/>
      <c r="SWY99" s="167"/>
      <c r="SWZ99" s="168"/>
      <c r="SXA99" s="167"/>
      <c r="SXB99" s="168"/>
      <c r="SXC99" s="167"/>
      <c r="SXD99" s="168"/>
      <c r="SXE99" s="167"/>
      <c r="SXF99" s="168"/>
      <c r="SXG99" s="167"/>
      <c r="SXH99" s="168"/>
      <c r="SXI99" s="167"/>
      <c r="SXJ99" s="168"/>
      <c r="SXK99" s="167"/>
      <c r="SXL99" s="168"/>
      <c r="SXM99" s="167"/>
      <c r="SXN99" s="168"/>
      <c r="SXO99" s="167"/>
      <c r="SXP99" s="168"/>
      <c r="SXQ99" s="167"/>
      <c r="SXR99" s="168"/>
      <c r="SXS99" s="167"/>
      <c r="SXT99" s="168"/>
      <c r="SXU99" s="167"/>
      <c r="SXV99" s="168"/>
      <c r="SXW99" s="167"/>
      <c r="SXX99" s="168"/>
      <c r="SXY99" s="167"/>
      <c r="SXZ99" s="168"/>
      <c r="SYA99" s="167"/>
      <c r="SYB99" s="168"/>
      <c r="SYC99" s="167"/>
      <c r="SYD99" s="168"/>
      <c r="SYE99" s="167"/>
      <c r="SYF99" s="168"/>
      <c r="SYG99" s="167"/>
      <c r="SYH99" s="168"/>
      <c r="SYI99" s="167"/>
      <c r="SYJ99" s="168"/>
      <c r="SYK99" s="167"/>
      <c r="SYL99" s="168"/>
      <c r="SYM99" s="167"/>
      <c r="SYN99" s="168"/>
      <c r="SYO99" s="167"/>
      <c r="SYP99" s="168"/>
      <c r="SYQ99" s="167"/>
      <c r="SYR99" s="168"/>
      <c r="SYS99" s="167"/>
      <c r="SYT99" s="168"/>
      <c r="SYU99" s="167"/>
      <c r="SYV99" s="168"/>
      <c r="SYW99" s="167"/>
      <c r="SYX99" s="168"/>
      <c r="SYY99" s="167"/>
      <c r="SYZ99" s="168"/>
      <c r="SZA99" s="167"/>
      <c r="SZB99" s="168"/>
      <c r="SZC99" s="167"/>
      <c r="SZD99" s="168"/>
      <c r="SZE99" s="167"/>
      <c r="SZF99" s="168"/>
      <c r="SZG99" s="167"/>
      <c r="SZH99" s="168"/>
      <c r="SZI99" s="167"/>
      <c r="SZJ99" s="168"/>
      <c r="SZK99" s="167"/>
      <c r="SZL99" s="168"/>
      <c r="SZM99" s="167"/>
      <c r="SZN99" s="168"/>
      <c r="SZO99" s="167"/>
      <c r="SZP99" s="168"/>
      <c r="SZQ99" s="167"/>
      <c r="SZR99" s="168"/>
      <c r="SZS99" s="167"/>
      <c r="SZT99" s="168"/>
      <c r="SZU99" s="167"/>
      <c r="SZV99" s="168"/>
      <c r="SZW99" s="167"/>
      <c r="SZX99" s="168"/>
      <c r="SZY99" s="167"/>
      <c r="SZZ99" s="168"/>
      <c r="TAA99" s="167"/>
      <c r="TAB99" s="168"/>
      <c r="TAC99" s="167"/>
      <c r="TAD99" s="168"/>
      <c r="TAE99" s="167"/>
      <c r="TAF99" s="168"/>
      <c r="TAG99" s="167"/>
      <c r="TAH99" s="168"/>
      <c r="TAI99" s="167"/>
      <c r="TAJ99" s="168"/>
      <c r="TAK99" s="167"/>
      <c r="TAL99" s="168"/>
      <c r="TAM99" s="167"/>
      <c r="TAN99" s="168"/>
      <c r="TAO99" s="167"/>
      <c r="TAP99" s="168"/>
      <c r="TAQ99" s="167"/>
      <c r="TAR99" s="168"/>
      <c r="TAS99" s="167"/>
      <c r="TAT99" s="168"/>
      <c r="TAU99" s="167"/>
      <c r="TAV99" s="168"/>
      <c r="TAW99" s="167"/>
      <c r="TAX99" s="168"/>
      <c r="TAY99" s="167"/>
      <c r="TAZ99" s="168"/>
      <c r="TBA99" s="167"/>
      <c r="TBB99" s="168"/>
      <c r="TBC99" s="167"/>
      <c r="TBD99" s="168"/>
      <c r="TBE99" s="167"/>
      <c r="TBF99" s="168"/>
      <c r="TBG99" s="167"/>
      <c r="TBH99" s="168"/>
      <c r="TBI99" s="167"/>
      <c r="TBJ99" s="168"/>
      <c r="TBK99" s="167"/>
      <c r="TBL99" s="168"/>
      <c r="TBM99" s="167"/>
      <c r="TBN99" s="168"/>
      <c r="TBO99" s="167"/>
      <c r="TBP99" s="168"/>
      <c r="TBQ99" s="167"/>
      <c r="TBR99" s="168"/>
      <c r="TBS99" s="167"/>
      <c r="TBT99" s="168"/>
      <c r="TBU99" s="167"/>
      <c r="TBV99" s="168"/>
      <c r="TBW99" s="167"/>
      <c r="TBX99" s="168"/>
      <c r="TBY99" s="167"/>
      <c r="TBZ99" s="168"/>
      <c r="TCA99" s="167"/>
      <c r="TCB99" s="168"/>
      <c r="TCC99" s="167"/>
      <c r="TCD99" s="168"/>
      <c r="TCE99" s="167"/>
      <c r="TCF99" s="168"/>
      <c r="TCG99" s="167"/>
      <c r="TCH99" s="168"/>
      <c r="TCI99" s="167"/>
      <c r="TCJ99" s="168"/>
      <c r="TCK99" s="167"/>
      <c r="TCL99" s="168"/>
      <c r="TCM99" s="167"/>
      <c r="TCN99" s="168"/>
      <c r="TCO99" s="167"/>
      <c r="TCP99" s="168"/>
      <c r="TCQ99" s="167"/>
      <c r="TCR99" s="168"/>
      <c r="TCS99" s="167"/>
      <c r="TCT99" s="168"/>
      <c r="TCU99" s="167"/>
      <c r="TCV99" s="168"/>
      <c r="TCW99" s="167"/>
      <c r="TCX99" s="168"/>
      <c r="TCY99" s="167"/>
      <c r="TCZ99" s="168"/>
      <c r="TDA99" s="167"/>
      <c r="TDB99" s="168"/>
      <c r="TDC99" s="167"/>
      <c r="TDD99" s="168"/>
      <c r="TDE99" s="167"/>
      <c r="TDF99" s="168"/>
      <c r="TDG99" s="167"/>
      <c r="TDH99" s="168"/>
      <c r="TDI99" s="167"/>
      <c r="TDJ99" s="168"/>
      <c r="TDK99" s="167"/>
      <c r="TDL99" s="168"/>
      <c r="TDM99" s="167"/>
      <c r="TDN99" s="168"/>
      <c r="TDO99" s="167"/>
      <c r="TDP99" s="168"/>
      <c r="TDQ99" s="167"/>
      <c r="TDR99" s="168"/>
      <c r="TDS99" s="167"/>
      <c r="TDT99" s="168"/>
      <c r="TDU99" s="167"/>
      <c r="TDV99" s="168"/>
      <c r="TDW99" s="167"/>
      <c r="TDX99" s="168"/>
      <c r="TDY99" s="167"/>
      <c r="TDZ99" s="168"/>
      <c r="TEA99" s="167"/>
      <c r="TEB99" s="168"/>
      <c r="TEC99" s="167"/>
      <c r="TED99" s="168"/>
      <c r="TEE99" s="167"/>
      <c r="TEF99" s="168"/>
      <c r="TEG99" s="167"/>
      <c r="TEH99" s="168"/>
      <c r="TEI99" s="167"/>
      <c r="TEJ99" s="168"/>
      <c r="TEK99" s="167"/>
      <c r="TEL99" s="168"/>
      <c r="TEM99" s="167"/>
      <c r="TEN99" s="168"/>
      <c r="TEO99" s="167"/>
      <c r="TEP99" s="168"/>
      <c r="TEQ99" s="167"/>
      <c r="TER99" s="168"/>
      <c r="TES99" s="167"/>
      <c r="TET99" s="168"/>
      <c r="TEU99" s="167"/>
      <c r="TEV99" s="168"/>
      <c r="TEW99" s="167"/>
      <c r="TEX99" s="168"/>
      <c r="TEY99" s="167"/>
      <c r="TEZ99" s="168"/>
      <c r="TFA99" s="167"/>
      <c r="TFB99" s="168"/>
      <c r="TFC99" s="167"/>
      <c r="TFD99" s="168"/>
      <c r="TFE99" s="167"/>
      <c r="TFF99" s="168"/>
      <c r="TFG99" s="167"/>
      <c r="TFH99" s="168"/>
      <c r="TFI99" s="167"/>
      <c r="TFJ99" s="168"/>
      <c r="TFK99" s="167"/>
      <c r="TFL99" s="168"/>
      <c r="TFM99" s="167"/>
      <c r="TFN99" s="168"/>
      <c r="TFO99" s="167"/>
      <c r="TFP99" s="168"/>
      <c r="TFQ99" s="167"/>
      <c r="TFR99" s="168"/>
      <c r="TFS99" s="167"/>
      <c r="TFT99" s="168"/>
      <c r="TFU99" s="167"/>
      <c r="TFV99" s="168"/>
      <c r="TFW99" s="167"/>
      <c r="TFX99" s="168"/>
      <c r="TFY99" s="167"/>
      <c r="TFZ99" s="168"/>
      <c r="TGA99" s="167"/>
      <c r="TGB99" s="168"/>
      <c r="TGC99" s="167"/>
      <c r="TGD99" s="168"/>
      <c r="TGE99" s="167"/>
      <c r="TGF99" s="168"/>
      <c r="TGG99" s="167"/>
      <c r="TGH99" s="168"/>
      <c r="TGI99" s="167"/>
      <c r="TGJ99" s="168"/>
      <c r="TGK99" s="167"/>
      <c r="TGL99" s="168"/>
      <c r="TGM99" s="167"/>
      <c r="TGN99" s="168"/>
      <c r="TGO99" s="167"/>
      <c r="TGP99" s="168"/>
      <c r="TGQ99" s="167"/>
      <c r="TGR99" s="168"/>
      <c r="TGS99" s="167"/>
      <c r="TGT99" s="168"/>
      <c r="TGU99" s="167"/>
      <c r="TGV99" s="168"/>
      <c r="TGW99" s="167"/>
      <c r="TGX99" s="168"/>
      <c r="TGY99" s="167"/>
      <c r="TGZ99" s="168"/>
      <c r="THA99" s="167"/>
      <c r="THB99" s="168"/>
      <c r="THC99" s="167"/>
      <c r="THD99" s="168"/>
      <c r="THE99" s="167"/>
      <c r="THF99" s="168"/>
      <c r="THG99" s="167"/>
      <c r="THH99" s="168"/>
      <c r="THI99" s="167"/>
      <c r="THJ99" s="168"/>
      <c r="THK99" s="167"/>
      <c r="THL99" s="168"/>
      <c r="THM99" s="167"/>
      <c r="THN99" s="168"/>
      <c r="THO99" s="167"/>
      <c r="THP99" s="168"/>
      <c r="THQ99" s="167"/>
      <c r="THR99" s="168"/>
      <c r="THS99" s="167"/>
      <c r="THT99" s="168"/>
      <c r="THU99" s="167"/>
      <c r="THV99" s="168"/>
      <c r="THW99" s="167"/>
      <c r="THX99" s="168"/>
      <c r="THY99" s="167"/>
      <c r="THZ99" s="168"/>
      <c r="TIA99" s="167"/>
      <c r="TIB99" s="168"/>
      <c r="TIC99" s="167"/>
      <c r="TID99" s="168"/>
      <c r="TIE99" s="167"/>
      <c r="TIF99" s="168"/>
      <c r="TIG99" s="167"/>
      <c r="TIH99" s="168"/>
      <c r="TII99" s="167"/>
      <c r="TIJ99" s="168"/>
      <c r="TIK99" s="167"/>
      <c r="TIL99" s="168"/>
      <c r="TIM99" s="167"/>
      <c r="TIN99" s="168"/>
      <c r="TIO99" s="167"/>
      <c r="TIP99" s="168"/>
      <c r="TIQ99" s="167"/>
      <c r="TIR99" s="168"/>
      <c r="TIS99" s="167"/>
      <c r="TIT99" s="168"/>
      <c r="TIU99" s="167"/>
      <c r="TIV99" s="168"/>
      <c r="TIW99" s="167"/>
      <c r="TIX99" s="168"/>
      <c r="TIY99" s="167"/>
      <c r="TIZ99" s="168"/>
      <c r="TJA99" s="167"/>
      <c r="TJB99" s="168"/>
      <c r="TJC99" s="167"/>
      <c r="TJD99" s="168"/>
      <c r="TJE99" s="167"/>
      <c r="TJF99" s="168"/>
      <c r="TJG99" s="167"/>
      <c r="TJH99" s="168"/>
      <c r="TJI99" s="167"/>
      <c r="TJJ99" s="168"/>
      <c r="TJK99" s="167"/>
      <c r="TJL99" s="168"/>
      <c r="TJM99" s="167"/>
      <c r="TJN99" s="168"/>
      <c r="TJO99" s="167"/>
      <c r="TJP99" s="168"/>
      <c r="TJQ99" s="167"/>
      <c r="TJR99" s="168"/>
      <c r="TJS99" s="167"/>
      <c r="TJT99" s="168"/>
      <c r="TJU99" s="167"/>
      <c r="TJV99" s="168"/>
      <c r="TJW99" s="167"/>
      <c r="TJX99" s="168"/>
      <c r="TJY99" s="167"/>
      <c r="TJZ99" s="168"/>
      <c r="TKA99" s="167"/>
      <c r="TKB99" s="168"/>
      <c r="TKC99" s="167"/>
      <c r="TKD99" s="168"/>
      <c r="TKE99" s="167"/>
      <c r="TKF99" s="168"/>
      <c r="TKG99" s="167"/>
      <c r="TKH99" s="168"/>
      <c r="TKI99" s="167"/>
      <c r="TKJ99" s="168"/>
      <c r="TKK99" s="167"/>
      <c r="TKL99" s="168"/>
      <c r="TKM99" s="167"/>
      <c r="TKN99" s="168"/>
      <c r="TKO99" s="167"/>
      <c r="TKP99" s="168"/>
      <c r="TKQ99" s="167"/>
      <c r="TKR99" s="168"/>
      <c r="TKS99" s="167"/>
      <c r="TKT99" s="168"/>
      <c r="TKU99" s="167"/>
      <c r="TKV99" s="168"/>
      <c r="TKW99" s="167"/>
      <c r="TKX99" s="168"/>
      <c r="TKY99" s="167"/>
      <c r="TKZ99" s="168"/>
      <c r="TLA99" s="167"/>
      <c r="TLB99" s="168"/>
      <c r="TLC99" s="167"/>
      <c r="TLD99" s="168"/>
      <c r="TLE99" s="167"/>
      <c r="TLF99" s="168"/>
      <c r="TLG99" s="167"/>
      <c r="TLH99" s="168"/>
      <c r="TLI99" s="167"/>
      <c r="TLJ99" s="168"/>
      <c r="TLK99" s="167"/>
      <c r="TLL99" s="168"/>
      <c r="TLM99" s="167"/>
      <c r="TLN99" s="168"/>
      <c r="TLO99" s="167"/>
      <c r="TLP99" s="168"/>
      <c r="TLQ99" s="167"/>
      <c r="TLR99" s="168"/>
      <c r="TLS99" s="167"/>
      <c r="TLT99" s="168"/>
      <c r="TLU99" s="167"/>
      <c r="TLV99" s="168"/>
      <c r="TLW99" s="167"/>
      <c r="TLX99" s="168"/>
      <c r="TLY99" s="167"/>
      <c r="TLZ99" s="168"/>
      <c r="TMA99" s="167"/>
      <c r="TMB99" s="168"/>
      <c r="TMC99" s="167"/>
      <c r="TMD99" s="168"/>
      <c r="TME99" s="167"/>
      <c r="TMF99" s="168"/>
      <c r="TMG99" s="167"/>
      <c r="TMH99" s="168"/>
      <c r="TMI99" s="167"/>
      <c r="TMJ99" s="168"/>
      <c r="TMK99" s="167"/>
      <c r="TML99" s="168"/>
      <c r="TMM99" s="167"/>
      <c r="TMN99" s="168"/>
      <c r="TMO99" s="167"/>
      <c r="TMP99" s="168"/>
      <c r="TMQ99" s="167"/>
      <c r="TMR99" s="168"/>
      <c r="TMS99" s="167"/>
      <c r="TMT99" s="168"/>
      <c r="TMU99" s="167"/>
      <c r="TMV99" s="168"/>
      <c r="TMW99" s="167"/>
      <c r="TMX99" s="168"/>
      <c r="TMY99" s="167"/>
      <c r="TMZ99" s="168"/>
      <c r="TNA99" s="167"/>
      <c r="TNB99" s="168"/>
      <c r="TNC99" s="167"/>
      <c r="TND99" s="168"/>
      <c r="TNE99" s="167"/>
      <c r="TNF99" s="168"/>
      <c r="TNG99" s="167"/>
      <c r="TNH99" s="168"/>
      <c r="TNI99" s="167"/>
      <c r="TNJ99" s="168"/>
      <c r="TNK99" s="167"/>
      <c r="TNL99" s="168"/>
      <c r="TNM99" s="167"/>
      <c r="TNN99" s="168"/>
      <c r="TNO99" s="167"/>
      <c r="TNP99" s="168"/>
      <c r="TNQ99" s="167"/>
      <c r="TNR99" s="168"/>
      <c r="TNS99" s="167"/>
      <c r="TNT99" s="168"/>
      <c r="TNU99" s="167"/>
      <c r="TNV99" s="168"/>
      <c r="TNW99" s="167"/>
      <c r="TNX99" s="168"/>
      <c r="TNY99" s="167"/>
      <c r="TNZ99" s="168"/>
      <c r="TOA99" s="167"/>
      <c r="TOB99" s="168"/>
      <c r="TOC99" s="167"/>
      <c r="TOD99" s="168"/>
      <c r="TOE99" s="167"/>
      <c r="TOF99" s="168"/>
      <c r="TOG99" s="167"/>
      <c r="TOH99" s="168"/>
      <c r="TOI99" s="167"/>
      <c r="TOJ99" s="168"/>
      <c r="TOK99" s="167"/>
      <c r="TOL99" s="168"/>
      <c r="TOM99" s="167"/>
      <c r="TON99" s="168"/>
      <c r="TOO99" s="167"/>
      <c r="TOP99" s="168"/>
      <c r="TOQ99" s="167"/>
      <c r="TOR99" s="168"/>
      <c r="TOS99" s="167"/>
      <c r="TOT99" s="168"/>
      <c r="TOU99" s="167"/>
      <c r="TOV99" s="168"/>
      <c r="TOW99" s="167"/>
      <c r="TOX99" s="168"/>
      <c r="TOY99" s="167"/>
      <c r="TOZ99" s="168"/>
      <c r="TPA99" s="167"/>
      <c r="TPB99" s="168"/>
      <c r="TPC99" s="167"/>
      <c r="TPD99" s="168"/>
      <c r="TPE99" s="167"/>
      <c r="TPF99" s="168"/>
      <c r="TPG99" s="167"/>
      <c r="TPH99" s="168"/>
      <c r="TPI99" s="167"/>
      <c r="TPJ99" s="168"/>
      <c r="TPK99" s="167"/>
      <c r="TPL99" s="168"/>
      <c r="TPM99" s="167"/>
      <c r="TPN99" s="168"/>
      <c r="TPO99" s="167"/>
      <c r="TPP99" s="168"/>
      <c r="TPQ99" s="167"/>
      <c r="TPR99" s="168"/>
      <c r="TPS99" s="167"/>
      <c r="TPT99" s="168"/>
      <c r="TPU99" s="167"/>
      <c r="TPV99" s="168"/>
      <c r="TPW99" s="167"/>
      <c r="TPX99" s="168"/>
      <c r="TPY99" s="167"/>
      <c r="TPZ99" s="168"/>
      <c r="TQA99" s="167"/>
      <c r="TQB99" s="168"/>
      <c r="TQC99" s="167"/>
      <c r="TQD99" s="168"/>
      <c r="TQE99" s="167"/>
      <c r="TQF99" s="168"/>
      <c r="TQG99" s="167"/>
      <c r="TQH99" s="168"/>
      <c r="TQI99" s="167"/>
      <c r="TQJ99" s="168"/>
      <c r="TQK99" s="167"/>
      <c r="TQL99" s="168"/>
      <c r="TQM99" s="167"/>
      <c r="TQN99" s="168"/>
      <c r="TQO99" s="167"/>
      <c r="TQP99" s="168"/>
      <c r="TQQ99" s="167"/>
      <c r="TQR99" s="168"/>
      <c r="TQS99" s="167"/>
      <c r="TQT99" s="168"/>
      <c r="TQU99" s="167"/>
      <c r="TQV99" s="168"/>
      <c r="TQW99" s="167"/>
      <c r="TQX99" s="168"/>
      <c r="TQY99" s="167"/>
      <c r="TQZ99" s="168"/>
      <c r="TRA99" s="167"/>
      <c r="TRB99" s="168"/>
      <c r="TRC99" s="167"/>
      <c r="TRD99" s="168"/>
      <c r="TRE99" s="167"/>
      <c r="TRF99" s="168"/>
      <c r="TRG99" s="167"/>
      <c r="TRH99" s="168"/>
      <c r="TRI99" s="167"/>
      <c r="TRJ99" s="168"/>
      <c r="TRK99" s="167"/>
      <c r="TRL99" s="168"/>
      <c r="TRM99" s="167"/>
      <c r="TRN99" s="168"/>
      <c r="TRO99" s="167"/>
      <c r="TRP99" s="168"/>
      <c r="TRQ99" s="167"/>
      <c r="TRR99" s="168"/>
      <c r="TRS99" s="167"/>
      <c r="TRT99" s="168"/>
      <c r="TRU99" s="167"/>
      <c r="TRV99" s="168"/>
      <c r="TRW99" s="167"/>
      <c r="TRX99" s="168"/>
      <c r="TRY99" s="167"/>
      <c r="TRZ99" s="168"/>
      <c r="TSA99" s="167"/>
      <c r="TSB99" s="168"/>
      <c r="TSC99" s="167"/>
      <c r="TSD99" s="168"/>
      <c r="TSE99" s="167"/>
      <c r="TSF99" s="168"/>
      <c r="TSG99" s="167"/>
      <c r="TSH99" s="168"/>
      <c r="TSI99" s="167"/>
      <c r="TSJ99" s="168"/>
      <c r="TSK99" s="167"/>
      <c r="TSL99" s="168"/>
      <c r="TSM99" s="167"/>
      <c r="TSN99" s="168"/>
      <c r="TSO99" s="167"/>
      <c r="TSP99" s="168"/>
      <c r="TSQ99" s="167"/>
      <c r="TSR99" s="168"/>
      <c r="TSS99" s="167"/>
      <c r="TST99" s="168"/>
      <c r="TSU99" s="167"/>
      <c r="TSV99" s="168"/>
      <c r="TSW99" s="167"/>
      <c r="TSX99" s="168"/>
      <c r="TSY99" s="167"/>
      <c r="TSZ99" s="168"/>
      <c r="TTA99" s="167"/>
      <c r="TTB99" s="168"/>
      <c r="TTC99" s="167"/>
      <c r="TTD99" s="168"/>
      <c r="TTE99" s="167"/>
      <c r="TTF99" s="168"/>
      <c r="TTG99" s="167"/>
      <c r="TTH99" s="168"/>
      <c r="TTI99" s="167"/>
      <c r="TTJ99" s="168"/>
      <c r="TTK99" s="167"/>
      <c r="TTL99" s="168"/>
      <c r="TTM99" s="167"/>
      <c r="TTN99" s="168"/>
      <c r="TTO99" s="167"/>
      <c r="TTP99" s="168"/>
      <c r="TTQ99" s="167"/>
      <c r="TTR99" s="168"/>
      <c r="TTS99" s="167"/>
      <c r="TTT99" s="168"/>
      <c r="TTU99" s="167"/>
      <c r="TTV99" s="168"/>
      <c r="TTW99" s="167"/>
      <c r="TTX99" s="168"/>
      <c r="TTY99" s="167"/>
      <c r="TTZ99" s="168"/>
      <c r="TUA99" s="167"/>
      <c r="TUB99" s="168"/>
      <c r="TUC99" s="167"/>
      <c r="TUD99" s="168"/>
      <c r="TUE99" s="167"/>
      <c r="TUF99" s="168"/>
      <c r="TUG99" s="167"/>
      <c r="TUH99" s="168"/>
      <c r="TUI99" s="167"/>
      <c r="TUJ99" s="168"/>
      <c r="TUK99" s="167"/>
      <c r="TUL99" s="168"/>
      <c r="TUM99" s="167"/>
      <c r="TUN99" s="168"/>
      <c r="TUO99" s="167"/>
      <c r="TUP99" s="168"/>
      <c r="TUQ99" s="167"/>
      <c r="TUR99" s="168"/>
      <c r="TUS99" s="167"/>
      <c r="TUT99" s="168"/>
      <c r="TUU99" s="167"/>
      <c r="TUV99" s="168"/>
      <c r="TUW99" s="167"/>
      <c r="TUX99" s="168"/>
      <c r="TUY99" s="167"/>
      <c r="TUZ99" s="168"/>
      <c r="TVA99" s="167"/>
      <c r="TVB99" s="168"/>
      <c r="TVC99" s="167"/>
      <c r="TVD99" s="168"/>
      <c r="TVE99" s="167"/>
      <c r="TVF99" s="168"/>
      <c r="TVG99" s="167"/>
      <c r="TVH99" s="168"/>
      <c r="TVI99" s="167"/>
      <c r="TVJ99" s="168"/>
      <c r="TVK99" s="167"/>
      <c r="TVL99" s="168"/>
      <c r="TVM99" s="167"/>
      <c r="TVN99" s="168"/>
      <c r="TVO99" s="167"/>
      <c r="TVP99" s="168"/>
      <c r="TVQ99" s="167"/>
      <c r="TVR99" s="168"/>
      <c r="TVS99" s="167"/>
      <c r="TVT99" s="168"/>
      <c r="TVU99" s="167"/>
      <c r="TVV99" s="168"/>
      <c r="TVW99" s="167"/>
      <c r="TVX99" s="168"/>
      <c r="TVY99" s="167"/>
      <c r="TVZ99" s="168"/>
      <c r="TWA99" s="167"/>
      <c r="TWB99" s="168"/>
      <c r="TWC99" s="167"/>
      <c r="TWD99" s="168"/>
      <c r="TWE99" s="167"/>
      <c r="TWF99" s="168"/>
      <c r="TWG99" s="167"/>
      <c r="TWH99" s="168"/>
      <c r="TWI99" s="167"/>
      <c r="TWJ99" s="168"/>
      <c r="TWK99" s="167"/>
      <c r="TWL99" s="168"/>
      <c r="TWM99" s="167"/>
      <c r="TWN99" s="168"/>
      <c r="TWO99" s="167"/>
      <c r="TWP99" s="168"/>
      <c r="TWQ99" s="167"/>
      <c r="TWR99" s="168"/>
      <c r="TWS99" s="167"/>
      <c r="TWT99" s="168"/>
      <c r="TWU99" s="167"/>
      <c r="TWV99" s="168"/>
      <c r="TWW99" s="167"/>
      <c r="TWX99" s="168"/>
      <c r="TWY99" s="167"/>
      <c r="TWZ99" s="168"/>
      <c r="TXA99" s="167"/>
      <c r="TXB99" s="168"/>
      <c r="TXC99" s="167"/>
      <c r="TXD99" s="168"/>
      <c r="TXE99" s="167"/>
      <c r="TXF99" s="168"/>
      <c r="TXG99" s="167"/>
      <c r="TXH99" s="168"/>
      <c r="TXI99" s="167"/>
      <c r="TXJ99" s="168"/>
      <c r="TXK99" s="167"/>
      <c r="TXL99" s="168"/>
      <c r="TXM99" s="167"/>
      <c r="TXN99" s="168"/>
      <c r="TXO99" s="167"/>
      <c r="TXP99" s="168"/>
      <c r="TXQ99" s="167"/>
      <c r="TXR99" s="168"/>
      <c r="TXS99" s="167"/>
      <c r="TXT99" s="168"/>
      <c r="TXU99" s="167"/>
      <c r="TXV99" s="168"/>
      <c r="TXW99" s="167"/>
      <c r="TXX99" s="168"/>
      <c r="TXY99" s="167"/>
      <c r="TXZ99" s="168"/>
      <c r="TYA99" s="167"/>
      <c r="TYB99" s="168"/>
      <c r="TYC99" s="167"/>
      <c r="TYD99" s="168"/>
      <c r="TYE99" s="167"/>
      <c r="TYF99" s="168"/>
      <c r="TYG99" s="167"/>
      <c r="TYH99" s="168"/>
      <c r="TYI99" s="167"/>
      <c r="TYJ99" s="168"/>
      <c r="TYK99" s="167"/>
      <c r="TYL99" s="168"/>
      <c r="TYM99" s="167"/>
      <c r="TYN99" s="168"/>
      <c r="TYO99" s="167"/>
      <c r="TYP99" s="168"/>
      <c r="TYQ99" s="167"/>
      <c r="TYR99" s="168"/>
      <c r="TYS99" s="167"/>
      <c r="TYT99" s="168"/>
      <c r="TYU99" s="167"/>
      <c r="TYV99" s="168"/>
      <c r="TYW99" s="167"/>
      <c r="TYX99" s="168"/>
      <c r="TYY99" s="167"/>
      <c r="TYZ99" s="168"/>
      <c r="TZA99" s="167"/>
      <c r="TZB99" s="168"/>
      <c r="TZC99" s="167"/>
      <c r="TZD99" s="168"/>
      <c r="TZE99" s="167"/>
      <c r="TZF99" s="168"/>
      <c r="TZG99" s="167"/>
      <c r="TZH99" s="168"/>
      <c r="TZI99" s="167"/>
      <c r="TZJ99" s="168"/>
      <c r="TZK99" s="167"/>
      <c r="TZL99" s="168"/>
      <c r="TZM99" s="167"/>
      <c r="TZN99" s="168"/>
      <c r="TZO99" s="167"/>
      <c r="TZP99" s="168"/>
      <c r="TZQ99" s="167"/>
      <c r="TZR99" s="168"/>
      <c r="TZS99" s="167"/>
      <c r="TZT99" s="168"/>
      <c r="TZU99" s="167"/>
      <c r="TZV99" s="168"/>
      <c r="TZW99" s="167"/>
      <c r="TZX99" s="168"/>
      <c r="TZY99" s="167"/>
      <c r="TZZ99" s="168"/>
      <c r="UAA99" s="167"/>
      <c r="UAB99" s="168"/>
      <c r="UAC99" s="167"/>
      <c r="UAD99" s="168"/>
      <c r="UAE99" s="167"/>
      <c r="UAF99" s="168"/>
      <c r="UAG99" s="167"/>
      <c r="UAH99" s="168"/>
      <c r="UAI99" s="167"/>
      <c r="UAJ99" s="168"/>
      <c r="UAK99" s="167"/>
      <c r="UAL99" s="168"/>
      <c r="UAM99" s="167"/>
      <c r="UAN99" s="168"/>
      <c r="UAO99" s="167"/>
      <c r="UAP99" s="168"/>
      <c r="UAQ99" s="167"/>
      <c r="UAR99" s="168"/>
      <c r="UAS99" s="167"/>
      <c r="UAT99" s="168"/>
      <c r="UAU99" s="167"/>
      <c r="UAV99" s="168"/>
      <c r="UAW99" s="167"/>
      <c r="UAX99" s="168"/>
      <c r="UAY99" s="167"/>
      <c r="UAZ99" s="168"/>
      <c r="UBA99" s="167"/>
      <c r="UBB99" s="168"/>
      <c r="UBC99" s="167"/>
      <c r="UBD99" s="168"/>
      <c r="UBE99" s="167"/>
      <c r="UBF99" s="168"/>
      <c r="UBG99" s="167"/>
      <c r="UBH99" s="168"/>
      <c r="UBI99" s="167"/>
      <c r="UBJ99" s="168"/>
      <c r="UBK99" s="167"/>
      <c r="UBL99" s="168"/>
      <c r="UBM99" s="167"/>
      <c r="UBN99" s="168"/>
      <c r="UBO99" s="167"/>
      <c r="UBP99" s="168"/>
      <c r="UBQ99" s="167"/>
      <c r="UBR99" s="168"/>
      <c r="UBS99" s="167"/>
      <c r="UBT99" s="168"/>
      <c r="UBU99" s="167"/>
      <c r="UBV99" s="168"/>
      <c r="UBW99" s="167"/>
      <c r="UBX99" s="168"/>
      <c r="UBY99" s="167"/>
      <c r="UBZ99" s="168"/>
      <c r="UCA99" s="167"/>
      <c r="UCB99" s="168"/>
      <c r="UCC99" s="167"/>
      <c r="UCD99" s="168"/>
      <c r="UCE99" s="167"/>
      <c r="UCF99" s="168"/>
      <c r="UCG99" s="167"/>
      <c r="UCH99" s="168"/>
      <c r="UCI99" s="167"/>
      <c r="UCJ99" s="168"/>
      <c r="UCK99" s="167"/>
      <c r="UCL99" s="168"/>
      <c r="UCM99" s="167"/>
      <c r="UCN99" s="168"/>
      <c r="UCO99" s="167"/>
      <c r="UCP99" s="168"/>
      <c r="UCQ99" s="167"/>
      <c r="UCR99" s="168"/>
      <c r="UCS99" s="167"/>
      <c r="UCT99" s="168"/>
      <c r="UCU99" s="167"/>
      <c r="UCV99" s="168"/>
      <c r="UCW99" s="167"/>
      <c r="UCX99" s="168"/>
      <c r="UCY99" s="167"/>
      <c r="UCZ99" s="168"/>
      <c r="UDA99" s="167"/>
      <c r="UDB99" s="168"/>
      <c r="UDC99" s="167"/>
      <c r="UDD99" s="168"/>
      <c r="UDE99" s="167"/>
      <c r="UDF99" s="168"/>
      <c r="UDG99" s="167"/>
      <c r="UDH99" s="168"/>
      <c r="UDI99" s="167"/>
      <c r="UDJ99" s="168"/>
      <c r="UDK99" s="167"/>
      <c r="UDL99" s="168"/>
      <c r="UDM99" s="167"/>
      <c r="UDN99" s="168"/>
      <c r="UDO99" s="167"/>
      <c r="UDP99" s="168"/>
      <c r="UDQ99" s="167"/>
      <c r="UDR99" s="168"/>
      <c r="UDS99" s="167"/>
      <c r="UDT99" s="168"/>
      <c r="UDU99" s="167"/>
      <c r="UDV99" s="168"/>
      <c r="UDW99" s="167"/>
      <c r="UDX99" s="168"/>
      <c r="UDY99" s="167"/>
      <c r="UDZ99" s="168"/>
      <c r="UEA99" s="167"/>
      <c r="UEB99" s="168"/>
      <c r="UEC99" s="167"/>
      <c r="UED99" s="168"/>
      <c r="UEE99" s="167"/>
      <c r="UEF99" s="168"/>
      <c r="UEG99" s="167"/>
      <c r="UEH99" s="168"/>
      <c r="UEI99" s="167"/>
      <c r="UEJ99" s="168"/>
      <c r="UEK99" s="167"/>
      <c r="UEL99" s="168"/>
      <c r="UEM99" s="167"/>
      <c r="UEN99" s="168"/>
      <c r="UEO99" s="167"/>
      <c r="UEP99" s="168"/>
      <c r="UEQ99" s="167"/>
      <c r="UER99" s="168"/>
      <c r="UES99" s="167"/>
      <c r="UET99" s="168"/>
      <c r="UEU99" s="167"/>
      <c r="UEV99" s="168"/>
      <c r="UEW99" s="167"/>
      <c r="UEX99" s="168"/>
      <c r="UEY99" s="167"/>
      <c r="UEZ99" s="168"/>
      <c r="UFA99" s="167"/>
      <c r="UFB99" s="168"/>
      <c r="UFC99" s="167"/>
      <c r="UFD99" s="168"/>
      <c r="UFE99" s="167"/>
      <c r="UFF99" s="168"/>
      <c r="UFG99" s="167"/>
      <c r="UFH99" s="168"/>
      <c r="UFI99" s="167"/>
      <c r="UFJ99" s="168"/>
      <c r="UFK99" s="167"/>
      <c r="UFL99" s="168"/>
      <c r="UFM99" s="167"/>
      <c r="UFN99" s="168"/>
      <c r="UFO99" s="167"/>
      <c r="UFP99" s="168"/>
      <c r="UFQ99" s="167"/>
      <c r="UFR99" s="168"/>
      <c r="UFS99" s="167"/>
      <c r="UFT99" s="168"/>
      <c r="UFU99" s="167"/>
      <c r="UFV99" s="168"/>
      <c r="UFW99" s="167"/>
      <c r="UFX99" s="168"/>
      <c r="UFY99" s="167"/>
      <c r="UFZ99" s="168"/>
      <c r="UGA99" s="167"/>
      <c r="UGB99" s="168"/>
      <c r="UGC99" s="167"/>
      <c r="UGD99" s="168"/>
      <c r="UGE99" s="167"/>
      <c r="UGF99" s="168"/>
      <c r="UGG99" s="167"/>
      <c r="UGH99" s="168"/>
      <c r="UGI99" s="167"/>
      <c r="UGJ99" s="168"/>
      <c r="UGK99" s="167"/>
      <c r="UGL99" s="168"/>
      <c r="UGM99" s="167"/>
      <c r="UGN99" s="168"/>
      <c r="UGO99" s="167"/>
      <c r="UGP99" s="168"/>
      <c r="UGQ99" s="167"/>
      <c r="UGR99" s="168"/>
      <c r="UGS99" s="167"/>
      <c r="UGT99" s="168"/>
      <c r="UGU99" s="167"/>
      <c r="UGV99" s="168"/>
      <c r="UGW99" s="167"/>
      <c r="UGX99" s="168"/>
      <c r="UGY99" s="167"/>
      <c r="UGZ99" s="168"/>
      <c r="UHA99" s="167"/>
      <c r="UHB99" s="168"/>
      <c r="UHC99" s="167"/>
      <c r="UHD99" s="168"/>
      <c r="UHE99" s="167"/>
      <c r="UHF99" s="168"/>
      <c r="UHG99" s="167"/>
      <c r="UHH99" s="168"/>
      <c r="UHI99" s="167"/>
      <c r="UHJ99" s="168"/>
      <c r="UHK99" s="167"/>
      <c r="UHL99" s="168"/>
      <c r="UHM99" s="167"/>
      <c r="UHN99" s="168"/>
      <c r="UHO99" s="167"/>
      <c r="UHP99" s="168"/>
      <c r="UHQ99" s="167"/>
      <c r="UHR99" s="168"/>
      <c r="UHS99" s="167"/>
      <c r="UHT99" s="168"/>
      <c r="UHU99" s="167"/>
      <c r="UHV99" s="168"/>
      <c r="UHW99" s="167"/>
      <c r="UHX99" s="168"/>
      <c r="UHY99" s="167"/>
      <c r="UHZ99" s="168"/>
      <c r="UIA99" s="167"/>
      <c r="UIB99" s="168"/>
      <c r="UIC99" s="167"/>
      <c r="UID99" s="168"/>
      <c r="UIE99" s="167"/>
      <c r="UIF99" s="168"/>
      <c r="UIG99" s="167"/>
      <c r="UIH99" s="168"/>
      <c r="UII99" s="167"/>
      <c r="UIJ99" s="168"/>
      <c r="UIK99" s="167"/>
      <c r="UIL99" s="168"/>
      <c r="UIM99" s="167"/>
      <c r="UIN99" s="168"/>
      <c r="UIO99" s="167"/>
      <c r="UIP99" s="168"/>
      <c r="UIQ99" s="167"/>
      <c r="UIR99" s="168"/>
      <c r="UIS99" s="167"/>
      <c r="UIT99" s="168"/>
      <c r="UIU99" s="167"/>
      <c r="UIV99" s="168"/>
      <c r="UIW99" s="167"/>
      <c r="UIX99" s="168"/>
      <c r="UIY99" s="167"/>
      <c r="UIZ99" s="168"/>
      <c r="UJA99" s="167"/>
      <c r="UJB99" s="168"/>
      <c r="UJC99" s="167"/>
      <c r="UJD99" s="168"/>
      <c r="UJE99" s="167"/>
      <c r="UJF99" s="168"/>
      <c r="UJG99" s="167"/>
      <c r="UJH99" s="168"/>
      <c r="UJI99" s="167"/>
      <c r="UJJ99" s="168"/>
      <c r="UJK99" s="167"/>
      <c r="UJL99" s="168"/>
      <c r="UJM99" s="167"/>
      <c r="UJN99" s="168"/>
      <c r="UJO99" s="167"/>
      <c r="UJP99" s="168"/>
      <c r="UJQ99" s="167"/>
      <c r="UJR99" s="168"/>
      <c r="UJS99" s="167"/>
      <c r="UJT99" s="168"/>
      <c r="UJU99" s="167"/>
      <c r="UJV99" s="168"/>
      <c r="UJW99" s="167"/>
      <c r="UJX99" s="168"/>
      <c r="UJY99" s="167"/>
      <c r="UJZ99" s="168"/>
      <c r="UKA99" s="167"/>
      <c r="UKB99" s="168"/>
      <c r="UKC99" s="167"/>
      <c r="UKD99" s="168"/>
      <c r="UKE99" s="167"/>
      <c r="UKF99" s="168"/>
      <c r="UKG99" s="167"/>
      <c r="UKH99" s="168"/>
      <c r="UKI99" s="167"/>
      <c r="UKJ99" s="168"/>
      <c r="UKK99" s="167"/>
      <c r="UKL99" s="168"/>
      <c r="UKM99" s="167"/>
      <c r="UKN99" s="168"/>
      <c r="UKO99" s="167"/>
      <c r="UKP99" s="168"/>
      <c r="UKQ99" s="167"/>
      <c r="UKR99" s="168"/>
      <c r="UKS99" s="167"/>
      <c r="UKT99" s="168"/>
      <c r="UKU99" s="167"/>
      <c r="UKV99" s="168"/>
      <c r="UKW99" s="167"/>
      <c r="UKX99" s="168"/>
      <c r="UKY99" s="167"/>
      <c r="UKZ99" s="168"/>
      <c r="ULA99" s="167"/>
      <c r="ULB99" s="168"/>
      <c r="ULC99" s="167"/>
      <c r="ULD99" s="168"/>
      <c r="ULE99" s="167"/>
      <c r="ULF99" s="168"/>
      <c r="ULG99" s="167"/>
      <c r="ULH99" s="168"/>
      <c r="ULI99" s="167"/>
      <c r="ULJ99" s="168"/>
      <c r="ULK99" s="167"/>
      <c r="ULL99" s="168"/>
      <c r="ULM99" s="167"/>
      <c r="ULN99" s="168"/>
      <c r="ULO99" s="167"/>
      <c r="ULP99" s="168"/>
      <c r="ULQ99" s="167"/>
      <c r="ULR99" s="168"/>
      <c r="ULS99" s="167"/>
      <c r="ULT99" s="168"/>
      <c r="ULU99" s="167"/>
      <c r="ULV99" s="168"/>
      <c r="ULW99" s="167"/>
      <c r="ULX99" s="168"/>
      <c r="ULY99" s="167"/>
      <c r="ULZ99" s="168"/>
      <c r="UMA99" s="167"/>
      <c r="UMB99" s="168"/>
      <c r="UMC99" s="167"/>
      <c r="UMD99" s="168"/>
      <c r="UME99" s="167"/>
      <c r="UMF99" s="168"/>
      <c r="UMG99" s="167"/>
      <c r="UMH99" s="168"/>
      <c r="UMI99" s="167"/>
      <c r="UMJ99" s="168"/>
      <c r="UMK99" s="167"/>
      <c r="UML99" s="168"/>
      <c r="UMM99" s="167"/>
      <c r="UMN99" s="168"/>
      <c r="UMO99" s="167"/>
      <c r="UMP99" s="168"/>
      <c r="UMQ99" s="167"/>
      <c r="UMR99" s="168"/>
      <c r="UMS99" s="167"/>
      <c r="UMT99" s="168"/>
      <c r="UMU99" s="167"/>
      <c r="UMV99" s="168"/>
      <c r="UMW99" s="167"/>
      <c r="UMX99" s="168"/>
      <c r="UMY99" s="167"/>
      <c r="UMZ99" s="168"/>
      <c r="UNA99" s="167"/>
      <c r="UNB99" s="168"/>
      <c r="UNC99" s="167"/>
      <c r="UND99" s="168"/>
      <c r="UNE99" s="167"/>
      <c r="UNF99" s="168"/>
      <c r="UNG99" s="167"/>
      <c r="UNH99" s="168"/>
      <c r="UNI99" s="167"/>
      <c r="UNJ99" s="168"/>
      <c r="UNK99" s="167"/>
      <c r="UNL99" s="168"/>
      <c r="UNM99" s="167"/>
      <c r="UNN99" s="168"/>
      <c r="UNO99" s="167"/>
      <c r="UNP99" s="168"/>
      <c r="UNQ99" s="167"/>
      <c r="UNR99" s="168"/>
      <c r="UNS99" s="167"/>
      <c r="UNT99" s="168"/>
      <c r="UNU99" s="167"/>
      <c r="UNV99" s="168"/>
      <c r="UNW99" s="167"/>
      <c r="UNX99" s="168"/>
      <c r="UNY99" s="167"/>
      <c r="UNZ99" s="168"/>
      <c r="UOA99" s="167"/>
      <c r="UOB99" s="168"/>
      <c r="UOC99" s="167"/>
      <c r="UOD99" s="168"/>
      <c r="UOE99" s="167"/>
      <c r="UOF99" s="168"/>
      <c r="UOG99" s="167"/>
      <c r="UOH99" s="168"/>
      <c r="UOI99" s="167"/>
      <c r="UOJ99" s="168"/>
      <c r="UOK99" s="167"/>
      <c r="UOL99" s="168"/>
      <c r="UOM99" s="167"/>
      <c r="UON99" s="168"/>
      <c r="UOO99" s="167"/>
      <c r="UOP99" s="168"/>
      <c r="UOQ99" s="167"/>
      <c r="UOR99" s="168"/>
      <c r="UOS99" s="167"/>
      <c r="UOT99" s="168"/>
      <c r="UOU99" s="167"/>
      <c r="UOV99" s="168"/>
      <c r="UOW99" s="167"/>
      <c r="UOX99" s="168"/>
      <c r="UOY99" s="167"/>
      <c r="UOZ99" s="168"/>
      <c r="UPA99" s="167"/>
      <c r="UPB99" s="168"/>
      <c r="UPC99" s="167"/>
      <c r="UPD99" s="168"/>
      <c r="UPE99" s="167"/>
      <c r="UPF99" s="168"/>
      <c r="UPG99" s="167"/>
      <c r="UPH99" s="168"/>
      <c r="UPI99" s="167"/>
      <c r="UPJ99" s="168"/>
      <c r="UPK99" s="167"/>
      <c r="UPL99" s="168"/>
      <c r="UPM99" s="167"/>
      <c r="UPN99" s="168"/>
      <c r="UPO99" s="167"/>
      <c r="UPP99" s="168"/>
      <c r="UPQ99" s="167"/>
      <c r="UPR99" s="168"/>
      <c r="UPS99" s="167"/>
      <c r="UPT99" s="168"/>
      <c r="UPU99" s="167"/>
      <c r="UPV99" s="168"/>
      <c r="UPW99" s="167"/>
      <c r="UPX99" s="168"/>
      <c r="UPY99" s="167"/>
      <c r="UPZ99" s="168"/>
      <c r="UQA99" s="167"/>
      <c r="UQB99" s="168"/>
      <c r="UQC99" s="167"/>
      <c r="UQD99" s="168"/>
      <c r="UQE99" s="167"/>
      <c r="UQF99" s="168"/>
      <c r="UQG99" s="167"/>
      <c r="UQH99" s="168"/>
      <c r="UQI99" s="167"/>
      <c r="UQJ99" s="168"/>
      <c r="UQK99" s="167"/>
      <c r="UQL99" s="168"/>
      <c r="UQM99" s="167"/>
      <c r="UQN99" s="168"/>
      <c r="UQO99" s="167"/>
      <c r="UQP99" s="168"/>
      <c r="UQQ99" s="167"/>
      <c r="UQR99" s="168"/>
      <c r="UQS99" s="167"/>
      <c r="UQT99" s="168"/>
      <c r="UQU99" s="167"/>
      <c r="UQV99" s="168"/>
      <c r="UQW99" s="167"/>
      <c r="UQX99" s="168"/>
      <c r="UQY99" s="167"/>
      <c r="UQZ99" s="168"/>
      <c r="URA99" s="167"/>
      <c r="URB99" s="168"/>
      <c r="URC99" s="167"/>
      <c r="URD99" s="168"/>
      <c r="URE99" s="167"/>
      <c r="URF99" s="168"/>
      <c r="URG99" s="167"/>
      <c r="URH99" s="168"/>
      <c r="URI99" s="167"/>
      <c r="URJ99" s="168"/>
      <c r="URK99" s="167"/>
      <c r="URL99" s="168"/>
      <c r="URM99" s="167"/>
      <c r="URN99" s="168"/>
      <c r="URO99" s="167"/>
      <c r="URP99" s="168"/>
      <c r="URQ99" s="167"/>
      <c r="URR99" s="168"/>
      <c r="URS99" s="167"/>
      <c r="URT99" s="168"/>
      <c r="URU99" s="167"/>
      <c r="URV99" s="168"/>
      <c r="URW99" s="167"/>
      <c r="URX99" s="168"/>
      <c r="URY99" s="167"/>
      <c r="URZ99" s="168"/>
      <c r="USA99" s="167"/>
      <c r="USB99" s="168"/>
      <c r="USC99" s="167"/>
      <c r="USD99" s="168"/>
      <c r="USE99" s="167"/>
      <c r="USF99" s="168"/>
      <c r="USG99" s="167"/>
      <c r="USH99" s="168"/>
      <c r="USI99" s="167"/>
      <c r="USJ99" s="168"/>
      <c r="USK99" s="167"/>
      <c r="USL99" s="168"/>
      <c r="USM99" s="167"/>
      <c r="USN99" s="168"/>
      <c r="USO99" s="167"/>
      <c r="USP99" s="168"/>
      <c r="USQ99" s="167"/>
      <c r="USR99" s="168"/>
      <c r="USS99" s="167"/>
      <c r="UST99" s="168"/>
      <c r="USU99" s="167"/>
      <c r="USV99" s="168"/>
      <c r="USW99" s="167"/>
      <c r="USX99" s="168"/>
      <c r="USY99" s="167"/>
      <c r="USZ99" s="168"/>
      <c r="UTA99" s="167"/>
      <c r="UTB99" s="168"/>
      <c r="UTC99" s="167"/>
      <c r="UTD99" s="168"/>
      <c r="UTE99" s="167"/>
      <c r="UTF99" s="168"/>
      <c r="UTG99" s="167"/>
      <c r="UTH99" s="168"/>
      <c r="UTI99" s="167"/>
      <c r="UTJ99" s="168"/>
      <c r="UTK99" s="167"/>
      <c r="UTL99" s="168"/>
      <c r="UTM99" s="167"/>
      <c r="UTN99" s="168"/>
      <c r="UTO99" s="167"/>
      <c r="UTP99" s="168"/>
      <c r="UTQ99" s="167"/>
      <c r="UTR99" s="168"/>
      <c r="UTS99" s="167"/>
      <c r="UTT99" s="168"/>
      <c r="UTU99" s="167"/>
      <c r="UTV99" s="168"/>
      <c r="UTW99" s="167"/>
      <c r="UTX99" s="168"/>
      <c r="UTY99" s="167"/>
      <c r="UTZ99" s="168"/>
      <c r="UUA99" s="167"/>
      <c r="UUB99" s="168"/>
      <c r="UUC99" s="167"/>
      <c r="UUD99" s="168"/>
      <c r="UUE99" s="167"/>
      <c r="UUF99" s="168"/>
      <c r="UUG99" s="167"/>
      <c r="UUH99" s="168"/>
      <c r="UUI99" s="167"/>
      <c r="UUJ99" s="168"/>
      <c r="UUK99" s="167"/>
      <c r="UUL99" s="168"/>
      <c r="UUM99" s="167"/>
      <c r="UUN99" s="168"/>
      <c r="UUO99" s="167"/>
      <c r="UUP99" s="168"/>
      <c r="UUQ99" s="167"/>
      <c r="UUR99" s="168"/>
      <c r="UUS99" s="167"/>
      <c r="UUT99" s="168"/>
      <c r="UUU99" s="167"/>
      <c r="UUV99" s="168"/>
      <c r="UUW99" s="167"/>
      <c r="UUX99" s="168"/>
      <c r="UUY99" s="167"/>
      <c r="UUZ99" s="168"/>
      <c r="UVA99" s="167"/>
      <c r="UVB99" s="168"/>
      <c r="UVC99" s="167"/>
      <c r="UVD99" s="168"/>
      <c r="UVE99" s="167"/>
      <c r="UVF99" s="168"/>
      <c r="UVG99" s="167"/>
      <c r="UVH99" s="168"/>
      <c r="UVI99" s="167"/>
      <c r="UVJ99" s="168"/>
      <c r="UVK99" s="167"/>
      <c r="UVL99" s="168"/>
      <c r="UVM99" s="167"/>
      <c r="UVN99" s="168"/>
      <c r="UVO99" s="167"/>
      <c r="UVP99" s="168"/>
      <c r="UVQ99" s="167"/>
      <c r="UVR99" s="168"/>
      <c r="UVS99" s="167"/>
      <c r="UVT99" s="168"/>
      <c r="UVU99" s="167"/>
      <c r="UVV99" s="168"/>
      <c r="UVW99" s="167"/>
      <c r="UVX99" s="168"/>
      <c r="UVY99" s="167"/>
      <c r="UVZ99" s="168"/>
      <c r="UWA99" s="167"/>
      <c r="UWB99" s="168"/>
      <c r="UWC99" s="167"/>
      <c r="UWD99" s="168"/>
      <c r="UWE99" s="167"/>
      <c r="UWF99" s="168"/>
      <c r="UWG99" s="167"/>
      <c r="UWH99" s="168"/>
      <c r="UWI99" s="167"/>
      <c r="UWJ99" s="168"/>
      <c r="UWK99" s="167"/>
      <c r="UWL99" s="168"/>
      <c r="UWM99" s="167"/>
      <c r="UWN99" s="168"/>
      <c r="UWO99" s="167"/>
      <c r="UWP99" s="168"/>
      <c r="UWQ99" s="167"/>
      <c r="UWR99" s="168"/>
      <c r="UWS99" s="167"/>
      <c r="UWT99" s="168"/>
      <c r="UWU99" s="167"/>
      <c r="UWV99" s="168"/>
      <c r="UWW99" s="167"/>
      <c r="UWX99" s="168"/>
      <c r="UWY99" s="167"/>
      <c r="UWZ99" s="168"/>
      <c r="UXA99" s="167"/>
      <c r="UXB99" s="168"/>
      <c r="UXC99" s="167"/>
      <c r="UXD99" s="168"/>
      <c r="UXE99" s="167"/>
      <c r="UXF99" s="168"/>
      <c r="UXG99" s="167"/>
      <c r="UXH99" s="168"/>
      <c r="UXI99" s="167"/>
      <c r="UXJ99" s="168"/>
      <c r="UXK99" s="167"/>
      <c r="UXL99" s="168"/>
      <c r="UXM99" s="167"/>
      <c r="UXN99" s="168"/>
      <c r="UXO99" s="167"/>
      <c r="UXP99" s="168"/>
      <c r="UXQ99" s="167"/>
      <c r="UXR99" s="168"/>
      <c r="UXS99" s="167"/>
      <c r="UXT99" s="168"/>
      <c r="UXU99" s="167"/>
      <c r="UXV99" s="168"/>
      <c r="UXW99" s="167"/>
      <c r="UXX99" s="168"/>
      <c r="UXY99" s="167"/>
      <c r="UXZ99" s="168"/>
      <c r="UYA99" s="167"/>
      <c r="UYB99" s="168"/>
      <c r="UYC99" s="167"/>
      <c r="UYD99" s="168"/>
      <c r="UYE99" s="167"/>
      <c r="UYF99" s="168"/>
      <c r="UYG99" s="167"/>
      <c r="UYH99" s="168"/>
      <c r="UYI99" s="167"/>
      <c r="UYJ99" s="168"/>
      <c r="UYK99" s="167"/>
      <c r="UYL99" s="168"/>
      <c r="UYM99" s="167"/>
      <c r="UYN99" s="168"/>
      <c r="UYO99" s="167"/>
      <c r="UYP99" s="168"/>
      <c r="UYQ99" s="167"/>
      <c r="UYR99" s="168"/>
      <c r="UYS99" s="167"/>
      <c r="UYT99" s="168"/>
      <c r="UYU99" s="167"/>
      <c r="UYV99" s="168"/>
      <c r="UYW99" s="167"/>
      <c r="UYX99" s="168"/>
      <c r="UYY99" s="167"/>
      <c r="UYZ99" s="168"/>
      <c r="UZA99" s="167"/>
      <c r="UZB99" s="168"/>
      <c r="UZC99" s="167"/>
      <c r="UZD99" s="168"/>
      <c r="UZE99" s="167"/>
      <c r="UZF99" s="168"/>
      <c r="UZG99" s="167"/>
      <c r="UZH99" s="168"/>
      <c r="UZI99" s="167"/>
      <c r="UZJ99" s="168"/>
      <c r="UZK99" s="167"/>
      <c r="UZL99" s="168"/>
      <c r="UZM99" s="167"/>
      <c r="UZN99" s="168"/>
      <c r="UZO99" s="167"/>
      <c r="UZP99" s="168"/>
      <c r="UZQ99" s="167"/>
      <c r="UZR99" s="168"/>
      <c r="UZS99" s="167"/>
      <c r="UZT99" s="168"/>
      <c r="UZU99" s="167"/>
      <c r="UZV99" s="168"/>
      <c r="UZW99" s="167"/>
      <c r="UZX99" s="168"/>
      <c r="UZY99" s="167"/>
      <c r="UZZ99" s="168"/>
      <c r="VAA99" s="167"/>
      <c r="VAB99" s="168"/>
      <c r="VAC99" s="167"/>
      <c r="VAD99" s="168"/>
      <c r="VAE99" s="167"/>
      <c r="VAF99" s="168"/>
      <c r="VAG99" s="167"/>
      <c r="VAH99" s="168"/>
      <c r="VAI99" s="167"/>
      <c r="VAJ99" s="168"/>
      <c r="VAK99" s="167"/>
      <c r="VAL99" s="168"/>
      <c r="VAM99" s="167"/>
      <c r="VAN99" s="168"/>
      <c r="VAO99" s="167"/>
      <c r="VAP99" s="168"/>
      <c r="VAQ99" s="167"/>
      <c r="VAR99" s="168"/>
      <c r="VAS99" s="167"/>
      <c r="VAT99" s="168"/>
      <c r="VAU99" s="167"/>
      <c r="VAV99" s="168"/>
      <c r="VAW99" s="167"/>
      <c r="VAX99" s="168"/>
      <c r="VAY99" s="167"/>
      <c r="VAZ99" s="168"/>
      <c r="VBA99" s="167"/>
      <c r="VBB99" s="168"/>
      <c r="VBC99" s="167"/>
      <c r="VBD99" s="168"/>
      <c r="VBE99" s="167"/>
      <c r="VBF99" s="168"/>
      <c r="VBG99" s="167"/>
      <c r="VBH99" s="168"/>
      <c r="VBI99" s="167"/>
      <c r="VBJ99" s="168"/>
      <c r="VBK99" s="167"/>
      <c r="VBL99" s="168"/>
      <c r="VBM99" s="167"/>
      <c r="VBN99" s="168"/>
      <c r="VBO99" s="167"/>
      <c r="VBP99" s="168"/>
      <c r="VBQ99" s="167"/>
      <c r="VBR99" s="168"/>
      <c r="VBS99" s="167"/>
      <c r="VBT99" s="168"/>
      <c r="VBU99" s="167"/>
      <c r="VBV99" s="168"/>
      <c r="VBW99" s="167"/>
      <c r="VBX99" s="168"/>
      <c r="VBY99" s="167"/>
      <c r="VBZ99" s="168"/>
      <c r="VCA99" s="167"/>
      <c r="VCB99" s="168"/>
      <c r="VCC99" s="167"/>
      <c r="VCD99" s="168"/>
      <c r="VCE99" s="167"/>
      <c r="VCF99" s="168"/>
      <c r="VCG99" s="167"/>
      <c r="VCH99" s="168"/>
      <c r="VCI99" s="167"/>
      <c r="VCJ99" s="168"/>
      <c r="VCK99" s="167"/>
      <c r="VCL99" s="168"/>
      <c r="VCM99" s="167"/>
      <c r="VCN99" s="168"/>
      <c r="VCO99" s="167"/>
      <c r="VCP99" s="168"/>
      <c r="VCQ99" s="167"/>
      <c r="VCR99" s="168"/>
      <c r="VCS99" s="167"/>
      <c r="VCT99" s="168"/>
      <c r="VCU99" s="167"/>
      <c r="VCV99" s="168"/>
      <c r="VCW99" s="167"/>
      <c r="VCX99" s="168"/>
      <c r="VCY99" s="167"/>
      <c r="VCZ99" s="168"/>
      <c r="VDA99" s="167"/>
      <c r="VDB99" s="168"/>
      <c r="VDC99" s="167"/>
      <c r="VDD99" s="168"/>
      <c r="VDE99" s="167"/>
      <c r="VDF99" s="168"/>
      <c r="VDG99" s="167"/>
      <c r="VDH99" s="168"/>
      <c r="VDI99" s="167"/>
      <c r="VDJ99" s="168"/>
      <c r="VDK99" s="167"/>
      <c r="VDL99" s="168"/>
      <c r="VDM99" s="167"/>
      <c r="VDN99" s="168"/>
      <c r="VDO99" s="167"/>
      <c r="VDP99" s="168"/>
      <c r="VDQ99" s="167"/>
      <c r="VDR99" s="168"/>
      <c r="VDS99" s="167"/>
      <c r="VDT99" s="168"/>
      <c r="VDU99" s="167"/>
      <c r="VDV99" s="168"/>
      <c r="VDW99" s="167"/>
      <c r="VDX99" s="168"/>
      <c r="VDY99" s="167"/>
      <c r="VDZ99" s="168"/>
      <c r="VEA99" s="167"/>
      <c r="VEB99" s="168"/>
      <c r="VEC99" s="167"/>
      <c r="VED99" s="168"/>
      <c r="VEE99" s="167"/>
      <c r="VEF99" s="168"/>
      <c r="VEG99" s="167"/>
      <c r="VEH99" s="168"/>
      <c r="VEI99" s="167"/>
      <c r="VEJ99" s="168"/>
      <c r="VEK99" s="167"/>
      <c r="VEL99" s="168"/>
      <c r="VEM99" s="167"/>
      <c r="VEN99" s="168"/>
      <c r="VEO99" s="167"/>
      <c r="VEP99" s="168"/>
      <c r="VEQ99" s="167"/>
      <c r="VER99" s="168"/>
      <c r="VES99" s="167"/>
      <c r="VET99" s="168"/>
      <c r="VEU99" s="167"/>
      <c r="VEV99" s="168"/>
      <c r="VEW99" s="167"/>
      <c r="VEX99" s="168"/>
      <c r="VEY99" s="167"/>
      <c r="VEZ99" s="168"/>
      <c r="VFA99" s="167"/>
      <c r="VFB99" s="168"/>
      <c r="VFC99" s="167"/>
      <c r="VFD99" s="168"/>
      <c r="VFE99" s="167"/>
      <c r="VFF99" s="168"/>
      <c r="VFG99" s="167"/>
      <c r="VFH99" s="168"/>
      <c r="VFI99" s="167"/>
      <c r="VFJ99" s="168"/>
      <c r="VFK99" s="167"/>
      <c r="VFL99" s="168"/>
      <c r="VFM99" s="167"/>
      <c r="VFN99" s="168"/>
      <c r="VFO99" s="167"/>
      <c r="VFP99" s="168"/>
      <c r="VFQ99" s="167"/>
      <c r="VFR99" s="168"/>
      <c r="VFS99" s="167"/>
      <c r="VFT99" s="168"/>
      <c r="VFU99" s="167"/>
      <c r="VFV99" s="168"/>
      <c r="VFW99" s="167"/>
      <c r="VFX99" s="168"/>
      <c r="VFY99" s="167"/>
      <c r="VFZ99" s="168"/>
      <c r="VGA99" s="167"/>
      <c r="VGB99" s="168"/>
      <c r="VGC99" s="167"/>
      <c r="VGD99" s="168"/>
      <c r="VGE99" s="167"/>
      <c r="VGF99" s="168"/>
      <c r="VGG99" s="167"/>
      <c r="VGH99" s="168"/>
      <c r="VGI99" s="167"/>
      <c r="VGJ99" s="168"/>
      <c r="VGK99" s="167"/>
      <c r="VGL99" s="168"/>
      <c r="VGM99" s="167"/>
      <c r="VGN99" s="168"/>
      <c r="VGO99" s="167"/>
      <c r="VGP99" s="168"/>
      <c r="VGQ99" s="167"/>
      <c r="VGR99" s="168"/>
      <c r="VGS99" s="167"/>
      <c r="VGT99" s="168"/>
      <c r="VGU99" s="167"/>
      <c r="VGV99" s="168"/>
      <c r="VGW99" s="167"/>
      <c r="VGX99" s="168"/>
      <c r="VGY99" s="167"/>
      <c r="VGZ99" s="168"/>
      <c r="VHA99" s="167"/>
      <c r="VHB99" s="168"/>
      <c r="VHC99" s="167"/>
      <c r="VHD99" s="168"/>
      <c r="VHE99" s="167"/>
      <c r="VHF99" s="168"/>
      <c r="VHG99" s="167"/>
      <c r="VHH99" s="168"/>
      <c r="VHI99" s="167"/>
      <c r="VHJ99" s="168"/>
      <c r="VHK99" s="167"/>
      <c r="VHL99" s="168"/>
      <c r="VHM99" s="167"/>
      <c r="VHN99" s="168"/>
      <c r="VHO99" s="167"/>
      <c r="VHP99" s="168"/>
      <c r="VHQ99" s="167"/>
      <c r="VHR99" s="168"/>
      <c r="VHS99" s="167"/>
      <c r="VHT99" s="168"/>
      <c r="VHU99" s="167"/>
      <c r="VHV99" s="168"/>
      <c r="VHW99" s="167"/>
      <c r="VHX99" s="168"/>
      <c r="VHY99" s="167"/>
      <c r="VHZ99" s="168"/>
      <c r="VIA99" s="167"/>
      <c r="VIB99" s="168"/>
      <c r="VIC99" s="167"/>
      <c r="VID99" s="168"/>
      <c r="VIE99" s="167"/>
      <c r="VIF99" s="168"/>
      <c r="VIG99" s="167"/>
      <c r="VIH99" s="168"/>
      <c r="VII99" s="167"/>
      <c r="VIJ99" s="168"/>
      <c r="VIK99" s="167"/>
      <c r="VIL99" s="168"/>
      <c r="VIM99" s="167"/>
      <c r="VIN99" s="168"/>
      <c r="VIO99" s="167"/>
      <c r="VIP99" s="168"/>
      <c r="VIQ99" s="167"/>
      <c r="VIR99" s="168"/>
      <c r="VIS99" s="167"/>
      <c r="VIT99" s="168"/>
      <c r="VIU99" s="167"/>
      <c r="VIV99" s="168"/>
      <c r="VIW99" s="167"/>
      <c r="VIX99" s="168"/>
      <c r="VIY99" s="167"/>
      <c r="VIZ99" s="168"/>
      <c r="VJA99" s="167"/>
      <c r="VJB99" s="168"/>
      <c r="VJC99" s="167"/>
      <c r="VJD99" s="168"/>
      <c r="VJE99" s="167"/>
      <c r="VJF99" s="168"/>
      <c r="VJG99" s="167"/>
      <c r="VJH99" s="168"/>
      <c r="VJI99" s="167"/>
      <c r="VJJ99" s="168"/>
      <c r="VJK99" s="167"/>
      <c r="VJL99" s="168"/>
      <c r="VJM99" s="167"/>
      <c r="VJN99" s="168"/>
      <c r="VJO99" s="167"/>
      <c r="VJP99" s="168"/>
      <c r="VJQ99" s="167"/>
      <c r="VJR99" s="168"/>
      <c r="VJS99" s="167"/>
      <c r="VJT99" s="168"/>
      <c r="VJU99" s="167"/>
      <c r="VJV99" s="168"/>
      <c r="VJW99" s="167"/>
      <c r="VJX99" s="168"/>
      <c r="VJY99" s="167"/>
      <c r="VJZ99" s="168"/>
      <c r="VKA99" s="167"/>
      <c r="VKB99" s="168"/>
      <c r="VKC99" s="167"/>
      <c r="VKD99" s="168"/>
      <c r="VKE99" s="167"/>
      <c r="VKF99" s="168"/>
      <c r="VKG99" s="167"/>
      <c r="VKH99" s="168"/>
      <c r="VKI99" s="167"/>
      <c r="VKJ99" s="168"/>
      <c r="VKK99" s="167"/>
      <c r="VKL99" s="168"/>
      <c r="VKM99" s="167"/>
      <c r="VKN99" s="168"/>
      <c r="VKO99" s="167"/>
      <c r="VKP99" s="168"/>
      <c r="VKQ99" s="167"/>
      <c r="VKR99" s="168"/>
      <c r="VKS99" s="167"/>
      <c r="VKT99" s="168"/>
      <c r="VKU99" s="167"/>
      <c r="VKV99" s="168"/>
      <c r="VKW99" s="167"/>
      <c r="VKX99" s="168"/>
      <c r="VKY99" s="167"/>
      <c r="VKZ99" s="168"/>
      <c r="VLA99" s="167"/>
      <c r="VLB99" s="168"/>
      <c r="VLC99" s="167"/>
      <c r="VLD99" s="168"/>
      <c r="VLE99" s="167"/>
      <c r="VLF99" s="168"/>
      <c r="VLG99" s="167"/>
      <c r="VLH99" s="168"/>
      <c r="VLI99" s="167"/>
      <c r="VLJ99" s="168"/>
      <c r="VLK99" s="167"/>
      <c r="VLL99" s="168"/>
      <c r="VLM99" s="167"/>
      <c r="VLN99" s="168"/>
      <c r="VLO99" s="167"/>
      <c r="VLP99" s="168"/>
      <c r="VLQ99" s="167"/>
      <c r="VLR99" s="168"/>
      <c r="VLS99" s="167"/>
      <c r="VLT99" s="168"/>
      <c r="VLU99" s="167"/>
      <c r="VLV99" s="168"/>
      <c r="VLW99" s="167"/>
      <c r="VLX99" s="168"/>
      <c r="VLY99" s="167"/>
      <c r="VLZ99" s="168"/>
      <c r="VMA99" s="167"/>
      <c r="VMB99" s="168"/>
      <c r="VMC99" s="167"/>
      <c r="VMD99" s="168"/>
      <c r="VME99" s="167"/>
      <c r="VMF99" s="168"/>
      <c r="VMG99" s="167"/>
      <c r="VMH99" s="168"/>
      <c r="VMI99" s="167"/>
      <c r="VMJ99" s="168"/>
      <c r="VMK99" s="167"/>
      <c r="VML99" s="168"/>
      <c r="VMM99" s="167"/>
      <c r="VMN99" s="168"/>
      <c r="VMO99" s="167"/>
      <c r="VMP99" s="168"/>
      <c r="VMQ99" s="167"/>
      <c r="VMR99" s="168"/>
      <c r="VMS99" s="167"/>
      <c r="VMT99" s="168"/>
      <c r="VMU99" s="167"/>
      <c r="VMV99" s="168"/>
      <c r="VMW99" s="167"/>
      <c r="VMX99" s="168"/>
      <c r="VMY99" s="167"/>
      <c r="VMZ99" s="168"/>
      <c r="VNA99" s="167"/>
      <c r="VNB99" s="168"/>
      <c r="VNC99" s="167"/>
      <c r="VND99" s="168"/>
      <c r="VNE99" s="167"/>
      <c r="VNF99" s="168"/>
      <c r="VNG99" s="167"/>
      <c r="VNH99" s="168"/>
      <c r="VNI99" s="167"/>
      <c r="VNJ99" s="168"/>
      <c r="VNK99" s="167"/>
      <c r="VNL99" s="168"/>
      <c r="VNM99" s="167"/>
      <c r="VNN99" s="168"/>
      <c r="VNO99" s="167"/>
      <c r="VNP99" s="168"/>
      <c r="VNQ99" s="167"/>
      <c r="VNR99" s="168"/>
      <c r="VNS99" s="167"/>
      <c r="VNT99" s="168"/>
      <c r="VNU99" s="167"/>
      <c r="VNV99" s="168"/>
      <c r="VNW99" s="167"/>
      <c r="VNX99" s="168"/>
      <c r="VNY99" s="167"/>
      <c r="VNZ99" s="168"/>
      <c r="VOA99" s="167"/>
      <c r="VOB99" s="168"/>
      <c r="VOC99" s="167"/>
      <c r="VOD99" s="168"/>
      <c r="VOE99" s="167"/>
      <c r="VOF99" s="168"/>
      <c r="VOG99" s="167"/>
      <c r="VOH99" s="168"/>
      <c r="VOI99" s="167"/>
      <c r="VOJ99" s="168"/>
      <c r="VOK99" s="167"/>
      <c r="VOL99" s="168"/>
      <c r="VOM99" s="167"/>
      <c r="VON99" s="168"/>
      <c r="VOO99" s="167"/>
      <c r="VOP99" s="168"/>
      <c r="VOQ99" s="167"/>
      <c r="VOR99" s="168"/>
      <c r="VOS99" s="167"/>
      <c r="VOT99" s="168"/>
      <c r="VOU99" s="167"/>
      <c r="VOV99" s="168"/>
      <c r="VOW99" s="167"/>
      <c r="VOX99" s="168"/>
      <c r="VOY99" s="167"/>
      <c r="VOZ99" s="168"/>
      <c r="VPA99" s="167"/>
      <c r="VPB99" s="168"/>
      <c r="VPC99" s="167"/>
      <c r="VPD99" s="168"/>
      <c r="VPE99" s="167"/>
      <c r="VPF99" s="168"/>
      <c r="VPG99" s="167"/>
      <c r="VPH99" s="168"/>
      <c r="VPI99" s="167"/>
      <c r="VPJ99" s="168"/>
      <c r="VPK99" s="167"/>
      <c r="VPL99" s="168"/>
      <c r="VPM99" s="167"/>
      <c r="VPN99" s="168"/>
      <c r="VPO99" s="167"/>
      <c r="VPP99" s="168"/>
      <c r="VPQ99" s="167"/>
      <c r="VPR99" s="168"/>
      <c r="VPS99" s="167"/>
      <c r="VPT99" s="168"/>
      <c r="VPU99" s="167"/>
      <c r="VPV99" s="168"/>
      <c r="VPW99" s="167"/>
      <c r="VPX99" s="168"/>
      <c r="VPY99" s="167"/>
      <c r="VPZ99" s="168"/>
      <c r="VQA99" s="167"/>
      <c r="VQB99" s="168"/>
      <c r="VQC99" s="167"/>
      <c r="VQD99" s="168"/>
      <c r="VQE99" s="167"/>
      <c r="VQF99" s="168"/>
      <c r="VQG99" s="167"/>
      <c r="VQH99" s="168"/>
      <c r="VQI99" s="167"/>
      <c r="VQJ99" s="168"/>
      <c r="VQK99" s="167"/>
      <c r="VQL99" s="168"/>
      <c r="VQM99" s="167"/>
      <c r="VQN99" s="168"/>
      <c r="VQO99" s="167"/>
      <c r="VQP99" s="168"/>
      <c r="VQQ99" s="167"/>
      <c r="VQR99" s="168"/>
      <c r="VQS99" s="167"/>
      <c r="VQT99" s="168"/>
      <c r="VQU99" s="167"/>
      <c r="VQV99" s="168"/>
      <c r="VQW99" s="167"/>
      <c r="VQX99" s="168"/>
      <c r="VQY99" s="167"/>
      <c r="VQZ99" s="168"/>
      <c r="VRA99" s="167"/>
      <c r="VRB99" s="168"/>
      <c r="VRC99" s="167"/>
      <c r="VRD99" s="168"/>
      <c r="VRE99" s="167"/>
      <c r="VRF99" s="168"/>
      <c r="VRG99" s="167"/>
      <c r="VRH99" s="168"/>
      <c r="VRI99" s="167"/>
      <c r="VRJ99" s="168"/>
      <c r="VRK99" s="167"/>
      <c r="VRL99" s="168"/>
      <c r="VRM99" s="167"/>
      <c r="VRN99" s="168"/>
      <c r="VRO99" s="167"/>
      <c r="VRP99" s="168"/>
      <c r="VRQ99" s="167"/>
      <c r="VRR99" s="168"/>
      <c r="VRS99" s="167"/>
      <c r="VRT99" s="168"/>
      <c r="VRU99" s="167"/>
      <c r="VRV99" s="168"/>
      <c r="VRW99" s="167"/>
      <c r="VRX99" s="168"/>
      <c r="VRY99" s="167"/>
      <c r="VRZ99" s="168"/>
      <c r="VSA99" s="167"/>
      <c r="VSB99" s="168"/>
      <c r="VSC99" s="167"/>
      <c r="VSD99" s="168"/>
      <c r="VSE99" s="167"/>
      <c r="VSF99" s="168"/>
      <c r="VSG99" s="167"/>
      <c r="VSH99" s="168"/>
      <c r="VSI99" s="167"/>
      <c r="VSJ99" s="168"/>
      <c r="VSK99" s="167"/>
      <c r="VSL99" s="168"/>
      <c r="VSM99" s="167"/>
      <c r="VSN99" s="168"/>
      <c r="VSO99" s="167"/>
      <c r="VSP99" s="168"/>
      <c r="VSQ99" s="167"/>
      <c r="VSR99" s="168"/>
      <c r="VSS99" s="167"/>
      <c r="VST99" s="168"/>
      <c r="VSU99" s="167"/>
      <c r="VSV99" s="168"/>
      <c r="VSW99" s="167"/>
      <c r="VSX99" s="168"/>
      <c r="VSY99" s="167"/>
      <c r="VSZ99" s="168"/>
      <c r="VTA99" s="167"/>
      <c r="VTB99" s="168"/>
      <c r="VTC99" s="167"/>
      <c r="VTD99" s="168"/>
      <c r="VTE99" s="167"/>
      <c r="VTF99" s="168"/>
      <c r="VTG99" s="167"/>
      <c r="VTH99" s="168"/>
      <c r="VTI99" s="167"/>
      <c r="VTJ99" s="168"/>
      <c r="VTK99" s="167"/>
      <c r="VTL99" s="168"/>
      <c r="VTM99" s="167"/>
      <c r="VTN99" s="168"/>
      <c r="VTO99" s="167"/>
      <c r="VTP99" s="168"/>
      <c r="VTQ99" s="167"/>
      <c r="VTR99" s="168"/>
      <c r="VTS99" s="167"/>
      <c r="VTT99" s="168"/>
      <c r="VTU99" s="167"/>
      <c r="VTV99" s="168"/>
      <c r="VTW99" s="167"/>
      <c r="VTX99" s="168"/>
      <c r="VTY99" s="167"/>
      <c r="VTZ99" s="168"/>
      <c r="VUA99" s="167"/>
      <c r="VUB99" s="168"/>
      <c r="VUC99" s="167"/>
      <c r="VUD99" s="168"/>
      <c r="VUE99" s="167"/>
      <c r="VUF99" s="168"/>
      <c r="VUG99" s="167"/>
      <c r="VUH99" s="168"/>
      <c r="VUI99" s="167"/>
      <c r="VUJ99" s="168"/>
      <c r="VUK99" s="167"/>
      <c r="VUL99" s="168"/>
      <c r="VUM99" s="167"/>
      <c r="VUN99" s="168"/>
      <c r="VUO99" s="167"/>
      <c r="VUP99" s="168"/>
      <c r="VUQ99" s="167"/>
      <c r="VUR99" s="168"/>
      <c r="VUS99" s="167"/>
      <c r="VUT99" s="168"/>
      <c r="VUU99" s="167"/>
      <c r="VUV99" s="168"/>
      <c r="VUW99" s="167"/>
      <c r="VUX99" s="168"/>
      <c r="VUY99" s="167"/>
      <c r="VUZ99" s="168"/>
      <c r="VVA99" s="167"/>
      <c r="VVB99" s="168"/>
      <c r="VVC99" s="167"/>
      <c r="VVD99" s="168"/>
      <c r="VVE99" s="167"/>
      <c r="VVF99" s="168"/>
      <c r="VVG99" s="167"/>
      <c r="VVH99" s="168"/>
      <c r="VVI99" s="167"/>
      <c r="VVJ99" s="168"/>
      <c r="VVK99" s="167"/>
      <c r="VVL99" s="168"/>
      <c r="VVM99" s="167"/>
      <c r="VVN99" s="168"/>
      <c r="VVO99" s="167"/>
      <c r="VVP99" s="168"/>
      <c r="VVQ99" s="167"/>
      <c r="VVR99" s="168"/>
      <c r="VVS99" s="167"/>
      <c r="VVT99" s="168"/>
      <c r="VVU99" s="167"/>
      <c r="VVV99" s="168"/>
      <c r="VVW99" s="167"/>
      <c r="VVX99" s="168"/>
      <c r="VVY99" s="167"/>
      <c r="VVZ99" s="168"/>
      <c r="VWA99" s="167"/>
      <c r="VWB99" s="168"/>
      <c r="VWC99" s="167"/>
      <c r="VWD99" s="168"/>
      <c r="VWE99" s="167"/>
      <c r="VWF99" s="168"/>
      <c r="VWG99" s="167"/>
      <c r="VWH99" s="168"/>
      <c r="VWI99" s="167"/>
      <c r="VWJ99" s="168"/>
      <c r="VWK99" s="167"/>
      <c r="VWL99" s="168"/>
      <c r="VWM99" s="167"/>
      <c r="VWN99" s="168"/>
      <c r="VWO99" s="167"/>
      <c r="VWP99" s="168"/>
      <c r="VWQ99" s="167"/>
      <c r="VWR99" s="168"/>
      <c r="VWS99" s="167"/>
      <c r="VWT99" s="168"/>
      <c r="VWU99" s="167"/>
      <c r="VWV99" s="168"/>
      <c r="VWW99" s="167"/>
      <c r="VWX99" s="168"/>
      <c r="VWY99" s="167"/>
      <c r="VWZ99" s="168"/>
      <c r="VXA99" s="167"/>
      <c r="VXB99" s="168"/>
      <c r="VXC99" s="167"/>
      <c r="VXD99" s="168"/>
      <c r="VXE99" s="167"/>
      <c r="VXF99" s="168"/>
      <c r="VXG99" s="167"/>
      <c r="VXH99" s="168"/>
      <c r="VXI99" s="167"/>
      <c r="VXJ99" s="168"/>
      <c r="VXK99" s="167"/>
      <c r="VXL99" s="168"/>
      <c r="VXM99" s="167"/>
      <c r="VXN99" s="168"/>
      <c r="VXO99" s="167"/>
      <c r="VXP99" s="168"/>
      <c r="VXQ99" s="167"/>
      <c r="VXR99" s="168"/>
      <c r="VXS99" s="167"/>
      <c r="VXT99" s="168"/>
      <c r="VXU99" s="167"/>
      <c r="VXV99" s="168"/>
      <c r="VXW99" s="167"/>
      <c r="VXX99" s="168"/>
      <c r="VXY99" s="167"/>
      <c r="VXZ99" s="168"/>
      <c r="VYA99" s="167"/>
      <c r="VYB99" s="168"/>
      <c r="VYC99" s="167"/>
      <c r="VYD99" s="168"/>
      <c r="VYE99" s="167"/>
      <c r="VYF99" s="168"/>
      <c r="VYG99" s="167"/>
      <c r="VYH99" s="168"/>
      <c r="VYI99" s="167"/>
      <c r="VYJ99" s="168"/>
      <c r="VYK99" s="167"/>
      <c r="VYL99" s="168"/>
      <c r="VYM99" s="167"/>
      <c r="VYN99" s="168"/>
      <c r="VYO99" s="167"/>
      <c r="VYP99" s="168"/>
      <c r="VYQ99" s="167"/>
      <c r="VYR99" s="168"/>
      <c r="VYS99" s="167"/>
      <c r="VYT99" s="168"/>
      <c r="VYU99" s="167"/>
      <c r="VYV99" s="168"/>
      <c r="VYW99" s="167"/>
      <c r="VYX99" s="168"/>
      <c r="VYY99" s="167"/>
      <c r="VYZ99" s="168"/>
      <c r="VZA99" s="167"/>
      <c r="VZB99" s="168"/>
      <c r="VZC99" s="167"/>
      <c r="VZD99" s="168"/>
      <c r="VZE99" s="167"/>
      <c r="VZF99" s="168"/>
      <c r="VZG99" s="167"/>
      <c r="VZH99" s="168"/>
      <c r="VZI99" s="167"/>
      <c r="VZJ99" s="168"/>
      <c r="VZK99" s="167"/>
      <c r="VZL99" s="168"/>
      <c r="VZM99" s="167"/>
      <c r="VZN99" s="168"/>
      <c r="VZO99" s="167"/>
      <c r="VZP99" s="168"/>
      <c r="VZQ99" s="167"/>
      <c r="VZR99" s="168"/>
      <c r="VZS99" s="167"/>
      <c r="VZT99" s="168"/>
      <c r="VZU99" s="167"/>
      <c r="VZV99" s="168"/>
      <c r="VZW99" s="167"/>
      <c r="VZX99" s="168"/>
      <c r="VZY99" s="167"/>
      <c r="VZZ99" s="168"/>
      <c r="WAA99" s="167"/>
      <c r="WAB99" s="168"/>
      <c r="WAC99" s="167"/>
      <c r="WAD99" s="168"/>
      <c r="WAE99" s="167"/>
      <c r="WAF99" s="168"/>
      <c r="WAG99" s="167"/>
      <c r="WAH99" s="168"/>
      <c r="WAI99" s="167"/>
      <c r="WAJ99" s="168"/>
      <c r="WAK99" s="167"/>
      <c r="WAL99" s="168"/>
      <c r="WAM99" s="167"/>
      <c r="WAN99" s="168"/>
      <c r="WAO99" s="167"/>
      <c r="WAP99" s="168"/>
      <c r="WAQ99" s="167"/>
      <c r="WAR99" s="168"/>
      <c r="WAS99" s="167"/>
      <c r="WAT99" s="168"/>
      <c r="WAU99" s="167"/>
      <c r="WAV99" s="168"/>
      <c r="WAW99" s="167"/>
      <c r="WAX99" s="168"/>
      <c r="WAY99" s="167"/>
      <c r="WAZ99" s="168"/>
      <c r="WBA99" s="167"/>
      <c r="WBB99" s="168"/>
      <c r="WBC99" s="167"/>
      <c r="WBD99" s="168"/>
      <c r="WBE99" s="167"/>
      <c r="WBF99" s="168"/>
      <c r="WBG99" s="167"/>
      <c r="WBH99" s="168"/>
      <c r="WBI99" s="167"/>
      <c r="WBJ99" s="168"/>
      <c r="WBK99" s="167"/>
      <c r="WBL99" s="168"/>
      <c r="WBM99" s="167"/>
      <c r="WBN99" s="168"/>
      <c r="WBO99" s="167"/>
      <c r="WBP99" s="168"/>
      <c r="WBQ99" s="167"/>
      <c r="WBR99" s="168"/>
      <c r="WBS99" s="167"/>
      <c r="WBT99" s="168"/>
      <c r="WBU99" s="167"/>
      <c r="WBV99" s="168"/>
      <c r="WBW99" s="167"/>
      <c r="WBX99" s="168"/>
      <c r="WBY99" s="167"/>
      <c r="WBZ99" s="168"/>
      <c r="WCA99" s="167"/>
      <c r="WCB99" s="168"/>
      <c r="WCC99" s="167"/>
      <c r="WCD99" s="168"/>
      <c r="WCE99" s="167"/>
      <c r="WCF99" s="168"/>
      <c r="WCG99" s="167"/>
      <c r="WCH99" s="168"/>
      <c r="WCI99" s="167"/>
      <c r="WCJ99" s="168"/>
      <c r="WCK99" s="167"/>
      <c r="WCL99" s="168"/>
      <c r="WCM99" s="167"/>
      <c r="WCN99" s="168"/>
      <c r="WCO99" s="167"/>
      <c r="WCP99" s="168"/>
      <c r="WCQ99" s="167"/>
      <c r="WCR99" s="168"/>
      <c r="WCS99" s="167"/>
      <c r="WCT99" s="168"/>
      <c r="WCU99" s="167"/>
      <c r="WCV99" s="168"/>
      <c r="WCW99" s="167"/>
      <c r="WCX99" s="168"/>
      <c r="WCY99" s="167"/>
      <c r="WCZ99" s="168"/>
      <c r="WDA99" s="167"/>
      <c r="WDB99" s="168"/>
      <c r="WDC99" s="167"/>
      <c r="WDD99" s="168"/>
      <c r="WDE99" s="167"/>
      <c r="WDF99" s="168"/>
      <c r="WDG99" s="167"/>
      <c r="WDH99" s="168"/>
      <c r="WDI99" s="167"/>
      <c r="WDJ99" s="168"/>
      <c r="WDK99" s="167"/>
      <c r="WDL99" s="168"/>
      <c r="WDM99" s="167"/>
      <c r="WDN99" s="168"/>
      <c r="WDO99" s="167"/>
      <c r="WDP99" s="168"/>
      <c r="WDQ99" s="167"/>
      <c r="WDR99" s="168"/>
      <c r="WDS99" s="167"/>
      <c r="WDT99" s="168"/>
      <c r="WDU99" s="167"/>
      <c r="WDV99" s="168"/>
      <c r="WDW99" s="167"/>
      <c r="WDX99" s="168"/>
      <c r="WDY99" s="167"/>
      <c r="WDZ99" s="168"/>
      <c r="WEA99" s="167"/>
      <c r="WEB99" s="168"/>
      <c r="WEC99" s="167"/>
      <c r="WED99" s="168"/>
      <c r="WEE99" s="167"/>
      <c r="WEF99" s="168"/>
      <c r="WEG99" s="167"/>
      <c r="WEH99" s="168"/>
      <c r="WEI99" s="167"/>
      <c r="WEJ99" s="168"/>
      <c r="WEK99" s="167"/>
      <c r="WEL99" s="168"/>
      <c r="WEM99" s="167"/>
      <c r="WEN99" s="168"/>
      <c r="WEO99" s="167"/>
      <c r="WEP99" s="168"/>
      <c r="WEQ99" s="167"/>
      <c r="WER99" s="168"/>
      <c r="WES99" s="167"/>
      <c r="WET99" s="168"/>
      <c r="WEU99" s="167"/>
      <c r="WEV99" s="168"/>
      <c r="WEW99" s="167"/>
      <c r="WEX99" s="168"/>
      <c r="WEY99" s="167"/>
      <c r="WEZ99" s="168"/>
      <c r="WFA99" s="167"/>
      <c r="WFB99" s="168"/>
      <c r="WFC99" s="167"/>
      <c r="WFD99" s="168"/>
      <c r="WFE99" s="167"/>
      <c r="WFF99" s="168"/>
      <c r="WFG99" s="167"/>
      <c r="WFH99" s="168"/>
      <c r="WFI99" s="167"/>
      <c r="WFJ99" s="168"/>
      <c r="WFK99" s="167"/>
      <c r="WFL99" s="168"/>
      <c r="WFM99" s="167"/>
      <c r="WFN99" s="168"/>
      <c r="WFO99" s="167"/>
      <c r="WFP99" s="168"/>
      <c r="WFQ99" s="167"/>
      <c r="WFR99" s="168"/>
      <c r="WFS99" s="167"/>
      <c r="WFT99" s="168"/>
      <c r="WFU99" s="167"/>
      <c r="WFV99" s="168"/>
      <c r="WFW99" s="167"/>
      <c r="WFX99" s="168"/>
      <c r="WFY99" s="167"/>
      <c r="WFZ99" s="168"/>
      <c r="WGA99" s="167"/>
      <c r="WGB99" s="168"/>
      <c r="WGC99" s="167"/>
      <c r="WGD99" s="168"/>
      <c r="WGE99" s="167"/>
      <c r="WGF99" s="168"/>
      <c r="WGG99" s="167"/>
      <c r="WGH99" s="168"/>
      <c r="WGI99" s="167"/>
      <c r="WGJ99" s="168"/>
      <c r="WGK99" s="167"/>
      <c r="WGL99" s="168"/>
      <c r="WGM99" s="167"/>
      <c r="WGN99" s="168"/>
      <c r="WGO99" s="167"/>
      <c r="WGP99" s="168"/>
      <c r="WGQ99" s="167"/>
      <c r="WGR99" s="168"/>
      <c r="WGS99" s="167"/>
      <c r="WGT99" s="168"/>
      <c r="WGU99" s="167"/>
      <c r="WGV99" s="168"/>
      <c r="WGW99" s="167"/>
      <c r="WGX99" s="168"/>
      <c r="WGY99" s="167"/>
      <c r="WGZ99" s="168"/>
      <c r="WHA99" s="167"/>
      <c r="WHB99" s="168"/>
      <c r="WHC99" s="167"/>
      <c r="WHD99" s="168"/>
      <c r="WHE99" s="167"/>
      <c r="WHF99" s="168"/>
      <c r="WHG99" s="167"/>
      <c r="WHH99" s="168"/>
      <c r="WHI99" s="167"/>
      <c r="WHJ99" s="168"/>
      <c r="WHK99" s="167"/>
      <c r="WHL99" s="168"/>
      <c r="WHM99" s="167"/>
      <c r="WHN99" s="168"/>
      <c r="WHO99" s="167"/>
      <c r="WHP99" s="168"/>
      <c r="WHQ99" s="167"/>
      <c r="WHR99" s="168"/>
      <c r="WHS99" s="167"/>
      <c r="WHT99" s="168"/>
      <c r="WHU99" s="167"/>
      <c r="WHV99" s="168"/>
      <c r="WHW99" s="167"/>
      <c r="WHX99" s="168"/>
      <c r="WHY99" s="167"/>
      <c r="WHZ99" s="168"/>
      <c r="WIA99" s="167"/>
      <c r="WIB99" s="168"/>
      <c r="WIC99" s="167"/>
      <c r="WID99" s="168"/>
      <c r="WIE99" s="167"/>
      <c r="WIF99" s="168"/>
      <c r="WIG99" s="167"/>
      <c r="WIH99" s="168"/>
      <c r="WII99" s="167"/>
      <c r="WIJ99" s="168"/>
      <c r="WIK99" s="167"/>
      <c r="WIL99" s="168"/>
      <c r="WIM99" s="167"/>
      <c r="WIN99" s="168"/>
      <c r="WIO99" s="167"/>
      <c r="WIP99" s="168"/>
      <c r="WIQ99" s="167"/>
      <c r="WIR99" s="168"/>
      <c r="WIS99" s="167"/>
      <c r="WIT99" s="168"/>
      <c r="WIU99" s="167"/>
      <c r="WIV99" s="168"/>
      <c r="WIW99" s="167"/>
      <c r="WIX99" s="168"/>
      <c r="WIY99" s="167"/>
      <c r="WIZ99" s="168"/>
      <c r="WJA99" s="167"/>
      <c r="WJB99" s="168"/>
      <c r="WJC99" s="167"/>
      <c r="WJD99" s="168"/>
      <c r="WJE99" s="167"/>
      <c r="WJF99" s="168"/>
      <c r="WJG99" s="167"/>
      <c r="WJH99" s="168"/>
      <c r="WJI99" s="167"/>
      <c r="WJJ99" s="168"/>
      <c r="WJK99" s="167"/>
      <c r="WJL99" s="168"/>
      <c r="WJM99" s="167"/>
      <c r="WJN99" s="168"/>
      <c r="WJO99" s="167"/>
      <c r="WJP99" s="168"/>
      <c r="WJQ99" s="167"/>
      <c r="WJR99" s="168"/>
      <c r="WJS99" s="167"/>
      <c r="WJT99" s="168"/>
      <c r="WJU99" s="167"/>
      <c r="WJV99" s="168"/>
      <c r="WJW99" s="167"/>
      <c r="WJX99" s="168"/>
      <c r="WJY99" s="167"/>
      <c r="WJZ99" s="168"/>
      <c r="WKA99" s="167"/>
      <c r="WKB99" s="168"/>
      <c r="WKC99" s="167"/>
      <c r="WKD99" s="168"/>
      <c r="WKE99" s="167"/>
      <c r="WKF99" s="168"/>
      <c r="WKG99" s="167"/>
      <c r="WKH99" s="168"/>
      <c r="WKI99" s="167"/>
      <c r="WKJ99" s="168"/>
      <c r="WKK99" s="167"/>
      <c r="WKL99" s="168"/>
      <c r="WKM99" s="167"/>
      <c r="WKN99" s="168"/>
      <c r="WKO99" s="167"/>
      <c r="WKP99" s="168"/>
      <c r="WKQ99" s="167"/>
      <c r="WKR99" s="168"/>
      <c r="WKS99" s="167"/>
      <c r="WKT99" s="168"/>
      <c r="WKU99" s="167"/>
      <c r="WKV99" s="168"/>
      <c r="WKW99" s="167"/>
      <c r="WKX99" s="168"/>
      <c r="WKY99" s="167"/>
      <c r="WKZ99" s="168"/>
      <c r="WLA99" s="167"/>
      <c r="WLB99" s="168"/>
      <c r="WLC99" s="167"/>
      <c r="WLD99" s="168"/>
      <c r="WLE99" s="167"/>
      <c r="WLF99" s="168"/>
      <c r="WLG99" s="167"/>
      <c r="WLH99" s="168"/>
      <c r="WLI99" s="167"/>
      <c r="WLJ99" s="168"/>
      <c r="WLK99" s="167"/>
      <c r="WLL99" s="168"/>
      <c r="WLM99" s="167"/>
      <c r="WLN99" s="168"/>
      <c r="WLO99" s="167"/>
      <c r="WLP99" s="168"/>
      <c r="WLQ99" s="167"/>
      <c r="WLR99" s="168"/>
      <c r="WLS99" s="167"/>
      <c r="WLT99" s="168"/>
      <c r="WLU99" s="167"/>
      <c r="WLV99" s="168"/>
      <c r="WLW99" s="167"/>
      <c r="WLX99" s="168"/>
      <c r="WLY99" s="167"/>
      <c r="WLZ99" s="168"/>
      <c r="WMA99" s="167"/>
      <c r="WMB99" s="168"/>
      <c r="WMC99" s="167"/>
      <c r="WMD99" s="168"/>
      <c r="WME99" s="167"/>
      <c r="WMF99" s="168"/>
      <c r="WMG99" s="167"/>
      <c r="WMH99" s="168"/>
      <c r="WMI99" s="167"/>
      <c r="WMJ99" s="168"/>
      <c r="WMK99" s="167"/>
      <c r="WML99" s="168"/>
      <c r="WMM99" s="167"/>
      <c r="WMN99" s="168"/>
      <c r="WMO99" s="167"/>
      <c r="WMP99" s="168"/>
      <c r="WMQ99" s="167"/>
      <c r="WMR99" s="168"/>
      <c r="WMS99" s="167"/>
      <c r="WMT99" s="168"/>
      <c r="WMU99" s="167"/>
      <c r="WMV99" s="168"/>
      <c r="WMW99" s="167"/>
      <c r="WMX99" s="168"/>
      <c r="WMY99" s="167"/>
      <c r="WMZ99" s="168"/>
      <c r="WNA99" s="167"/>
      <c r="WNB99" s="168"/>
      <c r="WNC99" s="167"/>
      <c r="WND99" s="168"/>
      <c r="WNE99" s="167"/>
      <c r="WNF99" s="168"/>
      <c r="WNG99" s="167"/>
      <c r="WNH99" s="168"/>
      <c r="WNI99" s="167"/>
      <c r="WNJ99" s="168"/>
      <c r="WNK99" s="167"/>
      <c r="WNL99" s="168"/>
      <c r="WNM99" s="167"/>
      <c r="WNN99" s="168"/>
      <c r="WNO99" s="167"/>
      <c r="WNP99" s="168"/>
      <c r="WNQ99" s="167"/>
      <c r="WNR99" s="168"/>
      <c r="WNS99" s="167"/>
      <c r="WNT99" s="168"/>
      <c r="WNU99" s="167"/>
      <c r="WNV99" s="168"/>
      <c r="WNW99" s="167"/>
      <c r="WNX99" s="168"/>
      <c r="WNY99" s="167"/>
      <c r="WNZ99" s="168"/>
      <c r="WOA99" s="167"/>
      <c r="WOB99" s="168"/>
      <c r="WOC99" s="167"/>
      <c r="WOD99" s="168"/>
      <c r="WOE99" s="167"/>
      <c r="WOF99" s="168"/>
      <c r="WOG99" s="167"/>
      <c r="WOH99" s="168"/>
      <c r="WOI99" s="167"/>
      <c r="WOJ99" s="168"/>
      <c r="WOK99" s="167"/>
      <c r="WOL99" s="168"/>
      <c r="WOM99" s="167"/>
      <c r="WON99" s="168"/>
      <c r="WOO99" s="167"/>
      <c r="WOP99" s="168"/>
      <c r="WOQ99" s="167"/>
      <c r="WOR99" s="168"/>
      <c r="WOS99" s="167"/>
      <c r="WOT99" s="168"/>
      <c r="WOU99" s="167"/>
      <c r="WOV99" s="168"/>
      <c r="WOW99" s="167"/>
      <c r="WOX99" s="168"/>
      <c r="WOY99" s="167"/>
      <c r="WOZ99" s="168"/>
      <c r="WPA99" s="167"/>
      <c r="WPB99" s="168"/>
      <c r="WPC99" s="167"/>
      <c r="WPD99" s="168"/>
      <c r="WPE99" s="167"/>
      <c r="WPF99" s="168"/>
      <c r="WPG99" s="167"/>
      <c r="WPH99" s="168"/>
      <c r="WPI99" s="167"/>
      <c r="WPJ99" s="168"/>
      <c r="WPK99" s="167"/>
      <c r="WPL99" s="168"/>
      <c r="WPM99" s="167"/>
      <c r="WPN99" s="168"/>
      <c r="WPO99" s="167"/>
      <c r="WPP99" s="168"/>
      <c r="WPQ99" s="167"/>
      <c r="WPR99" s="168"/>
      <c r="WPS99" s="167"/>
      <c r="WPT99" s="168"/>
      <c r="WPU99" s="167"/>
      <c r="WPV99" s="168"/>
      <c r="WPW99" s="167"/>
      <c r="WPX99" s="168"/>
      <c r="WPY99" s="167"/>
      <c r="WPZ99" s="168"/>
      <c r="WQA99" s="167"/>
      <c r="WQB99" s="168"/>
      <c r="WQC99" s="167"/>
      <c r="WQD99" s="168"/>
      <c r="WQE99" s="167"/>
      <c r="WQF99" s="168"/>
      <c r="WQG99" s="167"/>
      <c r="WQH99" s="168"/>
      <c r="WQI99" s="167"/>
      <c r="WQJ99" s="168"/>
      <c r="WQK99" s="167"/>
      <c r="WQL99" s="168"/>
      <c r="WQM99" s="167"/>
      <c r="WQN99" s="168"/>
      <c r="WQO99" s="167"/>
      <c r="WQP99" s="168"/>
      <c r="WQQ99" s="167"/>
      <c r="WQR99" s="168"/>
      <c r="WQS99" s="167"/>
      <c r="WQT99" s="168"/>
      <c r="WQU99" s="167"/>
      <c r="WQV99" s="168"/>
      <c r="WQW99" s="167"/>
      <c r="WQX99" s="168"/>
      <c r="WQY99" s="167"/>
      <c r="WQZ99" s="168"/>
      <c r="WRA99" s="167"/>
      <c r="WRB99" s="168"/>
      <c r="WRC99" s="167"/>
      <c r="WRD99" s="168"/>
      <c r="WRE99" s="167"/>
      <c r="WRF99" s="168"/>
      <c r="WRG99" s="167"/>
      <c r="WRH99" s="168"/>
      <c r="WRI99" s="167"/>
      <c r="WRJ99" s="168"/>
      <c r="WRK99" s="167"/>
      <c r="WRL99" s="168"/>
      <c r="WRM99" s="167"/>
      <c r="WRN99" s="168"/>
      <c r="WRO99" s="167"/>
      <c r="WRP99" s="168"/>
      <c r="WRQ99" s="167"/>
      <c r="WRR99" s="168"/>
      <c r="WRS99" s="167"/>
      <c r="WRT99" s="168"/>
      <c r="WRU99" s="167"/>
      <c r="WRV99" s="168"/>
      <c r="WRW99" s="167"/>
      <c r="WRX99" s="168"/>
      <c r="WRY99" s="167"/>
      <c r="WRZ99" s="168"/>
      <c r="WSA99" s="167"/>
      <c r="WSB99" s="168"/>
      <c r="WSC99" s="167"/>
      <c r="WSD99" s="168"/>
      <c r="WSE99" s="167"/>
      <c r="WSF99" s="168"/>
      <c r="WSG99" s="167"/>
      <c r="WSH99" s="168"/>
      <c r="WSI99" s="167"/>
      <c r="WSJ99" s="168"/>
      <c r="WSK99" s="167"/>
      <c r="WSL99" s="168"/>
      <c r="WSM99" s="167"/>
      <c r="WSN99" s="168"/>
      <c r="WSO99" s="167"/>
      <c r="WSP99" s="168"/>
      <c r="WSQ99" s="167"/>
      <c r="WSR99" s="168"/>
      <c r="WSS99" s="167"/>
      <c r="WST99" s="168"/>
      <c r="WSU99" s="167"/>
      <c r="WSV99" s="168"/>
      <c r="WSW99" s="167"/>
      <c r="WSX99" s="168"/>
      <c r="WSY99" s="167"/>
      <c r="WSZ99" s="168"/>
      <c r="WTA99" s="167"/>
      <c r="WTB99" s="168"/>
      <c r="WTC99" s="167"/>
      <c r="WTD99" s="168"/>
      <c r="WTE99" s="167"/>
      <c r="WTF99" s="168"/>
      <c r="WTG99" s="167"/>
      <c r="WTH99" s="168"/>
      <c r="WTI99" s="167"/>
      <c r="WTJ99" s="168"/>
      <c r="WTK99" s="167"/>
      <c r="WTL99" s="168"/>
      <c r="WTM99" s="167"/>
      <c r="WTN99" s="168"/>
      <c r="WTO99" s="167"/>
      <c r="WTP99" s="168"/>
      <c r="WTQ99" s="167"/>
      <c r="WTR99" s="168"/>
      <c r="WTS99" s="167"/>
      <c r="WTT99" s="168"/>
      <c r="WTU99" s="167"/>
      <c r="WTV99" s="168"/>
      <c r="WTW99" s="167"/>
      <c r="WTX99" s="168"/>
      <c r="WTY99" s="167"/>
      <c r="WTZ99" s="168"/>
      <c r="WUA99" s="167"/>
      <c r="WUB99" s="168"/>
      <c r="WUC99" s="167"/>
      <c r="WUD99" s="168"/>
      <c r="WUE99" s="167"/>
      <c r="WUF99" s="168"/>
      <c r="WUG99" s="167"/>
      <c r="WUH99" s="168"/>
      <c r="WUI99" s="167"/>
      <c r="WUJ99" s="168"/>
      <c r="WUK99" s="167"/>
      <c r="WUL99" s="168"/>
      <c r="WUM99" s="167"/>
      <c r="WUN99" s="168"/>
      <c r="WUO99" s="167"/>
      <c r="WUP99" s="168"/>
      <c r="WUQ99" s="167"/>
      <c r="WUR99" s="168"/>
      <c r="WUS99" s="167"/>
      <c r="WUT99" s="168"/>
      <c r="WUU99" s="167"/>
      <c r="WUV99" s="168"/>
      <c r="WUW99" s="167"/>
      <c r="WUX99" s="168"/>
      <c r="WUY99" s="167"/>
      <c r="WUZ99" s="168"/>
      <c r="WVA99" s="167"/>
      <c r="WVB99" s="168"/>
      <c r="WVC99" s="167"/>
      <c r="WVD99" s="168"/>
      <c r="WVE99" s="167"/>
      <c r="WVF99" s="168"/>
      <c r="WVG99" s="167"/>
      <c r="WVH99" s="168"/>
      <c r="WVI99" s="167"/>
      <c r="WVJ99" s="168"/>
      <c r="WVK99" s="167"/>
      <c r="WVL99" s="168"/>
      <c r="WVM99" s="167"/>
      <c r="WVN99" s="168"/>
      <c r="WVO99" s="167"/>
      <c r="WVP99" s="168"/>
      <c r="WVQ99" s="167"/>
      <c r="WVR99" s="168"/>
      <c r="WVS99" s="167"/>
      <c r="WVT99" s="168"/>
      <c r="WVU99" s="167"/>
      <c r="WVV99" s="168"/>
      <c r="WVW99" s="167"/>
      <c r="WVX99" s="168"/>
      <c r="WVY99" s="167"/>
      <c r="WVZ99" s="168"/>
      <c r="WWA99" s="167"/>
      <c r="WWB99" s="168"/>
      <c r="WWC99" s="167"/>
      <c r="WWD99" s="168"/>
      <c r="WWE99" s="167"/>
      <c r="WWF99" s="168"/>
      <c r="WWG99" s="167"/>
      <c r="WWH99" s="168"/>
      <c r="WWI99" s="167"/>
      <c r="WWJ99" s="168"/>
      <c r="WWK99" s="167"/>
      <c r="WWL99" s="168"/>
      <c r="WWM99" s="167"/>
      <c r="WWN99" s="168"/>
      <c r="WWO99" s="167"/>
      <c r="WWP99" s="168"/>
      <c r="WWQ99" s="167"/>
      <c r="WWR99" s="168"/>
      <c r="WWS99" s="167"/>
      <c r="WWT99" s="168"/>
      <c r="WWU99" s="167"/>
      <c r="WWV99" s="168"/>
      <c r="WWW99" s="167"/>
      <c r="WWX99" s="168"/>
      <c r="WWY99" s="167"/>
      <c r="WWZ99" s="168"/>
      <c r="WXA99" s="167"/>
      <c r="WXB99" s="168"/>
      <c r="WXC99" s="167"/>
      <c r="WXD99" s="168"/>
      <c r="WXE99" s="167"/>
      <c r="WXF99" s="168"/>
      <c r="WXG99" s="167"/>
      <c r="WXH99" s="168"/>
      <c r="WXI99" s="167"/>
      <c r="WXJ99" s="168"/>
      <c r="WXK99" s="167"/>
      <c r="WXL99" s="168"/>
      <c r="WXM99" s="167"/>
      <c r="WXN99" s="168"/>
      <c r="WXO99" s="167"/>
      <c r="WXP99" s="168"/>
      <c r="WXQ99" s="167"/>
      <c r="WXR99" s="168"/>
      <c r="WXS99" s="167"/>
      <c r="WXT99" s="168"/>
      <c r="WXU99" s="167"/>
      <c r="WXV99" s="168"/>
      <c r="WXW99" s="167"/>
      <c r="WXX99" s="168"/>
      <c r="WXY99" s="167"/>
      <c r="WXZ99" s="168"/>
      <c r="WYA99" s="167"/>
      <c r="WYB99" s="168"/>
      <c r="WYC99" s="167"/>
      <c r="WYD99" s="168"/>
      <c r="WYE99" s="167"/>
      <c r="WYF99" s="168"/>
      <c r="WYG99" s="167"/>
      <c r="WYH99" s="168"/>
      <c r="WYI99" s="167"/>
      <c r="WYJ99" s="168"/>
      <c r="WYK99" s="167"/>
      <c r="WYL99" s="168"/>
      <c r="WYM99" s="167"/>
      <c r="WYN99" s="168"/>
      <c r="WYO99" s="167"/>
      <c r="WYP99" s="168"/>
      <c r="WYQ99" s="167"/>
      <c r="WYR99" s="168"/>
      <c r="WYS99" s="167"/>
      <c r="WYT99" s="168"/>
      <c r="WYU99" s="167"/>
      <c r="WYV99" s="168"/>
      <c r="WYW99" s="167"/>
      <c r="WYX99" s="168"/>
      <c r="WYY99" s="167"/>
      <c r="WYZ99" s="168"/>
      <c r="WZA99" s="167"/>
      <c r="WZB99" s="168"/>
      <c r="WZC99" s="167"/>
      <c r="WZD99" s="168"/>
      <c r="WZE99" s="167"/>
      <c r="WZF99" s="168"/>
      <c r="WZG99" s="167"/>
      <c r="WZH99" s="168"/>
      <c r="WZI99" s="167"/>
      <c r="WZJ99" s="168"/>
      <c r="WZK99" s="167"/>
      <c r="WZL99" s="168"/>
      <c r="WZM99" s="167"/>
      <c r="WZN99" s="168"/>
      <c r="WZO99" s="167"/>
      <c r="WZP99" s="168"/>
      <c r="WZQ99" s="167"/>
      <c r="WZR99" s="168"/>
      <c r="WZS99" s="167"/>
      <c r="WZT99" s="168"/>
      <c r="WZU99" s="167"/>
      <c r="WZV99" s="168"/>
      <c r="WZW99" s="167"/>
      <c r="WZX99" s="168"/>
      <c r="WZY99" s="167"/>
      <c r="WZZ99" s="168"/>
      <c r="XAA99" s="167"/>
      <c r="XAB99" s="168"/>
      <c r="XAC99" s="167"/>
      <c r="XAD99" s="168"/>
      <c r="XAE99" s="167"/>
      <c r="XAF99" s="168"/>
      <c r="XAG99" s="167"/>
      <c r="XAH99" s="168"/>
      <c r="XAI99" s="167"/>
      <c r="XAJ99" s="168"/>
      <c r="XAK99" s="167"/>
      <c r="XAL99" s="168"/>
      <c r="XAM99" s="167"/>
      <c r="XAN99" s="168"/>
      <c r="XAO99" s="167"/>
      <c r="XAP99" s="168"/>
      <c r="XAQ99" s="167"/>
      <c r="XAR99" s="168"/>
      <c r="XAS99" s="167"/>
      <c r="XAT99" s="168"/>
      <c r="XAU99" s="167"/>
      <c r="XAV99" s="168"/>
      <c r="XAW99" s="167"/>
      <c r="XAX99" s="168"/>
      <c r="XAY99" s="167"/>
      <c r="XAZ99" s="168"/>
      <c r="XBA99" s="167"/>
      <c r="XBB99" s="168"/>
      <c r="XBC99" s="167"/>
      <c r="XBD99" s="168"/>
      <c r="XBE99" s="167"/>
      <c r="XBF99" s="168"/>
      <c r="XBG99" s="167"/>
      <c r="XBH99" s="168"/>
      <c r="XBI99" s="167"/>
      <c r="XBJ99" s="168"/>
      <c r="XBK99" s="167"/>
      <c r="XBL99" s="168"/>
      <c r="XBM99" s="167"/>
      <c r="XBN99" s="168"/>
      <c r="XBO99" s="167"/>
      <c r="XBP99" s="168"/>
      <c r="XBQ99" s="167"/>
      <c r="XBR99" s="168"/>
      <c r="XBS99" s="167"/>
      <c r="XBT99" s="168"/>
      <c r="XBU99" s="167"/>
      <c r="XBV99" s="168"/>
      <c r="XBW99" s="167"/>
      <c r="XBX99" s="168"/>
      <c r="XBY99" s="167"/>
      <c r="XBZ99" s="168"/>
      <c r="XCA99" s="167"/>
      <c r="XCB99" s="168"/>
      <c r="XCC99" s="167"/>
      <c r="XCD99" s="168"/>
      <c r="XCE99" s="167"/>
      <c r="XCF99" s="168"/>
      <c r="XCG99" s="167"/>
      <c r="XCH99" s="168"/>
      <c r="XCI99" s="167"/>
      <c r="XCJ99" s="168"/>
      <c r="XCK99" s="167"/>
      <c r="XCL99" s="168"/>
      <c r="XCM99" s="167"/>
      <c r="XCN99" s="168"/>
      <c r="XCO99" s="167"/>
      <c r="XCP99" s="168"/>
      <c r="XCQ99" s="167"/>
      <c r="XCR99" s="168"/>
      <c r="XCS99" s="167"/>
      <c r="XCT99" s="168"/>
      <c r="XCU99" s="167"/>
      <c r="XCV99" s="168"/>
      <c r="XCW99" s="167"/>
      <c r="XCX99" s="168"/>
      <c r="XCY99" s="167"/>
      <c r="XCZ99" s="168"/>
      <c r="XDA99" s="167"/>
      <c r="XDB99" s="168"/>
      <c r="XDC99" s="167"/>
      <c r="XDD99" s="168"/>
      <c r="XDE99" s="167"/>
      <c r="XDF99" s="168"/>
      <c r="XDG99" s="167"/>
      <c r="XDH99" s="168"/>
      <c r="XDI99" s="167"/>
      <c r="XDJ99" s="168"/>
      <c r="XDK99" s="167"/>
      <c r="XDL99" s="168"/>
      <c r="XDM99" s="167"/>
      <c r="XDN99" s="168"/>
      <c r="XDO99" s="167"/>
      <c r="XDP99" s="168"/>
      <c r="XDQ99" s="167"/>
      <c r="XDR99" s="168"/>
      <c r="XDS99" s="167"/>
      <c r="XDT99" s="168"/>
      <c r="XDU99" s="167"/>
      <c r="XDV99" s="168"/>
      <c r="XDW99" s="167"/>
      <c r="XDX99" s="168"/>
      <c r="XDY99" s="167"/>
      <c r="XDZ99" s="168"/>
      <c r="XEA99" s="167"/>
      <c r="XEB99" s="168"/>
      <c r="XEC99" s="167"/>
      <c r="XED99" s="168"/>
      <c r="XEE99" s="167"/>
      <c r="XEF99" s="168"/>
      <c r="XEG99" s="167"/>
      <c r="XEH99" s="168"/>
      <c r="XEI99" s="167"/>
      <c r="XEJ99" s="168"/>
      <c r="XEK99" s="167"/>
      <c r="XEL99" s="168"/>
      <c r="XEM99" s="167"/>
      <c r="XEN99" s="168"/>
      <c r="XEO99" s="167"/>
      <c r="XEP99" s="168"/>
      <c r="XEQ99" s="167"/>
      <c r="XER99" s="168"/>
      <c r="XES99" s="167"/>
      <c r="XET99" s="168"/>
      <c r="XEU99" s="167"/>
      <c r="XEV99" s="168"/>
      <c r="XEW99" s="167"/>
      <c r="XEX99" s="168"/>
      <c r="XEY99" s="167"/>
      <c r="XEZ99" s="168"/>
      <c r="XFA99" s="167"/>
      <c r="XFB99" s="168"/>
      <c r="XFC99" s="167"/>
      <c r="XFD99" s="168"/>
    </row>
    <row r="100" spans="1:16384" s="105" customFormat="1" ht="95.15" customHeight="1">
      <c r="A100"/>
      <c r="B100"/>
      <c r="C100"/>
      <c r="D100"/>
      <c r="E100" s="107"/>
      <c r="F100"/>
      <c r="G100" s="107"/>
      <c r="H100" s="107"/>
      <c r="I100" s="108"/>
      <c r="J100" s="108"/>
      <c r="K100" s="107"/>
      <c r="L100" s="107"/>
      <c r="M100" s="107"/>
      <c r="N100" s="107"/>
      <c r="O100" s="107"/>
      <c r="P100" s="107"/>
      <c r="Q100" s="107"/>
      <c r="R100" s="107"/>
      <c r="S100" s="107"/>
      <c r="T100" s="107"/>
      <c r="U100" s="107"/>
      <c r="V100" s="107"/>
      <c r="W100" s="107"/>
      <c r="X100" s="107"/>
      <c r="Y100" s="107"/>
      <c r="Z100" s="107"/>
      <c r="AA100" s="109"/>
      <c r="AB100"/>
    </row>
    <row r="101" spans="1:16384" s="105" customFormat="1" ht="95.15" customHeight="1">
      <c r="A101"/>
      <c r="B101"/>
      <c r="C101"/>
      <c r="D101"/>
      <c r="E101" s="107"/>
      <c r="F101"/>
      <c r="G101" s="107"/>
      <c r="H101" s="107"/>
      <c r="I101" s="108"/>
      <c r="J101" s="108"/>
      <c r="K101" s="107"/>
      <c r="L101" s="107"/>
      <c r="M101" s="107"/>
      <c r="N101" s="107"/>
      <c r="O101" s="107"/>
      <c r="P101" s="107"/>
      <c r="Q101" s="107"/>
      <c r="R101" s="107"/>
      <c r="S101" s="107"/>
      <c r="T101" s="107"/>
      <c r="U101" s="107"/>
      <c r="V101" s="107"/>
      <c r="W101" s="107"/>
      <c r="X101" s="107"/>
      <c r="Y101" s="107"/>
      <c r="Z101" s="107"/>
      <c r="AA101" s="109"/>
      <c r="AB101"/>
    </row>
    <row r="102" spans="1:16384" s="105" customFormat="1" ht="95.15" customHeight="1">
      <c r="A102"/>
      <c r="B102"/>
      <c r="C102"/>
      <c r="D102"/>
      <c r="E102" s="107"/>
      <c r="F102"/>
      <c r="G102" s="107"/>
      <c r="H102" s="107"/>
      <c r="I102" s="108"/>
      <c r="J102" s="108"/>
      <c r="K102" s="107"/>
      <c r="L102" s="107"/>
      <c r="M102" s="107"/>
      <c r="N102" s="107"/>
      <c r="O102" s="107"/>
      <c r="P102" s="107"/>
      <c r="Q102" s="107"/>
      <c r="R102" s="107"/>
      <c r="S102" s="107"/>
      <c r="T102" s="107"/>
      <c r="U102" s="107"/>
      <c r="V102" s="107"/>
      <c r="W102" s="107"/>
      <c r="X102" s="107"/>
      <c r="Y102" s="107"/>
      <c r="Z102" s="107"/>
      <c r="AA102" s="109"/>
      <c r="AB102"/>
    </row>
    <row r="103" spans="1:16384" s="105" customFormat="1" ht="95.15" customHeight="1">
      <c r="A103"/>
      <c r="B103"/>
      <c r="C103"/>
      <c r="D103"/>
      <c r="E103" s="107"/>
      <c r="F103"/>
      <c r="G103" s="107"/>
      <c r="H103" s="107"/>
      <c r="I103" s="108"/>
      <c r="J103" s="108"/>
      <c r="K103" s="107"/>
      <c r="L103" s="107"/>
      <c r="M103" s="107"/>
      <c r="N103" s="107"/>
      <c r="O103" s="107"/>
      <c r="P103" s="107"/>
      <c r="Q103" s="107"/>
      <c r="R103" s="107"/>
      <c r="S103" s="107"/>
      <c r="T103" s="107"/>
      <c r="U103" s="107"/>
      <c r="V103" s="107"/>
      <c r="W103" s="107"/>
      <c r="X103" s="107"/>
      <c r="Y103" s="107"/>
      <c r="Z103" s="107"/>
      <c r="AA103" s="109"/>
      <c r="AB103"/>
    </row>
    <row r="104" spans="1:16384" s="105" customFormat="1" ht="95.15" customHeight="1">
      <c r="A104"/>
      <c r="B104"/>
      <c r="C104"/>
      <c r="D104"/>
      <c r="E104" s="107"/>
      <c r="F104"/>
      <c r="G104" s="107"/>
      <c r="H104" s="107"/>
      <c r="I104" s="108"/>
      <c r="J104" s="108"/>
      <c r="K104" s="107"/>
      <c r="L104" s="107"/>
      <c r="M104" s="107"/>
      <c r="N104" s="107"/>
      <c r="O104" s="107"/>
      <c r="P104" s="107"/>
      <c r="Q104" s="107"/>
      <c r="R104" s="107"/>
      <c r="S104" s="107"/>
      <c r="T104" s="107"/>
      <c r="U104" s="107"/>
      <c r="V104" s="107"/>
      <c r="W104" s="107"/>
      <c r="X104" s="107"/>
      <c r="Y104" s="107"/>
      <c r="Z104" s="107"/>
      <c r="AA104" s="109"/>
      <c r="AB104"/>
    </row>
    <row r="105" spans="1:16384" s="105" customFormat="1" ht="95.15" customHeight="1">
      <c r="A105"/>
      <c r="B105"/>
      <c r="C105"/>
      <c r="D105"/>
      <c r="E105" s="107"/>
      <c r="F105"/>
      <c r="G105" s="107"/>
      <c r="H105" s="107"/>
      <c r="I105" s="108"/>
      <c r="J105" s="108"/>
      <c r="K105" s="107"/>
      <c r="L105" s="107"/>
      <c r="M105" s="107"/>
      <c r="N105" s="107"/>
      <c r="O105" s="107"/>
      <c r="P105" s="107"/>
      <c r="Q105" s="107"/>
      <c r="R105" s="107"/>
      <c r="S105" s="107"/>
      <c r="T105" s="107"/>
      <c r="U105" s="107"/>
      <c r="V105" s="107"/>
      <c r="W105" s="107"/>
      <c r="X105" s="107"/>
      <c r="Y105" s="107"/>
      <c r="Z105" s="107"/>
      <c r="AA105" s="109"/>
      <c r="AB105"/>
    </row>
    <row r="106" spans="1:16384" s="105" customFormat="1" ht="95.15" customHeight="1">
      <c r="A106"/>
      <c r="B106"/>
      <c r="C106"/>
      <c r="D106"/>
      <c r="E106" s="107"/>
      <c r="F106"/>
      <c r="G106" s="107"/>
      <c r="H106" s="107"/>
      <c r="I106" s="108"/>
      <c r="J106" s="108"/>
      <c r="K106" s="107"/>
      <c r="L106" s="107"/>
      <c r="M106" s="107"/>
      <c r="N106" s="107"/>
      <c r="O106" s="107"/>
      <c r="P106" s="107"/>
      <c r="Q106" s="107"/>
      <c r="R106" s="107"/>
      <c r="S106" s="107"/>
      <c r="T106" s="107"/>
      <c r="U106" s="107"/>
      <c r="V106" s="107"/>
      <c r="W106" s="107"/>
      <c r="X106" s="107"/>
      <c r="Y106" s="107"/>
      <c r="Z106" s="107"/>
      <c r="AA106" s="109"/>
      <c r="AB106"/>
    </row>
    <row r="107" spans="1:16384" s="105" customFormat="1" ht="95.15" customHeight="1">
      <c r="A107"/>
      <c r="B107"/>
      <c r="C107"/>
      <c r="D107"/>
      <c r="E107" s="107"/>
      <c r="F107"/>
      <c r="G107" s="107"/>
      <c r="H107" s="107"/>
      <c r="I107" s="108"/>
      <c r="J107" s="108"/>
      <c r="K107" s="107"/>
      <c r="L107" s="107"/>
      <c r="M107" s="107"/>
      <c r="N107" s="107"/>
      <c r="O107" s="107"/>
      <c r="P107" s="107"/>
      <c r="Q107" s="107"/>
      <c r="R107" s="107"/>
      <c r="S107" s="107"/>
      <c r="T107" s="107"/>
      <c r="U107" s="107"/>
      <c r="V107" s="107"/>
      <c r="W107" s="107"/>
      <c r="X107" s="107"/>
      <c r="Y107" s="107"/>
      <c r="Z107" s="107"/>
      <c r="AA107" s="109"/>
      <c r="AB107"/>
    </row>
    <row r="108" spans="1:16384" s="105" customFormat="1" ht="95.15" customHeight="1">
      <c r="A108"/>
      <c r="B108"/>
      <c r="C108"/>
      <c r="D108"/>
      <c r="E108" s="107"/>
      <c r="F108"/>
      <c r="G108" s="107"/>
      <c r="H108" s="107"/>
      <c r="I108" s="108"/>
      <c r="J108" s="108"/>
      <c r="K108" s="107"/>
      <c r="L108" s="107"/>
      <c r="M108" s="107"/>
      <c r="N108" s="107"/>
      <c r="O108" s="107"/>
      <c r="P108" s="107"/>
      <c r="Q108" s="107"/>
      <c r="R108" s="107"/>
      <c r="S108" s="107"/>
      <c r="T108" s="107"/>
      <c r="U108" s="107"/>
      <c r="V108" s="107"/>
      <c r="W108" s="107"/>
      <c r="X108" s="107"/>
      <c r="Y108" s="107"/>
      <c r="Z108" s="107"/>
      <c r="AA108" s="109"/>
      <c r="AB108"/>
    </row>
    <row r="109" spans="1:16384" s="105" customFormat="1" ht="95.15" customHeight="1">
      <c r="A109"/>
      <c r="B109"/>
      <c r="C109"/>
      <c r="D109"/>
      <c r="E109" s="107"/>
      <c r="F109"/>
      <c r="G109" s="107"/>
      <c r="H109" s="107"/>
      <c r="I109" s="108"/>
      <c r="J109" s="108"/>
      <c r="K109" s="107"/>
      <c r="L109" s="107"/>
      <c r="M109" s="107"/>
      <c r="N109" s="107"/>
      <c r="O109" s="107"/>
      <c r="P109" s="107"/>
      <c r="Q109" s="107"/>
      <c r="R109" s="107"/>
      <c r="S109" s="107"/>
      <c r="T109" s="107"/>
      <c r="U109" s="107"/>
      <c r="V109" s="107"/>
      <c r="W109" s="107"/>
      <c r="X109" s="107"/>
      <c r="Y109" s="107"/>
      <c r="Z109" s="107"/>
      <c r="AA109" s="109"/>
      <c r="AB109"/>
    </row>
    <row r="110" spans="1:16384" s="105" customFormat="1" ht="95.15" customHeight="1">
      <c r="A110"/>
      <c r="B110"/>
      <c r="C110"/>
      <c r="D110"/>
      <c r="E110" s="107"/>
      <c r="F110"/>
      <c r="G110" s="107"/>
      <c r="H110" s="107"/>
      <c r="I110" s="108"/>
      <c r="J110" s="108"/>
      <c r="K110" s="107"/>
      <c r="L110" s="107"/>
      <c r="M110" s="107"/>
      <c r="N110" s="107"/>
      <c r="O110" s="107"/>
      <c r="P110" s="107"/>
      <c r="Q110" s="107"/>
      <c r="R110" s="107"/>
      <c r="S110" s="107"/>
      <c r="T110" s="107"/>
      <c r="U110" s="107"/>
      <c r="V110" s="107"/>
      <c r="W110" s="107"/>
      <c r="X110" s="107"/>
      <c r="Y110" s="107"/>
      <c r="Z110" s="107"/>
      <c r="AA110" s="109"/>
      <c r="AB110"/>
    </row>
    <row r="111" spans="1:16384" s="105" customFormat="1" ht="95.15" customHeight="1">
      <c r="A111"/>
      <c r="B111"/>
      <c r="C111"/>
      <c r="D111"/>
      <c r="E111" s="107"/>
      <c r="F111"/>
      <c r="G111" s="107"/>
      <c r="H111" s="107"/>
      <c r="I111" s="108"/>
      <c r="J111" s="108"/>
      <c r="K111" s="107"/>
      <c r="L111" s="107"/>
      <c r="M111" s="107"/>
      <c r="N111" s="107"/>
      <c r="O111" s="107"/>
      <c r="P111" s="107"/>
      <c r="Q111" s="107"/>
      <c r="R111" s="107"/>
      <c r="S111" s="107"/>
      <c r="T111" s="107"/>
      <c r="U111" s="107"/>
      <c r="V111" s="107"/>
      <c r="W111" s="107"/>
      <c r="X111" s="107"/>
      <c r="Y111" s="107"/>
      <c r="Z111" s="107"/>
      <c r="AA111" s="109"/>
      <c r="AB111"/>
    </row>
    <row r="112" spans="1:16384" s="105" customFormat="1" ht="95.15" customHeight="1">
      <c r="A112"/>
      <c r="B112"/>
      <c r="C112"/>
      <c r="D112"/>
      <c r="E112" s="107"/>
      <c r="F112"/>
      <c r="G112" s="107"/>
      <c r="H112" s="107"/>
      <c r="I112" s="108"/>
      <c r="J112" s="108"/>
      <c r="K112" s="107"/>
      <c r="L112" s="107"/>
      <c r="M112" s="107"/>
      <c r="N112" s="107"/>
      <c r="O112" s="107"/>
      <c r="P112" s="107"/>
      <c r="Q112" s="107"/>
      <c r="R112" s="107"/>
      <c r="S112" s="107"/>
      <c r="T112" s="107"/>
      <c r="U112" s="107"/>
      <c r="V112" s="107"/>
      <c r="W112" s="107"/>
      <c r="X112" s="107"/>
      <c r="Y112" s="107"/>
      <c r="Z112" s="107"/>
      <c r="AA112" s="109"/>
      <c r="AB112"/>
    </row>
    <row r="113" spans="1:28" s="105" customFormat="1" ht="95.15" customHeight="1">
      <c r="A113"/>
      <c r="B113"/>
      <c r="C113"/>
      <c r="D113"/>
      <c r="E113" s="107"/>
      <c r="F113"/>
      <c r="G113" s="107"/>
      <c r="H113" s="107"/>
      <c r="I113" s="108"/>
      <c r="J113" s="108"/>
      <c r="K113" s="107"/>
      <c r="L113" s="107"/>
      <c r="M113" s="107"/>
      <c r="N113" s="107"/>
      <c r="O113" s="107"/>
      <c r="P113" s="107"/>
      <c r="Q113" s="107"/>
      <c r="R113" s="107"/>
      <c r="S113" s="107"/>
      <c r="T113" s="107"/>
      <c r="U113" s="107"/>
      <c r="V113" s="107"/>
      <c r="W113" s="107"/>
      <c r="X113" s="107"/>
      <c r="Y113" s="107"/>
      <c r="Z113" s="107"/>
      <c r="AA113" s="109"/>
      <c r="AB113"/>
    </row>
    <row r="114" spans="1:28" s="100" customFormat="1" ht="27" customHeight="1">
      <c r="A114"/>
      <c r="B114"/>
      <c r="C114"/>
      <c r="D114"/>
      <c r="E114" s="107"/>
      <c r="F114"/>
      <c r="G114" s="107"/>
      <c r="H114" s="107"/>
      <c r="I114" s="108"/>
      <c r="J114" s="108"/>
      <c r="K114" s="107"/>
      <c r="L114" s="107"/>
      <c r="M114" s="107"/>
      <c r="N114" s="107"/>
      <c r="O114" s="107"/>
      <c r="P114" s="107"/>
      <c r="Q114" s="107"/>
      <c r="R114" s="107"/>
      <c r="S114" s="107"/>
      <c r="T114" s="107"/>
      <c r="U114" s="107"/>
      <c r="V114" s="107"/>
      <c r="W114" s="107"/>
      <c r="X114" s="107"/>
      <c r="Y114" s="107"/>
      <c r="Z114" s="107"/>
      <c r="AA114" s="109"/>
      <c r="AB114"/>
    </row>
  </sheetData>
  <autoFilter ref="A18:XFD114" xr:uid="{00000000-0009-0000-0000-000005000000}"/>
  <mergeCells count="35">
    <mergeCell ref="A1:AB1"/>
    <mergeCell ref="A2:AB2"/>
    <mergeCell ref="A3:AB3"/>
    <mergeCell ref="C5:H5"/>
    <mergeCell ref="J5:M5"/>
    <mergeCell ref="N5:T5"/>
    <mergeCell ref="U5:AA5"/>
    <mergeCell ref="C7:H7"/>
    <mergeCell ref="J7:M7"/>
    <mergeCell ref="N7:T7"/>
    <mergeCell ref="U7:AA7"/>
    <mergeCell ref="C9:H9"/>
    <mergeCell ref="J9:M9"/>
    <mergeCell ref="N9:T9"/>
    <mergeCell ref="U9:AA9"/>
    <mergeCell ref="A11:M11"/>
    <mergeCell ref="A12:M12"/>
    <mergeCell ref="A13:M13"/>
    <mergeCell ref="A14:M14"/>
    <mergeCell ref="A15:M15"/>
    <mergeCell ref="A35:Z35"/>
    <mergeCell ref="A17:A18"/>
    <mergeCell ref="B17:B18"/>
    <mergeCell ref="C17:C18"/>
    <mergeCell ref="D17:D18"/>
    <mergeCell ref="E17:E18"/>
    <mergeCell ref="F17:F18"/>
    <mergeCell ref="G17:G18"/>
    <mergeCell ref="T17:T18"/>
    <mergeCell ref="AA17:AA18"/>
    <mergeCell ref="AB17:AB18"/>
    <mergeCell ref="H17:S17"/>
    <mergeCell ref="U17:V17"/>
    <mergeCell ref="W17:X17"/>
    <mergeCell ref="Y17:Z17"/>
  </mergeCells>
  <conditionalFormatting sqref="B19:B34">
    <cfRule type="duplicateValues" dxfId="2" priority="37"/>
  </conditionalFormatting>
  <conditionalFormatting sqref="H19:L34 N19:S34">
    <cfRule type="expression" dxfId="1" priority="13">
      <formula>$F19&gt;=$E19</formula>
    </cfRule>
  </conditionalFormatting>
  <conditionalFormatting sqref="N61">
    <cfRule type="expression" dxfId="0" priority="31">
      <formula>$F19&gt;=$E19</formula>
    </cfRule>
  </conditionalFormatting>
  <pageMargins left="0.70866141732283505" right="0.70866141732283505" top="0.74803149606299202" bottom="0.74803149606299202" header="0.31496062992126" footer="0.31496062992126"/>
  <pageSetup scale="32"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21"/>
  <sheetViews>
    <sheetView topLeftCell="A2" zoomScale="80" zoomScaleNormal="80" workbookViewId="0">
      <selection activeCell="P11" sqref="P11"/>
    </sheetView>
  </sheetViews>
  <sheetFormatPr defaultColWidth="9.1796875" defaultRowHeight="14.5"/>
  <cols>
    <col min="1" max="1" width="5.26953125" style="67" customWidth="1"/>
    <col min="2" max="2" width="26.54296875" style="67" customWidth="1"/>
    <col min="3" max="3" width="16.7265625" style="68" customWidth="1"/>
    <col min="4" max="4" width="22.81640625" style="67" customWidth="1"/>
    <col min="5" max="5" width="26.54296875" style="67" customWidth="1"/>
    <col min="6" max="6" width="24.453125" style="69" customWidth="1"/>
    <col min="7" max="7" width="27.26953125" style="70" customWidth="1"/>
    <col min="8" max="8" width="27.7265625" style="70" customWidth="1"/>
    <col min="9" max="9" width="23.26953125" style="67" customWidth="1"/>
    <col min="10" max="10" width="30.1796875" style="67" customWidth="1"/>
    <col min="11" max="11" width="14.81640625" style="67" customWidth="1"/>
    <col min="12" max="12" width="22.1796875" style="67" customWidth="1"/>
    <col min="13" max="13" width="13" style="67" customWidth="1"/>
    <col min="14" max="14" width="15.81640625" style="67" customWidth="1"/>
    <col min="15" max="15" width="13" style="67" customWidth="1"/>
    <col min="16" max="16" width="18.54296875" style="67" customWidth="1"/>
    <col min="17" max="16384" width="9.1796875" style="67"/>
  </cols>
  <sheetData>
    <row r="1" spans="1:17" s="62" customFormat="1" ht="114" customHeight="1">
      <c r="A1" s="705" t="s">
        <v>65</v>
      </c>
      <c r="B1" s="705"/>
      <c r="C1" s="705"/>
      <c r="D1" s="705"/>
      <c r="E1" s="705"/>
      <c r="F1" s="705"/>
      <c r="G1" s="705"/>
      <c r="H1" s="705"/>
      <c r="I1" s="705"/>
      <c r="J1" s="705"/>
      <c r="K1" s="705"/>
      <c r="L1" s="705"/>
      <c r="M1" s="705"/>
      <c r="N1" s="705"/>
      <c r="O1" s="705"/>
      <c r="P1" s="705"/>
      <c r="Q1" s="98"/>
    </row>
    <row r="2" spans="1:17" s="62" customFormat="1" ht="36.75" customHeight="1">
      <c r="A2" s="705" t="s">
        <v>1225</v>
      </c>
      <c r="B2" s="705"/>
      <c r="C2" s="705"/>
      <c r="D2" s="705"/>
      <c r="E2" s="705"/>
      <c r="F2" s="705"/>
      <c r="G2" s="705"/>
      <c r="H2" s="705"/>
      <c r="I2" s="705"/>
      <c r="J2" s="705"/>
      <c r="K2" s="705"/>
      <c r="L2" s="705"/>
      <c r="M2" s="705"/>
      <c r="N2" s="705"/>
      <c r="O2" s="705"/>
      <c r="P2" s="705"/>
      <c r="Q2" s="99"/>
    </row>
    <row r="3" spans="1:17" s="62" customFormat="1" ht="36.75" customHeight="1">
      <c r="A3" s="707" t="s">
        <v>1226</v>
      </c>
      <c r="B3" s="707"/>
      <c r="C3" s="707"/>
      <c r="D3" s="707"/>
      <c r="E3" s="707"/>
      <c r="F3" s="707"/>
      <c r="G3" s="707"/>
      <c r="H3" s="707"/>
      <c r="I3" s="707"/>
      <c r="J3" s="707"/>
      <c r="K3" s="707"/>
      <c r="L3" s="707"/>
      <c r="M3" s="707"/>
      <c r="N3" s="707"/>
      <c r="O3" s="707"/>
      <c r="P3" s="707"/>
      <c r="Q3" s="98"/>
    </row>
    <row r="4" spans="1:17" s="63" customFormat="1" ht="17.25" customHeight="1">
      <c r="A4" s="72"/>
      <c r="B4" s="73"/>
      <c r="C4" s="73"/>
      <c r="D4" s="73"/>
      <c r="E4" s="73"/>
      <c r="F4" s="87"/>
      <c r="G4" s="73"/>
      <c r="H4" s="73"/>
      <c r="I4" s="73"/>
      <c r="J4" s="73"/>
      <c r="K4" s="73"/>
      <c r="L4" s="73"/>
      <c r="M4" s="73"/>
      <c r="N4" s="73"/>
      <c r="O4" s="73"/>
      <c r="P4" s="73"/>
    </row>
    <row r="5" spans="1:17" s="63" customFormat="1" ht="33" customHeight="1">
      <c r="A5" s="74"/>
      <c r="B5" s="75" t="s">
        <v>67</v>
      </c>
      <c r="C5" s="778" t="s">
        <v>101</v>
      </c>
      <c r="D5" s="778"/>
      <c r="E5" s="778"/>
      <c r="F5" s="87"/>
      <c r="G5" s="73"/>
      <c r="H5" s="73"/>
      <c r="I5" s="787" t="s">
        <v>71</v>
      </c>
      <c r="J5" s="788"/>
      <c r="K5" s="789">
        <v>46023</v>
      </c>
      <c r="L5" s="790"/>
      <c r="M5" s="790"/>
      <c r="N5" s="791"/>
      <c r="O5" s="73"/>
      <c r="P5" s="73"/>
    </row>
    <row r="6" spans="1:17" s="63" customFormat="1" ht="9" customHeight="1">
      <c r="A6" s="74"/>
      <c r="B6" s="75"/>
      <c r="C6" s="76"/>
      <c r="D6" s="77"/>
      <c r="E6" s="77"/>
      <c r="F6" s="87"/>
      <c r="G6" s="73"/>
      <c r="H6" s="73"/>
      <c r="I6" s="75"/>
      <c r="J6" s="75"/>
      <c r="K6" s="74"/>
      <c r="L6" s="74"/>
      <c r="M6" s="74"/>
      <c r="N6" s="73"/>
      <c r="O6" s="73"/>
      <c r="P6" s="73"/>
    </row>
    <row r="7" spans="1:17" s="63" customFormat="1" ht="39.75" customHeight="1">
      <c r="A7" s="74"/>
      <c r="B7" s="75" t="s">
        <v>809</v>
      </c>
      <c r="C7" s="778" t="s">
        <v>105</v>
      </c>
      <c r="D7" s="778"/>
      <c r="E7" s="778"/>
      <c r="F7" s="88"/>
      <c r="G7" s="88"/>
      <c r="H7" s="88"/>
      <c r="I7" s="779" t="s">
        <v>1227</v>
      </c>
      <c r="J7" s="780"/>
      <c r="K7" s="781">
        <f>BEMSdar!E11</f>
        <v>1437864.7725</v>
      </c>
      <c r="L7" s="782"/>
      <c r="M7" s="782"/>
      <c r="N7" s="783"/>
      <c r="O7" s="73"/>
      <c r="P7" s="73"/>
    </row>
    <row r="8" spans="1:17" s="63" customFormat="1" ht="9" customHeight="1">
      <c r="A8" s="74"/>
      <c r="B8" s="75"/>
      <c r="C8" s="76"/>
      <c r="D8" s="77"/>
      <c r="E8" s="77"/>
      <c r="F8" s="89"/>
      <c r="G8" s="90"/>
      <c r="H8" s="90"/>
      <c r="I8" s="75"/>
      <c r="J8" s="75"/>
      <c r="K8" s="74"/>
      <c r="L8" s="74"/>
      <c r="M8" s="74"/>
      <c r="N8" s="73"/>
      <c r="O8" s="73"/>
      <c r="P8" s="73"/>
    </row>
    <row r="9" spans="1:17" s="63" customFormat="1" ht="40.5" customHeight="1">
      <c r="A9" s="74"/>
      <c r="B9" s="75" t="s">
        <v>810</v>
      </c>
      <c r="C9" s="778" t="s">
        <v>108</v>
      </c>
      <c r="D9" s="778"/>
      <c r="E9" s="778"/>
      <c r="F9" s="88"/>
      <c r="G9" s="88"/>
      <c r="H9" s="88"/>
      <c r="I9" s="779" t="s">
        <v>77</v>
      </c>
      <c r="J9" s="780"/>
      <c r="K9" s="784">
        <f>BEMSdar!E13</f>
        <v>36868.327499999999</v>
      </c>
      <c r="L9" s="785"/>
      <c r="M9" s="785"/>
      <c r="N9" s="786"/>
      <c r="O9" s="73"/>
      <c r="P9" s="73"/>
    </row>
    <row r="10" spans="1:17" s="64" customFormat="1" ht="12.75" customHeight="1">
      <c r="A10" s="78"/>
      <c r="B10" s="78"/>
      <c r="C10" s="79"/>
      <c r="D10" s="80"/>
      <c r="E10" s="91"/>
      <c r="F10" s="87"/>
      <c r="G10" s="73"/>
      <c r="H10" s="73"/>
      <c r="I10" s="93"/>
      <c r="J10" s="78"/>
      <c r="K10" s="94"/>
      <c r="L10" s="95"/>
      <c r="M10" s="78"/>
      <c r="N10" s="73"/>
      <c r="O10" s="73"/>
      <c r="P10" s="73"/>
    </row>
    <row r="11" spans="1:17" s="63" customFormat="1" ht="15.5">
      <c r="A11" s="74" t="s">
        <v>112</v>
      </c>
      <c r="B11" s="74"/>
      <c r="C11" s="81"/>
      <c r="D11" s="74"/>
      <c r="E11" s="74"/>
      <c r="F11" s="87"/>
      <c r="G11" s="73"/>
      <c r="H11" s="73"/>
      <c r="I11" s="74"/>
      <c r="J11" s="74"/>
      <c r="K11" s="74"/>
      <c r="L11" s="74"/>
      <c r="M11" s="74"/>
      <c r="N11" s="73"/>
      <c r="O11" s="73"/>
      <c r="P11" s="73"/>
    </row>
    <row r="12" spans="1:17" s="63" customFormat="1" ht="15.5">
      <c r="A12" s="74" t="s">
        <v>113</v>
      </c>
      <c r="B12" s="74"/>
      <c r="C12" s="81"/>
      <c r="D12" s="74"/>
      <c r="E12" s="74"/>
      <c r="F12" s="89"/>
      <c r="G12" s="90"/>
      <c r="H12" s="90"/>
      <c r="I12" s="74"/>
      <c r="J12" s="74"/>
      <c r="K12" s="74"/>
      <c r="L12" s="74"/>
      <c r="M12" s="74"/>
      <c r="N12" s="73"/>
      <c r="O12" s="73"/>
      <c r="P12" s="73"/>
    </row>
    <row r="13" spans="1:17" s="63" customFormat="1" ht="15.5">
      <c r="A13" s="74" t="s">
        <v>1228</v>
      </c>
      <c r="B13" s="74"/>
      <c r="C13" s="81"/>
      <c r="D13" s="74"/>
      <c r="E13" s="74"/>
      <c r="F13" s="89"/>
      <c r="G13" s="90"/>
      <c r="H13" s="90"/>
      <c r="I13" s="74"/>
      <c r="J13" s="74"/>
      <c r="K13" s="74"/>
      <c r="L13" s="74"/>
      <c r="M13" s="74"/>
      <c r="N13" s="73"/>
      <c r="O13" s="73"/>
      <c r="P13" s="73"/>
    </row>
    <row r="14" spans="1:17" s="63" customFormat="1" ht="15.5">
      <c r="A14" s="74" t="s">
        <v>1229</v>
      </c>
      <c r="B14" s="74"/>
      <c r="C14" s="81"/>
      <c r="D14" s="74"/>
      <c r="E14" s="74"/>
      <c r="F14" s="89"/>
      <c r="G14" s="90"/>
      <c r="H14" s="90"/>
      <c r="I14" s="74"/>
      <c r="J14" s="74"/>
      <c r="K14" s="74"/>
      <c r="L14" s="74"/>
      <c r="M14" s="74"/>
      <c r="N14" s="74"/>
      <c r="O14" s="74"/>
      <c r="P14" s="74"/>
    </row>
    <row r="15" spans="1:17" s="63" customFormat="1" ht="15.5">
      <c r="A15" s="74" t="s">
        <v>1230</v>
      </c>
      <c r="B15" s="74"/>
      <c r="C15" s="81"/>
      <c r="D15" s="74"/>
      <c r="E15" s="74"/>
      <c r="F15" s="89"/>
      <c r="G15" s="90"/>
      <c r="H15" s="90"/>
      <c r="I15" s="74"/>
      <c r="J15" s="74"/>
      <c r="K15" s="74"/>
      <c r="L15" s="74"/>
      <c r="M15" s="74"/>
      <c r="N15" s="74"/>
      <c r="O15" s="74"/>
      <c r="P15" s="74"/>
    </row>
    <row r="16" spans="1:17" s="63" customFormat="1" ht="15.5">
      <c r="A16" s="74" t="s">
        <v>1231</v>
      </c>
      <c r="B16" s="74"/>
      <c r="C16" s="81"/>
      <c r="D16" s="74"/>
      <c r="E16" s="74"/>
      <c r="F16" s="89"/>
      <c r="G16" s="90"/>
      <c r="H16" s="90"/>
      <c r="I16" s="74"/>
      <c r="J16" s="74"/>
      <c r="K16" s="74"/>
      <c r="L16" s="74"/>
      <c r="M16" s="74"/>
      <c r="N16" s="74"/>
      <c r="O16" s="74"/>
      <c r="P16" s="74"/>
    </row>
    <row r="17" spans="1:16" s="63" customFormat="1" ht="10.5" customHeight="1">
      <c r="A17" s="74"/>
      <c r="B17" s="74"/>
      <c r="C17" s="81"/>
      <c r="D17" s="74"/>
      <c r="E17" s="74"/>
      <c r="F17" s="89"/>
      <c r="G17" s="90"/>
      <c r="H17" s="90"/>
      <c r="I17" s="74"/>
      <c r="J17" s="74"/>
      <c r="K17" s="74"/>
      <c r="L17" s="74"/>
      <c r="M17" s="74"/>
      <c r="N17" s="74"/>
      <c r="O17" s="74"/>
      <c r="P17" s="74"/>
    </row>
    <row r="18" spans="1:16" s="65" customFormat="1" ht="62">
      <c r="A18" s="82" t="s">
        <v>78</v>
      </c>
      <c r="B18" s="83" t="s">
        <v>1232</v>
      </c>
      <c r="C18" s="84" t="s">
        <v>1233</v>
      </c>
      <c r="D18" s="85" t="s">
        <v>1234</v>
      </c>
      <c r="E18" s="85" t="s">
        <v>1235</v>
      </c>
      <c r="F18" s="83" t="s">
        <v>122</v>
      </c>
      <c r="G18" s="92" t="s">
        <v>1236</v>
      </c>
      <c r="H18" s="92" t="s">
        <v>1237</v>
      </c>
      <c r="I18" s="83" t="s">
        <v>1238</v>
      </c>
      <c r="J18" s="83" t="s">
        <v>119</v>
      </c>
      <c r="K18" s="92" t="s">
        <v>1239</v>
      </c>
      <c r="L18" s="83" t="s">
        <v>120</v>
      </c>
      <c r="M18" s="96" t="s">
        <v>1193</v>
      </c>
      <c r="N18" s="83" t="s">
        <v>1240</v>
      </c>
      <c r="O18" s="83" t="s">
        <v>133</v>
      </c>
      <c r="P18" s="83" t="s">
        <v>1197</v>
      </c>
    </row>
    <row r="19" spans="1:16" s="65" customFormat="1" ht="27" customHeight="1">
      <c r="A19" s="772" t="s">
        <v>1241</v>
      </c>
      <c r="B19" s="773"/>
      <c r="C19" s="773"/>
      <c r="D19" s="773"/>
      <c r="E19" s="773"/>
      <c r="F19" s="773"/>
      <c r="G19" s="773"/>
      <c r="H19" s="773"/>
      <c r="I19" s="773"/>
      <c r="J19" s="773"/>
      <c r="K19" s="773"/>
      <c r="L19" s="773"/>
      <c r="M19" s="773"/>
      <c r="N19" s="773"/>
      <c r="O19" s="773"/>
      <c r="P19" s="774"/>
    </row>
    <row r="20" spans="1:16" s="66" customFormat="1" ht="88" customHeight="1">
      <c r="A20" s="86">
        <v>1</v>
      </c>
      <c r="B20" s="461" t="s">
        <v>804</v>
      </c>
      <c r="C20" s="461" t="s">
        <v>804</v>
      </c>
      <c r="D20" s="461" t="s">
        <v>804</v>
      </c>
      <c r="E20" s="461" t="s">
        <v>804</v>
      </c>
      <c r="F20" s="461" t="s">
        <v>804</v>
      </c>
      <c r="G20" s="461" t="s">
        <v>804</v>
      </c>
      <c r="H20" s="461" t="s">
        <v>804</v>
      </c>
      <c r="I20" s="461" t="s">
        <v>804</v>
      </c>
      <c r="J20" s="461" t="s">
        <v>804</v>
      </c>
      <c r="K20" s="461" t="s">
        <v>804</v>
      </c>
      <c r="L20" s="461" t="s">
        <v>804</v>
      </c>
      <c r="M20" s="461" t="s">
        <v>804</v>
      </c>
      <c r="N20" s="461" t="s">
        <v>804</v>
      </c>
      <c r="O20" s="461" t="s">
        <v>804</v>
      </c>
      <c r="P20" s="462" t="s">
        <v>804</v>
      </c>
    </row>
    <row r="21" spans="1:16" ht="39" customHeight="1">
      <c r="A21" s="775" t="s">
        <v>1242</v>
      </c>
      <c r="B21" s="776"/>
      <c r="C21" s="776"/>
      <c r="D21" s="776"/>
      <c r="E21" s="776"/>
      <c r="F21" s="776"/>
      <c r="G21" s="776"/>
      <c r="H21" s="776"/>
      <c r="I21" s="776"/>
      <c r="J21" s="776"/>
      <c r="K21" s="776"/>
      <c r="L21" s="776"/>
      <c r="M21" s="776"/>
      <c r="N21" s="777"/>
      <c r="O21" s="97">
        <f>SUM(O20:O20)</f>
        <v>0</v>
      </c>
      <c r="P21" s="463" t="s">
        <v>804</v>
      </c>
    </row>
  </sheetData>
  <mergeCells count="14">
    <mergeCell ref="A1:P1"/>
    <mergeCell ref="A2:P2"/>
    <mergeCell ref="A3:P3"/>
    <mergeCell ref="C5:E5"/>
    <mergeCell ref="I5:J5"/>
    <mergeCell ref="K5:N5"/>
    <mergeCell ref="A19:P19"/>
    <mergeCell ref="A21:N21"/>
    <mergeCell ref="C7:E7"/>
    <mergeCell ref="I7:J7"/>
    <mergeCell ref="K7:N7"/>
    <mergeCell ref="C9:E9"/>
    <mergeCell ref="I9:J9"/>
    <mergeCell ref="K9:N9"/>
  </mergeCells>
  <pageMargins left="0.43307086614173201" right="0.2" top="0.31" bottom="0.17" header="0.31496062992126" footer="0.5"/>
  <pageSetup paperSize="9" scale="42"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3:G84"/>
  <sheetViews>
    <sheetView workbookViewId="0">
      <selection activeCell="D8" sqref="D8"/>
    </sheetView>
  </sheetViews>
  <sheetFormatPr defaultColWidth="22.1796875" defaultRowHeight="14.5"/>
  <cols>
    <col min="1" max="1" width="22" style="57" customWidth="1"/>
    <col min="2" max="2" width="5.26953125" customWidth="1"/>
    <col min="3" max="3" width="12.26953125" customWidth="1"/>
    <col min="4" max="4" width="20.54296875" customWidth="1"/>
    <col min="5" max="7" width="13.1796875" customWidth="1"/>
  </cols>
  <sheetData>
    <row r="3" spans="1:7">
      <c r="A3" s="795" t="s">
        <v>1243</v>
      </c>
      <c r="B3" s="797" t="s">
        <v>1244</v>
      </c>
      <c r="C3" s="797" t="s">
        <v>1245</v>
      </c>
      <c r="D3" s="797" t="s">
        <v>1246</v>
      </c>
      <c r="E3" s="60" t="s">
        <v>1247</v>
      </c>
      <c r="F3" s="60" t="s">
        <v>1247</v>
      </c>
      <c r="G3" s="60" t="s">
        <v>1248</v>
      </c>
    </row>
    <row r="4" spans="1:7">
      <c r="A4" s="796"/>
      <c r="B4" s="798"/>
      <c r="C4" s="798"/>
      <c r="D4" s="798"/>
      <c r="E4" s="59" t="s">
        <v>1249</v>
      </c>
      <c r="F4" s="59" t="s">
        <v>1250</v>
      </c>
      <c r="G4" s="59" t="s">
        <v>1251</v>
      </c>
    </row>
    <row r="5" spans="1:7">
      <c r="A5" s="792" t="s">
        <v>1252</v>
      </c>
      <c r="B5" s="793"/>
      <c r="C5" s="793"/>
      <c r="D5" s="793"/>
      <c r="E5" s="793"/>
      <c r="F5" s="793"/>
      <c r="G5" s="794"/>
    </row>
    <row r="6" spans="1:7">
      <c r="A6" s="58" t="s">
        <v>1253</v>
      </c>
      <c r="B6" s="59" t="s">
        <v>1254</v>
      </c>
      <c r="C6" s="59">
        <v>12</v>
      </c>
      <c r="D6" s="59">
        <v>6</v>
      </c>
      <c r="E6" s="61">
        <v>0.96</v>
      </c>
      <c r="F6" s="61">
        <v>0.92</v>
      </c>
      <c r="G6" s="61">
        <v>0.85</v>
      </c>
    </row>
    <row r="7" spans="1:7" ht="20">
      <c r="A7" s="58" t="s">
        <v>1255</v>
      </c>
      <c r="B7" s="59" t="s">
        <v>1256</v>
      </c>
      <c r="C7" s="59">
        <v>24</v>
      </c>
      <c r="D7" s="59">
        <v>7</v>
      </c>
      <c r="E7" s="61">
        <v>0.99</v>
      </c>
      <c r="F7" s="61">
        <v>0.95</v>
      </c>
      <c r="G7" s="61">
        <v>0.88</v>
      </c>
    </row>
    <row r="8" spans="1:7">
      <c r="A8" s="58" t="s">
        <v>1257</v>
      </c>
      <c r="B8" s="59" t="s">
        <v>1256</v>
      </c>
      <c r="C8" s="59">
        <v>24</v>
      </c>
      <c r="D8" s="59">
        <v>7</v>
      </c>
      <c r="E8" s="61">
        <v>0.99</v>
      </c>
      <c r="F8" s="61">
        <v>0.95</v>
      </c>
      <c r="G8" s="61">
        <v>0.88</v>
      </c>
    </row>
    <row r="9" spans="1:7">
      <c r="A9" s="58" t="s">
        <v>1023</v>
      </c>
      <c r="B9" s="59" t="s">
        <v>1256</v>
      </c>
      <c r="C9" s="59">
        <v>24</v>
      </c>
      <c r="D9" s="59">
        <v>7</v>
      </c>
      <c r="E9" s="61">
        <v>0.99</v>
      </c>
      <c r="F9" s="61">
        <v>0.95</v>
      </c>
      <c r="G9" s="61">
        <v>0.88</v>
      </c>
    </row>
    <row r="10" spans="1:7">
      <c r="A10" s="58" t="s">
        <v>1258</v>
      </c>
      <c r="B10" s="59" t="s">
        <v>1256</v>
      </c>
      <c r="C10" s="59">
        <v>24</v>
      </c>
      <c r="D10" s="59">
        <v>7</v>
      </c>
      <c r="E10" s="61">
        <v>0.99</v>
      </c>
      <c r="F10" s="61">
        <v>0.95</v>
      </c>
      <c r="G10" s="61">
        <v>0.88</v>
      </c>
    </row>
    <row r="11" spans="1:7">
      <c r="A11" s="58" t="s">
        <v>1259</v>
      </c>
      <c r="B11" s="59" t="s">
        <v>1254</v>
      </c>
      <c r="C11" s="59">
        <v>24</v>
      </c>
      <c r="D11" s="59">
        <v>7</v>
      </c>
      <c r="E11" s="61">
        <v>0.96</v>
      </c>
      <c r="F11" s="61">
        <v>0.92</v>
      </c>
      <c r="G11" s="61">
        <v>0.85</v>
      </c>
    </row>
    <row r="12" spans="1:7">
      <c r="A12" s="58" t="s">
        <v>1260</v>
      </c>
      <c r="B12" s="59" t="s">
        <v>1256</v>
      </c>
      <c r="C12" s="59">
        <v>24</v>
      </c>
      <c r="D12" s="59">
        <v>7</v>
      </c>
      <c r="E12" s="61">
        <v>0.99</v>
      </c>
      <c r="F12" s="61">
        <v>0.95</v>
      </c>
      <c r="G12" s="61">
        <v>0.88</v>
      </c>
    </row>
    <row r="13" spans="1:7">
      <c r="A13" s="58" t="s">
        <v>1261</v>
      </c>
      <c r="B13" s="59" t="s">
        <v>1256</v>
      </c>
      <c r="C13" s="59">
        <v>24</v>
      </c>
      <c r="D13" s="59">
        <v>7</v>
      </c>
      <c r="E13" s="61">
        <v>0.99</v>
      </c>
      <c r="F13" s="61">
        <v>0.95</v>
      </c>
      <c r="G13" s="61">
        <v>0.88</v>
      </c>
    </row>
    <row r="14" spans="1:7">
      <c r="A14" s="58" t="s">
        <v>1262</v>
      </c>
      <c r="B14" s="59" t="s">
        <v>1256</v>
      </c>
      <c r="C14" s="59">
        <v>24</v>
      </c>
      <c r="D14" s="59">
        <v>7</v>
      </c>
      <c r="E14" s="61">
        <v>0.99</v>
      </c>
      <c r="F14" s="61">
        <v>0.95</v>
      </c>
      <c r="G14" s="61">
        <v>0.88</v>
      </c>
    </row>
    <row r="15" spans="1:7">
      <c r="A15" s="58" t="s">
        <v>1263</v>
      </c>
      <c r="B15" s="59" t="s">
        <v>1256</v>
      </c>
      <c r="C15" s="59">
        <v>24</v>
      </c>
      <c r="D15" s="59">
        <v>7</v>
      </c>
      <c r="E15" s="61">
        <v>0.99</v>
      </c>
      <c r="F15" s="61">
        <v>0.95</v>
      </c>
      <c r="G15" s="61">
        <v>0.88</v>
      </c>
    </row>
    <row r="16" spans="1:7">
      <c r="A16" s="58" t="s">
        <v>1264</v>
      </c>
      <c r="B16" s="59" t="s">
        <v>1256</v>
      </c>
      <c r="C16" s="59">
        <v>24</v>
      </c>
      <c r="D16" s="59">
        <v>7</v>
      </c>
      <c r="E16" s="61">
        <v>0.99</v>
      </c>
      <c r="F16" s="61">
        <v>0.95</v>
      </c>
      <c r="G16" s="61">
        <v>0.88</v>
      </c>
    </row>
    <row r="17" spans="1:7">
      <c r="A17" s="58" t="s">
        <v>1265</v>
      </c>
      <c r="B17" s="59" t="s">
        <v>1256</v>
      </c>
      <c r="C17" s="59">
        <v>24</v>
      </c>
      <c r="D17" s="59">
        <v>7</v>
      </c>
      <c r="E17" s="61">
        <v>0.99</v>
      </c>
      <c r="F17" s="61">
        <v>0.95</v>
      </c>
      <c r="G17" s="61">
        <v>0.88</v>
      </c>
    </row>
    <row r="18" spans="1:7">
      <c r="A18" s="58" t="s">
        <v>1266</v>
      </c>
      <c r="B18" s="59" t="s">
        <v>1256</v>
      </c>
      <c r="C18" s="59">
        <v>24</v>
      </c>
      <c r="D18" s="59">
        <v>7</v>
      </c>
      <c r="E18" s="61">
        <v>0.99</v>
      </c>
      <c r="F18" s="61">
        <v>0.95</v>
      </c>
      <c r="G18" s="61">
        <v>0.88</v>
      </c>
    </row>
    <row r="19" spans="1:7">
      <c r="A19" s="58" t="s">
        <v>1267</v>
      </c>
      <c r="B19" s="59" t="s">
        <v>1256</v>
      </c>
      <c r="C19" s="59">
        <v>24</v>
      </c>
      <c r="D19" s="59">
        <v>7</v>
      </c>
      <c r="E19" s="61">
        <v>0.99</v>
      </c>
      <c r="F19" s="61">
        <v>0.95</v>
      </c>
      <c r="G19" s="61">
        <v>0.88</v>
      </c>
    </row>
    <row r="20" spans="1:7">
      <c r="A20" s="58" t="s">
        <v>1268</v>
      </c>
      <c r="B20" s="59" t="s">
        <v>1256</v>
      </c>
      <c r="C20" s="59">
        <v>12</v>
      </c>
      <c r="D20" s="59">
        <v>6</v>
      </c>
      <c r="E20" s="61">
        <v>0.99</v>
      </c>
      <c r="F20" s="61">
        <v>0.95</v>
      </c>
      <c r="G20" s="61">
        <v>0.88</v>
      </c>
    </row>
    <row r="21" spans="1:7">
      <c r="A21" s="58" t="s">
        <v>1269</v>
      </c>
      <c r="B21" s="59" t="s">
        <v>1256</v>
      </c>
      <c r="C21" s="59">
        <v>24</v>
      </c>
      <c r="D21" s="59">
        <v>7</v>
      </c>
      <c r="E21" s="61">
        <v>0.99</v>
      </c>
      <c r="F21" s="61">
        <v>0.95</v>
      </c>
      <c r="G21" s="61">
        <v>0.88</v>
      </c>
    </row>
    <row r="22" spans="1:7">
      <c r="A22" s="58" t="s">
        <v>1270</v>
      </c>
      <c r="B22" s="59" t="s">
        <v>1256</v>
      </c>
      <c r="C22" s="59">
        <v>24</v>
      </c>
      <c r="D22" s="59">
        <v>7</v>
      </c>
      <c r="E22" s="61">
        <v>0.99</v>
      </c>
      <c r="F22" s="61">
        <v>0.95</v>
      </c>
      <c r="G22" s="61">
        <v>0.88</v>
      </c>
    </row>
    <row r="23" spans="1:7">
      <c r="A23" s="58" t="s">
        <v>1271</v>
      </c>
      <c r="B23" s="59" t="s">
        <v>1256</v>
      </c>
      <c r="C23" s="59">
        <v>24</v>
      </c>
      <c r="D23" s="59">
        <v>7</v>
      </c>
      <c r="E23" s="61">
        <v>0.99</v>
      </c>
      <c r="F23" s="61">
        <v>0.95</v>
      </c>
      <c r="G23" s="61">
        <v>0.88</v>
      </c>
    </row>
    <row r="24" spans="1:7">
      <c r="A24" s="58" t="s">
        <v>1272</v>
      </c>
      <c r="B24" s="59" t="s">
        <v>1254</v>
      </c>
      <c r="C24" s="59">
        <v>24</v>
      </c>
      <c r="D24" s="59">
        <v>7</v>
      </c>
      <c r="E24" s="61">
        <v>0.96</v>
      </c>
      <c r="F24" s="61">
        <v>0.92</v>
      </c>
      <c r="G24" s="61">
        <v>0.85</v>
      </c>
    </row>
    <row r="25" spans="1:7">
      <c r="A25" s="58" t="s">
        <v>1273</v>
      </c>
      <c r="B25" s="59" t="s">
        <v>1256</v>
      </c>
      <c r="C25" s="59">
        <v>24</v>
      </c>
      <c r="D25" s="59">
        <v>7</v>
      </c>
      <c r="E25" s="61">
        <v>0.99</v>
      </c>
      <c r="F25" s="61">
        <v>0.95</v>
      </c>
      <c r="G25" s="61">
        <v>0.88</v>
      </c>
    </row>
    <row r="26" spans="1:7">
      <c r="A26" s="58" t="s">
        <v>1274</v>
      </c>
      <c r="B26" s="59" t="s">
        <v>1254</v>
      </c>
      <c r="C26" s="59">
        <v>12</v>
      </c>
      <c r="D26" s="59">
        <v>6</v>
      </c>
      <c r="E26" s="61">
        <v>0.96</v>
      </c>
      <c r="F26" s="61">
        <v>0.92</v>
      </c>
      <c r="G26" s="61">
        <v>0.85</v>
      </c>
    </row>
    <row r="27" spans="1:7">
      <c r="A27" s="58" t="s">
        <v>1275</v>
      </c>
      <c r="B27" s="59" t="s">
        <v>1256</v>
      </c>
      <c r="C27" s="59">
        <v>24</v>
      </c>
      <c r="D27" s="59">
        <v>7</v>
      </c>
      <c r="E27" s="61">
        <v>0.99</v>
      </c>
      <c r="F27" s="61">
        <v>0.95</v>
      </c>
      <c r="G27" s="61">
        <v>0.88</v>
      </c>
    </row>
    <row r="28" spans="1:7">
      <c r="A28" s="58" t="s">
        <v>1276</v>
      </c>
      <c r="B28" s="59" t="s">
        <v>1254</v>
      </c>
      <c r="C28" s="59">
        <v>12</v>
      </c>
      <c r="D28" s="59">
        <v>6</v>
      </c>
      <c r="E28" s="61">
        <v>0.96</v>
      </c>
      <c r="F28" s="61">
        <v>0.92</v>
      </c>
      <c r="G28" s="61">
        <v>0.85</v>
      </c>
    </row>
    <row r="29" spans="1:7">
      <c r="A29" s="58" t="s">
        <v>1277</v>
      </c>
      <c r="B29" s="59" t="s">
        <v>1256</v>
      </c>
      <c r="C29" s="59">
        <v>24</v>
      </c>
      <c r="D29" s="59">
        <v>7</v>
      </c>
      <c r="E29" s="61">
        <v>0.99</v>
      </c>
      <c r="F29" s="61">
        <v>0.95</v>
      </c>
      <c r="G29" s="61">
        <v>0.88</v>
      </c>
    </row>
    <row r="30" spans="1:7">
      <c r="A30" s="58" t="s">
        <v>1278</v>
      </c>
      <c r="B30" s="59" t="s">
        <v>1256</v>
      </c>
      <c r="C30" s="59">
        <v>24</v>
      </c>
      <c r="D30" s="59">
        <v>7</v>
      </c>
      <c r="E30" s="61">
        <v>0.99</v>
      </c>
      <c r="F30" s="61">
        <v>0.95</v>
      </c>
      <c r="G30" s="61">
        <v>0.88</v>
      </c>
    </row>
    <row r="31" spans="1:7">
      <c r="A31" s="58" t="s">
        <v>1279</v>
      </c>
      <c r="B31" s="59" t="s">
        <v>1254</v>
      </c>
      <c r="C31" s="59">
        <v>12</v>
      </c>
      <c r="D31" s="59">
        <v>6</v>
      </c>
      <c r="E31" s="61">
        <v>0.96</v>
      </c>
      <c r="F31" s="61">
        <v>0.92</v>
      </c>
      <c r="G31" s="61">
        <v>0.85</v>
      </c>
    </row>
    <row r="32" spans="1:7">
      <c r="A32" s="58" t="s">
        <v>1280</v>
      </c>
      <c r="B32" s="59" t="s">
        <v>1254</v>
      </c>
      <c r="C32" s="59">
        <v>12</v>
      </c>
      <c r="D32" s="59">
        <v>7</v>
      </c>
      <c r="E32" s="61">
        <v>0.96</v>
      </c>
      <c r="F32" s="61">
        <v>0.92</v>
      </c>
      <c r="G32" s="61">
        <v>0.85</v>
      </c>
    </row>
    <row r="33" spans="1:7">
      <c r="A33" s="58" t="s">
        <v>1281</v>
      </c>
      <c r="B33" s="59" t="s">
        <v>1254</v>
      </c>
      <c r="C33" s="59">
        <v>12</v>
      </c>
      <c r="D33" s="59">
        <v>6</v>
      </c>
      <c r="E33" s="61">
        <v>0.96</v>
      </c>
      <c r="F33" s="61">
        <v>0.92</v>
      </c>
      <c r="G33" s="61">
        <v>0.85</v>
      </c>
    </row>
    <row r="34" spans="1:7">
      <c r="A34" s="58" t="s">
        <v>1282</v>
      </c>
      <c r="B34" s="59" t="s">
        <v>1256</v>
      </c>
      <c r="C34" s="59">
        <v>24</v>
      </c>
      <c r="D34" s="59">
        <v>7</v>
      </c>
      <c r="E34" s="61">
        <v>0.99</v>
      </c>
      <c r="F34" s="61">
        <v>0.95</v>
      </c>
      <c r="G34" s="61">
        <v>0.88</v>
      </c>
    </row>
    <row r="35" spans="1:7" ht="20">
      <c r="A35" s="58" t="s">
        <v>1283</v>
      </c>
      <c r="B35" s="59" t="s">
        <v>1254</v>
      </c>
      <c r="C35" s="59">
        <v>24</v>
      </c>
      <c r="D35" s="59">
        <v>7</v>
      </c>
      <c r="E35" s="61">
        <v>0.96</v>
      </c>
      <c r="F35" s="61">
        <v>0.92</v>
      </c>
      <c r="G35" s="61">
        <v>0.85</v>
      </c>
    </row>
    <row r="36" spans="1:7">
      <c r="A36" s="58" t="s">
        <v>1284</v>
      </c>
      <c r="B36" s="59" t="s">
        <v>1256</v>
      </c>
      <c r="C36" s="59">
        <v>24</v>
      </c>
      <c r="D36" s="59">
        <v>7</v>
      </c>
      <c r="E36" s="61">
        <v>0.99</v>
      </c>
      <c r="F36" s="61">
        <v>0.95</v>
      </c>
      <c r="G36" s="61">
        <v>0.88</v>
      </c>
    </row>
    <row r="37" spans="1:7" ht="30">
      <c r="A37" s="58" t="s">
        <v>1285</v>
      </c>
      <c r="B37" s="59" t="s">
        <v>1256</v>
      </c>
      <c r="C37" s="59">
        <v>12</v>
      </c>
      <c r="D37" s="59">
        <v>6</v>
      </c>
      <c r="E37" s="61">
        <v>0.96</v>
      </c>
      <c r="F37" s="61">
        <v>0.92</v>
      </c>
      <c r="G37" s="61">
        <v>0.88</v>
      </c>
    </row>
    <row r="38" spans="1:7">
      <c r="A38" s="58" t="s">
        <v>1286</v>
      </c>
      <c r="B38" s="59" t="s">
        <v>1256</v>
      </c>
      <c r="C38" s="59">
        <v>24</v>
      </c>
      <c r="D38" s="59">
        <v>7</v>
      </c>
      <c r="E38" s="61">
        <v>0.99</v>
      </c>
      <c r="F38" s="61">
        <v>0.95</v>
      </c>
      <c r="G38" s="61">
        <v>0.88</v>
      </c>
    </row>
    <row r="39" spans="1:7">
      <c r="A39" s="58" t="s">
        <v>960</v>
      </c>
      <c r="B39" s="59" t="s">
        <v>1254</v>
      </c>
      <c r="C39" s="59">
        <v>24</v>
      </c>
      <c r="D39" s="59">
        <v>7</v>
      </c>
      <c r="E39" s="61">
        <v>0.96</v>
      </c>
      <c r="F39" s="61">
        <v>0.92</v>
      </c>
      <c r="G39" s="61">
        <v>0.85</v>
      </c>
    </row>
    <row r="40" spans="1:7" ht="20">
      <c r="A40" s="58" t="s">
        <v>1287</v>
      </c>
      <c r="B40" s="59" t="s">
        <v>1256</v>
      </c>
      <c r="C40" s="59">
        <v>24</v>
      </c>
      <c r="D40" s="59">
        <v>7</v>
      </c>
      <c r="E40" s="61">
        <v>0.99</v>
      </c>
      <c r="F40" s="61">
        <v>0.95</v>
      </c>
      <c r="G40" s="61">
        <v>0.88</v>
      </c>
    </row>
    <row r="41" spans="1:7">
      <c r="A41" s="58" t="s">
        <v>1288</v>
      </c>
      <c r="B41" s="59" t="s">
        <v>1254</v>
      </c>
      <c r="C41" s="59">
        <v>12</v>
      </c>
      <c r="D41" s="59">
        <v>6</v>
      </c>
      <c r="E41" s="61">
        <v>0.96</v>
      </c>
      <c r="F41" s="61">
        <v>0.92</v>
      </c>
      <c r="G41" s="61">
        <v>0.85</v>
      </c>
    </row>
    <row r="42" spans="1:7">
      <c r="A42" s="58" t="s">
        <v>1289</v>
      </c>
      <c r="B42" s="59" t="s">
        <v>1254</v>
      </c>
      <c r="C42" s="59">
        <v>12</v>
      </c>
      <c r="D42" s="59">
        <v>6</v>
      </c>
      <c r="E42" s="61">
        <v>0.96</v>
      </c>
      <c r="F42" s="61">
        <v>0.92</v>
      </c>
      <c r="G42" s="61">
        <v>0.85</v>
      </c>
    </row>
    <row r="43" spans="1:7">
      <c r="A43" s="58" t="s">
        <v>1290</v>
      </c>
      <c r="B43" s="59" t="s">
        <v>1254</v>
      </c>
      <c r="C43" s="59">
        <v>12</v>
      </c>
      <c r="D43" s="59">
        <v>6</v>
      </c>
      <c r="E43" s="61">
        <v>0.96</v>
      </c>
      <c r="F43" s="61">
        <v>0.92</v>
      </c>
      <c r="G43" s="61">
        <v>0.85</v>
      </c>
    </row>
    <row r="44" spans="1:7">
      <c r="A44" s="58" t="s">
        <v>1291</v>
      </c>
      <c r="B44" s="59" t="s">
        <v>1254</v>
      </c>
      <c r="C44" s="59">
        <v>12</v>
      </c>
      <c r="D44" s="59">
        <v>6</v>
      </c>
      <c r="E44" s="61">
        <v>0.96</v>
      </c>
      <c r="F44" s="61">
        <v>0.92</v>
      </c>
      <c r="G44" s="61">
        <v>0.85</v>
      </c>
    </row>
    <row r="45" spans="1:7" ht="20">
      <c r="A45" s="58" t="s">
        <v>1292</v>
      </c>
      <c r="B45" s="59" t="s">
        <v>1256</v>
      </c>
      <c r="C45" s="59">
        <v>24</v>
      </c>
      <c r="D45" s="59">
        <v>7</v>
      </c>
      <c r="E45" s="61">
        <v>0.96</v>
      </c>
      <c r="F45" s="61">
        <v>0.92</v>
      </c>
      <c r="G45" s="61">
        <v>0.88</v>
      </c>
    </row>
    <row r="46" spans="1:7">
      <c r="A46" s="58" t="s">
        <v>1293</v>
      </c>
      <c r="B46" s="59" t="s">
        <v>1254</v>
      </c>
      <c r="C46" s="59">
        <v>12</v>
      </c>
      <c r="D46" s="59">
        <v>6</v>
      </c>
      <c r="E46" s="61">
        <v>0.96</v>
      </c>
      <c r="F46" s="61">
        <v>0.92</v>
      </c>
      <c r="G46" s="61">
        <v>0.85</v>
      </c>
    </row>
    <row r="47" spans="1:7">
      <c r="A47" s="58" t="s">
        <v>1294</v>
      </c>
      <c r="B47" s="59" t="s">
        <v>1256</v>
      </c>
      <c r="C47" s="59">
        <v>24</v>
      </c>
      <c r="D47" s="59">
        <v>7</v>
      </c>
      <c r="E47" s="61">
        <v>0.99</v>
      </c>
      <c r="F47" s="61">
        <v>0.95</v>
      </c>
      <c r="G47" s="61">
        <v>0.88</v>
      </c>
    </row>
    <row r="48" spans="1:7">
      <c r="A48" s="58" t="s">
        <v>1295</v>
      </c>
      <c r="B48" s="59" t="s">
        <v>1254</v>
      </c>
      <c r="C48" s="59">
        <v>24</v>
      </c>
      <c r="D48" s="59">
        <v>7</v>
      </c>
      <c r="E48" s="61">
        <v>0.96</v>
      </c>
      <c r="F48" s="61">
        <v>0.92</v>
      </c>
      <c r="G48" s="61">
        <v>0.85</v>
      </c>
    </row>
    <row r="49" spans="1:7">
      <c r="A49" s="58" t="s">
        <v>1296</v>
      </c>
      <c r="B49" s="59" t="s">
        <v>1256</v>
      </c>
      <c r="C49" s="59">
        <v>24</v>
      </c>
      <c r="D49" s="59">
        <v>7</v>
      </c>
      <c r="E49" s="61">
        <v>0.99</v>
      </c>
      <c r="F49" s="61">
        <v>0.95</v>
      </c>
      <c r="G49" s="61">
        <v>0.88</v>
      </c>
    </row>
    <row r="50" spans="1:7">
      <c r="A50" s="58" t="s">
        <v>1297</v>
      </c>
      <c r="B50" s="59" t="s">
        <v>1256</v>
      </c>
      <c r="C50" s="59">
        <v>24</v>
      </c>
      <c r="D50" s="59">
        <v>7</v>
      </c>
      <c r="E50" s="61">
        <v>0.99</v>
      </c>
      <c r="F50" s="61">
        <v>0.95</v>
      </c>
      <c r="G50" s="61">
        <v>0.88</v>
      </c>
    </row>
    <row r="51" spans="1:7">
      <c r="A51" s="58" t="s">
        <v>1298</v>
      </c>
      <c r="B51" s="59" t="s">
        <v>1254</v>
      </c>
      <c r="C51" s="59">
        <v>12</v>
      </c>
      <c r="D51" s="59">
        <v>6</v>
      </c>
      <c r="E51" s="61">
        <v>0.96</v>
      </c>
      <c r="F51" s="61">
        <v>0.92</v>
      </c>
      <c r="G51" s="61">
        <v>0.85</v>
      </c>
    </row>
    <row r="52" spans="1:7" ht="20">
      <c r="A52" s="58" t="s">
        <v>1299</v>
      </c>
      <c r="B52" s="59" t="s">
        <v>1256</v>
      </c>
      <c r="C52" s="59">
        <v>24</v>
      </c>
      <c r="D52" s="59">
        <v>7</v>
      </c>
      <c r="E52" s="61">
        <v>0.99</v>
      </c>
      <c r="F52" s="61">
        <v>0.95</v>
      </c>
      <c r="G52" s="61">
        <v>0.88</v>
      </c>
    </row>
    <row r="53" spans="1:7">
      <c r="A53" s="58" t="s">
        <v>1300</v>
      </c>
      <c r="B53" s="59" t="s">
        <v>1254</v>
      </c>
      <c r="C53" s="59">
        <v>12</v>
      </c>
      <c r="D53" s="59">
        <v>6</v>
      </c>
      <c r="E53" s="61">
        <v>0.99</v>
      </c>
      <c r="F53" s="61">
        <v>0.92</v>
      </c>
      <c r="G53" s="61">
        <v>0.85</v>
      </c>
    </row>
    <row r="54" spans="1:7">
      <c r="A54" s="58" t="s">
        <v>1301</v>
      </c>
      <c r="B54" s="59" t="s">
        <v>1256</v>
      </c>
      <c r="C54" s="59">
        <v>12</v>
      </c>
      <c r="D54" s="59">
        <v>6</v>
      </c>
      <c r="E54" s="61">
        <v>0.99</v>
      </c>
      <c r="F54" s="61">
        <v>0.95</v>
      </c>
      <c r="G54" s="61">
        <v>0.88</v>
      </c>
    </row>
    <row r="55" spans="1:7">
      <c r="A55" s="58" t="s">
        <v>1302</v>
      </c>
      <c r="B55" s="59" t="s">
        <v>1256</v>
      </c>
      <c r="C55" s="59">
        <v>24</v>
      </c>
      <c r="D55" s="59">
        <v>7</v>
      </c>
      <c r="E55" s="61">
        <v>0.99</v>
      </c>
      <c r="F55" s="61">
        <v>0.95</v>
      </c>
      <c r="G55" s="61">
        <v>0.88</v>
      </c>
    </row>
    <row r="56" spans="1:7" ht="22">
      <c r="A56" s="58" t="s">
        <v>1303</v>
      </c>
      <c r="B56" s="59" t="s">
        <v>1256</v>
      </c>
      <c r="C56" s="59">
        <v>24</v>
      </c>
      <c r="D56" s="59">
        <v>7</v>
      </c>
      <c r="E56" s="61">
        <v>0.99</v>
      </c>
      <c r="F56" s="61">
        <v>0.95</v>
      </c>
      <c r="G56" s="61">
        <v>0.88</v>
      </c>
    </row>
    <row r="57" spans="1:7">
      <c r="A57" s="58" t="s">
        <v>1304</v>
      </c>
      <c r="B57" s="59" t="s">
        <v>1254</v>
      </c>
      <c r="C57" s="59">
        <v>12</v>
      </c>
      <c r="D57" s="59">
        <v>6</v>
      </c>
      <c r="E57" s="61">
        <v>0.96</v>
      </c>
      <c r="F57" s="61">
        <v>0.92</v>
      </c>
      <c r="G57" s="61">
        <v>0.85</v>
      </c>
    </row>
    <row r="58" spans="1:7" ht="20">
      <c r="A58" s="58" t="s">
        <v>1305</v>
      </c>
      <c r="B58" s="59" t="s">
        <v>1254</v>
      </c>
      <c r="C58" s="59">
        <v>12</v>
      </c>
      <c r="D58" s="59">
        <v>6</v>
      </c>
      <c r="E58" s="61">
        <v>0.96</v>
      </c>
      <c r="F58" s="61">
        <v>0.92</v>
      </c>
      <c r="G58" s="61">
        <v>0.85</v>
      </c>
    </row>
    <row r="59" spans="1:7">
      <c r="A59" s="58" t="s">
        <v>1306</v>
      </c>
      <c r="B59" s="59" t="s">
        <v>1254</v>
      </c>
      <c r="C59" s="59">
        <v>12</v>
      </c>
      <c r="D59" s="59">
        <v>6</v>
      </c>
      <c r="E59" s="61">
        <v>0.96</v>
      </c>
      <c r="F59" s="61">
        <v>0.92</v>
      </c>
      <c r="G59" s="61">
        <v>0.85</v>
      </c>
    </row>
    <row r="60" spans="1:7">
      <c r="A60" s="58" t="s">
        <v>1307</v>
      </c>
      <c r="B60" s="59"/>
      <c r="C60" s="59"/>
      <c r="D60" s="59"/>
      <c r="E60" s="59"/>
      <c r="F60" s="59"/>
      <c r="G60" s="59"/>
    </row>
    <row r="61" spans="1:7">
      <c r="A61" s="58" t="s">
        <v>1308</v>
      </c>
      <c r="B61" s="59" t="s">
        <v>1254</v>
      </c>
      <c r="C61" s="59">
        <v>12</v>
      </c>
      <c r="D61" s="59">
        <v>6</v>
      </c>
      <c r="E61" s="61">
        <v>0.96</v>
      </c>
      <c r="F61" s="61">
        <v>0.92</v>
      </c>
      <c r="G61" s="61">
        <v>0.85</v>
      </c>
    </row>
    <row r="62" spans="1:7">
      <c r="A62" s="58" t="s">
        <v>1309</v>
      </c>
      <c r="B62" s="59" t="s">
        <v>1254</v>
      </c>
      <c r="C62" s="59">
        <v>12</v>
      </c>
      <c r="D62" s="59">
        <v>6</v>
      </c>
      <c r="E62" s="61">
        <v>0.96</v>
      </c>
      <c r="F62" s="61">
        <v>0.92</v>
      </c>
      <c r="G62" s="61">
        <v>0.85</v>
      </c>
    </row>
    <row r="63" spans="1:7">
      <c r="A63" s="58" t="s">
        <v>1310</v>
      </c>
      <c r="B63" s="59" t="s">
        <v>1254</v>
      </c>
      <c r="C63" s="59">
        <v>12</v>
      </c>
      <c r="D63" s="59">
        <v>6</v>
      </c>
      <c r="E63" s="61">
        <v>0.96</v>
      </c>
      <c r="F63" s="61">
        <v>0.92</v>
      </c>
      <c r="G63" s="61">
        <v>0.85</v>
      </c>
    </row>
    <row r="64" spans="1:7">
      <c r="A64" s="58" t="s">
        <v>1311</v>
      </c>
      <c r="B64" s="59" t="s">
        <v>1254</v>
      </c>
      <c r="C64" s="59">
        <v>12</v>
      </c>
      <c r="D64" s="59">
        <v>6</v>
      </c>
      <c r="E64" s="61">
        <v>0.96</v>
      </c>
      <c r="F64" s="61">
        <v>0.92</v>
      </c>
      <c r="G64" s="61">
        <v>0.85</v>
      </c>
    </row>
    <row r="65" spans="1:7">
      <c r="A65" s="58" t="s">
        <v>1312</v>
      </c>
      <c r="B65" s="59" t="s">
        <v>1254</v>
      </c>
      <c r="C65" s="59">
        <v>12</v>
      </c>
      <c r="D65" s="59">
        <v>6</v>
      </c>
      <c r="E65" s="61">
        <v>0.96</v>
      </c>
      <c r="F65" s="61">
        <v>0.92</v>
      </c>
      <c r="G65" s="61">
        <v>0.85</v>
      </c>
    </row>
    <row r="66" spans="1:7">
      <c r="A66" s="58" t="s">
        <v>1313</v>
      </c>
      <c r="B66" s="59" t="s">
        <v>1254</v>
      </c>
      <c r="C66" s="59">
        <v>12</v>
      </c>
      <c r="D66" s="59">
        <v>6</v>
      </c>
      <c r="E66" s="61">
        <v>0.96</v>
      </c>
      <c r="F66" s="61">
        <v>0.92</v>
      </c>
      <c r="G66" s="61">
        <v>0.85</v>
      </c>
    </row>
    <row r="67" spans="1:7">
      <c r="A67" s="58" t="s">
        <v>1314</v>
      </c>
      <c r="B67" s="59" t="s">
        <v>1254</v>
      </c>
      <c r="C67" s="59">
        <v>12</v>
      </c>
      <c r="D67" s="59">
        <v>6</v>
      </c>
      <c r="E67" s="61">
        <v>0.96</v>
      </c>
      <c r="F67" s="61">
        <v>0.92</v>
      </c>
      <c r="G67" s="61">
        <v>0.85</v>
      </c>
    </row>
    <row r="68" spans="1:7">
      <c r="A68" s="58" t="s">
        <v>1315</v>
      </c>
      <c r="B68" s="59" t="s">
        <v>1254</v>
      </c>
      <c r="C68" s="59">
        <v>12</v>
      </c>
      <c r="D68" s="59">
        <v>6</v>
      </c>
      <c r="E68" s="61">
        <v>0.96</v>
      </c>
      <c r="F68" s="61">
        <v>0.92</v>
      </c>
      <c r="G68" s="61">
        <v>0.85</v>
      </c>
    </row>
    <row r="69" spans="1:7">
      <c r="A69" s="58" t="s">
        <v>1316</v>
      </c>
      <c r="B69" s="59" t="s">
        <v>1254</v>
      </c>
      <c r="C69" s="59">
        <v>12</v>
      </c>
      <c r="D69" s="59">
        <v>6</v>
      </c>
      <c r="E69" s="61">
        <v>0.96</v>
      </c>
      <c r="F69" s="61">
        <v>0.92</v>
      </c>
      <c r="G69" s="61">
        <v>0.85</v>
      </c>
    </row>
    <row r="70" spans="1:7">
      <c r="A70" s="58" t="s">
        <v>1317</v>
      </c>
      <c r="B70" s="59" t="s">
        <v>1254</v>
      </c>
      <c r="C70" s="59">
        <v>12</v>
      </c>
      <c r="D70" s="59">
        <v>6</v>
      </c>
      <c r="E70" s="61">
        <v>0.96</v>
      </c>
      <c r="F70" s="61">
        <v>0.92</v>
      </c>
      <c r="G70" s="61">
        <v>0.85</v>
      </c>
    </row>
    <row r="71" spans="1:7">
      <c r="A71" s="58" t="s">
        <v>1318</v>
      </c>
      <c r="B71" s="59" t="s">
        <v>1254</v>
      </c>
      <c r="C71" s="59">
        <v>12</v>
      </c>
      <c r="D71" s="59">
        <v>6</v>
      </c>
      <c r="E71" s="61">
        <v>0.96</v>
      </c>
      <c r="F71" s="61">
        <v>0.92</v>
      </c>
      <c r="G71" s="61">
        <v>0.85</v>
      </c>
    </row>
    <row r="72" spans="1:7">
      <c r="A72" s="58" t="s">
        <v>1319</v>
      </c>
      <c r="B72" s="59" t="s">
        <v>1254</v>
      </c>
      <c r="C72" s="59">
        <v>12</v>
      </c>
      <c r="D72" s="59">
        <v>6</v>
      </c>
      <c r="E72" s="61">
        <v>0.96</v>
      </c>
      <c r="F72" s="61">
        <v>0.92</v>
      </c>
      <c r="G72" s="61">
        <v>0.85</v>
      </c>
    </row>
    <row r="73" spans="1:7">
      <c r="A73" s="58" t="s">
        <v>1320</v>
      </c>
      <c r="B73" s="59" t="s">
        <v>1254</v>
      </c>
      <c r="C73" s="59">
        <v>12</v>
      </c>
      <c r="D73" s="59">
        <v>6</v>
      </c>
      <c r="E73" s="61">
        <v>0.96</v>
      </c>
      <c r="F73" s="61">
        <v>0.92</v>
      </c>
      <c r="G73" s="61">
        <v>0.85</v>
      </c>
    </row>
    <row r="74" spans="1:7" ht="20">
      <c r="A74" s="58" t="s">
        <v>1321</v>
      </c>
      <c r="B74" s="59" t="s">
        <v>1254</v>
      </c>
      <c r="C74" s="59">
        <v>12</v>
      </c>
      <c r="D74" s="59">
        <v>6</v>
      </c>
      <c r="E74" s="61">
        <v>0.96</v>
      </c>
      <c r="F74" s="61">
        <v>0.92</v>
      </c>
      <c r="G74" s="61">
        <v>0.85</v>
      </c>
    </row>
    <row r="75" spans="1:7" ht="20">
      <c r="A75" s="58" t="s">
        <v>1322</v>
      </c>
      <c r="B75" s="59" t="s">
        <v>1254</v>
      </c>
      <c r="C75" s="59">
        <v>12</v>
      </c>
      <c r="D75" s="59">
        <v>6</v>
      </c>
      <c r="E75" s="61">
        <v>0.96</v>
      </c>
      <c r="F75" s="61">
        <v>0.92</v>
      </c>
      <c r="G75" s="61">
        <v>0.85</v>
      </c>
    </row>
    <row r="76" spans="1:7">
      <c r="A76" s="58" t="s">
        <v>1323</v>
      </c>
      <c r="B76" s="59" t="s">
        <v>1254</v>
      </c>
      <c r="C76" s="59">
        <v>12</v>
      </c>
      <c r="D76" s="59">
        <v>6</v>
      </c>
      <c r="E76" s="61">
        <v>0.96</v>
      </c>
      <c r="F76" s="61">
        <v>0.92</v>
      </c>
      <c r="G76" s="61">
        <v>0.85</v>
      </c>
    </row>
    <row r="77" spans="1:7">
      <c r="A77" s="58" t="s">
        <v>1324</v>
      </c>
      <c r="B77" s="59" t="s">
        <v>1254</v>
      </c>
      <c r="C77" s="59">
        <v>12</v>
      </c>
      <c r="D77" s="59">
        <v>6</v>
      </c>
      <c r="E77" s="61">
        <v>0.96</v>
      </c>
      <c r="F77" s="61">
        <v>0.92</v>
      </c>
      <c r="G77" s="61">
        <v>0.85</v>
      </c>
    </row>
    <row r="78" spans="1:7">
      <c r="A78" s="58" t="s">
        <v>1325</v>
      </c>
      <c r="B78" s="59" t="s">
        <v>1254</v>
      </c>
      <c r="C78" s="59">
        <v>12</v>
      </c>
      <c r="D78" s="59">
        <v>6</v>
      </c>
      <c r="E78" s="61">
        <v>0.96</v>
      </c>
      <c r="F78" s="61">
        <v>0.92</v>
      </c>
      <c r="G78" s="61">
        <v>0.85</v>
      </c>
    </row>
    <row r="79" spans="1:7">
      <c r="A79" s="58" t="s">
        <v>1326</v>
      </c>
      <c r="B79" s="59" t="s">
        <v>1254</v>
      </c>
      <c r="C79" s="59">
        <v>12</v>
      </c>
      <c r="D79" s="59">
        <v>6</v>
      </c>
      <c r="E79" s="61">
        <v>0.96</v>
      </c>
      <c r="F79" s="61">
        <v>0.92</v>
      </c>
      <c r="G79" s="61">
        <v>0.85</v>
      </c>
    </row>
    <row r="80" spans="1:7">
      <c r="A80" s="58" t="s">
        <v>1327</v>
      </c>
      <c r="B80" s="59" t="s">
        <v>1254</v>
      </c>
      <c r="C80" s="59">
        <v>12</v>
      </c>
      <c r="D80" s="59">
        <v>6</v>
      </c>
      <c r="E80" s="61">
        <v>0.96</v>
      </c>
      <c r="F80" s="61">
        <v>0.92</v>
      </c>
      <c r="G80" s="61">
        <v>0.85</v>
      </c>
    </row>
    <row r="81" spans="1:7">
      <c r="A81" s="58" t="s">
        <v>1328</v>
      </c>
      <c r="B81" s="59" t="s">
        <v>1254</v>
      </c>
      <c r="C81" s="59">
        <v>12</v>
      </c>
      <c r="D81" s="59">
        <v>6</v>
      </c>
      <c r="E81" s="61">
        <v>0.96</v>
      </c>
      <c r="F81" s="61">
        <v>0.92</v>
      </c>
      <c r="G81" s="61">
        <v>0.85</v>
      </c>
    </row>
    <row r="82" spans="1:7">
      <c r="A82" s="58" t="s">
        <v>1329</v>
      </c>
      <c r="B82" s="59" t="s">
        <v>1254</v>
      </c>
      <c r="C82" s="59">
        <v>12</v>
      </c>
      <c r="D82" s="59">
        <v>6</v>
      </c>
      <c r="E82" s="61">
        <v>0.96</v>
      </c>
      <c r="F82" s="61">
        <v>0.92</v>
      </c>
      <c r="G82" s="61">
        <v>0.85</v>
      </c>
    </row>
    <row r="83" spans="1:7">
      <c r="A83" s="58" t="s">
        <v>1330</v>
      </c>
      <c r="B83" s="59" t="s">
        <v>1254</v>
      </c>
      <c r="C83" s="59">
        <v>12</v>
      </c>
      <c r="D83" s="59">
        <v>6</v>
      </c>
      <c r="E83" s="61">
        <v>0.96</v>
      </c>
      <c r="F83" s="61">
        <v>0.92</v>
      </c>
      <c r="G83" s="61">
        <v>0.85</v>
      </c>
    </row>
    <row r="84" spans="1:7">
      <c r="A84" s="58" t="s">
        <v>1331</v>
      </c>
      <c r="B84" s="59" t="s">
        <v>1254</v>
      </c>
      <c r="C84" s="59">
        <v>12</v>
      </c>
      <c r="D84" s="59">
        <v>6</v>
      </c>
      <c r="E84" s="61">
        <v>0.96</v>
      </c>
      <c r="F84" s="61">
        <v>0.92</v>
      </c>
      <c r="G84" s="61">
        <v>0.85</v>
      </c>
    </row>
  </sheetData>
  <autoFilter ref="A3:G84" xr:uid="{00000000-0009-0000-0000-000007000000}"/>
  <mergeCells count="5">
    <mergeCell ref="A5:G5"/>
    <mergeCell ref="A3:A4"/>
    <mergeCell ref="B3:B4"/>
    <mergeCell ref="C3:C4"/>
    <mergeCell ref="D3:D4"/>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4:AE17"/>
  <sheetViews>
    <sheetView topLeftCell="J4" zoomScale="80" zoomScaleNormal="80" workbookViewId="0">
      <selection activeCell="AE6" sqref="AE6"/>
    </sheetView>
  </sheetViews>
  <sheetFormatPr defaultColWidth="12.7265625" defaultRowHeight="13"/>
  <cols>
    <col min="1" max="1" width="3.453125" style="4" customWidth="1"/>
    <col min="2" max="2" width="10.7265625" style="4" customWidth="1"/>
    <col min="3" max="3" width="15.81640625" style="4" customWidth="1"/>
    <col min="4" max="4" width="14.81640625" style="4" customWidth="1"/>
    <col min="5" max="5" width="5.54296875" style="4" customWidth="1"/>
    <col min="6" max="6" width="12.7265625" style="4"/>
    <col min="7" max="7" width="8.7265625" style="4" customWidth="1"/>
    <col min="8" max="8" width="18.1796875" style="4" customWidth="1"/>
    <col min="9" max="9" width="7.1796875" style="4" customWidth="1"/>
    <col min="10" max="10" width="8.7265625" style="4" customWidth="1"/>
    <col min="11" max="12" width="10.81640625" style="4" customWidth="1"/>
    <col min="13" max="13" width="8.1796875" style="4" customWidth="1"/>
    <col min="14" max="14" width="8" style="4" customWidth="1"/>
    <col min="15" max="15" width="9.453125" style="4" customWidth="1"/>
    <col min="16" max="16" width="10" style="4" customWidth="1"/>
    <col min="17" max="18" width="8.81640625" style="4" customWidth="1"/>
    <col min="19" max="19" width="12.26953125" style="4" customWidth="1"/>
    <col min="20" max="20" width="4.26953125" style="4" customWidth="1"/>
    <col min="21" max="21" width="10.1796875" style="4" customWidth="1"/>
    <col min="22" max="22" width="9.81640625" style="4" customWidth="1"/>
    <col min="23" max="23" width="10.1796875" style="4" customWidth="1"/>
    <col min="24" max="24" width="16.7265625" style="4" customWidth="1"/>
    <col min="25" max="25" width="7.26953125" style="5" customWidth="1"/>
    <col min="26" max="27" width="12.81640625" style="5" customWidth="1"/>
    <col min="28" max="28" width="11" style="5" customWidth="1"/>
    <col min="29" max="29" width="13.1796875" style="6" customWidth="1"/>
    <col min="30" max="30" width="13.1796875" style="7" customWidth="1"/>
    <col min="31" max="31" width="12.7265625" style="5"/>
    <col min="32" max="16384" width="12.7265625" style="4"/>
  </cols>
  <sheetData>
    <row r="4" spans="1:31" s="1" customFormat="1" ht="33" customHeight="1">
      <c r="A4" s="806" t="s">
        <v>1332</v>
      </c>
      <c r="B4" s="807" t="s">
        <v>118</v>
      </c>
      <c r="C4" s="808" t="s">
        <v>119</v>
      </c>
      <c r="D4" s="808" t="s">
        <v>120</v>
      </c>
      <c r="E4" s="807" t="s">
        <v>121</v>
      </c>
      <c r="F4" s="9"/>
      <c r="G4" s="806" t="s">
        <v>122</v>
      </c>
      <c r="H4" s="806" t="s">
        <v>123</v>
      </c>
      <c r="I4" s="810" t="s">
        <v>124</v>
      </c>
      <c r="J4" s="811" t="s">
        <v>125</v>
      </c>
      <c r="K4" s="812" t="s">
        <v>126</v>
      </c>
      <c r="L4" s="812" t="s">
        <v>128</v>
      </c>
      <c r="M4" s="813" t="s">
        <v>129</v>
      </c>
      <c r="N4" s="801" t="s">
        <v>130</v>
      </c>
      <c r="O4" s="802"/>
      <c r="P4" s="803"/>
      <c r="Q4" s="801" t="s">
        <v>131</v>
      </c>
      <c r="R4" s="804"/>
      <c r="S4" s="804"/>
      <c r="T4" s="804"/>
      <c r="U4" s="804"/>
      <c r="V4" s="805"/>
      <c r="W4" s="799" t="s">
        <v>1333</v>
      </c>
      <c r="X4" s="42"/>
      <c r="Y4" s="42"/>
      <c r="Z4" s="42"/>
      <c r="AA4" s="42"/>
      <c r="AB4" s="42"/>
      <c r="AC4" s="53"/>
      <c r="AD4" s="54"/>
      <c r="AE4" s="42"/>
    </row>
    <row r="5" spans="1:31" s="1" customFormat="1" ht="60.75" customHeight="1">
      <c r="A5" s="806"/>
      <c r="B5" s="807"/>
      <c r="C5" s="809"/>
      <c r="D5" s="809"/>
      <c r="E5" s="807"/>
      <c r="F5" s="9" t="s">
        <v>1334</v>
      </c>
      <c r="G5" s="806"/>
      <c r="H5" s="806"/>
      <c r="I5" s="810"/>
      <c r="J5" s="811"/>
      <c r="K5" s="812"/>
      <c r="L5" s="812"/>
      <c r="M5" s="813"/>
      <c r="N5" s="8" t="s">
        <v>132</v>
      </c>
      <c r="O5" s="34" t="s">
        <v>133</v>
      </c>
      <c r="P5" s="8" t="s">
        <v>134</v>
      </c>
      <c r="Q5" s="8" t="s">
        <v>132</v>
      </c>
      <c r="R5" s="8" t="s">
        <v>135</v>
      </c>
      <c r="S5" s="38" t="s">
        <v>136</v>
      </c>
      <c r="T5" s="33" t="s">
        <v>137</v>
      </c>
      <c r="U5" s="8" t="s">
        <v>133</v>
      </c>
      <c r="V5" s="43" t="s">
        <v>134</v>
      </c>
      <c r="W5" s="800"/>
      <c r="X5" s="44" t="s">
        <v>135</v>
      </c>
      <c r="Y5" s="42" t="s">
        <v>1335</v>
      </c>
      <c r="Z5" s="42" t="s">
        <v>1336</v>
      </c>
      <c r="AA5" s="42" t="s">
        <v>1337</v>
      </c>
      <c r="AB5" s="42" t="s">
        <v>1338</v>
      </c>
      <c r="AC5" s="53" t="s">
        <v>1339</v>
      </c>
      <c r="AD5" s="54" t="s">
        <v>1340</v>
      </c>
      <c r="AE5" s="42" t="s">
        <v>1341</v>
      </c>
    </row>
    <row r="6" spans="1:31" s="2" customFormat="1" ht="25">
      <c r="A6" s="10">
        <v>23</v>
      </c>
      <c r="B6" s="11" t="s">
        <v>1342</v>
      </c>
      <c r="C6" s="12" t="s">
        <v>1343</v>
      </c>
      <c r="D6" s="13">
        <v>12049370</v>
      </c>
      <c r="E6" s="19">
        <v>1811</v>
      </c>
      <c r="F6" s="20"/>
      <c r="G6" s="11" t="s">
        <v>1344</v>
      </c>
      <c r="H6" s="21" t="s">
        <v>1345</v>
      </c>
      <c r="I6" s="24" t="s">
        <v>143</v>
      </c>
      <c r="J6" s="28">
        <v>1.0416666666666701E-2</v>
      </c>
      <c r="K6" s="29">
        <v>43781</v>
      </c>
      <c r="L6" s="29">
        <v>43795</v>
      </c>
      <c r="M6" s="35">
        <f t="shared" ref="M6:M16" si="0">IF(D6&gt;44999.99,100,ROUNDUP((D6/4999.99)*10,-1))</f>
        <v>100</v>
      </c>
      <c r="N6" s="10" t="s">
        <v>148</v>
      </c>
      <c r="O6" s="36">
        <f t="shared" ref="O6:O16" si="1">IF(N6="Y",M6,0)</f>
        <v>0</v>
      </c>
      <c r="P6" s="10" t="s">
        <v>1346</v>
      </c>
      <c r="Q6" s="14" t="s">
        <v>148</v>
      </c>
      <c r="R6" s="39">
        <f t="shared" ref="R6:R16" si="2">L6-K6+1</f>
        <v>15</v>
      </c>
      <c r="S6" s="40">
        <f t="shared" ref="S6:S7" si="3">WORKDAY(K6,6,tarikhcuti)</f>
        <v>43789</v>
      </c>
      <c r="T6" s="39">
        <f t="shared" ref="T6:T7" si="4">IF(L6&gt;S6,L6-S6,0)</f>
        <v>6</v>
      </c>
      <c r="U6" s="45">
        <f t="shared" ref="U6:U16" si="5">M6*T6</f>
        <v>600</v>
      </c>
      <c r="V6" s="46"/>
      <c r="W6" s="47" t="s">
        <v>1347</v>
      </c>
      <c r="X6" s="39">
        <f>R6</f>
        <v>15</v>
      </c>
      <c r="Y6" s="51">
        <v>24</v>
      </c>
      <c r="Z6" s="51">
        <f>X6*Y6</f>
        <v>360</v>
      </c>
      <c r="AA6" s="51">
        <v>8072</v>
      </c>
      <c r="AB6" s="51">
        <f>AA6-Z6</f>
        <v>7712</v>
      </c>
      <c r="AC6" s="55">
        <f>AB6/8072</f>
        <v>0.95540138751238801</v>
      </c>
      <c r="AD6" s="56">
        <v>0.92</v>
      </c>
      <c r="AE6" s="51" t="s">
        <v>78</v>
      </c>
    </row>
    <row r="7" spans="1:31" s="3" customFormat="1" ht="25">
      <c r="A7" s="14">
        <v>1</v>
      </c>
      <c r="B7" s="15" t="s">
        <v>1348</v>
      </c>
      <c r="C7" s="16" t="s">
        <v>725</v>
      </c>
      <c r="D7" s="13">
        <v>10825</v>
      </c>
      <c r="E7" s="22">
        <v>1655</v>
      </c>
      <c r="F7" s="23"/>
      <c r="G7" s="16" t="s">
        <v>1349</v>
      </c>
      <c r="H7" s="16" t="s">
        <v>1350</v>
      </c>
      <c r="I7" s="15" t="s">
        <v>143</v>
      </c>
      <c r="J7" s="30">
        <v>2.5694444444444499E-2</v>
      </c>
      <c r="K7" s="31">
        <v>43774</v>
      </c>
      <c r="L7" s="31">
        <v>43799</v>
      </c>
      <c r="M7" s="35">
        <f t="shared" si="0"/>
        <v>30</v>
      </c>
      <c r="N7" s="14" t="s">
        <v>148</v>
      </c>
      <c r="O7" s="36">
        <f t="shared" si="1"/>
        <v>0</v>
      </c>
      <c r="P7" s="14" t="s">
        <v>1346</v>
      </c>
      <c r="Q7" s="14" t="s">
        <v>683</v>
      </c>
      <c r="R7" s="39">
        <f t="shared" si="2"/>
        <v>26</v>
      </c>
      <c r="S7" s="41">
        <f t="shared" si="3"/>
        <v>43782</v>
      </c>
      <c r="T7" s="39">
        <f t="shared" si="4"/>
        <v>17</v>
      </c>
      <c r="U7" s="45">
        <f t="shared" si="5"/>
        <v>510</v>
      </c>
      <c r="V7" s="48"/>
      <c r="W7" s="49" t="s">
        <v>1347</v>
      </c>
      <c r="X7" s="39">
        <f t="shared" ref="X7:X16" si="6">R7</f>
        <v>26</v>
      </c>
      <c r="Y7" s="51">
        <v>24</v>
      </c>
      <c r="Z7" s="51">
        <f t="shared" ref="Z7:Z16" si="7">X7*Y7</f>
        <v>624</v>
      </c>
      <c r="AA7" s="52">
        <v>8072</v>
      </c>
      <c r="AB7" s="51">
        <f t="shared" ref="AB7:AB16" si="8">AA7-Z7</f>
        <v>7448</v>
      </c>
      <c r="AC7" s="55">
        <f t="shared" ref="AC7:AC16" si="9">AB7/8072</f>
        <v>0.922695738354807</v>
      </c>
      <c r="AD7" s="56">
        <v>0.95</v>
      </c>
      <c r="AE7" s="52" t="s">
        <v>1351</v>
      </c>
    </row>
    <row r="8" spans="1:31" s="3" customFormat="1" ht="50">
      <c r="A8" s="14">
        <f>A7+1</f>
        <v>2</v>
      </c>
      <c r="B8" s="17" t="s">
        <v>983</v>
      </c>
      <c r="C8" s="17" t="s">
        <v>977</v>
      </c>
      <c r="D8" s="18">
        <v>3557530</v>
      </c>
      <c r="E8" s="24">
        <v>1172</v>
      </c>
      <c r="F8" s="25"/>
      <c r="G8" s="26" t="s">
        <v>1352</v>
      </c>
      <c r="H8" s="27" t="s">
        <v>1353</v>
      </c>
      <c r="I8" s="24" t="s">
        <v>143</v>
      </c>
      <c r="J8" s="32">
        <v>2.0833333333333402E-2</v>
      </c>
      <c r="K8" s="31">
        <v>43770</v>
      </c>
      <c r="L8" s="29">
        <v>43782</v>
      </c>
      <c r="M8" s="35">
        <f t="shared" si="0"/>
        <v>100</v>
      </c>
      <c r="N8" s="10" t="s">
        <v>148</v>
      </c>
      <c r="O8" s="37">
        <f t="shared" si="1"/>
        <v>0</v>
      </c>
      <c r="P8" s="10" t="s">
        <v>1346</v>
      </c>
      <c r="Q8" s="14" t="s">
        <v>148</v>
      </c>
      <c r="R8" s="39">
        <f t="shared" si="2"/>
        <v>13</v>
      </c>
      <c r="S8" s="40">
        <v>43763</v>
      </c>
      <c r="T8" s="39">
        <f>R8</f>
        <v>13</v>
      </c>
      <c r="U8" s="45">
        <f t="shared" si="5"/>
        <v>1300</v>
      </c>
      <c r="V8" s="46"/>
      <c r="W8" s="49" t="s">
        <v>1347</v>
      </c>
      <c r="X8" s="39">
        <f t="shared" si="6"/>
        <v>13</v>
      </c>
      <c r="Y8" s="51">
        <v>24</v>
      </c>
      <c r="Z8" s="51">
        <f t="shared" si="7"/>
        <v>312</v>
      </c>
      <c r="AA8" s="52">
        <v>8072</v>
      </c>
      <c r="AB8" s="51">
        <f t="shared" si="8"/>
        <v>7760</v>
      </c>
      <c r="AC8" s="55">
        <f t="shared" si="9"/>
        <v>0.961347869177403</v>
      </c>
      <c r="AD8" s="56">
        <v>0.95</v>
      </c>
      <c r="AE8" s="52" t="s">
        <v>78</v>
      </c>
    </row>
    <row r="9" spans="1:31" s="3" customFormat="1" ht="50">
      <c r="A9" s="14">
        <f t="shared" ref="A9:A16" si="10">A8+1</f>
        <v>3</v>
      </c>
      <c r="B9" s="17" t="s">
        <v>976</v>
      </c>
      <c r="C9" s="17" t="s">
        <v>977</v>
      </c>
      <c r="D9" s="18">
        <v>3557530</v>
      </c>
      <c r="E9" s="24">
        <v>1173</v>
      </c>
      <c r="F9" s="25"/>
      <c r="G9" s="26" t="s">
        <v>1352</v>
      </c>
      <c r="H9" s="27" t="s">
        <v>1353</v>
      </c>
      <c r="I9" s="24" t="s">
        <v>143</v>
      </c>
      <c r="J9" s="32">
        <v>1.3888888888888999E-2</v>
      </c>
      <c r="K9" s="31">
        <v>43770</v>
      </c>
      <c r="L9" s="29">
        <v>43782</v>
      </c>
      <c r="M9" s="35">
        <f t="shared" si="0"/>
        <v>100</v>
      </c>
      <c r="N9" s="10" t="s">
        <v>148</v>
      </c>
      <c r="O9" s="37">
        <f t="shared" si="1"/>
        <v>0</v>
      </c>
      <c r="P9" s="10" t="s">
        <v>1346</v>
      </c>
      <c r="Q9" s="14" t="s">
        <v>148</v>
      </c>
      <c r="R9" s="39">
        <f t="shared" si="2"/>
        <v>13</v>
      </c>
      <c r="S9" s="40">
        <v>43763</v>
      </c>
      <c r="T9" s="39">
        <f t="shared" ref="T9:T16" si="11">R9</f>
        <v>13</v>
      </c>
      <c r="U9" s="45">
        <f t="shared" si="5"/>
        <v>1300</v>
      </c>
      <c r="V9" s="46"/>
      <c r="W9" s="49" t="s">
        <v>1347</v>
      </c>
      <c r="X9" s="39">
        <f t="shared" si="6"/>
        <v>13</v>
      </c>
      <c r="Y9" s="51">
        <v>24</v>
      </c>
      <c r="Z9" s="51">
        <f t="shared" si="7"/>
        <v>312</v>
      </c>
      <c r="AA9" s="52">
        <v>8072</v>
      </c>
      <c r="AB9" s="51">
        <f t="shared" si="8"/>
        <v>7760</v>
      </c>
      <c r="AC9" s="55">
        <f t="shared" si="9"/>
        <v>0.961347869177403</v>
      </c>
      <c r="AD9" s="56">
        <v>0.95</v>
      </c>
      <c r="AE9" s="52" t="s">
        <v>78</v>
      </c>
    </row>
    <row r="10" spans="1:31" s="3" customFormat="1" ht="50">
      <c r="A10" s="14">
        <f t="shared" si="10"/>
        <v>4</v>
      </c>
      <c r="B10" s="17" t="s">
        <v>1354</v>
      </c>
      <c r="C10" s="17" t="s">
        <v>1355</v>
      </c>
      <c r="D10" s="18">
        <v>28630</v>
      </c>
      <c r="E10" s="24">
        <v>1449</v>
      </c>
      <c r="F10" s="25"/>
      <c r="G10" s="26" t="s">
        <v>1356</v>
      </c>
      <c r="H10" s="27" t="s">
        <v>1357</v>
      </c>
      <c r="I10" s="24" t="s">
        <v>143</v>
      </c>
      <c r="J10" s="32">
        <v>2.7777777777777801E-2</v>
      </c>
      <c r="K10" s="31">
        <v>43770</v>
      </c>
      <c r="L10" s="29">
        <v>43775</v>
      </c>
      <c r="M10" s="35">
        <f t="shared" si="0"/>
        <v>60</v>
      </c>
      <c r="N10" s="10" t="s">
        <v>148</v>
      </c>
      <c r="O10" s="37">
        <f t="shared" si="1"/>
        <v>0</v>
      </c>
      <c r="P10" s="10" t="s">
        <v>1346</v>
      </c>
      <c r="Q10" s="14" t="s">
        <v>148</v>
      </c>
      <c r="R10" s="39">
        <f t="shared" si="2"/>
        <v>6</v>
      </c>
      <c r="S10" s="40">
        <v>43774</v>
      </c>
      <c r="T10" s="39">
        <f t="shared" si="11"/>
        <v>6</v>
      </c>
      <c r="U10" s="45">
        <f t="shared" si="5"/>
        <v>360</v>
      </c>
      <c r="V10" s="46"/>
      <c r="W10" s="49" t="s">
        <v>1347</v>
      </c>
      <c r="X10" s="39">
        <f t="shared" si="6"/>
        <v>6</v>
      </c>
      <c r="Y10" s="51">
        <v>24</v>
      </c>
      <c r="Z10" s="51">
        <f t="shared" si="7"/>
        <v>144</v>
      </c>
      <c r="AA10" s="52">
        <v>8072</v>
      </c>
      <c r="AB10" s="51">
        <f t="shared" si="8"/>
        <v>7928</v>
      </c>
      <c r="AC10" s="55">
        <f t="shared" si="9"/>
        <v>0.98216055500495503</v>
      </c>
      <c r="AD10" s="56">
        <v>0.92</v>
      </c>
      <c r="AE10" s="52" t="s">
        <v>78</v>
      </c>
    </row>
    <row r="11" spans="1:31" s="3" customFormat="1" ht="25">
      <c r="A11" s="14">
        <f t="shared" si="10"/>
        <v>5</v>
      </c>
      <c r="B11" s="17" t="s">
        <v>250</v>
      </c>
      <c r="C11" s="17" t="s">
        <v>414</v>
      </c>
      <c r="D11" s="18">
        <v>12049370</v>
      </c>
      <c r="E11" s="24">
        <v>1471</v>
      </c>
      <c r="F11" s="25"/>
      <c r="G11" s="26" t="s">
        <v>1352</v>
      </c>
      <c r="H11" s="27" t="s">
        <v>1358</v>
      </c>
      <c r="I11" s="24" t="s">
        <v>143</v>
      </c>
      <c r="J11" s="32">
        <v>6.5972222222222196E-2</v>
      </c>
      <c r="K11" s="31">
        <v>43770</v>
      </c>
      <c r="L11" s="29">
        <v>43773</v>
      </c>
      <c r="M11" s="35">
        <f t="shared" si="0"/>
        <v>100</v>
      </c>
      <c r="N11" s="10" t="s">
        <v>148</v>
      </c>
      <c r="O11" s="37">
        <f t="shared" si="1"/>
        <v>0</v>
      </c>
      <c r="P11" s="10" t="s">
        <v>1346</v>
      </c>
      <c r="Q11" s="14" t="s">
        <v>148</v>
      </c>
      <c r="R11" s="39">
        <f t="shared" si="2"/>
        <v>4</v>
      </c>
      <c r="S11" s="40">
        <v>43775</v>
      </c>
      <c r="T11" s="39">
        <f t="shared" si="11"/>
        <v>4</v>
      </c>
      <c r="U11" s="45">
        <f t="shared" si="5"/>
        <v>400</v>
      </c>
      <c r="V11" s="46"/>
      <c r="W11" s="49" t="s">
        <v>1347</v>
      </c>
      <c r="X11" s="39">
        <f t="shared" si="6"/>
        <v>4</v>
      </c>
      <c r="Y11" s="51">
        <v>24</v>
      </c>
      <c r="Z11" s="51">
        <f t="shared" si="7"/>
        <v>96</v>
      </c>
      <c r="AA11" s="52">
        <v>8072</v>
      </c>
      <c r="AB11" s="51">
        <f t="shared" si="8"/>
        <v>7976</v>
      </c>
      <c r="AC11" s="55">
        <f t="shared" si="9"/>
        <v>0.98810703666997002</v>
      </c>
      <c r="AD11" s="56">
        <v>0.92</v>
      </c>
      <c r="AE11" s="52" t="s">
        <v>78</v>
      </c>
    </row>
    <row r="12" spans="1:31" s="3" customFormat="1" ht="50">
      <c r="A12" s="14">
        <f t="shared" si="10"/>
        <v>6</v>
      </c>
      <c r="B12" s="17" t="s">
        <v>1359</v>
      </c>
      <c r="C12" s="17" t="s">
        <v>1355</v>
      </c>
      <c r="D12" s="18">
        <v>28630</v>
      </c>
      <c r="E12" s="24">
        <v>1476</v>
      </c>
      <c r="F12" s="25"/>
      <c r="G12" s="26" t="s">
        <v>1360</v>
      </c>
      <c r="H12" s="27" t="s">
        <v>1361</v>
      </c>
      <c r="I12" s="24" t="s">
        <v>143</v>
      </c>
      <c r="J12" s="32">
        <v>2.36111111111111E-2</v>
      </c>
      <c r="K12" s="31">
        <v>43770</v>
      </c>
      <c r="L12" s="29">
        <v>43775</v>
      </c>
      <c r="M12" s="35">
        <f t="shared" si="0"/>
        <v>60</v>
      </c>
      <c r="N12" s="10" t="s">
        <v>148</v>
      </c>
      <c r="O12" s="37">
        <f t="shared" si="1"/>
        <v>0</v>
      </c>
      <c r="P12" s="10" t="s">
        <v>1346</v>
      </c>
      <c r="Q12" s="14" t="s">
        <v>148</v>
      </c>
      <c r="R12" s="39">
        <f t="shared" si="2"/>
        <v>6</v>
      </c>
      <c r="S12" s="40">
        <v>43775</v>
      </c>
      <c r="T12" s="39">
        <f t="shared" si="11"/>
        <v>6</v>
      </c>
      <c r="U12" s="45">
        <f t="shared" si="5"/>
        <v>360</v>
      </c>
      <c r="V12" s="46"/>
      <c r="W12" s="49" t="e">
        <v>#N/A</v>
      </c>
      <c r="X12" s="39">
        <f t="shared" si="6"/>
        <v>6</v>
      </c>
      <c r="Y12" s="51">
        <v>24</v>
      </c>
      <c r="Z12" s="51">
        <f t="shared" si="7"/>
        <v>144</v>
      </c>
      <c r="AA12" s="52">
        <v>8072</v>
      </c>
      <c r="AB12" s="51">
        <f t="shared" si="8"/>
        <v>7928</v>
      </c>
      <c r="AC12" s="55">
        <f t="shared" si="9"/>
        <v>0.98216055500495503</v>
      </c>
      <c r="AD12" s="56">
        <v>0.92</v>
      </c>
      <c r="AE12" s="52" t="s">
        <v>78</v>
      </c>
    </row>
    <row r="13" spans="1:31" s="3" customFormat="1" ht="37.5">
      <c r="A13" s="14">
        <f t="shared" si="10"/>
        <v>7</v>
      </c>
      <c r="B13" s="17" t="s">
        <v>1362</v>
      </c>
      <c r="C13" s="17" t="s">
        <v>1213</v>
      </c>
      <c r="D13" s="18">
        <v>4510</v>
      </c>
      <c r="E13" s="24">
        <v>1496</v>
      </c>
      <c r="F13" s="25"/>
      <c r="G13" s="26" t="s">
        <v>1360</v>
      </c>
      <c r="H13" s="27" t="s">
        <v>1363</v>
      </c>
      <c r="I13" s="24" t="s">
        <v>143</v>
      </c>
      <c r="J13" s="32">
        <v>1.04166666666666E-2</v>
      </c>
      <c r="K13" s="31">
        <v>43770</v>
      </c>
      <c r="L13" s="29">
        <v>43775</v>
      </c>
      <c r="M13" s="35">
        <f t="shared" si="0"/>
        <v>10</v>
      </c>
      <c r="N13" s="10" t="s">
        <v>148</v>
      </c>
      <c r="O13" s="37">
        <f t="shared" si="1"/>
        <v>0</v>
      </c>
      <c r="P13" s="10" t="s">
        <v>1346</v>
      </c>
      <c r="Q13" s="14" t="s">
        <v>148</v>
      </c>
      <c r="R13" s="39">
        <f t="shared" si="2"/>
        <v>6</v>
      </c>
      <c r="S13" s="40">
        <v>43775</v>
      </c>
      <c r="T13" s="39">
        <f t="shared" si="11"/>
        <v>6</v>
      </c>
      <c r="U13" s="45">
        <f t="shared" si="5"/>
        <v>60</v>
      </c>
      <c r="V13" s="46"/>
      <c r="W13" s="49" t="s">
        <v>1347</v>
      </c>
      <c r="X13" s="39">
        <f t="shared" si="6"/>
        <v>6</v>
      </c>
      <c r="Y13" s="51">
        <v>24</v>
      </c>
      <c r="Z13" s="51">
        <f t="shared" si="7"/>
        <v>144</v>
      </c>
      <c r="AA13" s="52">
        <v>8072</v>
      </c>
      <c r="AB13" s="51">
        <f t="shared" si="8"/>
        <v>7928</v>
      </c>
      <c r="AC13" s="55">
        <f t="shared" si="9"/>
        <v>0.98216055500495503</v>
      </c>
      <c r="AD13" s="56">
        <v>0.92</v>
      </c>
      <c r="AE13" s="52" t="s">
        <v>78</v>
      </c>
    </row>
    <row r="14" spans="1:31" s="3" customFormat="1" ht="50">
      <c r="A14" s="14">
        <f t="shared" si="10"/>
        <v>8</v>
      </c>
      <c r="B14" s="17" t="s">
        <v>1364</v>
      </c>
      <c r="C14" s="17" t="s">
        <v>1365</v>
      </c>
      <c r="D14" s="18">
        <v>1044560</v>
      </c>
      <c r="E14" s="24">
        <v>1535</v>
      </c>
      <c r="F14" s="25"/>
      <c r="G14" s="26" t="s">
        <v>1366</v>
      </c>
      <c r="H14" s="27" t="s">
        <v>1367</v>
      </c>
      <c r="I14" s="24" t="s">
        <v>143</v>
      </c>
      <c r="J14" s="32">
        <v>1.7361111111111199E-2</v>
      </c>
      <c r="K14" s="31">
        <v>43770</v>
      </c>
      <c r="L14" s="29">
        <v>43773</v>
      </c>
      <c r="M14" s="35">
        <f t="shared" si="0"/>
        <v>100</v>
      </c>
      <c r="N14" s="10" t="s">
        <v>148</v>
      </c>
      <c r="O14" s="37">
        <f t="shared" si="1"/>
        <v>0</v>
      </c>
      <c r="P14" s="10" t="s">
        <v>1346</v>
      </c>
      <c r="Q14" s="14" t="s">
        <v>148</v>
      </c>
      <c r="R14" s="39">
        <f t="shared" si="2"/>
        <v>4</v>
      </c>
      <c r="S14" s="40">
        <v>43776</v>
      </c>
      <c r="T14" s="39">
        <f t="shared" si="11"/>
        <v>4</v>
      </c>
      <c r="U14" s="45">
        <f t="shared" si="5"/>
        <v>400</v>
      </c>
      <c r="V14" s="46"/>
      <c r="W14" s="49" t="s">
        <v>1347</v>
      </c>
      <c r="X14" s="39">
        <f t="shared" si="6"/>
        <v>4</v>
      </c>
      <c r="Y14" s="51">
        <v>24</v>
      </c>
      <c r="Z14" s="51">
        <f t="shared" si="7"/>
        <v>96</v>
      </c>
      <c r="AA14" s="52">
        <v>8072</v>
      </c>
      <c r="AB14" s="51">
        <f t="shared" si="8"/>
        <v>7976</v>
      </c>
      <c r="AC14" s="55">
        <f t="shared" si="9"/>
        <v>0.98810703666997002</v>
      </c>
      <c r="AD14" s="56">
        <v>0.95</v>
      </c>
      <c r="AE14" s="52" t="s">
        <v>78</v>
      </c>
    </row>
    <row r="15" spans="1:31" s="3" customFormat="1" ht="25">
      <c r="A15" s="14">
        <f t="shared" si="10"/>
        <v>9</v>
      </c>
      <c r="B15" s="17" t="s">
        <v>713</v>
      </c>
      <c r="C15" s="17" t="s">
        <v>1368</v>
      </c>
      <c r="D15" s="18">
        <v>3191750</v>
      </c>
      <c r="E15" s="24">
        <v>1550</v>
      </c>
      <c r="F15" s="25"/>
      <c r="G15" s="26" t="s">
        <v>1369</v>
      </c>
      <c r="H15" s="27" t="s">
        <v>1370</v>
      </c>
      <c r="I15" s="24" t="s">
        <v>143</v>
      </c>
      <c r="J15" s="32">
        <v>3.4722222222222099E-3</v>
      </c>
      <c r="K15" s="31">
        <v>43770</v>
      </c>
      <c r="L15" s="29">
        <v>43773</v>
      </c>
      <c r="M15" s="35">
        <f t="shared" si="0"/>
        <v>100</v>
      </c>
      <c r="N15" s="10" t="s">
        <v>148</v>
      </c>
      <c r="O15" s="37">
        <f t="shared" si="1"/>
        <v>0</v>
      </c>
      <c r="P15" s="10" t="s">
        <v>1346</v>
      </c>
      <c r="Q15" s="14" t="s">
        <v>148</v>
      </c>
      <c r="R15" s="39">
        <f t="shared" si="2"/>
        <v>4</v>
      </c>
      <c r="S15" s="40">
        <v>43777</v>
      </c>
      <c r="T15" s="39">
        <f t="shared" si="11"/>
        <v>4</v>
      </c>
      <c r="U15" s="45">
        <f t="shared" si="5"/>
        <v>400</v>
      </c>
      <c r="V15" s="46"/>
      <c r="W15" s="49" t="s">
        <v>1347</v>
      </c>
      <c r="X15" s="39">
        <f t="shared" si="6"/>
        <v>4</v>
      </c>
      <c r="Y15" s="51">
        <v>24</v>
      </c>
      <c r="Z15" s="51">
        <f t="shared" si="7"/>
        <v>96</v>
      </c>
      <c r="AA15" s="52">
        <v>8072</v>
      </c>
      <c r="AB15" s="51">
        <f t="shared" si="8"/>
        <v>7976</v>
      </c>
      <c r="AC15" s="55">
        <f t="shared" si="9"/>
        <v>0.98810703666997002</v>
      </c>
      <c r="AD15" s="56">
        <v>0.92</v>
      </c>
      <c r="AE15" s="52" t="s">
        <v>78</v>
      </c>
    </row>
    <row r="16" spans="1:31" s="3" customFormat="1" ht="50">
      <c r="A16" s="14">
        <f t="shared" si="10"/>
        <v>10</v>
      </c>
      <c r="B16" s="17" t="s">
        <v>1371</v>
      </c>
      <c r="C16" s="17" t="s">
        <v>1372</v>
      </c>
      <c r="D16" s="18">
        <v>3191750</v>
      </c>
      <c r="E16" s="24">
        <v>1565</v>
      </c>
      <c r="F16" s="24"/>
      <c r="G16" s="26" t="s">
        <v>1366</v>
      </c>
      <c r="H16" s="27" t="s">
        <v>1373</v>
      </c>
      <c r="I16" s="24" t="s">
        <v>143</v>
      </c>
      <c r="J16" s="32">
        <v>0</v>
      </c>
      <c r="K16" s="31">
        <v>43770</v>
      </c>
      <c r="L16" s="29">
        <v>43773</v>
      </c>
      <c r="M16" s="35">
        <f t="shared" si="0"/>
        <v>100</v>
      </c>
      <c r="N16" s="10" t="s">
        <v>148</v>
      </c>
      <c r="O16" s="37">
        <f t="shared" si="1"/>
        <v>0</v>
      </c>
      <c r="P16" s="10" t="s">
        <v>1346</v>
      </c>
      <c r="Q16" s="14" t="s">
        <v>148</v>
      </c>
      <c r="R16" s="39">
        <f t="shared" si="2"/>
        <v>4</v>
      </c>
      <c r="S16" s="40">
        <v>43777</v>
      </c>
      <c r="T16" s="39">
        <f t="shared" si="11"/>
        <v>4</v>
      </c>
      <c r="U16" s="45">
        <f t="shared" si="5"/>
        <v>400</v>
      </c>
      <c r="V16" s="46"/>
      <c r="W16" s="49" t="s">
        <v>1347</v>
      </c>
      <c r="X16" s="39">
        <f t="shared" si="6"/>
        <v>4</v>
      </c>
      <c r="Y16" s="51">
        <v>24</v>
      </c>
      <c r="Z16" s="51">
        <f t="shared" si="7"/>
        <v>96</v>
      </c>
      <c r="AA16" s="52">
        <v>8072</v>
      </c>
      <c r="AB16" s="51">
        <f t="shared" si="8"/>
        <v>7976</v>
      </c>
      <c r="AC16" s="55">
        <f t="shared" si="9"/>
        <v>0.98810703666997002</v>
      </c>
      <c r="AD16" s="56">
        <v>0.92</v>
      </c>
      <c r="AE16" s="52" t="s">
        <v>78</v>
      </c>
    </row>
    <row r="17" spans="21:21">
      <c r="U17" s="50">
        <f>SUM(U6:U16)</f>
        <v>6090</v>
      </c>
    </row>
  </sheetData>
  <mergeCells count="15">
    <mergeCell ref="W4:W5"/>
    <mergeCell ref="N4:P4"/>
    <mergeCell ref="Q4:V4"/>
    <mergeCell ref="A4:A5"/>
    <mergeCell ref="B4:B5"/>
    <mergeCell ref="C4:C5"/>
    <mergeCell ref="D4:D5"/>
    <mergeCell ref="E4:E5"/>
    <mergeCell ref="G4:G5"/>
    <mergeCell ref="H4:H5"/>
    <mergeCell ref="I4:I5"/>
    <mergeCell ref="J4:J5"/>
    <mergeCell ref="K4:K5"/>
    <mergeCell ref="L4:L5"/>
    <mergeCell ref="M4:M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KDI</vt:lpstr>
      <vt:lpstr>Public Holiday</vt:lpstr>
      <vt:lpstr>BEMSdar</vt:lpstr>
      <vt:lpstr>B1&amp;B2 UNSCHEDULED</vt:lpstr>
      <vt:lpstr>B3-SCHEDULED</vt:lpstr>
      <vt:lpstr>B4-UPTIME </vt:lpstr>
      <vt:lpstr>B5-T&amp;C</vt:lpstr>
      <vt:lpstr>Sheet1</vt:lpstr>
      <vt:lpstr>Sheet2</vt:lpstr>
      <vt:lpstr>'B1&amp;B2 UNSCHEDULED'!AKHIR</vt:lpstr>
      <vt:lpstr>'B1&amp;B2 UNSCHEDULED'!AWAL</vt:lpstr>
      <vt:lpstr>cuti</vt:lpstr>
      <vt:lpstr>'B1&amp;B2 UNSCHEDULED'!hujung</vt:lpstr>
      <vt:lpstr>Sheet1!OLE_LINK2</vt:lpstr>
      <vt:lpstr>'B1&amp;B2 UNSCHEDULED'!Print_Area</vt:lpstr>
      <vt:lpstr>'B3-SCHEDULED'!Print_Area</vt:lpstr>
      <vt:lpstr>'B4-UPTIME '!Print_Area</vt:lpstr>
      <vt:lpstr>'B5-T&amp;C'!Print_Area</vt:lpstr>
      <vt:lpstr>BEMSdar!Print_Area</vt:lpstr>
      <vt:lpstr>KDI!Print_Area</vt:lpstr>
      <vt:lpstr>'B1&amp;B2 UNSCHEDULED'!Print_Titles</vt:lpstr>
      <vt:lpstr>'B3-SCHEDULED'!Print_Titles</vt:lpstr>
      <vt:lpstr>'B4-UPTIME '!Print_Titles</vt:lpstr>
      <vt:lpstr>'B5-T&amp;C'!Print_Titles</vt:lpstr>
      <vt:lpstr>tarikhcuti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Institut Kanser Negara</cp:lastModifiedBy>
  <cp:lastPrinted>2026-02-09T08:34:53Z</cp:lastPrinted>
  <dcterms:created xsi:type="dcterms:W3CDTF">2016-04-16T11:55:00Z</dcterms:created>
  <dcterms:modified xsi:type="dcterms:W3CDTF">2026-04-02T07:15:21Z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D5CA3DA5F187A319CA10866907F8FFC9_42</vt:lpwstr>
  </property>
  <property fmtid="{D5CDD505-2E9C-101B-9397-08002B2CF9AE}" pid="3" name="KSOProductBuildVer">
    <vt:lpwstr>1033-12.8.2.22595</vt:lpwstr>
  </property>
</Properties>
</file>